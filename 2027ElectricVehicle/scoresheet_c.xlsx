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<sst xmlns="http://schemas.openxmlformats.org/spreadsheetml/2006/main" count="208" uniqueCount="149">
  <si>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</si>
  <si>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</si>
  <si>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</si>
  <si>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</si>
  <si>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</si>
  <si>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</si>
  <si>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</si>
  <si>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</si>
  <si>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</si>
  <si>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</si>
  <si>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</si>
  <si>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</si>
  <si>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</si>
  <si>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</si>
  <si>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</si>
  <si>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</si>
  <si>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</si>
  <si>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</si>
  <si>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</si>
  <si>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</si>
  <si>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</si>
  <si>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</si>
  <si>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</si>
  <si>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</si>
  <si>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</si>
  <si>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</si>
  <si>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</si>
  <si>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</si>
  <si>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</si>
  <si>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</si>
  <si>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</si>
  <si>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</si>
  <si>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</si>
  <si>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</si>
  <si>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</si>
  <si>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</si>
  <si>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</si>
  <si>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</si>
  <si>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</si>
  <si>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</si>
  <si>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</si>
  <si>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</si>
  <si>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</si>
  <si>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</si>
  <si>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</si>
  <si>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</si>
  <si>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</si>
  <si>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</si>
  <si>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</si>
  <si>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</si>
  <si>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</si>
  <si>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</si>
  <si>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</si>
  <si>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</si>
  <si>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</si>
  <si>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</si>
  <si>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</si>
  <si>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</si>
  <si>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2 Error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</si>
  <si>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</si>
  <si>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</si>
  <si>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</si>
  <si>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</si>
  <si>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</si>
  <si>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</si>
  <si>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</si>
  <si>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</si>
  <si>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</si>
  <si>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</si>
  <si>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</si>
  <si>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</si>
  <si>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</si>
  <si>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</si>
  <si>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</si>
  <si>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</si>
  <si>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</si>
  <si>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(TB4; blank when 5.k keeps a tie)</t>
  </si>
  <si>
    <t xml:space="preserve">TB4 Rank</t>
  </si>
  <si>
    <t xml:space="preserve">Rank w/ TB</t>
  </si>
  <si>
    <t xml:space="preserve">Rank Diff</t>
  </si>
  <si>
    <t xml:space="preserve">Errors</t>
  </si>
  <si>
    <t xml:space="preserve">c</t>
  </si>
  <si>
    <t xml:space="preserve">t</t>
  </si>
  <si>
    <t xml:space="preserve">f</t>
  </si>
  <si>
    <t xml:space="preserve">successful</t>
  </si>
  <si>
    <t xml:space="preserve">T</t>
  </si>
  <si>
    <t xml:space="preserve">Name Desc</t>
  </si>
  <si>
    <t xml:space="preserve">Value</t>
  </si>
  <si>
    <t xml:space="preserve">Input Tokens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</si>
  <si>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</si>
  <si>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</si>
  <si>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</si>
  <si>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</si>
  <si>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</si>
  <si>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</si>
  <si>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</si>
  <si>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</si>
  <si>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</si>
  <si>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</si>
  <si>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</si>
  <si>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</si>
  <si>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</si>
  <si>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</si>
  <si>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</si>
  <si>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</si>
  <si>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Penalties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</si>
  <si>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</si>
  <si>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</si>
  <si>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</si>
  <si>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</si>
  <si>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</si>
  <si>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</si>
  <si>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</si>
  <si>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</si>
  <si>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</si>
  <si>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</si>
  <si>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Bonuses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</si>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</sst>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CP3" activeCellId="0" sqref="CP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5.75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8.21"/>
    <col collapsed="false" customWidth="true" hidden="true" outlineLevel="0" max="65" min="65" style="1" width="7.65"/>
    <col collapsed="false" customWidth="true" hidden="true" outlineLevel="0" max="66" min="66" style="1" width="8.06"/>
    <col collapsed="false" customWidth="true" hidden="true" outlineLevel="0" max="67" min="67" style="1" width="9.04"/>
    <col collapsed="false" customWidth="true" hidden="true" outlineLevel="0" max="68" min="68" style="1" width="13.22"/>
    <col collapsed="false" customWidth="true" hidden="true" outlineLevel="0" max="69" min="69" style="1" width="21"/>
    <col collapsed="false" customWidth="true" hidden="true" outlineLevel="0" max="70" min="70" style="1" width="7.78"/>
    <col collapsed="false" customWidth="true" hidden="true" outlineLevel="0" max="71" min="71" style="1" width="4.63"/>
    <col collapsed="false" customWidth="true" hidden="true" outlineLevel="0" max="72" min="72" style="1" width="18.64"/>
    <col collapsed="false" customWidth="true" hidden="true" outlineLevel="0" max="73" min="73" style="1" width="23.09"/>
    <col collapsed="false" customWidth="true" hidden="true" outlineLevel="0" max="74" min="74" style="1" width="18.64"/>
    <col collapsed="false" customWidth="true" hidden="true" outlineLevel="0" max="75" min="75" style="1" width="11.96"/>
    <col collapsed="false" customWidth="true" hidden="true" outlineLevel="0" max="76" min="76" style="1" width="8.38"/>
    <col collapsed="false" customWidth="true" hidden="true" outlineLevel="0" max="77" min="77" style="1" width="29.77"/>
    <col collapsed="false" customWidth="true" hidden="true" outlineLevel="0" max="78" min="78" style="1" width="12"/>
    <col collapsed="false" customWidth="true" hidden="true" outlineLevel="0" max="79" min="79" style="1" width="31.44"/>
    <col collapsed="false" customWidth="true" hidden="true" outlineLevel="0" max="80" min="80" style="1" width="11.39"/>
    <col collapsed="false" customWidth="true" hidden="true" outlineLevel="0" max="81" min="81" style="1" width="33.24"/>
    <col collapsed="false" customWidth="true" hidden="true" outlineLevel="0" max="82" min="82" style="1" width="11.7"/>
    <col collapsed="false" customWidth="true" hidden="true" outlineLevel="0" max="83" min="83" style="1" width="57.18"/>
    <col collapsed="false" customWidth="true" hidden="true" outlineLevel="0" max="84" min="84" style="1" width="11.39"/>
    <col collapsed="false" customWidth="true" hidden="true" outlineLevel="0" max="85" min="85" style="1" width="13.07"/>
    <col collapsed="false" customWidth="true" hidden="true" outlineLevel="0" max="86" min="86" style="1" width="10.85"/>
    <col collapsed="false" customWidth="true" hidden="true" outlineLevel="0" max="88" min="87" style="1" width="4.63"/>
    <col collapsed="false" customWidth="true" hidden="false" outlineLevel="0" max="89" min="89" style="1" width="39.09"/>
    <col collapsed="false" customWidth="true" hidden="false" outlineLevel="0" max="90" min="90" style="1" width="4"/>
    <col collapsed="false" customWidth="true" hidden="false" outlineLevel="0" max="95" min="91" style="1" width="8.63"/>
    <col collapsed="false" customWidth="true" hidden="true" outlineLevel="0" max="96" min="96" style="1" width="4"/>
    <col collapsed="false" customWidth="true" hidden="false" outlineLevel="0" max="99" min="97" style="1" width="4"/>
    <col collapsed="false" customWidth="true" hidden="false" outlineLevel="0" max="100" min="100" style="1" width="2"/>
    <col collapsed="false" customWidth="true" hidden="true" outlineLevel="0" max="110" min="101" style="1" width="4.63"/>
    <col collapsed="false" customWidth="true" hidden="false" outlineLevel="0" max="111" min="111" style="1" width="4.63"/>
    <col collapsed="false" customWidth="true" hidden="false" outlineLevel="0" max="112" min="112" style="1" width="6.88"/>
    <col collapsed="false" customWidth="true" hidden="false" outlineLevel="0" max="113" min="113" style="1" width="30.75"/>
    <col collapsed="false" customWidth="true" hidden="false" outlineLevel="0" max="114" min="114" style="1" width="15.63"/>
    <col collapsed="false" customWidth="true" hidden="false" outlineLevel="0" max="115" min="115" style="1" width="4.63"/>
    <col collapsed="false" customWidth="true" hidden="false" outlineLevel="0" max="116" min="116" style="1" width="8.63"/>
    <col collapsed="false" customWidth="true" hidden="true" outlineLevel="0" max="117" min="117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2"/>
      <c r="BJ1" s="2"/>
      <c r="BK1" s="3"/>
      <c r="BL1" s="6"/>
      <c r="BM1" s="2"/>
      <c r="BN1" s="2"/>
      <c r="BO1" s="2"/>
      <c r="BP1" s="6"/>
      <c r="BQ1" s="2"/>
      <c r="BR1" s="2"/>
      <c r="BS1" s="2"/>
      <c r="BT1" s="2"/>
      <c r="BU1" s="2"/>
      <c r="BV1" s="2"/>
      <c r="BW1" s="2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2"/>
      <c r="CJ1" s="2"/>
      <c r="CK1" s="2"/>
      <c r="CL1" s="2"/>
      <c r="CM1" s="2"/>
      <c r="CN1" s="2"/>
      <c r="CO1" s="2"/>
      <c r="CP1" s="2"/>
      <c r="CQ1" s="2"/>
      <c r="CR1" s="8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17"/>
      <c r="BJ2" s="17"/>
      <c r="BK2" s="20"/>
      <c r="BL2" s="21"/>
      <c r="BM2" s="17"/>
      <c r="BN2" s="17"/>
      <c r="BO2" s="17"/>
      <c r="BP2" s="21"/>
      <c r="BQ2" s="17"/>
      <c r="BR2" s="17"/>
      <c r="BS2" s="17"/>
      <c r="BT2" s="17"/>
      <c r="BU2" s="17"/>
      <c r="BV2" s="17"/>
      <c r="BW2" s="1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22"/>
      <c r="CJ2" s="23"/>
      <c r="CK2" s="23"/>
      <c r="CL2" s="23" t="s">
        <v>7</v>
      </c>
      <c r="CM2" s="23"/>
      <c r="CN2" s="23"/>
      <c r="CO2" s="23"/>
      <c r="CP2" s="23"/>
      <c r="CQ2" s="23"/>
      <c r="CR2" s="18"/>
      <c r="CS2" s="18"/>
      <c r="CT2" s="18"/>
      <c r="CU2" s="24"/>
      <c r="CV2" s="25"/>
      <c r="CW2" s="17"/>
      <c r="CX2" s="17"/>
      <c r="CY2" s="26" t="s">
        <v>8</v>
      </c>
      <c r="CZ2" s="27" t="s">
        <v>9</v>
      </c>
      <c r="DA2" s="27" t="s">
        <v>10</v>
      </c>
      <c r="DB2" s="27" t="s">
        <v>11</v>
      </c>
      <c r="DC2" s="27" t="s">
        <v>12</v>
      </c>
      <c r="DD2" s="27" t="s">
        <v>13</v>
      </c>
      <c r="DE2" s="27" t="s">
        <v>14</v>
      </c>
      <c r="DF2" s="28" t="s">
        <v>15</v>
      </c>
      <c r="DG2" s="29" t="s">
        <v>16</v>
      </c>
      <c r="DH2" s="29"/>
      <c r="DI2" s="29"/>
      <c r="DJ2" s="29"/>
      <c r="DK2" s="29"/>
      <c r="DL2" s="29"/>
      <c r="DM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8" t="s">
        <v>23</v>
      </c>
      <c r="BJ3" s="37" t="s">
        <v>6</v>
      </c>
      <c r="BK3" s="37"/>
      <c r="BL3" s="37"/>
      <c r="BM3" s="37"/>
      <c r="BN3" s="37"/>
      <c r="BO3" s="37"/>
      <c r="BP3" s="37"/>
      <c r="BQ3" s="17"/>
      <c r="BR3" s="17"/>
      <c r="BS3" s="19" t="s">
        <v>24</v>
      </c>
      <c r="BT3" s="19"/>
      <c r="BU3" s="19"/>
      <c r="BV3" s="19"/>
      <c r="BW3" s="19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22"/>
      <c r="CJ3" s="39"/>
      <c r="CK3" s="40"/>
      <c r="CL3" s="41" t="s">
        <v>23</v>
      </c>
      <c r="CM3" s="42" t="s">
        <v>25</v>
      </c>
      <c r="CN3" s="42" t="s">
        <v>26</v>
      </c>
      <c r="CO3" s="42" t="s">
        <v>27</v>
      </c>
      <c r="CP3" s="42" t="s">
        <v>28</v>
      </c>
      <c r="CQ3" s="43" t="s">
        <v>29</v>
      </c>
      <c r="CR3" s="44" t="s">
        <v>30</v>
      </c>
      <c r="CS3" s="45" t="s">
        <v>31</v>
      </c>
      <c r="CT3" s="44" t="s">
        <v>32</v>
      </c>
      <c r="CU3" s="46" t="s">
        <v>33</v>
      </c>
      <c r="CV3" s="47"/>
      <c r="CW3" s="17"/>
      <c r="CX3" s="17"/>
      <c r="CY3" s="26"/>
      <c r="CZ3" s="27"/>
      <c r="DA3" s="27"/>
      <c r="DB3" s="27"/>
      <c r="DC3" s="27"/>
      <c r="DD3" s="27"/>
      <c r="DE3" s="27"/>
      <c r="DF3" s="28"/>
      <c r="DG3" s="48" t="s">
        <v>32</v>
      </c>
      <c r="DH3" s="49" t="s">
        <v>34</v>
      </c>
      <c r="DI3" s="49" t="s">
        <v>35</v>
      </c>
      <c r="DJ3" s="49" t="s">
        <v>36</v>
      </c>
      <c r="DK3" s="49" t="s">
        <v>30</v>
      </c>
      <c r="DL3" s="50" t="s">
        <v>29</v>
      </c>
      <c r="DM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8" t="s">
        <v>57</v>
      </c>
      <c r="BI4" s="38"/>
      <c r="BJ4" s="55" t="s">
        <v>58</v>
      </c>
      <c r="BK4" s="56" t="s">
        <v>25</v>
      </c>
      <c r="BL4" s="57" t="s">
        <v>26</v>
      </c>
      <c r="BM4" s="38" t="s">
        <v>54</v>
      </c>
      <c r="BN4" s="38" t="s">
        <v>55</v>
      </c>
      <c r="BO4" s="38" t="s">
        <v>56</v>
      </c>
      <c r="BP4" s="58" t="s">
        <v>57</v>
      </c>
      <c r="BQ4" s="17"/>
      <c r="BR4" s="17"/>
      <c r="BS4" s="17"/>
      <c r="BT4" s="17"/>
      <c r="BU4" s="17"/>
      <c r="BV4" s="17"/>
      <c r="BW4" s="1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22"/>
      <c r="CJ4" s="39"/>
      <c r="CK4" s="40"/>
      <c r="CL4" s="41"/>
      <c r="CM4" s="42"/>
      <c r="CN4" s="42"/>
      <c r="CO4" s="42"/>
      <c r="CP4" s="42"/>
      <c r="CQ4" s="43"/>
      <c r="CR4" s="44"/>
      <c r="CS4" s="44"/>
      <c r="CT4" s="44"/>
      <c r="CU4" s="46"/>
      <c r="CV4" s="47"/>
      <c r="CW4" s="17"/>
      <c r="CX4" s="17"/>
      <c r="CY4" s="26"/>
      <c r="CZ4" s="27"/>
      <c r="DA4" s="27"/>
      <c r="DB4" s="27"/>
      <c r="DC4" s="27"/>
      <c r="DD4" s="27"/>
      <c r="DE4" s="27"/>
      <c r="DF4" s="28"/>
      <c r="DG4" s="48"/>
      <c r="DH4" s="49"/>
      <c r="DI4" s="49"/>
      <c r="DJ4" s="49"/>
      <c r="DK4" s="49"/>
      <c r="DL4" s="50"/>
      <c r="DM4" s="17"/>
    </row>
    <row r="5" customFormat="false" ht="118.5" hidden="true" customHeight="true" outlineLevel="0" collapsed="false">
      <c r="A5" s="9"/>
      <c r="B5" s="59"/>
      <c r="C5" s="59"/>
      <c r="D5" s="59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8"/>
      <c r="BI5" s="38"/>
      <c r="BJ5" s="55"/>
      <c r="BK5" s="56"/>
      <c r="BL5" s="56"/>
      <c r="BM5" s="56"/>
      <c r="BN5" s="56"/>
      <c r="BO5" s="56"/>
      <c r="BP5" s="58"/>
      <c r="BQ5" s="17" t="s">
        <v>59</v>
      </c>
      <c r="BR5" s="17"/>
      <c r="BS5" s="17"/>
      <c r="BT5" s="17"/>
      <c r="BU5" s="17"/>
      <c r="BV5" s="17"/>
      <c r="BW5" s="1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22"/>
      <c r="CJ5" s="39"/>
      <c r="CK5" s="40"/>
      <c r="CL5" s="41"/>
      <c r="CM5" s="42"/>
      <c r="CN5" s="42"/>
      <c r="CO5" s="42"/>
      <c r="CP5" s="42"/>
      <c r="CQ5" s="43"/>
      <c r="CR5" s="44"/>
      <c r="CS5" s="44"/>
      <c r="CT5" s="44"/>
      <c r="CU5" s="46"/>
      <c r="CV5" s="47"/>
      <c r="CW5" s="17"/>
      <c r="CX5" s="17"/>
      <c r="CY5" s="26"/>
      <c r="CZ5" s="27"/>
      <c r="DA5" s="27"/>
      <c r="DB5" s="27"/>
      <c r="DC5" s="27"/>
      <c r="DD5" s="27"/>
      <c r="DE5" s="27"/>
      <c r="DF5" s="28"/>
      <c r="DG5" s="48"/>
      <c r="DH5" s="49"/>
      <c r="DI5" s="49"/>
      <c r="DJ5" s="49"/>
      <c r="DK5" s="49"/>
      <c r="DL5" s="50"/>
      <c r="DM5" s="17"/>
    </row>
    <row r="6" customFormat="false" ht="76.5" hidden="false" customHeight="true" outlineLevel="0" collapsed="false">
      <c r="A6" s="9"/>
      <c r="B6" s="60" t="str">
        <f aca="false">"Last Updated: "&amp;TEXT('Info.'!B2, "mm/dd/yyyy")&amp;" (v"&amp;'Info.'!B3&amp;")
Direct all questions to scoresheets@soinc.org."</f>
        <v>Last Updated: 09/26/2026 (v0.1.0)
Direct all questions to scoresheets@soinc.org.</v>
      </c>
      <c r="C6" s="60"/>
      <c r="D6" s="60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8"/>
      <c r="BI6" s="38"/>
      <c r="BJ6" s="55"/>
      <c r="BK6" s="56"/>
      <c r="BL6" s="56"/>
      <c r="BM6" s="56"/>
      <c r="BN6" s="56"/>
      <c r="BO6" s="56"/>
      <c r="BP6" s="58"/>
      <c r="BQ6" s="17" t="s">
        <v>60</v>
      </c>
      <c r="BR6" s="17"/>
      <c r="BS6" s="61"/>
      <c r="BT6" s="17"/>
      <c r="BU6" s="17"/>
      <c r="BV6" s="17"/>
      <c r="BW6" s="1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22"/>
      <c r="CJ6" s="39"/>
      <c r="CK6" s="40"/>
      <c r="CL6" s="41"/>
      <c r="CM6" s="42"/>
      <c r="CN6" s="42"/>
      <c r="CO6" s="42"/>
      <c r="CP6" s="42"/>
      <c r="CQ6" s="43"/>
      <c r="CR6" s="44"/>
      <c r="CS6" s="44"/>
      <c r="CT6" s="44"/>
      <c r="CU6" s="46"/>
      <c r="CV6" s="47"/>
      <c r="CW6" s="17"/>
      <c r="CX6" s="17"/>
      <c r="CY6" s="26"/>
      <c r="CZ6" s="27"/>
      <c r="DA6" s="27"/>
      <c r="DB6" s="27"/>
      <c r="DC6" s="27"/>
      <c r="DD6" s="27"/>
      <c r="DE6" s="27"/>
      <c r="DF6" s="28"/>
      <c r="DG6" s="48"/>
      <c r="DH6" s="49"/>
      <c r="DI6" s="49"/>
      <c r="DJ6" s="49"/>
      <c r="DK6" s="49"/>
      <c r="DL6" s="50"/>
      <c r="DM6" s="17"/>
    </row>
    <row r="7" customFormat="false" ht="26.1" hidden="false" customHeight="true" outlineLevel="0" collapsed="false">
      <c r="A7" s="62"/>
      <c r="B7" s="63" t="s">
        <v>61</v>
      </c>
      <c r="C7" s="63"/>
      <c r="D7" s="64" t="n">
        <v>10.5</v>
      </c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8"/>
      <c r="BI7" s="38"/>
      <c r="BJ7" s="55"/>
      <c r="BK7" s="56"/>
      <c r="BL7" s="56"/>
      <c r="BM7" s="56"/>
      <c r="BN7" s="56"/>
      <c r="BO7" s="56"/>
      <c r="BP7" s="58"/>
      <c r="BQ7" s="66"/>
      <c r="BR7" s="66"/>
      <c r="BS7" s="67"/>
      <c r="BT7" s="66"/>
      <c r="BU7" s="66"/>
      <c r="BV7" s="66"/>
      <c r="BW7" s="66"/>
      <c r="BX7" s="68"/>
      <c r="BY7" s="34" t="s">
        <v>62</v>
      </c>
      <c r="BZ7" s="34"/>
      <c r="CA7" s="34"/>
      <c r="CB7" s="34"/>
      <c r="CC7" s="34"/>
      <c r="CD7" s="34"/>
      <c r="CE7" s="34"/>
      <c r="CF7" s="34"/>
      <c r="CG7" s="68"/>
      <c r="CH7" s="68"/>
      <c r="CI7" s="66"/>
      <c r="CJ7" s="39"/>
      <c r="CK7" s="40"/>
      <c r="CL7" s="41"/>
      <c r="CM7" s="42"/>
      <c r="CN7" s="42"/>
      <c r="CO7" s="42"/>
      <c r="CP7" s="42"/>
      <c r="CQ7" s="43"/>
      <c r="CR7" s="44"/>
      <c r="CS7" s="44"/>
      <c r="CT7" s="44"/>
      <c r="CU7" s="46"/>
      <c r="CV7" s="47"/>
      <c r="CW7" s="66"/>
      <c r="CX7" s="66"/>
      <c r="CY7" s="26"/>
      <c r="CZ7" s="27"/>
      <c r="DA7" s="27"/>
      <c r="DB7" s="27"/>
      <c r="DC7" s="27"/>
      <c r="DD7" s="27"/>
      <c r="DE7" s="27"/>
      <c r="DF7" s="28"/>
      <c r="DG7" s="48"/>
      <c r="DH7" s="49"/>
      <c r="DI7" s="49"/>
      <c r="DJ7" s="49"/>
      <c r="DK7" s="49"/>
      <c r="DL7" s="50"/>
      <c r="DM7" s="66"/>
    </row>
    <row r="8" customFormat="false" ht="15.75" hidden="false" customHeight="false" outlineLevel="0" collapsed="false">
      <c r="A8" s="9"/>
      <c r="B8" s="69" t="s">
        <v>34</v>
      </c>
      <c r="C8" s="70" t="s">
        <v>35</v>
      </c>
      <c r="D8" s="71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2" t="s">
        <v>63</v>
      </c>
      <c r="Z8" s="73" t="s">
        <v>64</v>
      </c>
      <c r="AA8" s="15"/>
      <c r="AB8" s="74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8"/>
      <c r="BI8" s="38"/>
      <c r="BJ8" s="55"/>
      <c r="BK8" s="56"/>
      <c r="BL8" s="56"/>
      <c r="BM8" s="56"/>
      <c r="BN8" s="56"/>
      <c r="BO8" s="56"/>
      <c r="BP8" s="58"/>
      <c r="BQ8" s="61" t="s">
        <v>65</v>
      </c>
      <c r="BR8" s="61" t="s">
        <v>66</v>
      </c>
      <c r="BS8" s="61" t="s">
        <v>30</v>
      </c>
      <c r="BT8" s="61" t="s">
        <v>67</v>
      </c>
      <c r="BU8" s="61" t="s">
        <v>68</v>
      </c>
      <c r="BV8" s="61" t="s">
        <v>69</v>
      </c>
      <c r="BW8" s="61" t="s">
        <v>24</v>
      </c>
      <c r="BX8" s="61" t="s">
        <v>32</v>
      </c>
      <c r="BY8" s="61" t="s">
        <v>70</v>
      </c>
      <c r="BZ8" s="61" t="s">
        <v>71</v>
      </c>
      <c r="CA8" s="61" t="s">
        <v>72</v>
      </c>
      <c r="CB8" s="61" t="s">
        <v>73</v>
      </c>
      <c r="CC8" s="61" t="s">
        <v>74</v>
      </c>
      <c r="CD8" s="61" t="s">
        <v>75</v>
      </c>
      <c r="CE8" s="61" t="s">
        <v>76</v>
      </c>
      <c r="CF8" s="61" t="s">
        <v>77</v>
      </c>
      <c r="CG8" s="61" t="s">
        <v>78</v>
      </c>
      <c r="CH8" s="61" t="s">
        <v>79</v>
      </c>
      <c r="CI8" s="75"/>
      <c r="CJ8" s="39"/>
      <c r="CK8" s="76" t="s">
        <v>80</v>
      </c>
      <c r="CL8" s="41"/>
      <c r="CM8" s="42"/>
      <c r="CN8" s="42"/>
      <c r="CO8" s="42"/>
      <c r="CP8" s="42"/>
      <c r="CQ8" s="43"/>
      <c r="CR8" s="44"/>
      <c r="CS8" s="44"/>
      <c r="CT8" s="44"/>
      <c r="CU8" s="46"/>
      <c r="CV8" s="47"/>
      <c r="CW8" s="17" t="n">
        <f aca="false">SUM($CW$9:$CW$508)</f>
        <v>1</v>
      </c>
      <c r="CX8" s="17"/>
      <c r="CY8" s="26"/>
      <c r="CZ8" s="27"/>
      <c r="DA8" s="27"/>
      <c r="DB8" s="27"/>
      <c r="DC8" s="27"/>
      <c r="DD8" s="27"/>
      <c r="DE8" s="27"/>
      <c r="DF8" s="28"/>
      <c r="DG8" s="48"/>
      <c r="DH8" s="49"/>
      <c r="DI8" s="49"/>
      <c r="DJ8" s="49"/>
      <c r="DK8" s="49"/>
      <c r="DL8" s="50"/>
      <c r="DM8" s="17"/>
    </row>
    <row r="9" customFormat="false" ht="15.75" hidden="false" customHeight="false" outlineLevel="0" collapsed="false">
      <c r="A9" s="9"/>
      <c r="B9" s="77"/>
      <c r="C9" s="78" t="s">
        <v>81</v>
      </c>
      <c r="D9" s="79"/>
      <c r="E9" s="80" t="s">
        <v>82</v>
      </c>
      <c r="F9" s="81"/>
      <c r="G9" s="82" t="s">
        <v>83</v>
      </c>
      <c r="H9" s="82" t="n">
        <v>23</v>
      </c>
      <c r="I9" s="83"/>
      <c r="J9" s="84"/>
      <c r="K9" s="85" t="s">
        <v>84</v>
      </c>
      <c r="L9" s="86" t="n">
        <v>11.5</v>
      </c>
      <c r="M9" s="87" t="n">
        <v>23</v>
      </c>
      <c r="N9" s="84" t="s">
        <v>85</v>
      </c>
      <c r="O9" s="84" t="n">
        <v>23</v>
      </c>
      <c r="P9" s="80"/>
      <c r="Q9" s="84"/>
      <c r="R9" s="84"/>
      <c r="S9" s="85"/>
      <c r="T9" s="85"/>
      <c r="U9" s="87"/>
      <c r="V9" s="88"/>
      <c r="W9" s="88"/>
      <c r="X9" s="80"/>
      <c r="Y9" s="89"/>
      <c r="Z9" s="90"/>
      <c r="AA9" s="89"/>
      <c r="AB9" s="91"/>
      <c r="AC9" s="92"/>
      <c r="AD9" s="92" t="n">
        <f aca="false">IF(ISNUMBER($D$7),$D$7,"")</f>
        <v>10.5</v>
      </c>
      <c r="AE9" s="92" t="b">
        <f aca="false">IF(ISBLANK($D$7), "",
IF(NOT(ISNUMBER($D$7)),
  FALSE(),
IF($D$7&lt;Constants!$B$34,
  FALSE(),
IF($D$7&gt;Constants!$B$35,
  FALSE(),
  MOD($D$7,Constants!$B$36)=0
))))</f>
        <v>1</v>
      </c>
      <c r="AF9" s="92" t="b">
        <f aca="false">IF(ISBLANK($C9),"",IF(E9=Constants!$B$3,TRUE(),IF(E9=Constants!$B$4,FALSE(),TRUE())))</f>
        <v>1</v>
      </c>
      <c r="AG9" s="92" t="b">
        <f aca="false">IF(ISBLANK($C9),"",IF(F9=Constants!$B$3,TRUE(),IF(F9=Constants!$B$4,FALSE(),TRUE())))</f>
        <v>1</v>
      </c>
      <c r="AH9" s="92" t="b">
        <f aca="false">IF(ISBLANK($C9),"",IF(G9=Constants!$B$3,TRUE(),IF(G9=Constants!$B$4,FALSE(),TRUE())))</f>
        <v>0</v>
      </c>
      <c r="AI9" s="93" t="n">
        <f aca="false">IF(ISBLANK($C9),"",IF(AND(ISNUMBER(H9),H9&gt;=0),H9,Constants!$B$29))</f>
        <v>23</v>
      </c>
      <c r="AJ9" s="92" t="b">
        <f aca="false">IF(ISBLANK($C9),"",IF(I9=Constants!$B$3,TRUE(),IF(I9=Constants!$B$4,FALSE(),TRUE())))</f>
        <v>1</v>
      </c>
      <c r="AK9" s="92" t="b">
        <f aca="false">IF(ISBLANK($C9),"",IF(J9=Constants!$B$3,TRUE(),IF(J9=Constants!$B$4,FALSE(),TRUE())))</f>
        <v>1</v>
      </c>
      <c r="AL9" s="92" t="b">
        <f aca="false">IF(ISBLANK($C9),"",IF(K9=Constants!$B$5,TRUE(),IF(K9=Constants!$B$6,FALSE(),COUNTA(L9:P9)&gt;0)))</f>
        <v>1</v>
      </c>
      <c r="AM9" s="94" t="n">
        <f aca="false">IF(ISBLANK($C9),"",IF(ISNUMBER(L9),IF(L9&gt;=0,L9,""),""))</f>
        <v>11.5</v>
      </c>
      <c r="AN9" s="93" t="n">
        <f aca="false">IF(ISBLANK($C9),"",IF(ISNUMBER(M9),IF(M9&gt;=0,M9,""),""))</f>
        <v>23</v>
      </c>
      <c r="AO9" s="93" t="n">
        <f aca="false">IF(ISBLANK($C9),"",IF(N9=Constants!$B$3,TRUE(),IF(N9=Constants!$B$4,FALSE(),TRUE())))</f>
        <v>1</v>
      </c>
      <c r="AP9" s="95" t="n">
        <f aca="false">IF(ISBLANK($C9),"",IF(ISNUMBER(O9),IF(O9&gt;=0,O9,""),""))</f>
        <v>23</v>
      </c>
      <c r="AQ9" s="92" t="b">
        <f aca="false">IF(ISBLANK($C9),"",IF(P9=Constants!$B$3,TRUE(),IF(P9=Constants!$B$4,FALSE(),FALSE())))</f>
        <v>0</v>
      </c>
      <c r="AR9" s="92" t="b">
        <f aca="false">IF(ISBLANK($C9),"",IF(Q9=Constants!$B$3,TRUE(),IF(Q9=Constants!$B$4,FALSE(),TRUE())))</f>
        <v>1</v>
      </c>
      <c r="AS9" s="92" t="b">
        <f aca="false">IF(ISBLANK($C9),"",IF(R9=Constants!$B$3,TRUE(),IF(R9=Constants!$B$4,FALSE(),TRUE())))</f>
        <v>1</v>
      </c>
      <c r="AT9" s="92" t="b">
        <f aca="false">IF(ISBLANK($C9),"",IF(S9=Constants!$B$5,TRUE(),IF(S9=Constants!$B$6,FALSE(),COUNTA(T9:X9)&gt;0)))</f>
        <v>0</v>
      </c>
      <c r="AU9" s="94" t="str">
        <f aca="false">IF(ISBLANK($C9),"",IF(ISNUMBER(T9),IF(T9&gt;=0,T9,""),""))</f>
        <v/>
      </c>
      <c r="AV9" s="93" t="str">
        <f aca="false">IF(ISBLANK($C9),"",IF(ISNUMBER(U9),IF(U9&gt;=0,U9,""),""))</f>
        <v/>
      </c>
      <c r="AW9" s="93" t="n">
        <f aca="false">IF(ISBLANK($C9),"",IF(V9=Constants!$B$3,TRUE(),IF(V9=Constants!$B$4,FALSE(),TRUE())))</f>
        <v>1</v>
      </c>
      <c r="AX9" s="92" t="str">
        <f aca="false">IF(ISBLANK($C9),"",IF(ISNUMBER(W9),IF(W9&gt;=0,W9,""),""))</f>
        <v/>
      </c>
      <c r="AY9" s="92" t="b">
        <f aca="false">IF(ISBLANK($C9),"",IF(X9=Constants!$B$3,TRUE(),IF(X9=Constants!$B$4,FALSE(),FALSE())))</f>
        <v>0</v>
      </c>
      <c r="AZ9" s="92" t="n">
        <f aca="false">IF(ISBLANK($C9),"",MIN(Constants!$B$31,MAX(0,IF(ISNUMBER(Y9),Y9*60,0)+IF(ISNUMBER(Z9),Z9,0))))</f>
        <v>0</v>
      </c>
      <c r="BA9" s="92" t="b">
        <f aca="false">IF(ISBLANK($C9),"",IF(AA9=Constants!$B$3,TRUE(),IF(AA9=Constants!$B$4,FALSE(),FALSE())))</f>
        <v>0</v>
      </c>
      <c r="BB9" s="91" t="b">
        <f aca="false">IF(ISBLANK($C9),"",AND($AL9,OR($AM9="",$AN9="",AND($AO9,$AP9=""))))</f>
        <v>0</v>
      </c>
      <c r="BC9" s="93" t="n">
        <f aca="false">IF($BR9&lt;&gt;Constants!$B$8,"",IF($AL9,Constants!$B$21*$AN9+Constants!$B$22*IF($AO9,$AP9,Constants!$B$23),Constants!$B$24))</f>
        <v>69</v>
      </c>
      <c r="BD9" s="96" t="n">
        <f aca="false">IF($BR9&lt;&gt;Constants!$B$8,"",Constants!$B$25*ABS($AD$9-IF($AL9,$AM9,0)))</f>
        <v>0.5</v>
      </c>
      <c r="BE9" s="96" t="n">
        <f aca="false">IF($BR9&lt;&gt;Constants!$B$8,"",IF(AND($AL9,$AQ9,$AO9),Constants!$B$27,0))</f>
        <v>0</v>
      </c>
      <c r="BF9" s="96" t="n">
        <f aca="false">IF($BR9&lt;&gt;Constants!$B$8,"",IF($AL9,($AI9-Constants!$B$29)*Constants!$B$28,0))</f>
        <v>-18</v>
      </c>
      <c r="BG9" s="96" t="n">
        <f aca="false">IF($BR9&lt;&gt;Constants!$B$8,"",IF($AK9,0,Constants!$B$15)+IF($AJ9,0,Constants!$B$16)+IF($AH9,0,Constants!$B$17))</f>
        <v>50</v>
      </c>
      <c r="BH9" s="97" t="n">
        <f aca="false">IF($BR9&lt;&gt;Constants!$B$8,"",Constants!$B$20+SUM($BC9:$BG9))</f>
        <v>201.5</v>
      </c>
      <c r="BI9" s="92" t="str">
        <f aca="false">IF($BR9&lt;&gt;Constants!$B$8,"",IF(OR($BP9&lt;$BH9,AND($BP9=$BH9,OR($BK9&lt;$BC9,AND($BK9=$BC9,OR($BL9&lt;$BD9,AND($BL9=$BD9,$AT9,$AL9,$AV9&lt;$AN9)))))),"-&gt;","&lt;-"))</f>
        <v>&lt;-</v>
      </c>
      <c r="BJ9" s="91" t="b">
        <f aca="false">IF(ISBLANK($C9),"",AND($AT9,OR($AU9="",$AV9="",AND($AW9,$AX9=""))))</f>
        <v>0</v>
      </c>
      <c r="BK9" s="93" t="n">
        <f aca="false">IF($BR9&lt;&gt;Constants!$B$8,"",IF($AT9,Constants!$B$21*$AV9+Constants!$B$22*IF($AW9,$AX9,Constants!$B$23),Constants!$B$24))</f>
        <v>2500</v>
      </c>
      <c r="BL9" s="96" t="n">
        <f aca="false">IF($BR9&lt;&gt;Constants!$B$8,"",Constants!$B$25*ABS($AD$9-IF($AT9,$AU9,0)))</f>
        <v>5.25</v>
      </c>
      <c r="BM9" s="96" t="n">
        <f aca="false">IF($BR9&lt;&gt;Constants!$B$8,"",IF(AND($AT9,$AY9,$AW9),Constants!$B$27,0))</f>
        <v>0</v>
      </c>
      <c r="BN9" s="96" t="n">
        <f aca="false">IF($BR9&lt;&gt;Constants!$B$8,"",IF($AT9,($AI9-Constants!$B$29)*Constants!$B$28,0))</f>
        <v>0</v>
      </c>
      <c r="BO9" s="96" t="n">
        <f aca="false">IF($BR9&lt;&gt;Constants!$B$8,"",IF($AS9,0,Constants!$B$15)+IF($AR9,0,Constants!$B$16)+IF($AH9,0,Constants!$B$17))</f>
        <v>50</v>
      </c>
      <c r="BP9" s="97" t="n">
        <f aca="false">IF($BR9&lt;&gt;Constants!$B$8,"",Constants!$B$20+SUM($BK9:$BO9))</f>
        <v>2655.25</v>
      </c>
      <c r="BQ9" s="92" t="str">
        <f aca="false">IF(ISBLANK($C9),"",IF(ISBLANK($D$7),$BQ$5,IF(NOT(ISNUMBER($D$7)),$BQ$6,"")))</f>
        <v/>
      </c>
      <c r="BR9" s="92" t="str">
        <f aca="false">IF(ISBLANK($C9),"",IF($BA9,Constants!$B$11,IF(COUNTA($E9:$AA9)=0,Constants!$B$10,IF(NOT($AG9),Constants!$B$9,IF(OR($BQ9&lt;&gt;"",$BB9,$BJ9),Constants!$B$12,Constants!$B$8)))))</f>
        <v>C</v>
      </c>
      <c r="BS9" s="92" t="n">
        <f aca="false">IF(ISBLANK($C9),"",IF($BR9&lt;&gt;Constants!$B$8,$BR9,Constants!$B$13))</f>
        <v>1</v>
      </c>
      <c r="BT9" s="96" t="n">
        <f aca="false">IF($BR9&lt;&gt;Constants!$B$8,"",IF($BI9="-&gt;",$BP9,$BH9))</f>
        <v>201.5</v>
      </c>
      <c r="BU9" s="96" t="n">
        <f aca="false">IF($BR9&lt;&gt;Constants!$B$8,"",IF($AF9,0,Constants!$B$18))</f>
        <v>0</v>
      </c>
      <c r="BV9" s="96" t="n">
        <f aca="false">IF($BR9&lt;&gt;Constants!$B$8,"",((Constants!$B$31-$AZ9)-Constants!$B$31)/Constants!$B$32)</f>
        <v>0</v>
      </c>
      <c r="BW9" s="96" t="n">
        <f aca="false">IF(ISBLANK($C9),"",IF($BR9&lt;&gt;Constants!$B$8,$BR9,SUM($BT9:$BV9)))</f>
        <v>201.5</v>
      </c>
      <c r="BX9" s="92" t="n">
        <f aca="false">IF(ISBLANK($C9),"",IF($BR9&lt;&gt;Constants!$B$8,$BR9,RANK($BW9,$BW$9:$BW$508,1)))</f>
        <v>1</v>
      </c>
      <c r="BY9" s="96" t="n">
        <f aca="false">IF($BR9&lt;&gt;Constants!$B$8,"",IF($BI9="-&gt;",$BK9,$BC9))</f>
        <v>69</v>
      </c>
      <c r="BZ9" s="92" t="n">
        <f aca="false">IF(ISBLANK($C9),"",IF($BR9&lt;&gt;Constants!$B$8,$BR9,IF(ISNUMBER($BY9),RANK($BY9,$BY$9:$BY$508,1),COUNT($BY$9:$BY$508)+1)))</f>
        <v>1</v>
      </c>
      <c r="CA9" s="96" t="n">
        <f aca="false">IF($BR9&lt;&gt;Constants!$B$8,"",IF($BI9="-&gt;",$BL9,$BD9))</f>
        <v>0.5</v>
      </c>
      <c r="CB9" s="92" t="n">
        <f aca="false">IF(ISBLANK($C9),"",IF($BR9&lt;&gt;Constants!$B$8,$BR9,IF(ISNUMBER($CA9),RANK($CA9,$CA$9:$CA$508,1),COUNT($CA$9:$CA$508)+1)))</f>
        <v>1</v>
      </c>
      <c r="CC9" s="96" t="n">
        <f aca="false">IF($BR9&lt;&gt;Constants!$B$8,"",IF($BI9="-&gt;",IF($AT9,$AV9,""),IF($AL9,$AN9,"")))</f>
        <v>23</v>
      </c>
      <c r="CD9" s="92" t="n">
        <f aca="false">IF(ISBLANK($C9),"",IF($BR9&lt;&gt;Constants!$B$8,$BR9,IF(ISNUMBER($CC9),RANK($CC9,$CC$9:$CC$508,1),COUNT($CC$9:$CC$508)+1)))</f>
        <v>1</v>
      </c>
      <c r="CE9" s="96" t="n">
        <f aca="false">IF($BR9&lt;&gt;Constants!$B$8,"",IF(AND(NOT($AL9),NOT($AT9),$AJ9,$AK9,$AR9,$AS9),"",$AI9))</f>
        <v>23</v>
      </c>
      <c r="CF9" s="92" t="n">
        <f aca="false">IF(ISBLANK($C9),"",IF($BR9&lt;&gt;Constants!$B$8,$BR9,IF(ISNUMBER($CE9),RANK($CE9,$CE$9:$CE$508,1),COUNT($CE$9:$CE$508)+1)))</f>
        <v>1</v>
      </c>
      <c r="CG9" s="92" t="n">
        <f aca="false">IF(ISBLANK($C9),"",IF($BR9&lt;&gt;Constants!$B$8,$BR9,COUNTIFS($BX$9:$BX$508,"&lt;"&amp;$BX9)+COUNTIFS($BX$9:$BX$508,$BX9,$BZ$9:$BZ$508,"&lt;"&amp;$BZ9)+COUNTIFS($BX$9:$BX$508,$BX9,$BZ$9:$BZ$508,$BZ9,$CB$9:$CB$508,"&lt;"&amp;$CB9)+COUNTIFS($BX$9:$BX$508,$BX9,$BZ$9:$BZ$508,$BZ9,$CB$9:$CB$508,$CB9,$CD$9:$CD$508,"&lt;"&amp;$CD9)+COUNTIFS($BX$9:$BX$508,$BX9,$BZ$9:$BZ$508,$BZ9,$CB$9:$CB$508,$CB9,$CD$9:$CD$508,$CD9,$CF$9:$CF$508,"&lt;"&amp;$CF9)+1))</f>
        <v>1</v>
      </c>
      <c r="CH9" s="92" t="n">
        <f aca="false">IF(ISBLANK($C9),"",IF($BR9&lt;&gt;Constants!$B$8,$BR9,$BX9-$CG9))</f>
        <v>0</v>
      </c>
      <c r="CI9" s="98"/>
      <c r="CJ9" s="99"/>
      <c r="CK9" s="100" t="str">
        <f aca="false">IF(ISBLANK($C9),"",IF($BR9=Constants!$B$12,$BQ9,""))</f>
        <v/>
      </c>
      <c r="CL9" s="99" t="n">
        <f aca="false">IF(ISBLANK($C9),"",IF($BR9&lt;&gt;Constants!$B$8,"",IF($BI9="-&gt;",2,1)))</f>
        <v>1</v>
      </c>
      <c r="CM9" s="101" t="n">
        <f aca="false">IF(ISBLANK($C9),"",IF($BR9&lt;&gt;Constants!$B$8,"",IF($BI9="-&gt;",$BK9,$BC9)))</f>
        <v>69</v>
      </c>
      <c r="CN9" s="101" t="n">
        <f aca="false">IF(ISBLANK($C9),"",IF($BR9&lt;&gt;Constants!$B$8,"",IF($BI9="-&gt;",$BL9,$BD9)))</f>
        <v>0.5</v>
      </c>
      <c r="CO9" s="101" t="n">
        <f aca="false">IF(ISBLANK($C9),"",IF($BR9&lt;&gt;Constants!$B$8,"",IF($BI9="-&gt;",$BM9+$BN9,$BE9+$BF9)+$BV9))</f>
        <v>-18</v>
      </c>
      <c r="CP9" s="101" t="n">
        <f aca="false">IF(ISBLANK($C9),"",IF($BR9&lt;&gt;Constants!$B$8,"",IF($BI9="-&gt;",$BO9,$BG9)+$BU9))</f>
        <v>50</v>
      </c>
      <c r="CQ9" s="102" t="n">
        <f aca="false">IF(ISBLANK($C9),"",IF($BR9&lt;&gt;Constants!$B$8,$BR9,$BW9))</f>
        <v>201.5</v>
      </c>
      <c r="CR9" s="103" t="n">
        <f aca="false">IF(ISBLANK($C9),"",$BS9)</f>
        <v>1</v>
      </c>
      <c r="CS9" s="104" t="n">
        <f aca="false">IF(ISBLANK($C9),"",$CH9)</f>
        <v>0</v>
      </c>
      <c r="CT9" s="104" t="n">
        <f aca="false">IF(ISBLANK($C9),"",$CG9)</f>
        <v>1</v>
      </c>
      <c r="CU9" s="105" t="n">
        <f aca="false">IF(ISBLANK($C9),"",IFERROR(_xlfn.SWITCH($CT9,Constants!$B$11,COUNTA($C$9:$C$508)+2,Constants!$B$10,COUNTA($C$9:$C$508)+1,Constants!$B$9,COUNTA($C$9:$C$508)),$CT9))</f>
        <v>1</v>
      </c>
      <c r="CV9" s="9"/>
      <c r="CW9" s="106" t="n">
        <f aca="false">IF(OR(ISNUMBER($CT9),$CT9=Constants!$B$11,$CT9=Constants!$B$9,$CT9=Constants!$B$10),1,0)</f>
        <v>1</v>
      </c>
      <c r="CX9" s="106" t="n">
        <v>1</v>
      </c>
      <c r="CY9" s="106" t="n">
        <f aca="false">IF(ISBLANK($C9),"",IF(ISNUMBER($CU9),$CU9+ROW($B9)/1000,""))</f>
        <v>1.009</v>
      </c>
      <c r="CZ9" s="106" t="n">
        <f aca="false">IF(ISNUMBER($CY9),RANK($CY9,$CY$9:$CY$508,1),"")</f>
        <v>1</v>
      </c>
      <c r="DA9" s="106" t="n">
        <f aca="false">IF(ISBLANK($C9),"",$B9)</f>
        <v>0</v>
      </c>
      <c r="DB9" s="106" t="str">
        <f aca="false">IF(ISBLANK($C9),"",$C9)</f>
        <v>c</v>
      </c>
      <c r="DC9" s="106" t="n">
        <f aca="false">IF(ISBLANK($C9),"",$D9)</f>
        <v>0</v>
      </c>
      <c r="DD9" s="107" t="n">
        <f aca="false">$CR9</f>
        <v>1</v>
      </c>
      <c r="DE9" s="108" t="n">
        <f aca="false">$CQ9</f>
        <v>201.5</v>
      </c>
      <c r="DF9" s="106" t="n">
        <f aca="false">IF(ISBLANK($C9),"",$CT9)</f>
        <v>1</v>
      </c>
      <c r="DG9" s="109" t="n">
        <f aca="false">IF($CX9&gt;$CW$8,"",VLOOKUP($CX9,$CZ$9:$DF$508,7,FALSE()))</f>
        <v>1</v>
      </c>
      <c r="DH9" s="110" t="n">
        <f aca="false">IF($CX9&gt;$CW$8,"",VLOOKUP($CX9,$CZ$9:$DF$508,2,FALSE()))</f>
        <v>0</v>
      </c>
      <c r="DI9" s="110" t="str">
        <f aca="false">IF($CX9&gt;$CW$8,"",VLOOKUP($CX9,$CZ$9:$DF$508,3,FALSE()))</f>
        <v>c</v>
      </c>
      <c r="DJ9" s="110" t="n">
        <f aca="false">IF($CX9&gt;$CW$8,"",VLOOKUP($CX9,$CZ$9:$DF$508,4,FALSE()))</f>
        <v>0</v>
      </c>
      <c r="DK9" s="110" t="n">
        <f aca="false">IF($CX9&gt;$CW$8,"",VLOOKUP($CX9,$CZ$9:$DF$508,5,FALSE()))</f>
        <v>1</v>
      </c>
      <c r="DL9" s="111" t="n">
        <f aca="false">IF($CX9&gt;$CW$8,"",VLOOKUP($CX9,$CZ$9:$DF$508,6,FALSE()))</f>
        <v>201.5</v>
      </c>
      <c r="DM9" s="75"/>
    </row>
    <row r="10" customFormat="false" ht="15.75" hidden="false" customHeight="false" outlineLevel="0" collapsed="false">
      <c r="A10" s="9"/>
      <c r="B10" s="112"/>
      <c r="C10" s="113"/>
      <c r="D10" s="79"/>
      <c r="E10" s="80"/>
      <c r="F10" s="114"/>
      <c r="G10" s="115"/>
      <c r="H10" s="115"/>
      <c r="I10" s="83"/>
      <c r="J10" s="84"/>
      <c r="K10" s="85"/>
      <c r="L10" s="86"/>
      <c r="M10" s="87"/>
      <c r="N10" s="84"/>
      <c r="O10" s="84"/>
      <c r="P10" s="80"/>
      <c r="Q10" s="84"/>
      <c r="R10" s="84"/>
      <c r="S10" s="85"/>
      <c r="T10" s="85"/>
      <c r="U10" s="87"/>
      <c r="V10" s="84"/>
      <c r="W10" s="84"/>
      <c r="X10" s="80"/>
      <c r="Y10" s="116"/>
      <c r="Z10" s="117"/>
      <c r="AA10" s="116"/>
      <c r="AB10" s="91"/>
      <c r="AC10" s="92"/>
      <c r="AD10" s="92"/>
      <c r="AE10" s="92"/>
      <c r="AF10" s="92" t="str">
        <f aca="false">IF(ISBLANK($C10),"",IF(E10=Constants!$B$3,TRUE(),IF(E10=Constants!$B$4,FALSE(),TRUE())))</f>
        <v/>
      </c>
      <c r="AG10" s="92" t="str">
        <f aca="false">IF(ISBLANK($C10),"",IF(F10=Constants!$B$3,TRUE(),IF(F10=Constants!$B$4,FALSE(),TRUE())))</f>
        <v/>
      </c>
      <c r="AH10" s="92" t="str">
        <f aca="false">IF(ISBLANK($C10),"",IF(G10=Constants!$B$3,TRUE(),IF(G10=Constants!$B$4,FALSE(),TRUE())))</f>
        <v/>
      </c>
      <c r="AI10" s="92" t="str">
        <f aca="false">IF(ISBLANK($C10),"",IF(AND(ISNUMBER(H10),H10&gt;=0),H10,Constants!$B$29))</f>
        <v/>
      </c>
      <c r="AJ10" s="92" t="str">
        <f aca="false">IF(ISBLANK($C10),"",IF(I10=Constants!$B$3,TRUE(),IF(I10=Constants!$B$4,FALSE(),TRUE())))</f>
        <v/>
      </c>
      <c r="AK10" s="92" t="str">
        <f aca="false">IF(ISBLANK($C10),"",IF(J10=Constants!$B$3,TRUE(),IF(J10=Constants!$B$4,FALSE(),TRUE())))</f>
        <v/>
      </c>
      <c r="AL10" s="92" t="str">
        <f aca="false">IF(ISBLANK($C10),"",IF(K10=Constants!$B$5,TRUE(),IF(K10=Constants!$B$6,FALSE(),COUNTA(L10:P10)&gt;0)))</f>
        <v/>
      </c>
      <c r="AM10" s="94" t="str">
        <f aca="false">IF(ISBLANK($C10),"",IF(ISNUMBER(L10),IF(L10&gt;=0,L10,""),""))</f>
        <v/>
      </c>
      <c r="AN10" s="93" t="str">
        <f aca="false">IF(ISBLANK($C10),"",IF(ISNUMBER(M10),IF(M10&gt;=0,M10,""),""))</f>
        <v/>
      </c>
      <c r="AO10" s="93" t="str">
        <f aca="false">IF(ISBLANK($C10),"",IF(N10=Constants!$B$3,TRUE(),IF(N10=Constants!$B$4,FALSE(),TRUE())))</f>
        <v/>
      </c>
      <c r="AP10" s="92" t="str">
        <f aca="false">IF(ISBLANK($C10),"",IF(ISNUMBER(O10),IF(O10&gt;=0,O10,""),""))</f>
        <v/>
      </c>
      <c r="AQ10" s="92" t="str">
        <f aca="false">IF(ISBLANK($C10),"",IF(P10=Constants!$B$3,TRUE(),IF(P10=Constants!$B$4,FALSE(),FALSE())))</f>
        <v/>
      </c>
      <c r="AR10" s="92" t="str">
        <f aca="false">IF(ISBLANK($C10),"",IF(Q10=Constants!$B$3,TRUE(),IF(Q10=Constants!$B$4,FALSE(),TRUE())))</f>
        <v/>
      </c>
      <c r="AS10" s="92" t="str">
        <f aca="false">IF(ISBLANK($C10),"",IF(R10=Constants!$B$3,TRUE(),IF(R10=Constants!$B$4,FALSE(),TRUE())))</f>
        <v/>
      </c>
      <c r="AT10" s="92" t="str">
        <f aca="false">IF(ISBLANK($C10),"",IF(S10=Constants!$B$5,TRUE(),IF(S10=Constants!$B$6,FALSE(),COUNTA(T10:X10)&gt;0)))</f>
        <v/>
      </c>
      <c r="AU10" s="94" t="str">
        <f aca="false">IF(ISBLANK($C10),"",IF(ISNUMBER(T10),IF(T10&gt;=0,T10,""),""))</f>
        <v/>
      </c>
      <c r="AV10" s="93" t="str">
        <f aca="false">IF(ISBLANK($C10),"",IF(ISNUMBER(U10),IF(U10&gt;=0,U10,""),""))</f>
        <v/>
      </c>
      <c r="AW10" s="93" t="str">
        <f aca="false">IF(ISBLANK($C10),"",IF(V10=Constants!$B$3,TRUE(),IF(V10=Constants!$B$4,FALSE(),TRUE())))</f>
        <v/>
      </c>
      <c r="AX10" s="92" t="str">
        <f aca="false">IF(ISBLANK($C10),"",IF(ISNUMBER(W10),IF(W10&gt;=0,W10,""),""))</f>
        <v/>
      </c>
      <c r="AY10" s="92" t="str">
        <f aca="false">IF(ISBLANK($C10),"",IF(X10=Constants!$B$3,TRUE(),IF(X10=Constants!$B$4,FALSE(),FALSE())))</f>
        <v/>
      </c>
      <c r="AZ10" s="92" t="str">
        <f aca="false">IF(ISBLANK($C10),"",MIN(Constants!$B$31,MAX(0,IF(ISNUMBER(Y10),Y10*60,0)+IF(ISNUMBER(Z10),Z10,0))))</f>
        <v/>
      </c>
      <c r="BA10" s="92" t="str">
        <f aca="false">IF(ISBLANK($C10),"",IF(AA10=Constants!$B$3,TRUE(),IF(AA10=Constants!$B$4,FALSE(),FALSE())))</f>
        <v/>
      </c>
      <c r="BB10" s="91" t="str">
        <f aca="false">IF(ISBLANK($C10),"",AND($AL10,OR($AM10="",$AN10="",AND($AO10,$AP10=""))))</f>
        <v/>
      </c>
      <c r="BC10" s="93" t="str">
        <f aca="false">IF($BR10&lt;&gt;Constants!$B$8,"",IF($AL10,Constants!$B$21*$AN10+Constants!$B$22*IF($AO10,$AP10,Constants!$B$23),Constants!$B$24))</f>
        <v/>
      </c>
      <c r="BD10" s="96" t="str">
        <f aca="false">IF($BR10&lt;&gt;Constants!$B$8,"",Constants!$B$25*ABS($AD$9-IF($AL10,$AM10,0)))</f>
        <v/>
      </c>
      <c r="BE10" s="96" t="str">
        <f aca="false">IF($BR10&lt;&gt;Constants!$B$8,"",IF(AND($AL10,$AQ10,$AO10),Constants!$B$27,0))</f>
        <v/>
      </c>
      <c r="BF10" s="96" t="str">
        <f aca="false">IF($BR10&lt;&gt;Constants!$B$8,"",IF($AL10,($AI10-Constants!$B$29)*Constants!$B$28,0))</f>
        <v/>
      </c>
      <c r="BG10" s="96" t="str">
        <f aca="false">IF($BR10&lt;&gt;Constants!$B$8,"",IF($AK10,0,Constants!$B$15)+IF($AJ10,0,Constants!$B$16)+IF($AH10,0,Constants!$B$17))</f>
        <v/>
      </c>
      <c r="BH10" s="97" t="str">
        <f aca="false">IF($BR10&lt;&gt;Constants!$B$8,"",Constants!$B$20+SUM($BC10:$BG10))</f>
        <v/>
      </c>
      <c r="BI10" s="92" t="str">
        <f aca="false">IF($BR10&lt;&gt;Constants!$B$8,"",IF(OR($BP10&lt;$BH10,AND($BP10=$BH10,OR($BK10&lt;$BC10,AND($BK10=$BC10,OR($BL10&lt;$BD10,AND($BL10=$BD10,$AT10,$AL10,$AV10&lt;$AN10)))))),"-&gt;","&lt;-"))</f>
        <v/>
      </c>
      <c r="BJ10" s="91" t="str">
        <f aca="false">IF(ISBLANK($C10),"",AND($AT10,OR($AU10="",$AV10="",AND($AW10,$AX10=""))))</f>
        <v/>
      </c>
      <c r="BK10" s="93" t="str">
        <f aca="false">IF($BR10&lt;&gt;Constants!$B$8,"",IF($AT10,Constants!$B$21*$AV10+Constants!$B$22*IF($AW10,$AX10,Constants!$B$23),Constants!$B$24))</f>
        <v/>
      </c>
      <c r="BL10" s="96" t="str">
        <f aca="false">IF($BR10&lt;&gt;Constants!$B$8,"",Constants!$B$25*ABS($AD$9-IF($AT10,$AU10,0)))</f>
        <v/>
      </c>
      <c r="BM10" s="96" t="str">
        <f aca="false">IF($BR10&lt;&gt;Constants!$B$8,"",IF(AND($AT10,$AY10,$AW10),Constants!$B$27,0))</f>
        <v/>
      </c>
      <c r="BN10" s="96" t="str">
        <f aca="false">IF($BR10&lt;&gt;Constants!$B$8,"",IF($AT10,($AI10-Constants!$B$29)*Constants!$B$28,0))</f>
        <v/>
      </c>
      <c r="BO10" s="96" t="str">
        <f aca="false">IF($BR10&lt;&gt;Constants!$B$8,"",IF($AS10,0,Constants!$B$15)+IF($AR10,0,Constants!$B$16)+IF($AH10,0,Constants!$B$17))</f>
        <v/>
      </c>
      <c r="BP10" s="97" t="str">
        <f aca="false">IF($BR10&lt;&gt;Constants!$B$8,"",Constants!$B$20+SUM($BK10:$BO10))</f>
        <v/>
      </c>
      <c r="BQ10" s="92" t="str">
        <f aca="false">IF(ISBLANK($C10),"",IF(ISBLANK($D$7),$BQ$5,IF(NOT(ISNUMBER($D$7)),$BQ$6,"")))</f>
        <v/>
      </c>
      <c r="BR10" s="92" t="str">
        <f aca="false">IF(ISBLANK($C10),"",IF($BA10,Constants!$B$11,IF(COUNTA($E10:$AA10)=0,Constants!$B$10,IF(NOT($AG10),Constants!$B$9,IF(OR($BQ10&lt;&gt;"",$BB10,$BJ10),Constants!$B$12,Constants!$B$8)))))</f>
        <v/>
      </c>
      <c r="BS10" s="92" t="str">
        <f aca="false">IF(ISBLANK($C10),"",IF($BR10&lt;&gt;Constants!$B$8,$BR10,Constants!$B$13))</f>
        <v/>
      </c>
      <c r="BT10" s="96" t="str">
        <f aca="false">IF($BR10&lt;&gt;Constants!$B$8,"",IF($BI10="-&gt;",$BP10,$BH10))</f>
        <v/>
      </c>
      <c r="BU10" s="96" t="str">
        <f aca="false">IF($BR10&lt;&gt;Constants!$B$8,"",IF($AF10,0,Constants!$B$18))</f>
        <v/>
      </c>
      <c r="BV10" s="96" t="str">
        <f aca="false">IF($BR10&lt;&gt;Constants!$B$8,"",((Constants!$B$31-$AZ10)-Constants!$B$31)/Constants!$B$32)</f>
        <v/>
      </c>
      <c r="BW10" s="96" t="str">
        <f aca="false">IF(ISBLANK($C10),"",IF($BR10&lt;&gt;Constants!$B$8,$BR10,SUM($BT10:$BV10)))</f>
        <v/>
      </c>
      <c r="BX10" s="92" t="str">
        <f aca="false">IF(ISBLANK($C10),"",IF($BR10&lt;&gt;Constants!$B$8,$BR10,RANK($BW10,$BW$9:$BW$508,1)))</f>
        <v/>
      </c>
      <c r="BY10" s="96" t="str">
        <f aca="false">IF($BR10&lt;&gt;Constants!$B$8,"",IF($BI10="-&gt;",$BK10,$BC10))</f>
        <v/>
      </c>
      <c r="BZ10" s="92" t="str">
        <f aca="false">IF(ISBLANK($C10),"",IF($BR10&lt;&gt;Constants!$B$8,$BR10,IF(ISNUMBER($BY10),RANK($BY10,$BY$9:$BY$508,1),COUNT($BY$9:$BY$508)+1)))</f>
        <v/>
      </c>
      <c r="CA10" s="96" t="str">
        <f aca="false">IF($BR10&lt;&gt;Constants!$B$8,"",IF($BI10="-&gt;",$BL10,$BD10))</f>
        <v/>
      </c>
      <c r="CB10" s="92" t="str">
        <f aca="false">IF(ISBLANK($C10),"",IF($BR10&lt;&gt;Constants!$B$8,$BR10,IF(ISNUMBER($CA10),RANK($CA10,$CA$9:$CA$508,1),COUNT($CA$9:$CA$508)+1)))</f>
        <v/>
      </c>
      <c r="CC10" s="96" t="str">
        <f aca="false">IF($BR10&lt;&gt;Constants!$B$8,"",IF($BI10="-&gt;",IF($AT10,$AV10,""),IF($AL10,$AN10,"")))</f>
        <v/>
      </c>
      <c r="CD10" s="92" t="str">
        <f aca="false">IF(ISBLANK($C10),"",IF($BR10&lt;&gt;Constants!$B$8,$BR10,IF(ISNUMBER($CC10),RANK($CC10,$CC$9:$CC$508,1),COUNT($CC$9:$CC$508)+1)))</f>
        <v/>
      </c>
      <c r="CE10" s="96" t="str">
        <f aca="false">IF($BR10&lt;&gt;Constants!$B$8,"",IF(AND(NOT($AL10),NOT($AT10),$AJ10,$AK10,$AR10,$AS10),"",$AI10))</f>
        <v/>
      </c>
      <c r="CF10" s="92" t="str">
        <f aca="false">IF(ISBLANK($C10),"",IF($BR10&lt;&gt;Constants!$B$8,$BR10,IF(ISNUMBER($CE10),RANK($CE10,$CE$9:$CE$508,1),COUNT($CE$9:$CE$508)+1)))</f>
        <v/>
      </c>
      <c r="CG10" s="92" t="str">
        <f aca="false">IF(ISBLANK($C10),"",IF($BR10&lt;&gt;Constants!$B$8,$BR10,COUNTIFS($BX$9:$BX$508,"&lt;"&amp;$BX10)+COUNTIFS($BX$9:$BX$508,$BX10,$BZ$9:$BZ$508,"&lt;"&amp;$BZ10)+COUNTIFS($BX$9:$BX$508,$BX10,$BZ$9:$BZ$508,$BZ10,$CB$9:$CB$508,"&lt;"&amp;$CB10)+COUNTIFS($BX$9:$BX$508,$BX10,$BZ$9:$BZ$508,$BZ10,$CB$9:$CB$508,$CB10,$CD$9:$CD$508,"&lt;"&amp;$CD10)+COUNTIFS($BX$9:$BX$508,$BX10,$BZ$9:$BZ$508,$BZ10,$CB$9:$CB$508,$CB10,$CD$9:$CD$508,$CD10,$CF$9:$CF$508,"&lt;"&amp;$CF10)+1))</f>
        <v/>
      </c>
      <c r="CH10" s="92" t="str">
        <f aca="false">IF(ISBLANK($C10),"",IF($BR10&lt;&gt;Constants!$B$8,$BR10,$BX10-$CG10))</f>
        <v/>
      </c>
      <c r="CI10" s="98"/>
      <c r="CJ10" s="99"/>
      <c r="CK10" s="100" t="str">
        <f aca="false">IF(ISBLANK($C10),"",IF($BR10=Constants!$B$12,$BQ10,""))</f>
        <v/>
      </c>
      <c r="CL10" s="99" t="str">
        <f aca="false">IF(ISBLANK($C10),"",IF($BR10&lt;&gt;Constants!$B$8,"",IF($BI10="-&gt;",2,1)))</f>
        <v/>
      </c>
      <c r="CM10" s="101" t="str">
        <f aca="false">IF(ISBLANK($C10),"",IF($BR10&lt;&gt;Constants!$B$8,"",IF($BI10="-&gt;",$BK10,$BC10)))</f>
        <v/>
      </c>
      <c r="CN10" s="101" t="str">
        <f aca="false">IF(ISBLANK($C10),"",IF($BR10&lt;&gt;Constants!$B$8,"",IF($BI10="-&gt;",$BL10,$BD10)))</f>
        <v/>
      </c>
      <c r="CO10" s="101" t="str">
        <f aca="false">IF(ISBLANK($C10),"",IF($BR10&lt;&gt;Constants!$B$8,"",IF($BI10="-&gt;",$BM10+$BN10,$BE10+$BF10)+$BV10))</f>
        <v/>
      </c>
      <c r="CP10" s="101" t="str">
        <f aca="false">IF(ISBLANK($C10),"",IF($BR10&lt;&gt;Constants!$B$8,"",IF($BI10="-&gt;",$BO10,$BG10)+$BU10))</f>
        <v/>
      </c>
      <c r="CQ10" s="102" t="str">
        <f aca="false">IF(ISBLANK($C10),"",IF($BR10&lt;&gt;Constants!$B$8,$BR10,$BW10))</f>
        <v/>
      </c>
      <c r="CR10" s="103" t="str">
        <f aca="false">IF(ISBLANK($C10),"",$BS10)</f>
        <v/>
      </c>
      <c r="CS10" s="104" t="str">
        <f aca="false">IF(ISBLANK($C10),"",$CH10)</f>
        <v/>
      </c>
      <c r="CT10" s="104" t="str">
        <f aca="false">IF(ISBLANK($C10),"",$CG10)</f>
        <v/>
      </c>
      <c r="CU10" s="105" t="str">
        <f aca="false">IF(ISBLANK($C10),"",IFERROR(_xlfn.SWITCH($CT10,Constants!$B$11,COUNTA($C$9:$C$508)+2,Constants!$B$10,COUNTA($C$9:$C$508)+1,Constants!$B$9,COUNTA($C$9:$C$508)),$CT10))</f>
        <v/>
      </c>
      <c r="CV10" s="9"/>
      <c r="CW10" s="106" t="n">
        <f aca="false">IF(OR(ISNUMBER($CT10),$CT10=Constants!$B$11,$CT10=Constants!$B$9,$CT10=Constants!$B$10),1,0)</f>
        <v>0</v>
      </c>
      <c r="CX10" s="106" t="n">
        <v>2</v>
      </c>
      <c r="CY10" s="106" t="str">
        <f aca="false">IF(ISBLANK($C10),"",IF(ISNUMBER($CU10),$CU10+ROW($B10)/1000,""))</f>
        <v/>
      </c>
      <c r="CZ10" s="106" t="str">
        <f aca="false">IF(ISNUMBER($CY10),RANK($CY10,$CY$9:$CY$508,1),"")</f>
        <v/>
      </c>
      <c r="DA10" s="106" t="str">
        <f aca="false">IF(ISBLANK($C10),"",$B10)</f>
        <v/>
      </c>
      <c r="DB10" s="106" t="str">
        <f aca="false">IF(ISBLANK($C10),"",$C10)</f>
        <v/>
      </c>
      <c r="DC10" s="106" t="str">
        <f aca="false">IF(ISBLANK($C10),"",$D10)</f>
        <v/>
      </c>
      <c r="DD10" s="107" t="str">
        <f aca="false">$CR10</f>
        <v/>
      </c>
      <c r="DE10" s="108" t="str">
        <f aca="false">$CQ10</f>
        <v/>
      </c>
      <c r="DF10" s="106" t="str">
        <f aca="false">IF(ISBLANK($C10),"",$CT10)</f>
        <v/>
      </c>
      <c r="DG10" s="109" t="str">
        <f aca="false">IF($CX10&gt;$CW$8,"",VLOOKUP($CX10,$CZ$9:$DF$508,7,FALSE()))</f>
        <v/>
      </c>
      <c r="DH10" s="110" t="str">
        <f aca="false">IF($CX10&gt;$CW$8,"",VLOOKUP($CX10,$CZ$9:$DF$508,2,FALSE()))</f>
        <v/>
      </c>
      <c r="DI10" s="110" t="str">
        <f aca="false">IF($CX10&gt;$CW$8,"",VLOOKUP($CX10,$CZ$9:$DF$508,3,FALSE()))</f>
        <v/>
      </c>
      <c r="DJ10" s="110" t="str">
        <f aca="false">IF($CX10&gt;$CW$8,"",VLOOKUP($CX10,$CZ$9:$DF$508,4,FALSE()))</f>
        <v/>
      </c>
      <c r="DK10" s="110" t="str">
        <f aca="false">IF($CX10&gt;$CW$8,"",VLOOKUP($CX10,$CZ$9:$DF$508,5,FALSE()))</f>
        <v/>
      </c>
      <c r="DL10" s="111" t="str">
        <f aca="false">IF($CX10&gt;$CW$8,"",VLOOKUP($CX10,$CZ$9:$DF$508,6,FALSE()))</f>
        <v/>
      </c>
      <c r="DM10" s="75"/>
    </row>
    <row r="11" customFormat="false" ht="15.75" hidden="false" customHeight="false" outlineLevel="0" collapsed="false">
      <c r="A11" s="9"/>
      <c r="B11" s="112"/>
      <c r="C11" s="113"/>
      <c r="D11" s="79"/>
      <c r="E11" s="80"/>
      <c r="F11" s="114"/>
      <c r="G11" s="115"/>
      <c r="H11" s="115"/>
      <c r="I11" s="83"/>
      <c r="J11" s="84"/>
      <c r="K11" s="85"/>
      <c r="L11" s="86"/>
      <c r="M11" s="87"/>
      <c r="N11" s="84"/>
      <c r="O11" s="84"/>
      <c r="P11" s="80"/>
      <c r="Q11" s="84"/>
      <c r="R11" s="84"/>
      <c r="S11" s="85"/>
      <c r="T11" s="85"/>
      <c r="U11" s="87"/>
      <c r="V11" s="84"/>
      <c r="W11" s="84"/>
      <c r="X11" s="80"/>
      <c r="Y11" s="116"/>
      <c r="Z11" s="117"/>
      <c r="AA11" s="116"/>
      <c r="AB11" s="91"/>
      <c r="AC11" s="92"/>
      <c r="AD11" s="92"/>
      <c r="AE11" s="92"/>
      <c r="AF11" s="92" t="str">
        <f aca="false">IF(ISBLANK($C11),"",IF(E11=Constants!$B$3,TRUE(),IF(E11=Constants!$B$4,FALSE(),TRUE())))</f>
        <v/>
      </c>
      <c r="AG11" s="92" t="str">
        <f aca="false">IF(ISBLANK($C11),"",IF(F11=Constants!$B$3,TRUE(),IF(F11=Constants!$B$4,FALSE(),TRUE())))</f>
        <v/>
      </c>
      <c r="AH11" s="92" t="str">
        <f aca="false">IF(ISBLANK($C11),"",IF(G11=Constants!$B$3,TRUE(),IF(G11=Constants!$B$4,FALSE(),TRUE())))</f>
        <v/>
      </c>
      <c r="AI11" s="92" t="str">
        <f aca="false">IF(ISBLANK($C11),"",IF(AND(ISNUMBER(H11),H11&gt;=0),H11,Constants!$B$29))</f>
        <v/>
      </c>
      <c r="AJ11" s="92" t="str">
        <f aca="false">IF(ISBLANK($C11),"",IF(I11=Constants!$B$3,TRUE(),IF(I11=Constants!$B$4,FALSE(),TRUE())))</f>
        <v/>
      </c>
      <c r="AK11" s="92" t="str">
        <f aca="false">IF(ISBLANK($C11),"",IF(J11=Constants!$B$3,TRUE(),IF(J11=Constants!$B$4,FALSE(),TRUE())))</f>
        <v/>
      </c>
      <c r="AL11" s="92" t="str">
        <f aca="false">IF(ISBLANK($C11),"",IF(K11=Constants!$B$5,TRUE(),IF(K11=Constants!$B$6,FALSE(),COUNTA(L11:P11)&gt;0)))</f>
        <v/>
      </c>
      <c r="AM11" s="94" t="str">
        <f aca="false">IF(ISBLANK($C11),"",IF(ISNUMBER(L11),IF(L11&gt;=0,L11,""),""))</f>
        <v/>
      </c>
      <c r="AN11" s="93" t="str">
        <f aca="false">IF(ISBLANK($C11),"",IF(ISNUMBER(M11),IF(M11&gt;=0,M11,""),""))</f>
        <v/>
      </c>
      <c r="AO11" s="93" t="str">
        <f aca="false">IF(ISBLANK($C11),"",IF(N11=Constants!$B$3,TRUE(),IF(N11=Constants!$B$4,FALSE(),TRUE())))</f>
        <v/>
      </c>
      <c r="AP11" s="92" t="str">
        <f aca="false">IF(ISBLANK($C11),"",IF(ISNUMBER(O11),IF(O11&gt;=0,O11,""),""))</f>
        <v/>
      </c>
      <c r="AQ11" s="92" t="str">
        <f aca="false">IF(ISBLANK($C11),"",IF(P11=Constants!$B$3,TRUE(),IF(P11=Constants!$B$4,FALSE(),FALSE())))</f>
        <v/>
      </c>
      <c r="AR11" s="92" t="str">
        <f aca="false">IF(ISBLANK($C11),"",IF(Q11=Constants!$B$3,TRUE(),IF(Q11=Constants!$B$4,FALSE(),TRUE())))</f>
        <v/>
      </c>
      <c r="AS11" s="92" t="str">
        <f aca="false">IF(ISBLANK($C11),"",IF(R11=Constants!$B$3,TRUE(),IF(R11=Constants!$B$4,FALSE(),TRUE())))</f>
        <v/>
      </c>
      <c r="AT11" s="92" t="str">
        <f aca="false">IF(ISBLANK($C11),"",IF(S11=Constants!$B$5,TRUE(),IF(S11=Constants!$B$6,FALSE(),COUNTA(T11:X11)&gt;0)))</f>
        <v/>
      </c>
      <c r="AU11" s="94" t="str">
        <f aca="false">IF(ISBLANK($C11),"",IF(ISNUMBER(T11),IF(T11&gt;=0,T11,""),""))</f>
        <v/>
      </c>
      <c r="AV11" s="93" t="str">
        <f aca="false">IF(ISBLANK($C11),"",IF(ISNUMBER(U11),IF(U11&gt;=0,U11,""),""))</f>
        <v/>
      </c>
      <c r="AW11" s="93" t="str">
        <f aca="false">IF(ISBLANK($C11),"",IF(V11=Constants!$B$3,TRUE(),IF(V11=Constants!$B$4,FALSE(),TRUE())))</f>
        <v/>
      </c>
      <c r="AX11" s="92" t="str">
        <f aca="false">IF(ISBLANK($C11),"",IF(ISNUMBER(W11),IF(W11&gt;=0,W11,""),""))</f>
        <v/>
      </c>
      <c r="AY11" s="92" t="str">
        <f aca="false">IF(ISBLANK($C11),"",IF(X11=Constants!$B$3,TRUE(),IF(X11=Constants!$B$4,FALSE(),FALSE())))</f>
        <v/>
      </c>
      <c r="AZ11" s="92" t="str">
        <f aca="false">IF(ISBLANK($C11),"",MIN(Constants!$B$31,MAX(0,IF(ISNUMBER(Y11),Y11*60,0)+IF(ISNUMBER(Z11),Z11,0))))</f>
        <v/>
      </c>
      <c r="BA11" s="92" t="str">
        <f aca="false">IF(ISBLANK($C11),"",IF(AA11=Constants!$B$3,TRUE(),IF(AA11=Constants!$B$4,FALSE(),FALSE())))</f>
        <v/>
      </c>
      <c r="BB11" s="91" t="str">
        <f aca="false">IF(ISBLANK($C11),"",AND($AL11,OR($AM11="",$AN11="",AND($AO11,$AP11=""))))</f>
        <v/>
      </c>
      <c r="BC11" s="93" t="str">
        <f aca="false">IF($BR11&lt;&gt;Constants!$B$8,"",IF($AL11,Constants!$B$21*$AN11+Constants!$B$22*IF($AO11,$AP11,Constants!$B$23),Constants!$B$24))</f>
        <v/>
      </c>
      <c r="BD11" s="96" t="str">
        <f aca="false">IF($BR11&lt;&gt;Constants!$B$8,"",Constants!$B$25*ABS($AD$9-IF($AL11,$AM11,0)))</f>
        <v/>
      </c>
      <c r="BE11" s="96" t="str">
        <f aca="false">IF($BR11&lt;&gt;Constants!$B$8,"",IF(AND($AL11,$AQ11,$AO11),Constants!$B$27,0))</f>
        <v/>
      </c>
      <c r="BF11" s="96" t="str">
        <f aca="false">IF($BR11&lt;&gt;Constants!$B$8,"",IF($AL11,($AI11-Constants!$B$29)*Constants!$B$28,0))</f>
        <v/>
      </c>
      <c r="BG11" s="96" t="str">
        <f aca="false">IF($BR11&lt;&gt;Constants!$B$8,"",IF($AK11,0,Constants!$B$15)+IF($AJ11,0,Constants!$B$16)+IF($AH11,0,Constants!$B$17))</f>
        <v/>
      </c>
      <c r="BH11" s="97" t="str">
        <f aca="false">IF($BR11&lt;&gt;Constants!$B$8,"",Constants!$B$20+SUM($BC11:$BG11))</f>
        <v/>
      </c>
      <c r="BI11" s="92" t="str">
        <f aca="false">IF($BR11&lt;&gt;Constants!$B$8,"",IF(OR($BP11&lt;$BH11,AND($BP11=$BH11,OR($BK11&lt;$BC11,AND($BK11=$BC11,OR($BL11&lt;$BD11,AND($BL11=$BD11,$AT11,$AL11,$AV11&lt;$AN11)))))),"-&gt;","&lt;-"))</f>
        <v/>
      </c>
      <c r="BJ11" s="91" t="str">
        <f aca="false">IF(ISBLANK($C11),"",AND($AT11,OR($AU11="",$AV11="",AND($AW11,$AX11=""))))</f>
        <v/>
      </c>
      <c r="BK11" s="93" t="str">
        <f aca="false">IF($BR11&lt;&gt;Constants!$B$8,"",IF($AT11,Constants!$B$21*$AV11+Constants!$B$22*IF($AW11,$AX11,Constants!$B$23),Constants!$B$24))</f>
        <v/>
      </c>
      <c r="BL11" s="96" t="str">
        <f aca="false">IF($BR11&lt;&gt;Constants!$B$8,"",Constants!$B$25*ABS($AD$9-IF($AT11,$AU11,0)))</f>
        <v/>
      </c>
      <c r="BM11" s="96" t="str">
        <f aca="false">IF($BR11&lt;&gt;Constants!$B$8,"",IF(AND($AT11,$AY11,$AW11),Constants!$B$27,0))</f>
        <v/>
      </c>
      <c r="BN11" s="96" t="str">
        <f aca="false">IF($BR11&lt;&gt;Constants!$B$8,"",IF($AT11,($AI11-Constants!$B$29)*Constants!$B$28,0))</f>
        <v/>
      </c>
      <c r="BO11" s="96" t="str">
        <f aca="false">IF($BR11&lt;&gt;Constants!$B$8,"",IF($AS11,0,Constants!$B$15)+IF($AR11,0,Constants!$B$16)+IF($AH11,0,Constants!$B$17))</f>
        <v/>
      </c>
      <c r="BP11" s="97" t="str">
        <f aca="false">IF($BR11&lt;&gt;Constants!$B$8,"",Constants!$B$20+SUM($BK11:$BO11))</f>
        <v/>
      </c>
      <c r="BQ11" s="92" t="str">
        <f aca="false">IF(ISBLANK($C11),"",IF(ISBLANK($D$7),$BQ$5,IF(NOT(ISNUMBER($D$7)),$BQ$6,"")))</f>
        <v/>
      </c>
      <c r="BR11" s="92" t="str">
        <f aca="false">IF(ISBLANK($C11),"",IF($BA11,Constants!$B$11,IF(COUNTA($E11:$AA11)=0,Constants!$B$10,IF(NOT($AG11),Constants!$B$9,IF(OR($BQ11&lt;&gt;"",$BB11,$BJ11),Constants!$B$12,Constants!$B$8)))))</f>
        <v/>
      </c>
      <c r="BS11" s="92" t="str">
        <f aca="false">IF(ISBLANK($C11),"",IF($BR11&lt;&gt;Constants!$B$8,$BR11,Constants!$B$13))</f>
        <v/>
      </c>
      <c r="BT11" s="96" t="str">
        <f aca="false">IF($BR11&lt;&gt;Constants!$B$8,"",IF($BI11="-&gt;",$BP11,$BH11))</f>
        <v/>
      </c>
      <c r="BU11" s="96" t="str">
        <f aca="false">IF($BR11&lt;&gt;Constants!$B$8,"",IF($AF11,0,Constants!$B$18))</f>
        <v/>
      </c>
      <c r="BV11" s="96" t="str">
        <f aca="false">IF($BR11&lt;&gt;Constants!$B$8,"",((Constants!$B$31-$AZ11)-Constants!$B$31)/Constants!$B$32)</f>
        <v/>
      </c>
      <c r="BW11" s="96" t="str">
        <f aca="false">IF(ISBLANK($C11),"",IF($BR11&lt;&gt;Constants!$B$8,$BR11,SUM($BT11:$BV11)))</f>
        <v/>
      </c>
      <c r="BX11" s="92" t="str">
        <f aca="false">IF(ISBLANK($C11),"",IF($BR11&lt;&gt;Constants!$B$8,$BR11,RANK($BW11,$BW$9:$BW$508,1)))</f>
        <v/>
      </c>
      <c r="BY11" s="96" t="str">
        <f aca="false">IF($BR11&lt;&gt;Constants!$B$8,"",IF($BI11="-&gt;",$BK11,$BC11))</f>
        <v/>
      </c>
      <c r="BZ11" s="92" t="str">
        <f aca="false">IF(ISBLANK($C11),"",IF($BR11&lt;&gt;Constants!$B$8,$BR11,IF(ISNUMBER($BY11),RANK($BY11,$BY$9:$BY$508,1),COUNT($BY$9:$BY$508)+1)))</f>
        <v/>
      </c>
      <c r="CA11" s="96" t="str">
        <f aca="false">IF($BR11&lt;&gt;Constants!$B$8,"",IF($BI11="-&gt;",$BL11,$BD11))</f>
        <v/>
      </c>
      <c r="CB11" s="92" t="str">
        <f aca="false">IF(ISBLANK($C11),"",IF($BR11&lt;&gt;Constants!$B$8,$BR11,IF(ISNUMBER($CA11),RANK($CA11,$CA$9:$CA$508,1),COUNT($CA$9:$CA$508)+1)))</f>
        <v/>
      </c>
      <c r="CC11" s="96" t="str">
        <f aca="false">IF($BR11&lt;&gt;Constants!$B$8,"",IF($BI11="-&gt;",IF($AT11,$AV11,""),IF($AL11,$AN11,"")))</f>
        <v/>
      </c>
      <c r="CD11" s="92" t="str">
        <f aca="false">IF(ISBLANK($C11),"",IF($BR11&lt;&gt;Constants!$B$8,$BR11,IF(ISNUMBER($CC11),RANK($CC11,$CC$9:$CC$508,1),COUNT($CC$9:$CC$508)+1)))</f>
        <v/>
      </c>
      <c r="CE11" s="96" t="str">
        <f aca="false">IF($BR11&lt;&gt;Constants!$B$8,"",IF(AND(NOT($AL11),NOT($AT11),$AJ11,$AK11,$AR11,$AS11),"",$AI11))</f>
        <v/>
      </c>
      <c r="CF11" s="92" t="str">
        <f aca="false">IF(ISBLANK($C11),"",IF($BR11&lt;&gt;Constants!$B$8,$BR11,IF(ISNUMBER($CE11),RANK($CE11,$CE$9:$CE$508,1),COUNT($CE$9:$CE$508)+1)))</f>
        <v/>
      </c>
      <c r="CG11" s="92" t="str">
        <f aca="false">IF(ISBLANK($C11),"",IF($BR11&lt;&gt;Constants!$B$8,$BR11,COUNTIFS($BX$9:$BX$508,"&lt;"&amp;$BX11)+COUNTIFS($BX$9:$BX$508,$BX11,$BZ$9:$BZ$508,"&lt;"&amp;$BZ11)+COUNTIFS($BX$9:$BX$508,$BX11,$BZ$9:$BZ$508,$BZ11,$CB$9:$CB$508,"&lt;"&amp;$CB11)+COUNTIFS($BX$9:$BX$508,$BX11,$BZ$9:$BZ$508,$BZ11,$CB$9:$CB$508,$CB11,$CD$9:$CD$508,"&lt;"&amp;$CD11)+COUNTIFS($BX$9:$BX$508,$BX11,$BZ$9:$BZ$508,$BZ11,$CB$9:$CB$508,$CB11,$CD$9:$CD$508,$CD11,$CF$9:$CF$508,"&lt;"&amp;$CF11)+1))</f>
        <v/>
      </c>
      <c r="CH11" s="92" t="str">
        <f aca="false">IF(ISBLANK($C11),"",IF($BR11&lt;&gt;Constants!$B$8,$BR11,$BX11-$CG11))</f>
        <v/>
      </c>
      <c r="CI11" s="98"/>
      <c r="CJ11" s="99"/>
      <c r="CK11" s="100" t="str">
        <f aca="false">IF(ISBLANK($C11),"",IF($BR11=Constants!$B$12,$BQ11,""))</f>
        <v/>
      </c>
      <c r="CL11" s="99" t="str">
        <f aca="false">IF(ISBLANK($C11),"",IF($BR11&lt;&gt;Constants!$B$8,"",IF($BI11="-&gt;",2,1)))</f>
        <v/>
      </c>
      <c r="CM11" s="101" t="str">
        <f aca="false">IF(ISBLANK($C11),"",IF($BR11&lt;&gt;Constants!$B$8,"",IF($BI11="-&gt;",$BK11,$BC11)))</f>
        <v/>
      </c>
      <c r="CN11" s="101" t="str">
        <f aca="false">IF(ISBLANK($C11),"",IF($BR11&lt;&gt;Constants!$B$8,"",IF($BI11="-&gt;",$BL11,$BD11)))</f>
        <v/>
      </c>
      <c r="CO11" s="101" t="str">
        <f aca="false">IF(ISBLANK($C11),"",IF($BR11&lt;&gt;Constants!$B$8,"",IF($BI11="-&gt;",$BM11+$BN11,$BE11+$BF11)+$BV11))</f>
        <v/>
      </c>
      <c r="CP11" s="101" t="str">
        <f aca="false">IF(ISBLANK($C11),"",IF($BR11&lt;&gt;Constants!$B$8,"",IF($BI11="-&gt;",$BO11,$BG11)+$BU11))</f>
        <v/>
      </c>
      <c r="CQ11" s="102" t="str">
        <f aca="false">IF(ISBLANK($C11),"",IF($BR11&lt;&gt;Constants!$B$8,$BR11,$BW11))</f>
        <v/>
      </c>
      <c r="CR11" s="103" t="str">
        <f aca="false">IF(ISBLANK($C11),"",$BS11)</f>
        <v/>
      </c>
      <c r="CS11" s="104" t="str">
        <f aca="false">IF(ISBLANK($C11),"",$CH11)</f>
        <v/>
      </c>
      <c r="CT11" s="104" t="str">
        <f aca="false">IF(ISBLANK($C11),"",$CG11)</f>
        <v/>
      </c>
      <c r="CU11" s="105" t="str">
        <f aca="false">IF(ISBLANK($C11),"",IFERROR(_xlfn.SWITCH($CT11,Constants!$B$11,COUNTA($C$9:$C$508)+2,Constants!$B$10,COUNTA($C$9:$C$508)+1,Constants!$B$9,COUNTA($C$9:$C$508)),$CT11))</f>
        <v/>
      </c>
      <c r="CV11" s="9"/>
      <c r="CW11" s="106" t="n">
        <f aca="false">IF(OR(ISNUMBER($CT11),$CT11=Constants!$B$11,$CT11=Constants!$B$9,$CT11=Constants!$B$10),1,0)</f>
        <v>0</v>
      </c>
      <c r="CX11" s="106" t="n">
        <v>3</v>
      </c>
      <c r="CY11" s="106" t="str">
        <f aca="false">IF(ISBLANK($C11),"",IF(ISNUMBER($CU11),$CU11+ROW($B11)/1000,""))</f>
        <v/>
      </c>
      <c r="CZ11" s="106" t="str">
        <f aca="false">IF(ISNUMBER($CY11),RANK($CY11,$CY$9:$CY$508,1),"")</f>
        <v/>
      </c>
      <c r="DA11" s="106" t="str">
        <f aca="false">IF(ISBLANK($C11),"",$B11)</f>
        <v/>
      </c>
      <c r="DB11" s="106" t="str">
        <f aca="false">IF(ISBLANK($C11),"",$C11)</f>
        <v/>
      </c>
      <c r="DC11" s="106" t="str">
        <f aca="false">IF(ISBLANK($C11),"",$D11)</f>
        <v/>
      </c>
      <c r="DD11" s="107" t="str">
        <f aca="false">$CR11</f>
        <v/>
      </c>
      <c r="DE11" s="108" t="str">
        <f aca="false">$CQ11</f>
        <v/>
      </c>
      <c r="DF11" s="106" t="str">
        <f aca="false">IF(ISBLANK($C11),"",$CT11)</f>
        <v/>
      </c>
      <c r="DG11" s="109" t="str">
        <f aca="false">IF($CX11&gt;$CW$8,"",VLOOKUP($CX11,$CZ$9:$DF$508,7,FALSE()))</f>
        <v/>
      </c>
      <c r="DH11" s="110" t="str">
        <f aca="false">IF($CX11&gt;$CW$8,"",VLOOKUP($CX11,$CZ$9:$DF$508,2,FALSE()))</f>
        <v/>
      </c>
      <c r="DI11" s="110" t="str">
        <f aca="false">IF($CX11&gt;$CW$8,"",VLOOKUP($CX11,$CZ$9:$DF$508,3,FALSE()))</f>
        <v/>
      </c>
      <c r="DJ11" s="110" t="str">
        <f aca="false">IF($CX11&gt;$CW$8,"",VLOOKUP($CX11,$CZ$9:$DF$508,4,FALSE()))</f>
        <v/>
      </c>
      <c r="DK11" s="110" t="str">
        <f aca="false">IF($CX11&gt;$CW$8,"",VLOOKUP($CX11,$CZ$9:$DF$508,5,FALSE()))</f>
        <v/>
      </c>
      <c r="DL11" s="111" t="str">
        <f aca="false">IF($CX11&gt;$CW$8,"",VLOOKUP($CX11,$CZ$9:$DF$508,6,FALSE()))</f>
        <v/>
      </c>
      <c r="DM11" s="75"/>
    </row>
    <row r="12" customFormat="false" ht="15.75" hidden="false" customHeight="false" outlineLevel="0" collapsed="false">
      <c r="A12" s="9"/>
      <c r="B12" s="118"/>
      <c r="C12" s="119"/>
      <c r="D12" s="120"/>
      <c r="E12" s="121"/>
      <c r="F12" s="122"/>
      <c r="G12" s="123"/>
      <c r="H12" s="123"/>
      <c r="I12" s="124"/>
      <c r="J12" s="125"/>
      <c r="K12" s="126"/>
      <c r="L12" s="127"/>
      <c r="M12" s="128"/>
      <c r="N12" s="125"/>
      <c r="O12" s="125"/>
      <c r="P12" s="121"/>
      <c r="Q12" s="125"/>
      <c r="R12" s="125"/>
      <c r="S12" s="126"/>
      <c r="T12" s="126"/>
      <c r="U12" s="128"/>
      <c r="V12" s="129"/>
      <c r="W12" s="129"/>
      <c r="X12" s="121"/>
      <c r="Y12" s="130"/>
      <c r="Z12" s="131"/>
      <c r="AA12" s="130"/>
      <c r="AB12" s="132"/>
      <c r="AC12" s="133"/>
      <c r="AD12" s="133"/>
      <c r="AE12" s="133"/>
      <c r="AF12" s="133" t="str">
        <f aca="false">IF(ISBLANK($C12),"",IF(E12=Constants!$B$3,TRUE(),IF(E12=Constants!$B$4,FALSE(),TRUE())))</f>
        <v/>
      </c>
      <c r="AG12" s="133" t="str">
        <f aca="false">IF(ISBLANK($C12),"",IF(F12=Constants!$B$3,TRUE(),IF(F12=Constants!$B$4,FALSE(),TRUE())))</f>
        <v/>
      </c>
      <c r="AH12" s="133" t="str">
        <f aca="false">IF(ISBLANK($C12),"",IF(G12=Constants!$B$3,TRUE(),IF(G12=Constants!$B$4,FALSE(),TRUE())))</f>
        <v/>
      </c>
      <c r="AI12" s="133" t="str">
        <f aca="false">IF(ISBLANK($C12),"",IF(AND(ISNUMBER(H12),H12&gt;=0),H12,Constants!$B$29))</f>
        <v/>
      </c>
      <c r="AJ12" s="133" t="str">
        <f aca="false">IF(ISBLANK($C12),"",IF(I12=Constants!$B$3,TRUE(),IF(I12=Constants!$B$4,FALSE(),TRUE())))</f>
        <v/>
      </c>
      <c r="AK12" s="133" t="str">
        <f aca="false">IF(ISBLANK($C12),"",IF(J12=Constants!$B$3,TRUE(),IF(J12=Constants!$B$4,FALSE(),TRUE())))</f>
        <v/>
      </c>
      <c r="AL12" s="133" t="str">
        <f aca="false">IF(ISBLANK($C12),"",IF(K12=Constants!$B$5,TRUE(),IF(K12=Constants!$B$6,FALSE(),COUNTA(L12:P12)&gt;0)))</f>
        <v/>
      </c>
      <c r="AM12" s="134" t="str">
        <f aca="false">IF(ISBLANK($C12),"",IF(ISNUMBER(L12),IF(L12&gt;=0,L12,""),""))</f>
        <v/>
      </c>
      <c r="AN12" s="135" t="str">
        <f aca="false">IF(ISBLANK($C12),"",IF(ISNUMBER(M12),IF(M12&gt;=0,M12,""),""))</f>
        <v/>
      </c>
      <c r="AO12" s="135" t="str">
        <f aca="false">IF(ISBLANK($C12),"",IF(N12=Constants!$B$3,TRUE(),IF(N12=Constants!$B$4,FALSE(),TRUE())))</f>
        <v/>
      </c>
      <c r="AP12" s="133" t="str">
        <f aca="false">IF(ISBLANK($C12),"",IF(ISNUMBER(O12),IF(O12&gt;=0,O12,""),""))</f>
        <v/>
      </c>
      <c r="AQ12" s="133" t="str">
        <f aca="false">IF(ISBLANK($C12),"",IF(P12=Constants!$B$3,TRUE(),IF(P12=Constants!$B$4,FALSE(),FALSE())))</f>
        <v/>
      </c>
      <c r="AR12" s="133" t="str">
        <f aca="false">IF(ISBLANK($C12),"",IF(Q12=Constants!$B$3,TRUE(),IF(Q12=Constants!$B$4,FALSE(),TRUE())))</f>
        <v/>
      </c>
      <c r="AS12" s="133" t="str">
        <f aca="false">IF(ISBLANK($C12),"",IF(R12=Constants!$B$3,TRUE(),IF(R12=Constants!$B$4,FALSE(),TRUE())))</f>
        <v/>
      </c>
      <c r="AT12" s="133" t="str">
        <f aca="false">IF(ISBLANK($C12),"",IF(S12=Constants!$B$5,TRUE(),IF(S12=Constants!$B$6,FALSE(),COUNTA(T12:X12)&gt;0)))</f>
        <v/>
      </c>
      <c r="AU12" s="134" t="str">
        <f aca="false">IF(ISBLANK($C12),"",IF(ISNUMBER(T12),IF(T12&gt;=0,T12,""),""))</f>
        <v/>
      </c>
      <c r="AV12" s="135" t="str">
        <f aca="false">IF(ISBLANK($C12),"",IF(ISNUMBER(U12),IF(U12&gt;=0,U12,""),""))</f>
        <v/>
      </c>
      <c r="AW12" s="135" t="str">
        <f aca="false">IF(ISBLANK($C12),"",IF(V12=Constants!$B$3,TRUE(),IF(V12=Constants!$B$4,FALSE(),TRUE())))</f>
        <v/>
      </c>
      <c r="AX12" s="133" t="str">
        <f aca="false">IF(ISBLANK($C12),"",IF(ISNUMBER(W12),IF(W12&gt;=0,W12,""),""))</f>
        <v/>
      </c>
      <c r="AY12" s="133" t="str">
        <f aca="false">IF(ISBLANK($C12),"",IF(X12=Constants!$B$3,TRUE(),IF(X12=Constants!$B$4,FALSE(),FALSE())))</f>
        <v/>
      </c>
      <c r="AZ12" s="133" t="str">
        <f aca="false">IF(ISBLANK($C12),"",MIN(Constants!$B$31,MAX(0,IF(ISNUMBER(Y12),Y12*60,0)+IF(ISNUMBER(Z12),Z12,0))))</f>
        <v/>
      </c>
      <c r="BA12" s="133" t="str">
        <f aca="false">IF(ISBLANK($C12),"",IF(AA12=Constants!$B$3,TRUE(),IF(AA12=Constants!$B$4,FALSE(),FALSE())))</f>
        <v/>
      </c>
      <c r="BB12" s="132" t="str">
        <f aca="false">IF(ISBLANK($C12),"",AND($AL12,OR($AM12="",$AN12="",AND($AO12,$AP12=""))))</f>
        <v/>
      </c>
      <c r="BC12" s="135" t="str">
        <f aca="false">IF($BR12&lt;&gt;Constants!$B$8,"",IF($AL12,Constants!$B$21*$AN12+Constants!$B$22*IF($AO12,$AP12,Constants!$B$23),Constants!$B$24))</f>
        <v/>
      </c>
      <c r="BD12" s="136" t="str">
        <f aca="false">IF($BR12&lt;&gt;Constants!$B$8,"",Constants!$B$25*ABS($AD$9-IF($AL12,$AM12,0)))</f>
        <v/>
      </c>
      <c r="BE12" s="136" t="str">
        <f aca="false">IF($BR12&lt;&gt;Constants!$B$8,"",IF(AND($AL12,$AQ12,$AO12),Constants!$B$27,0))</f>
        <v/>
      </c>
      <c r="BF12" s="136" t="str">
        <f aca="false">IF($BR12&lt;&gt;Constants!$B$8,"",IF($AL12,($AI12-Constants!$B$29)*Constants!$B$28,0))</f>
        <v/>
      </c>
      <c r="BG12" s="136" t="str">
        <f aca="false">IF($BR12&lt;&gt;Constants!$B$8,"",IF($AK12,0,Constants!$B$15)+IF($AJ12,0,Constants!$B$16)+IF($AH12,0,Constants!$B$17))</f>
        <v/>
      </c>
      <c r="BH12" s="137" t="str">
        <f aca="false">IF($BR12&lt;&gt;Constants!$B$8,"",Constants!$B$20+SUM($BC12:$BG12))</f>
        <v/>
      </c>
      <c r="BI12" s="133" t="str">
        <f aca="false">IF($BR12&lt;&gt;Constants!$B$8,"",IF(OR($BP12&lt;$BH12,AND($BP12=$BH12,OR($BK12&lt;$BC12,AND($BK12=$BC12,OR($BL12&lt;$BD12,AND($BL12=$BD12,$AT12,$AL12,$AV12&lt;$AN12)))))),"-&gt;","&lt;-"))</f>
        <v/>
      </c>
      <c r="BJ12" s="132" t="str">
        <f aca="false">IF(ISBLANK($C12),"",AND($AT12,OR($AU12="",$AV12="",AND($AW12,$AX12=""))))</f>
        <v/>
      </c>
      <c r="BK12" s="135" t="str">
        <f aca="false">IF($BR12&lt;&gt;Constants!$B$8,"",IF($AT12,Constants!$B$21*$AV12+Constants!$B$22*IF($AW12,$AX12,Constants!$B$23),Constants!$B$24))</f>
        <v/>
      </c>
      <c r="BL12" s="136" t="str">
        <f aca="false">IF($BR12&lt;&gt;Constants!$B$8,"",Constants!$B$25*ABS($AD$9-IF($AT12,$AU12,0)))</f>
        <v/>
      </c>
      <c r="BM12" s="136" t="str">
        <f aca="false">IF($BR12&lt;&gt;Constants!$B$8,"",IF(AND($AT12,$AY12,$AW12),Constants!$B$27,0))</f>
        <v/>
      </c>
      <c r="BN12" s="136" t="str">
        <f aca="false">IF($BR12&lt;&gt;Constants!$B$8,"",IF($AT12,($AI12-Constants!$B$29)*Constants!$B$28,0))</f>
        <v/>
      </c>
      <c r="BO12" s="136" t="str">
        <f aca="false">IF($BR12&lt;&gt;Constants!$B$8,"",IF($AS12,0,Constants!$B$15)+IF($AR12,0,Constants!$B$16)+IF($AH12,0,Constants!$B$17))</f>
        <v/>
      </c>
      <c r="BP12" s="137" t="str">
        <f aca="false">IF($BR12&lt;&gt;Constants!$B$8,"",Constants!$B$20+SUM($BK12:$BO12))</f>
        <v/>
      </c>
      <c r="BQ12" s="133" t="str">
        <f aca="false">IF(ISBLANK($C12),"",IF(ISBLANK($D$7),$BQ$5,IF(NOT(ISNUMBER($D$7)),$BQ$6,"")))</f>
        <v/>
      </c>
      <c r="BR12" s="133" t="str">
        <f aca="false">IF(ISBLANK($C12),"",IF($BA12,Constants!$B$11,IF(COUNTA($E12:$AA12)=0,Constants!$B$10,IF(NOT($AG12),Constants!$B$9,IF(OR($BQ12&lt;&gt;"",$BB12,$BJ12),Constants!$B$12,Constants!$B$8)))))</f>
        <v/>
      </c>
      <c r="BS12" s="133" t="str">
        <f aca="false">IF(ISBLANK($C12),"",IF($BR12&lt;&gt;Constants!$B$8,$BR12,Constants!$B$13))</f>
        <v/>
      </c>
      <c r="BT12" s="136" t="str">
        <f aca="false">IF($BR12&lt;&gt;Constants!$B$8,"",IF($BI12="-&gt;",$BP12,$BH12))</f>
        <v/>
      </c>
      <c r="BU12" s="136" t="str">
        <f aca="false">IF($BR12&lt;&gt;Constants!$B$8,"",IF($AF12,0,Constants!$B$18))</f>
        <v/>
      </c>
      <c r="BV12" s="136" t="str">
        <f aca="false">IF($BR12&lt;&gt;Constants!$B$8,"",((Constants!$B$31-$AZ12)-Constants!$B$31)/Constants!$B$32)</f>
        <v/>
      </c>
      <c r="BW12" s="136" t="str">
        <f aca="false">IF(ISBLANK($C12),"",IF($BR12&lt;&gt;Constants!$B$8,$BR12,SUM($BT12:$BV12)))</f>
        <v/>
      </c>
      <c r="BX12" s="133" t="str">
        <f aca="false">IF(ISBLANK($C12),"",IF($BR12&lt;&gt;Constants!$B$8,$BR12,RANK($BW12,$BW$9:$BW$508,1)))</f>
        <v/>
      </c>
      <c r="BY12" s="136" t="str">
        <f aca="false">IF($BR12&lt;&gt;Constants!$B$8,"",IF($BI12="-&gt;",$BK12,$BC12))</f>
        <v/>
      </c>
      <c r="BZ12" s="133" t="str">
        <f aca="false">IF(ISBLANK($C12),"",IF($BR12&lt;&gt;Constants!$B$8,$BR12,IF(ISNUMBER($BY12),RANK($BY12,$BY$9:$BY$508,1),COUNT($BY$9:$BY$508)+1)))</f>
        <v/>
      </c>
      <c r="CA12" s="136" t="str">
        <f aca="false">IF($BR12&lt;&gt;Constants!$B$8,"",IF($BI12="-&gt;",$BL12,$BD12))</f>
        <v/>
      </c>
      <c r="CB12" s="133" t="str">
        <f aca="false">IF(ISBLANK($C12),"",IF($BR12&lt;&gt;Constants!$B$8,$BR12,IF(ISNUMBER($CA12),RANK($CA12,$CA$9:$CA$508,1),COUNT($CA$9:$CA$508)+1)))</f>
        <v/>
      </c>
      <c r="CC12" s="136" t="str">
        <f aca="false">IF($BR12&lt;&gt;Constants!$B$8,"",IF($BI12="-&gt;",IF($AT12,$AV12,""),IF($AL12,$AN12,"")))</f>
        <v/>
      </c>
      <c r="CD12" s="133" t="str">
        <f aca="false">IF(ISBLANK($C12),"",IF($BR12&lt;&gt;Constants!$B$8,$BR12,IF(ISNUMBER($CC12),RANK($CC12,$CC$9:$CC$508,1),COUNT($CC$9:$CC$508)+1)))</f>
        <v/>
      </c>
      <c r="CE12" s="136" t="str">
        <f aca="false">IF($BR12&lt;&gt;Constants!$B$8,"",IF(AND(NOT($AL12),NOT($AT12),$AJ12,$AK12,$AR12,$AS12),"",$AI12))</f>
        <v/>
      </c>
      <c r="CF12" s="133" t="str">
        <f aca="false">IF(ISBLANK($C12),"",IF($BR12&lt;&gt;Constants!$B$8,$BR12,IF(ISNUMBER($CE12),RANK($CE12,$CE$9:$CE$508,1),COUNT($CE$9:$CE$508)+1)))</f>
        <v/>
      </c>
      <c r="CG12" s="133" t="str">
        <f aca="false">IF(ISBLANK($C12),"",IF($BR12&lt;&gt;Constants!$B$8,$BR12,COUNTIFS($BX$9:$BX$508,"&lt;"&amp;$BX12)+COUNTIFS($BX$9:$BX$508,$BX12,$BZ$9:$BZ$508,"&lt;"&amp;$BZ12)+COUNTIFS($BX$9:$BX$508,$BX12,$BZ$9:$BZ$508,$BZ12,$CB$9:$CB$508,"&lt;"&amp;$CB12)+COUNTIFS($BX$9:$BX$508,$BX12,$BZ$9:$BZ$508,$BZ12,$CB$9:$CB$508,$CB12,$CD$9:$CD$508,"&lt;"&amp;$CD12)+COUNTIFS($BX$9:$BX$508,$BX12,$BZ$9:$BZ$508,$BZ12,$CB$9:$CB$508,$CB12,$CD$9:$CD$508,$CD12,$CF$9:$CF$508,"&lt;"&amp;$CF12)+1))</f>
        <v/>
      </c>
      <c r="CH12" s="133" t="str">
        <f aca="false">IF(ISBLANK($C12),"",IF($BR12&lt;&gt;Constants!$B$8,$BR12,$BX12-$CG12))</f>
        <v/>
      </c>
      <c r="CI12" s="138"/>
      <c r="CJ12" s="139"/>
      <c r="CK12" s="140" t="str">
        <f aca="false">IF(ISBLANK($C12),"",IF($BR12=Constants!$B$12,$BQ12,""))</f>
        <v/>
      </c>
      <c r="CL12" s="139" t="str">
        <f aca="false">IF(ISBLANK($C12),"",IF($BR12&lt;&gt;Constants!$B$8,"",IF($BI12="-&gt;",2,1)))</f>
        <v/>
      </c>
      <c r="CM12" s="141" t="str">
        <f aca="false">IF(ISBLANK($C12),"",IF($BR12&lt;&gt;Constants!$B$8,"",IF($BI12="-&gt;",$BK12,$BC12)))</f>
        <v/>
      </c>
      <c r="CN12" s="141" t="str">
        <f aca="false">IF(ISBLANK($C12),"",IF($BR12&lt;&gt;Constants!$B$8,"",IF($BI12="-&gt;",$BL12,$BD12)))</f>
        <v/>
      </c>
      <c r="CO12" s="141" t="str">
        <f aca="false">IF(ISBLANK($C12),"",IF($BR12&lt;&gt;Constants!$B$8,"",IF($BI12="-&gt;",$BM12+$BN12,$BE12+$BF12)+$BV12))</f>
        <v/>
      </c>
      <c r="CP12" s="141" t="str">
        <f aca="false">IF(ISBLANK($C12),"",IF($BR12&lt;&gt;Constants!$B$8,"",IF($BI12="-&gt;",$BO12,$BG12)+$BU12))</f>
        <v/>
      </c>
      <c r="CQ12" s="142" t="str">
        <f aca="false">IF(ISBLANK($C12),"",IF($BR12&lt;&gt;Constants!$B$8,$BR12,$BW12))</f>
        <v/>
      </c>
      <c r="CR12" s="143" t="str">
        <f aca="false">IF(ISBLANK($C12),"",$BS12)</f>
        <v/>
      </c>
      <c r="CS12" s="144" t="str">
        <f aca="false">IF(ISBLANK($C12),"",$CH12)</f>
        <v/>
      </c>
      <c r="CT12" s="144" t="str">
        <f aca="false">IF(ISBLANK($C12),"",$CG12)</f>
        <v/>
      </c>
      <c r="CU12" s="145" t="str">
        <f aca="false">IF(ISBLANK($C12),"",IFERROR(_xlfn.SWITCH($CT12,Constants!$B$11,COUNTA($C$9:$C$508)+2,Constants!$B$10,COUNTA($C$9:$C$508)+1,Constants!$B$9,COUNTA($C$9:$C$508)),$CT12))</f>
        <v/>
      </c>
      <c r="CV12" s="9"/>
      <c r="CW12" s="146" t="n">
        <f aca="false">IF(OR(ISNUMBER($CT12),$CT12=Constants!$B$11,$CT12=Constants!$B$9,$CT12=Constants!$B$10),1,0)</f>
        <v>0</v>
      </c>
      <c r="CX12" s="146" t="n">
        <v>4</v>
      </c>
      <c r="CY12" s="146" t="str">
        <f aca="false">IF(ISBLANK($C12),"",IF(ISNUMBER($CU12),$CU12+ROW($B12)/1000,""))</f>
        <v/>
      </c>
      <c r="CZ12" s="146" t="str">
        <f aca="false">IF(ISNUMBER($CY12),RANK($CY12,$CY$9:$CY$508,1),"")</f>
        <v/>
      </c>
      <c r="DA12" s="146" t="str">
        <f aca="false">IF(ISBLANK($C12),"",$B12)</f>
        <v/>
      </c>
      <c r="DB12" s="146" t="str">
        <f aca="false">IF(ISBLANK($C12),"",$C12)</f>
        <v/>
      </c>
      <c r="DC12" s="146" t="str">
        <f aca="false">IF(ISBLANK($C12),"",$D12)</f>
        <v/>
      </c>
      <c r="DD12" s="147" t="str">
        <f aca="false">$CR12</f>
        <v/>
      </c>
      <c r="DE12" s="148" t="str">
        <f aca="false">$CQ12</f>
        <v/>
      </c>
      <c r="DF12" s="146" t="str">
        <f aca="false">IF(ISBLANK($C12),"",$CT12)</f>
        <v/>
      </c>
      <c r="DG12" s="149" t="str">
        <f aca="false">IF($CX12&gt;$CW$8,"",VLOOKUP($CX12,$CZ$9:$DF$508,7,FALSE()))</f>
        <v/>
      </c>
      <c r="DH12" s="150" t="str">
        <f aca="false">IF($CX12&gt;$CW$8,"",VLOOKUP($CX12,$CZ$9:$DF$508,2,FALSE()))</f>
        <v/>
      </c>
      <c r="DI12" s="150" t="str">
        <f aca="false">IF($CX12&gt;$CW$8,"",VLOOKUP($CX12,$CZ$9:$DF$508,3,FALSE()))</f>
        <v/>
      </c>
      <c r="DJ12" s="150" t="str">
        <f aca="false">IF($CX12&gt;$CW$8,"",VLOOKUP($CX12,$CZ$9:$DF$508,4,FALSE()))</f>
        <v/>
      </c>
      <c r="DK12" s="150" t="str">
        <f aca="false">IF($CX12&gt;$CW$8,"",VLOOKUP($CX12,$CZ$9:$DF$508,5,FALSE()))</f>
        <v/>
      </c>
      <c r="DL12" s="151" t="str">
        <f aca="false">IF($CX12&gt;$CW$8,"",VLOOKUP($CX12,$CZ$9:$DF$508,6,FALSE()))</f>
        <v/>
      </c>
      <c r="DM12" s="75"/>
    </row>
    <row r="13" customFormat="false" ht="15.75" hidden="false" customHeight="false" outlineLevel="0" collapsed="false">
      <c r="A13" s="9"/>
      <c r="B13" s="118"/>
      <c r="C13" s="152"/>
      <c r="D13" s="120"/>
      <c r="E13" s="121"/>
      <c r="F13" s="153"/>
      <c r="G13" s="154"/>
      <c r="H13" s="154"/>
      <c r="I13" s="124"/>
      <c r="J13" s="125"/>
      <c r="K13" s="126"/>
      <c r="L13" s="127"/>
      <c r="M13" s="128"/>
      <c r="N13" s="125"/>
      <c r="O13" s="125"/>
      <c r="P13" s="121"/>
      <c r="Q13" s="125"/>
      <c r="R13" s="125"/>
      <c r="S13" s="126"/>
      <c r="T13" s="126"/>
      <c r="U13" s="128"/>
      <c r="V13" s="125"/>
      <c r="W13" s="125"/>
      <c r="X13" s="121"/>
      <c r="Y13" s="155"/>
      <c r="Z13" s="156"/>
      <c r="AA13" s="155"/>
      <c r="AB13" s="132"/>
      <c r="AC13" s="133"/>
      <c r="AD13" s="133"/>
      <c r="AE13" s="133"/>
      <c r="AF13" s="133" t="str">
        <f aca="false">IF(ISBLANK($C13),"",IF(E13=Constants!$B$3,TRUE(),IF(E13=Constants!$B$4,FALSE(),TRUE())))</f>
        <v/>
      </c>
      <c r="AG13" s="133" t="str">
        <f aca="false">IF(ISBLANK($C13),"",IF(F13=Constants!$B$3,TRUE(),IF(F13=Constants!$B$4,FALSE(),TRUE())))</f>
        <v/>
      </c>
      <c r="AH13" s="133" t="str">
        <f aca="false">IF(ISBLANK($C13),"",IF(G13=Constants!$B$3,TRUE(),IF(G13=Constants!$B$4,FALSE(),TRUE())))</f>
        <v/>
      </c>
      <c r="AI13" s="133" t="str">
        <f aca="false">IF(ISBLANK($C13),"",IF(AND(ISNUMBER(H13),H13&gt;=0),H13,Constants!$B$29))</f>
        <v/>
      </c>
      <c r="AJ13" s="133" t="str">
        <f aca="false">IF(ISBLANK($C13),"",IF(I13=Constants!$B$3,TRUE(),IF(I13=Constants!$B$4,FALSE(),TRUE())))</f>
        <v/>
      </c>
      <c r="AK13" s="133" t="str">
        <f aca="false">IF(ISBLANK($C13),"",IF(J13=Constants!$B$3,TRUE(),IF(J13=Constants!$B$4,FALSE(),TRUE())))</f>
        <v/>
      </c>
      <c r="AL13" s="133" t="str">
        <f aca="false">IF(ISBLANK($C13),"",IF(K13=Constants!$B$5,TRUE(),IF(K13=Constants!$B$6,FALSE(),COUNTA(L13:P13)&gt;0)))</f>
        <v/>
      </c>
      <c r="AM13" s="134" t="str">
        <f aca="false">IF(ISBLANK($C13),"",IF(ISNUMBER(L13),IF(L13&gt;=0,L13,""),""))</f>
        <v/>
      </c>
      <c r="AN13" s="135" t="str">
        <f aca="false">IF(ISBLANK($C13),"",IF(ISNUMBER(M13),IF(M13&gt;=0,M13,""),""))</f>
        <v/>
      </c>
      <c r="AO13" s="135" t="str">
        <f aca="false">IF(ISBLANK($C13),"",IF(N13=Constants!$B$3,TRUE(),IF(N13=Constants!$B$4,FALSE(),TRUE())))</f>
        <v/>
      </c>
      <c r="AP13" s="133" t="str">
        <f aca="false">IF(ISBLANK($C13),"",IF(ISNUMBER(O13),IF(O13&gt;=0,O13,""),""))</f>
        <v/>
      </c>
      <c r="AQ13" s="133" t="str">
        <f aca="false">IF(ISBLANK($C13),"",IF(P13=Constants!$B$3,TRUE(),IF(P13=Constants!$B$4,FALSE(),FALSE())))</f>
        <v/>
      </c>
      <c r="AR13" s="133" t="str">
        <f aca="false">IF(ISBLANK($C13),"",IF(Q13=Constants!$B$3,TRUE(),IF(Q13=Constants!$B$4,FALSE(),TRUE())))</f>
        <v/>
      </c>
      <c r="AS13" s="133" t="str">
        <f aca="false">IF(ISBLANK($C13),"",IF(R13=Constants!$B$3,TRUE(),IF(R13=Constants!$B$4,FALSE(),TRUE())))</f>
        <v/>
      </c>
      <c r="AT13" s="133" t="str">
        <f aca="false">IF(ISBLANK($C13),"",IF(S13=Constants!$B$5,TRUE(),IF(S13=Constants!$B$6,FALSE(),COUNTA(T13:X13)&gt;0)))</f>
        <v/>
      </c>
      <c r="AU13" s="134" t="str">
        <f aca="false">IF(ISBLANK($C13),"",IF(ISNUMBER(T13),IF(T13&gt;=0,T13,""),""))</f>
        <v/>
      </c>
      <c r="AV13" s="135" t="str">
        <f aca="false">IF(ISBLANK($C13),"",IF(ISNUMBER(U13),IF(U13&gt;=0,U13,""),""))</f>
        <v/>
      </c>
      <c r="AW13" s="135" t="str">
        <f aca="false">IF(ISBLANK($C13),"",IF(V13=Constants!$B$3,TRUE(),IF(V13=Constants!$B$4,FALSE(),TRUE())))</f>
        <v/>
      </c>
      <c r="AX13" s="133" t="str">
        <f aca="false">IF(ISBLANK($C13),"",IF(ISNUMBER(W13),IF(W13&gt;=0,W13,""),""))</f>
        <v/>
      </c>
      <c r="AY13" s="133" t="str">
        <f aca="false">IF(ISBLANK($C13),"",IF(X13=Constants!$B$3,TRUE(),IF(X13=Constants!$B$4,FALSE(),FALSE())))</f>
        <v/>
      </c>
      <c r="AZ13" s="133" t="str">
        <f aca="false">IF(ISBLANK($C13),"",MIN(Constants!$B$31,MAX(0,IF(ISNUMBER(Y13),Y13*60,0)+IF(ISNUMBER(Z13),Z13,0))))</f>
        <v/>
      </c>
      <c r="BA13" s="133" t="str">
        <f aca="false">IF(ISBLANK($C13),"",IF(AA13=Constants!$B$3,TRUE(),IF(AA13=Constants!$B$4,FALSE(),FALSE())))</f>
        <v/>
      </c>
      <c r="BB13" s="132" t="str">
        <f aca="false">IF(ISBLANK($C13),"",AND($AL13,OR($AM13="",$AN13="",AND($AO13,$AP13=""))))</f>
        <v/>
      </c>
      <c r="BC13" s="135" t="str">
        <f aca="false">IF($BR13&lt;&gt;Constants!$B$8,"",IF($AL13,Constants!$B$21*$AN13+Constants!$B$22*IF($AO13,$AP13,Constants!$B$23),Constants!$B$24))</f>
        <v/>
      </c>
      <c r="BD13" s="136" t="str">
        <f aca="false">IF($BR13&lt;&gt;Constants!$B$8,"",Constants!$B$25*ABS($AD$9-IF($AL13,$AM13,0)))</f>
        <v/>
      </c>
      <c r="BE13" s="136" t="str">
        <f aca="false">IF($BR13&lt;&gt;Constants!$B$8,"",IF(AND($AL13,$AQ13,$AO13),Constants!$B$27,0))</f>
        <v/>
      </c>
      <c r="BF13" s="136" t="str">
        <f aca="false">IF($BR13&lt;&gt;Constants!$B$8,"",IF($AL13,($AI13-Constants!$B$29)*Constants!$B$28,0))</f>
        <v/>
      </c>
      <c r="BG13" s="136" t="str">
        <f aca="false">IF($BR13&lt;&gt;Constants!$B$8,"",IF($AK13,0,Constants!$B$15)+IF($AJ13,0,Constants!$B$16)+IF($AH13,0,Constants!$B$17))</f>
        <v/>
      </c>
      <c r="BH13" s="137" t="str">
        <f aca="false">IF($BR13&lt;&gt;Constants!$B$8,"",Constants!$B$20+SUM($BC13:$BG13))</f>
        <v/>
      </c>
      <c r="BI13" s="133" t="str">
        <f aca="false">IF($BR13&lt;&gt;Constants!$B$8,"",IF(OR($BP13&lt;$BH13,AND($BP13=$BH13,OR($BK13&lt;$BC13,AND($BK13=$BC13,OR($BL13&lt;$BD13,AND($BL13=$BD13,$AT13,$AL13,$AV13&lt;$AN13)))))),"-&gt;","&lt;-"))</f>
        <v/>
      </c>
      <c r="BJ13" s="132" t="str">
        <f aca="false">IF(ISBLANK($C13),"",AND($AT13,OR($AU13="",$AV13="",AND($AW13,$AX13=""))))</f>
        <v/>
      </c>
      <c r="BK13" s="135" t="str">
        <f aca="false">IF($BR13&lt;&gt;Constants!$B$8,"",IF($AT13,Constants!$B$21*$AV13+Constants!$B$22*IF($AW13,$AX13,Constants!$B$23),Constants!$B$24))</f>
        <v/>
      </c>
      <c r="BL13" s="136" t="str">
        <f aca="false">IF($BR13&lt;&gt;Constants!$B$8,"",Constants!$B$25*ABS($AD$9-IF($AT13,$AU13,0)))</f>
        <v/>
      </c>
      <c r="BM13" s="136" t="str">
        <f aca="false">IF($BR13&lt;&gt;Constants!$B$8,"",IF(AND($AT13,$AY13,$AW13),Constants!$B$27,0))</f>
        <v/>
      </c>
      <c r="BN13" s="136" t="str">
        <f aca="false">IF($BR13&lt;&gt;Constants!$B$8,"",IF($AT13,($AI13-Constants!$B$29)*Constants!$B$28,0))</f>
        <v/>
      </c>
      <c r="BO13" s="136" t="str">
        <f aca="false">IF($BR13&lt;&gt;Constants!$B$8,"",IF($AS13,0,Constants!$B$15)+IF($AR13,0,Constants!$B$16)+IF($AH13,0,Constants!$B$17))</f>
        <v/>
      </c>
      <c r="BP13" s="137" t="str">
        <f aca="false">IF($BR13&lt;&gt;Constants!$B$8,"",Constants!$B$20+SUM($BK13:$BO13))</f>
        <v/>
      </c>
      <c r="BQ13" s="133" t="str">
        <f aca="false">IF(ISBLANK($C13),"",IF(ISBLANK($D$7),$BQ$5,IF(NOT(ISNUMBER($D$7)),$BQ$6,"")))</f>
        <v/>
      </c>
      <c r="BR13" s="133" t="str">
        <f aca="false">IF(ISBLANK($C13),"",IF($BA13,Constants!$B$11,IF(COUNTA($E13:$AA13)=0,Constants!$B$10,IF(NOT($AG13),Constants!$B$9,IF(OR($BQ13&lt;&gt;"",$BB13,$BJ13),Constants!$B$12,Constants!$B$8)))))</f>
        <v/>
      </c>
      <c r="BS13" s="133" t="str">
        <f aca="false">IF(ISBLANK($C13),"",IF($BR13&lt;&gt;Constants!$B$8,$BR13,Constants!$B$13))</f>
        <v/>
      </c>
      <c r="BT13" s="136" t="str">
        <f aca="false">IF($BR13&lt;&gt;Constants!$B$8,"",IF($BI13="-&gt;",$BP13,$BH13))</f>
        <v/>
      </c>
      <c r="BU13" s="136" t="str">
        <f aca="false">IF($BR13&lt;&gt;Constants!$B$8,"",IF($AF13,0,Constants!$B$18))</f>
        <v/>
      </c>
      <c r="BV13" s="136" t="str">
        <f aca="false">IF($BR13&lt;&gt;Constants!$B$8,"",((Constants!$B$31-$AZ13)-Constants!$B$31)/Constants!$B$32)</f>
        <v/>
      </c>
      <c r="BW13" s="136" t="str">
        <f aca="false">IF(ISBLANK($C13),"",IF($BR13&lt;&gt;Constants!$B$8,$BR13,SUM($BT13:$BV13)))</f>
        <v/>
      </c>
      <c r="BX13" s="133" t="str">
        <f aca="false">IF(ISBLANK($C13),"",IF($BR13&lt;&gt;Constants!$B$8,$BR13,RANK($BW13,$BW$9:$BW$508,1)))</f>
        <v/>
      </c>
      <c r="BY13" s="136" t="str">
        <f aca="false">IF($BR13&lt;&gt;Constants!$B$8,"",IF($BI13="-&gt;",$BK13,$BC13))</f>
        <v/>
      </c>
      <c r="BZ13" s="133" t="str">
        <f aca="false">IF(ISBLANK($C13),"",IF($BR13&lt;&gt;Constants!$B$8,$BR13,IF(ISNUMBER($BY13),RANK($BY13,$BY$9:$BY$508,1),COUNT($BY$9:$BY$508)+1)))</f>
        <v/>
      </c>
      <c r="CA13" s="136" t="str">
        <f aca="false">IF($BR13&lt;&gt;Constants!$B$8,"",IF($BI13="-&gt;",$BL13,$BD13))</f>
        <v/>
      </c>
      <c r="CB13" s="133" t="str">
        <f aca="false">IF(ISBLANK($C13),"",IF($BR13&lt;&gt;Constants!$B$8,$BR13,IF(ISNUMBER($CA13),RANK($CA13,$CA$9:$CA$508,1),COUNT($CA$9:$CA$508)+1)))</f>
        <v/>
      </c>
      <c r="CC13" s="136" t="str">
        <f aca="false">IF($BR13&lt;&gt;Constants!$B$8,"",IF($BI13="-&gt;",IF($AT13,$AV13,""),IF($AL13,$AN13,"")))</f>
        <v/>
      </c>
      <c r="CD13" s="133" t="str">
        <f aca="false">IF(ISBLANK($C13),"",IF($BR13&lt;&gt;Constants!$B$8,$BR13,IF(ISNUMBER($CC13),RANK($CC13,$CC$9:$CC$508,1),COUNT($CC$9:$CC$508)+1)))</f>
        <v/>
      </c>
      <c r="CE13" s="136" t="str">
        <f aca="false">IF($BR13&lt;&gt;Constants!$B$8,"",IF(AND(NOT($AL13),NOT($AT13),$AJ13,$AK13,$AR13,$AS13),"",$AI13))</f>
        <v/>
      </c>
      <c r="CF13" s="133" t="str">
        <f aca="false">IF(ISBLANK($C13),"",IF($BR13&lt;&gt;Constants!$B$8,$BR13,IF(ISNUMBER($CE13),RANK($CE13,$CE$9:$CE$508,1),COUNT($CE$9:$CE$508)+1)))</f>
        <v/>
      </c>
      <c r="CG13" s="133" t="str">
        <f aca="false">IF(ISBLANK($C13),"",IF($BR13&lt;&gt;Constants!$B$8,$BR13,COUNTIFS($BX$9:$BX$508,"&lt;"&amp;$BX13)+COUNTIFS($BX$9:$BX$508,$BX13,$BZ$9:$BZ$508,"&lt;"&amp;$BZ13)+COUNTIFS($BX$9:$BX$508,$BX13,$BZ$9:$BZ$508,$BZ13,$CB$9:$CB$508,"&lt;"&amp;$CB13)+COUNTIFS($BX$9:$BX$508,$BX13,$BZ$9:$BZ$508,$BZ13,$CB$9:$CB$508,$CB13,$CD$9:$CD$508,"&lt;"&amp;$CD13)+COUNTIFS($BX$9:$BX$508,$BX13,$BZ$9:$BZ$508,$BZ13,$CB$9:$CB$508,$CB13,$CD$9:$CD$508,$CD13,$CF$9:$CF$508,"&lt;"&amp;$CF13)+1))</f>
        <v/>
      </c>
      <c r="CH13" s="133" t="str">
        <f aca="false">IF(ISBLANK($C13),"",IF($BR13&lt;&gt;Constants!$B$8,$BR13,$BX13-$CG13))</f>
        <v/>
      </c>
      <c r="CI13" s="138"/>
      <c r="CJ13" s="139"/>
      <c r="CK13" s="140" t="str">
        <f aca="false">IF(ISBLANK($C13),"",IF($BR13=Constants!$B$12,$BQ13,""))</f>
        <v/>
      </c>
      <c r="CL13" s="139" t="str">
        <f aca="false">IF(ISBLANK($C13),"",IF($BR13&lt;&gt;Constants!$B$8,"",IF($BI13="-&gt;",2,1)))</f>
        <v/>
      </c>
      <c r="CM13" s="141" t="str">
        <f aca="false">IF(ISBLANK($C13),"",IF($BR13&lt;&gt;Constants!$B$8,"",IF($BI13="-&gt;",$BK13,$BC13)))</f>
        <v/>
      </c>
      <c r="CN13" s="141" t="str">
        <f aca="false">IF(ISBLANK($C13),"",IF($BR13&lt;&gt;Constants!$B$8,"",IF($BI13="-&gt;",$BL13,$BD13)))</f>
        <v/>
      </c>
      <c r="CO13" s="141" t="str">
        <f aca="false">IF(ISBLANK($C13),"",IF($BR13&lt;&gt;Constants!$B$8,"",IF($BI13="-&gt;",$BM13+$BN13,$BE13+$BF13)+$BV13))</f>
        <v/>
      </c>
      <c r="CP13" s="141" t="str">
        <f aca="false">IF(ISBLANK($C13),"",IF($BR13&lt;&gt;Constants!$B$8,"",IF($BI13="-&gt;",$BO13,$BG13)+$BU13))</f>
        <v/>
      </c>
      <c r="CQ13" s="142" t="str">
        <f aca="false">IF(ISBLANK($C13),"",IF($BR13&lt;&gt;Constants!$B$8,$BR13,$BW13))</f>
        <v/>
      </c>
      <c r="CR13" s="143" t="str">
        <f aca="false">IF(ISBLANK($C13),"",$BS13)</f>
        <v/>
      </c>
      <c r="CS13" s="144" t="str">
        <f aca="false">IF(ISBLANK($C13),"",$CH13)</f>
        <v/>
      </c>
      <c r="CT13" s="144" t="str">
        <f aca="false">IF(ISBLANK($C13),"",$CG13)</f>
        <v/>
      </c>
      <c r="CU13" s="145" t="str">
        <f aca="false">IF(ISBLANK($C13),"",IFERROR(_xlfn.SWITCH($CT13,Constants!$B$11,COUNTA($C$9:$C$508)+2,Constants!$B$10,COUNTA($C$9:$C$508)+1,Constants!$B$9,COUNTA($C$9:$C$508)),$CT13))</f>
        <v/>
      </c>
      <c r="CV13" s="9"/>
      <c r="CW13" s="146" t="n">
        <f aca="false">IF(OR(ISNUMBER($CT13),$CT13=Constants!$B$11,$CT13=Constants!$B$9,$CT13=Constants!$B$10),1,0)</f>
        <v>0</v>
      </c>
      <c r="CX13" s="146" t="n">
        <v>5</v>
      </c>
      <c r="CY13" s="146" t="str">
        <f aca="false">IF(ISBLANK($C13),"",IF(ISNUMBER($CU13),$CU13+ROW($B13)/1000,""))</f>
        <v/>
      </c>
      <c r="CZ13" s="146" t="str">
        <f aca="false">IF(ISNUMBER($CY13),RANK($CY13,$CY$9:$CY$508,1),"")</f>
        <v/>
      </c>
      <c r="DA13" s="146" t="str">
        <f aca="false">IF(ISBLANK($C13),"",$B13)</f>
        <v/>
      </c>
      <c r="DB13" s="146" t="str">
        <f aca="false">IF(ISBLANK($C13),"",$C13)</f>
        <v/>
      </c>
      <c r="DC13" s="146" t="str">
        <f aca="false">IF(ISBLANK($C13),"",$D13)</f>
        <v/>
      </c>
      <c r="DD13" s="147" t="str">
        <f aca="false">$CR13</f>
        <v/>
      </c>
      <c r="DE13" s="148" t="str">
        <f aca="false">$CQ13</f>
        <v/>
      </c>
      <c r="DF13" s="146" t="str">
        <f aca="false">IF(ISBLANK($C13),"",$CT13)</f>
        <v/>
      </c>
      <c r="DG13" s="149" t="str">
        <f aca="false">IF($CX13&gt;$CW$8,"",VLOOKUP($CX13,$CZ$9:$DF$508,7,FALSE()))</f>
        <v/>
      </c>
      <c r="DH13" s="150" t="str">
        <f aca="false">IF($CX13&gt;$CW$8,"",VLOOKUP($CX13,$CZ$9:$DF$508,2,FALSE()))</f>
        <v/>
      </c>
      <c r="DI13" s="150" t="str">
        <f aca="false">IF($CX13&gt;$CW$8,"",VLOOKUP($CX13,$CZ$9:$DF$508,3,FALSE()))</f>
        <v/>
      </c>
      <c r="DJ13" s="150" t="str">
        <f aca="false">IF($CX13&gt;$CW$8,"",VLOOKUP($CX13,$CZ$9:$DF$508,4,FALSE()))</f>
        <v/>
      </c>
      <c r="DK13" s="150" t="str">
        <f aca="false">IF($CX13&gt;$CW$8,"",VLOOKUP($CX13,$CZ$9:$DF$508,5,FALSE()))</f>
        <v/>
      </c>
      <c r="DL13" s="151" t="str">
        <f aca="false">IF($CX13&gt;$CW$8,"",VLOOKUP($CX13,$CZ$9:$DF$508,6,FALSE()))</f>
        <v/>
      </c>
      <c r="DM13" s="75"/>
    </row>
    <row r="14" customFormat="false" ht="15.65" hidden="false" customHeight="true" outlineLevel="0" collapsed="false">
      <c r="A14" s="9"/>
      <c r="B14" s="118"/>
      <c r="C14" s="152"/>
      <c r="D14" s="120"/>
      <c r="E14" s="121"/>
      <c r="F14" s="153"/>
      <c r="G14" s="154"/>
      <c r="H14" s="154"/>
      <c r="I14" s="124"/>
      <c r="J14" s="125"/>
      <c r="K14" s="126"/>
      <c r="L14" s="127"/>
      <c r="M14" s="128"/>
      <c r="N14" s="125"/>
      <c r="O14" s="125"/>
      <c r="P14" s="121"/>
      <c r="Q14" s="125"/>
      <c r="R14" s="125"/>
      <c r="S14" s="126"/>
      <c r="T14" s="128"/>
      <c r="U14" s="128"/>
      <c r="V14" s="125"/>
      <c r="W14" s="125"/>
      <c r="X14" s="121"/>
      <c r="Y14" s="155"/>
      <c r="Z14" s="156"/>
      <c r="AA14" s="155"/>
      <c r="AB14" s="132"/>
      <c r="AC14" s="133"/>
      <c r="AD14" s="133"/>
      <c r="AE14" s="133"/>
      <c r="AF14" s="133" t="str">
        <f aca="false">IF(ISBLANK($C14),"",IF(E14=Constants!$B$3,TRUE(),IF(E14=Constants!$B$4,FALSE(),TRUE())))</f>
        <v/>
      </c>
      <c r="AG14" s="133" t="str">
        <f aca="false">IF(ISBLANK($C14),"",IF(F14=Constants!$B$3,TRUE(),IF(F14=Constants!$B$4,FALSE(),TRUE())))</f>
        <v/>
      </c>
      <c r="AH14" s="133" t="str">
        <f aca="false">IF(ISBLANK($C14),"",IF(G14=Constants!$B$3,TRUE(),IF(G14=Constants!$B$4,FALSE(),TRUE())))</f>
        <v/>
      </c>
      <c r="AI14" s="133" t="str">
        <f aca="false">IF(ISBLANK($C14),"",IF(AND(ISNUMBER(H14),H14&gt;=0),H14,Constants!$B$29))</f>
        <v/>
      </c>
      <c r="AJ14" s="133" t="str">
        <f aca="false">IF(ISBLANK($C14),"",IF(I14=Constants!$B$3,TRUE(),IF(I14=Constants!$B$4,FALSE(),TRUE())))</f>
        <v/>
      </c>
      <c r="AK14" s="133" t="str">
        <f aca="false">IF(ISBLANK($C14),"",IF(J14=Constants!$B$3,TRUE(),IF(J14=Constants!$B$4,FALSE(),TRUE())))</f>
        <v/>
      </c>
      <c r="AL14" s="133" t="str">
        <f aca="false">IF(ISBLANK($C14),"",IF(K14=Constants!$B$5,TRUE(),IF(K14=Constants!$B$6,FALSE(),COUNTA(L14:P14)&gt;0)))</f>
        <v/>
      </c>
      <c r="AM14" s="134" t="str">
        <f aca="false">IF(ISBLANK($C14),"",IF(ISNUMBER(L14),IF(L14&gt;=0,L14,""),""))</f>
        <v/>
      </c>
      <c r="AN14" s="135" t="str">
        <f aca="false">IF(ISBLANK($C14),"",IF(ISNUMBER(M14),IF(M14&gt;=0,M14,""),""))</f>
        <v/>
      </c>
      <c r="AO14" s="135" t="str">
        <f aca="false">IF(ISBLANK($C14),"",IF(N14=Constants!$B$3,TRUE(),IF(N14=Constants!$B$4,FALSE(),TRUE())))</f>
        <v/>
      </c>
      <c r="AP14" s="133" t="str">
        <f aca="false">IF(ISBLANK($C14),"",IF(ISNUMBER(O14),IF(O14&gt;=0,O14,""),""))</f>
        <v/>
      </c>
      <c r="AQ14" s="133" t="str">
        <f aca="false">IF(ISBLANK($C14),"",IF(P14=Constants!$B$3,TRUE(),IF(P14=Constants!$B$4,FALSE(),FALSE())))</f>
        <v/>
      </c>
      <c r="AR14" s="133" t="str">
        <f aca="false">IF(ISBLANK($C14),"",IF(Q14=Constants!$B$3,TRUE(),IF(Q14=Constants!$B$4,FALSE(),TRUE())))</f>
        <v/>
      </c>
      <c r="AS14" s="133" t="str">
        <f aca="false">IF(ISBLANK($C14),"",IF(R14=Constants!$B$3,TRUE(),IF(R14=Constants!$B$4,FALSE(),TRUE())))</f>
        <v/>
      </c>
      <c r="AT14" s="133" t="str">
        <f aca="false">IF(ISBLANK($C14),"",IF(S14=Constants!$B$5,TRUE(),IF(S14=Constants!$B$6,FALSE(),COUNTA(T14:X14)&gt;0)))</f>
        <v/>
      </c>
      <c r="AU14" s="134" t="str">
        <f aca="false">IF(ISBLANK($C14),"",IF(ISNUMBER(T14),IF(T14&gt;=0,T14,""),""))</f>
        <v/>
      </c>
      <c r="AV14" s="135" t="str">
        <f aca="false">IF(ISBLANK($C14),"",IF(ISNUMBER(U14),IF(U14&gt;=0,U14,""),""))</f>
        <v/>
      </c>
      <c r="AW14" s="135" t="str">
        <f aca="false">IF(ISBLANK($C14),"",IF(V14=Constants!$B$3,TRUE(),IF(V14=Constants!$B$4,FALSE(),TRUE())))</f>
        <v/>
      </c>
      <c r="AX14" s="133" t="str">
        <f aca="false">IF(ISBLANK($C14),"",IF(ISNUMBER(W14),IF(W14&gt;=0,W14,""),""))</f>
        <v/>
      </c>
      <c r="AY14" s="133" t="str">
        <f aca="false">IF(ISBLANK($C14),"",IF(X14=Constants!$B$3,TRUE(),IF(X14=Constants!$B$4,FALSE(),FALSE())))</f>
        <v/>
      </c>
      <c r="AZ14" s="133" t="str">
        <f aca="false">IF(ISBLANK($C14),"",MIN(Constants!$B$31,MAX(0,IF(ISNUMBER(Y14),Y14*60,0)+IF(ISNUMBER(Z14),Z14,0))))</f>
        <v/>
      </c>
      <c r="BA14" s="133" t="str">
        <f aca="false">IF(ISBLANK($C14),"",IF(AA14=Constants!$B$3,TRUE(),IF(AA14=Constants!$B$4,FALSE(),FALSE())))</f>
        <v/>
      </c>
      <c r="BB14" s="132" t="str">
        <f aca="false">IF(ISBLANK($C14),"",AND($AL14,OR($AM14="",$AN14="",AND($AO14,$AP14=""))))</f>
        <v/>
      </c>
      <c r="BC14" s="135" t="str">
        <f aca="false">IF($BR14&lt;&gt;Constants!$B$8,"",IF($AL14,Constants!$B$21*$AN14+Constants!$B$22*IF($AO14,$AP14,Constants!$B$23),Constants!$B$24))</f>
        <v/>
      </c>
      <c r="BD14" s="136" t="str">
        <f aca="false">IF($BR14&lt;&gt;Constants!$B$8,"",Constants!$B$25*ABS($AD$9-IF($AL14,$AM14,0)))</f>
        <v/>
      </c>
      <c r="BE14" s="136" t="str">
        <f aca="false">IF($BR14&lt;&gt;Constants!$B$8,"",IF(AND($AL14,$AQ14,$AO14),Constants!$B$27,0))</f>
        <v/>
      </c>
      <c r="BF14" s="136" t="str">
        <f aca="false">IF($BR14&lt;&gt;Constants!$B$8,"",IF($AL14,($AI14-Constants!$B$29)*Constants!$B$28,0))</f>
        <v/>
      </c>
      <c r="BG14" s="136" t="str">
        <f aca="false">IF($BR14&lt;&gt;Constants!$B$8,"",IF($AK14,0,Constants!$B$15)+IF($AJ14,0,Constants!$B$16)+IF($AH14,0,Constants!$B$17))</f>
        <v/>
      </c>
      <c r="BH14" s="137" t="str">
        <f aca="false">IF($BR14&lt;&gt;Constants!$B$8,"",Constants!$B$20+SUM($BC14:$BG14))</f>
        <v/>
      </c>
      <c r="BI14" s="133" t="str">
        <f aca="false">IF($BR14&lt;&gt;Constants!$B$8,"",IF(OR($BP14&lt;$BH14,AND($BP14=$BH14,OR($BK14&lt;$BC14,AND($BK14=$BC14,OR($BL14&lt;$BD14,AND($BL14=$BD14,$AT14,$AL14,$AV14&lt;$AN14)))))),"-&gt;","&lt;-"))</f>
        <v/>
      </c>
      <c r="BJ14" s="132" t="str">
        <f aca="false">IF(ISBLANK($C14),"",AND($AT14,OR($AU14="",$AV14="",AND($AW14,$AX14=""))))</f>
        <v/>
      </c>
      <c r="BK14" s="135" t="str">
        <f aca="false">IF($BR14&lt;&gt;Constants!$B$8,"",IF($AT14,Constants!$B$21*$AV14+Constants!$B$22*IF($AW14,$AX14,Constants!$B$23),Constants!$B$24))</f>
        <v/>
      </c>
      <c r="BL14" s="136" t="str">
        <f aca="false">IF($BR14&lt;&gt;Constants!$B$8,"",Constants!$B$25*ABS($AD$9-IF($AT14,$AU14,0)))</f>
        <v/>
      </c>
      <c r="BM14" s="136" t="str">
        <f aca="false">IF($BR14&lt;&gt;Constants!$B$8,"",IF(AND($AT14,$AY14,$AW14),Constants!$B$27,0))</f>
        <v/>
      </c>
      <c r="BN14" s="136" t="str">
        <f aca="false">IF($BR14&lt;&gt;Constants!$B$8,"",IF($AT14,($AI14-Constants!$B$29)*Constants!$B$28,0))</f>
        <v/>
      </c>
      <c r="BO14" s="136" t="str">
        <f aca="false">IF($BR14&lt;&gt;Constants!$B$8,"",IF($AS14,0,Constants!$B$15)+IF($AR14,0,Constants!$B$16)+IF($AH14,0,Constants!$B$17))</f>
        <v/>
      </c>
      <c r="BP14" s="137" t="str">
        <f aca="false">IF($BR14&lt;&gt;Constants!$B$8,"",Constants!$B$20+SUM($BK14:$BO14))</f>
        <v/>
      </c>
      <c r="BQ14" s="133" t="str">
        <f aca="false">IF(ISBLANK($C14),"",IF(ISBLANK($D$7),$BQ$5,IF(NOT(ISNUMBER($D$7)),$BQ$6,"")))</f>
        <v/>
      </c>
      <c r="BR14" s="133" t="str">
        <f aca="false">IF(ISBLANK($C14),"",IF($BA14,Constants!$B$11,IF(COUNTA($E14:$AA14)=0,Constants!$B$10,IF(NOT($AG14),Constants!$B$9,IF(OR($BQ14&lt;&gt;"",$BB14,$BJ14),Constants!$B$12,Constants!$B$8)))))</f>
        <v/>
      </c>
      <c r="BS14" s="133" t="str">
        <f aca="false">IF(ISBLANK($C14),"",IF($BR14&lt;&gt;Constants!$B$8,$BR14,Constants!$B$13))</f>
        <v/>
      </c>
      <c r="BT14" s="136" t="str">
        <f aca="false">IF($BR14&lt;&gt;Constants!$B$8,"",IF($BI14="-&gt;",$BP14,$BH14))</f>
        <v/>
      </c>
      <c r="BU14" s="136" t="str">
        <f aca="false">IF($BR14&lt;&gt;Constants!$B$8,"",IF($AF14,0,Constants!$B$18))</f>
        <v/>
      </c>
      <c r="BV14" s="136" t="str">
        <f aca="false">IF($BR14&lt;&gt;Constants!$B$8,"",((Constants!$B$31-$AZ14)-Constants!$B$31)/Constants!$B$32)</f>
        <v/>
      </c>
      <c r="BW14" s="136" t="str">
        <f aca="false">IF(ISBLANK($C14),"",IF($BR14&lt;&gt;Constants!$B$8,$BR14,SUM($BT14:$BV14)))</f>
        <v/>
      </c>
      <c r="BX14" s="133" t="str">
        <f aca="false">IF(ISBLANK($C14),"",IF($BR14&lt;&gt;Constants!$B$8,$BR14,RANK($BW14,$BW$9:$BW$508,1)))</f>
        <v/>
      </c>
      <c r="BY14" s="136" t="str">
        <f aca="false">IF($BR14&lt;&gt;Constants!$B$8,"",IF($BI14="-&gt;",$BK14,$BC14))</f>
        <v/>
      </c>
      <c r="BZ14" s="133" t="str">
        <f aca="false">IF(ISBLANK($C14),"",IF($BR14&lt;&gt;Constants!$B$8,$BR14,IF(ISNUMBER($BY14),RANK($BY14,$BY$9:$BY$508,1),COUNT($BY$9:$BY$508)+1)))</f>
        <v/>
      </c>
      <c r="CA14" s="136" t="str">
        <f aca="false">IF($BR14&lt;&gt;Constants!$B$8,"",IF($BI14="-&gt;",$BL14,$BD14))</f>
        <v/>
      </c>
      <c r="CB14" s="133" t="str">
        <f aca="false">IF(ISBLANK($C14),"",IF($BR14&lt;&gt;Constants!$B$8,$BR14,IF(ISNUMBER($CA14),RANK($CA14,$CA$9:$CA$508,1),COUNT($CA$9:$CA$508)+1)))</f>
        <v/>
      </c>
      <c r="CC14" s="136" t="str">
        <f aca="false">IF($BR14&lt;&gt;Constants!$B$8,"",IF($BI14="-&gt;",IF($AT14,$AV14,""),IF($AL14,$AN14,"")))</f>
        <v/>
      </c>
      <c r="CD14" s="133" t="str">
        <f aca="false">IF(ISBLANK($C14),"",IF($BR14&lt;&gt;Constants!$B$8,$BR14,IF(ISNUMBER($CC14),RANK($CC14,$CC$9:$CC$508,1),COUNT($CC$9:$CC$508)+1)))</f>
        <v/>
      </c>
      <c r="CE14" s="136" t="str">
        <f aca="false">IF($BR14&lt;&gt;Constants!$B$8,"",IF(AND(NOT($AL14),NOT($AT14),$AJ14,$AK14,$AR14,$AS14),"",$AI14))</f>
        <v/>
      </c>
      <c r="CF14" s="133" t="str">
        <f aca="false">IF(ISBLANK($C14),"",IF($BR14&lt;&gt;Constants!$B$8,$BR14,IF(ISNUMBER($CE14),RANK($CE14,$CE$9:$CE$508,1),COUNT($CE$9:$CE$508)+1)))</f>
        <v/>
      </c>
      <c r="CG14" s="133" t="str">
        <f aca="false">IF(ISBLANK($C14),"",IF($BR14&lt;&gt;Constants!$B$8,$BR14,COUNTIFS($BX$9:$BX$508,"&lt;"&amp;$BX14)+COUNTIFS($BX$9:$BX$508,$BX14,$BZ$9:$BZ$508,"&lt;"&amp;$BZ14)+COUNTIFS($BX$9:$BX$508,$BX14,$BZ$9:$BZ$508,$BZ14,$CB$9:$CB$508,"&lt;"&amp;$CB14)+COUNTIFS($BX$9:$BX$508,$BX14,$BZ$9:$BZ$508,$BZ14,$CB$9:$CB$508,$CB14,$CD$9:$CD$508,"&lt;"&amp;$CD14)+COUNTIFS($BX$9:$BX$508,$BX14,$BZ$9:$BZ$508,$BZ14,$CB$9:$CB$508,$CB14,$CD$9:$CD$508,$CD14,$CF$9:$CF$508,"&lt;"&amp;$CF14)+1))</f>
        <v/>
      </c>
      <c r="CH14" s="133" t="str">
        <f aca="false">IF(ISBLANK($C14),"",IF($BR14&lt;&gt;Constants!$B$8,$BR14,$BX14-$CG14))</f>
        <v/>
      </c>
      <c r="CI14" s="138"/>
      <c r="CJ14" s="139"/>
      <c r="CK14" s="140" t="str">
        <f aca="false">IF(ISBLANK($C14),"",IF($BR14=Constants!$B$12,$BQ14,""))</f>
        <v/>
      </c>
      <c r="CL14" s="139" t="str">
        <f aca="false">IF(ISBLANK($C14),"",IF($BR14&lt;&gt;Constants!$B$8,"",IF($BI14="-&gt;",2,1)))</f>
        <v/>
      </c>
      <c r="CM14" s="141" t="str">
        <f aca="false">IF(ISBLANK($C14),"",IF($BR14&lt;&gt;Constants!$B$8,"",IF($BI14="-&gt;",$BK14,$BC14)))</f>
        <v/>
      </c>
      <c r="CN14" s="141" t="str">
        <f aca="false">IF(ISBLANK($C14),"",IF($BR14&lt;&gt;Constants!$B$8,"",IF($BI14="-&gt;",$BL14,$BD14)))</f>
        <v/>
      </c>
      <c r="CO14" s="141" t="str">
        <f aca="false">IF(ISBLANK($C14),"",IF($BR14&lt;&gt;Constants!$B$8,"",IF($BI14="-&gt;",$BM14+$BN14,$BE14+$BF14)+$BV14))</f>
        <v/>
      </c>
      <c r="CP14" s="141" t="str">
        <f aca="false">IF(ISBLANK($C14),"",IF($BR14&lt;&gt;Constants!$B$8,"",IF($BI14="-&gt;",$BO14,$BG14)+$BU14))</f>
        <v/>
      </c>
      <c r="CQ14" s="142" t="str">
        <f aca="false">IF(ISBLANK($C14),"",IF($BR14&lt;&gt;Constants!$B$8,$BR14,$BW14))</f>
        <v/>
      </c>
      <c r="CR14" s="143" t="str">
        <f aca="false">IF(ISBLANK($C14),"",$BS14)</f>
        <v/>
      </c>
      <c r="CS14" s="144" t="str">
        <f aca="false">IF(ISBLANK($C14),"",$CH14)</f>
        <v/>
      </c>
      <c r="CT14" s="144" t="str">
        <f aca="false">IF(ISBLANK($C14),"",$CG14)</f>
        <v/>
      </c>
      <c r="CU14" s="145" t="str">
        <f aca="false">IF(ISBLANK($C14),"",IFERROR(_xlfn.SWITCH($CT14,Constants!$B$11,COUNTA($C$9:$C$508)+2,Constants!$B$10,COUNTA($C$9:$C$508)+1,Constants!$B$9,COUNTA($C$9:$C$508)),$CT14))</f>
        <v/>
      </c>
      <c r="CV14" s="9"/>
      <c r="CW14" s="146" t="n">
        <f aca="false">IF(OR(ISNUMBER($CT14),$CT14=Constants!$B$11,$CT14=Constants!$B$9,$CT14=Constants!$B$10),1,0)</f>
        <v>0</v>
      </c>
      <c r="CX14" s="146" t="n">
        <v>6</v>
      </c>
      <c r="CY14" s="146" t="str">
        <f aca="false">IF(ISBLANK($C14),"",IF(ISNUMBER($CU14),$CU14+ROW($B14)/1000,""))</f>
        <v/>
      </c>
      <c r="CZ14" s="146" t="str">
        <f aca="false">IF(ISNUMBER($CY14),RANK($CY14,$CY$9:$CY$508,1),"")</f>
        <v/>
      </c>
      <c r="DA14" s="146" t="str">
        <f aca="false">IF(ISBLANK($C14),"",$B14)</f>
        <v/>
      </c>
      <c r="DB14" s="146" t="str">
        <f aca="false">IF(ISBLANK($C14),"",$C14)</f>
        <v/>
      </c>
      <c r="DC14" s="146" t="str">
        <f aca="false">IF(ISBLANK($C14),"",$D14)</f>
        <v/>
      </c>
      <c r="DD14" s="147" t="str">
        <f aca="false">$CR14</f>
        <v/>
      </c>
      <c r="DE14" s="148" t="str">
        <f aca="false">$CQ14</f>
        <v/>
      </c>
      <c r="DF14" s="146" t="str">
        <f aca="false">IF(ISBLANK($C14),"",$CT14)</f>
        <v/>
      </c>
      <c r="DG14" s="149" t="str">
        <f aca="false">IF($CX14&gt;$CW$8,"",VLOOKUP($CX14,$CZ$9:$DF$508,7,FALSE()))</f>
        <v/>
      </c>
      <c r="DH14" s="150" t="str">
        <f aca="false">IF($CX14&gt;$CW$8,"",VLOOKUP($CX14,$CZ$9:$DF$508,2,FALSE()))</f>
        <v/>
      </c>
      <c r="DI14" s="150" t="str">
        <f aca="false">IF($CX14&gt;$CW$8,"",VLOOKUP($CX14,$CZ$9:$DF$508,3,FALSE()))</f>
        <v/>
      </c>
      <c r="DJ14" s="150" t="str">
        <f aca="false">IF($CX14&gt;$CW$8,"",VLOOKUP($CX14,$CZ$9:$DF$508,4,FALSE()))</f>
        <v/>
      </c>
      <c r="DK14" s="150" t="str">
        <f aca="false">IF($CX14&gt;$CW$8,"",VLOOKUP($CX14,$CZ$9:$DF$508,5,FALSE()))</f>
        <v/>
      </c>
      <c r="DL14" s="151" t="str">
        <f aca="false">IF($CX14&gt;$CW$8,"",VLOOKUP($CX14,$CZ$9:$DF$508,6,FALSE()))</f>
        <v/>
      </c>
      <c r="DM14" s="75"/>
    </row>
    <row r="15" customFormat="false" ht="15.75" hidden="false" customHeight="false" outlineLevel="0" collapsed="false">
      <c r="A15" s="9"/>
      <c r="B15" s="112"/>
      <c r="C15" s="113"/>
      <c r="D15" s="79"/>
      <c r="E15" s="80"/>
      <c r="F15" s="114"/>
      <c r="G15" s="115"/>
      <c r="H15" s="115"/>
      <c r="I15" s="83"/>
      <c r="J15" s="84"/>
      <c r="K15" s="85"/>
      <c r="L15" s="86"/>
      <c r="M15" s="87"/>
      <c r="N15" s="84"/>
      <c r="O15" s="84"/>
      <c r="P15" s="80"/>
      <c r="Q15" s="84"/>
      <c r="R15" s="84"/>
      <c r="S15" s="85"/>
      <c r="T15" s="87"/>
      <c r="U15" s="87"/>
      <c r="V15" s="84"/>
      <c r="W15" s="84"/>
      <c r="X15" s="80"/>
      <c r="Y15" s="116"/>
      <c r="Z15" s="117"/>
      <c r="AA15" s="116"/>
      <c r="AB15" s="91"/>
      <c r="AC15" s="92"/>
      <c r="AD15" s="92"/>
      <c r="AE15" s="92"/>
      <c r="AF15" s="92" t="str">
        <f aca="false">IF(ISBLANK($C15),"",IF(E15=Constants!$B$3,TRUE(),IF(E15=Constants!$B$4,FALSE(),TRUE())))</f>
        <v/>
      </c>
      <c r="AG15" s="92" t="str">
        <f aca="false">IF(ISBLANK($C15),"",IF(F15=Constants!$B$3,TRUE(),IF(F15=Constants!$B$4,FALSE(),TRUE())))</f>
        <v/>
      </c>
      <c r="AH15" s="92" t="str">
        <f aca="false">IF(ISBLANK($C15),"",IF(G15=Constants!$B$3,TRUE(),IF(G15=Constants!$B$4,FALSE(),TRUE())))</f>
        <v/>
      </c>
      <c r="AI15" s="92" t="str">
        <f aca="false">IF(ISBLANK($C15),"",IF(AND(ISNUMBER(H15),H15&gt;=0),H15,Constants!$B$29))</f>
        <v/>
      </c>
      <c r="AJ15" s="92" t="str">
        <f aca="false">IF(ISBLANK($C15),"",IF(I15=Constants!$B$3,TRUE(),IF(I15=Constants!$B$4,FALSE(),TRUE())))</f>
        <v/>
      </c>
      <c r="AK15" s="92" t="str">
        <f aca="false">IF(ISBLANK($C15),"",IF(J15=Constants!$B$3,TRUE(),IF(J15=Constants!$B$4,FALSE(),TRUE())))</f>
        <v/>
      </c>
      <c r="AL15" s="92" t="str">
        <f aca="false">IF(ISBLANK($C15),"",IF(K15=Constants!$B$5,TRUE(),IF(K15=Constants!$B$6,FALSE(),COUNTA(L15:P15)&gt;0)))</f>
        <v/>
      </c>
      <c r="AM15" s="94" t="str">
        <f aca="false">IF(ISBLANK($C15),"",IF(ISNUMBER(L15),IF(L15&gt;=0,L15,""),""))</f>
        <v/>
      </c>
      <c r="AN15" s="93" t="str">
        <f aca="false">IF(ISBLANK($C15),"",IF(ISNUMBER(M15),IF(M15&gt;=0,M15,""),""))</f>
        <v/>
      </c>
      <c r="AO15" s="93" t="str">
        <f aca="false">IF(ISBLANK($C15),"",IF(N15=Constants!$B$3,TRUE(),IF(N15=Constants!$B$4,FALSE(),TRUE())))</f>
        <v/>
      </c>
      <c r="AP15" s="92" t="str">
        <f aca="false">IF(ISBLANK($C15),"",IF(ISNUMBER(O15),IF(O15&gt;=0,O15,""),""))</f>
        <v/>
      </c>
      <c r="AQ15" s="92" t="str">
        <f aca="false">IF(ISBLANK($C15),"",IF(P15=Constants!$B$3,TRUE(),IF(P15=Constants!$B$4,FALSE(),FALSE())))</f>
        <v/>
      </c>
      <c r="AR15" s="92" t="str">
        <f aca="false">IF(ISBLANK($C15),"",IF(Q15=Constants!$B$3,TRUE(),IF(Q15=Constants!$B$4,FALSE(),TRUE())))</f>
        <v/>
      </c>
      <c r="AS15" s="92" t="str">
        <f aca="false">IF(ISBLANK($C15),"",IF(R15=Constants!$B$3,TRUE(),IF(R15=Constants!$B$4,FALSE(),TRUE())))</f>
        <v/>
      </c>
      <c r="AT15" s="92" t="str">
        <f aca="false">IF(ISBLANK($C15),"",IF(S15=Constants!$B$5,TRUE(),IF(S15=Constants!$B$6,FALSE(),COUNTA(T15:X15)&gt;0)))</f>
        <v/>
      </c>
      <c r="AU15" s="94" t="str">
        <f aca="false">IF(ISBLANK($C15),"",IF(ISNUMBER(T15),IF(T15&gt;=0,T15,""),""))</f>
        <v/>
      </c>
      <c r="AV15" s="93" t="str">
        <f aca="false">IF(ISBLANK($C15),"",IF(ISNUMBER(U15),IF(U15&gt;=0,U15,""),""))</f>
        <v/>
      </c>
      <c r="AW15" s="93" t="str">
        <f aca="false">IF(ISBLANK($C15),"",IF(V15=Constants!$B$3,TRUE(),IF(V15=Constants!$B$4,FALSE(),TRUE())))</f>
        <v/>
      </c>
      <c r="AX15" s="92" t="str">
        <f aca="false">IF(ISBLANK($C15),"",IF(ISNUMBER(W15),IF(W15&gt;=0,W15,""),""))</f>
        <v/>
      </c>
      <c r="AY15" s="92" t="str">
        <f aca="false">IF(ISBLANK($C15),"",IF(X15=Constants!$B$3,TRUE(),IF(X15=Constants!$B$4,FALSE(),FALSE())))</f>
        <v/>
      </c>
      <c r="AZ15" s="92" t="str">
        <f aca="false">IF(ISBLANK($C15),"",MIN(Constants!$B$31,MAX(0,IF(ISNUMBER(Y15),Y15*60,0)+IF(ISNUMBER(Z15),Z15,0))))</f>
        <v/>
      </c>
      <c r="BA15" s="92" t="str">
        <f aca="false">IF(ISBLANK($C15),"",IF(AA15=Constants!$B$3,TRUE(),IF(AA15=Constants!$B$4,FALSE(),FALSE())))</f>
        <v/>
      </c>
      <c r="BB15" s="91" t="str">
        <f aca="false">IF(ISBLANK($C15),"",AND($AL15,OR($AM15="",$AN15="",AND($AO15,$AP15=""))))</f>
        <v/>
      </c>
      <c r="BC15" s="93" t="str">
        <f aca="false">IF($BR15&lt;&gt;Constants!$B$8,"",IF($AL15,Constants!$B$21*$AN15+Constants!$B$22*IF($AO15,$AP15,Constants!$B$23),Constants!$B$24))</f>
        <v/>
      </c>
      <c r="BD15" s="96" t="str">
        <f aca="false">IF($BR15&lt;&gt;Constants!$B$8,"",Constants!$B$25*ABS($AD$9-IF($AL15,$AM15,0)))</f>
        <v/>
      </c>
      <c r="BE15" s="96" t="str">
        <f aca="false">IF($BR15&lt;&gt;Constants!$B$8,"",IF(AND($AL15,$AQ15,$AO15),Constants!$B$27,0))</f>
        <v/>
      </c>
      <c r="BF15" s="96" t="str">
        <f aca="false">IF($BR15&lt;&gt;Constants!$B$8,"",IF($AL15,($AI15-Constants!$B$29)*Constants!$B$28,0))</f>
        <v/>
      </c>
      <c r="BG15" s="96" t="str">
        <f aca="false">IF($BR15&lt;&gt;Constants!$B$8,"",IF($AK15,0,Constants!$B$15)+IF($AJ15,0,Constants!$B$16)+IF($AH15,0,Constants!$B$17))</f>
        <v/>
      </c>
      <c r="BH15" s="97" t="str">
        <f aca="false">IF($BR15&lt;&gt;Constants!$B$8,"",Constants!$B$20+SUM($BC15:$BG15))</f>
        <v/>
      </c>
      <c r="BI15" s="92" t="str">
        <f aca="false">IF($BR15&lt;&gt;Constants!$B$8,"",IF(OR($BP15&lt;$BH15,AND($BP15=$BH15,OR($BK15&lt;$BC15,AND($BK15=$BC15,OR($BL15&lt;$BD15,AND($BL15=$BD15,$AT15,$AL15,$AV15&lt;$AN15)))))),"-&gt;","&lt;-"))</f>
        <v/>
      </c>
      <c r="BJ15" s="91" t="str">
        <f aca="false">IF(ISBLANK($C15),"",AND($AT15,OR($AU15="",$AV15="",AND($AW15,$AX15=""))))</f>
        <v/>
      </c>
      <c r="BK15" s="93" t="str">
        <f aca="false">IF($BR15&lt;&gt;Constants!$B$8,"",IF($AT15,Constants!$B$21*$AV15+Constants!$B$22*IF($AW15,$AX15,Constants!$B$23),Constants!$B$24))</f>
        <v/>
      </c>
      <c r="BL15" s="96" t="str">
        <f aca="false">IF($BR15&lt;&gt;Constants!$B$8,"",Constants!$B$25*ABS($AD$9-IF($AT15,$AU15,0)))</f>
        <v/>
      </c>
      <c r="BM15" s="96" t="str">
        <f aca="false">IF($BR15&lt;&gt;Constants!$B$8,"",IF(AND($AT15,$AY15,$AW15),Constants!$B$27,0))</f>
        <v/>
      </c>
      <c r="BN15" s="96" t="str">
        <f aca="false">IF($BR15&lt;&gt;Constants!$B$8,"",IF($AT15,($AI15-Constants!$B$29)*Constants!$B$28,0))</f>
        <v/>
      </c>
      <c r="BO15" s="96" t="str">
        <f aca="false">IF($BR15&lt;&gt;Constants!$B$8,"",IF($AS15,0,Constants!$B$15)+IF($AR15,0,Constants!$B$16)+IF($AH15,0,Constants!$B$17))</f>
        <v/>
      </c>
      <c r="BP15" s="97" t="str">
        <f aca="false">IF($BR15&lt;&gt;Constants!$B$8,"",Constants!$B$20+SUM($BK15:$BO15))</f>
        <v/>
      </c>
      <c r="BQ15" s="92" t="str">
        <f aca="false">IF(ISBLANK($C15),"",IF(ISBLANK($D$7),$BQ$5,IF(NOT(ISNUMBER($D$7)),$BQ$6,"")))</f>
        <v/>
      </c>
      <c r="BR15" s="92" t="str">
        <f aca="false">IF(ISBLANK($C15),"",IF($BA15,Constants!$B$11,IF(COUNTA($E15:$AA15)=0,Constants!$B$10,IF(NOT($AG15),Constants!$B$9,IF(OR($BQ15&lt;&gt;"",$BB15,$BJ15),Constants!$B$12,Constants!$B$8)))))</f>
        <v/>
      </c>
      <c r="BS15" s="92" t="str">
        <f aca="false">IF(ISBLANK($C15),"",IF($BR15&lt;&gt;Constants!$B$8,$BR15,Constants!$B$13))</f>
        <v/>
      </c>
      <c r="BT15" s="96" t="str">
        <f aca="false">IF($BR15&lt;&gt;Constants!$B$8,"",IF($BI15="-&gt;",$BP15,$BH15))</f>
        <v/>
      </c>
      <c r="BU15" s="96" t="str">
        <f aca="false">IF($BR15&lt;&gt;Constants!$B$8,"",IF($AF15,0,Constants!$B$18))</f>
        <v/>
      </c>
      <c r="BV15" s="96" t="str">
        <f aca="false">IF($BR15&lt;&gt;Constants!$B$8,"",((Constants!$B$31-$AZ15)-Constants!$B$31)/Constants!$B$32)</f>
        <v/>
      </c>
      <c r="BW15" s="96" t="str">
        <f aca="false">IF(ISBLANK($C15),"",IF($BR15&lt;&gt;Constants!$B$8,$BR15,SUM($BT15:$BV15)))</f>
        <v/>
      </c>
      <c r="BX15" s="92" t="str">
        <f aca="false">IF(ISBLANK($C15),"",IF($BR15&lt;&gt;Constants!$B$8,$BR15,RANK($BW15,$BW$9:$BW$508,1)))</f>
        <v/>
      </c>
      <c r="BY15" s="96" t="str">
        <f aca="false">IF($BR15&lt;&gt;Constants!$B$8,"",IF($BI15="-&gt;",$BK15,$BC15))</f>
        <v/>
      </c>
      <c r="BZ15" s="92" t="str">
        <f aca="false">IF(ISBLANK($C15),"",IF($BR15&lt;&gt;Constants!$B$8,$BR15,IF(ISNUMBER($BY15),RANK($BY15,$BY$9:$BY$508,1),COUNT($BY$9:$BY$508)+1)))</f>
        <v/>
      </c>
      <c r="CA15" s="96" t="str">
        <f aca="false">IF($BR15&lt;&gt;Constants!$B$8,"",IF($BI15="-&gt;",$BL15,$BD15))</f>
        <v/>
      </c>
      <c r="CB15" s="92" t="str">
        <f aca="false">IF(ISBLANK($C15),"",IF($BR15&lt;&gt;Constants!$B$8,$BR15,IF(ISNUMBER($CA15),RANK($CA15,$CA$9:$CA$508,1),COUNT($CA$9:$CA$508)+1)))</f>
        <v/>
      </c>
      <c r="CC15" s="96" t="str">
        <f aca="false">IF($BR15&lt;&gt;Constants!$B$8,"",IF($BI15="-&gt;",IF($AT15,$AV15,""),IF($AL15,$AN15,"")))</f>
        <v/>
      </c>
      <c r="CD15" s="92" t="str">
        <f aca="false">IF(ISBLANK($C15),"",IF($BR15&lt;&gt;Constants!$B$8,$BR15,IF(ISNUMBER($CC15),RANK($CC15,$CC$9:$CC$508,1),COUNT($CC$9:$CC$508)+1)))</f>
        <v/>
      </c>
      <c r="CE15" s="96" t="str">
        <f aca="false">IF($BR15&lt;&gt;Constants!$B$8,"",IF(AND(NOT($AL15),NOT($AT15),$AJ15,$AK15,$AR15,$AS15),"",$AI15))</f>
        <v/>
      </c>
      <c r="CF15" s="92" t="str">
        <f aca="false">IF(ISBLANK($C15),"",IF($BR15&lt;&gt;Constants!$B$8,$BR15,IF(ISNUMBER($CE15),RANK($CE15,$CE$9:$CE$508,1),COUNT($CE$9:$CE$508)+1)))</f>
        <v/>
      </c>
      <c r="CG15" s="92" t="str">
        <f aca="false">IF(ISBLANK($C15),"",IF($BR15&lt;&gt;Constants!$B$8,$BR15,COUNTIFS($BX$9:$BX$508,"&lt;"&amp;$BX15)+COUNTIFS($BX$9:$BX$508,$BX15,$BZ$9:$BZ$508,"&lt;"&amp;$BZ15)+COUNTIFS($BX$9:$BX$508,$BX15,$BZ$9:$BZ$508,$BZ15,$CB$9:$CB$508,"&lt;"&amp;$CB15)+COUNTIFS($BX$9:$BX$508,$BX15,$BZ$9:$BZ$508,$BZ15,$CB$9:$CB$508,$CB15,$CD$9:$CD$508,"&lt;"&amp;$CD15)+COUNTIFS($BX$9:$BX$508,$BX15,$BZ$9:$BZ$508,$BZ15,$CB$9:$CB$508,$CB15,$CD$9:$CD$508,$CD15,$CF$9:$CF$508,"&lt;"&amp;$CF15)+1))</f>
        <v/>
      </c>
      <c r="CH15" s="92" t="str">
        <f aca="false">IF(ISBLANK($C15),"",IF($BR15&lt;&gt;Constants!$B$8,$BR15,$BX15-$CG15))</f>
        <v/>
      </c>
      <c r="CI15" s="98"/>
      <c r="CJ15" s="99"/>
      <c r="CK15" s="100" t="str">
        <f aca="false">IF(ISBLANK($C15),"",IF($BR15=Constants!$B$12,$BQ15,""))</f>
        <v/>
      </c>
      <c r="CL15" s="99" t="str">
        <f aca="false">IF(ISBLANK($C15),"",IF($BR15&lt;&gt;Constants!$B$8,"",IF($BI15="-&gt;",2,1)))</f>
        <v/>
      </c>
      <c r="CM15" s="101" t="str">
        <f aca="false">IF(ISBLANK($C15),"",IF($BR15&lt;&gt;Constants!$B$8,"",IF($BI15="-&gt;",$BK15,$BC15)))</f>
        <v/>
      </c>
      <c r="CN15" s="101" t="str">
        <f aca="false">IF(ISBLANK($C15),"",IF($BR15&lt;&gt;Constants!$B$8,"",IF($BI15="-&gt;",$BL15,$BD15)))</f>
        <v/>
      </c>
      <c r="CO15" s="101" t="str">
        <f aca="false">IF(ISBLANK($C15),"",IF($BR15&lt;&gt;Constants!$B$8,"",IF($BI15="-&gt;",$BM15+$BN15,$BE15+$BF15)+$BV15))</f>
        <v/>
      </c>
      <c r="CP15" s="101" t="str">
        <f aca="false">IF(ISBLANK($C15),"",IF($BR15&lt;&gt;Constants!$B$8,"",IF($BI15="-&gt;",$BO15,$BG15)+$BU15))</f>
        <v/>
      </c>
      <c r="CQ15" s="102" t="str">
        <f aca="false">IF(ISBLANK($C15),"",IF($BR15&lt;&gt;Constants!$B$8,$BR15,$BW15))</f>
        <v/>
      </c>
      <c r="CR15" s="103" t="str">
        <f aca="false">IF(ISBLANK($C15),"",$BS15)</f>
        <v/>
      </c>
      <c r="CS15" s="104" t="str">
        <f aca="false">IF(ISBLANK($C15),"",$CH15)</f>
        <v/>
      </c>
      <c r="CT15" s="104" t="str">
        <f aca="false">IF(ISBLANK($C15),"",$CG15)</f>
        <v/>
      </c>
      <c r="CU15" s="105" t="str">
        <f aca="false">IF(ISBLANK($C15),"",IFERROR(_xlfn.SWITCH($CT15,Constants!$B$11,COUNTA($C$9:$C$508)+2,Constants!$B$10,COUNTA($C$9:$C$508)+1,Constants!$B$9,COUNTA($C$9:$C$508)),$CT15))</f>
        <v/>
      </c>
      <c r="CV15" s="9"/>
      <c r="CW15" s="106" t="n">
        <f aca="false">IF(OR(ISNUMBER($CT15),$CT15=Constants!$B$11,$CT15=Constants!$B$9,$CT15=Constants!$B$10),1,0)</f>
        <v>0</v>
      </c>
      <c r="CX15" s="106" t="n">
        <v>7</v>
      </c>
      <c r="CY15" s="106" t="str">
        <f aca="false">IF(ISBLANK($C15),"",IF(ISNUMBER($CU15),$CU15+ROW($B15)/1000,""))</f>
        <v/>
      </c>
      <c r="CZ15" s="106" t="str">
        <f aca="false">IF(ISNUMBER($CY15),RANK($CY15,$CY$9:$CY$508,1),"")</f>
        <v/>
      </c>
      <c r="DA15" s="106" t="str">
        <f aca="false">IF(ISBLANK($C15),"",$B15)</f>
        <v/>
      </c>
      <c r="DB15" s="106" t="str">
        <f aca="false">IF(ISBLANK($C15),"",$C15)</f>
        <v/>
      </c>
      <c r="DC15" s="106" t="str">
        <f aca="false">IF(ISBLANK($C15),"",$D15)</f>
        <v/>
      </c>
      <c r="DD15" s="107" t="str">
        <f aca="false">$CR15</f>
        <v/>
      </c>
      <c r="DE15" s="108" t="str">
        <f aca="false">$CQ15</f>
        <v/>
      </c>
      <c r="DF15" s="106" t="str">
        <f aca="false">IF(ISBLANK($C15),"",$CT15)</f>
        <v/>
      </c>
      <c r="DG15" s="109" t="str">
        <f aca="false">IF($CX15&gt;$CW$8,"",VLOOKUP($CX15,$CZ$9:$DF$508,7,FALSE()))</f>
        <v/>
      </c>
      <c r="DH15" s="110" t="str">
        <f aca="false">IF($CX15&gt;$CW$8,"",VLOOKUP($CX15,$CZ$9:$DF$508,2,FALSE()))</f>
        <v/>
      </c>
      <c r="DI15" s="110" t="str">
        <f aca="false">IF($CX15&gt;$CW$8,"",VLOOKUP($CX15,$CZ$9:$DF$508,3,FALSE()))</f>
        <v/>
      </c>
      <c r="DJ15" s="110" t="str">
        <f aca="false">IF($CX15&gt;$CW$8,"",VLOOKUP($CX15,$CZ$9:$DF$508,4,FALSE()))</f>
        <v/>
      </c>
      <c r="DK15" s="110" t="str">
        <f aca="false">IF($CX15&gt;$CW$8,"",VLOOKUP($CX15,$CZ$9:$DF$508,5,FALSE()))</f>
        <v/>
      </c>
      <c r="DL15" s="111" t="str">
        <f aca="false">IF($CX15&gt;$CW$8,"",VLOOKUP($CX15,$CZ$9:$DF$508,6,FALSE()))</f>
        <v/>
      </c>
      <c r="DM15" s="75"/>
    </row>
    <row r="16" customFormat="false" ht="15.75" hidden="false" customHeight="false" outlineLevel="0" collapsed="false">
      <c r="A16" s="9"/>
      <c r="B16" s="112"/>
      <c r="C16" s="113"/>
      <c r="D16" s="79"/>
      <c r="E16" s="80"/>
      <c r="F16" s="114"/>
      <c r="G16" s="115"/>
      <c r="H16" s="115"/>
      <c r="I16" s="83"/>
      <c r="J16" s="84"/>
      <c r="K16" s="85"/>
      <c r="L16" s="86"/>
      <c r="M16" s="87"/>
      <c r="N16" s="84"/>
      <c r="O16" s="84"/>
      <c r="P16" s="80"/>
      <c r="Q16" s="84"/>
      <c r="R16" s="84"/>
      <c r="S16" s="85"/>
      <c r="T16" s="87"/>
      <c r="U16" s="87"/>
      <c r="V16" s="84"/>
      <c r="W16" s="84"/>
      <c r="X16" s="80"/>
      <c r="Y16" s="116"/>
      <c r="Z16" s="117"/>
      <c r="AA16" s="116"/>
      <c r="AB16" s="91"/>
      <c r="AC16" s="92"/>
      <c r="AD16" s="92"/>
      <c r="AE16" s="92"/>
      <c r="AF16" s="92" t="str">
        <f aca="false">IF(ISBLANK($C16),"",IF(E16=Constants!$B$3,TRUE(),IF(E16=Constants!$B$4,FALSE(),TRUE())))</f>
        <v/>
      </c>
      <c r="AG16" s="92" t="str">
        <f aca="false">IF(ISBLANK($C16),"",IF(F16=Constants!$B$3,TRUE(),IF(F16=Constants!$B$4,FALSE(),TRUE())))</f>
        <v/>
      </c>
      <c r="AH16" s="92" t="str">
        <f aca="false">IF(ISBLANK($C16),"",IF(G16=Constants!$B$3,TRUE(),IF(G16=Constants!$B$4,FALSE(),TRUE())))</f>
        <v/>
      </c>
      <c r="AI16" s="92" t="str">
        <f aca="false">IF(ISBLANK($C16),"",IF(AND(ISNUMBER(H16),H16&gt;=0),H16,Constants!$B$29))</f>
        <v/>
      </c>
      <c r="AJ16" s="92" t="str">
        <f aca="false">IF(ISBLANK($C16),"",IF(I16=Constants!$B$3,TRUE(),IF(I16=Constants!$B$4,FALSE(),TRUE())))</f>
        <v/>
      </c>
      <c r="AK16" s="92" t="str">
        <f aca="false">IF(ISBLANK($C16),"",IF(J16=Constants!$B$3,TRUE(),IF(J16=Constants!$B$4,FALSE(),TRUE())))</f>
        <v/>
      </c>
      <c r="AL16" s="92" t="str">
        <f aca="false">IF(ISBLANK($C16),"",IF(K16=Constants!$B$5,TRUE(),IF(K16=Constants!$B$6,FALSE(),COUNTA(L16:P16)&gt;0)))</f>
        <v/>
      </c>
      <c r="AM16" s="94" t="str">
        <f aca="false">IF(ISBLANK($C16),"",IF(ISNUMBER(L16),IF(L16&gt;=0,L16,""),""))</f>
        <v/>
      </c>
      <c r="AN16" s="93" t="str">
        <f aca="false">IF(ISBLANK($C16),"",IF(ISNUMBER(M16),IF(M16&gt;=0,M16,""),""))</f>
        <v/>
      </c>
      <c r="AO16" s="93" t="str">
        <f aca="false">IF(ISBLANK($C16),"",IF(N16=Constants!$B$3,TRUE(),IF(N16=Constants!$B$4,FALSE(),TRUE())))</f>
        <v/>
      </c>
      <c r="AP16" s="92" t="str">
        <f aca="false">IF(ISBLANK($C16),"",IF(ISNUMBER(O16),IF(O16&gt;=0,O16,""),""))</f>
        <v/>
      </c>
      <c r="AQ16" s="92" t="str">
        <f aca="false">IF(ISBLANK($C16),"",IF(P16=Constants!$B$3,TRUE(),IF(P16=Constants!$B$4,FALSE(),FALSE())))</f>
        <v/>
      </c>
      <c r="AR16" s="92" t="str">
        <f aca="false">IF(ISBLANK($C16),"",IF(Q16=Constants!$B$3,TRUE(),IF(Q16=Constants!$B$4,FALSE(),TRUE())))</f>
        <v/>
      </c>
      <c r="AS16" s="92" t="str">
        <f aca="false">IF(ISBLANK($C16),"",IF(R16=Constants!$B$3,TRUE(),IF(R16=Constants!$B$4,FALSE(),TRUE())))</f>
        <v/>
      </c>
      <c r="AT16" s="92" t="str">
        <f aca="false">IF(ISBLANK($C16),"",IF(S16=Constants!$B$5,TRUE(),IF(S16=Constants!$B$6,FALSE(),COUNTA(T16:X16)&gt;0)))</f>
        <v/>
      </c>
      <c r="AU16" s="94" t="str">
        <f aca="false">IF(ISBLANK($C16),"",IF(ISNUMBER(T16),IF(T16&gt;=0,T16,""),""))</f>
        <v/>
      </c>
      <c r="AV16" s="93" t="str">
        <f aca="false">IF(ISBLANK($C16),"",IF(ISNUMBER(U16),IF(U16&gt;=0,U16,""),""))</f>
        <v/>
      </c>
      <c r="AW16" s="93" t="str">
        <f aca="false">IF(ISBLANK($C16),"",IF(V16=Constants!$B$3,TRUE(),IF(V16=Constants!$B$4,FALSE(),TRUE())))</f>
        <v/>
      </c>
      <c r="AX16" s="92" t="str">
        <f aca="false">IF(ISBLANK($C16),"",IF(ISNUMBER(W16),IF(W16&gt;=0,W16,""),""))</f>
        <v/>
      </c>
      <c r="AY16" s="92" t="str">
        <f aca="false">IF(ISBLANK($C16),"",IF(X16=Constants!$B$3,TRUE(),IF(X16=Constants!$B$4,FALSE(),FALSE())))</f>
        <v/>
      </c>
      <c r="AZ16" s="92" t="str">
        <f aca="false">IF(ISBLANK($C16),"",MIN(Constants!$B$31,MAX(0,IF(ISNUMBER(Y16),Y16*60,0)+IF(ISNUMBER(Z16),Z16,0))))</f>
        <v/>
      </c>
      <c r="BA16" s="92" t="str">
        <f aca="false">IF(ISBLANK($C16),"",IF(AA16=Constants!$B$3,TRUE(),IF(AA16=Constants!$B$4,FALSE(),FALSE())))</f>
        <v/>
      </c>
      <c r="BB16" s="91" t="str">
        <f aca="false">IF(ISBLANK($C16),"",AND($AL16,OR($AM16="",$AN16="",AND($AO16,$AP16=""))))</f>
        <v/>
      </c>
      <c r="BC16" s="93" t="str">
        <f aca="false">IF($BR16&lt;&gt;Constants!$B$8,"",IF($AL16,Constants!$B$21*$AN16+Constants!$B$22*IF($AO16,$AP16,Constants!$B$23),Constants!$B$24))</f>
        <v/>
      </c>
      <c r="BD16" s="96" t="str">
        <f aca="false">IF($BR16&lt;&gt;Constants!$B$8,"",Constants!$B$25*ABS($AD$9-IF($AL16,$AM16,0)))</f>
        <v/>
      </c>
      <c r="BE16" s="96" t="str">
        <f aca="false">IF($BR16&lt;&gt;Constants!$B$8,"",IF(AND($AL16,$AQ16,$AO16),Constants!$B$27,0))</f>
        <v/>
      </c>
      <c r="BF16" s="96" t="str">
        <f aca="false">IF($BR16&lt;&gt;Constants!$B$8,"",IF($AL16,($AI16-Constants!$B$29)*Constants!$B$28,0))</f>
        <v/>
      </c>
      <c r="BG16" s="96" t="str">
        <f aca="false">IF($BR16&lt;&gt;Constants!$B$8,"",IF($AK16,0,Constants!$B$15)+IF($AJ16,0,Constants!$B$16)+IF($AH16,0,Constants!$B$17))</f>
        <v/>
      </c>
      <c r="BH16" s="97" t="str">
        <f aca="false">IF($BR16&lt;&gt;Constants!$B$8,"",Constants!$B$20+SUM($BC16:$BG16))</f>
        <v/>
      </c>
      <c r="BI16" s="92" t="str">
        <f aca="false">IF($BR16&lt;&gt;Constants!$B$8,"",IF(OR($BP16&lt;$BH16,AND($BP16=$BH16,OR($BK16&lt;$BC16,AND($BK16=$BC16,OR($BL16&lt;$BD16,AND($BL16=$BD16,$AT16,$AL16,$AV16&lt;$AN16)))))),"-&gt;","&lt;-"))</f>
        <v/>
      </c>
      <c r="BJ16" s="91" t="str">
        <f aca="false">IF(ISBLANK($C16),"",AND($AT16,OR($AU16="",$AV16="",AND($AW16,$AX16=""))))</f>
        <v/>
      </c>
      <c r="BK16" s="93" t="str">
        <f aca="false">IF($BR16&lt;&gt;Constants!$B$8,"",IF($AT16,Constants!$B$21*$AV16+Constants!$B$22*IF($AW16,$AX16,Constants!$B$23),Constants!$B$24))</f>
        <v/>
      </c>
      <c r="BL16" s="96" t="str">
        <f aca="false">IF($BR16&lt;&gt;Constants!$B$8,"",Constants!$B$25*ABS($AD$9-IF($AT16,$AU16,0)))</f>
        <v/>
      </c>
      <c r="BM16" s="96" t="str">
        <f aca="false">IF($BR16&lt;&gt;Constants!$B$8,"",IF(AND($AT16,$AY16,$AW16),Constants!$B$27,0))</f>
        <v/>
      </c>
      <c r="BN16" s="96" t="str">
        <f aca="false">IF($BR16&lt;&gt;Constants!$B$8,"",IF($AT16,($AI16-Constants!$B$29)*Constants!$B$28,0))</f>
        <v/>
      </c>
      <c r="BO16" s="96" t="str">
        <f aca="false">IF($BR16&lt;&gt;Constants!$B$8,"",IF($AS16,0,Constants!$B$15)+IF($AR16,0,Constants!$B$16)+IF($AH16,0,Constants!$B$17))</f>
        <v/>
      </c>
      <c r="BP16" s="97" t="str">
        <f aca="false">IF($BR16&lt;&gt;Constants!$B$8,"",Constants!$B$20+SUM($BK16:$BO16))</f>
        <v/>
      </c>
      <c r="BQ16" s="92" t="str">
        <f aca="false">IF(ISBLANK($C16),"",IF(ISBLANK($D$7),$BQ$5,IF(NOT(ISNUMBER($D$7)),$BQ$6,"")))</f>
        <v/>
      </c>
      <c r="BR16" s="92" t="str">
        <f aca="false">IF(ISBLANK($C16),"",IF($BA16,Constants!$B$11,IF(COUNTA($E16:$AA16)=0,Constants!$B$10,IF(NOT($AG16),Constants!$B$9,IF(OR($BQ16&lt;&gt;"",$BB16,$BJ16),Constants!$B$12,Constants!$B$8)))))</f>
        <v/>
      </c>
      <c r="BS16" s="92" t="str">
        <f aca="false">IF(ISBLANK($C16),"",IF($BR16&lt;&gt;Constants!$B$8,$BR16,Constants!$B$13))</f>
        <v/>
      </c>
      <c r="BT16" s="96" t="str">
        <f aca="false">IF($BR16&lt;&gt;Constants!$B$8,"",IF($BI16="-&gt;",$BP16,$BH16))</f>
        <v/>
      </c>
      <c r="BU16" s="96" t="str">
        <f aca="false">IF($BR16&lt;&gt;Constants!$B$8,"",IF($AF16,0,Constants!$B$18))</f>
        <v/>
      </c>
      <c r="BV16" s="96" t="str">
        <f aca="false">IF($BR16&lt;&gt;Constants!$B$8,"",((Constants!$B$31-$AZ16)-Constants!$B$31)/Constants!$B$32)</f>
        <v/>
      </c>
      <c r="BW16" s="96" t="str">
        <f aca="false">IF(ISBLANK($C16),"",IF($BR16&lt;&gt;Constants!$B$8,$BR16,SUM($BT16:$BV16)))</f>
        <v/>
      </c>
      <c r="BX16" s="92" t="str">
        <f aca="false">IF(ISBLANK($C16),"",IF($BR16&lt;&gt;Constants!$B$8,$BR16,RANK($BW16,$BW$9:$BW$508,1)))</f>
        <v/>
      </c>
      <c r="BY16" s="96" t="str">
        <f aca="false">IF($BR16&lt;&gt;Constants!$B$8,"",IF($BI16="-&gt;",$BK16,$BC16))</f>
        <v/>
      </c>
      <c r="BZ16" s="92" t="str">
        <f aca="false">IF(ISBLANK($C16),"",IF($BR16&lt;&gt;Constants!$B$8,$BR16,IF(ISNUMBER($BY16),RANK($BY16,$BY$9:$BY$508,1),COUNT($BY$9:$BY$508)+1)))</f>
        <v/>
      </c>
      <c r="CA16" s="96" t="str">
        <f aca="false">IF($BR16&lt;&gt;Constants!$B$8,"",IF($BI16="-&gt;",$BL16,$BD16))</f>
        <v/>
      </c>
      <c r="CB16" s="92" t="str">
        <f aca="false">IF(ISBLANK($C16),"",IF($BR16&lt;&gt;Constants!$B$8,$BR16,IF(ISNUMBER($CA16),RANK($CA16,$CA$9:$CA$508,1),COUNT($CA$9:$CA$508)+1)))</f>
        <v/>
      </c>
      <c r="CC16" s="96" t="str">
        <f aca="false">IF($BR16&lt;&gt;Constants!$B$8,"",IF($BI16="-&gt;",IF($AT16,$AV16,""),IF($AL16,$AN16,"")))</f>
        <v/>
      </c>
      <c r="CD16" s="92" t="str">
        <f aca="false">IF(ISBLANK($C16),"",IF($BR16&lt;&gt;Constants!$B$8,$BR16,IF(ISNUMBER($CC16),RANK($CC16,$CC$9:$CC$508,1),COUNT($CC$9:$CC$508)+1)))</f>
        <v/>
      </c>
      <c r="CE16" s="96" t="str">
        <f aca="false">IF($BR16&lt;&gt;Constants!$B$8,"",IF(AND(NOT($AL16),NOT($AT16),$AJ16,$AK16,$AR16,$AS16),"",$AI16))</f>
        <v/>
      </c>
      <c r="CF16" s="92" t="str">
        <f aca="false">IF(ISBLANK($C16),"",IF($BR16&lt;&gt;Constants!$B$8,$BR16,IF(ISNUMBER($CE16),RANK($CE16,$CE$9:$CE$508,1),COUNT($CE$9:$CE$508)+1)))</f>
        <v/>
      </c>
      <c r="CG16" s="92" t="str">
        <f aca="false">IF(ISBLANK($C16),"",IF($BR16&lt;&gt;Constants!$B$8,$BR16,COUNTIFS($BX$9:$BX$508,"&lt;"&amp;$BX16)+COUNTIFS($BX$9:$BX$508,$BX16,$BZ$9:$BZ$508,"&lt;"&amp;$BZ16)+COUNTIFS($BX$9:$BX$508,$BX16,$BZ$9:$BZ$508,$BZ16,$CB$9:$CB$508,"&lt;"&amp;$CB16)+COUNTIFS($BX$9:$BX$508,$BX16,$BZ$9:$BZ$508,$BZ16,$CB$9:$CB$508,$CB16,$CD$9:$CD$508,"&lt;"&amp;$CD16)+COUNTIFS($BX$9:$BX$508,$BX16,$BZ$9:$BZ$508,$BZ16,$CB$9:$CB$508,$CB16,$CD$9:$CD$508,$CD16,$CF$9:$CF$508,"&lt;"&amp;$CF16)+1))</f>
        <v/>
      </c>
      <c r="CH16" s="92" t="str">
        <f aca="false">IF(ISBLANK($C16),"",IF($BR16&lt;&gt;Constants!$B$8,$BR16,$BX16-$CG16))</f>
        <v/>
      </c>
      <c r="CI16" s="98"/>
      <c r="CJ16" s="99"/>
      <c r="CK16" s="100" t="str">
        <f aca="false">IF(ISBLANK($C16),"",IF($BR16=Constants!$B$12,$BQ16,""))</f>
        <v/>
      </c>
      <c r="CL16" s="99" t="str">
        <f aca="false">IF(ISBLANK($C16),"",IF($BR16&lt;&gt;Constants!$B$8,"",IF($BI16="-&gt;",2,1)))</f>
        <v/>
      </c>
      <c r="CM16" s="101" t="str">
        <f aca="false">IF(ISBLANK($C16),"",IF($BR16&lt;&gt;Constants!$B$8,"",IF($BI16="-&gt;",$BK16,$BC16)))</f>
        <v/>
      </c>
      <c r="CN16" s="101" t="str">
        <f aca="false">IF(ISBLANK($C16),"",IF($BR16&lt;&gt;Constants!$B$8,"",IF($BI16="-&gt;",$BL16,$BD16)))</f>
        <v/>
      </c>
      <c r="CO16" s="101" t="str">
        <f aca="false">IF(ISBLANK($C16),"",IF($BR16&lt;&gt;Constants!$B$8,"",IF($BI16="-&gt;",$BM16+$BN16,$BE16+$BF16)+$BV16))</f>
        <v/>
      </c>
      <c r="CP16" s="101" t="str">
        <f aca="false">IF(ISBLANK($C16),"",IF($BR16&lt;&gt;Constants!$B$8,"",IF($BI16="-&gt;",$BO16,$BG16)+$BU16))</f>
        <v/>
      </c>
      <c r="CQ16" s="102" t="str">
        <f aca="false">IF(ISBLANK($C16),"",IF($BR16&lt;&gt;Constants!$B$8,$BR16,$BW16))</f>
        <v/>
      </c>
      <c r="CR16" s="103" t="str">
        <f aca="false">IF(ISBLANK($C16),"",$BS16)</f>
        <v/>
      </c>
      <c r="CS16" s="104" t="str">
        <f aca="false">IF(ISBLANK($C16),"",$CH16)</f>
        <v/>
      </c>
      <c r="CT16" s="104" t="str">
        <f aca="false">IF(ISBLANK($C16),"",$CG16)</f>
        <v/>
      </c>
      <c r="CU16" s="105" t="str">
        <f aca="false">IF(ISBLANK($C16),"",IFERROR(_xlfn.SWITCH($CT16,Constants!$B$11,COUNTA($C$9:$C$508)+2,Constants!$B$10,COUNTA($C$9:$C$508)+1,Constants!$B$9,COUNTA($C$9:$C$508)),$CT16))</f>
        <v/>
      </c>
      <c r="CV16" s="9"/>
      <c r="CW16" s="106" t="n">
        <f aca="false">IF(OR(ISNUMBER($CT16),$CT16=Constants!$B$11,$CT16=Constants!$B$9,$CT16=Constants!$B$10),1,0)</f>
        <v>0</v>
      </c>
      <c r="CX16" s="106" t="n">
        <v>8</v>
      </c>
      <c r="CY16" s="106" t="str">
        <f aca="false">IF(ISBLANK($C16),"",IF(ISNUMBER($CU16),$CU16+ROW($B16)/1000,""))</f>
        <v/>
      </c>
      <c r="CZ16" s="106" t="str">
        <f aca="false">IF(ISNUMBER($CY16),RANK($CY16,$CY$9:$CY$508,1),"")</f>
        <v/>
      </c>
      <c r="DA16" s="106" t="str">
        <f aca="false">IF(ISBLANK($C16),"",$B16)</f>
        <v/>
      </c>
      <c r="DB16" s="106" t="str">
        <f aca="false">IF(ISBLANK($C16),"",$C16)</f>
        <v/>
      </c>
      <c r="DC16" s="106" t="str">
        <f aca="false">IF(ISBLANK($C16),"",$D16)</f>
        <v/>
      </c>
      <c r="DD16" s="107" t="str">
        <f aca="false">$CR16</f>
        <v/>
      </c>
      <c r="DE16" s="108" t="str">
        <f aca="false">$CQ16</f>
        <v/>
      </c>
      <c r="DF16" s="106" t="str">
        <f aca="false">IF(ISBLANK($C16),"",$CT16)</f>
        <v/>
      </c>
      <c r="DG16" s="109" t="str">
        <f aca="false">IF($CX16&gt;$CW$8,"",VLOOKUP($CX16,$CZ$9:$DF$508,7,FALSE()))</f>
        <v/>
      </c>
      <c r="DH16" s="110" t="str">
        <f aca="false">IF($CX16&gt;$CW$8,"",VLOOKUP($CX16,$CZ$9:$DF$508,2,FALSE()))</f>
        <v/>
      </c>
      <c r="DI16" s="110" t="str">
        <f aca="false">IF($CX16&gt;$CW$8,"",VLOOKUP($CX16,$CZ$9:$DF$508,3,FALSE()))</f>
        <v/>
      </c>
      <c r="DJ16" s="110" t="str">
        <f aca="false">IF($CX16&gt;$CW$8,"",VLOOKUP($CX16,$CZ$9:$DF$508,4,FALSE()))</f>
        <v/>
      </c>
      <c r="DK16" s="110" t="str">
        <f aca="false">IF($CX16&gt;$CW$8,"",VLOOKUP($CX16,$CZ$9:$DF$508,5,FALSE()))</f>
        <v/>
      </c>
      <c r="DL16" s="111" t="str">
        <f aca="false">IF($CX16&gt;$CW$8,"",VLOOKUP($CX16,$CZ$9:$DF$508,6,FALSE()))</f>
        <v/>
      </c>
      <c r="DM16" s="75"/>
    </row>
    <row r="17" customFormat="false" ht="15.75" hidden="false" customHeight="false" outlineLevel="0" collapsed="false">
      <c r="A17" s="9"/>
      <c r="B17" s="112"/>
      <c r="C17" s="113"/>
      <c r="D17" s="79"/>
      <c r="E17" s="80"/>
      <c r="F17" s="114"/>
      <c r="G17" s="115"/>
      <c r="H17" s="115"/>
      <c r="I17" s="83"/>
      <c r="J17" s="84"/>
      <c r="K17" s="85"/>
      <c r="L17" s="86"/>
      <c r="M17" s="87"/>
      <c r="N17" s="84"/>
      <c r="O17" s="84"/>
      <c r="P17" s="80"/>
      <c r="Q17" s="84"/>
      <c r="R17" s="84"/>
      <c r="S17" s="85"/>
      <c r="T17" s="87"/>
      <c r="U17" s="87"/>
      <c r="V17" s="84"/>
      <c r="W17" s="84"/>
      <c r="X17" s="80"/>
      <c r="Y17" s="116"/>
      <c r="Z17" s="117"/>
      <c r="AA17" s="116"/>
      <c r="AB17" s="91"/>
      <c r="AC17" s="92"/>
      <c r="AD17" s="92"/>
      <c r="AE17" s="92"/>
      <c r="AF17" s="92" t="str">
        <f aca="false">IF(ISBLANK($C17),"",IF(E17=Constants!$B$3,TRUE(),IF(E17=Constants!$B$4,FALSE(),TRUE())))</f>
        <v/>
      </c>
      <c r="AG17" s="92" t="str">
        <f aca="false">IF(ISBLANK($C17),"",IF(F17=Constants!$B$3,TRUE(),IF(F17=Constants!$B$4,FALSE(),TRUE())))</f>
        <v/>
      </c>
      <c r="AH17" s="92" t="str">
        <f aca="false">IF(ISBLANK($C17),"",IF(G17=Constants!$B$3,TRUE(),IF(G17=Constants!$B$4,FALSE(),TRUE())))</f>
        <v/>
      </c>
      <c r="AI17" s="92" t="str">
        <f aca="false">IF(ISBLANK($C17),"",IF(AND(ISNUMBER(H17),H17&gt;=0),H17,Constants!$B$29))</f>
        <v/>
      </c>
      <c r="AJ17" s="92" t="str">
        <f aca="false">IF(ISBLANK($C17),"",IF(I17=Constants!$B$3,TRUE(),IF(I17=Constants!$B$4,FALSE(),TRUE())))</f>
        <v/>
      </c>
      <c r="AK17" s="92" t="str">
        <f aca="false">IF(ISBLANK($C17),"",IF(J17=Constants!$B$3,TRUE(),IF(J17=Constants!$B$4,FALSE(),TRUE())))</f>
        <v/>
      </c>
      <c r="AL17" s="92" t="str">
        <f aca="false">IF(ISBLANK($C17),"",IF(K17=Constants!$B$5,TRUE(),IF(K17=Constants!$B$6,FALSE(),COUNTA(L17:P17)&gt;0)))</f>
        <v/>
      </c>
      <c r="AM17" s="94" t="str">
        <f aca="false">IF(ISBLANK($C17),"",IF(ISNUMBER(L17),IF(L17&gt;=0,L17,""),""))</f>
        <v/>
      </c>
      <c r="AN17" s="93" t="str">
        <f aca="false">IF(ISBLANK($C17),"",IF(ISNUMBER(M17),IF(M17&gt;=0,M17,""),""))</f>
        <v/>
      </c>
      <c r="AO17" s="93" t="str">
        <f aca="false">IF(ISBLANK($C17),"",IF(N17=Constants!$B$3,TRUE(),IF(N17=Constants!$B$4,FALSE(),TRUE())))</f>
        <v/>
      </c>
      <c r="AP17" s="92" t="str">
        <f aca="false">IF(ISBLANK($C17),"",IF(ISNUMBER(O17),IF(O17&gt;=0,O17,""),""))</f>
        <v/>
      </c>
      <c r="AQ17" s="92" t="str">
        <f aca="false">IF(ISBLANK($C17),"",IF(P17=Constants!$B$3,TRUE(),IF(P17=Constants!$B$4,FALSE(),FALSE())))</f>
        <v/>
      </c>
      <c r="AR17" s="92" t="str">
        <f aca="false">IF(ISBLANK($C17),"",IF(Q17=Constants!$B$3,TRUE(),IF(Q17=Constants!$B$4,FALSE(),TRUE())))</f>
        <v/>
      </c>
      <c r="AS17" s="92" t="str">
        <f aca="false">IF(ISBLANK($C17),"",IF(R17=Constants!$B$3,TRUE(),IF(R17=Constants!$B$4,FALSE(),TRUE())))</f>
        <v/>
      </c>
      <c r="AT17" s="92" t="str">
        <f aca="false">IF(ISBLANK($C17),"",IF(S17=Constants!$B$5,TRUE(),IF(S17=Constants!$B$6,FALSE(),COUNTA(T17:X17)&gt;0)))</f>
        <v/>
      </c>
      <c r="AU17" s="94" t="str">
        <f aca="false">IF(ISBLANK($C17),"",IF(ISNUMBER(T17),IF(T17&gt;=0,T17,""),""))</f>
        <v/>
      </c>
      <c r="AV17" s="93" t="str">
        <f aca="false">IF(ISBLANK($C17),"",IF(ISNUMBER(U17),IF(U17&gt;=0,U17,""),""))</f>
        <v/>
      </c>
      <c r="AW17" s="93" t="str">
        <f aca="false">IF(ISBLANK($C17),"",IF(V17=Constants!$B$3,TRUE(),IF(V17=Constants!$B$4,FALSE(),TRUE())))</f>
        <v/>
      </c>
      <c r="AX17" s="92" t="str">
        <f aca="false">IF(ISBLANK($C17),"",IF(ISNUMBER(W17),IF(W17&gt;=0,W17,""),""))</f>
        <v/>
      </c>
      <c r="AY17" s="92" t="str">
        <f aca="false">IF(ISBLANK($C17),"",IF(X17=Constants!$B$3,TRUE(),IF(X17=Constants!$B$4,FALSE(),FALSE())))</f>
        <v/>
      </c>
      <c r="AZ17" s="92" t="str">
        <f aca="false">IF(ISBLANK($C17),"",MIN(Constants!$B$31,MAX(0,IF(ISNUMBER(Y17),Y17*60,0)+IF(ISNUMBER(Z17),Z17,0))))</f>
        <v/>
      </c>
      <c r="BA17" s="92" t="str">
        <f aca="false">IF(ISBLANK($C17),"",IF(AA17=Constants!$B$3,TRUE(),IF(AA17=Constants!$B$4,FALSE(),FALSE())))</f>
        <v/>
      </c>
      <c r="BB17" s="91" t="str">
        <f aca="false">IF(ISBLANK($C17),"",AND($AL17,OR($AM17="",$AN17="",AND($AO17,$AP17=""))))</f>
        <v/>
      </c>
      <c r="BC17" s="93" t="str">
        <f aca="false">IF($BR17&lt;&gt;Constants!$B$8,"",IF($AL17,Constants!$B$21*$AN17+Constants!$B$22*IF($AO17,$AP17,Constants!$B$23),Constants!$B$24))</f>
        <v/>
      </c>
      <c r="BD17" s="96" t="str">
        <f aca="false">IF($BR17&lt;&gt;Constants!$B$8,"",Constants!$B$25*ABS($AD$9-IF($AL17,$AM17,0)))</f>
        <v/>
      </c>
      <c r="BE17" s="96" t="str">
        <f aca="false">IF($BR17&lt;&gt;Constants!$B$8,"",IF(AND($AL17,$AQ17,$AO17),Constants!$B$27,0))</f>
        <v/>
      </c>
      <c r="BF17" s="96" t="str">
        <f aca="false">IF($BR17&lt;&gt;Constants!$B$8,"",IF($AL17,($AI17-Constants!$B$29)*Constants!$B$28,0))</f>
        <v/>
      </c>
      <c r="BG17" s="96" t="str">
        <f aca="false">IF($BR17&lt;&gt;Constants!$B$8,"",IF($AK17,0,Constants!$B$15)+IF($AJ17,0,Constants!$B$16)+IF($AH17,0,Constants!$B$17))</f>
        <v/>
      </c>
      <c r="BH17" s="97" t="str">
        <f aca="false">IF($BR17&lt;&gt;Constants!$B$8,"",Constants!$B$20+SUM($BC17:$BG17))</f>
        <v/>
      </c>
      <c r="BI17" s="92" t="str">
        <f aca="false">IF($BR17&lt;&gt;Constants!$B$8,"",IF(OR($BP17&lt;$BH17,AND($BP17=$BH17,OR($BK17&lt;$BC17,AND($BK17=$BC17,OR($BL17&lt;$BD17,AND($BL17=$BD17,$AT17,$AL17,$AV17&lt;$AN17)))))),"-&gt;","&lt;-"))</f>
        <v/>
      </c>
      <c r="BJ17" s="91" t="str">
        <f aca="false">IF(ISBLANK($C17),"",AND($AT17,OR($AU17="",$AV17="",AND($AW17,$AX17=""))))</f>
        <v/>
      </c>
      <c r="BK17" s="93" t="str">
        <f aca="false">IF($BR17&lt;&gt;Constants!$B$8,"",IF($AT17,Constants!$B$21*$AV17+Constants!$B$22*IF($AW17,$AX17,Constants!$B$23),Constants!$B$24))</f>
        <v/>
      </c>
      <c r="BL17" s="96" t="str">
        <f aca="false">IF($BR17&lt;&gt;Constants!$B$8,"",Constants!$B$25*ABS($AD$9-IF($AT17,$AU17,0)))</f>
        <v/>
      </c>
      <c r="BM17" s="96" t="str">
        <f aca="false">IF($BR17&lt;&gt;Constants!$B$8,"",IF(AND($AT17,$AY17,$AW17),Constants!$B$27,0))</f>
        <v/>
      </c>
      <c r="BN17" s="96" t="str">
        <f aca="false">IF($BR17&lt;&gt;Constants!$B$8,"",IF($AT17,($AI17-Constants!$B$29)*Constants!$B$28,0))</f>
        <v/>
      </c>
      <c r="BO17" s="96" t="str">
        <f aca="false">IF($BR17&lt;&gt;Constants!$B$8,"",IF($AS17,0,Constants!$B$15)+IF($AR17,0,Constants!$B$16)+IF($AH17,0,Constants!$B$17))</f>
        <v/>
      </c>
      <c r="BP17" s="97" t="str">
        <f aca="false">IF($BR17&lt;&gt;Constants!$B$8,"",Constants!$B$20+SUM($BK17:$BO17))</f>
        <v/>
      </c>
      <c r="BQ17" s="92" t="str">
        <f aca="false">IF(ISBLANK($C17),"",IF(ISBLANK($D$7),$BQ$5,IF(NOT(ISNUMBER($D$7)),$BQ$6,"")))</f>
        <v/>
      </c>
      <c r="BR17" s="92" t="str">
        <f aca="false">IF(ISBLANK($C17),"",IF($BA17,Constants!$B$11,IF(COUNTA($E17:$AA17)=0,Constants!$B$10,IF(NOT($AG17),Constants!$B$9,IF(OR($BQ17&lt;&gt;"",$BB17,$BJ17),Constants!$B$12,Constants!$B$8)))))</f>
        <v/>
      </c>
      <c r="BS17" s="92" t="str">
        <f aca="false">IF(ISBLANK($C17),"",IF($BR17&lt;&gt;Constants!$B$8,$BR17,Constants!$B$13))</f>
        <v/>
      </c>
      <c r="BT17" s="96" t="str">
        <f aca="false">IF($BR17&lt;&gt;Constants!$B$8,"",IF($BI17="-&gt;",$BP17,$BH17))</f>
        <v/>
      </c>
      <c r="BU17" s="96" t="str">
        <f aca="false">IF($BR17&lt;&gt;Constants!$B$8,"",IF($AF17,0,Constants!$B$18))</f>
        <v/>
      </c>
      <c r="BV17" s="96" t="str">
        <f aca="false">IF($BR17&lt;&gt;Constants!$B$8,"",((Constants!$B$31-$AZ17)-Constants!$B$31)/Constants!$B$32)</f>
        <v/>
      </c>
      <c r="BW17" s="96" t="str">
        <f aca="false">IF(ISBLANK($C17),"",IF($BR17&lt;&gt;Constants!$B$8,$BR17,SUM($BT17:$BV17)))</f>
        <v/>
      </c>
      <c r="BX17" s="92" t="str">
        <f aca="false">IF(ISBLANK($C17),"",IF($BR17&lt;&gt;Constants!$B$8,$BR17,RANK($BW17,$BW$9:$BW$508,1)))</f>
        <v/>
      </c>
      <c r="BY17" s="96" t="str">
        <f aca="false">IF($BR17&lt;&gt;Constants!$B$8,"",IF($BI17="-&gt;",$BK17,$BC17))</f>
        <v/>
      </c>
      <c r="BZ17" s="92" t="str">
        <f aca="false">IF(ISBLANK($C17),"",IF($BR17&lt;&gt;Constants!$B$8,$BR17,IF(ISNUMBER($BY17),RANK($BY17,$BY$9:$BY$508,1),COUNT($BY$9:$BY$508)+1)))</f>
        <v/>
      </c>
      <c r="CA17" s="96" t="str">
        <f aca="false">IF($BR17&lt;&gt;Constants!$B$8,"",IF($BI17="-&gt;",$BL17,$BD17))</f>
        <v/>
      </c>
      <c r="CB17" s="92" t="str">
        <f aca="false">IF(ISBLANK($C17),"",IF($BR17&lt;&gt;Constants!$B$8,$BR17,IF(ISNUMBER($CA17),RANK($CA17,$CA$9:$CA$508,1),COUNT($CA$9:$CA$508)+1)))</f>
        <v/>
      </c>
      <c r="CC17" s="96" t="str">
        <f aca="false">IF($BR17&lt;&gt;Constants!$B$8,"",IF($BI17="-&gt;",IF($AT17,$AV17,""),IF($AL17,$AN17,"")))</f>
        <v/>
      </c>
      <c r="CD17" s="92" t="str">
        <f aca="false">IF(ISBLANK($C17),"",IF($BR17&lt;&gt;Constants!$B$8,$BR17,IF(ISNUMBER($CC17),RANK($CC17,$CC$9:$CC$508,1),COUNT($CC$9:$CC$508)+1)))</f>
        <v/>
      </c>
      <c r="CE17" s="96" t="str">
        <f aca="false">IF($BR17&lt;&gt;Constants!$B$8,"",IF(AND(NOT($AL17),NOT($AT17),$AJ17,$AK17,$AR17,$AS17),"",$AI17))</f>
        <v/>
      </c>
      <c r="CF17" s="92" t="str">
        <f aca="false">IF(ISBLANK($C17),"",IF($BR17&lt;&gt;Constants!$B$8,$BR17,IF(ISNUMBER($CE17),RANK($CE17,$CE$9:$CE$508,1),COUNT($CE$9:$CE$508)+1)))</f>
        <v/>
      </c>
      <c r="CG17" s="92" t="str">
        <f aca="false">IF(ISBLANK($C17),"",IF($BR17&lt;&gt;Constants!$B$8,$BR17,COUNTIFS($BX$9:$BX$508,"&lt;"&amp;$BX17)+COUNTIFS($BX$9:$BX$508,$BX17,$BZ$9:$BZ$508,"&lt;"&amp;$BZ17)+COUNTIFS($BX$9:$BX$508,$BX17,$BZ$9:$BZ$508,$BZ17,$CB$9:$CB$508,"&lt;"&amp;$CB17)+COUNTIFS($BX$9:$BX$508,$BX17,$BZ$9:$BZ$508,$BZ17,$CB$9:$CB$508,$CB17,$CD$9:$CD$508,"&lt;"&amp;$CD17)+COUNTIFS($BX$9:$BX$508,$BX17,$BZ$9:$BZ$508,$BZ17,$CB$9:$CB$508,$CB17,$CD$9:$CD$508,$CD17,$CF$9:$CF$508,"&lt;"&amp;$CF17)+1))</f>
        <v/>
      </c>
      <c r="CH17" s="92" t="str">
        <f aca="false">IF(ISBLANK($C17),"",IF($BR17&lt;&gt;Constants!$B$8,$BR17,$BX17-$CG17))</f>
        <v/>
      </c>
      <c r="CI17" s="98"/>
      <c r="CJ17" s="99"/>
      <c r="CK17" s="100" t="str">
        <f aca="false">IF(ISBLANK($C17),"",IF($BR17=Constants!$B$12,$BQ17,""))</f>
        <v/>
      </c>
      <c r="CL17" s="99" t="str">
        <f aca="false">IF(ISBLANK($C17),"",IF($BR17&lt;&gt;Constants!$B$8,"",IF($BI17="-&gt;",2,1)))</f>
        <v/>
      </c>
      <c r="CM17" s="101" t="str">
        <f aca="false">IF(ISBLANK($C17),"",IF($BR17&lt;&gt;Constants!$B$8,"",IF($BI17="-&gt;",$BK17,$BC17)))</f>
        <v/>
      </c>
      <c r="CN17" s="101" t="str">
        <f aca="false">IF(ISBLANK($C17),"",IF($BR17&lt;&gt;Constants!$B$8,"",IF($BI17="-&gt;",$BL17,$BD17)))</f>
        <v/>
      </c>
      <c r="CO17" s="101" t="str">
        <f aca="false">IF(ISBLANK($C17),"",IF($BR17&lt;&gt;Constants!$B$8,"",IF($BI17="-&gt;",$BM17+$BN17,$BE17+$BF17)+$BV17))</f>
        <v/>
      </c>
      <c r="CP17" s="101" t="str">
        <f aca="false">IF(ISBLANK($C17),"",IF($BR17&lt;&gt;Constants!$B$8,"",IF($BI17="-&gt;",$BO17,$BG17)+$BU17))</f>
        <v/>
      </c>
      <c r="CQ17" s="102" t="str">
        <f aca="false">IF(ISBLANK($C17),"",IF($BR17&lt;&gt;Constants!$B$8,$BR17,$BW17))</f>
        <v/>
      </c>
      <c r="CR17" s="103" t="str">
        <f aca="false">IF(ISBLANK($C17),"",$BS17)</f>
        <v/>
      </c>
      <c r="CS17" s="104" t="str">
        <f aca="false">IF(ISBLANK($C17),"",$CH17)</f>
        <v/>
      </c>
      <c r="CT17" s="104" t="str">
        <f aca="false">IF(ISBLANK($C17),"",$CG17)</f>
        <v/>
      </c>
      <c r="CU17" s="105" t="str">
        <f aca="false">IF(ISBLANK($C17),"",IFERROR(_xlfn.SWITCH($CT17,Constants!$B$11,COUNTA($C$9:$C$508)+2,Constants!$B$10,COUNTA($C$9:$C$508)+1,Constants!$B$9,COUNTA($C$9:$C$508)),$CT17))</f>
        <v/>
      </c>
      <c r="CV17" s="9"/>
      <c r="CW17" s="106" t="n">
        <f aca="false">IF(OR(ISNUMBER($CT17),$CT17=Constants!$B$11,$CT17=Constants!$B$9,$CT17=Constants!$B$10),1,0)</f>
        <v>0</v>
      </c>
      <c r="CX17" s="106" t="n">
        <v>9</v>
      </c>
      <c r="CY17" s="106" t="str">
        <f aca="false">IF(ISBLANK($C17),"",IF(ISNUMBER($CU17),$CU17+ROW($B17)/1000,""))</f>
        <v/>
      </c>
      <c r="CZ17" s="106" t="str">
        <f aca="false">IF(ISNUMBER($CY17),RANK($CY17,$CY$9:$CY$508,1),"")</f>
        <v/>
      </c>
      <c r="DA17" s="106" t="str">
        <f aca="false">IF(ISBLANK($C17),"",$B17)</f>
        <v/>
      </c>
      <c r="DB17" s="106" t="str">
        <f aca="false">IF(ISBLANK($C17),"",$C17)</f>
        <v/>
      </c>
      <c r="DC17" s="106" t="str">
        <f aca="false">IF(ISBLANK($C17),"",$D17)</f>
        <v/>
      </c>
      <c r="DD17" s="107" t="str">
        <f aca="false">$CR17</f>
        <v/>
      </c>
      <c r="DE17" s="108" t="str">
        <f aca="false">$CQ17</f>
        <v/>
      </c>
      <c r="DF17" s="106" t="str">
        <f aca="false">IF(ISBLANK($C17),"",$CT17)</f>
        <v/>
      </c>
      <c r="DG17" s="109" t="str">
        <f aca="false">IF($CX17&gt;$CW$8,"",VLOOKUP($CX17,$CZ$9:$DF$508,7,FALSE()))</f>
        <v/>
      </c>
      <c r="DH17" s="110" t="str">
        <f aca="false">IF($CX17&gt;$CW$8,"",VLOOKUP($CX17,$CZ$9:$DF$508,2,FALSE()))</f>
        <v/>
      </c>
      <c r="DI17" s="110" t="str">
        <f aca="false">IF($CX17&gt;$CW$8,"",VLOOKUP($CX17,$CZ$9:$DF$508,3,FALSE()))</f>
        <v/>
      </c>
      <c r="DJ17" s="110" t="str">
        <f aca="false">IF($CX17&gt;$CW$8,"",VLOOKUP($CX17,$CZ$9:$DF$508,4,FALSE()))</f>
        <v/>
      </c>
      <c r="DK17" s="110" t="str">
        <f aca="false">IF($CX17&gt;$CW$8,"",VLOOKUP($CX17,$CZ$9:$DF$508,5,FALSE()))</f>
        <v/>
      </c>
      <c r="DL17" s="111" t="str">
        <f aca="false">IF($CX17&gt;$CW$8,"",VLOOKUP($CX17,$CZ$9:$DF$508,6,FALSE()))</f>
        <v/>
      </c>
      <c r="DM17" s="75"/>
    </row>
    <row r="18" customFormat="false" ht="15.75" hidden="false" customHeight="false" outlineLevel="0" collapsed="false">
      <c r="A18" s="9"/>
      <c r="B18" s="157"/>
      <c r="C18" s="158"/>
      <c r="D18" s="159"/>
      <c r="E18" s="160"/>
      <c r="F18" s="161"/>
      <c r="G18" s="162"/>
      <c r="H18" s="162"/>
      <c r="I18" s="163"/>
      <c r="J18" s="164"/>
      <c r="K18" s="126"/>
      <c r="L18" s="127"/>
      <c r="M18" s="128"/>
      <c r="N18" s="164"/>
      <c r="O18" s="164"/>
      <c r="P18" s="160"/>
      <c r="Q18" s="164"/>
      <c r="R18" s="164"/>
      <c r="S18" s="126"/>
      <c r="T18" s="128"/>
      <c r="U18" s="128"/>
      <c r="V18" s="164"/>
      <c r="W18" s="164"/>
      <c r="X18" s="160"/>
      <c r="Y18" s="165"/>
      <c r="Z18" s="166"/>
      <c r="AA18" s="165"/>
      <c r="AB18" s="132"/>
      <c r="AC18" s="133"/>
      <c r="AD18" s="133"/>
      <c r="AE18" s="133"/>
      <c r="AF18" s="133" t="str">
        <f aca="false">IF(ISBLANK($C18),"",IF(E18=Constants!$B$3,TRUE(),IF(E18=Constants!$B$4,FALSE(),TRUE())))</f>
        <v/>
      </c>
      <c r="AG18" s="133" t="str">
        <f aca="false">IF(ISBLANK($C18),"",IF(F18=Constants!$B$3,TRUE(),IF(F18=Constants!$B$4,FALSE(),TRUE())))</f>
        <v/>
      </c>
      <c r="AH18" s="133" t="str">
        <f aca="false">IF(ISBLANK($C18),"",IF(G18=Constants!$B$3,TRUE(),IF(G18=Constants!$B$4,FALSE(),TRUE())))</f>
        <v/>
      </c>
      <c r="AI18" s="133" t="str">
        <f aca="false">IF(ISBLANK($C18),"",IF(AND(ISNUMBER(H18),H18&gt;=0),H18,Constants!$B$29))</f>
        <v/>
      </c>
      <c r="AJ18" s="133" t="str">
        <f aca="false">IF(ISBLANK($C18),"",IF(I18=Constants!$B$3,TRUE(),IF(I18=Constants!$B$4,FALSE(),TRUE())))</f>
        <v/>
      </c>
      <c r="AK18" s="133" t="str">
        <f aca="false">IF(ISBLANK($C18),"",IF(J18=Constants!$B$3,TRUE(),IF(J18=Constants!$B$4,FALSE(),TRUE())))</f>
        <v/>
      </c>
      <c r="AL18" s="133" t="str">
        <f aca="false">IF(ISBLANK($C18),"",IF(K18=Constants!$B$5,TRUE(),IF(K18=Constants!$B$6,FALSE(),COUNTA(L18:P18)&gt;0)))</f>
        <v/>
      </c>
      <c r="AM18" s="134" t="str">
        <f aca="false">IF(ISBLANK($C18),"",IF(ISNUMBER(L18),IF(L18&gt;=0,L18,""),""))</f>
        <v/>
      </c>
      <c r="AN18" s="135" t="str">
        <f aca="false">IF(ISBLANK($C18),"",IF(ISNUMBER(M18),IF(M18&gt;=0,M18,""),""))</f>
        <v/>
      </c>
      <c r="AO18" s="135" t="str">
        <f aca="false">IF(ISBLANK($C18),"",IF(N18=Constants!$B$3,TRUE(),IF(N18=Constants!$B$4,FALSE(),TRUE())))</f>
        <v/>
      </c>
      <c r="AP18" s="133" t="str">
        <f aca="false">IF(ISBLANK($C18),"",IF(ISNUMBER(O18),IF(O18&gt;=0,O18,""),""))</f>
        <v/>
      </c>
      <c r="AQ18" s="133" t="str">
        <f aca="false">IF(ISBLANK($C18),"",IF(P18=Constants!$B$3,TRUE(),IF(P18=Constants!$B$4,FALSE(),FALSE())))</f>
        <v/>
      </c>
      <c r="AR18" s="133" t="str">
        <f aca="false">IF(ISBLANK($C18),"",IF(Q18=Constants!$B$3,TRUE(),IF(Q18=Constants!$B$4,FALSE(),TRUE())))</f>
        <v/>
      </c>
      <c r="AS18" s="133" t="str">
        <f aca="false">IF(ISBLANK($C18),"",IF(R18=Constants!$B$3,TRUE(),IF(R18=Constants!$B$4,FALSE(),TRUE())))</f>
        <v/>
      </c>
      <c r="AT18" s="133" t="str">
        <f aca="false">IF(ISBLANK($C18),"",IF(S18=Constants!$B$5,TRUE(),IF(S18=Constants!$B$6,FALSE(),COUNTA(T18:X18)&gt;0)))</f>
        <v/>
      </c>
      <c r="AU18" s="134" t="str">
        <f aca="false">IF(ISBLANK($C18),"",IF(ISNUMBER(T18),IF(T18&gt;=0,T18,""),""))</f>
        <v/>
      </c>
      <c r="AV18" s="135" t="str">
        <f aca="false">IF(ISBLANK($C18),"",IF(ISNUMBER(U18),IF(U18&gt;=0,U18,""),""))</f>
        <v/>
      </c>
      <c r="AW18" s="135" t="str">
        <f aca="false">IF(ISBLANK($C18),"",IF(V18=Constants!$B$3,TRUE(),IF(V18=Constants!$B$4,FALSE(),TRUE())))</f>
        <v/>
      </c>
      <c r="AX18" s="133" t="str">
        <f aca="false">IF(ISBLANK($C18),"",IF(ISNUMBER(W18),IF(W18&gt;=0,W18,""),""))</f>
        <v/>
      </c>
      <c r="AY18" s="133" t="str">
        <f aca="false">IF(ISBLANK($C18),"",IF(X18=Constants!$B$3,TRUE(),IF(X18=Constants!$B$4,FALSE(),FALSE())))</f>
        <v/>
      </c>
      <c r="AZ18" s="133" t="str">
        <f aca="false">IF(ISBLANK($C18),"",MIN(Constants!$B$31,MAX(0,IF(ISNUMBER(Y18),Y18*60,0)+IF(ISNUMBER(Z18),Z18,0))))</f>
        <v/>
      </c>
      <c r="BA18" s="133" t="str">
        <f aca="false">IF(ISBLANK($C18),"",IF(AA18=Constants!$B$3,TRUE(),IF(AA18=Constants!$B$4,FALSE(),FALSE())))</f>
        <v/>
      </c>
      <c r="BB18" s="132" t="str">
        <f aca="false">IF(ISBLANK($C18),"",AND($AL18,OR($AM18="",$AN18="",AND($AO18,$AP18=""))))</f>
        <v/>
      </c>
      <c r="BC18" s="135" t="str">
        <f aca="false">IF($BR18&lt;&gt;Constants!$B$8,"",IF($AL18,Constants!$B$21*$AN18+Constants!$B$22*IF($AO18,$AP18,Constants!$B$23),Constants!$B$24))</f>
        <v/>
      </c>
      <c r="BD18" s="136" t="str">
        <f aca="false">IF($BR18&lt;&gt;Constants!$B$8,"",Constants!$B$25*ABS($AD$9-IF($AL18,$AM18,0)))</f>
        <v/>
      </c>
      <c r="BE18" s="136" t="str">
        <f aca="false">IF($BR18&lt;&gt;Constants!$B$8,"",IF(AND($AL18,$AQ18,$AO18),Constants!$B$27,0))</f>
        <v/>
      </c>
      <c r="BF18" s="136" t="str">
        <f aca="false">IF($BR18&lt;&gt;Constants!$B$8,"",IF($AL18,($AI18-Constants!$B$29)*Constants!$B$28,0))</f>
        <v/>
      </c>
      <c r="BG18" s="136" t="str">
        <f aca="false">IF($BR18&lt;&gt;Constants!$B$8,"",IF($AK18,0,Constants!$B$15)+IF($AJ18,0,Constants!$B$16)+IF($AH18,0,Constants!$B$17))</f>
        <v/>
      </c>
      <c r="BH18" s="137" t="str">
        <f aca="false">IF($BR18&lt;&gt;Constants!$B$8,"",Constants!$B$20+SUM($BC18:$BG18))</f>
        <v/>
      </c>
      <c r="BI18" s="133" t="str">
        <f aca="false">IF($BR18&lt;&gt;Constants!$B$8,"",IF(OR($BP18&lt;$BH18,AND($BP18=$BH18,OR($BK18&lt;$BC18,AND($BK18=$BC18,OR($BL18&lt;$BD18,AND($BL18=$BD18,$AT18,$AL18,$AV18&lt;$AN18)))))),"-&gt;","&lt;-"))</f>
        <v/>
      </c>
      <c r="BJ18" s="132" t="str">
        <f aca="false">IF(ISBLANK($C18),"",AND($AT18,OR($AU18="",$AV18="",AND($AW18,$AX18=""))))</f>
        <v/>
      </c>
      <c r="BK18" s="135" t="str">
        <f aca="false">IF($BR18&lt;&gt;Constants!$B$8,"",IF($AT18,Constants!$B$21*$AV18+Constants!$B$22*IF($AW18,$AX18,Constants!$B$23),Constants!$B$24))</f>
        <v/>
      </c>
      <c r="BL18" s="136" t="str">
        <f aca="false">IF($BR18&lt;&gt;Constants!$B$8,"",Constants!$B$25*ABS($AD$9-IF($AT18,$AU18,0)))</f>
        <v/>
      </c>
      <c r="BM18" s="136" t="str">
        <f aca="false">IF($BR18&lt;&gt;Constants!$B$8,"",IF(AND($AT18,$AY18,$AW18),Constants!$B$27,0))</f>
        <v/>
      </c>
      <c r="BN18" s="136" t="str">
        <f aca="false">IF($BR18&lt;&gt;Constants!$B$8,"",IF($AT18,($AI18-Constants!$B$29)*Constants!$B$28,0))</f>
        <v/>
      </c>
      <c r="BO18" s="136" t="str">
        <f aca="false">IF($BR18&lt;&gt;Constants!$B$8,"",IF($AS18,0,Constants!$B$15)+IF($AR18,0,Constants!$B$16)+IF($AH18,0,Constants!$B$17))</f>
        <v/>
      </c>
      <c r="BP18" s="137" t="str">
        <f aca="false">IF($BR18&lt;&gt;Constants!$B$8,"",Constants!$B$20+SUM($BK18:$BO18))</f>
        <v/>
      </c>
      <c r="BQ18" s="133" t="str">
        <f aca="false">IF(ISBLANK($C18),"",IF(ISBLANK($D$7),$BQ$5,IF(NOT(ISNUMBER($D$7)),$BQ$6,"")))</f>
        <v/>
      </c>
      <c r="BR18" s="133" t="str">
        <f aca="false">IF(ISBLANK($C18),"",IF($BA18,Constants!$B$11,IF(COUNTA($E18:$AA18)=0,Constants!$B$10,IF(NOT($AG18),Constants!$B$9,IF(OR($BQ18&lt;&gt;"",$BB18,$BJ18),Constants!$B$12,Constants!$B$8)))))</f>
        <v/>
      </c>
      <c r="BS18" s="133" t="str">
        <f aca="false">IF(ISBLANK($C18),"",IF($BR18&lt;&gt;Constants!$B$8,$BR18,Constants!$B$13))</f>
        <v/>
      </c>
      <c r="BT18" s="136" t="str">
        <f aca="false">IF($BR18&lt;&gt;Constants!$B$8,"",IF($BI18="-&gt;",$BP18,$BH18))</f>
        <v/>
      </c>
      <c r="BU18" s="136" t="str">
        <f aca="false">IF($BR18&lt;&gt;Constants!$B$8,"",IF($AF18,0,Constants!$B$18))</f>
        <v/>
      </c>
      <c r="BV18" s="136" t="str">
        <f aca="false">IF($BR18&lt;&gt;Constants!$B$8,"",((Constants!$B$31-$AZ18)-Constants!$B$31)/Constants!$B$32)</f>
        <v/>
      </c>
      <c r="BW18" s="136" t="str">
        <f aca="false">IF(ISBLANK($C18),"",IF($BR18&lt;&gt;Constants!$B$8,$BR18,SUM($BT18:$BV18)))</f>
        <v/>
      </c>
      <c r="BX18" s="133" t="str">
        <f aca="false">IF(ISBLANK($C18),"",IF($BR18&lt;&gt;Constants!$B$8,$BR18,RANK($BW18,$BW$9:$BW$508,1)))</f>
        <v/>
      </c>
      <c r="BY18" s="136" t="str">
        <f aca="false">IF($BR18&lt;&gt;Constants!$B$8,"",IF($BI18="-&gt;",$BK18,$BC18))</f>
        <v/>
      </c>
      <c r="BZ18" s="133" t="str">
        <f aca="false">IF(ISBLANK($C18),"",IF($BR18&lt;&gt;Constants!$B$8,$BR18,IF(ISNUMBER($BY18),RANK($BY18,$BY$9:$BY$508,1),COUNT($BY$9:$BY$508)+1)))</f>
        <v/>
      </c>
      <c r="CA18" s="136" t="str">
        <f aca="false">IF($BR18&lt;&gt;Constants!$B$8,"",IF($BI18="-&gt;",$BL18,$BD18))</f>
        <v/>
      </c>
      <c r="CB18" s="133" t="str">
        <f aca="false">IF(ISBLANK($C18),"",IF($BR18&lt;&gt;Constants!$B$8,$BR18,IF(ISNUMBER($CA18),RANK($CA18,$CA$9:$CA$508,1),COUNT($CA$9:$CA$508)+1)))</f>
        <v/>
      </c>
      <c r="CC18" s="136" t="str">
        <f aca="false">IF($BR18&lt;&gt;Constants!$B$8,"",IF($BI18="-&gt;",IF($AT18,$AV18,""),IF($AL18,$AN18,"")))</f>
        <v/>
      </c>
      <c r="CD18" s="133" t="str">
        <f aca="false">IF(ISBLANK($C18),"",IF($BR18&lt;&gt;Constants!$B$8,$BR18,IF(ISNUMBER($CC18),RANK($CC18,$CC$9:$CC$508,1),COUNT($CC$9:$CC$508)+1)))</f>
        <v/>
      </c>
      <c r="CE18" s="136" t="str">
        <f aca="false">IF($BR18&lt;&gt;Constants!$B$8,"",IF(AND(NOT($AL18),NOT($AT18),$AJ18,$AK18,$AR18,$AS18),"",$AI18))</f>
        <v/>
      </c>
      <c r="CF18" s="133" t="str">
        <f aca="false">IF(ISBLANK($C18),"",IF($BR18&lt;&gt;Constants!$B$8,$BR18,IF(ISNUMBER($CE18),RANK($CE18,$CE$9:$CE$508,1),COUNT($CE$9:$CE$508)+1)))</f>
        <v/>
      </c>
      <c r="CG18" s="133" t="str">
        <f aca="false">IF(ISBLANK($C18),"",IF($BR18&lt;&gt;Constants!$B$8,$BR18,COUNTIFS($BX$9:$BX$508,"&lt;"&amp;$BX18)+COUNTIFS($BX$9:$BX$508,$BX18,$BZ$9:$BZ$508,"&lt;"&amp;$BZ18)+COUNTIFS($BX$9:$BX$508,$BX18,$BZ$9:$BZ$508,$BZ18,$CB$9:$CB$508,"&lt;"&amp;$CB18)+COUNTIFS($BX$9:$BX$508,$BX18,$BZ$9:$BZ$508,$BZ18,$CB$9:$CB$508,$CB18,$CD$9:$CD$508,"&lt;"&amp;$CD18)+COUNTIFS($BX$9:$BX$508,$BX18,$BZ$9:$BZ$508,$BZ18,$CB$9:$CB$508,$CB18,$CD$9:$CD$508,$CD18,$CF$9:$CF$508,"&lt;"&amp;$CF18)+1))</f>
        <v/>
      </c>
      <c r="CH18" s="133" t="str">
        <f aca="false">IF(ISBLANK($C18),"",IF($BR18&lt;&gt;Constants!$B$8,$BR18,$BX18-$CG18))</f>
        <v/>
      </c>
      <c r="CI18" s="138"/>
      <c r="CJ18" s="139"/>
      <c r="CK18" s="140" t="str">
        <f aca="false">IF(ISBLANK($C18),"",IF($BR18=Constants!$B$12,$BQ18,""))</f>
        <v/>
      </c>
      <c r="CL18" s="139" t="str">
        <f aca="false">IF(ISBLANK($C18),"",IF($BR18&lt;&gt;Constants!$B$8,"",IF($BI18="-&gt;",2,1)))</f>
        <v/>
      </c>
      <c r="CM18" s="141" t="str">
        <f aca="false">IF(ISBLANK($C18),"",IF($BR18&lt;&gt;Constants!$B$8,"",IF($BI18="-&gt;",$BK18,$BC18)))</f>
        <v/>
      </c>
      <c r="CN18" s="141" t="str">
        <f aca="false">IF(ISBLANK($C18),"",IF($BR18&lt;&gt;Constants!$B$8,"",IF($BI18="-&gt;",$BL18,$BD18)))</f>
        <v/>
      </c>
      <c r="CO18" s="141" t="str">
        <f aca="false">IF(ISBLANK($C18),"",IF($BR18&lt;&gt;Constants!$B$8,"",IF($BI18="-&gt;",$BM18+$BN18,$BE18+$BF18)+$BV18))</f>
        <v/>
      </c>
      <c r="CP18" s="141" t="str">
        <f aca="false">IF(ISBLANK($C18),"",IF($BR18&lt;&gt;Constants!$B$8,"",IF($BI18="-&gt;",$BO18,$BG18)+$BU18))</f>
        <v/>
      </c>
      <c r="CQ18" s="142" t="str">
        <f aca="false">IF(ISBLANK($C18),"",IF($BR18&lt;&gt;Constants!$B$8,$BR18,$BW18))</f>
        <v/>
      </c>
      <c r="CR18" s="143" t="str">
        <f aca="false">IF(ISBLANK($C18),"",$BS18)</f>
        <v/>
      </c>
      <c r="CS18" s="144" t="str">
        <f aca="false">IF(ISBLANK($C18),"",$CH18)</f>
        <v/>
      </c>
      <c r="CT18" s="144" t="str">
        <f aca="false">IF(ISBLANK($C18),"",$CG18)</f>
        <v/>
      </c>
      <c r="CU18" s="145" t="str">
        <f aca="false">IF(ISBLANK($C18),"",IFERROR(_xlfn.SWITCH($CT18,Constants!$B$11,COUNTA($C$9:$C$508)+2,Constants!$B$10,COUNTA($C$9:$C$508)+1,Constants!$B$9,COUNTA($C$9:$C$508)),$CT18))</f>
        <v/>
      </c>
      <c r="CV18" s="9"/>
      <c r="CW18" s="146" t="n">
        <f aca="false">IF(OR(ISNUMBER($CT18),$CT18=Constants!$B$11,$CT18=Constants!$B$9,$CT18=Constants!$B$10),1,0)</f>
        <v>0</v>
      </c>
      <c r="CX18" s="146" t="n">
        <v>10</v>
      </c>
      <c r="CY18" s="146" t="str">
        <f aca="false">IF(ISBLANK($C18),"",IF(ISNUMBER($CU18),$CU18+ROW($B18)/1000,""))</f>
        <v/>
      </c>
      <c r="CZ18" s="146" t="str">
        <f aca="false">IF(ISNUMBER($CY18),RANK($CY18,$CY$9:$CY$508,1),"")</f>
        <v/>
      </c>
      <c r="DA18" s="146" t="str">
        <f aca="false">IF(ISBLANK($C18),"",$B18)</f>
        <v/>
      </c>
      <c r="DB18" s="146" t="str">
        <f aca="false">IF(ISBLANK($C18),"",$C18)</f>
        <v/>
      </c>
      <c r="DC18" s="146" t="str">
        <f aca="false">IF(ISBLANK($C18),"",$D18)</f>
        <v/>
      </c>
      <c r="DD18" s="147" t="str">
        <f aca="false">$CR18</f>
        <v/>
      </c>
      <c r="DE18" s="148" t="str">
        <f aca="false">$CQ18</f>
        <v/>
      </c>
      <c r="DF18" s="146" t="str">
        <f aca="false">IF(ISBLANK($C18),"",$CT18)</f>
        <v/>
      </c>
      <c r="DG18" s="149" t="str">
        <f aca="false">IF($CX18&gt;$CW$8,"",VLOOKUP($CX18,$CZ$9:$DF$508,7,FALSE()))</f>
        <v/>
      </c>
      <c r="DH18" s="150" t="str">
        <f aca="false">IF($CX18&gt;$CW$8,"",VLOOKUP($CX18,$CZ$9:$DF$508,2,FALSE()))</f>
        <v/>
      </c>
      <c r="DI18" s="150" t="str">
        <f aca="false">IF($CX18&gt;$CW$8,"",VLOOKUP($CX18,$CZ$9:$DF$508,3,FALSE()))</f>
        <v/>
      </c>
      <c r="DJ18" s="150" t="str">
        <f aca="false">IF($CX18&gt;$CW$8,"",VLOOKUP($CX18,$CZ$9:$DF$508,4,FALSE()))</f>
        <v/>
      </c>
      <c r="DK18" s="150" t="str">
        <f aca="false">IF($CX18&gt;$CW$8,"",VLOOKUP($CX18,$CZ$9:$DF$508,5,FALSE()))</f>
        <v/>
      </c>
      <c r="DL18" s="151" t="str">
        <f aca="false">IF($CX18&gt;$CW$8,"",VLOOKUP($CX18,$CZ$9:$DF$508,6,FALSE()))</f>
        <v/>
      </c>
      <c r="DM18" s="75"/>
    </row>
    <row r="19" customFormat="false" ht="15.75" hidden="false" customHeight="false" outlineLevel="0" collapsed="false">
      <c r="A19" s="9"/>
      <c r="B19" s="157"/>
      <c r="C19" s="158"/>
      <c r="D19" s="159"/>
      <c r="E19" s="160"/>
      <c r="F19" s="161"/>
      <c r="G19" s="162"/>
      <c r="H19" s="162"/>
      <c r="I19" s="163"/>
      <c r="J19" s="164"/>
      <c r="K19" s="126"/>
      <c r="L19" s="127"/>
      <c r="M19" s="128"/>
      <c r="N19" s="164"/>
      <c r="O19" s="164"/>
      <c r="P19" s="160"/>
      <c r="Q19" s="164"/>
      <c r="R19" s="164"/>
      <c r="S19" s="126"/>
      <c r="T19" s="128"/>
      <c r="U19" s="128"/>
      <c r="V19" s="164"/>
      <c r="W19" s="164"/>
      <c r="X19" s="160"/>
      <c r="Y19" s="165"/>
      <c r="Z19" s="166"/>
      <c r="AA19" s="165"/>
      <c r="AB19" s="132"/>
      <c r="AC19" s="133"/>
      <c r="AD19" s="133"/>
      <c r="AE19" s="133"/>
      <c r="AF19" s="133" t="str">
        <f aca="false">IF(ISBLANK($C19),"",IF(E19=Constants!$B$3,TRUE(),IF(E19=Constants!$B$4,FALSE(),TRUE())))</f>
        <v/>
      </c>
      <c r="AG19" s="133" t="str">
        <f aca="false">IF(ISBLANK($C19),"",IF(F19=Constants!$B$3,TRUE(),IF(F19=Constants!$B$4,FALSE(),TRUE())))</f>
        <v/>
      </c>
      <c r="AH19" s="133" t="str">
        <f aca="false">IF(ISBLANK($C19),"",IF(G19=Constants!$B$3,TRUE(),IF(G19=Constants!$B$4,FALSE(),TRUE())))</f>
        <v/>
      </c>
      <c r="AI19" s="133" t="str">
        <f aca="false">IF(ISBLANK($C19),"",IF(AND(ISNUMBER(H19),H19&gt;=0),H19,Constants!$B$29))</f>
        <v/>
      </c>
      <c r="AJ19" s="133" t="str">
        <f aca="false">IF(ISBLANK($C19),"",IF(I19=Constants!$B$3,TRUE(),IF(I19=Constants!$B$4,FALSE(),TRUE())))</f>
        <v/>
      </c>
      <c r="AK19" s="133" t="str">
        <f aca="false">IF(ISBLANK($C19),"",IF(J19=Constants!$B$3,TRUE(),IF(J19=Constants!$B$4,FALSE(),TRUE())))</f>
        <v/>
      </c>
      <c r="AL19" s="133" t="str">
        <f aca="false">IF(ISBLANK($C19),"",IF(K19=Constants!$B$5,TRUE(),IF(K19=Constants!$B$6,FALSE(),COUNTA(L19:P19)&gt;0)))</f>
        <v/>
      </c>
      <c r="AM19" s="134" t="str">
        <f aca="false">IF(ISBLANK($C19),"",IF(ISNUMBER(L19),IF(L19&gt;=0,L19,""),""))</f>
        <v/>
      </c>
      <c r="AN19" s="135" t="str">
        <f aca="false">IF(ISBLANK($C19),"",IF(ISNUMBER(M19),IF(M19&gt;=0,M19,""),""))</f>
        <v/>
      </c>
      <c r="AO19" s="135" t="str">
        <f aca="false">IF(ISBLANK($C19),"",IF(N19=Constants!$B$3,TRUE(),IF(N19=Constants!$B$4,FALSE(),TRUE())))</f>
        <v/>
      </c>
      <c r="AP19" s="133" t="str">
        <f aca="false">IF(ISBLANK($C19),"",IF(ISNUMBER(O19),IF(O19&gt;=0,O19,""),""))</f>
        <v/>
      </c>
      <c r="AQ19" s="133" t="str">
        <f aca="false">IF(ISBLANK($C19),"",IF(P19=Constants!$B$3,TRUE(),IF(P19=Constants!$B$4,FALSE(),FALSE())))</f>
        <v/>
      </c>
      <c r="AR19" s="133" t="str">
        <f aca="false">IF(ISBLANK($C19),"",IF(Q19=Constants!$B$3,TRUE(),IF(Q19=Constants!$B$4,FALSE(),TRUE())))</f>
        <v/>
      </c>
      <c r="AS19" s="133" t="str">
        <f aca="false">IF(ISBLANK($C19),"",IF(R19=Constants!$B$3,TRUE(),IF(R19=Constants!$B$4,FALSE(),TRUE())))</f>
        <v/>
      </c>
      <c r="AT19" s="133" t="str">
        <f aca="false">IF(ISBLANK($C19),"",IF(S19=Constants!$B$5,TRUE(),IF(S19=Constants!$B$6,FALSE(),COUNTA(T19:X19)&gt;0)))</f>
        <v/>
      </c>
      <c r="AU19" s="134" t="str">
        <f aca="false">IF(ISBLANK($C19),"",IF(ISNUMBER(T19),IF(T19&gt;=0,T19,""),""))</f>
        <v/>
      </c>
      <c r="AV19" s="135" t="str">
        <f aca="false">IF(ISBLANK($C19),"",IF(ISNUMBER(U19),IF(U19&gt;=0,U19,""),""))</f>
        <v/>
      </c>
      <c r="AW19" s="135" t="str">
        <f aca="false">IF(ISBLANK($C19),"",IF(V19=Constants!$B$3,TRUE(),IF(V19=Constants!$B$4,FALSE(),TRUE())))</f>
        <v/>
      </c>
      <c r="AX19" s="133" t="str">
        <f aca="false">IF(ISBLANK($C19),"",IF(ISNUMBER(W19),IF(W19&gt;=0,W19,""),""))</f>
        <v/>
      </c>
      <c r="AY19" s="133" t="str">
        <f aca="false">IF(ISBLANK($C19),"",IF(X19=Constants!$B$3,TRUE(),IF(X19=Constants!$B$4,FALSE(),FALSE())))</f>
        <v/>
      </c>
      <c r="AZ19" s="133" t="str">
        <f aca="false">IF(ISBLANK($C19),"",MIN(Constants!$B$31,MAX(0,IF(ISNUMBER(Y19),Y19*60,0)+IF(ISNUMBER(Z19),Z19,0))))</f>
        <v/>
      </c>
      <c r="BA19" s="133" t="str">
        <f aca="false">IF(ISBLANK($C19),"",IF(AA19=Constants!$B$3,TRUE(),IF(AA19=Constants!$B$4,FALSE(),FALSE())))</f>
        <v/>
      </c>
      <c r="BB19" s="132" t="str">
        <f aca="false">IF(ISBLANK($C19),"",AND($AL19,OR($AM19="",$AN19="",AND($AO19,$AP19=""))))</f>
        <v/>
      </c>
      <c r="BC19" s="135" t="str">
        <f aca="false">IF($BR19&lt;&gt;Constants!$B$8,"",IF($AL19,Constants!$B$21*$AN19+Constants!$B$22*IF($AO19,$AP19,Constants!$B$23),Constants!$B$24))</f>
        <v/>
      </c>
      <c r="BD19" s="136" t="str">
        <f aca="false">IF($BR19&lt;&gt;Constants!$B$8,"",Constants!$B$25*ABS($AD$9-IF($AL19,$AM19,0)))</f>
        <v/>
      </c>
      <c r="BE19" s="136" t="str">
        <f aca="false">IF($BR19&lt;&gt;Constants!$B$8,"",IF(AND($AL19,$AQ19,$AO19),Constants!$B$27,0))</f>
        <v/>
      </c>
      <c r="BF19" s="136" t="str">
        <f aca="false">IF($BR19&lt;&gt;Constants!$B$8,"",IF($AL19,($AI19-Constants!$B$29)*Constants!$B$28,0))</f>
        <v/>
      </c>
      <c r="BG19" s="136" t="str">
        <f aca="false">IF($BR19&lt;&gt;Constants!$B$8,"",IF($AK19,0,Constants!$B$15)+IF($AJ19,0,Constants!$B$16)+IF($AH19,0,Constants!$B$17))</f>
        <v/>
      </c>
      <c r="BH19" s="137" t="str">
        <f aca="false">IF($BR19&lt;&gt;Constants!$B$8,"",Constants!$B$20+SUM($BC19:$BG19))</f>
        <v/>
      </c>
      <c r="BI19" s="133" t="str">
        <f aca="false">IF($BR19&lt;&gt;Constants!$B$8,"",IF(OR($BP19&lt;$BH19,AND($BP19=$BH19,OR($BK19&lt;$BC19,AND($BK19=$BC19,OR($BL19&lt;$BD19,AND($BL19=$BD19,$AT19,$AL19,$AV19&lt;$AN19)))))),"-&gt;","&lt;-"))</f>
        <v/>
      </c>
      <c r="BJ19" s="132" t="str">
        <f aca="false">IF(ISBLANK($C19),"",AND($AT19,OR($AU19="",$AV19="",AND($AW19,$AX19=""))))</f>
        <v/>
      </c>
      <c r="BK19" s="135" t="str">
        <f aca="false">IF($BR19&lt;&gt;Constants!$B$8,"",IF($AT19,Constants!$B$21*$AV19+Constants!$B$22*IF($AW19,$AX19,Constants!$B$23),Constants!$B$24))</f>
        <v/>
      </c>
      <c r="BL19" s="136" t="str">
        <f aca="false">IF($BR19&lt;&gt;Constants!$B$8,"",Constants!$B$25*ABS($AD$9-IF($AT19,$AU19,0)))</f>
        <v/>
      </c>
      <c r="BM19" s="136" t="str">
        <f aca="false">IF($BR19&lt;&gt;Constants!$B$8,"",IF(AND($AT19,$AY19,$AW19),Constants!$B$27,0))</f>
        <v/>
      </c>
      <c r="BN19" s="136" t="str">
        <f aca="false">IF($BR19&lt;&gt;Constants!$B$8,"",IF($AT19,($AI19-Constants!$B$29)*Constants!$B$28,0))</f>
        <v/>
      </c>
      <c r="BO19" s="136" t="str">
        <f aca="false">IF($BR19&lt;&gt;Constants!$B$8,"",IF($AS19,0,Constants!$B$15)+IF($AR19,0,Constants!$B$16)+IF($AH19,0,Constants!$B$17))</f>
        <v/>
      </c>
      <c r="BP19" s="137" t="str">
        <f aca="false">IF($BR19&lt;&gt;Constants!$B$8,"",Constants!$B$20+SUM($BK19:$BO19))</f>
        <v/>
      </c>
      <c r="BQ19" s="133" t="str">
        <f aca="false">IF(ISBLANK($C19),"",IF(ISBLANK($D$7),$BQ$5,IF(NOT(ISNUMBER($D$7)),$BQ$6,"")))</f>
        <v/>
      </c>
      <c r="BR19" s="133" t="str">
        <f aca="false">IF(ISBLANK($C19),"",IF($BA19,Constants!$B$11,IF(COUNTA($E19:$AA19)=0,Constants!$B$10,IF(NOT($AG19),Constants!$B$9,IF(OR($BQ19&lt;&gt;"",$BB19,$BJ19),Constants!$B$12,Constants!$B$8)))))</f>
        <v/>
      </c>
      <c r="BS19" s="133" t="str">
        <f aca="false">IF(ISBLANK($C19),"",IF($BR19&lt;&gt;Constants!$B$8,$BR19,Constants!$B$13))</f>
        <v/>
      </c>
      <c r="BT19" s="136" t="str">
        <f aca="false">IF($BR19&lt;&gt;Constants!$B$8,"",IF($BI19="-&gt;",$BP19,$BH19))</f>
        <v/>
      </c>
      <c r="BU19" s="136" t="str">
        <f aca="false">IF($BR19&lt;&gt;Constants!$B$8,"",IF($AF19,0,Constants!$B$18))</f>
        <v/>
      </c>
      <c r="BV19" s="136" t="str">
        <f aca="false">IF($BR19&lt;&gt;Constants!$B$8,"",((Constants!$B$31-$AZ19)-Constants!$B$31)/Constants!$B$32)</f>
        <v/>
      </c>
      <c r="BW19" s="136" t="str">
        <f aca="false">IF(ISBLANK($C19),"",IF($BR19&lt;&gt;Constants!$B$8,$BR19,SUM($BT19:$BV19)))</f>
        <v/>
      </c>
      <c r="BX19" s="133" t="str">
        <f aca="false">IF(ISBLANK($C19),"",IF($BR19&lt;&gt;Constants!$B$8,$BR19,RANK($BW19,$BW$9:$BW$508,1)))</f>
        <v/>
      </c>
      <c r="BY19" s="136" t="str">
        <f aca="false">IF($BR19&lt;&gt;Constants!$B$8,"",IF($BI19="-&gt;",$BK19,$BC19))</f>
        <v/>
      </c>
      <c r="BZ19" s="133" t="str">
        <f aca="false">IF(ISBLANK($C19),"",IF($BR19&lt;&gt;Constants!$B$8,$BR19,IF(ISNUMBER($BY19),RANK($BY19,$BY$9:$BY$508,1),COUNT($BY$9:$BY$508)+1)))</f>
        <v/>
      </c>
      <c r="CA19" s="136" t="str">
        <f aca="false">IF($BR19&lt;&gt;Constants!$B$8,"",IF($BI19="-&gt;",$BL19,$BD19))</f>
        <v/>
      </c>
      <c r="CB19" s="133" t="str">
        <f aca="false">IF(ISBLANK($C19),"",IF($BR19&lt;&gt;Constants!$B$8,$BR19,IF(ISNUMBER($CA19),RANK($CA19,$CA$9:$CA$508,1),COUNT($CA$9:$CA$508)+1)))</f>
        <v/>
      </c>
      <c r="CC19" s="136" t="str">
        <f aca="false">IF($BR19&lt;&gt;Constants!$B$8,"",IF($BI19="-&gt;",IF($AT19,$AV19,""),IF($AL19,$AN19,"")))</f>
        <v/>
      </c>
      <c r="CD19" s="133" t="str">
        <f aca="false">IF(ISBLANK($C19),"",IF($BR19&lt;&gt;Constants!$B$8,$BR19,IF(ISNUMBER($CC19),RANK($CC19,$CC$9:$CC$508,1),COUNT($CC$9:$CC$508)+1)))</f>
        <v/>
      </c>
      <c r="CE19" s="136" t="str">
        <f aca="false">IF($BR19&lt;&gt;Constants!$B$8,"",IF(AND(NOT($AL19),NOT($AT19),$AJ19,$AK19,$AR19,$AS19),"",$AI19))</f>
        <v/>
      </c>
      <c r="CF19" s="133" t="str">
        <f aca="false">IF(ISBLANK($C19),"",IF($BR19&lt;&gt;Constants!$B$8,$BR19,IF(ISNUMBER($CE19),RANK($CE19,$CE$9:$CE$508,1),COUNT($CE$9:$CE$508)+1)))</f>
        <v/>
      </c>
      <c r="CG19" s="133" t="str">
        <f aca="false">IF(ISBLANK($C19),"",IF($BR19&lt;&gt;Constants!$B$8,$BR19,COUNTIFS($BX$9:$BX$508,"&lt;"&amp;$BX19)+COUNTIFS($BX$9:$BX$508,$BX19,$BZ$9:$BZ$508,"&lt;"&amp;$BZ19)+COUNTIFS($BX$9:$BX$508,$BX19,$BZ$9:$BZ$508,$BZ19,$CB$9:$CB$508,"&lt;"&amp;$CB19)+COUNTIFS($BX$9:$BX$508,$BX19,$BZ$9:$BZ$508,$BZ19,$CB$9:$CB$508,$CB19,$CD$9:$CD$508,"&lt;"&amp;$CD19)+COUNTIFS($BX$9:$BX$508,$BX19,$BZ$9:$BZ$508,$BZ19,$CB$9:$CB$508,$CB19,$CD$9:$CD$508,$CD19,$CF$9:$CF$508,"&lt;"&amp;$CF19)+1))</f>
        <v/>
      </c>
      <c r="CH19" s="133" t="str">
        <f aca="false">IF(ISBLANK($C19),"",IF($BR19&lt;&gt;Constants!$B$8,$BR19,$BX19-$CG19))</f>
        <v/>
      </c>
      <c r="CI19" s="138"/>
      <c r="CJ19" s="139"/>
      <c r="CK19" s="140" t="str">
        <f aca="false">IF(ISBLANK($C19),"",IF($BR19=Constants!$B$12,$BQ19,""))</f>
        <v/>
      </c>
      <c r="CL19" s="139" t="str">
        <f aca="false">IF(ISBLANK($C19),"",IF($BR19&lt;&gt;Constants!$B$8,"",IF($BI19="-&gt;",2,1)))</f>
        <v/>
      </c>
      <c r="CM19" s="141" t="str">
        <f aca="false">IF(ISBLANK($C19),"",IF($BR19&lt;&gt;Constants!$B$8,"",IF($BI19="-&gt;",$BK19,$BC19)))</f>
        <v/>
      </c>
      <c r="CN19" s="141" t="str">
        <f aca="false">IF(ISBLANK($C19),"",IF($BR19&lt;&gt;Constants!$B$8,"",IF($BI19="-&gt;",$BL19,$BD19)))</f>
        <v/>
      </c>
      <c r="CO19" s="141" t="str">
        <f aca="false">IF(ISBLANK($C19),"",IF($BR19&lt;&gt;Constants!$B$8,"",IF($BI19="-&gt;",$BM19+$BN19,$BE19+$BF19)+$BV19))</f>
        <v/>
      </c>
      <c r="CP19" s="141" t="str">
        <f aca="false">IF(ISBLANK($C19),"",IF($BR19&lt;&gt;Constants!$B$8,"",IF($BI19="-&gt;",$BO19,$BG19)+$BU19))</f>
        <v/>
      </c>
      <c r="CQ19" s="142" t="str">
        <f aca="false">IF(ISBLANK($C19),"",IF($BR19&lt;&gt;Constants!$B$8,$BR19,$BW19))</f>
        <v/>
      </c>
      <c r="CR19" s="143" t="str">
        <f aca="false">IF(ISBLANK($C19),"",$BS19)</f>
        <v/>
      </c>
      <c r="CS19" s="144" t="str">
        <f aca="false">IF(ISBLANK($C19),"",$CH19)</f>
        <v/>
      </c>
      <c r="CT19" s="144" t="str">
        <f aca="false">IF(ISBLANK($C19),"",$CG19)</f>
        <v/>
      </c>
      <c r="CU19" s="145" t="str">
        <f aca="false">IF(ISBLANK($C19),"",IFERROR(_xlfn.SWITCH($CT19,Constants!$B$11,COUNTA($C$9:$C$508)+2,Constants!$B$10,COUNTA($C$9:$C$508)+1,Constants!$B$9,COUNTA($C$9:$C$508)),$CT19))</f>
        <v/>
      </c>
      <c r="CV19" s="9"/>
      <c r="CW19" s="146" t="n">
        <f aca="false">IF(OR(ISNUMBER($CT19),$CT19=Constants!$B$11,$CT19=Constants!$B$9,$CT19=Constants!$B$10),1,0)</f>
        <v>0</v>
      </c>
      <c r="CX19" s="146" t="n">
        <v>11</v>
      </c>
      <c r="CY19" s="146" t="str">
        <f aca="false">IF(ISBLANK($C19),"",IF(ISNUMBER($CU19),$CU19+ROW($B19)/1000,""))</f>
        <v/>
      </c>
      <c r="CZ19" s="146" t="str">
        <f aca="false">IF(ISNUMBER($CY19),RANK($CY19,$CY$9:$CY$508,1),"")</f>
        <v/>
      </c>
      <c r="DA19" s="146" t="str">
        <f aca="false">IF(ISBLANK($C19),"",$B19)</f>
        <v/>
      </c>
      <c r="DB19" s="146" t="str">
        <f aca="false">IF(ISBLANK($C19),"",$C19)</f>
        <v/>
      </c>
      <c r="DC19" s="146" t="str">
        <f aca="false">IF(ISBLANK($C19),"",$D19)</f>
        <v/>
      </c>
      <c r="DD19" s="147" t="str">
        <f aca="false">$CR19</f>
        <v/>
      </c>
      <c r="DE19" s="148" t="str">
        <f aca="false">$CQ19</f>
        <v/>
      </c>
      <c r="DF19" s="146" t="str">
        <f aca="false">IF(ISBLANK($C19),"",$CT19)</f>
        <v/>
      </c>
      <c r="DG19" s="149" t="str">
        <f aca="false">IF($CX19&gt;$CW$8,"",VLOOKUP($CX19,$CZ$9:$DF$508,7,FALSE()))</f>
        <v/>
      </c>
      <c r="DH19" s="150" t="str">
        <f aca="false">IF($CX19&gt;$CW$8,"",VLOOKUP($CX19,$CZ$9:$DF$508,2,FALSE()))</f>
        <v/>
      </c>
      <c r="DI19" s="150" t="str">
        <f aca="false">IF($CX19&gt;$CW$8,"",VLOOKUP($CX19,$CZ$9:$DF$508,3,FALSE()))</f>
        <v/>
      </c>
      <c r="DJ19" s="150" t="str">
        <f aca="false">IF($CX19&gt;$CW$8,"",VLOOKUP($CX19,$CZ$9:$DF$508,4,FALSE()))</f>
        <v/>
      </c>
      <c r="DK19" s="150" t="str">
        <f aca="false">IF($CX19&gt;$CW$8,"",VLOOKUP($CX19,$CZ$9:$DF$508,5,FALSE()))</f>
        <v/>
      </c>
      <c r="DL19" s="151" t="str">
        <f aca="false">IF($CX19&gt;$CW$8,"",VLOOKUP($CX19,$CZ$9:$DF$508,6,FALSE()))</f>
        <v/>
      </c>
      <c r="DM19" s="75"/>
    </row>
    <row r="20" customFormat="false" ht="15.75" hidden="false" customHeight="false" outlineLevel="0" collapsed="false">
      <c r="A20" s="9"/>
      <c r="B20" s="157"/>
      <c r="C20" s="158"/>
      <c r="D20" s="159"/>
      <c r="E20" s="160"/>
      <c r="F20" s="161"/>
      <c r="G20" s="162"/>
      <c r="H20" s="162"/>
      <c r="I20" s="163"/>
      <c r="J20" s="164"/>
      <c r="K20" s="126"/>
      <c r="L20" s="127"/>
      <c r="M20" s="128"/>
      <c r="N20" s="164"/>
      <c r="O20" s="164"/>
      <c r="P20" s="160"/>
      <c r="Q20" s="164"/>
      <c r="R20" s="164"/>
      <c r="S20" s="126"/>
      <c r="T20" s="128"/>
      <c r="U20" s="128"/>
      <c r="V20" s="164"/>
      <c r="W20" s="164"/>
      <c r="X20" s="160"/>
      <c r="Y20" s="165"/>
      <c r="Z20" s="166"/>
      <c r="AA20" s="165"/>
      <c r="AB20" s="132"/>
      <c r="AC20" s="133"/>
      <c r="AD20" s="133"/>
      <c r="AE20" s="133"/>
      <c r="AF20" s="133" t="str">
        <f aca="false">IF(ISBLANK($C20),"",IF(E20=Constants!$B$3,TRUE(),IF(E20=Constants!$B$4,FALSE(),TRUE())))</f>
        <v/>
      </c>
      <c r="AG20" s="133" t="str">
        <f aca="false">IF(ISBLANK($C20),"",IF(F20=Constants!$B$3,TRUE(),IF(F20=Constants!$B$4,FALSE(),TRUE())))</f>
        <v/>
      </c>
      <c r="AH20" s="133" t="str">
        <f aca="false">IF(ISBLANK($C20),"",IF(G20=Constants!$B$3,TRUE(),IF(G20=Constants!$B$4,FALSE(),TRUE())))</f>
        <v/>
      </c>
      <c r="AI20" s="133" t="str">
        <f aca="false">IF(ISBLANK($C20),"",IF(AND(ISNUMBER(H20),H20&gt;=0),H20,Constants!$B$29))</f>
        <v/>
      </c>
      <c r="AJ20" s="133" t="str">
        <f aca="false">IF(ISBLANK($C20),"",IF(I20=Constants!$B$3,TRUE(),IF(I20=Constants!$B$4,FALSE(),TRUE())))</f>
        <v/>
      </c>
      <c r="AK20" s="133" t="str">
        <f aca="false">IF(ISBLANK($C20),"",IF(J20=Constants!$B$3,TRUE(),IF(J20=Constants!$B$4,FALSE(),TRUE())))</f>
        <v/>
      </c>
      <c r="AL20" s="133" t="str">
        <f aca="false">IF(ISBLANK($C20),"",IF(K20=Constants!$B$5,TRUE(),IF(K20=Constants!$B$6,FALSE(),COUNTA(L20:P20)&gt;0)))</f>
        <v/>
      </c>
      <c r="AM20" s="134" t="str">
        <f aca="false">IF(ISBLANK($C20),"",IF(ISNUMBER(L20),IF(L20&gt;=0,L20,""),""))</f>
        <v/>
      </c>
      <c r="AN20" s="135" t="str">
        <f aca="false">IF(ISBLANK($C20),"",IF(ISNUMBER(M20),IF(M20&gt;=0,M20,""),""))</f>
        <v/>
      </c>
      <c r="AO20" s="135" t="str">
        <f aca="false">IF(ISBLANK($C20),"",IF(N20=Constants!$B$3,TRUE(),IF(N20=Constants!$B$4,FALSE(),TRUE())))</f>
        <v/>
      </c>
      <c r="AP20" s="133" t="str">
        <f aca="false">IF(ISBLANK($C20),"",IF(ISNUMBER(O20),IF(O20&gt;=0,O20,""),""))</f>
        <v/>
      </c>
      <c r="AQ20" s="133" t="str">
        <f aca="false">IF(ISBLANK($C20),"",IF(P20=Constants!$B$3,TRUE(),IF(P20=Constants!$B$4,FALSE(),FALSE())))</f>
        <v/>
      </c>
      <c r="AR20" s="133" t="str">
        <f aca="false">IF(ISBLANK($C20),"",IF(Q20=Constants!$B$3,TRUE(),IF(Q20=Constants!$B$4,FALSE(),TRUE())))</f>
        <v/>
      </c>
      <c r="AS20" s="133" t="str">
        <f aca="false">IF(ISBLANK($C20),"",IF(R20=Constants!$B$3,TRUE(),IF(R20=Constants!$B$4,FALSE(),TRUE())))</f>
        <v/>
      </c>
      <c r="AT20" s="133" t="str">
        <f aca="false">IF(ISBLANK($C20),"",IF(S20=Constants!$B$5,TRUE(),IF(S20=Constants!$B$6,FALSE(),COUNTA(T20:X20)&gt;0)))</f>
        <v/>
      </c>
      <c r="AU20" s="134" t="str">
        <f aca="false">IF(ISBLANK($C20),"",IF(ISNUMBER(T20),IF(T20&gt;=0,T20,""),""))</f>
        <v/>
      </c>
      <c r="AV20" s="135" t="str">
        <f aca="false">IF(ISBLANK($C20),"",IF(ISNUMBER(U20),IF(U20&gt;=0,U20,""),""))</f>
        <v/>
      </c>
      <c r="AW20" s="135" t="str">
        <f aca="false">IF(ISBLANK($C20),"",IF(V20=Constants!$B$3,TRUE(),IF(V20=Constants!$B$4,FALSE(),TRUE())))</f>
        <v/>
      </c>
      <c r="AX20" s="133" t="str">
        <f aca="false">IF(ISBLANK($C20),"",IF(ISNUMBER(W20),IF(W20&gt;=0,W20,""),""))</f>
        <v/>
      </c>
      <c r="AY20" s="133" t="str">
        <f aca="false">IF(ISBLANK($C20),"",IF(X20=Constants!$B$3,TRUE(),IF(X20=Constants!$B$4,FALSE(),FALSE())))</f>
        <v/>
      </c>
      <c r="AZ20" s="133" t="str">
        <f aca="false">IF(ISBLANK($C20),"",MIN(Constants!$B$31,MAX(0,IF(ISNUMBER(Y20),Y20*60,0)+IF(ISNUMBER(Z20),Z20,0))))</f>
        <v/>
      </c>
      <c r="BA20" s="133" t="str">
        <f aca="false">IF(ISBLANK($C20),"",IF(AA20=Constants!$B$3,TRUE(),IF(AA20=Constants!$B$4,FALSE(),FALSE())))</f>
        <v/>
      </c>
      <c r="BB20" s="132" t="str">
        <f aca="false">IF(ISBLANK($C20),"",AND($AL20,OR($AM20="",$AN20="",AND($AO20,$AP20=""))))</f>
        <v/>
      </c>
      <c r="BC20" s="135" t="str">
        <f aca="false">IF($BR20&lt;&gt;Constants!$B$8,"",IF($AL20,Constants!$B$21*$AN20+Constants!$B$22*IF($AO20,$AP20,Constants!$B$23),Constants!$B$24))</f>
        <v/>
      </c>
      <c r="BD20" s="136" t="str">
        <f aca="false">IF($BR20&lt;&gt;Constants!$B$8,"",Constants!$B$25*ABS($AD$9-IF($AL20,$AM20,0)))</f>
        <v/>
      </c>
      <c r="BE20" s="136" t="str">
        <f aca="false">IF($BR20&lt;&gt;Constants!$B$8,"",IF(AND($AL20,$AQ20,$AO20),Constants!$B$27,0))</f>
        <v/>
      </c>
      <c r="BF20" s="136" t="str">
        <f aca="false">IF($BR20&lt;&gt;Constants!$B$8,"",IF($AL20,($AI20-Constants!$B$29)*Constants!$B$28,0))</f>
        <v/>
      </c>
      <c r="BG20" s="136" t="str">
        <f aca="false">IF($BR20&lt;&gt;Constants!$B$8,"",IF($AK20,0,Constants!$B$15)+IF($AJ20,0,Constants!$B$16)+IF($AH20,0,Constants!$B$17))</f>
        <v/>
      </c>
      <c r="BH20" s="137" t="str">
        <f aca="false">IF($BR20&lt;&gt;Constants!$B$8,"",Constants!$B$20+SUM($BC20:$BG20))</f>
        <v/>
      </c>
      <c r="BI20" s="133" t="str">
        <f aca="false">IF($BR20&lt;&gt;Constants!$B$8,"",IF(OR($BP20&lt;$BH20,AND($BP20=$BH20,OR($BK20&lt;$BC20,AND($BK20=$BC20,OR($BL20&lt;$BD20,AND($BL20=$BD20,$AT20,$AL20,$AV20&lt;$AN20)))))),"-&gt;","&lt;-"))</f>
        <v/>
      </c>
      <c r="BJ20" s="132" t="str">
        <f aca="false">IF(ISBLANK($C20),"",AND($AT20,OR($AU20="",$AV20="",AND($AW20,$AX20=""))))</f>
        <v/>
      </c>
      <c r="BK20" s="135" t="str">
        <f aca="false">IF($BR20&lt;&gt;Constants!$B$8,"",IF($AT20,Constants!$B$21*$AV20+Constants!$B$22*IF($AW20,$AX20,Constants!$B$23),Constants!$B$24))</f>
        <v/>
      </c>
      <c r="BL20" s="136" t="str">
        <f aca="false">IF($BR20&lt;&gt;Constants!$B$8,"",Constants!$B$25*ABS($AD$9-IF($AT20,$AU20,0)))</f>
        <v/>
      </c>
      <c r="BM20" s="136" t="str">
        <f aca="false">IF($BR20&lt;&gt;Constants!$B$8,"",IF(AND($AT20,$AY20,$AW20),Constants!$B$27,0))</f>
        <v/>
      </c>
      <c r="BN20" s="136" t="str">
        <f aca="false">IF($BR20&lt;&gt;Constants!$B$8,"",IF($AT20,($AI20-Constants!$B$29)*Constants!$B$28,0))</f>
        <v/>
      </c>
      <c r="BO20" s="136" t="str">
        <f aca="false">IF($BR20&lt;&gt;Constants!$B$8,"",IF($AS20,0,Constants!$B$15)+IF($AR20,0,Constants!$B$16)+IF($AH20,0,Constants!$B$17))</f>
        <v/>
      </c>
      <c r="BP20" s="137" t="str">
        <f aca="false">IF($BR20&lt;&gt;Constants!$B$8,"",Constants!$B$20+SUM($BK20:$BO20))</f>
        <v/>
      </c>
      <c r="BQ20" s="133" t="str">
        <f aca="false">IF(ISBLANK($C20),"",IF(ISBLANK($D$7),$BQ$5,IF(NOT(ISNUMBER($D$7)),$BQ$6,"")))</f>
        <v/>
      </c>
      <c r="BR20" s="133" t="str">
        <f aca="false">IF(ISBLANK($C20),"",IF($BA20,Constants!$B$11,IF(COUNTA($E20:$AA20)=0,Constants!$B$10,IF(NOT($AG20),Constants!$B$9,IF(OR($BQ20&lt;&gt;"",$BB20,$BJ20),Constants!$B$12,Constants!$B$8)))))</f>
        <v/>
      </c>
      <c r="BS20" s="133" t="str">
        <f aca="false">IF(ISBLANK($C20),"",IF($BR20&lt;&gt;Constants!$B$8,$BR20,Constants!$B$13))</f>
        <v/>
      </c>
      <c r="BT20" s="136" t="str">
        <f aca="false">IF($BR20&lt;&gt;Constants!$B$8,"",IF($BI20="-&gt;",$BP20,$BH20))</f>
        <v/>
      </c>
      <c r="BU20" s="136" t="str">
        <f aca="false">IF($BR20&lt;&gt;Constants!$B$8,"",IF($AF20,0,Constants!$B$18))</f>
        <v/>
      </c>
      <c r="BV20" s="136" t="str">
        <f aca="false">IF($BR20&lt;&gt;Constants!$B$8,"",((Constants!$B$31-$AZ20)-Constants!$B$31)/Constants!$B$32)</f>
        <v/>
      </c>
      <c r="BW20" s="136" t="str">
        <f aca="false">IF(ISBLANK($C20),"",IF($BR20&lt;&gt;Constants!$B$8,$BR20,SUM($BT20:$BV20)))</f>
        <v/>
      </c>
      <c r="BX20" s="133" t="str">
        <f aca="false">IF(ISBLANK($C20),"",IF($BR20&lt;&gt;Constants!$B$8,$BR20,RANK($BW20,$BW$9:$BW$508,1)))</f>
        <v/>
      </c>
      <c r="BY20" s="136" t="str">
        <f aca="false">IF($BR20&lt;&gt;Constants!$B$8,"",IF($BI20="-&gt;",$BK20,$BC20))</f>
        <v/>
      </c>
      <c r="BZ20" s="133" t="str">
        <f aca="false">IF(ISBLANK($C20),"",IF($BR20&lt;&gt;Constants!$B$8,$BR20,IF(ISNUMBER($BY20),RANK($BY20,$BY$9:$BY$508,1),COUNT($BY$9:$BY$508)+1)))</f>
        <v/>
      </c>
      <c r="CA20" s="136" t="str">
        <f aca="false">IF($BR20&lt;&gt;Constants!$B$8,"",IF($BI20="-&gt;",$BL20,$BD20))</f>
        <v/>
      </c>
      <c r="CB20" s="133" t="str">
        <f aca="false">IF(ISBLANK($C20),"",IF($BR20&lt;&gt;Constants!$B$8,$BR20,IF(ISNUMBER($CA20),RANK($CA20,$CA$9:$CA$508,1),COUNT($CA$9:$CA$508)+1)))</f>
        <v/>
      </c>
      <c r="CC20" s="136" t="str">
        <f aca="false">IF($BR20&lt;&gt;Constants!$B$8,"",IF($BI20="-&gt;",IF($AT20,$AV20,""),IF($AL20,$AN20,"")))</f>
        <v/>
      </c>
      <c r="CD20" s="133" t="str">
        <f aca="false">IF(ISBLANK($C20),"",IF($BR20&lt;&gt;Constants!$B$8,$BR20,IF(ISNUMBER($CC20),RANK($CC20,$CC$9:$CC$508,1),COUNT($CC$9:$CC$508)+1)))</f>
        <v/>
      </c>
      <c r="CE20" s="136" t="str">
        <f aca="false">IF($BR20&lt;&gt;Constants!$B$8,"",IF(AND(NOT($AL20),NOT($AT20),$AJ20,$AK20,$AR20,$AS20),"",$AI20))</f>
        <v/>
      </c>
      <c r="CF20" s="133" t="str">
        <f aca="false">IF(ISBLANK($C20),"",IF($BR20&lt;&gt;Constants!$B$8,$BR20,IF(ISNUMBER($CE20),RANK($CE20,$CE$9:$CE$508,1),COUNT($CE$9:$CE$508)+1)))</f>
        <v/>
      </c>
      <c r="CG20" s="133" t="str">
        <f aca="false">IF(ISBLANK($C20),"",IF($BR20&lt;&gt;Constants!$B$8,$BR20,COUNTIFS($BX$9:$BX$508,"&lt;"&amp;$BX20)+COUNTIFS($BX$9:$BX$508,$BX20,$BZ$9:$BZ$508,"&lt;"&amp;$BZ20)+COUNTIFS($BX$9:$BX$508,$BX20,$BZ$9:$BZ$508,$BZ20,$CB$9:$CB$508,"&lt;"&amp;$CB20)+COUNTIFS($BX$9:$BX$508,$BX20,$BZ$9:$BZ$508,$BZ20,$CB$9:$CB$508,$CB20,$CD$9:$CD$508,"&lt;"&amp;$CD20)+COUNTIFS($BX$9:$BX$508,$BX20,$BZ$9:$BZ$508,$BZ20,$CB$9:$CB$508,$CB20,$CD$9:$CD$508,$CD20,$CF$9:$CF$508,"&lt;"&amp;$CF20)+1))</f>
        <v/>
      </c>
      <c r="CH20" s="133" t="str">
        <f aca="false">IF(ISBLANK($C20),"",IF($BR20&lt;&gt;Constants!$B$8,$BR20,$BX20-$CG20))</f>
        <v/>
      </c>
      <c r="CI20" s="138"/>
      <c r="CJ20" s="139"/>
      <c r="CK20" s="140" t="str">
        <f aca="false">IF(ISBLANK($C20),"",IF($BR20=Constants!$B$12,$BQ20,""))</f>
        <v/>
      </c>
      <c r="CL20" s="139" t="str">
        <f aca="false">IF(ISBLANK($C20),"",IF($BR20&lt;&gt;Constants!$B$8,"",IF($BI20="-&gt;",2,1)))</f>
        <v/>
      </c>
      <c r="CM20" s="141" t="str">
        <f aca="false">IF(ISBLANK($C20),"",IF($BR20&lt;&gt;Constants!$B$8,"",IF($BI20="-&gt;",$BK20,$BC20)))</f>
        <v/>
      </c>
      <c r="CN20" s="141" t="str">
        <f aca="false">IF(ISBLANK($C20),"",IF($BR20&lt;&gt;Constants!$B$8,"",IF($BI20="-&gt;",$BL20,$BD20)))</f>
        <v/>
      </c>
      <c r="CO20" s="141" t="str">
        <f aca="false">IF(ISBLANK($C20),"",IF($BR20&lt;&gt;Constants!$B$8,"",IF($BI20="-&gt;",$BM20+$BN20,$BE20+$BF20)+$BV20))</f>
        <v/>
      </c>
      <c r="CP20" s="141" t="str">
        <f aca="false">IF(ISBLANK($C20),"",IF($BR20&lt;&gt;Constants!$B$8,"",IF($BI20="-&gt;",$BO20,$BG20)+$BU20))</f>
        <v/>
      </c>
      <c r="CQ20" s="142" t="str">
        <f aca="false">IF(ISBLANK($C20),"",IF($BR20&lt;&gt;Constants!$B$8,$BR20,$BW20))</f>
        <v/>
      </c>
      <c r="CR20" s="143" t="str">
        <f aca="false">IF(ISBLANK($C20),"",$BS20)</f>
        <v/>
      </c>
      <c r="CS20" s="144" t="str">
        <f aca="false">IF(ISBLANK($C20),"",$CH20)</f>
        <v/>
      </c>
      <c r="CT20" s="144" t="str">
        <f aca="false">IF(ISBLANK($C20),"",$CG20)</f>
        <v/>
      </c>
      <c r="CU20" s="145" t="str">
        <f aca="false">IF(ISBLANK($C20),"",IFERROR(_xlfn.SWITCH($CT20,Constants!$B$11,COUNTA($C$9:$C$508)+2,Constants!$B$10,COUNTA($C$9:$C$508)+1,Constants!$B$9,COUNTA($C$9:$C$508)),$CT20))</f>
        <v/>
      </c>
      <c r="CV20" s="9"/>
      <c r="CW20" s="146" t="n">
        <f aca="false">IF(OR(ISNUMBER($CT20),$CT20=Constants!$B$11,$CT20=Constants!$B$9,$CT20=Constants!$B$10),1,0)</f>
        <v>0</v>
      </c>
      <c r="CX20" s="146" t="n">
        <v>12</v>
      </c>
      <c r="CY20" s="146" t="str">
        <f aca="false">IF(ISBLANK($C20),"",IF(ISNUMBER($CU20),$CU20+ROW($B20)/1000,""))</f>
        <v/>
      </c>
      <c r="CZ20" s="146" t="str">
        <f aca="false">IF(ISNUMBER($CY20),RANK($CY20,$CY$9:$CY$508,1),"")</f>
        <v/>
      </c>
      <c r="DA20" s="146" t="str">
        <f aca="false">IF(ISBLANK($C20),"",$B20)</f>
        <v/>
      </c>
      <c r="DB20" s="146" t="str">
        <f aca="false">IF(ISBLANK($C20),"",$C20)</f>
        <v/>
      </c>
      <c r="DC20" s="146" t="str">
        <f aca="false">IF(ISBLANK($C20),"",$D20)</f>
        <v/>
      </c>
      <c r="DD20" s="147" t="str">
        <f aca="false">$CR20</f>
        <v/>
      </c>
      <c r="DE20" s="148" t="str">
        <f aca="false">$CQ20</f>
        <v/>
      </c>
      <c r="DF20" s="146" t="str">
        <f aca="false">IF(ISBLANK($C20),"",$CT20)</f>
        <v/>
      </c>
      <c r="DG20" s="149" t="str">
        <f aca="false">IF($CX20&gt;$CW$8,"",VLOOKUP($CX20,$CZ$9:$DF$508,7,FALSE()))</f>
        <v/>
      </c>
      <c r="DH20" s="150" t="str">
        <f aca="false">IF($CX20&gt;$CW$8,"",VLOOKUP($CX20,$CZ$9:$DF$508,2,FALSE()))</f>
        <v/>
      </c>
      <c r="DI20" s="150" t="str">
        <f aca="false">IF($CX20&gt;$CW$8,"",VLOOKUP($CX20,$CZ$9:$DF$508,3,FALSE()))</f>
        <v/>
      </c>
      <c r="DJ20" s="150" t="str">
        <f aca="false">IF($CX20&gt;$CW$8,"",VLOOKUP($CX20,$CZ$9:$DF$508,4,FALSE()))</f>
        <v/>
      </c>
      <c r="DK20" s="150" t="str">
        <f aca="false">IF($CX20&gt;$CW$8,"",VLOOKUP($CX20,$CZ$9:$DF$508,5,FALSE()))</f>
        <v/>
      </c>
      <c r="DL20" s="151" t="str">
        <f aca="false">IF($CX20&gt;$CW$8,"",VLOOKUP($CX20,$CZ$9:$DF$508,6,FALSE()))</f>
        <v/>
      </c>
      <c r="DM20" s="75"/>
    </row>
    <row r="21" customFormat="false" ht="15.75" hidden="false" customHeight="false" outlineLevel="0" collapsed="false">
      <c r="A21" s="9"/>
      <c r="B21" s="77"/>
      <c r="C21" s="78"/>
      <c r="D21" s="167"/>
      <c r="E21" s="168"/>
      <c r="F21" s="169"/>
      <c r="G21" s="170"/>
      <c r="H21" s="170"/>
      <c r="I21" s="171"/>
      <c r="J21" s="172"/>
      <c r="K21" s="85"/>
      <c r="L21" s="86"/>
      <c r="M21" s="87"/>
      <c r="N21" s="172"/>
      <c r="O21" s="172"/>
      <c r="P21" s="168"/>
      <c r="Q21" s="172"/>
      <c r="R21" s="172"/>
      <c r="S21" s="85"/>
      <c r="T21" s="87"/>
      <c r="U21" s="87"/>
      <c r="V21" s="172"/>
      <c r="W21" s="172"/>
      <c r="X21" s="168"/>
      <c r="Y21" s="173"/>
      <c r="Z21" s="174"/>
      <c r="AA21" s="173"/>
      <c r="AB21" s="91"/>
      <c r="AC21" s="92"/>
      <c r="AD21" s="92"/>
      <c r="AE21" s="92"/>
      <c r="AF21" s="92" t="str">
        <f aca="false">IF(ISBLANK($C21),"",IF(E21=Constants!$B$3,TRUE(),IF(E21=Constants!$B$4,FALSE(),TRUE())))</f>
        <v/>
      </c>
      <c r="AG21" s="92" t="str">
        <f aca="false">IF(ISBLANK($C21),"",IF(F21=Constants!$B$3,TRUE(),IF(F21=Constants!$B$4,FALSE(),TRUE())))</f>
        <v/>
      </c>
      <c r="AH21" s="92" t="str">
        <f aca="false">IF(ISBLANK($C21),"",IF(G21=Constants!$B$3,TRUE(),IF(G21=Constants!$B$4,FALSE(),TRUE())))</f>
        <v/>
      </c>
      <c r="AI21" s="92" t="str">
        <f aca="false">IF(ISBLANK($C21),"",IF(AND(ISNUMBER(H21),H21&gt;=0),H21,Constants!$B$29))</f>
        <v/>
      </c>
      <c r="AJ21" s="92" t="str">
        <f aca="false">IF(ISBLANK($C21),"",IF(I21=Constants!$B$3,TRUE(),IF(I21=Constants!$B$4,FALSE(),TRUE())))</f>
        <v/>
      </c>
      <c r="AK21" s="92" t="str">
        <f aca="false">IF(ISBLANK($C21),"",IF(J21=Constants!$B$3,TRUE(),IF(J21=Constants!$B$4,FALSE(),TRUE())))</f>
        <v/>
      </c>
      <c r="AL21" s="92" t="str">
        <f aca="false">IF(ISBLANK($C21),"",IF(K21=Constants!$B$5,TRUE(),IF(K21=Constants!$B$6,FALSE(),COUNTA(L21:P21)&gt;0)))</f>
        <v/>
      </c>
      <c r="AM21" s="94" t="str">
        <f aca="false">IF(ISBLANK($C21),"",IF(ISNUMBER(L21),IF(L21&gt;=0,L21,""),""))</f>
        <v/>
      </c>
      <c r="AN21" s="93" t="str">
        <f aca="false">IF(ISBLANK($C21),"",IF(ISNUMBER(M21),IF(M21&gt;=0,M21,""),""))</f>
        <v/>
      </c>
      <c r="AO21" s="93" t="str">
        <f aca="false">IF(ISBLANK($C21),"",IF(N21=Constants!$B$3,TRUE(),IF(N21=Constants!$B$4,FALSE(),TRUE())))</f>
        <v/>
      </c>
      <c r="AP21" s="92" t="str">
        <f aca="false">IF(ISBLANK($C21),"",IF(ISNUMBER(O21),IF(O21&gt;=0,O21,""),""))</f>
        <v/>
      </c>
      <c r="AQ21" s="92" t="str">
        <f aca="false">IF(ISBLANK($C21),"",IF(P21=Constants!$B$3,TRUE(),IF(P21=Constants!$B$4,FALSE(),FALSE())))</f>
        <v/>
      </c>
      <c r="AR21" s="92" t="str">
        <f aca="false">IF(ISBLANK($C21),"",IF(Q21=Constants!$B$3,TRUE(),IF(Q21=Constants!$B$4,FALSE(),TRUE())))</f>
        <v/>
      </c>
      <c r="AS21" s="92" t="str">
        <f aca="false">IF(ISBLANK($C21),"",IF(R21=Constants!$B$3,TRUE(),IF(R21=Constants!$B$4,FALSE(),TRUE())))</f>
        <v/>
      </c>
      <c r="AT21" s="92" t="str">
        <f aca="false">IF(ISBLANK($C21),"",IF(S21=Constants!$B$5,TRUE(),IF(S21=Constants!$B$6,FALSE(),COUNTA(T21:X21)&gt;0)))</f>
        <v/>
      </c>
      <c r="AU21" s="94" t="str">
        <f aca="false">IF(ISBLANK($C21),"",IF(ISNUMBER(T21),IF(T21&gt;=0,T21,""),""))</f>
        <v/>
      </c>
      <c r="AV21" s="93" t="str">
        <f aca="false">IF(ISBLANK($C21),"",IF(ISNUMBER(U21),IF(U21&gt;=0,U21,""),""))</f>
        <v/>
      </c>
      <c r="AW21" s="93" t="str">
        <f aca="false">IF(ISBLANK($C21),"",IF(V21=Constants!$B$3,TRUE(),IF(V21=Constants!$B$4,FALSE(),TRUE())))</f>
        <v/>
      </c>
      <c r="AX21" s="92" t="str">
        <f aca="false">IF(ISBLANK($C21),"",IF(ISNUMBER(W21),IF(W21&gt;=0,W21,""),""))</f>
        <v/>
      </c>
      <c r="AY21" s="92" t="str">
        <f aca="false">IF(ISBLANK($C21),"",IF(X21=Constants!$B$3,TRUE(),IF(X21=Constants!$B$4,FALSE(),FALSE())))</f>
        <v/>
      </c>
      <c r="AZ21" s="92" t="str">
        <f aca="false">IF(ISBLANK($C21),"",MIN(Constants!$B$31,MAX(0,IF(ISNUMBER(Y21),Y21*60,0)+IF(ISNUMBER(Z21),Z21,0))))</f>
        <v/>
      </c>
      <c r="BA21" s="92" t="str">
        <f aca="false">IF(ISBLANK($C21),"",IF(AA21=Constants!$B$3,TRUE(),IF(AA21=Constants!$B$4,FALSE(),FALSE())))</f>
        <v/>
      </c>
      <c r="BB21" s="91" t="str">
        <f aca="false">IF(ISBLANK($C21),"",AND($AL21,OR($AM21="",$AN21="",AND($AO21,$AP21=""))))</f>
        <v/>
      </c>
      <c r="BC21" s="93" t="str">
        <f aca="false">IF($BR21&lt;&gt;Constants!$B$8,"",IF($AL21,Constants!$B$21*$AN21+Constants!$B$22*IF($AO21,$AP21,Constants!$B$23),Constants!$B$24))</f>
        <v/>
      </c>
      <c r="BD21" s="96" t="str">
        <f aca="false">IF($BR21&lt;&gt;Constants!$B$8,"",Constants!$B$25*ABS($AD$9-IF($AL21,$AM21,0)))</f>
        <v/>
      </c>
      <c r="BE21" s="96" t="str">
        <f aca="false">IF($BR21&lt;&gt;Constants!$B$8,"",IF(AND($AL21,$AQ21,$AO21),Constants!$B$27,0))</f>
        <v/>
      </c>
      <c r="BF21" s="96" t="str">
        <f aca="false">IF($BR21&lt;&gt;Constants!$B$8,"",IF($AL21,($AI21-Constants!$B$29)*Constants!$B$28,0))</f>
        <v/>
      </c>
      <c r="BG21" s="96" t="str">
        <f aca="false">IF($BR21&lt;&gt;Constants!$B$8,"",IF($AK21,0,Constants!$B$15)+IF($AJ21,0,Constants!$B$16)+IF($AH21,0,Constants!$B$17))</f>
        <v/>
      </c>
      <c r="BH21" s="97" t="str">
        <f aca="false">IF($BR21&lt;&gt;Constants!$B$8,"",Constants!$B$20+SUM($BC21:$BG21))</f>
        <v/>
      </c>
      <c r="BI21" s="92" t="str">
        <f aca="false">IF($BR21&lt;&gt;Constants!$B$8,"",IF(OR($BP21&lt;$BH21,AND($BP21=$BH21,OR($BK21&lt;$BC21,AND($BK21=$BC21,OR($BL21&lt;$BD21,AND($BL21=$BD21,$AT21,$AL21,$AV21&lt;$AN21)))))),"-&gt;","&lt;-"))</f>
        <v/>
      </c>
      <c r="BJ21" s="91" t="str">
        <f aca="false">IF(ISBLANK($C21),"",AND($AT21,OR($AU21="",$AV21="",AND($AW21,$AX21=""))))</f>
        <v/>
      </c>
      <c r="BK21" s="93" t="str">
        <f aca="false">IF($BR21&lt;&gt;Constants!$B$8,"",IF($AT21,Constants!$B$21*$AV21+Constants!$B$22*IF($AW21,$AX21,Constants!$B$23),Constants!$B$24))</f>
        <v/>
      </c>
      <c r="BL21" s="96" t="str">
        <f aca="false">IF($BR21&lt;&gt;Constants!$B$8,"",Constants!$B$25*ABS($AD$9-IF($AT21,$AU21,0)))</f>
        <v/>
      </c>
      <c r="BM21" s="96" t="str">
        <f aca="false">IF($BR21&lt;&gt;Constants!$B$8,"",IF(AND($AT21,$AY21,$AW21),Constants!$B$27,0))</f>
        <v/>
      </c>
      <c r="BN21" s="96" t="str">
        <f aca="false">IF($BR21&lt;&gt;Constants!$B$8,"",IF($AT21,($AI21-Constants!$B$29)*Constants!$B$28,0))</f>
        <v/>
      </c>
      <c r="BO21" s="96" t="str">
        <f aca="false">IF($BR21&lt;&gt;Constants!$B$8,"",IF($AS21,0,Constants!$B$15)+IF($AR21,0,Constants!$B$16)+IF($AH21,0,Constants!$B$17))</f>
        <v/>
      </c>
      <c r="BP21" s="97" t="str">
        <f aca="false">IF($BR21&lt;&gt;Constants!$B$8,"",Constants!$B$20+SUM($BK21:$BO21))</f>
        <v/>
      </c>
      <c r="BQ21" s="92" t="str">
        <f aca="false">IF(ISBLANK($C21),"",IF(ISBLANK($D$7),$BQ$5,IF(NOT(ISNUMBER($D$7)),$BQ$6,"")))</f>
        <v/>
      </c>
      <c r="BR21" s="92" t="str">
        <f aca="false">IF(ISBLANK($C21),"",IF($BA21,Constants!$B$11,IF(COUNTA($E21:$AA21)=0,Constants!$B$10,IF(NOT($AG21),Constants!$B$9,IF(OR($BQ21&lt;&gt;"",$BB21,$BJ21),Constants!$B$12,Constants!$B$8)))))</f>
        <v/>
      </c>
      <c r="BS21" s="92" t="str">
        <f aca="false">IF(ISBLANK($C21),"",IF($BR21&lt;&gt;Constants!$B$8,$BR21,Constants!$B$13))</f>
        <v/>
      </c>
      <c r="BT21" s="96" t="str">
        <f aca="false">IF($BR21&lt;&gt;Constants!$B$8,"",IF($BI21="-&gt;",$BP21,$BH21))</f>
        <v/>
      </c>
      <c r="BU21" s="96" t="str">
        <f aca="false">IF($BR21&lt;&gt;Constants!$B$8,"",IF($AF21,0,Constants!$B$18))</f>
        <v/>
      </c>
      <c r="BV21" s="96" t="str">
        <f aca="false">IF($BR21&lt;&gt;Constants!$B$8,"",((Constants!$B$31-$AZ21)-Constants!$B$31)/Constants!$B$32)</f>
        <v/>
      </c>
      <c r="BW21" s="96" t="str">
        <f aca="false">IF(ISBLANK($C21),"",IF($BR21&lt;&gt;Constants!$B$8,$BR21,SUM($BT21:$BV21)))</f>
        <v/>
      </c>
      <c r="BX21" s="92" t="str">
        <f aca="false">IF(ISBLANK($C21),"",IF($BR21&lt;&gt;Constants!$B$8,$BR21,RANK($BW21,$BW$9:$BW$508,1)))</f>
        <v/>
      </c>
      <c r="BY21" s="96" t="str">
        <f aca="false">IF($BR21&lt;&gt;Constants!$B$8,"",IF($BI21="-&gt;",$BK21,$BC21))</f>
        <v/>
      </c>
      <c r="BZ21" s="92" t="str">
        <f aca="false">IF(ISBLANK($C21),"",IF($BR21&lt;&gt;Constants!$B$8,$BR21,IF(ISNUMBER($BY21),RANK($BY21,$BY$9:$BY$508,1),COUNT($BY$9:$BY$508)+1)))</f>
        <v/>
      </c>
      <c r="CA21" s="96" t="str">
        <f aca="false">IF($BR21&lt;&gt;Constants!$B$8,"",IF($BI21="-&gt;",$BL21,$BD21))</f>
        <v/>
      </c>
      <c r="CB21" s="92" t="str">
        <f aca="false">IF(ISBLANK($C21),"",IF($BR21&lt;&gt;Constants!$B$8,$BR21,IF(ISNUMBER($CA21),RANK($CA21,$CA$9:$CA$508,1),COUNT($CA$9:$CA$508)+1)))</f>
        <v/>
      </c>
      <c r="CC21" s="96" t="str">
        <f aca="false">IF($BR21&lt;&gt;Constants!$B$8,"",IF($BI21="-&gt;",IF($AT21,$AV21,""),IF($AL21,$AN21,"")))</f>
        <v/>
      </c>
      <c r="CD21" s="92" t="str">
        <f aca="false">IF(ISBLANK($C21),"",IF($BR21&lt;&gt;Constants!$B$8,$BR21,IF(ISNUMBER($CC21),RANK($CC21,$CC$9:$CC$508,1),COUNT($CC$9:$CC$508)+1)))</f>
        <v/>
      </c>
      <c r="CE21" s="96" t="str">
        <f aca="false">IF($BR21&lt;&gt;Constants!$B$8,"",IF(AND(NOT($AL21),NOT($AT21),$AJ21,$AK21,$AR21,$AS21),"",$AI21))</f>
        <v/>
      </c>
      <c r="CF21" s="92" t="str">
        <f aca="false">IF(ISBLANK($C21),"",IF($BR21&lt;&gt;Constants!$B$8,$BR21,IF(ISNUMBER($CE21),RANK($CE21,$CE$9:$CE$508,1),COUNT($CE$9:$CE$508)+1)))</f>
        <v/>
      </c>
      <c r="CG21" s="92" t="str">
        <f aca="false">IF(ISBLANK($C21),"",IF($BR21&lt;&gt;Constants!$B$8,$BR21,COUNTIFS($BX$9:$BX$508,"&lt;"&amp;$BX21)+COUNTIFS($BX$9:$BX$508,$BX21,$BZ$9:$BZ$508,"&lt;"&amp;$BZ21)+COUNTIFS($BX$9:$BX$508,$BX21,$BZ$9:$BZ$508,$BZ21,$CB$9:$CB$508,"&lt;"&amp;$CB21)+COUNTIFS($BX$9:$BX$508,$BX21,$BZ$9:$BZ$508,$BZ21,$CB$9:$CB$508,$CB21,$CD$9:$CD$508,"&lt;"&amp;$CD21)+COUNTIFS($BX$9:$BX$508,$BX21,$BZ$9:$BZ$508,$BZ21,$CB$9:$CB$508,$CB21,$CD$9:$CD$508,$CD21,$CF$9:$CF$508,"&lt;"&amp;$CF21)+1))</f>
        <v/>
      </c>
      <c r="CH21" s="92" t="str">
        <f aca="false">IF(ISBLANK($C21),"",IF($BR21&lt;&gt;Constants!$B$8,$BR21,$BX21-$CG21))</f>
        <v/>
      </c>
      <c r="CI21" s="98"/>
      <c r="CJ21" s="99"/>
      <c r="CK21" s="100" t="str">
        <f aca="false">IF(ISBLANK($C21),"",IF($BR21=Constants!$B$12,$BQ21,""))</f>
        <v/>
      </c>
      <c r="CL21" s="99" t="str">
        <f aca="false">IF(ISBLANK($C21),"",IF($BR21&lt;&gt;Constants!$B$8,"",IF($BI21="-&gt;",2,1)))</f>
        <v/>
      </c>
      <c r="CM21" s="101" t="str">
        <f aca="false">IF(ISBLANK($C21),"",IF($BR21&lt;&gt;Constants!$B$8,"",IF($BI21="-&gt;",$BK21,$BC21)))</f>
        <v/>
      </c>
      <c r="CN21" s="101" t="str">
        <f aca="false">IF(ISBLANK($C21),"",IF($BR21&lt;&gt;Constants!$B$8,"",IF($BI21="-&gt;",$BL21,$BD21)))</f>
        <v/>
      </c>
      <c r="CO21" s="101" t="str">
        <f aca="false">IF(ISBLANK($C21),"",IF($BR21&lt;&gt;Constants!$B$8,"",IF($BI21="-&gt;",$BM21+$BN21,$BE21+$BF21)+$BV21))</f>
        <v/>
      </c>
      <c r="CP21" s="101" t="str">
        <f aca="false">IF(ISBLANK($C21),"",IF($BR21&lt;&gt;Constants!$B$8,"",IF($BI21="-&gt;",$BO21,$BG21)+$BU21))</f>
        <v/>
      </c>
      <c r="CQ21" s="102" t="str">
        <f aca="false">IF(ISBLANK($C21),"",IF($BR21&lt;&gt;Constants!$B$8,$BR21,$BW21))</f>
        <v/>
      </c>
      <c r="CR21" s="103" t="str">
        <f aca="false">IF(ISBLANK($C21),"",$BS21)</f>
        <v/>
      </c>
      <c r="CS21" s="104" t="str">
        <f aca="false">IF(ISBLANK($C21),"",$CH21)</f>
        <v/>
      </c>
      <c r="CT21" s="104" t="str">
        <f aca="false">IF(ISBLANK($C21),"",$CG21)</f>
        <v/>
      </c>
      <c r="CU21" s="105" t="str">
        <f aca="false">IF(ISBLANK($C21),"",IFERROR(_xlfn.SWITCH($CT21,Constants!$B$11,COUNTA($C$9:$C$508)+2,Constants!$B$10,COUNTA($C$9:$C$508)+1,Constants!$B$9,COUNTA($C$9:$C$508)),$CT21))</f>
        <v/>
      </c>
      <c r="CV21" s="9"/>
      <c r="CW21" s="106" t="n">
        <f aca="false">IF(OR(ISNUMBER($CT21),$CT21=Constants!$B$11,$CT21=Constants!$B$9,$CT21=Constants!$B$10),1,0)</f>
        <v>0</v>
      </c>
      <c r="CX21" s="106" t="n">
        <v>13</v>
      </c>
      <c r="CY21" s="106" t="str">
        <f aca="false">IF(ISBLANK($C21),"",IF(ISNUMBER($CU21),$CU21+ROW($B21)/1000,""))</f>
        <v/>
      </c>
      <c r="CZ21" s="106" t="str">
        <f aca="false">IF(ISNUMBER($CY21),RANK($CY21,$CY$9:$CY$508,1),"")</f>
        <v/>
      </c>
      <c r="DA21" s="106" t="str">
        <f aca="false">IF(ISBLANK($C21),"",$B21)</f>
        <v/>
      </c>
      <c r="DB21" s="106" t="str">
        <f aca="false">IF(ISBLANK($C21),"",$C21)</f>
        <v/>
      </c>
      <c r="DC21" s="106" t="str">
        <f aca="false">IF(ISBLANK($C21),"",$D21)</f>
        <v/>
      </c>
      <c r="DD21" s="107" t="str">
        <f aca="false">$CR21</f>
        <v/>
      </c>
      <c r="DE21" s="108" t="str">
        <f aca="false">$CQ21</f>
        <v/>
      </c>
      <c r="DF21" s="106" t="str">
        <f aca="false">IF(ISBLANK($C21),"",$CT21)</f>
        <v/>
      </c>
      <c r="DG21" s="109" t="str">
        <f aca="false">IF($CX21&gt;$CW$8,"",VLOOKUP($CX21,$CZ$9:$DF$508,7,FALSE()))</f>
        <v/>
      </c>
      <c r="DH21" s="110" t="str">
        <f aca="false">IF($CX21&gt;$CW$8,"",VLOOKUP($CX21,$CZ$9:$DF$508,2,FALSE()))</f>
        <v/>
      </c>
      <c r="DI21" s="110" t="str">
        <f aca="false">IF($CX21&gt;$CW$8,"",VLOOKUP($CX21,$CZ$9:$DF$508,3,FALSE()))</f>
        <v/>
      </c>
      <c r="DJ21" s="110" t="str">
        <f aca="false">IF($CX21&gt;$CW$8,"",VLOOKUP($CX21,$CZ$9:$DF$508,4,FALSE()))</f>
        <v/>
      </c>
      <c r="DK21" s="110" t="str">
        <f aca="false">IF($CX21&gt;$CW$8,"",VLOOKUP($CX21,$CZ$9:$DF$508,5,FALSE()))</f>
        <v/>
      </c>
      <c r="DL21" s="111" t="str">
        <f aca="false">IF($CX21&gt;$CW$8,"",VLOOKUP($CX21,$CZ$9:$DF$508,6,FALSE()))</f>
        <v/>
      </c>
      <c r="DM21" s="75"/>
    </row>
    <row r="22" customFormat="false" ht="15.75" hidden="false" customHeight="false" outlineLevel="0" collapsed="false">
      <c r="A22" s="9"/>
      <c r="B22" s="77"/>
      <c r="C22" s="78"/>
      <c r="D22" s="167"/>
      <c r="E22" s="168"/>
      <c r="F22" s="169"/>
      <c r="G22" s="170"/>
      <c r="H22" s="170"/>
      <c r="I22" s="171"/>
      <c r="J22" s="172"/>
      <c r="K22" s="85"/>
      <c r="L22" s="86"/>
      <c r="M22" s="87"/>
      <c r="N22" s="172"/>
      <c r="O22" s="172"/>
      <c r="P22" s="168"/>
      <c r="Q22" s="172"/>
      <c r="R22" s="172"/>
      <c r="S22" s="85"/>
      <c r="T22" s="87"/>
      <c r="U22" s="87"/>
      <c r="V22" s="172"/>
      <c r="W22" s="172"/>
      <c r="X22" s="168"/>
      <c r="Y22" s="173"/>
      <c r="Z22" s="174"/>
      <c r="AA22" s="173"/>
      <c r="AB22" s="91"/>
      <c r="AC22" s="92"/>
      <c r="AD22" s="92"/>
      <c r="AE22" s="92"/>
      <c r="AF22" s="92" t="str">
        <f aca="false">IF(ISBLANK($C22),"",IF(E22=Constants!$B$3,TRUE(),IF(E22=Constants!$B$4,FALSE(),TRUE())))</f>
        <v/>
      </c>
      <c r="AG22" s="92" t="str">
        <f aca="false">IF(ISBLANK($C22),"",IF(F22=Constants!$B$3,TRUE(),IF(F22=Constants!$B$4,FALSE(),TRUE())))</f>
        <v/>
      </c>
      <c r="AH22" s="92" t="str">
        <f aca="false">IF(ISBLANK($C22),"",IF(G22=Constants!$B$3,TRUE(),IF(G22=Constants!$B$4,FALSE(),TRUE())))</f>
        <v/>
      </c>
      <c r="AI22" s="92" t="str">
        <f aca="false">IF(ISBLANK($C22),"",IF(AND(ISNUMBER(H22),H22&gt;=0),H22,Constants!$B$29))</f>
        <v/>
      </c>
      <c r="AJ22" s="92" t="str">
        <f aca="false">IF(ISBLANK($C22),"",IF(I22=Constants!$B$3,TRUE(),IF(I22=Constants!$B$4,FALSE(),TRUE())))</f>
        <v/>
      </c>
      <c r="AK22" s="92" t="str">
        <f aca="false">IF(ISBLANK($C22),"",IF(J22=Constants!$B$3,TRUE(),IF(J22=Constants!$B$4,FALSE(),TRUE())))</f>
        <v/>
      </c>
      <c r="AL22" s="92" t="str">
        <f aca="false">IF(ISBLANK($C22),"",IF(K22=Constants!$B$5,TRUE(),IF(K22=Constants!$B$6,FALSE(),COUNTA(L22:P22)&gt;0)))</f>
        <v/>
      </c>
      <c r="AM22" s="94" t="str">
        <f aca="false">IF(ISBLANK($C22),"",IF(ISNUMBER(L22),IF(L22&gt;=0,L22,""),""))</f>
        <v/>
      </c>
      <c r="AN22" s="93" t="str">
        <f aca="false">IF(ISBLANK($C22),"",IF(ISNUMBER(M22),IF(M22&gt;=0,M22,""),""))</f>
        <v/>
      </c>
      <c r="AO22" s="93" t="str">
        <f aca="false">IF(ISBLANK($C22),"",IF(N22=Constants!$B$3,TRUE(),IF(N22=Constants!$B$4,FALSE(),TRUE())))</f>
        <v/>
      </c>
      <c r="AP22" s="92" t="str">
        <f aca="false">IF(ISBLANK($C22),"",IF(ISNUMBER(O22),IF(O22&gt;=0,O22,""),""))</f>
        <v/>
      </c>
      <c r="AQ22" s="92" t="str">
        <f aca="false">IF(ISBLANK($C22),"",IF(P22=Constants!$B$3,TRUE(),IF(P22=Constants!$B$4,FALSE(),FALSE())))</f>
        <v/>
      </c>
      <c r="AR22" s="92" t="str">
        <f aca="false">IF(ISBLANK($C22),"",IF(Q22=Constants!$B$3,TRUE(),IF(Q22=Constants!$B$4,FALSE(),TRUE())))</f>
        <v/>
      </c>
      <c r="AS22" s="92" t="str">
        <f aca="false">IF(ISBLANK($C22),"",IF(R22=Constants!$B$3,TRUE(),IF(R22=Constants!$B$4,FALSE(),TRUE())))</f>
        <v/>
      </c>
      <c r="AT22" s="92" t="str">
        <f aca="false">IF(ISBLANK($C22),"",IF(S22=Constants!$B$5,TRUE(),IF(S22=Constants!$B$6,FALSE(),COUNTA(T22:X22)&gt;0)))</f>
        <v/>
      </c>
      <c r="AU22" s="94" t="str">
        <f aca="false">IF(ISBLANK($C22),"",IF(ISNUMBER(T22),IF(T22&gt;=0,T22,""),""))</f>
        <v/>
      </c>
      <c r="AV22" s="93" t="str">
        <f aca="false">IF(ISBLANK($C22),"",IF(ISNUMBER(U22),IF(U22&gt;=0,U22,""),""))</f>
        <v/>
      </c>
      <c r="AW22" s="93" t="str">
        <f aca="false">IF(ISBLANK($C22),"",IF(V22=Constants!$B$3,TRUE(),IF(V22=Constants!$B$4,FALSE(),TRUE())))</f>
        <v/>
      </c>
      <c r="AX22" s="92" t="str">
        <f aca="false">IF(ISBLANK($C22),"",IF(ISNUMBER(W22),IF(W22&gt;=0,W22,""),""))</f>
        <v/>
      </c>
      <c r="AY22" s="92" t="str">
        <f aca="false">IF(ISBLANK($C22),"",IF(X22=Constants!$B$3,TRUE(),IF(X22=Constants!$B$4,FALSE(),FALSE())))</f>
        <v/>
      </c>
      <c r="AZ22" s="92" t="str">
        <f aca="false">IF(ISBLANK($C22),"",MIN(Constants!$B$31,MAX(0,IF(ISNUMBER(Y22),Y22*60,0)+IF(ISNUMBER(Z22),Z22,0))))</f>
        <v/>
      </c>
      <c r="BA22" s="92" t="str">
        <f aca="false">IF(ISBLANK($C22),"",IF(AA22=Constants!$B$3,TRUE(),IF(AA22=Constants!$B$4,FALSE(),FALSE())))</f>
        <v/>
      </c>
      <c r="BB22" s="91" t="str">
        <f aca="false">IF(ISBLANK($C22),"",AND($AL22,OR($AM22="",$AN22="",AND($AO22,$AP22=""))))</f>
        <v/>
      </c>
      <c r="BC22" s="93" t="str">
        <f aca="false">IF($BR22&lt;&gt;Constants!$B$8,"",IF($AL22,Constants!$B$21*$AN22+Constants!$B$22*IF($AO22,$AP22,Constants!$B$23),Constants!$B$24))</f>
        <v/>
      </c>
      <c r="BD22" s="96" t="str">
        <f aca="false">IF($BR22&lt;&gt;Constants!$B$8,"",Constants!$B$25*ABS($AD$9-IF($AL22,$AM22,0)))</f>
        <v/>
      </c>
      <c r="BE22" s="96" t="str">
        <f aca="false">IF($BR22&lt;&gt;Constants!$B$8,"",IF(AND($AL22,$AQ22,$AO22),Constants!$B$27,0))</f>
        <v/>
      </c>
      <c r="BF22" s="96" t="str">
        <f aca="false">IF($BR22&lt;&gt;Constants!$B$8,"",IF($AL22,($AI22-Constants!$B$29)*Constants!$B$28,0))</f>
        <v/>
      </c>
      <c r="BG22" s="96" t="str">
        <f aca="false">IF($BR22&lt;&gt;Constants!$B$8,"",IF($AK22,0,Constants!$B$15)+IF($AJ22,0,Constants!$B$16)+IF($AH22,0,Constants!$B$17))</f>
        <v/>
      </c>
      <c r="BH22" s="97" t="str">
        <f aca="false">IF($BR22&lt;&gt;Constants!$B$8,"",Constants!$B$20+SUM($BC22:$BG22))</f>
        <v/>
      </c>
      <c r="BI22" s="92" t="str">
        <f aca="false">IF($BR22&lt;&gt;Constants!$B$8,"",IF(OR($BP22&lt;$BH22,AND($BP22=$BH22,OR($BK22&lt;$BC22,AND($BK22=$BC22,OR($BL22&lt;$BD22,AND($BL22=$BD22,$AT22,$AL22,$AV22&lt;$AN22)))))),"-&gt;","&lt;-"))</f>
        <v/>
      </c>
      <c r="BJ22" s="91" t="str">
        <f aca="false">IF(ISBLANK($C22),"",AND($AT22,OR($AU22="",$AV22="",AND($AW22,$AX22=""))))</f>
        <v/>
      </c>
      <c r="BK22" s="93" t="str">
        <f aca="false">IF($BR22&lt;&gt;Constants!$B$8,"",IF($AT22,Constants!$B$21*$AV22+Constants!$B$22*IF($AW22,$AX22,Constants!$B$23),Constants!$B$24))</f>
        <v/>
      </c>
      <c r="BL22" s="96" t="str">
        <f aca="false">IF($BR22&lt;&gt;Constants!$B$8,"",Constants!$B$25*ABS($AD$9-IF($AT22,$AU22,0)))</f>
        <v/>
      </c>
      <c r="BM22" s="96" t="str">
        <f aca="false">IF($BR22&lt;&gt;Constants!$B$8,"",IF(AND($AT22,$AY22,$AW22),Constants!$B$27,0))</f>
        <v/>
      </c>
      <c r="BN22" s="96" t="str">
        <f aca="false">IF($BR22&lt;&gt;Constants!$B$8,"",IF($AT22,($AI22-Constants!$B$29)*Constants!$B$28,0))</f>
        <v/>
      </c>
      <c r="BO22" s="96" t="str">
        <f aca="false">IF($BR22&lt;&gt;Constants!$B$8,"",IF($AS22,0,Constants!$B$15)+IF($AR22,0,Constants!$B$16)+IF($AH22,0,Constants!$B$17))</f>
        <v/>
      </c>
      <c r="BP22" s="97" t="str">
        <f aca="false">IF($BR22&lt;&gt;Constants!$B$8,"",Constants!$B$20+SUM($BK22:$BO22))</f>
        <v/>
      </c>
      <c r="BQ22" s="92" t="str">
        <f aca="false">IF(ISBLANK($C22),"",IF(ISBLANK($D$7),$BQ$5,IF(NOT(ISNUMBER($D$7)),$BQ$6,"")))</f>
        <v/>
      </c>
      <c r="BR22" s="92" t="str">
        <f aca="false">IF(ISBLANK($C22),"",IF($BA22,Constants!$B$11,IF(COUNTA($E22:$AA22)=0,Constants!$B$10,IF(NOT($AG22),Constants!$B$9,IF(OR($BQ22&lt;&gt;"",$BB22,$BJ22),Constants!$B$12,Constants!$B$8)))))</f>
        <v/>
      </c>
      <c r="BS22" s="92" t="str">
        <f aca="false">IF(ISBLANK($C22),"",IF($BR22&lt;&gt;Constants!$B$8,$BR22,Constants!$B$13))</f>
        <v/>
      </c>
      <c r="BT22" s="96" t="str">
        <f aca="false">IF($BR22&lt;&gt;Constants!$B$8,"",IF($BI22="-&gt;",$BP22,$BH22))</f>
        <v/>
      </c>
      <c r="BU22" s="96" t="str">
        <f aca="false">IF($BR22&lt;&gt;Constants!$B$8,"",IF($AF22,0,Constants!$B$18))</f>
        <v/>
      </c>
      <c r="BV22" s="96" t="str">
        <f aca="false">IF($BR22&lt;&gt;Constants!$B$8,"",((Constants!$B$31-$AZ22)-Constants!$B$31)/Constants!$B$32)</f>
        <v/>
      </c>
      <c r="BW22" s="96" t="str">
        <f aca="false">IF(ISBLANK($C22),"",IF($BR22&lt;&gt;Constants!$B$8,$BR22,SUM($BT22:$BV22)))</f>
        <v/>
      </c>
      <c r="BX22" s="92" t="str">
        <f aca="false">IF(ISBLANK($C22),"",IF($BR22&lt;&gt;Constants!$B$8,$BR22,RANK($BW22,$BW$9:$BW$508,1)))</f>
        <v/>
      </c>
      <c r="BY22" s="96" t="str">
        <f aca="false">IF($BR22&lt;&gt;Constants!$B$8,"",IF($BI22="-&gt;",$BK22,$BC22))</f>
        <v/>
      </c>
      <c r="BZ22" s="92" t="str">
        <f aca="false">IF(ISBLANK($C22),"",IF($BR22&lt;&gt;Constants!$B$8,$BR22,IF(ISNUMBER($BY22),RANK($BY22,$BY$9:$BY$508,1),COUNT($BY$9:$BY$508)+1)))</f>
        <v/>
      </c>
      <c r="CA22" s="96" t="str">
        <f aca="false">IF($BR22&lt;&gt;Constants!$B$8,"",IF($BI22="-&gt;",$BL22,$BD22))</f>
        <v/>
      </c>
      <c r="CB22" s="92" t="str">
        <f aca="false">IF(ISBLANK($C22),"",IF($BR22&lt;&gt;Constants!$B$8,$BR22,IF(ISNUMBER($CA22),RANK($CA22,$CA$9:$CA$508,1),COUNT($CA$9:$CA$508)+1)))</f>
        <v/>
      </c>
      <c r="CC22" s="96" t="str">
        <f aca="false">IF($BR22&lt;&gt;Constants!$B$8,"",IF($BI22="-&gt;",IF($AT22,$AV22,""),IF($AL22,$AN22,"")))</f>
        <v/>
      </c>
      <c r="CD22" s="92" t="str">
        <f aca="false">IF(ISBLANK($C22),"",IF($BR22&lt;&gt;Constants!$B$8,$BR22,IF(ISNUMBER($CC22),RANK($CC22,$CC$9:$CC$508,1),COUNT($CC$9:$CC$508)+1)))</f>
        <v/>
      </c>
      <c r="CE22" s="96" t="str">
        <f aca="false">IF($BR22&lt;&gt;Constants!$B$8,"",IF(AND(NOT($AL22),NOT($AT22),$AJ22,$AK22,$AR22,$AS22),"",$AI22))</f>
        <v/>
      </c>
      <c r="CF22" s="92" t="str">
        <f aca="false">IF(ISBLANK($C22),"",IF($BR22&lt;&gt;Constants!$B$8,$BR22,IF(ISNUMBER($CE22),RANK($CE22,$CE$9:$CE$508,1),COUNT($CE$9:$CE$508)+1)))</f>
        <v/>
      </c>
      <c r="CG22" s="92" t="str">
        <f aca="false">IF(ISBLANK($C22),"",IF($BR22&lt;&gt;Constants!$B$8,$BR22,COUNTIFS($BX$9:$BX$508,"&lt;"&amp;$BX22)+COUNTIFS($BX$9:$BX$508,$BX22,$BZ$9:$BZ$508,"&lt;"&amp;$BZ22)+COUNTIFS($BX$9:$BX$508,$BX22,$BZ$9:$BZ$508,$BZ22,$CB$9:$CB$508,"&lt;"&amp;$CB22)+COUNTIFS($BX$9:$BX$508,$BX22,$BZ$9:$BZ$508,$BZ22,$CB$9:$CB$508,$CB22,$CD$9:$CD$508,"&lt;"&amp;$CD22)+COUNTIFS($BX$9:$BX$508,$BX22,$BZ$9:$BZ$508,$BZ22,$CB$9:$CB$508,$CB22,$CD$9:$CD$508,$CD22,$CF$9:$CF$508,"&lt;"&amp;$CF22)+1))</f>
        <v/>
      </c>
      <c r="CH22" s="92" t="str">
        <f aca="false">IF(ISBLANK($C22),"",IF($BR22&lt;&gt;Constants!$B$8,$BR22,$BX22-$CG22))</f>
        <v/>
      </c>
      <c r="CI22" s="98"/>
      <c r="CJ22" s="99"/>
      <c r="CK22" s="100" t="str">
        <f aca="false">IF(ISBLANK($C22),"",IF($BR22=Constants!$B$12,$BQ22,""))</f>
        <v/>
      </c>
      <c r="CL22" s="99" t="str">
        <f aca="false">IF(ISBLANK($C22),"",IF($BR22&lt;&gt;Constants!$B$8,"",IF($BI22="-&gt;",2,1)))</f>
        <v/>
      </c>
      <c r="CM22" s="101" t="str">
        <f aca="false">IF(ISBLANK($C22),"",IF($BR22&lt;&gt;Constants!$B$8,"",IF($BI22="-&gt;",$BK22,$BC22)))</f>
        <v/>
      </c>
      <c r="CN22" s="101" t="str">
        <f aca="false">IF(ISBLANK($C22),"",IF($BR22&lt;&gt;Constants!$B$8,"",IF($BI22="-&gt;",$BL22,$BD22)))</f>
        <v/>
      </c>
      <c r="CO22" s="101" t="str">
        <f aca="false">IF(ISBLANK($C22),"",IF($BR22&lt;&gt;Constants!$B$8,"",IF($BI22="-&gt;",$BM22+$BN22,$BE22+$BF22)+$BV22))</f>
        <v/>
      </c>
      <c r="CP22" s="101" t="str">
        <f aca="false">IF(ISBLANK($C22),"",IF($BR22&lt;&gt;Constants!$B$8,"",IF($BI22="-&gt;",$BO22,$BG22)+$BU22))</f>
        <v/>
      </c>
      <c r="CQ22" s="102" t="str">
        <f aca="false">IF(ISBLANK($C22),"",IF($BR22&lt;&gt;Constants!$B$8,$BR22,$BW22))</f>
        <v/>
      </c>
      <c r="CR22" s="103" t="str">
        <f aca="false">IF(ISBLANK($C22),"",$BS22)</f>
        <v/>
      </c>
      <c r="CS22" s="104" t="str">
        <f aca="false">IF(ISBLANK($C22),"",$CH22)</f>
        <v/>
      </c>
      <c r="CT22" s="104" t="str">
        <f aca="false">IF(ISBLANK($C22),"",$CG22)</f>
        <v/>
      </c>
      <c r="CU22" s="105" t="str">
        <f aca="false">IF(ISBLANK($C22),"",IFERROR(_xlfn.SWITCH($CT22,Constants!$B$11,COUNTA($C$9:$C$508)+2,Constants!$B$10,COUNTA($C$9:$C$508)+1,Constants!$B$9,COUNTA($C$9:$C$508)),$CT22))</f>
        <v/>
      </c>
      <c r="CV22" s="9"/>
      <c r="CW22" s="106" t="n">
        <f aca="false">IF(OR(ISNUMBER($CT22),$CT22=Constants!$B$11,$CT22=Constants!$B$9,$CT22=Constants!$B$10),1,0)</f>
        <v>0</v>
      </c>
      <c r="CX22" s="106" t="n">
        <v>14</v>
      </c>
      <c r="CY22" s="106" t="str">
        <f aca="false">IF(ISBLANK($C22),"",IF(ISNUMBER($CU22),$CU22+ROW($B22)/1000,""))</f>
        <v/>
      </c>
      <c r="CZ22" s="106" t="str">
        <f aca="false">IF(ISNUMBER($CY22),RANK($CY22,$CY$9:$CY$508,1),"")</f>
        <v/>
      </c>
      <c r="DA22" s="106" t="str">
        <f aca="false">IF(ISBLANK($C22),"",$B22)</f>
        <v/>
      </c>
      <c r="DB22" s="106" t="str">
        <f aca="false">IF(ISBLANK($C22),"",$C22)</f>
        <v/>
      </c>
      <c r="DC22" s="106" t="str">
        <f aca="false">IF(ISBLANK($C22),"",$D22)</f>
        <v/>
      </c>
      <c r="DD22" s="107" t="str">
        <f aca="false">$CR22</f>
        <v/>
      </c>
      <c r="DE22" s="108" t="str">
        <f aca="false">$CQ22</f>
        <v/>
      </c>
      <c r="DF22" s="106" t="str">
        <f aca="false">IF(ISBLANK($C22),"",$CT22)</f>
        <v/>
      </c>
      <c r="DG22" s="109" t="str">
        <f aca="false">IF($CX22&gt;$CW$8,"",VLOOKUP($CX22,$CZ$9:$DF$508,7,FALSE()))</f>
        <v/>
      </c>
      <c r="DH22" s="110" t="str">
        <f aca="false">IF($CX22&gt;$CW$8,"",VLOOKUP($CX22,$CZ$9:$DF$508,2,FALSE()))</f>
        <v/>
      </c>
      <c r="DI22" s="110" t="str">
        <f aca="false">IF($CX22&gt;$CW$8,"",VLOOKUP($CX22,$CZ$9:$DF$508,3,FALSE()))</f>
        <v/>
      </c>
      <c r="DJ22" s="110" t="str">
        <f aca="false">IF($CX22&gt;$CW$8,"",VLOOKUP($CX22,$CZ$9:$DF$508,4,FALSE()))</f>
        <v/>
      </c>
      <c r="DK22" s="110" t="str">
        <f aca="false">IF($CX22&gt;$CW$8,"",VLOOKUP($CX22,$CZ$9:$DF$508,5,FALSE()))</f>
        <v/>
      </c>
      <c r="DL22" s="111" t="str">
        <f aca="false">IF($CX22&gt;$CW$8,"",VLOOKUP($CX22,$CZ$9:$DF$508,6,FALSE()))</f>
        <v/>
      </c>
      <c r="DM22" s="75"/>
    </row>
    <row r="23" customFormat="false" ht="15.75" hidden="false" customHeight="false" outlineLevel="0" collapsed="false">
      <c r="A23" s="9"/>
      <c r="B23" s="77"/>
      <c r="C23" s="78"/>
      <c r="D23" s="167"/>
      <c r="E23" s="168"/>
      <c r="F23" s="169"/>
      <c r="G23" s="170"/>
      <c r="H23" s="170"/>
      <c r="I23" s="171"/>
      <c r="J23" s="172"/>
      <c r="K23" s="85"/>
      <c r="L23" s="86"/>
      <c r="M23" s="87"/>
      <c r="N23" s="172"/>
      <c r="O23" s="172"/>
      <c r="P23" s="168"/>
      <c r="Q23" s="172"/>
      <c r="R23" s="172"/>
      <c r="S23" s="85"/>
      <c r="T23" s="87"/>
      <c r="U23" s="87"/>
      <c r="V23" s="172"/>
      <c r="W23" s="172"/>
      <c r="X23" s="168"/>
      <c r="Y23" s="173"/>
      <c r="Z23" s="174"/>
      <c r="AA23" s="173"/>
      <c r="AB23" s="91"/>
      <c r="AC23" s="92"/>
      <c r="AD23" s="92"/>
      <c r="AE23" s="92"/>
      <c r="AF23" s="92" t="str">
        <f aca="false">IF(ISBLANK($C23),"",IF(E23=Constants!$B$3,TRUE(),IF(E23=Constants!$B$4,FALSE(),TRUE())))</f>
        <v/>
      </c>
      <c r="AG23" s="92" t="str">
        <f aca="false">IF(ISBLANK($C23),"",IF(F23=Constants!$B$3,TRUE(),IF(F23=Constants!$B$4,FALSE(),TRUE())))</f>
        <v/>
      </c>
      <c r="AH23" s="92" t="str">
        <f aca="false">IF(ISBLANK($C23),"",IF(G23=Constants!$B$3,TRUE(),IF(G23=Constants!$B$4,FALSE(),TRUE())))</f>
        <v/>
      </c>
      <c r="AI23" s="92" t="str">
        <f aca="false">IF(ISBLANK($C23),"",IF(AND(ISNUMBER(H23),H23&gt;=0),H23,Constants!$B$29))</f>
        <v/>
      </c>
      <c r="AJ23" s="92" t="str">
        <f aca="false">IF(ISBLANK($C23),"",IF(I23=Constants!$B$3,TRUE(),IF(I23=Constants!$B$4,FALSE(),TRUE())))</f>
        <v/>
      </c>
      <c r="AK23" s="92" t="str">
        <f aca="false">IF(ISBLANK($C23),"",IF(J23=Constants!$B$3,TRUE(),IF(J23=Constants!$B$4,FALSE(),TRUE())))</f>
        <v/>
      </c>
      <c r="AL23" s="92" t="str">
        <f aca="false">IF(ISBLANK($C23),"",IF(K23=Constants!$B$5,TRUE(),IF(K23=Constants!$B$6,FALSE(),COUNTA(L23:P23)&gt;0)))</f>
        <v/>
      </c>
      <c r="AM23" s="94" t="str">
        <f aca="false">IF(ISBLANK($C23),"",IF(ISNUMBER(L23),IF(L23&gt;=0,L23,""),""))</f>
        <v/>
      </c>
      <c r="AN23" s="93" t="str">
        <f aca="false">IF(ISBLANK($C23),"",IF(ISNUMBER(M23),IF(M23&gt;=0,M23,""),""))</f>
        <v/>
      </c>
      <c r="AO23" s="93" t="str">
        <f aca="false">IF(ISBLANK($C23),"",IF(N23=Constants!$B$3,TRUE(),IF(N23=Constants!$B$4,FALSE(),TRUE())))</f>
        <v/>
      </c>
      <c r="AP23" s="92" t="str">
        <f aca="false">IF(ISBLANK($C23),"",IF(ISNUMBER(O23),IF(O23&gt;=0,O23,""),""))</f>
        <v/>
      </c>
      <c r="AQ23" s="92" t="str">
        <f aca="false">IF(ISBLANK($C23),"",IF(P23=Constants!$B$3,TRUE(),IF(P23=Constants!$B$4,FALSE(),FALSE())))</f>
        <v/>
      </c>
      <c r="AR23" s="92" t="str">
        <f aca="false">IF(ISBLANK($C23),"",IF(Q23=Constants!$B$3,TRUE(),IF(Q23=Constants!$B$4,FALSE(),TRUE())))</f>
        <v/>
      </c>
      <c r="AS23" s="92" t="str">
        <f aca="false">IF(ISBLANK($C23),"",IF(R23=Constants!$B$3,TRUE(),IF(R23=Constants!$B$4,FALSE(),TRUE())))</f>
        <v/>
      </c>
      <c r="AT23" s="92" t="str">
        <f aca="false">IF(ISBLANK($C23),"",IF(S23=Constants!$B$5,TRUE(),IF(S23=Constants!$B$6,FALSE(),COUNTA(T23:X23)&gt;0)))</f>
        <v/>
      </c>
      <c r="AU23" s="94" t="str">
        <f aca="false">IF(ISBLANK($C23),"",IF(ISNUMBER(T23),IF(T23&gt;=0,T23,""),""))</f>
        <v/>
      </c>
      <c r="AV23" s="93" t="str">
        <f aca="false">IF(ISBLANK($C23),"",IF(ISNUMBER(U23),IF(U23&gt;=0,U23,""),""))</f>
        <v/>
      </c>
      <c r="AW23" s="93" t="str">
        <f aca="false">IF(ISBLANK($C23),"",IF(V23=Constants!$B$3,TRUE(),IF(V23=Constants!$B$4,FALSE(),TRUE())))</f>
        <v/>
      </c>
      <c r="AX23" s="92" t="str">
        <f aca="false">IF(ISBLANK($C23),"",IF(ISNUMBER(W23),IF(W23&gt;=0,W23,""),""))</f>
        <v/>
      </c>
      <c r="AY23" s="92" t="str">
        <f aca="false">IF(ISBLANK($C23),"",IF(X23=Constants!$B$3,TRUE(),IF(X23=Constants!$B$4,FALSE(),FALSE())))</f>
        <v/>
      </c>
      <c r="AZ23" s="92" t="str">
        <f aca="false">IF(ISBLANK($C23),"",MIN(Constants!$B$31,MAX(0,IF(ISNUMBER(Y23),Y23*60,0)+IF(ISNUMBER(Z23),Z23,0))))</f>
        <v/>
      </c>
      <c r="BA23" s="92" t="str">
        <f aca="false">IF(ISBLANK($C23),"",IF(AA23=Constants!$B$3,TRUE(),IF(AA23=Constants!$B$4,FALSE(),FALSE())))</f>
        <v/>
      </c>
      <c r="BB23" s="91" t="str">
        <f aca="false">IF(ISBLANK($C23),"",AND($AL23,OR($AM23="",$AN23="",AND($AO23,$AP23=""))))</f>
        <v/>
      </c>
      <c r="BC23" s="93" t="str">
        <f aca="false">IF($BR23&lt;&gt;Constants!$B$8,"",IF($AL23,Constants!$B$21*$AN23+Constants!$B$22*IF($AO23,$AP23,Constants!$B$23),Constants!$B$24))</f>
        <v/>
      </c>
      <c r="BD23" s="96" t="str">
        <f aca="false">IF($BR23&lt;&gt;Constants!$B$8,"",Constants!$B$25*ABS($AD$9-IF($AL23,$AM23,0)))</f>
        <v/>
      </c>
      <c r="BE23" s="96" t="str">
        <f aca="false">IF($BR23&lt;&gt;Constants!$B$8,"",IF(AND($AL23,$AQ23,$AO23),Constants!$B$27,0))</f>
        <v/>
      </c>
      <c r="BF23" s="96" t="str">
        <f aca="false">IF($BR23&lt;&gt;Constants!$B$8,"",IF($AL23,($AI23-Constants!$B$29)*Constants!$B$28,0))</f>
        <v/>
      </c>
      <c r="BG23" s="96" t="str">
        <f aca="false">IF($BR23&lt;&gt;Constants!$B$8,"",IF($AK23,0,Constants!$B$15)+IF($AJ23,0,Constants!$B$16)+IF($AH23,0,Constants!$B$17))</f>
        <v/>
      </c>
      <c r="BH23" s="97" t="str">
        <f aca="false">IF($BR23&lt;&gt;Constants!$B$8,"",Constants!$B$20+SUM($BC23:$BG23))</f>
        <v/>
      </c>
      <c r="BI23" s="92" t="str">
        <f aca="false">IF($BR23&lt;&gt;Constants!$B$8,"",IF(OR($BP23&lt;$BH23,AND($BP23=$BH23,OR($BK23&lt;$BC23,AND($BK23=$BC23,OR($BL23&lt;$BD23,AND($BL23=$BD23,$AT23,$AL23,$AV23&lt;$AN23)))))),"-&gt;","&lt;-"))</f>
        <v/>
      </c>
      <c r="BJ23" s="91" t="str">
        <f aca="false">IF(ISBLANK($C23),"",AND($AT23,OR($AU23="",$AV23="",AND($AW23,$AX23=""))))</f>
        <v/>
      </c>
      <c r="BK23" s="93" t="str">
        <f aca="false">IF($BR23&lt;&gt;Constants!$B$8,"",IF($AT23,Constants!$B$21*$AV23+Constants!$B$22*IF($AW23,$AX23,Constants!$B$23),Constants!$B$24))</f>
        <v/>
      </c>
      <c r="BL23" s="96" t="str">
        <f aca="false">IF($BR23&lt;&gt;Constants!$B$8,"",Constants!$B$25*ABS($AD$9-IF($AT23,$AU23,0)))</f>
        <v/>
      </c>
      <c r="BM23" s="96" t="str">
        <f aca="false">IF($BR23&lt;&gt;Constants!$B$8,"",IF(AND($AT23,$AY23,$AW23),Constants!$B$27,0))</f>
        <v/>
      </c>
      <c r="BN23" s="96" t="str">
        <f aca="false">IF($BR23&lt;&gt;Constants!$B$8,"",IF($AT23,($AI23-Constants!$B$29)*Constants!$B$28,0))</f>
        <v/>
      </c>
      <c r="BO23" s="96" t="str">
        <f aca="false">IF($BR23&lt;&gt;Constants!$B$8,"",IF($AS23,0,Constants!$B$15)+IF($AR23,0,Constants!$B$16)+IF($AH23,0,Constants!$B$17))</f>
        <v/>
      </c>
      <c r="BP23" s="97" t="str">
        <f aca="false">IF($BR23&lt;&gt;Constants!$B$8,"",Constants!$B$20+SUM($BK23:$BO23))</f>
        <v/>
      </c>
      <c r="BQ23" s="92" t="str">
        <f aca="false">IF(ISBLANK($C23),"",IF(ISBLANK($D$7),$BQ$5,IF(NOT(ISNUMBER($D$7)),$BQ$6,"")))</f>
        <v/>
      </c>
      <c r="BR23" s="92" t="str">
        <f aca="false">IF(ISBLANK($C23),"",IF($BA23,Constants!$B$11,IF(COUNTA($E23:$AA23)=0,Constants!$B$10,IF(NOT($AG23),Constants!$B$9,IF(OR($BQ23&lt;&gt;"",$BB23,$BJ23),Constants!$B$12,Constants!$B$8)))))</f>
        <v/>
      </c>
      <c r="BS23" s="92" t="str">
        <f aca="false">IF(ISBLANK($C23),"",IF($BR23&lt;&gt;Constants!$B$8,$BR23,Constants!$B$13))</f>
        <v/>
      </c>
      <c r="BT23" s="96" t="str">
        <f aca="false">IF($BR23&lt;&gt;Constants!$B$8,"",IF($BI23="-&gt;",$BP23,$BH23))</f>
        <v/>
      </c>
      <c r="BU23" s="96" t="str">
        <f aca="false">IF($BR23&lt;&gt;Constants!$B$8,"",IF($AF23,0,Constants!$B$18))</f>
        <v/>
      </c>
      <c r="BV23" s="96" t="str">
        <f aca="false">IF($BR23&lt;&gt;Constants!$B$8,"",((Constants!$B$31-$AZ23)-Constants!$B$31)/Constants!$B$32)</f>
        <v/>
      </c>
      <c r="BW23" s="96" t="str">
        <f aca="false">IF(ISBLANK($C23),"",IF($BR23&lt;&gt;Constants!$B$8,$BR23,SUM($BT23:$BV23)))</f>
        <v/>
      </c>
      <c r="BX23" s="92" t="str">
        <f aca="false">IF(ISBLANK($C23),"",IF($BR23&lt;&gt;Constants!$B$8,$BR23,RANK($BW23,$BW$9:$BW$508,1)))</f>
        <v/>
      </c>
      <c r="BY23" s="96" t="str">
        <f aca="false">IF($BR23&lt;&gt;Constants!$B$8,"",IF($BI23="-&gt;",$BK23,$BC23))</f>
        <v/>
      </c>
      <c r="BZ23" s="92" t="str">
        <f aca="false">IF(ISBLANK($C23),"",IF($BR23&lt;&gt;Constants!$B$8,$BR23,IF(ISNUMBER($BY23),RANK($BY23,$BY$9:$BY$508,1),COUNT($BY$9:$BY$508)+1)))</f>
        <v/>
      </c>
      <c r="CA23" s="96" t="str">
        <f aca="false">IF($BR23&lt;&gt;Constants!$B$8,"",IF($BI23="-&gt;",$BL23,$BD23))</f>
        <v/>
      </c>
      <c r="CB23" s="92" t="str">
        <f aca="false">IF(ISBLANK($C23),"",IF($BR23&lt;&gt;Constants!$B$8,$BR23,IF(ISNUMBER($CA23),RANK($CA23,$CA$9:$CA$508,1),COUNT($CA$9:$CA$508)+1)))</f>
        <v/>
      </c>
      <c r="CC23" s="96" t="str">
        <f aca="false">IF($BR23&lt;&gt;Constants!$B$8,"",IF($BI23="-&gt;",IF($AT23,$AV23,""),IF($AL23,$AN23,"")))</f>
        <v/>
      </c>
      <c r="CD23" s="92" t="str">
        <f aca="false">IF(ISBLANK($C23),"",IF($BR23&lt;&gt;Constants!$B$8,$BR23,IF(ISNUMBER($CC23),RANK($CC23,$CC$9:$CC$508,1),COUNT($CC$9:$CC$508)+1)))</f>
        <v/>
      </c>
      <c r="CE23" s="96" t="str">
        <f aca="false">IF($BR23&lt;&gt;Constants!$B$8,"",IF(AND(NOT($AL23),NOT($AT23),$AJ23,$AK23,$AR23,$AS23),"",$AI23))</f>
        <v/>
      </c>
      <c r="CF23" s="92" t="str">
        <f aca="false">IF(ISBLANK($C23),"",IF($BR23&lt;&gt;Constants!$B$8,$BR23,IF(ISNUMBER($CE23),RANK($CE23,$CE$9:$CE$508,1),COUNT($CE$9:$CE$508)+1)))</f>
        <v/>
      </c>
      <c r="CG23" s="92" t="str">
        <f aca="false">IF(ISBLANK($C23),"",IF($BR23&lt;&gt;Constants!$B$8,$BR23,COUNTIFS($BX$9:$BX$508,"&lt;"&amp;$BX23)+COUNTIFS($BX$9:$BX$508,$BX23,$BZ$9:$BZ$508,"&lt;"&amp;$BZ23)+COUNTIFS($BX$9:$BX$508,$BX23,$BZ$9:$BZ$508,$BZ23,$CB$9:$CB$508,"&lt;"&amp;$CB23)+COUNTIFS($BX$9:$BX$508,$BX23,$BZ$9:$BZ$508,$BZ23,$CB$9:$CB$508,$CB23,$CD$9:$CD$508,"&lt;"&amp;$CD23)+COUNTIFS($BX$9:$BX$508,$BX23,$BZ$9:$BZ$508,$BZ23,$CB$9:$CB$508,$CB23,$CD$9:$CD$508,$CD23,$CF$9:$CF$508,"&lt;"&amp;$CF23)+1))</f>
        <v/>
      </c>
      <c r="CH23" s="92" t="str">
        <f aca="false">IF(ISBLANK($C23),"",IF($BR23&lt;&gt;Constants!$B$8,$BR23,$BX23-$CG23))</f>
        <v/>
      </c>
      <c r="CI23" s="98"/>
      <c r="CJ23" s="99"/>
      <c r="CK23" s="100" t="str">
        <f aca="false">IF(ISBLANK($C23),"",IF($BR23=Constants!$B$12,$BQ23,""))</f>
        <v/>
      </c>
      <c r="CL23" s="99" t="str">
        <f aca="false">IF(ISBLANK($C23),"",IF($BR23&lt;&gt;Constants!$B$8,"",IF($BI23="-&gt;",2,1)))</f>
        <v/>
      </c>
      <c r="CM23" s="101" t="str">
        <f aca="false">IF(ISBLANK($C23),"",IF($BR23&lt;&gt;Constants!$B$8,"",IF($BI23="-&gt;",$BK23,$BC23)))</f>
        <v/>
      </c>
      <c r="CN23" s="101" t="str">
        <f aca="false">IF(ISBLANK($C23),"",IF($BR23&lt;&gt;Constants!$B$8,"",IF($BI23="-&gt;",$BL23,$BD23)))</f>
        <v/>
      </c>
      <c r="CO23" s="101" t="str">
        <f aca="false">IF(ISBLANK($C23),"",IF($BR23&lt;&gt;Constants!$B$8,"",IF($BI23="-&gt;",$BM23+$BN23,$BE23+$BF23)+$BV23))</f>
        <v/>
      </c>
      <c r="CP23" s="101" t="str">
        <f aca="false">IF(ISBLANK($C23),"",IF($BR23&lt;&gt;Constants!$B$8,"",IF($BI23="-&gt;",$BO23,$BG23)+$BU23))</f>
        <v/>
      </c>
      <c r="CQ23" s="102" t="str">
        <f aca="false">IF(ISBLANK($C23),"",IF($BR23&lt;&gt;Constants!$B$8,$BR23,$BW23))</f>
        <v/>
      </c>
      <c r="CR23" s="103" t="str">
        <f aca="false">IF(ISBLANK($C23),"",$BS23)</f>
        <v/>
      </c>
      <c r="CS23" s="104" t="str">
        <f aca="false">IF(ISBLANK($C23),"",$CH23)</f>
        <v/>
      </c>
      <c r="CT23" s="104" t="str">
        <f aca="false">IF(ISBLANK($C23),"",$CG23)</f>
        <v/>
      </c>
      <c r="CU23" s="105" t="str">
        <f aca="false">IF(ISBLANK($C23),"",IFERROR(_xlfn.SWITCH($CT23,Constants!$B$11,COUNTA($C$9:$C$508)+2,Constants!$B$10,COUNTA($C$9:$C$508)+1,Constants!$B$9,COUNTA($C$9:$C$508)),$CT23))</f>
        <v/>
      </c>
      <c r="CV23" s="9"/>
      <c r="CW23" s="106" t="n">
        <f aca="false">IF(OR(ISNUMBER($CT23),$CT23=Constants!$B$11,$CT23=Constants!$B$9,$CT23=Constants!$B$10),1,0)</f>
        <v>0</v>
      </c>
      <c r="CX23" s="106" t="n">
        <v>15</v>
      </c>
      <c r="CY23" s="106" t="str">
        <f aca="false">IF(ISBLANK($C23),"",IF(ISNUMBER($CU23),$CU23+ROW($B23)/1000,""))</f>
        <v/>
      </c>
      <c r="CZ23" s="106" t="str">
        <f aca="false">IF(ISNUMBER($CY23),RANK($CY23,$CY$9:$CY$508,1),"")</f>
        <v/>
      </c>
      <c r="DA23" s="106" t="str">
        <f aca="false">IF(ISBLANK($C23),"",$B23)</f>
        <v/>
      </c>
      <c r="DB23" s="106" t="str">
        <f aca="false">IF(ISBLANK($C23),"",$C23)</f>
        <v/>
      </c>
      <c r="DC23" s="106" t="str">
        <f aca="false">IF(ISBLANK($C23),"",$D23)</f>
        <v/>
      </c>
      <c r="DD23" s="107" t="str">
        <f aca="false">$CR23</f>
        <v/>
      </c>
      <c r="DE23" s="108" t="str">
        <f aca="false">$CQ23</f>
        <v/>
      </c>
      <c r="DF23" s="106" t="str">
        <f aca="false">IF(ISBLANK($C23),"",$CT23)</f>
        <v/>
      </c>
      <c r="DG23" s="109" t="str">
        <f aca="false">IF($CX23&gt;$CW$8,"",VLOOKUP($CX23,$CZ$9:$DF$508,7,FALSE()))</f>
        <v/>
      </c>
      <c r="DH23" s="110" t="str">
        <f aca="false">IF($CX23&gt;$CW$8,"",VLOOKUP($CX23,$CZ$9:$DF$508,2,FALSE()))</f>
        <v/>
      </c>
      <c r="DI23" s="110" t="str">
        <f aca="false">IF($CX23&gt;$CW$8,"",VLOOKUP($CX23,$CZ$9:$DF$508,3,FALSE()))</f>
        <v/>
      </c>
      <c r="DJ23" s="110" t="str">
        <f aca="false">IF($CX23&gt;$CW$8,"",VLOOKUP($CX23,$CZ$9:$DF$508,4,FALSE()))</f>
        <v/>
      </c>
      <c r="DK23" s="110" t="str">
        <f aca="false">IF($CX23&gt;$CW$8,"",VLOOKUP($CX23,$CZ$9:$DF$508,5,FALSE()))</f>
        <v/>
      </c>
      <c r="DL23" s="111" t="str">
        <f aca="false">IF($CX23&gt;$CW$8,"",VLOOKUP($CX23,$CZ$9:$DF$508,6,FALSE()))</f>
        <v/>
      </c>
      <c r="DM23" s="75"/>
    </row>
    <row r="24" customFormat="false" ht="15.75" hidden="false" customHeight="false" outlineLevel="0" collapsed="false">
      <c r="A24" s="9"/>
      <c r="B24" s="157"/>
      <c r="C24" s="158"/>
      <c r="D24" s="159"/>
      <c r="E24" s="160"/>
      <c r="F24" s="161"/>
      <c r="G24" s="162"/>
      <c r="H24" s="162"/>
      <c r="I24" s="163"/>
      <c r="J24" s="164"/>
      <c r="K24" s="126"/>
      <c r="L24" s="127"/>
      <c r="M24" s="128"/>
      <c r="N24" s="164"/>
      <c r="O24" s="164"/>
      <c r="P24" s="160"/>
      <c r="Q24" s="164"/>
      <c r="R24" s="164"/>
      <c r="S24" s="126"/>
      <c r="T24" s="128"/>
      <c r="U24" s="128"/>
      <c r="V24" s="164"/>
      <c r="W24" s="164"/>
      <c r="X24" s="160"/>
      <c r="Y24" s="165"/>
      <c r="Z24" s="166"/>
      <c r="AA24" s="165"/>
      <c r="AB24" s="132"/>
      <c r="AC24" s="133"/>
      <c r="AD24" s="133"/>
      <c r="AE24" s="133"/>
      <c r="AF24" s="133" t="str">
        <f aca="false">IF(ISBLANK($C24),"",IF(E24=Constants!$B$3,TRUE(),IF(E24=Constants!$B$4,FALSE(),TRUE())))</f>
        <v/>
      </c>
      <c r="AG24" s="133" t="str">
        <f aca="false">IF(ISBLANK($C24),"",IF(F24=Constants!$B$3,TRUE(),IF(F24=Constants!$B$4,FALSE(),TRUE())))</f>
        <v/>
      </c>
      <c r="AH24" s="133" t="str">
        <f aca="false">IF(ISBLANK($C24),"",IF(G24=Constants!$B$3,TRUE(),IF(G24=Constants!$B$4,FALSE(),TRUE())))</f>
        <v/>
      </c>
      <c r="AI24" s="133" t="str">
        <f aca="false">IF(ISBLANK($C24),"",IF(AND(ISNUMBER(H24),H24&gt;=0),H24,Constants!$B$29))</f>
        <v/>
      </c>
      <c r="AJ24" s="133" t="str">
        <f aca="false">IF(ISBLANK($C24),"",IF(I24=Constants!$B$3,TRUE(),IF(I24=Constants!$B$4,FALSE(),TRUE())))</f>
        <v/>
      </c>
      <c r="AK24" s="133" t="str">
        <f aca="false">IF(ISBLANK($C24),"",IF(J24=Constants!$B$3,TRUE(),IF(J24=Constants!$B$4,FALSE(),TRUE())))</f>
        <v/>
      </c>
      <c r="AL24" s="133" t="str">
        <f aca="false">IF(ISBLANK($C24),"",IF(K24=Constants!$B$5,TRUE(),IF(K24=Constants!$B$6,FALSE(),COUNTA(L24:P24)&gt;0)))</f>
        <v/>
      </c>
      <c r="AM24" s="134" t="str">
        <f aca="false">IF(ISBLANK($C24),"",IF(ISNUMBER(L24),IF(L24&gt;=0,L24,""),""))</f>
        <v/>
      </c>
      <c r="AN24" s="135" t="str">
        <f aca="false">IF(ISBLANK($C24),"",IF(ISNUMBER(M24),IF(M24&gt;=0,M24,""),""))</f>
        <v/>
      </c>
      <c r="AO24" s="135" t="str">
        <f aca="false">IF(ISBLANK($C24),"",IF(N24=Constants!$B$3,TRUE(),IF(N24=Constants!$B$4,FALSE(),TRUE())))</f>
        <v/>
      </c>
      <c r="AP24" s="133" t="str">
        <f aca="false">IF(ISBLANK($C24),"",IF(ISNUMBER(O24),IF(O24&gt;=0,O24,""),""))</f>
        <v/>
      </c>
      <c r="AQ24" s="133" t="str">
        <f aca="false">IF(ISBLANK($C24),"",IF(P24=Constants!$B$3,TRUE(),IF(P24=Constants!$B$4,FALSE(),FALSE())))</f>
        <v/>
      </c>
      <c r="AR24" s="133" t="str">
        <f aca="false">IF(ISBLANK($C24),"",IF(Q24=Constants!$B$3,TRUE(),IF(Q24=Constants!$B$4,FALSE(),TRUE())))</f>
        <v/>
      </c>
      <c r="AS24" s="133" t="str">
        <f aca="false">IF(ISBLANK($C24),"",IF(R24=Constants!$B$3,TRUE(),IF(R24=Constants!$B$4,FALSE(),TRUE())))</f>
        <v/>
      </c>
      <c r="AT24" s="133" t="str">
        <f aca="false">IF(ISBLANK($C24),"",IF(S24=Constants!$B$5,TRUE(),IF(S24=Constants!$B$6,FALSE(),COUNTA(T24:X24)&gt;0)))</f>
        <v/>
      </c>
      <c r="AU24" s="134" t="str">
        <f aca="false">IF(ISBLANK($C24),"",IF(ISNUMBER(T24),IF(T24&gt;=0,T24,""),""))</f>
        <v/>
      </c>
      <c r="AV24" s="135" t="str">
        <f aca="false">IF(ISBLANK($C24),"",IF(ISNUMBER(U24),IF(U24&gt;=0,U24,""),""))</f>
        <v/>
      </c>
      <c r="AW24" s="135" t="str">
        <f aca="false">IF(ISBLANK($C24),"",IF(V24=Constants!$B$3,TRUE(),IF(V24=Constants!$B$4,FALSE(),TRUE())))</f>
        <v/>
      </c>
      <c r="AX24" s="133" t="str">
        <f aca="false">IF(ISBLANK($C24),"",IF(ISNUMBER(W24),IF(W24&gt;=0,W24,""),""))</f>
        <v/>
      </c>
      <c r="AY24" s="133" t="str">
        <f aca="false">IF(ISBLANK($C24),"",IF(X24=Constants!$B$3,TRUE(),IF(X24=Constants!$B$4,FALSE(),FALSE())))</f>
        <v/>
      </c>
      <c r="AZ24" s="133" t="str">
        <f aca="false">IF(ISBLANK($C24),"",MIN(Constants!$B$31,MAX(0,IF(ISNUMBER(Y24),Y24*60,0)+IF(ISNUMBER(Z24),Z24,0))))</f>
        <v/>
      </c>
      <c r="BA24" s="133" t="str">
        <f aca="false">IF(ISBLANK($C24),"",IF(AA24=Constants!$B$3,TRUE(),IF(AA24=Constants!$B$4,FALSE(),FALSE())))</f>
        <v/>
      </c>
      <c r="BB24" s="132" t="str">
        <f aca="false">IF(ISBLANK($C24),"",AND($AL24,OR($AM24="",$AN24="",AND($AO24,$AP24=""))))</f>
        <v/>
      </c>
      <c r="BC24" s="135" t="str">
        <f aca="false">IF($BR24&lt;&gt;Constants!$B$8,"",IF($AL24,Constants!$B$21*$AN24+Constants!$B$22*IF($AO24,$AP24,Constants!$B$23),Constants!$B$24))</f>
        <v/>
      </c>
      <c r="BD24" s="136" t="str">
        <f aca="false">IF($BR24&lt;&gt;Constants!$B$8,"",Constants!$B$25*ABS($AD$9-IF($AL24,$AM24,0)))</f>
        <v/>
      </c>
      <c r="BE24" s="136" t="str">
        <f aca="false">IF($BR24&lt;&gt;Constants!$B$8,"",IF(AND($AL24,$AQ24,$AO24),Constants!$B$27,0))</f>
        <v/>
      </c>
      <c r="BF24" s="136" t="str">
        <f aca="false">IF($BR24&lt;&gt;Constants!$B$8,"",IF($AL24,($AI24-Constants!$B$29)*Constants!$B$28,0))</f>
        <v/>
      </c>
      <c r="BG24" s="136" t="str">
        <f aca="false">IF($BR24&lt;&gt;Constants!$B$8,"",IF($AK24,0,Constants!$B$15)+IF($AJ24,0,Constants!$B$16)+IF($AH24,0,Constants!$B$17))</f>
        <v/>
      </c>
      <c r="BH24" s="137" t="str">
        <f aca="false">IF($BR24&lt;&gt;Constants!$B$8,"",Constants!$B$20+SUM($BC24:$BG24))</f>
        <v/>
      </c>
      <c r="BI24" s="133" t="str">
        <f aca="false">IF($BR24&lt;&gt;Constants!$B$8,"",IF(OR($BP24&lt;$BH24,AND($BP24=$BH24,OR($BK24&lt;$BC24,AND($BK24=$BC24,OR($BL24&lt;$BD24,AND($BL24=$BD24,$AT24,$AL24,$AV24&lt;$AN24)))))),"-&gt;","&lt;-"))</f>
        <v/>
      </c>
      <c r="BJ24" s="132" t="str">
        <f aca="false">IF(ISBLANK($C24),"",AND($AT24,OR($AU24="",$AV24="",AND($AW24,$AX24=""))))</f>
        <v/>
      </c>
      <c r="BK24" s="135" t="str">
        <f aca="false">IF($BR24&lt;&gt;Constants!$B$8,"",IF($AT24,Constants!$B$21*$AV24+Constants!$B$22*IF($AW24,$AX24,Constants!$B$23),Constants!$B$24))</f>
        <v/>
      </c>
      <c r="BL24" s="136" t="str">
        <f aca="false">IF($BR24&lt;&gt;Constants!$B$8,"",Constants!$B$25*ABS($AD$9-IF($AT24,$AU24,0)))</f>
        <v/>
      </c>
      <c r="BM24" s="136" t="str">
        <f aca="false">IF($BR24&lt;&gt;Constants!$B$8,"",IF(AND($AT24,$AY24,$AW24),Constants!$B$27,0))</f>
        <v/>
      </c>
      <c r="BN24" s="136" t="str">
        <f aca="false">IF($BR24&lt;&gt;Constants!$B$8,"",IF($AT24,($AI24-Constants!$B$29)*Constants!$B$28,0))</f>
        <v/>
      </c>
      <c r="BO24" s="136" t="str">
        <f aca="false">IF($BR24&lt;&gt;Constants!$B$8,"",IF($AS24,0,Constants!$B$15)+IF($AR24,0,Constants!$B$16)+IF($AH24,0,Constants!$B$17))</f>
        <v/>
      </c>
      <c r="BP24" s="137" t="str">
        <f aca="false">IF($BR24&lt;&gt;Constants!$B$8,"",Constants!$B$20+SUM($BK24:$BO24))</f>
        <v/>
      </c>
      <c r="BQ24" s="133" t="str">
        <f aca="false">IF(ISBLANK($C24),"",IF(ISBLANK($D$7),$BQ$5,IF(NOT(ISNUMBER($D$7)),$BQ$6,"")))</f>
        <v/>
      </c>
      <c r="BR24" s="133" t="str">
        <f aca="false">IF(ISBLANK($C24),"",IF($BA24,Constants!$B$11,IF(COUNTA($E24:$AA24)=0,Constants!$B$10,IF(NOT($AG24),Constants!$B$9,IF(OR($BQ24&lt;&gt;"",$BB24,$BJ24),Constants!$B$12,Constants!$B$8)))))</f>
        <v/>
      </c>
      <c r="BS24" s="133" t="str">
        <f aca="false">IF(ISBLANK($C24),"",IF($BR24&lt;&gt;Constants!$B$8,$BR24,Constants!$B$13))</f>
        <v/>
      </c>
      <c r="BT24" s="136" t="str">
        <f aca="false">IF($BR24&lt;&gt;Constants!$B$8,"",IF($BI24="-&gt;",$BP24,$BH24))</f>
        <v/>
      </c>
      <c r="BU24" s="136" t="str">
        <f aca="false">IF($BR24&lt;&gt;Constants!$B$8,"",IF($AF24,0,Constants!$B$18))</f>
        <v/>
      </c>
      <c r="BV24" s="136" t="str">
        <f aca="false">IF($BR24&lt;&gt;Constants!$B$8,"",((Constants!$B$31-$AZ24)-Constants!$B$31)/Constants!$B$32)</f>
        <v/>
      </c>
      <c r="BW24" s="136" t="str">
        <f aca="false">IF(ISBLANK($C24),"",IF($BR24&lt;&gt;Constants!$B$8,$BR24,SUM($BT24:$BV24)))</f>
        <v/>
      </c>
      <c r="BX24" s="133" t="str">
        <f aca="false">IF(ISBLANK($C24),"",IF($BR24&lt;&gt;Constants!$B$8,$BR24,RANK($BW24,$BW$9:$BW$508,1)))</f>
        <v/>
      </c>
      <c r="BY24" s="136" t="str">
        <f aca="false">IF($BR24&lt;&gt;Constants!$B$8,"",IF($BI24="-&gt;",$BK24,$BC24))</f>
        <v/>
      </c>
      <c r="BZ24" s="133" t="str">
        <f aca="false">IF(ISBLANK($C24),"",IF($BR24&lt;&gt;Constants!$B$8,$BR24,IF(ISNUMBER($BY24),RANK($BY24,$BY$9:$BY$508,1),COUNT($BY$9:$BY$508)+1)))</f>
        <v/>
      </c>
      <c r="CA24" s="136" t="str">
        <f aca="false">IF($BR24&lt;&gt;Constants!$B$8,"",IF($BI24="-&gt;",$BL24,$BD24))</f>
        <v/>
      </c>
      <c r="CB24" s="133" t="str">
        <f aca="false">IF(ISBLANK($C24),"",IF($BR24&lt;&gt;Constants!$B$8,$BR24,IF(ISNUMBER($CA24),RANK($CA24,$CA$9:$CA$508,1),COUNT($CA$9:$CA$508)+1)))</f>
        <v/>
      </c>
      <c r="CC24" s="136" t="str">
        <f aca="false">IF($BR24&lt;&gt;Constants!$B$8,"",IF($BI24="-&gt;",IF($AT24,$AV24,""),IF($AL24,$AN24,"")))</f>
        <v/>
      </c>
      <c r="CD24" s="133" t="str">
        <f aca="false">IF(ISBLANK($C24),"",IF($BR24&lt;&gt;Constants!$B$8,$BR24,IF(ISNUMBER($CC24),RANK($CC24,$CC$9:$CC$508,1),COUNT($CC$9:$CC$508)+1)))</f>
        <v/>
      </c>
      <c r="CE24" s="136" t="str">
        <f aca="false">IF($BR24&lt;&gt;Constants!$B$8,"",IF(AND(NOT($AL24),NOT($AT24),$AJ24,$AK24,$AR24,$AS24),"",$AI24))</f>
        <v/>
      </c>
      <c r="CF24" s="133" t="str">
        <f aca="false">IF(ISBLANK($C24),"",IF($BR24&lt;&gt;Constants!$B$8,$BR24,IF(ISNUMBER($CE24),RANK($CE24,$CE$9:$CE$508,1),COUNT($CE$9:$CE$508)+1)))</f>
        <v/>
      </c>
      <c r="CG24" s="133" t="str">
        <f aca="false">IF(ISBLANK($C24),"",IF($BR24&lt;&gt;Constants!$B$8,$BR24,COUNTIFS($BX$9:$BX$508,"&lt;"&amp;$BX24)+COUNTIFS($BX$9:$BX$508,$BX24,$BZ$9:$BZ$508,"&lt;"&amp;$BZ24)+COUNTIFS($BX$9:$BX$508,$BX24,$BZ$9:$BZ$508,$BZ24,$CB$9:$CB$508,"&lt;"&amp;$CB24)+COUNTIFS($BX$9:$BX$508,$BX24,$BZ$9:$BZ$508,$BZ24,$CB$9:$CB$508,$CB24,$CD$9:$CD$508,"&lt;"&amp;$CD24)+COUNTIFS($BX$9:$BX$508,$BX24,$BZ$9:$BZ$508,$BZ24,$CB$9:$CB$508,$CB24,$CD$9:$CD$508,$CD24,$CF$9:$CF$508,"&lt;"&amp;$CF24)+1))</f>
        <v/>
      </c>
      <c r="CH24" s="133" t="str">
        <f aca="false">IF(ISBLANK($C24),"",IF($BR24&lt;&gt;Constants!$B$8,$BR24,$BX24-$CG24))</f>
        <v/>
      </c>
      <c r="CI24" s="138"/>
      <c r="CJ24" s="139"/>
      <c r="CK24" s="140" t="str">
        <f aca="false">IF(ISBLANK($C24),"",IF($BR24=Constants!$B$12,$BQ24,""))</f>
        <v/>
      </c>
      <c r="CL24" s="139" t="str">
        <f aca="false">IF(ISBLANK($C24),"",IF($BR24&lt;&gt;Constants!$B$8,"",IF($BI24="-&gt;",2,1)))</f>
        <v/>
      </c>
      <c r="CM24" s="141" t="str">
        <f aca="false">IF(ISBLANK($C24),"",IF($BR24&lt;&gt;Constants!$B$8,"",IF($BI24="-&gt;",$BK24,$BC24)))</f>
        <v/>
      </c>
      <c r="CN24" s="141" t="str">
        <f aca="false">IF(ISBLANK($C24),"",IF($BR24&lt;&gt;Constants!$B$8,"",IF($BI24="-&gt;",$BL24,$BD24)))</f>
        <v/>
      </c>
      <c r="CO24" s="141" t="str">
        <f aca="false">IF(ISBLANK($C24),"",IF($BR24&lt;&gt;Constants!$B$8,"",IF($BI24="-&gt;",$BM24+$BN24,$BE24+$BF24)+$BV24))</f>
        <v/>
      </c>
      <c r="CP24" s="141" t="str">
        <f aca="false">IF(ISBLANK($C24),"",IF($BR24&lt;&gt;Constants!$B$8,"",IF($BI24="-&gt;",$BO24,$BG24)+$BU24))</f>
        <v/>
      </c>
      <c r="CQ24" s="142" t="str">
        <f aca="false">IF(ISBLANK($C24),"",IF($BR24&lt;&gt;Constants!$B$8,$BR24,$BW24))</f>
        <v/>
      </c>
      <c r="CR24" s="143" t="str">
        <f aca="false">IF(ISBLANK($C24),"",$BS24)</f>
        <v/>
      </c>
      <c r="CS24" s="144" t="str">
        <f aca="false">IF(ISBLANK($C24),"",$CH24)</f>
        <v/>
      </c>
      <c r="CT24" s="144" t="str">
        <f aca="false">IF(ISBLANK($C24),"",$CG24)</f>
        <v/>
      </c>
      <c r="CU24" s="145" t="str">
        <f aca="false">IF(ISBLANK($C24),"",IFERROR(_xlfn.SWITCH($CT24,Constants!$B$11,COUNTA($C$9:$C$508)+2,Constants!$B$10,COUNTA($C$9:$C$508)+1,Constants!$B$9,COUNTA($C$9:$C$508)),$CT24))</f>
        <v/>
      </c>
      <c r="CV24" s="9"/>
      <c r="CW24" s="146" t="n">
        <f aca="false">IF(OR(ISNUMBER($CT24),$CT24=Constants!$B$11,$CT24=Constants!$B$9,$CT24=Constants!$B$10),1,0)</f>
        <v>0</v>
      </c>
      <c r="CX24" s="146" t="n">
        <v>16</v>
      </c>
      <c r="CY24" s="146" t="str">
        <f aca="false">IF(ISBLANK($C24),"",IF(ISNUMBER($CU24),$CU24+ROW($B24)/1000,""))</f>
        <v/>
      </c>
      <c r="CZ24" s="146" t="str">
        <f aca="false">IF(ISNUMBER($CY24),RANK($CY24,$CY$9:$CY$508,1),"")</f>
        <v/>
      </c>
      <c r="DA24" s="146" t="str">
        <f aca="false">IF(ISBLANK($C24),"",$B24)</f>
        <v/>
      </c>
      <c r="DB24" s="146" t="str">
        <f aca="false">IF(ISBLANK($C24),"",$C24)</f>
        <v/>
      </c>
      <c r="DC24" s="146" t="str">
        <f aca="false">IF(ISBLANK($C24),"",$D24)</f>
        <v/>
      </c>
      <c r="DD24" s="147" t="str">
        <f aca="false">$CR24</f>
        <v/>
      </c>
      <c r="DE24" s="148" t="str">
        <f aca="false">$CQ24</f>
        <v/>
      </c>
      <c r="DF24" s="146" t="str">
        <f aca="false">IF(ISBLANK($C24),"",$CT24)</f>
        <v/>
      </c>
      <c r="DG24" s="149" t="str">
        <f aca="false">IF($CX24&gt;$CW$8,"",VLOOKUP($CX24,$CZ$9:$DF$508,7,FALSE()))</f>
        <v/>
      </c>
      <c r="DH24" s="150" t="str">
        <f aca="false">IF($CX24&gt;$CW$8,"",VLOOKUP($CX24,$CZ$9:$DF$508,2,FALSE()))</f>
        <v/>
      </c>
      <c r="DI24" s="150" t="str">
        <f aca="false">IF($CX24&gt;$CW$8,"",VLOOKUP($CX24,$CZ$9:$DF$508,3,FALSE()))</f>
        <v/>
      </c>
      <c r="DJ24" s="150" t="str">
        <f aca="false">IF($CX24&gt;$CW$8,"",VLOOKUP($CX24,$CZ$9:$DF$508,4,FALSE()))</f>
        <v/>
      </c>
      <c r="DK24" s="150" t="str">
        <f aca="false">IF($CX24&gt;$CW$8,"",VLOOKUP($CX24,$CZ$9:$DF$508,5,FALSE()))</f>
        <v/>
      </c>
      <c r="DL24" s="151" t="str">
        <f aca="false">IF($CX24&gt;$CW$8,"",VLOOKUP($CX24,$CZ$9:$DF$508,6,FALSE()))</f>
        <v/>
      </c>
      <c r="DM24" s="75"/>
    </row>
    <row r="25" customFormat="false" ht="15.75" hidden="false" customHeight="false" outlineLevel="0" collapsed="false">
      <c r="A25" s="9"/>
      <c r="B25" s="157"/>
      <c r="C25" s="158"/>
      <c r="D25" s="159"/>
      <c r="E25" s="160"/>
      <c r="F25" s="161"/>
      <c r="G25" s="162"/>
      <c r="H25" s="162"/>
      <c r="I25" s="163"/>
      <c r="J25" s="164"/>
      <c r="K25" s="126"/>
      <c r="L25" s="127"/>
      <c r="M25" s="128"/>
      <c r="N25" s="164"/>
      <c r="O25" s="164"/>
      <c r="P25" s="160"/>
      <c r="Q25" s="164"/>
      <c r="R25" s="164"/>
      <c r="S25" s="126"/>
      <c r="T25" s="128"/>
      <c r="U25" s="128"/>
      <c r="V25" s="164"/>
      <c r="W25" s="164"/>
      <c r="X25" s="160"/>
      <c r="Y25" s="165"/>
      <c r="Z25" s="166"/>
      <c r="AA25" s="165"/>
      <c r="AB25" s="132"/>
      <c r="AC25" s="133"/>
      <c r="AD25" s="133"/>
      <c r="AE25" s="133"/>
      <c r="AF25" s="133" t="str">
        <f aca="false">IF(ISBLANK($C25),"",IF(E25=Constants!$B$3,TRUE(),IF(E25=Constants!$B$4,FALSE(),TRUE())))</f>
        <v/>
      </c>
      <c r="AG25" s="133" t="str">
        <f aca="false">IF(ISBLANK($C25),"",IF(F25=Constants!$B$3,TRUE(),IF(F25=Constants!$B$4,FALSE(),TRUE())))</f>
        <v/>
      </c>
      <c r="AH25" s="133" t="str">
        <f aca="false">IF(ISBLANK($C25),"",IF(G25=Constants!$B$3,TRUE(),IF(G25=Constants!$B$4,FALSE(),TRUE())))</f>
        <v/>
      </c>
      <c r="AI25" s="133" t="str">
        <f aca="false">IF(ISBLANK($C25),"",IF(AND(ISNUMBER(H25),H25&gt;=0),H25,Constants!$B$29))</f>
        <v/>
      </c>
      <c r="AJ25" s="133" t="str">
        <f aca="false">IF(ISBLANK($C25),"",IF(I25=Constants!$B$3,TRUE(),IF(I25=Constants!$B$4,FALSE(),TRUE())))</f>
        <v/>
      </c>
      <c r="AK25" s="133" t="str">
        <f aca="false">IF(ISBLANK($C25),"",IF(J25=Constants!$B$3,TRUE(),IF(J25=Constants!$B$4,FALSE(),TRUE())))</f>
        <v/>
      </c>
      <c r="AL25" s="133" t="str">
        <f aca="false">IF(ISBLANK($C25),"",IF(K25=Constants!$B$5,TRUE(),IF(K25=Constants!$B$6,FALSE(),COUNTA(L25:P25)&gt;0)))</f>
        <v/>
      </c>
      <c r="AM25" s="134" t="str">
        <f aca="false">IF(ISBLANK($C25),"",IF(ISNUMBER(L25),IF(L25&gt;=0,L25,""),""))</f>
        <v/>
      </c>
      <c r="AN25" s="135" t="str">
        <f aca="false">IF(ISBLANK($C25),"",IF(ISNUMBER(M25),IF(M25&gt;=0,M25,""),""))</f>
        <v/>
      </c>
      <c r="AO25" s="135" t="str">
        <f aca="false">IF(ISBLANK($C25),"",IF(N25=Constants!$B$3,TRUE(),IF(N25=Constants!$B$4,FALSE(),TRUE())))</f>
        <v/>
      </c>
      <c r="AP25" s="133" t="str">
        <f aca="false">IF(ISBLANK($C25),"",IF(ISNUMBER(O25),IF(O25&gt;=0,O25,""),""))</f>
        <v/>
      </c>
      <c r="AQ25" s="133" t="str">
        <f aca="false">IF(ISBLANK($C25),"",IF(P25=Constants!$B$3,TRUE(),IF(P25=Constants!$B$4,FALSE(),FALSE())))</f>
        <v/>
      </c>
      <c r="AR25" s="133" t="str">
        <f aca="false">IF(ISBLANK($C25),"",IF(Q25=Constants!$B$3,TRUE(),IF(Q25=Constants!$B$4,FALSE(),TRUE())))</f>
        <v/>
      </c>
      <c r="AS25" s="133" t="str">
        <f aca="false">IF(ISBLANK($C25),"",IF(R25=Constants!$B$3,TRUE(),IF(R25=Constants!$B$4,FALSE(),TRUE())))</f>
        <v/>
      </c>
      <c r="AT25" s="133" t="str">
        <f aca="false">IF(ISBLANK($C25),"",IF(S25=Constants!$B$5,TRUE(),IF(S25=Constants!$B$6,FALSE(),COUNTA(T25:X25)&gt;0)))</f>
        <v/>
      </c>
      <c r="AU25" s="134" t="str">
        <f aca="false">IF(ISBLANK($C25),"",IF(ISNUMBER(T25),IF(T25&gt;=0,T25,""),""))</f>
        <v/>
      </c>
      <c r="AV25" s="135" t="str">
        <f aca="false">IF(ISBLANK($C25),"",IF(ISNUMBER(U25),IF(U25&gt;=0,U25,""),""))</f>
        <v/>
      </c>
      <c r="AW25" s="135" t="str">
        <f aca="false">IF(ISBLANK($C25),"",IF(V25=Constants!$B$3,TRUE(),IF(V25=Constants!$B$4,FALSE(),TRUE())))</f>
        <v/>
      </c>
      <c r="AX25" s="133" t="str">
        <f aca="false">IF(ISBLANK($C25),"",IF(ISNUMBER(W25),IF(W25&gt;=0,W25,""),""))</f>
        <v/>
      </c>
      <c r="AY25" s="133" t="str">
        <f aca="false">IF(ISBLANK($C25),"",IF(X25=Constants!$B$3,TRUE(),IF(X25=Constants!$B$4,FALSE(),FALSE())))</f>
        <v/>
      </c>
      <c r="AZ25" s="133" t="str">
        <f aca="false">IF(ISBLANK($C25),"",MIN(Constants!$B$31,MAX(0,IF(ISNUMBER(Y25),Y25*60,0)+IF(ISNUMBER(Z25),Z25,0))))</f>
        <v/>
      </c>
      <c r="BA25" s="133" t="str">
        <f aca="false">IF(ISBLANK($C25),"",IF(AA25=Constants!$B$3,TRUE(),IF(AA25=Constants!$B$4,FALSE(),FALSE())))</f>
        <v/>
      </c>
      <c r="BB25" s="132" t="str">
        <f aca="false">IF(ISBLANK($C25),"",AND($AL25,OR($AM25="",$AN25="",AND($AO25,$AP25=""))))</f>
        <v/>
      </c>
      <c r="BC25" s="135" t="str">
        <f aca="false">IF($BR25&lt;&gt;Constants!$B$8,"",IF($AL25,Constants!$B$21*$AN25+Constants!$B$22*IF($AO25,$AP25,Constants!$B$23),Constants!$B$24))</f>
        <v/>
      </c>
      <c r="BD25" s="136" t="str">
        <f aca="false">IF($BR25&lt;&gt;Constants!$B$8,"",Constants!$B$25*ABS($AD$9-IF($AL25,$AM25,0)))</f>
        <v/>
      </c>
      <c r="BE25" s="136" t="str">
        <f aca="false">IF($BR25&lt;&gt;Constants!$B$8,"",IF(AND($AL25,$AQ25,$AO25),Constants!$B$27,0))</f>
        <v/>
      </c>
      <c r="BF25" s="136" t="str">
        <f aca="false">IF($BR25&lt;&gt;Constants!$B$8,"",IF($AL25,($AI25-Constants!$B$29)*Constants!$B$28,0))</f>
        <v/>
      </c>
      <c r="BG25" s="136" t="str">
        <f aca="false">IF($BR25&lt;&gt;Constants!$B$8,"",IF($AK25,0,Constants!$B$15)+IF($AJ25,0,Constants!$B$16)+IF($AH25,0,Constants!$B$17))</f>
        <v/>
      </c>
      <c r="BH25" s="137" t="str">
        <f aca="false">IF($BR25&lt;&gt;Constants!$B$8,"",Constants!$B$20+SUM($BC25:$BG25))</f>
        <v/>
      </c>
      <c r="BI25" s="133" t="str">
        <f aca="false">IF($BR25&lt;&gt;Constants!$B$8,"",IF(OR($BP25&lt;$BH25,AND($BP25=$BH25,OR($BK25&lt;$BC25,AND($BK25=$BC25,OR($BL25&lt;$BD25,AND($BL25=$BD25,$AT25,$AL25,$AV25&lt;$AN25)))))),"-&gt;","&lt;-"))</f>
        <v/>
      </c>
      <c r="BJ25" s="132" t="str">
        <f aca="false">IF(ISBLANK($C25),"",AND($AT25,OR($AU25="",$AV25="",AND($AW25,$AX25=""))))</f>
        <v/>
      </c>
      <c r="BK25" s="135" t="str">
        <f aca="false">IF($BR25&lt;&gt;Constants!$B$8,"",IF($AT25,Constants!$B$21*$AV25+Constants!$B$22*IF($AW25,$AX25,Constants!$B$23),Constants!$B$24))</f>
        <v/>
      </c>
      <c r="BL25" s="136" t="str">
        <f aca="false">IF($BR25&lt;&gt;Constants!$B$8,"",Constants!$B$25*ABS($AD$9-IF($AT25,$AU25,0)))</f>
        <v/>
      </c>
      <c r="BM25" s="136" t="str">
        <f aca="false">IF($BR25&lt;&gt;Constants!$B$8,"",IF(AND($AT25,$AY25,$AW25),Constants!$B$27,0))</f>
        <v/>
      </c>
      <c r="BN25" s="136" t="str">
        <f aca="false">IF($BR25&lt;&gt;Constants!$B$8,"",IF($AT25,($AI25-Constants!$B$29)*Constants!$B$28,0))</f>
        <v/>
      </c>
      <c r="BO25" s="136" t="str">
        <f aca="false">IF($BR25&lt;&gt;Constants!$B$8,"",IF($AS25,0,Constants!$B$15)+IF($AR25,0,Constants!$B$16)+IF($AH25,0,Constants!$B$17))</f>
        <v/>
      </c>
      <c r="BP25" s="137" t="str">
        <f aca="false">IF($BR25&lt;&gt;Constants!$B$8,"",Constants!$B$20+SUM($BK25:$BO25))</f>
        <v/>
      </c>
      <c r="BQ25" s="133" t="str">
        <f aca="false">IF(ISBLANK($C25),"",IF(ISBLANK($D$7),$BQ$5,IF(NOT(ISNUMBER($D$7)),$BQ$6,"")))</f>
        <v/>
      </c>
      <c r="BR25" s="133" t="str">
        <f aca="false">IF(ISBLANK($C25),"",IF($BA25,Constants!$B$11,IF(COUNTA($E25:$AA25)=0,Constants!$B$10,IF(NOT($AG25),Constants!$B$9,IF(OR($BQ25&lt;&gt;"",$BB25,$BJ25),Constants!$B$12,Constants!$B$8)))))</f>
        <v/>
      </c>
      <c r="BS25" s="133" t="str">
        <f aca="false">IF(ISBLANK($C25),"",IF($BR25&lt;&gt;Constants!$B$8,$BR25,Constants!$B$13))</f>
        <v/>
      </c>
      <c r="BT25" s="136" t="str">
        <f aca="false">IF($BR25&lt;&gt;Constants!$B$8,"",IF($BI25="-&gt;",$BP25,$BH25))</f>
        <v/>
      </c>
      <c r="BU25" s="136" t="str">
        <f aca="false">IF($BR25&lt;&gt;Constants!$B$8,"",IF($AF25,0,Constants!$B$18))</f>
        <v/>
      </c>
      <c r="BV25" s="136" t="str">
        <f aca="false">IF($BR25&lt;&gt;Constants!$B$8,"",((Constants!$B$31-$AZ25)-Constants!$B$31)/Constants!$B$32)</f>
        <v/>
      </c>
      <c r="BW25" s="136" t="str">
        <f aca="false">IF(ISBLANK($C25),"",IF($BR25&lt;&gt;Constants!$B$8,$BR25,SUM($BT25:$BV25)))</f>
        <v/>
      </c>
      <c r="BX25" s="133" t="str">
        <f aca="false">IF(ISBLANK($C25),"",IF($BR25&lt;&gt;Constants!$B$8,$BR25,RANK($BW25,$BW$9:$BW$508,1)))</f>
        <v/>
      </c>
      <c r="BY25" s="136" t="str">
        <f aca="false">IF($BR25&lt;&gt;Constants!$B$8,"",IF($BI25="-&gt;",$BK25,$BC25))</f>
        <v/>
      </c>
      <c r="BZ25" s="133" t="str">
        <f aca="false">IF(ISBLANK($C25),"",IF($BR25&lt;&gt;Constants!$B$8,$BR25,IF(ISNUMBER($BY25),RANK($BY25,$BY$9:$BY$508,1),COUNT($BY$9:$BY$508)+1)))</f>
        <v/>
      </c>
      <c r="CA25" s="136" t="str">
        <f aca="false">IF($BR25&lt;&gt;Constants!$B$8,"",IF($BI25="-&gt;",$BL25,$BD25))</f>
        <v/>
      </c>
      <c r="CB25" s="133" t="str">
        <f aca="false">IF(ISBLANK($C25),"",IF($BR25&lt;&gt;Constants!$B$8,$BR25,IF(ISNUMBER($CA25),RANK($CA25,$CA$9:$CA$508,1),COUNT($CA$9:$CA$508)+1)))</f>
        <v/>
      </c>
      <c r="CC25" s="136" t="str">
        <f aca="false">IF($BR25&lt;&gt;Constants!$B$8,"",IF($BI25="-&gt;",IF($AT25,$AV25,""),IF($AL25,$AN25,"")))</f>
        <v/>
      </c>
      <c r="CD25" s="133" t="str">
        <f aca="false">IF(ISBLANK($C25),"",IF($BR25&lt;&gt;Constants!$B$8,$BR25,IF(ISNUMBER($CC25),RANK($CC25,$CC$9:$CC$508,1),COUNT($CC$9:$CC$508)+1)))</f>
        <v/>
      </c>
      <c r="CE25" s="136" t="str">
        <f aca="false">IF($BR25&lt;&gt;Constants!$B$8,"",IF(AND(NOT($AL25),NOT($AT25),$AJ25,$AK25,$AR25,$AS25),"",$AI25))</f>
        <v/>
      </c>
      <c r="CF25" s="133" t="str">
        <f aca="false">IF(ISBLANK($C25),"",IF($BR25&lt;&gt;Constants!$B$8,$BR25,IF(ISNUMBER($CE25),RANK($CE25,$CE$9:$CE$508,1),COUNT($CE$9:$CE$508)+1)))</f>
        <v/>
      </c>
      <c r="CG25" s="133" t="str">
        <f aca="false">IF(ISBLANK($C25),"",IF($BR25&lt;&gt;Constants!$B$8,$BR25,COUNTIFS($BX$9:$BX$508,"&lt;"&amp;$BX25)+COUNTIFS($BX$9:$BX$508,$BX25,$BZ$9:$BZ$508,"&lt;"&amp;$BZ25)+COUNTIFS($BX$9:$BX$508,$BX25,$BZ$9:$BZ$508,$BZ25,$CB$9:$CB$508,"&lt;"&amp;$CB25)+COUNTIFS($BX$9:$BX$508,$BX25,$BZ$9:$BZ$508,$BZ25,$CB$9:$CB$508,$CB25,$CD$9:$CD$508,"&lt;"&amp;$CD25)+COUNTIFS($BX$9:$BX$508,$BX25,$BZ$9:$BZ$508,$BZ25,$CB$9:$CB$508,$CB25,$CD$9:$CD$508,$CD25,$CF$9:$CF$508,"&lt;"&amp;$CF25)+1))</f>
        <v/>
      </c>
      <c r="CH25" s="133" t="str">
        <f aca="false">IF(ISBLANK($C25),"",IF($BR25&lt;&gt;Constants!$B$8,$BR25,$BX25-$CG25))</f>
        <v/>
      </c>
      <c r="CI25" s="138"/>
      <c r="CJ25" s="139"/>
      <c r="CK25" s="140" t="str">
        <f aca="false">IF(ISBLANK($C25),"",IF($BR25=Constants!$B$12,$BQ25,""))</f>
        <v/>
      </c>
      <c r="CL25" s="139" t="str">
        <f aca="false">IF(ISBLANK($C25),"",IF($BR25&lt;&gt;Constants!$B$8,"",IF($BI25="-&gt;",2,1)))</f>
        <v/>
      </c>
      <c r="CM25" s="141" t="str">
        <f aca="false">IF(ISBLANK($C25),"",IF($BR25&lt;&gt;Constants!$B$8,"",IF($BI25="-&gt;",$BK25,$BC25)))</f>
        <v/>
      </c>
      <c r="CN25" s="141" t="str">
        <f aca="false">IF(ISBLANK($C25),"",IF($BR25&lt;&gt;Constants!$B$8,"",IF($BI25="-&gt;",$BL25,$BD25)))</f>
        <v/>
      </c>
      <c r="CO25" s="141" t="str">
        <f aca="false">IF(ISBLANK($C25),"",IF($BR25&lt;&gt;Constants!$B$8,"",IF($BI25="-&gt;",$BM25+$BN25,$BE25+$BF25)+$BV25))</f>
        <v/>
      </c>
      <c r="CP25" s="141" t="str">
        <f aca="false">IF(ISBLANK($C25),"",IF($BR25&lt;&gt;Constants!$B$8,"",IF($BI25="-&gt;",$BO25,$BG25)+$BU25))</f>
        <v/>
      </c>
      <c r="CQ25" s="142" t="str">
        <f aca="false">IF(ISBLANK($C25),"",IF($BR25&lt;&gt;Constants!$B$8,$BR25,$BW25))</f>
        <v/>
      </c>
      <c r="CR25" s="143" t="str">
        <f aca="false">IF(ISBLANK($C25),"",$BS25)</f>
        <v/>
      </c>
      <c r="CS25" s="144" t="str">
        <f aca="false">IF(ISBLANK($C25),"",$CH25)</f>
        <v/>
      </c>
      <c r="CT25" s="144" t="str">
        <f aca="false">IF(ISBLANK($C25),"",$CG25)</f>
        <v/>
      </c>
      <c r="CU25" s="145" t="str">
        <f aca="false">IF(ISBLANK($C25),"",IFERROR(_xlfn.SWITCH($CT25,Constants!$B$11,COUNTA($C$9:$C$508)+2,Constants!$B$10,COUNTA($C$9:$C$508)+1,Constants!$B$9,COUNTA($C$9:$C$508)),$CT25))</f>
        <v/>
      </c>
      <c r="CV25" s="9"/>
      <c r="CW25" s="146" t="n">
        <f aca="false">IF(OR(ISNUMBER($CT25),$CT25=Constants!$B$11,$CT25=Constants!$B$9,$CT25=Constants!$B$10),1,0)</f>
        <v>0</v>
      </c>
      <c r="CX25" s="146" t="n">
        <v>17</v>
      </c>
      <c r="CY25" s="146" t="str">
        <f aca="false">IF(ISBLANK($C25),"",IF(ISNUMBER($CU25),$CU25+ROW($B25)/1000,""))</f>
        <v/>
      </c>
      <c r="CZ25" s="146" t="str">
        <f aca="false">IF(ISNUMBER($CY25),RANK($CY25,$CY$9:$CY$508,1),"")</f>
        <v/>
      </c>
      <c r="DA25" s="146" t="str">
        <f aca="false">IF(ISBLANK($C25),"",$B25)</f>
        <v/>
      </c>
      <c r="DB25" s="146" t="str">
        <f aca="false">IF(ISBLANK($C25),"",$C25)</f>
        <v/>
      </c>
      <c r="DC25" s="146" t="str">
        <f aca="false">IF(ISBLANK($C25),"",$D25)</f>
        <v/>
      </c>
      <c r="DD25" s="147" t="str">
        <f aca="false">$CR25</f>
        <v/>
      </c>
      <c r="DE25" s="148" t="str">
        <f aca="false">$CQ25</f>
        <v/>
      </c>
      <c r="DF25" s="146" t="str">
        <f aca="false">IF(ISBLANK($C25),"",$CT25)</f>
        <v/>
      </c>
      <c r="DG25" s="149" t="str">
        <f aca="false">IF($CX25&gt;$CW$8,"",VLOOKUP($CX25,$CZ$9:$DF$508,7,FALSE()))</f>
        <v/>
      </c>
      <c r="DH25" s="150" t="str">
        <f aca="false">IF($CX25&gt;$CW$8,"",VLOOKUP($CX25,$CZ$9:$DF$508,2,FALSE()))</f>
        <v/>
      </c>
      <c r="DI25" s="150" t="str">
        <f aca="false">IF($CX25&gt;$CW$8,"",VLOOKUP($CX25,$CZ$9:$DF$508,3,FALSE()))</f>
        <v/>
      </c>
      <c r="DJ25" s="150" t="str">
        <f aca="false">IF($CX25&gt;$CW$8,"",VLOOKUP($CX25,$CZ$9:$DF$508,4,FALSE()))</f>
        <v/>
      </c>
      <c r="DK25" s="150" t="str">
        <f aca="false">IF($CX25&gt;$CW$8,"",VLOOKUP($CX25,$CZ$9:$DF$508,5,FALSE()))</f>
        <v/>
      </c>
      <c r="DL25" s="151" t="str">
        <f aca="false">IF($CX25&gt;$CW$8,"",VLOOKUP($CX25,$CZ$9:$DF$508,6,FALSE()))</f>
        <v/>
      </c>
      <c r="DM25" s="75"/>
    </row>
    <row r="26" customFormat="false" ht="15.75" hidden="false" customHeight="false" outlineLevel="0" collapsed="false">
      <c r="A26" s="9"/>
      <c r="B26" s="157"/>
      <c r="C26" s="158"/>
      <c r="D26" s="159"/>
      <c r="E26" s="160"/>
      <c r="F26" s="161"/>
      <c r="G26" s="162"/>
      <c r="H26" s="162"/>
      <c r="I26" s="163"/>
      <c r="J26" s="164"/>
      <c r="K26" s="126"/>
      <c r="L26" s="127"/>
      <c r="M26" s="128"/>
      <c r="N26" s="164"/>
      <c r="O26" s="164"/>
      <c r="P26" s="160"/>
      <c r="Q26" s="164"/>
      <c r="R26" s="164"/>
      <c r="S26" s="126"/>
      <c r="T26" s="128"/>
      <c r="U26" s="128"/>
      <c r="V26" s="164"/>
      <c r="W26" s="164"/>
      <c r="X26" s="160"/>
      <c r="Y26" s="165"/>
      <c r="Z26" s="166"/>
      <c r="AA26" s="165"/>
      <c r="AB26" s="132"/>
      <c r="AC26" s="133"/>
      <c r="AD26" s="133"/>
      <c r="AE26" s="133"/>
      <c r="AF26" s="133" t="str">
        <f aca="false">IF(ISBLANK($C26),"",IF(E26=Constants!$B$3,TRUE(),IF(E26=Constants!$B$4,FALSE(),TRUE())))</f>
        <v/>
      </c>
      <c r="AG26" s="133" t="str">
        <f aca="false">IF(ISBLANK($C26),"",IF(F26=Constants!$B$3,TRUE(),IF(F26=Constants!$B$4,FALSE(),TRUE())))</f>
        <v/>
      </c>
      <c r="AH26" s="133" t="str">
        <f aca="false">IF(ISBLANK($C26),"",IF(G26=Constants!$B$3,TRUE(),IF(G26=Constants!$B$4,FALSE(),TRUE())))</f>
        <v/>
      </c>
      <c r="AI26" s="133" t="str">
        <f aca="false">IF(ISBLANK($C26),"",IF(AND(ISNUMBER(H26),H26&gt;=0),H26,Constants!$B$29))</f>
        <v/>
      </c>
      <c r="AJ26" s="133" t="str">
        <f aca="false">IF(ISBLANK($C26),"",IF(I26=Constants!$B$3,TRUE(),IF(I26=Constants!$B$4,FALSE(),TRUE())))</f>
        <v/>
      </c>
      <c r="AK26" s="133" t="str">
        <f aca="false">IF(ISBLANK($C26),"",IF(J26=Constants!$B$3,TRUE(),IF(J26=Constants!$B$4,FALSE(),TRUE())))</f>
        <v/>
      </c>
      <c r="AL26" s="133" t="str">
        <f aca="false">IF(ISBLANK($C26),"",IF(K26=Constants!$B$5,TRUE(),IF(K26=Constants!$B$6,FALSE(),COUNTA(L26:P26)&gt;0)))</f>
        <v/>
      </c>
      <c r="AM26" s="134" t="str">
        <f aca="false">IF(ISBLANK($C26),"",IF(ISNUMBER(L26),IF(L26&gt;=0,L26,""),""))</f>
        <v/>
      </c>
      <c r="AN26" s="135" t="str">
        <f aca="false">IF(ISBLANK($C26),"",IF(ISNUMBER(M26),IF(M26&gt;=0,M26,""),""))</f>
        <v/>
      </c>
      <c r="AO26" s="135" t="str">
        <f aca="false">IF(ISBLANK($C26),"",IF(N26=Constants!$B$3,TRUE(),IF(N26=Constants!$B$4,FALSE(),TRUE())))</f>
        <v/>
      </c>
      <c r="AP26" s="133" t="str">
        <f aca="false">IF(ISBLANK($C26),"",IF(ISNUMBER(O26),IF(O26&gt;=0,O26,""),""))</f>
        <v/>
      </c>
      <c r="AQ26" s="133" t="str">
        <f aca="false">IF(ISBLANK($C26),"",IF(P26=Constants!$B$3,TRUE(),IF(P26=Constants!$B$4,FALSE(),FALSE())))</f>
        <v/>
      </c>
      <c r="AR26" s="133" t="str">
        <f aca="false">IF(ISBLANK($C26),"",IF(Q26=Constants!$B$3,TRUE(),IF(Q26=Constants!$B$4,FALSE(),TRUE())))</f>
        <v/>
      </c>
      <c r="AS26" s="133" t="str">
        <f aca="false">IF(ISBLANK($C26),"",IF(R26=Constants!$B$3,TRUE(),IF(R26=Constants!$B$4,FALSE(),TRUE())))</f>
        <v/>
      </c>
      <c r="AT26" s="133" t="str">
        <f aca="false">IF(ISBLANK($C26),"",IF(S26=Constants!$B$5,TRUE(),IF(S26=Constants!$B$6,FALSE(),COUNTA(T26:X26)&gt;0)))</f>
        <v/>
      </c>
      <c r="AU26" s="134" t="str">
        <f aca="false">IF(ISBLANK($C26),"",IF(ISNUMBER(T26),IF(T26&gt;=0,T26,""),""))</f>
        <v/>
      </c>
      <c r="AV26" s="135" t="str">
        <f aca="false">IF(ISBLANK($C26),"",IF(ISNUMBER(U26),IF(U26&gt;=0,U26,""),""))</f>
        <v/>
      </c>
      <c r="AW26" s="135" t="str">
        <f aca="false">IF(ISBLANK($C26),"",IF(V26=Constants!$B$3,TRUE(),IF(V26=Constants!$B$4,FALSE(),TRUE())))</f>
        <v/>
      </c>
      <c r="AX26" s="133" t="str">
        <f aca="false">IF(ISBLANK($C26),"",IF(ISNUMBER(W26),IF(W26&gt;=0,W26,""),""))</f>
        <v/>
      </c>
      <c r="AY26" s="133" t="str">
        <f aca="false">IF(ISBLANK($C26),"",IF(X26=Constants!$B$3,TRUE(),IF(X26=Constants!$B$4,FALSE(),FALSE())))</f>
        <v/>
      </c>
      <c r="AZ26" s="133" t="str">
        <f aca="false">IF(ISBLANK($C26),"",MIN(Constants!$B$31,MAX(0,IF(ISNUMBER(Y26),Y26*60,0)+IF(ISNUMBER(Z26),Z26,0))))</f>
        <v/>
      </c>
      <c r="BA26" s="133" t="str">
        <f aca="false">IF(ISBLANK($C26),"",IF(AA26=Constants!$B$3,TRUE(),IF(AA26=Constants!$B$4,FALSE(),FALSE())))</f>
        <v/>
      </c>
      <c r="BB26" s="132" t="str">
        <f aca="false">IF(ISBLANK($C26),"",AND($AL26,OR($AM26="",$AN26="",AND($AO26,$AP26=""))))</f>
        <v/>
      </c>
      <c r="BC26" s="135" t="str">
        <f aca="false">IF($BR26&lt;&gt;Constants!$B$8,"",IF($AL26,Constants!$B$21*$AN26+Constants!$B$22*IF($AO26,$AP26,Constants!$B$23),Constants!$B$24))</f>
        <v/>
      </c>
      <c r="BD26" s="136" t="str">
        <f aca="false">IF($BR26&lt;&gt;Constants!$B$8,"",Constants!$B$25*ABS($AD$9-IF($AL26,$AM26,0)))</f>
        <v/>
      </c>
      <c r="BE26" s="136" t="str">
        <f aca="false">IF($BR26&lt;&gt;Constants!$B$8,"",IF(AND($AL26,$AQ26,$AO26),Constants!$B$27,0))</f>
        <v/>
      </c>
      <c r="BF26" s="136" t="str">
        <f aca="false">IF($BR26&lt;&gt;Constants!$B$8,"",IF($AL26,($AI26-Constants!$B$29)*Constants!$B$28,0))</f>
        <v/>
      </c>
      <c r="BG26" s="136" t="str">
        <f aca="false">IF($BR26&lt;&gt;Constants!$B$8,"",IF($AK26,0,Constants!$B$15)+IF($AJ26,0,Constants!$B$16)+IF($AH26,0,Constants!$B$17))</f>
        <v/>
      </c>
      <c r="BH26" s="137" t="str">
        <f aca="false">IF($BR26&lt;&gt;Constants!$B$8,"",Constants!$B$20+SUM($BC26:$BG26))</f>
        <v/>
      </c>
      <c r="BI26" s="133" t="str">
        <f aca="false">IF($BR26&lt;&gt;Constants!$B$8,"",IF(OR($BP26&lt;$BH26,AND($BP26=$BH26,OR($BK26&lt;$BC26,AND($BK26=$BC26,OR($BL26&lt;$BD26,AND($BL26=$BD26,$AT26,$AL26,$AV26&lt;$AN26)))))),"-&gt;","&lt;-"))</f>
        <v/>
      </c>
      <c r="BJ26" s="132" t="str">
        <f aca="false">IF(ISBLANK($C26),"",AND($AT26,OR($AU26="",$AV26="",AND($AW26,$AX26=""))))</f>
        <v/>
      </c>
      <c r="BK26" s="135" t="str">
        <f aca="false">IF($BR26&lt;&gt;Constants!$B$8,"",IF($AT26,Constants!$B$21*$AV26+Constants!$B$22*IF($AW26,$AX26,Constants!$B$23),Constants!$B$24))</f>
        <v/>
      </c>
      <c r="BL26" s="136" t="str">
        <f aca="false">IF($BR26&lt;&gt;Constants!$B$8,"",Constants!$B$25*ABS($AD$9-IF($AT26,$AU26,0)))</f>
        <v/>
      </c>
      <c r="BM26" s="136" t="str">
        <f aca="false">IF($BR26&lt;&gt;Constants!$B$8,"",IF(AND($AT26,$AY26,$AW26),Constants!$B$27,0))</f>
        <v/>
      </c>
      <c r="BN26" s="136" t="str">
        <f aca="false">IF($BR26&lt;&gt;Constants!$B$8,"",IF($AT26,($AI26-Constants!$B$29)*Constants!$B$28,0))</f>
        <v/>
      </c>
      <c r="BO26" s="136" t="str">
        <f aca="false">IF($BR26&lt;&gt;Constants!$B$8,"",IF($AS26,0,Constants!$B$15)+IF($AR26,0,Constants!$B$16)+IF($AH26,0,Constants!$B$17))</f>
        <v/>
      </c>
      <c r="BP26" s="137" t="str">
        <f aca="false">IF($BR26&lt;&gt;Constants!$B$8,"",Constants!$B$20+SUM($BK26:$BO26))</f>
        <v/>
      </c>
      <c r="BQ26" s="133" t="str">
        <f aca="false">IF(ISBLANK($C26),"",IF(ISBLANK($D$7),$BQ$5,IF(NOT(ISNUMBER($D$7)),$BQ$6,"")))</f>
        <v/>
      </c>
      <c r="BR26" s="133" t="str">
        <f aca="false">IF(ISBLANK($C26),"",IF($BA26,Constants!$B$11,IF(COUNTA($E26:$AA26)=0,Constants!$B$10,IF(NOT($AG26),Constants!$B$9,IF(OR($BQ26&lt;&gt;"",$BB26,$BJ26),Constants!$B$12,Constants!$B$8)))))</f>
        <v/>
      </c>
      <c r="BS26" s="133" t="str">
        <f aca="false">IF(ISBLANK($C26),"",IF($BR26&lt;&gt;Constants!$B$8,$BR26,Constants!$B$13))</f>
        <v/>
      </c>
      <c r="BT26" s="136" t="str">
        <f aca="false">IF($BR26&lt;&gt;Constants!$B$8,"",IF($BI26="-&gt;",$BP26,$BH26))</f>
        <v/>
      </c>
      <c r="BU26" s="136" t="str">
        <f aca="false">IF($BR26&lt;&gt;Constants!$B$8,"",IF($AF26,0,Constants!$B$18))</f>
        <v/>
      </c>
      <c r="BV26" s="136" t="str">
        <f aca="false">IF($BR26&lt;&gt;Constants!$B$8,"",((Constants!$B$31-$AZ26)-Constants!$B$31)/Constants!$B$32)</f>
        <v/>
      </c>
      <c r="BW26" s="136" t="str">
        <f aca="false">IF(ISBLANK($C26),"",IF($BR26&lt;&gt;Constants!$B$8,$BR26,SUM($BT26:$BV26)))</f>
        <v/>
      </c>
      <c r="BX26" s="133" t="str">
        <f aca="false">IF(ISBLANK($C26),"",IF($BR26&lt;&gt;Constants!$B$8,$BR26,RANK($BW26,$BW$9:$BW$508,1)))</f>
        <v/>
      </c>
      <c r="BY26" s="136" t="str">
        <f aca="false">IF($BR26&lt;&gt;Constants!$B$8,"",IF($BI26="-&gt;",$BK26,$BC26))</f>
        <v/>
      </c>
      <c r="BZ26" s="133" t="str">
        <f aca="false">IF(ISBLANK($C26),"",IF($BR26&lt;&gt;Constants!$B$8,$BR26,IF(ISNUMBER($BY26),RANK($BY26,$BY$9:$BY$508,1),COUNT($BY$9:$BY$508)+1)))</f>
        <v/>
      </c>
      <c r="CA26" s="136" t="str">
        <f aca="false">IF($BR26&lt;&gt;Constants!$B$8,"",IF($BI26="-&gt;",$BL26,$BD26))</f>
        <v/>
      </c>
      <c r="CB26" s="133" t="str">
        <f aca="false">IF(ISBLANK($C26),"",IF($BR26&lt;&gt;Constants!$B$8,$BR26,IF(ISNUMBER($CA26),RANK($CA26,$CA$9:$CA$508,1),COUNT($CA$9:$CA$508)+1)))</f>
        <v/>
      </c>
      <c r="CC26" s="136" t="str">
        <f aca="false">IF($BR26&lt;&gt;Constants!$B$8,"",IF($BI26="-&gt;",IF($AT26,$AV26,""),IF($AL26,$AN26,"")))</f>
        <v/>
      </c>
      <c r="CD26" s="133" t="str">
        <f aca="false">IF(ISBLANK($C26),"",IF($BR26&lt;&gt;Constants!$B$8,$BR26,IF(ISNUMBER($CC26),RANK($CC26,$CC$9:$CC$508,1),COUNT($CC$9:$CC$508)+1)))</f>
        <v/>
      </c>
      <c r="CE26" s="136" t="str">
        <f aca="false">IF($BR26&lt;&gt;Constants!$B$8,"",IF(AND(NOT($AL26),NOT($AT26),$AJ26,$AK26,$AR26,$AS26),"",$AI26))</f>
        <v/>
      </c>
      <c r="CF26" s="133" t="str">
        <f aca="false">IF(ISBLANK($C26),"",IF($BR26&lt;&gt;Constants!$B$8,$BR26,IF(ISNUMBER($CE26),RANK($CE26,$CE$9:$CE$508,1),COUNT($CE$9:$CE$508)+1)))</f>
        <v/>
      </c>
      <c r="CG26" s="133" t="str">
        <f aca="false">IF(ISBLANK($C26),"",IF($BR26&lt;&gt;Constants!$B$8,$BR26,COUNTIFS($BX$9:$BX$508,"&lt;"&amp;$BX26)+COUNTIFS($BX$9:$BX$508,$BX26,$BZ$9:$BZ$508,"&lt;"&amp;$BZ26)+COUNTIFS($BX$9:$BX$508,$BX26,$BZ$9:$BZ$508,$BZ26,$CB$9:$CB$508,"&lt;"&amp;$CB26)+COUNTIFS($BX$9:$BX$508,$BX26,$BZ$9:$BZ$508,$BZ26,$CB$9:$CB$508,$CB26,$CD$9:$CD$508,"&lt;"&amp;$CD26)+COUNTIFS($BX$9:$BX$508,$BX26,$BZ$9:$BZ$508,$BZ26,$CB$9:$CB$508,$CB26,$CD$9:$CD$508,$CD26,$CF$9:$CF$508,"&lt;"&amp;$CF26)+1))</f>
        <v/>
      </c>
      <c r="CH26" s="133" t="str">
        <f aca="false">IF(ISBLANK($C26),"",IF($BR26&lt;&gt;Constants!$B$8,$BR26,$BX26-$CG26))</f>
        <v/>
      </c>
      <c r="CI26" s="138"/>
      <c r="CJ26" s="139"/>
      <c r="CK26" s="140" t="str">
        <f aca="false">IF(ISBLANK($C26),"",IF($BR26=Constants!$B$12,$BQ26,""))</f>
        <v/>
      </c>
      <c r="CL26" s="139" t="str">
        <f aca="false">IF(ISBLANK($C26),"",IF($BR26&lt;&gt;Constants!$B$8,"",IF($BI26="-&gt;",2,1)))</f>
        <v/>
      </c>
      <c r="CM26" s="141" t="str">
        <f aca="false">IF(ISBLANK($C26),"",IF($BR26&lt;&gt;Constants!$B$8,"",IF($BI26="-&gt;",$BK26,$BC26)))</f>
        <v/>
      </c>
      <c r="CN26" s="141" t="str">
        <f aca="false">IF(ISBLANK($C26),"",IF($BR26&lt;&gt;Constants!$B$8,"",IF($BI26="-&gt;",$BL26,$BD26)))</f>
        <v/>
      </c>
      <c r="CO26" s="141" t="str">
        <f aca="false">IF(ISBLANK($C26),"",IF($BR26&lt;&gt;Constants!$B$8,"",IF($BI26="-&gt;",$BM26+$BN26,$BE26+$BF26)+$BV26))</f>
        <v/>
      </c>
      <c r="CP26" s="141" t="str">
        <f aca="false">IF(ISBLANK($C26),"",IF($BR26&lt;&gt;Constants!$B$8,"",IF($BI26="-&gt;",$BO26,$BG26)+$BU26))</f>
        <v/>
      </c>
      <c r="CQ26" s="142" t="str">
        <f aca="false">IF(ISBLANK($C26),"",IF($BR26&lt;&gt;Constants!$B$8,$BR26,$BW26))</f>
        <v/>
      </c>
      <c r="CR26" s="143" t="str">
        <f aca="false">IF(ISBLANK($C26),"",$BS26)</f>
        <v/>
      </c>
      <c r="CS26" s="144" t="str">
        <f aca="false">IF(ISBLANK($C26),"",$CH26)</f>
        <v/>
      </c>
      <c r="CT26" s="144" t="str">
        <f aca="false">IF(ISBLANK($C26),"",$CG26)</f>
        <v/>
      </c>
      <c r="CU26" s="145" t="str">
        <f aca="false">IF(ISBLANK($C26),"",IFERROR(_xlfn.SWITCH($CT26,Constants!$B$11,COUNTA($C$9:$C$508)+2,Constants!$B$10,COUNTA($C$9:$C$508)+1,Constants!$B$9,COUNTA($C$9:$C$508)),$CT26))</f>
        <v/>
      </c>
      <c r="CV26" s="9"/>
      <c r="CW26" s="146" t="n">
        <f aca="false">IF(OR(ISNUMBER($CT26),$CT26=Constants!$B$11,$CT26=Constants!$B$9,$CT26=Constants!$B$10),1,0)</f>
        <v>0</v>
      </c>
      <c r="CX26" s="146" t="n">
        <v>18</v>
      </c>
      <c r="CY26" s="146" t="str">
        <f aca="false">IF(ISBLANK($C26),"",IF(ISNUMBER($CU26),$CU26+ROW($B26)/1000,""))</f>
        <v/>
      </c>
      <c r="CZ26" s="146" t="str">
        <f aca="false">IF(ISNUMBER($CY26),RANK($CY26,$CY$9:$CY$508,1),"")</f>
        <v/>
      </c>
      <c r="DA26" s="146" t="str">
        <f aca="false">IF(ISBLANK($C26),"",$B26)</f>
        <v/>
      </c>
      <c r="DB26" s="146" t="str">
        <f aca="false">IF(ISBLANK($C26),"",$C26)</f>
        <v/>
      </c>
      <c r="DC26" s="146" t="str">
        <f aca="false">IF(ISBLANK($C26),"",$D26)</f>
        <v/>
      </c>
      <c r="DD26" s="147" t="str">
        <f aca="false">$CR26</f>
        <v/>
      </c>
      <c r="DE26" s="148" t="str">
        <f aca="false">$CQ26</f>
        <v/>
      </c>
      <c r="DF26" s="146" t="str">
        <f aca="false">IF(ISBLANK($C26),"",$CT26)</f>
        <v/>
      </c>
      <c r="DG26" s="149" t="str">
        <f aca="false">IF($CX26&gt;$CW$8,"",VLOOKUP($CX26,$CZ$9:$DF$508,7,FALSE()))</f>
        <v/>
      </c>
      <c r="DH26" s="150" t="str">
        <f aca="false">IF($CX26&gt;$CW$8,"",VLOOKUP($CX26,$CZ$9:$DF$508,2,FALSE()))</f>
        <v/>
      </c>
      <c r="DI26" s="150" t="str">
        <f aca="false">IF($CX26&gt;$CW$8,"",VLOOKUP($CX26,$CZ$9:$DF$508,3,FALSE()))</f>
        <v/>
      </c>
      <c r="DJ26" s="150" t="str">
        <f aca="false">IF($CX26&gt;$CW$8,"",VLOOKUP($CX26,$CZ$9:$DF$508,4,FALSE()))</f>
        <v/>
      </c>
      <c r="DK26" s="150" t="str">
        <f aca="false">IF($CX26&gt;$CW$8,"",VLOOKUP($CX26,$CZ$9:$DF$508,5,FALSE()))</f>
        <v/>
      </c>
      <c r="DL26" s="151" t="str">
        <f aca="false">IF($CX26&gt;$CW$8,"",VLOOKUP($CX26,$CZ$9:$DF$508,6,FALSE()))</f>
        <v/>
      </c>
      <c r="DM26" s="75"/>
    </row>
    <row r="27" customFormat="false" ht="15.75" hidden="false" customHeight="false" outlineLevel="0" collapsed="false">
      <c r="A27" s="9"/>
      <c r="B27" s="77"/>
      <c r="C27" s="78"/>
      <c r="D27" s="167"/>
      <c r="E27" s="168"/>
      <c r="F27" s="169"/>
      <c r="G27" s="170"/>
      <c r="H27" s="170"/>
      <c r="I27" s="171"/>
      <c r="J27" s="172"/>
      <c r="K27" s="85"/>
      <c r="L27" s="86"/>
      <c r="M27" s="87"/>
      <c r="N27" s="172"/>
      <c r="O27" s="172"/>
      <c r="P27" s="168"/>
      <c r="Q27" s="172"/>
      <c r="R27" s="172"/>
      <c r="S27" s="85"/>
      <c r="T27" s="87"/>
      <c r="U27" s="87"/>
      <c r="V27" s="172"/>
      <c r="W27" s="172"/>
      <c r="X27" s="168"/>
      <c r="Y27" s="173"/>
      <c r="Z27" s="174"/>
      <c r="AA27" s="173"/>
      <c r="AB27" s="91"/>
      <c r="AC27" s="92"/>
      <c r="AD27" s="92"/>
      <c r="AE27" s="92"/>
      <c r="AF27" s="92" t="str">
        <f aca="false">IF(ISBLANK($C27),"",IF(E27=Constants!$B$3,TRUE(),IF(E27=Constants!$B$4,FALSE(),TRUE())))</f>
        <v/>
      </c>
      <c r="AG27" s="92" t="str">
        <f aca="false">IF(ISBLANK($C27),"",IF(F27=Constants!$B$3,TRUE(),IF(F27=Constants!$B$4,FALSE(),TRUE())))</f>
        <v/>
      </c>
      <c r="AH27" s="92" t="str">
        <f aca="false">IF(ISBLANK($C27),"",IF(G27=Constants!$B$3,TRUE(),IF(G27=Constants!$B$4,FALSE(),TRUE())))</f>
        <v/>
      </c>
      <c r="AI27" s="92" t="str">
        <f aca="false">IF(ISBLANK($C27),"",IF(AND(ISNUMBER(H27),H27&gt;=0),H27,Constants!$B$29))</f>
        <v/>
      </c>
      <c r="AJ27" s="92" t="str">
        <f aca="false">IF(ISBLANK($C27),"",IF(I27=Constants!$B$3,TRUE(),IF(I27=Constants!$B$4,FALSE(),TRUE())))</f>
        <v/>
      </c>
      <c r="AK27" s="92" t="str">
        <f aca="false">IF(ISBLANK($C27),"",IF(J27=Constants!$B$3,TRUE(),IF(J27=Constants!$B$4,FALSE(),TRUE())))</f>
        <v/>
      </c>
      <c r="AL27" s="92" t="str">
        <f aca="false">IF(ISBLANK($C27),"",IF(K27=Constants!$B$5,TRUE(),IF(K27=Constants!$B$6,FALSE(),COUNTA(L27:P27)&gt;0)))</f>
        <v/>
      </c>
      <c r="AM27" s="94" t="str">
        <f aca="false">IF(ISBLANK($C27),"",IF(ISNUMBER(L27),IF(L27&gt;=0,L27,""),""))</f>
        <v/>
      </c>
      <c r="AN27" s="93" t="str">
        <f aca="false">IF(ISBLANK($C27),"",IF(ISNUMBER(M27),IF(M27&gt;=0,M27,""),""))</f>
        <v/>
      </c>
      <c r="AO27" s="93" t="str">
        <f aca="false">IF(ISBLANK($C27),"",IF(N27=Constants!$B$3,TRUE(),IF(N27=Constants!$B$4,FALSE(),TRUE())))</f>
        <v/>
      </c>
      <c r="AP27" s="92" t="str">
        <f aca="false">IF(ISBLANK($C27),"",IF(ISNUMBER(O27),IF(O27&gt;=0,O27,""),""))</f>
        <v/>
      </c>
      <c r="AQ27" s="92" t="str">
        <f aca="false">IF(ISBLANK($C27),"",IF(P27=Constants!$B$3,TRUE(),IF(P27=Constants!$B$4,FALSE(),FALSE())))</f>
        <v/>
      </c>
      <c r="AR27" s="92" t="str">
        <f aca="false">IF(ISBLANK($C27),"",IF(Q27=Constants!$B$3,TRUE(),IF(Q27=Constants!$B$4,FALSE(),TRUE())))</f>
        <v/>
      </c>
      <c r="AS27" s="92" t="str">
        <f aca="false">IF(ISBLANK($C27),"",IF(R27=Constants!$B$3,TRUE(),IF(R27=Constants!$B$4,FALSE(),TRUE())))</f>
        <v/>
      </c>
      <c r="AT27" s="92" t="str">
        <f aca="false">IF(ISBLANK($C27),"",IF(S27=Constants!$B$5,TRUE(),IF(S27=Constants!$B$6,FALSE(),COUNTA(T27:X27)&gt;0)))</f>
        <v/>
      </c>
      <c r="AU27" s="94" t="str">
        <f aca="false">IF(ISBLANK($C27),"",IF(ISNUMBER(T27),IF(T27&gt;=0,T27,""),""))</f>
        <v/>
      </c>
      <c r="AV27" s="93" t="str">
        <f aca="false">IF(ISBLANK($C27),"",IF(ISNUMBER(U27),IF(U27&gt;=0,U27,""),""))</f>
        <v/>
      </c>
      <c r="AW27" s="93" t="str">
        <f aca="false">IF(ISBLANK($C27),"",IF(V27=Constants!$B$3,TRUE(),IF(V27=Constants!$B$4,FALSE(),TRUE())))</f>
        <v/>
      </c>
      <c r="AX27" s="92" t="str">
        <f aca="false">IF(ISBLANK($C27),"",IF(ISNUMBER(W27),IF(W27&gt;=0,W27,""),""))</f>
        <v/>
      </c>
      <c r="AY27" s="92" t="str">
        <f aca="false">IF(ISBLANK($C27),"",IF(X27=Constants!$B$3,TRUE(),IF(X27=Constants!$B$4,FALSE(),FALSE())))</f>
        <v/>
      </c>
      <c r="AZ27" s="92" t="str">
        <f aca="false">IF(ISBLANK($C27),"",MIN(Constants!$B$31,MAX(0,IF(ISNUMBER(Y27),Y27*60,0)+IF(ISNUMBER(Z27),Z27,0))))</f>
        <v/>
      </c>
      <c r="BA27" s="92" t="str">
        <f aca="false">IF(ISBLANK($C27),"",IF(AA27=Constants!$B$3,TRUE(),IF(AA27=Constants!$B$4,FALSE(),FALSE())))</f>
        <v/>
      </c>
      <c r="BB27" s="91" t="str">
        <f aca="false">IF(ISBLANK($C27),"",AND($AL27,OR($AM27="",$AN27="",AND($AO27,$AP27=""))))</f>
        <v/>
      </c>
      <c r="BC27" s="93" t="str">
        <f aca="false">IF($BR27&lt;&gt;Constants!$B$8,"",IF($AL27,Constants!$B$21*$AN27+Constants!$B$22*IF($AO27,$AP27,Constants!$B$23),Constants!$B$24))</f>
        <v/>
      </c>
      <c r="BD27" s="96" t="str">
        <f aca="false">IF($BR27&lt;&gt;Constants!$B$8,"",Constants!$B$25*ABS($AD$9-IF($AL27,$AM27,0)))</f>
        <v/>
      </c>
      <c r="BE27" s="96" t="str">
        <f aca="false">IF($BR27&lt;&gt;Constants!$B$8,"",IF(AND($AL27,$AQ27,$AO27),Constants!$B$27,0))</f>
        <v/>
      </c>
      <c r="BF27" s="96" t="str">
        <f aca="false">IF($BR27&lt;&gt;Constants!$B$8,"",IF($AL27,($AI27-Constants!$B$29)*Constants!$B$28,0))</f>
        <v/>
      </c>
      <c r="BG27" s="96" t="str">
        <f aca="false">IF($BR27&lt;&gt;Constants!$B$8,"",IF($AK27,0,Constants!$B$15)+IF($AJ27,0,Constants!$B$16)+IF($AH27,0,Constants!$B$17))</f>
        <v/>
      </c>
      <c r="BH27" s="97" t="str">
        <f aca="false">IF($BR27&lt;&gt;Constants!$B$8,"",Constants!$B$20+SUM($BC27:$BG27))</f>
        <v/>
      </c>
      <c r="BI27" s="92" t="str">
        <f aca="false">IF($BR27&lt;&gt;Constants!$B$8,"",IF(OR($BP27&lt;$BH27,AND($BP27=$BH27,OR($BK27&lt;$BC27,AND($BK27=$BC27,OR($BL27&lt;$BD27,AND($BL27=$BD27,$AT27,$AL27,$AV27&lt;$AN27)))))),"-&gt;","&lt;-"))</f>
        <v/>
      </c>
      <c r="BJ27" s="91" t="str">
        <f aca="false">IF(ISBLANK($C27),"",AND($AT27,OR($AU27="",$AV27="",AND($AW27,$AX27=""))))</f>
        <v/>
      </c>
      <c r="BK27" s="93" t="str">
        <f aca="false">IF($BR27&lt;&gt;Constants!$B$8,"",IF($AT27,Constants!$B$21*$AV27+Constants!$B$22*IF($AW27,$AX27,Constants!$B$23),Constants!$B$24))</f>
        <v/>
      </c>
      <c r="BL27" s="96" t="str">
        <f aca="false">IF($BR27&lt;&gt;Constants!$B$8,"",Constants!$B$25*ABS($AD$9-IF($AT27,$AU27,0)))</f>
        <v/>
      </c>
      <c r="BM27" s="96" t="str">
        <f aca="false">IF($BR27&lt;&gt;Constants!$B$8,"",IF(AND($AT27,$AY27,$AW27),Constants!$B$27,0))</f>
        <v/>
      </c>
      <c r="BN27" s="96" t="str">
        <f aca="false">IF($BR27&lt;&gt;Constants!$B$8,"",IF($AT27,($AI27-Constants!$B$29)*Constants!$B$28,0))</f>
        <v/>
      </c>
      <c r="BO27" s="96" t="str">
        <f aca="false">IF($BR27&lt;&gt;Constants!$B$8,"",IF($AS27,0,Constants!$B$15)+IF($AR27,0,Constants!$B$16)+IF($AH27,0,Constants!$B$17))</f>
        <v/>
      </c>
      <c r="BP27" s="97" t="str">
        <f aca="false">IF($BR27&lt;&gt;Constants!$B$8,"",Constants!$B$20+SUM($BK27:$BO27))</f>
        <v/>
      </c>
      <c r="BQ27" s="92" t="str">
        <f aca="false">IF(ISBLANK($C27),"",IF(ISBLANK($D$7),$BQ$5,IF(NOT(ISNUMBER($D$7)),$BQ$6,"")))</f>
        <v/>
      </c>
      <c r="BR27" s="92" t="str">
        <f aca="false">IF(ISBLANK($C27),"",IF($BA27,Constants!$B$11,IF(COUNTA($E27:$AA27)=0,Constants!$B$10,IF(NOT($AG27),Constants!$B$9,IF(OR($BQ27&lt;&gt;"",$BB27,$BJ27),Constants!$B$12,Constants!$B$8)))))</f>
        <v/>
      </c>
      <c r="BS27" s="92" t="str">
        <f aca="false">IF(ISBLANK($C27),"",IF($BR27&lt;&gt;Constants!$B$8,$BR27,Constants!$B$13))</f>
        <v/>
      </c>
      <c r="BT27" s="96" t="str">
        <f aca="false">IF($BR27&lt;&gt;Constants!$B$8,"",IF($BI27="-&gt;",$BP27,$BH27))</f>
        <v/>
      </c>
      <c r="BU27" s="96" t="str">
        <f aca="false">IF($BR27&lt;&gt;Constants!$B$8,"",IF($AF27,0,Constants!$B$18))</f>
        <v/>
      </c>
      <c r="BV27" s="96" t="str">
        <f aca="false">IF($BR27&lt;&gt;Constants!$B$8,"",((Constants!$B$31-$AZ27)-Constants!$B$31)/Constants!$B$32)</f>
        <v/>
      </c>
      <c r="BW27" s="96" t="str">
        <f aca="false">IF(ISBLANK($C27),"",IF($BR27&lt;&gt;Constants!$B$8,$BR27,SUM($BT27:$BV27)))</f>
        <v/>
      </c>
      <c r="BX27" s="92" t="str">
        <f aca="false">IF(ISBLANK($C27),"",IF($BR27&lt;&gt;Constants!$B$8,$BR27,RANK($BW27,$BW$9:$BW$508,1)))</f>
        <v/>
      </c>
      <c r="BY27" s="96" t="str">
        <f aca="false">IF($BR27&lt;&gt;Constants!$B$8,"",IF($BI27="-&gt;",$BK27,$BC27))</f>
        <v/>
      </c>
      <c r="BZ27" s="92" t="str">
        <f aca="false">IF(ISBLANK($C27),"",IF($BR27&lt;&gt;Constants!$B$8,$BR27,IF(ISNUMBER($BY27),RANK($BY27,$BY$9:$BY$508,1),COUNT($BY$9:$BY$508)+1)))</f>
        <v/>
      </c>
      <c r="CA27" s="96" t="str">
        <f aca="false">IF($BR27&lt;&gt;Constants!$B$8,"",IF($BI27="-&gt;",$BL27,$BD27))</f>
        <v/>
      </c>
      <c r="CB27" s="92" t="str">
        <f aca="false">IF(ISBLANK($C27),"",IF($BR27&lt;&gt;Constants!$B$8,$BR27,IF(ISNUMBER($CA27),RANK($CA27,$CA$9:$CA$508,1),COUNT($CA$9:$CA$508)+1)))</f>
        <v/>
      </c>
      <c r="CC27" s="96" t="str">
        <f aca="false">IF($BR27&lt;&gt;Constants!$B$8,"",IF($BI27="-&gt;",IF($AT27,$AV27,""),IF($AL27,$AN27,"")))</f>
        <v/>
      </c>
      <c r="CD27" s="92" t="str">
        <f aca="false">IF(ISBLANK($C27),"",IF($BR27&lt;&gt;Constants!$B$8,$BR27,IF(ISNUMBER($CC27),RANK($CC27,$CC$9:$CC$508,1),COUNT($CC$9:$CC$508)+1)))</f>
        <v/>
      </c>
      <c r="CE27" s="96" t="str">
        <f aca="false">IF($BR27&lt;&gt;Constants!$B$8,"",IF(AND(NOT($AL27),NOT($AT27),$AJ27,$AK27,$AR27,$AS27),"",$AI27))</f>
        <v/>
      </c>
      <c r="CF27" s="92" t="str">
        <f aca="false">IF(ISBLANK($C27),"",IF($BR27&lt;&gt;Constants!$B$8,$BR27,IF(ISNUMBER($CE27),RANK($CE27,$CE$9:$CE$508,1),COUNT($CE$9:$CE$508)+1)))</f>
        <v/>
      </c>
      <c r="CG27" s="92" t="str">
        <f aca="false">IF(ISBLANK($C27),"",IF($BR27&lt;&gt;Constants!$B$8,$BR27,COUNTIFS($BX$9:$BX$508,"&lt;"&amp;$BX27)+COUNTIFS($BX$9:$BX$508,$BX27,$BZ$9:$BZ$508,"&lt;"&amp;$BZ27)+COUNTIFS($BX$9:$BX$508,$BX27,$BZ$9:$BZ$508,$BZ27,$CB$9:$CB$508,"&lt;"&amp;$CB27)+COUNTIFS($BX$9:$BX$508,$BX27,$BZ$9:$BZ$508,$BZ27,$CB$9:$CB$508,$CB27,$CD$9:$CD$508,"&lt;"&amp;$CD27)+COUNTIFS($BX$9:$BX$508,$BX27,$BZ$9:$BZ$508,$BZ27,$CB$9:$CB$508,$CB27,$CD$9:$CD$508,$CD27,$CF$9:$CF$508,"&lt;"&amp;$CF27)+1))</f>
        <v/>
      </c>
      <c r="CH27" s="92" t="str">
        <f aca="false">IF(ISBLANK($C27),"",IF($BR27&lt;&gt;Constants!$B$8,$BR27,$BX27-$CG27))</f>
        <v/>
      </c>
      <c r="CI27" s="98"/>
      <c r="CJ27" s="99"/>
      <c r="CK27" s="100" t="str">
        <f aca="false">IF(ISBLANK($C27),"",IF($BR27=Constants!$B$12,$BQ27,""))</f>
        <v/>
      </c>
      <c r="CL27" s="99" t="str">
        <f aca="false">IF(ISBLANK($C27),"",IF($BR27&lt;&gt;Constants!$B$8,"",IF($BI27="-&gt;",2,1)))</f>
        <v/>
      </c>
      <c r="CM27" s="101" t="str">
        <f aca="false">IF(ISBLANK($C27),"",IF($BR27&lt;&gt;Constants!$B$8,"",IF($BI27="-&gt;",$BK27,$BC27)))</f>
        <v/>
      </c>
      <c r="CN27" s="101" t="str">
        <f aca="false">IF(ISBLANK($C27),"",IF($BR27&lt;&gt;Constants!$B$8,"",IF($BI27="-&gt;",$BL27,$BD27)))</f>
        <v/>
      </c>
      <c r="CO27" s="101" t="str">
        <f aca="false">IF(ISBLANK($C27),"",IF($BR27&lt;&gt;Constants!$B$8,"",IF($BI27="-&gt;",$BM27+$BN27,$BE27+$BF27)+$BV27))</f>
        <v/>
      </c>
      <c r="CP27" s="101" t="str">
        <f aca="false">IF(ISBLANK($C27),"",IF($BR27&lt;&gt;Constants!$B$8,"",IF($BI27="-&gt;",$BO27,$BG27)+$BU27))</f>
        <v/>
      </c>
      <c r="CQ27" s="102" t="str">
        <f aca="false">IF(ISBLANK($C27),"",IF($BR27&lt;&gt;Constants!$B$8,$BR27,$BW27))</f>
        <v/>
      </c>
      <c r="CR27" s="103" t="str">
        <f aca="false">IF(ISBLANK($C27),"",$BS27)</f>
        <v/>
      </c>
      <c r="CS27" s="104" t="str">
        <f aca="false">IF(ISBLANK($C27),"",$CH27)</f>
        <v/>
      </c>
      <c r="CT27" s="104" t="str">
        <f aca="false">IF(ISBLANK($C27),"",$CG27)</f>
        <v/>
      </c>
      <c r="CU27" s="105" t="str">
        <f aca="false">IF(ISBLANK($C27),"",IFERROR(_xlfn.SWITCH($CT27,Constants!$B$11,COUNTA($C$9:$C$508)+2,Constants!$B$10,COUNTA($C$9:$C$508)+1,Constants!$B$9,COUNTA($C$9:$C$508)),$CT27))</f>
        <v/>
      </c>
      <c r="CV27" s="9"/>
      <c r="CW27" s="106" t="n">
        <f aca="false">IF(OR(ISNUMBER($CT27),$CT27=Constants!$B$11,$CT27=Constants!$B$9,$CT27=Constants!$B$10),1,0)</f>
        <v>0</v>
      </c>
      <c r="CX27" s="106" t="n">
        <v>19</v>
      </c>
      <c r="CY27" s="106" t="str">
        <f aca="false">IF(ISBLANK($C27),"",IF(ISNUMBER($CU27),$CU27+ROW($B27)/1000,""))</f>
        <v/>
      </c>
      <c r="CZ27" s="106" t="str">
        <f aca="false">IF(ISNUMBER($CY27),RANK($CY27,$CY$9:$CY$508,1),"")</f>
        <v/>
      </c>
      <c r="DA27" s="106" t="str">
        <f aca="false">IF(ISBLANK($C27),"",$B27)</f>
        <v/>
      </c>
      <c r="DB27" s="106" t="str">
        <f aca="false">IF(ISBLANK($C27),"",$C27)</f>
        <v/>
      </c>
      <c r="DC27" s="106" t="str">
        <f aca="false">IF(ISBLANK($C27),"",$D27)</f>
        <v/>
      </c>
      <c r="DD27" s="107" t="str">
        <f aca="false">$CR27</f>
        <v/>
      </c>
      <c r="DE27" s="108" t="str">
        <f aca="false">$CQ27</f>
        <v/>
      </c>
      <c r="DF27" s="106" t="str">
        <f aca="false">IF(ISBLANK($C27),"",$CT27)</f>
        <v/>
      </c>
      <c r="DG27" s="109" t="str">
        <f aca="false">IF($CX27&gt;$CW$8,"",VLOOKUP($CX27,$CZ$9:$DF$508,7,FALSE()))</f>
        <v/>
      </c>
      <c r="DH27" s="110" t="str">
        <f aca="false">IF($CX27&gt;$CW$8,"",VLOOKUP($CX27,$CZ$9:$DF$508,2,FALSE()))</f>
        <v/>
      </c>
      <c r="DI27" s="110" t="str">
        <f aca="false">IF($CX27&gt;$CW$8,"",VLOOKUP($CX27,$CZ$9:$DF$508,3,FALSE()))</f>
        <v/>
      </c>
      <c r="DJ27" s="110" t="str">
        <f aca="false">IF($CX27&gt;$CW$8,"",VLOOKUP($CX27,$CZ$9:$DF$508,4,FALSE()))</f>
        <v/>
      </c>
      <c r="DK27" s="110" t="str">
        <f aca="false">IF($CX27&gt;$CW$8,"",VLOOKUP($CX27,$CZ$9:$DF$508,5,FALSE()))</f>
        <v/>
      </c>
      <c r="DL27" s="111" t="str">
        <f aca="false">IF($CX27&gt;$CW$8,"",VLOOKUP($CX27,$CZ$9:$DF$508,6,FALSE()))</f>
        <v/>
      </c>
      <c r="DM27" s="75"/>
    </row>
    <row r="28" customFormat="false" ht="15.75" hidden="false" customHeight="false" outlineLevel="0" collapsed="false">
      <c r="A28" s="9"/>
      <c r="B28" s="77"/>
      <c r="C28" s="78"/>
      <c r="D28" s="167"/>
      <c r="E28" s="168"/>
      <c r="F28" s="169"/>
      <c r="G28" s="170"/>
      <c r="H28" s="170"/>
      <c r="I28" s="171"/>
      <c r="J28" s="172"/>
      <c r="K28" s="85"/>
      <c r="L28" s="86"/>
      <c r="M28" s="87"/>
      <c r="N28" s="172"/>
      <c r="O28" s="172"/>
      <c r="P28" s="168"/>
      <c r="Q28" s="172"/>
      <c r="R28" s="172"/>
      <c r="S28" s="85"/>
      <c r="T28" s="87"/>
      <c r="U28" s="87"/>
      <c r="V28" s="172"/>
      <c r="W28" s="172"/>
      <c r="X28" s="168"/>
      <c r="Y28" s="173"/>
      <c r="Z28" s="174"/>
      <c r="AA28" s="173"/>
      <c r="AB28" s="91"/>
      <c r="AC28" s="92"/>
      <c r="AD28" s="92"/>
      <c r="AE28" s="92"/>
      <c r="AF28" s="92" t="str">
        <f aca="false">IF(ISBLANK($C28),"",IF(E28=Constants!$B$3,TRUE(),IF(E28=Constants!$B$4,FALSE(),TRUE())))</f>
        <v/>
      </c>
      <c r="AG28" s="92" t="str">
        <f aca="false">IF(ISBLANK($C28),"",IF(F28=Constants!$B$3,TRUE(),IF(F28=Constants!$B$4,FALSE(),TRUE())))</f>
        <v/>
      </c>
      <c r="AH28" s="92" t="str">
        <f aca="false">IF(ISBLANK($C28),"",IF(G28=Constants!$B$3,TRUE(),IF(G28=Constants!$B$4,FALSE(),TRUE())))</f>
        <v/>
      </c>
      <c r="AI28" s="92" t="str">
        <f aca="false">IF(ISBLANK($C28),"",IF(AND(ISNUMBER(H28),H28&gt;=0),H28,Constants!$B$29))</f>
        <v/>
      </c>
      <c r="AJ28" s="92" t="str">
        <f aca="false">IF(ISBLANK($C28),"",IF(I28=Constants!$B$3,TRUE(),IF(I28=Constants!$B$4,FALSE(),TRUE())))</f>
        <v/>
      </c>
      <c r="AK28" s="92" t="str">
        <f aca="false">IF(ISBLANK($C28),"",IF(J28=Constants!$B$3,TRUE(),IF(J28=Constants!$B$4,FALSE(),TRUE())))</f>
        <v/>
      </c>
      <c r="AL28" s="92" t="str">
        <f aca="false">IF(ISBLANK($C28),"",IF(K28=Constants!$B$5,TRUE(),IF(K28=Constants!$B$6,FALSE(),COUNTA(L28:P28)&gt;0)))</f>
        <v/>
      </c>
      <c r="AM28" s="94" t="str">
        <f aca="false">IF(ISBLANK($C28),"",IF(ISNUMBER(L28),IF(L28&gt;=0,L28,""),""))</f>
        <v/>
      </c>
      <c r="AN28" s="93" t="str">
        <f aca="false">IF(ISBLANK($C28),"",IF(ISNUMBER(M28),IF(M28&gt;=0,M28,""),""))</f>
        <v/>
      </c>
      <c r="AO28" s="93" t="str">
        <f aca="false">IF(ISBLANK($C28),"",IF(N28=Constants!$B$3,TRUE(),IF(N28=Constants!$B$4,FALSE(),TRUE())))</f>
        <v/>
      </c>
      <c r="AP28" s="92" t="str">
        <f aca="false">IF(ISBLANK($C28),"",IF(ISNUMBER(O28),IF(O28&gt;=0,O28,""),""))</f>
        <v/>
      </c>
      <c r="AQ28" s="92" t="str">
        <f aca="false">IF(ISBLANK($C28),"",IF(P28=Constants!$B$3,TRUE(),IF(P28=Constants!$B$4,FALSE(),FALSE())))</f>
        <v/>
      </c>
      <c r="AR28" s="92" t="str">
        <f aca="false">IF(ISBLANK($C28),"",IF(Q28=Constants!$B$3,TRUE(),IF(Q28=Constants!$B$4,FALSE(),TRUE())))</f>
        <v/>
      </c>
      <c r="AS28" s="92" t="str">
        <f aca="false">IF(ISBLANK($C28),"",IF(R28=Constants!$B$3,TRUE(),IF(R28=Constants!$B$4,FALSE(),TRUE())))</f>
        <v/>
      </c>
      <c r="AT28" s="92" t="str">
        <f aca="false">IF(ISBLANK($C28),"",IF(S28=Constants!$B$5,TRUE(),IF(S28=Constants!$B$6,FALSE(),COUNTA(T28:X28)&gt;0)))</f>
        <v/>
      </c>
      <c r="AU28" s="94" t="str">
        <f aca="false">IF(ISBLANK($C28),"",IF(ISNUMBER(T28),IF(T28&gt;=0,T28,""),""))</f>
        <v/>
      </c>
      <c r="AV28" s="93" t="str">
        <f aca="false">IF(ISBLANK($C28),"",IF(ISNUMBER(U28),IF(U28&gt;=0,U28,""),""))</f>
        <v/>
      </c>
      <c r="AW28" s="93" t="str">
        <f aca="false">IF(ISBLANK($C28),"",IF(V28=Constants!$B$3,TRUE(),IF(V28=Constants!$B$4,FALSE(),TRUE())))</f>
        <v/>
      </c>
      <c r="AX28" s="92" t="str">
        <f aca="false">IF(ISBLANK($C28),"",IF(ISNUMBER(W28),IF(W28&gt;=0,W28,""),""))</f>
        <v/>
      </c>
      <c r="AY28" s="92" t="str">
        <f aca="false">IF(ISBLANK($C28),"",IF(X28=Constants!$B$3,TRUE(),IF(X28=Constants!$B$4,FALSE(),FALSE())))</f>
        <v/>
      </c>
      <c r="AZ28" s="92" t="str">
        <f aca="false">IF(ISBLANK($C28),"",MIN(Constants!$B$31,MAX(0,IF(ISNUMBER(Y28),Y28*60,0)+IF(ISNUMBER(Z28),Z28,0))))</f>
        <v/>
      </c>
      <c r="BA28" s="92" t="str">
        <f aca="false">IF(ISBLANK($C28),"",IF(AA28=Constants!$B$3,TRUE(),IF(AA28=Constants!$B$4,FALSE(),FALSE())))</f>
        <v/>
      </c>
      <c r="BB28" s="91" t="str">
        <f aca="false">IF(ISBLANK($C28),"",AND($AL28,OR($AM28="",$AN28="",AND($AO28,$AP28=""))))</f>
        <v/>
      </c>
      <c r="BC28" s="93" t="str">
        <f aca="false">IF($BR28&lt;&gt;Constants!$B$8,"",IF($AL28,Constants!$B$21*$AN28+Constants!$B$22*IF($AO28,$AP28,Constants!$B$23),Constants!$B$24))</f>
        <v/>
      </c>
      <c r="BD28" s="96" t="str">
        <f aca="false">IF($BR28&lt;&gt;Constants!$B$8,"",Constants!$B$25*ABS($AD$9-IF($AL28,$AM28,0)))</f>
        <v/>
      </c>
      <c r="BE28" s="96" t="str">
        <f aca="false">IF($BR28&lt;&gt;Constants!$B$8,"",IF(AND($AL28,$AQ28,$AO28),Constants!$B$27,0))</f>
        <v/>
      </c>
      <c r="BF28" s="96" t="str">
        <f aca="false">IF($BR28&lt;&gt;Constants!$B$8,"",IF($AL28,($AI28-Constants!$B$29)*Constants!$B$28,0))</f>
        <v/>
      </c>
      <c r="BG28" s="96" t="str">
        <f aca="false">IF($BR28&lt;&gt;Constants!$B$8,"",IF($AK28,0,Constants!$B$15)+IF($AJ28,0,Constants!$B$16)+IF($AH28,0,Constants!$B$17))</f>
        <v/>
      </c>
      <c r="BH28" s="97" t="str">
        <f aca="false">IF($BR28&lt;&gt;Constants!$B$8,"",Constants!$B$20+SUM($BC28:$BG28))</f>
        <v/>
      </c>
      <c r="BI28" s="92" t="str">
        <f aca="false">IF($BR28&lt;&gt;Constants!$B$8,"",IF(OR($BP28&lt;$BH28,AND($BP28=$BH28,OR($BK28&lt;$BC28,AND($BK28=$BC28,OR($BL28&lt;$BD28,AND($BL28=$BD28,$AT28,$AL28,$AV28&lt;$AN28)))))),"-&gt;","&lt;-"))</f>
        <v/>
      </c>
      <c r="BJ28" s="91" t="str">
        <f aca="false">IF(ISBLANK($C28),"",AND($AT28,OR($AU28="",$AV28="",AND($AW28,$AX28=""))))</f>
        <v/>
      </c>
      <c r="BK28" s="93" t="str">
        <f aca="false">IF($BR28&lt;&gt;Constants!$B$8,"",IF($AT28,Constants!$B$21*$AV28+Constants!$B$22*IF($AW28,$AX28,Constants!$B$23),Constants!$B$24))</f>
        <v/>
      </c>
      <c r="BL28" s="96" t="str">
        <f aca="false">IF($BR28&lt;&gt;Constants!$B$8,"",Constants!$B$25*ABS($AD$9-IF($AT28,$AU28,0)))</f>
        <v/>
      </c>
      <c r="BM28" s="96" t="str">
        <f aca="false">IF($BR28&lt;&gt;Constants!$B$8,"",IF(AND($AT28,$AY28,$AW28),Constants!$B$27,0))</f>
        <v/>
      </c>
      <c r="BN28" s="96" t="str">
        <f aca="false">IF($BR28&lt;&gt;Constants!$B$8,"",IF($AT28,($AI28-Constants!$B$29)*Constants!$B$28,0))</f>
        <v/>
      </c>
      <c r="BO28" s="96" t="str">
        <f aca="false">IF($BR28&lt;&gt;Constants!$B$8,"",IF($AS28,0,Constants!$B$15)+IF($AR28,0,Constants!$B$16)+IF($AH28,0,Constants!$B$17))</f>
        <v/>
      </c>
      <c r="BP28" s="97" t="str">
        <f aca="false">IF($BR28&lt;&gt;Constants!$B$8,"",Constants!$B$20+SUM($BK28:$BO28))</f>
        <v/>
      </c>
      <c r="BQ28" s="92" t="str">
        <f aca="false">IF(ISBLANK($C28),"",IF(ISBLANK($D$7),$BQ$5,IF(NOT(ISNUMBER($D$7)),$BQ$6,"")))</f>
        <v/>
      </c>
      <c r="BR28" s="92" t="str">
        <f aca="false">IF(ISBLANK($C28),"",IF($BA28,Constants!$B$11,IF(COUNTA($E28:$AA28)=0,Constants!$B$10,IF(NOT($AG28),Constants!$B$9,IF(OR($BQ28&lt;&gt;"",$BB28,$BJ28),Constants!$B$12,Constants!$B$8)))))</f>
        <v/>
      </c>
      <c r="BS28" s="92" t="str">
        <f aca="false">IF(ISBLANK($C28),"",IF($BR28&lt;&gt;Constants!$B$8,$BR28,Constants!$B$13))</f>
        <v/>
      </c>
      <c r="BT28" s="96" t="str">
        <f aca="false">IF($BR28&lt;&gt;Constants!$B$8,"",IF($BI28="-&gt;",$BP28,$BH28))</f>
        <v/>
      </c>
      <c r="BU28" s="96" t="str">
        <f aca="false">IF($BR28&lt;&gt;Constants!$B$8,"",IF($AF28,0,Constants!$B$18))</f>
        <v/>
      </c>
      <c r="BV28" s="96" t="str">
        <f aca="false">IF($BR28&lt;&gt;Constants!$B$8,"",((Constants!$B$31-$AZ28)-Constants!$B$31)/Constants!$B$32)</f>
        <v/>
      </c>
      <c r="BW28" s="96" t="str">
        <f aca="false">IF(ISBLANK($C28),"",IF($BR28&lt;&gt;Constants!$B$8,$BR28,SUM($BT28:$BV28)))</f>
        <v/>
      </c>
      <c r="BX28" s="92" t="str">
        <f aca="false">IF(ISBLANK($C28),"",IF($BR28&lt;&gt;Constants!$B$8,$BR28,RANK($BW28,$BW$9:$BW$508,1)))</f>
        <v/>
      </c>
      <c r="BY28" s="96" t="str">
        <f aca="false">IF($BR28&lt;&gt;Constants!$B$8,"",IF($BI28="-&gt;",$BK28,$BC28))</f>
        <v/>
      </c>
      <c r="BZ28" s="92" t="str">
        <f aca="false">IF(ISBLANK($C28),"",IF($BR28&lt;&gt;Constants!$B$8,$BR28,IF(ISNUMBER($BY28),RANK($BY28,$BY$9:$BY$508,1),COUNT($BY$9:$BY$508)+1)))</f>
        <v/>
      </c>
      <c r="CA28" s="96" t="str">
        <f aca="false">IF($BR28&lt;&gt;Constants!$B$8,"",IF($BI28="-&gt;",$BL28,$BD28))</f>
        <v/>
      </c>
      <c r="CB28" s="92" t="str">
        <f aca="false">IF(ISBLANK($C28),"",IF($BR28&lt;&gt;Constants!$B$8,$BR28,IF(ISNUMBER($CA28),RANK($CA28,$CA$9:$CA$508,1),COUNT($CA$9:$CA$508)+1)))</f>
        <v/>
      </c>
      <c r="CC28" s="96" t="str">
        <f aca="false">IF($BR28&lt;&gt;Constants!$B$8,"",IF($BI28="-&gt;",IF($AT28,$AV28,""),IF($AL28,$AN28,"")))</f>
        <v/>
      </c>
      <c r="CD28" s="92" t="str">
        <f aca="false">IF(ISBLANK($C28),"",IF($BR28&lt;&gt;Constants!$B$8,$BR28,IF(ISNUMBER($CC28),RANK($CC28,$CC$9:$CC$508,1),COUNT($CC$9:$CC$508)+1)))</f>
        <v/>
      </c>
      <c r="CE28" s="96" t="str">
        <f aca="false">IF($BR28&lt;&gt;Constants!$B$8,"",IF(AND(NOT($AL28),NOT($AT28),$AJ28,$AK28,$AR28,$AS28),"",$AI28))</f>
        <v/>
      </c>
      <c r="CF28" s="92" t="str">
        <f aca="false">IF(ISBLANK($C28),"",IF($BR28&lt;&gt;Constants!$B$8,$BR28,IF(ISNUMBER($CE28),RANK($CE28,$CE$9:$CE$508,1),COUNT($CE$9:$CE$508)+1)))</f>
        <v/>
      </c>
      <c r="CG28" s="92" t="str">
        <f aca="false">IF(ISBLANK($C28),"",IF($BR28&lt;&gt;Constants!$B$8,$BR28,COUNTIFS($BX$9:$BX$508,"&lt;"&amp;$BX28)+COUNTIFS($BX$9:$BX$508,$BX28,$BZ$9:$BZ$508,"&lt;"&amp;$BZ28)+COUNTIFS($BX$9:$BX$508,$BX28,$BZ$9:$BZ$508,$BZ28,$CB$9:$CB$508,"&lt;"&amp;$CB28)+COUNTIFS($BX$9:$BX$508,$BX28,$BZ$9:$BZ$508,$BZ28,$CB$9:$CB$508,$CB28,$CD$9:$CD$508,"&lt;"&amp;$CD28)+COUNTIFS($BX$9:$BX$508,$BX28,$BZ$9:$BZ$508,$BZ28,$CB$9:$CB$508,$CB28,$CD$9:$CD$508,$CD28,$CF$9:$CF$508,"&lt;"&amp;$CF28)+1))</f>
        <v/>
      </c>
      <c r="CH28" s="92" t="str">
        <f aca="false">IF(ISBLANK($C28),"",IF($BR28&lt;&gt;Constants!$B$8,$BR28,$BX28-$CG28))</f>
        <v/>
      </c>
      <c r="CI28" s="98"/>
      <c r="CJ28" s="99"/>
      <c r="CK28" s="100" t="str">
        <f aca="false">IF(ISBLANK($C28),"",IF($BR28=Constants!$B$12,$BQ28,""))</f>
        <v/>
      </c>
      <c r="CL28" s="99" t="str">
        <f aca="false">IF(ISBLANK($C28),"",IF($BR28&lt;&gt;Constants!$B$8,"",IF($BI28="-&gt;",2,1)))</f>
        <v/>
      </c>
      <c r="CM28" s="101" t="str">
        <f aca="false">IF(ISBLANK($C28),"",IF($BR28&lt;&gt;Constants!$B$8,"",IF($BI28="-&gt;",$BK28,$BC28)))</f>
        <v/>
      </c>
      <c r="CN28" s="101" t="str">
        <f aca="false">IF(ISBLANK($C28),"",IF($BR28&lt;&gt;Constants!$B$8,"",IF($BI28="-&gt;",$BL28,$BD28)))</f>
        <v/>
      </c>
      <c r="CO28" s="101" t="str">
        <f aca="false">IF(ISBLANK($C28),"",IF($BR28&lt;&gt;Constants!$B$8,"",IF($BI28="-&gt;",$BM28+$BN28,$BE28+$BF28)+$BV28))</f>
        <v/>
      </c>
      <c r="CP28" s="101" t="str">
        <f aca="false">IF(ISBLANK($C28),"",IF($BR28&lt;&gt;Constants!$B$8,"",IF($BI28="-&gt;",$BO28,$BG28)+$BU28))</f>
        <v/>
      </c>
      <c r="CQ28" s="102" t="str">
        <f aca="false">IF(ISBLANK($C28),"",IF($BR28&lt;&gt;Constants!$B$8,$BR28,$BW28))</f>
        <v/>
      </c>
      <c r="CR28" s="103" t="str">
        <f aca="false">IF(ISBLANK($C28),"",$BS28)</f>
        <v/>
      </c>
      <c r="CS28" s="104" t="str">
        <f aca="false">IF(ISBLANK($C28),"",$CH28)</f>
        <v/>
      </c>
      <c r="CT28" s="104" t="str">
        <f aca="false">IF(ISBLANK($C28),"",$CG28)</f>
        <v/>
      </c>
      <c r="CU28" s="105" t="str">
        <f aca="false">IF(ISBLANK($C28),"",IFERROR(_xlfn.SWITCH($CT28,Constants!$B$11,COUNTA($C$9:$C$508)+2,Constants!$B$10,COUNTA($C$9:$C$508)+1,Constants!$B$9,COUNTA($C$9:$C$508)),$CT28))</f>
        <v/>
      </c>
      <c r="CV28" s="9"/>
      <c r="CW28" s="106" t="n">
        <f aca="false">IF(OR(ISNUMBER($CT28),$CT28=Constants!$B$11,$CT28=Constants!$B$9,$CT28=Constants!$B$10),1,0)</f>
        <v>0</v>
      </c>
      <c r="CX28" s="106" t="n">
        <v>20</v>
      </c>
      <c r="CY28" s="106" t="str">
        <f aca="false">IF(ISBLANK($C28),"",IF(ISNUMBER($CU28),$CU28+ROW($B28)/1000,""))</f>
        <v/>
      </c>
      <c r="CZ28" s="106" t="str">
        <f aca="false">IF(ISNUMBER($CY28),RANK($CY28,$CY$9:$CY$508,1),"")</f>
        <v/>
      </c>
      <c r="DA28" s="106" t="str">
        <f aca="false">IF(ISBLANK($C28),"",$B28)</f>
        <v/>
      </c>
      <c r="DB28" s="106" t="str">
        <f aca="false">IF(ISBLANK($C28),"",$C28)</f>
        <v/>
      </c>
      <c r="DC28" s="106" t="str">
        <f aca="false">IF(ISBLANK($C28),"",$D28)</f>
        <v/>
      </c>
      <c r="DD28" s="107" t="str">
        <f aca="false">$CR28</f>
        <v/>
      </c>
      <c r="DE28" s="108" t="str">
        <f aca="false">$CQ28</f>
        <v/>
      </c>
      <c r="DF28" s="106" t="str">
        <f aca="false">IF(ISBLANK($C28),"",$CT28)</f>
        <v/>
      </c>
      <c r="DG28" s="109" t="str">
        <f aca="false">IF($CX28&gt;$CW$8,"",VLOOKUP($CX28,$CZ$9:$DF$508,7,FALSE()))</f>
        <v/>
      </c>
      <c r="DH28" s="110" t="str">
        <f aca="false">IF($CX28&gt;$CW$8,"",VLOOKUP($CX28,$CZ$9:$DF$508,2,FALSE()))</f>
        <v/>
      </c>
      <c r="DI28" s="110" t="str">
        <f aca="false">IF($CX28&gt;$CW$8,"",VLOOKUP($CX28,$CZ$9:$DF$508,3,FALSE()))</f>
        <v/>
      </c>
      <c r="DJ28" s="110" t="str">
        <f aca="false">IF($CX28&gt;$CW$8,"",VLOOKUP($CX28,$CZ$9:$DF$508,4,FALSE()))</f>
        <v/>
      </c>
      <c r="DK28" s="110" t="str">
        <f aca="false">IF($CX28&gt;$CW$8,"",VLOOKUP($CX28,$CZ$9:$DF$508,5,FALSE()))</f>
        <v/>
      </c>
      <c r="DL28" s="111" t="str">
        <f aca="false">IF($CX28&gt;$CW$8,"",VLOOKUP($CX28,$CZ$9:$DF$508,6,FALSE()))</f>
        <v/>
      </c>
      <c r="DM28" s="75"/>
    </row>
    <row r="29" customFormat="false" ht="15.75" hidden="false" customHeight="false" outlineLevel="0" collapsed="false">
      <c r="A29" s="9"/>
      <c r="B29" s="77"/>
      <c r="C29" s="78"/>
      <c r="D29" s="167"/>
      <c r="E29" s="168"/>
      <c r="F29" s="169"/>
      <c r="G29" s="170"/>
      <c r="H29" s="170"/>
      <c r="I29" s="171"/>
      <c r="J29" s="172"/>
      <c r="K29" s="85"/>
      <c r="L29" s="86"/>
      <c r="M29" s="87"/>
      <c r="N29" s="172"/>
      <c r="O29" s="172"/>
      <c r="P29" s="168"/>
      <c r="Q29" s="172"/>
      <c r="R29" s="172"/>
      <c r="S29" s="85"/>
      <c r="T29" s="87"/>
      <c r="U29" s="87"/>
      <c r="V29" s="172"/>
      <c r="W29" s="172"/>
      <c r="X29" s="168"/>
      <c r="Y29" s="173"/>
      <c r="Z29" s="174"/>
      <c r="AA29" s="173"/>
      <c r="AB29" s="91"/>
      <c r="AC29" s="92"/>
      <c r="AD29" s="92"/>
      <c r="AE29" s="92"/>
      <c r="AF29" s="92" t="str">
        <f aca="false">IF(ISBLANK($C29),"",IF(E29=Constants!$B$3,TRUE(),IF(E29=Constants!$B$4,FALSE(),TRUE())))</f>
        <v/>
      </c>
      <c r="AG29" s="92" t="str">
        <f aca="false">IF(ISBLANK($C29),"",IF(F29=Constants!$B$3,TRUE(),IF(F29=Constants!$B$4,FALSE(),TRUE())))</f>
        <v/>
      </c>
      <c r="AH29" s="92" t="str">
        <f aca="false">IF(ISBLANK($C29),"",IF(G29=Constants!$B$3,TRUE(),IF(G29=Constants!$B$4,FALSE(),TRUE())))</f>
        <v/>
      </c>
      <c r="AI29" s="92" t="str">
        <f aca="false">IF(ISBLANK($C29),"",IF(AND(ISNUMBER(H29),H29&gt;=0),H29,Constants!$B$29))</f>
        <v/>
      </c>
      <c r="AJ29" s="92" t="str">
        <f aca="false">IF(ISBLANK($C29),"",IF(I29=Constants!$B$3,TRUE(),IF(I29=Constants!$B$4,FALSE(),TRUE())))</f>
        <v/>
      </c>
      <c r="AK29" s="92" t="str">
        <f aca="false">IF(ISBLANK($C29),"",IF(J29=Constants!$B$3,TRUE(),IF(J29=Constants!$B$4,FALSE(),TRUE())))</f>
        <v/>
      </c>
      <c r="AL29" s="92" t="str">
        <f aca="false">IF(ISBLANK($C29),"",IF(K29=Constants!$B$5,TRUE(),IF(K29=Constants!$B$6,FALSE(),COUNTA(L29:P29)&gt;0)))</f>
        <v/>
      </c>
      <c r="AM29" s="94" t="str">
        <f aca="false">IF(ISBLANK($C29),"",IF(ISNUMBER(L29),IF(L29&gt;=0,L29,""),""))</f>
        <v/>
      </c>
      <c r="AN29" s="93" t="str">
        <f aca="false">IF(ISBLANK($C29),"",IF(ISNUMBER(M29),IF(M29&gt;=0,M29,""),""))</f>
        <v/>
      </c>
      <c r="AO29" s="93" t="str">
        <f aca="false">IF(ISBLANK($C29),"",IF(N29=Constants!$B$3,TRUE(),IF(N29=Constants!$B$4,FALSE(),TRUE())))</f>
        <v/>
      </c>
      <c r="AP29" s="92" t="str">
        <f aca="false">IF(ISBLANK($C29),"",IF(ISNUMBER(O29),IF(O29&gt;=0,O29,""),""))</f>
        <v/>
      </c>
      <c r="AQ29" s="92" t="str">
        <f aca="false">IF(ISBLANK($C29),"",IF(P29=Constants!$B$3,TRUE(),IF(P29=Constants!$B$4,FALSE(),FALSE())))</f>
        <v/>
      </c>
      <c r="AR29" s="92" t="str">
        <f aca="false">IF(ISBLANK($C29),"",IF(Q29=Constants!$B$3,TRUE(),IF(Q29=Constants!$B$4,FALSE(),TRUE())))</f>
        <v/>
      </c>
      <c r="AS29" s="92" t="str">
        <f aca="false">IF(ISBLANK($C29),"",IF(R29=Constants!$B$3,TRUE(),IF(R29=Constants!$B$4,FALSE(),TRUE())))</f>
        <v/>
      </c>
      <c r="AT29" s="92" t="str">
        <f aca="false">IF(ISBLANK($C29),"",IF(S29=Constants!$B$5,TRUE(),IF(S29=Constants!$B$6,FALSE(),COUNTA(T29:X29)&gt;0)))</f>
        <v/>
      </c>
      <c r="AU29" s="94" t="str">
        <f aca="false">IF(ISBLANK($C29),"",IF(ISNUMBER(T29),IF(T29&gt;=0,T29,""),""))</f>
        <v/>
      </c>
      <c r="AV29" s="93" t="str">
        <f aca="false">IF(ISBLANK($C29),"",IF(ISNUMBER(U29),IF(U29&gt;=0,U29,""),""))</f>
        <v/>
      </c>
      <c r="AW29" s="93" t="str">
        <f aca="false">IF(ISBLANK($C29),"",IF(V29=Constants!$B$3,TRUE(),IF(V29=Constants!$B$4,FALSE(),TRUE())))</f>
        <v/>
      </c>
      <c r="AX29" s="92" t="str">
        <f aca="false">IF(ISBLANK($C29),"",IF(ISNUMBER(W29),IF(W29&gt;=0,W29,""),""))</f>
        <v/>
      </c>
      <c r="AY29" s="92" t="str">
        <f aca="false">IF(ISBLANK($C29),"",IF(X29=Constants!$B$3,TRUE(),IF(X29=Constants!$B$4,FALSE(),FALSE())))</f>
        <v/>
      </c>
      <c r="AZ29" s="92" t="str">
        <f aca="false">IF(ISBLANK($C29),"",MIN(Constants!$B$31,MAX(0,IF(ISNUMBER(Y29),Y29*60,0)+IF(ISNUMBER(Z29),Z29,0))))</f>
        <v/>
      </c>
      <c r="BA29" s="92" t="str">
        <f aca="false">IF(ISBLANK($C29),"",IF(AA29=Constants!$B$3,TRUE(),IF(AA29=Constants!$B$4,FALSE(),FALSE())))</f>
        <v/>
      </c>
      <c r="BB29" s="91" t="str">
        <f aca="false">IF(ISBLANK($C29),"",AND($AL29,OR($AM29="",$AN29="",AND($AO29,$AP29=""))))</f>
        <v/>
      </c>
      <c r="BC29" s="93" t="str">
        <f aca="false">IF($BR29&lt;&gt;Constants!$B$8,"",IF($AL29,Constants!$B$21*$AN29+Constants!$B$22*IF($AO29,$AP29,Constants!$B$23),Constants!$B$24))</f>
        <v/>
      </c>
      <c r="BD29" s="96" t="str">
        <f aca="false">IF($BR29&lt;&gt;Constants!$B$8,"",Constants!$B$25*ABS($AD$9-IF($AL29,$AM29,0)))</f>
        <v/>
      </c>
      <c r="BE29" s="96" t="str">
        <f aca="false">IF($BR29&lt;&gt;Constants!$B$8,"",IF(AND($AL29,$AQ29,$AO29),Constants!$B$27,0))</f>
        <v/>
      </c>
      <c r="BF29" s="96" t="str">
        <f aca="false">IF($BR29&lt;&gt;Constants!$B$8,"",IF($AL29,($AI29-Constants!$B$29)*Constants!$B$28,0))</f>
        <v/>
      </c>
      <c r="BG29" s="96" t="str">
        <f aca="false">IF($BR29&lt;&gt;Constants!$B$8,"",IF($AK29,0,Constants!$B$15)+IF($AJ29,0,Constants!$B$16)+IF($AH29,0,Constants!$B$17))</f>
        <v/>
      </c>
      <c r="BH29" s="97" t="str">
        <f aca="false">IF($BR29&lt;&gt;Constants!$B$8,"",Constants!$B$20+SUM($BC29:$BG29))</f>
        <v/>
      </c>
      <c r="BI29" s="92" t="str">
        <f aca="false">IF($BR29&lt;&gt;Constants!$B$8,"",IF(OR($BP29&lt;$BH29,AND($BP29=$BH29,OR($BK29&lt;$BC29,AND($BK29=$BC29,OR($BL29&lt;$BD29,AND($BL29=$BD29,$AT29,$AL29,$AV29&lt;$AN29)))))),"-&gt;","&lt;-"))</f>
        <v/>
      </c>
      <c r="BJ29" s="91" t="str">
        <f aca="false">IF(ISBLANK($C29),"",AND($AT29,OR($AU29="",$AV29="",AND($AW29,$AX29=""))))</f>
        <v/>
      </c>
      <c r="BK29" s="93" t="str">
        <f aca="false">IF($BR29&lt;&gt;Constants!$B$8,"",IF($AT29,Constants!$B$21*$AV29+Constants!$B$22*IF($AW29,$AX29,Constants!$B$23),Constants!$B$24))</f>
        <v/>
      </c>
      <c r="BL29" s="96" t="str">
        <f aca="false">IF($BR29&lt;&gt;Constants!$B$8,"",Constants!$B$25*ABS($AD$9-IF($AT29,$AU29,0)))</f>
        <v/>
      </c>
      <c r="BM29" s="96" t="str">
        <f aca="false">IF($BR29&lt;&gt;Constants!$B$8,"",IF(AND($AT29,$AY29,$AW29),Constants!$B$27,0))</f>
        <v/>
      </c>
      <c r="BN29" s="96" t="str">
        <f aca="false">IF($BR29&lt;&gt;Constants!$B$8,"",IF($AT29,($AI29-Constants!$B$29)*Constants!$B$28,0))</f>
        <v/>
      </c>
      <c r="BO29" s="96" t="str">
        <f aca="false">IF($BR29&lt;&gt;Constants!$B$8,"",IF($AS29,0,Constants!$B$15)+IF($AR29,0,Constants!$B$16)+IF($AH29,0,Constants!$B$17))</f>
        <v/>
      </c>
      <c r="BP29" s="97" t="str">
        <f aca="false">IF($BR29&lt;&gt;Constants!$B$8,"",Constants!$B$20+SUM($BK29:$BO29))</f>
        <v/>
      </c>
      <c r="BQ29" s="92" t="str">
        <f aca="false">IF(ISBLANK($C29),"",IF(ISBLANK($D$7),$BQ$5,IF(NOT(ISNUMBER($D$7)),$BQ$6,"")))</f>
        <v/>
      </c>
      <c r="BR29" s="92" t="str">
        <f aca="false">IF(ISBLANK($C29),"",IF($BA29,Constants!$B$11,IF(COUNTA($E29:$AA29)=0,Constants!$B$10,IF(NOT($AG29),Constants!$B$9,IF(OR($BQ29&lt;&gt;"",$BB29,$BJ29),Constants!$B$12,Constants!$B$8)))))</f>
        <v/>
      </c>
      <c r="BS29" s="92" t="str">
        <f aca="false">IF(ISBLANK($C29),"",IF($BR29&lt;&gt;Constants!$B$8,$BR29,Constants!$B$13))</f>
        <v/>
      </c>
      <c r="BT29" s="96" t="str">
        <f aca="false">IF($BR29&lt;&gt;Constants!$B$8,"",IF($BI29="-&gt;",$BP29,$BH29))</f>
        <v/>
      </c>
      <c r="BU29" s="96" t="str">
        <f aca="false">IF($BR29&lt;&gt;Constants!$B$8,"",IF($AF29,0,Constants!$B$18))</f>
        <v/>
      </c>
      <c r="BV29" s="96" t="str">
        <f aca="false">IF($BR29&lt;&gt;Constants!$B$8,"",((Constants!$B$31-$AZ29)-Constants!$B$31)/Constants!$B$32)</f>
        <v/>
      </c>
      <c r="BW29" s="96" t="str">
        <f aca="false">IF(ISBLANK($C29),"",IF($BR29&lt;&gt;Constants!$B$8,$BR29,SUM($BT29:$BV29)))</f>
        <v/>
      </c>
      <c r="BX29" s="92" t="str">
        <f aca="false">IF(ISBLANK($C29),"",IF($BR29&lt;&gt;Constants!$B$8,$BR29,RANK($BW29,$BW$9:$BW$508,1)))</f>
        <v/>
      </c>
      <c r="BY29" s="96" t="str">
        <f aca="false">IF($BR29&lt;&gt;Constants!$B$8,"",IF($BI29="-&gt;",$BK29,$BC29))</f>
        <v/>
      </c>
      <c r="BZ29" s="92" t="str">
        <f aca="false">IF(ISBLANK($C29),"",IF($BR29&lt;&gt;Constants!$B$8,$BR29,IF(ISNUMBER($BY29),RANK($BY29,$BY$9:$BY$508,1),COUNT($BY$9:$BY$508)+1)))</f>
        <v/>
      </c>
      <c r="CA29" s="96" t="str">
        <f aca="false">IF($BR29&lt;&gt;Constants!$B$8,"",IF($BI29="-&gt;",$BL29,$BD29))</f>
        <v/>
      </c>
      <c r="CB29" s="92" t="str">
        <f aca="false">IF(ISBLANK($C29),"",IF($BR29&lt;&gt;Constants!$B$8,$BR29,IF(ISNUMBER($CA29),RANK($CA29,$CA$9:$CA$508,1),COUNT($CA$9:$CA$508)+1)))</f>
        <v/>
      </c>
      <c r="CC29" s="96" t="str">
        <f aca="false">IF($BR29&lt;&gt;Constants!$B$8,"",IF($BI29="-&gt;",IF($AT29,$AV29,""),IF($AL29,$AN29,"")))</f>
        <v/>
      </c>
      <c r="CD29" s="92" t="str">
        <f aca="false">IF(ISBLANK($C29),"",IF($BR29&lt;&gt;Constants!$B$8,$BR29,IF(ISNUMBER($CC29),RANK($CC29,$CC$9:$CC$508,1),COUNT($CC$9:$CC$508)+1)))</f>
        <v/>
      </c>
      <c r="CE29" s="96" t="str">
        <f aca="false">IF($BR29&lt;&gt;Constants!$B$8,"",IF(AND(NOT($AL29),NOT($AT29),$AJ29,$AK29,$AR29,$AS29),"",$AI29))</f>
        <v/>
      </c>
      <c r="CF29" s="92" t="str">
        <f aca="false">IF(ISBLANK($C29),"",IF($BR29&lt;&gt;Constants!$B$8,$BR29,IF(ISNUMBER($CE29),RANK($CE29,$CE$9:$CE$508,1),COUNT($CE$9:$CE$508)+1)))</f>
        <v/>
      </c>
      <c r="CG29" s="92" t="str">
        <f aca="false">IF(ISBLANK($C29),"",IF($BR29&lt;&gt;Constants!$B$8,$BR29,COUNTIFS($BX$9:$BX$508,"&lt;"&amp;$BX29)+COUNTIFS($BX$9:$BX$508,$BX29,$BZ$9:$BZ$508,"&lt;"&amp;$BZ29)+COUNTIFS($BX$9:$BX$508,$BX29,$BZ$9:$BZ$508,$BZ29,$CB$9:$CB$508,"&lt;"&amp;$CB29)+COUNTIFS($BX$9:$BX$508,$BX29,$BZ$9:$BZ$508,$BZ29,$CB$9:$CB$508,$CB29,$CD$9:$CD$508,"&lt;"&amp;$CD29)+COUNTIFS($BX$9:$BX$508,$BX29,$BZ$9:$BZ$508,$BZ29,$CB$9:$CB$508,$CB29,$CD$9:$CD$508,$CD29,$CF$9:$CF$508,"&lt;"&amp;$CF29)+1))</f>
        <v/>
      </c>
      <c r="CH29" s="92" t="str">
        <f aca="false">IF(ISBLANK($C29),"",IF($BR29&lt;&gt;Constants!$B$8,$BR29,$BX29-$CG29))</f>
        <v/>
      </c>
      <c r="CI29" s="98"/>
      <c r="CJ29" s="99"/>
      <c r="CK29" s="100" t="str">
        <f aca="false">IF(ISBLANK($C29),"",IF($BR29=Constants!$B$12,$BQ29,""))</f>
        <v/>
      </c>
      <c r="CL29" s="99" t="str">
        <f aca="false">IF(ISBLANK($C29),"",IF($BR29&lt;&gt;Constants!$B$8,"",IF($BI29="-&gt;",2,1)))</f>
        <v/>
      </c>
      <c r="CM29" s="101" t="str">
        <f aca="false">IF(ISBLANK($C29),"",IF($BR29&lt;&gt;Constants!$B$8,"",IF($BI29="-&gt;",$BK29,$BC29)))</f>
        <v/>
      </c>
      <c r="CN29" s="101" t="str">
        <f aca="false">IF(ISBLANK($C29),"",IF($BR29&lt;&gt;Constants!$B$8,"",IF($BI29="-&gt;",$BL29,$BD29)))</f>
        <v/>
      </c>
      <c r="CO29" s="101" t="str">
        <f aca="false">IF(ISBLANK($C29),"",IF($BR29&lt;&gt;Constants!$B$8,"",IF($BI29="-&gt;",$BM29+$BN29,$BE29+$BF29)+$BV29))</f>
        <v/>
      </c>
      <c r="CP29" s="101" t="str">
        <f aca="false">IF(ISBLANK($C29),"",IF($BR29&lt;&gt;Constants!$B$8,"",IF($BI29="-&gt;",$BO29,$BG29)+$BU29))</f>
        <v/>
      </c>
      <c r="CQ29" s="102" t="str">
        <f aca="false">IF(ISBLANK($C29),"",IF($BR29&lt;&gt;Constants!$B$8,$BR29,$BW29))</f>
        <v/>
      </c>
      <c r="CR29" s="103" t="str">
        <f aca="false">IF(ISBLANK($C29),"",$BS29)</f>
        <v/>
      </c>
      <c r="CS29" s="104" t="str">
        <f aca="false">IF(ISBLANK($C29),"",$CH29)</f>
        <v/>
      </c>
      <c r="CT29" s="104" t="str">
        <f aca="false">IF(ISBLANK($C29),"",$CG29)</f>
        <v/>
      </c>
      <c r="CU29" s="105" t="str">
        <f aca="false">IF(ISBLANK($C29),"",IFERROR(_xlfn.SWITCH($CT29,Constants!$B$11,COUNTA($C$9:$C$508)+2,Constants!$B$10,COUNTA($C$9:$C$508)+1,Constants!$B$9,COUNTA($C$9:$C$508)),$CT29))</f>
        <v/>
      </c>
      <c r="CV29" s="9"/>
      <c r="CW29" s="106" t="n">
        <f aca="false">IF(OR(ISNUMBER($CT29),$CT29=Constants!$B$11,$CT29=Constants!$B$9,$CT29=Constants!$B$10),1,0)</f>
        <v>0</v>
      </c>
      <c r="CX29" s="106" t="n">
        <v>21</v>
      </c>
      <c r="CY29" s="106" t="str">
        <f aca="false">IF(ISBLANK($C29),"",IF(ISNUMBER($CU29),$CU29+ROW($B29)/1000,""))</f>
        <v/>
      </c>
      <c r="CZ29" s="106" t="str">
        <f aca="false">IF(ISNUMBER($CY29),RANK($CY29,$CY$9:$CY$508,1),"")</f>
        <v/>
      </c>
      <c r="DA29" s="106" t="str">
        <f aca="false">IF(ISBLANK($C29),"",$B29)</f>
        <v/>
      </c>
      <c r="DB29" s="106" t="str">
        <f aca="false">IF(ISBLANK($C29),"",$C29)</f>
        <v/>
      </c>
      <c r="DC29" s="106" t="str">
        <f aca="false">IF(ISBLANK($C29),"",$D29)</f>
        <v/>
      </c>
      <c r="DD29" s="107" t="str">
        <f aca="false">$CR29</f>
        <v/>
      </c>
      <c r="DE29" s="108" t="str">
        <f aca="false">$CQ29</f>
        <v/>
      </c>
      <c r="DF29" s="106" t="str">
        <f aca="false">IF(ISBLANK($C29),"",$CT29)</f>
        <v/>
      </c>
      <c r="DG29" s="109" t="str">
        <f aca="false">IF($CX29&gt;$CW$8,"",VLOOKUP($CX29,$CZ$9:$DF$508,7,FALSE()))</f>
        <v/>
      </c>
      <c r="DH29" s="110" t="str">
        <f aca="false">IF($CX29&gt;$CW$8,"",VLOOKUP($CX29,$CZ$9:$DF$508,2,FALSE()))</f>
        <v/>
      </c>
      <c r="DI29" s="110" t="str">
        <f aca="false">IF($CX29&gt;$CW$8,"",VLOOKUP($CX29,$CZ$9:$DF$508,3,FALSE()))</f>
        <v/>
      </c>
      <c r="DJ29" s="110" t="str">
        <f aca="false">IF($CX29&gt;$CW$8,"",VLOOKUP($CX29,$CZ$9:$DF$508,4,FALSE()))</f>
        <v/>
      </c>
      <c r="DK29" s="110" t="str">
        <f aca="false">IF($CX29&gt;$CW$8,"",VLOOKUP($CX29,$CZ$9:$DF$508,5,FALSE()))</f>
        <v/>
      </c>
      <c r="DL29" s="111" t="str">
        <f aca="false">IF($CX29&gt;$CW$8,"",VLOOKUP($CX29,$CZ$9:$DF$508,6,FALSE()))</f>
        <v/>
      </c>
      <c r="DM29" s="75"/>
    </row>
    <row r="30" customFormat="false" ht="15.75" hidden="false" customHeight="false" outlineLevel="0" collapsed="false">
      <c r="A30" s="9"/>
      <c r="B30" s="157"/>
      <c r="C30" s="158"/>
      <c r="D30" s="159"/>
      <c r="E30" s="160"/>
      <c r="F30" s="161"/>
      <c r="G30" s="162"/>
      <c r="H30" s="162"/>
      <c r="I30" s="163"/>
      <c r="J30" s="164"/>
      <c r="K30" s="126"/>
      <c r="L30" s="127"/>
      <c r="M30" s="128"/>
      <c r="N30" s="164"/>
      <c r="O30" s="164"/>
      <c r="P30" s="160"/>
      <c r="Q30" s="164"/>
      <c r="R30" s="164"/>
      <c r="S30" s="126"/>
      <c r="T30" s="128"/>
      <c r="U30" s="128"/>
      <c r="V30" s="164"/>
      <c r="W30" s="164"/>
      <c r="X30" s="160"/>
      <c r="Y30" s="165"/>
      <c r="Z30" s="166"/>
      <c r="AA30" s="165"/>
      <c r="AB30" s="132"/>
      <c r="AC30" s="133"/>
      <c r="AD30" s="133"/>
      <c r="AE30" s="133"/>
      <c r="AF30" s="133" t="str">
        <f aca="false">IF(ISBLANK($C30),"",IF(E30=Constants!$B$3,TRUE(),IF(E30=Constants!$B$4,FALSE(),TRUE())))</f>
        <v/>
      </c>
      <c r="AG30" s="133" t="str">
        <f aca="false">IF(ISBLANK($C30),"",IF(F30=Constants!$B$3,TRUE(),IF(F30=Constants!$B$4,FALSE(),TRUE())))</f>
        <v/>
      </c>
      <c r="AH30" s="133" t="str">
        <f aca="false">IF(ISBLANK($C30),"",IF(G30=Constants!$B$3,TRUE(),IF(G30=Constants!$B$4,FALSE(),TRUE())))</f>
        <v/>
      </c>
      <c r="AI30" s="133" t="str">
        <f aca="false">IF(ISBLANK($C30),"",IF(AND(ISNUMBER(H30),H30&gt;=0),H30,Constants!$B$29))</f>
        <v/>
      </c>
      <c r="AJ30" s="133" t="str">
        <f aca="false">IF(ISBLANK($C30),"",IF(I30=Constants!$B$3,TRUE(),IF(I30=Constants!$B$4,FALSE(),TRUE())))</f>
        <v/>
      </c>
      <c r="AK30" s="133" t="str">
        <f aca="false">IF(ISBLANK($C30),"",IF(J30=Constants!$B$3,TRUE(),IF(J30=Constants!$B$4,FALSE(),TRUE())))</f>
        <v/>
      </c>
      <c r="AL30" s="133" t="str">
        <f aca="false">IF(ISBLANK($C30),"",IF(K30=Constants!$B$5,TRUE(),IF(K30=Constants!$B$6,FALSE(),COUNTA(L30:P30)&gt;0)))</f>
        <v/>
      </c>
      <c r="AM30" s="134" t="str">
        <f aca="false">IF(ISBLANK($C30),"",IF(ISNUMBER(L30),IF(L30&gt;=0,L30,""),""))</f>
        <v/>
      </c>
      <c r="AN30" s="135" t="str">
        <f aca="false">IF(ISBLANK($C30),"",IF(ISNUMBER(M30),IF(M30&gt;=0,M30,""),""))</f>
        <v/>
      </c>
      <c r="AO30" s="135" t="str">
        <f aca="false">IF(ISBLANK($C30),"",IF(N30=Constants!$B$3,TRUE(),IF(N30=Constants!$B$4,FALSE(),TRUE())))</f>
        <v/>
      </c>
      <c r="AP30" s="133" t="str">
        <f aca="false">IF(ISBLANK($C30),"",IF(ISNUMBER(O30),IF(O30&gt;=0,O30,""),""))</f>
        <v/>
      </c>
      <c r="AQ30" s="133" t="str">
        <f aca="false">IF(ISBLANK($C30),"",IF(P30=Constants!$B$3,TRUE(),IF(P30=Constants!$B$4,FALSE(),FALSE())))</f>
        <v/>
      </c>
      <c r="AR30" s="133" t="str">
        <f aca="false">IF(ISBLANK($C30),"",IF(Q30=Constants!$B$3,TRUE(),IF(Q30=Constants!$B$4,FALSE(),TRUE())))</f>
        <v/>
      </c>
      <c r="AS30" s="133" t="str">
        <f aca="false">IF(ISBLANK($C30),"",IF(R30=Constants!$B$3,TRUE(),IF(R30=Constants!$B$4,FALSE(),TRUE())))</f>
        <v/>
      </c>
      <c r="AT30" s="133" t="str">
        <f aca="false">IF(ISBLANK($C30),"",IF(S30=Constants!$B$5,TRUE(),IF(S30=Constants!$B$6,FALSE(),COUNTA(T30:X30)&gt;0)))</f>
        <v/>
      </c>
      <c r="AU30" s="134" t="str">
        <f aca="false">IF(ISBLANK($C30),"",IF(ISNUMBER(T30),IF(T30&gt;=0,T30,""),""))</f>
        <v/>
      </c>
      <c r="AV30" s="135" t="str">
        <f aca="false">IF(ISBLANK($C30),"",IF(ISNUMBER(U30),IF(U30&gt;=0,U30,""),""))</f>
        <v/>
      </c>
      <c r="AW30" s="135" t="str">
        <f aca="false">IF(ISBLANK($C30),"",IF(V30=Constants!$B$3,TRUE(),IF(V30=Constants!$B$4,FALSE(),TRUE())))</f>
        <v/>
      </c>
      <c r="AX30" s="133" t="str">
        <f aca="false">IF(ISBLANK($C30),"",IF(ISNUMBER(W30),IF(W30&gt;=0,W30,""),""))</f>
        <v/>
      </c>
      <c r="AY30" s="133" t="str">
        <f aca="false">IF(ISBLANK($C30),"",IF(X30=Constants!$B$3,TRUE(),IF(X30=Constants!$B$4,FALSE(),FALSE())))</f>
        <v/>
      </c>
      <c r="AZ30" s="133" t="str">
        <f aca="false">IF(ISBLANK($C30),"",MIN(Constants!$B$31,MAX(0,IF(ISNUMBER(Y30),Y30*60,0)+IF(ISNUMBER(Z30),Z30,0))))</f>
        <v/>
      </c>
      <c r="BA30" s="133" t="str">
        <f aca="false">IF(ISBLANK($C30),"",IF(AA30=Constants!$B$3,TRUE(),IF(AA30=Constants!$B$4,FALSE(),FALSE())))</f>
        <v/>
      </c>
      <c r="BB30" s="132" t="str">
        <f aca="false">IF(ISBLANK($C30),"",AND($AL30,OR($AM30="",$AN30="",AND($AO30,$AP30=""))))</f>
        <v/>
      </c>
      <c r="BC30" s="135" t="str">
        <f aca="false">IF($BR30&lt;&gt;Constants!$B$8,"",IF($AL30,Constants!$B$21*$AN30+Constants!$B$22*IF($AO30,$AP30,Constants!$B$23),Constants!$B$24))</f>
        <v/>
      </c>
      <c r="BD30" s="136" t="str">
        <f aca="false">IF($BR30&lt;&gt;Constants!$B$8,"",Constants!$B$25*ABS($AD$9-IF($AL30,$AM30,0)))</f>
        <v/>
      </c>
      <c r="BE30" s="136" t="str">
        <f aca="false">IF($BR30&lt;&gt;Constants!$B$8,"",IF(AND($AL30,$AQ30,$AO30),Constants!$B$27,0))</f>
        <v/>
      </c>
      <c r="BF30" s="136" t="str">
        <f aca="false">IF($BR30&lt;&gt;Constants!$B$8,"",IF($AL30,($AI30-Constants!$B$29)*Constants!$B$28,0))</f>
        <v/>
      </c>
      <c r="BG30" s="136" t="str">
        <f aca="false">IF($BR30&lt;&gt;Constants!$B$8,"",IF($AK30,0,Constants!$B$15)+IF($AJ30,0,Constants!$B$16)+IF($AH30,0,Constants!$B$17))</f>
        <v/>
      </c>
      <c r="BH30" s="137" t="str">
        <f aca="false">IF($BR30&lt;&gt;Constants!$B$8,"",Constants!$B$20+SUM($BC30:$BG30))</f>
        <v/>
      </c>
      <c r="BI30" s="133" t="str">
        <f aca="false">IF($BR30&lt;&gt;Constants!$B$8,"",IF(OR($BP30&lt;$BH30,AND($BP30=$BH30,OR($BK30&lt;$BC30,AND($BK30=$BC30,OR($BL30&lt;$BD30,AND($BL30=$BD30,$AT30,$AL30,$AV30&lt;$AN30)))))),"-&gt;","&lt;-"))</f>
        <v/>
      </c>
      <c r="BJ30" s="132" t="str">
        <f aca="false">IF(ISBLANK($C30),"",AND($AT30,OR($AU30="",$AV30="",AND($AW30,$AX30=""))))</f>
        <v/>
      </c>
      <c r="BK30" s="135" t="str">
        <f aca="false">IF($BR30&lt;&gt;Constants!$B$8,"",IF($AT30,Constants!$B$21*$AV30+Constants!$B$22*IF($AW30,$AX30,Constants!$B$23),Constants!$B$24))</f>
        <v/>
      </c>
      <c r="BL30" s="136" t="str">
        <f aca="false">IF($BR30&lt;&gt;Constants!$B$8,"",Constants!$B$25*ABS($AD$9-IF($AT30,$AU30,0)))</f>
        <v/>
      </c>
      <c r="BM30" s="136" t="str">
        <f aca="false">IF($BR30&lt;&gt;Constants!$B$8,"",IF(AND($AT30,$AY30,$AW30),Constants!$B$27,0))</f>
        <v/>
      </c>
      <c r="BN30" s="136" t="str">
        <f aca="false">IF($BR30&lt;&gt;Constants!$B$8,"",IF($AT30,($AI30-Constants!$B$29)*Constants!$B$28,0))</f>
        <v/>
      </c>
      <c r="BO30" s="136" t="str">
        <f aca="false">IF($BR30&lt;&gt;Constants!$B$8,"",IF($AS30,0,Constants!$B$15)+IF($AR30,0,Constants!$B$16)+IF($AH30,0,Constants!$B$17))</f>
        <v/>
      </c>
      <c r="BP30" s="137" t="str">
        <f aca="false">IF($BR30&lt;&gt;Constants!$B$8,"",Constants!$B$20+SUM($BK30:$BO30))</f>
        <v/>
      </c>
      <c r="BQ30" s="133" t="str">
        <f aca="false">IF(ISBLANK($C30),"",IF(ISBLANK($D$7),$BQ$5,IF(NOT(ISNUMBER($D$7)),$BQ$6,"")))</f>
        <v/>
      </c>
      <c r="BR30" s="133" t="str">
        <f aca="false">IF(ISBLANK($C30),"",IF($BA30,Constants!$B$11,IF(COUNTA($E30:$AA30)=0,Constants!$B$10,IF(NOT($AG30),Constants!$B$9,IF(OR($BQ30&lt;&gt;"",$BB30,$BJ30),Constants!$B$12,Constants!$B$8)))))</f>
        <v/>
      </c>
      <c r="BS30" s="133" t="str">
        <f aca="false">IF(ISBLANK($C30),"",IF($BR30&lt;&gt;Constants!$B$8,$BR30,Constants!$B$13))</f>
        <v/>
      </c>
      <c r="BT30" s="136" t="str">
        <f aca="false">IF($BR30&lt;&gt;Constants!$B$8,"",IF($BI30="-&gt;",$BP30,$BH30))</f>
        <v/>
      </c>
      <c r="BU30" s="136" t="str">
        <f aca="false">IF($BR30&lt;&gt;Constants!$B$8,"",IF($AF30,0,Constants!$B$18))</f>
        <v/>
      </c>
      <c r="BV30" s="136" t="str">
        <f aca="false">IF($BR30&lt;&gt;Constants!$B$8,"",((Constants!$B$31-$AZ30)-Constants!$B$31)/Constants!$B$32)</f>
        <v/>
      </c>
      <c r="BW30" s="136" t="str">
        <f aca="false">IF(ISBLANK($C30),"",IF($BR30&lt;&gt;Constants!$B$8,$BR30,SUM($BT30:$BV30)))</f>
        <v/>
      </c>
      <c r="BX30" s="133" t="str">
        <f aca="false">IF(ISBLANK($C30),"",IF($BR30&lt;&gt;Constants!$B$8,$BR30,RANK($BW30,$BW$9:$BW$508,1)))</f>
        <v/>
      </c>
      <c r="BY30" s="136" t="str">
        <f aca="false">IF($BR30&lt;&gt;Constants!$B$8,"",IF($BI30="-&gt;",$BK30,$BC30))</f>
        <v/>
      </c>
      <c r="BZ30" s="133" t="str">
        <f aca="false">IF(ISBLANK($C30),"",IF($BR30&lt;&gt;Constants!$B$8,$BR30,IF(ISNUMBER($BY30),RANK($BY30,$BY$9:$BY$508,1),COUNT($BY$9:$BY$508)+1)))</f>
        <v/>
      </c>
      <c r="CA30" s="136" t="str">
        <f aca="false">IF($BR30&lt;&gt;Constants!$B$8,"",IF($BI30="-&gt;",$BL30,$BD30))</f>
        <v/>
      </c>
      <c r="CB30" s="133" t="str">
        <f aca="false">IF(ISBLANK($C30),"",IF($BR30&lt;&gt;Constants!$B$8,$BR30,IF(ISNUMBER($CA30),RANK($CA30,$CA$9:$CA$508,1),COUNT($CA$9:$CA$508)+1)))</f>
        <v/>
      </c>
      <c r="CC30" s="136" t="str">
        <f aca="false">IF($BR30&lt;&gt;Constants!$B$8,"",IF($BI30="-&gt;",IF($AT30,$AV30,""),IF($AL30,$AN30,"")))</f>
        <v/>
      </c>
      <c r="CD30" s="133" t="str">
        <f aca="false">IF(ISBLANK($C30),"",IF($BR30&lt;&gt;Constants!$B$8,$BR30,IF(ISNUMBER($CC30),RANK($CC30,$CC$9:$CC$508,1),COUNT($CC$9:$CC$508)+1)))</f>
        <v/>
      </c>
      <c r="CE30" s="136" t="str">
        <f aca="false">IF($BR30&lt;&gt;Constants!$B$8,"",IF(AND(NOT($AL30),NOT($AT30),$AJ30,$AK30,$AR30,$AS30),"",$AI30))</f>
        <v/>
      </c>
      <c r="CF30" s="133" t="str">
        <f aca="false">IF(ISBLANK($C30),"",IF($BR30&lt;&gt;Constants!$B$8,$BR30,IF(ISNUMBER($CE30),RANK($CE30,$CE$9:$CE$508,1),COUNT($CE$9:$CE$508)+1)))</f>
        <v/>
      </c>
      <c r="CG30" s="133" t="str">
        <f aca="false">IF(ISBLANK($C30),"",IF($BR30&lt;&gt;Constants!$B$8,$BR30,COUNTIFS($BX$9:$BX$508,"&lt;"&amp;$BX30)+COUNTIFS($BX$9:$BX$508,$BX30,$BZ$9:$BZ$508,"&lt;"&amp;$BZ30)+COUNTIFS($BX$9:$BX$508,$BX30,$BZ$9:$BZ$508,$BZ30,$CB$9:$CB$508,"&lt;"&amp;$CB30)+COUNTIFS($BX$9:$BX$508,$BX30,$BZ$9:$BZ$508,$BZ30,$CB$9:$CB$508,$CB30,$CD$9:$CD$508,"&lt;"&amp;$CD30)+COUNTIFS($BX$9:$BX$508,$BX30,$BZ$9:$BZ$508,$BZ30,$CB$9:$CB$508,$CB30,$CD$9:$CD$508,$CD30,$CF$9:$CF$508,"&lt;"&amp;$CF30)+1))</f>
        <v/>
      </c>
      <c r="CH30" s="133" t="str">
        <f aca="false">IF(ISBLANK($C30),"",IF($BR30&lt;&gt;Constants!$B$8,$BR30,$BX30-$CG30))</f>
        <v/>
      </c>
      <c r="CI30" s="138"/>
      <c r="CJ30" s="139"/>
      <c r="CK30" s="140" t="str">
        <f aca="false">IF(ISBLANK($C30),"",IF($BR30=Constants!$B$12,$BQ30,""))</f>
        <v/>
      </c>
      <c r="CL30" s="139" t="str">
        <f aca="false">IF(ISBLANK($C30),"",IF($BR30&lt;&gt;Constants!$B$8,"",IF($BI30="-&gt;",2,1)))</f>
        <v/>
      </c>
      <c r="CM30" s="141" t="str">
        <f aca="false">IF(ISBLANK($C30),"",IF($BR30&lt;&gt;Constants!$B$8,"",IF($BI30="-&gt;",$BK30,$BC30)))</f>
        <v/>
      </c>
      <c r="CN30" s="141" t="str">
        <f aca="false">IF(ISBLANK($C30),"",IF($BR30&lt;&gt;Constants!$B$8,"",IF($BI30="-&gt;",$BL30,$BD30)))</f>
        <v/>
      </c>
      <c r="CO30" s="141" t="str">
        <f aca="false">IF(ISBLANK($C30),"",IF($BR30&lt;&gt;Constants!$B$8,"",IF($BI30="-&gt;",$BM30+$BN30,$BE30+$BF30)+$BV30))</f>
        <v/>
      </c>
      <c r="CP30" s="141" t="str">
        <f aca="false">IF(ISBLANK($C30),"",IF($BR30&lt;&gt;Constants!$B$8,"",IF($BI30="-&gt;",$BO30,$BG30)+$BU30))</f>
        <v/>
      </c>
      <c r="CQ30" s="142" t="str">
        <f aca="false">IF(ISBLANK($C30),"",IF($BR30&lt;&gt;Constants!$B$8,$BR30,$BW30))</f>
        <v/>
      </c>
      <c r="CR30" s="143" t="str">
        <f aca="false">IF(ISBLANK($C30),"",$BS30)</f>
        <v/>
      </c>
      <c r="CS30" s="144" t="str">
        <f aca="false">IF(ISBLANK($C30),"",$CH30)</f>
        <v/>
      </c>
      <c r="CT30" s="144" t="str">
        <f aca="false">IF(ISBLANK($C30),"",$CG30)</f>
        <v/>
      </c>
      <c r="CU30" s="145" t="str">
        <f aca="false">IF(ISBLANK($C30),"",IFERROR(_xlfn.SWITCH($CT30,Constants!$B$11,COUNTA($C$9:$C$508)+2,Constants!$B$10,COUNTA($C$9:$C$508)+1,Constants!$B$9,COUNTA($C$9:$C$508)),$CT30))</f>
        <v/>
      </c>
      <c r="CV30" s="9"/>
      <c r="CW30" s="146" t="n">
        <f aca="false">IF(OR(ISNUMBER($CT30),$CT30=Constants!$B$11,$CT30=Constants!$B$9,$CT30=Constants!$B$10),1,0)</f>
        <v>0</v>
      </c>
      <c r="CX30" s="146" t="n">
        <v>22</v>
      </c>
      <c r="CY30" s="146" t="str">
        <f aca="false">IF(ISBLANK($C30),"",IF(ISNUMBER($CU30),$CU30+ROW($B30)/1000,""))</f>
        <v/>
      </c>
      <c r="CZ30" s="146" t="str">
        <f aca="false">IF(ISNUMBER($CY30),RANK($CY30,$CY$9:$CY$508,1),"")</f>
        <v/>
      </c>
      <c r="DA30" s="146" t="str">
        <f aca="false">IF(ISBLANK($C30),"",$B30)</f>
        <v/>
      </c>
      <c r="DB30" s="146" t="str">
        <f aca="false">IF(ISBLANK($C30),"",$C30)</f>
        <v/>
      </c>
      <c r="DC30" s="146" t="str">
        <f aca="false">IF(ISBLANK($C30),"",$D30)</f>
        <v/>
      </c>
      <c r="DD30" s="147" t="str">
        <f aca="false">$CR30</f>
        <v/>
      </c>
      <c r="DE30" s="148" t="str">
        <f aca="false">$CQ30</f>
        <v/>
      </c>
      <c r="DF30" s="146" t="str">
        <f aca="false">IF(ISBLANK($C30),"",$CT30)</f>
        <v/>
      </c>
      <c r="DG30" s="149" t="str">
        <f aca="false">IF($CX30&gt;$CW$8,"",VLOOKUP($CX30,$CZ$9:$DF$508,7,FALSE()))</f>
        <v/>
      </c>
      <c r="DH30" s="150" t="str">
        <f aca="false">IF($CX30&gt;$CW$8,"",VLOOKUP($CX30,$CZ$9:$DF$508,2,FALSE()))</f>
        <v/>
      </c>
      <c r="DI30" s="150" t="str">
        <f aca="false">IF($CX30&gt;$CW$8,"",VLOOKUP($CX30,$CZ$9:$DF$508,3,FALSE()))</f>
        <v/>
      </c>
      <c r="DJ30" s="150" t="str">
        <f aca="false">IF($CX30&gt;$CW$8,"",VLOOKUP($CX30,$CZ$9:$DF$508,4,FALSE()))</f>
        <v/>
      </c>
      <c r="DK30" s="150" t="str">
        <f aca="false">IF($CX30&gt;$CW$8,"",VLOOKUP($CX30,$CZ$9:$DF$508,5,FALSE()))</f>
        <v/>
      </c>
      <c r="DL30" s="151" t="str">
        <f aca="false">IF($CX30&gt;$CW$8,"",VLOOKUP($CX30,$CZ$9:$DF$508,6,FALSE()))</f>
        <v/>
      </c>
      <c r="DM30" s="75"/>
    </row>
    <row r="31" customFormat="false" ht="15.75" hidden="false" customHeight="false" outlineLevel="0" collapsed="false">
      <c r="A31" s="9"/>
      <c r="B31" s="157"/>
      <c r="C31" s="158"/>
      <c r="D31" s="159"/>
      <c r="E31" s="160"/>
      <c r="F31" s="161"/>
      <c r="G31" s="162"/>
      <c r="H31" s="162"/>
      <c r="I31" s="163"/>
      <c r="J31" s="164"/>
      <c r="K31" s="126"/>
      <c r="L31" s="127"/>
      <c r="M31" s="128"/>
      <c r="N31" s="164"/>
      <c r="O31" s="164"/>
      <c r="P31" s="160"/>
      <c r="Q31" s="164"/>
      <c r="R31" s="164"/>
      <c r="S31" s="126"/>
      <c r="T31" s="128"/>
      <c r="U31" s="128"/>
      <c r="V31" s="164"/>
      <c r="W31" s="164"/>
      <c r="X31" s="160"/>
      <c r="Y31" s="165"/>
      <c r="Z31" s="166"/>
      <c r="AA31" s="165"/>
      <c r="AB31" s="132"/>
      <c r="AC31" s="133"/>
      <c r="AD31" s="133"/>
      <c r="AE31" s="133"/>
      <c r="AF31" s="133" t="str">
        <f aca="false">IF(ISBLANK($C31),"",IF(E31=Constants!$B$3,TRUE(),IF(E31=Constants!$B$4,FALSE(),TRUE())))</f>
        <v/>
      </c>
      <c r="AG31" s="133" t="str">
        <f aca="false">IF(ISBLANK($C31),"",IF(F31=Constants!$B$3,TRUE(),IF(F31=Constants!$B$4,FALSE(),TRUE())))</f>
        <v/>
      </c>
      <c r="AH31" s="133" t="str">
        <f aca="false">IF(ISBLANK($C31),"",IF(G31=Constants!$B$3,TRUE(),IF(G31=Constants!$B$4,FALSE(),TRUE())))</f>
        <v/>
      </c>
      <c r="AI31" s="133" t="str">
        <f aca="false">IF(ISBLANK($C31),"",IF(AND(ISNUMBER(H31),H31&gt;=0),H31,Constants!$B$29))</f>
        <v/>
      </c>
      <c r="AJ31" s="133" t="str">
        <f aca="false">IF(ISBLANK($C31),"",IF(I31=Constants!$B$3,TRUE(),IF(I31=Constants!$B$4,FALSE(),TRUE())))</f>
        <v/>
      </c>
      <c r="AK31" s="133" t="str">
        <f aca="false">IF(ISBLANK($C31),"",IF(J31=Constants!$B$3,TRUE(),IF(J31=Constants!$B$4,FALSE(),TRUE())))</f>
        <v/>
      </c>
      <c r="AL31" s="133" t="str">
        <f aca="false">IF(ISBLANK($C31),"",IF(K31=Constants!$B$5,TRUE(),IF(K31=Constants!$B$6,FALSE(),COUNTA(L31:P31)&gt;0)))</f>
        <v/>
      </c>
      <c r="AM31" s="134" t="str">
        <f aca="false">IF(ISBLANK($C31),"",IF(ISNUMBER(L31),IF(L31&gt;=0,L31,""),""))</f>
        <v/>
      </c>
      <c r="AN31" s="135" t="str">
        <f aca="false">IF(ISBLANK($C31),"",IF(ISNUMBER(M31),IF(M31&gt;=0,M31,""),""))</f>
        <v/>
      </c>
      <c r="AO31" s="135" t="str">
        <f aca="false">IF(ISBLANK($C31),"",IF(N31=Constants!$B$3,TRUE(),IF(N31=Constants!$B$4,FALSE(),TRUE())))</f>
        <v/>
      </c>
      <c r="AP31" s="133" t="str">
        <f aca="false">IF(ISBLANK($C31),"",IF(ISNUMBER(O31),IF(O31&gt;=0,O31,""),""))</f>
        <v/>
      </c>
      <c r="AQ31" s="133" t="str">
        <f aca="false">IF(ISBLANK($C31),"",IF(P31=Constants!$B$3,TRUE(),IF(P31=Constants!$B$4,FALSE(),FALSE())))</f>
        <v/>
      </c>
      <c r="AR31" s="133" t="str">
        <f aca="false">IF(ISBLANK($C31),"",IF(Q31=Constants!$B$3,TRUE(),IF(Q31=Constants!$B$4,FALSE(),TRUE())))</f>
        <v/>
      </c>
      <c r="AS31" s="133" t="str">
        <f aca="false">IF(ISBLANK($C31),"",IF(R31=Constants!$B$3,TRUE(),IF(R31=Constants!$B$4,FALSE(),TRUE())))</f>
        <v/>
      </c>
      <c r="AT31" s="133" t="str">
        <f aca="false">IF(ISBLANK($C31),"",IF(S31=Constants!$B$5,TRUE(),IF(S31=Constants!$B$6,FALSE(),COUNTA(T31:X31)&gt;0)))</f>
        <v/>
      </c>
      <c r="AU31" s="134" t="str">
        <f aca="false">IF(ISBLANK($C31),"",IF(ISNUMBER(T31),IF(T31&gt;=0,T31,""),""))</f>
        <v/>
      </c>
      <c r="AV31" s="135" t="str">
        <f aca="false">IF(ISBLANK($C31),"",IF(ISNUMBER(U31),IF(U31&gt;=0,U31,""),""))</f>
        <v/>
      </c>
      <c r="AW31" s="135" t="str">
        <f aca="false">IF(ISBLANK($C31),"",IF(V31=Constants!$B$3,TRUE(),IF(V31=Constants!$B$4,FALSE(),TRUE())))</f>
        <v/>
      </c>
      <c r="AX31" s="133" t="str">
        <f aca="false">IF(ISBLANK($C31),"",IF(ISNUMBER(W31),IF(W31&gt;=0,W31,""),""))</f>
        <v/>
      </c>
      <c r="AY31" s="133" t="str">
        <f aca="false">IF(ISBLANK($C31),"",IF(X31=Constants!$B$3,TRUE(),IF(X31=Constants!$B$4,FALSE(),FALSE())))</f>
        <v/>
      </c>
      <c r="AZ31" s="133" t="str">
        <f aca="false">IF(ISBLANK($C31),"",MIN(Constants!$B$31,MAX(0,IF(ISNUMBER(Y31),Y31*60,0)+IF(ISNUMBER(Z31),Z31,0))))</f>
        <v/>
      </c>
      <c r="BA31" s="133" t="str">
        <f aca="false">IF(ISBLANK($C31),"",IF(AA31=Constants!$B$3,TRUE(),IF(AA31=Constants!$B$4,FALSE(),FALSE())))</f>
        <v/>
      </c>
      <c r="BB31" s="132" t="str">
        <f aca="false">IF(ISBLANK($C31),"",AND($AL31,OR($AM31="",$AN31="",AND($AO31,$AP31=""))))</f>
        <v/>
      </c>
      <c r="BC31" s="135" t="str">
        <f aca="false">IF($BR31&lt;&gt;Constants!$B$8,"",IF($AL31,Constants!$B$21*$AN31+Constants!$B$22*IF($AO31,$AP31,Constants!$B$23),Constants!$B$24))</f>
        <v/>
      </c>
      <c r="BD31" s="136" t="str">
        <f aca="false">IF($BR31&lt;&gt;Constants!$B$8,"",Constants!$B$25*ABS($AD$9-IF($AL31,$AM31,0)))</f>
        <v/>
      </c>
      <c r="BE31" s="136" t="str">
        <f aca="false">IF($BR31&lt;&gt;Constants!$B$8,"",IF(AND($AL31,$AQ31,$AO31),Constants!$B$27,0))</f>
        <v/>
      </c>
      <c r="BF31" s="136" t="str">
        <f aca="false">IF($BR31&lt;&gt;Constants!$B$8,"",IF($AL31,($AI31-Constants!$B$29)*Constants!$B$28,0))</f>
        <v/>
      </c>
      <c r="BG31" s="136" t="str">
        <f aca="false">IF($BR31&lt;&gt;Constants!$B$8,"",IF($AK31,0,Constants!$B$15)+IF($AJ31,0,Constants!$B$16)+IF($AH31,0,Constants!$B$17))</f>
        <v/>
      </c>
      <c r="BH31" s="137" t="str">
        <f aca="false">IF($BR31&lt;&gt;Constants!$B$8,"",Constants!$B$20+SUM($BC31:$BG31))</f>
        <v/>
      </c>
      <c r="BI31" s="133" t="str">
        <f aca="false">IF($BR31&lt;&gt;Constants!$B$8,"",IF(OR($BP31&lt;$BH31,AND($BP31=$BH31,OR($BK31&lt;$BC31,AND($BK31=$BC31,OR($BL31&lt;$BD31,AND($BL31=$BD31,$AT31,$AL31,$AV31&lt;$AN31)))))),"-&gt;","&lt;-"))</f>
        <v/>
      </c>
      <c r="BJ31" s="132" t="str">
        <f aca="false">IF(ISBLANK($C31),"",AND($AT31,OR($AU31="",$AV31="",AND($AW31,$AX31=""))))</f>
        <v/>
      </c>
      <c r="BK31" s="135" t="str">
        <f aca="false">IF($BR31&lt;&gt;Constants!$B$8,"",IF($AT31,Constants!$B$21*$AV31+Constants!$B$22*IF($AW31,$AX31,Constants!$B$23),Constants!$B$24))</f>
        <v/>
      </c>
      <c r="BL31" s="136" t="str">
        <f aca="false">IF($BR31&lt;&gt;Constants!$B$8,"",Constants!$B$25*ABS($AD$9-IF($AT31,$AU31,0)))</f>
        <v/>
      </c>
      <c r="BM31" s="136" t="str">
        <f aca="false">IF($BR31&lt;&gt;Constants!$B$8,"",IF(AND($AT31,$AY31,$AW31),Constants!$B$27,0))</f>
        <v/>
      </c>
      <c r="BN31" s="136" t="str">
        <f aca="false">IF($BR31&lt;&gt;Constants!$B$8,"",IF($AT31,($AI31-Constants!$B$29)*Constants!$B$28,0))</f>
        <v/>
      </c>
      <c r="BO31" s="136" t="str">
        <f aca="false">IF($BR31&lt;&gt;Constants!$B$8,"",IF($AS31,0,Constants!$B$15)+IF($AR31,0,Constants!$B$16)+IF($AH31,0,Constants!$B$17))</f>
        <v/>
      </c>
      <c r="BP31" s="137" t="str">
        <f aca="false">IF($BR31&lt;&gt;Constants!$B$8,"",Constants!$B$20+SUM($BK31:$BO31))</f>
        <v/>
      </c>
      <c r="BQ31" s="133" t="str">
        <f aca="false">IF(ISBLANK($C31),"",IF(ISBLANK($D$7),$BQ$5,IF(NOT(ISNUMBER($D$7)),$BQ$6,"")))</f>
        <v/>
      </c>
      <c r="BR31" s="133" t="str">
        <f aca="false">IF(ISBLANK($C31),"",IF($BA31,Constants!$B$11,IF(COUNTA($E31:$AA31)=0,Constants!$B$10,IF(NOT($AG31),Constants!$B$9,IF(OR($BQ31&lt;&gt;"",$BB31,$BJ31),Constants!$B$12,Constants!$B$8)))))</f>
        <v/>
      </c>
      <c r="BS31" s="133" t="str">
        <f aca="false">IF(ISBLANK($C31),"",IF($BR31&lt;&gt;Constants!$B$8,$BR31,Constants!$B$13))</f>
        <v/>
      </c>
      <c r="BT31" s="136" t="str">
        <f aca="false">IF($BR31&lt;&gt;Constants!$B$8,"",IF($BI31="-&gt;",$BP31,$BH31))</f>
        <v/>
      </c>
      <c r="BU31" s="136" t="str">
        <f aca="false">IF($BR31&lt;&gt;Constants!$B$8,"",IF($AF31,0,Constants!$B$18))</f>
        <v/>
      </c>
      <c r="BV31" s="136" t="str">
        <f aca="false">IF($BR31&lt;&gt;Constants!$B$8,"",((Constants!$B$31-$AZ31)-Constants!$B$31)/Constants!$B$32)</f>
        <v/>
      </c>
      <c r="BW31" s="136" t="str">
        <f aca="false">IF(ISBLANK($C31),"",IF($BR31&lt;&gt;Constants!$B$8,$BR31,SUM($BT31:$BV31)))</f>
        <v/>
      </c>
      <c r="BX31" s="133" t="str">
        <f aca="false">IF(ISBLANK($C31),"",IF($BR31&lt;&gt;Constants!$B$8,$BR31,RANK($BW31,$BW$9:$BW$508,1)))</f>
        <v/>
      </c>
      <c r="BY31" s="136" t="str">
        <f aca="false">IF($BR31&lt;&gt;Constants!$B$8,"",IF($BI31="-&gt;",$BK31,$BC31))</f>
        <v/>
      </c>
      <c r="BZ31" s="133" t="str">
        <f aca="false">IF(ISBLANK($C31),"",IF($BR31&lt;&gt;Constants!$B$8,$BR31,IF(ISNUMBER($BY31),RANK($BY31,$BY$9:$BY$508,1),COUNT($BY$9:$BY$508)+1)))</f>
        <v/>
      </c>
      <c r="CA31" s="136" t="str">
        <f aca="false">IF($BR31&lt;&gt;Constants!$B$8,"",IF($BI31="-&gt;",$BL31,$BD31))</f>
        <v/>
      </c>
      <c r="CB31" s="133" t="str">
        <f aca="false">IF(ISBLANK($C31),"",IF($BR31&lt;&gt;Constants!$B$8,$BR31,IF(ISNUMBER($CA31),RANK($CA31,$CA$9:$CA$508,1),COUNT($CA$9:$CA$508)+1)))</f>
        <v/>
      </c>
      <c r="CC31" s="136" t="str">
        <f aca="false">IF($BR31&lt;&gt;Constants!$B$8,"",IF($BI31="-&gt;",IF($AT31,$AV31,""),IF($AL31,$AN31,"")))</f>
        <v/>
      </c>
      <c r="CD31" s="133" t="str">
        <f aca="false">IF(ISBLANK($C31),"",IF($BR31&lt;&gt;Constants!$B$8,$BR31,IF(ISNUMBER($CC31),RANK($CC31,$CC$9:$CC$508,1),COUNT($CC$9:$CC$508)+1)))</f>
        <v/>
      </c>
      <c r="CE31" s="136" t="str">
        <f aca="false">IF($BR31&lt;&gt;Constants!$B$8,"",IF(AND(NOT($AL31),NOT($AT31),$AJ31,$AK31,$AR31,$AS31),"",$AI31))</f>
        <v/>
      </c>
      <c r="CF31" s="133" t="str">
        <f aca="false">IF(ISBLANK($C31),"",IF($BR31&lt;&gt;Constants!$B$8,$BR31,IF(ISNUMBER($CE31),RANK($CE31,$CE$9:$CE$508,1),COUNT($CE$9:$CE$508)+1)))</f>
        <v/>
      </c>
      <c r="CG31" s="133" t="str">
        <f aca="false">IF(ISBLANK($C31),"",IF($BR31&lt;&gt;Constants!$B$8,$BR31,COUNTIFS($BX$9:$BX$508,"&lt;"&amp;$BX31)+COUNTIFS($BX$9:$BX$508,$BX31,$BZ$9:$BZ$508,"&lt;"&amp;$BZ31)+COUNTIFS($BX$9:$BX$508,$BX31,$BZ$9:$BZ$508,$BZ31,$CB$9:$CB$508,"&lt;"&amp;$CB31)+COUNTIFS($BX$9:$BX$508,$BX31,$BZ$9:$BZ$508,$BZ31,$CB$9:$CB$508,$CB31,$CD$9:$CD$508,"&lt;"&amp;$CD31)+COUNTIFS($BX$9:$BX$508,$BX31,$BZ$9:$BZ$508,$BZ31,$CB$9:$CB$508,$CB31,$CD$9:$CD$508,$CD31,$CF$9:$CF$508,"&lt;"&amp;$CF31)+1))</f>
        <v/>
      </c>
      <c r="CH31" s="133" t="str">
        <f aca="false">IF(ISBLANK($C31),"",IF($BR31&lt;&gt;Constants!$B$8,$BR31,$BX31-$CG31))</f>
        <v/>
      </c>
      <c r="CI31" s="138"/>
      <c r="CJ31" s="139"/>
      <c r="CK31" s="140" t="str">
        <f aca="false">IF(ISBLANK($C31),"",IF($BR31=Constants!$B$12,$BQ31,""))</f>
        <v/>
      </c>
      <c r="CL31" s="139" t="str">
        <f aca="false">IF(ISBLANK($C31),"",IF($BR31&lt;&gt;Constants!$B$8,"",IF($BI31="-&gt;",2,1)))</f>
        <v/>
      </c>
      <c r="CM31" s="141" t="str">
        <f aca="false">IF(ISBLANK($C31),"",IF($BR31&lt;&gt;Constants!$B$8,"",IF($BI31="-&gt;",$BK31,$BC31)))</f>
        <v/>
      </c>
      <c r="CN31" s="141" t="str">
        <f aca="false">IF(ISBLANK($C31),"",IF($BR31&lt;&gt;Constants!$B$8,"",IF($BI31="-&gt;",$BL31,$BD31)))</f>
        <v/>
      </c>
      <c r="CO31" s="141" t="str">
        <f aca="false">IF(ISBLANK($C31),"",IF($BR31&lt;&gt;Constants!$B$8,"",IF($BI31="-&gt;",$BM31+$BN31,$BE31+$BF31)+$BV31))</f>
        <v/>
      </c>
      <c r="CP31" s="141" t="str">
        <f aca="false">IF(ISBLANK($C31),"",IF($BR31&lt;&gt;Constants!$B$8,"",IF($BI31="-&gt;",$BO31,$BG31)+$BU31))</f>
        <v/>
      </c>
      <c r="CQ31" s="142" t="str">
        <f aca="false">IF(ISBLANK($C31),"",IF($BR31&lt;&gt;Constants!$B$8,$BR31,$BW31))</f>
        <v/>
      </c>
      <c r="CR31" s="143" t="str">
        <f aca="false">IF(ISBLANK($C31),"",$BS31)</f>
        <v/>
      </c>
      <c r="CS31" s="144" t="str">
        <f aca="false">IF(ISBLANK($C31),"",$CH31)</f>
        <v/>
      </c>
      <c r="CT31" s="144" t="str">
        <f aca="false">IF(ISBLANK($C31),"",$CG31)</f>
        <v/>
      </c>
      <c r="CU31" s="145" t="str">
        <f aca="false">IF(ISBLANK($C31),"",IFERROR(_xlfn.SWITCH($CT31,Constants!$B$11,COUNTA($C$9:$C$508)+2,Constants!$B$10,COUNTA($C$9:$C$508)+1,Constants!$B$9,COUNTA($C$9:$C$508)),$CT31))</f>
        <v/>
      </c>
      <c r="CV31" s="9"/>
      <c r="CW31" s="146" t="n">
        <f aca="false">IF(OR(ISNUMBER($CT31),$CT31=Constants!$B$11,$CT31=Constants!$B$9,$CT31=Constants!$B$10),1,0)</f>
        <v>0</v>
      </c>
      <c r="CX31" s="146" t="n">
        <v>23</v>
      </c>
      <c r="CY31" s="146" t="str">
        <f aca="false">IF(ISBLANK($C31),"",IF(ISNUMBER($CU31),$CU31+ROW($B31)/1000,""))</f>
        <v/>
      </c>
      <c r="CZ31" s="146" t="str">
        <f aca="false">IF(ISNUMBER($CY31),RANK($CY31,$CY$9:$CY$508,1),"")</f>
        <v/>
      </c>
      <c r="DA31" s="146" t="str">
        <f aca="false">IF(ISBLANK($C31),"",$B31)</f>
        <v/>
      </c>
      <c r="DB31" s="146" t="str">
        <f aca="false">IF(ISBLANK($C31),"",$C31)</f>
        <v/>
      </c>
      <c r="DC31" s="146" t="str">
        <f aca="false">IF(ISBLANK($C31),"",$D31)</f>
        <v/>
      </c>
      <c r="DD31" s="147" t="str">
        <f aca="false">$CR31</f>
        <v/>
      </c>
      <c r="DE31" s="148" t="str">
        <f aca="false">$CQ31</f>
        <v/>
      </c>
      <c r="DF31" s="146" t="str">
        <f aca="false">IF(ISBLANK($C31),"",$CT31)</f>
        <v/>
      </c>
      <c r="DG31" s="149" t="str">
        <f aca="false">IF($CX31&gt;$CW$8,"",VLOOKUP($CX31,$CZ$9:$DF$508,7,FALSE()))</f>
        <v/>
      </c>
      <c r="DH31" s="150" t="str">
        <f aca="false">IF($CX31&gt;$CW$8,"",VLOOKUP($CX31,$CZ$9:$DF$508,2,FALSE()))</f>
        <v/>
      </c>
      <c r="DI31" s="150" t="str">
        <f aca="false">IF($CX31&gt;$CW$8,"",VLOOKUP($CX31,$CZ$9:$DF$508,3,FALSE()))</f>
        <v/>
      </c>
      <c r="DJ31" s="150" t="str">
        <f aca="false">IF($CX31&gt;$CW$8,"",VLOOKUP($CX31,$CZ$9:$DF$508,4,FALSE()))</f>
        <v/>
      </c>
      <c r="DK31" s="150" t="str">
        <f aca="false">IF($CX31&gt;$CW$8,"",VLOOKUP($CX31,$CZ$9:$DF$508,5,FALSE()))</f>
        <v/>
      </c>
      <c r="DL31" s="151" t="str">
        <f aca="false">IF($CX31&gt;$CW$8,"",VLOOKUP($CX31,$CZ$9:$DF$508,6,FALSE()))</f>
        <v/>
      </c>
      <c r="DM31" s="75"/>
    </row>
    <row r="32" customFormat="false" ht="15.75" hidden="false" customHeight="false" outlineLevel="0" collapsed="false">
      <c r="A32" s="9"/>
      <c r="B32" s="157"/>
      <c r="C32" s="158"/>
      <c r="D32" s="159"/>
      <c r="E32" s="160"/>
      <c r="F32" s="161"/>
      <c r="G32" s="162"/>
      <c r="H32" s="162"/>
      <c r="I32" s="163"/>
      <c r="J32" s="164"/>
      <c r="K32" s="126"/>
      <c r="L32" s="127"/>
      <c r="M32" s="128"/>
      <c r="N32" s="164"/>
      <c r="O32" s="164"/>
      <c r="P32" s="160"/>
      <c r="Q32" s="164"/>
      <c r="R32" s="164"/>
      <c r="S32" s="126"/>
      <c r="T32" s="128"/>
      <c r="U32" s="128"/>
      <c r="V32" s="164"/>
      <c r="W32" s="164"/>
      <c r="X32" s="160"/>
      <c r="Y32" s="165"/>
      <c r="Z32" s="166"/>
      <c r="AA32" s="165"/>
      <c r="AB32" s="132"/>
      <c r="AC32" s="133"/>
      <c r="AD32" s="133"/>
      <c r="AE32" s="133"/>
      <c r="AF32" s="133" t="str">
        <f aca="false">IF(ISBLANK($C32),"",IF(E32=Constants!$B$3,TRUE(),IF(E32=Constants!$B$4,FALSE(),TRUE())))</f>
        <v/>
      </c>
      <c r="AG32" s="133" t="str">
        <f aca="false">IF(ISBLANK($C32),"",IF(F32=Constants!$B$3,TRUE(),IF(F32=Constants!$B$4,FALSE(),TRUE())))</f>
        <v/>
      </c>
      <c r="AH32" s="133" t="str">
        <f aca="false">IF(ISBLANK($C32),"",IF(G32=Constants!$B$3,TRUE(),IF(G32=Constants!$B$4,FALSE(),TRUE())))</f>
        <v/>
      </c>
      <c r="AI32" s="133" t="str">
        <f aca="false">IF(ISBLANK($C32),"",IF(AND(ISNUMBER(H32),H32&gt;=0),H32,Constants!$B$29))</f>
        <v/>
      </c>
      <c r="AJ32" s="133" t="str">
        <f aca="false">IF(ISBLANK($C32),"",IF(I32=Constants!$B$3,TRUE(),IF(I32=Constants!$B$4,FALSE(),TRUE())))</f>
        <v/>
      </c>
      <c r="AK32" s="133" t="str">
        <f aca="false">IF(ISBLANK($C32),"",IF(J32=Constants!$B$3,TRUE(),IF(J32=Constants!$B$4,FALSE(),TRUE())))</f>
        <v/>
      </c>
      <c r="AL32" s="133" t="str">
        <f aca="false">IF(ISBLANK($C32),"",IF(K32=Constants!$B$5,TRUE(),IF(K32=Constants!$B$6,FALSE(),COUNTA(L32:P32)&gt;0)))</f>
        <v/>
      </c>
      <c r="AM32" s="134" t="str">
        <f aca="false">IF(ISBLANK($C32),"",IF(ISNUMBER(L32),IF(L32&gt;=0,L32,""),""))</f>
        <v/>
      </c>
      <c r="AN32" s="135" t="str">
        <f aca="false">IF(ISBLANK($C32),"",IF(ISNUMBER(M32),IF(M32&gt;=0,M32,""),""))</f>
        <v/>
      </c>
      <c r="AO32" s="135" t="str">
        <f aca="false">IF(ISBLANK($C32),"",IF(N32=Constants!$B$3,TRUE(),IF(N32=Constants!$B$4,FALSE(),TRUE())))</f>
        <v/>
      </c>
      <c r="AP32" s="133" t="str">
        <f aca="false">IF(ISBLANK($C32),"",IF(ISNUMBER(O32),IF(O32&gt;=0,O32,""),""))</f>
        <v/>
      </c>
      <c r="AQ32" s="133" t="str">
        <f aca="false">IF(ISBLANK($C32),"",IF(P32=Constants!$B$3,TRUE(),IF(P32=Constants!$B$4,FALSE(),FALSE())))</f>
        <v/>
      </c>
      <c r="AR32" s="133" t="str">
        <f aca="false">IF(ISBLANK($C32),"",IF(Q32=Constants!$B$3,TRUE(),IF(Q32=Constants!$B$4,FALSE(),TRUE())))</f>
        <v/>
      </c>
      <c r="AS32" s="133" t="str">
        <f aca="false">IF(ISBLANK($C32),"",IF(R32=Constants!$B$3,TRUE(),IF(R32=Constants!$B$4,FALSE(),TRUE())))</f>
        <v/>
      </c>
      <c r="AT32" s="133" t="str">
        <f aca="false">IF(ISBLANK($C32),"",IF(S32=Constants!$B$5,TRUE(),IF(S32=Constants!$B$6,FALSE(),COUNTA(T32:X32)&gt;0)))</f>
        <v/>
      </c>
      <c r="AU32" s="134" t="str">
        <f aca="false">IF(ISBLANK($C32),"",IF(ISNUMBER(T32),IF(T32&gt;=0,T32,""),""))</f>
        <v/>
      </c>
      <c r="AV32" s="135" t="str">
        <f aca="false">IF(ISBLANK($C32),"",IF(ISNUMBER(U32),IF(U32&gt;=0,U32,""),""))</f>
        <v/>
      </c>
      <c r="AW32" s="135" t="str">
        <f aca="false">IF(ISBLANK($C32),"",IF(V32=Constants!$B$3,TRUE(),IF(V32=Constants!$B$4,FALSE(),TRUE())))</f>
        <v/>
      </c>
      <c r="AX32" s="133" t="str">
        <f aca="false">IF(ISBLANK($C32),"",IF(ISNUMBER(W32),IF(W32&gt;=0,W32,""),""))</f>
        <v/>
      </c>
      <c r="AY32" s="133" t="str">
        <f aca="false">IF(ISBLANK($C32),"",IF(X32=Constants!$B$3,TRUE(),IF(X32=Constants!$B$4,FALSE(),FALSE())))</f>
        <v/>
      </c>
      <c r="AZ32" s="133" t="str">
        <f aca="false">IF(ISBLANK($C32),"",MIN(Constants!$B$31,MAX(0,IF(ISNUMBER(Y32),Y32*60,0)+IF(ISNUMBER(Z32),Z32,0))))</f>
        <v/>
      </c>
      <c r="BA32" s="133" t="str">
        <f aca="false">IF(ISBLANK($C32),"",IF(AA32=Constants!$B$3,TRUE(),IF(AA32=Constants!$B$4,FALSE(),FALSE())))</f>
        <v/>
      </c>
      <c r="BB32" s="132" t="str">
        <f aca="false">IF(ISBLANK($C32),"",AND($AL32,OR($AM32="",$AN32="",AND($AO32,$AP32=""))))</f>
        <v/>
      </c>
      <c r="BC32" s="135" t="str">
        <f aca="false">IF($BR32&lt;&gt;Constants!$B$8,"",IF($AL32,Constants!$B$21*$AN32+Constants!$B$22*IF($AO32,$AP32,Constants!$B$23),Constants!$B$24))</f>
        <v/>
      </c>
      <c r="BD32" s="136" t="str">
        <f aca="false">IF($BR32&lt;&gt;Constants!$B$8,"",Constants!$B$25*ABS($AD$9-IF($AL32,$AM32,0)))</f>
        <v/>
      </c>
      <c r="BE32" s="136" t="str">
        <f aca="false">IF($BR32&lt;&gt;Constants!$B$8,"",IF(AND($AL32,$AQ32,$AO32),Constants!$B$27,0))</f>
        <v/>
      </c>
      <c r="BF32" s="136" t="str">
        <f aca="false">IF($BR32&lt;&gt;Constants!$B$8,"",IF($AL32,($AI32-Constants!$B$29)*Constants!$B$28,0))</f>
        <v/>
      </c>
      <c r="BG32" s="136" t="str">
        <f aca="false">IF($BR32&lt;&gt;Constants!$B$8,"",IF($AK32,0,Constants!$B$15)+IF($AJ32,0,Constants!$B$16)+IF($AH32,0,Constants!$B$17))</f>
        <v/>
      </c>
      <c r="BH32" s="137" t="str">
        <f aca="false">IF($BR32&lt;&gt;Constants!$B$8,"",Constants!$B$20+SUM($BC32:$BG32))</f>
        <v/>
      </c>
      <c r="BI32" s="133" t="str">
        <f aca="false">IF($BR32&lt;&gt;Constants!$B$8,"",IF(OR($BP32&lt;$BH32,AND($BP32=$BH32,OR($BK32&lt;$BC32,AND($BK32=$BC32,OR($BL32&lt;$BD32,AND($BL32=$BD32,$AT32,$AL32,$AV32&lt;$AN32)))))),"-&gt;","&lt;-"))</f>
        <v/>
      </c>
      <c r="BJ32" s="132" t="str">
        <f aca="false">IF(ISBLANK($C32),"",AND($AT32,OR($AU32="",$AV32="",AND($AW32,$AX32=""))))</f>
        <v/>
      </c>
      <c r="BK32" s="135" t="str">
        <f aca="false">IF($BR32&lt;&gt;Constants!$B$8,"",IF($AT32,Constants!$B$21*$AV32+Constants!$B$22*IF($AW32,$AX32,Constants!$B$23),Constants!$B$24))</f>
        <v/>
      </c>
      <c r="BL32" s="136" t="str">
        <f aca="false">IF($BR32&lt;&gt;Constants!$B$8,"",Constants!$B$25*ABS($AD$9-IF($AT32,$AU32,0)))</f>
        <v/>
      </c>
      <c r="BM32" s="136" t="str">
        <f aca="false">IF($BR32&lt;&gt;Constants!$B$8,"",IF(AND($AT32,$AY32,$AW32),Constants!$B$27,0))</f>
        <v/>
      </c>
      <c r="BN32" s="136" t="str">
        <f aca="false">IF($BR32&lt;&gt;Constants!$B$8,"",IF($AT32,($AI32-Constants!$B$29)*Constants!$B$28,0))</f>
        <v/>
      </c>
      <c r="BO32" s="136" t="str">
        <f aca="false">IF($BR32&lt;&gt;Constants!$B$8,"",IF($AS32,0,Constants!$B$15)+IF($AR32,0,Constants!$B$16)+IF($AH32,0,Constants!$B$17))</f>
        <v/>
      </c>
      <c r="BP32" s="137" t="str">
        <f aca="false">IF($BR32&lt;&gt;Constants!$B$8,"",Constants!$B$20+SUM($BK32:$BO32))</f>
        <v/>
      </c>
      <c r="BQ32" s="133" t="str">
        <f aca="false">IF(ISBLANK($C32),"",IF(ISBLANK($D$7),$BQ$5,IF(NOT(ISNUMBER($D$7)),$BQ$6,"")))</f>
        <v/>
      </c>
      <c r="BR32" s="133" t="str">
        <f aca="false">IF(ISBLANK($C32),"",IF($BA32,Constants!$B$11,IF(COUNTA($E32:$AA32)=0,Constants!$B$10,IF(NOT($AG32),Constants!$B$9,IF(OR($BQ32&lt;&gt;"",$BB32,$BJ32),Constants!$B$12,Constants!$B$8)))))</f>
        <v/>
      </c>
      <c r="BS32" s="133" t="str">
        <f aca="false">IF(ISBLANK($C32),"",IF($BR32&lt;&gt;Constants!$B$8,$BR32,Constants!$B$13))</f>
        <v/>
      </c>
      <c r="BT32" s="136" t="str">
        <f aca="false">IF($BR32&lt;&gt;Constants!$B$8,"",IF($BI32="-&gt;",$BP32,$BH32))</f>
        <v/>
      </c>
      <c r="BU32" s="136" t="str">
        <f aca="false">IF($BR32&lt;&gt;Constants!$B$8,"",IF($AF32,0,Constants!$B$18))</f>
        <v/>
      </c>
      <c r="BV32" s="136" t="str">
        <f aca="false">IF($BR32&lt;&gt;Constants!$B$8,"",((Constants!$B$31-$AZ32)-Constants!$B$31)/Constants!$B$32)</f>
        <v/>
      </c>
      <c r="BW32" s="136" t="str">
        <f aca="false">IF(ISBLANK($C32),"",IF($BR32&lt;&gt;Constants!$B$8,$BR32,SUM($BT32:$BV32)))</f>
        <v/>
      </c>
      <c r="BX32" s="133" t="str">
        <f aca="false">IF(ISBLANK($C32),"",IF($BR32&lt;&gt;Constants!$B$8,$BR32,RANK($BW32,$BW$9:$BW$508,1)))</f>
        <v/>
      </c>
      <c r="BY32" s="136" t="str">
        <f aca="false">IF($BR32&lt;&gt;Constants!$B$8,"",IF($BI32="-&gt;",$BK32,$BC32))</f>
        <v/>
      </c>
      <c r="BZ32" s="133" t="str">
        <f aca="false">IF(ISBLANK($C32),"",IF($BR32&lt;&gt;Constants!$B$8,$BR32,IF(ISNUMBER($BY32),RANK($BY32,$BY$9:$BY$508,1),COUNT($BY$9:$BY$508)+1)))</f>
        <v/>
      </c>
      <c r="CA32" s="136" t="str">
        <f aca="false">IF($BR32&lt;&gt;Constants!$B$8,"",IF($BI32="-&gt;",$BL32,$BD32))</f>
        <v/>
      </c>
      <c r="CB32" s="133" t="str">
        <f aca="false">IF(ISBLANK($C32),"",IF($BR32&lt;&gt;Constants!$B$8,$BR32,IF(ISNUMBER($CA32),RANK($CA32,$CA$9:$CA$508,1),COUNT($CA$9:$CA$508)+1)))</f>
        <v/>
      </c>
      <c r="CC32" s="136" t="str">
        <f aca="false">IF($BR32&lt;&gt;Constants!$B$8,"",IF($BI32="-&gt;",IF($AT32,$AV32,""),IF($AL32,$AN32,"")))</f>
        <v/>
      </c>
      <c r="CD32" s="133" t="str">
        <f aca="false">IF(ISBLANK($C32),"",IF($BR32&lt;&gt;Constants!$B$8,$BR32,IF(ISNUMBER($CC32),RANK($CC32,$CC$9:$CC$508,1),COUNT($CC$9:$CC$508)+1)))</f>
        <v/>
      </c>
      <c r="CE32" s="136" t="str">
        <f aca="false">IF($BR32&lt;&gt;Constants!$B$8,"",IF(AND(NOT($AL32),NOT($AT32),$AJ32,$AK32,$AR32,$AS32),"",$AI32))</f>
        <v/>
      </c>
      <c r="CF32" s="133" t="str">
        <f aca="false">IF(ISBLANK($C32),"",IF($BR32&lt;&gt;Constants!$B$8,$BR32,IF(ISNUMBER($CE32),RANK($CE32,$CE$9:$CE$508,1),COUNT($CE$9:$CE$508)+1)))</f>
        <v/>
      </c>
      <c r="CG32" s="133" t="str">
        <f aca="false">IF(ISBLANK($C32),"",IF($BR32&lt;&gt;Constants!$B$8,$BR32,COUNTIFS($BX$9:$BX$508,"&lt;"&amp;$BX32)+COUNTIFS($BX$9:$BX$508,$BX32,$BZ$9:$BZ$508,"&lt;"&amp;$BZ32)+COUNTIFS($BX$9:$BX$508,$BX32,$BZ$9:$BZ$508,$BZ32,$CB$9:$CB$508,"&lt;"&amp;$CB32)+COUNTIFS($BX$9:$BX$508,$BX32,$BZ$9:$BZ$508,$BZ32,$CB$9:$CB$508,$CB32,$CD$9:$CD$508,"&lt;"&amp;$CD32)+COUNTIFS($BX$9:$BX$508,$BX32,$BZ$9:$BZ$508,$BZ32,$CB$9:$CB$508,$CB32,$CD$9:$CD$508,$CD32,$CF$9:$CF$508,"&lt;"&amp;$CF32)+1))</f>
        <v/>
      </c>
      <c r="CH32" s="133" t="str">
        <f aca="false">IF(ISBLANK($C32),"",IF($BR32&lt;&gt;Constants!$B$8,$BR32,$BX32-$CG32))</f>
        <v/>
      </c>
      <c r="CI32" s="138"/>
      <c r="CJ32" s="139"/>
      <c r="CK32" s="140" t="str">
        <f aca="false">IF(ISBLANK($C32),"",IF($BR32=Constants!$B$12,$BQ32,""))</f>
        <v/>
      </c>
      <c r="CL32" s="139" t="str">
        <f aca="false">IF(ISBLANK($C32),"",IF($BR32&lt;&gt;Constants!$B$8,"",IF($BI32="-&gt;",2,1)))</f>
        <v/>
      </c>
      <c r="CM32" s="141" t="str">
        <f aca="false">IF(ISBLANK($C32),"",IF($BR32&lt;&gt;Constants!$B$8,"",IF($BI32="-&gt;",$BK32,$BC32)))</f>
        <v/>
      </c>
      <c r="CN32" s="141" t="str">
        <f aca="false">IF(ISBLANK($C32),"",IF($BR32&lt;&gt;Constants!$B$8,"",IF($BI32="-&gt;",$BL32,$BD32)))</f>
        <v/>
      </c>
      <c r="CO32" s="141" t="str">
        <f aca="false">IF(ISBLANK($C32),"",IF($BR32&lt;&gt;Constants!$B$8,"",IF($BI32="-&gt;",$BM32+$BN32,$BE32+$BF32)+$BV32))</f>
        <v/>
      </c>
      <c r="CP32" s="141" t="str">
        <f aca="false">IF(ISBLANK($C32),"",IF($BR32&lt;&gt;Constants!$B$8,"",IF($BI32="-&gt;",$BO32,$BG32)+$BU32))</f>
        <v/>
      </c>
      <c r="CQ32" s="142" t="str">
        <f aca="false">IF(ISBLANK($C32),"",IF($BR32&lt;&gt;Constants!$B$8,$BR32,$BW32))</f>
        <v/>
      </c>
      <c r="CR32" s="143" t="str">
        <f aca="false">IF(ISBLANK($C32),"",$BS32)</f>
        <v/>
      </c>
      <c r="CS32" s="144" t="str">
        <f aca="false">IF(ISBLANK($C32),"",$CH32)</f>
        <v/>
      </c>
      <c r="CT32" s="144" t="str">
        <f aca="false">IF(ISBLANK($C32),"",$CG32)</f>
        <v/>
      </c>
      <c r="CU32" s="145" t="str">
        <f aca="false">IF(ISBLANK($C32),"",IFERROR(_xlfn.SWITCH($CT32,Constants!$B$11,COUNTA($C$9:$C$508)+2,Constants!$B$10,COUNTA($C$9:$C$508)+1,Constants!$B$9,COUNTA($C$9:$C$508)),$CT32))</f>
        <v/>
      </c>
      <c r="CV32" s="9"/>
      <c r="CW32" s="146" t="n">
        <f aca="false">IF(OR(ISNUMBER($CT32),$CT32=Constants!$B$11,$CT32=Constants!$B$9,$CT32=Constants!$B$10),1,0)</f>
        <v>0</v>
      </c>
      <c r="CX32" s="146" t="n">
        <v>24</v>
      </c>
      <c r="CY32" s="146" t="str">
        <f aca="false">IF(ISBLANK($C32),"",IF(ISNUMBER($CU32),$CU32+ROW($B32)/1000,""))</f>
        <v/>
      </c>
      <c r="CZ32" s="146" t="str">
        <f aca="false">IF(ISNUMBER($CY32),RANK($CY32,$CY$9:$CY$508,1),"")</f>
        <v/>
      </c>
      <c r="DA32" s="146" t="str">
        <f aca="false">IF(ISBLANK($C32),"",$B32)</f>
        <v/>
      </c>
      <c r="DB32" s="146" t="str">
        <f aca="false">IF(ISBLANK($C32),"",$C32)</f>
        <v/>
      </c>
      <c r="DC32" s="146" t="str">
        <f aca="false">IF(ISBLANK($C32),"",$D32)</f>
        <v/>
      </c>
      <c r="DD32" s="147" t="str">
        <f aca="false">$CR32</f>
        <v/>
      </c>
      <c r="DE32" s="148" t="str">
        <f aca="false">$CQ32</f>
        <v/>
      </c>
      <c r="DF32" s="146" t="str">
        <f aca="false">IF(ISBLANK($C32),"",$CT32)</f>
        <v/>
      </c>
      <c r="DG32" s="149" t="str">
        <f aca="false">IF($CX32&gt;$CW$8,"",VLOOKUP($CX32,$CZ$9:$DF$508,7,FALSE()))</f>
        <v/>
      </c>
      <c r="DH32" s="150" t="str">
        <f aca="false">IF($CX32&gt;$CW$8,"",VLOOKUP($CX32,$CZ$9:$DF$508,2,FALSE()))</f>
        <v/>
      </c>
      <c r="DI32" s="150" t="str">
        <f aca="false">IF($CX32&gt;$CW$8,"",VLOOKUP($CX32,$CZ$9:$DF$508,3,FALSE()))</f>
        <v/>
      </c>
      <c r="DJ32" s="150" t="str">
        <f aca="false">IF($CX32&gt;$CW$8,"",VLOOKUP($CX32,$CZ$9:$DF$508,4,FALSE()))</f>
        <v/>
      </c>
      <c r="DK32" s="150" t="str">
        <f aca="false">IF($CX32&gt;$CW$8,"",VLOOKUP($CX32,$CZ$9:$DF$508,5,FALSE()))</f>
        <v/>
      </c>
      <c r="DL32" s="151" t="str">
        <f aca="false">IF($CX32&gt;$CW$8,"",VLOOKUP($CX32,$CZ$9:$DF$508,6,FALSE()))</f>
        <v/>
      </c>
      <c r="DM32" s="75"/>
    </row>
    <row r="33" customFormat="false" ht="15.75" hidden="false" customHeight="false" outlineLevel="0" collapsed="false">
      <c r="A33" s="9"/>
      <c r="B33" s="77"/>
      <c r="C33" s="78"/>
      <c r="D33" s="167"/>
      <c r="E33" s="168"/>
      <c r="F33" s="169"/>
      <c r="G33" s="170"/>
      <c r="H33" s="170"/>
      <c r="I33" s="171"/>
      <c r="J33" s="172"/>
      <c r="K33" s="85"/>
      <c r="L33" s="86"/>
      <c r="M33" s="87"/>
      <c r="N33" s="172"/>
      <c r="O33" s="172"/>
      <c r="P33" s="168"/>
      <c r="Q33" s="172"/>
      <c r="R33" s="172"/>
      <c r="S33" s="85"/>
      <c r="T33" s="87"/>
      <c r="U33" s="87"/>
      <c r="V33" s="172"/>
      <c r="W33" s="172"/>
      <c r="X33" s="168"/>
      <c r="Y33" s="173"/>
      <c r="Z33" s="174"/>
      <c r="AA33" s="173"/>
      <c r="AB33" s="91"/>
      <c r="AC33" s="92"/>
      <c r="AD33" s="92"/>
      <c r="AE33" s="92"/>
      <c r="AF33" s="92" t="str">
        <f aca="false">IF(ISBLANK($C33),"",IF(E33=Constants!$B$3,TRUE(),IF(E33=Constants!$B$4,FALSE(),TRUE())))</f>
        <v/>
      </c>
      <c r="AG33" s="92" t="str">
        <f aca="false">IF(ISBLANK($C33),"",IF(F33=Constants!$B$3,TRUE(),IF(F33=Constants!$B$4,FALSE(),TRUE())))</f>
        <v/>
      </c>
      <c r="AH33" s="92" t="str">
        <f aca="false">IF(ISBLANK($C33),"",IF(G33=Constants!$B$3,TRUE(),IF(G33=Constants!$B$4,FALSE(),TRUE())))</f>
        <v/>
      </c>
      <c r="AI33" s="92" t="str">
        <f aca="false">IF(ISBLANK($C33),"",IF(AND(ISNUMBER(H33),H33&gt;=0),H33,Constants!$B$29))</f>
        <v/>
      </c>
      <c r="AJ33" s="92" t="str">
        <f aca="false">IF(ISBLANK($C33),"",IF(I33=Constants!$B$3,TRUE(),IF(I33=Constants!$B$4,FALSE(),TRUE())))</f>
        <v/>
      </c>
      <c r="AK33" s="92" t="str">
        <f aca="false">IF(ISBLANK($C33),"",IF(J33=Constants!$B$3,TRUE(),IF(J33=Constants!$B$4,FALSE(),TRUE())))</f>
        <v/>
      </c>
      <c r="AL33" s="92" t="str">
        <f aca="false">IF(ISBLANK($C33),"",IF(K33=Constants!$B$5,TRUE(),IF(K33=Constants!$B$6,FALSE(),COUNTA(L33:P33)&gt;0)))</f>
        <v/>
      </c>
      <c r="AM33" s="94" t="str">
        <f aca="false">IF(ISBLANK($C33),"",IF(ISNUMBER(L33),IF(L33&gt;=0,L33,""),""))</f>
        <v/>
      </c>
      <c r="AN33" s="93" t="str">
        <f aca="false">IF(ISBLANK($C33),"",IF(ISNUMBER(M33),IF(M33&gt;=0,M33,""),""))</f>
        <v/>
      </c>
      <c r="AO33" s="93" t="str">
        <f aca="false">IF(ISBLANK($C33),"",IF(N33=Constants!$B$3,TRUE(),IF(N33=Constants!$B$4,FALSE(),TRUE())))</f>
        <v/>
      </c>
      <c r="AP33" s="92" t="str">
        <f aca="false">IF(ISBLANK($C33),"",IF(ISNUMBER(O33),IF(O33&gt;=0,O33,""),""))</f>
        <v/>
      </c>
      <c r="AQ33" s="92" t="str">
        <f aca="false">IF(ISBLANK($C33),"",IF(P33=Constants!$B$3,TRUE(),IF(P33=Constants!$B$4,FALSE(),FALSE())))</f>
        <v/>
      </c>
      <c r="AR33" s="92" t="str">
        <f aca="false">IF(ISBLANK($C33),"",IF(Q33=Constants!$B$3,TRUE(),IF(Q33=Constants!$B$4,FALSE(),TRUE())))</f>
        <v/>
      </c>
      <c r="AS33" s="92" t="str">
        <f aca="false">IF(ISBLANK($C33),"",IF(R33=Constants!$B$3,TRUE(),IF(R33=Constants!$B$4,FALSE(),TRUE())))</f>
        <v/>
      </c>
      <c r="AT33" s="92" t="str">
        <f aca="false">IF(ISBLANK($C33),"",IF(S33=Constants!$B$5,TRUE(),IF(S33=Constants!$B$6,FALSE(),COUNTA(T33:X33)&gt;0)))</f>
        <v/>
      </c>
      <c r="AU33" s="94" t="str">
        <f aca="false">IF(ISBLANK($C33),"",IF(ISNUMBER(T33),IF(T33&gt;=0,T33,""),""))</f>
        <v/>
      </c>
      <c r="AV33" s="93" t="str">
        <f aca="false">IF(ISBLANK($C33),"",IF(ISNUMBER(U33),IF(U33&gt;=0,U33,""),""))</f>
        <v/>
      </c>
      <c r="AW33" s="93" t="str">
        <f aca="false">IF(ISBLANK($C33),"",IF(V33=Constants!$B$3,TRUE(),IF(V33=Constants!$B$4,FALSE(),TRUE())))</f>
        <v/>
      </c>
      <c r="AX33" s="92" t="str">
        <f aca="false">IF(ISBLANK($C33),"",IF(ISNUMBER(W33),IF(W33&gt;=0,W33,""),""))</f>
        <v/>
      </c>
      <c r="AY33" s="92" t="str">
        <f aca="false">IF(ISBLANK($C33),"",IF(X33=Constants!$B$3,TRUE(),IF(X33=Constants!$B$4,FALSE(),FALSE())))</f>
        <v/>
      </c>
      <c r="AZ33" s="92" t="str">
        <f aca="false">IF(ISBLANK($C33),"",MIN(Constants!$B$31,MAX(0,IF(ISNUMBER(Y33),Y33*60,0)+IF(ISNUMBER(Z33),Z33,0))))</f>
        <v/>
      </c>
      <c r="BA33" s="92" t="str">
        <f aca="false">IF(ISBLANK($C33),"",IF(AA33=Constants!$B$3,TRUE(),IF(AA33=Constants!$B$4,FALSE(),FALSE())))</f>
        <v/>
      </c>
      <c r="BB33" s="91" t="str">
        <f aca="false">IF(ISBLANK($C33),"",AND($AL33,OR($AM33="",$AN33="",AND($AO33,$AP33=""))))</f>
        <v/>
      </c>
      <c r="BC33" s="93" t="str">
        <f aca="false">IF($BR33&lt;&gt;Constants!$B$8,"",IF($AL33,Constants!$B$21*$AN33+Constants!$B$22*IF($AO33,$AP33,Constants!$B$23),Constants!$B$24))</f>
        <v/>
      </c>
      <c r="BD33" s="96" t="str">
        <f aca="false">IF($BR33&lt;&gt;Constants!$B$8,"",Constants!$B$25*ABS($AD$9-IF($AL33,$AM33,0)))</f>
        <v/>
      </c>
      <c r="BE33" s="96" t="str">
        <f aca="false">IF($BR33&lt;&gt;Constants!$B$8,"",IF(AND($AL33,$AQ33,$AO33),Constants!$B$27,0))</f>
        <v/>
      </c>
      <c r="BF33" s="96" t="str">
        <f aca="false">IF($BR33&lt;&gt;Constants!$B$8,"",IF($AL33,($AI33-Constants!$B$29)*Constants!$B$28,0))</f>
        <v/>
      </c>
      <c r="BG33" s="96" t="str">
        <f aca="false">IF($BR33&lt;&gt;Constants!$B$8,"",IF($AK33,0,Constants!$B$15)+IF($AJ33,0,Constants!$B$16)+IF($AH33,0,Constants!$B$17))</f>
        <v/>
      </c>
      <c r="BH33" s="97" t="str">
        <f aca="false">IF($BR33&lt;&gt;Constants!$B$8,"",Constants!$B$20+SUM($BC33:$BG33))</f>
        <v/>
      </c>
      <c r="BI33" s="92" t="str">
        <f aca="false">IF($BR33&lt;&gt;Constants!$B$8,"",IF(OR($BP33&lt;$BH33,AND($BP33=$BH33,OR($BK33&lt;$BC33,AND($BK33=$BC33,OR($BL33&lt;$BD33,AND($BL33=$BD33,$AT33,$AL33,$AV33&lt;$AN33)))))),"-&gt;","&lt;-"))</f>
        <v/>
      </c>
      <c r="BJ33" s="91" t="str">
        <f aca="false">IF(ISBLANK($C33),"",AND($AT33,OR($AU33="",$AV33="",AND($AW33,$AX33=""))))</f>
        <v/>
      </c>
      <c r="BK33" s="93" t="str">
        <f aca="false">IF($BR33&lt;&gt;Constants!$B$8,"",IF($AT33,Constants!$B$21*$AV33+Constants!$B$22*IF($AW33,$AX33,Constants!$B$23),Constants!$B$24))</f>
        <v/>
      </c>
      <c r="BL33" s="96" t="str">
        <f aca="false">IF($BR33&lt;&gt;Constants!$B$8,"",Constants!$B$25*ABS($AD$9-IF($AT33,$AU33,0)))</f>
        <v/>
      </c>
      <c r="BM33" s="96" t="str">
        <f aca="false">IF($BR33&lt;&gt;Constants!$B$8,"",IF(AND($AT33,$AY33,$AW33),Constants!$B$27,0))</f>
        <v/>
      </c>
      <c r="BN33" s="96" t="str">
        <f aca="false">IF($BR33&lt;&gt;Constants!$B$8,"",IF($AT33,($AI33-Constants!$B$29)*Constants!$B$28,0))</f>
        <v/>
      </c>
      <c r="BO33" s="96" t="str">
        <f aca="false">IF($BR33&lt;&gt;Constants!$B$8,"",IF($AS33,0,Constants!$B$15)+IF($AR33,0,Constants!$B$16)+IF($AH33,0,Constants!$B$17))</f>
        <v/>
      </c>
      <c r="BP33" s="97" t="str">
        <f aca="false">IF($BR33&lt;&gt;Constants!$B$8,"",Constants!$B$20+SUM($BK33:$BO33))</f>
        <v/>
      </c>
      <c r="BQ33" s="92" t="str">
        <f aca="false">IF(ISBLANK($C33),"",IF(ISBLANK($D$7),$BQ$5,IF(NOT(ISNUMBER($D$7)),$BQ$6,"")))</f>
        <v/>
      </c>
      <c r="BR33" s="92" t="str">
        <f aca="false">IF(ISBLANK($C33),"",IF($BA33,Constants!$B$11,IF(COUNTA($E33:$AA33)=0,Constants!$B$10,IF(NOT($AG33),Constants!$B$9,IF(OR($BQ33&lt;&gt;"",$BB33,$BJ33),Constants!$B$12,Constants!$B$8)))))</f>
        <v/>
      </c>
      <c r="BS33" s="92" t="str">
        <f aca="false">IF(ISBLANK($C33),"",IF($BR33&lt;&gt;Constants!$B$8,$BR33,Constants!$B$13))</f>
        <v/>
      </c>
      <c r="BT33" s="96" t="str">
        <f aca="false">IF($BR33&lt;&gt;Constants!$B$8,"",IF($BI33="-&gt;",$BP33,$BH33))</f>
        <v/>
      </c>
      <c r="BU33" s="96" t="str">
        <f aca="false">IF($BR33&lt;&gt;Constants!$B$8,"",IF($AF33,0,Constants!$B$18))</f>
        <v/>
      </c>
      <c r="BV33" s="96" t="str">
        <f aca="false">IF($BR33&lt;&gt;Constants!$B$8,"",((Constants!$B$31-$AZ33)-Constants!$B$31)/Constants!$B$32)</f>
        <v/>
      </c>
      <c r="BW33" s="96" t="str">
        <f aca="false">IF(ISBLANK($C33),"",IF($BR33&lt;&gt;Constants!$B$8,$BR33,SUM($BT33:$BV33)))</f>
        <v/>
      </c>
      <c r="BX33" s="92" t="str">
        <f aca="false">IF(ISBLANK($C33),"",IF($BR33&lt;&gt;Constants!$B$8,$BR33,RANK($BW33,$BW$9:$BW$508,1)))</f>
        <v/>
      </c>
      <c r="BY33" s="96" t="str">
        <f aca="false">IF($BR33&lt;&gt;Constants!$B$8,"",IF($BI33="-&gt;",$BK33,$BC33))</f>
        <v/>
      </c>
      <c r="BZ33" s="92" t="str">
        <f aca="false">IF(ISBLANK($C33),"",IF($BR33&lt;&gt;Constants!$B$8,$BR33,IF(ISNUMBER($BY33),RANK($BY33,$BY$9:$BY$508,1),COUNT($BY$9:$BY$508)+1)))</f>
        <v/>
      </c>
      <c r="CA33" s="96" t="str">
        <f aca="false">IF($BR33&lt;&gt;Constants!$B$8,"",IF($BI33="-&gt;",$BL33,$BD33))</f>
        <v/>
      </c>
      <c r="CB33" s="92" t="str">
        <f aca="false">IF(ISBLANK($C33),"",IF($BR33&lt;&gt;Constants!$B$8,$BR33,IF(ISNUMBER($CA33),RANK($CA33,$CA$9:$CA$508,1),COUNT($CA$9:$CA$508)+1)))</f>
        <v/>
      </c>
      <c r="CC33" s="96" t="str">
        <f aca="false">IF($BR33&lt;&gt;Constants!$B$8,"",IF($BI33="-&gt;",IF($AT33,$AV33,""),IF($AL33,$AN33,"")))</f>
        <v/>
      </c>
      <c r="CD33" s="92" t="str">
        <f aca="false">IF(ISBLANK($C33),"",IF($BR33&lt;&gt;Constants!$B$8,$BR33,IF(ISNUMBER($CC33),RANK($CC33,$CC$9:$CC$508,1),COUNT($CC$9:$CC$508)+1)))</f>
        <v/>
      </c>
      <c r="CE33" s="96" t="str">
        <f aca="false">IF($BR33&lt;&gt;Constants!$B$8,"",IF(AND(NOT($AL33),NOT($AT33),$AJ33,$AK33,$AR33,$AS33),"",$AI33))</f>
        <v/>
      </c>
      <c r="CF33" s="92" t="str">
        <f aca="false">IF(ISBLANK($C33),"",IF($BR33&lt;&gt;Constants!$B$8,$BR33,IF(ISNUMBER($CE33),RANK($CE33,$CE$9:$CE$508,1),COUNT($CE$9:$CE$508)+1)))</f>
        <v/>
      </c>
      <c r="CG33" s="92" t="str">
        <f aca="false">IF(ISBLANK($C33),"",IF($BR33&lt;&gt;Constants!$B$8,$BR33,COUNTIFS($BX$9:$BX$508,"&lt;"&amp;$BX33)+COUNTIFS($BX$9:$BX$508,$BX33,$BZ$9:$BZ$508,"&lt;"&amp;$BZ33)+COUNTIFS($BX$9:$BX$508,$BX33,$BZ$9:$BZ$508,$BZ33,$CB$9:$CB$508,"&lt;"&amp;$CB33)+COUNTIFS($BX$9:$BX$508,$BX33,$BZ$9:$BZ$508,$BZ33,$CB$9:$CB$508,$CB33,$CD$9:$CD$508,"&lt;"&amp;$CD33)+COUNTIFS($BX$9:$BX$508,$BX33,$BZ$9:$BZ$508,$BZ33,$CB$9:$CB$508,$CB33,$CD$9:$CD$508,$CD33,$CF$9:$CF$508,"&lt;"&amp;$CF33)+1))</f>
        <v/>
      </c>
      <c r="CH33" s="92" t="str">
        <f aca="false">IF(ISBLANK($C33),"",IF($BR33&lt;&gt;Constants!$B$8,$BR33,$BX33-$CG33))</f>
        <v/>
      </c>
      <c r="CI33" s="98"/>
      <c r="CJ33" s="99"/>
      <c r="CK33" s="100" t="str">
        <f aca="false">IF(ISBLANK($C33),"",IF($BR33=Constants!$B$12,$BQ33,""))</f>
        <v/>
      </c>
      <c r="CL33" s="99" t="str">
        <f aca="false">IF(ISBLANK($C33),"",IF($BR33&lt;&gt;Constants!$B$8,"",IF($BI33="-&gt;",2,1)))</f>
        <v/>
      </c>
      <c r="CM33" s="101" t="str">
        <f aca="false">IF(ISBLANK($C33),"",IF($BR33&lt;&gt;Constants!$B$8,"",IF($BI33="-&gt;",$BK33,$BC33)))</f>
        <v/>
      </c>
      <c r="CN33" s="101" t="str">
        <f aca="false">IF(ISBLANK($C33),"",IF($BR33&lt;&gt;Constants!$B$8,"",IF($BI33="-&gt;",$BL33,$BD33)))</f>
        <v/>
      </c>
      <c r="CO33" s="101" t="str">
        <f aca="false">IF(ISBLANK($C33),"",IF($BR33&lt;&gt;Constants!$B$8,"",IF($BI33="-&gt;",$BM33+$BN33,$BE33+$BF33)+$BV33))</f>
        <v/>
      </c>
      <c r="CP33" s="101" t="str">
        <f aca="false">IF(ISBLANK($C33),"",IF($BR33&lt;&gt;Constants!$B$8,"",IF($BI33="-&gt;",$BO33,$BG33)+$BU33))</f>
        <v/>
      </c>
      <c r="CQ33" s="102" t="str">
        <f aca="false">IF(ISBLANK($C33),"",IF($BR33&lt;&gt;Constants!$B$8,$BR33,$BW33))</f>
        <v/>
      </c>
      <c r="CR33" s="103" t="str">
        <f aca="false">IF(ISBLANK($C33),"",$BS33)</f>
        <v/>
      </c>
      <c r="CS33" s="104" t="str">
        <f aca="false">IF(ISBLANK($C33),"",$CH33)</f>
        <v/>
      </c>
      <c r="CT33" s="104" t="str">
        <f aca="false">IF(ISBLANK($C33),"",$CG33)</f>
        <v/>
      </c>
      <c r="CU33" s="105" t="str">
        <f aca="false">IF(ISBLANK($C33),"",IFERROR(_xlfn.SWITCH($CT33,Constants!$B$11,COUNTA($C$9:$C$508)+2,Constants!$B$10,COUNTA($C$9:$C$508)+1,Constants!$B$9,COUNTA($C$9:$C$508)),$CT33))</f>
        <v/>
      </c>
      <c r="CV33" s="9"/>
      <c r="CW33" s="106" t="n">
        <f aca="false">IF(OR(ISNUMBER($CT33),$CT33=Constants!$B$11,$CT33=Constants!$B$9,$CT33=Constants!$B$10),1,0)</f>
        <v>0</v>
      </c>
      <c r="CX33" s="106" t="n">
        <v>25</v>
      </c>
      <c r="CY33" s="106" t="str">
        <f aca="false">IF(ISBLANK($C33),"",IF(ISNUMBER($CU33),$CU33+ROW($B33)/1000,""))</f>
        <v/>
      </c>
      <c r="CZ33" s="106" t="str">
        <f aca="false">IF(ISNUMBER($CY33),RANK($CY33,$CY$9:$CY$508,1),"")</f>
        <v/>
      </c>
      <c r="DA33" s="106" t="str">
        <f aca="false">IF(ISBLANK($C33),"",$B33)</f>
        <v/>
      </c>
      <c r="DB33" s="106" t="str">
        <f aca="false">IF(ISBLANK($C33),"",$C33)</f>
        <v/>
      </c>
      <c r="DC33" s="106" t="str">
        <f aca="false">IF(ISBLANK($C33),"",$D33)</f>
        <v/>
      </c>
      <c r="DD33" s="107" t="str">
        <f aca="false">$CR33</f>
        <v/>
      </c>
      <c r="DE33" s="108" t="str">
        <f aca="false">$CQ33</f>
        <v/>
      </c>
      <c r="DF33" s="106" t="str">
        <f aca="false">IF(ISBLANK($C33),"",$CT33)</f>
        <v/>
      </c>
      <c r="DG33" s="109" t="str">
        <f aca="false">IF($CX33&gt;$CW$8,"",VLOOKUP($CX33,$CZ$9:$DF$508,7,FALSE()))</f>
        <v/>
      </c>
      <c r="DH33" s="110" t="str">
        <f aca="false">IF($CX33&gt;$CW$8,"",VLOOKUP($CX33,$CZ$9:$DF$508,2,FALSE()))</f>
        <v/>
      </c>
      <c r="DI33" s="110" t="str">
        <f aca="false">IF($CX33&gt;$CW$8,"",VLOOKUP($CX33,$CZ$9:$DF$508,3,FALSE()))</f>
        <v/>
      </c>
      <c r="DJ33" s="110" t="str">
        <f aca="false">IF($CX33&gt;$CW$8,"",VLOOKUP($CX33,$CZ$9:$DF$508,4,FALSE()))</f>
        <v/>
      </c>
      <c r="DK33" s="110" t="str">
        <f aca="false">IF($CX33&gt;$CW$8,"",VLOOKUP($CX33,$CZ$9:$DF$508,5,FALSE()))</f>
        <v/>
      </c>
      <c r="DL33" s="111" t="str">
        <f aca="false">IF($CX33&gt;$CW$8,"",VLOOKUP($CX33,$CZ$9:$DF$508,6,FALSE()))</f>
        <v/>
      </c>
      <c r="DM33" s="75"/>
    </row>
    <row r="34" customFormat="false" ht="15.75" hidden="false" customHeight="false" outlineLevel="0" collapsed="false">
      <c r="A34" s="9"/>
      <c r="B34" s="77"/>
      <c r="C34" s="78"/>
      <c r="D34" s="167"/>
      <c r="E34" s="168"/>
      <c r="F34" s="169"/>
      <c r="G34" s="170"/>
      <c r="H34" s="170"/>
      <c r="I34" s="171"/>
      <c r="J34" s="172"/>
      <c r="K34" s="85"/>
      <c r="L34" s="86"/>
      <c r="M34" s="87"/>
      <c r="N34" s="172"/>
      <c r="O34" s="172"/>
      <c r="P34" s="168"/>
      <c r="Q34" s="172"/>
      <c r="R34" s="172"/>
      <c r="S34" s="85"/>
      <c r="T34" s="87"/>
      <c r="U34" s="87"/>
      <c r="V34" s="172"/>
      <c r="W34" s="172"/>
      <c r="X34" s="168"/>
      <c r="Y34" s="173"/>
      <c r="Z34" s="174"/>
      <c r="AA34" s="173"/>
      <c r="AB34" s="91"/>
      <c r="AC34" s="92"/>
      <c r="AD34" s="92"/>
      <c r="AE34" s="92"/>
      <c r="AF34" s="92" t="str">
        <f aca="false">IF(ISBLANK($C34),"",IF(E34=Constants!$B$3,TRUE(),IF(E34=Constants!$B$4,FALSE(),TRUE())))</f>
        <v/>
      </c>
      <c r="AG34" s="92" t="str">
        <f aca="false">IF(ISBLANK($C34),"",IF(F34=Constants!$B$3,TRUE(),IF(F34=Constants!$B$4,FALSE(),TRUE())))</f>
        <v/>
      </c>
      <c r="AH34" s="92" t="str">
        <f aca="false">IF(ISBLANK($C34),"",IF(G34=Constants!$B$3,TRUE(),IF(G34=Constants!$B$4,FALSE(),TRUE())))</f>
        <v/>
      </c>
      <c r="AI34" s="92" t="str">
        <f aca="false">IF(ISBLANK($C34),"",IF(AND(ISNUMBER(H34),H34&gt;=0),H34,Constants!$B$29))</f>
        <v/>
      </c>
      <c r="AJ34" s="92" t="str">
        <f aca="false">IF(ISBLANK($C34),"",IF(I34=Constants!$B$3,TRUE(),IF(I34=Constants!$B$4,FALSE(),TRUE())))</f>
        <v/>
      </c>
      <c r="AK34" s="92" t="str">
        <f aca="false">IF(ISBLANK($C34),"",IF(J34=Constants!$B$3,TRUE(),IF(J34=Constants!$B$4,FALSE(),TRUE())))</f>
        <v/>
      </c>
      <c r="AL34" s="92" t="str">
        <f aca="false">IF(ISBLANK($C34),"",IF(K34=Constants!$B$5,TRUE(),IF(K34=Constants!$B$6,FALSE(),COUNTA(L34:P34)&gt;0)))</f>
        <v/>
      </c>
      <c r="AM34" s="94" t="str">
        <f aca="false">IF(ISBLANK($C34),"",IF(ISNUMBER(L34),IF(L34&gt;=0,L34,""),""))</f>
        <v/>
      </c>
      <c r="AN34" s="93" t="str">
        <f aca="false">IF(ISBLANK($C34),"",IF(ISNUMBER(M34),IF(M34&gt;=0,M34,""),""))</f>
        <v/>
      </c>
      <c r="AO34" s="93" t="str">
        <f aca="false">IF(ISBLANK($C34),"",IF(N34=Constants!$B$3,TRUE(),IF(N34=Constants!$B$4,FALSE(),TRUE())))</f>
        <v/>
      </c>
      <c r="AP34" s="92" t="str">
        <f aca="false">IF(ISBLANK($C34),"",IF(ISNUMBER(O34),IF(O34&gt;=0,O34,""),""))</f>
        <v/>
      </c>
      <c r="AQ34" s="92" t="str">
        <f aca="false">IF(ISBLANK($C34),"",IF(P34=Constants!$B$3,TRUE(),IF(P34=Constants!$B$4,FALSE(),FALSE())))</f>
        <v/>
      </c>
      <c r="AR34" s="92" t="str">
        <f aca="false">IF(ISBLANK($C34),"",IF(Q34=Constants!$B$3,TRUE(),IF(Q34=Constants!$B$4,FALSE(),TRUE())))</f>
        <v/>
      </c>
      <c r="AS34" s="92" t="str">
        <f aca="false">IF(ISBLANK($C34),"",IF(R34=Constants!$B$3,TRUE(),IF(R34=Constants!$B$4,FALSE(),TRUE())))</f>
        <v/>
      </c>
      <c r="AT34" s="92" t="str">
        <f aca="false">IF(ISBLANK($C34),"",IF(S34=Constants!$B$5,TRUE(),IF(S34=Constants!$B$6,FALSE(),COUNTA(T34:X34)&gt;0)))</f>
        <v/>
      </c>
      <c r="AU34" s="94" t="str">
        <f aca="false">IF(ISBLANK($C34),"",IF(ISNUMBER(T34),IF(T34&gt;=0,T34,""),""))</f>
        <v/>
      </c>
      <c r="AV34" s="93" t="str">
        <f aca="false">IF(ISBLANK($C34),"",IF(ISNUMBER(U34),IF(U34&gt;=0,U34,""),""))</f>
        <v/>
      </c>
      <c r="AW34" s="93" t="str">
        <f aca="false">IF(ISBLANK($C34),"",IF(V34=Constants!$B$3,TRUE(),IF(V34=Constants!$B$4,FALSE(),TRUE())))</f>
        <v/>
      </c>
      <c r="AX34" s="92" t="str">
        <f aca="false">IF(ISBLANK($C34),"",IF(ISNUMBER(W34),IF(W34&gt;=0,W34,""),""))</f>
        <v/>
      </c>
      <c r="AY34" s="92" t="str">
        <f aca="false">IF(ISBLANK($C34),"",IF(X34=Constants!$B$3,TRUE(),IF(X34=Constants!$B$4,FALSE(),FALSE())))</f>
        <v/>
      </c>
      <c r="AZ34" s="92" t="str">
        <f aca="false">IF(ISBLANK($C34),"",MIN(Constants!$B$31,MAX(0,IF(ISNUMBER(Y34),Y34*60,0)+IF(ISNUMBER(Z34),Z34,0))))</f>
        <v/>
      </c>
      <c r="BA34" s="92" t="str">
        <f aca="false">IF(ISBLANK($C34),"",IF(AA34=Constants!$B$3,TRUE(),IF(AA34=Constants!$B$4,FALSE(),FALSE())))</f>
        <v/>
      </c>
      <c r="BB34" s="91" t="str">
        <f aca="false">IF(ISBLANK($C34),"",AND($AL34,OR($AM34="",$AN34="",AND($AO34,$AP34=""))))</f>
        <v/>
      </c>
      <c r="BC34" s="93" t="str">
        <f aca="false">IF($BR34&lt;&gt;Constants!$B$8,"",IF($AL34,Constants!$B$21*$AN34+Constants!$B$22*IF($AO34,$AP34,Constants!$B$23),Constants!$B$24))</f>
        <v/>
      </c>
      <c r="BD34" s="96" t="str">
        <f aca="false">IF($BR34&lt;&gt;Constants!$B$8,"",Constants!$B$25*ABS($AD$9-IF($AL34,$AM34,0)))</f>
        <v/>
      </c>
      <c r="BE34" s="96" t="str">
        <f aca="false">IF($BR34&lt;&gt;Constants!$B$8,"",IF(AND($AL34,$AQ34,$AO34),Constants!$B$27,0))</f>
        <v/>
      </c>
      <c r="BF34" s="96" t="str">
        <f aca="false">IF($BR34&lt;&gt;Constants!$B$8,"",IF($AL34,($AI34-Constants!$B$29)*Constants!$B$28,0))</f>
        <v/>
      </c>
      <c r="BG34" s="96" t="str">
        <f aca="false">IF($BR34&lt;&gt;Constants!$B$8,"",IF($AK34,0,Constants!$B$15)+IF($AJ34,0,Constants!$B$16)+IF($AH34,0,Constants!$B$17))</f>
        <v/>
      </c>
      <c r="BH34" s="97" t="str">
        <f aca="false">IF($BR34&lt;&gt;Constants!$B$8,"",Constants!$B$20+SUM($BC34:$BG34))</f>
        <v/>
      </c>
      <c r="BI34" s="92" t="str">
        <f aca="false">IF($BR34&lt;&gt;Constants!$B$8,"",IF(OR($BP34&lt;$BH34,AND($BP34=$BH34,OR($BK34&lt;$BC34,AND($BK34=$BC34,OR($BL34&lt;$BD34,AND($BL34=$BD34,$AT34,$AL34,$AV34&lt;$AN34)))))),"-&gt;","&lt;-"))</f>
        <v/>
      </c>
      <c r="BJ34" s="91" t="str">
        <f aca="false">IF(ISBLANK($C34),"",AND($AT34,OR($AU34="",$AV34="",AND($AW34,$AX34=""))))</f>
        <v/>
      </c>
      <c r="BK34" s="93" t="str">
        <f aca="false">IF($BR34&lt;&gt;Constants!$B$8,"",IF($AT34,Constants!$B$21*$AV34+Constants!$B$22*IF($AW34,$AX34,Constants!$B$23),Constants!$B$24))</f>
        <v/>
      </c>
      <c r="BL34" s="96" t="str">
        <f aca="false">IF($BR34&lt;&gt;Constants!$B$8,"",Constants!$B$25*ABS($AD$9-IF($AT34,$AU34,0)))</f>
        <v/>
      </c>
      <c r="BM34" s="96" t="str">
        <f aca="false">IF($BR34&lt;&gt;Constants!$B$8,"",IF(AND($AT34,$AY34,$AW34),Constants!$B$27,0))</f>
        <v/>
      </c>
      <c r="BN34" s="96" t="str">
        <f aca="false">IF($BR34&lt;&gt;Constants!$B$8,"",IF($AT34,($AI34-Constants!$B$29)*Constants!$B$28,0))</f>
        <v/>
      </c>
      <c r="BO34" s="96" t="str">
        <f aca="false">IF($BR34&lt;&gt;Constants!$B$8,"",IF($AS34,0,Constants!$B$15)+IF($AR34,0,Constants!$B$16)+IF($AH34,0,Constants!$B$17))</f>
        <v/>
      </c>
      <c r="BP34" s="97" t="str">
        <f aca="false">IF($BR34&lt;&gt;Constants!$B$8,"",Constants!$B$20+SUM($BK34:$BO34))</f>
        <v/>
      </c>
      <c r="BQ34" s="92" t="str">
        <f aca="false">IF(ISBLANK($C34),"",IF(ISBLANK($D$7),$BQ$5,IF(NOT(ISNUMBER($D$7)),$BQ$6,"")))</f>
        <v/>
      </c>
      <c r="BR34" s="92" t="str">
        <f aca="false">IF(ISBLANK($C34),"",IF($BA34,Constants!$B$11,IF(COUNTA($E34:$AA34)=0,Constants!$B$10,IF(NOT($AG34),Constants!$B$9,IF(OR($BQ34&lt;&gt;"",$BB34,$BJ34),Constants!$B$12,Constants!$B$8)))))</f>
        <v/>
      </c>
      <c r="BS34" s="92" t="str">
        <f aca="false">IF(ISBLANK($C34),"",IF($BR34&lt;&gt;Constants!$B$8,$BR34,Constants!$B$13))</f>
        <v/>
      </c>
      <c r="BT34" s="96" t="str">
        <f aca="false">IF($BR34&lt;&gt;Constants!$B$8,"",IF($BI34="-&gt;",$BP34,$BH34))</f>
        <v/>
      </c>
      <c r="BU34" s="96" t="str">
        <f aca="false">IF($BR34&lt;&gt;Constants!$B$8,"",IF($AF34,0,Constants!$B$18))</f>
        <v/>
      </c>
      <c r="BV34" s="96" t="str">
        <f aca="false">IF($BR34&lt;&gt;Constants!$B$8,"",((Constants!$B$31-$AZ34)-Constants!$B$31)/Constants!$B$32)</f>
        <v/>
      </c>
      <c r="BW34" s="96" t="str">
        <f aca="false">IF(ISBLANK($C34),"",IF($BR34&lt;&gt;Constants!$B$8,$BR34,SUM($BT34:$BV34)))</f>
        <v/>
      </c>
      <c r="BX34" s="92" t="str">
        <f aca="false">IF(ISBLANK($C34),"",IF($BR34&lt;&gt;Constants!$B$8,$BR34,RANK($BW34,$BW$9:$BW$508,1)))</f>
        <v/>
      </c>
      <c r="BY34" s="96" t="str">
        <f aca="false">IF($BR34&lt;&gt;Constants!$B$8,"",IF($BI34="-&gt;",$BK34,$BC34))</f>
        <v/>
      </c>
      <c r="BZ34" s="92" t="str">
        <f aca="false">IF(ISBLANK($C34),"",IF($BR34&lt;&gt;Constants!$B$8,$BR34,IF(ISNUMBER($BY34),RANK($BY34,$BY$9:$BY$508,1),COUNT($BY$9:$BY$508)+1)))</f>
        <v/>
      </c>
      <c r="CA34" s="96" t="str">
        <f aca="false">IF($BR34&lt;&gt;Constants!$B$8,"",IF($BI34="-&gt;",$BL34,$BD34))</f>
        <v/>
      </c>
      <c r="CB34" s="92" t="str">
        <f aca="false">IF(ISBLANK($C34),"",IF($BR34&lt;&gt;Constants!$B$8,$BR34,IF(ISNUMBER($CA34),RANK($CA34,$CA$9:$CA$508,1),COUNT($CA$9:$CA$508)+1)))</f>
        <v/>
      </c>
      <c r="CC34" s="96" t="str">
        <f aca="false">IF($BR34&lt;&gt;Constants!$B$8,"",IF($BI34="-&gt;",IF($AT34,$AV34,""),IF($AL34,$AN34,"")))</f>
        <v/>
      </c>
      <c r="CD34" s="92" t="str">
        <f aca="false">IF(ISBLANK($C34),"",IF($BR34&lt;&gt;Constants!$B$8,$BR34,IF(ISNUMBER($CC34),RANK($CC34,$CC$9:$CC$508,1),COUNT($CC$9:$CC$508)+1)))</f>
        <v/>
      </c>
      <c r="CE34" s="96" t="str">
        <f aca="false">IF($BR34&lt;&gt;Constants!$B$8,"",IF(AND(NOT($AL34),NOT($AT34),$AJ34,$AK34,$AR34,$AS34),"",$AI34))</f>
        <v/>
      </c>
      <c r="CF34" s="92" t="str">
        <f aca="false">IF(ISBLANK($C34),"",IF($BR34&lt;&gt;Constants!$B$8,$BR34,IF(ISNUMBER($CE34),RANK($CE34,$CE$9:$CE$508,1),COUNT($CE$9:$CE$508)+1)))</f>
        <v/>
      </c>
      <c r="CG34" s="92" t="str">
        <f aca="false">IF(ISBLANK($C34),"",IF($BR34&lt;&gt;Constants!$B$8,$BR34,COUNTIFS($BX$9:$BX$508,"&lt;"&amp;$BX34)+COUNTIFS($BX$9:$BX$508,$BX34,$BZ$9:$BZ$508,"&lt;"&amp;$BZ34)+COUNTIFS($BX$9:$BX$508,$BX34,$BZ$9:$BZ$508,$BZ34,$CB$9:$CB$508,"&lt;"&amp;$CB34)+COUNTIFS($BX$9:$BX$508,$BX34,$BZ$9:$BZ$508,$BZ34,$CB$9:$CB$508,$CB34,$CD$9:$CD$508,"&lt;"&amp;$CD34)+COUNTIFS($BX$9:$BX$508,$BX34,$BZ$9:$BZ$508,$BZ34,$CB$9:$CB$508,$CB34,$CD$9:$CD$508,$CD34,$CF$9:$CF$508,"&lt;"&amp;$CF34)+1))</f>
        <v/>
      </c>
      <c r="CH34" s="92" t="str">
        <f aca="false">IF(ISBLANK($C34),"",IF($BR34&lt;&gt;Constants!$B$8,$BR34,$BX34-$CG34))</f>
        <v/>
      </c>
      <c r="CI34" s="98"/>
      <c r="CJ34" s="99"/>
      <c r="CK34" s="100" t="str">
        <f aca="false">IF(ISBLANK($C34),"",IF($BR34=Constants!$B$12,$BQ34,""))</f>
        <v/>
      </c>
      <c r="CL34" s="99" t="str">
        <f aca="false">IF(ISBLANK($C34),"",IF($BR34&lt;&gt;Constants!$B$8,"",IF($BI34="-&gt;",2,1)))</f>
        <v/>
      </c>
      <c r="CM34" s="101" t="str">
        <f aca="false">IF(ISBLANK($C34),"",IF($BR34&lt;&gt;Constants!$B$8,"",IF($BI34="-&gt;",$BK34,$BC34)))</f>
        <v/>
      </c>
      <c r="CN34" s="101" t="str">
        <f aca="false">IF(ISBLANK($C34),"",IF($BR34&lt;&gt;Constants!$B$8,"",IF($BI34="-&gt;",$BL34,$BD34)))</f>
        <v/>
      </c>
      <c r="CO34" s="101" t="str">
        <f aca="false">IF(ISBLANK($C34),"",IF($BR34&lt;&gt;Constants!$B$8,"",IF($BI34="-&gt;",$BM34+$BN34,$BE34+$BF34)+$BV34))</f>
        <v/>
      </c>
      <c r="CP34" s="101" t="str">
        <f aca="false">IF(ISBLANK($C34),"",IF($BR34&lt;&gt;Constants!$B$8,"",IF($BI34="-&gt;",$BO34,$BG34)+$BU34))</f>
        <v/>
      </c>
      <c r="CQ34" s="102" t="str">
        <f aca="false">IF(ISBLANK($C34),"",IF($BR34&lt;&gt;Constants!$B$8,$BR34,$BW34))</f>
        <v/>
      </c>
      <c r="CR34" s="103" t="str">
        <f aca="false">IF(ISBLANK($C34),"",$BS34)</f>
        <v/>
      </c>
      <c r="CS34" s="104" t="str">
        <f aca="false">IF(ISBLANK($C34),"",$CH34)</f>
        <v/>
      </c>
      <c r="CT34" s="104" t="str">
        <f aca="false">IF(ISBLANK($C34),"",$CG34)</f>
        <v/>
      </c>
      <c r="CU34" s="105" t="str">
        <f aca="false">IF(ISBLANK($C34),"",IFERROR(_xlfn.SWITCH($CT34,Constants!$B$11,COUNTA($C$9:$C$508)+2,Constants!$B$10,COUNTA($C$9:$C$508)+1,Constants!$B$9,COUNTA($C$9:$C$508)),$CT34))</f>
        <v/>
      </c>
      <c r="CV34" s="9"/>
      <c r="CW34" s="106" t="n">
        <f aca="false">IF(OR(ISNUMBER($CT34),$CT34=Constants!$B$11,$CT34=Constants!$B$9,$CT34=Constants!$B$10),1,0)</f>
        <v>0</v>
      </c>
      <c r="CX34" s="106" t="n">
        <v>26</v>
      </c>
      <c r="CY34" s="106" t="str">
        <f aca="false">IF(ISBLANK($C34),"",IF(ISNUMBER($CU34),$CU34+ROW($B34)/1000,""))</f>
        <v/>
      </c>
      <c r="CZ34" s="106" t="str">
        <f aca="false">IF(ISNUMBER($CY34),RANK($CY34,$CY$9:$CY$508,1),"")</f>
        <v/>
      </c>
      <c r="DA34" s="106" t="str">
        <f aca="false">IF(ISBLANK($C34),"",$B34)</f>
        <v/>
      </c>
      <c r="DB34" s="106" t="str">
        <f aca="false">IF(ISBLANK($C34),"",$C34)</f>
        <v/>
      </c>
      <c r="DC34" s="106" t="str">
        <f aca="false">IF(ISBLANK($C34),"",$D34)</f>
        <v/>
      </c>
      <c r="DD34" s="107" t="str">
        <f aca="false">$CR34</f>
        <v/>
      </c>
      <c r="DE34" s="108" t="str">
        <f aca="false">$CQ34</f>
        <v/>
      </c>
      <c r="DF34" s="106" t="str">
        <f aca="false">IF(ISBLANK($C34),"",$CT34)</f>
        <v/>
      </c>
      <c r="DG34" s="109" t="str">
        <f aca="false">IF($CX34&gt;$CW$8,"",VLOOKUP($CX34,$CZ$9:$DF$508,7,FALSE()))</f>
        <v/>
      </c>
      <c r="DH34" s="110" t="str">
        <f aca="false">IF($CX34&gt;$CW$8,"",VLOOKUP($CX34,$CZ$9:$DF$508,2,FALSE()))</f>
        <v/>
      </c>
      <c r="DI34" s="110" t="str">
        <f aca="false">IF($CX34&gt;$CW$8,"",VLOOKUP($CX34,$CZ$9:$DF$508,3,FALSE()))</f>
        <v/>
      </c>
      <c r="DJ34" s="110" t="str">
        <f aca="false">IF($CX34&gt;$CW$8,"",VLOOKUP($CX34,$CZ$9:$DF$508,4,FALSE()))</f>
        <v/>
      </c>
      <c r="DK34" s="110" t="str">
        <f aca="false">IF($CX34&gt;$CW$8,"",VLOOKUP($CX34,$CZ$9:$DF$508,5,FALSE()))</f>
        <v/>
      </c>
      <c r="DL34" s="111" t="str">
        <f aca="false">IF($CX34&gt;$CW$8,"",VLOOKUP($CX34,$CZ$9:$DF$508,6,FALSE()))</f>
        <v/>
      </c>
      <c r="DM34" s="75"/>
    </row>
    <row r="35" customFormat="false" ht="15.75" hidden="false" customHeight="false" outlineLevel="0" collapsed="false">
      <c r="A35" s="9"/>
      <c r="B35" s="77"/>
      <c r="C35" s="78"/>
      <c r="D35" s="167"/>
      <c r="E35" s="168"/>
      <c r="F35" s="169"/>
      <c r="G35" s="170"/>
      <c r="H35" s="170"/>
      <c r="I35" s="171"/>
      <c r="J35" s="172"/>
      <c r="K35" s="85"/>
      <c r="L35" s="86"/>
      <c r="M35" s="87"/>
      <c r="N35" s="172"/>
      <c r="O35" s="172"/>
      <c r="P35" s="168"/>
      <c r="Q35" s="172"/>
      <c r="R35" s="172"/>
      <c r="S35" s="85"/>
      <c r="T35" s="87"/>
      <c r="U35" s="87"/>
      <c r="V35" s="172"/>
      <c r="W35" s="172"/>
      <c r="X35" s="168"/>
      <c r="Y35" s="173"/>
      <c r="Z35" s="174"/>
      <c r="AA35" s="173"/>
      <c r="AB35" s="91"/>
      <c r="AC35" s="92"/>
      <c r="AD35" s="92"/>
      <c r="AE35" s="92"/>
      <c r="AF35" s="92" t="str">
        <f aca="false">IF(ISBLANK($C35),"",IF(E35=Constants!$B$3,TRUE(),IF(E35=Constants!$B$4,FALSE(),TRUE())))</f>
        <v/>
      </c>
      <c r="AG35" s="92" t="str">
        <f aca="false">IF(ISBLANK($C35),"",IF(F35=Constants!$B$3,TRUE(),IF(F35=Constants!$B$4,FALSE(),TRUE())))</f>
        <v/>
      </c>
      <c r="AH35" s="92" t="str">
        <f aca="false">IF(ISBLANK($C35),"",IF(G35=Constants!$B$3,TRUE(),IF(G35=Constants!$B$4,FALSE(),TRUE())))</f>
        <v/>
      </c>
      <c r="AI35" s="92" t="str">
        <f aca="false">IF(ISBLANK($C35),"",IF(AND(ISNUMBER(H35),H35&gt;=0),H35,Constants!$B$29))</f>
        <v/>
      </c>
      <c r="AJ35" s="92" t="str">
        <f aca="false">IF(ISBLANK($C35),"",IF(I35=Constants!$B$3,TRUE(),IF(I35=Constants!$B$4,FALSE(),TRUE())))</f>
        <v/>
      </c>
      <c r="AK35" s="92" t="str">
        <f aca="false">IF(ISBLANK($C35),"",IF(J35=Constants!$B$3,TRUE(),IF(J35=Constants!$B$4,FALSE(),TRUE())))</f>
        <v/>
      </c>
      <c r="AL35" s="92" t="str">
        <f aca="false">IF(ISBLANK($C35),"",IF(K35=Constants!$B$5,TRUE(),IF(K35=Constants!$B$6,FALSE(),COUNTA(L35:P35)&gt;0)))</f>
        <v/>
      </c>
      <c r="AM35" s="94" t="str">
        <f aca="false">IF(ISBLANK($C35),"",IF(ISNUMBER(L35),IF(L35&gt;=0,L35,""),""))</f>
        <v/>
      </c>
      <c r="AN35" s="93" t="str">
        <f aca="false">IF(ISBLANK($C35),"",IF(ISNUMBER(M35),IF(M35&gt;=0,M35,""),""))</f>
        <v/>
      </c>
      <c r="AO35" s="93" t="str">
        <f aca="false">IF(ISBLANK($C35),"",IF(N35=Constants!$B$3,TRUE(),IF(N35=Constants!$B$4,FALSE(),TRUE())))</f>
        <v/>
      </c>
      <c r="AP35" s="92" t="str">
        <f aca="false">IF(ISBLANK($C35),"",IF(ISNUMBER(O35),IF(O35&gt;=0,O35,""),""))</f>
        <v/>
      </c>
      <c r="AQ35" s="92" t="str">
        <f aca="false">IF(ISBLANK($C35),"",IF(P35=Constants!$B$3,TRUE(),IF(P35=Constants!$B$4,FALSE(),FALSE())))</f>
        <v/>
      </c>
      <c r="AR35" s="92" t="str">
        <f aca="false">IF(ISBLANK($C35),"",IF(Q35=Constants!$B$3,TRUE(),IF(Q35=Constants!$B$4,FALSE(),TRUE())))</f>
        <v/>
      </c>
      <c r="AS35" s="92" t="str">
        <f aca="false">IF(ISBLANK($C35),"",IF(R35=Constants!$B$3,TRUE(),IF(R35=Constants!$B$4,FALSE(),TRUE())))</f>
        <v/>
      </c>
      <c r="AT35" s="92" t="str">
        <f aca="false">IF(ISBLANK($C35),"",IF(S35=Constants!$B$5,TRUE(),IF(S35=Constants!$B$6,FALSE(),COUNTA(T35:X35)&gt;0)))</f>
        <v/>
      </c>
      <c r="AU35" s="94" t="str">
        <f aca="false">IF(ISBLANK($C35),"",IF(ISNUMBER(T35),IF(T35&gt;=0,T35,""),""))</f>
        <v/>
      </c>
      <c r="AV35" s="93" t="str">
        <f aca="false">IF(ISBLANK($C35),"",IF(ISNUMBER(U35),IF(U35&gt;=0,U35,""),""))</f>
        <v/>
      </c>
      <c r="AW35" s="93" t="str">
        <f aca="false">IF(ISBLANK($C35),"",IF(V35=Constants!$B$3,TRUE(),IF(V35=Constants!$B$4,FALSE(),TRUE())))</f>
        <v/>
      </c>
      <c r="AX35" s="92" t="str">
        <f aca="false">IF(ISBLANK($C35),"",IF(ISNUMBER(W35),IF(W35&gt;=0,W35,""),""))</f>
        <v/>
      </c>
      <c r="AY35" s="92" t="str">
        <f aca="false">IF(ISBLANK($C35),"",IF(X35=Constants!$B$3,TRUE(),IF(X35=Constants!$B$4,FALSE(),FALSE())))</f>
        <v/>
      </c>
      <c r="AZ35" s="92" t="str">
        <f aca="false">IF(ISBLANK($C35),"",MIN(Constants!$B$31,MAX(0,IF(ISNUMBER(Y35),Y35*60,0)+IF(ISNUMBER(Z35),Z35,0))))</f>
        <v/>
      </c>
      <c r="BA35" s="92" t="str">
        <f aca="false">IF(ISBLANK($C35),"",IF(AA35=Constants!$B$3,TRUE(),IF(AA35=Constants!$B$4,FALSE(),FALSE())))</f>
        <v/>
      </c>
      <c r="BB35" s="91" t="str">
        <f aca="false">IF(ISBLANK($C35),"",AND($AL35,OR($AM35="",$AN35="",AND($AO35,$AP35=""))))</f>
        <v/>
      </c>
      <c r="BC35" s="93" t="str">
        <f aca="false">IF($BR35&lt;&gt;Constants!$B$8,"",IF($AL35,Constants!$B$21*$AN35+Constants!$B$22*IF($AO35,$AP35,Constants!$B$23),Constants!$B$24))</f>
        <v/>
      </c>
      <c r="BD35" s="96" t="str">
        <f aca="false">IF($BR35&lt;&gt;Constants!$B$8,"",Constants!$B$25*ABS($AD$9-IF($AL35,$AM35,0)))</f>
        <v/>
      </c>
      <c r="BE35" s="96" t="str">
        <f aca="false">IF($BR35&lt;&gt;Constants!$B$8,"",IF(AND($AL35,$AQ35,$AO35),Constants!$B$27,0))</f>
        <v/>
      </c>
      <c r="BF35" s="96" t="str">
        <f aca="false">IF($BR35&lt;&gt;Constants!$B$8,"",IF($AL35,($AI35-Constants!$B$29)*Constants!$B$28,0))</f>
        <v/>
      </c>
      <c r="BG35" s="96" t="str">
        <f aca="false">IF($BR35&lt;&gt;Constants!$B$8,"",IF($AK35,0,Constants!$B$15)+IF($AJ35,0,Constants!$B$16)+IF($AH35,0,Constants!$B$17))</f>
        <v/>
      </c>
      <c r="BH35" s="97" t="str">
        <f aca="false">IF($BR35&lt;&gt;Constants!$B$8,"",Constants!$B$20+SUM($BC35:$BG35))</f>
        <v/>
      </c>
      <c r="BI35" s="92" t="str">
        <f aca="false">IF($BR35&lt;&gt;Constants!$B$8,"",IF(OR($BP35&lt;$BH35,AND($BP35=$BH35,OR($BK35&lt;$BC35,AND($BK35=$BC35,OR($BL35&lt;$BD35,AND($BL35=$BD35,$AT35,$AL35,$AV35&lt;$AN35)))))),"-&gt;","&lt;-"))</f>
        <v/>
      </c>
      <c r="BJ35" s="91" t="str">
        <f aca="false">IF(ISBLANK($C35),"",AND($AT35,OR($AU35="",$AV35="",AND($AW35,$AX35=""))))</f>
        <v/>
      </c>
      <c r="BK35" s="93" t="str">
        <f aca="false">IF($BR35&lt;&gt;Constants!$B$8,"",IF($AT35,Constants!$B$21*$AV35+Constants!$B$22*IF($AW35,$AX35,Constants!$B$23),Constants!$B$24))</f>
        <v/>
      </c>
      <c r="BL35" s="96" t="str">
        <f aca="false">IF($BR35&lt;&gt;Constants!$B$8,"",Constants!$B$25*ABS($AD$9-IF($AT35,$AU35,0)))</f>
        <v/>
      </c>
      <c r="BM35" s="96" t="str">
        <f aca="false">IF($BR35&lt;&gt;Constants!$B$8,"",IF(AND($AT35,$AY35,$AW35),Constants!$B$27,0))</f>
        <v/>
      </c>
      <c r="BN35" s="96" t="str">
        <f aca="false">IF($BR35&lt;&gt;Constants!$B$8,"",IF($AT35,($AI35-Constants!$B$29)*Constants!$B$28,0))</f>
        <v/>
      </c>
      <c r="BO35" s="96" t="str">
        <f aca="false">IF($BR35&lt;&gt;Constants!$B$8,"",IF($AS35,0,Constants!$B$15)+IF($AR35,0,Constants!$B$16)+IF($AH35,0,Constants!$B$17))</f>
        <v/>
      </c>
      <c r="BP35" s="97" t="str">
        <f aca="false">IF($BR35&lt;&gt;Constants!$B$8,"",Constants!$B$20+SUM($BK35:$BO35))</f>
        <v/>
      </c>
      <c r="BQ35" s="92" t="str">
        <f aca="false">IF(ISBLANK($C35),"",IF(ISBLANK($D$7),$BQ$5,IF(NOT(ISNUMBER($D$7)),$BQ$6,"")))</f>
        <v/>
      </c>
      <c r="BR35" s="92" t="str">
        <f aca="false">IF(ISBLANK($C35),"",IF($BA35,Constants!$B$11,IF(COUNTA($E35:$AA35)=0,Constants!$B$10,IF(NOT($AG35),Constants!$B$9,IF(OR($BQ35&lt;&gt;"",$BB35,$BJ35),Constants!$B$12,Constants!$B$8)))))</f>
        <v/>
      </c>
      <c r="BS35" s="92" t="str">
        <f aca="false">IF(ISBLANK($C35),"",IF($BR35&lt;&gt;Constants!$B$8,$BR35,Constants!$B$13))</f>
        <v/>
      </c>
      <c r="BT35" s="96" t="str">
        <f aca="false">IF($BR35&lt;&gt;Constants!$B$8,"",IF($BI35="-&gt;",$BP35,$BH35))</f>
        <v/>
      </c>
      <c r="BU35" s="96" t="str">
        <f aca="false">IF($BR35&lt;&gt;Constants!$B$8,"",IF($AF35,0,Constants!$B$18))</f>
        <v/>
      </c>
      <c r="BV35" s="96" t="str">
        <f aca="false">IF($BR35&lt;&gt;Constants!$B$8,"",((Constants!$B$31-$AZ35)-Constants!$B$31)/Constants!$B$32)</f>
        <v/>
      </c>
      <c r="BW35" s="96" t="str">
        <f aca="false">IF(ISBLANK($C35),"",IF($BR35&lt;&gt;Constants!$B$8,$BR35,SUM($BT35:$BV35)))</f>
        <v/>
      </c>
      <c r="BX35" s="92" t="str">
        <f aca="false">IF(ISBLANK($C35),"",IF($BR35&lt;&gt;Constants!$B$8,$BR35,RANK($BW35,$BW$9:$BW$508,1)))</f>
        <v/>
      </c>
      <c r="BY35" s="96" t="str">
        <f aca="false">IF($BR35&lt;&gt;Constants!$B$8,"",IF($BI35="-&gt;",$BK35,$BC35))</f>
        <v/>
      </c>
      <c r="BZ35" s="92" t="str">
        <f aca="false">IF(ISBLANK($C35),"",IF($BR35&lt;&gt;Constants!$B$8,$BR35,IF(ISNUMBER($BY35),RANK($BY35,$BY$9:$BY$508,1),COUNT($BY$9:$BY$508)+1)))</f>
        <v/>
      </c>
      <c r="CA35" s="96" t="str">
        <f aca="false">IF($BR35&lt;&gt;Constants!$B$8,"",IF($BI35="-&gt;",$BL35,$BD35))</f>
        <v/>
      </c>
      <c r="CB35" s="92" t="str">
        <f aca="false">IF(ISBLANK($C35),"",IF($BR35&lt;&gt;Constants!$B$8,$BR35,IF(ISNUMBER($CA35),RANK($CA35,$CA$9:$CA$508,1),COUNT($CA$9:$CA$508)+1)))</f>
        <v/>
      </c>
      <c r="CC35" s="96" t="str">
        <f aca="false">IF($BR35&lt;&gt;Constants!$B$8,"",IF($BI35="-&gt;",IF($AT35,$AV35,""),IF($AL35,$AN35,"")))</f>
        <v/>
      </c>
      <c r="CD35" s="92" t="str">
        <f aca="false">IF(ISBLANK($C35),"",IF($BR35&lt;&gt;Constants!$B$8,$BR35,IF(ISNUMBER($CC35),RANK($CC35,$CC$9:$CC$508,1),COUNT($CC$9:$CC$508)+1)))</f>
        <v/>
      </c>
      <c r="CE35" s="96" t="str">
        <f aca="false">IF($BR35&lt;&gt;Constants!$B$8,"",IF(AND(NOT($AL35),NOT($AT35),$AJ35,$AK35,$AR35,$AS35),"",$AI35))</f>
        <v/>
      </c>
      <c r="CF35" s="92" t="str">
        <f aca="false">IF(ISBLANK($C35),"",IF($BR35&lt;&gt;Constants!$B$8,$BR35,IF(ISNUMBER($CE35),RANK($CE35,$CE$9:$CE$508,1),COUNT($CE$9:$CE$508)+1)))</f>
        <v/>
      </c>
      <c r="CG35" s="92" t="str">
        <f aca="false">IF(ISBLANK($C35),"",IF($BR35&lt;&gt;Constants!$B$8,$BR35,COUNTIFS($BX$9:$BX$508,"&lt;"&amp;$BX35)+COUNTIFS($BX$9:$BX$508,$BX35,$BZ$9:$BZ$508,"&lt;"&amp;$BZ35)+COUNTIFS($BX$9:$BX$508,$BX35,$BZ$9:$BZ$508,$BZ35,$CB$9:$CB$508,"&lt;"&amp;$CB35)+COUNTIFS($BX$9:$BX$508,$BX35,$BZ$9:$BZ$508,$BZ35,$CB$9:$CB$508,$CB35,$CD$9:$CD$508,"&lt;"&amp;$CD35)+COUNTIFS($BX$9:$BX$508,$BX35,$BZ$9:$BZ$508,$BZ35,$CB$9:$CB$508,$CB35,$CD$9:$CD$508,$CD35,$CF$9:$CF$508,"&lt;"&amp;$CF35)+1))</f>
        <v/>
      </c>
      <c r="CH35" s="92" t="str">
        <f aca="false">IF(ISBLANK($C35),"",IF($BR35&lt;&gt;Constants!$B$8,$BR35,$BX35-$CG35))</f>
        <v/>
      </c>
      <c r="CI35" s="98"/>
      <c r="CJ35" s="99"/>
      <c r="CK35" s="100" t="str">
        <f aca="false">IF(ISBLANK($C35),"",IF($BR35=Constants!$B$12,$BQ35,""))</f>
        <v/>
      </c>
      <c r="CL35" s="99" t="str">
        <f aca="false">IF(ISBLANK($C35),"",IF($BR35&lt;&gt;Constants!$B$8,"",IF($BI35="-&gt;",2,1)))</f>
        <v/>
      </c>
      <c r="CM35" s="101" t="str">
        <f aca="false">IF(ISBLANK($C35),"",IF($BR35&lt;&gt;Constants!$B$8,"",IF($BI35="-&gt;",$BK35,$BC35)))</f>
        <v/>
      </c>
      <c r="CN35" s="101" t="str">
        <f aca="false">IF(ISBLANK($C35),"",IF($BR35&lt;&gt;Constants!$B$8,"",IF($BI35="-&gt;",$BL35,$BD35)))</f>
        <v/>
      </c>
      <c r="CO35" s="101" t="str">
        <f aca="false">IF(ISBLANK($C35),"",IF($BR35&lt;&gt;Constants!$B$8,"",IF($BI35="-&gt;",$BM35+$BN35,$BE35+$BF35)+$BV35))</f>
        <v/>
      </c>
      <c r="CP35" s="101" t="str">
        <f aca="false">IF(ISBLANK($C35),"",IF($BR35&lt;&gt;Constants!$B$8,"",IF($BI35="-&gt;",$BO35,$BG35)+$BU35))</f>
        <v/>
      </c>
      <c r="CQ35" s="102" t="str">
        <f aca="false">IF(ISBLANK($C35),"",IF($BR35&lt;&gt;Constants!$B$8,$BR35,$BW35))</f>
        <v/>
      </c>
      <c r="CR35" s="103" t="str">
        <f aca="false">IF(ISBLANK($C35),"",$BS35)</f>
        <v/>
      </c>
      <c r="CS35" s="104" t="str">
        <f aca="false">IF(ISBLANK($C35),"",$CH35)</f>
        <v/>
      </c>
      <c r="CT35" s="104" t="str">
        <f aca="false">IF(ISBLANK($C35),"",$CG35)</f>
        <v/>
      </c>
      <c r="CU35" s="105" t="str">
        <f aca="false">IF(ISBLANK($C35),"",IFERROR(_xlfn.SWITCH($CT35,Constants!$B$11,COUNTA($C$9:$C$508)+2,Constants!$B$10,COUNTA($C$9:$C$508)+1,Constants!$B$9,COUNTA($C$9:$C$508)),$CT35))</f>
        <v/>
      </c>
      <c r="CV35" s="9"/>
      <c r="CW35" s="106" t="n">
        <f aca="false">IF(OR(ISNUMBER($CT35),$CT35=Constants!$B$11,$CT35=Constants!$B$9,$CT35=Constants!$B$10),1,0)</f>
        <v>0</v>
      </c>
      <c r="CX35" s="106" t="n">
        <v>27</v>
      </c>
      <c r="CY35" s="106" t="str">
        <f aca="false">IF(ISBLANK($C35),"",IF(ISNUMBER($CU35),$CU35+ROW($B35)/1000,""))</f>
        <v/>
      </c>
      <c r="CZ35" s="106" t="str">
        <f aca="false">IF(ISNUMBER($CY35),RANK($CY35,$CY$9:$CY$508,1),"")</f>
        <v/>
      </c>
      <c r="DA35" s="106" t="str">
        <f aca="false">IF(ISBLANK($C35),"",$B35)</f>
        <v/>
      </c>
      <c r="DB35" s="106" t="str">
        <f aca="false">IF(ISBLANK($C35),"",$C35)</f>
        <v/>
      </c>
      <c r="DC35" s="106" t="str">
        <f aca="false">IF(ISBLANK($C35),"",$D35)</f>
        <v/>
      </c>
      <c r="DD35" s="107" t="str">
        <f aca="false">$CR35</f>
        <v/>
      </c>
      <c r="DE35" s="108" t="str">
        <f aca="false">$CQ35</f>
        <v/>
      </c>
      <c r="DF35" s="106" t="str">
        <f aca="false">IF(ISBLANK($C35),"",$CT35)</f>
        <v/>
      </c>
      <c r="DG35" s="109" t="str">
        <f aca="false">IF($CX35&gt;$CW$8,"",VLOOKUP($CX35,$CZ$9:$DF$508,7,FALSE()))</f>
        <v/>
      </c>
      <c r="DH35" s="110" t="str">
        <f aca="false">IF($CX35&gt;$CW$8,"",VLOOKUP($CX35,$CZ$9:$DF$508,2,FALSE()))</f>
        <v/>
      </c>
      <c r="DI35" s="110" t="str">
        <f aca="false">IF($CX35&gt;$CW$8,"",VLOOKUP($CX35,$CZ$9:$DF$508,3,FALSE()))</f>
        <v/>
      </c>
      <c r="DJ35" s="110" t="str">
        <f aca="false">IF($CX35&gt;$CW$8,"",VLOOKUP($CX35,$CZ$9:$DF$508,4,FALSE()))</f>
        <v/>
      </c>
      <c r="DK35" s="110" t="str">
        <f aca="false">IF($CX35&gt;$CW$8,"",VLOOKUP($CX35,$CZ$9:$DF$508,5,FALSE()))</f>
        <v/>
      </c>
      <c r="DL35" s="111" t="str">
        <f aca="false">IF($CX35&gt;$CW$8,"",VLOOKUP($CX35,$CZ$9:$DF$508,6,FALSE()))</f>
        <v/>
      </c>
      <c r="DM35" s="75"/>
    </row>
    <row r="36" customFormat="false" ht="15.75" hidden="false" customHeight="false" outlineLevel="0" collapsed="false">
      <c r="A36" s="9"/>
      <c r="B36" s="157"/>
      <c r="C36" s="158"/>
      <c r="D36" s="159"/>
      <c r="E36" s="160"/>
      <c r="F36" s="161"/>
      <c r="G36" s="162"/>
      <c r="H36" s="162"/>
      <c r="I36" s="163"/>
      <c r="J36" s="164"/>
      <c r="K36" s="126"/>
      <c r="L36" s="127"/>
      <c r="M36" s="128"/>
      <c r="N36" s="164"/>
      <c r="O36" s="164"/>
      <c r="P36" s="160"/>
      <c r="Q36" s="164"/>
      <c r="R36" s="164"/>
      <c r="S36" s="126"/>
      <c r="T36" s="128"/>
      <c r="U36" s="128"/>
      <c r="V36" s="164"/>
      <c r="W36" s="164"/>
      <c r="X36" s="160"/>
      <c r="Y36" s="165"/>
      <c r="Z36" s="166"/>
      <c r="AA36" s="165"/>
      <c r="AB36" s="132"/>
      <c r="AC36" s="133"/>
      <c r="AD36" s="133"/>
      <c r="AE36" s="133"/>
      <c r="AF36" s="133" t="str">
        <f aca="false">IF(ISBLANK($C36),"",IF(E36=Constants!$B$3,TRUE(),IF(E36=Constants!$B$4,FALSE(),TRUE())))</f>
        <v/>
      </c>
      <c r="AG36" s="133" t="str">
        <f aca="false">IF(ISBLANK($C36),"",IF(F36=Constants!$B$3,TRUE(),IF(F36=Constants!$B$4,FALSE(),TRUE())))</f>
        <v/>
      </c>
      <c r="AH36" s="133" t="str">
        <f aca="false">IF(ISBLANK($C36),"",IF(G36=Constants!$B$3,TRUE(),IF(G36=Constants!$B$4,FALSE(),TRUE())))</f>
        <v/>
      </c>
      <c r="AI36" s="133" t="str">
        <f aca="false">IF(ISBLANK($C36),"",IF(AND(ISNUMBER(H36),H36&gt;=0),H36,Constants!$B$29))</f>
        <v/>
      </c>
      <c r="AJ36" s="133" t="str">
        <f aca="false">IF(ISBLANK($C36),"",IF(I36=Constants!$B$3,TRUE(),IF(I36=Constants!$B$4,FALSE(),TRUE())))</f>
        <v/>
      </c>
      <c r="AK36" s="133" t="str">
        <f aca="false">IF(ISBLANK($C36),"",IF(J36=Constants!$B$3,TRUE(),IF(J36=Constants!$B$4,FALSE(),TRUE())))</f>
        <v/>
      </c>
      <c r="AL36" s="133" t="str">
        <f aca="false">IF(ISBLANK($C36),"",IF(K36=Constants!$B$5,TRUE(),IF(K36=Constants!$B$6,FALSE(),COUNTA(L36:P36)&gt;0)))</f>
        <v/>
      </c>
      <c r="AM36" s="134" t="str">
        <f aca="false">IF(ISBLANK($C36),"",IF(ISNUMBER(L36),IF(L36&gt;=0,L36,""),""))</f>
        <v/>
      </c>
      <c r="AN36" s="135" t="str">
        <f aca="false">IF(ISBLANK($C36),"",IF(ISNUMBER(M36),IF(M36&gt;=0,M36,""),""))</f>
        <v/>
      </c>
      <c r="AO36" s="135" t="str">
        <f aca="false">IF(ISBLANK($C36),"",IF(N36=Constants!$B$3,TRUE(),IF(N36=Constants!$B$4,FALSE(),TRUE())))</f>
        <v/>
      </c>
      <c r="AP36" s="133" t="str">
        <f aca="false">IF(ISBLANK($C36),"",IF(ISNUMBER(O36),IF(O36&gt;=0,O36,""),""))</f>
        <v/>
      </c>
      <c r="AQ36" s="133" t="str">
        <f aca="false">IF(ISBLANK($C36),"",IF(P36=Constants!$B$3,TRUE(),IF(P36=Constants!$B$4,FALSE(),FALSE())))</f>
        <v/>
      </c>
      <c r="AR36" s="133" t="str">
        <f aca="false">IF(ISBLANK($C36),"",IF(Q36=Constants!$B$3,TRUE(),IF(Q36=Constants!$B$4,FALSE(),TRUE())))</f>
        <v/>
      </c>
      <c r="AS36" s="133" t="str">
        <f aca="false">IF(ISBLANK($C36),"",IF(R36=Constants!$B$3,TRUE(),IF(R36=Constants!$B$4,FALSE(),TRUE())))</f>
        <v/>
      </c>
      <c r="AT36" s="133" t="str">
        <f aca="false">IF(ISBLANK($C36),"",IF(S36=Constants!$B$5,TRUE(),IF(S36=Constants!$B$6,FALSE(),COUNTA(T36:X36)&gt;0)))</f>
        <v/>
      </c>
      <c r="AU36" s="134" t="str">
        <f aca="false">IF(ISBLANK($C36),"",IF(ISNUMBER(T36),IF(T36&gt;=0,T36,""),""))</f>
        <v/>
      </c>
      <c r="AV36" s="135" t="str">
        <f aca="false">IF(ISBLANK($C36),"",IF(ISNUMBER(U36),IF(U36&gt;=0,U36,""),""))</f>
        <v/>
      </c>
      <c r="AW36" s="135" t="str">
        <f aca="false">IF(ISBLANK($C36),"",IF(V36=Constants!$B$3,TRUE(),IF(V36=Constants!$B$4,FALSE(),TRUE())))</f>
        <v/>
      </c>
      <c r="AX36" s="133" t="str">
        <f aca="false">IF(ISBLANK($C36),"",IF(ISNUMBER(W36),IF(W36&gt;=0,W36,""),""))</f>
        <v/>
      </c>
      <c r="AY36" s="133" t="str">
        <f aca="false">IF(ISBLANK($C36),"",IF(X36=Constants!$B$3,TRUE(),IF(X36=Constants!$B$4,FALSE(),FALSE())))</f>
        <v/>
      </c>
      <c r="AZ36" s="133" t="str">
        <f aca="false">IF(ISBLANK($C36),"",MIN(Constants!$B$31,MAX(0,IF(ISNUMBER(Y36),Y36*60,0)+IF(ISNUMBER(Z36),Z36,0))))</f>
        <v/>
      </c>
      <c r="BA36" s="133" t="str">
        <f aca="false">IF(ISBLANK($C36),"",IF(AA36=Constants!$B$3,TRUE(),IF(AA36=Constants!$B$4,FALSE(),FALSE())))</f>
        <v/>
      </c>
      <c r="BB36" s="132" t="str">
        <f aca="false">IF(ISBLANK($C36),"",AND($AL36,OR($AM36="",$AN36="",AND($AO36,$AP36=""))))</f>
        <v/>
      </c>
      <c r="BC36" s="135" t="str">
        <f aca="false">IF($BR36&lt;&gt;Constants!$B$8,"",IF($AL36,Constants!$B$21*$AN36+Constants!$B$22*IF($AO36,$AP36,Constants!$B$23),Constants!$B$24))</f>
        <v/>
      </c>
      <c r="BD36" s="136" t="str">
        <f aca="false">IF($BR36&lt;&gt;Constants!$B$8,"",Constants!$B$25*ABS($AD$9-IF($AL36,$AM36,0)))</f>
        <v/>
      </c>
      <c r="BE36" s="136" t="str">
        <f aca="false">IF($BR36&lt;&gt;Constants!$B$8,"",IF(AND($AL36,$AQ36,$AO36),Constants!$B$27,0))</f>
        <v/>
      </c>
      <c r="BF36" s="136" t="str">
        <f aca="false">IF($BR36&lt;&gt;Constants!$B$8,"",IF($AL36,($AI36-Constants!$B$29)*Constants!$B$28,0))</f>
        <v/>
      </c>
      <c r="BG36" s="136" t="str">
        <f aca="false">IF($BR36&lt;&gt;Constants!$B$8,"",IF($AK36,0,Constants!$B$15)+IF($AJ36,0,Constants!$B$16)+IF($AH36,0,Constants!$B$17))</f>
        <v/>
      </c>
      <c r="BH36" s="137" t="str">
        <f aca="false">IF($BR36&lt;&gt;Constants!$B$8,"",Constants!$B$20+SUM($BC36:$BG36))</f>
        <v/>
      </c>
      <c r="BI36" s="133" t="str">
        <f aca="false">IF($BR36&lt;&gt;Constants!$B$8,"",IF(OR($BP36&lt;$BH36,AND($BP36=$BH36,OR($BK36&lt;$BC36,AND($BK36=$BC36,OR($BL36&lt;$BD36,AND($BL36=$BD36,$AT36,$AL36,$AV36&lt;$AN36)))))),"-&gt;","&lt;-"))</f>
        <v/>
      </c>
      <c r="BJ36" s="132" t="str">
        <f aca="false">IF(ISBLANK($C36),"",AND($AT36,OR($AU36="",$AV36="",AND($AW36,$AX36=""))))</f>
        <v/>
      </c>
      <c r="BK36" s="135" t="str">
        <f aca="false">IF($BR36&lt;&gt;Constants!$B$8,"",IF($AT36,Constants!$B$21*$AV36+Constants!$B$22*IF($AW36,$AX36,Constants!$B$23),Constants!$B$24))</f>
        <v/>
      </c>
      <c r="BL36" s="136" t="str">
        <f aca="false">IF($BR36&lt;&gt;Constants!$B$8,"",Constants!$B$25*ABS($AD$9-IF($AT36,$AU36,0)))</f>
        <v/>
      </c>
      <c r="BM36" s="136" t="str">
        <f aca="false">IF($BR36&lt;&gt;Constants!$B$8,"",IF(AND($AT36,$AY36,$AW36),Constants!$B$27,0))</f>
        <v/>
      </c>
      <c r="BN36" s="136" t="str">
        <f aca="false">IF($BR36&lt;&gt;Constants!$B$8,"",IF($AT36,($AI36-Constants!$B$29)*Constants!$B$28,0))</f>
        <v/>
      </c>
      <c r="BO36" s="136" t="str">
        <f aca="false">IF($BR36&lt;&gt;Constants!$B$8,"",IF($AS36,0,Constants!$B$15)+IF($AR36,0,Constants!$B$16)+IF($AH36,0,Constants!$B$17))</f>
        <v/>
      </c>
      <c r="BP36" s="137" t="str">
        <f aca="false">IF($BR36&lt;&gt;Constants!$B$8,"",Constants!$B$20+SUM($BK36:$BO36))</f>
        <v/>
      </c>
      <c r="BQ36" s="133" t="str">
        <f aca="false">IF(ISBLANK($C36),"",IF(ISBLANK($D$7),$BQ$5,IF(NOT(ISNUMBER($D$7)),$BQ$6,"")))</f>
        <v/>
      </c>
      <c r="BR36" s="133" t="str">
        <f aca="false">IF(ISBLANK($C36),"",IF($BA36,Constants!$B$11,IF(COUNTA($E36:$AA36)=0,Constants!$B$10,IF(NOT($AG36),Constants!$B$9,IF(OR($BQ36&lt;&gt;"",$BB36,$BJ36),Constants!$B$12,Constants!$B$8)))))</f>
        <v/>
      </c>
      <c r="BS36" s="133" t="str">
        <f aca="false">IF(ISBLANK($C36),"",IF($BR36&lt;&gt;Constants!$B$8,$BR36,Constants!$B$13))</f>
        <v/>
      </c>
      <c r="BT36" s="136" t="str">
        <f aca="false">IF($BR36&lt;&gt;Constants!$B$8,"",IF($BI36="-&gt;",$BP36,$BH36))</f>
        <v/>
      </c>
      <c r="BU36" s="136" t="str">
        <f aca="false">IF($BR36&lt;&gt;Constants!$B$8,"",IF($AF36,0,Constants!$B$18))</f>
        <v/>
      </c>
      <c r="BV36" s="136" t="str">
        <f aca="false">IF($BR36&lt;&gt;Constants!$B$8,"",((Constants!$B$31-$AZ36)-Constants!$B$31)/Constants!$B$32)</f>
        <v/>
      </c>
      <c r="BW36" s="136" t="str">
        <f aca="false">IF(ISBLANK($C36),"",IF($BR36&lt;&gt;Constants!$B$8,$BR36,SUM($BT36:$BV36)))</f>
        <v/>
      </c>
      <c r="BX36" s="133" t="str">
        <f aca="false">IF(ISBLANK($C36),"",IF($BR36&lt;&gt;Constants!$B$8,$BR36,RANK($BW36,$BW$9:$BW$508,1)))</f>
        <v/>
      </c>
      <c r="BY36" s="136" t="str">
        <f aca="false">IF($BR36&lt;&gt;Constants!$B$8,"",IF($BI36="-&gt;",$BK36,$BC36))</f>
        <v/>
      </c>
      <c r="BZ36" s="133" t="str">
        <f aca="false">IF(ISBLANK($C36),"",IF($BR36&lt;&gt;Constants!$B$8,$BR36,IF(ISNUMBER($BY36),RANK($BY36,$BY$9:$BY$508,1),COUNT($BY$9:$BY$508)+1)))</f>
        <v/>
      </c>
      <c r="CA36" s="136" t="str">
        <f aca="false">IF($BR36&lt;&gt;Constants!$B$8,"",IF($BI36="-&gt;",$BL36,$BD36))</f>
        <v/>
      </c>
      <c r="CB36" s="133" t="str">
        <f aca="false">IF(ISBLANK($C36),"",IF($BR36&lt;&gt;Constants!$B$8,$BR36,IF(ISNUMBER($CA36),RANK($CA36,$CA$9:$CA$508,1),COUNT($CA$9:$CA$508)+1)))</f>
        <v/>
      </c>
      <c r="CC36" s="136" t="str">
        <f aca="false">IF($BR36&lt;&gt;Constants!$B$8,"",IF($BI36="-&gt;",IF($AT36,$AV36,""),IF($AL36,$AN36,"")))</f>
        <v/>
      </c>
      <c r="CD36" s="133" t="str">
        <f aca="false">IF(ISBLANK($C36),"",IF($BR36&lt;&gt;Constants!$B$8,$BR36,IF(ISNUMBER($CC36),RANK($CC36,$CC$9:$CC$508,1),COUNT($CC$9:$CC$508)+1)))</f>
        <v/>
      </c>
      <c r="CE36" s="136" t="str">
        <f aca="false">IF($BR36&lt;&gt;Constants!$B$8,"",IF(AND(NOT($AL36),NOT($AT36),$AJ36,$AK36,$AR36,$AS36),"",$AI36))</f>
        <v/>
      </c>
      <c r="CF36" s="133" t="str">
        <f aca="false">IF(ISBLANK($C36),"",IF($BR36&lt;&gt;Constants!$B$8,$BR36,IF(ISNUMBER($CE36),RANK($CE36,$CE$9:$CE$508,1),COUNT($CE$9:$CE$508)+1)))</f>
        <v/>
      </c>
      <c r="CG36" s="133" t="str">
        <f aca="false">IF(ISBLANK($C36),"",IF($BR36&lt;&gt;Constants!$B$8,$BR36,COUNTIFS($BX$9:$BX$508,"&lt;"&amp;$BX36)+COUNTIFS($BX$9:$BX$508,$BX36,$BZ$9:$BZ$508,"&lt;"&amp;$BZ36)+COUNTIFS($BX$9:$BX$508,$BX36,$BZ$9:$BZ$508,$BZ36,$CB$9:$CB$508,"&lt;"&amp;$CB36)+COUNTIFS($BX$9:$BX$508,$BX36,$BZ$9:$BZ$508,$BZ36,$CB$9:$CB$508,$CB36,$CD$9:$CD$508,"&lt;"&amp;$CD36)+COUNTIFS($BX$9:$BX$508,$BX36,$BZ$9:$BZ$508,$BZ36,$CB$9:$CB$508,$CB36,$CD$9:$CD$508,$CD36,$CF$9:$CF$508,"&lt;"&amp;$CF36)+1))</f>
        <v/>
      </c>
      <c r="CH36" s="133" t="str">
        <f aca="false">IF(ISBLANK($C36),"",IF($BR36&lt;&gt;Constants!$B$8,$BR36,$BX36-$CG36))</f>
        <v/>
      </c>
      <c r="CI36" s="138"/>
      <c r="CJ36" s="139"/>
      <c r="CK36" s="140" t="str">
        <f aca="false">IF(ISBLANK($C36),"",IF($BR36=Constants!$B$12,$BQ36,""))</f>
        <v/>
      </c>
      <c r="CL36" s="139" t="str">
        <f aca="false">IF(ISBLANK($C36),"",IF($BR36&lt;&gt;Constants!$B$8,"",IF($BI36="-&gt;",2,1)))</f>
        <v/>
      </c>
      <c r="CM36" s="141" t="str">
        <f aca="false">IF(ISBLANK($C36),"",IF($BR36&lt;&gt;Constants!$B$8,"",IF($BI36="-&gt;",$BK36,$BC36)))</f>
        <v/>
      </c>
      <c r="CN36" s="141" t="str">
        <f aca="false">IF(ISBLANK($C36),"",IF($BR36&lt;&gt;Constants!$B$8,"",IF($BI36="-&gt;",$BL36,$BD36)))</f>
        <v/>
      </c>
      <c r="CO36" s="141" t="str">
        <f aca="false">IF(ISBLANK($C36),"",IF($BR36&lt;&gt;Constants!$B$8,"",IF($BI36="-&gt;",$BM36+$BN36,$BE36+$BF36)+$BV36))</f>
        <v/>
      </c>
      <c r="CP36" s="141" t="str">
        <f aca="false">IF(ISBLANK($C36),"",IF($BR36&lt;&gt;Constants!$B$8,"",IF($BI36="-&gt;",$BO36,$BG36)+$BU36))</f>
        <v/>
      </c>
      <c r="CQ36" s="142" t="str">
        <f aca="false">IF(ISBLANK($C36),"",IF($BR36&lt;&gt;Constants!$B$8,$BR36,$BW36))</f>
        <v/>
      </c>
      <c r="CR36" s="143" t="str">
        <f aca="false">IF(ISBLANK($C36),"",$BS36)</f>
        <v/>
      </c>
      <c r="CS36" s="144" t="str">
        <f aca="false">IF(ISBLANK($C36),"",$CH36)</f>
        <v/>
      </c>
      <c r="CT36" s="144" t="str">
        <f aca="false">IF(ISBLANK($C36),"",$CG36)</f>
        <v/>
      </c>
      <c r="CU36" s="145" t="str">
        <f aca="false">IF(ISBLANK($C36),"",IFERROR(_xlfn.SWITCH($CT36,Constants!$B$11,COUNTA($C$9:$C$508)+2,Constants!$B$10,COUNTA($C$9:$C$508)+1,Constants!$B$9,COUNTA($C$9:$C$508)),$CT36))</f>
        <v/>
      </c>
      <c r="CV36" s="9"/>
      <c r="CW36" s="146" t="n">
        <f aca="false">IF(OR(ISNUMBER($CT36),$CT36=Constants!$B$11,$CT36=Constants!$B$9,$CT36=Constants!$B$10),1,0)</f>
        <v>0</v>
      </c>
      <c r="CX36" s="146" t="n">
        <v>28</v>
      </c>
      <c r="CY36" s="146" t="str">
        <f aca="false">IF(ISBLANK($C36),"",IF(ISNUMBER($CU36),$CU36+ROW($B36)/1000,""))</f>
        <v/>
      </c>
      <c r="CZ36" s="146" t="str">
        <f aca="false">IF(ISNUMBER($CY36),RANK($CY36,$CY$9:$CY$508,1),"")</f>
        <v/>
      </c>
      <c r="DA36" s="146" t="str">
        <f aca="false">IF(ISBLANK($C36),"",$B36)</f>
        <v/>
      </c>
      <c r="DB36" s="146" t="str">
        <f aca="false">IF(ISBLANK($C36),"",$C36)</f>
        <v/>
      </c>
      <c r="DC36" s="146" t="str">
        <f aca="false">IF(ISBLANK($C36),"",$D36)</f>
        <v/>
      </c>
      <c r="DD36" s="147" t="str">
        <f aca="false">$CR36</f>
        <v/>
      </c>
      <c r="DE36" s="148" t="str">
        <f aca="false">$CQ36</f>
        <v/>
      </c>
      <c r="DF36" s="146" t="str">
        <f aca="false">IF(ISBLANK($C36),"",$CT36)</f>
        <v/>
      </c>
      <c r="DG36" s="149" t="str">
        <f aca="false">IF($CX36&gt;$CW$8,"",VLOOKUP($CX36,$CZ$9:$DF$508,7,FALSE()))</f>
        <v/>
      </c>
      <c r="DH36" s="150" t="str">
        <f aca="false">IF($CX36&gt;$CW$8,"",VLOOKUP($CX36,$CZ$9:$DF$508,2,FALSE()))</f>
        <v/>
      </c>
      <c r="DI36" s="150" t="str">
        <f aca="false">IF($CX36&gt;$CW$8,"",VLOOKUP($CX36,$CZ$9:$DF$508,3,FALSE()))</f>
        <v/>
      </c>
      <c r="DJ36" s="150" t="str">
        <f aca="false">IF($CX36&gt;$CW$8,"",VLOOKUP($CX36,$CZ$9:$DF$508,4,FALSE()))</f>
        <v/>
      </c>
      <c r="DK36" s="150" t="str">
        <f aca="false">IF($CX36&gt;$CW$8,"",VLOOKUP($CX36,$CZ$9:$DF$508,5,FALSE()))</f>
        <v/>
      </c>
      <c r="DL36" s="151" t="str">
        <f aca="false">IF($CX36&gt;$CW$8,"",VLOOKUP($CX36,$CZ$9:$DF$508,6,FALSE()))</f>
        <v/>
      </c>
      <c r="DM36" s="75"/>
    </row>
    <row r="37" customFormat="false" ht="15.75" hidden="false" customHeight="false" outlineLevel="0" collapsed="false">
      <c r="A37" s="9"/>
      <c r="B37" s="157"/>
      <c r="C37" s="158"/>
      <c r="D37" s="159"/>
      <c r="E37" s="160"/>
      <c r="F37" s="161"/>
      <c r="G37" s="162"/>
      <c r="H37" s="162"/>
      <c r="I37" s="163"/>
      <c r="J37" s="164"/>
      <c r="K37" s="126"/>
      <c r="L37" s="127"/>
      <c r="M37" s="128"/>
      <c r="N37" s="164"/>
      <c r="O37" s="164"/>
      <c r="P37" s="160"/>
      <c r="Q37" s="164"/>
      <c r="R37" s="164"/>
      <c r="S37" s="126"/>
      <c r="T37" s="128"/>
      <c r="U37" s="128"/>
      <c r="V37" s="164"/>
      <c r="W37" s="164"/>
      <c r="X37" s="160"/>
      <c r="Y37" s="165"/>
      <c r="Z37" s="166"/>
      <c r="AA37" s="165"/>
      <c r="AB37" s="132"/>
      <c r="AC37" s="133"/>
      <c r="AD37" s="133"/>
      <c r="AE37" s="133"/>
      <c r="AF37" s="133" t="str">
        <f aca="false">IF(ISBLANK($C37),"",IF(E37=Constants!$B$3,TRUE(),IF(E37=Constants!$B$4,FALSE(),TRUE())))</f>
        <v/>
      </c>
      <c r="AG37" s="133" t="str">
        <f aca="false">IF(ISBLANK($C37),"",IF(F37=Constants!$B$3,TRUE(),IF(F37=Constants!$B$4,FALSE(),TRUE())))</f>
        <v/>
      </c>
      <c r="AH37" s="133" t="str">
        <f aca="false">IF(ISBLANK($C37),"",IF(G37=Constants!$B$3,TRUE(),IF(G37=Constants!$B$4,FALSE(),TRUE())))</f>
        <v/>
      </c>
      <c r="AI37" s="133" t="str">
        <f aca="false">IF(ISBLANK($C37),"",IF(AND(ISNUMBER(H37),H37&gt;=0),H37,Constants!$B$29))</f>
        <v/>
      </c>
      <c r="AJ37" s="133" t="str">
        <f aca="false">IF(ISBLANK($C37),"",IF(I37=Constants!$B$3,TRUE(),IF(I37=Constants!$B$4,FALSE(),TRUE())))</f>
        <v/>
      </c>
      <c r="AK37" s="133" t="str">
        <f aca="false">IF(ISBLANK($C37),"",IF(J37=Constants!$B$3,TRUE(),IF(J37=Constants!$B$4,FALSE(),TRUE())))</f>
        <v/>
      </c>
      <c r="AL37" s="133" t="str">
        <f aca="false">IF(ISBLANK($C37),"",IF(K37=Constants!$B$5,TRUE(),IF(K37=Constants!$B$6,FALSE(),COUNTA(L37:P37)&gt;0)))</f>
        <v/>
      </c>
      <c r="AM37" s="134" t="str">
        <f aca="false">IF(ISBLANK($C37),"",IF(ISNUMBER(L37),IF(L37&gt;=0,L37,""),""))</f>
        <v/>
      </c>
      <c r="AN37" s="135" t="str">
        <f aca="false">IF(ISBLANK($C37),"",IF(ISNUMBER(M37),IF(M37&gt;=0,M37,""),""))</f>
        <v/>
      </c>
      <c r="AO37" s="135" t="str">
        <f aca="false">IF(ISBLANK($C37),"",IF(N37=Constants!$B$3,TRUE(),IF(N37=Constants!$B$4,FALSE(),TRUE())))</f>
        <v/>
      </c>
      <c r="AP37" s="133" t="str">
        <f aca="false">IF(ISBLANK($C37),"",IF(ISNUMBER(O37),IF(O37&gt;=0,O37,""),""))</f>
        <v/>
      </c>
      <c r="AQ37" s="133" t="str">
        <f aca="false">IF(ISBLANK($C37),"",IF(P37=Constants!$B$3,TRUE(),IF(P37=Constants!$B$4,FALSE(),FALSE())))</f>
        <v/>
      </c>
      <c r="AR37" s="133" t="str">
        <f aca="false">IF(ISBLANK($C37),"",IF(Q37=Constants!$B$3,TRUE(),IF(Q37=Constants!$B$4,FALSE(),TRUE())))</f>
        <v/>
      </c>
      <c r="AS37" s="133" t="str">
        <f aca="false">IF(ISBLANK($C37),"",IF(R37=Constants!$B$3,TRUE(),IF(R37=Constants!$B$4,FALSE(),TRUE())))</f>
        <v/>
      </c>
      <c r="AT37" s="133" t="str">
        <f aca="false">IF(ISBLANK($C37),"",IF(S37=Constants!$B$5,TRUE(),IF(S37=Constants!$B$6,FALSE(),COUNTA(T37:X37)&gt;0)))</f>
        <v/>
      </c>
      <c r="AU37" s="134" t="str">
        <f aca="false">IF(ISBLANK($C37),"",IF(ISNUMBER(T37),IF(T37&gt;=0,T37,""),""))</f>
        <v/>
      </c>
      <c r="AV37" s="135" t="str">
        <f aca="false">IF(ISBLANK($C37),"",IF(ISNUMBER(U37),IF(U37&gt;=0,U37,""),""))</f>
        <v/>
      </c>
      <c r="AW37" s="135" t="str">
        <f aca="false">IF(ISBLANK($C37),"",IF(V37=Constants!$B$3,TRUE(),IF(V37=Constants!$B$4,FALSE(),TRUE())))</f>
        <v/>
      </c>
      <c r="AX37" s="133" t="str">
        <f aca="false">IF(ISBLANK($C37),"",IF(ISNUMBER(W37),IF(W37&gt;=0,W37,""),""))</f>
        <v/>
      </c>
      <c r="AY37" s="133" t="str">
        <f aca="false">IF(ISBLANK($C37),"",IF(X37=Constants!$B$3,TRUE(),IF(X37=Constants!$B$4,FALSE(),FALSE())))</f>
        <v/>
      </c>
      <c r="AZ37" s="133" t="str">
        <f aca="false">IF(ISBLANK($C37),"",MIN(Constants!$B$31,MAX(0,IF(ISNUMBER(Y37),Y37*60,0)+IF(ISNUMBER(Z37),Z37,0))))</f>
        <v/>
      </c>
      <c r="BA37" s="133" t="str">
        <f aca="false">IF(ISBLANK($C37),"",IF(AA37=Constants!$B$3,TRUE(),IF(AA37=Constants!$B$4,FALSE(),FALSE())))</f>
        <v/>
      </c>
      <c r="BB37" s="132" t="str">
        <f aca="false">IF(ISBLANK($C37),"",AND($AL37,OR($AM37="",$AN37="",AND($AO37,$AP37=""))))</f>
        <v/>
      </c>
      <c r="BC37" s="135" t="str">
        <f aca="false">IF($BR37&lt;&gt;Constants!$B$8,"",IF($AL37,Constants!$B$21*$AN37+Constants!$B$22*IF($AO37,$AP37,Constants!$B$23),Constants!$B$24))</f>
        <v/>
      </c>
      <c r="BD37" s="136" t="str">
        <f aca="false">IF($BR37&lt;&gt;Constants!$B$8,"",Constants!$B$25*ABS($AD$9-IF($AL37,$AM37,0)))</f>
        <v/>
      </c>
      <c r="BE37" s="136" t="str">
        <f aca="false">IF($BR37&lt;&gt;Constants!$B$8,"",IF(AND($AL37,$AQ37,$AO37),Constants!$B$27,0))</f>
        <v/>
      </c>
      <c r="BF37" s="136" t="str">
        <f aca="false">IF($BR37&lt;&gt;Constants!$B$8,"",IF($AL37,($AI37-Constants!$B$29)*Constants!$B$28,0))</f>
        <v/>
      </c>
      <c r="BG37" s="136" t="str">
        <f aca="false">IF($BR37&lt;&gt;Constants!$B$8,"",IF($AK37,0,Constants!$B$15)+IF($AJ37,0,Constants!$B$16)+IF($AH37,0,Constants!$B$17))</f>
        <v/>
      </c>
      <c r="BH37" s="137" t="str">
        <f aca="false">IF($BR37&lt;&gt;Constants!$B$8,"",Constants!$B$20+SUM($BC37:$BG37))</f>
        <v/>
      </c>
      <c r="BI37" s="133" t="str">
        <f aca="false">IF($BR37&lt;&gt;Constants!$B$8,"",IF(OR($BP37&lt;$BH37,AND($BP37=$BH37,OR($BK37&lt;$BC37,AND($BK37=$BC37,OR($BL37&lt;$BD37,AND($BL37=$BD37,$AT37,$AL37,$AV37&lt;$AN37)))))),"-&gt;","&lt;-"))</f>
        <v/>
      </c>
      <c r="BJ37" s="132" t="str">
        <f aca="false">IF(ISBLANK($C37),"",AND($AT37,OR($AU37="",$AV37="",AND($AW37,$AX37=""))))</f>
        <v/>
      </c>
      <c r="BK37" s="135" t="str">
        <f aca="false">IF($BR37&lt;&gt;Constants!$B$8,"",IF($AT37,Constants!$B$21*$AV37+Constants!$B$22*IF($AW37,$AX37,Constants!$B$23),Constants!$B$24))</f>
        <v/>
      </c>
      <c r="BL37" s="136" t="str">
        <f aca="false">IF($BR37&lt;&gt;Constants!$B$8,"",Constants!$B$25*ABS($AD$9-IF($AT37,$AU37,0)))</f>
        <v/>
      </c>
      <c r="BM37" s="136" t="str">
        <f aca="false">IF($BR37&lt;&gt;Constants!$B$8,"",IF(AND($AT37,$AY37,$AW37),Constants!$B$27,0))</f>
        <v/>
      </c>
      <c r="BN37" s="136" t="str">
        <f aca="false">IF($BR37&lt;&gt;Constants!$B$8,"",IF($AT37,($AI37-Constants!$B$29)*Constants!$B$28,0))</f>
        <v/>
      </c>
      <c r="BO37" s="136" t="str">
        <f aca="false">IF($BR37&lt;&gt;Constants!$B$8,"",IF($AS37,0,Constants!$B$15)+IF($AR37,0,Constants!$B$16)+IF($AH37,0,Constants!$B$17))</f>
        <v/>
      </c>
      <c r="BP37" s="137" t="str">
        <f aca="false">IF($BR37&lt;&gt;Constants!$B$8,"",Constants!$B$20+SUM($BK37:$BO37))</f>
        <v/>
      </c>
      <c r="BQ37" s="133" t="str">
        <f aca="false">IF(ISBLANK($C37),"",IF(ISBLANK($D$7),$BQ$5,IF(NOT(ISNUMBER($D$7)),$BQ$6,"")))</f>
        <v/>
      </c>
      <c r="BR37" s="133" t="str">
        <f aca="false">IF(ISBLANK($C37),"",IF($BA37,Constants!$B$11,IF(COUNTA($E37:$AA37)=0,Constants!$B$10,IF(NOT($AG37),Constants!$B$9,IF(OR($BQ37&lt;&gt;"",$BB37,$BJ37),Constants!$B$12,Constants!$B$8)))))</f>
        <v/>
      </c>
      <c r="BS37" s="133" t="str">
        <f aca="false">IF(ISBLANK($C37),"",IF($BR37&lt;&gt;Constants!$B$8,$BR37,Constants!$B$13))</f>
        <v/>
      </c>
      <c r="BT37" s="136" t="str">
        <f aca="false">IF($BR37&lt;&gt;Constants!$B$8,"",IF($BI37="-&gt;",$BP37,$BH37))</f>
        <v/>
      </c>
      <c r="BU37" s="136" t="str">
        <f aca="false">IF($BR37&lt;&gt;Constants!$B$8,"",IF($AF37,0,Constants!$B$18))</f>
        <v/>
      </c>
      <c r="BV37" s="136" t="str">
        <f aca="false">IF($BR37&lt;&gt;Constants!$B$8,"",((Constants!$B$31-$AZ37)-Constants!$B$31)/Constants!$B$32)</f>
        <v/>
      </c>
      <c r="BW37" s="136" t="str">
        <f aca="false">IF(ISBLANK($C37),"",IF($BR37&lt;&gt;Constants!$B$8,$BR37,SUM($BT37:$BV37)))</f>
        <v/>
      </c>
      <c r="BX37" s="133" t="str">
        <f aca="false">IF(ISBLANK($C37),"",IF($BR37&lt;&gt;Constants!$B$8,$BR37,RANK($BW37,$BW$9:$BW$508,1)))</f>
        <v/>
      </c>
      <c r="BY37" s="136" t="str">
        <f aca="false">IF($BR37&lt;&gt;Constants!$B$8,"",IF($BI37="-&gt;",$BK37,$BC37))</f>
        <v/>
      </c>
      <c r="BZ37" s="133" t="str">
        <f aca="false">IF(ISBLANK($C37),"",IF($BR37&lt;&gt;Constants!$B$8,$BR37,IF(ISNUMBER($BY37),RANK($BY37,$BY$9:$BY$508,1),COUNT($BY$9:$BY$508)+1)))</f>
        <v/>
      </c>
      <c r="CA37" s="136" t="str">
        <f aca="false">IF($BR37&lt;&gt;Constants!$B$8,"",IF($BI37="-&gt;",$BL37,$BD37))</f>
        <v/>
      </c>
      <c r="CB37" s="133" t="str">
        <f aca="false">IF(ISBLANK($C37),"",IF($BR37&lt;&gt;Constants!$B$8,$BR37,IF(ISNUMBER($CA37),RANK($CA37,$CA$9:$CA$508,1),COUNT($CA$9:$CA$508)+1)))</f>
        <v/>
      </c>
      <c r="CC37" s="136" t="str">
        <f aca="false">IF($BR37&lt;&gt;Constants!$B$8,"",IF($BI37="-&gt;",IF($AT37,$AV37,""),IF($AL37,$AN37,"")))</f>
        <v/>
      </c>
      <c r="CD37" s="133" t="str">
        <f aca="false">IF(ISBLANK($C37),"",IF($BR37&lt;&gt;Constants!$B$8,$BR37,IF(ISNUMBER($CC37),RANK($CC37,$CC$9:$CC$508,1),COUNT($CC$9:$CC$508)+1)))</f>
        <v/>
      </c>
      <c r="CE37" s="136" t="str">
        <f aca="false">IF($BR37&lt;&gt;Constants!$B$8,"",IF(AND(NOT($AL37),NOT($AT37),$AJ37,$AK37,$AR37,$AS37),"",$AI37))</f>
        <v/>
      </c>
      <c r="CF37" s="133" t="str">
        <f aca="false">IF(ISBLANK($C37),"",IF($BR37&lt;&gt;Constants!$B$8,$BR37,IF(ISNUMBER($CE37),RANK($CE37,$CE$9:$CE$508,1),COUNT($CE$9:$CE$508)+1)))</f>
        <v/>
      </c>
      <c r="CG37" s="133" t="str">
        <f aca="false">IF(ISBLANK($C37),"",IF($BR37&lt;&gt;Constants!$B$8,$BR37,COUNTIFS($BX$9:$BX$508,"&lt;"&amp;$BX37)+COUNTIFS($BX$9:$BX$508,$BX37,$BZ$9:$BZ$508,"&lt;"&amp;$BZ37)+COUNTIFS($BX$9:$BX$508,$BX37,$BZ$9:$BZ$508,$BZ37,$CB$9:$CB$508,"&lt;"&amp;$CB37)+COUNTIFS($BX$9:$BX$508,$BX37,$BZ$9:$BZ$508,$BZ37,$CB$9:$CB$508,$CB37,$CD$9:$CD$508,"&lt;"&amp;$CD37)+COUNTIFS($BX$9:$BX$508,$BX37,$BZ$9:$BZ$508,$BZ37,$CB$9:$CB$508,$CB37,$CD$9:$CD$508,$CD37,$CF$9:$CF$508,"&lt;"&amp;$CF37)+1))</f>
        <v/>
      </c>
      <c r="CH37" s="133" t="str">
        <f aca="false">IF(ISBLANK($C37),"",IF($BR37&lt;&gt;Constants!$B$8,$BR37,$BX37-$CG37))</f>
        <v/>
      </c>
      <c r="CI37" s="138"/>
      <c r="CJ37" s="139"/>
      <c r="CK37" s="140" t="str">
        <f aca="false">IF(ISBLANK($C37),"",IF($BR37=Constants!$B$12,$BQ37,""))</f>
        <v/>
      </c>
      <c r="CL37" s="139" t="str">
        <f aca="false">IF(ISBLANK($C37),"",IF($BR37&lt;&gt;Constants!$B$8,"",IF($BI37="-&gt;",2,1)))</f>
        <v/>
      </c>
      <c r="CM37" s="141" t="str">
        <f aca="false">IF(ISBLANK($C37),"",IF($BR37&lt;&gt;Constants!$B$8,"",IF($BI37="-&gt;",$BK37,$BC37)))</f>
        <v/>
      </c>
      <c r="CN37" s="141" t="str">
        <f aca="false">IF(ISBLANK($C37),"",IF($BR37&lt;&gt;Constants!$B$8,"",IF($BI37="-&gt;",$BL37,$BD37)))</f>
        <v/>
      </c>
      <c r="CO37" s="141" t="str">
        <f aca="false">IF(ISBLANK($C37),"",IF($BR37&lt;&gt;Constants!$B$8,"",IF($BI37="-&gt;",$BM37+$BN37,$BE37+$BF37)+$BV37))</f>
        <v/>
      </c>
      <c r="CP37" s="141" t="str">
        <f aca="false">IF(ISBLANK($C37),"",IF($BR37&lt;&gt;Constants!$B$8,"",IF($BI37="-&gt;",$BO37,$BG37)+$BU37))</f>
        <v/>
      </c>
      <c r="CQ37" s="142" t="str">
        <f aca="false">IF(ISBLANK($C37),"",IF($BR37&lt;&gt;Constants!$B$8,$BR37,$BW37))</f>
        <v/>
      </c>
      <c r="CR37" s="143" t="str">
        <f aca="false">IF(ISBLANK($C37),"",$BS37)</f>
        <v/>
      </c>
      <c r="CS37" s="144" t="str">
        <f aca="false">IF(ISBLANK($C37),"",$CH37)</f>
        <v/>
      </c>
      <c r="CT37" s="144" t="str">
        <f aca="false">IF(ISBLANK($C37),"",$CG37)</f>
        <v/>
      </c>
      <c r="CU37" s="145" t="str">
        <f aca="false">IF(ISBLANK($C37),"",IFERROR(_xlfn.SWITCH($CT37,Constants!$B$11,COUNTA($C$9:$C$508)+2,Constants!$B$10,COUNTA($C$9:$C$508)+1,Constants!$B$9,COUNTA($C$9:$C$508)),$CT37))</f>
        <v/>
      </c>
      <c r="CV37" s="9"/>
      <c r="CW37" s="146" t="n">
        <f aca="false">IF(OR(ISNUMBER($CT37),$CT37=Constants!$B$11,$CT37=Constants!$B$9,$CT37=Constants!$B$10),1,0)</f>
        <v>0</v>
      </c>
      <c r="CX37" s="146" t="n">
        <v>29</v>
      </c>
      <c r="CY37" s="146" t="str">
        <f aca="false">IF(ISBLANK($C37),"",IF(ISNUMBER($CU37),$CU37+ROW($B37)/1000,""))</f>
        <v/>
      </c>
      <c r="CZ37" s="146" t="str">
        <f aca="false">IF(ISNUMBER($CY37),RANK($CY37,$CY$9:$CY$508,1),"")</f>
        <v/>
      </c>
      <c r="DA37" s="146" t="str">
        <f aca="false">IF(ISBLANK($C37),"",$B37)</f>
        <v/>
      </c>
      <c r="DB37" s="146" t="str">
        <f aca="false">IF(ISBLANK($C37),"",$C37)</f>
        <v/>
      </c>
      <c r="DC37" s="146" t="str">
        <f aca="false">IF(ISBLANK($C37),"",$D37)</f>
        <v/>
      </c>
      <c r="DD37" s="147" t="str">
        <f aca="false">$CR37</f>
        <v/>
      </c>
      <c r="DE37" s="148" t="str">
        <f aca="false">$CQ37</f>
        <v/>
      </c>
      <c r="DF37" s="146" t="str">
        <f aca="false">IF(ISBLANK($C37),"",$CT37)</f>
        <v/>
      </c>
      <c r="DG37" s="149" t="str">
        <f aca="false">IF($CX37&gt;$CW$8,"",VLOOKUP($CX37,$CZ$9:$DF$508,7,FALSE()))</f>
        <v/>
      </c>
      <c r="DH37" s="150" t="str">
        <f aca="false">IF($CX37&gt;$CW$8,"",VLOOKUP($CX37,$CZ$9:$DF$508,2,FALSE()))</f>
        <v/>
      </c>
      <c r="DI37" s="150" t="str">
        <f aca="false">IF($CX37&gt;$CW$8,"",VLOOKUP($CX37,$CZ$9:$DF$508,3,FALSE()))</f>
        <v/>
      </c>
      <c r="DJ37" s="150" t="str">
        <f aca="false">IF($CX37&gt;$CW$8,"",VLOOKUP($CX37,$CZ$9:$DF$508,4,FALSE()))</f>
        <v/>
      </c>
      <c r="DK37" s="150" t="str">
        <f aca="false">IF($CX37&gt;$CW$8,"",VLOOKUP($CX37,$CZ$9:$DF$508,5,FALSE()))</f>
        <v/>
      </c>
      <c r="DL37" s="151" t="str">
        <f aca="false">IF($CX37&gt;$CW$8,"",VLOOKUP($CX37,$CZ$9:$DF$508,6,FALSE()))</f>
        <v/>
      </c>
      <c r="DM37" s="75"/>
    </row>
    <row r="38" customFormat="false" ht="15.75" hidden="false" customHeight="false" outlineLevel="0" collapsed="false">
      <c r="A38" s="9"/>
      <c r="B38" s="157"/>
      <c r="C38" s="158"/>
      <c r="D38" s="159"/>
      <c r="E38" s="160"/>
      <c r="F38" s="161"/>
      <c r="G38" s="162"/>
      <c r="H38" s="162"/>
      <c r="I38" s="163"/>
      <c r="J38" s="164"/>
      <c r="K38" s="126"/>
      <c r="L38" s="127"/>
      <c r="M38" s="128"/>
      <c r="N38" s="164"/>
      <c r="O38" s="164"/>
      <c r="P38" s="160"/>
      <c r="Q38" s="164"/>
      <c r="R38" s="164"/>
      <c r="S38" s="126"/>
      <c r="T38" s="128"/>
      <c r="U38" s="128"/>
      <c r="V38" s="164"/>
      <c r="W38" s="164"/>
      <c r="X38" s="160"/>
      <c r="Y38" s="165"/>
      <c r="Z38" s="166"/>
      <c r="AA38" s="165"/>
      <c r="AB38" s="132"/>
      <c r="AC38" s="133"/>
      <c r="AD38" s="133"/>
      <c r="AE38" s="133"/>
      <c r="AF38" s="133" t="str">
        <f aca="false">IF(ISBLANK($C38),"",IF(E38=Constants!$B$3,TRUE(),IF(E38=Constants!$B$4,FALSE(),TRUE())))</f>
        <v/>
      </c>
      <c r="AG38" s="133" t="str">
        <f aca="false">IF(ISBLANK($C38),"",IF(F38=Constants!$B$3,TRUE(),IF(F38=Constants!$B$4,FALSE(),TRUE())))</f>
        <v/>
      </c>
      <c r="AH38" s="133" t="str">
        <f aca="false">IF(ISBLANK($C38),"",IF(G38=Constants!$B$3,TRUE(),IF(G38=Constants!$B$4,FALSE(),TRUE())))</f>
        <v/>
      </c>
      <c r="AI38" s="133" t="str">
        <f aca="false">IF(ISBLANK($C38),"",IF(AND(ISNUMBER(H38),H38&gt;=0),H38,Constants!$B$29))</f>
        <v/>
      </c>
      <c r="AJ38" s="133" t="str">
        <f aca="false">IF(ISBLANK($C38),"",IF(I38=Constants!$B$3,TRUE(),IF(I38=Constants!$B$4,FALSE(),TRUE())))</f>
        <v/>
      </c>
      <c r="AK38" s="133" t="str">
        <f aca="false">IF(ISBLANK($C38),"",IF(J38=Constants!$B$3,TRUE(),IF(J38=Constants!$B$4,FALSE(),TRUE())))</f>
        <v/>
      </c>
      <c r="AL38" s="133" t="str">
        <f aca="false">IF(ISBLANK($C38),"",IF(K38=Constants!$B$5,TRUE(),IF(K38=Constants!$B$6,FALSE(),COUNTA(L38:P38)&gt;0)))</f>
        <v/>
      </c>
      <c r="AM38" s="134" t="str">
        <f aca="false">IF(ISBLANK($C38),"",IF(ISNUMBER(L38),IF(L38&gt;=0,L38,""),""))</f>
        <v/>
      </c>
      <c r="AN38" s="135" t="str">
        <f aca="false">IF(ISBLANK($C38),"",IF(ISNUMBER(M38),IF(M38&gt;=0,M38,""),""))</f>
        <v/>
      </c>
      <c r="AO38" s="135" t="str">
        <f aca="false">IF(ISBLANK($C38),"",IF(N38=Constants!$B$3,TRUE(),IF(N38=Constants!$B$4,FALSE(),TRUE())))</f>
        <v/>
      </c>
      <c r="AP38" s="133" t="str">
        <f aca="false">IF(ISBLANK($C38),"",IF(ISNUMBER(O38),IF(O38&gt;=0,O38,""),""))</f>
        <v/>
      </c>
      <c r="AQ38" s="133" t="str">
        <f aca="false">IF(ISBLANK($C38),"",IF(P38=Constants!$B$3,TRUE(),IF(P38=Constants!$B$4,FALSE(),FALSE())))</f>
        <v/>
      </c>
      <c r="AR38" s="133" t="str">
        <f aca="false">IF(ISBLANK($C38),"",IF(Q38=Constants!$B$3,TRUE(),IF(Q38=Constants!$B$4,FALSE(),TRUE())))</f>
        <v/>
      </c>
      <c r="AS38" s="133" t="str">
        <f aca="false">IF(ISBLANK($C38),"",IF(R38=Constants!$B$3,TRUE(),IF(R38=Constants!$B$4,FALSE(),TRUE())))</f>
        <v/>
      </c>
      <c r="AT38" s="133" t="str">
        <f aca="false">IF(ISBLANK($C38),"",IF(S38=Constants!$B$5,TRUE(),IF(S38=Constants!$B$6,FALSE(),COUNTA(T38:X38)&gt;0)))</f>
        <v/>
      </c>
      <c r="AU38" s="134" t="str">
        <f aca="false">IF(ISBLANK($C38),"",IF(ISNUMBER(T38),IF(T38&gt;=0,T38,""),""))</f>
        <v/>
      </c>
      <c r="AV38" s="135" t="str">
        <f aca="false">IF(ISBLANK($C38),"",IF(ISNUMBER(U38),IF(U38&gt;=0,U38,""),""))</f>
        <v/>
      </c>
      <c r="AW38" s="135" t="str">
        <f aca="false">IF(ISBLANK($C38),"",IF(V38=Constants!$B$3,TRUE(),IF(V38=Constants!$B$4,FALSE(),TRUE())))</f>
        <v/>
      </c>
      <c r="AX38" s="133" t="str">
        <f aca="false">IF(ISBLANK($C38),"",IF(ISNUMBER(W38),IF(W38&gt;=0,W38,""),""))</f>
        <v/>
      </c>
      <c r="AY38" s="133" t="str">
        <f aca="false">IF(ISBLANK($C38),"",IF(X38=Constants!$B$3,TRUE(),IF(X38=Constants!$B$4,FALSE(),FALSE())))</f>
        <v/>
      </c>
      <c r="AZ38" s="133" t="str">
        <f aca="false">IF(ISBLANK($C38),"",MIN(Constants!$B$31,MAX(0,IF(ISNUMBER(Y38),Y38*60,0)+IF(ISNUMBER(Z38),Z38,0))))</f>
        <v/>
      </c>
      <c r="BA38" s="133" t="str">
        <f aca="false">IF(ISBLANK($C38),"",IF(AA38=Constants!$B$3,TRUE(),IF(AA38=Constants!$B$4,FALSE(),FALSE())))</f>
        <v/>
      </c>
      <c r="BB38" s="132" t="str">
        <f aca="false">IF(ISBLANK($C38),"",AND($AL38,OR($AM38="",$AN38="",AND($AO38,$AP38=""))))</f>
        <v/>
      </c>
      <c r="BC38" s="135" t="str">
        <f aca="false">IF($BR38&lt;&gt;Constants!$B$8,"",IF($AL38,Constants!$B$21*$AN38+Constants!$B$22*IF($AO38,$AP38,Constants!$B$23),Constants!$B$24))</f>
        <v/>
      </c>
      <c r="BD38" s="136" t="str">
        <f aca="false">IF($BR38&lt;&gt;Constants!$B$8,"",Constants!$B$25*ABS($AD$9-IF($AL38,$AM38,0)))</f>
        <v/>
      </c>
      <c r="BE38" s="136" t="str">
        <f aca="false">IF($BR38&lt;&gt;Constants!$B$8,"",IF(AND($AL38,$AQ38,$AO38),Constants!$B$27,0))</f>
        <v/>
      </c>
      <c r="BF38" s="136" t="str">
        <f aca="false">IF($BR38&lt;&gt;Constants!$B$8,"",IF($AL38,($AI38-Constants!$B$29)*Constants!$B$28,0))</f>
        <v/>
      </c>
      <c r="BG38" s="136" t="str">
        <f aca="false">IF($BR38&lt;&gt;Constants!$B$8,"",IF($AK38,0,Constants!$B$15)+IF($AJ38,0,Constants!$B$16)+IF($AH38,0,Constants!$B$17))</f>
        <v/>
      </c>
      <c r="BH38" s="137" t="str">
        <f aca="false">IF($BR38&lt;&gt;Constants!$B$8,"",Constants!$B$20+SUM($BC38:$BG38))</f>
        <v/>
      </c>
      <c r="BI38" s="133" t="str">
        <f aca="false">IF($BR38&lt;&gt;Constants!$B$8,"",IF(OR($BP38&lt;$BH38,AND($BP38=$BH38,OR($BK38&lt;$BC38,AND($BK38=$BC38,OR($BL38&lt;$BD38,AND($BL38=$BD38,$AT38,$AL38,$AV38&lt;$AN38)))))),"-&gt;","&lt;-"))</f>
        <v/>
      </c>
      <c r="BJ38" s="132" t="str">
        <f aca="false">IF(ISBLANK($C38),"",AND($AT38,OR($AU38="",$AV38="",AND($AW38,$AX38=""))))</f>
        <v/>
      </c>
      <c r="BK38" s="135" t="str">
        <f aca="false">IF($BR38&lt;&gt;Constants!$B$8,"",IF($AT38,Constants!$B$21*$AV38+Constants!$B$22*IF($AW38,$AX38,Constants!$B$23),Constants!$B$24))</f>
        <v/>
      </c>
      <c r="BL38" s="136" t="str">
        <f aca="false">IF($BR38&lt;&gt;Constants!$B$8,"",Constants!$B$25*ABS($AD$9-IF($AT38,$AU38,0)))</f>
        <v/>
      </c>
      <c r="BM38" s="136" t="str">
        <f aca="false">IF($BR38&lt;&gt;Constants!$B$8,"",IF(AND($AT38,$AY38,$AW38),Constants!$B$27,0))</f>
        <v/>
      </c>
      <c r="BN38" s="136" t="str">
        <f aca="false">IF($BR38&lt;&gt;Constants!$B$8,"",IF($AT38,($AI38-Constants!$B$29)*Constants!$B$28,0))</f>
        <v/>
      </c>
      <c r="BO38" s="136" t="str">
        <f aca="false">IF($BR38&lt;&gt;Constants!$B$8,"",IF($AS38,0,Constants!$B$15)+IF($AR38,0,Constants!$B$16)+IF($AH38,0,Constants!$B$17))</f>
        <v/>
      </c>
      <c r="BP38" s="137" t="str">
        <f aca="false">IF($BR38&lt;&gt;Constants!$B$8,"",Constants!$B$20+SUM($BK38:$BO38))</f>
        <v/>
      </c>
      <c r="BQ38" s="133" t="str">
        <f aca="false">IF(ISBLANK($C38),"",IF(ISBLANK($D$7),$BQ$5,IF(NOT(ISNUMBER($D$7)),$BQ$6,"")))</f>
        <v/>
      </c>
      <c r="BR38" s="133" t="str">
        <f aca="false">IF(ISBLANK($C38),"",IF($BA38,Constants!$B$11,IF(COUNTA($E38:$AA38)=0,Constants!$B$10,IF(NOT($AG38),Constants!$B$9,IF(OR($BQ38&lt;&gt;"",$BB38,$BJ38),Constants!$B$12,Constants!$B$8)))))</f>
        <v/>
      </c>
      <c r="BS38" s="133" t="str">
        <f aca="false">IF(ISBLANK($C38),"",IF($BR38&lt;&gt;Constants!$B$8,$BR38,Constants!$B$13))</f>
        <v/>
      </c>
      <c r="BT38" s="136" t="str">
        <f aca="false">IF($BR38&lt;&gt;Constants!$B$8,"",IF($BI38="-&gt;",$BP38,$BH38))</f>
        <v/>
      </c>
      <c r="BU38" s="136" t="str">
        <f aca="false">IF($BR38&lt;&gt;Constants!$B$8,"",IF($AF38,0,Constants!$B$18))</f>
        <v/>
      </c>
      <c r="BV38" s="136" t="str">
        <f aca="false">IF($BR38&lt;&gt;Constants!$B$8,"",((Constants!$B$31-$AZ38)-Constants!$B$31)/Constants!$B$32)</f>
        <v/>
      </c>
      <c r="BW38" s="136" t="str">
        <f aca="false">IF(ISBLANK($C38),"",IF($BR38&lt;&gt;Constants!$B$8,$BR38,SUM($BT38:$BV38)))</f>
        <v/>
      </c>
      <c r="BX38" s="133" t="str">
        <f aca="false">IF(ISBLANK($C38),"",IF($BR38&lt;&gt;Constants!$B$8,$BR38,RANK($BW38,$BW$9:$BW$508,1)))</f>
        <v/>
      </c>
      <c r="BY38" s="136" t="str">
        <f aca="false">IF($BR38&lt;&gt;Constants!$B$8,"",IF($BI38="-&gt;",$BK38,$BC38))</f>
        <v/>
      </c>
      <c r="BZ38" s="133" t="str">
        <f aca="false">IF(ISBLANK($C38),"",IF($BR38&lt;&gt;Constants!$B$8,$BR38,IF(ISNUMBER($BY38),RANK($BY38,$BY$9:$BY$508,1),COUNT($BY$9:$BY$508)+1)))</f>
        <v/>
      </c>
      <c r="CA38" s="136" t="str">
        <f aca="false">IF($BR38&lt;&gt;Constants!$B$8,"",IF($BI38="-&gt;",$BL38,$BD38))</f>
        <v/>
      </c>
      <c r="CB38" s="133" t="str">
        <f aca="false">IF(ISBLANK($C38),"",IF($BR38&lt;&gt;Constants!$B$8,$BR38,IF(ISNUMBER($CA38),RANK($CA38,$CA$9:$CA$508,1),COUNT($CA$9:$CA$508)+1)))</f>
        <v/>
      </c>
      <c r="CC38" s="136" t="str">
        <f aca="false">IF($BR38&lt;&gt;Constants!$B$8,"",IF($BI38="-&gt;",IF($AT38,$AV38,""),IF($AL38,$AN38,"")))</f>
        <v/>
      </c>
      <c r="CD38" s="133" t="str">
        <f aca="false">IF(ISBLANK($C38),"",IF($BR38&lt;&gt;Constants!$B$8,$BR38,IF(ISNUMBER($CC38),RANK($CC38,$CC$9:$CC$508,1),COUNT($CC$9:$CC$508)+1)))</f>
        <v/>
      </c>
      <c r="CE38" s="136" t="str">
        <f aca="false">IF($BR38&lt;&gt;Constants!$B$8,"",IF(AND(NOT($AL38),NOT($AT38),$AJ38,$AK38,$AR38,$AS38),"",$AI38))</f>
        <v/>
      </c>
      <c r="CF38" s="133" t="str">
        <f aca="false">IF(ISBLANK($C38),"",IF($BR38&lt;&gt;Constants!$B$8,$BR38,IF(ISNUMBER($CE38),RANK($CE38,$CE$9:$CE$508,1),COUNT($CE$9:$CE$508)+1)))</f>
        <v/>
      </c>
      <c r="CG38" s="133" t="str">
        <f aca="false">IF(ISBLANK($C38),"",IF($BR38&lt;&gt;Constants!$B$8,$BR38,COUNTIFS($BX$9:$BX$508,"&lt;"&amp;$BX38)+COUNTIFS($BX$9:$BX$508,$BX38,$BZ$9:$BZ$508,"&lt;"&amp;$BZ38)+COUNTIFS($BX$9:$BX$508,$BX38,$BZ$9:$BZ$508,$BZ38,$CB$9:$CB$508,"&lt;"&amp;$CB38)+COUNTIFS($BX$9:$BX$508,$BX38,$BZ$9:$BZ$508,$BZ38,$CB$9:$CB$508,$CB38,$CD$9:$CD$508,"&lt;"&amp;$CD38)+COUNTIFS($BX$9:$BX$508,$BX38,$BZ$9:$BZ$508,$BZ38,$CB$9:$CB$508,$CB38,$CD$9:$CD$508,$CD38,$CF$9:$CF$508,"&lt;"&amp;$CF38)+1))</f>
        <v/>
      </c>
      <c r="CH38" s="133" t="str">
        <f aca="false">IF(ISBLANK($C38),"",IF($BR38&lt;&gt;Constants!$B$8,$BR38,$BX38-$CG38))</f>
        <v/>
      </c>
      <c r="CI38" s="138"/>
      <c r="CJ38" s="139"/>
      <c r="CK38" s="140" t="str">
        <f aca="false">IF(ISBLANK($C38),"",IF($BR38=Constants!$B$12,$BQ38,""))</f>
        <v/>
      </c>
      <c r="CL38" s="139" t="str">
        <f aca="false">IF(ISBLANK($C38),"",IF($BR38&lt;&gt;Constants!$B$8,"",IF($BI38="-&gt;",2,1)))</f>
        <v/>
      </c>
      <c r="CM38" s="141" t="str">
        <f aca="false">IF(ISBLANK($C38),"",IF($BR38&lt;&gt;Constants!$B$8,"",IF($BI38="-&gt;",$BK38,$BC38)))</f>
        <v/>
      </c>
      <c r="CN38" s="141" t="str">
        <f aca="false">IF(ISBLANK($C38),"",IF($BR38&lt;&gt;Constants!$B$8,"",IF($BI38="-&gt;",$BL38,$BD38)))</f>
        <v/>
      </c>
      <c r="CO38" s="141" t="str">
        <f aca="false">IF(ISBLANK($C38),"",IF($BR38&lt;&gt;Constants!$B$8,"",IF($BI38="-&gt;",$BM38+$BN38,$BE38+$BF38)+$BV38))</f>
        <v/>
      </c>
      <c r="CP38" s="141" t="str">
        <f aca="false">IF(ISBLANK($C38),"",IF($BR38&lt;&gt;Constants!$B$8,"",IF($BI38="-&gt;",$BO38,$BG38)+$BU38))</f>
        <v/>
      </c>
      <c r="CQ38" s="142" t="str">
        <f aca="false">IF(ISBLANK($C38),"",IF($BR38&lt;&gt;Constants!$B$8,$BR38,$BW38))</f>
        <v/>
      </c>
      <c r="CR38" s="143" t="str">
        <f aca="false">IF(ISBLANK($C38),"",$BS38)</f>
        <v/>
      </c>
      <c r="CS38" s="144" t="str">
        <f aca="false">IF(ISBLANK($C38),"",$CH38)</f>
        <v/>
      </c>
      <c r="CT38" s="144" t="str">
        <f aca="false">IF(ISBLANK($C38),"",$CG38)</f>
        <v/>
      </c>
      <c r="CU38" s="145" t="str">
        <f aca="false">IF(ISBLANK($C38),"",IFERROR(_xlfn.SWITCH($CT38,Constants!$B$11,COUNTA($C$9:$C$508)+2,Constants!$B$10,COUNTA($C$9:$C$508)+1,Constants!$B$9,COUNTA($C$9:$C$508)),$CT38))</f>
        <v/>
      </c>
      <c r="CV38" s="9"/>
      <c r="CW38" s="146" t="n">
        <f aca="false">IF(OR(ISNUMBER($CT38),$CT38=Constants!$B$11,$CT38=Constants!$B$9,$CT38=Constants!$B$10),1,0)</f>
        <v>0</v>
      </c>
      <c r="CX38" s="146" t="n">
        <v>30</v>
      </c>
      <c r="CY38" s="146" t="str">
        <f aca="false">IF(ISBLANK($C38),"",IF(ISNUMBER($CU38),$CU38+ROW($B38)/1000,""))</f>
        <v/>
      </c>
      <c r="CZ38" s="146" t="str">
        <f aca="false">IF(ISNUMBER($CY38),RANK($CY38,$CY$9:$CY$508,1),"")</f>
        <v/>
      </c>
      <c r="DA38" s="146" t="str">
        <f aca="false">IF(ISBLANK($C38),"",$B38)</f>
        <v/>
      </c>
      <c r="DB38" s="146" t="str">
        <f aca="false">IF(ISBLANK($C38),"",$C38)</f>
        <v/>
      </c>
      <c r="DC38" s="146" t="str">
        <f aca="false">IF(ISBLANK($C38),"",$D38)</f>
        <v/>
      </c>
      <c r="DD38" s="147" t="str">
        <f aca="false">$CR38</f>
        <v/>
      </c>
      <c r="DE38" s="148" t="str">
        <f aca="false">$CQ38</f>
        <v/>
      </c>
      <c r="DF38" s="146" t="str">
        <f aca="false">IF(ISBLANK($C38),"",$CT38)</f>
        <v/>
      </c>
      <c r="DG38" s="149" t="str">
        <f aca="false">IF($CX38&gt;$CW$8,"",VLOOKUP($CX38,$CZ$9:$DF$508,7,FALSE()))</f>
        <v/>
      </c>
      <c r="DH38" s="150" t="str">
        <f aca="false">IF($CX38&gt;$CW$8,"",VLOOKUP($CX38,$CZ$9:$DF$508,2,FALSE()))</f>
        <v/>
      </c>
      <c r="DI38" s="150" t="str">
        <f aca="false">IF($CX38&gt;$CW$8,"",VLOOKUP($CX38,$CZ$9:$DF$508,3,FALSE()))</f>
        <v/>
      </c>
      <c r="DJ38" s="150" t="str">
        <f aca="false">IF($CX38&gt;$CW$8,"",VLOOKUP($CX38,$CZ$9:$DF$508,4,FALSE()))</f>
        <v/>
      </c>
      <c r="DK38" s="150" t="str">
        <f aca="false">IF($CX38&gt;$CW$8,"",VLOOKUP($CX38,$CZ$9:$DF$508,5,FALSE()))</f>
        <v/>
      </c>
      <c r="DL38" s="151" t="str">
        <f aca="false">IF($CX38&gt;$CW$8,"",VLOOKUP($CX38,$CZ$9:$DF$508,6,FALSE()))</f>
        <v/>
      </c>
      <c r="DM38" s="75"/>
    </row>
    <row r="39" customFormat="false" ht="15.75" hidden="false" customHeight="false" outlineLevel="0" collapsed="false">
      <c r="A39" s="9"/>
      <c r="B39" s="77"/>
      <c r="C39" s="78"/>
      <c r="D39" s="167"/>
      <c r="E39" s="168"/>
      <c r="F39" s="169"/>
      <c r="G39" s="170"/>
      <c r="H39" s="170"/>
      <c r="I39" s="171"/>
      <c r="J39" s="172"/>
      <c r="K39" s="85"/>
      <c r="L39" s="86"/>
      <c r="M39" s="87"/>
      <c r="N39" s="172"/>
      <c r="O39" s="172"/>
      <c r="P39" s="168"/>
      <c r="Q39" s="172"/>
      <c r="R39" s="172"/>
      <c r="S39" s="85"/>
      <c r="T39" s="87"/>
      <c r="U39" s="87"/>
      <c r="V39" s="172"/>
      <c r="W39" s="172"/>
      <c r="X39" s="168"/>
      <c r="Y39" s="173"/>
      <c r="Z39" s="174"/>
      <c r="AA39" s="173"/>
      <c r="AB39" s="91"/>
      <c r="AC39" s="92"/>
      <c r="AD39" s="92"/>
      <c r="AE39" s="92"/>
      <c r="AF39" s="92" t="str">
        <f aca="false">IF(ISBLANK($C39),"",IF(E39=Constants!$B$3,TRUE(),IF(E39=Constants!$B$4,FALSE(),TRUE())))</f>
        <v/>
      </c>
      <c r="AG39" s="92" t="str">
        <f aca="false">IF(ISBLANK($C39),"",IF(F39=Constants!$B$3,TRUE(),IF(F39=Constants!$B$4,FALSE(),TRUE())))</f>
        <v/>
      </c>
      <c r="AH39" s="92" t="str">
        <f aca="false">IF(ISBLANK($C39),"",IF(G39=Constants!$B$3,TRUE(),IF(G39=Constants!$B$4,FALSE(),TRUE())))</f>
        <v/>
      </c>
      <c r="AI39" s="92" t="str">
        <f aca="false">IF(ISBLANK($C39),"",IF(AND(ISNUMBER(H39),H39&gt;=0),H39,Constants!$B$29))</f>
        <v/>
      </c>
      <c r="AJ39" s="92" t="str">
        <f aca="false">IF(ISBLANK($C39),"",IF(I39=Constants!$B$3,TRUE(),IF(I39=Constants!$B$4,FALSE(),TRUE())))</f>
        <v/>
      </c>
      <c r="AK39" s="92" t="str">
        <f aca="false">IF(ISBLANK($C39),"",IF(J39=Constants!$B$3,TRUE(),IF(J39=Constants!$B$4,FALSE(),TRUE())))</f>
        <v/>
      </c>
      <c r="AL39" s="92" t="str">
        <f aca="false">IF(ISBLANK($C39),"",IF(K39=Constants!$B$5,TRUE(),IF(K39=Constants!$B$6,FALSE(),COUNTA(L39:P39)&gt;0)))</f>
        <v/>
      </c>
      <c r="AM39" s="94" t="str">
        <f aca="false">IF(ISBLANK($C39),"",IF(ISNUMBER(L39),IF(L39&gt;=0,L39,""),""))</f>
        <v/>
      </c>
      <c r="AN39" s="93" t="str">
        <f aca="false">IF(ISBLANK($C39),"",IF(ISNUMBER(M39),IF(M39&gt;=0,M39,""),""))</f>
        <v/>
      </c>
      <c r="AO39" s="93" t="str">
        <f aca="false">IF(ISBLANK($C39),"",IF(N39=Constants!$B$3,TRUE(),IF(N39=Constants!$B$4,FALSE(),TRUE())))</f>
        <v/>
      </c>
      <c r="AP39" s="92" t="str">
        <f aca="false">IF(ISBLANK($C39),"",IF(ISNUMBER(O39),IF(O39&gt;=0,O39,""),""))</f>
        <v/>
      </c>
      <c r="AQ39" s="92" t="str">
        <f aca="false">IF(ISBLANK($C39),"",IF(P39=Constants!$B$3,TRUE(),IF(P39=Constants!$B$4,FALSE(),FALSE())))</f>
        <v/>
      </c>
      <c r="AR39" s="92" t="str">
        <f aca="false">IF(ISBLANK($C39),"",IF(Q39=Constants!$B$3,TRUE(),IF(Q39=Constants!$B$4,FALSE(),TRUE())))</f>
        <v/>
      </c>
      <c r="AS39" s="92" t="str">
        <f aca="false">IF(ISBLANK($C39),"",IF(R39=Constants!$B$3,TRUE(),IF(R39=Constants!$B$4,FALSE(),TRUE())))</f>
        <v/>
      </c>
      <c r="AT39" s="92" t="str">
        <f aca="false">IF(ISBLANK($C39),"",IF(S39=Constants!$B$5,TRUE(),IF(S39=Constants!$B$6,FALSE(),COUNTA(T39:X39)&gt;0)))</f>
        <v/>
      </c>
      <c r="AU39" s="94" t="str">
        <f aca="false">IF(ISBLANK($C39),"",IF(ISNUMBER(T39),IF(T39&gt;=0,T39,""),""))</f>
        <v/>
      </c>
      <c r="AV39" s="93" t="str">
        <f aca="false">IF(ISBLANK($C39),"",IF(ISNUMBER(U39),IF(U39&gt;=0,U39,""),""))</f>
        <v/>
      </c>
      <c r="AW39" s="93" t="str">
        <f aca="false">IF(ISBLANK($C39),"",IF(V39=Constants!$B$3,TRUE(),IF(V39=Constants!$B$4,FALSE(),TRUE())))</f>
        <v/>
      </c>
      <c r="AX39" s="92" t="str">
        <f aca="false">IF(ISBLANK($C39),"",IF(ISNUMBER(W39),IF(W39&gt;=0,W39,""),""))</f>
        <v/>
      </c>
      <c r="AY39" s="92" t="str">
        <f aca="false">IF(ISBLANK($C39),"",IF(X39=Constants!$B$3,TRUE(),IF(X39=Constants!$B$4,FALSE(),FALSE())))</f>
        <v/>
      </c>
      <c r="AZ39" s="92" t="str">
        <f aca="false">IF(ISBLANK($C39),"",MIN(Constants!$B$31,MAX(0,IF(ISNUMBER(Y39),Y39*60,0)+IF(ISNUMBER(Z39),Z39,0))))</f>
        <v/>
      </c>
      <c r="BA39" s="92" t="str">
        <f aca="false">IF(ISBLANK($C39),"",IF(AA39=Constants!$B$3,TRUE(),IF(AA39=Constants!$B$4,FALSE(),FALSE())))</f>
        <v/>
      </c>
      <c r="BB39" s="91" t="str">
        <f aca="false">IF(ISBLANK($C39),"",AND($AL39,OR($AM39="",$AN39="",AND($AO39,$AP39=""))))</f>
        <v/>
      </c>
      <c r="BC39" s="93" t="str">
        <f aca="false">IF($BR39&lt;&gt;Constants!$B$8,"",IF($AL39,Constants!$B$21*$AN39+Constants!$B$22*IF($AO39,$AP39,Constants!$B$23),Constants!$B$24))</f>
        <v/>
      </c>
      <c r="BD39" s="96" t="str">
        <f aca="false">IF($BR39&lt;&gt;Constants!$B$8,"",Constants!$B$25*ABS($AD$9-IF($AL39,$AM39,0)))</f>
        <v/>
      </c>
      <c r="BE39" s="96" t="str">
        <f aca="false">IF($BR39&lt;&gt;Constants!$B$8,"",IF(AND($AL39,$AQ39,$AO39),Constants!$B$27,0))</f>
        <v/>
      </c>
      <c r="BF39" s="96" t="str">
        <f aca="false">IF($BR39&lt;&gt;Constants!$B$8,"",IF($AL39,($AI39-Constants!$B$29)*Constants!$B$28,0))</f>
        <v/>
      </c>
      <c r="BG39" s="96" t="str">
        <f aca="false">IF($BR39&lt;&gt;Constants!$B$8,"",IF($AK39,0,Constants!$B$15)+IF($AJ39,0,Constants!$B$16)+IF($AH39,0,Constants!$B$17))</f>
        <v/>
      </c>
      <c r="BH39" s="97" t="str">
        <f aca="false">IF($BR39&lt;&gt;Constants!$B$8,"",Constants!$B$20+SUM($BC39:$BG39))</f>
        <v/>
      </c>
      <c r="BI39" s="92" t="str">
        <f aca="false">IF($BR39&lt;&gt;Constants!$B$8,"",IF(OR($BP39&lt;$BH39,AND($BP39=$BH39,OR($BK39&lt;$BC39,AND($BK39=$BC39,OR($BL39&lt;$BD39,AND($BL39=$BD39,$AT39,$AL39,$AV39&lt;$AN39)))))),"-&gt;","&lt;-"))</f>
        <v/>
      </c>
      <c r="BJ39" s="91" t="str">
        <f aca="false">IF(ISBLANK($C39),"",AND($AT39,OR($AU39="",$AV39="",AND($AW39,$AX39=""))))</f>
        <v/>
      </c>
      <c r="BK39" s="93" t="str">
        <f aca="false">IF($BR39&lt;&gt;Constants!$B$8,"",IF($AT39,Constants!$B$21*$AV39+Constants!$B$22*IF($AW39,$AX39,Constants!$B$23),Constants!$B$24))</f>
        <v/>
      </c>
      <c r="BL39" s="96" t="str">
        <f aca="false">IF($BR39&lt;&gt;Constants!$B$8,"",Constants!$B$25*ABS($AD$9-IF($AT39,$AU39,0)))</f>
        <v/>
      </c>
      <c r="BM39" s="96" t="str">
        <f aca="false">IF($BR39&lt;&gt;Constants!$B$8,"",IF(AND($AT39,$AY39,$AW39),Constants!$B$27,0))</f>
        <v/>
      </c>
      <c r="BN39" s="96" t="str">
        <f aca="false">IF($BR39&lt;&gt;Constants!$B$8,"",IF($AT39,($AI39-Constants!$B$29)*Constants!$B$28,0))</f>
        <v/>
      </c>
      <c r="BO39" s="96" t="str">
        <f aca="false">IF($BR39&lt;&gt;Constants!$B$8,"",IF($AS39,0,Constants!$B$15)+IF($AR39,0,Constants!$B$16)+IF($AH39,0,Constants!$B$17))</f>
        <v/>
      </c>
      <c r="BP39" s="97" t="str">
        <f aca="false">IF($BR39&lt;&gt;Constants!$B$8,"",Constants!$B$20+SUM($BK39:$BO39))</f>
        <v/>
      </c>
      <c r="BQ39" s="92" t="str">
        <f aca="false">IF(ISBLANK($C39),"",IF(ISBLANK($D$7),$BQ$5,IF(NOT(ISNUMBER($D$7)),$BQ$6,"")))</f>
        <v/>
      </c>
      <c r="BR39" s="92" t="str">
        <f aca="false">IF(ISBLANK($C39),"",IF($BA39,Constants!$B$11,IF(COUNTA($E39:$AA39)=0,Constants!$B$10,IF(NOT($AG39),Constants!$B$9,IF(OR($BQ39&lt;&gt;"",$BB39,$BJ39),Constants!$B$12,Constants!$B$8)))))</f>
        <v/>
      </c>
      <c r="BS39" s="92" t="str">
        <f aca="false">IF(ISBLANK($C39),"",IF($BR39&lt;&gt;Constants!$B$8,$BR39,Constants!$B$13))</f>
        <v/>
      </c>
      <c r="BT39" s="96" t="str">
        <f aca="false">IF($BR39&lt;&gt;Constants!$B$8,"",IF($BI39="-&gt;",$BP39,$BH39))</f>
        <v/>
      </c>
      <c r="BU39" s="96" t="str">
        <f aca="false">IF($BR39&lt;&gt;Constants!$B$8,"",IF($AF39,0,Constants!$B$18))</f>
        <v/>
      </c>
      <c r="BV39" s="96" t="str">
        <f aca="false">IF($BR39&lt;&gt;Constants!$B$8,"",((Constants!$B$31-$AZ39)-Constants!$B$31)/Constants!$B$32)</f>
        <v/>
      </c>
      <c r="BW39" s="96" t="str">
        <f aca="false">IF(ISBLANK($C39),"",IF($BR39&lt;&gt;Constants!$B$8,$BR39,SUM($BT39:$BV39)))</f>
        <v/>
      </c>
      <c r="BX39" s="92" t="str">
        <f aca="false">IF(ISBLANK($C39),"",IF($BR39&lt;&gt;Constants!$B$8,$BR39,RANK($BW39,$BW$9:$BW$508,1)))</f>
        <v/>
      </c>
      <c r="BY39" s="96" t="str">
        <f aca="false">IF($BR39&lt;&gt;Constants!$B$8,"",IF($BI39="-&gt;",$BK39,$BC39))</f>
        <v/>
      </c>
      <c r="BZ39" s="92" t="str">
        <f aca="false">IF(ISBLANK($C39),"",IF($BR39&lt;&gt;Constants!$B$8,$BR39,IF(ISNUMBER($BY39),RANK($BY39,$BY$9:$BY$508,1),COUNT($BY$9:$BY$508)+1)))</f>
        <v/>
      </c>
      <c r="CA39" s="96" t="str">
        <f aca="false">IF($BR39&lt;&gt;Constants!$B$8,"",IF($BI39="-&gt;",$BL39,$BD39))</f>
        <v/>
      </c>
      <c r="CB39" s="92" t="str">
        <f aca="false">IF(ISBLANK($C39),"",IF($BR39&lt;&gt;Constants!$B$8,$BR39,IF(ISNUMBER($CA39),RANK($CA39,$CA$9:$CA$508,1),COUNT($CA$9:$CA$508)+1)))</f>
        <v/>
      </c>
      <c r="CC39" s="96" t="str">
        <f aca="false">IF($BR39&lt;&gt;Constants!$B$8,"",IF($BI39="-&gt;",IF($AT39,$AV39,""),IF($AL39,$AN39,"")))</f>
        <v/>
      </c>
      <c r="CD39" s="92" t="str">
        <f aca="false">IF(ISBLANK($C39),"",IF($BR39&lt;&gt;Constants!$B$8,$BR39,IF(ISNUMBER($CC39),RANK($CC39,$CC$9:$CC$508,1),COUNT($CC$9:$CC$508)+1)))</f>
        <v/>
      </c>
      <c r="CE39" s="96" t="str">
        <f aca="false">IF($BR39&lt;&gt;Constants!$B$8,"",IF(AND(NOT($AL39),NOT($AT39),$AJ39,$AK39,$AR39,$AS39),"",$AI39))</f>
        <v/>
      </c>
      <c r="CF39" s="92" t="str">
        <f aca="false">IF(ISBLANK($C39),"",IF($BR39&lt;&gt;Constants!$B$8,$BR39,IF(ISNUMBER($CE39),RANK($CE39,$CE$9:$CE$508,1),COUNT($CE$9:$CE$508)+1)))</f>
        <v/>
      </c>
      <c r="CG39" s="92" t="str">
        <f aca="false">IF(ISBLANK($C39),"",IF($BR39&lt;&gt;Constants!$B$8,$BR39,COUNTIFS($BX$9:$BX$508,"&lt;"&amp;$BX39)+COUNTIFS($BX$9:$BX$508,$BX39,$BZ$9:$BZ$508,"&lt;"&amp;$BZ39)+COUNTIFS($BX$9:$BX$508,$BX39,$BZ$9:$BZ$508,$BZ39,$CB$9:$CB$508,"&lt;"&amp;$CB39)+COUNTIFS($BX$9:$BX$508,$BX39,$BZ$9:$BZ$508,$BZ39,$CB$9:$CB$508,$CB39,$CD$9:$CD$508,"&lt;"&amp;$CD39)+COUNTIFS($BX$9:$BX$508,$BX39,$BZ$9:$BZ$508,$BZ39,$CB$9:$CB$508,$CB39,$CD$9:$CD$508,$CD39,$CF$9:$CF$508,"&lt;"&amp;$CF39)+1))</f>
        <v/>
      </c>
      <c r="CH39" s="92" t="str">
        <f aca="false">IF(ISBLANK($C39),"",IF($BR39&lt;&gt;Constants!$B$8,$BR39,$BX39-$CG39))</f>
        <v/>
      </c>
      <c r="CI39" s="98"/>
      <c r="CJ39" s="99"/>
      <c r="CK39" s="100" t="str">
        <f aca="false">IF(ISBLANK($C39),"",IF($BR39=Constants!$B$12,$BQ39,""))</f>
        <v/>
      </c>
      <c r="CL39" s="99" t="str">
        <f aca="false">IF(ISBLANK($C39),"",IF($BR39&lt;&gt;Constants!$B$8,"",IF($BI39="-&gt;",2,1)))</f>
        <v/>
      </c>
      <c r="CM39" s="101" t="str">
        <f aca="false">IF(ISBLANK($C39),"",IF($BR39&lt;&gt;Constants!$B$8,"",IF($BI39="-&gt;",$BK39,$BC39)))</f>
        <v/>
      </c>
      <c r="CN39" s="101" t="str">
        <f aca="false">IF(ISBLANK($C39),"",IF($BR39&lt;&gt;Constants!$B$8,"",IF($BI39="-&gt;",$BL39,$BD39)))</f>
        <v/>
      </c>
      <c r="CO39" s="101" t="str">
        <f aca="false">IF(ISBLANK($C39),"",IF($BR39&lt;&gt;Constants!$B$8,"",IF($BI39="-&gt;",$BM39+$BN39,$BE39+$BF39)+$BV39))</f>
        <v/>
      </c>
      <c r="CP39" s="101" t="str">
        <f aca="false">IF(ISBLANK($C39),"",IF($BR39&lt;&gt;Constants!$B$8,"",IF($BI39="-&gt;",$BO39,$BG39)+$BU39))</f>
        <v/>
      </c>
      <c r="CQ39" s="102" t="str">
        <f aca="false">IF(ISBLANK($C39),"",IF($BR39&lt;&gt;Constants!$B$8,$BR39,$BW39))</f>
        <v/>
      </c>
      <c r="CR39" s="103" t="str">
        <f aca="false">IF(ISBLANK($C39),"",$BS39)</f>
        <v/>
      </c>
      <c r="CS39" s="104" t="str">
        <f aca="false">IF(ISBLANK($C39),"",$CH39)</f>
        <v/>
      </c>
      <c r="CT39" s="104" t="str">
        <f aca="false">IF(ISBLANK($C39),"",$CG39)</f>
        <v/>
      </c>
      <c r="CU39" s="105" t="str">
        <f aca="false">IF(ISBLANK($C39),"",IFERROR(_xlfn.SWITCH($CT39,Constants!$B$11,COUNTA($C$9:$C$508)+2,Constants!$B$10,COUNTA($C$9:$C$508)+1,Constants!$B$9,COUNTA($C$9:$C$508)),$CT39))</f>
        <v/>
      </c>
      <c r="CV39" s="9"/>
      <c r="CW39" s="106" t="n">
        <f aca="false">IF(OR(ISNUMBER($CT39),$CT39=Constants!$B$11,$CT39=Constants!$B$9,$CT39=Constants!$B$10),1,0)</f>
        <v>0</v>
      </c>
      <c r="CX39" s="106" t="n">
        <v>31</v>
      </c>
      <c r="CY39" s="106" t="str">
        <f aca="false">IF(ISBLANK($C39),"",IF(ISNUMBER($CU39),$CU39+ROW($B39)/1000,""))</f>
        <v/>
      </c>
      <c r="CZ39" s="106" t="str">
        <f aca="false">IF(ISNUMBER($CY39),RANK($CY39,$CY$9:$CY$508,1),"")</f>
        <v/>
      </c>
      <c r="DA39" s="106" t="str">
        <f aca="false">IF(ISBLANK($C39),"",$B39)</f>
        <v/>
      </c>
      <c r="DB39" s="106" t="str">
        <f aca="false">IF(ISBLANK($C39),"",$C39)</f>
        <v/>
      </c>
      <c r="DC39" s="106" t="str">
        <f aca="false">IF(ISBLANK($C39),"",$D39)</f>
        <v/>
      </c>
      <c r="DD39" s="107" t="str">
        <f aca="false">$CR39</f>
        <v/>
      </c>
      <c r="DE39" s="108" t="str">
        <f aca="false">$CQ39</f>
        <v/>
      </c>
      <c r="DF39" s="106" t="str">
        <f aca="false">IF(ISBLANK($C39),"",$CT39)</f>
        <v/>
      </c>
      <c r="DG39" s="109" t="str">
        <f aca="false">IF($CX39&gt;$CW$8,"",VLOOKUP($CX39,$CZ$9:$DF$508,7,FALSE()))</f>
        <v/>
      </c>
      <c r="DH39" s="110" t="str">
        <f aca="false">IF($CX39&gt;$CW$8,"",VLOOKUP($CX39,$CZ$9:$DF$508,2,FALSE()))</f>
        <v/>
      </c>
      <c r="DI39" s="110" t="str">
        <f aca="false">IF($CX39&gt;$CW$8,"",VLOOKUP($CX39,$CZ$9:$DF$508,3,FALSE()))</f>
        <v/>
      </c>
      <c r="DJ39" s="110" t="str">
        <f aca="false">IF($CX39&gt;$CW$8,"",VLOOKUP($CX39,$CZ$9:$DF$508,4,FALSE()))</f>
        <v/>
      </c>
      <c r="DK39" s="110" t="str">
        <f aca="false">IF($CX39&gt;$CW$8,"",VLOOKUP($CX39,$CZ$9:$DF$508,5,FALSE()))</f>
        <v/>
      </c>
      <c r="DL39" s="111" t="str">
        <f aca="false">IF($CX39&gt;$CW$8,"",VLOOKUP($CX39,$CZ$9:$DF$508,6,FALSE()))</f>
        <v/>
      </c>
      <c r="DM39" s="75"/>
    </row>
    <row r="40" customFormat="false" ht="15.75" hidden="false" customHeight="false" outlineLevel="0" collapsed="false">
      <c r="A40" s="9"/>
      <c r="B40" s="77"/>
      <c r="C40" s="78"/>
      <c r="D40" s="167"/>
      <c r="E40" s="175"/>
      <c r="F40" s="169"/>
      <c r="G40" s="170"/>
      <c r="H40" s="170"/>
      <c r="I40" s="176"/>
      <c r="J40" s="173"/>
      <c r="K40" s="85"/>
      <c r="L40" s="86"/>
      <c r="M40" s="87"/>
      <c r="N40" s="173"/>
      <c r="O40" s="173"/>
      <c r="P40" s="175"/>
      <c r="Q40" s="173"/>
      <c r="R40" s="173"/>
      <c r="S40" s="85"/>
      <c r="T40" s="87"/>
      <c r="U40" s="87"/>
      <c r="V40" s="173"/>
      <c r="W40" s="173"/>
      <c r="X40" s="175"/>
      <c r="Y40" s="173"/>
      <c r="Z40" s="174"/>
      <c r="AA40" s="173"/>
      <c r="AB40" s="91"/>
      <c r="AC40" s="92"/>
      <c r="AD40" s="92"/>
      <c r="AE40" s="92"/>
      <c r="AF40" s="92" t="str">
        <f aca="false">IF(ISBLANK($C40),"",IF(E40=Constants!$B$3,TRUE(),IF(E40=Constants!$B$4,FALSE(),TRUE())))</f>
        <v/>
      </c>
      <c r="AG40" s="92" t="str">
        <f aca="false">IF(ISBLANK($C40),"",IF(F40=Constants!$B$3,TRUE(),IF(F40=Constants!$B$4,FALSE(),TRUE())))</f>
        <v/>
      </c>
      <c r="AH40" s="92" t="str">
        <f aca="false">IF(ISBLANK($C40),"",IF(G40=Constants!$B$3,TRUE(),IF(G40=Constants!$B$4,FALSE(),TRUE())))</f>
        <v/>
      </c>
      <c r="AI40" s="92" t="str">
        <f aca="false">IF(ISBLANK($C40),"",IF(AND(ISNUMBER(H40),H40&gt;=0),H40,Constants!$B$29))</f>
        <v/>
      </c>
      <c r="AJ40" s="92" t="str">
        <f aca="false">IF(ISBLANK($C40),"",IF(I40=Constants!$B$3,TRUE(),IF(I40=Constants!$B$4,FALSE(),TRUE())))</f>
        <v/>
      </c>
      <c r="AK40" s="92" t="str">
        <f aca="false">IF(ISBLANK($C40),"",IF(J40=Constants!$B$3,TRUE(),IF(J40=Constants!$B$4,FALSE(),TRUE())))</f>
        <v/>
      </c>
      <c r="AL40" s="92" t="str">
        <f aca="false">IF(ISBLANK($C40),"",IF(K40=Constants!$B$5,TRUE(),IF(K40=Constants!$B$6,FALSE(),COUNTA(L40:P40)&gt;0)))</f>
        <v/>
      </c>
      <c r="AM40" s="94" t="str">
        <f aca="false">IF(ISBLANK($C40),"",IF(ISNUMBER(L40),IF(L40&gt;=0,L40,""),""))</f>
        <v/>
      </c>
      <c r="AN40" s="93" t="str">
        <f aca="false">IF(ISBLANK($C40),"",IF(ISNUMBER(M40),IF(M40&gt;=0,M40,""),""))</f>
        <v/>
      </c>
      <c r="AO40" s="93" t="str">
        <f aca="false">IF(ISBLANK($C40),"",IF(N40=Constants!$B$3,TRUE(),IF(N40=Constants!$B$4,FALSE(),TRUE())))</f>
        <v/>
      </c>
      <c r="AP40" s="92" t="str">
        <f aca="false">IF(ISBLANK($C40),"",IF(ISNUMBER(O40),IF(O40&gt;=0,O40,""),""))</f>
        <v/>
      </c>
      <c r="AQ40" s="92" t="str">
        <f aca="false">IF(ISBLANK($C40),"",IF(P40=Constants!$B$3,TRUE(),IF(P40=Constants!$B$4,FALSE(),FALSE())))</f>
        <v/>
      </c>
      <c r="AR40" s="92" t="str">
        <f aca="false">IF(ISBLANK($C40),"",IF(Q40=Constants!$B$3,TRUE(),IF(Q40=Constants!$B$4,FALSE(),TRUE())))</f>
        <v/>
      </c>
      <c r="AS40" s="92" t="str">
        <f aca="false">IF(ISBLANK($C40),"",IF(R40=Constants!$B$3,TRUE(),IF(R40=Constants!$B$4,FALSE(),TRUE())))</f>
        <v/>
      </c>
      <c r="AT40" s="92" t="str">
        <f aca="false">IF(ISBLANK($C40),"",IF(S40=Constants!$B$5,TRUE(),IF(S40=Constants!$B$6,FALSE(),COUNTA(T40:X40)&gt;0)))</f>
        <v/>
      </c>
      <c r="AU40" s="94" t="str">
        <f aca="false">IF(ISBLANK($C40),"",IF(ISNUMBER(T40),IF(T40&gt;=0,T40,""),""))</f>
        <v/>
      </c>
      <c r="AV40" s="93" t="str">
        <f aca="false">IF(ISBLANK($C40),"",IF(ISNUMBER(U40),IF(U40&gt;=0,U40,""),""))</f>
        <v/>
      </c>
      <c r="AW40" s="93" t="str">
        <f aca="false">IF(ISBLANK($C40),"",IF(V40=Constants!$B$3,TRUE(),IF(V40=Constants!$B$4,FALSE(),TRUE())))</f>
        <v/>
      </c>
      <c r="AX40" s="92" t="str">
        <f aca="false">IF(ISBLANK($C40),"",IF(ISNUMBER(W40),IF(W40&gt;=0,W40,""),""))</f>
        <v/>
      </c>
      <c r="AY40" s="92" t="str">
        <f aca="false">IF(ISBLANK($C40),"",IF(X40=Constants!$B$3,TRUE(),IF(X40=Constants!$B$4,FALSE(),FALSE())))</f>
        <v/>
      </c>
      <c r="AZ40" s="92" t="str">
        <f aca="false">IF(ISBLANK($C40),"",MIN(Constants!$B$31,MAX(0,IF(ISNUMBER(Y40),Y40*60,0)+IF(ISNUMBER(Z40),Z40,0))))</f>
        <v/>
      </c>
      <c r="BA40" s="92" t="str">
        <f aca="false">IF(ISBLANK($C40),"",IF(AA40=Constants!$B$3,TRUE(),IF(AA40=Constants!$B$4,FALSE(),FALSE())))</f>
        <v/>
      </c>
      <c r="BB40" s="91" t="str">
        <f aca="false">IF(ISBLANK($C40),"",AND($AL40,OR($AM40="",$AN40="",AND($AO40,$AP40=""))))</f>
        <v/>
      </c>
      <c r="BC40" s="93" t="str">
        <f aca="false">IF($BR40&lt;&gt;Constants!$B$8,"",IF($AL40,Constants!$B$21*$AN40+Constants!$B$22*IF($AO40,$AP40,Constants!$B$23),Constants!$B$24))</f>
        <v/>
      </c>
      <c r="BD40" s="96" t="str">
        <f aca="false">IF($BR40&lt;&gt;Constants!$B$8,"",Constants!$B$25*ABS($AD$9-IF($AL40,$AM40,0)))</f>
        <v/>
      </c>
      <c r="BE40" s="96" t="str">
        <f aca="false">IF($BR40&lt;&gt;Constants!$B$8,"",IF(AND($AL40,$AQ40,$AO40),Constants!$B$27,0))</f>
        <v/>
      </c>
      <c r="BF40" s="96" t="str">
        <f aca="false">IF($BR40&lt;&gt;Constants!$B$8,"",IF($AL40,($AI40-Constants!$B$29)*Constants!$B$28,0))</f>
        <v/>
      </c>
      <c r="BG40" s="96" t="str">
        <f aca="false">IF($BR40&lt;&gt;Constants!$B$8,"",IF($AK40,0,Constants!$B$15)+IF($AJ40,0,Constants!$B$16)+IF($AH40,0,Constants!$B$17))</f>
        <v/>
      </c>
      <c r="BH40" s="97" t="str">
        <f aca="false">IF($BR40&lt;&gt;Constants!$B$8,"",Constants!$B$20+SUM($BC40:$BG40))</f>
        <v/>
      </c>
      <c r="BI40" s="92" t="str">
        <f aca="false">IF($BR40&lt;&gt;Constants!$B$8,"",IF(OR($BP40&lt;$BH40,AND($BP40=$BH40,OR($BK40&lt;$BC40,AND($BK40=$BC40,OR($BL40&lt;$BD40,AND($BL40=$BD40,$AT40,$AL40,$AV40&lt;$AN40)))))),"-&gt;","&lt;-"))</f>
        <v/>
      </c>
      <c r="BJ40" s="91" t="str">
        <f aca="false">IF(ISBLANK($C40),"",AND($AT40,OR($AU40="",$AV40="",AND($AW40,$AX40=""))))</f>
        <v/>
      </c>
      <c r="BK40" s="93" t="str">
        <f aca="false">IF($BR40&lt;&gt;Constants!$B$8,"",IF($AT40,Constants!$B$21*$AV40+Constants!$B$22*IF($AW40,$AX40,Constants!$B$23),Constants!$B$24))</f>
        <v/>
      </c>
      <c r="BL40" s="96" t="str">
        <f aca="false">IF($BR40&lt;&gt;Constants!$B$8,"",Constants!$B$25*ABS($AD$9-IF($AT40,$AU40,0)))</f>
        <v/>
      </c>
      <c r="BM40" s="96" t="str">
        <f aca="false">IF($BR40&lt;&gt;Constants!$B$8,"",IF(AND($AT40,$AY40,$AW40),Constants!$B$27,0))</f>
        <v/>
      </c>
      <c r="BN40" s="96" t="str">
        <f aca="false">IF($BR40&lt;&gt;Constants!$B$8,"",IF($AT40,($AI40-Constants!$B$29)*Constants!$B$28,0))</f>
        <v/>
      </c>
      <c r="BO40" s="96" t="str">
        <f aca="false">IF($BR40&lt;&gt;Constants!$B$8,"",IF($AS40,0,Constants!$B$15)+IF($AR40,0,Constants!$B$16)+IF($AH40,0,Constants!$B$17))</f>
        <v/>
      </c>
      <c r="BP40" s="97" t="str">
        <f aca="false">IF($BR40&lt;&gt;Constants!$B$8,"",Constants!$B$20+SUM($BK40:$BO40))</f>
        <v/>
      </c>
      <c r="BQ40" s="92" t="str">
        <f aca="false">IF(ISBLANK($C40),"",IF(ISBLANK($D$7),$BQ$5,IF(NOT(ISNUMBER($D$7)),$BQ$6,"")))</f>
        <v/>
      </c>
      <c r="BR40" s="92" t="str">
        <f aca="false">IF(ISBLANK($C40),"",IF($BA40,Constants!$B$11,IF(COUNTA($E40:$AA40)=0,Constants!$B$10,IF(NOT($AG40),Constants!$B$9,IF(OR($BQ40&lt;&gt;"",$BB40,$BJ40),Constants!$B$12,Constants!$B$8)))))</f>
        <v/>
      </c>
      <c r="BS40" s="92" t="str">
        <f aca="false">IF(ISBLANK($C40),"",IF($BR40&lt;&gt;Constants!$B$8,$BR40,Constants!$B$13))</f>
        <v/>
      </c>
      <c r="BT40" s="96" t="str">
        <f aca="false">IF($BR40&lt;&gt;Constants!$B$8,"",IF($BI40="-&gt;",$BP40,$BH40))</f>
        <v/>
      </c>
      <c r="BU40" s="96" t="str">
        <f aca="false">IF($BR40&lt;&gt;Constants!$B$8,"",IF($AF40,0,Constants!$B$18))</f>
        <v/>
      </c>
      <c r="BV40" s="96" t="str">
        <f aca="false">IF($BR40&lt;&gt;Constants!$B$8,"",((Constants!$B$31-$AZ40)-Constants!$B$31)/Constants!$B$32)</f>
        <v/>
      </c>
      <c r="BW40" s="96" t="str">
        <f aca="false">IF(ISBLANK($C40),"",IF($BR40&lt;&gt;Constants!$B$8,$BR40,SUM($BT40:$BV40)))</f>
        <v/>
      </c>
      <c r="BX40" s="92" t="str">
        <f aca="false">IF(ISBLANK($C40),"",IF($BR40&lt;&gt;Constants!$B$8,$BR40,RANK($BW40,$BW$9:$BW$508,1)))</f>
        <v/>
      </c>
      <c r="BY40" s="96" t="str">
        <f aca="false">IF($BR40&lt;&gt;Constants!$B$8,"",IF($BI40="-&gt;",$BK40,$BC40))</f>
        <v/>
      </c>
      <c r="BZ40" s="92" t="str">
        <f aca="false">IF(ISBLANK($C40),"",IF($BR40&lt;&gt;Constants!$B$8,$BR40,IF(ISNUMBER($BY40),RANK($BY40,$BY$9:$BY$508,1),COUNT($BY$9:$BY$508)+1)))</f>
        <v/>
      </c>
      <c r="CA40" s="96" t="str">
        <f aca="false">IF($BR40&lt;&gt;Constants!$B$8,"",IF($BI40="-&gt;",$BL40,$BD40))</f>
        <v/>
      </c>
      <c r="CB40" s="92" t="str">
        <f aca="false">IF(ISBLANK($C40),"",IF($BR40&lt;&gt;Constants!$B$8,$BR40,IF(ISNUMBER($CA40),RANK($CA40,$CA$9:$CA$508,1),COUNT($CA$9:$CA$508)+1)))</f>
        <v/>
      </c>
      <c r="CC40" s="96" t="str">
        <f aca="false">IF($BR40&lt;&gt;Constants!$B$8,"",IF($BI40="-&gt;",IF($AT40,$AV40,""),IF($AL40,$AN40,"")))</f>
        <v/>
      </c>
      <c r="CD40" s="92" t="str">
        <f aca="false">IF(ISBLANK($C40),"",IF($BR40&lt;&gt;Constants!$B$8,$BR40,IF(ISNUMBER($CC40),RANK($CC40,$CC$9:$CC$508,1),COUNT($CC$9:$CC$508)+1)))</f>
        <v/>
      </c>
      <c r="CE40" s="96" t="str">
        <f aca="false">IF($BR40&lt;&gt;Constants!$B$8,"",IF(AND(NOT($AL40),NOT($AT40),$AJ40,$AK40,$AR40,$AS40),"",$AI40))</f>
        <v/>
      </c>
      <c r="CF40" s="92" t="str">
        <f aca="false">IF(ISBLANK($C40),"",IF($BR40&lt;&gt;Constants!$B$8,$BR40,IF(ISNUMBER($CE40),RANK($CE40,$CE$9:$CE$508,1),COUNT($CE$9:$CE$508)+1)))</f>
        <v/>
      </c>
      <c r="CG40" s="92" t="str">
        <f aca="false">IF(ISBLANK($C40),"",IF($BR40&lt;&gt;Constants!$B$8,$BR40,COUNTIFS($BX$9:$BX$508,"&lt;"&amp;$BX40)+COUNTIFS($BX$9:$BX$508,$BX40,$BZ$9:$BZ$508,"&lt;"&amp;$BZ40)+COUNTIFS($BX$9:$BX$508,$BX40,$BZ$9:$BZ$508,$BZ40,$CB$9:$CB$508,"&lt;"&amp;$CB40)+COUNTIFS($BX$9:$BX$508,$BX40,$BZ$9:$BZ$508,$BZ40,$CB$9:$CB$508,$CB40,$CD$9:$CD$508,"&lt;"&amp;$CD40)+COUNTIFS($BX$9:$BX$508,$BX40,$BZ$9:$BZ$508,$BZ40,$CB$9:$CB$508,$CB40,$CD$9:$CD$508,$CD40,$CF$9:$CF$508,"&lt;"&amp;$CF40)+1))</f>
        <v/>
      </c>
      <c r="CH40" s="92" t="str">
        <f aca="false">IF(ISBLANK($C40),"",IF($BR40&lt;&gt;Constants!$B$8,$BR40,$BX40-$CG40))</f>
        <v/>
      </c>
      <c r="CI40" s="98"/>
      <c r="CJ40" s="99"/>
      <c r="CK40" s="100" t="str">
        <f aca="false">IF(ISBLANK($C40),"",IF($BR40=Constants!$B$12,$BQ40,""))</f>
        <v/>
      </c>
      <c r="CL40" s="99" t="str">
        <f aca="false">IF(ISBLANK($C40),"",IF($BR40&lt;&gt;Constants!$B$8,"",IF($BI40="-&gt;",2,1)))</f>
        <v/>
      </c>
      <c r="CM40" s="101" t="str">
        <f aca="false">IF(ISBLANK($C40),"",IF($BR40&lt;&gt;Constants!$B$8,"",IF($BI40="-&gt;",$BK40,$BC40)))</f>
        <v/>
      </c>
      <c r="CN40" s="101" t="str">
        <f aca="false">IF(ISBLANK($C40),"",IF($BR40&lt;&gt;Constants!$B$8,"",IF($BI40="-&gt;",$BL40,$BD40)))</f>
        <v/>
      </c>
      <c r="CO40" s="101" t="str">
        <f aca="false">IF(ISBLANK($C40),"",IF($BR40&lt;&gt;Constants!$B$8,"",IF($BI40="-&gt;",$BM40+$BN40,$BE40+$BF40)+$BV40))</f>
        <v/>
      </c>
      <c r="CP40" s="101" t="str">
        <f aca="false">IF(ISBLANK($C40),"",IF($BR40&lt;&gt;Constants!$B$8,"",IF($BI40="-&gt;",$BO40,$BG40)+$BU40))</f>
        <v/>
      </c>
      <c r="CQ40" s="102" t="str">
        <f aca="false">IF(ISBLANK($C40),"",IF($BR40&lt;&gt;Constants!$B$8,$BR40,$BW40))</f>
        <v/>
      </c>
      <c r="CR40" s="103" t="str">
        <f aca="false">IF(ISBLANK($C40),"",$BS40)</f>
        <v/>
      </c>
      <c r="CS40" s="104" t="str">
        <f aca="false">IF(ISBLANK($C40),"",$CH40)</f>
        <v/>
      </c>
      <c r="CT40" s="104" t="str">
        <f aca="false">IF(ISBLANK($C40),"",$CG40)</f>
        <v/>
      </c>
      <c r="CU40" s="105" t="str">
        <f aca="false">IF(ISBLANK($C40),"",IFERROR(_xlfn.SWITCH($CT40,Constants!$B$11,COUNTA($C$9:$C$508)+2,Constants!$B$10,COUNTA($C$9:$C$508)+1,Constants!$B$9,COUNTA($C$9:$C$508)),$CT40))</f>
        <v/>
      </c>
      <c r="CV40" s="9"/>
      <c r="CW40" s="106" t="n">
        <f aca="false">IF(OR(ISNUMBER($CT40),$CT40=Constants!$B$11,$CT40=Constants!$B$9,$CT40=Constants!$B$10),1,0)</f>
        <v>0</v>
      </c>
      <c r="CX40" s="106" t="n">
        <v>32</v>
      </c>
      <c r="CY40" s="106" t="str">
        <f aca="false">IF(ISBLANK($C40),"",IF(ISNUMBER($CU40),$CU40+ROW($B40)/1000,""))</f>
        <v/>
      </c>
      <c r="CZ40" s="106" t="str">
        <f aca="false">IF(ISNUMBER($CY40),RANK($CY40,$CY$9:$CY$508,1),"")</f>
        <v/>
      </c>
      <c r="DA40" s="106" t="str">
        <f aca="false">IF(ISBLANK($C40),"",$B40)</f>
        <v/>
      </c>
      <c r="DB40" s="106" t="str">
        <f aca="false">IF(ISBLANK($C40),"",$C40)</f>
        <v/>
      </c>
      <c r="DC40" s="106" t="str">
        <f aca="false">IF(ISBLANK($C40),"",$D40)</f>
        <v/>
      </c>
      <c r="DD40" s="107" t="str">
        <f aca="false">$CR40</f>
        <v/>
      </c>
      <c r="DE40" s="108" t="str">
        <f aca="false">$CQ40</f>
        <v/>
      </c>
      <c r="DF40" s="106" t="str">
        <f aca="false">IF(ISBLANK($C40),"",$CT40)</f>
        <v/>
      </c>
      <c r="DG40" s="109" t="str">
        <f aca="false">IF($CX40&gt;$CW$8,"",VLOOKUP($CX40,$CZ$9:$DF$508,7,FALSE()))</f>
        <v/>
      </c>
      <c r="DH40" s="110" t="str">
        <f aca="false">IF($CX40&gt;$CW$8,"",VLOOKUP($CX40,$CZ$9:$DF$508,2,FALSE()))</f>
        <v/>
      </c>
      <c r="DI40" s="110" t="str">
        <f aca="false">IF($CX40&gt;$CW$8,"",VLOOKUP($CX40,$CZ$9:$DF$508,3,FALSE()))</f>
        <v/>
      </c>
      <c r="DJ40" s="110" t="str">
        <f aca="false">IF($CX40&gt;$CW$8,"",VLOOKUP($CX40,$CZ$9:$DF$508,4,FALSE()))</f>
        <v/>
      </c>
      <c r="DK40" s="110" t="str">
        <f aca="false">IF($CX40&gt;$CW$8,"",VLOOKUP($CX40,$CZ$9:$DF$508,5,FALSE()))</f>
        <v/>
      </c>
      <c r="DL40" s="111" t="str">
        <f aca="false">IF($CX40&gt;$CW$8,"",VLOOKUP($CX40,$CZ$9:$DF$508,6,FALSE()))</f>
        <v/>
      </c>
      <c r="DM40" s="75"/>
    </row>
    <row r="41" customFormat="false" ht="15.75" hidden="false" customHeight="false" outlineLevel="0" collapsed="false">
      <c r="A41" s="9"/>
      <c r="B41" s="77"/>
      <c r="C41" s="78"/>
      <c r="D41" s="167"/>
      <c r="E41" s="175"/>
      <c r="F41" s="169"/>
      <c r="G41" s="170"/>
      <c r="H41" s="170"/>
      <c r="I41" s="176"/>
      <c r="J41" s="173"/>
      <c r="K41" s="85"/>
      <c r="L41" s="86"/>
      <c r="M41" s="87"/>
      <c r="N41" s="173"/>
      <c r="O41" s="173"/>
      <c r="P41" s="175"/>
      <c r="Q41" s="173"/>
      <c r="R41" s="173"/>
      <c r="S41" s="85"/>
      <c r="T41" s="87"/>
      <c r="U41" s="87"/>
      <c r="V41" s="173"/>
      <c r="W41" s="173"/>
      <c r="X41" s="175"/>
      <c r="Y41" s="173"/>
      <c r="Z41" s="174"/>
      <c r="AA41" s="173"/>
      <c r="AB41" s="91"/>
      <c r="AC41" s="92"/>
      <c r="AD41" s="92"/>
      <c r="AE41" s="92"/>
      <c r="AF41" s="92" t="str">
        <f aca="false">IF(ISBLANK($C41),"",IF(E41=Constants!$B$3,TRUE(),IF(E41=Constants!$B$4,FALSE(),TRUE())))</f>
        <v/>
      </c>
      <c r="AG41" s="92" t="str">
        <f aca="false">IF(ISBLANK($C41),"",IF(F41=Constants!$B$3,TRUE(),IF(F41=Constants!$B$4,FALSE(),TRUE())))</f>
        <v/>
      </c>
      <c r="AH41" s="92" t="str">
        <f aca="false">IF(ISBLANK($C41),"",IF(G41=Constants!$B$3,TRUE(),IF(G41=Constants!$B$4,FALSE(),TRUE())))</f>
        <v/>
      </c>
      <c r="AI41" s="92" t="str">
        <f aca="false">IF(ISBLANK($C41),"",IF(AND(ISNUMBER(H41),H41&gt;=0),H41,Constants!$B$29))</f>
        <v/>
      </c>
      <c r="AJ41" s="92" t="str">
        <f aca="false">IF(ISBLANK($C41),"",IF(I41=Constants!$B$3,TRUE(),IF(I41=Constants!$B$4,FALSE(),TRUE())))</f>
        <v/>
      </c>
      <c r="AK41" s="92" t="str">
        <f aca="false">IF(ISBLANK($C41),"",IF(J41=Constants!$B$3,TRUE(),IF(J41=Constants!$B$4,FALSE(),TRUE())))</f>
        <v/>
      </c>
      <c r="AL41" s="92" t="str">
        <f aca="false">IF(ISBLANK($C41),"",IF(K41=Constants!$B$5,TRUE(),IF(K41=Constants!$B$6,FALSE(),COUNTA(L41:P41)&gt;0)))</f>
        <v/>
      </c>
      <c r="AM41" s="94" t="str">
        <f aca="false">IF(ISBLANK($C41),"",IF(ISNUMBER(L41),IF(L41&gt;=0,L41,""),""))</f>
        <v/>
      </c>
      <c r="AN41" s="93" t="str">
        <f aca="false">IF(ISBLANK($C41),"",IF(ISNUMBER(M41),IF(M41&gt;=0,M41,""),""))</f>
        <v/>
      </c>
      <c r="AO41" s="93" t="str">
        <f aca="false">IF(ISBLANK($C41),"",IF(N41=Constants!$B$3,TRUE(),IF(N41=Constants!$B$4,FALSE(),TRUE())))</f>
        <v/>
      </c>
      <c r="AP41" s="92" t="str">
        <f aca="false">IF(ISBLANK($C41),"",IF(ISNUMBER(O41),IF(O41&gt;=0,O41,""),""))</f>
        <v/>
      </c>
      <c r="AQ41" s="92" t="str">
        <f aca="false">IF(ISBLANK($C41),"",IF(P41=Constants!$B$3,TRUE(),IF(P41=Constants!$B$4,FALSE(),FALSE())))</f>
        <v/>
      </c>
      <c r="AR41" s="92" t="str">
        <f aca="false">IF(ISBLANK($C41),"",IF(Q41=Constants!$B$3,TRUE(),IF(Q41=Constants!$B$4,FALSE(),TRUE())))</f>
        <v/>
      </c>
      <c r="AS41" s="92" t="str">
        <f aca="false">IF(ISBLANK($C41),"",IF(R41=Constants!$B$3,TRUE(),IF(R41=Constants!$B$4,FALSE(),TRUE())))</f>
        <v/>
      </c>
      <c r="AT41" s="92" t="str">
        <f aca="false">IF(ISBLANK($C41),"",IF(S41=Constants!$B$5,TRUE(),IF(S41=Constants!$B$6,FALSE(),COUNTA(T41:X41)&gt;0)))</f>
        <v/>
      </c>
      <c r="AU41" s="94" t="str">
        <f aca="false">IF(ISBLANK($C41),"",IF(ISNUMBER(T41),IF(T41&gt;=0,T41,""),""))</f>
        <v/>
      </c>
      <c r="AV41" s="93" t="str">
        <f aca="false">IF(ISBLANK($C41),"",IF(ISNUMBER(U41),IF(U41&gt;=0,U41,""),""))</f>
        <v/>
      </c>
      <c r="AW41" s="93" t="str">
        <f aca="false">IF(ISBLANK($C41),"",IF(V41=Constants!$B$3,TRUE(),IF(V41=Constants!$B$4,FALSE(),TRUE())))</f>
        <v/>
      </c>
      <c r="AX41" s="92" t="str">
        <f aca="false">IF(ISBLANK($C41),"",IF(ISNUMBER(W41),IF(W41&gt;=0,W41,""),""))</f>
        <v/>
      </c>
      <c r="AY41" s="92" t="str">
        <f aca="false">IF(ISBLANK($C41),"",IF(X41=Constants!$B$3,TRUE(),IF(X41=Constants!$B$4,FALSE(),FALSE())))</f>
        <v/>
      </c>
      <c r="AZ41" s="92" t="str">
        <f aca="false">IF(ISBLANK($C41),"",MIN(Constants!$B$31,MAX(0,IF(ISNUMBER(Y41),Y41*60,0)+IF(ISNUMBER(Z41),Z41,0))))</f>
        <v/>
      </c>
      <c r="BA41" s="92" t="str">
        <f aca="false">IF(ISBLANK($C41),"",IF(AA41=Constants!$B$3,TRUE(),IF(AA41=Constants!$B$4,FALSE(),FALSE())))</f>
        <v/>
      </c>
      <c r="BB41" s="91" t="str">
        <f aca="false">IF(ISBLANK($C41),"",AND($AL41,OR($AM41="",$AN41="",AND($AO41,$AP41=""))))</f>
        <v/>
      </c>
      <c r="BC41" s="93" t="str">
        <f aca="false">IF($BR41&lt;&gt;Constants!$B$8,"",IF($AL41,Constants!$B$21*$AN41+Constants!$B$22*IF($AO41,$AP41,Constants!$B$23),Constants!$B$24))</f>
        <v/>
      </c>
      <c r="BD41" s="96" t="str">
        <f aca="false">IF($BR41&lt;&gt;Constants!$B$8,"",Constants!$B$25*ABS($AD$9-IF($AL41,$AM41,0)))</f>
        <v/>
      </c>
      <c r="BE41" s="96" t="str">
        <f aca="false">IF($BR41&lt;&gt;Constants!$B$8,"",IF(AND($AL41,$AQ41,$AO41),Constants!$B$27,0))</f>
        <v/>
      </c>
      <c r="BF41" s="96" t="str">
        <f aca="false">IF($BR41&lt;&gt;Constants!$B$8,"",IF($AL41,($AI41-Constants!$B$29)*Constants!$B$28,0))</f>
        <v/>
      </c>
      <c r="BG41" s="96" t="str">
        <f aca="false">IF($BR41&lt;&gt;Constants!$B$8,"",IF($AK41,0,Constants!$B$15)+IF($AJ41,0,Constants!$B$16)+IF($AH41,0,Constants!$B$17))</f>
        <v/>
      </c>
      <c r="BH41" s="97" t="str">
        <f aca="false">IF($BR41&lt;&gt;Constants!$B$8,"",Constants!$B$20+SUM($BC41:$BG41))</f>
        <v/>
      </c>
      <c r="BI41" s="92" t="str">
        <f aca="false">IF($BR41&lt;&gt;Constants!$B$8,"",IF(OR($BP41&lt;$BH41,AND($BP41=$BH41,OR($BK41&lt;$BC41,AND($BK41=$BC41,OR($BL41&lt;$BD41,AND($BL41=$BD41,$AT41,$AL41,$AV41&lt;$AN41)))))),"-&gt;","&lt;-"))</f>
        <v/>
      </c>
      <c r="BJ41" s="91" t="str">
        <f aca="false">IF(ISBLANK($C41),"",AND($AT41,OR($AU41="",$AV41="",AND($AW41,$AX41=""))))</f>
        <v/>
      </c>
      <c r="BK41" s="93" t="str">
        <f aca="false">IF($BR41&lt;&gt;Constants!$B$8,"",IF($AT41,Constants!$B$21*$AV41+Constants!$B$22*IF($AW41,$AX41,Constants!$B$23),Constants!$B$24))</f>
        <v/>
      </c>
      <c r="BL41" s="96" t="str">
        <f aca="false">IF($BR41&lt;&gt;Constants!$B$8,"",Constants!$B$25*ABS($AD$9-IF($AT41,$AU41,0)))</f>
        <v/>
      </c>
      <c r="BM41" s="96" t="str">
        <f aca="false">IF($BR41&lt;&gt;Constants!$B$8,"",IF(AND($AT41,$AY41,$AW41),Constants!$B$27,0))</f>
        <v/>
      </c>
      <c r="BN41" s="96" t="str">
        <f aca="false">IF($BR41&lt;&gt;Constants!$B$8,"",IF($AT41,($AI41-Constants!$B$29)*Constants!$B$28,0))</f>
        <v/>
      </c>
      <c r="BO41" s="96" t="str">
        <f aca="false">IF($BR41&lt;&gt;Constants!$B$8,"",IF($AS41,0,Constants!$B$15)+IF($AR41,0,Constants!$B$16)+IF($AH41,0,Constants!$B$17))</f>
        <v/>
      </c>
      <c r="BP41" s="97" t="str">
        <f aca="false">IF($BR41&lt;&gt;Constants!$B$8,"",Constants!$B$20+SUM($BK41:$BO41))</f>
        <v/>
      </c>
      <c r="BQ41" s="92" t="str">
        <f aca="false">IF(ISBLANK($C41),"",IF(ISBLANK($D$7),$BQ$5,IF(NOT(ISNUMBER($D$7)),$BQ$6,"")))</f>
        <v/>
      </c>
      <c r="BR41" s="92" t="str">
        <f aca="false">IF(ISBLANK($C41),"",IF($BA41,Constants!$B$11,IF(COUNTA($E41:$AA41)=0,Constants!$B$10,IF(NOT($AG41),Constants!$B$9,IF(OR($BQ41&lt;&gt;"",$BB41,$BJ41),Constants!$B$12,Constants!$B$8)))))</f>
        <v/>
      </c>
      <c r="BS41" s="92" t="str">
        <f aca="false">IF(ISBLANK($C41),"",IF($BR41&lt;&gt;Constants!$B$8,$BR41,Constants!$B$13))</f>
        <v/>
      </c>
      <c r="BT41" s="96" t="str">
        <f aca="false">IF($BR41&lt;&gt;Constants!$B$8,"",IF($BI41="-&gt;",$BP41,$BH41))</f>
        <v/>
      </c>
      <c r="BU41" s="96" t="str">
        <f aca="false">IF($BR41&lt;&gt;Constants!$B$8,"",IF($AF41,0,Constants!$B$18))</f>
        <v/>
      </c>
      <c r="BV41" s="96" t="str">
        <f aca="false">IF($BR41&lt;&gt;Constants!$B$8,"",((Constants!$B$31-$AZ41)-Constants!$B$31)/Constants!$B$32)</f>
        <v/>
      </c>
      <c r="BW41" s="96" t="str">
        <f aca="false">IF(ISBLANK($C41),"",IF($BR41&lt;&gt;Constants!$B$8,$BR41,SUM($BT41:$BV41)))</f>
        <v/>
      </c>
      <c r="BX41" s="92" t="str">
        <f aca="false">IF(ISBLANK($C41),"",IF($BR41&lt;&gt;Constants!$B$8,$BR41,RANK($BW41,$BW$9:$BW$508,1)))</f>
        <v/>
      </c>
      <c r="BY41" s="96" t="str">
        <f aca="false">IF($BR41&lt;&gt;Constants!$B$8,"",IF($BI41="-&gt;",$BK41,$BC41))</f>
        <v/>
      </c>
      <c r="BZ41" s="92" t="str">
        <f aca="false">IF(ISBLANK($C41),"",IF($BR41&lt;&gt;Constants!$B$8,$BR41,IF(ISNUMBER($BY41),RANK($BY41,$BY$9:$BY$508,1),COUNT($BY$9:$BY$508)+1)))</f>
        <v/>
      </c>
      <c r="CA41" s="96" t="str">
        <f aca="false">IF($BR41&lt;&gt;Constants!$B$8,"",IF($BI41="-&gt;",$BL41,$BD41))</f>
        <v/>
      </c>
      <c r="CB41" s="92" t="str">
        <f aca="false">IF(ISBLANK($C41),"",IF($BR41&lt;&gt;Constants!$B$8,$BR41,IF(ISNUMBER($CA41),RANK($CA41,$CA$9:$CA$508,1),COUNT($CA$9:$CA$508)+1)))</f>
        <v/>
      </c>
      <c r="CC41" s="96" t="str">
        <f aca="false">IF($BR41&lt;&gt;Constants!$B$8,"",IF($BI41="-&gt;",IF($AT41,$AV41,""),IF($AL41,$AN41,"")))</f>
        <v/>
      </c>
      <c r="CD41" s="92" t="str">
        <f aca="false">IF(ISBLANK($C41),"",IF($BR41&lt;&gt;Constants!$B$8,$BR41,IF(ISNUMBER($CC41),RANK($CC41,$CC$9:$CC$508,1),COUNT($CC$9:$CC$508)+1)))</f>
        <v/>
      </c>
      <c r="CE41" s="96" t="str">
        <f aca="false">IF($BR41&lt;&gt;Constants!$B$8,"",IF(AND(NOT($AL41),NOT($AT41),$AJ41,$AK41,$AR41,$AS41),"",$AI41))</f>
        <v/>
      </c>
      <c r="CF41" s="92" t="str">
        <f aca="false">IF(ISBLANK($C41),"",IF($BR41&lt;&gt;Constants!$B$8,$BR41,IF(ISNUMBER($CE41),RANK($CE41,$CE$9:$CE$508,1),COUNT($CE$9:$CE$508)+1)))</f>
        <v/>
      </c>
      <c r="CG41" s="92" t="str">
        <f aca="false">IF(ISBLANK($C41),"",IF($BR41&lt;&gt;Constants!$B$8,$BR41,COUNTIFS($BX$9:$BX$508,"&lt;"&amp;$BX41)+COUNTIFS($BX$9:$BX$508,$BX41,$BZ$9:$BZ$508,"&lt;"&amp;$BZ41)+COUNTIFS($BX$9:$BX$508,$BX41,$BZ$9:$BZ$508,$BZ41,$CB$9:$CB$508,"&lt;"&amp;$CB41)+COUNTIFS($BX$9:$BX$508,$BX41,$BZ$9:$BZ$508,$BZ41,$CB$9:$CB$508,$CB41,$CD$9:$CD$508,"&lt;"&amp;$CD41)+COUNTIFS($BX$9:$BX$508,$BX41,$BZ$9:$BZ$508,$BZ41,$CB$9:$CB$508,$CB41,$CD$9:$CD$508,$CD41,$CF$9:$CF$508,"&lt;"&amp;$CF41)+1))</f>
        <v/>
      </c>
      <c r="CH41" s="92" t="str">
        <f aca="false">IF(ISBLANK($C41),"",IF($BR41&lt;&gt;Constants!$B$8,$BR41,$BX41-$CG41))</f>
        <v/>
      </c>
      <c r="CI41" s="98"/>
      <c r="CJ41" s="99"/>
      <c r="CK41" s="100" t="str">
        <f aca="false">IF(ISBLANK($C41),"",IF($BR41=Constants!$B$12,$BQ41,""))</f>
        <v/>
      </c>
      <c r="CL41" s="99" t="str">
        <f aca="false">IF(ISBLANK($C41),"",IF($BR41&lt;&gt;Constants!$B$8,"",IF($BI41="-&gt;",2,1)))</f>
        <v/>
      </c>
      <c r="CM41" s="101" t="str">
        <f aca="false">IF(ISBLANK($C41),"",IF($BR41&lt;&gt;Constants!$B$8,"",IF($BI41="-&gt;",$BK41,$BC41)))</f>
        <v/>
      </c>
      <c r="CN41" s="101" t="str">
        <f aca="false">IF(ISBLANK($C41),"",IF($BR41&lt;&gt;Constants!$B$8,"",IF($BI41="-&gt;",$BL41,$BD41)))</f>
        <v/>
      </c>
      <c r="CO41" s="101" t="str">
        <f aca="false">IF(ISBLANK($C41),"",IF($BR41&lt;&gt;Constants!$B$8,"",IF($BI41="-&gt;",$BM41+$BN41,$BE41+$BF41)+$BV41))</f>
        <v/>
      </c>
      <c r="CP41" s="101" t="str">
        <f aca="false">IF(ISBLANK($C41),"",IF($BR41&lt;&gt;Constants!$B$8,"",IF($BI41="-&gt;",$BO41,$BG41)+$BU41))</f>
        <v/>
      </c>
      <c r="CQ41" s="102" t="str">
        <f aca="false">IF(ISBLANK($C41),"",IF($BR41&lt;&gt;Constants!$B$8,$BR41,$BW41))</f>
        <v/>
      </c>
      <c r="CR41" s="103" t="str">
        <f aca="false">IF(ISBLANK($C41),"",$BS41)</f>
        <v/>
      </c>
      <c r="CS41" s="104" t="str">
        <f aca="false">IF(ISBLANK($C41),"",$CH41)</f>
        <v/>
      </c>
      <c r="CT41" s="104" t="str">
        <f aca="false">IF(ISBLANK($C41),"",$CG41)</f>
        <v/>
      </c>
      <c r="CU41" s="105" t="str">
        <f aca="false">IF(ISBLANK($C41),"",IFERROR(_xlfn.SWITCH($CT41,Constants!$B$11,COUNTA($C$9:$C$508)+2,Constants!$B$10,COUNTA($C$9:$C$508)+1,Constants!$B$9,COUNTA($C$9:$C$508)),$CT41))</f>
        <v/>
      </c>
      <c r="CV41" s="9"/>
      <c r="CW41" s="106" t="n">
        <f aca="false">IF(OR(ISNUMBER($CT41),$CT41=Constants!$B$11,$CT41=Constants!$B$9,$CT41=Constants!$B$10),1,0)</f>
        <v>0</v>
      </c>
      <c r="CX41" s="106" t="n">
        <v>33</v>
      </c>
      <c r="CY41" s="106" t="str">
        <f aca="false">IF(ISBLANK($C41),"",IF(ISNUMBER($CU41),$CU41+ROW($B41)/1000,""))</f>
        <v/>
      </c>
      <c r="CZ41" s="106" t="str">
        <f aca="false">IF(ISNUMBER($CY41),RANK($CY41,$CY$9:$CY$508,1),"")</f>
        <v/>
      </c>
      <c r="DA41" s="106" t="str">
        <f aca="false">IF(ISBLANK($C41),"",$B41)</f>
        <v/>
      </c>
      <c r="DB41" s="106" t="str">
        <f aca="false">IF(ISBLANK($C41),"",$C41)</f>
        <v/>
      </c>
      <c r="DC41" s="106" t="str">
        <f aca="false">IF(ISBLANK($C41),"",$D41)</f>
        <v/>
      </c>
      <c r="DD41" s="107" t="str">
        <f aca="false">$CR41</f>
        <v/>
      </c>
      <c r="DE41" s="108" t="str">
        <f aca="false">$CQ41</f>
        <v/>
      </c>
      <c r="DF41" s="106" t="str">
        <f aca="false">IF(ISBLANK($C41),"",$CT41)</f>
        <v/>
      </c>
      <c r="DG41" s="109" t="str">
        <f aca="false">IF($CX41&gt;$CW$8,"",VLOOKUP($CX41,$CZ$9:$DF$508,7,FALSE()))</f>
        <v/>
      </c>
      <c r="DH41" s="110" t="str">
        <f aca="false">IF($CX41&gt;$CW$8,"",VLOOKUP($CX41,$CZ$9:$DF$508,2,FALSE()))</f>
        <v/>
      </c>
      <c r="DI41" s="110" t="str">
        <f aca="false">IF($CX41&gt;$CW$8,"",VLOOKUP($CX41,$CZ$9:$DF$508,3,FALSE()))</f>
        <v/>
      </c>
      <c r="DJ41" s="110" t="str">
        <f aca="false">IF($CX41&gt;$CW$8,"",VLOOKUP($CX41,$CZ$9:$DF$508,4,FALSE()))</f>
        <v/>
      </c>
      <c r="DK41" s="110" t="str">
        <f aca="false">IF($CX41&gt;$CW$8,"",VLOOKUP($CX41,$CZ$9:$DF$508,5,FALSE()))</f>
        <v/>
      </c>
      <c r="DL41" s="111" t="str">
        <f aca="false">IF($CX41&gt;$CW$8,"",VLOOKUP($CX41,$CZ$9:$DF$508,6,FALSE()))</f>
        <v/>
      </c>
      <c r="DM41" s="75"/>
    </row>
    <row r="42" customFormat="false" ht="15.75" hidden="false" customHeight="false" outlineLevel="0" collapsed="false">
      <c r="A42" s="9"/>
      <c r="B42" s="157"/>
      <c r="C42" s="158"/>
      <c r="D42" s="159"/>
      <c r="E42" s="177"/>
      <c r="F42" s="161"/>
      <c r="G42" s="162"/>
      <c r="H42" s="162"/>
      <c r="I42" s="178"/>
      <c r="J42" s="165"/>
      <c r="K42" s="126"/>
      <c r="L42" s="127"/>
      <c r="M42" s="128"/>
      <c r="N42" s="165"/>
      <c r="O42" s="165"/>
      <c r="P42" s="177"/>
      <c r="Q42" s="165"/>
      <c r="R42" s="165"/>
      <c r="S42" s="126"/>
      <c r="T42" s="128"/>
      <c r="U42" s="128"/>
      <c r="V42" s="165"/>
      <c r="W42" s="165"/>
      <c r="X42" s="177"/>
      <c r="Y42" s="165"/>
      <c r="Z42" s="166"/>
      <c r="AA42" s="165"/>
      <c r="AB42" s="132"/>
      <c r="AC42" s="133"/>
      <c r="AD42" s="133"/>
      <c r="AE42" s="133"/>
      <c r="AF42" s="133" t="str">
        <f aca="false">IF(ISBLANK($C42),"",IF(E42=Constants!$B$3,TRUE(),IF(E42=Constants!$B$4,FALSE(),TRUE())))</f>
        <v/>
      </c>
      <c r="AG42" s="133" t="str">
        <f aca="false">IF(ISBLANK($C42),"",IF(F42=Constants!$B$3,TRUE(),IF(F42=Constants!$B$4,FALSE(),TRUE())))</f>
        <v/>
      </c>
      <c r="AH42" s="133" t="str">
        <f aca="false">IF(ISBLANK($C42),"",IF(G42=Constants!$B$3,TRUE(),IF(G42=Constants!$B$4,FALSE(),TRUE())))</f>
        <v/>
      </c>
      <c r="AI42" s="133" t="str">
        <f aca="false">IF(ISBLANK($C42),"",IF(AND(ISNUMBER(H42),H42&gt;=0),H42,Constants!$B$29))</f>
        <v/>
      </c>
      <c r="AJ42" s="133" t="str">
        <f aca="false">IF(ISBLANK($C42),"",IF(I42=Constants!$B$3,TRUE(),IF(I42=Constants!$B$4,FALSE(),TRUE())))</f>
        <v/>
      </c>
      <c r="AK42" s="133" t="str">
        <f aca="false">IF(ISBLANK($C42),"",IF(J42=Constants!$B$3,TRUE(),IF(J42=Constants!$B$4,FALSE(),TRUE())))</f>
        <v/>
      </c>
      <c r="AL42" s="133" t="str">
        <f aca="false">IF(ISBLANK($C42),"",IF(K42=Constants!$B$5,TRUE(),IF(K42=Constants!$B$6,FALSE(),COUNTA(L42:P42)&gt;0)))</f>
        <v/>
      </c>
      <c r="AM42" s="134" t="str">
        <f aca="false">IF(ISBLANK($C42),"",IF(ISNUMBER(L42),IF(L42&gt;=0,L42,""),""))</f>
        <v/>
      </c>
      <c r="AN42" s="135" t="str">
        <f aca="false">IF(ISBLANK($C42),"",IF(ISNUMBER(M42),IF(M42&gt;=0,M42,""),""))</f>
        <v/>
      </c>
      <c r="AO42" s="135" t="str">
        <f aca="false">IF(ISBLANK($C42),"",IF(N42=Constants!$B$3,TRUE(),IF(N42=Constants!$B$4,FALSE(),TRUE())))</f>
        <v/>
      </c>
      <c r="AP42" s="133" t="str">
        <f aca="false">IF(ISBLANK($C42),"",IF(ISNUMBER(O42),IF(O42&gt;=0,O42,""),""))</f>
        <v/>
      </c>
      <c r="AQ42" s="133" t="str">
        <f aca="false">IF(ISBLANK($C42),"",IF(P42=Constants!$B$3,TRUE(),IF(P42=Constants!$B$4,FALSE(),FALSE())))</f>
        <v/>
      </c>
      <c r="AR42" s="133" t="str">
        <f aca="false">IF(ISBLANK($C42),"",IF(Q42=Constants!$B$3,TRUE(),IF(Q42=Constants!$B$4,FALSE(),TRUE())))</f>
        <v/>
      </c>
      <c r="AS42" s="133" t="str">
        <f aca="false">IF(ISBLANK($C42),"",IF(R42=Constants!$B$3,TRUE(),IF(R42=Constants!$B$4,FALSE(),TRUE())))</f>
        <v/>
      </c>
      <c r="AT42" s="133" t="str">
        <f aca="false">IF(ISBLANK($C42),"",IF(S42=Constants!$B$5,TRUE(),IF(S42=Constants!$B$6,FALSE(),COUNTA(T42:X42)&gt;0)))</f>
        <v/>
      </c>
      <c r="AU42" s="134" t="str">
        <f aca="false">IF(ISBLANK($C42),"",IF(ISNUMBER(T42),IF(T42&gt;=0,T42,""),""))</f>
        <v/>
      </c>
      <c r="AV42" s="135" t="str">
        <f aca="false">IF(ISBLANK($C42),"",IF(ISNUMBER(U42),IF(U42&gt;=0,U42,""),""))</f>
        <v/>
      </c>
      <c r="AW42" s="135" t="str">
        <f aca="false">IF(ISBLANK($C42),"",IF(V42=Constants!$B$3,TRUE(),IF(V42=Constants!$B$4,FALSE(),TRUE())))</f>
        <v/>
      </c>
      <c r="AX42" s="133" t="str">
        <f aca="false">IF(ISBLANK($C42),"",IF(ISNUMBER(W42),IF(W42&gt;=0,W42,""),""))</f>
        <v/>
      </c>
      <c r="AY42" s="133" t="str">
        <f aca="false">IF(ISBLANK($C42),"",IF(X42=Constants!$B$3,TRUE(),IF(X42=Constants!$B$4,FALSE(),FALSE())))</f>
        <v/>
      </c>
      <c r="AZ42" s="133" t="str">
        <f aca="false">IF(ISBLANK($C42),"",MIN(Constants!$B$31,MAX(0,IF(ISNUMBER(Y42),Y42*60,0)+IF(ISNUMBER(Z42),Z42,0))))</f>
        <v/>
      </c>
      <c r="BA42" s="133" t="str">
        <f aca="false">IF(ISBLANK($C42),"",IF(AA42=Constants!$B$3,TRUE(),IF(AA42=Constants!$B$4,FALSE(),FALSE())))</f>
        <v/>
      </c>
      <c r="BB42" s="132" t="str">
        <f aca="false">IF(ISBLANK($C42),"",AND($AL42,OR($AM42="",$AN42="",AND($AO42,$AP42=""))))</f>
        <v/>
      </c>
      <c r="BC42" s="135" t="str">
        <f aca="false">IF($BR42&lt;&gt;Constants!$B$8,"",IF($AL42,Constants!$B$21*$AN42+Constants!$B$22*IF($AO42,$AP42,Constants!$B$23),Constants!$B$24))</f>
        <v/>
      </c>
      <c r="BD42" s="136" t="str">
        <f aca="false">IF($BR42&lt;&gt;Constants!$B$8,"",Constants!$B$25*ABS($AD$9-IF($AL42,$AM42,0)))</f>
        <v/>
      </c>
      <c r="BE42" s="136" t="str">
        <f aca="false">IF($BR42&lt;&gt;Constants!$B$8,"",IF(AND($AL42,$AQ42,$AO42),Constants!$B$27,0))</f>
        <v/>
      </c>
      <c r="BF42" s="136" t="str">
        <f aca="false">IF($BR42&lt;&gt;Constants!$B$8,"",IF($AL42,($AI42-Constants!$B$29)*Constants!$B$28,0))</f>
        <v/>
      </c>
      <c r="BG42" s="136" t="str">
        <f aca="false">IF($BR42&lt;&gt;Constants!$B$8,"",IF($AK42,0,Constants!$B$15)+IF($AJ42,0,Constants!$B$16)+IF($AH42,0,Constants!$B$17))</f>
        <v/>
      </c>
      <c r="BH42" s="137" t="str">
        <f aca="false">IF($BR42&lt;&gt;Constants!$B$8,"",Constants!$B$20+SUM($BC42:$BG42))</f>
        <v/>
      </c>
      <c r="BI42" s="133" t="str">
        <f aca="false">IF($BR42&lt;&gt;Constants!$B$8,"",IF(OR($BP42&lt;$BH42,AND($BP42=$BH42,OR($BK42&lt;$BC42,AND($BK42=$BC42,OR($BL42&lt;$BD42,AND($BL42=$BD42,$AT42,$AL42,$AV42&lt;$AN42)))))),"-&gt;","&lt;-"))</f>
        <v/>
      </c>
      <c r="BJ42" s="132" t="str">
        <f aca="false">IF(ISBLANK($C42),"",AND($AT42,OR($AU42="",$AV42="",AND($AW42,$AX42=""))))</f>
        <v/>
      </c>
      <c r="BK42" s="135" t="str">
        <f aca="false">IF($BR42&lt;&gt;Constants!$B$8,"",IF($AT42,Constants!$B$21*$AV42+Constants!$B$22*IF($AW42,$AX42,Constants!$B$23),Constants!$B$24))</f>
        <v/>
      </c>
      <c r="BL42" s="136" t="str">
        <f aca="false">IF($BR42&lt;&gt;Constants!$B$8,"",Constants!$B$25*ABS($AD$9-IF($AT42,$AU42,0)))</f>
        <v/>
      </c>
      <c r="BM42" s="136" t="str">
        <f aca="false">IF($BR42&lt;&gt;Constants!$B$8,"",IF(AND($AT42,$AY42,$AW42),Constants!$B$27,0))</f>
        <v/>
      </c>
      <c r="BN42" s="136" t="str">
        <f aca="false">IF($BR42&lt;&gt;Constants!$B$8,"",IF($AT42,($AI42-Constants!$B$29)*Constants!$B$28,0))</f>
        <v/>
      </c>
      <c r="BO42" s="136" t="str">
        <f aca="false">IF($BR42&lt;&gt;Constants!$B$8,"",IF($AS42,0,Constants!$B$15)+IF($AR42,0,Constants!$B$16)+IF($AH42,0,Constants!$B$17))</f>
        <v/>
      </c>
      <c r="BP42" s="137" t="str">
        <f aca="false">IF($BR42&lt;&gt;Constants!$B$8,"",Constants!$B$20+SUM($BK42:$BO42))</f>
        <v/>
      </c>
      <c r="BQ42" s="133" t="str">
        <f aca="false">IF(ISBLANK($C42),"",IF(ISBLANK($D$7),$BQ$5,IF(NOT(ISNUMBER($D$7)),$BQ$6,"")))</f>
        <v/>
      </c>
      <c r="BR42" s="133" t="str">
        <f aca="false">IF(ISBLANK($C42),"",IF($BA42,Constants!$B$11,IF(COUNTA($E42:$AA42)=0,Constants!$B$10,IF(NOT($AG42),Constants!$B$9,IF(OR($BQ42&lt;&gt;"",$BB42,$BJ42),Constants!$B$12,Constants!$B$8)))))</f>
        <v/>
      </c>
      <c r="BS42" s="133" t="str">
        <f aca="false">IF(ISBLANK($C42),"",IF($BR42&lt;&gt;Constants!$B$8,$BR42,Constants!$B$13))</f>
        <v/>
      </c>
      <c r="BT42" s="136" t="str">
        <f aca="false">IF($BR42&lt;&gt;Constants!$B$8,"",IF($BI42="-&gt;",$BP42,$BH42))</f>
        <v/>
      </c>
      <c r="BU42" s="136" t="str">
        <f aca="false">IF($BR42&lt;&gt;Constants!$B$8,"",IF($AF42,0,Constants!$B$18))</f>
        <v/>
      </c>
      <c r="BV42" s="136" t="str">
        <f aca="false">IF($BR42&lt;&gt;Constants!$B$8,"",((Constants!$B$31-$AZ42)-Constants!$B$31)/Constants!$B$32)</f>
        <v/>
      </c>
      <c r="BW42" s="136" t="str">
        <f aca="false">IF(ISBLANK($C42),"",IF($BR42&lt;&gt;Constants!$B$8,$BR42,SUM($BT42:$BV42)))</f>
        <v/>
      </c>
      <c r="BX42" s="133" t="str">
        <f aca="false">IF(ISBLANK($C42),"",IF($BR42&lt;&gt;Constants!$B$8,$BR42,RANK($BW42,$BW$9:$BW$508,1)))</f>
        <v/>
      </c>
      <c r="BY42" s="136" t="str">
        <f aca="false">IF($BR42&lt;&gt;Constants!$B$8,"",IF($BI42="-&gt;",$BK42,$BC42))</f>
        <v/>
      </c>
      <c r="BZ42" s="133" t="str">
        <f aca="false">IF(ISBLANK($C42),"",IF($BR42&lt;&gt;Constants!$B$8,$BR42,IF(ISNUMBER($BY42),RANK($BY42,$BY$9:$BY$508,1),COUNT($BY$9:$BY$508)+1)))</f>
        <v/>
      </c>
      <c r="CA42" s="136" t="str">
        <f aca="false">IF($BR42&lt;&gt;Constants!$B$8,"",IF($BI42="-&gt;",$BL42,$BD42))</f>
        <v/>
      </c>
      <c r="CB42" s="133" t="str">
        <f aca="false">IF(ISBLANK($C42),"",IF($BR42&lt;&gt;Constants!$B$8,$BR42,IF(ISNUMBER($CA42),RANK($CA42,$CA$9:$CA$508,1),COUNT($CA$9:$CA$508)+1)))</f>
        <v/>
      </c>
      <c r="CC42" s="136" t="str">
        <f aca="false">IF($BR42&lt;&gt;Constants!$B$8,"",IF($BI42="-&gt;",IF($AT42,$AV42,""),IF($AL42,$AN42,"")))</f>
        <v/>
      </c>
      <c r="CD42" s="133" t="str">
        <f aca="false">IF(ISBLANK($C42),"",IF($BR42&lt;&gt;Constants!$B$8,$BR42,IF(ISNUMBER($CC42),RANK($CC42,$CC$9:$CC$508,1),COUNT($CC$9:$CC$508)+1)))</f>
        <v/>
      </c>
      <c r="CE42" s="136" t="str">
        <f aca="false">IF($BR42&lt;&gt;Constants!$B$8,"",IF(AND(NOT($AL42),NOT($AT42),$AJ42,$AK42,$AR42,$AS42),"",$AI42))</f>
        <v/>
      </c>
      <c r="CF42" s="133" t="str">
        <f aca="false">IF(ISBLANK($C42),"",IF($BR42&lt;&gt;Constants!$B$8,$BR42,IF(ISNUMBER($CE42),RANK($CE42,$CE$9:$CE$508,1),COUNT($CE$9:$CE$508)+1)))</f>
        <v/>
      </c>
      <c r="CG42" s="133" t="str">
        <f aca="false">IF(ISBLANK($C42),"",IF($BR42&lt;&gt;Constants!$B$8,$BR42,COUNTIFS($BX$9:$BX$508,"&lt;"&amp;$BX42)+COUNTIFS($BX$9:$BX$508,$BX42,$BZ$9:$BZ$508,"&lt;"&amp;$BZ42)+COUNTIFS($BX$9:$BX$508,$BX42,$BZ$9:$BZ$508,$BZ42,$CB$9:$CB$508,"&lt;"&amp;$CB42)+COUNTIFS($BX$9:$BX$508,$BX42,$BZ$9:$BZ$508,$BZ42,$CB$9:$CB$508,$CB42,$CD$9:$CD$508,"&lt;"&amp;$CD42)+COUNTIFS($BX$9:$BX$508,$BX42,$BZ$9:$BZ$508,$BZ42,$CB$9:$CB$508,$CB42,$CD$9:$CD$508,$CD42,$CF$9:$CF$508,"&lt;"&amp;$CF42)+1))</f>
        <v/>
      </c>
      <c r="CH42" s="133" t="str">
        <f aca="false">IF(ISBLANK($C42),"",IF($BR42&lt;&gt;Constants!$B$8,$BR42,$BX42-$CG42))</f>
        <v/>
      </c>
      <c r="CI42" s="138"/>
      <c r="CJ42" s="139"/>
      <c r="CK42" s="140" t="str">
        <f aca="false">IF(ISBLANK($C42),"",IF($BR42=Constants!$B$12,$BQ42,""))</f>
        <v/>
      </c>
      <c r="CL42" s="139" t="str">
        <f aca="false">IF(ISBLANK($C42),"",IF($BR42&lt;&gt;Constants!$B$8,"",IF($BI42="-&gt;",2,1)))</f>
        <v/>
      </c>
      <c r="CM42" s="141" t="str">
        <f aca="false">IF(ISBLANK($C42),"",IF($BR42&lt;&gt;Constants!$B$8,"",IF($BI42="-&gt;",$BK42,$BC42)))</f>
        <v/>
      </c>
      <c r="CN42" s="141" t="str">
        <f aca="false">IF(ISBLANK($C42),"",IF($BR42&lt;&gt;Constants!$B$8,"",IF($BI42="-&gt;",$BL42,$BD42)))</f>
        <v/>
      </c>
      <c r="CO42" s="141" t="str">
        <f aca="false">IF(ISBLANK($C42),"",IF($BR42&lt;&gt;Constants!$B$8,"",IF($BI42="-&gt;",$BM42+$BN42,$BE42+$BF42)+$BV42))</f>
        <v/>
      </c>
      <c r="CP42" s="141" t="str">
        <f aca="false">IF(ISBLANK($C42),"",IF($BR42&lt;&gt;Constants!$B$8,"",IF($BI42="-&gt;",$BO42,$BG42)+$BU42))</f>
        <v/>
      </c>
      <c r="CQ42" s="142" t="str">
        <f aca="false">IF(ISBLANK($C42),"",IF($BR42&lt;&gt;Constants!$B$8,$BR42,$BW42))</f>
        <v/>
      </c>
      <c r="CR42" s="143" t="str">
        <f aca="false">IF(ISBLANK($C42),"",$BS42)</f>
        <v/>
      </c>
      <c r="CS42" s="144" t="str">
        <f aca="false">IF(ISBLANK($C42),"",$CH42)</f>
        <v/>
      </c>
      <c r="CT42" s="144" t="str">
        <f aca="false">IF(ISBLANK($C42),"",$CG42)</f>
        <v/>
      </c>
      <c r="CU42" s="145" t="str">
        <f aca="false">IF(ISBLANK($C42),"",IFERROR(_xlfn.SWITCH($CT42,Constants!$B$11,COUNTA($C$9:$C$508)+2,Constants!$B$10,COUNTA($C$9:$C$508)+1,Constants!$B$9,COUNTA($C$9:$C$508)),$CT42))</f>
        <v/>
      </c>
      <c r="CV42" s="9"/>
      <c r="CW42" s="146" t="n">
        <f aca="false">IF(OR(ISNUMBER($CT42),$CT42=Constants!$B$11,$CT42=Constants!$B$9,$CT42=Constants!$B$10),1,0)</f>
        <v>0</v>
      </c>
      <c r="CX42" s="146" t="n">
        <v>34</v>
      </c>
      <c r="CY42" s="146" t="str">
        <f aca="false">IF(ISBLANK($C42),"",IF(ISNUMBER($CU42),$CU42+ROW($B42)/1000,""))</f>
        <v/>
      </c>
      <c r="CZ42" s="146" t="str">
        <f aca="false">IF(ISNUMBER($CY42),RANK($CY42,$CY$9:$CY$508,1),"")</f>
        <v/>
      </c>
      <c r="DA42" s="146" t="str">
        <f aca="false">IF(ISBLANK($C42),"",$B42)</f>
        <v/>
      </c>
      <c r="DB42" s="146" t="str">
        <f aca="false">IF(ISBLANK($C42),"",$C42)</f>
        <v/>
      </c>
      <c r="DC42" s="146" t="str">
        <f aca="false">IF(ISBLANK($C42),"",$D42)</f>
        <v/>
      </c>
      <c r="DD42" s="147" t="str">
        <f aca="false">$CR42</f>
        <v/>
      </c>
      <c r="DE42" s="148" t="str">
        <f aca="false">$CQ42</f>
        <v/>
      </c>
      <c r="DF42" s="146" t="str">
        <f aca="false">IF(ISBLANK($C42),"",$CT42)</f>
        <v/>
      </c>
      <c r="DG42" s="149" t="str">
        <f aca="false">IF($CX42&gt;$CW$8,"",VLOOKUP($CX42,$CZ$9:$DF$508,7,FALSE()))</f>
        <v/>
      </c>
      <c r="DH42" s="150" t="str">
        <f aca="false">IF($CX42&gt;$CW$8,"",VLOOKUP($CX42,$CZ$9:$DF$508,2,FALSE()))</f>
        <v/>
      </c>
      <c r="DI42" s="150" t="str">
        <f aca="false">IF($CX42&gt;$CW$8,"",VLOOKUP($CX42,$CZ$9:$DF$508,3,FALSE()))</f>
        <v/>
      </c>
      <c r="DJ42" s="150" t="str">
        <f aca="false">IF($CX42&gt;$CW$8,"",VLOOKUP($CX42,$CZ$9:$DF$508,4,FALSE()))</f>
        <v/>
      </c>
      <c r="DK42" s="150" t="str">
        <f aca="false">IF($CX42&gt;$CW$8,"",VLOOKUP($CX42,$CZ$9:$DF$508,5,FALSE()))</f>
        <v/>
      </c>
      <c r="DL42" s="151" t="str">
        <f aca="false">IF($CX42&gt;$CW$8,"",VLOOKUP($CX42,$CZ$9:$DF$508,6,FALSE()))</f>
        <v/>
      </c>
      <c r="DM42" s="75"/>
    </row>
    <row r="43" customFormat="false" ht="15.75" hidden="false" customHeight="false" outlineLevel="0" collapsed="false">
      <c r="A43" s="9"/>
      <c r="B43" s="157"/>
      <c r="C43" s="158"/>
      <c r="D43" s="159"/>
      <c r="E43" s="177"/>
      <c r="F43" s="161"/>
      <c r="G43" s="162"/>
      <c r="H43" s="162"/>
      <c r="I43" s="178"/>
      <c r="J43" s="165"/>
      <c r="K43" s="126"/>
      <c r="L43" s="127"/>
      <c r="M43" s="128"/>
      <c r="N43" s="165"/>
      <c r="O43" s="165"/>
      <c r="P43" s="177"/>
      <c r="Q43" s="165"/>
      <c r="R43" s="165"/>
      <c r="S43" s="126"/>
      <c r="T43" s="128"/>
      <c r="U43" s="128"/>
      <c r="V43" s="165"/>
      <c r="W43" s="165"/>
      <c r="X43" s="177"/>
      <c r="Y43" s="165"/>
      <c r="Z43" s="166"/>
      <c r="AA43" s="165"/>
      <c r="AB43" s="132"/>
      <c r="AC43" s="133"/>
      <c r="AD43" s="133"/>
      <c r="AE43" s="133"/>
      <c r="AF43" s="133" t="str">
        <f aca="false">IF(ISBLANK($C43),"",IF(E43=Constants!$B$3,TRUE(),IF(E43=Constants!$B$4,FALSE(),TRUE())))</f>
        <v/>
      </c>
      <c r="AG43" s="133" t="str">
        <f aca="false">IF(ISBLANK($C43),"",IF(F43=Constants!$B$3,TRUE(),IF(F43=Constants!$B$4,FALSE(),TRUE())))</f>
        <v/>
      </c>
      <c r="AH43" s="133" t="str">
        <f aca="false">IF(ISBLANK($C43),"",IF(G43=Constants!$B$3,TRUE(),IF(G43=Constants!$B$4,FALSE(),TRUE())))</f>
        <v/>
      </c>
      <c r="AI43" s="133" t="str">
        <f aca="false">IF(ISBLANK($C43),"",IF(AND(ISNUMBER(H43),H43&gt;=0),H43,Constants!$B$29))</f>
        <v/>
      </c>
      <c r="AJ43" s="133" t="str">
        <f aca="false">IF(ISBLANK($C43),"",IF(I43=Constants!$B$3,TRUE(),IF(I43=Constants!$B$4,FALSE(),TRUE())))</f>
        <v/>
      </c>
      <c r="AK43" s="133" t="str">
        <f aca="false">IF(ISBLANK($C43),"",IF(J43=Constants!$B$3,TRUE(),IF(J43=Constants!$B$4,FALSE(),TRUE())))</f>
        <v/>
      </c>
      <c r="AL43" s="133" t="str">
        <f aca="false">IF(ISBLANK($C43),"",IF(K43=Constants!$B$5,TRUE(),IF(K43=Constants!$B$6,FALSE(),COUNTA(L43:P43)&gt;0)))</f>
        <v/>
      </c>
      <c r="AM43" s="134" t="str">
        <f aca="false">IF(ISBLANK($C43),"",IF(ISNUMBER(L43),IF(L43&gt;=0,L43,""),""))</f>
        <v/>
      </c>
      <c r="AN43" s="135" t="str">
        <f aca="false">IF(ISBLANK($C43),"",IF(ISNUMBER(M43),IF(M43&gt;=0,M43,""),""))</f>
        <v/>
      </c>
      <c r="AO43" s="135" t="str">
        <f aca="false">IF(ISBLANK($C43),"",IF(N43=Constants!$B$3,TRUE(),IF(N43=Constants!$B$4,FALSE(),TRUE())))</f>
        <v/>
      </c>
      <c r="AP43" s="133" t="str">
        <f aca="false">IF(ISBLANK($C43),"",IF(ISNUMBER(O43),IF(O43&gt;=0,O43,""),""))</f>
        <v/>
      </c>
      <c r="AQ43" s="133" t="str">
        <f aca="false">IF(ISBLANK($C43),"",IF(P43=Constants!$B$3,TRUE(),IF(P43=Constants!$B$4,FALSE(),FALSE())))</f>
        <v/>
      </c>
      <c r="AR43" s="133" t="str">
        <f aca="false">IF(ISBLANK($C43),"",IF(Q43=Constants!$B$3,TRUE(),IF(Q43=Constants!$B$4,FALSE(),TRUE())))</f>
        <v/>
      </c>
      <c r="AS43" s="133" t="str">
        <f aca="false">IF(ISBLANK($C43),"",IF(R43=Constants!$B$3,TRUE(),IF(R43=Constants!$B$4,FALSE(),TRUE())))</f>
        <v/>
      </c>
      <c r="AT43" s="133" t="str">
        <f aca="false">IF(ISBLANK($C43),"",IF(S43=Constants!$B$5,TRUE(),IF(S43=Constants!$B$6,FALSE(),COUNTA(T43:X43)&gt;0)))</f>
        <v/>
      </c>
      <c r="AU43" s="134" t="str">
        <f aca="false">IF(ISBLANK($C43),"",IF(ISNUMBER(T43),IF(T43&gt;=0,T43,""),""))</f>
        <v/>
      </c>
      <c r="AV43" s="135" t="str">
        <f aca="false">IF(ISBLANK($C43),"",IF(ISNUMBER(U43),IF(U43&gt;=0,U43,""),""))</f>
        <v/>
      </c>
      <c r="AW43" s="135" t="str">
        <f aca="false">IF(ISBLANK($C43),"",IF(V43=Constants!$B$3,TRUE(),IF(V43=Constants!$B$4,FALSE(),TRUE())))</f>
        <v/>
      </c>
      <c r="AX43" s="133" t="str">
        <f aca="false">IF(ISBLANK($C43),"",IF(ISNUMBER(W43),IF(W43&gt;=0,W43,""),""))</f>
        <v/>
      </c>
      <c r="AY43" s="133" t="str">
        <f aca="false">IF(ISBLANK($C43),"",IF(X43=Constants!$B$3,TRUE(),IF(X43=Constants!$B$4,FALSE(),FALSE())))</f>
        <v/>
      </c>
      <c r="AZ43" s="133" t="str">
        <f aca="false">IF(ISBLANK($C43),"",MIN(Constants!$B$31,MAX(0,IF(ISNUMBER(Y43),Y43*60,0)+IF(ISNUMBER(Z43),Z43,0))))</f>
        <v/>
      </c>
      <c r="BA43" s="133" t="str">
        <f aca="false">IF(ISBLANK($C43),"",IF(AA43=Constants!$B$3,TRUE(),IF(AA43=Constants!$B$4,FALSE(),FALSE())))</f>
        <v/>
      </c>
      <c r="BB43" s="132" t="str">
        <f aca="false">IF(ISBLANK($C43),"",AND($AL43,OR($AM43="",$AN43="",AND($AO43,$AP43=""))))</f>
        <v/>
      </c>
      <c r="BC43" s="135" t="str">
        <f aca="false">IF($BR43&lt;&gt;Constants!$B$8,"",IF($AL43,Constants!$B$21*$AN43+Constants!$B$22*IF($AO43,$AP43,Constants!$B$23),Constants!$B$24))</f>
        <v/>
      </c>
      <c r="BD43" s="136" t="str">
        <f aca="false">IF($BR43&lt;&gt;Constants!$B$8,"",Constants!$B$25*ABS($AD$9-IF($AL43,$AM43,0)))</f>
        <v/>
      </c>
      <c r="BE43" s="136" t="str">
        <f aca="false">IF($BR43&lt;&gt;Constants!$B$8,"",IF(AND($AL43,$AQ43,$AO43),Constants!$B$27,0))</f>
        <v/>
      </c>
      <c r="BF43" s="136" t="str">
        <f aca="false">IF($BR43&lt;&gt;Constants!$B$8,"",IF($AL43,($AI43-Constants!$B$29)*Constants!$B$28,0))</f>
        <v/>
      </c>
      <c r="BG43" s="136" t="str">
        <f aca="false">IF($BR43&lt;&gt;Constants!$B$8,"",IF($AK43,0,Constants!$B$15)+IF($AJ43,0,Constants!$B$16)+IF($AH43,0,Constants!$B$17))</f>
        <v/>
      </c>
      <c r="BH43" s="137" t="str">
        <f aca="false">IF($BR43&lt;&gt;Constants!$B$8,"",Constants!$B$20+SUM($BC43:$BG43))</f>
        <v/>
      </c>
      <c r="BI43" s="133" t="str">
        <f aca="false">IF($BR43&lt;&gt;Constants!$B$8,"",IF(OR($BP43&lt;$BH43,AND($BP43=$BH43,OR($BK43&lt;$BC43,AND($BK43=$BC43,OR($BL43&lt;$BD43,AND($BL43=$BD43,$AT43,$AL43,$AV43&lt;$AN43)))))),"-&gt;","&lt;-"))</f>
        <v/>
      </c>
      <c r="BJ43" s="132" t="str">
        <f aca="false">IF(ISBLANK($C43),"",AND($AT43,OR($AU43="",$AV43="",AND($AW43,$AX43=""))))</f>
        <v/>
      </c>
      <c r="BK43" s="135" t="str">
        <f aca="false">IF($BR43&lt;&gt;Constants!$B$8,"",IF($AT43,Constants!$B$21*$AV43+Constants!$B$22*IF($AW43,$AX43,Constants!$B$23),Constants!$B$24))</f>
        <v/>
      </c>
      <c r="BL43" s="136" t="str">
        <f aca="false">IF($BR43&lt;&gt;Constants!$B$8,"",Constants!$B$25*ABS($AD$9-IF($AT43,$AU43,0)))</f>
        <v/>
      </c>
      <c r="BM43" s="136" t="str">
        <f aca="false">IF($BR43&lt;&gt;Constants!$B$8,"",IF(AND($AT43,$AY43,$AW43),Constants!$B$27,0))</f>
        <v/>
      </c>
      <c r="BN43" s="136" t="str">
        <f aca="false">IF($BR43&lt;&gt;Constants!$B$8,"",IF($AT43,($AI43-Constants!$B$29)*Constants!$B$28,0))</f>
        <v/>
      </c>
      <c r="BO43" s="136" t="str">
        <f aca="false">IF($BR43&lt;&gt;Constants!$B$8,"",IF($AS43,0,Constants!$B$15)+IF($AR43,0,Constants!$B$16)+IF($AH43,0,Constants!$B$17))</f>
        <v/>
      </c>
      <c r="BP43" s="137" t="str">
        <f aca="false">IF($BR43&lt;&gt;Constants!$B$8,"",Constants!$B$20+SUM($BK43:$BO43))</f>
        <v/>
      </c>
      <c r="BQ43" s="133" t="str">
        <f aca="false">IF(ISBLANK($C43),"",IF(ISBLANK($D$7),$BQ$5,IF(NOT(ISNUMBER($D$7)),$BQ$6,"")))</f>
        <v/>
      </c>
      <c r="BR43" s="133" t="str">
        <f aca="false">IF(ISBLANK($C43),"",IF($BA43,Constants!$B$11,IF(COUNTA($E43:$AA43)=0,Constants!$B$10,IF(NOT($AG43),Constants!$B$9,IF(OR($BQ43&lt;&gt;"",$BB43,$BJ43),Constants!$B$12,Constants!$B$8)))))</f>
        <v/>
      </c>
      <c r="BS43" s="133" t="str">
        <f aca="false">IF(ISBLANK($C43),"",IF($BR43&lt;&gt;Constants!$B$8,$BR43,Constants!$B$13))</f>
        <v/>
      </c>
      <c r="BT43" s="136" t="str">
        <f aca="false">IF($BR43&lt;&gt;Constants!$B$8,"",IF($BI43="-&gt;",$BP43,$BH43))</f>
        <v/>
      </c>
      <c r="BU43" s="136" t="str">
        <f aca="false">IF($BR43&lt;&gt;Constants!$B$8,"",IF($AF43,0,Constants!$B$18))</f>
        <v/>
      </c>
      <c r="BV43" s="136" t="str">
        <f aca="false">IF($BR43&lt;&gt;Constants!$B$8,"",((Constants!$B$31-$AZ43)-Constants!$B$31)/Constants!$B$32)</f>
        <v/>
      </c>
      <c r="BW43" s="136" t="str">
        <f aca="false">IF(ISBLANK($C43),"",IF($BR43&lt;&gt;Constants!$B$8,$BR43,SUM($BT43:$BV43)))</f>
        <v/>
      </c>
      <c r="BX43" s="133" t="str">
        <f aca="false">IF(ISBLANK($C43),"",IF($BR43&lt;&gt;Constants!$B$8,$BR43,RANK($BW43,$BW$9:$BW$508,1)))</f>
        <v/>
      </c>
      <c r="BY43" s="136" t="str">
        <f aca="false">IF($BR43&lt;&gt;Constants!$B$8,"",IF($BI43="-&gt;",$BK43,$BC43))</f>
        <v/>
      </c>
      <c r="BZ43" s="133" t="str">
        <f aca="false">IF(ISBLANK($C43),"",IF($BR43&lt;&gt;Constants!$B$8,$BR43,IF(ISNUMBER($BY43),RANK($BY43,$BY$9:$BY$508,1),COUNT($BY$9:$BY$508)+1)))</f>
        <v/>
      </c>
      <c r="CA43" s="136" t="str">
        <f aca="false">IF($BR43&lt;&gt;Constants!$B$8,"",IF($BI43="-&gt;",$BL43,$BD43))</f>
        <v/>
      </c>
      <c r="CB43" s="133" t="str">
        <f aca="false">IF(ISBLANK($C43),"",IF($BR43&lt;&gt;Constants!$B$8,$BR43,IF(ISNUMBER($CA43),RANK($CA43,$CA$9:$CA$508,1),COUNT($CA$9:$CA$508)+1)))</f>
        <v/>
      </c>
      <c r="CC43" s="136" t="str">
        <f aca="false">IF($BR43&lt;&gt;Constants!$B$8,"",IF($BI43="-&gt;",IF($AT43,$AV43,""),IF($AL43,$AN43,"")))</f>
        <v/>
      </c>
      <c r="CD43" s="133" t="str">
        <f aca="false">IF(ISBLANK($C43),"",IF($BR43&lt;&gt;Constants!$B$8,$BR43,IF(ISNUMBER($CC43),RANK($CC43,$CC$9:$CC$508,1),COUNT($CC$9:$CC$508)+1)))</f>
        <v/>
      </c>
      <c r="CE43" s="136" t="str">
        <f aca="false">IF($BR43&lt;&gt;Constants!$B$8,"",IF(AND(NOT($AL43),NOT($AT43),$AJ43,$AK43,$AR43,$AS43),"",$AI43))</f>
        <v/>
      </c>
      <c r="CF43" s="133" t="str">
        <f aca="false">IF(ISBLANK($C43),"",IF($BR43&lt;&gt;Constants!$B$8,$BR43,IF(ISNUMBER($CE43),RANK($CE43,$CE$9:$CE$508,1),COUNT($CE$9:$CE$508)+1)))</f>
        <v/>
      </c>
      <c r="CG43" s="133" t="str">
        <f aca="false">IF(ISBLANK($C43),"",IF($BR43&lt;&gt;Constants!$B$8,$BR43,COUNTIFS($BX$9:$BX$508,"&lt;"&amp;$BX43)+COUNTIFS($BX$9:$BX$508,$BX43,$BZ$9:$BZ$508,"&lt;"&amp;$BZ43)+COUNTIFS($BX$9:$BX$508,$BX43,$BZ$9:$BZ$508,$BZ43,$CB$9:$CB$508,"&lt;"&amp;$CB43)+COUNTIFS($BX$9:$BX$508,$BX43,$BZ$9:$BZ$508,$BZ43,$CB$9:$CB$508,$CB43,$CD$9:$CD$508,"&lt;"&amp;$CD43)+COUNTIFS($BX$9:$BX$508,$BX43,$BZ$9:$BZ$508,$BZ43,$CB$9:$CB$508,$CB43,$CD$9:$CD$508,$CD43,$CF$9:$CF$508,"&lt;"&amp;$CF43)+1))</f>
        <v/>
      </c>
      <c r="CH43" s="133" t="str">
        <f aca="false">IF(ISBLANK($C43),"",IF($BR43&lt;&gt;Constants!$B$8,$BR43,$BX43-$CG43))</f>
        <v/>
      </c>
      <c r="CI43" s="138"/>
      <c r="CJ43" s="139"/>
      <c r="CK43" s="140" t="str">
        <f aca="false">IF(ISBLANK($C43),"",IF($BR43=Constants!$B$12,$BQ43,""))</f>
        <v/>
      </c>
      <c r="CL43" s="139" t="str">
        <f aca="false">IF(ISBLANK($C43),"",IF($BR43&lt;&gt;Constants!$B$8,"",IF($BI43="-&gt;",2,1)))</f>
        <v/>
      </c>
      <c r="CM43" s="141" t="str">
        <f aca="false">IF(ISBLANK($C43),"",IF($BR43&lt;&gt;Constants!$B$8,"",IF($BI43="-&gt;",$BK43,$BC43)))</f>
        <v/>
      </c>
      <c r="CN43" s="141" t="str">
        <f aca="false">IF(ISBLANK($C43),"",IF($BR43&lt;&gt;Constants!$B$8,"",IF($BI43="-&gt;",$BL43,$BD43)))</f>
        <v/>
      </c>
      <c r="CO43" s="141" t="str">
        <f aca="false">IF(ISBLANK($C43),"",IF($BR43&lt;&gt;Constants!$B$8,"",IF($BI43="-&gt;",$BM43+$BN43,$BE43+$BF43)+$BV43))</f>
        <v/>
      </c>
      <c r="CP43" s="141" t="str">
        <f aca="false">IF(ISBLANK($C43),"",IF($BR43&lt;&gt;Constants!$B$8,"",IF($BI43="-&gt;",$BO43,$BG43)+$BU43))</f>
        <v/>
      </c>
      <c r="CQ43" s="142" t="str">
        <f aca="false">IF(ISBLANK($C43),"",IF($BR43&lt;&gt;Constants!$B$8,$BR43,$BW43))</f>
        <v/>
      </c>
      <c r="CR43" s="143" t="str">
        <f aca="false">IF(ISBLANK($C43),"",$BS43)</f>
        <v/>
      </c>
      <c r="CS43" s="144" t="str">
        <f aca="false">IF(ISBLANK($C43),"",$CH43)</f>
        <v/>
      </c>
      <c r="CT43" s="144" t="str">
        <f aca="false">IF(ISBLANK($C43),"",$CG43)</f>
        <v/>
      </c>
      <c r="CU43" s="145" t="str">
        <f aca="false">IF(ISBLANK($C43),"",IFERROR(_xlfn.SWITCH($CT43,Constants!$B$11,COUNTA($C$9:$C$508)+2,Constants!$B$10,COUNTA($C$9:$C$508)+1,Constants!$B$9,COUNTA($C$9:$C$508)),$CT43))</f>
        <v/>
      </c>
      <c r="CV43" s="9"/>
      <c r="CW43" s="146" t="n">
        <f aca="false">IF(OR(ISNUMBER($CT43),$CT43=Constants!$B$11,$CT43=Constants!$B$9,$CT43=Constants!$B$10),1,0)</f>
        <v>0</v>
      </c>
      <c r="CX43" s="146" t="n">
        <v>35</v>
      </c>
      <c r="CY43" s="146" t="str">
        <f aca="false">IF(ISBLANK($C43),"",IF(ISNUMBER($CU43),$CU43+ROW($B43)/1000,""))</f>
        <v/>
      </c>
      <c r="CZ43" s="146" t="str">
        <f aca="false">IF(ISNUMBER($CY43),RANK($CY43,$CY$9:$CY$508,1),"")</f>
        <v/>
      </c>
      <c r="DA43" s="146" t="str">
        <f aca="false">IF(ISBLANK($C43),"",$B43)</f>
        <v/>
      </c>
      <c r="DB43" s="146" t="str">
        <f aca="false">IF(ISBLANK($C43),"",$C43)</f>
        <v/>
      </c>
      <c r="DC43" s="146" t="str">
        <f aca="false">IF(ISBLANK($C43),"",$D43)</f>
        <v/>
      </c>
      <c r="DD43" s="147" t="str">
        <f aca="false">$CR43</f>
        <v/>
      </c>
      <c r="DE43" s="148" t="str">
        <f aca="false">$CQ43</f>
        <v/>
      </c>
      <c r="DF43" s="146" t="str">
        <f aca="false">IF(ISBLANK($C43),"",$CT43)</f>
        <v/>
      </c>
      <c r="DG43" s="149" t="str">
        <f aca="false">IF($CX43&gt;$CW$8,"",VLOOKUP($CX43,$CZ$9:$DF$508,7,FALSE()))</f>
        <v/>
      </c>
      <c r="DH43" s="150" t="str">
        <f aca="false">IF($CX43&gt;$CW$8,"",VLOOKUP($CX43,$CZ$9:$DF$508,2,FALSE()))</f>
        <v/>
      </c>
      <c r="DI43" s="150" t="str">
        <f aca="false">IF($CX43&gt;$CW$8,"",VLOOKUP($CX43,$CZ$9:$DF$508,3,FALSE()))</f>
        <v/>
      </c>
      <c r="DJ43" s="150" t="str">
        <f aca="false">IF($CX43&gt;$CW$8,"",VLOOKUP($CX43,$CZ$9:$DF$508,4,FALSE()))</f>
        <v/>
      </c>
      <c r="DK43" s="150" t="str">
        <f aca="false">IF($CX43&gt;$CW$8,"",VLOOKUP($CX43,$CZ$9:$DF$508,5,FALSE()))</f>
        <v/>
      </c>
      <c r="DL43" s="151" t="str">
        <f aca="false">IF($CX43&gt;$CW$8,"",VLOOKUP($CX43,$CZ$9:$DF$508,6,FALSE()))</f>
        <v/>
      </c>
      <c r="DM43" s="75"/>
    </row>
    <row r="44" customFormat="false" ht="15.75" hidden="false" customHeight="false" outlineLevel="0" collapsed="false">
      <c r="A44" s="9"/>
      <c r="B44" s="157"/>
      <c r="C44" s="158"/>
      <c r="D44" s="159"/>
      <c r="E44" s="177"/>
      <c r="F44" s="161"/>
      <c r="G44" s="162"/>
      <c r="H44" s="162"/>
      <c r="I44" s="178"/>
      <c r="J44" s="165"/>
      <c r="K44" s="126"/>
      <c r="L44" s="127"/>
      <c r="M44" s="128"/>
      <c r="N44" s="165"/>
      <c r="O44" s="165"/>
      <c r="P44" s="177"/>
      <c r="Q44" s="165"/>
      <c r="R44" s="165"/>
      <c r="S44" s="126"/>
      <c r="T44" s="128"/>
      <c r="U44" s="128"/>
      <c r="V44" s="165"/>
      <c r="W44" s="165"/>
      <c r="X44" s="177"/>
      <c r="Y44" s="165"/>
      <c r="Z44" s="166"/>
      <c r="AA44" s="165"/>
      <c r="AB44" s="132"/>
      <c r="AC44" s="133"/>
      <c r="AD44" s="133"/>
      <c r="AE44" s="133"/>
      <c r="AF44" s="133" t="str">
        <f aca="false">IF(ISBLANK($C44),"",IF(E44=Constants!$B$3,TRUE(),IF(E44=Constants!$B$4,FALSE(),TRUE())))</f>
        <v/>
      </c>
      <c r="AG44" s="133" t="str">
        <f aca="false">IF(ISBLANK($C44),"",IF(F44=Constants!$B$3,TRUE(),IF(F44=Constants!$B$4,FALSE(),TRUE())))</f>
        <v/>
      </c>
      <c r="AH44" s="133" t="str">
        <f aca="false">IF(ISBLANK($C44),"",IF(G44=Constants!$B$3,TRUE(),IF(G44=Constants!$B$4,FALSE(),TRUE())))</f>
        <v/>
      </c>
      <c r="AI44" s="133" t="str">
        <f aca="false">IF(ISBLANK($C44),"",IF(AND(ISNUMBER(H44),H44&gt;=0),H44,Constants!$B$29))</f>
        <v/>
      </c>
      <c r="AJ44" s="133" t="str">
        <f aca="false">IF(ISBLANK($C44),"",IF(I44=Constants!$B$3,TRUE(),IF(I44=Constants!$B$4,FALSE(),TRUE())))</f>
        <v/>
      </c>
      <c r="AK44" s="133" t="str">
        <f aca="false">IF(ISBLANK($C44),"",IF(J44=Constants!$B$3,TRUE(),IF(J44=Constants!$B$4,FALSE(),TRUE())))</f>
        <v/>
      </c>
      <c r="AL44" s="133" t="str">
        <f aca="false">IF(ISBLANK($C44),"",IF(K44=Constants!$B$5,TRUE(),IF(K44=Constants!$B$6,FALSE(),COUNTA(L44:P44)&gt;0)))</f>
        <v/>
      </c>
      <c r="AM44" s="134" t="str">
        <f aca="false">IF(ISBLANK($C44),"",IF(ISNUMBER(L44),IF(L44&gt;=0,L44,""),""))</f>
        <v/>
      </c>
      <c r="AN44" s="135" t="str">
        <f aca="false">IF(ISBLANK($C44),"",IF(ISNUMBER(M44),IF(M44&gt;=0,M44,""),""))</f>
        <v/>
      </c>
      <c r="AO44" s="135" t="str">
        <f aca="false">IF(ISBLANK($C44),"",IF(N44=Constants!$B$3,TRUE(),IF(N44=Constants!$B$4,FALSE(),TRUE())))</f>
        <v/>
      </c>
      <c r="AP44" s="133" t="str">
        <f aca="false">IF(ISBLANK($C44),"",IF(ISNUMBER(O44),IF(O44&gt;=0,O44,""),""))</f>
        <v/>
      </c>
      <c r="AQ44" s="133" t="str">
        <f aca="false">IF(ISBLANK($C44),"",IF(P44=Constants!$B$3,TRUE(),IF(P44=Constants!$B$4,FALSE(),FALSE())))</f>
        <v/>
      </c>
      <c r="AR44" s="133" t="str">
        <f aca="false">IF(ISBLANK($C44),"",IF(Q44=Constants!$B$3,TRUE(),IF(Q44=Constants!$B$4,FALSE(),TRUE())))</f>
        <v/>
      </c>
      <c r="AS44" s="133" t="str">
        <f aca="false">IF(ISBLANK($C44),"",IF(R44=Constants!$B$3,TRUE(),IF(R44=Constants!$B$4,FALSE(),TRUE())))</f>
        <v/>
      </c>
      <c r="AT44" s="133" t="str">
        <f aca="false">IF(ISBLANK($C44),"",IF(S44=Constants!$B$5,TRUE(),IF(S44=Constants!$B$6,FALSE(),COUNTA(T44:X44)&gt;0)))</f>
        <v/>
      </c>
      <c r="AU44" s="134" t="str">
        <f aca="false">IF(ISBLANK($C44),"",IF(ISNUMBER(T44),IF(T44&gt;=0,T44,""),""))</f>
        <v/>
      </c>
      <c r="AV44" s="135" t="str">
        <f aca="false">IF(ISBLANK($C44),"",IF(ISNUMBER(U44),IF(U44&gt;=0,U44,""),""))</f>
        <v/>
      </c>
      <c r="AW44" s="135" t="str">
        <f aca="false">IF(ISBLANK($C44),"",IF(V44=Constants!$B$3,TRUE(),IF(V44=Constants!$B$4,FALSE(),TRUE())))</f>
        <v/>
      </c>
      <c r="AX44" s="133" t="str">
        <f aca="false">IF(ISBLANK($C44),"",IF(ISNUMBER(W44),IF(W44&gt;=0,W44,""),""))</f>
        <v/>
      </c>
      <c r="AY44" s="133" t="str">
        <f aca="false">IF(ISBLANK($C44),"",IF(X44=Constants!$B$3,TRUE(),IF(X44=Constants!$B$4,FALSE(),FALSE())))</f>
        <v/>
      </c>
      <c r="AZ44" s="133" t="str">
        <f aca="false">IF(ISBLANK($C44),"",MIN(Constants!$B$31,MAX(0,IF(ISNUMBER(Y44),Y44*60,0)+IF(ISNUMBER(Z44),Z44,0))))</f>
        <v/>
      </c>
      <c r="BA44" s="133" t="str">
        <f aca="false">IF(ISBLANK($C44),"",IF(AA44=Constants!$B$3,TRUE(),IF(AA44=Constants!$B$4,FALSE(),FALSE())))</f>
        <v/>
      </c>
      <c r="BB44" s="132" t="str">
        <f aca="false">IF(ISBLANK($C44),"",AND($AL44,OR($AM44="",$AN44="",AND($AO44,$AP44=""))))</f>
        <v/>
      </c>
      <c r="BC44" s="135" t="str">
        <f aca="false">IF($BR44&lt;&gt;Constants!$B$8,"",IF($AL44,Constants!$B$21*$AN44+Constants!$B$22*IF($AO44,$AP44,Constants!$B$23),Constants!$B$24))</f>
        <v/>
      </c>
      <c r="BD44" s="136" t="str">
        <f aca="false">IF($BR44&lt;&gt;Constants!$B$8,"",Constants!$B$25*ABS($AD$9-IF($AL44,$AM44,0)))</f>
        <v/>
      </c>
      <c r="BE44" s="136" t="str">
        <f aca="false">IF($BR44&lt;&gt;Constants!$B$8,"",IF(AND($AL44,$AQ44,$AO44),Constants!$B$27,0))</f>
        <v/>
      </c>
      <c r="BF44" s="136" t="str">
        <f aca="false">IF($BR44&lt;&gt;Constants!$B$8,"",IF($AL44,($AI44-Constants!$B$29)*Constants!$B$28,0))</f>
        <v/>
      </c>
      <c r="BG44" s="136" t="str">
        <f aca="false">IF($BR44&lt;&gt;Constants!$B$8,"",IF($AK44,0,Constants!$B$15)+IF($AJ44,0,Constants!$B$16)+IF($AH44,0,Constants!$B$17))</f>
        <v/>
      </c>
      <c r="BH44" s="137" t="str">
        <f aca="false">IF($BR44&lt;&gt;Constants!$B$8,"",Constants!$B$20+SUM($BC44:$BG44))</f>
        <v/>
      </c>
      <c r="BI44" s="133" t="str">
        <f aca="false">IF($BR44&lt;&gt;Constants!$B$8,"",IF(OR($BP44&lt;$BH44,AND($BP44=$BH44,OR($BK44&lt;$BC44,AND($BK44=$BC44,OR($BL44&lt;$BD44,AND($BL44=$BD44,$AT44,$AL44,$AV44&lt;$AN44)))))),"-&gt;","&lt;-"))</f>
        <v/>
      </c>
      <c r="BJ44" s="132" t="str">
        <f aca="false">IF(ISBLANK($C44),"",AND($AT44,OR($AU44="",$AV44="",AND($AW44,$AX44=""))))</f>
        <v/>
      </c>
      <c r="BK44" s="135" t="str">
        <f aca="false">IF($BR44&lt;&gt;Constants!$B$8,"",IF($AT44,Constants!$B$21*$AV44+Constants!$B$22*IF($AW44,$AX44,Constants!$B$23),Constants!$B$24))</f>
        <v/>
      </c>
      <c r="BL44" s="136" t="str">
        <f aca="false">IF($BR44&lt;&gt;Constants!$B$8,"",Constants!$B$25*ABS($AD$9-IF($AT44,$AU44,0)))</f>
        <v/>
      </c>
      <c r="BM44" s="136" t="str">
        <f aca="false">IF($BR44&lt;&gt;Constants!$B$8,"",IF(AND($AT44,$AY44,$AW44),Constants!$B$27,0))</f>
        <v/>
      </c>
      <c r="BN44" s="136" t="str">
        <f aca="false">IF($BR44&lt;&gt;Constants!$B$8,"",IF($AT44,($AI44-Constants!$B$29)*Constants!$B$28,0))</f>
        <v/>
      </c>
      <c r="BO44" s="136" t="str">
        <f aca="false">IF($BR44&lt;&gt;Constants!$B$8,"",IF($AS44,0,Constants!$B$15)+IF($AR44,0,Constants!$B$16)+IF($AH44,0,Constants!$B$17))</f>
        <v/>
      </c>
      <c r="BP44" s="137" t="str">
        <f aca="false">IF($BR44&lt;&gt;Constants!$B$8,"",Constants!$B$20+SUM($BK44:$BO44))</f>
        <v/>
      </c>
      <c r="BQ44" s="133" t="str">
        <f aca="false">IF(ISBLANK($C44),"",IF(ISBLANK($D$7),$BQ$5,IF(NOT(ISNUMBER($D$7)),$BQ$6,"")))</f>
        <v/>
      </c>
      <c r="BR44" s="133" t="str">
        <f aca="false">IF(ISBLANK($C44),"",IF($BA44,Constants!$B$11,IF(COUNTA($E44:$AA44)=0,Constants!$B$10,IF(NOT($AG44),Constants!$B$9,IF(OR($BQ44&lt;&gt;"",$BB44,$BJ44),Constants!$B$12,Constants!$B$8)))))</f>
        <v/>
      </c>
      <c r="BS44" s="133" t="str">
        <f aca="false">IF(ISBLANK($C44),"",IF($BR44&lt;&gt;Constants!$B$8,$BR44,Constants!$B$13))</f>
        <v/>
      </c>
      <c r="BT44" s="136" t="str">
        <f aca="false">IF($BR44&lt;&gt;Constants!$B$8,"",IF($BI44="-&gt;",$BP44,$BH44))</f>
        <v/>
      </c>
      <c r="BU44" s="136" t="str">
        <f aca="false">IF($BR44&lt;&gt;Constants!$B$8,"",IF($AF44,0,Constants!$B$18))</f>
        <v/>
      </c>
      <c r="BV44" s="136" t="str">
        <f aca="false">IF($BR44&lt;&gt;Constants!$B$8,"",((Constants!$B$31-$AZ44)-Constants!$B$31)/Constants!$B$32)</f>
        <v/>
      </c>
      <c r="BW44" s="136" t="str">
        <f aca="false">IF(ISBLANK($C44),"",IF($BR44&lt;&gt;Constants!$B$8,$BR44,SUM($BT44:$BV44)))</f>
        <v/>
      </c>
      <c r="BX44" s="133" t="str">
        <f aca="false">IF(ISBLANK($C44),"",IF($BR44&lt;&gt;Constants!$B$8,$BR44,RANK($BW44,$BW$9:$BW$508,1)))</f>
        <v/>
      </c>
      <c r="BY44" s="136" t="str">
        <f aca="false">IF($BR44&lt;&gt;Constants!$B$8,"",IF($BI44="-&gt;",$BK44,$BC44))</f>
        <v/>
      </c>
      <c r="BZ44" s="133" t="str">
        <f aca="false">IF(ISBLANK($C44),"",IF($BR44&lt;&gt;Constants!$B$8,$BR44,IF(ISNUMBER($BY44),RANK($BY44,$BY$9:$BY$508,1),COUNT($BY$9:$BY$508)+1)))</f>
        <v/>
      </c>
      <c r="CA44" s="136" t="str">
        <f aca="false">IF($BR44&lt;&gt;Constants!$B$8,"",IF($BI44="-&gt;",$BL44,$BD44))</f>
        <v/>
      </c>
      <c r="CB44" s="133" t="str">
        <f aca="false">IF(ISBLANK($C44),"",IF($BR44&lt;&gt;Constants!$B$8,$BR44,IF(ISNUMBER($CA44),RANK($CA44,$CA$9:$CA$508,1),COUNT($CA$9:$CA$508)+1)))</f>
        <v/>
      </c>
      <c r="CC44" s="136" t="str">
        <f aca="false">IF($BR44&lt;&gt;Constants!$B$8,"",IF($BI44="-&gt;",IF($AT44,$AV44,""),IF($AL44,$AN44,"")))</f>
        <v/>
      </c>
      <c r="CD44" s="133" t="str">
        <f aca="false">IF(ISBLANK($C44),"",IF($BR44&lt;&gt;Constants!$B$8,$BR44,IF(ISNUMBER($CC44),RANK($CC44,$CC$9:$CC$508,1),COUNT($CC$9:$CC$508)+1)))</f>
        <v/>
      </c>
      <c r="CE44" s="136" t="str">
        <f aca="false">IF($BR44&lt;&gt;Constants!$B$8,"",IF(AND(NOT($AL44),NOT($AT44),$AJ44,$AK44,$AR44,$AS44),"",$AI44))</f>
        <v/>
      </c>
      <c r="CF44" s="133" t="str">
        <f aca="false">IF(ISBLANK($C44),"",IF($BR44&lt;&gt;Constants!$B$8,$BR44,IF(ISNUMBER($CE44),RANK($CE44,$CE$9:$CE$508,1),COUNT($CE$9:$CE$508)+1)))</f>
        <v/>
      </c>
      <c r="CG44" s="133" t="str">
        <f aca="false">IF(ISBLANK($C44),"",IF($BR44&lt;&gt;Constants!$B$8,$BR44,COUNTIFS($BX$9:$BX$508,"&lt;"&amp;$BX44)+COUNTIFS($BX$9:$BX$508,$BX44,$BZ$9:$BZ$508,"&lt;"&amp;$BZ44)+COUNTIFS($BX$9:$BX$508,$BX44,$BZ$9:$BZ$508,$BZ44,$CB$9:$CB$508,"&lt;"&amp;$CB44)+COUNTIFS($BX$9:$BX$508,$BX44,$BZ$9:$BZ$508,$BZ44,$CB$9:$CB$508,$CB44,$CD$9:$CD$508,"&lt;"&amp;$CD44)+COUNTIFS($BX$9:$BX$508,$BX44,$BZ$9:$BZ$508,$BZ44,$CB$9:$CB$508,$CB44,$CD$9:$CD$508,$CD44,$CF$9:$CF$508,"&lt;"&amp;$CF44)+1))</f>
        <v/>
      </c>
      <c r="CH44" s="133" t="str">
        <f aca="false">IF(ISBLANK($C44),"",IF($BR44&lt;&gt;Constants!$B$8,$BR44,$BX44-$CG44))</f>
        <v/>
      </c>
      <c r="CI44" s="138"/>
      <c r="CJ44" s="139"/>
      <c r="CK44" s="140" t="str">
        <f aca="false">IF(ISBLANK($C44),"",IF($BR44=Constants!$B$12,$BQ44,""))</f>
        <v/>
      </c>
      <c r="CL44" s="139" t="str">
        <f aca="false">IF(ISBLANK($C44),"",IF($BR44&lt;&gt;Constants!$B$8,"",IF($BI44="-&gt;",2,1)))</f>
        <v/>
      </c>
      <c r="CM44" s="141" t="str">
        <f aca="false">IF(ISBLANK($C44),"",IF($BR44&lt;&gt;Constants!$B$8,"",IF($BI44="-&gt;",$BK44,$BC44)))</f>
        <v/>
      </c>
      <c r="CN44" s="141" t="str">
        <f aca="false">IF(ISBLANK($C44),"",IF($BR44&lt;&gt;Constants!$B$8,"",IF($BI44="-&gt;",$BL44,$BD44)))</f>
        <v/>
      </c>
      <c r="CO44" s="141" t="str">
        <f aca="false">IF(ISBLANK($C44),"",IF($BR44&lt;&gt;Constants!$B$8,"",IF($BI44="-&gt;",$BM44+$BN44,$BE44+$BF44)+$BV44))</f>
        <v/>
      </c>
      <c r="CP44" s="141" t="str">
        <f aca="false">IF(ISBLANK($C44),"",IF($BR44&lt;&gt;Constants!$B$8,"",IF($BI44="-&gt;",$BO44,$BG44)+$BU44))</f>
        <v/>
      </c>
      <c r="CQ44" s="142" t="str">
        <f aca="false">IF(ISBLANK($C44),"",IF($BR44&lt;&gt;Constants!$B$8,$BR44,$BW44))</f>
        <v/>
      </c>
      <c r="CR44" s="143" t="str">
        <f aca="false">IF(ISBLANK($C44),"",$BS44)</f>
        <v/>
      </c>
      <c r="CS44" s="144" t="str">
        <f aca="false">IF(ISBLANK($C44),"",$CH44)</f>
        <v/>
      </c>
      <c r="CT44" s="144" t="str">
        <f aca="false">IF(ISBLANK($C44),"",$CG44)</f>
        <v/>
      </c>
      <c r="CU44" s="145" t="str">
        <f aca="false">IF(ISBLANK($C44),"",IFERROR(_xlfn.SWITCH($CT44,Constants!$B$11,COUNTA($C$9:$C$508)+2,Constants!$B$10,COUNTA($C$9:$C$508)+1,Constants!$B$9,COUNTA($C$9:$C$508)),$CT44))</f>
        <v/>
      </c>
      <c r="CV44" s="9"/>
      <c r="CW44" s="146" t="n">
        <f aca="false">IF(OR(ISNUMBER($CT44),$CT44=Constants!$B$11,$CT44=Constants!$B$9,$CT44=Constants!$B$10),1,0)</f>
        <v>0</v>
      </c>
      <c r="CX44" s="146" t="n">
        <v>36</v>
      </c>
      <c r="CY44" s="146" t="str">
        <f aca="false">IF(ISBLANK($C44),"",IF(ISNUMBER($CU44),$CU44+ROW($B44)/1000,""))</f>
        <v/>
      </c>
      <c r="CZ44" s="146" t="str">
        <f aca="false">IF(ISNUMBER($CY44),RANK($CY44,$CY$9:$CY$508,1),"")</f>
        <v/>
      </c>
      <c r="DA44" s="146" t="str">
        <f aca="false">IF(ISBLANK($C44),"",$B44)</f>
        <v/>
      </c>
      <c r="DB44" s="146" t="str">
        <f aca="false">IF(ISBLANK($C44),"",$C44)</f>
        <v/>
      </c>
      <c r="DC44" s="146" t="str">
        <f aca="false">IF(ISBLANK($C44),"",$D44)</f>
        <v/>
      </c>
      <c r="DD44" s="147" t="str">
        <f aca="false">$CR44</f>
        <v/>
      </c>
      <c r="DE44" s="148" t="str">
        <f aca="false">$CQ44</f>
        <v/>
      </c>
      <c r="DF44" s="146" t="str">
        <f aca="false">IF(ISBLANK($C44),"",$CT44)</f>
        <v/>
      </c>
      <c r="DG44" s="149" t="str">
        <f aca="false">IF($CX44&gt;$CW$8,"",VLOOKUP($CX44,$CZ$9:$DF$508,7,FALSE()))</f>
        <v/>
      </c>
      <c r="DH44" s="150" t="str">
        <f aca="false">IF($CX44&gt;$CW$8,"",VLOOKUP($CX44,$CZ$9:$DF$508,2,FALSE()))</f>
        <v/>
      </c>
      <c r="DI44" s="150" t="str">
        <f aca="false">IF($CX44&gt;$CW$8,"",VLOOKUP($CX44,$CZ$9:$DF$508,3,FALSE()))</f>
        <v/>
      </c>
      <c r="DJ44" s="150" t="str">
        <f aca="false">IF($CX44&gt;$CW$8,"",VLOOKUP($CX44,$CZ$9:$DF$508,4,FALSE()))</f>
        <v/>
      </c>
      <c r="DK44" s="150" t="str">
        <f aca="false">IF($CX44&gt;$CW$8,"",VLOOKUP($CX44,$CZ$9:$DF$508,5,FALSE()))</f>
        <v/>
      </c>
      <c r="DL44" s="151" t="str">
        <f aca="false">IF($CX44&gt;$CW$8,"",VLOOKUP($CX44,$CZ$9:$DF$508,6,FALSE()))</f>
        <v/>
      </c>
      <c r="DM44" s="75"/>
    </row>
    <row r="45" customFormat="false" ht="15.75" hidden="false" customHeight="false" outlineLevel="0" collapsed="false">
      <c r="A45" s="9"/>
      <c r="B45" s="77"/>
      <c r="C45" s="78"/>
      <c r="D45" s="167"/>
      <c r="E45" s="175"/>
      <c r="F45" s="169"/>
      <c r="G45" s="170"/>
      <c r="H45" s="170"/>
      <c r="I45" s="176"/>
      <c r="J45" s="173"/>
      <c r="K45" s="85"/>
      <c r="L45" s="86"/>
      <c r="M45" s="87"/>
      <c r="N45" s="173"/>
      <c r="O45" s="173"/>
      <c r="P45" s="175"/>
      <c r="Q45" s="173"/>
      <c r="R45" s="173"/>
      <c r="S45" s="85"/>
      <c r="T45" s="87"/>
      <c r="U45" s="87"/>
      <c r="V45" s="173"/>
      <c r="W45" s="173"/>
      <c r="X45" s="175"/>
      <c r="Y45" s="173"/>
      <c r="Z45" s="174"/>
      <c r="AA45" s="173"/>
      <c r="AB45" s="91"/>
      <c r="AC45" s="92"/>
      <c r="AD45" s="92"/>
      <c r="AE45" s="92"/>
      <c r="AF45" s="92" t="str">
        <f aca="false">IF(ISBLANK($C45),"",IF(E45=Constants!$B$3,TRUE(),IF(E45=Constants!$B$4,FALSE(),TRUE())))</f>
        <v/>
      </c>
      <c r="AG45" s="92" t="str">
        <f aca="false">IF(ISBLANK($C45),"",IF(F45=Constants!$B$3,TRUE(),IF(F45=Constants!$B$4,FALSE(),TRUE())))</f>
        <v/>
      </c>
      <c r="AH45" s="92" t="str">
        <f aca="false">IF(ISBLANK($C45),"",IF(G45=Constants!$B$3,TRUE(),IF(G45=Constants!$B$4,FALSE(),TRUE())))</f>
        <v/>
      </c>
      <c r="AI45" s="92" t="str">
        <f aca="false">IF(ISBLANK($C45),"",IF(AND(ISNUMBER(H45),H45&gt;=0),H45,Constants!$B$29))</f>
        <v/>
      </c>
      <c r="AJ45" s="92" t="str">
        <f aca="false">IF(ISBLANK($C45),"",IF(I45=Constants!$B$3,TRUE(),IF(I45=Constants!$B$4,FALSE(),TRUE())))</f>
        <v/>
      </c>
      <c r="AK45" s="92" t="str">
        <f aca="false">IF(ISBLANK($C45),"",IF(J45=Constants!$B$3,TRUE(),IF(J45=Constants!$B$4,FALSE(),TRUE())))</f>
        <v/>
      </c>
      <c r="AL45" s="92" t="str">
        <f aca="false">IF(ISBLANK($C45),"",IF(K45=Constants!$B$5,TRUE(),IF(K45=Constants!$B$6,FALSE(),COUNTA(L45:P45)&gt;0)))</f>
        <v/>
      </c>
      <c r="AM45" s="94" t="str">
        <f aca="false">IF(ISBLANK($C45),"",IF(ISNUMBER(L45),IF(L45&gt;=0,L45,""),""))</f>
        <v/>
      </c>
      <c r="AN45" s="93" t="str">
        <f aca="false">IF(ISBLANK($C45),"",IF(ISNUMBER(M45),IF(M45&gt;=0,M45,""),""))</f>
        <v/>
      </c>
      <c r="AO45" s="93" t="str">
        <f aca="false">IF(ISBLANK($C45),"",IF(N45=Constants!$B$3,TRUE(),IF(N45=Constants!$B$4,FALSE(),TRUE())))</f>
        <v/>
      </c>
      <c r="AP45" s="92" t="str">
        <f aca="false">IF(ISBLANK($C45),"",IF(ISNUMBER(O45),IF(O45&gt;=0,O45,""),""))</f>
        <v/>
      </c>
      <c r="AQ45" s="92" t="str">
        <f aca="false">IF(ISBLANK($C45),"",IF(P45=Constants!$B$3,TRUE(),IF(P45=Constants!$B$4,FALSE(),FALSE())))</f>
        <v/>
      </c>
      <c r="AR45" s="92" t="str">
        <f aca="false">IF(ISBLANK($C45),"",IF(Q45=Constants!$B$3,TRUE(),IF(Q45=Constants!$B$4,FALSE(),TRUE())))</f>
        <v/>
      </c>
      <c r="AS45" s="92" t="str">
        <f aca="false">IF(ISBLANK($C45),"",IF(R45=Constants!$B$3,TRUE(),IF(R45=Constants!$B$4,FALSE(),TRUE())))</f>
        <v/>
      </c>
      <c r="AT45" s="92" t="str">
        <f aca="false">IF(ISBLANK($C45),"",IF(S45=Constants!$B$5,TRUE(),IF(S45=Constants!$B$6,FALSE(),COUNTA(T45:X45)&gt;0)))</f>
        <v/>
      </c>
      <c r="AU45" s="94" t="str">
        <f aca="false">IF(ISBLANK($C45),"",IF(ISNUMBER(T45),IF(T45&gt;=0,T45,""),""))</f>
        <v/>
      </c>
      <c r="AV45" s="93" t="str">
        <f aca="false">IF(ISBLANK($C45),"",IF(ISNUMBER(U45),IF(U45&gt;=0,U45,""),""))</f>
        <v/>
      </c>
      <c r="AW45" s="93" t="str">
        <f aca="false">IF(ISBLANK($C45),"",IF(V45=Constants!$B$3,TRUE(),IF(V45=Constants!$B$4,FALSE(),TRUE())))</f>
        <v/>
      </c>
      <c r="AX45" s="92" t="str">
        <f aca="false">IF(ISBLANK($C45),"",IF(ISNUMBER(W45),IF(W45&gt;=0,W45,""),""))</f>
        <v/>
      </c>
      <c r="AY45" s="92" t="str">
        <f aca="false">IF(ISBLANK($C45),"",IF(X45=Constants!$B$3,TRUE(),IF(X45=Constants!$B$4,FALSE(),FALSE())))</f>
        <v/>
      </c>
      <c r="AZ45" s="92" t="str">
        <f aca="false">IF(ISBLANK($C45),"",MIN(Constants!$B$31,MAX(0,IF(ISNUMBER(Y45),Y45*60,0)+IF(ISNUMBER(Z45),Z45,0))))</f>
        <v/>
      </c>
      <c r="BA45" s="92" t="str">
        <f aca="false">IF(ISBLANK($C45),"",IF(AA45=Constants!$B$3,TRUE(),IF(AA45=Constants!$B$4,FALSE(),FALSE())))</f>
        <v/>
      </c>
      <c r="BB45" s="91" t="str">
        <f aca="false">IF(ISBLANK($C45),"",AND($AL45,OR($AM45="",$AN45="",AND($AO45,$AP45=""))))</f>
        <v/>
      </c>
      <c r="BC45" s="93" t="str">
        <f aca="false">IF($BR45&lt;&gt;Constants!$B$8,"",IF($AL45,Constants!$B$21*$AN45+Constants!$B$22*IF($AO45,$AP45,Constants!$B$23),Constants!$B$24))</f>
        <v/>
      </c>
      <c r="BD45" s="96" t="str">
        <f aca="false">IF($BR45&lt;&gt;Constants!$B$8,"",Constants!$B$25*ABS($AD$9-IF($AL45,$AM45,0)))</f>
        <v/>
      </c>
      <c r="BE45" s="96" t="str">
        <f aca="false">IF($BR45&lt;&gt;Constants!$B$8,"",IF(AND($AL45,$AQ45,$AO45),Constants!$B$27,0))</f>
        <v/>
      </c>
      <c r="BF45" s="96" t="str">
        <f aca="false">IF($BR45&lt;&gt;Constants!$B$8,"",IF($AL45,($AI45-Constants!$B$29)*Constants!$B$28,0))</f>
        <v/>
      </c>
      <c r="BG45" s="96" t="str">
        <f aca="false">IF($BR45&lt;&gt;Constants!$B$8,"",IF($AK45,0,Constants!$B$15)+IF($AJ45,0,Constants!$B$16)+IF($AH45,0,Constants!$B$17))</f>
        <v/>
      </c>
      <c r="BH45" s="97" t="str">
        <f aca="false">IF($BR45&lt;&gt;Constants!$B$8,"",Constants!$B$20+SUM($BC45:$BG45))</f>
        <v/>
      </c>
      <c r="BI45" s="92" t="str">
        <f aca="false">IF($BR45&lt;&gt;Constants!$B$8,"",IF(OR($BP45&lt;$BH45,AND($BP45=$BH45,OR($BK45&lt;$BC45,AND($BK45=$BC45,OR($BL45&lt;$BD45,AND($BL45=$BD45,$AT45,$AL45,$AV45&lt;$AN45)))))),"-&gt;","&lt;-"))</f>
        <v/>
      </c>
      <c r="BJ45" s="91" t="str">
        <f aca="false">IF(ISBLANK($C45),"",AND($AT45,OR($AU45="",$AV45="",AND($AW45,$AX45=""))))</f>
        <v/>
      </c>
      <c r="BK45" s="93" t="str">
        <f aca="false">IF($BR45&lt;&gt;Constants!$B$8,"",IF($AT45,Constants!$B$21*$AV45+Constants!$B$22*IF($AW45,$AX45,Constants!$B$23),Constants!$B$24))</f>
        <v/>
      </c>
      <c r="BL45" s="96" t="str">
        <f aca="false">IF($BR45&lt;&gt;Constants!$B$8,"",Constants!$B$25*ABS($AD$9-IF($AT45,$AU45,0)))</f>
        <v/>
      </c>
      <c r="BM45" s="96" t="str">
        <f aca="false">IF($BR45&lt;&gt;Constants!$B$8,"",IF(AND($AT45,$AY45,$AW45),Constants!$B$27,0))</f>
        <v/>
      </c>
      <c r="BN45" s="96" t="str">
        <f aca="false">IF($BR45&lt;&gt;Constants!$B$8,"",IF($AT45,($AI45-Constants!$B$29)*Constants!$B$28,0))</f>
        <v/>
      </c>
      <c r="BO45" s="96" t="str">
        <f aca="false">IF($BR45&lt;&gt;Constants!$B$8,"",IF($AS45,0,Constants!$B$15)+IF($AR45,0,Constants!$B$16)+IF($AH45,0,Constants!$B$17))</f>
        <v/>
      </c>
      <c r="BP45" s="97" t="str">
        <f aca="false">IF($BR45&lt;&gt;Constants!$B$8,"",Constants!$B$20+SUM($BK45:$BO45))</f>
        <v/>
      </c>
      <c r="BQ45" s="92" t="str">
        <f aca="false">IF(ISBLANK($C45),"",IF(ISBLANK($D$7),$BQ$5,IF(NOT(ISNUMBER($D$7)),$BQ$6,"")))</f>
        <v/>
      </c>
      <c r="BR45" s="92" t="str">
        <f aca="false">IF(ISBLANK($C45),"",IF($BA45,Constants!$B$11,IF(COUNTA($E45:$AA45)=0,Constants!$B$10,IF(NOT($AG45),Constants!$B$9,IF(OR($BQ45&lt;&gt;"",$BB45,$BJ45),Constants!$B$12,Constants!$B$8)))))</f>
        <v/>
      </c>
      <c r="BS45" s="92" t="str">
        <f aca="false">IF(ISBLANK($C45),"",IF($BR45&lt;&gt;Constants!$B$8,$BR45,Constants!$B$13))</f>
        <v/>
      </c>
      <c r="BT45" s="96" t="str">
        <f aca="false">IF($BR45&lt;&gt;Constants!$B$8,"",IF($BI45="-&gt;",$BP45,$BH45))</f>
        <v/>
      </c>
      <c r="BU45" s="96" t="str">
        <f aca="false">IF($BR45&lt;&gt;Constants!$B$8,"",IF($AF45,0,Constants!$B$18))</f>
        <v/>
      </c>
      <c r="BV45" s="96" t="str">
        <f aca="false">IF($BR45&lt;&gt;Constants!$B$8,"",((Constants!$B$31-$AZ45)-Constants!$B$31)/Constants!$B$32)</f>
        <v/>
      </c>
      <c r="BW45" s="96" t="str">
        <f aca="false">IF(ISBLANK($C45),"",IF($BR45&lt;&gt;Constants!$B$8,$BR45,SUM($BT45:$BV45)))</f>
        <v/>
      </c>
      <c r="BX45" s="92" t="str">
        <f aca="false">IF(ISBLANK($C45),"",IF($BR45&lt;&gt;Constants!$B$8,$BR45,RANK($BW45,$BW$9:$BW$508,1)))</f>
        <v/>
      </c>
      <c r="BY45" s="96" t="str">
        <f aca="false">IF($BR45&lt;&gt;Constants!$B$8,"",IF($BI45="-&gt;",$BK45,$BC45))</f>
        <v/>
      </c>
      <c r="BZ45" s="92" t="str">
        <f aca="false">IF(ISBLANK($C45),"",IF($BR45&lt;&gt;Constants!$B$8,$BR45,IF(ISNUMBER($BY45),RANK($BY45,$BY$9:$BY$508,1),COUNT($BY$9:$BY$508)+1)))</f>
        <v/>
      </c>
      <c r="CA45" s="96" t="str">
        <f aca="false">IF($BR45&lt;&gt;Constants!$B$8,"",IF($BI45="-&gt;",$BL45,$BD45))</f>
        <v/>
      </c>
      <c r="CB45" s="92" t="str">
        <f aca="false">IF(ISBLANK($C45),"",IF($BR45&lt;&gt;Constants!$B$8,$BR45,IF(ISNUMBER($CA45),RANK($CA45,$CA$9:$CA$508,1),COUNT($CA$9:$CA$508)+1)))</f>
        <v/>
      </c>
      <c r="CC45" s="96" t="str">
        <f aca="false">IF($BR45&lt;&gt;Constants!$B$8,"",IF($BI45="-&gt;",IF($AT45,$AV45,""),IF($AL45,$AN45,"")))</f>
        <v/>
      </c>
      <c r="CD45" s="92" t="str">
        <f aca="false">IF(ISBLANK($C45),"",IF($BR45&lt;&gt;Constants!$B$8,$BR45,IF(ISNUMBER($CC45),RANK($CC45,$CC$9:$CC$508,1),COUNT($CC$9:$CC$508)+1)))</f>
        <v/>
      </c>
      <c r="CE45" s="96" t="str">
        <f aca="false">IF($BR45&lt;&gt;Constants!$B$8,"",IF(AND(NOT($AL45),NOT($AT45),$AJ45,$AK45,$AR45,$AS45),"",$AI45))</f>
        <v/>
      </c>
      <c r="CF45" s="92" t="str">
        <f aca="false">IF(ISBLANK($C45),"",IF($BR45&lt;&gt;Constants!$B$8,$BR45,IF(ISNUMBER($CE45),RANK($CE45,$CE$9:$CE$508,1),COUNT($CE$9:$CE$508)+1)))</f>
        <v/>
      </c>
      <c r="CG45" s="92" t="str">
        <f aca="false">IF(ISBLANK($C45),"",IF($BR45&lt;&gt;Constants!$B$8,$BR45,COUNTIFS($BX$9:$BX$508,"&lt;"&amp;$BX45)+COUNTIFS($BX$9:$BX$508,$BX45,$BZ$9:$BZ$508,"&lt;"&amp;$BZ45)+COUNTIFS($BX$9:$BX$508,$BX45,$BZ$9:$BZ$508,$BZ45,$CB$9:$CB$508,"&lt;"&amp;$CB45)+COUNTIFS($BX$9:$BX$508,$BX45,$BZ$9:$BZ$508,$BZ45,$CB$9:$CB$508,$CB45,$CD$9:$CD$508,"&lt;"&amp;$CD45)+COUNTIFS($BX$9:$BX$508,$BX45,$BZ$9:$BZ$508,$BZ45,$CB$9:$CB$508,$CB45,$CD$9:$CD$508,$CD45,$CF$9:$CF$508,"&lt;"&amp;$CF45)+1))</f>
        <v/>
      </c>
      <c r="CH45" s="92" t="str">
        <f aca="false">IF(ISBLANK($C45),"",IF($BR45&lt;&gt;Constants!$B$8,$BR45,$BX45-$CG45))</f>
        <v/>
      </c>
      <c r="CI45" s="98"/>
      <c r="CJ45" s="99"/>
      <c r="CK45" s="100" t="str">
        <f aca="false">IF(ISBLANK($C45),"",IF($BR45=Constants!$B$12,$BQ45,""))</f>
        <v/>
      </c>
      <c r="CL45" s="99" t="str">
        <f aca="false">IF(ISBLANK($C45),"",IF($BR45&lt;&gt;Constants!$B$8,"",IF($BI45="-&gt;",2,1)))</f>
        <v/>
      </c>
      <c r="CM45" s="101" t="str">
        <f aca="false">IF(ISBLANK($C45),"",IF($BR45&lt;&gt;Constants!$B$8,"",IF($BI45="-&gt;",$BK45,$BC45)))</f>
        <v/>
      </c>
      <c r="CN45" s="101" t="str">
        <f aca="false">IF(ISBLANK($C45),"",IF($BR45&lt;&gt;Constants!$B$8,"",IF($BI45="-&gt;",$BL45,$BD45)))</f>
        <v/>
      </c>
      <c r="CO45" s="101" t="str">
        <f aca="false">IF(ISBLANK($C45),"",IF($BR45&lt;&gt;Constants!$B$8,"",IF($BI45="-&gt;",$BM45+$BN45,$BE45+$BF45)+$BV45))</f>
        <v/>
      </c>
      <c r="CP45" s="101" t="str">
        <f aca="false">IF(ISBLANK($C45),"",IF($BR45&lt;&gt;Constants!$B$8,"",IF($BI45="-&gt;",$BO45,$BG45)+$BU45))</f>
        <v/>
      </c>
      <c r="CQ45" s="102" t="str">
        <f aca="false">IF(ISBLANK($C45),"",IF($BR45&lt;&gt;Constants!$B$8,$BR45,$BW45))</f>
        <v/>
      </c>
      <c r="CR45" s="103" t="str">
        <f aca="false">IF(ISBLANK($C45),"",$BS45)</f>
        <v/>
      </c>
      <c r="CS45" s="104" t="str">
        <f aca="false">IF(ISBLANK($C45),"",$CH45)</f>
        <v/>
      </c>
      <c r="CT45" s="104" t="str">
        <f aca="false">IF(ISBLANK($C45),"",$CG45)</f>
        <v/>
      </c>
      <c r="CU45" s="105" t="str">
        <f aca="false">IF(ISBLANK($C45),"",IFERROR(_xlfn.SWITCH($CT45,Constants!$B$11,COUNTA($C$9:$C$508)+2,Constants!$B$10,COUNTA($C$9:$C$508)+1,Constants!$B$9,COUNTA($C$9:$C$508)),$CT45))</f>
        <v/>
      </c>
      <c r="CV45" s="9"/>
      <c r="CW45" s="106" t="n">
        <f aca="false">IF(OR(ISNUMBER($CT45),$CT45=Constants!$B$11,$CT45=Constants!$B$9,$CT45=Constants!$B$10),1,0)</f>
        <v>0</v>
      </c>
      <c r="CX45" s="106" t="n">
        <v>37</v>
      </c>
      <c r="CY45" s="106" t="str">
        <f aca="false">IF(ISBLANK($C45),"",IF(ISNUMBER($CU45),$CU45+ROW($B45)/1000,""))</f>
        <v/>
      </c>
      <c r="CZ45" s="106" t="str">
        <f aca="false">IF(ISNUMBER($CY45),RANK($CY45,$CY$9:$CY$508,1),"")</f>
        <v/>
      </c>
      <c r="DA45" s="106" t="str">
        <f aca="false">IF(ISBLANK($C45),"",$B45)</f>
        <v/>
      </c>
      <c r="DB45" s="106" t="str">
        <f aca="false">IF(ISBLANK($C45),"",$C45)</f>
        <v/>
      </c>
      <c r="DC45" s="106" t="str">
        <f aca="false">IF(ISBLANK($C45),"",$D45)</f>
        <v/>
      </c>
      <c r="DD45" s="107" t="str">
        <f aca="false">$CR45</f>
        <v/>
      </c>
      <c r="DE45" s="108" t="str">
        <f aca="false">$CQ45</f>
        <v/>
      </c>
      <c r="DF45" s="106" t="str">
        <f aca="false">IF(ISBLANK($C45),"",$CT45)</f>
        <v/>
      </c>
      <c r="DG45" s="109" t="str">
        <f aca="false">IF($CX45&gt;$CW$8,"",VLOOKUP($CX45,$CZ$9:$DF$508,7,FALSE()))</f>
        <v/>
      </c>
      <c r="DH45" s="110" t="str">
        <f aca="false">IF($CX45&gt;$CW$8,"",VLOOKUP($CX45,$CZ$9:$DF$508,2,FALSE()))</f>
        <v/>
      </c>
      <c r="DI45" s="110" t="str">
        <f aca="false">IF($CX45&gt;$CW$8,"",VLOOKUP($CX45,$CZ$9:$DF$508,3,FALSE()))</f>
        <v/>
      </c>
      <c r="DJ45" s="110" t="str">
        <f aca="false">IF($CX45&gt;$CW$8,"",VLOOKUP($CX45,$CZ$9:$DF$508,4,FALSE()))</f>
        <v/>
      </c>
      <c r="DK45" s="110" t="str">
        <f aca="false">IF($CX45&gt;$CW$8,"",VLOOKUP($CX45,$CZ$9:$DF$508,5,FALSE()))</f>
        <v/>
      </c>
      <c r="DL45" s="111" t="str">
        <f aca="false">IF($CX45&gt;$CW$8,"",VLOOKUP($CX45,$CZ$9:$DF$508,6,FALSE()))</f>
        <v/>
      </c>
      <c r="DM45" s="75"/>
    </row>
    <row r="46" customFormat="false" ht="15.75" hidden="false" customHeight="false" outlineLevel="0" collapsed="false">
      <c r="A46" s="9"/>
      <c r="B46" s="77"/>
      <c r="C46" s="78"/>
      <c r="D46" s="167"/>
      <c r="E46" s="175"/>
      <c r="F46" s="169"/>
      <c r="G46" s="170"/>
      <c r="H46" s="170"/>
      <c r="I46" s="176"/>
      <c r="J46" s="173"/>
      <c r="K46" s="85"/>
      <c r="L46" s="86"/>
      <c r="M46" s="87"/>
      <c r="N46" s="173"/>
      <c r="O46" s="173"/>
      <c r="P46" s="175"/>
      <c r="Q46" s="173"/>
      <c r="R46" s="173"/>
      <c r="S46" s="85"/>
      <c r="T46" s="87"/>
      <c r="U46" s="87"/>
      <c r="V46" s="173"/>
      <c r="W46" s="173"/>
      <c r="X46" s="175"/>
      <c r="Y46" s="173"/>
      <c r="Z46" s="174"/>
      <c r="AA46" s="173"/>
      <c r="AB46" s="91"/>
      <c r="AC46" s="92"/>
      <c r="AD46" s="92"/>
      <c r="AE46" s="92"/>
      <c r="AF46" s="92" t="str">
        <f aca="false">IF(ISBLANK($C46),"",IF(E46=Constants!$B$3,TRUE(),IF(E46=Constants!$B$4,FALSE(),TRUE())))</f>
        <v/>
      </c>
      <c r="AG46" s="92" t="str">
        <f aca="false">IF(ISBLANK($C46),"",IF(F46=Constants!$B$3,TRUE(),IF(F46=Constants!$B$4,FALSE(),TRUE())))</f>
        <v/>
      </c>
      <c r="AH46" s="92" t="str">
        <f aca="false">IF(ISBLANK($C46),"",IF(G46=Constants!$B$3,TRUE(),IF(G46=Constants!$B$4,FALSE(),TRUE())))</f>
        <v/>
      </c>
      <c r="AI46" s="92" t="str">
        <f aca="false">IF(ISBLANK($C46),"",IF(AND(ISNUMBER(H46),H46&gt;=0),H46,Constants!$B$29))</f>
        <v/>
      </c>
      <c r="AJ46" s="92" t="str">
        <f aca="false">IF(ISBLANK($C46),"",IF(I46=Constants!$B$3,TRUE(),IF(I46=Constants!$B$4,FALSE(),TRUE())))</f>
        <v/>
      </c>
      <c r="AK46" s="92" t="str">
        <f aca="false">IF(ISBLANK($C46),"",IF(J46=Constants!$B$3,TRUE(),IF(J46=Constants!$B$4,FALSE(),TRUE())))</f>
        <v/>
      </c>
      <c r="AL46" s="92" t="str">
        <f aca="false">IF(ISBLANK($C46),"",IF(K46=Constants!$B$5,TRUE(),IF(K46=Constants!$B$6,FALSE(),COUNTA(L46:P46)&gt;0)))</f>
        <v/>
      </c>
      <c r="AM46" s="94" t="str">
        <f aca="false">IF(ISBLANK($C46),"",IF(ISNUMBER(L46),IF(L46&gt;=0,L46,""),""))</f>
        <v/>
      </c>
      <c r="AN46" s="93" t="str">
        <f aca="false">IF(ISBLANK($C46),"",IF(ISNUMBER(M46),IF(M46&gt;=0,M46,""),""))</f>
        <v/>
      </c>
      <c r="AO46" s="93" t="str">
        <f aca="false">IF(ISBLANK($C46),"",IF(N46=Constants!$B$3,TRUE(),IF(N46=Constants!$B$4,FALSE(),TRUE())))</f>
        <v/>
      </c>
      <c r="AP46" s="92" t="str">
        <f aca="false">IF(ISBLANK($C46),"",IF(ISNUMBER(O46),IF(O46&gt;=0,O46,""),""))</f>
        <v/>
      </c>
      <c r="AQ46" s="92" t="str">
        <f aca="false">IF(ISBLANK($C46),"",IF(P46=Constants!$B$3,TRUE(),IF(P46=Constants!$B$4,FALSE(),FALSE())))</f>
        <v/>
      </c>
      <c r="AR46" s="92" t="str">
        <f aca="false">IF(ISBLANK($C46),"",IF(Q46=Constants!$B$3,TRUE(),IF(Q46=Constants!$B$4,FALSE(),TRUE())))</f>
        <v/>
      </c>
      <c r="AS46" s="92" t="str">
        <f aca="false">IF(ISBLANK($C46),"",IF(R46=Constants!$B$3,TRUE(),IF(R46=Constants!$B$4,FALSE(),TRUE())))</f>
        <v/>
      </c>
      <c r="AT46" s="92" t="str">
        <f aca="false">IF(ISBLANK($C46),"",IF(S46=Constants!$B$5,TRUE(),IF(S46=Constants!$B$6,FALSE(),COUNTA(T46:X46)&gt;0)))</f>
        <v/>
      </c>
      <c r="AU46" s="94" t="str">
        <f aca="false">IF(ISBLANK($C46),"",IF(ISNUMBER(T46),IF(T46&gt;=0,T46,""),""))</f>
        <v/>
      </c>
      <c r="AV46" s="93" t="str">
        <f aca="false">IF(ISBLANK($C46),"",IF(ISNUMBER(U46),IF(U46&gt;=0,U46,""),""))</f>
        <v/>
      </c>
      <c r="AW46" s="93" t="str">
        <f aca="false">IF(ISBLANK($C46),"",IF(V46=Constants!$B$3,TRUE(),IF(V46=Constants!$B$4,FALSE(),TRUE())))</f>
        <v/>
      </c>
      <c r="AX46" s="92" t="str">
        <f aca="false">IF(ISBLANK($C46),"",IF(ISNUMBER(W46),IF(W46&gt;=0,W46,""),""))</f>
        <v/>
      </c>
      <c r="AY46" s="92" t="str">
        <f aca="false">IF(ISBLANK($C46),"",IF(X46=Constants!$B$3,TRUE(),IF(X46=Constants!$B$4,FALSE(),FALSE())))</f>
        <v/>
      </c>
      <c r="AZ46" s="92" t="str">
        <f aca="false">IF(ISBLANK($C46),"",MIN(Constants!$B$31,MAX(0,IF(ISNUMBER(Y46),Y46*60,0)+IF(ISNUMBER(Z46),Z46,0))))</f>
        <v/>
      </c>
      <c r="BA46" s="92" t="str">
        <f aca="false">IF(ISBLANK($C46),"",IF(AA46=Constants!$B$3,TRUE(),IF(AA46=Constants!$B$4,FALSE(),FALSE())))</f>
        <v/>
      </c>
      <c r="BB46" s="91" t="str">
        <f aca="false">IF(ISBLANK($C46),"",AND($AL46,OR($AM46="",$AN46="",AND($AO46,$AP46=""))))</f>
        <v/>
      </c>
      <c r="BC46" s="93" t="str">
        <f aca="false">IF($BR46&lt;&gt;Constants!$B$8,"",IF($AL46,Constants!$B$21*$AN46+Constants!$B$22*IF($AO46,$AP46,Constants!$B$23),Constants!$B$24))</f>
        <v/>
      </c>
      <c r="BD46" s="96" t="str">
        <f aca="false">IF($BR46&lt;&gt;Constants!$B$8,"",Constants!$B$25*ABS($AD$9-IF($AL46,$AM46,0)))</f>
        <v/>
      </c>
      <c r="BE46" s="96" t="str">
        <f aca="false">IF($BR46&lt;&gt;Constants!$B$8,"",IF(AND($AL46,$AQ46,$AO46),Constants!$B$27,0))</f>
        <v/>
      </c>
      <c r="BF46" s="96" t="str">
        <f aca="false">IF($BR46&lt;&gt;Constants!$B$8,"",IF($AL46,($AI46-Constants!$B$29)*Constants!$B$28,0))</f>
        <v/>
      </c>
      <c r="BG46" s="96" t="str">
        <f aca="false">IF($BR46&lt;&gt;Constants!$B$8,"",IF($AK46,0,Constants!$B$15)+IF($AJ46,0,Constants!$B$16)+IF($AH46,0,Constants!$B$17))</f>
        <v/>
      </c>
      <c r="BH46" s="97" t="str">
        <f aca="false">IF($BR46&lt;&gt;Constants!$B$8,"",Constants!$B$20+SUM($BC46:$BG46))</f>
        <v/>
      </c>
      <c r="BI46" s="92" t="str">
        <f aca="false">IF($BR46&lt;&gt;Constants!$B$8,"",IF(OR($BP46&lt;$BH46,AND($BP46=$BH46,OR($BK46&lt;$BC46,AND($BK46=$BC46,OR($BL46&lt;$BD46,AND($BL46=$BD46,$AT46,$AL46,$AV46&lt;$AN46)))))),"-&gt;","&lt;-"))</f>
        <v/>
      </c>
      <c r="BJ46" s="91" t="str">
        <f aca="false">IF(ISBLANK($C46),"",AND($AT46,OR($AU46="",$AV46="",AND($AW46,$AX46=""))))</f>
        <v/>
      </c>
      <c r="BK46" s="93" t="str">
        <f aca="false">IF($BR46&lt;&gt;Constants!$B$8,"",IF($AT46,Constants!$B$21*$AV46+Constants!$B$22*IF($AW46,$AX46,Constants!$B$23),Constants!$B$24))</f>
        <v/>
      </c>
      <c r="BL46" s="96" t="str">
        <f aca="false">IF($BR46&lt;&gt;Constants!$B$8,"",Constants!$B$25*ABS($AD$9-IF($AT46,$AU46,0)))</f>
        <v/>
      </c>
      <c r="BM46" s="96" t="str">
        <f aca="false">IF($BR46&lt;&gt;Constants!$B$8,"",IF(AND($AT46,$AY46,$AW46),Constants!$B$27,0))</f>
        <v/>
      </c>
      <c r="BN46" s="96" t="str">
        <f aca="false">IF($BR46&lt;&gt;Constants!$B$8,"",IF($AT46,($AI46-Constants!$B$29)*Constants!$B$28,0))</f>
        <v/>
      </c>
      <c r="BO46" s="96" t="str">
        <f aca="false">IF($BR46&lt;&gt;Constants!$B$8,"",IF($AS46,0,Constants!$B$15)+IF($AR46,0,Constants!$B$16)+IF($AH46,0,Constants!$B$17))</f>
        <v/>
      </c>
      <c r="BP46" s="97" t="str">
        <f aca="false">IF($BR46&lt;&gt;Constants!$B$8,"",Constants!$B$20+SUM($BK46:$BO46))</f>
        <v/>
      </c>
      <c r="BQ46" s="92" t="str">
        <f aca="false">IF(ISBLANK($C46),"",IF(ISBLANK($D$7),$BQ$5,IF(NOT(ISNUMBER($D$7)),$BQ$6,"")))</f>
        <v/>
      </c>
      <c r="BR46" s="92" t="str">
        <f aca="false">IF(ISBLANK($C46),"",IF($BA46,Constants!$B$11,IF(COUNTA($E46:$AA46)=0,Constants!$B$10,IF(NOT($AG46),Constants!$B$9,IF(OR($BQ46&lt;&gt;"",$BB46,$BJ46),Constants!$B$12,Constants!$B$8)))))</f>
        <v/>
      </c>
      <c r="BS46" s="92" t="str">
        <f aca="false">IF(ISBLANK($C46),"",IF($BR46&lt;&gt;Constants!$B$8,$BR46,Constants!$B$13))</f>
        <v/>
      </c>
      <c r="BT46" s="96" t="str">
        <f aca="false">IF($BR46&lt;&gt;Constants!$B$8,"",IF($BI46="-&gt;",$BP46,$BH46))</f>
        <v/>
      </c>
      <c r="BU46" s="96" t="str">
        <f aca="false">IF($BR46&lt;&gt;Constants!$B$8,"",IF($AF46,0,Constants!$B$18))</f>
        <v/>
      </c>
      <c r="BV46" s="96" t="str">
        <f aca="false">IF($BR46&lt;&gt;Constants!$B$8,"",((Constants!$B$31-$AZ46)-Constants!$B$31)/Constants!$B$32)</f>
        <v/>
      </c>
      <c r="BW46" s="96" t="str">
        <f aca="false">IF(ISBLANK($C46),"",IF($BR46&lt;&gt;Constants!$B$8,$BR46,SUM($BT46:$BV46)))</f>
        <v/>
      </c>
      <c r="BX46" s="92" t="str">
        <f aca="false">IF(ISBLANK($C46),"",IF($BR46&lt;&gt;Constants!$B$8,$BR46,RANK($BW46,$BW$9:$BW$508,1)))</f>
        <v/>
      </c>
      <c r="BY46" s="96" t="str">
        <f aca="false">IF($BR46&lt;&gt;Constants!$B$8,"",IF($BI46="-&gt;",$BK46,$BC46))</f>
        <v/>
      </c>
      <c r="BZ46" s="92" t="str">
        <f aca="false">IF(ISBLANK($C46),"",IF($BR46&lt;&gt;Constants!$B$8,$BR46,IF(ISNUMBER($BY46),RANK($BY46,$BY$9:$BY$508,1),COUNT($BY$9:$BY$508)+1)))</f>
        <v/>
      </c>
      <c r="CA46" s="96" t="str">
        <f aca="false">IF($BR46&lt;&gt;Constants!$B$8,"",IF($BI46="-&gt;",$BL46,$BD46))</f>
        <v/>
      </c>
      <c r="CB46" s="92" t="str">
        <f aca="false">IF(ISBLANK($C46),"",IF($BR46&lt;&gt;Constants!$B$8,$BR46,IF(ISNUMBER($CA46),RANK($CA46,$CA$9:$CA$508,1),COUNT($CA$9:$CA$508)+1)))</f>
        <v/>
      </c>
      <c r="CC46" s="96" t="str">
        <f aca="false">IF($BR46&lt;&gt;Constants!$B$8,"",IF($BI46="-&gt;",IF($AT46,$AV46,""),IF($AL46,$AN46,"")))</f>
        <v/>
      </c>
      <c r="CD46" s="92" t="str">
        <f aca="false">IF(ISBLANK($C46),"",IF($BR46&lt;&gt;Constants!$B$8,$BR46,IF(ISNUMBER($CC46),RANK($CC46,$CC$9:$CC$508,1),COUNT($CC$9:$CC$508)+1)))</f>
        <v/>
      </c>
      <c r="CE46" s="96" t="str">
        <f aca="false">IF($BR46&lt;&gt;Constants!$B$8,"",IF(AND(NOT($AL46),NOT($AT46),$AJ46,$AK46,$AR46,$AS46),"",$AI46))</f>
        <v/>
      </c>
      <c r="CF46" s="92" t="str">
        <f aca="false">IF(ISBLANK($C46),"",IF($BR46&lt;&gt;Constants!$B$8,$BR46,IF(ISNUMBER($CE46),RANK($CE46,$CE$9:$CE$508,1),COUNT($CE$9:$CE$508)+1)))</f>
        <v/>
      </c>
      <c r="CG46" s="92" t="str">
        <f aca="false">IF(ISBLANK($C46),"",IF($BR46&lt;&gt;Constants!$B$8,$BR46,COUNTIFS($BX$9:$BX$508,"&lt;"&amp;$BX46)+COUNTIFS($BX$9:$BX$508,$BX46,$BZ$9:$BZ$508,"&lt;"&amp;$BZ46)+COUNTIFS($BX$9:$BX$508,$BX46,$BZ$9:$BZ$508,$BZ46,$CB$9:$CB$508,"&lt;"&amp;$CB46)+COUNTIFS($BX$9:$BX$508,$BX46,$BZ$9:$BZ$508,$BZ46,$CB$9:$CB$508,$CB46,$CD$9:$CD$508,"&lt;"&amp;$CD46)+COUNTIFS($BX$9:$BX$508,$BX46,$BZ$9:$BZ$508,$BZ46,$CB$9:$CB$508,$CB46,$CD$9:$CD$508,$CD46,$CF$9:$CF$508,"&lt;"&amp;$CF46)+1))</f>
        <v/>
      </c>
      <c r="CH46" s="92" t="str">
        <f aca="false">IF(ISBLANK($C46),"",IF($BR46&lt;&gt;Constants!$B$8,$BR46,$BX46-$CG46))</f>
        <v/>
      </c>
      <c r="CI46" s="98"/>
      <c r="CJ46" s="99"/>
      <c r="CK46" s="100" t="str">
        <f aca="false">IF(ISBLANK($C46),"",IF($BR46=Constants!$B$12,$BQ46,""))</f>
        <v/>
      </c>
      <c r="CL46" s="99" t="str">
        <f aca="false">IF(ISBLANK($C46),"",IF($BR46&lt;&gt;Constants!$B$8,"",IF($BI46="-&gt;",2,1)))</f>
        <v/>
      </c>
      <c r="CM46" s="101" t="str">
        <f aca="false">IF(ISBLANK($C46),"",IF($BR46&lt;&gt;Constants!$B$8,"",IF($BI46="-&gt;",$BK46,$BC46)))</f>
        <v/>
      </c>
      <c r="CN46" s="101" t="str">
        <f aca="false">IF(ISBLANK($C46),"",IF($BR46&lt;&gt;Constants!$B$8,"",IF($BI46="-&gt;",$BL46,$BD46)))</f>
        <v/>
      </c>
      <c r="CO46" s="101" t="str">
        <f aca="false">IF(ISBLANK($C46),"",IF($BR46&lt;&gt;Constants!$B$8,"",IF($BI46="-&gt;",$BM46+$BN46,$BE46+$BF46)+$BV46))</f>
        <v/>
      </c>
      <c r="CP46" s="101" t="str">
        <f aca="false">IF(ISBLANK($C46),"",IF($BR46&lt;&gt;Constants!$B$8,"",IF($BI46="-&gt;",$BO46,$BG46)+$BU46))</f>
        <v/>
      </c>
      <c r="CQ46" s="102" t="str">
        <f aca="false">IF(ISBLANK($C46),"",IF($BR46&lt;&gt;Constants!$B$8,$BR46,$BW46))</f>
        <v/>
      </c>
      <c r="CR46" s="103" t="str">
        <f aca="false">IF(ISBLANK($C46),"",$BS46)</f>
        <v/>
      </c>
      <c r="CS46" s="104" t="str">
        <f aca="false">IF(ISBLANK($C46),"",$CH46)</f>
        <v/>
      </c>
      <c r="CT46" s="104" t="str">
        <f aca="false">IF(ISBLANK($C46),"",$CG46)</f>
        <v/>
      </c>
      <c r="CU46" s="105" t="str">
        <f aca="false">IF(ISBLANK($C46),"",IFERROR(_xlfn.SWITCH($CT46,Constants!$B$11,COUNTA($C$9:$C$508)+2,Constants!$B$10,COUNTA($C$9:$C$508)+1,Constants!$B$9,COUNTA($C$9:$C$508)),$CT46))</f>
        <v/>
      </c>
      <c r="CV46" s="9"/>
      <c r="CW46" s="106" t="n">
        <f aca="false">IF(OR(ISNUMBER($CT46),$CT46=Constants!$B$11,$CT46=Constants!$B$9,$CT46=Constants!$B$10),1,0)</f>
        <v>0</v>
      </c>
      <c r="CX46" s="106" t="n">
        <v>38</v>
      </c>
      <c r="CY46" s="106" t="str">
        <f aca="false">IF(ISBLANK($C46),"",IF(ISNUMBER($CU46),$CU46+ROW($B46)/1000,""))</f>
        <v/>
      </c>
      <c r="CZ46" s="106" t="str">
        <f aca="false">IF(ISNUMBER($CY46),RANK($CY46,$CY$9:$CY$508,1),"")</f>
        <v/>
      </c>
      <c r="DA46" s="106" t="str">
        <f aca="false">IF(ISBLANK($C46),"",$B46)</f>
        <v/>
      </c>
      <c r="DB46" s="106" t="str">
        <f aca="false">IF(ISBLANK($C46),"",$C46)</f>
        <v/>
      </c>
      <c r="DC46" s="106" t="str">
        <f aca="false">IF(ISBLANK($C46),"",$D46)</f>
        <v/>
      </c>
      <c r="DD46" s="107" t="str">
        <f aca="false">$CR46</f>
        <v/>
      </c>
      <c r="DE46" s="108" t="str">
        <f aca="false">$CQ46</f>
        <v/>
      </c>
      <c r="DF46" s="106" t="str">
        <f aca="false">IF(ISBLANK($C46),"",$CT46)</f>
        <v/>
      </c>
      <c r="DG46" s="109" t="str">
        <f aca="false">IF($CX46&gt;$CW$8,"",VLOOKUP($CX46,$CZ$9:$DF$508,7,FALSE()))</f>
        <v/>
      </c>
      <c r="DH46" s="110" t="str">
        <f aca="false">IF($CX46&gt;$CW$8,"",VLOOKUP($CX46,$CZ$9:$DF$508,2,FALSE()))</f>
        <v/>
      </c>
      <c r="DI46" s="110" t="str">
        <f aca="false">IF($CX46&gt;$CW$8,"",VLOOKUP($CX46,$CZ$9:$DF$508,3,FALSE()))</f>
        <v/>
      </c>
      <c r="DJ46" s="110" t="str">
        <f aca="false">IF($CX46&gt;$CW$8,"",VLOOKUP($CX46,$CZ$9:$DF$508,4,FALSE()))</f>
        <v/>
      </c>
      <c r="DK46" s="110" t="str">
        <f aca="false">IF($CX46&gt;$CW$8,"",VLOOKUP($CX46,$CZ$9:$DF$508,5,FALSE()))</f>
        <v/>
      </c>
      <c r="DL46" s="111" t="str">
        <f aca="false">IF($CX46&gt;$CW$8,"",VLOOKUP($CX46,$CZ$9:$DF$508,6,FALSE()))</f>
        <v/>
      </c>
      <c r="DM46" s="75"/>
    </row>
    <row r="47" customFormat="false" ht="15.75" hidden="false" customHeight="false" outlineLevel="0" collapsed="false">
      <c r="A47" s="9"/>
      <c r="B47" s="77"/>
      <c r="C47" s="78"/>
      <c r="D47" s="167"/>
      <c r="E47" s="175"/>
      <c r="F47" s="169"/>
      <c r="G47" s="170"/>
      <c r="H47" s="170"/>
      <c r="I47" s="176"/>
      <c r="J47" s="173"/>
      <c r="K47" s="85"/>
      <c r="L47" s="86"/>
      <c r="M47" s="87"/>
      <c r="N47" s="173"/>
      <c r="O47" s="173"/>
      <c r="P47" s="175"/>
      <c r="Q47" s="173"/>
      <c r="R47" s="173"/>
      <c r="S47" s="85"/>
      <c r="T47" s="87"/>
      <c r="U47" s="87"/>
      <c r="V47" s="173"/>
      <c r="W47" s="173"/>
      <c r="X47" s="175"/>
      <c r="Y47" s="173"/>
      <c r="Z47" s="174"/>
      <c r="AA47" s="173"/>
      <c r="AB47" s="91"/>
      <c r="AC47" s="92"/>
      <c r="AD47" s="92"/>
      <c r="AE47" s="92"/>
      <c r="AF47" s="92" t="str">
        <f aca="false">IF(ISBLANK($C47),"",IF(E47=Constants!$B$3,TRUE(),IF(E47=Constants!$B$4,FALSE(),TRUE())))</f>
        <v/>
      </c>
      <c r="AG47" s="92" t="str">
        <f aca="false">IF(ISBLANK($C47),"",IF(F47=Constants!$B$3,TRUE(),IF(F47=Constants!$B$4,FALSE(),TRUE())))</f>
        <v/>
      </c>
      <c r="AH47" s="92" t="str">
        <f aca="false">IF(ISBLANK($C47),"",IF(G47=Constants!$B$3,TRUE(),IF(G47=Constants!$B$4,FALSE(),TRUE())))</f>
        <v/>
      </c>
      <c r="AI47" s="92" t="str">
        <f aca="false">IF(ISBLANK($C47),"",IF(AND(ISNUMBER(H47),H47&gt;=0),H47,Constants!$B$29))</f>
        <v/>
      </c>
      <c r="AJ47" s="92" t="str">
        <f aca="false">IF(ISBLANK($C47),"",IF(I47=Constants!$B$3,TRUE(),IF(I47=Constants!$B$4,FALSE(),TRUE())))</f>
        <v/>
      </c>
      <c r="AK47" s="92" t="str">
        <f aca="false">IF(ISBLANK($C47),"",IF(J47=Constants!$B$3,TRUE(),IF(J47=Constants!$B$4,FALSE(),TRUE())))</f>
        <v/>
      </c>
      <c r="AL47" s="92" t="str">
        <f aca="false">IF(ISBLANK($C47),"",IF(K47=Constants!$B$5,TRUE(),IF(K47=Constants!$B$6,FALSE(),COUNTA(L47:P47)&gt;0)))</f>
        <v/>
      </c>
      <c r="AM47" s="94" t="str">
        <f aca="false">IF(ISBLANK($C47),"",IF(ISNUMBER(L47),IF(L47&gt;=0,L47,""),""))</f>
        <v/>
      </c>
      <c r="AN47" s="93" t="str">
        <f aca="false">IF(ISBLANK($C47),"",IF(ISNUMBER(M47),IF(M47&gt;=0,M47,""),""))</f>
        <v/>
      </c>
      <c r="AO47" s="93" t="str">
        <f aca="false">IF(ISBLANK($C47),"",IF(N47=Constants!$B$3,TRUE(),IF(N47=Constants!$B$4,FALSE(),TRUE())))</f>
        <v/>
      </c>
      <c r="AP47" s="92" t="str">
        <f aca="false">IF(ISBLANK($C47),"",IF(ISNUMBER(O47),IF(O47&gt;=0,O47,""),""))</f>
        <v/>
      </c>
      <c r="AQ47" s="92" t="str">
        <f aca="false">IF(ISBLANK($C47),"",IF(P47=Constants!$B$3,TRUE(),IF(P47=Constants!$B$4,FALSE(),FALSE())))</f>
        <v/>
      </c>
      <c r="AR47" s="92" t="str">
        <f aca="false">IF(ISBLANK($C47),"",IF(Q47=Constants!$B$3,TRUE(),IF(Q47=Constants!$B$4,FALSE(),TRUE())))</f>
        <v/>
      </c>
      <c r="AS47" s="92" t="str">
        <f aca="false">IF(ISBLANK($C47),"",IF(R47=Constants!$B$3,TRUE(),IF(R47=Constants!$B$4,FALSE(),TRUE())))</f>
        <v/>
      </c>
      <c r="AT47" s="92" t="str">
        <f aca="false">IF(ISBLANK($C47),"",IF(S47=Constants!$B$5,TRUE(),IF(S47=Constants!$B$6,FALSE(),COUNTA(T47:X47)&gt;0)))</f>
        <v/>
      </c>
      <c r="AU47" s="94" t="str">
        <f aca="false">IF(ISBLANK($C47),"",IF(ISNUMBER(T47),IF(T47&gt;=0,T47,""),""))</f>
        <v/>
      </c>
      <c r="AV47" s="93" t="str">
        <f aca="false">IF(ISBLANK($C47),"",IF(ISNUMBER(U47),IF(U47&gt;=0,U47,""),""))</f>
        <v/>
      </c>
      <c r="AW47" s="93" t="str">
        <f aca="false">IF(ISBLANK($C47),"",IF(V47=Constants!$B$3,TRUE(),IF(V47=Constants!$B$4,FALSE(),TRUE())))</f>
        <v/>
      </c>
      <c r="AX47" s="92" t="str">
        <f aca="false">IF(ISBLANK($C47),"",IF(ISNUMBER(W47),IF(W47&gt;=0,W47,""),""))</f>
        <v/>
      </c>
      <c r="AY47" s="92" t="str">
        <f aca="false">IF(ISBLANK($C47),"",IF(X47=Constants!$B$3,TRUE(),IF(X47=Constants!$B$4,FALSE(),FALSE())))</f>
        <v/>
      </c>
      <c r="AZ47" s="92" t="str">
        <f aca="false">IF(ISBLANK($C47),"",MIN(Constants!$B$31,MAX(0,IF(ISNUMBER(Y47),Y47*60,0)+IF(ISNUMBER(Z47),Z47,0))))</f>
        <v/>
      </c>
      <c r="BA47" s="92" t="str">
        <f aca="false">IF(ISBLANK($C47),"",IF(AA47=Constants!$B$3,TRUE(),IF(AA47=Constants!$B$4,FALSE(),FALSE())))</f>
        <v/>
      </c>
      <c r="BB47" s="91" t="str">
        <f aca="false">IF(ISBLANK($C47),"",AND($AL47,OR($AM47="",$AN47="",AND($AO47,$AP47=""))))</f>
        <v/>
      </c>
      <c r="BC47" s="93" t="str">
        <f aca="false">IF($BR47&lt;&gt;Constants!$B$8,"",IF($AL47,Constants!$B$21*$AN47+Constants!$B$22*IF($AO47,$AP47,Constants!$B$23),Constants!$B$24))</f>
        <v/>
      </c>
      <c r="BD47" s="96" t="str">
        <f aca="false">IF($BR47&lt;&gt;Constants!$B$8,"",Constants!$B$25*ABS($AD$9-IF($AL47,$AM47,0)))</f>
        <v/>
      </c>
      <c r="BE47" s="96" t="str">
        <f aca="false">IF($BR47&lt;&gt;Constants!$B$8,"",IF(AND($AL47,$AQ47,$AO47),Constants!$B$27,0))</f>
        <v/>
      </c>
      <c r="BF47" s="96" t="str">
        <f aca="false">IF($BR47&lt;&gt;Constants!$B$8,"",IF($AL47,($AI47-Constants!$B$29)*Constants!$B$28,0))</f>
        <v/>
      </c>
      <c r="BG47" s="96" t="str">
        <f aca="false">IF($BR47&lt;&gt;Constants!$B$8,"",IF($AK47,0,Constants!$B$15)+IF($AJ47,0,Constants!$B$16)+IF($AH47,0,Constants!$B$17))</f>
        <v/>
      </c>
      <c r="BH47" s="97" t="str">
        <f aca="false">IF($BR47&lt;&gt;Constants!$B$8,"",Constants!$B$20+SUM($BC47:$BG47))</f>
        <v/>
      </c>
      <c r="BI47" s="92" t="str">
        <f aca="false">IF($BR47&lt;&gt;Constants!$B$8,"",IF(OR($BP47&lt;$BH47,AND($BP47=$BH47,OR($BK47&lt;$BC47,AND($BK47=$BC47,OR($BL47&lt;$BD47,AND($BL47=$BD47,$AT47,$AL47,$AV47&lt;$AN47)))))),"-&gt;","&lt;-"))</f>
        <v/>
      </c>
      <c r="BJ47" s="91" t="str">
        <f aca="false">IF(ISBLANK($C47),"",AND($AT47,OR($AU47="",$AV47="",AND($AW47,$AX47=""))))</f>
        <v/>
      </c>
      <c r="BK47" s="93" t="str">
        <f aca="false">IF($BR47&lt;&gt;Constants!$B$8,"",IF($AT47,Constants!$B$21*$AV47+Constants!$B$22*IF($AW47,$AX47,Constants!$B$23),Constants!$B$24))</f>
        <v/>
      </c>
      <c r="BL47" s="96" t="str">
        <f aca="false">IF($BR47&lt;&gt;Constants!$B$8,"",Constants!$B$25*ABS($AD$9-IF($AT47,$AU47,0)))</f>
        <v/>
      </c>
      <c r="BM47" s="96" t="str">
        <f aca="false">IF($BR47&lt;&gt;Constants!$B$8,"",IF(AND($AT47,$AY47,$AW47),Constants!$B$27,0))</f>
        <v/>
      </c>
      <c r="BN47" s="96" t="str">
        <f aca="false">IF($BR47&lt;&gt;Constants!$B$8,"",IF($AT47,($AI47-Constants!$B$29)*Constants!$B$28,0))</f>
        <v/>
      </c>
      <c r="BO47" s="96" t="str">
        <f aca="false">IF($BR47&lt;&gt;Constants!$B$8,"",IF($AS47,0,Constants!$B$15)+IF($AR47,0,Constants!$B$16)+IF($AH47,0,Constants!$B$17))</f>
        <v/>
      </c>
      <c r="BP47" s="97" t="str">
        <f aca="false">IF($BR47&lt;&gt;Constants!$B$8,"",Constants!$B$20+SUM($BK47:$BO47))</f>
        <v/>
      </c>
      <c r="BQ47" s="92" t="str">
        <f aca="false">IF(ISBLANK($C47),"",IF(ISBLANK($D$7),$BQ$5,IF(NOT(ISNUMBER($D$7)),$BQ$6,"")))</f>
        <v/>
      </c>
      <c r="BR47" s="92" t="str">
        <f aca="false">IF(ISBLANK($C47),"",IF($BA47,Constants!$B$11,IF(COUNTA($E47:$AA47)=0,Constants!$B$10,IF(NOT($AG47),Constants!$B$9,IF(OR($BQ47&lt;&gt;"",$BB47,$BJ47),Constants!$B$12,Constants!$B$8)))))</f>
        <v/>
      </c>
      <c r="BS47" s="92" t="str">
        <f aca="false">IF(ISBLANK($C47),"",IF($BR47&lt;&gt;Constants!$B$8,$BR47,Constants!$B$13))</f>
        <v/>
      </c>
      <c r="BT47" s="96" t="str">
        <f aca="false">IF($BR47&lt;&gt;Constants!$B$8,"",IF($BI47="-&gt;",$BP47,$BH47))</f>
        <v/>
      </c>
      <c r="BU47" s="96" t="str">
        <f aca="false">IF($BR47&lt;&gt;Constants!$B$8,"",IF($AF47,0,Constants!$B$18))</f>
        <v/>
      </c>
      <c r="BV47" s="96" t="str">
        <f aca="false">IF($BR47&lt;&gt;Constants!$B$8,"",((Constants!$B$31-$AZ47)-Constants!$B$31)/Constants!$B$32)</f>
        <v/>
      </c>
      <c r="BW47" s="96" t="str">
        <f aca="false">IF(ISBLANK($C47),"",IF($BR47&lt;&gt;Constants!$B$8,$BR47,SUM($BT47:$BV47)))</f>
        <v/>
      </c>
      <c r="BX47" s="92" t="str">
        <f aca="false">IF(ISBLANK($C47),"",IF($BR47&lt;&gt;Constants!$B$8,$BR47,RANK($BW47,$BW$9:$BW$508,1)))</f>
        <v/>
      </c>
      <c r="BY47" s="96" t="str">
        <f aca="false">IF($BR47&lt;&gt;Constants!$B$8,"",IF($BI47="-&gt;",$BK47,$BC47))</f>
        <v/>
      </c>
      <c r="BZ47" s="92" t="str">
        <f aca="false">IF(ISBLANK($C47),"",IF($BR47&lt;&gt;Constants!$B$8,$BR47,IF(ISNUMBER($BY47),RANK($BY47,$BY$9:$BY$508,1),COUNT($BY$9:$BY$508)+1)))</f>
        <v/>
      </c>
      <c r="CA47" s="96" t="str">
        <f aca="false">IF($BR47&lt;&gt;Constants!$B$8,"",IF($BI47="-&gt;",$BL47,$BD47))</f>
        <v/>
      </c>
      <c r="CB47" s="92" t="str">
        <f aca="false">IF(ISBLANK($C47),"",IF($BR47&lt;&gt;Constants!$B$8,$BR47,IF(ISNUMBER($CA47),RANK($CA47,$CA$9:$CA$508,1),COUNT($CA$9:$CA$508)+1)))</f>
        <v/>
      </c>
      <c r="CC47" s="96" t="str">
        <f aca="false">IF($BR47&lt;&gt;Constants!$B$8,"",IF($BI47="-&gt;",IF($AT47,$AV47,""),IF($AL47,$AN47,"")))</f>
        <v/>
      </c>
      <c r="CD47" s="92" t="str">
        <f aca="false">IF(ISBLANK($C47),"",IF($BR47&lt;&gt;Constants!$B$8,$BR47,IF(ISNUMBER($CC47),RANK($CC47,$CC$9:$CC$508,1),COUNT($CC$9:$CC$508)+1)))</f>
        <v/>
      </c>
      <c r="CE47" s="96" t="str">
        <f aca="false">IF($BR47&lt;&gt;Constants!$B$8,"",IF(AND(NOT($AL47),NOT($AT47),$AJ47,$AK47,$AR47,$AS47),"",$AI47))</f>
        <v/>
      </c>
      <c r="CF47" s="92" t="str">
        <f aca="false">IF(ISBLANK($C47),"",IF($BR47&lt;&gt;Constants!$B$8,$BR47,IF(ISNUMBER($CE47),RANK($CE47,$CE$9:$CE$508,1),COUNT($CE$9:$CE$508)+1)))</f>
        <v/>
      </c>
      <c r="CG47" s="92" t="str">
        <f aca="false">IF(ISBLANK($C47),"",IF($BR47&lt;&gt;Constants!$B$8,$BR47,COUNTIFS($BX$9:$BX$508,"&lt;"&amp;$BX47)+COUNTIFS($BX$9:$BX$508,$BX47,$BZ$9:$BZ$508,"&lt;"&amp;$BZ47)+COUNTIFS($BX$9:$BX$508,$BX47,$BZ$9:$BZ$508,$BZ47,$CB$9:$CB$508,"&lt;"&amp;$CB47)+COUNTIFS($BX$9:$BX$508,$BX47,$BZ$9:$BZ$508,$BZ47,$CB$9:$CB$508,$CB47,$CD$9:$CD$508,"&lt;"&amp;$CD47)+COUNTIFS($BX$9:$BX$508,$BX47,$BZ$9:$BZ$508,$BZ47,$CB$9:$CB$508,$CB47,$CD$9:$CD$508,$CD47,$CF$9:$CF$508,"&lt;"&amp;$CF47)+1))</f>
        <v/>
      </c>
      <c r="CH47" s="92" t="str">
        <f aca="false">IF(ISBLANK($C47),"",IF($BR47&lt;&gt;Constants!$B$8,$BR47,$BX47-$CG47))</f>
        <v/>
      </c>
      <c r="CI47" s="98"/>
      <c r="CJ47" s="99"/>
      <c r="CK47" s="100" t="str">
        <f aca="false">IF(ISBLANK($C47),"",IF($BR47=Constants!$B$12,$BQ47,""))</f>
        <v/>
      </c>
      <c r="CL47" s="99" t="str">
        <f aca="false">IF(ISBLANK($C47),"",IF($BR47&lt;&gt;Constants!$B$8,"",IF($BI47="-&gt;",2,1)))</f>
        <v/>
      </c>
      <c r="CM47" s="101" t="str">
        <f aca="false">IF(ISBLANK($C47),"",IF($BR47&lt;&gt;Constants!$B$8,"",IF($BI47="-&gt;",$BK47,$BC47)))</f>
        <v/>
      </c>
      <c r="CN47" s="101" t="str">
        <f aca="false">IF(ISBLANK($C47),"",IF($BR47&lt;&gt;Constants!$B$8,"",IF($BI47="-&gt;",$BL47,$BD47)))</f>
        <v/>
      </c>
      <c r="CO47" s="101" t="str">
        <f aca="false">IF(ISBLANK($C47),"",IF($BR47&lt;&gt;Constants!$B$8,"",IF($BI47="-&gt;",$BM47+$BN47,$BE47+$BF47)+$BV47))</f>
        <v/>
      </c>
      <c r="CP47" s="101" t="str">
        <f aca="false">IF(ISBLANK($C47),"",IF($BR47&lt;&gt;Constants!$B$8,"",IF($BI47="-&gt;",$BO47,$BG47)+$BU47))</f>
        <v/>
      </c>
      <c r="CQ47" s="102" t="str">
        <f aca="false">IF(ISBLANK($C47),"",IF($BR47&lt;&gt;Constants!$B$8,$BR47,$BW47))</f>
        <v/>
      </c>
      <c r="CR47" s="103" t="str">
        <f aca="false">IF(ISBLANK($C47),"",$BS47)</f>
        <v/>
      </c>
      <c r="CS47" s="104" t="str">
        <f aca="false">IF(ISBLANK($C47),"",$CH47)</f>
        <v/>
      </c>
      <c r="CT47" s="104" t="str">
        <f aca="false">IF(ISBLANK($C47),"",$CG47)</f>
        <v/>
      </c>
      <c r="CU47" s="105" t="str">
        <f aca="false">IF(ISBLANK($C47),"",IFERROR(_xlfn.SWITCH($CT47,Constants!$B$11,COUNTA($C$9:$C$508)+2,Constants!$B$10,COUNTA($C$9:$C$508)+1,Constants!$B$9,COUNTA($C$9:$C$508)),$CT47))</f>
        <v/>
      </c>
      <c r="CV47" s="9"/>
      <c r="CW47" s="106" t="n">
        <f aca="false">IF(OR(ISNUMBER($CT47),$CT47=Constants!$B$11,$CT47=Constants!$B$9,$CT47=Constants!$B$10),1,0)</f>
        <v>0</v>
      </c>
      <c r="CX47" s="106" t="n">
        <v>39</v>
      </c>
      <c r="CY47" s="106" t="str">
        <f aca="false">IF(ISBLANK($C47),"",IF(ISNUMBER($CU47),$CU47+ROW($B47)/1000,""))</f>
        <v/>
      </c>
      <c r="CZ47" s="106" t="str">
        <f aca="false">IF(ISNUMBER($CY47),RANK($CY47,$CY$9:$CY$508,1),"")</f>
        <v/>
      </c>
      <c r="DA47" s="106" t="str">
        <f aca="false">IF(ISBLANK($C47),"",$B47)</f>
        <v/>
      </c>
      <c r="DB47" s="106" t="str">
        <f aca="false">IF(ISBLANK($C47),"",$C47)</f>
        <v/>
      </c>
      <c r="DC47" s="106" t="str">
        <f aca="false">IF(ISBLANK($C47),"",$D47)</f>
        <v/>
      </c>
      <c r="DD47" s="107" t="str">
        <f aca="false">$CR47</f>
        <v/>
      </c>
      <c r="DE47" s="108" t="str">
        <f aca="false">$CQ47</f>
        <v/>
      </c>
      <c r="DF47" s="106" t="str">
        <f aca="false">IF(ISBLANK($C47),"",$CT47)</f>
        <v/>
      </c>
      <c r="DG47" s="109" t="str">
        <f aca="false">IF($CX47&gt;$CW$8,"",VLOOKUP($CX47,$CZ$9:$DF$508,7,FALSE()))</f>
        <v/>
      </c>
      <c r="DH47" s="110" t="str">
        <f aca="false">IF($CX47&gt;$CW$8,"",VLOOKUP($CX47,$CZ$9:$DF$508,2,FALSE()))</f>
        <v/>
      </c>
      <c r="DI47" s="110" t="str">
        <f aca="false">IF($CX47&gt;$CW$8,"",VLOOKUP($CX47,$CZ$9:$DF$508,3,FALSE()))</f>
        <v/>
      </c>
      <c r="DJ47" s="110" t="str">
        <f aca="false">IF($CX47&gt;$CW$8,"",VLOOKUP($CX47,$CZ$9:$DF$508,4,FALSE()))</f>
        <v/>
      </c>
      <c r="DK47" s="110" t="str">
        <f aca="false">IF($CX47&gt;$CW$8,"",VLOOKUP($CX47,$CZ$9:$DF$508,5,FALSE()))</f>
        <v/>
      </c>
      <c r="DL47" s="111" t="str">
        <f aca="false">IF($CX47&gt;$CW$8,"",VLOOKUP($CX47,$CZ$9:$DF$508,6,FALSE()))</f>
        <v/>
      </c>
      <c r="DM47" s="75"/>
    </row>
    <row r="48" customFormat="false" ht="15.75" hidden="false" customHeight="false" outlineLevel="0" collapsed="false">
      <c r="A48" s="9"/>
      <c r="B48" s="157"/>
      <c r="C48" s="158"/>
      <c r="D48" s="159"/>
      <c r="E48" s="177"/>
      <c r="F48" s="161"/>
      <c r="G48" s="162"/>
      <c r="H48" s="162"/>
      <c r="I48" s="178"/>
      <c r="J48" s="165"/>
      <c r="K48" s="126"/>
      <c r="L48" s="127"/>
      <c r="M48" s="128"/>
      <c r="N48" s="165"/>
      <c r="O48" s="165"/>
      <c r="P48" s="177"/>
      <c r="Q48" s="165"/>
      <c r="R48" s="165"/>
      <c r="S48" s="126"/>
      <c r="T48" s="128"/>
      <c r="U48" s="128"/>
      <c r="V48" s="165"/>
      <c r="W48" s="165"/>
      <c r="X48" s="177"/>
      <c r="Y48" s="165"/>
      <c r="Z48" s="166"/>
      <c r="AA48" s="165"/>
      <c r="AB48" s="132"/>
      <c r="AC48" s="133"/>
      <c r="AD48" s="133"/>
      <c r="AE48" s="133"/>
      <c r="AF48" s="133" t="str">
        <f aca="false">IF(ISBLANK($C48),"",IF(E48=Constants!$B$3,TRUE(),IF(E48=Constants!$B$4,FALSE(),TRUE())))</f>
        <v/>
      </c>
      <c r="AG48" s="133" t="str">
        <f aca="false">IF(ISBLANK($C48),"",IF(F48=Constants!$B$3,TRUE(),IF(F48=Constants!$B$4,FALSE(),TRUE())))</f>
        <v/>
      </c>
      <c r="AH48" s="133" t="str">
        <f aca="false">IF(ISBLANK($C48),"",IF(G48=Constants!$B$3,TRUE(),IF(G48=Constants!$B$4,FALSE(),TRUE())))</f>
        <v/>
      </c>
      <c r="AI48" s="133" t="str">
        <f aca="false">IF(ISBLANK($C48),"",IF(AND(ISNUMBER(H48),H48&gt;=0),H48,Constants!$B$29))</f>
        <v/>
      </c>
      <c r="AJ48" s="133" t="str">
        <f aca="false">IF(ISBLANK($C48),"",IF(I48=Constants!$B$3,TRUE(),IF(I48=Constants!$B$4,FALSE(),TRUE())))</f>
        <v/>
      </c>
      <c r="AK48" s="133" t="str">
        <f aca="false">IF(ISBLANK($C48),"",IF(J48=Constants!$B$3,TRUE(),IF(J48=Constants!$B$4,FALSE(),TRUE())))</f>
        <v/>
      </c>
      <c r="AL48" s="133" t="str">
        <f aca="false">IF(ISBLANK($C48),"",IF(K48=Constants!$B$5,TRUE(),IF(K48=Constants!$B$6,FALSE(),COUNTA(L48:P48)&gt;0)))</f>
        <v/>
      </c>
      <c r="AM48" s="134" t="str">
        <f aca="false">IF(ISBLANK($C48),"",IF(ISNUMBER(L48),IF(L48&gt;=0,L48,""),""))</f>
        <v/>
      </c>
      <c r="AN48" s="135" t="str">
        <f aca="false">IF(ISBLANK($C48),"",IF(ISNUMBER(M48),IF(M48&gt;=0,M48,""),""))</f>
        <v/>
      </c>
      <c r="AO48" s="135" t="str">
        <f aca="false">IF(ISBLANK($C48),"",IF(N48=Constants!$B$3,TRUE(),IF(N48=Constants!$B$4,FALSE(),TRUE())))</f>
        <v/>
      </c>
      <c r="AP48" s="133" t="str">
        <f aca="false">IF(ISBLANK($C48),"",IF(ISNUMBER(O48),IF(O48&gt;=0,O48,""),""))</f>
        <v/>
      </c>
      <c r="AQ48" s="133" t="str">
        <f aca="false">IF(ISBLANK($C48),"",IF(P48=Constants!$B$3,TRUE(),IF(P48=Constants!$B$4,FALSE(),FALSE())))</f>
        <v/>
      </c>
      <c r="AR48" s="133" t="str">
        <f aca="false">IF(ISBLANK($C48),"",IF(Q48=Constants!$B$3,TRUE(),IF(Q48=Constants!$B$4,FALSE(),TRUE())))</f>
        <v/>
      </c>
      <c r="AS48" s="133" t="str">
        <f aca="false">IF(ISBLANK($C48),"",IF(R48=Constants!$B$3,TRUE(),IF(R48=Constants!$B$4,FALSE(),TRUE())))</f>
        <v/>
      </c>
      <c r="AT48" s="133" t="str">
        <f aca="false">IF(ISBLANK($C48),"",IF(S48=Constants!$B$5,TRUE(),IF(S48=Constants!$B$6,FALSE(),COUNTA(T48:X48)&gt;0)))</f>
        <v/>
      </c>
      <c r="AU48" s="134" t="str">
        <f aca="false">IF(ISBLANK($C48),"",IF(ISNUMBER(T48),IF(T48&gt;=0,T48,""),""))</f>
        <v/>
      </c>
      <c r="AV48" s="135" t="str">
        <f aca="false">IF(ISBLANK($C48),"",IF(ISNUMBER(U48),IF(U48&gt;=0,U48,""),""))</f>
        <v/>
      </c>
      <c r="AW48" s="135" t="str">
        <f aca="false">IF(ISBLANK($C48),"",IF(V48=Constants!$B$3,TRUE(),IF(V48=Constants!$B$4,FALSE(),TRUE())))</f>
        <v/>
      </c>
      <c r="AX48" s="133" t="str">
        <f aca="false">IF(ISBLANK($C48),"",IF(ISNUMBER(W48),IF(W48&gt;=0,W48,""),""))</f>
        <v/>
      </c>
      <c r="AY48" s="133" t="str">
        <f aca="false">IF(ISBLANK($C48),"",IF(X48=Constants!$B$3,TRUE(),IF(X48=Constants!$B$4,FALSE(),FALSE())))</f>
        <v/>
      </c>
      <c r="AZ48" s="133" t="str">
        <f aca="false">IF(ISBLANK($C48),"",MIN(Constants!$B$31,MAX(0,IF(ISNUMBER(Y48),Y48*60,0)+IF(ISNUMBER(Z48),Z48,0))))</f>
        <v/>
      </c>
      <c r="BA48" s="133" t="str">
        <f aca="false">IF(ISBLANK($C48),"",IF(AA48=Constants!$B$3,TRUE(),IF(AA48=Constants!$B$4,FALSE(),FALSE())))</f>
        <v/>
      </c>
      <c r="BB48" s="132" t="str">
        <f aca="false">IF(ISBLANK($C48),"",AND($AL48,OR($AM48="",$AN48="",AND($AO48,$AP48=""))))</f>
        <v/>
      </c>
      <c r="BC48" s="135" t="str">
        <f aca="false">IF($BR48&lt;&gt;Constants!$B$8,"",IF($AL48,Constants!$B$21*$AN48+Constants!$B$22*IF($AO48,$AP48,Constants!$B$23),Constants!$B$24))</f>
        <v/>
      </c>
      <c r="BD48" s="136" t="str">
        <f aca="false">IF($BR48&lt;&gt;Constants!$B$8,"",Constants!$B$25*ABS($AD$9-IF($AL48,$AM48,0)))</f>
        <v/>
      </c>
      <c r="BE48" s="136" t="str">
        <f aca="false">IF($BR48&lt;&gt;Constants!$B$8,"",IF(AND($AL48,$AQ48,$AO48),Constants!$B$27,0))</f>
        <v/>
      </c>
      <c r="BF48" s="136" t="str">
        <f aca="false">IF($BR48&lt;&gt;Constants!$B$8,"",IF($AL48,($AI48-Constants!$B$29)*Constants!$B$28,0))</f>
        <v/>
      </c>
      <c r="BG48" s="136" t="str">
        <f aca="false">IF($BR48&lt;&gt;Constants!$B$8,"",IF($AK48,0,Constants!$B$15)+IF($AJ48,0,Constants!$B$16)+IF($AH48,0,Constants!$B$17))</f>
        <v/>
      </c>
      <c r="BH48" s="137" t="str">
        <f aca="false">IF($BR48&lt;&gt;Constants!$B$8,"",Constants!$B$20+SUM($BC48:$BG48))</f>
        <v/>
      </c>
      <c r="BI48" s="133" t="str">
        <f aca="false">IF($BR48&lt;&gt;Constants!$B$8,"",IF(OR($BP48&lt;$BH48,AND($BP48=$BH48,OR($BK48&lt;$BC48,AND($BK48=$BC48,OR($BL48&lt;$BD48,AND($BL48=$BD48,$AT48,$AL48,$AV48&lt;$AN48)))))),"-&gt;","&lt;-"))</f>
        <v/>
      </c>
      <c r="BJ48" s="132" t="str">
        <f aca="false">IF(ISBLANK($C48),"",AND($AT48,OR($AU48="",$AV48="",AND($AW48,$AX48=""))))</f>
        <v/>
      </c>
      <c r="BK48" s="135" t="str">
        <f aca="false">IF($BR48&lt;&gt;Constants!$B$8,"",IF($AT48,Constants!$B$21*$AV48+Constants!$B$22*IF($AW48,$AX48,Constants!$B$23),Constants!$B$24))</f>
        <v/>
      </c>
      <c r="BL48" s="136" t="str">
        <f aca="false">IF($BR48&lt;&gt;Constants!$B$8,"",Constants!$B$25*ABS($AD$9-IF($AT48,$AU48,0)))</f>
        <v/>
      </c>
      <c r="BM48" s="136" t="str">
        <f aca="false">IF($BR48&lt;&gt;Constants!$B$8,"",IF(AND($AT48,$AY48,$AW48),Constants!$B$27,0))</f>
        <v/>
      </c>
      <c r="BN48" s="136" t="str">
        <f aca="false">IF($BR48&lt;&gt;Constants!$B$8,"",IF($AT48,($AI48-Constants!$B$29)*Constants!$B$28,0))</f>
        <v/>
      </c>
      <c r="BO48" s="136" t="str">
        <f aca="false">IF($BR48&lt;&gt;Constants!$B$8,"",IF($AS48,0,Constants!$B$15)+IF($AR48,0,Constants!$B$16)+IF($AH48,0,Constants!$B$17))</f>
        <v/>
      </c>
      <c r="BP48" s="137" t="str">
        <f aca="false">IF($BR48&lt;&gt;Constants!$B$8,"",Constants!$B$20+SUM($BK48:$BO48))</f>
        <v/>
      </c>
      <c r="BQ48" s="133" t="str">
        <f aca="false">IF(ISBLANK($C48),"",IF(ISBLANK($D$7),$BQ$5,IF(NOT(ISNUMBER($D$7)),$BQ$6,"")))</f>
        <v/>
      </c>
      <c r="BR48" s="133" t="str">
        <f aca="false">IF(ISBLANK($C48),"",IF($BA48,Constants!$B$11,IF(COUNTA($E48:$AA48)=0,Constants!$B$10,IF(NOT($AG48),Constants!$B$9,IF(OR($BQ48&lt;&gt;"",$BB48,$BJ48),Constants!$B$12,Constants!$B$8)))))</f>
        <v/>
      </c>
      <c r="BS48" s="133" t="str">
        <f aca="false">IF(ISBLANK($C48),"",IF($BR48&lt;&gt;Constants!$B$8,$BR48,Constants!$B$13))</f>
        <v/>
      </c>
      <c r="BT48" s="136" t="str">
        <f aca="false">IF($BR48&lt;&gt;Constants!$B$8,"",IF($BI48="-&gt;",$BP48,$BH48))</f>
        <v/>
      </c>
      <c r="BU48" s="136" t="str">
        <f aca="false">IF($BR48&lt;&gt;Constants!$B$8,"",IF($AF48,0,Constants!$B$18))</f>
        <v/>
      </c>
      <c r="BV48" s="136" t="str">
        <f aca="false">IF($BR48&lt;&gt;Constants!$B$8,"",((Constants!$B$31-$AZ48)-Constants!$B$31)/Constants!$B$32)</f>
        <v/>
      </c>
      <c r="BW48" s="136" t="str">
        <f aca="false">IF(ISBLANK($C48),"",IF($BR48&lt;&gt;Constants!$B$8,$BR48,SUM($BT48:$BV48)))</f>
        <v/>
      </c>
      <c r="BX48" s="133" t="str">
        <f aca="false">IF(ISBLANK($C48),"",IF($BR48&lt;&gt;Constants!$B$8,$BR48,RANK($BW48,$BW$9:$BW$508,1)))</f>
        <v/>
      </c>
      <c r="BY48" s="136" t="str">
        <f aca="false">IF($BR48&lt;&gt;Constants!$B$8,"",IF($BI48="-&gt;",$BK48,$BC48))</f>
        <v/>
      </c>
      <c r="BZ48" s="133" t="str">
        <f aca="false">IF(ISBLANK($C48),"",IF($BR48&lt;&gt;Constants!$B$8,$BR48,IF(ISNUMBER($BY48),RANK($BY48,$BY$9:$BY$508,1),COUNT($BY$9:$BY$508)+1)))</f>
        <v/>
      </c>
      <c r="CA48" s="136" t="str">
        <f aca="false">IF($BR48&lt;&gt;Constants!$B$8,"",IF($BI48="-&gt;",$BL48,$BD48))</f>
        <v/>
      </c>
      <c r="CB48" s="133" t="str">
        <f aca="false">IF(ISBLANK($C48),"",IF($BR48&lt;&gt;Constants!$B$8,$BR48,IF(ISNUMBER($CA48),RANK($CA48,$CA$9:$CA$508,1),COUNT($CA$9:$CA$508)+1)))</f>
        <v/>
      </c>
      <c r="CC48" s="136" t="str">
        <f aca="false">IF($BR48&lt;&gt;Constants!$B$8,"",IF($BI48="-&gt;",IF($AT48,$AV48,""),IF($AL48,$AN48,"")))</f>
        <v/>
      </c>
      <c r="CD48" s="133" t="str">
        <f aca="false">IF(ISBLANK($C48),"",IF($BR48&lt;&gt;Constants!$B$8,$BR48,IF(ISNUMBER($CC48),RANK($CC48,$CC$9:$CC$508,1),COUNT($CC$9:$CC$508)+1)))</f>
        <v/>
      </c>
      <c r="CE48" s="136" t="str">
        <f aca="false">IF($BR48&lt;&gt;Constants!$B$8,"",IF(AND(NOT($AL48),NOT($AT48),$AJ48,$AK48,$AR48,$AS48),"",$AI48))</f>
        <v/>
      </c>
      <c r="CF48" s="133" t="str">
        <f aca="false">IF(ISBLANK($C48),"",IF($BR48&lt;&gt;Constants!$B$8,$BR48,IF(ISNUMBER($CE48),RANK($CE48,$CE$9:$CE$508,1),COUNT($CE$9:$CE$508)+1)))</f>
        <v/>
      </c>
      <c r="CG48" s="133" t="str">
        <f aca="false">IF(ISBLANK($C48),"",IF($BR48&lt;&gt;Constants!$B$8,$BR48,COUNTIFS($BX$9:$BX$508,"&lt;"&amp;$BX48)+COUNTIFS($BX$9:$BX$508,$BX48,$BZ$9:$BZ$508,"&lt;"&amp;$BZ48)+COUNTIFS($BX$9:$BX$508,$BX48,$BZ$9:$BZ$508,$BZ48,$CB$9:$CB$508,"&lt;"&amp;$CB48)+COUNTIFS($BX$9:$BX$508,$BX48,$BZ$9:$BZ$508,$BZ48,$CB$9:$CB$508,$CB48,$CD$9:$CD$508,"&lt;"&amp;$CD48)+COUNTIFS($BX$9:$BX$508,$BX48,$BZ$9:$BZ$508,$BZ48,$CB$9:$CB$508,$CB48,$CD$9:$CD$508,$CD48,$CF$9:$CF$508,"&lt;"&amp;$CF48)+1))</f>
        <v/>
      </c>
      <c r="CH48" s="133" t="str">
        <f aca="false">IF(ISBLANK($C48),"",IF($BR48&lt;&gt;Constants!$B$8,$BR48,$BX48-$CG48))</f>
        <v/>
      </c>
      <c r="CI48" s="138"/>
      <c r="CJ48" s="139"/>
      <c r="CK48" s="140" t="str">
        <f aca="false">IF(ISBLANK($C48),"",IF($BR48=Constants!$B$12,$BQ48,""))</f>
        <v/>
      </c>
      <c r="CL48" s="139" t="str">
        <f aca="false">IF(ISBLANK($C48),"",IF($BR48&lt;&gt;Constants!$B$8,"",IF($BI48="-&gt;",2,1)))</f>
        <v/>
      </c>
      <c r="CM48" s="141" t="str">
        <f aca="false">IF(ISBLANK($C48),"",IF($BR48&lt;&gt;Constants!$B$8,"",IF($BI48="-&gt;",$BK48,$BC48)))</f>
        <v/>
      </c>
      <c r="CN48" s="141" t="str">
        <f aca="false">IF(ISBLANK($C48),"",IF($BR48&lt;&gt;Constants!$B$8,"",IF($BI48="-&gt;",$BL48,$BD48)))</f>
        <v/>
      </c>
      <c r="CO48" s="141" t="str">
        <f aca="false">IF(ISBLANK($C48),"",IF($BR48&lt;&gt;Constants!$B$8,"",IF($BI48="-&gt;",$BM48+$BN48,$BE48+$BF48)+$BV48))</f>
        <v/>
      </c>
      <c r="CP48" s="141" t="str">
        <f aca="false">IF(ISBLANK($C48),"",IF($BR48&lt;&gt;Constants!$B$8,"",IF($BI48="-&gt;",$BO48,$BG48)+$BU48))</f>
        <v/>
      </c>
      <c r="CQ48" s="142" t="str">
        <f aca="false">IF(ISBLANK($C48),"",IF($BR48&lt;&gt;Constants!$B$8,$BR48,$BW48))</f>
        <v/>
      </c>
      <c r="CR48" s="143" t="str">
        <f aca="false">IF(ISBLANK($C48),"",$BS48)</f>
        <v/>
      </c>
      <c r="CS48" s="144" t="str">
        <f aca="false">IF(ISBLANK($C48),"",$CH48)</f>
        <v/>
      </c>
      <c r="CT48" s="144" t="str">
        <f aca="false">IF(ISBLANK($C48),"",$CG48)</f>
        <v/>
      </c>
      <c r="CU48" s="145" t="str">
        <f aca="false">IF(ISBLANK($C48),"",IFERROR(_xlfn.SWITCH($CT48,Constants!$B$11,COUNTA($C$9:$C$508)+2,Constants!$B$10,COUNTA($C$9:$C$508)+1,Constants!$B$9,COUNTA($C$9:$C$508)),$CT48))</f>
        <v/>
      </c>
      <c r="CV48" s="9"/>
      <c r="CW48" s="146" t="n">
        <f aca="false">IF(OR(ISNUMBER($CT48),$CT48=Constants!$B$11,$CT48=Constants!$B$9,$CT48=Constants!$B$10),1,0)</f>
        <v>0</v>
      </c>
      <c r="CX48" s="146" t="n">
        <v>40</v>
      </c>
      <c r="CY48" s="146" t="str">
        <f aca="false">IF(ISBLANK($C48),"",IF(ISNUMBER($CU48),$CU48+ROW($B48)/1000,""))</f>
        <v/>
      </c>
      <c r="CZ48" s="146" t="str">
        <f aca="false">IF(ISNUMBER($CY48),RANK($CY48,$CY$9:$CY$508,1),"")</f>
        <v/>
      </c>
      <c r="DA48" s="146" t="str">
        <f aca="false">IF(ISBLANK($C48),"",$B48)</f>
        <v/>
      </c>
      <c r="DB48" s="146" t="str">
        <f aca="false">IF(ISBLANK($C48),"",$C48)</f>
        <v/>
      </c>
      <c r="DC48" s="146" t="str">
        <f aca="false">IF(ISBLANK($C48),"",$D48)</f>
        <v/>
      </c>
      <c r="DD48" s="147" t="str">
        <f aca="false">$CR48</f>
        <v/>
      </c>
      <c r="DE48" s="148" t="str">
        <f aca="false">$CQ48</f>
        <v/>
      </c>
      <c r="DF48" s="146" t="str">
        <f aca="false">IF(ISBLANK($C48),"",$CT48)</f>
        <v/>
      </c>
      <c r="DG48" s="149" t="str">
        <f aca="false">IF($CX48&gt;$CW$8,"",VLOOKUP($CX48,$CZ$9:$DF$508,7,FALSE()))</f>
        <v/>
      </c>
      <c r="DH48" s="150" t="str">
        <f aca="false">IF($CX48&gt;$CW$8,"",VLOOKUP($CX48,$CZ$9:$DF$508,2,FALSE()))</f>
        <v/>
      </c>
      <c r="DI48" s="150" t="str">
        <f aca="false">IF($CX48&gt;$CW$8,"",VLOOKUP($CX48,$CZ$9:$DF$508,3,FALSE()))</f>
        <v/>
      </c>
      <c r="DJ48" s="150" t="str">
        <f aca="false">IF($CX48&gt;$CW$8,"",VLOOKUP($CX48,$CZ$9:$DF$508,4,FALSE()))</f>
        <v/>
      </c>
      <c r="DK48" s="150" t="str">
        <f aca="false">IF($CX48&gt;$CW$8,"",VLOOKUP($CX48,$CZ$9:$DF$508,5,FALSE()))</f>
        <v/>
      </c>
      <c r="DL48" s="151" t="str">
        <f aca="false">IF($CX48&gt;$CW$8,"",VLOOKUP($CX48,$CZ$9:$DF$508,6,FALSE()))</f>
        <v/>
      </c>
      <c r="DM48" s="75"/>
    </row>
    <row r="49" customFormat="false" ht="15.75" hidden="false" customHeight="false" outlineLevel="0" collapsed="false">
      <c r="A49" s="9"/>
      <c r="B49" s="157"/>
      <c r="C49" s="158"/>
      <c r="D49" s="159"/>
      <c r="E49" s="177"/>
      <c r="F49" s="161"/>
      <c r="G49" s="162"/>
      <c r="H49" s="162"/>
      <c r="I49" s="178"/>
      <c r="J49" s="165"/>
      <c r="K49" s="126"/>
      <c r="L49" s="127"/>
      <c r="M49" s="128"/>
      <c r="N49" s="165"/>
      <c r="O49" s="165"/>
      <c r="P49" s="177"/>
      <c r="Q49" s="165"/>
      <c r="R49" s="165"/>
      <c r="S49" s="126"/>
      <c r="T49" s="128"/>
      <c r="U49" s="128"/>
      <c r="V49" s="165"/>
      <c r="W49" s="165"/>
      <c r="X49" s="177"/>
      <c r="Y49" s="165"/>
      <c r="Z49" s="166"/>
      <c r="AA49" s="165"/>
      <c r="AB49" s="132"/>
      <c r="AC49" s="133"/>
      <c r="AD49" s="133"/>
      <c r="AE49" s="133"/>
      <c r="AF49" s="133" t="str">
        <f aca="false">IF(ISBLANK($C49),"",IF(E49=Constants!$B$3,TRUE(),IF(E49=Constants!$B$4,FALSE(),TRUE())))</f>
        <v/>
      </c>
      <c r="AG49" s="133" t="str">
        <f aca="false">IF(ISBLANK($C49),"",IF(F49=Constants!$B$3,TRUE(),IF(F49=Constants!$B$4,FALSE(),TRUE())))</f>
        <v/>
      </c>
      <c r="AH49" s="133" t="str">
        <f aca="false">IF(ISBLANK($C49),"",IF(G49=Constants!$B$3,TRUE(),IF(G49=Constants!$B$4,FALSE(),TRUE())))</f>
        <v/>
      </c>
      <c r="AI49" s="133" t="str">
        <f aca="false">IF(ISBLANK($C49),"",IF(AND(ISNUMBER(H49),H49&gt;=0),H49,Constants!$B$29))</f>
        <v/>
      </c>
      <c r="AJ49" s="133" t="str">
        <f aca="false">IF(ISBLANK($C49),"",IF(I49=Constants!$B$3,TRUE(),IF(I49=Constants!$B$4,FALSE(),TRUE())))</f>
        <v/>
      </c>
      <c r="AK49" s="133" t="str">
        <f aca="false">IF(ISBLANK($C49),"",IF(J49=Constants!$B$3,TRUE(),IF(J49=Constants!$B$4,FALSE(),TRUE())))</f>
        <v/>
      </c>
      <c r="AL49" s="133" t="str">
        <f aca="false">IF(ISBLANK($C49),"",IF(K49=Constants!$B$5,TRUE(),IF(K49=Constants!$B$6,FALSE(),COUNTA(L49:P49)&gt;0)))</f>
        <v/>
      </c>
      <c r="AM49" s="134" t="str">
        <f aca="false">IF(ISBLANK($C49),"",IF(ISNUMBER(L49),IF(L49&gt;=0,L49,""),""))</f>
        <v/>
      </c>
      <c r="AN49" s="135" t="str">
        <f aca="false">IF(ISBLANK($C49),"",IF(ISNUMBER(M49),IF(M49&gt;=0,M49,""),""))</f>
        <v/>
      </c>
      <c r="AO49" s="135" t="str">
        <f aca="false">IF(ISBLANK($C49),"",IF(N49=Constants!$B$3,TRUE(),IF(N49=Constants!$B$4,FALSE(),TRUE())))</f>
        <v/>
      </c>
      <c r="AP49" s="133" t="str">
        <f aca="false">IF(ISBLANK($C49),"",IF(ISNUMBER(O49),IF(O49&gt;=0,O49,""),""))</f>
        <v/>
      </c>
      <c r="AQ49" s="133" t="str">
        <f aca="false">IF(ISBLANK($C49),"",IF(P49=Constants!$B$3,TRUE(),IF(P49=Constants!$B$4,FALSE(),FALSE())))</f>
        <v/>
      </c>
      <c r="AR49" s="133" t="str">
        <f aca="false">IF(ISBLANK($C49),"",IF(Q49=Constants!$B$3,TRUE(),IF(Q49=Constants!$B$4,FALSE(),TRUE())))</f>
        <v/>
      </c>
      <c r="AS49" s="133" t="str">
        <f aca="false">IF(ISBLANK($C49),"",IF(R49=Constants!$B$3,TRUE(),IF(R49=Constants!$B$4,FALSE(),TRUE())))</f>
        <v/>
      </c>
      <c r="AT49" s="133" t="str">
        <f aca="false">IF(ISBLANK($C49),"",IF(S49=Constants!$B$5,TRUE(),IF(S49=Constants!$B$6,FALSE(),COUNTA(T49:X49)&gt;0)))</f>
        <v/>
      </c>
      <c r="AU49" s="134" t="str">
        <f aca="false">IF(ISBLANK($C49),"",IF(ISNUMBER(T49),IF(T49&gt;=0,T49,""),""))</f>
        <v/>
      </c>
      <c r="AV49" s="135" t="str">
        <f aca="false">IF(ISBLANK($C49),"",IF(ISNUMBER(U49),IF(U49&gt;=0,U49,""),""))</f>
        <v/>
      </c>
      <c r="AW49" s="135" t="str">
        <f aca="false">IF(ISBLANK($C49),"",IF(V49=Constants!$B$3,TRUE(),IF(V49=Constants!$B$4,FALSE(),TRUE())))</f>
        <v/>
      </c>
      <c r="AX49" s="133" t="str">
        <f aca="false">IF(ISBLANK($C49),"",IF(ISNUMBER(W49),IF(W49&gt;=0,W49,""),""))</f>
        <v/>
      </c>
      <c r="AY49" s="133" t="str">
        <f aca="false">IF(ISBLANK($C49),"",IF(X49=Constants!$B$3,TRUE(),IF(X49=Constants!$B$4,FALSE(),FALSE())))</f>
        <v/>
      </c>
      <c r="AZ49" s="133" t="str">
        <f aca="false">IF(ISBLANK($C49),"",MIN(Constants!$B$31,MAX(0,IF(ISNUMBER(Y49),Y49*60,0)+IF(ISNUMBER(Z49),Z49,0))))</f>
        <v/>
      </c>
      <c r="BA49" s="133" t="str">
        <f aca="false">IF(ISBLANK($C49),"",IF(AA49=Constants!$B$3,TRUE(),IF(AA49=Constants!$B$4,FALSE(),FALSE())))</f>
        <v/>
      </c>
      <c r="BB49" s="132" t="str">
        <f aca="false">IF(ISBLANK($C49),"",AND($AL49,OR($AM49="",$AN49="",AND($AO49,$AP49=""))))</f>
        <v/>
      </c>
      <c r="BC49" s="135" t="str">
        <f aca="false">IF($BR49&lt;&gt;Constants!$B$8,"",IF($AL49,Constants!$B$21*$AN49+Constants!$B$22*IF($AO49,$AP49,Constants!$B$23),Constants!$B$24))</f>
        <v/>
      </c>
      <c r="BD49" s="136" t="str">
        <f aca="false">IF($BR49&lt;&gt;Constants!$B$8,"",Constants!$B$25*ABS($AD$9-IF($AL49,$AM49,0)))</f>
        <v/>
      </c>
      <c r="BE49" s="136" t="str">
        <f aca="false">IF($BR49&lt;&gt;Constants!$B$8,"",IF(AND($AL49,$AQ49,$AO49),Constants!$B$27,0))</f>
        <v/>
      </c>
      <c r="BF49" s="136" t="str">
        <f aca="false">IF($BR49&lt;&gt;Constants!$B$8,"",IF($AL49,($AI49-Constants!$B$29)*Constants!$B$28,0))</f>
        <v/>
      </c>
      <c r="BG49" s="136" t="str">
        <f aca="false">IF($BR49&lt;&gt;Constants!$B$8,"",IF($AK49,0,Constants!$B$15)+IF($AJ49,0,Constants!$B$16)+IF($AH49,0,Constants!$B$17))</f>
        <v/>
      </c>
      <c r="BH49" s="137" t="str">
        <f aca="false">IF($BR49&lt;&gt;Constants!$B$8,"",Constants!$B$20+SUM($BC49:$BG49))</f>
        <v/>
      </c>
      <c r="BI49" s="133" t="str">
        <f aca="false">IF($BR49&lt;&gt;Constants!$B$8,"",IF(OR($BP49&lt;$BH49,AND($BP49=$BH49,OR($BK49&lt;$BC49,AND($BK49=$BC49,OR($BL49&lt;$BD49,AND($BL49=$BD49,$AT49,$AL49,$AV49&lt;$AN49)))))),"-&gt;","&lt;-"))</f>
        <v/>
      </c>
      <c r="BJ49" s="132" t="str">
        <f aca="false">IF(ISBLANK($C49),"",AND($AT49,OR($AU49="",$AV49="",AND($AW49,$AX49=""))))</f>
        <v/>
      </c>
      <c r="BK49" s="135" t="str">
        <f aca="false">IF($BR49&lt;&gt;Constants!$B$8,"",IF($AT49,Constants!$B$21*$AV49+Constants!$B$22*IF($AW49,$AX49,Constants!$B$23),Constants!$B$24))</f>
        <v/>
      </c>
      <c r="BL49" s="136" t="str">
        <f aca="false">IF($BR49&lt;&gt;Constants!$B$8,"",Constants!$B$25*ABS($AD$9-IF($AT49,$AU49,0)))</f>
        <v/>
      </c>
      <c r="BM49" s="136" t="str">
        <f aca="false">IF($BR49&lt;&gt;Constants!$B$8,"",IF(AND($AT49,$AY49,$AW49),Constants!$B$27,0))</f>
        <v/>
      </c>
      <c r="BN49" s="136" t="str">
        <f aca="false">IF($BR49&lt;&gt;Constants!$B$8,"",IF($AT49,($AI49-Constants!$B$29)*Constants!$B$28,0))</f>
        <v/>
      </c>
      <c r="BO49" s="136" t="str">
        <f aca="false">IF($BR49&lt;&gt;Constants!$B$8,"",IF($AS49,0,Constants!$B$15)+IF($AR49,0,Constants!$B$16)+IF($AH49,0,Constants!$B$17))</f>
        <v/>
      </c>
      <c r="BP49" s="137" t="str">
        <f aca="false">IF($BR49&lt;&gt;Constants!$B$8,"",Constants!$B$20+SUM($BK49:$BO49))</f>
        <v/>
      </c>
      <c r="BQ49" s="133" t="str">
        <f aca="false">IF(ISBLANK($C49),"",IF(ISBLANK($D$7),$BQ$5,IF(NOT(ISNUMBER($D$7)),$BQ$6,"")))</f>
        <v/>
      </c>
      <c r="BR49" s="133" t="str">
        <f aca="false">IF(ISBLANK($C49),"",IF($BA49,Constants!$B$11,IF(COUNTA($E49:$AA49)=0,Constants!$B$10,IF(NOT($AG49),Constants!$B$9,IF(OR($BQ49&lt;&gt;"",$BB49,$BJ49),Constants!$B$12,Constants!$B$8)))))</f>
        <v/>
      </c>
      <c r="BS49" s="133" t="str">
        <f aca="false">IF(ISBLANK($C49),"",IF($BR49&lt;&gt;Constants!$B$8,$BR49,Constants!$B$13))</f>
        <v/>
      </c>
      <c r="BT49" s="136" t="str">
        <f aca="false">IF($BR49&lt;&gt;Constants!$B$8,"",IF($BI49="-&gt;",$BP49,$BH49))</f>
        <v/>
      </c>
      <c r="BU49" s="136" t="str">
        <f aca="false">IF($BR49&lt;&gt;Constants!$B$8,"",IF($AF49,0,Constants!$B$18))</f>
        <v/>
      </c>
      <c r="BV49" s="136" t="str">
        <f aca="false">IF($BR49&lt;&gt;Constants!$B$8,"",((Constants!$B$31-$AZ49)-Constants!$B$31)/Constants!$B$32)</f>
        <v/>
      </c>
      <c r="BW49" s="136" t="str">
        <f aca="false">IF(ISBLANK($C49),"",IF($BR49&lt;&gt;Constants!$B$8,$BR49,SUM($BT49:$BV49)))</f>
        <v/>
      </c>
      <c r="BX49" s="133" t="str">
        <f aca="false">IF(ISBLANK($C49),"",IF($BR49&lt;&gt;Constants!$B$8,$BR49,RANK($BW49,$BW$9:$BW$508,1)))</f>
        <v/>
      </c>
      <c r="BY49" s="136" t="str">
        <f aca="false">IF($BR49&lt;&gt;Constants!$B$8,"",IF($BI49="-&gt;",$BK49,$BC49))</f>
        <v/>
      </c>
      <c r="BZ49" s="133" t="str">
        <f aca="false">IF(ISBLANK($C49),"",IF($BR49&lt;&gt;Constants!$B$8,$BR49,IF(ISNUMBER($BY49),RANK($BY49,$BY$9:$BY$508,1),COUNT($BY$9:$BY$508)+1)))</f>
        <v/>
      </c>
      <c r="CA49" s="136" t="str">
        <f aca="false">IF($BR49&lt;&gt;Constants!$B$8,"",IF($BI49="-&gt;",$BL49,$BD49))</f>
        <v/>
      </c>
      <c r="CB49" s="133" t="str">
        <f aca="false">IF(ISBLANK($C49),"",IF($BR49&lt;&gt;Constants!$B$8,$BR49,IF(ISNUMBER($CA49),RANK($CA49,$CA$9:$CA$508,1),COUNT($CA$9:$CA$508)+1)))</f>
        <v/>
      </c>
      <c r="CC49" s="136" t="str">
        <f aca="false">IF($BR49&lt;&gt;Constants!$B$8,"",IF($BI49="-&gt;",IF($AT49,$AV49,""),IF($AL49,$AN49,"")))</f>
        <v/>
      </c>
      <c r="CD49" s="133" t="str">
        <f aca="false">IF(ISBLANK($C49),"",IF($BR49&lt;&gt;Constants!$B$8,$BR49,IF(ISNUMBER($CC49),RANK($CC49,$CC$9:$CC$508,1),COUNT($CC$9:$CC$508)+1)))</f>
        <v/>
      </c>
      <c r="CE49" s="136" t="str">
        <f aca="false">IF($BR49&lt;&gt;Constants!$B$8,"",IF(AND(NOT($AL49),NOT($AT49),$AJ49,$AK49,$AR49,$AS49),"",$AI49))</f>
        <v/>
      </c>
      <c r="CF49" s="133" t="str">
        <f aca="false">IF(ISBLANK($C49),"",IF($BR49&lt;&gt;Constants!$B$8,$BR49,IF(ISNUMBER($CE49),RANK($CE49,$CE$9:$CE$508,1),COUNT($CE$9:$CE$508)+1)))</f>
        <v/>
      </c>
      <c r="CG49" s="133" t="str">
        <f aca="false">IF(ISBLANK($C49),"",IF($BR49&lt;&gt;Constants!$B$8,$BR49,COUNTIFS($BX$9:$BX$508,"&lt;"&amp;$BX49)+COUNTIFS($BX$9:$BX$508,$BX49,$BZ$9:$BZ$508,"&lt;"&amp;$BZ49)+COUNTIFS($BX$9:$BX$508,$BX49,$BZ$9:$BZ$508,$BZ49,$CB$9:$CB$508,"&lt;"&amp;$CB49)+COUNTIFS($BX$9:$BX$508,$BX49,$BZ$9:$BZ$508,$BZ49,$CB$9:$CB$508,$CB49,$CD$9:$CD$508,"&lt;"&amp;$CD49)+COUNTIFS($BX$9:$BX$508,$BX49,$BZ$9:$BZ$508,$BZ49,$CB$9:$CB$508,$CB49,$CD$9:$CD$508,$CD49,$CF$9:$CF$508,"&lt;"&amp;$CF49)+1))</f>
        <v/>
      </c>
      <c r="CH49" s="133" t="str">
        <f aca="false">IF(ISBLANK($C49),"",IF($BR49&lt;&gt;Constants!$B$8,$BR49,$BX49-$CG49))</f>
        <v/>
      </c>
      <c r="CI49" s="138"/>
      <c r="CJ49" s="139"/>
      <c r="CK49" s="140" t="str">
        <f aca="false">IF(ISBLANK($C49),"",IF($BR49=Constants!$B$12,$BQ49,""))</f>
        <v/>
      </c>
      <c r="CL49" s="139" t="str">
        <f aca="false">IF(ISBLANK($C49),"",IF($BR49&lt;&gt;Constants!$B$8,"",IF($BI49="-&gt;",2,1)))</f>
        <v/>
      </c>
      <c r="CM49" s="141" t="str">
        <f aca="false">IF(ISBLANK($C49),"",IF($BR49&lt;&gt;Constants!$B$8,"",IF($BI49="-&gt;",$BK49,$BC49)))</f>
        <v/>
      </c>
      <c r="CN49" s="141" t="str">
        <f aca="false">IF(ISBLANK($C49),"",IF($BR49&lt;&gt;Constants!$B$8,"",IF($BI49="-&gt;",$BL49,$BD49)))</f>
        <v/>
      </c>
      <c r="CO49" s="141" t="str">
        <f aca="false">IF(ISBLANK($C49),"",IF($BR49&lt;&gt;Constants!$B$8,"",IF($BI49="-&gt;",$BM49+$BN49,$BE49+$BF49)+$BV49))</f>
        <v/>
      </c>
      <c r="CP49" s="141" t="str">
        <f aca="false">IF(ISBLANK($C49),"",IF($BR49&lt;&gt;Constants!$B$8,"",IF($BI49="-&gt;",$BO49,$BG49)+$BU49))</f>
        <v/>
      </c>
      <c r="CQ49" s="142" t="str">
        <f aca="false">IF(ISBLANK($C49),"",IF($BR49&lt;&gt;Constants!$B$8,$BR49,$BW49))</f>
        <v/>
      </c>
      <c r="CR49" s="143" t="str">
        <f aca="false">IF(ISBLANK($C49),"",$BS49)</f>
        <v/>
      </c>
      <c r="CS49" s="144" t="str">
        <f aca="false">IF(ISBLANK($C49),"",$CH49)</f>
        <v/>
      </c>
      <c r="CT49" s="144" t="str">
        <f aca="false">IF(ISBLANK($C49),"",$CG49)</f>
        <v/>
      </c>
      <c r="CU49" s="145" t="str">
        <f aca="false">IF(ISBLANK($C49),"",IFERROR(_xlfn.SWITCH($CT49,Constants!$B$11,COUNTA($C$9:$C$508)+2,Constants!$B$10,COUNTA($C$9:$C$508)+1,Constants!$B$9,COUNTA($C$9:$C$508)),$CT49))</f>
        <v/>
      </c>
      <c r="CV49" s="9"/>
      <c r="CW49" s="146" t="n">
        <f aca="false">IF(OR(ISNUMBER($CT49),$CT49=Constants!$B$11,$CT49=Constants!$B$9,$CT49=Constants!$B$10),1,0)</f>
        <v>0</v>
      </c>
      <c r="CX49" s="146" t="n">
        <v>41</v>
      </c>
      <c r="CY49" s="146" t="str">
        <f aca="false">IF(ISBLANK($C49),"",IF(ISNUMBER($CU49),$CU49+ROW($B49)/1000,""))</f>
        <v/>
      </c>
      <c r="CZ49" s="146" t="str">
        <f aca="false">IF(ISNUMBER($CY49),RANK($CY49,$CY$9:$CY$508,1),"")</f>
        <v/>
      </c>
      <c r="DA49" s="146" t="str">
        <f aca="false">IF(ISBLANK($C49),"",$B49)</f>
        <v/>
      </c>
      <c r="DB49" s="146" t="str">
        <f aca="false">IF(ISBLANK($C49),"",$C49)</f>
        <v/>
      </c>
      <c r="DC49" s="146" t="str">
        <f aca="false">IF(ISBLANK($C49),"",$D49)</f>
        <v/>
      </c>
      <c r="DD49" s="147" t="str">
        <f aca="false">$CR49</f>
        <v/>
      </c>
      <c r="DE49" s="148" t="str">
        <f aca="false">$CQ49</f>
        <v/>
      </c>
      <c r="DF49" s="146" t="str">
        <f aca="false">IF(ISBLANK($C49),"",$CT49)</f>
        <v/>
      </c>
      <c r="DG49" s="149" t="str">
        <f aca="false">IF($CX49&gt;$CW$8,"",VLOOKUP($CX49,$CZ$9:$DF$508,7,FALSE()))</f>
        <v/>
      </c>
      <c r="DH49" s="150" t="str">
        <f aca="false">IF($CX49&gt;$CW$8,"",VLOOKUP($CX49,$CZ$9:$DF$508,2,FALSE()))</f>
        <v/>
      </c>
      <c r="DI49" s="150" t="str">
        <f aca="false">IF($CX49&gt;$CW$8,"",VLOOKUP($CX49,$CZ$9:$DF$508,3,FALSE()))</f>
        <v/>
      </c>
      <c r="DJ49" s="150" t="str">
        <f aca="false">IF($CX49&gt;$CW$8,"",VLOOKUP($CX49,$CZ$9:$DF$508,4,FALSE()))</f>
        <v/>
      </c>
      <c r="DK49" s="150" t="str">
        <f aca="false">IF($CX49&gt;$CW$8,"",VLOOKUP($CX49,$CZ$9:$DF$508,5,FALSE()))</f>
        <v/>
      </c>
      <c r="DL49" s="151" t="str">
        <f aca="false">IF($CX49&gt;$CW$8,"",VLOOKUP($CX49,$CZ$9:$DF$508,6,FALSE()))</f>
        <v/>
      </c>
      <c r="DM49" s="75"/>
    </row>
    <row r="50" customFormat="false" ht="15.75" hidden="false" customHeight="false" outlineLevel="0" collapsed="false">
      <c r="A50" s="9"/>
      <c r="B50" s="157"/>
      <c r="C50" s="158"/>
      <c r="D50" s="159"/>
      <c r="E50" s="177"/>
      <c r="F50" s="161"/>
      <c r="G50" s="162"/>
      <c r="H50" s="162"/>
      <c r="I50" s="178"/>
      <c r="J50" s="165"/>
      <c r="K50" s="126"/>
      <c r="L50" s="127"/>
      <c r="M50" s="128"/>
      <c r="N50" s="165"/>
      <c r="O50" s="165"/>
      <c r="P50" s="177"/>
      <c r="Q50" s="165"/>
      <c r="R50" s="165"/>
      <c r="S50" s="126"/>
      <c r="T50" s="128"/>
      <c r="U50" s="128"/>
      <c r="V50" s="165"/>
      <c r="W50" s="165"/>
      <c r="X50" s="177"/>
      <c r="Y50" s="165"/>
      <c r="Z50" s="166"/>
      <c r="AA50" s="165"/>
      <c r="AB50" s="132"/>
      <c r="AC50" s="133"/>
      <c r="AD50" s="133"/>
      <c r="AE50" s="133"/>
      <c r="AF50" s="133" t="str">
        <f aca="false">IF(ISBLANK($C50),"",IF(E50=Constants!$B$3,TRUE(),IF(E50=Constants!$B$4,FALSE(),TRUE())))</f>
        <v/>
      </c>
      <c r="AG50" s="133" t="str">
        <f aca="false">IF(ISBLANK($C50),"",IF(F50=Constants!$B$3,TRUE(),IF(F50=Constants!$B$4,FALSE(),TRUE())))</f>
        <v/>
      </c>
      <c r="AH50" s="133" t="str">
        <f aca="false">IF(ISBLANK($C50),"",IF(G50=Constants!$B$3,TRUE(),IF(G50=Constants!$B$4,FALSE(),TRUE())))</f>
        <v/>
      </c>
      <c r="AI50" s="133" t="str">
        <f aca="false">IF(ISBLANK($C50),"",IF(AND(ISNUMBER(H50),H50&gt;=0),H50,Constants!$B$29))</f>
        <v/>
      </c>
      <c r="AJ50" s="133" t="str">
        <f aca="false">IF(ISBLANK($C50),"",IF(I50=Constants!$B$3,TRUE(),IF(I50=Constants!$B$4,FALSE(),TRUE())))</f>
        <v/>
      </c>
      <c r="AK50" s="133" t="str">
        <f aca="false">IF(ISBLANK($C50),"",IF(J50=Constants!$B$3,TRUE(),IF(J50=Constants!$B$4,FALSE(),TRUE())))</f>
        <v/>
      </c>
      <c r="AL50" s="133" t="str">
        <f aca="false">IF(ISBLANK($C50),"",IF(K50=Constants!$B$5,TRUE(),IF(K50=Constants!$B$6,FALSE(),COUNTA(L50:P50)&gt;0)))</f>
        <v/>
      </c>
      <c r="AM50" s="134" t="str">
        <f aca="false">IF(ISBLANK($C50),"",IF(ISNUMBER(L50),IF(L50&gt;=0,L50,""),""))</f>
        <v/>
      </c>
      <c r="AN50" s="135" t="str">
        <f aca="false">IF(ISBLANK($C50),"",IF(ISNUMBER(M50),IF(M50&gt;=0,M50,""),""))</f>
        <v/>
      </c>
      <c r="AO50" s="135" t="str">
        <f aca="false">IF(ISBLANK($C50),"",IF(N50=Constants!$B$3,TRUE(),IF(N50=Constants!$B$4,FALSE(),TRUE())))</f>
        <v/>
      </c>
      <c r="AP50" s="133" t="str">
        <f aca="false">IF(ISBLANK($C50),"",IF(ISNUMBER(O50),IF(O50&gt;=0,O50,""),""))</f>
        <v/>
      </c>
      <c r="AQ50" s="133" t="str">
        <f aca="false">IF(ISBLANK($C50),"",IF(P50=Constants!$B$3,TRUE(),IF(P50=Constants!$B$4,FALSE(),FALSE())))</f>
        <v/>
      </c>
      <c r="AR50" s="133" t="str">
        <f aca="false">IF(ISBLANK($C50),"",IF(Q50=Constants!$B$3,TRUE(),IF(Q50=Constants!$B$4,FALSE(),TRUE())))</f>
        <v/>
      </c>
      <c r="AS50" s="133" t="str">
        <f aca="false">IF(ISBLANK($C50),"",IF(R50=Constants!$B$3,TRUE(),IF(R50=Constants!$B$4,FALSE(),TRUE())))</f>
        <v/>
      </c>
      <c r="AT50" s="133" t="str">
        <f aca="false">IF(ISBLANK($C50),"",IF(S50=Constants!$B$5,TRUE(),IF(S50=Constants!$B$6,FALSE(),COUNTA(T50:X50)&gt;0)))</f>
        <v/>
      </c>
      <c r="AU50" s="134" t="str">
        <f aca="false">IF(ISBLANK($C50),"",IF(ISNUMBER(T50),IF(T50&gt;=0,T50,""),""))</f>
        <v/>
      </c>
      <c r="AV50" s="135" t="str">
        <f aca="false">IF(ISBLANK($C50),"",IF(ISNUMBER(U50),IF(U50&gt;=0,U50,""),""))</f>
        <v/>
      </c>
      <c r="AW50" s="135" t="str">
        <f aca="false">IF(ISBLANK($C50),"",IF(V50=Constants!$B$3,TRUE(),IF(V50=Constants!$B$4,FALSE(),TRUE())))</f>
        <v/>
      </c>
      <c r="AX50" s="133" t="str">
        <f aca="false">IF(ISBLANK($C50),"",IF(ISNUMBER(W50),IF(W50&gt;=0,W50,""),""))</f>
        <v/>
      </c>
      <c r="AY50" s="133" t="str">
        <f aca="false">IF(ISBLANK($C50),"",IF(X50=Constants!$B$3,TRUE(),IF(X50=Constants!$B$4,FALSE(),FALSE())))</f>
        <v/>
      </c>
      <c r="AZ50" s="133" t="str">
        <f aca="false">IF(ISBLANK($C50),"",MIN(Constants!$B$31,MAX(0,IF(ISNUMBER(Y50),Y50*60,0)+IF(ISNUMBER(Z50),Z50,0))))</f>
        <v/>
      </c>
      <c r="BA50" s="133" t="str">
        <f aca="false">IF(ISBLANK($C50),"",IF(AA50=Constants!$B$3,TRUE(),IF(AA50=Constants!$B$4,FALSE(),FALSE())))</f>
        <v/>
      </c>
      <c r="BB50" s="132" t="str">
        <f aca="false">IF(ISBLANK($C50),"",AND($AL50,OR($AM50="",$AN50="",AND($AO50,$AP50=""))))</f>
        <v/>
      </c>
      <c r="BC50" s="135" t="str">
        <f aca="false">IF($BR50&lt;&gt;Constants!$B$8,"",IF($AL50,Constants!$B$21*$AN50+Constants!$B$22*IF($AO50,$AP50,Constants!$B$23),Constants!$B$24))</f>
        <v/>
      </c>
      <c r="BD50" s="136" t="str">
        <f aca="false">IF($BR50&lt;&gt;Constants!$B$8,"",Constants!$B$25*ABS($AD$9-IF($AL50,$AM50,0)))</f>
        <v/>
      </c>
      <c r="BE50" s="136" t="str">
        <f aca="false">IF($BR50&lt;&gt;Constants!$B$8,"",IF(AND($AL50,$AQ50,$AO50),Constants!$B$27,0))</f>
        <v/>
      </c>
      <c r="BF50" s="136" t="str">
        <f aca="false">IF($BR50&lt;&gt;Constants!$B$8,"",IF($AL50,($AI50-Constants!$B$29)*Constants!$B$28,0))</f>
        <v/>
      </c>
      <c r="BG50" s="136" t="str">
        <f aca="false">IF($BR50&lt;&gt;Constants!$B$8,"",IF($AK50,0,Constants!$B$15)+IF($AJ50,0,Constants!$B$16)+IF($AH50,0,Constants!$B$17))</f>
        <v/>
      </c>
      <c r="BH50" s="137" t="str">
        <f aca="false">IF($BR50&lt;&gt;Constants!$B$8,"",Constants!$B$20+SUM($BC50:$BG50))</f>
        <v/>
      </c>
      <c r="BI50" s="133" t="str">
        <f aca="false">IF($BR50&lt;&gt;Constants!$B$8,"",IF(OR($BP50&lt;$BH50,AND($BP50=$BH50,OR($BK50&lt;$BC50,AND($BK50=$BC50,OR($BL50&lt;$BD50,AND($BL50=$BD50,$AT50,$AL50,$AV50&lt;$AN50)))))),"-&gt;","&lt;-"))</f>
        <v/>
      </c>
      <c r="BJ50" s="132" t="str">
        <f aca="false">IF(ISBLANK($C50),"",AND($AT50,OR($AU50="",$AV50="",AND($AW50,$AX50=""))))</f>
        <v/>
      </c>
      <c r="BK50" s="135" t="str">
        <f aca="false">IF($BR50&lt;&gt;Constants!$B$8,"",IF($AT50,Constants!$B$21*$AV50+Constants!$B$22*IF($AW50,$AX50,Constants!$B$23),Constants!$B$24))</f>
        <v/>
      </c>
      <c r="BL50" s="136" t="str">
        <f aca="false">IF($BR50&lt;&gt;Constants!$B$8,"",Constants!$B$25*ABS($AD$9-IF($AT50,$AU50,0)))</f>
        <v/>
      </c>
      <c r="BM50" s="136" t="str">
        <f aca="false">IF($BR50&lt;&gt;Constants!$B$8,"",IF(AND($AT50,$AY50,$AW50),Constants!$B$27,0))</f>
        <v/>
      </c>
      <c r="BN50" s="136" t="str">
        <f aca="false">IF($BR50&lt;&gt;Constants!$B$8,"",IF($AT50,($AI50-Constants!$B$29)*Constants!$B$28,0))</f>
        <v/>
      </c>
      <c r="BO50" s="136" t="str">
        <f aca="false">IF($BR50&lt;&gt;Constants!$B$8,"",IF($AS50,0,Constants!$B$15)+IF($AR50,0,Constants!$B$16)+IF($AH50,0,Constants!$B$17))</f>
        <v/>
      </c>
      <c r="BP50" s="137" t="str">
        <f aca="false">IF($BR50&lt;&gt;Constants!$B$8,"",Constants!$B$20+SUM($BK50:$BO50))</f>
        <v/>
      </c>
      <c r="BQ50" s="133" t="str">
        <f aca="false">IF(ISBLANK($C50),"",IF(ISBLANK($D$7),$BQ$5,IF(NOT(ISNUMBER($D$7)),$BQ$6,"")))</f>
        <v/>
      </c>
      <c r="BR50" s="133" t="str">
        <f aca="false">IF(ISBLANK($C50),"",IF($BA50,Constants!$B$11,IF(COUNTA($E50:$AA50)=0,Constants!$B$10,IF(NOT($AG50),Constants!$B$9,IF(OR($BQ50&lt;&gt;"",$BB50,$BJ50),Constants!$B$12,Constants!$B$8)))))</f>
        <v/>
      </c>
      <c r="BS50" s="133" t="str">
        <f aca="false">IF(ISBLANK($C50),"",IF($BR50&lt;&gt;Constants!$B$8,$BR50,Constants!$B$13))</f>
        <v/>
      </c>
      <c r="BT50" s="136" t="str">
        <f aca="false">IF($BR50&lt;&gt;Constants!$B$8,"",IF($BI50="-&gt;",$BP50,$BH50))</f>
        <v/>
      </c>
      <c r="BU50" s="136" t="str">
        <f aca="false">IF($BR50&lt;&gt;Constants!$B$8,"",IF($AF50,0,Constants!$B$18))</f>
        <v/>
      </c>
      <c r="BV50" s="136" t="str">
        <f aca="false">IF($BR50&lt;&gt;Constants!$B$8,"",((Constants!$B$31-$AZ50)-Constants!$B$31)/Constants!$B$32)</f>
        <v/>
      </c>
      <c r="BW50" s="136" t="str">
        <f aca="false">IF(ISBLANK($C50),"",IF($BR50&lt;&gt;Constants!$B$8,$BR50,SUM($BT50:$BV50)))</f>
        <v/>
      </c>
      <c r="BX50" s="133" t="str">
        <f aca="false">IF(ISBLANK($C50),"",IF($BR50&lt;&gt;Constants!$B$8,$BR50,RANK($BW50,$BW$9:$BW$508,1)))</f>
        <v/>
      </c>
      <c r="BY50" s="136" t="str">
        <f aca="false">IF($BR50&lt;&gt;Constants!$B$8,"",IF($BI50="-&gt;",$BK50,$BC50))</f>
        <v/>
      </c>
      <c r="BZ50" s="133" t="str">
        <f aca="false">IF(ISBLANK($C50),"",IF($BR50&lt;&gt;Constants!$B$8,$BR50,IF(ISNUMBER($BY50),RANK($BY50,$BY$9:$BY$508,1),COUNT($BY$9:$BY$508)+1)))</f>
        <v/>
      </c>
      <c r="CA50" s="136" t="str">
        <f aca="false">IF($BR50&lt;&gt;Constants!$B$8,"",IF($BI50="-&gt;",$BL50,$BD50))</f>
        <v/>
      </c>
      <c r="CB50" s="133" t="str">
        <f aca="false">IF(ISBLANK($C50),"",IF($BR50&lt;&gt;Constants!$B$8,$BR50,IF(ISNUMBER($CA50),RANK($CA50,$CA$9:$CA$508,1),COUNT($CA$9:$CA$508)+1)))</f>
        <v/>
      </c>
      <c r="CC50" s="136" t="str">
        <f aca="false">IF($BR50&lt;&gt;Constants!$B$8,"",IF($BI50="-&gt;",IF($AT50,$AV50,""),IF($AL50,$AN50,"")))</f>
        <v/>
      </c>
      <c r="CD50" s="133" t="str">
        <f aca="false">IF(ISBLANK($C50),"",IF($BR50&lt;&gt;Constants!$B$8,$BR50,IF(ISNUMBER($CC50),RANK($CC50,$CC$9:$CC$508,1),COUNT($CC$9:$CC$508)+1)))</f>
        <v/>
      </c>
      <c r="CE50" s="136" t="str">
        <f aca="false">IF($BR50&lt;&gt;Constants!$B$8,"",IF(AND(NOT($AL50),NOT($AT50),$AJ50,$AK50,$AR50,$AS50),"",$AI50))</f>
        <v/>
      </c>
      <c r="CF50" s="133" t="str">
        <f aca="false">IF(ISBLANK($C50),"",IF($BR50&lt;&gt;Constants!$B$8,$BR50,IF(ISNUMBER($CE50),RANK($CE50,$CE$9:$CE$508,1),COUNT($CE$9:$CE$508)+1)))</f>
        <v/>
      </c>
      <c r="CG50" s="133" t="str">
        <f aca="false">IF(ISBLANK($C50),"",IF($BR50&lt;&gt;Constants!$B$8,$BR50,COUNTIFS($BX$9:$BX$508,"&lt;"&amp;$BX50)+COUNTIFS($BX$9:$BX$508,$BX50,$BZ$9:$BZ$508,"&lt;"&amp;$BZ50)+COUNTIFS($BX$9:$BX$508,$BX50,$BZ$9:$BZ$508,$BZ50,$CB$9:$CB$508,"&lt;"&amp;$CB50)+COUNTIFS($BX$9:$BX$508,$BX50,$BZ$9:$BZ$508,$BZ50,$CB$9:$CB$508,$CB50,$CD$9:$CD$508,"&lt;"&amp;$CD50)+COUNTIFS($BX$9:$BX$508,$BX50,$BZ$9:$BZ$508,$BZ50,$CB$9:$CB$508,$CB50,$CD$9:$CD$508,$CD50,$CF$9:$CF$508,"&lt;"&amp;$CF50)+1))</f>
        <v/>
      </c>
      <c r="CH50" s="133" t="str">
        <f aca="false">IF(ISBLANK($C50),"",IF($BR50&lt;&gt;Constants!$B$8,$BR50,$BX50-$CG50))</f>
        <v/>
      </c>
      <c r="CI50" s="138"/>
      <c r="CJ50" s="139"/>
      <c r="CK50" s="140" t="str">
        <f aca="false">IF(ISBLANK($C50),"",IF($BR50=Constants!$B$12,$BQ50,""))</f>
        <v/>
      </c>
      <c r="CL50" s="139" t="str">
        <f aca="false">IF(ISBLANK($C50),"",IF($BR50&lt;&gt;Constants!$B$8,"",IF($BI50="-&gt;",2,1)))</f>
        <v/>
      </c>
      <c r="CM50" s="141" t="str">
        <f aca="false">IF(ISBLANK($C50),"",IF($BR50&lt;&gt;Constants!$B$8,"",IF($BI50="-&gt;",$BK50,$BC50)))</f>
        <v/>
      </c>
      <c r="CN50" s="141" t="str">
        <f aca="false">IF(ISBLANK($C50),"",IF($BR50&lt;&gt;Constants!$B$8,"",IF($BI50="-&gt;",$BL50,$BD50)))</f>
        <v/>
      </c>
      <c r="CO50" s="141" t="str">
        <f aca="false">IF(ISBLANK($C50),"",IF($BR50&lt;&gt;Constants!$B$8,"",IF($BI50="-&gt;",$BM50+$BN50,$BE50+$BF50)+$BV50))</f>
        <v/>
      </c>
      <c r="CP50" s="141" t="str">
        <f aca="false">IF(ISBLANK($C50),"",IF($BR50&lt;&gt;Constants!$B$8,"",IF($BI50="-&gt;",$BO50,$BG50)+$BU50))</f>
        <v/>
      </c>
      <c r="CQ50" s="142" t="str">
        <f aca="false">IF(ISBLANK($C50),"",IF($BR50&lt;&gt;Constants!$B$8,$BR50,$BW50))</f>
        <v/>
      </c>
      <c r="CR50" s="143" t="str">
        <f aca="false">IF(ISBLANK($C50),"",$BS50)</f>
        <v/>
      </c>
      <c r="CS50" s="144" t="str">
        <f aca="false">IF(ISBLANK($C50),"",$CH50)</f>
        <v/>
      </c>
      <c r="CT50" s="144" t="str">
        <f aca="false">IF(ISBLANK($C50),"",$CG50)</f>
        <v/>
      </c>
      <c r="CU50" s="145" t="str">
        <f aca="false">IF(ISBLANK($C50),"",IFERROR(_xlfn.SWITCH($CT50,Constants!$B$11,COUNTA($C$9:$C$508)+2,Constants!$B$10,COUNTA($C$9:$C$508)+1,Constants!$B$9,COUNTA($C$9:$C$508)),$CT50))</f>
        <v/>
      </c>
      <c r="CV50" s="9"/>
      <c r="CW50" s="146" t="n">
        <f aca="false">IF(OR(ISNUMBER($CT50),$CT50=Constants!$B$11,$CT50=Constants!$B$9,$CT50=Constants!$B$10),1,0)</f>
        <v>0</v>
      </c>
      <c r="CX50" s="146" t="n">
        <v>42</v>
      </c>
      <c r="CY50" s="146" t="str">
        <f aca="false">IF(ISBLANK($C50),"",IF(ISNUMBER($CU50),$CU50+ROW($B50)/1000,""))</f>
        <v/>
      </c>
      <c r="CZ50" s="146" t="str">
        <f aca="false">IF(ISNUMBER($CY50),RANK($CY50,$CY$9:$CY$508,1),"")</f>
        <v/>
      </c>
      <c r="DA50" s="146" t="str">
        <f aca="false">IF(ISBLANK($C50),"",$B50)</f>
        <v/>
      </c>
      <c r="DB50" s="146" t="str">
        <f aca="false">IF(ISBLANK($C50),"",$C50)</f>
        <v/>
      </c>
      <c r="DC50" s="146" t="str">
        <f aca="false">IF(ISBLANK($C50),"",$D50)</f>
        <v/>
      </c>
      <c r="DD50" s="147" t="str">
        <f aca="false">$CR50</f>
        <v/>
      </c>
      <c r="DE50" s="148" t="str">
        <f aca="false">$CQ50</f>
        <v/>
      </c>
      <c r="DF50" s="146" t="str">
        <f aca="false">IF(ISBLANK($C50),"",$CT50)</f>
        <v/>
      </c>
      <c r="DG50" s="149" t="str">
        <f aca="false">IF($CX50&gt;$CW$8,"",VLOOKUP($CX50,$CZ$9:$DF$508,7,FALSE()))</f>
        <v/>
      </c>
      <c r="DH50" s="150" t="str">
        <f aca="false">IF($CX50&gt;$CW$8,"",VLOOKUP($CX50,$CZ$9:$DF$508,2,FALSE()))</f>
        <v/>
      </c>
      <c r="DI50" s="150" t="str">
        <f aca="false">IF($CX50&gt;$CW$8,"",VLOOKUP($CX50,$CZ$9:$DF$508,3,FALSE()))</f>
        <v/>
      </c>
      <c r="DJ50" s="150" t="str">
        <f aca="false">IF($CX50&gt;$CW$8,"",VLOOKUP($CX50,$CZ$9:$DF$508,4,FALSE()))</f>
        <v/>
      </c>
      <c r="DK50" s="150" t="str">
        <f aca="false">IF($CX50&gt;$CW$8,"",VLOOKUP($CX50,$CZ$9:$DF$508,5,FALSE()))</f>
        <v/>
      </c>
      <c r="DL50" s="151" t="str">
        <f aca="false">IF($CX50&gt;$CW$8,"",VLOOKUP($CX50,$CZ$9:$DF$508,6,FALSE()))</f>
        <v/>
      </c>
      <c r="DM50" s="75"/>
    </row>
    <row r="51" customFormat="false" ht="15.75" hidden="false" customHeight="false" outlineLevel="0" collapsed="false">
      <c r="A51" s="9"/>
      <c r="B51" s="77"/>
      <c r="C51" s="78"/>
      <c r="D51" s="167"/>
      <c r="E51" s="175"/>
      <c r="F51" s="169"/>
      <c r="G51" s="170"/>
      <c r="H51" s="170"/>
      <c r="I51" s="176"/>
      <c r="J51" s="173"/>
      <c r="K51" s="85"/>
      <c r="L51" s="86"/>
      <c r="M51" s="87"/>
      <c r="N51" s="173"/>
      <c r="O51" s="173"/>
      <c r="P51" s="175"/>
      <c r="Q51" s="173"/>
      <c r="R51" s="173"/>
      <c r="S51" s="85"/>
      <c r="T51" s="87"/>
      <c r="U51" s="87"/>
      <c r="V51" s="173"/>
      <c r="W51" s="173"/>
      <c r="X51" s="175"/>
      <c r="Y51" s="173"/>
      <c r="Z51" s="174"/>
      <c r="AA51" s="173"/>
      <c r="AB51" s="91"/>
      <c r="AC51" s="92"/>
      <c r="AD51" s="92"/>
      <c r="AE51" s="92"/>
      <c r="AF51" s="92" t="str">
        <f aca="false">IF(ISBLANK($C51),"",IF(E51=Constants!$B$3,TRUE(),IF(E51=Constants!$B$4,FALSE(),TRUE())))</f>
        <v/>
      </c>
      <c r="AG51" s="92" t="str">
        <f aca="false">IF(ISBLANK($C51),"",IF(F51=Constants!$B$3,TRUE(),IF(F51=Constants!$B$4,FALSE(),TRUE())))</f>
        <v/>
      </c>
      <c r="AH51" s="92" t="str">
        <f aca="false">IF(ISBLANK($C51),"",IF(G51=Constants!$B$3,TRUE(),IF(G51=Constants!$B$4,FALSE(),TRUE())))</f>
        <v/>
      </c>
      <c r="AI51" s="92" t="str">
        <f aca="false">IF(ISBLANK($C51),"",IF(AND(ISNUMBER(H51),H51&gt;=0),H51,Constants!$B$29))</f>
        <v/>
      </c>
      <c r="AJ51" s="92" t="str">
        <f aca="false">IF(ISBLANK($C51),"",IF(I51=Constants!$B$3,TRUE(),IF(I51=Constants!$B$4,FALSE(),TRUE())))</f>
        <v/>
      </c>
      <c r="AK51" s="92" t="str">
        <f aca="false">IF(ISBLANK($C51),"",IF(J51=Constants!$B$3,TRUE(),IF(J51=Constants!$B$4,FALSE(),TRUE())))</f>
        <v/>
      </c>
      <c r="AL51" s="92" t="str">
        <f aca="false">IF(ISBLANK($C51),"",IF(K51=Constants!$B$5,TRUE(),IF(K51=Constants!$B$6,FALSE(),COUNTA(L51:P51)&gt;0)))</f>
        <v/>
      </c>
      <c r="AM51" s="94" t="str">
        <f aca="false">IF(ISBLANK($C51),"",IF(ISNUMBER(L51),IF(L51&gt;=0,L51,""),""))</f>
        <v/>
      </c>
      <c r="AN51" s="93" t="str">
        <f aca="false">IF(ISBLANK($C51),"",IF(ISNUMBER(M51),IF(M51&gt;=0,M51,""),""))</f>
        <v/>
      </c>
      <c r="AO51" s="93" t="str">
        <f aca="false">IF(ISBLANK($C51),"",IF(N51=Constants!$B$3,TRUE(),IF(N51=Constants!$B$4,FALSE(),TRUE())))</f>
        <v/>
      </c>
      <c r="AP51" s="92" t="str">
        <f aca="false">IF(ISBLANK($C51),"",IF(ISNUMBER(O51),IF(O51&gt;=0,O51,""),""))</f>
        <v/>
      </c>
      <c r="AQ51" s="92" t="str">
        <f aca="false">IF(ISBLANK($C51),"",IF(P51=Constants!$B$3,TRUE(),IF(P51=Constants!$B$4,FALSE(),FALSE())))</f>
        <v/>
      </c>
      <c r="AR51" s="92" t="str">
        <f aca="false">IF(ISBLANK($C51),"",IF(Q51=Constants!$B$3,TRUE(),IF(Q51=Constants!$B$4,FALSE(),TRUE())))</f>
        <v/>
      </c>
      <c r="AS51" s="92" t="str">
        <f aca="false">IF(ISBLANK($C51),"",IF(R51=Constants!$B$3,TRUE(),IF(R51=Constants!$B$4,FALSE(),TRUE())))</f>
        <v/>
      </c>
      <c r="AT51" s="92" t="str">
        <f aca="false">IF(ISBLANK($C51),"",IF(S51=Constants!$B$5,TRUE(),IF(S51=Constants!$B$6,FALSE(),COUNTA(T51:X51)&gt;0)))</f>
        <v/>
      </c>
      <c r="AU51" s="94" t="str">
        <f aca="false">IF(ISBLANK($C51),"",IF(ISNUMBER(T51),IF(T51&gt;=0,T51,""),""))</f>
        <v/>
      </c>
      <c r="AV51" s="93" t="str">
        <f aca="false">IF(ISBLANK($C51),"",IF(ISNUMBER(U51),IF(U51&gt;=0,U51,""),""))</f>
        <v/>
      </c>
      <c r="AW51" s="93" t="str">
        <f aca="false">IF(ISBLANK($C51),"",IF(V51=Constants!$B$3,TRUE(),IF(V51=Constants!$B$4,FALSE(),TRUE())))</f>
        <v/>
      </c>
      <c r="AX51" s="92" t="str">
        <f aca="false">IF(ISBLANK($C51),"",IF(ISNUMBER(W51),IF(W51&gt;=0,W51,""),""))</f>
        <v/>
      </c>
      <c r="AY51" s="92" t="str">
        <f aca="false">IF(ISBLANK($C51),"",IF(X51=Constants!$B$3,TRUE(),IF(X51=Constants!$B$4,FALSE(),FALSE())))</f>
        <v/>
      </c>
      <c r="AZ51" s="92" t="str">
        <f aca="false">IF(ISBLANK($C51),"",MIN(Constants!$B$31,MAX(0,IF(ISNUMBER(Y51),Y51*60,0)+IF(ISNUMBER(Z51),Z51,0))))</f>
        <v/>
      </c>
      <c r="BA51" s="92" t="str">
        <f aca="false">IF(ISBLANK($C51),"",IF(AA51=Constants!$B$3,TRUE(),IF(AA51=Constants!$B$4,FALSE(),FALSE())))</f>
        <v/>
      </c>
      <c r="BB51" s="91" t="str">
        <f aca="false">IF(ISBLANK($C51),"",AND($AL51,OR($AM51="",$AN51="",AND($AO51,$AP51=""))))</f>
        <v/>
      </c>
      <c r="BC51" s="93" t="str">
        <f aca="false">IF($BR51&lt;&gt;Constants!$B$8,"",IF($AL51,Constants!$B$21*$AN51+Constants!$B$22*IF($AO51,$AP51,Constants!$B$23),Constants!$B$24))</f>
        <v/>
      </c>
      <c r="BD51" s="96" t="str">
        <f aca="false">IF($BR51&lt;&gt;Constants!$B$8,"",Constants!$B$25*ABS($AD$9-IF($AL51,$AM51,0)))</f>
        <v/>
      </c>
      <c r="BE51" s="96" t="str">
        <f aca="false">IF($BR51&lt;&gt;Constants!$B$8,"",IF(AND($AL51,$AQ51,$AO51),Constants!$B$27,0))</f>
        <v/>
      </c>
      <c r="BF51" s="96" t="str">
        <f aca="false">IF($BR51&lt;&gt;Constants!$B$8,"",IF($AL51,($AI51-Constants!$B$29)*Constants!$B$28,0))</f>
        <v/>
      </c>
      <c r="BG51" s="96" t="str">
        <f aca="false">IF($BR51&lt;&gt;Constants!$B$8,"",IF($AK51,0,Constants!$B$15)+IF($AJ51,0,Constants!$B$16)+IF($AH51,0,Constants!$B$17))</f>
        <v/>
      </c>
      <c r="BH51" s="97" t="str">
        <f aca="false">IF($BR51&lt;&gt;Constants!$B$8,"",Constants!$B$20+SUM($BC51:$BG51))</f>
        <v/>
      </c>
      <c r="BI51" s="92" t="str">
        <f aca="false">IF($BR51&lt;&gt;Constants!$B$8,"",IF(OR($BP51&lt;$BH51,AND($BP51=$BH51,OR($BK51&lt;$BC51,AND($BK51=$BC51,OR($BL51&lt;$BD51,AND($BL51=$BD51,$AT51,$AL51,$AV51&lt;$AN51)))))),"-&gt;","&lt;-"))</f>
        <v/>
      </c>
      <c r="BJ51" s="91" t="str">
        <f aca="false">IF(ISBLANK($C51),"",AND($AT51,OR($AU51="",$AV51="",AND($AW51,$AX51=""))))</f>
        <v/>
      </c>
      <c r="BK51" s="93" t="str">
        <f aca="false">IF($BR51&lt;&gt;Constants!$B$8,"",IF($AT51,Constants!$B$21*$AV51+Constants!$B$22*IF($AW51,$AX51,Constants!$B$23),Constants!$B$24))</f>
        <v/>
      </c>
      <c r="BL51" s="96" t="str">
        <f aca="false">IF($BR51&lt;&gt;Constants!$B$8,"",Constants!$B$25*ABS($AD$9-IF($AT51,$AU51,0)))</f>
        <v/>
      </c>
      <c r="BM51" s="96" t="str">
        <f aca="false">IF($BR51&lt;&gt;Constants!$B$8,"",IF(AND($AT51,$AY51,$AW51),Constants!$B$27,0))</f>
        <v/>
      </c>
      <c r="BN51" s="96" t="str">
        <f aca="false">IF($BR51&lt;&gt;Constants!$B$8,"",IF($AT51,($AI51-Constants!$B$29)*Constants!$B$28,0))</f>
        <v/>
      </c>
      <c r="BO51" s="96" t="str">
        <f aca="false">IF($BR51&lt;&gt;Constants!$B$8,"",IF($AS51,0,Constants!$B$15)+IF($AR51,0,Constants!$B$16)+IF($AH51,0,Constants!$B$17))</f>
        <v/>
      </c>
      <c r="BP51" s="97" t="str">
        <f aca="false">IF($BR51&lt;&gt;Constants!$B$8,"",Constants!$B$20+SUM($BK51:$BO51))</f>
        <v/>
      </c>
      <c r="BQ51" s="92" t="str">
        <f aca="false">IF(ISBLANK($C51),"",IF(ISBLANK($D$7),$BQ$5,IF(NOT(ISNUMBER($D$7)),$BQ$6,"")))</f>
        <v/>
      </c>
      <c r="BR51" s="92" t="str">
        <f aca="false">IF(ISBLANK($C51),"",IF($BA51,Constants!$B$11,IF(COUNTA($E51:$AA51)=0,Constants!$B$10,IF(NOT($AG51),Constants!$B$9,IF(OR($BQ51&lt;&gt;"",$BB51,$BJ51),Constants!$B$12,Constants!$B$8)))))</f>
        <v/>
      </c>
      <c r="BS51" s="92" t="str">
        <f aca="false">IF(ISBLANK($C51),"",IF($BR51&lt;&gt;Constants!$B$8,$BR51,Constants!$B$13))</f>
        <v/>
      </c>
      <c r="BT51" s="96" t="str">
        <f aca="false">IF($BR51&lt;&gt;Constants!$B$8,"",IF($BI51="-&gt;",$BP51,$BH51))</f>
        <v/>
      </c>
      <c r="BU51" s="96" t="str">
        <f aca="false">IF($BR51&lt;&gt;Constants!$B$8,"",IF($AF51,0,Constants!$B$18))</f>
        <v/>
      </c>
      <c r="BV51" s="96" t="str">
        <f aca="false">IF($BR51&lt;&gt;Constants!$B$8,"",((Constants!$B$31-$AZ51)-Constants!$B$31)/Constants!$B$32)</f>
        <v/>
      </c>
      <c r="BW51" s="96" t="str">
        <f aca="false">IF(ISBLANK($C51),"",IF($BR51&lt;&gt;Constants!$B$8,$BR51,SUM($BT51:$BV51)))</f>
        <v/>
      </c>
      <c r="BX51" s="92" t="str">
        <f aca="false">IF(ISBLANK($C51),"",IF($BR51&lt;&gt;Constants!$B$8,$BR51,RANK($BW51,$BW$9:$BW$508,1)))</f>
        <v/>
      </c>
      <c r="BY51" s="96" t="str">
        <f aca="false">IF($BR51&lt;&gt;Constants!$B$8,"",IF($BI51="-&gt;",$BK51,$BC51))</f>
        <v/>
      </c>
      <c r="BZ51" s="92" t="str">
        <f aca="false">IF(ISBLANK($C51),"",IF($BR51&lt;&gt;Constants!$B$8,$BR51,IF(ISNUMBER($BY51),RANK($BY51,$BY$9:$BY$508,1),COUNT($BY$9:$BY$508)+1)))</f>
        <v/>
      </c>
      <c r="CA51" s="96" t="str">
        <f aca="false">IF($BR51&lt;&gt;Constants!$B$8,"",IF($BI51="-&gt;",$BL51,$BD51))</f>
        <v/>
      </c>
      <c r="CB51" s="92" t="str">
        <f aca="false">IF(ISBLANK($C51),"",IF($BR51&lt;&gt;Constants!$B$8,$BR51,IF(ISNUMBER($CA51),RANK($CA51,$CA$9:$CA$508,1),COUNT($CA$9:$CA$508)+1)))</f>
        <v/>
      </c>
      <c r="CC51" s="96" t="str">
        <f aca="false">IF($BR51&lt;&gt;Constants!$B$8,"",IF($BI51="-&gt;",IF($AT51,$AV51,""),IF($AL51,$AN51,"")))</f>
        <v/>
      </c>
      <c r="CD51" s="92" t="str">
        <f aca="false">IF(ISBLANK($C51),"",IF($BR51&lt;&gt;Constants!$B$8,$BR51,IF(ISNUMBER($CC51),RANK($CC51,$CC$9:$CC$508,1),COUNT($CC$9:$CC$508)+1)))</f>
        <v/>
      </c>
      <c r="CE51" s="96" t="str">
        <f aca="false">IF($BR51&lt;&gt;Constants!$B$8,"",IF(AND(NOT($AL51),NOT($AT51),$AJ51,$AK51,$AR51,$AS51),"",$AI51))</f>
        <v/>
      </c>
      <c r="CF51" s="92" t="str">
        <f aca="false">IF(ISBLANK($C51),"",IF($BR51&lt;&gt;Constants!$B$8,$BR51,IF(ISNUMBER($CE51),RANK($CE51,$CE$9:$CE$508,1),COUNT($CE$9:$CE$508)+1)))</f>
        <v/>
      </c>
      <c r="CG51" s="92" t="str">
        <f aca="false">IF(ISBLANK($C51),"",IF($BR51&lt;&gt;Constants!$B$8,$BR51,COUNTIFS($BX$9:$BX$508,"&lt;"&amp;$BX51)+COUNTIFS($BX$9:$BX$508,$BX51,$BZ$9:$BZ$508,"&lt;"&amp;$BZ51)+COUNTIFS($BX$9:$BX$508,$BX51,$BZ$9:$BZ$508,$BZ51,$CB$9:$CB$508,"&lt;"&amp;$CB51)+COUNTIFS($BX$9:$BX$508,$BX51,$BZ$9:$BZ$508,$BZ51,$CB$9:$CB$508,$CB51,$CD$9:$CD$508,"&lt;"&amp;$CD51)+COUNTIFS($BX$9:$BX$508,$BX51,$BZ$9:$BZ$508,$BZ51,$CB$9:$CB$508,$CB51,$CD$9:$CD$508,$CD51,$CF$9:$CF$508,"&lt;"&amp;$CF51)+1))</f>
        <v/>
      </c>
      <c r="CH51" s="92" t="str">
        <f aca="false">IF(ISBLANK($C51),"",IF($BR51&lt;&gt;Constants!$B$8,$BR51,$BX51-$CG51))</f>
        <v/>
      </c>
      <c r="CI51" s="98"/>
      <c r="CJ51" s="99"/>
      <c r="CK51" s="100" t="str">
        <f aca="false">IF(ISBLANK($C51),"",IF($BR51=Constants!$B$12,$BQ51,""))</f>
        <v/>
      </c>
      <c r="CL51" s="99" t="str">
        <f aca="false">IF(ISBLANK($C51),"",IF($BR51&lt;&gt;Constants!$B$8,"",IF($BI51="-&gt;",2,1)))</f>
        <v/>
      </c>
      <c r="CM51" s="101" t="str">
        <f aca="false">IF(ISBLANK($C51),"",IF($BR51&lt;&gt;Constants!$B$8,"",IF($BI51="-&gt;",$BK51,$BC51)))</f>
        <v/>
      </c>
      <c r="CN51" s="101" t="str">
        <f aca="false">IF(ISBLANK($C51),"",IF($BR51&lt;&gt;Constants!$B$8,"",IF($BI51="-&gt;",$BL51,$BD51)))</f>
        <v/>
      </c>
      <c r="CO51" s="101" t="str">
        <f aca="false">IF(ISBLANK($C51),"",IF($BR51&lt;&gt;Constants!$B$8,"",IF($BI51="-&gt;",$BM51+$BN51,$BE51+$BF51)+$BV51))</f>
        <v/>
      </c>
      <c r="CP51" s="101" t="str">
        <f aca="false">IF(ISBLANK($C51),"",IF($BR51&lt;&gt;Constants!$B$8,"",IF($BI51="-&gt;",$BO51,$BG51)+$BU51))</f>
        <v/>
      </c>
      <c r="CQ51" s="102" t="str">
        <f aca="false">IF(ISBLANK($C51),"",IF($BR51&lt;&gt;Constants!$B$8,$BR51,$BW51))</f>
        <v/>
      </c>
      <c r="CR51" s="103" t="str">
        <f aca="false">IF(ISBLANK($C51),"",$BS51)</f>
        <v/>
      </c>
      <c r="CS51" s="104" t="str">
        <f aca="false">IF(ISBLANK($C51),"",$CH51)</f>
        <v/>
      </c>
      <c r="CT51" s="104" t="str">
        <f aca="false">IF(ISBLANK($C51),"",$CG51)</f>
        <v/>
      </c>
      <c r="CU51" s="105" t="str">
        <f aca="false">IF(ISBLANK($C51),"",IFERROR(_xlfn.SWITCH($CT51,Constants!$B$11,COUNTA($C$9:$C$508)+2,Constants!$B$10,COUNTA($C$9:$C$508)+1,Constants!$B$9,COUNTA($C$9:$C$508)),$CT51))</f>
        <v/>
      </c>
      <c r="CV51" s="9"/>
      <c r="CW51" s="106" t="n">
        <f aca="false">IF(OR(ISNUMBER($CT51),$CT51=Constants!$B$11,$CT51=Constants!$B$9,$CT51=Constants!$B$10),1,0)</f>
        <v>0</v>
      </c>
      <c r="CX51" s="106" t="n">
        <v>43</v>
      </c>
      <c r="CY51" s="106" t="str">
        <f aca="false">IF(ISBLANK($C51),"",IF(ISNUMBER($CU51),$CU51+ROW($B51)/1000,""))</f>
        <v/>
      </c>
      <c r="CZ51" s="106" t="str">
        <f aca="false">IF(ISNUMBER($CY51),RANK($CY51,$CY$9:$CY$508,1),"")</f>
        <v/>
      </c>
      <c r="DA51" s="106" t="str">
        <f aca="false">IF(ISBLANK($C51),"",$B51)</f>
        <v/>
      </c>
      <c r="DB51" s="106" t="str">
        <f aca="false">IF(ISBLANK($C51),"",$C51)</f>
        <v/>
      </c>
      <c r="DC51" s="106" t="str">
        <f aca="false">IF(ISBLANK($C51),"",$D51)</f>
        <v/>
      </c>
      <c r="DD51" s="107" t="str">
        <f aca="false">$CR51</f>
        <v/>
      </c>
      <c r="DE51" s="108" t="str">
        <f aca="false">$CQ51</f>
        <v/>
      </c>
      <c r="DF51" s="106" t="str">
        <f aca="false">IF(ISBLANK($C51),"",$CT51)</f>
        <v/>
      </c>
      <c r="DG51" s="109" t="str">
        <f aca="false">IF($CX51&gt;$CW$8,"",VLOOKUP($CX51,$CZ$9:$DF$508,7,FALSE()))</f>
        <v/>
      </c>
      <c r="DH51" s="110" t="str">
        <f aca="false">IF($CX51&gt;$CW$8,"",VLOOKUP($CX51,$CZ$9:$DF$508,2,FALSE()))</f>
        <v/>
      </c>
      <c r="DI51" s="110" t="str">
        <f aca="false">IF($CX51&gt;$CW$8,"",VLOOKUP($CX51,$CZ$9:$DF$508,3,FALSE()))</f>
        <v/>
      </c>
      <c r="DJ51" s="110" t="str">
        <f aca="false">IF($CX51&gt;$CW$8,"",VLOOKUP($CX51,$CZ$9:$DF$508,4,FALSE()))</f>
        <v/>
      </c>
      <c r="DK51" s="110" t="str">
        <f aca="false">IF($CX51&gt;$CW$8,"",VLOOKUP($CX51,$CZ$9:$DF$508,5,FALSE()))</f>
        <v/>
      </c>
      <c r="DL51" s="111" t="str">
        <f aca="false">IF($CX51&gt;$CW$8,"",VLOOKUP($CX51,$CZ$9:$DF$508,6,FALSE()))</f>
        <v/>
      </c>
      <c r="DM51" s="75"/>
    </row>
    <row r="52" customFormat="false" ht="15.75" hidden="false" customHeight="false" outlineLevel="0" collapsed="false">
      <c r="A52" s="9"/>
      <c r="B52" s="77"/>
      <c r="C52" s="78"/>
      <c r="D52" s="167"/>
      <c r="E52" s="175"/>
      <c r="F52" s="169"/>
      <c r="G52" s="170"/>
      <c r="H52" s="170"/>
      <c r="I52" s="176"/>
      <c r="J52" s="173"/>
      <c r="K52" s="85"/>
      <c r="L52" s="86"/>
      <c r="M52" s="87"/>
      <c r="N52" s="173"/>
      <c r="O52" s="173"/>
      <c r="P52" s="175"/>
      <c r="Q52" s="173"/>
      <c r="R52" s="173"/>
      <c r="S52" s="85"/>
      <c r="T52" s="87"/>
      <c r="U52" s="87"/>
      <c r="V52" s="173"/>
      <c r="W52" s="173"/>
      <c r="X52" s="175"/>
      <c r="Y52" s="173"/>
      <c r="Z52" s="174"/>
      <c r="AA52" s="173"/>
      <c r="AB52" s="91"/>
      <c r="AC52" s="92"/>
      <c r="AD52" s="92"/>
      <c r="AE52" s="92"/>
      <c r="AF52" s="92" t="str">
        <f aca="false">IF(ISBLANK($C52),"",IF(E52=Constants!$B$3,TRUE(),IF(E52=Constants!$B$4,FALSE(),TRUE())))</f>
        <v/>
      </c>
      <c r="AG52" s="92" t="str">
        <f aca="false">IF(ISBLANK($C52),"",IF(F52=Constants!$B$3,TRUE(),IF(F52=Constants!$B$4,FALSE(),TRUE())))</f>
        <v/>
      </c>
      <c r="AH52" s="92" t="str">
        <f aca="false">IF(ISBLANK($C52),"",IF(G52=Constants!$B$3,TRUE(),IF(G52=Constants!$B$4,FALSE(),TRUE())))</f>
        <v/>
      </c>
      <c r="AI52" s="92" t="str">
        <f aca="false">IF(ISBLANK($C52),"",IF(AND(ISNUMBER(H52),H52&gt;=0),H52,Constants!$B$29))</f>
        <v/>
      </c>
      <c r="AJ52" s="92" t="str">
        <f aca="false">IF(ISBLANK($C52),"",IF(I52=Constants!$B$3,TRUE(),IF(I52=Constants!$B$4,FALSE(),TRUE())))</f>
        <v/>
      </c>
      <c r="AK52" s="92" t="str">
        <f aca="false">IF(ISBLANK($C52),"",IF(J52=Constants!$B$3,TRUE(),IF(J52=Constants!$B$4,FALSE(),TRUE())))</f>
        <v/>
      </c>
      <c r="AL52" s="92" t="str">
        <f aca="false">IF(ISBLANK($C52),"",IF(K52=Constants!$B$5,TRUE(),IF(K52=Constants!$B$6,FALSE(),COUNTA(L52:P52)&gt;0)))</f>
        <v/>
      </c>
      <c r="AM52" s="94" t="str">
        <f aca="false">IF(ISBLANK($C52),"",IF(ISNUMBER(L52),IF(L52&gt;=0,L52,""),""))</f>
        <v/>
      </c>
      <c r="AN52" s="93" t="str">
        <f aca="false">IF(ISBLANK($C52),"",IF(ISNUMBER(M52),IF(M52&gt;=0,M52,""),""))</f>
        <v/>
      </c>
      <c r="AO52" s="93" t="str">
        <f aca="false">IF(ISBLANK($C52),"",IF(N52=Constants!$B$3,TRUE(),IF(N52=Constants!$B$4,FALSE(),TRUE())))</f>
        <v/>
      </c>
      <c r="AP52" s="92" t="str">
        <f aca="false">IF(ISBLANK($C52),"",IF(ISNUMBER(O52),IF(O52&gt;=0,O52,""),""))</f>
        <v/>
      </c>
      <c r="AQ52" s="92" t="str">
        <f aca="false">IF(ISBLANK($C52),"",IF(P52=Constants!$B$3,TRUE(),IF(P52=Constants!$B$4,FALSE(),FALSE())))</f>
        <v/>
      </c>
      <c r="AR52" s="92" t="str">
        <f aca="false">IF(ISBLANK($C52),"",IF(Q52=Constants!$B$3,TRUE(),IF(Q52=Constants!$B$4,FALSE(),TRUE())))</f>
        <v/>
      </c>
      <c r="AS52" s="92" t="str">
        <f aca="false">IF(ISBLANK($C52),"",IF(R52=Constants!$B$3,TRUE(),IF(R52=Constants!$B$4,FALSE(),TRUE())))</f>
        <v/>
      </c>
      <c r="AT52" s="92" t="str">
        <f aca="false">IF(ISBLANK($C52),"",IF(S52=Constants!$B$5,TRUE(),IF(S52=Constants!$B$6,FALSE(),COUNTA(T52:X52)&gt;0)))</f>
        <v/>
      </c>
      <c r="AU52" s="94" t="str">
        <f aca="false">IF(ISBLANK($C52),"",IF(ISNUMBER(T52),IF(T52&gt;=0,T52,""),""))</f>
        <v/>
      </c>
      <c r="AV52" s="93" t="str">
        <f aca="false">IF(ISBLANK($C52),"",IF(ISNUMBER(U52),IF(U52&gt;=0,U52,""),""))</f>
        <v/>
      </c>
      <c r="AW52" s="93" t="str">
        <f aca="false">IF(ISBLANK($C52),"",IF(V52=Constants!$B$3,TRUE(),IF(V52=Constants!$B$4,FALSE(),TRUE())))</f>
        <v/>
      </c>
      <c r="AX52" s="92" t="str">
        <f aca="false">IF(ISBLANK($C52),"",IF(ISNUMBER(W52),IF(W52&gt;=0,W52,""),""))</f>
        <v/>
      </c>
      <c r="AY52" s="92" t="str">
        <f aca="false">IF(ISBLANK($C52),"",IF(X52=Constants!$B$3,TRUE(),IF(X52=Constants!$B$4,FALSE(),FALSE())))</f>
        <v/>
      </c>
      <c r="AZ52" s="92" t="str">
        <f aca="false">IF(ISBLANK($C52),"",MIN(Constants!$B$31,MAX(0,IF(ISNUMBER(Y52),Y52*60,0)+IF(ISNUMBER(Z52),Z52,0))))</f>
        <v/>
      </c>
      <c r="BA52" s="92" t="str">
        <f aca="false">IF(ISBLANK($C52),"",IF(AA52=Constants!$B$3,TRUE(),IF(AA52=Constants!$B$4,FALSE(),FALSE())))</f>
        <v/>
      </c>
      <c r="BB52" s="91" t="str">
        <f aca="false">IF(ISBLANK($C52),"",AND($AL52,OR($AM52="",$AN52="",AND($AO52,$AP52=""))))</f>
        <v/>
      </c>
      <c r="BC52" s="93" t="str">
        <f aca="false">IF($BR52&lt;&gt;Constants!$B$8,"",IF($AL52,Constants!$B$21*$AN52+Constants!$B$22*IF($AO52,$AP52,Constants!$B$23),Constants!$B$24))</f>
        <v/>
      </c>
      <c r="BD52" s="96" t="str">
        <f aca="false">IF($BR52&lt;&gt;Constants!$B$8,"",Constants!$B$25*ABS($AD$9-IF($AL52,$AM52,0)))</f>
        <v/>
      </c>
      <c r="BE52" s="96" t="str">
        <f aca="false">IF($BR52&lt;&gt;Constants!$B$8,"",IF(AND($AL52,$AQ52,$AO52),Constants!$B$27,0))</f>
        <v/>
      </c>
      <c r="BF52" s="96" t="str">
        <f aca="false">IF($BR52&lt;&gt;Constants!$B$8,"",IF($AL52,($AI52-Constants!$B$29)*Constants!$B$28,0))</f>
        <v/>
      </c>
      <c r="BG52" s="96" t="str">
        <f aca="false">IF($BR52&lt;&gt;Constants!$B$8,"",IF($AK52,0,Constants!$B$15)+IF($AJ52,0,Constants!$B$16)+IF($AH52,0,Constants!$B$17))</f>
        <v/>
      </c>
      <c r="BH52" s="97" t="str">
        <f aca="false">IF($BR52&lt;&gt;Constants!$B$8,"",Constants!$B$20+SUM($BC52:$BG52))</f>
        <v/>
      </c>
      <c r="BI52" s="92" t="str">
        <f aca="false">IF($BR52&lt;&gt;Constants!$B$8,"",IF(OR($BP52&lt;$BH52,AND($BP52=$BH52,OR($BK52&lt;$BC52,AND($BK52=$BC52,OR($BL52&lt;$BD52,AND($BL52=$BD52,$AT52,$AL52,$AV52&lt;$AN52)))))),"-&gt;","&lt;-"))</f>
        <v/>
      </c>
      <c r="BJ52" s="91" t="str">
        <f aca="false">IF(ISBLANK($C52),"",AND($AT52,OR($AU52="",$AV52="",AND($AW52,$AX52=""))))</f>
        <v/>
      </c>
      <c r="BK52" s="93" t="str">
        <f aca="false">IF($BR52&lt;&gt;Constants!$B$8,"",IF($AT52,Constants!$B$21*$AV52+Constants!$B$22*IF($AW52,$AX52,Constants!$B$23),Constants!$B$24))</f>
        <v/>
      </c>
      <c r="BL52" s="96" t="str">
        <f aca="false">IF($BR52&lt;&gt;Constants!$B$8,"",Constants!$B$25*ABS($AD$9-IF($AT52,$AU52,0)))</f>
        <v/>
      </c>
      <c r="BM52" s="96" t="str">
        <f aca="false">IF($BR52&lt;&gt;Constants!$B$8,"",IF(AND($AT52,$AY52,$AW52),Constants!$B$27,0))</f>
        <v/>
      </c>
      <c r="BN52" s="96" t="str">
        <f aca="false">IF($BR52&lt;&gt;Constants!$B$8,"",IF($AT52,($AI52-Constants!$B$29)*Constants!$B$28,0))</f>
        <v/>
      </c>
      <c r="BO52" s="96" t="str">
        <f aca="false">IF($BR52&lt;&gt;Constants!$B$8,"",IF($AS52,0,Constants!$B$15)+IF($AR52,0,Constants!$B$16)+IF($AH52,0,Constants!$B$17))</f>
        <v/>
      </c>
      <c r="BP52" s="97" t="str">
        <f aca="false">IF($BR52&lt;&gt;Constants!$B$8,"",Constants!$B$20+SUM($BK52:$BO52))</f>
        <v/>
      </c>
      <c r="BQ52" s="92" t="str">
        <f aca="false">IF(ISBLANK($C52),"",IF(ISBLANK($D$7),$BQ$5,IF(NOT(ISNUMBER($D$7)),$BQ$6,"")))</f>
        <v/>
      </c>
      <c r="BR52" s="92" t="str">
        <f aca="false">IF(ISBLANK($C52),"",IF($BA52,Constants!$B$11,IF(COUNTA($E52:$AA52)=0,Constants!$B$10,IF(NOT($AG52),Constants!$B$9,IF(OR($BQ52&lt;&gt;"",$BB52,$BJ52),Constants!$B$12,Constants!$B$8)))))</f>
        <v/>
      </c>
      <c r="BS52" s="92" t="str">
        <f aca="false">IF(ISBLANK($C52),"",IF($BR52&lt;&gt;Constants!$B$8,$BR52,Constants!$B$13))</f>
        <v/>
      </c>
      <c r="BT52" s="96" t="str">
        <f aca="false">IF($BR52&lt;&gt;Constants!$B$8,"",IF($BI52="-&gt;",$BP52,$BH52))</f>
        <v/>
      </c>
      <c r="BU52" s="96" t="str">
        <f aca="false">IF($BR52&lt;&gt;Constants!$B$8,"",IF($AF52,0,Constants!$B$18))</f>
        <v/>
      </c>
      <c r="BV52" s="96" t="str">
        <f aca="false">IF($BR52&lt;&gt;Constants!$B$8,"",((Constants!$B$31-$AZ52)-Constants!$B$31)/Constants!$B$32)</f>
        <v/>
      </c>
      <c r="BW52" s="96" t="str">
        <f aca="false">IF(ISBLANK($C52),"",IF($BR52&lt;&gt;Constants!$B$8,$BR52,SUM($BT52:$BV52)))</f>
        <v/>
      </c>
      <c r="BX52" s="92" t="str">
        <f aca="false">IF(ISBLANK($C52),"",IF($BR52&lt;&gt;Constants!$B$8,$BR52,RANK($BW52,$BW$9:$BW$508,1)))</f>
        <v/>
      </c>
      <c r="BY52" s="96" t="str">
        <f aca="false">IF($BR52&lt;&gt;Constants!$B$8,"",IF($BI52="-&gt;",$BK52,$BC52))</f>
        <v/>
      </c>
      <c r="BZ52" s="92" t="str">
        <f aca="false">IF(ISBLANK($C52),"",IF($BR52&lt;&gt;Constants!$B$8,$BR52,IF(ISNUMBER($BY52),RANK($BY52,$BY$9:$BY$508,1),COUNT($BY$9:$BY$508)+1)))</f>
        <v/>
      </c>
      <c r="CA52" s="96" t="str">
        <f aca="false">IF($BR52&lt;&gt;Constants!$B$8,"",IF($BI52="-&gt;",$BL52,$BD52))</f>
        <v/>
      </c>
      <c r="CB52" s="92" t="str">
        <f aca="false">IF(ISBLANK($C52),"",IF($BR52&lt;&gt;Constants!$B$8,$BR52,IF(ISNUMBER($CA52),RANK($CA52,$CA$9:$CA$508,1),COUNT($CA$9:$CA$508)+1)))</f>
        <v/>
      </c>
      <c r="CC52" s="96" t="str">
        <f aca="false">IF($BR52&lt;&gt;Constants!$B$8,"",IF($BI52="-&gt;",IF($AT52,$AV52,""),IF($AL52,$AN52,"")))</f>
        <v/>
      </c>
      <c r="CD52" s="92" t="str">
        <f aca="false">IF(ISBLANK($C52),"",IF($BR52&lt;&gt;Constants!$B$8,$BR52,IF(ISNUMBER($CC52),RANK($CC52,$CC$9:$CC$508,1),COUNT($CC$9:$CC$508)+1)))</f>
        <v/>
      </c>
      <c r="CE52" s="96" t="str">
        <f aca="false">IF($BR52&lt;&gt;Constants!$B$8,"",IF(AND(NOT($AL52),NOT($AT52),$AJ52,$AK52,$AR52,$AS52),"",$AI52))</f>
        <v/>
      </c>
      <c r="CF52" s="92" t="str">
        <f aca="false">IF(ISBLANK($C52),"",IF($BR52&lt;&gt;Constants!$B$8,$BR52,IF(ISNUMBER($CE52),RANK($CE52,$CE$9:$CE$508,1),COUNT($CE$9:$CE$508)+1)))</f>
        <v/>
      </c>
      <c r="CG52" s="92" t="str">
        <f aca="false">IF(ISBLANK($C52),"",IF($BR52&lt;&gt;Constants!$B$8,$BR52,COUNTIFS($BX$9:$BX$508,"&lt;"&amp;$BX52)+COUNTIFS($BX$9:$BX$508,$BX52,$BZ$9:$BZ$508,"&lt;"&amp;$BZ52)+COUNTIFS($BX$9:$BX$508,$BX52,$BZ$9:$BZ$508,$BZ52,$CB$9:$CB$508,"&lt;"&amp;$CB52)+COUNTIFS($BX$9:$BX$508,$BX52,$BZ$9:$BZ$508,$BZ52,$CB$9:$CB$508,$CB52,$CD$9:$CD$508,"&lt;"&amp;$CD52)+COUNTIFS($BX$9:$BX$508,$BX52,$BZ$9:$BZ$508,$BZ52,$CB$9:$CB$508,$CB52,$CD$9:$CD$508,$CD52,$CF$9:$CF$508,"&lt;"&amp;$CF52)+1))</f>
        <v/>
      </c>
      <c r="CH52" s="92" t="str">
        <f aca="false">IF(ISBLANK($C52),"",IF($BR52&lt;&gt;Constants!$B$8,$BR52,$BX52-$CG52))</f>
        <v/>
      </c>
      <c r="CI52" s="98"/>
      <c r="CJ52" s="99"/>
      <c r="CK52" s="100" t="str">
        <f aca="false">IF(ISBLANK($C52),"",IF($BR52=Constants!$B$12,$BQ52,""))</f>
        <v/>
      </c>
      <c r="CL52" s="99" t="str">
        <f aca="false">IF(ISBLANK($C52),"",IF($BR52&lt;&gt;Constants!$B$8,"",IF($BI52="-&gt;",2,1)))</f>
        <v/>
      </c>
      <c r="CM52" s="101" t="str">
        <f aca="false">IF(ISBLANK($C52),"",IF($BR52&lt;&gt;Constants!$B$8,"",IF($BI52="-&gt;",$BK52,$BC52)))</f>
        <v/>
      </c>
      <c r="CN52" s="101" t="str">
        <f aca="false">IF(ISBLANK($C52),"",IF($BR52&lt;&gt;Constants!$B$8,"",IF($BI52="-&gt;",$BL52,$BD52)))</f>
        <v/>
      </c>
      <c r="CO52" s="101" t="str">
        <f aca="false">IF(ISBLANK($C52),"",IF($BR52&lt;&gt;Constants!$B$8,"",IF($BI52="-&gt;",$BM52+$BN52,$BE52+$BF52)+$BV52))</f>
        <v/>
      </c>
      <c r="CP52" s="101" t="str">
        <f aca="false">IF(ISBLANK($C52),"",IF($BR52&lt;&gt;Constants!$B$8,"",IF($BI52="-&gt;",$BO52,$BG52)+$BU52))</f>
        <v/>
      </c>
      <c r="CQ52" s="102" t="str">
        <f aca="false">IF(ISBLANK($C52),"",IF($BR52&lt;&gt;Constants!$B$8,$BR52,$BW52))</f>
        <v/>
      </c>
      <c r="CR52" s="103" t="str">
        <f aca="false">IF(ISBLANK($C52),"",$BS52)</f>
        <v/>
      </c>
      <c r="CS52" s="104" t="str">
        <f aca="false">IF(ISBLANK($C52),"",$CH52)</f>
        <v/>
      </c>
      <c r="CT52" s="104" t="str">
        <f aca="false">IF(ISBLANK($C52),"",$CG52)</f>
        <v/>
      </c>
      <c r="CU52" s="105" t="str">
        <f aca="false">IF(ISBLANK($C52),"",IFERROR(_xlfn.SWITCH($CT52,Constants!$B$11,COUNTA($C$9:$C$508)+2,Constants!$B$10,COUNTA($C$9:$C$508)+1,Constants!$B$9,COUNTA($C$9:$C$508)),$CT52))</f>
        <v/>
      </c>
      <c r="CV52" s="9"/>
      <c r="CW52" s="106" t="n">
        <f aca="false">IF(OR(ISNUMBER($CT52),$CT52=Constants!$B$11,$CT52=Constants!$B$9,$CT52=Constants!$B$10),1,0)</f>
        <v>0</v>
      </c>
      <c r="CX52" s="106" t="n">
        <v>44</v>
      </c>
      <c r="CY52" s="106" t="str">
        <f aca="false">IF(ISBLANK($C52),"",IF(ISNUMBER($CU52),$CU52+ROW($B52)/1000,""))</f>
        <v/>
      </c>
      <c r="CZ52" s="106" t="str">
        <f aca="false">IF(ISNUMBER($CY52),RANK($CY52,$CY$9:$CY$508,1),"")</f>
        <v/>
      </c>
      <c r="DA52" s="106" t="str">
        <f aca="false">IF(ISBLANK($C52),"",$B52)</f>
        <v/>
      </c>
      <c r="DB52" s="106" t="str">
        <f aca="false">IF(ISBLANK($C52),"",$C52)</f>
        <v/>
      </c>
      <c r="DC52" s="106" t="str">
        <f aca="false">IF(ISBLANK($C52),"",$D52)</f>
        <v/>
      </c>
      <c r="DD52" s="107" t="str">
        <f aca="false">$CR52</f>
        <v/>
      </c>
      <c r="DE52" s="108" t="str">
        <f aca="false">$CQ52</f>
        <v/>
      </c>
      <c r="DF52" s="106" t="str">
        <f aca="false">IF(ISBLANK($C52),"",$CT52)</f>
        <v/>
      </c>
      <c r="DG52" s="109" t="str">
        <f aca="false">IF($CX52&gt;$CW$8,"",VLOOKUP($CX52,$CZ$9:$DF$508,7,FALSE()))</f>
        <v/>
      </c>
      <c r="DH52" s="110" t="str">
        <f aca="false">IF($CX52&gt;$CW$8,"",VLOOKUP($CX52,$CZ$9:$DF$508,2,FALSE()))</f>
        <v/>
      </c>
      <c r="DI52" s="110" t="str">
        <f aca="false">IF($CX52&gt;$CW$8,"",VLOOKUP($CX52,$CZ$9:$DF$508,3,FALSE()))</f>
        <v/>
      </c>
      <c r="DJ52" s="110" t="str">
        <f aca="false">IF($CX52&gt;$CW$8,"",VLOOKUP($CX52,$CZ$9:$DF$508,4,FALSE()))</f>
        <v/>
      </c>
      <c r="DK52" s="110" t="str">
        <f aca="false">IF($CX52&gt;$CW$8,"",VLOOKUP($CX52,$CZ$9:$DF$508,5,FALSE()))</f>
        <v/>
      </c>
      <c r="DL52" s="111" t="str">
        <f aca="false">IF($CX52&gt;$CW$8,"",VLOOKUP($CX52,$CZ$9:$DF$508,6,FALSE()))</f>
        <v/>
      </c>
      <c r="DM52" s="75"/>
    </row>
    <row r="53" customFormat="false" ht="15.75" hidden="false" customHeight="false" outlineLevel="0" collapsed="false">
      <c r="A53" s="9"/>
      <c r="B53" s="77"/>
      <c r="C53" s="78"/>
      <c r="D53" s="167"/>
      <c r="E53" s="175"/>
      <c r="F53" s="169"/>
      <c r="G53" s="170"/>
      <c r="H53" s="170"/>
      <c r="I53" s="176"/>
      <c r="J53" s="173"/>
      <c r="K53" s="85"/>
      <c r="L53" s="86"/>
      <c r="M53" s="87"/>
      <c r="N53" s="173"/>
      <c r="O53" s="173"/>
      <c r="P53" s="175"/>
      <c r="Q53" s="173"/>
      <c r="R53" s="173"/>
      <c r="S53" s="85"/>
      <c r="T53" s="87"/>
      <c r="U53" s="87"/>
      <c r="V53" s="173"/>
      <c r="W53" s="173"/>
      <c r="X53" s="175"/>
      <c r="Y53" s="173"/>
      <c r="Z53" s="174"/>
      <c r="AA53" s="173"/>
      <c r="AB53" s="91"/>
      <c r="AC53" s="92"/>
      <c r="AD53" s="92"/>
      <c r="AE53" s="92"/>
      <c r="AF53" s="92" t="str">
        <f aca="false">IF(ISBLANK($C53),"",IF(E53=Constants!$B$3,TRUE(),IF(E53=Constants!$B$4,FALSE(),TRUE())))</f>
        <v/>
      </c>
      <c r="AG53" s="92" t="str">
        <f aca="false">IF(ISBLANK($C53),"",IF(F53=Constants!$B$3,TRUE(),IF(F53=Constants!$B$4,FALSE(),TRUE())))</f>
        <v/>
      </c>
      <c r="AH53" s="92" t="str">
        <f aca="false">IF(ISBLANK($C53),"",IF(G53=Constants!$B$3,TRUE(),IF(G53=Constants!$B$4,FALSE(),TRUE())))</f>
        <v/>
      </c>
      <c r="AI53" s="92" t="str">
        <f aca="false">IF(ISBLANK($C53),"",IF(AND(ISNUMBER(H53),H53&gt;=0),H53,Constants!$B$29))</f>
        <v/>
      </c>
      <c r="AJ53" s="92" t="str">
        <f aca="false">IF(ISBLANK($C53),"",IF(I53=Constants!$B$3,TRUE(),IF(I53=Constants!$B$4,FALSE(),TRUE())))</f>
        <v/>
      </c>
      <c r="AK53" s="92" t="str">
        <f aca="false">IF(ISBLANK($C53),"",IF(J53=Constants!$B$3,TRUE(),IF(J53=Constants!$B$4,FALSE(),TRUE())))</f>
        <v/>
      </c>
      <c r="AL53" s="92" t="str">
        <f aca="false">IF(ISBLANK($C53),"",IF(K53=Constants!$B$5,TRUE(),IF(K53=Constants!$B$6,FALSE(),COUNTA(L53:P53)&gt;0)))</f>
        <v/>
      </c>
      <c r="AM53" s="94" t="str">
        <f aca="false">IF(ISBLANK($C53),"",IF(ISNUMBER(L53),IF(L53&gt;=0,L53,""),""))</f>
        <v/>
      </c>
      <c r="AN53" s="93" t="str">
        <f aca="false">IF(ISBLANK($C53),"",IF(ISNUMBER(M53),IF(M53&gt;=0,M53,""),""))</f>
        <v/>
      </c>
      <c r="AO53" s="93" t="str">
        <f aca="false">IF(ISBLANK($C53),"",IF(N53=Constants!$B$3,TRUE(),IF(N53=Constants!$B$4,FALSE(),TRUE())))</f>
        <v/>
      </c>
      <c r="AP53" s="92" t="str">
        <f aca="false">IF(ISBLANK($C53),"",IF(ISNUMBER(O53),IF(O53&gt;=0,O53,""),""))</f>
        <v/>
      </c>
      <c r="AQ53" s="92" t="str">
        <f aca="false">IF(ISBLANK($C53),"",IF(P53=Constants!$B$3,TRUE(),IF(P53=Constants!$B$4,FALSE(),FALSE())))</f>
        <v/>
      </c>
      <c r="AR53" s="92" t="str">
        <f aca="false">IF(ISBLANK($C53),"",IF(Q53=Constants!$B$3,TRUE(),IF(Q53=Constants!$B$4,FALSE(),TRUE())))</f>
        <v/>
      </c>
      <c r="AS53" s="92" t="str">
        <f aca="false">IF(ISBLANK($C53),"",IF(R53=Constants!$B$3,TRUE(),IF(R53=Constants!$B$4,FALSE(),TRUE())))</f>
        <v/>
      </c>
      <c r="AT53" s="92" t="str">
        <f aca="false">IF(ISBLANK($C53),"",IF(S53=Constants!$B$5,TRUE(),IF(S53=Constants!$B$6,FALSE(),COUNTA(T53:X53)&gt;0)))</f>
        <v/>
      </c>
      <c r="AU53" s="94" t="str">
        <f aca="false">IF(ISBLANK($C53),"",IF(ISNUMBER(T53),IF(T53&gt;=0,T53,""),""))</f>
        <v/>
      </c>
      <c r="AV53" s="93" t="str">
        <f aca="false">IF(ISBLANK($C53),"",IF(ISNUMBER(U53),IF(U53&gt;=0,U53,""),""))</f>
        <v/>
      </c>
      <c r="AW53" s="93" t="str">
        <f aca="false">IF(ISBLANK($C53),"",IF(V53=Constants!$B$3,TRUE(),IF(V53=Constants!$B$4,FALSE(),TRUE())))</f>
        <v/>
      </c>
      <c r="AX53" s="92" t="str">
        <f aca="false">IF(ISBLANK($C53),"",IF(ISNUMBER(W53),IF(W53&gt;=0,W53,""),""))</f>
        <v/>
      </c>
      <c r="AY53" s="92" t="str">
        <f aca="false">IF(ISBLANK($C53),"",IF(X53=Constants!$B$3,TRUE(),IF(X53=Constants!$B$4,FALSE(),FALSE())))</f>
        <v/>
      </c>
      <c r="AZ53" s="92" t="str">
        <f aca="false">IF(ISBLANK($C53),"",MIN(Constants!$B$31,MAX(0,IF(ISNUMBER(Y53),Y53*60,0)+IF(ISNUMBER(Z53),Z53,0))))</f>
        <v/>
      </c>
      <c r="BA53" s="92" t="str">
        <f aca="false">IF(ISBLANK($C53),"",IF(AA53=Constants!$B$3,TRUE(),IF(AA53=Constants!$B$4,FALSE(),FALSE())))</f>
        <v/>
      </c>
      <c r="BB53" s="91" t="str">
        <f aca="false">IF(ISBLANK($C53),"",AND($AL53,OR($AM53="",$AN53="",AND($AO53,$AP53=""))))</f>
        <v/>
      </c>
      <c r="BC53" s="93" t="str">
        <f aca="false">IF($BR53&lt;&gt;Constants!$B$8,"",IF($AL53,Constants!$B$21*$AN53+Constants!$B$22*IF($AO53,$AP53,Constants!$B$23),Constants!$B$24))</f>
        <v/>
      </c>
      <c r="BD53" s="96" t="str">
        <f aca="false">IF($BR53&lt;&gt;Constants!$B$8,"",Constants!$B$25*ABS($AD$9-IF($AL53,$AM53,0)))</f>
        <v/>
      </c>
      <c r="BE53" s="96" t="str">
        <f aca="false">IF($BR53&lt;&gt;Constants!$B$8,"",IF(AND($AL53,$AQ53,$AO53),Constants!$B$27,0))</f>
        <v/>
      </c>
      <c r="BF53" s="96" t="str">
        <f aca="false">IF($BR53&lt;&gt;Constants!$B$8,"",IF($AL53,($AI53-Constants!$B$29)*Constants!$B$28,0))</f>
        <v/>
      </c>
      <c r="BG53" s="96" t="str">
        <f aca="false">IF($BR53&lt;&gt;Constants!$B$8,"",IF($AK53,0,Constants!$B$15)+IF($AJ53,0,Constants!$B$16)+IF($AH53,0,Constants!$B$17))</f>
        <v/>
      </c>
      <c r="BH53" s="97" t="str">
        <f aca="false">IF($BR53&lt;&gt;Constants!$B$8,"",Constants!$B$20+SUM($BC53:$BG53))</f>
        <v/>
      </c>
      <c r="BI53" s="92" t="str">
        <f aca="false">IF($BR53&lt;&gt;Constants!$B$8,"",IF(OR($BP53&lt;$BH53,AND($BP53=$BH53,OR($BK53&lt;$BC53,AND($BK53=$BC53,OR($BL53&lt;$BD53,AND($BL53=$BD53,$AT53,$AL53,$AV53&lt;$AN53)))))),"-&gt;","&lt;-"))</f>
        <v/>
      </c>
      <c r="BJ53" s="91" t="str">
        <f aca="false">IF(ISBLANK($C53),"",AND($AT53,OR($AU53="",$AV53="",AND($AW53,$AX53=""))))</f>
        <v/>
      </c>
      <c r="BK53" s="93" t="str">
        <f aca="false">IF($BR53&lt;&gt;Constants!$B$8,"",IF($AT53,Constants!$B$21*$AV53+Constants!$B$22*IF($AW53,$AX53,Constants!$B$23),Constants!$B$24))</f>
        <v/>
      </c>
      <c r="BL53" s="96" t="str">
        <f aca="false">IF($BR53&lt;&gt;Constants!$B$8,"",Constants!$B$25*ABS($AD$9-IF($AT53,$AU53,0)))</f>
        <v/>
      </c>
      <c r="BM53" s="96" t="str">
        <f aca="false">IF($BR53&lt;&gt;Constants!$B$8,"",IF(AND($AT53,$AY53,$AW53),Constants!$B$27,0))</f>
        <v/>
      </c>
      <c r="BN53" s="96" t="str">
        <f aca="false">IF($BR53&lt;&gt;Constants!$B$8,"",IF($AT53,($AI53-Constants!$B$29)*Constants!$B$28,0))</f>
        <v/>
      </c>
      <c r="BO53" s="96" t="str">
        <f aca="false">IF($BR53&lt;&gt;Constants!$B$8,"",IF($AS53,0,Constants!$B$15)+IF($AR53,0,Constants!$B$16)+IF($AH53,0,Constants!$B$17))</f>
        <v/>
      </c>
      <c r="BP53" s="97" t="str">
        <f aca="false">IF($BR53&lt;&gt;Constants!$B$8,"",Constants!$B$20+SUM($BK53:$BO53))</f>
        <v/>
      </c>
      <c r="BQ53" s="92" t="str">
        <f aca="false">IF(ISBLANK($C53),"",IF(ISBLANK($D$7),$BQ$5,IF(NOT(ISNUMBER($D$7)),$BQ$6,"")))</f>
        <v/>
      </c>
      <c r="BR53" s="92" t="str">
        <f aca="false">IF(ISBLANK($C53),"",IF($BA53,Constants!$B$11,IF(COUNTA($E53:$AA53)=0,Constants!$B$10,IF(NOT($AG53),Constants!$B$9,IF(OR($BQ53&lt;&gt;"",$BB53,$BJ53),Constants!$B$12,Constants!$B$8)))))</f>
        <v/>
      </c>
      <c r="BS53" s="92" t="str">
        <f aca="false">IF(ISBLANK($C53),"",IF($BR53&lt;&gt;Constants!$B$8,$BR53,Constants!$B$13))</f>
        <v/>
      </c>
      <c r="BT53" s="96" t="str">
        <f aca="false">IF($BR53&lt;&gt;Constants!$B$8,"",IF($BI53="-&gt;",$BP53,$BH53))</f>
        <v/>
      </c>
      <c r="BU53" s="96" t="str">
        <f aca="false">IF($BR53&lt;&gt;Constants!$B$8,"",IF($AF53,0,Constants!$B$18))</f>
        <v/>
      </c>
      <c r="BV53" s="96" t="str">
        <f aca="false">IF($BR53&lt;&gt;Constants!$B$8,"",((Constants!$B$31-$AZ53)-Constants!$B$31)/Constants!$B$32)</f>
        <v/>
      </c>
      <c r="BW53" s="96" t="str">
        <f aca="false">IF(ISBLANK($C53),"",IF($BR53&lt;&gt;Constants!$B$8,$BR53,SUM($BT53:$BV53)))</f>
        <v/>
      </c>
      <c r="BX53" s="92" t="str">
        <f aca="false">IF(ISBLANK($C53),"",IF($BR53&lt;&gt;Constants!$B$8,$BR53,RANK($BW53,$BW$9:$BW$508,1)))</f>
        <v/>
      </c>
      <c r="BY53" s="96" t="str">
        <f aca="false">IF($BR53&lt;&gt;Constants!$B$8,"",IF($BI53="-&gt;",$BK53,$BC53))</f>
        <v/>
      </c>
      <c r="BZ53" s="92" t="str">
        <f aca="false">IF(ISBLANK($C53),"",IF($BR53&lt;&gt;Constants!$B$8,$BR53,IF(ISNUMBER($BY53),RANK($BY53,$BY$9:$BY$508,1),COUNT($BY$9:$BY$508)+1)))</f>
        <v/>
      </c>
      <c r="CA53" s="96" t="str">
        <f aca="false">IF($BR53&lt;&gt;Constants!$B$8,"",IF($BI53="-&gt;",$BL53,$BD53))</f>
        <v/>
      </c>
      <c r="CB53" s="92" t="str">
        <f aca="false">IF(ISBLANK($C53),"",IF($BR53&lt;&gt;Constants!$B$8,$BR53,IF(ISNUMBER($CA53),RANK($CA53,$CA$9:$CA$508,1),COUNT($CA$9:$CA$508)+1)))</f>
        <v/>
      </c>
      <c r="CC53" s="96" t="str">
        <f aca="false">IF($BR53&lt;&gt;Constants!$B$8,"",IF($BI53="-&gt;",IF($AT53,$AV53,""),IF($AL53,$AN53,"")))</f>
        <v/>
      </c>
      <c r="CD53" s="92" t="str">
        <f aca="false">IF(ISBLANK($C53),"",IF($BR53&lt;&gt;Constants!$B$8,$BR53,IF(ISNUMBER($CC53),RANK($CC53,$CC$9:$CC$508,1),COUNT($CC$9:$CC$508)+1)))</f>
        <v/>
      </c>
      <c r="CE53" s="96" t="str">
        <f aca="false">IF($BR53&lt;&gt;Constants!$B$8,"",IF(AND(NOT($AL53),NOT($AT53),$AJ53,$AK53,$AR53,$AS53),"",$AI53))</f>
        <v/>
      </c>
      <c r="CF53" s="92" t="str">
        <f aca="false">IF(ISBLANK($C53),"",IF($BR53&lt;&gt;Constants!$B$8,$BR53,IF(ISNUMBER($CE53),RANK($CE53,$CE$9:$CE$508,1),COUNT($CE$9:$CE$508)+1)))</f>
        <v/>
      </c>
      <c r="CG53" s="92" t="str">
        <f aca="false">IF(ISBLANK($C53),"",IF($BR53&lt;&gt;Constants!$B$8,$BR53,COUNTIFS($BX$9:$BX$508,"&lt;"&amp;$BX53)+COUNTIFS($BX$9:$BX$508,$BX53,$BZ$9:$BZ$508,"&lt;"&amp;$BZ53)+COUNTIFS($BX$9:$BX$508,$BX53,$BZ$9:$BZ$508,$BZ53,$CB$9:$CB$508,"&lt;"&amp;$CB53)+COUNTIFS($BX$9:$BX$508,$BX53,$BZ$9:$BZ$508,$BZ53,$CB$9:$CB$508,$CB53,$CD$9:$CD$508,"&lt;"&amp;$CD53)+COUNTIFS($BX$9:$BX$508,$BX53,$BZ$9:$BZ$508,$BZ53,$CB$9:$CB$508,$CB53,$CD$9:$CD$508,$CD53,$CF$9:$CF$508,"&lt;"&amp;$CF53)+1))</f>
        <v/>
      </c>
      <c r="CH53" s="92" t="str">
        <f aca="false">IF(ISBLANK($C53),"",IF($BR53&lt;&gt;Constants!$B$8,$BR53,$BX53-$CG53))</f>
        <v/>
      </c>
      <c r="CI53" s="98"/>
      <c r="CJ53" s="99"/>
      <c r="CK53" s="100" t="str">
        <f aca="false">IF(ISBLANK($C53),"",IF($BR53=Constants!$B$12,$BQ53,""))</f>
        <v/>
      </c>
      <c r="CL53" s="99" t="str">
        <f aca="false">IF(ISBLANK($C53),"",IF($BR53&lt;&gt;Constants!$B$8,"",IF($BI53="-&gt;",2,1)))</f>
        <v/>
      </c>
      <c r="CM53" s="101" t="str">
        <f aca="false">IF(ISBLANK($C53),"",IF($BR53&lt;&gt;Constants!$B$8,"",IF($BI53="-&gt;",$BK53,$BC53)))</f>
        <v/>
      </c>
      <c r="CN53" s="101" t="str">
        <f aca="false">IF(ISBLANK($C53),"",IF($BR53&lt;&gt;Constants!$B$8,"",IF($BI53="-&gt;",$BL53,$BD53)))</f>
        <v/>
      </c>
      <c r="CO53" s="101" t="str">
        <f aca="false">IF(ISBLANK($C53),"",IF($BR53&lt;&gt;Constants!$B$8,"",IF($BI53="-&gt;",$BM53+$BN53,$BE53+$BF53)+$BV53))</f>
        <v/>
      </c>
      <c r="CP53" s="101" t="str">
        <f aca="false">IF(ISBLANK($C53),"",IF($BR53&lt;&gt;Constants!$B$8,"",IF($BI53="-&gt;",$BO53,$BG53)+$BU53))</f>
        <v/>
      </c>
      <c r="CQ53" s="102" t="str">
        <f aca="false">IF(ISBLANK($C53),"",IF($BR53&lt;&gt;Constants!$B$8,$BR53,$BW53))</f>
        <v/>
      </c>
      <c r="CR53" s="103" t="str">
        <f aca="false">IF(ISBLANK($C53),"",$BS53)</f>
        <v/>
      </c>
      <c r="CS53" s="104" t="str">
        <f aca="false">IF(ISBLANK($C53),"",$CH53)</f>
        <v/>
      </c>
      <c r="CT53" s="104" t="str">
        <f aca="false">IF(ISBLANK($C53),"",$CG53)</f>
        <v/>
      </c>
      <c r="CU53" s="105" t="str">
        <f aca="false">IF(ISBLANK($C53),"",IFERROR(_xlfn.SWITCH($CT53,Constants!$B$11,COUNTA($C$9:$C$508)+2,Constants!$B$10,COUNTA($C$9:$C$508)+1,Constants!$B$9,COUNTA($C$9:$C$508)),$CT53))</f>
        <v/>
      </c>
      <c r="CV53" s="9"/>
      <c r="CW53" s="106" t="n">
        <f aca="false">IF(OR(ISNUMBER($CT53),$CT53=Constants!$B$11,$CT53=Constants!$B$9,$CT53=Constants!$B$10),1,0)</f>
        <v>0</v>
      </c>
      <c r="CX53" s="106" t="n">
        <v>45</v>
      </c>
      <c r="CY53" s="106" t="str">
        <f aca="false">IF(ISBLANK($C53),"",IF(ISNUMBER($CU53),$CU53+ROW($B53)/1000,""))</f>
        <v/>
      </c>
      <c r="CZ53" s="106" t="str">
        <f aca="false">IF(ISNUMBER($CY53),RANK($CY53,$CY$9:$CY$508,1),"")</f>
        <v/>
      </c>
      <c r="DA53" s="106" t="str">
        <f aca="false">IF(ISBLANK($C53),"",$B53)</f>
        <v/>
      </c>
      <c r="DB53" s="106" t="str">
        <f aca="false">IF(ISBLANK($C53),"",$C53)</f>
        <v/>
      </c>
      <c r="DC53" s="106" t="str">
        <f aca="false">IF(ISBLANK($C53),"",$D53)</f>
        <v/>
      </c>
      <c r="DD53" s="107" t="str">
        <f aca="false">$CR53</f>
        <v/>
      </c>
      <c r="DE53" s="108" t="str">
        <f aca="false">$CQ53</f>
        <v/>
      </c>
      <c r="DF53" s="106" t="str">
        <f aca="false">IF(ISBLANK($C53),"",$CT53)</f>
        <v/>
      </c>
      <c r="DG53" s="109" t="str">
        <f aca="false">IF($CX53&gt;$CW$8,"",VLOOKUP($CX53,$CZ$9:$DF$508,7,FALSE()))</f>
        <v/>
      </c>
      <c r="DH53" s="110" t="str">
        <f aca="false">IF($CX53&gt;$CW$8,"",VLOOKUP($CX53,$CZ$9:$DF$508,2,FALSE()))</f>
        <v/>
      </c>
      <c r="DI53" s="110" t="str">
        <f aca="false">IF($CX53&gt;$CW$8,"",VLOOKUP($CX53,$CZ$9:$DF$508,3,FALSE()))</f>
        <v/>
      </c>
      <c r="DJ53" s="110" t="str">
        <f aca="false">IF($CX53&gt;$CW$8,"",VLOOKUP($CX53,$CZ$9:$DF$508,4,FALSE()))</f>
        <v/>
      </c>
      <c r="DK53" s="110" t="str">
        <f aca="false">IF($CX53&gt;$CW$8,"",VLOOKUP($CX53,$CZ$9:$DF$508,5,FALSE()))</f>
        <v/>
      </c>
      <c r="DL53" s="111" t="str">
        <f aca="false">IF($CX53&gt;$CW$8,"",VLOOKUP($CX53,$CZ$9:$DF$508,6,FALSE()))</f>
        <v/>
      </c>
      <c r="DM53" s="75"/>
    </row>
    <row r="54" customFormat="false" ht="15.75" hidden="false" customHeight="false" outlineLevel="0" collapsed="false">
      <c r="A54" s="9"/>
      <c r="B54" s="157"/>
      <c r="C54" s="158"/>
      <c r="D54" s="159"/>
      <c r="E54" s="177"/>
      <c r="F54" s="161"/>
      <c r="G54" s="162"/>
      <c r="H54" s="162"/>
      <c r="I54" s="178"/>
      <c r="J54" s="165"/>
      <c r="K54" s="126"/>
      <c r="L54" s="127"/>
      <c r="M54" s="128"/>
      <c r="N54" s="165"/>
      <c r="O54" s="165"/>
      <c r="P54" s="177"/>
      <c r="Q54" s="165"/>
      <c r="R54" s="165"/>
      <c r="S54" s="126"/>
      <c r="T54" s="128"/>
      <c r="U54" s="128"/>
      <c r="V54" s="165"/>
      <c r="W54" s="165"/>
      <c r="X54" s="177"/>
      <c r="Y54" s="165"/>
      <c r="Z54" s="166"/>
      <c r="AA54" s="165"/>
      <c r="AB54" s="132"/>
      <c r="AC54" s="133"/>
      <c r="AD54" s="133"/>
      <c r="AE54" s="133"/>
      <c r="AF54" s="133" t="str">
        <f aca="false">IF(ISBLANK($C54),"",IF(E54=Constants!$B$3,TRUE(),IF(E54=Constants!$B$4,FALSE(),TRUE())))</f>
        <v/>
      </c>
      <c r="AG54" s="133" t="str">
        <f aca="false">IF(ISBLANK($C54),"",IF(F54=Constants!$B$3,TRUE(),IF(F54=Constants!$B$4,FALSE(),TRUE())))</f>
        <v/>
      </c>
      <c r="AH54" s="133" t="str">
        <f aca="false">IF(ISBLANK($C54),"",IF(G54=Constants!$B$3,TRUE(),IF(G54=Constants!$B$4,FALSE(),TRUE())))</f>
        <v/>
      </c>
      <c r="AI54" s="133" t="str">
        <f aca="false">IF(ISBLANK($C54),"",IF(AND(ISNUMBER(H54),H54&gt;=0),H54,Constants!$B$29))</f>
        <v/>
      </c>
      <c r="AJ54" s="133" t="str">
        <f aca="false">IF(ISBLANK($C54),"",IF(I54=Constants!$B$3,TRUE(),IF(I54=Constants!$B$4,FALSE(),TRUE())))</f>
        <v/>
      </c>
      <c r="AK54" s="133" t="str">
        <f aca="false">IF(ISBLANK($C54),"",IF(J54=Constants!$B$3,TRUE(),IF(J54=Constants!$B$4,FALSE(),TRUE())))</f>
        <v/>
      </c>
      <c r="AL54" s="133" t="str">
        <f aca="false">IF(ISBLANK($C54),"",IF(K54=Constants!$B$5,TRUE(),IF(K54=Constants!$B$6,FALSE(),COUNTA(L54:P54)&gt;0)))</f>
        <v/>
      </c>
      <c r="AM54" s="134" t="str">
        <f aca="false">IF(ISBLANK($C54),"",IF(ISNUMBER(L54),IF(L54&gt;=0,L54,""),""))</f>
        <v/>
      </c>
      <c r="AN54" s="135" t="str">
        <f aca="false">IF(ISBLANK($C54),"",IF(ISNUMBER(M54),IF(M54&gt;=0,M54,""),""))</f>
        <v/>
      </c>
      <c r="AO54" s="135" t="str">
        <f aca="false">IF(ISBLANK($C54),"",IF(N54=Constants!$B$3,TRUE(),IF(N54=Constants!$B$4,FALSE(),TRUE())))</f>
        <v/>
      </c>
      <c r="AP54" s="133" t="str">
        <f aca="false">IF(ISBLANK($C54),"",IF(ISNUMBER(O54),IF(O54&gt;=0,O54,""),""))</f>
        <v/>
      </c>
      <c r="AQ54" s="133" t="str">
        <f aca="false">IF(ISBLANK($C54),"",IF(P54=Constants!$B$3,TRUE(),IF(P54=Constants!$B$4,FALSE(),FALSE())))</f>
        <v/>
      </c>
      <c r="AR54" s="133" t="str">
        <f aca="false">IF(ISBLANK($C54),"",IF(Q54=Constants!$B$3,TRUE(),IF(Q54=Constants!$B$4,FALSE(),TRUE())))</f>
        <v/>
      </c>
      <c r="AS54" s="133" t="str">
        <f aca="false">IF(ISBLANK($C54),"",IF(R54=Constants!$B$3,TRUE(),IF(R54=Constants!$B$4,FALSE(),TRUE())))</f>
        <v/>
      </c>
      <c r="AT54" s="133" t="str">
        <f aca="false">IF(ISBLANK($C54),"",IF(S54=Constants!$B$5,TRUE(),IF(S54=Constants!$B$6,FALSE(),COUNTA(T54:X54)&gt;0)))</f>
        <v/>
      </c>
      <c r="AU54" s="134" t="str">
        <f aca="false">IF(ISBLANK($C54),"",IF(ISNUMBER(T54),IF(T54&gt;=0,T54,""),""))</f>
        <v/>
      </c>
      <c r="AV54" s="135" t="str">
        <f aca="false">IF(ISBLANK($C54),"",IF(ISNUMBER(U54),IF(U54&gt;=0,U54,""),""))</f>
        <v/>
      </c>
      <c r="AW54" s="135" t="str">
        <f aca="false">IF(ISBLANK($C54),"",IF(V54=Constants!$B$3,TRUE(),IF(V54=Constants!$B$4,FALSE(),TRUE())))</f>
        <v/>
      </c>
      <c r="AX54" s="133" t="str">
        <f aca="false">IF(ISBLANK($C54),"",IF(ISNUMBER(W54),IF(W54&gt;=0,W54,""),""))</f>
        <v/>
      </c>
      <c r="AY54" s="133" t="str">
        <f aca="false">IF(ISBLANK($C54),"",IF(X54=Constants!$B$3,TRUE(),IF(X54=Constants!$B$4,FALSE(),FALSE())))</f>
        <v/>
      </c>
      <c r="AZ54" s="133" t="str">
        <f aca="false">IF(ISBLANK($C54),"",MIN(Constants!$B$31,MAX(0,IF(ISNUMBER(Y54),Y54*60,0)+IF(ISNUMBER(Z54),Z54,0))))</f>
        <v/>
      </c>
      <c r="BA54" s="133" t="str">
        <f aca="false">IF(ISBLANK($C54),"",IF(AA54=Constants!$B$3,TRUE(),IF(AA54=Constants!$B$4,FALSE(),FALSE())))</f>
        <v/>
      </c>
      <c r="BB54" s="132" t="str">
        <f aca="false">IF(ISBLANK($C54),"",AND($AL54,OR($AM54="",$AN54="",AND($AO54,$AP54=""))))</f>
        <v/>
      </c>
      <c r="BC54" s="135" t="str">
        <f aca="false">IF($BR54&lt;&gt;Constants!$B$8,"",IF($AL54,Constants!$B$21*$AN54+Constants!$B$22*IF($AO54,$AP54,Constants!$B$23),Constants!$B$24))</f>
        <v/>
      </c>
      <c r="BD54" s="136" t="str">
        <f aca="false">IF($BR54&lt;&gt;Constants!$B$8,"",Constants!$B$25*ABS($AD$9-IF($AL54,$AM54,0)))</f>
        <v/>
      </c>
      <c r="BE54" s="136" t="str">
        <f aca="false">IF($BR54&lt;&gt;Constants!$B$8,"",IF(AND($AL54,$AQ54,$AO54),Constants!$B$27,0))</f>
        <v/>
      </c>
      <c r="BF54" s="136" t="str">
        <f aca="false">IF($BR54&lt;&gt;Constants!$B$8,"",IF($AL54,($AI54-Constants!$B$29)*Constants!$B$28,0))</f>
        <v/>
      </c>
      <c r="BG54" s="136" t="str">
        <f aca="false">IF($BR54&lt;&gt;Constants!$B$8,"",IF($AK54,0,Constants!$B$15)+IF($AJ54,0,Constants!$B$16)+IF($AH54,0,Constants!$B$17))</f>
        <v/>
      </c>
      <c r="BH54" s="137" t="str">
        <f aca="false">IF($BR54&lt;&gt;Constants!$B$8,"",Constants!$B$20+SUM($BC54:$BG54))</f>
        <v/>
      </c>
      <c r="BI54" s="133" t="str">
        <f aca="false">IF($BR54&lt;&gt;Constants!$B$8,"",IF(OR($BP54&lt;$BH54,AND($BP54=$BH54,OR($BK54&lt;$BC54,AND($BK54=$BC54,OR($BL54&lt;$BD54,AND($BL54=$BD54,$AT54,$AL54,$AV54&lt;$AN54)))))),"-&gt;","&lt;-"))</f>
        <v/>
      </c>
      <c r="BJ54" s="132" t="str">
        <f aca="false">IF(ISBLANK($C54),"",AND($AT54,OR($AU54="",$AV54="",AND($AW54,$AX54=""))))</f>
        <v/>
      </c>
      <c r="BK54" s="135" t="str">
        <f aca="false">IF($BR54&lt;&gt;Constants!$B$8,"",IF($AT54,Constants!$B$21*$AV54+Constants!$B$22*IF($AW54,$AX54,Constants!$B$23),Constants!$B$24))</f>
        <v/>
      </c>
      <c r="BL54" s="136" t="str">
        <f aca="false">IF($BR54&lt;&gt;Constants!$B$8,"",Constants!$B$25*ABS($AD$9-IF($AT54,$AU54,0)))</f>
        <v/>
      </c>
      <c r="BM54" s="136" t="str">
        <f aca="false">IF($BR54&lt;&gt;Constants!$B$8,"",IF(AND($AT54,$AY54,$AW54),Constants!$B$27,0))</f>
        <v/>
      </c>
      <c r="BN54" s="136" t="str">
        <f aca="false">IF($BR54&lt;&gt;Constants!$B$8,"",IF($AT54,($AI54-Constants!$B$29)*Constants!$B$28,0))</f>
        <v/>
      </c>
      <c r="BO54" s="136" t="str">
        <f aca="false">IF($BR54&lt;&gt;Constants!$B$8,"",IF($AS54,0,Constants!$B$15)+IF($AR54,0,Constants!$B$16)+IF($AH54,0,Constants!$B$17))</f>
        <v/>
      </c>
      <c r="BP54" s="137" t="str">
        <f aca="false">IF($BR54&lt;&gt;Constants!$B$8,"",Constants!$B$20+SUM($BK54:$BO54))</f>
        <v/>
      </c>
      <c r="BQ54" s="133" t="str">
        <f aca="false">IF(ISBLANK($C54),"",IF(ISBLANK($D$7),$BQ$5,IF(NOT(ISNUMBER($D$7)),$BQ$6,"")))</f>
        <v/>
      </c>
      <c r="BR54" s="133" t="str">
        <f aca="false">IF(ISBLANK($C54),"",IF($BA54,Constants!$B$11,IF(COUNTA($E54:$AA54)=0,Constants!$B$10,IF(NOT($AG54),Constants!$B$9,IF(OR($BQ54&lt;&gt;"",$BB54,$BJ54),Constants!$B$12,Constants!$B$8)))))</f>
        <v/>
      </c>
      <c r="BS54" s="133" t="str">
        <f aca="false">IF(ISBLANK($C54),"",IF($BR54&lt;&gt;Constants!$B$8,$BR54,Constants!$B$13))</f>
        <v/>
      </c>
      <c r="BT54" s="136" t="str">
        <f aca="false">IF($BR54&lt;&gt;Constants!$B$8,"",IF($BI54="-&gt;",$BP54,$BH54))</f>
        <v/>
      </c>
      <c r="BU54" s="136" t="str">
        <f aca="false">IF($BR54&lt;&gt;Constants!$B$8,"",IF($AF54,0,Constants!$B$18))</f>
        <v/>
      </c>
      <c r="BV54" s="136" t="str">
        <f aca="false">IF($BR54&lt;&gt;Constants!$B$8,"",((Constants!$B$31-$AZ54)-Constants!$B$31)/Constants!$B$32)</f>
        <v/>
      </c>
      <c r="BW54" s="136" t="str">
        <f aca="false">IF(ISBLANK($C54),"",IF($BR54&lt;&gt;Constants!$B$8,$BR54,SUM($BT54:$BV54)))</f>
        <v/>
      </c>
      <c r="BX54" s="133" t="str">
        <f aca="false">IF(ISBLANK($C54),"",IF($BR54&lt;&gt;Constants!$B$8,$BR54,RANK($BW54,$BW$9:$BW$508,1)))</f>
        <v/>
      </c>
      <c r="BY54" s="136" t="str">
        <f aca="false">IF($BR54&lt;&gt;Constants!$B$8,"",IF($BI54="-&gt;",$BK54,$BC54))</f>
        <v/>
      </c>
      <c r="BZ54" s="133" t="str">
        <f aca="false">IF(ISBLANK($C54),"",IF($BR54&lt;&gt;Constants!$B$8,$BR54,IF(ISNUMBER($BY54),RANK($BY54,$BY$9:$BY$508,1),COUNT($BY$9:$BY$508)+1)))</f>
        <v/>
      </c>
      <c r="CA54" s="136" t="str">
        <f aca="false">IF($BR54&lt;&gt;Constants!$B$8,"",IF($BI54="-&gt;",$BL54,$BD54))</f>
        <v/>
      </c>
      <c r="CB54" s="133" t="str">
        <f aca="false">IF(ISBLANK($C54),"",IF($BR54&lt;&gt;Constants!$B$8,$BR54,IF(ISNUMBER($CA54),RANK($CA54,$CA$9:$CA$508,1),COUNT($CA$9:$CA$508)+1)))</f>
        <v/>
      </c>
      <c r="CC54" s="136" t="str">
        <f aca="false">IF($BR54&lt;&gt;Constants!$B$8,"",IF($BI54="-&gt;",IF($AT54,$AV54,""),IF($AL54,$AN54,"")))</f>
        <v/>
      </c>
      <c r="CD54" s="133" t="str">
        <f aca="false">IF(ISBLANK($C54),"",IF($BR54&lt;&gt;Constants!$B$8,$BR54,IF(ISNUMBER($CC54),RANK($CC54,$CC$9:$CC$508,1),COUNT($CC$9:$CC$508)+1)))</f>
        <v/>
      </c>
      <c r="CE54" s="136" t="str">
        <f aca="false">IF($BR54&lt;&gt;Constants!$B$8,"",IF(AND(NOT($AL54),NOT($AT54),$AJ54,$AK54,$AR54,$AS54),"",$AI54))</f>
        <v/>
      </c>
      <c r="CF54" s="133" t="str">
        <f aca="false">IF(ISBLANK($C54),"",IF($BR54&lt;&gt;Constants!$B$8,$BR54,IF(ISNUMBER($CE54),RANK($CE54,$CE$9:$CE$508,1),COUNT($CE$9:$CE$508)+1)))</f>
        <v/>
      </c>
      <c r="CG54" s="133" t="str">
        <f aca="false">IF(ISBLANK($C54),"",IF($BR54&lt;&gt;Constants!$B$8,$BR54,COUNTIFS($BX$9:$BX$508,"&lt;"&amp;$BX54)+COUNTIFS($BX$9:$BX$508,$BX54,$BZ$9:$BZ$508,"&lt;"&amp;$BZ54)+COUNTIFS($BX$9:$BX$508,$BX54,$BZ$9:$BZ$508,$BZ54,$CB$9:$CB$508,"&lt;"&amp;$CB54)+COUNTIFS($BX$9:$BX$508,$BX54,$BZ$9:$BZ$508,$BZ54,$CB$9:$CB$508,$CB54,$CD$9:$CD$508,"&lt;"&amp;$CD54)+COUNTIFS($BX$9:$BX$508,$BX54,$BZ$9:$BZ$508,$BZ54,$CB$9:$CB$508,$CB54,$CD$9:$CD$508,$CD54,$CF$9:$CF$508,"&lt;"&amp;$CF54)+1))</f>
        <v/>
      </c>
      <c r="CH54" s="133" t="str">
        <f aca="false">IF(ISBLANK($C54),"",IF($BR54&lt;&gt;Constants!$B$8,$BR54,$BX54-$CG54))</f>
        <v/>
      </c>
      <c r="CI54" s="138"/>
      <c r="CJ54" s="139"/>
      <c r="CK54" s="140" t="str">
        <f aca="false">IF(ISBLANK($C54),"",IF($BR54=Constants!$B$12,$BQ54,""))</f>
        <v/>
      </c>
      <c r="CL54" s="139" t="str">
        <f aca="false">IF(ISBLANK($C54),"",IF($BR54&lt;&gt;Constants!$B$8,"",IF($BI54="-&gt;",2,1)))</f>
        <v/>
      </c>
      <c r="CM54" s="141" t="str">
        <f aca="false">IF(ISBLANK($C54),"",IF($BR54&lt;&gt;Constants!$B$8,"",IF($BI54="-&gt;",$BK54,$BC54)))</f>
        <v/>
      </c>
      <c r="CN54" s="141" t="str">
        <f aca="false">IF(ISBLANK($C54),"",IF($BR54&lt;&gt;Constants!$B$8,"",IF($BI54="-&gt;",$BL54,$BD54)))</f>
        <v/>
      </c>
      <c r="CO54" s="141" t="str">
        <f aca="false">IF(ISBLANK($C54),"",IF($BR54&lt;&gt;Constants!$B$8,"",IF($BI54="-&gt;",$BM54+$BN54,$BE54+$BF54)+$BV54))</f>
        <v/>
      </c>
      <c r="CP54" s="141" t="str">
        <f aca="false">IF(ISBLANK($C54),"",IF($BR54&lt;&gt;Constants!$B$8,"",IF($BI54="-&gt;",$BO54,$BG54)+$BU54))</f>
        <v/>
      </c>
      <c r="CQ54" s="142" t="str">
        <f aca="false">IF(ISBLANK($C54),"",IF($BR54&lt;&gt;Constants!$B$8,$BR54,$BW54))</f>
        <v/>
      </c>
      <c r="CR54" s="143" t="str">
        <f aca="false">IF(ISBLANK($C54),"",$BS54)</f>
        <v/>
      </c>
      <c r="CS54" s="144" t="str">
        <f aca="false">IF(ISBLANK($C54),"",$CH54)</f>
        <v/>
      </c>
      <c r="CT54" s="144" t="str">
        <f aca="false">IF(ISBLANK($C54),"",$CG54)</f>
        <v/>
      </c>
      <c r="CU54" s="145" t="str">
        <f aca="false">IF(ISBLANK($C54),"",IFERROR(_xlfn.SWITCH($CT54,Constants!$B$11,COUNTA($C$9:$C$508)+2,Constants!$B$10,COUNTA($C$9:$C$508)+1,Constants!$B$9,COUNTA($C$9:$C$508)),$CT54))</f>
        <v/>
      </c>
      <c r="CV54" s="9"/>
      <c r="CW54" s="146" t="n">
        <f aca="false">IF(OR(ISNUMBER($CT54),$CT54=Constants!$B$11,$CT54=Constants!$B$9,$CT54=Constants!$B$10),1,0)</f>
        <v>0</v>
      </c>
      <c r="CX54" s="146" t="n">
        <v>46</v>
      </c>
      <c r="CY54" s="146" t="str">
        <f aca="false">IF(ISBLANK($C54),"",IF(ISNUMBER($CU54),$CU54+ROW($B54)/1000,""))</f>
        <v/>
      </c>
      <c r="CZ54" s="146" t="str">
        <f aca="false">IF(ISNUMBER($CY54),RANK($CY54,$CY$9:$CY$508,1),"")</f>
        <v/>
      </c>
      <c r="DA54" s="146" t="str">
        <f aca="false">IF(ISBLANK($C54),"",$B54)</f>
        <v/>
      </c>
      <c r="DB54" s="146" t="str">
        <f aca="false">IF(ISBLANK($C54),"",$C54)</f>
        <v/>
      </c>
      <c r="DC54" s="146" t="str">
        <f aca="false">IF(ISBLANK($C54),"",$D54)</f>
        <v/>
      </c>
      <c r="DD54" s="147" t="str">
        <f aca="false">$CR54</f>
        <v/>
      </c>
      <c r="DE54" s="148" t="str">
        <f aca="false">$CQ54</f>
        <v/>
      </c>
      <c r="DF54" s="146" t="str">
        <f aca="false">IF(ISBLANK($C54),"",$CT54)</f>
        <v/>
      </c>
      <c r="DG54" s="149" t="str">
        <f aca="false">IF($CX54&gt;$CW$8,"",VLOOKUP($CX54,$CZ$9:$DF$508,7,FALSE()))</f>
        <v/>
      </c>
      <c r="DH54" s="150" t="str">
        <f aca="false">IF($CX54&gt;$CW$8,"",VLOOKUP($CX54,$CZ$9:$DF$508,2,FALSE()))</f>
        <v/>
      </c>
      <c r="DI54" s="150" t="str">
        <f aca="false">IF($CX54&gt;$CW$8,"",VLOOKUP($CX54,$CZ$9:$DF$508,3,FALSE()))</f>
        <v/>
      </c>
      <c r="DJ54" s="150" t="str">
        <f aca="false">IF($CX54&gt;$CW$8,"",VLOOKUP($CX54,$CZ$9:$DF$508,4,FALSE()))</f>
        <v/>
      </c>
      <c r="DK54" s="150" t="str">
        <f aca="false">IF($CX54&gt;$CW$8,"",VLOOKUP($CX54,$CZ$9:$DF$508,5,FALSE()))</f>
        <v/>
      </c>
      <c r="DL54" s="151" t="str">
        <f aca="false">IF($CX54&gt;$CW$8,"",VLOOKUP($CX54,$CZ$9:$DF$508,6,FALSE()))</f>
        <v/>
      </c>
      <c r="DM54" s="75"/>
    </row>
    <row r="55" customFormat="false" ht="15.75" hidden="false" customHeight="false" outlineLevel="0" collapsed="false">
      <c r="A55" s="9"/>
      <c r="B55" s="157"/>
      <c r="C55" s="158"/>
      <c r="D55" s="159"/>
      <c r="E55" s="177"/>
      <c r="F55" s="161"/>
      <c r="G55" s="162"/>
      <c r="H55" s="162"/>
      <c r="I55" s="178"/>
      <c r="J55" s="165"/>
      <c r="K55" s="126"/>
      <c r="L55" s="127"/>
      <c r="M55" s="128"/>
      <c r="N55" s="165"/>
      <c r="O55" s="165"/>
      <c r="P55" s="177"/>
      <c r="Q55" s="165"/>
      <c r="R55" s="165"/>
      <c r="S55" s="126"/>
      <c r="T55" s="128"/>
      <c r="U55" s="128"/>
      <c r="V55" s="165"/>
      <c r="W55" s="165"/>
      <c r="X55" s="177"/>
      <c r="Y55" s="165"/>
      <c r="Z55" s="166"/>
      <c r="AA55" s="165"/>
      <c r="AB55" s="132"/>
      <c r="AC55" s="133"/>
      <c r="AD55" s="133"/>
      <c r="AE55" s="133"/>
      <c r="AF55" s="133" t="str">
        <f aca="false">IF(ISBLANK($C55),"",IF(E55=Constants!$B$3,TRUE(),IF(E55=Constants!$B$4,FALSE(),TRUE())))</f>
        <v/>
      </c>
      <c r="AG55" s="133" t="str">
        <f aca="false">IF(ISBLANK($C55),"",IF(F55=Constants!$B$3,TRUE(),IF(F55=Constants!$B$4,FALSE(),TRUE())))</f>
        <v/>
      </c>
      <c r="AH55" s="133" t="str">
        <f aca="false">IF(ISBLANK($C55),"",IF(G55=Constants!$B$3,TRUE(),IF(G55=Constants!$B$4,FALSE(),TRUE())))</f>
        <v/>
      </c>
      <c r="AI55" s="133" t="str">
        <f aca="false">IF(ISBLANK($C55),"",IF(AND(ISNUMBER(H55),H55&gt;=0),H55,Constants!$B$29))</f>
        <v/>
      </c>
      <c r="AJ55" s="133" t="str">
        <f aca="false">IF(ISBLANK($C55),"",IF(I55=Constants!$B$3,TRUE(),IF(I55=Constants!$B$4,FALSE(),TRUE())))</f>
        <v/>
      </c>
      <c r="AK55" s="133" t="str">
        <f aca="false">IF(ISBLANK($C55),"",IF(J55=Constants!$B$3,TRUE(),IF(J55=Constants!$B$4,FALSE(),TRUE())))</f>
        <v/>
      </c>
      <c r="AL55" s="133" t="str">
        <f aca="false">IF(ISBLANK($C55),"",IF(K55=Constants!$B$5,TRUE(),IF(K55=Constants!$B$6,FALSE(),COUNTA(L55:P55)&gt;0)))</f>
        <v/>
      </c>
      <c r="AM55" s="134" t="str">
        <f aca="false">IF(ISBLANK($C55),"",IF(ISNUMBER(L55),IF(L55&gt;=0,L55,""),""))</f>
        <v/>
      </c>
      <c r="AN55" s="135" t="str">
        <f aca="false">IF(ISBLANK($C55),"",IF(ISNUMBER(M55),IF(M55&gt;=0,M55,""),""))</f>
        <v/>
      </c>
      <c r="AO55" s="135" t="str">
        <f aca="false">IF(ISBLANK($C55),"",IF(N55=Constants!$B$3,TRUE(),IF(N55=Constants!$B$4,FALSE(),TRUE())))</f>
        <v/>
      </c>
      <c r="AP55" s="133" t="str">
        <f aca="false">IF(ISBLANK($C55),"",IF(ISNUMBER(O55),IF(O55&gt;=0,O55,""),""))</f>
        <v/>
      </c>
      <c r="AQ55" s="133" t="str">
        <f aca="false">IF(ISBLANK($C55),"",IF(P55=Constants!$B$3,TRUE(),IF(P55=Constants!$B$4,FALSE(),FALSE())))</f>
        <v/>
      </c>
      <c r="AR55" s="133" t="str">
        <f aca="false">IF(ISBLANK($C55),"",IF(Q55=Constants!$B$3,TRUE(),IF(Q55=Constants!$B$4,FALSE(),TRUE())))</f>
        <v/>
      </c>
      <c r="AS55" s="133" t="str">
        <f aca="false">IF(ISBLANK($C55),"",IF(R55=Constants!$B$3,TRUE(),IF(R55=Constants!$B$4,FALSE(),TRUE())))</f>
        <v/>
      </c>
      <c r="AT55" s="133" t="str">
        <f aca="false">IF(ISBLANK($C55),"",IF(S55=Constants!$B$5,TRUE(),IF(S55=Constants!$B$6,FALSE(),COUNTA(T55:X55)&gt;0)))</f>
        <v/>
      </c>
      <c r="AU55" s="134" t="str">
        <f aca="false">IF(ISBLANK($C55),"",IF(ISNUMBER(T55),IF(T55&gt;=0,T55,""),""))</f>
        <v/>
      </c>
      <c r="AV55" s="135" t="str">
        <f aca="false">IF(ISBLANK($C55),"",IF(ISNUMBER(U55),IF(U55&gt;=0,U55,""),""))</f>
        <v/>
      </c>
      <c r="AW55" s="135" t="str">
        <f aca="false">IF(ISBLANK($C55),"",IF(V55=Constants!$B$3,TRUE(),IF(V55=Constants!$B$4,FALSE(),TRUE())))</f>
        <v/>
      </c>
      <c r="AX55" s="133" t="str">
        <f aca="false">IF(ISBLANK($C55),"",IF(ISNUMBER(W55),IF(W55&gt;=0,W55,""),""))</f>
        <v/>
      </c>
      <c r="AY55" s="133" t="str">
        <f aca="false">IF(ISBLANK($C55),"",IF(X55=Constants!$B$3,TRUE(),IF(X55=Constants!$B$4,FALSE(),FALSE())))</f>
        <v/>
      </c>
      <c r="AZ55" s="133" t="str">
        <f aca="false">IF(ISBLANK($C55),"",MIN(Constants!$B$31,MAX(0,IF(ISNUMBER(Y55),Y55*60,0)+IF(ISNUMBER(Z55),Z55,0))))</f>
        <v/>
      </c>
      <c r="BA55" s="133" t="str">
        <f aca="false">IF(ISBLANK($C55),"",IF(AA55=Constants!$B$3,TRUE(),IF(AA55=Constants!$B$4,FALSE(),FALSE())))</f>
        <v/>
      </c>
      <c r="BB55" s="132" t="str">
        <f aca="false">IF(ISBLANK($C55),"",AND($AL55,OR($AM55="",$AN55="",AND($AO55,$AP55=""))))</f>
        <v/>
      </c>
      <c r="BC55" s="135" t="str">
        <f aca="false">IF($BR55&lt;&gt;Constants!$B$8,"",IF($AL55,Constants!$B$21*$AN55+Constants!$B$22*IF($AO55,$AP55,Constants!$B$23),Constants!$B$24))</f>
        <v/>
      </c>
      <c r="BD55" s="136" t="str">
        <f aca="false">IF($BR55&lt;&gt;Constants!$B$8,"",Constants!$B$25*ABS($AD$9-IF($AL55,$AM55,0)))</f>
        <v/>
      </c>
      <c r="BE55" s="136" t="str">
        <f aca="false">IF($BR55&lt;&gt;Constants!$B$8,"",IF(AND($AL55,$AQ55,$AO55),Constants!$B$27,0))</f>
        <v/>
      </c>
      <c r="BF55" s="136" t="str">
        <f aca="false">IF($BR55&lt;&gt;Constants!$B$8,"",IF($AL55,($AI55-Constants!$B$29)*Constants!$B$28,0))</f>
        <v/>
      </c>
      <c r="BG55" s="136" t="str">
        <f aca="false">IF($BR55&lt;&gt;Constants!$B$8,"",IF($AK55,0,Constants!$B$15)+IF($AJ55,0,Constants!$B$16)+IF($AH55,0,Constants!$B$17))</f>
        <v/>
      </c>
      <c r="BH55" s="137" t="str">
        <f aca="false">IF($BR55&lt;&gt;Constants!$B$8,"",Constants!$B$20+SUM($BC55:$BG55))</f>
        <v/>
      </c>
      <c r="BI55" s="133" t="str">
        <f aca="false">IF($BR55&lt;&gt;Constants!$B$8,"",IF(OR($BP55&lt;$BH55,AND($BP55=$BH55,OR($BK55&lt;$BC55,AND($BK55=$BC55,OR($BL55&lt;$BD55,AND($BL55=$BD55,$AT55,$AL55,$AV55&lt;$AN55)))))),"-&gt;","&lt;-"))</f>
        <v/>
      </c>
      <c r="BJ55" s="132" t="str">
        <f aca="false">IF(ISBLANK($C55),"",AND($AT55,OR($AU55="",$AV55="",AND($AW55,$AX55=""))))</f>
        <v/>
      </c>
      <c r="BK55" s="135" t="str">
        <f aca="false">IF($BR55&lt;&gt;Constants!$B$8,"",IF($AT55,Constants!$B$21*$AV55+Constants!$B$22*IF($AW55,$AX55,Constants!$B$23),Constants!$B$24))</f>
        <v/>
      </c>
      <c r="BL55" s="136" t="str">
        <f aca="false">IF($BR55&lt;&gt;Constants!$B$8,"",Constants!$B$25*ABS($AD$9-IF($AT55,$AU55,0)))</f>
        <v/>
      </c>
      <c r="BM55" s="136" t="str">
        <f aca="false">IF($BR55&lt;&gt;Constants!$B$8,"",IF(AND($AT55,$AY55,$AW55),Constants!$B$27,0))</f>
        <v/>
      </c>
      <c r="BN55" s="136" t="str">
        <f aca="false">IF($BR55&lt;&gt;Constants!$B$8,"",IF($AT55,($AI55-Constants!$B$29)*Constants!$B$28,0))</f>
        <v/>
      </c>
      <c r="BO55" s="136" t="str">
        <f aca="false">IF($BR55&lt;&gt;Constants!$B$8,"",IF($AS55,0,Constants!$B$15)+IF($AR55,0,Constants!$B$16)+IF($AH55,0,Constants!$B$17))</f>
        <v/>
      </c>
      <c r="BP55" s="137" t="str">
        <f aca="false">IF($BR55&lt;&gt;Constants!$B$8,"",Constants!$B$20+SUM($BK55:$BO55))</f>
        <v/>
      </c>
      <c r="BQ55" s="133" t="str">
        <f aca="false">IF(ISBLANK($C55),"",IF(ISBLANK($D$7),$BQ$5,IF(NOT(ISNUMBER($D$7)),$BQ$6,"")))</f>
        <v/>
      </c>
      <c r="BR55" s="133" t="str">
        <f aca="false">IF(ISBLANK($C55),"",IF($BA55,Constants!$B$11,IF(COUNTA($E55:$AA55)=0,Constants!$B$10,IF(NOT($AG55),Constants!$B$9,IF(OR($BQ55&lt;&gt;"",$BB55,$BJ55),Constants!$B$12,Constants!$B$8)))))</f>
        <v/>
      </c>
      <c r="BS55" s="133" t="str">
        <f aca="false">IF(ISBLANK($C55),"",IF($BR55&lt;&gt;Constants!$B$8,$BR55,Constants!$B$13))</f>
        <v/>
      </c>
      <c r="BT55" s="136" t="str">
        <f aca="false">IF($BR55&lt;&gt;Constants!$B$8,"",IF($BI55="-&gt;",$BP55,$BH55))</f>
        <v/>
      </c>
      <c r="BU55" s="136" t="str">
        <f aca="false">IF($BR55&lt;&gt;Constants!$B$8,"",IF($AF55,0,Constants!$B$18))</f>
        <v/>
      </c>
      <c r="BV55" s="136" t="str">
        <f aca="false">IF($BR55&lt;&gt;Constants!$B$8,"",((Constants!$B$31-$AZ55)-Constants!$B$31)/Constants!$B$32)</f>
        <v/>
      </c>
      <c r="BW55" s="136" t="str">
        <f aca="false">IF(ISBLANK($C55),"",IF($BR55&lt;&gt;Constants!$B$8,$BR55,SUM($BT55:$BV55)))</f>
        <v/>
      </c>
      <c r="BX55" s="133" t="str">
        <f aca="false">IF(ISBLANK($C55),"",IF($BR55&lt;&gt;Constants!$B$8,$BR55,RANK($BW55,$BW$9:$BW$508,1)))</f>
        <v/>
      </c>
      <c r="BY55" s="136" t="str">
        <f aca="false">IF($BR55&lt;&gt;Constants!$B$8,"",IF($BI55="-&gt;",$BK55,$BC55))</f>
        <v/>
      </c>
      <c r="BZ55" s="133" t="str">
        <f aca="false">IF(ISBLANK($C55),"",IF($BR55&lt;&gt;Constants!$B$8,$BR55,IF(ISNUMBER($BY55),RANK($BY55,$BY$9:$BY$508,1),COUNT($BY$9:$BY$508)+1)))</f>
        <v/>
      </c>
      <c r="CA55" s="136" t="str">
        <f aca="false">IF($BR55&lt;&gt;Constants!$B$8,"",IF($BI55="-&gt;",$BL55,$BD55))</f>
        <v/>
      </c>
      <c r="CB55" s="133" t="str">
        <f aca="false">IF(ISBLANK($C55),"",IF($BR55&lt;&gt;Constants!$B$8,$BR55,IF(ISNUMBER($CA55),RANK($CA55,$CA$9:$CA$508,1),COUNT($CA$9:$CA$508)+1)))</f>
        <v/>
      </c>
      <c r="CC55" s="136" t="str">
        <f aca="false">IF($BR55&lt;&gt;Constants!$B$8,"",IF($BI55="-&gt;",IF($AT55,$AV55,""),IF($AL55,$AN55,"")))</f>
        <v/>
      </c>
      <c r="CD55" s="133" t="str">
        <f aca="false">IF(ISBLANK($C55),"",IF($BR55&lt;&gt;Constants!$B$8,$BR55,IF(ISNUMBER($CC55),RANK($CC55,$CC$9:$CC$508,1),COUNT($CC$9:$CC$508)+1)))</f>
        <v/>
      </c>
      <c r="CE55" s="136" t="str">
        <f aca="false">IF($BR55&lt;&gt;Constants!$B$8,"",IF(AND(NOT($AL55),NOT($AT55),$AJ55,$AK55,$AR55,$AS55),"",$AI55))</f>
        <v/>
      </c>
      <c r="CF55" s="133" t="str">
        <f aca="false">IF(ISBLANK($C55),"",IF($BR55&lt;&gt;Constants!$B$8,$BR55,IF(ISNUMBER($CE55),RANK($CE55,$CE$9:$CE$508,1),COUNT($CE$9:$CE$508)+1)))</f>
        <v/>
      </c>
      <c r="CG55" s="133" t="str">
        <f aca="false">IF(ISBLANK($C55),"",IF($BR55&lt;&gt;Constants!$B$8,$BR55,COUNTIFS($BX$9:$BX$508,"&lt;"&amp;$BX55)+COUNTIFS($BX$9:$BX$508,$BX55,$BZ$9:$BZ$508,"&lt;"&amp;$BZ55)+COUNTIFS($BX$9:$BX$508,$BX55,$BZ$9:$BZ$508,$BZ55,$CB$9:$CB$508,"&lt;"&amp;$CB55)+COUNTIFS($BX$9:$BX$508,$BX55,$BZ$9:$BZ$508,$BZ55,$CB$9:$CB$508,$CB55,$CD$9:$CD$508,"&lt;"&amp;$CD55)+COUNTIFS($BX$9:$BX$508,$BX55,$BZ$9:$BZ$508,$BZ55,$CB$9:$CB$508,$CB55,$CD$9:$CD$508,$CD55,$CF$9:$CF$508,"&lt;"&amp;$CF55)+1))</f>
        <v/>
      </c>
      <c r="CH55" s="133" t="str">
        <f aca="false">IF(ISBLANK($C55),"",IF($BR55&lt;&gt;Constants!$B$8,$BR55,$BX55-$CG55))</f>
        <v/>
      </c>
      <c r="CI55" s="138"/>
      <c r="CJ55" s="139"/>
      <c r="CK55" s="140" t="str">
        <f aca="false">IF(ISBLANK($C55),"",IF($BR55=Constants!$B$12,$BQ55,""))</f>
        <v/>
      </c>
      <c r="CL55" s="139" t="str">
        <f aca="false">IF(ISBLANK($C55),"",IF($BR55&lt;&gt;Constants!$B$8,"",IF($BI55="-&gt;",2,1)))</f>
        <v/>
      </c>
      <c r="CM55" s="141" t="str">
        <f aca="false">IF(ISBLANK($C55),"",IF($BR55&lt;&gt;Constants!$B$8,"",IF($BI55="-&gt;",$BK55,$BC55)))</f>
        <v/>
      </c>
      <c r="CN55" s="141" t="str">
        <f aca="false">IF(ISBLANK($C55),"",IF($BR55&lt;&gt;Constants!$B$8,"",IF($BI55="-&gt;",$BL55,$BD55)))</f>
        <v/>
      </c>
      <c r="CO55" s="141" t="str">
        <f aca="false">IF(ISBLANK($C55),"",IF($BR55&lt;&gt;Constants!$B$8,"",IF($BI55="-&gt;",$BM55+$BN55,$BE55+$BF55)+$BV55))</f>
        <v/>
      </c>
      <c r="CP55" s="141" t="str">
        <f aca="false">IF(ISBLANK($C55),"",IF($BR55&lt;&gt;Constants!$B$8,"",IF($BI55="-&gt;",$BO55,$BG55)+$BU55))</f>
        <v/>
      </c>
      <c r="CQ55" s="142" t="str">
        <f aca="false">IF(ISBLANK($C55),"",IF($BR55&lt;&gt;Constants!$B$8,$BR55,$BW55))</f>
        <v/>
      </c>
      <c r="CR55" s="143" t="str">
        <f aca="false">IF(ISBLANK($C55),"",$BS55)</f>
        <v/>
      </c>
      <c r="CS55" s="144" t="str">
        <f aca="false">IF(ISBLANK($C55),"",$CH55)</f>
        <v/>
      </c>
      <c r="CT55" s="144" t="str">
        <f aca="false">IF(ISBLANK($C55),"",$CG55)</f>
        <v/>
      </c>
      <c r="CU55" s="145" t="str">
        <f aca="false">IF(ISBLANK($C55),"",IFERROR(_xlfn.SWITCH($CT55,Constants!$B$11,COUNTA($C$9:$C$508)+2,Constants!$B$10,COUNTA($C$9:$C$508)+1,Constants!$B$9,COUNTA($C$9:$C$508)),$CT55))</f>
        <v/>
      </c>
      <c r="CV55" s="9"/>
      <c r="CW55" s="146" t="n">
        <f aca="false">IF(OR(ISNUMBER($CT55),$CT55=Constants!$B$11,$CT55=Constants!$B$9,$CT55=Constants!$B$10),1,0)</f>
        <v>0</v>
      </c>
      <c r="CX55" s="146" t="n">
        <v>47</v>
      </c>
      <c r="CY55" s="146" t="str">
        <f aca="false">IF(ISBLANK($C55),"",IF(ISNUMBER($CU55),$CU55+ROW($B55)/1000,""))</f>
        <v/>
      </c>
      <c r="CZ55" s="146" t="str">
        <f aca="false">IF(ISNUMBER($CY55),RANK($CY55,$CY$9:$CY$508,1),"")</f>
        <v/>
      </c>
      <c r="DA55" s="146" t="str">
        <f aca="false">IF(ISBLANK($C55),"",$B55)</f>
        <v/>
      </c>
      <c r="DB55" s="146" t="str">
        <f aca="false">IF(ISBLANK($C55),"",$C55)</f>
        <v/>
      </c>
      <c r="DC55" s="146" t="str">
        <f aca="false">IF(ISBLANK($C55),"",$D55)</f>
        <v/>
      </c>
      <c r="DD55" s="147" t="str">
        <f aca="false">$CR55</f>
        <v/>
      </c>
      <c r="DE55" s="148" t="str">
        <f aca="false">$CQ55</f>
        <v/>
      </c>
      <c r="DF55" s="146" t="str">
        <f aca="false">IF(ISBLANK($C55),"",$CT55)</f>
        <v/>
      </c>
      <c r="DG55" s="149" t="str">
        <f aca="false">IF($CX55&gt;$CW$8,"",VLOOKUP($CX55,$CZ$9:$DF$508,7,FALSE()))</f>
        <v/>
      </c>
      <c r="DH55" s="150" t="str">
        <f aca="false">IF($CX55&gt;$CW$8,"",VLOOKUP($CX55,$CZ$9:$DF$508,2,FALSE()))</f>
        <v/>
      </c>
      <c r="DI55" s="150" t="str">
        <f aca="false">IF($CX55&gt;$CW$8,"",VLOOKUP($CX55,$CZ$9:$DF$508,3,FALSE()))</f>
        <v/>
      </c>
      <c r="DJ55" s="150" t="str">
        <f aca="false">IF($CX55&gt;$CW$8,"",VLOOKUP($CX55,$CZ$9:$DF$508,4,FALSE()))</f>
        <v/>
      </c>
      <c r="DK55" s="150" t="str">
        <f aca="false">IF($CX55&gt;$CW$8,"",VLOOKUP($CX55,$CZ$9:$DF$508,5,FALSE()))</f>
        <v/>
      </c>
      <c r="DL55" s="151" t="str">
        <f aca="false">IF($CX55&gt;$CW$8,"",VLOOKUP($CX55,$CZ$9:$DF$508,6,FALSE()))</f>
        <v/>
      </c>
      <c r="DM55" s="75"/>
    </row>
    <row r="56" customFormat="false" ht="15.75" hidden="false" customHeight="false" outlineLevel="0" collapsed="false">
      <c r="A56" s="9"/>
      <c r="B56" s="157"/>
      <c r="C56" s="158"/>
      <c r="D56" s="159"/>
      <c r="E56" s="177"/>
      <c r="F56" s="161"/>
      <c r="G56" s="162"/>
      <c r="H56" s="162"/>
      <c r="I56" s="178"/>
      <c r="J56" s="165"/>
      <c r="K56" s="126"/>
      <c r="L56" s="127"/>
      <c r="M56" s="128"/>
      <c r="N56" s="165"/>
      <c r="O56" s="165"/>
      <c r="P56" s="177"/>
      <c r="Q56" s="165"/>
      <c r="R56" s="165"/>
      <c r="S56" s="126"/>
      <c r="T56" s="128"/>
      <c r="U56" s="128"/>
      <c r="V56" s="165"/>
      <c r="W56" s="165"/>
      <c r="X56" s="177"/>
      <c r="Y56" s="165"/>
      <c r="Z56" s="166"/>
      <c r="AA56" s="165"/>
      <c r="AB56" s="132"/>
      <c r="AC56" s="133"/>
      <c r="AD56" s="133"/>
      <c r="AE56" s="133"/>
      <c r="AF56" s="133" t="str">
        <f aca="false">IF(ISBLANK($C56),"",IF(E56=Constants!$B$3,TRUE(),IF(E56=Constants!$B$4,FALSE(),TRUE())))</f>
        <v/>
      </c>
      <c r="AG56" s="133" t="str">
        <f aca="false">IF(ISBLANK($C56),"",IF(F56=Constants!$B$3,TRUE(),IF(F56=Constants!$B$4,FALSE(),TRUE())))</f>
        <v/>
      </c>
      <c r="AH56" s="133" t="str">
        <f aca="false">IF(ISBLANK($C56),"",IF(G56=Constants!$B$3,TRUE(),IF(G56=Constants!$B$4,FALSE(),TRUE())))</f>
        <v/>
      </c>
      <c r="AI56" s="133" t="str">
        <f aca="false">IF(ISBLANK($C56),"",IF(AND(ISNUMBER(H56),H56&gt;=0),H56,Constants!$B$29))</f>
        <v/>
      </c>
      <c r="AJ56" s="133" t="str">
        <f aca="false">IF(ISBLANK($C56),"",IF(I56=Constants!$B$3,TRUE(),IF(I56=Constants!$B$4,FALSE(),TRUE())))</f>
        <v/>
      </c>
      <c r="AK56" s="133" t="str">
        <f aca="false">IF(ISBLANK($C56),"",IF(J56=Constants!$B$3,TRUE(),IF(J56=Constants!$B$4,FALSE(),TRUE())))</f>
        <v/>
      </c>
      <c r="AL56" s="133" t="str">
        <f aca="false">IF(ISBLANK($C56),"",IF(K56=Constants!$B$5,TRUE(),IF(K56=Constants!$B$6,FALSE(),COUNTA(L56:P56)&gt;0)))</f>
        <v/>
      </c>
      <c r="AM56" s="134" t="str">
        <f aca="false">IF(ISBLANK($C56),"",IF(ISNUMBER(L56),IF(L56&gt;=0,L56,""),""))</f>
        <v/>
      </c>
      <c r="AN56" s="135" t="str">
        <f aca="false">IF(ISBLANK($C56),"",IF(ISNUMBER(M56),IF(M56&gt;=0,M56,""),""))</f>
        <v/>
      </c>
      <c r="AO56" s="135" t="str">
        <f aca="false">IF(ISBLANK($C56),"",IF(N56=Constants!$B$3,TRUE(),IF(N56=Constants!$B$4,FALSE(),TRUE())))</f>
        <v/>
      </c>
      <c r="AP56" s="133" t="str">
        <f aca="false">IF(ISBLANK($C56),"",IF(ISNUMBER(O56),IF(O56&gt;=0,O56,""),""))</f>
        <v/>
      </c>
      <c r="AQ56" s="133" t="str">
        <f aca="false">IF(ISBLANK($C56),"",IF(P56=Constants!$B$3,TRUE(),IF(P56=Constants!$B$4,FALSE(),FALSE())))</f>
        <v/>
      </c>
      <c r="AR56" s="133" t="str">
        <f aca="false">IF(ISBLANK($C56),"",IF(Q56=Constants!$B$3,TRUE(),IF(Q56=Constants!$B$4,FALSE(),TRUE())))</f>
        <v/>
      </c>
      <c r="AS56" s="133" t="str">
        <f aca="false">IF(ISBLANK($C56),"",IF(R56=Constants!$B$3,TRUE(),IF(R56=Constants!$B$4,FALSE(),TRUE())))</f>
        <v/>
      </c>
      <c r="AT56" s="133" t="str">
        <f aca="false">IF(ISBLANK($C56),"",IF(S56=Constants!$B$5,TRUE(),IF(S56=Constants!$B$6,FALSE(),COUNTA(T56:X56)&gt;0)))</f>
        <v/>
      </c>
      <c r="AU56" s="134" t="str">
        <f aca="false">IF(ISBLANK($C56),"",IF(ISNUMBER(T56),IF(T56&gt;=0,T56,""),""))</f>
        <v/>
      </c>
      <c r="AV56" s="135" t="str">
        <f aca="false">IF(ISBLANK($C56),"",IF(ISNUMBER(U56),IF(U56&gt;=0,U56,""),""))</f>
        <v/>
      </c>
      <c r="AW56" s="135" t="str">
        <f aca="false">IF(ISBLANK($C56),"",IF(V56=Constants!$B$3,TRUE(),IF(V56=Constants!$B$4,FALSE(),TRUE())))</f>
        <v/>
      </c>
      <c r="AX56" s="133" t="str">
        <f aca="false">IF(ISBLANK($C56),"",IF(ISNUMBER(W56),IF(W56&gt;=0,W56,""),""))</f>
        <v/>
      </c>
      <c r="AY56" s="133" t="str">
        <f aca="false">IF(ISBLANK($C56),"",IF(X56=Constants!$B$3,TRUE(),IF(X56=Constants!$B$4,FALSE(),FALSE())))</f>
        <v/>
      </c>
      <c r="AZ56" s="133" t="str">
        <f aca="false">IF(ISBLANK($C56),"",MIN(Constants!$B$31,MAX(0,IF(ISNUMBER(Y56),Y56*60,0)+IF(ISNUMBER(Z56),Z56,0))))</f>
        <v/>
      </c>
      <c r="BA56" s="133" t="str">
        <f aca="false">IF(ISBLANK($C56),"",IF(AA56=Constants!$B$3,TRUE(),IF(AA56=Constants!$B$4,FALSE(),FALSE())))</f>
        <v/>
      </c>
      <c r="BB56" s="132" t="str">
        <f aca="false">IF(ISBLANK($C56),"",AND($AL56,OR($AM56="",$AN56="",AND($AO56,$AP56=""))))</f>
        <v/>
      </c>
      <c r="BC56" s="135" t="str">
        <f aca="false">IF($BR56&lt;&gt;Constants!$B$8,"",IF($AL56,Constants!$B$21*$AN56+Constants!$B$22*IF($AO56,$AP56,Constants!$B$23),Constants!$B$24))</f>
        <v/>
      </c>
      <c r="BD56" s="136" t="str">
        <f aca="false">IF($BR56&lt;&gt;Constants!$B$8,"",Constants!$B$25*ABS($AD$9-IF($AL56,$AM56,0)))</f>
        <v/>
      </c>
      <c r="BE56" s="136" t="str">
        <f aca="false">IF($BR56&lt;&gt;Constants!$B$8,"",IF(AND($AL56,$AQ56,$AO56),Constants!$B$27,0))</f>
        <v/>
      </c>
      <c r="BF56" s="136" t="str">
        <f aca="false">IF($BR56&lt;&gt;Constants!$B$8,"",IF($AL56,($AI56-Constants!$B$29)*Constants!$B$28,0))</f>
        <v/>
      </c>
      <c r="BG56" s="136" t="str">
        <f aca="false">IF($BR56&lt;&gt;Constants!$B$8,"",IF($AK56,0,Constants!$B$15)+IF($AJ56,0,Constants!$B$16)+IF($AH56,0,Constants!$B$17))</f>
        <v/>
      </c>
      <c r="BH56" s="137" t="str">
        <f aca="false">IF($BR56&lt;&gt;Constants!$B$8,"",Constants!$B$20+SUM($BC56:$BG56))</f>
        <v/>
      </c>
      <c r="BI56" s="133" t="str">
        <f aca="false">IF($BR56&lt;&gt;Constants!$B$8,"",IF(OR($BP56&lt;$BH56,AND($BP56=$BH56,OR($BK56&lt;$BC56,AND($BK56=$BC56,OR($BL56&lt;$BD56,AND($BL56=$BD56,$AT56,$AL56,$AV56&lt;$AN56)))))),"-&gt;","&lt;-"))</f>
        <v/>
      </c>
      <c r="BJ56" s="132" t="str">
        <f aca="false">IF(ISBLANK($C56),"",AND($AT56,OR($AU56="",$AV56="",AND($AW56,$AX56=""))))</f>
        <v/>
      </c>
      <c r="BK56" s="135" t="str">
        <f aca="false">IF($BR56&lt;&gt;Constants!$B$8,"",IF($AT56,Constants!$B$21*$AV56+Constants!$B$22*IF($AW56,$AX56,Constants!$B$23),Constants!$B$24))</f>
        <v/>
      </c>
      <c r="BL56" s="136" t="str">
        <f aca="false">IF($BR56&lt;&gt;Constants!$B$8,"",Constants!$B$25*ABS($AD$9-IF($AT56,$AU56,0)))</f>
        <v/>
      </c>
      <c r="BM56" s="136" t="str">
        <f aca="false">IF($BR56&lt;&gt;Constants!$B$8,"",IF(AND($AT56,$AY56,$AW56),Constants!$B$27,0))</f>
        <v/>
      </c>
      <c r="BN56" s="136" t="str">
        <f aca="false">IF($BR56&lt;&gt;Constants!$B$8,"",IF($AT56,($AI56-Constants!$B$29)*Constants!$B$28,0))</f>
        <v/>
      </c>
      <c r="BO56" s="136" t="str">
        <f aca="false">IF($BR56&lt;&gt;Constants!$B$8,"",IF($AS56,0,Constants!$B$15)+IF($AR56,0,Constants!$B$16)+IF($AH56,0,Constants!$B$17))</f>
        <v/>
      </c>
      <c r="BP56" s="137" t="str">
        <f aca="false">IF($BR56&lt;&gt;Constants!$B$8,"",Constants!$B$20+SUM($BK56:$BO56))</f>
        <v/>
      </c>
      <c r="BQ56" s="133" t="str">
        <f aca="false">IF(ISBLANK($C56),"",IF(ISBLANK($D$7),$BQ$5,IF(NOT(ISNUMBER($D$7)),$BQ$6,"")))</f>
        <v/>
      </c>
      <c r="BR56" s="133" t="str">
        <f aca="false">IF(ISBLANK($C56),"",IF($BA56,Constants!$B$11,IF(COUNTA($E56:$AA56)=0,Constants!$B$10,IF(NOT($AG56),Constants!$B$9,IF(OR($BQ56&lt;&gt;"",$BB56,$BJ56),Constants!$B$12,Constants!$B$8)))))</f>
        <v/>
      </c>
      <c r="BS56" s="133" t="str">
        <f aca="false">IF(ISBLANK($C56),"",IF($BR56&lt;&gt;Constants!$B$8,$BR56,Constants!$B$13))</f>
        <v/>
      </c>
      <c r="BT56" s="136" t="str">
        <f aca="false">IF($BR56&lt;&gt;Constants!$B$8,"",IF($BI56="-&gt;",$BP56,$BH56))</f>
        <v/>
      </c>
      <c r="BU56" s="136" t="str">
        <f aca="false">IF($BR56&lt;&gt;Constants!$B$8,"",IF($AF56,0,Constants!$B$18))</f>
        <v/>
      </c>
      <c r="BV56" s="136" t="str">
        <f aca="false">IF($BR56&lt;&gt;Constants!$B$8,"",((Constants!$B$31-$AZ56)-Constants!$B$31)/Constants!$B$32)</f>
        <v/>
      </c>
      <c r="BW56" s="136" t="str">
        <f aca="false">IF(ISBLANK($C56),"",IF($BR56&lt;&gt;Constants!$B$8,$BR56,SUM($BT56:$BV56)))</f>
        <v/>
      </c>
      <c r="BX56" s="133" t="str">
        <f aca="false">IF(ISBLANK($C56),"",IF($BR56&lt;&gt;Constants!$B$8,$BR56,RANK($BW56,$BW$9:$BW$508,1)))</f>
        <v/>
      </c>
      <c r="BY56" s="136" t="str">
        <f aca="false">IF($BR56&lt;&gt;Constants!$B$8,"",IF($BI56="-&gt;",$BK56,$BC56))</f>
        <v/>
      </c>
      <c r="BZ56" s="133" t="str">
        <f aca="false">IF(ISBLANK($C56),"",IF($BR56&lt;&gt;Constants!$B$8,$BR56,IF(ISNUMBER($BY56),RANK($BY56,$BY$9:$BY$508,1),COUNT($BY$9:$BY$508)+1)))</f>
        <v/>
      </c>
      <c r="CA56" s="136" t="str">
        <f aca="false">IF($BR56&lt;&gt;Constants!$B$8,"",IF($BI56="-&gt;",$BL56,$BD56))</f>
        <v/>
      </c>
      <c r="CB56" s="133" t="str">
        <f aca="false">IF(ISBLANK($C56),"",IF($BR56&lt;&gt;Constants!$B$8,$BR56,IF(ISNUMBER($CA56),RANK($CA56,$CA$9:$CA$508,1),COUNT($CA$9:$CA$508)+1)))</f>
        <v/>
      </c>
      <c r="CC56" s="136" t="str">
        <f aca="false">IF($BR56&lt;&gt;Constants!$B$8,"",IF($BI56="-&gt;",IF($AT56,$AV56,""),IF($AL56,$AN56,"")))</f>
        <v/>
      </c>
      <c r="CD56" s="133" t="str">
        <f aca="false">IF(ISBLANK($C56),"",IF($BR56&lt;&gt;Constants!$B$8,$BR56,IF(ISNUMBER($CC56),RANK($CC56,$CC$9:$CC$508,1),COUNT($CC$9:$CC$508)+1)))</f>
        <v/>
      </c>
      <c r="CE56" s="136" t="str">
        <f aca="false">IF($BR56&lt;&gt;Constants!$B$8,"",IF(AND(NOT($AL56),NOT($AT56),$AJ56,$AK56,$AR56,$AS56),"",$AI56))</f>
        <v/>
      </c>
      <c r="CF56" s="133" t="str">
        <f aca="false">IF(ISBLANK($C56),"",IF($BR56&lt;&gt;Constants!$B$8,$BR56,IF(ISNUMBER($CE56),RANK($CE56,$CE$9:$CE$508,1),COUNT($CE$9:$CE$508)+1)))</f>
        <v/>
      </c>
      <c r="CG56" s="133" t="str">
        <f aca="false">IF(ISBLANK($C56),"",IF($BR56&lt;&gt;Constants!$B$8,$BR56,COUNTIFS($BX$9:$BX$508,"&lt;"&amp;$BX56)+COUNTIFS($BX$9:$BX$508,$BX56,$BZ$9:$BZ$508,"&lt;"&amp;$BZ56)+COUNTIFS($BX$9:$BX$508,$BX56,$BZ$9:$BZ$508,$BZ56,$CB$9:$CB$508,"&lt;"&amp;$CB56)+COUNTIFS($BX$9:$BX$508,$BX56,$BZ$9:$BZ$508,$BZ56,$CB$9:$CB$508,$CB56,$CD$9:$CD$508,"&lt;"&amp;$CD56)+COUNTIFS($BX$9:$BX$508,$BX56,$BZ$9:$BZ$508,$BZ56,$CB$9:$CB$508,$CB56,$CD$9:$CD$508,$CD56,$CF$9:$CF$508,"&lt;"&amp;$CF56)+1))</f>
        <v/>
      </c>
      <c r="CH56" s="133" t="str">
        <f aca="false">IF(ISBLANK($C56),"",IF($BR56&lt;&gt;Constants!$B$8,$BR56,$BX56-$CG56))</f>
        <v/>
      </c>
      <c r="CI56" s="138"/>
      <c r="CJ56" s="139"/>
      <c r="CK56" s="140" t="str">
        <f aca="false">IF(ISBLANK($C56),"",IF($BR56=Constants!$B$12,$BQ56,""))</f>
        <v/>
      </c>
      <c r="CL56" s="139" t="str">
        <f aca="false">IF(ISBLANK($C56),"",IF($BR56&lt;&gt;Constants!$B$8,"",IF($BI56="-&gt;",2,1)))</f>
        <v/>
      </c>
      <c r="CM56" s="141" t="str">
        <f aca="false">IF(ISBLANK($C56),"",IF($BR56&lt;&gt;Constants!$B$8,"",IF($BI56="-&gt;",$BK56,$BC56)))</f>
        <v/>
      </c>
      <c r="CN56" s="141" t="str">
        <f aca="false">IF(ISBLANK($C56),"",IF($BR56&lt;&gt;Constants!$B$8,"",IF($BI56="-&gt;",$BL56,$BD56)))</f>
        <v/>
      </c>
      <c r="CO56" s="141" t="str">
        <f aca="false">IF(ISBLANK($C56),"",IF($BR56&lt;&gt;Constants!$B$8,"",IF($BI56="-&gt;",$BM56+$BN56,$BE56+$BF56)+$BV56))</f>
        <v/>
      </c>
      <c r="CP56" s="141" t="str">
        <f aca="false">IF(ISBLANK($C56),"",IF($BR56&lt;&gt;Constants!$B$8,"",IF($BI56="-&gt;",$BO56,$BG56)+$BU56))</f>
        <v/>
      </c>
      <c r="CQ56" s="142" t="str">
        <f aca="false">IF(ISBLANK($C56),"",IF($BR56&lt;&gt;Constants!$B$8,$BR56,$BW56))</f>
        <v/>
      </c>
      <c r="CR56" s="143" t="str">
        <f aca="false">IF(ISBLANK($C56),"",$BS56)</f>
        <v/>
      </c>
      <c r="CS56" s="144" t="str">
        <f aca="false">IF(ISBLANK($C56),"",$CH56)</f>
        <v/>
      </c>
      <c r="CT56" s="144" t="str">
        <f aca="false">IF(ISBLANK($C56),"",$CG56)</f>
        <v/>
      </c>
      <c r="CU56" s="145" t="str">
        <f aca="false">IF(ISBLANK($C56),"",IFERROR(_xlfn.SWITCH($CT56,Constants!$B$11,COUNTA($C$9:$C$508)+2,Constants!$B$10,COUNTA($C$9:$C$508)+1,Constants!$B$9,COUNTA($C$9:$C$508)),$CT56))</f>
        <v/>
      </c>
      <c r="CV56" s="9"/>
      <c r="CW56" s="146" t="n">
        <f aca="false">IF(OR(ISNUMBER($CT56),$CT56=Constants!$B$11,$CT56=Constants!$B$9,$CT56=Constants!$B$10),1,0)</f>
        <v>0</v>
      </c>
      <c r="CX56" s="146" t="n">
        <v>48</v>
      </c>
      <c r="CY56" s="146" t="str">
        <f aca="false">IF(ISBLANK($C56),"",IF(ISNUMBER($CU56),$CU56+ROW($B56)/1000,""))</f>
        <v/>
      </c>
      <c r="CZ56" s="146" t="str">
        <f aca="false">IF(ISNUMBER($CY56),RANK($CY56,$CY$9:$CY$508,1),"")</f>
        <v/>
      </c>
      <c r="DA56" s="146" t="str">
        <f aca="false">IF(ISBLANK($C56),"",$B56)</f>
        <v/>
      </c>
      <c r="DB56" s="146" t="str">
        <f aca="false">IF(ISBLANK($C56),"",$C56)</f>
        <v/>
      </c>
      <c r="DC56" s="146" t="str">
        <f aca="false">IF(ISBLANK($C56),"",$D56)</f>
        <v/>
      </c>
      <c r="DD56" s="147" t="str">
        <f aca="false">$CR56</f>
        <v/>
      </c>
      <c r="DE56" s="148" t="str">
        <f aca="false">$CQ56</f>
        <v/>
      </c>
      <c r="DF56" s="146" t="str">
        <f aca="false">IF(ISBLANK($C56),"",$CT56)</f>
        <v/>
      </c>
      <c r="DG56" s="149" t="str">
        <f aca="false">IF($CX56&gt;$CW$8,"",VLOOKUP($CX56,$CZ$9:$DF$508,7,FALSE()))</f>
        <v/>
      </c>
      <c r="DH56" s="150" t="str">
        <f aca="false">IF($CX56&gt;$CW$8,"",VLOOKUP($CX56,$CZ$9:$DF$508,2,FALSE()))</f>
        <v/>
      </c>
      <c r="DI56" s="150" t="str">
        <f aca="false">IF($CX56&gt;$CW$8,"",VLOOKUP($CX56,$CZ$9:$DF$508,3,FALSE()))</f>
        <v/>
      </c>
      <c r="DJ56" s="150" t="str">
        <f aca="false">IF($CX56&gt;$CW$8,"",VLOOKUP($CX56,$CZ$9:$DF$508,4,FALSE()))</f>
        <v/>
      </c>
      <c r="DK56" s="150" t="str">
        <f aca="false">IF($CX56&gt;$CW$8,"",VLOOKUP($CX56,$CZ$9:$DF$508,5,FALSE()))</f>
        <v/>
      </c>
      <c r="DL56" s="151" t="str">
        <f aca="false">IF($CX56&gt;$CW$8,"",VLOOKUP($CX56,$CZ$9:$DF$508,6,FALSE()))</f>
        <v/>
      </c>
      <c r="DM56" s="75"/>
    </row>
    <row r="57" customFormat="false" ht="15.75" hidden="false" customHeight="false" outlineLevel="0" collapsed="false">
      <c r="A57" s="9"/>
      <c r="B57" s="77"/>
      <c r="C57" s="78"/>
      <c r="D57" s="167"/>
      <c r="E57" s="175"/>
      <c r="F57" s="169"/>
      <c r="G57" s="170"/>
      <c r="H57" s="170"/>
      <c r="I57" s="176"/>
      <c r="J57" s="173"/>
      <c r="K57" s="85"/>
      <c r="L57" s="86"/>
      <c r="M57" s="87"/>
      <c r="N57" s="173"/>
      <c r="O57" s="173"/>
      <c r="P57" s="175"/>
      <c r="Q57" s="173"/>
      <c r="R57" s="173"/>
      <c r="S57" s="85"/>
      <c r="T57" s="87"/>
      <c r="U57" s="87"/>
      <c r="V57" s="173"/>
      <c r="W57" s="173"/>
      <c r="X57" s="175"/>
      <c r="Y57" s="173"/>
      <c r="Z57" s="174"/>
      <c r="AA57" s="173"/>
      <c r="AB57" s="91"/>
      <c r="AC57" s="92"/>
      <c r="AD57" s="92"/>
      <c r="AE57" s="92"/>
      <c r="AF57" s="92" t="str">
        <f aca="false">IF(ISBLANK($C57),"",IF(E57=Constants!$B$3,TRUE(),IF(E57=Constants!$B$4,FALSE(),TRUE())))</f>
        <v/>
      </c>
      <c r="AG57" s="92" t="str">
        <f aca="false">IF(ISBLANK($C57),"",IF(F57=Constants!$B$3,TRUE(),IF(F57=Constants!$B$4,FALSE(),TRUE())))</f>
        <v/>
      </c>
      <c r="AH57" s="92" t="str">
        <f aca="false">IF(ISBLANK($C57),"",IF(G57=Constants!$B$3,TRUE(),IF(G57=Constants!$B$4,FALSE(),TRUE())))</f>
        <v/>
      </c>
      <c r="AI57" s="92" t="str">
        <f aca="false">IF(ISBLANK($C57),"",IF(AND(ISNUMBER(H57),H57&gt;=0),H57,Constants!$B$29))</f>
        <v/>
      </c>
      <c r="AJ57" s="92" t="str">
        <f aca="false">IF(ISBLANK($C57),"",IF(I57=Constants!$B$3,TRUE(),IF(I57=Constants!$B$4,FALSE(),TRUE())))</f>
        <v/>
      </c>
      <c r="AK57" s="92" t="str">
        <f aca="false">IF(ISBLANK($C57),"",IF(J57=Constants!$B$3,TRUE(),IF(J57=Constants!$B$4,FALSE(),TRUE())))</f>
        <v/>
      </c>
      <c r="AL57" s="92" t="str">
        <f aca="false">IF(ISBLANK($C57),"",IF(K57=Constants!$B$5,TRUE(),IF(K57=Constants!$B$6,FALSE(),COUNTA(L57:P57)&gt;0)))</f>
        <v/>
      </c>
      <c r="AM57" s="94" t="str">
        <f aca="false">IF(ISBLANK($C57),"",IF(ISNUMBER(L57),IF(L57&gt;=0,L57,""),""))</f>
        <v/>
      </c>
      <c r="AN57" s="93" t="str">
        <f aca="false">IF(ISBLANK($C57),"",IF(ISNUMBER(M57),IF(M57&gt;=0,M57,""),""))</f>
        <v/>
      </c>
      <c r="AO57" s="93" t="str">
        <f aca="false">IF(ISBLANK($C57),"",IF(N57=Constants!$B$3,TRUE(),IF(N57=Constants!$B$4,FALSE(),TRUE())))</f>
        <v/>
      </c>
      <c r="AP57" s="92" t="str">
        <f aca="false">IF(ISBLANK($C57),"",IF(ISNUMBER(O57),IF(O57&gt;=0,O57,""),""))</f>
        <v/>
      </c>
      <c r="AQ57" s="92" t="str">
        <f aca="false">IF(ISBLANK($C57),"",IF(P57=Constants!$B$3,TRUE(),IF(P57=Constants!$B$4,FALSE(),FALSE())))</f>
        <v/>
      </c>
      <c r="AR57" s="92" t="str">
        <f aca="false">IF(ISBLANK($C57),"",IF(Q57=Constants!$B$3,TRUE(),IF(Q57=Constants!$B$4,FALSE(),TRUE())))</f>
        <v/>
      </c>
      <c r="AS57" s="92" t="str">
        <f aca="false">IF(ISBLANK($C57),"",IF(R57=Constants!$B$3,TRUE(),IF(R57=Constants!$B$4,FALSE(),TRUE())))</f>
        <v/>
      </c>
      <c r="AT57" s="92" t="str">
        <f aca="false">IF(ISBLANK($C57),"",IF(S57=Constants!$B$5,TRUE(),IF(S57=Constants!$B$6,FALSE(),COUNTA(T57:X57)&gt;0)))</f>
        <v/>
      </c>
      <c r="AU57" s="94" t="str">
        <f aca="false">IF(ISBLANK($C57),"",IF(ISNUMBER(T57),IF(T57&gt;=0,T57,""),""))</f>
        <v/>
      </c>
      <c r="AV57" s="93" t="str">
        <f aca="false">IF(ISBLANK($C57),"",IF(ISNUMBER(U57),IF(U57&gt;=0,U57,""),""))</f>
        <v/>
      </c>
      <c r="AW57" s="93" t="str">
        <f aca="false">IF(ISBLANK($C57),"",IF(V57=Constants!$B$3,TRUE(),IF(V57=Constants!$B$4,FALSE(),TRUE())))</f>
        <v/>
      </c>
      <c r="AX57" s="92" t="str">
        <f aca="false">IF(ISBLANK($C57),"",IF(ISNUMBER(W57),IF(W57&gt;=0,W57,""),""))</f>
        <v/>
      </c>
      <c r="AY57" s="92" t="str">
        <f aca="false">IF(ISBLANK($C57),"",IF(X57=Constants!$B$3,TRUE(),IF(X57=Constants!$B$4,FALSE(),FALSE())))</f>
        <v/>
      </c>
      <c r="AZ57" s="92" t="str">
        <f aca="false">IF(ISBLANK($C57),"",MIN(Constants!$B$31,MAX(0,IF(ISNUMBER(Y57),Y57*60,0)+IF(ISNUMBER(Z57),Z57,0))))</f>
        <v/>
      </c>
      <c r="BA57" s="92" t="str">
        <f aca="false">IF(ISBLANK($C57),"",IF(AA57=Constants!$B$3,TRUE(),IF(AA57=Constants!$B$4,FALSE(),FALSE())))</f>
        <v/>
      </c>
      <c r="BB57" s="91" t="str">
        <f aca="false">IF(ISBLANK($C57),"",AND($AL57,OR($AM57="",$AN57="",AND($AO57,$AP57=""))))</f>
        <v/>
      </c>
      <c r="BC57" s="93" t="str">
        <f aca="false">IF($BR57&lt;&gt;Constants!$B$8,"",IF($AL57,Constants!$B$21*$AN57+Constants!$B$22*IF($AO57,$AP57,Constants!$B$23),Constants!$B$24))</f>
        <v/>
      </c>
      <c r="BD57" s="96" t="str">
        <f aca="false">IF($BR57&lt;&gt;Constants!$B$8,"",Constants!$B$25*ABS($AD$9-IF($AL57,$AM57,0)))</f>
        <v/>
      </c>
      <c r="BE57" s="96" t="str">
        <f aca="false">IF($BR57&lt;&gt;Constants!$B$8,"",IF(AND($AL57,$AQ57,$AO57),Constants!$B$27,0))</f>
        <v/>
      </c>
      <c r="BF57" s="96" t="str">
        <f aca="false">IF($BR57&lt;&gt;Constants!$B$8,"",IF($AL57,($AI57-Constants!$B$29)*Constants!$B$28,0))</f>
        <v/>
      </c>
      <c r="BG57" s="96" t="str">
        <f aca="false">IF($BR57&lt;&gt;Constants!$B$8,"",IF($AK57,0,Constants!$B$15)+IF($AJ57,0,Constants!$B$16)+IF($AH57,0,Constants!$B$17))</f>
        <v/>
      </c>
      <c r="BH57" s="97" t="str">
        <f aca="false">IF($BR57&lt;&gt;Constants!$B$8,"",Constants!$B$20+SUM($BC57:$BG57))</f>
        <v/>
      </c>
      <c r="BI57" s="92" t="str">
        <f aca="false">IF($BR57&lt;&gt;Constants!$B$8,"",IF(OR($BP57&lt;$BH57,AND($BP57=$BH57,OR($BK57&lt;$BC57,AND($BK57=$BC57,OR($BL57&lt;$BD57,AND($BL57=$BD57,$AT57,$AL57,$AV57&lt;$AN57)))))),"-&gt;","&lt;-"))</f>
        <v/>
      </c>
      <c r="BJ57" s="91" t="str">
        <f aca="false">IF(ISBLANK($C57),"",AND($AT57,OR($AU57="",$AV57="",AND($AW57,$AX57=""))))</f>
        <v/>
      </c>
      <c r="BK57" s="93" t="str">
        <f aca="false">IF($BR57&lt;&gt;Constants!$B$8,"",IF($AT57,Constants!$B$21*$AV57+Constants!$B$22*IF($AW57,$AX57,Constants!$B$23),Constants!$B$24))</f>
        <v/>
      </c>
      <c r="BL57" s="96" t="str">
        <f aca="false">IF($BR57&lt;&gt;Constants!$B$8,"",Constants!$B$25*ABS($AD$9-IF($AT57,$AU57,0)))</f>
        <v/>
      </c>
      <c r="BM57" s="96" t="str">
        <f aca="false">IF($BR57&lt;&gt;Constants!$B$8,"",IF(AND($AT57,$AY57,$AW57),Constants!$B$27,0))</f>
        <v/>
      </c>
      <c r="BN57" s="96" t="str">
        <f aca="false">IF($BR57&lt;&gt;Constants!$B$8,"",IF($AT57,($AI57-Constants!$B$29)*Constants!$B$28,0))</f>
        <v/>
      </c>
      <c r="BO57" s="96" t="str">
        <f aca="false">IF($BR57&lt;&gt;Constants!$B$8,"",IF($AS57,0,Constants!$B$15)+IF($AR57,0,Constants!$B$16)+IF($AH57,0,Constants!$B$17))</f>
        <v/>
      </c>
      <c r="BP57" s="97" t="str">
        <f aca="false">IF($BR57&lt;&gt;Constants!$B$8,"",Constants!$B$20+SUM($BK57:$BO57))</f>
        <v/>
      </c>
      <c r="BQ57" s="92" t="str">
        <f aca="false">IF(ISBLANK($C57),"",IF(ISBLANK($D$7),$BQ$5,IF(NOT(ISNUMBER($D$7)),$BQ$6,"")))</f>
        <v/>
      </c>
      <c r="BR57" s="92" t="str">
        <f aca="false">IF(ISBLANK($C57),"",IF($BA57,Constants!$B$11,IF(COUNTA($E57:$AA57)=0,Constants!$B$10,IF(NOT($AG57),Constants!$B$9,IF(OR($BQ57&lt;&gt;"",$BB57,$BJ57),Constants!$B$12,Constants!$B$8)))))</f>
        <v/>
      </c>
      <c r="BS57" s="92" t="str">
        <f aca="false">IF(ISBLANK($C57),"",IF($BR57&lt;&gt;Constants!$B$8,$BR57,Constants!$B$13))</f>
        <v/>
      </c>
      <c r="BT57" s="96" t="str">
        <f aca="false">IF($BR57&lt;&gt;Constants!$B$8,"",IF($BI57="-&gt;",$BP57,$BH57))</f>
        <v/>
      </c>
      <c r="BU57" s="96" t="str">
        <f aca="false">IF($BR57&lt;&gt;Constants!$B$8,"",IF($AF57,0,Constants!$B$18))</f>
        <v/>
      </c>
      <c r="BV57" s="96" t="str">
        <f aca="false">IF($BR57&lt;&gt;Constants!$B$8,"",((Constants!$B$31-$AZ57)-Constants!$B$31)/Constants!$B$32)</f>
        <v/>
      </c>
      <c r="BW57" s="96" t="str">
        <f aca="false">IF(ISBLANK($C57),"",IF($BR57&lt;&gt;Constants!$B$8,$BR57,SUM($BT57:$BV57)))</f>
        <v/>
      </c>
      <c r="BX57" s="92" t="str">
        <f aca="false">IF(ISBLANK($C57),"",IF($BR57&lt;&gt;Constants!$B$8,$BR57,RANK($BW57,$BW$9:$BW$508,1)))</f>
        <v/>
      </c>
      <c r="BY57" s="96" t="str">
        <f aca="false">IF($BR57&lt;&gt;Constants!$B$8,"",IF($BI57="-&gt;",$BK57,$BC57))</f>
        <v/>
      </c>
      <c r="BZ57" s="92" t="str">
        <f aca="false">IF(ISBLANK($C57),"",IF($BR57&lt;&gt;Constants!$B$8,$BR57,IF(ISNUMBER($BY57),RANK($BY57,$BY$9:$BY$508,1),COUNT($BY$9:$BY$508)+1)))</f>
        <v/>
      </c>
      <c r="CA57" s="96" t="str">
        <f aca="false">IF($BR57&lt;&gt;Constants!$B$8,"",IF($BI57="-&gt;",$BL57,$BD57))</f>
        <v/>
      </c>
      <c r="CB57" s="92" t="str">
        <f aca="false">IF(ISBLANK($C57),"",IF($BR57&lt;&gt;Constants!$B$8,$BR57,IF(ISNUMBER($CA57),RANK($CA57,$CA$9:$CA$508,1),COUNT($CA$9:$CA$508)+1)))</f>
        <v/>
      </c>
      <c r="CC57" s="96" t="str">
        <f aca="false">IF($BR57&lt;&gt;Constants!$B$8,"",IF($BI57="-&gt;",IF($AT57,$AV57,""),IF($AL57,$AN57,"")))</f>
        <v/>
      </c>
      <c r="CD57" s="92" t="str">
        <f aca="false">IF(ISBLANK($C57),"",IF($BR57&lt;&gt;Constants!$B$8,$BR57,IF(ISNUMBER($CC57),RANK($CC57,$CC$9:$CC$508,1),COUNT($CC$9:$CC$508)+1)))</f>
        <v/>
      </c>
      <c r="CE57" s="96" t="str">
        <f aca="false">IF($BR57&lt;&gt;Constants!$B$8,"",IF(AND(NOT($AL57),NOT($AT57),$AJ57,$AK57,$AR57,$AS57),"",$AI57))</f>
        <v/>
      </c>
      <c r="CF57" s="92" t="str">
        <f aca="false">IF(ISBLANK($C57),"",IF($BR57&lt;&gt;Constants!$B$8,$BR57,IF(ISNUMBER($CE57),RANK($CE57,$CE$9:$CE$508,1),COUNT($CE$9:$CE$508)+1)))</f>
        <v/>
      </c>
      <c r="CG57" s="92" t="str">
        <f aca="false">IF(ISBLANK($C57),"",IF($BR57&lt;&gt;Constants!$B$8,$BR57,COUNTIFS($BX$9:$BX$508,"&lt;"&amp;$BX57)+COUNTIFS($BX$9:$BX$508,$BX57,$BZ$9:$BZ$508,"&lt;"&amp;$BZ57)+COUNTIFS($BX$9:$BX$508,$BX57,$BZ$9:$BZ$508,$BZ57,$CB$9:$CB$508,"&lt;"&amp;$CB57)+COUNTIFS($BX$9:$BX$508,$BX57,$BZ$9:$BZ$508,$BZ57,$CB$9:$CB$508,$CB57,$CD$9:$CD$508,"&lt;"&amp;$CD57)+COUNTIFS($BX$9:$BX$508,$BX57,$BZ$9:$BZ$508,$BZ57,$CB$9:$CB$508,$CB57,$CD$9:$CD$508,$CD57,$CF$9:$CF$508,"&lt;"&amp;$CF57)+1))</f>
        <v/>
      </c>
      <c r="CH57" s="92" t="str">
        <f aca="false">IF(ISBLANK($C57),"",IF($BR57&lt;&gt;Constants!$B$8,$BR57,$BX57-$CG57))</f>
        <v/>
      </c>
      <c r="CI57" s="98"/>
      <c r="CJ57" s="99"/>
      <c r="CK57" s="100" t="str">
        <f aca="false">IF(ISBLANK($C57),"",IF($BR57=Constants!$B$12,$BQ57,""))</f>
        <v/>
      </c>
      <c r="CL57" s="99" t="str">
        <f aca="false">IF(ISBLANK($C57),"",IF($BR57&lt;&gt;Constants!$B$8,"",IF($BI57="-&gt;",2,1)))</f>
        <v/>
      </c>
      <c r="CM57" s="101" t="str">
        <f aca="false">IF(ISBLANK($C57),"",IF($BR57&lt;&gt;Constants!$B$8,"",IF($BI57="-&gt;",$BK57,$BC57)))</f>
        <v/>
      </c>
      <c r="CN57" s="101" t="str">
        <f aca="false">IF(ISBLANK($C57),"",IF($BR57&lt;&gt;Constants!$B$8,"",IF($BI57="-&gt;",$BL57,$BD57)))</f>
        <v/>
      </c>
      <c r="CO57" s="101" t="str">
        <f aca="false">IF(ISBLANK($C57),"",IF($BR57&lt;&gt;Constants!$B$8,"",IF($BI57="-&gt;",$BM57+$BN57,$BE57+$BF57)+$BV57))</f>
        <v/>
      </c>
      <c r="CP57" s="101" t="str">
        <f aca="false">IF(ISBLANK($C57),"",IF($BR57&lt;&gt;Constants!$B$8,"",IF($BI57="-&gt;",$BO57,$BG57)+$BU57))</f>
        <v/>
      </c>
      <c r="CQ57" s="102" t="str">
        <f aca="false">IF(ISBLANK($C57),"",IF($BR57&lt;&gt;Constants!$B$8,$BR57,$BW57))</f>
        <v/>
      </c>
      <c r="CR57" s="103" t="str">
        <f aca="false">IF(ISBLANK($C57),"",$BS57)</f>
        <v/>
      </c>
      <c r="CS57" s="104" t="str">
        <f aca="false">IF(ISBLANK($C57),"",$CH57)</f>
        <v/>
      </c>
      <c r="CT57" s="104" t="str">
        <f aca="false">IF(ISBLANK($C57),"",$CG57)</f>
        <v/>
      </c>
      <c r="CU57" s="105" t="str">
        <f aca="false">IF(ISBLANK($C57),"",IFERROR(_xlfn.SWITCH($CT57,Constants!$B$11,COUNTA($C$9:$C$508)+2,Constants!$B$10,COUNTA($C$9:$C$508)+1,Constants!$B$9,COUNTA($C$9:$C$508)),$CT57))</f>
        <v/>
      </c>
      <c r="CV57" s="9"/>
      <c r="CW57" s="106" t="n">
        <f aca="false">IF(OR(ISNUMBER($CT57),$CT57=Constants!$B$11,$CT57=Constants!$B$9,$CT57=Constants!$B$10),1,0)</f>
        <v>0</v>
      </c>
      <c r="CX57" s="106" t="n">
        <v>49</v>
      </c>
      <c r="CY57" s="106" t="str">
        <f aca="false">IF(ISBLANK($C57),"",IF(ISNUMBER($CU57),$CU57+ROW($B57)/1000,""))</f>
        <v/>
      </c>
      <c r="CZ57" s="106" t="str">
        <f aca="false">IF(ISNUMBER($CY57),RANK($CY57,$CY$9:$CY$508,1),"")</f>
        <v/>
      </c>
      <c r="DA57" s="106" t="str">
        <f aca="false">IF(ISBLANK($C57),"",$B57)</f>
        <v/>
      </c>
      <c r="DB57" s="106" t="str">
        <f aca="false">IF(ISBLANK($C57),"",$C57)</f>
        <v/>
      </c>
      <c r="DC57" s="106" t="str">
        <f aca="false">IF(ISBLANK($C57),"",$D57)</f>
        <v/>
      </c>
      <c r="DD57" s="107" t="str">
        <f aca="false">$CR57</f>
        <v/>
      </c>
      <c r="DE57" s="108" t="str">
        <f aca="false">$CQ57</f>
        <v/>
      </c>
      <c r="DF57" s="106" t="str">
        <f aca="false">IF(ISBLANK($C57),"",$CT57)</f>
        <v/>
      </c>
      <c r="DG57" s="109" t="str">
        <f aca="false">IF($CX57&gt;$CW$8,"",VLOOKUP($CX57,$CZ$9:$DF$508,7,FALSE()))</f>
        <v/>
      </c>
      <c r="DH57" s="110" t="str">
        <f aca="false">IF($CX57&gt;$CW$8,"",VLOOKUP($CX57,$CZ$9:$DF$508,2,FALSE()))</f>
        <v/>
      </c>
      <c r="DI57" s="110" t="str">
        <f aca="false">IF($CX57&gt;$CW$8,"",VLOOKUP($CX57,$CZ$9:$DF$508,3,FALSE()))</f>
        <v/>
      </c>
      <c r="DJ57" s="110" t="str">
        <f aca="false">IF($CX57&gt;$CW$8,"",VLOOKUP($CX57,$CZ$9:$DF$508,4,FALSE()))</f>
        <v/>
      </c>
      <c r="DK57" s="110" t="str">
        <f aca="false">IF($CX57&gt;$CW$8,"",VLOOKUP($CX57,$CZ$9:$DF$508,5,FALSE()))</f>
        <v/>
      </c>
      <c r="DL57" s="111" t="str">
        <f aca="false">IF($CX57&gt;$CW$8,"",VLOOKUP($CX57,$CZ$9:$DF$508,6,FALSE()))</f>
        <v/>
      </c>
      <c r="DM57" s="75"/>
    </row>
    <row r="58" customFormat="false" ht="15.75" hidden="false" customHeight="false" outlineLevel="0" collapsed="false">
      <c r="A58" s="9"/>
      <c r="B58" s="77"/>
      <c r="C58" s="78"/>
      <c r="D58" s="167"/>
      <c r="E58" s="175"/>
      <c r="F58" s="169"/>
      <c r="G58" s="170"/>
      <c r="H58" s="170"/>
      <c r="I58" s="176"/>
      <c r="J58" s="173"/>
      <c r="K58" s="85"/>
      <c r="L58" s="86"/>
      <c r="M58" s="87"/>
      <c r="N58" s="173"/>
      <c r="O58" s="173"/>
      <c r="P58" s="175"/>
      <c r="Q58" s="173"/>
      <c r="R58" s="173"/>
      <c r="S58" s="85"/>
      <c r="T58" s="87"/>
      <c r="U58" s="87"/>
      <c r="V58" s="173"/>
      <c r="W58" s="173"/>
      <c r="X58" s="175"/>
      <c r="Y58" s="173"/>
      <c r="Z58" s="174"/>
      <c r="AA58" s="173"/>
      <c r="AB58" s="91"/>
      <c r="AC58" s="92"/>
      <c r="AD58" s="92"/>
      <c r="AE58" s="92"/>
      <c r="AF58" s="92" t="str">
        <f aca="false">IF(ISBLANK($C58),"",IF(E58=Constants!$B$3,TRUE(),IF(E58=Constants!$B$4,FALSE(),TRUE())))</f>
        <v/>
      </c>
      <c r="AG58" s="92" t="str">
        <f aca="false">IF(ISBLANK($C58),"",IF(F58=Constants!$B$3,TRUE(),IF(F58=Constants!$B$4,FALSE(),TRUE())))</f>
        <v/>
      </c>
      <c r="AH58" s="92" t="str">
        <f aca="false">IF(ISBLANK($C58),"",IF(G58=Constants!$B$3,TRUE(),IF(G58=Constants!$B$4,FALSE(),TRUE())))</f>
        <v/>
      </c>
      <c r="AI58" s="92" t="str">
        <f aca="false">IF(ISBLANK($C58),"",IF(AND(ISNUMBER(H58),H58&gt;=0),H58,Constants!$B$29))</f>
        <v/>
      </c>
      <c r="AJ58" s="92" t="str">
        <f aca="false">IF(ISBLANK($C58),"",IF(I58=Constants!$B$3,TRUE(),IF(I58=Constants!$B$4,FALSE(),TRUE())))</f>
        <v/>
      </c>
      <c r="AK58" s="92" t="str">
        <f aca="false">IF(ISBLANK($C58),"",IF(J58=Constants!$B$3,TRUE(),IF(J58=Constants!$B$4,FALSE(),TRUE())))</f>
        <v/>
      </c>
      <c r="AL58" s="92" t="str">
        <f aca="false">IF(ISBLANK($C58),"",IF(K58=Constants!$B$5,TRUE(),IF(K58=Constants!$B$6,FALSE(),COUNTA(L58:P58)&gt;0)))</f>
        <v/>
      </c>
      <c r="AM58" s="94" t="str">
        <f aca="false">IF(ISBLANK($C58),"",IF(ISNUMBER(L58),IF(L58&gt;=0,L58,""),""))</f>
        <v/>
      </c>
      <c r="AN58" s="93" t="str">
        <f aca="false">IF(ISBLANK($C58),"",IF(ISNUMBER(M58),IF(M58&gt;=0,M58,""),""))</f>
        <v/>
      </c>
      <c r="AO58" s="93" t="str">
        <f aca="false">IF(ISBLANK($C58),"",IF(N58=Constants!$B$3,TRUE(),IF(N58=Constants!$B$4,FALSE(),TRUE())))</f>
        <v/>
      </c>
      <c r="AP58" s="92" t="str">
        <f aca="false">IF(ISBLANK($C58),"",IF(ISNUMBER(O58),IF(O58&gt;=0,O58,""),""))</f>
        <v/>
      </c>
      <c r="AQ58" s="92" t="str">
        <f aca="false">IF(ISBLANK($C58),"",IF(P58=Constants!$B$3,TRUE(),IF(P58=Constants!$B$4,FALSE(),FALSE())))</f>
        <v/>
      </c>
      <c r="AR58" s="92" t="str">
        <f aca="false">IF(ISBLANK($C58),"",IF(Q58=Constants!$B$3,TRUE(),IF(Q58=Constants!$B$4,FALSE(),TRUE())))</f>
        <v/>
      </c>
      <c r="AS58" s="92" t="str">
        <f aca="false">IF(ISBLANK($C58),"",IF(R58=Constants!$B$3,TRUE(),IF(R58=Constants!$B$4,FALSE(),TRUE())))</f>
        <v/>
      </c>
      <c r="AT58" s="92" t="str">
        <f aca="false">IF(ISBLANK($C58),"",IF(S58=Constants!$B$5,TRUE(),IF(S58=Constants!$B$6,FALSE(),COUNTA(T58:X58)&gt;0)))</f>
        <v/>
      </c>
      <c r="AU58" s="94" t="str">
        <f aca="false">IF(ISBLANK($C58),"",IF(ISNUMBER(T58),IF(T58&gt;=0,T58,""),""))</f>
        <v/>
      </c>
      <c r="AV58" s="93" t="str">
        <f aca="false">IF(ISBLANK($C58),"",IF(ISNUMBER(U58),IF(U58&gt;=0,U58,""),""))</f>
        <v/>
      </c>
      <c r="AW58" s="93" t="str">
        <f aca="false">IF(ISBLANK($C58),"",IF(V58=Constants!$B$3,TRUE(),IF(V58=Constants!$B$4,FALSE(),TRUE())))</f>
        <v/>
      </c>
      <c r="AX58" s="92" t="str">
        <f aca="false">IF(ISBLANK($C58),"",IF(ISNUMBER(W58),IF(W58&gt;=0,W58,""),""))</f>
        <v/>
      </c>
      <c r="AY58" s="92" t="str">
        <f aca="false">IF(ISBLANK($C58),"",IF(X58=Constants!$B$3,TRUE(),IF(X58=Constants!$B$4,FALSE(),FALSE())))</f>
        <v/>
      </c>
      <c r="AZ58" s="92" t="str">
        <f aca="false">IF(ISBLANK($C58),"",MIN(Constants!$B$31,MAX(0,IF(ISNUMBER(Y58),Y58*60,0)+IF(ISNUMBER(Z58),Z58,0))))</f>
        <v/>
      </c>
      <c r="BA58" s="92" t="str">
        <f aca="false">IF(ISBLANK($C58),"",IF(AA58=Constants!$B$3,TRUE(),IF(AA58=Constants!$B$4,FALSE(),FALSE())))</f>
        <v/>
      </c>
      <c r="BB58" s="91" t="str">
        <f aca="false">IF(ISBLANK($C58),"",AND($AL58,OR($AM58="",$AN58="",AND($AO58,$AP58=""))))</f>
        <v/>
      </c>
      <c r="BC58" s="93" t="str">
        <f aca="false">IF($BR58&lt;&gt;Constants!$B$8,"",IF($AL58,Constants!$B$21*$AN58+Constants!$B$22*IF($AO58,$AP58,Constants!$B$23),Constants!$B$24))</f>
        <v/>
      </c>
      <c r="BD58" s="96" t="str">
        <f aca="false">IF($BR58&lt;&gt;Constants!$B$8,"",Constants!$B$25*ABS($AD$9-IF($AL58,$AM58,0)))</f>
        <v/>
      </c>
      <c r="BE58" s="96" t="str">
        <f aca="false">IF($BR58&lt;&gt;Constants!$B$8,"",IF(AND($AL58,$AQ58,$AO58),Constants!$B$27,0))</f>
        <v/>
      </c>
      <c r="BF58" s="96" t="str">
        <f aca="false">IF($BR58&lt;&gt;Constants!$B$8,"",IF($AL58,($AI58-Constants!$B$29)*Constants!$B$28,0))</f>
        <v/>
      </c>
      <c r="BG58" s="96" t="str">
        <f aca="false">IF($BR58&lt;&gt;Constants!$B$8,"",IF($AK58,0,Constants!$B$15)+IF($AJ58,0,Constants!$B$16)+IF($AH58,0,Constants!$B$17))</f>
        <v/>
      </c>
      <c r="BH58" s="97" t="str">
        <f aca="false">IF($BR58&lt;&gt;Constants!$B$8,"",Constants!$B$20+SUM($BC58:$BG58))</f>
        <v/>
      </c>
      <c r="BI58" s="92" t="str">
        <f aca="false">IF($BR58&lt;&gt;Constants!$B$8,"",IF(OR($BP58&lt;$BH58,AND($BP58=$BH58,OR($BK58&lt;$BC58,AND($BK58=$BC58,OR($BL58&lt;$BD58,AND($BL58=$BD58,$AT58,$AL58,$AV58&lt;$AN58)))))),"-&gt;","&lt;-"))</f>
        <v/>
      </c>
      <c r="BJ58" s="91" t="str">
        <f aca="false">IF(ISBLANK($C58),"",AND($AT58,OR($AU58="",$AV58="",AND($AW58,$AX58=""))))</f>
        <v/>
      </c>
      <c r="BK58" s="93" t="str">
        <f aca="false">IF($BR58&lt;&gt;Constants!$B$8,"",IF($AT58,Constants!$B$21*$AV58+Constants!$B$22*IF($AW58,$AX58,Constants!$B$23),Constants!$B$24))</f>
        <v/>
      </c>
      <c r="BL58" s="96" t="str">
        <f aca="false">IF($BR58&lt;&gt;Constants!$B$8,"",Constants!$B$25*ABS($AD$9-IF($AT58,$AU58,0)))</f>
        <v/>
      </c>
      <c r="BM58" s="96" t="str">
        <f aca="false">IF($BR58&lt;&gt;Constants!$B$8,"",IF(AND($AT58,$AY58,$AW58),Constants!$B$27,0))</f>
        <v/>
      </c>
      <c r="BN58" s="96" t="str">
        <f aca="false">IF($BR58&lt;&gt;Constants!$B$8,"",IF($AT58,($AI58-Constants!$B$29)*Constants!$B$28,0))</f>
        <v/>
      </c>
      <c r="BO58" s="96" t="str">
        <f aca="false">IF($BR58&lt;&gt;Constants!$B$8,"",IF($AS58,0,Constants!$B$15)+IF($AR58,0,Constants!$B$16)+IF($AH58,0,Constants!$B$17))</f>
        <v/>
      </c>
      <c r="BP58" s="97" t="str">
        <f aca="false">IF($BR58&lt;&gt;Constants!$B$8,"",Constants!$B$20+SUM($BK58:$BO58))</f>
        <v/>
      </c>
      <c r="BQ58" s="92" t="str">
        <f aca="false">IF(ISBLANK($C58),"",IF(ISBLANK($D$7),$BQ$5,IF(NOT(ISNUMBER($D$7)),$BQ$6,"")))</f>
        <v/>
      </c>
      <c r="BR58" s="92" t="str">
        <f aca="false">IF(ISBLANK($C58),"",IF($BA58,Constants!$B$11,IF(COUNTA($E58:$AA58)=0,Constants!$B$10,IF(NOT($AG58),Constants!$B$9,IF(OR($BQ58&lt;&gt;"",$BB58,$BJ58),Constants!$B$12,Constants!$B$8)))))</f>
        <v/>
      </c>
      <c r="BS58" s="92" t="str">
        <f aca="false">IF(ISBLANK($C58),"",IF($BR58&lt;&gt;Constants!$B$8,$BR58,Constants!$B$13))</f>
        <v/>
      </c>
      <c r="BT58" s="96" t="str">
        <f aca="false">IF($BR58&lt;&gt;Constants!$B$8,"",IF($BI58="-&gt;",$BP58,$BH58))</f>
        <v/>
      </c>
      <c r="BU58" s="96" t="str">
        <f aca="false">IF($BR58&lt;&gt;Constants!$B$8,"",IF($AF58,0,Constants!$B$18))</f>
        <v/>
      </c>
      <c r="BV58" s="96" t="str">
        <f aca="false">IF($BR58&lt;&gt;Constants!$B$8,"",((Constants!$B$31-$AZ58)-Constants!$B$31)/Constants!$B$32)</f>
        <v/>
      </c>
      <c r="BW58" s="96" t="str">
        <f aca="false">IF(ISBLANK($C58),"",IF($BR58&lt;&gt;Constants!$B$8,$BR58,SUM($BT58:$BV58)))</f>
        <v/>
      </c>
      <c r="BX58" s="92" t="str">
        <f aca="false">IF(ISBLANK($C58),"",IF($BR58&lt;&gt;Constants!$B$8,$BR58,RANK($BW58,$BW$9:$BW$508,1)))</f>
        <v/>
      </c>
      <c r="BY58" s="96" t="str">
        <f aca="false">IF($BR58&lt;&gt;Constants!$B$8,"",IF($BI58="-&gt;",$BK58,$BC58))</f>
        <v/>
      </c>
      <c r="BZ58" s="92" t="str">
        <f aca="false">IF(ISBLANK($C58),"",IF($BR58&lt;&gt;Constants!$B$8,$BR58,IF(ISNUMBER($BY58),RANK($BY58,$BY$9:$BY$508,1),COUNT($BY$9:$BY$508)+1)))</f>
        <v/>
      </c>
      <c r="CA58" s="96" t="str">
        <f aca="false">IF($BR58&lt;&gt;Constants!$B$8,"",IF($BI58="-&gt;",$BL58,$BD58))</f>
        <v/>
      </c>
      <c r="CB58" s="92" t="str">
        <f aca="false">IF(ISBLANK($C58),"",IF($BR58&lt;&gt;Constants!$B$8,$BR58,IF(ISNUMBER($CA58),RANK($CA58,$CA$9:$CA$508,1),COUNT($CA$9:$CA$508)+1)))</f>
        <v/>
      </c>
      <c r="CC58" s="96" t="str">
        <f aca="false">IF($BR58&lt;&gt;Constants!$B$8,"",IF($BI58="-&gt;",IF($AT58,$AV58,""),IF($AL58,$AN58,"")))</f>
        <v/>
      </c>
      <c r="CD58" s="92" t="str">
        <f aca="false">IF(ISBLANK($C58),"",IF($BR58&lt;&gt;Constants!$B$8,$BR58,IF(ISNUMBER($CC58),RANK($CC58,$CC$9:$CC$508,1),COUNT($CC$9:$CC$508)+1)))</f>
        <v/>
      </c>
      <c r="CE58" s="96" t="str">
        <f aca="false">IF($BR58&lt;&gt;Constants!$B$8,"",IF(AND(NOT($AL58),NOT($AT58),$AJ58,$AK58,$AR58,$AS58),"",$AI58))</f>
        <v/>
      </c>
      <c r="CF58" s="92" t="str">
        <f aca="false">IF(ISBLANK($C58),"",IF($BR58&lt;&gt;Constants!$B$8,$BR58,IF(ISNUMBER($CE58),RANK($CE58,$CE$9:$CE$508,1),COUNT($CE$9:$CE$508)+1)))</f>
        <v/>
      </c>
      <c r="CG58" s="92" t="str">
        <f aca="false">IF(ISBLANK($C58),"",IF($BR58&lt;&gt;Constants!$B$8,$BR58,COUNTIFS($BX$9:$BX$508,"&lt;"&amp;$BX58)+COUNTIFS($BX$9:$BX$508,$BX58,$BZ$9:$BZ$508,"&lt;"&amp;$BZ58)+COUNTIFS($BX$9:$BX$508,$BX58,$BZ$9:$BZ$508,$BZ58,$CB$9:$CB$508,"&lt;"&amp;$CB58)+COUNTIFS($BX$9:$BX$508,$BX58,$BZ$9:$BZ$508,$BZ58,$CB$9:$CB$508,$CB58,$CD$9:$CD$508,"&lt;"&amp;$CD58)+COUNTIFS($BX$9:$BX$508,$BX58,$BZ$9:$BZ$508,$BZ58,$CB$9:$CB$508,$CB58,$CD$9:$CD$508,$CD58,$CF$9:$CF$508,"&lt;"&amp;$CF58)+1))</f>
        <v/>
      </c>
      <c r="CH58" s="92" t="str">
        <f aca="false">IF(ISBLANK($C58),"",IF($BR58&lt;&gt;Constants!$B$8,$BR58,$BX58-$CG58))</f>
        <v/>
      </c>
      <c r="CI58" s="98"/>
      <c r="CJ58" s="99"/>
      <c r="CK58" s="100" t="str">
        <f aca="false">IF(ISBLANK($C58),"",IF($BR58=Constants!$B$12,$BQ58,""))</f>
        <v/>
      </c>
      <c r="CL58" s="99" t="str">
        <f aca="false">IF(ISBLANK($C58),"",IF($BR58&lt;&gt;Constants!$B$8,"",IF($BI58="-&gt;",2,1)))</f>
        <v/>
      </c>
      <c r="CM58" s="101" t="str">
        <f aca="false">IF(ISBLANK($C58),"",IF($BR58&lt;&gt;Constants!$B$8,"",IF($BI58="-&gt;",$BK58,$BC58)))</f>
        <v/>
      </c>
      <c r="CN58" s="101" t="str">
        <f aca="false">IF(ISBLANK($C58),"",IF($BR58&lt;&gt;Constants!$B$8,"",IF($BI58="-&gt;",$BL58,$BD58)))</f>
        <v/>
      </c>
      <c r="CO58" s="101" t="str">
        <f aca="false">IF(ISBLANK($C58),"",IF($BR58&lt;&gt;Constants!$B$8,"",IF($BI58="-&gt;",$BM58+$BN58,$BE58+$BF58)+$BV58))</f>
        <v/>
      </c>
      <c r="CP58" s="101" t="str">
        <f aca="false">IF(ISBLANK($C58),"",IF($BR58&lt;&gt;Constants!$B$8,"",IF($BI58="-&gt;",$BO58,$BG58)+$BU58))</f>
        <v/>
      </c>
      <c r="CQ58" s="102" t="str">
        <f aca="false">IF(ISBLANK($C58),"",IF($BR58&lt;&gt;Constants!$B$8,$BR58,$BW58))</f>
        <v/>
      </c>
      <c r="CR58" s="103" t="str">
        <f aca="false">IF(ISBLANK($C58),"",$BS58)</f>
        <v/>
      </c>
      <c r="CS58" s="104" t="str">
        <f aca="false">IF(ISBLANK($C58),"",$CH58)</f>
        <v/>
      </c>
      <c r="CT58" s="104" t="str">
        <f aca="false">IF(ISBLANK($C58),"",$CG58)</f>
        <v/>
      </c>
      <c r="CU58" s="105" t="str">
        <f aca="false">IF(ISBLANK($C58),"",IFERROR(_xlfn.SWITCH($CT58,Constants!$B$11,COUNTA($C$9:$C$508)+2,Constants!$B$10,COUNTA($C$9:$C$508)+1,Constants!$B$9,COUNTA($C$9:$C$508)),$CT58))</f>
        <v/>
      </c>
      <c r="CV58" s="9"/>
      <c r="CW58" s="106" t="n">
        <f aca="false">IF(OR(ISNUMBER($CT58),$CT58=Constants!$B$11,$CT58=Constants!$B$9,$CT58=Constants!$B$10),1,0)</f>
        <v>0</v>
      </c>
      <c r="CX58" s="106" t="n">
        <v>50</v>
      </c>
      <c r="CY58" s="106" t="str">
        <f aca="false">IF(ISBLANK($C58),"",IF(ISNUMBER($CU58),$CU58+ROW($B58)/1000,""))</f>
        <v/>
      </c>
      <c r="CZ58" s="106" t="str">
        <f aca="false">IF(ISNUMBER($CY58),RANK($CY58,$CY$9:$CY$508,1),"")</f>
        <v/>
      </c>
      <c r="DA58" s="106" t="str">
        <f aca="false">IF(ISBLANK($C58),"",$B58)</f>
        <v/>
      </c>
      <c r="DB58" s="106" t="str">
        <f aca="false">IF(ISBLANK($C58),"",$C58)</f>
        <v/>
      </c>
      <c r="DC58" s="106" t="str">
        <f aca="false">IF(ISBLANK($C58),"",$D58)</f>
        <v/>
      </c>
      <c r="DD58" s="107" t="str">
        <f aca="false">$CR58</f>
        <v/>
      </c>
      <c r="DE58" s="108" t="str">
        <f aca="false">$CQ58</f>
        <v/>
      </c>
      <c r="DF58" s="106" t="str">
        <f aca="false">IF(ISBLANK($C58),"",$CT58)</f>
        <v/>
      </c>
      <c r="DG58" s="109" t="str">
        <f aca="false">IF($CX58&gt;$CW$8,"",VLOOKUP($CX58,$CZ$9:$DF$508,7,FALSE()))</f>
        <v/>
      </c>
      <c r="DH58" s="110" t="str">
        <f aca="false">IF($CX58&gt;$CW$8,"",VLOOKUP($CX58,$CZ$9:$DF$508,2,FALSE()))</f>
        <v/>
      </c>
      <c r="DI58" s="110" t="str">
        <f aca="false">IF($CX58&gt;$CW$8,"",VLOOKUP($CX58,$CZ$9:$DF$508,3,FALSE()))</f>
        <v/>
      </c>
      <c r="DJ58" s="110" t="str">
        <f aca="false">IF($CX58&gt;$CW$8,"",VLOOKUP($CX58,$CZ$9:$DF$508,4,FALSE()))</f>
        <v/>
      </c>
      <c r="DK58" s="110" t="str">
        <f aca="false">IF($CX58&gt;$CW$8,"",VLOOKUP($CX58,$CZ$9:$DF$508,5,FALSE()))</f>
        <v/>
      </c>
      <c r="DL58" s="111" t="str">
        <f aca="false">IF($CX58&gt;$CW$8,"",VLOOKUP($CX58,$CZ$9:$DF$508,6,FALSE()))</f>
        <v/>
      </c>
      <c r="DM58" s="75"/>
    </row>
    <row r="59" customFormat="false" ht="15.75" hidden="false" customHeight="false" outlineLevel="0" collapsed="false">
      <c r="A59" s="9"/>
      <c r="B59" s="77"/>
      <c r="C59" s="78"/>
      <c r="D59" s="167"/>
      <c r="E59" s="175"/>
      <c r="F59" s="169"/>
      <c r="G59" s="170"/>
      <c r="H59" s="170"/>
      <c r="I59" s="176"/>
      <c r="J59" s="173"/>
      <c r="K59" s="85"/>
      <c r="L59" s="86"/>
      <c r="M59" s="87"/>
      <c r="N59" s="173"/>
      <c r="O59" s="173"/>
      <c r="P59" s="175"/>
      <c r="Q59" s="173"/>
      <c r="R59" s="173"/>
      <c r="S59" s="85"/>
      <c r="T59" s="87"/>
      <c r="U59" s="87"/>
      <c r="V59" s="173"/>
      <c r="W59" s="173"/>
      <c r="X59" s="175"/>
      <c r="Y59" s="173"/>
      <c r="Z59" s="174"/>
      <c r="AA59" s="173"/>
      <c r="AB59" s="91"/>
      <c r="AC59" s="92"/>
      <c r="AD59" s="92"/>
      <c r="AE59" s="92"/>
      <c r="AF59" s="92" t="str">
        <f aca="false">IF(ISBLANK($C59),"",IF(E59=Constants!$B$3,TRUE(),IF(E59=Constants!$B$4,FALSE(),TRUE())))</f>
        <v/>
      </c>
      <c r="AG59" s="92" t="str">
        <f aca="false">IF(ISBLANK($C59),"",IF(F59=Constants!$B$3,TRUE(),IF(F59=Constants!$B$4,FALSE(),TRUE())))</f>
        <v/>
      </c>
      <c r="AH59" s="92" t="str">
        <f aca="false">IF(ISBLANK($C59),"",IF(G59=Constants!$B$3,TRUE(),IF(G59=Constants!$B$4,FALSE(),TRUE())))</f>
        <v/>
      </c>
      <c r="AI59" s="92" t="str">
        <f aca="false">IF(ISBLANK($C59),"",IF(AND(ISNUMBER(H59),H59&gt;=0),H59,Constants!$B$29))</f>
        <v/>
      </c>
      <c r="AJ59" s="92" t="str">
        <f aca="false">IF(ISBLANK($C59),"",IF(I59=Constants!$B$3,TRUE(),IF(I59=Constants!$B$4,FALSE(),TRUE())))</f>
        <v/>
      </c>
      <c r="AK59" s="92" t="str">
        <f aca="false">IF(ISBLANK($C59),"",IF(J59=Constants!$B$3,TRUE(),IF(J59=Constants!$B$4,FALSE(),TRUE())))</f>
        <v/>
      </c>
      <c r="AL59" s="92" t="str">
        <f aca="false">IF(ISBLANK($C59),"",IF(K59=Constants!$B$5,TRUE(),IF(K59=Constants!$B$6,FALSE(),COUNTA(L59:P59)&gt;0)))</f>
        <v/>
      </c>
      <c r="AM59" s="94" t="str">
        <f aca="false">IF(ISBLANK($C59),"",IF(ISNUMBER(L59),IF(L59&gt;=0,L59,""),""))</f>
        <v/>
      </c>
      <c r="AN59" s="93" t="str">
        <f aca="false">IF(ISBLANK($C59),"",IF(ISNUMBER(M59),IF(M59&gt;=0,M59,""),""))</f>
        <v/>
      </c>
      <c r="AO59" s="93" t="str">
        <f aca="false">IF(ISBLANK($C59),"",IF(N59=Constants!$B$3,TRUE(),IF(N59=Constants!$B$4,FALSE(),TRUE())))</f>
        <v/>
      </c>
      <c r="AP59" s="92" t="str">
        <f aca="false">IF(ISBLANK($C59),"",IF(ISNUMBER(O59),IF(O59&gt;=0,O59,""),""))</f>
        <v/>
      </c>
      <c r="AQ59" s="92" t="str">
        <f aca="false">IF(ISBLANK($C59),"",IF(P59=Constants!$B$3,TRUE(),IF(P59=Constants!$B$4,FALSE(),FALSE())))</f>
        <v/>
      </c>
      <c r="AR59" s="92" t="str">
        <f aca="false">IF(ISBLANK($C59),"",IF(Q59=Constants!$B$3,TRUE(),IF(Q59=Constants!$B$4,FALSE(),TRUE())))</f>
        <v/>
      </c>
      <c r="AS59" s="92" t="str">
        <f aca="false">IF(ISBLANK($C59),"",IF(R59=Constants!$B$3,TRUE(),IF(R59=Constants!$B$4,FALSE(),TRUE())))</f>
        <v/>
      </c>
      <c r="AT59" s="92" t="str">
        <f aca="false">IF(ISBLANK($C59),"",IF(S59=Constants!$B$5,TRUE(),IF(S59=Constants!$B$6,FALSE(),COUNTA(T59:X59)&gt;0)))</f>
        <v/>
      </c>
      <c r="AU59" s="94" t="str">
        <f aca="false">IF(ISBLANK($C59),"",IF(ISNUMBER(T59),IF(T59&gt;=0,T59,""),""))</f>
        <v/>
      </c>
      <c r="AV59" s="93" t="str">
        <f aca="false">IF(ISBLANK($C59),"",IF(ISNUMBER(U59),IF(U59&gt;=0,U59,""),""))</f>
        <v/>
      </c>
      <c r="AW59" s="93" t="str">
        <f aca="false">IF(ISBLANK($C59),"",IF(V59=Constants!$B$3,TRUE(),IF(V59=Constants!$B$4,FALSE(),TRUE())))</f>
        <v/>
      </c>
      <c r="AX59" s="92" t="str">
        <f aca="false">IF(ISBLANK($C59),"",IF(ISNUMBER(W59),IF(W59&gt;=0,W59,""),""))</f>
        <v/>
      </c>
      <c r="AY59" s="92" t="str">
        <f aca="false">IF(ISBLANK($C59),"",IF(X59=Constants!$B$3,TRUE(),IF(X59=Constants!$B$4,FALSE(),FALSE())))</f>
        <v/>
      </c>
      <c r="AZ59" s="92" t="str">
        <f aca="false">IF(ISBLANK($C59),"",MIN(Constants!$B$31,MAX(0,IF(ISNUMBER(Y59),Y59*60,0)+IF(ISNUMBER(Z59),Z59,0))))</f>
        <v/>
      </c>
      <c r="BA59" s="92" t="str">
        <f aca="false">IF(ISBLANK($C59),"",IF(AA59=Constants!$B$3,TRUE(),IF(AA59=Constants!$B$4,FALSE(),FALSE())))</f>
        <v/>
      </c>
      <c r="BB59" s="91" t="str">
        <f aca="false">IF(ISBLANK($C59),"",AND($AL59,OR($AM59="",$AN59="",AND($AO59,$AP59=""))))</f>
        <v/>
      </c>
      <c r="BC59" s="93" t="str">
        <f aca="false">IF($BR59&lt;&gt;Constants!$B$8,"",IF($AL59,Constants!$B$21*$AN59+Constants!$B$22*IF($AO59,$AP59,Constants!$B$23),Constants!$B$24))</f>
        <v/>
      </c>
      <c r="BD59" s="96" t="str">
        <f aca="false">IF($BR59&lt;&gt;Constants!$B$8,"",Constants!$B$25*ABS($AD$9-IF($AL59,$AM59,0)))</f>
        <v/>
      </c>
      <c r="BE59" s="96" t="str">
        <f aca="false">IF($BR59&lt;&gt;Constants!$B$8,"",IF(AND($AL59,$AQ59,$AO59),Constants!$B$27,0))</f>
        <v/>
      </c>
      <c r="BF59" s="96" t="str">
        <f aca="false">IF($BR59&lt;&gt;Constants!$B$8,"",IF($AL59,($AI59-Constants!$B$29)*Constants!$B$28,0))</f>
        <v/>
      </c>
      <c r="BG59" s="96" t="str">
        <f aca="false">IF($BR59&lt;&gt;Constants!$B$8,"",IF($AK59,0,Constants!$B$15)+IF($AJ59,0,Constants!$B$16)+IF($AH59,0,Constants!$B$17))</f>
        <v/>
      </c>
      <c r="BH59" s="97" t="str">
        <f aca="false">IF($BR59&lt;&gt;Constants!$B$8,"",Constants!$B$20+SUM($BC59:$BG59))</f>
        <v/>
      </c>
      <c r="BI59" s="92" t="str">
        <f aca="false">IF($BR59&lt;&gt;Constants!$B$8,"",IF(OR($BP59&lt;$BH59,AND($BP59=$BH59,OR($BK59&lt;$BC59,AND($BK59=$BC59,OR($BL59&lt;$BD59,AND($BL59=$BD59,$AT59,$AL59,$AV59&lt;$AN59)))))),"-&gt;","&lt;-"))</f>
        <v/>
      </c>
      <c r="BJ59" s="91" t="str">
        <f aca="false">IF(ISBLANK($C59),"",AND($AT59,OR($AU59="",$AV59="",AND($AW59,$AX59=""))))</f>
        <v/>
      </c>
      <c r="BK59" s="93" t="str">
        <f aca="false">IF($BR59&lt;&gt;Constants!$B$8,"",IF($AT59,Constants!$B$21*$AV59+Constants!$B$22*IF($AW59,$AX59,Constants!$B$23),Constants!$B$24))</f>
        <v/>
      </c>
      <c r="BL59" s="96" t="str">
        <f aca="false">IF($BR59&lt;&gt;Constants!$B$8,"",Constants!$B$25*ABS($AD$9-IF($AT59,$AU59,0)))</f>
        <v/>
      </c>
      <c r="BM59" s="96" t="str">
        <f aca="false">IF($BR59&lt;&gt;Constants!$B$8,"",IF(AND($AT59,$AY59,$AW59),Constants!$B$27,0))</f>
        <v/>
      </c>
      <c r="BN59" s="96" t="str">
        <f aca="false">IF($BR59&lt;&gt;Constants!$B$8,"",IF($AT59,($AI59-Constants!$B$29)*Constants!$B$28,0))</f>
        <v/>
      </c>
      <c r="BO59" s="96" t="str">
        <f aca="false">IF($BR59&lt;&gt;Constants!$B$8,"",IF($AS59,0,Constants!$B$15)+IF($AR59,0,Constants!$B$16)+IF($AH59,0,Constants!$B$17))</f>
        <v/>
      </c>
      <c r="BP59" s="97" t="str">
        <f aca="false">IF($BR59&lt;&gt;Constants!$B$8,"",Constants!$B$20+SUM($BK59:$BO59))</f>
        <v/>
      </c>
      <c r="BQ59" s="92" t="str">
        <f aca="false">IF(ISBLANK($C59),"",IF(ISBLANK($D$7),$BQ$5,IF(NOT(ISNUMBER($D$7)),$BQ$6,"")))</f>
        <v/>
      </c>
      <c r="BR59" s="92" t="str">
        <f aca="false">IF(ISBLANK($C59),"",IF($BA59,Constants!$B$11,IF(COUNTA($E59:$AA59)=0,Constants!$B$10,IF(NOT($AG59),Constants!$B$9,IF(OR($BQ59&lt;&gt;"",$BB59,$BJ59),Constants!$B$12,Constants!$B$8)))))</f>
        <v/>
      </c>
      <c r="BS59" s="92" t="str">
        <f aca="false">IF(ISBLANK($C59),"",IF($BR59&lt;&gt;Constants!$B$8,$BR59,Constants!$B$13))</f>
        <v/>
      </c>
      <c r="BT59" s="96" t="str">
        <f aca="false">IF($BR59&lt;&gt;Constants!$B$8,"",IF($BI59="-&gt;",$BP59,$BH59))</f>
        <v/>
      </c>
      <c r="BU59" s="96" t="str">
        <f aca="false">IF($BR59&lt;&gt;Constants!$B$8,"",IF($AF59,0,Constants!$B$18))</f>
        <v/>
      </c>
      <c r="BV59" s="96" t="str">
        <f aca="false">IF($BR59&lt;&gt;Constants!$B$8,"",((Constants!$B$31-$AZ59)-Constants!$B$31)/Constants!$B$32)</f>
        <v/>
      </c>
      <c r="BW59" s="96" t="str">
        <f aca="false">IF(ISBLANK($C59),"",IF($BR59&lt;&gt;Constants!$B$8,$BR59,SUM($BT59:$BV59)))</f>
        <v/>
      </c>
      <c r="BX59" s="92" t="str">
        <f aca="false">IF(ISBLANK($C59),"",IF($BR59&lt;&gt;Constants!$B$8,$BR59,RANK($BW59,$BW$9:$BW$508,1)))</f>
        <v/>
      </c>
      <c r="BY59" s="96" t="str">
        <f aca="false">IF($BR59&lt;&gt;Constants!$B$8,"",IF($BI59="-&gt;",$BK59,$BC59))</f>
        <v/>
      </c>
      <c r="BZ59" s="92" t="str">
        <f aca="false">IF(ISBLANK($C59),"",IF($BR59&lt;&gt;Constants!$B$8,$BR59,IF(ISNUMBER($BY59),RANK($BY59,$BY$9:$BY$508,1),COUNT($BY$9:$BY$508)+1)))</f>
        <v/>
      </c>
      <c r="CA59" s="96" t="str">
        <f aca="false">IF($BR59&lt;&gt;Constants!$B$8,"",IF($BI59="-&gt;",$BL59,$BD59))</f>
        <v/>
      </c>
      <c r="CB59" s="92" t="str">
        <f aca="false">IF(ISBLANK($C59),"",IF($BR59&lt;&gt;Constants!$B$8,$BR59,IF(ISNUMBER($CA59),RANK($CA59,$CA$9:$CA$508,1),COUNT($CA$9:$CA$508)+1)))</f>
        <v/>
      </c>
      <c r="CC59" s="96" t="str">
        <f aca="false">IF($BR59&lt;&gt;Constants!$B$8,"",IF($BI59="-&gt;",IF($AT59,$AV59,""),IF($AL59,$AN59,"")))</f>
        <v/>
      </c>
      <c r="CD59" s="92" t="str">
        <f aca="false">IF(ISBLANK($C59),"",IF($BR59&lt;&gt;Constants!$B$8,$BR59,IF(ISNUMBER($CC59),RANK($CC59,$CC$9:$CC$508,1),COUNT($CC$9:$CC$508)+1)))</f>
        <v/>
      </c>
      <c r="CE59" s="96" t="str">
        <f aca="false">IF($BR59&lt;&gt;Constants!$B$8,"",IF(AND(NOT($AL59),NOT($AT59),$AJ59,$AK59,$AR59,$AS59),"",$AI59))</f>
        <v/>
      </c>
      <c r="CF59" s="92" t="str">
        <f aca="false">IF(ISBLANK($C59),"",IF($BR59&lt;&gt;Constants!$B$8,$BR59,IF(ISNUMBER($CE59),RANK($CE59,$CE$9:$CE$508,1),COUNT($CE$9:$CE$508)+1)))</f>
        <v/>
      </c>
      <c r="CG59" s="92" t="str">
        <f aca="false">IF(ISBLANK($C59),"",IF($BR59&lt;&gt;Constants!$B$8,$BR59,COUNTIFS($BX$9:$BX$508,"&lt;"&amp;$BX59)+COUNTIFS($BX$9:$BX$508,$BX59,$BZ$9:$BZ$508,"&lt;"&amp;$BZ59)+COUNTIFS($BX$9:$BX$508,$BX59,$BZ$9:$BZ$508,$BZ59,$CB$9:$CB$508,"&lt;"&amp;$CB59)+COUNTIFS($BX$9:$BX$508,$BX59,$BZ$9:$BZ$508,$BZ59,$CB$9:$CB$508,$CB59,$CD$9:$CD$508,"&lt;"&amp;$CD59)+COUNTIFS($BX$9:$BX$508,$BX59,$BZ$9:$BZ$508,$BZ59,$CB$9:$CB$508,$CB59,$CD$9:$CD$508,$CD59,$CF$9:$CF$508,"&lt;"&amp;$CF59)+1))</f>
        <v/>
      </c>
      <c r="CH59" s="92" t="str">
        <f aca="false">IF(ISBLANK($C59),"",IF($BR59&lt;&gt;Constants!$B$8,$BR59,$BX59-$CG59))</f>
        <v/>
      </c>
      <c r="CI59" s="98"/>
      <c r="CJ59" s="99"/>
      <c r="CK59" s="100" t="str">
        <f aca="false">IF(ISBLANK($C59),"",IF($BR59=Constants!$B$12,$BQ59,""))</f>
        <v/>
      </c>
      <c r="CL59" s="99" t="str">
        <f aca="false">IF(ISBLANK($C59),"",IF($BR59&lt;&gt;Constants!$B$8,"",IF($BI59="-&gt;",2,1)))</f>
        <v/>
      </c>
      <c r="CM59" s="101" t="str">
        <f aca="false">IF(ISBLANK($C59),"",IF($BR59&lt;&gt;Constants!$B$8,"",IF($BI59="-&gt;",$BK59,$BC59)))</f>
        <v/>
      </c>
      <c r="CN59" s="101" t="str">
        <f aca="false">IF(ISBLANK($C59),"",IF($BR59&lt;&gt;Constants!$B$8,"",IF($BI59="-&gt;",$BL59,$BD59)))</f>
        <v/>
      </c>
      <c r="CO59" s="101" t="str">
        <f aca="false">IF(ISBLANK($C59),"",IF($BR59&lt;&gt;Constants!$B$8,"",IF($BI59="-&gt;",$BM59+$BN59,$BE59+$BF59)+$BV59))</f>
        <v/>
      </c>
      <c r="CP59" s="101" t="str">
        <f aca="false">IF(ISBLANK($C59),"",IF($BR59&lt;&gt;Constants!$B$8,"",IF($BI59="-&gt;",$BO59,$BG59)+$BU59))</f>
        <v/>
      </c>
      <c r="CQ59" s="102" t="str">
        <f aca="false">IF(ISBLANK($C59),"",IF($BR59&lt;&gt;Constants!$B$8,$BR59,$BW59))</f>
        <v/>
      </c>
      <c r="CR59" s="103" t="str">
        <f aca="false">IF(ISBLANK($C59),"",$BS59)</f>
        <v/>
      </c>
      <c r="CS59" s="104" t="str">
        <f aca="false">IF(ISBLANK($C59),"",$CH59)</f>
        <v/>
      </c>
      <c r="CT59" s="104" t="str">
        <f aca="false">IF(ISBLANK($C59),"",$CG59)</f>
        <v/>
      </c>
      <c r="CU59" s="105" t="str">
        <f aca="false">IF(ISBLANK($C59),"",IFERROR(_xlfn.SWITCH($CT59,Constants!$B$11,COUNTA($C$9:$C$508)+2,Constants!$B$10,COUNTA($C$9:$C$508)+1,Constants!$B$9,COUNTA($C$9:$C$508)),$CT59))</f>
        <v/>
      </c>
      <c r="CV59" s="9"/>
      <c r="CW59" s="106" t="n">
        <f aca="false">IF(OR(ISNUMBER($CT59),$CT59=Constants!$B$11,$CT59=Constants!$B$9,$CT59=Constants!$B$10),1,0)</f>
        <v>0</v>
      </c>
      <c r="CX59" s="106" t="n">
        <v>51</v>
      </c>
      <c r="CY59" s="106" t="str">
        <f aca="false">IF(ISBLANK($C59),"",IF(ISNUMBER($CU59),$CU59+ROW($B59)/1000,""))</f>
        <v/>
      </c>
      <c r="CZ59" s="106" t="str">
        <f aca="false">IF(ISNUMBER($CY59),RANK($CY59,$CY$9:$CY$508,1),"")</f>
        <v/>
      </c>
      <c r="DA59" s="106" t="str">
        <f aca="false">IF(ISBLANK($C59),"",$B59)</f>
        <v/>
      </c>
      <c r="DB59" s="106" t="str">
        <f aca="false">IF(ISBLANK($C59),"",$C59)</f>
        <v/>
      </c>
      <c r="DC59" s="106" t="str">
        <f aca="false">IF(ISBLANK($C59),"",$D59)</f>
        <v/>
      </c>
      <c r="DD59" s="107" t="str">
        <f aca="false">$CR59</f>
        <v/>
      </c>
      <c r="DE59" s="108" t="str">
        <f aca="false">$CQ59</f>
        <v/>
      </c>
      <c r="DF59" s="106" t="str">
        <f aca="false">IF(ISBLANK($C59),"",$CT59)</f>
        <v/>
      </c>
      <c r="DG59" s="109" t="str">
        <f aca="false">IF($CX59&gt;$CW$8,"",VLOOKUP($CX59,$CZ$9:$DF$508,7,FALSE()))</f>
        <v/>
      </c>
      <c r="DH59" s="110" t="str">
        <f aca="false">IF($CX59&gt;$CW$8,"",VLOOKUP($CX59,$CZ$9:$DF$508,2,FALSE()))</f>
        <v/>
      </c>
      <c r="DI59" s="110" t="str">
        <f aca="false">IF($CX59&gt;$CW$8,"",VLOOKUP($CX59,$CZ$9:$DF$508,3,FALSE()))</f>
        <v/>
      </c>
      <c r="DJ59" s="110" t="str">
        <f aca="false">IF($CX59&gt;$CW$8,"",VLOOKUP($CX59,$CZ$9:$DF$508,4,FALSE()))</f>
        <v/>
      </c>
      <c r="DK59" s="110" t="str">
        <f aca="false">IF($CX59&gt;$CW$8,"",VLOOKUP($CX59,$CZ$9:$DF$508,5,FALSE()))</f>
        <v/>
      </c>
      <c r="DL59" s="111" t="str">
        <f aca="false">IF($CX59&gt;$CW$8,"",VLOOKUP($CX59,$CZ$9:$DF$508,6,FALSE()))</f>
        <v/>
      </c>
      <c r="DM59" s="75"/>
    </row>
    <row r="60" customFormat="false" ht="15.75" hidden="false" customHeight="false" outlineLevel="0" collapsed="false">
      <c r="A60" s="9"/>
      <c r="B60" s="157"/>
      <c r="C60" s="158"/>
      <c r="D60" s="159"/>
      <c r="E60" s="177"/>
      <c r="F60" s="161"/>
      <c r="G60" s="162"/>
      <c r="H60" s="162"/>
      <c r="I60" s="178"/>
      <c r="J60" s="165"/>
      <c r="K60" s="126"/>
      <c r="L60" s="127"/>
      <c r="M60" s="128"/>
      <c r="N60" s="165"/>
      <c r="O60" s="165"/>
      <c r="P60" s="177"/>
      <c r="Q60" s="165"/>
      <c r="R60" s="165"/>
      <c r="S60" s="126"/>
      <c r="T60" s="128"/>
      <c r="U60" s="128"/>
      <c r="V60" s="165"/>
      <c r="W60" s="165"/>
      <c r="X60" s="177"/>
      <c r="Y60" s="165"/>
      <c r="Z60" s="166"/>
      <c r="AA60" s="165"/>
      <c r="AB60" s="132"/>
      <c r="AC60" s="133"/>
      <c r="AD60" s="133"/>
      <c r="AE60" s="133"/>
      <c r="AF60" s="133" t="str">
        <f aca="false">IF(ISBLANK($C60),"",IF(E60=Constants!$B$3,TRUE(),IF(E60=Constants!$B$4,FALSE(),TRUE())))</f>
        <v/>
      </c>
      <c r="AG60" s="133" t="str">
        <f aca="false">IF(ISBLANK($C60),"",IF(F60=Constants!$B$3,TRUE(),IF(F60=Constants!$B$4,FALSE(),TRUE())))</f>
        <v/>
      </c>
      <c r="AH60" s="133" t="str">
        <f aca="false">IF(ISBLANK($C60),"",IF(G60=Constants!$B$3,TRUE(),IF(G60=Constants!$B$4,FALSE(),TRUE())))</f>
        <v/>
      </c>
      <c r="AI60" s="133" t="str">
        <f aca="false">IF(ISBLANK($C60),"",IF(AND(ISNUMBER(H60),H60&gt;=0),H60,Constants!$B$29))</f>
        <v/>
      </c>
      <c r="AJ60" s="133" t="str">
        <f aca="false">IF(ISBLANK($C60),"",IF(I60=Constants!$B$3,TRUE(),IF(I60=Constants!$B$4,FALSE(),TRUE())))</f>
        <v/>
      </c>
      <c r="AK60" s="133" t="str">
        <f aca="false">IF(ISBLANK($C60),"",IF(J60=Constants!$B$3,TRUE(),IF(J60=Constants!$B$4,FALSE(),TRUE())))</f>
        <v/>
      </c>
      <c r="AL60" s="133" t="str">
        <f aca="false">IF(ISBLANK($C60),"",IF(K60=Constants!$B$5,TRUE(),IF(K60=Constants!$B$6,FALSE(),COUNTA(L60:P60)&gt;0)))</f>
        <v/>
      </c>
      <c r="AM60" s="134" t="str">
        <f aca="false">IF(ISBLANK($C60),"",IF(ISNUMBER(L60),IF(L60&gt;=0,L60,""),""))</f>
        <v/>
      </c>
      <c r="AN60" s="135" t="str">
        <f aca="false">IF(ISBLANK($C60),"",IF(ISNUMBER(M60),IF(M60&gt;=0,M60,""),""))</f>
        <v/>
      </c>
      <c r="AO60" s="135" t="str">
        <f aca="false">IF(ISBLANK($C60),"",IF(N60=Constants!$B$3,TRUE(),IF(N60=Constants!$B$4,FALSE(),TRUE())))</f>
        <v/>
      </c>
      <c r="AP60" s="133" t="str">
        <f aca="false">IF(ISBLANK($C60),"",IF(ISNUMBER(O60),IF(O60&gt;=0,O60,""),""))</f>
        <v/>
      </c>
      <c r="AQ60" s="133" t="str">
        <f aca="false">IF(ISBLANK($C60),"",IF(P60=Constants!$B$3,TRUE(),IF(P60=Constants!$B$4,FALSE(),FALSE())))</f>
        <v/>
      </c>
      <c r="AR60" s="133" t="str">
        <f aca="false">IF(ISBLANK($C60),"",IF(Q60=Constants!$B$3,TRUE(),IF(Q60=Constants!$B$4,FALSE(),TRUE())))</f>
        <v/>
      </c>
      <c r="AS60" s="133" t="str">
        <f aca="false">IF(ISBLANK($C60),"",IF(R60=Constants!$B$3,TRUE(),IF(R60=Constants!$B$4,FALSE(),TRUE())))</f>
        <v/>
      </c>
      <c r="AT60" s="133" t="str">
        <f aca="false">IF(ISBLANK($C60),"",IF(S60=Constants!$B$5,TRUE(),IF(S60=Constants!$B$6,FALSE(),COUNTA(T60:X60)&gt;0)))</f>
        <v/>
      </c>
      <c r="AU60" s="134" t="str">
        <f aca="false">IF(ISBLANK($C60),"",IF(ISNUMBER(T60),IF(T60&gt;=0,T60,""),""))</f>
        <v/>
      </c>
      <c r="AV60" s="135" t="str">
        <f aca="false">IF(ISBLANK($C60),"",IF(ISNUMBER(U60),IF(U60&gt;=0,U60,""),""))</f>
        <v/>
      </c>
      <c r="AW60" s="135" t="str">
        <f aca="false">IF(ISBLANK($C60),"",IF(V60=Constants!$B$3,TRUE(),IF(V60=Constants!$B$4,FALSE(),TRUE())))</f>
        <v/>
      </c>
      <c r="AX60" s="133" t="str">
        <f aca="false">IF(ISBLANK($C60),"",IF(ISNUMBER(W60),IF(W60&gt;=0,W60,""),""))</f>
        <v/>
      </c>
      <c r="AY60" s="133" t="str">
        <f aca="false">IF(ISBLANK($C60),"",IF(X60=Constants!$B$3,TRUE(),IF(X60=Constants!$B$4,FALSE(),FALSE())))</f>
        <v/>
      </c>
      <c r="AZ60" s="133" t="str">
        <f aca="false">IF(ISBLANK($C60),"",MIN(Constants!$B$31,MAX(0,IF(ISNUMBER(Y60),Y60*60,0)+IF(ISNUMBER(Z60),Z60,0))))</f>
        <v/>
      </c>
      <c r="BA60" s="133" t="str">
        <f aca="false">IF(ISBLANK($C60),"",IF(AA60=Constants!$B$3,TRUE(),IF(AA60=Constants!$B$4,FALSE(),FALSE())))</f>
        <v/>
      </c>
      <c r="BB60" s="132" t="str">
        <f aca="false">IF(ISBLANK($C60),"",AND($AL60,OR($AM60="",$AN60="",AND($AO60,$AP60=""))))</f>
        <v/>
      </c>
      <c r="BC60" s="135" t="str">
        <f aca="false">IF($BR60&lt;&gt;Constants!$B$8,"",IF($AL60,Constants!$B$21*$AN60+Constants!$B$22*IF($AO60,$AP60,Constants!$B$23),Constants!$B$24))</f>
        <v/>
      </c>
      <c r="BD60" s="136" t="str">
        <f aca="false">IF($BR60&lt;&gt;Constants!$B$8,"",Constants!$B$25*ABS($AD$9-IF($AL60,$AM60,0)))</f>
        <v/>
      </c>
      <c r="BE60" s="136" t="str">
        <f aca="false">IF($BR60&lt;&gt;Constants!$B$8,"",IF(AND($AL60,$AQ60,$AO60),Constants!$B$27,0))</f>
        <v/>
      </c>
      <c r="BF60" s="136" t="str">
        <f aca="false">IF($BR60&lt;&gt;Constants!$B$8,"",IF($AL60,($AI60-Constants!$B$29)*Constants!$B$28,0))</f>
        <v/>
      </c>
      <c r="BG60" s="136" t="str">
        <f aca="false">IF($BR60&lt;&gt;Constants!$B$8,"",IF($AK60,0,Constants!$B$15)+IF($AJ60,0,Constants!$B$16)+IF($AH60,0,Constants!$B$17))</f>
        <v/>
      </c>
      <c r="BH60" s="137" t="str">
        <f aca="false">IF($BR60&lt;&gt;Constants!$B$8,"",Constants!$B$20+SUM($BC60:$BG60))</f>
        <v/>
      </c>
      <c r="BI60" s="133" t="str">
        <f aca="false">IF($BR60&lt;&gt;Constants!$B$8,"",IF(OR($BP60&lt;$BH60,AND($BP60=$BH60,OR($BK60&lt;$BC60,AND($BK60=$BC60,OR($BL60&lt;$BD60,AND($BL60=$BD60,$AT60,$AL60,$AV60&lt;$AN60)))))),"-&gt;","&lt;-"))</f>
        <v/>
      </c>
      <c r="BJ60" s="132" t="str">
        <f aca="false">IF(ISBLANK($C60),"",AND($AT60,OR($AU60="",$AV60="",AND($AW60,$AX60=""))))</f>
        <v/>
      </c>
      <c r="BK60" s="135" t="str">
        <f aca="false">IF($BR60&lt;&gt;Constants!$B$8,"",IF($AT60,Constants!$B$21*$AV60+Constants!$B$22*IF($AW60,$AX60,Constants!$B$23),Constants!$B$24))</f>
        <v/>
      </c>
      <c r="BL60" s="136" t="str">
        <f aca="false">IF($BR60&lt;&gt;Constants!$B$8,"",Constants!$B$25*ABS($AD$9-IF($AT60,$AU60,0)))</f>
        <v/>
      </c>
      <c r="BM60" s="136" t="str">
        <f aca="false">IF($BR60&lt;&gt;Constants!$B$8,"",IF(AND($AT60,$AY60,$AW60),Constants!$B$27,0))</f>
        <v/>
      </c>
      <c r="BN60" s="136" t="str">
        <f aca="false">IF($BR60&lt;&gt;Constants!$B$8,"",IF($AT60,($AI60-Constants!$B$29)*Constants!$B$28,0))</f>
        <v/>
      </c>
      <c r="BO60" s="136" t="str">
        <f aca="false">IF($BR60&lt;&gt;Constants!$B$8,"",IF($AS60,0,Constants!$B$15)+IF($AR60,0,Constants!$B$16)+IF($AH60,0,Constants!$B$17))</f>
        <v/>
      </c>
      <c r="BP60" s="137" t="str">
        <f aca="false">IF($BR60&lt;&gt;Constants!$B$8,"",Constants!$B$20+SUM($BK60:$BO60))</f>
        <v/>
      </c>
      <c r="BQ60" s="133" t="str">
        <f aca="false">IF(ISBLANK($C60),"",IF(ISBLANK($D$7),$BQ$5,IF(NOT(ISNUMBER($D$7)),$BQ$6,"")))</f>
        <v/>
      </c>
      <c r="BR60" s="133" t="str">
        <f aca="false">IF(ISBLANK($C60),"",IF($BA60,Constants!$B$11,IF(COUNTA($E60:$AA60)=0,Constants!$B$10,IF(NOT($AG60),Constants!$B$9,IF(OR($BQ60&lt;&gt;"",$BB60,$BJ60),Constants!$B$12,Constants!$B$8)))))</f>
        <v/>
      </c>
      <c r="BS60" s="133" t="str">
        <f aca="false">IF(ISBLANK($C60),"",IF($BR60&lt;&gt;Constants!$B$8,$BR60,Constants!$B$13))</f>
        <v/>
      </c>
      <c r="BT60" s="136" t="str">
        <f aca="false">IF($BR60&lt;&gt;Constants!$B$8,"",IF($BI60="-&gt;",$BP60,$BH60))</f>
        <v/>
      </c>
      <c r="BU60" s="136" t="str">
        <f aca="false">IF($BR60&lt;&gt;Constants!$B$8,"",IF($AF60,0,Constants!$B$18))</f>
        <v/>
      </c>
      <c r="BV60" s="136" t="str">
        <f aca="false">IF($BR60&lt;&gt;Constants!$B$8,"",((Constants!$B$31-$AZ60)-Constants!$B$31)/Constants!$B$32)</f>
        <v/>
      </c>
      <c r="BW60" s="136" t="str">
        <f aca="false">IF(ISBLANK($C60),"",IF($BR60&lt;&gt;Constants!$B$8,$BR60,SUM($BT60:$BV60)))</f>
        <v/>
      </c>
      <c r="BX60" s="133" t="str">
        <f aca="false">IF(ISBLANK($C60),"",IF($BR60&lt;&gt;Constants!$B$8,$BR60,RANK($BW60,$BW$9:$BW$508,1)))</f>
        <v/>
      </c>
      <c r="BY60" s="136" t="str">
        <f aca="false">IF($BR60&lt;&gt;Constants!$B$8,"",IF($BI60="-&gt;",$BK60,$BC60))</f>
        <v/>
      </c>
      <c r="BZ60" s="133" t="str">
        <f aca="false">IF(ISBLANK($C60),"",IF($BR60&lt;&gt;Constants!$B$8,$BR60,IF(ISNUMBER($BY60),RANK($BY60,$BY$9:$BY$508,1),COUNT($BY$9:$BY$508)+1)))</f>
        <v/>
      </c>
      <c r="CA60" s="136" t="str">
        <f aca="false">IF($BR60&lt;&gt;Constants!$B$8,"",IF($BI60="-&gt;",$BL60,$BD60))</f>
        <v/>
      </c>
      <c r="CB60" s="133" t="str">
        <f aca="false">IF(ISBLANK($C60),"",IF($BR60&lt;&gt;Constants!$B$8,$BR60,IF(ISNUMBER($CA60),RANK($CA60,$CA$9:$CA$508,1),COUNT($CA$9:$CA$508)+1)))</f>
        <v/>
      </c>
      <c r="CC60" s="136" t="str">
        <f aca="false">IF($BR60&lt;&gt;Constants!$B$8,"",IF($BI60="-&gt;",IF($AT60,$AV60,""),IF($AL60,$AN60,"")))</f>
        <v/>
      </c>
      <c r="CD60" s="133" t="str">
        <f aca="false">IF(ISBLANK($C60),"",IF($BR60&lt;&gt;Constants!$B$8,$BR60,IF(ISNUMBER($CC60),RANK($CC60,$CC$9:$CC$508,1),COUNT($CC$9:$CC$508)+1)))</f>
        <v/>
      </c>
      <c r="CE60" s="136" t="str">
        <f aca="false">IF($BR60&lt;&gt;Constants!$B$8,"",IF(AND(NOT($AL60),NOT($AT60),$AJ60,$AK60,$AR60,$AS60),"",$AI60))</f>
        <v/>
      </c>
      <c r="CF60" s="133" t="str">
        <f aca="false">IF(ISBLANK($C60),"",IF($BR60&lt;&gt;Constants!$B$8,$BR60,IF(ISNUMBER($CE60),RANK($CE60,$CE$9:$CE$508,1),COUNT($CE$9:$CE$508)+1)))</f>
        <v/>
      </c>
      <c r="CG60" s="133" t="str">
        <f aca="false">IF(ISBLANK($C60),"",IF($BR60&lt;&gt;Constants!$B$8,$BR60,COUNTIFS($BX$9:$BX$508,"&lt;"&amp;$BX60)+COUNTIFS($BX$9:$BX$508,$BX60,$BZ$9:$BZ$508,"&lt;"&amp;$BZ60)+COUNTIFS($BX$9:$BX$508,$BX60,$BZ$9:$BZ$508,$BZ60,$CB$9:$CB$508,"&lt;"&amp;$CB60)+COUNTIFS($BX$9:$BX$508,$BX60,$BZ$9:$BZ$508,$BZ60,$CB$9:$CB$508,$CB60,$CD$9:$CD$508,"&lt;"&amp;$CD60)+COUNTIFS($BX$9:$BX$508,$BX60,$BZ$9:$BZ$508,$BZ60,$CB$9:$CB$508,$CB60,$CD$9:$CD$508,$CD60,$CF$9:$CF$508,"&lt;"&amp;$CF60)+1))</f>
        <v/>
      </c>
      <c r="CH60" s="133" t="str">
        <f aca="false">IF(ISBLANK($C60),"",IF($BR60&lt;&gt;Constants!$B$8,$BR60,$BX60-$CG60))</f>
        <v/>
      </c>
      <c r="CI60" s="138"/>
      <c r="CJ60" s="139"/>
      <c r="CK60" s="140" t="str">
        <f aca="false">IF(ISBLANK($C60),"",IF($BR60=Constants!$B$12,$BQ60,""))</f>
        <v/>
      </c>
      <c r="CL60" s="139" t="str">
        <f aca="false">IF(ISBLANK($C60),"",IF($BR60&lt;&gt;Constants!$B$8,"",IF($BI60="-&gt;",2,1)))</f>
        <v/>
      </c>
      <c r="CM60" s="141" t="str">
        <f aca="false">IF(ISBLANK($C60),"",IF($BR60&lt;&gt;Constants!$B$8,"",IF($BI60="-&gt;",$BK60,$BC60)))</f>
        <v/>
      </c>
      <c r="CN60" s="141" t="str">
        <f aca="false">IF(ISBLANK($C60),"",IF($BR60&lt;&gt;Constants!$B$8,"",IF($BI60="-&gt;",$BL60,$BD60)))</f>
        <v/>
      </c>
      <c r="CO60" s="141" t="str">
        <f aca="false">IF(ISBLANK($C60),"",IF($BR60&lt;&gt;Constants!$B$8,"",IF($BI60="-&gt;",$BM60+$BN60,$BE60+$BF60)+$BV60))</f>
        <v/>
      </c>
      <c r="CP60" s="141" t="str">
        <f aca="false">IF(ISBLANK($C60),"",IF($BR60&lt;&gt;Constants!$B$8,"",IF($BI60="-&gt;",$BO60,$BG60)+$BU60))</f>
        <v/>
      </c>
      <c r="CQ60" s="142" t="str">
        <f aca="false">IF(ISBLANK($C60),"",IF($BR60&lt;&gt;Constants!$B$8,$BR60,$BW60))</f>
        <v/>
      </c>
      <c r="CR60" s="143" t="str">
        <f aca="false">IF(ISBLANK($C60),"",$BS60)</f>
        <v/>
      </c>
      <c r="CS60" s="144" t="str">
        <f aca="false">IF(ISBLANK($C60),"",$CH60)</f>
        <v/>
      </c>
      <c r="CT60" s="144" t="str">
        <f aca="false">IF(ISBLANK($C60),"",$CG60)</f>
        <v/>
      </c>
      <c r="CU60" s="145" t="str">
        <f aca="false">IF(ISBLANK($C60),"",IFERROR(_xlfn.SWITCH($CT60,Constants!$B$11,COUNTA($C$9:$C$508)+2,Constants!$B$10,COUNTA($C$9:$C$508)+1,Constants!$B$9,COUNTA($C$9:$C$508)),$CT60))</f>
        <v/>
      </c>
      <c r="CV60" s="9"/>
      <c r="CW60" s="146" t="n">
        <f aca="false">IF(OR(ISNUMBER($CT60),$CT60=Constants!$B$11,$CT60=Constants!$B$9,$CT60=Constants!$B$10),1,0)</f>
        <v>0</v>
      </c>
      <c r="CX60" s="146" t="n">
        <v>52</v>
      </c>
      <c r="CY60" s="146" t="str">
        <f aca="false">IF(ISBLANK($C60),"",IF(ISNUMBER($CU60),$CU60+ROW($B60)/1000,""))</f>
        <v/>
      </c>
      <c r="CZ60" s="146" t="str">
        <f aca="false">IF(ISNUMBER($CY60),RANK($CY60,$CY$9:$CY$508,1),"")</f>
        <v/>
      </c>
      <c r="DA60" s="146" t="str">
        <f aca="false">IF(ISBLANK($C60),"",$B60)</f>
        <v/>
      </c>
      <c r="DB60" s="146" t="str">
        <f aca="false">IF(ISBLANK($C60),"",$C60)</f>
        <v/>
      </c>
      <c r="DC60" s="146" t="str">
        <f aca="false">IF(ISBLANK($C60),"",$D60)</f>
        <v/>
      </c>
      <c r="DD60" s="147" t="str">
        <f aca="false">$CR60</f>
        <v/>
      </c>
      <c r="DE60" s="148" t="str">
        <f aca="false">$CQ60</f>
        <v/>
      </c>
      <c r="DF60" s="146" t="str">
        <f aca="false">IF(ISBLANK($C60),"",$CT60)</f>
        <v/>
      </c>
      <c r="DG60" s="149" t="str">
        <f aca="false">IF($CX60&gt;$CW$8,"",VLOOKUP($CX60,$CZ$9:$DF$508,7,FALSE()))</f>
        <v/>
      </c>
      <c r="DH60" s="150" t="str">
        <f aca="false">IF($CX60&gt;$CW$8,"",VLOOKUP($CX60,$CZ$9:$DF$508,2,FALSE()))</f>
        <v/>
      </c>
      <c r="DI60" s="150" t="str">
        <f aca="false">IF($CX60&gt;$CW$8,"",VLOOKUP($CX60,$CZ$9:$DF$508,3,FALSE()))</f>
        <v/>
      </c>
      <c r="DJ60" s="150" t="str">
        <f aca="false">IF($CX60&gt;$CW$8,"",VLOOKUP($CX60,$CZ$9:$DF$508,4,FALSE()))</f>
        <v/>
      </c>
      <c r="DK60" s="150" t="str">
        <f aca="false">IF($CX60&gt;$CW$8,"",VLOOKUP($CX60,$CZ$9:$DF$508,5,FALSE()))</f>
        <v/>
      </c>
      <c r="DL60" s="151" t="str">
        <f aca="false">IF($CX60&gt;$CW$8,"",VLOOKUP($CX60,$CZ$9:$DF$508,6,FALSE()))</f>
        <v/>
      </c>
      <c r="DM60" s="75"/>
    </row>
    <row r="61" customFormat="false" ht="15.75" hidden="false" customHeight="false" outlineLevel="0" collapsed="false">
      <c r="A61" s="9"/>
      <c r="B61" s="157"/>
      <c r="C61" s="158"/>
      <c r="D61" s="159"/>
      <c r="E61" s="177"/>
      <c r="F61" s="161"/>
      <c r="G61" s="162"/>
      <c r="H61" s="162"/>
      <c r="I61" s="178"/>
      <c r="J61" s="165"/>
      <c r="K61" s="126"/>
      <c r="L61" s="127"/>
      <c r="M61" s="128"/>
      <c r="N61" s="165"/>
      <c r="O61" s="165"/>
      <c r="P61" s="177"/>
      <c r="Q61" s="165"/>
      <c r="R61" s="165"/>
      <c r="S61" s="126"/>
      <c r="T61" s="128"/>
      <c r="U61" s="128"/>
      <c r="V61" s="165"/>
      <c r="W61" s="165"/>
      <c r="X61" s="177"/>
      <c r="Y61" s="165"/>
      <c r="Z61" s="166"/>
      <c r="AA61" s="165"/>
      <c r="AB61" s="132"/>
      <c r="AC61" s="133"/>
      <c r="AD61" s="133"/>
      <c r="AE61" s="133"/>
      <c r="AF61" s="133" t="str">
        <f aca="false">IF(ISBLANK($C61),"",IF(E61=Constants!$B$3,TRUE(),IF(E61=Constants!$B$4,FALSE(),TRUE())))</f>
        <v/>
      </c>
      <c r="AG61" s="133" t="str">
        <f aca="false">IF(ISBLANK($C61),"",IF(F61=Constants!$B$3,TRUE(),IF(F61=Constants!$B$4,FALSE(),TRUE())))</f>
        <v/>
      </c>
      <c r="AH61" s="133" t="str">
        <f aca="false">IF(ISBLANK($C61),"",IF(G61=Constants!$B$3,TRUE(),IF(G61=Constants!$B$4,FALSE(),TRUE())))</f>
        <v/>
      </c>
      <c r="AI61" s="133" t="str">
        <f aca="false">IF(ISBLANK($C61),"",IF(AND(ISNUMBER(H61),H61&gt;=0),H61,Constants!$B$29))</f>
        <v/>
      </c>
      <c r="AJ61" s="133" t="str">
        <f aca="false">IF(ISBLANK($C61),"",IF(I61=Constants!$B$3,TRUE(),IF(I61=Constants!$B$4,FALSE(),TRUE())))</f>
        <v/>
      </c>
      <c r="AK61" s="133" t="str">
        <f aca="false">IF(ISBLANK($C61),"",IF(J61=Constants!$B$3,TRUE(),IF(J61=Constants!$B$4,FALSE(),TRUE())))</f>
        <v/>
      </c>
      <c r="AL61" s="133" t="str">
        <f aca="false">IF(ISBLANK($C61),"",IF(K61=Constants!$B$5,TRUE(),IF(K61=Constants!$B$6,FALSE(),COUNTA(L61:P61)&gt;0)))</f>
        <v/>
      </c>
      <c r="AM61" s="134" t="str">
        <f aca="false">IF(ISBLANK($C61),"",IF(ISNUMBER(L61),IF(L61&gt;=0,L61,""),""))</f>
        <v/>
      </c>
      <c r="AN61" s="135" t="str">
        <f aca="false">IF(ISBLANK($C61),"",IF(ISNUMBER(M61),IF(M61&gt;=0,M61,""),""))</f>
        <v/>
      </c>
      <c r="AO61" s="135" t="str">
        <f aca="false">IF(ISBLANK($C61),"",IF(N61=Constants!$B$3,TRUE(),IF(N61=Constants!$B$4,FALSE(),TRUE())))</f>
        <v/>
      </c>
      <c r="AP61" s="133" t="str">
        <f aca="false">IF(ISBLANK($C61),"",IF(ISNUMBER(O61),IF(O61&gt;=0,O61,""),""))</f>
        <v/>
      </c>
      <c r="AQ61" s="133" t="str">
        <f aca="false">IF(ISBLANK($C61),"",IF(P61=Constants!$B$3,TRUE(),IF(P61=Constants!$B$4,FALSE(),FALSE())))</f>
        <v/>
      </c>
      <c r="AR61" s="133" t="str">
        <f aca="false">IF(ISBLANK($C61),"",IF(Q61=Constants!$B$3,TRUE(),IF(Q61=Constants!$B$4,FALSE(),TRUE())))</f>
        <v/>
      </c>
      <c r="AS61" s="133" t="str">
        <f aca="false">IF(ISBLANK($C61),"",IF(R61=Constants!$B$3,TRUE(),IF(R61=Constants!$B$4,FALSE(),TRUE())))</f>
        <v/>
      </c>
      <c r="AT61" s="133" t="str">
        <f aca="false">IF(ISBLANK($C61),"",IF(S61=Constants!$B$5,TRUE(),IF(S61=Constants!$B$6,FALSE(),COUNTA(T61:X61)&gt;0)))</f>
        <v/>
      </c>
      <c r="AU61" s="134" t="str">
        <f aca="false">IF(ISBLANK($C61),"",IF(ISNUMBER(T61),IF(T61&gt;=0,T61,""),""))</f>
        <v/>
      </c>
      <c r="AV61" s="135" t="str">
        <f aca="false">IF(ISBLANK($C61),"",IF(ISNUMBER(U61),IF(U61&gt;=0,U61,""),""))</f>
        <v/>
      </c>
      <c r="AW61" s="135" t="str">
        <f aca="false">IF(ISBLANK($C61),"",IF(V61=Constants!$B$3,TRUE(),IF(V61=Constants!$B$4,FALSE(),TRUE())))</f>
        <v/>
      </c>
      <c r="AX61" s="133" t="str">
        <f aca="false">IF(ISBLANK($C61),"",IF(ISNUMBER(W61),IF(W61&gt;=0,W61,""),""))</f>
        <v/>
      </c>
      <c r="AY61" s="133" t="str">
        <f aca="false">IF(ISBLANK($C61),"",IF(X61=Constants!$B$3,TRUE(),IF(X61=Constants!$B$4,FALSE(),FALSE())))</f>
        <v/>
      </c>
      <c r="AZ61" s="133" t="str">
        <f aca="false">IF(ISBLANK($C61),"",MIN(Constants!$B$31,MAX(0,IF(ISNUMBER(Y61),Y61*60,0)+IF(ISNUMBER(Z61),Z61,0))))</f>
        <v/>
      </c>
      <c r="BA61" s="133" t="str">
        <f aca="false">IF(ISBLANK($C61),"",IF(AA61=Constants!$B$3,TRUE(),IF(AA61=Constants!$B$4,FALSE(),FALSE())))</f>
        <v/>
      </c>
      <c r="BB61" s="132" t="str">
        <f aca="false">IF(ISBLANK($C61),"",AND($AL61,OR($AM61="",$AN61="",AND($AO61,$AP61=""))))</f>
        <v/>
      </c>
      <c r="BC61" s="135" t="str">
        <f aca="false">IF($BR61&lt;&gt;Constants!$B$8,"",IF($AL61,Constants!$B$21*$AN61+Constants!$B$22*IF($AO61,$AP61,Constants!$B$23),Constants!$B$24))</f>
        <v/>
      </c>
      <c r="BD61" s="136" t="str">
        <f aca="false">IF($BR61&lt;&gt;Constants!$B$8,"",Constants!$B$25*ABS($AD$9-IF($AL61,$AM61,0)))</f>
        <v/>
      </c>
      <c r="BE61" s="136" t="str">
        <f aca="false">IF($BR61&lt;&gt;Constants!$B$8,"",IF(AND($AL61,$AQ61,$AO61),Constants!$B$27,0))</f>
        <v/>
      </c>
      <c r="BF61" s="136" t="str">
        <f aca="false">IF($BR61&lt;&gt;Constants!$B$8,"",IF($AL61,($AI61-Constants!$B$29)*Constants!$B$28,0))</f>
        <v/>
      </c>
      <c r="BG61" s="136" t="str">
        <f aca="false">IF($BR61&lt;&gt;Constants!$B$8,"",IF($AK61,0,Constants!$B$15)+IF($AJ61,0,Constants!$B$16)+IF($AH61,0,Constants!$B$17))</f>
        <v/>
      </c>
      <c r="BH61" s="137" t="str">
        <f aca="false">IF($BR61&lt;&gt;Constants!$B$8,"",Constants!$B$20+SUM($BC61:$BG61))</f>
        <v/>
      </c>
      <c r="BI61" s="133" t="str">
        <f aca="false">IF($BR61&lt;&gt;Constants!$B$8,"",IF(OR($BP61&lt;$BH61,AND($BP61=$BH61,OR($BK61&lt;$BC61,AND($BK61=$BC61,OR($BL61&lt;$BD61,AND($BL61=$BD61,$AT61,$AL61,$AV61&lt;$AN61)))))),"-&gt;","&lt;-"))</f>
        <v/>
      </c>
      <c r="BJ61" s="132" t="str">
        <f aca="false">IF(ISBLANK($C61),"",AND($AT61,OR($AU61="",$AV61="",AND($AW61,$AX61=""))))</f>
        <v/>
      </c>
      <c r="BK61" s="135" t="str">
        <f aca="false">IF($BR61&lt;&gt;Constants!$B$8,"",IF($AT61,Constants!$B$21*$AV61+Constants!$B$22*IF($AW61,$AX61,Constants!$B$23),Constants!$B$24))</f>
        <v/>
      </c>
      <c r="BL61" s="136" t="str">
        <f aca="false">IF($BR61&lt;&gt;Constants!$B$8,"",Constants!$B$25*ABS($AD$9-IF($AT61,$AU61,0)))</f>
        <v/>
      </c>
      <c r="BM61" s="136" t="str">
        <f aca="false">IF($BR61&lt;&gt;Constants!$B$8,"",IF(AND($AT61,$AY61,$AW61),Constants!$B$27,0))</f>
        <v/>
      </c>
      <c r="BN61" s="136" t="str">
        <f aca="false">IF($BR61&lt;&gt;Constants!$B$8,"",IF($AT61,($AI61-Constants!$B$29)*Constants!$B$28,0))</f>
        <v/>
      </c>
      <c r="BO61" s="136" t="str">
        <f aca="false">IF($BR61&lt;&gt;Constants!$B$8,"",IF($AS61,0,Constants!$B$15)+IF($AR61,0,Constants!$B$16)+IF($AH61,0,Constants!$B$17))</f>
        <v/>
      </c>
      <c r="BP61" s="137" t="str">
        <f aca="false">IF($BR61&lt;&gt;Constants!$B$8,"",Constants!$B$20+SUM($BK61:$BO61))</f>
        <v/>
      </c>
      <c r="BQ61" s="133" t="str">
        <f aca="false">IF(ISBLANK($C61),"",IF(ISBLANK($D$7),$BQ$5,IF(NOT(ISNUMBER($D$7)),$BQ$6,"")))</f>
        <v/>
      </c>
      <c r="BR61" s="133" t="str">
        <f aca="false">IF(ISBLANK($C61),"",IF($BA61,Constants!$B$11,IF(COUNTA($E61:$AA61)=0,Constants!$B$10,IF(NOT($AG61),Constants!$B$9,IF(OR($BQ61&lt;&gt;"",$BB61,$BJ61),Constants!$B$12,Constants!$B$8)))))</f>
        <v/>
      </c>
      <c r="BS61" s="133" t="str">
        <f aca="false">IF(ISBLANK($C61),"",IF($BR61&lt;&gt;Constants!$B$8,$BR61,Constants!$B$13))</f>
        <v/>
      </c>
      <c r="BT61" s="136" t="str">
        <f aca="false">IF($BR61&lt;&gt;Constants!$B$8,"",IF($BI61="-&gt;",$BP61,$BH61))</f>
        <v/>
      </c>
      <c r="BU61" s="136" t="str">
        <f aca="false">IF($BR61&lt;&gt;Constants!$B$8,"",IF($AF61,0,Constants!$B$18))</f>
        <v/>
      </c>
      <c r="BV61" s="136" t="str">
        <f aca="false">IF($BR61&lt;&gt;Constants!$B$8,"",((Constants!$B$31-$AZ61)-Constants!$B$31)/Constants!$B$32)</f>
        <v/>
      </c>
      <c r="BW61" s="136" t="str">
        <f aca="false">IF(ISBLANK($C61),"",IF($BR61&lt;&gt;Constants!$B$8,$BR61,SUM($BT61:$BV61)))</f>
        <v/>
      </c>
      <c r="BX61" s="133" t="str">
        <f aca="false">IF(ISBLANK($C61),"",IF($BR61&lt;&gt;Constants!$B$8,$BR61,RANK($BW61,$BW$9:$BW$508,1)))</f>
        <v/>
      </c>
      <c r="BY61" s="136" t="str">
        <f aca="false">IF($BR61&lt;&gt;Constants!$B$8,"",IF($BI61="-&gt;",$BK61,$BC61))</f>
        <v/>
      </c>
      <c r="BZ61" s="133" t="str">
        <f aca="false">IF(ISBLANK($C61),"",IF($BR61&lt;&gt;Constants!$B$8,$BR61,IF(ISNUMBER($BY61),RANK($BY61,$BY$9:$BY$508,1),COUNT($BY$9:$BY$508)+1)))</f>
        <v/>
      </c>
      <c r="CA61" s="136" t="str">
        <f aca="false">IF($BR61&lt;&gt;Constants!$B$8,"",IF($BI61="-&gt;",$BL61,$BD61))</f>
        <v/>
      </c>
      <c r="CB61" s="133" t="str">
        <f aca="false">IF(ISBLANK($C61),"",IF($BR61&lt;&gt;Constants!$B$8,$BR61,IF(ISNUMBER($CA61),RANK($CA61,$CA$9:$CA$508,1),COUNT($CA$9:$CA$508)+1)))</f>
        <v/>
      </c>
      <c r="CC61" s="136" t="str">
        <f aca="false">IF($BR61&lt;&gt;Constants!$B$8,"",IF($BI61="-&gt;",IF($AT61,$AV61,""),IF($AL61,$AN61,"")))</f>
        <v/>
      </c>
      <c r="CD61" s="133" t="str">
        <f aca="false">IF(ISBLANK($C61),"",IF($BR61&lt;&gt;Constants!$B$8,$BR61,IF(ISNUMBER($CC61),RANK($CC61,$CC$9:$CC$508,1),COUNT($CC$9:$CC$508)+1)))</f>
        <v/>
      </c>
      <c r="CE61" s="136" t="str">
        <f aca="false">IF($BR61&lt;&gt;Constants!$B$8,"",IF(AND(NOT($AL61),NOT($AT61),$AJ61,$AK61,$AR61,$AS61),"",$AI61))</f>
        <v/>
      </c>
      <c r="CF61" s="133" t="str">
        <f aca="false">IF(ISBLANK($C61),"",IF($BR61&lt;&gt;Constants!$B$8,$BR61,IF(ISNUMBER($CE61),RANK($CE61,$CE$9:$CE$508,1),COUNT($CE$9:$CE$508)+1)))</f>
        <v/>
      </c>
      <c r="CG61" s="133" t="str">
        <f aca="false">IF(ISBLANK($C61),"",IF($BR61&lt;&gt;Constants!$B$8,$BR61,COUNTIFS($BX$9:$BX$508,"&lt;"&amp;$BX61)+COUNTIFS($BX$9:$BX$508,$BX61,$BZ$9:$BZ$508,"&lt;"&amp;$BZ61)+COUNTIFS($BX$9:$BX$508,$BX61,$BZ$9:$BZ$508,$BZ61,$CB$9:$CB$508,"&lt;"&amp;$CB61)+COUNTIFS($BX$9:$BX$508,$BX61,$BZ$9:$BZ$508,$BZ61,$CB$9:$CB$508,$CB61,$CD$9:$CD$508,"&lt;"&amp;$CD61)+COUNTIFS($BX$9:$BX$508,$BX61,$BZ$9:$BZ$508,$BZ61,$CB$9:$CB$508,$CB61,$CD$9:$CD$508,$CD61,$CF$9:$CF$508,"&lt;"&amp;$CF61)+1))</f>
        <v/>
      </c>
      <c r="CH61" s="133" t="str">
        <f aca="false">IF(ISBLANK($C61),"",IF($BR61&lt;&gt;Constants!$B$8,$BR61,$BX61-$CG61))</f>
        <v/>
      </c>
      <c r="CI61" s="138"/>
      <c r="CJ61" s="139"/>
      <c r="CK61" s="140" t="str">
        <f aca="false">IF(ISBLANK($C61),"",IF($BR61=Constants!$B$12,$BQ61,""))</f>
        <v/>
      </c>
      <c r="CL61" s="139" t="str">
        <f aca="false">IF(ISBLANK($C61),"",IF($BR61&lt;&gt;Constants!$B$8,"",IF($BI61="-&gt;",2,1)))</f>
        <v/>
      </c>
      <c r="CM61" s="141" t="str">
        <f aca="false">IF(ISBLANK($C61),"",IF($BR61&lt;&gt;Constants!$B$8,"",IF($BI61="-&gt;",$BK61,$BC61)))</f>
        <v/>
      </c>
      <c r="CN61" s="141" t="str">
        <f aca="false">IF(ISBLANK($C61),"",IF($BR61&lt;&gt;Constants!$B$8,"",IF($BI61="-&gt;",$BL61,$BD61)))</f>
        <v/>
      </c>
      <c r="CO61" s="141" t="str">
        <f aca="false">IF(ISBLANK($C61),"",IF($BR61&lt;&gt;Constants!$B$8,"",IF($BI61="-&gt;",$BM61+$BN61,$BE61+$BF61)+$BV61))</f>
        <v/>
      </c>
      <c r="CP61" s="141" t="str">
        <f aca="false">IF(ISBLANK($C61),"",IF($BR61&lt;&gt;Constants!$B$8,"",IF($BI61="-&gt;",$BO61,$BG61)+$BU61))</f>
        <v/>
      </c>
      <c r="CQ61" s="142" t="str">
        <f aca="false">IF(ISBLANK($C61),"",IF($BR61&lt;&gt;Constants!$B$8,$BR61,$BW61))</f>
        <v/>
      </c>
      <c r="CR61" s="143" t="str">
        <f aca="false">IF(ISBLANK($C61),"",$BS61)</f>
        <v/>
      </c>
      <c r="CS61" s="144" t="str">
        <f aca="false">IF(ISBLANK($C61),"",$CH61)</f>
        <v/>
      </c>
      <c r="CT61" s="144" t="str">
        <f aca="false">IF(ISBLANK($C61),"",$CG61)</f>
        <v/>
      </c>
      <c r="CU61" s="145" t="str">
        <f aca="false">IF(ISBLANK($C61),"",IFERROR(_xlfn.SWITCH($CT61,Constants!$B$11,COUNTA($C$9:$C$508)+2,Constants!$B$10,COUNTA($C$9:$C$508)+1,Constants!$B$9,COUNTA($C$9:$C$508)),$CT61))</f>
        <v/>
      </c>
      <c r="CV61" s="9"/>
      <c r="CW61" s="146" t="n">
        <f aca="false">IF(OR(ISNUMBER($CT61),$CT61=Constants!$B$11,$CT61=Constants!$B$9,$CT61=Constants!$B$10),1,0)</f>
        <v>0</v>
      </c>
      <c r="CX61" s="146" t="n">
        <v>53</v>
      </c>
      <c r="CY61" s="146" t="str">
        <f aca="false">IF(ISBLANK($C61),"",IF(ISNUMBER($CU61),$CU61+ROW($B61)/1000,""))</f>
        <v/>
      </c>
      <c r="CZ61" s="146" t="str">
        <f aca="false">IF(ISNUMBER($CY61),RANK($CY61,$CY$9:$CY$508,1),"")</f>
        <v/>
      </c>
      <c r="DA61" s="146" t="str">
        <f aca="false">IF(ISBLANK($C61),"",$B61)</f>
        <v/>
      </c>
      <c r="DB61" s="146" t="str">
        <f aca="false">IF(ISBLANK($C61),"",$C61)</f>
        <v/>
      </c>
      <c r="DC61" s="146" t="str">
        <f aca="false">IF(ISBLANK($C61),"",$D61)</f>
        <v/>
      </c>
      <c r="DD61" s="147" t="str">
        <f aca="false">$CR61</f>
        <v/>
      </c>
      <c r="DE61" s="148" t="str">
        <f aca="false">$CQ61</f>
        <v/>
      </c>
      <c r="DF61" s="146" t="str">
        <f aca="false">IF(ISBLANK($C61),"",$CT61)</f>
        <v/>
      </c>
      <c r="DG61" s="149" t="str">
        <f aca="false">IF($CX61&gt;$CW$8,"",VLOOKUP($CX61,$CZ$9:$DF$508,7,FALSE()))</f>
        <v/>
      </c>
      <c r="DH61" s="150" t="str">
        <f aca="false">IF($CX61&gt;$CW$8,"",VLOOKUP($CX61,$CZ$9:$DF$508,2,FALSE()))</f>
        <v/>
      </c>
      <c r="DI61" s="150" t="str">
        <f aca="false">IF($CX61&gt;$CW$8,"",VLOOKUP($CX61,$CZ$9:$DF$508,3,FALSE()))</f>
        <v/>
      </c>
      <c r="DJ61" s="150" t="str">
        <f aca="false">IF($CX61&gt;$CW$8,"",VLOOKUP($CX61,$CZ$9:$DF$508,4,FALSE()))</f>
        <v/>
      </c>
      <c r="DK61" s="150" t="str">
        <f aca="false">IF($CX61&gt;$CW$8,"",VLOOKUP($CX61,$CZ$9:$DF$508,5,FALSE()))</f>
        <v/>
      </c>
      <c r="DL61" s="151" t="str">
        <f aca="false">IF($CX61&gt;$CW$8,"",VLOOKUP($CX61,$CZ$9:$DF$508,6,FALSE()))</f>
        <v/>
      </c>
      <c r="DM61" s="75"/>
    </row>
    <row r="62" customFormat="false" ht="15.75" hidden="false" customHeight="false" outlineLevel="0" collapsed="false">
      <c r="A62" s="9"/>
      <c r="B62" s="157"/>
      <c r="C62" s="158"/>
      <c r="D62" s="159"/>
      <c r="E62" s="177"/>
      <c r="F62" s="161"/>
      <c r="G62" s="162"/>
      <c r="H62" s="162"/>
      <c r="I62" s="178"/>
      <c r="J62" s="165"/>
      <c r="K62" s="126"/>
      <c r="L62" s="127"/>
      <c r="M62" s="128"/>
      <c r="N62" s="165"/>
      <c r="O62" s="165"/>
      <c r="P62" s="177"/>
      <c r="Q62" s="165"/>
      <c r="R62" s="165"/>
      <c r="S62" s="126"/>
      <c r="T62" s="128"/>
      <c r="U62" s="128"/>
      <c r="V62" s="165"/>
      <c r="W62" s="165"/>
      <c r="X62" s="177"/>
      <c r="Y62" s="165"/>
      <c r="Z62" s="166"/>
      <c r="AA62" s="165"/>
      <c r="AB62" s="132"/>
      <c r="AC62" s="133"/>
      <c r="AD62" s="133"/>
      <c r="AE62" s="133"/>
      <c r="AF62" s="133" t="str">
        <f aca="false">IF(ISBLANK($C62),"",IF(E62=Constants!$B$3,TRUE(),IF(E62=Constants!$B$4,FALSE(),TRUE())))</f>
        <v/>
      </c>
      <c r="AG62" s="133" t="str">
        <f aca="false">IF(ISBLANK($C62),"",IF(F62=Constants!$B$3,TRUE(),IF(F62=Constants!$B$4,FALSE(),TRUE())))</f>
        <v/>
      </c>
      <c r="AH62" s="133" t="str">
        <f aca="false">IF(ISBLANK($C62),"",IF(G62=Constants!$B$3,TRUE(),IF(G62=Constants!$B$4,FALSE(),TRUE())))</f>
        <v/>
      </c>
      <c r="AI62" s="133" t="str">
        <f aca="false">IF(ISBLANK($C62),"",IF(AND(ISNUMBER(H62),H62&gt;=0),H62,Constants!$B$29))</f>
        <v/>
      </c>
      <c r="AJ62" s="133" t="str">
        <f aca="false">IF(ISBLANK($C62),"",IF(I62=Constants!$B$3,TRUE(),IF(I62=Constants!$B$4,FALSE(),TRUE())))</f>
        <v/>
      </c>
      <c r="AK62" s="133" t="str">
        <f aca="false">IF(ISBLANK($C62),"",IF(J62=Constants!$B$3,TRUE(),IF(J62=Constants!$B$4,FALSE(),TRUE())))</f>
        <v/>
      </c>
      <c r="AL62" s="133" t="str">
        <f aca="false">IF(ISBLANK($C62),"",IF(K62=Constants!$B$5,TRUE(),IF(K62=Constants!$B$6,FALSE(),COUNTA(L62:P62)&gt;0)))</f>
        <v/>
      </c>
      <c r="AM62" s="134" t="str">
        <f aca="false">IF(ISBLANK($C62),"",IF(ISNUMBER(L62),IF(L62&gt;=0,L62,""),""))</f>
        <v/>
      </c>
      <c r="AN62" s="135" t="str">
        <f aca="false">IF(ISBLANK($C62),"",IF(ISNUMBER(M62),IF(M62&gt;=0,M62,""),""))</f>
        <v/>
      </c>
      <c r="AO62" s="135" t="str">
        <f aca="false">IF(ISBLANK($C62),"",IF(N62=Constants!$B$3,TRUE(),IF(N62=Constants!$B$4,FALSE(),TRUE())))</f>
        <v/>
      </c>
      <c r="AP62" s="133" t="str">
        <f aca="false">IF(ISBLANK($C62),"",IF(ISNUMBER(O62),IF(O62&gt;=0,O62,""),""))</f>
        <v/>
      </c>
      <c r="AQ62" s="133" t="str">
        <f aca="false">IF(ISBLANK($C62),"",IF(P62=Constants!$B$3,TRUE(),IF(P62=Constants!$B$4,FALSE(),FALSE())))</f>
        <v/>
      </c>
      <c r="AR62" s="133" t="str">
        <f aca="false">IF(ISBLANK($C62),"",IF(Q62=Constants!$B$3,TRUE(),IF(Q62=Constants!$B$4,FALSE(),TRUE())))</f>
        <v/>
      </c>
      <c r="AS62" s="133" t="str">
        <f aca="false">IF(ISBLANK($C62),"",IF(R62=Constants!$B$3,TRUE(),IF(R62=Constants!$B$4,FALSE(),TRUE())))</f>
        <v/>
      </c>
      <c r="AT62" s="133" t="str">
        <f aca="false">IF(ISBLANK($C62),"",IF(S62=Constants!$B$5,TRUE(),IF(S62=Constants!$B$6,FALSE(),COUNTA(T62:X62)&gt;0)))</f>
        <v/>
      </c>
      <c r="AU62" s="134" t="str">
        <f aca="false">IF(ISBLANK($C62),"",IF(ISNUMBER(T62),IF(T62&gt;=0,T62,""),""))</f>
        <v/>
      </c>
      <c r="AV62" s="135" t="str">
        <f aca="false">IF(ISBLANK($C62),"",IF(ISNUMBER(U62),IF(U62&gt;=0,U62,""),""))</f>
        <v/>
      </c>
      <c r="AW62" s="135" t="str">
        <f aca="false">IF(ISBLANK($C62),"",IF(V62=Constants!$B$3,TRUE(),IF(V62=Constants!$B$4,FALSE(),TRUE())))</f>
        <v/>
      </c>
      <c r="AX62" s="133" t="str">
        <f aca="false">IF(ISBLANK($C62),"",IF(ISNUMBER(W62),IF(W62&gt;=0,W62,""),""))</f>
        <v/>
      </c>
      <c r="AY62" s="133" t="str">
        <f aca="false">IF(ISBLANK($C62),"",IF(X62=Constants!$B$3,TRUE(),IF(X62=Constants!$B$4,FALSE(),FALSE())))</f>
        <v/>
      </c>
      <c r="AZ62" s="133" t="str">
        <f aca="false">IF(ISBLANK($C62),"",MIN(Constants!$B$31,MAX(0,IF(ISNUMBER(Y62),Y62*60,0)+IF(ISNUMBER(Z62),Z62,0))))</f>
        <v/>
      </c>
      <c r="BA62" s="133" t="str">
        <f aca="false">IF(ISBLANK($C62),"",IF(AA62=Constants!$B$3,TRUE(),IF(AA62=Constants!$B$4,FALSE(),FALSE())))</f>
        <v/>
      </c>
      <c r="BB62" s="132" t="str">
        <f aca="false">IF(ISBLANK($C62),"",AND($AL62,OR($AM62="",$AN62="",AND($AO62,$AP62=""))))</f>
        <v/>
      </c>
      <c r="BC62" s="135" t="str">
        <f aca="false">IF($BR62&lt;&gt;Constants!$B$8,"",IF($AL62,Constants!$B$21*$AN62+Constants!$B$22*IF($AO62,$AP62,Constants!$B$23),Constants!$B$24))</f>
        <v/>
      </c>
      <c r="BD62" s="136" t="str">
        <f aca="false">IF($BR62&lt;&gt;Constants!$B$8,"",Constants!$B$25*ABS($AD$9-IF($AL62,$AM62,0)))</f>
        <v/>
      </c>
      <c r="BE62" s="136" t="str">
        <f aca="false">IF($BR62&lt;&gt;Constants!$B$8,"",IF(AND($AL62,$AQ62,$AO62),Constants!$B$27,0))</f>
        <v/>
      </c>
      <c r="BF62" s="136" t="str">
        <f aca="false">IF($BR62&lt;&gt;Constants!$B$8,"",IF($AL62,($AI62-Constants!$B$29)*Constants!$B$28,0))</f>
        <v/>
      </c>
      <c r="BG62" s="136" t="str">
        <f aca="false">IF($BR62&lt;&gt;Constants!$B$8,"",IF($AK62,0,Constants!$B$15)+IF($AJ62,0,Constants!$B$16)+IF($AH62,0,Constants!$B$17))</f>
        <v/>
      </c>
      <c r="BH62" s="137" t="str">
        <f aca="false">IF($BR62&lt;&gt;Constants!$B$8,"",Constants!$B$20+SUM($BC62:$BG62))</f>
        <v/>
      </c>
      <c r="BI62" s="133" t="str">
        <f aca="false">IF($BR62&lt;&gt;Constants!$B$8,"",IF(OR($BP62&lt;$BH62,AND($BP62=$BH62,OR($BK62&lt;$BC62,AND($BK62=$BC62,OR($BL62&lt;$BD62,AND($BL62=$BD62,$AT62,$AL62,$AV62&lt;$AN62)))))),"-&gt;","&lt;-"))</f>
        <v/>
      </c>
      <c r="BJ62" s="132" t="str">
        <f aca="false">IF(ISBLANK($C62),"",AND($AT62,OR($AU62="",$AV62="",AND($AW62,$AX62=""))))</f>
        <v/>
      </c>
      <c r="BK62" s="135" t="str">
        <f aca="false">IF($BR62&lt;&gt;Constants!$B$8,"",IF($AT62,Constants!$B$21*$AV62+Constants!$B$22*IF($AW62,$AX62,Constants!$B$23),Constants!$B$24))</f>
        <v/>
      </c>
      <c r="BL62" s="136" t="str">
        <f aca="false">IF($BR62&lt;&gt;Constants!$B$8,"",Constants!$B$25*ABS($AD$9-IF($AT62,$AU62,0)))</f>
        <v/>
      </c>
      <c r="BM62" s="136" t="str">
        <f aca="false">IF($BR62&lt;&gt;Constants!$B$8,"",IF(AND($AT62,$AY62,$AW62),Constants!$B$27,0))</f>
        <v/>
      </c>
      <c r="BN62" s="136" t="str">
        <f aca="false">IF($BR62&lt;&gt;Constants!$B$8,"",IF($AT62,($AI62-Constants!$B$29)*Constants!$B$28,0))</f>
        <v/>
      </c>
      <c r="BO62" s="136" t="str">
        <f aca="false">IF($BR62&lt;&gt;Constants!$B$8,"",IF($AS62,0,Constants!$B$15)+IF($AR62,0,Constants!$B$16)+IF($AH62,0,Constants!$B$17))</f>
        <v/>
      </c>
      <c r="BP62" s="137" t="str">
        <f aca="false">IF($BR62&lt;&gt;Constants!$B$8,"",Constants!$B$20+SUM($BK62:$BO62))</f>
        <v/>
      </c>
      <c r="BQ62" s="133" t="str">
        <f aca="false">IF(ISBLANK($C62),"",IF(ISBLANK($D$7),$BQ$5,IF(NOT(ISNUMBER($D$7)),$BQ$6,"")))</f>
        <v/>
      </c>
      <c r="BR62" s="133" t="str">
        <f aca="false">IF(ISBLANK($C62),"",IF($BA62,Constants!$B$11,IF(COUNTA($E62:$AA62)=0,Constants!$B$10,IF(NOT($AG62),Constants!$B$9,IF(OR($BQ62&lt;&gt;"",$BB62,$BJ62),Constants!$B$12,Constants!$B$8)))))</f>
        <v/>
      </c>
      <c r="BS62" s="133" t="str">
        <f aca="false">IF(ISBLANK($C62),"",IF($BR62&lt;&gt;Constants!$B$8,$BR62,Constants!$B$13))</f>
        <v/>
      </c>
      <c r="BT62" s="136" t="str">
        <f aca="false">IF($BR62&lt;&gt;Constants!$B$8,"",IF($BI62="-&gt;",$BP62,$BH62))</f>
        <v/>
      </c>
      <c r="BU62" s="136" t="str">
        <f aca="false">IF($BR62&lt;&gt;Constants!$B$8,"",IF($AF62,0,Constants!$B$18))</f>
        <v/>
      </c>
      <c r="BV62" s="136" t="str">
        <f aca="false">IF($BR62&lt;&gt;Constants!$B$8,"",((Constants!$B$31-$AZ62)-Constants!$B$31)/Constants!$B$32)</f>
        <v/>
      </c>
      <c r="BW62" s="136" t="str">
        <f aca="false">IF(ISBLANK($C62),"",IF($BR62&lt;&gt;Constants!$B$8,$BR62,SUM($BT62:$BV62)))</f>
        <v/>
      </c>
      <c r="BX62" s="133" t="str">
        <f aca="false">IF(ISBLANK($C62),"",IF($BR62&lt;&gt;Constants!$B$8,$BR62,RANK($BW62,$BW$9:$BW$508,1)))</f>
        <v/>
      </c>
      <c r="BY62" s="136" t="str">
        <f aca="false">IF($BR62&lt;&gt;Constants!$B$8,"",IF($BI62="-&gt;",$BK62,$BC62))</f>
        <v/>
      </c>
      <c r="BZ62" s="133" t="str">
        <f aca="false">IF(ISBLANK($C62),"",IF($BR62&lt;&gt;Constants!$B$8,$BR62,IF(ISNUMBER($BY62),RANK($BY62,$BY$9:$BY$508,1),COUNT($BY$9:$BY$508)+1)))</f>
        <v/>
      </c>
      <c r="CA62" s="136" t="str">
        <f aca="false">IF($BR62&lt;&gt;Constants!$B$8,"",IF($BI62="-&gt;",$BL62,$BD62))</f>
        <v/>
      </c>
      <c r="CB62" s="133" t="str">
        <f aca="false">IF(ISBLANK($C62),"",IF($BR62&lt;&gt;Constants!$B$8,$BR62,IF(ISNUMBER($CA62),RANK($CA62,$CA$9:$CA$508,1),COUNT($CA$9:$CA$508)+1)))</f>
        <v/>
      </c>
      <c r="CC62" s="136" t="str">
        <f aca="false">IF($BR62&lt;&gt;Constants!$B$8,"",IF($BI62="-&gt;",IF($AT62,$AV62,""),IF($AL62,$AN62,"")))</f>
        <v/>
      </c>
      <c r="CD62" s="133" t="str">
        <f aca="false">IF(ISBLANK($C62),"",IF($BR62&lt;&gt;Constants!$B$8,$BR62,IF(ISNUMBER($CC62),RANK($CC62,$CC$9:$CC$508,1),COUNT($CC$9:$CC$508)+1)))</f>
        <v/>
      </c>
      <c r="CE62" s="136" t="str">
        <f aca="false">IF($BR62&lt;&gt;Constants!$B$8,"",IF(AND(NOT($AL62),NOT($AT62),$AJ62,$AK62,$AR62,$AS62),"",$AI62))</f>
        <v/>
      </c>
      <c r="CF62" s="133" t="str">
        <f aca="false">IF(ISBLANK($C62),"",IF($BR62&lt;&gt;Constants!$B$8,$BR62,IF(ISNUMBER($CE62),RANK($CE62,$CE$9:$CE$508,1),COUNT($CE$9:$CE$508)+1)))</f>
        <v/>
      </c>
      <c r="CG62" s="133" t="str">
        <f aca="false">IF(ISBLANK($C62),"",IF($BR62&lt;&gt;Constants!$B$8,$BR62,COUNTIFS($BX$9:$BX$508,"&lt;"&amp;$BX62)+COUNTIFS($BX$9:$BX$508,$BX62,$BZ$9:$BZ$508,"&lt;"&amp;$BZ62)+COUNTIFS($BX$9:$BX$508,$BX62,$BZ$9:$BZ$508,$BZ62,$CB$9:$CB$508,"&lt;"&amp;$CB62)+COUNTIFS($BX$9:$BX$508,$BX62,$BZ$9:$BZ$508,$BZ62,$CB$9:$CB$508,$CB62,$CD$9:$CD$508,"&lt;"&amp;$CD62)+COUNTIFS($BX$9:$BX$508,$BX62,$BZ$9:$BZ$508,$BZ62,$CB$9:$CB$508,$CB62,$CD$9:$CD$508,$CD62,$CF$9:$CF$508,"&lt;"&amp;$CF62)+1))</f>
        <v/>
      </c>
      <c r="CH62" s="133" t="str">
        <f aca="false">IF(ISBLANK($C62),"",IF($BR62&lt;&gt;Constants!$B$8,$BR62,$BX62-$CG62))</f>
        <v/>
      </c>
      <c r="CI62" s="138"/>
      <c r="CJ62" s="139"/>
      <c r="CK62" s="140" t="str">
        <f aca="false">IF(ISBLANK($C62),"",IF($BR62=Constants!$B$12,$BQ62,""))</f>
        <v/>
      </c>
      <c r="CL62" s="139" t="str">
        <f aca="false">IF(ISBLANK($C62),"",IF($BR62&lt;&gt;Constants!$B$8,"",IF($BI62="-&gt;",2,1)))</f>
        <v/>
      </c>
      <c r="CM62" s="141" t="str">
        <f aca="false">IF(ISBLANK($C62),"",IF($BR62&lt;&gt;Constants!$B$8,"",IF($BI62="-&gt;",$BK62,$BC62)))</f>
        <v/>
      </c>
      <c r="CN62" s="141" t="str">
        <f aca="false">IF(ISBLANK($C62),"",IF($BR62&lt;&gt;Constants!$B$8,"",IF($BI62="-&gt;",$BL62,$BD62)))</f>
        <v/>
      </c>
      <c r="CO62" s="141" t="str">
        <f aca="false">IF(ISBLANK($C62),"",IF($BR62&lt;&gt;Constants!$B$8,"",IF($BI62="-&gt;",$BM62+$BN62,$BE62+$BF62)+$BV62))</f>
        <v/>
      </c>
      <c r="CP62" s="141" t="str">
        <f aca="false">IF(ISBLANK($C62),"",IF($BR62&lt;&gt;Constants!$B$8,"",IF($BI62="-&gt;",$BO62,$BG62)+$BU62))</f>
        <v/>
      </c>
      <c r="CQ62" s="142" t="str">
        <f aca="false">IF(ISBLANK($C62),"",IF($BR62&lt;&gt;Constants!$B$8,$BR62,$BW62))</f>
        <v/>
      </c>
      <c r="CR62" s="143" t="str">
        <f aca="false">IF(ISBLANK($C62),"",$BS62)</f>
        <v/>
      </c>
      <c r="CS62" s="144" t="str">
        <f aca="false">IF(ISBLANK($C62),"",$CH62)</f>
        <v/>
      </c>
      <c r="CT62" s="144" t="str">
        <f aca="false">IF(ISBLANK($C62),"",$CG62)</f>
        <v/>
      </c>
      <c r="CU62" s="145" t="str">
        <f aca="false">IF(ISBLANK($C62),"",IFERROR(_xlfn.SWITCH($CT62,Constants!$B$11,COUNTA($C$9:$C$508)+2,Constants!$B$10,COUNTA($C$9:$C$508)+1,Constants!$B$9,COUNTA($C$9:$C$508)),$CT62))</f>
        <v/>
      </c>
      <c r="CV62" s="9"/>
      <c r="CW62" s="146" t="n">
        <f aca="false">IF(OR(ISNUMBER($CT62),$CT62=Constants!$B$11,$CT62=Constants!$B$9,$CT62=Constants!$B$10),1,0)</f>
        <v>0</v>
      </c>
      <c r="CX62" s="146" t="n">
        <v>54</v>
      </c>
      <c r="CY62" s="146" t="str">
        <f aca="false">IF(ISBLANK($C62),"",IF(ISNUMBER($CU62),$CU62+ROW($B62)/1000,""))</f>
        <v/>
      </c>
      <c r="CZ62" s="146" t="str">
        <f aca="false">IF(ISNUMBER($CY62),RANK($CY62,$CY$9:$CY$508,1),"")</f>
        <v/>
      </c>
      <c r="DA62" s="146" t="str">
        <f aca="false">IF(ISBLANK($C62),"",$B62)</f>
        <v/>
      </c>
      <c r="DB62" s="146" t="str">
        <f aca="false">IF(ISBLANK($C62),"",$C62)</f>
        <v/>
      </c>
      <c r="DC62" s="146" t="str">
        <f aca="false">IF(ISBLANK($C62),"",$D62)</f>
        <v/>
      </c>
      <c r="DD62" s="147" t="str">
        <f aca="false">$CR62</f>
        <v/>
      </c>
      <c r="DE62" s="148" t="str">
        <f aca="false">$CQ62</f>
        <v/>
      </c>
      <c r="DF62" s="146" t="str">
        <f aca="false">IF(ISBLANK($C62),"",$CT62)</f>
        <v/>
      </c>
      <c r="DG62" s="149" t="str">
        <f aca="false">IF($CX62&gt;$CW$8,"",VLOOKUP($CX62,$CZ$9:$DF$508,7,FALSE()))</f>
        <v/>
      </c>
      <c r="DH62" s="150" t="str">
        <f aca="false">IF($CX62&gt;$CW$8,"",VLOOKUP($CX62,$CZ$9:$DF$508,2,FALSE()))</f>
        <v/>
      </c>
      <c r="DI62" s="150" t="str">
        <f aca="false">IF($CX62&gt;$CW$8,"",VLOOKUP($CX62,$CZ$9:$DF$508,3,FALSE()))</f>
        <v/>
      </c>
      <c r="DJ62" s="150" t="str">
        <f aca="false">IF($CX62&gt;$CW$8,"",VLOOKUP($CX62,$CZ$9:$DF$508,4,FALSE()))</f>
        <v/>
      </c>
      <c r="DK62" s="150" t="str">
        <f aca="false">IF($CX62&gt;$CW$8,"",VLOOKUP($CX62,$CZ$9:$DF$508,5,FALSE()))</f>
        <v/>
      </c>
      <c r="DL62" s="151" t="str">
        <f aca="false">IF($CX62&gt;$CW$8,"",VLOOKUP($CX62,$CZ$9:$DF$508,6,FALSE()))</f>
        <v/>
      </c>
      <c r="DM62" s="75"/>
    </row>
    <row r="63" customFormat="false" ht="15.75" hidden="false" customHeight="false" outlineLevel="0" collapsed="false">
      <c r="A63" s="9"/>
      <c r="B63" s="77"/>
      <c r="C63" s="78"/>
      <c r="D63" s="167"/>
      <c r="E63" s="175"/>
      <c r="F63" s="169"/>
      <c r="G63" s="170"/>
      <c r="H63" s="170"/>
      <c r="I63" s="176"/>
      <c r="J63" s="173"/>
      <c r="K63" s="85"/>
      <c r="L63" s="86"/>
      <c r="M63" s="87"/>
      <c r="N63" s="173"/>
      <c r="O63" s="173"/>
      <c r="P63" s="175"/>
      <c r="Q63" s="173"/>
      <c r="R63" s="173"/>
      <c r="S63" s="85"/>
      <c r="T63" s="87"/>
      <c r="U63" s="87"/>
      <c r="V63" s="173"/>
      <c r="W63" s="173"/>
      <c r="X63" s="175"/>
      <c r="Y63" s="173"/>
      <c r="Z63" s="174"/>
      <c r="AA63" s="173"/>
      <c r="AB63" s="91"/>
      <c r="AC63" s="92"/>
      <c r="AD63" s="92"/>
      <c r="AE63" s="92"/>
      <c r="AF63" s="92" t="str">
        <f aca="false">IF(ISBLANK($C63),"",IF(E63=Constants!$B$3,TRUE(),IF(E63=Constants!$B$4,FALSE(),TRUE())))</f>
        <v/>
      </c>
      <c r="AG63" s="92" t="str">
        <f aca="false">IF(ISBLANK($C63),"",IF(F63=Constants!$B$3,TRUE(),IF(F63=Constants!$B$4,FALSE(),TRUE())))</f>
        <v/>
      </c>
      <c r="AH63" s="92" t="str">
        <f aca="false">IF(ISBLANK($C63),"",IF(G63=Constants!$B$3,TRUE(),IF(G63=Constants!$B$4,FALSE(),TRUE())))</f>
        <v/>
      </c>
      <c r="AI63" s="92" t="str">
        <f aca="false">IF(ISBLANK($C63),"",IF(AND(ISNUMBER(H63),H63&gt;=0),H63,Constants!$B$29))</f>
        <v/>
      </c>
      <c r="AJ63" s="92" t="str">
        <f aca="false">IF(ISBLANK($C63),"",IF(I63=Constants!$B$3,TRUE(),IF(I63=Constants!$B$4,FALSE(),TRUE())))</f>
        <v/>
      </c>
      <c r="AK63" s="92" t="str">
        <f aca="false">IF(ISBLANK($C63),"",IF(J63=Constants!$B$3,TRUE(),IF(J63=Constants!$B$4,FALSE(),TRUE())))</f>
        <v/>
      </c>
      <c r="AL63" s="92" t="str">
        <f aca="false">IF(ISBLANK($C63),"",IF(K63=Constants!$B$5,TRUE(),IF(K63=Constants!$B$6,FALSE(),COUNTA(L63:P63)&gt;0)))</f>
        <v/>
      </c>
      <c r="AM63" s="94" t="str">
        <f aca="false">IF(ISBLANK($C63),"",IF(ISNUMBER(L63),IF(L63&gt;=0,L63,""),""))</f>
        <v/>
      </c>
      <c r="AN63" s="93" t="str">
        <f aca="false">IF(ISBLANK($C63),"",IF(ISNUMBER(M63),IF(M63&gt;=0,M63,""),""))</f>
        <v/>
      </c>
      <c r="AO63" s="93" t="str">
        <f aca="false">IF(ISBLANK($C63),"",IF(N63=Constants!$B$3,TRUE(),IF(N63=Constants!$B$4,FALSE(),TRUE())))</f>
        <v/>
      </c>
      <c r="AP63" s="92" t="str">
        <f aca="false">IF(ISBLANK($C63),"",IF(ISNUMBER(O63),IF(O63&gt;=0,O63,""),""))</f>
        <v/>
      </c>
      <c r="AQ63" s="92" t="str">
        <f aca="false">IF(ISBLANK($C63),"",IF(P63=Constants!$B$3,TRUE(),IF(P63=Constants!$B$4,FALSE(),FALSE())))</f>
        <v/>
      </c>
      <c r="AR63" s="92" t="str">
        <f aca="false">IF(ISBLANK($C63),"",IF(Q63=Constants!$B$3,TRUE(),IF(Q63=Constants!$B$4,FALSE(),TRUE())))</f>
        <v/>
      </c>
      <c r="AS63" s="92" t="str">
        <f aca="false">IF(ISBLANK($C63),"",IF(R63=Constants!$B$3,TRUE(),IF(R63=Constants!$B$4,FALSE(),TRUE())))</f>
        <v/>
      </c>
      <c r="AT63" s="92" t="str">
        <f aca="false">IF(ISBLANK($C63),"",IF(S63=Constants!$B$5,TRUE(),IF(S63=Constants!$B$6,FALSE(),COUNTA(T63:X63)&gt;0)))</f>
        <v/>
      </c>
      <c r="AU63" s="94" t="str">
        <f aca="false">IF(ISBLANK($C63),"",IF(ISNUMBER(T63),IF(T63&gt;=0,T63,""),""))</f>
        <v/>
      </c>
      <c r="AV63" s="93" t="str">
        <f aca="false">IF(ISBLANK($C63),"",IF(ISNUMBER(U63),IF(U63&gt;=0,U63,""),""))</f>
        <v/>
      </c>
      <c r="AW63" s="93" t="str">
        <f aca="false">IF(ISBLANK($C63),"",IF(V63=Constants!$B$3,TRUE(),IF(V63=Constants!$B$4,FALSE(),TRUE())))</f>
        <v/>
      </c>
      <c r="AX63" s="92" t="str">
        <f aca="false">IF(ISBLANK($C63),"",IF(ISNUMBER(W63),IF(W63&gt;=0,W63,""),""))</f>
        <v/>
      </c>
      <c r="AY63" s="92" t="str">
        <f aca="false">IF(ISBLANK($C63),"",IF(X63=Constants!$B$3,TRUE(),IF(X63=Constants!$B$4,FALSE(),FALSE())))</f>
        <v/>
      </c>
      <c r="AZ63" s="92" t="str">
        <f aca="false">IF(ISBLANK($C63),"",MIN(Constants!$B$31,MAX(0,IF(ISNUMBER(Y63),Y63*60,0)+IF(ISNUMBER(Z63),Z63,0))))</f>
        <v/>
      </c>
      <c r="BA63" s="92" t="str">
        <f aca="false">IF(ISBLANK($C63),"",IF(AA63=Constants!$B$3,TRUE(),IF(AA63=Constants!$B$4,FALSE(),FALSE())))</f>
        <v/>
      </c>
      <c r="BB63" s="91" t="str">
        <f aca="false">IF(ISBLANK($C63),"",AND($AL63,OR($AM63="",$AN63="",AND($AO63,$AP63=""))))</f>
        <v/>
      </c>
      <c r="BC63" s="93" t="str">
        <f aca="false">IF($BR63&lt;&gt;Constants!$B$8,"",IF($AL63,Constants!$B$21*$AN63+Constants!$B$22*IF($AO63,$AP63,Constants!$B$23),Constants!$B$24))</f>
        <v/>
      </c>
      <c r="BD63" s="96" t="str">
        <f aca="false">IF($BR63&lt;&gt;Constants!$B$8,"",Constants!$B$25*ABS($AD$9-IF($AL63,$AM63,0)))</f>
        <v/>
      </c>
      <c r="BE63" s="96" t="str">
        <f aca="false">IF($BR63&lt;&gt;Constants!$B$8,"",IF(AND($AL63,$AQ63,$AO63),Constants!$B$27,0))</f>
        <v/>
      </c>
      <c r="BF63" s="96" t="str">
        <f aca="false">IF($BR63&lt;&gt;Constants!$B$8,"",IF($AL63,($AI63-Constants!$B$29)*Constants!$B$28,0))</f>
        <v/>
      </c>
      <c r="BG63" s="96" t="str">
        <f aca="false">IF($BR63&lt;&gt;Constants!$B$8,"",IF($AK63,0,Constants!$B$15)+IF($AJ63,0,Constants!$B$16)+IF($AH63,0,Constants!$B$17))</f>
        <v/>
      </c>
      <c r="BH63" s="97" t="str">
        <f aca="false">IF($BR63&lt;&gt;Constants!$B$8,"",Constants!$B$20+SUM($BC63:$BG63))</f>
        <v/>
      </c>
      <c r="BI63" s="92" t="str">
        <f aca="false">IF($BR63&lt;&gt;Constants!$B$8,"",IF(OR($BP63&lt;$BH63,AND($BP63=$BH63,OR($BK63&lt;$BC63,AND($BK63=$BC63,OR($BL63&lt;$BD63,AND($BL63=$BD63,$AT63,$AL63,$AV63&lt;$AN63)))))),"-&gt;","&lt;-"))</f>
        <v/>
      </c>
      <c r="BJ63" s="91" t="str">
        <f aca="false">IF(ISBLANK($C63),"",AND($AT63,OR($AU63="",$AV63="",AND($AW63,$AX63=""))))</f>
        <v/>
      </c>
      <c r="BK63" s="93" t="str">
        <f aca="false">IF($BR63&lt;&gt;Constants!$B$8,"",IF($AT63,Constants!$B$21*$AV63+Constants!$B$22*IF($AW63,$AX63,Constants!$B$23),Constants!$B$24))</f>
        <v/>
      </c>
      <c r="BL63" s="96" t="str">
        <f aca="false">IF($BR63&lt;&gt;Constants!$B$8,"",Constants!$B$25*ABS($AD$9-IF($AT63,$AU63,0)))</f>
        <v/>
      </c>
      <c r="BM63" s="96" t="str">
        <f aca="false">IF($BR63&lt;&gt;Constants!$B$8,"",IF(AND($AT63,$AY63,$AW63),Constants!$B$27,0))</f>
        <v/>
      </c>
      <c r="BN63" s="96" t="str">
        <f aca="false">IF($BR63&lt;&gt;Constants!$B$8,"",IF($AT63,($AI63-Constants!$B$29)*Constants!$B$28,0))</f>
        <v/>
      </c>
      <c r="BO63" s="96" t="str">
        <f aca="false">IF($BR63&lt;&gt;Constants!$B$8,"",IF($AS63,0,Constants!$B$15)+IF($AR63,0,Constants!$B$16)+IF($AH63,0,Constants!$B$17))</f>
        <v/>
      </c>
      <c r="BP63" s="97" t="str">
        <f aca="false">IF($BR63&lt;&gt;Constants!$B$8,"",Constants!$B$20+SUM($BK63:$BO63))</f>
        <v/>
      </c>
      <c r="BQ63" s="92" t="str">
        <f aca="false">IF(ISBLANK($C63),"",IF(ISBLANK($D$7),$BQ$5,IF(NOT(ISNUMBER($D$7)),$BQ$6,"")))</f>
        <v/>
      </c>
      <c r="BR63" s="92" t="str">
        <f aca="false">IF(ISBLANK($C63),"",IF($BA63,Constants!$B$11,IF(COUNTA($E63:$AA63)=0,Constants!$B$10,IF(NOT($AG63),Constants!$B$9,IF(OR($BQ63&lt;&gt;"",$BB63,$BJ63),Constants!$B$12,Constants!$B$8)))))</f>
        <v/>
      </c>
      <c r="BS63" s="92" t="str">
        <f aca="false">IF(ISBLANK($C63),"",IF($BR63&lt;&gt;Constants!$B$8,$BR63,Constants!$B$13))</f>
        <v/>
      </c>
      <c r="BT63" s="96" t="str">
        <f aca="false">IF($BR63&lt;&gt;Constants!$B$8,"",IF($BI63="-&gt;",$BP63,$BH63))</f>
        <v/>
      </c>
      <c r="BU63" s="96" t="str">
        <f aca="false">IF($BR63&lt;&gt;Constants!$B$8,"",IF($AF63,0,Constants!$B$18))</f>
        <v/>
      </c>
      <c r="BV63" s="96" t="str">
        <f aca="false">IF($BR63&lt;&gt;Constants!$B$8,"",((Constants!$B$31-$AZ63)-Constants!$B$31)/Constants!$B$32)</f>
        <v/>
      </c>
      <c r="BW63" s="96" t="str">
        <f aca="false">IF(ISBLANK($C63),"",IF($BR63&lt;&gt;Constants!$B$8,$BR63,SUM($BT63:$BV63)))</f>
        <v/>
      </c>
      <c r="BX63" s="92" t="str">
        <f aca="false">IF(ISBLANK($C63),"",IF($BR63&lt;&gt;Constants!$B$8,$BR63,RANK($BW63,$BW$9:$BW$508,1)))</f>
        <v/>
      </c>
      <c r="BY63" s="96" t="str">
        <f aca="false">IF($BR63&lt;&gt;Constants!$B$8,"",IF($BI63="-&gt;",$BK63,$BC63))</f>
        <v/>
      </c>
      <c r="BZ63" s="92" t="str">
        <f aca="false">IF(ISBLANK($C63),"",IF($BR63&lt;&gt;Constants!$B$8,$BR63,IF(ISNUMBER($BY63),RANK($BY63,$BY$9:$BY$508,1),COUNT($BY$9:$BY$508)+1)))</f>
        <v/>
      </c>
      <c r="CA63" s="96" t="str">
        <f aca="false">IF($BR63&lt;&gt;Constants!$B$8,"",IF($BI63="-&gt;",$BL63,$BD63))</f>
        <v/>
      </c>
      <c r="CB63" s="92" t="str">
        <f aca="false">IF(ISBLANK($C63),"",IF($BR63&lt;&gt;Constants!$B$8,$BR63,IF(ISNUMBER($CA63),RANK($CA63,$CA$9:$CA$508,1),COUNT($CA$9:$CA$508)+1)))</f>
        <v/>
      </c>
      <c r="CC63" s="96" t="str">
        <f aca="false">IF($BR63&lt;&gt;Constants!$B$8,"",IF($BI63="-&gt;",IF($AT63,$AV63,""),IF($AL63,$AN63,"")))</f>
        <v/>
      </c>
      <c r="CD63" s="92" t="str">
        <f aca="false">IF(ISBLANK($C63),"",IF($BR63&lt;&gt;Constants!$B$8,$BR63,IF(ISNUMBER($CC63),RANK($CC63,$CC$9:$CC$508,1),COUNT($CC$9:$CC$508)+1)))</f>
        <v/>
      </c>
      <c r="CE63" s="96" t="str">
        <f aca="false">IF($BR63&lt;&gt;Constants!$B$8,"",IF(AND(NOT($AL63),NOT($AT63),$AJ63,$AK63,$AR63,$AS63),"",$AI63))</f>
        <v/>
      </c>
      <c r="CF63" s="92" t="str">
        <f aca="false">IF(ISBLANK($C63),"",IF($BR63&lt;&gt;Constants!$B$8,$BR63,IF(ISNUMBER($CE63),RANK($CE63,$CE$9:$CE$508,1),COUNT($CE$9:$CE$508)+1)))</f>
        <v/>
      </c>
      <c r="CG63" s="92" t="str">
        <f aca="false">IF(ISBLANK($C63),"",IF($BR63&lt;&gt;Constants!$B$8,$BR63,COUNTIFS($BX$9:$BX$508,"&lt;"&amp;$BX63)+COUNTIFS($BX$9:$BX$508,$BX63,$BZ$9:$BZ$508,"&lt;"&amp;$BZ63)+COUNTIFS($BX$9:$BX$508,$BX63,$BZ$9:$BZ$508,$BZ63,$CB$9:$CB$508,"&lt;"&amp;$CB63)+COUNTIFS($BX$9:$BX$508,$BX63,$BZ$9:$BZ$508,$BZ63,$CB$9:$CB$508,$CB63,$CD$9:$CD$508,"&lt;"&amp;$CD63)+COUNTIFS($BX$9:$BX$508,$BX63,$BZ$9:$BZ$508,$BZ63,$CB$9:$CB$508,$CB63,$CD$9:$CD$508,$CD63,$CF$9:$CF$508,"&lt;"&amp;$CF63)+1))</f>
        <v/>
      </c>
      <c r="CH63" s="92" t="str">
        <f aca="false">IF(ISBLANK($C63),"",IF($BR63&lt;&gt;Constants!$B$8,$BR63,$BX63-$CG63))</f>
        <v/>
      </c>
      <c r="CI63" s="98"/>
      <c r="CJ63" s="99"/>
      <c r="CK63" s="100" t="str">
        <f aca="false">IF(ISBLANK($C63),"",IF($BR63=Constants!$B$12,$BQ63,""))</f>
        <v/>
      </c>
      <c r="CL63" s="99" t="str">
        <f aca="false">IF(ISBLANK($C63),"",IF($BR63&lt;&gt;Constants!$B$8,"",IF($BI63="-&gt;",2,1)))</f>
        <v/>
      </c>
      <c r="CM63" s="101" t="str">
        <f aca="false">IF(ISBLANK($C63),"",IF($BR63&lt;&gt;Constants!$B$8,"",IF($BI63="-&gt;",$BK63,$BC63)))</f>
        <v/>
      </c>
      <c r="CN63" s="101" t="str">
        <f aca="false">IF(ISBLANK($C63),"",IF($BR63&lt;&gt;Constants!$B$8,"",IF($BI63="-&gt;",$BL63,$BD63)))</f>
        <v/>
      </c>
      <c r="CO63" s="101" t="str">
        <f aca="false">IF(ISBLANK($C63),"",IF($BR63&lt;&gt;Constants!$B$8,"",IF($BI63="-&gt;",$BM63+$BN63,$BE63+$BF63)+$BV63))</f>
        <v/>
      </c>
      <c r="CP63" s="101" t="str">
        <f aca="false">IF(ISBLANK($C63),"",IF($BR63&lt;&gt;Constants!$B$8,"",IF($BI63="-&gt;",$BO63,$BG63)+$BU63))</f>
        <v/>
      </c>
      <c r="CQ63" s="102" t="str">
        <f aca="false">IF(ISBLANK($C63),"",IF($BR63&lt;&gt;Constants!$B$8,$BR63,$BW63))</f>
        <v/>
      </c>
      <c r="CR63" s="103" t="str">
        <f aca="false">IF(ISBLANK($C63),"",$BS63)</f>
        <v/>
      </c>
      <c r="CS63" s="104" t="str">
        <f aca="false">IF(ISBLANK($C63),"",$CH63)</f>
        <v/>
      </c>
      <c r="CT63" s="104" t="str">
        <f aca="false">IF(ISBLANK($C63),"",$CG63)</f>
        <v/>
      </c>
      <c r="CU63" s="105" t="str">
        <f aca="false">IF(ISBLANK($C63),"",IFERROR(_xlfn.SWITCH($CT63,Constants!$B$11,COUNTA($C$9:$C$508)+2,Constants!$B$10,COUNTA($C$9:$C$508)+1,Constants!$B$9,COUNTA($C$9:$C$508)),$CT63))</f>
        <v/>
      </c>
      <c r="CV63" s="9"/>
      <c r="CW63" s="106" t="n">
        <f aca="false">IF(OR(ISNUMBER($CT63),$CT63=Constants!$B$11,$CT63=Constants!$B$9,$CT63=Constants!$B$10),1,0)</f>
        <v>0</v>
      </c>
      <c r="CX63" s="106" t="n">
        <v>55</v>
      </c>
      <c r="CY63" s="106" t="str">
        <f aca="false">IF(ISBLANK($C63),"",IF(ISNUMBER($CU63),$CU63+ROW($B63)/1000,""))</f>
        <v/>
      </c>
      <c r="CZ63" s="106" t="str">
        <f aca="false">IF(ISNUMBER($CY63),RANK($CY63,$CY$9:$CY$508,1),"")</f>
        <v/>
      </c>
      <c r="DA63" s="106" t="str">
        <f aca="false">IF(ISBLANK($C63),"",$B63)</f>
        <v/>
      </c>
      <c r="DB63" s="106" t="str">
        <f aca="false">IF(ISBLANK($C63),"",$C63)</f>
        <v/>
      </c>
      <c r="DC63" s="106" t="str">
        <f aca="false">IF(ISBLANK($C63),"",$D63)</f>
        <v/>
      </c>
      <c r="DD63" s="107" t="str">
        <f aca="false">$CR63</f>
        <v/>
      </c>
      <c r="DE63" s="108" t="str">
        <f aca="false">$CQ63</f>
        <v/>
      </c>
      <c r="DF63" s="106" t="str">
        <f aca="false">IF(ISBLANK($C63),"",$CT63)</f>
        <v/>
      </c>
      <c r="DG63" s="109" t="str">
        <f aca="false">IF($CX63&gt;$CW$8,"",VLOOKUP($CX63,$CZ$9:$DF$508,7,FALSE()))</f>
        <v/>
      </c>
      <c r="DH63" s="110" t="str">
        <f aca="false">IF($CX63&gt;$CW$8,"",VLOOKUP($CX63,$CZ$9:$DF$508,2,FALSE()))</f>
        <v/>
      </c>
      <c r="DI63" s="110" t="str">
        <f aca="false">IF($CX63&gt;$CW$8,"",VLOOKUP($CX63,$CZ$9:$DF$508,3,FALSE()))</f>
        <v/>
      </c>
      <c r="DJ63" s="110" t="str">
        <f aca="false">IF($CX63&gt;$CW$8,"",VLOOKUP($CX63,$CZ$9:$DF$508,4,FALSE()))</f>
        <v/>
      </c>
      <c r="DK63" s="110" t="str">
        <f aca="false">IF($CX63&gt;$CW$8,"",VLOOKUP($CX63,$CZ$9:$DF$508,5,FALSE()))</f>
        <v/>
      </c>
      <c r="DL63" s="111" t="str">
        <f aca="false">IF($CX63&gt;$CW$8,"",VLOOKUP($CX63,$CZ$9:$DF$508,6,FALSE()))</f>
        <v/>
      </c>
      <c r="DM63" s="75"/>
    </row>
    <row r="64" customFormat="false" ht="15.75" hidden="false" customHeight="false" outlineLevel="0" collapsed="false">
      <c r="A64" s="9"/>
      <c r="B64" s="77"/>
      <c r="C64" s="78"/>
      <c r="D64" s="167"/>
      <c r="E64" s="175"/>
      <c r="F64" s="169"/>
      <c r="G64" s="170"/>
      <c r="H64" s="170"/>
      <c r="I64" s="176"/>
      <c r="J64" s="173"/>
      <c r="K64" s="85"/>
      <c r="L64" s="86"/>
      <c r="M64" s="87"/>
      <c r="N64" s="173"/>
      <c r="O64" s="173"/>
      <c r="P64" s="175"/>
      <c r="Q64" s="173"/>
      <c r="R64" s="173"/>
      <c r="S64" s="85"/>
      <c r="T64" s="87"/>
      <c r="U64" s="87"/>
      <c r="V64" s="173"/>
      <c r="W64" s="173"/>
      <c r="X64" s="175"/>
      <c r="Y64" s="173"/>
      <c r="Z64" s="174"/>
      <c r="AA64" s="173"/>
      <c r="AB64" s="91"/>
      <c r="AC64" s="92"/>
      <c r="AD64" s="92"/>
      <c r="AE64" s="92"/>
      <c r="AF64" s="92" t="str">
        <f aca="false">IF(ISBLANK($C64),"",IF(E64=Constants!$B$3,TRUE(),IF(E64=Constants!$B$4,FALSE(),TRUE())))</f>
        <v/>
      </c>
      <c r="AG64" s="92" t="str">
        <f aca="false">IF(ISBLANK($C64),"",IF(F64=Constants!$B$3,TRUE(),IF(F64=Constants!$B$4,FALSE(),TRUE())))</f>
        <v/>
      </c>
      <c r="AH64" s="92" t="str">
        <f aca="false">IF(ISBLANK($C64),"",IF(G64=Constants!$B$3,TRUE(),IF(G64=Constants!$B$4,FALSE(),TRUE())))</f>
        <v/>
      </c>
      <c r="AI64" s="92" t="str">
        <f aca="false">IF(ISBLANK($C64),"",IF(AND(ISNUMBER(H64),H64&gt;=0),H64,Constants!$B$29))</f>
        <v/>
      </c>
      <c r="AJ64" s="92" t="str">
        <f aca="false">IF(ISBLANK($C64),"",IF(I64=Constants!$B$3,TRUE(),IF(I64=Constants!$B$4,FALSE(),TRUE())))</f>
        <v/>
      </c>
      <c r="AK64" s="92" t="str">
        <f aca="false">IF(ISBLANK($C64),"",IF(J64=Constants!$B$3,TRUE(),IF(J64=Constants!$B$4,FALSE(),TRUE())))</f>
        <v/>
      </c>
      <c r="AL64" s="92" t="str">
        <f aca="false">IF(ISBLANK($C64),"",IF(K64=Constants!$B$5,TRUE(),IF(K64=Constants!$B$6,FALSE(),COUNTA(L64:P64)&gt;0)))</f>
        <v/>
      </c>
      <c r="AM64" s="94" t="str">
        <f aca="false">IF(ISBLANK($C64),"",IF(ISNUMBER(L64),IF(L64&gt;=0,L64,""),""))</f>
        <v/>
      </c>
      <c r="AN64" s="93" t="str">
        <f aca="false">IF(ISBLANK($C64),"",IF(ISNUMBER(M64),IF(M64&gt;=0,M64,""),""))</f>
        <v/>
      </c>
      <c r="AO64" s="93" t="str">
        <f aca="false">IF(ISBLANK($C64),"",IF(N64=Constants!$B$3,TRUE(),IF(N64=Constants!$B$4,FALSE(),TRUE())))</f>
        <v/>
      </c>
      <c r="AP64" s="92" t="str">
        <f aca="false">IF(ISBLANK($C64),"",IF(ISNUMBER(O64),IF(O64&gt;=0,O64,""),""))</f>
        <v/>
      </c>
      <c r="AQ64" s="92" t="str">
        <f aca="false">IF(ISBLANK($C64),"",IF(P64=Constants!$B$3,TRUE(),IF(P64=Constants!$B$4,FALSE(),FALSE())))</f>
        <v/>
      </c>
      <c r="AR64" s="92" t="str">
        <f aca="false">IF(ISBLANK($C64),"",IF(Q64=Constants!$B$3,TRUE(),IF(Q64=Constants!$B$4,FALSE(),TRUE())))</f>
        <v/>
      </c>
      <c r="AS64" s="92" t="str">
        <f aca="false">IF(ISBLANK($C64),"",IF(R64=Constants!$B$3,TRUE(),IF(R64=Constants!$B$4,FALSE(),TRUE())))</f>
        <v/>
      </c>
      <c r="AT64" s="92" t="str">
        <f aca="false">IF(ISBLANK($C64),"",IF(S64=Constants!$B$5,TRUE(),IF(S64=Constants!$B$6,FALSE(),COUNTA(T64:X64)&gt;0)))</f>
        <v/>
      </c>
      <c r="AU64" s="94" t="str">
        <f aca="false">IF(ISBLANK($C64),"",IF(ISNUMBER(T64),IF(T64&gt;=0,T64,""),""))</f>
        <v/>
      </c>
      <c r="AV64" s="93" t="str">
        <f aca="false">IF(ISBLANK($C64),"",IF(ISNUMBER(U64),IF(U64&gt;=0,U64,""),""))</f>
        <v/>
      </c>
      <c r="AW64" s="93" t="str">
        <f aca="false">IF(ISBLANK($C64),"",IF(V64=Constants!$B$3,TRUE(),IF(V64=Constants!$B$4,FALSE(),TRUE())))</f>
        <v/>
      </c>
      <c r="AX64" s="92" t="str">
        <f aca="false">IF(ISBLANK($C64),"",IF(ISNUMBER(W64),IF(W64&gt;=0,W64,""),""))</f>
        <v/>
      </c>
      <c r="AY64" s="92" t="str">
        <f aca="false">IF(ISBLANK($C64),"",IF(X64=Constants!$B$3,TRUE(),IF(X64=Constants!$B$4,FALSE(),FALSE())))</f>
        <v/>
      </c>
      <c r="AZ64" s="92" t="str">
        <f aca="false">IF(ISBLANK($C64),"",MIN(Constants!$B$31,MAX(0,IF(ISNUMBER(Y64),Y64*60,0)+IF(ISNUMBER(Z64),Z64,0))))</f>
        <v/>
      </c>
      <c r="BA64" s="92" t="str">
        <f aca="false">IF(ISBLANK($C64),"",IF(AA64=Constants!$B$3,TRUE(),IF(AA64=Constants!$B$4,FALSE(),FALSE())))</f>
        <v/>
      </c>
      <c r="BB64" s="91" t="str">
        <f aca="false">IF(ISBLANK($C64),"",AND($AL64,OR($AM64="",$AN64="",AND($AO64,$AP64=""))))</f>
        <v/>
      </c>
      <c r="BC64" s="93" t="str">
        <f aca="false">IF($BR64&lt;&gt;Constants!$B$8,"",IF($AL64,Constants!$B$21*$AN64+Constants!$B$22*IF($AO64,$AP64,Constants!$B$23),Constants!$B$24))</f>
        <v/>
      </c>
      <c r="BD64" s="96" t="str">
        <f aca="false">IF($BR64&lt;&gt;Constants!$B$8,"",Constants!$B$25*ABS($AD$9-IF($AL64,$AM64,0)))</f>
        <v/>
      </c>
      <c r="BE64" s="96" t="str">
        <f aca="false">IF($BR64&lt;&gt;Constants!$B$8,"",IF(AND($AL64,$AQ64,$AO64),Constants!$B$27,0))</f>
        <v/>
      </c>
      <c r="BF64" s="96" t="str">
        <f aca="false">IF($BR64&lt;&gt;Constants!$B$8,"",IF($AL64,($AI64-Constants!$B$29)*Constants!$B$28,0))</f>
        <v/>
      </c>
      <c r="BG64" s="96" t="str">
        <f aca="false">IF($BR64&lt;&gt;Constants!$B$8,"",IF($AK64,0,Constants!$B$15)+IF($AJ64,0,Constants!$B$16)+IF($AH64,0,Constants!$B$17))</f>
        <v/>
      </c>
      <c r="BH64" s="97" t="str">
        <f aca="false">IF($BR64&lt;&gt;Constants!$B$8,"",Constants!$B$20+SUM($BC64:$BG64))</f>
        <v/>
      </c>
      <c r="BI64" s="92" t="str">
        <f aca="false">IF($BR64&lt;&gt;Constants!$B$8,"",IF(OR($BP64&lt;$BH64,AND($BP64=$BH64,OR($BK64&lt;$BC64,AND($BK64=$BC64,OR($BL64&lt;$BD64,AND($BL64=$BD64,$AT64,$AL64,$AV64&lt;$AN64)))))),"-&gt;","&lt;-"))</f>
        <v/>
      </c>
      <c r="BJ64" s="91" t="str">
        <f aca="false">IF(ISBLANK($C64),"",AND($AT64,OR($AU64="",$AV64="",AND($AW64,$AX64=""))))</f>
        <v/>
      </c>
      <c r="BK64" s="93" t="str">
        <f aca="false">IF($BR64&lt;&gt;Constants!$B$8,"",IF($AT64,Constants!$B$21*$AV64+Constants!$B$22*IF($AW64,$AX64,Constants!$B$23),Constants!$B$24))</f>
        <v/>
      </c>
      <c r="BL64" s="96" t="str">
        <f aca="false">IF($BR64&lt;&gt;Constants!$B$8,"",Constants!$B$25*ABS($AD$9-IF($AT64,$AU64,0)))</f>
        <v/>
      </c>
      <c r="BM64" s="96" t="str">
        <f aca="false">IF($BR64&lt;&gt;Constants!$B$8,"",IF(AND($AT64,$AY64,$AW64),Constants!$B$27,0))</f>
        <v/>
      </c>
      <c r="BN64" s="96" t="str">
        <f aca="false">IF($BR64&lt;&gt;Constants!$B$8,"",IF($AT64,($AI64-Constants!$B$29)*Constants!$B$28,0))</f>
        <v/>
      </c>
      <c r="BO64" s="96" t="str">
        <f aca="false">IF($BR64&lt;&gt;Constants!$B$8,"",IF($AS64,0,Constants!$B$15)+IF($AR64,0,Constants!$B$16)+IF($AH64,0,Constants!$B$17))</f>
        <v/>
      </c>
      <c r="BP64" s="97" t="str">
        <f aca="false">IF($BR64&lt;&gt;Constants!$B$8,"",Constants!$B$20+SUM($BK64:$BO64))</f>
        <v/>
      </c>
      <c r="BQ64" s="92" t="str">
        <f aca="false">IF(ISBLANK($C64),"",IF(ISBLANK($D$7),$BQ$5,IF(NOT(ISNUMBER($D$7)),$BQ$6,"")))</f>
        <v/>
      </c>
      <c r="BR64" s="92" t="str">
        <f aca="false">IF(ISBLANK($C64),"",IF($BA64,Constants!$B$11,IF(COUNTA($E64:$AA64)=0,Constants!$B$10,IF(NOT($AG64),Constants!$B$9,IF(OR($BQ64&lt;&gt;"",$BB64,$BJ64),Constants!$B$12,Constants!$B$8)))))</f>
        <v/>
      </c>
      <c r="BS64" s="92" t="str">
        <f aca="false">IF(ISBLANK($C64),"",IF($BR64&lt;&gt;Constants!$B$8,$BR64,Constants!$B$13))</f>
        <v/>
      </c>
      <c r="BT64" s="96" t="str">
        <f aca="false">IF($BR64&lt;&gt;Constants!$B$8,"",IF($BI64="-&gt;",$BP64,$BH64))</f>
        <v/>
      </c>
      <c r="BU64" s="96" t="str">
        <f aca="false">IF($BR64&lt;&gt;Constants!$B$8,"",IF($AF64,0,Constants!$B$18))</f>
        <v/>
      </c>
      <c r="BV64" s="96" t="str">
        <f aca="false">IF($BR64&lt;&gt;Constants!$B$8,"",((Constants!$B$31-$AZ64)-Constants!$B$31)/Constants!$B$32)</f>
        <v/>
      </c>
      <c r="BW64" s="96" t="str">
        <f aca="false">IF(ISBLANK($C64),"",IF($BR64&lt;&gt;Constants!$B$8,$BR64,SUM($BT64:$BV64)))</f>
        <v/>
      </c>
      <c r="BX64" s="92" t="str">
        <f aca="false">IF(ISBLANK($C64),"",IF($BR64&lt;&gt;Constants!$B$8,$BR64,RANK($BW64,$BW$9:$BW$508,1)))</f>
        <v/>
      </c>
      <c r="BY64" s="96" t="str">
        <f aca="false">IF($BR64&lt;&gt;Constants!$B$8,"",IF($BI64="-&gt;",$BK64,$BC64))</f>
        <v/>
      </c>
      <c r="BZ64" s="92" t="str">
        <f aca="false">IF(ISBLANK($C64),"",IF($BR64&lt;&gt;Constants!$B$8,$BR64,IF(ISNUMBER($BY64),RANK($BY64,$BY$9:$BY$508,1),COUNT($BY$9:$BY$508)+1)))</f>
        <v/>
      </c>
      <c r="CA64" s="96" t="str">
        <f aca="false">IF($BR64&lt;&gt;Constants!$B$8,"",IF($BI64="-&gt;",$BL64,$BD64))</f>
        <v/>
      </c>
      <c r="CB64" s="92" t="str">
        <f aca="false">IF(ISBLANK($C64),"",IF($BR64&lt;&gt;Constants!$B$8,$BR64,IF(ISNUMBER($CA64),RANK($CA64,$CA$9:$CA$508,1),COUNT($CA$9:$CA$508)+1)))</f>
        <v/>
      </c>
      <c r="CC64" s="96" t="str">
        <f aca="false">IF($BR64&lt;&gt;Constants!$B$8,"",IF($BI64="-&gt;",IF($AT64,$AV64,""),IF($AL64,$AN64,"")))</f>
        <v/>
      </c>
      <c r="CD64" s="92" t="str">
        <f aca="false">IF(ISBLANK($C64),"",IF($BR64&lt;&gt;Constants!$B$8,$BR64,IF(ISNUMBER($CC64),RANK($CC64,$CC$9:$CC$508,1),COUNT($CC$9:$CC$508)+1)))</f>
        <v/>
      </c>
      <c r="CE64" s="96" t="str">
        <f aca="false">IF($BR64&lt;&gt;Constants!$B$8,"",IF(AND(NOT($AL64),NOT($AT64),$AJ64,$AK64,$AR64,$AS64),"",$AI64))</f>
        <v/>
      </c>
      <c r="CF64" s="92" t="str">
        <f aca="false">IF(ISBLANK($C64),"",IF($BR64&lt;&gt;Constants!$B$8,$BR64,IF(ISNUMBER($CE64),RANK($CE64,$CE$9:$CE$508,1),COUNT($CE$9:$CE$508)+1)))</f>
        <v/>
      </c>
      <c r="CG64" s="92" t="str">
        <f aca="false">IF(ISBLANK($C64),"",IF($BR64&lt;&gt;Constants!$B$8,$BR64,COUNTIFS($BX$9:$BX$508,"&lt;"&amp;$BX64)+COUNTIFS($BX$9:$BX$508,$BX64,$BZ$9:$BZ$508,"&lt;"&amp;$BZ64)+COUNTIFS($BX$9:$BX$508,$BX64,$BZ$9:$BZ$508,$BZ64,$CB$9:$CB$508,"&lt;"&amp;$CB64)+COUNTIFS($BX$9:$BX$508,$BX64,$BZ$9:$BZ$508,$BZ64,$CB$9:$CB$508,$CB64,$CD$9:$CD$508,"&lt;"&amp;$CD64)+COUNTIFS($BX$9:$BX$508,$BX64,$BZ$9:$BZ$508,$BZ64,$CB$9:$CB$508,$CB64,$CD$9:$CD$508,$CD64,$CF$9:$CF$508,"&lt;"&amp;$CF64)+1))</f>
        <v/>
      </c>
      <c r="CH64" s="92" t="str">
        <f aca="false">IF(ISBLANK($C64),"",IF($BR64&lt;&gt;Constants!$B$8,$BR64,$BX64-$CG64))</f>
        <v/>
      </c>
      <c r="CI64" s="98"/>
      <c r="CJ64" s="99"/>
      <c r="CK64" s="100" t="str">
        <f aca="false">IF(ISBLANK($C64),"",IF($BR64=Constants!$B$12,$BQ64,""))</f>
        <v/>
      </c>
      <c r="CL64" s="99" t="str">
        <f aca="false">IF(ISBLANK($C64),"",IF($BR64&lt;&gt;Constants!$B$8,"",IF($BI64="-&gt;",2,1)))</f>
        <v/>
      </c>
      <c r="CM64" s="101" t="str">
        <f aca="false">IF(ISBLANK($C64),"",IF($BR64&lt;&gt;Constants!$B$8,"",IF($BI64="-&gt;",$BK64,$BC64)))</f>
        <v/>
      </c>
      <c r="CN64" s="101" t="str">
        <f aca="false">IF(ISBLANK($C64),"",IF($BR64&lt;&gt;Constants!$B$8,"",IF($BI64="-&gt;",$BL64,$BD64)))</f>
        <v/>
      </c>
      <c r="CO64" s="101" t="str">
        <f aca="false">IF(ISBLANK($C64),"",IF($BR64&lt;&gt;Constants!$B$8,"",IF($BI64="-&gt;",$BM64+$BN64,$BE64+$BF64)+$BV64))</f>
        <v/>
      </c>
      <c r="CP64" s="101" t="str">
        <f aca="false">IF(ISBLANK($C64),"",IF($BR64&lt;&gt;Constants!$B$8,"",IF($BI64="-&gt;",$BO64,$BG64)+$BU64))</f>
        <v/>
      </c>
      <c r="CQ64" s="102" t="str">
        <f aca="false">IF(ISBLANK($C64),"",IF($BR64&lt;&gt;Constants!$B$8,$BR64,$BW64))</f>
        <v/>
      </c>
      <c r="CR64" s="103" t="str">
        <f aca="false">IF(ISBLANK($C64),"",$BS64)</f>
        <v/>
      </c>
      <c r="CS64" s="104" t="str">
        <f aca="false">IF(ISBLANK($C64),"",$CH64)</f>
        <v/>
      </c>
      <c r="CT64" s="104" t="str">
        <f aca="false">IF(ISBLANK($C64),"",$CG64)</f>
        <v/>
      </c>
      <c r="CU64" s="105" t="str">
        <f aca="false">IF(ISBLANK($C64),"",IFERROR(_xlfn.SWITCH($CT64,Constants!$B$11,COUNTA($C$9:$C$508)+2,Constants!$B$10,COUNTA($C$9:$C$508)+1,Constants!$B$9,COUNTA($C$9:$C$508)),$CT64))</f>
        <v/>
      </c>
      <c r="CV64" s="9"/>
      <c r="CW64" s="106" t="n">
        <f aca="false">IF(OR(ISNUMBER($CT64),$CT64=Constants!$B$11,$CT64=Constants!$B$9,$CT64=Constants!$B$10),1,0)</f>
        <v>0</v>
      </c>
      <c r="CX64" s="106" t="n">
        <v>56</v>
      </c>
      <c r="CY64" s="106" t="str">
        <f aca="false">IF(ISBLANK($C64),"",IF(ISNUMBER($CU64),$CU64+ROW($B64)/1000,""))</f>
        <v/>
      </c>
      <c r="CZ64" s="106" t="str">
        <f aca="false">IF(ISNUMBER($CY64),RANK($CY64,$CY$9:$CY$508,1),"")</f>
        <v/>
      </c>
      <c r="DA64" s="106" t="str">
        <f aca="false">IF(ISBLANK($C64),"",$B64)</f>
        <v/>
      </c>
      <c r="DB64" s="106" t="str">
        <f aca="false">IF(ISBLANK($C64),"",$C64)</f>
        <v/>
      </c>
      <c r="DC64" s="106" t="str">
        <f aca="false">IF(ISBLANK($C64),"",$D64)</f>
        <v/>
      </c>
      <c r="DD64" s="107" t="str">
        <f aca="false">$CR64</f>
        <v/>
      </c>
      <c r="DE64" s="108" t="str">
        <f aca="false">$CQ64</f>
        <v/>
      </c>
      <c r="DF64" s="106" t="str">
        <f aca="false">IF(ISBLANK($C64),"",$CT64)</f>
        <v/>
      </c>
      <c r="DG64" s="109" t="str">
        <f aca="false">IF($CX64&gt;$CW$8,"",VLOOKUP($CX64,$CZ$9:$DF$508,7,FALSE()))</f>
        <v/>
      </c>
      <c r="DH64" s="110" t="str">
        <f aca="false">IF($CX64&gt;$CW$8,"",VLOOKUP($CX64,$CZ$9:$DF$508,2,FALSE()))</f>
        <v/>
      </c>
      <c r="DI64" s="110" t="str">
        <f aca="false">IF($CX64&gt;$CW$8,"",VLOOKUP($CX64,$CZ$9:$DF$508,3,FALSE()))</f>
        <v/>
      </c>
      <c r="DJ64" s="110" t="str">
        <f aca="false">IF($CX64&gt;$CW$8,"",VLOOKUP($CX64,$CZ$9:$DF$508,4,FALSE()))</f>
        <v/>
      </c>
      <c r="DK64" s="110" t="str">
        <f aca="false">IF($CX64&gt;$CW$8,"",VLOOKUP($CX64,$CZ$9:$DF$508,5,FALSE()))</f>
        <v/>
      </c>
      <c r="DL64" s="111" t="str">
        <f aca="false">IF($CX64&gt;$CW$8,"",VLOOKUP($CX64,$CZ$9:$DF$508,6,FALSE()))</f>
        <v/>
      </c>
      <c r="DM64" s="75"/>
    </row>
    <row r="65" customFormat="false" ht="15.75" hidden="false" customHeight="false" outlineLevel="0" collapsed="false">
      <c r="A65" s="9"/>
      <c r="B65" s="77"/>
      <c r="C65" s="78"/>
      <c r="D65" s="167"/>
      <c r="E65" s="175"/>
      <c r="F65" s="169"/>
      <c r="G65" s="170"/>
      <c r="H65" s="170"/>
      <c r="I65" s="176"/>
      <c r="J65" s="173"/>
      <c r="K65" s="85"/>
      <c r="L65" s="86"/>
      <c r="M65" s="87"/>
      <c r="N65" s="173"/>
      <c r="O65" s="173"/>
      <c r="P65" s="175"/>
      <c r="Q65" s="173"/>
      <c r="R65" s="173"/>
      <c r="S65" s="85"/>
      <c r="T65" s="87"/>
      <c r="U65" s="87"/>
      <c r="V65" s="173"/>
      <c r="W65" s="173"/>
      <c r="X65" s="175"/>
      <c r="Y65" s="173"/>
      <c r="Z65" s="174"/>
      <c r="AA65" s="173"/>
      <c r="AB65" s="91"/>
      <c r="AC65" s="92"/>
      <c r="AD65" s="92"/>
      <c r="AE65" s="92"/>
      <c r="AF65" s="92" t="str">
        <f aca="false">IF(ISBLANK($C65),"",IF(E65=Constants!$B$3,TRUE(),IF(E65=Constants!$B$4,FALSE(),TRUE())))</f>
        <v/>
      </c>
      <c r="AG65" s="92" t="str">
        <f aca="false">IF(ISBLANK($C65),"",IF(F65=Constants!$B$3,TRUE(),IF(F65=Constants!$B$4,FALSE(),TRUE())))</f>
        <v/>
      </c>
      <c r="AH65" s="92" t="str">
        <f aca="false">IF(ISBLANK($C65),"",IF(G65=Constants!$B$3,TRUE(),IF(G65=Constants!$B$4,FALSE(),TRUE())))</f>
        <v/>
      </c>
      <c r="AI65" s="92" t="str">
        <f aca="false">IF(ISBLANK($C65),"",IF(AND(ISNUMBER(H65),H65&gt;=0),H65,Constants!$B$29))</f>
        <v/>
      </c>
      <c r="AJ65" s="92" t="str">
        <f aca="false">IF(ISBLANK($C65),"",IF(I65=Constants!$B$3,TRUE(),IF(I65=Constants!$B$4,FALSE(),TRUE())))</f>
        <v/>
      </c>
      <c r="AK65" s="92" t="str">
        <f aca="false">IF(ISBLANK($C65),"",IF(J65=Constants!$B$3,TRUE(),IF(J65=Constants!$B$4,FALSE(),TRUE())))</f>
        <v/>
      </c>
      <c r="AL65" s="92" t="str">
        <f aca="false">IF(ISBLANK($C65),"",IF(K65=Constants!$B$5,TRUE(),IF(K65=Constants!$B$6,FALSE(),COUNTA(L65:P65)&gt;0)))</f>
        <v/>
      </c>
      <c r="AM65" s="94" t="str">
        <f aca="false">IF(ISBLANK($C65),"",IF(ISNUMBER(L65),IF(L65&gt;=0,L65,""),""))</f>
        <v/>
      </c>
      <c r="AN65" s="93" t="str">
        <f aca="false">IF(ISBLANK($C65),"",IF(ISNUMBER(M65),IF(M65&gt;=0,M65,""),""))</f>
        <v/>
      </c>
      <c r="AO65" s="93" t="str">
        <f aca="false">IF(ISBLANK($C65),"",IF(N65=Constants!$B$3,TRUE(),IF(N65=Constants!$B$4,FALSE(),TRUE())))</f>
        <v/>
      </c>
      <c r="AP65" s="92" t="str">
        <f aca="false">IF(ISBLANK($C65),"",IF(ISNUMBER(O65),IF(O65&gt;=0,O65,""),""))</f>
        <v/>
      </c>
      <c r="AQ65" s="92" t="str">
        <f aca="false">IF(ISBLANK($C65),"",IF(P65=Constants!$B$3,TRUE(),IF(P65=Constants!$B$4,FALSE(),FALSE())))</f>
        <v/>
      </c>
      <c r="AR65" s="92" t="str">
        <f aca="false">IF(ISBLANK($C65),"",IF(Q65=Constants!$B$3,TRUE(),IF(Q65=Constants!$B$4,FALSE(),TRUE())))</f>
        <v/>
      </c>
      <c r="AS65" s="92" t="str">
        <f aca="false">IF(ISBLANK($C65),"",IF(R65=Constants!$B$3,TRUE(),IF(R65=Constants!$B$4,FALSE(),TRUE())))</f>
        <v/>
      </c>
      <c r="AT65" s="92" t="str">
        <f aca="false">IF(ISBLANK($C65),"",IF(S65=Constants!$B$5,TRUE(),IF(S65=Constants!$B$6,FALSE(),COUNTA(T65:X65)&gt;0)))</f>
        <v/>
      </c>
      <c r="AU65" s="94" t="str">
        <f aca="false">IF(ISBLANK($C65),"",IF(ISNUMBER(T65),IF(T65&gt;=0,T65,""),""))</f>
        <v/>
      </c>
      <c r="AV65" s="93" t="str">
        <f aca="false">IF(ISBLANK($C65),"",IF(ISNUMBER(U65),IF(U65&gt;=0,U65,""),""))</f>
        <v/>
      </c>
      <c r="AW65" s="93" t="str">
        <f aca="false">IF(ISBLANK($C65),"",IF(V65=Constants!$B$3,TRUE(),IF(V65=Constants!$B$4,FALSE(),TRUE())))</f>
        <v/>
      </c>
      <c r="AX65" s="92" t="str">
        <f aca="false">IF(ISBLANK($C65),"",IF(ISNUMBER(W65),IF(W65&gt;=0,W65,""),""))</f>
        <v/>
      </c>
      <c r="AY65" s="92" t="str">
        <f aca="false">IF(ISBLANK($C65),"",IF(X65=Constants!$B$3,TRUE(),IF(X65=Constants!$B$4,FALSE(),FALSE())))</f>
        <v/>
      </c>
      <c r="AZ65" s="92" t="str">
        <f aca="false">IF(ISBLANK($C65),"",MIN(Constants!$B$31,MAX(0,IF(ISNUMBER(Y65),Y65*60,0)+IF(ISNUMBER(Z65),Z65,0))))</f>
        <v/>
      </c>
      <c r="BA65" s="92" t="str">
        <f aca="false">IF(ISBLANK($C65),"",IF(AA65=Constants!$B$3,TRUE(),IF(AA65=Constants!$B$4,FALSE(),FALSE())))</f>
        <v/>
      </c>
      <c r="BB65" s="91" t="str">
        <f aca="false">IF(ISBLANK($C65),"",AND($AL65,OR($AM65="",$AN65="",AND($AO65,$AP65=""))))</f>
        <v/>
      </c>
      <c r="BC65" s="93" t="str">
        <f aca="false">IF($BR65&lt;&gt;Constants!$B$8,"",IF($AL65,Constants!$B$21*$AN65+Constants!$B$22*IF($AO65,$AP65,Constants!$B$23),Constants!$B$24))</f>
        <v/>
      </c>
      <c r="BD65" s="96" t="str">
        <f aca="false">IF($BR65&lt;&gt;Constants!$B$8,"",Constants!$B$25*ABS($AD$9-IF($AL65,$AM65,0)))</f>
        <v/>
      </c>
      <c r="BE65" s="96" t="str">
        <f aca="false">IF($BR65&lt;&gt;Constants!$B$8,"",IF(AND($AL65,$AQ65,$AO65),Constants!$B$27,0))</f>
        <v/>
      </c>
      <c r="BF65" s="96" t="str">
        <f aca="false">IF($BR65&lt;&gt;Constants!$B$8,"",IF($AL65,($AI65-Constants!$B$29)*Constants!$B$28,0))</f>
        <v/>
      </c>
      <c r="BG65" s="96" t="str">
        <f aca="false">IF($BR65&lt;&gt;Constants!$B$8,"",IF($AK65,0,Constants!$B$15)+IF($AJ65,0,Constants!$B$16)+IF($AH65,0,Constants!$B$17))</f>
        <v/>
      </c>
      <c r="BH65" s="97" t="str">
        <f aca="false">IF($BR65&lt;&gt;Constants!$B$8,"",Constants!$B$20+SUM($BC65:$BG65))</f>
        <v/>
      </c>
      <c r="BI65" s="92" t="str">
        <f aca="false">IF($BR65&lt;&gt;Constants!$B$8,"",IF(OR($BP65&lt;$BH65,AND($BP65=$BH65,OR($BK65&lt;$BC65,AND($BK65=$BC65,OR($BL65&lt;$BD65,AND($BL65=$BD65,$AT65,$AL65,$AV65&lt;$AN65)))))),"-&gt;","&lt;-"))</f>
        <v/>
      </c>
      <c r="BJ65" s="91" t="str">
        <f aca="false">IF(ISBLANK($C65),"",AND($AT65,OR($AU65="",$AV65="",AND($AW65,$AX65=""))))</f>
        <v/>
      </c>
      <c r="BK65" s="93" t="str">
        <f aca="false">IF($BR65&lt;&gt;Constants!$B$8,"",IF($AT65,Constants!$B$21*$AV65+Constants!$B$22*IF($AW65,$AX65,Constants!$B$23),Constants!$B$24))</f>
        <v/>
      </c>
      <c r="BL65" s="96" t="str">
        <f aca="false">IF($BR65&lt;&gt;Constants!$B$8,"",Constants!$B$25*ABS($AD$9-IF($AT65,$AU65,0)))</f>
        <v/>
      </c>
      <c r="BM65" s="96" t="str">
        <f aca="false">IF($BR65&lt;&gt;Constants!$B$8,"",IF(AND($AT65,$AY65,$AW65),Constants!$B$27,0))</f>
        <v/>
      </c>
      <c r="BN65" s="96" t="str">
        <f aca="false">IF($BR65&lt;&gt;Constants!$B$8,"",IF($AT65,($AI65-Constants!$B$29)*Constants!$B$28,0))</f>
        <v/>
      </c>
      <c r="BO65" s="96" t="str">
        <f aca="false">IF($BR65&lt;&gt;Constants!$B$8,"",IF($AS65,0,Constants!$B$15)+IF($AR65,0,Constants!$B$16)+IF($AH65,0,Constants!$B$17))</f>
        <v/>
      </c>
      <c r="BP65" s="97" t="str">
        <f aca="false">IF($BR65&lt;&gt;Constants!$B$8,"",Constants!$B$20+SUM($BK65:$BO65))</f>
        <v/>
      </c>
      <c r="BQ65" s="92" t="str">
        <f aca="false">IF(ISBLANK($C65),"",IF(ISBLANK($D$7),$BQ$5,IF(NOT(ISNUMBER($D$7)),$BQ$6,"")))</f>
        <v/>
      </c>
      <c r="BR65" s="92" t="str">
        <f aca="false">IF(ISBLANK($C65),"",IF($BA65,Constants!$B$11,IF(COUNTA($E65:$AA65)=0,Constants!$B$10,IF(NOT($AG65),Constants!$B$9,IF(OR($BQ65&lt;&gt;"",$BB65,$BJ65),Constants!$B$12,Constants!$B$8)))))</f>
        <v/>
      </c>
      <c r="BS65" s="92" t="str">
        <f aca="false">IF(ISBLANK($C65),"",IF($BR65&lt;&gt;Constants!$B$8,$BR65,Constants!$B$13))</f>
        <v/>
      </c>
      <c r="BT65" s="96" t="str">
        <f aca="false">IF($BR65&lt;&gt;Constants!$B$8,"",IF($BI65="-&gt;",$BP65,$BH65))</f>
        <v/>
      </c>
      <c r="BU65" s="96" t="str">
        <f aca="false">IF($BR65&lt;&gt;Constants!$B$8,"",IF($AF65,0,Constants!$B$18))</f>
        <v/>
      </c>
      <c r="BV65" s="96" t="str">
        <f aca="false">IF($BR65&lt;&gt;Constants!$B$8,"",((Constants!$B$31-$AZ65)-Constants!$B$31)/Constants!$B$32)</f>
        <v/>
      </c>
      <c r="BW65" s="96" t="str">
        <f aca="false">IF(ISBLANK($C65),"",IF($BR65&lt;&gt;Constants!$B$8,$BR65,SUM($BT65:$BV65)))</f>
        <v/>
      </c>
      <c r="BX65" s="92" t="str">
        <f aca="false">IF(ISBLANK($C65),"",IF($BR65&lt;&gt;Constants!$B$8,$BR65,RANK($BW65,$BW$9:$BW$508,1)))</f>
        <v/>
      </c>
      <c r="BY65" s="96" t="str">
        <f aca="false">IF($BR65&lt;&gt;Constants!$B$8,"",IF($BI65="-&gt;",$BK65,$BC65))</f>
        <v/>
      </c>
      <c r="BZ65" s="92" t="str">
        <f aca="false">IF(ISBLANK($C65),"",IF($BR65&lt;&gt;Constants!$B$8,$BR65,IF(ISNUMBER($BY65),RANK($BY65,$BY$9:$BY$508,1),COUNT($BY$9:$BY$508)+1)))</f>
        <v/>
      </c>
      <c r="CA65" s="96" t="str">
        <f aca="false">IF($BR65&lt;&gt;Constants!$B$8,"",IF($BI65="-&gt;",$BL65,$BD65))</f>
        <v/>
      </c>
      <c r="CB65" s="92" t="str">
        <f aca="false">IF(ISBLANK($C65),"",IF($BR65&lt;&gt;Constants!$B$8,$BR65,IF(ISNUMBER($CA65),RANK($CA65,$CA$9:$CA$508,1),COUNT($CA$9:$CA$508)+1)))</f>
        <v/>
      </c>
      <c r="CC65" s="96" t="str">
        <f aca="false">IF($BR65&lt;&gt;Constants!$B$8,"",IF($BI65="-&gt;",IF($AT65,$AV65,""),IF($AL65,$AN65,"")))</f>
        <v/>
      </c>
      <c r="CD65" s="92" t="str">
        <f aca="false">IF(ISBLANK($C65),"",IF($BR65&lt;&gt;Constants!$B$8,$BR65,IF(ISNUMBER($CC65),RANK($CC65,$CC$9:$CC$508,1),COUNT($CC$9:$CC$508)+1)))</f>
        <v/>
      </c>
      <c r="CE65" s="96" t="str">
        <f aca="false">IF($BR65&lt;&gt;Constants!$B$8,"",IF(AND(NOT($AL65),NOT($AT65),$AJ65,$AK65,$AR65,$AS65),"",$AI65))</f>
        <v/>
      </c>
      <c r="CF65" s="92" t="str">
        <f aca="false">IF(ISBLANK($C65),"",IF($BR65&lt;&gt;Constants!$B$8,$BR65,IF(ISNUMBER($CE65),RANK($CE65,$CE$9:$CE$508,1),COUNT($CE$9:$CE$508)+1)))</f>
        <v/>
      </c>
      <c r="CG65" s="92" t="str">
        <f aca="false">IF(ISBLANK($C65),"",IF($BR65&lt;&gt;Constants!$B$8,$BR65,COUNTIFS($BX$9:$BX$508,"&lt;"&amp;$BX65)+COUNTIFS($BX$9:$BX$508,$BX65,$BZ$9:$BZ$508,"&lt;"&amp;$BZ65)+COUNTIFS($BX$9:$BX$508,$BX65,$BZ$9:$BZ$508,$BZ65,$CB$9:$CB$508,"&lt;"&amp;$CB65)+COUNTIFS($BX$9:$BX$508,$BX65,$BZ$9:$BZ$508,$BZ65,$CB$9:$CB$508,$CB65,$CD$9:$CD$508,"&lt;"&amp;$CD65)+COUNTIFS($BX$9:$BX$508,$BX65,$BZ$9:$BZ$508,$BZ65,$CB$9:$CB$508,$CB65,$CD$9:$CD$508,$CD65,$CF$9:$CF$508,"&lt;"&amp;$CF65)+1))</f>
        <v/>
      </c>
      <c r="CH65" s="92" t="str">
        <f aca="false">IF(ISBLANK($C65),"",IF($BR65&lt;&gt;Constants!$B$8,$BR65,$BX65-$CG65))</f>
        <v/>
      </c>
      <c r="CI65" s="98"/>
      <c r="CJ65" s="99"/>
      <c r="CK65" s="100" t="str">
        <f aca="false">IF(ISBLANK($C65),"",IF($BR65=Constants!$B$12,$BQ65,""))</f>
        <v/>
      </c>
      <c r="CL65" s="99" t="str">
        <f aca="false">IF(ISBLANK($C65),"",IF($BR65&lt;&gt;Constants!$B$8,"",IF($BI65="-&gt;",2,1)))</f>
        <v/>
      </c>
      <c r="CM65" s="101" t="str">
        <f aca="false">IF(ISBLANK($C65),"",IF($BR65&lt;&gt;Constants!$B$8,"",IF($BI65="-&gt;",$BK65,$BC65)))</f>
        <v/>
      </c>
      <c r="CN65" s="101" t="str">
        <f aca="false">IF(ISBLANK($C65),"",IF($BR65&lt;&gt;Constants!$B$8,"",IF($BI65="-&gt;",$BL65,$BD65)))</f>
        <v/>
      </c>
      <c r="CO65" s="101" t="str">
        <f aca="false">IF(ISBLANK($C65),"",IF($BR65&lt;&gt;Constants!$B$8,"",IF($BI65="-&gt;",$BM65+$BN65,$BE65+$BF65)+$BV65))</f>
        <v/>
      </c>
      <c r="CP65" s="101" t="str">
        <f aca="false">IF(ISBLANK($C65),"",IF($BR65&lt;&gt;Constants!$B$8,"",IF($BI65="-&gt;",$BO65,$BG65)+$BU65))</f>
        <v/>
      </c>
      <c r="CQ65" s="102" t="str">
        <f aca="false">IF(ISBLANK($C65),"",IF($BR65&lt;&gt;Constants!$B$8,$BR65,$BW65))</f>
        <v/>
      </c>
      <c r="CR65" s="103" t="str">
        <f aca="false">IF(ISBLANK($C65),"",$BS65)</f>
        <v/>
      </c>
      <c r="CS65" s="104" t="str">
        <f aca="false">IF(ISBLANK($C65),"",$CH65)</f>
        <v/>
      </c>
      <c r="CT65" s="104" t="str">
        <f aca="false">IF(ISBLANK($C65),"",$CG65)</f>
        <v/>
      </c>
      <c r="CU65" s="105" t="str">
        <f aca="false">IF(ISBLANK($C65),"",IFERROR(_xlfn.SWITCH($CT65,Constants!$B$11,COUNTA($C$9:$C$508)+2,Constants!$B$10,COUNTA($C$9:$C$508)+1,Constants!$B$9,COUNTA($C$9:$C$508)),$CT65))</f>
        <v/>
      </c>
      <c r="CV65" s="9"/>
      <c r="CW65" s="106" t="n">
        <f aca="false">IF(OR(ISNUMBER($CT65),$CT65=Constants!$B$11,$CT65=Constants!$B$9,$CT65=Constants!$B$10),1,0)</f>
        <v>0</v>
      </c>
      <c r="CX65" s="106" t="n">
        <v>57</v>
      </c>
      <c r="CY65" s="106" t="str">
        <f aca="false">IF(ISBLANK($C65),"",IF(ISNUMBER($CU65),$CU65+ROW($B65)/1000,""))</f>
        <v/>
      </c>
      <c r="CZ65" s="106" t="str">
        <f aca="false">IF(ISNUMBER($CY65),RANK($CY65,$CY$9:$CY$508,1),"")</f>
        <v/>
      </c>
      <c r="DA65" s="106" t="str">
        <f aca="false">IF(ISBLANK($C65),"",$B65)</f>
        <v/>
      </c>
      <c r="DB65" s="106" t="str">
        <f aca="false">IF(ISBLANK($C65),"",$C65)</f>
        <v/>
      </c>
      <c r="DC65" s="106" t="str">
        <f aca="false">IF(ISBLANK($C65),"",$D65)</f>
        <v/>
      </c>
      <c r="DD65" s="107" t="str">
        <f aca="false">$CR65</f>
        <v/>
      </c>
      <c r="DE65" s="108" t="str">
        <f aca="false">$CQ65</f>
        <v/>
      </c>
      <c r="DF65" s="106" t="str">
        <f aca="false">IF(ISBLANK($C65),"",$CT65)</f>
        <v/>
      </c>
      <c r="DG65" s="109" t="str">
        <f aca="false">IF($CX65&gt;$CW$8,"",VLOOKUP($CX65,$CZ$9:$DF$508,7,FALSE()))</f>
        <v/>
      </c>
      <c r="DH65" s="110" t="str">
        <f aca="false">IF($CX65&gt;$CW$8,"",VLOOKUP($CX65,$CZ$9:$DF$508,2,FALSE()))</f>
        <v/>
      </c>
      <c r="DI65" s="110" t="str">
        <f aca="false">IF($CX65&gt;$CW$8,"",VLOOKUP($CX65,$CZ$9:$DF$508,3,FALSE()))</f>
        <v/>
      </c>
      <c r="DJ65" s="110" t="str">
        <f aca="false">IF($CX65&gt;$CW$8,"",VLOOKUP($CX65,$CZ$9:$DF$508,4,FALSE()))</f>
        <v/>
      </c>
      <c r="DK65" s="110" t="str">
        <f aca="false">IF($CX65&gt;$CW$8,"",VLOOKUP($CX65,$CZ$9:$DF$508,5,FALSE()))</f>
        <v/>
      </c>
      <c r="DL65" s="111" t="str">
        <f aca="false">IF($CX65&gt;$CW$8,"",VLOOKUP($CX65,$CZ$9:$DF$508,6,FALSE()))</f>
        <v/>
      </c>
      <c r="DM65" s="75"/>
    </row>
    <row r="66" customFormat="false" ht="15.75" hidden="false" customHeight="false" outlineLevel="0" collapsed="false">
      <c r="A66" s="9"/>
      <c r="B66" s="157"/>
      <c r="C66" s="158"/>
      <c r="D66" s="159"/>
      <c r="E66" s="177"/>
      <c r="F66" s="161"/>
      <c r="G66" s="162"/>
      <c r="H66" s="162"/>
      <c r="I66" s="178"/>
      <c r="J66" s="165"/>
      <c r="K66" s="126"/>
      <c r="L66" s="127"/>
      <c r="M66" s="128"/>
      <c r="N66" s="165"/>
      <c r="O66" s="165"/>
      <c r="P66" s="177"/>
      <c r="Q66" s="165"/>
      <c r="R66" s="165"/>
      <c r="S66" s="126"/>
      <c r="T66" s="128"/>
      <c r="U66" s="128"/>
      <c r="V66" s="165"/>
      <c r="W66" s="165"/>
      <c r="X66" s="177"/>
      <c r="Y66" s="165"/>
      <c r="Z66" s="166"/>
      <c r="AA66" s="165"/>
      <c r="AB66" s="132"/>
      <c r="AC66" s="133"/>
      <c r="AD66" s="133"/>
      <c r="AE66" s="133"/>
      <c r="AF66" s="133" t="str">
        <f aca="false">IF(ISBLANK($C66),"",IF(E66=Constants!$B$3,TRUE(),IF(E66=Constants!$B$4,FALSE(),TRUE())))</f>
        <v/>
      </c>
      <c r="AG66" s="133" t="str">
        <f aca="false">IF(ISBLANK($C66),"",IF(F66=Constants!$B$3,TRUE(),IF(F66=Constants!$B$4,FALSE(),TRUE())))</f>
        <v/>
      </c>
      <c r="AH66" s="133" t="str">
        <f aca="false">IF(ISBLANK($C66),"",IF(G66=Constants!$B$3,TRUE(),IF(G66=Constants!$B$4,FALSE(),TRUE())))</f>
        <v/>
      </c>
      <c r="AI66" s="133" t="str">
        <f aca="false">IF(ISBLANK($C66),"",IF(AND(ISNUMBER(H66),H66&gt;=0),H66,Constants!$B$29))</f>
        <v/>
      </c>
      <c r="AJ66" s="133" t="str">
        <f aca="false">IF(ISBLANK($C66),"",IF(I66=Constants!$B$3,TRUE(),IF(I66=Constants!$B$4,FALSE(),TRUE())))</f>
        <v/>
      </c>
      <c r="AK66" s="133" t="str">
        <f aca="false">IF(ISBLANK($C66),"",IF(J66=Constants!$B$3,TRUE(),IF(J66=Constants!$B$4,FALSE(),TRUE())))</f>
        <v/>
      </c>
      <c r="AL66" s="133" t="str">
        <f aca="false">IF(ISBLANK($C66),"",IF(K66=Constants!$B$5,TRUE(),IF(K66=Constants!$B$6,FALSE(),COUNTA(L66:P66)&gt;0)))</f>
        <v/>
      </c>
      <c r="AM66" s="134" t="str">
        <f aca="false">IF(ISBLANK($C66),"",IF(ISNUMBER(L66),IF(L66&gt;=0,L66,""),""))</f>
        <v/>
      </c>
      <c r="AN66" s="135" t="str">
        <f aca="false">IF(ISBLANK($C66),"",IF(ISNUMBER(M66),IF(M66&gt;=0,M66,""),""))</f>
        <v/>
      </c>
      <c r="AO66" s="135" t="str">
        <f aca="false">IF(ISBLANK($C66),"",IF(N66=Constants!$B$3,TRUE(),IF(N66=Constants!$B$4,FALSE(),TRUE())))</f>
        <v/>
      </c>
      <c r="AP66" s="133" t="str">
        <f aca="false">IF(ISBLANK($C66),"",IF(ISNUMBER(O66),IF(O66&gt;=0,O66,""),""))</f>
        <v/>
      </c>
      <c r="AQ66" s="133" t="str">
        <f aca="false">IF(ISBLANK($C66),"",IF(P66=Constants!$B$3,TRUE(),IF(P66=Constants!$B$4,FALSE(),FALSE())))</f>
        <v/>
      </c>
      <c r="AR66" s="133" t="str">
        <f aca="false">IF(ISBLANK($C66),"",IF(Q66=Constants!$B$3,TRUE(),IF(Q66=Constants!$B$4,FALSE(),TRUE())))</f>
        <v/>
      </c>
      <c r="AS66" s="133" t="str">
        <f aca="false">IF(ISBLANK($C66),"",IF(R66=Constants!$B$3,TRUE(),IF(R66=Constants!$B$4,FALSE(),TRUE())))</f>
        <v/>
      </c>
      <c r="AT66" s="133" t="str">
        <f aca="false">IF(ISBLANK($C66),"",IF(S66=Constants!$B$5,TRUE(),IF(S66=Constants!$B$6,FALSE(),COUNTA(T66:X66)&gt;0)))</f>
        <v/>
      </c>
      <c r="AU66" s="134" t="str">
        <f aca="false">IF(ISBLANK($C66),"",IF(ISNUMBER(T66),IF(T66&gt;=0,T66,""),""))</f>
        <v/>
      </c>
      <c r="AV66" s="135" t="str">
        <f aca="false">IF(ISBLANK($C66),"",IF(ISNUMBER(U66),IF(U66&gt;=0,U66,""),""))</f>
        <v/>
      </c>
      <c r="AW66" s="135" t="str">
        <f aca="false">IF(ISBLANK($C66),"",IF(V66=Constants!$B$3,TRUE(),IF(V66=Constants!$B$4,FALSE(),TRUE())))</f>
        <v/>
      </c>
      <c r="AX66" s="133" t="str">
        <f aca="false">IF(ISBLANK($C66),"",IF(ISNUMBER(W66),IF(W66&gt;=0,W66,""),""))</f>
        <v/>
      </c>
      <c r="AY66" s="133" t="str">
        <f aca="false">IF(ISBLANK($C66),"",IF(X66=Constants!$B$3,TRUE(),IF(X66=Constants!$B$4,FALSE(),FALSE())))</f>
        <v/>
      </c>
      <c r="AZ66" s="133" t="str">
        <f aca="false">IF(ISBLANK($C66),"",MIN(Constants!$B$31,MAX(0,IF(ISNUMBER(Y66),Y66*60,0)+IF(ISNUMBER(Z66),Z66,0))))</f>
        <v/>
      </c>
      <c r="BA66" s="133" t="str">
        <f aca="false">IF(ISBLANK($C66),"",IF(AA66=Constants!$B$3,TRUE(),IF(AA66=Constants!$B$4,FALSE(),FALSE())))</f>
        <v/>
      </c>
      <c r="BB66" s="132" t="str">
        <f aca="false">IF(ISBLANK($C66),"",AND($AL66,OR($AM66="",$AN66="",AND($AO66,$AP66=""))))</f>
        <v/>
      </c>
      <c r="BC66" s="135" t="str">
        <f aca="false">IF($BR66&lt;&gt;Constants!$B$8,"",IF($AL66,Constants!$B$21*$AN66+Constants!$B$22*IF($AO66,$AP66,Constants!$B$23),Constants!$B$24))</f>
        <v/>
      </c>
      <c r="BD66" s="136" t="str">
        <f aca="false">IF($BR66&lt;&gt;Constants!$B$8,"",Constants!$B$25*ABS($AD$9-IF($AL66,$AM66,0)))</f>
        <v/>
      </c>
      <c r="BE66" s="136" t="str">
        <f aca="false">IF($BR66&lt;&gt;Constants!$B$8,"",IF(AND($AL66,$AQ66,$AO66),Constants!$B$27,0))</f>
        <v/>
      </c>
      <c r="BF66" s="136" t="str">
        <f aca="false">IF($BR66&lt;&gt;Constants!$B$8,"",IF($AL66,($AI66-Constants!$B$29)*Constants!$B$28,0))</f>
        <v/>
      </c>
      <c r="BG66" s="136" t="str">
        <f aca="false">IF($BR66&lt;&gt;Constants!$B$8,"",IF($AK66,0,Constants!$B$15)+IF($AJ66,0,Constants!$B$16)+IF($AH66,0,Constants!$B$17))</f>
        <v/>
      </c>
      <c r="BH66" s="137" t="str">
        <f aca="false">IF($BR66&lt;&gt;Constants!$B$8,"",Constants!$B$20+SUM($BC66:$BG66))</f>
        <v/>
      </c>
      <c r="BI66" s="133" t="str">
        <f aca="false">IF($BR66&lt;&gt;Constants!$B$8,"",IF(OR($BP66&lt;$BH66,AND($BP66=$BH66,OR($BK66&lt;$BC66,AND($BK66=$BC66,OR($BL66&lt;$BD66,AND($BL66=$BD66,$AT66,$AL66,$AV66&lt;$AN66)))))),"-&gt;","&lt;-"))</f>
        <v/>
      </c>
      <c r="BJ66" s="132" t="str">
        <f aca="false">IF(ISBLANK($C66),"",AND($AT66,OR($AU66="",$AV66="",AND($AW66,$AX66=""))))</f>
        <v/>
      </c>
      <c r="BK66" s="135" t="str">
        <f aca="false">IF($BR66&lt;&gt;Constants!$B$8,"",IF($AT66,Constants!$B$21*$AV66+Constants!$B$22*IF($AW66,$AX66,Constants!$B$23),Constants!$B$24))</f>
        <v/>
      </c>
      <c r="BL66" s="136" t="str">
        <f aca="false">IF($BR66&lt;&gt;Constants!$B$8,"",Constants!$B$25*ABS($AD$9-IF($AT66,$AU66,0)))</f>
        <v/>
      </c>
      <c r="BM66" s="136" t="str">
        <f aca="false">IF($BR66&lt;&gt;Constants!$B$8,"",IF(AND($AT66,$AY66,$AW66),Constants!$B$27,0))</f>
        <v/>
      </c>
      <c r="BN66" s="136" t="str">
        <f aca="false">IF($BR66&lt;&gt;Constants!$B$8,"",IF($AT66,($AI66-Constants!$B$29)*Constants!$B$28,0))</f>
        <v/>
      </c>
      <c r="BO66" s="136" t="str">
        <f aca="false">IF($BR66&lt;&gt;Constants!$B$8,"",IF($AS66,0,Constants!$B$15)+IF($AR66,0,Constants!$B$16)+IF($AH66,0,Constants!$B$17))</f>
        <v/>
      </c>
      <c r="BP66" s="137" t="str">
        <f aca="false">IF($BR66&lt;&gt;Constants!$B$8,"",Constants!$B$20+SUM($BK66:$BO66))</f>
        <v/>
      </c>
      <c r="BQ66" s="133" t="str">
        <f aca="false">IF(ISBLANK($C66),"",IF(ISBLANK($D$7),$BQ$5,IF(NOT(ISNUMBER($D$7)),$BQ$6,"")))</f>
        <v/>
      </c>
      <c r="BR66" s="133" t="str">
        <f aca="false">IF(ISBLANK($C66),"",IF($BA66,Constants!$B$11,IF(COUNTA($E66:$AA66)=0,Constants!$B$10,IF(NOT($AG66),Constants!$B$9,IF(OR($BQ66&lt;&gt;"",$BB66,$BJ66),Constants!$B$12,Constants!$B$8)))))</f>
        <v/>
      </c>
      <c r="BS66" s="133" t="str">
        <f aca="false">IF(ISBLANK($C66),"",IF($BR66&lt;&gt;Constants!$B$8,$BR66,Constants!$B$13))</f>
        <v/>
      </c>
      <c r="BT66" s="136" t="str">
        <f aca="false">IF($BR66&lt;&gt;Constants!$B$8,"",IF($BI66="-&gt;",$BP66,$BH66))</f>
        <v/>
      </c>
      <c r="BU66" s="136" t="str">
        <f aca="false">IF($BR66&lt;&gt;Constants!$B$8,"",IF($AF66,0,Constants!$B$18))</f>
        <v/>
      </c>
      <c r="BV66" s="136" t="str">
        <f aca="false">IF($BR66&lt;&gt;Constants!$B$8,"",((Constants!$B$31-$AZ66)-Constants!$B$31)/Constants!$B$32)</f>
        <v/>
      </c>
      <c r="BW66" s="136" t="str">
        <f aca="false">IF(ISBLANK($C66),"",IF($BR66&lt;&gt;Constants!$B$8,$BR66,SUM($BT66:$BV66)))</f>
        <v/>
      </c>
      <c r="BX66" s="133" t="str">
        <f aca="false">IF(ISBLANK($C66),"",IF($BR66&lt;&gt;Constants!$B$8,$BR66,RANK($BW66,$BW$9:$BW$508,1)))</f>
        <v/>
      </c>
      <c r="BY66" s="136" t="str">
        <f aca="false">IF($BR66&lt;&gt;Constants!$B$8,"",IF($BI66="-&gt;",$BK66,$BC66))</f>
        <v/>
      </c>
      <c r="BZ66" s="133" t="str">
        <f aca="false">IF(ISBLANK($C66),"",IF($BR66&lt;&gt;Constants!$B$8,$BR66,IF(ISNUMBER($BY66),RANK($BY66,$BY$9:$BY$508,1),COUNT($BY$9:$BY$508)+1)))</f>
        <v/>
      </c>
      <c r="CA66" s="136" t="str">
        <f aca="false">IF($BR66&lt;&gt;Constants!$B$8,"",IF($BI66="-&gt;",$BL66,$BD66))</f>
        <v/>
      </c>
      <c r="CB66" s="133" t="str">
        <f aca="false">IF(ISBLANK($C66),"",IF($BR66&lt;&gt;Constants!$B$8,$BR66,IF(ISNUMBER($CA66),RANK($CA66,$CA$9:$CA$508,1),COUNT($CA$9:$CA$508)+1)))</f>
        <v/>
      </c>
      <c r="CC66" s="136" t="str">
        <f aca="false">IF($BR66&lt;&gt;Constants!$B$8,"",IF($BI66="-&gt;",IF($AT66,$AV66,""),IF($AL66,$AN66,"")))</f>
        <v/>
      </c>
      <c r="CD66" s="133" t="str">
        <f aca="false">IF(ISBLANK($C66),"",IF($BR66&lt;&gt;Constants!$B$8,$BR66,IF(ISNUMBER($CC66),RANK($CC66,$CC$9:$CC$508,1),COUNT($CC$9:$CC$508)+1)))</f>
        <v/>
      </c>
      <c r="CE66" s="136" t="str">
        <f aca="false">IF($BR66&lt;&gt;Constants!$B$8,"",IF(AND(NOT($AL66),NOT($AT66),$AJ66,$AK66,$AR66,$AS66),"",$AI66))</f>
        <v/>
      </c>
      <c r="CF66" s="133" t="str">
        <f aca="false">IF(ISBLANK($C66),"",IF($BR66&lt;&gt;Constants!$B$8,$BR66,IF(ISNUMBER($CE66),RANK($CE66,$CE$9:$CE$508,1),COUNT($CE$9:$CE$508)+1)))</f>
        <v/>
      </c>
      <c r="CG66" s="133" t="str">
        <f aca="false">IF(ISBLANK($C66),"",IF($BR66&lt;&gt;Constants!$B$8,$BR66,COUNTIFS($BX$9:$BX$508,"&lt;"&amp;$BX66)+COUNTIFS($BX$9:$BX$508,$BX66,$BZ$9:$BZ$508,"&lt;"&amp;$BZ66)+COUNTIFS($BX$9:$BX$508,$BX66,$BZ$9:$BZ$508,$BZ66,$CB$9:$CB$508,"&lt;"&amp;$CB66)+COUNTIFS($BX$9:$BX$508,$BX66,$BZ$9:$BZ$508,$BZ66,$CB$9:$CB$508,$CB66,$CD$9:$CD$508,"&lt;"&amp;$CD66)+COUNTIFS($BX$9:$BX$508,$BX66,$BZ$9:$BZ$508,$BZ66,$CB$9:$CB$508,$CB66,$CD$9:$CD$508,$CD66,$CF$9:$CF$508,"&lt;"&amp;$CF66)+1))</f>
        <v/>
      </c>
      <c r="CH66" s="133" t="str">
        <f aca="false">IF(ISBLANK($C66),"",IF($BR66&lt;&gt;Constants!$B$8,$BR66,$BX66-$CG66))</f>
        <v/>
      </c>
      <c r="CI66" s="138"/>
      <c r="CJ66" s="139"/>
      <c r="CK66" s="140" t="str">
        <f aca="false">IF(ISBLANK($C66),"",IF($BR66=Constants!$B$12,$BQ66,""))</f>
        <v/>
      </c>
      <c r="CL66" s="139" t="str">
        <f aca="false">IF(ISBLANK($C66),"",IF($BR66&lt;&gt;Constants!$B$8,"",IF($BI66="-&gt;",2,1)))</f>
        <v/>
      </c>
      <c r="CM66" s="141" t="str">
        <f aca="false">IF(ISBLANK($C66),"",IF($BR66&lt;&gt;Constants!$B$8,"",IF($BI66="-&gt;",$BK66,$BC66)))</f>
        <v/>
      </c>
      <c r="CN66" s="141" t="str">
        <f aca="false">IF(ISBLANK($C66),"",IF($BR66&lt;&gt;Constants!$B$8,"",IF($BI66="-&gt;",$BL66,$BD66)))</f>
        <v/>
      </c>
      <c r="CO66" s="141" t="str">
        <f aca="false">IF(ISBLANK($C66),"",IF($BR66&lt;&gt;Constants!$B$8,"",IF($BI66="-&gt;",$BM66+$BN66,$BE66+$BF66)+$BV66))</f>
        <v/>
      </c>
      <c r="CP66" s="141" t="str">
        <f aca="false">IF(ISBLANK($C66),"",IF($BR66&lt;&gt;Constants!$B$8,"",IF($BI66="-&gt;",$BO66,$BG66)+$BU66))</f>
        <v/>
      </c>
      <c r="CQ66" s="142" t="str">
        <f aca="false">IF(ISBLANK($C66),"",IF($BR66&lt;&gt;Constants!$B$8,$BR66,$BW66))</f>
        <v/>
      </c>
      <c r="CR66" s="143" t="str">
        <f aca="false">IF(ISBLANK($C66),"",$BS66)</f>
        <v/>
      </c>
      <c r="CS66" s="144" t="str">
        <f aca="false">IF(ISBLANK($C66),"",$CH66)</f>
        <v/>
      </c>
      <c r="CT66" s="144" t="str">
        <f aca="false">IF(ISBLANK($C66),"",$CG66)</f>
        <v/>
      </c>
      <c r="CU66" s="145" t="str">
        <f aca="false">IF(ISBLANK($C66),"",IFERROR(_xlfn.SWITCH($CT66,Constants!$B$11,COUNTA($C$9:$C$508)+2,Constants!$B$10,COUNTA($C$9:$C$508)+1,Constants!$B$9,COUNTA($C$9:$C$508)),$CT66))</f>
        <v/>
      </c>
      <c r="CV66" s="9"/>
      <c r="CW66" s="146" t="n">
        <f aca="false">IF(OR(ISNUMBER($CT66),$CT66=Constants!$B$11,$CT66=Constants!$B$9,$CT66=Constants!$B$10),1,0)</f>
        <v>0</v>
      </c>
      <c r="CX66" s="146" t="n">
        <v>58</v>
      </c>
      <c r="CY66" s="146" t="str">
        <f aca="false">IF(ISBLANK($C66),"",IF(ISNUMBER($CU66),$CU66+ROW($B66)/1000,""))</f>
        <v/>
      </c>
      <c r="CZ66" s="146" t="str">
        <f aca="false">IF(ISNUMBER($CY66),RANK($CY66,$CY$9:$CY$508,1),"")</f>
        <v/>
      </c>
      <c r="DA66" s="146" t="str">
        <f aca="false">IF(ISBLANK($C66),"",$B66)</f>
        <v/>
      </c>
      <c r="DB66" s="146" t="str">
        <f aca="false">IF(ISBLANK($C66),"",$C66)</f>
        <v/>
      </c>
      <c r="DC66" s="146" t="str">
        <f aca="false">IF(ISBLANK($C66),"",$D66)</f>
        <v/>
      </c>
      <c r="DD66" s="147" t="str">
        <f aca="false">$CR66</f>
        <v/>
      </c>
      <c r="DE66" s="148" t="str">
        <f aca="false">$CQ66</f>
        <v/>
      </c>
      <c r="DF66" s="146" t="str">
        <f aca="false">IF(ISBLANK($C66),"",$CT66)</f>
        <v/>
      </c>
      <c r="DG66" s="149" t="str">
        <f aca="false">IF($CX66&gt;$CW$8,"",VLOOKUP($CX66,$CZ$9:$DF$508,7,FALSE()))</f>
        <v/>
      </c>
      <c r="DH66" s="150" t="str">
        <f aca="false">IF($CX66&gt;$CW$8,"",VLOOKUP($CX66,$CZ$9:$DF$508,2,FALSE()))</f>
        <v/>
      </c>
      <c r="DI66" s="150" t="str">
        <f aca="false">IF($CX66&gt;$CW$8,"",VLOOKUP($CX66,$CZ$9:$DF$508,3,FALSE()))</f>
        <v/>
      </c>
      <c r="DJ66" s="150" t="str">
        <f aca="false">IF($CX66&gt;$CW$8,"",VLOOKUP($CX66,$CZ$9:$DF$508,4,FALSE()))</f>
        <v/>
      </c>
      <c r="DK66" s="150" t="str">
        <f aca="false">IF($CX66&gt;$CW$8,"",VLOOKUP($CX66,$CZ$9:$DF$508,5,FALSE()))</f>
        <v/>
      </c>
      <c r="DL66" s="151" t="str">
        <f aca="false">IF($CX66&gt;$CW$8,"",VLOOKUP($CX66,$CZ$9:$DF$508,6,FALSE()))</f>
        <v/>
      </c>
      <c r="DM66" s="75"/>
    </row>
    <row r="67" customFormat="false" ht="15.75" hidden="false" customHeight="false" outlineLevel="0" collapsed="false">
      <c r="A67" s="9"/>
      <c r="B67" s="157"/>
      <c r="C67" s="158"/>
      <c r="D67" s="159"/>
      <c r="E67" s="177"/>
      <c r="F67" s="161"/>
      <c r="G67" s="162"/>
      <c r="H67" s="162"/>
      <c r="I67" s="178"/>
      <c r="J67" s="165"/>
      <c r="K67" s="126"/>
      <c r="L67" s="127"/>
      <c r="M67" s="128"/>
      <c r="N67" s="165"/>
      <c r="O67" s="165"/>
      <c r="P67" s="177"/>
      <c r="Q67" s="165"/>
      <c r="R67" s="165"/>
      <c r="S67" s="126"/>
      <c r="T67" s="128"/>
      <c r="U67" s="128"/>
      <c r="V67" s="165"/>
      <c r="W67" s="165"/>
      <c r="X67" s="177"/>
      <c r="Y67" s="165"/>
      <c r="Z67" s="166"/>
      <c r="AA67" s="165"/>
      <c r="AB67" s="132"/>
      <c r="AC67" s="133"/>
      <c r="AD67" s="133"/>
      <c r="AE67" s="133"/>
      <c r="AF67" s="133" t="str">
        <f aca="false">IF(ISBLANK($C67),"",IF(E67=Constants!$B$3,TRUE(),IF(E67=Constants!$B$4,FALSE(),TRUE())))</f>
        <v/>
      </c>
      <c r="AG67" s="133" t="str">
        <f aca="false">IF(ISBLANK($C67),"",IF(F67=Constants!$B$3,TRUE(),IF(F67=Constants!$B$4,FALSE(),TRUE())))</f>
        <v/>
      </c>
      <c r="AH67" s="133" t="str">
        <f aca="false">IF(ISBLANK($C67),"",IF(G67=Constants!$B$3,TRUE(),IF(G67=Constants!$B$4,FALSE(),TRUE())))</f>
        <v/>
      </c>
      <c r="AI67" s="133" t="str">
        <f aca="false">IF(ISBLANK($C67),"",IF(AND(ISNUMBER(H67),H67&gt;=0),H67,Constants!$B$29))</f>
        <v/>
      </c>
      <c r="AJ67" s="133" t="str">
        <f aca="false">IF(ISBLANK($C67),"",IF(I67=Constants!$B$3,TRUE(),IF(I67=Constants!$B$4,FALSE(),TRUE())))</f>
        <v/>
      </c>
      <c r="AK67" s="133" t="str">
        <f aca="false">IF(ISBLANK($C67),"",IF(J67=Constants!$B$3,TRUE(),IF(J67=Constants!$B$4,FALSE(),TRUE())))</f>
        <v/>
      </c>
      <c r="AL67" s="133" t="str">
        <f aca="false">IF(ISBLANK($C67),"",IF(K67=Constants!$B$5,TRUE(),IF(K67=Constants!$B$6,FALSE(),COUNTA(L67:P67)&gt;0)))</f>
        <v/>
      </c>
      <c r="AM67" s="134" t="str">
        <f aca="false">IF(ISBLANK($C67),"",IF(ISNUMBER(L67),IF(L67&gt;=0,L67,""),""))</f>
        <v/>
      </c>
      <c r="AN67" s="135" t="str">
        <f aca="false">IF(ISBLANK($C67),"",IF(ISNUMBER(M67),IF(M67&gt;=0,M67,""),""))</f>
        <v/>
      </c>
      <c r="AO67" s="135" t="str">
        <f aca="false">IF(ISBLANK($C67),"",IF(N67=Constants!$B$3,TRUE(),IF(N67=Constants!$B$4,FALSE(),TRUE())))</f>
        <v/>
      </c>
      <c r="AP67" s="133" t="str">
        <f aca="false">IF(ISBLANK($C67),"",IF(ISNUMBER(O67),IF(O67&gt;=0,O67,""),""))</f>
        <v/>
      </c>
      <c r="AQ67" s="133" t="str">
        <f aca="false">IF(ISBLANK($C67),"",IF(P67=Constants!$B$3,TRUE(),IF(P67=Constants!$B$4,FALSE(),FALSE())))</f>
        <v/>
      </c>
      <c r="AR67" s="133" t="str">
        <f aca="false">IF(ISBLANK($C67),"",IF(Q67=Constants!$B$3,TRUE(),IF(Q67=Constants!$B$4,FALSE(),TRUE())))</f>
        <v/>
      </c>
      <c r="AS67" s="133" t="str">
        <f aca="false">IF(ISBLANK($C67),"",IF(R67=Constants!$B$3,TRUE(),IF(R67=Constants!$B$4,FALSE(),TRUE())))</f>
        <v/>
      </c>
      <c r="AT67" s="133" t="str">
        <f aca="false">IF(ISBLANK($C67),"",IF(S67=Constants!$B$5,TRUE(),IF(S67=Constants!$B$6,FALSE(),COUNTA(T67:X67)&gt;0)))</f>
        <v/>
      </c>
      <c r="AU67" s="134" t="str">
        <f aca="false">IF(ISBLANK($C67),"",IF(ISNUMBER(T67),IF(T67&gt;=0,T67,""),""))</f>
        <v/>
      </c>
      <c r="AV67" s="135" t="str">
        <f aca="false">IF(ISBLANK($C67),"",IF(ISNUMBER(U67),IF(U67&gt;=0,U67,""),""))</f>
        <v/>
      </c>
      <c r="AW67" s="135" t="str">
        <f aca="false">IF(ISBLANK($C67),"",IF(V67=Constants!$B$3,TRUE(),IF(V67=Constants!$B$4,FALSE(),TRUE())))</f>
        <v/>
      </c>
      <c r="AX67" s="133" t="str">
        <f aca="false">IF(ISBLANK($C67),"",IF(ISNUMBER(W67),IF(W67&gt;=0,W67,""),""))</f>
        <v/>
      </c>
      <c r="AY67" s="133" t="str">
        <f aca="false">IF(ISBLANK($C67),"",IF(X67=Constants!$B$3,TRUE(),IF(X67=Constants!$B$4,FALSE(),FALSE())))</f>
        <v/>
      </c>
      <c r="AZ67" s="133" t="str">
        <f aca="false">IF(ISBLANK($C67),"",MIN(Constants!$B$31,MAX(0,IF(ISNUMBER(Y67),Y67*60,0)+IF(ISNUMBER(Z67),Z67,0))))</f>
        <v/>
      </c>
      <c r="BA67" s="133" t="str">
        <f aca="false">IF(ISBLANK($C67),"",IF(AA67=Constants!$B$3,TRUE(),IF(AA67=Constants!$B$4,FALSE(),FALSE())))</f>
        <v/>
      </c>
      <c r="BB67" s="132" t="str">
        <f aca="false">IF(ISBLANK($C67),"",AND($AL67,OR($AM67="",$AN67="",AND($AO67,$AP67=""))))</f>
        <v/>
      </c>
      <c r="BC67" s="135" t="str">
        <f aca="false">IF($BR67&lt;&gt;Constants!$B$8,"",IF($AL67,Constants!$B$21*$AN67+Constants!$B$22*IF($AO67,$AP67,Constants!$B$23),Constants!$B$24))</f>
        <v/>
      </c>
      <c r="BD67" s="136" t="str">
        <f aca="false">IF($BR67&lt;&gt;Constants!$B$8,"",Constants!$B$25*ABS($AD$9-IF($AL67,$AM67,0)))</f>
        <v/>
      </c>
      <c r="BE67" s="136" t="str">
        <f aca="false">IF($BR67&lt;&gt;Constants!$B$8,"",IF(AND($AL67,$AQ67,$AO67),Constants!$B$27,0))</f>
        <v/>
      </c>
      <c r="BF67" s="136" t="str">
        <f aca="false">IF($BR67&lt;&gt;Constants!$B$8,"",IF($AL67,($AI67-Constants!$B$29)*Constants!$B$28,0))</f>
        <v/>
      </c>
      <c r="BG67" s="136" t="str">
        <f aca="false">IF($BR67&lt;&gt;Constants!$B$8,"",IF($AK67,0,Constants!$B$15)+IF($AJ67,0,Constants!$B$16)+IF($AH67,0,Constants!$B$17))</f>
        <v/>
      </c>
      <c r="BH67" s="137" t="str">
        <f aca="false">IF($BR67&lt;&gt;Constants!$B$8,"",Constants!$B$20+SUM($BC67:$BG67))</f>
        <v/>
      </c>
      <c r="BI67" s="133" t="str">
        <f aca="false">IF($BR67&lt;&gt;Constants!$B$8,"",IF(OR($BP67&lt;$BH67,AND($BP67=$BH67,OR($BK67&lt;$BC67,AND($BK67=$BC67,OR($BL67&lt;$BD67,AND($BL67=$BD67,$AT67,$AL67,$AV67&lt;$AN67)))))),"-&gt;","&lt;-"))</f>
        <v/>
      </c>
      <c r="BJ67" s="132" t="str">
        <f aca="false">IF(ISBLANK($C67),"",AND($AT67,OR($AU67="",$AV67="",AND($AW67,$AX67=""))))</f>
        <v/>
      </c>
      <c r="BK67" s="135" t="str">
        <f aca="false">IF($BR67&lt;&gt;Constants!$B$8,"",IF($AT67,Constants!$B$21*$AV67+Constants!$B$22*IF($AW67,$AX67,Constants!$B$23),Constants!$B$24))</f>
        <v/>
      </c>
      <c r="BL67" s="136" t="str">
        <f aca="false">IF($BR67&lt;&gt;Constants!$B$8,"",Constants!$B$25*ABS($AD$9-IF($AT67,$AU67,0)))</f>
        <v/>
      </c>
      <c r="BM67" s="136" t="str">
        <f aca="false">IF($BR67&lt;&gt;Constants!$B$8,"",IF(AND($AT67,$AY67,$AW67),Constants!$B$27,0))</f>
        <v/>
      </c>
      <c r="BN67" s="136" t="str">
        <f aca="false">IF($BR67&lt;&gt;Constants!$B$8,"",IF($AT67,($AI67-Constants!$B$29)*Constants!$B$28,0))</f>
        <v/>
      </c>
      <c r="BO67" s="136" t="str">
        <f aca="false">IF($BR67&lt;&gt;Constants!$B$8,"",IF($AS67,0,Constants!$B$15)+IF($AR67,0,Constants!$B$16)+IF($AH67,0,Constants!$B$17))</f>
        <v/>
      </c>
      <c r="BP67" s="137" t="str">
        <f aca="false">IF($BR67&lt;&gt;Constants!$B$8,"",Constants!$B$20+SUM($BK67:$BO67))</f>
        <v/>
      </c>
      <c r="BQ67" s="133" t="str">
        <f aca="false">IF(ISBLANK($C67),"",IF(ISBLANK($D$7),$BQ$5,IF(NOT(ISNUMBER($D$7)),$BQ$6,"")))</f>
        <v/>
      </c>
      <c r="BR67" s="133" t="str">
        <f aca="false">IF(ISBLANK($C67),"",IF($BA67,Constants!$B$11,IF(COUNTA($E67:$AA67)=0,Constants!$B$10,IF(NOT($AG67),Constants!$B$9,IF(OR($BQ67&lt;&gt;"",$BB67,$BJ67),Constants!$B$12,Constants!$B$8)))))</f>
        <v/>
      </c>
      <c r="BS67" s="133" t="str">
        <f aca="false">IF(ISBLANK($C67),"",IF($BR67&lt;&gt;Constants!$B$8,$BR67,Constants!$B$13))</f>
        <v/>
      </c>
      <c r="BT67" s="136" t="str">
        <f aca="false">IF($BR67&lt;&gt;Constants!$B$8,"",IF($BI67="-&gt;",$BP67,$BH67))</f>
        <v/>
      </c>
      <c r="BU67" s="136" t="str">
        <f aca="false">IF($BR67&lt;&gt;Constants!$B$8,"",IF($AF67,0,Constants!$B$18))</f>
        <v/>
      </c>
      <c r="BV67" s="136" t="str">
        <f aca="false">IF($BR67&lt;&gt;Constants!$B$8,"",((Constants!$B$31-$AZ67)-Constants!$B$31)/Constants!$B$32)</f>
        <v/>
      </c>
      <c r="BW67" s="136" t="str">
        <f aca="false">IF(ISBLANK($C67),"",IF($BR67&lt;&gt;Constants!$B$8,$BR67,SUM($BT67:$BV67)))</f>
        <v/>
      </c>
      <c r="BX67" s="133" t="str">
        <f aca="false">IF(ISBLANK($C67),"",IF($BR67&lt;&gt;Constants!$B$8,$BR67,RANK($BW67,$BW$9:$BW$508,1)))</f>
        <v/>
      </c>
      <c r="BY67" s="136" t="str">
        <f aca="false">IF($BR67&lt;&gt;Constants!$B$8,"",IF($BI67="-&gt;",$BK67,$BC67))</f>
        <v/>
      </c>
      <c r="BZ67" s="133" t="str">
        <f aca="false">IF(ISBLANK($C67),"",IF($BR67&lt;&gt;Constants!$B$8,$BR67,IF(ISNUMBER($BY67),RANK($BY67,$BY$9:$BY$508,1),COUNT($BY$9:$BY$508)+1)))</f>
        <v/>
      </c>
      <c r="CA67" s="136" t="str">
        <f aca="false">IF($BR67&lt;&gt;Constants!$B$8,"",IF($BI67="-&gt;",$BL67,$BD67))</f>
        <v/>
      </c>
      <c r="CB67" s="133" t="str">
        <f aca="false">IF(ISBLANK($C67),"",IF($BR67&lt;&gt;Constants!$B$8,$BR67,IF(ISNUMBER($CA67),RANK($CA67,$CA$9:$CA$508,1),COUNT($CA$9:$CA$508)+1)))</f>
        <v/>
      </c>
      <c r="CC67" s="136" t="str">
        <f aca="false">IF($BR67&lt;&gt;Constants!$B$8,"",IF($BI67="-&gt;",IF($AT67,$AV67,""),IF($AL67,$AN67,"")))</f>
        <v/>
      </c>
      <c r="CD67" s="133" t="str">
        <f aca="false">IF(ISBLANK($C67),"",IF($BR67&lt;&gt;Constants!$B$8,$BR67,IF(ISNUMBER($CC67),RANK($CC67,$CC$9:$CC$508,1),COUNT($CC$9:$CC$508)+1)))</f>
        <v/>
      </c>
      <c r="CE67" s="136" t="str">
        <f aca="false">IF($BR67&lt;&gt;Constants!$B$8,"",IF(AND(NOT($AL67),NOT($AT67),$AJ67,$AK67,$AR67,$AS67),"",$AI67))</f>
        <v/>
      </c>
      <c r="CF67" s="133" t="str">
        <f aca="false">IF(ISBLANK($C67),"",IF($BR67&lt;&gt;Constants!$B$8,$BR67,IF(ISNUMBER($CE67),RANK($CE67,$CE$9:$CE$508,1),COUNT($CE$9:$CE$508)+1)))</f>
        <v/>
      </c>
      <c r="CG67" s="133" t="str">
        <f aca="false">IF(ISBLANK($C67),"",IF($BR67&lt;&gt;Constants!$B$8,$BR67,COUNTIFS($BX$9:$BX$508,"&lt;"&amp;$BX67)+COUNTIFS($BX$9:$BX$508,$BX67,$BZ$9:$BZ$508,"&lt;"&amp;$BZ67)+COUNTIFS($BX$9:$BX$508,$BX67,$BZ$9:$BZ$508,$BZ67,$CB$9:$CB$508,"&lt;"&amp;$CB67)+COUNTIFS($BX$9:$BX$508,$BX67,$BZ$9:$BZ$508,$BZ67,$CB$9:$CB$508,$CB67,$CD$9:$CD$508,"&lt;"&amp;$CD67)+COUNTIFS($BX$9:$BX$508,$BX67,$BZ$9:$BZ$508,$BZ67,$CB$9:$CB$508,$CB67,$CD$9:$CD$508,$CD67,$CF$9:$CF$508,"&lt;"&amp;$CF67)+1))</f>
        <v/>
      </c>
      <c r="CH67" s="133" t="str">
        <f aca="false">IF(ISBLANK($C67),"",IF($BR67&lt;&gt;Constants!$B$8,$BR67,$BX67-$CG67))</f>
        <v/>
      </c>
      <c r="CI67" s="138"/>
      <c r="CJ67" s="139"/>
      <c r="CK67" s="140" t="str">
        <f aca="false">IF(ISBLANK($C67),"",IF($BR67=Constants!$B$12,$BQ67,""))</f>
        <v/>
      </c>
      <c r="CL67" s="139" t="str">
        <f aca="false">IF(ISBLANK($C67),"",IF($BR67&lt;&gt;Constants!$B$8,"",IF($BI67="-&gt;",2,1)))</f>
        <v/>
      </c>
      <c r="CM67" s="141" t="str">
        <f aca="false">IF(ISBLANK($C67),"",IF($BR67&lt;&gt;Constants!$B$8,"",IF($BI67="-&gt;",$BK67,$BC67)))</f>
        <v/>
      </c>
      <c r="CN67" s="141" t="str">
        <f aca="false">IF(ISBLANK($C67),"",IF($BR67&lt;&gt;Constants!$B$8,"",IF($BI67="-&gt;",$BL67,$BD67)))</f>
        <v/>
      </c>
      <c r="CO67" s="141" t="str">
        <f aca="false">IF(ISBLANK($C67),"",IF($BR67&lt;&gt;Constants!$B$8,"",IF($BI67="-&gt;",$BM67+$BN67,$BE67+$BF67)+$BV67))</f>
        <v/>
      </c>
      <c r="CP67" s="141" t="str">
        <f aca="false">IF(ISBLANK($C67),"",IF($BR67&lt;&gt;Constants!$B$8,"",IF($BI67="-&gt;",$BO67,$BG67)+$BU67))</f>
        <v/>
      </c>
      <c r="CQ67" s="142" t="str">
        <f aca="false">IF(ISBLANK($C67),"",IF($BR67&lt;&gt;Constants!$B$8,$BR67,$BW67))</f>
        <v/>
      </c>
      <c r="CR67" s="143" t="str">
        <f aca="false">IF(ISBLANK($C67),"",$BS67)</f>
        <v/>
      </c>
      <c r="CS67" s="144" t="str">
        <f aca="false">IF(ISBLANK($C67),"",$CH67)</f>
        <v/>
      </c>
      <c r="CT67" s="144" t="str">
        <f aca="false">IF(ISBLANK($C67),"",$CG67)</f>
        <v/>
      </c>
      <c r="CU67" s="145" t="str">
        <f aca="false">IF(ISBLANK($C67),"",IFERROR(_xlfn.SWITCH($CT67,Constants!$B$11,COUNTA($C$9:$C$508)+2,Constants!$B$10,COUNTA($C$9:$C$508)+1,Constants!$B$9,COUNTA($C$9:$C$508)),$CT67))</f>
        <v/>
      </c>
      <c r="CV67" s="9"/>
      <c r="CW67" s="146" t="n">
        <f aca="false">IF(OR(ISNUMBER($CT67),$CT67=Constants!$B$11,$CT67=Constants!$B$9,$CT67=Constants!$B$10),1,0)</f>
        <v>0</v>
      </c>
      <c r="CX67" s="146" t="n">
        <v>59</v>
      </c>
      <c r="CY67" s="146" t="str">
        <f aca="false">IF(ISBLANK($C67),"",IF(ISNUMBER($CU67),$CU67+ROW($B67)/1000,""))</f>
        <v/>
      </c>
      <c r="CZ67" s="146" t="str">
        <f aca="false">IF(ISNUMBER($CY67),RANK($CY67,$CY$9:$CY$508,1),"")</f>
        <v/>
      </c>
      <c r="DA67" s="146" t="str">
        <f aca="false">IF(ISBLANK($C67),"",$B67)</f>
        <v/>
      </c>
      <c r="DB67" s="146" t="str">
        <f aca="false">IF(ISBLANK($C67),"",$C67)</f>
        <v/>
      </c>
      <c r="DC67" s="146" t="str">
        <f aca="false">IF(ISBLANK($C67),"",$D67)</f>
        <v/>
      </c>
      <c r="DD67" s="147" t="str">
        <f aca="false">$CR67</f>
        <v/>
      </c>
      <c r="DE67" s="148" t="str">
        <f aca="false">$CQ67</f>
        <v/>
      </c>
      <c r="DF67" s="146" t="str">
        <f aca="false">IF(ISBLANK($C67),"",$CT67)</f>
        <v/>
      </c>
      <c r="DG67" s="149" t="str">
        <f aca="false">IF($CX67&gt;$CW$8,"",VLOOKUP($CX67,$CZ$9:$DF$508,7,FALSE()))</f>
        <v/>
      </c>
      <c r="DH67" s="150" t="str">
        <f aca="false">IF($CX67&gt;$CW$8,"",VLOOKUP($CX67,$CZ$9:$DF$508,2,FALSE()))</f>
        <v/>
      </c>
      <c r="DI67" s="150" t="str">
        <f aca="false">IF($CX67&gt;$CW$8,"",VLOOKUP($CX67,$CZ$9:$DF$508,3,FALSE()))</f>
        <v/>
      </c>
      <c r="DJ67" s="150" t="str">
        <f aca="false">IF($CX67&gt;$CW$8,"",VLOOKUP($CX67,$CZ$9:$DF$508,4,FALSE()))</f>
        <v/>
      </c>
      <c r="DK67" s="150" t="str">
        <f aca="false">IF($CX67&gt;$CW$8,"",VLOOKUP($CX67,$CZ$9:$DF$508,5,FALSE()))</f>
        <v/>
      </c>
      <c r="DL67" s="151" t="str">
        <f aca="false">IF($CX67&gt;$CW$8,"",VLOOKUP($CX67,$CZ$9:$DF$508,6,FALSE()))</f>
        <v/>
      </c>
      <c r="DM67" s="75"/>
    </row>
    <row r="68" customFormat="false" ht="15.75" hidden="false" customHeight="false" outlineLevel="0" collapsed="false">
      <c r="A68" s="9"/>
      <c r="B68" s="157"/>
      <c r="C68" s="158"/>
      <c r="D68" s="159"/>
      <c r="E68" s="177"/>
      <c r="F68" s="161"/>
      <c r="G68" s="162"/>
      <c r="H68" s="162"/>
      <c r="I68" s="178"/>
      <c r="J68" s="165"/>
      <c r="K68" s="126"/>
      <c r="L68" s="127"/>
      <c r="M68" s="128"/>
      <c r="N68" s="165"/>
      <c r="O68" s="165"/>
      <c r="P68" s="177"/>
      <c r="Q68" s="165"/>
      <c r="R68" s="165"/>
      <c r="S68" s="126"/>
      <c r="T68" s="128"/>
      <c r="U68" s="128"/>
      <c r="V68" s="165"/>
      <c r="W68" s="165"/>
      <c r="X68" s="177"/>
      <c r="Y68" s="165"/>
      <c r="Z68" s="166"/>
      <c r="AA68" s="165"/>
      <c r="AB68" s="132"/>
      <c r="AC68" s="133"/>
      <c r="AD68" s="133"/>
      <c r="AE68" s="133"/>
      <c r="AF68" s="133" t="str">
        <f aca="false">IF(ISBLANK($C68),"",IF(E68=Constants!$B$3,TRUE(),IF(E68=Constants!$B$4,FALSE(),TRUE())))</f>
        <v/>
      </c>
      <c r="AG68" s="133" t="str">
        <f aca="false">IF(ISBLANK($C68),"",IF(F68=Constants!$B$3,TRUE(),IF(F68=Constants!$B$4,FALSE(),TRUE())))</f>
        <v/>
      </c>
      <c r="AH68" s="133" t="str">
        <f aca="false">IF(ISBLANK($C68),"",IF(G68=Constants!$B$3,TRUE(),IF(G68=Constants!$B$4,FALSE(),TRUE())))</f>
        <v/>
      </c>
      <c r="AI68" s="133" t="str">
        <f aca="false">IF(ISBLANK($C68),"",IF(AND(ISNUMBER(H68),H68&gt;=0),H68,Constants!$B$29))</f>
        <v/>
      </c>
      <c r="AJ68" s="133" t="str">
        <f aca="false">IF(ISBLANK($C68),"",IF(I68=Constants!$B$3,TRUE(),IF(I68=Constants!$B$4,FALSE(),TRUE())))</f>
        <v/>
      </c>
      <c r="AK68" s="133" t="str">
        <f aca="false">IF(ISBLANK($C68),"",IF(J68=Constants!$B$3,TRUE(),IF(J68=Constants!$B$4,FALSE(),TRUE())))</f>
        <v/>
      </c>
      <c r="AL68" s="133" t="str">
        <f aca="false">IF(ISBLANK($C68),"",IF(K68=Constants!$B$5,TRUE(),IF(K68=Constants!$B$6,FALSE(),COUNTA(L68:P68)&gt;0)))</f>
        <v/>
      </c>
      <c r="AM68" s="134" t="str">
        <f aca="false">IF(ISBLANK($C68),"",IF(ISNUMBER(L68),IF(L68&gt;=0,L68,""),""))</f>
        <v/>
      </c>
      <c r="AN68" s="135" t="str">
        <f aca="false">IF(ISBLANK($C68),"",IF(ISNUMBER(M68),IF(M68&gt;=0,M68,""),""))</f>
        <v/>
      </c>
      <c r="AO68" s="135" t="str">
        <f aca="false">IF(ISBLANK($C68),"",IF(N68=Constants!$B$3,TRUE(),IF(N68=Constants!$B$4,FALSE(),TRUE())))</f>
        <v/>
      </c>
      <c r="AP68" s="133" t="str">
        <f aca="false">IF(ISBLANK($C68),"",IF(ISNUMBER(O68),IF(O68&gt;=0,O68,""),""))</f>
        <v/>
      </c>
      <c r="AQ68" s="133" t="str">
        <f aca="false">IF(ISBLANK($C68),"",IF(P68=Constants!$B$3,TRUE(),IF(P68=Constants!$B$4,FALSE(),FALSE())))</f>
        <v/>
      </c>
      <c r="AR68" s="133" t="str">
        <f aca="false">IF(ISBLANK($C68),"",IF(Q68=Constants!$B$3,TRUE(),IF(Q68=Constants!$B$4,FALSE(),TRUE())))</f>
        <v/>
      </c>
      <c r="AS68" s="133" t="str">
        <f aca="false">IF(ISBLANK($C68),"",IF(R68=Constants!$B$3,TRUE(),IF(R68=Constants!$B$4,FALSE(),TRUE())))</f>
        <v/>
      </c>
      <c r="AT68" s="133" t="str">
        <f aca="false">IF(ISBLANK($C68),"",IF(S68=Constants!$B$5,TRUE(),IF(S68=Constants!$B$6,FALSE(),COUNTA(T68:X68)&gt;0)))</f>
        <v/>
      </c>
      <c r="AU68" s="134" t="str">
        <f aca="false">IF(ISBLANK($C68),"",IF(ISNUMBER(T68),IF(T68&gt;=0,T68,""),""))</f>
        <v/>
      </c>
      <c r="AV68" s="135" t="str">
        <f aca="false">IF(ISBLANK($C68),"",IF(ISNUMBER(U68),IF(U68&gt;=0,U68,""),""))</f>
        <v/>
      </c>
      <c r="AW68" s="135" t="str">
        <f aca="false">IF(ISBLANK($C68),"",IF(V68=Constants!$B$3,TRUE(),IF(V68=Constants!$B$4,FALSE(),TRUE())))</f>
        <v/>
      </c>
      <c r="AX68" s="133" t="str">
        <f aca="false">IF(ISBLANK($C68),"",IF(ISNUMBER(W68),IF(W68&gt;=0,W68,""),""))</f>
        <v/>
      </c>
      <c r="AY68" s="133" t="str">
        <f aca="false">IF(ISBLANK($C68),"",IF(X68=Constants!$B$3,TRUE(),IF(X68=Constants!$B$4,FALSE(),FALSE())))</f>
        <v/>
      </c>
      <c r="AZ68" s="133" t="str">
        <f aca="false">IF(ISBLANK($C68),"",MIN(Constants!$B$31,MAX(0,IF(ISNUMBER(Y68),Y68*60,0)+IF(ISNUMBER(Z68),Z68,0))))</f>
        <v/>
      </c>
      <c r="BA68" s="133" t="str">
        <f aca="false">IF(ISBLANK($C68),"",IF(AA68=Constants!$B$3,TRUE(),IF(AA68=Constants!$B$4,FALSE(),FALSE())))</f>
        <v/>
      </c>
      <c r="BB68" s="132" t="str">
        <f aca="false">IF(ISBLANK($C68),"",AND($AL68,OR($AM68="",$AN68="",AND($AO68,$AP68=""))))</f>
        <v/>
      </c>
      <c r="BC68" s="135" t="str">
        <f aca="false">IF($BR68&lt;&gt;Constants!$B$8,"",IF($AL68,Constants!$B$21*$AN68+Constants!$B$22*IF($AO68,$AP68,Constants!$B$23),Constants!$B$24))</f>
        <v/>
      </c>
      <c r="BD68" s="136" t="str">
        <f aca="false">IF($BR68&lt;&gt;Constants!$B$8,"",Constants!$B$25*ABS($AD$9-IF($AL68,$AM68,0)))</f>
        <v/>
      </c>
      <c r="BE68" s="136" t="str">
        <f aca="false">IF($BR68&lt;&gt;Constants!$B$8,"",IF(AND($AL68,$AQ68,$AO68),Constants!$B$27,0))</f>
        <v/>
      </c>
      <c r="BF68" s="136" t="str">
        <f aca="false">IF($BR68&lt;&gt;Constants!$B$8,"",IF($AL68,($AI68-Constants!$B$29)*Constants!$B$28,0))</f>
        <v/>
      </c>
      <c r="BG68" s="136" t="str">
        <f aca="false">IF($BR68&lt;&gt;Constants!$B$8,"",IF($AK68,0,Constants!$B$15)+IF($AJ68,0,Constants!$B$16)+IF($AH68,0,Constants!$B$17))</f>
        <v/>
      </c>
      <c r="BH68" s="137" t="str">
        <f aca="false">IF($BR68&lt;&gt;Constants!$B$8,"",Constants!$B$20+SUM($BC68:$BG68))</f>
        <v/>
      </c>
      <c r="BI68" s="133" t="str">
        <f aca="false">IF($BR68&lt;&gt;Constants!$B$8,"",IF(OR($BP68&lt;$BH68,AND($BP68=$BH68,OR($BK68&lt;$BC68,AND($BK68=$BC68,OR($BL68&lt;$BD68,AND($BL68=$BD68,$AT68,$AL68,$AV68&lt;$AN68)))))),"-&gt;","&lt;-"))</f>
        <v/>
      </c>
      <c r="BJ68" s="132" t="str">
        <f aca="false">IF(ISBLANK($C68),"",AND($AT68,OR($AU68="",$AV68="",AND($AW68,$AX68=""))))</f>
        <v/>
      </c>
      <c r="BK68" s="135" t="str">
        <f aca="false">IF($BR68&lt;&gt;Constants!$B$8,"",IF($AT68,Constants!$B$21*$AV68+Constants!$B$22*IF($AW68,$AX68,Constants!$B$23),Constants!$B$24))</f>
        <v/>
      </c>
      <c r="BL68" s="136" t="str">
        <f aca="false">IF($BR68&lt;&gt;Constants!$B$8,"",Constants!$B$25*ABS($AD$9-IF($AT68,$AU68,0)))</f>
        <v/>
      </c>
      <c r="BM68" s="136" t="str">
        <f aca="false">IF($BR68&lt;&gt;Constants!$B$8,"",IF(AND($AT68,$AY68,$AW68),Constants!$B$27,0))</f>
        <v/>
      </c>
      <c r="BN68" s="136" t="str">
        <f aca="false">IF($BR68&lt;&gt;Constants!$B$8,"",IF($AT68,($AI68-Constants!$B$29)*Constants!$B$28,0))</f>
        <v/>
      </c>
      <c r="BO68" s="136" t="str">
        <f aca="false">IF($BR68&lt;&gt;Constants!$B$8,"",IF($AS68,0,Constants!$B$15)+IF($AR68,0,Constants!$B$16)+IF($AH68,0,Constants!$B$17))</f>
        <v/>
      </c>
      <c r="BP68" s="137" t="str">
        <f aca="false">IF($BR68&lt;&gt;Constants!$B$8,"",Constants!$B$20+SUM($BK68:$BO68))</f>
        <v/>
      </c>
      <c r="BQ68" s="133" t="str">
        <f aca="false">IF(ISBLANK($C68),"",IF(ISBLANK($D$7),$BQ$5,IF(NOT(ISNUMBER($D$7)),$BQ$6,"")))</f>
        <v/>
      </c>
      <c r="BR68" s="133" t="str">
        <f aca="false">IF(ISBLANK($C68),"",IF($BA68,Constants!$B$11,IF(COUNTA($E68:$AA68)=0,Constants!$B$10,IF(NOT($AG68),Constants!$B$9,IF(OR($BQ68&lt;&gt;"",$BB68,$BJ68),Constants!$B$12,Constants!$B$8)))))</f>
        <v/>
      </c>
      <c r="BS68" s="133" t="str">
        <f aca="false">IF(ISBLANK($C68),"",IF($BR68&lt;&gt;Constants!$B$8,$BR68,Constants!$B$13))</f>
        <v/>
      </c>
      <c r="BT68" s="136" t="str">
        <f aca="false">IF($BR68&lt;&gt;Constants!$B$8,"",IF($BI68="-&gt;",$BP68,$BH68))</f>
        <v/>
      </c>
      <c r="BU68" s="136" t="str">
        <f aca="false">IF($BR68&lt;&gt;Constants!$B$8,"",IF($AF68,0,Constants!$B$18))</f>
        <v/>
      </c>
      <c r="BV68" s="136" t="str">
        <f aca="false">IF($BR68&lt;&gt;Constants!$B$8,"",((Constants!$B$31-$AZ68)-Constants!$B$31)/Constants!$B$32)</f>
        <v/>
      </c>
      <c r="BW68" s="136" t="str">
        <f aca="false">IF(ISBLANK($C68),"",IF($BR68&lt;&gt;Constants!$B$8,$BR68,SUM($BT68:$BV68)))</f>
        <v/>
      </c>
      <c r="BX68" s="133" t="str">
        <f aca="false">IF(ISBLANK($C68),"",IF($BR68&lt;&gt;Constants!$B$8,$BR68,RANK($BW68,$BW$9:$BW$508,1)))</f>
        <v/>
      </c>
      <c r="BY68" s="136" t="str">
        <f aca="false">IF($BR68&lt;&gt;Constants!$B$8,"",IF($BI68="-&gt;",$BK68,$BC68))</f>
        <v/>
      </c>
      <c r="BZ68" s="133" t="str">
        <f aca="false">IF(ISBLANK($C68),"",IF($BR68&lt;&gt;Constants!$B$8,$BR68,IF(ISNUMBER($BY68),RANK($BY68,$BY$9:$BY$508,1),COUNT($BY$9:$BY$508)+1)))</f>
        <v/>
      </c>
      <c r="CA68" s="136" t="str">
        <f aca="false">IF($BR68&lt;&gt;Constants!$B$8,"",IF($BI68="-&gt;",$BL68,$BD68))</f>
        <v/>
      </c>
      <c r="CB68" s="133" t="str">
        <f aca="false">IF(ISBLANK($C68),"",IF($BR68&lt;&gt;Constants!$B$8,$BR68,IF(ISNUMBER($CA68),RANK($CA68,$CA$9:$CA$508,1),COUNT($CA$9:$CA$508)+1)))</f>
        <v/>
      </c>
      <c r="CC68" s="136" t="str">
        <f aca="false">IF($BR68&lt;&gt;Constants!$B$8,"",IF($BI68="-&gt;",IF($AT68,$AV68,""),IF($AL68,$AN68,"")))</f>
        <v/>
      </c>
      <c r="CD68" s="133" t="str">
        <f aca="false">IF(ISBLANK($C68),"",IF($BR68&lt;&gt;Constants!$B$8,$BR68,IF(ISNUMBER($CC68),RANK($CC68,$CC$9:$CC$508,1),COUNT($CC$9:$CC$508)+1)))</f>
        <v/>
      </c>
      <c r="CE68" s="136" t="str">
        <f aca="false">IF($BR68&lt;&gt;Constants!$B$8,"",IF(AND(NOT($AL68),NOT($AT68),$AJ68,$AK68,$AR68,$AS68),"",$AI68))</f>
        <v/>
      </c>
      <c r="CF68" s="133" t="str">
        <f aca="false">IF(ISBLANK($C68),"",IF($BR68&lt;&gt;Constants!$B$8,$BR68,IF(ISNUMBER($CE68),RANK($CE68,$CE$9:$CE$508,1),COUNT($CE$9:$CE$508)+1)))</f>
        <v/>
      </c>
      <c r="CG68" s="133" t="str">
        <f aca="false">IF(ISBLANK($C68),"",IF($BR68&lt;&gt;Constants!$B$8,$BR68,COUNTIFS($BX$9:$BX$508,"&lt;"&amp;$BX68)+COUNTIFS($BX$9:$BX$508,$BX68,$BZ$9:$BZ$508,"&lt;"&amp;$BZ68)+COUNTIFS($BX$9:$BX$508,$BX68,$BZ$9:$BZ$508,$BZ68,$CB$9:$CB$508,"&lt;"&amp;$CB68)+COUNTIFS($BX$9:$BX$508,$BX68,$BZ$9:$BZ$508,$BZ68,$CB$9:$CB$508,$CB68,$CD$9:$CD$508,"&lt;"&amp;$CD68)+COUNTIFS($BX$9:$BX$508,$BX68,$BZ$9:$BZ$508,$BZ68,$CB$9:$CB$508,$CB68,$CD$9:$CD$508,$CD68,$CF$9:$CF$508,"&lt;"&amp;$CF68)+1))</f>
        <v/>
      </c>
      <c r="CH68" s="133" t="str">
        <f aca="false">IF(ISBLANK($C68),"",IF($BR68&lt;&gt;Constants!$B$8,$BR68,$BX68-$CG68))</f>
        <v/>
      </c>
      <c r="CI68" s="138"/>
      <c r="CJ68" s="139"/>
      <c r="CK68" s="140" t="str">
        <f aca="false">IF(ISBLANK($C68),"",IF($BR68=Constants!$B$12,$BQ68,""))</f>
        <v/>
      </c>
      <c r="CL68" s="139" t="str">
        <f aca="false">IF(ISBLANK($C68),"",IF($BR68&lt;&gt;Constants!$B$8,"",IF($BI68="-&gt;",2,1)))</f>
        <v/>
      </c>
      <c r="CM68" s="141" t="str">
        <f aca="false">IF(ISBLANK($C68),"",IF($BR68&lt;&gt;Constants!$B$8,"",IF($BI68="-&gt;",$BK68,$BC68)))</f>
        <v/>
      </c>
      <c r="CN68" s="141" t="str">
        <f aca="false">IF(ISBLANK($C68),"",IF($BR68&lt;&gt;Constants!$B$8,"",IF($BI68="-&gt;",$BL68,$BD68)))</f>
        <v/>
      </c>
      <c r="CO68" s="141" t="str">
        <f aca="false">IF(ISBLANK($C68),"",IF($BR68&lt;&gt;Constants!$B$8,"",IF($BI68="-&gt;",$BM68+$BN68,$BE68+$BF68)+$BV68))</f>
        <v/>
      </c>
      <c r="CP68" s="141" t="str">
        <f aca="false">IF(ISBLANK($C68),"",IF($BR68&lt;&gt;Constants!$B$8,"",IF($BI68="-&gt;",$BO68,$BG68)+$BU68))</f>
        <v/>
      </c>
      <c r="CQ68" s="142" t="str">
        <f aca="false">IF(ISBLANK($C68),"",IF($BR68&lt;&gt;Constants!$B$8,$BR68,$BW68))</f>
        <v/>
      </c>
      <c r="CR68" s="143" t="str">
        <f aca="false">IF(ISBLANK($C68),"",$BS68)</f>
        <v/>
      </c>
      <c r="CS68" s="144" t="str">
        <f aca="false">IF(ISBLANK($C68),"",$CH68)</f>
        <v/>
      </c>
      <c r="CT68" s="144" t="str">
        <f aca="false">IF(ISBLANK($C68),"",$CG68)</f>
        <v/>
      </c>
      <c r="CU68" s="145" t="str">
        <f aca="false">IF(ISBLANK($C68),"",IFERROR(_xlfn.SWITCH($CT68,Constants!$B$11,COUNTA($C$9:$C$508)+2,Constants!$B$10,COUNTA($C$9:$C$508)+1,Constants!$B$9,COUNTA($C$9:$C$508)),$CT68))</f>
        <v/>
      </c>
      <c r="CV68" s="9"/>
      <c r="CW68" s="146" t="n">
        <f aca="false">IF(OR(ISNUMBER($CT68),$CT68=Constants!$B$11,$CT68=Constants!$B$9,$CT68=Constants!$B$10),1,0)</f>
        <v>0</v>
      </c>
      <c r="CX68" s="146" t="n">
        <v>60</v>
      </c>
      <c r="CY68" s="146" t="str">
        <f aca="false">IF(ISBLANK($C68),"",IF(ISNUMBER($CU68),$CU68+ROW($B68)/1000,""))</f>
        <v/>
      </c>
      <c r="CZ68" s="146" t="str">
        <f aca="false">IF(ISNUMBER($CY68),RANK($CY68,$CY$9:$CY$508,1),"")</f>
        <v/>
      </c>
      <c r="DA68" s="146" t="str">
        <f aca="false">IF(ISBLANK($C68),"",$B68)</f>
        <v/>
      </c>
      <c r="DB68" s="146" t="str">
        <f aca="false">IF(ISBLANK($C68),"",$C68)</f>
        <v/>
      </c>
      <c r="DC68" s="146" t="str">
        <f aca="false">IF(ISBLANK($C68),"",$D68)</f>
        <v/>
      </c>
      <c r="DD68" s="147" t="str">
        <f aca="false">$CR68</f>
        <v/>
      </c>
      <c r="DE68" s="148" t="str">
        <f aca="false">$CQ68</f>
        <v/>
      </c>
      <c r="DF68" s="146" t="str">
        <f aca="false">IF(ISBLANK($C68),"",$CT68)</f>
        <v/>
      </c>
      <c r="DG68" s="149" t="str">
        <f aca="false">IF($CX68&gt;$CW$8,"",VLOOKUP($CX68,$CZ$9:$DF$508,7,FALSE()))</f>
        <v/>
      </c>
      <c r="DH68" s="150" t="str">
        <f aca="false">IF($CX68&gt;$CW$8,"",VLOOKUP($CX68,$CZ$9:$DF$508,2,FALSE()))</f>
        <v/>
      </c>
      <c r="DI68" s="150" t="str">
        <f aca="false">IF($CX68&gt;$CW$8,"",VLOOKUP($CX68,$CZ$9:$DF$508,3,FALSE()))</f>
        <v/>
      </c>
      <c r="DJ68" s="150" t="str">
        <f aca="false">IF($CX68&gt;$CW$8,"",VLOOKUP($CX68,$CZ$9:$DF$508,4,FALSE()))</f>
        <v/>
      </c>
      <c r="DK68" s="150" t="str">
        <f aca="false">IF($CX68&gt;$CW$8,"",VLOOKUP($CX68,$CZ$9:$DF$508,5,FALSE()))</f>
        <v/>
      </c>
      <c r="DL68" s="151" t="str">
        <f aca="false">IF($CX68&gt;$CW$8,"",VLOOKUP($CX68,$CZ$9:$DF$508,6,FALSE()))</f>
        <v/>
      </c>
      <c r="DM68" s="75"/>
    </row>
    <row r="69" customFormat="false" ht="15.75" hidden="false" customHeight="false" outlineLevel="0" collapsed="false">
      <c r="A69" s="9"/>
      <c r="B69" s="77"/>
      <c r="C69" s="78"/>
      <c r="D69" s="167"/>
      <c r="E69" s="175"/>
      <c r="F69" s="169"/>
      <c r="G69" s="170"/>
      <c r="H69" s="170"/>
      <c r="I69" s="176"/>
      <c r="J69" s="173"/>
      <c r="K69" s="85"/>
      <c r="L69" s="86"/>
      <c r="M69" s="87"/>
      <c r="N69" s="173"/>
      <c r="O69" s="173"/>
      <c r="P69" s="175"/>
      <c r="Q69" s="173"/>
      <c r="R69" s="173"/>
      <c r="S69" s="85"/>
      <c r="T69" s="87"/>
      <c r="U69" s="87"/>
      <c r="V69" s="173"/>
      <c r="W69" s="173"/>
      <c r="X69" s="175"/>
      <c r="Y69" s="173"/>
      <c r="Z69" s="174"/>
      <c r="AA69" s="173"/>
      <c r="AB69" s="91"/>
      <c r="AC69" s="92"/>
      <c r="AD69" s="92"/>
      <c r="AE69" s="92"/>
      <c r="AF69" s="92" t="str">
        <f aca="false">IF(ISBLANK($C69),"",IF(E69=Constants!$B$3,TRUE(),IF(E69=Constants!$B$4,FALSE(),TRUE())))</f>
        <v/>
      </c>
      <c r="AG69" s="92" t="str">
        <f aca="false">IF(ISBLANK($C69),"",IF(F69=Constants!$B$3,TRUE(),IF(F69=Constants!$B$4,FALSE(),TRUE())))</f>
        <v/>
      </c>
      <c r="AH69" s="92" t="str">
        <f aca="false">IF(ISBLANK($C69),"",IF(G69=Constants!$B$3,TRUE(),IF(G69=Constants!$B$4,FALSE(),TRUE())))</f>
        <v/>
      </c>
      <c r="AI69" s="92" t="str">
        <f aca="false">IF(ISBLANK($C69),"",IF(AND(ISNUMBER(H69),H69&gt;=0),H69,Constants!$B$29))</f>
        <v/>
      </c>
      <c r="AJ69" s="92" t="str">
        <f aca="false">IF(ISBLANK($C69),"",IF(I69=Constants!$B$3,TRUE(),IF(I69=Constants!$B$4,FALSE(),TRUE())))</f>
        <v/>
      </c>
      <c r="AK69" s="92" t="str">
        <f aca="false">IF(ISBLANK($C69),"",IF(J69=Constants!$B$3,TRUE(),IF(J69=Constants!$B$4,FALSE(),TRUE())))</f>
        <v/>
      </c>
      <c r="AL69" s="92" t="str">
        <f aca="false">IF(ISBLANK($C69),"",IF(K69=Constants!$B$5,TRUE(),IF(K69=Constants!$B$6,FALSE(),COUNTA(L69:P69)&gt;0)))</f>
        <v/>
      </c>
      <c r="AM69" s="94" t="str">
        <f aca="false">IF(ISBLANK($C69),"",IF(ISNUMBER(L69),IF(L69&gt;=0,L69,""),""))</f>
        <v/>
      </c>
      <c r="AN69" s="93" t="str">
        <f aca="false">IF(ISBLANK($C69),"",IF(ISNUMBER(M69),IF(M69&gt;=0,M69,""),""))</f>
        <v/>
      </c>
      <c r="AO69" s="93" t="str">
        <f aca="false">IF(ISBLANK($C69),"",IF(N69=Constants!$B$3,TRUE(),IF(N69=Constants!$B$4,FALSE(),TRUE())))</f>
        <v/>
      </c>
      <c r="AP69" s="92" t="str">
        <f aca="false">IF(ISBLANK($C69),"",IF(ISNUMBER(O69),IF(O69&gt;=0,O69,""),""))</f>
        <v/>
      </c>
      <c r="AQ69" s="92" t="str">
        <f aca="false">IF(ISBLANK($C69),"",IF(P69=Constants!$B$3,TRUE(),IF(P69=Constants!$B$4,FALSE(),FALSE())))</f>
        <v/>
      </c>
      <c r="AR69" s="92" t="str">
        <f aca="false">IF(ISBLANK($C69),"",IF(Q69=Constants!$B$3,TRUE(),IF(Q69=Constants!$B$4,FALSE(),TRUE())))</f>
        <v/>
      </c>
      <c r="AS69" s="92" t="str">
        <f aca="false">IF(ISBLANK($C69),"",IF(R69=Constants!$B$3,TRUE(),IF(R69=Constants!$B$4,FALSE(),TRUE())))</f>
        <v/>
      </c>
      <c r="AT69" s="92" t="str">
        <f aca="false">IF(ISBLANK($C69),"",IF(S69=Constants!$B$5,TRUE(),IF(S69=Constants!$B$6,FALSE(),COUNTA(T69:X69)&gt;0)))</f>
        <v/>
      </c>
      <c r="AU69" s="94" t="str">
        <f aca="false">IF(ISBLANK($C69),"",IF(ISNUMBER(T69),IF(T69&gt;=0,T69,""),""))</f>
        <v/>
      </c>
      <c r="AV69" s="93" t="str">
        <f aca="false">IF(ISBLANK($C69),"",IF(ISNUMBER(U69),IF(U69&gt;=0,U69,""),""))</f>
        <v/>
      </c>
      <c r="AW69" s="93" t="str">
        <f aca="false">IF(ISBLANK($C69),"",IF(V69=Constants!$B$3,TRUE(),IF(V69=Constants!$B$4,FALSE(),TRUE())))</f>
        <v/>
      </c>
      <c r="AX69" s="92" t="str">
        <f aca="false">IF(ISBLANK($C69),"",IF(ISNUMBER(W69),IF(W69&gt;=0,W69,""),""))</f>
        <v/>
      </c>
      <c r="AY69" s="92" t="str">
        <f aca="false">IF(ISBLANK($C69),"",IF(X69=Constants!$B$3,TRUE(),IF(X69=Constants!$B$4,FALSE(),FALSE())))</f>
        <v/>
      </c>
      <c r="AZ69" s="92" t="str">
        <f aca="false">IF(ISBLANK($C69),"",MIN(Constants!$B$31,MAX(0,IF(ISNUMBER(Y69),Y69*60,0)+IF(ISNUMBER(Z69),Z69,0))))</f>
        <v/>
      </c>
      <c r="BA69" s="92" t="str">
        <f aca="false">IF(ISBLANK($C69),"",IF(AA69=Constants!$B$3,TRUE(),IF(AA69=Constants!$B$4,FALSE(),FALSE())))</f>
        <v/>
      </c>
      <c r="BB69" s="91" t="str">
        <f aca="false">IF(ISBLANK($C69),"",AND($AL69,OR($AM69="",$AN69="",AND($AO69,$AP69=""))))</f>
        <v/>
      </c>
      <c r="BC69" s="93" t="str">
        <f aca="false">IF($BR69&lt;&gt;Constants!$B$8,"",IF($AL69,Constants!$B$21*$AN69+Constants!$B$22*IF($AO69,$AP69,Constants!$B$23),Constants!$B$24))</f>
        <v/>
      </c>
      <c r="BD69" s="96" t="str">
        <f aca="false">IF($BR69&lt;&gt;Constants!$B$8,"",Constants!$B$25*ABS($AD$9-IF($AL69,$AM69,0)))</f>
        <v/>
      </c>
      <c r="BE69" s="96" t="str">
        <f aca="false">IF($BR69&lt;&gt;Constants!$B$8,"",IF(AND($AL69,$AQ69,$AO69),Constants!$B$27,0))</f>
        <v/>
      </c>
      <c r="BF69" s="96" t="str">
        <f aca="false">IF($BR69&lt;&gt;Constants!$B$8,"",IF($AL69,($AI69-Constants!$B$29)*Constants!$B$28,0))</f>
        <v/>
      </c>
      <c r="BG69" s="96" t="str">
        <f aca="false">IF($BR69&lt;&gt;Constants!$B$8,"",IF($AK69,0,Constants!$B$15)+IF($AJ69,0,Constants!$B$16)+IF($AH69,0,Constants!$B$17))</f>
        <v/>
      </c>
      <c r="BH69" s="97" t="str">
        <f aca="false">IF($BR69&lt;&gt;Constants!$B$8,"",Constants!$B$20+SUM($BC69:$BG69))</f>
        <v/>
      </c>
      <c r="BI69" s="92" t="str">
        <f aca="false">IF($BR69&lt;&gt;Constants!$B$8,"",IF(OR($BP69&lt;$BH69,AND($BP69=$BH69,OR($BK69&lt;$BC69,AND($BK69=$BC69,OR($BL69&lt;$BD69,AND($BL69=$BD69,$AT69,$AL69,$AV69&lt;$AN69)))))),"-&gt;","&lt;-"))</f>
        <v/>
      </c>
      <c r="BJ69" s="91" t="str">
        <f aca="false">IF(ISBLANK($C69),"",AND($AT69,OR($AU69="",$AV69="",AND($AW69,$AX69=""))))</f>
        <v/>
      </c>
      <c r="BK69" s="93" t="str">
        <f aca="false">IF($BR69&lt;&gt;Constants!$B$8,"",IF($AT69,Constants!$B$21*$AV69+Constants!$B$22*IF($AW69,$AX69,Constants!$B$23),Constants!$B$24))</f>
        <v/>
      </c>
      <c r="BL69" s="96" t="str">
        <f aca="false">IF($BR69&lt;&gt;Constants!$B$8,"",Constants!$B$25*ABS($AD$9-IF($AT69,$AU69,0)))</f>
        <v/>
      </c>
      <c r="BM69" s="96" t="str">
        <f aca="false">IF($BR69&lt;&gt;Constants!$B$8,"",IF(AND($AT69,$AY69,$AW69),Constants!$B$27,0))</f>
        <v/>
      </c>
      <c r="BN69" s="96" t="str">
        <f aca="false">IF($BR69&lt;&gt;Constants!$B$8,"",IF($AT69,($AI69-Constants!$B$29)*Constants!$B$28,0))</f>
        <v/>
      </c>
      <c r="BO69" s="96" t="str">
        <f aca="false">IF($BR69&lt;&gt;Constants!$B$8,"",IF($AS69,0,Constants!$B$15)+IF($AR69,0,Constants!$B$16)+IF($AH69,0,Constants!$B$17))</f>
        <v/>
      </c>
      <c r="BP69" s="97" t="str">
        <f aca="false">IF($BR69&lt;&gt;Constants!$B$8,"",Constants!$B$20+SUM($BK69:$BO69))</f>
        <v/>
      </c>
      <c r="BQ69" s="92" t="str">
        <f aca="false">IF(ISBLANK($C69),"",IF(ISBLANK($D$7),$BQ$5,IF(NOT(ISNUMBER($D$7)),$BQ$6,"")))</f>
        <v/>
      </c>
      <c r="BR69" s="92" t="str">
        <f aca="false">IF(ISBLANK($C69),"",IF($BA69,Constants!$B$11,IF(COUNTA($E69:$AA69)=0,Constants!$B$10,IF(NOT($AG69),Constants!$B$9,IF(OR($BQ69&lt;&gt;"",$BB69,$BJ69),Constants!$B$12,Constants!$B$8)))))</f>
        <v/>
      </c>
      <c r="BS69" s="92" t="str">
        <f aca="false">IF(ISBLANK($C69),"",IF($BR69&lt;&gt;Constants!$B$8,$BR69,Constants!$B$13))</f>
        <v/>
      </c>
      <c r="BT69" s="96" t="str">
        <f aca="false">IF($BR69&lt;&gt;Constants!$B$8,"",IF($BI69="-&gt;",$BP69,$BH69))</f>
        <v/>
      </c>
      <c r="BU69" s="96" t="str">
        <f aca="false">IF($BR69&lt;&gt;Constants!$B$8,"",IF($AF69,0,Constants!$B$18))</f>
        <v/>
      </c>
      <c r="BV69" s="96" t="str">
        <f aca="false">IF($BR69&lt;&gt;Constants!$B$8,"",((Constants!$B$31-$AZ69)-Constants!$B$31)/Constants!$B$32)</f>
        <v/>
      </c>
      <c r="BW69" s="96" t="str">
        <f aca="false">IF(ISBLANK($C69),"",IF($BR69&lt;&gt;Constants!$B$8,$BR69,SUM($BT69:$BV69)))</f>
        <v/>
      </c>
      <c r="BX69" s="92" t="str">
        <f aca="false">IF(ISBLANK($C69),"",IF($BR69&lt;&gt;Constants!$B$8,$BR69,RANK($BW69,$BW$9:$BW$508,1)))</f>
        <v/>
      </c>
      <c r="BY69" s="96" t="str">
        <f aca="false">IF($BR69&lt;&gt;Constants!$B$8,"",IF($BI69="-&gt;",$BK69,$BC69))</f>
        <v/>
      </c>
      <c r="BZ69" s="92" t="str">
        <f aca="false">IF(ISBLANK($C69),"",IF($BR69&lt;&gt;Constants!$B$8,$BR69,IF(ISNUMBER($BY69),RANK($BY69,$BY$9:$BY$508,1),COUNT($BY$9:$BY$508)+1)))</f>
        <v/>
      </c>
      <c r="CA69" s="96" t="str">
        <f aca="false">IF($BR69&lt;&gt;Constants!$B$8,"",IF($BI69="-&gt;",$BL69,$BD69))</f>
        <v/>
      </c>
      <c r="CB69" s="92" t="str">
        <f aca="false">IF(ISBLANK($C69),"",IF($BR69&lt;&gt;Constants!$B$8,$BR69,IF(ISNUMBER($CA69),RANK($CA69,$CA$9:$CA$508,1),COUNT($CA$9:$CA$508)+1)))</f>
        <v/>
      </c>
      <c r="CC69" s="96" t="str">
        <f aca="false">IF($BR69&lt;&gt;Constants!$B$8,"",IF($BI69="-&gt;",IF($AT69,$AV69,""),IF($AL69,$AN69,"")))</f>
        <v/>
      </c>
      <c r="CD69" s="92" t="str">
        <f aca="false">IF(ISBLANK($C69),"",IF($BR69&lt;&gt;Constants!$B$8,$BR69,IF(ISNUMBER($CC69),RANK($CC69,$CC$9:$CC$508,1),COUNT($CC$9:$CC$508)+1)))</f>
        <v/>
      </c>
      <c r="CE69" s="96" t="str">
        <f aca="false">IF($BR69&lt;&gt;Constants!$B$8,"",IF(AND(NOT($AL69),NOT($AT69),$AJ69,$AK69,$AR69,$AS69),"",$AI69))</f>
        <v/>
      </c>
      <c r="CF69" s="92" t="str">
        <f aca="false">IF(ISBLANK($C69),"",IF($BR69&lt;&gt;Constants!$B$8,$BR69,IF(ISNUMBER($CE69),RANK($CE69,$CE$9:$CE$508,1),COUNT($CE$9:$CE$508)+1)))</f>
        <v/>
      </c>
      <c r="CG69" s="92" t="str">
        <f aca="false">IF(ISBLANK($C69),"",IF($BR69&lt;&gt;Constants!$B$8,$BR69,COUNTIFS($BX$9:$BX$508,"&lt;"&amp;$BX69)+COUNTIFS($BX$9:$BX$508,$BX69,$BZ$9:$BZ$508,"&lt;"&amp;$BZ69)+COUNTIFS($BX$9:$BX$508,$BX69,$BZ$9:$BZ$508,$BZ69,$CB$9:$CB$508,"&lt;"&amp;$CB69)+COUNTIFS($BX$9:$BX$508,$BX69,$BZ$9:$BZ$508,$BZ69,$CB$9:$CB$508,$CB69,$CD$9:$CD$508,"&lt;"&amp;$CD69)+COUNTIFS($BX$9:$BX$508,$BX69,$BZ$9:$BZ$508,$BZ69,$CB$9:$CB$508,$CB69,$CD$9:$CD$508,$CD69,$CF$9:$CF$508,"&lt;"&amp;$CF69)+1))</f>
        <v/>
      </c>
      <c r="CH69" s="92" t="str">
        <f aca="false">IF(ISBLANK($C69),"",IF($BR69&lt;&gt;Constants!$B$8,$BR69,$BX69-$CG69))</f>
        <v/>
      </c>
      <c r="CI69" s="98"/>
      <c r="CJ69" s="99"/>
      <c r="CK69" s="100" t="str">
        <f aca="false">IF(ISBLANK($C69),"",IF($BR69=Constants!$B$12,$BQ69,""))</f>
        <v/>
      </c>
      <c r="CL69" s="99" t="str">
        <f aca="false">IF(ISBLANK($C69),"",IF($BR69&lt;&gt;Constants!$B$8,"",IF($BI69="-&gt;",2,1)))</f>
        <v/>
      </c>
      <c r="CM69" s="101" t="str">
        <f aca="false">IF(ISBLANK($C69),"",IF($BR69&lt;&gt;Constants!$B$8,"",IF($BI69="-&gt;",$BK69,$BC69)))</f>
        <v/>
      </c>
      <c r="CN69" s="101" t="str">
        <f aca="false">IF(ISBLANK($C69),"",IF($BR69&lt;&gt;Constants!$B$8,"",IF($BI69="-&gt;",$BL69,$BD69)))</f>
        <v/>
      </c>
      <c r="CO69" s="101" t="str">
        <f aca="false">IF(ISBLANK($C69),"",IF($BR69&lt;&gt;Constants!$B$8,"",IF($BI69="-&gt;",$BM69+$BN69,$BE69+$BF69)+$BV69))</f>
        <v/>
      </c>
      <c r="CP69" s="101" t="str">
        <f aca="false">IF(ISBLANK($C69),"",IF($BR69&lt;&gt;Constants!$B$8,"",IF($BI69="-&gt;",$BO69,$BG69)+$BU69))</f>
        <v/>
      </c>
      <c r="CQ69" s="102" t="str">
        <f aca="false">IF(ISBLANK($C69),"",IF($BR69&lt;&gt;Constants!$B$8,$BR69,$BW69))</f>
        <v/>
      </c>
      <c r="CR69" s="103" t="str">
        <f aca="false">IF(ISBLANK($C69),"",$BS69)</f>
        <v/>
      </c>
      <c r="CS69" s="104" t="str">
        <f aca="false">IF(ISBLANK($C69),"",$CH69)</f>
        <v/>
      </c>
      <c r="CT69" s="104" t="str">
        <f aca="false">IF(ISBLANK($C69),"",$CG69)</f>
        <v/>
      </c>
      <c r="CU69" s="105" t="str">
        <f aca="false">IF(ISBLANK($C69),"",IFERROR(_xlfn.SWITCH($CT69,Constants!$B$11,COUNTA($C$9:$C$508)+2,Constants!$B$10,COUNTA($C$9:$C$508)+1,Constants!$B$9,COUNTA($C$9:$C$508)),$CT69))</f>
        <v/>
      </c>
      <c r="CV69" s="9"/>
      <c r="CW69" s="106" t="n">
        <f aca="false">IF(OR(ISNUMBER($CT69),$CT69=Constants!$B$11,$CT69=Constants!$B$9,$CT69=Constants!$B$10),1,0)</f>
        <v>0</v>
      </c>
      <c r="CX69" s="106" t="n">
        <v>61</v>
      </c>
      <c r="CY69" s="106" t="str">
        <f aca="false">IF(ISBLANK($C69),"",IF(ISNUMBER($CU69),$CU69+ROW($B69)/1000,""))</f>
        <v/>
      </c>
      <c r="CZ69" s="106" t="str">
        <f aca="false">IF(ISNUMBER($CY69),RANK($CY69,$CY$9:$CY$508,1),"")</f>
        <v/>
      </c>
      <c r="DA69" s="106" t="str">
        <f aca="false">IF(ISBLANK($C69),"",$B69)</f>
        <v/>
      </c>
      <c r="DB69" s="106" t="str">
        <f aca="false">IF(ISBLANK($C69),"",$C69)</f>
        <v/>
      </c>
      <c r="DC69" s="106" t="str">
        <f aca="false">IF(ISBLANK($C69),"",$D69)</f>
        <v/>
      </c>
      <c r="DD69" s="107" t="str">
        <f aca="false">$CR69</f>
        <v/>
      </c>
      <c r="DE69" s="108" t="str">
        <f aca="false">$CQ69</f>
        <v/>
      </c>
      <c r="DF69" s="106" t="str">
        <f aca="false">IF(ISBLANK($C69),"",$CT69)</f>
        <v/>
      </c>
      <c r="DG69" s="109" t="str">
        <f aca="false">IF($CX69&gt;$CW$8,"",VLOOKUP($CX69,$CZ$9:$DF$508,7,FALSE()))</f>
        <v/>
      </c>
      <c r="DH69" s="110" t="str">
        <f aca="false">IF($CX69&gt;$CW$8,"",VLOOKUP($CX69,$CZ$9:$DF$508,2,FALSE()))</f>
        <v/>
      </c>
      <c r="DI69" s="110" t="str">
        <f aca="false">IF($CX69&gt;$CW$8,"",VLOOKUP($CX69,$CZ$9:$DF$508,3,FALSE()))</f>
        <v/>
      </c>
      <c r="DJ69" s="110" t="str">
        <f aca="false">IF($CX69&gt;$CW$8,"",VLOOKUP($CX69,$CZ$9:$DF$508,4,FALSE()))</f>
        <v/>
      </c>
      <c r="DK69" s="110" t="str">
        <f aca="false">IF($CX69&gt;$CW$8,"",VLOOKUP($CX69,$CZ$9:$DF$508,5,FALSE()))</f>
        <v/>
      </c>
      <c r="DL69" s="111" t="str">
        <f aca="false">IF($CX69&gt;$CW$8,"",VLOOKUP($CX69,$CZ$9:$DF$508,6,FALSE()))</f>
        <v/>
      </c>
      <c r="DM69" s="75"/>
    </row>
    <row r="70" customFormat="false" ht="15.75" hidden="false" customHeight="false" outlineLevel="0" collapsed="false">
      <c r="A70" s="9"/>
      <c r="B70" s="77"/>
      <c r="C70" s="78"/>
      <c r="D70" s="167"/>
      <c r="E70" s="175"/>
      <c r="F70" s="169"/>
      <c r="G70" s="170"/>
      <c r="H70" s="170"/>
      <c r="I70" s="176"/>
      <c r="J70" s="173"/>
      <c r="K70" s="85"/>
      <c r="L70" s="86"/>
      <c r="M70" s="87"/>
      <c r="N70" s="173"/>
      <c r="O70" s="173"/>
      <c r="P70" s="175"/>
      <c r="Q70" s="173"/>
      <c r="R70" s="173"/>
      <c r="S70" s="85"/>
      <c r="T70" s="87"/>
      <c r="U70" s="87"/>
      <c r="V70" s="173"/>
      <c r="W70" s="173"/>
      <c r="X70" s="175"/>
      <c r="Y70" s="173"/>
      <c r="Z70" s="174"/>
      <c r="AA70" s="173"/>
      <c r="AB70" s="91"/>
      <c r="AC70" s="92"/>
      <c r="AD70" s="92"/>
      <c r="AE70" s="92"/>
      <c r="AF70" s="92" t="str">
        <f aca="false">IF(ISBLANK($C70),"",IF(E70=Constants!$B$3,TRUE(),IF(E70=Constants!$B$4,FALSE(),TRUE())))</f>
        <v/>
      </c>
      <c r="AG70" s="92" t="str">
        <f aca="false">IF(ISBLANK($C70),"",IF(F70=Constants!$B$3,TRUE(),IF(F70=Constants!$B$4,FALSE(),TRUE())))</f>
        <v/>
      </c>
      <c r="AH70" s="92" t="str">
        <f aca="false">IF(ISBLANK($C70),"",IF(G70=Constants!$B$3,TRUE(),IF(G70=Constants!$B$4,FALSE(),TRUE())))</f>
        <v/>
      </c>
      <c r="AI70" s="92" t="str">
        <f aca="false">IF(ISBLANK($C70),"",IF(AND(ISNUMBER(H70),H70&gt;=0),H70,Constants!$B$29))</f>
        <v/>
      </c>
      <c r="AJ70" s="92" t="str">
        <f aca="false">IF(ISBLANK($C70),"",IF(I70=Constants!$B$3,TRUE(),IF(I70=Constants!$B$4,FALSE(),TRUE())))</f>
        <v/>
      </c>
      <c r="AK70" s="92" t="str">
        <f aca="false">IF(ISBLANK($C70),"",IF(J70=Constants!$B$3,TRUE(),IF(J70=Constants!$B$4,FALSE(),TRUE())))</f>
        <v/>
      </c>
      <c r="AL70" s="92" t="str">
        <f aca="false">IF(ISBLANK($C70),"",IF(K70=Constants!$B$5,TRUE(),IF(K70=Constants!$B$6,FALSE(),COUNTA(L70:P70)&gt;0)))</f>
        <v/>
      </c>
      <c r="AM70" s="94" t="str">
        <f aca="false">IF(ISBLANK($C70),"",IF(ISNUMBER(L70),IF(L70&gt;=0,L70,""),""))</f>
        <v/>
      </c>
      <c r="AN70" s="93" t="str">
        <f aca="false">IF(ISBLANK($C70),"",IF(ISNUMBER(M70),IF(M70&gt;=0,M70,""),""))</f>
        <v/>
      </c>
      <c r="AO70" s="93" t="str">
        <f aca="false">IF(ISBLANK($C70),"",IF(N70=Constants!$B$3,TRUE(),IF(N70=Constants!$B$4,FALSE(),TRUE())))</f>
        <v/>
      </c>
      <c r="AP70" s="92" t="str">
        <f aca="false">IF(ISBLANK($C70),"",IF(ISNUMBER(O70),IF(O70&gt;=0,O70,""),""))</f>
        <v/>
      </c>
      <c r="AQ70" s="92" t="str">
        <f aca="false">IF(ISBLANK($C70),"",IF(P70=Constants!$B$3,TRUE(),IF(P70=Constants!$B$4,FALSE(),FALSE())))</f>
        <v/>
      </c>
      <c r="AR70" s="92" t="str">
        <f aca="false">IF(ISBLANK($C70),"",IF(Q70=Constants!$B$3,TRUE(),IF(Q70=Constants!$B$4,FALSE(),TRUE())))</f>
        <v/>
      </c>
      <c r="AS70" s="92" t="str">
        <f aca="false">IF(ISBLANK($C70),"",IF(R70=Constants!$B$3,TRUE(),IF(R70=Constants!$B$4,FALSE(),TRUE())))</f>
        <v/>
      </c>
      <c r="AT70" s="92" t="str">
        <f aca="false">IF(ISBLANK($C70),"",IF(S70=Constants!$B$5,TRUE(),IF(S70=Constants!$B$6,FALSE(),COUNTA(T70:X70)&gt;0)))</f>
        <v/>
      </c>
      <c r="AU70" s="94" t="str">
        <f aca="false">IF(ISBLANK($C70),"",IF(ISNUMBER(T70),IF(T70&gt;=0,T70,""),""))</f>
        <v/>
      </c>
      <c r="AV70" s="93" t="str">
        <f aca="false">IF(ISBLANK($C70),"",IF(ISNUMBER(U70),IF(U70&gt;=0,U70,""),""))</f>
        <v/>
      </c>
      <c r="AW70" s="93" t="str">
        <f aca="false">IF(ISBLANK($C70),"",IF(V70=Constants!$B$3,TRUE(),IF(V70=Constants!$B$4,FALSE(),TRUE())))</f>
        <v/>
      </c>
      <c r="AX70" s="92" t="str">
        <f aca="false">IF(ISBLANK($C70),"",IF(ISNUMBER(W70),IF(W70&gt;=0,W70,""),""))</f>
        <v/>
      </c>
      <c r="AY70" s="92" t="str">
        <f aca="false">IF(ISBLANK($C70),"",IF(X70=Constants!$B$3,TRUE(),IF(X70=Constants!$B$4,FALSE(),FALSE())))</f>
        <v/>
      </c>
      <c r="AZ70" s="92" t="str">
        <f aca="false">IF(ISBLANK($C70),"",MIN(Constants!$B$31,MAX(0,IF(ISNUMBER(Y70),Y70*60,0)+IF(ISNUMBER(Z70),Z70,0))))</f>
        <v/>
      </c>
      <c r="BA70" s="92" t="str">
        <f aca="false">IF(ISBLANK($C70),"",IF(AA70=Constants!$B$3,TRUE(),IF(AA70=Constants!$B$4,FALSE(),FALSE())))</f>
        <v/>
      </c>
      <c r="BB70" s="91" t="str">
        <f aca="false">IF(ISBLANK($C70),"",AND($AL70,OR($AM70="",$AN70="",AND($AO70,$AP70=""))))</f>
        <v/>
      </c>
      <c r="BC70" s="93" t="str">
        <f aca="false">IF($BR70&lt;&gt;Constants!$B$8,"",IF($AL70,Constants!$B$21*$AN70+Constants!$B$22*IF($AO70,$AP70,Constants!$B$23),Constants!$B$24))</f>
        <v/>
      </c>
      <c r="BD70" s="96" t="str">
        <f aca="false">IF($BR70&lt;&gt;Constants!$B$8,"",Constants!$B$25*ABS($AD$9-IF($AL70,$AM70,0)))</f>
        <v/>
      </c>
      <c r="BE70" s="96" t="str">
        <f aca="false">IF($BR70&lt;&gt;Constants!$B$8,"",IF(AND($AL70,$AQ70,$AO70),Constants!$B$27,0))</f>
        <v/>
      </c>
      <c r="BF70" s="96" t="str">
        <f aca="false">IF($BR70&lt;&gt;Constants!$B$8,"",IF($AL70,($AI70-Constants!$B$29)*Constants!$B$28,0))</f>
        <v/>
      </c>
      <c r="BG70" s="96" t="str">
        <f aca="false">IF($BR70&lt;&gt;Constants!$B$8,"",IF($AK70,0,Constants!$B$15)+IF($AJ70,0,Constants!$B$16)+IF($AH70,0,Constants!$B$17))</f>
        <v/>
      </c>
      <c r="BH70" s="97" t="str">
        <f aca="false">IF($BR70&lt;&gt;Constants!$B$8,"",Constants!$B$20+SUM($BC70:$BG70))</f>
        <v/>
      </c>
      <c r="BI70" s="92" t="str">
        <f aca="false">IF($BR70&lt;&gt;Constants!$B$8,"",IF(OR($BP70&lt;$BH70,AND($BP70=$BH70,OR($BK70&lt;$BC70,AND($BK70=$BC70,OR($BL70&lt;$BD70,AND($BL70=$BD70,$AT70,$AL70,$AV70&lt;$AN70)))))),"-&gt;","&lt;-"))</f>
        <v/>
      </c>
      <c r="BJ70" s="91" t="str">
        <f aca="false">IF(ISBLANK($C70),"",AND($AT70,OR($AU70="",$AV70="",AND($AW70,$AX70=""))))</f>
        <v/>
      </c>
      <c r="BK70" s="93" t="str">
        <f aca="false">IF($BR70&lt;&gt;Constants!$B$8,"",IF($AT70,Constants!$B$21*$AV70+Constants!$B$22*IF($AW70,$AX70,Constants!$B$23),Constants!$B$24))</f>
        <v/>
      </c>
      <c r="BL70" s="96" t="str">
        <f aca="false">IF($BR70&lt;&gt;Constants!$B$8,"",Constants!$B$25*ABS($AD$9-IF($AT70,$AU70,0)))</f>
        <v/>
      </c>
      <c r="BM70" s="96" t="str">
        <f aca="false">IF($BR70&lt;&gt;Constants!$B$8,"",IF(AND($AT70,$AY70,$AW70),Constants!$B$27,0))</f>
        <v/>
      </c>
      <c r="BN70" s="96" t="str">
        <f aca="false">IF($BR70&lt;&gt;Constants!$B$8,"",IF($AT70,($AI70-Constants!$B$29)*Constants!$B$28,0))</f>
        <v/>
      </c>
      <c r="BO70" s="96" t="str">
        <f aca="false">IF($BR70&lt;&gt;Constants!$B$8,"",IF($AS70,0,Constants!$B$15)+IF($AR70,0,Constants!$B$16)+IF($AH70,0,Constants!$B$17))</f>
        <v/>
      </c>
      <c r="BP70" s="97" t="str">
        <f aca="false">IF($BR70&lt;&gt;Constants!$B$8,"",Constants!$B$20+SUM($BK70:$BO70))</f>
        <v/>
      </c>
      <c r="BQ70" s="92" t="str">
        <f aca="false">IF(ISBLANK($C70),"",IF(ISBLANK($D$7),$BQ$5,IF(NOT(ISNUMBER($D$7)),$BQ$6,"")))</f>
        <v/>
      </c>
      <c r="BR70" s="92" t="str">
        <f aca="false">IF(ISBLANK($C70),"",IF($BA70,Constants!$B$11,IF(COUNTA($E70:$AA70)=0,Constants!$B$10,IF(NOT($AG70),Constants!$B$9,IF(OR($BQ70&lt;&gt;"",$BB70,$BJ70),Constants!$B$12,Constants!$B$8)))))</f>
        <v/>
      </c>
      <c r="BS70" s="92" t="str">
        <f aca="false">IF(ISBLANK($C70),"",IF($BR70&lt;&gt;Constants!$B$8,$BR70,Constants!$B$13))</f>
        <v/>
      </c>
      <c r="BT70" s="96" t="str">
        <f aca="false">IF($BR70&lt;&gt;Constants!$B$8,"",IF($BI70="-&gt;",$BP70,$BH70))</f>
        <v/>
      </c>
      <c r="BU70" s="96" t="str">
        <f aca="false">IF($BR70&lt;&gt;Constants!$B$8,"",IF($AF70,0,Constants!$B$18))</f>
        <v/>
      </c>
      <c r="BV70" s="96" t="str">
        <f aca="false">IF($BR70&lt;&gt;Constants!$B$8,"",((Constants!$B$31-$AZ70)-Constants!$B$31)/Constants!$B$32)</f>
        <v/>
      </c>
      <c r="BW70" s="96" t="str">
        <f aca="false">IF(ISBLANK($C70),"",IF($BR70&lt;&gt;Constants!$B$8,$BR70,SUM($BT70:$BV70)))</f>
        <v/>
      </c>
      <c r="BX70" s="92" t="str">
        <f aca="false">IF(ISBLANK($C70),"",IF($BR70&lt;&gt;Constants!$B$8,$BR70,RANK($BW70,$BW$9:$BW$508,1)))</f>
        <v/>
      </c>
      <c r="BY70" s="96" t="str">
        <f aca="false">IF($BR70&lt;&gt;Constants!$B$8,"",IF($BI70="-&gt;",$BK70,$BC70))</f>
        <v/>
      </c>
      <c r="BZ70" s="92" t="str">
        <f aca="false">IF(ISBLANK($C70),"",IF($BR70&lt;&gt;Constants!$B$8,$BR70,IF(ISNUMBER($BY70),RANK($BY70,$BY$9:$BY$508,1),COUNT($BY$9:$BY$508)+1)))</f>
        <v/>
      </c>
      <c r="CA70" s="96" t="str">
        <f aca="false">IF($BR70&lt;&gt;Constants!$B$8,"",IF($BI70="-&gt;",$BL70,$BD70))</f>
        <v/>
      </c>
      <c r="CB70" s="92" t="str">
        <f aca="false">IF(ISBLANK($C70),"",IF($BR70&lt;&gt;Constants!$B$8,$BR70,IF(ISNUMBER($CA70),RANK($CA70,$CA$9:$CA$508,1),COUNT($CA$9:$CA$508)+1)))</f>
        <v/>
      </c>
      <c r="CC70" s="96" t="str">
        <f aca="false">IF($BR70&lt;&gt;Constants!$B$8,"",IF($BI70="-&gt;",IF($AT70,$AV70,""),IF($AL70,$AN70,"")))</f>
        <v/>
      </c>
      <c r="CD70" s="92" t="str">
        <f aca="false">IF(ISBLANK($C70),"",IF($BR70&lt;&gt;Constants!$B$8,$BR70,IF(ISNUMBER($CC70),RANK($CC70,$CC$9:$CC$508,1),COUNT($CC$9:$CC$508)+1)))</f>
        <v/>
      </c>
      <c r="CE70" s="96" t="str">
        <f aca="false">IF($BR70&lt;&gt;Constants!$B$8,"",IF(AND(NOT($AL70),NOT($AT70),$AJ70,$AK70,$AR70,$AS70),"",$AI70))</f>
        <v/>
      </c>
      <c r="CF70" s="92" t="str">
        <f aca="false">IF(ISBLANK($C70),"",IF($BR70&lt;&gt;Constants!$B$8,$BR70,IF(ISNUMBER($CE70),RANK($CE70,$CE$9:$CE$508,1),COUNT($CE$9:$CE$508)+1)))</f>
        <v/>
      </c>
      <c r="CG70" s="92" t="str">
        <f aca="false">IF(ISBLANK($C70),"",IF($BR70&lt;&gt;Constants!$B$8,$BR70,COUNTIFS($BX$9:$BX$508,"&lt;"&amp;$BX70)+COUNTIFS($BX$9:$BX$508,$BX70,$BZ$9:$BZ$508,"&lt;"&amp;$BZ70)+COUNTIFS($BX$9:$BX$508,$BX70,$BZ$9:$BZ$508,$BZ70,$CB$9:$CB$508,"&lt;"&amp;$CB70)+COUNTIFS($BX$9:$BX$508,$BX70,$BZ$9:$BZ$508,$BZ70,$CB$9:$CB$508,$CB70,$CD$9:$CD$508,"&lt;"&amp;$CD70)+COUNTIFS($BX$9:$BX$508,$BX70,$BZ$9:$BZ$508,$BZ70,$CB$9:$CB$508,$CB70,$CD$9:$CD$508,$CD70,$CF$9:$CF$508,"&lt;"&amp;$CF70)+1))</f>
        <v/>
      </c>
      <c r="CH70" s="92" t="str">
        <f aca="false">IF(ISBLANK($C70),"",IF($BR70&lt;&gt;Constants!$B$8,$BR70,$BX70-$CG70))</f>
        <v/>
      </c>
      <c r="CI70" s="98"/>
      <c r="CJ70" s="99"/>
      <c r="CK70" s="100" t="str">
        <f aca="false">IF(ISBLANK($C70),"",IF($BR70=Constants!$B$12,$BQ70,""))</f>
        <v/>
      </c>
      <c r="CL70" s="99" t="str">
        <f aca="false">IF(ISBLANK($C70),"",IF($BR70&lt;&gt;Constants!$B$8,"",IF($BI70="-&gt;",2,1)))</f>
        <v/>
      </c>
      <c r="CM70" s="101" t="str">
        <f aca="false">IF(ISBLANK($C70),"",IF($BR70&lt;&gt;Constants!$B$8,"",IF($BI70="-&gt;",$BK70,$BC70)))</f>
        <v/>
      </c>
      <c r="CN70" s="101" t="str">
        <f aca="false">IF(ISBLANK($C70),"",IF($BR70&lt;&gt;Constants!$B$8,"",IF($BI70="-&gt;",$BL70,$BD70)))</f>
        <v/>
      </c>
      <c r="CO70" s="101" t="str">
        <f aca="false">IF(ISBLANK($C70),"",IF($BR70&lt;&gt;Constants!$B$8,"",IF($BI70="-&gt;",$BM70+$BN70,$BE70+$BF70)+$BV70))</f>
        <v/>
      </c>
      <c r="CP70" s="101" t="str">
        <f aca="false">IF(ISBLANK($C70),"",IF($BR70&lt;&gt;Constants!$B$8,"",IF($BI70="-&gt;",$BO70,$BG70)+$BU70))</f>
        <v/>
      </c>
      <c r="CQ70" s="102" t="str">
        <f aca="false">IF(ISBLANK($C70),"",IF($BR70&lt;&gt;Constants!$B$8,$BR70,$BW70))</f>
        <v/>
      </c>
      <c r="CR70" s="103" t="str">
        <f aca="false">IF(ISBLANK($C70),"",$BS70)</f>
        <v/>
      </c>
      <c r="CS70" s="104" t="str">
        <f aca="false">IF(ISBLANK($C70),"",$CH70)</f>
        <v/>
      </c>
      <c r="CT70" s="104" t="str">
        <f aca="false">IF(ISBLANK($C70),"",$CG70)</f>
        <v/>
      </c>
      <c r="CU70" s="105" t="str">
        <f aca="false">IF(ISBLANK($C70),"",IFERROR(_xlfn.SWITCH($CT70,Constants!$B$11,COUNTA($C$9:$C$508)+2,Constants!$B$10,COUNTA($C$9:$C$508)+1,Constants!$B$9,COUNTA($C$9:$C$508)),$CT70))</f>
        <v/>
      </c>
      <c r="CV70" s="9"/>
      <c r="CW70" s="106" t="n">
        <f aca="false">IF(OR(ISNUMBER($CT70),$CT70=Constants!$B$11,$CT70=Constants!$B$9,$CT70=Constants!$B$10),1,0)</f>
        <v>0</v>
      </c>
      <c r="CX70" s="106" t="n">
        <v>62</v>
      </c>
      <c r="CY70" s="106" t="str">
        <f aca="false">IF(ISBLANK($C70),"",IF(ISNUMBER($CU70),$CU70+ROW($B70)/1000,""))</f>
        <v/>
      </c>
      <c r="CZ70" s="106" t="str">
        <f aca="false">IF(ISNUMBER($CY70),RANK($CY70,$CY$9:$CY$508,1),"")</f>
        <v/>
      </c>
      <c r="DA70" s="106" t="str">
        <f aca="false">IF(ISBLANK($C70),"",$B70)</f>
        <v/>
      </c>
      <c r="DB70" s="106" t="str">
        <f aca="false">IF(ISBLANK($C70),"",$C70)</f>
        <v/>
      </c>
      <c r="DC70" s="106" t="str">
        <f aca="false">IF(ISBLANK($C70),"",$D70)</f>
        <v/>
      </c>
      <c r="DD70" s="107" t="str">
        <f aca="false">$CR70</f>
        <v/>
      </c>
      <c r="DE70" s="108" t="str">
        <f aca="false">$CQ70</f>
        <v/>
      </c>
      <c r="DF70" s="106" t="str">
        <f aca="false">IF(ISBLANK($C70),"",$CT70)</f>
        <v/>
      </c>
      <c r="DG70" s="109" t="str">
        <f aca="false">IF($CX70&gt;$CW$8,"",VLOOKUP($CX70,$CZ$9:$DF$508,7,FALSE()))</f>
        <v/>
      </c>
      <c r="DH70" s="110" t="str">
        <f aca="false">IF($CX70&gt;$CW$8,"",VLOOKUP($CX70,$CZ$9:$DF$508,2,FALSE()))</f>
        <v/>
      </c>
      <c r="DI70" s="110" t="str">
        <f aca="false">IF($CX70&gt;$CW$8,"",VLOOKUP($CX70,$CZ$9:$DF$508,3,FALSE()))</f>
        <v/>
      </c>
      <c r="DJ70" s="110" t="str">
        <f aca="false">IF($CX70&gt;$CW$8,"",VLOOKUP($CX70,$CZ$9:$DF$508,4,FALSE()))</f>
        <v/>
      </c>
      <c r="DK70" s="110" t="str">
        <f aca="false">IF($CX70&gt;$CW$8,"",VLOOKUP($CX70,$CZ$9:$DF$508,5,FALSE()))</f>
        <v/>
      </c>
      <c r="DL70" s="111" t="str">
        <f aca="false">IF($CX70&gt;$CW$8,"",VLOOKUP($CX70,$CZ$9:$DF$508,6,FALSE()))</f>
        <v/>
      </c>
      <c r="DM70" s="75"/>
    </row>
    <row r="71" customFormat="false" ht="15.75" hidden="false" customHeight="false" outlineLevel="0" collapsed="false">
      <c r="A71" s="9"/>
      <c r="B71" s="77"/>
      <c r="C71" s="78"/>
      <c r="D71" s="167"/>
      <c r="E71" s="175"/>
      <c r="F71" s="169"/>
      <c r="G71" s="170"/>
      <c r="H71" s="170"/>
      <c r="I71" s="176"/>
      <c r="J71" s="173"/>
      <c r="K71" s="85"/>
      <c r="L71" s="86"/>
      <c r="M71" s="87"/>
      <c r="N71" s="173"/>
      <c r="O71" s="173"/>
      <c r="P71" s="175"/>
      <c r="Q71" s="173"/>
      <c r="R71" s="173"/>
      <c r="S71" s="85"/>
      <c r="T71" s="87"/>
      <c r="U71" s="87"/>
      <c r="V71" s="173"/>
      <c r="W71" s="173"/>
      <c r="X71" s="175"/>
      <c r="Y71" s="173"/>
      <c r="Z71" s="174"/>
      <c r="AA71" s="173"/>
      <c r="AB71" s="91"/>
      <c r="AC71" s="92"/>
      <c r="AD71" s="92"/>
      <c r="AE71" s="92"/>
      <c r="AF71" s="92" t="str">
        <f aca="false">IF(ISBLANK($C71),"",IF(E71=Constants!$B$3,TRUE(),IF(E71=Constants!$B$4,FALSE(),TRUE())))</f>
        <v/>
      </c>
      <c r="AG71" s="92" t="str">
        <f aca="false">IF(ISBLANK($C71),"",IF(F71=Constants!$B$3,TRUE(),IF(F71=Constants!$B$4,FALSE(),TRUE())))</f>
        <v/>
      </c>
      <c r="AH71" s="92" t="str">
        <f aca="false">IF(ISBLANK($C71),"",IF(G71=Constants!$B$3,TRUE(),IF(G71=Constants!$B$4,FALSE(),TRUE())))</f>
        <v/>
      </c>
      <c r="AI71" s="92" t="str">
        <f aca="false">IF(ISBLANK($C71),"",IF(AND(ISNUMBER(H71),H71&gt;=0),H71,Constants!$B$29))</f>
        <v/>
      </c>
      <c r="AJ71" s="92" t="str">
        <f aca="false">IF(ISBLANK($C71),"",IF(I71=Constants!$B$3,TRUE(),IF(I71=Constants!$B$4,FALSE(),TRUE())))</f>
        <v/>
      </c>
      <c r="AK71" s="92" t="str">
        <f aca="false">IF(ISBLANK($C71),"",IF(J71=Constants!$B$3,TRUE(),IF(J71=Constants!$B$4,FALSE(),TRUE())))</f>
        <v/>
      </c>
      <c r="AL71" s="92" t="str">
        <f aca="false">IF(ISBLANK($C71),"",IF(K71=Constants!$B$5,TRUE(),IF(K71=Constants!$B$6,FALSE(),COUNTA(L71:P71)&gt;0)))</f>
        <v/>
      </c>
      <c r="AM71" s="94" t="str">
        <f aca="false">IF(ISBLANK($C71),"",IF(ISNUMBER(L71),IF(L71&gt;=0,L71,""),""))</f>
        <v/>
      </c>
      <c r="AN71" s="93" t="str">
        <f aca="false">IF(ISBLANK($C71),"",IF(ISNUMBER(M71),IF(M71&gt;=0,M71,""),""))</f>
        <v/>
      </c>
      <c r="AO71" s="93" t="str">
        <f aca="false">IF(ISBLANK($C71),"",IF(N71=Constants!$B$3,TRUE(),IF(N71=Constants!$B$4,FALSE(),TRUE())))</f>
        <v/>
      </c>
      <c r="AP71" s="92" t="str">
        <f aca="false">IF(ISBLANK($C71),"",IF(ISNUMBER(O71),IF(O71&gt;=0,O71,""),""))</f>
        <v/>
      </c>
      <c r="AQ71" s="92" t="str">
        <f aca="false">IF(ISBLANK($C71),"",IF(P71=Constants!$B$3,TRUE(),IF(P71=Constants!$B$4,FALSE(),FALSE())))</f>
        <v/>
      </c>
      <c r="AR71" s="92" t="str">
        <f aca="false">IF(ISBLANK($C71),"",IF(Q71=Constants!$B$3,TRUE(),IF(Q71=Constants!$B$4,FALSE(),TRUE())))</f>
        <v/>
      </c>
      <c r="AS71" s="92" t="str">
        <f aca="false">IF(ISBLANK($C71),"",IF(R71=Constants!$B$3,TRUE(),IF(R71=Constants!$B$4,FALSE(),TRUE())))</f>
        <v/>
      </c>
      <c r="AT71" s="92" t="str">
        <f aca="false">IF(ISBLANK($C71),"",IF(S71=Constants!$B$5,TRUE(),IF(S71=Constants!$B$6,FALSE(),COUNTA(T71:X71)&gt;0)))</f>
        <v/>
      </c>
      <c r="AU71" s="94" t="str">
        <f aca="false">IF(ISBLANK($C71),"",IF(ISNUMBER(T71),IF(T71&gt;=0,T71,""),""))</f>
        <v/>
      </c>
      <c r="AV71" s="93" t="str">
        <f aca="false">IF(ISBLANK($C71),"",IF(ISNUMBER(U71),IF(U71&gt;=0,U71,""),""))</f>
        <v/>
      </c>
      <c r="AW71" s="93" t="str">
        <f aca="false">IF(ISBLANK($C71),"",IF(V71=Constants!$B$3,TRUE(),IF(V71=Constants!$B$4,FALSE(),TRUE())))</f>
        <v/>
      </c>
      <c r="AX71" s="92" t="str">
        <f aca="false">IF(ISBLANK($C71),"",IF(ISNUMBER(W71),IF(W71&gt;=0,W71,""),""))</f>
        <v/>
      </c>
      <c r="AY71" s="92" t="str">
        <f aca="false">IF(ISBLANK($C71),"",IF(X71=Constants!$B$3,TRUE(),IF(X71=Constants!$B$4,FALSE(),FALSE())))</f>
        <v/>
      </c>
      <c r="AZ71" s="92" t="str">
        <f aca="false">IF(ISBLANK($C71),"",MIN(Constants!$B$31,MAX(0,IF(ISNUMBER(Y71),Y71*60,0)+IF(ISNUMBER(Z71),Z71,0))))</f>
        <v/>
      </c>
      <c r="BA71" s="92" t="str">
        <f aca="false">IF(ISBLANK($C71),"",IF(AA71=Constants!$B$3,TRUE(),IF(AA71=Constants!$B$4,FALSE(),FALSE())))</f>
        <v/>
      </c>
      <c r="BB71" s="91" t="str">
        <f aca="false">IF(ISBLANK($C71),"",AND($AL71,OR($AM71="",$AN71="",AND($AO71,$AP71=""))))</f>
        <v/>
      </c>
      <c r="BC71" s="93" t="str">
        <f aca="false">IF($BR71&lt;&gt;Constants!$B$8,"",IF($AL71,Constants!$B$21*$AN71+Constants!$B$22*IF($AO71,$AP71,Constants!$B$23),Constants!$B$24))</f>
        <v/>
      </c>
      <c r="BD71" s="96" t="str">
        <f aca="false">IF($BR71&lt;&gt;Constants!$B$8,"",Constants!$B$25*ABS($AD$9-IF($AL71,$AM71,0)))</f>
        <v/>
      </c>
      <c r="BE71" s="96" t="str">
        <f aca="false">IF($BR71&lt;&gt;Constants!$B$8,"",IF(AND($AL71,$AQ71,$AO71),Constants!$B$27,0))</f>
        <v/>
      </c>
      <c r="BF71" s="96" t="str">
        <f aca="false">IF($BR71&lt;&gt;Constants!$B$8,"",IF($AL71,($AI71-Constants!$B$29)*Constants!$B$28,0))</f>
        <v/>
      </c>
      <c r="BG71" s="96" t="str">
        <f aca="false">IF($BR71&lt;&gt;Constants!$B$8,"",IF($AK71,0,Constants!$B$15)+IF($AJ71,0,Constants!$B$16)+IF($AH71,0,Constants!$B$17))</f>
        <v/>
      </c>
      <c r="BH71" s="97" t="str">
        <f aca="false">IF($BR71&lt;&gt;Constants!$B$8,"",Constants!$B$20+SUM($BC71:$BG71))</f>
        <v/>
      </c>
      <c r="BI71" s="92" t="str">
        <f aca="false">IF($BR71&lt;&gt;Constants!$B$8,"",IF(OR($BP71&lt;$BH71,AND($BP71=$BH71,OR($BK71&lt;$BC71,AND($BK71=$BC71,OR($BL71&lt;$BD71,AND($BL71=$BD71,$AT71,$AL71,$AV71&lt;$AN71)))))),"-&gt;","&lt;-"))</f>
        <v/>
      </c>
      <c r="BJ71" s="91" t="str">
        <f aca="false">IF(ISBLANK($C71),"",AND($AT71,OR($AU71="",$AV71="",AND($AW71,$AX71=""))))</f>
        <v/>
      </c>
      <c r="BK71" s="93" t="str">
        <f aca="false">IF($BR71&lt;&gt;Constants!$B$8,"",IF($AT71,Constants!$B$21*$AV71+Constants!$B$22*IF($AW71,$AX71,Constants!$B$23),Constants!$B$24))</f>
        <v/>
      </c>
      <c r="BL71" s="96" t="str">
        <f aca="false">IF($BR71&lt;&gt;Constants!$B$8,"",Constants!$B$25*ABS($AD$9-IF($AT71,$AU71,0)))</f>
        <v/>
      </c>
      <c r="BM71" s="96" t="str">
        <f aca="false">IF($BR71&lt;&gt;Constants!$B$8,"",IF(AND($AT71,$AY71,$AW71),Constants!$B$27,0))</f>
        <v/>
      </c>
      <c r="BN71" s="96" t="str">
        <f aca="false">IF($BR71&lt;&gt;Constants!$B$8,"",IF($AT71,($AI71-Constants!$B$29)*Constants!$B$28,0))</f>
        <v/>
      </c>
      <c r="BO71" s="96" t="str">
        <f aca="false">IF($BR71&lt;&gt;Constants!$B$8,"",IF($AS71,0,Constants!$B$15)+IF($AR71,0,Constants!$B$16)+IF($AH71,0,Constants!$B$17))</f>
        <v/>
      </c>
      <c r="BP71" s="97" t="str">
        <f aca="false">IF($BR71&lt;&gt;Constants!$B$8,"",Constants!$B$20+SUM($BK71:$BO71))</f>
        <v/>
      </c>
      <c r="BQ71" s="92" t="str">
        <f aca="false">IF(ISBLANK($C71),"",IF(ISBLANK($D$7),$BQ$5,IF(NOT(ISNUMBER($D$7)),$BQ$6,"")))</f>
        <v/>
      </c>
      <c r="BR71" s="92" t="str">
        <f aca="false">IF(ISBLANK($C71),"",IF($BA71,Constants!$B$11,IF(COUNTA($E71:$AA71)=0,Constants!$B$10,IF(NOT($AG71),Constants!$B$9,IF(OR($BQ71&lt;&gt;"",$BB71,$BJ71),Constants!$B$12,Constants!$B$8)))))</f>
        <v/>
      </c>
      <c r="BS71" s="92" t="str">
        <f aca="false">IF(ISBLANK($C71),"",IF($BR71&lt;&gt;Constants!$B$8,$BR71,Constants!$B$13))</f>
        <v/>
      </c>
      <c r="BT71" s="96" t="str">
        <f aca="false">IF($BR71&lt;&gt;Constants!$B$8,"",IF($BI71="-&gt;",$BP71,$BH71))</f>
        <v/>
      </c>
      <c r="BU71" s="96" t="str">
        <f aca="false">IF($BR71&lt;&gt;Constants!$B$8,"",IF($AF71,0,Constants!$B$18))</f>
        <v/>
      </c>
      <c r="BV71" s="96" t="str">
        <f aca="false">IF($BR71&lt;&gt;Constants!$B$8,"",((Constants!$B$31-$AZ71)-Constants!$B$31)/Constants!$B$32)</f>
        <v/>
      </c>
      <c r="BW71" s="96" t="str">
        <f aca="false">IF(ISBLANK($C71),"",IF($BR71&lt;&gt;Constants!$B$8,$BR71,SUM($BT71:$BV71)))</f>
        <v/>
      </c>
      <c r="BX71" s="92" t="str">
        <f aca="false">IF(ISBLANK($C71),"",IF($BR71&lt;&gt;Constants!$B$8,$BR71,RANK($BW71,$BW$9:$BW$508,1)))</f>
        <v/>
      </c>
      <c r="BY71" s="96" t="str">
        <f aca="false">IF($BR71&lt;&gt;Constants!$B$8,"",IF($BI71="-&gt;",$BK71,$BC71))</f>
        <v/>
      </c>
      <c r="BZ71" s="92" t="str">
        <f aca="false">IF(ISBLANK($C71),"",IF($BR71&lt;&gt;Constants!$B$8,$BR71,IF(ISNUMBER($BY71),RANK($BY71,$BY$9:$BY$508,1),COUNT($BY$9:$BY$508)+1)))</f>
        <v/>
      </c>
      <c r="CA71" s="96" t="str">
        <f aca="false">IF($BR71&lt;&gt;Constants!$B$8,"",IF($BI71="-&gt;",$BL71,$BD71))</f>
        <v/>
      </c>
      <c r="CB71" s="92" t="str">
        <f aca="false">IF(ISBLANK($C71),"",IF($BR71&lt;&gt;Constants!$B$8,$BR71,IF(ISNUMBER($CA71),RANK($CA71,$CA$9:$CA$508,1),COUNT($CA$9:$CA$508)+1)))</f>
        <v/>
      </c>
      <c r="CC71" s="96" t="str">
        <f aca="false">IF($BR71&lt;&gt;Constants!$B$8,"",IF($BI71="-&gt;",IF($AT71,$AV71,""),IF($AL71,$AN71,"")))</f>
        <v/>
      </c>
      <c r="CD71" s="92" t="str">
        <f aca="false">IF(ISBLANK($C71),"",IF($BR71&lt;&gt;Constants!$B$8,$BR71,IF(ISNUMBER($CC71),RANK($CC71,$CC$9:$CC$508,1),COUNT($CC$9:$CC$508)+1)))</f>
        <v/>
      </c>
      <c r="CE71" s="96" t="str">
        <f aca="false">IF($BR71&lt;&gt;Constants!$B$8,"",IF(AND(NOT($AL71),NOT($AT71),$AJ71,$AK71,$AR71,$AS71),"",$AI71))</f>
        <v/>
      </c>
      <c r="CF71" s="92" t="str">
        <f aca="false">IF(ISBLANK($C71),"",IF($BR71&lt;&gt;Constants!$B$8,$BR71,IF(ISNUMBER($CE71),RANK($CE71,$CE$9:$CE$508,1),COUNT($CE$9:$CE$508)+1)))</f>
        <v/>
      </c>
      <c r="CG71" s="92" t="str">
        <f aca="false">IF(ISBLANK($C71),"",IF($BR71&lt;&gt;Constants!$B$8,$BR71,COUNTIFS($BX$9:$BX$508,"&lt;"&amp;$BX71)+COUNTIFS($BX$9:$BX$508,$BX71,$BZ$9:$BZ$508,"&lt;"&amp;$BZ71)+COUNTIFS($BX$9:$BX$508,$BX71,$BZ$9:$BZ$508,$BZ71,$CB$9:$CB$508,"&lt;"&amp;$CB71)+COUNTIFS($BX$9:$BX$508,$BX71,$BZ$9:$BZ$508,$BZ71,$CB$9:$CB$508,$CB71,$CD$9:$CD$508,"&lt;"&amp;$CD71)+COUNTIFS($BX$9:$BX$508,$BX71,$BZ$9:$BZ$508,$BZ71,$CB$9:$CB$508,$CB71,$CD$9:$CD$508,$CD71,$CF$9:$CF$508,"&lt;"&amp;$CF71)+1))</f>
        <v/>
      </c>
      <c r="CH71" s="92" t="str">
        <f aca="false">IF(ISBLANK($C71),"",IF($BR71&lt;&gt;Constants!$B$8,$BR71,$BX71-$CG71))</f>
        <v/>
      </c>
      <c r="CI71" s="98"/>
      <c r="CJ71" s="99"/>
      <c r="CK71" s="100" t="str">
        <f aca="false">IF(ISBLANK($C71),"",IF($BR71=Constants!$B$12,$BQ71,""))</f>
        <v/>
      </c>
      <c r="CL71" s="99" t="str">
        <f aca="false">IF(ISBLANK($C71),"",IF($BR71&lt;&gt;Constants!$B$8,"",IF($BI71="-&gt;",2,1)))</f>
        <v/>
      </c>
      <c r="CM71" s="101" t="str">
        <f aca="false">IF(ISBLANK($C71),"",IF($BR71&lt;&gt;Constants!$B$8,"",IF($BI71="-&gt;",$BK71,$BC71)))</f>
        <v/>
      </c>
      <c r="CN71" s="101" t="str">
        <f aca="false">IF(ISBLANK($C71),"",IF($BR71&lt;&gt;Constants!$B$8,"",IF($BI71="-&gt;",$BL71,$BD71)))</f>
        <v/>
      </c>
      <c r="CO71" s="101" t="str">
        <f aca="false">IF(ISBLANK($C71),"",IF($BR71&lt;&gt;Constants!$B$8,"",IF($BI71="-&gt;",$BM71+$BN71,$BE71+$BF71)+$BV71))</f>
        <v/>
      </c>
      <c r="CP71" s="101" t="str">
        <f aca="false">IF(ISBLANK($C71),"",IF($BR71&lt;&gt;Constants!$B$8,"",IF($BI71="-&gt;",$BO71,$BG71)+$BU71))</f>
        <v/>
      </c>
      <c r="CQ71" s="102" t="str">
        <f aca="false">IF(ISBLANK($C71),"",IF($BR71&lt;&gt;Constants!$B$8,$BR71,$BW71))</f>
        <v/>
      </c>
      <c r="CR71" s="103" t="str">
        <f aca="false">IF(ISBLANK($C71),"",$BS71)</f>
        <v/>
      </c>
      <c r="CS71" s="104" t="str">
        <f aca="false">IF(ISBLANK($C71),"",$CH71)</f>
        <v/>
      </c>
      <c r="CT71" s="104" t="str">
        <f aca="false">IF(ISBLANK($C71),"",$CG71)</f>
        <v/>
      </c>
      <c r="CU71" s="105" t="str">
        <f aca="false">IF(ISBLANK($C71),"",IFERROR(_xlfn.SWITCH($CT71,Constants!$B$11,COUNTA($C$9:$C$508)+2,Constants!$B$10,COUNTA($C$9:$C$508)+1,Constants!$B$9,COUNTA($C$9:$C$508)),$CT71))</f>
        <v/>
      </c>
      <c r="CV71" s="9"/>
      <c r="CW71" s="106" t="n">
        <f aca="false">IF(OR(ISNUMBER($CT71),$CT71=Constants!$B$11,$CT71=Constants!$B$9,$CT71=Constants!$B$10),1,0)</f>
        <v>0</v>
      </c>
      <c r="CX71" s="106" t="n">
        <v>63</v>
      </c>
      <c r="CY71" s="106" t="str">
        <f aca="false">IF(ISBLANK($C71),"",IF(ISNUMBER($CU71),$CU71+ROW($B71)/1000,""))</f>
        <v/>
      </c>
      <c r="CZ71" s="106" t="str">
        <f aca="false">IF(ISNUMBER($CY71),RANK($CY71,$CY$9:$CY$508,1),"")</f>
        <v/>
      </c>
      <c r="DA71" s="106" t="str">
        <f aca="false">IF(ISBLANK($C71),"",$B71)</f>
        <v/>
      </c>
      <c r="DB71" s="106" t="str">
        <f aca="false">IF(ISBLANK($C71),"",$C71)</f>
        <v/>
      </c>
      <c r="DC71" s="106" t="str">
        <f aca="false">IF(ISBLANK($C71),"",$D71)</f>
        <v/>
      </c>
      <c r="DD71" s="107" t="str">
        <f aca="false">$CR71</f>
        <v/>
      </c>
      <c r="DE71" s="108" t="str">
        <f aca="false">$CQ71</f>
        <v/>
      </c>
      <c r="DF71" s="106" t="str">
        <f aca="false">IF(ISBLANK($C71),"",$CT71)</f>
        <v/>
      </c>
      <c r="DG71" s="109" t="str">
        <f aca="false">IF($CX71&gt;$CW$8,"",VLOOKUP($CX71,$CZ$9:$DF$508,7,FALSE()))</f>
        <v/>
      </c>
      <c r="DH71" s="110" t="str">
        <f aca="false">IF($CX71&gt;$CW$8,"",VLOOKUP($CX71,$CZ$9:$DF$508,2,FALSE()))</f>
        <v/>
      </c>
      <c r="DI71" s="110" t="str">
        <f aca="false">IF($CX71&gt;$CW$8,"",VLOOKUP($CX71,$CZ$9:$DF$508,3,FALSE()))</f>
        <v/>
      </c>
      <c r="DJ71" s="110" t="str">
        <f aca="false">IF($CX71&gt;$CW$8,"",VLOOKUP($CX71,$CZ$9:$DF$508,4,FALSE()))</f>
        <v/>
      </c>
      <c r="DK71" s="110" t="str">
        <f aca="false">IF($CX71&gt;$CW$8,"",VLOOKUP($CX71,$CZ$9:$DF$508,5,FALSE()))</f>
        <v/>
      </c>
      <c r="DL71" s="111" t="str">
        <f aca="false">IF($CX71&gt;$CW$8,"",VLOOKUP($CX71,$CZ$9:$DF$508,6,FALSE()))</f>
        <v/>
      </c>
      <c r="DM71" s="75"/>
    </row>
    <row r="72" customFormat="false" ht="15.75" hidden="false" customHeight="false" outlineLevel="0" collapsed="false">
      <c r="A72" s="9"/>
      <c r="B72" s="157"/>
      <c r="C72" s="158"/>
      <c r="D72" s="159"/>
      <c r="E72" s="177"/>
      <c r="F72" s="161"/>
      <c r="G72" s="162"/>
      <c r="H72" s="162"/>
      <c r="I72" s="178"/>
      <c r="J72" s="165"/>
      <c r="K72" s="126"/>
      <c r="L72" s="127"/>
      <c r="M72" s="128"/>
      <c r="N72" s="165"/>
      <c r="O72" s="165"/>
      <c r="P72" s="177"/>
      <c r="Q72" s="165"/>
      <c r="R72" s="165"/>
      <c r="S72" s="126"/>
      <c r="T72" s="128"/>
      <c r="U72" s="128"/>
      <c r="V72" s="165"/>
      <c r="W72" s="165"/>
      <c r="X72" s="177"/>
      <c r="Y72" s="165"/>
      <c r="Z72" s="166"/>
      <c r="AA72" s="165"/>
      <c r="AB72" s="132"/>
      <c r="AC72" s="133"/>
      <c r="AD72" s="133"/>
      <c r="AE72" s="133"/>
      <c r="AF72" s="133" t="str">
        <f aca="false">IF(ISBLANK($C72),"",IF(E72=Constants!$B$3,TRUE(),IF(E72=Constants!$B$4,FALSE(),TRUE())))</f>
        <v/>
      </c>
      <c r="AG72" s="133" t="str">
        <f aca="false">IF(ISBLANK($C72),"",IF(F72=Constants!$B$3,TRUE(),IF(F72=Constants!$B$4,FALSE(),TRUE())))</f>
        <v/>
      </c>
      <c r="AH72" s="133" t="str">
        <f aca="false">IF(ISBLANK($C72),"",IF(G72=Constants!$B$3,TRUE(),IF(G72=Constants!$B$4,FALSE(),TRUE())))</f>
        <v/>
      </c>
      <c r="AI72" s="133" t="str">
        <f aca="false">IF(ISBLANK($C72),"",IF(AND(ISNUMBER(H72),H72&gt;=0),H72,Constants!$B$29))</f>
        <v/>
      </c>
      <c r="AJ72" s="133" t="str">
        <f aca="false">IF(ISBLANK($C72),"",IF(I72=Constants!$B$3,TRUE(),IF(I72=Constants!$B$4,FALSE(),TRUE())))</f>
        <v/>
      </c>
      <c r="AK72" s="133" t="str">
        <f aca="false">IF(ISBLANK($C72),"",IF(J72=Constants!$B$3,TRUE(),IF(J72=Constants!$B$4,FALSE(),TRUE())))</f>
        <v/>
      </c>
      <c r="AL72" s="133" t="str">
        <f aca="false">IF(ISBLANK($C72),"",IF(K72=Constants!$B$5,TRUE(),IF(K72=Constants!$B$6,FALSE(),COUNTA(L72:P72)&gt;0)))</f>
        <v/>
      </c>
      <c r="AM72" s="134" t="str">
        <f aca="false">IF(ISBLANK($C72),"",IF(ISNUMBER(L72),IF(L72&gt;=0,L72,""),""))</f>
        <v/>
      </c>
      <c r="AN72" s="135" t="str">
        <f aca="false">IF(ISBLANK($C72),"",IF(ISNUMBER(M72),IF(M72&gt;=0,M72,""),""))</f>
        <v/>
      </c>
      <c r="AO72" s="135" t="str">
        <f aca="false">IF(ISBLANK($C72),"",IF(N72=Constants!$B$3,TRUE(),IF(N72=Constants!$B$4,FALSE(),TRUE())))</f>
        <v/>
      </c>
      <c r="AP72" s="133" t="str">
        <f aca="false">IF(ISBLANK($C72),"",IF(ISNUMBER(O72),IF(O72&gt;=0,O72,""),""))</f>
        <v/>
      </c>
      <c r="AQ72" s="133" t="str">
        <f aca="false">IF(ISBLANK($C72),"",IF(P72=Constants!$B$3,TRUE(),IF(P72=Constants!$B$4,FALSE(),FALSE())))</f>
        <v/>
      </c>
      <c r="AR72" s="133" t="str">
        <f aca="false">IF(ISBLANK($C72),"",IF(Q72=Constants!$B$3,TRUE(),IF(Q72=Constants!$B$4,FALSE(),TRUE())))</f>
        <v/>
      </c>
      <c r="AS72" s="133" t="str">
        <f aca="false">IF(ISBLANK($C72),"",IF(R72=Constants!$B$3,TRUE(),IF(R72=Constants!$B$4,FALSE(),TRUE())))</f>
        <v/>
      </c>
      <c r="AT72" s="133" t="str">
        <f aca="false">IF(ISBLANK($C72),"",IF(S72=Constants!$B$5,TRUE(),IF(S72=Constants!$B$6,FALSE(),COUNTA(T72:X72)&gt;0)))</f>
        <v/>
      </c>
      <c r="AU72" s="134" t="str">
        <f aca="false">IF(ISBLANK($C72),"",IF(ISNUMBER(T72),IF(T72&gt;=0,T72,""),""))</f>
        <v/>
      </c>
      <c r="AV72" s="135" t="str">
        <f aca="false">IF(ISBLANK($C72),"",IF(ISNUMBER(U72),IF(U72&gt;=0,U72,""),""))</f>
        <v/>
      </c>
      <c r="AW72" s="135" t="str">
        <f aca="false">IF(ISBLANK($C72),"",IF(V72=Constants!$B$3,TRUE(),IF(V72=Constants!$B$4,FALSE(),TRUE())))</f>
        <v/>
      </c>
      <c r="AX72" s="133" t="str">
        <f aca="false">IF(ISBLANK($C72),"",IF(ISNUMBER(W72),IF(W72&gt;=0,W72,""),""))</f>
        <v/>
      </c>
      <c r="AY72" s="133" t="str">
        <f aca="false">IF(ISBLANK($C72),"",IF(X72=Constants!$B$3,TRUE(),IF(X72=Constants!$B$4,FALSE(),FALSE())))</f>
        <v/>
      </c>
      <c r="AZ72" s="133" t="str">
        <f aca="false">IF(ISBLANK($C72),"",MIN(Constants!$B$31,MAX(0,IF(ISNUMBER(Y72),Y72*60,0)+IF(ISNUMBER(Z72),Z72,0))))</f>
        <v/>
      </c>
      <c r="BA72" s="133" t="str">
        <f aca="false">IF(ISBLANK($C72),"",IF(AA72=Constants!$B$3,TRUE(),IF(AA72=Constants!$B$4,FALSE(),FALSE())))</f>
        <v/>
      </c>
      <c r="BB72" s="132" t="str">
        <f aca="false">IF(ISBLANK($C72),"",AND($AL72,OR($AM72="",$AN72="",AND($AO72,$AP72=""))))</f>
        <v/>
      </c>
      <c r="BC72" s="135" t="str">
        <f aca="false">IF($BR72&lt;&gt;Constants!$B$8,"",IF($AL72,Constants!$B$21*$AN72+Constants!$B$22*IF($AO72,$AP72,Constants!$B$23),Constants!$B$24))</f>
        <v/>
      </c>
      <c r="BD72" s="136" t="str">
        <f aca="false">IF($BR72&lt;&gt;Constants!$B$8,"",Constants!$B$25*ABS($AD$9-IF($AL72,$AM72,0)))</f>
        <v/>
      </c>
      <c r="BE72" s="136" t="str">
        <f aca="false">IF($BR72&lt;&gt;Constants!$B$8,"",IF(AND($AL72,$AQ72,$AO72),Constants!$B$27,0))</f>
        <v/>
      </c>
      <c r="BF72" s="136" t="str">
        <f aca="false">IF($BR72&lt;&gt;Constants!$B$8,"",IF($AL72,($AI72-Constants!$B$29)*Constants!$B$28,0))</f>
        <v/>
      </c>
      <c r="BG72" s="136" t="str">
        <f aca="false">IF($BR72&lt;&gt;Constants!$B$8,"",IF($AK72,0,Constants!$B$15)+IF($AJ72,0,Constants!$B$16)+IF($AH72,0,Constants!$B$17))</f>
        <v/>
      </c>
      <c r="BH72" s="137" t="str">
        <f aca="false">IF($BR72&lt;&gt;Constants!$B$8,"",Constants!$B$20+SUM($BC72:$BG72))</f>
        <v/>
      </c>
      <c r="BI72" s="133" t="str">
        <f aca="false">IF($BR72&lt;&gt;Constants!$B$8,"",IF(OR($BP72&lt;$BH72,AND($BP72=$BH72,OR($BK72&lt;$BC72,AND($BK72=$BC72,OR($BL72&lt;$BD72,AND($BL72=$BD72,$AT72,$AL72,$AV72&lt;$AN72)))))),"-&gt;","&lt;-"))</f>
        <v/>
      </c>
      <c r="BJ72" s="132" t="str">
        <f aca="false">IF(ISBLANK($C72),"",AND($AT72,OR($AU72="",$AV72="",AND($AW72,$AX72=""))))</f>
        <v/>
      </c>
      <c r="BK72" s="135" t="str">
        <f aca="false">IF($BR72&lt;&gt;Constants!$B$8,"",IF($AT72,Constants!$B$21*$AV72+Constants!$B$22*IF($AW72,$AX72,Constants!$B$23),Constants!$B$24))</f>
        <v/>
      </c>
      <c r="BL72" s="136" t="str">
        <f aca="false">IF($BR72&lt;&gt;Constants!$B$8,"",Constants!$B$25*ABS($AD$9-IF($AT72,$AU72,0)))</f>
        <v/>
      </c>
      <c r="BM72" s="136" t="str">
        <f aca="false">IF($BR72&lt;&gt;Constants!$B$8,"",IF(AND($AT72,$AY72,$AW72),Constants!$B$27,0))</f>
        <v/>
      </c>
      <c r="BN72" s="136" t="str">
        <f aca="false">IF($BR72&lt;&gt;Constants!$B$8,"",IF($AT72,($AI72-Constants!$B$29)*Constants!$B$28,0))</f>
        <v/>
      </c>
      <c r="BO72" s="136" t="str">
        <f aca="false">IF($BR72&lt;&gt;Constants!$B$8,"",IF($AS72,0,Constants!$B$15)+IF($AR72,0,Constants!$B$16)+IF($AH72,0,Constants!$B$17))</f>
        <v/>
      </c>
      <c r="BP72" s="137" t="str">
        <f aca="false">IF($BR72&lt;&gt;Constants!$B$8,"",Constants!$B$20+SUM($BK72:$BO72))</f>
        <v/>
      </c>
      <c r="BQ72" s="133" t="str">
        <f aca="false">IF(ISBLANK($C72),"",IF(ISBLANK($D$7),$BQ$5,IF(NOT(ISNUMBER($D$7)),$BQ$6,"")))</f>
        <v/>
      </c>
      <c r="BR72" s="133" t="str">
        <f aca="false">IF(ISBLANK($C72),"",IF($BA72,Constants!$B$11,IF(COUNTA($E72:$AA72)=0,Constants!$B$10,IF(NOT($AG72),Constants!$B$9,IF(OR($BQ72&lt;&gt;"",$BB72,$BJ72),Constants!$B$12,Constants!$B$8)))))</f>
        <v/>
      </c>
      <c r="BS72" s="133" t="str">
        <f aca="false">IF(ISBLANK($C72),"",IF($BR72&lt;&gt;Constants!$B$8,$BR72,Constants!$B$13))</f>
        <v/>
      </c>
      <c r="BT72" s="136" t="str">
        <f aca="false">IF($BR72&lt;&gt;Constants!$B$8,"",IF($BI72="-&gt;",$BP72,$BH72))</f>
        <v/>
      </c>
      <c r="BU72" s="136" t="str">
        <f aca="false">IF($BR72&lt;&gt;Constants!$B$8,"",IF($AF72,0,Constants!$B$18))</f>
        <v/>
      </c>
      <c r="BV72" s="136" t="str">
        <f aca="false">IF($BR72&lt;&gt;Constants!$B$8,"",((Constants!$B$31-$AZ72)-Constants!$B$31)/Constants!$B$32)</f>
        <v/>
      </c>
      <c r="BW72" s="136" t="str">
        <f aca="false">IF(ISBLANK($C72),"",IF($BR72&lt;&gt;Constants!$B$8,$BR72,SUM($BT72:$BV72)))</f>
        <v/>
      </c>
      <c r="BX72" s="133" t="str">
        <f aca="false">IF(ISBLANK($C72),"",IF($BR72&lt;&gt;Constants!$B$8,$BR72,RANK($BW72,$BW$9:$BW$508,1)))</f>
        <v/>
      </c>
      <c r="BY72" s="136" t="str">
        <f aca="false">IF($BR72&lt;&gt;Constants!$B$8,"",IF($BI72="-&gt;",$BK72,$BC72))</f>
        <v/>
      </c>
      <c r="BZ72" s="133" t="str">
        <f aca="false">IF(ISBLANK($C72),"",IF($BR72&lt;&gt;Constants!$B$8,$BR72,IF(ISNUMBER($BY72),RANK($BY72,$BY$9:$BY$508,1),COUNT($BY$9:$BY$508)+1)))</f>
        <v/>
      </c>
      <c r="CA72" s="136" t="str">
        <f aca="false">IF($BR72&lt;&gt;Constants!$B$8,"",IF($BI72="-&gt;",$BL72,$BD72))</f>
        <v/>
      </c>
      <c r="CB72" s="133" t="str">
        <f aca="false">IF(ISBLANK($C72),"",IF($BR72&lt;&gt;Constants!$B$8,$BR72,IF(ISNUMBER($CA72),RANK($CA72,$CA$9:$CA$508,1),COUNT($CA$9:$CA$508)+1)))</f>
        <v/>
      </c>
      <c r="CC72" s="136" t="str">
        <f aca="false">IF($BR72&lt;&gt;Constants!$B$8,"",IF($BI72="-&gt;",IF($AT72,$AV72,""),IF($AL72,$AN72,"")))</f>
        <v/>
      </c>
      <c r="CD72" s="133" t="str">
        <f aca="false">IF(ISBLANK($C72),"",IF($BR72&lt;&gt;Constants!$B$8,$BR72,IF(ISNUMBER($CC72),RANK($CC72,$CC$9:$CC$508,1),COUNT($CC$9:$CC$508)+1)))</f>
        <v/>
      </c>
      <c r="CE72" s="136" t="str">
        <f aca="false">IF($BR72&lt;&gt;Constants!$B$8,"",IF(AND(NOT($AL72),NOT($AT72),$AJ72,$AK72,$AR72,$AS72),"",$AI72))</f>
        <v/>
      </c>
      <c r="CF72" s="133" t="str">
        <f aca="false">IF(ISBLANK($C72),"",IF($BR72&lt;&gt;Constants!$B$8,$BR72,IF(ISNUMBER($CE72),RANK($CE72,$CE$9:$CE$508,1),COUNT($CE$9:$CE$508)+1)))</f>
        <v/>
      </c>
      <c r="CG72" s="133" t="str">
        <f aca="false">IF(ISBLANK($C72),"",IF($BR72&lt;&gt;Constants!$B$8,$BR72,COUNTIFS($BX$9:$BX$508,"&lt;"&amp;$BX72)+COUNTIFS($BX$9:$BX$508,$BX72,$BZ$9:$BZ$508,"&lt;"&amp;$BZ72)+COUNTIFS($BX$9:$BX$508,$BX72,$BZ$9:$BZ$508,$BZ72,$CB$9:$CB$508,"&lt;"&amp;$CB72)+COUNTIFS($BX$9:$BX$508,$BX72,$BZ$9:$BZ$508,$BZ72,$CB$9:$CB$508,$CB72,$CD$9:$CD$508,"&lt;"&amp;$CD72)+COUNTIFS($BX$9:$BX$508,$BX72,$BZ$9:$BZ$508,$BZ72,$CB$9:$CB$508,$CB72,$CD$9:$CD$508,$CD72,$CF$9:$CF$508,"&lt;"&amp;$CF72)+1))</f>
        <v/>
      </c>
      <c r="CH72" s="133" t="str">
        <f aca="false">IF(ISBLANK($C72),"",IF($BR72&lt;&gt;Constants!$B$8,$BR72,$BX72-$CG72))</f>
        <v/>
      </c>
      <c r="CI72" s="138"/>
      <c r="CJ72" s="139"/>
      <c r="CK72" s="140" t="str">
        <f aca="false">IF(ISBLANK($C72),"",IF($BR72=Constants!$B$12,$BQ72,""))</f>
        <v/>
      </c>
      <c r="CL72" s="139" t="str">
        <f aca="false">IF(ISBLANK($C72),"",IF($BR72&lt;&gt;Constants!$B$8,"",IF($BI72="-&gt;",2,1)))</f>
        <v/>
      </c>
      <c r="CM72" s="141" t="str">
        <f aca="false">IF(ISBLANK($C72),"",IF($BR72&lt;&gt;Constants!$B$8,"",IF($BI72="-&gt;",$BK72,$BC72)))</f>
        <v/>
      </c>
      <c r="CN72" s="141" t="str">
        <f aca="false">IF(ISBLANK($C72),"",IF($BR72&lt;&gt;Constants!$B$8,"",IF($BI72="-&gt;",$BL72,$BD72)))</f>
        <v/>
      </c>
      <c r="CO72" s="141" t="str">
        <f aca="false">IF(ISBLANK($C72),"",IF($BR72&lt;&gt;Constants!$B$8,"",IF($BI72="-&gt;",$BM72+$BN72,$BE72+$BF72)+$BV72))</f>
        <v/>
      </c>
      <c r="CP72" s="141" t="str">
        <f aca="false">IF(ISBLANK($C72),"",IF($BR72&lt;&gt;Constants!$B$8,"",IF($BI72="-&gt;",$BO72,$BG72)+$BU72))</f>
        <v/>
      </c>
      <c r="CQ72" s="142" t="str">
        <f aca="false">IF(ISBLANK($C72),"",IF($BR72&lt;&gt;Constants!$B$8,$BR72,$BW72))</f>
        <v/>
      </c>
      <c r="CR72" s="143" t="str">
        <f aca="false">IF(ISBLANK($C72),"",$BS72)</f>
        <v/>
      </c>
      <c r="CS72" s="144" t="str">
        <f aca="false">IF(ISBLANK($C72),"",$CH72)</f>
        <v/>
      </c>
      <c r="CT72" s="144" t="str">
        <f aca="false">IF(ISBLANK($C72),"",$CG72)</f>
        <v/>
      </c>
      <c r="CU72" s="145" t="str">
        <f aca="false">IF(ISBLANK($C72),"",IFERROR(_xlfn.SWITCH($CT72,Constants!$B$11,COUNTA($C$9:$C$508)+2,Constants!$B$10,COUNTA($C$9:$C$508)+1,Constants!$B$9,COUNTA($C$9:$C$508)),$CT72))</f>
        <v/>
      </c>
      <c r="CV72" s="9"/>
      <c r="CW72" s="146" t="n">
        <f aca="false">IF(OR(ISNUMBER($CT72),$CT72=Constants!$B$11,$CT72=Constants!$B$9,$CT72=Constants!$B$10),1,0)</f>
        <v>0</v>
      </c>
      <c r="CX72" s="146" t="n">
        <v>64</v>
      </c>
      <c r="CY72" s="146" t="str">
        <f aca="false">IF(ISBLANK($C72),"",IF(ISNUMBER($CU72),$CU72+ROW($B72)/1000,""))</f>
        <v/>
      </c>
      <c r="CZ72" s="146" t="str">
        <f aca="false">IF(ISNUMBER($CY72),RANK($CY72,$CY$9:$CY$508,1),"")</f>
        <v/>
      </c>
      <c r="DA72" s="146" t="str">
        <f aca="false">IF(ISBLANK($C72),"",$B72)</f>
        <v/>
      </c>
      <c r="DB72" s="146" t="str">
        <f aca="false">IF(ISBLANK($C72),"",$C72)</f>
        <v/>
      </c>
      <c r="DC72" s="146" t="str">
        <f aca="false">IF(ISBLANK($C72),"",$D72)</f>
        <v/>
      </c>
      <c r="DD72" s="147" t="str">
        <f aca="false">$CR72</f>
        <v/>
      </c>
      <c r="DE72" s="148" t="str">
        <f aca="false">$CQ72</f>
        <v/>
      </c>
      <c r="DF72" s="146" t="str">
        <f aca="false">IF(ISBLANK($C72),"",$CT72)</f>
        <v/>
      </c>
      <c r="DG72" s="149" t="str">
        <f aca="false">IF($CX72&gt;$CW$8,"",VLOOKUP($CX72,$CZ$9:$DF$508,7,FALSE()))</f>
        <v/>
      </c>
      <c r="DH72" s="150" t="str">
        <f aca="false">IF($CX72&gt;$CW$8,"",VLOOKUP($CX72,$CZ$9:$DF$508,2,FALSE()))</f>
        <v/>
      </c>
      <c r="DI72" s="150" t="str">
        <f aca="false">IF($CX72&gt;$CW$8,"",VLOOKUP($CX72,$CZ$9:$DF$508,3,FALSE()))</f>
        <v/>
      </c>
      <c r="DJ72" s="150" t="str">
        <f aca="false">IF($CX72&gt;$CW$8,"",VLOOKUP($CX72,$CZ$9:$DF$508,4,FALSE()))</f>
        <v/>
      </c>
      <c r="DK72" s="150" t="str">
        <f aca="false">IF($CX72&gt;$CW$8,"",VLOOKUP($CX72,$CZ$9:$DF$508,5,FALSE()))</f>
        <v/>
      </c>
      <c r="DL72" s="151" t="str">
        <f aca="false">IF($CX72&gt;$CW$8,"",VLOOKUP($CX72,$CZ$9:$DF$508,6,FALSE()))</f>
        <v/>
      </c>
      <c r="DM72" s="75"/>
    </row>
    <row r="73" customFormat="false" ht="15.75" hidden="false" customHeight="false" outlineLevel="0" collapsed="false">
      <c r="A73" s="9"/>
      <c r="B73" s="157"/>
      <c r="C73" s="158"/>
      <c r="D73" s="159"/>
      <c r="E73" s="177"/>
      <c r="F73" s="161"/>
      <c r="G73" s="162"/>
      <c r="H73" s="162"/>
      <c r="I73" s="178"/>
      <c r="J73" s="165"/>
      <c r="K73" s="126"/>
      <c r="L73" s="127"/>
      <c r="M73" s="128"/>
      <c r="N73" s="165"/>
      <c r="O73" s="165"/>
      <c r="P73" s="177"/>
      <c r="Q73" s="165"/>
      <c r="R73" s="165"/>
      <c r="S73" s="126"/>
      <c r="T73" s="128"/>
      <c r="U73" s="128"/>
      <c r="V73" s="165"/>
      <c r="W73" s="165"/>
      <c r="X73" s="177"/>
      <c r="Y73" s="165"/>
      <c r="Z73" s="166"/>
      <c r="AA73" s="165"/>
      <c r="AB73" s="132"/>
      <c r="AC73" s="133"/>
      <c r="AD73" s="133"/>
      <c r="AE73" s="133"/>
      <c r="AF73" s="133" t="str">
        <f aca="false">IF(ISBLANK($C73),"",IF(E73=Constants!$B$3,TRUE(),IF(E73=Constants!$B$4,FALSE(),TRUE())))</f>
        <v/>
      </c>
      <c r="AG73" s="133" t="str">
        <f aca="false">IF(ISBLANK($C73),"",IF(F73=Constants!$B$3,TRUE(),IF(F73=Constants!$B$4,FALSE(),TRUE())))</f>
        <v/>
      </c>
      <c r="AH73" s="133" t="str">
        <f aca="false">IF(ISBLANK($C73),"",IF(G73=Constants!$B$3,TRUE(),IF(G73=Constants!$B$4,FALSE(),TRUE())))</f>
        <v/>
      </c>
      <c r="AI73" s="133" t="str">
        <f aca="false">IF(ISBLANK($C73),"",IF(AND(ISNUMBER(H73),H73&gt;=0),H73,Constants!$B$29))</f>
        <v/>
      </c>
      <c r="AJ73" s="133" t="str">
        <f aca="false">IF(ISBLANK($C73),"",IF(I73=Constants!$B$3,TRUE(),IF(I73=Constants!$B$4,FALSE(),TRUE())))</f>
        <v/>
      </c>
      <c r="AK73" s="133" t="str">
        <f aca="false">IF(ISBLANK($C73),"",IF(J73=Constants!$B$3,TRUE(),IF(J73=Constants!$B$4,FALSE(),TRUE())))</f>
        <v/>
      </c>
      <c r="AL73" s="133" t="str">
        <f aca="false">IF(ISBLANK($C73),"",IF(K73=Constants!$B$5,TRUE(),IF(K73=Constants!$B$6,FALSE(),COUNTA(L73:P73)&gt;0)))</f>
        <v/>
      </c>
      <c r="AM73" s="134" t="str">
        <f aca="false">IF(ISBLANK($C73),"",IF(ISNUMBER(L73),IF(L73&gt;=0,L73,""),""))</f>
        <v/>
      </c>
      <c r="AN73" s="135" t="str">
        <f aca="false">IF(ISBLANK($C73),"",IF(ISNUMBER(M73),IF(M73&gt;=0,M73,""),""))</f>
        <v/>
      </c>
      <c r="AO73" s="135" t="str">
        <f aca="false">IF(ISBLANK($C73),"",IF(N73=Constants!$B$3,TRUE(),IF(N73=Constants!$B$4,FALSE(),TRUE())))</f>
        <v/>
      </c>
      <c r="AP73" s="133" t="str">
        <f aca="false">IF(ISBLANK($C73),"",IF(ISNUMBER(O73),IF(O73&gt;=0,O73,""),""))</f>
        <v/>
      </c>
      <c r="AQ73" s="133" t="str">
        <f aca="false">IF(ISBLANK($C73),"",IF(P73=Constants!$B$3,TRUE(),IF(P73=Constants!$B$4,FALSE(),FALSE())))</f>
        <v/>
      </c>
      <c r="AR73" s="133" t="str">
        <f aca="false">IF(ISBLANK($C73),"",IF(Q73=Constants!$B$3,TRUE(),IF(Q73=Constants!$B$4,FALSE(),TRUE())))</f>
        <v/>
      </c>
      <c r="AS73" s="133" t="str">
        <f aca="false">IF(ISBLANK($C73),"",IF(R73=Constants!$B$3,TRUE(),IF(R73=Constants!$B$4,FALSE(),TRUE())))</f>
        <v/>
      </c>
      <c r="AT73" s="133" t="str">
        <f aca="false">IF(ISBLANK($C73),"",IF(S73=Constants!$B$5,TRUE(),IF(S73=Constants!$B$6,FALSE(),COUNTA(T73:X73)&gt;0)))</f>
        <v/>
      </c>
      <c r="AU73" s="134" t="str">
        <f aca="false">IF(ISBLANK($C73),"",IF(ISNUMBER(T73),IF(T73&gt;=0,T73,""),""))</f>
        <v/>
      </c>
      <c r="AV73" s="135" t="str">
        <f aca="false">IF(ISBLANK($C73),"",IF(ISNUMBER(U73),IF(U73&gt;=0,U73,""),""))</f>
        <v/>
      </c>
      <c r="AW73" s="135" t="str">
        <f aca="false">IF(ISBLANK($C73),"",IF(V73=Constants!$B$3,TRUE(),IF(V73=Constants!$B$4,FALSE(),TRUE())))</f>
        <v/>
      </c>
      <c r="AX73" s="133" t="str">
        <f aca="false">IF(ISBLANK($C73),"",IF(ISNUMBER(W73),IF(W73&gt;=0,W73,""),""))</f>
        <v/>
      </c>
      <c r="AY73" s="133" t="str">
        <f aca="false">IF(ISBLANK($C73),"",IF(X73=Constants!$B$3,TRUE(),IF(X73=Constants!$B$4,FALSE(),FALSE())))</f>
        <v/>
      </c>
      <c r="AZ73" s="133" t="str">
        <f aca="false">IF(ISBLANK($C73),"",MIN(Constants!$B$31,MAX(0,IF(ISNUMBER(Y73),Y73*60,0)+IF(ISNUMBER(Z73),Z73,0))))</f>
        <v/>
      </c>
      <c r="BA73" s="133" t="str">
        <f aca="false">IF(ISBLANK($C73),"",IF(AA73=Constants!$B$3,TRUE(),IF(AA73=Constants!$B$4,FALSE(),FALSE())))</f>
        <v/>
      </c>
      <c r="BB73" s="132" t="str">
        <f aca="false">IF(ISBLANK($C73),"",AND($AL73,OR($AM73="",$AN73="",AND($AO73,$AP73=""))))</f>
        <v/>
      </c>
      <c r="BC73" s="135" t="str">
        <f aca="false">IF($BR73&lt;&gt;Constants!$B$8,"",IF($AL73,Constants!$B$21*$AN73+Constants!$B$22*IF($AO73,$AP73,Constants!$B$23),Constants!$B$24))</f>
        <v/>
      </c>
      <c r="BD73" s="136" t="str">
        <f aca="false">IF($BR73&lt;&gt;Constants!$B$8,"",Constants!$B$25*ABS($AD$9-IF($AL73,$AM73,0)))</f>
        <v/>
      </c>
      <c r="BE73" s="136" t="str">
        <f aca="false">IF($BR73&lt;&gt;Constants!$B$8,"",IF(AND($AL73,$AQ73,$AO73),Constants!$B$27,0))</f>
        <v/>
      </c>
      <c r="BF73" s="136" t="str">
        <f aca="false">IF($BR73&lt;&gt;Constants!$B$8,"",IF($AL73,($AI73-Constants!$B$29)*Constants!$B$28,0))</f>
        <v/>
      </c>
      <c r="BG73" s="136" t="str">
        <f aca="false">IF($BR73&lt;&gt;Constants!$B$8,"",IF($AK73,0,Constants!$B$15)+IF($AJ73,0,Constants!$B$16)+IF($AH73,0,Constants!$B$17))</f>
        <v/>
      </c>
      <c r="BH73" s="137" t="str">
        <f aca="false">IF($BR73&lt;&gt;Constants!$B$8,"",Constants!$B$20+SUM($BC73:$BG73))</f>
        <v/>
      </c>
      <c r="BI73" s="133" t="str">
        <f aca="false">IF($BR73&lt;&gt;Constants!$B$8,"",IF(OR($BP73&lt;$BH73,AND($BP73=$BH73,OR($BK73&lt;$BC73,AND($BK73=$BC73,OR($BL73&lt;$BD73,AND($BL73=$BD73,$AT73,$AL73,$AV73&lt;$AN73)))))),"-&gt;","&lt;-"))</f>
        <v/>
      </c>
      <c r="BJ73" s="132" t="str">
        <f aca="false">IF(ISBLANK($C73),"",AND($AT73,OR($AU73="",$AV73="",AND($AW73,$AX73=""))))</f>
        <v/>
      </c>
      <c r="BK73" s="135" t="str">
        <f aca="false">IF($BR73&lt;&gt;Constants!$B$8,"",IF($AT73,Constants!$B$21*$AV73+Constants!$B$22*IF($AW73,$AX73,Constants!$B$23),Constants!$B$24))</f>
        <v/>
      </c>
      <c r="BL73" s="136" t="str">
        <f aca="false">IF($BR73&lt;&gt;Constants!$B$8,"",Constants!$B$25*ABS($AD$9-IF($AT73,$AU73,0)))</f>
        <v/>
      </c>
      <c r="BM73" s="136" t="str">
        <f aca="false">IF($BR73&lt;&gt;Constants!$B$8,"",IF(AND($AT73,$AY73,$AW73),Constants!$B$27,0))</f>
        <v/>
      </c>
      <c r="BN73" s="136" t="str">
        <f aca="false">IF($BR73&lt;&gt;Constants!$B$8,"",IF($AT73,($AI73-Constants!$B$29)*Constants!$B$28,0))</f>
        <v/>
      </c>
      <c r="BO73" s="136" t="str">
        <f aca="false">IF($BR73&lt;&gt;Constants!$B$8,"",IF($AS73,0,Constants!$B$15)+IF($AR73,0,Constants!$B$16)+IF($AH73,0,Constants!$B$17))</f>
        <v/>
      </c>
      <c r="BP73" s="137" t="str">
        <f aca="false">IF($BR73&lt;&gt;Constants!$B$8,"",Constants!$B$20+SUM($BK73:$BO73))</f>
        <v/>
      </c>
      <c r="BQ73" s="133" t="str">
        <f aca="false">IF(ISBLANK($C73),"",IF(ISBLANK($D$7),$BQ$5,IF(NOT(ISNUMBER($D$7)),$BQ$6,"")))</f>
        <v/>
      </c>
      <c r="BR73" s="133" t="str">
        <f aca="false">IF(ISBLANK($C73),"",IF($BA73,Constants!$B$11,IF(COUNTA($E73:$AA73)=0,Constants!$B$10,IF(NOT($AG73),Constants!$B$9,IF(OR($BQ73&lt;&gt;"",$BB73,$BJ73),Constants!$B$12,Constants!$B$8)))))</f>
        <v/>
      </c>
      <c r="BS73" s="133" t="str">
        <f aca="false">IF(ISBLANK($C73),"",IF($BR73&lt;&gt;Constants!$B$8,$BR73,Constants!$B$13))</f>
        <v/>
      </c>
      <c r="BT73" s="136" t="str">
        <f aca="false">IF($BR73&lt;&gt;Constants!$B$8,"",IF($BI73="-&gt;",$BP73,$BH73))</f>
        <v/>
      </c>
      <c r="BU73" s="136" t="str">
        <f aca="false">IF($BR73&lt;&gt;Constants!$B$8,"",IF($AF73,0,Constants!$B$18))</f>
        <v/>
      </c>
      <c r="BV73" s="136" t="str">
        <f aca="false">IF($BR73&lt;&gt;Constants!$B$8,"",((Constants!$B$31-$AZ73)-Constants!$B$31)/Constants!$B$32)</f>
        <v/>
      </c>
      <c r="BW73" s="136" t="str">
        <f aca="false">IF(ISBLANK($C73),"",IF($BR73&lt;&gt;Constants!$B$8,$BR73,SUM($BT73:$BV73)))</f>
        <v/>
      </c>
      <c r="BX73" s="133" t="str">
        <f aca="false">IF(ISBLANK($C73),"",IF($BR73&lt;&gt;Constants!$B$8,$BR73,RANK($BW73,$BW$9:$BW$508,1)))</f>
        <v/>
      </c>
      <c r="BY73" s="136" t="str">
        <f aca="false">IF($BR73&lt;&gt;Constants!$B$8,"",IF($BI73="-&gt;",$BK73,$BC73))</f>
        <v/>
      </c>
      <c r="BZ73" s="133" t="str">
        <f aca="false">IF(ISBLANK($C73),"",IF($BR73&lt;&gt;Constants!$B$8,$BR73,IF(ISNUMBER($BY73),RANK($BY73,$BY$9:$BY$508,1),COUNT($BY$9:$BY$508)+1)))</f>
        <v/>
      </c>
      <c r="CA73" s="136" t="str">
        <f aca="false">IF($BR73&lt;&gt;Constants!$B$8,"",IF($BI73="-&gt;",$BL73,$BD73))</f>
        <v/>
      </c>
      <c r="CB73" s="133" t="str">
        <f aca="false">IF(ISBLANK($C73),"",IF($BR73&lt;&gt;Constants!$B$8,$BR73,IF(ISNUMBER($CA73),RANK($CA73,$CA$9:$CA$508,1),COUNT($CA$9:$CA$508)+1)))</f>
        <v/>
      </c>
      <c r="CC73" s="136" t="str">
        <f aca="false">IF($BR73&lt;&gt;Constants!$B$8,"",IF($BI73="-&gt;",IF($AT73,$AV73,""),IF($AL73,$AN73,"")))</f>
        <v/>
      </c>
      <c r="CD73" s="133" t="str">
        <f aca="false">IF(ISBLANK($C73),"",IF($BR73&lt;&gt;Constants!$B$8,$BR73,IF(ISNUMBER($CC73),RANK($CC73,$CC$9:$CC$508,1),COUNT($CC$9:$CC$508)+1)))</f>
        <v/>
      </c>
      <c r="CE73" s="136" t="str">
        <f aca="false">IF($BR73&lt;&gt;Constants!$B$8,"",IF(AND(NOT($AL73),NOT($AT73),$AJ73,$AK73,$AR73,$AS73),"",$AI73))</f>
        <v/>
      </c>
      <c r="CF73" s="133" t="str">
        <f aca="false">IF(ISBLANK($C73),"",IF($BR73&lt;&gt;Constants!$B$8,$BR73,IF(ISNUMBER($CE73),RANK($CE73,$CE$9:$CE$508,1),COUNT($CE$9:$CE$508)+1)))</f>
        <v/>
      </c>
      <c r="CG73" s="133" t="str">
        <f aca="false">IF(ISBLANK($C73),"",IF($BR73&lt;&gt;Constants!$B$8,$BR73,COUNTIFS($BX$9:$BX$508,"&lt;"&amp;$BX73)+COUNTIFS($BX$9:$BX$508,$BX73,$BZ$9:$BZ$508,"&lt;"&amp;$BZ73)+COUNTIFS($BX$9:$BX$508,$BX73,$BZ$9:$BZ$508,$BZ73,$CB$9:$CB$508,"&lt;"&amp;$CB73)+COUNTIFS($BX$9:$BX$508,$BX73,$BZ$9:$BZ$508,$BZ73,$CB$9:$CB$508,$CB73,$CD$9:$CD$508,"&lt;"&amp;$CD73)+COUNTIFS($BX$9:$BX$508,$BX73,$BZ$9:$BZ$508,$BZ73,$CB$9:$CB$508,$CB73,$CD$9:$CD$508,$CD73,$CF$9:$CF$508,"&lt;"&amp;$CF73)+1))</f>
        <v/>
      </c>
      <c r="CH73" s="133" t="str">
        <f aca="false">IF(ISBLANK($C73),"",IF($BR73&lt;&gt;Constants!$B$8,$BR73,$BX73-$CG73))</f>
        <v/>
      </c>
      <c r="CI73" s="138"/>
      <c r="CJ73" s="139"/>
      <c r="CK73" s="140" t="str">
        <f aca="false">IF(ISBLANK($C73),"",IF($BR73=Constants!$B$12,$BQ73,""))</f>
        <v/>
      </c>
      <c r="CL73" s="139" t="str">
        <f aca="false">IF(ISBLANK($C73),"",IF($BR73&lt;&gt;Constants!$B$8,"",IF($BI73="-&gt;",2,1)))</f>
        <v/>
      </c>
      <c r="CM73" s="141" t="str">
        <f aca="false">IF(ISBLANK($C73),"",IF($BR73&lt;&gt;Constants!$B$8,"",IF($BI73="-&gt;",$BK73,$BC73)))</f>
        <v/>
      </c>
      <c r="CN73" s="141" t="str">
        <f aca="false">IF(ISBLANK($C73),"",IF($BR73&lt;&gt;Constants!$B$8,"",IF($BI73="-&gt;",$BL73,$BD73)))</f>
        <v/>
      </c>
      <c r="CO73" s="141" t="str">
        <f aca="false">IF(ISBLANK($C73),"",IF($BR73&lt;&gt;Constants!$B$8,"",IF($BI73="-&gt;",$BM73+$BN73,$BE73+$BF73)+$BV73))</f>
        <v/>
      </c>
      <c r="CP73" s="141" t="str">
        <f aca="false">IF(ISBLANK($C73),"",IF($BR73&lt;&gt;Constants!$B$8,"",IF($BI73="-&gt;",$BO73,$BG73)+$BU73))</f>
        <v/>
      </c>
      <c r="CQ73" s="142" t="str">
        <f aca="false">IF(ISBLANK($C73),"",IF($BR73&lt;&gt;Constants!$B$8,$BR73,$BW73))</f>
        <v/>
      </c>
      <c r="CR73" s="143" t="str">
        <f aca="false">IF(ISBLANK($C73),"",$BS73)</f>
        <v/>
      </c>
      <c r="CS73" s="144" t="str">
        <f aca="false">IF(ISBLANK($C73),"",$CH73)</f>
        <v/>
      </c>
      <c r="CT73" s="144" t="str">
        <f aca="false">IF(ISBLANK($C73),"",$CG73)</f>
        <v/>
      </c>
      <c r="CU73" s="145" t="str">
        <f aca="false">IF(ISBLANK($C73),"",IFERROR(_xlfn.SWITCH($CT73,Constants!$B$11,COUNTA($C$9:$C$508)+2,Constants!$B$10,COUNTA($C$9:$C$508)+1,Constants!$B$9,COUNTA($C$9:$C$508)),$CT73))</f>
        <v/>
      </c>
      <c r="CV73" s="9"/>
      <c r="CW73" s="146" t="n">
        <f aca="false">IF(OR(ISNUMBER($CT73),$CT73=Constants!$B$11,$CT73=Constants!$B$9,$CT73=Constants!$B$10),1,0)</f>
        <v>0</v>
      </c>
      <c r="CX73" s="146" t="n">
        <v>65</v>
      </c>
      <c r="CY73" s="146" t="str">
        <f aca="false">IF(ISBLANK($C73),"",IF(ISNUMBER($CU73),$CU73+ROW($B73)/1000,""))</f>
        <v/>
      </c>
      <c r="CZ73" s="146" t="str">
        <f aca="false">IF(ISNUMBER($CY73),RANK($CY73,$CY$9:$CY$508,1),"")</f>
        <v/>
      </c>
      <c r="DA73" s="146" t="str">
        <f aca="false">IF(ISBLANK($C73),"",$B73)</f>
        <v/>
      </c>
      <c r="DB73" s="146" t="str">
        <f aca="false">IF(ISBLANK($C73),"",$C73)</f>
        <v/>
      </c>
      <c r="DC73" s="146" t="str">
        <f aca="false">IF(ISBLANK($C73),"",$D73)</f>
        <v/>
      </c>
      <c r="DD73" s="147" t="str">
        <f aca="false">$CR73</f>
        <v/>
      </c>
      <c r="DE73" s="148" t="str">
        <f aca="false">$CQ73</f>
        <v/>
      </c>
      <c r="DF73" s="146" t="str">
        <f aca="false">IF(ISBLANK($C73),"",$CT73)</f>
        <v/>
      </c>
      <c r="DG73" s="149" t="str">
        <f aca="false">IF($CX73&gt;$CW$8,"",VLOOKUP($CX73,$CZ$9:$DF$508,7,FALSE()))</f>
        <v/>
      </c>
      <c r="DH73" s="150" t="str">
        <f aca="false">IF($CX73&gt;$CW$8,"",VLOOKUP($CX73,$CZ$9:$DF$508,2,FALSE()))</f>
        <v/>
      </c>
      <c r="DI73" s="150" t="str">
        <f aca="false">IF($CX73&gt;$CW$8,"",VLOOKUP($CX73,$CZ$9:$DF$508,3,FALSE()))</f>
        <v/>
      </c>
      <c r="DJ73" s="150" t="str">
        <f aca="false">IF($CX73&gt;$CW$8,"",VLOOKUP($CX73,$CZ$9:$DF$508,4,FALSE()))</f>
        <v/>
      </c>
      <c r="DK73" s="150" t="str">
        <f aca="false">IF($CX73&gt;$CW$8,"",VLOOKUP($CX73,$CZ$9:$DF$508,5,FALSE()))</f>
        <v/>
      </c>
      <c r="DL73" s="151" t="str">
        <f aca="false">IF($CX73&gt;$CW$8,"",VLOOKUP($CX73,$CZ$9:$DF$508,6,FALSE()))</f>
        <v/>
      </c>
      <c r="DM73" s="75"/>
    </row>
    <row r="74" customFormat="false" ht="15.75" hidden="false" customHeight="false" outlineLevel="0" collapsed="false">
      <c r="A74" s="9"/>
      <c r="B74" s="157"/>
      <c r="C74" s="158"/>
      <c r="D74" s="159"/>
      <c r="E74" s="177"/>
      <c r="F74" s="161"/>
      <c r="G74" s="162"/>
      <c r="H74" s="162"/>
      <c r="I74" s="178"/>
      <c r="J74" s="165"/>
      <c r="K74" s="126"/>
      <c r="L74" s="127"/>
      <c r="M74" s="128"/>
      <c r="N74" s="165"/>
      <c r="O74" s="165"/>
      <c r="P74" s="177"/>
      <c r="Q74" s="165"/>
      <c r="R74" s="165"/>
      <c r="S74" s="126"/>
      <c r="T74" s="128"/>
      <c r="U74" s="128"/>
      <c r="V74" s="165"/>
      <c r="W74" s="165"/>
      <c r="X74" s="177"/>
      <c r="Y74" s="165"/>
      <c r="Z74" s="166"/>
      <c r="AA74" s="165"/>
      <c r="AB74" s="132"/>
      <c r="AC74" s="133"/>
      <c r="AD74" s="133"/>
      <c r="AE74" s="133"/>
      <c r="AF74" s="133" t="str">
        <f aca="false">IF(ISBLANK($C74),"",IF(E74=Constants!$B$3,TRUE(),IF(E74=Constants!$B$4,FALSE(),TRUE())))</f>
        <v/>
      </c>
      <c r="AG74" s="133" t="str">
        <f aca="false">IF(ISBLANK($C74),"",IF(F74=Constants!$B$3,TRUE(),IF(F74=Constants!$B$4,FALSE(),TRUE())))</f>
        <v/>
      </c>
      <c r="AH74" s="133" t="str">
        <f aca="false">IF(ISBLANK($C74),"",IF(G74=Constants!$B$3,TRUE(),IF(G74=Constants!$B$4,FALSE(),TRUE())))</f>
        <v/>
      </c>
      <c r="AI74" s="133" t="str">
        <f aca="false">IF(ISBLANK($C74),"",IF(AND(ISNUMBER(H74),H74&gt;=0),H74,Constants!$B$29))</f>
        <v/>
      </c>
      <c r="AJ74" s="133" t="str">
        <f aca="false">IF(ISBLANK($C74),"",IF(I74=Constants!$B$3,TRUE(),IF(I74=Constants!$B$4,FALSE(),TRUE())))</f>
        <v/>
      </c>
      <c r="AK74" s="133" t="str">
        <f aca="false">IF(ISBLANK($C74),"",IF(J74=Constants!$B$3,TRUE(),IF(J74=Constants!$B$4,FALSE(),TRUE())))</f>
        <v/>
      </c>
      <c r="AL74" s="133" t="str">
        <f aca="false">IF(ISBLANK($C74),"",IF(K74=Constants!$B$5,TRUE(),IF(K74=Constants!$B$6,FALSE(),COUNTA(L74:P74)&gt;0)))</f>
        <v/>
      </c>
      <c r="AM74" s="134" t="str">
        <f aca="false">IF(ISBLANK($C74),"",IF(ISNUMBER(L74),IF(L74&gt;=0,L74,""),""))</f>
        <v/>
      </c>
      <c r="AN74" s="135" t="str">
        <f aca="false">IF(ISBLANK($C74),"",IF(ISNUMBER(M74),IF(M74&gt;=0,M74,""),""))</f>
        <v/>
      </c>
      <c r="AO74" s="135" t="str">
        <f aca="false">IF(ISBLANK($C74),"",IF(N74=Constants!$B$3,TRUE(),IF(N74=Constants!$B$4,FALSE(),TRUE())))</f>
        <v/>
      </c>
      <c r="AP74" s="133" t="str">
        <f aca="false">IF(ISBLANK($C74),"",IF(ISNUMBER(O74),IF(O74&gt;=0,O74,""),""))</f>
        <v/>
      </c>
      <c r="AQ74" s="133" t="str">
        <f aca="false">IF(ISBLANK($C74),"",IF(P74=Constants!$B$3,TRUE(),IF(P74=Constants!$B$4,FALSE(),FALSE())))</f>
        <v/>
      </c>
      <c r="AR74" s="133" t="str">
        <f aca="false">IF(ISBLANK($C74),"",IF(Q74=Constants!$B$3,TRUE(),IF(Q74=Constants!$B$4,FALSE(),TRUE())))</f>
        <v/>
      </c>
      <c r="AS74" s="133" t="str">
        <f aca="false">IF(ISBLANK($C74),"",IF(R74=Constants!$B$3,TRUE(),IF(R74=Constants!$B$4,FALSE(),TRUE())))</f>
        <v/>
      </c>
      <c r="AT74" s="133" t="str">
        <f aca="false">IF(ISBLANK($C74),"",IF(S74=Constants!$B$5,TRUE(),IF(S74=Constants!$B$6,FALSE(),COUNTA(T74:X74)&gt;0)))</f>
        <v/>
      </c>
      <c r="AU74" s="134" t="str">
        <f aca="false">IF(ISBLANK($C74),"",IF(ISNUMBER(T74),IF(T74&gt;=0,T74,""),""))</f>
        <v/>
      </c>
      <c r="AV74" s="135" t="str">
        <f aca="false">IF(ISBLANK($C74),"",IF(ISNUMBER(U74),IF(U74&gt;=0,U74,""),""))</f>
        <v/>
      </c>
      <c r="AW74" s="135" t="str">
        <f aca="false">IF(ISBLANK($C74),"",IF(V74=Constants!$B$3,TRUE(),IF(V74=Constants!$B$4,FALSE(),TRUE())))</f>
        <v/>
      </c>
      <c r="AX74" s="133" t="str">
        <f aca="false">IF(ISBLANK($C74),"",IF(ISNUMBER(W74),IF(W74&gt;=0,W74,""),""))</f>
        <v/>
      </c>
      <c r="AY74" s="133" t="str">
        <f aca="false">IF(ISBLANK($C74),"",IF(X74=Constants!$B$3,TRUE(),IF(X74=Constants!$B$4,FALSE(),FALSE())))</f>
        <v/>
      </c>
      <c r="AZ74" s="133" t="str">
        <f aca="false">IF(ISBLANK($C74),"",MIN(Constants!$B$31,MAX(0,IF(ISNUMBER(Y74),Y74*60,0)+IF(ISNUMBER(Z74),Z74,0))))</f>
        <v/>
      </c>
      <c r="BA74" s="133" t="str">
        <f aca="false">IF(ISBLANK($C74),"",IF(AA74=Constants!$B$3,TRUE(),IF(AA74=Constants!$B$4,FALSE(),FALSE())))</f>
        <v/>
      </c>
      <c r="BB74" s="132" t="str">
        <f aca="false">IF(ISBLANK($C74),"",AND($AL74,OR($AM74="",$AN74="",AND($AO74,$AP74=""))))</f>
        <v/>
      </c>
      <c r="BC74" s="135" t="str">
        <f aca="false">IF($BR74&lt;&gt;Constants!$B$8,"",IF($AL74,Constants!$B$21*$AN74+Constants!$B$22*IF($AO74,$AP74,Constants!$B$23),Constants!$B$24))</f>
        <v/>
      </c>
      <c r="BD74" s="136" t="str">
        <f aca="false">IF($BR74&lt;&gt;Constants!$B$8,"",Constants!$B$25*ABS($AD$9-IF($AL74,$AM74,0)))</f>
        <v/>
      </c>
      <c r="BE74" s="136" t="str">
        <f aca="false">IF($BR74&lt;&gt;Constants!$B$8,"",IF(AND($AL74,$AQ74,$AO74),Constants!$B$27,0))</f>
        <v/>
      </c>
      <c r="BF74" s="136" t="str">
        <f aca="false">IF($BR74&lt;&gt;Constants!$B$8,"",IF($AL74,($AI74-Constants!$B$29)*Constants!$B$28,0))</f>
        <v/>
      </c>
      <c r="BG74" s="136" t="str">
        <f aca="false">IF($BR74&lt;&gt;Constants!$B$8,"",IF($AK74,0,Constants!$B$15)+IF($AJ74,0,Constants!$B$16)+IF($AH74,0,Constants!$B$17))</f>
        <v/>
      </c>
      <c r="BH74" s="137" t="str">
        <f aca="false">IF($BR74&lt;&gt;Constants!$B$8,"",Constants!$B$20+SUM($BC74:$BG74))</f>
        <v/>
      </c>
      <c r="BI74" s="133" t="str">
        <f aca="false">IF($BR74&lt;&gt;Constants!$B$8,"",IF(OR($BP74&lt;$BH74,AND($BP74=$BH74,OR($BK74&lt;$BC74,AND($BK74=$BC74,OR($BL74&lt;$BD74,AND($BL74=$BD74,$AT74,$AL74,$AV74&lt;$AN74)))))),"-&gt;","&lt;-"))</f>
        <v/>
      </c>
      <c r="BJ74" s="132" t="str">
        <f aca="false">IF(ISBLANK($C74),"",AND($AT74,OR($AU74="",$AV74="",AND($AW74,$AX74=""))))</f>
        <v/>
      </c>
      <c r="BK74" s="135" t="str">
        <f aca="false">IF($BR74&lt;&gt;Constants!$B$8,"",IF($AT74,Constants!$B$21*$AV74+Constants!$B$22*IF($AW74,$AX74,Constants!$B$23),Constants!$B$24))</f>
        <v/>
      </c>
      <c r="BL74" s="136" t="str">
        <f aca="false">IF($BR74&lt;&gt;Constants!$B$8,"",Constants!$B$25*ABS($AD$9-IF($AT74,$AU74,0)))</f>
        <v/>
      </c>
      <c r="BM74" s="136" t="str">
        <f aca="false">IF($BR74&lt;&gt;Constants!$B$8,"",IF(AND($AT74,$AY74,$AW74),Constants!$B$27,0))</f>
        <v/>
      </c>
      <c r="BN74" s="136" t="str">
        <f aca="false">IF($BR74&lt;&gt;Constants!$B$8,"",IF($AT74,($AI74-Constants!$B$29)*Constants!$B$28,0))</f>
        <v/>
      </c>
      <c r="BO74" s="136" t="str">
        <f aca="false">IF($BR74&lt;&gt;Constants!$B$8,"",IF($AS74,0,Constants!$B$15)+IF($AR74,0,Constants!$B$16)+IF($AH74,0,Constants!$B$17))</f>
        <v/>
      </c>
      <c r="BP74" s="137" t="str">
        <f aca="false">IF($BR74&lt;&gt;Constants!$B$8,"",Constants!$B$20+SUM($BK74:$BO74))</f>
        <v/>
      </c>
      <c r="BQ74" s="133" t="str">
        <f aca="false">IF(ISBLANK($C74),"",IF(ISBLANK($D$7),$BQ$5,IF(NOT(ISNUMBER($D$7)),$BQ$6,"")))</f>
        <v/>
      </c>
      <c r="BR74" s="133" t="str">
        <f aca="false">IF(ISBLANK($C74),"",IF($BA74,Constants!$B$11,IF(COUNTA($E74:$AA74)=0,Constants!$B$10,IF(NOT($AG74),Constants!$B$9,IF(OR($BQ74&lt;&gt;"",$BB74,$BJ74),Constants!$B$12,Constants!$B$8)))))</f>
        <v/>
      </c>
      <c r="BS74" s="133" t="str">
        <f aca="false">IF(ISBLANK($C74),"",IF($BR74&lt;&gt;Constants!$B$8,$BR74,Constants!$B$13))</f>
        <v/>
      </c>
      <c r="BT74" s="136" t="str">
        <f aca="false">IF($BR74&lt;&gt;Constants!$B$8,"",IF($BI74="-&gt;",$BP74,$BH74))</f>
        <v/>
      </c>
      <c r="BU74" s="136" t="str">
        <f aca="false">IF($BR74&lt;&gt;Constants!$B$8,"",IF($AF74,0,Constants!$B$18))</f>
        <v/>
      </c>
      <c r="BV74" s="136" t="str">
        <f aca="false">IF($BR74&lt;&gt;Constants!$B$8,"",((Constants!$B$31-$AZ74)-Constants!$B$31)/Constants!$B$32)</f>
        <v/>
      </c>
      <c r="BW74" s="136" t="str">
        <f aca="false">IF(ISBLANK($C74),"",IF($BR74&lt;&gt;Constants!$B$8,$BR74,SUM($BT74:$BV74)))</f>
        <v/>
      </c>
      <c r="BX74" s="133" t="str">
        <f aca="false">IF(ISBLANK($C74),"",IF($BR74&lt;&gt;Constants!$B$8,$BR74,RANK($BW74,$BW$9:$BW$508,1)))</f>
        <v/>
      </c>
      <c r="BY74" s="136" t="str">
        <f aca="false">IF($BR74&lt;&gt;Constants!$B$8,"",IF($BI74="-&gt;",$BK74,$BC74))</f>
        <v/>
      </c>
      <c r="BZ74" s="133" t="str">
        <f aca="false">IF(ISBLANK($C74),"",IF($BR74&lt;&gt;Constants!$B$8,$BR74,IF(ISNUMBER($BY74),RANK($BY74,$BY$9:$BY$508,1),COUNT($BY$9:$BY$508)+1)))</f>
        <v/>
      </c>
      <c r="CA74" s="136" t="str">
        <f aca="false">IF($BR74&lt;&gt;Constants!$B$8,"",IF($BI74="-&gt;",$BL74,$BD74))</f>
        <v/>
      </c>
      <c r="CB74" s="133" t="str">
        <f aca="false">IF(ISBLANK($C74),"",IF($BR74&lt;&gt;Constants!$B$8,$BR74,IF(ISNUMBER($CA74),RANK($CA74,$CA$9:$CA$508,1),COUNT($CA$9:$CA$508)+1)))</f>
        <v/>
      </c>
      <c r="CC74" s="136" t="str">
        <f aca="false">IF($BR74&lt;&gt;Constants!$B$8,"",IF($BI74="-&gt;",IF($AT74,$AV74,""),IF($AL74,$AN74,"")))</f>
        <v/>
      </c>
      <c r="CD74" s="133" t="str">
        <f aca="false">IF(ISBLANK($C74),"",IF($BR74&lt;&gt;Constants!$B$8,$BR74,IF(ISNUMBER($CC74),RANK($CC74,$CC$9:$CC$508,1),COUNT($CC$9:$CC$508)+1)))</f>
        <v/>
      </c>
      <c r="CE74" s="136" t="str">
        <f aca="false">IF($BR74&lt;&gt;Constants!$B$8,"",IF(AND(NOT($AL74),NOT($AT74),$AJ74,$AK74,$AR74,$AS74),"",$AI74))</f>
        <v/>
      </c>
      <c r="CF74" s="133" t="str">
        <f aca="false">IF(ISBLANK($C74),"",IF($BR74&lt;&gt;Constants!$B$8,$BR74,IF(ISNUMBER($CE74),RANK($CE74,$CE$9:$CE$508,1),COUNT($CE$9:$CE$508)+1)))</f>
        <v/>
      </c>
      <c r="CG74" s="133" t="str">
        <f aca="false">IF(ISBLANK($C74),"",IF($BR74&lt;&gt;Constants!$B$8,$BR74,COUNTIFS($BX$9:$BX$508,"&lt;"&amp;$BX74)+COUNTIFS($BX$9:$BX$508,$BX74,$BZ$9:$BZ$508,"&lt;"&amp;$BZ74)+COUNTIFS($BX$9:$BX$508,$BX74,$BZ$9:$BZ$508,$BZ74,$CB$9:$CB$508,"&lt;"&amp;$CB74)+COUNTIFS($BX$9:$BX$508,$BX74,$BZ$9:$BZ$508,$BZ74,$CB$9:$CB$508,$CB74,$CD$9:$CD$508,"&lt;"&amp;$CD74)+COUNTIFS($BX$9:$BX$508,$BX74,$BZ$9:$BZ$508,$BZ74,$CB$9:$CB$508,$CB74,$CD$9:$CD$508,$CD74,$CF$9:$CF$508,"&lt;"&amp;$CF74)+1))</f>
        <v/>
      </c>
      <c r="CH74" s="133" t="str">
        <f aca="false">IF(ISBLANK($C74),"",IF($BR74&lt;&gt;Constants!$B$8,$BR74,$BX74-$CG74))</f>
        <v/>
      </c>
      <c r="CI74" s="138"/>
      <c r="CJ74" s="139"/>
      <c r="CK74" s="140" t="str">
        <f aca="false">IF(ISBLANK($C74),"",IF($BR74=Constants!$B$12,$BQ74,""))</f>
        <v/>
      </c>
      <c r="CL74" s="139" t="str">
        <f aca="false">IF(ISBLANK($C74),"",IF($BR74&lt;&gt;Constants!$B$8,"",IF($BI74="-&gt;",2,1)))</f>
        <v/>
      </c>
      <c r="CM74" s="141" t="str">
        <f aca="false">IF(ISBLANK($C74),"",IF($BR74&lt;&gt;Constants!$B$8,"",IF($BI74="-&gt;",$BK74,$BC74)))</f>
        <v/>
      </c>
      <c r="CN74" s="141" t="str">
        <f aca="false">IF(ISBLANK($C74),"",IF($BR74&lt;&gt;Constants!$B$8,"",IF($BI74="-&gt;",$BL74,$BD74)))</f>
        <v/>
      </c>
      <c r="CO74" s="141" t="str">
        <f aca="false">IF(ISBLANK($C74),"",IF($BR74&lt;&gt;Constants!$B$8,"",IF($BI74="-&gt;",$BM74+$BN74,$BE74+$BF74)+$BV74))</f>
        <v/>
      </c>
      <c r="CP74" s="141" t="str">
        <f aca="false">IF(ISBLANK($C74),"",IF($BR74&lt;&gt;Constants!$B$8,"",IF($BI74="-&gt;",$BO74,$BG74)+$BU74))</f>
        <v/>
      </c>
      <c r="CQ74" s="142" t="str">
        <f aca="false">IF(ISBLANK($C74),"",IF($BR74&lt;&gt;Constants!$B$8,$BR74,$BW74))</f>
        <v/>
      </c>
      <c r="CR74" s="143" t="str">
        <f aca="false">IF(ISBLANK($C74),"",$BS74)</f>
        <v/>
      </c>
      <c r="CS74" s="144" t="str">
        <f aca="false">IF(ISBLANK($C74),"",$CH74)</f>
        <v/>
      </c>
      <c r="CT74" s="144" t="str">
        <f aca="false">IF(ISBLANK($C74),"",$CG74)</f>
        <v/>
      </c>
      <c r="CU74" s="145" t="str">
        <f aca="false">IF(ISBLANK($C74),"",IFERROR(_xlfn.SWITCH($CT74,Constants!$B$11,COUNTA($C$9:$C$508)+2,Constants!$B$10,COUNTA($C$9:$C$508)+1,Constants!$B$9,COUNTA($C$9:$C$508)),$CT74))</f>
        <v/>
      </c>
      <c r="CV74" s="9"/>
      <c r="CW74" s="146" t="n">
        <f aca="false">IF(OR(ISNUMBER($CT74),$CT74=Constants!$B$11,$CT74=Constants!$B$9,$CT74=Constants!$B$10),1,0)</f>
        <v>0</v>
      </c>
      <c r="CX74" s="146" t="n">
        <v>66</v>
      </c>
      <c r="CY74" s="146" t="str">
        <f aca="false">IF(ISBLANK($C74),"",IF(ISNUMBER($CU74),$CU74+ROW($B74)/1000,""))</f>
        <v/>
      </c>
      <c r="CZ74" s="146" t="str">
        <f aca="false">IF(ISNUMBER($CY74),RANK($CY74,$CY$9:$CY$508,1),"")</f>
        <v/>
      </c>
      <c r="DA74" s="146" t="str">
        <f aca="false">IF(ISBLANK($C74),"",$B74)</f>
        <v/>
      </c>
      <c r="DB74" s="146" t="str">
        <f aca="false">IF(ISBLANK($C74),"",$C74)</f>
        <v/>
      </c>
      <c r="DC74" s="146" t="str">
        <f aca="false">IF(ISBLANK($C74),"",$D74)</f>
        <v/>
      </c>
      <c r="DD74" s="147" t="str">
        <f aca="false">$CR74</f>
        <v/>
      </c>
      <c r="DE74" s="148" t="str">
        <f aca="false">$CQ74</f>
        <v/>
      </c>
      <c r="DF74" s="146" t="str">
        <f aca="false">IF(ISBLANK($C74),"",$CT74)</f>
        <v/>
      </c>
      <c r="DG74" s="149" t="str">
        <f aca="false">IF($CX74&gt;$CW$8,"",VLOOKUP($CX74,$CZ$9:$DF$508,7,FALSE()))</f>
        <v/>
      </c>
      <c r="DH74" s="150" t="str">
        <f aca="false">IF($CX74&gt;$CW$8,"",VLOOKUP($CX74,$CZ$9:$DF$508,2,FALSE()))</f>
        <v/>
      </c>
      <c r="DI74" s="150" t="str">
        <f aca="false">IF($CX74&gt;$CW$8,"",VLOOKUP($CX74,$CZ$9:$DF$508,3,FALSE()))</f>
        <v/>
      </c>
      <c r="DJ74" s="150" t="str">
        <f aca="false">IF($CX74&gt;$CW$8,"",VLOOKUP($CX74,$CZ$9:$DF$508,4,FALSE()))</f>
        <v/>
      </c>
      <c r="DK74" s="150" t="str">
        <f aca="false">IF($CX74&gt;$CW$8,"",VLOOKUP($CX74,$CZ$9:$DF$508,5,FALSE()))</f>
        <v/>
      </c>
      <c r="DL74" s="151" t="str">
        <f aca="false">IF($CX74&gt;$CW$8,"",VLOOKUP($CX74,$CZ$9:$DF$508,6,FALSE()))</f>
        <v/>
      </c>
      <c r="DM74" s="75"/>
    </row>
    <row r="75" customFormat="false" ht="15.75" hidden="false" customHeight="false" outlineLevel="0" collapsed="false">
      <c r="A75" s="9"/>
      <c r="B75" s="77"/>
      <c r="C75" s="78"/>
      <c r="D75" s="167"/>
      <c r="E75" s="175"/>
      <c r="F75" s="169"/>
      <c r="G75" s="170"/>
      <c r="H75" s="170"/>
      <c r="I75" s="176"/>
      <c r="J75" s="173"/>
      <c r="K75" s="85"/>
      <c r="L75" s="86"/>
      <c r="M75" s="87"/>
      <c r="N75" s="173"/>
      <c r="O75" s="173"/>
      <c r="P75" s="175"/>
      <c r="Q75" s="173"/>
      <c r="R75" s="173"/>
      <c r="S75" s="85"/>
      <c r="T75" s="87"/>
      <c r="U75" s="87"/>
      <c r="V75" s="173"/>
      <c r="W75" s="173"/>
      <c r="X75" s="175"/>
      <c r="Y75" s="173"/>
      <c r="Z75" s="174"/>
      <c r="AA75" s="173"/>
      <c r="AB75" s="91"/>
      <c r="AC75" s="92"/>
      <c r="AD75" s="92"/>
      <c r="AE75" s="92"/>
      <c r="AF75" s="92" t="str">
        <f aca="false">IF(ISBLANK($C75),"",IF(E75=Constants!$B$3,TRUE(),IF(E75=Constants!$B$4,FALSE(),TRUE())))</f>
        <v/>
      </c>
      <c r="AG75" s="92" t="str">
        <f aca="false">IF(ISBLANK($C75),"",IF(F75=Constants!$B$3,TRUE(),IF(F75=Constants!$B$4,FALSE(),TRUE())))</f>
        <v/>
      </c>
      <c r="AH75" s="92" t="str">
        <f aca="false">IF(ISBLANK($C75),"",IF(G75=Constants!$B$3,TRUE(),IF(G75=Constants!$B$4,FALSE(),TRUE())))</f>
        <v/>
      </c>
      <c r="AI75" s="92" t="str">
        <f aca="false">IF(ISBLANK($C75),"",IF(AND(ISNUMBER(H75),H75&gt;=0),H75,Constants!$B$29))</f>
        <v/>
      </c>
      <c r="AJ75" s="92" t="str">
        <f aca="false">IF(ISBLANK($C75),"",IF(I75=Constants!$B$3,TRUE(),IF(I75=Constants!$B$4,FALSE(),TRUE())))</f>
        <v/>
      </c>
      <c r="AK75" s="92" t="str">
        <f aca="false">IF(ISBLANK($C75),"",IF(J75=Constants!$B$3,TRUE(),IF(J75=Constants!$B$4,FALSE(),TRUE())))</f>
        <v/>
      </c>
      <c r="AL75" s="92" t="str">
        <f aca="false">IF(ISBLANK($C75),"",IF(K75=Constants!$B$5,TRUE(),IF(K75=Constants!$B$6,FALSE(),COUNTA(L75:P75)&gt;0)))</f>
        <v/>
      </c>
      <c r="AM75" s="94" t="str">
        <f aca="false">IF(ISBLANK($C75),"",IF(ISNUMBER(L75),IF(L75&gt;=0,L75,""),""))</f>
        <v/>
      </c>
      <c r="AN75" s="93" t="str">
        <f aca="false">IF(ISBLANK($C75),"",IF(ISNUMBER(M75),IF(M75&gt;=0,M75,""),""))</f>
        <v/>
      </c>
      <c r="AO75" s="93" t="str">
        <f aca="false">IF(ISBLANK($C75),"",IF(N75=Constants!$B$3,TRUE(),IF(N75=Constants!$B$4,FALSE(),TRUE())))</f>
        <v/>
      </c>
      <c r="AP75" s="92" t="str">
        <f aca="false">IF(ISBLANK($C75),"",IF(ISNUMBER(O75),IF(O75&gt;=0,O75,""),""))</f>
        <v/>
      </c>
      <c r="AQ75" s="92" t="str">
        <f aca="false">IF(ISBLANK($C75),"",IF(P75=Constants!$B$3,TRUE(),IF(P75=Constants!$B$4,FALSE(),FALSE())))</f>
        <v/>
      </c>
      <c r="AR75" s="92" t="str">
        <f aca="false">IF(ISBLANK($C75),"",IF(Q75=Constants!$B$3,TRUE(),IF(Q75=Constants!$B$4,FALSE(),TRUE())))</f>
        <v/>
      </c>
      <c r="AS75" s="92" t="str">
        <f aca="false">IF(ISBLANK($C75),"",IF(R75=Constants!$B$3,TRUE(),IF(R75=Constants!$B$4,FALSE(),TRUE())))</f>
        <v/>
      </c>
      <c r="AT75" s="92" t="str">
        <f aca="false">IF(ISBLANK($C75),"",IF(S75=Constants!$B$5,TRUE(),IF(S75=Constants!$B$6,FALSE(),COUNTA(T75:X75)&gt;0)))</f>
        <v/>
      </c>
      <c r="AU75" s="94" t="str">
        <f aca="false">IF(ISBLANK($C75),"",IF(ISNUMBER(T75),IF(T75&gt;=0,T75,""),""))</f>
        <v/>
      </c>
      <c r="AV75" s="93" t="str">
        <f aca="false">IF(ISBLANK($C75),"",IF(ISNUMBER(U75),IF(U75&gt;=0,U75,""),""))</f>
        <v/>
      </c>
      <c r="AW75" s="93" t="str">
        <f aca="false">IF(ISBLANK($C75),"",IF(V75=Constants!$B$3,TRUE(),IF(V75=Constants!$B$4,FALSE(),TRUE())))</f>
        <v/>
      </c>
      <c r="AX75" s="92" t="str">
        <f aca="false">IF(ISBLANK($C75),"",IF(ISNUMBER(W75),IF(W75&gt;=0,W75,""),""))</f>
        <v/>
      </c>
      <c r="AY75" s="92" t="str">
        <f aca="false">IF(ISBLANK($C75),"",IF(X75=Constants!$B$3,TRUE(),IF(X75=Constants!$B$4,FALSE(),FALSE())))</f>
        <v/>
      </c>
      <c r="AZ75" s="92" t="str">
        <f aca="false">IF(ISBLANK($C75),"",MIN(Constants!$B$31,MAX(0,IF(ISNUMBER(Y75),Y75*60,0)+IF(ISNUMBER(Z75),Z75,0))))</f>
        <v/>
      </c>
      <c r="BA75" s="92" t="str">
        <f aca="false">IF(ISBLANK($C75),"",IF(AA75=Constants!$B$3,TRUE(),IF(AA75=Constants!$B$4,FALSE(),FALSE())))</f>
        <v/>
      </c>
      <c r="BB75" s="91" t="str">
        <f aca="false">IF(ISBLANK($C75),"",AND($AL75,OR($AM75="",$AN75="",AND($AO75,$AP75=""))))</f>
        <v/>
      </c>
      <c r="BC75" s="93" t="str">
        <f aca="false">IF($BR75&lt;&gt;Constants!$B$8,"",IF($AL75,Constants!$B$21*$AN75+Constants!$B$22*IF($AO75,$AP75,Constants!$B$23),Constants!$B$24))</f>
        <v/>
      </c>
      <c r="BD75" s="96" t="str">
        <f aca="false">IF($BR75&lt;&gt;Constants!$B$8,"",Constants!$B$25*ABS($AD$9-IF($AL75,$AM75,0)))</f>
        <v/>
      </c>
      <c r="BE75" s="96" t="str">
        <f aca="false">IF($BR75&lt;&gt;Constants!$B$8,"",IF(AND($AL75,$AQ75,$AO75),Constants!$B$27,0))</f>
        <v/>
      </c>
      <c r="BF75" s="96" t="str">
        <f aca="false">IF($BR75&lt;&gt;Constants!$B$8,"",IF($AL75,($AI75-Constants!$B$29)*Constants!$B$28,0))</f>
        <v/>
      </c>
      <c r="BG75" s="96" t="str">
        <f aca="false">IF($BR75&lt;&gt;Constants!$B$8,"",IF($AK75,0,Constants!$B$15)+IF($AJ75,0,Constants!$B$16)+IF($AH75,0,Constants!$B$17))</f>
        <v/>
      </c>
      <c r="BH75" s="97" t="str">
        <f aca="false">IF($BR75&lt;&gt;Constants!$B$8,"",Constants!$B$20+SUM($BC75:$BG75))</f>
        <v/>
      </c>
      <c r="BI75" s="92" t="str">
        <f aca="false">IF($BR75&lt;&gt;Constants!$B$8,"",IF(OR($BP75&lt;$BH75,AND($BP75=$BH75,OR($BK75&lt;$BC75,AND($BK75=$BC75,OR($BL75&lt;$BD75,AND($BL75=$BD75,$AT75,$AL75,$AV75&lt;$AN75)))))),"-&gt;","&lt;-"))</f>
        <v/>
      </c>
      <c r="BJ75" s="91" t="str">
        <f aca="false">IF(ISBLANK($C75),"",AND($AT75,OR($AU75="",$AV75="",AND($AW75,$AX75=""))))</f>
        <v/>
      </c>
      <c r="BK75" s="93" t="str">
        <f aca="false">IF($BR75&lt;&gt;Constants!$B$8,"",IF($AT75,Constants!$B$21*$AV75+Constants!$B$22*IF($AW75,$AX75,Constants!$B$23),Constants!$B$24))</f>
        <v/>
      </c>
      <c r="BL75" s="96" t="str">
        <f aca="false">IF($BR75&lt;&gt;Constants!$B$8,"",Constants!$B$25*ABS($AD$9-IF($AT75,$AU75,0)))</f>
        <v/>
      </c>
      <c r="BM75" s="96" t="str">
        <f aca="false">IF($BR75&lt;&gt;Constants!$B$8,"",IF(AND($AT75,$AY75,$AW75),Constants!$B$27,0))</f>
        <v/>
      </c>
      <c r="BN75" s="96" t="str">
        <f aca="false">IF($BR75&lt;&gt;Constants!$B$8,"",IF($AT75,($AI75-Constants!$B$29)*Constants!$B$28,0))</f>
        <v/>
      </c>
      <c r="BO75" s="96" t="str">
        <f aca="false">IF($BR75&lt;&gt;Constants!$B$8,"",IF($AS75,0,Constants!$B$15)+IF($AR75,0,Constants!$B$16)+IF($AH75,0,Constants!$B$17))</f>
        <v/>
      </c>
      <c r="BP75" s="97" t="str">
        <f aca="false">IF($BR75&lt;&gt;Constants!$B$8,"",Constants!$B$20+SUM($BK75:$BO75))</f>
        <v/>
      </c>
      <c r="BQ75" s="92" t="str">
        <f aca="false">IF(ISBLANK($C75),"",IF(ISBLANK($D$7),$BQ$5,IF(NOT(ISNUMBER($D$7)),$BQ$6,"")))</f>
        <v/>
      </c>
      <c r="BR75" s="92" t="str">
        <f aca="false">IF(ISBLANK($C75),"",IF($BA75,Constants!$B$11,IF(COUNTA($E75:$AA75)=0,Constants!$B$10,IF(NOT($AG75),Constants!$B$9,IF(OR($BQ75&lt;&gt;"",$BB75,$BJ75),Constants!$B$12,Constants!$B$8)))))</f>
        <v/>
      </c>
      <c r="BS75" s="92" t="str">
        <f aca="false">IF(ISBLANK($C75),"",IF($BR75&lt;&gt;Constants!$B$8,$BR75,Constants!$B$13))</f>
        <v/>
      </c>
      <c r="BT75" s="96" t="str">
        <f aca="false">IF($BR75&lt;&gt;Constants!$B$8,"",IF($BI75="-&gt;",$BP75,$BH75))</f>
        <v/>
      </c>
      <c r="BU75" s="96" t="str">
        <f aca="false">IF($BR75&lt;&gt;Constants!$B$8,"",IF($AF75,0,Constants!$B$18))</f>
        <v/>
      </c>
      <c r="BV75" s="96" t="str">
        <f aca="false">IF($BR75&lt;&gt;Constants!$B$8,"",((Constants!$B$31-$AZ75)-Constants!$B$31)/Constants!$B$32)</f>
        <v/>
      </c>
      <c r="BW75" s="96" t="str">
        <f aca="false">IF(ISBLANK($C75),"",IF($BR75&lt;&gt;Constants!$B$8,$BR75,SUM($BT75:$BV75)))</f>
        <v/>
      </c>
      <c r="BX75" s="92" t="str">
        <f aca="false">IF(ISBLANK($C75),"",IF($BR75&lt;&gt;Constants!$B$8,$BR75,RANK($BW75,$BW$9:$BW$508,1)))</f>
        <v/>
      </c>
      <c r="BY75" s="96" t="str">
        <f aca="false">IF($BR75&lt;&gt;Constants!$B$8,"",IF($BI75="-&gt;",$BK75,$BC75))</f>
        <v/>
      </c>
      <c r="BZ75" s="92" t="str">
        <f aca="false">IF(ISBLANK($C75),"",IF($BR75&lt;&gt;Constants!$B$8,$BR75,IF(ISNUMBER($BY75),RANK($BY75,$BY$9:$BY$508,1),COUNT($BY$9:$BY$508)+1)))</f>
        <v/>
      </c>
      <c r="CA75" s="96" t="str">
        <f aca="false">IF($BR75&lt;&gt;Constants!$B$8,"",IF($BI75="-&gt;",$BL75,$BD75))</f>
        <v/>
      </c>
      <c r="CB75" s="92" t="str">
        <f aca="false">IF(ISBLANK($C75),"",IF($BR75&lt;&gt;Constants!$B$8,$BR75,IF(ISNUMBER($CA75),RANK($CA75,$CA$9:$CA$508,1),COUNT($CA$9:$CA$508)+1)))</f>
        <v/>
      </c>
      <c r="CC75" s="96" t="str">
        <f aca="false">IF($BR75&lt;&gt;Constants!$B$8,"",IF($BI75="-&gt;",IF($AT75,$AV75,""),IF($AL75,$AN75,"")))</f>
        <v/>
      </c>
      <c r="CD75" s="92" t="str">
        <f aca="false">IF(ISBLANK($C75),"",IF($BR75&lt;&gt;Constants!$B$8,$BR75,IF(ISNUMBER($CC75),RANK($CC75,$CC$9:$CC$508,1),COUNT($CC$9:$CC$508)+1)))</f>
        <v/>
      </c>
      <c r="CE75" s="96" t="str">
        <f aca="false">IF($BR75&lt;&gt;Constants!$B$8,"",IF(AND(NOT($AL75),NOT($AT75),$AJ75,$AK75,$AR75,$AS75),"",$AI75))</f>
        <v/>
      </c>
      <c r="CF75" s="92" t="str">
        <f aca="false">IF(ISBLANK($C75),"",IF($BR75&lt;&gt;Constants!$B$8,$BR75,IF(ISNUMBER($CE75),RANK($CE75,$CE$9:$CE$508,1),COUNT($CE$9:$CE$508)+1)))</f>
        <v/>
      </c>
      <c r="CG75" s="92" t="str">
        <f aca="false">IF(ISBLANK($C75),"",IF($BR75&lt;&gt;Constants!$B$8,$BR75,COUNTIFS($BX$9:$BX$508,"&lt;"&amp;$BX75)+COUNTIFS($BX$9:$BX$508,$BX75,$BZ$9:$BZ$508,"&lt;"&amp;$BZ75)+COUNTIFS($BX$9:$BX$508,$BX75,$BZ$9:$BZ$508,$BZ75,$CB$9:$CB$508,"&lt;"&amp;$CB75)+COUNTIFS($BX$9:$BX$508,$BX75,$BZ$9:$BZ$508,$BZ75,$CB$9:$CB$508,$CB75,$CD$9:$CD$508,"&lt;"&amp;$CD75)+COUNTIFS($BX$9:$BX$508,$BX75,$BZ$9:$BZ$508,$BZ75,$CB$9:$CB$508,$CB75,$CD$9:$CD$508,$CD75,$CF$9:$CF$508,"&lt;"&amp;$CF75)+1))</f>
        <v/>
      </c>
      <c r="CH75" s="92" t="str">
        <f aca="false">IF(ISBLANK($C75),"",IF($BR75&lt;&gt;Constants!$B$8,$BR75,$BX75-$CG75))</f>
        <v/>
      </c>
      <c r="CI75" s="98"/>
      <c r="CJ75" s="99"/>
      <c r="CK75" s="100" t="str">
        <f aca="false">IF(ISBLANK($C75),"",IF($BR75=Constants!$B$12,$BQ75,""))</f>
        <v/>
      </c>
      <c r="CL75" s="99" t="str">
        <f aca="false">IF(ISBLANK($C75),"",IF($BR75&lt;&gt;Constants!$B$8,"",IF($BI75="-&gt;",2,1)))</f>
        <v/>
      </c>
      <c r="CM75" s="101" t="str">
        <f aca="false">IF(ISBLANK($C75),"",IF($BR75&lt;&gt;Constants!$B$8,"",IF($BI75="-&gt;",$BK75,$BC75)))</f>
        <v/>
      </c>
      <c r="CN75" s="101" t="str">
        <f aca="false">IF(ISBLANK($C75),"",IF($BR75&lt;&gt;Constants!$B$8,"",IF($BI75="-&gt;",$BL75,$BD75)))</f>
        <v/>
      </c>
      <c r="CO75" s="101" t="str">
        <f aca="false">IF(ISBLANK($C75),"",IF($BR75&lt;&gt;Constants!$B$8,"",IF($BI75="-&gt;",$BM75+$BN75,$BE75+$BF75)+$BV75))</f>
        <v/>
      </c>
      <c r="CP75" s="101" t="str">
        <f aca="false">IF(ISBLANK($C75),"",IF($BR75&lt;&gt;Constants!$B$8,"",IF($BI75="-&gt;",$BO75,$BG75)+$BU75))</f>
        <v/>
      </c>
      <c r="CQ75" s="102" t="str">
        <f aca="false">IF(ISBLANK($C75),"",IF($BR75&lt;&gt;Constants!$B$8,$BR75,$BW75))</f>
        <v/>
      </c>
      <c r="CR75" s="103" t="str">
        <f aca="false">IF(ISBLANK($C75),"",$BS75)</f>
        <v/>
      </c>
      <c r="CS75" s="104" t="str">
        <f aca="false">IF(ISBLANK($C75),"",$CH75)</f>
        <v/>
      </c>
      <c r="CT75" s="104" t="str">
        <f aca="false">IF(ISBLANK($C75),"",$CG75)</f>
        <v/>
      </c>
      <c r="CU75" s="105" t="str">
        <f aca="false">IF(ISBLANK($C75),"",IFERROR(_xlfn.SWITCH($CT75,Constants!$B$11,COUNTA($C$9:$C$508)+2,Constants!$B$10,COUNTA($C$9:$C$508)+1,Constants!$B$9,COUNTA($C$9:$C$508)),$CT75))</f>
        <v/>
      </c>
      <c r="CV75" s="9"/>
      <c r="CW75" s="106" t="n">
        <f aca="false">IF(OR(ISNUMBER($CT75),$CT75=Constants!$B$11,$CT75=Constants!$B$9,$CT75=Constants!$B$10),1,0)</f>
        <v>0</v>
      </c>
      <c r="CX75" s="106" t="n">
        <v>67</v>
      </c>
      <c r="CY75" s="106" t="str">
        <f aca="false">IF(ISBLANK($C75),"",IF(ISNUMBER($CU75),$CU75+ROW($B75)/1000,""))</f>
        <v/>
      </c>
      <c r="CZ75" s="106" t="str">
        <f aca="false">IF(ISNUMBER($CY75),RANK($CY75,$CY$9:$CY$508,1),"")</f>
        <v/>
      </c>
      <c r="DA75" s="106" t="str">
        <f aca="false">IF(ISBLANK($C75),"",$B75)</f>
        <v/>
      </c>
      <c r="DB75" s="106" t="str">
        <f aca="false">IF(ISBLANK($C75),"",$C75)</f>
        <v/>
      </c>
      <c r="DC75" s="106" t="str">
        <f aca="false">IF(ISBLANK($C75),"",$D75)</f>
        <v/>
      </c>
      <c r="DD75" s="107" t="str">
        <f aca="false">$CR75</f>
        <v/>
      </c>
      <c r="DE75" s="108" t="str">
        <f aca="false">$CQ75</f>
        <v/>
      </c>
      <c r="DF75" s="106" t="str">
        <f aca="false">IF(ISBLANK($C75),"",$CT75)</f>
        <v/>
      </c>
      <c r="DG75" s="109" t="str">
        <f aca="false">IF($CX75&gt;$CW$8,"",VLOOKUP($CX75,$CZ$9:$DF$508,7,FALSE()))</f>
        <v/>
      </c>
      <c r="DH75" s="110" t="str">
        <f aca="false">IF($CX75&gt;$CW$8,"",VLOOKUP($CX75,$CZ$9:$DF$508,2,FALSE()))</f>
        <v/>
      </c>
      <c r="DI75" s="110" t="str">
        <f aca="false">IF($CX75&gt;$CW$8,"",VLOOKUP($CX75,$CZ$9:$DF$508,3,FALSE()))</f>
        <v/>
      </c>
      <c r="DJ75" s="110" t="str">
        <f aca="false">IF($CX75&gt;$CW$8,"",VLOOKUP($CX75,$CZ$9:$DF$508,4,FALSE()))</f>
        <v/>
      </c>
      <c r="DK75" s="110" t="str">
        <f aca="false">IF($CX75&gt;$CW$8,"",VLOOKUP($CX75,$CZ$9:$DF$508,5,FALSE()))</f>
        <v/>
      </c>
      <c r="DL75" s="111" t="str">
        <f aca="false">IF($CX75&gt;$CW$8,"",VLOOKUP($CX75,$CZ$9:$DF$508,6,FALSE()))</f>
        <v/>
      </c>
      <c r="DM75" s="75"/>
    </row>
    <row r="76" customFormat="false" ht="15.75" hidden="false" customHeight="false" outlineLevel="0" collapsed="false">
      <c r="A76" s="9"/>
      <c r="B76" s="77"/>
      <c r="C76" s="78"/>
      <c r="D76" s="167"/>
      <c r="E76" s="175"/>
      <c r="F76" s="169"/>
      <c r="G76" s="170"/>
      <c r="H76" s="170"/>
      <c r="I76" s="176"/>
      <c r="J76" s="173"/>
      <c r="K76" s="85"/>
      <c r="L76" s="86"/>
      <c r="M76" s="87"/>
      <c r="N76" s="173"/>
      <c r="O76" s="173"/>
      <c r="P76" s="175"/>
      <c r="Q76" s="173"/>
      <c r="R76" s="173"/>
      <c r="S76" s="85"/>
      <c r="T76" s="87"/>
      <c r="U76" s="87"/>
      <c r="V76" s="173"/>
      <c r="W76" s="173"/>
      <c r="X76" s="175"/>
      <c r="Y76" s="173"/>
      <c r="Z76" s="174"/>
      <c r="AA76" s="173"/>
      <c r="AB76" s="91"/>
      <c r="AC76" s="92"/>
      <c r="AD76" s="92"/>
      <c r="AE76" s="92"/>
      <c r="AF76" s="92" t="str">
        <f aca="false">IF(ISBLANK($C76),"",IF(E76=Constants!$B$3,TRUE(),IF(E76=Constants!$B$4,FALSE(),TRUE())))</f>
        <v/>
      </c>
      <c r="AG76" s="92" t="str">
        <f aca="false">IF(ISBLANK($C76),"",IF(F76=Constants!$B$3,TRUE(),IF(F76=Constants!$B$4,FALSE(),TRUE())))</f>
        <v/>
      </c>
      <c r="AH76" s="92" t="str">
        <f aca="false">IF(ISBLANK($C76),"",IF(G76=Constants!$B$3,TRUE(),IF(G76=Constants!$B$4,FALSE(),TRUE())))</f>
        <v/>
      </c>
      <c r="AI76" s="92" t="str">
        <f aca="false">IF(ISBLANK($C76),"",IF(AND(ISNUMBER(H76),H76&gt;=0),H76,Constants!$B$29))</f>
        <v/>
      </c>
      <c r="AJ76" s="92" t="str">
        <f aca="false">IF(ISBLANK($C76),"",IF(I76=Constants!$B$3,TRUE(),IF(I76=Constants!$B$4,FALSE(),TRUE())))</f>
        <v/>
      </c>
      <c r="AK76" s="92" t="str">
        <f aca="false">IF(ISBLANK($C76),"",IF(J76=Constants!$B$3,TRUE(),IF(J76=Constants!$B$4,FALSE(),TRUE())))</f>
        <v/>
      </c>
      <c r="AL76" s="92" t="str">
        <f aca="false">IF(ISBLANK($C76),"",IF(K76=Constants!$B$5,TRUE(),IF(K76=Constants!$B$6,FALSE(),COUNTA(L76:P76)&gt;0)))</f>
        <v/>
      </c>
      <c r="AM76" s="94" t="str">
        <f aca="false">IF(ISBLANK($C76),"",IF(ISNUMBER(L76),IF(L76&gt;=0,L76,""),""))</f>
        <v/>
      </c>
      <c r="AN76" s="93" t="str">
        <f aca="false">IF(ISBLANK($C76),"",IF(ISNUMBER(M76),IF(M76&gt;=0,M76,""),""))</f>
        <v/>
      </c>
      <c r="AO76" s="93" t="str">
        <f aca="false">IF(ISBLANK($C76),"",IF(N76=Constants!$B$3,TRUE(),IF(N76=Constants!$B$4,FALSE(),TRUE())))</f>
        <v/>
      </c>
      <c r="AP76" s="92" t="str">
        <f aca="false">IF(ISBLANK($C76),"",IF(ISNUMBER(O76),IF(O76&gt;=0,O76,""),""))</f>
        <v/>
      </c>
      <c r="AQ76" s="92" t="str">
        <f aca="false">IF(ISBLANK($C76),"",IF(P76=Constants!$B$3,TRUE(),IF(P76=Constants!$B$4,FALSE(),FALSE())))</f>
        <v/>
      </c>
      <c r="AR76" s="92" t="str">
        <f aca="false">IF(ISBLANK($C76),"",IF(Q76=Constants!$B$3,TRUE(),IF(Q76=Constants!$B$4,FALSE(),TRUE())))</f>
        <v/>
      </c>
      <c r="AS76" s="92" t="str">
        <f aca="false">IF(ISBLANK($C76),"",IF(R76=Constants!$B$3,TRUE(),IF(R76=Constants!$B$4,FALSE(),TRUE())))</f>
        <v/>
      </c>
      <c r="AT76" s="92" t="str">
        <f aca="false">IF(ISBLANK($C76),"",IF(S76=Constants!$B$5,TRUE(),IF(S76=Constants!$B$6,FALSE(),COUNTA(T76:X76)&gt;0)))</f>
        <v/>
      </c>
      <c r="AU76" s="94" t="str">
        <f aca="false">IF(ISBLANK($C76),"",IF(ISNUMBER(T76),IF(T76&gt;=0,T76,""),""))</f>
        <v/>
      </c>
      <c r="AV76" s="93" t="str">
        <f aca="false">IF(ISBLANK($C76),"",IF(ISNUMBER(U76),IF(U76&gt;=0,U76,""),""))</f>
        <v/>
      </c>
      <c r="AW76" s="93" t="str">
        <f aca="false">IF(ISBLANK($C76),"",IF(V76=Constants!$B$3,TRUE(),IF(V76=Constants!$B$4,FALSE(),TRUE())))</f>
        <v/>
      </c>
      <c r="AX76" s="92" t="str">
        <f aca="false">IF(ISBLANK($C76),"",IF(ISNUMBER(W76),IF(W76&gt;=0,W76,""),""))</f>
        <v/>
      </c>
      <c r="AY76" s="92" t="str">
        <f aca="false">IF(ISBLANK($C76),"",IF(X76=Constants!$B$3,TRUE(),IF(X76=Constants!$B$4,FALSE(),FALSE())))</f>
        <v/>
      </c>
      <c r="AZ76" s="92" t="str">
        <f aca="false">IF(ISBLANK($C76),"",MIN(Constants!$B$31,MAX(0,IF(ISNUMBER(Y76),Y76*60,0)+IF(ISNUMBER(Z76),Z76,0))))</f>
        <v/>
      </c>
      <c r="BA76" s="92" t="str">
        <f aca="false">IF(ISBLANK($C76),"",IF(AA76=Constants!$B$3,TRUE(),IF(AA76=Constants!$B$4,FALSE(),FALSE())))</f>
        <v/>
      </c>
      <c r="BB76" s="91" t="str">
        <f aca="false">IF(ISBLANK($C76),"",AND($AL76,OR($AM76="",$AN76="",AND($AO76,$AP76=""))))</f>
        <v/>
      </c>
      <c r="BC76" s="93" t="str">
        <f aca="false">IF($BR76&lt;&gt;Constants!$B$8,"",IF($AL76,Constants!$B$21*$AN76+Constants!$B$22*IF($AO76,$AP76,Constants!$B$23),Constants!$B$24))</f>
        <v/>
      </c>
      <c r="BD76" s="96" t="str">
        <f aca="false">IF($BR76&lt;&gt;Constants!$B$8,"",Constants!$B$25*ABS($AD$9-IF($AL76,$AM76,0)))</f>
        <v/>
      </c>
      <c r="BE76" s="96" t="str">
        <f aca="false">IF($BR76&lt;&gt;Constants!$B$8,"",IF(AND($AL76,$AQ76,$AO76),Constants!$B$27,0))</f>
        <v/>
      </c>
      <c r="BF76" s="96" t="str">
        <f aca="false">IF($BR76&lt;&gt;Constants!$B$8,"",IF($AL76,($AI76-Constants!$B$29)*Constants!$B$28,0))</f>
        <v/>
      </c>
      <c r="BG76" s="96" t="str">
        <f aca="false">IF($BR76&lt;&gt;Constants!$B$8,"",IF($AK76,0,Constants!$B$15)+IF($AJ76,0,Constants!$B$16)+IF($AH76,0,Constants!$B$17))</f>
        <v/>
      </c>
      <c r="BH76" s="97" t="str">
        <f aca="false">IF($BR76&lt;&gt;Constants!$B$8,"",Constants!$B$20+SUM($BC76:$BG76))</f>
        <v/>
      </c>
      <c r="BI76" s="92" t="str">
        <f aca="false">IF($BR76&lt;&gt;Constants!$B$8,"",IF(OR($BP76&lt;$BH76,AND($BP76=$BH76,OR($BK76&lt;$BC76,AND($BK76=$BC76,OR($BL76&lt;$BD76,AND($BL76=$BD76,$AT76,$AL76,$AV76&lt;$AN76)))))),"-&gt;","&lt;-"))</f>
        <v/>
      </c>
      <c r="BJ76" s="91" t="str">
        <f aca="false">IF(ISBLANK($C76),"",AND($AT76,OR($AU76="",$AV76="",AND($AW76,$AX76=""))))</f>
        <v/>
      </c>
      <c r="BK76" s="93" t="str">
        <f aca="false">IF($BR76&lt;&gt;Constants!$B$8,"",IF($AT76,Constants!$B$21*$AV76+Constants!$B$22*IF($AW76,$AX76,Constants!$B$23),Constants!$B$24))</f>
        <v/>
      </c>
      <c r="BL76" s="96" t="str">
        <f aca="false">IF($BR76&lt;&gt;Constants!$B$8,"",Constants!$B$25*ABS($AD$9-IF($AT76,$AU76,0)))</f>
        <v/>
      </c>
      <c r="BM76" s="96" t="str">
        <f aca="false">IF($BR76&lt;&gt;Constants!$B$8,"",IF(AND($AT76,$AY76,$AW76),Constants!$B$27,0))</f>
        <v/>
      </c>
      <c r="BN76" s="96" t="str">
        <f aca="false">IF($BR76&lt;&gt;Constants!$B$8,"",IF($AT76,($AI76-Constants!$B$29)*Constants!$B$28,0))</f>
        <v/>
      </c>
      <c r="BO76" s="96" t="str">
        <f aca="false">IF($BR76&lt;&gt;Constants!$B$8,"",IF($AS76,0,Constants!$B$15)+IF($AR76,0,Constants!$B$16)+IF($AH76,0,Constants!$B$17))</f>
        <v/>
      </c>
      <c r="BP76" s="97" t="str">
        <f aca="false">IF($BR76&lt;&gt;Constants!$B$8,"",Constants!$B$20+SUM($BK76:$BO76))</f>
        <v/>
      </c>
      <c r="BQ76" s="92" t="str">
        <f aca="false">IF(ISBLANK($C76),"",IF(ISBLANK($D$7),$BQ$5,IF(NOT(ISNUMBER($D$7)),$BQ$6,"")))</f>
        <v/>
      </c>
      <c r="BR76" s="92" t="str">
        <f aca="false">IF(ISBLANK($C76),"",IF($BA76,Constants!$B$11,IF(COUNTA($E76:$AA76)=0,Constants!$B$10,IF(NOT($AG76),Constants!$B$9,IF(OR($BQ76&lt;&gt;"",$BB76,$BJ76),Constants!$B$12,Constants!$B$8)))))</f>
        <v/>
      </c>
      <c r="BS76" s="92" t="str">
        <f aca="false">IF(ISBLANK($C76),"",IF($BR76&lt;&gt;Constants!$B$8,$BR76,Constants!$B$13))</f>
        <v/>
      </c>
      <c r="BT76" s="96" t="str">
        <f aca="false">IF($BR76&lt;&gt;Constants!$B$8,"",IF($BI76="-&gt;",$BP76,$BH76))</f>
        <v/>
      </c>
      <c r="BU76" s="96" t="str">
        <f aca="false">IF($BR76&lt;&gt;Constants!$B$8,"",IF($AF76,0,Constants!$B$18))</f>
        <v/>
      </c>
      <c r="BV76" s="96" t="str">
        <f aca="false">IF($BR76&lt;&gt;Constants!$B$8,"",((Constants!$B$31-$AZ76)-Constants!$B$31)/Constants!$B$32)</f>
        <v/>
      </c>
      <c r="BW76" s="96" t="str">
        <f aca="false">IF(ISBLANK($C76),"",IF($BR76&lt;&gt;Constants!$B$8,$BR76,SUM($BT76:$BV76)))</f>
        <v/>
      </c>
      <c r="BX76" s="92" t="str">
        <f aca="false">IF(ISBLANK($C76),"",IF($BR76&lt;&gt;Constants!$B$8,$BR76,RANK($BW76,$BW$9:$BW$508,1)))</f>
        <v/>
      </c>
      <c r="BY76" s="96" t="str">
        <f aca="false">IF($BR76&lt;&gt;Constants!$B$8,"",IF($BI76="-&gt;",$BK76,$BC76))</f>
        <v/>
      </c>
      <c r="BZ76" s="92" t="str">
        <f aca="false">IF(ISBLANK($C76),"",IF($BR76&lt;&gt;Constants!$B$8,$BR76,IF(ISNUMBER($BY76),RANK($BY76,$BY$9:$BY$508,1),COUNT($BY$9:$BY$508)+1)))</f>
        <v/>
      </c>
      <c r="CA76" s="96" t="str">
        <f aca="false">IF($BR76&lt;&gt;Constants!$B$8,"",IF($BI76="-&gt;",$BL76,$BD76))</f>
        <v/>
      </c>
      <c r="CB76" s="92" t="str">
        <f aca="false">IF(ISBLANK($C76),"",IF($BR76&lt;&gt;Constants!$B$8,$BR76,IF(ISNUMBER($CA76),RANK($CA76,$CA$9:$CA$508,1),COUNT($CA$9:$CA$508)+1)))</f>
        <v/>
      </c>
      <c r="CC76" s="96" t="str">
        <f aca="false">IF($BR76&lt;&gt;Constants!$B$8,"",IF($BI76="-&gt;",IF($AT76,$AV76,""),IF($AL76,$AN76,"")))</f>
        <v/>
      </c>
      <c r="CD76" s="92" t="str">
        <f aca="false">IF(ISBLANK($C76),"",IF($BR76&lt;&gt;Constants!$B$8,$BR76,IF(ISNUMBER($CC76),RANK($CC76,$CC$9:$CC$508,1),COUNT($CC$9:$CC$508)+1)))</f>
        <v/>
      </c>
      <c r="CE76" s="96" t="str">
        <f aca="false">IF($BR76&lt;&gt;Constants!$B$8,"",IF(AND(NOT($AL76),NOT($AT76),$AJ76,$AK76,$AR76,$AS76),"",$AI76))</f>
        <v/>
      </c>
      <c r="CF76" s="92" t="str">
        <f aca="false">IF(ISBLANK($C76),"",IF($BR76&lt;&gt;Constants!$B$8,$BR76,IF(ISNUMBER($CE76),RANK($CE76,$CE$9:$CE$508,1),COUNT($CE$9:$CE$508)+1)))</f>
        <v/>
      </c>
      <c r="CG76" s="92" t="str">
        <f aca="false">IF(ISBLANK($C76),"",IF($BR76&lt;&gt;Constants!$B$8,$BR76,COUNTIFS($BX$9:$BX$508,"&lt;"&amp;$BX76)+COUNTIFS($BX$9:$BX$508,$BX76,$BZ$9:$BZ$508,"&lt;"&amp;$BZ76)+COUNTIFS($BX$9:$BX$508,$BX76,$BZ$9:$BZ$508,$BZ76,$CB$9:$CB$508,"&lt;"&amp;$CB76)+COUNTIFS($BX$9:$BX$508,$BX76,$BZ$9:$BZ$508,$BZ76,$CB$9:$CB$508,$CB76,$CD$9:$CD$508,"&lt;"&amp;$CD76)+COUNTIFS($BX$9:$BX$508,$BX76,$BZ$9:$BZ$508,$BZ76,$CB$9:$CB$508,$CB76,$CD$9:$CD$508,$CD76,$CF$9:$CF$508,"&lt;"&amp;$CF76)+1))</f>
        <v/>
      </c>
      <c r="CH76" s="92" t="str">
        <f aca="false">IF(ISBLANK($C76),"",IF($BR76&lt;&gt;Constants!$B$8,$BR76,$BX76-$CG76))</f>
        <v/>
      </c>
      <c r="CI76" s="98"/>
      <c r="CJ76" s="99"/>
      <c r="CK76" s="100" t="str">
        <f aca="false">IF(ISBLANK($C76),"",IF($BR76=Constants!$B$12,$BQ76,""))</f>
        <v/>
      </c>
      <c r="CL76" s="99" t="str">
        <f aca="false">IF(ISBLANK($C76),"",IF($BR76&lt;&gt;Constants!$B$8,"",IF($BI76="-&gt;",2,1)))</f>
        <v/>
      </c>
      <c r="CM76" s="101" t="str">
        <f aca="false">IF(ISBLANK($C76),"",IF($BR76&lt;&gt;Constants!$B$8,"",IF($BI76="-&gt;",$BK76,$BC76)))</f>
        <v/>
      </c>
      <c r="CN76" s="101" t="str">
        <f aca="false">IF(ISBLANK($C76),"",IF($BR76&lt;&gt;Constants!$B$8,"",IF($BI76="-&gt;",$BL76,$BD76)))</f>
        <v/>
      </c>
      <c r="CO76" s="101" t="str">
        <f aca="false">IF(ISBLANK($C76),"",IF($BR76&lt;&gt;Constants!$B$8,"",IF($BI76="-&gt;",$BM76+$BN76,$BE76+$BF76)+$BV76))</f>
        <v/>
      </c>
      <c r="CP76" s="101" t="str">
        <f aca="false">IF(ISBLANK($C76),"",IF($BR76&lt;&gt;Constants!$B$8,"",IF($BI76="-&gt;",$BO76,$BG76)+$BU76))</f>
        <v/>
      </c>
      <c r="CQ76" s="102" t="str">
        <f aca="false">IF(ISBLANK($C76),"",IF($BR76&lt;&gt;Constants!$B$8,$BR76,$BW76))</f>
        <v/>
      </c>
      <c r="CR76" s="103" t="str">
        <f aca="false">IF(ISBLANK($C76),"",$BS76)</f>
        <v/>
      </c>
      <c r="CS76" s="104" t="str">
        <f aca="false">IF(ISBLANK($C76),"",$CH76)</f>
        <v/>
      </c>
      <c r="CT76" s="104" t="str">
        <f aca="false">IF(ISBLANK($C76),"",$CG76)</f>
        <v/>
      </c>
      <c r="CU76" s="105" t="str">
        <f aca="false">IF(ISBLANK($C76),"",IFERROR(_xlfn.SWITCH($CT76,Constants!$B$11,COUNTA($C$9:$C$508)+2,Constants!$B$10,COUNTA($C$9:$C$508)+1,Constants!$B$9,COUNTA($C$9:$C$508)),$CT76))</f>
        <v/>
      </c>
      <c r="CV76" s="9"/>
      <c r="CW76" s="106" t="n">
        <f aca="false">IF(OR(ISNUMBER($CT76),$CT76=Constants!$B$11,$CT76=Constants!$B$9,$CT76=Constants!$B$10),1,0)</f>
        <v>0</v>
      </c>
      <c r="CX76" s="106" t="n">
        <v>68</v>
      </c>
      <c r="CY76" s="106" t="str">
        <f aca="false">IF(ISBLANK($C76),"",IF(ISNUMBER($CU76),$CU76+ROW($B76)/1000,""))</f>
        <v/>
      </c>
      <c r="CZ76" s="106" t="str">
        <f aca="false">IF(ISNUMBER($CY76),RANK($CY76,$CY$9:$CY$508,1),"")</f>
        <v/>
      </c>
      <c r="DA76" s="106" t="str">
        <f aca="false">IF(ISBLANK($C76),"",$B76)</f>
        <v/>
      </c>
      <c r="DB76" s="106" t="str">
        <f aca="false">IF(ISBLANK($C76),"",$C76)</f>
        <v/>
      </c>
      <c r="DC76" s="106" t="str">
        <f aca="false">IF(ISBLANK($C76),"",$D76)</f>
        <v/>
      </c>
      <c r="DD76" s="107" t="str">
        <f aca="false">$CR76</f>
        <v/>
      </c>
      <c r="DE76" s="108" t="str">
        <f aca="false">$CQ76</f>
        <v/>
      </c>
      <c r="DF76" s="106" t="str">
        <f aca="false">IF(ISBLANK($C76),"",$CT76)</f>
        <v/>
      </c>
      <c r="DG76" s="109" t="str">
        <f aca="false">IF($CX76&gt;$CW$8,"",VLOOKUP($CX76,$CZ$9:$DF$508,7,FALSE()))</f>
        <v/>
      </c>
      <c r="DH76" s="110" t="str">
        <f aca="false">IF($CX76&gt;$CW$8,"",VLOOKUP($CX76,$CZ$9:$DF$508,2,FALSE()))</f>
        <v/>
      </c>
      <c r="DI76" s="110" t="str">
        <f aca="false">IF($CX76&gt;$CW$8,"",VLOOKUP($CX76,$CZ$9:$DF$508,3,FALSE()))</f>
        <v/>
      </c>
      <c r="DJ76" s="110" t="str">
        <f aca="false">IF($CX76&gt;$CW$8,"",VLOOKUP($CX76,$CZ$9:$DF$508,4,FALSE()))</f>
        <v/>
      </c>
      <c r="DK76" s="110" t="str">
        <f aca="false">IF($CX76&gt;$CW$8,"",VLOOKUP($CX76,$CZ$9:$DF$508,5,FALSE()))</f>
        <v/>
      </c>
      <c r="DL76" s="111" t="str">
        <f aca="false">IF($CX76&gt;$CW$8,"",VLOOKUP($CX76,$CZ$9:$DF$508,6,FALSE()))</f>
        <v/>
      </c>
      <c r="DM76" s="75"/>
    </row>
    <row r="77" customFormat="false" ht="15.75" hidden="false" customHeight="false" outlineLevel="0" collapsed="false">
      <c r="A77" s="9"/>
      <c r="B77" s="77"/>
      <c r="C77" s="78"/>
      <c r="D77" s="167"/>
      <c r="E77" s="175"/>
      <c r="F77" s="169"/>
      <c r="G77" s="170"/>
      <c r="H77" s="170"/>
      <c r="I77" s="176"/>
      <c r="J77" s="173"/>
      <c r="K77" s="85"/>
      <c r="L77" s="86"/>
      <c r="M77" s="87"/>
      <c r="N77" s="173"/>
      <c r="O77" s="173"/>
      <c r="P77" s="175"/>
      <c r="Q77" s="173"/>
      <c r="R77" s="173"/>
      <c r="S77" s="85"/>
      <c r="T77" s="87"/>
      <c r="U77" s="87"/>
      <c r="V77" s="173"/>
      <c r="W77" s="173"/>
      <c r="X77" s="175"/>
      <c r="Y77" s="173"/>
      <c r="Z77" s="174"/>
      <c r="AA77" s="173"/>
      <c r="AB77" s="91"/>
      <c r="AC77" s="92"/>
      <c r="AD77" s="92"/>
      <c r="AE77" s="92"/>
      <c r="AF77" s="92" t="str">
        <f aca="false">IF(ISBLANK($C77),"",IF(E77=Constants!$B$3,TRUE(),IF(E77=Constants!$B$4,FALSE(),TRUE())))</f>
        <v/>
      </c>
      <c r="AG77" s="92" t="str">
        <f aca="false">IF(ISBLANK($C77),"",IF(F77=Constants!$B$3,TRUE(),IF(F77=Constants!$B$4,FALSE(),TRUE())))</f>
        <v/>
      </c>
      <c r="AH77" s="92" t="str">
        <f aca="false">IF(ISBLANK($C77),"",IF(G77=Constants!$B$3,TRUE(),IF(G77=Constants!$B$4,FALSE(),TRUE())))</f>
        <v/>
      </c>
      <c r="AI77" s="92" t="str">
        <f aca="false">IF(ISBLANK($C77),"",IF(AND(ISNUMBER(H77),H77&gt;=0),H77,Constants!$B$29))</f>
        <v/>
      </c>
      <c r="AJ77" s="92" t="str">
        <f aca="false">IF(ISBLANK($C77),"",IF(I77=Constants!$B$3,TRUE(),IF(I77=Constants!$B$4,FALSE(),TRUE())))</f>
        <v/>
      </c>
      <c r="AK77" s="92" t="str">
        <f aca="false">IF(ISBLANK($C77),"",IF(J77=Constants!$B$3,TRUE(),IF(J77=Constants!$B$4,FALSE(),TRUE())))</f>
        <v/>
      </c>
      <c r="AL77" s="92" t="str">
        <f aca="false">IF(ISBLANK($C77),"",IF(K77=Constants!$B$5,TRUE(),IF(K77=Constants!$B$6,FALSE(),COUNTA(L77:P77)&gt;0)))</f>
        <v/>
      </c>
      <c r="AM77" s="94" t="str">
        <f aca="false">IF(ISBLANK($C77),"",IF(ISNUMBER(L77),IF(L77&gt;=0,L77,""),""))</f>
        <v/>
      </c>
      <c r="AN77" s="93" t="str">
        <f aca="false">IF(ISBLANK($C77),"",IF(ISNUMBER(M77),IF(M77&gt;=0,M77,""),""))</f>
        <v/>
      </c>
      <c r="AO77" s="93" t="str">
        <f aca="false">IF(ISBLANK($C77),"",IF(N77=Constants!$B$3,TRUE(),IF(N77=Constants!$B$4,FALSE(),TRUE())))</f>
        <v/>
      </c>
      <c r="AP77" s="92" t="str">
        <f aca="false">IF(ISBLANK($C77),"",IF(ISNUMBER(O77),IF(O77&gt;=0,O77,""),""))</f>
        <v/>
      </c>
      <c r="AQ77" s="92" t="str">
        <f aca="false">IF(ISBLANK($C77),"",IF(P77=Constants!$B$3,TRUE(),IF(P77=Constants!$B$4,FALSE(),FALSE())))</f>
        <v/>
      </c>
      <c r="AR77" s="92" t="str">
        <f aca="false">IF(ISBLANK($C77),"",IF(Q77=Constants!$B$3,TRUE(),IF(Q77=Constants!$B$4,FALSE(),TRUE())))</f>
        <v/>
      </c>
      <c r="AS77" s="92" t="str">
        <f aca="false">IF(ISBLANK($C77),"",IF(R77=Constants!$B$3,TRUE(),IF(R77=Constants!$B$4,FALSE(),TRUE())))</f>
        <v/>
      </c>
      <c r="AT77" s="92" t="str">
        <f aca="false">IF(ISBLANK($C77),"",IF(S77=Constants!$B$5,TRUE(),IF(S77=Constants!$B$6,FALSE(),COUNTA(T77:X77)&gt;0)))</f>
        <v/>
      </c>
      <c r="AU77" s="94" t="str">
        <f aca="false">IF(ISBLANK($C77),"",IF(ISNUMBER(T77),IF(T77&gt;=0,T77,""),""))</f>
        <v/>
      </c>
      <c r="AV77" s="93" t="str">
        <f aca="false">IF(ISBLANK($C77),"",IF(ISNUMBER(U77),IF(U77&gt;=0,U77,""),""))</f>
        <v/>
      </c>
      <c r="AW77" s="93" t="str">
        <f aca="false">IF(ISBLANK($C77),"",IF(V77=Constants!$B$3,TRUE(),IF(V77=Constants!$B$4,FALSE(),TRUE())))</f>
        <v/>
      </c>
      <c r="AX77" s="92" t="str">
        <f aca="false">IF(ISBLANK($C77),"",IF(ISNUMBER(W77),IF(W77&gt;=0,W77,""),""))</f>
        <v/>
      </c>
      <c r="AY77" s="92" t="str">
        <f aca="false">IF(ISBLANK($C77),"",IF(X77=Constants!$B$3,TRUE(),IF(X77=Constants!$B$4,FALSE(),FALSE())))</f>
        <v/>
      </c>
      <c r="AZ77" s="92" t="str">
        <f aca="false">IF(ISBLANK($C77),"",MIN(Constants!$B$31,MAX(0,IF(ISNUMBER(Y77),Y77*60,0)+IF(ISNUMBER(Z77),Z77,0))))</f>
        <v/>
      </c>
      <c r="BA77" s="92" t="str">
        <f aca="false">IF(ISBLANK($C77),"",IF(AA77=Constants!$B$3,TRUE(),IF(AA77=Constants!$B$4,FALSE(),FALSE())))</f>
        <v/>
      </c>
      <c r="BB77" s="91" t="str">
        <f aca="false">IF(ISBLANK($C77),"",AND($AL77,OR($AM77="",$AN77="",AND($AO77,$AP77=""))))</f>
        <v/>
      </c>
      <c r="BC77" s="93" t="str">
        <f aca="false">IF($BR77&lt;&gt;Constants!$B$8,"",IF($AL77,Constants!$B$21*$AN77+Constants!$B$22*IF($AO77,$AP77,Constants!$B$23),Constants!$B$24))</f>
        <v/>
      </c>
      <c r="BD77" s="96" t="str">
        <f aca="false">IF($BR77&lt;&gt;Constants!$B$8,"",Constants!$B$25*ABS($AD$9-IF($AL77,$AM77,0)))</f>
        <v/>
      </c>
      <c r="BE77" s="96" t="str">
        <f aca="false">IF($BR77&lt;&gt;Constants!$B$8,"",IF(AND($AL77,$AQ77,$AO77),Constants!$B$27,0))</f>
        <v/>
      </c>
      <c r="BF77" s="96" t="str">
        <f aca="false">IF($BR77&lt;&gt;Constants!$B$8,"",IF($AL77,($AI77-Constants!$B$29)*Constants!$B$28,0))</f>
        <v/>
      </c>
      <c r="BG77" s="96" t="str">
        <f aca="false">IF($BR77&lt;&gt;Constants!$B$8,"",IF($AK77,0,Constants!$B$15)+IF($AJ77,0,Constants!$B$16)+IF($AH77,0,Constants!$B$17))</f>
        <v/>
      </c>
      <c r="BH77" s="97" t="str">
        <f aca="false">IF($BR77&lt;&gt;Constants!$B$8,"",Constants!$B$20+SUM($BC77:$BG77))</f>
        <v/>
      </c>
      <c r="BI77" s="92" t="str">
        <f aca="false">IF($BR77&lt;&gt;Constants!$B$8,"",IF(OR($BP77&lt;$BH77,AND($BP77=$BH77,OR($BK77&lt;$BC77,AND($BK77=$BC77,OR($BL77&lt;$BD77,AND($BL77=$BD77,$AT77,$AL77,$AV77&lt;$AN77)))))),"-&gt;","&lt;-"))</f>
        <v/>
      </c>
      <c r="BJ77" s="91" t="str">
        <f aca="false">IF(ISBLANK($C77),"",AND($AT77,OR($AU77="",$AV77="",AND($AW77,$AX77=""))))</f>
        <v/>
      </c>
      <c r="BK77" s="93" t="str">
        <f aca="false">IF($BR77&lt;&gt;Constants!$B$8,"",IF($AT77,Constants!$B$21*$AV77+Constants!$B$22*IF($AW77,$AX77,Constants!$B$23),Constants!$B$24))</f>
        <v/>
      </c>
      <c r="BL77" s="96" t="str">
        <f aca="false">IF($BR77&lt;&gt;Constants!$B$8,"",Constants!$B$25*ABS($AD$9-IF($AT77,$AU77,0)))</f>
        <v/>
      </c>
      <c r="BM77" s="96" t="str">
        <f aca="false">IF($BR77&lt;&gt;Constants!$B$8,"",IF(AND($AT77,$AY77,$AW77),Constants!$B$27,0))</f>
        <v/>
      </c>
      <c r="BN77" s="96" t="str">
        <f aca="false">IF($BR77&lt;&gt;Constants!$B$8,"",IF($AT77,($AI77-Constants!$B$29)*Constants!$B$28,0))</f>
        <v/>
      </c>
      <c r="BO77" s="96" t="str">
        <f aca="false">IF($BR77&lt;&gt;Constants!$B$8,"",IF($AS77,0,Constants!$B$15)+IF($AR77,0,Constants!$B$16)+IF($AH77,0,Constants!$B$17))</f>
        <v/>
      </c>
      <c r="BP77" s="97" t="str">
        <f aca="false">IF($BR77&lt;&gt;Constants!$B$8,"",Constants!$B$20+SUM($BK77:$BO77))</f>
        <v/>
      </c>
      <c r="BQ77" s="92" t="str">
        <f aca="false">IF(ISBLANK($C77),"",IF(ISBLANK($D$7),$BQ$5,IF(NOT(ISNUMBER($D$7)),$BQ$6,"")))</f>
        <v/>
      </c>
      <c r="BR77" s="92" t="str">
        <f aca="false">IF(ISBLANK($C77),"",IF($BA77,Constants!$B$11,IF(COUNTA($E77:$AA77)=0,Constants!$B$10,IF(NOT($AG77),Constants!$B$9,IF(OR($BQ77&lt;&gt;"",$BB77,$BJ77),Constants!$B$12,Constants!$B$8)))))</f>
        <v/>
      </c>
      <c r="BS77" s="92" t="str">
        <f aca="false">IF(ISBLANK($C77),"",IF($BR77&lt;&gt;Constants!$B$8,$BR77,Constants!$B$13))</f>
        <v/>
      </c>
      <c r="BT77" s="96" t="str">
        <f aca="false">IF($BR77&lt;&gt;Constants!$B$8,"",IF($BI77="-&gt;",$BP77,$BH77))</f>
        <v/>
      </c>
      <c r="BU77" s="96" t="str">
        <f aca="false">IF($BR77&lt;&gt;Constants!$B$8,"",IF($AF77,0,Constants!$B$18))</f>
        <v/>
      </c>
      <c r="BV77" s="96" t="str">
        <f aca="false">IF($BR77&lt;&gt;Constants!$B$8,"",((Constants!$B$31-$AZ77)-Constants!$B$31)/Constants!$B$32)</f>
        <v/>
      </c>
      <c r="BW77" s="96" t="str">
        <f aca="false">IF(ISBLANK($C77),"",IF($BR77&lt;&gt;Constants!$B$8,$BR77,SUM($BT77:$BV77)))</f>
        <v/>
      </c>
      <c r="BX77" s="92" t="str">
        <f aca="false">IF(ISBLANK($C77),"",IF($BR77&lt;&gt;Constants!$B$8,$BR77,RANK($BW77,$BW$9:$BW$508,1)))</f>
        <v/>
      </c>
      <c r="BY77" s="96" t="str">
        <f aca="false">IF($BR77&lt;&gt;Constants!$B$8,"",IF($BI77="-&gt;",$BK77,$BC77))</f>
        <v/>
      </c>
      <c r="BZ77" s="92" t="str">
        <f aca="false">IF(ISBLANK($C77),"",IF($BR77&lt;&gt;Constants!$B$8,$BR77,IF(ISNUMBER($BY77),RANK($BY77,$BY$9:$BY$508,1),COUNT($BY$9:$BY$508)+1)))</f>
        <v/>
      </c>
      <c r="CA77" s="96" t="str">
        <f aca="false">IF($BR77&lt;&gt;Constants!$B$8,"",IF($BI77="-&gt;",$BL77,$BD77))</f>
        <v/>
      </c>
      <c r="CB77" s="92" t="str">
        <f aca="false">IF(ISBLANK($C77),"",IF($BR77&lt;&gt;Constants!$B$8,$BR77,IF(ISNUMBER($CA77),RANK($CA77,$CA$9:$CA$508,1),COUNT($CA$9:$CA$508)+1)))</f>
        <v/>
      </c>
      <c r="CC77" s="96" t="str">
        <f aca="false">IF($BR77&lt;&gt;Constants!$B$8,"",IF($BI77="-&gt;",IF($AT77,$AV77,""),IF($AL77,$AN77,"")))</f>
        <v/>
      </c>
      <c r="CD77" s="92" t="str">
        <f aca="false">IF(ISBLANK($C77),"",IF($BR77&lt;&gt;Constants!$B$8,$BR77,IF(ISNUMBER($CC77),RANK($CC77,$CC$9:$CC$508,1),COUNT($CC$9:$CC$508)+1)))</f>
        <v/>
      </c>
      <c r="CE77" s="96" t="str">
        <f aca="false">IF($BR77&lt;&gt;Constants!$B$8,"",IF(AND(NOT($AL77),NOT($AT77),$AJ77,$AK77,$AR77,$AS77),"",$AI77))</f>
        <v/>
      </c>
      <c r="CF77" s="92" t="str">
        <f aca="false">IF(ISBLANK($C77),"",IF($BR77&lt;&gt;Constants!$B$8,$BR77,IF(ISNUMBER($CE77),RANK($CE77,$CE$9:$CE$508,1),COUNT($CE$9:$CE$508)+1)))</f>
        <v/>
      </c>
      <c r="CG77" s="92" t="str">
        <f aca="false">IF(ISBLANK($C77),"",IF($BR77&lt;&gt;Constants!$B$8,$BR77,COUNTIFS($BX$9:$BX$508,"&lt;"&amp;$BX77)+COUNTIFS($BX$9:$BX$508,$BX77,$BZ$9:$BZ$508,"&lt;"&amp;$BZ77)+COUNTIFS($BX$9:$BX$508,$BX77,$BZ$9:$BZ$508,$BZ77,$CB$9:$CB$508,"&lt;"&amp;$CB77)+COUNTIFS($BX$9:$BX$508,$BX77,$BZ$9:$BZ$508,$BZ77,$CB$9:$CB$508,$CB77,$CD$9:$CD$508,"&lt;"&amp;$CD77)+COUNTIFS($BX$9:$BX$508,$BX77,$BZ$9:$BZ$508,$BZ77,$CB$9:$CB$508,$CB77,$CD$9:$CD$508,$CD77,$CF$9:$CF$508,"&lt;"&amp;$CF77)+1))</f>
        <v/>
      </c>
      <c r="CH77" s="92" t="str">
        <f aca="false">IF(ISBLANK($C77),"",IF($BR77&lt;&gt;Constants!$B$8,$BR77,$BX77-$CG77))</f>
        <v/>
      </c>
      <c r="CI77" s="98"/>
      <c r="CJ77" s="99"/>
      <c r="CK77" s="100" t="str">
        <f aca="false">IF(ISBLANK($C77),"",IF($BR77=Constants!$B$12,$BQ77,""))</f>
        <v/>
      </c>
      <c r="CL77" s="99" t="str">
        <f aca="false">IF(ISBLANK($C77),"",IF($BR77&lt;&gt;Constants!$B$8,"",IF($BI77="-&gt;",2,1)))</f>
        <v/>
      </c>
      <c r="CM77" s="101" t="str">
        <f aca="false">IF(ISBLANK($C77),"",IF($BR77&lt;&gt;Constants!$B$8,"",IF($BI77="-&gt;",$BK77,$BC77)))</f>
        <v/>
      </c>
      <c r="CN77" s="101" t="str">
        <f aca="false">IF(ISBLANK($C77),"",IF($BR77&lt;&gt;Constants!$B$8,"",IF($BI77="-&gt;",$BL77,$BD77)))</f>
        <v/>
      </c>
      <c r="CO77" s="101" t="str">
        <f aca="false">IF(ISBLANK($C77),"",IF($BR77&lt;&gt;Constants!$B$8,"",IF($BI77="-&gt;",$BM77+$BN77,$BE77+$BF77)+$BV77))</f>
        <v/>
      </c>
      <c r="CP77" s="101" t="str">
        <f aca="false">IF(ISBLANK($C77),"",IF($BR77&lt;&gt;Constants!$B$8,"",IF($BI77="-&gt;",$BO77,$BG77)+$BU77))</f>
        <v/>
      </c>
      <c r="CQ77" s="102" t="str">
        <f aca="false">IF(ISBLANK($C77),"",IF($BR77&lt;&gt;Constants!$B$8,$BR77,$BW77))</f>
        <v/>
      </c>
      <c r="CR77" s="103" t="str">
        <f aca="false">IF(ISBLANK($C77),"",$BS77)</f>
        <v/>
      </c>
      <c r="CS77" s="104" t="str">
        <f aca="false">IF(ISBLANK($C77),"",$CH77)</f>
        <v/>
      </c>
      <c r="CT77" s="104" t="str">
        <f aca="false">IF(ISBLANK($C77),"",$CG77)</f>
        <v/>
      </c>
      <c r="CU77" s="105" t="str">
        <f aca="false">IF(ISBLANK($C77),"",IFERROR(_xlfn.SWITCH($CT77,Constants!$B$11,COUNTA($C$9:$C$508)+2,Constants!$B$10,COUNTA($C$9:$C$508)+1,Constants!$B$9,COUNTA($C$9:$C$508)),$CT77))</f>
        <v/>
      </c>
      <c r="CV77" s="9"/>
      <c r="CW77" s="106" t="n">
        <f aca="false">IF(OR(ISNUMBER($CT77),$CT77=Constants!$B$11,$CT77=Constants!$B$9,$CT77=Constants!$B$10),1,0)</f>
        <v>0</v>
      </c>
      <c r="CX77" s="106" t="n">
        <v>69</v>
      </c>
      <c r="CY77" s="106" t="str">
        <f aca="false">IF(ISBLANK($C77),"",IF(ISNUMBER($CU77),$CU77+ROW($B77)/1000,""))</f>
        <v/>
      </c>
      <c r="CZ77" s="106" t="str">
        <f aca="false">IF(ISNUMBER($CY77),RANK($CY77,$CY$9:$CY$508,1),"")</f>
        <v/>
      </c>
      <c r="DA77" s="106" t="str">
        <f aca="false">IF(ISBLANK($C77),"",$B77)</f>
        <v/>
      </c>
      <c r="DB77" s="106" t="str">
        <f aca="false">IF(ISBLANK($C77),"",$C77)</f>
        <v/>
      </c>
      <c r="DC77" s="106" t="str">
        <f aca="false">IF(ISBLANK($C77),"",$D77)</f>
        <v/>
      </c>
      <c r="DD77" s="107" t="str">
        <f aca="false">$CR77</f>
        <v/>
      </c>
      <c r="DE77" s="108" t="str">
        <f aca="false">$CQ77</f>
        <v/>
      </c>
      <c r="DF77" s="106" t="str">
        <f aca="false">IF(ISBLANK($C77),"",$CT77)</f>
        <v/>
      </c>
      <c r="DG77" s="109" t="str">
        <f aca="false">IF($CX77&gt;$CW$8,"",VLOOKUP($CX77,$CZ$9:$DF$508,7,FALSE()))</f>
        <v/>
      </c>
      <c r="DH77" s="110" t="str">
        <f aca="false">IF($CX77&gt;$CW$8,"",VLOOKUP($CX77,$CZ$9:$DF$508,2,FALSE()))</f>
        <v/>
      </c>
      <c r="DI77" s="110" t="str">
        <f aca="false">IF($CX77&gt;$CW$8,"",VLOOKUP($CX77,$CZ$9:$DF$508,3,FALSE()))</f>
        <v/>
      </c>
      <c r="DJ77" s="110" t="str">
        <f aca="false">IF($CX77&gt;$CW$8,"",VLOOKUP($CX77,$CZ$9:$DF$508,4,FALSE()))</f>
        <v/>
      </c>
      <c r="DK77" s="110" t="str">
        <f aca="false">IF($CX77&gt;$CW$8,"",VLOOKUP($CX77,$CZ$9:$DF$508,5,FALSE()))</f>
        <v/>
      </c>
      <c r="DL77" s="111" t="str">
        <f aca="false">IF($CX77&gt;$CW$8,"",VLOOKUP($CX77,$CZ$9:$DF$508,6,FALSE()))</f>
        <v/>
      </c>
      <c r="DM77" s="75"/>
    </row>
    <row r="78" customFormat="false" ht="15.75" hidden="false" customHeight="false" outlineLevel="0" collapsed="false">
      <c r="A78" s="9"/>
      <c r="B78" s="157"/>
      <c r="C78" s="158"/>
      <c r="D78" s="159"/>
      <c r="E78" s="177"/>
      <c r="F78" s="161"/>
      <c r="G78" s="162"/>
      <c r="H78" s="162"/>
      <c r="I78" s="178"/>
      <c r="J78" s="165"/>
      <c r="K78" s="126"/>
      <c r="L78" s="127"/>
      <c r="M78" s="128"/>
      <c r="N78" s="165"/>
      <c r="O78" s="165"/>
      <c r="P78" s="177"/>
      <c r="Q78" s="165"/>
      <c r="R78" s="165"/>
      <c r="S78" s="126"/>
      <c r="T78" s="128"/>
      <c r="U78" s="128"/>
      <c r="V78" s="165"/>
      <c r="W78" s="165"/>
      <c r="X78" s="177"/>
      <c r="Y78" s="165"/>
      <c r="Z78" s="166"/>
      <c r="AA78" s="165"/>
      <c r="AB78" s="132"/>
      <c r="AC78" s="133"/>
      <c r="AD78" s="133"/>
      <c r="AE78" s="133"/>
      <c r="AF78" s="133" t="str">
        <f aca="false">IF(ISBLANK($C78),"",IF(E78=Constants!$B$3,TRUE(),IF(E78=Constants!$B$4,FALSE(),TRUE())))</f>
        <v/>
      </c>
      <c r="AG78" s="133" t="str">
        <f aca="false">IF(ISBLANK($C78),"",IF(F78=Constants!$B$3,TRUE(),IF(F78=Constants!$B$4,FALSE(),TRUE())))</f>
        <v/>
      </c>
      <c r="AH78" s="133" t="str">
        <f aca="false">IF(ISBLANK($C78),"",IF(G78=Constants!$B$3,TRUE(),IF(G78=Constants!$B$4,FALSE(),TRUE())))</f>
        <v/>
      </c>
      <c r="AI78" s="133" t="str">
        <f aca="false">IF(ISBLANK($C78),"",IF(AND(ISNUMBER(H78),H78&gt;=0),H78,Constants!$B$29))</f>
        <v/>
      </c>
      <c r="AJ78" s="133" t="str">
        <f aca="false">IF(ISBLANK($C78),"",IF(I78=Constants!$B$3,TRUE(),IF(I78=Constants!$B$4,FALSE(),TRUE())))</f>
        <v/>
      </c>
      <c r="AK78" s="133" t="str">
        <f aca="false">IF(ISBLANK($C78),"",IF(J78=Constants!$B$3,TRUE(),IF(J78=Constants!$B$4,FALSE(),TRUE())))</f>
        <v/>
      </c>
      <c r="AL78" s="133" t="str">
        <f aca="false">IF(ISBLANK($C78),"",IF(K78=Constants!$B$5,TRUE(),IF(K78=Constants!$B$6,FALSE(),COUNTA(L78:P78)&gt;0)))</f>
        <v/>
      </c>
      <c r="AM78" s="134" t="str">
        <f aca="false">IF(ISBLANK($C78),"",IF(ISNUMBER(L78),IF(L78&gt;=0,L78,""),""))</f>
        <v/>
      </c>
      <c r="AN78" s="135" t="str">
        <f aca="false">IF(ISBLANK($C78),"",IF(ISNUMBER(M78),IF(M78&gt;=0,M78,""),""))</f>
        <v/>
      </c>
      <c r="AO78" s="135" t="str">
        <f aca="false">IF(ISBLANK($C78),"",IF(N78=Constants!$B$3,TRUE(),IF(N78=Constants!$B$4,FALSE(),TRUE())))</f>
        <v/>
      </c>
      <c r="AP78" s="133" t="str">
        <f aca="false">IF(ISBLANK($C78),"",IF(ISNUMBER(O78),IF(O78&gt;=0,O78,""),""))</f>
        <v/>
      </c>
      <c r="AQ78" s="133" t="str">
        <f aca="false">IF(ISBLANK($C78),"",IF(P78=Constants!$B$3,TRUE(),IF(P78=Constants!$B$4,FALSE(),FALSE())))</f>
        <v/>
      </c>
      <c r="AR78" s="133" t="str">
        <f aca="false">IF(ISBLANK($C78),"",IF(Q78=Constants!$B$3,TRUE(),IF(Q78=Constants!$B$4,FALSE(),TRUE())))</f>
        <v/>
      </c>
      <c r="AS78" s="133" t="str">
        <f aca="false">IF(ISBLANK($C78),"",IF(R78=Constants!$B$3,TRUE(),IF(R78=Constants!$B$4,FALSE(),TRUE())))</f>
        <v/>
      </c>
      <c r="AT78" s="133" t="str">
        <f aca="false">IF(ISBLANK($C78),"",IF(S78=Constants!$B$5,TRUE(),IF(S78=Constants!$B$6,FALSE(),COUNTA(T78:X78)&gt;0)))</f>
        <v/>
      </c>
      <c r="AU78" s="134" t="str">
        <f aca="false">IF(ISBLANK($C78),"",IF(ISNUMBER(T78),IF(T78&gt;=0,T78,""),""))</f>
        <v/>
      </c>
      <c r="AV78" s="135" t="str">
        <f aca="false">IF(ISBLANK($C78),"",IF(ISNUMBER(U78),IF(U78&gt;=0,U78,""),""))</f>
        <v/>
      </c>
      <c r="AW78" s="135" t="str">
        <f aca="false">IF(ISBLANK($C78),"",IF(V78=Constants!$B$3,TRUE(),IF(V78=Constants!$B$4,FALSE(),TRUE())))</f>
        <v/>
      </c>
      <c r="AX78" s="133" t="str">
        <f aca="false">IF(ISBLANK($C78),"",IF(ISNUMBER(W78),IF(W78&gt;=0,W78,""),""))</f>
        <v/>
      </c>
      <c r="AY78" s="133" t="str">
        <f aca="false">IF(ISBLANK($C78),"",IF(X78=Constants!$B$3,TRUE(),IF(X78=Constants!$B$4,FALSE(),FALSE())))</f>
        <v/>
      </c>
      <c r="AZ78" s="133" t="str">
        <f aca="false">IF(ISBLANK($C78),"",MIN(Constants!$B$31,MAX(0,IF(ISNUMBER(Y78),Y78*60,0)+IF(ISNUMBER(Z78),Z78,0))))</f>
        <v/>
      </c>
      <c r="BA78" s="133" t="str">
        <f aca="false">IF(ISBLANK($C78),"",IF(AA78=Constants!$B$3,TRUE(),IF(AA78=Constants!$B$4,FALSE(),FALSE())))</f>
        <v/>
      </c>
      <c r="BB78" s="132" t="str">
        <f aca="false">IF(ISBLANK($C78),"",AND($AL78,OR($AM78="",$AN78="",AND($AO78,$AP78=""))))</f>
        <v/>
      </c>
      <c r="BC78" s="135" t="str">
        <f aca="false">IF($BR78&lt;&gt;Constants!$B$8,"",IF($AL78,Constants!$B$21*$AN78+Constants!$B$22*IF($AO78,$AP78,Constants!$B$23),Constants!$B$24))</f>
        <v/>
      </c>
      <c r="BD78" s="136" t="str">
        <f aca="false">IF($BR78&lt;&gt;Constants!$B$8,"",Constants!$B$25*ABS($AD$9-IF($AL78,$AM78,0)))</f>
        <v/>
      </c>
      <c r="BE78" s="136" t="str">
        <f aca="false">IF($BR78&lt;&gt;Constants!$B$8,"",IF(AND($AL78,$AQ78,$AO78),Constants!$B$27,0))</f>
        <v/>
      </c>
      <c r="BF78" s="136" t="str">
        <f aca="false">IF($BR78&lt;&gt;Constants!$B$8,"",IF($AL78,($AI78-Constants!$B$29)*Constants!$B$28,0))</f>
        <v/>
      </c>
      <c r="BG78" s="136" t="str">
        <f aca="false">IF($BR78&lt;&gt;Constants!$B$8,"",IF($AK78,0,Constants!$B$15)+IF($AJ78,0,Constants!$B$16)+IF($AH78,0,Constants!$B$17))</f>
        <v/>
      </c>
      <c r="BH78" s="137" t="str">
        <f aca="false">IF($BR78&lt;&gt;Constants!$B$8,"",Constants!$B$20+SUM($BC78:$BG78))</f>
        <v/>
      </c>
      <c r="BI78" s="133" t="str">
        <f aca="false">IF($BR78&lt;&gt;Constants!$B$8,"",IF(OR($BP78&lt;$BH78,AND($BP78=$BH78,OR($BK78&lt;$BC78,AND($BK78=$BC78,OR($BL78&lt;$BD78,AND($BL78=$BD78,$AT78,$AL78,$AV78&lt;$AN78)))))),"-&gt;","&lt;-"))</f>
        <v/>
      </c>
      <c r="BJ78" s="132" t="str">
        <f aca="false">IF(ISBLANK($C78),"",AND($AT78,OR($AU78="",$AV78="",AND($AW78,$AX78=""))))</f>
        <v/>
      </c>
      <c r="BK78" s="135" t="str">
        <f aca="false">IF($BR78&lt;&gt;Constants!$B$8,"",IF($AT78,Constants!$B$21*$AV78+Constants!$B$22*IF($AW78,$AX78,Constants!$B$23),Constants!$B$24))</f>
        <v/>
      </c>
      <c r="BL78" s="136" t="str">
        <f aca="false">IF($BR78&lt;&gt;Constants!$B$8,"",Constants!$B$25*ABS($AD$9-IF($AT78,$AU78,0)))</f>
        <v/>
      </c>
      <c r="BM78" s="136" t="str">
        <f aca="false">IF($BR78&lt;&gt;Constants!$B$8,"",IF(AND($AT78,$AY78,$AW78),Constants!$B$27,0))</f>
        <v/>
      </c>
      <c r="BN78" s="136" t="str">
        <f aca="false">IF($BR78&lt;&gt;Constants!$B$8,"",IF($AT78,($AI78-Constants!$B$29)*Constants!$B$28,0))</f>
        <v/>
      </c>
      <c r="BO78" s="136" t="str">
        <f aca="false">IF($BR78&lt;&gt;Constants!$B$8,"",IF($AS78,0,Constants!$B$15)+IF($AR78,0,Constants!$B$16)+IF($AH78,0,Constants!$B$17))</f>
        <v/>
      </c>
      <c r="BP78" s="137" t="str">
        <f aca="false">IF($BR78&lt;&gt;Constants!$B$8,"",Constants!$B$20+SUM($BK78:$BO78))</f>
        <v/>
      </c>
      <c r="BQ78" s="133" t="str">
        <f aca="false">IF(ISBLANK($C78),"",IF(ISBLANK($D$7),$BQ$5,IF(NOT(ISNUMBER($D$7)),$BQ$6,"")))</f>
        <v/>
      </c>
      <c r="BR78" s="133" t="str">
        <f aca="false">IF(ISBLANK($C78),"",IF($BA78,Constants!$B$11,IF(COUNTA($E78:$AA78)=0,Constants!$B$10,IF(NOT($AG78),Constants!$B$9,IF(OR($BQ78&lt;&gt;"",$BB78,$BJ78),Constants!$B$12,Constants!$B$8)))))</f>
        <v/>
      </c>
      <c r="BS78" s="133" t="str">
        <f aca="false">IF(ISBLANK($C78),"",IF($BR78&lt;&gt;Constants!$B$8,$BR78,Constants!$B$13))</f>
        <v/>
      </c>
      <c r="BT78" s="136" t="str">
        <f aca="false">IF($BR78&lt;&gt;Constants!$B$8,"",IF($BI78="-&gt;",$BP78,$BH78))</f>
        <v/>
      </c>
      <c r="BU78" s="136" t="str">
        <f aca="false">IF($BR78&lt;&gt;Constants!$B$8,"",IF($AF78,0,Constants!$B$18))</f>
        <v/>
      </c>
      <c r="BV78" s="136" t="str">
        <f aca="false">IF($BR78&lt;&gt;Constants!$B$8,"",((Constants!$B$31-$AZ78)-Constants!$B$31)/Constants!$B$32)</f>
        <v/>
      </c>
      <c r="BW78" s="136" t="str">
        <f aca="false">IF(ISBLANK($C78),"",IF($BR78&lt;&gt;Constants!$B$8,$BR78,SUM($BT78:$BV78)))</f>
        <v/>
      </c>
      <c r="BX78" s="133" t="str">
        <f aca="false">IF(ISBLANK($C78),"",IF($BR78&lt;&gt;Constants!$B$8,$BR78,RANK($BW78,$BW$9:$BW$508,1)))</f>
        <v/>
      </c>
      <c r="BY78" s="136" t="str">
        <f aca="false">IF($BR78&lt;&gt;Constants!$B$8,"",IF($BI78="-&gt;",$BK78,$BC78))</f>
        <v/>
      </c>
      <c r="BZ78" s="133" t="str">
        <f aca="false">IF(ISBLANK($C78),"",IF($BR78&lt;&gt;Constants!$B$8,$BR78,IF(ISNUMBER($BY78),RANK($BY78,$BY$9:$BY$508,1),COUNT($BY$9:$BY$508)+1)))</f>
        <v/>
      </c>
      <c r="CA78" s="136" t="str">
        <f aca="false">IF($BR78&lt;&gt;Constants!$B$8,"",IF($BI78="-&gt;",$BL78,$BD78))</f>
        <v/>
      </c>
      <c r="CB78" s="133" t="str">
        <f aca="false">IF(ISBLANK($C78),"",IF($BR78&lt;&gt;Constants!$B$8,$BR78,IF(ISNUMBER($CA78),RANK($CA78,$CA$9:$CA$508,1),COUNT($CA$9:$CA$508)+1)))</f>
        <v/>
      </c>
      <c r="CC78" s="136" t="str">
        <f aca="false">IF($BR78&lt;&gt;Constants!$B$8,"",IF($BI78="-&gt;",IF($AT78,$AV78,""),IF($AL78,$AN78,"")))</f>
        <v/>
      </c>
      <c r="CD78" s="133" t="str">
        <f aca="false">IF(ISBLANK($C78),"",IF($BR78&lt;&gt;Constants!$B$8,$BR78,IF(ISNUMBER($CC78),RANK($CC78,$CC$9:$CC$508,1),COUNT($CC$9:$CC$508)+1)))</f>
        <v/>
      </c>
      <c r="CE78" s="136" t="str">
        <f aca="false">IF($BR78&lt;&gt;Constants!$B$8,"",IF(AND(NOT($AL78),NOT($AT78),$AJ78,$AK78,$AR78,$AS78),"",$AI78))</f>
        <v/>
      </c>
      <c r="CF78" s="133" t="str">
        <f aca="false">IF(ISBLANK($C78),"",IF($BR78&lt;&gt;Constants!$B$8,$BR78,IF(ISNUMBER($CE78),RANK($CE78,$CE$9:$CE$508,1),COUNT($CE$9:$CE$508)+1)))</f>
        <v/>
      </c>
      <c r="CG78" s="133" t="str">
        <f aca="false">IF(ISBLANK($C78),"",IF($BR78&lt;&gt;Constants!$B$8,$BR78,COUNTIFS($BX$9:$BX$508,"&lt;"&amp;$BX78)+COUNTIFS($BX$9:$BX$508,$BX78,$BZ$9:$BZ$508,"&lt;"&amp;$BZ78)+COUNTIFS($BX$9:$BX$508,$BX78,$BZ$9:$BZ$508,$BZ78,$CB$9:$CB$508,"&lt;"&amp;$CB78)+COUNTIFS($BX$9:$BX$508,$BX78,$BZ$9:$BZ$508,$BZ78,$CB$9:$CB$508,$CB78,$CD$9:$CD$508,"&lt;"&amp;$CD78)+COUNTIFS($BX$9:$BX$508,$BX78,$BZ$9:$BZ$508,$BZ78,$CB$9:$CB$508,$CB78,$CD$9:$CD$508,$CD78,$CF$9:$CF$508,"&lt;"&amp;$CF78)+1))</f>
        <v/>
      </c>
      <c r="CH78" s="133" t="str">
        <f aca="false">IF(ISBLANK($C78),"",IF($BR78&lt;&gt;Constants!$B$8,$BR78,$BX78-$CG78))</f>
        <v/>
      </c>
      <c r="CI78" s="138"/>
      <c r="CJ78" s="139"/>
      <c r="CK78" s="140" t="str">
        <f aca="false">IF(ISBLANK($C78),"",IF($BR78=Constants!$B$12,$BQ78,""))</f>
        <v/>
      </c>
      <c r="CL78" s="139" t="str">
        <f aca="false">IF(ISBLANK($C78),"",IF($BR78&lt;&gt;Constants!$B$8,"",IF($BI78="-&gt;",2,1)))</f>
        <v/>
      </c>
      <c r="CM78" s="141" t="str">
        <f aca="false">IF(ISBLANK($C78),"",IF($BR78&lt;&gt;Constants!$B$8,"",IF($BI78="-&gt;",$BK78,$BC78)))</f>
        <v/>
      </c>
      <c r="CN78" s="141" t="str">
        <f aca="false">IF(ISBLANK($C78),"",IF($BR78&lt;&gt;Constants!$B$8,"",IF($BI78="-&gt;",$BL78,$BD78)))</f>
        <v/>
      </c>
      <c r="CO78" s="141" t="str">
        <f aca="false">IF(ISBLANK($C78),"",IF($BR78&lt;&gt;Constants!$B$8,"",IF($BI78="-&gt;",$BM78+$BN78,$BE78+$BF78)+$BV78))</f>
        <v/>
      </c>
      <c r="CP78" s="141" t="str">
        <f aca="false">IF(ISBLANK($C78),"",IF($BR78&lt;&gt;Constants!$B$8,"",IF($BI78="-&gt;",$BO78,$BG78)+$BU78))</f>
        <v/>
      </c>
      <c r="CQ78" s="142" t="str">
        <f aca="false">IF(ISBLANK($C78),"",IF($BR78&lt;&gt;Constants!$B$8,$BR78,$BW78))</f>
        <v/>
      </c>
      <c r="CR78" s="143" t="str">
        <f aca="false">IF(ISBLANK($C78),"",$BS78)</f>
        <v/>
      </c>
      <c r="CS78" s="144" t="str">
        <f aca="false">IF(ISBLANK($C78),"",$CH78)</f>
        <v/>
      </c>
      <c r="CT78" s="144" t="str">
        <f aca="false">IF(ISBLANK($C78),"",$CG78)</f>
        <v/>
      </c>
      <c r="CU78" s="145" t="str">
        <f aca="false">IF(ISBLANK($C78),"",IFERROR(_xlfn.SWITCH($CT78,Constants!$B$11,COUNTA($C$9:$C$508)+2,Constants!$B$10,COUNTA($C$9:$C$508)+1,Constants!$B$9,COUNTA($C$9:$C$508)),$CT78))</f>
        <v/>
      </c>
      <c r="CV78" s="9"/>
      <c r="CW78" s="146" t="n">
        <f aca="false">IF(OR(ISNUMBER($CT78),$CT78=Constants!$B$11,$CT78=Constants!$B$9,$CT78=Constants!$B$10),1,0)</f>
        <v>0</v>
      </c>
      <c r="CX78" s="146" t="n">
        <v>70</v>
      </c>
      <c r="CY78" s="146" t="str">
        <f aca="false">IF(ISBLANK($C78),"",IF(ISNUMBER($CU78),$CU78+ROW($B78)/1000,""))</f>
        <v/>
      </c>
      <c r="CZ78" s="146" t="str">
        <f aca="false">IF(ISNUMBER($CY78),RANK($CY78,$CY$9:$CY$508,1),"")</f>
        <v/>
      </c>
      <c r="DA78" s="146" t="str">
        <f aca="false">IF(ISBLANK($C78),"",$B78)</f>
        <v/>
      </c>
      <c r="DB78" s="146" t="str">
        <f aca="false">IF(ISBLANK($C78),"",$C78)</f>
        <v/>
      </c>
      <c r="DC78" s="146" t="str">
        <f aca="false">IF(ISBLANK($C78),"",$D78)</f>
        <v/>
      </c>
      <c r="DD78" s="147" t="str">
        <f aca="false">$CR78</f>
        <v/>
      </c>
      <c r="DE78" s="148" t="str">
        <f aca="false">$CQ78</f>
        <v/>
      </c>
      <c r="DF78" s="146" t="str">
        <f aca="false">IF(ISBLANK($C78),"",$CT78)</f>
        <v/>
      </c>
      <c r="DG78" s="149" t="str">
        <f aca="false">IF($CX78&gt;$CW$8,"",VLOOKUP($CX78,$CZ$9:$DF$508,7,FALSE()))</f>
        <v/>
      </c>
      <c r="DH78" s="150" t="str">
        <f aca="false">IF($CX78&gt;$CW$8,"",VLOOKUP($CX78,$CZ$9:$DF$508,2,FALSE()))</f>
        <v/>
      </c>
      <c r="DI78" s="150" t="str">
        <f aca="false">IF($CX78&gt;$CW$8,"",VLOOKUP($CX78,$CZ$9:$DF$508,3,FALSE()))</f>
        <v/>
      </c>
      <c r="DJ78" s="150" t="str">
        <f aca="false">IF($CX78&gt;$CW$8,"",VLOOKUP($CX78,$CZ$9:$DF$508,4,FALSE()))</f>
        <v/>
      </c>
      <c r="DK78" s="150" t="str">
        <f aca="false">IF($CX78&gt;$CW$8,"",VLOOKUP($CX78,$CZ$9:$DF$508,5,FALSE()))</f>
        <v/>
      </c>
      <c r="DL78" s="151" t="str">
        <f aca="false">IF($CX78&gt;$CW$8,"",VLOOKUP($CX78,$CZ$9:$DF$508,6,FALSE()))</f>
        <v/>
      </c>
      <c r="DM78" s="75"/>
    </row>
    <row r="79" customFormat="false" ht="15.75" hidden="false" customHeight="false" outlineLevel="0" collapsed="false">
      <c r="A79" s="9"/>
      <c r="B79" s="157"/>
      <c r="C79" s="158"/>
      <c r="D79" s="159"/>
      <c r="E79" s="177"/>
      <c r="F79" s="161"/>
      <c r="G79" s="162"/>
      <c r="H79" s="162"/>
      <c r="I79" s="178"/>
      <c r="J79" s="165"/>
      <c r="K79" s="126"/>
      <c r="L79" s="127"/>
      <c r="M79" s="128"/>
      <c r="N79" s="165"/>
      <c r="O79" s="165"/>
      <c r="P79" s="177"/>
      <c r="Q79" s="165"/>
      <c r="R79" s="165"/>
      <c r="S79" s="126"/>
      <c r="T79" s="128"/>
      <c r="U79" s="128"/>
      <c r="V79" s="165"/>
      <c r="W79" s="165"/>
      <c r="X79" s="177"/>
      <c r="Y79" s="165"/>
      <c r="Z79" s="166"/>
      <c r="AA79" s="165"/>
      <c r="AB79" s="132"/>
      <c r="AC79" s="133"/>
      <c r="AD79" s="133"/>
      <c r="AE79" s="133"/>
      <c r="AF79" s="133" t="str">
        <f aca="false">IF(ISBLANK($C79),"",IF(E79=Constants!$B$3,TRUE(),IF(E79=Constants!$B$4,FALSE(),TRUE())))</f>
        <v/>
      </c>
      <c r="AG79" s="133" t="str">
        <f aca="false">IF(ISBLANK($C79),"",IF(F79=Constants!$B$3,TRUE(),IF(F79=Constants!$B$4,FALSE(),TRUE())))</f>
        <v/>
      </c>
      <c r="AH79" s="133" t="str">
        <f aca="false">IF(ISBLANK($C79),"",IF(G79=Constants!$B$3,TRUE(),IF(G79=Constants!$B$4,FALSE(),TRUE())))</f>
        <v/>
      </c>
      <c r="AI79" s="133" t="str">
        <f aca="false">IF(ISBLANK($C79),"",IF(AND(ISNUMBER(H79),H79&gt;=0),H79,Constants!$B$29))</f>
        <v/>
      </c>
      <c r="AJ79" s="133" t="str">
        <f aca="false">IF(ISBLANK($C79),"",IF(I79=Constants!$B$3,TRUE(),IF(I79=Constants!$B$4,FALSE(),TRUE())))</f>
        <v/>
      </c>
      <c r="AK79" s="133" t="str">
        <f aca="false">IF(ISBLANK($C79),"",IF(J79=Constants!$B$3,TRUE(),IF(J79=Constants!$B$4,FALSE(),TRUE())))</f>
        <v/>
      </c>
      <c r="AL79" s="133" t="str">
        <f aca="false">IF(ISBLANK($C79),"",IF(K79=Constants!$B$5,TRUE(),IF(K79=Constants!$B$6,FALSE(),COUNTA(L79:P79)&gt;0)))</f>
        <v/>
      </c>
      <c r="AM79" s="134" t="str">
        <f aca="false">IF(ISBLANK($C79),"",IF(ISNUMBER(L79),IF(L79&gt;=0,L79,""),""))</f>
        <v/>
      </c>
      <c r="AN79" s="135" t="str">
        <f aca="false">IF(ISBLANK($C79),"",IF(ISNUMBER(M79),IF(M79&gt;=0,M79,""),""))</f>
        <v/>
      </c>
      <c r="AO79" s="135" t="str">
        <f aca="false">IF(ISBLANK($C79),"",IF(N79=Constants!$B$3,TRUE(),IF(N79=Constants!$B$4,FALSE(),TRUE())))</f>
        <v/>
      </c>
      <c r="AP79" s="133" t="str">
        <f aca="false">IF(ISBLANK($C79),"",IF(ISNUMBER(O79),IF(O79&gt;=0,O79,""),""))</f>
        <v/>
      </c>
      <c r="AQ79" s="133" t="str">
        <f aca="false">IF(ISBLANK($C79),"",IF(P79=Constants!$B$3,TRUE(),IF(P79=Constants!$B$4,FALSE(),FALSE())))</f>
        <v/>
      </c>
      <c r="AR79" s="133" t="str">
        <f aca="false">IF(ISBLANK($C79),"",IF(Q79=Constants!$B$3,TRUE(),IF(Q79=Constants!$B$4,FALSE(),TRUE())))</f>
        <v/>
      </c>
      <c r="AS79" s="133" t="str">
        <f aca="false">IF(ISBLANK($C79),"",IF(R79=Constants!$B$3,TRUE(),IF(R79=Constants!$B$4,FALSE(),TRUE())))</f>
        <v/>
      </c>
      <c r="AT79" s="133" t="str">
        <f aca="false">IF(ISBLANK($C79),"",IF(S79=Constants!$B$5,TRUE(),IF(S79=Constants!$B$6,FALSE(),COUNTA(T79:X79)&gt;0)))</f>
        <v/>
      </c>
      <c r="AU79" s="134" t="str">
        <f aca="false">IF(ISBLANK($C79),"",IF(ISNUMBER(T79),IF(T79&gt;=0,T79,""),""))</f>
        <v/>
      </c>
      <c r="AV79" s="135" t="str">
        <f aca="false">IF(ISBLANK($C79),"",IF(ISNUMBER(U79),IF(U79&gt;=0,U79,""),""))</f>
        <v/>
      </c>
      <c r="AW79" s="135" t="str">
        <f aca="false">IF(ISBLANK($C79),"",IF(V79=Constants!$B$3,TRUE(),IF(V79=Constants!$B$4,FALSE(),TRUE())))</f>
        <v/>
      </c>
      <c r="AX79" s="133" t="str">
        <f aca="false">IF(ISBLANK($C79),"",IF(ISNUMBER(W79),IF(W79&gt;=0,W79,""),""))</f>
        <v/>
      </c>
      <c r="AY79" s="133" t="str">
        <f aca="false">IF(ISBLANK($C79),"",IF(X79=Constants!$B$3,TRUE(),IF(X79=Constants!$B$4,FALSE(),FALSE())))</f>
        <v/>
      </c>
      <c r="AZ79" s="133" t="str">
        <f aca="false">IF(ISBLANK($C79),"",MIN(Constants!$B$31,MAX(0,IF(ISNUMBER(Y79),Y79*60,0)+IF(ISNUMBER(Z79),Z79,0))))</f>
        <v/>
      </c>
      <c r="BA79" s="133" t="str">
        <f aca="false">IF(ISBLANK($C79),"",IF(AA79=Constants!$B$3,TRUE(),IF(AA79=Constants!$B$4,FALSE(),FALSE())))</f>
        <v/>
      </c>
      <c r="BB79" s="132" t="str">
        <f aca="false">IF(ISBLANK($C79),"",AND($AL79,OR($AM79="",$AN79="",AND($AO79,$AP79=""))))</f>
        <v/>
      </c>
      <c r="BC79" s="135" t="str">
        <f aca="false">IF($BR79&lt;&gt;Constants!$B$8,"",IF($AL79,Constants!$B$21*$AN79+Constants!$B$22*IF($AO79,$AP79,Constants!$B$23),Constants!$B$24))</f>
        <v/>
      </c>
      <c r="BD79" s="136" t="str">
        <f aca="false">IF($BR79&lt;&gt;Constants!$B$8,"",Constants!$B$25*ABS($AD$9-IF($AL79,$AM79,0)))</f>
        <v/>
      </c>
      <c r="BE79" s="136" t="str">
        <f aca="false">IF($BR79&lt;&gt;Constants!$B$8,"",IF(AND($AL79,$AQ79,$AO79),Constants!$B$27,0))</f>
        <v/>
      </c>
      <c r="BF79" s="136" t="str">
        <f aca="false">IF($BR79&lt;&gt;Constants!$B$8,"",IF($AL79,($AI79-Constants!$B$29)*Constants!$B$28,0))</f>
        <v/>
      </c>
      <c r="BG79" s="136" t="str">
        <f aca="false">IF($BR79&lt;&gt;Constants!$B$8,"",IF($AK79,0,Constants!$B$15)+IF($AJ79,0,Constants!$B$16)+IF($AH79,0,Constants!$B$17))</f>
        <v/>
      </c>
      <c r="BH79" s="137" t="str">
        <f aca="false">IF($BR79&lt;&gt;Constants!$B$8,"",Constants!$B$20+SUM($BC79:$BG79))</f>
        <v/>
      </c>
      <c r="BI79" s="133" t="str">
        <f aca="false">IF($BR79&lt;&gt;Constants!$B$8,"",IF(OR($BP79&lt;$BH79,AND($BP79=$BH79,OR($BK79&lt;$BC79,AND($BK79=$BC79,OR($BL79&lt;$BD79,AND($BL79=$BD79,$AT79,$AL79,$AV79&lt;$AN79)))))),"-&gt;","&lt;-"))</f>
        <v/>
      </c>
      <c r="BJ79" s="132" t="str">
        <f aca="false">IF(ISBLANK($C79),"",AND($AT79,OR($AU79="",$AV79="",AND($AW79,$AX79=""))))</f>
        <v/>
      </c>
      <c r="BK79" s="135" t="str">
        <f aca="false">IF($BR79&lt;&gt;Constants!$B$8,"",IF($AT79,Constants!$B$21*$AV79+Constants!$B$22*IF($AW79,$AX79,Constants!$B$23),Constants!$B$24))</f>
        <v/>
      </c>
      <c r="BL79" s="136" t="str">
        <f aca="false">IF($BR79&lt;&gt;Constants!$B$8,"",Constants!$B$25*ABS($AD$9-IF($AT79,$AU79,0)))</f>
        <v/>
      </c>
      <c r="BM79" s="136" t="str">
        <f aca="false">IF($BR79&lt;&gt;Constants!$B$8,"",IF(AND($AT79,$AY79,$AW79),Constants!$B$27,0))</f>
        <v/>
      </c>
      <c r="BN79" s="136" t="str">
        <f aca="false">IF($BR79&lt;&gt;Constants!$B$8,"",IF($AT79,($AI79-Constants!$B$29)*Constants!$B$28,0))</f>
        <v/>
      </c>
      <c r="BO79" s="136" t="str">
        <f aca="false">IF($BR79&lt;&gt;Constants!$B$8,"",IF($AS79,0,Constants!$B$15)+IF($AR79,0,Constants!$B$16)+IF($AH79,0,Constants!$B$17))</f>
        <v/>
      </c>
      <c r="BP79" s="137" t="str">
        <f aca="false">IF($BR79&lt;&gt;Constants!$B$8,"",Constants!$B$20+SUM($BK79:$BO79))</f>
        <v/>
      </c>
      <c r="BQ79" s="133" t="str">
        <f aca="false">IF(ISBLANK($C79),"",IF(ISBLANK($D$7),$BQ$5,IF(NOT(ISNUMBER($D$7)),$BQ$6,"")))</f>
        <v/>
      </c>
      <c r="BR79" s="133" t="str">
        <f aca="false">IF(ISBLANK($C79),"",IF($BA79,Constants!$B$11,IF(COUNTA($E79:$AA79)=0,Constants!$B$10,IF(NOT($AG79),Constants!$B$9,IF(OR($BQ79&lt;&gt;"",$BB79,$BJ79),Constants!$B$12,Constants!$B$8)))))</f>
        <v/>
      </c>
      <c r="BS79" s="133" t="str">
        <f aca="false">IF(ISBLANK($C79),"",IF($BR79&lt;&gt;Constants!$B$8,$BR79,Constants!$B$13))</f>
        <v/>
      </c>
      <c r="BT79" s="136" t="str">
        <f aca="false">IF($BR79&lt;&gt;Constants!$B$8,"",IF($BI79="-&gt;",$BP79,$BH79))</f>
        <v/>
      </c>
      <c r="BU79" s="136" t="str">
        <f aca="false">IF($BR79&lt;&gt;Constants!$B$8,"",IF($AF79,0,Constants!$B$18))</f>
        <v/>
      </c>
      <c r="BV79" s="136" t="str">
        <f aca="false">IF($BR79&lt;&gt;Constants!$B$8,"",((Constants!$B$31-$AZ79)-Constants!$B$31)/Constants!$B$32)</f>
        <v/>
      </c>
      <c r="BW79" s="136" t="str">
        <f aca="false">IF(ISBLANK($C79),"",IF($BR79&lt;&gt;Constants!$B$8,$BR79,SUM($BT79:$BV79)))</f>
        <v/>
      </c>
      <c r="BX79" s="133" t="str">
        <f aca="false">IF(ISBLANK($C79),"",IF($BR79&lt;&gt;Constants!$B$8,$BR79,RANK($BW79,$BW$9:$BW$508,1)))</f>
        <v/>
      </c>
      <c r="BY79" s="136" t="str">
        <f aca="false">IF($BR79&lt;&gt;Constants!$B$8,"",IF($BI79="-&gt;",$BK79,$BC79))</f>
        <v/>
      </c>
      <c r="BZ79" s="133" t="str">
        <f aca="false">IF(ISBLANK($C79),"",IF($BR79&lt;&gt;Constants!$B$8,$BR79,IF(ISNUMBER($BY79),RANK($BY79,$BY$9:$BY$508,1),COUNT($BY$9:$BY$508)+1)))</f>
        <v/>
      </c>
      <c r="CA79" s="136" t="str">
        <f aca="false">IF($BR79&lt;&gt;Constants!$B$8,"",IF($BI79="-&gt;",$BL79,$BD79))</f>
        <v/>
      </c>
      <c r="CB79" s="133" t="str">
        <f aca="false">IF(ISBLANK($C79),"",IF($BR79&lt;&gt;Constants!$B$8,$BR79,IF(ISNUMBER($CA79),RANK($CA79,$CA$9:$CA$508,1),COUNT($CA$9:$CA$508)+1)))</f>
        <v/>
      </c>
      <c r="CC79" s="136" t="str">
        <f aca="false">IF($BR79&lt;&gt;Constants!$B$8,"",IF($BI79="-&gt;",IF($AT79,$AV79,""),IF($AL79,$AN79,"")))</f>
        <v/>
      </c>
      <c r="CD79" s="133" t="str">
        <f aca="false">IF(ISBLANK($C79),"",IF($BR79&lt;&gt;Constants!$B$8,$BR79,IF(ISNUMBER($CC79),RANK($CC79,$CC$9:$CC$508,1),COUNT($CC$9:$CC$508)+1)))</f>
        <v/>
      </c>
      <c r="CE79" s="136" t="str">
        <f aca="false">IF($BR79&lt;&gt;Constants!$B$8,"",IF(AND(NOT($AL79),NOT($AT79),$AJ79,$AK79,$AR79,$AS79),"",$AI79))</f>
        <v/>
      </c>
      <c r="CF79" s="133" t="str">
        <f aca="false">IF(ISBLANK($C79),"",IF($BR79&lt;&gt;Constants!$B$8,$BR79,IF(ISNUMBER($CE79),RANK($CE79,$CE$9:$CE$508,1),COUNT($CE$9:$CE$508)+1)))</f>
        <v/>
      </c>
      <c r="CG79" s="133" t="str">
        <f aca="false">IF(ISBLANK($C79),"",IF($BR79&lt;&gt;Constants!$B$8,$BR79,COUNTIFS($BX$9:$BX$508,"&lt;"&amp;$BX79)+COUNTIFS($BX$9:$BX$508,$BX79,$BZ$9:$BZ$508,"&lt;"&amp;$BZ79)+COUNTIFS($BX$9:$BX$508,$BX79,$BZ$9:$BZ$508,$BZ79,$CB$9:$CB$508,"&lt;"&amp;$CB79)+COUNTIFS($BX$9:$BX$508,$BX79,$BZ$9:$BZ$508,$BZ79,$CB$9:$CB$508,$CB79,$CD$9:$CD$508,"&lt;"&amp;$CD79)+COUNTIFS($BX$9:$BX$508,$BX79,$BZ$9:$BZ$508,$BZ79,$CB$9:$CB$508,$CB79,$CD$9:$CD$508,$CD79,$CF$9:$CF$508,"&lt;"&amp;$CF79)+1))</f>
        <v/>
      </c>
      <c r="CH79" s="133" t="str">
        <f aca="false">IF(ISBLANK($C79),"",IF($BR79&lt;&gt;Constants!$B$8,$BR79,$BX79-$CG79))</f>
        <v/>
      </c>
      <c r="CI79" s="138"/>
      <c r="CJ79" s="139"/>
      <c r="CK79" s="140" t="str">
        <f aca="false">IF(ISBLANK($C79),"",IF($BR79=Constants!$B$12,$BQ79,""))</f>
        <v/>
      </c>
      <c r="CL79" s="139" t="str">
        <f aca="false">IF(ISBLANK($C79),"",IF($BR79&lt;&gt;Constants!$B$8,"",IF($BI79="-&gt;",2,1)))</f>
        <v/>
      </c>
      <c r="CM79" s="141" t="str">
        <f aca="false">IF(ISBLANK($C79),"",IF($BR79&lt;&gt;Constants!$B$8,"",IF($BI79="-&gt;",$BK79,$BC79)))</f>
        <v/>
      </c>
      <c r="CN79" s="141" t="str">
        <f aca="false">IF(ISBLANK($C79),"",IF($BR79&lt;&gt;Constants!$B$8,"",IF($BI79="-&gt;",$BL79,$BD79)))</f>
        <v/>
      </c>
      <c r="CO79" s="141" t="str">
        <f aca="false">IF(ISBLANK($C79),"",IF($BR79&lt;&gt;Constants!$B$8,"",IF($BI79="-&gt;",$BM79+$BN79,$BE79+$BF79)+$BV79))</f>
        <v/>
      </c>
      <c r="CP79" s="141" t="str">
        <f aca="false">IF(ISBLANK($C79),"",IF($BR79&lt;&gt;Constants!$B$8,"",IF($BI79="-&gt;",$BO79,$BG79)+$BU79))</f>
        <v/>
      </c>
      <c r="CQ79" s="142" t="str">
        <f aca="false">IF(ISBLANK($C79),"",IF($BR79&lt;&gt;Constants!$B$8,$BR79,$BW79))</f>
        <v/>
      </c>
      <c r="CR79" s="143" t="str">
        <f aca="false">IF(ISBLANK($C79),"",$BS79)</f>
        <v/>
      </c>
      <c r="CS79" s="144" t="str">
        <f aca="false">IF(ISBLANK($C79),"",$CH79)</f>
        <v/>
      </c>
      <c r="CT79" s="144" t="str">
        <f aca="false">IF(ISBLANK($C79),"",$CG79)</f>
        <v/>
      </c>
      <c r="CU79" s="145" t="str">
        <f aca="false">IF(ISBLANK($C79),"",IFERROR(_xlfn.SWITCH($CT79,Constants!$B$11,COUNTA($C$9:$C$508)+2,Constants!$B$10,COUNTA($C$9:$C$508)+1,Constants!$B$9,COUNTA($C$9:$C$508)),$CT79))</f>
        <v/>
      </c>
      <c r="CV79" s="9"/>
      <c r="CW79" s="146" t="n">
        <f aca="false">IF(OR(ISNUMBER($CT79),$CT79=Constants!$B$11,$CT79=Constants!$B$9,$CT79=Constants!$B$10),1,0)</f>
        <v>0</v>
      </c>
      <c r="CX79" s="146" t="n">
        <v>71</v>
      </c>
      <c r="CY79" s="146" t="str">
        <f aca="false">IF(ISBLANK($C79),"",IF(ISNUMBER($CU79),$CU79+ROW($B79)/1000,""))</f>
        <v/>
      </c>
      <c r="CZ79" s="146" t="str">
        <f aca="false">IF(ISNUMBER($CY79),RANK($CY79,$CY$9:$CY$508,1),"")</f>
        <v/>
      </c>
      <c r="DA79" s="146" t="str">
        <f aca="false">IF(ISBLANK($C79),"",$B79)</f>
        <v/>
      </c>
      <c r="DB79" s="146" t="str">
        <f aca="false">IF(ISBLANK($C79),"",$C79)</f>
        <v/>
      </c>
      <c r="DC79" s="146" t="str">
        <f aca="false">IF(ISBLANK($C79),"",$D79)</f>
        <v/>
      </c>
      <c r="DD79" s="147" t="str">
        <f aca="false">$CR79</f>
        <v/>
      </c>
      <c r="DE79" s="148" t="str">
        <f aca="false">$CQ79</f>
        <v/>
      </c>
      <c r="DF79" s="146" t="str">
        <f aca="false">IF(ISBLANK($C79),"",$CT79)</f>
        <v/>
      </c>
      <c r="DG79" s="149" t="str">
        <f aca="false">IF($CX79&gt;$CW$8,"",VLOOKUP($CX79,$CZ$9:$DF$508,7,FALSE()))</f>
        <v/>
      </c>
      <c r="DH79" s="150" t="str">
        <f aca="false">IF($CX79&gt;$CW$8,"",VLOOKUP($CX79,$CZ$9:$DF$508,2,FALSE()))</f>
        <v/>
      </c>
      <c r="DI79" s="150" t="str">
        <f aca="false">IF($CX79&gt;$CW$8,"",VLOOKUP($CX79,$CZ$9:$DF$508,3,FALSE()))</f>
        <v/>
      </c>
      <c r="DJ79" s="150" t="str">
        <f aca="false">IF($CX79&gt;$CW$8,"",VLOOKUP($CX79,$CZ$9:$DF$508,4,FALSE()))</f>
        <v/>
      </c>
      <c r="DK79" s="150" t="str">
        <f aca="false">IF($CX79&gt;$CW$8,"",VLOOKUP($CX79,$CZ$9:$DF$508,5,FALSE()))</f>
        <v/>
      </c>
      <c r="DL79" s="151" t="str">
        <f aca="false">IF($CX79&gt;$CW$8,"",VLOOKUP($CX79,$CZ$9:$DF$508,6,FALSE()))</f>
        <v/>
      </c>
      <c r="DM79" s="75"/>
    </row>
    <row r="80" customFormat="false" ht="15.75" hidden="false" customHeight="false" outlineLevel="0" collapsed="false">
      <c r="A80" s="9"/>
      <c r="B80" s="157"/>
      <c r="C80" s="158"/>
      <c r="D80" s="159"/>
      <c r="E80" s="177"/>
      <c r="F80" s="161"/>
      <c r="G80" s="162"/>
      <c r="H80" s="162"/>
      <c r="I80" s="178"/>
      <c r="J80" s="165"/>
      <c r="K80" s="126"/>
      <c r="L80" s="127"/>
      <c r="M80" s="128"/>
      <c r="N80" s="165"/>
      <c r="O80" s="165"/>
      <c r="P80" s="177"/>
      <c r="Q80" s="165"/>
      <c r="R80" s="165"/>
      <c r="S80" s="126"/>
      <c r="T80" s="128"/>
      <c r="U80" s="128"/>
      <c r="V80" s="165"/>
      <c r="W80" s="165"/>
      <c r="X80" s="177"/>
      <c r="Y80" s="165"/>
      <c r="Z80" s="166"/>
      <c r="AA80" s="165"/>
      <c r="AB80" s="132"/>
      <c r="AC80" s="133"/>
      <c r="AD80" s="133"/>
      <c r="AE80" s="133"/>
      <c r="AF80" s="133" t="str">
        <f aca="false">IF(ISBLANK($C80),"",IF(E80=Constants!$B$3,TRUE(),IF(E80=Constants!$B$4,FALSE(),TRUE())))</f>
        <v/>
      </c>
      <c r="AG80" s="133" t="str">
        <f aca="false">IF(ISBLANK($C80),"",IF(F80=Constants!$B$3,TRUE(),IF(F80=Constants!$B$4,FALSE(),TRUE())))</f>
        <v/>
      </c>
      <c r="AH80" s="133" t="str">
        <f aca="false">IF(ISBLANK($C80),"",IF(G80=Constants!$B$3,TRUE(),IF(G80=Constants!$B$4,FALSE(),TRUE())))</f>
        <v/>
      </c>
      <c r="AI80" s="133" t="str">
        <f aca="false">IF(ISBLANK($C80),"",IF(AND(ISNUMBER(H80),H80&gt;=0),H80,Constants!$B$29))</f>
        <v/>
      </c>
      <c r="AJ80" s="133" t="str">
        <f aca="false">IF(ISBLANK($C80),"",IF(I80=Constants!$B$3,TRUE(),IF(I80=Constants!$B$4,FALSE(),TRUE())))</f>
        <v/>
      </c>
      <c r="AK80" s="133" t="str">
        <f aca="false">IF(ISBLANK($C80),"",IF(J80=Constants!$B$3,TRUE(),IF(J80=Constants!$B$4,FALSE(),TRUE())))</f>
        <v/>
      </c>
      <c r="AL80" s="133" t="str">
        <f aca="false">IF(ISBLANK($C80),"",IF(K80=Constants!$B$5,TRUE(),IF(K80=Constants!$B$6,FALSE(),COUNTA(L80:P80)&gt;0)))</f>
        <v/>
      </c>
      <c r="AM80" s="134" t="str">
        <f aca="false">IF(ISBLANK($C80),"",IF(ISNUMBER(L80),IF(L80&gt;=0,L80,""),""))</f>
        <v/>
      </c>
      <c r="AN80" s="135" t="str">
        <f aca="false">IF(ISBLANK($C80),"",IF(ISNUMBER(M80),IF(M80&gt;=0,M80,""),""))</f>
        <v/>
      </c>
      <c r="AO80" s="135" t="str">
        <f aca="false">IF(ISBLANK($C80),"",IF(N80=Constants!$B$3,TRUE(),IF(N80=Constants!$B$4,FALSE(),TRUE())))</f>
        <v/>
      </c>
      <c r="AP80" s="133" t="str">
        <f aca="false">IF(ISBLANK($C80),"",IF(ISNUMBER(O80),IF(O80&gt;=0,O80,""),""))</f>
        <v/>
      </c>
      <c r="AQ80" s="133" t="str">
        <f aca="false">IF(ISBLANK($C80),"",IF(P80=Constants!$B$3,TRUE(),IF(P80=Constants!$B$4,FALSE(),FALSE())))</f>
        <v/>
      </c>
      <c r="AR80" s="133" t="str">
        <f aca="false">IF(ISBLANK($C80),"",IF(Q80=Constants!$B$3,TRUE(),IF(Q80=Constants!$B$4,FALSE(),TRUE())))</f>
        <v/>
      </c>
      <c r="AS80" s="133" t="str">
        <f aca="false">IF(ISBLANK($C80),"",IF(R80=Constants!$B$3,TRUE(),IF(R80=Constants!$B$4,FALSE(),TRUE())))</f>
        <v/>
      </c>
      <c r="AT80" s="133" t="str">
        <f aca="false">IF(ISBLANK($C80),"",IF(S80=Constants!$B$5,TRUE(),IF(S80=Constants!$B$6,FALSE(),COUNTA(T80:X80)&gt;0)))</f>
        <v/>
      </c>
      <c r="AU80" s="134" t="str">
        <f aca="false">IF(ISBLANK($C80),"",IF(ISNUMBER(T80),IF(T80&gt;=0,T80,""),""))</f>
        <v/>
      </c>
      <c r="AV80" s="135" t="str">
        <f aca="false">IF(ISBLANK($C80),"",IF(ISNUMBER(U80),IF(U80&gt;=0,U80,""),""))</f>
        <v/>
      </c>
      <c r="AW80" s="135" t="str">
        <f aca="false">IF(ISBLANK($C80),"",IF(V80=Constants!$B$3,TRUE(),IF(V80=Constants!$B$4,FALSE(),TRUE())))</f>
        <v/>
      </c>
      <c r="AX80" s="133" t="str">
        <f aca="false">IF(ISBLANK($C80),"",IF(ISNUMBER(W80),IF(W80&gt;=0,W80,""),""))</f>
        <v/>
      </c>
      <c r="AY80" s="133" t="str">
        <f aca="false">IF(ISBLANK($C80),"",IF(X80=Constants!$B$3,TRUE(),IF(X80=Constants!$B$4,FALSE(),FALSE())))</f>
        <v/>
      </c>
      <c r="AZ80" s="133" t="str">
        <f aca="false">IF(ISBLANK($C80),"",MIN(Constants!$B$31,MAX(0,IF(ISNUMBER(Y80),Y80*60,0)+IF(ISNUMBER(Z80),Z80,0))))</f>
        <v/>
      </c>
      <c r="BA80" s="133" t="str">
        <f aca="false">IF(ISBLANK($C80),"",IF(AA80=Constants!$B$3,TRUE(),IF(AA80=Constants!$B$4,FALSE(),FALSE())))</f>
        <v/>
      </c>
      <c r="BB80" s="132" t="str">
        <f aca="false">IF(ISBLANK($C80),"",AND($AL80,OR($AM80="",$AN80="",AND($AO80,$AP80=""))))</f>
        <v/>
      </c>
      <c r="BC80" s="135" t="str">
        <f aca="false">IF($BR80&lt;&gt;Constants!$B$8,"",IF($AL80,Constants!$B$21*$AN80+Constants!$B$22*IF($AO80,$AP80,Constants!$B$23),Constants!$B$24))</f>
        <v/>
      </c>
      <c r="BD80" s="136" t="str">
        <f aca="false">IF($BR80&lt;&gt;Constants!$B$8,"",Constants!$B$25*ABS($AD$9-IF($AL80,$AM80,0)))</f>
        <v/>
      </c>
      <c r="BE80" s="136" t="str">
        <f aca="false">IF($BR80&lt;&gt;Constants!$B$8,"",IF(AND($AL80,$AQ80,$AO80),Constants!$B$27,0))</f>
        <v/>
      </c>
      <c r="BF80" s="136" t="str">
        <f aca="false">IF($BR80&lt;&gt;Constants!$B$8,"",IF($AL80,($AI80-Constants!$B$29)*Constants!$B$28,0))</f>
        <v/>
      </c>
      <c r="BG80" s="136" t="str">
        <f aca="false">IF($BR80&lt;&gt;Constants!$B$8,"",IF($AK80,0,Constants!$B$15)+IF($AJ80,0,Constants!$B$16)+IF($AH80,0,Constants!$B$17))</f>
        <v/>
      </c>
      <c r="BH80" s="137" t="str">
        <f aca="false">IF($BR80&lt;&gt;Constants!$B$8,"",Constants!$B$20+SUM($BC80:$BG80))</f>
        <v/>
      </c>
      <c r="BI80" s="133" t="str">
        <f aca="false">IF($BR80&lt;&gt;Constants!$B$8,"",IF(OR($BP80&lt;$BH80,AND($BP80=$BH80,OR($BK80&lt;$BC80,AND($BK80=$BC80,OR($BL80&lt;$BD80,AND($BL80=$BD80,$AT80,$AL80,$AV80&lt;$AN80)))))),"-&gt;","&lt;-"))</f>
        <v/>
      </c>
      <c r="BJ80" s="132" t="str">
        <f aca="false">IF(ISBLANK($C80),"",AND($AT80,OR($AU80="",$AV80="",AND($AW80,$AX80=""))))</f>
        <v/>
      </c>
      <c r="BK80" s="135" t="str">
        <f aca="false">IF($BR80&lt;&gt;Constants!$B$8,"",IF($AT80,Constants!$B$21*$AV80+Constants!$B$22*IF($AW80,$AX80,Constants!$B$23),Constants!$B$24))</f>
        <v/>
      </c>
      <c r="BL80" s="136" t="str">
        <f aca="false">IF($BR80&lt;&gt;Constants!$B$8,"",Constants!$B$25*ABS($AD$9-IF($AT80,$AU80,0)))</f>
        <v/>
      </c>
      <c r="BM80" s="136" t="str">
        <f aca="false">IF($BR80&lt;&gt;Constants!$B$8,"",IF(AND($AT80,$AY80,$AW80),Constants!$B$27,0))</f>
        <v/>
      </c>
      <c r="BN80" s="136" t="str">
        <f aca="false">IF($BR80&lt;&gt;Constants!$B$8,"",IF($AT80,($AI80-Constants!$B$29)*Constants!$B$28,0))</f>
        <v/>
      </c>
      <c r="BO80" s="136" t="str">
        <f aca="false">IF($BR80&lt;&gt;Constants!$B$8,"",IF($AS80,0,Constants!$B$15)+IF($AR80,0,Constants!$B$16)+IF($AH80,0,Constants!$B$17))</f>
        <v/>
      </c>
      <c r="BP80" s="137" t="str">
        <f aca="false">IF($BR80&lt;&gt;Constants!$B$8,"",Constants!$B$20+SUM($BK80:$BO80))</f>
        <v/>
      </c>
      <c r="BQ80" s="133" t="str">
        <f aca="false">IF(ISBLANK($C80),"",IF(ISBLANK($D$7),$BQ$5,IF(NOT(ISNUMBER($D$7)),$BQ$6,"")))</f>
        <v/>
      </c>
      <c r="BR80" s="133" t="str">
        <f aca="false">IF(ISBLANK($C80),"",IF($BA80,Constants!$B$11,IF(COUNTA($E80:$AA80)=0,Constants!$B$10,IF(NOT($AG80),Constants!$B$9,IF(OR($BQ80&lt;&gt;"",$BB80,$BJ80),Constants!$B$12,Constants!$B$8)))))</f>
        <v/>
      </c>
      <c r="BS80" s="133" t="str">
        <f aca="false">IF(ISBLANK($C80),"",IF($BR80&lt;&gt;Constants!$B$8,$BR80,Constants!$B$13))</f>
        <v/>
      </c>
      <c r="BT80" s="136" t="str">
        <f aca="false">IF($BR80&lt;&gt;Constants!$B$8,"",IF($BI80="-&gt;",$BP80,$BH80))</f>
        <v/>
      </c>
      <c r="BU80" s="136" t="str">
        <f aca="false">IF($BR80&lt;&gt;Constants!$B$8,"",IF($AF80,0,Constants!$B$18))</f>
        <v/>
      </c>
      <c r="BV80" s="136" t="str">
        <f aca="false">IF($BR80&lt;&gt;Constants!$B$8,"",((Constants!$B$31-$AZ80)-Constants!$B$31)/Constants!$B$32)</f>
        <v/>
      </c>
      <c r="BW80" s="136" t="str">
        <f aca="false">IF(ISBLANK($C80),"",IF($BR80&lt;&gt;Constants!$B$8,$BR80,SUM($BT80:$BV80)))</f>
        <v/>
      </c>
      <c r="BX80" s="133" t="str">
        <f aca="false">IF(ISBLANK($C80),"",IF($BR80&lt;&gt;Constants!$B$8,$BR80,RANK($BW80,$BW$9:$BW$508,1)))</f>
        <v/>
      </c>
      <c r="BY80" s="136" t="str">
        <f aca="false">IF($BR80&lt;&gt;Constants!$B$8,"",IF($BI80="-&gt;",$BK80,$BC80))</f>
        <v/>
      </c>
      <c r="BZ80" s="133" t="str">
        <f aca="false">IF(ISBLANK($C80),"",IF($BR80&lt;&gt;Constants!$B$8,$BR80,IF(ISNUMBER($BY80),RANK($BY80,$BY$9:$BY$508,1),COUNT($BY$9:$BY$508)+1)))</f>
        <v/>
      </c>
      <c r="CA80" s="136" t="str">
        <f aca="false">IF($BR80&lt;&gt;Constants!$B$8,"",IF($BI80="-&gt;",$BL80,$BD80))</f>
        <v/>
      </c>
      <c r="CB80" s="133" t="str">
        <f aca="false">IF(ISBLANK($C80),"",IF($BR80&lt;&gt;Constants!$B$8,$BR80,IF(ISNUMBER($CA80),RANK($CA80,$CA$9:$CA$508,1),COUNT($CA$9:$CA$508)+1)))</f>
        <v/>
      </c>
      <c r="CC80" s="136" t="str">
        <f aca="false">IF($BR80&lt;&gt;Constants!$B$8,"",IF($BI80="-&gt;",IF($AT80,$AV80,""),IF($AL80,$AN80,"")))</f>
        <v/>
      </c>
      <c r="CD80" s="133" t="str">
        <f aca="false">IF(ISBLANK($C80),"",IF($BR80&lt;&gt;Constants!$B$8,$BR80,IF(ISNUMBER($CC80),RANK($CC80,$CC$9:$CC$508,1),COUNT($CC$9:$CC$508)+1)))</f>
        <v/>
      </c>
      <c r="CE80" s="136" t="str">
        <f aca="false">IF($BR80&lt;&gt;Constants!$B$8,"",IF(AND(NOT($AL80),NOT($AT80),$AJ80,$AK80,$AR80,$AS80),"",$AI80))</f>
        <v/>
      </c>
      <c r="CF80" s="133" t="str">
        <f aca="false">IF(ISBLANK($C80),"",IF($BR80&lt;&gt;Constants!$B$8,$BR80,IF(ISNUMBER($CE80),RANK($CE80,$CE$9:$CE$508,1),COUNT($CE$9:$CE$508)+1)))</f>
        <v/>
      </c>
      <c r="CG80" s="133" t="str">
        <f aca="false">IF(ISBLANK($C80),"",IF($BR80&lt;&gt;Constants!$B$8,$BR80,COUNTIFS($BX$9:$BX$508,"&lt;"&amp;$BX80)+COUNTIFS($BX$9:$BX$508,$BX80,$BZ$9:$BZ$508,"&lt;"&amp;$BZ80)+COUNTIFS($BX$9:$BX$508,$BX80,$BZ$9:$BZ$508,$BZ80,$CB$9:$CB$508,"&lt;"&amp;$CB80)+COUNTIFS($BX$9:$BX$508,$BX80,$BZ$9:$BZ$508,$BZ80,$CB$9:$CB$508,$CB80,$CD$9:$CD$508,"&lt;"&amp;$CD80)+COUNTIFS($BX$9:$BX$508,$BX80,$BZ$9:$BZ$508,$BZ80,$CB$9:$CB$508,$CB80,$CD$9:$CD$508,$CD80,$CF$9:$CF$508,"&lt;"&amp;$CF80)+1))</f>
        <v/>
      </c>
      <c r="CH80" s="133" t="str">
        <f aca="false">IF(ISBLANK($C80),"",IF($BR80&lt;&gt;Constants!$B$8,$BR80,$BX80-$CG80))</f>
        <v/>
      </c>
      <c r="CI80" s="138"/>
      <c r="CJ80" s="139"/>
      <c r="CK80" s="140" t="str">
        <f aca="false">IF(ISBLANK($C80),"",IF($BR80=Constants!$B$12,$BQ80,""))</f>
        <v/>
      </c>
      <c r="CL80" s="139" t="str">
        <f aca="false">IF(ISBLANK($C80),"",IF($BR80&lt;&gt;Constants!$B$8,"",IF($BI80="-&gt;",2,1)))</f>
        <v/>
      </c>
      <c r="CM80" s="141" t="str">
        <f aca="false">IF(ISBLANK($C80),"",IF($BR80&lt;&gt;Constants!$B$8,"",IF($BI80="-&gt;",$BK80,$BC80)))</f>
        <v/>
      </c>
      <c r="CN80" s="141" t="str">
        <f aca="false">IF(ISBLANK($C80),"",IF($BR80&lt;&gt;Constants!$B$8,"",IF($BI80="-&gt;",$BL80,$BD80)))</f>
        <v/>
      </c>
      <c r="CO80" s="141" t="str">
        <f aca="false">IF(ISBLANK($C80),"",IF($BR80&lt;&gt;Constants!$B$8,"",IF($BI80="-&gt;",$BM80+$BN80,$BE80+$BF80)+$BV80))</f>
        <v/>
      </c>
      <c r="CP80" s="141" t="str">
        <f aca="false">IF(ISBLANK($C80),"",IF($BR80&lt;&gt;Constants!$B$8,"",IF($BI80="-&gt;",$BO80,$BG80)+$BU80))</f>
        <v/>
      </c>
      <c r="CQ80" s="142" t="str">
        <f aca="false">IF(ISBLANK($C80),"",IF($BR80&lt;&gt;Constants!$B$8,$BR80,$BW80))</f>
        <v/>
      </c>
      <c r="CR80" s="143" t="str">
        <f aca="false">IF(ISBLANK($C80),"",$BS80)</f>
        <v/>
      </c>
      <c r="CS80" s="144" t="str">
        <f aca="false">IF(ISBLANK($C80),"",$CH80)</f>
        <v/>
      </c>
      <c r="CT80" s="144" t="str">
        <f aca="false">IF(ISBLANK($C80),"",$CG80)</f>
        <v/>
      </c>
      <c r="CU80" s="145" t="str">
        <f aca="false">IF(ISBLANK($C80),"",IFERROR(_xlfn.SWITCH($CT80,Constants!$B$11,COUNTA($C$9:$C$508)+2,Constants!$B$10,COUNTA($C$9:$C$508)+1,Constants!$B$9,COUNTA($C$9:$C$508)),$CT80))</f>
        <v/>
      </c>
      <c r="CV80" s="9"/>
      <c r="CW80" s="146" t="n">
        <f aca="false">IF(OR(ISNUMBER($CT80),$CT80=Constants!$B$11,$CT80=Constants!$B$9,$CT80=Constants!$B$10),1,0)</f>
        <v>0</v>
      </c>
      <c r="CX80" s="146" t="n">
        <v>72</v>
      </c>
      <c r="CY80" s="146" t="str">
        <f aca="false">IF(ISBLANK($C80),"",IF(ISNUMBER($CU80),$CU80+ROW($B80)/1000,""))</f>
        <v/>
      </c>
      <c r="CZ80" s="146" t="str">
        <f aca="false">IF(ISNUMBER($CY80),RANK($CY80,$CY$9:$CY$508,1),"")</f>
        <v/>
      </c>
      <c r="DA80" s="146" t="str">
        <f aca="false">IF(ISBLANK($C80),"",$B80)</f>
        <v/>
      </c>
      <c r="DB80" s="146" t="str">
        <f aca="false">IF(ISBLANK($C80),"",$C80)</f>
        <v/>
      </c>
      <c r="DC80" s="146" t="str">
        <f aca="false">IF(ISBLANK($C80),"",$D80)</f>
        <v/>
      </c>
      <c r="DD80" s="147" t="str">
        <f aca="false">$CR80</f>
        <v/>
      </c>
      <c r="DE80" s="148" t="str">
        <f aca="false">$CQ80</f>
        <v/>
      </c>
      <c r="DF80" s="146" t="str">
        <f aca="false">IF(ISBLANK($C80),"",$CT80)</f>
        <v/>
      </c>
      <c r="DG80" s="149" t="str">
        <f aca="false">IF($CX80&gt;$CW$8,"",VLOOKUP($CX80,$CZ$9:$DF$508,7,FALSE()))</f>
        <v/>
      </c>
      <c r="DH80" s="150" t="str">
        <f aca="false">IF($CX80&gt;$CW$8,"",VLOOKUP($CX80,$CZ$9:$DF$508,2,FALSE()))</f>
        <v/>
      </c>
      <c r="DI80" s="150" t="str">
        <f aca="false">IF($CX80&gt;$CW$8,"",VLOOKUP($CX80,$CZ$9:$DF$508,3,FALSE()))</f>
        <v/>
      </c>
      <c r="DJ80" s="150" t="str">
        <f aca="false">IF($CX80&gt;$CW$8,"",VLOOKUP($CX80,$CZ$9:$DF$508,4,FALSE()))</f>
        <v/>
      </c>
      <c r="DK80" s="150" t="str">
        <f aca="false">IF($CX80&gt;$CW$8,"",VLOOKUP($CX80,$CZ$9:$DF$508,5,FALSE()))</f>
        <v/>
      </c>
      <c r="DL80" s="151" t="str">
        <f aca="false">IF($CX80&gt;$CW$8,"",VLOOKUP($CX80,$CZ$9:$DF$508,6,FALSE()))</f>
        <v/>
      </c>
      <c r="DM80" s="75"/>
    </row>
    <row r="81" customFormat="false" ht="15.75" hidden="false" customHeight="false" outlineLevel="0" collapsed="false">
      <c r="A81" s="9"/>
      <c r="B81" s="77"/>
      <c r="C81" s="78"/>
      <c r="D81" s="167"/>
      <c r="E81" s="175"/>
      <c r="F81" s="169"/>
      <c r="G81" s="170"/>
      <c r="H81" s="170"/>
      <c r="I81" s="176"/>
      <c r="J81" s="173"/>
      <c r="K81" s="85"/>
      <c r="L81" s="86"/>
      <c r="M81" s="87"/>
      <c r="N81" s="173"/>
      <c r="O81" s="173"/>
      <c r="P81" s="175"/>
      <c r="Q81" s="173"/>
      <c r="R81" s="173"/>
      <c r="S81" s="85"/>
      <c r="T81" s="87"/>
      <c r="U81" s="87"/>
      <c r="V81" s="173"/>
      <c r="W81" s="173"/>
      <c r="X81" s="175"/>
      <c r="Y81" s="173"/>
      <c r="Z81" s="174"/>
      <c r="AA81" s="173"/>
      <c r="AB81" s="91"/>
      <c r="AC81" s="92"/>
      <c r="AD81" s="92"/>
      <c r="AE81" s="92"/>
      <c r="AF81" s="92" t="str">
        <f aca="false">IF(ISBLANK($C81),"",IF(E81=Constants!$B$3,TRUE(),IF(E81=Constants!$B$4,FALSE(),TRUE())))</f>
        <v/>
      </c>
      <c r="AG81" s="92" t="str">
        <f aca="false">IF(ISBLANK($C81),"",IF(F81=Constants!$B$3,TRUE(),IF(F81=Constants!$B$4,FALSE(),TRUE())))</f>
        <v/>
      </c>
      <c r="AH81" s="92" t="str">
        <f aca="false">IF(ISBLANK($C81),"",IF(G81=Constants!$B$3,TRUE(),IF(G81=Constants!$B$4,FALSE(),TRUE())))</f>
        <v/>
      </c>
      <c r="AI81" s="92" t="str">
        <f aca="false">IF(ISBLANK($C81),"",IF(AND(ISNUMBER(H81),H81&gt;=0),H81,Constants!$B$29))</f>
        <v/>
      </c>
      <c r="AJ81" s="92" t="str">
        <f aca="false">IF(ISBLANK($C81),"",IF(I81=Constants!$B$3,TRUE(),IF(I81=Constants!$B$4,FALSE(),TRUE())))</f>
        <v/>
      </c>
      <c r="AK81" s="92" t="str">
        <f aca="false">IF(ISBLANK($C81),"",IF(J81=Constants!$B$3,TRUE(),IF(J81=Constants!$B$4,FALSE(),TRUE())))</f>
        <v/>
      </c>
      <c r="AL81" s="92" t="str">
        <f aca="false">IF(ISBLANK($C81),"",IF(K81=Constants!$B$5,TRUE(),IF(K81=Constants!$B$6,FALSE(),COUNTA(L81:P81)&gt;0)))</f>
        <v/>
      </c>
      <c r="AM81" s="94" t="str">
        <f aca="false">IF(ISBLANK($C81),"",IF(ISNUMBER(L81),IF(L81&gt;=0,L81,""),""))</f>
        <v/>
      </c>
      <c r="AN81" s="93" t="str">
        <f aca="false">IF(ISBLANK($C81),"",IF(ISNUMBER(M81),IF(M81&gt;=0,M81,""),""))</f>
        <v/>
      </c>
      <c r="AO81" s="93" t="str">
        <f aca="false">IF(ISBLANK($C81),"",IF(N81=Constants!$B$3,TRUE(),IF(N81=Constants!$B$4,FALSE(),TRUE())))</f>
        <v/>
      </c>
      <c r="AP81" s="92" t="str">
        <f aca="false">IF(ISBLANK($C81),"",IF(ISNUMBER(O81),IF(O81&gt;=0,O81,""),""))</f>
        <v/>
      </c>
      <c r="AQ81" s="92" t="str">
        <f aca="false">IF(ISBLANK($C81),"",IF(P81=Constants!$B$3,TRUE(),IF(P81=Constants!$B$4,FALSE(),FALSE())))</f>
        <v/>
      </c>
      <c r="AR81" s="92" t="str">
        <f aca="false">IF(ISBLANK($C81),"",IF(Q81=Constants!$B$3,TRUE(),IF(Q81=Constants!$B$4,FALSE(),TRUE())))</f>
        <v/>
      </c>
      <c r="AS81" s="92" t="str">
        <f aca="false">IF(ISBLANK($C81),"",IF(R81=Constants!$B$3,TRUE(),IF(R81=Constants!$B$4,FALSE(),TRUE())))</f>
        <v/>
      </c>
      <c r="AT81" s="92" t="str">
        <f aca="false">IF(ISBLANK($C81),"",IF(S81=Constants!$B$5,TRUE(),IF(S81=Constants!$B$6,FALSE(),COUNTA(T81:X81)&gt;0)))</f>
        <v/>
      </c>
      <c r="AU81" s="94" t="str">
        <f aca="false">IF(ISBLANK($C81),"",IF(ISNUMBER(T81),IF(T81&gt;=0,T81,""),""))</f>
        <v/>
      </c>
      <c r="AV81" s="93" t="str">
        <f aca="false">IF(ISBLANK($C81),"",IF(ISNUMBER(U81),IF(U81&gt;=0,U81,""),""))</f>
        <v/>
      </c>
      <c r="AW81" s="93" t="str">
        <f aca="false">IF(ISBLANK($C81),"",IF(V81=Constants!$B$3,TRUE(),IF(V81=Constants!$B$4,FALSE(),TRUE())))</f>
        <v/>
      </c>
      <c r="AX81" s="92" t="str">
        <f aca="false">IF(ISBLANK($C81),"",IF(ISNUMBER(W81),IF(W81&gt;=0,W81,""),""))</f>
        <v/>
      </c>
      <c r="AY81" s="92" t="str">
        <f aca="false">IF(ISBLANK($C81),"",IF(X81=Constants!$B$3,TRUE(),IF(X81=Constants!$B$4,FALSE(),FALSE())))</f>
        <v/>
      </c>
      <c r="AZ81" s="92" t="str">
        <f aca="false">IF(ISBLANK($C81),"",MIN(Constants!$B$31,MAX(0,IF(ISNUMBER(Y81),Y81*60,0)+IF(ISNUMBER(Z81),Z81,0))))</f>
        <v/>
      </c>
      <c r="BA81" s="92" t="str">
        <f aca="false">IF(ISBLANK($C81),"",IF(AA81=Constants!$B$3,TRUE(),IF(AA81=Constants!$B$4,FALSE(),FALSE())))</f>
        <v/>
      </c>
      <c r="BB81" s="91" t="str">
        <f aca="false">IF(ISBLANK($C81),"",AND($AL81,OR($AM81="",$AN81="",AND($AO81,$AP81=""))))</f>
        <v/>
      </c>
      <c r="BC81" s="93" t="str">
        <f aca="false">IF($BR81&lt;&gt;Constants!$B$8,"",IF($AL81,Constants!$B$21*$AN81+Constants!$B$22*IF($AO81,$AP81,Constants!$B$23),Constants!$B$24))</f>
        <v/>
      </c>
      <c r="BD81" s="96" t="str">
        <f aca="false">IF($BR81&lt;&gt;Constants!$B$8,"",Constants!$B$25*ABS($AD$9-IF($AL81,$AM81,0)))</f>
        <v/>
      </c>
      <c r="BE81" s="96" t="str">
        <f aca="false">IF($BR81&lt;&gt;Constants!$B$8,"",IF(AND($AL81,$AQ81,$AO81),Constants!$B$27,0))</f>
        <v/>
      </c>
      <c r="BF81" s="96" t="str">
        <f aca="false">IF($BR81&lt;&gt;Constants!$B$8,"",IF($AL81,($AI81-Constants!$B$29)*Constants!$B$28,0))</f>
        <v/>
      </c>
      <c r="BG81" s="96" t="str">
        <f aca="false">IF($BR81&lt;&gt;Constants!$B$8,"",IF($AK81,0,Constants!$B$15)+IF($AJ81,0,Constants!$B$16)+IF($AH81,0,Constants!$B$17))</f>
        <v/>
      </c>
      <c r="BH81" s="97" t="str">
        <f aca="false">IF($BR81&lt;&gt;Constants!$B$8,"",Constants!$B$20+SUM($BC81:$BG81))</f>
        <v/>
      </c>
      <c r="BI81" s="92" t="str">
        <f aca="false">IF($BR81&lt;&gt;Constants!$B$8,"",IF(OR($BP81&lt;$BH81,AND($BP81=$BH81,OR($BK81&lt;$BC81,AND($BK81=$BC81,OR($BL81&lt;$BD81,AND($BL81=$BD81,$AT81,$AL81,$AV81&lt;$AN81)))))),"-&gt;","&lt;-"))</f>
        <v/>
      </c>
      <c r="BJ81" s="91" t="str">
        <f aca="false">IF(ISBLANK($C81),"",AND($AT81,OR($AU81="",$AV81="",AND($AW81,$AX81=""))))</f>
        <v/>
      </c>
      <c r="BK81" s="93" t="str">
        <f aca="false">IF($BR81&lt;&gt;Constants!$B$8,"",IF($AT81,Constants!$B$21*$AV81+Constants!$B$22*IF($AW81,$AX81,Constants!$B$23),Constants!$B$24))</f>
        <v/>
      </c>
      <c r="BL81" s="96" t="str">
        <f aca="false">IF($BR81&lt;&gt;Constants!$B$8,"",Constants!$B$25*ABS($AD$9-IF($AT81,$AU81,0)))</f>
        <v/>
      </c>
      <c r="BM81" s="96" t="str">
        <f aca="false">IF($BR81&lt;&gt;Constants!$B$8,"",IF(AND($AT81,$AY81,$AW81),Constants!$B$27,0))</f>
        <v/>
      </c>
      <c r="BN81" s="96" t="str">
        <f aca="false">IF($BR81&lt;&gt;Constants!$B$8,"",IF($AT81,($AI81-Constants!$B$29)*Constants!$B$28,0))</f>
        <v/>
      </c>
      <c r="BO81" s="96" t="str">
        <f aca="false">IF($BR81&lt;&gt;Constants!$B$8,"",IF($AS81,0,Constants!$B$15)+IF($AR81,0,Constants!$B$16)+IF($AH81,0,Constants!$B$17))</f>
        <v/>
      </c>
      <c r="BP81" s="97" t="str">
        <f aca="false">IF($BR81&lt;&gt;Constants!$B$8,"",Constants!$B$20+SUM($BK81:$BO81))</f>
        <v/>
      </c>
      <c r="BQ81" s="92" t="str">
        <f aca="false">IF(ISBLANK($C81),"",IF(ISBLANK($D$7),$BQ$5,IF(NOT(ISNUMBER($D$7)),$BQ$6,"")))</f>
        <v/>
      </c>
      <c r="BR81" s="92" t="str">
        <f aca="false">IF(ISBLANK($C81),"",IF($BA81,Constants!$B$11,IF(COUNTA($E81:$AA81)=0,Constants!$B$10,IF(NOT($AG81),Constants!$B$9,IF(OR($BQ81&lt;&gt;"",$BB81,$BJ81),Constants!$B$12,Constants!$B$8)))))</f>
        <v/>
      </c>
      <c r="BS81" s="92" t="str">
        <f aca="false">IF(ISBLANK($C81),"",IF($BR81&lt;&gt;Constants!$B$8,$BR81,Constants!$B$13))</f>
        <v/>
      </c>
      <c r="BT81" s="96" t="str">
        <f aca="false">IF($BR81&lt;&gt;Constants!$B$8,"",IF($BI81="-&gt;",$BP81,$BH81))</f>
        <v/>
      </c>
      <c r="BU81" s="96" t="str">
        <f aca="false">IF($BR81&lt;&gt;Constants!$B$8,"",IF($AF81,0,Constants!$B$18))</f>
        <v/>
      </c>
      <c r="BV81" s="96" t="str">
        <f aca="false">IF($BR81&lt;&gt;Constants!$B$8,"",((Constants!$B$31-$AZ81)-Constants!$B$31)/Constants!$B$32)</f>
        <v/>
      </c>
      <c r="BW81" s="96" t="str">
        <f aca="false">IF(ISBLANK($C81),"",IF($BR81&lt;&gt;Constants!$B$8,$BR81,SUM($BT81:$BV81)))</f>
        <v/>
      </c>
      <c r="BX81" s="92" t="str">
        <f aca="false">IF(ISBLANK($C81),"",IF($BR81&lt;&gt;Constants!$B$8,$BR81,RANK($BW81,$BW$9:$BW$508,1)))</f>
        <v/>
      </c>
      <c r="BY81" s="96" t="str">
        <f aca="false">IF($BR81&lt;&gt;Constants!$B$8,"",IF($BI81="-&gt;",$BK81,$BC81))</f>
        <v/>
      </c>
      <c r="BZ81" s="92" t="str">
        <f aca="false">IF(ISBLANK($C81),"",IF($BR81&lt;&gt;Constants!$B$8,$BR81,IF(ISNUMBER($BY81),RANK($BY81,$BY$9:$BY$508,1),COUNT($BY$9:$BY$508)+1)))</f>
        <v/>
      </c>
      <c r="CA81" s="96" t="str">
        <f aca="false">IF($BR81&lt;&gt;Constants!$B$8,"",IF($BI81="-&gt;",$BL81,$BD81))</f>
        <v/>
      </c>
      <c r="CB81" s="92" t="str">
        <f aca="false">IF(ISBLANK($C81),"",IF($BR81&lt;&gt;Constants!$B$8,$BR81,IF(ISNUMBER($CA81),RANK($CA81,$CA$9:$CA$508,1),COUNT($CA$9:$CA$508)+1)))</f>
        <v/>
      </c>
      <c r="CC81" s="96" t="str">
        <f aca="false">IF($BR81&lt;&gt;Constants!$B$8,"",IF($BI81="-&gt;",IF($AT81,$AV81,""),IF($AL81,$AN81,"")))</f>
        <v/>
      </c>
      <c r="CD81" s="92" t="str">
        <f aca="false">IF(ISBLANK($C81),"",IF($BR81&lt;&gt;Constants!$B$8,$BR81,IF(ISNUMBER($CC81),RANK($CC81,$CC$9:$CC$508,1),COUNT($CC$9:$CC$508)+1)))</f>
        <v/>
      </c>
      <c r="CE81" s="96" t="str">
        <f aca="false">IF($BR81&lt;&gt;Constants!$B$8,"",IF(AND(NOT($AL81),NOT($AT81),$AJ81,$AK81,$AR81,$AS81),"",$AI81))</f>
        <v/>
      </c>
      <c r="CF81" s="92" t="str">
        <f aca="false">IF(ISBLANK($C81),"",IF($BR81&lt;&gt;Constants!$B$8,$BR81,IF(ISNUMBER($CE81),RANK($CE81,$CE$9:$CE$508,1),COUNT($CE$9:$CE$508)+1)))</f>
        <v/>
      </c>
      <c r="CG81" s="92" t="str">
        <f aca="false">IF(ISBLANK($C81),"",IF($BR81&lt;&gt;Constants!$B$8,$BR81,COUNTIFS($BX$9:$BX$508,"&lt;"&amp;$BX81)+COUNTIFS($BX$9:$BX$508,$BX81,$BZ$9:$BZ$508,"&lt;"&amp;$BZ81)+COUNTIFS($BX$9:$BX$508,$BX81,$BZ$9:$BZ$508,$BZ81,$CB$9:$CB$508,"&lt;"&amp;$CB81)+COUNTIFS($BX$9:$BX$508,$BX81,$BZ$9:$BZ$508,$BZ81,$CB$9:$CB$508,$CB81,$CD$9:$CD$508,"&lt;"&amp;$CD81)+COUNTIFS($BX$9:$BX$508,$BX81,$BZ$9:$BZ$508,$BZ81,$CB$9:$CB$508,$CB81,$CD$9:$CD$508,$CD81,$CF$9:$CF$508,"&lt;"&amp;$CF81)+1))</f>
        <v/>
      </c>
      <c r="CH81" s="92" t="str">
        <f aca="false">IF(ISBLANK($C81),"",IF($BR81&lt;&gt;Constants!$B$8,$BR81,$BX81-$CG81))</f>
        <v/>
      </c>
      <c r="CI81" s="98"/>
      <c r="CJ81" s="99"/>
      <c r="CK81" s="100" t="str">
        <f aca="false">IF(ISBLANK($C81),"",IF($BR81=Constants!$B$12,$BQ81,""))</f>
        <v/>
      </c>
      <c r="CL81" s="99" t="str">
        <f aca="false">IF(ISBLANK($C81),"",IF($BR81&lt;&gt;Constants!$B$8,"",IF($BI81="-&gt;",2,1)))</f>
        <v/>
      </c>
      <c r="CM81" s="101" t="str">
        <f aca="false">IF(ISBLANK($C81),"",IF($BR81&lt;&gt;Constants!$B$8,"",IF($BI81="-&gt;",$BK81,$BC81)))</f>
        <v/>
      </c>
      <c r="CN81" s="101" t="str">
        <f aca="false">IF(ISBLANK($C81),"",IF($BR81&lt;&gt;Constants!$B$8,"",IF($BI81="-&gt;",$BL81,$BD81)))</f>
        <v/>
      </c>
      <c r="CO81" s="101" t="str">
        <f aca="false">IF(ISBLANK($C81),"",IF($BR81&lt;&gt;Constants!$B$8,"",IF($BI81="-&gt;",$BM81+$BN81,$BE81+$BF81)+$BV81))</f>
        <v/>
      </c>
      <c r="CP81" s="101" t="str">
        <f aca="false">IF(ISBLANK($C81),"",IF($BR81&lt;&gt;Constants!$B$8,"",IF($BI81="-&gt;",$BO81,$BG81)+$BU81))</f>
        <v/>
      </c>
      <c r="CQ81" s="102" t="str">
        <f aca="false">IF(ISBLANK($C81),"",IF($BR81&lt;&gt;Constants!$B$8,$BR81,$BW81))</f>
        <v/>
      </c>
      <c r="CR81" s="103" t="str">
        <f aca="false">IF(ISBLANK($C81),"",$BS81)</f>
        <v/>
      </c>
      <c r="CS81" s="104" t="str">
        <f aca="false">IF(ISBLANK($C81),"",$CH81)</f>
        <v/>
      </c>
      <c r="CT81" s="104" t="str">
        <f aca="false">IF(ISBLANK($C81),"",$CG81)</f>
        <v/>
      </c>
      <c r="CU81" s="105" t="str">
        <f aca="false">IF(ISBLANK($C81),"",IFERROR(_xlfn.SWITCH($CT81,Constants!$B$11,COUNTA($C$9:$C$508)+2,Constants!$B$10,COUNTA($C$9:$C$508)+1,Constants!$B$9,COUNTA($C$9:$C$508)),$CT81))</f>
        <v/>
      </c>
      <c r="CV81" s="9"/>
      <c r="CW81" s="106" t="n">
        <f aca="false">IF(OR(ISNUMBER($CT81),$CT81=Constants!$B$11,$CT81=Constants!$B$9,$CT81=Constants!$B$10),1,0)</f>
        <v>0</v>
      </c>
      <c r="CX81" s="106" t="n">
        <v>73</v>
      </c>
      <c r="CY81" s="106" t="str">
        <f aca="false">IF(ISBLANK($C81),"",IF(ISNUMBER($CU81),$CU81+ROW($B81)/1000,""))</f>
        <v/>
      </c>
      <c r="CZ81" s="106" t="str">
        <f aca="false">IF(ISNUMBER($CY81),RANK($CY81,$CY$9:$CY$508,1),"")</f>
        <v/>
      </c>
      <c r="DA81" s="106" t="str">
        <f aca="false">IF(ISBLANK($C81),"",$B81)</f>
        <v/>
      </c>
      <c r="DB81" s="106" t="str">
        <f aca="false">IF(ISBLANK($C81),"",$C81)</f>
        <v/>
      </c>
      <c r="DC81" s="106" t="str">
        <f aca="false">IF(ISBLANK($C81),"",$D81)</f>
        <v/>
      </c>
      <c r="DD81" s="107" t="str">
        <f aca="false">$CR81</f>
        <v/>
      </c>
      <c r="DE81" s="108" t="str">
        <f aca="false">$CQ81</f>
        <v/>
      </c>
      <c r="DF81" s="106" t="str">
        <f aca="false">IF(ISBLANK($C81),"",$CT81)</f>
        <v/>
      </c>
      <c r="DG81" s="109" t="str">
        <f aca="false">IF($CX81&gt;$CW$8,"",VLOOKUP($CX81,$CZ$9:$DF$508,7,FALSE()))</f>
        <v/>
      </c>
      <c r="DH81" s="110" t="str">
        <f aca="false">IF($CX81&gt;$CW$8,"",VLOOKUP($CX81,$CZ$9:$DF$508,2,FALSE()))</f>
        <v/>
      </c>
      <c r="DI81" s="110" t="str">
        <f aca="false">IF($CX81&gt;$CW$8,"",VLOOKUP($CX81,$CZ$9:$DF$508,3,FALSE()))</f>
        <v/>
      </c>
      <c r="DJ81" s="110" t="str">
        <f aca="false">IF($CX81&gt;$CW$8,"",VLOOKUP($CX81,$CZ$9:$DF$508,4,FALSE()))</f>
        <v/>
      </c>
      <c r="DK81" s="110" t="str">
        <f aca="false">IF($CX81&gt;$CW$8,"",VLOOKUP($CX81,$CZ$9:$DF$508,5,FALSE()))</f>
        <v/>
      </c>
      <c r="DL81" s="111" t="str">
        <f aca="false">IF($CX81&gt;$CW$8,"",VLOOKUP($CX81,$CZ$9:$DF$508,6,FALSE()))</f>
        <v/>
      </c>
      <c r="DM81" s="75"/>
    </row>
    <row r="82" customFormat="false" ht="15.75" hidden="false" customHeight="false" outlineLevel="0" collapsed="false">
      <c r="A82" s="9"/>
      <c r="B82" s="77"/>
      <c r="C82" s="78"/>
      <c r="D82" s="167"/>
      <c r="E82" s="175"/>
      <c r="F82" s="169"/>
      <c r="G82" s="170"/>
      <c r="H82" s="170"/>
      <c r="I82" s="176"/>
      <c r="J82" s="173"/>
      <c r="K82" s="85"/>
      <c r="L82" s="86"/>
      <c r="M82" s="87"/>
      <c r="N82" s="173"/>
      <c r="O82" s="173"/>
      <c r="P82" s="175"/>
      <c r="Q82" s="173"/>
      <c r="R82" s="173"/>
      <c r="S82" s="85"/>
      <c r="T82" s="87"/>
      <c r="U82" s="87"/>
      <c r="V82" s="173"/>
      <c r="W82" s="173"/>
      <c r="X82" s="175"/>
      <c r="Y82" s="173"/>
      <c r="Z82" s="174"/>
      <c r="AA82" s="173"/>
      <c r="AB82" s="91"/>
      <c r="AC82" s="92"/>
      <c r="AD82" s="92"/>
      <c r="AE82" s="92"/>
      <c r="AF82" s="92" t="str">
        <f aca="false">IF(ISBLANK($C82),"",IF(E82=Constants!$B$3,TRUE(),IF(E82=Constants!$B$4,FALSE(),TRUE())))</f>
        <v/>
      </c>
      <c r="AG82" s="92" t="str">
        <f aca="false">IF(ISBLANK($C82),"",IF(F82=Constants!$B$3,TRUE(),IF(F82=Constants!$B$4,FALSE(),TRUE())))</f>
        <v/>
      </c>
      <c r="AH82" s="92" t="str">
        <f aca="false">IF(ISBLANK($C82),"",IF(G82=Constants!$B$3,TRUE(),IF(G82=Constants!$B$4,FALSE(),TRUE())))</f>
        <v/>
      </c>
      <c r="AI82" s="92" t="str">
        <f aca="false">IF(ISBLANK($C82),"",IF(AND(ISNUMBER(H82),H82&gt;=0),H82,Constants!$B$29))</f>
        <v/>
      </c>
      <c r="AJ82" s="92" t="str">
        <f aca="false">IF(ISBLANK($C82),"",IF(I82=Constants!$B$3,TRUE(),IF(I82=Constants!$B$4,FALSE(),TRUE())))</f>
        <v/>
      </c>
      <c r="AK82" s="92" t="str">
        <f aca="false">IF(ISBLANK($C82),"",IF(J82=Constants!$B$3,TRUE(),IF(J82=Constants!$B$4,FALSE(),TRUE())))</f>
        <v/>
      </c>
      <c r="AL82" s="92" t="str">
        <f aca="false">IF(ISBLANK($C82),"",IF(K82=Constants!$B$5,TRUE(),IF(K82=Constants!$B$6,FALSE(),COUNTA(L82:P82)&gt;0)))</f>
        <v/>
      </c>
      <c r="AM82" s="94" t="str">
        <f aca="false">IF(ISBLANK($C82),"",IF(ISNUMBER(L82),IF(L82&gt;=0,L82,""),""))</f>
        <v/>
      </c>
      <c r="AN82" s="93" t="str">
        <f aca="false">IF(ISBLANK($C82),"",IF(ISNUMBER(M82),IF(M82&gt;=0,M82,""),""))</f>
        <v/>
      </c>
      <c r="AO82" s="93" t="str">
        <f aca="false">IF(ISBLANK($C82),"",IF(N82=Constants!$B$3,TRUE(),IF(N82=Constants!$B$4,FALSE(),TRUE())))</f>
        <v/>
      </c>
      <c r="AP82" s="92" t="str">
        <f aca="false">IF(ISBLANK($C82),"",IF(ISNUMBER(O82),IF(O82&gt;=0,O82,""),""))</f>
        <v/>
      </c>
      <c r="AQ82" s="92" t="str">
        <f aca="false">IF(ISBLANK($C82),"",IF(P82=Constants!$B$3,TRUE(),IF(P82=Constants!$B$4,FALSE(),FALSE())))</f>
        <v/>
      </c>
      <c r="AR82" s="92" t="str">
        <f aca="false">IF(ISBLANK($C82),"",IF(Q82=Constants!$B$3,TRUE(),IF(Q82=Constants!$B$4,FALSE(),TRUE())))</f>
        <v/>
      </c>
      <c r="AS82" s="92" t="str">
        <f aca="false">IF(ISBLANK($C82),"",IF(R82=Constants!$B$3,TRUE(),IF(R82=Constants!$B$4,FALSE(),TRUE())))</f>
        <v/>
      </c>
      <c r="AT82" s="92" t="str">
        <f aca="false">IF(ISBLANK($C82),"",IF(S82=Constants!$B$5,TRUE(),IF(S82=Constants!$B$6,FALSE(),COUNTA(T82:X82)&gt;0)))</f>
        <v/>
      </c>
      <c r="AU82" s="94" t="str">
        <f aca="false">IF(ISBLANK($C82),"",IF(ISNUMBER(T82),IF(T82&gt;=0,T82,""),""))</f>
        <v/>
      </c>
      <c r="AV82" s="93" t="str">
        <f aca="false">IF(ISBLANK($C82),"",IF(ISNUMBER(U82),IF(U82&gt;=0,U82,""),""))</f>
        <v/>
      </c>
      <c r="AW82" s="93" t="str">
        <f aca="false">IF(ISBLANK($C82),"",IF(V82=Constants!$B$3,TRUE(),IF(V82=Constants!$B$4,FALSE(),TRUE())))</f>
        <v/>
      </c>
      <c r="AX82" s="92" t="str">
        <f aca="false">IF(ISBLANK($C82),"",IF(ISNUMBER(W82),IF(W82&gt;=0,W82,""),""))</f>
        <v/>
      </c>
      <c r="AY82" s="92" t="str">
        <f aca="false">IF(ISBLANK($C82),"",IF(X82=Constants!$B$3,TRUE(),IF(X82=Constants!$B$4,FALSE(),FALSE())))</f>
        <v/>
      </c>
      <c r="AZ82" s="92" t="str">
        <f aca="false">IF(ISBLANK($C82),"",MIN(Constants!$B$31,MAX(0,IF(ISNUMBER(Y82),Y82*60,0)+IF(ISNUMBER(Z82),Z82,0))))</f>
        <v/>
      </c>
      <c r="BA82" s="92" t="str">
        <f aca="false">IF(ISBLANK($C82),"",IF(AA82=Constants!$B$3,TRUE(),IF(AA82=Constants!$B$4,FALSE(),FALSE())))</f>
        <v/>
      </c>
      <c r="BB82" s="91" t="str">
        <f aca="false">IF(ISBLANK($C82),"",AND($AL82,OR($AM82="",$AN82="",AND($AO82,$AP82=""))))</f>
        <v/>
      </c>
      <c r="BC82" s="93" t="str">
        <f aca="false">IF($BR82&lt;&gt;Constants!$B$8,"",IF($AL82,Constants!$B$21*$AN82+Constants!$B$22*IF($AO82,$AP82,Constants!$B$23),Constants!$B$24))</f>
        <v/>
      </c>
      <c r="BD82" s="96" t="str">
        <f aca="false">IF($BR82&lt;&gt;Constants!$B$8,"",Constants!$B$25*ABS($AD$9-IF($AL82,$AM82,0)))</f>
        <v/>
      </c>
      <c r="BE82" s="96" t="str">
        <f aca="false">IF($BR82&lt;&gt;Constants!$B$8,"",IF(AND($AL82,$AQ82,$AO82),Constants!$B$27,0))</f>
        <v/>
      </c>
      <c r="BF82" s="96" t="str">
        <f aca="false">IF($BR82&lt;&gt;Constants!$B$8,"",IF($AL82,($AI82-Constants!$B$29)*Constants!$B$28,0))</f>
        <v/>
      </c>
      <c r="BG82" s="96" t="str">
        <f aca="false">IF($BR82&lt;&gt;Constants!$B$8,"",IF($AK82,0,Constants!$B$15)+IF($AJ82,0,Constants!$B$16)+IF($AH82,0,Constants!$B$17))</f>
        <v/>
      </c>
      <c r="BH82" s="97" t="str">
        <f aca="false">IF($BR82&lt;&gt;Constants!$B$8,"",Constants!$B$20+SUM($BC82:$BG82))</f>
        <v/>
      </c>
      <c r="BI82" s="92" t="str">
        <f aca="false">IF($BR82&lt;&gt;Constants!$B$8,"",IF(OR($BP82&lt;$BH82,AND($BP82=$BH82,OR($BK82&lt;$BC82,AND($BK82=$BC82,OR($BL82&lt;$BD82,AND($BL82=$BD82,$AT82,$AL82,$AV82&lt;$AN82)))))),"-&gt;","&lt;-"))</f>
        <v/>
      </c>
      <c r="BJ82" s="91" t="str">
        <f aca="false">IF(ISBLANK($C82),"",AND($AT82,OR($AU82="",$AV82="",AND($AW82,$AX82=""))))</f>
        <v/>
      </c>
      <c r="BK82" s="93" t="str">
        <f aca="false">IF($BR82&lt;&gt;Constants!$B$8,"",IF($AT82,Constants!$B$21*$AV82+Constants!$B$22*IF($AW82,$AX82,Constants!$B$23),Constants!$B$24))</f>
        <v/>
      </c>
      <c r="BL82" s="96" t="str">
        <f aca="false">IF($BR82&lt;&gt;Constants!$B$8,"",Constants!$B$25*ABS($AD$9-IF($AT82,$AU82,0)))</f>
        <v/>
      </c>
      <c r="BM82" s="96" t="str">
        <f aca="false">IF($BR82&lt;&gt;Constants!$B$8,"",IF(AND($AT82,$AY82,$AW82),Constants!$B$27,0))</f>
        <v/>
      </c>
      <c r="BN82" s="96" t="str">
        <f aca="false">IF($BR82&lt;&gt;Constants!$B$8,"",IF($AT82,($AI82-Constants!$B$29)*Constants!$B$28,0))</f>
        <v/>
      </c>
      <c r="BO82" s="96" t="str">
        <f aca="false">IF($BR82&lt;&gt;Constants!$B$8,"",IF($AS82,0,Constants!$B$15)+IF($AR82,0,Constants!$B$16)+IF($AH82,0,Constants!$B$17))</f>
        <v/>
      </c>
      <c r="BP82" s="97" t="str">
        <f aca="false">IF($BR82&lt;&gt;Constants!$B$8,"",Constants!$B$20+SUM($BK82:$BO82))</f>
        <v/>
      </c>
      <c r="BQ82" s="92" t="str">
        <f aca="false">IF(ISBLANK($C82),"",IF(ISBLANK($D$7),$BQ$5,IF(NOT(ISNUMBER($D$7)),$BQ$6,"")))</f>
        <v/>
      </c>
      <c r="BR82" s="92" t="str">
        <f aca="false">IF(ISBLANK($C82),"",IF($BA82,Constants!$B$11,IF(COUNTA($E82:$AA82)=0,Constants!$B$10,IF(NOT($AG82),Constants!$B$9,IF(OR($BQ82&lt;&gt;"",$BB82,$BJ82),Constants!$B$12,Constants!$B$8)))))</f>
        <v/>
      </c>
      <c r="BS82" s="92" t="str">
        <f aca="false">IF(ISBLANK($C82),"",IF($BR82&lt;&gt;Constants!$B$8,$BR82,Constants!$B$13))</f>
        <v/>
      </c>
      <c r="BT82" s="96" t="str">
        <f aca="false">IF($BR82&lt;&gt;Constants!$B$8,"",IF($BI82="-&gt;",$BP82,$BH82))</f>
        <v/>
      </c>
      <c r="BU82" s="96" t="str">
        <f aca="false">IF($BR82&lt;&gt;Constants!$B$8,"",IF($AF82,0,Constants!$B$18))</f>
        <v/>
      </c>
      <c r="BV82" s="96" t="str">
        <f aca="false">IF($BR82&lt;&gt;Constants!$B$8,"",((Constants!$B$31-$AZ82)-Constants!$B$31)/Constants!$B$32)</f>
        <v/>
      </c>
      <c r="BW82" s="96" t="str">
        <f aca="false">IF(ISBLANK($C82),"",IF($BR82&lt;&gt;Constants!$B$8,$BR82,SUM($BT82:$BV82)))</f>
        <v/>
      </c>
      <c r="BX82" s="92" t="str">
        <f aca="false">IF(ISBLANK($C82),"",IF($BR82&lt;&gt;Constants!$B$8,$BR82,RANK($BW82,$BW$9:$BW$508,1)))</f>
        <v/>
      </c>
      <c r="BY82" s="96" t="str">
        <f aca="false">IF($BR82&lt;&gt;Constants!$B$8,"",IF($BI82="-&gt;",$BK82,$BC82))</f>
        <v/>
      </c>
      <c r="BZ82" s="92" t="str">
        <f aca="false">IF(ISBLANK($C82),"",IF($BR82&lt;&gt;Constants!$B$8,$BR82,IF(ISNUMBER($BY82),RANK($BY82,$BY$9:$BY$508,1),COUNT($BY$9:$BY$508)+1)))</f>
        <v/>
      </c>
      <c r="CA82" s="96" t="str">
        <f aca="false">IF($BR82&lt;&gt;Constants!$B$8,"",IF($BI82="-&gt;",$BL82,$BD82))</f>
        <v/>
      </c>
      <c r="CB82" s="92" t="str">
        <f aca="false">IF(ISBLANK($C82),"",IF($BR82&lt;&gt;Constants!$B$8,$BR82,IF(ISNUMBER($CA82),RANK($CA82,$CA$9:$CA$508,1),COUNT($CA$9:$CA$508)+1)))</f>
        <v/>
      </c>
      <c r="CC82" s="96" t="str">
        <f aca="false">IF($BR82&lt;&gt;Constants!$B$8,"",IF($BI82="-&gt;",IF($AT82,$AV82,""),IF($AL82,$AN82,"")))</f>
        <v/>
      </c>
      <c r="CD82" s="92" t="str">
        <f aca="false">IF(ISBLANK($C82),"",IF($BR82&lt;&gt;Constants!$B$8,$BR82,IF(ISNUMBER($CC82),RANK($CC82,$CC$9:$CC$508,1),COUNT($CC$9:$CC$508)+1)))</f>
        <v/>
      </c>
      <c r="CE82" s="96" t="str">
        <f aca="false">IF($BR82&lt;&gt;Constants!$B$8,"",IF(AND(NOT($AL82),NOT($AT82),$AJ82,$AK82,$AR82,$AS82),"",$AI82))</f>
        <v/>
      </c>
      <c r="CF82" s="92" t="str">
        <f aca="false">IF(ISBLANK($C82),"",IF($BR82&lt;&gt;Constants!$B$8,$BR82,IF(ISNUMBER($CE82),RANK($CE82,$CE$9:$CE$508,1),COUNT($CE$9:$CE$508)+1)))</f>
        <v/>
      </c>
      <c r="CG82" s="92" t="str">
        <f aca="false">IF(ISBLANK($C82),"",IF($BR82&lt;&gt;Constants!$B$8,$BR82,COUNTIFS($BX$9:$BX$508,"&lt;"&amp;$BX82)+COUNTIFS($BX$9:$BX$508,$BX82,$BZ$9:$BZ$508,"&lt;"&amp;$BZ82)+COUNTIFS($BX$9:$BX$508,$BX82,$BZ$9:$BZ$508,$BZ82,$CB$9:$CB$508,"&lt;"&amp;$CB82)+COUNTIFS($BX$9:$BX$508,$BX82,$BZ$9:$BZ$508,$BZ82,$CB$9:$CB$508,$CB82,$CD$9:$CD$508,"&lt;"&amp;$CD82)+COUNTIFS($BX$9:$BX$508,$BX82,$BZ$9:$BZ$508,$BZ82,$CB$9:$CB$508,$CB82,$CD$9:$CD$508,$CD82,$CF$9:$CF$508,"&lt;"&amp;$CF82)+1))</f>
        <v/>
      </c>
      <c r="CH82" s="92" t="str">
        <f aca="false">IF(ISBLANK($C82),"",IF($BR82&lt;&gt;Constants!$B$8,$BR82,$BX82-$CG82))</f>
        <v/>
      </c>
      <c r="CI82" s="98"/>
      <c r="CJ82" s="99"/>
      <c r="CK82" s="100" t="str">
        <f aca="false">IF(ISBLANK($C82),"",IF($BR82=Constants!$B$12,$BQ82,""))</f>
        <v/>
      </c>
      <c r="CL82" s="99" t="str">
        <f aca="false">IF(ISBLANK($C82),"",IF($BR82&lt;&gt;Constants!$B$8,"",IF($BI82="-&gt;",2,1)))</f>
        <v/>
      </c>
      <c r="CM82" s="101" t="str">
        <f aca="false">IF(ISBLANK($C82),"",IF($BR82&lt;&gt;Constants!$B$8,"",IF($BI82="-&gt;",$BK82,$BC82)))</f>
        <v/>
      </c>
      <c r="CN82" s="101" t="str">
        <f aca="false">IF(ISBLANK($C82),"",IF($BR82&lt;&gt;Constants!$B$8,"",IF($BI82="-&gt;",$BL82,$BD82)))</f>
        <v/>
      </c>
      <c r="CO82" s="101" t="str">
        <f aca="false">IF(ISBLANK($C82),"",IF($BR82&lt;&gt;Constants!$B$8,"",IF($BI82="-&gt;",$BM82+$BN82,$BE82+$BF82)+$BV82))</f>
        <v/>
      </c>
      <c r="CP82" s="101" t="str">
        <f aca="false">IF(ISBLANK($C82),"",IF($BR82&lt;&gt;Constants!$B$8,"",IF($BI82="-&gt;",$BO82,$BG82)+$BU82))</f>
        <v/>
      </c>
      <c r="CQ82" s="102" t="str">
        <f aca="false">IF(ISBLANK($C82),"",IF($BR82&lt;&gt;Constants!$B$8,$BR82,$BW82))</f>
        <v/>
      </c>
      <c r="CR82" s="103" t="str">
        <f aca="false">IF(ISBLANK($C82),"",$BS82)</f>
        <v/>
      </c>
      <c r="CS82" s="104" t="str">
        <f aca="false">IF(ISBLANK($C82),"",$CH82)</f>
        <v/>
      </c>
      <c r="CT82" s="104" t="str">
        <f aca="false">IF(ISBLANK($C82),"",$CG82)</f>
        <v/>
      </c>
      <c r="CU82" s="105" t="str">
        <f aca="false">IF(ISBLANK($C82),"",IFERROR(_xlfn.SWITCH($CT82,Constants!$B$11,COUNTA($C$9:$C$508)+2,Constants!$B$10,COUNTA($C$9:$C$508)+1,Constants!$B$9,COUNTA($C$9:$C$508)),$CT82))</f>
        <v/>
      </c>
      <c r="CV82" s="9"/>
      <c r="CW82" s="106" t="n">
        <f aca="false">IF(OR(ISNUMBER($CT82),$CT82=Constants!$B$11,$CT82=Constants!$B$9,$CT82=Constants!$B$10),1,0)</f>
        <v>0</v>
      </c>
      <c r="CX82" s="106" t="n">
        <v>74</v>
      </c>
      <c r="CY82" s="106" t="str">
        <f aca="false">IF(ISBLANK($C82),"",IF(ISNUMBER($CU82),$CU82+ROW($B82)/1000,""))</f>
        <v/>
      </c>
      <c r="CZ82" s="106" t="str">
        <f aca="false">IF(ISNUMBER($CY82),RANK($CY82,$CY$9:$CY$508,1),"")</f>
        <v/>
      </c>
      <c r="DA82" s="106" t="str">
        <f aca="false">IF(ISBLANK($C82),"",$B82)</f>
        <v/>
      </c>
      <c r="DB82" s="106" t="str">
        <f aca="false">IF(ISBLANK($C82),"",$C82)</f>
        <v/>
      </c>
      <c r="DC82" s="106" t="str">
        <f aca="false">IF(ISBLANK($C82),"",$D82)</f>
        <v/>
      </c>
      <c r="DD82" s="107" t="str">
        <f aca="false">$CR82</f>
        <v/>
      </c>
      <c r="DE82" s="108" t="str">
        <f aca="false">$CQ82</f>
        <v/>
      </c>
      <c r="DF82" s="106" t="str">
        <f aca="false">IF(ISBLANK($C82),"",$CT82)</f>
        <v/>
      </c>
      <c r="DG82" s="109" t="str">
        <f aca="false">IF($CX82&gt;$CW$8,"",VLOOKUP($CX82,$CZ$9:$DF$508,7,FALSE()))</f>
        <v/>
      </c>
      <c r="DH82" s="110" t="str">
        <f aca="false">IF($CX82&gt;$CW$8,"",VLOOKUP($CX82,$CZ$9:$DF$508,2,FALSE()))</f>
        <v/>
      </c>
      <c r="DI82" s="110" t="str">
        <f aca="false">IF($CX82&gt;$CW$8,"",VLOOKUP($CX82,$CZ$9:$DF$508,3,FALSE()))</f>
        <v/>
      </c>
      <c r="DJ82" s="110" t="str">
        <f aca="false">IF($CX82&gt;$CW$8,"",VLOOKUP($CX82,$CZ$9:$DF$508,4,FALSE()))</f>
        <v/>
      </c>
      <c r="DK82" s="110" t="str">
        <f aca="false">IF($CX82&gt;$CW$8,"",VLOOKUP($CX82,$CZ$9:$DF$508,5,FALSE()))</f>
        <v/>
      </c>
      <c r="DL82" s="111" t="str">
        <f aca="false">IF($CX82&gt;$CW$8,"",VLOOKUP($CX82,$CZ$9:$DF$508,6,FALSE()))</f>
        <v/>
      </c>
      <c r="DM82" s="75"/>
    </row>
    <row r="83" customFormat="false" ht="15.75" hidden="false" customHeight="false" outlineLevel="0" collapsed="false">
      <c r="A83" s="9"/>
      <c r="B83" s="77"/>
      <c r="C83" s="78"/>
      <c r="D83" s="167"/>
      <c r="E83" s="175"/>
      <c r="F83" s="169"/>
      <c r="G83" s="170"/>
      <c r="H83" s="170"/>
      <c r="I83" s="176"/>
      <c r="J83" s="173"/>
      <c r="K83" s="85"/>
      <c r="L83" s="86"/>
      <c r="M83" s="87"/>
      <c r="N83" s="173"/>
      <c r="O83" s="173"/>
      <c r="P83" s="175"/>
      <c r="Q83" s="173"/>
      <c r="R83" s="173"/>
      <c r="S83" s="85"/>
      <c r="T83" s="87"/>
      <c r="U83" s="87"/>
      <c r="V83" s="173"/>
      <c r="W83" s="173"/>
      <c r="X83" s="175"/>
      <c r="Y83" s="173"/>
      <c r="Z83" s="174"/>
      <c r="AA83" s="173"/>
      <c r="AB83" s="91"/>
      <c r="AC83" s="92"/>
      <c r="AD83" s="92"/>
      <c r="AE83" s="92"/>
      <c r="AF83" s="92" t="str">
        <f aca="false">IF(ISBLANK($C83),"",IF(E83=Constants!$B$3,TRUE(),IF(E83=Constants!$B$4,FALSE(),TRUE())))</f>
        <v/>
      </c>
      <c r="AG83" s="92" t="str">
        <f aca="false">IF(ISBLANK($C83),"",IF(F83=Constants!$B$3,TRUE(),IF(F83=Constants!$B$4,FALSE(),TRUE())))</f>
        <v/>
      </c>
      <c r="AH83" s="92" t="str">
        <f aca="false">IF(ISBLANK($C83),"",IF(G83=Constants!$B$3,TRUE(),IF(G83=Constants!$B$4,FALSE(),TRUE())))</f>
        <v/>
      </c>
      <c r="AI83" s="92" t="str">
        <f aca="false">IF(ISBLANK($C83),"",IF(AND(ISNUMBER(H83),H83&gt;=0),H83,Constants!$B$29))</f>
        <v/>
      </c>
      <c r="AJ83" s="92" t="str">
        <f aca="false">IF(ISBLANK($C83),"",IF(I83=Constants!$B$3,TRUE(),IF(I83=Constants!$B$4,FALSE(),TRUE())))</f>
        <v/>
      </c>
      <c r="AK83" s="92" t="str">
        <f aca="false">IF(ISBLANK($C83),"",IF(J83=Constants!$B$3,TRUE(),IF(J83=Constants!$B$4,FALSE(),TRUE())))</f>
        <v/>
      </c>
      <c r="AL83" s="92" t="str">
        <f aca="false">IF(ISBLANK($C83),"",IF(K83=Constants!$B$5,TRUE(),IF(K83=Constants!$B$6,FALSE(),COUNTA(L83:P83)&gt;0)))</f>
        <v/>
      </c>
      <c r="AM83" s="94" t="str">
        <f aca="false">IF(ISBLANK($C83),"",IF(ISNUMBER(L83),IF(L83&gt;=0,L83,""),""))</f>
        <v/>
      </c>
      <c r="AN83" s="93" t="str">
        <f aca="false">IF(ISBLANK($C83),"",IF(ISNUMBER(M83),IF(M83&gt;=0,M83,""),""))</f>
        <v/>
      </c>
      <c r="AO83" s="93" t="str">
        <f aca="false">IF(ISBLANK($C83),"",IF(N83=Constants!$B$3,TRUE(),IF(N83=Constants!$B$4,FALSE(),TRUE())))</f>
        <v/>
      </c>
      <c r="AP83" s="92" t="str">
        <f aca="false">IF(ISBLANK($C83),"",IF(ISNUMBER(O83),IF(O83&gt;=0,O83,""),""))</f>
        <v/>
      </c>
      <c r="AQ83" s="92" t="str">
        <f aca="false">IF(ISBLANK($C83),"",IF(P83=Constants!$B$3,TRUE(),IF(P83=Constants!$B$4,FALSE(),FALSE())))</f>
        <v/>
      </c>
      <c r="AR83" s="92" t="str">
        <f aca="false">IF(ISBLANK($C83),"",IF(Q83=Constants!$B$3,TRUE(),IF(Q83=Constants!$B$4,FALSE(),TRUE())))</f>
        <v/>
      </c>
      <c r="AS83" s="92" t="str">
        <f aca="false">IF(ISBLANK($C83),"",IF(R83=Constants!$B$3,TRUE(),IF(R83=Constants!$B$4,FALSE(),TRUE())))</f>
        <v/>
      </c>
      <c r="AT83" s="92" t="str">
        <f aca="false">IF(ISBLANK($C83),"",IF(S83=Constants!$B$5,TRUE(),IF(S83=Constants!$B$6,FALSE(),COUNTA(T83:X83)&gt;0)))</f>
        <v/>
      </c>
      <c r="AU83" s="94" t="str">
        <f aca="false">IF(ISBLANK($C83),"",IF(ISNUMBER(T83),IF(T83&gt;=0,T83,""),""))</f>
        <v/>
      </c>
      <c r="AV83" s="93" t="str">
        <f aca="false">IF(ISBLANK($C83),"",IF(ISNUMBER(U83),IF(U83&gt;=0,U83,""),""))</f>
        <v/>
      </c>
      <c r="AW83" s="93" t="str">
        <f aca="false">IF(ISBLANK($C83),"",IF(V83=Constants!$B$3,TRUE(),IF(V83=Constants!$B$4,FALSE(),TRUE())))</f>
        <v/>
      </c>
      <c r="AX83" s="92" t="str">
        <f aca="false">IF(ISBLANK($C83),"",IF(ISNUMBER(W83),IF(W83&gt;=0,W83,""),""))</f>
        <v/>
      </c>
      <c r="AY83" s="92" t="str">
        <f aca="false">IF(ISBLANK($C83),"",IF(X83=Constants!$B$3,TRUE(),IF(X83=Constants!$B$4,FALSE(),FALSE())))</f>
        <v/>
      </c>
      <c r="AZ83" s="92" t="str">
        <f aca="false">IF(ISBLANK($C83),"",MIN(Constants!$B$31,MAX(0,IF(ISNUMBER(Y83),Y83*60,0)+IF(ISNUMBER(Z83),Z83,0))))</f>
        <v/>
      </c>
      <c r="BA83" s="92" t="str">
        <f aca="false">IF(ISBLANK($C83),"",IF(AA83=Constants!$B$3,TRUE(),IF(AA83=Constants!$B$4,FALSE(),FALSE())))</f>
        <v/>
      </c>
      <c r="BB83" s="91" t="str">
        <f aca="false">IF(ISBLANK($C83),"",AND($AL83,OR($AM83="",$AN83="",AND($AO83,$AP83=""))))</f>
        <v/>
      </c>
      <c r="BC83" s="93" t="str">
        <f aca="false">IF($BR83&lt;&gt;Constants!$B$8,"",IF($AL83,Constants!$B$21*$AN83+Constants!$B$22*IF($AO83,$AP83,Constants!$B$23),Constants!$B$24))</f>
        <v/>
      </c>
      <c r="BD83" s="96" t="str">
        <f aca="false">IF($BR83&lt;&gt;Constants!$B$8,"",Constants!$B$25*ABS($AD$9-IF($AL83,$AM83,0)))</f>
        <v/>
      </c>
      <c r="BE83" s="96" t="str">
        <f aca="false">IF($BR83&lt;&gt;Constants!$B$8,"",IF(AND($AL83,$AQ83,$AO83),Constants!$B$27,0))</f>
        <v/>
      </c>
      <c r="BF83" s="96" t="str">
        <f aca="false">IF($BR83&lt;&gt;Constants!$B$8,"",IF($AL83,($AI83-Constants!$B$29)*Constants!$B$28,0))</f>
        <v/>
      </c>
      <c r="BG83" s="96" t="str">
        <f aca="false">IF($BR83&lt;&gt;Constants!$B$8,"",IF($AK83,0,Constants!$B$15)+IF($AJ83,0,Constants!$B$16)+IF($AH83,0,Constants!$B$17))</f>
        <v/>
      </c>
      <c r="BH83" s="97" t="str">
        <f aca="false">IF($BR83&lt;&gt;Constants!$B$8,"",Constants!$B$20+SUM($BC83:$BG83))</f>
        <v/>
      </c>
      <c r="BI83" s="92" t="str">
        <f aca="false">IF($BR83&lt;&gt;Constants!$B$8,"",IF(OR($BP83&lt;$BH83,AND($BP83=$BH83,OR($BK83&lt;$BC83,AND($BK83=$BC83,OR($BL83&lt;$BD83,AND($BL83=$BD83,$AT83,$AL83,$AV83&lt;$AN83)))))),"-&gt;","&lt;-"))</f>
        <v/>
      </c>
      <c r="BJ83" s="91" t="str">
        <f aca="false">IF(ISBLANK($C83),"",AND($AT83,OR($AU83="",$AV83="",AND($AW83,$AX83=""))))</f>
        <v/>
      </c>
      <c r="BK83" s="93" t="str">
        <f aca="false">IF($BR83&lt;&gt;Constants!$B$8,"",IF($AT83,Constants!$B$21*$AV83+Constants!$B$22*IF($AW83,$AX83,Constants!$B$23),Constants!$B$24))</f>
        <v/>
      </c>
      <c r="BL83" s="96" t="str">
        <f aca="false">IF($BR83&lt;&gt;Constants!$B$8,"",Constants!$B$25*ABS($AD$9-IF($AT83,$AU83,0)))</f>
        <v/>
      </c>
      <c r="BM83" s="96" t="str">
        <f aca="false">IF($BR83&lt;&gt;Constants!$B$8,"",IF(AND($AT83,$AY83,$AW83),Constants!$B$27,0))</f>
        <v/>
      </c>
      <c r="BN83" s="96" t="str">
        <f aca="false">IF($BR83&lt;&gt;Constants!$B$8,"",IF($AT83,($AI83-Constants!$B$29)*Constants!$B$28,0))</f>
        <v/>
      </c>
      <c r="BO83" s="96" t="str">
        <f aca="false">IF($BR83&lt;&gt;Constants!$B$8,"",IF($AS83,0,Constants!$B$15)+IF($AR83,0,Constants!$B$16)+IF($AH83,0,Constants!$B$17))</f>
        <v/>
      </c>
      <c r="BP83" s="97" t="str">
        <f aca="false">IF($BR83&lt;&gt;Constants!$B$8,"",Constants!$B$20+SUM($BK83:$BO83))</f>
        <v/>
      </c>
      <c r="BQ83" s="92" t="str">
        <f aca="false">IF(ISBLANK($C83),"",IF(ISBLANK($D$7),$BQ$5,IF(NOT(ISNUMBER($D$7)),$BQ$6,"")))</f>
        <v/>
      </c>
      <c r="BR83" s="92" t="str">
        <f aca="false">IF(ISBLANK($C83),"",IF($BA83,Constants!$B$11,IF(COUNTA($E83:$AA83)=0,Constants!$B$10,IF(NOT($AG83),Constants!$B$9,IF(OR($BQ83&lt;&gt;"",$BB83,$BJ83),Constants!$B$12,Constants!$B$8)))))</f>
        <v/>
      </c>
      <c r="BS83" s="92" t="str">
        <f aca="false">IF(ISBLANK($C83),"",IF($BR83&lt;&gt;Constants!$B$8,$BR83,Constants!$B$13))</f>
        <v/>
      </c>
      <c r="BT83" s="96" t="str">
        <f aca="false">IF($BR83&lt;&gt;Constants!$B$8,"",IF($BI83="-&gt;",$BP83,$BH83))</f>
        <v/>
      </c>
      <c r="BU83" s="96" t="str">
        <f aca="false">IF($BR83&lt;&gt;Constants!$B$8,"",IF($AF83,0,Constants!$B$18))</f>
        <v/>
      </c>
      <c r="BV83" s="96" t="str">
        <f aca="false">IF($BR83&lt;&gt;Constants!$B$8,"",((Constants!$B$31-$AZ83)-Constants!$B$31)/Constants!$B$32)</f>
        <v/>
      </c>
      <c r="BW83" s="96" t="str">
        <f aca="false">IF(ISBLANK($C83),"",IF($BR83&lt;&gt;Constants!$B$8,$BR83,SUM($BT83:$BV83)))</f>
        <v/>
      </c>
      <c r="BX83" s="92" t="str">
        <f aca="false">IF(ISBLANK($C83),"",IF($BR83&lt;&gt;Constants!$B$8,$BR83,RANK($BW83,$BW$9:$BW$508,1)))</f>
        <v/>
      </c>
      <c r="BY83" s="96" t="str">
        <f aca="false">IF($BR83&lt;&gt;Constants!$B$8,"",IF($BI83="-&gt;",$BK83,$BC83))</f>
        <v/>
      </c>
      <c r="BZ83" s="92" t="str">
        <f aca="false">IF(ISBLANK($C83),"",IF($BR83&lt;&gt;Constants!$B$8,$BR83,IF(ISNUMBER($BY83),RANK($BY83,$BY$9:$BY$508,1),COUNT($BY$9:$BY$508)+1)))</f>
        <v/>
      </c>
      <c r="CA83" s="96" t="str">
        <f aca="false">IF($BR83&lt;&gt;Constants!$B$8,"",IF($BI83="-&gt;",$BL83,$BD83))</f>
        <v/>
      </c>
      <c r="CB83" s="92" t="str">
        <f aca="false">IF(ISBLANK($C83),"",IF($BR83&lt;&gt;Constants!$B$8,$BR83,IF(ISNUMBER($CA83),RANK($CA83,$CA$9:$CA$508,1),COUNT($CA$9:$CA$508)+1)))</f>
        <v/>
      </c>
      <c r="CC83" s="96" t="str">
        <f aca="false">IF($BR83&lt;&gt;Constants!$B$8,"",IF($BI83="-&gt;",IF($AT83,$AV83,""),IF($AL83,$AN83,"")))</f>
        <v/>
      </c>
      <c r="CD83" s="92" t="str">
        <f aca="false">IF(ISBLANK($C83),"",IF($BR83&lt;&gt;Constants!$B$8,$BR83,IF(ISNUMBER($CC83),RANK($CC83,$CC$9:$CC$508,1),COUNT($CC$9:$CC$508)+1)))</f>
        <v/>
      </c>
      <c r="CE83" s="96" t="str">
        <f aca="false">IF($BR83&lt;&gt;Constants!$B$8,"",IF(AND(NOT($AL83),NOT($AT83),$AJ83,$AK83,$AR83,$AS83),"",$AI83))</f>
        <v/>
      </c>
      <c r="CF83" s="92" t="str">
        <f aca="false">IF(ISBLANK($C83),"",IF($BR83&lt;&gt;Constants!$B$8,$BR83,IF(ISNUMBER($CE83),RANK($CE83,$CE$9:$CE$508,1),COUNT($CE$9:$CE$508)+1)))</f>
        <v/>
      </c>
      <c r="CG83" s="92" t="str">
        <f aca="false">IF(ISBLANK($C83),"",IF($BR83&lt;&gt;Constants!$B$8,$BR83,COUNTIFS($BX$9:$BX$508,"&lt;"&amp;$BX83)+COUNTIFS($BX$9:$BX$508,$BX83,$BZ$9:$BZ$508,"&lt;"&amp;$BZ83)+COUNTIFS($BX$9:$BX$508,$BX83,$BZ$9:$BZ$508,$BZ83,$CB$9:$CB$508,"&lt;"&amp;$CB83)+COUNTIFS($BX$9:$BX$508,$BX83,$BZ$9:$BZ$508,$BZ83,$CB$9:$CB$508,$CB83,$CD$9:$CD$508,"&lt;"&amp;$CD83)+COUNTIFS($BX$9:$BX$508,$BX83,$BZ$9:$BZ$508,$BZ83,$CB$9:$CB$508,$CB83,$CD$9:$CD$508,$CD83,$CF$9:$CF$508,"&lt;"&amp;$CF83)+1))</f>
        <v/>
      </c>
      <c r="CH83" s="92" t="str">
        <f aca="false">IF(ISBLANK($C83),"",IF($BR83&lt;&gt;Constants!$B$8,$BR83,$BX83-$CG83))</f>
        <v/>
      </c>
      <c r="CI83" s="98"/>
      <c r="CJ83" s="99"/>
      <c r="CK83" s="100" t="str">
        <f aca="false">IF(ISBLANK($C83),"",IF($BR83=Constants!$B$12,$BQ83,""))</f>
        <v/>
      </c>
      <c r="CL83" s="99" t="str">
        <f aca="false">IF(ISBLANK($C83),"",IF($BR83&lt;&gt;Constants!$B$8,"",IF($BI83="-&gt;",2,1)))</f>
        <v/>
      </c>
      <c r="CM83" s="101" t="str">
        <f aca="false">IF(ISBLANK($C83),"",IF($BR83&lt;&gt;Constants!$B$8,"",IF($BI83="-&gt;",$BK83,$BC83)))</f>
        <v/>
      </c>
      <c r="CN83" s="101" t="str">
        <f aca="false">IF(ISBLANK($C83),"",IF($BR83&lt;&gt;Constants!$B$8,"",IF($BI83="-&gt;",$BL83,$BD83)))</f>
        <v/>
      </c>
      <c r="CO83" s="101" t="str">
        <f aca="false">IF(ISBLANK($C83),"",IF($BR83&lt;&gt;Constants!$B$8,"",IF($BI83="-&gt;",$BM83+$BN83,$BE83+$BF83)+$BV83))</f>
        <v/>
      </c>
      <c r="CP83" s="101" t="str">
        <f aca="false">IF(ISBLANK($C83),"",IF($BR83&lt;&gt;Constants!$B$8,"",IF($BI83="-&gt;",$BO83,$BG83)+$BU83))</f>
        <v/>
      </c>
      <c r="CQ83" s="102" t="str">
        <f aca="false">IF(ISBLANK($C83),"",IF($BR83&lt;&gt;Constants!$B$8,$BR83,$BW83))</f>
        <v/>
      </c>
      <c r="CR83" s="103" t="str">
        <f aca="false">IF(ISBLANK($C83),"",$BS83)</f>
        <v/>
      </c>
      <c r="CS83" s="104" t="str">
        <f aca="false">IF(ISBLANK($C83),"",$CH83)</f>
        <v/>
      </c>
      <c r="CT83" s="104" t="str">
        <f aca="false">IF(ISBLANK($C83),"",$CG83)</f>
        <v/>
      </c>
      <c r="CU83" s="105" t="str">
        <f aca="false">IF(ISBLANK($C83),"",IFERROR(_xlfn.SWITCH($CT83,Constants!$B$11,COUNTA($C$9:$C$508)+2,Constants!$B$10,COUNTA($C$9:$C$508)+1,Constants!$B$9,COUNTA($C$9:$C$508)),$CT83))</f>
        <v/>
      </c>
      <c r="CV83" s="9"/>
      <c r="CW83" s="106" t="n">
        <f aca="false">IF(OR(ISNUMBER($CT83),$CT83=Constants!$B$11,$CT83=Constants!$B$9,$CT83=Constants!$B$10),1,0)</f>
        <v>0</v>
      </c>
      <c r="CX83" s="106" t="n">
        <v>75</v>
      </c>
      <c r="CY83" s="106" t="str">
        <f aca="false">IF(ISBLANK($C83),"",IF(ISNUMBER($CU83),$CU83+ROW($B83)/1000,""))</f>
        <v/>
      </c>
      <c r="CZ83" s="106" t="str">
        <f aca="false">IF(ISNUMBER($CY83),RANK($CY83,$CY$9:$CY$508,1),"")</f>
        <v/>
      </c>
      <c r="DA83" s="106" t="str">
        <f aca="false">IF(ISBLANK($C83),"",$B83)</f>
        <v/>
      </c>
      <c r="DB83" s="106" t="str">
        <f aca="false">IF(ISBLANK($C83),"",$C83)</f>
        <v/>
      </c>
      <c r="DC83" s="106" t="str">
        <f aca="false">IF(ISBLANK($C83),"",$D83)</f>
        <v/>
      </c>
      <c r="DD83" s="107" t="str">
        <f aca="false">$CR83</f>
        <v/>
      </c>
      <c r="DE83" s="108" t="str">
        <f aca="false">$CQ83</f>
        <v/>
      </c>
      <c r="DF83" s="106" t="str">
        <f aca="false">IF(ISBLANK($C83),"",$CT83)</f>
        <v/>
      </c>
      <c r="DG83" s="109" t="str">
        <f aca="false">IF($CX83&gt;$CW$8,"",VLOOKUP($CX83,$CZ$9:$DF$508,7,FALSE()))</f>
        <v/>
      </c>
      <c r="DH83" s="110" t="str">
        <f aca="false">IF($CX83&gt;$CW$8,"",VLOOKUP($CX83,$CZ$9:$DF$508,2,FALSE()))</f>
        <v/>
      </c>
      <c r="DI83" s="110" t="str">
        <f aca="false">IF($CX83&gt;$CW$8,"",VLOOKUP($CX83,$CZ$9:$DF$508,3,FALSE()))</f>
        <v/>
      </c>
      <c r="DJ83" s="110" t="str">
        <f aca="false">IF($CX83&gt;$CW$8,"",VLOOKUP($CX83,$CZ$9:$DF$508,4,FALSE()))</f>
        <v/>
      </c>
      <c r="DK83" s="110" t="str">
        <f aca="false">IF($CX83&gt;$CW$8,"",VLOOKUP($CX83,$CZ$9:$DF$508,5,FALSE()))</f>
        <v/>
      </c>
      <c r="DL83" s="111" t="str">
        <f aca="false">IF($CX83&gt;$CW$8,"",VLOOKUP($CX83,$CZ$9:$DF$508,6,FALSE()))</f>
        <v/>
      </c>
      <c r="DM83" s="75"/>
    </row>
    <row r="84" customFormat="false" ht="15.75" hidden="false" customHeight="false" outlineLevel="0" collapsed="false">
      <c r="A84" s="9"/>
      <c r="B84" s="157"/>
      <c r="C84" s="158"/>
      <c r="D84" s="159"/>
      <c r="E84" s="177"/>
      <c r="F84" s="161"/>
      <c r="G84" s="162"/>
      <c r="H84" s="162"/>
      <c r="I84" s="178"/>
      <c r="J84" s="165"/>
      <c r="K84" s="126"/>
      <c r="L84" s="127"/>
      <c r="M84" s="128"/>
      <c r="N84" s="165"/>
      <c r="O84" s="165"/>
      <c r="P84" s="177"/>
      <c r="Q84" s="165"/>
      <c r="R84" s="165"/>
      <c r="S84" s="126"/>
      <c r="T84" s="128"/>
      <c r="U84" s="128"/>
      <c r="V84" s="165"/>
      <c r="W84" s="165"/>
      <c r="X84" s="177"/>
      <c r="Y84" s="165"/>
      <c r="Z84" s="166"/>
      <c r="AA84" s="165"/>
      <c r="AB84" s="132"/>
      <c r="AC84" s="133"/>
      <c r="AD84" s="133"/>
      <c r="AE84" s="133"/>
      <c r="AF84" s="133" t="str">
        <f aca="false">IF(ISBLANK($C84),"",IF(E84=Constants!$B$3,TRUE(),IF(E84=Constants!$B$4,FALSE(),TRUE())))</f>
        <v/>
      </c>
      <c r="AG84" s="133" t="str">
        <f aca="false">IF(ISBLANK($C84),"",IF(F84=Constants!$B$3,TRUE(),IF(F84=Constants!$B$4,FALSE(),TRUE())))</f>
        <v/>
      </c>
      <c r="AH84" s="133" t="str">
        <f aca="false">IF(ISBLANK($C84),"",IF(G84=Constants!$B$3,TRUE(),IF(G84=Constants!$B$4,FALSE(),TRUE())))</f>
        <v/>
      </c>
      <c r="AI84" s="133" t="str">
        <f aca="false">IF(ISBLANK($C84),"",IF(AND(ISNUMBER(H84),H84&gt;=0),H84,Constants!$B$29))</f>
        <v/>
      </c>
      <c r="AJ84" s="133" t="str">
        <f aca="false">IF(ISBLANK($C84),"",IF(I84=Constants!$B$3,TRUE(),IF(I84=Constants!$B$4,FALSE(),TRUE())))</f>
        <v/>
      </c>
      <c r="AK84" s="133" t="str">
        <f aca="false">IF(ISBLANK($C84),"",IF(J84=Constants!$B$3,TRUE(),IF(J84=Constants!$B$4,FALSE(),TRUE())))</f>
        <v/>
      </c>
      <c r="AL84" s="133" t="str">
        <f aca="false">IF(ISBLANK($C84),"",IF(K84=Constants!$B$5,TRUE(),IF(K84=Constants!$B$6,FALSE(),COUNTA(L84:P84)&gt;0)))</f>
        <v/>
      </c>
      <c r="AM84" s="134" t="str">
        <f aca="false">IF(ISBLANK($C84),"",IF(ISNUMBER(L84),IF(L84&gt;=0,L84,""),""))</f>
        <v/>
      </c>
      <c r="AN84" s="135" t="str">
        <f aca="false">IF(ISBLANK($C84),"",IF(ISNUMBER(M84),IF(M84&gt;=0,M84,""),""))</f>
        <v/>
      </c>
      <c r="AO84" s="135" t="str">
        <f aca="false">IF(ISBLANK($C84),"",IF(N84=Constants!$B$3,TRUE(),IF(N84=Constants!$B$4,FALSE(),TRUE())))</f>
        <v/>
      </c>
      <c r="AP84" s="133" t="str">
        <f aca="false">IF(ISBLANK($C84),"",IF(ISNUMBER(O84),IF(O84&gt;=0,O84,""),""))</f>
        <v/>
      </c>
      <c r="AQ84" s="133" t="str">
        <f aca="false">IF(ISBLANK($C84),"",IF(P84=Constants!$B$3,TRUE(),IF(P84=Constants!$B$4,FALSE(),FALSE())))</f>
        <v/>
      </c>
      <c r="AR84" s="133" t="str">
        <f aca="false">IF(ISBLANK($C84),"",IF(Q84=Constants!$B$3,TRUE(),IF(Q84=Constants!$B$4,FALSE(),TRUE())))</f>
        <v/>
      </c>
      <c r="AS84" s="133" t="str">
        <f aca="false">IF(ISBLANK($C84),"",IF(R84=Constants!$B$3,TRUE(),IF(R84=Constants!$B$4,FALSE(),TRUE())))</f>
        <v/>
      </c>
      <c r="AT84" s="133" t="str">
        <f aca="false">IF(ISBLANK($C84),"",IF(S84=Constants!$B$5,TRUE(),IF(S84=Constants!$B$6,FALSE(),COUNTA(T84:X84)&gt;0)))</f>
        <v/>
      </c>
      <c r="AU84" s="134" t="str">
        <f aca="false">IF(ISBLANK($C84),"",IF(ISNUMBER(T84),IF(T84&gt;=0,T84,""),""))</f>
        <v/>
      </c>
      <c r="AV84" s="135" t="str">
        <f aca="false">IF(ISBLANK($C84),"",IF(ISNUMBER(U84),IF(U84&gt;=0,U84,""),""))</f>
        <v/>
      </c>
      <c r="AW84" s="135" t="str">
        <f aca="false">IF(ISBLANK($C84),"",IF(V84=Constants!$B$3,TRUE(),IF(V84=Constants!$B$4,FALSE(),TRUE())))</f>
        <v/>
      </c>
      <c r="AX84" s="133" t="str">
        <f aca="false">IF(ISBLANK($C84),"",IF(ISNUMBER(W84),IF(W84&gt;=0,W84,""),""))</f>
        <v/>
      </c>
      <c r="AY84" s="133" t="str">
        <f aca="false">IF(ISBLANK($C84),"",IF(X84=Constants!$B$3,TRUE(),IF(X84=Constants!$B$4,FALSE(),FALSE())))</f>
        <v/>
      </c>
      <c r="AZ84" s="133" t="str">
        <f aca="false">IF(ISBLANK($C84),"",MIN(Constants!$B$31,MAX(0,IF(ISNUMBER(Y84),Y84*60,0)+IF(ISNUMBER(Z84),Z84,0))))</f>
        <v/>
      </c>
      <c r="BA84" s="133" t="str">
        <f aca="false">IF(ISBLANK($C84),"",IF(AA84=Constants!$B$3,TRUE(),IF(AA84=Constants!$B$4,FALSE(),FALSE())))</f>
        <v/>
      </c>
      <c r="BB84" s="132" t="str">
        <f aca="false">IF(ISBLANK($C84),"",AND($AL84,OR($AM84="",$AN84="",AND($AO84,$AP84=""))))</f>
        <v/>
      </c>
      <c r="BC84" s="135" t="str">
        <f aca="false">IF($BR84&lt;&gt;Constants!$B$8,"",IF($AL84,Constants!$B$21*$AN84+Constants!$B$22*IF($AO84,$AP84,Constants!$B$23),Constants!$B$24))</f>
        <v/>
      </c>
      <c r="BD84" s="136" t="str">
        <f aca="false">IF($BR84&lt;&gt;Constants!$B$8,"",Constants!$B$25*ABS($AD$9-IF($AL84,$AM84,0)))</f>
        <v/>
      </c>
      <c r="BE84" s="136" t="str">
        <f aca="false">IF($BR84&lt;&gt;Constants!$B$8,"",IF(AND($AL84,$AQ84,$AO84),Constants!$B$27,0))</f>
        <v/>
      </c>
      <c r="BF84" s="136" t="str">
        <f aca="false">IF($BR84&lt;&gt;Constants!$B$8,"",IF($AL84,($AI84-Constants!$B$29)*Constants!$B$28,0))</f>
        <v/>
      </c>
      <c r="BG84" s="136" t="str">
        <f aca="false">IF($BR84&lt;&gt;Constants!$B$8,"",IF($AK84,0,Constants!$B$15)+IF($AJ84,0,Constants!$B$16)+IF($AH84,0,Constants!$B$17))</f>
        <v/>
      </c>
      <c r="BH84" s="137" t="str">
        <f aca="false">IF($BR84&lt;&gt;Constants!$B$8,"",Constants!$B$20+SUM($BC84:$BG84))</f>
        <v/>
      </c>
      <c r="BI84" s="133" t="str">
        <f aca="false">IF($BR84&lt;&gt;Constants!$B$8,"",IF(OR($BP84&lt;$BH84,AND($BP84=$BH84,OR($BK84&lt;$BC84,AND($BK84=$BC84,OR($BL84&lt;$BD84,AND($BL84=$BD84,$AT84,$AL84,$AV84&lt;$AN84)))))),"-&gt;","&lt;-"))</f>
        <v/>
      </c>
      <c r="BJ84" s="132" t="str">
        <f aca="false">IF(ISBLANK($C84),"",AND($AT84,OR($AU84="",$AV84="",AND($AW84,$AX84=""))))</f>
        <v/>
      </c>
      <c r="BK84" s="135" t="str">
        <f aca="false">IF($BR84&lt;&gt;Constants!$B$8,"",IF($AT84,Constants!$B$21*$AV84+Constants!$B$22*IF($AW84,$AX84,Constants!$B$23),Constants!$B$24))</f>
        <v/>
      </c>
      <c r="BL84" s="136" t="str">
        <f aca="false">IF($BR84&lt;&gt;Constants!$B$8,"",Constants!$B$25*ABS($AD$9-IF($AT84,$AU84,0)))</f>
        <v/>
      </c>
      <c r="BM84" s="136" t="str">
        <f aca="false">IF($BR84&lt;&gt;Constants!$B$8,"",IF(AND($AT84,$AY84,$AW84),Constants!$B$27,0))</f>
        <v/>
      </c>
      <c r="BN84" s="136" t="str">
        <f aca="false">IF($BR84&lt;&gt;Constants!$B$8,"",IF($AT84,($AI84-Constants!$B$29)*Constants!$B$28,0))</f>
        <v/>
      </c>
      <c r="BO84" s="136" t="str">
        <f aca="false">IF($BR84&lt;&gt;Constants!$B$8,"",IF($AS84,0,Constants!$B$15)+IF($AR84,0,Constants!$B$16)+IF($AH84,0,Constants!$B$17))</f>
        <v/>
      </c>
      <c r="BP84" s="137" t="str">
        <f aca="false">IF($BR84&lt;&gt;Constants!$B$8,"",Constants!$B$20+SUM($BK84:$BO84))</f>
        <v/>
      </c>
      <c r="BQ84" s="133" t="str">
        <f aca="false">IF(ISBLANK($C84),"",IF(ISBLANK($D$7),$BQ$5,IF(NOT(ISNUMBER($D$7)),$BQ$6,"")))</f>
        <v/>
      </c>
      <c r="BR84" s="133" t="str">
        <f aca="false">IF(ISBLANK($C84),"",IF($BA84,Constants!$B$11,IF(COUNTA($E84:$AA84)=0,Constants!$B$10,IF(NOT($AG84),Constants!$B$9,IF(OR($BQ84&lt;&gt;"",$BB84,$BJ84),Constants!$B$12,Constants!$B$8)))))</f>
        <v/>
      </c>
      <c r="BS84" s="133" t="str">
        <f aca="false">IF(ISBLANK($C84),"",IF($BR84&lt;&gt;Constants!$B$8,$BR84,Constants!$B$13))</f>
        <v/>
      </c>
      <c r="BT84" s="136" t="str">
        <f aca="false">IF($BR84&lt;&gt;Constants!$B$8,"",IF($BI84="-&gt;",$BP84,$BH84))</f>
        <v/>
      </c>
      <c r="BU84" s="136" t="str">
        <f aca="false">IF($BR84&lt;&gt;Constants!$B$8,"",IF($AF84,0,Constants!$B$18))</f>
        <v/>
      </c>
      <c r="BV84" s="136" t="str">
        <f aca="false">IF($BR84&lt;&gt;Constants!$B$8,"",((Constants!$B$31-$AZ84)-Constants!$B$31)/Constants!$B$32)</f>
        <v/>
      </c>
      <c r="BW84" s="136" t="str">
        <f aca="false">IF(ISBLANK($C84),"",IF($BR84&lt;&gt;Constants!$B$8,$BR84,SUM($BT84:$BV84)))</f>
        <v/>
      </c>
      <c r="BX84" s="133" t="str">
        <f aca="false">IF(ISBLANK($C84),"",IF($BR84&lt;&gt;Constants!$B$8,$BR84,RANK($BW84,$BW$9:$BW$508,1)))</f>
        <v/>
      </c>
      <c r="BY84" s="136" t="str">
        <f aca="false">IF($BR84&lt;&gt;Constants!$B$8,"",IF($BI84="-&gt;",$BK84,$BC84))</f>
        <v/>
      </c>
      <c r="BZ84" s="133" t="str">
        <f aca="false">IF(ISBLANK($C84),"",IF($BR84&lt;&gt;Constants!$B$8,$BR84,IF(ISNUMBER($BY84),RANK($BY84,$BY$9:$BY$508,1),COUNT($BY$9:$BY$508)+1)))</f>
        <v/>
      </c>
      <c r="CA84" s="136" t="str">
        <f aca="false">IF($BR84&lt;&gt;Constants!$B$8,"",IF($BI84="-&gt;",$BL84,$BD84))</f>
        <v/>
      </c>
      <c r="CB84" s="133" t="str">
        <f aca="false">IF(ISBLANK($C84),"",IF($BR84&lt;&gt;Constants!$B$8,$BR84,IF(ISNUMBER($CA84),RANK($CA84,$CA$9:$CA$508,1),COUNT($CA$9:$CA$508)+1)))</f>
        <v/>
      </c>
      <c r="CC84" s="136" t="str">
        <f aca="false">IF($BR84&lt;&gt;Constants!$B$8,"",IF($BI84="-&gt;",IF($AT84,$AV84,""),IF($AL84,$AN84,"")))</f>
        <v/>
      </c>
      <c r="CD84" s="133" t="str">
        <f aca="false">IF(ISBLANK($C84),"",IF($BR84&lt;&gt;Constants!$B$8,$BR84,IF(ISNUMBER($CC84),RANK($CC84,$CC$9:$CC$508,1),COUNT($CC$9:$CC$508)+1)))</f>
        <v/>
      </c>
      <c r="CE84" s="136" t="str">
        <f aca="false">IF($BR84&lt;&gt;Constants!$B$8,"",IF(AND(NOT($AL84),NOT($AT84),$AJ84,$AK84,$AR84,$AS84),"",$AI84))</f>
        <v/>
      </c>
      <c r="CF84" s="133" t="str">
        <f aca="false">IF(ISBLANK($C84),"",IF($BR84&lt;&gt;Constants!$B$8,$BR84,IF(ISNUMBER($CE84),RANK($CE84,$CE$9:$CE$508,1),COUNT($CE$9:$CE$508)+1)))</f>
        <v/>
      </c>
      <c r="CG84" s="133" t="str">
        <f aca="false">IF(ISBLANK($C84),"",IF($BR84&lt;&gt;Constants!$B$8,$BR84,COUNTIFS($BX$9:$BX$508,"&lt;"&amp;$BX84)+COUNTIFS($BX$9:$BX$508,$BX84,$BZ$9:$BZ$508,"&lt;"&amp;$BZ84)+COUNTIFS($BX$9:$BX$508,$BX84,$BZ$9:$BZ$508,$BZ84,$CB$9:$CB$508,"&lt;"&amp;$CB84)+COUNTIFS($BX$9:$BX$508,$BX84,$BZ$9:$BZ$508,$BZ84,$CB$9:$CB$508,$CB84,$CD$9:$CD$508,"&lt;"&amp;$CD84)+COUNTIFS($BX$9:$BX$508,$BX84,$BZ$9:$BZ$508,$BZ84,$CB$9:$CB$508,$CB84,$CD$9:$CD$508,$CD84,$CF$9:$CF$508,"&lt;"&amp;$CF84)+1))</f>
        <v/>
      </c>
      <c r="CH84" s="133" t="str">
        <f aca="false">IF(ISBLANK($C84),"",IF($BR84&lt;&gt;Constants!$B$8,$BR84,$BX84-$CG84))</f>
        <v/>
      </c>
      <c r="CI84" s="138"/>
      <c r="CJ84" s="139"/>
      <c r="CK84" s="140" t="str">
        <f aca="false">IF(ISBLANK($C84),"",IF($BR84=Constants!$B$12,$BQ84,""))</f>
        <v/>
      </c>
      <c r="CL84" s="139" t="str">
        <f aca="false">IF(ISBLANK($C84),"",IF($BR84&lt;&gt;Constants!$B$8,"",IF($BI84="-&gt;",2,1)))</f>
        <v/>
      </c>
      <c r="CM84" s="141" t="str">
        <f aca="false">IF(ISBLANK($C84),"",IF($BR84&lt;&gt;Constants!$B$8,"",IF($BI84="-&gt;",$BK84,$BC84)))</f>
        <v/>
      </c>
      <c r="CN84" s="141" t="str">
        <f aca="false">IF(ISBLANK($C84),"",IF($BR84&lt;&gt;Constants!$B$8,"",IF($BI84="-&gt;",$BL84,$BD84)))</f>
        <v/>
      </c>
      <c r="CO84" s="141" t="str">
        <f aca="false">IF(ISBLANK($C84),"",IF($BR84&lt;&gt;Constants!$B$8,"",IF($BI84="-&gt;",$BM84+$BN84,$BE84+$BF84)+$BV84))</f>
        <v/>
      </c>
      <c r="CP84" s="141" t="str">
        <f aca="false">IF(ISBLANK($C84),"",IF($BR84&lt;&gt;Constants!$B$8,"",IF($BI84="-&gt;",$BO84,$BG84)+$BU84))</f>
        <v/>
      </c>
      <c r="CQ84" s="142" t="str">
        <f aca="false">IF(ISBLANK($C84),"",IF($BR84&lt;&gt;Constants!$B$8,$BR84,$BW84))</f>
        <v/>
      </c>
      <c r="CR84" s="143" t="str">
        <f aca="false">IF(ISBLANK($C84),"",$BS84)</f>
        <v/>
      </c>
      <c r="CS84" s="144" t="str">
        <f aca="false">IF(ISBLANK($C84),"",$CH84)</f>
        <v/>
      </c>
      <c r="CT84" s="144" t="str">
        <f aca="false">IF(ISBLANK($C84),"",$CG84)</f>
        <v/>
      </c>
      <c r="CU84" s="145" t="str">
        <f aca="false">IF(ISBLANK($C84),"",IFERROR(_xlfn.SWITCH($CT84,Constants!$B$11,COUNTA($C$9:$C$508)+2,Constants!$B$10,COUNTA($C$9:$C$508)+1,Constants!$B$9,COUNTA($C$9:$C$508)),$CT84))</f>
        <v/>
      </c>
      <c r="CV84" s="9"/>
      <c r="CW84" s="146" t="n">
        <f aca="false">IF(OR(ISNUMBER($CT84),$CT84=Constants!$B$11,$CT84=Constants!$B$9,$CT84=Constants!$B$10),1,0)</f>
        <v>0</v>
      </c>
      <c r="CX84" s="146" t="n">
        <v>76</v>
      </c>
      <c r="CY84" s="146" t="str">
        <f aca="false">IF(ISBLANK($C84),"",IF(ISNUMBER($CU84),$CU84+ROW($B84)/1000,""))</f>
        <v/>
      </c>
      <c r="CZ84" s="146" t="str">
        <f aca="false">IF(ISNUMBER($CY84),RANK($CY84,$CY$9:$CY$508,1),"")</f>
        <v/>
      </c>
      <c r="DA84" s="146" t="str">
        <f aca="false">IF(ISBLANK($C84),"",$B84)</f>
        <v/>
      </c>
      <c r="DB84" s="146" t="str">
        <f aca="false">IF(ISBLANK($C84),"",$C84)</f>
        <v/>
      </c>
      <c r="DC84" s="146" t="str">
        <f aca="false">IF(ISBLANK($C84),"",$D84)</f>
        <v/>
      </c>
      <c r="DD84" s="147" t="str">
        <f aca="false">$CR84</f>
        <v/>
      </c>
      <c r="DE84" s="148" t="str">
        <f aca="false">$CQ84</f>
        <v/>
      </c>
      <c r="DF84" s="146" t="str">
        <f aca="false">IF(ISBLANK($C84),"",$CT84)</f>
        <v/>
      </c>
      <c r="DG84" s="149" t="str">
        <f aca="false">IF($CX84&gt;$CW$8,"",VLOOKUP($CX84,$CZ$9:$DF$508,7,FALSE()))</f>
        <v/>
      </c>
      <c r="DH84" s="150" t="str">
        <f aca="false">IF($CX84&gt;$CW$8,"",VLOOKUP($CX84,$CZ$9:$DF$508,2,FALSE()))</f>
        <v/>
      </c>
      <c r="DI84" s="150" t="str">
        <f aca="false">IF($CX84&gt;$CW$8,"",VLOOKUP($CX84,$CZ$9:$DF$508,3,FALSE()))</f>
        <v/>
      </c>
      <c r="DJ84" s="150" t="str">
        <f aca="false">IF($CX84&gt;$CW$8,"",VLOOKUP($CX84,$CZ$9:$DF$508,4,FALSE()))</f>
        <v/>
      </c>
      <c r="DK84" s="150" t="str">
        <f aca="false">IF($CX84&gt;$CW$8,"",VLOOKUP($CX84,$CZ$9:$DF$508,5,FALSE()))</f>
        <v/>
      </c>
      <c r="DL84" s="151" t="str">
        <f aca="false">IF($CX84&gt;$CW$8,"",VLOOKUP($CX84,$CZ$9:$DF$508,6,FALSE()))</f>
        <v/>
      </c>
      <c r="DM84" s="75"/>
    </row>
    <row r="85" customFormat="false" ht="15.75" hidden="false" customHeight="false" outlineLevel="0" collapsed="false">
      <c r="A85" s="9"/>
      <c r="B85" s="157"/>
      <c r="C85" s="158"/>
      <c r="D85" s="159"/>
      <c r="E85" s="177"/>
      <c r="F85" s="161"/>
      <c r="G85" s="162"/>
      <c r="H85" s="162"/>
      <c r="I85" s="178"/>
      <c r="J85" s="165"/>
      <c r="K85" s="126"/>
      <c r="L85" s="127"/>
      <c r="M85" s="128"/>
      <c r="N85" s="165"/>
      <c r="O85" s="165"/>
      <c r="P85" s="177"/>
      <c r="Q85" s="165"/>
      <c r="R85" s="165"/>
      <c r="S85" s="126"/>
      <c r="T85" s="128"/>
      <c r="U85" s="128"/>
      <c r="V85" s="165"/>
      <c r="W85" s="165"/>
      <c r="X85" s="177"/>
      <c r="Y85" s="165"/>
      <c r="Z85" s="166"/>
      <c r="AA85" s="165"/>
      <c r="AB85" s="132"/>
      <c r="AC85" s="133"/>
      <c r="AD85" s="133"/>
      <c r="AE85" s="133"/>
      <c r="AF85" s="133" t="str">
        <f aca="false">IF(ISBLANK($C85),"",IF(E85=Constants!$B$3,TRUE(),IF(E85=Constants!$B$4,FALSE(),TRUE())))</f>
        <v/>
      </c>
      <c r="AG85" s="133" t="str">
        <f aca="false">IF(ISBLANK($C85),"",IF(F85=Constants!$B$3,TRUE(),IF(F85=Constants!$B$4,FALSE(),TRUE())))</f>
        <v/>
      </c>
      <c r="AH85" s="133" t="str">
        <f aca="false">IF(ISBLANK($C85),"",IF(G85=Constants!$B$3,TRUE(),IF(G85=Constants!$B$4,FALSE(),TRUE())))</f>
        <v/>
      </c>
      <c r="AI85" s="133" t="str">
        <f aca="false">IF(ISBLANK($C85),"",IF(AND(ISNUMBER(H85),H85&gt;=0),H85,Constants!$B$29))</f>
        <v/>
      </c>
      <c r="AJ85" s="133" t="str">
        <f aca="false">IF(ISBLANK($C85),"",IF(I85=Constants!$B$3,TRUE(),IF(I85=Constants!$B$4,FALSE(),TRUE())))</f>
        <v/>
      </c>
      <c r="AK85" s="133" t="str">
        <f aca="false">IF(ISBLANK($C85),"",IF(J85=Constants!$B$3,TRUE(),IF(J85=Constants!$B$4,FALSE(),TRUE())))</f>
        <v/>
      </c>
      <c r="AL85" s="133" t="str">
        <f aca="false">IF(ISBLANK($C85),"",IF(K85=Constants!$B$5,TRUE(),IF(K85=Constants!$B$6,FALSE(),COUNTA(L85:P85)&gt;0)))</f>
        <v/>
      </c>
      <c r="AM85" s="134" t="str">
        <f aca="false">IF(ISBLANK($C85),"",IF(ISNUMBER(L85),IF(L85&gt;=0,L85,""),""))</f>
        <v/>
      </c>
      <c r="AN85" s="135" t="str">
        <f aca="false">IF(ISBLANK($C85),"",IF(ISNUMBER(M85),IF(M85&gt;=0,M85,""),""))</f>
        <v/>
      </c>
      <c r="AO85" s="135" t="str">
        <f aca="false">IF(ISBLANK($C85),"",IF(N85=Constants!$B$3,TRUE(),IF(N85=Constants!$B$4,FALSE(),TRUE())))</f>
        <v/>
      </c>
      <c r="AP85" s="133" t="str">
        <f aca="false">IF(ISBLANK($C85),"",IF(ISNUMBER(O85),IF(O85&gt;=0,O85,""),""))</f>
        <v/>
      </c>
      <c r="AQ85" s="133" t="str">
        <f aca="false">IF(ISBLANK($C85),"",IF(P85=Constants!$B$3,TRUE(),IF(P85=Constants!$B$4,FALSE(),FALSE())))</f>
        <v/>
      </c>
      <c r="AR85" s="133" t="str">
        <f aca="false">IF(ISBLANK($C85),"",IF(Q85=Constants!$B$3,TRUE(),IF(Q85=Constants!$B$4,FALSE(),TRUE())))</f>
        <v/>
      </c>
      <c r="AS85" s="133" t="str">
        <f aca="false">IF(ISBLANK($C85),"",IF(R85=Constants!$B$3,TRUE(),IF(R85=Constants!$B$4,FALSE(),TRUE())))</f>
        <v/>
      </c>
      <c r="AT85" s="133" t="str">
        <f aca="false">IF(ISBLANK($C85),"",IF(S85=Constants!$B$5,TRUE(),IF(S85=Constants!$B$6,FALSE(),COUNTA(T85:X85)&gt;0)))</f>
        <v/>
      </c>
      <c r="AU85" s="134" t="str">
        <f aca="false">IF(ISBLANK($C85),"",IF(ISNUMBER(T85),IF(T85&gt;=0,T85,""),""))</f>
        <v/>
      </c>
      <c r="AV85" s="135" t="str">
        <f aca="false">IF(ISBLANK($C85),"",IF(ISNUMBER(U85),IF(U85&gt;=0,U85,""),""))</f>
        <v/>
      </c>
      <c r="AW85" s="135" t="str">
        <f aca="false">IF(ISBLANK($C85),"",IF(V85=Constants!$B$3,TRUE(),IF(V85=Constants!$B$4,FALSE(),TRUE())))</f>
        <v/>
      </c>
      <c r="AX85" s="133" t="str">
        <f aca="false">IF(ISBLANK($C85),"",IF(ISNUMBER(W85),IF(W85&gt;=0,W85,""),""))</f>
        <v/>
      </c>
      <c r="AY85" s="133" t="str">
        <f aca="false">IF(ISBLANK($C85),"",IF(X85=Constants!$B$3,TRUE(),IF(X85=Constants!$B$4,FALSE(),FALSE())))</f>
        <v/>
      </c>
      <c r="AZ85" s="133" t="str">
        <f aca="false">IF(ISBLANK($C85),"",MIN(Constants!$B$31,MAX(0,IF(ISNUMBER(Y85),Y85*60,0)+IF(ISNUMBER(Z85),Z85,0))))</f>
        <v/>
      </c>
      <c r="BA85" s="133" t="str">
        <f aca="false">IF(ISBLANK($C85),"",IF(AA85=Constants!$B$3,TRUE(),IF(AA85=Constants!$B$4,FALSE(),FALSE())))</f>
        <v/>
      </c>
      <c r="BB85" s="132" t="str">
        <f aca="false">IF(ISBLANK($C85),"",AND($AL85,OR($AM85="",$AN85="",AND($AO85,$AP85=""))))</f>
        <v/>
      </c>
      <c r="BC85" s="135" t="str">
        <f aca="false">IF($BR85&lt;&gt;Constants!$B$8,"",IF($AL85,Constants!$B$21*$AN85+Constants!$B$22*IF($AO85,$AP85,Constants!$B$23),Constants!$B$24))</f>
        <v/>
      </c>
      <c r="BD85" s="136" t="str">
        <f aca="false">IF($BR85&lt;&gt;Constants!$B$8,"",Constants!$B$25*ABS($AD$9-IF($AL85,$AM85,0)))</f>
        <v/>
      </c>
      <c r="BE85" s="136" t="str">
        <f aca="false">IF($BR85&lt;&gt;Constants!$B$8,"",IF(AND($AL85,$AQ85,$AO85),Constants!$B$27,0))</f>
        <v/>
      </c>
      <c r="BF85" s="136" t="str">
        <f aca="false">IF($BR85&lt;&gt;Constants!$B$8,"",IF($AL85,($AI85-Constants!$B$29)*Constants!$B$28,0))</f>
        <v/>
      </c>
      <c r="BG85" s="136" t="str">
        <f aca="false">IF($BR85&lt;&gt;Constants!$B$8,"",IF($AK85,0,Constants!$B$15)+IF($AJ85,0,Constants!$B$16)+IF($AH85,0,Constants!$B$17))</f>
        <v/>
      </c>
      <c r="BH85" s="137" t="str">
        <f aca="false">IF($BR85&lt;&gt;Constants!$B$8,"",Constants!$B$20+SUM($BC85:$BG85))</f>
        <v/>
      </c>
      <c r="BI85" s="133" t="str">
        <f aca="false">IF($BR85&lt;&gt;Constants!$B$8,"",IF(OR($BP85&lt;$BH85,AND($BP85=$BH85,OR($BK85&lt;$BC85,AND($BK85=$BC85,OR($BL85&lt;$BD85,AND($BL85=$BD85,$AT85,$AL85,$AV85&lt;$AN85)))))),"-&gt;","&lt;-"))</f>
        <v/>
      </c>
      <c r="BJ85" s="132" t="str">
        <f aca="false">IF(ISBLANK($C85),"",AND($AT85,OR($AU85="",$AV85="",AND($AW85,$AX85=""))))</f>
        <v/>
      </c>
      <c r="BK85" s="135" t="str">
        <f aca="false">IF($BR85&lt;&gt;Constants!$B$8,"",IF($AT85,Constants!$B$21*$AV85+Constants!$B$22*IF($AW85,$AX85,Constants!$B$23),Constants!$B$24))</f>
        <v/>
      </c>
      <c r="BL85" s="136" t="str">
        <f aca="false">IF($BR85&lt;&gt;Constants!$B$8,"",Constants!$B$25*ABS($AD$9-IF($AT85,$AU85,0)))</f>
        <v/>
      </c>
      <c r="BM85" s="136" t="str">
        <f aca="false">IF($BR85&lt;&gt;Constants!$B$8,"",IF(AND($AT85,$AY85,$AW85),Constants!$B$27,0))</f>
        <v/>
      </c>
      <c r="BN85" s="136" t="str">
        <f aca="false">IF($BR85&lt;&gt;Constants!$B$8,"",IF($AT85,($AI85-Constants!$B$29)*Constants!$B$28,0))</f>
        <v/>
      </c>
      <c r="BO85" s="136" t="str">
        <f aca="false">IF($BR85&lt;&gt;Constants!$B$8,"",IF($AS85,0,Constants!$B$15)+IF($AR85,0,Constants!$B$16)+IF($AH85,0,Constants!$B$17))</f>
        <v/>
      </c>
      <c r="BP85" s="137" t="str">
        <f aca="false">IF($BR85&lt;&gt;Constants!$B$8,"",Constants!$B$20+SUM($BK85:$BO85))</f>
        <v/>
      </c>
      <c r="BQ85" s="133" t="str">
        <f aca="false">IF(ISBLANK($C85),"",IF(ISBLANK($D$7),$BQ$5,IF(NOT(ISNUMBER($D$7)),$BQ$6,"")))</f>
        <v/>
      </c>
      <c r="BR85" s="133" t="str">
        <f aca="false">IF(ISBLANK($C85),"",IF($BA85,Constants!$B$11,IF(COUNTA($E85:$AA85)=0,Constants!$B$10,IF(NOT($AG85),Constants!$B$9,IF(OR($BQ85&lt;&gt;"",$BB85,$BJ85),Constants!$B$12,Constants!$B$8)))))</f>
        <v/>
      </c>
      <c r="BS85" s="133" t="str">
        <f aca="false">IF(ISBLANK($C85),"",IF($BR85&lt;&gt;Constants!$B$8,$BR85,Constants!$B$13))</f>
        <v/>
      </c>
      <c r="BT85" s="136" t="str">
        <f aca="false">IF($BR85&lt;&gt;Constants!$B$8,"",IF($BI85="-&gt;",$BP85,$BH85))</f>
        <v/>
      </c>
      <c r="BU85" s="136" t="str">
        <f aca="false">IF($BR85&lt;&gt;Constants!$B$8,"",IF($AF85,0,Constants!$B$18))</f>
        <v/>
      </c>
      <c r="BV85" s="136" t="str">
        <f aca="false">IF($BR85&lt;&gt;Constants!$B$8,"",((Constants!$B$31-$AZ85)-Constants!$B$31)/Constants!$B$32)</f>
        <v/>
      </c>
      <c r="BW85" s="136" t="str">
        <f aca="false">IF(ISBLANK($C85),"",IF($BR85&lt;&gt;Constants!$B$8,$BR85,SUM($BT85:$BV85)))</f>
        <v/>
      </c>
      <c r="BX85" s="133" t="str">
        <f aca="false">IF(ISBLANK($C85),"",IF($BR85&lt;&gt;Constants!$B$8,$BR85,RANK($BW85,$BW$9:$BW$508,1)))</f>
        <v/>
      </c>
      <c r="BY85" s="136" t="str">
        <f aca="false">IF($BR85&lt;&gt;Constants!$B$8,"",IF($BI85="-&gt;",$BK85,$BC85))</f>
        <v/>
      </c>
      <c r="BZ85" s="133" t="str">
        <f aca="false">IF(ISBLANK($C85),"",IF($BR85&lt;&gt;Constants!$B$8,$BR85,IF(ISNUMBER($BY85),RANK($BY85,$BY$9:$BY$508,1),COUNT($BY$9:$BY$508)+1)))</f>
        <v/>
      </c>
      <c r="CA85" s="136" t="str">
        <f aca="false">IF($BR85&lt;&gt;Constants!$B$8,"",IF($BI85="-&gt;",$BL85,$BD85))</f>
        <v/>
      </c>
      <c r="CB85" s="133" t="str">
        <f aca="false">IF(ISBLANK($C85),"",IF($BR85&lt;&gt;Constants!$B$8,$BR85,IF(ISNUMBER($CA85),RANK($CA85,$CA$9:$CA$508,1),COUNT($CA$9:$CA$508)+1)))</f>
        <v/>
      </c>
      <c r="CC85" s="136" t="str">
        <f aca="false">IF($BR85&lt;&gt;Constants!$B$8,"",IF($BI85="-&gt;",IF($AT85,$AV85,""),IF($AL85,$AN85,"")))</f>
        <v/>
      </c>
      <c r="CD85" s="133" t="str">
        <f aca="false">IF(ISBLANK($C85),"",IF($BR85&lt;&gt;Constants!$B$8,$BR85,IF(ISNUMBER($CC85),RANK($CC85,$CC$9:$CC$508,1),COUNT($CC$9:$CC$508)+1)))</f>
        <v/>
      </c>
      <c r="CE85" s="136" t="str">
        <f aca="false">IF($BR85&lt;&gt;Constants!$B$8,"",IF(AND(NOT($AL85),NOT($AT85),$AJ85,$AK85,$AR85,$AS85),"",$AI85))</f>
        <v/>
      </c>
      <c r="CF85" s="133" t="str">
        <f aca="false">IF(ISBLANK($C85),"",IF($BR85&lt;&gt;Constants!$B$8,$BR85,IF(ISNUMBER($CE85),RANK($CE85,$CE$9:$CE$508,1),COUNT($CE$9:$CE$508)+1)))</f>
        <v/>
      </c>
      <c r="CG85" s="133" t="str">
        <f aca="false">IF(ISBLANK($C85),"",IF($BR85&lt;&gt;Constants!$B$8,$BR85,COUNTIFS($BX$9:$BX$508,"&lt;"&amp;$BX85)+COUNTIFS($BX$9:$BX$508,$BX85,$BZ$9:$BZ$508,"&lt;"&amp;$BZ85)+COUNTIFS($BX$9:$BX$508,$BX85,$BZ$9:$BZ$508,$BZ85,$CB$9:$CB$508,"&lt;"&amp;$CB85)+COUNTIFS($BX$9:$BX$508,$BX85,$BZ$9:$BZ$508,$BZ85,$CB$9:$CB$508,$CB85,$CD$9:$CD$508,"&lt;"&amp;$CD85)+COUNTIFS($BX$9:$BX$508,$BX85,$BZ$9:$BZ$508,$BZ85,$CB$9:$CB$508,$CB85,$CD$9:$CD$508,$CD85,$CF$9:$CF$508,"&lt;"&amp;$CF85)+1))</f>
        <v/>
      </c>
      <c r="CH85" s="133" t="str">
        <f aca="false">IF(ISBLANK($C85),"",IF($BR85&lt;&gt;Constants!$B$8,$BR85,$BX85-$CG85))</f>
        <v/>
      </c>
      <c r="CI85" s="138"/>
      <c r="CJ85" s="139"/>
      <c r="CK85" s="140" t="str">
        <f aca="false">IF(ISBLANK($C85),"",IF($BR85=Constants!$B$12,$BQ85,""))</f>
        <v/>
      </c>
      <c r="CL85" s="139" t="str">
        <f aca="false">IF(ISBLANK($C85),"",IF($BR85&lt;&gt;Constants!$B$8,"",IF($BI85="-&gt;",2,1)))</f>
        <v/>
      </c>
      <c r="CM85" s="141" t="str">
        <f aca="false">IF(ISBLANK($C85),"",IF($BR85&lt;&gt;Constants!$B$8,"",IF($BI85="-&gt;",$BK85,$BC85)))</f>
        <v/>
      </c>
      <c r="CN85" s="141" t="str">
        <f aca="false">IF(ISBLANK($C85),"",IF($BR85&lt;&gt;Constants!$B$8,"",IF($BI85="-&gt;",$BL85,$BD85)))</f>
        <v/>
      </c>
      <c r="CO85" s="141" t="str">
        <f aca="false">IF(ISBLANK($C85),"",IF($BR85&lt;&gt;Constants!$B$8,"",IF($BI85="-&gt;",$BM85+$BN85,$BE85+$BF85)+$BV85))</f>
        <v/>
      </c>
      <c r="CP85" s="141" t="str">
        <f aca="false">IF(ISBLANK($C85),"",IF($BR85&lt;&gt;Constants!$B$8,"",IF($BI85="-&gt;",$BO85,$BG85)+$BU85))</f>
        <v/>
      </c>
      <c r="CQ85" s="142" t="str">
        <f aca="false">IF(ISBLANK($C85),"",IF($BR85&lt;&gt;Constants!$B$8,$BR85,$BW85))</f>
        <v/>
      </c>
      <c r="CR85" s="143" t="str">
        <f aca="false">IF(ISBLANK($C85),"",$BS85)</f>
        <v/>
      </c>
      <c r="CS85" s="144" t="str">
        <f aca="false">IF(ISBLANK($C85),"",$CH85)</f>
        <v/>
      </c>
      <c r="CT85" s="144" t="str">
        <f aca="false">IF(ISBLANK($C85),"",$CG85)</f>
        <v/>
      </c>
      <c r="CU85" s="145" t="str">
        <f aca="false">IF(ISBLANK($C85),"",IFERROR(_xlfn.SWITCH($CT85,Constants!$B$11,COUNTA($C$9:$C$508)+2,Constants!$B$10,COUNTA($C$9:$C$508)+1,Constants!$B$9,COUNTA($C$9:$C$508)),$CT85))</f>
        <v/>
      </c>
      <c r="CV85" s="9"/>
      <c r="CW85" s="146" t="n">
        <f aca="false">IF(OR(ISNUMBER($CT85),$CT85=Constants!$B$11,$CT85=Constants!$B$9,$CT85=Constants!$B$10),1,0)</f>
        <v>0</v>
      </c>
      <c r="CX85" s="146" t="n">
        <v>77</v>
      </c>
      <c r="CY85" s="146" t="str">
        <f aca="false">IF(ISBLANK($C85),"",IF(ISNUMBER($CU85),$CU85+ROW($B85)/1000,""))</f>
        <v/>
      </c>
      <c r="CZ85" s="146" t="str">
        <f aca="false">IF(ISNUMBER($CY85),RANK($CY85,$CY$9:$CY$508,1),"")</f>
        <v/>
      </c>
      <c r="DA85" s="146" t="str">
        <f aca="false">IF(ISBLANK($C85),"",$B85)</f>
        <v/>
      </c>
      <c r="DB85" s="146" t="str">
        <f aca="false">IF(ISBLANK($C85),"",$C85)</f>
        <v/>
      </c>
      <c r="DC85" s="146" t="str">
        <f aca="false">IF(ISBLANK($C85),"",$D85)</f>
        <v/>
      </c>
      <c r="DD85" s="147" t="str">
        <f aca="false">$CR85</f>
        <v/>
      </c>
      <c r="DE85" s="148" t="str">
        <f aca="false">$CQ85</f>
        <v/>
      </c>
      <c r="DF85" s="146" t="str">
        <f aca="false">IF(ISBLANK($C85),"",$CT85)</f>
        <v/>
      </c>
      <c r="DG85" s="149" t="str">
        <f aca="false">IF($CX85&gt;$CW$8,"",VLOOKUP($CX85,$CZ$9:$DF$508,7,FALSE()))</f>
        <v/>
      </c>
      <c r="DH85" s="150" t="str">
        <f aca="false">IF($CX85&gt;$CW$8,"",VLOOKUP($CX85,$CZ$9:$DF$508,2,FALSE()))</f>
        <v/>
      </c>
      <c r="DI85" s="150" t="str">
        <f aca="false">IF($CX85&gt;$CW$8,"",VLOOKUP($CX85,$CZ$9:$DF$508,3,FALSE()))</f>
        <v/>
      </c>
      <c r="DJ85" s="150" t="str">
        <f aca="false">IF($CX85&gt;$CW$8,"",VLOOKUP($CX85,$CZ$9:$DF$508,4,FALSE()))</f>
        <v/>
      </c>
      <c r="DK85" s="150" t="str">
        <f aca="false">IF($CX85&gt;$CW$8,"",VLOOKUP($CX85,$CZ$9:$DF$508,5,FALSE()))</f>
        <v/>
      </c>
      <c r="DL85" s="151" t="str">
        <f aca="false">IF($CX85&gt;$CW$8,"",VLOOKUP($CX85,$CZ$9:$DF$508,6,FALSE()))</f>
        <v/>
      </c>
      <c r="DM85" s="75"/>
    </row>
    <row r="86" customFormat="false" ht="15.75" hidden="false" customHeight="false" outlineLevel="0" collapsed="false">
      <c r="A86" s="9"/>
      <c r="B86" s="157"/>
      <c r="C86" s="158"/>
      <c r="D86" s="159"/>
      <c r="E86" s="177"/>
      <c r="F86" s="161"/>
      <c r="G86" s="162"/>
      <c r="H86" s="162"/>
      <c r="I86" s="178"/>
      <c r="J86" s="165"/>
      <c r="K86" s="126"/>
      <c r="L86" s="127"/>
      <c r="M86" s="128"/>
      <c r="N86" s="165"/>
      <c r="O86" s="165"/>
      <c r="P86" s="177"/>
      <c r="Q86" s="165"/>
      <c r="R86" s="165"/>
      <c r="S86" s="126"/>
      <c r="T86" s="128"/>
      <c r="U86" s="128"/>
      <c r="V86" s="165"/>
      <c r="W86" s="165"/>
      <c r="X86" s="177"/>
      <c r="Y86" s="165"/>
      <c r="Z86" s="166"/>
      <c r="AA86" s="165"/>
      <c r="AB86" s="132"/>
      <c r="AC86" s="133"/>
      <c r="AD86" s="133"/>
      <c r="AE86" s="133"/>
      <c r="AF86" s="133" t="str">
        <f aca="false">IF(ISBLANK($C86),"",IF(E86=Constants!$B$3,TRUE(),IF(E86=Constants!$B$4,FALSE(),TRUE())))</f>
        <v/>
      </c>
      <c r="AG86" s="133" t="str">
        <f aca="false">IF(ISBLANK($C86),"",IF(F86=Constants!$B$3,TRUE(),IF(F86=Constants!$B$4,FALSE(),TRUE())))</f>
        <v/>
      </c>
      <c r="AH86" s="133" t="str">
        <f aca="false">IF(ISBLANK($C86),"",IF(G86=Constants!$B$3,TRUE(),IF(G86=Constants!$B$4,FALSE(),TRUE())))</f>
        <v/>
      </c>
      <c r="AI86" s="133" t="str">
        <f aca="false">IF(ISBLANK($C86),"",IF(AND(ISNUMBER(H86),H86&gt;=0),H86,Constants!$B$29))</f>
        <v/>
      </c>
      <c r="AJ86" s="133" t="str">
        <f aca="false">IF(ISBLANK($C86),"",IF(I86=Constants!$B$3,TRUE(),IF(I86=Constants!$B$4,FALSE(),TRUE())))</f>
        <v/>
      </c>
      <c r="AK86" s="133" t="str">
        <f aca="false">IF(ISBLANK($C86),"",IF(J86=Constants!$B$3,TRUE(),IF(J86=Constants!$B$4,FALSE(),TRUE())))</f>
        <v/>
      </c>
      <c r="AL86" s="133" t="str">
        <f aca="false">IF(ISBLANK($C86),"",IF(K86=Constants!$B$5,TRUE(),IF(K86=Constants!$B$6,FALSE(),COUNTA(L86:P86)&gt;0)))</f>
        <v/>
      </c>
      <c r="AM86" s="134" t="str">
        <f aca="false">IF(ISBLANK($C86),"",IF(ISNUMBER(L86),IF(L86&gt;=0,L86,""),""))</f>
        <v/>
      </c>
      <c r="AN86" s="135" t="str">
        <f aca="false">IF(ISBLANK($C86),"",IF(ISNUMBER(M86),IF(M86&gt;=0,M86,""),""))</f>
        <v/>
      </c>
      <c r="AO86" s="135" t="str">
        <f aca="false">IF(ISBLANK($C86),"",IF(N86=Constants!$B$3,TRUE(),IF(N86=Constants!$B$4,FALSE(),TRUE())))</f>
        <v/>
      </c>
      <c r="AP86" s="133" t="str">
        <f aca="false">IF(ISBLANK($C86),"",IF(ISNUMBER(O86),IF(O86&gt;=0,O86,""),""))</f>
        <v/>
      </c>
      <c r="AQ86" s="133" t="str">
        <f aca="false">IF(ISBLANK($C86),"",IF(P86=Constants!$B$3,TRUE(),IF(P86=Constants!$B$4,FALSE(),FALSE())))</f>
        <v/>
      </c>
      <c r="AR86" s="133" t="str">
        <f aca="false">IF(ISBLANK($C86),"",IF(Q86=Constants!$B$3,TRUE(),IF(Q86=Constants!$B$4,FALSE(),TRUE())))</f>
        <v/>
      </c>
      <c r="AS86" s="133" t="str">
        <f aca="false">IF(ISBLANK($C86),"",IF(R86=Constants!$B$3,TRUE(),IF(R86=Constants!$B$4,FALSE(),TRUE())))</f>
        <v/>
      </c>
      <c r="AT86" s="133" t="str">
        <f aca="false">IF(ISBLANK($C86),"",IF(S86=Constants!$B$5,TRUE(),IF(S86=Constants!$B$6,FALSE(),COUNTA(T86:X86)&gt;0)))</f>
        <v/>
      </c>
      <c r="AU86" s="134" t="str">
        <f aca="false">IF(ISBLANK($C86),"",IF(ISNUMBER(T86),IF(T86&gt;=0,T86,""),""))</f>
        <v/>
      </c>
      <c r="AV86" s="135" t="str">
        <f aca="false">IF(ISBLANK($C86),"",IF(ISNUMBER(U86),IF(U86&gt;=0,U86,""),""))</f>
        <v/>
      </c>
      <c r="AW86" s="135" t="str">
        <f aca="false">IF(ISBLANK($C86),"",IF(V86=Constants!$B$3,TRUE(),IF(V86=Constants!$B$4,FALSE(),TRUE())))</f>
        <v/>
      </c>
      <c r="AX86" s="133" t="str">
        <f aca="false">IF(ISBLANK($C86),"",IF(ISNUMBER(W86),IF(W86&gt;=0,W86,""),""))</f>
        <v/>
      </c>
      <c r="AY86" s="133" t="str">
        <f aca="false">IF(ISBLANK($C86),"",IF(X86=Constants!$B$3,TRUE(),IF(X86=Constants!$B$4,FALSE(),FALSE())))</f>
        <v/>
      </c>
      <c r="AZ86" s="133" t="str">
        <f aca="false">IF(ISBLANK($C86),"",MIN(Constants!$B$31,MAX(0,IF(ISNUMBER(Y86),Y86*60,0)+IF(ISNUMBER(Z86),Z86,0))))</f>
        <v/>
      </c>
      <c r="BA86" s="133" t="str">
        <f aca="false">IF(ISBLANK($C86),"",IF(AA86=Constants!$B$3,TRUE(),IF(AA86=Constants!$B$4,FALSE(),FALSE())))</f>
        <v/>
      </c>
      <c r="BB86" s="132" t="str">
        <f aca="false">IF(ISBLANK($C86),"",AND($AL86,OR($AM86="",$AN86="",AND($AO86,$AP86=""))))</f>
        <v/>
      </c>
      <c r="BC86" s="135" t="str">
        <f aca="false">IF($BR86&lt;&gt;Constants!$B$8,"",IF($AL86,Constants!$B$21*$AN86+Constants!$B$22*IF($AO86,$AP86,Constants!$B$23),Constants!$B$24))</f>
        <v/>
      </c>
      <c r="BD86" s="136" t="str">
        <f aca="false">IF($BR86&lt;&gt;Constants!$B$8,"",Constants!$B$25*ABS($AD$9-IF($AL86,$AM86,0)))</f>
        <v/>
      </c>
      <c r="BE86" s="136" t="str">
        <f aca="false">IF($BR86&lt;&gt;Constants!$B$8,"",IF(AND($AL86,$AQ86,$AO86),Constants!$B$27,0))</f>
        <v/>
      </c>
      <c r="BF86" s="136" t="str">
        <f aca="false">IF($BR86&lt;&gt;Constants!$B$8,"",IF($AL86,($AI86-Constants!$B$29)*Constants!$B$28,0))</f>
        <v/>
      </c>
      <c r="BG86" s="136" t="str">
        <f aca="false">IF($BR86&lt;&gt;Constants!$B$8,"",IF($AK86,0,Constants!$B$15)+IF($AJ86,0,Constants!$B$16)+IF($AH86,0,Constants!$B$17))</f>
        <v/>
      </c>
      <c r="BH86" s="137" t="str">
        <f aca="false">IF($BR86&lt;&gt;Constants!$B$8,"",Constants!$B$20+SUM($BC86:$BG86))</f>
        <v/>
      </c>
      <c r="BI86" s="133" t="str">
        <f aca="false">IF($BR86&lt;&gt;Constants!$B$8,"",IF(OR($BP86&lt;$BH86,AND($BP86=$BH86,OR($BK86&lt;$BC86,AND($BK86=$BC86,OR($BL86&lt;$BD86,AND($BL86=$BD86,$AT86,$AL86,$AV86&lt;$AN86)))))),"-&gt;","&lt;-"))</f>
        <v/>
      </c>
      <c r="BJ86" s="132" t="str">
        <f aca="false">IF(ISBLANK($C86),"",AND($AT86,OR($AU86="",$AV86="",AND($AW86,$AX86=""))))</f>
        <v/>
      </c>
      <c r="BK86" s="135" t="str">
        <f aca="false">IF($BR86&lt;&gt;Constants!$B$8,"",IF($AT86,Constants!$B$21*$AV86+Constants!$B$22*IF($AW86,$AX86,Constants!$B$23),Constants!$B$24))</f>
        <v/>
      </c>
      <c r="BL86" s="136" t="str">
        <f aca="false">IF($BR86&lt;&gt;Constants!$B$8,"",Constants!$B$25*ABS($AD$9-IF($AT86,$AU86,0)))</f>
        <v/>
      </c>
      <c r="BM86" s="136" t="str">
        <f aca="false">IF($BR86&lt;&gt;Constants!$B$8,"",IF(AND($AT86,$AY86,$AW86),Constants!$B$27,0))</f>
        <v/>
      </c>
      <c r="BN86" s="136" t="str">
        <f aca="false">IF($BR86&lt;&gt;Constants!$B$8,"",IF($AT86,($AI86-Constants!$B$29)*Constants!$B$28,0))</f>
        <v/>
      </c>
      <c r="BO86" s="136" t="str">
        <f aca="false">IF($BR86&lt;&gt;Constants!$B$8,"",IF($AS86,0,Constants!$B$15)+IF($AR86,0,Constants!$B$16)+IF($AH86,0,Constants!$B$17))</f>
        <v/>
      </c>
      <c r="BP86" s="137" t="str">
        <f aca="false">IF($BR86&lt;&gt;Constants!$B$8,"",Constants!$B$20+SUM($BK86:$BO86))</f>
        <v/>
      </c>
      <c r="BQ86" s="133" t="str">
        <f aca="false">IF(ISBLANK($C86),"",IF(ISBLANK($D$7),$BQ$5,IF(NOT(ISNUMBER($D$7)),$BQ$6,"")))</f>
        <v/>
      </c>
      <c r="BR86" s="133" t="str">
        <f aca="false">IF(ISBLANK($C86),"",IF($BA86,Constants!$B$11,IF(COUNTA($E86:$AA86)=0,Constants!$B$10,IF(NOT($AG86),Constants!$B$9,IF(OR($BQ86&lt;&gt;"",$BB86,$BJ86),Constants!$B$12,Constants!$B$8)))))</f>
        <v/>
      </c>
      <c r="BS86" s="133" t="str">
        <f aca="false">IF(ISBLANK($C86),"",IF($BR86&lt;&gt;Constants!$B$8,$BR86,Constants!$B$13))</f>
        <v/>
      </c>
      <c r="BT86" s="136" t="str">
        <f aca="false">IF($BR86&lt;&gt;Constants!$B$8,"",IF($BI86="-&gt;",$BP86,$BH86))</f>
        <v/>
      </c>
      <c r="BU86" s="136" t="str">
        <f aca="false">IF($BR86&lt;&gt;Constants!$B$8,"",IF($AF86,0,Constants!$B$18))</f>
        <v/>
      </c>
      <c r="BV86" s="136" t="str">
        <f aca="false">IF($BR86&lt;&gt;Constants!$B$8,"",((Constants!$B$31-$AZ86)-Constants!$B$31)/Constants!$B$32)</f>
        <v/>
      </c>
      <c r="BW86" s="136" t="str">
        <f aca="false">IF(ISBLANK($C86),"",IF($BR86&lt;&gt;Constants!$B$8,$BR86,SUM($BT86:$BV86)))</f>
        <v/>
      </c>
      <c r="BX86" s="133" t="str">
        <f aca="false">IF(ISBLANK($C86),"",IF($BR86&lt;&gt;Constants!$B$8,$BR86,RANK($BW86,$BW$9:$BW$508,1)))</f>
        <v/>
      </c>
      <c r="BY86" s="136" t="str">
        <f aca="false">IF($BR86&lt;&gt;Constants!$B$8,"",IF($BI86="-&gt;",$BK86,$BC86))</f>
        <v/>
      </c>
      <c r="BZ86" s="133" t="str">
        <f aca="false">IF(ISBLANK($C86),"",IF($BR86&lt;&gt;Constants!$B$8,$BR86,IF(ISNUMBER($BY86),RANK($BY86,$BY$9:$BY$508,1),COUNT($BY$9:$BY$508)+1)))</f>
        <v/>
      </c>
      <c r="CA86" s="136" t="str">
        <f aca="false">IF($BR86&lt;&gt;Constants!$B$8,"",IF($BI86="-&gt;",$BL86,$BD86))</f>
        <v/>
      </c>
      <c r="CB86" s="133" t="str">
        <f aca="false">IF(ISBLANK($C86),"",IF($BR86&lt;&gt;Constants!$B$8,$BR86,IF(ISNUMBER($CA86),RANK($CA86,$CA$9:$CA$508,1),COUNT($CA$9:$CA$508)+1)))</f>
        <v/>
      </c>
      <c r="CC86" s="136" t="str">
        <f aca="false">IF($BR86&lt;&gt;Constants!$B$8,"",IF($BI86="-&gt;",IF($AT86,$AV86,""),IF($AL86,$AN86,"")))</f>
        <v/>
      </c>
      <c r="CD86" s="133" t="str">
        <f aca="false">IF(ISBLANK($C86),"",IF($BR86&lt;&gt;Constants!$B$8,$BR86,IF(ISNUMBER($CC86),RANK($CC86,$CC$9:$CC$508,1),COUNT($CC$9:$CC$508)+1)))</f>
        <v/>
      </c>
      <c r="CE86" s="136" t="str">
        <f aca="false">IF($BR86&lt;&gt;Constants!$B$8,"",IF(AND(NOT($AL86),NOT($AT86),$AJ86,$AK86,$AR86,$AS86),"",$AI86))</f>
        <v/>
      </c>
      <c r="CF86" s="133" t="str">
        <f aca="false">IF(ISBLANK($C86),"",IF($BR86&lt;&gt;Constants!$B$8,$BR86,IF(ISNUMBER($CE86),RANK($CE86,$CE$9:$CE$508,1),COUNT($CE$9:$CE$508)+1)))</f>
        <v/>
      </c>
      <c r="CG86" s="133" t="str">
        <f aca="false">IF(ISBLANK($C86),"",IF($BR86&lt;&gt;Constants!$B$8,$BR86,COUNTIFS($BX$9:$BX$508,"&lt;"&amp;$BX86)+COUNTIFS($BX$9:$BX$508,$BX86,$BZ$9:$BZ$508,"&lt;"&amp;$BZ86)+COUNTIFS($BX$9:$BX$508,$BX86,$BZ$9:$BZ$508,$BZ86,$CB$9:$CB$508,"&lt;"&amp;$CB86)+COUNTIFS($BX$9:$BX$508,$BX86,$BZ$9:$BZ$508,$BZ86,$CB$9:$CB$508,$CB86,$CD$9:$CD$508,"&lt;"&amp;$CD86)+COUNTIFS($BX$9:$BX$508,$BX86,$BZ$9:$BZ$508,$BZ86,$CB$9:$CB$508,$CB86,$CD$9:$CD$508,$CD86,$CF$9:$CF$508,"&lt;"&amp;$CF86)+1))</f>
        <v/>
      </c>
      <c r="CH86" s="133" t="str">
        <f aca="false">IF(ISBLANK($C86),"",IF($BR86&lt;&gt;Constants!$B$8,$BR86,$BX86-$CG86))</f>
        <v/>
      </c>
      <c r="CI86" s="138"/>
      <c r="CJ86" s="139"/>
      <c r="CK86" s="140" t="str">
        <f aca="false">IF(ISBLANK($C86),"",IF($BR86=Constants!$B$12,$BQ86,""))</f>
        <v/>
      </c>
      <c r="CL86" s="139" t="str">
        <f aca="false">IF(ISBLANK($C86),"",IF($BR86&lt;&gt;Constants!$B$8,"",IF($BI86="-&gt;",2,1)))</f>
        <v/>
      </c>
      <c r="CM86" s="141" t="str">
        <f aca="false">IF(ISBLANK($C86),"",IF($BR86&lt;&gt;Constants!$B$8,"",IF($BI86="-&gt;",$BK86,$BC86)))</f>
        <v/>
      </c>
      <c r="CN86" s="141" t="str">
        <f aca="false">IF(ISBLANK($C86),"",IF($BR86&lt;&gt;Constants!$B$8,"",IF($BI86="-&gt;",$BL86,$BD86)))</f>
        <v/>
      </c>
      <c r="CO86" s="141" t="str">
        <f aca="false">IF(ISBLANK($C86),"",IF($BR86&lt;&gt;Constants!$B$8,"",IF($BI86="-&gt;",$BM86+$BN86,$BE86+$BF86)+$BV86))</f>
        <v/>
      </c>
      <c r="CP86" s="141" t="str">
        <f aca="false">IF(ISBLANK($C86),"",IF($BR86&lt;&gt;Constants!$B$8,"",IF($BI86="-&gt;",$BO86,$BG86)+$BU86))</f>
        <v/>
      </c>
      <c r="CQ86" s="142" t="str">
        <f aca="false">IF(ISBLANK($C86),"",IF($BR86&lt;&gt;Constants!$B$8,$BR86,$BW86))</f>
        <v/>
      </c>
      <c r="CR86" s="143" t="str">
        <f aca="false">IF(ISBLANK($C86),"",$BS86)</f>
        <v/>
      </c>
      <c r="CS86" s="144" t="str">
        <f aca="false">IF(ISBLANK($C86),"",$CH86)</f>
        <v/>
      </c>
      <c r="CT86" s="144" t="str">
        <f aca="false">IF(ISBLANK($C86),"",$CG86)</f>
        <v/>
      </c>
      <c r="CU86" s="145" t="str">
        <f aca="false">IF(ISBLANK($C86),"",IFERROR(_xlfn.SWITCH($CT86,Constants!$B$11,COUNTA($C$9:$C$508)+2,Constants!$B$10,COUNTA($C$9:$C$508)+1,Constants!$B$9,COUNTA($C$9:$C$508)),$CT86))</f>
        <v/>
      </c>
      <c r="CV86" s="9"/>
      <c r="CW86" s="146" t="n">
        <f aca="false">IF(OR(ISNUMBER($CT86),$CT86=Constants!$B$11,$CT86=Constants!$B$9,$CT86=Constants!$B$10),1,0)</f>
        <v>0</v>
      </c>
      <c r="CX86" s="146" t="n">
        <v>78</v>
      </c>
      <c r="CY86" s="146" t="str">
        <f aca="false">IF(ISBLANK($C86),"",IF(ISNUMBER($CU86),$CU86+ROW($B86)/1000,""))</f>
        <v/>
      </c>
      <c r="CZ86" s="146" t="str">
        <f aca="false">IF(ISNUMBER($CY86),RANK($CY86,$CY$9:$CY$508,1),"")</f>
        <v/>
      </c>
      <c r="DA86" s="146" t="str">
        <f aca="false">IF(ISBLANK($C86),"",$B86)</f>
        <v/>
      </c>
      <c r="DB86" s="146" t="str">
        <f aca="false">IF(ISBLANK($C86),"",$C86)</f>
        <v/>
      </c>
      <c r="DC86" s="146" t="str">
        <f aca="false">IF(ISBLANK($C86),"",$D86)</f>
        <v/>
      </c>
      <c r="DD86" s="147" t="str">
        <f aca="false">$CR86</f>
        <v/>
      </c>
      <c r="DE86" s="148" t="str">
        <f aca="false">$CQ86</f>
        <v/>
      </c>
      <c r="DF86" s="146" t="str">
        <f aca="false">IF(ISBLANK($C86),"",$CT86)</f>
        <v/>
      </c>
      <c r="DG86" s="149" t="str">
        <f aca="false">IF($CX86&gt;$CW$8,"",VLOOKUP($CX86,$CZ$9:$DF$508,7,FALSE()))</f>
        <v/>
      </c>
      <c r="DH86" s="150" t="str">
        <f aca="false">IF($CX86&gt;$CW$8,"",VLOOKUP($CX86,$CZ$9:$DF$508,2,FALSE()))</f>
        <v/>
      </c>
      <c r="DI86" s="150" t="str">
        <f aca="false">IF($CX86&gt;$CW$8,"",VLOOKUP($CX86,$CZ$9:$DF$508,3,FALSE()))</f>
        <v/>
      </c>
      <c r="DJ86" s="150" t="str">
        <f aca="false">IF($CX86&gt;$CW$8,"",VLOOKUP($CX86,$CZ$9:$DF$508,4,FALSE()))</f>
        <v/>
      </c>
      <c r="DK86" s="150" t="str">
        <f aca="false">IF($CX86&gt;$CW$8,"",VLOOKUP($CX86,$CZ$9:$DF$508,5,FALSE()))</f>
        <v/>
      </c>
      <c r="DL86" s="151" t="str">
        <f aca="false">IF($CX86&gt;$CW$8,"",VLOOKUP($CX86,$CZ$9:$DF$508,6,FALSE()))</f>
        <v/>
      </c>
      <c r="DM86" s="75"/>
    </row>
    <row r="87" customFormat="false" ht="15.75" hidden="false" customHeight="false" outlineLevel="0" collapsed="false">
      <c r="A87" s="9"/>
      <c r="B87" s="77"/>
      <c r="C87" s="78"/>
      <c r="D87" s="167"/>
      <c r="E87" s="175"/>
      <c r="F87" s="169"/>
      <c r="G87" s="170"/>
      <c r="H87" s="170"/>
      <c r="I87" s="176"/>
      <c r="J87" s="173"/>
      <c r="K87" s="85"/>
      <c r="L87" s="86"/>
      <c r="M87" s="87"/>
      <c r="N87" s="173"/>
      <c r="O87" s="173"/>
      <c r="P87" s="175"/>
      <c r="Q87" s="173"/>
      <c r="R87" s="173"/>
      <c r="S87" s="85"/>
      <c r="T87" s="87"/>
      <c r="U87" s="87"/>
      <c r="V87" s="173"/>
      <c r="W87" s="173"/>
      <c r="X87" s="175"/>
      <c r="Y87" s="173"/>
      <c r="Z87" s="174"/>
      <c r="AA87" s="173"/>
      <c r="AB87" s="91"/>
      <c r="AC87" s="92"/>
      <c r="AD87" s="92"/>
      <c r="AE87" s="92"/>
      <c r="AF87" s="92" t="str">
        <f aca="false">IF(ISBLANK($C87),"",IF(E87=Constants!$B$3,TRUE(),IF(E87=Constants!$B$4,FALSE(),TRUE())))</f>
        <v/>
      </c>
      <c r="AG87" s="92" t="str">
        <f aca="false">IF(ISBLANK($C87),"",IF(F87=Constants!$B$3,TRUE(),IF(F87=Constants!$B$4,FALSE(),TRUE())))</f>
        <v/>
      </c>
      <c r="AH87" s="92" t="str">
        <f aca="false">IF(ISBLANK($C87),"",IF(G87=Constants!$B$3,TRUE(),IF(G87=Constants!$B$4,FALSE(),TRUE())))</f>
        <v/>
      </c>
      <c r="AI87" s="92" t="str">
        <f aca="false">IF(ISBLANK($C87),"",IF(AND(ISNUMBER(H87),H87&gt;=0),H87,Constants!$B$29))</f>
        <v/>
      </c>
      <c r="AJ87" s="92" t="str">
        <f aca="false">IF(ISBLANK($C87),"",IF(I87=Constants!$B$3,TRUE(),IF(I87=Constants!$B$4,FALSE(),TRUE())))</f>
        <v/>
      </c>
      <c r="AK87" s="92" t="str">
        <f aca="false">IF(ISBLANK($C87),"",IF(J87=Constants!$B$3,TRUE(),IF(J87=Constants!$B$4,FALSE(),TRUE())))</f>
        <v/>
      </c>
      <c r="AL87" s="92" t="str">
        <f aca="false">IF(ISBLANK($C87),"",IF(K87=Constants!$B$5,TRUE(),IF(K87=Constants!$B$6,FALSE(),COUNTA(L87:P87)&gt;0)))</f>
        <v/>
      </c>
      <c r="AM87" s="94" t="str">
        <f aca="false">IF(ISBLANK($C87),"",IF(ISNUMBER(L87),IF(L87&gt;=0,L87,""),""))</f>
        <v/>
      </c>
      <c r="AN87" s="93" t="str">
        <f aca="false">IF(ISBLANK($C87),"",IF(ISNUMBER(M87),IF(M87&gt;=0,M87,""),""))</f>
        <v/>
      </c>
      <c r="AO87" s="93" t="str">
        <f aca="false">IF(ISBLANK($C87),"",IF(N87=Constants!$B$3,TRUE(),IF(N87=Constants!$B$4,FALSE(),TRUE())))</f>
        <v/>
      </c>
      <c r="AP87" s="92" t="str">
        <f aca="false">IF(ISBLANK($C87),"",IF(ISNUMBER(O87),IF(O87&gt;=0,O87,""),""))</f>
        <v/>
      </c>
      <c r="AQ87" s="92" t="str">
        <f aca="false">IF(ISBLANK($C87),"",IF(P87=Constants!$B$3,TRUE(),IF(P87=Constants!$B$4,FALSE(),FALSE())))</f>
        <v/>
      </c>
      <c r="AR87" s="92" t="str">
        <f aca="false">IF(ISBLANK($C87),"",IF(Q87=Constants!$B$3,TRUE(),IF(Q87=Constants!$B$4,FALSE(),TRUE())))</f>
        <v/>
      </c>
      <c r="AS87" s="92" t="str">
        <f aca="false">IF(ISBLANK($C87),"",IF(R87=Constants!$B$3,TRUE(),IF(R87=Constants!$B$4,FALSE(),TRUE())))</f>
        <v/>
      </c>
      <c r="AT87" s="92" t="str">
        <f aca="false">IF(ISBLANK($C87),"",IF(S87=Constants!$B$5,TRUE(),IF(S87=Constants!$B$6,FALSE(),COUNTA(T87:X87)&gt;0)))</f>
        <v/>
      </c>
      <c r="AU87" s="94" t="str">
        <f aca="false">IF(ISBLANK($C87),"",IF(ISNUMBER(T87),IF(T87&gt;=0,T87,""),""))</f>
        <v/>
      </c>
      <c r="AV87" s="93" t="str">
        <f aca="false">IF(ISBLANK($C87),"",IF(ISNUMBER(U87),IF(U87&gt;=0,U87,""),""))</f>
        <v/>
      </c>
      <c r="AW87" s="93" t="str">
        <f aca="false">IF(ISBLANK($C87),"",IF(V87=Constants!$B$3,TRUE(),IF(V87=Constants!$B$4,FALSE(),TRUE())))</f>
        <v/>
      </c>
      <c r="AX87" s="92" t="str">
        <f aca="false">IF(ISBLANK($C87),"",IF(ISNUMBER(W87),IF(W87&gt;=0,W87,""),""))</f>
        <v/>
      </c>
      <c r="AY87" s="92" t="str">
        <f aca="false">IF(ISBLANK($C87),"",IF(X87=Constants!$B$3,TRUE(),IF(X87=Constants!$B$4,FALSE(),FALSE())))</f>
        <v/>
      </c>
      <c r="AZ87" s="92" t="str">
        <f aca="false">IF(ISBLANK($C87),"",MIN(Constants!$B$31,MAX(0,IF(ISNUMBER(Y87),Y87*60,0)+IF(ISNUMBER(Z87),Z87,0))))</f>
        <v/>
      </c>
      <c r="BA87" s="92" t="str">
        <f aca="false">IF(ISBLANK($C87),"",IF(AA87=Constants!$B$3,TRUE(),IF(AA87=Constants!$B$4,FALSE(),FALSE())))</f>
        <v/>
      </c>
      <c r="BB87" s="91" t="str">
        <f aca="false">IF(ISBLANK($C87),"",AND($AL87,OR($AM87="",$AN87="",AND($AO87,$AP87=""))))</f>
        <v/>
      </c>
      <c r="BC87" s="93" t="str">
        <f aca="false">IF($BR87&lt;&gt;Constants!$B$8,"",IF($AL87,Constants!$B$21*$AN87+Constants!$B$22*IF($AO87,$AP87,Constants!$B$23),Constants!$B$24))</f>
        <v/>
      </c>
      <c r="BD87" s="96" t="str">
        <f aca="false">IF($BR87&lt;&gt;Constants!$B$8,"",Constants!$B$25*ABS($AD$9-IF($AL87,$AM87,0)))</f>
        <v/>
      </c>
      <c r="BE87" s="96" t="str">
        <f aca="false">IF($BR87&lt;&gt;Constants!$B$8,"",IF(AND($AL87,$AQ87,$AO87),Constants!$B$27,0))</f>
        <v/>
      </c>
      <c r="BF87" s="96" t="str">
        <f aca="false">IF($BR87&lt;&gt;Constants!$B$8,"",IF($AL87,($AI87-Constants!$B$29)*Constants!$B$28,0))</f>
        <v/>
      </c>
      <c r="BG87" s="96" t="str">
        <f aca="false">IF($BR87&lt;&gt;Constants!$B$8,"",IF($AK87,0,Constants!$B$15)+IF($AJ87,0,Constants!$B$16)+IF($AH87,0,Constants!$B$17))</f>
        <v/>
      </c>
      <c r="BH87" s="97" t="str">
        <f aca="false">IF($BR87&lt;&gt;Constants!$B$8,"",Constants!$B$20+SUM($BC87:$BG87))</f>
        <v/>
      </c>
      <c r="BI87" s="92" t="str">
        <f aca="false">IF($BR87&lt;&gt;Constants!$B$8,"",IF(OR($BP87&lt;$BH87,AND($BP87=$BH87,OR($BK87&lt;$BC87,AND($BK87=$BC87,OR($BL87&lt;$BD87,AND($BL87=$BD87,$AT87,$AL87,$AV87&lt;$AN87)))))),"-&gt;","&lt;-"))</f>
        <v/>
      </c>
      <c r="BJ87" s="91" t="str">
        <f aca="false">IF(ISBLANK($C87),"",AND($AT87,OR($AU87="",$AV87="",AND($AW87,$AX87=""))))</f>
        <v/>
      </c>
      <c r="BK87" s="93" t="str">
        <f aca="false">IF($BR87&lt;&gt;Constants!$B$8,"",IF($AT87,Constants!$B$21*$AV87+Constants!$B$22*IF($AW87,$AX87,Constants!$B$23),Constants!$B$24))</f>
        <v/>
      </c>
      <c r="BL87" s="96" t="str">
        <f aca="false">IF($BR87&lt;&gt;Constants!$B$8,"",Constants!$B$25*ABS($AD$9-IF($AT87,$AU87,0)))</f>
        <v/>
      </c>
      <c r="BM87" s="96" t="str">
        <f aca="false">IF($BR87&lt;&gt;Constants!$B$8,"",IF(AND($AT87,$AY87,$AW87),Constants!$B$27,0))</f>
        <v/>
      </c>
      <c r="BN87" s="96" t="str">
        <f aca="false">IF($BR87&lt;&gt;Constants!$B$8,"",IF($AT87,($AI87-Constants!$B$29)*Constants!$B$28,0))</f>
        <v/>
      </c>
      <c r="BO87" s="96" t="str">
        <f aca="false">IF($BR87&lt;&gt;Constants!$B$8,"",IF($AS87,0,Constants!$B$15)+IF($AR87,0,Constants!$B$16)+IF($AH87,0,Constants!$B$17))</f>
        <v/>
      </c>
      <c r="BP87" s="97" t="str">
        <f aca="false">IF($BR87&lt;&gt;Constants!$B$8,"",Constants!$B$20+SUM($BK87:$BO87))</f>
        <v/>
      </c>
      <c r="BQ87" s="92" t="str">
        <f aca="false">IF(ISBLANK($C87),"",IF(ISBLANK($D$7),$BQ$5,IF(NOT(ISNUMBER($D$7)),$BQ$6,"")))</f>
        <v/>
      </c>
      <c r="BR87" s="92" t="str">
        <f aca="false">IF(ISBLANK($C87),"",IF($BA87,Constants!$B$11,IF(COUNTA($E87:$AA87)=0,Constants!$B$10,IF(NOT($AG87),Constants!$B$9,IF(OR($BQ87&lt;&gt;"",$BB87,$BJ87),Constants!$B$12,Constants!$B$8)))))</f>
        <v/>
      </c>
      <c r="BS87" s="92" t="str">
        <f aca="false">IF(ISBLANK($C87),"",IF($BR87&lt;&gt;Constants!$B$8,$BR87,Constants!$B$13))</f>
        <v/>
      </c>
      <c r="BT87" s="96" t="str">
        <f aca="false">IF($BR87&lt;&gt;Constants!$B$8,"",IF($BI87="-&gt;",$BP87,$BH87))</f>
        <v/>
      </c>
      <c r="BU87" s="96" t="str">
        <f aca="false">IF($BR87&lt;&gt;Constants!$B$8,"",IF($AF87,0,Constants!$B$18))</f>
        <v/>
      </c>
      <c r="BV87" s="96" t="str">
        <f aca="false">IF($BR87&lt;&gt;Constants!$B$8,"",((Constants!$B$31-$AZ87)-Constants!$B$31)/Constants!$B$32)</f>
        <v/>
      </c>
      <c r="BW87" s="96" t="str">
        <f aca="false">IF(ISBLANK($C87),"",IF($BR87&lt;&gt;Constants!$B$8,$BR87,SUM($BT87:$BV87)))</f>
        <v/>
      </c>
      <c r="BX87" s="92" t="str">
        <f aca="false">IF(ISBLANK($C87),"",IF($BR87&lt;&gt;Constants!$B$8,$BR87,RANK($BW87,$BW$9:$BW$508,1)))</f>
        <v/>
      </c>
      <c r="BY87" s="96" t="str">
        <f aca="false">IF($BR87&lt;&gt;Constants!$B$8,"",IF($BI87="-&gt;",$BK87,$BC87))</f>
        <v/>
      </c>
      <c r="BZ87" s="92" t="str">
        <f aca="false">IF(ISBLANK($C87),"",IF($BR87&lt;&gt;Constants!$B$8,$BR87,IF(ISNUMBER($BY87),RANK($BY87,$BY$9:$BY$508,1),COUNT($BY$9:$BY$508)+1)))</f>
        <v/>
      </c>
      <c r="CA87" s="96" t="str">
        <f aca="false">IF($BR87&lt;&gt;Constants!$B$8,"",IF($BI87="-&gt;",$BL87,$BD87))</f>
        <v/>
      </c>
      <c r="CB87" s="92" t="str">
        <f aca="false">IF(ISBLANK($C87),"",IF($BR87&lt;&gt;Constants!$B$8,$BR87,IF(ISNUMBER($CA87),RANK($CA87,$CA$9:$CA$508,1),COUNT($CA$9:$CA$508)+1)))</f>
        <v/>
      </c>
      <c r="CC87" s="96" t="str">
        <f aca="false">IF($BR87&lt;&gt;Constants!$B$8,"",IF($BI87="-&gt;",IF($AT87,$AV87,""),IF($AL87,$AN87,"")))</f>
        <v/>
      </c>
      <c r="CD87" s="92" t="str">
        <f aca="false">IF(ISBLANK($C87),"",IF($BR87&lt;&gt;Constants!$B$8,$BR87,IF(ISNUMBER($CC87),RANK($CC87,$CC$9:$CC$508,1),COUNT($CC$9:$CC$508)+1)))</f>
        <v/>
      </c>
      <c r="CE87" s="96" t="str">
        <f aca="false">IF($BR87&lt;&gt;Constants!$B$8,"",IF(AND(NOT($AL87),NOT($AT87),$AJ87,$AK87,$AR87,$AS87),"",$AI87))</f>
        <v/>
      </c>
      <c r="CF87" s="92" t="str">
        <f aca="false">IF(ISBLANK($C87),"",IF($BR87&lt;&gt;Constants!$B$8,$BR87,IF(ISNUMBER($CE87),RANK($CE87,$CE$9:$CE$508,1),COUNT($CE$9:$CE$508)+1)))</f>
        <v/>
      </c>
      <c r="CG87" s="92" t="str">
        <f aca="false">IF(ISBLANK($C87),"",IF($BR87&lt;&gt;Constants!$B$8,$BR87,COUNTIFS($BX$9:$BX$508,"&lt;"&amp;$BX87)+COUNTIFS($BX$9:$BX$508,$BX87,$BZ$9:$BZ$508,"&lt;"&amp;$BZ87)+COUNTIFS($BX$9:$BX$508,$BX87,$BZ$9:$BZ$508,$BZ87,$CB$9:$CB$508,"&lt;"&amp;$CB87)+COUNTIFS($BX$9:$BX$508,$BX87,$BZ$9:$BZ$508,$BZ87,$CB$9:$CB$508,$CB87,$CD$9:$CD$508,"&lt;"&amp;$CD87)+COUNTIFS($BX$9:$BX$508,$BX87,$BZ$9:$BZ$508,$BZ87,$CB$9:$CB$508,$CB87,$CD$9:$CD$508,$CD87,$CF$9:$CF$508,"&lt;"&amp;$CF87)+1))</f>
        <v/>
      </c>
      <c r="CH87" s="92" t="str">
        <f aca="false">IF(ISBLANK($C87),"",IF($BR87&lt;&gt;Constants!$B$8,$BR87,$BX87-$CG87))</f>
        <v/>
      </c>
      <c r="CI87" s="98"/>
      <c r="CJ87" s="99"/>
      <c r="CK87" s="100" t="str">
        <f aca="false">IF(ISBLANK($C87),"",IF($BR87=Constants!$B$12,$BQ87,""))</f>
        <v/>
      </c>
      <c r="CL87" s="99" t="str">
        <f aca="false">IF(ISBLANK($C87),"",IF($BR87&lt;&gt;Constants!$B$8,"",IF($BI87="-&gt;",2,1)))</f>
        <v/>
      </c>
      <c r="CM87" s="101" t="str">
        <f aca="false">IF(ISBLANK($C87),"",IF($BR87&lt;&gt;Constants!$B$8,"",IF($BI87="-&gt;",$BK87,$BC87)))</f>
        <v/>
      </c>
      <c r="CN87" s="101" t="str">
        <f aca="false">IF(ISBLANK($C87),"",IF($BR87&lt;&gt;Constants!$B$8,"",IF($BI87="-&gt;",$BL87,$BD87)))</f>
        <v/>
      </c>
      <c r="CO87" s="101" t="str">
        <f aca="false">IF(ISBLANK($C87),"",IF($BR87&lt;&gt;Constants!$B$8,"",IF($BI87="-&gt;",$BM87+$BN87,$BE87+$BF87)+$BV87))</f>
        <v/>
      </c>
      <c r="CP87" s="101" t="str">
        <f aca="false">IF(ISBLANK($C87),"",IF($BR87&lt;&gt;Constants!$B$8,"",IF($BI87="-&gt;",$BO87,$BG87)+$BU87))</f>
        <v/>
      </c>
      <c r="CQ87" s="102" t="str">
        <f aca="false">IF(ISBLANK($C87),"",IF($BR87&lt;&gt;Constants!$B$8,$BR87,$BW87))</f>
        <v/>
      </c>
      <c r="CR87" s="103" t="str">
        <f aca="false">IF(ISBLANK($C87),"",$BS87)</f>
        <v/>
      </c>
      <c r="CS87" s="104" t="str">
        <f aca="false">IF(ISBLANK($C87),"",$CH87)</f>
        <v/>
      </c>
      <c r="CT87" s="104" t="str">
        <f aca="false">IF(ISBLANK($C87),"",$CG87)</f>
        <v/>
      </c>
      <c r="CU87" s="105" t="str">
        <f aca="false">IF(ISBLANK($C87),"",IFERROR(_xlfn.SWITCH($CT87,Constants!$B$11,COUNTA($C$9:$C$508)+2,Constants!$B$10,COUNTA($C$9:$C$508)+1,Constants!$B$9,COUNTA($C$9:$C$508)),$CT87))</f>
        <v/>
      </c>
      <c r="CV87" s="9"/>
      <c r="CW87" s="106" t="n">
        <f aca="false">IF(OR(ISNUMBER($CT87),$CT87=Constants!$B$11,$CT87=Constants!$B$9,$CT87=Constants!$B$10),1,0)</f>
        <v>0</v>
      </c>
      <c r="CX87" s="106" t="n">
        <v>79</v>
      </c>
      <c r="CY87" s="106" t="str">
        <f aca="false">IF(ISBLANK($C87),"",IF(ISNUMBER($CU87),$CU87+ROW($B87)/1000,""))</f>
        <v/>
      </c>
      <c r="CZ87" s="106" t="str">
        <f aca="false">IF(ISNUMBER($CY87),RANK($CY87,$CY$9:$CY$508,1),"")</f>
        <v/>
      </c>
      <c r="DA87" s="106" t="str">
        <f aca="false">IF(ISBLANK($C87),"",$B87)</f>
        <v/>
      </c>
      <c r="DB87" s="106" t="str">
        <f aca="false">IF(ISBLANK($C87),"",$C87)</f>
        <v/>
      </c>
      <c r="DC87" s="106" t="str">
        <f aca="false">IF(ISBLANK($C87),"",$D87)</f>
        <v/>
      </c>
      <c r="DD87" s="107" t="str">
        <f aca="false">$CR87</f>
        <v/>
      </c>
      <c r="DE87" s="108" t="str">
        <f aca="false">$CQ87</f>
        <v/>
      </c>
      <c r="DF87" s="106" t="str">
        <f aca="false">IF(ISBLANK($C87),"",$CT87)</f>
        <v/>
      </c>
      <c r="DG87" s="109" t="str">
        <f aca="false">IF($CX87&gt;$CW$8,"",VLOOKUP($CX87,$CZ$9:$DF$508,7,FALSE()))</f>
        <v/>
      </c>
      <c r="DH87" s="110" t="str">
        <f aca="false">IF($CX87&gt;$CW$8,"",VLOOKUP($CX87,$CZ$9:$DF$508,2,FALSE()))</f>
        <v/>
      </c>
      <c r="DI87" s="110" t="str">
        <f aca="false">IF($CX87&gt;$CW$8,"",VLOOKUP($CX87,$CZ$9:$DF$508,3,FALSE()))</f>
        <v/>
      </c>
      <c r="DJ87" s="110" t="str">
        <f aca="false">IF($CX87&gt;$CW$8,"",VLOOKUP($CX87,$CZ$9:$DF$508,4,FALSE()))</f>
        <v/>
      </c>
      <c r="DK87" s="110" t="str">
        <f aca="false">IF($CX87&gt;$CW$8,"",VLOOKUP($CX87,$CZ$9:$DF$508,5,FALSE()))</f>
        <v/>
      </c>
      <c r="DL87" s="111" t="str">
        <f aca="false">IF($CX87&gt;$CW$8,"",VLOOKUP($CX87,$CZ$9:$DF$508,6,FALSE()))</f>
        <v/>
      </c>
      <c r="DM87" s="75"/>
    </row>
    <row r="88" customFormat="false" ht="15.75" hidden="false" customHeight="false" outlineLevel="0" collapsed="false">
      <c r="A88" s="9"/>
      <c r="B88" s="77"/>
      <c r="C88" s="78"/>
      <c r="D88" s="167"/>
      <c r="E88" s="175"/>
      <c r="F88" s="169"/>
      <c r="G88" s="170"/>
      <c r="H88" s="170"/>
      <c r="I88" s="176"/>
      <c r="J88" s="173"/>
      <c r="K88" s="85"/>
      <c r="L88" s="86"/>
      <c r="M88" s="87"/>
      <c r="N88" s="173"/>
      <c r="O88" s="173"/>
      <c r="P88" s="175"/>
      <c r="Q88" s="173"/>
      <c r="R88" s="173"/>
      <c r="S88" s="85"/>
      <c r="T88" s="87"/>
      <c r="U88" s="87"/>
      <c r="V88" s="173"/>
      <c r="W88" s="173"/>
      <c r="X88" s="175"/>
      <c r="Y88" s="173"/>
      <c r="Z88" s="174"/>
      <c r="AA88" s="173"/>
      <c r="AB88" s="91"/>
      <c r="AC88" s="92"/>
      <c r="AD88" s="92"/>
      <c r="AE88" s="92"/>
      <c r="AF88" s="92" t="str">
        <f aca="false">IF(ISBLANK($C88),"",IF(E88=Constants!$B$3,TRUE(),IF(E88=Constants!$B$4,FALSE(),TRUE())))</f>
        <v/>
      </c>
      <c r="AG88" s="92" t="str">
        <f aca="false">IF(ISBLANK($C88),"",IF(F88=Constants!$B$3,TRUE(),IF(F88=Constants!$B$4,FALSE(),TRUE())))</f>
        <v/>
      </c>
      <c r="AH88" s="92" t="str">
        <f aca="false">IF(ISBLANK($C88),"",IF(G88=Constants!$B$3,TRUE(),IF(G88=Constants!$B$4,FALSE(),TRUE())))</f>
        <v/>
      </c>
      <c r="AI88" s="92" t="str">
        <f aca="false">IF(ISBLANK($C88),"",IF(AND(ISNUMBER(H88),H88&gt;=0),H88,Constants!$B$29))</f>
        <v/>
      </c>
      <c r="AJ88" s="92" t="str">
        <f aca="false">IF(ISBLANK($C88),"",IF(I88=Constants!$B$3,TRUE(),IF(I88=Constants!$B$4,FALSE(),TRUE())))</f>
        <v/>
      </c>
      <c r="AK88" s="92" t="str">
        <f aca="false">IF(ISBLANK($C88),"",IF(J88=Constants!$B$3,TRUE(),IF(J88=Constants!$B$4,FALSE(),TRUE())))</f>
        <v/>
      </c>
      <c r="AL88" s="92" t="str">
        <f aca="false">IF(ISBLANK($C88),"",IF(K88=Constants!$B$5,TRUE(),IF(K88=Constants!$B$6,FALSE(),COUNTA(L88:P88)&gt;0)))</f>
        <v/>
      </c>
      <c r="AM88" s="94" t="str">
        <f aca="false">IF(ISBLANK($C88),"",IF(ISNUMBER(L88),IF(L88&gt;=0,L88,""),""))</f>
        <v/>
      </c>
      <c r="AN88" s="93" t="str">
        <f aca="false">IF(ISBLANK($C88),"",IF(ISNUMBER(M88),IF(M88&gt;=0,M88,""),""))</f>
        <v/>
      </c>
      <c r="AO88" s="93" t="str">
        <f aca="false">IF(ISBLANK($C88),"",IF(N88=Constants!$B$3,TRUE(),IF(N88=Constants!$B$4,FALSE(),TRUE())))</f>
        <v/>
      </c>
      <c r="AP88" s="92" t="str">
        <f aca="false">IF(ISBLANK($C88),"",IF(ISNUMBER(O88),IF(O88&gt;=0,O88,""),""))</f>
        <v/>
      </c>
      <c r="AQ88" s="92" t="str">
        <f aca="false">IF(ISBLANK($C88),"",IF(P88=Constants!$B$3,TRUE(),IF(P88=Constants!$B$4,FALSE(),FALSE())))</f>
        <v/>
      </c>
      <c r="AR88" s="92" t="str">
        <f aca="false">IF(ISBLANK($C88),"",IF(Q88=Constants!$B$3,TRUE(),IF(Q88=Constants!$B$4,FALSE(),TRUE())))</f>
        <v/>
      </c>
      <c r="AS88" s="92" t="str">
        <f aca="false">IF(ISBLANK($C88),"",IF(R88=Constants!$B$3,TRUE(),IF(R88=Constants!$B$4,FALSE(),TRUE())))</f>
        <v/>
      </c>
      <c r="AT88" s="92" t="str">
        <f aca="false">IF(ISBLANK($C88),"",IF(S88=Constants!$B$5,TRUE(),IF(S88=Constants!$B$6,FALSE(),COUNTA(T88:X88)&gt;0)))</f>
        <v/>
      </c>
      <c r="AU88" s="94" t="str">
        <f aca="false">IF(ISBLANK($C88),"",IF(ISNUMBER(T88),IF(T88&gt;=0,T88,""),""))</f>
        <v/>
      </c>
      <c r="AV88" s="93" t="str">
        <f aca="false">IF(ISBLANK($C88),"",IF(ISNUMBER(U88),IF(U88&gt;=0,U88,""),""))</f>
        <v/>
      </c>
      <c r="AW88" s="93" t="str">
        <f aca="false">IF(ISBLANK($C88),"",IF(V88=Constants!$B$3,TRUE(),IF(V88=Constants!$B$4,FALSE(),TRUE())))</f>
        <v/>
      </c>
      <c r="AX88" s="92" t="str">
        <f aca="false">IF(ISBLANK($C88),"",IF(ISNUMBER(W88),IF(W88&gt;=0,W88,""),""))</f>
        <v/>
      </c>
      <c r="AY88" s="92" t="str">
        <f aca="false">IF(ISBLANK($C88),"",IF(X88=Constants!$B$3,TRUE(),IF(X88=Constants!$B$4,FALSE(),FALSE())))</f>
        <v/>
      </c>
      <c r="AZ88" s="92" t="str">
        <f aca="false">IF(ISBLANK($C88),"",MIN(Constants!$B$31,MAX(0,IF(ISNUMBER(Y88),Y88*60,0)+IF(ISNUMBER(Z88),Z88,0))))</f>
        <v/>
      </c>
      <c r="BA88" s="92" t="str">
        <f aca="false">IF(ISBLANK($C88),"",IF(AA88=Constants!$B$3,TRUE(),IF(AA88=Constants!$B$4,FALSE(),FALSE())))</f>
        <v/>
      </c>
      <c r="BB88" s="91" t="str">
        <f aca="false">IF(ISBLANK($C88),"",AND($AL88,OR($AM88="",$AN88="",AND($AO88,$AP88=""))))</f>
        <v/>
      </c>
      <c r="BC88" s="93" t="str">
        <f aca="false">IF($BR88&lt;&gt;Constants!$B$8,"",IF($AL88,Constants!$B$21*$AN88+Constants!$B$22*IF($AO88,$AP88,Constants!$B$23),Constants!$B$24))</f>
        <v/>
      </c>
      <c r="BD88" s="96" t="str">
        <f aca="false">IF($BR88&lt;&gt;Constants!$B$8,"",Constants!$B$25*ABS($AD$9-IF($AL88,$AM88,0)))</f>
        <v/>
      </c>
      <c r="BE88" s="96" t="str">
        <f aca="false">IF($BR88&lt;&gt;Constants!$B$8,"",IF(AND($AL88,$AQ88,$AO88),Constants!$B$27,0))</f>
        <v/>
      </c>
      <c r="BF88" s="96" t="str">
        <f aca="false">IF($BR88&lt;&gt;Constants!$B$8,"",IF($AL88,($AI88-Constants!$B$29)*Constants!$B$28,0))</f>
        <v/>
      </c>
      <c r="BG88" s="96" t="str">
        <f aca="false">IF($BR88&lt;&gt;Constants!$B$8,"",IF($AK88,0,Constants!$B$15)+IF($AJ88,0,Constants!$B$16)+IF($AH88,0,Constants!$B$17))</f>
        <v/>
      </c>
      <c r="BH88" s="97" t="str">
        <f aca="false">IF($BR88&lt;&gt;Constants!$B$8,"",Constants!$B$20+SUM($BC88:$BG88))</f>
        <v/>
      </c>
      <c r="BI88" s="92" t="str">
        <f aca="false">IF($BR88&lt;&gt;Constants!$B$8,"",IF(OR($BP88&lt;$BH88,AND($BP88=$BH88,OR($BK88&lt;$BC88,AND($BK88=$BC88,OR($BL88&lt;$BD88,AND($BL88=$BD88,$AT88,$AL88,$AV88&lt;$AN88)))))),"-&gt;","&lt;-"))</f>
        <v/>
      </c>
      <c r="BJ88" s="91" t="str">
        <f aca="false">IF(ISBLANK($C88),"",AND($AT88,OR($AU88="",$AV88="",AND($AW88,$AX88=""))))</f>
        <v/>
      </c>
      <c r="BK88" s="93" t="str">
        <f aca="false">IF($BR88&lt;&gt;Constants!$B$8,"",IF($AT88,Constants!$B$21*$AV88+Constants!$B$22*IF($AW88,$AX88,Constants!$B$23),Constants!$B$24))</f>
        <v/>
      </c>
      <c r="BL88" s="96" t="str">
        <f aca="false">IF($BR88&lt;&gt;Constants!$B$8,"",Constants!$B$25*ABS($AD$9-IF($AT88,$AU88,0)))</f>
        <v/>
      </c>
      <c r="BM88" s="96" t="str">
        <f aca="false">IF($BR88&lt;&gt;Constants!$B$8,"",IF(AND($AT88,$AY88,$AW88),Constants!$B$27,0))</f>
        <v/>
      </c>
      <c r="BN88" s="96" t="str">
        <f aca="false">IF($BR88&lt;&gt;Constants!$B$8,"",IF($AT88,($AI88-Constants!$B$29)*Constants!$B$28,0))</f>
        <v/>
      </c>
      <c r="BO88" s="96" t="str">
        <f aca="false">IF($BR88&lt;&gt;Constants!$B$8,"",IF($AS88,0,Constants!$B$15)+IF($AR88,0,Constants!$B$16)+IF($AH88,0,Constants!$B$17))</f>
        <v/>
      </c>
      <c r="BP88" s="97" t="str">
        <f aca="false">IF($BR88&lt;&gt;Constants!$B$8,"",Constants!$B$20+SUM($BK88:$BO88))</f>
        <v/>
      </c>
      <c r="BQ88" s="92" t="str">
        <f aca="false">IF(ISBLANK($C88),"",IF(ISBLANK($D$7),$BQ$5,IF(NOT(ISNUMBER($D$7)),$BQ$6,"")))</f>
        <v/>
      </c>
      <c r="BR88" s="92" t="str">
        <f aca="false">IF(ISBLANK($C88),"",IF($BA88,Constants!$B$11,IF(COUNTA($E88:$AA88)=0,Constants!$B$10,IF(NOT($AG88),Constants!$B$9,IF(OR($BQ88&lt;&gt;"",$BB88,$BJ88),Constants!$B$12,Constants!$B$8)))))</f>
        <v/>
      </c>
      <c r="BS88" s="92" t="str">
        <f aca="false">IF(ISBLANK($C88),"",IF($BR88&lt;&gt;Constants!$B$8,$BR88,Constants!$B$13))</f>
        <v/>
      </c>
      <c r="BT88" s="96" t="str">
        <f aca="false">IF($BR88&lt;&gt;Constants!$B$8,"",IF($BI88="-&gt;",$BP88,$BH88))</f>
        <v/>
      </c>
      <c r="BU88" s="96" t="str">
        <f aca="false">IF($BR88&lt;&gt;Constants!$B$8,"",IF($AF88,0,Constants!$B$18))</f>
        <v/>
      </c>
      <c r="BV88" s="96" t="str">
        <f aca="false">IF($BR88&lt;&gt;Constants!$B$8,"",((Constants!$B$31-$AZ88)-Constants!$B$31)/Constants!$B$32)</f>
        <v/>
      </c>
      <c r="BW88" s="96" t="str">
        <f aca="false">IF(ISBLANK($C88),"",IF($BR88&lt;&gt;Constants!$B$8,$BR88,SUM($BT88:$BV88)))</f>
        <v/>
      </c>
      <c r="BX88" s="92" t="str">
        <f aca="false">IF(ISBLANK($C88),"",IF($BR88&lt;&gt;Constants!$B$8,$BR88,RANK($BW88,$BW$9:$BW$508,1)))</f>
        <v/>
      </c>
      <c r="BY88" s="96" t="str">
        <f aca="false">IF($BR88&lt;&gt;Constants!$B$8,"",IF($BI88="-&gt;",$BK88,$BC88))</f>
        <v/>
      </c>
      <c r="BZ88" s="92" t="str">
        <f aca="false">IF(ISBLANK($C88),"",IF($BR88&lt;&gt;Constants!$B$8,$BR88,IF(ISNUMBER($BY88),RANK($BY88,$BY$9:$BY$508,1),COUNT($BY$9:$BY$508)+1)))</f>
        <v/>
      </c>
      <c r="CA88" s="96" t="str">
        <f aca="false">IF($BR88&lt;&gt;Constants!$B$8,"",IF($BI88="-&gt;",$BL88,$BD88))</f>
        <v/>
      </c>
      <c r="CB88" s="92" t="str">
        <f aca="false">IF(ISBLANK($C88),"",IF($BR88&lt;&gt;Constants!$B$8,$BR88,IF(ISNUMBER($CA88),RANK($CA88,$CA$9:$CA$508,1),COUNT($CA$9:$CA$508)+1)))</f>
        <v/>
      </c>
      <c r="CC88" s="96" t="str">
        <f aca="false">IF($BR88&lt;&gt;Constants!$B$8,"",IF($BI88="-&gt;",IF($AT88,$AV88,""),IF($AL88,$AN88,"")))</f>
        <v/>
      </c>
      <c r="CD88" s="92" t="str">
        <f aca="false">IF(ISBLANK($C88),"",IF($BR88&lt;&gt;Constants!$B$8,$BR88,IF(ISNUMBER($CC88),RANK($CC88,$CC$9:$CC$508,1),COUNT($CC$9:$CC$508)+1)))</f>
        <v/>
      </c>
      <c r="CE88" s="96" t="str">
        <f aca="false">IF($BR88&lt;&gt;Constants!$B$8,"",IF(AND(NOT($AL88),NOT($AT88),$AJ88,$AK88,$AR88,$AS88),"",$AI88))</f>
        <v/>
      </c>
      <c r="CF88" s="92" t="str">
        <f aca="false">IF(ISBLANK($C88),"",IF($BR88&lt;&gt;Constants!$B$8,$BR88,IF(ISNUMBER($CE88),RANK($CE88,$CE$9:$CE$508,1),COUNT($CE$9:$CE$508)+1)))</f>
        <v/>
      </c>
      <c r="CG88" s="92" t="str">
        <f aca="false">IF(ISBLANK($C88),"",IF($BR88&lt;&gt;Constants!$B$8,$BR88,COUNTIFS($BX$9:$BX$508,"&lt;"&amp;$BX88)+COUNTIFS($BX$9:$BX$508,$BX88,$BZ$9:$BZ$508,"&lt;"&amp;$BZ88)+COUNTIFS($BX$9:$BX$508,$BX88,$BZ$9:$BZ$508,$BZ88,$CB$9:$CB$508,"&lt;"&amp;$CB88)+COUNTIFS($BX$9:$BX$508,$BX88,$BZ$9:$BZ$508,$BZ88,$CB$9:$CB$508,$CB88,$CD$9:$CD$508,"&lt;"&amp;$CD88)+COUNTIFS($BX$9:$BX$508,$BX88,$BZ$9:$BZ$508,$BZ88,$CB$9:$CB$508,$CB88,$CD$9:$CD$508,$CD88,$CF$9:$CF$508,"&lt;"&amp;$CF88)+1))</f>
        <v/>
      </c>
      <c r="CH88" s="92" t="str">
        <f aca="false">IF(ISBLANK($C88),"",IF($BR88&lt;&gt;Constants!$B$8,$BR88,$BX88-$CG88))</f>
        <v/>
      </c>
      <c r="CI88" s="98"/>
      <c r="CJ88" s="99"/>
      <c r="CK88" s="100" t="str">
        <f aca="false">IF(ISBLANK($C88),"",IF($BR88=Constants!$B$12,$BQ88,""))</f>
        <v/>
      </c>
      <c r="CL88" s="99" t="str">
        <f aca="false">IF(ISBLANK($C88),"",IF($BR88&lt;&gt;Constants!$B$8,"",IF($BI88="-&gt;",2,1)))</f>
        <v/>
      </c>
      <c r="CM88" s="101" t="str">
        <f aca="false">IF(ISBLANK($C88),"",IF($BR88&lt;&gt;Constants!$B$8,"",IF($BI88="-&gt;",$BK88,$BC88)))</f>
        <v/>
      </c>
      <c r="CN88" s="101" t="str">
        <f aca="false">IF(ISBLANK($C88),"",IF($BR88&lt;&gt;Constants!$B$8,"",IF($BI88="-&gt;",$BL88,$BD88)))</f>
        <v/>
      </c>
      <c r="CO88" s="101" t="str">
        <f aca="false">IF(ISBLANK($C88),"",IF($BR88&lt;&gt;Constants!$B$8,"",IF($BI88="-&gt;",$BM88+$BN88,$BE88+$BF88)+$BV88))</f>
        <v/>
      </c>
      <c r="CP88" s="101" t="str">
        <f aca="false">IF(ISBLANK($C88),"",IF($BR88&lt;&gt;Constants!$B$8,"",IF($BI88="-&gt;",$BO88,$BG88)+$BU88))</f>
        <v/>
      </c>
      <c r="CQ88" s="102" t="str">
        <f aca="false">IF(ISBLANK($C88),"",IF($BR88&lt;&gt;Constants!$B$8,$BR88,$BW88))</f>
        <v/>
      </c>
      <c r="CR88" s="103" t="str">
        <f aca="false">IF(ISBLANK($C88),"",$BS88)</f>
        <v/>
      </c>
      <c r="CS88" s="104" t="str">
        <f aca="false">IF(ISBLANK($C88),"",$CH88)</f>
        <v/>
      </c>
      <c r="CT88" s="104" t="str">
        <f aca="false">IF(ISBLANK($C88),"",$CG88)</f>
        <v/>
      </c>
      <c r="CU88" s="105" t="str">
        <f aca="false">IF(ISBLANK($C88),"",IFERROR(_xlfn.SWITCH($CT88,Constants!$B$11,COUNTA($C$9:$C$508)+2,Constants!$B$10,COUNTA($C$9:$C$508)+1,Constants!$B$9,COUNTA($C$9:$C$508)),$CT88))</f>
        <v/>
      </c>
      <c r="CV88" s="9"/>
      <c r="CW88" s="106" t="n">
        <f aca="false">IF(OR(ISNUMBER($CT88),$CT88=Constants!$B$11,$CT88=Constants!$B$9,$CT88=Constants!$B$10),1,0)</f>
        <v>0</v>
      </c>
      <c r="CX88" s="106" t="n">
        <v>80</v>
      </c>
      <c r="CY88" s="106" t="str">
        <f aca="false">IF(ISBLANK($C88),"",IF(ISNUMBER($CU88),$CU88+ROW($B88)/1000,""))</f>
        <v/>
      </c>
      <c r="CZ88" s="106" t="str">
        <f aca="false">IF(ISNUMBER($CY88),RANK($CY88,$CY$9:$CY$508,1),"")</f>
        <v/>
      </c>
      <c r="DA88" s="106" t="str">
        <f aca="false">IF(ISBLANK($C88),"",$B88)</f>
        <v/>
      </c>
      <c r="DB88" s="106" t="str">
        <f aca="false">IF(ISBLANK($C88),"",$C88)</f>
        <v/>
      </c>
      <c r="DC88" s="106" t="str">
        <f aca="false">IF(ISBLANK($C88),"",$D88)</f>
        <v/>
      </c>
      <c r="DD88" s="107" t="str">
        <f aca="false">$CR88</f>
        <v/>
      </c>
      <c r="DE88" s="108" t="str">
        <f aca="false">$CQ88</f>
        <v/>
      </c>
      <c r="DF88" s="106" t="str">
        <f aca="false">IF(ISBLANK($C88),"",$CT88)</f>
        <v/>
      </c>
      <c r="DG88" s="109" t="str">
        <f aca="false">IF($CX88&gt;$CW$8,"",VLOOKUP($CX88,$CZ$9:$DF$508,7,FALSE()))</f>
        <v/>
      </c>
      <c r="DH88" s="110" t="str">
        <f aca="false">IF($CX88&gt;$CW$8,"",VLOOKUP($CX88,$CZ$9:$DF$508,2,FALSE()))</f>
        <v/>
      </c>
      <c r="DI88" s="110" t="str">
        <f aca="false">IF($CX88&gt;$CW$8,"",VLOOKUP($CX88,$CZ$9:$DF$508,3,FALSE()))</f>
        <v/>
      </c>
      <c r="DJ88" s="110" t="str">
        <f aca="false">IF($CX88&gt;$CW$8,"",VLOOKUP($CX88,$CZ$9:$DF$508,4,FALSE()))</f>
        <v/>
      </c>
      <c r="DK88" s="110" t="str">
        <f aca="false">IF($CX88&gt;$CW$8,"",VLOOKUP($CX88,$CZ$9:$DF$508,5,FALSE()))</f>
        <v/>
      </c>
      <c r="DL88" s="111" t="str">
        <f aca="false">IF($CX88&gt;$CW$8,"",VLOOKUP($CX88,$CZ$9:$DF$508,6,FALSE()))</f>
        <v/>
      </c>
      <c r="DM88" s="75"/>
    </row>
    <row r="89" customFormat="false" ht="15.75" hidden="false" customHeight="false" outlineLevel="0" collapsed="false">
      <c r="A89" s="9"/>
      <c r="B89" s="77"/>
      <c r="C89" s="78"/>
      <c r="D89" s="167"/>
      <c r="E89" s="175"/>
      <c r="F89" s="169"/>
      <c r="G89" s="170"/>
      <c r="H89" s="170"/>
      <c r="I89" s="176"/>
      <c r="J89" s="173"/>
      <c r="K89" s="85"/>
      <c r="L89" s="86"/>
      <c r="M89" s="87"/>
      <c r="N89" s="173"/>
      <c r="O89" s="173"/>
      <c r="P89" s="175"/>
      <c r="Q89" s="173"/>
      <c r="R89" s="173"/>
      <c r="S89" s="85"/>
      <c r="T89" s="87"/>
      <c r="U89" s="87"/>
      <c r="V89" s="173"/>
      <c r="W89" s="173"/>
      <c r="X89" s="175"/>
      <c r="Y89" s="173"/>
      <c r="Z89" s="174"/>
      <c r="AA89" s="173"/>
      <c r="AB89" s="91"/>
      <c r="AC89" s="92"/>
      <c r="AD89" s="92"/>
      <c r="AE89" s="92"/>
      <c r="AF89" s="92" t="str">
        <f aca="false">IF(ISBLANK($C89),"",IF(E89=Constants!$B$3,TRUE(),IF(E89=Constants!$B$4,FALSE(),TRUE())))</f>
        <v/>
      </c>
      <c r="AG89" s="92" t="str">
        <f aca="false">IF(ISBLANK($C89),"",IF(F89=Constants!$B$3,TRUE(),IF(F89=Constants!$B$4,FALSE(),TRUE())))</f>
        <v/>
      </c>
      <c r="AH89" s="92" t="str">
        <f aca="false">IF(ISBLANK($C89),"",IF(G89=Constants!$B$3,TRUE(),IF(G89=Constants!$B$4,FALSE(),TRUE())))</f>
        <v/>
      </c>
      <c r="AI89" s="92" t="str">
        <f aca="false">IF(ISBLANK($C89),"",IF(AND(ISNUMBER(H89),H89&gt;=0),H89,Constants!$B$29))</f>
        <v/>
      </c>
      <c r="AJ89" s="92" t="str">
        <f aca="false">IF(ISBLANK($C89),"",IF(I89=Constants!$B$3,TRUE(),IF(I89=Constants!$B$4,FALSE(),TRUE())))</f>
        <v/>
      </c>
      <c r="AK89" s="92" t="str">
        <f aca="false">IF(ISBLANK($C89),"",IF(J89=Constants!$B$3,TRUE(),IF(J89=Constants!$B$4,FALSE(),TRUE())))</f>
        <v/>
      </c>
      <c r="AL89" s="92" t="str">
        <f aca="false">IF(ISBLANK($C89),"",IF(K89=Constants!$B$5,TRUE(),IF(K89=Constants!$B$6,FALSE(),COUNTA(L89:P89)&gt;0)))</f>
        <v/>
      </c>
      <c r="AM89" s="94" t="str">
        <f aca="false">IF(ISBLANK($C89),"",IF(ISNUMBER(L89),IF(L89&gt;=0,L89,""),""))</f>
        <v/>
      </c>
      <c r="AN89" s="93" t="str">
        <f aca="false">IF(ISBLANK($C89),"",IF(ISNUMBER(M89),IF(M89&gt;=0,M89,""),""))</f>
        <v/>
      </c>
      <c r="AO89" s="93" t="str">
        <f aca="false">IF(ISBLANK($C89),"",IF(N89=Constants!$B$3,TRUE(),IF(N89=Constants!$B$4,FALSE(),TRUE())))</f>
        <v/>
      </c>
      <c r="AP89" s="92" t="str">
        <f aca="false">IF(ISBLANK($C89),"",IF(ISNUMBER(O89),IF(O89&gt;=0,O89,""),""))</f>
        <v/>
      </c>
      <c r="AQ89" s="92" t="str">
        <f aca="false">IF(ISBLANK($C89),"",IF(P89=Constants!$B$3,TRUE(),IF(P89=Constants!$B$4,FALSE(),FALSE())))</f>
        <v/>
      </c>
      <c r="AR89" s="92" t="str">
        <f aca="false">IF(ISBLANK($C89),"",IF(Q89=Constants!$B$3,TRUE(),IF(Q89=Constants!$B$4,FALSE(),TRUE())))</f>
        <v/>
      </c>
      <c r="AS89" s="92" t="str">
        <f aca="false">IF(ISBLANK($C89),"",IF(R89=Constants!$B$3,TRUE(),IF(R89=Constants!$B$4,FALSE(),TRUE())))</f>
        <v/>
      </c>
      <c r="AT89" s="92" t="str">
        <f aca="false">IF(ISBLANK($C89),"",IF(S89=Constants!$B$5,TRUE(),IF(S89=Constants!$B$6,FALSE(),COUNTA(T89:X89)&gt;0)))</f>
        <v/>
      </c>
      <c r="AU89" s="94" t="str">
        <f aca="false">IF(ISBLANK($C89),"",IF(ISNUMBER(T89),IF(T89&gt;=0,T89,""),""))</f>
        <v/>
      </c>
      <c r="AV89" s="93" t="str">
        <f aca="false">IF(ISBLANK($C89),"",IF(ISNUMBER(U89),IF(U89&gt;=0,U89,""),""))</f>
        <v/>
      </c>
      <c r="AW89" s="93" t="str">
        <f aca="false">IF(ISBLANK($C89),"",IF(V89=Constants!$B$3,TRUE(),IF(V89=Constants!$B$4,FALSE(),TRUE())))</f>
        <v/>
      </c>
      <c r="AX89" s="92" t="str">
        <f aca="false">IF(ISBLANK($C89),"",IF(ISNUMBER(W89),IF(W89&gt;=0,W89,""),""))</f>
        <v/>
      </c>
      <c r="AY89" s="92" t="str">
        <f aca="false">IF(ISBLANK($C89),"",IF(X89=Constants!$B$3,TRUE(),IF(X89=Constants!$B$4,FALSE(),FALSE())))</f>
        <v/>
      </c>
      <c r="AZ89" s="92" t="str">
        <f aca="false">IF(ISBLANK($C89),"",MIN(Constants!$B$31,MAX(0,IF(ISNUMBER(Y89),Y89*60,0)+IF(ISNUMBER(Z89),Z89,0))))</f>
        <v/>
      </c>
      <c r="BA89" s="92" t="str">
        <f aca="false">IF(ISBLANK($C89),"",IF(AA89=Constants!$B$3,TRUE(),IF(AA89=Constants!$B$4,FALSE(),FALSE())))</f>
        <v/>
      </c>
      <c r="BB89" s="91" t="str">
        <f aca="false">IF(ISBLANK($C89),"",AND($AL89,OR($AM89="",$AN89="",AND($AO89,$AP89=""))))</f>
        <v/>
      </c>
      <c r="BC89" s="93" t="str">
        <f aca="false">IF($BR89&lt;&gt;Constants!$B$8,"",IF($AL89,Constants!$B$21*$AN89+Constants!$B$22*IF($AO89,$AP89,Constants!$B$23),Constants!$B$24))</f>
        <v/>
      </c>
      <c r="BD89" s="96" t="str">
        <f aca="false">IF($BR89&lt;&gt;Constants!$B$8,"",Constants!$B$25*ABS($AD$9-IF($AL89,$AM89,0)))</f>
        <v/>
      </c>
      <c r="BE89" s="96" t="str">
        <f aca="false">IF($BR89&lt;&gt;Constants!$B$8,"",IF(AND($AL89,$AQ89,$AO89),Constants!$B$27,0))</f>
        <v/>
      </c>
      <c r="BF89" s="96" t="str">
        <f aca="false">IF($BR89&lt;&gt;Constants!$B$8,"",IF($AL89,($AI89-Constants!$B$29)*Constants!$B$28,0))</f>
        <v/>
      </c>
      <c r="BG89" s="96" t="str">
        <f aca="false">IF($BR89&lt;&gt;Constants!$B$8,"",IF($AK89,0,Constants!$B$15)+IF($AJ89,0,Constants!$B$16)+IF($AH89,0,Constants!$B$17))</f>
        <v/>
      </c>
      <c r="BH89" s="97" t="str">
        <f aca="false">IF($BR89&lt;&gt;Constants!$B$8,"",Constants!$B$20+SUM($BC89:$BG89))</f>
        <v/>
      </c>
      <c r="BI89" s="92" t="str">
        <f aca="false">IF($BR89&lt;&gt;Constants!$B$8,"",IF(OR($BP89&lt;$BH89,AND($BP89=$BH89,OR($BK89&lt;$BC89,AND($BK89=$BC89,OR($BL89&lt;$BD89,AND($BL89=$BD89,$AT89,$AL89,$AV89&lt;$AN89)))))),"-&gt;","&lt;-"))</f>
        <v/>
      </c>
      <c r="BJ89" s="91" t="str">
        <f aca="false">IF(ISBLANK($C89),"",AND($AT89,OR($AU89="",$AV89="",AND($AW89,$AX89=""))))</f>
        <v/>
      </c>
      <c r="BK89" s="93" t="str">
        <f aca="false">IF($BR89&lt;&gt;Constants!$B$8,"",IF($AT89,Constants!$B$21*$AV89+Constants!$B$22*IF($AW89,$AX89,Constants!$B$23),Constants!$B$24))</f>
        <v/>
      </c>
      <c r="BL89" s="96" t="str">
        <f aca="false">IF($BR89&lt;&gt;Constants!$B$8,"",Constants!$B$25*ABS($AD$9-IF($AT89,$AU89,0)))</f>
        <v/>
      </c>
      <c r="BM89" s="96" t="str">
        <f aca="false">IF($BR89&lt;&gt;Constants!$B$8,"",IF(AND($AT89,$AY89,$AW89),Constants!$B$27,0))</f>
        <v/>
      </c>
      <c r="BN89" s="96" t="str">
        <f aca="false">IF($BR89&lt;&gt;Constants!$B$8,"",IF($AT89,($AI89-Constants!$B$29)*Constants!$B$28,0))</f>
        <v/>
      </c>
      <c r="BO89" s="96" t="str">
        <f aca="false">IF($BR89&lt;&gt;Constants!$B$8,"",IF($AS89,0,Constants!$B$15)+IF($AR89,0,Constants!$B$16)+IF($AH89,0,Constants!$B$17))</f>
        <v/>
      </c>
      <c r="BP89" s="97" t="str">
        <f aca="false">IF($BR89&lt;&gt;Constants!$B$8,"",Constants!$B$20+SUM($BK89:$BO89))</f>
        <v/>
      </c>
      <c r="BQ89" s="92" t="str">
        <f aca="false">IF(ISBLANK($C89),"",IF(ISBLANK($D$7),$BQ$5,IF(NOT(ISNUMBER($D$7)),$BQ$6,"")))</f>
        <v/>
      </c>
      <c r="BR89" s="92" t="str">
        <f aca="false">IF(ISBLANK($C89),"",IF($BA89,Constants!$B$11,IF(COUNTA($E89:$AA89)=0,Constants!$B$10,IF(NOT($AG89),Constants!$B$9,IF(OR($BQ89&lt;&gt;"",$BB89,$BJ89),Constants!$B$12,Constants!$B$8)))))</f>
        <v/>
      </c>
      <c r="BS89" s="92" t="str">
        <f aca="false">IF(ISBLANK($C89),"",IF($BR89&lt;&gt;Constants!$B$8,$BR89,Constants!$B$13))</f>
        <v/>
      </c>
      <c r="BT89" s="96" t="str">
        <f aca="false">IF($BR89&lt;&gt;Constants!$B$8,"",IF($BI89="-&gt;",$BP89,$BH89))</f>
        <v/>
      </c>
      <c r="BU89" s="96" t="str">
        <f aca="false">IF($BR89&lt;&gt;Constants!$B$8,"",IF($AF89,0,Constants!$B$18))</f>
        <v/>
      </c>
      <c r="BV89" s="96" t="str">
        <f aca="false">IF($BR89&lt;&gt;Constants!$B$8,"",((Constants!$B$31-$AZ89)-Constants!$B$31)/Constants!$B$32)</f>
        <v/>
      </c>
      <c r="BW89" s="96" t="str">
        <f aca="false">IF(ISBLANK($C89),"",IF($BR89&lt;&gt;Constants!$B$8,$BR89,SUM($BT89:$BV89)))</f>
        <v/>
      </c>
      <c r="BX89" s="92" t="str">
        <f aca="false">IF(ISBLANK($C89),"",IF($BR89&lt;&gt;Constants!$B$8,$BR89,RANK($BW89,$BW$9:$BW$508,1)))</f>
        <v/>
      </c>
      <c r="BY89" s="96" t="str">
        <f aca="false">IF($BR89&lt;&gt;Constants!$B$8,"",IF($BI89="-&gt;",$BK89,$BC89))</f>
        <v/>
      </c>
      <c r="BZ89" s="92" t="str">
        <f aca="false">IF(ISBLANK($C89),"",IF($BR89&lt;&gt;Constants!$B$8,$BR89,IF(ISNUMBER($BY89),RANK($BY89,$BY$9:$BY$508,1),COUNT($BY$9:$BY$508)+1)))</f>
        <v/>
      </c>
      <c r="CA89" s="96" t="str">
        <f aca="false">IF($BR89&lt;&gt;Constants!$B$8,"",IF($BI89="-&gt;",$BL89,$BD89))</f>
        <v/>
      </c>
      <c r="CB89" s="92" t="str">
        <f aca="false">IF(ISBLANK($C89),"",IF($BR89&lt;&gt;Constants!$B$8,$BR89,IF(ISNUMBER($CA89),RANK($CA89,$CA$9:$CA$508,1),COUNT($CA$9:$CA$508)+1)))</f>
        <v/>
      </c>
      <c r="CC89" s="96" t="str">
        <f aca="false">IF($BR89&lt;&gt;Constants!$B$8,"",IF($BI89="-&gt;",IF($AT89,$AV89,""),IF($AL89,$AN89,"")))</f>
        <v/>
      </c>
      <c r="CD89" s="92" t="str">
        <f aca="false">IF(ISBLANK($C89),"",IF($BR89&lt;&gt;Constants!$B$8,$BR89,IF(ISNUMBER($CC89),RANK($CC89,$CC$9:$CC$508,1),COUNT($CC$9:$CC$508)+1)))</f>
        <v/>
      </c>
      <c r="CE89" s="96" t="str">
        <f aca="false">IF($BR89&lt;&gt;Constants!$B$8,"",IF(AND(NOT($AL89),NOT($AT89),$AJ89,$AK89,$AR89,$AS89),"",$AI89))</f>
        <v/>
      </c>
      <c r="CF89" s="92" t="str">
        <f aca="false">IF(ISBLANK($C89),"",IF($BR89&lt;&gt;Constants!$B$8,$BR89,IF(ISNUMBER($CE89),RANK($CE89,$CE$9:$CE$508,1),COUNT($CE$9:$CE$508)+1)))</f>
        <v/>
      </c>
      <c r="CG89" s="92" t="str">
        <f aca="false">IF(ISBLANK($C89),"",IF($BR89&lt;&gt;Constants!$B$8,$BR89,COUNTIFS($BX$9:$BX$508,"&lt;"&amp;$BX89)+COUNTIFS($BX$9:$BX$508,$BX89,$BZ$9:$BZ$508,"&lt;"&amp;$BZ89)+COUNTIFS($BX$9:$BX$508,$BX89,$BZ$9:$BZ$508,$BZ89,$CB$9:$CB$508,"&lt;"&amp;$CB89)+COUNTIFS($BX$9:$BX$508,$BX89,$BZ$9:$BZ$508,$BZ89,$CB$9:$CB$508,$CB89,$CD$9:$CD$508,"&lt;"&amp;$CD89)+COUNTIFS($BX$9:$BX$508,$BX89,$BZ$9:$BZ$508,$BZ89,$CB$9:$CB$508,$CB89,$CD$9:$CD$508,$CD89,$CF$9:$CF$508,"&lt;"&amp;$CF89)+1))</f>
        <v/>
      </c>
      <c r="CH89" s="92" t="str">
        <f aca="false">IF(ISBLANK($C89),"",IF($BR89&lt;&gt;Constants!$B$8,$BR89,$BX89-$CG89))</f>
        <v/>
      </c>
      <c r="CI89" s="98"/>
      <c r="CJ89" s="99"/>
      <c r="CK89" s="100" t="str">
        <f aca="false">IF(ISBLANK($C89),"",IF($BR89=Constants!$B$12,$BQ89,""))</f>
        <v/>
      </c>
      <c r="CL89" s="99" t="str">
        <f aca="false">IF(ISBLANK($C89),"",IF($BR89&lt;&gt;Constants!$B$8,"",IF($BI89="-&gt;",2,1)))</f>
        <v/>
      </c>
      <c r="CM89" s="101" t="str">
        <f aca="false">IF(ISBLANK($C89),"",IF($BR89&lt;&gt;Constants!$B$8,"",IF($BI89="-&gt;",$BK89,$BC89)))</f>
        <v/>
      </c>
      <c r="CN89" s="101" t="str">
        <f aca="false">IF(ISBLANK($C89),"",IF($BR89&lt;&gt;Constants!$B$8,"",IF($BI89="-&gt;",$BL89,$BD89)))</f>
        <v/>
      </c>
      <c r="CO89" s="101" t="str">
        <f aca="false">IF(ISBLANK($C89),"",IF($BR89&lt;&gt;Constants!$B$8,"",IF($BI89="-&gt;",$BM89+$BN89,$BE89+$BF89)+$BV89))</f>
        <v/>
      </c>
      <c r="CP89" s="101" t="str">
        <f aca="false">IF(ISBLANK($C89),"",IF($BR89&lt;&gt;Constants!$B$8,"",IF($BI89="-&gt;",$BO89,$BG89)+$BU89))</f>
        <v/>
      </c>
      <c r="CQ89" s="102" t="str">
        <f aca="false">IF(ISBLANK($C89),"",IF($BR89&lt;&gt;Constants!$B$8,$BR89,$BW89))</f>
        <v/>
      </c>
      <c r="CR89" s="103" t="str">
        <f aca="false">IF(ISBLANK($C89),"",$BS89)</f>
        <v/>
      </c>
      <c r="CS89" s="104" t="str">
        <f aca="false">IF(ISBLANK($C89),"",$CH89)</f>
        <v/>
      </c>
      <c r="CT89" s="104" t="str">
        <f aca="false">IF(ISBLANK($C89),"",$CG89)</f>
        <v/>
      </c>
      <c r="CU89" s="105" t="str">
        <f aca="false">IF(ISBLANK($C89),"",IFERROR(_xlfn.SWITCH($CT89,Constants!$B$11,COUNTA($C$9:$C$508)+2,Constants!$B$10,COUNTA($C$9:$C$508)+1,Constants!$B$9,COUNTA($C$9:$C$508)),$CT89))</f>
        <v/>
      </c>
      <c r="CV89" s="9"/>
      <c r="CW89" s="106" t="n">
        <f aca="false">IF(OR(ISNUMBER($CT89),$CT89=Constants!$B$11,$CT89=Constants!$B$9,$CT89=Constants!$B$10),1,0)</f>
        <v>0</v>
      </c>
      <c r="CX89" s="106" t="n">
        <v>81</v>
      </c>
      <c r="CY89" s="106" t="str">
        <f aca="false">IF(ISBLANK($C89),"",IF(ISNUMBER($CU89),$CU89+ROW($B89)/1000,""))</f>
        <v/>
      </c>
      <c r="CZ89" s="106" t="str">
        <f aca="false">IF(ISNUMBER($CY89),RANK($CY89,$CY$9:$CY$508,1),"")</f>
        <v/>
      </c>
      <c r="DA89" s="106" t="str">
        <f aca="false">IF(ISBLANK($C89),"",$B89)</f>
        <v/>
      </c>
      <c r="DB89" s="106" t="str">
        <f aca="false">IF(ISBLANK($C89),"",$C89)</f>
        <v/>
      </c>
      <c r="DC89" s="106" t="str">
        <f aca="false">IF(ISBLANK($C89),"",$D89)</f>
        <v/>
      </c>
      <c r="DD89" s="107" t="str">
        <f aca="false">$CR89</f>
        <v/>
      </c>
      <c r="DE89" s="108" t="str">
        <f aca="false">$CQ89</f>
        <v/>
      </c>
      <c r="DF89" s="106" t="str">
        <f aca="false">IF(ISBLANK($C89),"",$CT89)</f>
        <v/>
      </c>
      <c r="DG89" s="109" t="str">
        <f aca="false">IF($CX89&gt;$CW$8,"",VLOOKUP($CX89,$CZ$9:$DF$508,7,FALSE()))</f>
        <v/>
      </c>
      <c r="DH89" s="110" t="str">
        <f aca="false">IF($CX89&gt;$CW$8,"",VLOOKUP($CX89,$CZ$9:$DF$508,2,FALSE()))</f>
        <v/>
      </c>
      <c r="DI89" s="110" t="str">
        <f aca="false">IF($CX89&gt;$CW$8,"",VLOOKUP($CX89,$CZ$9:$DF$508,3,FALSE()))</f>
        <v/>
      </c>
      <c r="DJ89" s="110" t="str">
        <f aca="false">IF($CX89&gt;$CW$8,"",VLOOKUP($CX89,$CZ$9:$DF$508,4,FALSE()))</f>
        <v/>
      </c>
      <c r="DK89" s="110" t="str">
        <f aca="false">IF($CX89&gt;$CW$8,"",VLOOKUP($CX89,$CZ$9:$DF$508,5,FALSE()))</f>
        <v/>
      </c>
      <c r="DL89" s="111" t="str">
        <f aca="false">IF($CX89&gt;$CW$8,"",VLOOKUP($CX89,$CZ$9:$DF$508,6,FALSE()))</f>
        <v/>
      </c>
      <c r="DM89" s="75"/>
    </row>
    <row r="90" customFormat="false" ht="15.75" hidden="false" customHeight="false" outlineLevel="0" collapsed="false">
      <c r="A90" s="9"/>
      <c r="B90" s="157"/>
      <c r="C90" s="158"/>
      <c r="D90" s="159"/>
      <c r="E90" s="177"/>
      <c r="F90" s="161"/>
      <c r="G90" s="162"/>
      <c r="H90" s="162"/>
      <c r="I90" s="178"/>
      <c r="J90" s="165"/>
      <c r="K90" s="126"/>
      <c r="L90" s="127"/>
      <c r="M90" s="128"/>
      <c r="N90" s="165"/>
      <c r="O90" s="165"/>
      <c r="P90" s="177"/>
      <c r="Q90" s="165"/>
      <c r="R90" s="165"/>
      <c r="S90" s="126"/>
      <c r="T90" s="128"/>
      <c r="U90" s="128"/>
      <c r="V90" s="165"/>
      <c r="W90" s="165"/>
      <c r="X90" s="177"/>
      <c r="Y90" s="165"/>
      <c r="Z90" s="166"/>
      <c r="AA90" s="165"/>
      <c r="AB90" s="132"/>
      <c r="AC90" s="133"/>
      <c r="AD90" s="133"/>
      <c r="AE90" s="133"/>
      <c r="AF90" s="133" t="str">
        <f aca="false">IF(ISBLANK($C90),"",IF(E90=Constants!$B$3,TRUE(),IF(E90=Constants!$B$4,FALSE(),TRUE())))</f>
        <v/>
      </c>
      <c r="AG90" s="133" t="str">
        <f aca="false">IF(ISBLANK($C90),"",IF(F90=Constants!$B$3,TRUE(),IF(F90=Constants!$B$4,FALSE(),TRUE())))</f>
        <v/>
      </c>
      <c r="AH90" s="133" t="str">
        <f aca="false">IF(ISBLANK($C90),"",IF(G90=Constants!$B$3,TRUE(),IF(G90=Constants!$B$4,FALSE(),TRUE())))</f>
        <v/>
      </c>
      <c r="AI90" s="133" t="str">
        <f aca="false">IF(ISBLANK($C90),"",IF(AND(ISNUMBER(H90),H90&gt;=0),H90,Constants!$B$29))</f>
        <v/>
      </c>
      <c r="AJ90" s="133" t="str">
        <f aca="false">IF(ISBLANK($C90),"",IF(I90=Constants!$B$3,TRUE(),IF(I90=Constants!$B$4,FALSE(),TRUE())))</f>
        <v/>
      </c>
      <c r="AK90" s="133" t="str">
        <f aca="false">IF(ISBLANK($C90),"",IF(J90=Constants!$B$3,TRUE(),IF(J90=Constants!$B$4,FALSE(),TRUE())))</f>
        <v/>
      </c>
      <c r="AL90" s="133" t="str">
        <f aca="false">IF(ISBLANK($C90),"",IF(K90=Constants!$B$5,TRUE(),IF(K90=Constants!$B$6,FALSE(),COUNTA(L90:P90)&gt;0)))</f>
        <v/>
      </c>
      <c r="AM90" s="134" t="str">
        <f aca="false">IF(ISBLANK($C90),"",IF(ISNUMBER(L90),IF(L90&gt;=0,L90,""),""))</f>
        <v/>
      </c>
      <c r="AN90" s="135" t="str">
        <f aca="false">IF(ISBLANK($C90),"",IF(ISNUMBER(M90),IF(M90&gt;=0,M90,""),""))</f>
        <v/>
      </c>
      <c r="AO90" s="135" t="str">
        <f aca="false">IF(ISBLANK($C90),"",IF(N90=Constants!$B$3,TRUE(),IF(N90=Constants!$B$4,FALSE(),TRUE())))</f>
        <v/>
      </c>
      <c r="AP90" s="133" t="str">
        <f aca="false">IF(ISBLANK($C90),"",IF(ISNUMBER(O90),IF(O90&gt;=0,O90,""),""))</f>
        <v/>
      </c>
      <c r="AQ90" s="133" t="str">
        <f aca="false">IF(ISBLANK($C90),"",IF(P90=Constants!$B$3,TRUE(),IF(P90=Constants!$B$4,FALSE(),FALSE())))</f>
        <v/>
      </c>
      <c r="AR90" s="133" t="str">
        <f aca="false">IF(ISBLANK($C90),"",IF(Q90=Constants!$B$3,TRUE(),IF(Q90=Constants!$B$4,FALSE(),TRUE())))</f>
        <v/>
      </c>
      <c r="AS90" s="133" t="str">
        <f aca="false">IF(ISBLANK($C90),"",IF(R90=Constants!$B$3,TRUE(),IF(R90=Constants!$B$4,FALSE(),TRUE())))</f>
        <v/>
      </c>
      <c r="AT90" s="133" t="str">
        <f aca="false">IF(ISBLANK($C90),"",IF(S90=Constants!$B$5,TRUE(),IF(S90=Constants!$B$6,FALSE(),COUNTA(T90:X90)&gt;0)))</f>
        <v/>
      </c>
      <c r="AU90" s="134" t="str">
        <f aca="false">IF(ISBLANK($C90),"",IF(ISNUMBER(T90),IF(T90&gt;=0,T90,""),""))</f>
        <v/>
      </c>
      <c r="AV90" s="135" t="str">
        <f aca="false">IF(ISBLANK($C90),"",IF(ISNUMBER(U90),IF(U90&gt;=0,U90,""),""))</f>
        <v/>
      </c>
      <c r="AW90" s="135" t="str">
        <f aca="false">IF(ISBLANK($C90),"",IF(V90=Constants!$B$3,TRUE(),IF(V90=Constants!$B$4,FALSE(),TRUE())))</f>
        <v/>
      </c>
      <c r="AX90" s="133" t="str">
        <f aca="false">IF(ISBLANK($C90),"",IF(ISNUMBER(W90),IF(W90&gt;=0,W90,""),""))</f>
        <v/>
      </c>
      <c r="AY90" s="133" t="str">
        <f aca="false">IF(ISBLANK($C90),"",IF(X90=Constants!$B$3,TRUE(),IF(X90=Constants!$B$4,FALSE(),FALSE())))</f>
        <v/>
      </c>
      <c r="AZ90" s="133" t="str">
        <f aca="false">IF(ISBLANK($C90),"",MIN(Constants!$B$31,MAX(0,IF(ISNUMBER(Y90),Y90*60,0)+IF(ISNUMBER(Z90),Z90,0))))</f>
        <v/>
      </c>
      <c r="BA90" s="133" t="str">
        <f aca="false">IF(ISBLANK($C90),"",IF(AA90=Constants!$B$3,TRUE(),IF(AA90=Constants!$B$4,FALSE(),FALSE())))</f>
        <v/>
      </c>
      <c r="BB90" s="132" t="str">
        <f aca="false">IF(ISBLANK($C90),"",AND($AL90,OR($AM90="",$AN90="",AND($AO90,$AP90=""))))</f>
        <v/>
      </c>
      <c r="BC90" s="135" t="str">
        <f aca="false">IF($BR90&lt;&gt;Constants!$B$8,"",IF($AL90,Constants!$B$21*$AN90+Constants!$B$22*IF($AO90,$AP90,Constants!$B$23),Constants!$B$24))</f>
        <v/>
      </c>
      <c r="BD90" s="136" t="str">
        <f aca="false">IF($BR90&lt;&gt;Constants!$B$8,"",Constants!$B$25*ABS($AD$9-IF($AL90,$AM90,0)))</f>
        <v/>
      </c>
      <c r="BE90" s="136" t="str">
        <f aca="false">IF($BR90&lt;&gt;Constants!$B$8,"",IF(AND($AL90,$AQ90,$AO90),Constants!$B$27,0))</f>
        <v/>
      </c>
      <c r="BF90" s="136" t="str">
        <f aca="false">IF($BR90&lt;&gt;Constants!$B$8,"",IF($AL90,($AI90-Constants!$B$29)*Constants!$B$28,0))</f>
        <v/>
      </c>
      <c r="BG90" s="136" t="str">
        <f aca="false">IF($BR90&lt;&gt;Constants!$B$8,"",IF($AK90,0,Constants!$B$15)+IF($AJ90,0,Constants!$B$16)+IF($AH90,0,Constants!$B$17))</f>
        <v/>
      </c>
      <c r="BH90" s="137" t="str">
        <f aca="false">IF($BR90&lt;&gt;Constants!$B$8,"",Constants!$B$20+SUM($BC90:$BG90))</f>
        <v/>
      </c>
      <c r="BI90" s="133" t="str">
        <f aca="false">IF($BR90&lt;&gt;Constants!$B$8,"",IF(OR($BP90&lt;$BH90,AND($BP90=$BH90,OR($BK90&lt;$BC90,AND($BK90=$BC90,OR($BL90&lt;$BD90,AND($BL90=$BD90,$AT90,$AL90,$AV90&lt;$AN90)))))),"-&gt;","&lt;-"))</f>
        <v/>
      </c>
      <c r="BJ90" s="132" t="str">
        <f aca="false">IF(ISBLANK($C90),"",AND($AT90,OR($AU90="",$AV90="",AND($AW90,$AX90=""))))</f>
        <v/>
      </c>
      <c r="BK90" s="135" t="str">
        <f aca="false">IF($BR90&lt;&gt;Constants!$B$8,"",IF($AT90,Constants!$B$21*$AV90+Constants!$B$22*IF($AW90,$AX90,Constants!$B$23),Constants!$B$24))</f>
        <v/>
      </c>
      <c r="BL90" s="136" t="str">
        <f aca="false">IF($BR90&lt;&gt;Constants!$B$8,"",Constants!$B$25*ABS($AD$9-IF($AT90,$AU90,0)))</f>
        <v/>
      </c>
      <c r="BM90" s="136" t="str">
        <f aca="false">IF($BR90&lt;&gt;Constants!$B$8,"",IF(AND($AT90,$AY90,$AW90),Constants!$B$27,0))</f>
        <v/>
      </c>
      <c r="BN90" s="136" t="str">
        <f aca="false">IF($BR90&lt;&gt;Constants!$B$8,"",IF($AT90,($AI90-Constants!$B$29)*Constants!$B$28,0))</f>
        <v/>
      </c>
      <c r="BO90" s="136" t="str">
        <f aca="false">IF($BR90&lt;&gt;Constants!$B$8,"",IF($AS90,0,Constants!$B$15)+IF($AR90,0,Constants!$B$16)+IF($AH90,0,Constants!$B$17))</f>
        <v/>
      </c>
      <c r="BP90" s="137" t="str">
        <f aca="false">IF($BR90&lt;&gt;Constants!$B$8,"",Constants!$B$20+SUM($BK90:$BO90))</f>
        <v/>
      </c>
      <c r="BQ90" s="133" t="str">
        <f aca="false">IF(ISBLANK($C90),"",IF(ISBLANK($D$7),$BQ$5,IF(NOT(ISNUMBER($D$7)),$BQ$6,"")))</f>
        <v/>
      </c>
      <c r="BR90" s="133" t="str">
        <f aca="false">IF(ISBLANK($C90),"",IF($BA90,Constants!$B$11,IF(COUNTA($E90:$AA90)=0,Constants!$B$10,IF(NOT($AG90),Constants!$B$9,IF(OR($BQ90&lt;&gt;"",$BB90,$BJ90),Constants!$B$12,Constants!$B$8)))))</f>
        <v/>
      </c>
      <c r="BS90" s="133" t="str">
        <f aca="false">IF(ISBLANK($C90),"",IF($BR90&lt;&gt;Constants!$B$8,$BR90,Constants!$B$13))</f>
        <v/>
      </c>
      <c r="BT90" s="136" t="str">
        <f aca="false">IF($BR90&lt;&gt;Constants!$B$8,"",IF($BI90="-&gt;",$BP90,$BH90))</f>
        <v/>
      </c>
      <c r="BU90" s="136" t="str">
        <f aca="false">IF($BR90&lt;&gt;Constants!$B$8,"",IF($AF90,0,Constants!$B$18))</f>
        <v/>
      </c>
      <c r="BV90" s="136" t="str">
        <f aca="false">IF($BR90&lt;&gt;Constants!$B$8,"",((Constants!$B$31-$AZ90)-Constants!$B$31)/Constants!$B$32)</f>
        <v/>
      </c>
      <c r="BW90" s="136" t="str">
        <f aca="false">IF(ISBLANK($C90),"",IF($BR90&lt;&gt;Constants!$B$8,$BR90,SUM($BT90:$BV90)))</f>
        <v/>
      </c>
      <c r="BX90" s="133" t="str">
        <f aca="false">IF(ISBLANK($C90),"",IF($BR90&lt;&gt;Constants!$B$8,$BR90,RANK($BW90,$BW$9:$BW$508,1)))</f>
        <v/>
      </c>
      <c r="BY90" s="136" t="str">
        <f aca="false">IF($BR90&lt;&gt;Constants!$B$8,"",IF($BI90="-&gt;",$BK90,$BC90))</f>
        <v/>
      </c>
      <c r="BZ90" s="133" t="str">
        <f aca="false">IF(ISBLANK($C90),"",IF($BR90&lt;&gt;Constants!$B$8,$BR90,IF(ISNUMBER($BY90),RANK($BY90,$BY$9:$BY$508,1),COUNT($BY$9:$BY$508)+1)))</f>
        <v/>
      </c>
      <c r="CA90" s="136" t="str">
        <f aca="false">IF($BR90&lt;&gt;Constants!$B$8,"",IF($BI90="-&gt;",$BL90,$BD90))</f>
        <v/>
      </c>
      <c r="CB90" s="133" t="str">
        <f aca="false">IF(ISBLANK($C90),"",IF($BR90&lt;&gt;Constants!$B$8,$BR90,IF(ISNUMBER($CA90),RANK($CA90,$CA$9:$CA$508,1),COUNT($CA$9:$CA$508)+1)))</f>
        <v/>
      </c>
      <c r="CC90" s="136" t="str">
        <f aca="false">IF($BR90&lt;&gt;Constants!$B$8,"",IF($BI90="-&gt;",IF($AT90,$AV90,""),IF($AL90,$AN90,"")))</f>
        <v/>
      </c>
      <c r="CD90" s="133" t="str">
        <f aca="false">IF(ISBLANK($C90),"",IF($BR90&lt;&gt;Constants!$B$8,$BR90,IF(ISNUMBER($CC90),RANK($CC90,$CC$9:$CC$508,1),COUNT($CC$9:$CC$508)+1)))</f>
        <v/>
      </c>
      <c r="CE90" s="136" t="str">
        <f aca="false">IF($BR90&lt;&gt;Constants!$B$8,"",IF(AND(NOT($AL90),NOT($AT90),$AJ90,$AK90,$AR90,$AS90),"",$AI90))</f>
        <v/>
      </c>
      <c r="CF90" s="133" t="str">
        <f aca="false">IF(ISBLANK($C90),"",IF($BR90&lt;&gt;Constants!$B$8,$BR90,IF(ISNUMBER($CE90),RANK($CE90,$CE$9:$CE$508,1),COUNT($CE$9:$CE$508)+1)))</f>
        <v/>
      </c>
      <c r="CG90" s="133" t="str">
        <f aca="false">IF(ISBLANK($C90),"",IF($BR90&lt;&gt;Constants!$B$8,$BR90,COUNTIFS($BX$9:$BX$508,"&lt;"&amp;$BX90)+COUNTIFS($BX$9:$BX$508,$BX90,$BZ$9:$BZ$508,"&lt;"&amp;$BZ90)+COUNTIFS($BX$9:$BX$508,$BX90,$BZ$9:$BZ$508,$BZ90,$CB$9:$CB$508,"&lt;"&amp;$CB90)+COUNTIFS($BX$9:$BX$508,$BX90,$BZ$9:$BZ$508,$BZ90,$CB$9:$CB$508,$CB90,$CD$9:$CD$508,"&lt;"&amp;$CD90)+COUNTIFS($BX$9:$BX$508,$BX90,$BZ$9:$BZ$508,$BZ90,$CB$9:$CB$508,$CB90,$CD$9:$CD$508,$CD90,$CF$9:$CF$508,"&lt;"&amp;$CF90)+1))</f>
        <v/>
      </c>
      <c r="CH90" s="133" t="str">
        <f aca="false">IF(ISBLANK($C90),"",IF($BR90&lt;&gt;Constants!$B$8,$BR90,$BX90-$CG90))</f>
        <v/>
      </c>
      <c r="CI90" s="138"/>
      <c r="CJ90" s="139"/>
      <c r="CK90" s="140" t="str">
        <f aca="false">IF(ISBLANK($C90),"",IF($BR90=Constants!$B$12,$BQ90,""))</f>
        <v/>
      </c>
      <c r="CL90" s="139" t="str">
        <f aca="false">IF(ISBLANK($C90),"",IF($BR90&lt;&gt;Constants!$B$8,"",IF($BI90="-&gt;",2,1)))</f>
        <v/>
      </c>
      <c r="CM90" s="141" t="str">
        <f aca="false">IF(ISBLANK($C90),"",IF($BR90&lt;&gt;Constants!$B$8,"",IF($BI90="-&gt;",$BK90,$BC90)))</f>
        <v/>
      </c>
      <c r="CN90" s="141" t="str">
        <f aca="false">IF(ISBLANK($C90),"",IF($BR90&lt;&gt;Constants!$B$8,"",IF($BI90="-&gt;",$BL90,$BD90)))</f>
        <v/>
      </c>
      <c r="CO90" s="141" t="str">
        <f aca="false">IF(ISBLANK($C90),"",IF($BR90&lt;&gt;Constants!$B$8,"",IF($BI90="-&gt;",$BM90+$BN90,$BE90+$BF90)+$BV90))</f>
        <v/>
      </c>
      <c r="CP90" s="141" t="str">
        <f aca="false">IF(ISBLANK($C90),"",IF($BR90&lt;&gt;Constants!$B$8,"",IF($BI90="-&gt;",$BO90,$BG90)+$BU90))</f>
        <v/>
      </c>
      <c r="CQ90" s="142" t="str">
        <f aca="false">IF(ISBLANK($C90),"",IF($BR90&lt;&gt;Constants!$B$8,$BR90,$BW90))</f>
        <v/>
      </c>
      <c r="CR90" s="143" t="str">
        <f aca="false">IF(ISBLANK($C90),"",$BS90)</f>
        <v/>
      </c>
      <c r="CS90" s="144" t="str">
        <f aca="false">IF(ISBLANK($C90),"",$CH90)</f>
        <v/>
      </c>
      <c r="CT90" s="144" t="str">
        <f aca="false">IF(ISBLANK($C90),"",$CG90)</f>
        <v/>
      </c>
      <c r="CU90" s="145" t="str">
        <f aca="false">IF(ISBLANK($C90),"",IFERROR(_xlfn.SWITCH($CT90,Constants!$B$11,COUNTA($C$9:$C$508)+2,Constants!$B$10,COUNTA($C$9:$C$508)+1,Constants!$B$9,COUNTA($C$9:$C$508)),$CT90))</f>
        <v/>
      </c>
      <c r="CV90" s="9"/>
      <c r="CW90" s="146" t="n">
        <f aca="false">IF(OR(ISNUMBER($CT90),$CT90=Constants!$B$11,$CT90=Constants!$B$9,$CT90=Constants!$B$10),1,0)</f>
        <v>0</v>
      </c>
      <c r="CX90" s="146" t="n">
        <v>82</v>
      </c>
      <c r="CY90" s="146" t="str">
        <f aca="false">IF(ISBLANK($C90),"",IF(ISNUMBER($CU90),$CU90+ROW($B90)/1000,""))</f>
        <v/>
      </c>
      <c r="CZ90" s="146" t="str">
        <f aca="false">IF(ISNUMBER($CY90),RANK($CY90,$CY$9:$CY$508,1),"")</f>
        <v/>
      </c>
      <c r="DA90" s="146" t="str">
        <f aca="false">IF(ISBLANK($C90),"",$B90)</f>
        <v/>
      </c>
      <c r="DB90" s="146" t="str">
        <f aca="false">IF(ISBLANK($C90),"",$C90)</f>
        <v/>
      </c>
      <c r="DC90" s="146" t="str">
        <f aca="false">IF(ISBLANK($C90),"",$D90)</f>
        <v/>
      </c>
      <c r="DD90" s="147" t="str">
        <f aca="false">$CR90</f>
        <v/>
      </c>
      <c r="DE90" s="148" t="str">
        <f aca="false">$CQ90</f>
        <v/>
      </c>
      <c r="DF90" s="146" t="str">
        <f aca="false">IF(ISBLANK($C90),"",$CT90)</f>
        <v/>
      </c>
      <c r="DG90" s="149" t="str">
        <f aca="false">IF($CX90&gt;$CW$8,"",VLOOKUP($CX90,$CZ$9:$DF$508,7,FALSE()))</f>
        <v/>
      </c>
      <c r="DH90" s="150" t="str">
        <f aca="false">IF($CX90&gt;$CW$8,"",VLOOKUP($CX90,$CZ$9:$DF$508,2,FALSE()))</f>
        <v/>
      </c>
      <c r="DI90" s="150" t="str">
        <f aca="false">IF($CX90&gt;$CW$8,"",VLOOKUP($CX90,$CZ$9:$DF$508,3,FALSE()))</f>
        <v/>
      </c>
      <c r="DJ90" s="150" t="str">
        <f aca="false">IF($CX90&gt;$CW$8,"",VLOOKUP($CX90,$CZ$9:$DF$508,4,FALSE()))</f>
        <v/>
      </c>
      <c r="DK90" s="150" t="str">
        <f aca="false">IF($CX90&gt;$CW$8,"",VLOOKUP($CX90,$CZ$9:$DF$508,5,FALSE()))</f>
        <v/>
      </c>
      <c r="DL90" s="151" t="str">
        <f aca="false">IF($CX90&gt;$CW$8,"",VLOOKUP($CX90,$CZ$9:$DF$508,6,FALSE()))</f>
        <v/>
      </c>
      <c r="DM90" s="75"/>
    </row>
    <row r="91" customFormat="false" ht="15.75" hidden="false" customHeight="false" outlineLevel="0" collapsed="false">
      <c r="A91" s="9"/>
      <c r="B91" s="157"/>
      <c r="C91" s="158"/>
      <c r="D91" s="159"/>
      <c r="E91" s="177"/>
      <c r="F91" s="161"/>
      <c r="G91" s="162"/>
      <c r="H91" s="162"/>
      <c r="I91" s="178"/>
      <c r="J91" s="165"/>
      <c r="K91" s="126"/>
      <c r="L91" s="127"/>
      <c r="M91" s="128"/>
      <c r="N91" s="165"/>
      <c r="O91" s="165"/>
      <c r="P91" s="177"/>
      <c r="Q91" s="165"/>
      <c r="R91" s="165"/>
      <c r="S91" s="126"/>
      <c r="T91" s="128"/>
      <c r="U91" s="128"/>
      <c r="V91" s="165"/>
      <c r="W91" s="165"/>
      <c r="X91" s="177"/>
      <c r="Y91" s="165"/>
      <c r="Z91" s="166"/>
      <c r="AA91" s="165"/>
      <c r="AB91" s="132"/>
      <c r="AC91" s="133"/>
      <c r="AD91" s="133"/>
      <c r="AE91" s="133"/>
      <c r="AF91" s="133" t="str">
        <f aca="false">IF(ISBLANK($C91),"",IF(E91=Constants!$B$3,TRUE(),IF(E91=Constants!$B$4,FALSE(),TRUE())))</f>
        <v/>
      </c>
      <c r="AG91" s="133" t="str">
        <f aca="false">IF(ISBLANK($C91),"",IF(F91=Constants!$B$3,TRUE(),IF(F91=Constants!$B$4,FALSE(),TRUE())))</f>
        <v/>
      </c>
      <c r="AH91" s="133" t="str">
        <f aca="false">IF(ISBLANK($C91),"",IF(G91=Constants!$B$3,TRUE(),IF(G91=Constants!$B$4,FALSE(),TRUE())))</f>
        <v/>
      </c>
      <c r="AI91" s="133" t="str">
        <f aca="false">IF(ISBLANK($C91),"",IF(AND(ISNUMBER(H91),H91&gt;=0),H91,Constants!$B$29))</f>
        <v/>
      </c>
      <c r="AJ91" s="133" t="str">
        <f aca="false">IF(ISBLANK($C91),"",IF(I91=Constants!$B$3,TRUE(),IF(I91=Constants!$B$4,FALSE(),TRUE())))</f>
        <v/>
      </c>
      <c r="AK91" s="133" t="str">
        <f aca="false">IF(ISBLANK($C91),"",IF(J91=Constants!$B$3,TRUE(),IF(J91=Constants!$B$4,FALSE(),TRUE())))</f>
        <v/>
      </c>
      <c r="AL91" s="133" t="str">
        <f aca="false">IF(ISBLANK($C91),"",IF(K91=Constants!$B$5,TRUE(),IF(K91=Constants!$B$6,FALSE(),COUNTA(L91:P91)&gt;0)))</f>
        <v/>
      </c>
      <c r="AM91" s="134" t="str">
        <f aca="false">IF(ISBLANK($C91),"",IF(ISNUMBER(L91),IF(L91&gt;=0,L91,""),""))</f>
        <v/>
      </c>
      <c r="AN91" s="135" t="str">
        <f aca="false">IF(ISBLANK($C91),"",IF(ISNUMBER(M91),IF(M91&gt;=0,M91,""),""))</f>
        <v/>
      </c>
      <c r="AO91" s="135" t="str">
        <f aca="false">IF(ISBLANK($C91),"",IF(N91=Constants!$B$3,TRUE(),IF(N91=Constants!$B$4,FALSE(),TRUE())))</f>
        <v/>
      </c>
      <c r="AP91" s="133" t="str">
        <f aca="false">IF(ISBLANK($C91),"",IF(ISNUMBER(O91),IF(O91&gt;=0,O91,""),""))</f>
        <v/>
      </c>
      <c r="AQ91" s="133" t="str">
        <f aca="false">IF(ISBLANK($C91),"",IF(P91=Constants!$B$3,TRUE(),IF(P91=Constants!$B$4,FALSE(),FALSE())))</f>
        <v/>
      </c>
      <c r="AR91" s="133" t="str">
        <f aca="false">IF(ISBLANK($C91),"",IF(Q91=Constants!$B$3,TRUE(),IF(Q91=Constants!$B$4,FALSE(),TRUE())))</f>
        <v/>
      </c>
      <c r="AS91" s="133" t="str">
        <f aca="false">IF(ISBLANK($C91),"",IF(R91=Constants!$B$3,TRUE(),IF(R91=Constants!$B$4,FALSE(),TRUE())))</f>
        <v/>
      </c>
      <c r="AT91" s="133" t="str">
        <f aca="false">IF(ISBLANK($C91),"",IF(S91=Constants!$B$5,TRUE(),IF(S91=Constants!$B$6,FALSE(),COUNTA(T91:X91)&gt;0)))</f>
        <v/>
      </c>
      <c r="AU91" s="134" t="str">
        <f aca="false">IF(ISBLANK($C91),"",IF(ISNUMBER(T91),IF(T91&gt;=0,T91,""),""))</f>
        <v/>
      </c>
      <c r="AV91" s="135" t="str">
        <f aca="false">IF(ISBLANK($C91),"",IF(ISNUMBER(U91),IF(U91&gt;=0,U91,""),""))</f>
        <v/>
      </c>
      <c r="AW91" s="135" t="str">
        <f aca="false">IF(ISBLANK($C91),"",IF(V91=Constants!$B$3,TRUE(),IF(V91=Constants!$B$4,FALSE(),TRUE())))</f>
        <v/>
      </c>
      <c r="AX91" s="133" t="str">
        <f aca="false">IF(ISBLANK($C91),"",IF(ISNUMBER(W91),IF(W91&gt;=0,W91,""),""))</f>
        <v/>
      </c>
      <c r="AY91" s="133" t="str">
        <f aca="false">IF(ISBLANK($C91),"",IF(X91=Constants!$B$3,TRUE(),IF(X91=Constants!$B$4,FALSE(),FALSE())))</f>
        <v/>
      </c>
      <c r="AZ91" s="133" t="str">
        <f aca="false">IF(ISBLANK($C91),"",MIN(Constants!$B$31,MAX(0,IF(ISNUMBER(Y91),Y91*60,0)+IF(ISNUMBER(Z91),Z91,0))))</f>
        <v/>
      </c>
      <c r="BA91" s="133" t="str">
        <f aca="false">IF(ISBLANK($C91),"",IF(AA91=Constants!$B$3,TRUE(),IF(AA91=Constants!$B$4,FALSE(),FALSE())))</f>
        <v/>
      </c>
      <c r="BB91" s="132" t="str">
        <f aca="false">IF(ISBLANK($C91),"",AND($AL91,OR($AM91="",$AN91="",AND($AO91,$AP91=""))))</f>
        <v/>
      </c>
      <c r="BC91" s="135" t="str">
        <f aca="false">IF($BR91&lt;&gt;Constants!$B$8,"",IF($AL91,Constants!$B$21*$AN91+Constants!$B$22*IF($AO91,$AP91,Constants!$B$23),Constants!$B$24))</f>
        <v/>
      </c>
      <c r="BD91" s="136" t="str">
        <f aca="false">IF($BR91&lt;&gt;Constants!$B$8,"",Constants!$B$25*ABS($AD$9-IF($AL91,$AM91,0)))</f>
        <v/>
      </c>
      <c r="BE91" s="136" t="str">
        <f aca="false">IF($BR91&lt;&gt;Constants!$B$8,"",IF(AND($AL91,$AQ91,$AO91),Constants!$B$27,0))</f>
        <v/>
      </c>
      <c r="BF91" s="136" t="str">
        <f aca="false">IF($BR91&lt;&gt;Constants!$B$8,"",IF($AL91,($AI91-Constants!$B$29)*Constants!$B$28,0))</f>
        <v/>
      </c>
      <c r="BG91" s="136" t="str">
        <f aca="false">IF($BR91&lt;&gt;Constants!$B$8,"",IF($AK91,0,Constants!$B$15)+IF($AJ91,0,Constants!$B$16)+IF($AH91,0,Constants!$B$17))</f>
        <v/>
      </c>
      <c r="BH91" s="137" t="str">
        <f aca="false">IF($BR91&lt;&gt;Constants!$B$8,"",Constants!$B$20+SUM($BC91:$BG91))</f>
        <v/>
      </c>
      <c r="BI91" s="133" t="str">
        <f aca="false">IF($BR91&lt;&gt;Constants!$B$8,"",IF(OR($BP91&lt;$BH91,AND($BP91=$BH91,OR($BK91&lt;$BC91,AND($BK91=$BC91,OR($BL91&lt;$BD91,AND($BL91=$BD91,$AT91,$AL91,$AV91&lt;$AN91)))))),"-&gt;","&lt;-"))</f>
        <v/>
      </c>
      <c r="BJ91" s="132" t="str">
        <f aca="false">IF(ISBLANK($C91),"",AND($AT91,OR($AU91="",$AV91="",AND($AW91,$AX91=""))))</f>
        <v/>
      </c>
      <c r="BK91" s="135" t="str">
        <f aca="false">IF($BR91&lt;&gt;Constants!$B$8,"",IF($AT91,Constants!$B$21*$AV91+Constants!$B$22*IF($AW91,$AX91,Constants!$B$23),Constants!$B$24))</f>
        <v/>
      </c>
      <c r="BL91" s="136" t="str">
        <f aca="false">IF($BR91&lt;&gt;Constants!$B$8,"",Constants!$B$25*ABS($AD$9-IF($AT91,$AU91,0)))</f>
        <v/>
      </c>
      <c r="BM91" s="136" t="str">
        <f aca="false">IF($BR91&lt;&gt;Constants!$B$8,"",IF(AND($AT91,$AY91,$AW91),Constants!$B$27,0))</f>
        <v/>
      </c>
      <c r="BN91" s="136" t="str">
        <f aca="false">IF($BR91&lt;&gt;Constants!$B$8,"",IF($AT91,($AI91-Constants!$B$29)*Constants!$B$28,0))</f>
        <v/>
      </c>
      <c r="BO91" s="136" t="str">
        <f aca="false">IF($BR91&lt;&gt;Constants!$B$8,"",IF($AS91,0,Constants!$B$15)+IF($AR91,0,Constants!$B$16)+IF($AH91,0,Constants!$B$17))</f>
        <v/>
      </c>
      <c r="BP91" s="137" t="str">
        <f aca="false">IF($BR91&lt;&gt;Constants!$B$8,"",Constants!$B$20+SUM($BK91:$BO91))</f>
        <v/>
      </c>
      <c r="BQ91" s="133" t="str">
        <f aca="false">IF(ISBLANK($C91),"",IF(ISBLANK($D$7),$BQ$5,IF(NOT(ISNUMBER($D$7)),$BQ$6,"")))</f>
        <v/>
      </c>
      <c r="BR91" s="133" t="str">
        <f aca="false">IF(ISBLANK($C91),"",IF($BA91,Constants!$B$11,IF(COUNTA($E91:$AA91)=0,Constants!$B$10,IF(NOT($AG91),Constants!$B$9,IF(OR($BQ91&lt;&gt;"",$BB91,$BJ91),Constants!$B$12,Constants!$B$8)))))</f>
        <v/>
      </c>
      <c r="BS91" s="133" t="str">
        <f aca="false">IF(ISBLANK($C91),"",IF($BR91&lt;&gt;Constants!$B$8,$BR91,Constants!$B$13))</f>
        <v/>
      </c>
      <c r="BT91" s="136" t="str">
        <f aca="false">IF($BR91&lt;&gt;Constants!$B$8,"",IF($BI91="-&gt;",$BP91,$BH91))</f>
        <v/>
      </c>
      <c r="BU91" s="136" t="str">
        <f aca="false">IF($BR91&lt;&gt;Constants!$B$8,"",IF($AF91,0,Constants!$B$18))</f>
        <v/>
      </c>
      <c r="BV91" s="136" t="str">
        <f aca="false">IF($BR91&lt;&gt;Constants!$B$8,"",((Constants!$B$31-$AZ91)-Constants!$B$31)/Constants!$B$32)</f>
        <v/>
      </c>
      <c r="BW91" s="136" t="str">
        <f aca="false">IF(ISBLANK($C91),"",IF($BR91&lt;&gt;Constants!$B$8,$BR91,SUM($BT91:$BV91)))</f>
        <v/>
      </c>
      <c r="BX91" s="133" t="str">
        <f aca="false">IF(ISBLANK($C91),"",IF($BR91&lt;&gt;Constants!$B$8,$BR91,RANK($BW91,$BW$9:$BW$508,1)))</f>
        <v/>
      </c>
      <c r="BY91" s="136" t="str">
        <f aca="false">IF($BR91&lt;&gt;Constants!$B$8,"",IF($BI91="-&gt;",$BK91,$BC91))</f>
        <v/>
      </c>
      <c r="BZ91" s="133" t="str">
        <f aca="false">IF(ISBLANK($C91),"",IF($BR91&lt;&gt;Constants!$B$8,$BR91,IF(ISNUMBER($BY91),RANK($BY91,$BY$9:$BY$508,1),COUNT($BY$9:$BY$508)+1)))</f>
        <v/>
      </c>
      <c r="CA91" s="136" t="str">
        <f aca="false">IF($BR91&lt;&gt;Constants!$B$8,"",IF($BI91="-&gt;",$BL91,$BD91))</f>
        <v/>
      </c>
      <c r="CB91" s="133" t="str">
        <f aca="false">IF(ISBLANK($C91),"",IF($BR91&lt;&gt;Constants!$B$8,$BR91,IF(ISNUMBER($CA91),RANK($CA91,$CA$9:$CA$508,1),COUNT($CA$9:$CA$508)+1)))</f>
        <v/>
      </c>
      <c r="CC91" s="136" t="str">
        <f aca="false">IF($BR91&lt;&gt;Constants!$B$8,"",IF($BI91="-&gt;",IF($AT91,$AV91,""),IF($AL91,$AN91,"")))</f>
        <v/>
      </c>
      <c r="CD91" s="133" t="str">
        <f aca="false">IF(ISBLANK($C91),"",IF($BR91&lt;&gt;Constants!$B$8,$BR91,IF(ISNUMBER($CC91),RANK($CC91,$CC$9:$CC$508,1),COUNT($CC$9:$CC$508)+1)))</f>
        <v/>
      </c>
      <c r="CE91" s="136" t="str">
        <f aca="false">IF($BR91&lt;&gt;Constants!$B$8,"",IF(AND(NOT($AL91),NOT($AT91),$AJ91,$AK91,$AR91,$AS91),"",$AI91))</f>
        <v/>
      </c>
      <c r="CF91" s="133" t="str">
        <f aca="false">IF(ISBLANK($C91),"",IF($BR91&lt;&gt;Constants!$B$8,$BR91,IF(ISNUMBER($CE91),RANK($CE91,$CE$9:$CE$508,1),COUNT($CE$9:$CE$508)+1)))</f>
        <v/>
      </c>
      <c r="CG91" s="133" t="str">
        <f aca="false">IF(ISBLANK($C91),"",IF($BR91&lt;&gt;Constants!$B$8,$BR91,COUNTIFS($BX$9:$BX$508,"&lt;"&amp;$BX91)+COUNTIFS($BX$9:$BX$508,$BX91,$BZ$9:$BZ$508,"&lt;"&amp;$BZ91)+COUNTIFS($BX$9:$BX$508,$BX91,$BZ$9:$BZ$508,$BZ91,$CB$9:$CB$508,"&lt;"&amp;$CB91)+COUNTIFS($BX$9:$BX$508,$BX91,$BZ$9:$BZ$508,$BZ91,$CB$9:$CB$508,$CB91,$CD$9:$CD$508,"&lt;"&amp;$CD91)+COUNTIFS($BX$9:$BX$508,$BX91,$BZ$9:$BZ$508,$BZ91,$CB$9:$CB$508,$CB91,$CD$9:$CD$508,$CD91,$CF$9:$CF$508,"&lt;"&amp;$CF91)+1))</f>
        <v/>
      </c>
      <c r="CH91" s="133" t="str">
        <f aca="false">IF(ISBLANK($C91),"",IF($BR91&lt;&gt;Constants!$B$8,$BR91,$BX91-$CG91))</f>
        <v/>
      </c>
      <c r="CI91" s="138"/>
      <c r="CJ91" s="139"/>
      <c r="CK91" s="140" t="str">
        <f aca="false">IF(ISBLANK($C91),"",IF($BR91=Constants!$B$12,$BQ91,""))</f>
        <v/>
      </c>
      <c r="CL91" s="139" t="str">
        <f aca="false">IF(ISBLANK($C91),"",IF($BR91&lt;&gt;Constants!$B$8,"",IF($BI91="-&gt;",2,1)))</f>
        <v/>
      </c>
      <c r="CM91" s="141" t="str">
        <f aca="false">IF(ISBLANK($C91),"",IF($BR91&lt;&gt;Constants!$B$8,"",IF($BI91="-&gt;",$BK91,$BC91)))</f>
        <v/>
      </c>
      <c r="CN91" s="141" t="str">
        <f aca="false">IF(ISBLANK($C91),"",IF($BR91&lt;&gt;Constants!$B$8,"",IF($BI91="-&gt;",$BL91,$BD91)))</f>
        <v/>
      </c>
      <c r="CO91" s="141" t="str">
        <f aca="false">IF(ISBLANK($C91),"",IF($BR91&lt;&gt;Constants!$B$8,"",IF($BI91="-&gt;",$BM91+$BN91,$BE91+$BF91)+$BV91))</f>
        <v/>
      </c>
      <c r="CP91" s="141" t="str">
        <f aca="false">IF(ISBLANK($C91),"",IF($BR91&lt;&gt;Constants!$B$8,"",IF($BI91="-&gt;",$BO91,$BG91)+$BU91))</f>
        <v/>
      </c>
      <c r="CQ91" s="142" t="str">
        <f aca="false">IF(ISBLANK($C91),"",IF($BR91&lt;&gt;Constants!$B$8,$BR91,$BW91))</f>
        <v/>
      </c>
      <c r="CR91" s="143" t="str">
        <f aca="false">IF(ISBLANK($C91),"",$BS91)</f>
        <v/>
      </c>
      <c r="CS91" s="144" t="str">
        <f aca="false">IF(ISBLANK($C91),"",$CH91)</f>
        <v/>
      </c>
      <c r="CT91" s="144" t="str">
        <f aca="false">IF(ISBLANK($C91),"",$CG91)</f>
        <v/>
      </c>
      <c r="CU91" s="145" t="str">
        <f aca="false">IF(ISBLANK($C91),"",IFERROR(_xlfn.SWITCH($CT91,Constants!$B$11,COUNTA($C$9:$C$508)+2,Constants!$B$10,COUNTA($C$9:$C$508)+1,Constants!$B$9,COUNTA($C$9:$C$508)),$CT91))</f>
        <v/>
      </c>
      <c r="CV91" s="9"/>
      <c r="CW91" s="146" t="n">
        <f aca="false">IF(OR(ISNUMBER($CT91),$CT91=Constants!$B$11,$CT91=Constants!$B$9,$CT91=Constants!$B$10),1,0)</f>
        <v>0</v>
      </c>
      <c r="CX91" s="146" t="n">
        <v>83</v>
      </c>
      <c r="CY91" s="146" t="str">
        <f aca="false">IF(ISBLANK($C91),"",IF(ISNUMBER($CU91),$CU91+ROW($B91)/1000,""))</f>
        <v/>
      </c>
      <c r="CZ91" s="146" t="str">
        <f aca="false">IF(ISNUMBER($CY91),RANK($CY91,$CY$9:$CY$508,1),"")</f>
        <v/>
      </c>
      <c r="DA91" s="146" t="str">
        <f aca="false">IF(ISBLANK($C91),"",$B91)</f>
        <v/>
      </c>
      <c r="DB91" s="146" t="str">
        <f aca="false">IF(ISBLANK($C91),"",$C91)</f>
        <v/>
      </c>
      <c r="DC91" s="146" t="str">
        <f aca="false">IF(ISBLANK($C91),"",$D91)</f>
        <v/>
      </c>
      <c r="DD91" s="147" t="str">
        <f aca="false">$CR91</f>
        <v/>
      </c>
      <c r="DE91" s="148" t="str">
        <f aca="false">$CQ91</f>
        <v/>
      </c>
      <c r="DF91" s="146" t="str">
        <f aca="false">IF(ISBLANK($C91),"",$CT91)</f>
        <v/>
      </c>
      <c r="DG91" s="149" t="str">
        <f aca="false">IF($CX91&gt;$CW$8,"",VLOOKUP($CX91,$CZ$9:$DF$508,7,FALSE()))</f>
        <v/>
      </c>
      <c r="DH91" s="150" t="str">
        <f aca="false">IF($CX91&gt;$CW$8,"",VLOOKUP($CX91,$CZ$9:$DF$508,2,FALSE()))</f>
        <v/>
      </c>
      <c r="DI91" s="150" t="str">
        <f aca="false">IF($CX91&gt;$CW$8,"",VLOOKUP($CX91,$CZ$9:$DF$508,3,FALSE()))</f>
        <v/>
      </c>
      <c r="DJ91" s="150" t="str">
        <f aca="false">IF($CX91&gt;$CW$8,"",VLOOKUP($CX91,$CZ$9:$DF$508,4,FALSE()))</f>
        <v/>
      </c>
      <c r="DK91" s="150" t="str">
        <f aca="false">IF($CX91&gt;$CW$8,"",VLOOKUP($CX91,$CZ$9:$DF$508,5,FALSE()))</f>
        <v/>
      </c>
      <c r="DL91" s="151" t="str">
        <f aca="false">IF($CX91&gt;$CW$8,"",VLOOKUP($CX91,$CZ$9:$DF$508,6,FALSE()))</f>
        <v/>
      </c>
      <c r="DM91" s="75"/>
    </row>
    <row r="92" customFormat="false" ht="15.75" hidden="false" customHeight="false" outlineLevel="0" collapsed="false">
      <c r="A92" s="9"/>
      <c r="B92" s="157"/>
      <c r="C92" s="158"/>
      <c r="D92" s="159"/>
      <c r="E92" s="177"/>
      <c r="F92" s="161"/>
      <c r="G92" s="162"/>
      <c r="H92" s="162"/>
      <c r="I92" s="178"/>
      <c r="J92" s="165"/>
      <c r="K92" s="126"/>
      <c r="L92" s="127"/>
      <c r="M92" s="128"/>
      <c r="N92" s="165"/>
      <c r="O92" s="165"/>
      <c r="P92" s="177"/>
      <c r="Q92" s="165"/>
      <c r="R92" s="165"/>
      <c r="S92" s="126"/>
      <c r="T92" s="128"/>
      <c r="U92" s="128"/>
      <c r="V92" s="165"/>
      <c r="W92" s="165"/>
      <c r="X92" s="177"/>
      <c r="Y92" s="165"/>
      <c r="Z92" s="166"/>
      <c r="AA92" s="165"/>
      <c r="AB92" s="132"/>
      <c r="AC92" s="133"/>
      <c r="AD92" s="133"/>
      <c r="AE92" s="133"/>
      <c r="AF92" s="133" t="str">
        <f aca="false">IF(ISBLANK($C92),"",IF(E92=Constants!$B$3,TRUE(),IF(E92=Constants!$B$4,FALSE(),TRUE())))</f>
        <v/>
      </c>
      <c r="AG92" s="133" t="str">
        <f aca="false">IF(ISBLANK($C92),"",IF(F92=Constants!$B$3,TRUE(),IF(F92=Constants!$B$4,FALSE(),TRUE())))</f>
        <v/>
      </c>
      <c r="AH92" s="133" t="str">
        <f aca="false">IF(ISBLANK($C92),"",IF(G92=Constants!$B$3,TRUE(),IF(G92=Constants!$B$4,FALSE(),TRUE())))</f>
        <v/>
      </c>
      <c r="AI92" s="133" t="str">
        <f aca="false">IF(ISBLANK($C92),"",IF(AND(ISNUMBER(H92),H92&gt;=0),H92,Constants!$B$29))</f>
        <v/>
      </c>
      <c r="AJ92" s="133" t="str">
        <f aca="false">IF(ISBLANK($C92),"",IF(I92=Constants!$B$3,TRUE(),IF(I92=Constants!$B$4,FALSE(),TRUE())))</f>
        <v/>
      </c>
      <c r="AK92" s="133" t="str">
        <f aca="false">IF(ISBLANK($C92),"",IF(J92=Constants!$B$3,TRUE(),IF(J92=Constants!$B$4,FALSE(),TRUE())))</f>
        <v/>
      </c>
      <c r="AL92" s="133" t="str">
        <f aca="false">IF(ISBLANK($C92),"",IF(K92=Constants!$B$5,TRUE(),IF(K92=Constants!$B$6,FALSE(),COUNTA(L92:P92)&gt;0)))</f>
        <v/>
      </c>
      <c r="AM92" s="134" t="str">
        <f aca="false">IF(ISBLANK($C92),"",IF(ISNUMBER(L92),IF(L92&gt;=0,L92,""),""))</f>
        <v/>
      </c>
      <c r="AN92" s="135" t="str">
        <f aca="false">IF(ISBLANK($C92),"",IF(ISNUMBER(M92),IF(M92&gt;=0,M92,""),""))</f>
        <v/>
      </c>
      <c r="AO92" s="135" t="str">
        <f aca="false">IF(ISBLANK($C92),"",IF(N92=Constants!$B$3,TRUE(),IF(N92=Constants!$B$4,FALSE(),TRUE())))</f>
        <v/>
      </c>
      <c r="AP92" s="133" t="str">
        <f aca="false">IF(ISBLANK($C92),"",IF(ISNUMBER(O92),IF(O92&gt;=0,O92,""),""))</f>
        <v/>
      </c>
      <c r="AQ92" s="133" t="str">
        <f aca="false">IF(ISBLANK($C92),"",IF(P92=Constants!$B$3,TRUE(),IF(P92=Constants!$B$4,FALSE(),FALSE())))</f>
        <v/>
      </c>
      <c r="AR92" s="133" t="str">
        <f aca="false">IF(ISBLANK($C92),"",IF(Q92=Constants!$B$3,TRUE(),IF(Q92=Constants!$B$4,FALSE(),TRUE())))</f>
        <v/>
      </c>
      <c r="AS92" s="133" t="str">
        <f aca="false">IF(ISBLANK($C92),"",IF(R92=Constants!$B$3,TRUE(),IF(R92=Constants!$B$4,FALSE(),TRUE())))</f>
        <v/>
      </c>
      <c r="AT92" s="133" t="str">
        <f aca="false">IF(ISBLANK($C92),"",IF(S92=Constants!$B$5,TRUE(),IF(S92=Constants!$B$6,FALSE(),COUNTA(T92:X92)&gt;0)))</f>
        <v/>
      </c>
      <c r="AU92" s="134" t="str">
        <f aca="false">IF(ISBLANK($C92),"",IF(ISNUMBER(T92),IF(T92&gt;=0,T92,""),""))</f>
        <v/>
      </c>
      <c r="AV92" s="135" t="str">
        <f aca="false">IF(ISBLANK($C92),"",IF(ISNUMBER(U92),IF(U92&gt;=0,U92,""),""))</f>
        <v/>
      </c>
      <c r="AW92" s="135" t="str">
        <f aca="false">IF(ISBLANK($C92),"",IF(V92=Constants!$B$3,TRUE(),IF(V92=Constants!$B$4,FALSE(),TRUE())))</f>
        <v/>
      </c>
      <c r="AX92" s="133" t="str">
        <f aca="false">IF(ISBLANK($C92),"",IF(ISNUMBER(W92),IF(W92&gt;=0,W92,""),""))</f>
        <v/>
      </c>
      <c r="AY92" s="133" t="str">
        <f aca="false">IF(ISBLANK($C92),"",IF(X92=Constants!$B$3,TRUE(),IF(X92=Constants!$B$4,FALSE(),FALSE())))</f>
        <v/>
      </c>
      <c r="AZ92" s="133" t="str">
        <f aca="false">IF(ISBLANK($C92),"",MIN(Constants!$B$31,MAX(0,IF(ISNUMBER(Y92),Y92*60,0)+IF(ISNUMBER(Z92),Z92,0))))</f>
        <v/>
      </c>
      <c r="BA92" s="133" t="str">
        <f aca="false">IF(ISBLANK($C92),"",IF(AA92=Constants!$B$3,TRUE(),IF(AA92=Constants!$B$4,FALSE(),FALSE())))</f>
        <v/>
      </c>
      <c r="BB92" s="132" t="str">
        <f aca="false">IF(ISBLANK($C92),"",AND($AL92,OR($AM92="",$AN92="",AND($AO92,$AP92=""))))</f>
        <v/>
      </c>
      <c r="BC92" s="135" t="str">
        <f aca="false">IF($BR92&lt;&gt;Constants!$B$8,"",IF($AL92,Constants!$B$21*$AN92+Constants!$B$22*IF($AO92,$AP92,Constants!$B$23),Constants!$B$24))</f>
        <v/>
      </c>
      <c r="BD92" s="136" t="str">
        <f aca="false">IF($BR92&lt;&gt;Constants!$B$8,"",Constants!$B$25*ABS($AD$9-IF($AL92,$AM92,0)))</f>
        <v/>
      </c>
      <c r="BE92" s="136" t="str">
        <f aca="false">IF($BR92&lt;&gt;Constants!$B$8,"",IF(AND($AL92,$AQ92,$AO92),Constants!$B$27,0))</f>
        <v/>
      </c>
      <c r="BF92" s="136" t="str">
        <f aca="false">IF($BR92&lt;&gt;Constants!$B$8,"",IF($AL92,($AI92-Constants!$B$29)*Constants!$B$28,0))</f>
        <v/>
      </c>
      <c r="BG92" s="136" t="str">
        <f aca="false">IF($BR92&lt;&gt;Constants!$B$8,"",IF($AK92,0,Constants!$B$15)+IF($AJ92,0,Constants!$B$16)+IF($AH92,0,Constants!$B$17))</f>
        <v/>
      </c>
      <c r="BH92" s="137" t="str">
        <f aca="false">IF($BR92&lt;&gt;Constants!$B$8,"",Constants!$B$20+SUM($BC92:$BG92))</f>
        <v/>
      </c>
      <c r="BI92" s="133" t="str">
        <f aca="false">IF($BR92&lt;&gt;Constants!$B$8,"",IF(OR($BP92&lt;$BH92,AND($BP92=$BH92,OR($BK92&lt;$BC92,AND($BK92=$BC92,OR($BL92&lt;$BD92,AND($BL92=$BD92,$AT92,$AL92,$AV92&lt;$AN92)))))),"-&gt;","&lt;-"))</f>
        <v/>
      </c>
      <c r="BJ92" s="132" t="str">
        <f aca="false">IF(ISBLANK($C92),"",AND($AT92,OR($AU92="",$AV92="",AND($AW92,$AX92=""))))</f>
        <v/>
      </c>
      <c r="BK92" s="135" t="str">
        <f aca="false">IF($BR92&lt;&gt;Constants!$B$8,"",IF($AT92,Constants!$B$21*$AV92+Constants!$B$22*IF($AW92,$AX92,Constants!$B$23),Constants!$B$24))</f>
        <v/>
      </c>
      <c r="BL92" s="136" t="str">
        <f aca="false">IF($BR92&lt;&gt;Constants!$B$8,"",Constants!$B$25*ABS($AD$9-IF($AT92,$AU92,0)))</f>
        <v/>
      </c>
      <c r="BM92" s="136" t="str">
        <f aca="false">IF($BR92&lt;&gt;Constants!$B$8,"",IF(AND($AT92,$AY92,$AW92),Constants!$B$27,0))</f>
        <v/>
      </c>
      <c r="BN92" s="136" t="str">
        <f aca="false">IF($BR92&lt;&gt;Constants!$B$8,"",IF($AT92,($AI92-Constants!$B$29)*Constants!$B$28,0))</f>
        <v/>
      </c>
      <c r="BO92" s="136" t="str">
        <f aca="false">IF($BR92&lt;&gt;Constants!$B$8,"",IF($AS92,0,Constants!$B$15)+IF($AR92,0,Constants!$B$16)+IF($AH92,0,Constants!$B$17))</f>
        <v/>
      </c>
      <c r="BP92" s="137" t="str">
        <f aca="false">IF($BR92&lt;&gt;Constants!$B$8,"",Constants!$B$20+SUM($BK92:$BO92))</f>
        <v/>
      </c>
      <c r="BQ92" s="133" t="str">
        <f aca="false">IF(ISBLANK($C92),"",IF(ISBLANK($D$7),$BQ$5,IF(NOT(ISNUMBER($D$7)),$BQ$6,"")))</f>
        <v/>
      </c>
      <c r="BR92" s="133" t="str">
        <f aca="false">IF(ISBLANK($C92),"",IF($BA92,Constants!$B$11,IF(COUNTA($E92:$AA92)=0,Constants!$B$10,IF(NOT($AG92),Constants!$B$9,IF(OR($BQ92&lt;&gt;"",$BB92,$BJ92),Constants!$B$12,Constants!$B$8)))))</f>
        <v/>
      </c>
      <c r="BS92" s="133" t="str">
        <f aca="false">IF(ISBLANK($C92),"",IF($BR92&lt;&gt;Constants!$B$8,$BR92,Constants!$B$13))</f>
        <v/>
      </c>
      <c r="BT92" s="136" t="str">
        <f aca="false">IF($BR92&lt;&gt;Constants!$B$8,"",IF($BI92="-&gt;",$BP92,$BH92))</f>
        <v/>
      </c>
      <c r="BU92" s="136" t="str">
        <f aca="false">IF($BR92&lt;&gt;Constants!$B$8,"",IF($AF92,0,Constants!$B$18))</f>
        <v/>
      </c>
      <c r="BV92" s="136" t="str">
        <f aca="false">IF($BR92&lt;&gt;Constants!$B$8,"",((Constants!$B$31-$AZ92)-Constants!$B$31)/Constants!$B$32)</f>
        <v/>
      </c>
      <c r="BW92" s="136" t="str">
        <f aca="false">IF(ISBLANK($C92),"",IF($BR92&lt;&gt;Constants!$B$8,$BR92,SUM($BT92:$BV92)))</f>
        <v/>
      </c>
      <c r="BX92" s="133" t="str">
        <f aca="false">IF(ISBLANK($C92),"",IF($BR92&lt;&gt;Constants!$B$8,$BR92,RANK($BW92,$BW$9:$BW$508,1)))</f>
        <v/>
      </c>
      <c r="BY92" s="136" t="str">
        <f aca="false">IF($BR92&lt;&gt;Constants!$B$8,"",IF($BI92="-&gt;",$BK92,$BC92))</f>
        <v/>
      </c>
      <c r="BZ92" s="133" t="str">
        <f aca="false">IF(ISBLANK($C92),"",IF($BR92&lt;&gt;Constants!$B$8,$BR92,IF(ISNUMBER($BY92),RANK($BY92,$BY$9:$BY$508,1),COUNT($BY$9:$BY$508)+1)))</f>
        <v/>
      </c>
      <c r="CA92" s="136" t="str">
        <f aca="false">IF($BR92&lt;&gt;Constants!$B$8,"",IF($BI92="-&gt;",$BL92,$BD92))</f>
        <v/>
      </c>
      <c r="CB92" s="133" t="str">
        <f aca="false">IF(ISBLANK($C92),"",IF($BR92&lt;&gt;Constants!$B$8,$BR92,IF(ISNUMBER($CA92),RANK($CA92,$CA$9:$CA$508,1),COUNT($CA$9:$CA$508)+1)))</f>
        <v/>
      </c>
      <c r="CC92" s="136" t="str">
        <f aca="false">IF($BR92&lt;&gt;Constants!$B$8,"",IF($BI92="-&gt;",IF($AT92,$AV92,""),IF($AL92,$AN92,"")))</f>
        <v/>
      </c>
      <c r="CD92" s="133" t="str">
        <f aca="false">IF(ISBLANK($C92),"",IF($BR92&lt;&gt;Constants!$B$8,$BR92,IF(ISNUMBER($CC92),RANK($CC92,$CC$9:$CC$508,1),COUNT($CC$9:$CC$508)+1)))</f>
        <v/>
      </c>
      <c r="CE92" s="136" t="str">
        <f aca="false">IF($BR92&lt;&gt;Constants!$B$8,"",IF(AND(NOT($AL92),NOT($AT92),$AJ92,$AK92,$AR92,$AS92),"",$AI92))</f>
        <v/>
      </c>
      <c r="CF92" s="133" t="str">
        <f aca="false">IF(ISBLANK($C92),"",IF($BR92&lt;&gt;Constants!$B$8,$BR92,IF(ISNUMBER($CE92),RANK($CE92,$CE$9:$CE$508,1),COUNT($CE$9:$CE$508)+1)))</f>
        <v/>
      </c>
      <c r="CG92" s="133" t="str">
        <f aca="false">IF(ISBLANK($C92),"",IF($BR92&lt;&gt;Constants!$B$8,$BR92,COUNTIFS($BX$9:$BX$508,"&lt;"&amp;$BX92)+COUNTIFS($BX$9:$BX$508,$BX92,$BZ$9:$BZ$508,"&lt;"&amp;$BZ92)+COUNTIFS($BX$9:$BX$508,$BX92,$BZ$9:$BZ$508,$BZ92,$CB$9:$CB$508,"&lt;"&amp;$CB92)+COUNTIFS($BX$9:$BX$508,$BX92,$BZ$9:$BZ$508,$BZ92,$CB$9:$CB$508,$CB92,$CD$9:$CD$508,"&lt;"&amp;$CD92)+COUNTIFS($BX$9:$BX$508,$BX92,$BZ$9:$BZ$508,$BZ92,$CB$9:$CB$508,$CB92,$CD$9:$CD$508,$CD92,$CF$9:$CF$508,"&lt;"&amp;$CF92)+1))</f>
        <v/>
      </c>
      <c r="CH92" s="133" t="str">
        <f aca="false">IF(ISBLANK($C92),"",IF($BR92&lt;&gt;Constants!$B$8,$BR92,$BX92-$CG92))</f>
        <v/>
      </c>
      <c r="CI92" s="138"/>
      <c r="CJ92" s="139"/>
      <c r="CK92" s="140" t="str">
        <f aca="false">IF(ISBLANK($C92),"",IF($BR92=Constants!$B$12,$BQ92,""))</f>
        <v/>
      </c>
      <c r="CL92" s="139" t="str">
        <f aca="false">IF(ISBLANK($C92),"",IF($BR92&lt;&gt;Constants!$B$8,"",IF($BI92="-&gt;",2,1)))</f>
        <v/>
      </c>
      <c r="CM92" s="141" t="str">
        <f aca="false">IF(ISBLANK($C92),"",IF($BR92&lt;&gt;Constants!$B$8,"",IF($BI92="-&gt;",$BK92,$BC92)))</f>
        <v/>
      </c>
      <c r="CN92" s="141" t="str">
        <f aca="false">IF(ISBLANK($C92),"",IF($BR92&lt;&gt;Constants!$B$8,"",IF($BI92="-&gt;",$BL92,$BD92)))</f>
        <v/>
      </c>
      <c r="CO92" s="141" t="str">
        <f aca="false">IF(ISBLANK($C92),"",IF($BR92&lt;&gt;Constants!$B$8,"",IF($BI92="-&gt;",$BM92+$BN92,$BE92+$BF92)+$BV92))</f>
        <v/>
      </c>
      <c r="CP92" s="141" t="str">
        <f aca="false">IF(ISBLANK($C92),"",IF($BR92&lt;&gt;Constants!$B$8,"",IF($BI92="-&gt;",$BO92,$BG92)+$BU92))</f>
        <v/>
      </c>
      <c r="CQ92" s="142" t="str">
        <f aca="false">IF(ISBLANK($C92),"",IF($BR92&lt;&gt;Constants!$B$8,$BR92,$BW92))</f>
        <v/>
      </c>
      <c r="CR92" s="143" t="str">
        <f aca="false">IF(ISBLANK($C92),"",$BS92)</f>
        <v/>
      </c>
      <c r="CS92" s="144" t="str">
        <f aca="false">IF(ISBLANK($C92),"",$CH92)</f>
        <v/>
      </c>
      <c r="CT92" s="144" t="str">
        <f aca="false">IF(ISBLANK($C92),"",$CG92)</f>
        <v/>
      </c>
      <c r="CU92" s="145" t="str">
        <f aca="false">IF(ISBLANK($C92),"",IFERROR(_xlfn.SWITCH($CT92,Constants!$B$11,COUNTA($C$9:$C$508)+2,Constants!$B$10,COUNTA($C$9:$C$508)+1,Constants!$B$9,COUNTA($C$9:$C$508)),$CT92))</f>
        <v/>
      </c>
      <c r="CV92" s="9"/>
      <c r="CW92" s="146" t="n">
        <f aca="false">IF(OR(ISNUMBER($CT92),$CT92=Constants!$B$11,$CT92=Constants!$B$9,$CT92=Constants!$B$10),1,0)</f>
        <v>0</v>
      </c>
      <c r="CX92" s="146" t="n">
        <v>84</v>
      </c>
      <c r="CY92" s="146" t="str">
        <f aca="false">IF(ISBLANK($C92),"",IF(ISNUMBER($CU92),$CU92+ROW($B92)/1000,""))</f>
        <v/>
      </c>
      <c r="CZ92" s="146" t="str">
        <f aca="false">IF(ISNUMBER($CY92),RANK($CY92,$CY$9:$CY$508,1),"")</f>
        <v/>
      </c>
      <c r="DA92" s="146" t="str">
        <f aca="false">IF(ISBLANK($C92),"",$B92)</f>
        <v/>
      </c>
      <c r="DB92" s="146" t="str">
        <f aca="false">IF(ISBLANK($C92),"",$C92)</f>
        <v/>
      </c>
      <c r="DC92" s="146" t="str">
        <f aca="false">IF(ISBLANK($C92),"",$D92)</f>
        <v/>
      </c>
      <c r="DD92" s="147" t="str">
        <f aca="false">$CR92</f>
        <v/>
      </c>
      <c r="DE92" s="148" t="str">
        <f aca="false">$CQ92</f>
        <v/>
      </c>
      <c r="DF92" s="146" t="str">
        <f aca="false">IF(ISBLANK($C92),"",$CT92)</f>
        <v/>
      </c>
      <c r="DG92" s="149" t="str">
        <f aca="false">IF($CX92&gt;$CW$8,"",VLOOKUP($CX92,$CZ$9:$DF$508,7,FALSE()))</f>
        <v/>
      </c>
      <c r="DH92" s="150" t="str">
        <f aca="false">IF($CX92&gt;$CW$8,"",VLOOKUP($CX92,$CZ$9:$DF$508,2,FALSE()))</f>
        <v/>
      </c>
      <c r="DI92" s="150" t="str">
        <f aca="false">IF($CX92&gt;$CW$8,"",VLOOKUP($CX92,$CZ$9:$DF$508,3,FALSE()))</f>
        <v/>
      </c>
      <c r="DJ92" s="150" t="str">
        <f aca="false">IF($CX92&gt;$CW$8,"",VLOOKUP($CX92,$CZ$9:$DF$508,4,FALSE()))</f>
        <v/>
      </c>
      <c r="DK92" s="150" t="str">
        <f aca="false">IF($CX92&gt;$CW$8,"",VLOOKUP($CX92,$CZ$9:$DF$508,5,FALSE()))</f>
        <v/>
      </c>
      <c r="DL92" s="151" t="str">
        <f aca="false">IF($CX92&gt;$CW$8,"",VLOOKUP($CX92,$CZ$9:$DF$508,6,FALSE()))</f>
        <v/>
      </c>
      <c r="DM92" s="75"/>
    </row>
    <row r="93" customFormat="false" ht="15.75" hidden="false" customHeight="false" outlineLevel="0" collapsed="false">
      <c r="A93" s="9"/>
      <c r="B93" s="77"/>
      <c r="C93" s="78"/>
      <c r="D93" s="167"/>
      <c r="E93" s="175"/>
      <c r="F93" s="169"/>
      <c r="G93" s="170"/>
      <c r="H93" s="170"/>
      <c r="I93" s="176"/>
      <c r="J93" s="173"/>
      <c r="K93" s="85"/>
      <c r="L93" s="86"/>
      <c r="M93" s="87"/>
      <c r="N93" s="173"/>
      <c r="O93" s="173"/>
      <c r="P93" s="175"/>
      <c r="Q93" s="173"/>
      <c r="R93" s="173"/>
      <c r="S93" s="85"/>
      <c r="T93" s="87"/>
      <c r="U93" s="87"/>
      <c r="V93" s="173"/>
      <c r="W93" s="173"/>
      <c r="X93" s="175"/>
      <c r="Y93" s="173"/>
      <c r="Z93" s="174"/>
      <c r="AA93" s="173"/>
      <c r="AB93" s="91"/>
      <c r="AC93" s="92"/>
      <c r="AD93" s="92"/>
      <c r="AE93" s="92"/>
      <c r="AF93" s="92" t="str">
        <f aca="false">IF(ISBLANK($C93),"",IF(E93=Constants!$B$3,TRUE(),IF(E93=Constants!$B$4,FALSE(),TRUE())))</f>
        <v/>
      </c>
      <c r="AG93" s="92" t="str">
        <f aca="false">IF(ISBLANK($C93),"",IF(F93=Constants!$B$3,TRUE(),IF(F93=Constants!$B$4,FALSE(),TRUE())))</f>
        <v/>
      </c>
      <c r="AH93" s="92" t="str">
        <f aca="false">IF(ISBLANK($C93),"",IF(G93=Constants!$B$3,TRUE(),IF(G93=Constants!$B$4,FALSE(),TRUE())))</f>
        <v/>
      </c>
      <c r="AI93" s="92" t="str">
        <f aca="false">IF(ISBLANK($C93),"",IF(AND(ISNUMBER(H93),H93&gt;=0),H93,Constants!$B$29))</f>
        <v/>
      </c>
      <c r="AJ93" s="92" t="str">
        <f aca="false">IF(ISBLANK($C93),"",IF(I93=Constants!$B$3,TRUE(),IF(I93=Constants!$B$4,FALSE(),TRUE())))</f>
        <v/>
      </c>
      <c r="AK93" s="92" t="str">
        <f aca="false">IF(ISBLANK($C93),"",IF(J93=Constants!$B$3,TRUE(),IF(J93=Constants!$B$4,FALSE(),TRUE())))</f>
        <v/>
      </c>
      <c r="AL93" s="92" t="str">
        <f aca="false">IF(ISBLANK($C93),"",IF(K93=Constants!$B$5,TRUE(),IF(K93=Constants!$B$6,FALSE(),COUNTA(L93:P93)&gt;0)))</f>
        <v/>
      </c>
      <c r="AM93" s="94" t="str">
        <f aca="false">IF(ISBLANK($C93),"",IF(ISNUMBER(L93),IF(L93&gt;=0,L93,""),""))</f>
        <v/>
      </c>
      <c r="AN93" s="93" t="str">
        <f aca="false">IF(ISBLANK($C93),"",IF(ISNUMBER(M93),IF(M93&gt;=0,M93,""),""))</f>
        <v/>
      </c>
      <c r="AO93" s="93" t="str">
        <f aca="false">IF(ISBLANK($C93),"",IF(N93=Constants!$B$3,TRUE(),IF(N93=Constants!$B$4,FALSE(),TRUE())))</f>
        <v/>
      </c>
      <c r="AP93" s="92" t="str">
        <f aca="false">IF(ISBLANK($C93),"",IF(ISNUMBER(O93),IF(O93&gt;=0,O93,""),""))</f>
        <v/>
      </c>
      <c r="AQ93" s="92" t="str">
        <f aca="false">IF(ISBLANK($C93),"",IF(P93=Constants!$B$3,TRUE(),IF(P93=Constants!$B$4,FALSE(),FALSE())))</f>
        <v/>
      </c>
      <c r="AR93" s="92" t="str">
        <f aca="false">IF(ISBLANK($C93),"",IF(Q93=Constants!$B$3,TRUE(),IF(Q93=Constants!$B$4,FALSE(),TRUE())))</f>
        <v/>
      </c>
      <c r="AS93" s="92" t="str">
        <f aca="false">IF(ISBLANK($C93),"",IF(R93=Constants!$B$3,TRUE(),IF(R93=Constants!$B$4,FALSE(),TRUE())))</f>
        <v/>
      </c>
      <c r="AT93" s="92" t="str">
        <f aca="false">IF(ISBLANK($C93),"",IF(S93=Constants!$B$5,TRUE(),IF(S93=Constants!$B$6,FALSE(),COUNTA(T93:X93)&gt;0)))</f>
        <v/>
      </c>
      <c r="AU93" s="94" t="str">
        <f aca="false">IF(ISBLANK($C93),"",IF(ISNUMBER(T93),IF(T93&gt;=0,T93,""),""))</f>
        <v/>
      </c>
      <c r="AV93" s="93" t="str">
        <f aca="false">IF(ISBLANK($C93),"",IF(ISNUMBER(U93),IF(U93&gt;=0,U93,""),""))</f>
        <v/>
      </c>
      <c r="AW93" s="93" t="str">
        <f aca="false">IF(ISBLANK($C93),"",IF(V93=Constants!$B$3,TRUE(),IF(V93=Constants!$B$4,FALSE(),TRUE())))</f>
        <v/>
      </c>
      <c r="AX93" s="92" t="str">
        <f aca="false">IF(ISBLANK($C93),"",IF(ISNUMBER(W93),IF(W93&gt;=0,W93,""),""))</f>
        <v/>
      </c>
      <c r="AY93" s="92" t="str">
        <f aca="false">IF(ISBLANK($C93),"",IF(X93=Constants!$B$3,TRUE(),IF(X93=Constants!$B$4,FALSE(),FALSE())))</f>
        <v/>
      </c>
      <c r="AZ93" s="92" t="str">
        <f aca="false">IF(ISBLANK($C93),"",MIN(Constants!$B$31,MAX(0,IF(ISNUMBER(Y93),Y93*60,0)+IF(ISNUMBER(Z93),Z93,0))))</f>
        <v/>
      </c>
      <c r="BA93" s="92" t="str">
        <f aca="false">IF(ISBLANK($C93),"",IF(AA93=Constants!$B$3,TRUE(),IF(AA93=Constants!$B$4,FALSE(),FALSE())))</f>
        <v/>
      </c>
      <c r="BB93" s="91" t="str">
        <f aca="false">IF(ISBLANK($C93),"",AND($AL93,OR($AM93="",$AN93="",AND($AO93,$AP93=""))))</f>
        <v/>
      </c>
      <c r="BC93" s="93" t="str">
        <f aca="false">IF($BR93&lt;&gt;Constants!$B$8,"",IF($AL93,Constants!$B$21*$AN93+Constants!$B$22*IF($AO93,$AP93,Constants!$B$23),Constants!$B$24))</f>
        <v/>
      </c>
      <c r="BD93" s="96" t="str">
        <f aca="false">IF($BR93&lt;&gt;Constants!$B$8,"",Constants!$B$25*ABS($AD$9-IF($AL93,$AM93,0)))</f>
        <v/>
      </c>
      <c r="BE93" s="96" t="str">
        <f aca="false">IF($BR93&lt;&gt;Constants!$B$8,"",IF(AND($AL93,$AQ93,$AO93),Constants!$B$27,0))</f>
        <v/>
      </c>
      <c r="BF93" s="96" t="str">
        <f aca="false">IF($BR93&lt;&gt;Constants!$B$8,"",IF($AL93,($AI93-Constants!$B$29)*Constants!$B$28,0))</f>
        <v/>
      </c>
      <c r="BG93" s="96" t="str">
        <f aca="false">IF($BR93&lt;&gt;Constants!$B$8,"",IF($AK93,0,Constants!$B$15)+IF($AJ93,0,Constants!$B$16)+IF($AH93,0,Constants!$B$17))</f>
        <v/>
      </c>
      <c r="BH93" s="97" t="str">
        <f aca="false">IF($BR93&lt;&gt;Constants!$B$8,"",Constants!$B$20+SUM($BC93:$BG93))</f>
        <v/>
      </c>
      <c r="BI93" s="92" t="str">
        <f aca="false">IF($BR93&lt;&gt;Constants!$B$8,"",IF(OR($BP93&lt;$BH93,AND($BP93=$BH93,OR($BK93&lt;$BC93,AND($BK93=$BC93,OR($BL93&lt;$BD93,AND($BL93=$BD93,$AT93,$AL93,$AV93&lt;$AN93)))))),"-&gt;","&lt;-"))</f>
        <v/>
      </c>
      <c r="BJ93" s="91" t="str">
        <f aca="false">IF(ISBLANK($C93),"",AND($AT93,OR($AU93="",$AV93="",AND($AW93,$AX93=""))))</f>
        <v/>
      </c>
      <c r="BK93" s="93" t="str">
        <f aca="false">IF($BR93&lt;&gt;Constants!$B$8,"",IF($AT93,Constants!$B$21*$AV93+Constants!$B$22*IF($AW93,$AX93,Constants!$B$23),Constants!$B$24))</f>
        <v/>
      </c>
      <c r="BL93" s="96" t="str">
        <f aca="false">IF($BR93&lt;&gt;Constants!$B$8,"",Constants!$B$25*ABS($AD$9-IF($AT93,$AU93,0)))</f>
        <v/>
      </c>
      <c r="BM93" s="96" t="str">
        <f aca="false">IF($BR93&lt;&gt;Constants!$B$8,"",IF(AND($AT93,$AY93,$AW93),Constants!$B$27,0))</f>
        <v/>
      </c>
      <c r="BN93" s="96" t="str">
        <f aca="false">IF($BR93&lt;&gt;Constants!$B$8,"",IF($AT93,($AI93-Constants!$B$29)*Constants!$B$28,0))</f>
        <v/>
      </c>
      <c r="BO93" s="96" t="str">
        <f aca="false">IF($BR93&lt;&gt;Constants!$B$8,"",IF($AS93,0,Constants!$B$15)+IF($AR93,0,Constants!$B$16)+IF($AH93,0,Constants!$B$17))</f>
        <v/>
      </c>
      <c r="BP93" s="97" t="str">
        <f aca="false">IF($BR93&lt;&gt;Constants!$B$8,"",Constants!$B$20+SUM($BK93:$BO93))</f>
        <v/>
      </c>
      <c r="BQ93" s="92" t="str">
        <f aca="false">IF(ISBLANK($C93),"",IF(ISBLANK($D$7),$BQ$5,IF(NOT(ISNUMBER($D$7)),$BQ$6,"")))</f>
        <v/>
      </c>
      <c r="BR93" s="92" t="str">
        <f aca="false">IF(ISBLANK($C93),"",IF($BA93,Constants!$B$11,IF(COUNTA($E93:$AA93)=0,Constants!$B$10,IF(NOT($AG93),Constants!$B$9,IF(OR($BQ93&lt;&gt;"",$BB93,$BJ93),Constants!$B$12,Constants!$B$8)))))</f>
        <v/>
      </c>
      <c r="BS93" s="92" t="str">
        <f aca="false">IF(ISBLANK($C93),"",IF($BR93&lt;&gt;Constants!$B$8,$BR93,Constants!$B$13))</f>
        <v/>
      </c>
      <c r="BT93" s="96" t="str">
        <f aca="false">IF($BR93&lt;&gt;Constants!$B$8,"",IF($BI93="-&gt;",$BP93,$BH93))</f>
        <v/>
      </c>
      <c r="BU93" s="96" t="str">
        <f aca="false">IF($BR93&lt;&gt;Constants!$B$8,"",IF($AF93,0,Constants!$B$18))</f>
        <v/>
      </c>
      <c r="BV93" s="96" t="str">
        <f aca="false">IF($BR93&lt;&gt;Constants!$B$8,"",((Constants!$B$31-$AZ93)-Constants!$B$31)/Constants!$B$32)</f>
        <v/>
      </c>
      <c r="BW93" s="96" t="str">
        <f aca="false">IF(ISBLANK($C93),"",IF($BR93&lt;&gt;Constants!$B$8,$BR93,SUM($BT93:$BV93)))</f>
        <v/>
      </c>
      <c r="BX93" s="92" t="str">
        <f aca="false">IF(ISBLANK($C93),"",IF($BR93&lt;&gt;Constants!$B$8,$BR93,RANK($BW93,$BW$9:$BW$508,1)))</f>
        <v/>
      </c>
      <c r="BY93" s="96" t="str">
        <f aca="false">IF($BR93&lt;&gt;Constants!$B$8,"",IF($BI93="-&gt;",$BK93,$BC93))</f>
        <v/>
      </c>
      <c r="BZ93" s="92" t="str">
        <f aca="false">IF(ISBLANK($C93),"",IF($BR93&lt;&gt;Constants!$B$8,$BR93,IF(ISNUMBER($BY93),RANK($BY93,$BY$9:$BY$508,1),COUNT($BY$9:$BY$508)+1)))</f>
        <v/>
      </c>
      <c r="CA93" s="96" t="str">
        <f aca="false">IF($BR93&lt;&gt;Constants!$B$8,"",IF($BI93="-&gt;",$BL93,$BD93))</f>
        <v/>
      </c>
      <c r="CB93" s="92" t="str">
        <f aca="false">IF(ISBLANK($C93),"",IF($BR93&lt;&gt;Constants!$B$8,$BR93,IF(ISNUMBER($CA93),RANK($CA93,$CA$9:$CA$508,1),COUNT($CA$9:$CA$508)+1)))</f>
        <v/>
      </c>
      <c r="CC93" s="96" t="str">
        <f aca="false">IF($BR93&lt;&gt;Constants!$B$8,"",IF($BI93="-&gt;",IF($AT93,$AV93,""),IF($AL93,$AN93,"")))</f>
        <v/>
      </c>
      <c r="CD93" s="92" t="str">
        <f aca="false">IF(ISBLANK($C93),"",IF($BR93&lt;&gt;Constants!$B$8,$BR93,IF(ISNUMBER($CC93),RANK($CC93,$CC$9:$CC$508,1),COUNT($CC$9:$CC$508)+1)))</f>
        <v/>
      </c>
      <c r="CE93" s="96" t="str">
        <f aca="false">IF($BR93&lt;&gt;Constants!$B$8,"",IF(AND(NOT($AL93),NOT($AT93),$AJ93,$AK93,$AR93,$AS93),"",$AI93))</f>
        <v/>
      </c>
      <c r="CF93" s="92" t="str">
        <f aca="false">IF(ISBLANK($C93),"",IF($BR93&lt;&gt;Constants!$B$8,$BR93,IF(ISNUMBER($CE93),RANK($CE93,$CE$9:$CE$508,1),COUNT($CE$9:$CE$508)+1)))</f>
        <v/>
      </c>
      <c r="CG93" s="92" t="str">
        <f aca="false">IF(ISBLANK($C93),"",IF($BR93&lt;&gt;Constants!$B$8,$BR93,COUNTIFS($BX$9:$BX$508,"&lt;"&amp;$BX93)+COUNTIFS($BX$9:$BX$508,$BX93,$BZ$9:$BZ$508,"&lt;"&amp;$BZ93)+COUNTIFS($BX$9:$BX$508,$BX93,$BZ$9:$BZ$508,$BZ93,$CB$9:$CB$508,"&lt;"&amp;$CB93)+COUNTIFS($BX$9:$BX$508,$BX93,$BZ$9:$BZ$508,$BZ93,$CB$9:$CB$508,$CB93,$CD$9:$CD$508,"&lt;"&amp;$CD93)+COUNTIFS($BX$9:$BX$508,$BX93,$BZ$9:$BZ$508,$BZ93,$CB$9:$CB$508,$CB93,$CD$9:$CD$508,$CD93,$CF$9:$CF$508,"&lt;"&amp;$CF93)+1))</f>
        <v/>
      </c>
      <c r="CH93" s="92" t="str">
        <f aca="false">IF(ISBLANK($C93),"",IF($BR93&lt;&gt;Constants!$B$8,$BR93,$BX93-$CG93))</f>
        <v/>
      </c>
      <c r="CI93" s="98"/>
      <c r="CJ93" s="99"/>
      <c r="CK93" s="100" t="str">
        <f aca="false">IF(ISBLANK($C93),"",IF($BR93=Constants!$B$12,$BQ93,""))</f>
        <v/>
      </c>
      <c r="CL93" s="99" t="str">
        <f aca="false">IF(ISBLANK($C93),"",IF($BR93&lt;&gt;Constants!$B$8,"",IF($BI93="-&gt;",2,1)))</f>
        <v/>
      </c>
      <c r="CM93" s="101" t="str">
        <f aca="false">IF(ISBLANK($C93),"",IF($BR93&lt;&gt;Constants!$B$8,"",IF($BI93="-&gt;",$BK93,$BC93)))</f>
        <v/>
      </c>
      <c r="CN93" s="101" t="str">
        <f aca="false">IF(ISBLANK($C93),"",IF($BR93&lt;&gt;Constants!$B$8,"",IF($BI93="-&gt;",$BL93,$BD93)))</f>
        <v/>
      </c>
      <c r="CO93" s="101" t="str">
        <f aca="false">IF(ISBLANK($C93),"",IF($BR93&lt;&gt;Constants!$B$8,"",IF($BI93="-&gt;",$BM93+$BN93,$BE93+$BF93)+$BV93))</f>
        <v/>
      </c>
      <c r="CP93" s="101" t="str">
        <f aca="false">IF(ISBLANK($C93),"",IF($BR93&lt;&gt;Constants!$B$8,"",IF($BI93="-&gt;",$BO93,$BG93)+$BU93))</f>
        <v/>
      </c>
      <c r="CQ93" s="102" t="str">
        <f aca="false">IF(ISBLANK($C93),"",IF($BR93&lt;&gt;Constants!$B$8,$BR93,$BW93))</f>
        <v/>
      </c>
      <c r="CR93" s="103" t="str">
        <f aca="false">IF(ISBLANK($C93),"",$BS93)</f>
        <v/>
      </c>
      <c r="CS93" s="104" t="str">
        <f aca="false">IF(ISBLANK($C93),"",$CH93)</f>
        <v/>
      </c>
      <c r="CT93" s="104" t="str">
        <f aca="false">IF(ISBLANK($C93),"",$CG93)</f>
        <v/>
      </c>
      <c r="CU93" s="105" t="str">
        <f aca="false">IF(ISBLANK($C93),"",IFERROR(_xlfn.SWITCH($CT93,Constants!$B$11,COUNTA($C$9:$C$508)+2,Constants!$B$10,COUNTA($C$9:$C$508)+1,Constants!$B$9,COUNTA($C$9:$C$508)),$CT93))</f>
        <v/>
      </c>
      <c r="CV93" s="9"/>
      <c r="CW93" s="106" t="n">
        <f aca="false">IF(OR(ISNUMBER($CT93),$CT93=Constants!$B$11,$CT93=Constants!$B$9,$CT93=Constants!$B$10),1,0)</f>
        <v>0</v>
      </c>
      <c r="CX93" s="106" t="n">
        <v>85</v>
      </c>
      <c r="CY93" s="106" t="str">
        <f aca="false">IF(ISBLANK($C93),"",IF(ISNUMBER($CU93),$CU93+ROW($B93)/1000,""))</f>
        <v/>
      </c>
      <c r="CZ93" s="106" t="str">
        <f aca="false">IF(ISNUMBER($CY93),RANK($CY93,$CY$9:$CY$508,1),"")</f>
        <v/>
      </c>
      <c r="DA93" s="106" t="str">
        <f aca="false">IF(ISBLANK($C93),"",$B93)</f>
        <v/>
      </c>
      <c r="DB93" s="106" t="str">
        <f aca="false">IF(ISBLANK($C93),"",$C93)</f>
        <v/>
      </c>
      <c r="DC93" s="106" t="str">
        <f aca="false">IF(ISBLANK($C93),"",$D93)</f>
        <v/>
      </c>
      <c r="DD93" s="107" t="str">
        <f aca="false">$CR93</f>
        <v/>
      </c>
      <c r="DE93" s="108" t="str">
        <f aca="false">$CQ93</f>
        <v/>
      </c>
      <c r="DF93" s="106" t="str">
        <f aca="false">IF(ISBLANK($C93),"",$CT93)</f>
        <v/>
      </c>
      <c r="DG93" s="109" t="str">
        <f aca="false">IF($CX93&gt;$CW$8,"",VLOOKUP($CX93,$CZ$9:$DF$508,7,FALSE()))</f>
        <v/>
      </c>
      <c r="DH93" s="110" t="str">
        <f aca="false">IF($CX93&gt;$CW$8,"",VLOOKUP($CX93,$CZ$9:$DF$508,2,FALSE()))</f>
        <v/>
      </c>
      <c r="DI93" s="110" t="str">
        <f aca="false">IF($CX93&gt;$CW$8,"",VLOOKUP($CX93,$CZ$9:$DF$508,3,FALSE()))</f>
        <v/>
      </c>
      <c r="DJ93" s="110" t="str">
        <f aca="false">IF($CX93&gt;$CW$8,"",VLOOKUP($CX93,$CZ$9:$DF$508,4,FALSE()))</f>
        <v/>
      </c>
      <c r="DK93" s="110" t="str">
        <f aca="false">IF($CX93&gt;$CW$8,"",VLOOKUP($CX93,$CZ$9:$DF$508,5,FALSE()))</f>
        <v/>
      </c>
      <c r="DL93" s="111" t="str">
        <f aca="false">IF($CX93&gt;$CW$8,"",VLOOKUP($CX93,$CZ$9:$DF$508,6,FALSE()))</f>
        <v/>
      </c>
      <c r="DM93" s="75"/>
    </row>
    <row r="94" customFormat="false" ht="15.75" hidden="false" customHeight="false" outlineLevel="0" collapsed="false">
      <c r="A94" s="9"/>
      <c r="B94" s="77"/>
      <c r="C94" s="78"/>
      <c r="D94" s="167"/>
      <c r="E94" s="175"/>
      <c r="F94" s="169"/>
      <c r="G94" s="170"/>
      <c r="H94" s="170"/>
      <c r="I94" s="176"/>
      <c r="J94" s="173"/>
      <c r="K94" s="85"/>
      <c r="L94" s="86"/>
      <c r="M94" s="87"/>
      <c r="N94" s="173"/>
      <c r="O94" s="173"/>
      <c r="P94" s="175"/>
      <c r="Q94" s="173"/>
      <c r="R94" s="173"/>
      <c r="S94" s="85"/>
      <c r="T94" s="87"/>
      <c r="U94" s="87"/>
      <c r="V94" s="173"/>
      <c r="W94" s="173"/>
      <c r="X94" s="175"/>
      <c r="Y94" s="173"/>
      <c r="Z94" s="174"/>
      <c r="AA94" s="173"/>
      <c r="AB94" s="91"/>
      <c r="AC94" s="92"/>
      <c r="AD94" s="92"/>
      <c r="AE94" s="92"/>
      <c r="AF94" s="92" t="str">
        <f aca="false">IF(ISBLANK($C94),"",IF(E94=Constants!$B$3,TRUE(),IF(E94=Constants!$B$4,FALSE(),TRUE())))</f>
        <v/>
      </c>
      <c r="AG94" s="92" t="str">
        <f aca="false">IF(ISBLANK($C94),"",IF(F94=Constants!$B$3,TRUE(),IF(F94=Constants!$B$4,FALSE(),TRUE())))</f>
        <v/>
      </c>
      <c r="AH94" s="92" t="str">
        <f aca="false">IF(ISBLANK($C94),"",IF(G94=Constants!$B$3,TRUE(),IF(G94=Constants!$B$4,FALSE(),TRUE())))</f>
        <v/>
      </c>
      <c r="AI94" s="92" t="str">
        <f aca="false">IF(ISBLANK($C94),"",IF(AND(ISNUMBER(H94),H94&gt;=0),H94,Constants!$B$29))</f>
        <v/>
      </c>
      <c r="AJ94" s="92" t="str">
        <f aca="false">IF(ISBLANK($C94),"",IF(I94=Constants!$B$3,TRUE(),IF(I94=Constants!$B$4,FALSE(),TRUE())))</f>
        <v/>
      </c>
      <c r="AK94" s="92" t="str">
        <f aca="false">IF(ISBLANK($C94),"",IF(J94=Constants!$B$3,TRUE(),IF(J94=Constants!$B$4,FALSE(),TRUE())))</f>
        <v/>
      </c>
      <c r="AL94" s="92" t="str">
        <f aca="false">IF(ISBLANK($C94),"",IF(K94=Constants!$B$5,TRUE(),IF(K94=Constants!$B$6,FALSE(),COUNTA(L94:P94)&gt;0)))</f>
        <v/>
      </c>
      <c r="AM94" s="94" t="str">
        <f aca="false">IF(ISBLANK($C94),"",IF(ISNUMBER(L94),IF(L94&gt;=0,L94,""),""))</f>
        <v/>
      </c>
      <c r="AN94" s="93" t="str">
        <f aca="false">IF(ISBLANK($C94),"",IF(ISNUMBER(M94),IF(M94&gt;=0,M94,""),""))</f>
        <v/>
      </c>
      <c r="AO94" s="93" t="str">
        <f aca="false">IF(ISBLANK($C94),"",IF(N94=Constants!$B$3,TRUE(),IF(N94=Constants!$B$4,FALSE(),TRUE())))</f>
        <v/>
      </c>
      <c r="AP94" s="92" t="str">
        <f aca="false">IF(ISBLANK($C94),"",IF(ISNUMBER(O94),IF(O94&gt;=0,O94,""),""))</f>
        <v/>
      </c>
      <c r="AQ94" s="92" t="str">
        <f aca="false">IF(ISBLANK($C94),"",IF(P94=Constants!$B$3,TRUE(),IF(P94=Constants!$B$4,FALSE(),FALSE())))</f>
        <v/>
      </c>
      <c r="AR94" s="92" t="str">
        <f aca="false">IF(ISBLANK($C94),"",IF(Q94=Constants!$B$3,TRUE(),IF(Q94=Constants!$B$4,FALSE(),TRUE())))</f>
        <v/>
      </c>
      <c r="AS94" s="92" t="str">
        <f aca="false">IF(ISBLANK($C94),"",IF(R94=Constants!$B$3,TRUE(),IF(R94=Constants!$B$4,FALSE(),TRUE())))</f>
        <v/>
      </c>
      <c r="AT94" s="92" t="str">
        <f aca="false">IF(ISBLANK($C94),"",IF(S94=Constants!$B$5,TRUE(),IF(S94=Constants!$B$6,FALSE(),COUNTA(T94:X94)&gt;0)))</f>
        <v/>
      </c>
      <c r="AU94" s="94" t="str">
        <f aca="false">IF(ISBLANK($C94),"",IF(ISNUMBER(T94),IF(T94&gt;=0,T94,""),""))</f>
        <v/>
      </c>
      <c r="AV94" s="93" t="str">
        <f aca="false">IF(ISBLANK($C94),"",IF(ISNUMBER(U94),IF(U94&gt;=0,U94,""),""))</f>
        <v/>
      </c>
      <c r="AW94" s="93" t="str">
        <f aca="false">IF(ISBLANK($C94),"",IF(V94=Constants!$B$3,TRUE(),IF(V94=Constants!$B$4,FALSE(),TRUE())))</f>
        <v/>
      </c>
      <c r="AX94" s="92" t="str">
        <f aca="false">IF(ISBLANK($C94),"",IF(ISNUMBER(W94),IF(W94&gt;=0,W94,""),""))</f>
        <v/>
      </c>
      <c r="AY94" s="92" t="str">
        <f aca="false">IF(ISBLANK($C94),"",IF(X94=Constants!$B$3,TRUE(),IF(X94=Constants!$B$4,FALSE(),FALSE())))</f>
        <v/>
      </c>
      <c r="AZ94" s="92" t="str">
        <f aca="false">IF(ISBLANK($C94),"",MIN(Constants!$B$31,MAX(0,IF(ISNUMBER(Y94),Y94*60,0)+IF(ISNUMBER(Z94),Z94,0))))</f>
        <v/>
      </c>
      <c r="BA94" s="92" t="str">
        <f aca="false">IF(ISBLANK($C94),"",IF(AA94=Constants!$B$3,TRUE(),IF(AA94=Constants!$B$4,FALSE(),FALSE())))</f>
        <v/>
      </c>
      <c r="BB94" s="91" t="str">
        <f aca="false">IF(ISBLANK($C94),"",AND($AL94,OR($AM94="",$AN94="",AND($AO94,$AP94=""))))</f>
        <v/>
      </c>
      <c r="BC94" s="93" t="str">
        <f aca="false">IF($BR94&lt;&gt;Constants!$B$8,"",IF($AL94,Constants!$B$21*$AN94+Constants!$B$22*IF($AO94,$AP94,Constants!$B$23),Constants!$B$24))</f>
        <v/>
      </c>
      <c r="BD94" s="96" t="str">
        <f aca="false">IF($BR94&lt;&gt;Constants!$B$8,"",Constants!$B$25*ABS($AD$9-IF($AL94,$AM94,0)))</f>
        <v/>
      </c>
      <c r="BE94" s="96" t="str">
        <f aca="false">IF($BR94&lt;&gt;Constants!$B$8,"",IF(AND($AL94,$AQ94,$AO94),Constants!$B$27,0))</f>
        <v/>
      </c>
      <c r="BF94" s="96" t="str">
        <f aca="false">IF($BR94&lt;&gt;Constants!$B$8,"",IF($AL94,($AI94-Constants!$B$29)*Constants!$B$28,0))</f>
        <v/>
      </c>
      <c r="BG94" s="96" t="str">
        <f aca="false">IF($BR94&lt;&gt;Constants!$B$8,"",IF($AK94,0,Constants!$B$15)+IF($AJ94,0,Constants!$B$16)+IF($AH94,0,Constants!$B$17))</f>
        <v/>
      </c>
      <c r="BH94" s="97" t="str">
        <f aca="false">IF($BR94&lt;&gt;Constants!$B$8,"",Constants!$B$20+SUM($BC94:$BG94))</f>
        <v/>
      </c>
      <c r="BI94" s="92" t="str">
        <f aca="false">IF($BR94&lt;&gt;Constants!$B$8,"",IF(OR($BP94&lt;$BH94,AND($BP94=$BH94,OR($BK94&lt;$BC94,AND($BK94=$BC94,OR($BL94&lt;$BD94,AND($BL94=$BD94,$AT94,$AL94,$AV94&lt;$AN94)))))),"-&gt;","&lt;-"))</f>
        <v/>
      </c>
      <c r="BJ94" s="91" t="str">
        <f aca="false">IF(ISBLANK($C94),"",AND($AT94,OR($AU94="",$AV94="",AND($AW94,$AX94=""))))</f>
        <v/>
      </c>
      <c r="BK94" s="93" t="str">
        <f aca="false">IF($BR94&lt;&gt;Constants!$B$8,"",IF($AT94,Constants!$B$21*$AV94+Constants!$B$22*IF($AW94,$AX94,Constants!$B$23),Constants!$B$24))</f>
        <v/>
      </c>
      <c r="BL94" s="96" t="str">
        <f aca="false">IF($BR94&lt;&gt;Constants!$B$8,"",Constants!$B$25*ABS($AD$9-IF($AT94,$AU94,0)))</f>
        <v/>
      </c>
      <c r="BM94" s="96" t="str">
        <f aca="false">IF($BR94&lt;&gt;Constants!$B$8,"",IF(AND($AT94,$AY94,$AW94),Constants!$B$27,0))</f>
        <v/>
      </c>
      <c r="BN94" s="96" t="str">
        <f aca="false">IF($BR94&lt;&gt;Constants!$B$8,"",IF($AT94,($AI94-Constants!$B$29)*Constants!$B$28,0))</f>
        <v/>
      </c>
      <c r="BO94" s="96" t="str">
        <f aca="false">IF($BR94&lt;&gt;Constants!$B$8,"",IF($AS94,0,Constants!$B$15)+IF($AR94,0,Constants!$B$16)+IF($AH94,0,Constants!$B$17))</f>
        <v/>
      </c>
      <c r="BP94" s="97" t="str">
        <f aca="false">IF($BR94&lt;&gt;Constants!$B$8,"",Constants!$B$20+SUM($BK94:$BO94))</f>
        <v/>
      </c>
      <c r="BQ94" s="92" t="str">
        <f aca="false">IF(ISBLANK($C94),"",IF(ISBLANK($D$7),$BQ$5,IF(NOT(ISNUMBER($D$7)),$BQ$6,"")))</f>
        <v/>
      </c>
      <c r="BR94" s="92" t="str">
        <f aca="false">IF(ISBLANK($C94),"",IF($BA94,Constants!$B$11,IF(COUNTA($E94:$AA94)=0,Constants!$B$10,IF(NOT($AG94),Constants!$B$9,IF(OR($BQ94&lt;&gt;"",$BB94,$BJ94),Constants!$B$12,Constants!$B$8)))))</f>
        <v/>
      </c>
      <c r="BS94" s="92" t="str">
        <f aca="false">IF(ISBLANK($C94),"",IF($BR94&lt;&gt;Constants!$B$8,$BR94,Constants!$B$13))</f>
        <v/>
      </c>
      <c r="BT94" s="96" t="str">
        <f aca="false">IF($BR94&lt;&gt;Constants!$B$8,"",IF($BI94="-&gt;",$BP94,$BH94))</f>
        <v/>
      </c>
      <c r="BU94" s="96" t="str">
        <f aca="false">IF($BR94&lt;&gt;Constants!$B$8,"",IF($AF94,0,Constants!$B$18))</f>
        <v/>
      </c>
      <c r="BV94" s="96" t="str">
        <f aca="false">IF($BR94&lt;&gt;Constants!$B$8,"",((Constants!$B$31-$AZ94)-Constants!$B$31)/Constants!$B$32)</f>
        <v/>
      </c>
      <c r="BW94" s="96" t="str">
        <f aca="false">IF(ISBLANK($C94),"",IF($BR94&lt;&gt;Constants!$B$8,$BR94,SUM($BT94:$BV94)))</f>
        <v/>
      </c>
      <c r="BX94" s="92" t="str">
        <f aca="false">IF(ISBLANK($C94),"",IF($BR94&lt;&gt;Constants!$B$8,$BR94,RANK($BW94,$BW$9:$BW$508,1)))</f>
        <v/>
      </c>
      <c r="BY94" s="96" t="str">
        <f aca="false">IF($BR94&lt;&gt;Constants!$B$8,"",IF($BI94="-&gt;",$BK94,$BC94))</f>
        <v/>
      </c>
      <c r="BZ94" s="92" t="str">
        <f aca="false">IF(ISBLANK($C94),"",IF($BR94&lt;&gt;Constants!$B$8,$BR94,IF(ISNUMBER($BY94),RANK($BY94,$BY$9:$BY$508,1),COUNT($BY$9:$BY$508)+1)))</f>
        <v/>
      </c>
      <c r="CA94" s="96" t="str">
        <f aca="false">IF($BR94&lt;&gt;Constants!$B$8,"",IF($BI94="-&gt;",$BL94,$BD94))</f>
        <v/>
      </c>
      <c r="CB94" s="92" t="str">
        <f aca="false">IF(ISBLANK($C94),"",IF($BR94&lt;&gt;Constants!$B$8,$BR94,IF(ISNUMBER($CA94),RANK($CA94,$CA$9:$CA$508,1),COUNT($CA$9:$CA$508)+1)))</f>
        <v/>
      </c>
      <c r="CC94" s="96" t="str">
        <f aca="false">IF($BR94&lt;&gt;Constants!$B$8,"",IF($BI94="-&gt;",IF($AT94,$AV94,""),IF($AL94,$AN94,"")))</f>
        <v/>
      </c>
      <c r="CD94" s="92" t="str">
        <f aca="false">IF(ISBLANK($C94),"",IF($BR94&lt;&gt;Constants!$B$8,$BR94,IF(ISNUMBER($CC94),RANK($CC94,$CC$9:$CC$508,1),COUNT($CC$9:$CC$508)+1)))</f>
        <v/>
      </c>
      <c r="CE94" s="96" t="str">
        <f aca="false">IF($BR94&lt;&gt;Constants!$B$8,"",IF(AND(NOT($AL94),NOT($AT94),$AJ94,$AK94,$AR94,$AS94),"",$AI94))</f>
        <v/>
      </c>
      <c r="CF94" s="92" t="str">
        <f aca="false">IF(ISBLANK($C94),"",IF($BR94&lt;&gt;Constants!$B$8,$BR94,IF(ISNUMBER($CE94),RANK($CE94,$CE$9:$CE$508,1),COUNT($CE$9:$CE$508)+1)))</f>
        <v/>
      </c>
      <c r="CG94" s="92" t="str">
        <f aca="false">IF(ISBLANK($C94),"",IF($BR94&lt;&gt;Constants!$B$8,$BR94,COUNTIFS($BX$9:$BX$508,"&lt;"&amp;$BX94)+COUNTIFS($BX$9:$BX$508,$BX94,$BZ$9:$BZ$508,"&lt;"&amp;$BZ94)+COUNTIFS($BX$9:$BX$508,$BX94,$BZ$9:$BZ$508,$BZ94,$CB$9:$CB$508,"&lt;"&amp;$CB94)+COUNTIFS($BX$9:$BX$508,$BX94,$BZ$9:$BZ$508,$BZ94,$CB$9:$CB$508,$CB94,$CD$9:$CD$508,"&lt;"&amp;$CD94)+COUNTIFS($BX$9:$BX$508,$BX94,$BZ$9:$BZ$508,$BZ94,$CB$9:$CB$508,$CB94,$CD$9:$CD$508,$CD94,$CF$9:$CF$508,"&lt;"&amp;$CF94)+1))</f>
        <v/>
      </c>
      <c r="CH94" s="92" t="str">
        <f aca="false">IF(ISBLANK($C94),"",IF($BR94&lt;&gt;Constants!$B$8,$BR94,$BX94-$CG94))</f>
        <v/>
      </c>
      <c r="CI94" s="98"/>
      <c r="CJ94" s="99"/>
      <c r="CK94" s="100" t="str">
        <f aca="false">IF(ISBLANK($C94),"",IF($BR94=Constants!$B$12,$BQ94,""))</f>
        <v/>
      </c>
      <c r="CL94" s="99" t="str">
        <f aca="false">IF(ISBLANK($C94),"",IF($BR94&lt;&gt;Constants!$B$8,"",IF($BI94="-&gt;",2,1)))</f>
        <v/>
      </c>
      <c r="CM94" s="101" t="str">
        <f aca="false">IF(ISBLANK($C94),"",IF($BR94&lt;&gt;Constants!$B$8,"",IF($BI94="-&gt;",$BK94,$BC94)))</f>
        <v/>
      </c>
      <c r="CN94" s="101" t="str">
        <f aca="false">IF(ISBLANK($C94),"",IF($BR94&lt;&gt;Constants!$B$8,"",IF($BI94="-&gt;",$BL94,$BD94)))</f>
        <v/>
      </c>
      <c r="CO94" s="101" t="str">
        <f aca="false">IF(ISBLANK($C94),"",IF($BR94&lt;&gt;Constants!$B$8,"",IF($BI94="-&gt;",$BM94+$BN94,$BE94+$BF94)+$BV94))</f>
        <v/>
      </c>
      <c r="CP94" s="101" t="str">
        <f aca="false">IF(ISBLANK($C94),"",IF($BR94&lt;&gt;Constants!$B$8,"",IF($BI94="-&gt;",$BO94,$BG94)+$BU94))</f>
        <v/>
      </c>
      <c r="CQ94" s="102" t="str">
        <f aca="false">IF(ISBLANK($C94),"",IF($BR94&lt;&gt;Constants!$B$8,$BR94,$BW94))</f>
        <v/>
      </c>
      <c r="CR94" s="103" t="str">
        <f aca="false">IF(ISBLANK($C94),"",$BS94)</f>
        <v/>
      </c>
      <c r="CS94" s="104" t="str">
        <f aca="false">IF(ISBLANK($C94),"",$CH94)</f>
        <v/>
      </c>
      <c r="CT94" s="104" t="str">
        <f aca="false">IF(ISBLANK($C94),"",$CG94)</f>
        <v/>
      </c>
      <c r="CU94" s="105" t="str">
        <f aca="false">IF(ISBLANK($C94),"",IFERROR(_xlfn.SWITCH($CT94,Constants!$B$11,COUNTA($C$9:$C$508)+2,Constants!$B$10,COUNTA($C$9:$C$508)+1,Constants!$B$9,COUNTA($C$9:$C$508)),$CT94))</f>
        <v/>
      </c>
      <c r="CV94" s="9"/>
      <c r="CW94" s="106" t="n">
        <f aca="false">IF(OR(ISNUMBER($CT94),$CT94=Constants!$B$11,$CT94=Constants!$B$9,$CT94=Constants!$B$10),1,0)</f>
        <v>0</v>
      </c>
      <c r="CX94" s="106" t="n">
        <v>86</v>
      </c>
      <c r="CY94" s="106" t="str">
        <f aca="false">IF(ISBLANK($C94),"",IF(ISNUMBER($CU94),$CU94+ROW($B94)/1000,""))</f>
        <v/>
      </c>
      <c r="CZ94" s="106" t="str">
        <f aca="false">IF(ISNUMBER($CY94),RANK($CY94,$CY$9:$CY$508,1),"")</f>
        <v/>
      </c>
      <c r="DA94" s="106" t="str">
        <f aca="false">IF(ISBLANK($C94),"",$B94)</f>
        <v/>
      </c>
      <c r="DB94" s="106" t="str">
        <f aca="false">IF(ISBLANK($C94),"",$C94)</f>
        <v/>
      </c>
      <c r="DC94" s="106" t="str">
        <f aca="false">IF(ISBLANK($C94),"",$D94)</f>
        <v/>
      </c>
      <c r="DD94" s="107" t="str">
        <f aca="false">$CR94</f>
        <v/>
      </c>
      <c r="DE94" s="108" t="str">
        <f aca="false">$CQ94</f>
        <v/>
      </c>
      <c r="DF94" s="106" t="str">
        <f aca="false">IF(ISBLANK($C94),"",$CT94)</f>
        <v/>
      </c>
      <c r="DG94" s="109" t="str">
        <f aca="false">IF($CX94&gt;$CW$8,"",VLOOKUP($CX94,$CZ$9:$DF$508,7,FALSE()))</f>
        <v/>
      </c>
      <c r="DH94" s="110" t="str">
        <f aca="false">IF($CX94&gt;$CW$8,"",VLOOKUP($CX94,$CZ$9:$DF$508,2,FALSE()))</f>
        <v/>
      </c>
      <c r="DI94" s="110" t="str">
        <f aca="false">IF($CX94&gt;$CW$8,"",VLOOKUP($CX94,$CZ$9:$DF$508,3,FALSE()))</f>
        <v/>
      </c>
      <c r="DJ94" s="110" t="str">
        <f aca="false">IF($CX94&gt;$CW$8,"",VLOOKUP($CX94,$CZ$9:$DF$508,4,FALSE()))</f>
        <v/>
      </c>
      <c r="DK94" s="110" t="str">
        <f aca="false">IF($CX94&gt;$CW$8,"",VLOOKUP($CX94,$CZ$9:$DF$508,5,FALSE()))</f>
        <v/>
      </c>
      <c r="DL94" s="111" t="str">
        <f aca="false">IF($CX94&gt;$CW$8,"",VLOOKUP($CX94,$CZ$9:$DF$508,6,FALSE()))</f>
        <v/>
      </c>
      <c r="DM94" s="75"/>
    </row>
    <row r="95" customFormat="false" ht="15.75" hidden="false" customHeight="false" outlineLevel="0" collapsed="false">
      <c r="A95" s="9"/>
      <c r="B95" s="77"/>
      <c r="C95" s="78"/>
      <c r="D95" s="167"/>
      <c r="E95" s="175"/>
      <c r="F95" s="169"/>
      <c r="G95" s="170"/>
      <c r="H95" s="170"/>
      <c r="I95" s="176"/>
      <c r="J95" s="173"/>
      <c r="K95" s="85"/>
      <c r="L95" s="86"/>
      <c r="M95" s="87"/>
      <c r="N95" s="173"/>
      <c r="O95" s="173"/>
      <c r="P95" s="175"/>
      <c r="Q95" s="173"/>
      <c r="R95" s="173"/>
      <c r="S95" s="85"/>
      <c r="T95" s="87"/>
      <c r="U95" s="87"/>
      <c r="V95" s="173"/>
      <c r="W95" s="173"/>
      <c r="X95" s="175"/>
      <c r="Y95" s="173"/>
      <c r="Z95" s="174"/>
      <c r="AA95" s="173"/>
      <c r="AB95" s="91"/>
      <c r="AC95" s="92"/>
      <c r="AD95" s="92"/>
      <c r="AE95" s="92"/>
      <c r="AF95" s="92" t="str">
        <f aca="false">IF(ISBLANK($C95),"",IF(E95=Constants!$B$3,TRUE(),IF(E95=Constants!$B$4,FALSE(),TRUE())))</f>
        <v/>
      </c>
      <c r="AG95" s="92" t="str">
        <f aca="false">IF(ISBLANK($C95),"",IF(F95=Constants!$B$3,TRUE(),IF(F95=Constants!$B$4,FALSE(),TRUE())))</f>
        <v/>
      </c>
      <c r="AH95" s="92" t="str">
        <f aca="false">IF(ISBLANK($C95),"",IF(G95=Constants!$B$3,TRUE(),IF(G95=Constants!$B$4,FALSE(),TRUE())))</f>
        <v/>
      </c>
      <c r="AI95" s="92" t="str">
        <f aca="false">IF(ISBLANK($C95),"",IF(AND(ISNUMBER(H95),H95&gt;=0),H95,Constants!$B$29))</f>
        <v/>
      </c>
      <c r="AJ95" s="92" t="str">
        <f aca="false">IF(ISBLANK($C95),"",IF(I95=Constants!$B$3,TRUE(),IF(I95=Constants!$B$4,FALSE(),TRUE())))</f>
        <v/>
      </c>
      <c r="AK95" s="92" t="str">
        <f aca="false">IF(ISBLANK($C95),"",IF(J95=Constants!$B$3,TRUE(),IF(J95=Constants!$B$4,FALSE(),TRUE())))</f>
        <v/>
      </c>
      <c r="AL95" s="92" t="str">
        <f aca="false">IF(ISBLANK($C95),"",IF(K95=Constants!$B$5,TRUE(),IF(K95=Constants!$B$6,FALSE(),COUNTA(L95:P95)&gt;0)))</f>
        <v/>
      </c>
      <c r="AM95" s="94" t="str">
        <f aca="false">IF(ISBLANK($C95),"",IF(ISNUMBER(L95),IF(L95&gt;=0,L95,""),""))</f>
        <v/>
      </c>
      <c r="AN95" s="93" t="str">
        <f aca="false">IF(ISBLANK($C95),"",IF(ISNUMBER(M95),IF(M95&gt;=0,M95,""),""))</f>
        <v/>
      </c>
      <c r="AO95" s="93" t="str">
        <f aca="false">IF(ISBLANK($C95),"",IF(N95=Constants!$B$3,TRUE(),IF(N95=Constants!$B$4,FALSE(),TRUE())))</f>
        <v/>
      </c>
      <c r="AP95" s="92" t="str">
        <f aca="false">IF(ISBLANK($C95),"",IF(ISNUMBER(O95),IF(O95&gt;=0,O95,""),""))</f>
        <v/>
      </c>
      <c r="AQ95" s="92" t="str">
        <f aca="false">IF(ISBLANK($C95),"",IF(P95=Constants!$B$3,TRUE(),IF(P95=Constants!$B$4,FALSE(),FALSE())))</f>
        <v/>
      </c>
      <c r="AR95" s="92" t="str">
        <f aca="false">IF(ISBLANK($C95),"",IF(Q95=Constants!$B$3,TRUE(),IF(Q95=Constants!$B$4,FALSE(),TRUE())))</f>
        <v/>
      </c>
      <c r="AS95" s="92" t="str">
        <f aca="false">IF(ISBLANK($C95),"",IF(R95=Constants!$B$3,TRUE(),IF(R95=Constants!$B$4,FALSE(),TRUE())))</f>
        <v/>
      </c>
      <c r="AT95" s="92" t="str">
        <f aca="false">IF(ISBLANK($C95),"",IF(S95=Constants!$B$5,TRUE(),IF(S95=Constants!$B$6,FALSE(),COUNTA(T95:X95)&gt;0)))</f>
        <v/>
      </c>
      <c r="AU95" s="94" t="str">
        <f aca="false">IF(ISBLANK($C95),"",IF(ISNUMBER(T95),IF(T95&gt;=0,T95,""),""))</f>
        <v/>
      </c>
      <c r="AV95" s="93" t="str">
        <f aca="false">IF(ISBLANK($C95),"",IF(ISNUMBER(U95),IF(U95&gt;=0,U95,""),""))</f>
        <v/>
      </c>
      <c r="AW95" s="93" t="str">
        <f aca="false">IF(ISBLANK($C95),"",IF(V95=Constants!$B$3,TRUE(),IF(V95=Constants!$B$4,FALSE(),TRUE())))</f>
        <v/>
      </c>
      <c r="AX95" s="92" t="str">
        <f aca="false">IF(ISBLANK($C95),"",IF(ISNUMBER(W95),IF(W95&gt;=0,W95,""),""))</f>
        <v/>
      </c>
      <c r="AY95" s="92" t="str">
        <f aca="false">IF(ISBLANK($C95),"",IF(X95=Constants!$B$3,TRUE(),IF(X95=Constants!$B$4,FALSE(),FALSE())))</f>
        <v/>
      </c>
      <c r="AZ95" s="92" t="str">
        <f aca="false">IF(ISBLANK($C95),"",MIN(Constants!$B$31,MAX(0,IF(ISNUMBER(Y95),Y95*60,0)+IF(ISNUMBER(Z95),Z95,0))))</f>
        <v/>
      </c>
      <c r="BA95" s="92" t="str">
        <f aca="false">IF(ISBLANK($C95),"",IF(AA95=Constants!$B$3,TRUE(),IF(AA95=Constants!$B$4,FALSE(),FALSE())))</f>
        <v/>
      </c>
      <c r="BB95" s="91" t="str">
        <f aca="false">IF(ISBLANK($C95),"",AND($AL95,OR($AM95="",$AN95="",AND($AO95,$AP95=""))))</f>
        <v/>
      </c>
      <c r="BC95" s="93" t="str">
        <f aca="false">IF($BR95&lt;&gt;Constants!$B$8,"",IF($AL95,Constants!$B$21*$AN95+Constants!$B$22*IF($AO95,$AP95,Constants!$B$23),Constants!$B$24))</f>
        <v/>
      </c>
      <c r="BD95" s="96" t="str">
        <f aca="false">IF($BR95&lt;&gt;Constants!$B$8,"",Constants!$B$25*ABS($AD$9-IF($AL95,$AM95,0)))</f>
        <v/>
      </c>
      <c r="BE95" s="96" t="str">
        <f aca="false">IF($BR95&lt;&gt;Constants!$B$8,"",IF(AND($AL95,$AQ95,$AO95),Constants!$B$27,0))</f>
        <v/>
      </c>
      <c r="BF95" s="96" t="str">
        <f aca="false">IF($BR95&lt;&gt;Constants!$B$8,"",IF($AL95,($AI95-Constants!$B$29)*Constants!$B$28,0))</f>
        <v/>
      </c>
      <c r="BG95" s="96" t="str">
        <f aca="false">IF($BR95&lt;&gt;Constants!$B$8,"",IF($AK95,0,Constants!$B$15)+IF($AJ95,0,Constants!$B$16)+IF($AH95,0,Constants!$B$17))</f>
        <v/>
      </c>
      <c r="BH95" s="97" t="str">
        <f aca="false">IF($BR95&lt;&gt;Constants!$B$8,"",Constants!$B$20+SUM($BC95:$BG95))</f>
        <v/>
      </c>
      <c r="BI95" s="92" t="str">
        <f aca="false">IF($BR95&lt;&gt;Constants!$B$8,"",IF(OR($BP95&lt;$BH95,AND($BP95=$BH95,OR($BK95&lt;$BC95,AND($BK95=$BC95,OR($BL95&lt;$BD95,AND($BL95=$BD95,$AT95,$AL95,$AV95&lt;$AN95)))))),"-&gt;","&lt;-"))</f>
        <v/>
      </c>
      <c r="BJ95" s="91" t="str">
        <f aca="false">IF(ISBLANK($C95),"",AND($AT95,OR($AU95="",$AV95="",AND($AW95,$AX95=""))))</f>
        <v/>
      </c>
      <c r="BK95" s="93" t="str">
        <f aca="false">IF($BR95&lt;&gt;Constants!$B$8,"",IF($AT95,Constants!$B$21*$AV95+Constants!$B$22*IF($AW95,$AX95,Constants!$B$23),Constants!$B$24))</f>
        <v/>
      </c>
      <c r="BL95" s="96" t="str">
        <f aca="false">IF($BR95&lt;&gt;Constants!$B$8,"",Constants!$B$25*ABS($AD$9-IF($AT95,$AU95,0)))</f>
        <v/>
      </c>
      <c r="BM95" s="96" t="str">
        <f aca="false">IF($BR95&lt;&gt;Constants!$B$8,"",IF(AND($AT95,$AY95,$AW95),Constants!$B$27,0))</f>
        <v/>
      </c>
      <c r="BN95" s="96" t="str">
        <f aca="false">IF($BR95&lt;&gt;Constants!$B$8,"",IF($AT95,($AI95-Constants!$B$29)*Constants!$B$28,0))</f>
        <v/>
      </c>
      <c r="BO95" s="96" t="str">
        <f aca="false">IF($BR95&lt;&gt;Constants!$B$8,"",IF($AS95,0,Constants!$B$15)+IF($AR95,0,Constants!$B$16)+IF($AH95,0,Constants!$B$17))</f>
        <v/>
      </c>
      <c r="BP95" s="97" t="str">
        <f aca="false">IF($BR95&lt;&gt;Constants!$B$8,"",Constants!$B$20+SUM($BK95:$BO95))</f>
        <v/>
      </c>
      <c r="BQ95" s="92" t="str">
        <f aca="false">IF(ISBLANK($C95),"",IF(ISBLANK($D$7),$BQ$5,IF(NOT(ISNUMBER($D$7)),$BQ$6,"")))</f>
        <v/>
      </c>
      <c r="BR95" s="92" t="str">
        <f aca="false">IF(ISBLANK($C95),"",IF($BA95,Constants!$B$11,IF(COUNTA($E95:$AA95)=0,Constants!$B$10,IF(NOT($AG95),Constants!$B$9,IF(OR($BQ95&lt;&gt;"",$BB95,$BJ95),Constants!$B$12,Constants!$B$8)))))</f>
        <v/>
      </c>
      <c r="BS95" s="92" t="str">
        <f aca="false">IF(ISBLANK($C95),"",IF($BR95&lt;&gt;Constants!$B$8,$BR95,Constants!$B$13))</f>
        <v/>
      </c>
      <c r="BT95" s="96" t="str">
        <f aca="false">IF($BR95&lt;&gt;Constants!$B$8,"",IF($BI95="-&gt;",$BP95,$BH95))</f>
        <v/>
      </c>
      <c r="BU95" s="96" t="str">
        <f aca="false">IF($BR95&lt;&gt;Constants!$B$8,"",IF($AF95,0,Constants!$B$18))</f>
        <v/>
      </c>
      <c r="BV95" s="96" t="str">
        <f aca="false">IF($BR95&lt;&gt;Constants!$B$8,"",((Constants!$B$31-$AZ95)-Constants!$B$31)/Constants!$B$32)</f>
        <v/>
      </c>
      <c r="BW95" s="96" t="str">
        <f aca="false">IF(ISBLANK($C95),"",IF($BR95&lt;&gt;Constants!$B$8,$BR95,SUM($BT95:$BV95)))</f>
        <v/>
      </c>
      <c r="BX95" s="92" t="str">
        <f aca="false">IF(ISBLANK($C95),"",IF($BR95&lt;&gt;Constants!$B$8,$BR95,RANK($BW95,$BW$9:$BW$508,1)))</f>
        <v/>
      </c>
      <c r="BY95" s="96" t="str">
        <f aca="false">IF($BR95&lt;&gt;Constants!$B$8,"",IF($BI95="-&gt;",$BK95,$BC95))</f>
        <v/>
      </c>
      <c r="BZ95" s="92" t="str">
        <f aca="false">IF(ISBLANK($C95),"",IF($BR95&lt;&gt;Constants!$B$8,$BR95,IF(ISNUMBER($BY95),RANK($BY95,$BY$9:$BY$508,1),COUNT($BY$9:$BY$508)+1)))</f>
        <v/>
      </c>
      <c r="CA95" s="96" t="str">
        <f aca="false">IF($BR95&lt;&gt;Constants!$B$8,"",IF($BI95="-&gt;",$BL95,$BD95))</f>
        <v/>
      </c>
      <c r="CB95" s="92" t="str">
        <f aca="false">IF(ISBLANK($C95),"",IF($BR95&lt;&gt;Constants!$B$8,$BR95,IF(ISNUMBER($CA95),RANK($CA95,$CA$9:$CA$508,1),COUNT($CA$9:$CA$508)+1)))</f>
        <v/>
      </c>
      <c r="CC95" s="96" t="str">
        <f aca="false">IF($BR95&lt;&gt;Constants!$B$8,"",IF($BI95="-&gt;",IF($AT95,$AV95,""),IF($AL95,$AN95,"")))</f>
        <v/>
      </c>
      <c r="CD95" s="92" t="str">
        <f aca="false">IF(ISBLANK($C95),"",IF($BR95&lt;&gt;Constants!$B$8,$BR95,IF(ISNUMBER($CC95),RANK($CC95,$CC$9:$CC$508,1),COUNT($CC$9:$CC$508)+1)))</f>
        <v/>
      </c>
      <c r="CE95" s="96" t="str">
        <f aca="false">IF($BR95&lt;&gt;Constants!$B$8,"",IF(AND(NOT($AL95),NOT($AT95),$AJ95,$AK95,$AR95,$AS95),"",$AI95))</f>
        <v/>
      </c>
      <c r="CF95" s="92" t="str">
        <f aca="false">IF(ISBLANK($C95),"",IF($BR95&lt;&gt;Constants!$B$8,$BR95,IF(ISNUMBER($CE95),RANK($CE95,$CE$9:$CE$508,1),COUNT($CE$9:$CE$508)+1)))</f>
        <v/>
      </c>
      <c r="CG95" s="92" t="str">
        <f aca="false">IF(ISBLANK($C95),"",IF($BR95&lt;&gt;Constants!$B$8,$BR95,COUNTIFS($BX$9:$BX$508,"&lt;"&amp;$BX95)+COUNTIFS($BX$9:$BX$508,$BX95,$BZ$9:$BZ$508,"&lt;"&amp;$BZ95)+COUNTIFS($BX$9:$BX$508,$BX95,$BZ$9:$BZ$508,$BZ95,$CB$9:$CB$508,"&lt;"&amp;$CB95)+COUNTIFS($BX$9:$BX$508,$BX95,$BZ$9:$BZ$508,$BZ95,$CB$9:$CB$508,$CB95,$CD$9:$CD$508,"&lt;"&amp;$CD95)+COUNTIFS($BX$9:$BX$508,$BX95,$BZ$9:$BZ$508,$BZ95,$CB$9:$CB$508,$CB95,$CD$9:$CD$508,$CD95,$CF$9:$CF$508,"&lt;"&amp;$CF95)+1))</f>
        <v/>
      </c>
      <c r="CH95" s="92" t="str">
        <f aca="false">IF(ISBLANK($C95),"",IF($BR95&lt;&gt;Constants!$B$8,$BR95,$BX95-$CG95))</f>
        <v/>
      </c>
      <c r="CI95" s="98"/>
      <c r="CJ95" s="99"/>
      <c r="CK95" s="100" t="str">
        <f aca="false">IF(ISBLANK($C95),"",IF($BR95=Constants!$B$12,$BQ95,""))</f>
        <v/>
      </c>
      <c r="CL95" s="99" t="str">
        <f aca="false">IF(ISBLANK($C95),"",IF($BR95&lt;&gt;Constants!$B$8,"",IF($BI95="-&gt;",2,1)))</f>
        <v/>
      </c>
      <c r="CM95" s="101" t="str">
        <f aca="false">IF(ISBLANK($C95),"",IF($BR95&lt;&gt;Constants!$B$8,"",IF($BI95="-&gt;",$BK95,$BC95)))</f>
        <v/>
      </c>
      <c r="CN95" s="101" t="str">
        <f aca="false">IF(ISBLANK($C95),"",IF($BR95&lt;&gt;Constants!$B$8,"",IF($BI95="-&gt;",$BL95,$BD95)))</f>
        <v/>
      </c>
      <c r="CO95" s="101" t="str">
        <f aca="false">IF(ISBLANK($C95),"",IF($BR95&lt;&gt;Constants!$B$8,"",IF($BI95="-&gt;",$BM95+$BN95,$BE95+$BF95)+$BV95))</f>
        <v/>
      </c>
      <c r="CP95" s="101" t="str">
        <f aca="false">IF(ISBLANK($C95),"",IF($BR95&lt;&gt;Constants!$B$8,"",IF($BI95="-&gt;",$BO95,$BG95)+$BU95))</f>
        <v/>
      </c>
      <c r="CQ95" s="102" t="str">
        <f aca="false">IF(ISBLANK($C95),"",IF($BR95&lt;&gt;Constants!$B$8,$BR95,$BW95))</f>
        <v/>
      </c>
      <c r="CR95" s="103" t="str">
        <f aca="false">IF(ISBLANK($C95),"",$BS95)</f>
        <v/>
      </c>
      <c r="CS95" s="104" t="str">
        <f aca="false">IF(ISBLANK($C95),"",$CH95)</f>
        <v/>
      </c>
      <c r="CT95" s="104" t="str">
        <f aca="false">IF(ISBLANK($C95),"",$CG95)</f>
        <v/>
      </c>
      <c r="CU95" s="105" t="str">
        <f aca="false">IF(ISBLANK($C95),"",IFERROR(_xlfn.SWITCH($CT95,Constants!$B$11,COUNTA($C$9:$C$508)+2,Constants!$B$10,COUNTA($C$9:$C$508)+1,Constants!$B$9,COUNTA($C$9:$C$508)),$CT95))</f>
        <v/>
      </c>
      <c r="CV95" s="9"/>
      <c r="CW95" s="106" t="n">
        <f aca="false">IF(OR(ISNUMBER($CT95),$CT95=Constants!$B$11,$CT95=Constants!$B$9,$CT95=Constants!$B$10),1,0)</f>
        <v>0</v>
      </c>
      <c r="CX95" s="106" t="n">
        <v>87</v>
      </c>
      <c r="CY95" s="106" t="str">
        <f aca="false">IF(ISBLANK($C95),"",IF(ISNUMBER($CU95),$CU95+ROW($B95)/1000,""))</f>
        <v/>
      </c>
      <c r="CZ95" s="106" t="str">
        <f aca="false">IF(ISNUMBER($CY95),RANK($CY95,$CY$9:$CY$508,1),"")</f>
        <v/>
      </c>
      <c r="DA95" s="106" t="str">
        <f aca="false">IF(ISBLANK($C95),"",$B95)</f>
        <v/>
      </c>
      <c r="DB95" s="106" t="str">
        <f aca="false">IF(ISBLANK($C95),"",$C95)</f>
        <v/>
      </c>
      <c r="DC95" s="106" t="str">
        <f aca="false">IF(ISBLANK($C95),"",$D95)</f>
        <v/>
      </c>
      <c r="DD95" s="107" t="str">
        <f aca="false">$CR95</f>
        <v/>
      </c>
      <c r="DE95" s="108" t="str">
        <f aca="false">$CQ95</f>
        <v/>
      </c>
      <c r="DF95" s="106" t="str">
        <f aca="false">IF(ISBLANK($C95),"",$CT95)</f>
        <v/>
      </c>
      <c r="DG95" s="109" t="str">
        <f aca="false">IF($CX95&gt;$CW$8,"",VLOOKUP($CX95,$CZ$9:$DF$508,7,FALSE()))</f>
        <v/>
      </c>
      <c r="DH95" s="110" t="str">
        <f aca="false">IF($CX95&gt;$CW$8,"",VLOOKUP($CX95,$CZ$9:$DF$508,2,FALSE()))</f>
        <v/>
      </c>
      <c r="DI95" s="110" t="str">
        <f aca="false">IF($CX95&gt;$CW$8,"",VLOOKUP($CX95,$CZ$9:$DF$508,3,FALSE()))</f>
        <v/>
      </c>
      <c r="DJ95" s="110" t="str">
        <f aca="false">IF($CX95&gt;$CW$8,"",VLOOKUP($CX95,$CZ$9:$DF$508,4,FALSE()))</f>
        <v/>
      </c>
      <c r="DK95" s="110" t="str">
        <f aca="false">IF($CX95&gt;$CW$8,"",VLOOKUP($CX95,$CZ$9:$DF$508,5,FALSE()))</f>
        <v/>
      </c>
      <c r="DL95" s="111" t="str">
        <f aca="false">IF($CX95&gt;$CW$8,"",VLOOKUP($CX95,$CZ$9:$DF$508,6,FALSE()))</f>
        <v/>
      </c>
      <c r="DM95" s="75"/>
    </row>
    <row r="96" customFormat="false" ht="15.75" hidden="false" customHeight="false" outlineLevel="0" collapsed="false">
      <c r="A96" s="9"/>
      <c r="B96" s="157"/>
      <c r="C96" s="158"/>
      <c r="D96" s="159"/>
      <c r="E96" s="177"/>
      <c r="F96" s="161"/>
      <c r="G96" s="162"/>
      <c r="H96" s="162"/>
      <c r="I96" s="178"/>
      <c r="J96" s="165"/>
      <c r="K96" s="126"/>
      <c r="L96" s="127"/>
      <c r="M96" s="128"/>
      <c r="N96" s="165"/>
      <c r="O96" s="165"/>
      <c r="P96" s="177"/>
      <c r="Q96" s="165"/>
      <c r="R96" s="165"/>
      <c r="S96" s="126"/>
      <c r="T96" s="128"/>
      <c r="U96" s="128"/>
      <c r="V96" s="165"/>
      <c r="W96" s="165"/>
      <c r="X96" s="177"/>
      <c r="Y96" s="165"/>
      <c r="Z96" s="166"/>
      <c r="AA96" s="165"/>
      <c r="AB96" s="132"/>
      <c r="AC96" s="133"/>
      <c r="AD96" s="133"/>
      <c r="AE96" s="133"/>
      <c r="AF96" s="133" t="str">
        <f aca="false">IF(ISBLANK($C96),"",IF(E96=Constants!$B$3,TRUE(),IF(E96=Constants!$B$4,FALSE(),TRUE())))</f>
        <v/>
      </c>
      <c r="AG96" s="133" t="str">
        <f aca="false">IF(ISBLANK($C96),"",IF(F96=Constants!$B$3,TRUE(),IF(F96=Constants!$B$4,FALSE(),TRUE())))</f>
        <v/>
      </c>
      <c r="AH96" s="133" t="str">
        <f aca="false">IF(ISBLANK($C96),"",IF(G96=Constants!$B$3,TRUE(),IF(G96=Constants!$B$4,FALSE(),TRUE())))</f>
        <v/>
      </c>
      <c r="AI96" s="133" t="str">
        <f aca="false">IF(ISBLANK($C96),"",IF(AND(ISNUMBER(H96),H96&gt;=0),H96,Constants!$B$29))</f>
        <v/>
      </c>
      <c r="AJ96" s="133" t="str">
        <f aca="false">IF(ISBLANK($C96),"",IF(I96=Constants!$B$3,TRUE(),IF(I96=Constants!$B$4,FALSE(),TRUE())))</f>
        <v/>
      </c>
      <c r="AK96" s="133" t="str">
        <f aca="false">IF(ISBLANK($C96),"",IF(J96=Constants!$B$3,TRUE(),IF(J96=Constants!$B$4,FALSE(),TRUE())))</f>
        <v/>
      </c>
      <c r="AL96" s="133" t="str">
        <f aca="false">IF(ISBLANK($C96),"",IF(K96=Constants!$B$5,TRUE(),IF(K96=Constants!$B$6,FALSE(),COUNTA(L96:P96)&gt;0)))</f>
        <v/>
      </c>
      <c r="AM96" s="134" t="str">
        <f aca="false">IF(ISBLANK($C96),"",IF(ISNUMBER(L96),IF(L96&gt;=0,L96,""),""))</f>
        <v/>
      </c>
      <c r="AN96" s="135" t="str">
        <f aca="false">IF(ISBLANK($C96),"",IF(ISNUMBER(M96),IF(M96&gt;=0,M96,""),""))</f>
        <v/>
      </c>
      <c r="AO96" s="135" t="str">
        <f aca="false">IF(ISBLANK($C96),"",IF(N96=Constants!$B$3,TRUE(),IF(N96=Constants!$B$4,FALSE(),TRUE())))</f>
        <v/>
      </c>
      <c r="AP96" s="133" t="str">
        <f aca="false">IF(ISBLANK($C96),"",IF(ISNUMBER(O96),IF(O96&gt;=0,O96,""),""))</f>
        <v/>
      </c>
      <c r="AQ96" s="133" t="str">
        <f aca="false">IF(ISBLANK($C96),"",IF(P96=Constants!$B$3,TRUE(),IF(P96=Constants!$B$4,FALSE(),FALSE())))</f>
        <v/>
      </c>
      <c r="AR96" s="133" t="str">
        <f aca="false">IF(ISBLANK($C96),"",IF(Q96=Constants!$B$3,TRUE(),IF(Q96=Constants!$B$4,FALSE(),TRUE())))</f>
        <v/>
      </c>
      <c r="AS96" s="133" t="str">
        <f aca="false">IF(ISBLANK($C96),"",IF(R96=Constants!$B$3,TRUE(),IF(R96=Constants!$B$4,FALSE(),TRUE())))</f>
        <v/>
      </c>
      <c r="AT96" s="133" t="str">
        <f aca="false">IF(ISBLANK($C96),"",IF(S96=Constants!$B$5,TRUE(),IF(S96=Constants!$B$6,FALSE(),COUNTA(T96:X96)&gt;0)))</f>
        <v/>
      </c>
      <c r="AU96" s="134" t="str">
        <f aca="false">IF(ISBLANK($C96),"",IF(ISNUMBER(T96),IF(T96&gt;=0,T96,""),""))</f>
        <v/>
      </c>
      <c r="AV96" s="135" t="str">
        <f aca="false">IF(ISBLANK($C96),"",IF(ISNUMBER(U96),IF(U96&gt;=0,U96,""),""))</f>
        <v/>
      </c>
      <c r="AW96" s="135" t="str">
        <f aca="false">IF(ISBLANK($C96),"",IF(V96=Constants!$B$3,TRUE(),IF(V96=Constants!$B$4,FALSE(),TRUE())))</f>
        <v/>
      </c>
      <c r="AX96" s="133" t="str">
        <f aca="false">IF(ISBLANK($C96),"",IF(ISNUMBER(W96),IF(W96&gt;=0,W96,""),""))</f>
        <v/>
      </c>
      <c r="AY96" s="133" t="str">
        <f aca="false">IF(ISBLANK($C96),"",IF(X96=Constants!$B$3,TRUE(),IF(X96=Constants!$B$4,FALSE(),FALSE())))</f>
        <v/>
      </c>
      <c r="AZ96" s="133" t="str">
        <f aca="false">IF(ISBLANK($C96),"",MIN(Constants!$B$31,MAX(0,IF(ISNUMBER(Y96),Y96*60,0)+IF(ISNUMBER(Z96),Z96,0))))</f>
        <v/>
      </c>
      <c r="BA96" s="133" t="str">
        <f aca="false">IF(ISBLANK($C96),"",IF(AA96=Constants!$B$3,TRUE(),IF(AA96=Constants!$B$4,FALSE(),FALSE())))</f>
        <v/>
      </c>
      <c r="BB96" s="132" t="str">
        <f aca="false">IF(ISBLANK($C96),"",AND($AL96,OR($AM96="",$AN96="",AND($AO96,$AP96=""))))</f>
        <v/>
      </c>
      <c r="BC96" s="135" t="str">
        <f aca="false">IF($BR96&lt;&gt;Constants!$B$8,"",IF($AL96,Constants!$B$21*$AN96+Constants!$B$22*IF($AO96,$AP96,Constants!$B$23),Constants!$B$24))</f>
        <v/>
      </c>
      <c r="BD96" s="136" t="str">
        <f aca="false">IF($BR96&lt;&gt;Constants!$B$8,"",Constants!$B$25*ABS($AD$9-IF($AL96,$AM96,0)))</f>
        <v/>
      </c>
      <c r="BE96" s="136" t="str">
        <f aca="false">IF($BR96&lt;&gt;Constants!$B$8,"",IF(AND($AL96,$AQ96,$AO96),Constants!$B$27,0))</f>
        <v/>
      </c>
      <c r="BF96" s="136" t="str">
        <f aca="false">IF($BR96&lt;&gt;Constants!$B$8,"",IF($AL96,($AI96-Constants!$B$29)*Constants!$B$28,0))</f>
        <v/>
      </c>
      <c r="BG96" s="136" t="str">
        <f aca="false">IF($BR96&lt;&gt;Constants!$B$8,"",IF($AK96,0,Constants!$B$15)+IF($AJ96,0,Constants!$B$16)+IF($AH96,0,Constants!$B$17))</f>
        <v/>
      </c>
      <c r="BH96" s="137" t="str">
        <f aca="false">IF($BR96&lt;&gt;Constants!$B$8,"",Constants!$B$20+SUM($BC96:$BG96))</f>
        <v/>
      </c>
      <c r="BI96" s="133" t="str">
        <f aca="false">IF($BR96&lt;&gt;Constants!$B$8,"",IF(OR($BP96&lt;$BH96,AND($BP96=$BH96,OR($BK96&lt;$BC96,AND($BK96=$BC96,OR($BL96&lt;$BD96,AND($BL96=$BD96,$AT96,$AL96,$AV96&lt;$AN96)))))),"-&gt;","&lt;-"))</f>
        <v/>
      </c>
      <c r="BJ96" s="132" t="str">
        <f aca="false">IF(ISBLANK($C96),"",AND($AT96,OR($AU96="",$AV96="",AND($AW96,$AX96=""))))</f>
        <v/>
      </c>
      <c r="BK96" s="135" t="str">
        <f aca="false">IF($BR96&lt;&gt;Constants!$B$8,"",IF($AT96,Constants!$B$21*$AV96+Constants!$B$22*IF($AW96,$AX96,Constants!$B$23),Constants!$B$24))</f>
        <v/>
      </c>
      <c r="BL96" s="136" t="str">
        <f aca="false">IF($BR96&lt;&gt;Constants!$B$8,"",Constants!$B$25*ABS($AD$9-IF($AT96,$AU96,0)))</f>
        <v/>
      </c>
      <c r="BM96" s="136" t="str">
        <f aca="false">IF($BR96&lt;&gt;Constants!$B$8,"",IF(AND($AT96,$AY96,$AW96),Constants!$B$27,0))</f>
        <v/>
      </c>
      <c r="BN96" s="136" t="str">
        <f aca="false">IF($BR96&lt;&gt;Constants!$B$8,"",IF($AT96,($AI96-Constants!$B$29)*Constants!$B$28,0))</f>
        <v/>
      </c>
      <c r="BO96" s="136" t="str">
        <f aca="false">IF($BR96&lt;&gt;Constants!$B$8,"",IF($AS96,0,Constants!$B$15)+IF($AR96,0,Constants!$B$16)+IF($AH96,0,Constants!$B$17))</f>
        <v/>
      </c>
      <c r="BP96" s="137" t="str">
        <f aca="false">IF($BR96&lt;&gt;Constants!$B$8,"",Constants!$B$20+SUM($BK96:$BO96))</f>
        <v/>
      </c>
      <c r="BQ96" s="133" t="str">
        <f aca="false">IF(ISBLANK($C96),"",IF(ISBLANK($D$7),$BQ$5,IF(NOT(ISNUMBER($D$7)),$BQ$6,"")))</f>
        <v/>
      </c>
      <c r="BR96" s="133" t="str">
        <f aca="false">IF(ISBLANK($C96),"",IF($BA96,Constants!$B$11,IF(COUNTA($E96:$AA96)=0,Constants!$B$10,IF(NOT($AG96),Constants!$B$9,IF(OR($BQ96&lt;&gt;"",$BB96,$BJ96),Constants!$B$12,Constants!$B$8)))))</f>
        <v/>
      </c>
      <c r="BS96" s="133" t="str">
        <f aca="false">IF(ISBLANK($C96),"",IF($BR96&lt;&gt;Constants!$B$8,$BR96,Constants!$B$13))</f>
        <v/>
      </c>
      <c r="BT96" s="136" t="str">
        <f aca="false">IF($BR96&lt;&gt;Constants!$B$8,"",IF($BI96="-&gt;",$BP96,$BH96))</f>
        <v/>
      </c>
      <c r="BU96" s="136" t="str">
        <f aca="false">IF($BR96&lt;&gt;Constants!$B$8,"",IF($AF96,0,Constants!$B$18))</f>
        <v/>
      </c>
      <c r="BV96" s="136" t="str">
        <f aca="false">IF($BR96&lt;&gt;Constants!$B$8,"",((Constants!$B$31-$AZ96)-Constants!$B$31)/Constants!$B$32)</f>
        <v/>
      </c>
      <c r="BW96" s="136" t="str">
        <f aca="false">IF(ISBLANK($C96),"",IF($BR96&lt;&gt;Constants!$B$8,$BR96,SUM($BT96:$BV96)))</f>
        <v/>
      </c>
      <c r="BX96" s="133" t="str">
        <f aca="false">IF(ISBLANK($C96),"",IF($BR96&lt;&gt;Constants!$B$8,$BR96,RANK($BW96,$BW$9:$BW$508,1)))</f>
        <v/>
      </c>
      <c r="BY96" s="136" t="str">
        <f aca="false">IF($BR96&lt;&gt;Constants!$B$8,"",IF($BI96="-&gt;",$BK96,$BC96))</f>
        <v/>
      </c>
      <c r="BZ96" s="133" t="str">
        <f aca="false">IF(ISBLANK($C96),"",IF($BR96&lt;&gt;Constants!$B$8,$BR96,IF(ISNUMBER($BY96),RANK($BY96,$BY$9:$BY$508,1),COUNT($BY$9:$BY$508)+1)))</f>
        <v/>
      </c>
      <c r="CA96" s="136" t="str">
        <f aca="false">IF($BR96&lt;&gt;Constants!$B$8,"",IF($BI96="-&gt;",$BL96,$BD96))</f>
        <v/>
      </c>
      <c r="CB96" s="133" t="str">
        <f aca="false">IF(ISBLANK($C96),"",IF($BR96&lt;&gt;Constants!$B$8,$BR96,IF(ISNUMBER($CA96),RANK($CA96,$CA$9:$CA$508,1),COUNT($CA$9:$CA$508)+1)))</f>
        <v/>
      </c>
      <c r="CC96" s="136" t="str">
        <f aca="false">IF($BR96&lt;&gt;Constants!$B$8,"",IF($BI96="-&gt;",IF($AT96,$AV96,""),IF($AL96,$AN96,"")))</f>
        <v/>
      </c>
      <c r="CD96" s="133" t="str">
        <f aca="false">IF(ISBLANK($C96),"",IF($BR96&lt;&gt;Constants!$B$8,$BR96,IF(ISNUMBER($CC96),RANK($CC96,$CC$9:$CC$508,1),COUNT($CC$9:$CC$508)+1)))</f>
        <v/>
      </c>
      <c r="CE96" s="136" t="str">
        <f aca="false">IF($BR96&lt;&gt;Constants!$B$8,"",IF(AND(NOT($AL96),NOT($AT96),$AJ96,$AK96,$AR96,$AS96),"",$AI96))</f>
        <v/>
      </c>
      <c r="CF96" s="133" t="str">
        <f aca="false">IF(ISBLANK($C96),"",IF($BR96&lt;&gt;Constants!$B$8,$BR96,IF(ISNUMBER($CE96),RANK($CE96,$CE$9:$CE$508,1),COUNT($CE$9:$CE$508)+1)))</f>
        <v/>
      </c>
      <c r="CG96" s="133" t="str">
        <f aca="false">IF(ISBLANK($C96),"",IF($BR96&lt;&gt;Constants!$B$8,$BR96,COUNTIFS($BX$9:$BX$508,"&lt;"&amp;$BX96)+COUNTIFS($BX$9:$BX$508,$BX96,$BZ$9:$BZ$508,"&lt;"&amp;$BZ96)+COUNTIFS($BX$9:$BX$508,$BX96,$BZ$9:$BZ$508,$BZ96,$CB$9:$CB$508,"&lt;"&amp;$CB96)+COUNTIFS($BX$9:$BX$508,$BX96,$BZ$9:$BZ$508,$BZ96,$CB$9:$CB$508,$CB96,$CD$9:$CD$508,"&lt;"&amp;$CD96)+COUNTIFS($BX$9:$BX$508,$BX96,$BZ$9:$BZ$508,$BZ96,$CB$9:$CB$508,$CB96,$CD$9:$CD$508,$CD96,$CF$9:$CF$508,"&lt;"&amp;$CF96)+1))</f>
        <v/>
      </c>
      <c r="CH96" s="133" t="str">
        <f aca="false">IF(ISBLANK($C96),"",IF($BR96&lt;&gt;Constants!$B$8,$BR96,$BX96-$CG96))</f>
        <v/>
      </c>
      <c r="CI96" s="138"/>
      <c r="CJ96" s="139"/>
      <c r="CK96" s="140" t="str">
        <f aca="false">IF(ISBLANK($C96),"",IF($BR96=Constants!$B$12,$BQ96,""))</f>
        <v/>
      </c>
      <c r="CL96" s="139" t="str">
        <f aca="false">IF(ISBLANK($C96),"",IF($BR96&lt;&gt;Constants!$B$8,"",IF($BI96="-&gt;",2,1)))</f>
        <v/>
      </c>
      <c r="CM96" s="141" t="str">
        <f aca="false">IF(ISBLANK($C96),"",IF($BR96&lt;&gt;Constants!$B$8,"",IF($BI96="-&gt;",$BK96,$BC96)))</f>
        <v/>
      </c>
      <c r="CN96" s="141" t="str">
        <f aca="false">IF(ISBLANK($C96),"",IF($BR96&lt;&gt;Constants!$B$8,"",IF($BI96="-&gt;",$BL96,$BD96)))</f>
        <v/>
      </c>
      <c r="CO96" s="141" t="str">
        <f aca="false">IF(ISBLANK($C96),"",IF($BR96&lt;&gt;Constants!$B$8,"",IF($BI96="-&gt;",$BM96+$BN96,$BE96+$BF96)+$BV96))</f>
        <v/>
      </c>
      <c r="CP96" s="141" t="str">
        <f aca="false">IF(ISBLANK($C96),"",IF($BR96&lt;&gt;Constants!$B$8,"",IF($BI96="-&gt;",$BO96,$BG96)+$BU96))</f>
        <v/>
      </c>
      <c r="CQ96" s="142" t="str">
        <f aca="false">IF(ISBLANK($C96),"",IF($BR96&lt;&gt;Constants!$B$8,$BR96,$BW96))</f>
        <v/>
      </c>
      <c r="CR96" s="143" t="str">
        <f aca="false">IF(ISBLANK($C96),"",$BS96)</f>
        <v/>
      </c>
      <c r="CS96" s="144" t="str">
        <f aca="false">IF(ISBLANK($C96),"",$CH96)</f>
        <v/>
      </c>
      <c r="CT96" s="144" t="str">
        <f aca="false">IF(ISBLANK($C96),"",$CG96)</f>
        <v/>
      </c>
      <c r="CU96" s="145" t="str">
        <f aca="false">IF(ISBLANK($C96),"",IFERROR(_xlfn.SWITCH($CT96,Constants!$B$11,COUNTA($C$9:$C$508)+2,Constants!$B$10,COUNTA($C$9:$C$508)+1,Constants!$B$9,COUNTA($C$9:$C$508)),$CT96))</f>
        <v/>
      </c>
      <c r="CV96" s="9"/>
      <c r="CW96" s="146" t="n">
        <f aca="false">IF(OR(ISNUMBER($CT96),$CT96=Constants!$B$11,$CT96=Constants!$B$9,$CT96=Constants!$B$10),1,0)</f>
        <v>0</v>
      </c>
      <c r="CX96" s="146" t="n">
        <v>88</v>
      </c>
      <c r="CY96" s="146" t="str">
        <f aca="false">IF(ISBLANK($C96),"",IF(ISNUMBER($CU96),$CU96+ROW($B96)/1000,""))</f>
        <v/>
      </c>
      <c r="CZ96" s="146" t="str">
        <f aca="false">IF(ISNUMBER($CY96),RANK($CY96,$CY$9:$CY$508,1),"")</f>
        <v/>
      </c>
      <c r="DA96" s="146" t="str">
        <f aca="false">IF(ISBLANK($C96),"",$B96)</f>
        <v/>
      </c>
      <c r="DB96" s="146" t="str">
        <f aca="false">IF(ISBLANK($C96),"",$C96)</f>
        <v/>
      </c>
      <c r="DC96" s="146" t="str">
        <f aca="false">IF(ISBLANK($C96),"",$D96)</f>
        <v/>
      </c>
      <c r="DD96" s="147" t="str">
        <f aca="false">$CR96</f>
        <v/>
      </c>
      <c r="DE96" s="148" t="str">
        <f aca="false">$CQ96</f>
        <v/>
      </c>
      <c r="DF96" s="146" t="str">
        <f aca="false">IF(ISBLANK($C96),"",$CT96)</f>
        <v/>
      </c>
      <c r="DG96" s="149" t="str">
        <f aca="false">IF($CX96&gt;$CW$8,"",VLOOKUP($CX96,$CZ$9:$DF$508,7,FALSE()))</f>
        <v/>
      </c>
      <c r="DH96" s="150" t="str">
        <f aca="false">IF($CX96&gt;$CW$8,"",VLOOKUP($CX96,$CZ$9:$DF$508,2,FALSE()))</f>
        <v/>
      </c>
      <c r="DI96" s="150" t="str">
        <f aca="false">IF($CX96&gt;$CW$8,"",VLOOKUP($CX96,$CZ$9:$DF$508,3,FALSE()))</f>
        <v/>
      </c>
      <c r="DJ96" s="150" t="str">
        <f aca="false">IF($CX96&gt;$CW$8,"",VLOOKUP($CX96,$CZ$9:$DF$508,4,FALSE()))</f>
        <v/>
      </c>
      <c r="DK96" s="150" t="str">
        <f aca="false">IF($CX96&gt;$CW$8,"",VLOOKUP($CX96,$CZ$9:$DF$508,5,FALSE()))</f>
        <v/>
      </c>
      <c r="DL96" s="151" t="str">
        <f aca="false">IF($CX96&gt;$CW$8,"",VLOOKUP($CX96,$CZ$9:$DF$508,6,FALSE()))</f>
        <v/>
      </c>
      <c r="DM96" s="75"/>
    </row>
    <row r="97" customFormat="false" ht="15.75" hidden="false" customHeight="false" outlineLevel="0" collapsed="false">
      <c r="A97" s="9"/>
      <c r="B97" s="157"/>
      <c r="C97" s="158"/>
      <c r="D97" s="159"/>
      <c r="E97" s="177"/>
      <c r="F97" s="161"/>
      <c r="G97" s="162"/>
      <c r="H97" s="162"/>
      <c r="I97" s="178"/>
      <c r="J97" s="165"/>
      <c r="K97" s="126"/>
      <c r="L97" s="127"/>
      <c r="M97" s="128"/>
      <c r="N97" s="165"/>
      <c r="O97" s="165"/>
      <c r="P97" s="177"/>
      <c r="Q97" s="165"/>
      <c r="R97" s="165"/>
      <c r="S97" s="126"/>
      <c r="T97" s="128"/>
      <c r="U97" s="128"/>
      <c r="V97" s="165"/>
      <c r="W97" s="165"/>
      <c r="X97" s="177"/>
      <c r="Y97" s="165"/>
      <c r="Z97" s="166"/>
      <c r="AA97" s="165"/>
      <c r="AB97" s="132"/>
      <c r="AC97" s="133"/>
      <c r="AD97" s="133"/>
      <c r="AE97" s="133"/>
      <c r="AF97" s="133" t="str">
        <f aca="false">IF(ISBLANK($C97),"",IF(E97=Constants!$B$3,TRUE(),IF(E97=Constants!$B$4,FALSE(),TRUE())))</f>
        <v/>
      </c>
      <c r="AG97" s="133" t="str">
        <f aca="false">IF(ISBLANK($C97),"",IF(F97=Constants!$B$3,TRUE(),IF(F97=Constants!$B$4,FALSE(),TRUE())))</f>
        <v/>
      </c>
      <c r="AH97" s="133" t="str">
        <f aca="false">IF(ISBLANK($C97),"",IF(G97=Constants!$B$3,TRUE(),IF(G97=Constants!$B$4,FALSE(),TRUE())))</f>
        <v/>
      </c>
      <c r="AI97" s="133" t="str">
        <f aca="false">IF(ISBLANK($C97),"",IF(AND(ISNUMBER(H97),H97&gt;=0),H97,Constants!$B$29))</f>
        <v/>
      </c>
      <c r="AJ97" s="133" t="str">
        <f aca="false">IF(ISBLANK($C97),"",IF(I97=Constants!$B$3,TRUE(),IF(I97=Constants!$B$4,FALSE(),TRUE())))</f>
        <v/>
      </c>
      <c r="AK97" s="133" t="str">
        <f aca="false">IF(ISBLANK($C97),"",IF(J97=Constants!$B$3,TRUE(),IF(J97=Constants!$B$4,FALSE(),TRUE())))</f>
        <v/>
      </c>
      <c r="AL97" s="133" t="str">
        <f aca="false">IF(ISBLANK($C97),"",IF(K97=Constants!$B$5,TRUE(),IF(K97=Constants!$B$6,FALSE(),COUNTA(L97:P97)&gt;0)))</f>
        <v/>
      </c>
      <c r="AM97" s="134" t="str">
        <f aca="false">IF(ISBLANK($C97),"",IF(ISNUMBER(L97),IF(L97&gt;=0,L97,""),""))</f>
        <v/>
      </c>
      <c r="AN97" s="135" t="str">
        <f aca="false">IF(ISBLANK($C97),"",IF(ISNUMBER(M97),IF(M97&gt;=0,M97,""),""))</f>
        <v/>
      </c>
      <c r="AO97" s="135" t="str">
        <f aca="false">IF(ISBLANK($C97),"",IF(N97=Constants!$B$3,TRUE(),IF(N97=Constants!$B$4,FALSE(),TRUE())))</f>
        <v/>
      </c>
      <c r="AP97" s="133" t="str">
        <f aca="false">IF(ISBLANK($C97),"",IF(ISNUMBER(O97),IF(O97&gt;=0,O97,""),""))</f>
        <v/>
      </c>
      <c r="AQ97" s="133" t="str">
        <f aca="false">IF(ISBLANK($C97),"",IF(P97=Constants!$B$3,TRUE(),IF(P97=Constants!$B$4,FALSE(),FALSE())))</f>
        <v/>
      </c>
      <c r="AR97" s="133" t="str">
        <f aca="false">IF(ISBLANK($C97),"",IF(Q97=Constants!$B$3,TRUE(),IF(Q97=Constants!$B$4,FALSE(),TRUE())))</f>
        <v/>
      </c>
      <c r="AS97" s="133" t="str">
        <f aca="false">IF(ISBLANK($C97),"",IF(R97=Constants!$B$3,TRUE(),IF(R97=Constants!$B$4,FALSE(),TRUE())))</f>
        <v/>
      </c>
      <c r="AT97" s="133" t="str">
        <f aca="false">IF(ISBLANK($C97),"",IF(S97=Constants!$B$5,TRUE(),IF(S97=Constants!$B$6,FALSE(),COUNTA(T97:X97)&gt;0)))</f>
        <v/>
      </c>
      <c r="AU97" s="134" t="str">
        <f aca="false">IF(ISBLANK($C97),"",IF(ISNUMBER(T97),IF(T97&gt;=0,T97,""),""))</f>
        <v/>
      </c>
      <c r="AV97" s="135" t="str">
        <f aca="false">IF(ISBLANK($C97),"",IF(ISNUMBER(U97),IF(U97&gt;=0,U97,""),""))</f>
        <v/>
      </c>
      <c r="AW97" s="135" t="str">
        <f aca="false">IF(ISBLANK($C97),"",IF(V97=Constants!$B$3,TRUE(),IF(V97=Constants!$B$4,FALSE(),TRUE())))</f>
        <v/>
      </c>
      <c r="AX97" s="133" t="str">
        <f aca="false">IF(ISBLANK($C97),"",IF(ISNUMBER(W97),IF(W97&gt;=0,W97,""),""))</f>
        <v/>
      </c>
      <c r="AY97" s="133" t="str">
        <f aca="false">IF(ISBLANK($C97),"",IF(X97=Constants!$B$3,TRUE(),IF(X97=Constants!$B$4,FALSE(),FALSE())))</f>
        <v/>
      </c>
      <c r="AZ97" s="133" t="str">
        <f aca="false">IF(ISBLANK($C97),"",MIN(Constants!$B$31,MAX(0,IF(ISNUMBER(Y97),Y97*60,0)+IF(ISNUMBER(Z97),Z97,0))))</f>
        <v/>
      </c>
      <c r="BA97" s="133" t="str">
        <f aca="false">IF(ISBLANK($C97),"",IF(AA97=Constants!$B$3,TRUE(),IF(AA97=Constants!$B$4,FALSE(),FALSE())))</f>
        <v/>
      </c>
      <c r="BB97" s="132" t="str">
        <f aca="false">IF(ISBLANK($C97),"",AND($AL97,OR($AM97="",$AN97="",AND($AO97,$AP97=""))))</f>
        <v/>
      </c>
      <c r="BC97" s="135" t="str">
        <f aca="false">IF($BR97&lt;&gt;Constants!$B$8,"",IF($AL97,Constants!$B$21*$AN97+Constants!$B$22*IF($AO97,$AP97,Constants!$B$23),Constants!$B$24))</f>
        <v/>
      </c>
      <c r="BD97" s="136" t="str">
        <f aca="false">IF($BR97&lt;&gt;Constants!$B$8,"",Constants!$B$25*ABS($AD$9-IF($AL97,$AM97,0)))</f>
        <v/>
      </c>
      <c r="BE97" s="136" t="str">
        <f aca="false">IF($BR97&lt;&gt;Constants!$B$8,"",IF(AND($AL97,$AQ97,$AO97),Constants!$B$27,0))</f>
        <v/>
      </c>
      <c r="BF97" s="136" t="str">
        <f aca="false">IF($BR97&lt;&gt;Constants!$B$8,"",IF($AL97,($AI97-Constants!$B$29)*Constants!$B$28,0))</f>
        <v/>
      </c>
      <c r="BG97" s="136" t="str">
        <f aca="false">IF($BR97&lt;&gt;Constants!$B$8,"",IF($AK97,0,Constants!$B$15)+IF($AJ97,0,Constants!$B$16)+IF($AH97,0,Constants!$B$17))</f>
        <v/>
      </c>
      <c r="BH97" s="137" t="str">
        <f aca="false">IF($BR97&lt;&gt;Constants!$B$8,"",Constants!$B$20+SUM($BC97:$BG97))</f>
        <v/>
      </c>
      <c r="BI97" s="133" t="str">
        <f aca="false">IF($BR97&lt;&gt;Constants!$B$8,"",IF(OR($BP97&lt;$BH97,AND($BP97=$BH97,OR($BK97&lt;$BC97,AND($BK97=$BC97,OR($BL97&lt;$BD97,AND($BL97=$BD97,$AT97,$AL97,$AV97&lt;$AN97)))))),"-&gt;","&lt;-"))</f>
        <v/>
      </c>
      <c r="BJ97" s="132" t="str">
        <f aca="false">IF(ISBLANK($C97),"",AND($AT97,OR($AU97="",$AV97="",AND($AW97,$AX97=""))))</f>
        <v/>
      </c>
      <c r="BK97" s="135" t="str">
        <f aca="false">IF($BR97&lt;&gt;Constants!$B$8,"",IF($AT97,Constants!$B$21*$AV97+Constants!$B$22*IF($AW97,$AX97,Constants!$B$23),Constants!$B$24))</f>
        <v/>
      </c>
      <c r="BL97" s="136" t="str">
        <f aca="false">IF($BR97&lt;&gt;Constants!$B$8,"",Constants!$B$25*ABS($AD$9-IF($AT97,$AU97,0)))</f>
        <v/>
      </c>
      <c r="BM97" s="136" t="str">
        <f aca="false">IF($BR97&lt;&gt;Constants!$B$8,"",IF(AND($AT97,$AY97,$AW97),Constants!$B$27,0))</f>
        <v/>
      </c>
      <c r="BN97" s="136" t="str">
        <f aca="false">IF($BR97&lt;&gt;Constants!$B$8,"",IF($AT97,($AI97-Constants!$B$29)*Constants!$B$28,0))</f>
        <v/>
      </c>
      <c r="BO97" s="136" t="str">
        <f aca="false">IF($BR97&lt;&gt;Constants!$B$8,"",IF($AS97,0,Constants!$B$15)+IF($AR97,0,Constants!$B$16)+IF($AH97,0,Constants!$B$17))</f>
        <v/>
      </c>
      <c r="BP97" s="137" t="str">
        <f aca="false">IF($BR97&lt;&gt;Constants!$B$8,"",Constants!$B$20+SUM($BK97:$BO97))</f>
        <v/>
      </c>
      <c r="BQ97" s="133" t="str">
        <f aca="false">IF(ISBLANK($C97),"",IF(ISBLANK($D$7),$BQ$5,IF(NOT(ISNUMBER($D$7)),$BQ$6,"")))</f>
        <v/>
      </c>
      <c r="BR97" s="133" t="str">
        <f aca="false">IF(ISBLANK($C97),"",IF($BA97,Constants!$B$11,IF(COUNTA($E97:$AA97)=0,Constants!$B$10,IF(NOT($AG97),Constants!$B$9,IF(OR($BQ97&lt;&gt;"",$BB97,$BJ97),Constants!$B$12,Constants!$B$8)))))</f>
        <v/>
      </c>
      <c r="BS97" s="133" t="str">
        <f aca="false">IF(ISBLANK($C97),"",IF($BR97&lt;&gt;Constants!$B$8,$BR97,Constants!$B$13))</f>
        <v/>
      </c>
      <c r="BT97" s="136" t="str">
        <f aca="false">IF($BR97&lt;&gt;Constants!$B$8,"",IF($BI97="-&gt;",$BP97,$BH97))</f>
        <v/>
      </c>
      <c r="BU97" s="136" t="str">
        <f aca="false">IF($BR97&lt;&gt;Constants!$B$8,"",IF($AF97,0,Constants!$B$18))</f>
        <v/>
      </c>
      <c r="BV97" s="136" t="str">
        <f aca="false">IF($BR97&lt;&gt;Constants!$B$8,"",((Constants!$B$31-$AZ97)-Constants!$B$31)/Constants!$B$32)</f>
        <v/>
      </c>
      <c r="BW97" s="136" t="str">
        <f aca="false">IF(ISBLANK($C97),"",IF($BR97&lt;&gt;Constants!$B$8,$BR97,SUM($BT97:$BV97)))</f>
        <v/>
      </c>
      <c r="BX97" s="133" t="str">
        <f aca="false">IF(ISBLANK($C97),"",IF($BR97&lt;&gt;Constants!$B$8,$BR97,RANK($BW97,$BW$9:$BW$508,1)))</f>
        <v/>
      </c>
      <c r="BY97" s="136" t="str">
        <f aca="false">IF($BR97&lt;&gt;Constants!$B$8,"",IF($BI97="-&gt;",$BK97,$BC97))</f>
        <v/>
      </c>
      <c r="BZ97" s="133" t="str">
        <f aca="false">IF(ISBLANK($C97),"",IF($BR97&lt;&gt;Constants!$B$8,$BR97,IF(ISNUMBER($BY97),RANK($BY97,$BY$9:$BY$508,1),COUNT($BY$9:$BY$508)+1)))</f>
        <v/>
      </c>
      <c r="CA97" s="136" t="str">
        <f aca="false">IF($BR97&lt;&gt;Constants!$B$8,"",IF($BI97="-&gt;",$BL97,$BD97))</f>
        <v/>
      </c>
      <c r="CB97" s="133" t="str">
        <f aca="false">IF(ISBLANK($C97),"",IF($BR97&lt;&gt;Constants!$B$8,$BR97,IF(ISNUMBER($CA97),RANK($CA97,$CA$9:$CA$508,1),COUNT($CA$9:$CA$508)+1)))</f>
        <v/>
      </c>
      <c r="CC97" s="136" t="str">
        <f aca="false">IF($BR97&lt;&gt;Constants!$B$8,"",IF($BI97="-&gt;",IF($AT97,$AV97,""),IF($AL97,$AN97,"")))</f>
        <v/>
      </c>
      <c r="CD97" s="133" t="str">
        <f aca="false">IF(ISBLANK($C97),"",IF($BR97&lt;&gt;Constants!$B$8,$BR97,IF(ISNUMBER($CC97),RANK($CC97,$CC$9:$CC$508,1),COUNT($CC$9:$CC$508)+1)))</f>
        <v/>
      </c>
      <c r="CE97" s="136" t="str">
        <f aca="false">IF($BR97&lt;&gt;Constants!$B$8,"",IF(AND(NOT($AL97),NOT($AT97),$AJ97,$AK97,$AR97,$AS97),"",$AI97))</f>
        <v/>
      </c>
      <c r="CF97" s="133" t="str">
        <f aca="false">IF(ISBLANK($C97),"",IF($BR97&lt;&gt;Constants!$B$8,$BR97,IF(ISNUMBER($CE97),RANK($CE97,$CE$9:$CE$508,1),COUNT($CE$9:$CE$508)+1)))</f>
        <v/>
      </c>
      <c r="CG97" s="133" t="str">
        <f aca="false">IF(ISBLANK($C97),"",IF($BR97&lt;&gt;Constants!$B$8,$BR97,COUNTIFS($BX$9:$BX$508,"&lt;"&amp;$BX97)+COUNTIFS($BX$9:$BX$508,$BX97,$BZ$9:$BZ$508,"&lt;"&amp;$BZ97)+COUNTIFS($BX$9:$BX$508,$BX97,$BZ$9:$BZ$508,$BZ97,$CB$9:$CB$508,"&lt;"&amp;$CB97)+COUNTIFS($BX$9:$BX$508,$BX97,$BZ$9:$BZ$508,$BZ97,$CB$9:$CB$508,$CB97,$CD$9:$CD$508,"&lt;"&amp;$CD97)+COUNTIFS($BX$9:$BX$508,$BX97,$BZ$9:$BZ$508,$BZ97,$CB$9:$CB$508,$CB97,$CD$9:$CD$508,$CD97,$CF$9:$CF$508,"&lt;"&amp;$CF97)+1))</f>
        <v/>
      </c>
      <c r="CH97" s="133" t="str">
        <f aca="false">IF(ISBLANK($C97),"",IF($BR97&lt;&gt;Constants!$B$8,$BR97,$BX97-$CG97))</f>
        <v/>
      </c>
      <c r="CI97" s="138"/>
      <c r="CJ97" s="139"/>
      <c r="CK97" s="140" t="str">
        <f aca="false">IF(ISBLANK($C97),"",IF($BR97=Constants!$B$12,$BQ97,""))</f>
        <v/>
      </c>
      <c r="CL97" s="139" t="str">
        <f aca="false">IF(ISBLANK($C97),"",IF($BR97&lt;&gt;Constants!$B$8,"",IF($BI97="-&gt;",2,1)))</f>
        <v/>
      </c>
      <c r="CM97" s="141" t="str">
        <f aca="false">IF(ISBLANK($C97),"",IF($BR97&lt;&gt;Constants!$B$8,"",IF($BI97="-&gt;",$BK97,$BC97)))</f>
        <v/>
      </c>
      <c r="CN97" s="141" t="str">
        <f aca="false">IF(ISBLANK($C97),"",IF($BR97&lt;&gt;Constants!$B$8,"",IF($BI97="-&gt;",$BL97,$BD97)))</f>
        <v/>
      </c>
      <c r="CO97" s="141" t="str">
        <f aca="false">IF(ISBLANK($C97),"",IF($BR97&lt;&gt;Constants!$B$8,"",IF($BI97="-&gt;",$BM97+$BN97,$BE97+$BF97)+$BV97))</f>
        <v/>
      </c>
      <c r="CP97" s="141" t="str">
        <f aca="false">IF(ISBLANK($C97),"",IF($BR97&lt;&gt;Constants!$B$8,"",IF($BI97="-&gt;",$BO97,$BG97)+$BU97))</f>
        <v/>
      </c>
      <c r="CQ97" s="142" t="str">
        <f aca="false">IF(ISBLANK($C97),"",IF($BR97&lt;&gt;Constants!$B$8,$BR97,$BW97))</f>
        <v/>
      </c>
      <c r="CR97" s="143" t="str">
        <f aca="false">IF(ISBLANK($C97),"",$BS97)</f>
        <v/>
      </c>
      <c r="CS97" s="144" t="str">
        <f aca="false">IF(ISBLANK($C97),"",$CH97)</f>
        <v/>
      </c>
      <c r="CT97" s="144" t="str">
        <f aca="false">IF(ISBLANK($C97),"",$CG97)</f>
        <v/>
      </c>
      <c r="CU97" s="145" t="str">
        <f aca="false">IF(ISBLANK($C97),"",IFERROR(_xlfn.SWITCH($CT97,Constants!$B$11,COUNTA($C$9:$C$508)+2,Constants!$B$10,COUNTA($C$9:$C$508)+1,Constants!$B$9,COUNTA($C$9:$C$508)),$CT97))</f>
        <v/>
      </c>
      <c r="CV97" s="9"/>
      <c r="CW97" s="146" t="n">
        <f aca="false">IF(OR(ISNUMBER($CT97),$CT97=Constants!$B$11,$CT97=Constants!$B$9,$CT97=Constants!$B$10),1,0)</f>
        <v>0</v>
      </c>
      <c r="CX97" s="146" t="n">
        <v>89</v>
      </c>
      <c r="CY97" s="146" t="str">
        <f aca="false">IF(ISBLANK($C97),"",IF(ISNUMBER($CU97),$CU97+ROW($B97)/1000,""))</f>
        <v/>
      </c>
      <c r="CZ97" s="146" t="str">
        <f aca="false">IF(ISNUMBER($CY97),RANK($CY97,$CY$9:$CY$508,1),"")</f>
        <v/>
      </c>
      <c r="DA97" s="146" t="str">
        <f aca="false">IF(ISBLANK($C97),"",$B97)</f>
        <v/>
      </c>
      <c r="DB97" s="146" t="str">
        <f aca="false">IF(ISBLANK($C97),"",$C97)</f>
        <v/>
      </c>
      <c r="DC97" s="146" t="str">
        <f aca="false">IF(ISBLANK($C97),"",$D97)</f>
        <v/>
      </c>
      <c r="DD97" s="147" t="str">
        <f aca="false">$CR97</f>
        <v/>
      </c>
      <c r="DE97" s="148" t="str">
        <f aca="false">$CQ97</f>
        <v/>
      </c>
      <c r="DF97" s="146" t="str">
        <f aca="false">IF(ISBLANK($C97),"",$CT97)</f>
        <v/>
      </c>
      <c r="DG97" s="149" t="str">
        <f aca="false">IF($CX97&gt;$CW$8,"",VLOOKUP($CX97,$CZ$9:$DF$508,7,FALSE()))</f>
        <v/>
      </c>
      <c r="DH97" s="150" t="str">
        <f aca="false">IF($CX97&gt;$CW$8,"",VLOOKUP($CX97,$CZ$9:$DF$508,2,FALSE()))</f>
        <v/>
      </c>
      <c r="DI97" s="150" t="str">
        <f aca="false">IF($CX97&gt;$CW$8,"",VLOOKUP($CX97,$CZ$9:$DF$508,3,FALSE()))</f>
        <v/>
      </c>
      <c r="DJ97" s="150" t="str">
        <f aca="false">IF($CX97&gt;$CW$8,"",VLOOKUP($CX97,$CZ$9:$DF$508,4,FALSE()))</f>
        <v/>
      </c>
      <c r="DK97" s="150" t="str">
        <f aca="false">IF($CX97&gt;$CW$8,"",VLOOKUP($CX97,$CZ$9:$DF$508,5,FALSE()))</f>
        <v/>
      </c>
      <c r="DL97" s="151" t="str">
        <f aca="false">IF($CX97&gt;$CW$8,"",VLOOKUP($CX97,$CZ$9:$DF$508,6,FALSE()))</f>
        <v/>
      </c>
      <c r="DM97" s="75"/>
    </row>
    <row r="98" customFormat="false" ht="15.75" hidden="false" customHeight="false" outlineLevel="0" collapsed="false">
      <c r="A98" s="9"/>
      <c r="B98" s="157"/>
      <c r="C98" s="158"/>
      <c r="D98" s="159"/>
      <c r="E98" s="177"/>
      <c r="F98" s="161"/>
      <c r="G98" s="162"/>
      <c r="H98" s="162"/>
      <c r="I98" s="178"/>
      <c r="J98" s="165"/>
      <c r="K98" s="126"/>
      <c r="L98" s="127"/>
      <c r="M98" s="128"/>
      <c r="N98" s="165"/>
      <c r="O98" s="165"/>
      <c r="P98" s="177"/>
      <c r="Q98" s="165"/>
      <c r="R98" s="165"/>
      <c r="S98" s="126"/>
      <c r="T98" s="128"/>
      <c r="U98" s="128"/>
      <c r="V98" s="165"/>
      <c r="W98" s="165"/>
      <c r="X98" s="177"/>
      <c r="Y98" s="165"/>
      <c r="Z98" s="166"/>
      <c r="AA98" s="165"/>
      <c r="AB98" s="132"/>
      <c r="AC98" s="133"/>
      <c r="AD98" s="133"/>
      <c r="AE98" s="133"/>
      <c r="AF98" s="133" t="str">
        <f aca="false">IF(ISBLANK($C98),"",IF(E98=Constants!$B$3,TRUE(),IF(E98=Constants!$B$4,FALSE(),TRUE())))</f>
        <v/>
      </c>
      <c r="AG98" s="133" t="str">
        <f aca="false">IF(ISBLANK($C98),"",IF(F98=Constants!$B$3,TRUE(),IF(F98=Constants!$B$4,FALSE(),TRUE())))</f>
        <v/>
      </c>
      <c r="AH98" s="133" t="str">
        <f aca="false">IF(ISBLANK($C98),"",IF(G98=Constants!$B$3,TRUE(),IF(G98=Constants!$B$4,FALSE(),TRUE())))</f>
        <v/>
      </c>
      <c r="AI98" s="133" t="str">
        <f aca="false">IF(ISBLANK($C98),"",IF(AND(ISNUMBER(H98),H98&gt;=0),H98,Constants!$B$29))</f>
        <v/>
      </c>
      <c r="AJ98" s="133" t="str">
        <f aca="false">IF(ISBLANK($C98),"",IF(I98=Constants!$B$3,TRUE(),IF(I98=Constants!$B$4,FALSE(),TRUE())))</f>
        <v/>
      </c>
      <c r="AK98" s="133" t="str">
        <f aca="false">IF(ISBLANK($C98),"",IF(J98=Constants!$B$3,TRUE(),IF(J98=Constants!$B$4,FALSE(),TRUE())))</f>
        <v/>
      </c>
      <c r="AL98" s="133" t="str">
        <f aca="false">IF(ISBLANK($C98),"",IF(K98=Constants!$B$5,TRUE(),IF(K98=Constants!$B$6,FALSE(),COUNTA(L98:P98)&gt;0)))</f>
        <v/>
      </c>
      <c r="AM98" s="134" t="str">
        <f aca="false">IF(ISBLANK($C98),"",IF(ISNUMBER(L98),IF(L98&gt;=0,L98,""),""))</f>
        <v/>
      </c>
      <c r="AN98" s="135" t="str">
        <f aca="false">IF(ISBLANK($C98),"",IF(ISNUMBER(M98),IF(M98&gt;=0,M98,""),""))</f>
        <v/>
      </c>
      <c r="AO98" s="135" t="str">
        <f aca="false">IF(ISBLANK($C98),"",IF(N98=Constants!$B$3,TRUE(),IF(N98=Constants!$B$4,FALSE(),TRUE())))</f>
        <v/>
      </c>
      <c r="AP98" s="133" t="str">
        <f aca="false">IF(ISBLANK($C98),"",IF(ISNUMBER(O98),IF(O98&gt;=0,O98,""),""))</f>
        <v/>
      </c>
      <c r="AQ98" s="133" t="str">
        <f aca="false">IF(ISBLANK($C98),"",IF(P98=Constants!$B$3,TRUE(),IF(P98=Constants!$B$4,FALSE(),FALSE())))</f>
        <v/>
      </c>
      <c r="AR98" s="133" t="str">
        <f aca="false">IF(ISBLANK($C98),"",IF(Q98=Constants!$B$3,TRUE(),IF(Q98=Constants!$B$4,FALSE(),TRUE())))</f>
        <v/>
      </c>
      <c r="AS98" s="133" t="str">
        <f aca="false">IF(ISBLANK($C98),"",IF(R98=Constants!$B$3,TRUE(),IF(R98=Constants!$B$4,FALSE(),TRUE())))</f>
        <v/>
      </c>
      <c r="AT98" s="133" t="str">
        <f aca="false">IF(ISBLANK($C98),"",IF(S98=Constants!$B$5,TRUE(),IF(S98=Constants!$B$6,FALSE(),COUNTA(T98:X98)&gt;0)))</f>
        <v/>
      </c>
      <c r="AU98" s="134" t="str">
        <f aca="false">IF(ISBLANK($C98),"",IF(ISNUMBER(T98),IF(T98&gt;=0,T98,""),""))</f>
        <v/>
      </c>
      <c r="AV98" s="135" t="str">
        <f aca="false">IF(ISBLANK($C98),"",IF(ISNUMBER(U98),IF(U98&gt;=0,U98,""),""))</f>
        <v/>
      </c>
      <c r="AW98" s="135" t="str">
        <f aca="false">IF(ISBLANK($C98),"",IF(V98=Constants!$B$3,TRUE(),IF(V98=Constants!$B$4,FALSE(),TRUE())))</f>
        <v/>
      </c>
      <c r="AX98" s="133" t="str">
        <f aca="false">IF(ISBLANK($C98),"",IF(ISNUMBER(W98),IF(W98&gt;=0,W98,""),""))</f>
        <v/>
      </c>
      <c r="AY98" s="133" t="str">
        <f aca="false">IF(ISBLANK($C98),"",IF(X98=Constants!$B$3,TRUE(),IF(X98=Constants!$B$4,FALSE(),FALSE())))</f>
        <v/>
      </c>
      <c r="AZ98" s="133" t="str">
        <f aca="false">IF(ISBLANK($C98),"",MIN(Constants!$B$31,MAX(0,IF(ISNUMBER(Y98),Y98*60,0)+IF(ISNUMBER(Z98),Z98,0))))</f>
        <v/>
      </c>
      <c r="BA98" s="133" t="str">
        <f aca="false">IF(ISBLANK($C98),"",IF(AA98=Constants!$B$3,TRUE(),IF(AA98=Constants!$B$4,FALSE(),FALSE())))</f>
        <v/>
      </c>
      <c r="BB98" s="132" t="str">
        <f aca="false">IF(ISBLANK($C98),"",AND($AL98,OR($AM98="",$AN98="",AND($AO98,$AP98=""))))</f>
        <v/>
      </c>
      <c r="BC98" s="135" t="str">
        <f aca="false">IF($BR98&lt;&gt;Constants!$B$8,"",IF($AL98,Constants!$B$21*$AN98+Constants!$B$22*IF($AO98,$AP98,Constants!$B$23),Constants!$B$24))</f>
        <v/>
      </c>
      <c r="BD98" s="136" t="str">
        <f aca="false">IF($BR98&lt;&gt;Constants!$B$8,"",Constants!$B$25*ABS($AD$9-IF($AL98,$AM98,0)))</f>
        <v/>
      </c>
      <c r="BE98" s="136" t="str">
        <f aca="false">IF($BR98&lt;&gt;Constants!$B$8,"",IF(AND($AL98,$AQ98,$AO98),Constants!$B$27,0))</f>
        <v/>
      </c>
      <c r="BF98" s="136" t="str">
        <f aca="false">IF($BR98&lt;&gt;Constants!$B$8,"",IF($AL98,($AI98-Constants!$B$29)*Constants!$B$28,0))</f>
        <v/>
      </c>
      <c r="BG98" s="136" t="str">
        <f aca="false">IF($BR98&lt;&gt;Constants!$B$8,"",IF($AK98,0,Constants!$B$15)+IF($AJ98,0,Constants!$B$16)+IF($AH98,0,Constants!$B$17))</f>
        <v/>
      </c>
      <c r="BH98" s="137" t="str">
        <f aca="false">IF($BR98&lt;&gt;Constants!$B$8,"",Constants!$B$20+SUM($BC98:$BG98))</f>
        <v/>
      </c>
      <c r="BI98" s="133" t="str">
        <f aca="false">IF($BR98&lt;&gt;Constants!$B$8,"",IF(OR($BP98&lt;$BH98,AND($BP98=$BH98,OR($BK98&lt;$BC98,AND($BK98=$BC98,OR($BL98&lt;$BD98,AND($BL98=$BD98,$AT98,$AL98,$AV98&lt;$AN98)))))),"-&gt;","&lt;-"))</f>
        <v/>
      </c>
      <c r="BJ98" s="132" t="str">
        <f aca="false">IF(ISBLANK($C98),"",AND($AT98,OR($AU98="",$AV98="",AND($AW98,$AX98=""))))</f>
        <v/>
      </c>
      <c r="BK98" s="135" t="str">
        <f aca="false">IF($BR98&lt;&gt;Constants!$B$8,"",IF($AT98,Constants!$B$21*$AV98+Constants!$B$22*IF($AW98,$AX98,Constants!$B$23),Constants!$B$24))</f>
        <v/>
      </c>
      <c r="BL98" s="136" t="str">
        <f aca="false">IF($BR98&lt;&gt;Constants!$B$8,"",Constants!$B$25*ABS($AD$9-IF($AT98,$AU98,0)))</f>
        <v/>
      </c>
      <c r="BM98" s="136" t="str">
        <f aca="false">IF($BR98&lt;&gt;Constants!$B$8,"",IF(AND($AT98,$AY98,$AW98),Constants!$B$27,0))</f>
        <v/>
      </c>
      <c r="BN98" s="136" t="str">
        <f aca="false">IF($BR98&lt;&gt;Constants!$B$8,"",IF($AT98,($AI98-Constants!$B$29)*Constants!$B$28,0))</f>
        <v/>
      </c>
      <c r="BO98" s="136" t="str">
        <f aca="false">IF($BR98&lt;&gt;Constants!$B$8,"",IF($AS98,0,Constants!$B$15)+IF($AR98,0,Constants!$B$16)+IF($AH98,0,Constants!$B$17))</f>
        <v/>
      </c>
      <c r="BP98" s="137" t="str">
        <f aca="false">IF($BR98&lt;&gt;Constants!$B$8,"",Constants!$B$20+SUM($BK98:$BO98))</f>
        <v/>
      </c>
      <c r="BQ98" s="133" t="str">
        <f aca="false">IF(ISBLANK($C98),"",IF(ISBLANK($D$7),$BQ$5,IF(NOT(ISNUMBER($D$7)),$BQ$6,"")))</f>
        <v/>
      </c>
      <c r="BR98" s="133" t="str">
        <f aca="false">IF(ISBLANK($C98),"",IF($BA98,Constants!$B$11,IF(COUNTA($E98:$AA98)=0,Constants!$B$10,IF(NOT($AG98),Constants!$B$9,IF(OR($BQ98&lt;&gt;"",$BB98,$BJ98),Constants!$B$12,Constants!$B$8)))))</f>
        <v/>
      </c>
      <c r="BS98" s="133" t="str">
        <f aca="false">IF(ISBLANK($C98),"",IF($BR98&lt;&gt;Constants!$B$8,$BR98,Constants!$B$13))</f>
        <v/>
      </c>
      <c r="BT98" s="136" t="str">
        <f aca="false">IF($BR98&lt;&gt;Constants!$B$8,"",IF($BI98="-&gt;",$BP98,$BH98))</f>
        <v/>
      </c>
      <c r="BU98" s="136" t="str">
        <f aca="false">IF($BR98&lt;&gt;Constants!$B$8,"",IF($AF98,0,Constants!$B$18))</f>
        <v/>
      </c>
      <c r="BV98" s="136" t="str">
        <f aca="false">IF($BR98&lt;&gt;Constants!$B$8,"",((Constants!$B$31-$AZ98)-Constants!$B$31)/Constants!$B$32)</f>
        <v/>
      </c>
      <c r="BW98" s="136" t="str">
        <f aca="false">IF(ISBLANK($C98),"",IF($BR98&lt;&gt;Constants!$B$8,$BR98,SUM($BT98:$BV98)))</f>
        <v/>
      </c>
      <c r="BX98" s="133" t="str">
        <f aca="false">IF(ISBLANK($C98),"",IF($BR98&lt;&gt;Constants!$B$8,$BR98,RANK($BW98,$BW$9:$BW$508,1)))</f>
        <v/>
      </c>
      <c r="BY98" s="136" t="str">
        <f aca="false">IF($BR98&lt;&gt;Constants!$B$8,"",IF($BI98="-&gt;",$BK98,$BC98))</f>
        <v/>
      </c>
      <c r="BZ98" s="133" t="str">
        <f aca="false">IF(ISBLANK($C98),"",IF($BR98&lt;&gt;Constants!$B$8,$BR98,IF(ISNUMBER($BY98),RANK($BY98,$BY$9:$BY$508,1),COUNT($BY$9:$BY$508)+1)))</f>
        <v/>
      </c>
      <c r="CA98" s="136" t="str">
        <f aca="false">IF($BR98&lt;&gt;Constants!$B$8,"",IF($BI98="-&gt;",$BL98,$BD98))</f>
        <v/>
      </c>
      <c r="CB98" s="133" t="str">
        <f aca="false">IF(ISBLANK($C98),"",IF($BR98&lt;&gt;Constants!$B$8,$BR98,IF(ISNUMBER($CA98),RANK($CA98,$CA$9:$CA$508,1),COUNT($CA$9:$CA$508)+1)))</f>
        <v/>
      </c>
      <c r="CC98" s="136" t="str">
        <f aca="false">IF($BR98&lt;&gt;Constants!$B$8,"",IF($BI98="-&gt;",IF($AT98,$AV98,""),IF($AL98,$AN98,"")))</f>
        <v/>
      </c>
      <c r="CD98" s="133" t="str">
        <f aca="false">IF(ISBLANK($C98),"",IF($BR98&lt;&gt;Constants!$B$8,$BR98,IF(ISNUMBER($CC98),RANK($CC98,$CC$9:$CC$508,1),COUNT($CC$9:$CC$508)+1)))</f>
        <v/>
      </c>
      <c r="CE98" s="136" t="str">
        <f aca="false">IF($BR98&lt;&gt;Constants!$B$8,"",IF(AND(NOT($AL98),NOT($AT98),$AJ98,$AK98,$AR98,$AS98),"",$AI98))</f>
        <v/>
      </c>
      <c r="CF98" s="133" t="str">
        <f aca="false">IF(ISBLANK($C98),"",IF($BR98&lt;&gt;Constants!$B$8,$BR98,IF(ISNUMBER($CE98),RANK($CE98,$CE$9:$CE$508,1),COUNT($CE$9:$CE$508)+1)))</f>
        <v/>
      </c>
      <c r="CG98" s="133" t="str">
        <f aca="false">IF(ISBLANK($C98),"",IF($BR98&lt;&gt;Constants!$B$8,$BR98,COUNTIFS($BX$9:$BX$508,"&lt;"&amp;$BX98)+COUNTIFS($BX$9:$BX$508,$BX98,$BZ$9:$BZ$508,"&lt;"&amp;$BZ98)+COUNTIFS($BX$9:$BX$508,$BX98,$BZ$9:$BZ$508,$BZ98,$CB$9:$CB$508,"&lt;"&amp;$CB98)+COUNTIFS($BX$9:$BX$508,$BX98,$BZ$9:$BZ$508,$BZ98,$CB$9:$CB$508,$CB98,$CD$9:$CD$508,"&lt;"&amp;$CD98)+COUNTIFS($BX$9:$BX$508,$BX98,$BZ$9:$BZ$508,$BZ98,$CB$9:$CB$508,$CB98,$CD$9:$CD$508,$CD98,$CF$9:$CF$508,"&lt;"&amp;$CF98)+1))</f>
        <v/>
      </c>
      <c r="CH98" s="133" t="str">
        <f aca="false">IF(ISBLANK($C98),"",IF($BR98&lt;&gt;Constants!$B$8,$BR98,$BX98-$CG98))</f>
        <v/>
      </c>
      <c r="CI98" s="138"/>
      <c r="CJ98" s="139"/>
      <c r="CK98" s="140" t="str">
        <f aca="false">IF(ISBLANK($C98),"",IF($BR98=Constants!$B$12,$BQ98,""))</f>
        <v/>
      </c>
      <c r="CL98" s="139" t="str">
        <f aca="false">IF(ISBLANK($C98),"",IF($BR98&lt;&gt;Constants!$B$8,"",IF($BI98="-&gt;",2,1)))</f>
        <v/>
      </c>
      <c r="CM98" s="141" t="str">
        <f aca="false">IF(ISBLANK($C98),"",IF($BR98&lt;&gt;Constants!$B$8,"",IF($BI98="-&gt;",$BK98,$BC98)))</f>
        <v/>
      </c>
      <c r="CN98" s="141" t="str">
        <f aca="false">IF(ISBLANK($C98),"",IF($BR98&lt;&gt;Constants!$B$8,"",IF($BI98="-&gt;",$BL98,$BD98)))</f>
        <v/>
      </c>
      <c r="CO98" s="141" t="str">
        <f aca="false">IF(ISBLANK($C98),"",IF($BR98&lt;&gt;Constants!$B$8,"",IF($BI98="-&gt;",$BM98+$BN98,$BE98+$BF98)+$BV98))</f>
        <v/>
      </c>
      <c r="CP98" s="141" t="str">
        <f aca="false">IF(ISBLANK($C98),"",IF($BR98&lt;&gt;Constants!$B$8,"",IF($BI98="-&gt;",$BO98,$BG98)+$BU98))</f>
        <v/>
      </c>
      <c r="CQ98" s="142" t="str">
        <f aca="false">IF(ISBLANK($C98),"",IF($BR98&lt;&gt;Constants!$B$8,$BR98,$BW98))</f>
        <v/>
      </c>
      <c r="CR98" s="143" t="str">
        <f aca="false">IF(ISBLANK($C98),"",$BS98)</f>
        <v/>
      </c>
      <c r="CS98" s="144" t="str">
        <f aca="false">IF(ISBLANK($C98),"",$CH98)</f>
        <v/>
      </c>
      <c r="CT98" s="144" t="str">
        <f aca="false">IF(ISBLANK($C98),"",$CG98)</f>
        <v/>
      </c>
      <c r="CU98" s="145" t="str">
        <f aca="false">IF(ISBLANK($C98),"",IFERROR(_xlfn.SWITCH($CT98,Constants!$B$11,COUNTA($C$9:$C$508)+2,Constants!$B$10,COUNTA($C$9:$C$508)+1,Constants!$B$9,COUNTA($C$9:$C$508)),$CT98))</f>
        <v/>
      </c>
      <c r="CV98" s="9"/>
      <c r="CW98" s="146" t="n">
        <f aca="false">IF(OR(ISNUMBER($CT98),$CT98=Constants!$B$11,$CT98=Constants!$B$9,$CT98=Constants!$B$10),1,0)</f>
        <v>0</v>
      </c>
      <c r="CX98" s="146" t="n">
        <v>90</v>
      </c>
      <c r="CY98" s="146" t="str">
        <f aca="false">IF(ISBLANK($C98),"",IF(ISNUMBER($CU98),$CU98+ROW($B98)/1000,""))</f>
        <v/>
      </c>
      <c r="CZ98" s="146" t="str">
        <f aca="false">IF(ISNUMBER($CY98),RANK($CY98,$CY$9:$CY$508,1),"")</f>
        <v/>
      </c>
      <c r="DA98" s="146" t="str">
        <f aca="false">IF(ISBLANK($C98),"",$B98)</f>
        <v/>
      </c>
      <c r="DB98" s="146" t="str">
        <f aca="false">IF(ISBLANK($C98),"",$C98)</f>
        <v/>
      </c>
      <c r="DC98" s="146" t="str">
        <f aca="false">IF(ISBLANK($C98),"",$D98)</f>
        <v/>
      </c>
      <c r="DD98" s="147" t="str">
        <f aca="false">$CR98</f>
        <v/>
      </c>
      <c r="DE98" s="148" t="str">
        <f aca="false">$CQ98</f>
        <v/>
      </c>
      <c r="DF98" s="146" t="str">
        <f aca="false">IF(ISBLANK($C98),"",$CT98)</f>
        <v/>
      </c>
      <c r="DG98" s="149" t="str">
        <f aca="false">IF($CX98&gt;$CW$8,"",VLOOKUP($CX98,$CZ$9:$DF$508,7,FALSE()))</f>
        <v/>
      </c>
      <c r="DH98" s="150" t="str">
        <f aca="false">IF($CX98&gt;$CW$8,"",VLOOKUP($CX98,$CZ$9:$DF$508,2,FALSE()))</f>
        <v/>
      </c>
      <c r="DI98" s="150" t="str">
        <f aca="false">IF($CX98&gt;$CW$8,"",VLOOKUP($CX98,$CZ$9:$DF$508,3,FALSE()))</f>
        <v/>
      </c>
      <c r="DJ98" s="150" t="str">
        <f aca="false">IF($CX98&gt;$CW$8,"",VLOOKUP($CX98,$CZ$9:$DF$508,4,FALSE()))</f>
        <v/>
      </c>
      <c r="DK98" s="150" t="str">
        <f aca="false">IF($CX98&gt;$CW$8,"",VLOOKUP($CX98,$CZ$9:$DF$508,5,FALSE()))</f>
        <v/>
      </c>
      <c r="DL98" s="151" t="str">
        <f aca="false">IF($CX98&gt;$CW$8,"",VLOOKUP($CX98,$CZ$9:$DF$508,6,FALSE()))</f>
        <v/>
      </c>
      <c r="DM98" s="75"/>
    </row>
    <row r="99" customFormat="false" ht="15.75" hidden="false" customHeight="false" outlineLevel="0" collapsed="false">
      <c r="A99" s="9"/>
      <c r="B99" s="77"/>
      <c r="C99" s="78"/>
      <c r="D99" s="167"/>
      <c r="E99" s="175"/>
      <c r="F99" s="169"/>
      <c r="G99" s="170"/>
      <c r="H99" s="170"/>
      <c r="I99" s="176"/>
      <c r="J99" s="173"/>
      <c r="K99" s="85"/>
      <c r="L99" s="86"/>
      <c r="M99" s="87"/>
      <c r="N99" s="173"/>
      <c r="O99" s="173"/>
      <c r="P99" s="175"/>
      <c r="Q99" s="173"/>
      <c r="R99" s="173"/>
      <c r="S99" s="85"/>
      <c r="T99" s="87"/>
      <c r="U99" s="87"/>
      <c r="V99" s="173"/>
      <c r="W99" s="173"/>
      <c r="X99" s="175"/>
      <c r="Y99" s="173"/>
      <c r="Z99" s="174"/>
      <c r="AA99" s="173"/>
      <c r="AB99" s="91"/>
      <c r="AC99" s="92"/>
      <c r="AD99" s="92"/>
      <c r="AE99" s="92"/>
      <c r="AF99" s="92" t="str">
        <f aca="false">IF(ISBLANK($C99),"",IF(E99=Constants!$B$3,TRUE(),IF(E99=Constants!$B$4,FALSE(),TRUE())))</f>
        <v/>
      </c>
      <c r="AG99" s="92" t="str">
        <f aca="false">IF(ISBLANK($C99),"",IF(F99=Constants!$B$3,TRUE(),IF(F99=Constants!$B$4,FALSE(),TRUE())))</f>
        <v/>
      </c>
      <c r="AH99" s="92" t="str">
        <f aca="false">IF(ISBLANK($C99),"",IF(G99=Constants!$B$3,TRUE(),IF(G99=Constants!$B$4,FALSE(),TRUE())))</f>
        <v/>
      </c>
      <c r="AI99" s="92" t="str">
        <f aca="false">IF(ISBLANK($C99),"",IF(AND(ISNUMBER(H99),H99&gt;=0),H99,Constants!$B$29))</f>
        <v/>
      </c>
      <c r="AJ99" s="92" t="str">
        <f aca="false">IF(ISBLANK($C99),"",IF(I99=Constants!$B$3,TRUE(),IF(I99=Constants!$B$4,FALSE(),TRUE())))</f>
        <v/>
      </c>
      <c r="AK99" s="92" t="str">
        <f aca="false">IF(ISBLANK($C99),"",IF(J99=Constants!$B$3,TRUE(),IF(J99=Constants!$B$4,FALSE(),TRUE())))</f>
        <v/>
      </c>
      <c r="AL99" s="92" t="str">
        <f aca="false">IF(ISBLANK($C99),"",IF(K99=Constants!$B$5,TRUE(),IF(K99=Constants!$B$6,FALSE(),COUNTA(L99:P99)&gt;0)))</f>
        <v/>
      </c>
      <c r="AM99" s="94" t="str">
        <f aca="false">IF(ISBLANK($C99),"",IF(ISNUMBER(L99),IF(L99&gt;=0,L99,""),""))</f>
        <v/>
      </c>
      <c r="AN99" s="93" t="str">
        <f aca="false">IF(ISBLANK($C99),"",IF(ISNUMBER(M99),IF(M99&gt;=0,M99,""),""))</f>
        <v/>
      </c>
      <c r="AO99" s="93" t="str">
        <f aca="false">IF(ISBLANK($C99),"",IF(N99=Constants!$B$3,TRUE(),IF(N99=Constants!$B$4,FALSE(),TRUE())))</f>
        <v/>
      </c>
      <c r="AP99" s="92" t="str">
        <f aca="false">IF(ISBLANK($C99),"",IF(ISNUMBER(O99),IF(O99&gt;=0,O99,""),""))</f>
        <v/>
      </c>
      <c r="AQ99" s="92" t="str">
        <f aca="false">IF(ISBLANK($C99),"",IF(P99=Constants!$B$3,TRUE(),IF(P99=Constants!$B$4,FALSE(),FALSE())))</f>
        <v/>
      </c>
      <c r="AR99" s="92" t="str">
        <f aca="false">IF(ISBLANK($C99),"",IF(Q99=Constants!$B$3,TRUE(),IF(Q99=Constants!$B$4,FALSE(),TRUE())))</f>
        <v/>
      </c>
      <c r="AS99" s="92" t="str">
        <f aca="false">IF(ISBLANK($C99),"",IF(R99=Constants!$B$3,TRUE(),IF(R99=Constants!$B$4,FALSE(),TRUE())))</f>
        <v/>
      </c>
      <c r="AT99" s="92" t="str">
        <f aca="false">IF(ISBLANK($C99),"",IF(S99=Constants!$B$5,TRUE(),IF(S99=Constants!$B$6,FALSE(),COUNTA(T99:X99)&gt;0)))</f>
        <v/>
      </c>
      <c r="AU99" s="94" t="str">
        <f aca="false">IF(ISBLANK($C99),"",IF(ISNUMBER(T99),IF(T99&gt;=0,T99,""),""))</f>
        <v/>
      </c>
      <c r="AV99" s="93" t="str">
        <f aca="false">IF(ISBLANK($C99),"",IF(ISNUMBER(U99),IF(U99&gt;=0,U99,""),""))</f>
        <v/>
      </c>
      <c r="AW99" s="93" t="str">
        <f aca="false">IF(ISBLANK($C99),"",IF(V99=Constants!$B$3,TRUE(),IF(V99=Constants!$B$4,FALSE(),TRUE())))</f>
        <v/>
      </c>
      <c r="AX99" s="92" t="str">
        <f aca="false">IF(ISBLANK($C99),"",IF(ISNUMBER(W99),IF(W99&gt;=0,W99,""),""))</f>
        <v/>
      </c>
      <c r="AY99" s="92" t="str">
        <f aca="false">IF(ISBLANK($C99),"",IF(X99=Constants!$B$3,TRUE(),IF(X99=Constants!$B$4,FALSE(),FALSE())))</f>
        <v/>
      </c>
      <c r="AZ99" s="92" t="str">
        <f aca="false">IF(ISBLANK($C99),"",MIN(Constants!$B$31,MAX(0,IF(ISNUMBER(Y99),Y99*60,0)+IF(ISNUMBER(Z99),Z99,0))))</f>
        <v/>
      </c>
      <c r="BA99" s="92" t="str">
        <f aca="false">IF(ISBLANK($C99),"",IF(AA99=Constants!$B$3,TRUE(),IF(AA99=Constants!$B$4,FALSE(),FALSE())))</f>
        <v/>
      </c>
      <c r="BB99" s="91" t="str">
        <f aca="false">IF(ISBLANK($C99),"",AND($AL99,OR($AM99="",$AN99="",AND($AO99,$AP99=""))))</f>
        <v/>
      </c>
      <c r="BC99" s="93" t="str">
        <f aca="false">IF($BR99&lt;&gt;Constants!$B$8,"",IF($AL99,Constants!$B$21*$AN99+Constants!$B$22*IF($AO99,$AP99,Constants!$B$23),Constants!$B$24))</f>
        <v/>
      </c>
      <c r="BD99" s="96" t="str">
        <f aca="false">IF($BR99&lt;&gt;Constants!$B$8,"",Constants!$B$25*ABS($AD$9-IF($AL99,$AM99,0)))</f>
        <v/>
      </c>
      <c r="BE99" s="96" t="str">
        <f aca="false">IF($BR99&lt;&gt;Constants!$B$8,"",IF(AND($AL99,$AQ99,$AO99),Constants!$B$27,0))</f>
        <v/>
      </c>
      <c r="BF99" s="96" t="str">
        <f aca="false">IF($BR99&lt;&gt;Constants!$B$8,"",IF($AL99,($AI99-Constants!$B$29)*Constants!$B$28,0))</f>
        <v/>
      </c>
      <c r="BG99" s="96" t="str">
        <f aca="false">IF($BR99&lt;&gt;Constants!$B$8,"",IF($AK99,0,Constants!$B$15)+IF($AJ99,0,Constants!$B$16)+IF($AH99,0,Constants!$B$17))</f>
        <v/>
      </c>
      <c r="BH99" s="97" t="str">
        <f aca="false">IF($BR99&lt;&gt;Constants!$B$8,"",Constants!$B$20+SUM($BC99:$BG99))</f>
        <v/>
      </c>
      <c r="BI99" s="92" t="str">
        <f aca="false">IF($BR99&lt;&gt;Constants!$B$8,"",IF(OR($BP99&lt;$BH99,AND($BP99=$BH99,OR($BK99&lt;$BC99,AND($BK99=$BC99,OR($BL99&lt;$BD99,AND($BL99=$BD99,$AT99,$AL99,$AV99&lt;$AN99)))))),"-&gt;","&lt;-"))</f>
        <v/>
      </c>
      <c r="BJ99" s="91" t="str">
        <f aca="false">IF(ISBLANK($C99),"",AND($AT99,OR($AU99="",$AV99="",AND($AW99,$AX99=""))))</f>
        <v/>
      </c>
      <c r="BK99" s="93" t="str">
        <f aca="false">IF($BR99&lt;&gt;Constants!$B$8,"",IF($AT99,Constants!$B$21*$AV99+Constants!$B$22*IF($AW99,$AX99,Constants!$B$23),Constants!$B$24))</f>
        <v/>
      </c>
      <c r="BL99" s="96" t="str">
        <f aca="false">IF($BR99&lt;&gt;Constants!$B$8,"",Constants!$B$25*ABS($AD$9-IF($AT99,$AU99,0)))</f>
        <v/>
      </c>
      <c r="BM99" s="96" t="str">
        <f aca="false">IF($BR99&lt;&gt;Constants!$B$8,"",IF(AND($AT99,$AY99,$AW99),Constants!$B$27,0))</f>
        <v/>
      </c>
      <c r="BN99" s="96" t="str">
        <f aca="false">IF($BR99&lt;&gt;Constants!$B$8,"",IF($AT99,($AI99-Constants!$B$29)*Constants!$B$28,0))</f>
        <v/>
      </c>
      <c r="BO99" s="96" t="str">
        <f aca="false">IF($BR99&lt;&gt;Constants!$B$8,"",IF($AS99,0,Constants!$B$15)+IF($AR99,0,Constants!$B$16)+IF($AH99,0,Constants!$B$17))</f>
        <v/>
      </c>
      <c r="BP99" s="97" t="str">
        <f aca="false">IF($BR99&lt;&gt;Constants!$B$8,"",Constants!$B$20+SUM($BK99:$BO99))</f>
        <v/>
      </c>
      <c r="BQ99" s="92" t="str">
        <f aca="false">IF(ISBLANK($C99),"",IF(ISBLANK($D$7),$BQ$5,IF(NOT(ISNUMBER($D$7)),$BQ$6,"")))</f>
        <v/>
      </c>
      <c r="BR99" s="92" t="str">
        <f aca="false">IF(ISBLANK($C99),"",IF($BA99,Constants!$B$11,IF(COUNTA($E99:$AA99)=0,Constants!$B$10,IF(NOT($AG99),Constants!$B$9,IF(OR($BQ99&lt;&gt;"",$BB99,$BJ99),Constants!$B$12,Constants!$B$8)))))</f>
        <v/>
      </c>
      <c r="BS99" s="92" t="str">
        <f aca="false">IF(ISBLANK($C99),"",IF($BR99&lt;&gt;Constants!$B$8,$BR99,Constants!$B$13))</f>
        <v/>
      </c>
      <c r="BT99" s="96" t="str">
        <f aca="false">IF($BR99&lt;&gt;Constants!$B$8,"",IF($BI99="-&gt;",$BP99,$BH99))</f>
        <v/>
      </c>
      <c r="BU99" s="96" t="str">
        <f aca="false">IF($BR99&lt;&gt;Constants!$B$8,"",IF($AF99,0,Constants!$B$18))</f>
        <v/>
      </c>
      <c r="BV99" s="96" t="str">
        <f aca="false">IF($BR99&lt;&gt;Constants!$B$8,"",((Constants!$B$31-$AZ99)-Constants!$B$31)/Constants!$B$32)</f>
        <v/>
      </c>
      <c r="BW99" s="96" t="str">
        <f aca="false">IF(ISBLANK($C99),"",IF($BR99&lt;&gt;Constants!$B$8,$BR99,SUM($BT99:$BV99)))</f>
        <v/>
      </c>
      <c r="BX99" s="92" t="str">
        <f aca="false">IF(ISBLANK($C99),"",IF($BR99&lt;&gt;Constants!$B$8,$BR99,RANK($BW99,$BW$9:$BW$508,1)))</f>
        <v/>
      </c>
      <c r="BY99" s="96" t="str">
        <f aca="false">IF($BR99&lt;&gt;Constants!$B$8,"",IF($BI99="-&gt;",$BK99,$BC99))</f>
        <v/>
      </c>
      <c r="BZ99" s="92" t="str">
        <f aca="false">IF(ISBLANK($C99),"",IF($BR99&lt;&gt;Constants!$B$8,$BR99,IF(ISNUMBER($BY99),RANK($BY99,$BY$9:$BY$508,1),COUNT($BY$9:$BY$508)+1)))</f>
        <v/>
      </c>
      <c r="CA99" s="96" t="str">
        <f aca="false">IF($BR99&lt;&gt;Constants!$B$8,"",IF($BI99="-&gt;",$BL99,$BD99))</f>
        <v/>
      </c>
      <c r="CB99" s="92" t="str">
        <f aca="false">IF(ISBLANK($C99),"",IF($BR99&lt;&gt;Constants!$B$8,$BR99,IF(ISNUMBER($CA99),RANK($CA99,$CA$9:$CA$508,1),COUNT($CA$9:$CA$508)+1)))</f>
        <v/>
      </c>
      <c r="CC99" s="96" t="str">
        <f aca="false">IF($BR99&lt;&gt;Constants!$B$8,"",IF($BI99="-&gt;",IF($AT99,$AV99,""),IF($AL99,$AN99,"")))</f>
        <v/>
      </c>
      <c r="CD99" s="92" t="str">
        <f aca="false">IF(ISBLANK($C99),"",IF($BR99&lt;&gt;Constants!$B$8,$BR99,IF(ISNUMBER($CC99),RANK($CC99,$CC$9:$CC$508,1),COUNT($CC$9:$CC$508)+1)))</f>
        <v/>
      </c>
      <c r="CE99" s="96" t="str">
        <f aca="false">IF($BR99&lt;&gt;Constants!$B$8,"",IF(AND(NOT($AL99),NOT($AT99),$AJ99,$AK99,$AR99,$AS99),"",$AI99))</f>
        <v/>
      </c>
      <c r="CF99" s="92" t="str">
        <f aca="false">IF(ISBLANK($C99),"",IF($BR99&lt;&gt;Constants!$B$8,$BR99,IF(ISNUMBER($CE99),RANK($CE99,$CE$9:$CE$508,1),COUNT($CE$9:$CE$508)+1)))</f>
        <v/>
      </c>
      <c r="CG99" s="92" t="str">
        <f aca="false">IF(ISBLANK($C99),"",IF($BR99&lt;&gt;Constants!$B$8,$BR99,COUNTIFS($BX$9:$BX$508,"&lt;"&amp;$BX99)+COUNTIFS($BX$9:$BX$508,$BX99,$BZ$9:$BZ$508,"&lt;"&amp;$BZ99)+COUNTIFS($BX$9:$BX$508,$BX99,$BZ$9:$BZ$508,$BZ99,$CB$9:$CB$508,"&lt;"&amp;$CB99)+COUNTIFS($BX$9:$BX$508,$BX99,$BZ$9:$BZ$508,$BZ99,$CB$9:$CB$508,$CB99,$CD$9:$CD$508,"&lt;"&amp;$CD99)+COUNTIFS($BX$9:$BX$508,$BX99,$BZ$9:$BZ$508,$BZ99,$CB$9:$CB$508,$CB99,$CD$9:$CD$508,$CD99,$CF$9:$CF$508,"&lt;"&amp;$CF99)+1))</f>
        <v/>
      </c>
      <c r="CH99" s="92" t="str">
        <f aca="false">IF(ISBLANK($C99),"",IF($BR99&lt;&gt;Constants!$B$8,$BR99,$BX99-$CG99))</f>
        <v/>
      </c>
      <c r="CI99" s="98"/>
      <c r="CJ99" s="99"/>
      <c r="CK99" s="100" t="str">
        <f aca="false">IF(ISBLANK($C99),"",IF($BR99=Constants!$B$12,$BQ99,""))</f>
        <v/>
      </c>
      <c r="CL99" s="99" t="str">
        <f aca="false">IF(ISBLANK($C99),"",IF($BR99&lt;&gt;Constants!$B$8,"",IF($BI99="-&gt;",2,1)))</f>
        <v/>
      </c>
      <c r="CM99" s="101" t="str">
        <f aca="false">IF(ISBLANK($C99),"",IF($BR99&lt;&gt;Constants!$B$8,"",IF($BI99="-&gt;",$BK99,$BC99)))</f>
        <v/>
      </c>
      <c r="CN99" s="101" t="str">
        <f aca="false">IF(ISBLANK($C99),"",IF($BR99&lt;&gt;Constants!$B$8,"",IF($BI99="-&gt;",$BL99,$BD99)))</f>
        <v/>
      </c>
      <c r="CO99" s="101" t="str">
        <f aca="false">IF(ISBLANK($C99),"",IF($BR99&lt;&gt;Constants!$B$8,"",IF($BI99="-&gt;",$BM99+$BN99,$BE99+$BF99)+$BV99))</f>
        <v/>
      </c>
      <c r="CP99" s="101" t="str">
        <f aca="false">IF(ISBLANK($C99),"",IF($BR99&lt;&gt;Constants!$B$8,"",IF($BI99="-&gt;",$BO99,$BG99)+$BU99))</f>
        <v/>
      </c>
      <c r="CQ99" s="102" t="str">
        <f aca="false">IF(ISBLANK($C99),"",IF($BR99&lt;&gt;Constants!$B$8,$BR99,$BW99))</f>
        <v/>
      </c>
      <c r="CR99" s="103" t="str">
        <f aca="false">IF(ISBLANK($C99),"",$BS99)</f>
        <v/>
      </c>
      <c r="CS99" s="104" t="str">
        <f aca="false">IF(ISBLANK($C99),"",$CH99)</f>
        <v/>
      </c>
      <c r="CT99" s="104" t="str">
        <f aca="false">IF(ISBLANK($C99),"",$CG99)</f>
        <v/>
      </c>
      <c r="CU99" s="105" t="str">
        <f aca="false">IF(ISBLANK($C99),"",IFERROR(_xlfn.SWITCH($CT99,Constants!$B$11,COUNTA($C$9:$C$508)+2,Constants!$B$10,COUNTA($C$9:$C$508)+1,Constants!$B$9,COUNTA($C$9:$C$508)),$CT99))</f>
        <v/>
      </c>
      <c r="CV99" s="9"/>
      <c r="CW99" s="106" t="n">
        <f aca="false">IF(OR(ISNUMBER($CT99),$CT99=Constants!$B$11,$CT99=Constants!$B$9,$CT99=Constants!$B$10),1,0)</f>
        <v>0</v>
      </c>
      <c r="CX99" s="106" t="n">
        <v>91</v>
      </c>
      <c r="CY99" s="106" t="str">
        <f aca="false">IF(ISBLANK($C99),"",IF(ISNUMBER($CU99),$CU99+ROW($B99)/1000,""))</f>
        <v/>
      </c>
      <c r="CZ99" s="106" t="str">
        <f aca="false">IF(ISNUMBER($CY99),RANK($CY99,$CY$9:$CY$508,1),"")</f>
        <v/>
      </c>
      <c r="DA99" s="106" t="str">
        <f aca="false">IF(ISBLANK($C99),"",$B99)</f>
        <v/>
      </c>
      <c r="DB99" s="106" t="str">
        <f aca="false">IF(ISBLANK($C99),"",$C99)</f>
        <v/>
      </c>
      <c r="DC99" s="106" t="str">
        <f aca="false">IF(ISBLANK($C99),"",$D99)</f>
        <v/>
      </c>
      <c r="DD99" s="107" t="str">
        <f aca="false">$CR99</f>
        <v/>
      </c>
      <c r="DE99" s="108" t="str">
        <f aca="false">$CQ99</f>
        <v/>
      </c>
      <c r="DF99" s="106" t="str">
        <f aca="false">IF(ISBLANK($C99),"",$CT99)</f>
        <v/>
      </c>
      <c r="DG99" s="109" t="str">
        <f aca="false">IF($CX99&gt;$CW$8,"",VLOOKUP($CX99,$CZ$9:$DF$508,7,FALSE()))</f>
        <v/>
      </c>
      <c r="DH99" s="110" t="str">
        <f aca="false">IF($CX99&gt;$CW$8,"",VLOOKUP($CX99,$CZ$9:$DF$508,2,FALSE()))</f>
        <v/>
      </c>
      <c r="DI99" s="110" t="str">
        <f aca="false">IF($CX99&gt;$CW$8,"",VLOOKUP($CX99,$CZ$9:$DF$508,3,FALSE()))</f>
        <v/>
      </c>
      <c r="DJ99" s="110" t="str">
        <f aca="false">IF($CX99&gt;$CW$8,"",VLOOKUP($CX99,$CZ$9:$DF$508,4,FALSE()))</f>
        <v/>
      </c>
      <c r="DK99" s="110" t="str">
        <f aca="false">IF($CX99&gt;$CW$8,"",VLOOKUP($CX99,$CZ$9:$DF$508,5,FALSE()))</f>
        <v/>
      </c>
      <c r="DL99" s="111" t="str">
        <f aca="false">IF($CX99&gt;$CW$8,"",VLOOKUP($CX99,$CZ$9:$DF$508,6,FALSE()))</f>
        <v/>
      </c>
      <c r="DM99" s="75"/>
    </row>
    <row r="100" customFormat="false" ht="15.75" hidden="false" customHeight="false" outlineLevel="0" collapsed="false">
      <c r="A100" s="9"/>
      <c r="B100" s="77"/>
      <c r="C100" s="78"/>
      <c r="D100" s="167"/>
      <c r="E100" s="175"/>
      <c r="F100" s="169"/>
      <c r="G100" s="170"/>
      <c r="H100" s="170"/>
      <c r="I100" s="176"/>
      <c r="J100" s="173"/>
      <c r="K100" s="85"/>
      <c r="L100" s="86"/>
      <c r="M100" s="87"/>
      <c r="N100" s="173"/>
      <c r="O100" s="173"/>
      <c r="P100" s="175"/>
      <c r="Q100" s="173"/>
      <c r="R100" s="173"/>
      <c r="S100" s="85"/>
      <c r="T100" s="87"/>
      <c r="U100" s="87"/>
      <c r="V100" s="173"/>
      <c r="W100" s="173"/>
      <c r="X100" s="175"/>
      <c r="Y100" s="173"/>
      <c r="Z100" s="174"/>
      <c r="AA100" s="173"/>
      <c r="AB100" s="91"/>
      <c r="AC100" s="92"/>
      <c r="AD100" s="92"/>
      <c r="AE100" s="92"/>
      <c r="AF100" s="92" t="str">
        <f aca="false">IF(ISBLANK($C100),"",IF(E100=Constants!$B$3,TRUE(),IF(E100=Constants!$B$4,FALSE(),TRUE())))</f>
        <v/>
      </c>
      <c r="AG100" s="92" t="str">
        <f aca="false">IF(ISBLANK($C100),"",IF(F100=Constants!$B$3,TRUE(),IF(F100=Constants!$B$4,FALSE(),TRUE())))</f>
        <v/>
      </c>
      <c r="AH100" s="92" t="str">
        <f aca="false">IF(ISBLANK($C100),"",IF(G100=Constants!$B$3,TRUE(),IF(G100=Constants!$B$4,FALSE(),TRUE())))</f>
        <v/>
      </c>
      <c r="AI100" s="92" t="str">
        <f aca="false">IF(ISBLANK($C100),"",IF(AND(ISNUMBER(H100),H100&gt;=0),H100,Constants!$B$29))</f>
        <v/>
      </c>
      <c r="AJ100" s="92" t="str">
        <f aca="false">IF(ISBLANK($C100),"",IF(I100=Constants!$B$3,TRUE(),IF(I100=Constants!$B$4,FALSE(),TRUE())))</f>
        <v/>
      </c>
      <c r="AK100" s="92" t="str">
        <f aca="false">IF(ISBLANK($C100),"",IF(J100=Constants!$B$3,TRUE(),IF(J100=Constants!$B$4,FALSE(),TRUE())))</f>
        <v/>
      </c>
      <c r="AL100" s="92" t="str">
        <f aca="false">IF(ISBLANK($C100),"",IF(K100=Constants!$B$5,TRUE(),IF(K100=Constants!$B$6,FALSE(),COUNTA(L100:P100)&gt;0)))</f>
        <v/>
      </c>
      <c r="AM100" s="94" t="str">
        <f aca="false">IF(ISBLANK($C100),"",IF(ISNUMBER(L100),IF(L100&gt;=0,L100,""),""))</f>
        <v/>
      </c>
      <c r="AN100" s="93" t="str">
        <f aca="false">IF(ISBLANK($C100),"",IF(ISNUMBER(M100),IF(M100&gt;=0,M100,""),""))</f>
        <v/>
      </c>
      <c r="AO100" s="93" t="str">
        <f aca="false">IF(ISBLANK($C100),"",IF(N100=Constants!$B$3,TRUE(),IF(N100=Constants!$B$4,FALSE(),TRUE())))</f>
        <v/>
      </c>
      <c r="AP100" s="92" t="str">
        <f aca="false">IF(ISBLANK($C100),"",IF(ISNUMBER(O100),IF(O100&gt;=0,O100,""),""))</f>
        <v/>
      </c>
      <c r="AQ100" s="92" t="str">
        <f aca="false">IF(ISBLANK($C100),"",IF(P100=Constants!$B$3,TRUE(),IF(P100=Constants!$B$4,FALSE(),FALSE())))</f>
        <v/>
      </c>
      <c r="AR100" s="92" t="str">
        <f aca="false">IF(ISBLANK($C100),"",IF(Q100=Constants!$B$3,TRUE(),IF(Q100=Constants!$B$4,FALSE(),TRUE())))</f>
        <v/>
      </c>
      <c r="AS100" s="92" t="str">
        <f aca="false">IF(ISBLANK($C100),"",IF(R100=Constants!$B$3,TRUE(),IF(R100=Constants!$B$4,FALSE(),TRUE())))</f>
        <v/>
      </c>
      <c r="AT100" s="92" t="str">
        <f aca="false">IF(ISBLANK($C100),"",IF(S100=Constants!$B$5,TRUE(),IF(S100=Constants!$B$6,FALSE(),COUNTA(T100:X100)&gt;0)))</f>
        <v/>
      </c>
      <c r="AU100" s="94" t="str">
        <f aca="false">IF(ISBLANK($C100),"",IF(ISNUMBER(T100),IF(T100&gt;=0,T100,""),""))</f>
        <v/>
      </c>
      <c r="AV100" s="93" t="str">
        <f aca="false">IF(ISBLANK($C100),"",IF(ISNUMBER(U100),IF(U100&gt;=0,U100,""),""))</f>
        <v/>
      </c>
      <c r="AW100" s="93" t="str">
        <f aca="false">IF(ISBLANK($C100),"",IF(V100=Constants!$B$3,TRUE(),IF(V100=Constants!$B$4,FALSE(),TRUE())))</f>
        <v/>
      </c>
      <c r="AX100" s="92" t="str">
        <f aca="false">IF(ISBLANK($C100),"",IF(ISNUMBER(W100),IF(W100&gt;=0,W100,""),""))</f>
        <v/>
      </c>
      <c r="AY100" s="92" t="str">
        <f aca="false">IF(ISBLANK($C100),"",IF(X100=Constants!$B$3,TRUE(),IF(X100=Constants!$B$4,FALSE(),FALSE())))</f>
        <v/>
      </c>
      <c r="AZ100" s="92" t="str">
        <f aca="false">IF(ISBLANK($C100),"",MIN(Constants!$B$31,MAX(0,IF(ISNUMBER(Y100),Y100*60,0)+IF(ISNUMBER(Z100),Z100,0))))</f>
        <v/>
      </c>
      <c r="BA100" s="92" t="str">
        <f aca="false">IF(ISBLANK($C100),"",IF(AA100=Constants!$B$3,TRUE(),IF(AA100=Constants!$B$4,FALSE(),FALSE())))</f>
        <v/>
      </c>
      <c r="BB100" s="91" t="str">
        <f aca="false">IF(ISBLANK($C100),"",AND($AL100,OR($AM100="",$AN100="",AND($AO100,$AP100=""))))</f>
        <v/>
      </c>
      <c r="BC100" s="93" t="str">
        <f aca="false">IF($BR100&lt;&gt;Constants!$B$8,"",IF($AL100,Constants!$B$21*$AN100+Constants!$B$22*IF($AO100,$AP100,Constants!$B$23),Constants!$B$24))</f>
        <v/>
      </c>
      <c r="BD100" s="96" t="str">
        <f aca="false">IF($BR100&lt;&gt;Constants!$B$8,"",Constants!$B$25*ABS($AD$9-IF($AL100,$AM100,0)))</f>
        <v/>
      </c>
      <c r="BE100" s="96" t="str">
        <f aca="false">IF($BR100&lt;&gt;Constants!$B$8,"",IF(AND($AL100,$AQ100,$AO100),Constants!$B$27,0))</f>
        <v/>
      </c>
      <c r="BF100" s="96" t="str">
        <f aca="false">IF($BR100&lt;&gt;Constants!$B$8,"",IF($AL100,($AI100-Constants!$B$29)*Constants!$B$28,0))</f>
        <v/>
      </c>
      <c r="BG100" s="96" t="str">
        <f aca="false">IF($BR100&lt;&gt;Constants!$B$8,"",IF($AK100,0,Constants!$B$15)+IF($AJ100,0,Constants!$B$16)+IF($AH100,0,Constants!$B$17))</f>
        <v/>
      </c>
      <c r="BH100" s="97" t="str">
        <f aca="false">IF($BR100&lt;&gt;Constants!$B$8,"",Constants!$B$20+SUM($BC100:$BG100))</f>
        <v/>
      </c>
      <c r="BI100" s="92" t="str">
        <f aca="false">IF($BR100&lt;&gt;Constants!$B$8,"",IF(OR($BP100&lt;$BH100,AND($BP100=$BH100,OR($BK100&lt;$BC100,AND($BK100=$BC100,OR($BL100&lt;$BD100,AND($BL100=$BD100,$AT100,$AL100,$AV100&lt;$AN100)))))),"-&gt;","&lt;-"))</f>
        <v/>
      </c>
      <c r="BJ100" s="91" t="str">
        <f aca="false">IF(ISBLANK($C100),"",AND($AT100,OR($AU100="",$AV100="",AND($AW100,$AX100=""))))</f>
        <v/>
      </c>
      <c r="BK100" s="93" t="str">
        <f aca="false">IF($BR100&lt;&gt;Constants!$B$8,"",IF($AT100,Constants!$B$21*$AV100+Constants!$B$22*IF($AW100,$AX100,Constants!$B$23),Constants!$B$24))</f>
        <v/>
      </c>
      <c r="BL100" s="96" t="str">
        <f aca="false">IF($BR100&lt;&gt;Constants!$B$8,"",Constants!$B$25*ABS($AD$9-IF($AT100,$AU100,0)))</f>
        <v/>
      </c>
      <c r="BM100" s="96" t="str">
        <f aca="false">IF($BR100&lt;&gt;Constants!$B$8,"",IF(AND($AT100,$AY100,$AW100),Constants!$B$27,0))</f>
        <v/>
      </c>
      <c r="BN100" s="96" t="str">
        <f aca="false">IF($BR100&lt;&gt;Constants!$B$8,"",IF($AT100,($AI100-Constants!$B$29)*Constants!$B$28,0))</f>
        <v/>
      </c>
      <c r="BO100" s="96" t="str">
        <f aca="false">IF($BR100&lt;&gt;Constants!$B$8,"",IF($AS100,0,Constants!$B$15)+IF($AR100,0,Constants!$B$16)+IF($AH100,0,Constants!$B$17))</f>
        <v/>
      </c>
      <c r="BP100" s="97" t="str">
        <f aca="false">IF($BR100&lt;&gt;Constants!$B$8,"",Constants!$B$20+SUM($BK100:$BO100))</f>
        <v/>
      </c>
      <c r="BQ100" s="92" t="str">
        <f aca="false">IF(ISBLANK($C100),"",IF(ISBLANK($D$7),$BQ$5,IF(NOT(ISNUMBER($D$7)),$BQ$6,"")))</f>
        <v/>
      </c>
      <c r="BR100" s="92" t="str">
        <f aca="false">IF(ISBLANK($C100),"",IF($BA100,Constants!$B$11,IF(COUNTA($E100:$AA100)=0,Constants!$B$10,IF(NOT($AG100),Constants!$B$9,IF(OR($BQ100&lt;&gt;"",$BB100,$BJ100),Constants!$B$12,Constants!$B$8)))))</f>
        <v/>
      </c>
      <c r="BS100" s="92" t="str">
        <f aca="false">IF(ISBLANK($C100),"",IF($BR100&lt;&gt;Constants!$B$8,$BR100,Constants!$B$13))</f>
        <v/>
      </c>
      <c r="BT100" s="96" t="str">
        <f aca="false">IF($BR100&lt;&gt;Constants!$B$8,"",IF($BI100="-&gt;",$BP100,$BH100))</f>
        <v/>
      </c>
      <c r="BU100" s="96" t="str">
        <f aca="false">IF($BR100&lt;&gt;Constants!$B$8,"",IF($AF100,0,Constants!$B$18))</f>
        <v/>
      </c>
      <c r="BV100" s="96" t="str">
        <f aca="false">IF($BR100&lt;&gt;Constants!$B$8,"",((Constants!$B$31-$AZ100)-Constants!$B$31)/Constants!$B$32)</f>
        <v/>
      </c>
      <c r="BW100" s="96" t="str">
        <f aca="false">IF(ISBLANK($C100),"",IF($BR100&lt;&gt;Constants!$B$8,$BR100,SUM($BT100:$BV100)))</f>
        <v/>
      </c>
      <c r="BX100" s="92" t="str">
        <f aca="false">IF(ISBLANK($C100),"",IF($BR100&lt;&gt;Constants!$B$8,$BR100,RANK($BW100,$BW$9:$BW$508,1)))</f>
        <v/>
      </c>
      <c r="BY100" s="96" t="str">
        <f aca="false">IF($BR100&lt;&gt;Constants!$B$8,"",IF($BI100="-&gt;",$BK100,$BC100))</f>
        <v/>
      </c>
      <c r="BZ100" s="92" t="str">
        <f aca="false">IF(ISBLANK($C100),"",IF($BR100&lt;&gt;Constants!$B$8,$BR100,IF(ISNUMBER($BY100),RANK($BY100,$BY$9:$BY$508,1),COUNT($BY$9:$BY$508)+1)))</f>
        <v/>
      </c>
      <c r="CA100" s="96" t="str">
        <f aca="false">IF($BR100&lt;&gt;Constants!$B$8,"",IF($BI100="-&gt;",$BL100,$BD100))</f>
        <v/>
      </c>
      <c r="CB100" s="92" t="str">
        <f aca="false">IF(ISBLANK($C100),"",IF($BR100&lt;&gt;Constants!$B$8,$BR100,IF(ISNUMBER($CA100),RANK($CA100,$CA$9:$CA$508,1),COUNT($CA$9:$CA$508)+1)))</f>
        <v/>
      </c>
      <c r="CC100" s="96" t="str">
        <f aca="false">IF($BR100&lt;&gt;Constants!$B$8,"",IF($BI100="-&gt;",IF($AT100,$AV100,""),IF($AL100,$AN100,"")))</f>
        <v/>
      </c>
      <c r="CD100" s="92" t="str">
        <f aca="false">IF(ISBLANK($C100),"",IF($BR100&lt;&gt;Constants!$B$8,$BR100,IF(ISNUMBER($CC100),RANK($CC100,$CC$9:$CC$508,1),COUNT($CC$9:$CC$508)+1)))</f>
        <v/>
      </c>
      <c r="CE100" s="96" t="str">
        <f aca="false">IF($BR100&lt;&gt;Constants!$B$8,"",IF(AND(NOT($AL100),NOT($AT100),$AJ100,$AK100,$AR100,$AS100),"",$AI100))</f>
        <v/>
      </c>
      <c r="CF100" s="92" t="str">
        <f aca="false">IF(ISBLANK($C100),"",IF($BR100&lt;&gt;Constants!$B$8,$BR100,IF(ISNUMBER($CE100),RANK($CE100,$CE$9:$CE$508,1),COUNT($CE$9:$CE$508)+1)))</f>
        <v/>
      </c>
      <c r="CG100" s="92" t="str">
        <f aca="false">IF(ISBLANK($C100),"",IF($BR100&lt;&gt;Constants!$B$8,$BR100,COUNTIFS($BX$9:$BX$508,"&lt;"&amp;$BX100)+COUNTIFS($BX$9:$BX$508,$BX100,$BZ$9:$BZ$508,"&lt;"&amp;$BZ100)+COUNTIFS($BX$9:$BX$508,$BX100,$BZ$9:$BZ$508,$BZ100,$CB$9:$CB$508,"&lt;"&amp;$CB100)+COUNTIFS($BX$9:$BX$508,$BX100,$BZ$9:$BZ$508,$BZ100,$CB$9:$CB$508,$CB100,$CD$9:$CD$508,"&lt;"&amp;$CD100)+COUNTIFS($BX$9:$BX$508,$BX100,$BZ$9:$BZ$508,$BZ100,$CB$9:$CB$508,$CB100,$CD$9:$CD$508,$CD100,$CF$9:$CF$508,"&lt;"&amp;$CF100)+1))</f>
        <v/>
      </c>
      <c r="CH100" s="92" t="str">
        <f aca="false">IF(ISBLANK($C100),"",IF($BR100&lt;&gt;Constants!$B$8,$BR100,$BX100-$CG100))</f>
        <v/>
      </c>
      <c r="CI100" s="98"/>
      <c r="CJ100" s="99"/>
      <c r="CK100" s="100" t="str">
        <f aca="false">IF(ISBLANK($C100),"",IF($BR100=Constants!$B$12,$BQ100,""))</f>
        <v/>
      </c>
      <c r="CL100" s="99" t="str">
        <f aca="false">IF(ISBLANK($C100),"",IF($BR100&lt;&gt;Constants!$B$8,"",IF($BI100="-&gt;",2,1)))</f>
        <v/>
      </c>
      <c r="CM100" s="101" t="str">
        <f aca="false">IF(ISBLANK($C100),"",IF($BR100&lt;&gt;Constants!$B$8,"",IF($BI100="-&gt;",$BK100,$BC100)))</f>
        <v/>
      </c>
      <c r="CN100" s="101" t="str">
        <f aca="false">IF(ISBLANK($C100),"",IF($BR100&lt;&gt;Constants!$B$8,"",IF($BI100="-&gt;",$BL100,$BD100)))</f>
        <v/>
      </c>
      <c r="CO100" s="101" t="str">
        <f aca="false">IF(ISBLANK($C100),"",IF($BR100&lt;&gt;Constants!$B$8,"",IF($BI100="-&gt;",$BM100+$BN100,$BE100+$BF100)+$BV100))</f>
        <v/>
      </c>
      <c r="CP100" s="101" t="str">
        <f aca="false">IF(ISBLANK($C100),"",IF($BR100&lt;&gt;Constants!$B$8,"",IF($BI100="-&gt;",$BO100,$BG100)+$BU100))</f>
        <v/>
      </c>
      <c r="CQ100" s="102" t="str">
        <f aca="false">IF(ISBLANK($C100),"",IF($BR100&lt;&gt;Constants!$B$8,$BR100,$BW100))</f>
        <v/>
      </c>
      <c r="CR100" s="103" t="str">
        <f aca="false">IF(ISBLANK($C100),"",$BS100)</f>
        <v/>
      </c>
      <c r="CS100" s="104" t="str">
        <f aca="false">IF(ISBLANK($C100),"",$CH100)</f>
        <v/>
      </c>
      <c r="CT100" s="104" t="str">
        <f aca="false">IF(ISBLANK($C100),"",$CG100)</f>
        <v/>
      </c>
      <c r="CU100" s="105" t="str">
        <f aca="false">IF(ISBLANK($C100),"",IFERROR(_xlfn.SWITCH($CT100,Constants!$B$11,COUNTA($C$9:$C$508)+2,Constants!$B$10,COUNTA($C$9:$C$508)+1,Constants!$B$9,COUNTA($C$9:$C$508)),$CT100))</f>
        <v/>
      </c>
      <c r="CV100" s="9"/>
      <c r="CW100" s="106" t="n">
        <f aca="false">IF(OR(ISNUMBER($CT100),$CT100=Constants!$B$11,$CT100=Constants!$B$9,$CT100=Constants!$B$10),1,0)</f>
        <v>0</v>
      </c>
      <c r="CX100" s="106" t="n">
        <v>92</v>
      </c>
      <c r="CY100" s="106" t="str">
        <f aca="false">IF(ISBLANK($C100),"",IF(ISNUMBER($CU100),$CU100+ROW($B100)/1000,""))</f>
        <v/>
      </c>
      <c r="CZ100" s="106" t="str">
        <f aca="false">IF(ISNUMBER($CY100),RANK($CY100,$CY$9:$CY$508,1),"")</f>
        <v/>
      </c>
      <c r="DA100" s="106" t="str">
        <f aca="false">IF(ISBLANK($C100),"",$B100)</f>
        <v/>
      </c>
      <c r="DB100" s="106" t="str">
        <f aca="false">IF(ISBLANK($C100),"",$C100)</f>
        <v/>
      </c>
      <c r="DC100" s="106" t="str">
        <f aca="false">IF(ISBLANK($C100),"",$D100)</f>
        <v/>
      </c>
      <c r="DD100" s="107" t="str">
        <f aca="false">$CR100</f>
        <v/>
      </c>
      <c r="DE100" s="108" t="str">
        <f aca="false">$CQ100</f>
        <v/>
      </c>
      <c r="DF100" s="106" t="str">
        <f aca="false">IF(ISBLANK($C100),"",$CT100)</f>
        <v/>
      </c>
      <c r="DG100" s="109" t="str">
        <f aca="false">IF($CX100&gt;$CW$8,"",VLOOKUP($CX100,$CZ$9:$DF$508,7,FALSE()))</f>
        <v/>
      </c>
      <c r="DH100" s="110" t="str">
        <f aca="false">IF($CX100&gt;$CW$8,"",VLOOKUP($CX100,$CZ$9:$DF$508,2,FALSE()))</f>
        <v/>
      </c>
      <c r="DI100" s="110" t="str">
        <f aca="false">IF($CX100&gt;$CW$8,"",VLOOKUP($CX100,$CZ$9:$DF$508,3,FALSE()))</f>
        <v/>
      </c>
      <c r="DJ100" s="110" t="str">
        <f aca="false">IF($CX100&gt;$CW$8,"",VLOOKUP($CX100,$CZ$9:$DF$508,4,FALSE()))</f>
        <v/>
      </c>
      <c r="DK100" s="110" t="str">
        <f aca="false">IF($CX100&gt;$CW$8,"",VLOOKUP($CX100,$CZ$9:$DF$508,5,FALSE()))</f>
        <v/>
      </c>
      <c r="DL100" s="111" t="str">
        <f aca="false">IF($CX100&gt;$CW$8,"",VLOOKUP($CX100,$CZ$9:$DF$508,6,FALSE()))</f>
        <v/>
      </c>
      <c r="DM100" s="75"/>
    </row>
    <row r="101" customFormat="false" ht="15.75" hidden="false" customHeight="false" outlineLevel="0" collapsed="false">
      <c r="A101" s="9"/>
      <c r="B101" s="77"/>
      <c r="C101" s="78"/>
      <c r="D101" s="167"/>
      <c r="E101" s="175"/>
      <c r="F101" s="169"/>
      <c r="G101" s="170"/>
      <c r="H101" s="170"/>
      <c r="I101" s="176"/>
      <c r="J101" s="173"/>
      <c r="K101" s="85"/>
      <c r="L101" s="86"/>
      <c r="M101" s="87"/>
      <c r="N101" s="173"/>
      <c r="O101" s="173"/>
      <c r="P101" s="175"/>
      <c r="Q101" s="173"/>
      <c r="R101" s="173"/>
      <c r="S101" s="85"/>
      <c r="T101" s="87"/>
      <c r="U101" s="87"/>
      <c r="V101" s="173"/>
      <c r="W101" s="173"/>
      <c r="X101" s="175"/>
      <c r="Y101" s="173"/>
      <c r="Z101" s="174"/>
      <c r="AA101" s="173"/>
      <c r="AB101" s="91"/>
      <c r="AC101" s="92"/>
      <c r="AD101" s="92"/>
      <c r="AE101" s="92"/>
      <c r="AF101" s="92" t="str">
        <f aca="false">IF(ISBLANK($C101),"",IF(E101=Constants!$B$3,TRUE(),IF(E101=Constants!$B$4,FALSE(),TRUE())))</f>
        <v/>
      </c>
      <c r="AG101" s="92" t="str">
        <f aca="false">IF(ISBLANK($C101),"",IF(F101=Constants!$B$3,TRUE(),IF(F101=Constants!$B$4,FALSE(),TRUE())))</f>
        <v/>
      </c>
      <c r="AH101" s="92" t="str">
        <f aca="false">IF(ISBLANK($C101),"",IF(G101=Constants!$B$3,TRUE(),IF(G101=Constants!$B$4,FALSE(),TRUE())))</f>
        <v/>
      </c>
      <c r="AI101" s="92" t="str">
        <f aca="false">IF(ISBLANK($C101),"",IF(AND(ISNUMBER(H101),H101&gt;=0),H101,Constants!$B$29))</f>
        <v/>
      </c>
      <c r="AJ101" s="92" t="str">
        <f aca="false">IF(ISBLANK($C101),"",IF(I101=Constants!$B$3,TRUE(),IF(I101=Constants!$B$4,FALSE(),TRUE())))</f>
        <v/>
      </c>
      <c r="AK101" s="92" t="str">
        <f aca="false">IF(ISBLANK($C101),"",IF(J101=Constants!$B$3,TRUE(),IF(J101=Constants!$B$4,FALSE(),TRUE())))</f>
        <v/>
      </c>
      <c r="AL101" s="92" t="str">
        <f aca="false">IF(ISBLANK($C101),"",IF(K101=Constants!$B$5,TRUE(),IF(K101=Constants!$B$6,FALSE(),COUNTA(L101:P101)&gt;0)))</f>
        <v/>
      </c>
      <c r="AM101" s="94" t="str">
        <f aca="false">IF(ISBLANK($C101),"",IF(ISNUMBER(L101),IF(L101&gt;=0,L101,""),""))</f>
        <v/>
      </c>
      <c r="AN101" s="93" t="str">
        <f aca="false">IF(ISBLANK($C101),"",IF(ISNUMBER(M101),IF(M101&gt;=0,M101,""),""))</f>
        <v/>
      </c>
      <c r="AO101" s="93" t="str">
        <f aca="false">IF(ISBLANK($C101),"",IF(N101=Constants!$B$3,TRUE(),IF(N101=Constants!$B$4,FALSE(),TRUE())))</f>
        <v/>
      </c>
      <c r="AP101" s="92" t="str">
        <f aca="false">IF(ISBLANK($C101),"",IF(ISNUMBER(O101),IF(O101&gt;=0,O101,""),""))</f>
        <v/>
      </c>
      <c r="AQ101" s="92" t="str">
        <f aca="false">IF(ISBLANK($C101),"",IF(P101=Constants!$B$3,TRUE(),IF(P101=Constants!$B$4,FALSE(),FALSE())))</f>
        <v/>
      </c>
      <c r="AR101" s="92" t="str">
        <f aca="false">IF(ISBLANK($C101),"",IF(Q101=Constants!$B$3,TRUE(),IF(Q101=Constants!$B$4,FALSE(),TRUE())))</f>
        <v/>
      </c>
      <c r="AS101" s="92" t="str">
        <f aca="false">IF(ISBLANK($C101),"",IF(R101=Constants!$B$3,TRUE(),IF(R101=Constants!$B$4,FALSE(),TRUE())))</f>
        <v/>
      </c>
      <c r="AT101" s="92" t="str">
        <f aca="false">IF(ISBLANK($C101),"",IF(S101=Constants!$B$5,TRUE(),IF(S101=Constants!$B$6,FALSE(),COUNTA(T101:X101)&gt;0)))</f>
        <v/>
      </c>
      <c r="AU101" s="94" t="str">
        <f aca="false">IF(ISBLANK($C101),"",IF(ISNUMBER(T101),IF(T101&gt;=0,T101,""),""))</f>
        <v/>
      </c>
      <c r="AV101" s="93" t="str">
        <f aca="false">IF(ISBLANK($C101),"",IF(ISNUMBER(U101),IF(U101&gt;=0,U101,""),""))</f>
        <v/>
      </c>
      <c r="AW101" s="93" t="str">
        <f aca="false">IF(ISBLANK($C101),"",IF(V101=Constants!$B$3,TRUE(),IF(V101=Constants!$B$4,FALSE(),TRUE())))</f>
        <v/>
      </c>
      <c r="AX101" s="92" t="str">
        <f aca="false">IF(ISBLANK($C101),"",IF(ISNUMBER(W101),IF(W101&gt;=0,W101,""),""))</f>
        <v/>
      </c>
      <c r="AY101" s="92" t="str">
        <f aca="false">IF(ISBLANK($C101),"",IF(X101=Constants!$B$3,TRUE(),IF(X101=Constants!$B$4,FALSE(),FALSE())))</f>
        <v/>
      </c>
      <c r="AZ101" s="92" t="str">
        <f aca="false">IF(ISBLANK($C101),"",MIN(Constants!$B$31,MAX(0,IF(ISNUMBER(Y101),Y101*60,0)+IF(ISNUMBER(Z101),Z101,0))))</f>
        <v/>
      </c>
      <c r="BA101" s="92" t="str">
        <f aca="false">IF(ISBLANK($C101),"",IF(AA101=Constants!$B$3,TRUE(),IF(AA101=Constants!$B$4,FALSE(),FALSE())))</f>
        <v/>
      </c>
      <c r="BB101" s="91" t="str">
        <f aca="false">IF(ISBLANK($C101),"",AND($AL101,OR($AM101="",$AN101="",AND($AO101,$AP101=""))))</f>
        <v/>
      </c>
      <c r="BC101" s="93" t="str">
        <f aca="false">IF($BR101&lt;&gt;Constants!$B$8,"",IF($AL101,Constants!$B$21*$AN101+Constants!$B$22*IF($AO101,$AP101,Constants!$B$23),Constants!$B$24))</f>
        <v/>
      </c>
      <c r="BD101" s="96" t="str">
        <f aca="false">IF($BR101&lt;&gt;Constants!$B$8,"",Constants!$B$25*ABS($AD$9-IF($AL101,$AM101,0)))</f>
        <v/>
      </c>
      <c r="BE101" s="96" t="str">
        <f aca="false">IF($BR101&lt;&gt;Constants!$B$8,"",IF(AND($AL101,$AQ101,$AO101),Constants!$B$27,0))</f>
        <v/>
      </c>
      <c r="BF101" s="96" t="str">
        <f aca="false">IF($BR101&lt;&gt;Constants!$B$8,"",IF($AL101,($AI101-Constants!$B$29)*Constants!$B$28,0))</f>
        <v/>
      </c>
      <c r="BG101" s="96" t="str">
        <f aca="false">IF($BR101&lt;&gt;Constants!$B$8,"",IF($AK101,0,Constants!$B$15)+IF($AJ101,0,Constants!$B$16)+IF($AH101,0,Constants!$B$17))</f>
        <v/>
      </c>
      <c r="BH101" s="97" t="str">
        <f aca="false">IF($BR101&lt;&gt;Constants!$B$8,"",Constants!$B$20+SUM($BC101:$BG101))</f>
        <v/>
      </c>
      <c r="BI101" s="92" t="str">
        <f aca="false">IF($BR101&lt;&gt;Constants!$B$8,"",IF(OR($BP101&lt;$BH101,AND($BP101=$BH101,OR($BK101&lt;$BC101,AND($BK101=$BC101,OR($BL101&lt;$BD101,AND($BL101=$BD101,$AT101,$AL101,$AV101&lt;$AN101)))))),"-&gt;","&lt;-"))</f>
        <v/>
      </c>
      <c r="BJ101" s="91" t="str">
        <f aca="false">IF(ISBLANK($C101),"",AND($AT101,OR($AU101="",$AV101="",AND($AW101,$AX101=""))))</f>
        <v/>
      </c>
      <c r="BK101" s="93" t="str">
        <f aca="false">IF($BR101&lt;&gt;Constants!$B$8,"",IF($AT101,Constants!$B$21*$AV101+Constants!$B$22*IF($AW101,$AX101,Constants!$B$23),Constants!$B$24))</f>
        <v/>
      </c>
      <c r="BL101" s="96" t="str">
        <f aca="false">IF($BR101&lt;&gt;Constants!$B$8,"",Constants!$B$25*ABS($AD$9-IF($AT101,$AU101,0)))</f>
        <v/>
      </c>
      <c r="BM101" s="96" t="str">
        <f aca="false">IF($BR101&lt;&gt;Constants!$B$8,"",IF(AND($AT101,$AY101,$AW101),Constants!$B$27,0))</f>
        <v/>
      </c>
      <c r="BN101" s="96" t="str">
        <f aca="false">IF($BR101&lt;&gt;Constants!$B$8,"",IF($AT101,($AI101-Constants!$B$29)*Constants!$B$28,0))</f>
        <v/>
      </c>
      <c r="BO101" s="96" t="str">
        <f aca="false">IF($BR101&lt;&gt;Constants!$B$8,"",IF($AS101,0,Constants!$B$15)+IF($AR101,0,Constants!$B$16)+IF($AH101,0,Constants!$B$17))</f>
        <v/>
      </c>
      <c r="BP101" s="97" t="str">
        <f aca="false">IF($BR101&lt;&gt;Constants!$B$8,"",Constants!$B$20+SUM($BK101:$BO101))</f>
        <v/>
      </c>
      <c r="BQ101" s="92" t="str">
        <f aca="false">IF(ISBLANK($C101),"",IF(ISBLANK($D$7),$BQ$5,IF(NOT(ISNUMBER($D$7)),$BQ$6,"")))</f>
        <v/>
      </c>
      <c r="BR101" s="92" t="str">
        <f aca="false">IF(ISBLANK($C101),"",IF($BA101,Constants!$B$11,IF(COUNTA($E101:$AA101)=0,Constants!$B$10,IF(NOT($AG101),Constants!$B$9,IF(OR($BQ101&lt;&gt;"",$BB101,$BJ101),Constants!$B$12,Constants!$B$8)))))</f>
        <v/>
      </c>
      <c r="BS101" s="92" t="str">
        <f aca="false">IF(ISBLANK($C101),"",IF($BR101&lt;&gt;Constants!$B$8,$BR101,Constants!$B$13))</f>
        <v/>
      </c>
      <c r="BT101" s="96" t="str">
        <f aca="false">IF($BR101&lt;&gt;Constants!$B$8,"",IF($BI101="-&gt;",$BP101,$BH101))</f>
        <v/>
      </c>
      <c r="BU101" s="96" t="str">
        <f aca="false">IF($BR101&lt;&gt;Constants!$B$8,"",IF($AF101,0,Constants!$B$18))</f>
        <v/>
      </c>
      <c r="BV101" s="96" t="str">
        <f aca="false">IF($BR101&lt;&gt;Constants!$B$8,"",((Constants!$B$31-$AZ101)-Constants!$B$31)/Constants!$B$32)</f>
        <v/>
      </c>
      <c r="BW101" s="96" t="str">
        <f aca="false">IF(ISBLANK($C101),"",IF($BR101&lt;&gt;Constants!$B$8,$BR101,SUM($BT101:$BV101)))</f>
        <v/>
      </c>
      <c r="BX101" s="92" t="str">
        <f aca="false">IF(ISBLANK($C101),"",IF($BR101&lt;&gt;Constants!$B$8,$BR101,RANK($BW101,$BW$9:$BW$508,1)))</f>
        <v/>
      </c>
      <c r="BY101" s="96" t="str">
        <f aca="false">IF($BR101&lt;&gt;Constants!$B$8,"",IF($BI101="-&gt;",$BK101,$BC101))</f>
        <v/>
      </c>
      <c r="BZ101" s="92" t="str">
        <f aca="false">IF(ISBLANK($C101),"",IF($BR101&lt;&gt;Constants!$B$8,$BR101,IF(ISNUMBER($BY101),RANK($BY101,$BY$9:$BY$508,1),COUNT($BY$9:$BY$508)+1)))</f>
        <v/>
      </c>
      <c r="CA101" s="96" t="str">
        <f aca="false">IF($BR101&lt;&gt;Constants!$B$8,"",IF($BI101="-&gt;",$BL101,$BD101))</f>
        <v/>
      </c>
      <c r="CB101" s="92" t="str">
        <f aca="false">IF(ISBLANK($C101),"",IF($BR101&lt;&gt;Constants!$B$8,$BR101,IF(ISNUMBER($CA101),RANK($CA101,$CA$9:$CA$508,1),COUNT($CA$9:$CA$508)+1)))</f>
        <v/>
      </c>
      <c r="CC101" s="96" t="str">
        <f aca="false">IF($BR101&lt;&gt;Constants!$B$8,"",IF($BI101="-&gt;",IF($AT101,$AV101,""),IF($AL101,$AN101,"")))</f>
        <v/>
      </c>
      <c r="CD101" s="92" t="str">
        <f aca="false">IF(ISBLANK($C101),"",IF($BR101&lt;&gt;Constants!$B$8,$BR101,IF(ISNUMBER($CC101),RANK($CC101,$CC$9:$CC$508,1),COUNT($CC$9:$CC$508)+1)))</f>
        <v/>
      </c>
      <c r="CE101" s="96" t="str">
        <f aca="false">IF($BR101&lt;&gt;Constants!$B$8,"",IF(AND(NOT($AL101),NOT($AT101),$AJ101,$AK101,$AR101,$AS101),"",$AI101))</f>
        <v/>
      </c>
      <c r="CF101" s="92" t="str">
        <f aca="false">IF(ISBLANK($C101),"",IF($BR101&lt;&gt;Constants!$B$8,$BR101,IF(ISNUMBER($CE101),RANK($CE101,$CE$9:$CE$508,1),COUNT($CE$9:$CE$508)+1)))</f>
        <v/>
      </c>
      <c r="CG101" s="92" t="str">
        <f aca="false">IF(ISBLANK($C101),"",IF($BR101&lt;&gt;Constants!$B$8,$BR101,COUNTIFS($BX$9:$BX$508,"&lt;"&amp;$BX101)+COUNTIFS($BX$9:$BX$508,$BX101,$BZ$9:$BZ$508,"&lt;"&amp;$BZ101)+COUNTIFS($BX$9:$BX$508,$BX101,$BZ$9:$BZ$508,$BZ101,$CB$9:$CB$508,"&lt;"&amp;$CB101)+COUNTIFS($BX$9:$BX$508,$BX101,$BZ$9:$BZ$508,$BZ101,$CB$9:$CB$508,$CB101,$CD$9:$CD$508,"&lt;"&amp;$CD101)+COUNTIFS($BX$9:$BX$508,$BX101,$BZ$9:$BZ$508,$BZ101,$CB$9:$CB$508,$CB101,$CD$9:$CD$508,$CD101,$CF$9:$CF$508,"&lt;"&amp;$CF101)+1))</f>
        <v/>
      </c>
      <c r="CH101" s="92" t="str">
        <f aca="false">IF(ISBLANK($C101),"",IF($BR101&lt;&gt;Constants!$B$8,$BR101,$BX101-$CG101))</f>
        <v/>
      </c>
      <c r="CI101" s="98"/>
      <c r="CJ101" s="99"/>
      <c r="CK101" s="100" t="str">
        <f aca="false">IF(ISBLANK($C101),"",IF($BR101=Constants!$B$12,$BQ101,""))</f>
        <v/>
      </c>
      <c r="CL101" s="99" t="str">
        <f aca="false">IF(ISBLANK($C101),"",IF($BR101&lt;&gt;Constants!$B$8,"",IF($BI101="-&gt;",2,1)))</f>
        <v/>
      </c>
      <c r="CM101" s="101" t="str">
        <f aca="false">IF(ISBLANK($C101),"",IF($BR101&lt;&gt;Constants!$B$8,"",IF($BI101="-&gt;",$BK101,$BC101)))</f>
        <v/>
      </c>
      <c r="CN101" s="101" t="str">
        <f aca="false">IF(ISBLANK($C101),"",IF($BR101&lt;&gt;Constants!$B$8,"",IF($BI101="-&gt;",$BL101,$BD101)))</f>
        <v/>
      </c>
      <c r="CO101" s="101" t="str">
        <f aca="false">IF(ISBLANK($C101),"",IF($BR101&lt;&gt;Constants!$B$8,"",IF($BI101="-&gt;",$BM101+$BN101,$BE101+$BF101)+$BV101))</f>
        <v/>
      </c>
      <c r="CP101" s="101" t="str">
        <f aca="false">IF(ISBLANK($C101),"",IF($BR101&lt;&gt;Constants!$B$8,"",IF($BI101="-&gt;",$BO101,$BG101)+$BU101))</f>
        <v/>
      </c>
      <c r="CQ101" s="102" t="str">
        <f aca="false">IF(ISBLANK($C101),"",IF($BR101&lt;&gt;Constants!$B$8,$BR101,$BW101))</f>
        <v/>
      </c>
      <c r="CR101" s="103" t="str">
        <f aca="false">IF(ISBLANK($C101),"",$BS101)</f>
        <v/>
      </c>
      <c r="CS101" s="104" t="str">
        <f aca="false">IF(ISBLANK($C101),"",$CH101)</f>
        <v/>
      </c>
      <c r="CT101" s="104" t="str">
        <f aca="false">IF(ISBLANK($C101),"",$CG101)</f>
        <v/>
      </c>
      <c r="CU101" s="105" t="str">
        <f aca="false">IF(ISBLANK($C101),"",IFERROR(_xlfn.SWITCH($CT101,Constants!$B$11,COUNTA($C$9:$C$508)+2,Constants!$B$10,COUNTA($C$9:$C$508)+1,Constants!$B$9,COUNTA($C$9:$C$508)),$CT101))</f>
        <v/>
      </c>
      <c r="CV101" s="9"/>
      <c r="CW101" s="106" t="n">
        <f aca="false">IF(OR(ISNUMBER($CT101),$CT101=Constants!$B$11,$CT101=Constants!$B$9,$CT101=Constants!$B$10),1,0)</f>
        <v>0</v>
      </c>
      <c r="CX101" s="106" t="n">
        <v>93</v>
      </c>
      <c r="CY101" s="106" t="str">
        <f aca="false">IF(ISBLANK($C101),"",IF(ISNUMBER($CU101),$CU101+ROW($B101)/1000,""))</f>
        <v/>
      </c>
      <c r="CZ101" s="106" t="str">
        <f aca="false">IF(ISNUMBER($CY101),RANK($CY101,$CY$9:$CY$508,1),"")</f>
        <v/>
      </c>
      <c r="DA101" s="106" t="str">
        <f aca="false">IF(ISBLANK($C101),"",$B101)</f>
        <v/>
      </c>
      <c r="DB101" s="106" t="str">
        <f aca="false">IF(ISBLANK($C101),"",$C101)</f>
        <v/>
      </c>
      <c r="DC101" s="106" t="str">
        <f aca="false">IF(ISBLANK($C101),"",$D101)</f>
        <v/>
      </c>
      <c r="DD101" s="107" t="str">
        <f aca="false">$CR101</f>
        <v/>
      </c>
      <c r="DE101" s="108" t="str">
        <f aca="false">$CQ101</f>
        <v/>
      </c>
      <c r="DF101" s="106" t="str">
        <f aca="false">IF(ISBLANK($C101),"",$CT101)</f>
        <v/>
      </c>
      <c r="DG101" s="109" t="str">
        <f aca="false">IF($CX101&gt;$CW$8,"",VLOOKUP($CX101,$CZ$9:$DF$508,7,FALSE()))</f>
        <v/>
      </c>
      <c r="DH101" s="110" t="str">
        <f aca="false">IF($CX101&gt;$CW$8,"",VLOOKUP($CX101,$CZ$9:$DF$508,2,FALSE()))</f>
        <v/>
      </c>
      <c r="DI101" s="110" t="str">
        <f aca="false">IF($CX101&gt;$CW$8,"",VLOOKUP($CX101,$CZ$9:$DF$508,3,FALSE()))</f>
        <v/>
      </c>
      <c r="DJ101" s="110" t="str">
        <f aca="false">IF($CX101&gt;$CW$8,"",VLOOKUP($CX101,$CZ$9:$DF$508,4,FALSE()))</f>
        <v/>
      </c>
      <c r="DK101" s="110" t="str">
        <f aca="false">IF($CX101&gt;$CW$8,"",VLOOKUP($CX101,$CZ$9:$DF$508,5,FALSE()))</f>
        <v/>
      </c>
      <c r="DL101" s="111" t="str">
        <f aca="false">IF($CX101&gt;$CW$8,"",VLOOKUP($CX101,$CZ$9:$DF$508,6,FALSE()))</f>
        <v/>
      </c>
      <c r="DM101" s="75"/>
    </row>
    <row r="102" customFormat="false" ht="15.75" hidden="false" customHeight="false" outlineLevel="0" collapsed="false">
      <c r="A102" s="9"/>
      <c r="B102" s="157"/>
      <c r="C102" s="158"/>
      <c r="D102" s="159"/>
      <c r="E102" s="177"/>
      <c r="F102" s="161"/>
      <c r="G102" s="162"/>
      <c r="H102" s="162"/>
      <c r="I102" s="178"/>
      <c r="J102" s="165"/>
      <c r="K102" s="126"/>
      <c r="L102" s="127"/>
      <c r="M102" s="128"/>
      <c r="N102" s="165"/>
      <c r="O102" s="165"/>
      <c r="P102" s="177"/>
      <c r="Q102" s="165"/>
      <c r="R102" s="165"/>
      <c r="S102" s="126"/>
      <c r="T102" s="128"/>
      <c r="U102" s="128"/>
      <c r="V102" s="165"/>
      <c r="W102" s="165"/>
      <c r="X102" s="177"/>
      <c r="Y102" s="165"/>
      <c r="Z102" s="166"/>
      <c r="AA102" s="165"/>
      <c r="AB102" s="132"/>
      <c r="AC102" s="133"/>
      <c r="AD102" s="133"/>
      <c r="AE102" s="133"/>
      <c r="AF102" s="133" t="str">
        <f aca="false">IF(ISBLANK($C102),"",IF(E102=Constants!$B$3,TRUE(),IF(E102=Constants!$B$4,FALSE(),TRUE())))</f>
        <v/>
      </c>
      <c r="AG102" s="133" t="str">
        <f aca="false">IF(ISBLANK($C102),"",IF(F102=Constants!$B$3,TRUE(),IF(F102=Constants!$B$4,FALSE(),TRUE())))</f>
        <v/>
      </c>
      <c r="AH102" s="133" t="str">
        <f aca="false">IF(ISBLANK($C102),"",IF(G102=Constants!$B$3,TRUE(),IF(G102=Constants!$B$4,FALSE(),TRUE())))</f>
        <v/>
      </c>
      <c r="AI102" s="133" t="str">
        <f aca="false">IF(ISBLANK($C102),"",IF(AND(ISNUMBER(H102),H102&gt;=0),H102,Constants!$B$29))</f>
        <v/>
      </c>
      <c r="AJ102" s="133" t="str">
        <f aca="false">IF(ISBLANK($C102),"",IF(I102=Constants!$B$3,TRUE(),IF(I102=Constants!$B$4,FALSE(),TRUE())))</f>
        <v/>
      </c>
      <c r="AK102" s="133" t="str">
        <f aca="false">IF(ISBLANK($C102),"",IF(J102=Constants!$B$3,TRUE(),IF(J102=Constants!$B$4,FALSE(),TRUE())))</f>
        <v/>
      </c>
      <c r="AL102" s="133" t="str">
        <f aca="false">IF(ISBLANK($C102),"",IF(K102=Constants!$B$5,TRUE(),IF(K102=Constants!$B$6,FALSE(),COUNTA(L102:P102)&gt;0)))</f>
        <v/>
      </c>
      <c r="AM102" s="134" t="str">
        <f aca="false">IF(ISBLANK($C102),"",IF(ISNUMBER(L102),IF(L102&gt;=0,L102,""),""))</f>
        <v/>
      </c>
      <c r="AN102" s="135" t="str">
        <f aca="false">IF(ISBLANK($C102),"",IF(ISNUMBER(M102),IF(M102&gt;=0,M102,""),""))</f>
        <v/>
      </c>
      <c r="AO102" s="135" t="str">
        <f aca="false">IF(ISBLANK($C102),"",IF(N102=Constants!$B$3,TRUE(),IF(N102=Constants!$B$4,FALSE(),TRUE())))</f>
        <v/>
      </c>
      <c r="AP102" s="133" t="str">
        <f aca="false">IF(ISBLANK($C102),"",IF(ISNUMBER(O102),IF(O102&gt;=0,O102,""),""))</f>
        <v/>
      </c>
      <c r="AQ102" s="133" t="str">
        <f aca="false">IF(ISBLANK($C102),"",IF(P102=Constants!$B$3,TRUE(),IF(P102=Constants!$B$4,FALSE(),FALSE())))</f>
        <v/>
      </c>
      <c r="AR102" s="133" t="str">
        <f aca="false">IF(ISBLANK($C102),"",IF(Q102=Constants!$B$3,TRUE(),IF(Q102=Constants!$B$4,FALSE(),TRUE())))</f>
        <v/>
      </c>
      <c r="AS102" s="133" t="str">
        <f aca="false">IF(ISBLANK($C102),"",IF(R102=Constants!$B$3,TRUE(),IF(R102=Constants!$B$4,FALSE(),TRUE())))</f>
        <v/>
      </c>
      <c r="AT102" s="133" t="str">
        <f aca="false">IF(ISBLANK($C102),"",IF(S102=Constants!$B$5,TRUE(),IF(S102=Constants!$B$6,FALSE(),COUNTA(T102:X102)&gt;0)))</f>
        <v/>
      </c>
      <c r="AU102" s="134" t="str">
        <f aca="false">IF(ISBLANK($C102),"",IF(ISNUMBER(T102),IF(T102&gt;=0,T102,""),""))</f>
        <v/>
      </c>
      <c r="AV102" s="135" t="str">
        <f aca="false">IF(ISBLANK($C102),"",IF(ISNUMBER(U102),IF(U102&gt;=0,U102,""),""))</f>
        <v/>
      </c>
      <c r="AW102" s="135" t="str">
        <f aca="false">IF(ISBLANK($C102),"",IF(V102=Constants!$B$3,TRUE(),IF(V102=Constants!$B$4,FALSE(),TRUE())))</f>
        <v/>
      </c>
      <c r="AX102" s="133" t="str">
        <f aca="false">IF(ISBLANK($C102),"",IF(ISNUMBER(W102),IF(W102&gt;=0,W102,""),""))</f>
        <v/>
      </c>
      <c r="AY102" s="133" t="str">
        <f aca="false">IF(ISBLANK($C102),"",IF(X102=Constants!$B$3,TRUE(),IF(X102=Constants!$B$4,FALSE(),FALSE())))</f>
        <v/>
      </c>
      <c r="AZ102" s="133" t="str">
        <f aca="false">IF(ISBLANK($C102),"",MIN(Constants!$B$31,MAX(0,IF(ISNUMBER(Y102),Y102*60,0)+IF(ISNUMBER(Z102),Z102,0))))</f>
        <v/>
      </c>
      <c r="BA102" s="133" t="str">
        <f aca="false">IF(ISBLANK($C102),"",IF(AA102=Constants!$B$3,TRUE(),IF(AA102=Constants!$B$4,FALSE(),FALSE())))</f>
        <v/>
      </c>
      <c r="BB102" s="132" t="str">
        <f aca="false">IF(ISBLANK($C102),"",AND($AL102,OR($AM102="",$AN102="",AND($AO102,$AP102=""))))</f>
        <v/>
      </c>
      <c r="BC102" s="135" t="str">
        <f aca="false">IF($BR102&lt;&gt;Constants!$B$8,"",IF($AL102,Constants!$B$21*$AN102+Constants!$B$22*IF($AO102,$AP102,Constants!$B$23),Constants!$B$24))</f>
        <v/>
      </c>
      <c r="BD102" s="136" t="str">
        <f aca="false">IF($BR102&lt;&gt;Constants!$B$8,"",Constants!$B$25*ABS($AD$9-IF($AL102,$AM102,0)))</f>
        <v/>
      </c>
      <c r="BE102" s="136" t="str">
        <f aca="false">IF($BR102&lt;&gt;Constants!$B$8,"",IF(AND($AL102,$AQ102,$AO102),Constants!$B$27,0))</f>
        <v/>
      </c>
      <c r="BF102" s="136" t="str">
        <f aca="false">IF($BR102&lt;&gt;Constants!$B$8,"",IF($AL102,($AI102-Constants!$B$29)*Constants!$B$28,0))</f>
        <v/>
      </c>
      <c r="BG102" s="136" t="str">
        <f aca="false">IF($BR102&lt;&gt;Constants!$B$8,"",IF($AK102,0,Constants!$B$15)+IF($AJ102,0,Constants!$B$16)+IF($AH102,0,Constants!$B$17))</f>
        <v/>
      </c>
      <c r="BH102" s="137" t="str">
        <f aca="false">IF($BR102&lt;&gt;Constants!$B$8,"",Constants!$B$20+SUM($BC102:$BG102))</f>
        <v/>
      </c>
      <c r="BI102" s="133" t="str">
        <f aca="false">IF($BR102&lt;&gt;Constants!$B$8,"",IF(OR($BP102&lt;$BH102,AND($BP102=$BH102,OR($BK102&lt;$BC102,AND($BK102=$BC102,OR($BL102&lt;$BD102,AND($BL102=$BD102,$AT102,$AL102,$AV102&lt;$AN102)))))),"-&gt;","&lt;-"))</f>
        <v/>
      </c>
      <c r="BJ102" s="132" t="str">
        <f aca="false">IF(ISBLANK($C102),"",AND($AT102,OR($AU102="",$AV102="",AND($AW102,$AX102=""))))</f>
        <v/>
      </c>
      <c r="BK102" s="135" t="str">
        <f aca="false">IF($BR102&lt;&gt;Constants!$B$8,"",IF($AT102,Constants!$B$21*$AV102+Constants!$B$22*IF($AW102,$AX102,Constants!$B$23),Constants!$B$24))</f>
        <v/>
      </c>
      <c r="BL102" s="136" t="str">
        <f aca="false">IF($BR102&lt;&gt;Constants!$B$8,"",Constants!$B$25*ABS($AD$9-IF($AT102,$AU102,0)))</f>
        <v/>
      </c>
      <c r="BM102" s="136" t="str">
        <f aca="false">IF($BR102&lt;&gt;Constants!$B$8,"",IF(AND($AT102,$AY102,$AW102),Constants!$B$27,0))</f>
        <v/>
      </c>
      <c r="BN102" s="136" t="str">
        <f aca="false">IF($BR102&lt;&gt;Constants!$B$8,"",IF($AT102,($AI102-Constants!$B$29)*Constants!$B$28,0))</f>
        <v/>
      </c>
      <c r="BO102" s="136" t="str">
        <f aca="false">IF($BR102&lt;&gt;Constants!$B$8,"",IF($AS102,0,Constants!$B$15)+IF($AR102,0,Constants!$B$16)+IF($AH102,0,Constants!$B$17))</f>
        <v/>
      </c>
      <c r="BP102" s="137" t="str">
        <f aca="false">IF($BR102&lt;&gt;Constants!$B$8,"",Constants!$B$20+SUM($BK102:$BO102))</f>
        <v/>
      </c>
      <c r="BQ102" s="133" t="str">
        <f aca="false">IF(ISBLANK($C102),"",IF(ISBLANK($D$7),$BQ$5,IF(NOT(ISNUMBER($D$7)),$BQ$6,"")))</f>
        <v/>
      </c>
      <c r="BR102" s="133" t="str">
        <f aca="false">IF(ISBLANK($C102),"",IF($BA102,Constants!$B$11,IF(COUNTA($E102:$AA102)=0,Constants!$B$10,IF(NOT($AG102),Constants!$B$9,IF(OR($BQ102&lt;&gt;"",$BB102,$BJ102),Constants!$B$12,Constants!$B$8)))))</f>
        <v/>
      </c>
      <c r="BS102" s="133" t="str">
        <f aca="false">IF(ISBLANK($C102),"",IF($BR102&lt;&gt;Constants!$B$8,$BR102,Constants!$B$13))</f>
        <v/>
      </c>
      <c r="BT102" s="136" t="str">
        <f aca="false">IF($BR102&lt;&gt;Constants!$B$8,"",IF($BI102="-&gt;",$BP102,$BH102))</f>
        <v/>
      </c>
      <c r="BU102" s="136" t="str">
        <f aca="false">IF($BR102&lt;&gt;Constants!$B$8,"",IF($AF102,0,Constants!$B$18))</f>
        <v/>
      </c>
      <c r="BV102" s="136" t="str">
        <f aca="false">IF($BR102&lt;&gt;Constants!$B$8,"",((Constants!$B$31-$AZ102)-Constants!$B$31)/Constants!$B$32)</f>
        <v/>
      </c>
      <c r="BW102" s="136" t="str">
        <f aca="false">IF(ISBLANK($C102),"",IF($BR102&lt;&gt;Constants!$B$8,$BR102,SUM($BT102:$BV102)))</f>
        <v/>
      </c>
      <c r="BX102" s="133" t="str">
        <f aca="false">IF(ISBLANK($C102),"",IF($BR102&lt;&gt;Constants!$B$8,$BR102,RANK($BW102,$BW$9:$BW$508,1)))</f>
        <v/>
      </c>
      <c r="BY102" s="136" t="str">
        <f aca="false">IF($BR102&lt;&gt;Constants!$B$8,"",IF($BI102="-&gt;",$BK102,$BC102))</f>
        <v/>
      </c>
      <c r="BZ102" s="133" t="str">
        <f aca="false">IF(ISBLANK($C102),"",IF($BR102&lt;&gt;Constants!$B$8,$BR102,IF(ISNUMBER($BY102),RANK($BY102,$BY$9:$BY$508,1),COUNT($BY$9:$BY$508)+1)))</f>
        <v/>
      </c>
      <c r="CA102" s="136" t="str">
        <f aca="false">IF($BR102&lt;&gt;Constants!$B$8,"",IF($BI102="-&gt;",$BL102,$BD102))</f>
        <v/>
      </c>
      <c r="CB102" s="133" t="str">
        <f aca="false">IF(ISBLANK($C102),"",IF($BR102&lt;&gt;Constants!$B$8,$BR102,IF(ISNUMBER($CA102),RANK($CA102,$CA$9:$CA$508,1),COUNT($CA$9:$CA$508)+1)))</f>
        <v/>
      </c>
      <c r="CC102" s="136" t="str">
        <f aca="false">IF($BR102&lt;&gt;Constants!$B$8,"",IF($BI102="-&gt;",IF($AT102,$AV102,""),IF($AL102,$AN102,"")))</f>
        <v/>
      </c>
      <c r="CD102" s="133" t="str">
        <f aca="false">IF(ISBLANK($C102),"",IF($BR102&lt;&gt;Constants!$B$8,$BR102,IF(ISNUMBER($CC102),RANK($CC102,$CC$9:$CC$508,1),COUNT($CC$9:$CC$508)+1)))</f>
        <v/>
      </c>
      <c r="CE102" s="136" t="str">
        <f aca="false">IF($BR102&lt;&gt;Constants!$B$8,"",IF(AND(NOT($AL102),NOT($AT102),$AJ102,$AK102,$AR102,$AS102),"",$AI102))</f>
        <v/>
      </c>
      <c r="CF102" s="133" t="str">
        <f aca="false">IF(ISBLANK($C102),"",IF($BR102&lt;&gt;Constants!$B$8,$BR102,IF(ISNUMBER($CE102),RANK($CE102,$CE$9:$CE$508,1),COUNT($CE$9:$CE$508)+1)))</f>
        <v/>
      </c>
      <c r="CG102" s="133" t="str">
        <f aca="false">IF(ISBLANK($C102),"",IF($BR102&lt;&gt;Constants!$B$8,$BR102,COUNTIFS($BX$9:$BX$508,"&lt;"&amp;$BX102)+COUNTIFS($BX$9:$BX$508,$BX102,$BZ$9:$BZ$508,"&lt;"&amp;$BZ102)+COUNTIFS($BX$9:$BX$508,$BX102,$BZ$9:$BZ$508,$BZ102,$CB$9:$CB$508,"&lt;"&amp;$CB102)+COUNTIFS($BX$9:$BX$508,$BX102,$BZ$9:$BZ$508,$BZ102,$CB$9:$CB$508,$CB102,$CD$9:$CD$508,"&lt;"&amp;$CD102)+COUNTIFS($BX$9:$BX$508,$BX102,$BZ$9:$BZ$508,$BZ102,$CB$9:$CB$508,$CB102,$CD$9:$CD$508,$CD102,$CF$9:$CF$508,"&lt;"&amp;$CF102)+1))</f>
        <v/>
      </c>
      <c r="CH102" s="133" t="str">
        <f aca="false">IF(ISBLANK($C102),"",IF($BR102&lt;&gt;Constants!$B$8,$BR102,$BX102-$CG102))</f>
        <v/>
      </c>
      <c r="CI102" s="138"/>
      <c r="CJ102" s="139"/>
      <c r="CK102" s="140" t="str">
        <f aca="false">IF(ISBLANK($C102),"",IF($BR102=Constants!$B$12,$BQ102,""))</f>
        <v/>
      </c>
      <c r="CL102" s="139" t="str">
        <f aca="false">IF(ISBLANK($C102),"",IF($BR102&lt;&gt;Constants!$B$8,"",IF($BI102="-&gt;",2,1)))</f>
        <v/>
      </c>
      <c r="CM102" s="141" t="str">
        <f aca="false">IF(ISBLANK($C102),"",IF($BR102&lt;&gt;Constants!$B$8,"",IF($BI102="-&gt;",$BK102,$BC102)))</f>
        <v/>
      </c>
      <c r="CN102" s="141" t="str">
        <f aca="false">IF(ISBLANK($C102),"",IF($BR102&lt;&gt;Constants!$B$8,"",IF($BI102="-&gt;",$BL102,$BD102)))</f>
        <v/>
      </c>
      <c r="CO102" s="141" t="str">
        <f aca="false">IF(ISBLANK($C102),"",IF($BR102&lt;&gt;Constants!$B$8,"",IF($BI102="-&gt;",$BM102+$BN102,$BE102+$BF102)+$BV102))</f>
        <v/>
      </c>
      <c r="CP102" s="141" t="str">
        <f aca="false">IF(ISBLANK($C102),"",IF($BR102&lt;&gt;Constants!$B$8,"",IF($BI102="-&gt;",$BO102,$BG102)+$BU102))</f>
        <v/>
      </c>
      <c r="CQ102" s="142" t="str">
        <f aca="false">IF(ISBLANK($C102),"",IF($BR102&lt;&gt;Constants!$B$8,$BR102,$BW102))</f>
        <v/>
      </c>
      <c r="CR102" s="143" t="str">
        <f aca="false">IF(ISBLANK($C102),"",$BS102)</f>
        <v/>
      </c>
      <c r="CS102" s="144" t="str">
        <f aca="false">IF(ISBLANK($C102),"",$CH102)</f>
        <v/>
      </c>
      <c r="CT102" s="144" t="str">
        <f aca="false">IF(ISBLANK($C102),"",$CG102)</f>
        <v/>
      </c>
      <c r="CU102" s="145" t="str">
        <f aca="false">IF(ISBLANK($C102),"",IFERROR(_xlfn.SWITCH($CT102,Constants!$B$11,COUNTA($C$9:$C$508)+2,Constants!$B$10,COUNTA($C$9:$C$508)+1,Constants!$B$9,COUNTA($C$9:$C$508)),$CT102))</f>
        <v/>
      </c>
      <c r="CV102" s="9"/>
      <c r="CW102" s="146" t="n">
        <f aca="false">IF(OR(ISNUMBER($CT102),$CT102=Constants!$B$11,$CT102=Constants!$B$9,$CT102=Constants!$B$10),1,0)</f>
        <v>0</v>
      </c>
      <c r="CX102" s="146" t="n">
        <v>94</v>
      </c>
      <c r="CY102" s="146" t="str">
        <f aca="false">IF(ISBLANK($C102),"",IF(ISNUMBER($CU102),$CU102+ROW($B102)/1000,""))</f>
        <v/>
      </c>
      <c r="CZ102" s="146" t="str">
        <f aca="false">IF(ISNUMBER($CY102),RANK($CY102,$CY$9:$CY$508,1),"")</f>
        <v/>
      </c>
      <c r="DA102" s="146" t="str">
        <f aca="false">IF(ISBLANK($C102),"",$B102)</f>
        <v/>
      </c>
      <c r="DB102" s="146" t="str">
        <f aca="false">IF(ISBLANK($C102),"",$C102)</f>
        <v/>
      </c>
      <c r="DC102" s="146" t="str">
        <f aca="false">IF(ISBLANK($C102),"",$D102)</f>
        <v/>
      </c>
      <c r="DD102" s="147" t="str">
        <f aca="false">$CR102</f>
        <v/>
      </c>
      <c r="DE102" s="148" t="str">
        <f aca="false">$CQ102</f>
        <v/>
      </c>
      <c r="DF102" s="146" t="str">
        <f aca="false">IF(ISBLANK($C102),"",$CT102)</f>
        <v/>
      </c>
      <c r="DG102" s="149" t="str">
        <f aca="false">IF($CX102&gt;$CW$8,"",VLOOKUP($CX102,$CZ$9:$DF$508,7,FALSE()))</f>
        <v/>
      </c>
      <c r="DH102" s="150" t="str">
        <f aca="false">IF($CX102&gt;$CW$8,"",VLOOKUP($CX102,$CZ$9:$DF$508,2,FALSE()))</f>
        <v/>
      </c>
      <c r="DI102" s="150" t="str">
        <f aca="false">IF($CX102&gt;$CW$8,"",VLOOKUP($CX102,$CZ$9:$DF$508,3,FALSE()))</f>
        <v/>
      </c>
      <c r="DJ102" s="150" t="str">
        <f aca="false">IF($CX102&gt;$CW$8,"",VLOOKUP($CX102,$CZ$9:$DF$508,4,FALSE()))</f>
        <v/>
      </c>
      <c r="DK102" s="150" t="str">
        <f aca="false">IF($CX102&gt;$CW$8,"",VLOOKUP($CX102,$CZ$9:$DF$508,5,FALSE()))</f>
        <v/>
      </c>
      <c r="DL102" s="151" t="str">
        <f aca="false">IF($CX102&gt;$CW$8,"",VLOOKUP($CX102,$CZ$9:$DF$508,6,FALSE()))</f>
        <v/>
      </c>
      <c r="DM102" s="75"/>
    </row>
    <row r="103" customFormat="false" ht="15.75" hidden="false" customHeight="false" outlineLevel="0" collapsed="false">
      <c r="A103" s="9"/>
      <c r="B103" s="157"/>
      <c r="C103" s="158"/>
      <c r="D103" s="159"/>
      <c r="E103" s="177"/>
      <c r="F103" s="161"/>
      <c r="G103" s="162"/>
      <c r="H103" s="162"/>
      <c r="I103" s="178"/>
      <c r="J103" s="165"/>
      <c r="K103" s="126"/>
      <c r="L103" s="127"/>
      <c r="M103" s="128"/>
      <c r="N103" s="165"/>
      <c r="O103" s="165"/>
      <c r="P103" s="177"/>
      <c r="Q103" s="165"/>
      <c r="R103" s="165"/>
      <c r="S103" s="126"/>
      <c r="T103" s="128"/>
      <c r="U103" s="128"/>
      <c r="V103" s="165"/>
      <c r="W103" s="165"/>
      <c r="X103" s="177"/>
      <c r="Y103" s="165"/>
      <c r="Z103" s="166"/>
      <c r="AA103" s="165"/>
      <c r="AB103" s="132"/>
      <c r="AC103" s="133"/>
      <c r="AD103" s="133"/>
      <c r="AE103" s="133"/>
      <c r="AF103" s="133" t="str">
        <f aca="false">IF(ISBLANK($C103),"",IF(E103=Constants!$B$3,TRUE(),IF(E103=Constants!$B$4,FALSE(),TRUE())))</f>
        <v/>
      </c>
      <c r="AG103" s="133" t="str">
        <f aca="false">IF(ISBLANK($C103),"",IF(F103=Constants!$B$3,TRUE(),IF(F103=Constants!$B$4,FALSE(),TRUE())))</f>
        <v/>
      </c>
      <c r="AH103" s="133" t="str">
        <f aca="false">IF(ISBLANK($C103),"",IF(G103=Constants!$B$3,TRUE(),IF(G103=Constants!$B$4,FALSE(),TRUE())))</f>
        <v/>
      </c>
      <c r="AI103" s="133" t="str">
        <f aca="false">IF(ISBLANK($C103),"",IF(AND(ISNUMBER(H103),H103&gt;=0),H103,Constants!$B$29))</f>
        <v/>
      </c>
      <c r="AJ103" s="133" t="str">
        <f aca="false">IF(ISBLANK($C103),"",IF(I103=Constants!$B$3,TRUE(),IF(I103=Constants!$B$4,FALSE(),TRUE())))</f>
        <v/>
      </c>
      <c r="AK103" s="133" t="str">
        <f aca="false">IF(ISBLANK($C103),"",IF(J103=Constants!$B$3,TRUE(),IF(J103=Constants!$B$4,FALSE(),TRUE())))</f>
        <v/>
      </c>
      <c r="AL103" s="133" t="str">
        <f aca="false">IF(ISBLANK($C103),"",IF(K103=Constants!$B$5,TRUE(),IF(K103=Constants!$B$6,FALSE(),COUNTA(L103:P103)&gt;0)))</f>
        <v/>
      </c>
      <c r="AM103" s="134" t="str">
        <f aca="false">IF(ISBLANK($C103),"",IF(ISNUMBER(L103),IF(L103&gt;=0,L103,""),""))</f>
        <v/>
      </c>
      <c r="AN103" s="135" t="str">
        <f aca="false">IF(ISBLANK($C103),"",IF(ISNUMBER(M103),IF(M103&gt;=0,M103,""),""))</f>
        <v/>
      </c>
      <c r="AO103" s="135" t="str">
        <f aca="false">IF(ISBLANK($C103),"",IF(N103=Constants!$B$3,TRUE(),IF(N103=Constants!$B$4,FALSE(),TRUE())))</f>
        <v/>
      </c>
      <c r="AP103" s="133" t="str">
        <f aca="false">IF(ISBLANK($C103),"",IF(ISNUMBER(O103),IF(O103&gt;=0,O103,""),""))</f>
        <v/>
      </c>
      <c r="AQ103" s="133" t="str">
        <f aca="false">IF(ISBLANK($C103),"",IF(P103=Constants!$B$3,TRUE(),IF(P103=Constants!$B$4,FALSE(),FALSE())))</f>
        <v/>
      </c>
      <c r="AR103" s="133" t="str">
        <f aca="false">IF(ISBLANK($C103),"",IF(Q103=Constants!$B$3,TRUE(),IF(Q103=Constants!$B$4,FALSE(),TRUE())))</f>
        <v/>
      </c>
      <c r="AS103" s="133" t="str">
        <f aca="false">IF(ISBLANK($C103),"",IF(R103=Constants!$B$3,TRUE(),IF(R103=Constants!$B$4,FALSE(),TRUE())))</f>
        <v/>
      </c>
      <c r="AT103" s="133" t="str">
        <f aca="false">IF(ISBLANK($C103),"",IF(S103=Constants!$B$5,TRUE(),IF(S103=Constants!$B$6,FALSE(),COUNTA(T103:X103)&gt;0)))</f>
        <v/>
      </c>
      <c r="AU103" s="134" t="str">
        <f aca="false">IF(ISBLANK($C103),"",IF(ISNUMBER(T103),IF(T103&gt;=0,T103,""),""))</f>
        <v/>
      </c>
      <c r="AV103" s="135" t="str">
        <f aca="false">IF(ISBLANK($C103),"",IF(ISNUMBER(U103),IF(U103&gt;=0,U103,""),""))</f>
        <v/>
      </c>
      <c r="AW103" s="135" t="str">
        <f aca="false">IF(ISBLANK($C103),"",IF(V103=Constants!$B$3,TRUE(),IF(V103=Constants!$B$4,FALSE(),TRUE())))</f>
        <v/>
      </c>
      <c r="AX103" s="133" t="str">
        <f aca="false">IF(ISBLANK($C103),"",IF(ISNUMBER(W103),IF(W103&gt;=0,W103,""),""))</f>
        <v/>
      </c>
      <c r="AY103" s="133" t="str">
        <f aca="false">IF(ISBLANK($C103),"",IF(X103=Constants!$B$3,TRUE(),IF(X103=Constants!$B$4,FALSE(),FALSE())))</f>
        <v/>
      </c>
      <c r="AZ103" s="133" t="str">
        <f aca="false">IF(ISBLANK($C103),"",MIN(Constants!$B$31,MAX(0,IF(ISNUMBER(Y103),Y103*60,0)+IF(ISNUMBER(Z103),Z103,0))))</f>
        <v/>
      </c>
      <c r="BA103" s="133" t="str">
        <f aca="false">IF(ISBLANK($C103),"",IF(AA103=Constants!$B$3,TRUE(),IF(AA103=Constants!$B$4,FALSE(),FALSE())))</f>
        <v/>
      </c>
      <c r="BB103" s="132" t="str">
        <f aca="false">IF(ISBLANK($C103),"",AND($AL103,OR($AM103="",$AN103="",AND($AO103,$AP103=""))))</f>
        <v/>
      </c>
      <c r="BC103" s="135" t="str">
        <f aca="false">IF($BR103&lt;&gt;Constants!$B$8,"",IF($AL103,Constants!$B$21*$AN103+Constants!$B$22*IF($AO103,$AP103,Constants!$B$23),Constants!$B$24))</f>
        <v/>
      </c>
      <c r="BD103" s="136" t="str">
        <f aca="false">IF($BR103&lt;&gt;Constants!$B$8,"",Constants!$B$25*ABS($AD$9-IF($AL103,$AM103,0)))</f>
        <v/>
      </c>
      <c r="BE103" s="136" t="str">
        <f aca="false">IF($BR103&lt;&gt;Constants!$B$8,"",IF(AND($AL103,$AQ103,$AO103),Constants!$B$27,0))</f>
        <v/>
      </c>
      <c r="BF103" s="136" t="str">
        <f aca="false">IF($BR103&lt;&gt;Constants!$B$8,"",IF($AL103,($AI103-Constants!$B$29)*Constants!$B$28,0))</f>
        <v/>
      </c>
      <c r="BG103" s="136" t="str">
        <f aca="false">IF($BR103&lt;&gt;Constants!$B$8,"",IF($AK103,0,Constants!$B$15)+IF($AJ103,0,Constants!$B$16)+IF($AH103,0,Constants!$B$17))</f>
        <v/>
      </c>
      <c r="BH103" s="137" t="str">
        <f aca="false">IF($BR103&lt;&gt;Constants!$B$8,"",Constants!$B$20+SUM($BC103:$BG103))</f>
        <v/>
      </c>
      <c r="BI103" s="133" t="str">
        <f aca="false">IF($BR103&lt;&gt;Constants!$B$8,"",IF(OR($BP103&lt;$BH103,AND($BP103=$BH103,OR($BK103&lt;$BC103,AND($BK103=$BC103,OR($BL103&lt;$BD103,AND($BL103=$BD103,$AT103,$AL103,$AV103&lt;$AN103)))))),"-&gt;","&lt;-"))</f>
        <v/>
      </c>
      <c r="BJ103" s="132" t="str">
        <f aca="false">IF(ISBLANK($C103),"",AND($AT103,OR($AU103="",$AV103="",AND($AW103,$AX103=""))))</f>
        <v/>
      </c>
      <c r="BK103" s="135" t="str">
        <f aca="false">IF($BR103&lt;&gt;Constants!$B$8,"",IF($AT103,Constants!$B$21*$AV103+Constants!$B$22*IF($AW103,$AX103,Constants!$B$23),Constants!$B$24))</f>
        <v/>
      </c>
      <c r="BL103" s="136" t="str">
        <f aca="false">IF($BR103&lt;&gt;Constants!$B$8,"",Constants!$B$25*ABS($AD$9-IF($AT103,$AU103,0)))</f>
        <v/>
      </c>
      <c r="BM103" s="136" t="str">
        <f aca="false">IF($BR103&lt;&gt;Constants!$B$8,"",IF(AND($AT103,$AY103,$AW103),Constants!$B$27,0))</f>
        <v/>
      </c>
      <c r="BN103" s="136" t="str">
        <f aca="false">IF($BR103&lt;&gt;Constants!$B$8,"",IF($AT103,($AI103-Constants!$B$29)*Constants!$B$28,0))</f>
        <v/>
      </c>
      <c r="BO103" s="136" t="str">
        <f aca="false">IF($BR103&lt;&gt;Constants!$B$8,"",IF($AS103,0,Constants!$B$15)+IF($AR103,0,Constants!$B$16)+IF($AH103,0,Constants!$B$17))</f>
        <v/>
      </c>
      <c r="BP103" s="137" t="str">
        <f aca="false">IF($BR103&lt;&gt;Constants!$B$8,"",Constants!$B$20+SUM($BK103:$BO103))</f>
        <v/>
      </c>
      <c r="BQ103" s="133" t="str">
        <f aca="false">IF(ISBLANK($C103),"",IF(ISBLANK($D$7),$BQ$5,IF(NOT(ISNUMBER($D$7)),$BQ$6,"")))</f>
        <v/>
      </c>
      <c r="BR103" s="133" t="str">
        <f aca="false">IF(ISBLANK($C103),"",IF($BA103,Constants!$B$11,IF(COUNTA($E103:$AA103)=0,Constants!$B$10,IF(NOT($AG103),Constants!$B$9,IF(OR($BQ103&lt;&gt;"",$BB103,$BJ103),Constants!$B$12,Constants!$B$8)))))</f>
        <v/>
      </c>
      <c r="BS103" s="133" t="str">
        <f aca="false">IF(ISBLANK($C103),"",IF($BR103&lt;&gt;Constants!$B$8,$BR103,Constants!$B$13))</f>
        <v/>
      </c>
      <c r="BT103" s="136" t="str">
        <f aca="false">IF($BR103&lt;&gt;Constants!$B$8,"",IF($BI103="-&gt;",$BP103,$BH103))</f>
        <v/>
      </c>
      <c r="BU103" s="136" t="str">
        <f aca="false">IF($BR103&lt;&gt;Constants!$B$8,"",IF($AF103,0,Constants!$B$18))</f>
        <v/>
      </c>
      <c r="BV103" s="136" t="str">
        <f aca="false">IF($BR103&lt;&gt;Constants!$B$8,"",((Constants!$B$31-$AZ103)-Constants!$B$31)/Constants!$B$32)</f>
        <v/>
      </c>
      <c r="BW103" s="136" t="str">
        <f aca="false">IF(ISBLANK($C103),"",IF($BR103&lt;&gt;Constants!$B$8,$BR103,SUM($BT103:$BV103)))</f>
        <v/>
      </c>
      <c r="BX103" s="133" t="str">
        <f aca="false">IF(ISBLANK($C103),"",IF($BR103&lt;&gt;Constants!$B$8,$BR103,RANK($BW103,$BW$9:$BW$508,1)))</f>
        <v/>
      </c>
      <c r="BY103" s="136" t="str">
        <f aca="false">IF($BR103&lt;&gt;Constants!$B$8,"",IF($BI103="-&gt;",$BK103,$BC103))</f>
        <v/>
      </c>
      <c r="BZ103" s="133" t="str">
        <f aca="false">IF(ISBLANK($C103),"",IF($BR103&lt;&gt;Constants!$B$8,$BR103,IF(ISNUMBER($BY103),RANK($BY103,$BY$9:$BY$508,1),COUNT($BY$9:$BY$508)+1)))</f>
        <v/>
      </c>
      <c r="CA103" s="136" t="str">
        <f aca="false">IF($BR103&lt;&gt;Constants!$B$8,"",IF($BI103="-&gt;",$BL103,$BD103))</f>
        <v/>
      </c>
      <c r="CB103" s="133" t="str">
        <f aca="false">IF(ISBLANK($C103),"",IF($BR103&lt;&gt;Constants!$B$8,$BR103,IF(ISNUMBER($CA103),RANK($CA103,$CA$9:$CA$508,1),COUNT($CA$9:$CA$508)+1)))</f>
        <v/>
      </c>
      <c r="CC103" s="136" t="str">
        <f aca="false">IF($BR103&lt;&gt;Constants!$B$8,"",IF($BI103="-&gt;",IF($AT103,$AV103,""),IF($AL103,$AN103,"")))</f>
        <v/>
      </c>
      <c r="CD103" s="133" t="str">
        <f aca="false">IF(ISBLANK($C103),"",IF($BR103&lt;&gt;Constants!$B$8,$BR103,IF(ISNUMBER($CC103),RANK($CC103,$CC$9:$CC$508,1),COUNT($CC$9:$CC$508)+1)))</f>
        <v/>
      </c>
      <c r="CE103" s="136" t="str">
        <f aca="false">IF($BR103&lt;&gt;Constants!$B$8,"",IF(AND(NOT($AL103),NOT($AT103),$AJ103,$AK103,$AR103,$AS103),"",$AI103))</f>
        <v/>
      </c>
      <c r="CF103" s="133" t="str">
        <f aca="false">IF(ISBLANK($C103),"",IF($BR103&lt;&gt;Constants!$B$8,$BR103,IF(ISNUMBER($CE103),RANK($CE103,$CE$9:$CE$508,1),COUNT($CE$9:$CE$508)+1)))</f>
        <v/>
      </c>
      <c r="CG103" s="133" t="str">
        <f aca="false">IF(ISBLANK($C103),"",IF($BR103&lt;&gt;Constants!$B$8,$BR103,COUNTIFS($BX$9:$BX$508,"&lt;"&amp;$BX103)+COUNTIFS($BX$9:$BX$508,$BX103,$BZ$9:$BZ$508,"&lt;"&amp;$BZ103)+COUNTIFS($BX$9:$BX$508,$BX103,$BZ$9:$BZ$508,$BZ103,$CB$9:$CB$508,"&lt;"&amp;$CB103)+COUNTIFS($BX$9:$BX$508,$BX103,$BZ$9:$BZ$508,$BZ103,$CB$9:$CB$508,$CB103,$CD$9:$CD$508,"&lt;"&amp;$CD103)+COUNTIFS($BX$9:$BX$508,$BX103,$BZ$9:$BZ$508,$BZ103,$CB$9:$CB$508,$CB103,$CD$9:$CD$508,$CD103,$CF$9:$CF$508,"&lt;"&amp;$CF103)+1))</f>
        <v/>
      </c>
      <c r="CH103" s="133" t="str">
        <f aca="false">IF(ISBLANK($C103),"",IF($BR103&lt;&gt;Constants!$B$8,$BR103,$BX103-$CG103))</f>
        <v/>
      </c>
      <c r="CI103" s="138"/>
      <c r="CJ103" s="139"/>
      <c r="CK103" s="140" t="str">
        <f aca="false">IF(ISBLANK($C103),"",IF($BR103=Constants!$B$12,$BQ103,""))</f>
        <v/>
      </c>
      <c r="CL103" s="139" t="str">
        <f aca="false">IF(ISBLANK($C103),"",IF($BR103&lt;&gt;Constants!$B$8,"",IF($BI103="-&gt;",2,1)))</f>
        <v/>
      </c>
      <c r="CM103" s="141" t="str">
        <f aca="false">IF(ISBLANK($C103),"",IF($BR103&lt;&gt;Constants!$B$8,"",IF($BI103="-&gt;",$BK103,$BC103)))</f>
        <v/>
      </c>
      <c r="CN103" s="141" t="str">
        <f aca="false">IF(ISBLANK($C103),"",IF($BR103&lt;&gt;Constants!$B$8,"",IF($BI103="-&gt;",$BL103,$BD103)))</f>
        <v/>
      </c>
      <c r="CO103" s="141" t="str">
        <f aca="false">IF(ISBLANK($C103),"",IF($BR103&lt;&gt;Constants!$B$8,"",IF($BI103="-&gt;",$BM103+$BN103,$BE103+$BF103)+$BV103))</f>
        <v/>
      </c>
      <c r="CP103" s="141" t="str">
        <f aca="false">IF(ISBLANK($C103),"",IF($BR103&lt;&gt;Constants!$B$8,"",IF($BI103="-&gt;",$BO103,$BG103)+$BU103))</f>
        <v/>
      </c>
      <c r="CQ103" s="142" t="str">
        <f aca="false">IF(ISBLANK($C103),"",IF($BR103&lt;&gt;Constants!$B$8,$BR103,$BW103))</f>
        <v/>
      </c>
      <c r="CR103" s="143" t="str">
        <f aca="false">IF(ISBLANK($C103),"",$BS103)</f>
        <v/>
      </c>
      <c r="CS103" s="144" t="str">
        <f aca="false">IF(ISBLANK($C103),"",$CH103)</f>
        <v/>
      </c>
      <c r="CT103" s="144" t="str">
        <f aca="false">IF(ISBLANK($C103),"",$CG103)</f>
        <v/>
      </c>
      <c r="CU103" s="145" t="str">
        <f aca="false">IF(ISBLANK($C103),"",IFERROR(_xlfn.SWITCH($CT103,Constants!$B$11,COUNTA($C$9:$C$508)+2,Constants!$B$10,COUNTA($C$9:$C$508)+1,Constants!$B$9,COUNTA($C$9:$C$508)),$CT103))</f>
        <v/>
      </c>
      <c r="CV103" s="9"/>
      <c r="CW103" s="146" t="n">
        <f aca="false">IF(OR(ISNUMBER($CT103),$CT103=Constants!$B$11,$CT103=Constants!$B$9,$CT103=Constants!$B$10),1,0)</f>
        <v>0</v>
      </c>
      <c r="CX103" s="146" t="n">
        <v>95</v>
      </c>
      <c r="CY103" s="146" t="str">
        <f aca="false">IF(ISBLANK($C103),"",IF(ISNUMBER($CU103),$CU103+ROW($B103)/1000,""))</f>
        <v/>
      </c>
      <c r="CZ103" s="146" t="str">
        <f aca="false">IF(ISNUMBER($CY103),RANK($CY103,$CY$9:$CY$508,1),"")</f>
        <v/>
      </c>
      <c r="DA103" s="146" t="str">
        <f aca="false">IF(ISBLANK($C103),"",$B103)</f>
        <v/>
      </c>
      <c r="DB103" s="146" t="str">
        <f aca="false">IF(ISBLANK($C103),"",$C103)</f>
        <v/>
      </c>
      <c r="DC103" s="146" t="str">
        <f aca="false">IF(ISBLANK($C103),"",$D103)</f>
        <v/>
      </c>
      <c r="DD103" s="147" t="str">
        <f aca="false">$CR103</f>
        <v/>
      </c>
      <c r="DE103" s="148" t="str">
        <f aca="false">$CQ103</f>
        <v/>
      </c>
      <c r="DF103" s="146" t="str">
        <f aca="false">IF(ISBLANK($C103),"",$CT103)</f>
        <v/>
      </c>
      <c r="DG103" s="149" t="str">
        <f aca="false">IF($CX103&gt;$CW$8,"",VLOOKUP($CX103,$CZ$9:$DF$508,7,FALSE()))</f>
        <v/>
      </c>
      <c r="DH103" s="150" t="str">
        <f aca="false">IF($CX103&gt;$CW$8,"",VLOOKUP($CX103,$CZ$9:$DF$508,2,FALSE()))</f>
        <v/>
      </c>
      <c r="DI103" s="150" t="str">
        <f aca="false">IF($CX103&gt;$CW$8,"",VLOOKUP($CX103,$CZ$9:$DF$508,3,FALSE()))</f>
        <v/>
      </c>
      <c r="DJ103" s="150" t="str">
        <f aca="false">IF($CX103&gt;$CW$8,"",VLOOKUP($CX103,$CZ$9:$DF$508,4,FALSE()))</f>
        <v/>
      </c>
      <c r="DK103" s="150" t="str">
        <f aca="false">IF($CX103&gt;$CW$8,"",VLOOKUP($CX103,$CZ$9:$DF$508,5,FALSE()))</f>
        <v/>
      </c>
      <c r="DL103" s="151" t="str">
        <f aca="false">IF($CX103&gt;$CW$8,"",VLOOKUP($CX103,$CZ$9:$DF$508,6,FALSE()))</f>
        <v/>
      </c>
      <c r="DM103" s="75"/>
    </row>
    <row r="104" customFormat="false" ht="15.75" hidden="false" customHeight="false" outlineLevel="0" collapsed="false">
      <c r="A104" s="9"/>
      <c r="B104" s="157"/>
      <c r="C104" s="158"/>
      <c r="D104" s="159"/>
      <c r="E104" s="177"/>
      <c r="F104" s="161"/>
      <c r="G104" s="162"/>
      <c r="H104" s="162"/>
      <c r="I104" s="178"/>
      <c r="J104" s="165"/>
      <c r="K104" s="126"/>
      <c r="L104" s="127"/>
      <c r="M104" s="128"/>
      <c r="N104" s="165"/>
      <c r="O104" s="165"/>
      <c r="P104" s="177"/>
      <c r="Q104" s="165"/>
      <c r="R104" s="165"/>
      <c r="S104" s="126"/>
      <c r="T104" s="128"/>
      <c r="U104" s="128"/>
      <c r="V104" s="165"/>
      <c r="W104" s="165"/>
      <c r="X104" s="177"/>
      <c r="Y104" s="165"/>
      <c r="Z104" s="166"/>
      <c r="AA104" s="165"/>
      <c r="AB104" s="132"/>
      <c r="AC104" s="133"/>
      <c r="AD104" s="133"/>
      <c r="AE104" s="133"/>
      <c r="AF104" s="133" t="str">
        <f aca="false">IF(ISBLANK($C104),"",IF(E104=Constants!$B$3,TRUE(),IF(E104=Constants!$B$4,FALSE(),TRUE())))</f>
        <v/>
      </c>
      <c r="AG104" s="133" t="str">
        <f aca="false">IF(ISBLANK($C104),"",IF(F104=Constants!$B$3,TRUE(),IF(F104=Constants!$B$4,FALSE(),TRUE())))</f>
        <v/>
      </c>
      <c r="AH104" s="133" t="str">
        <f aca="false">IF(ISBLANK($C104),"",IF(G104=Constants!$B$3,TRUE(),IF(G104=Constants!$B$4,FALSE(),TRUE())))</f>
        <v/>
      </c>
      <c r="AI104" s="133" t="str">
        <f aca="false">IF(ISBLANK($C104),"",IF(AND(ISNUMBER(H104),H104&gt;=0),H104,Constants!$B$29))</f>
        <v/>
      </c>
      <c r="AJ104" s="133" t="str">
        <f aca="false">IF(ISBLANK($C104),"",IF(I104=Constants!$B$3,TRUE(),IF(I104=Constants!$B$4,FALSE(),TRUE())))</f>
        <v/>
      </c>
      <c r="AK104" s="133" t="str">
        <f aca="false">IF(ISBLANK($C104),"",IF(J104=Constants!$B$3,TRUE(),IF(J104=Constants!$B$4,FALSE(),TRUE())))</f>
        <v/>
      </c>
      <c r="AL104" s="133" t="str">
        <f aca="false">IF(ISBLANK($C104),"",IF(K104=Constants!$B$5,TRUE(),IF(K104=Constants!$B$6,FALSE(),COUNTA(L104:P104)&gt;0)))</f>
        <v/>
      </c>
      <c r="AM104" s="134" t="str">
        <f aca="false">IF(ISBLANK($C104),"",IF(ISNUMBER(L104),IF(L104&gt;=0,L104,""),""))</f>
        <v/>
      </c>
      <c r="AN104" s="135" t="str">
        <f aca="false">IF(ISBLANK($C104),"",IF(ISNUMBER(M104),IF(M104&gt;=0,M104,""),""))</f>
        <v/>
      </c>
      <c r="AO104" s="135" t="str">
        <f aca="false">IF(ISBLANK($C104),"",IF(N104=Constants!$B$3,TRUE(),IF(N104=Constants!$B$4,FALSE(),TRUE())))</f>
        <v/>
      </c>
      <c r="AP104" s="133" t="str">
        <f aca="false">IF(ISBLANK($C104),"",IF(ISNUMBER(O104),IF(O104&gt;=0,O104,""),""))</f>
        <v/>
      </c>
      <c r="AQ104" s="133" t="str">
        <f aca="false">IF(ISBLANK($C104),"",IF(P104=Constants!$B$3,TRUE(),IF(P104=Constants!$B$4,FALSE(),FALSE())))</f>
        <v/>
      </c>
      <c r="AR104" s="133" t="str">
        <f aca="false">IF(ISBLANK($C104),"",IF(Q104=Constants!$B$3,TRUE(),IF(Q104=Constants!$B$4,FALSE(),TRUE())))</f>
        <v/>
      </c>
      <c r="AS104" s="133" t="str">
        <f aca="false">IF(ISBLANK($C104),"",IF(R104=Constants!$B$3,TRUE(),IF(R104=Constants!$B$4,FALSE(),TRUE())))</f>
        <v/>
      </c>
      <c r="AT104" s="133" t="str">
        <f aca="false">IF(ISBLANK($C104),"",IF(S104=Constants!$B$5,TRUE(),IF(S104=Constants!$B$6,FALSE(),COUNTA(T104:X104)&gt;0)))</f>
        <v/>
      </c>
      <c r="AU104" s="134" t="str">
        <f aca="false">IF(ISBLANK($C104),"",IF(ISNUMBER(T104),IF(T104&gt;=0,T104,""),""))</f>
        <v/>
      </c>
      <c r="AV104" s="135" t="str">
        <f aca="false">IF(ISBLANK($C104),"",IF(ISNUMBER(U104),IF(U104&gt;=0,U104,""),""))</f>
        <v/>
      </c>
      <c r="AW104" s="135" t="str">
        <f aca="false">IF(ISBLANK($C104),"",IF(V104=Constants!$B$3,TRUE(),IF(V104=Constants!$B$4,FALSE(),TRUE())))</f>
        <v/>
      </c>
      <c r="AX104" s="133" t="str">
        <f aca="false">IF(ISBLANK($C104),"",IF(ISNUMBER(W104),IF(W104&gt;=0,W104,""),""))</f>
        <v/>
      </c>
      <c r="AY104" s="133" t="str">
        <f aca="false">IF(ISBLANK($C104),"",IF(X104=Constants!$B$3,TRUE(),IF(X104=Constants!$B$4,FALSE(),FALSE())))</f>
        <v/>
      </c>
      <c r="AZ104" s="133" t="str">
        <f aca="false">IF(ISBLANK($C104),"",MIN(Constants!$B$31,MAX(0,IF(ISNUMBER(Y104),Y104*60,0)+IF(ISNUMBER(Z104),Z104,0))))</f>
        <v/>
      </c>
      <c r="BA104" s="133" t="str">
        <f aca="false">IF(ISBLANK($C104),"",IF(AA104=Constants!$B$3,TRUE(),IF(AA104=Constants!$B$4,FALSE(),FALSE())))</f>
        <v/>
      </c>
      <c r="BB104" s="132" t="str">
        <f aca="false">IF(ISBLANK($C104),"",AND($AL104,OR($AM104="",$AN104="",AND($AO104,$AP104=""))))</f>
        <v/>
      </c>
      <c r="BC104" s="135" t="str">
        <f aca="false">IF($BR104&lt;&gt;Constants!$B$8,"",IF($AL104,Constants!$B$21*$AN104+Constants!$B$22*IF($AO104,$AP104,Constants!$B$23),Constants!$B$24))</f>
        <v/>
      </c>
      <c r="BD104" s="136" t="str">
        <f aca="false">IF($BR104&lt;&gt;Constants!$B$8,"",Constants!$B$25*ABS($AD$9-IF($AL104,$AM104,0)))</f>
        <v/>
      </c>
      <c r="BE104" s="136" t="str">
        <f aca="false">IF($BR104&lt;&gt;Constants!$B$8,"",IF(AND($AL104,$AQ104,$AO104),Constants!$B$27,0))</f>
        <v/>
      </c>
      <c r="BF104" s="136" t="str">
        <f aca="false">IF($BR104&lt;&gt;Constants!$B$8,"",IF($AL104,($AI104-Constants!$B$29)*Constants!$B$28,0))</f>
        <v/>
      </c>
      <c r="BG104" s="136" t="str">
        <f aca="false">IF($BR104&lt;&gt;Constants!$B$8,"",IF($AK104,0,Constants!$B$15)+IF($AJ104,0,Constants!$B$16)+IF($AH104,0,Constants!$B$17))</f>
        <v/>
      </c>
      <c r="BH104" s="137" t="str">
        <f aca="false">IF($BR104&lt;&gt;Constants!$B$8,"",Constants!$B$20+SUM($BC104:$BG104))</f>
        <v/>
      </c>
      <c r="BI104" s="133" t="str">
        <f aca="false">IF($BR104&lt;&gt;Constants!$B$8,"",IF(OR($BP104&lt;$BH104,AND($BP104=$BH104,OR($BK104&lt;$BC104,AND($BK104=$BC104,OR($BL104&lt;$BD104,AND($BL104=$BD104,$AT104,$AL104,$AV104&lt;$AN104)))))),"-&gt;","&lt;-"))</f>
        <v/>
      </c>
      <c r="BJ104" s="132" t="str">
        <f aca="false">IF(ISBLANK($C104),"",AND($AT104,OR($AU104="",$AV104="",AND($AW104,$AX104=""))))</f>
        <v/>
      </c>
      <c r="BK104" s="135" t="str">
        <f aca="false">IF($BR104&lt;&gt;Constants!$B$8,"",IF($AT104,Constants!$B$21*$AV104+Constants!$B$22*IF($AW104,$AX104,Constants!$B$23),Constants!$B$24))</f>
        <v/>
      </c>
      <c r="BL104" s="136" t="str">
        <f aca="false">IF($BR104&lt;&gt;Constants!$B$8,"",Constants!$B$25*ABS($AD$9-IF($AT104,$AU104,0)))</f>
        <v/>
      </c>
      <c r="BM104" s="136" t="str">
        <f aca="false">IF($BR104&lt;&gt;Constants!$B$8,"",IF(AND($AT104,$AY104,$AW104),Constants!$B$27,0))</f>
        <v/>
      </c>
      <c r="BN104" s="136" t="str">
        <f aca="false">IF($BR104&lt;&gt;Constants!$B$8,"",IF($AT104,($AI104-Constants!$B$29)*Constants!$B$28,0))</f>
        <v/>
      </c>
      <c r="BO104" s="136" t="str">
        <f aca="false">IF($BR104&lt;&gt;Constants!$B$8,"",IF($AS104,0,Constants!$B$15)+IF($AR104,0,Constants!$B$16)+IF($AH104,0,Constants!$B$17))</f>
        <v/>
      </c>
      <c r="BP104" s="137" t="str">
        <f aca="false">IF($BR104&lt;&gt;Constants!$B$8,"",Constants!$B$20+SUM($BK104:$BO104))</f>
        <v/>
      </c>
      <c r="BQ104" s="133" t="str">
        <f aca="false">IF(ISBLANK($C104),"",IF(ISBLANK($D$7),$BQ$5,IF(NOT(ISNUMBER($D$7)),$BQ$6,"")))</f>
        <v/>
      </c>
      <c r="BR104" s="133" t="str">
        <f aca="false">IF(ISBLANK($C104),"",IF($BA104,Constants!$B$11,IF(COUNTA($E104:$AA104)=0,Constants!$B$10,IF(NOT($AG104),Constants!$B$9,IF(OR($BQ104&lt;&gt;"",$BB104,$BJ104),Constants!$B$12,Constants!$B$8)))))</f>
        <v/>
      </c>
      <c r="BS104" s="133" t="str">
        <f aca="false">IF(ISBLANK($C104),"",IF($BR104&lt;&gt;Constants!$B$8,$BR104,Constants!$B$13))</f>
        <v/>
      </c>
      <c r="BT104" s="136" t="str">
        <f aca="false">IF($BR104&lt;&gt;Constants!$B$8,"",IF($BI104="-&gt;",$BP104,$BH104))</f>
        <v/>
      </c>
      <c r="BU104" s="136" t="str">
        <f aca="false">IF($BR104&lt;&gt;Constants!$B$8,"",IF($AF104,0,Constants!$B$18))</f>
        <v/>
      </c>
      <c r="BV104" s="136" t="str">
        <f aca="false">IF($BR104&lt;&gt;Constants!$B$8,"",((Constants!$B$31-$AZ104)-Constants!$B$31)/Constants!$B$32)</f>
        <v/>
      </c>
      <c r="BW104" s="136" t="str">
        <f aca="false">IF(ISBLANK($C104),"",IF($BR104&lt;&gt;Constants!$B$8,$BR104,SUM($BT104:$BV104)))</f>
        <v/>
      </c>
      <c r="BX104" s="133" t="str">
        <f aca="false">IF(ISBLANK($C104),"",IF($BR104&lt;&gt;Constants!$B$8,$BR104,RANK($BW104,$BW$9:$BW$508,1)))</f>
        <v/>
      </c>
      <c r="BY104" s="136" t="str">
        <f aca="false">IF($BR104&lt;&gt;Constants!$B$8,"",IF($BI104="-&gt;",$BK104,$BC104))</f>
        <v/>
      </c>
      <c r="BZ104" s="133" t="str">
        <f aca="false">IF(ISBLANK($C104),"",IF($BR104&lt;&gt;Constants!$B$8,$BR104,IF(ISNUMBER($BY104),RANK($BY104,$BY$9:$BY$508,1),COUNT($BY$9:$BY$508)+1)))</f>
        <v/>
      </c>
      <c r="CA104" s="136" t="str">
        <f aca="false">IF($BR104&lt;&gt;Constants!$B$8,"",IF($BI104="-&gt;",$BL104,$BD104))</f>
        <v/>
      </c>
      <c r="CB104" s="133" t="str">
        <f aca="false">IF(ISBLANK($C104),"",IF($BR104&lt;&gt;Constants!$B$8,$BR104,IF(ISNUMBER($CA104),RANK($CA104,$CA$9:$CA$508,1),COUNT($CA$9:$CA$508)+1)))</f>
        <v/>
      </c>
      <c r="CC104" s="136" t="str">
        <f aca="false">IF($BR104&lt;&gt;Constants!$B$8,"",IF($BI104="-&gt;",IF($AT104,$AV104,""),IF($AL104,$AN104,"")))</f>
        <v/>
      </c>
      <c r="CD104" s="133" t="str">
        <f aca="false">IF(ISBLANK($C104),"",IF($BR104&lt;&gt;Constants!$B$8,$BR104,IF(ISNUMBER($CC104),RANK($CC104,$CC$9:$CC$508,1),COUNT($CC$9:$CC$508)+1)))</f>
        <v/>
      </c>
      <c r="CE104" s="136" t="str">
        <f aca="false">IF($BR104&lt;&gt;Constants!$B$8,"",IF(AND(NOT($AL104),NOT($AT104),$AJ104,$AK104,$AR104,$AS104),"",$AI104))</f>
        <v/>
      </c>
      <c r="CF104" s="133" t="str">
        <f aca="false">IF(ISBLANK($C104),"",IF($BR104&lt;&gt;Constants!$B$8,$BR104,IF(ISNUMBER($CE104),RANK($CE104,$CE$9:$CE$508,1),COUNT($CE$9:$CE$508)+1)))</f>
        <v/>
      </c>
      <c r="CG104" s="133" t="str">
        <f aca="false">IF(ISBLANK($C104),"",IF($BR104&lt;&gt;Constants!$B$8,$BR104,COUNTIFS($BX$9:$BX$508,"&lt;"&amp;$BX104)+COUNTIFS($BX$9:$BX$508,$BX104,$BZ$9:$BZ$508,"&lt;"&amp;$BZ104)+COUNTIFS($BX$9:$BX$508,$BX104,$BZ$9:$BZ$508,$BZ104,$CB$9:$CB$508,"&lt;"&amp;$CB104)+COUNTIFS($BX$9:$BX$508,$BX104,$BZ$9:$BZ$508,$BZ104,$CB$9:$CB$508,$CB104,$CD$9:$CD$508,"&lt;"&amp;$CD104)+COUNTIFS($BX$9:$BX$508,$BX104,$BZ$9:$BZ$508,$BZ104,$CB$9:$CB$508,$CB104,$CD$9:$CD$508,$CD104,$CF$9:$CF$508,"&lt;"&amp;$CF104)+1))</f>
        <v/>
      </c>
      <c r="CH104" s="133" t="str">
        <f aca="false">IF(ISBLANK($C104),"",IF($BR104&lt;&gt;Constants!$B$8,$BR104,$BX104-$CG104))</f>
        <v/>
      </c>
      <c r="CI104" s="138"/>
      <c r="CJ104" s="139"/>
      <c r="CK104" s="140" t="str">
        <f aca="false">IF(ISBLANK($C104),"",IF($BR104=Constants!$B$12,$BQ104,""))</f>
        <v/>
      </c>
      <c r="CL104" s="139" t="str">
        <f aca="false">IF(ISBLANK($C104),"",IF($BR104&lt;&gt;Constants!$B$8,"",IF($BI104="-&gt;",2,1)))</f>
        <v/>
      </c>
      <c r="CM104" s="141" t="str">
        <f aca="false">IF(ISBLANK($C104),"",IF($BR104&lt;&gt;Constants!$B$8,"",IF($BI104="-&gt;",$BK104,$BC104)))</f>
        <v/>
      </c>
      <c r="CN104" s="141" t="str">
        <f aca="false">IF(ISBLANK($C104),"",IF($BR104&lt;&gt;Constants!$B$8,"",IF($BI104="-&gt;",$BL104,$BD104)))</f>
        <v/>
      </c>
      <c r="CO104" s="141" t="str">
        <f aca="false">IF(ISBLANK($C104),"",IF($BR104&lt;&gt;Constants!$B$8,"",IF($BI104="-&gt;",$BM104+$BN104,$BE104+$BF104)+$BV104))</f>
        <v/>
      </c>
      <c r="CP104" s="141" t="str">
        <f aca="false">IF(ISBLANK($C104),"",IF($BR104&lt;&gt;Constants!$B$8,"",IF($BI104="-&gt;",$BO104,$BG104)+$BU104))</f>
        <v/>
      </c>
      <c r="CQ104" s="142" t="str">
        <f aca="false">IF(ISBLANK($C104),"",IF($BR104&lt;&gt;Constants!$B$8,$BR104,$BW104))</f>
        <v/>
      </c>
      <c r="CR104" s="143" t="str">
        <f aca="false">IF(ISBLANK($C104),"",$BS104)</f>
        <v/>
      </c>
      <c r="CS104" s="144" t="str">
        <f aca="false">IF(ISBLANK($C104),"",$CH104)</f>
        <v/>
      </c>
      <c r="CT104" s="144" t="str">
        <f aca="false">IF(ISBLANK($C104),"",$CG104)</f>
        <v/>
      </c>
      <c r="CU104" s="145" t="str">
        <f aca="false">IF(ISBLANK($C104),"",IFERROR(_xlfn.SWITCH($CT104,Constants!$B$11,COUNTA($C$9:$C$508)+2,Constants!$B$10,COUNTA($C$9:$C$508)+1,Constants!$B$9,COUNTA($C$9:$C$508)),$CT104))</f>
        <v/>
      </c>
      <c r="CV104" s="9"/>
      <c r="CW104" s="146" t="n">
        <f aca="false">IF(OR(ISNUMBER($CT104),$CT104=Constants!$B$11,$CT104=Constants!$B$9,$CT104=Constants!$B$10),1,0)</f>
        <v>0</v>
      </c>
      <c r="CX104" s="146" t="n">
        <v>96</v>
      </c>
      <c r="CY104" s="146" t="str">
        <f aca="false">IF(ISBLANK($C104),"",IF(ISNUMBER($CU104),$CU104+ROW($B104)/1000,""))</f>
        <v/>
      </c>
      <c r="CZ104" s="146" t="str">
        <f aca="false">IF(ISNUMBER($CY104),RANK($CY104,$CY$9:$CY$508,1),"")</f>
        <v/>
      </c>
      <c r="DA104" s="146" t="str">
        <f aca="false">IF(ISBLANK($C104),"",$B104)</f>
        <v/>
      </c>
      <c r="DB104" s="146" t="str">
        <f aca="false">IF(ISBLANK($C104),"",$C104)</f>
        <v/>
      </c>
      <c r="DC104" s="146" t="str">
        <f aca="false">IF(ISBLANK($C104),"",$D104)</f>
        <v/>
      </c>
      <c r="DD104" s="147" t="str">
        <f aca="false">$CR104</f>
        <v/>
      </c>
      <c r="DE104" s="148" t="str">
        <f aca="false">$CQ104</f>
        <v/>
      </c>
      <c r="DF104" s="146" t="str">
        <f aca="false">IF(ISBLANK($C104),"",$CT104)</f>
        <v/>
      </c>
      <c r="DG104" s="149" t="str">
        <f aca="false">IF($CX104&gt;$CW$8,"",VLOOKUP($CX104,$CZ$9:$DF$508,7,FALSE()))</f>
        <v/>
      </c>
      <c r="DH104" s="150" t="str">
        <f aca="false">IF($CX104&gt;$CW$8,"",VLOOKUP($CX104,$CZ$9:$DF$508,2,FALSE()))</f>
        <v/>
      </c>
      <c r="DI104" s="150" t="str">
        <f aca="false">IF($CX104&gt;$CW$8,"",VLOOKUP($CX104,$CZ$9:$DF$508,3,FALSE()))</f>
        <v/>
      </c>
      <c r="DJ104" s="150" t="str">
        <f aca="false">IF($CX104&gt;$CW$8,"",VLOOKUP($CX104,$CZ$9:$DF$508,4,FALSE()))</f>
        <v/>
      </c>
      <c r="DK104" s="150" t="str">
        <f aca="false">IF($CX104&gt;$CW$8,"",VLOOKUP($CX104,$CZ$9:$DF$508,5,FALSE()))</f>
        <v/>
      </c>
      <c r="DL104" s="151" t="str">
        <f aca="false">IF($CX104&gt;$CW$8,"",VLOOKUP($CX104,$CZ$9:$DF$508,6,FALSE()))</f>
        <v/>
      </c>
      <c r="DM104" s="75"/>
    </row>
    <row r="105" customFormat="false" ht="15.75" hidden="false" customHeight="false" outlineLevel="0" collapsed="false">
      <c r="A105" s="9"/>
      <c r="B105" s="77"/>
      <c r="C105" s="78"/>
      <c r="D105" s="167"/>
      <c r="E105" s="175"/>
      <c r="F105" s="169"/>
      <c r="G105" s="170"/>
      <c r="H105" s="170"/>
      <c r="I105" s="176"/>
      <c r="J105" s="173"/>
      <c r="K105" s="85"/>
      <c r="L105" s="86"/>
      <c r="M105" s="87"/>
      <c r="N105" s="173"/>
      <c r="O105" s="173"/>
      <c r="P105" s="175"/>
      <c r="Q105" s="173"/>
      <c r="R105" s="173"/>
      <c r="S105" s="85"/>
      <c r="T105" s="87"/>
      <c r="U105" s="87"/>
      <c r="V105" s="173"/>
      <c r="W105" s="173"/>
      <c r="X105" s="175"/>
      <c r="Y105" s="173"/>
      <c r="Z105" s="174"/>
      <c r="AA105" s="173"/>
      <c r="AB105" s="91"/>
      <c r="AC105" s="92"/>
      <c r="AD105" s="92"/>
      <c r="AE105" s="92"/>
      <c r="AF105" s="92" t="str">
        <f aca="false">IF(ISBLANK($C105),"",IF(E105=Constants!$B$3,TRUE(),IF(E105=Constants!$B$4,FALSE(),TRUE())))</f>
        <v/>
      </c>
      <c r="AG105" s="92" t="str">
        <f aca="false">IF(ISBLANK($C105),"",IF(F105=Constants!$B$3,TRUE(),IF(F105=Constants!$B$4,FALSE(),TRUE())))</f>
        <v/>
      </c>
      <c r="AH105" s="92" t="str">
        <f aca="false">IF(ISBLANK($C105),"",IF(G105=Constants!$B$3,TRUE(),IF(G105=Constants!$B$4,FALSE(),TRUE())))</f>
        <v/>
      </c>
      <c r="AI105" s="92" t="str">
        <f aca="false">IF(ISBLANK($C105),"",IF(AND(ISNUMBER(H105),H105&gt;=0),H105,Constants!$B$29))</f>
        <v/>
      </c>
      <c r="AJ105" s="92" t="str">
        <f aca="false">IF(ISBLANK($C105),"",IF(I105=Constants!$B$3,TRUE(),IF(I105=Constants!$B$4,FALSE(),TRUE())))</f>
        <v/>
      </c>
      <c r="AK105" s="92" t="str">
        <f aca="false">IF(ISBLANK($C105),"",IF(J105=Constants!$B$3,TRUE(),IF(J105=Constants!$B$4,FALSE(),TRUE())))</f>
        <v/>
      </c>
      <c r="AL105" s="92" t="str">
        <f aca="false">IF(ISBLANK($C105),"",IF(K105=Constants!$B$5,TRUE(),IF(K105=Constants!$B$6,FALSE(),COUNTA(L105:P105)&gt;0)))</f>
        <v/>
      </c>
      <c r="AM105" s="94" t="str">
        <f aca="false">IF(ISBLANK($C105),"",IF(ISNUMBER(L105),IF(L105&gt;=0,L105,""),""))</f>
        <v/>
      </c>
      <c r="AN105" s="93" t="str">
        <f aca="false">IF(ISBLANK($C105),"",IF(ISNUMBER(M105),IF(M105&gt;=0,M105,""),""))</f>
        <v/>
      </c>
      <c r="AO105" s="93" t="str">
        <f aca="false">IF(ISBLANK($C105),"",IF(N105=Constants!$B$3,TRUE(),IF(N105=Constants!$B$4,FALSE(),TRUE())))</f>
        <v/>
      </c>
      <c r="AP105" s="92" t="str">
        <f aca="false">IF(ISBLANK($C105),"",IF(ISNUMBER(O105),IF(O105&gt;=0,O105,""),""))</f>
        <v/>
      </c>
      <c r="AQ105" s="92" t="str">
        <f aca="false">IF(ISBLANK($C105),"",IF(P105=Constants!$B$3,TRUE(),IF(P105=Constants!$B$4,FALSE(),FALSE())))</f>
        <v/>
      </c>
      <c r="AR105" s="92" t="str">
        <f aca="false">IF(ISBLANK($C105),"",IF(Q105=Constants!$B$3,TRUE(),IF(Q105=Constants!$B$4,FALSE(),TRUE())))</f>
        <v/>
      </c>
      <c r="AS105" s="92" t="str">
        <f aca="false">IF(ISBLANK($C105),"",IF(R105=Constants!$B$3,TRUE(),IF(R105=Constants!$B$4,FALSE(),TRUE())))</f>
        <v/>
      </c>
      <c r="AT105" s="92" t="str">
        <f aca="false">IF(ISBLANK($C105),"",IF(S105=Constants!$B$5,TRUE(),IF(S105=Constants!$B$6,FALSE(),COUNTA(T105:X105)&gt;0)))</f>
        <v/>
      </c>
      <c r="AU105" s="94" t="str">
        <f aca="false">IF(ISBLANK($C105),"",IF(ISNUMBER(T105),IF(T105&gt;=0,T105,""),""))</f>
        <v/>
      </c>
      <c r="AV105" s="93" t="str">
        <f aca="false">IF(ISBLANK($C105),"",IF(ISNUMBER(U105),IF(U105&gt;=0,U105,""),""))</f>
        <v/>
      </c>
      <c r="AW105" s="93" t="str">
        <f aca="false">IF(ISBLANK($C105),"",IF(V105=Constants!$B$3,TRUE(),IF(V105=Constants!$B$4,FALSE(),TRUE())))</f>
        <v/>
      </c>
      <c r="AX105" s="92" t="str">
        <f aca="false">IF(ISBLANK($C105),"",IF(ISNUMBER(W105),IF(W105&gt;=0,W105,""),""))</f>
        <v/>
      </c>
      <c r="AY105" s="92" t="str">
        <f aca="false">IF(ISBLANK($C105),"",IF(X105=Constants!$B$3,TRUE(),IF(X105=Constants!$B$4,FALSE(),FALSE())))</f>
        <v/>
      </c>
      <c r="AZ105" s="92" t="str">
        <f aca="false">IF(ISBLANK($C105),"",MIN(Constants!$B$31,MAX(0,IF(ISNUMBER(Y105),Y105*60,0)+IF(ISNUMBER(Z105),Z105,0))))</f>
        <v/>
      </c>
      <c r="BA105" s="92" t="str">
        <f aca="false">IF(ISBLANK($C105),"",IF(AA105=Constants!$B$3,TRUE(),IF(AA105=Constants!$B$4,FALSE(),FALSE())))</f>
        <v/>
      </c>
      <c r="BB105" s="91" t="str">
        <f aca="false">IF(ISBLANK($C105),"",AND($AL105,OR($AM105="",$AN105="",AND($AO105,$AP105=""))))</f>
        <v/>
      </c>
      <c r="BC105" s="93" t="str">
        <f aca="false">IF($BR105&lt;&gt;Constants!$B$8,"",IF($AL105,Constants!$B$21*$AN105+Constants!$B$22*IF($AO105,$AP105,Constants!$B$23),Constants!$B$24))</f>
        <v/>
      </c>
      <c r="BD105" s="96" t="str">
        <f aca="false">IF($BR105&lt;&gt;Constants!$B$8,"",Constants!$B$25*ABS($AD$9-IF($AL105,$AM105,0)))</f>
        <v/>
      </c>
      <c r="BE105" s="96" t="str">
        <f aca="false">IF($BR105&lt;&gt;Constants!$B$8,"",IF(AND($AL105,$AQ105,$AO105),Constants!$B$27,0))</f>
        <v/>
      </c>
      <c r="BF105" s="96" t="str">
        <f aca="false">IF($BR105&lt;&gt;Constants!$B$8,"",IF($AL105,($AI105-Constants!$B$29)*Constants!$B$28,0))</f>
        <v/>
      </c>
      <c r="BG105" s="96" t="str">
        <f aca="false">IF($BR105&lt;&gt;Constants!$B$8,"",IF($AK105,0,Constants!$B$15)+IF($AJ105,0,Constants!$B$16)+IF($AH105,0,Constants!$B$17))</f>
        <v/>
      </c>
      <c r="BH105" s="97" t="str">
        <f aca="false">IF($BR105&lt;&gt;Constants!$B$8,"",Constants!$B$20+SUM($BC105:$BG105))</f>
        <v/>
      </c>
      <c r="BI105" s="92" t="str">
        <f aca="false">IF($BR105&lt;&gt;Constants!$B$8,"",IF(OR($BP105&lt;$BH105,AND($BP105=$BH105,OR($BK105&lt;$BC105,AND($BK105=$BC105,OR($BL105&lt;$BD105,AND($BL105=$BD105,$AT105,$AL105,$AV105&lt;$AN105)))))),"-&gt;","&lt;-"))</f>
        <v/>
      </c>
      <c r="BJ105" s="91" t="str">
        <f aca="false">IF(ISBLANK($C105),"",AND($AT105,OR($AU105="",$AV105="",AND($AW105,$AX105=""))))</f>
        <v/>
      </c>
      <c r="BK105" s="93" t="str">
        <f aca="false">IF($BR105&lt;&gt;Constants!$B$8,"",IF($AT105,Constants!$B$21*$AV105+Constants!$B$22*IF($AW105,$AX105,Constants!$B$23),Constants!$B$24))</f>
        <v/>
      </c>
      <c r="BL105" s="96" t="str">
        <f aca="false">IF($BR105&lt;&gt;Constants!$B$8,"",Constants!$B$25*ABS($AD$9-IF($AT105,$AU105,0)))</f>
        <v/>
      </c>
      <c r="BM105" s="96" t="str">
        <f aca="false">IF($BR105&lt;&gt;Constants!$B$8,"",IF(AND($AT105,$AY105,$AW105),Constants!$B$27,0))</f>
        <v/>
      </c>
      <c r="BN105" s="96" t="str">
        <f aca="false">IF($BR105&lt;&gt;Constants!$B$8,"",IF($AT105,($AI105-Constants!$B$29)*Constants!$B$28,0))</f>
        <v/>
      </c>
      <c r="BO105" s="96" t="str">
        <f aca="false">IF($BR105&lt;&gt;Constants!$B$8,"",IF($AS105,0,Constants!$B$15)+IF($AR105,0,Constants!$B$16)+IF($AH105,0,Constants!$B$17))</f>
        <v/>
      </c>
      <c r="BP105" s="97" t="str">
        <f aca="false">IF($BR105&lt;&gt;Constants!$B$8,"",Constants!$B$20+SUM($BK105:$BO105))</f>
        <v/>
      </c>
      <c r="BQ105" s="92" t="str">
        <f aca="false">IF(ISBLANK($C105),"",IF(ISBLANK($D$7),$BQ$5,IF(NOT(ISNUMBER($D$7)),$BQ$6,"")))</f>
        <v/>
      </c>
      <c r="BR105" s="92" t="str">
        <f aca="false">IF(ISBLANK($C105),"",IF($BA105,Constants!$B$11,IF(COUNTA($E105:$AA105)=0,Constants!$B$10,IF(NOT($AG105),Constants!$B$9,IF(OR($BQ105&lt;&gt;"",$BB105,$BJ105),Constants!$B$12,Constants!$B$8)))))</f>
        <v/>
      </c>
      <c r="BS105" s="92" t="str">
        <f aca="false">IF(ISBLANK($C105),"",IF($BR105&lt;&gt;Constants!$B$8,$BR105,Constants!$B$13))</f>
        <v/>
      </c>
      <c r="BT105" s="96" t="str">
        <f aca="false">IF($BR105&lt;&gt;Constants!$B$8,"",IF($BI105="-&gt;",$BP105,$BH105))</f>
        <v/>
      </c>
      <c r="BU105" s="96" t="str">
        <f aca="false">IF($BR105&lt;&gt;Constants!$B$8,"",IF($AF105,0,Constants!$B$18))</f>
        <v/>
      </c>
      <c r="BV105" s="96" t="str">
        <f aca="false">IF($BR105&lt;&gt;Constants!$B$8,"",((Constants!$B$31-$AZ105)-Constants!$B$31)/Constants!$B$32)</f>
        <v/>
      </c>
      <c r="BW105" s="96" t="str">
        <f aca="false">IF(ISBLANK($C105),"",IF($BR105&lt;&gt;Constants!$B$8,$BR105,SUM($BT105:$BV105)))</f>
        <v/>
      </c>
      <c r="BX105" s="92" t="str">
        <f aca="false">IF(ISBLANK($C105),"",IF($BR105&lt;&gt;Constants!$B$8,$BR105,RANK($BW105,$BW$9:$BW$508,1)))</f>
        <v/>
      </c>
      <c r="BY105" s="96" t="str">
        <f aca="false">IF($BR105&lt;&gt;Constants!$B$8,"",IF($BI105="-&gt;",$BK105,$BC105))</f>
        <v/>
      </c>
      <c r="BZ105" s="92" t="str">
        <f aca="false">IF(ISBLANK($C105),"",IF($BR105&lt;&gt;Constants!$B$8,$BR105,IF(ISNUMBER($BY105),RANK($BY105,$BY$9:$BY$508,1),COUNT($BY$9:$BY$508)+1)))</f>
        <v/>
      </c>
      <c r="CA105" s="96" t="str">
        <f aca="false">IF($BR105&lt;&gt;Constants!$B$8,"",IF($BI105="-&gt;",$BL105,$BD105))</f>
        <v/>
      </c>
      <c r="CB105" s="92" t="str">
        <f aca="false">IF(ISBLANK($C105),"",IF($BR105&lt;&gt;Constants!$B$8,$BR105,IF(ISNUMBER($CA105),RANK($CA105,$CA$9:$CA$508,1),COUNT($CA$9:$CA$508)+1)))</f>
        <v/>
      </c>
      <c r="CC105" s="96" t="str">
        <f aca="false">IF($BR105&lt;&gt;Constants!$B$8,"",IF($BI105="-&gt;",IF($AT105,$AV105,""),IF($AL105,$AN105,"")))</f>
        <v/>
      </c>
      <c r="CD105" s="92" t="str">
        <f aca="false">IF(ISBLANK($C105),"",IF($BR105&lt;&gt;Constants!$B$8,$BR105,IF(ISNUMBER($CC105),RANK($CC105,$CC$9:$CC$508,1),COUNT($CC$9:$CC$508)+1)))</f>
        <v/>
      </c>
      <c r="CE105" s="96" t="str">
        <f aca="false">IF($BR105&lt;&gt;Constants!$B$8,"",IF(AND(NOT($AL105),NOT($AT105),$AJ105,$AK105,$AR105,$AS105),"",$AI105))</f>
        <v/>
      </c>
      <c r="CF105" s="92" t="str">
        <f aca="false">IF(ISBLANK($C105),"",IF($BR105&lt;&gt;Constants!$B$8,$BR105,IF(ISNUMBER($CE105),RANK($CE105,$CE$9:$CE$508,1),COUNT($CE$9:$CE$508)+1)))</f>
        <v/>
      </c>
      <c r="CG105" s="92" t="str">
        <f aca="false">IF(ISBLANK($C105),"",IF($BR105&lt;&gt;Constants!$B$8,$BR105,COUNTIFS($BX$9:$BX$508,"&lt;"&amp;$BX105)+COUNTIFS($BX$9:$BX$508,$BX105,$BZ$9:$BZ$508,"&lt;"&amp;$BZ105)+COUNTIFS($BX$9:$BX$508,$BX105,$BZ$9:$BZ$508,$BZ105,$CB$9:$CB$508,"&lt;"&amp;$CB105)+COUNTIFS($BX$9:$BX$508,$BX105,$BZ$9:$BZ$508,$BZ105,$CB$9:$CB$508,$CB105,$CD$9:$CD$508,"&lt;"&amp;$CD105)+COUNTIFS($BX$9:$BX$508,$BX105,$BZ$9:$BZ$508,$BZ105,$CB$9:$CB$508,$CB105,$CD$9:$CD$508,$CD105,$CF$9:$CF$508,"&lt;"&amp;$CF105)+1))</f>
        <v/>
      </c>
      <c r="CH105" s="92" t="str">
        <f aca="false">IF(ISBLANK($C105),"",IF($BR105&lt;&gt;Constants!$B$8,$BR105,$BX105-$CG105))</f>
        <v/>
      </c>
      <c r="CI105" s="98"/>
      <c r="CJ105" s="99"/>
      <c r="CK105" s="100" t="str">
        <f aca="false">IF(ISBLANK($C105),"",IF($BR105=Constants!$B$12,$BQ105,""))</f>
        <v/>
      </c>
      <c r="CL105" s="99" t="str">
        <f aca="false">IF(ISBLANK($C105),"",IF($BR105&lt;&gt;Constants!$B$8,"",IF($BI105="-&gt;",2,1)))</f>
        <v/>
      </c>
      <c r="CM105" s="101" t="str">
        <f aca="false">IF(ISBLANK($C105),"",IF($BR105&lt;&gt;Constants!$B$8,"",IF($BI105="-&gt;",$BK105,$BC105)))</f>
        <v/>
      </c>
      <c r="CN105" s="101" t="str">
        <f aca="false">IF(ISBLANK($C105),"",IF($BR105&lt;&gt;Constants!$B$8,"",IF($BI105="-&gt;",$BL105,$BD105)))</f>
        <v/>
      </c>
      <c r="CO105" s="101" t="str">
        <f aca="false">IF(ISBLANK($C105),"",IF($BR105&lt;&gt;Constants!$B$8,"",IF($BI105="-&gt;",$BM105+$BN105,$BE105+$BF105)+$BV105))</f>
        <v/>
      </c>
      <c r="CP105" s="101" t="str">
        <f aca="false">IF(ISBLANK($C105),"",IF($BR105&lt;&gt;Constants!$B$8,"",IF($BI105="-&gt;",$BO105,$BG105)+$BU105))</f>
        <v/>
      </c>
      <c r="CQ105" s="102" t="str">
        <f aca="false">IF(ISBLANK($C105),"",IF($BR105&lt;&gt;Constants!$B$8,$BR105,$BW105))</f>
        <v/>
      </c>
      <c r="CR105" s="103" t="str">
        <f aca="false">IF(ISBLANK($C105),"",$BS105)</f>
        <v/>
      </c>
      <c r="CS105" s="104" t="str">
        <f aca="false">IF(ISBLANK($C105),"",$CH105)</f>
        <v/>
      </c>
      <c r="CT105" s="104" t="str">
        <f aca="false">IF(ISBLANK($C105),"",$CG105)</f>
        <v/>
      </c>
      <c r="CU105" s="105" t="str">
        <f aca="false">IF(ISBLANK($C105),"",IFERROR(_xlfn.SWITCH($CT105,Constants!$B$11,COUNTA($C$9:$C$508)+2,Constants!$B$10,COUNTA($C$9:$C$508)+1,Constants!$B$9,COUNTA($C$9:$C$508)),$CT105))</f>
        <v/>
      </c>
      <c r="CV105" s="9"/>
      <c r="CW105" s="106" t="n">
        <f aca="false">IF(OR(ISNUMBER($CT105),$CT105=Constants!$B$11,$CT105=Constants!$B$9,$CT105=Constants!$B$10),1,0)</f>
        <v>0</v>
      </c>
      <c r="CX105" s="106" t="n">
        <v>97</v>
      </c>
      <c r="CY105" s="106" t="str">
        <f aca="false">IF(ISBLANK($C105),"",IF(ISNUMBER($CU105),$CU105+ROW($B105)/1000,""))</f>
        <v/>
      </c>
      <c r="CZ105" s="106" t="str">
        <f aca="false">IF(ISNUMBER($CY105),RANK($CY105,$CY$9:$CY$508,1),"")</f>
        <v/>
      </c>
      <c r="DA105" s="106" t="str">
        <f aca="false">IF(ISBLANK($C105),"",$B105)</f>
        <v/>
      </c>
      <c r="DB105" s="106" t="str">
        <f aca="false">IF(ISBLANK($C105),"",$C105)</f>
        <v/>
      </c>
      <c r="DC105" s="106" t="str">
        <f aca="false">IF(ISBLANK($C105),"",$D105)</f>
        <v/>
      </c>
      <c r="DD105" s="107" t="str">
        <f aca="false">$CR105</f>
        <v/>
      </c>
      <c r="DE105" s="108" t="str">
        <f aca="false">$CQ105</f>
        <v/>
      </c>
      <c r="DF105" s="106" t="str">
        <f aca="false">IF(ISBLANK($C105),"",$CT105)</f>
        <v/>
      </c>
      <c r="DG105" s="109" t="str">
        <f aca="false">IF($CX105&gt;$CW$8,"",VLOOKUP($CX105,$CZ$9:$DF$508,7,FALSE()))</f>
        <v/>
      </c>
      <c r="DH105" s="110" t="str">
        <f aca="false">IF($CX105&gt;$CW$8,"",VLOOKUP($CX105,$CZ$9:$DF$508,2,FALSE()))</f>
        <v/>
      </c>
      <c r="DI105" s="110" t="str">
        <f aca="false">IF($CX105&gt;$CW$8,"",VLOOKUP($CX105,$CZ$9:$DF$508,3,FALSE()))</f>
        <v/>
      </c>
      <c r="DJ105" s="110" t="str">
        <f aca="false">IF($CX105&gt;$CW$8,"",VLOOKUP($CX105,$CZ$9:$DF$508,4,FALSE()))</f>
        <v/>
      </c>
      <c r="DK105" s="110" t="str">
        <f aca="false">IF($CX105&gt;$CW$8,"",VLOOKUP($CX105,$CZ$9:$DF$508,5,FALSE()))</f>
        <v/>
      </c>
      <c r="DL105" s="111" t="str">
        <f aca="false">IF($CX105&gt;$CW$8,"",VLOOKUP($CX105,$CZ$9:$DF$508,6,FALSE()))</f>
        <v/>
      </c>
      <c r="DM105" s="75"/>
    </row>
    <row r="106" customFormat="false" ht="15.75" hidden="false" customHeight="false" outlineLevel="0" collapsed="false">
      <c r="A106" s="9"/>
      <c r="B106" s="77"/>
      <c r="C106" s="78"/>
      <c r="D106" s="167"/>
      <c r="E106" s="175"/>
      <c r="F106" s="169"/>
      <c r="G106" s="170"/>
      <c r="H106" s="170"/>
      <c r="I106" s="176"/>
      <c r="J106" s="173"/>
      <c r="K106" s="85"/>
      <c r="L106" s="86"/>
      <c r="M106" s="87"/>
      <c r="N106" s="173"/>
      <c r="O106" s="173"/>
      <c r="P106" s="175"/>
      <c r="Q106" s="173"/>
      <c r="R106" s="173"/>
      <c r="S106" s="85"/>
      <c r="T106" s="87"/>
      <c r="U106" s="87"/>
      <c r="V106" s="173"/>
      <c r="W106" s="173"/>
      <c r="X106" s="175"/>
      <c r="Y106" s="173"/>
      <c r="Z106" s="174"/>
      <c r="AA106" s="173"/>
      <c r="AB106" s="91"/>
      <c r="AC106" s="92"/>
      <c r="AD106" s="92"/>
      <c r="AE106" s="92"/>
      <c r="AF106" s="92" t="str">
        <f aca="false">IF(ISBLANK($C106),"",IF(E106=Constants!$B$3,TRUE(),IF(E106=Constants!$B$4,FALSE(),TRUE())))</f>
        <v/>
      </c>
      <c r="AG106" s="92" t="str">
        <f aca="false">IF(ISBLANK($C106),"",IF(F106=Constants!$B$3,TRUE(),IF(F106=Constants!$B$4,FALSE(),TRUE())))</f>
        <v/>
      </c>
      <c r="AH106" s="92" t="str">
        <f aca="false">IF(ISBLANK($C106),"",IF(G106=Constants!$B$3,TRUE(),IF(G106=Constants!$B$4,FALSE(),TRUE())))</f>
        <v/>
      </c>
      <c r="AI106" s="92" t="str">
        <f aca="false">IF(ISBLANK($C106),"",IF(AND(ISNUMBER(H106),H106&gt;=0),H106,Constants!$B$29))</f>
        <v/>
      </c>
      <c r="AJ106" s="92" t="str">
        <f aca="false">IF(ISBLANK($C106),"",IF(I106=Constants!$B$3,TRUE(),IF(I106=Constants!$B$4,FALSE(),TRUE())))</f>
        <v/>
      </c>
      <c r="AK106" s="92" t="str">
        <f aca="false">IF(ISBLANK($C106),"",IF(J106=Constants!$B$3,TRUE(),IF(J106=Constants!$B$4,FALSE(),TRUE())))</f>
        <v/>
      </c>
      <c r="AL106" s="92" t="str">
        <f aca="false">IF(ISBLANK($C106),"",IF(K106=Constants!$B$5,TRUE(),IF(K106=Constants!$B$6,FALSE(),COUNTA(L106:P106)&gt;0)))</f>
        <v/>
      </c>
      <c r="AM106" s="94" t="str">
        <f aca="false">IF(ISBLANK($C106),"",IF(ISNUMBER(L106),IF(L106&gt;=0,L106,""),""))</f>
        <v/>
      </c>
      <c r="AN106" s="93" t="str">
        <f aca="false">IF(ISBLANK($C106),"",IF(ISNUMBER(M106),IF(M106&gt;=0,M106,""),""))</f>
        <v/>
      </c>
      <c r="AO106" s="93" t="str">
        <f aca="false">IF(ISBLANK($C106),"",IF(N106=Constants!$B$3,TRUE(),IF(N106=Constants!$B$4,FALSE(),TRUE())))</f>
        <v/>
      </c>
      <c r="AP106" s="92" t="str">
        <f aca="false">IF(ISBLANK($C106),"",IF(ISNUMBER(O106),IF(O106&gt;=0,O106,""),""))</f>
        <v/>
      </c>
      <c r="AQ106" s="92" t="str">
        <f aca="false">IF(ISBLANK($C106),"",IF(P106=Constants!$B$3,TRUE(),IF(P106=Constants!$B$4,FALSE(),FALSE())))</f>
        <v/>
      </c>
      <c r="AR106" s="92" t="str">
        <f aca="false">IF(ISBLANK($C106),"",IF(Q106=Constants!$B$3,TRUE(),IF(Q106=Constants!$B$4,FALSE(),TRUE())))</f>
        <v/>
      </c>
      <c r="AS106" s="92" t="str">
        <f aca="false">IF(ISBLANK($C106),"",IF(R106=Constants!$B$3,TRUE(),IF(R106=Constants!$B$4,FALSE(),TRUE())))</f>
        <v/>
      </c>
      <c r="AT106" s="92" t="str">
        <f aca="false">IF(ISBLANK($C106),"",IF(S106=Constants!$B$5,TRUE(),IF(S106=Constants!$B$6,FALSE(),COUNTA(T106:X106)&gt;0)))</f>
        <v/>
      </c>
      <c r="AU106" s="94" t="str">
        <f aca="false">IF(ISBLANK($C106),"",IF(ISNUMBER(T106),IF(T106&gt;=0,T106,""),""))</f>
        <v/>
      </c>
      <c r="AV106" s="93" t="str">
        <f aca="false">IF(ISBLANK($C106),"",IF(ISNUMBER(U106),IF(U106&gt;=0,U106,""),""))</f>
        <v/>
      </c>
      <c r="AW106" s="93" t="str">
        <f aca="false">IF(ISBLANK($C106),"",IF(V106=Constants!$B$3,TRUE(),IF(V106=Constants!$B$4,FALSE(),TRUE())))</f>
        <v/>
      </c>
      <c r="AX106" s="92" t="str">
        <f aca="false">IF(ISBLANK($C106),"",IF(ISNUMBER(W106),IF(W106&gt;=0,W106,""),""))</f>
        <v/>
      </c>
      <c r="AY106" s="92" t="str">
        <f aca="false">IF(ISBLANK($C106),"",IF(X106=Constants!$B$3,TRUE(),IF(X106=Constants!$B$4,FALSE(),FALSE())))</f>
        <v/>
      </c>
      <c r="AZ106" s="92" t="str">
        <f aca="false">IF(ISBLANK($C106),"",MIN(Constants!$B$31,MAX(0,IF(ISNUMBER(Y106),Y106*60,0)+IF(ISNUMBER(Z106),Z106,0))))</f>
        <v/>
      </c>
      <c r="BA106" s="92" t="str">
        <f aca="false">IF(ISBLANK($C106),"",IF(AA106=Constants!$B$3,TRUE(),IF(AA106=Constants!$B$4,FALSE(),FALSE())))</f>
        <v/>
      </c>
      <c r="BB106" s="91" t="str">
        <f aca="false">IF(ISBLANK($C106),"",AND($AL106,OR($AM106="",$AN106="",AND($AO106,$AP106=""))))</f>
        <v/>
      </c>
      <c r="BC106" s="93" t="str">
        <f aca="false">IF($BR106&lt;&gt;Constants!$B$8,"",IF($AL106,Constants!$B$21*$AN106+Constants!$B$22*IF($AO106,$AP106,Constants!$B$23),Constants!$B$24))</f>
        <v/>
      </c>
      <c r="BD106" s="96" t="str">
        <f aca="false">IF($BR106&lt;&gt;Constants!$B$8,"",Constants!$B$25*ABS($AD$9-IF($AL106,$AM106,0)))</f>
        <v/>
      </c>
      <c r="BE106" s="96" t="str">
        <f aca="false">IF($BR106&lt;&gt;Constants!$B$8,"",IF(AND($AL106,$AQ106,$AO106),Constants!$B$27,0))</f>
        <v/>
      </c>
      <c r="BF106" s="96" t="str">
        <f aca="false">IF($BR106&lt;&gt;Constants!$B$8,"",IF($AL106,($AI106-Constants!$B$29)*Constants!$B$28,0))</f>
        <v/>
      </c>
      <c r="BG106" s="96" t="str">
        <f aca="false">IF($BR106&lt;&gt;Constants!$B$8,"",IF($AK106,0,Constants!$B$15)+IF($AJ106,0,Constants!$B$16)+IF($AH106,0,Constants!$B$17))</f>
        <v/>
      </c>
      <c r="BH106" s="97" t="str">
        <f aca="false">IF($BR106&lt;&gt;Constants!$B$8,"",Constants!$B$20+SUM($BC106:$BG106))</f>
        <v/>
      </c>
      <c r="BI106" s="92" t="str">
        <f aca="false">IF($BR106&lt;&gt;Constants!$B$8,"",IF(OR($BP106&lt;$BH106,AND($BP106=$BH106,OR($BK106&lt;$BC106,AND($BK106=$BC106,OR($BL106&lt;$BD106,AND($BL106=$BD106,$AT106,$AL106,$AV106&lt;$AN106)))))),"-&gt;","&lt;-"))</f>
        <v/>
      </c>
      <c r="BJ106" s="91" t="str">
        <f aca="false">IF(ISBLANK($C106),"",AND($AT106,OR($AU106="",$AV106="",AND($AW106,$AX106=""))))</f>
        <v/>
      </c>
      <c r="BK106" s="93" t="str">
        <f aca="false">IF($BR106&lt;&gt;Constants!$B$8,"",IF($AT106,Constants!$B$21*$AV106+Constants!$B$22*IF($AW106,$AX106,Constants!$B$23),Constants!$B$24))</f>
        <v/>
      </c>
      <c r="BL106" s="96" t="str">
        <f aca="false">IF($BR106&lt;&gt;Constants!$B$8,"",Constants!$B$25*ABS($AD$9-IF($AT106,$AU106,0)))</f>
        <v/>
      </c>
      <c r="BM106" s="96" t="str">
        <f aca="false">IF($BR106&lt;&gt;Constants!$B$8,"",IF(AND($AT106,$AY106,$AW106),Constants!$B$27,0))</f>
        <v/>
      </c>
      <c r="BN106" s="96" t="str">
        <f aca="false">IF($BR106&lt;&gt;Constants!$B$8,"",IF($AT106,($AI106-Constants!$B$29)*Constants!$B$28,0))</f>
        <v/>
      </c>
      <c r="BO106" s="96" t="str">
        <f aca="false">IF($BR106&lt;&gt;Constants!$B$8,"",IF($AS106,0,Constants!$B$15)+IF($AR106,0,Constants!$B$16)+IF($AH106,0,Constants!$B$17))</f>
        <v/>
      </c>
      <c r="BP106" s="97" t="str">
        <f aca="false">IF($BR106&lt;&gt;Constants!$B$8,"",Constants!$B$20+SUM($BK106:$BO106))</f>
        <v/>
      </c>
      <c r="BQ106" s="92" t="str">
        <f aca="false">IF(ISBLANK($C106),"",IF(ISBLANK($D$7),$BQ$5,IF(NOT(ISNUMBER($D$7)),$BQ$6,"")))</f>
        <v/>
      </c>
      <c r="BR106" s="92" t="str">
        <f aca="false">IF(ISBLANK($C106),"",IF($BA106,Constants!$B$11,IF(COUNTA($E106:$AA106)=0,Constants!$B$10,IF(NOT($AG106),Constants!$B$9,IF(OR($BQ106&lt;&gt;"",$BB106,$BJ106),Constants!$B$12,Constants!$B$8)))))</f>
        <v/>
      </c>
      <c r="BS106" s="92" t="str">
        <f aca="false">IF(ISBLANK($C106),"",IF($BR106&lt;&gt;Constants!$B$8,$BR106,Constants!$B$13))</f>
        <v/>
      </c>
      <c r="BT106" s="96" t="str">
        <f aca="false">IF($BR106&lt;&gt;Constants!$B$8,"",IF($BI106="-&gt;",$BP106,$BH106))</f>
        <v/>
      </c>
      <c r="BU106" s="96" t="str">
        <f aca="false">IF($BR106&lt;&gt;Constants!$B$8,"",IF($AF106,0,Constants!$B$18))</f>
        <v/>
      </c>
      <c r="BV106" s="96" t="str">
        <f aca="false">IF($BR106&lt;&gt;Constants!$B$8,"",((Constants!$B$31-$AZ106)-Constants!$B$31)/Constants!$B$32)</f>
        <v/>
      </c>
      <c r="BW106" s="96" t="str">
        <f aca="false">IF(ISBLANK($C106),"",IF($BR106&lt;&gt;Constants!$B$8,$BR106,SUM($BT106:$BV106)))</f>
        <v/>
      </c>
      <c r="BX106" s="92" t="str">
        <f aca="false">IF(ISBLANK($C106),"",IF($BR106&lt;&gt;Constants!$B$8,$BR106,RANK($BW106,$BW$9:$BW$508,1)))</f>
        <v/>
      </c>
      <c r="BY106" s="96" t="str">
        <f aca="false">IF($BR106&lt;&gt;Constants!$B$8,"",IF($BI106="-&gt;",$BK106,$BC106))</f>
        <v/>
      </c>
      <c r="BZ106" s="92" t="str">
        <f aca="false">IF(ISBLANK($C106),"",IF($BR106&lt;&gt;Constants!$B$8,$BR106,IF(ISNUMBER($BY106),RANK($BY106,$BY$9:$BY$508,1),COUNT($BY$9:$BY$508)+1)))</f>
        <v/>
      </c>
      <c r="CA106" s="96" t="str">
        <f aca="false">IF($BR106&lt;&gt;Constants!$B$8,"",IF($BI106="-&gt;",$BL106,$BD106))</f>
        <v/>
      </c>
      <c r="CB106" s="92" t="str">
        <f aca="false">IF(ISBLANK($C106),"",IF($BR106&lt;&gt;Constants!$B$8,$BR106,IF(ISNUMBER($CA106),RANK($CA106,$CA$9:$CA$508,1),COUNT($CA$9:$CA$508)+1)))</f>
        <v/>
      </c>
      <c r="CC106" s="96" t="str">
        <f aca="false">IF($BR106&lt;&gt;Constants!$B$8,"",IF($BI106="-&gt;",IF($AT106,$AV106,""),IF($AL106,$AN106,"")))</f>
        <v/>
      </c>
      <c r="CD106" s="92" t="str">
        <f aca="false">IF(ISBLANK($C106),"",IF($BR106&lt;&gt;Constants!$B$8,$BR106,IF(ISNUMBER($CC106),RANK($CC106,$CC$9:$CC$508,1),COUNT($CC$9:$CC$508)+1)))</f>
        <v/>
      </c>
      <c r="CE106" s="96" t="str">
        <f aca="false">IF($BR106&lt;&gt;Constants!$B$8,"",IF(AND(NOT($AL106),NOT($AT106),$AJ106,$AK106,$AR106,$AS106),"",$AI106))</f>
        <v/>
      </c>
      <c r="CF106" s="92" t="str">
        <f aca="false">IF(ISBLANK($C106),"",IF($BR106&lt;&gt;Constants!$B$8,$BR106,IF(ISNUMBER($CE106),RANK($CE106,$CE$9:$CE$508,1),COUNT($CE$9:$CE$508)+1)))</f>
        <v/>
      </c>
      <c r="CG106" s="92" t="str">
        <f aca="false">IF(ISBLANK($C106),"",IF($BR106&lt;&gt;Constants!$B$8,$BR106,COUNTIFS($BX$9:$BX$508,"&lt;"&amp;$BX106)+COUNTIFS($BX$9:$BX$508,$BX106,$BZ$9:$BZ$508,"&lt;"&amp;$BZ106)+COUNTIFS($BX$9:$BX$508,$BX106,$BZ$9:$BZ$508,$BZ106,$CB$9:$CB$508,"&lt;"&amp;$CB106)+COUNTIFS($BX$9:$BX$508,$BX106,$BZ$9:$BZ$508,$BZ106,$CB$9:$CB$508,$CB106,$CD$9:$CD$508,"&lt;"&amp;$CD106)+COUNTIFS($BX$9:$BX$508,$BX106,$BZ$9:$BZ$508,$BZ106,$CB$9:$CB$508,$CB106,$CD$9:$CD$508,$CD106,$CF$9:$CF$508,"&lt;"&amp;$CF106)+1))</f>
        <v/>
      </c>
      <c r="CH106" s="92" t="str">
        <f aca="false">IF(ISBLANK($C106),"",IF($BR106&lt;&gt;Constants!$B$8,$BR106,$BX106-$CG106))</f>
        <v/>
      </c>
      <c r="CI106" s="98"/>
      <c r="CJ106" s="99"/>
      <c r="CK106" s="100" t="str">
        <f aca="false">IF(ISBLANK($C106),"",IF($BR106=Constants!$B$12,$BQ106,""))</f>
        <v/>
      </c>
      <c r="CL106" s="99" t="str">
        <f aca="false">IF(ISBLANK($C106),"",IF($BR106&lt;&gt;Constants!$B$8,"",IF($BI106="-&gt;",2,1)))</f>
        <v/>
      </c>
      <c r="CM106" s="101" t="str">
        <f aca="false">IF(ISBLANK($C106),"",IF($BR106&lt;&gt;Constants!$B$8,"",IF($BI106="-&gt;",$BK106,$BC106)))</f>
        <v/>
      </c>
      <c r="CN106" s="101" t="str">
        <f aca="false">IF(ISBLANK($C106),"",IF($BR106&lt;&gt;Constants!$B$8,"",IF($BI106="-&gt;",$BL106,$BD106)))</f>
        <v/>
      </c>
      <c r="CO106" s="101" t="str">
        <f aca="false">IF(ISBLANK($C106),"",IF($BR106&lt;&gt;Constants!$B$8,"",IF($BI106="-&gt;",$BM106+$BN106,$BE106+$BF106)+$BV106))</f>
        <v/>
      </c>
      <c r="CP106" s="101" t="str">
        <f aca="false">IF(ISBLANK($C106),"",IF($BR106&lt;&gt;Constants!$B$8,"",IF($BI106="-&gt;",$BO106,$BG106)+$BU106))</f>
        <v/>
      </c>
      <c r="CQ106" s="102" t="str">
        <f aca="false">IF(ISBLANK($C106),"",IF($BR106&lt;&gt;Constants!$B$8,$BR106,$BW106))</f>
        <v/>
      </c>
      <c r="CR106" s="103" t="str">
        <f aca="false">IF(ISBLANK($C106),"",$BS106)</f>
        <v/>
      </c>
      <c r="CS106" s="104" t="str">
        <f aca="false">IF(ISBLANK($C106),"",$CH106)</f>
        <v/>
      </c>
      <c r="CT106" s="104" t="str">
        <f aca="false">IF(ISBLANK($C106),"",$CG106)</f>
        <v/>
      </c>
      <c r="CU106" s="105" t="str">
        <f aca="false">IF(ISBLANK($C106),"",IFERROR(_xlfn.SWITCH($CT106,Constants!$B$11,COUNTA($C$9:$C$508)+2,Constants!$B$10,COUNTA($C$9:$C$508)+1,Constants!$B$9,COUNTA($C$9:$C$508)),$CT106))</f>
        <v/>
      </c>
      <c r="CV106" s="9"/>
      <c r="CW106" s="106" t="n">
        <f aca="false">IF(OR(ISNUMBER($CT106),$CT106=Constants!$B$11,$CT106=Constants!$B$9,$CT106=Constants!$B$10),1,0)</f>
        <v>0</v>
      </c>
      <c r="CX106" s="106" t="n">
        <v>98</v>
      </c>
      <c r="CY106" s="106" t="str">
        <f aca="false">IF(ISBLANK($C106),"",IF(ISNUMBER($CU106),$CU106+ROW($B106)/1000,""))</f>
        <v/>
      </c>
      <c r="CZ106" s="106" t="str">
        <f aca="false">IF(ISNUMBER($CY106),RANK($CY106,$CY$9:$CY$508,1),"")</f>
        <v/>
      </c>
      <c r="DA106" s="106" t="str">
        <f aca="false">IF(ISBLANK($C106),"",$B106)</f>
        <v/>
      </c>
      <c r="DB106" s="106" t="str">
        <f aca="false">IF(ISBLANK($C106),"",$C106)</f>
        <v/>
      </c>
      <c r="DC106" s="106" t="str">
        <f aca="false">IF(ISBLANK($C106),"",$D106)</f>
        <v/>
      </c>
      <c r="DD106" s="107" t="str">
        <f aca="false">$CR106</f>
        <v/>
      </c>
      <c r="DE106" s="108" t="str">
        <f aca="false">$CQ106</f>
        <v/>
      </c>
      <c r="DF106" s="106" t="str">
        <f aca="false">IF(ISBLANK($C106),"",$CT106)</f>
        <v/>
      </c>
      <c r="DG106" s="109" t="str">
        <f aca="false">IF($CX106&gt;$CW$8,"",VLOOKUP($CX106,$CZ$9:$DF$508,7,FALSE()))</f>
        <v/>
      </c>
      <c r="DH106" s="110" t="str">
        <f aca="false">IF($CX106&gt;$CW$8,"",VLOOKUP($CX106,$CZ$9:$DF$508,2,FALSE()))</f>
        <v/>
      </c>
      <c r="DI106" s="110" t="str">
        <f aca="false">IF($CX106&gt;$CW$8,"",VLOOKUP($CX106,$CZ$9:$DF$508,3,FALSE()))</f>
        <v/>
      </c>
      <c r="DJ106" s="110" t="str">
        <f aca="false">IF($CX106&gt;$CW$8,"",VLOOKUP($CX106,$CZ$9:$DF$508,4,FALSE()))</f>
        <v/>
      </c>
      <c r="DK106" s="110" t="str">
        <f aca="false">IF($CX106&gt;$CW$8,"",VLOOKUP($CX106,$CZ$9:$DF$508,5,FALSE()))</f>
        <v/>
      </c>
      <c r="DL106" s="111" t="str">
        <f aca="false">IF($CX106&gt;$CW$8,"",VLOOKUP($CX106,$CZ$9:$DF$508,6,FALSE()))</f>
        <v/>
      </c>
      <c r="DM106" s="75"/>
    </row>
    <row r="107" customFormat="false" ht="15.75" hidden="false" customHeight="false" outlineLevel="0" collapsed="false">
      <c r="A107" s="9"/>
      <c r="B107" s="77"/>
      <c r="C107" s="78"/>
      <c r="D107" s="167"/>
      <c r="E107" s="175"/>
      <c r="F107" s="169"/>
      <c r="G107" s="170"/>
      <c r="H107" s="170"/>
      <c r="I107" s="176"/>
      <c r="J107" s="173"/>
      <c r="K107" s="85"/>
      <c r="L107" s="86"/>
      <c r="M107" s="87"/>
      <c r="N107" s="173"/>
      <c r="O107" s="173"/>
      <c r="P107" s="175"/>
      <c r="Q107" s="173"/>
      <c r="R107" s="173"/>
      <c r="S107" s="85"/>
      <c r="T107" s="87"/>
      <c r="U107" s="87"/>
      <c r="V107" s="173"/>
      <c r="W107" s="173"/>
      <c r="X107" s="175"/>
      <c r="Y107" s="173"/>
      <c r="Z107" s="174"/>
      <c r="AA107" s="173"/>
      <c r="AB107" s="91"/>
      <c r="AC107" s="92"/>
      <c r="AD107" s="92"/>
      <c r="AE107" s="92"/>
      <c r="AF107" s="92" t="str">
        <f aca="false">IF(ISBLANK($C107),"",IF(E107=Constants!$B$3,TRUE(),IF(E107=Constants!$B$4,FALSE(),TRUE())))</f>
        <v/>
      </c>
      <c r="AG107" s="92" t="str">
        <f aca="false">IF(ISBLANK($C107),"",IF(F107=Constants!$B$3,TRUE(),IF(F107=Constants!$B$4,FALSE(),TRUE())))</f>
        <v/>
      </c>
      <c r="AH107" s="92" t="str">
        <f aca="false">IF(ISBLANK($C107),"",IF(G107=Constants!$B$3,TRUE(),IF(G107=Constants!$B$4,FALSE(),TRUE())))</f>
        <v/>
      </c>
      <c r="AI107" s="92" t="str">
        <f aca="false">IF(ISBLANK($C107),"",IF(AND(ISNUMBER(H107),H107&gt;=0),H107,Constants!$B$29))</f>
        <v/>
      </c>
      <c r="AJ107" s="92" t="str">
        <f aca="false">IF(ISBLANK($C107),"",IF(I107=Constants!$B$3,TRUE(),IF(I107=Constants!$B$4,FALSE(),TRUE())))</f>
        <v/>
      </c>
      <c r="AK107" s="92" t="str">
        <f aca="false">IF(ISBLANK($C107),"",IF(J107=Constants!$B$3,TRUE(),IF(J107=Constants!$B$4,FALSE(),TRUE())))</f>
        <v/>
      </c>
      <c r="AL107" s="92" t="str">
        <f aca="false">IF(ISBLANK($C107),"",IF(K107=Constants!$B$5,TRUE(),IF(K107=Constants!$B$6,FALSE(),COUNTA(L107:P107)&gt;0)))</f>
        <v/>
      </c>
      <c r="AM107" s="94" t="str">
        <f aca="false">IF(ISBLANK($C107),"",IF(ISNUMBER(L107),IF(L107&gt;=0,L107,""),""))</f>
        <v/>
      </c>
      <c r="AN107" s="93" t="str">
        <f aca="false">IF(ISBLANK($C107),"",IF(ISNUMBER(M107),IF(M107&gt;=0,M107,""),""))</f>
        <v/>
      </c>
      <c r="AO107" s="93" t="str">
        <f aca="false">IF(ISBLANK($C107),"",IF(N107=Constants!$B$3,TRUE(),IF(N107=Constants!$B$4,FALSE(),TRUE())))</f>
        <v/>
      </c>
      <c r="AP107" s="92" t="str">
        <f aca="false">IF(ISBLANK($C107),"",IF(ISNUMBER(O107),IF(O107&gt;=0,O107,""),""))</f>
        <v/>
      </c>
      <c r="AQ107" s="92" t="str">
        <f aca="false">IF(ISBLANK($C107),"",IF(P107=Constants!$B$3,TRUE(),IF(P107=Constants!$B$4,FALSE(),FALSE())))</f>
        <v/>
      </c>
      <c r="AR107" s="92" t="str">
        <f aca="false">IF(ISBLANK($C107),"",IF(Q107=Constants!$B$3,TRUE(),IF(Q107=Constants!$B$4,FALSE(),TRUE())))</f>
        <v/>
      </c>
      <c r="AS107" s="92" t="str">
        <f aca="false">IF(ISBLANK($C107),"",IF(R107=Constants!$B$3,TRUE(),IF(R107=Constants!$B$4,FALSE(),TRUE())))</f>
        <v/>
      </c>
      <c r="AT107" s="92" t="str">
        <f aca="false">IF(ISBLANK($C107),"",IF(S107=Constants!$B$5,TRUE(),IF(S107=Constants!$B$6,FALSE(),COUNTA(T107:X107)&gt;0)))</f>
        <v/>
      </c>
      <c r="AU107" s="94" t="str">
        <f aca="false">IF(ISBLANK($C107),"",IF(ISNUMBER(T107),IF(T107&gt;=0,T107,""),""))</f>
        <v/>
      </c>
      <c r="AV107" s="93" t="str">
        <f aca="false">IF(ISBLANK($C107),"",IF(ISNUMBER(U107),IF(U107&gt;=0,U107,""),""))</f>
        <v/>
      </c>
      <c r="AW107" s="93" t="str">
        <f aca="false">IF(ISBLANK($C107),"",IF(V107=Constants!$B$3,TRUE(),IF(V107=Constants!$B$4,FALSE(),TRUE())))</f>
        <v/>
      </c>
      <c r="AX107" s="92" t="str">
        <f aca="false">IF(ISBLANK($C107),"",IF(ISNUMBER(W107),IF(W107&gt;=0,W107,""),""))</f>
        <v/>
      </c>
      <c r="AY107" s="92" t="str">
        <f aca="false">IF(ISBLANK($C107),"",IF(X107=Constants!$B$3,TRUE(),IF(X107=Constants!$B$4,FALSE(),FALSE())))</f>
        <v/>
      </c>
      <c r="AZ107" s="92" t="str">
        <f aca="false">IF(ISBLANK($C107),"",MIN(Constants!$B$31,MAX(0,IF(ISNUMBER(Y107),Y107*60,0)+IF(ISNUMBER(Z107),Z107,0))))</f>
        <v/>
      </c>
      <c r="BA107" s="92" t="str">
        <f aca="false">IF(ISBLANK($C107),"",IF(AA107=Constants!$B$3,TRUE(),IF(AA107=Constants!$B$4,FALSE(),FALSE())))</f>
        <v/>
      </c>
      <c r="BB107" s="91" t="str">
        <f aca="false">IF(ISBLANK($C107),"",AND($AL107,OR($AM107="",$AN107="",AND($AO107,$AP107=""))))</f>
        <v/>
      </c>
      <c r="BC107" s="93" t="str">
        <f aca="false">IF($BR107&lt;&gt;Constants!$B$8,"",IF($AL107,Constants!$B$21*$AN107+Constants!$B$22*IF($AO107,$AP107,Constants!$B$23),Constants!$B$24))</f>
        <v/>
      </c>
      <c r="BD107" s="96" t="str">
        <f aca="false">IF($BR107&lt;&gt;Constants!$B$8,"",Constants!$B$25*ABS($AD$9-IF($AL107,$AM107,0)))</f>
        <v/>
      </c>
      <c r="BE107" s="96" t="str">
        <f aca="false">IF($BR107&lt;&gt;Constants!$B$8,"",IF(AND($AL107,$AQ107,$AO107),Constants!$B$27,0))</f>
        <v/>
      </c>
      <c r="BF107" s="96" t="str">
        <f aca="false">IF($BR107&lt;&gt;Constants!$B$8,"",IF($AL107,($AI107-Constants!$B$29)*Constants!$B$28,0))</f>
        <v/>
      </c>
      <c r="BG107" s="96" t="str">
        <f aca="false">IF($BR107&lt;&gt;Constants!$B$8,"",IF($AK107,0,Constants!$B$15)+IF($AJ107,0,Constants!$B$16)+IF($AH107,0,Constants!$B$17))</f>
        <v/>
      </c>
      <c r="BH107" s="97" t="str">
        <f aca="false">IF($BR107&lt;&gt;Constants!$B$8,"",Constants!$B$20+SUM($BC107:$BG107))</f>
        <v/>
      </c>
      <c r="BI107" s="92" t="str">
        <f aca="false">IF($BR107&lt;&gt;Constants!$B$8,"",IF(OR($BP107&lt;$BH107,AND($BP107=$BH107,OR($BK107&lt;$BC107,AND($BK107=$BC107,OR($BL107&lt;$BD107,AND($BL107=$BD107,$AT107,$AL107,$AV107&lt;$AN107)))))),"-&gt;","&lt;-"))</f>
        <v/>
      </c>
      <c r="BJ107" s="91" t="str">
        <f aca="false">IF(ISBLANK($C107),"",AND($AT107,OR($AU107="",$AV107="",AND($AW107,$AX107=""))))</f>
        <v/>
      </c>
      <c r="BK107" s="93" t="str">
        <f aca="false">IF($BR107&lt;&gt;Constants!$B$8,"",IF($AT107,Constants!$B$21*$AV107+Constants!$B$22*IF($AW107,$AX107,Constants!$B$23),Constants!$B$24))</f>
        <v/>
      </c>
      <c r="BL107" s="96" t="str">
        <f aca="false">IF($BR107&lt;&gt;Constants!$B$8,"",Constants!$B$25*ABS($AD$9-IF($AT107,$AU107,0)))</f>
        <v/>
      </c>
      <c r="BM107" s="96" t="str">
        <f aca="false">IF($BR107&lt;&gt;Constants!$B$8,"",IF(AND($AT107,$AY107,$AW107),Constants!$B$27,0))</f>
        <v/>
      </c>
      <c r="BN107" s="96" t="str">
        <f aca="false">IF($BR107&lt;&gt;Constants!$B$8,"",IF($AT107,($AI107-Constants!$B$29)*Constants!$B$28,0))</f>
        <v/>
      </c>
      <c r="BO107" s="96" t="str">
        <f aca="false">IF($BR107&lt;&gt;Constants!$B$8,"",IF($AS107,0,Constants!$B$15)+IF($AR107,0,Constants!$B$16)+IF($AH107,0,Constants!$B$17))</f>
        <v/>
      </c>
      <c r="BP107" s="97" t="str">
        <f aca="false">IF($BR107&lt;&gt;Constants!$B$8,"",Constants!$B$20+SUM($BK107:$BO107))</f>
        <v/>
      </c>
      <c r="BQ107" s="92" t="str">
        <f aca="false">IF(ISBLANK($C107),"",IF(ISBLANK($D$7),$BQ$5,IF(NOT(ISNUMBER($D$7)),$BQ$6,"")))</f>
        <v/>
      </c>
      <c r="BR107" s="92" t="str">
        <f aca="false">IF(ISBLANK($C107),"",IF($BA107,Constants!$B$11,IF(COUNTA($E107:$AA107)=0,Constants!$B$10,IF(NOT($AG107),Constants!$B$9,IF(OR($BQ107&lt;&gt;"",$BB107,$BJ107),Constants!$B$12,Constants!$B$8)))))</f>
        <v/>
      </c>
      <c r="BS107" s="92" t="str">
        <f aca="false">IF(ISBLANK($C107),"",IF($BR107&lt;&gt;Constants!$B$8,$BR107,Constants!$B$13))</f>
        <v/>
      </c>
      <c r="BT107" s="96" t="str">
        <f aca="false">IF($BR107&lt;&gt;Constants!$B$8,"",IF($BI107="-&gt;",$BP107,$BH107))</f>
        <v/>
      </c>
      <c r="BU107" s="96" t="str">
        <f aca="false">IF($BR107&lt;&gt;Constants!$B$8,"",IF($AF107,0,Constants!$B$18))</f>
        <v/>
      </c>
      <c r="BV107" s="96" t="str">
        <f aca="false">IF($BR107&lt;&gt;Constants!$B$8,"",((Constants!$B$31-$AZ107)-Constants!$B$31)/Constants!$B$32)</f>
        <v/>
      </c>
      <c r="BW107" s="96" t="str">
        <f aca="false">IF(ISBLANK($C107),"",IF($BR107&lt;&gt;Constants!$B$8,$BR107,SUM($BT107:$BV107)))</f>
        <v/>
      </c>
      <c r="BX107" s="92" t="str">
        <f aca="false">IF(ISBLANK($C107),"",IF($BR107&lt;&gt;Constants!$B$8,$BR107,RANK($BW107,$BW$9:$BW$508,1)))</f>
        <v/>
      </c>
      <c r="BY107" s="96" t="str">
        <f aca="false">IF($BR107&lt;&gt;Constants!$B$8,"",IF($BI107="-&gt;",$BK107,$BC107))</f>
        <v/>
      </c>
      <c r="BZ107" s="92" t="str">
        <f aca="false">IF(ISBLANK($C107),"",IF($BR107&lt;&gt;Constants!$B$8,$BR107,IF(ISNUMBER($BY107),RANK($BY107,$BY$9:$BY$508,1),COUNT($BY$9:$BY$508)+1)))</f>
        <v/>
      </c>
      <c r="CA107" s="96" t="str">
        <f aca="false">IF($BR107&lt;&gt;Constants!$B$8,"",IF($BI107="-&gt;",$BL107,$BD107))</f>
        <v/>
      </c>
      <c r="CB107" s="92" t="str">
        <f aca="false">IF(ISBLANK($C107),"",IF($BR107&lt;&gt;Constants!$B$8,$BR107,IF(ISNUMBER($CA107),RANK($CA107,$CA$9:$CA$508,1),COUNT($CA$9:$CA$508)+1)))</f>
        <v/>
      </c>
      <c r="CC107" s="96" t="str">
        <f aca="false">IF($BR107&lt;&gt;Constants!$B$8,"",IF($BI107="-&gt;",IF($AT107,$AV107,""),IF($AL107,$AN107,"")))</f>
        <v/>
      </c>
      <c r="CD107" s="92" t="str">
        <f aca="false">IF(ISBLANK($C107),"",IF($BR107&lt;&gt;Constants!$B$8,$BR107,IF(ISNUMBER($CC107),RANK($CC107,$CC$9:$CC$508,1),COUNT($CC$9:$CC$508)+1)))</f>
        <v/>
      </c>
      <c r="CE107" s="96" t="str">
        <f aca="false">IF($BR107&lt;&gt;Constants!$B$8,"",IF(AND(NOT($AL107),NOT($AT107),$AJ107,$AK107,$AR107,$AS107),"",$AI107))</f>
        <v/>
      </c>
      <c r="CF107" s="92" t="str">
        <f aca="false">IF(ISBLANK($C107),"",IF($BR107&lt;&gt;Constants!$B$8,$BR107,IF(ISNUMBER($CE107),RANK($CE107,$CE$9:$CE$508,1),COUNT($CE$9:$CE$508)+1)))</f>
        <v/>
      </c>
      <c r="CG107" s="92" t="str">
        <f aca="false">IF(ISBLANK($C107),"",IF($BR107&lt;&gt;Constants!$B$8,$BR107,COUNTIFS($BX$9:$BX$508,"&lt;"&amp;$BX107)+COUNTIFS($BX$9:$BX$508,$BX107,$BZ$9:$BZ$508,"&lt;"&amp;$BZ107)+COUNTIFS($BX$9:$BX$508,$BX107,$BZ$9:$BZ$508,$BZ107,$CB$9:$CB$508,"&lt;"&amp;$CB107)+COUNTIFS($BX$9:$BX$508,$BX107,$BZ$9:$BZ$508,$BZ107,$CB$9:$CB$508,$CB107,$CD$9:$CD$508,"&lt;"&amp;$CD107)+COUNTIFS($BX$9:$BX$508,$BX107,$BZ$9:$BZ$508,$BZ107,$CB$9:$CB$508,$CB107,$CD$9:$CD$508,$CD107,$CF$9:$CF$508,"&lt;"&amp;$CF107)+1))</f>
        <v/>
      </c>
      <c r="CH107" s="92" t="str">
        <f aca="false">IF(ISBLANK($C107),"",IF($BR107&lt;&gt;Constants!$B$8,$BR107,$BX107-$CG107))</f>
        <v/>
      </c>
      <c r="CI107" s="98"/>
      <c r="CJ107" s="99"/>
      <c r="CK107" s="100" t="str">
        <f aca="false">IF(ISBLANK($C107),"",IF($BR107=Constants!$B$12,$BQ107,""))</f>
        <v/>
      </c>
      <c r="CL107" s="99" t="str">
        <f aca="false">IF(ISBLANK($C107),"",IF($BR107&lt;&gt;Constants!$B$8,"",IF($BI107="-&gt;",2,1)))</f>
        <v/>
      </c>
      <c r="CM107" s="101" t="str">
        <f aca="false">IF(ISBLANK($C107),"",IF($BR107&lt;&gt;Constants!$B$8,"",IF($BI107="-&gt;",$BK107,$BC107)))</f>
        <v/>
      </c>
      <c r="CN107" s="101" t="str">
        <f aca="false">IF(ISBLANK($C107),"",IF($BR107&lt;&gt;Constants!$B$8,"",IF($BI107="-&gt;",$BL107,$BD107)))</f>
        <v/>
      </c>
      <c r="CO107" s="101" t="str">
        <f aca="false">IF(ISBLANK($C107),"",IF($BR107&lt;&gt;Constants!$B$8,"",IF($BI107="-&gt;",$BM107+$BN107,$BE107+$BF107)+$BV107))</f>
        <v/>
      </c>
      <c r="CP107" s="101" t="str">
        <f aca="false">IF(ISBLANK($C107),"",IF($BR107&lt;&gt;Constants!$B$8,"",IF($BI107="-&gt;",$BO107,$BG107)+$BU107))</f>
        <v/>
      </c>
      <c r="CQ107" s="102" t="str">
        <f aca="false">IF(ISBLANK($C107),"",IF($BR107&lt;&gt;Constants!$B$8,$BR107,$BW107))</f>
        <v/>
      </c>
      <c r="CR107" s="103" t="str">
        <f aca="false">IF(ISBLANK($C107),"",$BS107)</f>
        <v/>
      </c>
      <c r="CS107" s="104" t="str">
        <f aca="false">IF(ISBLANK($C107),"",$CH107)</f>
        <v/>
      </c>
      <c r="CT107" s="104" t="str">
        <f aca="false">IF(ISBLANK($C107),"",$CG107)</f>
        <v/>
      </c>
      <c r="CU107" s="105" t="str">
        <f aca="false">IF(ISBLANK($C107),"",IFERROR(_xlfn.SWITCH($CT107,Constants!$B$11,COUNTA($C$9:$C$508)+2,Constants!$B$10,COUNTA($C$9:$C$508)+1,Constants!$B$9,COUNTA($C$9:$C$508)),$CT107))</f>
        <v/>
      </c>
      <c r="CV107" s="9"/>
      <c r="CW107" s="106" t="n">
        <f aca="false">IF(OR(ISNUMBER($CT107),$CT107=Constants!$B$11,$CT107=Constants!$B$9,$CT107=Constants!$B$10),1,0)</f>
        <v>0</v>
      </c>
      <c r="CX107" s="106" t="n">
        <v>99</v>
      </c>
      <c r="CY107" s="106" t="str">
        <f aca="false">IF(ISBLANK($C107),"",IF(ISNUMBER($CU107),$CU107+ROW($B107)/1000,""))</f>
        <v/>
      </c>
      <c r="CZ107" s="106" t="str">
        <f aca="false">IF(ISNUMBER($CY107),RANK($CY107,$CY$9:$CY$508,1),"")</f>
        <v/>
      </c>
      <c r="DA107" s="106" t="str">
        <f aca="false">IF(ISBLANK($C107),"",$B107)</f>
        <v/>
      </c>
      <c r="DB107" s="106" t="str">
        <f aca="false">IF(ISBLANK($C107),"",$C107)</f>
        <v/>
      </c>
      <c r="DC107" s="106" t="str">
        <f aca="false">IF(ISBLANK($C107),"",$D107)</f>
        <v/>
      </c>
      <c r="DD107" s="107" t="str">
        <f aca="false">$CR107</f>
        <v/>
      </c>
      <c r="DE107" s="108" t="str">
        <f aca="false">$CQ107</f>
        <v/>
      </c>
      <c r="DF107" s="106" t="str">
        <f aca="false">IF(ISBLANK($C107),"",$CT107)</f>
        <v/>
      </c>
      <c r="DG107" s="109" t="str">
        <f aca="false">IF($CX107&gt;$CW$8,"",VLOOKUP($CX107,$CZ$9:$DF$508,7,FALSE()))</f>
        <v/>
      </c>
      <c r="DH107" s="110" t="str">
        <f aca="false">IF($CX107&gt;$CW$8,"",VLOOKUP($CX107,$CZ$9:$DF$508,2,FALSE()))</f>
        <v/>
      </c>
      <c r="DI107" s="110" t="str">
        <f aca="false">IF($CX107&gt;$CW$8,"",VLOOKUP($CX107,$CZ$9:$DF$508,3,FALSE()))</f>
        <v/>
      </c>
      <c r="DJ107" s="110" t="str">
        <f aca="false">IF($CX107&gt;$CW$8,"",VLOOKUP($CX107,$CZ$9:$DF$508,4,FALSE()))</f>
        <v/>
      </c>
      <c r="DK107" s="110" t="str">
        <f aca="false">IF($CX107&gt;$CW$8,"",VLOOKUP($CX107,$CZ$9:$DF$508,5,FALSE()))</f>
        <v/>
      </c>
      <c r="DL107" s="111" t="str">
        <f aca="false">IF($CX107&gt;$CW$8,"",VLOOKUP($CX107,$CZ$9:$DF$508,6,FALSE()))</f>
        <v/>
      </c>
      <c r="DM107" s="75"/>
    </row>
    <row r="108" customFormat="false" ht="15.75" hidden="false" customHeight="false" outlineLevel="0" collapsed="false">
      <c r="A108" s="9"/>
      <c r="B108" s="157"/>
      <c r="C108" s="158"/>
      <c r="D108" s="159"/>
      <c r="E108" s="177"/>
      <c r="F108" s="161"/>
      <c r="G108" s="162"/>
      <c r="H108" s="162"/>
      <c r="I108" s="178"/>
      <c r="J108" s="165"/>
      <c r="K108" s="126"/>
      <c r="L108" s="127"/>
      <c r="M108" s="128"/>
      <c r="N108" s="165"/>
      <c r="O108" s="165"/>
      <c r="P108" s="177"/>
      <c r="Q108" s="165"/>
      <c r="R108" s="165"/>
      <c r="S108" s="126"/>
      <c r="T108" s="128"/>
      <c r="U108" s="128"/>
      <c r="V108" s="165"/>
      <c r="W108" s="165"/>
      <c r="X108" s="177"/>
      <c r="Y108" s="165"/>
      <c r="Z108" s="166"/>
      <c r="AA108" s="165"/>
      <c r="AB108" s="132"/>
      <c r="AC108" s="133"/>
      <c r="AD108" s="133"/>
      <c r="AE108" s="133"/>
      <c r="AF108" s="133" t="str">
        <f aca="false">IF(ISBLANK($C108),"",IF(E108=Constants!$B$3,TRUE(),IF(E108=Constants!$B$4,FALSE(),TRUE())))</f>
        <v/>
      </c>
      <c r="AG108" s="133" t="str">
        <f aca="false">IF(ISBLANK($C108),"",IF(F108=Constants!$B$3,TRUE(),IF(F108=Constants!$B$4,FALSE(),TRUE())))</f>
        <v/>
      </c>
      <c r="AH108" s="133" t="str">
        <f aca="false">IF(ISBLANK($C108),"",IF(G108=Constants!$B$3,TRUE(),IF(G108=Constants!$B$4,FALSE(),TRUE())))</f>
        <v/>
      </c>
      <c r="AI108" s="133" t="str">
        <f aca="false">IF(ISBLANK($C108),"",IF(AND(ISNUMBER(H108),H108&gt;=0),H108,Constants!$B$29))</f>
        <v/>
      </c>
      <c r="AJ108" s="133" t="str">
        <f aca="false">IF(ISBLANK($C108),"",IF(I108=Constants!$B$3,TRUE(),IF(I108=Constants!$B$4,FALSE(),TRUE())))</f>
        <v/>
      </c>
      <c r="AK108" s="133" t="str">
        <f aca="false">IF(ISBLANK($C108),"",IF(J108=Constants!$B$3,TRUE(),IF(J108=Constants!$B$4,FALSE(),TRUE())))</f>
        <v/>
      </c>
      <c r="AL108" s="133" t="str">
        <f aca="false">IF(ISBLANK($C108),"",IF(K108=Constants!$B$5,TRUE(),IF(K108=Constants!$B$6,FALSE(),COUNTA(L108:P108)&gt;0)))</f>
        <v/>
      </c>
      <c r="AM108" s="134" t="str">
        <f aca="false">IF(ISBLANK($C108),"",IF(ISNUMBER(L108),IF(L108&gt;=0,L108,""),""))</f>
        <v/>
      </c>
      <c r="AN108" s="135" t="str">
        <f aca="false">IF(ISBLANK($C108),"",IF(ISNUMBER(M108),IF(M108&gt;=0,M108,""),""))</f>
        <v/>
      </c>
      <c r="AO108" s="135" t="str">
        <f aca="false">IF(ISBLANK($C108),"",IF(N108=Constants!$B$3,TRUE(),IF(N108=Constants!$B$4,FALSE(),TRUE())))</f>
        <v/>
      </c>
      <c r="AP108" s="133" t="str">
        <f aca="false">IF(ISBLANK($C108),"",IF(ISNUMBER(O108),IF(O108&gt;=0,O108,""),""))</f>
        <v/>
      </c>
      <c r="AQ108" s="133" t="str">
        <f aca="false">IF(ISBLANK($C108),"",IF(P108=Constants!$B$3,TRUE(),IF(P108=Constants!$B$4,FALSE(),FALSE())))</f>
        <v/>
      </c>
      <c r="AR108" s="133" t="str">
        <f aca="false">IF(ISBLANK($C108),"",IF(Q108=Constants!$B$3,TRUE(),IF(Q108=Constants!$B$4,FALSE(),TRUE())))</f>
        <v/>
      </c>
      <c r="AS108" s="133" t="str">
        <f aca="false">IF(ISBLANK($C108),"",IF(R108=Constants!$B$3,TRUE(),IF(R108=Constants!$B$4,FALSE(),TRUE())))</f>
        <v/>
      </c>
      <c r="AT108" s="133" t="str">
        <f aca="false">IF(ISBLANK($C108),"",IF(S108=Constants!$B$5,TRUE(),IF(S108=Constants!$B$6,FALSE(),COUNTA(T108:X108)&gt;0)))</f>
        <v/>
      </c>
      <c r="AU108" s="134" t="str">
        <f aca="false">IF(ISBLANK($C108),"",IF(ISNUMBER(T108),IF(T108&gt;=0,T108,""),""))</f>
        <v/>
      </c>
      <c r="AV108" s="135" t="str">
        <f aca="false">IF(ISBLANK($C108),"",IF(ISNUMBER(U108),IF(U108&gt;=0,U108,""),""))</f>
        <v/>
      </c>
      <c r="AW108" s="135" t="str">
        <f aca="false">IF(ISBLANK($C108),"",IF(V108=Constants!$B$3,TRUE(),IF(V108=Constants!$B$4,FALSE(),TRUE())))</f>
        <v/>
      </c>
      <c r="AX108" s="133" t="str">
        <f aca="false">IF(ISBLANK($C108),"",IF(ISNUMBER(W108),IF(W108&gt;=0,W108,""),""))</f>
        <v/>
      </c>
      <c r="AY108" s="133" t="str">
        <f aca="false">IF(ISBLANK($C108),"",IF(X108=Constants!$B$3,TRUE(),IF(X108=Constants!$B$4,FALSE(),FALSE())))</f>
        <v/>
      </c>
      <c r="AZ108" s="133" t="str">
        <f aca="false">IF(ISBLANK($C108),"",MIN(Constants!$B$31,MAX(0,IF(ISNUMBER(Y108),Y108*60,0)+IF(ISNUMBER(Z108),Z108,0))))</f>
        <v/>
      </c>
      <c r="BA108" s="133" t="str">
        <f aca="false">IF(ISBLANK($C108),"",IF(AA108=Constants!$B$3,TRUE(),IF(AA108=Constants!$B$4,FALSE(),FALSE())))</f>
        <v/>
      </c>
      <c r="BB108" s="132" t="str">
        <f aca="false">IF(ISBLANK($C108),"",AND($AL108,OR($AM108="",$AN108="",AND($AO108,$AP108=""))))</f>
        <v/>
      </c>
      <c r="BC108" s="135" t="str">
        <f aca="false">IF($BR108&lt;&gt;Constants!$B$8,"",IF($AL108,Constants!$B$21*$AN108+Constants!$B$22*IF($AO108,$AP108,Constants!$B$23),Constants!$B$24))</f>
        <v/>
      </c>
      <c r="BD108" s="136" t="str">
        <f aca="false">IF($BR108&lt;&gt;Constants!$B$8,"",Constants!$B$25*ABS($AD$9-IF($AL108,$AM108,0)))</f>
        <v/>
      </c>
      <c r="BE108" s="136" t="str">
        <f aca="false">IF($BR108&lt;&gt;Constants!$B$8,"",IF(AND($AL108,$AQ108,$AO108),Constants!$B$27,0))</f>
        <v/>
      </c>
      <c r="BF108" s="136" t="str">
        <f aca="false">IF($BR108&lt;&gt;Constants!$B$8,"",IF($AL108,($AI108-Constants!$B$29)*Constants!$B$28,0))</f>
        <v/>
      </c>
      <c r="BG108" s="136" t="str">
        <f aca="false">IF($BR108&lt;&gt;Constants!$B$8,"",IF($AK108,0,Constants!$B$15)+IF($AJ108,0,Constants!$B$16)+IF($AH108,0,Constants!$B$17))</f>
        <v/>
      </c>
      <c r="BH108" s="137" t="str">
        <f aca="false">IF($BR108&lt;&gt;Constants!$B$8,"",Constants!$B$20+SUM($BC108:$BG108))</f>
        <v/>
      </c>
      <c r="BI108" s="133" t="str">
        <f aca="false">IF($BR108&lt;&gt;Constants!$B$8,"",IF(OR($BP108&lt;$BH108,AND($BP108=$BH108,OR($BK108&lt;$BC108,AND($BK108=$BC108,OR($BL108&lt;$BD108,AND($BL108=$BD108,$AT108,$AL108,$AV108&lt;$AN108)))))),"-&gt;","&lt;-"))</f>
        <v/>
      </c>
      <c r="BJ108" s="132" t="str">
        <f aca="false">IF(ISBLANK($C108),"",AND($AT108,OR($AU108="",$AV108="",AND($AW108,$AX108=""))))</f>
        <v/>
      </c>
      <c r="BK108" s="135" t="str">
        <f aca="false">IF($BR108&lt;&gt;Constants!$B$8,"",IF($AT108,Constants!$B$21*$AV108+Constants!$B$22*IF($AW108,$AX108,Constants!$B$23),Constants!$B$24))</f>
        <v/>
      </c>
      <c r="BL108" s="136" t="str">
        <f aca="false">IF($BR108&lt;&gt;Constants!$B$8,"",Constants!$B$25*ABS($AD$9-IF($AT108,$AU108,0)))</f>
        <v/>
      </c>
      <c r="BM108" s="136" t="str">
        <f aca="false">IF($BR108&lt;&gt;Constants!$B$8,"",IF(AND($AT108,$AY108,$AW108),Constants!$B$27,0))</f>
        <v/>
      </c>
      <c r="BN108" s="136" t="str">
        <f aca="false">IF($BR108&lt;&gt;Constants!$B$8,"",IF($AT108,($AI108-Constants!$B$29)*Constants!$B$28,0))</f>
        <v/>
      </c>
      <c r="BO108" s="136" t="str">
        <f aca="false">IF($BR108&lt;&gt;Constants!$B$8,"",IF($AS108,0,Constants!$B$15)+IF($AR108,0,Constants!$B$16)+IF($AH108,0,Constants!$B$17))</f>
        <v/>
      </c>
      <c r="BP108" s="137" t="str">
        <f aca="false">IF($BR108&lt;&gt;Constants!$B$8,"",Constants!$B$20+SUM($BK108:$BO108))</f>
        <v/>
      </c>
      <c r="BQ108" s="133" t="str">
        <f aca="false">IF(ISBLANK($C108),"",IF(ISBLANK($D$7),$BQ$5,IF(NOT(ISNUMBER($D$7)),$BQ$6,"")))</f>
        <v/>
      </c>
      <c r="BR108" s="133" t="str">
        <f aca="false">IF(ISBLANK($C108),"",IF($BA108,Constants!$B$11,IF(COUNTA($E108:$AA108)=0,Constants!$B$10,IF(NOT($AG108),Constants!$B$9,IF(OR($BQ108&lt;&gt;"",$BB108,$BJ108),Constants!$B$12,Constants!$B$8)))))</f>
        <v/>
      </c>
      <c r="BS108" s="133" t="str">
        <f aca="false">IF(ISBLANK($C108),"",IF($BR108&lt;&gt;Constants!$B$8,$BR108,Constants!$B$13))</f>
        <v/>
      </c>
      <c r="BT108" s="136" t="str">
        <f aca="false">IF($BR108&lt;&gt;Constants!$B$8,"",IF($BI108="-&gt;",$BP108,$BH108))</f>
        <v/>
      </c>
      <c r="BU108" s="136" t="str">
        <f aca="false">IF($BR108&lt;&gt;Constants!$B$8,"",IF($AF108,0,Constants!$B$18))</f>
        <v/>
      </c>
      <c r="BV108" s="136" t="str">
        <f aca="false">IF($BR108&lt;&gt;Constants!$B$8,"",((Constants!$B$31-$AZ108)-Constants!$B$31)/Constants!$B$32)</f>
        <v/>
      </c>
      <c r="BW108" s="136" t="str">
        <f aca="false">IF(ISBLANK($C108),"",IF($BR108&lt;&gt;Constants!$B$8,$BR108,SUM($BT108:$BV108)))</f>
        <v/>
      </c>
      <c r="BX108" s="133" t="str">
        <f aca="false">IF(ISBLANK($C108),"",IF($BR108&lt;&gt;Constants!$B$8,$BR108,RANK($BW108,$BW$9:$BW$508,1)))</f>
        <v/>
      </c>
      <c r="BY108" s="136" t="str">
        <f aca="false">IF($BR108&lt;&gt;Constants!$B$8,"",IF($BI108="-&gt;",$BK108,$BC108))</f>
        <v/>
      </c>
      <c r="BZ108" s="133" t="str">
        <f aca="false">IF(ISBLANK($C108),"",IF($BR108&lt;&gt;Constants!$B$8,$BR108,IF(ISNUMBER($BY108),RANK($BY108,$BY$9:$BY$508,1),COUNT($BY$9:$BY$508)+1)))</f>
        <v/>
      </c>
      <c r="CA108" s="136" t="str">
        <f aca="false">IF($BR108&lt;&gt;Constants!$B$8,"",IF($BI108="-&gt;",$BL108,$BD108))</f>
        <v/>
      </c>
      <c r="CB108" s="133" t="str">
        <f aca="false">IF(ISBLANK($C108),"",IF($BR108&lt;&gt;Constants!$B$8,$BR108,IF(ISNUMBER($CA108),RANK($CA108,$CA$9:$CA$508,1),COUNT($CA$9:$CA$508)+1)))</f>
        <v/>
      </c>
      <c r="CC108" s="136" t="str">
        <f aca="false">IF($BR108&lt;&gt;Constants!$B$8,"",IF($BI108="-&gt;",IF($AT108,$AV108,""),IF($AL108,$AN108,"")))</f>
        <v/>
      </c>
      <c r="CD108" s="133" t="str">
        <f aca="false">IF(ISBLANK($C108),"",IF($BR108&lt;&gt;Constants!$B$8,$BR108,IF(ISNUMBER($CC108),RANK($CC108,$CC$9:$CC$508,1),COUNT($CC$9:$CC$508)+1)))</f>
        <v/>
      </c>
      <c r="CE108" s="136" t="str">
        <f aca="false">IF($BR108&lt;&gt;Constants!$B$8,"",IF(AND(NOT($AL108),NOT($AT108),$AJ108,$AK108,$AR108,$AS108),"",$AI108))</f>
        <v/>
      </c>
      <c r="CF108" s="133" t="str">
        <f aca="false">IF(ISBLANK($C108),"",IF($BR108&lt;&gt;Constants!$B$8,$BR108,IF(ISNUMBER($CE108),RANK($CE108,$CE$9:$CE$508,1),COUNT($CE$9:$CE$508)+1)))</f>
        <v/>
      </c>
      <c r="CG108" s="133" t="str">
        <f aca="false">IF(ISBLANK($C108),"",IF($BR108&lt;&gt;Constants!$B$8,$BR108,COUNTIFS($BX$9:$BX$508,"&lt;"&amp;$BX108)+COUNTIFS($BX$9:$BX$508,$BX108,$BZ$9:$BZ$508,"&lt;"&amp;$BZ108)+COUNTIFS($BX$9:$BX$508,$BX108,$BZ$9:$BZ$508,$BZ108,$CB$9:$CB$508,"&lt;"&amp;$CB108)+COUNTIFS($BX$9:$BX$508,$BX108,$BZ$9:$BZ$508,$BZ108,$CB$9:$CB$508,$CB108,$CD$9:$CD$508,"&lt;"&amp;$CD108)+COUNTIFS($BX$9:$BX$508,$BX108,$BZ$9:$BZ$508,$BZ108,$CB$9:$CB$508,$CB108,$CD$9:$CD$508,$CD108,$CF$9:$CF$508,"&lt;"&amp;$CF108)+1))</f>
        <v/>
      </c>
      <c r="CH108" s="133" t="str">
        <f aca="false">IF(ISBLANK($C108),"",IF($BR108&lt;&gt;Constants!$B$8,$BR108,$BX108-$CG108))</f>
        <v/>
      </c>
      <c r="CI108" s="138"/>
      <c r="CJ108" s="139"/>
      <c r="CK108" s="140" t="str">
        <f aca="false">IF(ISBLANK($C108),"",IF($BR108=Constants!$B$12,$BQ108,""))</f>
        <v/>
      </c>
      <c r="CL108" s="139" t="str">
        <f aca="false">IF(ISBLANK($C108),"",IF($BR108&lt;&gt;Constants!$B$8,"",IF($BI108="-&gt;",2,1)))</f>
        <v/>
      </c>
      <c r="CM108" s="141" t="str">
        <f aca="false">IF(ISBLANK($C108),"",IF($BR108&lt;&gt;Constants!$B$8,"",IF($BI108="-&gt;",$BK108,$BC108)))</f>
        <v/>
      </c>
      <c r="CN108" s="141" t="str">
        <f aca="false">IF(ISBLANK($C108),"",IF($BR108&lt;&gt;Constants!$B$8,"",IF($BI108="-&gt;",$BL108,$BD108)))</f>
        <v/>
      </c>
      <c r="CO108" s="141" t="str">
        <f aca="false">IF(ISBLANK($C108),"",IF($BR108&lt;&gt;Constants!$B$8,"",IF($BI108="-&gt;",$BM108+$BN108,$BE108+$BF108)+$BV108))</f>
        <v/>
      </c>
      <c r="CP108" s="141" t="str">
        <f aca="false">IF(ISBLANK($C108),"",IF($BR108&lt;&gt;Constants!$B$8,"",IF($BI108="-&gt;",$BO108,$BG108)+$BU108))</f>
        <v/>
      </c>
      <c r="CQ108" s="142" t="str">
        <f aca="false">IF(ISBLANK($C108),"",IF($BR108&lt;&gt;Constants!$B$8,$BR108,$BW108))</f>
        <v/>
      </c>
      <c r="CR108" s="143" t="str">
        <f aca="false">IF(ISBLANK($C108),"",$BS108)</f>
        <v/>
      </c>
      <c r="CS108" s="144" t="str">
        <f aca="false">IF(ISBLANK($C108),"",$CH108)</f>
        <v/>
      </c>
      <c r="CT108" s="144" t="str">
        <f aca="false">IF(ISBLANK($C108),"",$CG108)</f>
        <v/>
      </c>
      <c r="CU108" s="145" t="str">
        <f aca="false">IF(ISBLANK($C108),"",IFERROR(_xlfn.SWITCH($CT108,Constants!$B$11,COUNTA($C$9:$C$508)+2,Constants!$B$10,COUNTA($C$9:$C$508)+1,Constants!$B$9,COUNTA($C$9:$C$508)),$CT108))</f>
        <v/>
      </c>
      <c r="CV108" s="9"/>
      <c r="CW108" s="146" t="n">
        <f aca="false">IF(OR(ISNUMBER($CT108),$CT108=Constants!$B$11,$CT108=Constants!$B$9,$CT108=Constants!$B$10),1,0)</f>
        <v>0</v>
      </c>
      <c r="CX108" s="146" t="n">
        <v>100</v>
      </c>
      <c r="CY108" s="146" t="str">
        <f aca="false">IF(ISBLANK($C108),"",IF(ISNUMBER($CU108),$CU108+ROW($B108)/1000,""))</f>
        <v/>
      </c>
      <c r="CZ108" s="146" t="str">
        <f aca="false">IF(ISNUMBER($CY108),RANK($CY108,$CY$9:$CY$508,1),"")</f>
        <v/>
      </c>
      <c r="DA108" s="146" t="str">
        <f aca="false">IF(ISBLANK($C108),"",$B108)</f>
        <v/>
      </c>
      <c r="DB108" s="146" t="str">
        <f aca="false">IF(ISBLANK($C108),"",$C108)</f>
        <v/>
      </c>
      <c r="DC108" s="146" t="str">
        <f aca="false">IF(ISBLANK($C108),"",$D108)</f>
        <v/>
      </c>
      <c r="DD108" s="147" t="str">
        <f aca="false">$CR108</f>
        <v/>
      </c>
      <c r="DE108" s="148" t="str">
        <f aca="false">$CQ108</f>
        <v/>
      </c>
      <c r="DF108" s="146" t="str">
        <f aca="false">IF(ISBLANK($C108),"",$CT108)</f>
        <v/>
      </c>
      <c r="DG108" s="149" t="str">
        <f aca="false">IF($CX108&gt;$CW$8,"",VLOOKUP($CX108,$CZ$9:$DF$508,7,FALSE()))</f>
        <v/>
      </c>
      <c r="DH108" s="150" t="str">
        <f aca="false">IF($CX108&gt;$CW$8,"",VLOOKUP($CX108,$CZ$9:$DF$508,2,FALSE()))</f>
        <v/>
      </c>
      <c r="DI108" s="150" t="str">
        <f aca="false">IF($CX108&gt;$CW$8,"",VLOOKUP($CX108,$CZ$9:$DF$508,3,FALSE()))</f>
        <v/>
      </c>
      <c r="DJ108" s="150" t="str">
        <f aca="false">IF($CX108&gt;$CW$8,"",VLOOKUP($CX108,$CZ$9:$DF$508,4,FALSE()))</f>
        <v/>
      </c>
      <c r="DK108" s="150" t="str">
        <f aca="false">IF($CX108&gt;$CW$8,"",VLOOKUP($CX108,$CZ$9:$DF$508,5,FALSE()))</f>
        <v/>
      </c>
      <c r="DL108" s="151" t="str">
        <f aca="false">IF($CX108&gt;$CW$8,"",VLOOKUP($CX108,$CZ$9:$DF$508,6,FALSE()))</f>
        <v/>
      </c>
      <c r="DM108" s="75"/>
    </row>
    <row r="109" customFormat="false" ht="15.75" hidden="false" customHeight="false" outlineLevel="0" collapsed="false">
      <c r="A109" s="9"/>
      <c r="B109" s="157"/>
      <c r="C109" s="158"/>
      <c r="D109" s="159"/>
      <c r="E109" s="177"/>
      <c r="F109" s="161"/>
      <c r="G109" s="162"/>
      <c r="H109" s="162"/>
      <c r="I109" s="178"/>
      <c r="J109" s="165"/>
      <c r="K109" s="126"/>
      <c r="L109" s="127"/>
      <c r="M109" s="128"/>
      <c r="N109" s="165"/>
      <c r="O109" s="165"/>
      <c r="P109" s="177"/>
      <c r="Q109" s="165"/>
      <c r="R109" s="165"/>
      <c r="S109" s="126"/>
      <c r="T109" s="128"/>
      <c r="U109" s="128"/>
      <c r="V109" s="165"/>
      <c r="W109" s="165"/>
      <c r="X109" s="177"/>
      <c r="Y109" s="165"/>
      <c r="Z109" s="166"/>
      <c r="AA109" s="165"/>
      <c r="AB109" s="132"/>
      <c r="AC109" s="133"/>
      <c r="AD109" s="133"/>
      <c r="AE109" s="133"/>
      <c r="AF109" s="133" t="str">
        <f aca="false">IF(ISBLANK($C109),"",IF(E109=Constants!$B$3,TRUE(),IF(E109=Constants!$B$4,FALSE(),TRUE())))</f>
        <v/>
      </c>
      <c r="AG109" s="133" t="str">
        <f aca="false">IF(ISBLANK($C109),"",IF(F109=Constants!$B$3,TRUE(),IF(F109=Constants!$B$4,FALSE(),TRUE())))</f>
        <v/>
      </c>
      <c r="AH109" s="133" t="str">
        <f aca="false">IF(ISBLANK($C109),"",IF(G109=Constants!$B$3,TRUE(),IF(G109=Constants!$B$4,FALSE(),TRUE())))</f>
        <v/>
      </c>
      <c r="AI109" s="133" t="str">
        <f aca="false">IF(ISBLANK($C109),"",IF(AND(ISNUMBER(H109),H109&gt;=0),H109,Constants!$B$29))</f>
        <v/>
      </c>
      <c r="AJ109" s="133" t="str">
        <f aca="false">IF(ISBLANK($C109),"",IF(I109=Constants!$B$3,TRUE(),IF(I109=Constants!$B$4,FALSE(),TRUE())))</f>
        <v/>
      </c>
      <c r="AK109" s="133" t="str">
        <f aca="false">IF(ISBLANK($C109),"",IF(J109=Constants!$B$3,TRUE(),IF(J109=Constants!$B$4,FALSE(),TRUE())))</f>
        <v/>
      </c>
      <c r="AL109" s="133" t="str">
        <f aca="false">IF(ISBLANK($C109),"",IF(K109=Constants!$B$5,TRUE(),IF(K109=Constants!$B$6,FALSE(),COUNTA(L109:P109)&gt;0)))</f>
        <v/>
      </c>
      <c r="AM109" s="134" t="str">
        <f aca="false">IF(ISBLANK($C109),"",IF(ISNUMBER(L109),IF(L109&gt;=0,L109,""),""))</f>
        <v/>
      </c>
      <c r="AN109" s="135" t="str">
        <f aca="false">IF(ISBLANK($C109),"",IF(ISNUMBER(M109),IF(M109&gt;=0,M109,""),""))</f>
        <v/>
      </c>
      <c r="AO109" s="135" t="str">
        <f aca="false">IF(ISBLANK($C109),"",IF(N109=Constants!$B$3,TRUE(),IF(N109=Constants!$B$4,FALSE(),TRUE())))</f>
        <v/>
      </c>
      <c r="AP109" s="133" t="str">
        <f aca="false">IF(ISBLANK($C109),"",IF(ISNUMBER(O109),IF(O109&gt;=0,O109,""),""))</f>
        <v/>
      </c>
      <c r="AQ109" s="133" t="str">
        <f aca="false">IF(ISBLANK($C109),"",IF(P109=Constants!$B$3,TRUE(),IF(P109=Constants!$B$4,FALSE(),FALSE())))</f>
        <v/>
      </c>
      <c r="AR109" s="133" t="str">
        <f aca="false">IF(ISBLANK($C109),"",IF(Q109=Constants!$B$3,TRUE(),IF(Q109=Constants!$B$4,FALSE(),TRUE())))</f>
        <v/>
      </c>
      <c r="AS109" s="133" t="str">
        <f aca="false">IF(ISBLANK($C109),"",IF(R109=Constants!$B$3,TRUE(),IF(R109=Constants!$B$4,FALSE(),TRUE())))</f>
        <v/>
      </c>
      <c r="AT109" s="133" t="str">
        <f aca="false">IF(ISBLANK($C109),"",IF(S109=Constants!$B$5,TRUE(),IF(S109=Constants!$B$6,FALSE(),COUNTA(T109:X109)&gt;0)))</f>
        <v/>
      </c>
      <c r="AU109" s="134" t="str">
        <f aca="false">IF(ISBLANK($C109),"",IF(ISNUMBER(T109),IF(T109&gt;=0,T109,""),""))</f>
        <v/>
      </c>
      <c r="AV109" s="135" t="str">
        <f aca="false">IF(ISBLANK($C109),"",IF(ISNUMBER(U109),IF(U109&gt;=0,U109,""),""))</f>
        <v/>
      </c>
      <c r="AW109" s="135" t="str">
        <f aca="false">IF(ISBLANK($C109),"",IF(V109=Constants!$B$3,TRUE(),IF(V109=Constants!$B$4,FALSE(),TRUE())))</f>
        <v/>
      </c>
      <c r="AX109" s="133" t="str">
        <f aca="false">IF(ISBLANK($C109),"",IF(ISNUMBER(W109),IF(W109&gt;=0,W109,""),""))</f>
        <v/>
      </c>
      <c r="AY109" s="133" t="str">
        <f aca="false">IF(ISBLANK($C109),"",IF(X109=Constants!$B$3,TRUE(),IF(X109=Constants!$B$4,FALSE(),FALSE())))</f>
        <v/>
      </c>
      <c r="AZ109" s="133" t="str">
        <f aca="false">IF(ISBLANK($C109),"",MIN(Constants!$B$31,MAX(0,IF(ISNUMBER(Y109),Y109*60,0)+IF(ISNUMBER(Z109),Z109,0))))</f>
        <v/>
      </c>
      <c r="BA109" s="133" t="str">
        <f aca="false">IF(ISBLANK($C109),"",IF(AA109=Constants!$B$3,TRUE(),IF(AA109=Constants!$B$4,FALSE(),FALSE())))</f>
        <v/>
      </c>
      <c r="BB109" s="132" t="str">
        <f aca="false">IF(ISBLANK($C109),"",AND($AL109,OR($AM109="",$AN109="",AND($AO109,$AP109=""))))</f>
        <v/>
      </c>
      <c r="BC109" s="135" t="str">
        <f aca="false">IF($BR109&lt;&gt;Constants!$B$8,"",IF($AL109,Constants!$B$21*$AN109+Constants!$B$22*IF($AO109,$AP109,Constants!$B$23),Constants!$B$24))</f>
        <v/>
      </c>
      <c r="BD109" s="136" t="str">
        <f aca="false">IF($BR109&lt;&gt;Constants!$B$8,"",Constants!$B$25*ABS($AD$9-IF($AL109,$AM109,0)))</f>
        <v/>
      </c>
      <c r="BE109" s="136" t="str">
        <f aca="false">IF($BR109&lt;&gt;Constants!$B$8,"",IF(AND($AL109,$AQ109,$AO109),Constants!$B$27,0))</f>
        <v/>
      </c>
      <c r="BF109" s="136" t="str">
        <f aca="false">IF($BR109&lt;&gt;Constants!$B$8,"",IF($AL109,($AI109-Constants!$B$29)*Constants!$B$28,0))</f>
        <v/>
      </c>
      <c r="BG109" s="136" t="str">
        <f aca="false">IF($BR109&lt;&gt;Constants!$B$8,"",IF($AK109,0,Constants!$B$15)+IF($AJ109,0,Constants!$B$16)+IF($AH109,0,Constants!$B$17))</f>
        <v/>
      </c>
      <c r="BH109" s="137" t="str">
        <f aca="false">IF($BR109&lt;&gt;Constants!$B$8,"",Constants!$B$20+SUM($BC109:$BG109))</f>
        <v/>
      </c>
      <c r="BI109" s="133" t="str">
        <f aca="false">IF($BR109&lt;&gt;Constants!$B$8,"",IF(OR($BP109&lt;$BH109,AND($BP109=$BH109,OR($BK109&lt;$BC109,AND($BK109=$BC109,OR($BL109&lt;$BD109,AND($BL109=$BD109,$AT109,$AL109,$AV109&lt;$AN109)))))),"-&gt;","&lt;-"))</f>
        <v/>
      </c>
      <c r="BJ109" s="132" t="str">
        <f aca="false">IF(ISBLANK($C109),"",AND($AT109,OR($AU109="",$AV109="",AND($AW109,$AX109=""))))</f>
        <v/>
      </c>
      <c r="BK109" s="135" t="str">
        <f aca="false">IF($BR109&lt;&gt;Constants!$B$8,"",IF($AT109,Constants!$B$21*$AV109+Constants!$B$22*IF($AW109,$AX109,Constants!$B$23),Constants!$B$24))</f>
        <v/>
      </c>
      <c r="BL109" s="136" t="str">
        <f aca="false">IF($BR109&lt;&gt;Constants!$B$8,"",Constants!$B$25*ABS($AD$9-IF($AT109,$AU109,0)))</f>
        <v/>
      </c>
      <c r="BM109" s="136" t="str">
        <f aca="false">IF($BR109&lt;&gt;Constants!$B$8,"",IF(AND($AT109,$AY109,$AW109),Constants!$B$27,0))</f>
        <v/>
      </c>
      <c r="BN109" s="136" t="str">
        <f aca="false">IF($BR109&lt;&gt;Constants!$B$8,"",IF($AT109,($AI109-Constants!$B$29)*Constants!$B$28,0))</f>
        <v/>
      </c>
      <c r="BO109" s="136" t="str">
        <f aca="false">IF($BR109&lt;&gt;Constants!$B$8,"",IF($AS109,0,Constants!$B$15)+IF($AR109,0,Constants!$B$16)+IF($AH109,0,Constants!$B$17))</f>
        <v/>
      </c>
      <c r="BP109" s="137" t="str">
        <f aca="false">IF($BR109&lt;&gt;Constants!$B$8,"",Constants!$B$20+SUM($BK109:$BO109))</f>
        <v/>
      </c>
      <c r="BQ109" s="133" t="str">
        <f aca="false">IF(ISBLANK($C109),"",IF(ISBLANK($D$7),$BQ$5,IF(NOT(ISNUMBER($D$7)),$BQ$6,"")))</f>
        <v/>
      </c>
      <c r="BR109" s="133" t="str">
        <f aca="false">IF(ISBLANK($C109),"",IF($BA109,Constants!$B$11,IF(COUNTA($E109:$AA109)=0,Constants!$B$10,IF(NOT($AG109),Constants!$B$9,IF(OR($BQ109&lt;&gt;"",$BB109,$BJ109),Constants!$B$12,Constants!$B$8)))))</f>
        <v/>
      </c>
      <c r="BS109" s="133" t="str">
        <f aca="false">IF(ISBLANK($C109),"",IF($BR109&lt;&gt;Constants!$B$8,$BR109,Constants!$B$13))</f>
        <v/>
      </c>
      <c r="BT109" s="136" t="str">
        <f aca="false">IF($BR109&lt;&gt;Constants!$B$8,"",IF($BI109="-&gt;",$BP109,$BH109))</f>
        <v/>
      </c>
      <c r="BU109" s="136" t="str">
        <f aca="false">IF($BR109&lt;&gt;Constants!$B$8,"",IF($AF109,0,Constants!$B$18))</f>
        <v/>
      </c>
      <c r="BV109" s="136" t="str">
        <f aca="false">IF($BR109&lt;&gt;Constants!$B$8,"",((Constants!$B$31-$AZ109)-Constants!$B$31)/Constants!$B$32)</f>
        <v/>
      </c>
      <c r="BW109" s="136" t="str">
        <f aca="false">IF(ISBLANK($C109),"",IF($BR109&lt;&gt;Constants!$B$8,$BR109,SUM($BT109:$BV109)))</f>
        <v/>
      </c>
      <c r="BX109" s="133" t="str">
        <f aca="false">IF(ISBLANK($C109),"",IF($BR109&lt;&gt;Constants!$B$8,$BR109,RANK($BW109,$BW$9:$BW$508,1)))</f>
        <v/>
      </c>
      <c r="BY109" s="136" t="str">
        <f aca="false">IF($BR109&lt;&gt;Constants!$B$8,"",IF($BI109="-&gt;",$BK109,$BC109))</f>
        <v/>
      </c>
      <c r="BZ109" s="133" t="str">
        <f aca="false">IF(ISBLANK($C109),"",IF($BR109&lt;&gt;Constants!$B$8,$BR109,IF(ISNUMBER($BY109),RANK($BY109,$BY$9:$BY$508,1),COUNT($BY$9:$BY$508)+1)))</f>
        <v/>
      </c>
      <c r="CA109" s="136" t="str">
        <f aca="false">IF($BR109&lt;&gt;Constants!$B$8,"",IF($BI109="-&gt;",$BL109,$BD109))</f>
        <v/>
      </c>
      <c r="CB109" s="133" t="str">
        <f aca="false">IF(ISBLANK($C109),"",IF($BR109&lt;&gt;Constants!$B$8,$BR109,IF(ISNUMBER($CA109),RANK($CA109,$CA$9:$CA$508,1),COUNT($CA$9:$CA$508)+1)))</f>
        <v/>
      </c>
      <c r="CC109" s="136" t="str">
        <f aca="false">IF($BR109&lt;&gt;Constants!$B$8,"",IF($BI109="-&gt;",IF($AT109,$AV109,""),IF($AL109,$AN109,"")))</f>
        <v/>
      </c>
      <c r="CD109" s="133" t="str">
        <f aca="false">IF(ISBLANK($C109),"",IF($BR109&lt;&gt;Constants!$B$8,$BR109,IF(ISNUMBER($CC109),RANK($CC109,$CC$9:$CC$508,1),COUNT($CC$9:$CC$508)+1)))</f>
        <v/>
      </c>
      <c r="CE109" s="136" t="str">
        <f aca="false">IF($BR109&lt;&gt;Constants!$B$8,"",IF(AND(NOT($AL109),NOT($AT109),$AJ109,$AK109,$AR109,$AS109),"",$AI109))</f>
        <v/>
      </c>
      <c r="CF109" s="133" t="str">
        <f aca="false">IF(ISBLANK($C109),"",IF($BR109&lt;&gt;Constants!$B$8,$BR109,IF(ISNUMBER($CE109),RANK($CE109,$CE$9:$CE$508,1),COUNT($CE$9:$CE$508)+1)))</f>
        <v/>
      </c>
      <c r="CG109" s="133" t="str">
        <f aca="false">IF(ISBLANK($C109),"",IF($BR109&lt;&gt;Constants!$B$8,$BR109,COUNTIFS($BX$9:$BX$508,"&lt;"&amp;$BX109)+COUNTIFS($BX$9:$BX$508,$BX109,$BZ$9:$BZ$508,"&lt;"&amp;$BZ109)+COUNTIFS($BX$9:$BX$508,$BX109,$BZ$9:$BZ$508,$BZ109,$CB$9:$CB$508,"&lt;"&amp;$CB109)+COUNTIFS($BX$9:$BX$508,$BX109,$BZ$9:$BZ$508,$BZ109,$CB$9:$CB$508,$CB109,$CD$9:$CD$508,"&lt;"&amp;$CD109)+COUNTIFS($BX$9:$BX$508,$BX109,$BZ$9:$BZ$508,$BZ109,$CB$9:$CB$508,$CB109,$CD$9:$CD$508,$CD109,$CF$9:$CF$508,"&lt;"&amp;$CF109)+1))</f>
        <v/>
      </c>
      <c r="CH109" s="133" t="str">
        <f aca="false">IF(ISBLANK($C109),"",IF($BR109&lt;&gt;Constants!$B$8,$BR109,$BX109-$CG109))</f>
        <v/>
      </c>
      <c r="CI109" s="138"/>
      <c r="CJ109" s="139"/>
      <c r="CK109" s="140" t="str">
        <f aca="false">IF(ISBLANK($C109),"",IF($BR109=Constants!$B$12,$BQ109,""))</f>
        <v/>
      </c>
      <c r="CL109" s="139" t="str">
        <f aca="false">IF(ISBLANK($C109),"",IF($BR109&lt;&gt;Constants!$B$8,"",IF($BI109="-&gt;",2,1)))</f>
        <v/>
      </c>
      <c r="CM109" s="141" t="str">
        <f aca="false">IF(ISBLANK($C109),"",IF($BR109&lt;&gt;Constants!$B$8,"",IF($BI109="-&gt;",$BK109,$BC109)))</f>
        <v/>
      </c>
      <c r="CN109" s="141" t="str">
        <f aca="false">IF(ISBLANK($C109),"",IF($BR109&lt;&gt;Constants!$B$8,"",IF($BI109="-&gt;",$BL109,$BD109)))</f>
        <v/>
      </c>
      <c r="CO109" s="141" t="str">
        <f aca="false">IF(ISBLANK($C109),"",IF($BR109&lt;&gt;Constants!$B$8,"",IF($BI109="-&gt;",$BM109+$BN109,$BE109+$BF109)+$BV109))</f>
        <v/>
      </c>
      <c r="CP109" s="141" t="str">
        <f aca="false">IF(ISBLANK($C109),"",IF($BR109&lt;&gt;Constants!$B$8,"",IF($BI109="-&gt;",$BO109,$BG109)+$BU109))</f>
        <v/>
      </c>
      <c r="CQ109" s="142" t="str">
        <f aca="false">IF(ISBLANK($C109),"",IF($BR109&lt;&gt;Constants!$B$8,$BR109,$BW109))</f>
        <v/>
      </c>
      <c r="CR109" s="143" t="str">
        <f aca="false">IF(ISBLANK($C109),"",$BS109)</f>
        <v/>
      </c>
      <c r="CS109" s="144" t="str">
        <f aca="false">IF(ISBLANK($C109),"",$CH109)</f>
        <v/>
      </c>
      <c r="CT109" s="144" t="str">
        <f aca="false">IF(ISBLANK($C109),"",$CG109)</f>
        <v/>
      </c>
      <c r="CU109" s="145" t="str">
        <f aca="false">IF(ISBLANK($C109),"",IFERROR(_xlfn.SWITCH($CT109,Constants!$B$11,COUNTA($C$9:$C$508)+2,Constants!$B$10,COUNTA($C$9:$C$508)+1,Constants!$B$9,COUNTA($C$9:$C$508)),$CT109))</f>
        <v/>
      </c>
      <c r="CV109" s="9"/>
      <c r="CW109" s="146" t="n">
        <f aca="false">IF(OR(ISNUMBER($CT109),$CT109=Constants!$B$11,$CT109=Constants!$B$9,$CT109=Constants!$B$10),1,0)</f>
        <v>0</v>
      </c>
      <c r="CX109" s="146" t="n">
        <v>101</v>
      </c>
      <c r="CY109" s="146" t="str">
        <f aca="false">IF(ISBLANK($C109),"",IF(ISNUMBER($CU109),$CU109+ROW($B109)/1000,""))</f>
        <v/>
      </c>
      <c r="CZ109" s="146" t="str">
        <f aca="false">IF(ISNUMBER($CY109),RANK($CY109,$CY$9:$CY$508,1),"")</f>
        <v/>
      </c>
      <c r="DA109" s="146" t="str">
        <f aca="false">IF(ISBLANK($C109),"",$B109)</f>
        <v/>
      </c>
      <c r="DB109" s="146" t="str">
        <f aca="false">IF(ISBLANK($C109),"",$C109)</f>
        <v/>
      </c>
      <c r="DC109" s="146" t="str">
        <f aca="false">IF(ISBLANK($C109),"",$D109)</f>
        <v/>
      </c>
      <c r="DD109" s="147" t="str">
        <f aca="false">$CR109</f>
        <v/>
      </c>
      <c r="DE109" s="148" t="str">
        <f aca="false">$CQ109</f>
        <v/>
      </c>
      <c r="DF109" s="146" t="str">
        <f aca="false">IF(ISBLANK($C109),"",$CT109)</f>
        <v/>
      </c>
      <c r="DG109" s="149" t="str">
        <f aca="false">IF($CX109&gt;$CW$8,"",VLOOKUP($CX109,$CZ$9:$DF$508,7,FALSE()))</f>
        <v/>
      </c>
      <c r="DH109" s="150" t="str">
        <f aca="false">IF($CX109&gt;$CW$8,"",VLOOKUP($CX109,$CZ$9:$DF$508,2,FALSE()))</f>
        <v/>
      </c>
      <c r="DI109" s="150" t="str">
        <f aca="false">IF($CX109&gt;$CW$8,"",VLOOKUP($CX109,$CZ$9:$DF$508,3,FALSE()))</f>
        <v/>
      </c>
      <c r="DJ109" s="150" t="str">
        <f aca="false">IF($CX109&gt;$CW$8,"",VLOOKUP($CX109,$CZ$9:$DF$508,4,FALSE()))</f>
        <v/>
      </c>
      <c r="DK109" s="150" t="str">
        <f aca="false">IF($CX109&gt;$CW$8,"",VLOOKUP($CX109,$CZ$9:$DF$508,5,FALSE()))</f>
        <v/>
      </c>
      <c r="DL109" s="151" t="str">
        <f aca="false">IF($CX109&gt;$CW$8,"",VLOOKUP($CX109,$CZ$9:$DF$508,6,FALSE()))</f>
        <v/>
      </c>
      <c r="DM109" s="75"/>
    </row>
    <row r="110" customFormat="false" ht="15.75" hidden="false" customHeight="false" outlineLevel="0" collapsed="false">
      <c r="A110" s="9"/>
      <c r="B110" s="157"/>
      <c r="C110" s="158"/>
      <c r="D110" s="159"/>
      <c r="E110" s="177"/>
      <c r="F110" s="161"/>
      <c r="G110" s="162"/>
      <c r="H110" s="162"/>
      <c r="I110" s="178"/>
      <c r="J110" s="165"/>
      <c r="K110" s="126"/>
      <c r="L110" s="127"/>
      <c r="M110" s="128"/>
      <c r="N110" s="165"/>
      <c r="O110" s="165"/>
      <c r="P110" s="177"/>
      <c r="Q110" s="165"/>
      <c r="R110" s="165"/>
      <c r="S110" s="126"/>
      <c r="T110" s="128"/>
      <c r="U110" s="128"/>
      <c r="V110" s="165"/>
      <c r="W110" s="165"/>
      <c r="X110" s="177"/>
      <c r="Y110" s="165"/>
      <c r="Z110" s="166"/>
      <c r="AA110" s="165"/>
      <c r="AB110" s="132"/>
      <c r="AC110" s="133"/>
      <c r="AD110" s="133"/>
      <c r="AE110" s="133"/>
      <c r="AF110" s="133" t="str">
        <f aca="false">IF(ISBLANK($C110),"",IF(E110=Constants!$B$3,TRUE(),IF(E110=Constants!$B$4,FALSE(),TRUE())))</f>
        <v/>
      </c>
      <c r="AG110" s="133" t="str">
        <f aca="false">IF(ISBLANK($C110),"",IF(F110=Constants!$B$3,TRUE(),IF(F110=Constants!$B$4,FALSE(),TRUE())))</f>
        <v/>
      </c>
      <c r="AH110" s="133" t="str">
        <f aca="false">IF(ISBLANK($C110),"",IF(G110=Constants!$B$3,TRUE(),IF(G110=Constants!$B$4,FALSE(),TRUE())))</f>
        <v/>
      </c>
      <c r="AI110" s="133" t="str">
        <f aca="false">IF(ISBLANK($C110),"",IF(AND(ISNUMBER(H110),H110&gt;=0),H110,Constants!$B$29))</f>
        <v/>
      </c>
      <c r="AJ110" s="133" t="str">
        <f aca="false">IF(ISBLANK($C110),"",IF(I110=Constants!$B$3,TRUE(),IF(I110=Constants!$B$4,FALSE(),TRUE())))</f>
        <v/>
      </c>
      <c r="AK110" s="133" t="str">
        <f aca="false">IF(ISBLANK($C110),"",IF(J110=Constants!$B$3,TRUE(),IF(J110=Constants!$B$4,FALSE(),TRUE())))</f>
        <v/>
      </c>
      <c r="AL110" s="133" t="str">
        <f aca="false">IF(ISBLANK($C110),"",IF(K110=Constants!$B$5,TRUE(),IF(K110=Constants!$B$6,FALSE(),COUNTA(L110:P110)&gt;0)))</f>
        <v/>
      </c>
      <c r="AM110" s="134" t="str">
        <f aca="false">IF(ISBLANK($C110),"",IF(ISNUMBER(L110),IF(L110&gt;=0,L110,""),""))</f>
        <v/>
      </c>
      <c r="AN110" s="135" t="str">
        <f aca="false">IF(ISBLANK($C110),"",IF(ISNUMBER(M110),IF(M110&gt;=0,M110,""),""))</f>
        <v/>
      </c>
      <c r="AO110" s="135" t="str">
        <f aca="false">IF(ISBLANK($C110),"",IF(N110=Constants!$B$3,TRUE(),IF(N110=Constants!$B$4,FALSE(),TRUE())))</f>
        <v/>
      </c>
      <c r="AP110" s="133" t="str">
        <f aca="false">IF(ISBLANK($C110),"",IF(ISNUMBER(O110),IF(O110&gt;=0,O110,""),""))</f>
        <v/>
      </c>
      <c r="AQ110" s="133" t="str">
        <f aca="false">IF(ISBLANK($C110),"",IF(P110=Constants!$B$3,TRUE(),IF(P110=Constants!$B$4,FALSE(),FALSE())))</f>
        <v/>
      </c>
      <c r="AR110" s="133" t="str">
        <f aca="false">IF(ISBLANK($C110),"",IF(Q110=Constants!$B$3,TRUE(),IF(Q110=Constants!$B$4,FALSE(),TRUE())))</f>
        <v/>
      </c>
      <c r="AS110" s="133" t="str">
        <f aca="false">IF(ISBLANK($C110),"",IF(R110=Constants!$B$3,TRUE(),IF(R110=Constants!$B$4,FALSE(),TRUE())))</f>
        <v/>
      </c>
      <c r="AT110" s="133" t="str">
        <f aca="false">IF(ISBLANK($C110),"",IF(S110=Constants!$B$5,TRUE(),IF(S110=Constants!$B$6,FALSE(),COUNTA(T110:X110)&gt;0)))</f>
        <v/>
      </c>
      <c r="AU110" s="134" t="str">
        <f aca="false">IF(ISBLANK($C110),"",IF(ISNUMBER(T110),IF(T110&gt;=0,T110,""),""))</f>
        <v/>
      </c>
      <c r="AV110" s="135" t="str">
        <f aca="false">IF(ISBLANK($C110),"",IF(ISNUMBER(U110),IF(U110&gt;=0,U110,""),""))</f>
        <v/>
      </c>
      <c r="AW110" s="135" t="str">
        <f aca="false">IF(ISBLANK($C110),"",IF(V110=Constants!$B$3,TRUE(),IF(V110=Constants!$B$4,FALSE(),TRUE())))</f>
        <v/>
      </c>
      <c r="AX110" s="133" t="str">
        <f aca="false">IF(ISBLANK($C110),"",IF(ISNUMBER(W110),IF(W110&gt;=0,W110,""),""))</f>
        <v/>
      </c>
      <c r="AY110" s="133" t="str">
        <f aca="false">IF(ISBLANK($C110),"",IF(X110=Constants!$B$3,TRUE(),IF(X110=Constants!$B$4,FALSE(),FALSE())))</f>
        <v/>
      </c>
      <c r="AZ110" s="133" t="str">
        <f aca="false">IF(ISBLANK($C110),"",MIN(Constants!$B$31,MAX(0,IF(ISNUMBER(Y110),Y110*60,0)+IF(ISNUMBER(Z110),Z110,0))))</f>
        <v/>
      </c>
      <c r="BA110" s="133" t="str">
        <f aca="false">IF(ISBLANK($C110),"",IF(AA110=Constants!$B$3,TRUE(),IF(AA110=Constants!$B$4,FALSE(),FALSE())))</f>
        <v/>
      </c>
      <c r="BB110" s="132" t="str">
        <f aca="false">IF(ISBLANK($C110),"",AND($AL110,OR($AM110="",$AN110="",AND($AO110,$AP110=""))))</f>
        <v/>
      </c>
      <c r="BC110" s="135" t="str">
        <f aca="false">IF($BR110&lt;&gt;Constants!$B$8,"",IF($AL110,Constants!$B$21*$AN110+Constants!$B$22*IF($AO110,$AP110,Constants!$B$23),Constants!$B$24))</f>
        <v/>
      </c>
      <c r="BD110" s="136" t="str">
        <f aca="false">IF($BR110&lt;&gt;Constants!$B$8,"",Constants!$B$25*ABS($AD$9-IF($AL110,$AM110,0)))</f>
        <v/>
      </c>
      <c r="BE110" s="136" t="str">
        <f aca="false">IF($BR110&lt;&gt;Constants!$B$8,"",IF(AND($AL110,$AQ110,$AO110),Constants!$B$27,0))</f>
        <v/>
      </c>
      <c r="BF110" s="136" t="str">
        <f aca="false">IF($BR110&lt;&gt;Constants!$B$8,"",IF($AL110,($AI110-Constants!$B$29)*Constants!$B$28,0))</f>
        <v/>
      </c>
      <c r="BG110" s="136" t="str">
        <f aca="false">IF($BR110&lt;&gt;Constants!$B$8,"",IF($AK110,0,Constants!$B$15)+IF($AJ110,0,Constants!$B$16)+IF($AH110,0,Constants!$B$17))</f>
        <v/>
      </c>
      <c r="BH110" s="137" t="str">
        <f aca="false">IF($BR110&lt;&gt;Constants!$B$8,"",Constants!$B$20+SUM($BC110:$BG110))</f>
        <v/>
      </c>
      <c r="BI110" s="133" t="str">
        <f aca="false">IF($BR110&lt;&gt;Constants!$B$8,"",IF(OR($BP110&lt;$BH110,AND($BP110=$BH110,OR($BK110&lt;$BC110,AND($BK110=$BC110,OR($BL110&lt;$BD110,AND($BL110=$BD110,$AT110,$AL110,$AV110&lt;$AN110)))))),"-&gt;","&lt;-"))</f>
        <v/>
      </c>
      <c r="BJ110" s="132" t="str">
        <f aca="false">IF(ISBLANK($C110),"",AND($AT110,OR($AU110="",$AV110="",AND($AW110,$AX110=""))))</f>
        <v/>
      </c>
      <c r="BK110" s="135" t="str">
        <f aca="false">IF($BR110&lt;&gt;Constants!$B$8,"",IF($AT110,Constants!$B$21*$AV110+Constants!$B$22*IF($AW110,$AX110,Constants!$B$23),Constants!$B$24))</f>
        <v/>
      </c>
      <c r="BL110" s="136" t="str">
        <f aca="false">IF($BR110&lt;&gt;Constants!$B$8,"",Constants!$B$25*ABS($AD$9-IF($AT110,$AU110,0)))</f>
        <v/>
      </c>
      <c r="BM110" s="136" t="str">
        <f aca="false">IF($BR110&lt;&gt;Constants!$B$8,"",IF(AND($AT110,$AY110,$AW110),Constants!$B$27,0))</f>
        <v/>
      </c>
      <c r="BN110" s="136" t="str">
        <f aca="false">IF($BR110&lt;&gt;Constants!$B$8,"",IF($AT110,($AI110-Constants!$B$29)*Constants!$B$28,0))</f>
        <v/>
      </c>
      <c r="BO110" s="136" t="str">
        <f aca="false">IF($BR110&lt;&gt;Constants!$B$8,"",IF($AS110,0,Constants!$B$15)+IF($AR110,0,Constants!$B$16)+IF($AH110,0,Constants!$B$17))</f>
        <v/>
      </c>
      <c r="BP110" s="137" t="str">
        <f aca="false">IF($BR110&lt;&gt;Constants!$B$8,"",Constants!$B$20+SUM($BK110:$BO110))</f>
        <v/>
      </c>
      <c r="BQ110" s="133" t="str">
        <f aca="false">IF(ISBLANK($C110),"",IF(ISBLANK($D$7),$BQ$5,IF(NOT(ISNUMBER($D$7)),$BQ$6,"")))</f>
        <v/>
      </c>
      <c r="BR110" s="133" t="str">
        <f aca="false">IF(ISBLANK($C110),"",IF($BA110,Constants!$B$11,IF(COUNTA($E110:$AA110)=0,Constants!$B$10,IF(NOT($AG110),Constants!$B$9,IF(OR($BQ110&lt;&gt;"",$BB110,$BJ110),Constants!$B$12,Constants!$B$8)))))</f>
        <v/>
      </c>
      <c r="BS110" s="133" t="str">
        <f aca="false">IF(ISBLANK($C110),"",IF($BR110&lt;&gt;Constants!$B$8,$BR110,Constants!$B$13))</f>
        <v/>
      </c>
      <c r="BT110" s="136" t="str">
        <f aca="false">IF($BR110&lt;&gt;Constants!$B$8,"",IF($BI110="-&gt;",$BP110,$BH110))</f>
        <v/>
      </c>
      <c r="BU110" s="136" t="str">
        <f aca="false">IF($BR110&lt;&gt;Constants!$B$8,"",IF($AF110,0,Constants!$B$18))</f>
        <v/>
      </c>
      <c r="BV110" s="136" t="str">
        <f aca="false">IF($BR110&lt;&gt;Constants!$B$8,"",((Constants!$B$31-$AZ110)-Constants!$B$31)/Constants!$B$32)</f>
        <v/>
      </c>
      <c r="BW110" s="136" t="str">
        <f aca="false">IF(ISBLANK($C110),"",IF($BR110&lt;&gt;Constants!$B$8,$BR110,SUM($BT110:$BV110)))</f>
        <v/>
      </c>
      <c r="BX110" s="133" t="str">
        <f aca="false">IF(ISBLANK($C110),"",IF($BR110&lt;&gt;Constants!$B$8,$BR110,RANK($BW110,$BW$9:$BW$508,1)))</f>
        <v/>
      </c>
      <c r="BY110" s="136" t="str">
        <f aca="false">IF($BR110&lt;&gt;Constants!$B$8,"",IF($BI110="-&gt;",$BK110,$BC110))</f>
        <v/>
      </c>
      <c r="BZ110" s="133" t="str">
        <f aca="false">IF(ISBLANK($C110),"",IF($BR110&lt;&gt;Constants!$B$8,$BR110,IF(ISNUMBER($BY110),RANK($BY110,$BY$9:$BY$508,1),COUNT($BY$9:$BY$508)+1)))</f>
        <v/>
      </c>
      <c r="CA110" s="136" t="str">
        <f aca="false">IF($BR110&lt;&gt;Constants!$B$8,"",IF($BI110="-&gt;",$BL110,$BD110))</f>
        <v/>
      </c>
      <c r="CB110" s="133" t="str">
        <f aca="false">IF(ISBLANK($C110),"",IF($BR110&lt;&gt;Constants!$B$8,$BR110,IF(ISNUMBER($CA110),RANK($CA110,$CA$9:$CA$508,1),COUNT($CA$9:$CA$508)+1)))</f>
        <v/>
      </c>
      <c r="CC110" s="136" t="str">
        <f aca="false">IF($BR110&lt;&gt;Constants!$B$8,"",IF($BI110="-&gt;",IF($AT110,$AV110,""),IF($AL110,$AN110,"")))</f>
        <v/>
      </c>
      <c r="CD110" s="133" t="str">
        <f aca="false">IF(ISBLANK($C110),"",IF($BR110&lt;&gt;Constants!$B$8,$BR110,IF(ISNUMBER($CC110),RANK($CC110,$CC$9:$CC$508,1),COUNT($CC$9:$CC$508)+1)))</f>
        <v/>
      </c>
      <c r="CE110" s="136" t="str">
        <f aca="false">IF($BR110&lt;&gt;Constants!$B$8,"",IF(AND(NOT($AL110),NOT($AT110),$AJ110,$AK110,$AR110,$AS110),"",$AI110))</f>
        <v/>
      </c>
      <c r="CF110" s="133" t="str">
        <f aca="false">IF(ISBLANK($C110),"",IF($BR110&lt;&gt;Constants!$B$8,$BR110,IF(ISNUMBER($CE110),RANK($CE110,$CE$9:$CE$508,1),COUNT($CE$9:$CE$508)+1)))</f>
        <v/>
      </c>
      <c r="CG110" s="133" t="str">
        <f aca="false">IF(ISBLANK($C110),"",IF($BR110&lt;&gt;Constants!$B$8,$BR110,COUNTIFS($BX$9:$BX$508,"&lt;"&amp;$BX110)+COUNTIFS($BX$9:$BX$508,$BX110,$BZ$9:$BZ$508,"&lt;"&amp;$BZ110)+COUNTIFS($BX$9:$BX$508,$BX110,$BZ$9:$BZ$508,$BZ110,$CB$9:$CB$508,"&lt;"&amp;$CB110)+COUNTIFS($BX$9:$BX$508,$BX110,$BZ$9:$BZ$508,$BZ110,$CB$9:$CB$508,$CB110,$CD$9:$CD$508,"&lt;"&amp;$CD110)+COUNTIFS($BX$9:$BX$508,$BX110,$BZ$9:$BZ$508,$BZ110,$CB$9:$CB$508,$CB110,$CD$9:$CD$508,$CD110,$CF$9:$CF$508,"&lt;"&amp;$CF110)+1))</f>
        <v/>
      </c>
      <c r="CH110" s="133" t="str">
        <f aca="false">IF(ISBLANK($C110),"",IF($BR110&lt;&gt;Constants!$B$8,$BR110,$BX110-$CG110))</f>
        <v/>
      </c>
      <c r="CI110" s="138"/>
      <c r="CJ110" s="139"/>
      <c r="CK110" s="140" t="str">
        <f aca="false">IF(ISBLANK($C110),"",IF($BR110=Constants!$B$12,$BQ110,""))</f>
        <v/>
      </c>
      <c r="CL110" s="139" t="str">
        <f aca="false">IF(ISBLANK($C110),"",IF($BR110&lt;&gt;Constants!$B$8,"",IF($BI110="-&gt;",2,1)))</f>
        <v/>
      </c>
      <c r="CM110" s="141" t="str">
        <f aca="false">IF(ISBLANK($C110),"",IF($BR110&lt;&gt;Constants!$B$8,"",IF($BI110="-&gt;",$BK110,$BC110)))</f>
        <v/>
      </c>
      <c r="CN110" s="141" t="str">
        <f aca="false">IF(ISBLANK($C110),"",IF($BR110&lt;&gt;Constants!$B$8,"",IF($BI110="-&gt;",$BL110,$BD110)))</f>
        <v/>
      </c>
      <c r="CO110" s="141" t="str">
        <f aca="false">IF(ISBLANK($C110),"",IF($BR110&lt;&gt;Constants!$B$8,"",IF($BI110="-&gt;",$BM110+$BN110,$BE110+$BF110)+$BV110))</f>
        <v/>
      </c>
      <c r="CP110" s="141" t="str">
        <f aca="false">IF(ISBLANK($C110),"",IF($BR110&lt;&gt;Constants!$B$8,"",IF($BI110="-&gt;",$BO110,$BG110)+$BU110))</f>
        <v/>
      </c>
      <c r="CQ110" s="142" t="str">
        <f aca="false">IF(ISBLANK($C110),"",IF($BR110&lt;&gt;Constants!$B$8,$BR110,$BW110))</f>
        <v/>
      </c>
      <c r="CR110" s="143" t="str">
        <f aca="false">IF(ISBLANK($C110),"",$BS110)</f>
        <v/>
      </c>
      <c r="CS110" s="144" t="str">
        <f aca="false">IF(ISBLANK($C110),"",$CH110)</f>
        <v/>
      </c>
      <c r="CT110" s="144" t="str">
        <f aca="false">IF(ISBLANK($C110),"",$CG110)</f>
        <v/>
      </c>
      <c r="CU110" s="145" t="str">
        <f aca="false">IF(ISBLANK($C110),"",IFERROR(_xlfn.SWITCH($CT110,Constants!$B$11,COUNTA($C$9:$C$508)+2,Constants!$B$10,COUNTA($C$9:$C$508)+1,Constants!$B$9,COUNTA($C$9:$C$508)),$CT110))</f>
        <v/>
      </c>
      <c r="CV110" s="9"/>
      <c r="CW110" s="146" t="n">
        <f aca="false">IF(OR(ISNUMBER($CT110),$CT110=Constants!$B$11,$CT110=Constants!$B$9,$CT110=Constants!$B$10),1,0)</f>
        <v>0</v>
      </c>
      <c r="CX110" s="146" t="n">
        <v>102</v>
      </c>
      <c r="CY110" s="146" t="str">
        <f aca="false">IF(ISBLANK($C110),"",IF(ISNUMBER($CU110),$CU110+ROW($B110)/1000,""))</f>
        <v/>
      </c>
      <c r="CZ110" s="146" t="str">
        <f aca="false">IF(ISNUMBER($CY110),RANK($CY110,$CY$9:$CY$508,1),"")</f>
        <v/>
      </c>
      <c r="DA110" s="146" t="str">
        <f aca="false">IF(ISBLANK($C110),"",$B110)</f>
        <v/>
      </c>
      <c r="DB110" s="146" t="str">
        <f aca="false">IF(ISBLANK($C110),"",$C110)</f>
        <v/>
      </c>
      <c r="DC110" s="146" t="str">
        <f aca="false">IF(ISBLANK($C110),"",$D110)</f>
        <v/>
      </c>
      <c r="DD110" s="147" t="str">
        <f aca="false">$CR110</f>
        <v/>
      </c>
      <c r="DE110" s="148" t="str">
        <f aca="false">$CQ110</f>
        <v/>
      </c>
      <c r="DF110" s="146" t="str">
        <f aca="false">IF(ISBLANK($C110),"",$CT110)</f>
        <v/>
      </c>
      <c r="DG110" s="149" t="str">
        <f aca="false">IF($CX110&gt;$CW$8,"",VLOOKUP($CX110,$CZ$9:$DF$508,7,FALSE()))</f>
        <v/>
      </c>
      <c r="DH110" s="150" t="str">
        <f aca="false">IF($CX110&gt;$CW$8,"",VLOOKUP($CX110,$CZ$9:$DF$508,2,FALSE()))</f>
        <v/>
      </c>
      <c r="DI110" s="150" t="str">
        <f aca="false">IF($CX110&gt;$CW$8,"",VLOOKUP($CX110,$CZ$9:$DF$508,3,FALSE()))</f>
        <v/>
      </c>
      <c r="DJ110" s="150" t="str">
        <f aca="false">IF($CX110&gt;$CW$8,"",VLOOKUP($CX110,$CZ$9:$DF$508,4,FALSE()))</f>
        <v/>
      </c>
      <c r="DK110" s="150" t="str">
        <f aca="false">IF($CX110&gt;$CW$8,"",VLOOKUP($CX110,$CZ$9:$DF$508,5,FALSE()))</f>
        <v/>
      </c>
      <c r="DL110" s="151" t="str">
        <f aca="false">IF($CX110&gt;$CW$8,"",VLOOKUP($CX110,$CZ$9:$DF$508,6,FALSE()))</f>
        <v/>
      </c>
      <c r="DM110" s="75"/>
    </row>
    <row r="111" customFormat="false" ht="15.75" hidden="false" customHeight="false" outlineLevel="0" collapsed="false">
      <c r="A111" s="9"/>
      <c r="B111" s="77"/>
      <c r="C111" s="78"/>
      <c r="D111" s="167"/>
      <c r="E111" s="175"/>
      <c r="F111" s="169"/>
      <c r="G111" s="170"/>
      <c r="H111" s="170"/>
      <c r="I111" s="176"/>
      <c r="J111" s="173"/>
      <c r="K111" s="85"/>
      <c r="L111" s="86"/>
      <c r="M111" s="87"/>
      <c r="N111" s="173"/>
      <c r="O111" s="173"/>
      <c r="P111" s="175"/>
      <c r="Q111" s="173"/>
      <c r="R111" s="173"/>
      <c r="S111" s="85"/>
      <c r="T111" s="87"/>
      <c r="U111" s="87"/>
      <c r="V111" s="173"/>
      <c r="W111" s="173"/>
      <c r="X111" s="175"/>
      <c r="Y111" s="173"/>
      <c r="Z111" s="174"/>
      <c r="AA111" s="173"/>
      <c r="AB111" s="91"/>
      <c r="AC111" s="92"/>
      <c r="AD111" s="92"/>
      <c r="AE111" s="92"/>
      <c r="AF111" s="92" t="str">
        <f aca="false">IF(ISBLANK($C111),"",IF(E111=Constants!$B$3,TRUE(),IF(E111=Constants!$B$4,FALSE(),TRUE())))</f>
        <v/>
      </c>
      <c r="AG111" s="92" t="str">
        <f aca="false">IF(ISBLANK($C111),"",IF(F111=Constants!$B$3,TRUE(),IF(F111=Constants!$B$4,FALSE(),TRUE())))</f>
        <v/>
      </c>
      <c r="AH111" s="92" t="str">
        <f aca="false">IF(ISBLANK($C111),"",IF(G111=Constants!$B$3,TRUE(),IF(G111=Constants!$B$4,FALSE(),TRUE())))</f>
        <v/>
      </c>
      <c r="AI111" s="92" t="str">
        <f aca="false">IF(ISBLANK($C111),"",IF(AND(ISNUMBER(H111),H111&gt;=0),H111,Constants!$B$29))</f>
        <v/>
      </c>
      <c r="AJ111" s="92" t="str">
        <f aca="false">IF(ISBLANK($C111),"",IF(I111=Constants!$B$3,TRUE(),IF(I111=Constants!$B$4,FALSE(),TRUE())))</f>
        <v/>
      </c>
      <c r="AK111" s="92" t="str">
        <f aca="false">IF(ISBLANK($C111),"",IF(J111=Constants!$B$3,TRUE(),IF(J111=Constants!$B$4,FALSE(),TRUE())))</f>
        <v/>
      </c>
      <c r="AL111" s="92" t="str">
        <f aca="false">IF(ISBLANK($C111),"",IF(K111=Constants!$B$5,TRUE(),IF(K111=Constants!$B$6,FALSE(),COUNTA(L111:P111)&gt;0)))</f>
        <v/>
      </c>
      <c r="AM111" s="94" t="str">
        <f aca="false">IF(ISBLANK($C111),"",IF(ISNUMBER(L111),IF(L111&gt;=0,L111,""),""))</f>
        <v/>
      </c>
      <c r="AN111" s="93" t="str">
        <f aca="false">IF(ISBLANK($C111),"",IF(ISNUMBER(M111),IF(M111&gt;=0,M111,""),""))</f>
        <v/>
      </c>
      <c r="AO111" s="93" t="str">
        <f aca="false">IF(ISBLANK($C111),"",IF(N111=Constants!$B$3,TRUE(),IF(N111=Constants!$B$4,FALSE(),TRUE())))</f>
        <v/>
      </c>
      <c r="AP111" s="92" t="str">
        <f aca="false">IF(ISBLANK($C111),"",IF(ISNUMBER(O111),IF(O111&gt;=0,O111,""),""))</f>
        <v/>
      </c>
      <c r="AQ111" s="92" t="str">
        <f aca="false">IF(ISBLANK($C111),"",IF(P111=Constants!$B$3,TRUE(),IF(P111=Constants!$B$4,FALSE(),FALSE())))</f>
        <v/>
      </c>
      <c r="AR111" s="92" t="str">
        <f aca="false">IF(ISBLANK($C111),"",IF(Q111=Constants!$B$3,TRUE(),IF(Q111=Constants!$B$4,FALSE(),TRUE())))</f>
        <v/>
      </c>
      <c r="AS111" s="92" t="str">
        <f aca="false">IF(ISBLANK($C111),"",IF(R111=Constants!$B$3,TRUE(),IF(R111=Constants!$B$4,FALSE(),TRUE())))</f>
        <v/>
      </c>
      <c r="AT111" s="92" t="str">
        <f aca="false">IF(ISBLANK($C111),"",IF(S111=Constants!$B$5,TRUE(),IF(S111=Constants!$B$6,FALSE(),COUNTA(T111:X111)&gt;0)))</f>
        <v/>
      </c>
      <c r="AU111" s="94" t="str">
        <f aca="false">IF(ISBLANK($C111),"",IF(ISNUMBER(T111),IF(T111&gt;=0,T111,""),""))</f>
        <v/>
      </c>
      <c r="AV111" s="93" t="str">
        <f aca="false">IF(ISBLANK($C111),"",IF(ISNUMBER(U111),IF(U111&gt;=0,U111,""),""))</f>
        <v/>
      </c>
      <c r="AW111" s="93" t="str">
        <f aca="false">IF(ISBLANK($C111),"",IF(V111=Constants!$B$3,TRUE(),IF(V111=Constants!$B$4,FALSE(),TRUE())))</f>
        <v/>
      </c>
      <c r="AX111" s="92" t="str">
        <f aca="false">IF(ISBLANK($C111),"",IF(ISNUMBER(W111),IF(W111&gt;=0,W111,""),""))</f>
        <v/>
      </c>
      <c r="AY111" s="92" t="str">
        <f aca="false">IF(ISBLANK($C111),"",IF(X111=Constants!$B$3,TRUE(),IF(X111=Constants!$B$4,FALSE(),FALSE())))</f>
        <v/>
      </c>
      <c r="AZ111" s="92" t="str">
        <f aca="false">IF(ISBLANK($C111),"",MIN(Constants!$B$31,MAX(0,IF(ISNUMBER(Y111),Y111*60,0)+IF(ISNUMBER(Z111),Z111,0))))</f>
        <v/>
      </c>
      <c r="BA111" s="92" t="str">
        <f aca="false">IF(ISBLANK($C111),"",IF(AA111=Constants!$B$3,TRUE(),IF(AA111=Constants!$B$4,FALSE(),FALSE())))</f>
        <v/>
      </c>
      <c r="BB111" s="91" t="str">
        <f aca="false">IF(ISBLANK($C111),"",AND($AL111,OR($AM111="",$AN111="",AND($AO111,$AP111=""))))</f>
        <v/>
      </c>
      <c r="BC111" s="93" t="str">
        <f aca="false">IF($BR111&lt;&gt;Constants!$B$8,"",IF($AL111,Constants!$B$21*$AN111+Constants!$B$22*IF($AO111,$AP111,Constants!$B$23),Constants!$B$24))</f>
        <v/>
      </c>
      <c r="BD111" s="96" t="str">
        <f aca="false">IF($BR111&lt;&gt;Constants!$B$8,"",Constants!$B$25*ABS($AD$9-IF($AL111,$AM111,0)))</f>
        <v/>
      </c>
      <c r="BE111" s="96" t="str">
        <f aca="false">IF($BR111&lt;&gt;Constants!$B$8,"",IF(AND($AL111,$AQ111,$AO111),Constants!$B$27,0))</f>
        <v/>
      </c>
      <c r="BF111" s="96" t="str">
        <f aca="false">IF($BR111&lt;&gt;Constants!$B$8,"",IF($AL111,($AI111-Constants!$B$29)*Constants!$B$28,0))</f>
        <v/>
      </c>
      <c r="BG111" s="96" t="str">
        <f aca="false">IF($BR111&lt;&gt;Constants!$B$8,"",IF($AK111,0,Constants!$B$15)+IF($AJ111,0,Constants!$B$16)+IF($AH111,0,Constants!$B$17))</f>
        <v/>
      </c>
      <c r="BH111" s="97" t="str">
        <f aca="false">IF($BR111&lt;&gt;Constants!$B$8,"",Constants!$B$20+SUM($BC111:$BG111))</f>
        <v/>
      </c>
      <c r="BI111" s="92" t="str">
        <f aca="false">IF($BR111&lt;&gt;Constants!$B$8,"",IF(OR($BP111&lt;$BH111,AND($BP111=$BH111,OR($BK111&lt;$BC111,AND($BK111=$BC111,OR($BL111&lt;$BD111,AND($BL111=$BD111,$AT111,$AL111,$AV111&lt;$AN111)))))),"-&gt;","&lt;-"))</f>
        <v/>
      </c>
      <c r="BJ111" s="91" t="str">
        <f aca="false">IF(ISBLANK($C111),"",AND($AT111,OR($AU111="",$AV111="",AND($AW111,$AX111=""))))</f>
        <v/>
      </c>
      <c r="BK111" s="93" t="str">
        <f aca="false">IF($BR111&lt;&gt;Constants!$B$8,"",IF($AT111,Constants!$B$21*$AV111+Constants!$B$22*IF($AW111,$AX111,Constants!$B$23),Constants!$B$24))</f>
        <v/>
      </c>
      <c r="BL111" s="96" t="str">
        <f aca="false">IF($BR111&lt;&gt;Constants!$B$8,"",Constants!$B$25*ABS($AD$9-IF($AT111,$AU111,0)))</f>
        <v/>
      </c>
      <c r="BM111" s="96" t="str">
        <f aca="false">IF($BR111&lt;&gt;Constants!$B$8,"",IF(AND($AT111,$AY111,$AW111),Constants!$B$27,0))</f>
        <v/>
      </c>
      <c r="BN111" s="96" t="str">
        <f aca="false">IF($BR111&lt;&gt;Constants!$B$8,"",IF($AT111,($AI111-Constants!$B$29)*Constants!$B$28,0))</f>
        <v/>
      </c>
      <c r="BO111" s="96" t="str">
        <f aca="false">IF($BR111&lt;&gt;Constants!$B$8,"",IF($AS111,0,Constants!$B$15)+IF($AR111,0,Constants!$B$16)+IF($AH111,0,Constants!$B$17))</f>
        <v/>
      </c>
      <c r="BP111" s="97" t="str">
        <f aca="false">IF($BR111&lt;&gt;Constants!$B$8,"",Constants!$B$20+SUM($BK111:$BO111))</f>
        <v/>
      </c>
      <c r="BQ111" s="92" t="str">
        <f aca="false">IF(ISBLANK($C111),"",IF(ISBLANK($D$7),$BQ$5,IF(NOT(ISNUMBER($D$7)),$BQ$6,"")))</f>
        <v/>
      </c>
      <c r="BR111" s="92" t="str">
        <f aca="false">IF(ISBLANK($C111),"",IF($BA111,Constants!$B$11,IF(COUNTA($E111:$AA111)=0,Constants!$B$10,IF(NOT($AG111),Constants!$B$9,IF(OR($BQ111&lt;&gt;"",$BB111,$BJ111),Constants!$B$12,Constants!$B$8)))))</f>
        <v/>
      </c>
      <c r="BS111" s="92" t="str">
        <f aca="false">IF(ISBLANK($C111),"",IF($BR111&lt;&gt;Constants!$B$8,$BR111,Constants!$B$13))</f>
        <v/>
      </c>
      <c r="BT111" s="96" t="str">
        <f aca="false">IF($BR111&lt;&gt;Constants!$B$8,"",IF($BI111="-&gt;",$BP111,$BH111))</f>
        <v/>
      </c>
      <c r="BU111" s="96" t="str">
        <f aca="false">IF($BR111&lt;&gt;Constants!$B$8,"",IF($AF111,0,Constants!$B$18))</f>
        <v/>
      </c>
      <c r="BV111" s="96" t="str">
        <f aca="false">IF($BR111&lt;&gt;Constants!$B$8,"",((Constants!$B$31-$AZ111)-Constants!$B$31)/Constants!$B$32)</f>
        <v/>
      </c>
      <c r="BW111" s="96" t="str">
        <f aca="false">IF(ISBLANK($C111),"",IF($BR111&lt;&gt;Constants!$B$8,$BR111,SUM($BT111:$BV111)))</f>
        <v/>
      </c>
      <c r="BX111" s="92" t="str">
        <f aca="false">IF(ISBLANK($C111),"",IF($BR111&lt;&gt;Constants!$B$8,$BR111,RANK($BW111,$BW$9:$BW$508,1)))</f>
        <v/>
      </c>
      <c r="BY111" s="96" t="str">
        <f aca="false">IF($BR111&lt;&gt;Constants!$B$8,"",IF($BI111="-&gt;",$BK111,$BC111))</f>
        <v/>
      </c>
      <c r="BZ111" s="92" t="str">
        <f aca="false">IF(ISBLANK($C111),"",IF($BR111&lt;&gt;Constants!$B$8,$BR111,IF(ISNUMBER($BY111),RANK($BY111,$BY$9:$BY$508,1),COUNT($BY$9:$BY$508)+1)))</f>
        <v/>
      </c>
      <c r="CA111" s="96" t="str">
        <f aca="false">IF($BR111&lt;&gt;Constants!$B$8,"",IF($BI111="-&gt;",$BL111,$BD111))</f>
        <v/>
      </c>
      <c r="CB111" s="92" t="str">
        <f aca="false">IF(ISBLANK($C111),"",IF($BR111&lt;&gt;Constants!$B$8,$BR111,IF(ISNUMBER($CA111),RANK($CA111,$CA$9:$CA$508,1),COUNT($CA$9:$CA$508)+1)))</f>
        <v/>
      </c>
      <c r="CC111" s="96" t="str">
        <f aca="false">IF($BR111&lt;&gt;Constants!$B$8,"",IF($BI111="-&gt;",IF($AT111,$AV111,""),IF($AL111,$AN111,"")))</f>
        <v/>
      </c>
      <c r="CD111" s="92" t="str">
        <f aca="false">IF(ISBLANK($C111),"",IF($BR111&lt;&gt;Constants!$B$8,$BR111,IF(ISNUMBER($CC111),RANK($CC111,$CC$9:$CC$508,1),COUNT($CC$9:$CC$508)+1)))</f>
        <v/>
      </c>
      <c r="CE111" s="96" t="str">
        <f aca="false">IF($BR111&lt;&gt;Constants!$B$8,"",IF(AND(NOT($AL111),NOT($AT111),$AJ111,$AK111,$AR111,$AS111),"",$AI111))</f>
        <v/>
      </c>
      <c r="CF111" s="92" t="str">
        <f aca="false">IF(ISBLANK($C111),"",IF($BR111&lt;&gt;Constants!$B$8,$BR111,IF(ISNUMBER($CE111),RANK($CE111,$CE$9:$CE$508,1),COUNT($CE$9:$CE$508)+1)))</f>
        <v/>
      </c>
      <c r="CG111" s="92" t="str">
        <f aca="false">IF(ISBLANK($C111),"",IF($BR111&lt;&gt;Constants!$B$8,$BR111,COUNTIFS($BX$9:$BX$508,"&lt;"&amp;$BX111)+COUNTIFS($BX$9:$BX$508,$BX111,$BZ$9:$BZ$508,"&lt;"&amp;$BZ111)+COUNTIFS($BX$9:$BX$508,$BX111,$BZ$9:$BZ$508,$BZ111,$CB$9:$CB$508,"&lt;"&amp;$CB111)+COUNTIFS($BX$9:$BX$508,$BX111,$BZ$9:$BZ$508,$BZ111,$CB$9:$CB$508,$CB111,$CD$9:$CD$508,"&lt;"&amp;$CD111)+COUNTIFS($BX$9:$BX$508,$BX111,$BZ$9:$BZ$508,$BZ111,$CB$9:$CB$508,$CB111,$CD$9:$CD$508,$CD111,$CF$9:$CF$508,"&lt;"&amp;$CF111)+1))</f>
        <v/>
      </c>
      <c r="CH111" s="92" t="str">
        <f aca="false">IF(ISBLANK($C111),"",IF($BR111&lt;&gt;Constants!$B$8,$BR111,$BX111-$CG111))</f>
        <v/>
      </c>
      <c r="CI111" s="98"/>
      <c r="CJ111" s="99"/>
      <c r="CK111" s="100" t="str">
        <f aca="false">IF(ISBLANK($C111),"",IF($BR111=Constants!$B$12,$BQ111,""))</f>
        <v/>
      </c>
      <c r="CL111" s="99" t="str">
        <f aca="false">IF(ISBLANK($C111),"",IF($BR111&lt;&gt;Constants!$B$8,"",IF($BI111="-&gt;",2,1)))</f>
        <v/>
      </c>
      <c r="CM111" s="101" t="str">
        <f aca="false">IF(ISBLANK($C111),"",IF($BR111&lt;&gt;Constants!$B$8,"",IF($BI111="-&gt;",$BK111,$BC111)))</f>
        <v/>
      </c>
      <c r="CN111" s="101" t="str">
        <f aca="false">IF(ISBLANK($C111),"",IF($BR111&lt;&gt;Constants!$B$8,"",IF($BI111="-&gt;",$BL111,$BD111)))</f>
        <v/>
      </c>
      <c r="CO111" s="101" t="str">
        <f aca="false">IF(ISBLANK($C111),"",IF($BR111&lt;&gt;Constants!$B$8,"",IF($BI111="-&gt;",$BM111+$BN111,$BE111+$BF111)+$BV111))</f>
        <v/>
      </c>
      <c r="CP111" s="101" t="str">
        <f aca="false">IF(ISBLANK($C111),"",IF($BR111&lt;&gt;Constants!$B$8,"",IF($BI111="-&gt;",$BO111,$BG111)+$BU111))</f>
        <v/>
      </c>
      <c r="CQ111" s="102" t="str">
        <f aca="false">IF(ISBLANK($C111),"",IF($BR111&lt;&gt;Constants!$B$8,$BR111,$BW111))</f>
        <v/>
      </c>
      <c r="CR111" s="103" t="str">
        <f aca="false">IF(ISBLANK($C111),"",$BS111)</f>
        <v/>
      </c>
      <c r="CS111" s="104" t="str">
        <f aca="false">IF(ISBLANK($C111),"",$CH111)</f>
        <v/>
      </c>
      <c r="CT111" s="104" t="str">
        <f aca="false">IF(ISBLANK($C111),"",$CG111)</f>
        <v/>
      </c>
      <c r="CU111" s="105" t="str">
        <f aca="false">IF(ISBLANK($C111),"",IFERROR(_xlfn.SWITCH($CT111,Constants!$B$11,COUNTA($C$9:$C$508)+2,Constants!$B$10,COUNTA($C$9:$C$508)+1,Constants!$B$9,COUNTA($C$9:$C$508)),$CT111))</f>
        <v/>
      </c>
      <c r="CV111" s="9"/>
      <c r="CW111" s="106" t="n">
        <f aca="false">IF(OR(ISNUMBER($CT111),$CT111=Constants!$B$11,$CT111=Constants!$B$9,$CT111=Constants!$B$10),1,0)</f>
        <v>0</v>
      </c>
      <c r="CX111" s="106" t="n">
        <v>103</v>
      </c>
      <c r="CY111" s="106" t="str">
        <f aca="false">IF(ISBLANK($C111),"",IF(ISNUMBER($CU111),$CU111+ROW($B111)/1000,""))</f>
        <v/>
      </c>
      <c r="CZ111" s="106" t="str">
        <f aca="false">IF(ISNUMBER($CY111),RANK($CY111,$CY$9:$CY$508,1),"")</f>
        <v/>
      </c>
      <c r="DA111" s="106" t="str">
        <f aca="false">IF(ISBLANK($C111),"",$B111)</f>
        <v/>
      </c>
      <c r="DB111" s="106" t="str">
        <f aca="false">IF(ISBLANK($C111),"",$C111)</f>
        <v/>
      </c>
      <c r="DC111" s="106" t="str">
        <f aca="false">IF(ISBLANK($C111),"",$D111)</f>
        <v/>
      </c>
      <c r="DD111" s="107" t="str">
        <f aca="false">$CR111</f>
        <v/>
      </c>
      <c r="DE111" s="108" t="str">
        <f aca="false">$CQ111</f>
        <v/>
      </c>
      <c r="DF111" s="106" t="str">
        <f aca="false">IF(ISBLANK($C111),"",$CT111)</f>
        <v/>
      </c>
      <c r="DG111" s="109" t="str">
        <f aca="false">IF($CX111&gt;$CW$8,"",VLOOKUP($CX111,$CZ$9:$DF$508,7,FALSE()))</f>
        <v/>
      </c>
      <c r="DH111" s="110" t="str">
        <f aca="false">IF($CX111&gt;$CW$8,"",VLOOKUP($CX111,$CZ$9:$DF$508,2,FALSE()))</f>
        <v/>
      </c>
      <c r="DI111" s="110" t="str">
        <f aca="false">IF($CX111&gt;$CW$8,"",VLOOKUP($CX111,$CZ$9:$DF$508,3,FALSE()))</f>
        <v/>
      </c>
      <c r="DJ111" s="110" t="str">
        <f aca="false">IF($CX111&gt;$CW$8,"",VLOOKUP($CX111,$CZ$9:$DF$508,4,FALSE()))</f>
        <v/>
      </c>
      <c r="DK111" s="110" t="str">
        <f aca="false">IF($CX111&gt;$CW$8,"",VLOOKUP($CX111,$CZ$9:$DF$508,5,FALSE()))</f>
        <v/>
      </c>
      <c r="DL111" s="111" t="str">
        <f aca="false">IF($CX111&gt;$CW$8,"",VLOOKUP($CX111,$CZ$9:$DF$508,6,FALSE()))</f>
        <v/>
      </c>
      <c r="DM111" s="75"/>
    </row>
    <row r="112" customFormat="false" ht="15.75" hidden="false" customHeight="false" outlineLevel="0" collapsed="false">
      <c r="A112" s="9"/>
      <c r="B112" s="77"/>
      <c r="C112" s="78"/>
      <c r="D112" s="167"/>
      <c r="E112" s="175"/>
      <c r="F112" s="169"/>
      <c r="G112" s="170"/>
      <c r="H112" s="170"/>
      <c r="I112" s="176"/>
      <c r="J112" s="173"/>
      <c r="K112" s="85"/>
      <c r="L112" s="86"/>
      <c r="M112" s="87"/>
      <c r="N112" s="173"/>
      <c r="O112" s="173"/>
      <c r="P112" s="175"/>
      <c r="Q112" s="173"/>
      <c r="R112" s="173"/>
      <c r="S112" s="85"/>
      <c r="T112" s="87"/>
      <c r="U112" s="87"/>
      <c r="V112" s="173"/>
      <c r="W112" s="173"/>
      <c r="X112" s="175"/>
      <c r="Y112" s="173"/>
      <c r="Z112" s="174"/>
      <c r="AA112" s="173"/>
      <c r="AB112" s="91"/>
      <c r="AC112" s="92"/>
      <c r="AD112" s="92"/>
      <c r="AE112" s="92"/>
      <c r="AF112" s="92" t="str">
        <f aca="false">IF(ISBLANK($C112),"",IF(E112=Constants!$B$3,TRUE(),IF(E112=Constants!$B$4,FALSE(),TRUE())))</f>
        <v/>
      </c>
      <c r="AG112" s="92" t="str">
        <f aca="false">IF(ISBLANK($C112),"",IF(F112=Constants!$B$3,TRUE(),IF(F112=Constants!$B$4,FALSE(),TRUE())))</f>
        <v/>
      </c>
      <c r="AH112" s="92" t="str">
        <f aca="false">IF(ISBLANK($C112),"",IF(G112=Constants!$B$3,TRUE(),IF(G112=Constants!$B$4,FALSE(),TRUE())))</f>
        <v/>
      </c>
      <c r="AI112" s="92" t="str">
        <f aca="false">IF(ISBLANK($C112),"",IF(AND(ISNUMBER(H112),H112&gt;=0),H112,Constants!$B$29))</f>
        <v/>
      </c>
      <c r="AJ112" s="92" t="str">
        <f aca="false">IF(ISBLANK($C112),"",IF(I112=Constants!$B$3,TRUE(),IF(I112=Constants!$B$4,FALSE(),TRUE())))</f>
        <v/>
      </c>
      <c r="AK112" s="92" t="str">
        <f aca="false">IF(ISBLANK($C112),"",IF(J112=Constants!$B$3,TRUE(),IF(J112=Constants!$B$4,FALSE(),TRUE())))</f>
        <v/>
      </c>
      <c r="AL112" s="92" t="str">
        <f aca="false">IF(ISBLANK($C112),"",IF(K112=Constants!$B$5,TRUE(),IF(K112=Constants!$B$6,FALSE(),COUNTA(L112:P112)&gt;0)))</f>
        <v/>
      </c>
      <c r="AM112" s="94" t="str">
        <f aca="false">IF(ISBLANK($C112),"",IF(ISNUMBER(L112),IF(L112&gt;=0,L112,""),""))</f>
        <v/>
      </c>
      <c r="AN112" s="93" t="str">
        <f aca="false">IF(ISBLANK($C112),"",IF(ISNUMBER(M112),IF(M112&gt;=0,M112,""),""))</f>
        <v/>
      </c>
      <c r="AO112" s="93" t="str">
        <f aca="false">IF(ISBLANK($C112),"",IF(N112=Constants!$B$3,TRUE(),IF(N112=Constants!$B$4,FALSE(),TRUE())))</f>
        <v/>
      </c>
      <c r="AP112" s="92" t="str">
        <f aca="false">IF(ISBLANK($C112),"",IF(ISNUMBER(O112),IF(O112&gt;=0,O112,""),""))</f>
        <v/>
      </c>
      <c r="AQ112" s="92" t="str">
        <f aca="false">IF(ISBLANK($C112),"",IF(P112=Constants!$B$3,TRUE(),IF(P112=Constants!$B$4,FALSE(),FALSE())))</f>
        <v/>
      </c>
      <c r="AR112" s="92" t="str">
        <f aca="false">IF(ISBLANK($C112),"",IF(Q112=Constants!$B$3,TRUE(),IF(Q112=Constants!$B$4,FALSE(),TRUE())))</f>
        <v/>
      </c>
      <c r="AS112" s="92" t="str">
        <f aca="false">IF(ISBLANK($C112),"",IF(R112=Constants!$B$3,TRUE(),IF(R112=Constants!$B$4,FALSE(),TRUE())))</f>
        <v/>
      </c>
      <c r="AT112" s="92" t="str">
        <f aca="false">IF(ISBLANK($C112),"",IF(S112=Constants!$B$5,TRUE(),IF(S112=Constants!$B$6,FALSE(),COUNTA(T112:X112)&gt;0)))</f>
        <v/>
      </c>
      <c r="AU112" s="94" t="str">
        <f aca="false">IF(ISBLANK($C112),"",IF(ISNUMBER(T112),IF(T112&gt;=0,T112,""),""))</f>
        <v/>
      </c>
      <c r="AV112" s="93" t="str">
        <f aca="false">IF(ISBLANK($C112),"",IF(ISNUMBER(U112),IF(U112&gt;=0,U112,""),""))</f>
        <v/>
      </c>
      <c r="AW112" s="93" t="str">
        <f aca="false">IF(ISBLANK($C112),"",IF(V112=Constants!$B$3,TRUE(),IF(V112=Constants!$B$4,FALSE(),TRUE())))</f>
        <v/>
      </c>
      <c r="AX112" s="92" t="str">
        <f aca="false">IF(ISBLANK($C112),"",IF(ISNUMBER(W112),IF(W112&gt;=0,W112,""),""))</f>
        <v/>
      </c>
      <c r="AY112" s="92" t="str">
        <f aca="false">IF(ISBLANK($C112),"",IF(X112=Constants!$B$3,TRUE(),IF(X112=Constants!$B$4,FALSE(),FALSE())))</f>
        <v/>
      </c>
      <c r="AZ112" s="92" t="str">
        <f aca="false">IF(ISBLANK($C112),"",MIN(Constants!$B$31,MAX(0,IF(ISNUMBER(Y112),Y112*60,0)+IF(ISNUMBER(Z112),Z112,0))))</f>
        <v/>
      </c>
      <c r="BA112" s="92" t="str">
        <f aca="false">IF(ISBLANK($C112),"",IF(AA112=Constants!$B$3,TRUE(),IF(AA112=Constants!$B$4,FALSE(),FALSE())))</f>
        <v/>
      </c>
      <c r="BB112" s="91" t="str">
        <f aca="false">IF(ISBLANK($C112),"",AND($AL112,OR($AM112="",$AN112="",AND($AO112,$AP112=""))))</f>
        <v/>
      </c>
      <c r="BC112" s="93" t="str">
        <f aca="false">IF($BR112&lt;&gt;Constants!$B$8,"",IF($AL112,Constants!$B$21*$AN112+Constants!$B$22*IF($AO112,$AP112,Constants!$B$23),Constants!$B$24))</f>
        <v/>
      </c>
      <c r="BD112" s="96" t="str">
        <f aca="false">IF($BR112&lt;&gt;Constants!$B$8,"",Constants!$B$25*ABS($AD$9-IF($AL112,$AM112,0)))</f>
        <v/>
      </c>
      <c r="BE112" s="96" t="str">
        <f aca="false">IF($BR112&lt;&gt;Constants!$B$8,"",IF(AND($AL112,$AQ112,$AO112),Constants!$B$27,0))</f>
        <v/>
      </c>
      <c r="BF112" s="96" t="str">
        <f aca="false">IF($BR112&lt;&gt;Constants!$B$8,"",IF($AL112,($AI112-Constants!$B$29)*Constants!$B$28,0))</f>
        <v/>
      </c>
      <c r="BG112" s="96" t="str">
        <f aca="false">IF($BR112&lt;&gt;Constants!$B$8,"",IF($AK112,0,Constants!$B$15)+IF($AJ112,0,Constants!$B$16)+IF($AH112,0,Constants!$B$17))</f>
        <v/>
      </c>
      <c r="BH112" s="97" t="str">
        <f aca="false">IF($BR112&lt;&gt;Constants!$B$8,"",Constants!$B$20+SUM($BC112:$BG112))</f>
        <v/>
      </c>
      <c r="BI112" s="92" t="str">
        <f aca="false">IF($BR112&lt;&gt;Constants!$B$8,"",IF(OR($BP112&lt;$BH112,AND($BP112=$BH112,OR($BK112&lt;$BC112,AND($BK112=$BC112,OR($BL112&lt;$BD112,AND($BL112=$BD112,$AT112,$AL112,$AV112&lt;$AN112)))))),"-&gt;","&lt;-"))</f>
        <v/>
      </c>
      <c r="BJ112" s="91" t="str">
        <f aca="false">IF(ISBLANK($C112),"",AND($AT112,OR($AU112="",$AV112="",AND($AW112,$AX112=""))))</f>
        <v/>
      </c>
      <c r="BK112" s="93" t="str">
        <f aca="false">IF($BR112&lt;&gt;Constants!$B$8,"",IF($AT112,Constants!$B$21*$AV112+Constants!$B$22*IF($AW112,$AX112,Constants!$B$23),Constants!$B$24))</f>
        <v/>
      </c>
      <c r="BL112" s="96" t="str">
        <f aca="false">IF($BR112&lt;&gt;Constants!$B$8,"",Constants!$B$25*ABS($AD$9-IF($AT112,$AU112,0)))</f>
        <v/>
      </c>
      <c r="BM112" s="96" t="str">
        <f aca="false">IF($BR112&lt;&gt;Constants!$B$8,"",IF(AND($AT112,$AY112,$AW112),Constants!$B$27,0))</f>
        <v/>
      </c>
      <c r="BN112" s="96" t="str">
        <f aca="false">IF($BR112&lt;&gt;Constants!$B$8,"",IF($AT112,($AI112-Constants!$B$29)*Constants!$B$28,0))</f>
        <v/>
      </c>
      <c r="BO112" s="96" t="str">
        <f aca="false">IF($BR112&lt;&gt;Constants!$B$8,"",IF($AS112,0,Constants!$B$15)+IF($AR112,0,Constants!$B$16)+IF($AH112,0,Constants!$B$17))</f>
        <v/>
      </c>
      <c r="BP112" s="97" t="str">
        <f aca="false">IF($BR112&lt;&gt;Constants!$B$8,"",Constants!$B$20+SUM($BK112:$BO112))</f>
        <v/>
      </c>
      <c r="BQ112" s="92" t="str">
        <f aca="false">IF(ISBLANK($C112),"",IF(ISBLANK($D$7),$BQ$5,IF(NOT(ISNUMBER($D$7)),$BQ$6,"")))</f>
        <v/>
      </c>
      <c r="BR112" s="92" t="str">
        <f aca="false">IF(ISBLANK($C112),"",IF($BA112,Constants!$B$11,IF(COUNTA($E112:$AA112)=0,Constants!$B$10,IF(NOT($AG112),Constants!$B$9,IF(OR($BQ112&lt;&gt;"",$BB112,$BJ112),Constants!$B$12,Constants!$B$8)))))</f>
        <v/>
      </c>
      <c r="BS112" s="92" t="str">
        <f aca="false">IF(ISBLANK($C112),"",IF($BR112&lt;&gt;Constants!$B$8,$BR112,Constants!$B$13))</f>
        <v/>
      </c>
      <c r="BT112" s="96" t="str">
        <f aca="false">IF($BR112&lt;&gt;Constants!$B$8,"",IF($BI112="-&gt;",$BP112,$BH112))</f>
        <v/>
      </c>
      <c r="BU112" s="96" t="str">
        <f aca="false">IF($BR112&lt;&gt;Constants!$B$8,"",IF($AF112,0,Constants!$B$18))</f>
        <v/>
      </c>
      <c r="BV112" s="96" t="str">
        <f aca="false">IF($BR112&lt;&gt;Constants!$B$8,"",((Constants!$B$31-$AZ112)-Constants!$B$31)/Constants!$B$32)</f>
        <v/>
      </c>
      <c r="BW112" s="96" t="str">
        <f aca="false">IF(ISBLANK($C112),"",IF($BR112&lt;&gt;Constants!$B$8,$BR112,SUM($BT112:$BV112)))</f>
        <v/>
      </c>
      <c r="BX112" s="92" t="str">
        <f aca="false">IF(ISBLANK($C112),"",IF($BR112&lt;&gt;Constants!$B$8,$BR112,RANK($BW112,$BW$9:$BW$508,1)))</f>
        <v/>
      </c>
      <c r="BY112" s="96" t="str">
        <f aca="false">IF($BR112&lt;&gt;Constants!$B$8,"",IF($BI112="-&gt;",$BK112,$BC112))</f>
        <v/>
      </c>
      <c r="BZ112" s="92" t="str">
        <f aca="false">IF(ISBLANK($C112),"",IF($BR112&lt;&gt;Constants!$B$8,$BR112,IF(ISNUMBER($BY112),RANK($BY112,$BY$9:$BY$508,1),COUNT($BY$9:$BY$508)+1)))</f>
        <v/>
      </c>
      <c r="CA112" s="96" t="str">
        <f aca="false">IF($BR112&lt;&gt;Constants!$B$8,"",IF($BI112="-&gt;",$BL112,$BD112))</f>
        <v/>
      </c>
      <c r="CB112" s="92" t="str">
        <f aca="false">IF(ISBLANK($C112),"",IF($BR112&lt;&gt;Constants!$B$8,$BR112,IF(ISNUMBER($CA112),RANK($CA112,$CA$9:$CA$508,1),COUNT($CA$9:$CA$508)+1)))</f>
        <v/>
      </c>
      <c r="CC112" s="96" t="str">
        <f aca="false">IF($BR112&lt;&gt;Constants!$B$8,"",IF($BI112="-&gt;",IF($AT112,$AV112,""),IF($AL112,$AN112,"")))</f>
        <v/>
      </c>
      <c r="CD112" s="92" t="str">
        <f aca="false">IF(ISBLANK($C112),"",IF($BR112&lt;&gt;Constants!$B$8,$BR112,IF(ISNUMBER($CC112),RANK($CC112,$CC$9:$CC$508,1),COUNT($CC$9:$CC$508)+1)))</f>
        <v/>
      </c>
      <c r="CE112" s="96" t="str">
        <f aca="false">IF($BR112&lt;&gt;Constants!$B$8,"",IF(AND(NOT($AL112),NOT($AT112),$AJ112,$AK112,$AR112,$AS112),"",$AI112))</f>
        <v/>
      </c>
      <c r="CF112" s="92" t="str">
        <f aca="false">IF(ISBLANK($C112),"",IF($BR112&lt;&gt;Constants!$B$8,$BR112,IF(ISNUMBER($CE112),RANK($CE112,$CE$9:$CE$508,1),COUNT($CE$9:$CE$508)+1)))</f>
        <v/>
      </c>
      <c r="CG112" s="92" t="str">
        <f aca="false">IF(ISBLANK($C112),"",IF($BR112&lt;&gt;Constants!$B$8,$BR112,COUNTIFS($BX$9:$BX$508,"&lt;"&amp;$BX112)+COUNTIFS($BX$9:$BX$508,$BX112,$BZ$9:$BZ$508,"&lt;"&amp;$BZ112)+COUNTIFS($BX$9:$BX$508,$BX112,$BZ$9:$BZ$508,$BZ112,$CB$9:$CB$508,"&lt;"&amp;$CB112)+COUNTIFS($BX$9:$BX$508,$BX112,$BZ$9:$BZ$508,$BZ112,$CB$9:$CB$508,$CB112,$CD$9:$CD$508,"&lt;"&amp;$CD112)+COUNTIFS($BX$9:$BX$508,$BX112,$BZ$9:$BZ$508,$BZ112,$CB$9:$CB$508,$CB112,$CD$9:$CD$508,$CD112,$CF$9:$CF$508,"&lt;"&amp;$CF112)+1))</f>
        <v/>
      </c>
      <c r="CH112" s="92" t="str">
        <f aca="false">IF(ISBLANK($C112),"",IF($BR112&lt;&gt;Constants!$B$8,$BR112,$BX112-$CG112))</f>
        <v/>
      </c>
      <c r="CI112" s="98"/>
      <c r="CJ112" s="99"/>
      <c r="CK112" s="100" t="str">
        <f aca="false">IF(ISBLANK($C112),"",IF($BR112=Constants!$B$12,$BQ112,""))</f>
        <v/>
      </c>
      <c r="CL112" s="99" t="str">
        <f aca="false">IF(ISBLANK($C112),"",IF($BR112&lt;&gt;Constants!$B$8,"",IF($BI112="-&gt;",2,1)))</f>
        <v/>
      </c>
      <c r="CM112" s="101" t="str">
        <f aca="false">IF(ISBLANK($C112),"",IF($BR112&lt;&gt;Constants!$B$8,"",IF($BI112="-&gt;",$BK112,$BC112)))</f>
        <v/>
      </c>
      <c r="CN112" s="101" t="str">
        <f aca="false">IF(ISBLANK($C112),"",IF($BR112&lt;&gt;Constants!$B$8,"",IF($BI112="-&gt;",$BL112,$BD112)))</f>
        <v/>
      </c>
      <c r="CO112" s="101" t="str">
        <f aca="false">IF(ISBLANK($C112),"",IF($BR112&lt;&gt;Constants!$B$8,"",IF($BI112="-&gt;",$BM112+$BN112,$BE112+$BF112)+$BV112))</f>
        <v/>
      </c>
      <c r="CP112" s="101" t="str">
        <f aca="false">IF(ISBLANK($C112),"",IF($BR112&lt;&gt;Constants!$B$8,"",IF($BI112="-&gt;",$BO112,$BG112)+$BU112))</f>
        <v/>
      </c>
      <c r="CQ112" s="102" t="str">
        <f aca="false">IF(ISBLANK($C112),"",IF($BR112&lt;&gt;Constants!$B$8,$BR112,$BW112))</f>
        <v/>
      </c>
      <c r="CR112" s="103" t="str">
        <f aca="false">IF(ISBLANK($C112),"",$BS112)</f>
        <v/>
      </c>
      <c r="CS112" s="104" t="str">
        <f aca="false">IF(ISBLANK($C112),"",$CH112)</f>
        <v/>
      </c>
      <c r="CT112" s="104" t="str">
        <f aca="false">IF(ISBLANK($C112),"",$CG112)</f>
        <v/>
      </c>
      <c r="CU112" s="105" t="str">
        <f aca="false">IF(ISBLANK($C112),"",IFERROR(_xlfn.SWITCH($CT112,Constants!$B$11,COUNTA($C$9:$C$508)+2,Constants!$B$10,COUNTA($C$9:$C$508)+1,Constants!$B$9,COUNTA($C$9:$C$508)),$CT112))</f>
        <v/>
      </c>
      <c r="CV112" s="9"/>
      <c r="CW112" s="106" t="n">
        <f aca="false">IF(OR(ISNUMBER($CT112),$CT112=Constants!$B$11,$CT112=Constants!$B$9,$CT112=Constants!$B$10),1,0)</f>
        <v>0</v>
      </c>
      <c r="CX112" s="106" t="n">
        <v>104</v>
      </c>
      <c r="CY112" s="106" t="str">
        <f aca="false">IF(ISBLANK($C112),"",IF(ISNUMBER($CU112),$CU112+ROW($B112)/1000,""))</f>
        <v/>
      </c>
      <c r="CZ112" s="106" t="str">
        <f aca="false">IF(ISNUMBER($CY112),RANK($CY112,$CY$9:$CY$508,1),"")</f>
        <v/>
      </c>
      <c r="DA112" s="106" t="str">
        <f aca="false">IF(ISBLANK($C112),"",$B112)</f>
        <v/>
      </c>
      <c r="DB112" s="106" t="str">
        <f aca="false">IF(ISBLANK($C112),"",$C112)</f>
        <v/>
      </c>
      <c r="DC112" s="106" t="str">
        <f aca="false">IF(ISBLANK($C112),"",$D112)</f>
        <v/>
      </c>
      <c r="DD112" s="107" t="str">
        <f aca="false">$CR112</f>
        <v/>
      </c>
      <c r="DE112" s="108" t="str">
        <f aca="false">$CQ112</f>
        <v/>
      </c>
      <c r="DF112" s="106" t="str">
        <f aca="false">IF(ISBLANK($C112),"",$CT112)</f>
        <v/>
      </c>
      <c r="DG112" s="109" t="str">
        <f aca="false">IF($CX112&gt;$CW$8,"",VLOOKUP($CX112,$CZ$9:$DF$508,7,FALSE()))</f>
        <v/>
      </c>
      <c r="DH112" s="110" t="str">
        <f aca="false">IF($CX112&gt;$CW$8,"",VLOOKUP($CX112,$CZ$9:$DF$508,2,FALSE()))</f>
        <v/>
      </c>
      <c r="DI112" s="110" t="str">
        <f aca="false">IF($CX112&gt;$CW$8,"",VLOOKUP($CX112,$CZ$9:$DF$508,3,FALSE()))</f>
        <v/>
      </c>
      <c r="DJ112" s="110" t="str">
        <f aca="false">IF($CX112&gt;$CW$8,"",VLOOKUP($CX112,$CZ$9:$DF$508,4,FALSE()))</f>
        <v/>
      </c>
      <c r="DK112" s="110" t="str">
        <f aca="false">IF($CX112&gt;$CW$8,"",VLOOKUP($CX112,$CZ$9:$DF$508,5,FALSE()))</f>
        <v/>
      </c>
      <c r="DL112" s="111" t="str">
        <f aca="false">IF($CX112&gt;$CW$8,"",VLOOKUP($CX112,$CZ$9:$DF$508,6,FALSE()))</f>
        <v/>
      </c>
      <c r="DM112" s="75"/>
    </row>
    <row r="113" customFormat="false" ht="15.75" hidden="false" customHeight="false" outlineLevel="0" collapsed="false">
      <c r="A113" s="9"/>
      <c r="B113" s="77"/>
      <c r="C113" s="78"/>
      <c r="D113" s="167"/>
      <c r="E113" s="175"/>
      <c r="F113" s="169"/>
      <c r="G113" s="170"/>
      <c r="H113" s="170"/>
      <c r="I113" s="176"/>
      <c r="J113" s="173"/>
      <c r="K113" s="85"/>
      <c r="L113" s="86"/>
      <c r="M113" s="87"/>
      <c r="N113" s="173"/>
      <c r="O113" s="173"/>
      <c r="P113" s="175"/>
      <c r="Q113" s="173"/>
      <c r="R113" s="173"/>
      <c r="S113" s="85"/>
      <c r="T113" s="87"/>
      <c r="U113" s="87"/>
      <c r="V113" s="173"/>
      <c r="W113" s="173"/>
      <c r="X113" s="175"/>
      <c r="Y113" s="173"/>
      <c r="Z113" s="174"/>
      <c r="AA113" s="173"/>
      <c r="AB113" s="91"/>
      <c r="AC113" s="92"/>
      <c r="AD113" s="92"/>
      <c r="AE113" s="92"/>
      <c r="AF113" s="92" t="str">
        <f aca="false">IF(ISBLANK($C113),"",IF(E113=Constants!$B$3,TRUE(),IF(E113=Constants!$B$4,FALSE(),TRUE())))</f>
        <v/>
      </c>
      <c r="AG113" s="92" t="str">
        <f aca="false">IF(ISBLANK($C113),"",IF(F113=Constants!$B$3,TRUE(),IF(F113=Constants!$B$4,FALSE(),TRUE())))</f>
        <v/>
      </c>
      <c r="AH113" s="92" t="str">
        <f aca="false">IF(ISBLANK($C113),"",IF(G113=Constants!$B$3,TRUE(),IF(G113=Constants!$B$4,FALSE(),TRUE())))</f>
        <v/>
      </c>
      <c r="AI113" s="92" t="str">
        <f aca="false">IF(ISBLANK($C113),"",IF(AND(ISNUMBER(H113),H113&gt;=0),H113,Constants!$B$29))</f>
        <v/>
      </c>
      <c r="AJ113" s="92" t="str">
        <f aca="false">IF(ISBLANK($C113),"",IF(I113=Constants!$B$3,TRUE(),IF(I113=Constants!$B$4,FALSE(),TRUE())))</f>
        <v/>
      </c>
      <c r="AK113" s="92" t="str">
        <f aca="false">IF(ISBLANK($C113),"",IF(J113=Constants!$B$3,TRUE(),IF(J113=Constants!$B$4,FALSE(),TRUE())))</f>
        <v/>
      </c>
      <c r="AL113" s="92" t="str">
        <f aca="false">IF(ISBLANK($C113),"",IF(K113=Constants!$B$5,TRUE(),IF(K113=Constants!$B$6,FALSE(),COUNTA(L113:P113)&gt;0)))</f>
        <v/>
      </c>
      <c r="AM113" s="94" t="str">
        <f aca="false">IF(ISBLANK($C113),"",IF(ISNUMBER(L113),IF(L113&gt;=0,L113,""),""))</f>
        <v/>
      </c>
      <c r="AN113" s="93" t="str">
        <f aca="false">IF(ISBLANK($C113),"",IF(ISNUMBER(M113),IF(M113&gt;=0,M113,""),""))</f>
        <v/>
      </c>
      <c r="AO113" s="93" t="str">
        <f aca="false">IF(ISBLANK($C113),"",IF(N113=Constants!$B$3,TRUE(),IF(N113=Constants!$B$4,FALSE(),TRUE())))</f>
        <v/>
      </c>
      <c r="AP113" s="92" t="str">
        <f aca="false">IF(ISBLANK($C113),"",IF(ISNUMBER(O113),IF(O113&gt;=0,O113,""),""))</f>
        <v/>
      </c>
      <c r="AQ113" s="92" t="str">
        <f aca="false">IF(ISBLANK($C113),"",IF(P113=Constants!$B$3,TRUE(),IF(P113=Constants!$B$4,FALSE(),FALSE())))</f>
        <v/>
      </c>
      <c r="AR113" s="92" t="str">
        <f aca="false">IF(ISBLANK($C113),"",IF(Q113=Constants!$B$3,TRUE(),IF(Q113=Constants!$B$4,FALSE(),TRUE())))</f>
        <v/>
      </c>
      <c r="AS113" s="92" t="str">
        <f aca="false">IF(ISBLANK($C113),"",IF(R113=Constants!$B$3,TRUE(),IF(R113=Constants!$B$4,FALSE(),TRUE())))</f>
        <v/>
      </c>
      <c r="AT113" s="92" t="str">
        <f aca="false">IF(ISBLANK($C113),"",IF(S113=Constants!$B$5,TRUE(),IF(S113=Constants!$B$6,FALSE(),COUNTA(T113:X113)&gt;0)))</f>
        <v/>
      </c>
      <c r="AU113" s="94" t="str">
        <f aca="false">IF(ISBLANK($C113),"",IF(ISNUMBER(T113),IF(T113&gt;=0,T113,""),""))</f>
        <v/>
      </c>
      <c r="AV113" s="93" t="str">
        <f aca="false">IF(ISBLANK($C113),"",IF(ISNUMBER(U113),IF(U113&gt;=0,U113,""),""))</f>
        <v/>
      </c>
      <c r="AW113" s="93" t="str">
        <f aca="false">IF(ISBLANK($C113),"",IF(V113=Constants!$B$3,TRUE(),IF(V113=Constants!$B$4,FALSE(),TRUE())))</f>
        <v/>
      </c>
      <c r="AX113" s="92" t="str">
        <f aca="false">IF(ISBLANK($C113),"",IF(ISNUMBER(W113),IF(W113&gt;=0,W113,""),""))</f>
        <v/>
      </c>
      <c r="AY113" s="92" t="str">
        <f aca="false">IF(ISBLANK($C113),"",IF(X113=Constants!$B$3,TRUE(),IF(X113=Constants!$B$4,FALSE(),FALSE())))</f>
        <v/>
      </c>
      <c r="AZ113" s="92" t="str">
        <f aca="false">IF(ISBLANK($C113),"",MIN(Constants!$B$31,MAX(0,IF(ISNUMBER(Y113),Y113*60,0)+IF(ISNUMBER(Z113),Z113,0))))</f>
        <v/>
      </c>
      <c r="BA113" s="92" t="str">
        <f aca="false">IF(ISBLANK($C113),"",IF(AA113=Constants!$B$3,TRUE(),IF(AA113=Constants!$B$4,FALSE(),FALSE())))</f>
        <v/>
      </c>
      <c r="BB113" s="91" t="str">
        <f aca="false">IF(ISBLANK($C113),"",AND($AL113,OR($AM113="",$AN113="",AND($AO113,$AP113=""))))</f>
        <v/>
      </c>
      <c r="BC113" s="93" t="str">
        <f aca="false">IF($BR113&lt;&gt;Constants!$B$8,"",IF($AL113,Constants!$B$21*$AN113+Constants!$B$22*IF($AO113,$AP113,Constants!$B$23),Constants!$B$24))</f>
        <v/>
      </c>
      <c r="BD113" s="96" t="str">
        <f aca="false">IF($BR113&lt;&gt;Constants!$B$8,"",Constants!$B$25*ABS($AD$9-IF($AL113,$AM113,0)))</f>
        <v/>
      </c>
      <c r="BE113" s="96" t="str">
        <f aca="false">IF($BR113&lt;&gt;Constants!$B$8,"",IF(AND($AL113,$AQ113,$AO113),Constants!$B$27,0))</f>
        <v/>
      </c>
      <c r="BF113" s="96" t="str">
        <f aca="false">IF($BR113&lt;&gt;Constants!$B$8,"",IF($AL113,($AI113-Constants!$B$29)*Constants!$B$28,0))</f>
        <v/>
      </c>
      <c r="BG113" s="96" t="str">
        <f aca="false">IF($BR113&lt;&gt;Constants!$B$8,"",IF($AK113,0,Constants!$B$15)+IF($AJ113,0,Constants!$B$16)+IF($AH113,0,Constants!$B$17))</f>
        <v/>
      </c>
      <c r="BH113" s="97" t="str">
        <f aca="false">IF($BR113&lt;&gt;Constants!$B$8,"",Constants!$B$20+SUM($BC113:$BG113))</f>
        <v/>
      </c>
      <c r="BI113" s="92" t="str">
        <f aca="false">IF($BR113&lt;&gt;Constants!$B$8,"",IF(OR($BP113&lt;$BH113,AND($BP113=$BH113,OR($BK113&lt;$BC113,AND($BK113=$BC113,OR($BL113&lt;$BD113,AND($BL113=$BD113,$AT113,$AL113,$AV113&lt;$AN113)))))),"-&gt;","&lt;-"))</f>
        <v/>
      </c>
      <c r="BJ113" s="91" t="str">
        <f aca="false">IF(ISBLANK($C113),"",AND($AT113,OR($AU113="",$AV113="",AND($AW113,$AX113=""))))</f>
        <v/>
      </c>
      <c r="BK113" s="93" t="str">
        <f aca="false">IF($BR113&lt;&gt;Constants!$B$8,"",IF($AT113,Constants!$B$21*$AV113+Constants!$B$22*IF($AW113,$AX113,Constants!$B$23),Constants!$B$24))</f>
        <v/>
      </c>
      <c r="BL113" s="96" t="str">
        <f aca="false">IF($BR113&lt;&gt;Constants!$B$8,"",Constants!$B$25*ABS($AD$9-IF($AT113,$AU113,0)))</f>
        <v/>
      </c>
      <c r="BM113" s="96" t="str">
        <f aca="false">IF($BR113&lt;&gt;Constants!$B$8,"",IF(AND($AT113,$AY113,$AW113),Constants!$B$27,0))</f>
        <v/>
      </c>
      <c r="BN113" s="96" t="str">
        <f aca="false">IF($BR113&lt;&gt;Constants!$B$8,"",IF($AT113,($AI113-Constants!$B$29)*Constants!$B$28,0))</f>
        <v/>
      </c>
      <c r="BO113" s="96" t="str">
        <f aca="false">IF($BR113&lt;&gt;Constants!$B$8,"",IF($AS113,0,Constants!$B$15)+IF($AR113,0,Constants!$B$16)+IF($AH113,0,Constants!$B$17))</f>
        <v/>
      </c>
      <c r="BP113" s="97" t="str">
        <f aca="false">IF($BR113&lt;&gt;Constants!$B$8,"",Constants!$B$20+SUM($BK113:$BO113))</f>
        <v/>
      </c>
      <c r="BQ113" s="92" t="str">
        <f aca="false">IF(ISBLANK($C113),"",IF(ISBLANK($D$7),$BQ$5,IF(NOT(ISNUMBER($D$7)),$BQ$6,"")))</f>
        <v/>
      </c>
      <c r="BR113" s="92" t="str">
        <f aca="false">IF(ISBLANK($C113),"",IF($BA113,Constants!$B$11,IF(COUNTA($E113:$AA113)=0,Constants!$B$10,IF(NOT($AG113),Constants!$B$9,IF(OR($BQ113&lt;&gt;"",$BB113,$BJ113),Constants!$B$12,Constants!$B$8)))))</f>
        <v/>
      </c>
      <c r="BS113" s="92" t="str">
        <f aca="false">IF(ISBLANK($C113),"",IF($BR113&lt;&gt;Constants!$B$8,$BR113,Constants!$B$13))</f>
        <v/>
      </c>
      <c r="BT113" s="96" t="str">
        <f aca="false">IF($BR113&lt;&gt;Constants!$B$8,"",IF($BI113="-&gt;",$BP113,$BH113))</f>
        <v/>
      </c>
      <c r="BU113" s="96" t="str">
        <f aca="false">IF($BR113&lt;&gt;Constants!$B$8,"",IF($AF113,0,Constants!$B$18))</f>
        <v/>
      </c>
      <c r="BV113" s="96" t="str">
        <f aca="false">IF($BR113&lt;&gt;Constants!$B$8,"",((Constants!$B$31-$AZ113)-Constants!$B$31)/Constants!$B$32)</f>
        <v/>
      </c>
      <c r="BW113" s="96" t="str">
        <f aca="false">IF(ISBLANK($C113),"",IF($BR113&lt;&gt;Constants!$B$8,$BR113,SUM($BT113:$BV113)))</f>
        <v/>
      </c>
      <c r="BX113" s="92" t="str">
        <f aca="false">IF(ISBLANK($C113),"",IF($BR113&lt;&gt;Constants!$B$8,$BR113,RANK($BW113,$BW$9:$BW$508,1)))</f>
        <v/>
      </c>
      <c r="BY113" s="96" t="str">
        <f aca="false">IF($BR113&lt;&gt;Constants!$B$8,"",IF($BI113="-&gt;",$BK113,$BC113))</f>
        <v/>
      </c>
      <c r="BZ113" s="92" t="str">
        <f aca="false">IF(ISBLANK($C113),"",IF($BR113&lt;&gt;Constants!$B$8,$BR113,IF(ISNUMBER($BY113),RANK($BY113,$BY$9:$BY$508,1),COUNT($BY$9:$BY$508)+1)))</f>
        <v/>
      </c>
      <c r="CA113" s="96" t="str">
        <f aca="false">IF($BR113&lt;&gt;Constants!$B$8,"",IF($BI113="-&gt;",$BL113,$BD113))</f>
        <v/>
      </c>
      <c r="CB113" s="92" t="str">
        <f aca="false">IF(ISBLANK($C113),"",IF($BR113&lt;&gt;Constants!$B$8,$BR113,IF(ISNUMBER($CA113),RANK($CA113,$CA$9:$CA$508,1),COUNT($CA$9:$CA$508)+1)))</f>
        <v/>
      </c>
      <c r="CC113" s="96" t="str">
        <f aca="false">IF($BR113&lt;&gt;Constants!$B$8,"",IF($BI113="-&gt;",IF($AT113,$AV113,""),IF($AL113,$AN113,"")))</f>
        <v/>
      </c>
      <c r="CD113" s="92" t="str">
        <f aca="false">IF(ISBLANK($C113),"",IF($BR113&lt;&gt;Constants!$B$8,$BR113,IF(ISNUMBER($CC113),RANK($CC113,$CC$9:$CC$508,1),COUNT($CC$9:$CC$508)+1)))</f>
        <v/>
      </c>
      <c r="CE113" s="96" t="str">
        <f aca="false">IF($BR113&lt;&gt;Constants!$B$8,"",IF(AND(NOT($AL113),NOT($AT113),$AJ113,$AK113,$AR113,$AS113),"",$AI113))</f>
        <v/>
      </c>
      <c r="CF113" s="92" t="str">
        <f aca="false">IF(ISBLANK($C113),"",IF($BR113&lt;&gt;Constants!$B$8,$BR113,IF(ISNUMBER($CE113),RANK($CE113,$CE$9:$CE$508,1),COUNT($CE$9:$CE$508)+1)))</f>
        <v/>
      </c>
      <c r="CG113" s="92" t="str">
        <f aca="false">IF(ISBLANK($C113),"",IF($BR113&lt;&gt;Constants!$B$8,$BR113,COUNTIFS($BX$9:$BX$508,"&lt;"&amp;$BX113)+COUNTIFS($BX$9:$BX$508,$BX113,$BZ$9:$BZ$508,"&lt;"&amp;$BZ113)+COUNTIFS($BX$9:$BX$508,$BX113,$BZ$9:$BZ$508,$BZ113,$CB$9:$CB$508,"&lt;"&amp;$CB113)+COUNTIFS($BX$9:$BX$508,$BX113,$BZ$9:$BZ$508,$BZ113,$CB$9:$CB$508,$CB113,$CD$9:$CD$508,"&lt;"&amp;$CD113)+COUNTIFS($BX$9:$BX$508,$BX113,$BZ$9:$BZ$508,$BZ113,$CB$9:$CB$508,$CB113,$CD$9:$CD$508,$CD113,$CF$9:$CF$508,"&lt;"&amp;$CF113)+1))</f>
        <v/>
      </c>
      <c r="CH113" s="92" t="str">
        <f aca="false">IF(ISBLANK($C113),"",IF($BR113&lt;&gt;Constants!$B$8,$BR113,$BX113-$CG113))</f>
        <v/>
      </c>
      <c r="CI113" s="98"/>
      <c r="CJ113" s="99"/>
      <c r="CK113" s="100" t="str">
        <f aca="false">IF(ISBLANK($C113),"",IF($BR113=Constants!$B$12,$BQ113,""))</f>
        <v/>
      </c>
      <c r="CL113" s="99" t="str">
        <f aca="false">IF(ISBLANK($C113),"",IF($BR113&lt;&gt;Constants!$B$8,"",IF($BI113="-&gt;",2,1)))</f>
        <v/>
      </c>
      <c r="CM113" s="101" t="str">
        <f aca="false">IF(ISBLANK($C113),"",IF($BR113&lt;&gt;Constants!$B$8,"",IF($BI113="-&gt;",$BK113,$BC113)))</f>
        <v/>
      </c>
      <c r="CN113" s="101" t="str">
        <f aca="false">IF(ISBLANK($C113),"",IF($BR113&lt;&gt;Constants!$B$8,"",IF($BI113="-&gt;",$BL113,$BD113)))</f>
        <v/>
      </c>
      <c r="CO113" s="101" t="str">
        <f aca="false">IF(ISBLANK($C113),"",IF($BR113&lt;&gt;Constants!$B$8,"",IF($BI113="-&gt;",$BM113+$BN113,$BE113+$BF113)+$BV113))</f>
        <v/>
      </c>
      <c r="CP113" s="101" t="str">
        <f aca="false">IF(ISBLANK($C113),"",IF($BR113&lt;&gt;Constants!$B$8,"",IF($BI113="-&gt;",$BO113,$BG113)+$BU113))</f>
        <v/>
      </c>
      <c r="CQ113" s="102" t="str">
        <f aca="false">IF(ISBLANK($C113),"",IF($BR113&lt;&gt;Constants!$B$8,$BR113,$BW113))</f>
        <v/>
      </c>
      <c r="CR113" s="103" t="str">
        <f aca="false">IF(ISBLANK($C113),"",$BS113)</f>
        <v/>
      </c>
      <c r="CS113" s="104" t="str">
        <f aca="false">IF(ISBLANK($C113),"",$CH113)</f>
        <v/>
      </c>
      <c r="CT113" s="104" t="str">
        <f aca="false">IF(ISBLANK($C113),"",$CG113)</f>
        <v/>
      </c>
      <c r="CU113" s="105" t="str">
        <f aca="false">IF(ISBLANK($C113),"",IFERROR(_xlfn.SWITCH($CT113,Constants!$B$11,COUNTA($C$9:$C$508)+2,Constants!$B$10,COUNTA($C$9:$C$508)+1,Constants!$B$9,COUNTA($C$9:$C$508)),$CT113))</f>
        <v/>
      </c>
      <c r="CV113" s="9"/>
      <c r="CW113" s="106" t="n">
        <f aca="false">IF(OR(ISNUMBER($CT113),$CT113=Constants!$B$11,$CT113=Constants!$B$9,$CT113=Constants!$B$10),1,0)</f>
        <v>0</v>
      </c>
      <c r="CX113" s="106" t="n">
        <v>105</v>
      </c>
      <c r="CY113" s="106" t="str">
        <f aca="false">IF(ISBLANK($C113),"",IF(ISNUMBER($CU113),$CU113+ROW($B113)/1000,""))</f>
        <v/>
      </c>
      <c r="CZ113" s="106" t="str">
        <f aca="false">IF(ISNUMBER($CY113),RANK($CY113,$CY$9:$CY$508,1),"")</f>
        <v/>
      </c>
      <c r="DA113" s="106" t="str">
        <f aca="false">IF(ISBLANK($C113),"",$B113)</f>
        <v/>
      </c>
      <c r="DB113" s="106" t="str">
        <f aca="false">IF(ISBLANK($C113),"",$C113)</f>
        <v/>
      </c>
      <c r="DC113" s="106" t="str">
        <f aca="false">IF(ISBLANK($C113),"",$D113)</f>
        <v/>
      </c>
      <c r="DD113" s="107" t="str">
        <f aca="false">$CR113</f>
        <v/>
      </c>
      <c r="DE113" s="108" t="str">
        <f aca="false">$CQ113</f>
        <v/>
      </c>
      <c r="DF113" s="106" t="str">
        <f aca="false">IF(ISBLANK($C113),"",$CT113)</f>
        <v/>
      </c>
      <c r="DG113" s="109" t="str">
        <f aca="false">IF($CX113&gt;$CW$8,"",VLOOKUP($CX113,$CZ$9:$DF$508,7,FALSE()))</f>
        <v/>
      </c>
      <c r="DH113" s="110" t="str">
        <f aca="false">IF($CX113&gt;$CW$8,"",VLOOKUP($CX113,$CZ$9:$DF$508,2,FALSE()))</f>
        <v/>
      </c>
      <c r="DI113" s="110" t="str">
        <f aca="false">IF($CX113&gt;$CW$8,"",VLOOKUP($CX113,$CZ$9:$DF$508,3,FALSE()))</f>
        <v/>
      </c>
      <c r="DJ113" s="110" t="str">
        <f aca="false">IF($CX113&gt;$CW$8,"",VLOOKUP($CX113,$CZ$9:$DF$508,4,FALSE()))</f>
        <v/>
      </c>
      <c r="DK113" s="110" t="str">
        <f aca="false">IF($CX113&gt;$CW$8,"",VLOOKUP($CX113,$CZ$9:$DF$508,5,FALSE()))</f>
        <v/>
      </c>
      <c r="DL113" s="111" t="str">
        <f aca="false">IF($CX113&gt;$CW$8,"",VLOOKUP($CX113,$CZ$9:$DF$508,6,FALSE()))</f>
        <v/>
      </c>
      <c r="DM113" s="75"/>
    </row>
    <row r="114" customFormat="false" ht="15.75" hidden="false" customHeight="false" outlineLevel="0" collapsed="false">
      <c r="A114" s="9"/>
      <c r="B114" s="157"/>
      <c r="C114" s="158"/>
      <c r="D114" s="159"/>
      <c r="E114" s="177"/>
      <c r="F114" s="161"/>
      <c r="G114" s="162"/>
      <c r="H114" s="162"/>
      <c r="I114" s="178"/>
      <c r="J114" s="165"/>
      <c r="K114" s="126"/>
      <c r="L114" s="127"/>
      <c r="M114" s="128"/>
      <c r="N114" s="165"/>
      <c r="O114" s="165"/>
      <c r="P114" s="177"/>
      <c r="Q114" s="165"/>
      <c r="R114" s="165"/>
      <c r="S114" s="126"/>
      <c r="T114" s="128"/>
      <c r="U114" s="128"/>
      <c r="V114" s="165"/>
      <c r="W114" s="165"/>
      <c r="X114" s="177"/>
      <c r="Y114" s="165"/>
      <c r="Z114" s="166"/>
      <c r="AA114" s="165"/>
      <c r="AB114" s="132"/>
      <c r="AC114" s="133"/>
      <c r="AD114" s="133"/>
      <c r="AE114" s="133"/>
      <c r="AF114" s="133" t="str">
        <f aca="false">IF(ISBLANK($C114),"",IF(E114=Constants!$B$3,TRUE(),IF(E114=Constants!$B$4,FALSE(),TRUE())))</f>
        <v/>
      </c>
      <c r="AG114" s="133" t="str">
        <f aca="false">IF(ISBLANK($C114),"",IF(F114=Constants!$B$3,TRUE(),IF(F114=Constants!$B$4,FALSE(),TRUE())))</f>
        <v/>
      </c>
      <c r="AH114" s="133" t="str">
        <f aca="false">IF(ISBLANK($C114),"",IF(G114=Constants!$B$3,TRUE(),IF(G114=Constants!$B$4,FALSE(),TRUE())))</f>
        <v/>
      </c>
      <c r="AI114" s="133" t="str">
        <f aca="false">IF(ISBLANK($C114),"",IF(AND(ISNUMBER(H114),H114&gt;=0),H114,Constants!$B$29))</f>
        <v/>
      </c>
      <c r="AJ114" s="133" t="str">
        <f aca="false">IF(ISBLANK($C114),"",IF(I114=Constants!$B$3,TRUE(),IF(I114=Constants!$B$4,FALSE(),TRUE())))</f>
        <v/>
      </c>
      <c r="AK114" s="133" t="str">
        <f aca="false">IF(ISBLANK($C114),"",IF(J114=Constants!$B$3,TRUE(),IF(J114=Constants!$B$4,FALSE(),TRUE())))</f>
        <v/>
      </c>
      <c r="AL114" s="133" t="str">
        <f aca="false">IF(ISBLANK($C114),"",IF(K114=Constants!$B$5,TRUE(),IF(K114=Constants!$B$6,FALSE(),COUNTA(L114:P114)&gt;0)))</f>
        <v/>
      </c>
      <c r="AM114" s="134" t="str">
        <f aca="false">IF(ISBLANK($C114),"",IF(ISNUMBER(L114),IF(L114&gt;=0,L114,""),""))</f>
        <v/>
      </c>
      <c r="AN114" s="135" t="str">
        <f aca="false">IF(ISBLANK($C114),"",IF(ISNUMBER(M114),IF(M114&gt;=0,M114,""),""))</f>
        <v/>
      </c>
      <c r="AO114" s="135" t="str">
        <f aca="false">IF(ISBLANK($C114),"",IF(N114=Constants!$B$3,TRUE(),IF(N114=Constants!$B$4,FALSE(),TRUE())))</f>
        <v/>
      </c>
      <c r="AP114" s="133" t="str">
        <f aca="false">IF(ISBLANK($C114),"",IF(ISNUMBER(O114),IF(O114&gt;=0,O114,""),""))</f>
        <v/>
      </c>
      <c r="AQ114" s="133" t="str">
        <f aca="false">IF(ISBLANK($C114),"",IF(P114=Constants!$B$3,TRUE(),IF(P114=Constants!$B$4,FALSE(),FALSE())))</f>
        <v/>
      </c>
      <c r="AR114" s="133" t="str">
        <f aca="false">IF(ISBLANK($C114),"",IF(Q114=Constants!$B$3,TRUE(),IF(Q114=Constants!$B$4,FALSE(),TRUE())))</f>
        <v/>
      </c>
      <c r="AS114" s="133" t="str">
        <f aca="false">IF(ISBLANK($C114),"",IF(R114=Constants!$B$3,TRUE(),IF(R114=Constants!$B$4,FALSE(),TRUE())))</f>
        <v/>
      </c>
      <c r="AT114" s="133" t="str">
        <f aca="false">IF(ISBLANK($C114),"",IF(S114=Constants!$B$5,TRUE(),IF(S114=Constants!$B$6,FALSE(),COUNTA(T114:X114)&gt;0)))</f>
        <v/>
      </c>
      <c r="AU114" s="134" t="str">
        <f aca="false">IF(ISBLANK($C114),"",IF(ISNUMBER(T114),IF(T114&gt;=0,T114,""),""))</f>
        <v/>
      </c>
      <c r="AV114" s="135" t="str">
        <f aca="false">IF(ISBLANK($C114),"",IF(ISNUMBER(U114),IF(U114&gt;=0,U114,""),""))</f>
        <v/>
      </c>
      <c r="AW114" s="135" t="str">
        <f aca="false">IF(ISBLANK($C114),"",IF(V114=Constants!$B$3,TRUE(),IF(V114=Constants!$B$4,FALSE(),TRUE())))</f>
        <v/>
      </c>
      <c r="AX114" s="133" t="str">
        <f aca="false">IF(ISBLANK($C114),"",IF(ISNUMBER(W114),IF(W114&gt;=0,W114,""),""))</f>
        <v/>
      </c>
      <c r="AY114" s="133" t="str">
        <f aca="false">IF(ISBLANK($C114),"",IF(X114=Constants!$B$3,TRUE(),IF(X114=Constants!$B$4,FALSE(),FALSE())))</f>
        <v/>
      </c>
      <c r="AZ114" s="133" t="str">
        <f aca="false">IF(ISBLANK($C114),"",MIN(Constants!$B$31,MAX(0,IF(ISNUMBER(Y114),Y114*60,0)+IF(ISNUMBER(Z114),Z114,0))))</f>
        <v/>
      </c>
      <c r="BA114" s="133" t="str">
        <f aca="false">IF(ISBLANK($C114),"",IF(AA114=Constants!$B$3,TRUE(),IF(AA114=Constants!$B$4,FALSE(),FALSE())))</f>
        <v/>
      </c>
      <c r="BB114" s="132" t="str">
        <f aca="false">IF(ISBLANK($C114),"",AND($AL114,OR($AM114="",$AN114="",AND($AO114,$AP114=""))))</f>
        <v/>
      </c>
      <c r="BC114" s="135" t="str">
        <f aca="false">IF($BR114&lt;&gt;Constants!$B$8,"",IF($AL114,Constants!$B$21*$AN114+Constants!$B$22*IF($AO114,$AP114,Constants!$B$23),Constants!$B$24))</f>
        <v/>
      </c>
      <c r="BD114" s="136" t="str">
        <f aca="false">IF($BR114&lt;&gt;Constants!$B$8,"",Constants!$B$25*ABS($AD$9-IF($AL114,$AM114,0)))</f>
        <v/>
      </c>
      <c r="BE114" s="136" t="str">
        <f aca="false">IF($BR114&lt;&gt;Constants!$B$8,"",IF(AND($AL114,$AQ114,$AO114),Constants!$B$27,0))</f>
        <v/>
      </c>
      <c r="BF114" s="136" t="str">
        <f aca="false">IF($BR114&lt;&gt;Constants!$B$8,"",IF($AL114,($AI114-Constants!$B$29)*Constants!$B$28,0))</f>
        <v/>
      </c>
      <c r="BG114" s="136" t="str">
        <f aca="false">IF($BR114&lt;&gt;Constants!$B$8,"",IF($AK114,0,Constants!$B$15)+IF($AJ114,0,Constants!$B$16)+IF($AH114,0,Constants!$B$17))</f>
        <v/>
      </c>
      <c r="BH114" s="137" t="str">
        <f aca="false">IF($BR114&lt;&gt;Constants!$B$8,"",Constants!$B$20+SUM($BC114:$BG114))</f>
        <v/>
      </c>
      <c r="BI114" s="133" t="str">
        <f aca="false">IF($BR114&lt;&gt;Constants!$B$8,"",IF(OR($BP114&lt;$BH114,AND($BP114=$BH114,OR($BK114&lt;$BC114,AND($BK114=$BC114,OR($BL114&lt;$BD114,AND($BL114=$BD114,$AT114,$AL114,$AV114&lt;$AN114)))))),"-&gt;","&lt;-"))</f>
        <v/>
      </c>
      <c r="BJ114" s="132" t="str">
        <f aca="false">IF(ISBLANK($C114),"",AND($AT114,OR($AU114="",$AV114="",AND($AW114,$AX114=""))))</f>
        <v/>
      </c>
      <c r="BK114" s="135" t="str">
        <f aca="false">IF($BR114&lt;&gt;Constants!$B$8,"",IF($AT114,Constants!$B$21*$AV114+Constants!$B$22*IF($AW114,$AX114,Constants!$B$23),Constants!$B$24))</f>
        <v/>
      </c>
      <c r="BL114" s="136" t="str">
        <f aca="false">IF($BR114&lt;&gt;Constants!$B$8,"",Constants!$B$25*ABS($AD$9-IF($AT114,$AU114,0)))</f>
        <v/>
      </c>
      <c r="BM114" s="136" t="str">
        <f aca="false">IF($BR114&lt;&gt;Constants!$B$8,"",IF(AND($AT114,$AY114,$AW114),Constants!$B$27,0))</f>
        <v/>
      </c>
      <c r="BN114" s="136" t="str">
        <f aca="false">IF($BR114&lt;&gt;Constants!$B$8,"",IF($AT114,($AI114-Constants!$B$29)*Constants!$B$28,0))</f>
        <v/>
      </c>
      <c r="BO114" s="136" t="str">
        <f aca="false">IF($BR114&lt;&gt;Constants!$B$8,"",IF($AS114,0,Constants!$B$15)+IF($AR114,0,Constants!$B$16)+IF($AH114,0,Constants!$B$17))</f>
        <v/>
      </c>
      <c r="BP114" s="137" t="str">
        <f aca="false">IF($BR114&lt;&gt;Constants!$B$8,"",Constants!$B$20+SUM($BK114:$BO114))</f>
        <v/>
      </c>
      <c r="BQ114" s="133" t="str">
        <f aca="false">IF(ISBLANK($C114),"",IF(ISBLANK($D$7),$BQ$5,IF(NOT(ISNUMBER($D$7)),$BQ$6,"")))</f>
        <v/>
      </c>
      <c r="BR114" s="133" t="str">
        <f aca="false">IF(ISBLANK($C114),"",IF($BA114,Constants!$B$11,IF(COUNTA($E114:$AA114)=0,Constants!$B$10,IF(NOT($AG114),Constants!$B$9,IF(OR($BQ114&lt;&gt;"",$BB114,$BJ114),Constants!$B$12,Constants!$B$8)))))</f>
        <v/>
      </c>
      <c r="BS114" s="133" t="str">
        <f aca="false">IF(ISBLANK($C114),"",IF($BR114&lt;&gt;Constants!$B$8,$BR114,Constants!$B$13))</f>
        <v/>
      </c>
      <c r="BT114" s="136" t="str">
        <f aca="false">IF($BR114&lt;&gt;Constants!$B$8,"",IF($BI114="-&gt;",$BP114,$BH114))</f>
        <v/>
      </c>
      <c r="BU114" s="136" t="str">
        <f aca="false">IF($BR114&lt;&gt;Constants!$B$8,"",IF($AF114,0,Constants!$B$18))</f>
        <v/>
      </c>
      <c r="BV114" s="136" t="str">
        <f aca="false">IF($BR114&lt;&gt;Constants!$B$8,"",((Constants!$B$31-$AZ114)-Constants!$B$31)/Constants!$B$32)</f>
        <v/>
      </c>
      <c r="BW114" s="136" t="str">
        <f aca="false">IF(ISBLANK($C114),"",IF($BR114&lt;&gt;Constants!$B$8,$BR114,SUM($BT114:$BV114)))</f>
        <v/>
      </c>
      <c r="BX114" s="133" t="str">
        <f aca="false">IF(ISBLANK($C114),"",IF($BR114&lt;&gt;Constants!$B$8,$BR114,RANK($BW114,$BW$9:$BW$508,1)))</f>
        <v/>
      </c>
      <c r="BY114" s="136" t="str">
        <f aca="false">IF($BR114&lt;&gt;Constants!$B$8,"",IF($BI114="-&gt;",$BK114,$BC114))</f>
        <v/>
      </c>
      <c r="BZ114" s="133" t="str">
        <f aca="false">IF(ISBLANK($C114),"",IF($BR114&lt;&gt;Constants!$B$8,$BR114,IF(ISNUMBER($BY114),RANK($BY114,$BY$9:$BY$508,1),COUNT($BY$9:$BY$508)+1)))</f>
        <v/>
      </c>
      <c r="CA114" s="136" t="str">
        <f aca="false">IF($BR114&lt;&gt;Constants!$B$8,"",IF($BI114="-&gt;",$BL114,$BD114))</f>
        <v/>
      </c>
      <c r="CB114" s="133" t="str">
        <f aca="false">IF(ISBLANK($C114),"",IF($BR114&lt;&gt;Constants!$B$8,$BR114,IF(ISNUMBER($CA114),RANK($CA114,$CA$9:$CA$508,1),COUNT($CA$9:$CA$508)+1)))</f>
        <v/>
      </c>
      <c r="CC114" s="136" t="str">
        <f aca="false">IF($BR114&lt;&gt;Constants!$B$8,"",IF($BI114="-&gt;",IF($AT114,$AV114,""),IF($AL114,$AN114,"")))</f>
        <v/>
      </c>
      <c r="CD114" s="133" t="str">
        <f aca="false">IF(ISBLANK($C114),"",IF($BR114&lt;&gt;Constants!$B$8,$BR114,IF(ISNUMBER($CC114),RANK($CC114,$CC$9:$CC$508,1),COUNT($CC$9:$CC$508)+1)))</f>
        <v/>
      </c>
      <c r="CE114" s="136" t="str">
        <f aca="false">IF($BR114&lt;&gt;Constants!$B$8,"",IF(AND(NOT($AL114),NOT($AT114),$AJ114,$AK114,$AR114,$AS114),"",$AI114))</f>
        <v/>
      </c>
      <c r="CF114" s="133" t="str">
        <f aca="false">IF(ISBLANK($C114),"",IF($BR114&lt;&gt;Constants!$B$8,$BR114,IF(ISNUMBER($CE114),RANK($CE114,$CE$9:$CE$508,1),COUNT($CE$9:$CE$508)+1)))</f>
        <v/>
      </c>
      <c r="CG114" s="133" t="str">
        <f aca="false">IF(ISBLANK($C114),"",IF($BR114&lt;&gt;Constants!$B$8,$BR114,COUNTIFS($BX$9:$BX$508,"&lt;"&amp;$BX114)+COUNTIFS($BX$9:$BX$508,$BX114,$BZ$9:$BZ$508,"&lt;"&amp;$BZ114)+COUNTIFS($BX$9:$BX$508,$BX114,$BZ$9:$BZ$508,$BZ114,$CB$9:$CB$508,"&lt;"&amp;$CB114)+COUNTIFS($BX$9:$BX$508,$BX114,$BZ$9:$BZ$508,$BZ114,$CB$9:$CB$508,$CB114,$CD$9:$CD$508,"&lt;"&amp;$CD114)+COUNTIFS($BX$9:$BX$508,$BX114,$BZ$9:$BZ$508,$BZ114,$CB$9:$CB$508,$CB114,$CD$9:$CD$508,$CD114,$CF$9:$CF$508,"&lt;"&amp;$CF114)+1))</f>
        <v/>
      </c>
      <c r="CH114" s="133" t="str">
        <f aca="false">IF(ISBLANK($C114),"",IF($BR114&lt;&gt;Constants!$B$8,$BR114,$BX114-$CG114))</f>
        <v/>
      </c>
      <c r="CI114" s="138"/>
      <c r="CJ114" s="139"/>
      <c r="CK114" s="140" t="str">
        <f aca="false">IF(ISBLANK($C114),"",IF($BR114=Constants!$B$12,$BQ114,""))</f>
        <v/>
      </c>
      <c r="CL114" s="139" t="str">
        <f aca="false">IF(ISBLANK($C114),"",IF($BR114&lt;&gt;Constants!$B$8,"",IF($BI114="-&gt;",2,1)))</f>
        <v/>
      </c>
      <c r="CM114" s="141" t="str">
        <f aca="false">IF(ISBLANK($C114),"",IF($BR114&lt;&gt;Constants!$B$8,"",IF($BI114="-&gt;",$BK114,$BC114)))</f>
        <v/>
      </c>
      <c r="CN114" s="141" t="str">
        <f aca="false">IF(ISBLANK($C114),"",IF($BR114&lt;&gt;Constants!$B$8,"",IF($BI114="-&gt;",$BL114,$BD114)))</f>
        <v/>
      </c>
      <c r="CO114" s="141" t="str">
        <f aca="false">IF(ISBLANK($C114),"",IF($BR114&lt;&gt;Constants!$B$8,"",IF($BI114="-&gt;",$BM114+$BN114,$BE114+$BF114)+$BV114))</f>
        <v/>
      </c>
      <c r="CP114" s="141" t="str">
        <f aca="false">IF(ISBLANK($C114),"",IF($BR114&lt;&gt;Constants!$B$8,"",IF($BI114="-&gt;",$BO114,$BG114)+$BU114))</f>
        <v/>
      </c>
      <c r="CQ114" s="142" t="str">
        <f aca="false">IF(ISBLANK($C114),"",IF($BR114&lt;&gt;Constants!$B$8,$BR114,$BW114))</f>
        <v/>
      </c>
      <c r="CR114" s="143" t="str">
        <f aca="false">IF(ISBLANK($C114),"",$BS114)</f>
        <v/>
      </c>
      <c r="CS114" s="144" t="str">
        <f aca="false">IF(ISBLANK($C114),"",$CH114)</f>
        <v/>
      </c>
      <c r="CT114" s="144" t="str">
        <f aca="false">IF(ISBLANK($C114),"",$CG114)</f>
        <v/>
      </c>
      <c r="CU114" s="145" t="str">
        <f aca="false">IF(ISBLANK($C114),"",IFERROR(_xlfn.SWITCH($CT114,Constants!$B$11,COUNTA($C$9:$C$508)+2,Constants!$B$10,COUNTA($C$9:$C$508)+1,Constants!$B$9,COUNTA($C$9:$C$508)),$CT114))</f>
        <v/>
      </c>
      <c r="CV114" s="9"/>
      <c r="CW114" s="146" t="n">
        <f aca="false">IF(OR(ISNUMBER($CT114),$CT114=Constants!$B$11,$CT114=Constants!$B$9,$CT114=Constants!$B$10),1,0)</f>
        <v>0</v>
      </c>
      <c r="CX114" s="146" t="n">
        <v>106</v>
      </c>
      <c r="CY114" s="146" t="str">
        <f aca="false">IF(ISBLANK($C114),"",IF(ISNUMBER($CU114),$CU114+ROW($B114)/1000,""))</f>
        <v/>
      </c>
      <c r="CZ114" s="146" t="str">
        <f aca="false">IF(ISNUMBER($CY114),RANK($CY114,$CY$9:$CY$508,1),"")</f>
        <v/>
      </c>
      <c r="DA114" s="146" t="str">
        <f aca="false">IF(ISBLANK($C114),"",$B114)</f>
        <v/>
      </c>
      <c r="DB114" s="146" t="str">
        <f aca="false">IF(ISBLANK($C114),"",$C114)</f>
        <v/>
      </c>
      <c r="DC114" s="146" t="str">
        <f aca="false">IF(ISBLANK($C114),"",$D114)</f>
        <v/>
      </c>
      <c r="DD114" s="147" t="str">
        <f aca="false">$CR114</f>
        <v/>
      </c>
      <c r="DE114" s="148" t="str">
        <f aca="false">$CQ114</f>
        <v/>
      </c>
      <c r="DF114" s="146" t="str">
        <f aca="false">IF(ISBLANK($C114),"",$CT114)</f>
        <v/>
      </c>
      <c r="DG114" s="149" t="str">
        <f aca="false">IF($CX114&gt;$CW$8,"",VLOOKUP($CX114,$CZ$9:$DF$508,7,FALSE()))</f>
        <v/>
      </c>
      <c r="DH114" s="150" t="str">
        <f aca="false">IF($CX114&gt;$CW$8,"",VLOOKUP($CX114,$CZ$9:$DF$508,2,FALSE()))</f>
        <v/>
      </c>
      <c r="DI114" s="150" t="str">
        <f aca="false">IF($CX114&gt;$CW$8,"",VLOOKUP($CX114,$CZ$9:$DF$508,3,FALSE()))</f>
        <v/>
      </c>
      <c r="DJ114" s="150" t="str">
        <f aca="false">IF($CX114&gt;$CW$8,"",VLOOKUP($CX114,$CZ$9:$DF$508,4,FALSE()))</f>
        <v/>
      </c>
      <c r="DK114" s="150" t="str">
        <f aca="false">IF($CX114&gt;$CW$8,"",VLOOKUP($CX114,$CZ$9:$DF$508,5,FALSE()))</f>
        <v/>
      </c>
      <c r="DL114" s="151" t="str">
        <f aca="false">IF($CX114&gt;$CW$8,"",VLOOKUP($CX114,$CZ$9:$DF$508,6,FALSE()))</f>
        <v/>
      </c>
      <c r="DM114" s="75"/>
    </row>
    <row r="115" customFormat="false" ht="15.75" hidden="false" customHeight="false" outlineLevel="0" collapsed="false">
      <c r="A115" s="9"/>
      <c r="B115" s="157"/>
      <c r="C115" s="158"/>
      <c r="D115" s="159"/>
      <c r="E115" s="177"/>
      <c r="F115" s="161"/>
      <c r="G115" s="162"/>
      <c r="H115" s="162"/>
      <c r="I115" s="178"/>
      <c r="J115" s="165"/>
      <c r="K115" s="126"/>
      <c r="L115" s="127"/>
      <c r="M115" s="128"/>
      <c r="N115" s="165"/>
      <c r="O115" s="165"/>
      <c r="P115" s="177"/>
      <c r="Q115" s="165"/>
      <c r="R115" s="165"/>
      <c r="S115" s="126"/>
      <c r="T115" s="128"/>
      <c r="U115" s="128"/>
      <c r="V115" s="165"/>
      <c r="W115" s="165"/>
      <c r="X115" s="177"/>
      <c r="Y115" s="165"/>
      <c r="Z115" s="166"/>
      <c r="AA115" s="165"/>
      <c r="AB115" s="132"/>
      <c r="AC115" s="133"/>
      <c r="AD115" s="133"/>
      <c r="AE115" s="133"/>
      <c r="AF115" s="133" t="str">
        <f aca="false">IF(ISBLANK($C115),"",IF(E115=Constants!$B$3,TRUE(),IF(E115=Constants!$B$4,FALSE(),TRUE())))</f>
        <v/>
      </c>
      <c r="AG115" s="133" t="str">
        <f aca="false">IF(ISBLANK($C115),"",IF(F115=Constants!$B$3,TRUE(),IF(F115=Constants!$B$4,FALSE(),TRUE())))</f>
        <v/>
      </c>
      <c r="AH115" s="133" t="str">
        <f aca="false">IF(ISBLANK($C115),"",IF(G115=Constants!$B$3,TRUE(),IF(G115=Constants!$B$4,FALSE(),TRUE())))</f>
        <v/>
      </c>
      <c r="AI115" s="133" t="str">
        <f aca="false">IF(ISBLANK($C115),"",IF(AND(ISNUMBER(H115),H115&gt;=0),H115,Constants!$B$29))</f>
        <v/>
      </c>
      <c r="AJ115" s="133" t="str">
        <f aca="false">IF(ISBLANK($C115),"",IF(I115=Constants!$B$3,TRUE(),IF(I115=Constants!$B$4,FALSE(),TRUE())))</f>
        <v/>
      </c>
      <c r="AK115" s="133" t="str">
        <f aca="false">IF(ISBLANK($C115),"",IF(J115=Constants!$B$3,TRUE(),IF(J115=Constants!$B$4,FALSE(),TRUE())))</f>
        <v/>
      </c>
      <c r="AL115" s="133" t="str">
        <f aca="false">IF(ISBLANK($C115),"",IF(K115=Constants!$B$5,TRUE(),IF(K115=Constants!$B$6,FALSE(),COUNTA(L115:P115)&gt;0)))</f>
        <v/>
      </c>
      <c r="AM115" s="134" t="str">
        <f aca="false">IF(ISBLANK($C115),"",IF(ISNUMBER(L115),IF(L115&gt;=0,L115,""),""))</f>
        <v/>
      </c>
      <c r="AN115" s="135" t="str">
        <f aca="false">IF(ISBLANK($C115),"",IF(ISNUMBER(M115),IF(M115&gt;=0,M115,""),""))</f>
        <v/>
      </c>
      <c r="AO115" s="135" t="str">
        <f aca="false">IF(ISBLANK($C115),"",IF(N115=Constants!$B$3,TRUE(),IF(N115=Constants!$B$4,FALSE(),TRUE())))</f>
        <v/>
      </c>
      <c r="AP115" s="133" t="str">
        <f aca="false">IF(ISBLANK($C115),"",IF(ISNUMBER(O115),IF(O115&gt;=0,O115,""),""))</f>
        <v/>
      </c>
      <c r="AQ115" s="133" t="str">
        <f aca="false">IF(ISBLANK($C115),"",IF(P115=Constants!$B$3,TRUE(),IF(P115=Constants!$B$4,FALSE(),FALSE())))</f>
        <v/>
      </c>
      <c r="AR115" s="133" t="str">
        <f aca="false">IF(ISBLANK($C115),"",IF(Q115=Constants!$B$3,TRUE(),IF(Q115=Constants!$B$4,FALSE(),TRUE())))</f>
        <v/>
      </c>
      <c r="AS115" s="133" t="str">
        <f aca="false">IF(ISBLANK($C115),"",IF(R115=Constants!$B$3,TRUE(),IF(R115=Constants!$B$4,FALSE(),TRUE())))</f>
        <v/>
      </c>
      <c r="AT115" s="133" t="str">
        <f aca="false">IF(ISBLANK($C115),"",IF(S115=Constants!$B$5,TRUE(),IF(S115=Constants!$B$6,FALSE(),COUNTA(T115:X115)&gt;0)))</f>
        <v/>
      </c>
      <c r="AU115" s="134" t="str">
        <f aca="false">IF(ISBLANK($C115),"",IF(ISNUMBER(T115),IF(T115&gt;=0,T115,""),""))</f>
        <v/>
      </c>
      <c r="AV115" s="135" t="str">
        <f aca="false">IF(ISBLANK($C115),"",IF(ISNUMBER(U115),IF(U115&gt;=0,U115,""),""))</f>
        <v/>
      </c>
      <c r="AW115" s="135" t="str">
        <f aca="false">IF(ISBLANK($C115),"",IF(V115=Constants!$B$3,TRUE(),IF(V115=Constants!$B$4,FALSE(),TRUE())))</f>
        <v/>
      </c>
      <c r="AX115" s="133" t="str">
        <f aca="false">IF(ISBLANK($C115),"",IF(ISNUMBER(W115),IF(W115&gt;=0,W115,""),""))</f>
        <v/>
      </c>
      <c r="AY115" s="133" t="str">
        <f aca="false">IF(ISBLANK($C115),"",IF(X115=Constants!$B$3,TRUE(),IF(X115=Constants!$B$4,FALSE(),FALSE())))</f>
        <v/>
      </c>
      <c r="AZ115" s="133" t="str">
        <f aca="false">IF(ISBLANK($C115),"",MIN(Constants!$B$31,MAX(0,IF(ISNUMBER(Y115),Y115*60,0)+IF(ISNUMBER(Z115),Z115,0))))</f>
        <v/>
      </c>
      <c r="BA115" s="133" t="str">
        <f aca="false">IF(ISBLANK($C115),"",IF(AA115=Constants!$B$3,TRUE(),IF(AA115=Constants!$B$4,FALSE(),FALSE())))</f>
        <v/>
      </c>
      <c r="BB115" s="132" t="str">
        <f aca="false">IF(ISBLANK($C115),"",AND($AL115,OR($AM115="",$AN115="",AND($AO115,$AP115=""))))</f>
        <v/>
      </c>
      <c r="BC115" s="135" t="str">
        <f aca="false">IF($BR115&lt;&gt;Constants!$B$8,"",IF($AL115,Constants!$B$21*$AN115+Constants!$B$22*IF($AO115,$AP115,Constants!$B$23),Constants!$B$24))</f>
        <v/>
      </c>
      <c r="BD115" s="136" t="str">
        <f aca="false">IF($BR115&lt;&gt;Constants!$B$8,"",Constants!$B$25*ABS($AD$9-IF($AL115,$AM115,0)))</f>
        <v/>
      </c>
      <c r="BE115" s="136" t="str">
        <f aca="false">IF($BR115&lt;&gt;Constants!$B$8,"",IF(AND($AL115,$AQ115,$AO115),Constants!$B$27,0))</f>
        <v/>
      </c>
      <c r="BF115" s="136" t="str">
        <f aca="false">IF($BR115&lt;&gt;Constants!$B$8,"",IF($AL115,($AI115-Constants!$B$29)*Constants!$B$28,0))</f>
        <v/>
      </c>
      <c r="BG115" s="136" t="str">
        <f aca="false">IF($BR115&lt;&gt;Constants!$B$8,"",IF($AK115,0,Constants!$B$15)+IF($AJ115,0,Constants!$B$16)+IF($AH115,0,Constants!$B$17))</f>
        <v/>
      </c>
      <c r="BH115" s="137" t="str">
        <f aca="false">IF($BR115&lt;&gt;Constants!$B$8,"",Constants!$B$20+SUM($BC115:$BG115))</f>
        <v/>
      </c>
      <c r="BI115" s="133" t="str">
        <f aca="false">IF($BR115&lt;&gt;Constants!$B$8,"",IF(OR($BP115&lt;$BH115,AND($BP115=$BH115,OR($BK115&lt;$BC115,AND($BK115=$BC115,OR($BL115&lt;$BD115,AND($BL115=$BD115,$AT115,$AL115,$AV115&lt;$AN115)))))),"-&gt;","&lt;-"))</f>
        <v/>
      </c>
      <c r="BJ115" s="132" t="str">
        <f aca="false">IF(ISBLANK($C115),"",AND($AT115,OR($AU115="",$AV115="",AND($AW115,$AX115=""))))</f>
        <v/>
      </c>
      <c r="BK115" s="135" t="str">
        <f aca="false">IF($BR115&lt;&gt;Constants!$B$8,"",IF($AT115,Constants!$B$21*$AV115+Constants!$B$22*IF($AW115,$AX115,Constants!$B$23),Constants!$B$24))</f>
        <v/>
      </c>
      <c r="BL115" s="136" t="str">
        <f aca="false">IF($BR115&lt;&gt;Constants!$B$8,"",Constants!$B$25*ABS($AD$9-IF($AT115,$AU115,0)))</f>
        <v/>
      </c>
      <c r="BM115" s="136" t="str">
        <f aca="false">IF($BR115&lt;&gt;Constants!$B$8,"",IF(AND($AT115,$AY115,$AW115),Constants!$B$27,0))</f>
        <v/>
      </c>
      <c r="BN115" s="136" t="str">
        <f aca="false">IF($BR115&lt;&gt;Constants!$B$8,"",IF($AT115,($AI115-Constants!$B$29)*Constants!$B$28,0))</f>
        <v/>
      </c>
      <c r="BO115" s="136" t="str">
        <f aca="false">IF($BR115&lt;&gt;Constants!$B$8,"",IF($AS115,0,Constants!$B$15)+IF($AR115,0,Constants!$B$16)+IF($AH115,0,Constants!$B$17))</f>
        <v/>
      </c>
      <c r="BP115" s="137" t="str">
        <f aca="false">IF($BR115&lt;&gt;Constants!$B$8,"",Constants!$B$20+SUM($BK115:$BO115))</f>
        <v/>
      </c>
      <c r="BQ115" s="133" t="str">
        <f aca="false">IF(ISBLANK($C115),"",IF(ISBLANK($D$7),$BQ$5,IF(NOT(ISNUMBER($D$7)),$BQ$6,"")))</f>
        <v/>
      </c>
      <c r="BR115" s="133" t="str">
        <f aca="false">IF(ISBLANK($C115),"",IF($BA115,Constants!$B$11,IF(COUNTA($E115:$AA115)=0,Constants!$B$10,IF(NOT($AG115),Constants!$B$9,IF(OR($BQ115&lt;&gt;"",$BB115,$BJ115),Constants!$B$12,Constants!$B$8)))))</f>
        <v/>
      </c>
      <c r="BS115" s="133" t="str">
        <f aca="false">IF(ISBLANK($C115),"",IF($BR115&lt;&gt;Constants!$B$8,$BR115,Constants!$B$13))</f>
        <v/>
      </c>
      <c r="BT115" s="136" t="str">
        <f aca="false">IF($BR115&lt;&gt;Constants!$B$8,"",IF($BI115="-&gt;",$BP115,$BH115))</f>
        <v/>
      </c>
      <c r="BU115" s="136" t="str">
        <f aca="false">IF($BR115&lt;&gt;Constants!$B$8,"",IF($AF115,0,Constants!$B$18))</f>
        <v/>
      </c>
      <c r="BV115" s="136" t="str">
        <f aca="false">IF($BR115&lt;&gt;Constants!$B$8,"",((Constants!$B$31-$AZ115)-Constants!$B$31)/Constants!$B$32)</f>
        <v/>
      </c>
      <c r="BW115" s="136" t="str">
        <f aca="false">IF(ISBLANK($C115),"",IF($BR115&lt;&gt;Constants!$B$8,$BR115,SUM($BT115:$BV115)))</f>
        <v/>
      </c>
      <c r="BX115" s="133" t="str">
        <f aca="false">IF(ISBLANK($C115),"",IF($BR115&lt;&gt;Constants!$B$8,$BR115,RANK($BW115,$BW$9:$BW$508,1)))</f>
        <v/>
      </c>
      <c r="BY115" s="136" t="str">
        <f aca="false">IF($BR115&lt;&gt;Constants!$B$8,"",IF($BI115="-&gt;",$BK115,$BC115))</f>
        <v/>
      </c>
      <c r="BZ115" s="133" t="str">
        <f aca="false">IF(ISBLANK($C115),"",IF($BR115&lt;&gt;Constants!$B$8,$BR115,IF(ISNUMBER($BY115),RANK($BY115,$BY$9:$BY$508,1),COUNT($BY$9:$BY$508)+1)))</f>
        <v/>
      </c>
      <c r="CA115" s="136" t="str">
        <f aca="false">IF($BR115&lt;&gt;Constants!$B$8,"",IF($BI115="-&gt;",$BL115,$BD115))</f>
        <v/>
      </c>
      <c r="CB115" s="133" t="str">
        <f aca="false">IF(ISBLANK($C115),"",IF($BR115&lt;&gt;Constants!$B$8,$BR115,IF(ISNUMBER($CA115),RANK($CA115,$CA$9:$CA$508,1),COUNT($CA$9:$CA$508)+1)))</f>
        <v/>
      </c>
      <c r="CC115" s="136" t="str">
        <f aca="false">IF($BR115&lt;&gt;Constants!$B$8,"",IF($BI115="-&gt;",IF($AT115,$AV115,""),IF($AL115,$AN115,"")))</f>
        <v/>
      </c>
      <c r="CD115" s="133" t="str">
        <f aca="false">IF(ISBLANK($C115),"",IF($BR115&lt;&gt;Constants!$B$8,$BR115,IF(ISNUMBER($CC115),RANK($CC115,$CC$9:$CC$508,1),COUNT($CC$9:$CC$508)+1)))</f>
        <v/>
      </c>
      <c r="CE115" s="136" t="str">
        <f aca="false">IF($BR115&lt;&gt;Constants!$B$8,"",IF(AND(NOT($AL115),NOT($AT115),$AJ115,$AK115,$AR115,$AS115),"",$AI115))</f>
        <v/>
      </c>
      <c r="CF115" s="133" t="str">
        <f aca="false">IF(ISBLANK($C115),"",IF($BR115&lt;&gt;Constants!$B$8,$BR115,IF(ISNUMBER($CE115),RANK($CE115,$CE$9:$CE$508,1),COUNT($CE$9:$CE$508)+1)))</f>
        <v/>
      </c>
      <c r="CG115" s="133" t="str">
        <f aca="false">IF(ISBLANK($C115),"",IF($BR115&lt;&gt;Constants!$B$8,$BR115,COUNTIFS($BX$9:$BX$508,"&lt;"&amp;$BX115)+COUNTIFS($BX$9:$BX$508,$BX115,$BZ$9:$BZ$508,"&lt;"&amp;$BZ115)+COUNTIFS($BX$9:$BX$508,$BX115,$BZ$9:$BZ$508,$BZ115,$CB$9:$CB$508,"&lt;"&amp;$CB115)+COUNTIFS($BX$9:$BX$508,$BX115,$BZ$9:$BZ$508,$BZ115,$CB$9:$CB$508,$CB115,$CD$9:$CD$508,"&lt;"&amp;$CD115)+COUNTIFS($BX$9:$BX$508,$BX115,$BZ$9:$BZ$508,$BZ115,$CB$9:$CB$508,$CB115,$CD$9:$CD$508,$CD115,$CF$9:$CF$508,"&lt;"&amp;$CF115)+1))</f>
        <v/>
      </c>
      <c r="CH115" s="133" t="str">
        <f aca="false">IF(ISBLANK($C115),"",IF($BR115&lt;&gt;Constants!$B$8,$BR115,$BX115-$CG115))</f>
        <v/>
      </c>
      <c r="CI115" s="138"/>
      <c r="CJ115" s="139"/>
      <c r="CK115" s="140" t="str">
        <f aca="false">IF(ISBLANK($C115),"",IF($BR115=Constants!$B$12,$BQ115,""))</f>
        <v/>
      </c>
      <c r="CL115" s="139" t="str">
        <f aca="false">IF(ISBLANK($C115),"",IF($BR115&lt;&gt;Constants!$B$8,"",IF($BI115="-&gt;",2,1)))</f>
        <v/>
      </c>
      <c r="CM115" s="141" t="str">
        <f aca="false">IF(ISBLANK($C115),"",IF($BR115&lt;&gt;Constants!$B$8,"",IF($BI115="-&gt;",$BK115,$BC115)))</f>
        <v/>
      </c>
      <c r="CN115" s="141" t="str">
        <f aca="false">IF(ISBLANK($C115),"",IF($BR115&lt;&gt;Constants!$B$8,"",IF($BI115="-&gt;",$BL115,$BD115)))</f>
        <v/>
      </c>
      <c r="CO115" s="141" t="str">
        <f aca="false">IF(ISBLANK($C115),"",IF($BR115&lt;&gt;Constants!$B$8,"",IF($BI115="-&gt;",$BM115+$BN115,$BE115+$BF115)+$BV115))</f>
        <v/>
      </c>
      <c r="CP115" s="141" t="str">
        <f aca="false">IF(ISBLANK($C115),"",IF($BR115&lt;&gt;Constants!$B$8,"",IF($BI115="-&gt;",$BO115,$BG115)+$BU115))</f>
        <v/>
      </c>
      <c r="CQ115" s="142" t="str">
        <f aca="false">IF(ISBLANK($C115),"",IF($BR115&lt;&gt;Constants!$B$8,$BR115,$BW115))</f>
        <v/>
      </c>
      <c r="CR115" s="143" t="str">
        <f aca="false">IF(ISBLANK($C115),"",$BS115)</f>
        <v/>
      </c>
      <c r="CS115" s="144" t="str">
        <f aca="false">IF(ISBLANK($C115),"",$CH115)</f>
        <v/>
      </c>
      <c r="CT115" s="144" t="str">
        <f aca="false">IF(ISBLANK($C115),"",$CG115)</f>
        <v/>
      </c>
      <c r="CU115" s="145" t="str">
        <f aca="false">IF(ISBLANK($C115),"",IFERROR(_xlfn.SWITCH($CT115,Constants!$B$11,COUNTA($C$9:$C$508)+2,Constants!$B$10,COUNTA($C$9:$C$508)+1,Constants!$B$9,COUNTA($C$9:$C$508)),$CT115))</f>
        <v/>
      </c>
      <c r="CV115" s="9"/>
      <c r="CW115" s="146" t="n">
        <f aca="false">IF(OR(ISNUMBER($CT115),$CT115=Constants!$B$11,$CT115=Constants!$B$9,$CT115=Constants!$B$10),1,0)</f>
        <v>0</v>
      </c>
      <c r="CX115" s="146" t="n">
        <v>107</v>
      </c>
      <c r="CY115" s="146" t="str">
        <f aca="false">IF(ISBLANK($C115),"",IF(ISNUMBER($CU115),$CU115+ROW($B115)/1000,""))</f>
        <v/>
      </c>
      <c r="CZ115" s="146" t="str">
        <f aca="false">IF(ISNUMBER($CY115),RANK($CY115,$CY$9:$CY$508,1),"")</f>
        <v/>
      </c>
      <c r="DA115" s="146" t="str">
        <f aca="false">IF(ISBLANK($C115),"",$B115)</f>
        <v/>
      </c>
      <c r="DB115" s="146" t="str">
        <f aca="false">IF(ISBLANK($C115),"",$C115)</f>
        <v/>
      </c>
      <c r="DC115" s="146" t="str">
        <f aca="false">IF(ISBLANK($C115),"",$D115)</f>
        <v/>
      </c>
      <c r="DD115" s="147" t="str">
        <f aca="false">$CR115</f>
        <v/>
      </c>
      <c r="DE115" s="148" t="str">
        <f aca="false">$CQ115</f>
        <v/>
      </c>
      <c r="DF115" s="146" t="str">
        <f aca="false">IF(ISBLANK($C115),"",$CT115)</f>
        <v/>
      </c>
      <c r="DG115" s="149" t="str">
        <f aca="false">IF($CX115&gt;$CW$8,"",VLOOKUP($CX115,$CZ$9:$DF$508,7,FALSE()))</f>
        <v/>
      </c>
      <c r="DH115" s="150" t="str">
        <f aca="false">IF($CX115&gt;$CW$8,"",VLOOKUP($CX115,$CZ$9:$DF$508,2,FALSE()))</f>
        <v/>
      </c>
      <c r="DI115" s="150" t="str">
        <f aca="false">IF($CX115&gt;$CW$8,"",VLOOKUP($CX115,$CZ$9:$DF$508,3,FALSE()))</f>
        <v/>
      </c>
      <c r="DJ115" s="150" t="str">
        <f aca="false">IF($CX115&gt;$CW$8,"",VLOOKUP($CX115,$CZ$9:$DF$508,4,FALSE()))</f>
        <v/>
      </c>
      <c r="DK115" s="150" t="str">
        <f aca="false">IF($CX115&gt;$CW$8,"",VLOOKUP($CX115,$CZ$9:$DF$508,5,FALSE()))</f>
        <v/>
      </c>
      <c r="DL115" s="151" t="str">
        <f aca="false">IF($CX115&gt;$CW$8,"",VLOOKUP($CX115,$CZ$9:$DF$508,6,FALSE()))</f>
        <v/>
      </c>
      <c r="DM115" s="75"/>
    </row>
    <row r="116" customFormat="false" ht="15.75" hidden="false" customHeight="false" outlineLevel="0" collapsed="false">
      <c r="A116" s="9"/>
      <c r="B116" s="157"/>
      <c r="C116" s="158"/>
      <c r="D116" s="159"/>
      <c r="E116" s="177"/>
      <c r="F116" s="161"/>
      <c r="G116" s="162"/>
      <c r="H116" s="162"/>
      <c r="I116" s="178"/>
      <c r="J116" s="165"/>
      <c r="K116" s="126"/>
      <c r="L116" s="127"/>
      <c r="M116" s="128"/>
      <c r="N116" s="165"/>
      <c r="O116" s="165"/>
      <c r="P116" s="177"/>
      <c r="Q116" s="165"/>
      <c r="R116" s="165"/>
      <c r="S116" s="126"/>
      <c r="T116" s="128"/>
      <c r="U116" s="128"/>
      <c r="V116" s="165"/>
      <c r="W116" s="165"/>
      <c r="X116" s="177"/>
      <c r="Y116" s="165"/>
      <c r="Z116" s="166"/>
      <c r="AA116" s="165"/>
      <c r="AB116" s="132"/>
      <c r="AC116" s="133"/>
      <c r="AD116" s="133"/>
      <c r="AE116" s="133"/>
      <c r="AF116" s="133" t="str">
        <f aca="false">IF(ISBLANK($C116),"",IF(E116=Constants!$B$3,TRUE(),IF(E116=Constants!$B$4,FALSE(),TRUE())))</f>
        <v/>
      </c>
      <c r="AG116" s="133" t="str">
        <f aca="false">IF(ISBLANK($C116),"",IF(F116=Constants!$B$3,TRUE(),IF(F116=Constants!$B$4,FALSE(),TRUE())))</f>
        <v/>
      </c>
      <c r="AH116" s="133" t="str">
        <f aca="false">IF(ISBLANK($C116),"",IF(G116=Constants!$B$3,TRUE(),IF(G116=Constants!$B$4,FALSE(),TRUE())))</f>
        <v/>
      </c>
      <c r="AI116" s="133" t="str">
        <f aca="false">IF(ISBLANK($C116),"",IF(AND(ISNUMBER(H116),H116&gt;=0),H116,Constants!$B$29))</f>
        <v/>
      </c>
      <c r="AJ116" s="133" t="str">
        <f aca="false">IF(ISBLANK($C116),"",IF(I116=Constants!$B$3,TRUE(),IF(I116=Constants!$B$4,FALSE(),TRUE())))</f>
        <v/>
      </c>
      <c r="AK116" s="133" t="str">
        <f aca="false">IF(ISBLANK($C116),"",IF(J116=Constants!$B$3,TRUE(),IF(J116=Constants!$B$4,FALSE(),TRUE())))</f>
        <v/>
      </c>
      <c r="AL116" s="133" t="str">
        <f aca="false">IF(ISBLANK($C116),"",IF(K116=Constants!$B$5,TRUE(),IF(K116=Constants!$B$6,FALSE(),COUNTA(L116:P116)&gt;0)))</f>
        <v/>
      </c>
      <c r="AM116" s="134" t="str">
        <f aca="false">IF(ISBLANK($C116),"",IF(ISNUMBER(L116),IF(L116&gt;=0,L116,""),""))</f>
        <v/>
      </c>
      <c r="AN116" s="135" t="str">
        <f aca="false">IF(ISBLANK($C116),"",IF(ISNUMBER(M116),IF(M116&gt;=0,M116,""),""))</f>
        <v/>
      </c>
      <c r="AO116" s="135" t="str">
        <f aca="false">IF(ISBLANK($C116),"",IF(N116=Constants!$B$3,TRUE(),IF(N116=Constants!$B$4,FALSE(),TRUE())))</f>
        <v/>
      </c>
      <c r="AP116" s="133" t="str">
        <f aca="false">IF(ISBLANK($C116),"",IF(ISNUMBER(O116),IF(O116&gt;=0,O116,""),""))</f>
        <v/>
      </c>
      <c r="AQ116" s="133" t="str">
        <f aca="false">IF(ISBLANK($C116),"",IF(P116=Constants!$B$3,TRUE(),IF(P116=Constants!$B$4,FALSE(),FALSE())))</f>
        <v/>
      </c>
      <c r="AR116" s="133" t="str">
        <f aca="false">IF(ISBLANK($C116),"",IF(Q116=Constants!$B$3,TRUE(),IF(Q116=Constants!$B$4,FALSE(),TRUE())))</f>
        <v/>
      </c>
      <c r="AS116" s="133" t="str">
        <f aca="false">IF(ISBLANK($C116),"",IF(R116=Constants!$B$3,TRUE(),IF(R116=Constants!$B$4,FALSE(),TRUE())))</f>
        <v/>
      </c>
      <c r="AT116" s="133" t="str">
        <f aca="false">IF(ISBLANK($C116),"",IF(S116=Constants!$B$5,TRUE(),IF(S116=Constants!$B$6,FALSE(),COUNTA(T116:X116)&gt;0)))</f>
        <v/>
      </c>
      <c r="AU116" s="134" t="str">
        <f aca="false">IF(ISBLANK($C116),"",IF(ISNUMBER(T116),IF(T116&gt;=0,T116,""),""))</f>
        <v/>
      </c>
      <c r="AV116" s="135" t="str">
        <f aca="false">IF(ISBLANK($C116),"",IF(ISNUMBER(U116),IF(U116&gt;=0,U116,""),""))</f>
        <v/>
      </c>
      <c r="AW116" s="135" t="str">
        <f aca="false">IF(ISBLANK($C116),"",IF(V116=Constants!$B$3,TRUE(),IF(V116=Constants!$B$4,FALSE(),TRUE())))</f>
        <v/>
      </c>
      <c r="AX116" s="133" t="str">
        <f aca="false">IF(ISBLANK($C116),"",IF(ISNUMBER(W116),IF(W116&gt;=0,W116,""),""))</f>
        <v/>
      </c>
      <c r="AY116" s="133" t="str">
        <f aca="false">IF(ISBLANK($C116),"",IF(X116=Constants!$B$3,TRUE(),IF(X116=Constants!$B$4,FALSE(),FALSE())))</f>
        <v/>
      </c>
      <c r="AZ116" s="133" t="str">
        <f aca="false">IF(ISBLANK($C116),"",MIN(Constants!$B$31,MAX(0,IF(ISNUMBER(Y116),Y116*60,0)+IF(ISNUMBER(Z116),Z116,0))))</f>
        <v/>
      </c>
      <c r="BA116" s="133" t="str">
        <f aca="false">IF(ISBLANK($C116),"",IF(AA116=Constants!$B$3,TRUE(),IF(AA116=Constants!$B$4,FALSE(),FALSE())))</f>
        <v/>
      </c>
      <c r="BB116" s="132" t="str">
        <f aca="false">IF(ISBLANK($C116),"",AND($AL116,OR($AM116="",$AN116="",AND($AO116,$AP116=""))))</f>
        <v/>
      </c>
      <c r="BC116" s="135" t="str">
        <f aca="false">IF($BR116&lt;&gt;Constants!$B$8,"",IF($AL116,Constants!$B$21*$AN116+Constants!$B$22*IF($AO116,$AP116,Constants!$B$23),Constants!$B$24))</f>
        <v/>
      </c>
      <c r="BD116" s="136" t="str">
        <f aca="false">IF($BR116&lt;&gt;Constants!$B$8,"",Constants!$B$25*ABS($AD$9-IF($AL116,$AM116,0)))</f>
        <v/>
      </c>
      <c r="BE116" s="136" t="str">
        <f aca="false">IF($BR116&lt;&gt;Constants!$B$8,"",IF(AND($AL116,$AQ116,$AO116),Constants!$B$27,0))</f>
        <v/>
      </c>
      <c r="BF116" s="136" t="str">
        <f aca="false">IF($BR116&lt;&gt;Constants!$B$8,"",IF($AL116,($AI116-Constants!$B$29)*Constants!$B$28,0))</f>
        <v/>
      </c>
      <c r="BG116" s="136" t="str">
        <f aca="false">IF($BR116&lt;&gt;Constants!$B$8,"",IF($AK116,0,Constants!$B$15)+IF($AJ116,0,Constants!$B$16)+IF($AH116,0,Constants!$B$17))</f>
        <v/>
      </c>
      <c r="BH116" s="137" t="str">
        <f aca="false">IF($BR116&lt;&gt;Constants!$B$8,"",Constants!$B$20+SUM($BC116:$BG116))</f>
        <v/>
      </c>
      <c r="BI116" s="133" t="str">
        <f aca="false">IF($BR116&lt;&gt;Constants!$B$8,"",IF(OR($BP116&lt;$BH116,AND($BP116=$BH116,OR($BK116&lt;$BC116,AND($BK116=$BC116,OR($BL116&lt;$BD116,AND($BL116=$BD116,$AT116,$AL116,$AV116&lt;$AN116)))))),"-&gt;","&lt;-"))</f>
        <v/>
      </c>
      <c r="BJ116" s="132" t="str">
        <f aca="false">IF(ISBLANK($C116),"",AND($AT116,OR($AU116="",$AV116="",AND($AW116,$AX116=""))))</f>
        <v/>
      </c>
      <c r="BK116" s="135" t="str">
        <f aca="false">IF($BR116&lt;&gt;Constants!$B$8,"",IF($AT116,Constants!$B$21*$AV116+Constants!$B$22*IF($AW116,$AX116,Constants!$B$23),Constants!$B$24))</f>
        <v/>
      </c>
      <c r="BL116" s="136" t="str">
        <f aca="false">IF($BR116&lt;&gt;Constants!$B$8,"",Constants!$B$25*ABS($AD$9-IF($AT116,$AU116,0)))</f>
        <v/>
      </c>
      <c r="BM116" s="136" t="str">
        <f aca="false">IF($BR116&lt;&gt;Constants!$B$8,"",IF(AND($AT116,$AY116,$AW116),Constants!$B$27,0))</f>
        <v/>
      </c>
      <c r="BN116" s="136" t="str">
        <f aca="false">IF($BR116&lt;&gt;Constants!$B$8,"",IF($AT116,($AI116-Constants!$B$29)*Constants!$B$28,0))</f>
        <v/>
      </c>
      <c r="BO116" s="136" t="str">
        <f aca="false">IF($BR116&lt;&gt;Constants!$B$8,"",IF($AS116,0,Constants!$B$15)+IF($AR116,0,Constants!$B$16)+IF($AH116,0,Constants!$B$17))</f>
        <v/>
      </c>
      <c r="BP116" s="137" t="str">
        <f aca="false">IF($BR116&lt;&gt;Constants!$B$8,"",Constants!$B$20+SUM($BK116:$BO116))</f>
        <v/>
      </c>
      <c r="BQ116" s="133" t="str">
        <f aca="false">IF(ISBLANK($C116),"",IF(ISBLANK($D$7),$BQ$5,IF(NOT(ISNUMBER($D$7)),$BQ$6,"")))</f>
        <v/>
      </c>
      <c r="BR116" s="133" t="str">
        <f aca="false">IF(ISBLANK($C116),"",IF($BA116,Constants!$B$11,IF(COUNTA($E116:$AA116)=0,Constants!$B$10,IF(NOT($AG116),Constants!$B$9,IF(OR($BQ116&lt;&gt;"",$BB116,$BJ116),Constants!$B$12,Constants!$B$8)))))</f>
        <v/>
      </c>
      <c r="BS116" s="133" t="str">
        <f aca="false">IF(ISBLANK($C116),"",IF($BR116&lt;&gt;Constants!$B$8,$BR116,Constants!$B$13))</f>
        <v/>
      </c>
      <c r="BT116" s="136" t="str">
        <f aca="false">IF($BR116&lt;&gt;Constants!$B$8,"",IF($BI116="-&gt;",$BP116,$BH116))</f>
        <v/>
      </c>
      <c r="BU116" s="136" t="str">
        <f aca="false">IF($BR116&lt;&gt;Constants!$B$8,"",IF($AF116,0,Constants!$B$18))</f>
        <v/>
      </c>
      <c r="BV116" s="136" t="str">
        <f aca="false">IF($BR116&lt;&gt;Constants!$B$8,"",((Constants!$B$31-$AZ116)-Constants!$B$31)/Constants!$B$32)</f>
        <v/>
      </c>
      <c r="BW116" s="136" t="str">
        <f aca="false">IF(ISBLANK($C116),"",IF($BR116&lt;&gt;Constants!$B$8,$BR116,SUM($BT116:$BV116)))</f>
        <v/>
      </c>
      <c r="BX116" s="133" t="str">
        <f aca="false">IF(ISBLANK($C116),"",IF($BR116&lt;&gt;Constants!$B$8,$BR116,RANK($BW116,$BW$9:$BW$508,1)))</f>
        <v/>
      </c>
      <c r="BY116" s="136" t="str">
        <f aca="false">IF($BR116&lt;&gt;Constants!$B$8,"",IF($BI116="-&gt;",$BK116,$BC116))</f>
        <v/>
      </c>
      <c r="BZ116" s="133" t="str">
        <f aca="false">IF(ISBLANK($C116),"",IF($BR116&lt;&gt;Constants!$B$8,$BR116,IF(ISNUMBER($BY116),RANK($BY116,$BY$9:$BY$508,1),COUNT($BY$9:$BY$508)+1)))</f>
        <v/>
      </c>
      <c r="CA116" s="136" t="str">
        <f aca="false">IF($BR116&lt;&gt;Constants!$B$8,"",IF($BI116="-&gt;",$BL116,$BD116))</f>
        <v/>
      </c>
      <c r="CB116" s="133" t="str">
        <f aca="false">IF(ISBLANK($C116),"",IF($BR116&lt;&gt;Constants!$B$8,$BR116,IF(ISNUMBER($CA116),RANK($CA116,$CA$9:$CA$508,1),COUNT($CA$9:$CA$508)+1)))</f>
        <v/>
      </c>
      <c r="CC116" s="136" t="str">
        <f aca="false">IF($BR116&lt;&gt;Constants!$B$8,"",IF($BI116="-&gt;",IF($AT116,$AV116,""),IF($AL116,$AN116,"")))</f>
        <v/>
      </c>
      <c r="CD116" s="133" t="str">
        <f aca="false">IF(ISBLANK($C116),"",IF($BR116&lt;&gt;Constants!$B$8,$BR116,IF(ISNUMBER($CC116),RANK($CC116,$CC$9:$CC$508,1),COUNT($CC$9:$CC$508)+1)))</f>
        <v/>
      </c>
      <c r="CE116" s="136" t="str">
        <f aca="false">IF($BR116&lt;&gt;Constants!$B$8,"",IF(AND(NOT($AL116),NOT($AT116),$AJ116,$AK116,$AR116,$AS116),"",$AI116))</f>
        <v/>
      </c>
      <c r="CF116" s="133" t="str">
        <f aca="false">IF(ISBLANK($C116),"",IF($BR116&lt;&gt;Constants!$B$8,$BR116,IF(ISNUMBER($CE116),RANK($CE116,$CE$9:$CE$508,1),COUNT($CE$9:$CE$508)+1)))</f>
        <v/>
      </c>
      <c r="CG116" s="133" t="str">
        <f aca="false">IF(ISBLANK($C116),"",IF($BR116&lt;&gt;Constants!$B$8,$BR116,COUNTIFS($BX$9:$BX$508,"&lt;"&amp;$BX116)+COUNTIFS($BX$9:$BX$508,$BX116,$BZ$9:$BZ$508,"&lt;"&amp;$BZ116)+COUNTIFS($BX$9:$BX$508,$BX116,$BZ$9:$BZ$508,$BZ116,$CB$9:$CB$508,"&lt;"&amp;$CB116)+COUNTIFS($BX$9:$BX$508,$BX116,$BZ$9:$BZ$508,$BZ116,$CB$9:$CB$508,$CB116,$CD$9:$CD$508,"&lt;"&amp;$CD116)+COUNTIFS($BX$9:$BX$508,$BX116,$BZ$9:$BZ$508,$BZ116,$CB$9:$CB$508,$CB116,$CD$9:$CD$508,$CD116,$CF$9:$CF$508,"&lt;"&amp;$CF116)+1))</f>
        <v/>
      </c>
      <c r="CH116" s="133" t="str">
        <f aca="false">IF(ISBLANK($C116),"",IF($BR116&lt;&gt;Constants!$B$8,$BR116,$BX116-$CG116))</f>
        <v/>
      </c>
      <c r="CI116" s="138"/>
      <c r="CJ116" s="139"/>
      <c r="CK116" s="140" t="str">
        <f aca="false">IF(ISBLANK($C116),"",IF($BR116=Constants!$B$12,$BQ116,""))</f>
        <v/>
      </c>
      <c r="CL116" s="139" t="str">
        <f aca="false">IF(ISBLANK($C116),"",IF($BR116&lt;&gt;Constants!$B$8,"",IF($BI116="-&gt;",2,1)))</f>
        <v/>
      </c>
      <c r="CM116" s="141" t="str">
        <f aca="false">IF(ISBLANK($C116),"",IF($BR116&lt;&gt;Constants!$B$8,"",IF($BI116="-&gt;",$BK116,$BC116)))</f>
        <v/>
      </c>
      <c r="CN116" s="141" t="str">
        <f aca="false">IF(ISBLANK($C116),"",IF($BR116&lt;&gt;Constants!$B$8,"",IF($BI116="-&gt;",$BL116,$BD116)))</f>
        <v/>
      </c>
      <c r="CO116" s="141" t="str">
        <f aca="false">IF(ISBLANK($C116),"",IF($BR116&lt;&gt;Constants!$B$8,"",IF($BI116="-&gt;",$BM116+$BN116,$BE116+$BF116)+$BV116))</f>
        <v/>
      </c>
      <c r="CP116" s="141" t="str">
        <f aca="false">IF(ISBLANK($C116),"",IF($BR116&lt;&gt;Constants!$B$8,"",IF($BI116="-&gt;",$BO116,$BG116)+$BU116))</f>
        <v/>
      </c>
      <c r="CQ116" s="142" t="str">
        <f aca="false">IF(ISBLANK($C116),"",IF($BR116&lt;&gt;Constants!$B$8,$BR116,$BW116))</f>
        <v/>
      </c>
      <c r="CR116" s="143" t="str">
        <f aca="false">IF(ISBLANK($C116),"",$BS116)</f>
        <v/>
      </c>
      <c r="CS116" s="144" t="str">
        <f aca="false">IF(ISBLANK($C116),"",$CH116)</f>
        <v/>
      </c>
      <c r="CT116" s="144" t="str">
        <f aca="false">IF(ISBLANK($C116),"",$CG116)</f>
        <v/>
      </c>
      <c r="CU116" s="145" t="str">
        <f aca="false">IF(ISBLANK($C116),"",IFERROR(_xlfn.SWITCH($CT116,Constants!$B$11,COUNTA($C$9:$C$508)+2,Constants!$B$10,COUNTA($C$9:$C$508)+1,Constants!$B$9,COUNTA($C$9:$C$508)),$CT116))</f>
        <v/>
      </c>
      <c r="CV116" s="9"/>
      <c r="CW116" s="146" t="n">
        <f aca="false">IF(OR(ISNUMBER($CT116),$CT116=Constants!$B$11,$CT116=Constants!$B$9,$CT116=Constants!$B$10),1,0)</f>
        <v>0</v>
      </c>
      <c r="CX116" s="146" t="n">
        <v>108</v>
      </c>
      <c r="CY116" s="146" t="str">
        <f aca="false">IF(ISBLANK($C116),"",IF(ISNUMBER($CU116),$CU116+ROW($B116)/1000,""))</f>
        <v/>
      </c>
      <c r="CZ116" s="146" t="str">
        <f aca="false">IF(ISNUMBER($CY116),RANK($CY116,$CY$9:$CY$508,1),"")</f>
        <v/>
      </c>
      <c r="DA116" s="146" t="str">
        <f aca="false">IF(ISBLANK($C116),"",$B116)</f>
        <v/>
      </c>
      <c r="DB116" s="146" t="str">
        <f aca="false">IF(ISBLANK($C116),"",$C116)</f>
        <v/>
      </c>
      <c r="DC116" s="146" t="str">
        <f aca="false">IF(ISBLANK($C116),"",$D116)</f>
        <v/>
      </c>
      <c r="DD116" s="147" t="str">
        <f aca="false">$CR116</f>
        <v/>
      </c>
      <c r="DE116" s="148" t="str">
        <f aca="false">$CQ116</f>
        <v/>
      </c>
      <c r="DF116" s="146" t="str">
        <f aca="false">IF(ISBLANK($C116),"",$CT116)</f>
        <v/>
      </c>
      <c r="DG116" s="149" t="str">
        <f aca="false">IF($CX116&gt;$CW$8,"",VLOOKUP($CX116,$CZ$9:$DF$508,7,FALSE()))</f>
        <v/>
      </c>
      <c r="DH116" s="150" t="str">
        <f aca="false">IF($CX116&gt;$CW$8,"",VLOOKUP($CX116,$CZ$9:$DF$508,2,FALSE()))</f>
        <v/>
      </c>
      <c r="DI116" s="150" t="str">
        <f aca="false">IF($CX116&gt;$CW$8,"",VLOOKUP($CX116,$CZ$9:$DF$508,3,FALSE()))</f>
        <v/>
      </c>
      <c r="DJ116" s="150" t="str">
        <f aca="false">IF($CX116&gt;$CW$8,"",VLOOKUP($CX116,$CZ$9:$DF$508,4,FALSE()))</f>
        <v/>
      </c>
      <c r="DK116" s="150" t="str">
        <f aca="false">IF($CX116&gt;$CW$8,"",VLOOKUP($CX116,$CZ$9:$DF$508,5,FALSE()))</f>
        <v/>
      </c>
      <c r="DL116" s="151" t="str">
        <f aca="false">IF($CX116&gt;$CW$8,"",VLOOKUP($CX116,$CZ$9:$DF$508,6,FALSE()))</f>
        <v/>
      </c>
      <c r="DM116" s="75"/>
    </row>
    <row r="117" customFormat="false" ht="15.75" hidden="false" customHeight="false" outlineLevel="0" collapsed="false">
      <c r="A117" s="9"/>
      <c r="B117" s="77"/>
      <c r="C117" s="78"/>
      <c r="D117" s="167"/>
      <c r="E117" s="175"/>
      <c r="F117" s="169"/>
      <c r="G117" s="170"/>
      <c r="H117" s="170"/>
      <c r="I117" s="176"/>
      <c r="J117" s="173"/>
      <c r="K117" s="85"/>
      <c r="L117" s="86"/>
      <c r="M117" s="87"/>
      <c r="N117" s="173"/>
      <c r="O117" s="173"/>
      <c r="P117" s="175"/>
      <c r="Q117" s="173"/>
      <c r="R117" s="173"/>
      <c r="S117" s="85"/>
      <c r="T117" s="87"/>
      <c r="U117" s="87"/>
      <c r="V117" s="173"/>
      <c r="W117" s="173"/>
      <c r="X117" s="175"/>
      <c r="Y117" s="173"/>
      <c r="Z117" s="174"/>
      <c r="AA117" s="173"/>
      <c r="AB117" s="91"/>
      <c r="AC117" s="92"/>
      <c r="AD117" s="92"/>
      <c r="AE117" s="92"/>
      <c r="AF117" s="92" t="str">
        <f aca="false">IF(ISBLANK($C117),"",IF(E117=Constants!$B$3,TRUE(),IF(E117=Constants!$B$4,FALSE(),TRUE())))</f>
        <v/>
      </c>
      <c r="AG117" s="92" t="str">
        <f aca="false">IF(ISBLANK($C117),"",IF(F117=Constants!$B$3,TRUE(),IF(F117=Constants!$B$4,FALSE(),TRUE())))</f>
        <v/>
      </c>
      <c r="AH117" s="92" t="str">
        <f aca="false">IF(ISBLANK($C117),"",IF(G117=Constants!$B$3,TRUE(),IF(G117=Constants!$B$4,FALSE(),TRUE())))</f>
        <v/>
      </c>
      <c r="AI117" s="92" t="str">
        <f aca="false">IF(ISBLANK($C117),"",IF(AND(ISNUMBER(H117),H117&gt;=0),H117,Constants!$B$29))</f>
        <v/>
      </c>
      <c r="AJ117" s="92" t="str">
        <f aca="false">IF(ISBLANK($C117),"",IF(I117=Constants!$B$3,TRUE(),IF(I117=Constants!$B$4,FALSE(),TRUE())))</f>
        <v/>
      </c>
      <c r="AK117" s="92" t="str">
        <f aca="false">IF(ISBLANK($C117),"",IF(J117=Constants!$B$3,TRUE(),IF(J117=Constants!$B$4,FALSE(),TRUE())))</f>
        <v/>
      </c>
      <c r="AL117" s="92" t="str">
        <f aca="false">IF(ISBLANK($C117),"",IF(K117=Constants!$B$5,TRUE(),IF(K117=Constants!$B$6,FALSE(),COUNTA(L117:P117)&gt;0)))</f>
        <v/>
      </c>
      <c r="AM117" s="94" t="str">
        <f aca="false">IF(ISBLANK($C117),"",IF(ISNUMBER(L117),IF(L117&gt;=0,L117,""),""))</f>
        <v/>
      </c>
      <c r="AN117" s="93" t="str">
        <f aca="false">IF(ISBLANK($C117),"",IF(ISNUMBER(M117),IF(M117&gt;=0,M117,""),""))</f>
        <v/>
      </c>
      <c r="AO117" s="93" t="str">
        <f aca="false">IF(ISBLANK($C117),"",IF(N117=Constants!$B$3,TRUE(),IF(N117=Constants!$B$4,FALSE(),TRUE())))</f>
        <v/>
      </c>
      <c r="AP117" s="92" t="str">
        <f aca="false">IF(ISBLANK($C117),"",IF(ISNUMBER(O117),IF(O117&gt;=0,O117,""),""))</f>
        <v/>
      </c>
      <c r="AQ117" s="92" t="str">
        <f aca="false">IF(ISBLANK($C117),"",IF(P117=Constants!$B$3,TRUE(),IF(P117=Constants!$B$4,FALSE(),FALSE())))</f>
        <v/>
      </c>
      <c r="AR117" s="92" t="str">
        <f aca="false">IF(ISBLANK($C117),"",IF(Q117=Constants!$B$3,TRUE(),IF(Q117=Constants!$B$4,FALSE(),TRUE())))</f>
        <v/>
      </c>
      <c r="AS117" s="92" t="str">
        <f aca="false">IF(ISBLANK($C117),"",IF(R117=Constants!$B$3,TRUE(),IF(R117=Constants!$B$4,FALSE(),TRUE())))</f>
        <v/>
      </c>
      <c r="AT117" s="92" t="str">
        <f aca="false">IF(ISBLANK($C117),"",IF(S117=Constants!$B$5,TRUE(),IF(S117=Constants!$B$6,FALSE(),COUNTA(T117:X117)&gt;0)))</f>
        <v/>
      </c>
      <c r="AU117" s="94" t="str">
        <f aca="false">IF(ISBLANK($C117),"",IF(ISNUMBER(T117),IF(T117&gt;=0,T117,""),""))</f>
        <v/>
      </c>
      <c r="AV117" s="93" t="str">
        <f aca="false">IF(ISBLANK($C117),"",IF(ISNUMBER(U117),IF(U117&gt;=0,U117,""),""))</f>
        <v/>
      </c>
      <c r="AW117" s="93" t="str">
        <f aca="false">IF(ISBLANK($C117),"",IF(V117=Constants!$B$3,TRUE(),IF(V117=Constants!$B$4,FALSE(),TRUE())))</f>
        <v/>
      </c>
      <c r="AX117" s="92" t="str">
        <f aca="false">IF(ISBLANK($C117),"",IF(ISNUMBER(W117),IF(W117&gt;=0,W117,""),""))</f>
        <v/>
      </c>
      <c r="AY117" s="92" t="str">
        <f aca="false">IF(ISBLANK($C117),"",IF(X117=Constants!$B$3,TRUE(),IF(X117=Constants!$B$4,FALSE(),FALSE())))</f>
        <v/>
      </c>
      <c r="AZ117" s="92" t="str">
        <f aca="false">IF(ISBLANK($C117),"",MIN(Constants!$B$31,MAX(0,IF(ISNUMBER(Y117),Y117*60,0)+IF(ISNUMBER(Z117),Z117,0))))</f>
        <v/>
      </c>
      <c r="BA117" s="92" t="str">
        <f aca="false">IF(ISBLANK($C117),"",IF(AA117=Constants!$B$3,TRUE(),IF(AA117=Constants!$B$4,FALSE(),FALSE())))</f>
        <v/>
      </c>
      <c r="BB117" s="91" t="str">
        <f aca="false">IF(ISBLANK($C117),"",AND($AL117,OR($AM117="",$AN117="",AND($AO117,$AP117=""))))</f>
        <v/>
      </c>
      <c r="BC117" s="93" t="str">
        <f aca="false">IF($BR117&lt;&gt;Constants!$B$8,"",IF($AL117,Constants!$B$21*$AN117+Constants!$B$22*IF($AO117,$AP117,Constants!$B$23),Constants!$B$24))</f>
        <v/>
      </c>
      <c r="BD117" s="96" t="str">
        <f aca="false">IF($BR117&lt;&gt;Constants!$B$8,"",Constants!$B$25*ABS($AD$9-IF($AL117,$AM117,0)))</f>
        <v/>
      </c>
      <c r="BE117" s="96" t="str">
        <f aca="false">IF($BR117&lt;&gt;Constants!$B$8,"",IF(AND($AL117,$AQ117,$AO117),Constants!$B$27,0))</f>
        <v/>
      </c>
      <c r="BF117" s="96" t="str">
        <f aca="false">IF($BR117&lt;&gt;Constants!$B$8,"",IF($AL117,($AI117-Constants!$B$29)*Constants!$B$28,0))</f>
        <v/>
      </c>
      <c r="BG117" s="96" t="str">
        <f aca="false">IF($BR117&lt;&gt;Constants!$B$8,"",IF($AK117,0,Constants!$B$15)+IF($AJ117,0,Constants!$B$16)+IF($AH117,0,Constants!$B$17))</f>
        <v/>
      </c>
      <c r="BH117" s="97" t="str">
        <f aca="false">IF($BR117&lt;&gt;Constants!$B$8,"",Constants!$B$20+SUM($BC117:$BG117))</f>
        <v/>
      </c>
      <c r="BI117" s="92" t="str">
        <f aca="false">IF($BR117&lt;&gt;Constants!$B$8,"",IF(OR($BP117&lt;$BH117,AND($BP117=$BH117,OR($BK117&lt;$BC117,AND($BK117=$BC117,OR($BL117&lt;$BD117,AND($BL117=$BD117,$AT117,$AL117,$AV117&lt;$AN117)))))),"-&gt;","&lt;-"))</f>
        <v/>
      </c>
      <c r="BJ117" s="91" t="str">
        <f aca="false">IF(ISBLANK($C117),"",AND($AT117,OR($AU117="",$AV117="",AND($AW117,$AX117=""))))</f>
        <v/>
      </c>
      <c r="BK117" s="93" t="str">
        <f aca="false">IF($BR117&lt;&gt;Constants!$B$8,"",IF($AT117,Constants!$B$21*$AV117+Constants!$B$22*IF($AW117,$AX117,Constants!$B$23),Constants!$B$24))</f>
        <v/>
      </c>
      <c r="BL117" s="96" t="str">
        <f aca="false">IF($BR117&lt;&gt;Constants!$B$8,"",Constants!$B$25*ABS($AD$9-IF($AT117,$AU117,0)))</f>
        <v/>
      </c>
      <c r="BM117" s="96" t="str">
        <f aca="false">IF($BR117&lt;&gt;Constants!$B$8,"",IF(AND($AT117,$AY117,$AW117),Constants!$B$27,0))</f>
        <v/>
      </c>
      <c r="BN117" s="96" t="str">
        <f aca="false">IF($BR117&lt;&gt;Constants!$B$8,"",IF($AT117,($AI117-Constants!$B$29)*Constants!$B$28,0))</f>
        <v/>
      </c>
      <c r="BO117" s="96" t="str">
        <f aca="false">IF($BR117&lt;&gt;Constants!$B$8,"",IF($AS117,0,Constants!$B$15)+IF($AR117,0,Constants!$B$16)+IF($AH117,0,Constants!$B$17))</f>
        <v/>
      </c>
      <c r="BP117" s="97" t="str">
        <f aca="false">IF($BR117&lt;&gt;Constants!$B$8,"",Constants!$B$20+SUM($BK117:$BO117))</f>
        <v/>
      </c>
      <c r="BQ117" s="92" t="str">
        <f aca="false">IF(ISBLANK($C117),"",IF(ISBLANK($D$7),$BQ$5,IF(NOT(ISNUMBER($D$7)),$BQ$6,"")))</f>
        <v/>
      </c>
      <c r="BR117" s="92" t="str">
        <f aca="false">IF(ISBLANK($C117),"",IF($BA117,Constants!$B$11,IF(COUNTA($E117:$AA117)=0,Constants!$B$10,IF(NOT($AG117),Constants!$B$9,IF(OR($BQ117&lt;&gt;"",$BB117,$BJ117),Constants!$B$12,Constants!$B$8)))))</f>
        <v/>
      </c>
      <c r="BS117" s="92" t="str">
        <f aca="false">IF(ISBLANK($C117),"",IF($BR117&lt;&gt;Constants!$B$8,$BR117,Constants!$B$13))</f>
        <v/>
      </c>
      <c r="BT117" s="96" t="str">
        <f aca="false">IF($BR117&lt;&gt;Constants!$B$8,"",IF($BI117="-&gt;",$BP117,$BH117))</f>
        <v/>
      </c>
      <c r="BU117" s="96" t="str">
        <f aca="false">IF($BR117&lt;&gt;Constants!$B$8,"",IF($AF117,0,Constants!$B$18))</f>
        <v/>
      </c>
      <c r="BV117" s="96" t="str">
        <f aca="false">IF($BR117&lt;&gt;Constants!$B$8,"",((Constants!$B$31-$AZ117)-Constants!$B$31)/Constants!$B$32)</f>
        <v/>
      </c>
      <c r="BW117" s="96" t="str">
        <f aca="false">IF(ISBLANK($C117),"",IF($BR117&lt;&gt;Constants!$B$8,$BR117,SUM($BT117:$BV117)))</f>
        <v/>
      </c>
      <c r="BX117" s="92" t="str">
        <f aca="false">IF(ISBLANK($C117),"",IF($BR117&lt;&gt;Constants!$B$8,$BR117,RANK($BW117,$BW$9:$BW$508,1)))</f>
        <v/>
      </c>
      <c r="BY117" s="96" t="str">
        <f aca="false">IF($BR117&lt;&gt;Constants!$B$8,"",IF($BI117="-&gt;",$BK117,$BC117))</f>
        <v/>
      </c>
      <c r="BZ117" s="92" t="str">
        <f aca="false">IF(ISBLANK($C117),"",IF($BR117&lt;&gt;Constants!$B$8,$BR117,IF(ISNUMBER($BY117),RANK($BY117,$BY$9:$BY$508,1),COUNT($BY$9:$BY$508)+1)))</f>
        <v/>
      </c>
      <c r="CA117" s="96" t="str">
        <f aca="false">IF($BR117&lt;&gt;Constants!$B$8,"",IF($BI117="-&gt;",$BL117,$BD117))</f>
        <v/>
      </c>
      <c r="CB117" s="92" t="str">
        <f aca="false">IF(ISBLANK($C117),"",IF($BR117&lt;&gt;Constants!$B$8,$BR117,IF(ISNUMBER($CA117),RANK($CA117,$CA$9:$CA$508,1),COUNT($CA$9:$CA$508)+1)))</f>
        <v/>
      </c>
      <c r="CC117" s="96" t="str">
        <f aca="false">IF($BR117&lt;&gt;Constants!$B$8,"",IF($BI117="-&gt;",IF($AT117,$AV117,""),IF($AL117,$AN117,"")))</f>
        <v/>
      </c>
      <c r="CD117" s="92" t="str">
        <f aca="false">IF(ISBLANK($C117),"",IF($BR117&lt;&gt;Constants!$B$8,$BR117,IF(ISNUMBER($CC117),RANK($CC117,$CC$9:$CC$508,1),COUNT($CC$9:$CC$508)+1)))</f>
        <v/>
      </c>
      <c r="CE117" s="96" t="str">
        <f aca="false">IF($BR117&lt;&gt;Constants!$B$8,"",IF(AND(NOT($AL117),NOT($AT117),$AJ117,$AK117,$AR117,$AS117),"",$AI117))</f>
        <v/>
      </c>
      <c r="CF117" s="92" t="str">
        <f aca="false">IF(ISBLANK($C117),"",IF($BR117&lt;&gt;Constants!$B$8,$BR117,IF(ISNUMBER($CE117),RANK($CE117,$CE$9:$CE$508,1),COUNT($CE$9:$CE$508)+1)))</f>
        <v/>
      </c>
      <c r="CG117" s="92" t="str">
        <f aca="false">IF(ISBLANK($C117),"",IF($BR117&lt;&gt;Constants!$B$8,$BR117,COUNTIFS($BX$9:$BX$508,"&lt;"&amp;$BX117)+COUNTIFS($BX$9:$BX$508,$BX117,$BZ$9:$BZ$508,"&lt;"&amp;$BZ117)+COUNTIFS($BX$9:$BX$508,$BX117,$BZ$9:$BZ$508,$BZ117,$CB$9:$CB$508,"&lt;"&amp;$CB117)+COUNTIFS($BX$9:$BX$508,$BX117,$BZ$9:$BZ$508,$BZ117,$CB$9:$CB$508,$CB117,$CD$9:$CD$508,"&lt;"&amp;$CD117)+COUNTIFS($BX$9:$BX$508,$BX117,$BZ$9:$BZ$508,$BZ117,$CB$9:$CB$508,$CB117,$CD$9:$CD$508,$CD117,$CF$9:$CF$508,"&lt;"&amp;$CF117)+1))</f>
        <v/>
      </c>
      <c r="CH117" s="92" t="str">
        <f aca="false">IF(ISBLANK($C117),"",IF($BR117&lt;&gt;Constants!$B$8,$BR117,$BX117-$CG117))</f>
        <v/>
      </c>
      <c r="CI117" s="98"/>
      <c r="CJ117" s="99"/>
      <c r="CK117" s="100" t="str">
        <f aca="false">IF(ISBLANK($C117),"",IF($BR117=Constants!$B$12,$BQ117,""))</f>
        <v/>
      </c>
      <c r="CL117" s="99" t="str">
        <f aca="false">IF(ISBLANK($C117),"",IF($BR117&lt;&gt;Constants!$B$8,"",IF($BI117="-&gt;",2,1)))</f>
        <v/>
      </c>
      <c r="CM117" s="101" t="str">
        <f aca="false">IF(ISBLANK($C117),"",IF($BR117&lt;&gt;Constants!$B$8,"",IF($BI117="-&gt;",$BK117,$BC117)))</f>
        <v/>
      </c>
      <c r="CN117" s="101" t="str">
        <f aca="false">IF(ISBLANK($C117),"",IF($BR117&lt;&gt;Constants!$B$8,"",IF($BI117="-&gt;",$BL117,$BD117)))</f>
        <v/>
      </c>
      <c r="CO117" s="101" t="str">
        <f aca="false">IF(ISBLANK($C117),"",IF($BR117&lt;&gt;Constants!$B$8,"",IF($BI117="-&gt;",$BM117+$BN117,$BE117+$BF117)+$BV117))</f>
        <v/>
      </c>
      <c r="CP117" s="101" t="str">
        <f aca="false">IF(ISBLANK($C117),"",IF($BR117&lt;&gt;Constants!$B$8,"",IF($BI117="-&gt;",$BO117,$BG117)+$BU117))</f>
        <v/>
      </c>
      <c r="CQ117" s="102" t="str">
        <f aca="false">IF(ISBLANK($C117),"",IF($BR117&lt;&gt;Constants!$B$8,$BR117,$BW117))</f>
        <v/>
      </c>
      <c r="CR117" s="103" t="str">
        <f aca="false">IF(ISBLANK($C117),"",$BS117)</f>
        <v/>
      </c>
      <c r="CS117" s="104" t="str">
        <f aca="false">IF(ISBLANK($C117),"",$CH117)</f>
        <v/>
      </c>
      <c r="CT117" s="104" t="str">
        <f aca="false">IF(ISBLANK($C117),"",$CG117)</f>
        <v/>
      </c>
      <c r="CU117" s="105" t="str">
        <f aca="false">IF(ISBLANK($C117),"",IFERROR(_xlfn.SWITCH($CT117,Constants!$B$11,COUNTA($C$9:$C$508)+2,Constants!$B$10,COUNTA($C$9:$C$508)+1,Constants!$B$9,COUNTA($C$9:$C$508)),$CT117))</f>
        <v/>
      </c>
      <c r="CV117" s="9"/>
      <c r="CW117" s="106" t="n">
        <f aca="false">IF(OR(ISNUMBER($CT117),$CT117=Constants!$B$11,$CT117=Constants!$B$9,$CT117=Constants!$B$10),1,0)</f>
        <v>0</v>
      </c>
      <c r="CX117" s="106" t="n">
        <v>109</v>
      </c>
      <c r="CY117" s="106" t="str">
        <f aca="false">IF(ISBLANK($C117),"",IF(ISNUMBER($CU117),$CU117+ROW($B117)/1000,""))</f>
        <v/>
      </c>
      <c r="CZ117" s="106" t="str">
        <f aca="false">IF(ISNUMBER($CY117),RANK($CY117,$CY$9:$CY$508,1),"")</f>
        <v/>
      </c>
      <c r="DA117" s="106" t="str">
        <f aca="false">IF(ISBLANK($C117),"",$B117)</f>
        <v/>
      </c>
      <c r="DB117" s="106" t="str">
        <f aca="false">IF(ISBLANK($C117),"",$C117)</f>
        <v/>
      </c>
      <c r="DC117" s="106" t="str">
        <f aca="false">IF(ISBLANK($C117),"",$D117)</f>
        <v/>
      </c>
      <c r="DD117" s="107" t="str">
        <f aca="false">$CR117</f>
        <v/>
      </c>
      <c r="DE117" s="108" t="str">
        <f aca="false">$CQ117</f>
        <v/>
      </c>
      <c r="DF117" s="106" t="str">
        <f aca="false">IF(ISBLANK($C117),"",$CT117)</f>
        <v/>
      </c>
      <c r="DG117" s="109" t="str">
        <f aca="false">IF($CX117&gt;$CW$8,"",VLOOKUP($CX117,$CZ$9:$DF$508,7,FALSE()))</f>
        <v/>
      </c>
      <c r="DH117" s="110" t="str">
        <f aca="false">IF($CX117&gt;$CW$8,"",VLOOKUP($CX117,$CZ$9:$DF$508,2,FALSE()))</f>
        <v/>
      </c>
      <c r="DI117" s="110" t="str">
        <f aca="false">IF($CX117&gt;$CW$8,"",VLOOKUP($CX117,$CZ$9:$DF$508,3,FALSE()))</f>
        <v/>
      </c>
      <c r="DJ117" s="110" t="str">
        <f aca="false">IF($CX117&gt;$CW$8,"",VLOOKUP($CX117,$CZ$9:$DF$508,4,FALSE()))</f>
        <v/>
      </c>
      <c r="DK117" s="110" t="str">
        <f aca="false">IF($CX117&gt;$CW$8,"",VLOOKUP($CX117,$CZ$9:$DF$508,5,FALSE()))</f>
        <v/>
      </c>
      <c r="DL117" s="111" t="str">
        <f aca="false">IF($CX117&gt;$CW$8,"",VLOOKUP($CX117,$CZ$9:$DF$508,6,FALSE()))</f>
        <v/>
      </c>
      <c r="DM117" s="75"/>
    </row>
    <row r="118" customFormat="false" ht="15.75" hidden="false" customHeight="false" outlineLevel="0" collapsed="false">
      <c r="A118" s="9"/>
      <c r="B118" s="77"/>
      <c r="C118" s="78"/>
      <c r="D118" s="167"/>
      <c r="E118" s="175"/>
      <c r="F118" s="169"/>
      <c r="G118" s="170"/>
      <c r="H118" s="170"/>
      <c r="I118" s="176"/>
      <c r="J118" s="173"/>
      <c r="K118" s="85"/>
      <c r="L118" s="86"/>
      <c r="M118" s="87"/>
      <c r="N118" s="173"/>
      <c r="O118" s="173"/>
      <c r="P118" s="175"/>
      <c r="Q118" s="173"/>
      <c r="R118" s="173"/>
      <c r="S118" s="85"/>
      <c r="T118" s="87"/>
      <c r="U118" s="87"/>
      <c r="V118" s="173"/>
      <c r="W118" s="173"/>
      <c r="X118" s="175"/>
      <c r="Y118" s="173"/>
      <c r="Z118" s="174"/>
      <c r="AA118" s="173"/>
      <c r="AB118" s="91"/>
      <c r="AC118" s="92"/>
      <c r="AD118" s="92"/>
      <c r="AE118" s="92"/>
      <c r="AF118" s="92" t="str">
        <f aca="false">IF(ISBLANK($C118),"",IF(E118=Constants!$B$3,TRUE(),IF(E118=Constants!$B$4,FALSE(),TRUE())))</f>
        <v/>
      </c>
      <c r="AG118" s="92" t="str">
        <f aca="false">IF(ISBLANK($C118),"",IF(F118=Constants!$B$3,TRUE(),IF(F118=Constants!$B$4,FALSE(),TRUE())))</f>
        <v/>
      </c>
      <c r="AH118" s="92" t="str">
        <f aca="false">IF(ISBLANK($C118),"",IF(G118=Constants!$B$3,TRUE(),IF(G118=Constants!$B$4,FALSE(),TRUE())))</f>
        <v/>
      </c>
      <c r="AI118" s="92" t="str">
        <f aca="false">IF(ISBLANK($C118),"",IF(AND(ISNUMBER(H118),H118&gt;=0),H118,Constants!$B$29))</f>
        <v/>
      </c>
      <c r="AJ118" s="92" t="str">
        <f aca="false">IF(ISBLANK($C118),"",IF(I118=Constants!$B$3,TRUE(),IF(I118=Constants!$B$4,FALSE(),TRUE())))</f>
        <v/>
      </c>
      <c r="AK118" s="92" t="str">
        <f aca="false">IF(ISBLANK($C118),"",IF(J118=Constants!$B$3,TRUE(),IF(J118=Constants!$B$4,FALSE(),TRUE())))</f>
        <v/>
      </c>
      <c r="AL118" s="92" t="str">
        <f aca="false">IF(ISBLANK($C118),"",IF(K118=Constants!$B$5,TRUE(),IF(K118=Constants!$B$6,FALSE(),COUNTA(L118:P118)&gt;0)))</f>
        <v/>
      </c>
      <c r="AM118" s="94" t="str">
        <f aca="false">IF(ISBLANK($C118),"",IF(ISNUMBER(L118),IF(L118&gt;=0,L118,""),""))</f>
        <v/>
      </c>
      <c r="AN118" s="93" t="str">
        <f aca="false">IF(ISBLANK($C118),"",IF(ISNUMBER(M118),IF(M118&gt;=0,M118,""),""))</f>
        <v/>
      </c>
      <c r="AO118" s="93" t="str">
        <f aca="false">IF(ISBLANK($C118),"",IF(N118=Constants!$B$3,TRUE(),IF(N118=Constants!$B$4,FALSE(),TRUE())))</f>
        <v/>
      </c>
      <c r="AP118" s="92" t="str">
        <f aca="false">IF(ISBLANK($C118),"",IF(ISNUMBER(O118),IF(O118&gt;=0,O118,""),""))</f>
        <v/>
      </c>
      <c r="AQ118" s="92" t="str">
        <f aca="false">IF(ISBLANK($C118),"",IF(P118=Constants!$B$3,TRUE(),IF(P118=Constants!$B$4,FALSE(),FALSE())))</f>
        <v/>
      </c>
      <c r="AR118" s="92" t="str">
        <f aca="false">IF(ISBLANK($C118),"",IF(Q118=Constants!$B$3,TRUE(),IF(Q118=Constants!$B$4,FALSE(),TRUE())))</f>
        <v/>
      </c>
      <c r="AS118" s="92" t="str">
        <f aca="false">IF(ISBLANK($C118),"",IF(R118=Constants!$B$3,TRUE(),IF(R118=Constants!$B$4,FALSE(),TRUE())))</f>
        <v/>
      </c>
      <c r="AT118" s="92" t="str">
        <f aca="false">IF(ISBLANK($C118),"",IF(S118=Constants!$B$5,TRUE(),IF(S118=Constants!$B$6,FALSE(),COUNTA(T118:X118)&gt;0)))</f>
        <v/>
      </c>
      <c r="AU118" s="94" t="str">
        <f aca="false">IF(ISBLANK($C118),"",IF(ISNUMBER(T118),IF(T118&gt;=0,T118,""),""))</f>
        <v/>
      </c>
      <c r="AV118" s="93" t="str">
        <f aca="false">IF(ISBLANK($C118),"",IF(ISNUMBER(U118),IF(U118&gt;=0,U118,""),""))</f>
        <v/>
      </c>
      <c r="AW118" s="93" t="str">
        <f aca="false">IF(ISBLANK($C118),"",IF(V118=Constants!$B$3,TRUE(),IF(V118=Constants!$B$4,FALSE(),TRUE())))</f>
        <v/>
      </c>
      <c r="AX118" s="92" t="str">
        <f aca="false">IF(ISBLANK($C118),"",IF(ISNUMBER(W118),IF(W118&gt;=0,W118,""),""))</f>
        <v/>
      </c>
      <c r="AY118" s="92" t="str">
        <f aca="false">IF(ISBLANK($C118),"",IF(X118=Constants!$B$3,TRUE(),IF(X118=Constants!$B$4,FALSE(),FALSE())))</f>
        <v/>
      </c>
      <c r="AZ118" s="92" t="str">
        <f aca="false">IF(ISBLANK($C118),"",MIN(Constants!$B$31,MAX(0,IF(ISNUMBER(Y118),Y118*60,0)+IF(ISNUMBER(Z118),Z118,0))))</f>
        <v/>
      </c>
      <c r="BA118" s="92" t="str">
        <f aca="false">IF(ISBLANK($C118),"",IF(AA118=Constants!$B$3,TRUE(),IF(AA118=Constants!$B$4,FALSE(),FALSE())))</f>
        <v/>
      </c>
      <c r="BB118" s="91" t="str">
        <f aca="false">IF(ISBLANK($C118),"",AND($AL118,OR($AM118="",$AN118="",AND($AO118,$AP118=""))))</f>
        <v/>
      </c>
      <c r="BC118" s="93" t="str">
        <f aca="false">IF($BR118&lt;&gt;Constants!$B$8,"",IF($AL118,Constants!$B$21*$AN118+Constants!$B$22*IF($AO118,$AP118,Constants!$B$23),Constants!$B$24))</f>
        <v/>
      </c>
      <c r="BD118" s="96" t="str">
        <f aca="false">IF($BR118&lt;&gt;Constants!$B$8,"",Constants!$B$25*ABS($AD$9-IF($AL118,$AM118,0)))</f>
        <v/>
      </c>
      <c r="BE118" s="96" t="str">
        <f aca="false">IF($BR118&lt;&gt;Constants!$B$8,"",IF(AND($AL118,$AQ118,$AO118),Constants!$B$27,0))</f>
        <v/>
      </c>
      <c r="BF118" s="96" t="str">
        <f aca="false">IF($BR118&lt;&gt;Constants!$B$8,"",IF($AL118,($AI118-Constants!$B$29)*Constants!$B$28,0))</f>
        <v/>
      </c>
      <c r="BG118" s="96" t="str">
        <f aca="false">IF($BR118&lt;&gt;Constants!$B$8,"",IF($AK118,0,Constants!$B$15)+IF($AJ118,0,Constants!$B$16)+IF($AH118,0,Constants!$B$17))</f>
        <v/>
      </c>
      <c r="BH118" s="97" t="str">
        <f aca="false">IF($BR118&lt;&gt;Constants!$B$8,"",Constants!$B$20+SUM($BC118:$BG118))</f>
        <v/>
      </c>
      <c r="BI118" s="92" t="str">
        <f aca="false">IF($BR118&lt;&gt;Constants!$B$8,"",IF(OR($BP118&lt;$BH118,AND($BP118=$BH118,OR($BK118&lt;$BC118,AND($BK118=$BC118,OR($BL118&lt;$BD118,AND($BL118=$BD118,$AT118,$AL118,$AV118&lt;$AN118)))))),"-&gt;","&lt;-"))</f>
        <v/>
      </c>
      <c r="BJ118" s="91" t="str">
        <f aca="false">IF(ISBLANK($C118),"",AND($AT118,OR($AU118="",$AV118="",AND($AW118,$AX118=""))))</f>
        <v/>
      </c>
      <c r="BK118" s="93" t="str">
        <f aca="false">IF($BR118&lt;&gt;Constants!$B$8,"",IF($AT118,Constants!$B$21*$AV118+Constants!$B$22*IF($AW118,$AX118,Constants!$B$23),Constants!$B$24))</f>
        <v/>
      </c>
      <c r="BL118" s="96" t="str">
        <f aca="false">IF($BR118&lt;&gt;Constants!$B$8,"",Constants!$B$25*ABS($AD$9-IF($AT118,$AU118,0)))</f>
        <v/>
      </c>
      <c r="BM118" s="96" t="str">
        <f aca="false">IF($BR118&lt;&gt;Constants!$B$8,"",IF(AND($AT118,$AY118,$AW118),Constants!$B$27,0))</f>
        <v/>
      </c>
      <c r="BN118" s="96" t="str">
        <f aca="false">IF($BR118&lt;&gt;Constants!$B$8,"",IF($AT118,($AI118-Constants!$B$29)*Constants!$B$28,0))</f>
        <v/>
      </c>
      <c r="BO118" s="96" t="str">
        <f aca="false">IF($BR118&lt;&gt;Constants!$B$8,"",IF($AS118,0,Constants!$B$15)+IF($AR118,0,Constants!$B$16)+IF($AH118,0,Constants!$B$17))</f>
        <v/>
      </c>
      <c r="BP118" s="97" t="str">
        <f aca="false">IF($BR118&lt;&gt;Constants!$B$8,"",Constants!$B$20+SUM($BK118:$BO118))</f>
        <v/>
      </c>
      <c r="BQ118" s="92" t="str">
        <f aca="false">IF(ISBLANK($C118),"",IF(ISBLANK($D$7),$BQ$5,IF(NOT(ISNUMBER($D$7)),$BQ$6,"")))</f>
        <v/>
      </c>
      <c r="BR118" s="92" t="str">
        <f aca="false">IF(ISBLANK($C118),"",IF($BA118,Constants!$B$11,IF(COUNTA($E118:$AA118)=0,Constants!$B$10,IF(NOT($AG118),Constants!$B$9,IF(OR($BQ118&lt;&gt;"",$BB118,$BJ118),Constants!$B$12,Constants!$B$8)))))</f>
        <v/>
      </c>
      <c r="BS118" s="92" t="str">
        <f aca="false">IF(ISBLANK($C118),"",IF($BR118&lt;&gt;Constants!$B$8,$BR118,Constants!$B$13))</f>
        <v/>
      </c>
      <c r="BT118" s="96" t="str">
        <f aca="false">IF($BR118&lt;&gt;Constants!$B$8,"",IF($BI118="-&gt;",$BP118,$BH118))</f>
        <v/>
      </c>
      <c r="BU118" s="96" t="str">
        <f aca="false">IF($BR118&lt;&gt;Constants!$B$8,"",IF($AF118,0,Constants!$B$18))</f>
        <v/>
      </c>
      <c r="BV118" s="96" t="str">
        <f aca="false">IF($BR118&lt;&gt;Constants!$B$8,"",((Constants!$B$31-$AZ118)-Constants!$B$31)/Constants!$B$32)</f>
        <v/>
      </c>
      <c r="BW118" s="96" t="str">
        <f aca="false">IF(ISBLANK($C118),"",IF($BR118&lt;&gt;Constants!$B$8,$BR118,SUM($BT118:$BV118)))</f>
        <v/>
      </c>
      <c r="BX118" s="92" t="str">
        <f aca="false">IF(ISBLANK($C118),"",IF($BR118&lt;&gt;Constants!$B$8,$BR118,RANK($BW118,$BW$9:$BW$508,1)))</f>
        <v/>
      </c>
      <c r="BY118" s="96" t="str">
        <f aca="false">IF($BR118&lt;&gt;Constants!$B$8,"",IF($BI118="-&gt;",$BK118,$BC118))</f>
        <v/>
      </c>
      <c r="BZ118" s="92" t="str">
        <f aca="false">IF(ISBLANK($C118),"",IF($BR118&lt;&gt;Constants!$B$8,$BR118,IF(ISNUMBER($BY118),RANK($BY118,$BY$9:$BY$508,1),COUNT($BY$9:$BY$508)+1)))</f>
        <v/>
      </c>
      <c r="CA118" s="96" t="str">
        <f aca="false">IF($BR118&lt;&gt;Constants!$B$8,"",IF($BI118="-&gt;",$BL118,$BD118))</f>
        <v/>
      </c>
      <c r="CB118" s="92" t="str">
        <f aca="false">IF(ISBLANK($C118),"",IF($BR118&lt;&gt;Constants!$B$8,$BR118,IF(ISNUMBER($CA118),RANK($CA118,$CA$9:$CA$508,1),COUNT($CA$9:$CA$508)+1)))</f>
        <v/>
      </c>
      <c r="CC118" s="96" t="str">
        <f aca="false">IF($BR118&lt;&gt;Constants!$B$8,"",IF($BI118="-&gt;",IF($AT118,$AV118,""),IF($AL118,$AN118,"")))</f>
        <v/>
      </c>
      <c r="CD118" s="92" t="str">
        <f aca="false">IF(ISBLANK($C118),"",IF($BR118&lt;&gt;Constants!$B$8,$BR118,IF(ISNUMBER($CC118),RANK($CC118,$CC$9:$CC$508,1),COUNT($CC$9:$CC$508)+1)))</f>
        <v/>
      </c>
      <c r="CE118" s="96" t="str">
        <f aca="false">IF($BR118&lt;&gt;Constants!$B$8,"",IF(AND(NOT($AL118),NOT($AT118),$AJ118,$AK118,$AR118,$AS118),"",$AI118))</f>
        <v/>
      </c>
      <c r="CF118" s="92" t="str">
        <f aca="false">IF(ISBLANK($C118),"",IF($BR118&lt;&gt;Constants!$B$8,$BR118,IF(ISNUMBER($CE118),RANK($CE118,$CE$9:$CE$508,1),COUNT($CE$9:$CE$508)+1)))</f>
        <v/>
      </c>
      <c r="CG118" s="92" t="str">
        <f aca="false">IF(ISBLANK($C118),"",IF($BR118&lt;&gt;Constants!$B$8,$BR118,COUNTIFS($BX$9:$BX$508,"&lt;"&amp;$BX118)+COUNTIFS($BX$9:$BX$508,$BX118,$BZ$9:$BZ$508,"&lt;"&amp;$BZ118)+COUNTIFS($BX$9:$BX$508,$BX118,$BZ$9:$BZ$508,$BZ118,$CB$9:$CB$508,"&lt;"&amp;$CB118)+COUNTIFS($BX$9:$BX$508,$BX118,$BZ$9:$BZ$508,$BZ118,$CB$9:$CB$508,$CB118,$CD$9:$CD$508,"&lt;"&amp;$CD118)+COUNTIFS($BX$9:$BX$508,$BX118,$BZ$9:$BZ$508,$BZ118,$CB$9:$CB$508,$CB118,$CD$9:$CD$508,$CD118,$CF$9:$CF$508,"&lt;"&amp;$CF118)+1))</f>
        <v/>
      </c>
      <c r="CH118" s="92" t="str">
        <f aca="false">IF(ISBLANK($C118),"",IF($BR118&lt;&gt;Constants!$B$8,$BR118,$BX118-$CG118))</f>
        <v/>
      </c>
      <c r="CI118" s="98"/>
      <c r="CJ118" s="99"/>
      <c r="CK118" s="100" t="str">
        <f aca="false">IF(ISBLANK($C118),"",IF($BR118=Constants!$B$12,$BQ118,""))</f>
        <v/>
      </c>
      <c r="CL118" s="99" t="str">
        <f aca="false">IF(ISBLANK($C118),"",IF($BR118&lt;&gt;Constants!$B$8,"",IF($BI118="-&gt;",2,1)))</f>
        <v/>
      </c>
      <c r="CM118" s="101" t="str">
        <f aca="false">IF(ISBLANK($C118),"",IF($BR118&lt;&gt;Constants!$B$8,"",IF($BI118="-&gt;",$BK118,$BC118)))</f>
        <v/>
      </c>
      <c r="CN118" s="101" t="str">
        <f aca="false">IF(ISBLANK($C118),"",IF($BR118&lt;&gt;Constants!$B$8,"",IF($BI118="-&gt;",$BL118,$BD118)))</f>
        <v/>
      </c>
      <c r="CO118" s="101" t="str">
        <f aca="false">IF(ISBLANK($C118),"",IF($BR118&lt;&gt;Constants!$B$8,"",IF($BI118="-&gt;",$BM118+$BN118,$BE118+$BF118)+$BV118))</f>
        <v/>
      </c>
      <c r="CP118" s="101" t="str">
        <f aca="false">IF(ISBLANK($C118),"",IF($BR118&lt;&gt;Constants!$B$8,"",IF($BI118="-&gt;",$BO118,$BG118)+$BU118))</f>
        <v/>
      </c>
      <c r="CQ118" s="102" t="str">
        <f aca="false">IF(ISBLANK($C118),"",IF($BR118&lt;&gt;Constants!$B$8,$BR118,$BW118))</f>
        <v/>
      </c>
      <c r="CR118" s="103" t="str">
        <f aca="false">IF(ISBLANK($C118),"",$BS118)</f>
        <v/>
      </c>
      <c r="CS118" s="104" t="str">
        <f aca="false">IF(ISBLANK($C118),"",$CH118)</f>
        <v/>
      </c>
      <c r="CT118" s="104" t="str">
        <f aca="false">IF(ISBLANK($C118),"",$CG118)</f>
        <v/>
      </c>
      <c r="CU118" s="105" t="str">
        <f aca="false">IF(ISBLANK($C118),"",IFERROR(_xlfn.SWITCH($CT118,Constants!$B$11,COUNTA($C$9:$C$508)+2,Constants!$B$10,COUNTA($C$9:$C$508)+1,Constants!$B$9,COUNTA($C$9:$C$508)),$CT118))</f>
        <v/>
      </c>
      <c r="CV118" s="9"/>
      <c r="CW118" s="106" t="n">
        <f aca="false">IF(OR(ISNUMBER($CT118),$CT118=Constants!$B$11,$CT118=Constants!$B$9,$CT118=Constants!$B$10),1,0)</f>
        <v>0</v>
      </c>
      <c r="CX118" s="106" t="n">
        <v>110</v>
      </c>
      <c r="CY118" s="106" t="str">
        <f aca="false">IF(ISBLANK($C118),"",IF(ISNUMBER($CU118),$CU118+ROW($B118)/1000,""))</f>
        <v/>
      </c>
      <c r="CZ118" s="106" t="str">
        <f aca="false">IF(ISNUMBER($CY118),RANK($CY118,$CY$9:$CY$508,1),"")</f>
        <v/>
      </c>
      <c r="DA118" s="106" t="str">
        <f aca="false">IF(ISBLANK($C118),"",$B118)</f>
        <v/>
      </c>
      <c r="DB118" s="106" t="str">
        <f aca="false">IF(ISBLANK($C118),"",$C118)</f>
        <v/>
      </c>
      <c r="DC118" s="106" t="str">
        <f aca="false">IF(ISBLANK($C118),"",$D118)</f>
        <v/>
      </c>
      <c r="DD118" s="107" t="str">
        <f aca="false">$CR118</f>
        <v/>
      </c>
      <c r="DE118" s="108" t="str">
        <f aca="false">$CQ118</f>
        <v/>
      </c>
      <c r="DF118" s="106" t="str">
        <f aca="false">IF(ISBLANK($C118),"",$CT118)</f>
        <v/>
      </c>
      <c r="DG118" s="109" t="str">
        <f aca="false">IF($CX118&gt;$CW$8,"",VLOOKUP($CX118,$CZ$9:$DF$508,7,FALSE()))</f>
        <v/>
      </c>
      <c r="DH118" s="110" t="str">
        <f aca="false">IF($CX118&gt;$CW$8,"",VLOOKUP($CX118,$CZ$9:$DF$508,2,FALSE()))</f>
        <v/>
      </c>
      <c r="DI118" s="110" t="str">
        <f aca="false">IF($CX118&gt;$CW$8,"",VLOOKUP($CX118,$CZ$9:$DF$508,3,FALSE()))</f>
        <v/>
      </c>
      <c r="DJ118" s="110" t="str">
        <f aca="false">IF($CX118&gt;$CW$8,"",VLOOKUP($CX118,$CZ$9:$DF$508,4,FALSE()))</f>
        <v/>
      </c>
      <c r="DK118" s="110" t="str">
        <f aca="false">IF($CX118&gt;$CW$8,"",VLOOKUP($CX118,$CZ$9:$DF$508,5,FALSE()))</f>
        <v/>
      </c>
      <c r="DL118" s="111" t="str">
        <f aca="false">IF($CX118&gt;$CW$8,"",VLOOKUP($CX118,$CZ$9:$DF$508,6,FALSE()))</f>
        <v/>
      </c>
      <c r="DM118" s="75"/>
    </row>
    <row r="119" customFormat="false" ht="15.75" hidden="false" customHeight="false" outlineLevel="0" collapsed="false">
      <c r="A119" s="9"/>
      <c r="B119" s="77"/>
      <c r="C119" s="78"/>
      <c r="D119" s="167"/>
      <c r="E119" s="175"/>
      <c r="F119" s="169"/>
      <c r="G119" s="170"/>
      <c r="H119" s="170"/>
      <c r="I119" s="176"/>
      <c r="J119" s="173"/>
      <c r="K119" s="85"/>
      <c r="L119" s="86"/>
      <c r="M119" s="87"/>
      <c r="N119" s="173"/>
      <c r="O119" s="173"/>
      <c r="P119" s="175"/>
      <c r="Q119" s="173"/>
      <c r="R119" s="173"/>
      <c r="S119" s="85"/>
      <c r="T119" s="87"/>
      <c r="U119" s="87"/>
      <c r="V119" s="173"/>
      <c r="W119" s="173"/>
      <c r="X119" s="175"/>
      <c r="Y119" s="173"/>
      <c r="Z119" s="174"/>
      <c r="AA119" s="173"/>
      <c r="AB119" s="91"/>
      <c r="AC119" s="92"/>
      <c r="AD119" s="92"/>
      <c r="AE119" s="92"/>
      <c r="AF119" s="92" t="str">
        <f aca="false">IF(ISBLANK($C119),"",IF(E119=Constants!$B$3,TRUE(),IF(E119=Constants!$B$4,FALSE(),TRUE())))</f>
        <v/>
      </c>
      <c r="AG119" s="92" t="str">
        <f aca="false">IF(ISBLANK($C119),"",IF(F119=Constants!$B$3,TRUE(),IF(F119=Constants!$B$4,FALSE(),TRUE())))</f>
        <v/>
      </c>
      <c r="AH119" s="92" t="str">
        <f aca="false">IF(ISBLANK($C119),"",IF(G119=Constants!$B$3,TRUE(),IF(G119=Constants!$B$4,FALSE(),TRUE())))</f>
        <v/>
      </c>
      <c r="AI119" s="92" t="str">
        <f aca="false">IF(ISBLANK($C119),"",IF(AND(ISNUMBER(H119),H119&gt;=0),H119,Constants!$B$29))</f>
        <v/>
      </c>
      <c r="AJ119" s="92" t="str">
        <f aca="false">IF(ISBLANK($C119),"",IF(I119=Constants!$B$3,TRUE(),IF(I119=Constants!$B$4,FALSE(),TRUE())))</f>
        <v/>
      </c>
      <c r="AK119" s="92" t="str">
        <f aca="false">IF(ISBLANK($C119),"",IF(J119=Constants!$B$3,TRUE(),IF(J119=Constants!$B$4,FALSE(),TRUE())))</f>
        <v/>
      </c>
      <c r="AL119" s="92" t="str">
        <f aca="false">IF(ISBLANK($C119),"",IF(K119=Constants!$B$5,TRUE(),IF(K119=Constants!$B$6,FALSE(),COUNTA(L119:P119)&gt;0)))</f>
        <v/>
      </c>
      <c r="AM119" s="94" t="str">
        <f aca="false">IF(ISBLANK($C119),"",IF(ISNUMBER(L119),IF(L119&gt;=0,L119,""),""))</f>
        <v/>
      </c>
      <c r="AN119" s="93" t="str">
        <f aca="false">IF(ISBLANK($C119),"",IF(ISNUMBER(M119),IF(M119&gt;=0,M119,""),""))</f>
        <v/>
      </c>
      <c r="AO119" s="93" t="str">
        <f aca="false">IF(ISBLANK($C119),"",IF(N119=Constants!$B$3,TRUE(),IF(N119=Constants!$B$4,FALSE(),TRUE())))</f>
        <v/>
      </c>
      <c r="AP119" s="92" t="str">
        <f aca="false">IF(ISBLANK($C119),"",IF(ISNUMBER(O119),IF(O119&gt;=0,O119,""),""))</f>
        <v/>
      </c>
      <c r="AQ119" s="92" t="str">
        <f aca="false">IF(ISBLANK($C119),"",IF(P119=Constants!$B$3,TRUE(),IF(P119=Constants!$B$4,FALSE(),FALSE())))</f>
        <v/>
      </c>
      <c r="AR119" s="92" t="str">
        <f aca="false">IF(ISBLANK($C119),"",IF(Q119=Constants!$B$3,TRUE(),IF(Q119=Constants!$B$4,FALSE(),TRUE())))</f>
        <v/>
      </c>
      <c r="AS119" s="92" t="str">
        <f aca="false">IF(ISBLANK($C119),"",IF(R119=Constants!$B$3,TRUE(),IF(R119=Constants!$B$4,FALSE(),TRUE())))</f>
        <v/>
      </c>
      <c r="AT119" s="92" t="str">
        <f aca="false">IF(ISBLANK($C119),"",IF(S119=Constants!$B$5,TRUE(),IF(S119=Constants!$B$6,FALSE(),COUNTA(T119:X119)&gt;0)))</f>
        <v/>
      </c>
      <c r="AU119" s="94" t="str">
        <f aca="false">IF(ISBLANK($C119),"",IF(ISNUMBER(T119),IF(T119&gt;=0,T119,""),""))</f>
        <v/>
      </c>
      <c r="AV119" s="93" t="str">
        <f aca="false">IF(ISBLANK($C119),"",IF(ISNUMBER(U119),IF(U119&gt;=0,U119,""),""))</f>
        <v/>
      </c>
      <c r="AW119" s="93" t="str">
        <f aca="false">IF(ISBLANK($C119),"",IF(V119=Constants!$B$3,TRUE(),IF(V119=Constants!$B$4,FALSE(),TRUE())))</f>
        <v/>
      </c>
      <c r="AX119" s="92" t="str">
        <f aca="false">IF(ISBLANK($C119),"",IF(ISNUMBER(W119),IF(W119&gt;=0,W119,""),""))</f>
        <v/>
      </c>
      <c r="AY119" s="92" t="str">
        <f aca="false">IF(ISBLANK($C119),"",IF(X119=Constants!$B$3,TRUE(),IF(X119=Constants!$B$4,FALSE(),FALSE())))</f>
        <v/>
      </c>
      <c r="AZ119" s="92" t="str">
        <f aca="false">IF(ISBLANK($C119),"",MIN(Constants!$B$31,MAX(0,IF(ISNUMBER(Y119),Y119*60,0)+IF(ISNUMBER(Z119),Z119,0))))</f>
        <v/>
      </c>
      <c r="BA119" s="92" t="str">
        <f aca="false">IF(ISBLANK($C119),"",IF(AA119=Constants!$B$3,TRUE(),IF(AA119=Constants!$B$4,FALSE(),FALSE())))</f>
        <v/>
      </c>
      <c r="BB119" s="91" t="str">
        <f aca="false">IF(ISBLANK($C119),"",AND($AL119,OR($AM119="",$AN119="",AND($AO119,$AP119=""))))</f>
        <v/>
      </c>
      <c r="BC119" s="93" t="str">
        <f aca="false">IF($BR119&lt;&gt;Constants!$B$8,"",IF($AL119,Constants!$B$21*$AN119+Constants!$B$22*IF($AO119,$AP119,Constants!$B$23),Constants!$B$24))</f>
        <v/>
      </c>
      <c r="BD119" s="96" t="str">
        <f aca="false">IF($BR119&lt;&gt;Constants!$B$8,"",Constants!$B$25*ABS($AD$9-IF($AL119,$AM119,0)))</f>
        <v/>
      </c>
      <c r="BE119" s="96" t="str">
        <f aca="false">IF($BR119&lt;&gt;Constants!$B$8,"",IF(AND($AL119,$AQ119,$AO119),Constants!$B$27,0))</f>
        <v/>
      </c>
      <c r="BF119" s="96" t="str">
        <f aca="false">IF($BR119&lt;&gt;Constants!$B$8,"",IF($AL119,($AI119-Constants!$B$29)*Constants!$B$28,0))</f>
        <v/>
      </c>
      <c r="BG119" s="96" t="str">
        <f aca="false">IF($BR119&lt;&gt;Constants!$B$8,"",IF($AK119,0,Constants!$B$15)+IF($AJ119,0,Constants!$B$16)+IF($AH119,0,Constants!$B$17))</f>
        <v/>
      </c>
      <c r="BH119" s="97" t="str">
        <f aca="false">IF($BR119&lt;&gt;Constants!$B$8,"",Constants!$B$20+SUM($BC119:$BG119))</f>
        <v/>
      </c>
      <c r="BI119" s="92" t="str">
        <f aca="false">IF($BR119&lt;&gt;Constants!$B$8,"",IF(OR($BP119&lt;$BH119,AND($BP119=$BH119,OR($BK119&lt;$BC119,AND($BK119=$BC119,OR($BL119&lt;$BD119,AND($BL119=$BD119,$AT119,$AL119,$AV119&lt;$AN119)))))),"-&gt;","&lt;-"))</f>
        <v/>
      </c>
      <c r="BJ119" s="91" t="str">
        <f aca="false">IF(ISBLANK($C119),"",AND($AT119,OR($AU119="",$AV119="",AND($AW119,$AX119=""))))</f>
        <v/>
      </c>
      <c r="BK119" s="93" t="str">
        <f aca="false">IF($BR119&lt;&gt;Constants!$B$8,"",IF($AT119,Constants!$B$21*$AV119+Constants!$B$22*IF($AW119,$AX119,Constants!$B$23),Constants!$B$24))</f>
        <v/>
      </c>
      <c r="BL119" s="96" t="str">
        <f aca="false">IF($BR119&lt;&gt;Constants!$B$8,"",Constants!$B$25*ABS($AD$9-IF($AT119,$AU119,0)))</f>
        <v/>
      </c>
      <c r="BM119" s="96" t="str">
        <f aca="false">IF($BR119&lt;&gt;Constants!$B$8,"",IF(AND($AT119,$AY119,$AW119),Constants!$B$27,0))</f>
        <v/>
      </c>
      <c r="BN119" s="96" t="str">
        <f aca="false">IF($BR119&lt;&gt;Constants!$B$8,"",IF($AT119,($AI119-Constants!$B$29)*Constants!$B$28,0))</f>
        <v/>
      </c>
      <c r="BO119" s="96" t="str">
        <f aca="false">IF($BR119&lt;&gt;Constants!$B$8,"",IF($AS119,0,Constants!$B$15)+IF($AR119,0,Constants!$B$16)+IF($AH119,0,Constants!$B$17))</f>
        <v/>
      </c>
      <c r="BP119" s="97" t="str">
        <f aca="false">IF($BR119&lt;&gt;Constants!$B$8,"",Constants!$B$20+SUM($BK119:$BO119))</f>
        <v/>
      </c>
      <c r="BQ119" s="92" t="str">
        <f aca="false">IF(ISBLANK($C119),"",IF(ISBLANK($D$7),$BQ$5,IF(NOT(ISNUMBER($D$7)),$BQ$6,"")))</f>
        <v/>
      </c>
      <c r="BR119" s="92" t="str">
        <f aca="false">IF(ISBLANK($C119),"",IF($BA119,Constants!$B$11,IF(COUNTA($E119:$AA119)=0,Constants!$B$10,IF(NOT($AG119),Constants!$B$9,IF(OR($BQ119&lt;&gt;"",$BB119,$BJ119),Constants!$B$12,Constants!$B$8)))))</f>
        <v/>
      </c>
      <c r="BS119" s="92" t="str">
        <f aca="false">IF(ISBLANK($C119),"",IF($BR119&lt;&gt;Constants!$B$8,$BR119,Constants!$B$13))</f>
        <v/>
      </c>
      <c r="BT119" s="96" t="str">
        <f aca="false">IF($BR119&lt;&gt;Constants!$B$8,"",IF($BI119="-&gt;",$BP119,$BH119))</f>
        <v/>
      </c>
      <c r="BU119" s="96" t="str">
        <f aca="false">IF($BR119&lt;&gt;Constants!$B$8,"",IF($AF119,0,Constants!$B$18))</f>
        <v/>
      </c>
      <c r="BV119" s="96" t="str">
        <f aca="false">IF($BR119&lt;&gt;Constants!$B$8,"",((Constants!$B$31-$AZ119)-Constants!$B$31)/Constants!$B$32)</f>
        <v/>
      </c>
      <c r="BW119" s="96" t="str">
        <f aca="false">IF(ISBLANK($C119),"",IF($BR119&lt;&gt;Constants!$B$8,$BR119,SUM($BT119:$BV119)))</f>
        <v/>
      </c>
      <c r="BX119" s="92" t="str">
        <f aca="false">IF(ISBLANK($C119),"",IF($BR119&lt;&gt;Constants!$B$8,$BR119,RANK($BW119,$BW$9:$BW$508,1)))</f>
        <v/>
      </c>
      <c r="BY119" s="96" t="str">
        <f aca="false">IF($BR119&lt;&gt;Constants!$B$8,"",IF($BI119="-&gt;",$BK119,$BC119))</f>
        <v/>
      </c>
      <c r="BZ119" s="92" t="str">
        <f aca="false">IF(ISBLANK($C119),"",IF($BR119&lt;&gt;Constants!$B$8,$BR119,IF(ISNUMBER($BY119),RANK($BY119,$BY$9:$BY$508,1),COUNT($BY$9:$BY$508)+1)))</f>
        <v/>
      </c>
      <c r="CA119" s="96" t="str">
        <f aca="false">IF($BR119&lt;&gt;Constants!$B$8,"",IF($BI119="-&gt;",$BL119,$BD119))</f>
        <v/>
      </c>
      <c r="CB119" s="92" t="str">
        <f aca="false">IF(ISBLANK($C119),"",IF($BR119&lt;&gt;Constants!$B$8,$BR119,IF(ISNUMBER($CA119),RANK($CA119,$CA$9:$CA$508,1),COUNT($CA$9:$CA$508)+1)))</f>
        <v/>
      </c>
      <c r="CC119" s="96" t="str">
        <f aca="false">IF($BR119&lt;&gt;Constants!$B$8,"",IF($BI119="-&gt;",IF($AT119,$AV119,""),IF($AL119,$AN119,"")))</f>
        <v/>
      </c>
      <c r="CD119" s="92" t="str">
        <f aca="false">IF(ISBLANK($C119),"",IF($BR119&lt;&gt;Constants!$B$8,$BR119,IF(ISNUMBER($CC119),RANK($CC119,$CC$9:$CC$508,1),COUNT($CC$9:$CC$508)+1)))</f>
        <v/>
      </c>
      <c r="CE119" s="96" t="str">
        <f aca="false">IF($BR119&lt;&gt;Constants!$B$8,"",IF(AND(NOT($AL119),NOT($AT119),$AJ119,$AK119,$AR119,$AS119),"",$AI119))</f>
        <v/>
      </c>
      <c r="CF119" s="92" t="str">
        <f aca="false">IF(ISBLANK($C119),"",IF($BR119&lt;&gt;Constants!$B$8,$BR119,IF(ISNUMBER($CE119),RANK($CE119,$CE$9:$CE$508,1),COUNT($CE$9:$CE$508)+1)))</f>
        <v/>
      </c>
      <c r="CG119" s="92" t="str">
        <f aca="false">IF(ISBLANK($C119),"",IF($BR119&lt;&gt;Constants!$B$8,$BR119,COUNTIFS($BX$9:$BX$508,"&lt;"&amp;$BX119)+COUNTIFS($BX$9:$BX$508,$BX119,$BZ$9:$BZ$508,"&lt;"&amp;$BZ119)+COUNTIFS($BX$9:$BX$508,$BX119,$BZ$9:$BZ$508,$BZ119,$CB$9:$CB$508,"&lt;"&amp;$CB119)+COUNTIFS($BX$9:$BX$508,$BX119,$BZ$9:$BZ$508,$BZ119,$CB$9:$CB$508,$CB119,$CD$9:$CD$508,"&lt;"&amp;$CD119)+COUNTIFS($BX$9:$BX$508,$BX119,$BZ$9:$BZ$508,$BZ119,$CB$9:$CB$508,$CB119,$CD$9:$CD$508,$CD119,$CF$9:$CF$508,"&lt;"&amp;$CF119)+1))</f>
        <v/>
      </c>
      <c r="CH119" s="92" t="str">
        <f aca="false">IF(ISBLANK($C119),"",IF($BR119&lt;&gt;Constants!$B$8,$BR119,$BX119-$CG119))</f>
        <v/>
      </c>
      <c r="CI119" s="98"/>
      <c r="CJ119" s="99"/>
      <c r="CK119" s="100" t="str">
        <f aca="false">IF(ISBLANK($C119),"",IF($BR119=Constants!$B$12,$BQ119,""))</f>
        <v/>
      </c>
      <c r="CL119" s="99" t="str">
        <f aca="false">IF(ISBLANK($C119),"",IF($BR119&lt;&gt;Constants!$B$8,"",IF($BI119="-&gt;",2,1)))</f>
        <v/>
      </c>
      <c r="CM119" s="101" t="str">
        <f aca="false">IF(ISBLANK($C119),"",IF($BR119&lt;&gt;Constants!$B$8,"",IF($BI119="-&gt;",$BK119,$BC119)))</f>
        <v/>
      </c>
      <c r="CN119" s="101" t="str">
        <f aca="false">IF(ISBLANK($C119),"",IF($BR119&lt;&gt;Constants!$B$8,"",IF($BI119="-&gt;",$BL119,$BD119)))</f>
        <v/>
      </c>
      <c r="CO119" s="101" t="str">
        <f aca="false">IF(ISBLANK($C119),"",IF($BR119&lt;&gt;Constants!$B$8,"",IF($BI119="-&gt;",$BM119+$BN119,$BE119+$BF119)+$BV119))</f>
        <v/>
      </c>
      <c r="CP119" s="101" t="str">
        <f aca="false">IF(ISBLANK($C119),"",IF($BR119&lt;&gt;Constants!$B$8,"",IF($BI119="-&gt;",$BO119,$BG119)+$BU119))</f>
        <v/>
      </c>
      <c r="CQ119" s="102" t="str">
        <f aca="false">IF(ISBLANK($C119),"",IF($BR119&lt;&gt;Constants!$B$8,$BR119,$BW119))</f>
        <v/>
      </c>
      <c r="CR119" s="103" t="str">
        <f aca="false">IF(ISBLANK($C119),"",$BS119)</f>
        <v/>
      </c>
      <c r="CS119" s="104" t="str">
        <f aca="false">IF(ISBLANK($C119),"",$CH119)</f>
        <v/>
      </c>
      <c r="CT119" s="104" t="str">
        <f aca="false">IF(ISBLANK($C119),"",$CG119)</f>
        <v/>
      </c>
      <c r="CU119" s="105" t="str">
        <f aca="false">IF(ISBLANK($C119),"",IFERROR(_xlfn.SWITCH($CT119,Constants!$B$11,COUNTA($C$9:$C$508)+2,Constants!$B$10,COUNTA($C$9:$C$508)+1,Constants!$B$9,COUNTA($C$9:$C$508)),$CT119))</f>
        <v/>
      </c>
      <c r="CV119" s="9"/>
      <c r="CW119" s="106" t="n">
        <f aca="false">IF(OR(ISNUMBER($CT119),$CT119=Constants!$B$11,$CT119=Constants!$B$9,$CT119=Constants!$B$10),1,0)</f>
        <v>0</v>
      </c>
      <c r="CX119" s="106" t="n">
        <v>111</v>
      </c>
      <c r="CY119" s="106" t="str">
        <f aca="false">IF(ISBLANK($C119),"",IF(ISNUMBER($CU119),$CU119+ROW($B119)/1000,""))</f>
        <v/>
      </c>
      <c r="CZ119" s="106" t="str">
        <f aca="false">IF(ISNUMBER($CY119),RANK($CY119,$CY$9:$CY$508,1),"")</f>
        <v/>
      </c>
      <c r="DA119" s="106" t="str">
        <f aca="false">IF(ISBLANK($C119),"",$B119)</f>
        <v/>
      </c>
      <c r="DB119" s="106" t="str">
        <f aca="false">IF(ISBLANK($C119),"",$C119)</f>
        <v/>
      </c>
      <c r="DC119" s="106" t="str">
        <f aca="false">IF(ISBLANK($C119),"",$D119)</f>
        <v/>
      </c>
      <c r="DD119" s="107" t="str">
        <f aca="false">$CR119</f>
        <v/>
      </c>
      <c r="DE119" s="108" t="str">
        <f aca="false">$CQ119</f>
        <v/>
      </c>
      <c r="DF119" s="106" t="str">
        <f aca="false">IF(ISBLANK($C119),"",$CT119)</f>
        <v/>
      </c>
      <c r="DG119" s="109" t="str">
        <f aca="false">IF($CX119&gt;$CW$8,"",VLOOKUP($CX119,$CZ$9:$DF$508,7,FALSE()))</f>
        <v/>
      </c>
      <c r="DH119" s="110" t="str">
        <f aca="false">IF($CX119&gt;$CW$8,"",VLOOKUP($CX119,$CZ$9:$DF$508,2,FALSE()))</f>
        <v/>
      </c>
      <c r="DI119" s="110" t="str">
        <f aca="false">IF($CX119&gt;$CW$8,"",VLOOKUP($CX119,$CZ$9:$DF$508,3,FALSE()))</f>
        <v/>
      </c>
      <c r="DJ119" s="110" t="str">
        <f aca="false">IF($CX119&gt;$CW$8,"",VLOOKUP($CX119,$CZ$9:$DF$508,4,FALSE()))</f>
        <v/>
      </c>
      <c r="DK119" s="110" t="str">
        <f aca="false">IF($CX119&gt;$CW$8,"",VLOOKUP($CX119,$CZ$9:$DF$508,5,FALSE()))</f>
        <v/>
      </c>
      <c r="DL119" s="111" t="str">
        <f aca="false">IF($CX119&gt;$CW$8,"",VLOOKUP($CX119,$CZ$9:$DF$508,6,FALSE()))</f>
        <v/>
      </c>
      <c r="DM119" s="75"/>
    </row>
    <row r="120" customFormat="false" ht="15.75" hidden="false" customHeight="false" outlineLevel="0" collapsed="false">
      <c r="A120" s="9"/>
      <c r="B120" s="157"/>
      <c r="C120" s="158"/>
      <c r="D120" s="159"/>
      <c r="E120" s="177"/>
      <c r="F120" s="161"/>
      <c r="G120" s="162"/>
      <c r="H120" s="162"/>
      <c r="I120" s="178"/>
      <c r="J120" s="165"/>
      <c r="K120" s="126"/>
      <c r="L120" s="127"/>
      <c r="M120" s="128"/>
      <c r="N120" s="165"/>
      <c r="O120" s="165"/>
      <c r="P120" s="177"/>
      <c r="Q120" s="165"/>
      <c r="R120" s="165"/>
      <c r="S120" s="126"/>
      <c r="T120" s="128"/>
      <c r="U120" s="128"/>
      <c r="V120" s="165"/>
      <c r="W120" s="165"/>
      <c r="X120" s="177"/>
      <c r="Y120" s="165"/>
      <c r="Z120" s="166"/>
      <c r="AA120" s="165"/>
      <c r="AB120" s="132"/>
      <c r="AC120" s="133"/>
      <c r="AD120" s="133"/>
      <c r="AE120" s="133"/>
      <c r="AF120" s="133" t="str">
        <f aca="false">IF(ISBLANK($C120),"",IF(E120=Constants!$B$3,TRUE(),IF(E120=Constants!$B$4,FALSE(),TRUE())))</f>
        <v/>
      </c>
      <c r="AG120" s="133" t="str">
        <f aca="false">IF(ISBLANK($C120),"",IF(F120=Constants!$B$3,TRUE(),IF(F120=Constants!$B$4,FALSE(),TRUE())))</f>
        <v/>
      </c>
      <c r="AH120" s="133" t="str">
        <f aca="false">IF(ISBLANK($C120),"",IF(G120=Constants!$B$3,TRUE(),IF(G120=Constants!$B$4,FALSE(),TRUE())))</f>
        <v/>
      </c>
      <c r="AI120" s="133" t="str">
        <f aca="false">IF(ISBLANK($C120),"",IF(AND(ISNUMBER(H120),H120&gt;=0),H120,Constants!$B$29))</f>
        <v/>
      </c>
      <c r="AJ120" s="133" t="str">
        <f aca="false">IF(ISBLANK($C120),"",IF(I120=Constants!$B$3,TRUE(),IF(I120=Constants!$B$4,FALSE(),TRUE())))</f>
        <v/>
      </c>
      <c r="AK120" s="133" t="str">
        <f aca="false">IF(ISBLANK($C120),"",IF(J120=Constants!$B$3,TRUE(),IF(J120=Constants!$B$4,FALSE(),TRUE())))</f>
        <v/>
      </c>
      <c r="AL120" s="133" t="str">
        <f aca="false">IF(ISBLANK($C120),"",IF(K120=Constants!$B$5,TRUE(),IF(K120=Constants!$B$6,FALSE(),COUNTA(L120:P120)&gt;0)))</f>
        <v/>
      </c>
      <c r="AM120" s="134" t="str">
        <f aca="false">IF(ISBLANK($C120),"",IF(ISNUMBER(L120),IF(L120&gt;=0,L120,""),""))</f>
        <v/>
      </c>
      <c r="AN120" s="135" t="str">
        <f aca="false">IF(ISBLANK($C120),"",IF(ISNUMBER(M120),IF(M120&gt;=0,M120,""),""))</f>
        <v/>
      </c>
      <c r="AO120" s="135" t="str">
        <f aca="false">IF(ISBLANK($C120),"",IF(N120=Constants!$B$3,TRUE(),IF(N120=Constants!$B$4,FALSE(),TRUE())))</f>
        <v/>
      </c>
      <c r="AP120" s="133" t="str">
        <f aca="false">IF(ISBLANK($C120),"",IF(ISNUMBER(O120),IF(O120&gt;=0,O120,""),""))</f>
        <v/>
      </c>
      <c r="AQ120" s="133" t="str">
        <f aca="false">IF(ISBLANK($C120),"",IF(P120=Constants!$B$3,TRUE(),IF(P120=Constants!$B$4,FALSE(),FALSE())))</f>
        <v/>
      </c>
      <c r="AR120" s="133" t="str">
        <f aca="false">IF(ISBLANK($C120),"",IF(Q120=Constants!$B$3,TRUE(),IF(Q120=Constants!$B$4,FALSE(),TRUE())))</f>
        <v/>
      </c>
      <c r="AS120" s="133" t="str">
        <f aca="false">IF(ISBLANK($C120),"",IF(R120=Constants!$B$3,TRUE(),IF(R120=Constants!$B$4,FALSE(),TRUE())))</f>
        <v/>
      </c>
      <c r="AT120" s="133" t="str">
        <f aca="false">IF(ISBLANK($C120),"",IF(S120=Constants!$B$5,TRUE(),IF(S120=Constants!$B$6,FALSE(),COUNTA(T120:X120)&gt;0)))</f>
        <v/>
      </c>
      <c r="AU120" s="134" t="str">
        <f aca="false">IF(ISBLANK($C120),"",IF(ISNUMBER(T120),IF(T120&gt;=0,T120,""),""))</f>
        <v/>
      </c>
      <c r="AV120" s="135" t="str">
        <f aca="false">IF(ISBLANK($C120),"",IF(ISNUMBER(U120),IF(U120&gt;=0,U120,""),""))</f>
        <v/>
      </c>
      <c r="AW120" s="135" t="str">
        <f aca="false">IF(ISBLANK($C120),"",IF(V120=Constants!$B$3,TRUE(),IF(V120=Constants!$B$4,FALSE(),TRUE())))</f>
        <v/>
      </c>
      <c r="AX120" s="133" t="str">
        <f aca="false">IF(ISBLANK($C120),"",IF(ISNUMBER(W120),IF(W120&gt;=0,W120,""),""))</f>
        <v/>
      </c>
      <c r="AY120" s="133" t="str">
        <f aca="false">IF(ISBLANK($C120),"",IF(X120=Constants!$B$3,TRUE(),IF(X120=Constants!$B$4,FALSE(),FALSE())))</f>
        <v/>
      </c>
      <c r="AZ120" s="133" t="str">
        <f aca="false">IF(ISBLANK($C120),"",MIN(Constants!$B$31,MAX(0,IF(ISNUMBER(Y120),Y120*60,0)+IF(ISNUMBER(Z120),Z120,0))))</f>
        <v/>
      </c>
      <c r="BA120" s="133" t="str">
        <f aca="false">IF(ISBLANK($C120),"",IF(AA120=Constants!$B$3,TRUE(),IF(AA120=Constants!$B$4,FALSE(),FALSE())))</f>
        <v/>
      </c>
      <c r="BB120" s="132" t="str">
        <f aca="false">IF(ISBLANK($C120),"",AND($AL120,OR($AM120="",$AN120="",AND($AO120,$AP120=""))))</f>
        <v/>
      </c>
      <c r="BC120" s="135" t="str">
        <f aca="false">IF($BR120&lt;&gt;Constants!$B$8,"",IF($AL120,Constants!$B$21*$AN120+Constants!$B$22*IF($AO120,$AP120,Constants!$B$23),Constants!$B$24))</f>
        <v/>
      </c>
      <c r="BD120" s="136" t="str">
        <f aca="false">IF($BR120&lt;&gt;Constants!$B$8,"",Constants!$B$25*ABS($AD$9-IF($AL120,$AM120,0)))</f>
        <v/>
      </c>
      <c r="BE120" s="136" t="str">
        <f aca="false">IF($BR120&lt;&gt;Constants!$B$8,"",IF(AND($AL120,$AQ120,$AO120),Constants!$B$27,0))</f>
        <v/>
      </c>
      <c r="BF120" s="136" t="str">
        <f aca="false">IF($BR120&lt;&gt;Constants!$B$8,"",IF($AL120,($AI120-Constants!$B$29)*Constants!$B$28,0))</f>
        <v/>
      </c>
      <c r="BG120" s="136" t="str">
        <f aca="false">IF($BR120&lt;&gt;Constants!$B$8,"",IF($AK120,0,Constants!$B$15)+IF($AJ120,0,Constants!$B$16)+IF($AH120,0,Constants!$B$17))</f>
        <v/>
      </c>
      <c r="BH120" s="137" t="str">
        <f aca="false">IF($BR120&lt;&gt;Constants!$B$8,"",Constants!$B$20+SUM($BC120:$BG120))</f>
        <v/>
      </c>
      <c r="BI120" s="133" t="str">
        <f aca="false">IF($BR120&lt;&gt;Constants!$B$8,"",IF(OR($BP120&lt;$BH120,AND($BP120=$BH120,OR($BK120&lt;$BC120,AND($BK120=$BC120,OR($BL120&lt;$BD120,AND($BL120=$BD120,$AT120,$AL120,$AV120&lt;$AN120)))))),"-&gt;","&lt;-"))</f>
        <v/>
      </c>
      <c r="BJ120" s="132" t="str">
        <f aca="false">IF(ISBLANK($C120),"",AND($AT120,OR($AU120="",$AV120="",AND($AW120,$AX120=""))))</f>
        <v/>
      </c>
      <c r="BK120" s="135" t="str">
        <f aca="false">IF($BR120&lt;&gt;Constants!$B$8,"",IF($AT120,Constants!$B$21*$AV120+Constants!$B$22*IF($AW120,$AX120,Constants!$B$23),Constants!$B$24))</f>
        <v/>
      </c>
      <c r="BL120" s="136" t="str">
        <f aca="false">IF($BR120&lt;&gt;Constants!$B$8,"",Constants!$B$25*ABS($AD$9-IF($AT120,$AU120,0)))</f>
        <v/>
      </c>
      <c r="BM120" s="136" t="str">
        <f aca="false">IF($BR120&lt;&gt;Constants!$B$8,"",IF(AND($AT120,$AY120,$AW120),Constants!$B$27,0))</f>
        <v/>
      </c>
      <c r="BN120" s="136" t="str">
        <f aca="false">IF($BR120&lt;&gt;Constants!$B$8,"",IF($AT120,($AI120-Constants!$B$29)*Constants!$B$28,0))</f>
        <v/>
      </c>
      <c r="BO120" s="136" t="str">
        <f aca="false">IF($BR120&lt;&gt;Constants!$B$8,"",IF($AS120,0,Constants!$B$15)+IF($AR120,0,Constants!$B$16)+IF($AH120,0,Constants!$B$17))</f>
        <v/>
      </c>
      <c r="BP120" s="137" t="str">
        <f aca="false">IF($BR120&lt;&gt;Constants!$B$8,"",Constants!$B$20+SUM($BK120:$BO120))</f>
        <v/>
      </c>
      <c r="BQ120" s="133" t="str">
        <f aca="false">IF(ISBLANK($C120),"",IF(ISBLANK($D$7),$BQ$5,IF(NOT(ISNUMBER($D$7)),$BQ$6,"")))</f>
        <v/>
      </c>
      <c r="BR120" s="133" t="str">
        <f aca="false">IF(ISBLANK($C120),"",IF($BA120,Constants!$B$11,IF(COUNTA($E120:$AA120)=0,Constants!$B$10,IF(NOT($AG120),Constants!$B$9,IF(OR($BQ120&lt;&gt;"",$BB120,$BJ120),Constants!$B$12,Constants!$B$8)))))</f>
        <v/>
      </c>
      <c r="BS120" s="133" t="str">
        <f aca="false">IF(ISBLANK($C120),"",IF($BR120&lt;&gt;Constants!$B$8,$BR120,Constants!$B$13))</f>
        <v/>
      </c>
      <c r="BT120" s="136" t="str">
        <f aca="false">IF($BR120&lt;&gt;Constants!$B$8,"",IF($BI120="-&gt;",$BP120,$BH120))</f>
        <v/>
      </c>
      <c r="BU120" s="136" t="str">
        <f aca="false">IF($BR120&lt;&gt;Constants!$B$8,"",IF($AF120,0,Constants!$B$18))</f>
        <v/>
      </c>
      <c r="BV120" s="136" t="str">
        <f aca="false">IF($BR120&lt;&gt;Constants!$B$8,"",((Constants!$B$31-$AZ120)-Constants!$B$31)/Constants!$B$32)</f>
        <v/>
      </c>
      <c r="BW120" s="136" t="str">
        <f aca="false">IF(ISBLANK($C120),"",IF($BR120&lt;&gt;Constants!$B$8,$BR120,SUM($BT120:$BV120)))</f>
        <v/>
      </c>
      <c r="BX120" s="133" t="str">
        <f aca="false">IF(ISBLANK($C120),"",IF($BR120&lt;&gt;Constants!$B$8,$BR120,RANK($BW120,$BW$9:$BW$508,1)))</f>
        <v/>
      </c>
      <c r="BY120" s="136" t="str">
        <f aca="false">IF($BR120&lt;&gt;Constants!$B$8,"",IF($BI120="-&gt;",$BK120,$BC120))</f>
        <v/>
      </c>
      <c r="BZ120" s="133" t="str">
        <f aca="false">IF(ISBLANK($C120),"",IF($BR120&lt;&gt;Constants!$B$8,$BR120,IF(ISNUMBER($BY120),RANK($BY120,$BY$9:$BY$508,1),COUNT($BY$9:$BY$508)+1)))</f>
        <v/>
      </c>
      <c r="CA120" s="136" t="str">
        <f aca="false">IF($BR120&lt;&gt;Constants!$B$8,"",IF($BI120="-&gt;",$BL120,$BD120))</f>
        <v/>
      </c>
      <c r="CB120" s="133" t="str">
        <f aca="false">IF(ISBLANK($C120),"",IF($BR120&lt;&gt;Constants!$B$8,$BR120,IF(ISNUMBER($CA120),RANK($CA120,$CA$9:$CA$508,1),COUNT($CA$9:$CA$508)+1)))</f>
        <v/>
      </c>
      <c r="CC120" s="136" t="str">
        <f aca="false">IF($BR120&lt;&gt;Constants!$B$8,"",IF($BI120="-&gt;",IF($AT120,$AV120,""),IF($AL120,$AN120,"")))</f>
        <v/>
      </c>
      <c r="CD120" s="133" t="str">
        <f aca="false">IF(ISBLANK($C120),"",IF($BR120&lt;&gt;Constants!$B$8,$BR120,IF(ISNUMBER($CC120),RANK($CC120,$CC$9:$CC$508,1),COUNT($CC$9:$CC$508)+1)))</f>
        <v/>
      </c>
      <c r="CE120" s="136" t="str">
        <f aca="false">IF($BR120&lt;&gt;Constants!$B$8,"",IF(AND(NOT($AL120),NOT($AT120),$AJ120,$AK120,$AR120,$AS120),"",$AI120))</f>
        <v/>
      </c>
      <c r="CF120" s="133" t="str">
        <f aca="false">IF(ISBLANK($C120),"",IF($BR120&lt;&gt;Constants!$B$8,$BR120,IF(ISNUMBER($CE120),RANK($CE120,$CE$9:$CE$508,1),COUNT($CE$9:$CE$508)+1)))</f>
        <v/>
      </c>
      <c r="CG120" s="133" t="str">
        <f aca="false">IF(ISBLANK($C120),"",IF($BR120&lt;&gt;Constants!$B$8,$BR120,COUNTIFS($BX$9:$BX$508,"&lt;"&amp;$BX120)+COUNTIFS($BX$9:$BX$508,$BX120,$BZ$9:$BZ$508,"&lt;"&amp;$BZ120)+COUNTIFS($BX$9:$BX$508,$BX120,$BZ$9:$BZ$508,$BZ120,$CB$9:$CB$508,"&lt;"&amp;$CB120)+COUNTIFS($BX$9:$BX$508,$BX120,$BZ$9:$BZ$508,$BZ120,$CB$9:$CB$508,$CB120,$CD$9:$CD$508,"&lt;"&amp;$CD120)+COUNTIFS($BX$9:$BX$508,$BX120,$BZ$9:$BZ$508,$BZ120,$CB$9:$CB$508,$CB120,$CD$9:$CD$508,$CD120,$CF$9:$CF$508,"&lt;"&amp;$CF120)+1))</f>
        <v/>
      </c>
      <c r="CH120" s="133" t="str">
        <f aca="false">IF(ISBLANK($C120),"",IF($BR120&lt;&gt;Constants!$B$8,$BR120,$BX120-$CG120))</f>
        <v/>
      </c>
      <c r="CI120" s="138"/>
      <c r="CJ120" s="139"/>
      <c r="CK120" s="140" t="str">
        <f aca="false">IF(ISBLANK($C120),"",IF($BR120=Constants!$B$12,$BQ120,""))</f>
        <v/>
      </c>
      <c r="CL120" s="139" t="str">
        <f aca="false">IF(ISBLANK($C120),"",IF($BR120&lt;&gt;Constants!$B$8,"",IF($BI120="-&gt;",2,1)))</f>
        <v/>
      </c>
      <c r="CM120" s="141" t="str">
        <f aca="false">IF(ISBLANK($C120),"",IF($BR120&lt;&gt;Constants!$B$8,"",IF($BI120="-&gt;",$BK120,$BC120)))</f>
        <v/>
      </c>
      <c r="CN120" s="141" t="str">
        <f aca="false">IF(ISBLANK($C120),"",IF($BR120&lt;&gt;Constants!$B$8,"",IF($BI120="-&gt;",$BL120,$BD120)))</f>
        <v/>
      </c>
      <c r="CO120" s="141" t="str">
        <f aca="false">IF(ISBLANK($C120),"",IF($BR120&lt;&gt;Constants!$B$8,"",IF($BI120="-&gt;",$BM120+$BN120,$BE120+$BF120)+$BV120))</f>
        <v/>
      </c>
      <c r="CP120" s="141" t="str">
        <f aca="false">IF(ISBLANK($C120),"",IF($BR120&lt;&gt;Constants!$B$8,"",IF($BI120="-&gt;",$BO120,$BG120)+$BU120))</f>
        <v/>
      </c>
      <c r="CQ120" s="142" t="str">
        <f aca="false">IF(ISBLANK($C120),"",IF($BR120&lt;&gt;Constants!$B$8,$BR120,$BW120))</f>
        <v/>
      </c>
      <c r="CR120" s="143" t="str">
        <f aca="false">IF(ISBLANK($C120),"",$BS120)</f>
        <v/>
      </c>
      <c r="CS120" s="144" t="str">
        <f aca="false">IF(ISBLANK($C120),"",$CH120)</f>
        <v/>
      </c>
      <c r="CT120" s="144" t="str">
        <f aca="false">IF(ISBLANK($C120),"",$CG120)</f>
        <v/>
      </c>
      <c r="CU120" s="145" t="str">
        <f aca="false">IF(ISBLANK($C120),"",IFERROR(_xlfn.SWITCH($CT120,Constants!$B$11,COUNTA($C$9:$C$508)+2,Constants!$B$10,COUNTA($C$9:$C$508)+1,Constants!$B$9,COUNTA($C$9:$C$508)),$CT120))</f>
        <v/>
      </c>
      <c r="CV120" s="9"/>
      <c r="CW120" s="146" t="n">
        <f aca="false">IF(OR(ISNUMBER($CT120),$CT120=Constants!$B$11,$CT120=Constants!$B$9,$CT120=Constants!$B$10),1,0)</f>
        <v>0</v>
      </c>
      <c r="CX120" s="146" t="n">
        <v>112</v>
      </c>
      <c r="CY120" s="146" t="str">
        <f aca="false">IF(ISBLANK($C120),"",IF(ISNUMBER($CU120),$CU120+ROW($B120)/1000,""))</f>
        <v/>
      </c>
      <c r="CZ120" s="146" t="str">
        <f aca="false">IF(ISNUMBER($CY120),RANK($CY120,$CY$9:$CY$508,1),"")</f>
        <v/>
      </c>
      <c r="DA120" s="146" t="str">
        <f aca="false">IF(ISBLANK($C120),"",$B120)</f>
        <v/>
      </c>
      <c r="DB120" s="146" t="str">
        <f aca="false">IF(ISBLANK($C120),"",$C120)</f>
        <v/>
      </c>
      <c r="DC120" s="146" t="str">
        <f aca="false">IF(ISBLANK($C120),"",$D120)</f>
        <v/>
      </c>
      <c r="DD120" s="147" t="str">
        <f aca="false">$CR120</f>
        <v/>
      </c>
      <c r="DE120" s="148" t="str">
        <f aca="false">$CQ120</f>
        <v/>
      </c>
      <c r="DF120" s="146" t="str">
        <f aca="false">IF(ISBLANK($C120),"",$CT120)</f>
        <v/>
      </c>
      <c r="DG120" s="149" t="str">
        <f aca="false">IF($CX120&gt;$CW$8,"",VLOOKUP($CX120,$CZ$9:$DF$508,7,FALSE()))</f>
        <v/>
      </c>
      <c r="DH120" s="150" t="str">
        <f aca="false">IF($CX120&gt;$CW$8,"",VLOOKUP($CX120,$CZ$9:$DF$508,2,FALSE()))</f>
        <v/>
      </c>
      <c r="DI120" s="150" t="str">
        <f aca="false">IF($CX120&gt;$CW$8,"",VLOOKUP($CX120,$CZ$9:$DF$508,3,FALSE()))</f>
        <v/>
      </c>
      <c r="DJ120" s="150" t="str">
        <f aca="false">IF($CX120&gt;$CW$8,"",VLOOKUP($CX120,$CZ$9:$DF$508,4,FALSE()))</f>
        <v/>
      </c>
      <c r="DK120" s="150" t="str">
        <f aca="false">IF($CX120&gt;$CW$8,"",VLOOKUP($CX120,$CZ$9:$DF$508,5,FALSE()))</f>
        <v/>
      </c>
      <c r="DL120" s="151" t="str">
        <f aca="false">IF($CX120&gt;$CW$8,"",VLOOKUP($CX120,$CZ$9:$DF$508,6,FALSE()))</f>
        <v/>
      </c>
      <c r="DM120" s="75"/>
    </row>
    <row r="121" customFormat="false" ht="15.75" hidden="false" customHeight="false" outlineLevel="0" collapsed="false">
      <c r="A121" s="9"/>
      <c r="B121" s="157"/>
      <c r="C121" s="158"/>
      <c r="D121" s="159"/>
      <c r="E121" s="177"/>
      <c r="F121" s="161"/>
      <c r="G121" s="162"/>
      <c r="H121" s="162"/>
      <c r="I121" s="178"/>
      <c r="J121" s="165"/>
      <c r="K121" s="126"/>
      <c r="L121" s="127"/>
      <c r="M121" s="128"/>
      <c r="N121" s="165"/>
      <c r="O121" s="165"/>
      <c r="P121" s="177"/>
      <c r="Q121" s="165"/>
      <c r="R121" s="165"/>
      <c r="S121" s="126"/>
      <c r="T121" s="128"/>
      <c r="U121" s="128"/>
      <c r="V121" s="165"/>
      <c r="W121" s="165"/>
      <c r="X121" s="177"/>
      <c r="Y121" s="165"/>
      <c r="Z121" s="166"/>
      <c r="AA121" s="165"/>
      <c r="AB121" s="132"/>
      <c r="AC121" s="133"/>
      <c r="AD121" s="133"/>
      <c r="AE121" s="133"/>
      <c r="AF121" s="133" t="str">
        <f aca="false">IF(ISBLANK($C121),"",IF(E121=Constants!$B$3,TRUE(),IF(E121=Constants!$B$4,FALSE(),TRUE())))</f>
        <v/>
      </c>
      <c r="AG121" s="133" t="str">
        <f aca="false">IF(ISBLANK($C121),"",IF(F121=Constants!$B$3,TRUE(),IF(F121=Constants!$B$4,FALSE(),TRUE())))</f>
        <v/>
      </c>
      <c r="AH121" s="133" t="str">
        <f aca="false">IF(ISBLANK($C121),"",IF(G121=Constants!$B$3,TRUE(),IF(G121=Constants!$B$4,FALSE(),TRUE())))</f>
        <v/>
      </c>
      <c r="AI121" s="133" t="str">
        <f aca="false">IF(ISBLANK($C121),"",IF(AND(ISNUMBER(H121),H121&gt;=0),H121,Constants!$B$29))</f>
        <v/>
      </c>
      <c r="AJ121" s="133" t="str">
        <f aca="false">IF(ISBLANK($C121),"",IF(I121=Constants!$B$3,TRUE(),IF(I121=Constants!$B$4,FALSE(),TRUE())))</f>
        <v/>
      </c>
      <c r="AK121" s="133" t="str">
        <f aca="false">IF(ISBLANK($C121),"",IF(J121=Constants!$B$3,TRUE(),IF(J121=Constants!$B$4,FALSE(),TRUE())))</f>
        <v/>
      </c>
      <c r="AL121" s="133" t="str">
        <f aca="false">IF(ISBLANK($C121),"",IF(K121=Constants!$B$5,TRUE(),IF(K121=Constants!$B$6,FALSE(),COUNTA(L121:P121)&gt;0)))</f>
        <v/>
      </c>
      <c r="AM121" s="134" t="str">
        <f aca="false">IF(ISBLANK($C121),"",IF(ISNUMBER(L121),IF(L121&gt;=0,L121,""),""))</f>
        <v/>
      </c>
      <c r="AN121" s="135" t="str">
        <f aca="false">IF(ISBLANK($C121),"",IF(ISNUMBER(M121),IF(M121&gt;=0,M121,""),""))</f>
        <v/>
      </c>
      <c r="AO121" s="135" t="str">
        <f aca="false">IF(ISBLANK($C121),"",IF(N121=Constants!$B$3,TRUE(),IF(N121=Constants!$B$4,FALSE(),TRUE())))</f>
        <v/>
      </c>
      <c r="AP121" s="133" t="str">
        <f aca="false">IF(ISBLANK($C121),"",IF(ISNUMBER(O121),IF(O121&gt;=0,O121,""),""))</f>
        <v/>
      </c>
      <c r="AQ121" s="133" t="str">
        <f aca="false">IF(ISBLANK($C121),"",IF(P121=Constants!$B$3,TRUE(),IF(P121=Constants!$B$4,FALSE(),FALSE())))</f>
        <v/>
      </c>
      <c r="AR121" s="133" t="str">
        <f aca="false">IF(ISBLANK($C121),"",IF(Q121=Constants!$B$3,TRUE(),IF(Q121=Constants!$B$4,FALSE(),TRUE())))</f>
        <v/>
      </c>
      <c r="AS121" s="133" t="str">
        <f aca="false">IF(ISBLANK($C121),"",IF(R121=Constants!$B$3,TRUE(),IF(R121=Constants!$B$4,FALSE(),TRUE())))</f>
        <v/>
      </c>
      <c r="AT121" s="133" t="str">
        <f aca="false">IF(ISBLANK($C121),"",IF(S121=Constants!$B$5,TRUE(),IF(S121=Constants!$B$6,FALSE(),COUNTA(T121:X121)&gt;0)))</f>
        <v/>
      </c>
      <c r="AU121" s="134" t="str">
        <f aca="false">IF(ISBLANK($C121),"",IF(ISNUMBER(T121),IF(T121&gt;=0,T121,""),""))</f>
        <v/>
      </c>
      <c r="AV121" s="135" t="str">
        <f aca="false">IF(ISBLANK($C121),"",IF(ISNUMBER(U121),IF(U121&gt;=0,U121,""),""))</f>
        <v/>
      </c>
      <c r="AW121" s="135" t="str">
        <f aca="false">IF(ISBLANK($C121),"",IF(V121=Constants!$B$3,TRUE(),IF(V121=Constants!$B$4,FALSE(),TRUE())))</f>
        <v/>
      </c>
      <c r="AX121" s="133" t="str">
        <f aca="false">IF(ISBLANK($C121),"",IF(ISNUMBER(W121),IF(W121&gt;=0,W121,""),""))</f>
        <v/>
      </c>
      <c r="AY121" s="133" t="str">
        <f aca="false">IF(ISBLANK($C121),"",IF(X121=Constants!$B$3,TRUE(),IF(X121=Constants!$B$4,FALSE(),FALSE())))</f>
        <v/>
      </c>
      <c r="AZ121" s="133" t="str">
        <f aca="false">IF(ISBLANK($C121),"",MIN(Constants!$B$31,MAX(0,IF(ISNUMBER(Y121),Y121*60,0)+IF(ISNUMBER(Z121),Z121,0))))</f>
        <v/>
      </c>
      <c r="BA121" s="133" t="str">
        <f aca="false">IF(ISBLANK($C121),"",IF(AA121=Constants!$B$3,TRUE(),IF(AA121=Constants!$B$4,FALSE(),FALSE())))</f>
        <v/>
      </c>
      <c r="BB121" s="132" t="str">
        <f aca="false">IF(ISBLANK($C121),"",AND($AL121,OR($AM121="",$AN121="",AND($AO121,$AP121=""))))</f>
        <v/>
      </c>
      <c r="BC121" s="135" t="str">
        <f aca="false">IF($BR121&lt;&gt;Constants!$B$8,"",IF($AL121,Constants!$B$21*$AN121+Constants!$B$22*IF($AO121,$AP121,Constants!$B$23),Constants!$B$24))</f>
        <v/>
      </c>
      <c r="BD121" s="136" t="str">
        <f aca="false">IF($BR121&lt;&gt;Constants!$B$8,"",Constants!$B$25*ABS($AD$9-IF($AL121,$AM121,0)))</f>
        <v/>
      </c>
      <c r="BE121" s="136" t="str">
        <f aca="false">IF($BR121&lt;&gt;Constants!$B$8,"",IF(AND($AL121,$AQ121,$AO121),Constants!$B$27,0))</f>
        <v/>
      </c>
      <c r="BF121" s="136" t="str">
        <f aca="false">IF($BR121&lt;&gt;Constants!$B$8,"",IF($AL121,($AI121-Constants!$B$29)*Constants!$B$28,0))</f>
        <v/>
      </c>
      <c r="BG121" s="136" t="str">
        <f aca="false">IF($BR121&lt;&gt;Constants!$B$8,"",IF($AK121,0,Constants!$B$15)+IF($AJ121,0,Constants!$B$16)+IF($AH121,0,Constants!$B$17))</f>
        <v/>
      </c>
      <c r="BH121" s="137" t="str">
        <f aca="false">IF($BR121&lt;&gt;Constants!$B$8,"",Constants!$B$20+SUM($BC121:$BG121))</f>
        <v/>
      </c>
      <c r="BI121" s="133" t="str">
        <f aca="false">IF($BR121&lt;&gt;Constants!$B$8,"",IF(OR($BP121&lt;$BH121,AND($BP121=$BH121,OR($BK121&lt;$BC121,AND($BK121=$BC121,OR($BL121&lt;$BD121,AND($BL121=$BD121,$AT121,$AL121,$AV121&lt;$AN121)))))),"-&gt;","&lt;-"))</f>
        <v/>
      </c>
      <c r="BJ121" s="132" t="str">
        <f aca="false">IF(ISBLANK($C121),"",AND($AT121,OR($AU121="",$AV121="",AND($AW121,$AX121=""))))</f>
        <v/>
      </c>
      <c r="BK121" s="135" t="str">
        <f aca="false">IF($BR121&lt;&gt;Constants!$B$8,"",IF($AT121,Constants!$B$21*$AV121+Constants!$B$22*IF($AW121,$AX121,Constants!$B$23),Constants!$B$24))</f>
        <v/>
      </c>
      <c r="BL121" s="136" t="str">
        <f aca="false">IF($BR121&lt;&gt;Constants!$B$8,"",Constants!$B$25*ABS($AD$9-IF($AT121,$AU121,0)))</f>
        <v/>
      </c>
      <c r="BM121" s="136" t="str">
        <f aca="false">IF($BR121&lt;&gt;Constants!$B$8,"",IF(AND($AT121,$AY121,$AW121),Constants!$B$27,0))</f>
        <v/>
      </c>
      <c r="BN121" s="136" t="str">
        <f aca="false">IF($BR121&lt;&gt;Constants!$B$8,"",IF($AT121,($AI121-Constants!$B$29)*Constants!$B$28,0))</f>
        <v/>
      </c>
      <c r="BO121" s="136" t="str">
        <f aca="false">IF($BR121&lt;&gt;Constants!$B$8,"",IF($AS121,0,Constants!$B$15)+IF($AR121,0,Constants!$B$16)+IF($AH121,0,Constants!$B$17))</f>
        <v/>
      </c>
      <c r="BP121" s="137" t="str">
        <f aca="false">IF($BR121&lt;&gt;Constants!$B$8,"",Constants!$B$20+SUM($BK121:$BO121))</f>
        <v/>
      </c>
      <c r="BQ121" s="133" t="str">
        <f aca="false">IF(ISBLANK($C121),"",IF(ISBLANK($D$7),$BQ$5,IF(NOT(ISNUMBER($D$7)),$BQ$6,"")))</f>
        <v/>
      </c>
      <c r="BR121" s="133" t="str">
        <f aca="false">IF(ISBLANK($C121),"",IF($BA121,Constants!$B$11,IF(COUNTA($E121:$AA121)=0,Constants!$B$10,IF(NOT($AG121),Constants!$B$9,IF(OR($BQ121&lt;&gt;"",$BB121,$BJ121),Constants!$B$12,Constants!$B$8)))))</f>
        <v/>
      </c>
      <c r="BS121" s="133" t="str">
        <f aca="false">IF(ISBLANK($C121),"",IF($BR121&lt;&gt;Constants!$B$8,$BR121,Constants!$B$13))</f>
        <v/>
      </c>
      <c r="BT121" s="136" t="str">
        <f aca="false">IF($BR121&lt;&gt;Constants!$B$8,"",IF($BI121="-&gt;",$BP121,$BH121))</f>
        <v/>
      </c>
      <c r="BU121" s="136" t="str">
        <f aca="false">IF($BR121&lt;&gt;Constants!$B$8,"",IF($AF121,0,Constants!$B$18))</f>
        <v/>
      </c>
      <c r="BV121" s="136" t="str">
        <f aca="false">IF($BR121&lt;&gt;Constants!$B$8,"",((Constants!$B$31-$AZ121)-Constants!$B$31)/Constants!$B$32)</f>
        <v/>
      </c>
      <c r="BW121" s="136" t="str">
        <f aca="false">IF(ISBLANK($C121),"",IF($BR121&lt;&gt;Constants!$B$8,$BR121,SUM($BT121:$BV121)))</f>
        <v/>
      </c>
      <c r="BX121" s="133" t="str">
        <f aca="false">IF(ISBLANK($C121),"",IF($BR121&lt;&gt;Constants!$B$8,$BR121,RANK($BW121,$BW$9:$BW$508,1)))</f>
        <v/>
      </c>
      <c r="BY121" s="136" t="str">
        <f aca="false">IF($BR121&lt;&gt;Constants!$B$8,"",IF($BI121="-&gt;",$BK121,$BC121))</f>
        <v/>
      </c>
      <c r="BZ121" s="133" t="str">
        <f aca="false">IF(ISBLANK($C121),"",IF($BR121&lt;&gt;Constants!$B$8,$BR121,IF(ISNUMBER($BY121),RANK($BY121,$BY$9:$BY$508,1),COUNT($BY$9:$BY$508)+1)))</f>
        <v/>
      </c>
      <c r="CA121" s="136" t="str">
        <f aca="false">IF($BR121&lt;&gt;Constants!$B$8,"",IF($BI121="-&gt;",$BL121,$BD121))</f>
        <v/>
      </c>
      <c r="CB121" s="133" t="str">
        <f aca="false">IF(ISBLANK($C121),"",IF($BR121&lt;&gt;Constants!$B$8,$BR121,IF(ISNUMBER($CA121),RANK($CA121,$CA$9:$CA$508,1),COUNT($CA$9:$CA$508)+1)))</f>
        <v/>
      </c>
      <c r="CC121" s="136" t="str">
        <f aca="false">IF($BR121&lt;&gt;Constants!$B$8,"",IF($BI121="-&gt;",IF($AT121,$AV121,""),IF($AL121,$AN121,"")))</f>
        <v/>
      </c>
      <c r="CD121" s="133" t="str">
        <f aca="false">IF(ISBLANK($C121),"",IF($BR121&lt;&gt;Constants!$B$8,$BR121,IF(ISNUMBER($CC121),RANK($CC121,$CC$9:$CC$508,1),COUNT($CC$9:$CC$508)+1)))</f>
        <v/>
      </c>
      <c r="CE121" s="136" t="str">
        <f aca="false">IF($BR121&lt;&gt;Constants!$B$8,"",IF(AND(NOT($AL121),NOT($AT121),$AJ121,$AK121,$AR121,$AS121),"",$AI121))</f>
        <v/>
      </c>
      <c r="CF121" s="133" t="str">
        <f aca="false">IF(ISBLANK($C121),"",IF($BR121&lt;&gt;Constants!$B$8,$BR121,IF(ISNUMBER($CE121),RANK($CE121,$CE$9:$CE$508,1),COUNT($CE$9:$CE$508)+1)))</f>
        <v/>
      </c>
      <c r="CG121" s="133" t="str">
        <f aca="false">IF(ISBLANK($C121),"",IF($BR121&lt;&gt;Constants!$B$8,$BR121,COUNTIFS($BX$9:$BX$508,"&lt;"&amp;$BX121)+COUNTIFS($BX$9:$BX$508,$BX121,$BZ$9:$BZ$508,"&lt;"&amp;$BZ121)+COUNTIFS($BX$9:$BX$508,$BX121,$BZ$9:$BZ$508,$BZ121,$CB$9:$CB$508,"&lt;"&amp;$CB121)+COUNTIFS($BX$9:$BX$508,$BX121,$BZ$9:$BZ$508,$BZ121,$CB$9:$CB$508,$CB121,$CD$9:$CD$508,"&lt;"&amp;$CD121)+COUNTIFS($BX$9:$BX$508,$BX121,$BZ$9:$BZ$508,$BZ121,$CB$9:$CB$508,$CB121,$CD$9:$CD$508,$CD121,$CF$9:$CF$508,"&lt;"&amp;$CF121)+1))</f>
        <v/>
      </c>
      <c r="CH121" s="133" t="str">
        <f aca="false">IF(ISBLANK($C121),"",IF($BR121&lt;&gt;Constants!$B$8,$BR121,$BX121-$CG121))</f>
        <v/>
      </c>
      <c r="CI121" s="138"/>
      <c r="CJ121" s="139"/>
      <c r="CK121" s="140" t="str">
        <f aca="false">IF(ISBLANK($C121),"",IF($BR121=Constants!$B$12,$BQ121,""))</f>
        <v/>
      </c>
      <c r="CL121" s="139" t="str">
        <f aca="false">IF(ISBLANK($C121),"",IF($BR121&lt;&gt;Constants!$B$8,"",IF($BI121="-&gt;",2,1)))</f>
        <v/>
      </c>
      <c r="CM121" s="141" t="str">
        <f aca="false">IF(ISBLANK($C121),"",IF($BR121&lt;&gt;Constants!$B$8,"",IF($BI121="-&gt;",$BK121,$BC121)))</f>
        <v/>
      </c>
      <c r="CN121" s="141" t="str">
        <f aca="false">IF(ISBLANK($C121),"",IF($BR121&lt;&gt;Constants!$B$8,"",IF($BI121="-&gt;",$BL121,$BD121)))</f>
        <v/>
      </c>
      <c r="CO121" s="141" t="str">
        <f aca="false">IF(ISBLANK($C121),"",IF($BR121&lt;&gt;Constants!$B$8,"",IF($BI121="-&gt;",$BM121+$BN121,$BE121+$BF121)+$BV121))</f>
        <v/>
      </c>
      <c r="CP121" s="141" t="str">
        <f aca="false">IF(ISBLANK($C121),"",IF($BR121&lt;&gt;Constants!$B$8,"",IF($BI121="-&gt;",$BO121,$BG121)+$BU121))</f>
        <v/>
      </c>
      <c r="CQ121" s="142" t="str">
        <f aca="false">IF(ISBLANK($C121),"",IF($BR121&lt;&gt;Constants!$B$8,$BR121,$BW121))</f>
        <v/>
      </c>
      <c r="CR121" s="143" t="str">
        <f aca="false">IF(ISBLANK($C121),"",$BS121)</f>
        <v/>
      </c>
      <c r="CS121" s="144" t="str">
        <f aca="false">IF(ISBLANK($C121),"",$CH121)</f>
        <v/>
      </c>
      <c r="CT121" s="144" t="str">
        <f aca="false">IF(ISBLANK($C121),"",$CG121)</f>
        <v/>
      </c>
      <c r="CU121" s="145" t="str">
        <f aca="false">IF(ISBLANK($C121),"",IFERROR(_xlfn.SWITCH($CT121,Constants!$B$11,COUNTA($C$9:$C$508)+2,Constants!$B$10,COUNTA($C$9:$C$508)+1,Constants!$B$9,COUNTA($C$9:$C$508)),$CT121))</f>
        <v/>
      </c>
      <c r="CV121" s="9"/>
      <c r="CW121" s="146" t="n">
        <f aca="false">IF(OR(ISNUMBER($CT121),$CT121=Constants!$B$11,$CT121=Constants!$B$9,$CT121=Constants!$B$10),1,0)</f>
        <v>0</v>
      </c>
      <c r="CX121" s="146" t="n">
        <v>113</v>
      </c>
      <c r="CY121" s="146" t="str">
        <f aca="false">IF(ISBLANK($C121),"",IF(ISNUMBER($CU121),$CU121+ROW($B121)/1000,""))</f>
        <v/>
      </c>
      <c r="CZ121" s="146" t="str">
        <f aca="false">IF(ISNUMBER($CY121),RANK($CY121,$CY$9:$CY$508,1),"")</f>
        <v/>
      </c>
      <c r="DA121" s="146" t="str">
        <f aca="false">IF(ISBLANK($C121),"",$B121)</f>
        <v/>
      </c>
      <c r="DB121" s="146" t="str">
        <f aca="false">IF(ISBLANK($C121),"",$C121)</f>
        <v/>
      </c>
      <c r="DC121" s="146" t="str">
        <f aca="false">IF(ISBLANK($C121),"",$D121)</f>
        <v/>
      </c>
      <c r="DD121" s="147" t="str">
        <f aca="false">$CR121</f>
        <v/>
      </c>
      <c r="DE121" s="148" t="str">
        <f aca="false">$CQ121</f>
        <v/>
      </c>
      <c r="DF121" s="146" t="str">
        <f aca="false">IF(ISBLANK($C121),"",$CT121)</f>
        <v/>
      </c>
      <c r="DG121" s="149" t="str">
        <f aca="false">IF($CX121&gt;$CW$8,"",VLOOKUP($CX121,$CZ$9:$DF$508,7,FALSE()))</f>
        <v/>
      </c>
      <c r="DH121" s="150" t="str">
        <f aca="false">IF($CX121&gt;$CW$8,"",VLOOKUP($CX121,$CZ$9:$DF$508,2,FALSE()))</f>
        <v/>
      </c>
      <c r="DI121" s="150" t="str">
        <f aca="false">IF($CX121&gt;$CW$8,"",VLOOKUP($CX121,$CZ$9:$DF$508,3,FALSE()))</f>
        <v/>
      </c>
      <c r="DJ121" s="150" t="str">
        <f aca="false">IF($CX121&gt;$CW$8,"",VLOOKUP($CX121,$CZ$9:$DF$508,4,FALSE()))</f>
        <v/>
      </c>
      <c r="DK121" s="150" t="str">
        <f aca="false">IF($CX121&gt;$CW$8,"",VLOOKUP($CX121,$CZ$9:$DF$508,5,FALSE()))</f>
        <v/>
      </c>
      <c r="DL121" s="151" t="str">
        <f aca="false">IF($CX121&gt;$CW$8,"",VLOOKUP($CX121,$CZ$9:$DF$508,6,FALSE()))</f>
        <v/>
      </c>
      <c r="DM121" s="75"/>
    </row>
    <row r="122" customFormat="false" ht="15.75" hidden="false" customHeight="false" outlineLevel="0" collapsed="false">
      <c r="A122" s="9"/>
      <c r="B122" s="157"/>
      <c r="C122" s="158"/>
      <c r="D122" s="159"/>
      <c r="E122" s="177"/>
      <c r="F122" s="161"/>
      <c r="G122" s="162"/>
      <c r="H122" s="162"/>
      <c r="I122" s="178"/>
      <c r="J122" s="165"/>
      <c r="K122" s="126"/>
      <c r="L122" s="127"/>
      <c r="M122" s="128"/>
      <c r="N122" s="165"/>
      <c r="O122" s="165"/>
      <c r="P122" s="177"/>
      <c r="Q122" s="165"/>
      <c r="R122" s="165"/>
      <c r="S122" s="126"/>
      <c r="T122" s="128"/>
      <c r="U122" s="128"/>
      <c r="V122" s="165"/>
      <c r="W122" s="165"/>
      <c r="X122" s="177"/>
      <c r="Y122" s="165"/>
      <c r="Z122" s="166"/>
      <c r="AA122" s="165"/>
      <c r="AB122" s="132"/>
      <c r="AC122" s="133"/>
      <c r="AD122" s="133"/>
      <c r="AE122" s="133"/>
      <c r="AF122" s="133" t="str">
        <f aca="false">IF(ISBLANK($C122),"",IF(E122=Constants!$B$3,TRUE(),IF(E122=Constants!$B$4,FALSE(),TRUE())))</f>
        <v/>
      </c>
      <c r="AG122" s="133" t="str">
        <f aca="false">IF(ISBLANK($C122),"",IF(F122=Constants!$B$3,TRUE(),IF(F122=Constants!$B$4,FALSE(),TRUE())))</f>
        <v/>
      </c>
      <c r="AH122" s="133" t="str">
        <f aca="false">IF(ISBLANK($C122),"",IF(G122=Constants!$B$3,TRUE(),IF(G122=Constants!$B$4,FALSE(),TRUE())))</f>
        <v/>
      </c>
      <c r="AI122" s="133" t="str">
        <f aca="false">IF(ISBLANK($C122),"",IF(AND(ISNUMBER(H122),H122&gt;=0),H122,Constants!$B$29))</f>
        <v/>
      </c>
      <c r="AJ122" s="133" t="str">
        <f aca="false">IF(ISBLANK($C122),"",IF(I122=Constants!$B$3,TRUE(),IF(I122=Constants!$B$4,FALSE(),TRUE())))</f>
        <v/>
      </c>
      <c r="AK122" s="133" t="str">
        <f aca="false">IF(ISBLANK($C122),"",IF(J122=Constants!$B$3,TRUE(),IF(J122=Constants!$B$4,FALSE(),TRUE())))</f>
        <v/>
      </c>
      <c r="AL122" s="133" t="str">
        <f aca="false">IF(ISBLANK($C122),"",IF(K122=Constants!$B$5,TRUE(),IF(K122=Constants!$B$6,FALSE(),COUNTA(L122:P122)&gt;0)))</f>
        <v/>
      </c>
      <c r="AM122" s="134" t="str">
        <f aca="false">IF(ISBLANK($C122),"",IF(ISNUMBER(L122),IF(L122&gt;=0,L122,""),""))</f>
        <v/>
      </c>
      <c r="AN122" s="135" t="str">
        <f aca="false">IF(ISBLANK($C122),"",IF(ISNUMBER(M122),IF(M122&gt;=0,M122,""),""))</f>
        <v/>
      </c>
      <c r="AO122" s="135" t="str">
        <f aca="false">IF(ISBLANK($C122),"",IF(N122=Constants!$B$3,TRUE(),IF(N122=Constants!$B$4,FALSE(),TRUE())))</f>
        <v/>
      </c>
      <c r="AP122" s="133" t="str">
        <f aca="false">IF(ISBLANK($C122),"",IF(ISNUMBER(O122),IF(O122&gt;=0,O122,""),""))</f>
        <v/>
      </c>
      <c r="AQ122" s="133" t="str">
        <f aca="false">IF(ISBLANK($C122),"",IF(P122=Constants!$B$3,TRUE(),IF(P122=Constants!$B$4,FALSE(),FALSE())))</f>
        <v/>
      </c>
      <c r="AR122" s="133" t="str">
        <f aca="false">IF(ISBLANK($C122),"",IF(Q122=Constants!$B$3,TRUE(),IF(Q122=Constants!$B$4,FALSE(),TRUE())))</f>
        <v/>
      </c>
      <c r="AS122" s="133" t="str">
        <f aca="false">IF(ISBLANK($C122),"",IF(R122=Constants!$B$3,TRUE(),IF(R122=Constants!$B$4,FALSE(),TRUE())))</f>
        <v/>
      </c>
      <c r="AT122" s="133" t="str">
        <f aca="false">IF(ISBLANK($C122),"",IF(S122=Constants!$B$5,TRUE(),IF(S122=Constants!$B$6,FALSE(),COUNTA(T122:X122)&gt;0)))</f>
        <v/>
      </c>
      <c r="AU122" s="134" t="str">
        <f aca="false">IF(ISBLANK($C122),"",IF(ISNUMBER(T122),IF(T122&gt;=0,T122,""),""))</f>
        <v/>
      </c>
      <c r="AV122" s="135" t="str">
        <f aca="false">IF(ISBLANK($C122),"",IF(ISNUMBER(U122),IF(U122&gt;=0,U122,""),""))</f>
        <v/>
      </c>
      <c r="AW122" s="135" t="str">
        <f aca="false">IF(ISBLANK($C122),"",IF(V122=Constants!$B$3,TRUE(),IF(V122=Constants!$B$4,FALSE(),TRUE())))</f>
        <v/>
      </c>
      <c r="AX122" s="133" t="str">
        <f aca="false">IF(ISBLANK($C122),"",IF(ISNUMBER(W122),IF(W122&gt;=0,W122,""),""))</f>
        <v/>
      </c>
      <c r="AY122" s="133" t="str">
        <f aca="false">IF(ISBLANK($C122),"",IF(X122=Constants!$B$3,TRUE(),IF(X122=Constants!$B$4,FALSE(),FALSE())))</f>
        <v/>
      </c>
      <c r="AZ122" s="133" t="str">
        <f aca="false">IF(ISBLANK($C122),"",MIN(Constants!$B$31,MAX(0,IF(ISNUMBER(Y122),Y122*60,0)+IF(ISNUMBER(Z122),Z122,0))))</f>
        <v/>
      </c>
      <c r="BA122" s="133" t="str">
        <f aca="false">IF(ISBLANK($C122),"",IF(AA122=Constants!$B$3,TRUE(),IF(AA122=Constants!$B$4,FALSE(),FALSE())))</f>
        <v/>
      </c>
      <c r="BB122" s="132" t="str">
        <f aca="false">IF(ISBLANK($C122),"",AND($AL122,OR($AM122="",$AN122="",AND($AO122,$AP122=""))))</f>
        <v/>
      </c>
      <c r="BC122" s="135" t="str">
        <f aca="false">IF($BR122&lt;&gt;Constants!$B$8,"",IF($AL122,Constants!$B$21*$AN122+Constants!$B$22*IF($AO122,$AP122,Constants!$B$23),Constants!$B$24))</f>
        <v/>
      </c>
      <c r="BD122" s="136" t="str">
        <f aca="false">IF($BR122&lt;&gt;Constants!$B$8,"",Constants!$B$25*ABS($AD$9-IF($AL122,$AM122,0)))</f>
        <v/>
      </c>
      <c r="BE122" s="136" t="str">
        <f aca="false">IF($BR122&lt;&gt;Constants!$B$8,"",IF(AND($AL122,$AQ122,$AO122),Constants!$B$27,0))</f>
        <v/>
      </c>
      <c r="BF122" s="136" t="str">
        <f aca="false">IF($BR122&lt;&gt;Constants!$B$8,"",IF($AL122,($AI122-Constants!$B$29)*Constants!$B$28,0))</f>
        <v/>
      </c>
      <c r="BG122" s="136" t="str">
        <f aca="false">IF($BR122&lt;&gt;Constants!$B$8,"",IF($AK122,0,Constants!$B$15)+IF($AJ122,0,Constants!$B$16)+IF($AH122,0,Constants!$B$17))</f>
        <v/>
      </c>
      <c r="BH122" s="137" t="str">
        <f aca="false">IF($BR122&lt;&gt;Constants!$B$8,"",Constants!$B$20+SUM($BC122:$BG122))</f>
        <v/>
      </c>
      <c r="BI122" s="133" t="str">
        <f aca="false">IF($BR122&lt;&gt;Constants!$B$8,"",IF(OR($BP122&lt;$BH122,AND($BP122=$BH122,OR($BK122&lt;$BC122,AND($BK122=$BC122,OR($BL122&lt;$BD122,AND($BL122=$BD122,$AT122,$AL122,$AV122&lt;$AN122)))))),"-&gt;","&lt;-"))</f>
        <v/>
      </c>
      <c r="BJ122" s="132" t="str">
        <f aca="false">IF(ISBLANK($C122),"",AND($AT122,OR($AU122="",$AV122="",AND($AW122,$AX122=""))))</f>
        <v/>
      </c>
      <c r="BK122" s="135" t="str">
        <f aca="false">IF($BR122&lt;&gt;Constants!$B$8,"",IF($AT122,Constants!$B$21*$AV122+Constants!$B$22*IF($AW122,$AX122,Constants!$B$23),Constants!$B$24))</f>
        <v/>
      </c>
      <c r="BL122" s="136" t="str">
        <f aca="false">IF($BR122&lt;&gt;Constants!$B$8,"",Constants!$B$25*ABS($AD$9-IF($AT122,$AU122,0)))</f>
        <v/>
      </c>
      <c r="BM122" s="136" t="str">
        <f aca="false">IF($BR122&lt;&gt;Constants!$B$8,"",IF(AND($AT122,$AY122,$AW122),Constants!$B$27,0))</f>
        <v/>
      </c>
      <c r="BN122" s="136" t="str">
        <f aca="false">IF($BR122&lt;&gt;Constants!$B$8,"",IF($AT122,($AI122-Constants!$B$29)*Constants!$B$28,0))</f>
        <v/>
      </c>
      <c r="BO122" s="136" t="str">
        <f aca="false">IF($BR122&lt;&gt;Constants!$B$8,"",IF($AS122,0,Constants!$B$15)+IF($AR122,0,Constants!$B$16)+IF($AH122,0,Constants!$B$17))</f>
        <v/>
      </c>
      <c r="BP122" s="137" t="str">
        <f aca="false">IF($BR122&lt;&gt;Constants!$B$8,"",Constants!$B$20+SUM($BK122:$BO122))</f>
        <v/>
      </c>
      <c r="BQ122" s="133" t="str">
        <f aca="false">IF(ISBLANK($C122),"",IF(ISBLANK($D$7),$BQ$5,IF(NOT(ISNUMBER($D$7)),$BQ$6,"")))</f>
        <v/>
      </c>
      <c r="BR122" s="133" t="str">
        <f aca="false">IF(ISBLANK($C122),"",IF($BA122,Constants!$B$11,IF(COUNTA($E122:$AA122)=0,Constants!$B$10,IF(NOT($AG122),Constants!$B$9,IF(OR($BQ122&lt;&gt;"",$BB122,$BJ122),Constants!$B$12,Constants!$B$8)))))</f>
        <v/>
      </c>
      <c r="BS122" s="133" t="str">
        <f aca="false">IF(ISBLANK($C122),"",IF($BR122&lt;&gt;Constants!$B$8,$BR122,Constants!$B$13))</f>
        <v/>
      </c>
      <c r="BT122" s="136" t="str">
        <f aca="false">IF($BR122&lt;&gt;Constants!$B$8,"",IF($BI122="-&gt;",$BP122,$BH122))</f>
        <v/>
      </c>
      <c r="BU122" s="136" t="str">
        <f aca="false">IF($BR122&lt;&gt;Constants!$B$8,"",IF($AF122,0,Constants!$B$18))</f>
        <v/>
      </c>
      <c r="BV122" s="136" t="str">
        <f aca="false">IF($BR122&lt;&gt;Constants!$B$8,"",((Constants!$B$31-$AZ122)-Constants!$B$31)/Constants!$B$32)</f>
        <v/>
      </c>
      <c r="BW122" s="136" t="str">
        <f aca="false">IF(ISBLANK($C122),"",IF($BR122&lt;&gt;Constants!$B$8,$BR122,SUM($BT122:$BV122)))</f>
        <v/>
      </c>
      <c r="BX122" s="133" t="str">
        <f aca="false">IF(ISBLANK($C122),"",IF($BR122&lt;&gt;Constants!$B$8,$BR122,RANK($BW122,$BW$9:$BW$508,1)))</f>
        <v/>
      </c>
      <c r="BY122" s="136" t="str">
        <f aca="false">IF($BR122&lt;&gt;Constants!$B$8,"",IF($BI122="-&gt;",$BK122,$BC122))</f>
        <v/>
      </c>
      <c r="BZ122" s="133" t="str">
        <f aca="false">IF(ISBLANK($C122),"",IF($BR122&lt;&gt;Constants!$B$8,$BR122,IF(ISNUMBER($BY122),RANK($BY122,$BY$9:$BY$508,1),COUNT($BY$9:$BY$508)+1)))</f>
        <v/>
      </c>
      <c r="CA122" s="136" t="str">
        <f aca="false">IF($BR122&lt;&gt;Constants!$B$8,"",IF($BI122="-&gt;",$BL122,$BD122))</f>
        <v/>
      </c>
      <c r="CB122" s="133" t="str">
        <f aca="false">IF(ISBLANK($C122),"",IF($BR122&lt;&gt;Constants!$B$8,$BR122,IF(ISNUMBER($CA122),RANK($CA122,$CA$9:$CA$508,1),COUNT($CA$9:$CA$508)+1)))</f>
        <v/>
      </c>
      <c r="CC122" s="136" t="str">
        <f aca="false">IF($BR122&lt;&gt;Constants!$B$8,"",IF($BI122="-&gt;",IF($AT122,$AV122,""),IF($AL122,$AN122,"")))</f>
        <v/>
      </c>
      <c r="CD122" s="133" t="str">
        <f aca="false">IF(ISBLANK($C122),"",IF($BR122&lt;&gt;Constants!$B$8,$BR122,IF(ISNUMBER($CC122),RANK($CC122,$CC$9:$CC$508,1),COUNT($CC$9:$CC$508)+1)))</f>
        <v/>
      </c>
      <c r="CE122" s="136" t="str">
        <f aca="false">IF($BR122&lt;&gt;Constants!$B$8,"",IF(AND(NOT($AL122),NOT($AT122),$AJ122,$AK122,$AR122,$AS122),"",$AI122))</f>
        <v/>
      </c>
      <c r="CF122" s="133" t="str">
        <f aca="false">IF(ISBLANK($C122),"",IF($BR122&lt;&gt;Constants!$B$8,$BR122,IF(ISNUMBER($CE122),RANK($CE122,$CE$9:$CE$508,1),COUNT($CE$9:$CE$508)+1)))</f>
        <v/>
      </c>
      <c r="CG122" s="133" t="str">
        <f aca="false">IF(ISBLANK($C122),"",IF($BR122&lt;&gt;Constants!$B$8,$BR122,COUNTIFS($BX$9:$BX$508,"&lt;"&amp;$BX122)+COUNTIFS($BX$9:$BX$508,$BX122,$BZ$9:$BZ$508,"&lt;"&amp;$BZ122)+COUNTIFS($BX$9:$BX$508,$BX122,$BZ$9:$BZ$508,$BZ122,$CB$9:$CB$508,"&lt;"&amp;$CB122)+COUNTIFS($BX$9:$BX$508,$BX122,$BZ$9:$BZ$508,$BZ122,$CB$9:$CB$508,$CB122,$CD$9:$CD$508,"&lt;"&amp;$CD122)+COUNTIFS($BX$9:$BX$508,$BX122,$BZ$9:$BZ$508,$BZ122,$CB$9:$CB$508,$CB122,$CD$9:$CD$508,$CD122,$CF$9:$CF$508,"&lt;"&amp;$CF122)+1))</f>
        <v/>
      </c>
      <c r="CH122" s="133" t="str">
        <f aca="false">IF(ISBLANK($C122),"",IF($BR122&lt;&gt;Constants!$B$8,$BR122,$BX122-$CG122))</f>
        <v/>
      </c>
      <c r="CI122" s="138"/>
      <c r="CJ122" s="139"/>
      <c r="CK122" s="140" t="str">
        <f aca="false">IF(ISBLANK($C122),"",IF($BR122=Constants!$B$12,$BQ122,""))</f>
        <v/>
      </c>
      <c r="CL122" s="139" t="str">
        <f aca="false">IF(ISBLANK($C122),"",IF($BR122&lt;&gt;Constants!$B$8,"",IF($BI122="-&gt;",2,1)))</f>
        <v/>
      </c>
      <c r="CM122" s="141" t="str">
        <f aca="false">IF(ISBLANK($C122),"",IF($BR122&lt;&gt;Constants!$B$8,"",IF($BI122="-&gt;",$BK122,$BC122)))</f>
        <v/>
      </c>
      <c r="CN122" s="141" t="str">
        <f aca="false">IF(ISBLANK($C122),"",IF($BR122&lt;&gt;Constants!$B$8,"",IF($BI122="-&gt;",$BL122,$BD122)))</f>
        <v/>
      </c>
      <c r="CO122" s="141" t="str">
        <f aca="false">IF(ISBLANK($C122),"",IF($BR122&lt;&gt;Constants!$B$8,"",IF($BI122="-&gt;",$BM122+$BN122,$BE122+$BF122)+$BV122))</f>
        <v/>
      </c>
      <c r="CP122" s="141" t="str">
        <f aca="false">IF(ISBLANK($C122),"",IF($BR122&lt;&gt;Constants!$B$8,"",IF($BI122="-&gt;",$BO122,$BG122)+$BU122))</f>
        <v/>
      </c>
      <c r="CQ122" s="142" t="str">
        <f aca="false">IF(ISBLANK($C122),"",IF($BR122&lt;&gt;Constants!$B$8,$BR122,$BW122))</f>
        <v/>
      </c>
      <c r="CR122" s="143" t="str">
        <f aca="false">IF(ISBLANK($C122),"",$BS122)</f>
        <v/>
      </c>
      <c r="CS122" s="144" t="str">
        <f aca="false">IF(ISBLANK($C122),"",$CH122)</f>
        <v/>
      </c>
      <c r="CT122" s="144" t="str">
        <f aca="false">IF(ISBLANK($C122),"",$CG122)</f>
        <v/>
      </c>
      <c r="CU122" s="145" t="str">
        <f aca="false">IF(ISBLANK($C122),"",IFERROR(_xlfn.SWITCH($CT122,Constants!$B$11,COUNTA($C$9:$C$508)+2,Constants!$B$10,COUNTA($C$9:$C$508)+1,Constants!$B$9,COUNTA($C$9:$C$508)),$CT122))</f>
        <v/>
      </c>
      <c r="CV122" s="9"/>
      <c r="CW122" s="146" t="n">
        <f aca="false">IF(OR(ISNUMBER($CT122),$CT122=Constants!$B$11,$CT122=Constants!$B$9,$CT122=Constants!$B$10),1,0)</f>
        <v>0</v>
      </c>
      <c r="CX122" s="146" t="n">
        <v>114</v>
      </c>
      <c r="CY122" s="146" t="str">
        <f aca="false">IF(ISBLANK($C122),"",IF(ISNUMBER($CU122),$CU122+ROW($B122)/1000,""))</f>
        <v/>
      </c>
      <c r="CZ122" s="146" t="str">
        <f aca="false">IF(ISNUMBER($CY122),RANK($CY122,$CY$9:$CY$508,1),"")</f>
        <v/>
      </c>
      <c r="DA122" s="146" t="str">
        <f aca="false">IF(ISBLANK($C122),"",$B122)</f>
        <v/>
      </c>
      <c r="DB122" s="146" t="str">
        <f aca="false">IF(ISBLANK($C122),"",$C122)</f>
        <v/>
      </c>
      <c r="DC122" s="146" t="str">
        <f aca="false">IF(ISBLANK($C122),"",$D122)</f>
        <v/>
      </c>
      <c r="DD122" s="147" t="str">
        <f aca="false">$CR122</f>
        <v/>
      </c>
      <c r="DE122" s="148" t="str">
        <f aca="false">$CQ122</f>
        <v/>
      </c>
      <c r="DF122" s="146" t="str">
        <f aca="false">IF(ISBLANK($C122),"",$CT122)</f>
        <v/>
      </c>
      <c r="DG122" s="149" t="str">
        <f aca="false">IF($CX122&gt;$CW$8,"",VLOOKUP($CX122,$CZ$9:$DF$508,7,FALSE()))</f>
        <v/>
      </c>
      <c r="DH122" s="150" t="str">
        <f aca="false">IF($CX122&gt;$CW$8,"",VLOOKUP($CX122,$CZ$9:$DF$508,2,FALSE()))</f>
        <v/>
      </c>
      <c r="DI122" s="150" t="str">
        <f aca="false">IF($CX122&gt;$CW$8,"",VLOOKUP($CX122,$CZ$9:$DF$508,3,FALSE()))</f>
        <v/>
      </c>
      <c r="DJ122" s="150" t="str">
        <f aca="false">IF($CX122&gt;$CW$8,"",VLOOKUP($CX122,$CZ$9:$DF$508,4,FALSE()))</f>
        <v/>
      </c>
      <c r="DK122" s="150" t="str">
        <f aca="false">IF($CX122&gt;$CW$8,"",VLOOKUP($CX122,$CZ$9:$DF$508,5,FALSE()))</f>
        <v/>
      </c>
      <c r="DL122" s="151" t="str">
        <f aca="false">IF($CX122&gt;$CW$8,"",VLOOKUP($CX122,$CZ$9:$DF$508,6,FALSE()))</f>
        <v/>
      </c>
      <c r="DM122" s="75"/>
    </row>
    <row r="123" customFormat="false" ht="15.75" hidden="false" customHeight="false" outlineLevel="0" collapsed="false">
      <c r="A123" s="9"/>
      <c r="B123" s="77"/>
      <c r="C123" s="78"/>
      <c r="D123" s="167"/>
      <c r="E123" s="175"/>
      <c r="F123" s="169"/>
      <c r="G123" s="170"/>
      <c r="H123" s="170"/>
      <c r="I123" s="176"/>
      <c r="J123" s="173"/>
      <c r="K123" s="85"/>
      <c r="L123" s="86"/>
      <c r="M123" s="87"/>
      <c r="N123" s="173"/>
      <c r="O123" s="173"/>
      <c r="P123" s="175"/>
      <c r="Q123" s="173"/>
      <c r="R123" s="173"/>
      <c r="S123" s="85"/>
      <c r="T123" s="87"/>
      <c r="U123" s="87"/>
      <c r="V123" s="173"/>
      <c r="W123" s="173"/>
      <c r="X123" s="175"/>
      <c r="Y123" s="173"/>
      <c r="Z123" s="174"/>
      <c r="AA123" s="173"/>
      <c r="AB123" s="91"/>
      <c r="AC123" s="92"/>
      <c r="AD123" s="92"/>
      <c r="AE123" s="92"/>
      <c r="AF123" s="92" t="str">
        <f aca="false">IF(ISBLANK($C123),"",IF(E123=Constants!$B$3,TRUE(),IF(E123=Constants!$B$4,FALSE(),TRUE())))</f>
        <v/>
      </c>
      <c r="AG123" s="92" t="str">
        <f aca="false">IF(ISBLANK($C123),"",IF(F123=Constants!$B$3,TRUE(),IF(F123=Constants!$B$4,FALSE(),TRUE())))</f>
        <v/>
      </c>
      <c r="AH123" s="92" t="str">
        <f aca="false">IF(ISBLANK($C123),"",IF(G123=Constants!$B$3,TRUE(),IF(G123=Constants!$B$4,FALSE(),TRUE())))</f>
        <v/>
      </c>
      <c r="AI123" s="92" t="str">
        <f aca="false">IF(ISBLANK($C123),"",IF(AND(ISNUMBER(H123),H123&gt;=0),H123,Constants!$B$29))</f>
        <v/>
      </c>
      <c r="AJ123" s="92" t="str">
        <f aca="false">IF(ISBLANK($C123),"",IF(I123=Constants!$B$3,TRUE(),IF(I123=Constants!$B$4,FALSE(),TRUE())))</f>
        <v/>
      </c>
      <c r="AK123" s="92" t="str">
        <f aca="false">IF(ISBLANK($C123),"",IF(J123=Constants!$B$3,TRUE(),IF(J123=Constants!$B$4,FALSE(),TRUE())))</f>
        <v/>
      </c>
      <c r="AL123" s="92" t="str">
        <f aca="false">IF(ISBLANK($C123),"",IF(K123=Constants!$B$5,TRUE(),IF(K123=Constants!$B$6,FALSE(),COUNTA(L123:P123)&gt;0)))</f>
        <v/>
      </c>
      <c r="AM123" s="94" t="str">
        <f aca="false">IF(ISBLANK($C123),"",IF(ISNUMBER(L123),IF(L123&gt;=0,L123,""),""))</f>
        <v/>
      </c>
      <c r="AN123" s="93" t="str">
        <f aca="false">IF(ISBLANK($C123),"",IF(ISNUMBER(M123),IF(M123&gt;=0,M123,""),""))</f>
        <v/>
      </c>
      <c r="AO123" s="93" t="str">
        <f aca="false">IF(ISBLANK($C123),"",IF(N123=Constants!$B$3,TRUE(),IF(N123=Constants!$B$4,FALSE(),TRUE())))</f>
        <v/>
      </c>
      <c r="AP123" s="92" t="str">
        <f aca="false">IF(ISBLANK($C123),"",IF(ISNUMBER(O123),IF(O123&gt;=0,O123,""),""))</f>
        <v/>
      </c>
      <c r="AQ123" s="92" t="str">
        <f aca="false">IF(ISBLANK($C123),"",IF(P123=Constants!$B$3,TRUE(),IF(P123=Constants!$B$4,FALSE(),FALSE())))</f>
        <v/>
      </c>
      <c r="AR123" s="92" t="str">
        <f aca="false">IF(ISBLANK($C123),"",IF(Q123=Constants!$B$3,TRUE(),IF(Q123=Constants!$B$4,FALSE(),TRUE())))</f>
        <v/>
      </c>
      <c r="AS123" s="92" t="str">
        <f aca="false">IF(ISBLANK($C123),"",IF(R123=Constants!$B$3,TRUE(),IF(R123=Constants!$B$4,FALSE(),TRUE())))</f>
        <v/>
      </c>
      <c r="AT123" s="92" t="str">
        <f aca="false">IF(ISBLANK($C123),"",IF(S123=Constants!$B$5,TRUE(),IF(S123=Constants!$B$6,FALSE(),COUNTA(T123:X123)&gt;0)))</f>
        <v/>
      </c>
      <c r="AU123" s="94" t="str">
        <f aca="false">IF(ISBLANK($C123),"",IF(ISNUMBER(T123),IF(T123&gt;=0,T123,""),""))</f>
        <v/>
      </c>
      <c r="AV123" s="93" t="str">
        <f aca="false">IF(ISBLANK($C123),"",IF(ISNUMBER(U123),IF(U123&gt;=0,U123,""),""))</f>
        <v/>
      </c>
      <c r="AW123" s="93" t="str">
        <f aca="false">IF(ISBLANK($C123),"",IF(V123=Constants!$B$3,TRUE(),IF(V123=Constants!$B$4,FALSE(),TRUE())))</f>
        <v/>
      </c>
      <c r="AX123" s="92" t="str">
        <f aca="false">IF(ISBLANK($C123),"",IF(ISNUMBER(W123),IF(W123&gt;=0,W123,""),""))</f>
        <v/>
      </c>
      <c r="AY123" s="92" t="str">
        <f aca="false">IF(ISBLANK($C123),"",IF(X123=Constants!$B$3,TRUE(),IF(X123=Constants!$B$4,FALSE(),FALSE())))</f>
        <v/>
      </c>
      <c r="AZ123" s="92" t="str">
        <f aca="false">IF(ISBLANK($C123),"",MIN(Constants!$B$31,MAX(0,IF(ISNUMBER(Y123),Y123*60,0)+IF(ISNUMBER(Z123),Z123,0))))</f>
        <v/>
      </c>
      <c r="BA123" s="92" t="str">
        <f aca="false">IF(ISBLANK($C123),"",IF(AA123=Constants!$B$3,TRUE(),IF(AA123=Constants!$B$4,FALSE(),FALSE())))</f>
        <v/>
      </c>
      <c r="BB123" s="91" t="str">
        <f aca="false">IF(ISBLANK($C123),"",AND($AL123,OR($AM123="",$AN123="",AND($AO123,$AP123=""))))</f>
        <v/>
      </c>
      <c r="BC123" s="93" t="str">
        <f aca="false">IF($BR123&lt;&gt;Constants!$B$8,"",IF($AL123,Constants!$B$21*$AN123+Constants!$B$22*IF($AO123,$AP123,Constants!$B$23),Constants!$B$24))</f>
        <v/>
      </c>
      <c r="BD123" s="96" t="str">
        <f aca="false">IF($BR123&lt;&gt;Constants!$B$8,"",Constants!$B$25*ABS($AD$9-IF($AL123,$AM123,0)))</f>
        <v/>
      </c>
      <c r="BE123" s="96" t="str">
        <f aca="false">IF($BR123&lt;&gt;Constants!$B$8,"",IF(AND($AL123,$AQ123,$AO123),Constants!$B$27,0))</f>
        <v/>
      </c>
      <c r="BF123" s="96" t="str">
        <f aca="false">IF($BR123&lt;&gt;Constants!$B$8,"",IF($AL123,($AI123-Constants!$B$29)*Constants!$B$28,0))</f>
        <v/>
      </c>
      <c r="BG123" s="96" t="str">
        <f aca="false">IF($BR123&lt;&gt;Constants!$B$8,"",IF($AK123,0,Constants!$B$15)+IF($AJ123,0,Constants!$B$16)+IF($AH123,0,Constants!$B$17))</f>
        <v/>
      </c>
      <c r="BH123" s="97" t="str">
        <f aca="false">IF($BR123&lt;&gt;Constants!$B$8,"",Constants!$B$20+SUM($BC123:$BG123))</f>
        <v/>
      </c>
      <c r="BI123" s="92" t="str">
        <f aca="false">IF($BR123&lt;&gt;Constants!$B$8,"",IF(OR($BP123&lt;$BH123,AND($BP123=$BH123,OR($BK123&lt;$BC123,AND($BK123=$BC123,OR($BL123&lt;$BD123,AND($BL123=$BD123,$AT123,$AL123,$AV123&lt;$AN123)))))),"-&gt;","&lt;-"))</f>
        <v/>
      </c>
      <c r="BJ123" s="91" t="str">
        <f aca="false">IF(ISBLANK($C123),"",AND($AT123,OR($AU123="",$AV123="",AND($AW123,$AX123=""))))</f>
        <v/>
      </c>
      <c r="BK123" s="93" t="str">
        <f aca="false">IF($BR123&lt;&gt;Constants!$B$8,"",IF($AT123,Constants!$B$21*$AV123+Constants!$B$22*IF($AW123,$AX123,Constants!$B$23),Constants!$B$24))</f>
        <v/>
      </c>
      <c r="BL123" s="96" t="str">
        <f aca="false">IF($BR123&lt;&gt;Constants!$B$8,"",Constants!$B$25*ABS($AD$9-IF($AT123,$AU123,0)))</f>
        <v/>
      </c>
      <c r="BM123" s="96" t="str">
        <f aca="false">IF($BR123&lt;&gt;Constants!$B$8,"",IF(AND($AT123,$AY123,$AW123),Constants!$B$27,0))</f>
        <v/>
      </c>
      <c r="BN123" s="96" t="str">
        <f aca="false">IF($BR123&lt;&gt;Constants!$B$8,"",IF($AT123,($AI123-Constants!$B$29)*Constants!$B$28,0))</f>
        <v/>
      </c>
      <c r="BO123" s="96" t="str">
        <f aca="false">IF($BR123&lt;&gt;Constants!$B$8,"",IF($AS123,0,Constants!$B$15)+IF($AR123,0,Constants!$B$16)+IF($AH123,0,Constants!$B$17))</f>
        <v/>
      </c>
      <c r="BP123" s="97" t="str">
        <f aca="false">IF($BR123&lt;&gt;Constants!$B$8,"",Constants!$B$20+SUM($BK123:$BO123))</f>
        <v/>
      </c>
      <c r="BQ123" s="92" t="str">
        <f aca="false">IF(ISBLANK($C123),"",IF(ISBLANK($D$7),$BQ$5,IF(NOT(ISNUMBER($D$7)),$BQ$6,"")))</f>
        <v/>
      </c>
      <c r="BR123" s="92" t="str">
        <f aca="false">IF(ISBLANK($C123),"",IF($BA123,Constants!$B$11,IF(COUNTA($E123:$AA123)=0,Constants!$B$10,IF(NOT($AG123),Constants!$B$9,IF(OR($BQ123&lt;&gt;"",$BB123,$BJ123),Constants!$B$12,Constants!$B$8)))))</f>
        <v/>
      </c>
      <c r="BS123" s="92" t="str">
        <f aca="false">IF(ISBLANK($C123),"",IF($BR123&lt;&gt;Constants!$B$8,$BR123,Constants!$B$13))</f>
        <v/>
      </c>
      <c r="BT123" s="96" t="str">
        <f aca="false">IF($BR123&lt;&gt;Constants!$B$8,"",IF($BI123="-&gt;",$BP123,$BH123))</f>
        <v/>
      </c>
      <c r="BU123" s="96" t="str">
        <f aca="false">IF($BR123&lt;&gt;Constants!$B$8,"",IF($AF123,0,Constants!$B$18))</f>
        <v/>
      </c>
      <c r="BV123" s="96" t="str">
        <f aca="false">IF($BR123&lt;&gt;Constants!$B$8,"",((Constants!$B$31-$AZ123)-Constants!$B$31)/Constants!$B$32)</f>
        <v/>
      </c>
      <c r="BW123" s="96" t="str">
        <f aca="false">IF(ISBLANK($C123),"",IF($BR123&lt;&gt;Constants!$B$8,$BR123,SUM($BT123:$BV123)))</f>
        <v/>
      </c>
      <c r="BX123" s="92" t="str">
        <f aca="false">IF(ISBLANK($C123),"",IF($BR123&lt;&gt;Constants!$B$8,$BR123,RANK($BW123,$BW$9:$BW$508,1)))</f>
        <v/>
      </c>
      <c r="BY123" s="96" t="str">
        <f aca="false">IF($BR123&lt;&gt;Constants!$B$8,"",IF($BI123="-&gt;",$BK123,$BC123))</f>
        <v/>
      </c>
      <c r="BZ123" s="92" t="str">
        <f aca="false">IF(ISBLANK($C123),"",IF($BR123&lt;&gt;Constants!$B$8,$BR123,IF(ISNUMBER($BY123),RANK($BY123,$BY$9:$BY$508,1),COUNT($BY$9:$BY$508)+1)))</f>
        <v/>
      </c>
      <c r="CA123" s="96" t="str">
        <f aca="false">IF($BR123&lt;&gt;Constants!$B$8,"",IF($BI123="-&gt;",$BL123,$BD123))</f>
        <v/>
      </c>
      <c r="CB123" s="92" t="str">
        <f aca="false">IF(ISBLANK($C123),"",IF($BR123&lt;&gt;Constants!$B$8,$BR123,IF(ISNUMBER($CA123),RANK($CA123,$CA$9:$CA$508,1),COUNT($CA$9:$CA$508)+1)))</f>
        <v/>
      </c>
      <c r="CC123" s="96" t="str">
        <f aca="false">IF($BR123&lt;&gt;Constants!$B$8,"",IF($BI123="-&gt;",IF($AT123,$AV123,""),IF($AL123,$AN123,"")))</f>
        <v/>
      </c>
      <c r="CD123" s="92" t="str">
        <f aca="false">IF(ISBLANK($C123),"",IF($BR123&lt;&gt;Constants!$B$8,$BR123,IF(ISNUMBER($CC123),RANK($CC123,$CC$9:$CC$508,1),COUNT($CC$9:$CC$508)+1)))</f>
        <v/>
      </c>
      <c r="CE123" s="96" t="str">
        <f aca="false">IF($BR123&lt;&gt;Constants!$B$8,"",IF(AND(NOT($AL123),NOT($AT123),$AJ123,$AK123,$AR123,$AS123),"",$AI123))</f>
        <v/>
      </c>
      <c r="CF123" s="92" t="str">
        <f aca="false">IF(ISBLANK($C123),"",IF($BR123&lt;&gt;Constants!$B$8,$BR123,IF(ISNUMBER($CE123),RANK($CE123,$CE$9:$CE$508,1),COUNT($CE$9:$CE$508)+1)))</f>
        <v/>
      </c>
      <c r="CG123" s="92" t="str">
        <f aca="false">IF(ISBLANK($C123),"",IF($BR123&lt;&gt;Constants!$B$8,$BR123,COUNTIFS($BX$9:$BX$508,"&lt;"&amp;$BX123)+COUNTIFS($BX$9:$BX$508,$BX123,$BZ$9:$BZ$508,"&lt;"&amp;$BZ123)+COUNTIFS($BX$9:$BX$508,$BX123,$BZ$9:$BZ$508,$BZ123,$CB$9:$CB$508,"&lt;"&amp;$CB123)+COUNTIFS($BX$9:$BX$508,$BX123,$BZ$9:$BZ$508,$BZ123,$CB$9:$CB$508,$CB123,$CD$9:$CD$508,"&lt;"&amp;$CD123)+COUNTIFS($BX$9:$BX$508,$BX123,$BZ$9:$BZ$508,$BZ123,$CB$9:$CB$508,$CB123,$CD$9:$CD$508,$CD123,$CF$9:$CF$508,"&lt;"&amp;$CF123)+1))</f>
        <v/>
      </c>
      <c r="CH123" s="92" t="str">
        <f aca="false">IF(ISBLANK($C123),"",IF($BR123&lt;&gt;Constants!$B$8,$BR123,$BX123-$CG123))</f>
        <v/>
      </c>
      <c r="CI123" s="98"/>
      <c r="CJ123" s="99"/>
      <c r="CK123" s="100" t="str">
        <f aca="false">IF(ISBLANK($C123),"",IF($BR123=Constants!$B$12,$BQ123,""))</f>
        <v/>
      </c>
      <c r="CL123" s="99" t="str">
        <f aca="false">IF(ISBLANK($C123),"",IF($BR123&lt;&gt;Constants!$B$8,"",IF($BI123="-&gt;",2,1)))</f>
        <v/>
      </c>
      <c r="CM123" s="101" t="str">
        <f aca="false">IF(ISBLANK($C123),"",IF($BR123&lt;&gt;Constants!$B$8,"",IF($BI123="-&gt;",$BK123,$BC123)))</f>
        <v/>
      </c>
      <c r="CN123" s="101" t="str">
        <f aca="false">IF(ISBLANK($C123),"",IF($BR123&lt;&gt;Constants!$B$8,"",IF($BI123="-&gt;",$BL123,$BD123)))</f>
        <v/>
      </c>
      <c r="CO123" s="101" t="str">
        <f aca="false">IF(ISBLANK($C123),"",IF($BR123&lt;&gt;Constants!$B$8,"",IF($BI123="-&gt;",$BM123+$BN123,$BE123+$BF123)+$BV123))</f>
        <v/>
      </c>
      <c r="CP123" s="101" t="str">
        <f aca="false">IF(ISBLANK($C123),"",IF($BR123&lt;&gt;Constants!$B$8,"",IF($BI123="-&gt;",$BO123,$BG123)+$BU123))</f>
        <v/>
      </c>
      <c r="CQ123" s="102" t="str">
        <f aca="false">IF(ISBLANK($C123),"",IF($BR123&lt;&gt;Constants!$B$8,$BR123,$BW123))</f>
        <v/>
      </c>
      <c r="CR123" s="103" t="str">
        <f aca="false">IF(ISBLANK($C123),"",$BS123)</f>
        <v/>
      </c>
      <c r="CS123" s="104" t="str">
        <f aca="false">IF(ISBLANK($C123),"",$CH123)</f>
        <v/>
      </c>
      <c r="CT123" s="104" t="str">
        <f aca="false">IF(ISBLANK($C123),"",$CG123)</f>
        <v/>
      </c>
      <c r="CU123" s="105" t="str">
        <f aca="false">IF(ISBLANK($C123),"",IFERROR(_xlfn.SWITCH($CT123,Constants!$B$11,COUNTA($C$9:$C$508)+2,Constants!$B$10,COUNTA($C$9:$C$508)+1,Constants!$B$9,COUNTA($C$9:$C$508)),$CT123))</f>
        <v/>
      </c>
      <c r="CV123" s="9"/>
      <c r="CW123" s="106" t="n">
        <f aca="false">IF(OR(ISNUMBER($CT123),$CT123=Constants!$B$11,$CT123=Constants!$B$9,$CT123=Constants!$B$10),1,0)</f>
        <v>0</v>
      </c>
      <c r="CX123" s="106" t="n">
        <v>115</v>
      </c>
      <c r="CY123" s="106" t="str">
        <f aca="false">IF(ISBLANK($C123),"",IF(ISNUMBER($CU123),$CU123+ROW($B123)/1000,""))</f>
        <v/>
      </c>
      <c r="CZ123" s="106" t="str">
        <f aca="false">IF(ISNUMBER($CY123),RANK($CY123,$CY$9:$CY$508,1),"")</f>
        <v/>
      </c>
      <c r="DA123" s="106" t="str">
        <f aca="false">IF(ISBLANK($C123),"",$B123)</f>
        <v/>
      </c>
      <c r="DB123" s="106" t="str">
        <f aca="false">IF(ISBLANK($C123),"",$C123)</f>
        <v/>
      </c>
      <c r="DC123" s="106" t="str">
        <f aca="false">IF(ISBLANK($C123),"",$D123)</f>
        <v/>
      </c>
      <c r="DD123" s="107" t="str">
        <f aca="false">$CR123</f>
        <v/>
      </c>
      <c r="DE123" s="108" t="str">
        <f aca="false">$CQ123</f>
        <v/>
      </c>
      <c r="DF123" s="106" t="str">
        <f aca="false">IF(ISBLANK($C123),"",$CT123)</f>
        <v/>
      </c>
      <c r="DG123" s="109" t="str">
        <f aca="false">IF($CX123&gt;$CW$8,"",VLOOKUP($CX123,$CZ$9:$DF$508,7,FALSE()))</f>
        <v/>
      </c>
      <c r="DH123" s="110" t="str">
        <f aca="false">IF($CX123&gt;$CW$8,"",VLOOKUP($CX123,$CZ$9:$DF$508,2,FALSE()))</f>
        <v/>
      </c>
      <c r="DI123" s="110" t="str">
        <f aca="false">IF($CX123&gt;$CW$8,"",VLOOKUP($CX123,$CZ$9:$DF$508,3,FALSE()))</f>
        <v/>
      </c>
      <c r="DJ123" s="110" t="str">
        <f aca="false">IF($CX123&gt;$CW$8,"",VLOOKUP($CX123,$CZ$9:$DF$508,4,FALSE()))</f>
        <v/>
      </c>
      <c r="DK123" s="110" t="str">
        <f aca="false">IF($CX123&gt;$CW$8,"",VLOOKUP($CX123,$CZ$9:$DF$508,5,FALSE()))</f>
        <v/>
      </c>
      <c r="DL123" s="111" t="str">
        <f aca="false">IF($CX123&gt;$CW$8,"",VLOOKUP($CX123,$CZ$9:$DF$508,6,FALSE()))</f>
        <v/>
      </c>
      <c r="DM123" s="75"/>
    </row>
    <row r="124" customFormat="false" ht="15.75" hidden="false" customHeight="false" outlineLevel="0" collapsed="false">
      <c r="A124" s="9"/>
      <c r="B124" s="77"/>
      <c r="C124" s="78"/>
      <c r="D124" s="167"/>
      <c r="E124" s="175"/>
      <c r="F124" s="169"/>
      <c r="G124" s="170"/>
      <c r="H124" s="170"/>
      <c r="I124" s="176"/>
      <c r="J124" s="173"/>
      <c r="K124" s="85"/>
      <c r="L124" s="86"/>
      <c r="M124" s="87"/>
      <c r="N124" s="173"/>
      <c r="O124" s="173"/>
      <c r="P124" s="175"/>
      <c r="Q124" s="173"/>
      <c r="R124" s="173"/>
      <c r="S124" s="85"/>
      <c r="T124" s="87"/>
      <c r="U124" s="87"/>
      <c r="V124" s="173"/>
      <c r="W124" s="173"/>
      <c r="X124" s="175"/>
      <c r="Y124" s="173"/>
      <c r="Z124" s="174"/>
      <c r="AA124" s="173"/>
      <c r="AB124" s="91"/>
      <c r="AC124" s="92"/>
      <c r="AD124" s="92"/>
      <c r="AE124" s="92"/>
      <c r="AF124" s="92" t="str">
        <f aca="false">IF(ISBLANK($C124),"",IF(E124=Constants!$B$3,TRUE(),IF(E124=Constants!$B$4,FALSE(),TRUE())))</f>
        <v/>
      </c>
      <c r="AG124" s="92" t="str">
        <f aca="false">IF(ISBLANK($C124),"",IF(F124=Constants!$B$3,TRUE(),IF(F124=Constants!$B$4,FALSE(),TRUE())))</f>
        <v/>
      </c>
      <c r="AH124" s="92" t="str">
        <f aca="false">IF(ISBLANK($C124),"",IF(G124=Constants!$B$3,TRUE(),IF(G124=Constants!$B$4,FALSE(),TRUE())))</f>
        <v/>
      </c>
      <c r="AI124" s="92" t="str">
        <f aca="false">IF(ISBLANK($C124),"",IF(AND(ISNUMBER(H124),H124&gt;=0),H124,Constants!$B$29))</f>
        <v/>
      </c>
      <c r="AJ124" s="92" t="str">
        <f aca="false">IF(ISBLANK($C124),"",IF(I124=Constants!$B$3,TRUE(),IF(I124=Constants!$B$4,FALSE(),TRUE())))</f>
        <v/>
      </c>
      <c r="AK124" s="92" t="str">
        <f aca="false">IF(ISBLANK($C124),"",IF(J124=Constants!$B$3,TRUE(),IF(J124=Constants!$B$4,FALSE(),TRUE())))</f>
        <v/>
      </c>
      <c r="AL124" s="92" t="str">
        <f aca="false">IF(ISBLANK($C124),"",IF(K124=Constants!$B$5,TRUE(),IF(K124=Constants!$B$6,FALSE(),COUNTA(L124:P124)&gt;0)))</f>
        <v/>
      </c>
      <c r="AM124" s="94" t="str">
        <f aca="false">IF(ISBLANK($C124),"",IF(ISNUMBER(L124),IF(L124&gt;=0,L124,""),""))</f>
        <v/>
      </c>
      <c r="AN124" s="93" t="str">
        <f aca="false">IF(ISBLANK($C124),"",IF(ISNUMBER(M124),IF(M124&gt;=0,M124,""),""))</f>
        <v/>
      </c>
      <c r="AO124" s="93" t="str">
        <f aca="false">IF(ISBLANK($C124),"",IF(N124=Constants!$B$3,TRUE(),IF(N124=Constants!$B$4,FALSE(),TRUE())))</f>
        <v/>
      </c>
      <c r="AP124" s="92" t="str">
        <f aca="false">IF(ISBLANK($C124),"",IF(ISNUMBER(O124),IF(O124&gt;=0,O124,""),""))</f>
        <v/>
      </c>
      <c r="AQ124" s="92" t="str">
        <f aca="false">IF(ISBLANK($C124),"",IF(P124=Constants!$B$3,TRUE(),IF(P124=Constants!$B$4,FALSE(),FALSE())))</f>
        <v/>
      </c>
      <c r="AR124" s="92" t="str">
        <f aca="false">IF(ISBLANK($C124),"",IF(Q124=Constants!$B$3,TRUE(),IF(Q124=Constants!$B$4,FALSE(),TRUE())))</f>
        <v/>
      </c>
      <c r="AS124" s="92" t="str">
        <f aca="false">IF(ISBLANK($C124),"",IF(R124=Constants!$B$3,TRUE(),IF(R124=Constants!$B$4,FALSE(),TRUE())))</f>
        <v/>
      </c>
      <c r="AT124" s="92" t="str">
        <f aca="false">IF(ISBLANK($C124),"",IF(S124=Constants!$B$5,TRUE(),IF(S124=Constants!$B$6,FALSE(),COUNTA(T124:X124)&gt;0)))</f>
        <v/>
      </c>
      <c r="AU124" s="94" t="str">
        <f aca="false">IF(ISBLANK($C124),"",IF(ISNUMBER(T124),IF(T124&gt;=0,T124,""),""))</f>
        <v/>
      </c>
      <c r="AV124" s="93" t="str">
        <f aca="false">IF(ISBLANK($C124),"",IF(ISNUMBER(U124),IF(U124&gt;=0,U124,""),""))</f>
        <v/>
      </c>
      <c r="AW124" s="93" t="str">
        <f aca="false">IF(ISBLANK($C124),"",IF(V124=Constants!$B$3,TRUE(),IF(V124=Constants!$B$4,FALSE(),TRUE())))</f>
        <v/>
      </c>
      <c r="AX124" s="92" t="str">
        <f aca="false">IF(ISBLANK($C124),"",IF(ISNUMBER(W124),IF(W124&gt;=0,W124,""),""))</f>
        <v/>
      </c>
      <c r="AY124" s="92" t="str">
        <f aca="false">IF(ISBLANK($C124),"",IF(X124=Constants!$B$3,TRUE(),IF(X124=Constants!$B$4,FALSE(),FALSE())))</f>
        <v/>
      </c>
      <c r="AZ124" s="92" t="str">
        <f aca="false">IF(ISBLANK($C124),"",MIN(Constants!$B$31,MAX(0,IF(ISNUMBER(Y124),Y124*60,0)+IF(ISNUMBER(Z124),Z124,0))))</f>
        <v/>
      </c>
      <c r="BA124" s="92" t="str">
        <f aca="false">IF(ISBLANK($C124),"",IF(AA124=Constants!$B$3,TRUE(),IF(AA124=Constants!$B$4,FALSE(),FALSE())))</f>
        <v/>
      </c>
      <c r="BB124" s="91" t="str">
        <f aca="false">IF(ISBLANK($C124),"",AND($AL124,OR($AM124="",$AN124="",AND($AO124,$AP124=""))))</f>
        <v/>
      </c>
      <c r="BC124" s="93" t="str">
        <f aca="false">IF($BR124&lt;&gt;Constants!$B$8,"",IF($AL124,Constants!$B$21*$AN124+Constants!$B$22*IF($AO124,$AP124,Constants!$B$23),Constants!$B$24))</f>
        <v/>
      </c>
      <c r="BD124" s="96" t="str">
        <f aca="false">IF($BR124&lt;&gt;Constants!$B$8,"",Constants!$B$25*ABS($AD$9-IF($AL124,$AM124,0)))</f>
        <v/>
      </c>
      <c r="BE124" s="96" t="str">
        <f aca="false">IF($BR124&lt;&gt;Constants!$B$8,"",IF(AND($AL124,$AQ124,$AO124),Constants!$B$27,0))</f>
        <v/>
      </c>
      <c r="BF124" s="96" t="str">
        <f aca="false">IF($BR124&lt;&gt;Constants!$B$8,"",IF($AL124,($AI124-Constants!$B$29)*Constants!$B$28,0))</f>
        <v/>
      </c>
      <c r="BG124" s="96" t="str">
        <f aca="false">IF($BR124&lt;&gt;Constants!$B$8,"",IF($AK124,0,Constants!$B$15)+IF($AJ124,0,Constants!$B$16)+IF($AH124,0,Constants!$B$17))</f>
        <v/>
      </c>
      <c r="BH124" s="97" t="str">
        <f aca="false">IF($BR124&lt;&gt;Constants!$B$8,"",Constants!$B$20+SUM($BC124:$BG124))</f>
        <v/>
      </c>
      <c r="BI124" s="92" t="str">
        <f aca="false">IF($BR124&lt;&gt;Constants!$B$8,"",IF(OR($BP124&lt;$BH124,AND($BP124=$BH124,OR($BK124&lt;$BC124,AND($BK124=$BC124,OR($BL124&lt;$BD124,AND($BL124=$BD124,$AT124,$AL124,$AV124&lt;$AN124)))))),"-&gt;","&lt;-"))</f>
        <v/>
      </c>
      <c r="BJ124" s="91" t="str">
        <f aca="false">IF(ISBLANK($C124),"",AND($AT124,OR($AU124="",$AV124="",AND($AW124,$AX124=""))))</f>
        <v/>
      </c>
      <c r="BK124" s="93" t="str">
        <f aca="false">IF($BR124&lt;&gt;Constants!$B$8,"",IF($AT124,Constants!$B$21*$AV124+Constants!$B$22*IF($AW124,$AX124,Constants!$B$23),Constants!$B$24))</f>
        <v/>
      </c>
      <c r="BL124" s="96" t="str">
        <f aca="false">IF($BR124&lt;&gt;Constants!$B$8,"",Constants!$B$25*ABS($AD$9-IF($AT124,$AU124,0)))</f>
        <v/>
      </c>
      <c r="BM124" s="96" t="str">
        <f aca="false">IF($BR124&lt;&gt;Constants!$B$8,"",IF(AND($AT124,$AY124,$AW124),Constants!$B$27,0))</f>
        <v/>
      </c>
      <c r="BN124" s="96" t="str">
        <f aca="false">IF($BR124&lt;&gt;Constants!$B$8,"",IF($AT124,($AI124-Constants!$B$29)*Constants!$B$28,0))</f>
        <v/>
      </c>
      <c r="BO124" s="96" t="str">
        <f aca="false">IF($BR124&lt;&gt;Constants!$B$8,"",IF($AS124,0,Constants!$B$15)+IF($AR124,0,Constants!$B$16)+IF($AH124,0,Constants!$B$17))</f>
        <v/>
      </c>
      <c r="BP124" s="97" t="str">
        <f aca="false">IF($BR124&lt;&gt;Constants!$B$8,"",Constants!$B$20+SUM($BK124:$BO124))</f>
        <v/>
      </c>
      <c r="BQ124" s="92" t="str">
        <f aca="false">IF(ISBLANK($C124),"",IF(ISBLANK($D$7),$BQ$5,IF(NOT(ISNUMBER($D$7)),$BQ$6,"")))</f>
        <v/>
      </c>
      <c r="BR124" s="92" t="str">
        <f aca="false">IF(ISBLANK($C124),"",IF($BA124,Constants!$B$11,IF(COUNTA($E124:$AA124)=0,Constants!$B$10,IF(NOT($AG124),Constants!$B$9,IF(OR($BQ124&lt;&gt;"",$BB124,$BJ124),Constants!$B$12,Constants!$B$8)))))</f>
        <v/>
      </c>
      <c r="BS124" s="92" t="str">
        <f aca="false">IF(ISBLANK($C124),"",IF($BR124&lt;&gt;Constants!$B$8,$BR124,Constants!$B$13))</f>
        <v/>
      </c>
      <c r="BT124" s="96" t="str">
        <f aca="false">IF($BR124&lt;&gt;Constants!$B$8,"",IF($BI124="-&gt;",$BP124,$BH124))</f>
        <v/>
      </c>
      <c r="BU124" s="96" t="str">
        <f aca="false">IF($BR124&lt;&gt;Constants!$B$8,"",IF($AF124,0,Constants!$B$18))</f>
        <v/>
      </c>
      <c r="BV124" s="96" t="str">
        <f aca="false">IF($BR124&lt;&gt;Constants!$B$8,"",((Constants!$B$31-$AZ124)-Constants!$B$31)/Constants!$B$32)</f>
        <v/>
      </c>
      <c r="BW124" s="96" t="str">
        <f aca="false">IF(ISBLANK($C124),"",IF($BR124&lt;&gt;Constants!$B$8,$BR124,SUM($BT124:$BV124)))</f>
        <v/>
      </c>
      <c r="BX124" s="92" t="str">
        <f aca="false">IF(ISBLANK($C124),"",IF($BR124&lt;&gt;Constants!$B$8,$BR124,RANK($BW124,$BW$9:$BW$508,1)))</f>
        <v/>
      </c>
      <c r="BY124" s="96" t="str">
        <f aca="false">IF($BR124&lt;&gt;Constants!$B$8,"",IF($BI124="-&gt;",$BK124,$BC124))</f>
        <v/>
      </c>
      <c r="BZ124" s="92" t="str">
        <f aca="false">IF(ISBLANK($C124),"",IF($BR124&lt;&gt;Constants!$B$8,$BR124,IF(ISNUMBER($BY124),RANK($BY124,$BY$9:$BY$508,1),COUNT($BY$9:$BY$508)+1)))</f>
        <v/>
      </c>
      <c r="CA124" s="96" t="str">
        <f aca="false">IF($BR124&lt;&gt;Constants!$B$8,"",IF($BI124="-&gt;",$BL124,$BD124))</f>
        <v/>
      </c>
      <c r="CB124" s="92" t="str">
        <f aca="false">IF(ISBLANK($C124),"",IF($BR124&lt;&gt;Constants!$B$8,$BR124,IF(ISNUMBER($CA124),RANK($CA124,$CA$9:$CA$508,1),COUNT($CA$9:$CA$508)+1)))</f>
        <v/>
      </c>
      <c r="CC124" s="96" t="str">
        <f aca="false">IF($BR124&lt;&gt;Constants!$B$8,"",IF($BI124="-&gt;",IF($AT124,$AV124,""),IF($AL124,$AN124,"")))</f>
        <v/>
      </c>
      <c r="CD124" s="92" t="str">
        <f aca="false">IF(ISBLANK($C124),"",IF($BR124&lt;&gt;Constants!$B$8,$BR124,IF(ISNUMBER($CC124),RANK($CC124,$CC$9:$CC$508,1),COUNT($CC$9:$CC$508)+1)))</f>
        <v/>
      </c>
      <c r="CE124" s="96" t="str">
        <f aca="false">IF($BR124&lt;&gt;Constants!$B$8,"",IF(AND(NOT($AL124),NOT($AT124),$AJ124,$AK124,$AR124,$AS124),"",$AI124))</f>
        <v/>
      </c>
      <c r="CF124" s="92" t="str">
        <f aca="false">IF(ISBLANK($C124),"",IF($BR124&lt;&gt;Constants!$B$8,$BR124,IF(ISNUMBER($CE124),RANK($CE124,$CE$9:$CE$508,1),COUNT($CE$9:$CE$508)+1)))</f>
        <v/>
      </c>
      <c r="CG124" s="92" t="str">
        <f aca="false">IF(ISBLANK($C124),"",IF($BR124&lt;&gt;Constants!$B$8,$BR124,COUNTIFS($BX$9:$BX$508,"&lt;"&amp;$BX124)+COUNTIFS($BX$9:$BX$508,$BX124,$BZ$9:$BZ$508,"&lt;"&amp;$BZ124)+COUNTIFS($BX$9:$BX$508,$BX124,$BZ$9:$BZ$508,$BZ124,$CB$9:$CB$508,"&lt;"&amp;$CB124)+COUNTIFS($BX$9:$BX$508,$BX124,$BZ$9:$BZ$508,$BZ124,$CB$9:$CB$508,$CB124,$CD$9:$CD$508,"&lt;"&amp;$CD124)+COUNTIFS($BX$9:$BX$508,$BX124,$BZ$9:$BZ$508,$BZ124,$CB$9:$CB$508,$CB124,$CD$9:$CD$508,$CD124,$CF$9:$CF$508,"&lt;"&amp;$CF124)+1))</f>
        <v/>
      </c>
      <c r="CH124" s="92" t="str">
        <f aca="false">IF(ISBLANK($C124),"",IF($BR124&lt;&gt;Constants!$B$8,$BR124,$BX124-$CG124))</f>
        <v/>
      </c>
      <c r="CI124" s="98"/>
      <c r="CJ124" s="99"/>
      <c r="CK124" s="100" t="str">
        <f aca="false">IF(ISBLANK($C124),"",IF($BR124=Constants!$B$12,$BQ124,""))</f>
        <v/>
      </c>
      <c r="CL124" s="99" t="str">
        <f aca="false">IF(ISBLANK($C124),"",IF($BR124&lt;&gt;Constants!$B$8,"",IF($BI124="-&gt;",2,1)))</f>
        <v/>
      </c>
      <c r="CM124" s="101" t="str">
        <f aca="false">IF(ISBLANK($C124),"",IF($BR124&lt;&gt;Constants!$B$8,"",IF($BI124="-&gt;",$BK124,$BC124)))</f>
        <v/>
      </c>
      <c r="CN124" s="101" t="str">
        <f aca="false">IF(ISBLANK($C124),"",IF($BR124&lt;&gt;Constants!$B$8,"",IF($BI124="-&gt;",$BL124,$BD124)))</f>
        <v/>
      </c>
      <c r="CO124" s="101" t="str">
        <f aca="false">IF(ISBLANK($C124),"",IF($BR124&lt;&gt;Constants!$B$8,"",IF($BI124="-&gt;",$BM124+$BN124,$BE124+$BF124)+$BV124))</f>
        <v/>
      </c>
      <c r="CP124" s="101" t="str">
        <f aca="false">IF(ISBLANK($C124),"",IF($BR124&lt;&gt;Constants!$B$8,"",IF($BI124="-&gt;",$BO124,$BG124)+$BU124))</f>
        <v/>
      </c>
      <c r="CQ124" s="102" t="str">
        <f aca="false">IF(ISBLANK($C124),"",IF($BR124&lt;&gt;Constants!$B$8,$BR124,$BW124))</f>
        <v/>
      </c>
      <c r="CR124" s="103" t="str">
        <f aca="false">IF(ISBLANK($C124),"",$BS124)</f>
        <v/>
      </c>
      <c r="CS124" s="104" t="str">
        <f aca="false">IF(ISBLANK($C124),"",$CH124)</f>
        <v/>
      </c>
      <c r="CT124" s="104" t="str">
        <f aca="false">IF(ISBLANK($C124),"",$CG124)</f>
        <v/>
      </c>
      <c r="CU124" s="105" t="str">
        <f aca="false">IF(ISBLANK($C124),"",IFERROR(_xlfn.SWITCH($CT124,Constants!$B$11,COUNTA($C$9:$C$508)+2,Constants!$B$10,COUNTA($C$9:$C$508)+1,Constants!$B$9,COUNTA($C$9:$C$508)),$CT124))</f>
        <v/>
      </c>
      <c r="CV124" s="9"/>
      <c r="CW124" s="106" t="n">
        <f aca="false">IF(OR(ISNUMBER($CT124),$CT124=Constants!$B$11,$CT124=Constants!$B$9,$CT124=Constants!$B$10),1,0)</f>
        <v>0</v>
      </c>
      <c r="CX124" s="106" t="n">
        <v>116</v>
      </c>
      <c r="CY124" s="106" t="str">
        <f aca="false">IF(ISBLANK($C124),"",IF(ISNUMBER($CU124),$CU124+ROW($B124)/1000,""))</f>
        <v/>
      </c>
      <c r="CZ124" s="106" t="str">
        <f aca="false">IF(ISNUMBER($CY124),RANK($CY124,$CY$9:$CY$508,1),"")</f>
        <v/>
      </c>
      <c r="DA124" s="106" t="str">
        <f aca="false">IF(ISBLANK($C124),"",$B124)</f>
        <v/>
      </c>
      <c r="DB124" s="106" t="str">
        <f aca="false">IF(ISBLANK($C124),"",$C124)</f>
        <v/>
      </c>
      <c r="DC124" s="106" t="str">
        <f aca="false">IF(ISBLANK($C124),"",$D124)</f>
        <v/>
      </c>
      <c r="DD124" s="107" t="str">
        <f aca="false">$CR124</f>
        <v/>
      </c>
      <c r="DE124" s="108" t="str">
        <f aca="false">$CQ124</f>
        <v/>
      </c>
      <c r="DF124" s="106" t="str">
        <f aca="false">IF(ISBLANK($C124),"",$CT124)</f>
        <v/>
      </c>
      <c r="DG124" s="109" t="str">
        <f aca="false">IF($CX124&gt;$CW$8,"",VLOOKUP($CX124,$CZ$9:$DF$508,7,FALSE()))</f>
        <v/>
      </c>
      <c r="DH124" s="110" t="str">
        <f aca="false">IF($CX124&gt;$CW$8,"",VLOOKUP($CX124,$CZ$9:$DF$508,2,FALSE()))</f>
        <v/>
      </c>
      <c r="DI124" s="110" t="str">
        <f aca="false">IF($CX124&gt;$CW$8,"",VLOOKUP($CX124,$CZ$9:$DF$508,3,FALSE()))</f>
        <v/>
      </c>
      <c r="DJ124" s="110" t="str">
        <f aca="false">IF($CX124&gt;$CW$8,"",VLOOKUP($CX124,$CZ$9:$DF$508,4,FALSE()))</f>
        <v/>
      </c>
      <c r="DK124" s="110" t="str">
        <f aca="false">IF($CX124&gt;$CW$8,"",VLOOKUP($CX124,$CZ$9:$DF$508,5,FALSE()))</f>
        <v/>
      </c>
      <c r="DL124" s="111" t="str">
        <f aca="false">IF($CX124&gt;$CW$8,"",VLOOKUP($CX124,$CZ$9:$DF$508,6,FALSE()))</f>
        <v/>
      </c>
      <c r="DM124" s="75"/>
    </row>
    <row r="125" customFormat="false" ht="15.75" hidden="false" customHeight="false" outlineLevel="0" collapsed="false">
      <c r="A125" s="9"/>
      <c r="B125" s="77"/>
      <c r="C125" s="78"/>
      <c r="D125" s="167"/>
      <c r="E125" s="175"/>
      <c r="F125" s="169"/>
      <c r="G125" s="170"/>
      <c r="H125" s="170"/>
      <c r="I125" s="176"/>
      <c r="J125" s="173"/>
      <c r="K125" s="85"/>
      <c r="L125" s="86"/>
      <c r="M125" s="87"/>
      <c r="N125" s="173"/>
      <c r="O125" s="173"/>
      <c r="P125" s="175"/>
      <c r="Q125" s="173"/>
      <c r="R125" s="173"/>
      <c r="S125" s="85"/>
      <c r="T125" s="87"/>
      <c r="U125" s="87"/>
      <c r="V125" s="173"/>
      <c r="W125" s="173"/>
      <c r="X125" s="175"/>
      <c r="Y125" s="173"/>
      <c r="Z125" s="174"/>
      <c r="AA125" s="173"/>
      <c r="AB125" s="91"/>
      <c r="AC125" s="92"/>
      <c r="AD125" s="92"/>
      <c r="AE125" s="92"/>
      <c r="AF125" s="92" t="str">
        <f aca="false">IF(ISBLANK($C125),"",IF(E125=Constants!$B$3,TRUE(),IF(E125=Constants!$B$4,FALSE(),TRUE())))</f>
        <v/>
      </c>
      <c r="AG125" s="92" t="str">
        <f aca="false">IF(ISBLANK($C125),"",IF(F125=Constants!$B$3,TRUE(),IF(F125=Constants!$B$4,FALSE(),TRUE())))</f>
        <v/>
      </c>
      <c r="AH125" s="92" t="str">
        <f aca="false">IF(ISBLANK($C125),"",IF(G125=Constants!$B$3,TRUE(),IF(G125=Constants!$B$4,FALSE(),TRUE())))</f>
        <v/>
      </c>
      <c r="AI125" s="92" t="str">
        <f aca="false">IF(ISBLANK($C125),"",IF(AND(ISNUMBER(H125),H125&gt;=0),H125,Constants!$B$29))</f>
        <v/>
      </c>
      <c r="AJ125" s="92" t="str">
        <f aca="false">IF(ISBLANK($C125),"",IF(I125=Constants!$B$3,TRUE(),IF(I125=Constants!$B$4,FALSE(),TRUE())))</f>
        <v/>
      </c>
      <c r="AK125" s="92" t="str">
        <f aca="false">IF(ISBLANK($C125),"",IF(J125=Constants!$B$3,TRUE(),IF(J125=Constants!$B$4,FALSE(),TRUE())))</f>
        <v/>
      </c>
      <c r="AL125" s="92" t="str">
        <f aca="false">IF(ISBLANK($C125),"",IF(K125=Constants!$B$5,TRUE(),IF(K125=Constants!$B$6,FALSE(),COUNTA(L125:P125)&gt;0)))</f>
        <v/>
      </c>
      <c r="AM125" s="94" t="str">
        <f aca="false">IF(ISBLANK($C125),"",IF(ISNUMBER(L125),IF(L125&gt;=0,L125,""),""))</f>
        <v/>
      </c>
      <c r="AN125" s="93" t="str">
        <f aca="false">IF(ISBLANK($C125),"",IF(ISNUMBER(M125),IF(M125&gt;=0,M125,""),""))</f>
        <v/>
      </c>
      <c r="AO125" s="93" t="str">
        <f aca="false">IF(ISBLANK($C125),"",IF(N125=Constants!$B$3,TRUE(),IF(N125=Constants!$B$4,FALSE(),TRUE())))</f>
        <v/>
      </c>
      <c r="AP125" s="92" t="str">
        <f aca="false">IF(ISBLANK($C125),"",IF(ISNUMBER(O125),IF(O125&gt;=0,O125,""),""))</f>
        <v/>
      </c>
      <c r="AQ125" s="92" t="str">
        <f aca="false">IF(ISBLANK($C125),"",IF(P125=Constants!$B$3,TRUE(),IF(P125=Constants!$B$4,FALSE(),FALSE())))</f>
        <v/>
      </c>
      <c r="AR125" s="92" t="str">
        <f aca="false">IF(ISBLANK($C125),"",IF(Q125=Constants!$B$3,TRUE(),IF(Q125=Constants!$B$4,FALSE(),TRUE())))</f>
        <v/>
      </c>
      <c r="AS125" s="92" t="str">
        <f aca="false">IF(ISBLANK($C125),"",IF(R125=Constants!$B$3,TRUE(),IF(R125=Constants!$B$4,FALSE(),TRUE())))</f>
        <v/>
      </c>
      <c r="AT125" s="92" t="str">
        <f aca="false">IF(ISBLANK($C125),"",IF(S125=Constants!$B$5,TRUE(),IF(S125=Constants!$B$6,FALSE(),COUNTA(T125:X125)&gt;0)))</f>
        <v/>
      </c>
      <c r="AU125" s="94" t="str">
        <f aca="false">IF(ISBLANK($C125),"",IF(ISNUMBER(T125),IF(T125&gt;=0,T125,""),""))</f>
        <v/>
      </c>
      <c r="AV125" s="93" t="str">
        <f aca="false">IF(ISBLANK($C125),"",IF(ISNUMBER(U125),IF(U125&gt;=0,U125,""),""))</f>
        <v/>
      </c>
      <c r="AW125" s="93" t="str">
        <f aca="false">IF(ISBLANK($C125),"",IF(V125=Constants!$B$3,TRUE(),IF(V125=Constants!$B$4,FALSE(),TRUE())))</f>
        <v/>
      </c>
      <c r="AX125" s="92" t="str">
        <f aca="false">IF(ISBLANK($C125),"",IF(ISNUMBER(W125),IF(W125&gt;=0,W125,""),""))</f>
        <v/>
      </c>
      <c r="AY125" s="92" t="str">
        <f aca="false">IF(ISBLANK($C125),"",IF(X125=Constants!$B$3,TRUE(),IF(X125=Constants!$B$4,FALSE(),FALSE())))</f>
        <v/>
      </c>
      <c r="AZ125" s="92" t="str">
        <f aca="false">IF(ISBLANK($C125),"",MIN(Constants!$B$31,MAX(0,IF(ISNUMBER(Y125),Y125*60,0)+IF(ISNUMBER(Z125),Z125,0))))</f>
        <v/>
      </c>
      <c r="BA125" s="92" t="str">
        <f aca="false">IF(ISBLANK($C125),"",IF(AA125=Constants!$B$3,TRUE(),IF(AA125=Constants!$B$4,FALSE(),FALSE())))</f>
        <v/>
      </c>
      <c r="BB125" s="91" t="str">
        <f aca="false">IF(ISBLANK($C125),"",AND($AL125,OR($AM125="",$AN125="",AND($AO125,$AP125=""))))</f>
        <v/>
      </c>
      <c r="BC125" s="93" t="str">
        <f aca="false">IF($BR125&lt;&gt;Constants!$B$8,"",IF($AL125,Constants!$B$21*$AN125+Constants!$B$22*IF($AO125,$AP125,Constants!$B$23),Constants!$B$24))</f>
        <v/>
      </c>
      <c r="BD125" s="96" t="str">
        <f aca="false">IF($BR125&lt;&gt;Constants!$B$8,"",Constants!$B$25*ABS($AD$9-IF($AL125,$AM125,0)))</f>
        <v/>
      </c>
      <c r="BE125" s="96" t="str">
        <f aca="false">IF($BR125&lt;&gt;Constants!$B$8,"",IF(AND($AL125,$AQ125,$AO125),Constants!$B$27,0))</f>
        <v/>
      </c>
      <c r="BF125" s="96" t="str">
        <f aca="false">IF($BR125&lt;&gt;Constants!$B$8,"",IF($AL125,($AI125-Constants!$B$29)*Constants!$B$28,0))</f>
        <v/>
      </c>
      <c r="BG125" s="96" t="str">
        <f aca="false">IF($BR125&lt;&gt;Constants!$B$8,"",IF($AK125,0,Constants!$B$15)+IF($AJ125,0,Constants!$B$16)+IF($AH125,0,Constants!$B$17))</f>
        <v/>
      </c>
      <c r="BH125" s="97" t="str">
        <f aca="false">IF($BR125&lt;&gt;Constants!$B$8,"",Constants!$B$20+SUM($BC125:$BG125))</f>
        <v/>
      </c>
      <c r="BI125" s="92" t="str">
        <f aca="false">IF($BR125&lt;&gt;Constants!$B$8,"",IF(OR($BP125&lt;$BH125,AND($BP125=$BH125,OR($BK125&lt;$BC125,AND($BK125=$BC125,OR($BL125&lt;$BD125,AND($BL125=$BD125,$AT125,$AL125,$AV125&lt;$AN125)))))),"-&gt;","&lt;-"))</f>
        <v/>
      </c>
      <c r="BJ125" s="91" t="str">
        <f aca="false">IF(ISBLANK($C125),"",AND($AT125,OR($AU125="",$AV125="",AND($AW125,$AX125=""))))</f>
        <v/>
      </c>
      <c r="BK125" s="93" t="str">
        <f aca="false">IF($BR125&lt;&gt;Constants!$B$8,"",IF($AT125,Constants!$B$21*$AV125+Constants!$B$22*IF($AW125,$AX125,Constants!$B$23),Constants!$B$24))</f>
        <v/>
      </c>
      <c r="BL125" s="96" t="str">
        <f aca="false">IF($BR125&lt;&gt;Constants!$B$8,"",Constants!$B$25*ABS($AD$9-IF($AT125,$AU125,0)))</f>
        <v/>
      </c>
      <c r="BM125" s="96" t="str">
        <f aca="false">IF($BR125&lt;&gt;Constants!$B$8,"",IF(AND($AT125,$AY125,$AW125),Constants!$B$27,0))</f>
        <v/>
      </c>
      <c r="BN125" s="96" t="str">
        <f aca="false">IF($BR125&lt;&gt;Constants!$B$8,"",IF($AT125,($AI125-Constants!$B$29)*Constants!$B$28,0))</f>
        <v/>
      </c>
      <c r="BO125" s="96" t="str">
        <f aca="false">IF($BR125&lt;&gt;Constants!$B$8,"",IF($AS125,0,Constants!$B$15)+IF($AR125,0,Constants!$B$16)+IF($AH125,0,Constants!$B$17))</f>
        <v/>
      </c>
      <c r="BP125" s="97" t="str">
        <f aca="false">IF($BR125&lt;&gt;Constants!$B$8,"",Constants!$B$20+SUM($BK125:$BO125))</f>
        <v/>
      </c>
      <c r="BQ125" s="92" t="str">
        <f aca="false">IF(ISBLANK($C125),"",IF(ISBLANK($D$7),$BQ$5,IF(NOT(ISNUMBER($D$7)),$BQ$6,"")))</f>
        <v/>
      </c>
      <c r="BR125" s="92" t="str">
        <f aca="false">IF(ISBLANK($C125),"",IF($BA125,Constants!$B$11,IF(COUNTA($E125:$AA125)=0,Constants!$B$10,IF(NOT($AG125),Constants!$B$9,IF(OR($BQ125&lt;&gt;"",$BB125,$BJ125),Constants!$B$12,Constants!$B$8)))))</f>
        <v/>
      </c>
      <c r="BS125" s="92" t="str">
        <f aca="false">IF(ISBLANK($C125),"",IF($BR125&lt;&gt;Constants!$B$8,$BR125,Constants!$B$13))</f>
        <v/>
      </c>
      <c r="BT125" s="96" t="str">
        <f aca="false">IF($BR125&lt;&gt;Constants!$B$8,"",IF($BI125="-&gt;",$BP125,$BH125))</f>
        <v/>
      </c>
      <c r="BU125" s="96" t="str">
        <f aca="false">IF($BR125&lt;&gt;Constants!$B$8,"",IF($AF125,0,Constants!$B$18))</f>
        <v/>
      </c>
      <c r="BV125" s="96" t="str">
        <f aca="false">IF($BR125&lt;&gt;Constants!$B$8,"",((Constants!$B$31-$AZ125)-Constants!$B$31)/Constants!$B$32)</f>
        <v/>
      </c>
      <c r="BW125" s="96" t="str">
        <f aca="false">IF(ISBLANK($C125),"",IF($BR125&lt;&gt;Constants!$B$8,$BR125,SUM($BT125:$BV125)))</f>
        <v/>
      </c>
      <c r="BX125" s="92" t="str">
        <f aca="false">IF(ISBLANK($C125),"",IF($BR125&lt;&gt;Constants!$B$8,$BR125,RANK($BW125,$BW$9:$BW$508,1)))</f>
        <v/>
      </c>
      <c r="BY125" s="96" t="str">
        <f aca="false">IF($BR125&lt;&gt;Constants!$B$8,"",IF($BI125="-&gt;",$BK125,$BC125))</f>
        <v/>
      </c>
      <c r="BZ125" s="92" t="str">
        <f aca="false">IF(ISBLANK($C125),"",IF($BR125&lt;&gt;Constants!$B$8,$BR125,IF(ISNUMBER($BY125),RANK($BY125,$BY$9:$BY$508,1),COUNT($BY$9:$BY$508)+1)))</f>
        <v/>
      </c>
      <c r="CA125" s="96" t="str">
        <f aca="false">IF($BR125&lt;&gt;Constants!$B$8,"",IF($BI125="-&gt;",$BL125,$BD125))</f>
        <v/>
      </c>
      <c r="CB125" s="92" t="str">
        <f aca="false">IF(ISBLANK($C125),"",IF($BR125&lt;&gt;Constants!$B$8,$BR125,IF(ISNUMBER($CA125),RANK($CA125,$CA$9:$CA$508,1),COUNT($CA$9:$CA$508)+1)))</f>
        <v/>
      </c>
      <c r="CC125" s="96" t="str">
        <f aca="false">IF($BR125&lt;&gt;Constants!$B$8,"",IF($BI125="-&gt;",IF($AT125,$AV125,""),IF($AL125,$AN125,"")))</f>
        <v/>
      </c>
      <c r="CD125" s="92" t="str">
        <f aca="false">IF(ISBLANK($C125),"",IF($BR125&lt;&gt;Constants!$B$8,$BR125,IF(ISNUMBER($CC125),RANK($CC125,$CC$9:$CC$508,1),COUNT($CC$9:$CC$508)+1)))</f>
        <v/>
      </c>
      <c r="CE125" s="96" t="str">
        <f aca="false">IF($BR125&lt;&gt;Constants!$B$8,"",IF(AND(NOT($AL125),NOT($AT125),$AJ125,$AK125,$AR125,$AS125),"",$AI125))</f>
        <v/>
      </c>
      <c r="CF125" s="92" t="str">
        <f aca="false">IF(ISBLANK($C125),"",IF($BR125&lt;&gt;Constants!$B$8,$BR125,IF(ISNUMBER($CE125),RANK($CE125,$CE$9:$CE$508,1),COUNT($CE$9:$CE$508)+1)))</f>
        <v/>
      </c>
      <c r="CG125" s="92" t="str">
        <f aca="false">IF(ISBLANK($C125),"",IF($BR125&lt;&gt;Constants!$B$8,$BR125,COUNTIFS($BX$9:$BX$508,"&lt;"&amp;$BX125)+COUNTIFS($BX$9:$BX$508,$BX125,$BZ$9:$BZ$508,"&lt;"&amp;$BZ125)+COUNTIFS($BX$9:$BX$508,$BX125,$BZ$9:$BZ$508,$BZ125,$CB$9:$CB$508,"&lt;"&amp;$CB125)+COUNTIFS($BX$9:$BX$508,$BX125,$BZ$9:$BZ$508,$BZ125,$CB$9:$CB$508,$CB125,$CD$9:$CD$508,"&lt;"&amp;$CD125)+COUNTIFS($BX$9:$BX$508,$BX125,$BZ$9:$BZ$508,$BZ125,$CB$9:$CB$508,$CB125,$CD$9:$CD$508,$CD125,$CF$9:$CF$508,"&lt;"&amp;$CF125)+1))</f>
        <v/>
      </c>
      <c r="CH125" s="92" t="str">
        <f aca="false">IF(ISBLANK($C125),"",IF($BR125&lt;&gt;Constants!$B$8,$BR125,$BX125-$CG125))</f>
        <v/>
      </c>
      <c r="CI125" s="98"/>
      <c r="CJ125" s="99"/>
      <c r="CK125" s="100" t="str">
        <f aca="false">IF(ISBLANK($C125),"",IF($BR125=Constants!$B$12,$BQ125,""))</f>
        <v/>
      </c>
      <c r="CL125" s="99" t="str">
        <f aca="false">IF(ISBLANK($C125),"",IF($BR125&lt;&gt;Constants!$B$8,"",IF($BI125="-&gt;",2,1)))</f>
        <v/>
      </c>
      <c r="CM125" s="101" t="str">
        <f aca="false">IF(ISBLANK($C125),"",IF($BR125&lt;&gt;Constants!$B$8,"",IF($BI125="-&gt;",$BK125,$BC125)))</f>
        <v/>
      </c>
      <c r="CN125" s="101" t="str">
        <f aca="false">IF(ISBLANK($C125),"",IF($BR125&lt;&gt;Constants!$B$8,"",IF($BI125="-&gt;",$BL125,$BD125)))</f>
        <v/>
      </c>
      <c r="CO125" s="101" t="str">
        <f aca="false">IF(ISBLANK($C125),"",IF($BR125&lt;&gt;Constants!$B$8,"",IF($BI125="-&gt;",$BM125+$BN125,$BE125+$BF125)+$BV125))</f>
        <v/>
      </c>
      <c r="CP125" s="101" t="str">
        <f aca="false">IF(ISBLANK($C125),"",IF($BR125&lt;&gt;Constants!$B$8,"",IF($BI125="-&gt;",$BO125,$BG125)+$BU125))</f>
        <v/>
      </c>
      <c r="CQ125" s="102" t="str">
        <f aca="false">IF(ISBLANK($C125),"",IF($BR125&lt;&gt;Constants!$B$8,$BR125,$BW125))</f>
        <v/>
      </c>
      <c r="CR125" s="103" t="str">
        <f aca="false">IF(ISBLANK($C125),"",$BS125)</f>
        <v/>
      </c>
      <c r="CS125" s="104" t="str">
        <f aca="false">IF(ISBLANK($C125),"",$CH125)</f>
        <v/>
      </c>
      <c r="CT125" s="104" t="str">
        <f aca="false">IF(ISBLANK($C125),"",$CG125)</f>
        <v/>
      </c>
      <c r="CU125" s="105" t="str">
        <f aca="false">IF(ISBLANK($C125),"",IFERROR(_xlfn.SWITCH($CT125,Constants!$B$11,COUNTA($C$9:$C$508)+2,Constants!$B$10,COUNTA($C$9:$C$508)+1,Constants!$B$9,COUNTA($C$9:$C$508)),$CT125))</f>
        <v/>
      </c>
      <c r="CV125" s="9"/>
      <c r="CW125" s="106" t="n">
        <f aca="false">IF(OR(ISNUMBER($CT125),$CT125=Constants!$B$11,$CT125=Constants!$B$9,$CT125=Constants!$B$10),1,0)</f>
        <v>0</v>
      </c>
      <c r="CX125" s="106" t="n">
        <v>117</v>
      </c>
      <c r="CY125" s="106" t="str">
        <f aca="false">IF(ISBLANK($C125),"",IF(ISNUMBER($CU125),$CU125+ROW($B125)/1000,""))</f>
        <v/>
      </c>
      <c r="CZ125" s="106" t="str">
        <f aca="false">IF(ISNUMBER($CY125),RANK($CY125,$CY$9:$CY$508,1),"")</f>
        <v/>
      </c>
      <c r="DA125" s="106" t="str">
        <f aca="false">IF(ISBLANK($C125),"",$B125)</f>
        <v/>
      </c>
      <c r="DB125" s="106" t="str">
        <f aca="false">IF(ISBLANK($C125),"",$C125)</f>
        <v/>
      </c>
      <c r="DC125" s="106" t="str">
        <f aca="false">IF(ISBLANK($C125),"",$D125)</f>
        <v/>
      </c>
      <c r="DD125" s="107" t="str">
        <f aca="false">$CR125</f>
        <v/>
      </c>
      <c r="DE125" s="108" t="str">
        <f aca="false">$CQ125</f>
        <v/>
      </c>
      <c r="DF125" s="106" t="str">
        <f aca="false">IF(ISBLANK($C125),"",$CT125)</f>
        <v/>
      </c>
      <c r="DG125" s="109" t="str">
        <f aca="false">IF($CX125&gt;$CW$8,"",VLOOKUP($CX125,$CZ$9:$DF$508,7,FALSE()))</f>
        <v/>
      </c>
      <c r="DH125" s="110" t="str">
        <f aca="false">IF($CX125&gt;$CW$8,"",VLOOKUP($CX125,$CZ$9:$DF$508,2,FALSE()))</f>
        <v/>
      </c>
      <c r="DI125" s="110" t="str">
        <f aca="false">IF($CX125&gt;$CW$8,"",VLOOKUP($CX125,$CZ$9:$DF$508,3,FALSE()))</f>
        <v/>
      </c>
      <c r="DJ125" s="110" t="str">
        <f aca="false">IF($CX125&gt;$CW$8,"",VLOOKUP($CX125,$CZ$9:$DF$508,4,FALSE()))</f>
        <v/>
      </c>
      <c r="DK125" s="110" t="str">
        <f aca="false">IF($CX125&gt;$CW$8,"",VLOOKUP($CX125,$CZ$9:$DF$508,5,FALSE()))</f>
        <v/>
      </c>
      <c r="DL125" s="111" t="str">
        <f aca="false">IF($CX125&gt;$CW$8,"",VLOOKUP($CX125,$CZ$9:$DF$508,6,FALSE()))</f>
        <v/>
      </c>
      <c r="DM125" s="75"/>
    </row>
    <row r="126" customFormat="false" ht="15.75" hidden="false" customHeight="false" outlineLevel="0" collapsed="false">
      <c r="A126" s="9"/>
      <c r="B126" s="157"/>
      <c r="C126" s="158"/>
      <c r="D126" s="159"/>
      <c r="E126" s="177"/>
      <c r="F126" s="161"/>
      <c r="G126" s="162"/>
      <c r="H126" s="162"/>
      <c r="I126" s="178"/>
      <c r="J126" s="165"/>
      <c r="K126" s="126"/>
      <c r="L126" s="127"/>
      <c r="M126" s="128"/>
      <c r="N126" s="165"/>
      <c r="O126" s="165"/>
      <c r="P126" s="177"/>
      <c r="Q126" s="165"/>
      <c r="R126" s="165"/>
      <c r="S126" s="126"/>
      <c r="T126" s="128"/>
      <c r="U126" s="128"/>
      <c r="V126" s="165"/>
      <c r="W126" s="165"/>
      <c r="X126" s="177"/>
      <c r="Y126" s="165"/>
      <c r="Z126" s="166"/>
      <c r="AA126" s="165"/>
      <c r="AB126" s="132"/>
      <c r="AC126" s="133"/>
      <c r="AD126" s="133"/>
      <c r="AE126" s="133"/>
      <c r="AF126" s="133" t="str">
        <f aca="false">IF(ISBLANK($C126),"",IF(E126=Constants!$B$3,TRUE(),IF(E126=Constants!$B$4,FALSE(),TRUE())))</f>
        <v/>
      </c>
      <c r="AG126" s="133" t="str">
        <f aca="false">IF(ISBLANK($C126),"",IF(F126=Constants!$B$3,TRUE(),IF(F126=Constants!$B$4,FALSE(),TRUE())))</f>
        <v/>
      </c>
      <c r="AH126" s="133" t="str">
        <f aca="false">IF(ISBLANK($C126),"",IF(G126=Constants!$B$3,TRUE(),IF(G126=Constants!$B$4,FALSE(),TRUE())))</f>
        <v/>
      </c>
      <c r="AI126" s="133" t="str">
        <f aca="false">IF(ISBLANK($C126),"",IF(AND(ISNUMBER(H126),H126&gt;=0),H126,Constants!$B$29))</f>
        <v/>
      </c>
      <c r="AJ126" s="133" t="str">
        <f aca="false">IF(ISBLANK($C126),"",IF(I126=Constants!$B$3,TRUE(),IF(I126=Constants!$B$4,FALSE(),TRUE())))</f>
        <v/>
      </c>
      <c r="AK126" s="133" t="str">
        <f aca="false">IF(ISBLANK($C126),"",IF(J126=Constants!$B$3,TRUE(),IF(J126=Constants!$B$4,FALSE(),TRUE())))</f>
        <v/>
      </c>
      <c r="AL126" s="133" t="str">
        <f aca="false">IF(ISBLANK($C126),"",IF(K126=Constants!$B$5,TRUE(),IF(K126=Constants!$B$6,FALSE(),COUNTA(L126:P126)&gt;0)))</f>
        <v/>
      </c>
      <c r="AM126" s="134" t="str">
        <f aca="false">IF(ISBLANK($C126),"",IF(ISNUMBER(L126),IF(L126&gt;=0,L126,""),""))</f>
        <v/>
      </c>
      <c r="AN126" s="135" t="str">
        <f aca="false">IF(ISBLANK($C126),"",IF(ISNUMBER(M126),IF(M126&gt;=0,M126,""),""))</f>
        <v/>
      </c>
      <c r="AO126" s="135" t="str">
        <f aca="false">IF(ISBLANK($C126),"",IF(N126=Constants!$B$3,TRUE(),IF(N126=Constants!$B$4,FALSE(),TRUE())))</f>
        <v/>
      </c>
      <c r="AP126" s="133" t="str">
        <f aca="false">IF(ISBLANK($C126),"",IF(ISNUMBER(O126),IF(O126&gt;=0,O126,""),""))</f>
        <v/>
      </c>
      <c r="AQ126" s="133" t="str">
        <f aca="false">IF(ISBLANK($C126),"",IF(P126=Constants!$B$3,TRUE(),IF(P126=Constants!$B$4,FALSE(),FALSE())))</f>
        <v/>
      </c>
      <c r="AR126" s="133" t="str">
        <f aca="false">IF(ISBLANK($C126),"",IF(Q126=Constants!$B$3,TRUE(),IF(Q126=Constants!$B$4,FALSE(),TRUE())))</f>
        <v/>
      </c>
      <c r="AS126" s="133" t="str">
        <f aca="false">IF(ISBLANK($C126),"",IF(R126=Constants!$B$3,TRUE(),IF(R126=Constants!$B$4,FALSE(),TRUE())))</f>
        <v/>
      </c>
      <c r="AT126" s="133" t="str">
        <f aca="false">IF(ISBLANK($C126),"",IF(S126=Constants!$B$5,TRUE(),IF(S126=Constants!$B$6,FALSE(),COUNTA(T126:X126)&gt;0)))</f>
        <v/>
      </c>
      <c r="AU126" s="134" t="str">
        <f aca="false">IF(ISBLANK($C126),"",IF(ISNUMBER(T126),IF(T126&gt;=0,T126,""),""))</f>
        <v/>
      </c>
      <c r="AV126" s="135" t="str">
        <f aca="false">IF(ISBLANK($C126),"",IF(ISNUMBER(U126),IF(U126&gt;=0,U126,""),""))</f>
        <v/>
      </c>
      <c r="AW126" s="135" t="str">
        <f aca="false">IF(ISBLANK($C126),"",IF(V126=Constants!$B$3,TRUE(),IF(V126=Constants!$B$4,FALSE(),TRUE())))</f>
        <v/>
      </c>
      <c r="AX126" s="133" t="str">
        <f aca="false">IF(ISBLANK($C126),"",IF(ISNUMBER(W126),IF(W126&gt;=0,W126,""),""))</f>
        <v/>
      </c>
      <c r="AY126" s="133" t="str">
        <f aca="false">IF(ISBLANK($C126),"",IF(X126=Constants!$B$3,TRUE(),IF(X126=Constants!$B$4,FALSE(),FALSE())))</f>
        <v/>
      </c>
      <c r="AZ126" s="133" t="str">
        <f aca="false">IF(ISBLANK($C126),"",MIN(Constants!$B$31,MAX(0,IF(ISNUMBER(Y126),Y126*60,0)+IF(ISNUMBER(Z126),Z126,0))))</f>
        <v/>
      </c>
      <c r="BA126" s="133" t="str">
        <f aca="false">IF(ISBLANK($C126),"",IF(AA126=Constants!$B$3,TRUE(),IF(AA126=Constants!$B$4,FALSE(),FALSE())))</f>
        <v/>
      </c>
      <c r="BB126" s="132" t="str">
        <f aca="false">IF(ISBLANK($C126),"",AND($AL126,OR($AM126="",$AN126="",AND($AO126,$AP126=""))))</f>
        <v/>
      </c>
      <c r="BC126" s="135" t="str">
        <f aca="false">IF($BR126&lt;&gt;Constants!$B$8,"",IF($AL126,Constants!$B$21*$AN126+Constants!$B$22*IF($AO126,$AP126,Constants!$B$23),Constants!$B$24))</f>
        <v/>
      </c>
      <c r="BD126" s="136" t="str">
        <f aca="false">IF($BR126&lt;&gt;Constants!$B$8,"",Constants!$B$25*ABS($AD$9-IF($AL126,$AM126,0)))</f>
        <v/>
      </c>
      <c r="BE126" s="136" t="str">
        <f aca="false">IF($BR126&lt;&gt;Constants!$B$8,"",IF(AND($AL126,$AQ126,$AO126),Constants!$B$27,0))</f>
        <v/>
      </c>
      <c r="BF126" s="136" t="str">
        <f aca="false">IF($BR126&lt;&gt;Constants!$B$8,"",IF($AL126,($AI126-Constants!$B$29)*Constants!$B$28,0))</f>
        <v/>
      </c>
      <c r="BG126" s="136" t="str">
        <f aca="false">IF($BR126&lt;&gt;Constants!$B$8,"",IF($AK126,0,Constants!$B$15)+IF($AJ126,0,Constants!$B$16)+IF($AH126,0,Constants!$B$17))</f>
        <v/>
      </c>
      <c r="BH126" s="137" t="str">
        <f aca="false">IF($BR126&lt;&gt;Constants!$B$8,"",Constants!$B$20+SUM($BC126:$BG126))</f>
        <v/>
      </c>
      <c r="BI126" s="133" t="str">
        <f aca="false">IF($BR126&lt;&gt;Constants!$B$8,"",IF(OR($BP126&lt;$BH126,AND($BP126=$BH126,OR($BK126&lt;$BC126,AND($BK126=$BC126,OR($BL126&lt;$BD126,AND($BL126=$BD126,$AT126,$AL126,$AV126&lt;$AN126)))))),"-&gt;","&lt;-"))</f>
        <v/>
      </c>
      <c r="BJ126" s="132" t="str">
        <f aca="false">IF(ISBLANK($C126),"",AND($AT126,OR($AU126="",$AV126="",AND($AW126,$AX126=""))))</f>
        <v/>
      </c>
      <c r="BK126" s="135" t="str">
        <f aca="false">IF($BR126&lt;&gt;Constants!$B$8,"",IF($AT126,Constants!$B$21*$AV126+Constants!$B$22*IF($AW126,$AX126,Constants!$B$23),Constants!$B$24))</f>
        <v/>
      </c>
      <c r="BL126" s="136" t="str">
        <f aca="false">IF($BR126&lt;&gt;Constants!$B$8,"",Constants!$B$25*ABS($AD$9-IF($AT126,$AU126,0)))</f>
        <v/>
      </c>
      <c r="BM126" s="136" t="str">
        <f aca="false">IF($BR126&lt;&gt;Constants!$B$8,"",IF(AND($AT126,$AY126,$AW126),Constants!$B$27,0))</f>
        <v/>
      </c>
      <c r="BN126" s="136" t="str">
        <f aca="false">IF($BR126&lt;&gt;Constants!$B$8,"",IF($AT126,($AI126-Constants!$B$29)*Constants!$B$28,0))</f>
        <v/>
      </c>
      <c r="BO126" s="136" t="str">
        <f aca="false">IF($BR126&lt;&gt;Constants!$B$8,"",IF($AS126,0,Constants!$B$15)+IF($AR126,0,Constants!$B$16)+IF($AH126,0,Constants!$B$17))</f>
        <v/>
      </c>
      <c r="BP126" s="137" t="str">
        <f aca="false">IF($BR126&lt;&gt;Constants!$B$8,"",Constants!$B$20+SUM($BK126:$BO126))</f>
        <v/>
      </c>
      <c r="BQ126" s="133" t="str">
        <f aca="false">IF(ISBLANK($C126),"",IF(ISBLANK($D$7),$BQ$5,IF(NOT(ISNUMBER($D$7)),$BQ$6,"")))</f>
        <v/>
      </c>
      <c r="BR126" s="133" t="str">
        <f aca="false">IF(ISBLANK($C126),"",IF($BA126,Constants!$B$11,IF(COUNTA($E126:$AA126)=0,Constants!$B$10,IF(NOT($AG126),Constants!$B$9,IF(OR($BQ126&lt;&gt;"",$BB126,$BJ126),Constants!$B$12,Constants!$B$8)))))</f>
        <v/>
      </c>
      <c r="BS126" s="133" t="str">
        <f aca="false">IF(ISBLANK($C126),"",IF($BR126&lt;&gt;Constants!$B$8,$BR126,Constants!$B$13))</f>
        <v/>
      </c>
      <c r="BT126" s="136" t="str">
        <f aca="false">IF($BR126&lt;&gt;Constants!$B$8,"",IF($BI126="-&gt;",$BP126,$BH126))</f>
        <v/>
      </c>
      <c r="BU126" s="136" t="str">
        <f aca="false">IF($BR126&lt;&gt;Constants!$B$8,"",IF($AF126,0,Constants!$B$18))</f>
        <v/>
      </c>
      <c r="BV126" s="136" t="str">
        <f aca="false">IF($BR126&lt;&gt;Constants!$B$8,"",((Constants!$B$31-$AZ126)-Constants!$B$31)/Constants!$B$32)</f>
        <v/>
      </c>
      <c r="BW126" s="136" t="str">
        <f aca="false">IF(ISBLANK($C126),"",IF($BR126&lt;&gt;Constants!$B$8,$BR126,SUM($BT126:$BV126)))</f>
        <v/>
      </c>
      <c r="BX126" s="133" t="str">
        <f aca="false">IF(ISBLANK($C126),"",IF($BR126&lt;&gt;Constants!$B$8,$BR126,RANK($BW126,$BW$9:$BW$508,1)))</f>
        <v/>
      </c>
      <c r="BY126" s="136" t="str">
        <f aca="false">IF($BR126&lt;&gt;Constants!$B$8,"",IF($BI126="-&gt;",$BK126,$BC126))</f>
        <v/>
      </c>
      <c r="BZ126" s="133" t="str">
        <f aca="false">IF(ISBLANK($C126),"",IF($BR126&lt;&gt;Constants!$B$8,$BR126,IF(ISNUMBER($BY126),RANK($BY126,$BY$9:$BY$508,1),COUNT($BY$9:$BY$508)+1)))</f>
        <v/>
      </c>
      <c r="CA126" s="136" t="str">
        <f aca="false">IF($BR126&lt;&gt;Constants!$B$8,"",IF($BI126="-&gt;",$BL126,$BD126))</f>
        <v/>
      </c>
      <c r="CB126" s="133" t="str">
        <f aca="false">IF(ISBLANK($C126),"",IF($BR126&lt;&gt;Constants!$B$8,$BR126,IF(ISNUMBER($CA126),RANK($CA126,$CA$9:$CA$508,1),COUNT($CA$9:$CA$508)+1)))</f>
        <v/>
      </c>
      <c r="CC126" s="136" t="str">
        <f aca="false">IF($BR126&lt;&gt;Constants!$B$8,"",IF($BI126="-&gt;",IF($AT126,$AV126,""),IF($AL126,$AN126,"")))</f>
        <v/>
      </c>
      <c r="CD126" s="133" t="str">
        <f aca="false">IF(ISBLANK($C126),"",IF($BR126&lt;&gt;Constants!$B$8,$BR126,IF(ISNUMBER($CC126),RANK($CC126,$CC$9:$CC$508,1),COUNT($CC$9:$CC$508)+1)))</f>
        <v/>
      </c>
      <c r="CE126" s="136" t="str">
        <f aca="false">IF($BR126&lt;&gt;Constants!$B$8,"",IF(AND(NOT($AL126),NOT($AT126),$AJ126,$AK126,$AR126,$AS126),"",$AI126))</f>
        <v/>
      </c>
      <c r="CF126" s="133" t="str">
        <f aca="false">IF(ISBLANK($C126),"",IF($BR126&lt;&gt;Constants!$B$8,$BR126,IF(ISNUMBER($CE126),RANK($CE126,$CE$9:$CE$508,1),COUNT($CE$9:$CE$508)+1)))</f>
        <v/>
      </c>
      <c r="CG126" s="133" t="str">
        <f aca="false">IF(ISBLANK($C126),"",IF($BR126&lt;&gt;Constants!$B$8,$BR126,COUNTIFS($BX$9:$BX$508,"&lt;"&amp;$BX126)+COUNTIFS($BX$9:$BX$508,$BX126,$BZ$9:$BZ$508,"&lt;"&amp;$BZ126)+COUNTIFS($BX$9:$BX$508,$BX126,$BZ$9:$BZ$508,$BZ126,$CB$9:$CB$508,"&lt;"&amp;$CB126)+COUNTIFS($BX$9:$BX$508,$BX126,$BZ$9:$BZ$508,$BZ126,$CB$9:$CB$508,$CB126,$CD$9:$CD$508,"&lt;"&amp;$CD126)+COUNTIFS($BX$9:$BX$508,$BX126,$BZ$9:$BZ$508,$BZ126,$CB$9:$CB$508,$CB126,$CD$9:$CD$508,$CD126,$CF$9:$CF$508,"&lt;"&amp;$CF126)+1))</f>
        <v/>
      </c>
      <c r="CH126" s="133" t="str">
        <f aca="false">IF(ISBLANK($C126),"",IF($BR126&lt;&gt;Constants!$B$8,$BR126,$BX126-$CG126))</f>
        <v/>
      </c>
      <c r="CI126" s="138"/>
      <c r="CJ126" s="139"/>
      <c r="CK126" s="140" t="str">
        <f aca="false">IF(ISBLANK($C126),"",IF($BR126=Constants!$B$12,$BQ126,""))</f>
        <v/>
      </c>
      <c r="CL126" s="139" t="str">
        <f aca="false">IF(ISBLANK($C126),"",IF($BR126&lt;&gt;Constants!$B$8,"",IF($BI126="-&gt;",2,1)))</f>
        <v/>
      </c>
      <c r="CM126" s="141" t="str">
        <f aca="false">IF(ISBLANK($C126),"",IF($BR126&lt;&gt;Constants!$B$8,"",IF($BI126="-&gt;",$BK126,$BC126)))</f>
        <v/>
      </c>
      <c r="CN126" s="141" t="str">
        <f aca="false">IF(ISBLANK($C126),"",IF($BR126&lt;&gt;Constants!$B$8,"",IF($BI126="-&gt;",$BL126,$BD126)))</f>
        <v/>
      </c>
      <c r="CO126" s="141" t="str">
        <f aca="false">IF(ISBLANK($C126),"",IF($BR126&lt;&gt;Constants!$B$8,"",IF($BI126="-&gt;",$BM126+$BN126,$BE126+$BF126)+$BV126))</f>
        <v/>
      </c>
      <c r="CP126" s="141" t="str">
        <f aca="false">IF(ISBLANK($C126),"",IF($BR126&lt;&gt;Constants!$B$8,"",IF($BI126="-&gt;",$BO126,$BG126)+$BU126))</f>
        <v/>
      </c>
      <c r="CQ126" s="142" t="str">
        <f aca="false">IF(ISBLANK($C126),"",IF($BR126&lt;&gt;Constants!$B$8,$BR126,$BW126))</f>
        <v/>
      </c>
      <c r="CR126" s="143" t="str">
        <f aca="false">IF(ISBLANK($C126),"",$BS126)</f>
        <v/>
      </c>
      <c r="CS126" s="144" t="str">
        <f aca="false">IF(ISBLANK($C126),"",$CH126)</f>
        <v/>
      </c>
      <c r="CT126" s="144" t="str">
        <f aca="false">IF(ISBLANK($C126),"",$CG126)</f>
        <v/>
      </c>
      <c r="CU126" s="145" t="str">
        <f aca="false">IF(ISBLANK($C126),"",IFERROR(_xlfn.SWITCH($CT126,Constants!$B$11,COUNTA($C$9:$C$508)+2,Constants!$B$10,COUNTA($C$9:$C$508)+1,Constants!$B$9,COUNTA($C$9:$C$508)),$CT126))</f>
        <v/>
      </c>
      <c r="CV126" s="9"/>
      <c r="CW126" s="146" t="n">
        <f aca="false">IF(OR(ISNUMBER($CT126),$CT126=Constants!$B$11,$CT126=Constants!$B$9,$CT126=Constants!$B$10),1,0)</f>
        <v>0</v>
      </c>
      <c r="CX126" s="146" t="n">
        <v>118</v>
      </c>
      <c r="CY126" s="146" t="str">
        <f aca="false">IF(ISBLANK($C126),"",IF(ISNUMBER($CU126),$CU126+ROW($B126)/1000,""))</f>
        <v/>
      </c>
      <c r="CZ126" s="146" t="str">
        <f aca="false">IF(ISNUMBER($CY126),RANK($CY126,$CY$9:$CY$508,1),"")</f>
        <v/>
      </c>
      <c r="DA126" s="146" t="str">
        <f aca="false">IF(ISBLANK($C126),"",$B126)</f>
        <v/>
      </c>
      <c r="DB126" s="146" t="str">
        <f aca="false">IF(ISBLANK($C126),"",$C126)</f>
        <v/>
      </c>
      <c r="DC126" s="146" t="str">
        <f aca="false">IF(ISBLANK($C126),"",$D126)</f>
        <v/>
      </c>
      <c r="DD126" s="147" t="str">
        <f aca="false">$CR126</f>
        <v/>
      </c>
      <c r="DE126" s="148" t="str">
        <f aca="false">$CQ126</f>
        <v/>
      </c>
      <c r="DF126" s="146" t="str">
        <f aca="false">IF(ISBLANK($C126),"",$CT126)</f>
        <v/>
      </c>
      <c r="DG126" s="149" t="str">
        <f aca="false">IF($CX126&gt;$CW$8,"",VLOOKUP($CX126,$CZ$9:$DF$508,7,FALSE()))</f>
        <v/>
      </c>
      <c r="DH126" s="150" t="str">
        <f aca="false">IF($CX126&gt;$CW$8,"",VLOOKUP($CX126,$CZ$9:$DF$508,2,FALSE()))</f>
        <v/>
      </c>
      <c r="DI126" s="150" t="str">
        <f aca="false">IF($CX126&gt;$CW$8,"",VLOOKUP($CX126,$CZ$9:$DF$508,3,FALSE()))</f>
        <v/>
      </c>
      <c r="DJ126" s="150" t="str">
        <f aca="false">IF($CX126&gt;$CW$8,"",VLOOKUP($CX126,$CZ$9:$DF$508,4,FALSE()))</f>
        <v/>
      </c>
      <c r="DK126" s="150" t="str">
        <f aca="false">IF($CX126&gt;$CW$8,"",VLOOKUP($CX126,$CZ$9:$DF$508,5,FALSE()))</f>
        <v/>
      </c>
      <c r="DL126" s="151" t="str">
        <f aca="false">IF($CX126&gt;$CW$8,"",VLOOKUP($CX126,$CZ$9:$DF$508,6,FALSE()))</f>
        <v/>
      </c>
      <c r="DM126" s="75"/>
    </row>
    <row r="127" customFormat="false" ht="15.75" hidden="false" customHeight="false" outlineLevel="0" collapsed="false">
      <c r="A127" s="9"/>
      <c r="B127" s="157"/>
      <c r="C127" s="158"/>
      <c r="D127" s="159"/>
      <c r="E127" s="177"/>
      <c r="F127" s="161"/>
      <c r="G127" s="162"/>
      <c r="H127" s="162"/>
      <c r="I127" s="178"/>
      <c r="J127" s="165"/>
      <c r="K127" s="126"/>
      <c r="L127" s="127"/>
      <c r="M127" s="128"/>
      <c r="N127" s="165"/>
      <c r="O127" s="165"/>
      <c r="P127" s="177"/>
      <c r="Q127" s="165"/>
      <c r="R127" s="165"/>
      <c r="S127" s="126"/>
      <c r="T127" s="128"/>
      <c r="U127" s="128"/>
      <c r="V127" s="165"/>
      <c r="W127" s="165"/>
      <c r="X127" s="177"/>
      <c r="Y127" s="165"/>
      <c r="Z127" s="166"/>
      <c r="AA127" s="165"/>
      <c r="AB127" s="132"/>
      <c r="AC127" s="133"/>
      <c r="AD127" s="133"/>
      <c r="AE127" s="133"/>
      <c r="AF127" s="133" t="str">
        <f aca="false">IF(ISBLANK($C127),"",IF(E127=Constants!$B$3,TRUE(),IF(E127=Constants!$B$4,FALSE(),TRUE())))</f>
        <v/>
      </c>
      <c r="AG127" s="133" t="str">
        <f aca="false">IF(ISBLANK($C127),"",IF(F127=Constants!$B$3,TRUE(),IF(F127=Constants!$B$4,FALSE(),TRUE())))</f>
        <v/>
      </c>
      <c r="AH127" s="133" t="str">
        <f aca="false">IF(ISBLANK($C127),"",IF(G127=Constants!$B$3,TRUE(),IF(G127=Constants!$B$4,FALSE(),TRUE())))</f>
        <v/>
      </c>
      <c r="AI127" s="133" t="str">
        <f aca="false">IF(ISBLANK($C127),"",IF(AND(ISNUMBER(H127),H127&gt;=0),H127,Constants!$B$29))</f>
        <v/>
      </c>
      <c r="AJ127" s="133" t="str">
        <f aca="false">IF(ISBLANK($C127),"",IF(I127=Constants!$B$3,TRUE(),IF(I127=Constants!$B$4,FALSE(),TRUE())))</f>
        <v/>
      </c>
      <c r="AK127" s="133" t="str">
        <f aca="false">IF(ISBLANK($C127),"",IF(J127=Constants!$B$3,TRUE(),IF(J127=Constants!$B$4,FALSE(),TRUE())))</f>
        <v/>
      </c>
      <c r="AL127" s="133" t="str">
        <f aca="false">IF(ISBLANK($C127),"",IF(K127=Constants!$B$5,TRUE(),IF(K127=Constants!$B$6,FALSE(),COUNTA(L127:P127)&gt;0)))</f>
        <v/>
      </c>
      <c r="AM127" s="134" t="str">
        <f aca="false">IF(ISBLANK($C127),"",IF(ISNUMBER(L127),IF(L127&gt;=0,L127,""),""))</f>
        <v/>
      </c>
      <c r="AN127" s="135" t="str">
        <f aca="false">IF(ISBLANK($C127),"",IF(ISNUMBER(M127),IF(M127&gt;=0,M127,""),""))</f>
        <v/>
      </c>
      <c r="AO127" s="135" t="str">
        <f aca="false">IF(ISBLANK($C127),"",IF(N127=Constants!$B$3,TRUE(),IF(N127=Constants!$B$4,FALSE(),TRUE())))</f>
        <v/>
      </c>
      <c r="AP127" s="133" t="str">
        <f aca="false">IF(ISBLANK($C127),"",IF(ISNUMBER(O127),IF(O127&gt;=0,O127,""),""))</f>
        <v/>
      </c>
      <c r="AQ127" s="133" t="str">
        <f aca="false">IF(ISBLANK($C127),"",IF(P127=Constants!$B$3,TRUE(),IF(P127=Constants!$B$4,FALSE(),FALSE())))</f>
        <v/>
      </c>
      <c r="AR127" s="133" t="str">
        <f aca="false">IF(ISBLANK($C127),"",IF(Q127=Constants!$B$3,TRUE(),IF(Q127=Constants!$B$4,FALSE(),TRUE())))</f>
        <v/>
      </c>
      <c r="AS127" s="133" t="str">
        <f aca="false">IF(ISBLANK($C127),"",IF(R127=Constants!$B$3,TRUE(),IF(R127=Constants!$B$4,FALSE(),TRUE())))</f>
        <v/>
      </c>
      <c r="AT127" s="133" t="str">
        <f aca="false">IF(ISBLANK($C127),"",IF(S127=Constants!$B$5,TRUE(),IF(S127=Constants!$B$6,FALSE(),COUNTA(T127:X127)&gt;0)))</f>
        <v/>
      </c>
      <c r="AU127" s="134" t="str">
        <f aca="false">IF(ISBLANK($C127),"",IF(ISNUMBER(T127),IF(T127&gt;=0,T127,""),""))</f>
        <v/>
      </c>
      <c r="AV127" s="135" t="str">
        <f aca="false">IF(ISBLANK($C127),"",IF(ISNUMBER(U127),IF(U127&gt;=0,U127,""),""))</f>
        <v/>
      </c>
      <c r="AW127" s="135" t="str">
        <f aca="false">IF(ISBLANK($C127),"",IF(V127=Constants!$B$3,TRUE(),IF(V127=Constants!$B$4,FALSE(),TRUE())))</f>
        <v/>
      </c>
      <c r="AX127" s="133" t="str">
        <f aca="false">IF(ISBLANK($C127),"",IF(ISNUMBER(W127),IF(W127&gt;=0,W127,""),""))</f>
        <v/>
      </c>
      <c r="AY127" s="133" t="str">
        <f aca="false">IF(ISBLANK($C127),"",IF(X127=Constants!$B$3,TRUE(),IF(X127=Constants!$B$4,FALSE(),FALSE())))</f>
        <v/>
      </c>
      <c r="AZ127" s="133" t="str">
        <f aca="false">IF(ISBLANK($C127),"",MIN(Constants!$B$31,MAX(0,IF(ISNUMBER(Y127),Y127*60,0)+IF(ISNUMBER(Z127),Z127,0))))</f>
        <v/>
      </c>
      <c r="BA127" s="133" t="str">
        <f aca="false">IF(ISBLANK($C127),"",IF(AA127=Constants!$B$3,TRUE(),IF(AA127=Constants!$B$4,FALSE(),FALSE())))</f>
        <v/>
      </c>
      <c r="BB127" s="132" t="str">
        <f aca="false">IF(ISBLANK($C127),"",AND($AL127,OR($AM127="",$AN127="",AND($AO127,$AP127=""))))</f>
        <v/>
      </c>
      <c r="BC127" s="135" t="str">
        <f aca="false">IF($BR127&lt;&gt;Constants!$B$8,"",IF($AL127,Constants!$B$21*$AN127+Constants!$B$22*IF($AO127,$AP127,Constants!$B$23),Constants!$B$24))</f>
        <v/>
      </c>
      <c r="BD127" s="136" t="str">
        <f aca="false">IF($BR127&lt;&gt;Constants!$B$8,"",Constants!$B$25*ABS($AD$9-IF($AL127,$AM127,0)))</f>
        <v/>
      </c>
      <c r="BE127" s="136" t="str">
        <f aca="false">IF($BR127&lt;&gt;Constants!$B$8,"",IF(AND($AL127,$AQ127,$AO127),Constants!$B$27,0))</f>
        <v/>
      </c>
      <c r="BF127" s="136" t="str">
        <f aca="false">IF($BR127&lt;&gt;Constants!$B$8,"",IF($AL127,($AI127-Constants!$B$29)*Constants!$B$28,0))</f>
        <v/>
      </c>
      <c r="BG127" s="136" t="str">
        <f aca="false">IF($BR127&lt;&gt;Constants!$B$8,"",IF($AK127,0,Constants!$B$15)+IF($AJ127,0,Constants!$B$16)+IF($AH127,0,Constants!$B$17))</f>
        <v/>
      </c>
      <c r="BH127" s="137" t="str">
        <f aca="false">IF($BR127&lt;&gt;Constants!$B$8,"",Constants!$B$20+SUM($BC127:$BG127))</f>
        <v/>
      </c>
      <c r="BI127" s="133" t="str">
        <f aca="false">IF($BR127&lt;&gt;Constants!$B$8,"",IF(OR($BP127&lt;$BH127,AND($BP127=$BH127,OR($BK127&lt;$BC127,AND($BK127=$BC127,OR($BL127&lt;$BD127,AND($BL127=$BD127,$AT127,$AL127,$AV127&lt;$AN127)))))),"-&gt;","&lt;-"))</f>
        <v/>
      </c>
      <c r="BJ127" s="132" t="str">
        <f aca="false">IF(ISBLANK($C127),"",AND($AT127,OR($AU127="",$AV127="",AND($AW127,$AX127=""))))</f>
        <v/>
      </c>
      <c r="BK127" s="135" t="str">
        <f aca="false">IF($BR127&lt;&gt;Constants!$B$8,"",IF($AT127,Constants!$B$21*$AV127+Constants!$B$22*IF($AW127,$AX127,Constants!$B$23),Constants!$B$24))</f>
        <v/>
      </c>
      <c r="BL127" s="136" t="str">
        <f aca="false">IF($BR127&lt;&gt;Constants!$B$8,"",Constants!$B$25*ABS($AD$9-IF($AT127,$AU127,0)))</f>
        <v/>
      </c>
      <c r="BM127" s="136" t="str">
        <f aca="false">IF($BR127&lt;&gt;Constants!$B$8,"",IF(AND($AT127,$AY127,$AW127),Constants!$B$27,0))</f>
        <v/>
      </c>
      <c r="BN127" s="136" t="str">
        <f aca="false">IF($BR127&lt;&gt;Constants!$B$8,"",IF($AT127,($AI127-Constants!$B$29)*Constants!$B$28,0))</f>
        <v/>
      </c>
      <c r="BO127" s="136" t="str">
        <f aca="false">IF($BR127&lt;&gt;Constants!$B$8,"",IF($AS127,0,Constants!$B$15)+IF($AR127,0,Constants!$B$16)+IF($AH127,0,Constants!$B$17))</f>
        <v/>
      </c>
      <c r="BP127" s="137" t="str">
        <f aca="false">IF($BR127&lt;&gt;Constants!$B$8,"",Constants!$B$20+SUM($BK127:$BO127))</f>
        <v/>
      </c>
      <c r="BQ127" s="133" t="str">
        <f aca="false">IF(ISBLANK($C127),"",IF(ISBLANK($D$7),$BQ$5,IF(NOT(ISNUMBER($D$7)),$BQ$6,"")))</f>
        <v/>
      </c>
      <c r="BR127" s="133" t="str">
        <f aca="false">IF(ISBLANK($C127),"",IF($BA127,Constants!$B$11,IF(COUNTA($E127:$AA127)=0,Constants!$B$10,IF(NOT($AG127),Constants!$B$9,IF(OR($BQ127&lt;&gt;"",$BB127,$BJ127),Constants!$B$12,Constants!$B$8)))))</f>
        <v/>
      </c>
      <c r="BS127" s="133" t="str">
        <f aca="false">IF(ISBLANK($C127),"",IF($BR127&lt;&gt;Constants!$B$8,$BR127,Constants!$B$13))</f>
        <v/>
      </c>
      <c r="BT127" s="136" t="str">
        <f aca="false">IF($BR127&lt;&gt;Constants!$B$8,"",IF($BI127="-&gt;",$BP127,$BH127))</f>
        <v/>
      </c>
      <c r="BU127" s="136" t="str">
        <f aca="false">IF($BR127&lt;&gt;Constants!$B$8,"",IF($AF127,0,Constants!$B$18))</f>
        <v/>
      </c>
      <c r="BV127" s="136" t="str">
        <f aca="false">IF($BR127&lt;&gt;Constants!$B$8,"",((Constants!$B$31-$AZ127)-Constants!$B$31)/Constants!$B$32)</f>
        <v/>
      </c>
      <c r="BW127" s="136" t="str">
        <f aca="false">IF(ISBLANK($C127),"",IF($BR127&lt;&gt;Constants!$B$8,$BR127,SUM($BT127:$BV127)))</f>
        <v/>
      </c>
      <c r="BX127" s="133" t="str">
        <f aca="false">IF(ISBLANK($C127),"",IF($BR127&lt;&gt;Constants!$B$8,$BR127,RANK($BW127,$BW$9:$BW$508,1)))</f>
        <v/>
      </c>
      <c r="BY127" s="136" t="str">
        <f aca="false">IF($BR127&lt;&gt;Constants!$B$8,"",IF($BI127="-&gt;",$BK127,$BC127))</f>
        <v/>
      </c>
      <c r="BZ127" s="133" t="str">
        <f aca="false">IF(ISBLANK($C127),"",IF($BR127&lt;&gt;Constants!$B$8,$BR127,IF(ISNUMBER($BY127),RANK($BY127,$BY$9:$BY$508,1),COUNT($BY$9:$BY$508)+1)))</f>
        <v/>
      </c>
      <c r="CA127" s="136" t="str">
        <f aca="false">IF($BR127&lt;&gt;Constants!$B$8,"",IF($BI127="-&gt;",$BL127,$BD127))</f>
        <v/>
      </c>
      <c r="CB127" s="133" t="str">
        <f aca="false">IF(ISBLANK($C127),"",IF($BR127&lt;&gt;Constants!$B$8,$BR127,IF(ISNUMBER($CA127),RANK($CA127,$CA$9:$CA$508,1),COUNT($CA$9:$CA$508)+1)))</f>
        <v/>
      </c>
      <c r="CC127" s="136" t="str">
        <f aca="false">IF($BR127&lt;&gt;Constants!$B$8,"",IF($BI127="-&gt;",IF($AT127,$AV127,""),IF($AL127,$AN127,"")))</f>
        <v/>
      </c>
      <c r="CD127" s="133" t="str">
        <f aca="false">IF(ISBLANK($C127),"",IF($BR127&lt;&gt;Constants!$B$8,$BR127,IF(ISNUMBER($CC127),RANK($CC127,$CC$9:$CC$508,1),COUNT($CC$9:$CC$508)+1)))</f>
        <v/>
      </c>
      <c r="CE127" s="136" t="str">
        <f aca="false">IF($BR127&lt;&gt;Constants!$B$8,"",IF(AND(NOT($AL127),NOT($AT127),$AJ127,$AK127,$AR127,$AS127),"",$AI127))</f>
        <v/>
      </c>
      <c r="CF127" s="133" t="str">
        <f aca="false">IF(ISBLANK($C127),"",IF($BR127&lt;&gt;Constants!$B$8,$BR127,IF(ISNUMBER($CE127),RANK($CE127,$CE$9:$CE$508,1),COUNT($CE$9:$CE$508)+1)))</f>
        <v/>
      </c>
      <c r="CG127" s="133" t="str">
        <f aca="false">IF(ISBLANK($C127),"",IF($BR127&lt;&gt;Constants!$B$8,$BR127,COUNTIFS($BX$9:$BX$508,"&lt;"&amp;$BX127)+COUNTIFS($BX$9:$BX$508,$BX127,$BZ$9:$BZ$508,"&lt;"&amp;$BZ127)+COUNTIFS($BX$9:$BX$508,$BX127,$BZ$9:$BZ$508,$BZ127,$CB$9:$CB$508,"&lt;"&amp;$CB127)+COUNTIFS($BX$9:$BX$508,$BX127,$BZ$9:$BZ$508,$BZ127,$CB$9:$CB$508,$CB127,$CD$9:$CD$508,"&lt;"&amp;$CD127)+COUNTIFS($BX$9:$BX$508,$BX127,$BZ$9:$BZ$508,$BZ127,$CB$9:$CB$508,$CB127,$CD$9:$CD$508,$CD127,$CF$9:$CF$508,"&lt;"&amp;$CF127)+1))</f>
        <v/>
      </c>
      <c r="CH127" s="133" t="str">
        <f aca="false">IF(ISBLANK($C127),"",IF($BR127&lt;&gt;Constants!$B$8,$BR127,$BX127-$CG127))</f>
        <v/>
      </c>
      <c r="CI127" s="138"/>
      <c r="CJ127" s="139"/>
      <c r="CK127" s="140" t="str">
        <f aca="false">IF(ISBLANK($C127),"",IF($BR127=Constants!$B$12,$BQ127,""))</f>
        <v/>
      </c>
      <c r="CL127" s="139" t="str">
        <f aca="false">IF(ISBLANK($C127),"",IF($BR127&lt;&gt;Constants!$B$8,"",IF($BI127="-&gt;",2,1)))</f>
        <v/>
      </c>
      <c r="CM127" s="141" t="str">
        <f aca="false">IF(ISBLANK($C127),"",IF($BR127&lt;&gt;Constants!$B$8,"",IF($BI127="-&gt;",$BK127,$BC127)))</f>
        <v/>
      </c>
      <c r="CN127" s="141" t="str">
        <f aca="false">IF(ISBLANK($C127),"",IF($BR127&lt;&gt;Constants!$B$8,"",IF($BI127="-&gt;",$BL127,$BD127)))</f>
        <v/>
      </c>
      <c r="CO127" s="141" t="str">
        <f aca="false">IF(ISBLANK($C127),"",IF($BR127&lt;&gt;Constants!$B$8,"",IF($BI127="-&gt;",$BM127+$BN127,$BE127+$BF127)+$BV127))</f>
        <v/>
      </c>
      <c r="CP127" s="141" t="str">
        <f aca="false">IF(ISBLANK($C127),"",IF($BR127&lt;&gt;Constants!$B$8,"",IF($BI127="-&gt;",$BO127,$BG127)+$BU127))</f>
        <v/>
      </c>
      <c r="CQ127" s="142" t="str">
        <f aca="false">IF(ISBLANK($C127),"",IF($BR127&lt;&gt;Constants!$B$8,$BR127,$BW127))</f>
        <v/>
      </c>
      <c r="CR127" s="143" t="str">
        <f aca="false">IF(ISBLANK($C127),"",$BS127)</f>
        <v/>
      </c>
      <c r="CS127" s="144" t="str">
        <f aca="false">IF(ISBLANK($C127),"",$CH127)</f>
        <v/>
      </c>
      <c r="CT127" s="144" t="str">
        <f aca="false">IF(ISBLANK($C127),"",$CG127)</f>
        <v/>
      </c>
      <c r="CU127" s="145" t="str">
        <f aca="false">IF(ISBLANK($C127),"",IFERROR(_xlfn.SWITCH($CT127,Constants!$B$11,COUNTA($C$9:$C$508)+2,Constants!$B$10,COUNTA($C$9:$C$508)+1,Constants!$B$9,COUNTA($C$9:$C$508)),$CT127))</f>
        <v/>
      </c>
      <c r="CV127" s="9"/>
      <c r="CW127" s="146" t="n">
        <f aca="false">IF(OR(ISNUMBER($CT127),$CT127=Constants!$B$11,$CT127=Constants!$B$9,$CT127=Constants!$B$10),1,0)</f>
        <v>0</v>
      </c>
      <c r="CX127" s="146" t="n">
        <v>119</v>
      </c>
      <c r="CY127" s="146" t="str">
        <f aca="false">IF(ISBLANK($C127),"",IF(ISNUMBER($CU127),$CU127+ROW($B127)/1000,""))</f>
        <v/>
      </c>
      <c r="CZ127" s="146" t="str">
        <f aca="false">IF(ISNUMBER($CY127),RANK($CY127,$CY$9:$CY$508,1),"")</f>
        <v/>
      </c>
      <c r="DA127" s="146" t="str">
        <f aca="false">IF(ISBLANK($C127),"",$B127)</f>
        <v/>
      </c>
      <c r="DB127" s="146" t="str">
        <f aca="false">IF(ISBLANK($C127),"",$C127)</f>
        <v/>
      </c>
      <c r="DC127" s="146" t="str">
        <f aca="false">IF(ISBLANK($C127),"",$D127)</f>
        <v/>
      </c>
      <c r="DD127" s="147" t="str">
        <f aca="false">$CR127</f>
        <v/>
      </c>
      <c r="DE127" s="148" t="str">
        <f aca="false">$CQ127</f>
        <v/>
      </c>
      <c r="DF127" s="146" t="str">
        <f aca="false">IF(ISBLANK($C127),"",$CT127)</f>
        <v/>
      </c>
      <c r="DG127" s="149" t="str">
        <f aca="false">IF($CX127&gt;$CW$8,"",VLOOKUP($CX127,$CZ$9:$DF$508,7,FALSE()))</f>
        <v/>
      </c>
      <c r="DH127" s="150" t="str">
        <f aca="false">IF($CX127&gt;$CW$8,"",VLOOKUP($CX127,$CZ$9:$DF$508,2,FALSE()))</f>
        <v/>
      </c>
      <c r="DI127" s="150" t="str">
        <f aca="false">IF($CX127&gt;$CW$8,"",VLOOKUP($CX127,$CZ$9:$DF$508,3,FALSE()))</f>
        <v/>
      </c>
      <c r="DJ127" s="150" t="str">
        <f aca="false">IF($CX127&gt;$CW$8,"",VLOOKUP($CX127,$CZ$9:$DF$508,4,FALSE()))</f>
        <v/>
      </c>
      <c r="DK127" s="150" t="str">
        <f aca="false">IF($CX127&gt;$CW$8,"",VLOOKUP($CX127,$CZ$9:$DF$508,5,FALSE()))</f>
        <v/>
      </c>
      <c r="DL127" s="151" t="str">
        <f aca="false">IF($CX127&gt;$CW$8,"",VLOOKUP($CX127,$CZ$9:$DF$508,6,FALSE()))</f>
        <v/>
      </c>
      <c r="DM127" s="75"/>
    </row>
    <row r="128" customFormat="false" ht="15.75" hidden="false" customHeight="false" outlineLevel="0" collapsed="false">
      <c r="A128" s="9"/>
      <c r="B128" s="157"/>
      <c r="C128" s="158"/>
      <c r="D128" s="159"/>
      <c r="E128" s="177"/>
      <c r="F128" s="161"/>
      <c r="G128" s="162"/>
      <c r="H128" s="162"/>
      <c r="I128" s="178"/>
      <c r="J128" s="165"/>
      <c r="K128" s="126"/>
      <c r="L128" s="127"/>
      <c r="M128" s="128"/>
      <c r="N128" s="165"/>
      <c r="O128" s="165"/>
      <c r="P128" s="177"/>
      <c r="Q128" s="165"/>
      <c r="R128" s="165"/>
      <c r="S128" s="126"/>
      <c r="T128" s="128"/>
      <c r="U128" s="128"/>
      <c r="V128" s="165"/>
      <c r="W128" s="165"/>
      <c r="X128" s="177"/>
      <c r="Y128" s="165"/>
      <c r="Z128" s="166"/>
      <c r="AA128" s="165"/>
      <c r="AB128" s="132"/>
      <c r="AC128" s="133"/>
      <c r="AD128" s="133"/>
      <c r="AE128" s="133"/>
      <c r="AF128" s="133" t="str">
        <f aca="false">IF(ISBLANK($C128),"",IF(E128=Constants!$B$3,TRUE(),IF(E128=Constants!$B$4,FALSE(),TRUE())))</f>
        <v/>
      </c>
      <c r="AG128" s="133" t="str">
        <f aca="false">IF(ISBLANK($C128),"",IF(F128=Constants!$B$3,TRUE(),IF(F128=Constants!$B$4,FALSE(),TRUE())))</f>
        <v/>
      </c>
      <c r="AH128" s="133" t="str">
        <f aca="false">IF(ISBLANK($C128),"",IF(G128=Constants!$B$3,TRUE(),IF(G128=Constants!$B$4,FALSE(),TRUE())))</f>
        <v/>
      </c>
      <c r="AI128" s="133" t="str">
        <f aca="false">IF(ISBLANK($C128),"",IF(AND(ISNUMBER(H128),H128&gt;=0),H128,Constants!$B$29))</f>
        <v/>
      </c>
      <c r="AJ128" s="133" t="str">
        <f aca="false">IF(ISBLANK($C128),"",IF(I128=Constants!$B$3,TRUE(),IF(I128=Constants!$B$4,FALSE(),TRUE())))</f>
        <v/>
      </c>
      <c r="AK128" s="133" t="str">
        <f aca="false">IF(ISBLANK($C128),"",IF(J128=Constants!$B$3,TRUE(),IF(J128=Constants!$B$4,FALSE(),TRUE())))</f>
        <v/>
      </c>
      <c r="AL128" s="133" t="str">
        <f aca="false">IF(ISBLANK($C128),"",IF(K128=Constants!$B$5,TRUE(),IF(K128=Constants!$B$6,FALSE(),COUNTA(L128:P128)&gt;0)))</f>
        <v/>
      </c>
      <c r="AM128" s="134" t="str">
        <f aca="false">IF(ISBLANK($C128),"",IF(ISNUMBER(L128),IF(L128&gt;=0,L128,""),""))</f>
        <v/>
      </c>
      <c r="AN128" s="135" t="str">
        <f aca="false">IF(ISBLANK($C128),"",IF(ISNUMBER(M128),IF(M128&gt;=0,M128,""),""))</f>
        <v/>
      </c>
      <c r="AO128" s="135" t="str">
        <f aca="false">IF(ISBLANK($C128),"",IF(N128=Constants!$B$3,TRUE(),IF(N128=Constants!$B$4,FALSE(),TRUE())))</f>
        <v/>
      </c>
      <c r="AP128" s="133" t="str">
        <f aca="false">IF(ISBLANK($C128),"",IF(ISNUMBER(O128),IF(O128&gt;=0,O128,""),""))</f>
        <v/>
      </c>
      <c r="AQ128" s="133" t="str">
        <f aca="false">IF(ISBLANK($C128),"",IF(P128=Constants!$B$3,TRUE(),IF(P128=Constants!$B$4,FALSE(),FALSE())))</f>
        <v/>
      </c>
      <c r="AR128" s="133" t="str">
        <f aca="false">IF(ISBLANK($C128),"",IF(Q128=Constants!$B$3,TRUE(),IF(Q128=Constants!$B$4,FALSE(),TRUE())))</f>
        <v/>
      </c>
      <c r="AS128" s="133" t="str">
        <f aca="false">IF(ISBLANK($C128),"",IF(R128=Constants!$B$3,TRUE(),IF(R128=Constants!$B$4,FALSE(),TRUE())))</f>
        <v/>
      </c>
      <c r="AT128" s="133" t="str">
        <f aca="false">IF(ISBLANK($C128),"",IF(S128=Constants!$B$5,TRUE(),IF(S128=Constants!$B$6,FALSE(),COUNTA(T128:X128)&gt;0)))</f>
        <v/>
      </c>
      <c r="AU128" s="134" t="str">
        <f aca="false">IF(ISBLANK($C128),"",IF(ISNUMBER(T128),IF(T128&gt;=0,T128,""),""))</f>
        <v/>
      </c>
      <c r="AV128" s="135" t="str">
        <f aca="false">IF(ISBLANK($C128),"",IF(ISNUMBER(U128),IF(U128&gt;=0,U128,""),""))</f>
        <v/>
      </c>
      <c r="AW128" s="135" t="str">
        <f aca="false">IF(ISBLANK($C128),"",IF(V128=Constants!$B$3,TRUE(),IF(V128=Constants!$B$4,FALSE(),TRUE())))</f>
        <v/>
      </c>
      <c r="AX128" s="133" t="str">
        <f aca="false">IF(ISBLANK($C128),"",IF(ISNUMBER(W128),IF(W128&gt;=0,W128,""),""))</f>
        <v/>
      </c>
      <c r="AY128" s="133" t="str">
        <f aca="false">IF(ISBLANK($C128),"",IF(X128=Constants!$B$3,TRUE(),IF(X128=Constants!$B$4,FALSE(),FALSE())))</f>
        <v/>
      </c>
      <c r="AZ128" s="133" t="str">
        <f aca="false">IF(ISBLANK($C128),"",MIN(Constants!$B$31,MAX(0,IF(ISNUMBER(Y128),Y128*60,0)+IF(ISNUMBER(Z128),Z128,0))))</f>
        <v/>
      </c>
      <c r="BA128" s="133" t="str">
        <f aca="false">IF(ISBLANK($C128),"",IF(AA128=Constants!$B$3,TRUE(),IF(AA128=Constants!$B$4,FALSE(),FALSE())))</f>
        <v/>
      </c>
      <c r="BB128" s="132" t="str">
        <f aca="false">IF(ISBLANK($C128),"",AND($AL128,OR($AM128="",$AN128="",AND($AO128,$AP128=""))))</f>
        <v/>
      </c>
      <c r="BC128" s="135" t="str">
        <f aca="false">IF($BR128&lt;&gt;Constants!$B$8,"",IF($AL128,Constants!$B$21*$AN128+Constants!$B$22*IF($AO128,$AP128,Constants!$B$23),Constants!$B$24))</f>
        <v/>
      </c>
      <c r="BD128" s="136" t="str">
        <f aca="false">IF($BR128&lt;&gt;Constants!$B$8,"",Constants!$B$25*ABS($AD$9-IF($AL128,$AM128,0)))</f>
        <v/>
      </c>
      <c r="BE128" s="136" t="str">
        <f aca="false">IF($BR128&lt;&gt;Constants!$B$8,"",IF(AND($AL128,$AQ128,$AO128),Constants!$B$27,0))</f>
        <v/>
      </c>
      <c r="BF128" s="136" t="str">
        <f aca="false">IF($BR128&lt;&gt;Constants!$B$8,"",IF($AL128,($AI128-Constants!$B$29)*Constants!$B$28,0))</f>
        <v/>
      </c>
      <c r="BG128" s="136" t="str">
        <f aca="false">IF($BR128&lt;&gt;Constants!$B$8,"",IF($AK128,0,Constants!$B$15)+IF($AJ128,0,Constants!$B$16)+IF($AH128,0,Constants!$B$17))</f>
        <v/>
      </c>
      <c r="BH128" s="137" t="str">
        <f aca="false">IF($BR128&lt;&gt;Constants!$B$8,"",Constants!$B$20+SUM($BC128:$BG128))</f>
        <v/>
      </c>
      <c r="BI128" s="133" t="str">
        <f aca="false">IF($BR128&lt;&gt;Constants!$B$8,"",IF(OR($BP128&lt;$BH128,AND($BP128=$BH128,OR($BK128&lt;$BC128,AND($BK128=$BC128,OR($BL128&lt;$BD128,AND($BL128=$BD128,$AT128,$AL128,$AV128&lt;$AN128)))))),"-&gt;","&lt;-"))</f>
        <v/>
      </c>
      <c r="BJ128" s="132" t="str">
        <f aca="false">IF(ISBLANK($C128),"",AND($AT128,OR($AU128="",$AV128="",AND($AW128,$AX128=""))))</f>
        <v/>
      </c>
      <c r="BK128" s="135" t="str">
        <f aca="false">IF($BR128&lt;&gt;Constants!$B$8,"",IF($AT128,Constants!$B$21*$AV128+Constants!$B$22*IF($AW128,$AX128,Constants!$B$23),Constants!$B$24))</f>
        <v/>
      </c>
      <c r="BL128" s="136" t="str">
        <f aca="false">IF($BR128&lt;&gt;Constants!$B$8,"",Constants!$B$25*ABS($AD$9-IF($AT128,$AU128,0)))</f>
        <v/>
      </c>
      <c r="BM128" s="136" t="str">
        <f aca="false">IF($BR128&lt;&gt;Constants!$B$8,"",IF(AND($AT128,$AY128,$AW128),Constants!$B$27,0))</f>
        <v/>
      </c>
      <c r="BN128" s="136" t="str">
        <f aca="false">IF($BR128&lt;&gt;Constants!$B$8,"",IF($AT128,($AI128-Constants!$B$29)*Constants!$B$28,0))</f>
        <v/>
      </c>
      <c r="BO128" s="136" t="str">
        <f aca="false">IF($BR128&lt;&gt;Constants!$B$8,"",IF($AS128,0,Constants!$B$15)+IF($AR128,0,Constants!$B$16)+IF($AH128,0,Constants!$B$17))</f>
        <v/>
      </c>
      <c r="BP128" s="137" t="str">
        <f aca="false">IF($BR128&lt;&gt;Constants!$B$8,"",Constants!$B$20+SUM($BK128:$BO128))</f>
        <v/>
      </c>
      <c r="BQ128" s="133" t="str">
        <f aca="false">IF(ISBLANK($C128),"",IF(ISBLANK($D$7),$BQ$5,IF(NOT(ISNUMBER($D$7)),$BQ$6,"")))</f>
        <v/>
      </c>
      <c r="BR128" s="133" t="str">
        <f aca="false">IF(ISBLANK($C128),"",IF($BA128,Constants!$B$11,IF(COUNTA($E128:$AA128)=0,Constants!$B$10,IF(NOT($AG128),Constants!$B$9,IF(OR($BQ128&lt;&gt;"",$BB128,$BJ128),Constants!$B$12,Constants!$B$8)))))</f>
        <v/>
      </c>
      <c r="BS128" s="133" t="str">
        <f aca="false">IF(ISBLANK($C128),"",IF($BR128&lt;&gt;Constants!$B$8,$BR128,Constants!$B$13))</f>
        <v/>
      </c>
      <c r="BT128" s="136" t="str">
        <f aca="false">IF($BR128&lt;&gt;Constants!$B$8,"",IF($BI128="-&gt;",$BP128,$BH128))</f>
        <v/>
      </c>
      <c r="BU128" s="136" t="str">
        <f aca="false">IF($BR128&lt;&gt;Constants!$B$8,"",IF($AF128,0,Constants!$B$18))</f>
        <v/>
      </c>
      <c r="BV128" s="136" t="str">
        <f aca="false">IF($BR128&lt;&gt;Constants!$B$8,"",((Constants!$B$31-$AZ128)-Constants!$B$31)/Constants!$B$32)</f>
        <v/>
      </c>
      <c r="BW128" s="136" t="str">
        <f aca="false">IF(ISBLANK($C128),"",IF($BR128&lt;&gt;Constants!$B$8,$BR128,SUM($BT128:$BV128)))</f>
        <v/>
      </c>
      <c r="BX128" s="133" t="str">
        <f aca="false">IF(ISBLANK($C128),"",IF($BR128&lt;&gt;Constants!$B$8,$BR128,RANK($BW128,$BW$9:$BW$508,1)))</f>
        <v/>
      </c>
      <c r="BY128" s="136" t="str">
        <f aca="false">IF($BR128&lt;&gt;Constants!$B$8,"",IF($BI128="-&gt;",$BK128,$BC128))</f>
        <v/>
      </c>
      <c r="BZ128" s="133" t="str">
        <f aca="false">IF(ISBLANK($C128),"",IF($BR128&lt;&gt;Constants!$B$8,$BR128,IF(ISNUMBER($BY128),RANK($BY128,$BY$9:$BY$508,1),COUNT($BY$9:$BY$508)+1)))</f>
        <v/>
      </c>
      <c r="CA128" s="136" t="str">
        <f aca="false">IF($BR128&lt;&gt;Constants!$B$8,"",IF($BI128="-&gt;",$BL128,$BD128))</f>
        <v/>
      </c>
      <c r="CB128" s="133" t="str">
        <f aca="false">IF(ISBLANK($C128),"",IF($BR128&lt;&gt;Constants!$B$8,$BR128,IF(ISNUMBER($CA128),RANK($CA128,$CA$9:$CA$508,1),COUNT($CA$9:$CA$508)+1)))</f>
        <v/>
      </c>
      <c r="CC128" s="136" t="str">
        <f aca="false">IF($BR128&lt;&gt;Constants!$B$8,"",IF($BI128="-&gt;",IF($AT128,$AV128,""),IF($AL128,$AN128,"")))</f>
        <v/>
      </c>
      <c r="CD128" s="133" t="str">
        <f aca="false">IF(ISBLANK($C128),"",IF($BR128&lt;&gt;Constants!$B$8,$BR128,IF(ISNUMBER($CC128),RANK($CC128,$CC$9:$CC$508,1),COUNT($CC$9:$CC$508)+1)))</f>
        <v/>
      </c>
      <c r="CE128" s="136" t="str">
        <f aca="false">IF($BR128&lt;&gt;Constants!$B$8,"",IF(AND(NOT($AL128),NOT($AT128),$AJ128,$AK128,$AR128,$AS128),"",$AI128))</f>
        <v/>
      </c>
      <c r="CF128" s="133" t="str">
        <f aca="false">IF(ISBLANK($C128),"",IF($BR128&lt;&gt;Constants!$B$8,$BR128,IF(ISNUMBER($CE128),RANK($CE128,$CE$9:$CE$508,1),COUNT($CE$9:$CE$508)+1)))</f>
        <v/>
      </c>
      <c r="CG128" s="133" t="str">
        <f aca="false">IF(ISBLANK($C128),"",IF($BR128&lt;&gt;Constants!$B$8,$BR128,COUNTIFS($BX$9:$BX$508,"&lt;"&amp;$BX128)+COUNTIFS($BX$9:$BX$508,$BX128,$BZ$9:$BZ$508,"&lt;"&amp;$BZ128)+COUNTIFS($BX$9:$BX$508,$BX128,$BZ$9:$BZ$508,$BZ128,$CB$9:$CB$508,"&lt;"&amp;$CB128)+COUNTIFS($BX$9:$BX$508,$BX128,$BZ$9:$BZ$508,$BZ128,$CB$9:$CB$508,$CB128,$CD$9:$CD$508,"&lt;"&amp;$CD128)+COUNTIFS($BX$9:$BX$508,$BX128,$BZ$9:$BZ$508,$BZ128,$CB$9:$CB$508,$CB128,$CD$9:$CD$508,$CD128,$CF$9:$CF$508,"&lt;"&amp;$CF128)+1))</f>
        <v/>
      </c>
      <c r="CH128" s="133" t="str">
        <f aca="false">IF(ISBLANK($C128),"",IF($BR128&lt;&gt;Constants!$B$8,$BR128,$BX128-$CG128))</f>
        <v/>
      </c>
      <c r="CI128" s="138"/>
      <c r="CJ128" s="139"/>
      <c r="CK128" s="140" t="str">
        <f aca="false">IF(ISBLANK($C128),"",IF($BR128=Constants!$B$12,$BQ128,""))</f>
        <v/>
      </c>
      <c r="CL128" s="139" t="str">
        <f aca="false">IF(ISBLANK($C128),"",IF($BR128&lt;&gt;Constants!$B$8,"",IF($BI128="-&gt;",2,1)))</f>
        <v/>
      </c>
      <c r="CM128" s="141" t="str">
        <f aca="false">IF(ISBLANK($C128),"",IF($BR128&lt;&gt;Constants!$B$8,"",IF($BI128="-&gt;",$BK128,$BC128)))</f>
        <v/>
      </c>
      <c r="CN128" s="141" t="str">
        <f aca="false">IF(ISBLANK($C128),"",IF($BR128&lt;&gt;Constants!$B$8,"",IF($BI128="-&gt;",$BL128,$BD128)))</f>
        <v/>
      </c>
      <c r="CO128" s="141" t="str">
        <f aca="false">IF(ISBLANK($C128),"",IF($BR128&lt;&gt;Constants!$B$8,"",IF($BI128="-&gt;",$BM128+$BN128,$BE128+$BF128)+$BV128))</f>
        <v/>
      </c>
      <c r="CP128" s="141" t="str">
        <f aca="false">IF(ISBLANK($C128),"",IF($BR128&lt;&gt;Constants!$B$8,"",IF($BI128="-&gt;",$BO128,$BG128)+$BU128))</f>
        <v/>
      </c>
      <c r="CQ128" s="142" t="str">
        <f aca="false">IF(ISBLANK($C128),"",IF($BR128&lt;&gt;Constants!$B$8,$BR128,$BW128))</f>
        <v/>
      </c>
      <c r="CR128" s="143" t="str">
        <f aca="false">IF(ISBLANK($C128),"",$BS128)</f>
        <v/>
      </c>
      <c r="CS128" s="144" t="str">
        <f aca="false">IF(ISBLANK($C128),"",$CH128)</f>
        <v/>
      </c>
      <c r="CT128" s="144" t="str">
        <f aca="false">IF(ISBLANK($C128),"",$CG128)</f>
        <v/>
      </c>
      <c r="CU128" s="145" t="str">
        <f aca="false">IF(ISBLANK($C128),"",IFERROR(_xlfn.SWITCH($CT128,Constants!$B$11,COUNTA($C$9:$C$508)+2,Constants!$B$10,COUNTA($C$9:$C$508)+1,Constants!$B$9,COUNTA($C$9:$C$508)),$CT128))</f>
        <v/>
      </c>
      <c r="CV128" s="9"/>
      <c r="CW128" s="146" t="n">
        <f aca="false">IF(OR(ISNUMBER($CT128),$CT128=Constants!$B$11,$CT128=Constants!$B$9,$CT128=Constants!$B$10),1,0)</f>
        <v>0</v>
      </c>
      <c r="CX128" s="146" t="n">
        <v>120</v>
      </c>
      <c r="CY128" s="146" t="str">
        <f aca="false">IF(ISBLANK($C128),"",IF(ISNUMBER($CU128),$CU128+ROW($B128)/1000,""))</f>
        <v/>
      </c>
      <c r="CZ128" s="146" t="str">
        <f aca="false">IF(ISNUMBER($CY128),RANK($CY128,$CY$9:$CY$508,1),"")</f>
        <v/>
      </c>
      <c r="DA128" s="146" t="str">
        <f aca="false">IF(ISBLANK($C128),"",$B128)</f>
        <v/>
      </c>
      <c r="DB128" s="146" t="str">
        <f aca="false">IF(ISBLANK($C128),"",$C128)</f>
        <v/>
      </c>
      <c r="DC128" s="146" t="str">
        <f aca="false">IF(ISBLANK($C128),"",$D128)</f>
        <v/>
      </c>
      <c r="DD128" s="147" t="str">
        <f aca="false">$CR128</f>
        <v/>
      </c>
      <c r="DE128" s="148" t="str">
        <f aca="false">$CQ128</f>
        <v/>
      </c>
      <c r="DF128" s="146" t="str">
        <f aca="false">IF(ISBLANK($C128),"",$CT128)</f>
        <v/>
      </c>
      <c r="DG128" s="149" t="str">
        <f aca="false">IF($CX128&gt;$CW$8,"",VLOOKUP($CX128,$CZ$9:$DF$508,7,FALSE()))</f>
        <v/>
      </c>
      <c r="DH128" s="150" t="str">
        <f aca="false">IF($CX128&gt;$CW$8,"",VLOOKUP($CX128,$CZ$9:$DF$508,2,FALSE()))</f>
        <v/>
      </c>
      <c r="DI128" s="150" t="str">
        <f aca="false">IF($CX128&gt;$CW$8,"",VLOOKUP($CX128,$CZ$9:$DF$508,3,FALSE()))</f>
        <v/>
      </c>
      <c r="DJ128" s="150" t="str">
        <f aca="false">IF($CX128&gt;$CW$8,"",VLOOKUP($CX128,$CZ$9:$DF$508,4,FALSE()))</f>
        <v/>
      </c>
      <c r="DK128" s="150" t="str">
        <f aca="false">IF($CX128&gt;$CW$8,"",VLOOKUP($CX128,$CZ$9:$DF$508,5,FALSE()))</f>
        <v/>
      </c>
      <c r="DL128" s="151" t="str">
        <f aca="false">IF($CX128&gt;$CW$8,"",VLOOKUP($CX128,$CZ$9:$DF$508,6,FALSE()))</f>
        <v/>
      </c>
      <c r="DM128" s="75"/>
    </row>
    <row r="129" customFormat="false" ht="15.75" hidden="false" customHeight="false" outlineLevel="0" collapsed="false">
      <c r="A129" s="9"/>
      <c r="B129" s="77"/>
      <c r="C129" s="78"/>
      <c r="D129" s="167"/>
      <c r="E129" s="175"/>
      <c r="F129" s="169"/>
      <c r="G129" s="170"/>
      <c r="H129" s="170"/>
      <c r="I129" s="176"/>
      <c r="J129" s="173"/>
      <c r="K129" s="85"/>
      <c r="L129" s="86"/>
      <c r="M129" s="87"/>
      <c r="N129" s="173"/>
      <c r="O129" s="173"/>
      <c r="P129" s="175"/>
      <c r="Q129" s="173"/>
      <c r="R129" s="173"/>
      <c r="S129" s="85"/>
      <c r="T129" s="87"/>
      <c r="U129" s="87"/>
      <c r="V129" s="173"/>
      <c r="W129" s="173"/>
      <c r="X129" s="175"/>
      <c r="Y129" s="173"/>
      <c r="Z129" s="174"/>
      <c r="AA129" s="173"/>
      <c r="AB129" s="91"/>
      <c r="AC129" s="92"/>
      <c r="AD129" s="92"/>
      <c r="AE129" s="92"/>
      <c r="AF129" s="92" t="str">
        <f aca="false">IF(ISBLANK($C129),"",IF(E129=Constants!$B$3,TRUE(),IF(E129=Constants!$B$4,FALSE(),TRUE())))</f>
        <v/>
      </c>
      <c r="AG129" s="92" t="str">
        <f aca="false">IF(ISBLANK($C129),"",IF(F129=Constants!$B$3,TRUE(),IF(F129=Constants!$B$4,FALSE(),TRUE())))</f>
        <v/>
      </c>
      <c r="AH129" s="92" t="str">
        <f aca="false">IF(ISBLANK($C129),"",IF(G129=Constants!$B$3,TRUE(),IF(G129=Constants!$B$4,FALSE(),TRUE())))</f>
        <v/>
      </c>
      <c r="AI129" s="92" t="str">
        <f aca="false">IF(ISBLANK($C129),"",IF(AND(ISNUMBER(H129),H129&gt;=0),H129,Constants!$B$29))</f>
        <v/>
      </c>
      <c r="AJ129" s="92" t="str">
        <f aca="false">IF(ISBLANK($C129),"",IF(I129=Constants!$B$3,TRUE(),IF(I129=Constants!$B$4,FALSE(),TRUE())))</f>
        <v/>
      </c>
      <c r="AK129" s="92" t="str">
        <f aca="false">IF(ISBLANK($C129),"",IF(J129=Constants!$B$3,TRUE(),IF(J129=Constants!$B$4,FALSE(),TRUE())))</f>
        <v/>
      </c>
      <c r="AL129" s="92" t="str">
        <f aca="false">IF(ISBLANK($C129),"",IF(K129=Constants!$B$5,TRUE(),IF(K129=Constants!$B$6,FALSE(),COUNTA(L129:P129)&gt;0)))</f>
        <v/>
      </c>
      <c r="AM129" s="94" t="str">
        <f aca="false">IF(ISBLANK($C129),"",IF(ISNUMBER(L129),IF(L129&gt;=0,L129,""),""))</f>
        <v/>
      </c>
      <c r="AN129" s="93" t="str">
        <f aca="false">IF(ISBLANK($C129),"",IF(ISNUMBER(M129),IF(M129&gt;=0,M129,""),""))</f>
        <v/>
      </c>
      <c r="AO129" s="93" t="str">
        <f aca="false">IF(ISBLANK($C129),"",IF(N129=Constants!$B$3,TRUE(),IF(N129=Constants!$B$4,FALSE(),TRUE())))</f>
        <v/>
      </c>
      <c r="AP129" s="92" t="str">
        <f aca="false">IF(ISBLANK($C129),"",IF(ISNUMBER(O129),IF(O129&gt;=0,O129,""),""))</f>
        <v/>
      </c>
      <c r="AQ129" s="92" t="str">
        <f aca="false">IF(ISBLANK($C129),"",IF(P129=Constants!$B$3,TRUE(),IF(P129=Constants!$B$4,FALSE(),FALSE())))</f>
        <v/>
      </c>
      <c r="AR129" s="92" t="str">
        <f aca="false">IF(ISBLANK($C129),"",IF(Q129=Constants!$B$3,TRUE(),IF(Q129=Constants!$B$4,FALSE(),TRUE())))</f>
        <v/>
      </c>
      <c r="AS129" s="92" t="str">
        <f aca="false">IF(ISBLANK($C129),"",IF(R129=Constants!$B$3,TRUE(),IF(R129=Constants!$B$4,FALSE(),TRUE())))</f>
        <v/>
      </c>
      <c r="AT129" s="92" t="str">
        <f aca="false">IF(ISBLANK($C129),"",IF(S129=Constants!$B$5,TRUE(),IF(S129=Constants!$B$6,FALSE(),COUNTA(T129:X129)&gt;0)))</f>
        <v/>
      </c>
      <c r="AU129" s="94" t="str">
        <f aca="false">IF(ISBLANK($C129),"",IF(ISNUMBER(T129),IF(T129&gt;=0,T129,""),""))</f>
        <v/>
      </c>
      <c r="AV129" s="93" t="str">
        <f aca="false">IF(ISBLANK($C129),"",IF(ISNUMBER(U129),IF(U129&gt;=0,U129,""),""))</f>
        <v/>
      </c>
      <c r="AW129" s="93" t="str">
        <f aca="false">IF(ISBLANK($C129),"",IF(V129=Constants!$B$3,TRUE(),IF(V129=Constants!$B$4,FALSE(),TRUE())))</f>
        <v/>
      </c>
      <c r="AX129" s="92" t="str">
        <f aca="false">IF(ISBLANK($C129),"",IF(ISNUMBER(W129),IF(W129&gt;=0,W129,""),""))</f>
        <v/>
      </c>
      <c r="AY129" s="92" t="str">
        <f aca="false">IF(ISBLANK($C129),"",IF(X129=Constants!$B$3,TRUE(),IF(X129=Constants!$B$4,FALSE(),FALSE())))</f>
        <v/>
      </c>
      <c r="AZ129" s="92" t="str">
        <f aca="false">IF(ISBLANK($C129),"",MIN(Constants!$B$31,MAX(0,IF(ISNUMBER(Y129),Y129*60,0)+IF(ISNUMBER(Z129),Z129,0))))</f>
        <v/>
      </c>
      <c r="BA129" s="92" t="str">
        <f aca="false">IF(ISBLANK($C129),"",IF(AA129=Constants!$B$3,TRUE(),IF(AA129=Constants!$B$4,FALSE(),FALSE())))</f>
        <v/>
      </c>
      <c r="BB129" s="91" t="str">
        <f aca="false">IF(ISBLANK($C129),"",AND($AL129,OR($AM129="",$AN129="",AND($AO129,$AP129=""))))</f>
        <v/>
      </c>
      <c r="BC129" s="93" t="str">
        <f aca="false">IF($BR129&lt;&gt;Constants!$B$8,"",IF($AL129,Constants!$B$21*$AN129+Constants!$B$22*IF($AO129,$AP129,Constants!$B$23),Constants!$B$24))</f>
        <v/>
      </c>
      <c r="BD129" s="96" t="str">
        <f aca="false">IF($BR129&lt;&gt;Constants!$B$8,"",Constants!$B$25*ABS($AD$9-IF($AL129,$AM129,0)))</f>
        <v/>
      </c>
      <c r="BE129" s="96" t="str">
        <f aca="false">IF($BR129&lt;&gt;Constants!$B$8,"",IF(AND($AL129,$AQ129,$AO129),Constants!$B$27,0))</f>
        <v/>
      </c>
      <c r="BF129" s="96" t="str">
        <f aca="false">IF($BR129&lt;&gt;Constants!$B$8,"",IF($AL129,($AI129-Constants!$B$29)*Constants!$B$28,0))</f>
        <v/>
      </c>
      <c r="BG129" s="96" t="str">
        <f aca="false">IF($BR129&lt;&gt;Constants!$B$8,"",IF($AK129,0,Constants!$B$15)+IF($AJ129,0,Constants!$B$16)+IF($AH129,0,Constants!$B$17))</f>
        <v/>
      </c>
      <c r="BH129" s="97" t="str">
        <f aca="false">IF($BR129&lt;&gt;Constants!$B$8,"",Constants!$B$20+SUM($BC129:$BG129))</f>
        <v/>
      </c>
      <c r="BI129" s="92" t="str">
        <f aca="false">IF($BR129&lt;&gt;Constants!$B$8,"",IF(OR($BP129&lt;$BH129,AND($BP129=$BH129,OR($BK129&lt;$BC129,AND($BK129=$BC129,OR($BL129&lt;$BD129,AND($BL129=$BD129,$AT129,$AL129,$AV129&lt;$AN129)))))),"-&gt;","&lt;-"))</f>
        <v/>
      </c>
      <c r="BJ129" s="91" t="str">
        <f aca="false">IF(ISBLANK($C129),"",AND($AT129,OR($AU129="",$AV129="",AND($AW129,$AX129=""))))</f>
        <v/>
      </c>
      <c r="BK129" s="93" t="str">
        <f aca="false">IF($BR129&lt;&gt;Constants!$B$8,"",IF($AT129,Constants!$B$21*$AV129+Constants!$B$22*IF($AW129,$AX129,Constants!$B$23),Constants!$B$24))</f>
        <v/>
      </c>
      <c r="BL129" s="96" t="str">
        <f aca="false">IF($BR129&lt;&gt;Constants!$B$8,"",Constants!$B$25*ABS($AD$9-IF($AT129,$AU129,0)))</f>
        <v/>
      </c>
      <c r="BM129" s="96" t="str">
        <f aca="false">IF($BR129&lt;&gt;Constants!$B$8,"",IF(AND($AT129,$AY129,$AW129),Constants!$B$27,0))</f>
        <v/>
      </c>
      <c r="BN129" s="96" t="str">
        <f aca="false">IF($BR129&lt;&gt;Constants!$B$8,"",IF($AT129,($AI129-Constants!$B$29)*Constants!$B$28,0))</f>
        <v/>
      </c>
      <c r="BO129" s="96" t="str">
        <f aca="false">IF($BR129&lt;&gt;Constants!$B$8,"",IF($AS129,0,Constants!$B$15)+IF($AR129,0,Constants!$B$16)+IF($AH129,0,Constants!$B$17))</f>
        <v/>
      </c>
      <c r="BP129" s="97" t="str">
        <f aca="false">IF($BR129&lt;&gt;Constants!$B$8,"",Constants!$B$20+SUM($BK129:$BO129))</f>
        <v/>
      </c>
      <c r="BQ129" s="92" t="str">
        <f aca="false">IF(ISBLANK($C129),"",IF(ISBLANK($D$7),$BQ$5,IF(NOT(ISNUMBER($D$7)),$BQ$6,"")))</f>
        <v/>
      </c>
      <c r="BR129" s="92" t="str">
        <f aca="false">IF(ISBLANK($C129),"",IF($BA129,Constants!$B$11,IF(COUNTA($E129:$AA129)=0,Constants!$B$10,IF(NOT($AG129),Constants!$B$9,IF(OR($BQ129&lt;&gt;"",$BB129,$BJ129),Constants!$B$12,Constants!$B$8)))))</f>
        <v/>
      </c>
      <c r="BS129" s="92" t="str">
        <f aca="false">IF(ISBLANK($C129),"",IF($BR129&lt;&gt;Constants!$B$8,$BR129,Constants!$B$13))</f>
        <v/>
      </c>
      <c r="BT129" s="96" t="str">
        <f aca="false">IF($BR129&lt;&gt;Constants!$B$8,"",IF($BI129="-&gt;",$BP129,$BH129))</f>
        <v/>
      </c>
      <c r="BU129" s="96" t="str">
        <f aca="false">IF($BR129&lt;&gt;Constants!$B$8,"",IF($AF129,0,Constants!$B$18))</f>
        <v/>
      </c>
      <c r="BV129" s="96" t="str">
        <f aca="false">IF($BR129&lt;&gt;Constants!$B$8,"",((Constants!$B$31-$AZ129)-Constants!$B$31)/Constants!$B$32)</f>
        <v/>
      </c>
      <c r="BW129" s="96" t="str">
        <f aca="false">IF(ISBLANK($C129),"",IF($BR129&lt;&gt;Constants!$B$8,$BR129,SUM($BT129:$BV129)))</f>
        <v/>
      </c>
      <c r="BX129" s="92" t="str">
        <f aca="false">IF(ISBLANK($C129),"",IF($BR129&lt;&gt;Constants!$B$8,$BR129,RANK($BW129,$BW$9:$BW$508,1)))</f>
        <v/>
      </c>
      <c r="BY129" s="96" t="str">
        <f aca="false">IF($BR129&lt;&gt;Constants!$B$8,"",IF($BI129="-&gt;",$BK129,$BC129))</f>
        <v/>
      </c>
      <c r="BZ129" s="92" t="str">
        <f aca="false">IF(ISBLANK($C129),"",IF($BR129&lt;&gt;Constants!$B$8,$BR129,IF(ISNUMBER($BY129),RANK($BY129,$BY$9:$BY$508,1),COUNT($BY$9:$BY$508)+1)))</f>
        <v/>
      </c>
      <c r="CA129" s="96" t="str">
        <f aca="false">IF($BR129&lt;&gt;Constants!$B$8,"",IF($BI129="-&gt;",$BL129,$BD129))</f>
        <v/>
      </c>
      <c r="CB129" s="92" t="str">
        <f aca="false">IF(ISBLANK($C129),"",IF($BR129&lt;&gt;Constants!$B$8,$BR129,IF(ISNUMBER($CA129),RANK($CA129,$CA$9:$CA$508,1),COUNT($CA$9:$CA$508)+1)))</f>
        <v/>
      </c>
      <c r="CC129" s="96" t="str">
        <f aca="false">IF($BR129&lt;&gt;Constants!$B$8,"",IF($BI129="-&gt;",IF($AT129,$AV129,""),IF($AL129,$AN129,"")))</f>
        <v/>
      </c>
      <c r="CD129" s="92" t="str">
        <f aca="false">IF(ISBLANK($C129),"",IF($BR129&lt;&gt;Constants!$B$8,$BR129,IF(ISNUMBER($CC129),RANK($CC129,$CC$9:$CC$508,1),COUNT($CC$9:$CC$508)+1)))</f>
        <v/>
      </c>
      <c r="CE129" s="96" t="str">
        <f aca="false">IF($BR129&lt;&gt;Constants!$B$8,"",IF(AND(NOT($AL129),NOT($AT129),$AJ129,$AK129,$AR129,$AS129),"",$AI129))</f>
        <v/>
      </c>
      <c r="CF129" s="92" t="str">
        <f aca="false">IF(ISBLANK($C129),"",IF($BR129&lt;&gt;Constants!$B$8,$BR129,IF(ISNUMBER($CE129),RANK($CE129,$CE$9:$CE$508,1),COUNT($CE$9:$CE$508)+1)))</f>
        <v/>
      </c>
      <c r="CG129" s="92" t="str">
        <f aca="false">IF(ISBLANK($C129),"",IF($BR129&lt;&gt;Constants!$B$8,$BR129,COUNTIFS($BX$9:$BX$508,"&lt;"&amp;$BX129)+COUNTIFS($BX$9:$BX$508,$BX129,$BZ$9:$BZ$508,"&lt;"&amp;$BZ129)+COUNTIFS($BX$9:$BX$508,$BX129,$BZ$9:$BZ$508,$BZ129,$CB$9:$CB$508,"&lt;"&amp;$CB129)+COUNTIFS($BX$9:$BX$508,$BX129,$BZ$9:$BZ$508,$BZ129,$CB$9:$CB$508,$CB129,$CD$9:$CD$508,"&lt;"&amp;$CD129)+COUNTIFS($BX$9:$BX$508,$BX129,$BZ$9:$BZ$508,$BZ129,$CB$9:$CB$508,$CB129,$CD$9:$CD$508,$CD129,$CF$9:$CF$508,"&lt;"&amp;$CF129)+1))</f>
        <v/>
      </c>
      <c r="CH129" s="92" t="str">
        <f aca="false">IF(ISBLANK($C129),"",IF($BR129&lt;&gt;Constants!$B$8,$BR129,$BX129-$CG129))</f>
        <v/>
      </c>
      <c r="CI129" s="98"/>
      <c r="CJ129" s="99"/>
      <c r="CK129" s="100" t="str">
        <f aca="false">IF(ISBLANK($C129),"",IF($BR129=Constants!$B$12,$BQ129,""))</f>
        <v/>
      </c>
      <c r="CL129" s="99" t="str">
        <f aca="false">IF(ISBLANK($C129),"",IF($BR129&lt;&gt;Constants!$B$8,"",IF($BI129="-&gt;",2,1)))</f>
        <v/>
      </c>
      <c r="CM129" s="101" t="str">
        <f aca="false">IF(ISBLANK($C129),"",IF($BR129&lt;&gt;Constants!$B$8,"",IF($BI129="-&gt;",$BK129,$BC129)))</f>
        <v/>
      </c>
      <c r="CN129" s="101" t="str">
        <f aca="false">IF(ISBLANK($C129),"",IF($BR129&lt;&gt;Constants!$B$8,"",IF($BI129="-&gt;",$BL129,$BD129)))</f>
        <v/>
      </c>
      <c r="CO129" s="101" t="str">
        <f aca="false">IF(ISBLANK($C129),"",IF($BR129&lt;&gt;Constants!$B$8,"",IF($BI129="-&gt;",$BM129+$BN129,$BE129+$BF129)+$BV129))</f>
        <v/>
      </c>
      <c r="CP129" s="101" t="str">
        <f aca="false">IF(ISBLANK($C129),"",IF($BR129&lt;&gt;Constants!$B$8,"",IF($BI129="-&gt;",$BO129,$BG129)+$BU129))</f>
        <v/>
      </c>
      <c r="CQ129" s="102" t="str">
        <f aca="false">IF(ISBLANK($C129),"",IF($BR129&lt;&gt;Constants!$B$8,$BR129,$BW129))</f>
        <v/>
      </c>
      <c r="CR129" s="103" t="str">
        <f aca="false">IF(ISBLANK($C129),"",$BS129)</f>
        <v/>
      </c>
      <c r="CS129" s="104" t="str">
        <f aca="false">IF(ISBLANK($C129),"",$CH129)</f>
        <v/>
      </c>
      <c r="CT129" s="104" t="str">
        <f aca="false">IF(ISBLANK($C129),"",$CG129)</f>
        <v/>
      </c>
      <c r="CU129" s="105" t="str">
        <f aca="false">IF(ISBLANK($C129),"",IFERROR(_xlfn.SWITCH($CT129,Constants!$B$11,COUNTA($C$9:$C$508)+2,Constants!$B$10,COUNTA($C$9:$C$508)+1,Constants!$B$9,COUNTA($C$9:$C$508)),$CT129))</f>
        <v/>
      </c>
      <c r="CV129" s="9"/>
      <c r="CW129" s="106" t="n">
        <f aca="false">IF(OR(ISNUMBER($CT129),$CT129=Constants!$B$11,$CT129=Constants!$B$9,$CT129=Constants!$B$10),1,0)</f>
        <v>0</v>
      </c>
      <c r="CX129" s="106" t="n">
        <v>121</v>
      </c>
      <c r="CY129" s="106" t="str">
        <f aca="false">IF(ISBLANK($C129),"",IF(ISNUMBER($CU129),$CU129+ROW($B129)/1000,""))</f>
        <v/>
      </c>
      <c r="CZ129" s="106" t="str">
        <f aca="false">IF(ISNUMBER($CY129),RANK($CY129,$CY$9:$CY$508,1),"")</f>
        <v/>
      </c>
      <c r="DA129" s="106" t="str">
        <f aca="false">IF(ISBLANK($C129),"",$B129)</f>
        <v/>
      </c>
      <c r="DB129" s="106" t="str">
        <f aca="false">IF(ISBLANK($C129),"",$C129)</f>
        <v/>
      </c>
      <c r="DC129" s="106" t="str">
        <f aca="false">IF(ISBLANK($C129),"",$D129)</f>
        <v/>
      </c>
      <c r="DD129" s="107" t="str">
        <f aca="false">$CR129</f>
        <v/>
      </c>
      <c r="DE129" s="108" t="str">
        <f aca="false">$CQ129</f>
        <v/>
      </c>
      <c r="DF129" s="106" t="str">
        <f aca="false">IF(ISBLANK($C129),"",$CT129)</f>
        <v/>
      </c>
      <c r="DG129" s="109" t="str">
        <f aca="false">IF($CX129&gt;$CW$8,"",VLOOKUP($CX129,$CZ$9:$DF$508,7,FALSE()))</f>
        <v/>
      </c>
      <c r="DH129" s="110" t="str">
        <f aca="false">IF($CX129&gt;$CW$8,"",VLOOKUP($CX129,$CZ$9:$DF$508,2,FALSE()))</f>
        <v/>
      </c>
      <c r="DI129" s="110" t="str">
        <f aca="false">IF($CX129&gt;$CW$8,"",VLOOKUP($CX129,$CZ$9:$DF$508,3,FALSE()))</f>
        <v/>
      </c>
      <c r="DJ129" s="110" t="str">
        <f aca="false">IF($CX129&gt;$CW$8,"",VLOOKUP($CX129,$CZ$9:$DF$508,4,FALSE()))</f>
        <v/>
      </c>
      <c r="DK129" s="110" t="str">
        <f aca="false">IF($CX129&gt;$CW$8,"",VLOOKUP($CX129,$CZ$9:$DF$508,5,FALSE()))</f>
        <v/>
      </c>
      <c r="DL129" s="111" t="str">
        <f aca="false">IF($CX129&gt;$CW$8,"",VLOOKUP($CX129,$CZ$9:$DF$508,6,FALSE()))</f>
        <v/>
      </c>
      <c r="DM129" s="75"/>
    </row>
    <row r="130" customFormat="false" ht="15.75" hidden="false" customHeight="false" outlineLevel="0" collapsed="false">
      <c r="A130" s="9"/>
      <c r="B130" s="77"/>
      <c r="C130" s="78"/>
      <c r="D130" s="167"/>
      <c r="E130" s="175"/>
      <c r="F130" s="169"/>
      <c r="G130" s="170"/>
      <c r="H130" s="170"/>
      <c r="I130" s="176"/>
      <c r="J130" s="173"/>
      <c r="K130" s="85"/>
      <c r="L130" s="86"/>
      <c r="M130" s="87"/>
      <c r="N130" s="173"/>
      <c r="O130" s="173"/>
      <c r="P130" s="175"/>
      <c r="Q130" s="173"/>
      <c r="R130" s="173"/>
      <c r="S130" s="85"/>
      <c r="T130" s="87"/>
      <c r="U130" s="87"/>
      <c r="V130" s="173"/>
      <c r="W130" s="173"/>
      <c r="X130" s="175"/>
      <c r="Y130" s="173"/>
      <c r="Z130" s="174"/>
      <c r="AA130" s="173"/>
      <c r="AB130" s="91"/>
      <c r="AC130" s="92"/>
      <c r="AD130" s="92"/>
      <c r="AE130" s="92"/>
      <c r="AF130" s="92" t="str">
        <f aca="false">IF(ISBLANK($C130),"",IF(E130=Constants!$B$3,TRUE(),IF(E130=Constants!$B$4,FALSE(),TRUE())))</f>
        <v/>
      </c>
      <c r="AG130" s="92" t="str">
        <f aca="false">IF(ISBLANK($C130),"",IF(F130=Constants!$B$3,TRUE(),IF(F130=Constants!$B$4,FALSE(),TRUE())))</f>
        <v/>
      </c>
      <c r="AH130" s="92" t="str">
        <f aca="false">IF(ISBLANK($C130),"",IF(G130=Constants!$B$3,TRUE(),IF(G130=Constants!$B$4,FALSE(),TRUE())))</f>
        <v/>
      </c>
      <c r="AI130" s="92" t="str">
        <f aca="false">IF(ISBLANK($C130),"",IF(AND(ISNUMBER(H130),H130&gt;=0),H130,Constants!$B$29))</f>
        <v/>
      </c>
      <c r="AJ130" s="92" t="str">
        <f aca="false">IF(ISBLANK($C130),"",IF(I130=Constants!$B$3,TRUE(),IF(I130=Constants!$B$4,FALSE(),TRUE())))</f>
        <v/>
      </c>
      <c r="AK130" s="92" t="str">
        <f aca="false">IF(ISBLANK($C130),"",IF(J130=Constants!$B$3,TRUE(),IF(J130=Constants!$B$4,FALSE(),TRUE())))</f>
        <v/>
      </c>
      <c r="AL130" s="92" t="str">
        <f aca="false">IF(ISBLANK($C130),"",IF(K130=Constants!$B$5,TRUE(),IF(K130=Constants!$B$6,FALSE(),COUNTA(L130:P130)&gt;0)))</f>
        <v/>
      </c>
      <c r="AM130" s="94" t="str">
        <f aca="false">IF(ISBLANK($C130),"",IF(ISNUMBER(L130),IF(L130&gt;=0,L130,""),""))</f>
        <v/>
      </c>
      <c r="AN130" s="93" t="str">
        <f aca="false">IF(ISBLANK($C130),"",IF(ISNUMBER(M130),IF(M130&gt;=0,M130,""),""))</f>
        <v/>
      </c>
      <c r="AO130" s="93" t="str">
        <f aca="false">IF(ISBLANK($C130),"",IF(N130=Constants!$B$3,TRUE(),IF(N130=Constants!$B$4,FALSE(),TRUE())))</f>
        <v/>
      </c>
      <c r="AP130" s="92" t="str">
        <f aca="false">IF(ISBLANK($C130),"",IF(ISNUMBER(O130),IF(O130&gt;=0,O130,""),""))</f>
        <v/>
      </c>
      <c r="AQ130" s="92" t="str">
        <f aca="false">IF(ISBLANK($C130),"",IF(P130=Constants!$B$3,TRUE(),IF(P130=Constants!$B$4,FALSE(),FALSE())))</f>
        <v/>
      </c>
      <c r="AR130" s="92" t="str">
        <f aca="false">IF(ISBLANK($C130),"",IF(Q130=Constants!$B$3,TRUE(),IF(Q130=Constants!$B$4,FALSE(),TRUE())))</f>
        <v/>
      </c>
      <c r="AS130" s="92" t="str">
        <f aca="false">IF(ISBLANK($C130),"",IF(R130=Constants!$B$3,TRUE(),IF(R130=Constants!$B$4,FALSE(),TRUE())))</f>
        <v/>
      </c>
      <c r="AT130" s="92" t="str">
        <f aca="false">IF(ISBLANK($C130),"",IF(S130=Constants!$B$5,TRUE(),IF(S130=Constants!$B$6,FALSE(),COUNTA(T130:X130)&gt;0)))</f>
        <v/>
      </c>
      <c r="AU130" s="94" t="str">
        <f aca="false">IF(ISBLANK($C130),"",IF(ISNUMBER(T130),IF(T130&gt;=0,T130,""),""))</f>
        <v/>
      </c>
      <c r="AV130" s="93" t="str">
        <f aca="false">IF(ISBLANK($C130),"",IF(ISNUMBER(U130),IF(U130&gt;=0,U130,""),""))</f>
        <v/>
      </c>
      <c r="AW130" s="93" t="str">
        <f aca="false">IF(ISBLANK($C130),"",IF(V130=Constants!$B$3,TRUE(),IF(V130=Constants!$B$4,FALSE(),TRUE())))</f>
        <v/>
      </c>
      <c r="AX130" s="92" t="str">
        <f aca="false">IF(ISBLANK($C130),"",IF(ISNUMBER(W130),IF(W130&gt;=0,W130,""),""))</f>
        <v/>
      </c>
      <c r="AY130" s="92" t="str">
        <f aca="false">IF(ISBLANK($C130),"",IF(X130=Constants!$B$3,TRUE(),IF(X130=Constants!$B$4,FALSE(),FALSE())))</f>
        <v/>
      </c>
      <c r="AZ130" s="92" t="str">
        <f aca="false">IF(ISBLANK($C130),"",MIN(Constants!$B$31,MAX(0,IF(ISNUMBER(Y130),Y130*60,0)+IF(ISNUMBER(Z130),Z130,0))))</f>
        <v/>
      </c>
      <c r="BA130" s="92" t="str">
        <f aca="false">IF(ISBLANK($C130),"",IF(AA130=Constants!$B$3,TRUE(),IF(AA130=Constants!$B$4,FALSE(),FALSE())))</f>
        <v/>
      </c>
      <c r="BB130" s="91" t="str">
        <f aca="false">IF(ISBLANK($C130),"",AND($AL130,OR($AM130="",$AN130="",AND($AO130,$AP130=""))))</f>
        <v/>
      </c>
      <c r="BC130" s="93" t="str">
        <f aca="false">IF($BR130&lt;&gt;Constants!$B$8,"",IF($AL130,Constants!$B$21*$AN130+Constants!$B$22*IF($AO130,$AP130,Constants!$B$23),Constants!$B$24))</f>
        <v/>
      </c>
      <c r="BD130" s="96" t="str">
        <f aca="false">IF($BR130&lt;&gt;Constants!$B$8,"",Constants!$B$25*ABS($AD$9-IF($AL130,$AM130,0)))</f>
        <v/>
      </c>
      <c r="BE130" s="96" t="str">
        <f aca="false">IF($BR130&lt;&gt;Constants!$B$8,"",IF(AND($AL130,$AQ130,$AO130),Constants!$B$27,0))</f>
        <v/>
      </c>
      <c r="BF130" s="96" t="str">
        <f aca="false">IF($BR130&lt;&gt;Constants!$B$8,"",IF($AL130,($AI130-Constants!$B$29)*Constants!$B$28,0))</f>
        <v/>
      </c>
      <c r="BG130" s="96" t="str">
        <f aca="false">IF($BR130&lt;&gt;Constants!$B$8,"",IF($AK130,0,Constants!$B$15)+IF($AJ130,0,Constants!$B$16)+IF($AH130,0,Constants!$B$17))</f>
        <v/>
      </c>
      <c r="BH130" s="97" t="str">
        <f aca="false">IF($BR130&lt;&gt;Constants!$B$8,"",Constants!$B$20+SUM($BC130:$BG130))</f>
        <v/>
      </c>
      <c r="BI130" s="92" t="str">
        <f aca="false">IF($BR130&lt;&gt;Constants!$B$8,"",IF(OR($BP130&lt;$BH130,AND($BP130=$BH130,OR($BK130&lt;$BC130,AND($BK130=$BC130,OR($BL130&lt;$BD130,AND($BL130=$BD130,$AT130,$AL130,$AV130&lt;$AN130)))))),"-&gt;","&lt;-"))</f>
        <v/>
      </c>
      <c r="BJ130" s="91" t="str">
        <f aca="false">IF(ISBLANK($C130),"",AND($AT130,OR($AU130="",$AV130="",AND($AW130,$AX130=""))))</f>
        <v/>
      </c>
      <c r="BK130" s="93" t="str">
        <f aca="false">IF($BR130&lt;&gt;Constants!$B$8,"",IF($AT130,Constants!$B$21*$AV130+Constants!$B$22*IF($AW130,$AX130,Constants!$B$23),Constants!$B$24))</f>
        <v/>
      </c>
      <c r="BL130" s="96" t="str">
        <f aca="false">IF($BR130&lt;&gt;Constants!$B$8,"",Constants!$B$25*ABS($AD$9-IF($AT130,$AU130,0)))</f>
        <v/>
      </c>
      <c r="BM130" s="96" t="str">
        <f aca="false">IF($BR130&lt;&gt;Constants!$B$8,"",IF(AND($AT130,$AY130,$AW130),Constants!$B$27,0))</f>
        <v/>
      </c>
      <c r="BN130" s="96" t="str">
        <f aca="false">IF($BR130&lt;&gt;Constants!$B$8,"",IF($AT130,($AI130-Constants!$B$29)*Constants!$B$28,0))</f>
        <v/>
      </c>
      <c r="BO130" s="96" t="str">
        <f aca="false">IF($BR130&lt;&gt;Constants!$B$8,"",IF($AS130,0,Constants!$B$15)+IF($AR130,0,Constants!$B$16)+IF($AH130,0,Constants!$B$17))</f>
        <v/>
      </c>
      <c r="BP130" s="97" t="str">
        <f aca="false">IF($BR130&lt;&gt;Constants!$B$8,"",Constants!$B$20+SUM($BK130:$BO130))</f>
        <v/>
      </c>
      <c r="BQ130" s="92" t="str">
        <f aca="false">IF(ISBLANK($C130),"",IF(ISBLANK($D$7),$BQ$5,IF(NOT(ISNUMBER($D$7)),$BQ$6,"")))</f>
        <v/>
      </c>
      <c r="BR130" s="92" t="str">
        <f aca="false">IF(ISBLANK($C130),"",IF($BA130,Constants!$B$11,IF(COUNTA($E130:$AA130)=0,Constants!$B$10,IF(NOT($AG130),Constants!$B$9,IF(OR($BQ130&lt;&gt;"",$BB130,$BJ130),Constants!$B$12,Constants!$B$8)))))</f>
        <v/>
      </c>
      <c r="BS130" s="92" t="str">
        <f aca="false">IF(ISBLANK($C130),"",IF($BR130&lt;&gt;Constants!$B$8,$BR130,Constants!$B$13))</f>
        <v/>
      </c>
      <c r="BT130" s="96" t="str">
        <f aca="false">IF($BR130&lt;&gt;Constants!$B$8,"",IF($BI130="-&gt;",$BP130,$BH130))</f>
        <v/>
      </c>
      <c r="BU130" s="96" t="str">
        <f aca="false">IF($BR130&lt;&gt;Constants!$B$8,"",IF($AF130,0,Constants!$B$18))</f>
        <v/>
      </c>
      <c r="BV130" s="96" t="str">
        <f aca="false">IF($BR130&lt;&gt;Constants!$B$8,"",((Constants!$B$31-$AZ130)-Constants!$B$31)/Constants!$B$32)</f>
        <v/>
      </c>
      <c r="BW130" s="96" t="str">
        <f aca="false">IF(ISBLANK($C130),"",IF($BR130&lt;&gt;Constants!$B$8,$BR130,SUM($BT130:$BV130)))</f>
        <v/>
      </c>
      <c r="BX130" s="92" t="str">
        <f aca="false">IF(ISBLANK($C130),"",IF($BR130&lt;&gt;Constants!$B$8,$BR130,RANK($BW130,$BW$9:$BW$508,1)))</f>
        <v/>
      </c>
      <c r="BY130" s="96" t="str">
        <f aca="false">IF($BR130&lt;&gt;Constants!$B$8,"",IF($BI130="-&gt;",$BK130,$BC130))</f>
        <v/>
      </c>
      <c r="BZ130" s="92" t="str">
        <f aca="false">IF(ISBLANK($C130),"",IF($BR130&lt;&gt;Constants!$B$8,$BR130,IF(ISNUMBER($BY130),RANK($BY130,$BY$9:$BY$508,1),COUNT($BY$9:$BY$508)+1)))</f>
        <v/>
      </c>
      <c r="CA130" s="96" t="str">
        <f aca="false">IF($BR130&lt;&gt;Constants!$B$8,"",IF($BI130="-&gt;",$BL130,$BD130))</f>
        <v/>
      </c>
      <c r="CB130" s="92" t="str">
        <f aca="false">IF(ISBLANK($C130),"",IF($BR130&lt;&gt;Constants!$B$8,$BR130,IF(ISNUMBER($CA130),RANK($CA130,$CA$9:$CA$508,1),COUNT($CA$9:$CA$508)+1)))</f>
        <v/>
      </c>
      <c r="CC130" s="96" t="str">
        <f aca="false">IF($BR130&lt;&gt;Constants!$B$8,"",IF($BI130="-&gt;",IF($AT130,$AV130,""),IF($AL130,$AN130,"")))</f>
        <v/>
      </c>
      <c r="CD130" s="92" t="str">
        <f aca="false">IF(ISBLANK($C130),"",IF($BR130&lt;&gt;Constants!$B$8,$BR130,IF(ISNUMBER($CC130),RANK($CC130,$CC$9:$CC$508,1),COUNT($CC$9:$CC$508)+1)))</f>
        <v/>
      </c>
      <c r="CE130" s="96" t="str">
        <f aca="false">IF($BR130&lt;&gt;Constants!$B$8,"",IF(AND(NOT($AL130),NOT($AT130),$AJ130,$AK130,$AR130,$AS130),"",$AI130))</f>
        <v/>
      </c>
      <c r="CF130" s="92" t="str">
        <f aca="false">IF(ISBLANK($C130),"",IF($BR130&lt;&gt;Constants!$B$8,$BR130,IF(ISNUMBER($CE130),RANK($CE130,$CE$9:$CE$508,1),COUNT($CE$9:$CE$508)+1)))</f>
        <v/>
      </c>
      <c r="CG130" s="92" t="str">
        <f aca="false">IF(ISBLANK($C130),"",IF($BR130&lt;&gt;Constants!$B$8,$BR130,COUNTIFS($BX$9:$BX$508,"&lt;"&amp;$BX130)+COUNTIFS($BX$9:$BX$508,$BX130,$BZ$9:$BZ$508,"&lt;"&amp;$BZ130)+COUNTIFS($BX$9:$BX$508,$BX130,$BZ$9:$BZ$508,$BZ130,$CB$9:$CB$508,"&lt;"&amp;$CB130)+COUNTIFS($BX$9:$BX$508,$BX130,$BZ$9:$BZ$508,$BZ130,$CB$9:$CB$508,$CB130,$CD$9:$CD$508,"&lt;"&amp;$CD130)+COUNTIFS($BX$9:$BX$508,$BX130,$BZ$9:$BZ$508,$BZ130,$CB$9:$CB$508,$CB130,$CD$9:$CD$508,$CD130,$CF$9:$CF$508,"&lt;"&amp;$CF130)+1))</f>
        <v/>
      </c>
      <c r="CH130" s="92" t="str">
        <f aca="false">IF(ISBLANK($C130),"",IF($BR130&lt;&gt;Constants!$B$8,$BR130,$BX130-$CG130))</f>
        <v/>
      </c>
      <c r="CI130" s="98"/>
      <c r="CJ130" s="99"/>
      <c r="CK130" s="100" t="str">
        <f aca="false">IF(ISBLANK($C130),"",IF($BR130=Constants!$B$12,$BQ130,""))</f>
        <v/>
      </c>
      <c r="CL130" s="99" t="str">
        <f aca="false">IF(ISBLANK($C130),"",IF($BR130&lt;&gt;Constants!$B$8,"",IF($BI130="-&gt;",2,1)))</f>
        <v/>
      </c>
      <c r="CM130" s="101" t="str">
        <f aca="false">IF(ISBLANK($C130),"",IF($BR130&lt;&gt;Constants!$B$8,"",IF($BI130="-&gt;",$BK130,$BC130)))</f>
        <v/>
      </c>
      <c r="CN130" s="101" t="str">
        <f aca="false">IF(ISBLANK($C130),"",IF($BR130&lt;&gt;Constants!$B$8,"",IF($BI130="-&gt;",$BL130,$BD130)))</f>
        <v/>
      </c>
      <c r="CO130" s="101" t="str">
        <f aca="false">IF(ISBLANK($C130),"",IF($BR130&lt;&gt;Constants!$B$8,"",IF($BI130="-&gt;",$BM130+$BN130,$BE130+$BF130)+$BV130))</f>
        <v/>
      </c>
      <c r="CP130" s="101" t="str">
        <f aca="false">IF(ISBLANK($C130),"",IF($BR130&lt;&gt;Constants!$B$8,"",IF($BI130="-&gt;",$BO130,$BG130)+$BU130))</f>
        <v/>
      </c>
      <c r="CQ130" s="102" t="str">
        <f aca="false">IF(ISBLANK($C130),"",IF($BR130&lt;&gt;Constants!$B$8,$BR130,$BW130))</f>
        <v/>
      </c>
      <c r="CR130" s="103" t="str">
        <f aca="false">IF(ISBLANK($C130),"",$BS130)</f>
        <v/>
      </c>
      <c r="CS130" s="104" t="str">
        <f aca="false">IF(ISBLANK($C130),"",$CH130)</f>
        <v/>
      </c>
      <c r="CT130" s="104" t="str">
        <f aca="false">IF(ISBLANK($C130),"",$CG130)</f>
        <v/>
      </c>
      <c r="CU130" s="105" t="str">
        <f aca="false">IF(ISBLANK($C130),"",IFERROR(_xlfn.SWITCH($CT130,Constants!$B$11,COUNTA($C$9:$C$508)+2,Constants!$B$10,COUNTA($C$9:$C$508)+1,Constants!$B$9,COUNTA($C$9:$C$508)),$CT130))</f>
        <v/>
      </c>
      <c r="CV130" s="9"/>
      <c r="CW130" s="106" t="n">
        <f aca="false">IF(OR(ISNUMBER($CT130),$CT130=Constants!$B$11,$CT130=Constants!$B$9,$CT130=Constants!$B$10),1,0)</f>
        <v>0</v>
      </c>
      <c r="CX130" s="106" t="n">
        <v>122</v>
      </c>
      <c r="CY130" s="106" t="str">
        <f aca="false">IF(ISBLANK($C130),"",IF(ISNUMBER($CU130),$CU130+ROW($B130)/1000,""))</f>
        <v/>
      </c>
      <c r="CZ130" s="106" t="str">
        <f aca="false">IF(ISNUMBER($CY130),RANK($CY130,$CY$9:$CY$508,1),"")</f>
        <v/>
      </c>
      <c r="DA130" s="106" t="str">
        <f aca="false">IF(ISBLANK($C130),"",$B130)</f>
        <v/>
      </c>
      <c r="DB130" s="106" t="str">
        <f aca="false">IF(ISBLANK($C130),"",$C130)</f>
        <v/>
      </c>
      <c r="DC130" s="106" t="str">
        <f aca="false">IF(ISBLANK($C130),"",$D130)</f>
        <v/>
      </c>
      <c r="DD130" s="107" t="str">
        <f aca="false">$CR130</f>
        <v/>
      </c>
      <c r="DE130" s="108" t="str">
        <f aca="false">$CQ130</f>
        <v/>
      </c>
      <c r="DF130" s="106" t="str">
        <f aca="false">IF(ISBLANK($C130),"",$CT130)</f>
        <v/>
      </c>
      <c r="DG130" s="109" t="str">
        <f aca="false">IF($CX130&gt;$CW$8,"",VLOOKUP($CX130,$CZ$9:$DF$508,7,FALSE()))</f>
        <v/>
      </c>
      <c r="DH130" s="110" t="str">
        <f aca="false">IF($CX130&gt;$CW$8,"",VLOOKUP($CX130,$CZ$9:$DF$508,2,FALSE()))</f>
        <v/>
      </c>
      <c r="DI130" s="110" t="str">
        <f aca="false">IF($CX130&gt;$CW$8,"",VLOOKUP($CX130,$CZ$9:$DF$508,3,FALSE()))</f>
        <v/>
      </c>
      <c r="DJ130" s="110" t="str">
        <f aca="false">IF($CX130&gt;$CW$8,"",VLOOKUP($CX130,$CZ$9:$DF$508,4,FALSE()))</f>
        <v/>
      </c>
      <c r="DK130" s="110" t="str">
        <f aca="false">IF($CX130&gt;$CW$8,"",VLOOKUP($CX130,$CZ$9:$DF$508,5,FALSE()))</f>
        <v/>
      </c>
      <c r="DL130" s="111" t="str">
        <f aca="false">IF($CX130&gt;$CW$8,"",VLOOKUP($CX130,$CZ$9:$DF$508,6,FALSE()))</f>
        <v/>
      </c>
      <c r="DM130" s="75"/>
    </row>
    <row r="131" customFormat="false" ht="15.75" hidden="false" customHeight="false" outlineLevel="0" collapsed="false">
      <c r="A131" s="9"/>
      <c r="B131" s="77"/>
      <c r="C131" s="78"/>
      <c r="D131" s="167"/>
      <c r="E131" s="175"/>
      <c r="F131" s="169"/>
      <c r="G131" s="170"/>
      <c r="H131" s="170"/>
      <c r="I131" s="176"/>
      <c r="J131" s="173"/>
      <c r="K131" s="85"/>
      <c r="L131" s="86"/>
      <c r="M131" s="87"/>
      <c r="N131" s="173"/>
      <c r="O131" s="173"/>
      <c r="P131" s="175"/>
      <c r="Q131" s="173"/>
      <c r="R131" s="173"/>
      <c r="S131" s="85"/>
      <c r="T131" s="87"/>
      <c r="U131" s="87"/>
      <c r="V131" s="173"/>
      <c r="W131" s="173"/>
      <c r="X131" s="175"/>
      <c r="Y131" s="173"/>
      <c r="Z131" s="174"/>
      <c r="AA131" s="173"/>
      <c r="AB131" s="91"/>
      <c r="AC131" s="92"/>
      <c r="AD131" s="92"/>
      <c r="AE131" s="92"/>
      <c r="AF131" s="92" t="str">
        <f aca="false">IF(ISBLANK($C131),"",IF(E131=Constants!$B$3,TRUE(),IF(E131=Constants!$B$4,FALSE(),TRUE())))</f>
        <v/>
      </c>
      <c r="AG131" s="92" t="str">
        <f aca="false">IF(ISBLANK($C131),"",IF(F131=Constants!$B$3,TRUE(),IF(F131=Constants!$B$4,FALSE(),TRUE())))</f>
        <v/>
      </c>
      <c r="AH131" s="92" t="str">
        <f aca="false">IF(ISBLANK($C131),"",IF(G131=Constants!$B$3,TRUE(),IF(G131=Constants!$B$4,FALSE(),TRUE())))</f>
        <v/>
      </c>
      <c r="AI131" s="92" t="str">
        <f aca="false">IF(ISBLANK($C131),"",IF(AND(ISNUMBER(H131),H131&gt;=0),H131,Constants!$B$29))</f>
        <v/>
      </c>
      <c r="AJ131" s="92" t="str">
        <f aca="false">IF(ISBLANK($C131),"",IF(I131=Constants!$B$3,TRUE(),IF(I131=Constants!$B$4,FALSE(),TRUE())))</f>
        <v/>
      </c>
      <c r="AK131" s="92" t="str">
        <f aca="false">IF(ISBLANK($C131),"",IF(J131=Constants!$B$3,TRUE(),IF(J131=Constants!$B$4,FALSE(),TRUE())))</f>
        <v/>
      </c>
      <c r="AL131" s="92" t="str">
        <f aca="false">IF(ISBLANK($C131),"",IF(K131=Constants!$B$5,TRUE(),IF(K131=Constants!$B$6,FALSE(),COUNTA(L131:P131)&gt;0)))</f>
        <v/>
      </c>
      <c r="AM131" s="94" t="str">
        <f aca="false">IF(ISBLANK($C131),"",IF(ISNUMBER(L131),IF(L131&gt;=0,L131,""),""))</f>
        <v/>
      </c>
      <c r="AN131" s="93" t="str">
        <f aca="false">IF(ISBLANK($C131),"",IF(ISNUMBER(M131),IF(M131&gt;=0,M131,""),""))</f>
        <v/>
      </c>
      <c r="AO131" s="93" t="str">
        <f aca="false">IF(ISBLANK($C131),"",IF(N131=Constants!$B$3,TRUE(),IF(N131=Constants!$B$4,FALSE(),TRUE())))</f>
        <v/>
      </c>
      <c r="AP131" s="92" t="str">
        <f aca="false">IF(ISBLANK($C131),"",IF(ISNUMBER(O131),IF(O131&gt;=0,O131,""),""))</f>
        <v/>
      </c>
      <c r="AQ131" s="92" t="str">
        <f aca="false">IF(ISBLANK($C131),"",IF(P131=Constants!$B$3,TRUE(),IF(P131=Constants!$B$4,FALSE(),FALSE())))</f>
        <v/>
      </c>
      <c r="AR131" s="92" t="str">
        <f aca="false">IF(ISBLANK($C131),"",IF(Q131=Constants!$B$3,TRUE(),IF(Q131=Constants!$B$4,FALSE(),TRUE())))</f>
        <v/>
      </c>
      <c r="AS131" s="92" t="str">
        <f aca="false">IF(ISBLANK($C131),"",IF(R131=Constants!$B$3,TRUE(),IF(R131=Constants!$B$4,FALSE(),TRUE())))</f>
        <v/>
      </c>
      <c r="AT131" s="92" t="str">
        <f aca="false">IF(ISBLANK($C131),"",IF(S131=Constants!$B$5,TRUE(),IF(S131=Constants!$B$6,FALSE(),COUNTA(T131:X131)&gt;0)))</f>
        <v/>
      </c>
      <c r="AU131" s="94" t="str">
        <f aca="false">IF(ISBLANK($C131),"",IF(ISNUMBER(T131),IF(T131&gt;=0,T131,""),""))</f>
        <v/>
      </c>
      <c r="AV131" s="93" t="str">
        <f aca="false">IF(ISBLANK($C131),"",IF(ISNUMBER(U131),IF(U131&gt;=0,U131,""),""))</f>
        <v/>
      </c>
      <c r="AW131" s="93" t="str">
        <f aca="false">IF(ISBLANK($C131),"",IF(V131=Constants!$B$3,TRUE(),IF(V131=Constants!$B$4,FALSE(),TRUE())))</f>
        <v/>
      </c>
      <c r="AX131" s="92" t="str">
        <f aca="false">IF(ISBLANK($C131),"",IF(ISNUMBER(W131),IF(W131&gt;=0,W131,""),""))</f>
        <v/>
      </c>
      <c r="AY131" s="92" t="str">
        <f aca="false">IF(ISBLANK($C131),"",IF(X131=Constants!$B$3,TRUE(),IF(X131=Constants!$B$4,FALSE(),FALSE())))</f>
        <v/>
      </c>
      <c r="AZ131" s="92" t="str">
        <f aca="false">IF(ISBLANK($C131),"",MIN(Constants!$B$31,MAX(0,IF(ISNUMBER(Y131),Y131*60,0)+IF(ISNUMBER(Z131),Z131,0))))</f>
        <v/>
      </c>
      <c r="BA131" s="92" t="str">
        <f aca="false">IF(ISBLANK($C131),"",IF(AA131=Constants!$B$3,TRUE(),IF(AA131=Constants!$B$4,FALSE(),FALSE())))</f>
        <v/>
      </c>
      <c r="BB131" s="91" t="str">
        <f aca="false">IF(ISBLANK($C131),"",AND($AL131,OR($AM131="",$AN131="",AND($AO131,$AP131=""))))</f>
        <v/>
      </c>
      <c r="BC131" s="93" t="str">
        <f aca="false">IF($BR131&lt;&gt;Constants!$B$8,"",IF($AL131,Constants!$B$21*$AN131+Constants!$B$22*IF($AO131,$AP131,Constants!$B$23),Constants!$B$24))</f>
        <v/>
      </c>
      <c r="BD131" s="96" t="str">
        <f aca="false">IF($BR131&lt;&gt;Constants!$B$8,"",Constants!$B$25*ABS($AD$9-IF($AL131,$AM131,0)))</f>
        <v/>
      </c>
      <c r="BE131" s="96" t="str">
        <f aca="false">IF($BR131&lt;&gt;Constants!$B$8,"",IF(AND($AL131,$AQ131,$AO131),Constants!$B$27,0))</f>
        <v/>
      </c>
      <c r="BF131" s="96" t="str">
        <f aca="false">IF($BR131&lt;&gt;Constants!$B$8,"",IF($AL131,($AI131-Constants!$B$29)*Constants!$B$28,0))</f>
        <v/>
      </c>
      <c r="BG131" s="96" t="str">
        <f aca="false">IF($BR131&lt;&gt;Constants!$B$8,"",IF($AK131,0,Constants!$B$15)+IF($AJ131,0,Constants!$B$16)+IF($AH131,0,Constants!$B$17))</f>
        <v/>
      </c>
      <c r="BH131" s="97" t="str">
        <f aca="false">IF($BR131&lt;&gt;Constants!$B$8,"",Constants!$B$20+SUM($BC131:$BG131))</f>
        <v/>
      </c>
      <c r="BI131" s="92" t="str">
        <f aca="false">IF($BR131&lt;&gt;Constants!$B$8,"",IF(OR($BP131&lt;$BH131,AND($BP131=$BH131,OR($BK131&lt;$BC131,AND($BK131=$BC131,OR($BL131&lt;$BD131,AND($BL131=$BD131,$AT131,$AL131,$AV131&lt;$AN131)))))),"-&gt;","&lt;-"))</f>
        <v/>
      </c>
      <c r="BJ131" s="91" t="str">
        <f aca="false">IF(ISBLANK($C131),"",AND($AT131,OR($AU131="",$AV131="",AND($AW131,$AX131=""))))</f>
        <v/>
      </c>
      <c r="BK131" s="93" t="str">
        <f aca="false">IF($BR131&lt;&gt;Constants!$B$8,"",IF($AT131,Constants!$B$21*$AV131+Constants!$B$22*IF($AW131,$AX131,Constants!$B$23),Constants!$B$24))</f>
        <v/>
      </c>
      <c r="BL131" s="96" t="str">
        <f aca="false">IF($BR131&lt;&gt;Constants!$B$8,"",Constants!$B$25*ABS($AD$9-IF($AT131,$AU131,0)))</f>
        <v/>
      </c>
      <c r="BM131" s="96" t="str">
        <f aca="false">IF($BR131&lt;&gt;Constants!$B$8,"",IF(AND($AT131,$AY131,$AW131),Constants!$B$27,0))</f>
        <v/>
      </c>
      <c r="BN131" s="96" t="str">
        <f aca="false">IF($BR131&lt;&gt;Constants!$B$8,"",IF($AT131,($AI131-Constants!$B$29)*Constants!$B$28,0))</f>
        <v/>
      </c>
      <c r="BO131" s="96" t="str">
        <f aca="false">IF($BR131&lt;&gt;Constants!$B$8,"",IF($AS131,0,Constants!$B$15)+IF($AR131,0,Constants!$B$16)+IF($AH131,0,Constants!$B$17))</f>
        <v/>
      </c>
      <c r="BP131" s="97" t="str">
        <f aca="false">IF($BR131&lt;&gt;Constants!$B$8,"",Constants!$B$20+SUM($BK131:$BO131))</f>
        <v/>
      </c>
      <c r="BQ131" s="92" t="str">
        <f aca="false">IF(ISBLANK($C131),"",IF(ISBLANK($D$7),$BQ$5,IF(NOT(ISNUMBER($D$7)),$BQ$6,"")))</f>
        <v/>
      </c>
      <c r="BR131" s="92" t="str">
        <f aca="false">IF(ISBLANK($C131),"",IF($BA131,Constants!$B$11,IF(COUNTA($E131:$AA131)=0,Constants!$B$10,IF(NOT($AG131),Constants!$B$9,IF(OR($BQ131&lt;&gt;"",$BB131,$BJ131),Constants!$B$12,Constants!$B$8)))))</f>
        <v/>
      </c>
      <c r="BS131" s="92" t="str">
        <f aca="false">IF(ISBLANK($C131),"",IF($BR131&lt;&gt;Constants!$B$8,$BR131,Constants!$B$13))</f>
        <v/>
      </c>
      <c r="BT131" s="96" t="str">
        <f aca="false">IF($BR131&lt;&gt;Constants!$B$8,"",IF($BI131="-&gt;",$BP131,$BH131))</f>
        <v/>
      </c>
      <c r="BU131" s="96" t="str">
        <f aca="false">IF($BR131&lt;&gt;Constants!$B$8,"",IF($AF131,0,Constants!$B$18))</f>
        <v/>
      </c>
      <c r="BV131" s="96" t="str">
        <f aca="false">IF($BR131&lt;&gt;Constants!$B$8,"",((Constants!$B$31-$AZ131)-Constants!$B$31)/Constants!$B$32)</f>
        <v/>
      </c>
      <c r="BW131" s="96" t="str">
        <f aca="false">IF(ISBLANK($C131),"",IF($BR131&lt;&gt;Constants!$B$8,$BR131,SUM($BT131:$BV131)))</f>
        <v/>
      </c>
      <c r="BX131" s="92" t="str">
        <f aca="false">IF(ISBLANK($C131),"",IF($BR131&lt;&gt;Constants!$B$8,$BR131,RANK($BW131,$BW$9:$BW$508,1)))</f>
        <v/>
      </c>
      <c r="BY131" s="96" t="str">
        <f aca="false">IF($BR131&lt;&gt;Constants!$B$8,"",IF($BI131="-&gt;",$BK131,$BC131))</f>
        <v/>
      </c>
      <c r="BZ131" s="92" t="str">
        <f aca="false">IF(ISBLANK($C131),"",IF($BR131&lt;&gt;Constants!$B$8,$BR131,IF(ISNUMBER($BY131),RANK($BY131,$BY$9:$BY$508,1),COUNT($BY$9:$BY$508)+1)))</f>
        <v/>
      </c>
      <c r="CA131" s="96" t="str">
        <f aca="false">IF($BR131&lt;&gt;Constants!$B$8,"",IF($BI131="-&gt;",$BL131,$BD131))</f>
        <v/>
      </c>
      <c r="CB131" s="92" t="str">
        <f aca="false">IF(ISBLANK($C131),"",IF($BR131&lt;&gt;Constants!$B$8,$BR131,IF(ISNUMBER($CA131),RANK($CA131,$CA$9:$CA$508,1),COUNT($CA$9:$CA$508)+1)))</f>
        <v/>
      </c>
      <c r="CC131" s="96" t="str">
        <f aca="false">IF($BR131&lt;&gt;Constants!$B$8,"",IF($BI131="-&gt;",IF($AT131,$AV131,""),IF($AL131,$AN131,"")))</f>
        <v/>
      </c>
      <c r="CD131" s="92" t="str">
        <f aca="false">IF(ISBLANK($C131),"",IF($BR131&lt;&gt;Constants!$B$8,$BR131,IF(ISNUMBER($CC131),RANK($CC131,$CC$9:$CC$508,1),COUNT($CC$9:$CC$508)+1)))</f>
        <v/>
      </c>
      <c r="CE131" s="96" t="str">
        <f aca="false">IF($BR131&lt;&gt;Constants!$B$8,"",IF(AND(NOT($AL131),NOT($AT131),$AJ131,$AK131,$AR131,$AS131),"",$AI131))</f>
        <v/>
      </c>
      <c r="CF131" s="92" t="str">
        <f aca="false">IF(ISBLANK($C131),"",IF($BR131&lt;&gt;Constants!$B$8,$BR131,IF(ISNUMBER($CE131),RANK($CE131,$CE$9:$CE$508,1),COUNT($CE$9:$CE$508)+1)))</f>
        <v/>
      </c>
      <c r="CG131" s="92" t="str">
        <f aca="false">IF(ISBLANK($C131),"",IF($BR131&lt;&gt;Constants!$B$8,$BR131,COUNTIFS($BX$9:$BX$508,"&lt;"&amp;$BX131)+COUNTIFS($BX$9:$BX$508,$BX131,$BZ$9:$BZ$508,"&lt;"&amp;$BZ131)+COUNTIFS($BX$9:$BX$508,$BX131,$BZ$9:$BZ$508,$BZ131,$CB$9:$CB$508,"&lt;"&amp;$CB131)+COUNTIFS($BX$9:$BX$508,$BX131,$BZ$9:$BZ$508,$BZ131,$CB$9:$CB$508,$CB131,$CD$9:$CD$508,"&lt;"&amp;$CD131)+COUNTIFS($BX$9:$BX$508,$BX131,$BZ$9:$BZ$508,$BZ131,$CB$9:$CB$508,$CB131,$CD$9:$CD$508,$CD131,$CF$9:$CF$508,"&lt;"&amp;$CF131)+1))</f>
        <v/>
      </c>
      <c r="CH131" s="92" t="str">
        <f aca="false">IF(ISBLANK($C131),"",IF($BR131&lt;&gt;Constants!$B$8,$BR131,$BX131-$CG131))</f>
        <v/>
      </c>
      <c r="CI131" s="98"/>
      <c r="CJ131" s="99"/>
      <c r="CK131" s="100" t="str">
        <f aca="false">IF(ISBLANK($C131),"",IF($BR131=Constants!$B$12,$BQ131,""))</f>
        <v/>
      </c>
      <c r="CL131" s="99" t="str">
        <f aca="false">IF(ISBLANK($C131),"",IF($BR131&lt;&gt;Constants!$B$8,"",IF($BI131="-&gt;",2,1)))</f>
        <v/>
      </c>
      <c r="CM131" s="101" t="str">
        <f aca="false">IF(ISBLANK($C131),"",IF($BR131&lt;&gt;Constants!$B$8,"",IF($BI131="-&gt;",$BK131,$BC131)))</f>
        <v/>
      </c>
      <c r="CN131" s="101" t="str">
        <f aca="false">IF(ISBLANK($C131),"",IF($BR131&lt;&gt;Constants!$B$8,"",IF($BI131="-&gt;",$BL131,$BD131)))</f>
        <v/>
      </c>
      <c r="CO131" s="101" t="str">
        <f aca="false">IF(ISBLANK($C131),"",IF($BR131&lt;&gt;Constants!$B$8,"",IF($BI131="-&gt;",$BM131+$BN131,$BE131+$BF131)+$BV131))</f>
        <v/>
      </c>
      <c r="CP131" s="101" t="str">
        <f aca="false">IF(ISBLANK($C131),"",IF($BR131&lt;&gt;Constants!$B$8,"",IF($BI131="-&gt;",$BO131,$BG131)+$BU131))</f>
        <v/>
      </c>
      <c r="CQ131" s="102" t="str">
        <f aca="false">IF(ISBLANK($C131),"",IF($BR131&lt;&gt;Constants!$B$8,$BR131,$BW131))</f>
        <v/>
      </c>
      <c r="CR131" s="103" t="str">
        <f aca="false">IF(ISBLANK($C131),"",$BS131)</f>
        <v/>
      </c>
      <c r="CS131" s="104" t="str">
        <f aca="false">IF(ISBLANK($C131),"",$CH131)</f>
        <v/>
      </c>
      <c r="CT131" s="104" t="str">
        <f aca="false">IF(ISBLANK($C131),"",$CG131)</f>
        <v/>
      </c>
      <c r="CU131" s="105" t="str">
        <f aca="false">IF(ISBLANK($C131),"",IFERROR(_xlfn.SWITCH($CT131,Constants!$B$11,COUNTA($C$9:$C$508)+2,Constants!$B$10,COUNTA($C$9:$C$508)+1,Constants!$B$9,COUNTA($C$9:$C$508)),$CT131))</f>
        <v/>
      </c>
      <c r="CV131" s="9"/>
      <c r="CW131" s="106" t="n">
        <f aca="false">IF(OR(ISNUMBER($CT131),$CT131=Constants!$B$11,$CT131=Constants!$B$9,$CT131=Constants!$B$10),1,0)</f>
        <v>0</v>
      </c>
      <c r="CX131" s="106" t="n">
        <v>123</v>
      </c>
      <c r="CY131" s="106" t="str">
        <f aca="false">IF(ISBLANK($C131),"",IF(ISNUMBER($CU131),$CU131+ROW($B131)/1000,""))</f>
        <v/>
      </c>
      <c r="CZ131" s="106" t="str">
        <f aca="false">IF(ISNUMBER($CY131),RANK($CY131,$CY$9:$CY$508,1),"")</f>
        <v/>
      </c>
      <c r="DA131" s="106" t="str">
        <f aca="false">IF(ISBLANK($C131),"",$B131)</f>
        <v/>
      </c>
      <c r="DB131" s="106" t="str">
        <f aca="false">IF(ISBLANK($C131),"",$C131)</f>
        <v/>
      </c>
      <c r="DC131" s="106" t="str">
        <f aca="false">IF(ISBLANK($C131),"",$D131)</f>
        <v/>
      </c>
      <c r="DD131" s="107" t="str">
        <f aca="false">$CR131</f>
        <v/>
      </c>
      <c r="DE131" s="108" t="str">
        <f aca="false">$CQ131</f>
        <v/>
      </c>
      <c r="DF131" s="106" t="str">
        <f aca="false">IF(ISBLANK($C131),"",$CT131)</f>
        <v/>
      </c>
      <c r="DG131" s="109" t="str">
        <f aca="false">IF($CX131&gt;$CW$8,"",VLOOKUP($CX131,$CZ$9:$DF$508,7,FALSE()))</f>
        <v/>
      </c>
      <c r="DH131" s="110" t="str">
        <f aca="false">IF($CX131&gt;$CW$8,"",VLOOKUP($CX131,$CZ$9:$DF$508,2,FALSE()))</f>
        <v/>
      </c>
      <c r="DI131" s="110" t="str">
        <f aca="false">IF($CX131&gt;$CW$8,"",VLOOKUP($CX131,$CZ$9:$DF$508,3,FALSE()))</f>
        <v/>
      </c>
      <c r="DJ131" s="110" t="str">
        <f aca="false">IF($CX131&gt;$CW$8,"",VLOOKUP($CX131,$CZ$9:$DF$508,4,FALSE()))</f>
        <v/>
      </c>
      <c r="DK131" s="110" t="str">
        <f aca="false">IF($CX131&gt;$CW$8,"",VLOOKUP($CX131,$CZ$9:$DF$508,5,FALSE()))</f>
        <v/>
      </c>
      <c r="DL131" s="111" t="str">
        <f aca="false">IF($CX131&gt;$CW$8,"",VLOOKUP($CX131,$CZ$9:$DF$508,6,FALSE()))</f>
        <v/>
      </c>
      <c r="DM131" s="75"/>
    </row>
    <row r="132" customFormat="false" ht="15.75" hidden="false" customHeight="false" outlineLevel="0" collapsed="false">
      <c r="A132" s="9"/>
      <c r="B132" s="157"/>
      <c r="C132" s="158"/>
      <c r="D132" s="159"/>
      <c r="E132" s="177"/>
      <c r="F132" s="161"/>
      <c r="G132" s="162"/>
      <c r="H132" s="162"/>
      <c r="I132" s="178"/>
      <c r="J132" s="165"/>
      <c r="K132" s="126"/>
      <c r="L132" s="127"/>
      <c r="M132" s="128"/>
      <c r="N132" s="165"/>
      <c r="O132" s="165"/>
      <c r="P132" s="177"/>
      <c r="Q132" s="165"/>
      <c r="R132" s="165"/>
      <c r="S132" s="126"/>
      <c r="T132" s="128"/>
      <c r="U132" s="128"/>
      <c r="V132" s="165"/>
      <c r="W132" s="165"/>
      <c r="X132" s="177"/>
      <c r="Y132" s="165"/>
      <c r="Z132" s="166"/>
      <c r="AA132" s="165"/>
      <c r="AB132" s="132"/>
      <c r="AC132" s="133"/>
      <c r="AD132" s="133"/>
      <c r="AE132" s="133"/>
      <c r="AF132" s="133" t="str">
        <f aca="false">IF(ISBLANK($C132),"",IF(E132=Constants!$B$3,TRUE(),IF(E132=Constants!$B$4,FALSE(),TRUE())))</f>
        <v/>
      </c>
      <c r="AG132" s="133" t="str">
        <f aca="false">IF(ISBLANK($C132),"",IF(F132=Constants!$B$3,TRUE(),IF(F132=Constants!$B$4,FALSE(),TRUE())))</f>
        <v/>
      </c>
      <c r="AH132" s="133" t="str">
        <f aca="false">IF(ISBLANK($C132),"",IF(G132=Constants!$B$3,TRUE(),IF(G132=Constants!$B$4,FALSE(),TRUE())))</f>
        <v/>
      </c>
      <c r="AI132" s="133" t="str">
        <f aca="false">IF(ISBLANK($C132),"",IF(AND(ISNUMBER(H132),H132&gt;=0),H132,Constants!$B$29))</f>
        <v/>
      </c>
      <c r="AJ132" s="133" t="str">
        <f aca="false">IF(ISBLANK($C132),"",IF(I132=Constants!$B$3,TRUE(),IF(I132=Constants!$B$4,FALSE(),TRUE())))</f>
        <v/>
      </c>
      <c r="AK132" s="133" t="str">
        <f aca="false">IF(ISBLANK($C132),"",IF(J132=Constants!$B$3,TRUE(),IF(J132=Constants!$B$4,FALSE(),TRUE())))</f>
        <v/>
      </c>
      <c r="AL132" s="133" t="str">
        <f aca="false">IF(ISBLANK($C132),"",IF(K132=Constants!$B$5,TRUE(),IF(K132=Constants!$B$6,FALSE(),COUNTA(L132:P132)&gt;0)))</f>
        <v/>
      </c>
      <c r="AM132" s="134" t="str">
        <f aca="false">IF(ISBLANK($C132),"",IF(ISNUMBER(L132),IF(L132&gt;=0,L132,""),""))</f>
        <v/>
      </c>
      <c r="AN132" s="135" t="str">
        <f aca="false">IF(ISBLANK($C132),"",IF(ISNUMBER(M132),IF(M132&gt;=0,M132,""),""))</f>
        <v/>
      </c>
      <c r="AO132" s="135" t="str">
        <f aca="false">IF(ISBLANK($C132),"",IF(N132=Constants!$B$3,TRUE(),IF(N132=Constants!$B$4,FALSE(),TRUE())))</f>
        <v/>
      </c>
      <c r="AP132" s="133" t="str">
        <f aca="false">IF(ISBLANK($C132),"",IF(ISNUMBER(O132),IF(O132&gt;=0,O132,""),""))</f>
        <v/>
      </c>
      <c r="AQ132" s="133" t="str">
        <f aca="false">IF(ISBLANK($C132),"",IF(P132=Constants!$B$3,TRUE(),IF(P132=Constants!$B$4,FALSE(),FALSE())))</f>
        <v/>
      </c>
      <c r="AR132" s="133" t="str">
        <f aca="false">IF(ISBLANK($C132),"",IF(Q132=Constants!$B$3,TRUE(),IF(Q132=Constants!$B$4,FALSE(),TRUE())))</f>
        <v/>
      </c>
      <c r="AS132" s="133" t="str">
        <f aca="false">IF(ISBLANK($C132),"",IF(R132=Constants!$B$3,TRUE(),IF(R132=Constants!$B$4,FALSE(),TRUE())))</f>
        <v/>
      </c>
      <c r="AT132" s="133" t="str">
        <f aca="false">IF(ISBLANK($C132),"",IF(S132=Constants!$B$5,TRUE(),IF(S132=Constants!$B$6,FALSE(),COUNTA(T132:X132)&gt;0)))</f>
        <v/>
      </c>
      <c r="AU132" s="134" t="str">
        <f aca="false">IF(ISBLANK($C132),"",IF(ISNUMBER(T132),IF(T132&gt;=0,T132,""),""))</f>
        <v/>
      </c>
      <c r="AV132" s="135" t="str">
        <f aca="false">IF(ISBLANK($C132),"",IF(ISNUMBER(U132),IF(U132&gt;=0,U132,""),""))</f>
        <v/>
      </c>
      <c r="AW132" s="135" t="str">
        <f aca="false">IF(ISBLANK($C132),"",IF(V132=Constants!$B$3,TRUE(),IF(V132=Constants!$B$4,FALSE(),TRUE())))</f>
        <v/>
      </c>
      <c r="AX132" s="133" t="str">
        <f aca="false">IF(ISBLANK($C132),"",IF(ISNUMBER(W132),IF(W132&gt;=0,W132,""),""))</f>
        <v/>
      </c>
      <c r="AY132" s="133" t="str">
        <f aca="false">IF(ISBLANK($C132),"",IF(X132=Constants!$B$3,TRUE(),IF(X132=Constants!$B$4,FALSE(),FALSE())))</f>
        <v/>
      </c>
      <c r="AZ132" s="133" t="str">
        <f aca="false">IF(ISBLANK($C132),"",MIN(Constants!$B$31,MAX(0,IF(ISNUMBER(Y132),Y132*60,0)+IF(ISNUMBER(Z132),Z132,0))))</f>
        <v/>
      </c>
      <c r="BA132" s="133" t="str">
        <f aca="false">IF(ISBLANK($C132),"",IF(AA132=Constants!$B$3,TRUE(),IF(AA132=Constants!$B$4,FALSE(),FALSE())))</f>
        <v/>
      </c>
      <c r="BB132" s="132" t="str">
        <f aca="false">IF(ISBLANK($C132),"",AND($AL132,OR($AM132="",$AN132="",AND($AO132,$AP132=""))))</f>
        <v/>
      </c>
      <c r="BC132" s="135" t="str">
        <f aca="false">IF($BR132&lt;&gt;Constants!$B$8,"",IF($AL132,Constants!$B$21*$AN132+Constants!$B$22*IF($AO132,$AP132,Constants!$B$23),Constants!$B$24))</f>
        <v/>
      </c>
      <c r="BD132" s="136" t="str">
        <f aca="false">IF($BR132&lt;&gt;Constants!$B$8,"",Constants!$B$25*ABS($AD$9-IF($AL132,$AM132,0)))</f>
        <v/>
      </c>
      <c r="BE132" s="136" t="str">
        <f aca="false">IF($BR132&lt;&gt;Constants!$B$8,"",IF(AND($AL132,$AQ132,$AO132),Constants!$B$27,0))</f>
        <v/>
      </c>
      <c r="BF132" s="136" t="str">
        <f aca="false">IF($BR132&lt;&gt;Constants!$B$8,"",IF($AL132,($AI132-Constants!$B$29)*Constants!$B$28,0))</f>
        <v/>
      </c>
      <c r="BG132" s="136" t="str">
        <f aca="false">IF($BR132&lt;&gt;Constants!$B$8,"",IF($AK132,0,Constants!$B$15)+IF($AJ132,0,Constants!$B$16)+IF($AH132,0,Constants!$B$17))</f>
        <v/>
      </c>
      <c r="BH132" s="137" t="str">
        <f aca="false">IF($BR132&lt;&gt;Constants!$B$8,"",Constants!$B$20+SUM($BC132:$BG132))</f>
        <v/>
      </c>
      <c r="BI132" s="133" t="str">
        <f aca="false">IF($BR132&lt;&gt;Constants!$B$8,"",IF(OR($BP132&lt;$BH132,AND($BP132=$BH132,OR($BK132&lt;$BC132,AND($BK132=$BC132,OR($BL132&lt;$BD132,AND($BL132=$BD132,$AT132,$AL132,$AV132&lt;$AN132)))))),"-&gt;","&lt;-"))</f>
        <v/>
      </c>
      <c r="BJ132" s="132" t="str">
        <f aca="false">IF(ISBLANK($C132),"",AND($AT132,OR($AU132="",$AV132="",AND($AW132,$AX132=""))))</f>
        <v/>
      </c>
      <c r="BK132" s="135" t="str">
        <f aca="false">IF($BR132&lt;&gt;Constants!$B$8,"",IF($AT132,Constants!$B$21*$AV132+Constants!$B$22*IF($AW132,$AX132,Constants!$B$23),Constants!$B$24))</f>
        <v/>
      </c>
      <c r="BL132" s="136" t="str">
        <f aca="false">IF($BR132&lt;&gt;Constants!$B$8,"",Constants!$B$25*ABS($AD$9-IF($AT132,$AU132,0)))</f>
        <v/>
      </c>
      <c r="BM132" s="136" t="str">
        <f aca="false">IF($BR132&lt;&gt;Constants!$B$8,"",IF(AND($AT132,$AY132,$AW132),Constants!$B$27,0))</f>
        <v/>
      </c>
      <c r="BN132" s="136" t="str">
        <f aca="false">IF($BR132&lt;&gt;Constants!$B$8,"",IF($AT132,($AI132-Constants!$B$29)*Constants!$B$28,0))</f>
        <v/>
      </c>
      <c r="BO132" s="136" t="str">
        <f aca="false">IF($BR132&lt;&gt;Constants!$B$8,"",IF($AS132,0,Constants!$B$15)+IF($AR132,0,Constants!$B$16)+IF($AH132,0,Constants!$B$17))</f>
        <v/>
      </c>
      <c r="BP132" s="137" t="str">
        <f aca="false">IF($BR132&lt;&gt;Constants!$B$8,"",Constants!$B$20+SUM($BK132:$BO132))</f>
        <v/>
      </c>
      <c r="BQ132" s="133" t="str">
        <f aca="false">IF(ISBLANK($C132),"",IF(ISBLANK($D$7),$BQ$5,IF(NOT(ISNUMBER($D$7)),$BQ$6,"")))</f>
        <v/>
      </c>
      <c r="BR132" s="133" t="str">
        <f aca="false">IF(ISBLANK($C132),"",IF($BA132,Constants!$B$11,IF(COUNTA($E132:$AA132)=0,Constants!$B$10,IF(NOT($AG132),Constants!$B$9,IF(OR($BQ132&lt;&gt;"",$BB132,$BJ132),Constants!$B$12,Constants!$B$8)))))</f>
        <v/>
      </c>
      <c r="BS132" s="133" t="str">
        <f aca="false">IF(ISBLANK($C132),"",IF($BR132&lt;&gt;Constants!$B$8,$BR132,Constants!$B$13))</f>
        <v/>
      </c>
      <c r="BT132" s="136" t="str">
        <f aca="false">IF($BR132&lt;&gt;Constants!$B$8,"",IF($BI132="-&gt;",$BP132,$BH132))</f>
        <v/>
      </c>
      <c r="BU132" s="136" t="str">
        <f aca="false">IF($BR132&lt;&gt;Constants!$B$8,"",IF($AF132,0,Constants!$B$18))</f>
        <v/>
      </c>
      <c r="BV132" s="136" t="str">
        <f aca="false">IF($BR132&lt;&gt;Constants!$B$8,"",((Constants!$B$31-$AZ132)-Constants!$B$31)/Constants!$B$32)</f>
        <v/>
      </c>
      <c r="BW132" s="136" t="str">
        <f aca="false">IF(ISBLANK($C132),"",IF($BR132&lt;&gt;Constants!$B$8,$BR132,SUM($BT132:$BV132)))</f>
        <v/>
      </c>
      <c r="BX132" s="133" t="str">
        <f aca="false">IF(ISBLANK($C132),"",IF($BR132&lt;&gt;Constants!$B$8,$BR132,RANK($BW132,$BW$9:$BW$508,1)))</f>
        <v/>
      </c>
      <c r="BY132" s="136" t="str">
        <f aca="false">IF($BR132&lt;&gt;Constants!$B$8,"",IF($BI132="-&gt;",$BK132,$BC132))</f>
        <v/>
      </c>
      <c r="BZ132" s="133" t="str">
        <f aca="false">IF(ISBLANK($C132),"",IF($BR132&lt;&gt;Constants!$B$8,$BR132,IF(ISNUMBER($BY132),RANK($BY132,$BY$9:$BY$508,1),COUNT($BY$9:$BY$508)+1)))</f>
        <v/>
      </c>
      <c r="CA132" s="136" t="str">
        <f aca="false">IF($BR132&lt;&gt;Constants!$B$8,"",IF($BI132="-&gt;",$BL132,$BD132))</f>
        <v/>
      </c>
      <c r="CB132" s="133" t="str">
        <f aca="false">IF(ISBLANK($C132),"",IF($BR132&lt;&gt;Constants!$B$8,$BR132,IF(ISNUMBER($CA132),RANK($CA132,$CA$9:$CA$508,1),COUNT($CA$9:$CA$508)+1)))</f>
        <v/>
      </c>
      <c r="CC132" s="136" t="str">
        <f aca="false">IF($BR132&lt;&gt;Constants!$B$8,"",IF($BI132="-&gt;",IF($AT132,$AV132,""),IF($AL132,$AN132,"")))</f>
        <v/>
      </c>
      <c r="CD132" s="133" t="str">
        <f aca="false">IF(ISBLANK($C132),"",IF($BR132&lt;&gt;Constants!$B$8,$BR132,IF(ISNUMBER($CC132),RANK($CC132,$CC$9:$CC$508,1),COUNT($CC$9:$CC$508)+1)))</f>
        <v/>
      </c>
      <c r="CE132" s="136" t="str">
        <f aca="false">IF($BR132&lt;&gt;Constants!$B$8,"",IF(AND(NOT($AL132),NOT($AT132),$AJ132,$AK132,$AR132,$AS132),"",$AI132))</f>
        <v/>
      </c>
      <c r="CF132" s="133" t="str">
        <f aca="false">IF(ISBLANK($C132),"",IF($BR132&lt;&gt;Constants!$B$8,$BR132,IF(ISNUMBER($CE132),RANK($CE132,$CE$9:$CE$508,1),COUNT($CE$9:$CE$508)+1)))</f>
        <v/>
      </c>
      <c r="CG132" s="133" t="str">
        <f aca="false">IF(ISBLANK($C132),"",IF($BR132&lt;&gt;Constants!$B$8,$BR132,COUNTIFS($BX$9:$BX$508,"&lt;"&amp;$BX132)+COUNTIFS($BX$9:$BX$508,$BX132,$BZ$9:$BZ$508,"&lt;"&amp;$BZ132)+COUNTIFS($BX$9:$BX$508,$BX132,$BZ$9:$BZ$508,$BZ132,$CB$9:$CB$508,"&lt;"&amp;$CB132)+COUNTIFS($BX$9:$BX$508,$BX132,$BZ$9:$BZ$508,$BZ132,$CB$9:$CB$508,$CB132,$CD$9:$CD$508,"&lt;"&amp;$CD132)+COUNTIFS($BX$9:$BX$508,$BX132,$BZ$9:$BZ$508,$BZ132,$CB$9:$CB$508,$CB132,$CD$9:$CD$508,$CD132,$CF$9:$CF$508,"&lt;"&amp;$CF132)+1))</f>
        <v/>
      </c>
      <c r="CH132" s="133" t="str">
        <f aca="false">IF(ISBLANK($C132),"",IF($BR132&lt;&gt;Constants!$B$8,$BR132,$BX132-$CG132))</f>
        <v/>
      </c>
      <c r="CI132" s="138"/>
      <c r="CJ132" s="139"/>
      <c r="CK132" s="140" t="str">
        <f aca="false">IF(ISBLANK($C132),"",IF($BR132=Constants!$B$12,$BQ132,""))</f>
        <v/>
      </c>
      <c r="CL132" s="139" t="str">
        <f aca="false">IF(ISBLANK($C132),"",IF($BR132&lt;&gt;Constants!$B$8,"",IF($BI132="-&gt;",2,1)))</f>
        <v/>
      </c>
      <c r="CM132" s="141" t="str">
        <f aca="false">IF(ISBLANK($C132),"",IF($BR132&lt;&gt;Constants!$B$8,"",IF($BI132="-&gt;",$BK132,$BC132)))</f>
        <v/>
      </c>
      <c r="CN132" s="141" t="str">
        <f aca="false">IF(ISBLANK($C132),"",IF($BR132&lt;&gt;Constants!$B$8,"",IF($BI132="-&gt;",$BL132,$BD132)))</f>
        <v/>
      </c>
      <c r="CO132" s="141" t="str">
        <f aca="false">IF(ISBLANK($C132),"",IF($BR132&lt;&gt;Constants!$B$8,"",IF($BI132="-&gt;",$BM132+$BN132,$BE132+$BF132)+$BV132))</f>
        <v/>
      </c>
      <c r="CP132" s="141" t="str">
        <f aca="false">IF(ISBLANK($C132),"",IF($BR132&lt;&gt;Constants!$B$8,"",IF($BI132="-&gt;",$BO132,$BG132)+$BU132))</f>
        <v/>
      </c>
      <c r="CQ132" s="142" t="str">
        <f aca="false">IF(ISBLANK($C132),"",IF($BR132&lt;&gt;Constants!$B$8,$BR132,$BW132))</f>
        <v/>
      </c>
      <c r="CR132" s="143" t="str">
        <f aca="false">IF(ISBLANK($C132),"",$BS132)</f>
        <v/>
      </c>
      <c r="CS132" s="144" t="str">
        <f aca="false">IF(ISBLANK($C132),"",$CH132)</f>
        <v/>
      </c>
      <c r="CT132" s="144" t="str">
        <f aca="false">IF(ISBLANK($C132),"",$CG132)</f>
        <v/>
      </c>
      <c r="CU132" s="145" t="str">
        <f aca="false">IF(ISBLANK($C132),"",IFERROR(_xlfn.SWITCH($CT132,Constants!$B$11,COUNTA($C$9:$C$508)+2,Constants!$B$10,COUNTA($C$9:$C$508)+1,Constants!$B$9,COUNTA($C$9:$C$508)),$CT132))</f>
        <v/>
      </c>
      <c r="CV132" s="9"/>
      <c r="CW132" s="146" t="n">
        <f aca="false">IF(OR(ISNUMBER($CT132),$CT132=Constants!$B$11,$CT132=Constants!$B$9,$CT132=Constants!$B$10),1,0)</f>
        <v>0</v>
      </c>
      <c r="CX132" s="146" t="n">
        <v>124</v>
      </c>
      <c r="CY132" s="146" t="str">
        <f aca="false">IF(ISBLANK($C132),"",IF(ISNUMBER($CU132),$CU132+ROW($B132)/1000,""))</f>
        <v/>
      </c>
      <c r="CZ132" s="146" t="str">
        <f aca="false">IF(ISNUMBER($CY132),RANK($CY132,$CY$9:$CY$508,1),"")</f>
        <v/>
      </c>
      <c r="DA132" s="146" t="str">
        <f aca="false">IF(ISBLANK($C132),"",$B132)</f>
        <v/>
      </c>
      <c r="DB132" s="146" t="str">
        <f aca="false">IF(ISBLANK($C132),"",$C132)</f>
        <v/>
      </c>
      <c r="DC132" s="146" t="str">
        <f aca="false">IF(ISBLANK($C132),"",$D132)</f>
        <v/>
      </c>
      <c r="DD132" s="147" t="str">
        <f aca="false">$CR132</f>
        <v/>
      </c>
      <c r="DE132" s="148" t="str">
        <f aca="false">$CQ132</f>
        <v/>
      </c>
      <c r="DF132" s="146" t="str">
        <f aca="false">IF(ISBLANK($C132),"",$CT132)</f>
        <v/>
      </c>
      <c r="DG132" s="149" t="str">
        <f aca="false">IF($CX132&gt;$CW$8,"",VLOOKUP($CX132,$CZ$9:$DF$508,7,FALSE()))</f>
        <v/>
      </c>
      <c r="DH132" s="150" t="str">
        <f aca="false">IF($CX132&gt;$CW$8,"",VLOOKUP($CX132,$CZ$9:$DF$508,2,FALSE()))</f>
        <v/>
      </c>
      <c r="DI132" s="150" t="str">
        <f aca="false">IF($CX132&gt;$CW$8,"",VLOOKUP($CX132,$CZ$9:$DF$508,3,FALSE()))</f>
        <v/>
      </c>
      <c r="DJ132" s="150" t="str">
        <f aca="false">IF($CX132&gt;$CW$8,"",VLOOKUP($CX132,$CZ$9:$DF$508,4,FALSE()))</f>
        <v/>
      </c>
      <c r="DK132" s="150" t="str">
        <f aca="false">IF($CX132&gt;$CW$8,"",VLOOKUP($CX132,$CZ$9:$DF$508,5,FALSE()))</f>
        <v/>
      </c>
      <c r="DL132" s="151" t="str">
        <f aca="false">IF($CX132&gt;$CW$8,"",VLOOKUP($CX132,$CZ$9:$DF$508,6,FALSE()))</f>
        <v/>
      </c>
      <c r="DM132" s="75"/>
    </row>
    <row r="133" customFormat="false" ht="15.75" hidden="false" customHeight="false" outlineLevel="0" collapsed="false">
      <c r="A133" s="9"/>
      <c r="B133" s="157"/>
      <c r="C133" s="158"/>
      <c r="D133" s="159"/>
      <c r="E133" s="177"/>
      <c r="F133" s="161"/>
      <c r="G133" s="162"/>
      <c r="H133" s="162"/>
      <c r="I133" s="178"/>
      <c r="J133" s="165"/>
      <c r="K133" s="126"/>
      <c r="L133" s="127"/>
      <c r="M133" s="128"/>
      <c r="N133" s="165"/>
      <c r="O133" s="165"/>
      <c r="P133" s="177"/>
      <c r="Q133" s="165"/>
      <c r="R133" s="165"/>
      <c r="S133" s="126"/>
      <c r="T133" s="128"/>
      <c r="U133" s="128"/>
      <c r="V133" s="165"/>
      <c r="W133" s="165"/>
      <c r="X133" s="177"/>
      <c r="Y133" s="165"/>
      <c r="Z133" s="166"/>
      <c r="AA133" s="165"/>
      <c r="AB133" s="132"/>
      <c r="AC133" s="133"/>
      <c r="AD133" s="133"/>
      <c r="AE133" s="133"/>
      <c r="AF133" s="133" t="str">
        <f aca="false">IF(ISBLANK($C133),"",IF(E133=Constants!$B$3,TRUE(),IF(E133=Constants!$B$4,FALSE(),TRUE())))</f>
        <v/>
      </c>
      <c r="AG133" s="133" t="str">
        <f aca="false">IF(ISBLANK($C133),"",IF(F133=Constants!$B$3,TRUE(),IF(F133=Constants!$B$4,FALSE(),TRUE())))</f>
        <v/>
      </c>
      <c r="AH133" s="133" t="str">
        <f aca="false">IF(ISBLANK($C133),"",IF(G133=Constants!$B$3,TRUE(),IF(G133=Constants!$B$4,FALSE(),TRUE())))</f>
        <v/>
      </c>
      <c r="AI133" s="133" t="str">
        <f aca="false">IF(ISBLANK($C133),"",IF(AND(ISNUMBER(H133),H133&gt;=0),H133,Constants!$B$29))</f>
        <v/>
      </c>
      <c r="AJ133" s="133" t="str">
        <f aca="false">IF(ISBLANK($C133),"",IF(I133=Constants!$B$3,TRUE(),IF(I133=Constants!$B$4,FALSE(),TRUE())))</f>
        <v/>
      </c>
      <c r="AK133" s="133" t="str">
        <f aca="false">IF(ISBLANK($C133),"",IF(J133=Constants!$B$3,TRUE(),IF(J133=Constants!$B$4,FALSE(),TRUE())))</f>
        <v/>
      </c>
      <c r="AL133" s="133" t="str">
        <f aca="false">IF(ISBLANK($C133),"",IF(K133=Constants!$B$5,TRUE(),IF(K133=Constants!$B$6,FALSE(),COUNTA(L133:P133)&gt;0)))</f>
        <v/>
      </c>
      <c r="AM133" s="134" t="str">
        <f aca="false">IF(ISBLANK($C133),"",IF(ISNUMBER(L133),IF(L133&gt;=0,L133,""),""))</f>
        <v/>
      </c>
      <c r="AN133" s="135" t="str">
        <f aca="false">IF(ISBLANK($C133),"",IF(ISNUMBER(M133),IF(M133&gt;=0,M133,""),""))</f>
        <v/>
      </c>
      <c r="AO133" s="135" t="str">
        <f aca="false">IF(ISBLANK($C133),"",IF(N133=Constants!$B$3,TRUE(),IF(N133=Constants!$B$4,FALSE(),TRUE())))</f>
        <v/>
      </c>
      <c r="AP133" s="133" t="str">
        <f aca="false">IF(ISBLANK($C133),"",IF(ISNUMBER(O133),IF(O133&gt;=0,O133,""),""))</f>
        <v/>
      </c>
      <c r="AQ133" s="133" t="str">
        <f aca="false">IF(ISBLANK($C133),"",IF(P133=Constants!$B$3,TRUE(),IF(P133=Constants!$B$4,FALSE(),FALSE())))</f>
        <v/>
      </c>
      <c r="AR133" s="133" t="str">
        <f aca="false">IF(ISBLANK($C133),"",IF(Q133=Constants!$B$3,TRUE(),IF(Q133=Constants!$B$4,FALSE(),TRUE())))</f>
        <v/>
      </c>
      <c r="AS133" s="133" t="str">
        <f aca="false">IF(ISBLANK($C133),"",IF(R133=Constants!$B$3,TRUE(),IF(R133=Constants!$B$4,FALSE(),TRUE())))</f>
        <v/>
      </c>
      <c r="AT133" s="133" t="str">
        <f aca="false">IF(ISBLANK($C133),"",IF(S133=Constants!$B$5,TRUE(),IF(S133=Constants!$B$6,FALSE(),COUNTA(T133:X133)&gt;0)))</f>
        <v/>
      </c>
      <c r="AU133" s="134" t="str">
        <f aca="false">IF(ISBLANK($C133),"",IF(ISNUMBER(T133),IF(T133&gt;=0,T133,""),""))</f>
        <v/>
      </c>
      <c r="AV133" s="135" t="str">
        <f aca="false">IF(ISBLANK($C133),"",IF(ISNUMBER(U133),IF(U133&gt;=0,U133,""),""))</f>
        <v/>
      </c>
      <c r="AW133" s="135" t="str">
        <f aca="false">IF(ISBLANK($C133),"",IF(V133=Constants!$B$3,TRUE(),IF(V133=Constants!$B$4,FALSE(),TRUE())))</f>
        <v/>
      </c>
      <c r="AX133" s="133" t="str">
        <f aca="false">IF(ISBLANK($C133),"",IF(ISNUMBER(W133),IF(W133&gt;=0,W133,""),""))</f>
        <v/>
      </c>
      <c r="AY133" s="133" t="str">
        <f aca="false">IF(ISBLANK($C133),"",IF(X133=Constants!$B$3,TRUE(),IF(X133=Constants!$B$4,FALSE(),FALSE())))</f>
        <v/>
      </c>
      <c r="AZ133" s="133" t="str">
        <f aca="false">IF(ISBLANK($C133),"",MIN(Constants!$B$31,MAX(0,IF(ISNUMBER(Y133),Y133*60,0)+IF(ISNUMBER(Z133),Z133,0))))</f>
        <v/>
      </c>
      <c r="BA133" s="133" t="str">
        <f aca="false">IF(ISBLANK($C133),"",IF(AA133=Constants!$B$3,TRUE(),IF(AA133=Constants!$B$4,FALSE(),FALSE())))</f>
        <v/>
      </c>
      <c r="BB133" s="132" t="str">
        <f aca="false">IF(ISBLANK($C133),"",AND($AL133,OR($AM133="",$AN133="",AND($AO133,$AP133=""))))</f>
        <v/>
      </c>
      <c r="BC133" s="135" t="str">
        <f aca="false">IF($BR133&lt;&gt;Constants!$B$8,"",IF($AL133,Constants!$B$21*$AN133+Constants!$B$22*IF($AO133,$AP133,Constants!$B$23),Constants!$B$24))</f>
        <v/>
      </c>
      <c r="BD133" s="136" t="str">
        <f aca="false">IF($BR133&lt;&gt;Constants!$B$8,"",Constants!$B$25*ABS($AD$9-IF($AL133,$AM133,0)))</f>
        <v/>
      </c>
      <c r="BE133" s="136" t="str">
        <f aca="false">IF($BR133&lt;&gt;Constants!$B$8,"",IF(AND($AL133,$AQ133,$AO133),Constants!$B$27,0))</f>
        <v/>
      </c>
      <c r="BF133" s="136" t="str">
        <f aca="false">IF($BR133&lt;&gt;Constants!$B$8,"",IF($AL133,($AI133-Constants!$B$29)*Constants!$B$28,0))</f>
        <v/>
      </c>
      <c r="BG133" s="136" t="str">
        <f aca="false">IF($BR133&lt;&gt;Constants!$B$8,"",IF($AK133,0,Constants!$B$15)+IF($AJ133,0,Constants!$B$16)+IF($AH133,0,Constants!$B$17))</f>
        <v/>
      </c>
      <c r="BH133" s="137" t="str">
        <f aca="false">IF($BR133&lt;&gt;Constants!$B$8,"",Constants!$B$20+SUM($BC133:$BG133))</f>
        <v/>
      </c>
      <c r="BI133" s="133" t="str">
        <f aca="false">IF($BR133&lt;&gt;Constants!$B$8,"",IF(OR($BP133&lt;$BH133,AND($BP133=$BH133,OR($BK133&lt;$BC133,AND($BK133=$BC133,OR($BL133&lt;$BD133,AND($BL133=$BD133,$AT133,$AL133,$AV133&lt;$AN133)))))),"-&gt;","&lt;-"))</f>
        <v/>
      </c>
      <c r="BJ133" s="132" t="str">
        <f aca="false">IF(ISBLANK($C133),"",AND($AT133,OR($AU133="",$AV133="",AND($AW133,$AX133=""))))</f>
        <v/>
      </c>
      <c r="BK133" s="135" t="str">
        <f aca="false">IF($BR133&lt;&gt;Constants!$B$8,"",IF($AT133,Constants!$B$21*$AV133+Constants!$B$22*IF($AW133,$AX133,Constants!$B$23),Constants!$B$24))</f>
        <v/>
      </c>
      <c r="BL133" s="136" t="str">
        <f aca="false">IF($BR133&lt;&gt;Constants!$B$8,"",Constants!$B$25*ABS($AD$9-IF($AT133,$AU133,0)))</f>
        <v/>
      </c>
      <c r="BM133" s="136" t="str">
        <f aca="false">IF($BR133&lt;&gt;Constants!$B$8,"",IF(AND($AT133,$AY133,$AW133),Constants!$B$27,0))</f>
        <v/>
      </c>
      <c r="BN133" s="136" t="str">
        <f aca="false">IF($BR133&lt;&gt;Constants!$B$8,"",IF($AT133,($AI133-Constants!$B$29)*Constants!$B$28,0))</f>
        <v/>
      </c>
      <c r="BO133" s="136" t="str">
        <f aca="false">IF($BR133&lt;&gt;Constants!$B$8,"",IF($AS133,0,Constants!$B$15)+IF($AR133,0,Constants!$B$16)+IF($AH133,0,Constants!$B$17))</f>
        <v/>
      </c>
      <c r="BP133" s="137" t="str">
        <f aca="false">IF($BR133&lt;&gt;Constants!$B$8,"",Constants!$B$20+SUM($BK133:$BO133))</f>
        <v/>
      </c>
      <c r="BQ133" s="133" t="str">
        <f aca="false">IF(ISBLANK($C133),"",IF(ISBLANK($D$7),$BQ$5,IF(NOT(ISNUMBER($D$7)),$BQ$6,"")))</f>
        <v/>
      </c>
      <c r="BR133" s="133" t="str">
        <f aca="false">IF(ISBLANK($C133),"",IF($BA133,Constants!$B$11,IF(COUNTA($E133:$AA133)=0,Constants!$B$10,IF(NOT($AG133),Constants!$B$9,IF(OR($BQ133&lt;&gt;"",$BB133,$BJ133),Constants!$B$12,Constants!$B$8)))))</f>
        <v/>
      </c>
      <c r="BS133" s="133" t="str">
        <f aca="false">IF(ISBLANK($C133),"",IF($BR133&lt;&gt;Constants!$B$8,$BR133,Constants!$B$13))</f>
        <v/>
      </c>
      <c r="BT133" s="136" t="str">
        <f aca="false">IF($BR133&lt;&gt;Constants!$B$8,"",IF($BI133="-&gt;",$BP133,$BH133))</f>
        <v/>
      </c>
      <c r="BU133" s="136" t="str">
        <f aca="false">IF($BR133&lt;&gt;Constants!$B$8,"",IF($AF133,0,Constants!$B$18))</f>
        <v/>
      </c>
      <c r="BV133" s="136" t="str">
        <f aca="false">IF($BR133&lt;&gt;Constants!$B$8,"",((Constants!$B$31-$AZ133)-Constants!$B$31)/Constants!$B$32)</f>
        <v/>
      </c>
      <c r="BW133" s="136" t="str">
        <f aca="false">IF(ISBLANK($C133),"",IF($BR133&lt;&gt;Constants!$B$8,$BR133,SUM($BT133:$BV133)))</f>
        <v/>
      </c>
      <c r="BX133" s="133" t="str">
        <f aca="false">IF(ISBLANK($C133),"",IF($BR133&lt;&gt;Constants!$B$8,$BR133,RANK($BW133,$BW$9:$BW$508,1)))</f>
        <v/>
      </c>
      <c r="BY133" s="136" t="str">
        <f aca="false">IF($BR133&lt;&gt;Constants!$B$8,"",IF($BI133="-&gt;",$BK133,$BC133))</f>
        <v/>
      </c>
      <c r="BZ133" s="133" t="str">
        <f aca="false">IF(ISBLANK($C133),"",IF($BR133&lt;&gt;Constants!$B$8,$BR133,IF(ISNUMBER($BY133),RANK($BY133,$BY$9:$BY$508,1),COUNT($BY$9:$BY$508)+1)))</f>
        <v/>
      </c>
      <c r="CA133" s="136" t="str">
        <f aca="false">IF($BR133&lt;&gt;Constants!$B$8,"",IF($BI133="-&gt;",$BL133,$BD133))</f>
        <v/>
      </c>
      <c r="CB133" s="133" t="str">
        <f aca="false">IF(ISBLANK($C133),"",IF($BR133&lt;&gt;Constants!$B$8,$BR133,IF(ISNUMBER($CA133),RANK($CA133,$CA$9:$CA$508,1),COUNT($CA$9:$CA$508)+1)))</f>
        <v/>
      </c>
      <c r="CC133" s="136" t="str">
        <f aca="false">IF($BR133&lt;&gt;Constants!$B$8,"",IF($BI133="-&gt;",IF($AT133,$AV133,""),IF($AL133,$AN133,"")))</f>
        <v/>
      </c>
      <c r="CD133" s="133" t="str">
        <f aca="false">IF(ISBLANK($C133),"",IF($BR133&lt;&gt;Constants!$B$8,$BR133,IF(ISNUMBER($CC133),RANK($CC133,$CC$9:$CC$508,1),COUNT($CC$9:$CC$508)+1)))</f>
        <v/>
      </c>
      <c r="CE133" s="136" t="str">
        <f aca="false">IF($BR133&lt;&gt;Constants!$B$8,"",IF(AND(NOT($AL133),NOT($AT133),$AJ133,$AK133,$AR133,$AS133),"",$AI133))</f>
        <v/>
      </c>
      <c r="CF133" s="133" t="str">
        <f aca="false">IF(ISBLANK($C133),"",IF($BR133&lt;&gt;Constants!$B$8,$BR133,IF(ISNUMBER($CE133),RANK($CE133,$CE$9:$CE$508,1),COUNT($CE$9:$CE$508)+1)))</f>
        <v/>
      </c>
      <c r="CG133" s="133" t="str">
        <f aca="false">IF(ISBLANK($C133),"",IF($BR133&lt;&gt;Constants!$B$8,$BR133,COUNTIFS($BX$9:$BX$508,"&lt;"&amp;$BX133)+COUNTIFS($BX$9:$BX$508,$BX133,$BZ$9:$BZ$508,"&lt;"&amp;$BZ133)+COUNTIFS($BX$9:$BX$508,$BX133,$BZ$9:$BZ$508,$BZ133,$CB$9:$CB$508,"&lt;"&amp;$CB133)+COUNTIFS($BX$9:$BX$508,$BX133,$BZ$9:$BZ$508,$BZ133,$CB$9:$CB$508,$CB133,$CD$9:$CD$508,"&lt;"&amp;$CD133)+COUNTIFS($BX$9:$BX$508,$BX133,$BZ$9:$BZ$508,$BZ133,$CB$9:$CB$508,$CB133,$CD$9:$CD$508,$CD133,$CF$9:$CF$508,"&lt;"&amp;$CF133)+1))</f>
        <v/>
      </c>
      <c r="CH133" s="133" t="str">
        <f aca="false">IF(ISBLANK($C133),"",IF($BR133&lt;&gt;Constants!$B$8,$BR133,$BX133-$CG133))</f>
        <v/>
      </c>
      <c r="CI133" s="138"/>
      <c r="CJ133" s="139"/>
      <c r="CK133" s="140" t="str">
        <f aca="false">IF(ISBLANK($C133),"",IF($BR133=Constants!$B$12,$BQ133,""))</f>
        <v/>
      </c>
      <c r="CL133" s="139" t="str">
        <f aca="false">IF(ISBLANK($C133),"",IF($BR133&lt;&gt;Constants!$B$8,"",IF($BI133="-&gt;",2,1)))</f>
        <v/>
      </c>
      <c r="CM133" s="141" t="str">
        <f aca="false">IF(ISBLANK($C133),"",IF($BR133&lt;&gt;Constants!$B$8,"",IF($BI133="-&gt;",$BK133,$BC133)))</f>
        <v/>
      </c>
      <c r="CN133" s="141" t="str">
        <f aca="false">IF(ISBLANK($C133),"",IF($BR133&lt;&gt;Constants!$B$8,"",IF($BI133="-&gt;",$BL133,$BD133)))</f>
        <v/>
      </c>
      <c r="CO133" s="141" t="str">
        <f aca="false">IF(ISBLANK($C133),"",IF($BR133&lt;&gt;Constants!$B$8,"",IF($BI133="-&gt;",$BM133+$BN133,$BE133+$BF133)+$BV133))</f>
        <v/>
      </c>
      <c r="CP133" s="141" t="str">
        <f aca="false">IF(ISBLANK($C133),"",IF($BR133&lt;&gt;Constants!$B$8,"",IF($BI133="-&gt;",$BO133,$BG133)+$BU133))</f>
        <v/>
      </c>
      <c r="CQ133" s="142" t="str">
        <f aca="false">IF(ISBLANK($C133),"",IF($BR133&lt;&gt;Constants!$B$8,$BR133,$BW133))</f>
        <v/>
      </c>
      <c r="CR133" s="143" t="str">
        <f aca="false">IF(ISBLANK($C133),"",$BS133)</f>
        <v/>
      </c>
      <c r="CS133" s="144" t="str">
        <f aca="false">IF(ISBLANK($C133),"",$CH133)</f>
        <v/>
      </c>
      <c r="CT133" s="144" t="str">
        <f aca="false">IF(ISBLANK($C133),"",$CG133)</f>
        <v/>
      </c>
      <c r="CU133" s="145" t="str">
        <f aca="false">IF(ISBLANK($C133),"",IFERROR(_xlfn.SWITCH($CT133,Constants!$B$11,COUNTA($C$9:$C$508)+2,Constants!$B$10,COUNTA($C$9:$C$508)+1,Constants!$B$9,COUNTA($C$9:$C$508)),$CT133))</f>
        <v/>
      </c>
      <c r="CV133" s="9"/>
      <c r="CW133" s="146" t="n">
        <f aca="false">IF(OR(ISNUMBER($CT133),$CT133=Constants!$B$11,$CT133=Constants!$B$9,$CT133=Constants!$B$10),1,0)</f>
        <v>0</v>
      </c>
      <c r="CX133" s="146" t="n">
        <v>125</v>
      </c>
      <c r="CY133" s="146" t="str">
        <f aca="false">IF(ISBLANK($C133),"",IF(ISNUMBER($CU133),$CU133+ROW($B133)/1000,""))</f>
        <v/>
      </c>
      <c r="CZ133" s="146" t="str">
        <f aca="false">IF(ISNUMBER($CY133),RANK($CY133,$CY$9:$CY$508,1),"")</f>
        <v/>
      </c>
      <c r="DA133" s="146" t="str">
        <f aca="false">IF(ISBLANK($C133),"",$B133)</f>
        <v/>
      </c>
      <c r="DB133" s="146" t="str">
        <f aca="false">IF(ISBLANK($C133),"",$C133)</f>
        <v/>
      </c>
      <c r="DC133" s="146" t="str">
        <f aca="false">IF(ISBLANK($C133),"",$D133)</f>
        <v/>
      </c>
      <c r="DD133" s="147" t="str">
        <f aca="false">$CR133</f>
        <v/>
      </c>
      <c r="DE133" s="148" t="str">
        <f aca="false">$CQ133</f>
        <v/>
      </c>
      <c r="DF133" s="146" t="str">
        <f aca="false">IF(ISBLANK($C133),"",$CT133)</f>
        <v/>
      </c>
      <c r="DG133" s="149" t="str">
        <f aca="false">IF($CX133&gt;$CW$8,"",VLOOKUP($CX133,$CZ$9:$DF$508,7,FALSE()))</f>
        <v/>
      </c>
      <c r="DH133" s="150" t="str">
        <f aca="false">IF($CX133&gt;$CW$8,"",VLOOKUP($CX133,$CZ$9:$DF$508,2,FALSE()))</f>
        <v/>
      </c>
      <c r="DI133" s="150" t="str">
        <f aca="false">IF($CX133&gt;$CW$8,"",VLOOKUP($CX133,$CZ$9:$DF$508,3,FALSE()))</f>
        <v/>
      </c>
      <c r="DJ133" s="150" t="str">
        <f aca="false">IF($CX133&gt;$CW$8,"",VLOOKUP($CX133,$CZ$9:$DF$508,4,FALSE()))</f>
        <v/>
      </c>
      <c r="DK133" s="150" t="str">
        <f aca="false">IF($CX133&gt;$CW$8,"",VLOOKUP($CX133,$CZ$9:$DF$508,5,FALSE()))</f>
        <v/>
      </c>
      <c r="DL133" s="151" t="str">
        <f aca="false">IF($CX133&gt;$CW$8,"",VLOOKUP($CX133,$CZ$9:$DF$508,6,FALSE()))</f>
        <v/>
      </c>
      <c r="DM133" s="75"/>
    </row>
    <row r="134" customFormat="false" ht="15.75" hidden="false" customHeight="false" outlineLevel="0" collapsed="false">
      <c r="A134" s="9"/>
      <c r="B134" s="157"/>
      <c r="C134" s="158"/>
      <c r="D134" s="159"/>
      <c r="E134" s="177"/>
      <c r="F134" s="161"/>
      <c r="G134" s="162"/>
      <c r="H134" s="162"/>
      <c r="I134" s="178"/>
      <c r="J134" s="165"/>
      <c r="K134" s="126"/>
      <c r="L134" s="127"/>
      <c r="M134" s="128"/>
      <c r="N134" s="165"/>
      <c r="O134" s="165"/>
      <c r="P134" s="177"/>
      <c r="Q134" s="165"/>
      <c r="R134" s="165"/>
      <c r="S134" s="126"/>
      <c r="T134" s="128"/>
      <c r="U134" s="128"/>
      <c r="V134" s="165"/>
      <c r="W134" s="165"/>
      <c r="X134" s="177"/>
      <c r="Y134" s="165"/>
      <c r="Z134" s="166"/>
      <c r="AA134" s="165"/>
      <c r="AB134" s="132"/>
      <c r="AC134" s="133"/>
      <c r="AD134" s="133"/>
      <c r="AE134" s="133"/>
      <c r="AF134" s="133" t="str">
        <f aca="false">IF(ISBLANK($C134),"",IF(E134=Constants!$B$3,TRUE(),IF(E134=Constants!$B$4,FALSE(),TRUE())))</f>
        <v/>
      </c>
      <c r="AG134" s="133" t="str">
        <f aca="false">IF(ISBLANK($C134),"",IF(F134=Constants!$B$3,TRUE(),IF(F134=Constants!$B$4,FALSE(),TRUE())))</f>
        <v/>
      </c>
      <c r="AH134" s="133" t="str">
        <f aca="false">IF(ISBLANK($C134),"",IF(G134=Constants!$B$3,TRUE(),IF(G134=Constants!$B$4,FALSE(),TRUE())))</f>
        <v/>
      </c>
      <c r="AI134" s="133" t="str">
        <f aca="false">IF(ISBLANK($C134),"",IF(AND(ISNUMBER(H134),H134&gt;=0),H134,Constants!$B$29))</f>
        <v/>
      </c>
      <c r="AJ134" s="133" t="str">
        <f aca="false">IF(ISBLANK($C134),"",IF(I134=Constants!$B$3,TRUE(),IF(I134=Constants!$B$4,FALSE(),TRUE())))</f>
        <v/>
      </c>
      <c r="AK134" s="133" t="str">
        <f aca="false">IF(ISBLANK($C134),"",IF(J134=Constants!$B$3,TRUE(),IF(J134=Constants!$B$4,FALSE(),TRUE())))</f>
        <v/>
      </c>
      <c r="AL134" s="133" t="str">
        <f aca="false">IF(ISBLANK($C134),"",IF(K134=Constants!$B$5,TRUE(),IF(K134=Constants!$B$6,FALSE(),COUNTA(L134:P134)&gt;0)))</f>
        <v/>
      </c>
      <c r="AM134" s="134" t="str">
        <f aca="false">IF(ISBLANK($C134),"",IF(ISNUMBER(L134),IF(L134&gt;=0,L134,""),""))</f>
        <v/>
      </c>
      <c r="AN134" s="135" t="str">
        <f aca="false">IF(ISBLANK($C134),"",IF(ISNUMBER(M134),IF(M134&gt;=0,M134,""),""))</f>
        <v/>
      </c>
      <c r="AO134" s="135" t="str">
        <f aca="false">IF(ISBLANK($C134),"",IF(N134=Constants!$B$3,TRUE(),IF(N134=Constants!$B$4,FALSE(),TRUE())))</f>
        <v/>
      </c>
      <c r="AP134" s="133" t="str">
        <f aca="false">IF(ISBLANK($C134),"",IF(ISNUMBER(O134),IF(O134&gt;=0,O134,""),""))</f>
        <v/>
      </c>
      <c r="AQ134" s="133" t="str">
        <f aca="false">IF(ISBLANK($C134),"",IF(P134=Constants!$B$3,TRUE(),IF(P134=Constants!$B$4,FALSE(),FALSE())))</f>
        <v/>
      </c>
      <c r="AR134" s="133" t="str">
        <f aca="false">IF(ISBLANK($C134),"",IF(Q134=Constants!$B$3,TRUE(),IF(Q134=Constants!$B$4,FALSE(),TRUE())))</f>
        <v/>
      </c>
      <c r="AS134" s="133" t="str">
        <f aca="false">IF(ISBLANK($C134),"",IF(R134=Constants!$B$3,TRUE(),IF(R134=Constants!$B$4,FALSE(),TRUE())))</f>
        <v/>
      </c>
      <c r="AT134" s="133" t="str">
        <f aca="false">IF(ISBLANK($C134),"",IF(S134=Constants!$B$5,TRUE(),IF(S134=Constants!$B$6,FALSE(),COUNTA(T134:X134)&gt;0)))</f>
        <v/>
      </c>
      <c r="AU134" s="134" t="str">
        <f aca="false">IF(ISBLANK($C134),"",IF(ISNUMBER(T134),IF(T134&gt;=0,T134,""),""))</f>
        <v/>
      </c>
      <c r="AV134" s="135" t="str">
        <f aca="false">IF(ISBLANK($C134),"",IF(ISNUMBER(U134),IF(U134&gt;=0,U134,""),""))</f>
        <v/>
      </c>
      <c r="AW134" s="135" t="str">
        <f aca="false">IF(ISBLANK($C134),"",IF(V134=Constants!$B$3,TRUE(),IF(V134=Constants!$B$4,FALSE(),TRUE())))</f>
        <v/>
      </c>
      <c r="AX134" s="133" t="str">
        <f aca="false">IF(ISBLANK($C134),"",IF(ISNUMBER(W134),IF(W134&gt;=0,W134,""),""))</f>
        <v/>
      </c>
      <c r="AY134" s="133" t="str">
        <f aca="false">IF(ISBLANK($C134),"",IF(X134=Constants!$B$3,TRUE(),IF(X134=Constants!$B$4,FALSE(),FALSE())))</f>
        <v/>
      </c>
      <c r="AZ134" s="133" t="str">
        <f aca="false">IF(ISBLANK($C134),"",MIN(Constants!$B$31,MAX(0,IF(ISNUMBER(Y134),Y134*60,0)+IF(ISNUMBER(Z134),Z134,0))))</f>
        <v/>
      </c>
      <c r="BA134" s="133" t="str">
        <f aca="false">IF(ISBLANK($C134),"",IF(AA134=Constants!$B$3,TRUE(),IF(AA134=Constants!$B$4,FALSE(),FALSE())))</f>
        <v/>
      </c>
      <c r="BB134" s="132" t="str">
        <f aca="false">IF(ISBLANK($C134),"",AND($AL134,OR($AM134="",$AN134="",AND($AO134,$AP134=""))))</f>
        <v/>
      </c>
      <c r="BC134" s="135" t="str">
        <f aca="false">IF($BR134&lt;&gt;Constants!$B$8,"",IF($AL134,Constants!$B$21*$AN134+Constants!$B$22*IF($AO134,$AP134,Constants!$B$23),Constants!$B$24))</f>
        <v/>
      </c>
      <c r="BD134" s="136" t="str">
        <f aca="false">IF($BR134&lt;&gt;Constants!$B$8,"",Constants!$B$25*ABS($AD$9-IF($AL134,$AM134,0)))</f>
        <v/>
      </c>
      <c r="BE134" s="136" t="str">
        <f aca="false">IF($BR134&lt;&gt;Constants!$B$8,"",IF(AND($AL134,$AQ134,$AO134),Constants!$B$27,0))</f>
        <v/>
      </c>
      <c r="BF134" s="136" t="str">
        <f aca="false">IF($BR134&lt;&gt;Constants!$B$8,"",IF($AL134,($AI134-Constants!$B$29)*Constants!$B$28,0))</f>
        <v/>
      </c>
      <c r="BG134" s="136" t="str">
        <f aca="false">IF($BR134&lt;&gt;Constants!$B$8,"",IF($AK134,0,Constants!$B$15)+IF($AJ134,0,Constants!$B$16)+IF($AH134,0,Constants!$B$17))</f>
        <v/>
      </c>
      <c r="BH134" s="137" t="str">
        <f aca="false">IF($BR134&lt;&gt;Constants!$B$8,"",Constants!$B$20+SUM($BC134:$BG134))</f>
        <v/>
      </c>
      <c r="BI134" s="133" t="str">
        <f aca="false">IF($BR134&lt;&gt;Constants!$B$8,"",IF(OR($BP134&lt;$BH134,AND($BP134=$BH134,OR($BK134&lt;$BC134,AND($BK134=$BC134,OR($BL134&lt;$BD134,AND($BL134=$BD134,$AT134,$AL134,$AV134&lt;$AN134)))))),"-&gt;","&lt;-"))</f>
        <v/>
      </c>
      <c r="BJ134" s="132" t="str">
        <f aca="false">IF(ISBLANK($C134),"",AND($AT134,OR($AU134="",$AV134="",AND($AW134,$AX134=""))))</f>
        <v/>
      </c>
      <c r="BK134" s="135" t="str">
        <f aca="false">IF($BR134&lt;&gt;Constants!$B$8,"",IF($AT134,Constants!$B$21*$AV134+Constants!$B$22*IF($AW134,$AX134,Constants!$B$23),Constants!$B$24))</f>
        <v/>
      </c>
      <c r="BL134" s="136" t="str">
        <f aca="false">IF($BR134&lt;&gt;Constants!$B$8,"",Constants!$B$25*ABS($AD$9-IF($AT134,$AU134,0)))</f>
        <v/>
      </c>
      <c r="BM134" s="136" t="str">
        <f aca="false">IF($BR134&lt;&gt;Constants!$B$8,"",IF(AND($AT134,$AY134,$AW134),Constants!$B$27,0))</f>
        <v/>
      </c>
      <c r="BN134" s="136" t="str">
        <f aca="false">IF($BR134&lt;&gt;Constants!$B$8,"",IF($AT134,($AI134-Constants!$B$29)*Constants!$B$28,0))</f>
        <v/>
      </c>
      <c r="BO134" s="136" t="str">
        <f aca="false">IF($BR134&lt;&gt;Constants!$B$8,"",IF($AS134,0,Constants!$B$15)+IF($AR134,0,Constants!$B$16)+IF($AH134,0,Constants!$B$17))</f>
        <v/>
      </c>
      <c r="BP134" s="137" t="str">
        <f aca="false">IF($BR134&lt;&gt;Constants!$B$8,"",Constants!$B$20+SUM($BK134:$BO134))</f>
        <v/>
      </c>
      <c r="BQ134" s="133" t="str">
        <f aca="false">IF(ISBLANK($C134),"",IF(ISBLANK($D$7),$BQ$5,IF(NOT(ISNUMBER($D$7)),$BQ$6,"")))</f>
        <v/>
      </c>
      <c r="BR134" s="133" t="str">
        <f aca="false">IF(ISBLANK($C134),"",IF($BA134,Constants!$B$11,IF(COUNTA($E134:$AA134)=0,Constants!$B$10,IF(NOT($AG134),Constants!$B$9,IF(OR($BQ134&lt;&gt;"",$BB134,$BJ134),Constants!$B$12,Constants!$B$8)))))</f>
        <v/>
      </c>
      <c r="BS134" s="133" t="str">
        <f aca="false">IF(ISBLANK($C134),"",IF($BR134&lt;&gt;Constants!$B$8,$BR134,Constants!$B$13))</f>
        <v/>
      </c>
      <c r="BT134" s="136" t="str">
        <f aca="false">IF($BR134&lt;&gt;Constants!$B$8,"",IF($BI134="-&gt;",$BP134,$BH134))</f>
        <v/>
      </c>
      <c r="BU134" s="136" t="str">
        <f aca="false">IF($BR134&lt;&gt;Constants!$B$8,"",IF($AF134,0,Constants!$B$18))</f>
        <v/>
      </c>
      <c r="BV134" s="136" t="str">
        <f aca="false">IF($BR134&lt;&gt;Constants!$B$8,"",((Constants!$B$31-$AZ134)-Constants!$B$31)/Constants!$B$32)</f>
        <v/>
      </c>
      <c r="BW134" s="136" t="str">
        <f aca="false">IF(ISBLANK($C134),"",IF($BR134&lt;&gt;Constants!$B$8,$BR134,SUM($BT134:$BV134)))</f>
        <v/>
      </c>
      <c r="BX134" s="133" t="str">
        <f aca="false">IF(ISBLANK($C134),"",IF($BR134&lt;&gt;Constants!$B$8,$BR134,RANK($BW134,$BW$9:$BW$508,1)))</f>
        <v/>
      </c>
      <c r="BY134" s="136" t="str">
        <f aca="false">IF($BR134&lt;&gt;Constants!$B$8,"",IF($BI134="-&gt;",$BK134,$BC134))</f>
        <v/>
      </c>
      <c r="BZ134" s="133" t="str">
        <f aca="false">IF(ISBLANK($C134),"",IF($BR134&lt;&gt;Constants!$B$8,$BR134,IF(ISNUMBER($BY134),RANK($BY134,$BY$9:$BY$508,1),COUNT($BY$9:$BY$508)+1)))</f>
        <v/>
      </c>
      <c r="CA134" s="136" t="str">
        <f aca="false">IF($BR134&lt;&gt;Constants!$B$8,"",IF($BI134="-&gt;",$BL134,$BD134))</f>
        <v/>
      </c>
      <c r="CB134" s="133" t="str">
        <f aca="false">IF(ISBLANK($C134),"",IF($BR134&lt;&gt;Constants!$B$8,$BR134,IF(ISNUMBER($CA134),RANK($CA134,$CA$9:$CA$508,1),COUNT($CA$9:$CA$508)+1)))</f>
        <v/>
      </c>
      <c r="CC134" s="136" t="str">
        <f aca="false">IF($BR134&lt;&gt;Constants!$B$8,"",IF($BI134="-&gt;",IF($AT134,$AV134,""),IF($AL134,$AN134,"")))</f>
        <v/>
      </c>
      <c r="CD134" s="133" t="str">
        <f aca="false">IF(ISBLANK($C134),"",IF($BR134&lt;&gt;Constants!$B$8,$BR134,IF(ISNUMBER($CC134),RANK($CC134,$CC$9:$CC$508,1),COUNT($CC$9:$CC$508)+1)))</f>
        <v/>
      </c>
      <c r="CE134" s="136" t="str">
        <f aca="false">IF($BR134&lt;&gt;Constants!$B$8,"",IF(AND(NOT($AL134),NOT($AT134),$AJ134,$AK134,$AR134,$AS134),"",$AI134))</f>
        <v/>
      </c>
      <c r="CF134" s="133" t="str">
        <f aca="false">IF(ISBLANK($C134),"",IF($BR134&lt;&gt;Constants!$B$8,$BR134,IF(ISNUMBER($CE134),RANK($CE134,$CE$9:$CE$508,1),COUNT($CE$9:$CE$508)+1)))</f>
        <v/>
      </c>
      <c r="CG134" s="133" t="str">
        <f aca="false">IF(ISBLANK($C134),"",IF($BR134&lt;&gt;Constants!$B$8,$BR134,COUNTIFS($BX$9:$BX$508,"&lt;"&amp;$BX134)+COUNTIFS($BX$9:$BX$508,$BX134,$BZ$9:$BZ$508,"&lt;"&amp;$BZ134)+COUNTIFS($BX$9:$BX$508,$BX134,$BZ$9:$BZ$508,$BZ134,$CB$9:$CB$508,"&lt;"&amp;$CB134)+COUNTIFS($BX$9:$BX$508,$BX134,$BZ$9:$BZ$508,$BZ134,$CB$9:$CB$508,$CB134,$CD$9:$CD$508,"&lt;"&amp;$CD134)+COUNTIFS($BX$9:$BX$508,$BX134,$BZ$9:$BZ$508,$BZ134,$CB$9:$CB$508,$CB134,$CD$9:$CD$508,$CD134,$CF$9:$CF$508,"&lt;"&amp;$CF134)+1))</f>
        <v/>
      </c>
      <c r="CH134" s="133" t="str">
        <f aca="false">IF(ISBLANK($C134),"",IF($BR134&lt;&gt;Constants!$B$8,$BR134,$BX134-$CG134))</f>
        <v/>
      </c>
      <c r="CI134" s="138"/>
      <c r="CJ134" s="139"/>
      <c r="CK134" s="140" t="str">
        <f aca="false">IF(ISBLANK($C134),"",IF($BR134=Constants!$B$12,$BQ134,""))</f>
        <v/>
      </c>
      <c r="CL134" s="139" t="str">
        <f aca="false">IF(ISBLANK($C134),"",IF($BR134&lt;&gt;Constants!$B$8,"",IF($BI134="-&gt;",2,1)))</f>
        <v/>
      </c>
      <c r="CM134" s="141" t="str">
        <f aca="false">IF(ISBLANK($C134),"",IF($BR134&lt;&gt;Constants!$B$8,"",IF($BI134="-&gt;",$BK134,$BC134)))</f>
        <v/>
      </c>
      <c r="CN134" s="141" t="str">
        <f aca="false">IF(ISBLANK($C134),"",IF($BR134&lt;&gt;Constants!$B$8,"",IF($BI134="-&gt;",$BL134,$BD134)))</f>
        <v/>
      </c>
      <c r="CO134" s="141" t="str">
        <f aca="false">IF(ISBLANK($C134),"",IF($BR134&lt;&gt;Constants!$B$8,"",IF($BI134="-&gt;",$BM134+$BN134,$BE134+$BF134)+$BV134))</f>
        <v/>
      </c>
      <c r="CP134" s="141" t="str">
        <f aca="false">IF(ISBLANK($C134),"",IF($BR134&lt;&gt;Constants!$B$8,"",IF($BI134="-&gt;",$BO134,$BG134)+$BU134))</f>
        <v/>
      </c>
      <c r="CQ134" s="142" t="str">
        <f aca="false">IF(ISBLANK($C134),"",IF($BR134&lt;&gt;Constants!$B$8,$BR134,$BW134))</f>
        <v/>
      </c>
      <c r="CR134" s="143" t="str">
        <f aca="false">IF(ISBLANK($C134),"",$BS134)</f>
        <v/>
      </c>
      <c r="CS134" s="144" t="str">
        <f aca="false">IF(ISBLANK($C134),"",$CH134)</f>
        <v/>
      </c>
      <c r="CT134" s="144" t="str">
        <f aca="false">IF(ISBLANK($C134),"",$CG134)</f>
        <v/>
      </c>
      <c r="CU134" s="145" t="str">
        <f aca="false">IF(ISBLANK($C134),"",IFERROR(_xlfn.SWITCH($CT134,Constants!$B$11,COUNTA($C$9:$C$508)+2,Constants!$B$10,COUNTA($C$9:$C$508)+1,Constants!$B$9,COUNTA($C$9:$C$508)),$CT134))</f>
        <v/>
      </c>
      <c r="CV134" s="9"/>
      <c r="CW134" s="146" t="n">
        <f aca="false">IF(OR(ISNUMBER($CT134),$CT134=Constants!$B$11,$CT134=Constants!$B$9,$CT134=Constants!$B$10),1,0)</f>
        <v>0</v>
      </c>
      <c r="CX134" s="146" t="n">
        <v>126</v>
      </c>
      <c r="CY134" s="146" t="str">
        <f aca="false">IF(ISBLANK($C134),"",IF(ISNUMBER($CU134),$CU134+ROW($B134)/1000,""))</f>
        <v/>
      </c>
      <c r="CZ134" s="146" t="str">
        <f aca="false">IF(ISNUMBER($CY134),RANK($CY134,$CY$9:$CY$508,1),"")</f>
        <v/>
      </c>
      <c r="DA134" s="146" t="str">
        <f aca="false">IF(ISBLANK($C134),"",$B134)</f>
        <v/>
      </c>
      <c r="DB134" s="146" t="str">
        <f aca="false">IF(ISBLANK($C134),"",$C134)</f>
        <v/>
      </c>
      <c r="DC134" s="146" t="str">
        <f aca="false">IF(ISBLANK($C134),"",$D134)</f>
        <v/>
      </c>
      <c r="DD134" s="147" t="str">
        <f aca="false">$CR134</f>
        <v/>
      </c>
      <c r="DE134" s="148" t="str">
        <f aca="false">$CQ134</f>
        <v/>
      </c>
      <c r="DF134" s="146" t="str">
        <f aca="false">IF(ISBLANK($C134),"",$CT134)</f>
        <v/>
      </c>
      <c r="DG134" s="149" t="str">
        <f aca="false">IF($CX134&gt;$CW$8,"",VLOOKUP($CX134,$CZ$9:$DF$508,7,FALSE()))</f>
        <v/>
      </c>
      <c r="DH134" s="150" t="str">
        <f aca="false">IF($CX134&gt;$CW$8,"",VLOOKUP($CX134,$CZ$9:$DF$508,2,FALSE()))</f>
        <v/>
      </c>
      <c r="DI134" s="150" t="str">
        <f aca="false">IF($CX134&gt;$CW$8,"",VLOOKUP($CX134,$CZ$9:$DF$508,3,FALSE()))</f>
        <v/>
      </c>
      <c r="DJ134" s="150" t="str">
        <f aca="false">IF($CX134&gt;$CW$8,"",VLOOKUP($CX134,$CZ$9:$DF$508,4,FALSE()))</f>
        <v/>
      </c>
      <c r="DK134" s="150" t="str">
        <f aca="false">IF($CX134&gt;$CW$8,"",VLOOKUP($CX134,$CZ$9:$DF$508,5,FALSE()))</f>
        <v/>
      </c>
      <c r="DL134" s="151" t="str">
        <f aca="false">IF($CX134&gt;$CW$8,"",VLOOKUP($CX134,$CZ$9:$DF$508,6,FALSE()))</f>
        <v/>
      </c>
      <c r="DM134" s="75"/>
    </row>
    <row r="135" customFormat="false" ht="15.75" hidden="false" customHeight="false" outlineLevel="0" collapsed="false">
      <c r="A135" s="9"/>
      <c r="B135" s="77"/>
      <c r="C135" s="78"/>
      <c r="D135" s="167"/>
      <c r="E135" s="175"/>
      <c r="F135" s="169"/>
      <c r="G135" s="170"/>
      <c r="H135" s="170"/>
      <c r="I135" s="176"/>
      <c r="J135" s="173"/>
      <c r="K135" s="85"/>
      <c r="L135" s="86"/>
      <c r="M135" s="87"/>
      <c r="N135" s="173"/>
      <c r="O135" s="173"/>
      <c r="P135" s="175"/>
      <c r="Q135" s="173"/>
      <c r="R135" s="173"/>
      <c r="S135" s="85"/>
      <c r="T135" s="87"/>
      <c r="U135" s="87"/>
      <c r="V135" s="173"/>
      <c r="W135" s="173"/>
      <c r="X135" s="175"/>
      <c r="Y135" s="173"/>
      <c r="Z135" s="174"/>
      <c r="AA135" s="173"/>
      <c r="AB135" s="91"/>
      <c r="AC135" s="92"/>
      <c r="AD135" s="92"/>
      <c r="AE135" s="92"/>
      <c r="AF135" s="92" t="str">
        <f aca="false">IF(ISBLANK($C135),"",IF(E135=Constants!$B$3,TRUE(),IF(E135=Constants!$B$4,FALSE(),TRUE())))</f>
        <v/>
      </c>
      <c r="AG135" s="92" t="str">
        <f aca="false">IF(ISBLANK($C135),"",IF(F135=Constants!$B$3,TRUE(),IF(F135=Constants!$B$4,FALSE(),TRUE())))</f>
        <v/>
      </c>
      <c r="AH135" s="92" t="str">
        <f aca="false">IF(ISBLANK($C135),"",IF(G135=Constants!$B$3,TRUE(),IF(G135=Constants!$B$4,FALSE(),TRUE())))</f>
        <v/>
      </c>
      <c r="AI135" s="92" t="str">
        <f aca="false">IF(ISBLANK($C135),"",IF(AND(ISNUMBER(H135),H135&gt;=0),H135,Constants!$B$29))</f>
        <v/>
      </c>
      <c r="AJ135" s="92" t="str">
        <f aca="false">IF(ISBLANK($C135),"",IF(I135=Constants!$B$3,TRUE(),IF(I135=Constants!$B$4,FALSE(),TRUE())))</f>
        <v/>
      </c>
      <c r="AK135" s="92" t="str">
        <f aca="false">IF(ISBLANK($C135),"",IF(J135=Constants!$B$3,TRUE(),IF(J135=Constants!$B$4,FALSE(),TRUE())))</f>
        <v/>
      </c>
      <c r="AL135" s="92" t="str">
        <f aca="false">IF(ISBLANK($C135),"",IF(K135=Constants!$B$5,TRUE(),IF(K135=Constants!$B$6,FALSE(),COUNTA(L135:P135)&gt;0)))</f>
        <v/>
      </c>
      <c r="AM135" s="94" t="str">
        <f aca="false">IF(ISBLANK($C135),"",IF(ISNUMBER(L135),IF(L135&gt;=0,L135,""),""))</f>
        <v/>
      </c>
      <c r="AN135" s="93" t="str">
        <f aca="false">IF(ISBLANK($C135),"",IF(ISNUMBER(M135),IF(M135&gt;=0,M135,""),""))</f>
        <v/>
      </c>
      <c r="AO135" s="93" t="str">
        <f aca="false">IF(ISBLANK($C135),"",IF(N135=Constants!$B$3,TRUE(),IF(N135=Constants!$B$4,FALSE(),TRUE())))</f>
        <v/>
      </c>
      <c r="AP135" s="92" t="str">
        <f aca="false">IF(ISBLANK($C135),"",IF(ISNUMBER(O135),IF(O135&gt;=0,O135,""),""))</f>
        <v/>
      </c>
      <c r="AQ135" s="92" t="str">
        <f aca="false">IF(ISBLANK($C135),"",IF(P135=Constants!$B$3,TRUE(),IF(P135=Constants!$B$4,FALSE(),FALSE())))</f>
        <v/>
      </c>
      <c r="AR135" s="92" t="str">
        <f aca="false">IF(ISBLANK($C135),"",IF(Q135=Constants!$B$3,TRUE(),IF(Q135=Constants!$B$4,FALSE(),TRUE())))</f>
        <v/>
      </c>
      <c r="AS135" s="92" t="str">
        <f aca="false">IF(ISBLANK($C135),"",IF(R135=Constants!$B$3,TRUE(),IF(R135=Constants!$B$4,FALSE(),TRUE())))</f>
        <v/>
      </c>
      <c r="AT135" s="92" t="str">
        <f aca="false">IF(ISBLANK($C135),"",IF(S135=Constants!$B$5,TRUE(),IF(S135=Constants!$B$6,FALSE(),COUNTA(T135:X135)&gt;0)))</f>
        <v/>
      </c>
      <c r="AU135" s="94" t="str">
        <f aca="false">IF(ISBLANK($C135),"",IF(ISNUMBER(T135),IF(T135&gt;=0,T135,""),""))</f>
        <v/>
      </c>
      <c r="AV135" s="93" t="str">
        <f aca="false">IF(ISBLANK($C135),"",IF(ISNUMBER(U135),IF(U135&gt;=0,U135,""),""))</f>
        <v/>
      </c>
      <c r="AW135" s="93" t="str">
        <f aca="false">IF(ISBLANK($C135),"",IF(V135=Constants!$B$3,TRUE(),IF(V135=Constants!$B$4,FALSE(),TRUE())))</f>
        <v/>
      </c>
      <c r="AX135" s="92" t="str">
        <f aca="false">IF(ISBLANK($C135),"",IF(ISNUMBER(W135),IF(W135&gt;=0,W135,""),""))</f>
        <v/>
      </c>
      <c r="AY135" s="92" t="str">
        <f aca="false">IF(ISBLANK($C135),"",IF(X135=Constants!$B$3,TRUE(),IF(X135=Constants!$B$4,FALSE(),FALSE())))</f>
        <v/>
      </c>
      <c r="AZ135" s="92" t="str">
        <f aca="false">IF(ISBLANK($C135),"",MIN(Constants!$B$31,MAX(0,IF(ISNUMBER(Y135),Y135*60,0)+IF(ISNUMBER(Z135),Z135,0))))</f>
        <v/>
      </c>
      <c r="BA135" s="92" t="str">
        <f aca="false">IF(ISBLANK($C135),"",IF(AA135=Constants!$B$3,TRUE(),IF(AA135=Constants!$B$4,FALSE(),FALSE())))</f>
        <v/>
      </c>
      <c r="BB135" s="91" t="str">
        <f aca="false">IF(ISBLANK($C135),"",AND($AL135,OR($AM135="",$AN135="",AND($AO135,$AP135=""))))</f>
        <v/>
      </c>
      <c r="BC135" s="93" t="str">
        <f aca="false">IF($BR135&lt;&gt;Constants!$B$8,"",IF($AL135,Constants!$B$21*$AN135+Constants!$B$22*IF($AO135,$AP135,Constants!$B$23),Constants!$B$24))</f>
        <v/>
      </c>
      <c r="BD135" s="96" t="str">
        <f aca="false">IF($BR135&lt;&gt;Constants!$B$8,"",Constants!$B$25*ABS($AD$9-IF($AL135,$AM135,0)))</f>
        <v/>
      </c>
      <c r="BE135" s="96" t="str">
        <f aca="false">IF($BR135&lt;&gt;Constants!$B$8,"",IF(AND($AL135,$AQ135,$AO135),Constants!$B$27,0))</f>
        <v/>
      </c>
      <c r="BF135" s="96" t="str">
        <f aca="false">IF($BR135&lt;&gt;Constants!$B$8,"",IF($AL135,($AI135-Constants!$B$29)*Constants!$B$28,0))</f>
        <v/>
      </c>
      <c r="BG135" s="96" t="str">
        <f aca="false">IF($BR135&lt;&gt;Constants!$B$8,"",IF($AK135,0,Constants!$B$15)+IF($AJ135,0,Constants!$B$16)+IF($AH135,0,Constants!$B$17))</f>
        <v/>
      </c>
      <c r="BH135" s="97" t="str">
        <f aca="false">IF($BR135&lt;&gt;Constants!$B$8,"",Constants!$B$20+SUM($BC135:$BG135))</f>
        <v/>
      </c>
      <c r="BI135" s="92" t="str">
        <f aca="false">IF($BR135&lt;&gt;Constants!$B$8,"",IF(OR($BP135&lt;$BH135,AND($BP135=$BH135,OR($BK135&lt;$BC135,AND($BK135=$BC135,OR($BL135&lt;$BD135,AND($BL135=$BD135,$AT135,$AL135,$AV135&lt;$AN135)))))),"-&gt;","&lt;-"))</f>
        <v/>
      </c>
      <c r="BJ135" s="91" t="str">
        <f aca="false">IF(ISBLANK($C135),"",AND($AT135,OR($AU135="",$AV135="",AND($AW135,$AX135=""))))</f>
        <v/>
      </c>
      <c r="BK135" s="93" t="str">
        <f aca="false">IF($BR135&lt;&gt;Constants!$B$8,"",IF($AT135,Constants!$B$21*$AV135+Constants!$B$22*IF($AW135,$AX135,Constants!$B$23),Constants!$B$24))</f>
        <v/>
      </c>
      <c r="BL135" s="96" t="str">
        <f aca="false">IF($BR135&lt;&gt;Constants!$B$8,"",Constants!$B$25*ABS($AD$9-IF($AT135,$AU135,0)))</f>
        <v/>
      </c>
      <c r="BM135" s="96" t="str">
        <f aca="false">IF($BR135&lt;&gt;Constants!$B$8,"",IF(AND($AT135,$AY135,$AW135),Constants!$B$27,0))</f>
        <v/>
      </c>
      <c r="BN135" s="96" t="str">
        <f aca="false">IF($BR135&lt;&gt;Constants!$B$8,"",IF($AT135,($AI135-Constants!$B$29)*Constants!$B$28,0))</f>
        <v/>
      </c>
      <c r="BO135" s="96" t="str">
        <f aca="false">IF($BR135&lt;&gt;Constants!$B$8,"",IF($AS135,0,Constants!$B$15)+IF($AR135,0,Constants!$B$16)+IF($AH135,0,Constants!$B$17))</f>
        <v/>
      </c>
      <c r="BP135" s="97" t="str">
        <f aca="false">IF($BR135&lt;&gt;Constants!$B$8,"",Constants!$B$20+SUM($BK135:$BO135))</f>
        <v/>
      </c>
      <c r="BQ135" s="92" t="str">
        <f aca="false">IF(ISBLANK($C135),"",IF(ISBLANK($D$7),$BQ$5,IF(NOT(ISNUMBER($D$7)),$BQ$6,"")))</f>
        <v/>
      </c>
      <c r="BR135" s="92" t="str">
        <f aca="false">IF(ISBLANK($C135),"",IF($BA135,Constants!$B$11,IF(COUNTA($E135:$AA135)=0,Constants!$B$10,IF(NOT($AG135),Constants!$B$9,IF(OR($BQ135&lt;&gt;"",$BB135,$BJ135),Constants!$B$12,Constants!$B$8)))))</f>
        <v/>
      </c>
      <c r="BS135" s="92" t="str">
        <f aca="false">IF(ISBLANK($C135),"",IF($BR135&lt;&gt;Constants!$B$8,$BR135,Constants!$B$13))</f>
        <v/>
      </c>
      <c r="BT135" s="96" t="str">
        <f aca="false">IF($BR135&lt;&gt;Constants!$B$8,"",IF($BI135="-&gt;",$BP135,$BH135))</f>
        <v/>
      </c>
      <c r="BU135" s="96" t="str">
        <f aca="false">IF($BR135&lt;&gt;Constants!$B$8,"",IF($AF135,0,Constants!$B$18))</f>
        <v/>
      </c>
      <c r="BV135" s="96" t="str">
        <f aca="false">IF($BR135&lt;&gt;Constants!$B$8,"",((Constants!$B$31-$AZ135)-Constants!$B$31)/Constants!$B$32)</f>
        <v/>
      </c>
      <c r="BW135" s="96" t="str">
        <f aca="false">IF(ISBLANK($C135),"",IF($BR135&lt;&gt;Constants!$B$8,$BR135,SUM($BT135:$BV135)))</f>
        <v/>
      </c>
      <c r="BX135" s="92" t="str">
        <f aca="false">IF(ISBLANK($C135),"",IF($BR135&lt;&gt;Constants!$B$8,$BR135,RANK($BW135,$BW$9:$BW$508,1)))</f>
        <v/>
      </c>
      <c r="BY135" s="96" t="str">
        <f aca="false">IF($BR135&lt;&gt;Constants!$B$8,"",IF($BI135="-&gt;",$BK135,$BC135))</f>
        <v/>
      </c>
      <c r="BZ135" s="92" t="str">
        <f aca="false">IF(ISBLANK($C135),"",IF($BR135&lt;&gt;Constants!$B$8,$BR135,IF(ISNUMBER($BY135),RANK($BY135,$BY$9:$BY$508,1),COUNT($BY$9:$BY$508)+1)))</f>
        <v/>
      </c>
      <c r="CA135" s="96" t="str">
        <f aca="false">IF($BR135&lt;&gt;Constants!$B$8,"",IF($BI135="-&gt;",$BL135,$BD135))</f>
        <v/>
      </c>
      <c r="CB135" s="92" t="str">
        <f aca="false">IF(ISBLANK($C135),"",IF($BR135&lt;&gt;Constants!$B$8,$BR135,IF(ISNUMBER($CA135),RANK($CA135,$CA$9:$CA$508,1),COUNT($CA$9:$CA$508)+1)))</f>
        <v/>
      </c>
      <c r="CC135" s="96" t="str">
        <f aca="false">IF($BR135&lt;&gt;Constants!$B$8,"",IF($BI135="-&gt;",IF($AT135,$AV135,""),IF($AL135,$AN135,"")))</f>
        <v/>
      </c>
      <c r="CD135" s="92" t="str">
        <f aca="false">IF(ISBLANK($C135),"",IF($BR135&lt;&gt;Constants!$B$8,$BR135,IF(ISNUMBER($CC135),RANK($CC135,$CC$9:$CC$508,1),COUNT($CC$9:$CC$508)+1)))</f>
        <v/>
      </c>
      <c r="CE135" s="96" t="str">
        <f aca="false">IF($BR135&lt;&gt;Constants!$B$8,"",IF(AND(NOT($AL135),NOT($AT135),$AJ135,$AK135,$AR135,$AS135),"",$AI135))</f>
        <v/>
      </c>
      <c r="CF135" s="92" t="str">
        <f aca="false">IF(ISBLANK($C135),"",IF($BR135&lt;&gt;Constants!$B$8,$BR135,IF(ISNUMBER($CE135),RANK($CE135,$CE$9:$CE$508,1),COUNT($CE$9:$CE$508)+1)))</f>
        <v/>
      </c>
      <c r="CG135" s="92" t="str">
        <f aca="false">IF(ISBLANK($C135),"",IF($BR135&lt;&gt;Constants!$B$8,$BR135,COUNTIFS($BX$9:$BX$508,"&lt;"&amp;$BX135)+COUNTIFS($BX$9:$BX$508,$BX135,$BZ$9:$BZ$508,"&lt;"&amp;$BZ135)+COUNTIFS($BX$9:$BX$508,$BX135,$BZ$9:$BZ$508,$BZ135,$CB$9:$CB$508,"&lt;"&amp;$CB135)+COUNTIFS($BX$9:$BX$508,$BX135,$BZ$9:$BZ$508,$BZ135,$CB$9:$CB$508,$CB135,$CD$9:$CD$508,"&lt;"&amp;$CD135)+COUNTIFS($BX$9:$BX$508,$BX135,$BZ$9:$BZ$508,$BZ135,$CB$9:$CB$508,$CB135,$CD$9:$CD$508,$CD135,$CF$9:$CF$508,"&lt;"&amp;$CF135)+1))</f>
        <v/>
      </c>
      <c r="CH135" s="92" t="str">
        <f aca="false">IF(ISBLANK($C135),"",IF($BR135&lt;&gt;Constants!$B$8,$BR135,$BX135-$CG135))</f>
        <v/>
      </c>
      <c r="CI135" s="98"/>
      <c r="CJ135" s="99"/>
      <c r="CK135" s="100" t="str">
        <f aca="false">IF(ISBLANK($C135),"",IF($BR135=Constants!$B$12,$BQ135,""))</f>
        <v/>
      </c>
      <c r="CL135" s="99" t="str">
        <f aca="false">IF(ISBLANK($C135),"",IF($BR135&lt;&gt;Constants!$B$8,"",IF($BI135="-&gt;",2,1)))</f>
        <v/>
      </c>
      <c r="CM135" s="101" t="str">
        <f aca="false">IF(ISBLANK($C135),"",IF($BR135&lt;&gt;Constants!$B$8,"",IF($BI135="-&gt;",$BK135,$BC135)))</f>
        <v/>
      </c>
      <c r="CN135" s="101" t="str">
        <f aca="false">IF(ISBLANK($C135),"",IF($BR135&lt;&gt;Constants!$B$8,"",IF($BI135="-&gt;",$BL135,$BD135)))</f>
        <v/>
      </c>
      <c r="CO135" s="101" t="str">
        <f aca="false">IF(ISBLANK($C135),"",IF($BR135&lt;&gt;Constants!$B$8,"",IF($BI135="-&gt;",$BM135+$BN135,$BE135+$BF135)+$BV135))</f>
        <v/>
      </c>
      <c r="CP135" s="101" t="str">
        <f aca="false">IF(ISBLANK($C135),"",IF($BR135&lt;&gt;Constants!$B$8,"",IF($BI135="-&gt;",$BO135,$BG135)+$BU135))</f>
        <v/>
      </c>
      <c r="CQ135" s="102" t="str">
        <f aca="false">IF(ISBLANK($C135),"",IF($BR135&lt;&gt;Constants!$B$8,$BR135,$BW135))</f>
        <v/>
      </c>
      <c r="CR135" s="103" t="str">
        <f aca="false">IF(ISBLANK($C135),"",$BS135)</f>
        <v/>
      </c>
      <c r="CS135" s="104" t="str">
        <f aca="false">IF(ISBLANK($C135),"",$CH135)</f>
        <v/>
      </c>
      <c r="CT135" s="104" t="str">
        <f aca="false">IF(ISBLANK($C135),"",$CG135)</f>
        <v/>
      </c>
      <c r="CU135" s="105" t="str">
        <f aca="false">IF(ISBLANK($C135),"",IFERROR(_xlfn.SWITCH($CT135,Constants!$B$11,COUNTA($C$9:$C$508)+2,Constants!$B$10,COUNTA($C$9:$C$508)+1,Constants!$B$9,COUNTA($C$9:$C$508)),$CT135))</f>
        <v/>
      </c>
      <c r="CV135" s="9"/>
      <c r="CW135" s="106" t="n">
        <f aca="false">IF(OR(ISNUMBER($CT135),$CT135=Constants!$B$11,$CT135=Constants!$B$9,$CT135=Constants!$B$10),1,0)</f>
        <v>0</v>
      </c>
      <c r="CX135" s="106" t="n">
        <v>127</v>
      </c>
      <c r="CY135" s="106" t="str">
        <f aca="false">IF(ISBLANK($C135),"",IF(ISNUMBER($CU135),$CU135+ROW($B135)/1000,""))</f>
        <v/>
      </c>
      <c r="CZ135" s="106" t="str">
        <f aca="false">IF(ISNUMBER($CY135),RANK($CY135,$CY$9:$CY$508,1),"")</f>
        <v/>
      </c>
      <c r="DA135" s="106" t="str">
        <f aca="false">IF(ISBLANK($C135),"",$B135)</f>
        <v/>
      </c>
      <c r="DB135" s="106" t="str">
        <f aca="false">IF(ISBLANK($C135),"",$C135)</f>
        <v/>
      </c>
      <c r="DC135" s="106" t="str">
        <f aca="false">IF(ISBLANK($C135),"",$D135)</f>
        <v/>
      </c>
      <c r="DD135" s="107" t="str">
        <f aca="false">$CR135</f>
        <v/>
      </c>
      <c r="DE135" s="108" t="str">
        <f aca="false">$CQ135</f>
        <v/>
      </c>
      <c r="DF135" s="106" t="str">
        <f aca="false">IF(ISBLANK($C135),"",$CT135)</f>
        <v/>
      </c>
      <c r="DG135" s="109" t="str">
        <f aca="false">IF($CX135&gt;$CW$8,"",VLOOKUP($CX135,$CZ$9:$DF$508,7,FALSE()))</f>
        <v/>
      </c>
      <c r="DH135" s="110" t="str">
        <f aca="false">IF($CX135&gt;$CW$8,"",VLOOKUP($CX135,$CZ$9:$DF$508,2,FALSE()))</f>
        <v/>
      </c>
      <c r="DI135" s="110" t="str">
        <f aca="false">IF($CX135&gt;$CW$8,"",VLOOKUP($CX135,$CZ$9:$DF$508,3,FALSE()))</f>
        <v/>
      </c>
      <c r="DJ135" s="110" t="str">
        <f aca="false">IF($CX135&gt;$CW$8,"",VLOOKUP($CX135,$CZ$9:$DF$508,4,FALSE()))</f>
        <v/>
      </c>
      <c r="DK135" s="110" t="str">
        <f aca="false">IF($CX135&gt;$CW$8,"",VLOOKUP($CX135,$CZ$9:$DF$508,5,FALSE()))</f>
        <v/>
      </c>
      <c r="DL135" s="111" t="str">
        <f aca="false">IF($CX135&gt;$CW$8,"",VLOOKUP($CX135,$CZ$9:$DF$508,6,FALSE()))</f>
        <v/>
      </c>
      <c r="DM135" s="75"/>
    </row>
    <row r="136" customFormat="false" ht="15.75" hidden="false" customHeight="false" outlineLevel="0" collapsed="false">
      <c r="A136" s="9"/>
      <c r="B136" s="77"/>
      <c r="C136" s="78"/>
      <c r="D136" s="167"/>
      <c r="E136" s="175"/>
      <c r="F136" s="169"/>
      <c r="G136" s="170"/>
      <c r="H136" s="170"/>
      <c r="I136" s="176"/>
      <c r="J136" s="173"/>
      <c r="K136" s="85"/>
      <c r="L136" s="86"/>
      <c r="M136" s="87"/>
      <c r="N136" s="173"/>
      <c r="O136" s="173"/>
      <c r="P136" s="175"/>
      <c r="Q136" s="173"/>
      <c r="R136" s="173"/>
      <c r="S136" s="85"/>
      <c r="T136" s="87"/>
      <c r="U136" s="87"/>
      <c r="V136" s="173"/>
      <c r="W136" s="173"/>
      <c r="X136" s="175"/>
      <c r="Y136" s="173"/>
      <c r="Z136" s="174"/>
      <c r="AA136" s="173"/>
      <c r="AB136" s="91"/>
      <c r="AC136" s="92"/>
      <c r="AD136" s="92"/>
      <c r="AE136" s="92"/>
      <c r="AF136" s="92" t="str">
        <f aca="false">IF(ISBLANK($C136),"",IF(E136=Constants!$B$3,TRUE(),IF(E136=Constants!$B$4,FALSE(),TRUE())))</f>
        <v/>
      </c>
      <c r="AG136" s="92" t="str">
        <f aca="false">IF(ISBLANK($C136),"",IF(F136=Constants!$B$3,TRUE(),IF(F136=Constants!$B$4,FALSE(),TRUE())))</f>
        <v/>
      </c>
      <c r="AH136" s="92" t="str">
        <f aca="false">IF(ISBLANK($C136),"",IF(G136=Constants!$B$3,TRUE(),IF(G136=Constants!$B$4,FALSE(),TRUE())))</f>
        <v/>
      </c>
      <c r="AI136" s="92" t="str">
        <f aca="false">IF(ISBLANK($C136),"",IF(AND(ISNUMBER(H136),H136&gt;=0),H136,Constants!$B$29))</f>
        <v/>
      </c>
      <c r="AJ136" s="92" t="str">
        <f aca="false">IF(ISBLANK($C136),"",IF(I136=Constants!$B$3,TRUE(),IF(I136=Constants!$B$4,FALSE(),TRUE())))</f>
        <v/>
      </c>
      <c r="AK136" s="92" t="str">
        <f aca="false">IF(ISBLANK($C136),"",IF(J136=Constants!$B$3,TRUE(),IF(J136=Constants!$B$4,FALSE(),TRUE())))</f>
        <v/>
      </c>
      <c r="AL136" s="92" t="str">
        <f aca="false">IF(ISBLANK($C136),"",IF(K136=Constants!$B$5,TRUE(),IF(K136=Constants!$B$6,FALSE(),COUNTA(L136:P136)&gt;0)))</f>
        <v/>
      </c>
      <c r="AM136" s="94" t="str">
        <f aca="false">IF(ISBLANK($C136),"",IF(ISNUMBER(L136),IF(L136&gt;=0,L136,""),""))</f>
        <v/>
      </c>
      <c r="AN136" s="93" t="str">
        <f aca="false">IF(ISBLANK($C136),"",IF(ISNUMBER(M136),IF(M136&gt;=0,M136,""),""))</f>
        <v/>
      </c>
      <c r="AO136" s="93" t="str">
        <f aca="false">IF(ISBLANK($C136),"",IF(N136=Constants!$B$3,TRUE(),IF(N136=Constants!$B$4,FALSE(),TRUE())))</f>
        <v/>
      </c>
      <c r="AP136" s="92" t="str">
        <f aca="false">IF(ISBLANK($C136),"",IF(ISNUMBER(O136),IF(O136&gt;=0,O136,""),""))</f>
        <v/>
      </c>
      <c r="AQ136" s="92" t="str">
        <f aca="false">IF(ISBLANK($C136),"",IF(P136=Constants!$B$3,TRUE(),IF(P136=Constants!$B$4,FALSE(),FALSE())))</f>
        <v/>
      </c>
      <c r="AR136" s="92" t="str">
        <f aca="false">IF(ISBLANK($C136),"",IF(Q136=Constants!$B$3,TRUE(),IF(Q136=Constants!$B$4,FALSE(),TRUE())))</f>
        <v/>
      </c>
      <c r="AS136" s="92" t="str">
        <f aca="false">IF(ISBLANK($C136),"",IF(R136=Constants!$B$3,TRUE(),IF(R136=Constants!$B$4,FALSE(),TRUE())))</f>
        <v/>
      </c>
      <c r="AT136" s="92" t="str">
        <f aca="false">IF(ISBLANK($C136),"",IF(S136=Constants!$B$5,TRUE(),IF(S136=Constants!$B$6,FALSE(),COUNTA(T136:X136)&gt;0)))</f>
        <v/>
      </c>
      <c r="AU136" s="94" t="str">
        <f aca="false">IF(ISBLANK($C136),"",IF(ISNUMBER(T136),IF(T136&gt;=0,T136,""),""))</f>
        <v/>
      </c>
      <c r="AV136" s="93" t="str">
        <f aca="false">IF(ISBLANK($C136),"",IF(ISNUMBER(U136),IF(U136&gt;=0,U136,""),""))</f>
        <v/>
      </c>
      <c r="AW136" s="93" t="str">
        <f aca="false">IF(ISBLANK($C136),"",IF(V136=Constants!$B$3,TRUE(),IF(V136=Constants!$B$4,FALSE(),TRUE())))</f>
        <v/>
      </c>
      <c r="AX136" s="92" t="str">
        <f aca="false">IF(ISBLANK($C136),"",IF(ISNUMBER(W136),IF(W136&gt;=0,W136,""),""))</f>
        <v/>
      </c>
      <c r="AY136" s="92" t="str">
        <f aca="false">IF(ISBLANK($C136),"",IF(X136=Constants!$B$3,TRUE(),IF(X136=Constants!$B$4,FALSE(),FALSE())))</f>
        <v/>
      </c>
      <c r="AZ136" s="92" t="str">
        <f aca="false">IF(ISBLANK($C136),"",MIN(Constants!$B$31,MAX(0,IF(ISNUMBER(Y136),Y136*60,0)+IF(ISNUMBER(Z136),Z136,0))))</f>
        <v/>
      </c>
      <c r="BA136" s="92" t="str">
        <f aca="false">IF(ISBLANK($C136),"",IF(AA136=Constants!$B$3,TRUE(),IF(AA136=Constants!$B$4,FALSE(),FALSE())))</f>
        <v/>
      </c>
      <c r="BB136" s="91" t="str">
        <f aca="false">IF(ISBLANK($C136),"",AND($AL136,OR($AM136="",$AN136="",AND($AO136,$AP136=""))))</f>
        <v/>
      </c>
      <c r="BC136" s="93" t="str">
        <f aca="false">IF($BR136&lt;&gt;Constants!$B$8,"",IF($AL136,Constants!$B$21*$AN136+Constants!$B$22*IF($AO136,$AP136,Constants!$B$23),Constants!$B$24))</f>
        <v/>
      </c>
      <c r="BD136" s="96" t="str">
        <f aca="false">IF($BR136&lt;&gt;Constants!$B$8,"",Constants!$B$25*ABS($AD$9-IF($AL136,$AM136,0)))</f>
        <v/>
      </c>
      <c r="BE136" s="96" t="str">
        <f aca="false">IF($BR136&lt;&gt;Constants!$B$8,"",IF(AND($AL136,$AQ136,$AO136),Constants!$B$27,0))</f>
        <v/>
      </c>
      <c r="BF136" s="96" t="str">
        <f aca="false">IF($BR136&lt;&gt;Constants!$B$8,"",IF($AL136,($AI136-Constants!$B$29)*Constants!$B$28,0))</f>
        <v/>
      </c>
      <c r="BG136" s="96" t="str">
        <f aca="false">IF($BR136&lt;&gt;Constants!$B$8,"",IF($AK136,0,Constants!$B$15)+IF($AJ136,0,Constants!$B$16)+IF($AH136,0,Constants!$B$17))</f>
        <v/>
      </c>
      <c r="BH136" s="97" t="str">
        <f aca="false">IF($BR136&lt;&gt;Constants!$B$8,"",Constants!$B$20+SUM($BC136:$BG136))</f>
        <v/>
      </c>
      <c r="BI136" s="92" t="str">
        <f aca="false">IF($BR136&lt;&gt;Constants!$B$8,"",IF(OR($BP136&lt;$BH136,AND($BP136=$BH136,OR($BK136&lt;$BC136,AND($BK136=$BC136,OR($BL136&lt;$BD136,AND($BL136=$BD136,$AT136,$AL136,$AV136&lt;$AN136)))))),"-&gt;","&lt;-"))</f>
        <v/>
      </c>
      <c r="BJ136" s="91" t="str">
        <f aca="false">IF(ISBLANK($C136),"",AND($AT136,OR($AU136="",$AV136="",AND($AW136,$AX136=""))))</f>
        <v/>
      </c>
      <c r="BK136" s="93" t="str">
        <f aca="false">IF($BR136&lt;&gt;Constants!$B$8,"",IF($AT136,Constants!$B$21*$AV136+Constants!$B$22*IF($AW136,$AX136,Constants!$B$23),Constants!$B$24))</f>
        <v/>
      </c>
      <c r="BL136" s="96" t="str">
        <f aca="false">IF($BR136&lt;&gt;Constants!$B$8,"",Constants!$B$25*ABS($AD$9-IF($AT136,$AU136,0)))</f>
        <v/>
      </c>
      <c r="BM136" s="96" t="str">
        <f aca="false">IF($BR136&lt;&gt;Constants!$B$8,"",IF(AND($AT136,$AY136,$AW136),Constants!$B$27,0))</f>
        <v/>
      </c>
      <c r="BN136" s="96" t="str">
        <f aca="false">IF($BR136&lt;&gt;Constants!$B$8,"",IF($AT136,($AI136-Constants!$B$29)*Constants!$B$28,0))</f>
        <v/>
      </c>
      <c r="BO136" s="96" t="str">
        <f aca="false">IF($BR136&lt;&gt;Constants!$B$8,"",IF($AS136,0,Constants!$B$15)+IF($AR136,0,Constants!$B$16)+IF($AH136,0,Constants!$B$17))</f>
        <v/>
      </c>
      <c r="BP136" s="97" t="str">
        <f aca="false">IF($BR136&lt;&gt;Constants!$B$8,"",Constants!$B$20+SUM($BK136:$BO136))</f>
        <v/>
      </c>
      <c r="BQ136" s="92" t="str">
        <f aca="false">IF(ISBLANK($C136),"",IF(ISBLANK($D$7),$BQ$5,IF(NOT(ISNUMBER($D$7)),$BQ$6,"")))</f>
        <v/>
      </c>
      <c r="BR136" s="92" t="str">
        <f aca="false">IF(ISBLANK($C136),"",IF($BA136,Constants!$B$11,IF(COUNTA($E136:$AA136)=0,Constants!$B$10,IF(NOT($AG136),Constants!$B$9,IF(OR($BQ136&lt;&gt;"",$BB136,$BJ136),Constants!$B$12,Constants!$B$8)))))</f>
        <v/>
      </c>
      <c r="BS136" s="92" t="str">
        <f aca="false">IF(ISBLANK($C136),"",IF($BR136&lt;&gt;Constants!$B$8,$BR136,Constants!$B$13))</f>
        <v/>
      </c>
      <c r="BT136" s="96" t="str">
        <f aca="false">IF($BR136&lt;&gt;Constants!$B$8,"",IF($BI136="-&gt;",$BP136,$BH136))</f>
        <v/>
      </c>
      <c r="BU136" s="96" t="str">
        <f aca="false">IF($BR136&lt;&gt;Constants!$B$8,"",IF($AF136,0,Constants!$B$18))</f>
        <v/>
      </c>
      <c r="BV136" s="96" t="str">
        <f aca="false">IF($BR136&lt;&gt;Constants!$B$8,"",((Constants!$B$31-$AZ136)-Constants!$B$31)/Constants!$B$32)</f>
        <v/>
      </c>
      <c r="BW136" s="96" t="str">
        <f aca="false">IF(ISBLANK($C136),"",IF($BR136&lt;&gt;Constants!$B$8,$BR136,SUM($BT136:$BV136)))</f>
        <v/>
      </c>
      <c r="BX136" s="92" t="str">
        <f aca="false">IF(ISBLANK($C136),"",IF($BR136&lt;&gt;Constants!$B$8,$BR136,RANK($BW136,$BW$9:$BW$508,1)))</f>
        <v/>
      </c>
      <c r="BY136" s="96" t="str">
        <f aca="false">IF($BR136&lt;&gt;Constants!$B$8,"",IF($BI136="-&gt;",$BK136,$BC136))</f>
        <v/>
      </c>
      <c r="BZ136" s="92" t="str">
        <f aca="false">IF(ISBLANK($C136),"",IF($BR136&lt;&gt;Constants!$B$8,$BR136,IF(ISNUMBER($BY136),RANK($BY136,$BY$9:$BY$508,1),COUNT($BY$9:$BY$508)+1)))</f>
        <v/>
      </c>
      <c r="CA136" s="96" t="str">
        <f aca="false">IF($BR136&lt;&gt;Constants!$B$8,"",IF($BI136="-&gt;",$BL136,$BD136))</f>
        <v/>
      </c>
      <c r="CB136" s="92" t="str">
        <f aca="false">IF(ISBLANK($C136),"",IF($BR136&lt;&gt;Constants!$B$8,$BR136,IF(ISNUMBER($CA136),RANK($CA136,$CA$9:$CA$508,1),COUNT($CA$9:$CA$508)+1)))</f>
        <v/>
      </c>
      <c r="CC136" s="96" t="str">
        <f aca="false">IF($BR136&lt;&gt;Constants!$B$8,"",IF($BI136="-&gt;",IF($AT136,$AV136,""),IF($AL136,$AN136,"")))</f>
        <v/>
      </c>
      <c r="CD136" s="92" t="str">
        <f aca="false">IF(ISBLANK($C136),"",IF($BR136&lt;&gt;Constants!$B$8,$BR136,IF(ISNUMBER($CC136),RANK($CC136,$CC$9:$CC$508,1),COUNT($CC$9:$CC$508)+1)))</f>
        <v/>
      </c>
      <c r="CE136" s="96" t="str">
        <f aca="false">IF($BR136&lt;&gt;Constants!$B$8,"",IF(AND(NOT($AL136),NOT($AT136),$AJ136,$AK136,$AR136,$AS136),"",$AI136))</f>
        <v/>
      </c>
      <c r="CF136" s="92" t="str">
        <f aca="false">IF(ISBLANK($C136),"",IF($BR136&lt;&gt;Constants!$B$8,$BR136,IF(ISNUMBER($CE136),RANK($CE136,$CE$9:$CE$508,1),COUNT($CE$9:$CE$508)+1)))</f>
        <v/>
      </c>
      <c r="CG136" s="92" t="str">
        <f aca="false">IF(ISBLANK($C136),"",IF($BR136&lt;&gt;Constants!$B$8,$BR136,COUNTIFS($BX$9:$BX$508,"&lt;"&amp;$BX136)+COUNTIFS($BX$9:$BX$508,$BX136,$BZ$9:$BZ$508,"&lt;"&amp;$BZ136)+COUNTIFS($BX$9:$BX$508,$BX136,$BZ$9:$BZ$508,$BZ136,$CB$9:$CB$508,"&lt;"&amp;$CB136)+COUNTIFS($BX$9:$BX$508,$BX136,$BZ$9:$BZ$508,$BZ136,$CB$9:$CB$508,$CB136,$CD$9:$CD$508,"&lt;"&amp;$CD136)+COUNTIFS($BX$9:$BX$508,$BX136,$BZ$9:$BZ$508,$BZ136,$CB$9:$CB$508,$CB136,$CD$9:$CD$508,$CD136,$CF$9:$CF$508,"&lt;"&amp;$CF136)+1))</f>
        <v/>
      </c>
      <c r="CH136" s="92" t="str">
        <f aca="false">IF(ISBLANK($C136),"",IF($BR136&lt;&gt;Constants!$B$8,$BR136,$BX136-$CG136))</f>
        <v/>
      </c>
      <c r="CI136" s="98"/>
      <c r="CJ136" s="99"/>
      <c r="CK136" s="100" t="str">
        <f aca="false">IF(ISBLANK($C136),"",IF($BR136=Constants!$B$12,$BQ136,""))</f>
        <v/>
      </c>
      <c r="CL136" s="99" t="str">
        <f aca="false">IF(ISBLANK($C136),"",IF($BR136&lt;&gt;Constants!$B$8,"",IF($BI136="-&gt;",2,1)))</f>
        <v/>
      </c>
      <c r="CM136" s="101" t="str">
        <f aca="false">IF(ISBLANK($C136),"",IF($BR136&lt;&gt;Constants!$B$8,"",IF($BI136="-&gt;",$BK136,$BC136)))</f>
        <v/>
      </c>
      <c r="CN136" s="101" t="str">
        <f aca="false">IF(ISBLANK($C136),"",IF($BR136&lt;&gt;Constants!$B$8,"",IF($BI136="-&gt;",$BL136,$BD136)))</f>
        <v/>
      </c>
      <c r="CO136" s="101" t="str">
        <f aca="false">IF(ISBLANK($C136),"",IF($BR136&lt;&gt;Constants!$B$8,"",IF($BI136="-&gt;",$BM136+$BN136,$BE136+$BF136)+$BV136))</f>
        <v/>
      </c>
      <c r="CP136" s="101" t="str">
        <f aca="false">IF(ISBLANK($C136),"",IF($BR136&lt;&gt;Constants!$B$8,"",IF($BI136="-&gt;",$BO136,$BG136)+$BU136))</f>
        <v/>
      </c>
      <c r="CQ136" s="102" t="str">
        <f aca="false">IF(ISBLANK($C136),"",IF($BR136&lt;&gt;Constants!$B$8,$BR136,$BW136))</f>
        <v/>
      </c>
      <c r="CR136" s="103" t="str">
        <f aca="false">IF(ISBLANK($C136),"",$BS136)</f>
        <v/>
      </c>
      <c r="CS136" s="104" t="str">
        <f aca="false">IF(ISBLANK($C136),"",$CH136)</f>
        <v/>
      </c>
      <c r="CT136" s="104" t="str">
        <f aca="false">IF(ISBLANK($C136),"",$CG136)</f>
        <v/>
      </c>
      <c r="CU136" s="105" t="str">
        <f aca="false">IF(ISBLANK($C136),"",IFERROR(_xlfn.SWITCH($CT136,Constants!$B$11,COUNTA($C$9:$C$508)+2,Constants!$B$10,COUNTA($C$9:$C$508)+1,Constants!$B$9,COUNTA($C$9:$C$508)),$CT136))</f>
        <v/>
      </c>
      <c r="CV136" s="9"/>
      <c r="CW136" s="106" t="n">
        <f aca="false">IF(OR(ISNUMBER($CT136),$CT136=Constants!$B$11,$CT136=Constants!$B$9,$CT136=Constants!$B$10),1,0)</f>
        <v>0</v>
      </c>
      <c r="CX136" s="106" t="n">
        <v>128</v>
      </c>
      <c r="CY136" s="106" t="str">
        <f aca="false">IF(ISBLANK($C136),"",IF(ISNUMBER($CU136),$CU136+ROW($B136)/1000,""))</f>
        <v/>
      </c>
      <c r="CZ136" s="106" t="str">
        <f aca="false">IF(ISNUMBER($CY136),RANK($CY136,$CY$9:$CY$508,1),"")</f>
        <v/>
      </c>
      <c r="DA136" s="106" t="str">
        <f aca="false">IF(ISBLANK($C136),"",$B136)</f>
        <v/>
      </c>
      <c r="DB136" s="106" t="str">
        <f aca="false">IF(ISBLANK($C136),"",$C136)</f>
        <v/>
      </c>
      <c r="DC136" s="106" t="str">
        <f aca="false">IF(ISBLANK($C136),"",$D136)</f>
        <v/>
      </c>
      <c r="DD136" s="107" t="str">
        <f aca="false">$CR136</f>
        <v/>
      </c>
      <c r="DE136" s="108" t="str">
        <f aca="false">$CQ136</f>
        <v/>
      </c>
      <c r="DF136" s="106" t="str">
        <f aca="false">IF(ISBLANK($C136),"",$CT136)</f>
        <v/>
      </c>
      <c r="DG136" s="109" t="str">
        <f aca="false">IF($CX136&gt;$CW$8,"",VLOOKUP($CX136,$CZ$9:$DF$508,7,FALSE()))</f>
        <v/>
      </c>
      <c r="DH136" s="110" t="str">
        <f aca="false">IF($CX136&gt;$CW$8,"",VLOOKUP($CX136,$CZ$9:$DF$508,2,FALSE()))</f>
        <v/>
      </c>
      <c r="DI136" s="110" t="str">
        <f aca="false">IF($CX136&gt;$CW$8,"",VLOOKUP($CX136,$CZ$9:$DF$508,3,FALSE()))</f>
        <v/>
      </c>
      <c r="DJ136" s="110" t="str">
        <f aca="false">IF($CX136&gt;$CW$8,"",VLOOKUP($CX136,$CZ$9:$DF$508,4,FALSE()))</f>
        <v/>
      </c>
      <c r="DK136" s="110" t="str">
        <f aca="false">IF($CX136&gt;$CW$8,"",VLOOKUP($CX136,$CZ$9:$DF$508,5,FALSE()))</f>
        <v/>
      </c>
      <c r="DL136" s="111" t="str">
        <f aca="false">IF($CX136&gt;$CW$8,"",VLOOKUP($CX136,$CZ$9:$DF$508,6,FALSE()))</f>
        <v/>
      </c>
      <c r="DM136" s="75"/>
    </row>
    <row r="137" customFormat="false" ht="15.75" hidden="false" customHeight="false" outlineLevel="0" collapsed="false">
      <c r="A137" s="9"/>
      <c r="B137" s="77"/>
      <c r="C137" s="78"/>
      <c r="D137" s="167"/>
      <c r="E137" s="175"/>
      <c r="F137" s="169"/>
      <c r="G137" s="170"/>
      <c r="H137" s="170"/>
      <c r="I137" s="176"/>
      <c r="J137" s="173"/>
      <c r="K137" s="85"/>
      <c r="L137" s="86"/>
      <c r="M137" s="87"/>
      <c r="N137" s="173"/>
      <c r="O137" s="173"/>
      <c r="P137" s="175"/>
      <c r="Q137" s="173"/>
      <c r="R137" s="173"/>
      <c r="S137" s="85"/>
      <c r="T137" s="87"/>
      <c r="U137" s="87"/>
      <c r="V137" s="173"/>
      <c r="W137" s="173"/>
      <c r="X137" s="175"/>
      <c r="Y137" s="173"/>
      <c r="Z137" s="174"/>
      <c r="AA137" s="173"/>
      <c r="AB137" s="91"/>
      <c r="AC137" s="92"/>
      <c r="AD137" s="92"/>
      <c r="AE137" s="92"/>
      <c r="AF137" s="92" t="str">
        <f aca="false">IF(ISBLANK($C137),"",IF(E137=Constants!$B$3,TRUE(),IF(E137=Constants!$B$4,FALSE(),TRUE())))</f>
        <v/>
      </c>
      <c r="AG137" s="92" t="str">
        <f aca="false">IF(ISBLANK($C137),"",IF(F137=Constants!$B$3,TRUE(),IF(F137=Constants!$B$4,FALSE(),TRUE())))</f>
        <v/>
      </c>
      <c r="AH137" s="92" t="str">
        <f aca="false">IF(ISBLANK($C137),"",IF(G137=Constants!$B$3,TRUE(),IF(G137=Constants!$B$4,FALSE(),TRUE())))</f>
        <v/>
      </c>
      <c r="AI137" s="92" t="str">
        <f aca="false">IF(ISBLANK($C137),"",IF(AND(ISNUMBER(H137),H137&gt;=0),H137,Constants!$B$29))</f>
        <v/>
      </c>
      <c r="AJ137" s="92" t="str">
        <f aca="false">IF(ISBLANK($C137),"",IF(I137=Constants!$B$3,TRUE(),IF(I137=Constants!$B$4,FALSE(),TRUE())))</f>
        <v/>
      </c>
      <c r="AK137" s="92" t="str">
        <f aca="false">IF(ISBLANK($C137),"",IF(J137=Constants!$B$3,TRUE(),IF(J137=Constants!$B$4,FALSE(),TRUE())))</f>
        <v/>
      </c>
      <c r="AL137" s="92" t="str">
        <f aca="false">IF(ISBLANK($C137),"",IF(K137=Constants!$B$5,TRUE(),IF(K137=Constants!$B$6,FALSE(),COUNTA(L137:P137)&gt;0)))</f>
        <v/>
      </c>
      <c r="AM137" s="94" t="str">
        <f aca="false">IF(ISBLANK($C137),"",IF(ISNUMBER(L137),IF(L137&gt;=0,L137,""),""))</f>
        <v/>
      </c>
      <c r="AN137" s="93" t="str">
        <f aca="false">IF(ISBLANK($C137),"",IF(ISNUMBER(M137),IF(M137&gt;=0,M137,""),""))</f>
        <v/>
      </c>
      <c r="AO137" s="93" t="str">
        <f aca="false">IF(ISBLANK($C137),"",IF(N137=Constants!$B$3,TRUE(),IF(N137=Constants!$B$4,FALSE(),TRUE())))</f>
        <v/>
      </c>
      <c r="AP137" s="92" t="str">
        <f aca="false">IF(ISBLANK($C137),"",IF(ISNUMBER(O137),IF(O137&gt;=0,O137,""),""))</f>
        <v/>
      </c>
      <c r="AQ137" s="92" t="str">
        <f aca="false">IF(ISBLANK($C137),"",IF(P137=Constants!$B$3,TRUE(),IF(P137=Constants!$B$4,FALSE(),FALSE())))</f>
        <v/>
      </c>
      <c r="AR137" s="92" t="str">
        <f aca="false">IF(ISBLANK($C137),"",IF(Q137=Constants!$B$3,TRUE(),IF(Q137=Constants!$B$4,FALSE(),TRUE())))</f>
        <v/>
      </c>
      <c r="AS137" s="92" t="str">
        <f aca="false">IF(ISBLANK($C137),"",IF(R137=Constants!$B$3,TRUE(),IF(R137=Constants!$B$4,FALSE(),TRUE())))</f>
        <v/>
      </c>
      <c r="AT137" s="92" t="str">
        <f aca="false">IF(ISBLANK($C137),"",IF(S137=Constants!$B$5,TRUE(),IF(S137=Constants!$B$6,FALSE(),COUNTA(T137:X137)&gt;0)))</f>
        <v/>
      </c>
      <c r="AU137" s="94" t="str">
        <f aca="false">IF(ISBLANK($C137),"",IF(ISNUMBER(T137),IF(T137&gt;=0,T137,""),""))</f>
        <v/>
      </c>
      <c r="AV137" s="93" t="str">
        <f aca="false">IF(ISBLANK($C137),"",IF(ISNUMBER(U137),IF(U137&gt;=0,U137,""),""))</f>
        <v/>
      </c>
      <c r="AW137" s="93" t="str">
        <f aca="false">IF(ISBLANK($C137),"",IF(V137=Constants!$B$3,TRUE(),IF(V137=Constants!$B$4,FALSE(),TRUE())))</f>
        <v/>
      </c>
      <c r="AX137" s="92" t="str">
        <f aca="false">IF(ISBLANK($C137),"",IF(ISNUMBER(W137),IF(W137&gt;=0,W137,""),""))</f>
        <v/>
      </c>
      <c r="AY137" s="92" t="str">
        <f aca="false">IF(ISBLANK($C137),"",IF(X137=Constants!$B$3,TRUE(),IF(X137=Constants!$B$4,FALSE(),FALSE())))</f>
        <v/>
      </c>
      <c r="AZ137" s="92" t="str">
        <f aca="false">IF(ISBLANK($C137),"",MIN(Constants!$B$31,MAX(0,IF(ISNUMBER(Y137),Y137*60,0)+IF(ISNUMBER(Z137),Z137,0))))</f>
        <v/>
      </c>
      <c r="BA137" s="92" t="str">
        <f aca="false">IF(ISBLANK($C137),"",IF(AA137=Constants!$B$3,TRUE(),IF(AA137=Constants!$B$4,FALSE(),FALSE())))</f>
        <v/>
      </c>
      <c r="BB137" s="91" t="str">
        <f aca="false">IF(ISBLANK($C137),"",AND($AL137,OR($AM137="",$AN137="",AND($AO137,$AP137=""))))</f>
        <v/>
      </c>
      <c r="BC137" s="93" t="str">
        <f aca="false">IF($BR137&lt;&gt;Constants!$B$8,"",IF($AL137,Constants!$B$21*$AN137+Constants!$B$22*IF($AO137,$AP137,Constants!$B$23),Constants!$B$24))</f>
        <v/>
      </c>
      <c r="BD137" s="96" t="str">
        <f aca="false">IF($BR137&lt;&gt;Constants!$B$8,"",Constants!$B$25*ABS($AD$9-IF($AL137,$AM137,0)))</f>
        <v/>
      </c>
      <c r="BE137" s="96" t="str">
        <f aca="false">IF($BR137&lt;&gt;Constants!$B$8,"",IF(AND($AL137,$AQ137,$AO137),Constants!$B$27,0))</f>
        <v/>
      </c>
      <c r="BF137" s="96" t="str">
        <f aca="false">IF($BR137&lt;&gt;Constants!$B$8,"",IF($AL137,($AI137-Constants!$B$29)*Constants!$B$28,0))</f>
        <v/>
      </c>
      <c r="BG137" s="96" t="str">
        <f aca="false">IF($BR137&lt;&gt;Constants!$B$8,"",IF($AK137,0,Constants!$B$15)+IF($AJ137,0,Constants!$B$16)+IF($AH137,0,Constants!$B$17))</f>
        <v/>
      </c>
      <c r="BH137" s="97" t="str">
        <f aca="false">IF($BR137&lt;&gt;Constants!$B$8,"",Constants!$B$20+SUM($BC137:$BG137))</f>
        <v/>
      </c>
      <c r="BI137" s="92" t="str">
        <f aca="false">IF($BR137&lt;&gt;Constants!$B$8,"",IF(OR($BP137&lt;$BH137,AND($BP137=$BH137,OR($BK137&lt;$BC137,AND($BK137=$BC137,OR($BL137&lt;$BD137,AND($BL137=$BD137,$AT137,$AL137,$AV137&lt;$AN137)))))),"-&gt;","&lt;-"))</f>
        <v/>
      </c>
      <c r="BJ137" s="91" t="str">
        <f aca="false">IF(ISBLANK($C137),"",AND($AT137,OR($AU137="",$AV137="",AND($AW137,$AX137=""))))</f>
        <v/>
      </c>
      <c r="BK137" s="93" t="str">
        <f aca="false">IF($BR137&lt;&gt;Constants!$B$8,"",IF($AT137,Constants!$B$21*$AV137+Constants!$B$22*IF($AW137,$AX137,Constants!$B$23),Constants!$B$24))</f>
        <v/>
      </c>
      <c r="BL137" s="96" t="str">
        <f aca="false">IF($BR137&lt;&gt;Constants!$B$8,"",Constants!$B$25*ABS($AD$9-IF($AT137,$AU137,0)))</f>
        <v/>
      </c>
      <c r="BM137" s="96" t="str">
        <f aca="false">IF($BR137&lt;&gt;Constants!$B$8,"",IF(AND($AT137,$AY137,$AW137),Constants!$B$27,0))</f>
        <v/>
      </c>
      <c r="BN137" s="96" t="str">
        <f aca="false">IF($BR137&lt;&gt;Constants!$B$8,"",IF($AT137,($AI137-Constants!$B$29)*Constants!$B$28,0))</f>
        <v/>
      </c>
      <c r="BO137" s="96" t="str">
        <f aca="false">IF($BR137&lt;&gt;Constants!$B$8,"",IF($AS137,0,Constants!$B$15)+IF($AR137,0,Constants!$B$16)+IF($AH137,0,Constants!$B$17))</f>
        <v/>
      </c>
      <c r="BP137" s="97" t="str">
        <f aca="false">IF($BR137&lt;&gt;Constants!$B$8,"",Constants!$B$20+SUM($BK137:$BO137))</f>
        <v/>
      </c>
      <c r="BQ137" s="92" t="str">
        <f aca="false">IF(ISBLANK($C137),"",IF(ISBLANK($D$7),$BQ$5,IF(NOT(ISNUMBER($D$7)),$BQ$6,"")))</f>
        <v/>
      </c>
      <c r="BR137" s="92" t="str">
        <f aca="false">IF(ISBLANK($C137),"",IF($BA137,Constants!$B$11,IF(COUNTA($E137:$AA137)=0,Constants!$B$10,IF(NOT($AG137),Constants!$B$9,IF(OR($BQ137&lt;&gt;"",$BB137,$BJ137),Constants!$B$12,Constants!$B$8)))))</f>
        <v/>
      </c>
      <c r="BS137" s="92" t="str">
        <f aca="false">IF(ISBLANK($C137),"",IF($BR137&lt;&gt;Constants!$B$8,$BR137,Constants!$B$13))</f>
        <v/>
      </c>
      <c r="BT137" s="96" t="str">
        <f aca="false">IF($BR137&lt;&gt;Constants!$B$8,"",IF($BI137="-&gt;",$BP137,$BH137))</f>
        <v/>
      </c>
      <c r="BU137" s="96" t="str">
        <f aca="false">IF($BR137&lt;&gt;Constants!$B$8,"",IF($AF137,0,Constants!$B$18))</f>
        <v/>
      </c>
      <c r="BV137" s="96" t="str">
        <f aca="false">IF($BR137&lt;&gt;Constants!$B$8,"",((Constants!$B$31-$AZ137)-Constants!$B$31)/Constants!$B$32)</f>
        <v/>
      </c>
      <c r="BW137" s="96" t="str">
        <f aca="false">IF(ISBLANK($C137),"",IF($BR137&lt;&gt;Constants!$B$8,$BR137,SUM($BT137:$BV137)))</f>
        <v/>
      </c>
      <c r="BX137" s="92" t="str">
        <f aca="false">IF(ISBLANK($C137),"",IF($BR137&lt;&gt;Constants!$B$8,$BR137,RANK($BW137,$BW$9:$BW$508,1)))</f>
        <v/>
      </c>
      <c r="BY137" s="96" t="str">
        <f aca="false">IF($BR137&lt;&gt;Constants!$B$8,"",IF($BI137="-&gt;",$BK137,$BC137))</f>
        <v/>
      </c>
      <c r="BZ137" s="92" t="str">
        <f aca="false">IF(ISBLANK($C137),"",IF($BR137&lt;&gt;Constants!$B$8,$BR137,IF(ISNUMBER($BY137),RANK($BY137,$BY$9:$BY$508,1),COUNT($BY$9:$BY$508)+1)))</f>
        <v/>
      </c>
      <c r="CA137" s="96" t="str">
        <f aca="false">IF($BR137&lt;&gt;Constants!$B$8,"",IF($BI137="-&gt;",$BL137,$BD137))</f>
        <v/>
      </c>
      <c r="CB137" s="92" t="str">
        <f aca="false">IF(ISBLANK($C137),"",IF($BR137&lt;&gt;Constants!$B$8,$BR137,IF(ISNUMBER($CA137),RANK($CA137,$CA$9:$CA$508,1),COUNT($CA$9:$CA$508)+1)))</f>
        <v/>
      </c>
      <c r="CC137" s="96" t="str">
        <f aca="false">IF($BR137&lt;&gt;Constants!$B$8,"",IF($BI137="-&gt;",IF($AT137,$AV137,""),IF($AL137,$AN137,"")))</f>
        <v/>
      </c>
      <c r="CD137" s="92" t="str">
        <f aca="false">IF(ISBLANK($C137),"",IF($BR137&lt;&gt;Constants!$B$8,$BR137,IF(ISNUMBER($CC137),RANK($CC137,$CC$9:$CC$508,1),COUNT($CC$9:$CC$508)+1)))</f>
        <v/>
      </c>
      <c r="CE137" s="96" t="str">
        <f aca="false">IF($BR137&lt;&gt;Constants!$B$8,"",IF(AND(NOT($AL137),NOT($AT137),$AJ137,$AK137,$AR137,$AS137),"",$AI137))</f>
        <v/>
      </c>
      <c r="CF137" s="92" t="str">
        <f aca="false">IF(ISBLANK($C137),"",IF($BR137&lt;&gt;Constants!$B$8,$BR137,IF(ISNUMBER($CE137),RANK($CE137,$CE$9:$CE$508,1),COUNT($CE$9:$CE$508)+1)))</f>
        <v/>
      </c>
      <c r="CG137" s="92" t="str">
        <f aca="false">IF(ISBLANK($C137),"",IF($BR137&lt;&gt;Constants!$B$8,$BR137,COUNTIFS($BX$9:$BX$508,"&lt;"&amp;$BX137)+COUNTIFS($BX$9:$BX$508,$BX137,$BZ$9:$BZ$508,"&lt;"&amp;$BZ137)+COUNTIFS($BX$9:$BX$508,$BX137,$BZ$9:$BZ$508,$BZ137,$CB$9:$CB$508,"&lt;"&amp;$CB137)+COUNTIFS($BX$9:$BX$508,$BX137,$BZ$9:$BZ$508,$BZ137,$CB$9:$CB$508,$CB137,$CD$9:$CD$508,"&lt;"&amp;$CD137)+COUNTIFS($BX$9:$BX$508,$BX137,$BZ$9:$BZ$508,$BZ137,$CB$9:$CB$508,$CB137,$CD$9:$CD$508,$CD137,$CF$9:$CF$508,"&lt;"&amp;$CF137)+1))</f>
        <v/>
      </c>
      <c r="CH137" s="92" t="str">
        <f aca="false">IF(ISBLANK($C137),"",IF($BR137&lt;&gt;Constants!$B$8,$BR137,$BX137-$CG137))</f>
        <v/>
      </c>
      <c r="CI137" s="98"/>
      <c r="CJ137" s="99"/>
      <c r="CK137" s="100" t="str">
        <f aca="false">IF(ISBLANK($C137),"",IF($BR137=Constants!$B$12,$BQ137,""))</f>
        <v/>
      </c>
      <c r="CL137" s="99" t="str">
        <f aca="false">IF(ISBLANK($C137),"",IF($BR137&lt;&gt;Constants!$B$8,"",IF($BI137="-&gt;",2,1)))</f>
        <v/>
      </c>
      <c r="CM137" s="101" t="str">
        <f aca="false">IF(ISBLANK($C137),"",IF($BR137&lt;&gt;Constants!$B$8,"",IF($BI137="-&gt;",$BK137,$BC137)))</f>
        <v/>
      </c>
      <c r="CN137" s="101" t="str">
        <f aca="false">IF(ISBLANK($C137),"",IF($BR137&lt;&gt;Constants!$B$8,"",IF($BI137="-&gt;",$BL137,$BD137)))</f>
        <v/>
      </c>
      <c r="CO137" s="101" t="str">
        <f aca="false">IF(ISBLANK($C137),"",IF($BR137&lt;&gt;Constants!$B$8,"",IF($BI137="-&gt;",$BM137+$BN137,$BE137+$BF137)+$BV137))</f>
        <v/>
      </c>
      <c r="CP137" s="101" t="str">
        <f aca="false">IF(ISBLANK($C137),"",IF($BR137&lt;&gt;Constants!$B$8,"",IF($BI137="-&gt;",$BO137,$BG137)+$BU137))</f>
        <v/>
      </c>
      <c r="CQ137" s="102" t="str">
        <f aca="false">IF(ISBLANK($C137),"",IF($BR137&lt;&gt;Constants!$B$8,$BR137,$BW137))</f>
        <v/>
      </c>
      <c r="CR137" s="103" t="str">
        <f aca="false">IF(ISBLANK($C137),"",$BS137)</f>
        <v/>
      </c>
      <c r="CS137" s="104" t="str">
        <f aca="false">IF(ISBLANK($C137),"",$CH137)</f>
        <v/>
      </c>
      <c r="CT137" s="104" t="str">
        <f aca="false">IF(ISBLANK($C137),"",$CG137)</f>
        <v/>
      </c>
      <c r="CU137" s="105" t="str">
        <f aca="false">IF(ISBLANK($C137),"",IFERROR(_xlfn.SWITCH($CT137,Constants!$B$11,COUNTA($C$9:$C$508)+2,Constants!$B$10,COUNTA($C$9:$C$508)+1,Constants!$B$9,COUNTA($C$9:$C$508)),$CT137))</f>
        <v/>
      </c>
      <c r="CV137" s="9"/>
      <c r="CW137" s="106" t="n">
        <f aca="false">IF(OR(ISNUMBER($CT137),$CT137=Constants!$B$11,$CT137=Constants!$B$9,$CT137=Constants!$B$10),1,0)</f>
        <v>0</v>
      </c>
      <c r="CX137" s="106" t="n">
        <v>129</v>
      </c>
      <c r="CY137" s="106" t="str">
        <f aca="false">IF(ISBLANK($C137),"",IF(ISNUMBER($CU137),$CU137+ROW($B137)/1000,""))</f>
        <v/>
      </c>
      <c r="CZ137" s="106" t="str">
        <f aca="false">IF(ISNUMBER($CY137),RANK($CY137,$CY$9:$CY$508,1),"")</f>
        <v/>
      </c>
      <c r="DA137" s="106" t="str">
        <f aca="false">IF(ISBLANK($C137),"",$B137)</f>
        <v/>
      </c>
      <c r="DB137" s="106" t="str">
        <f aca="false">IF(ISBLANK($C137),"",$C137)</f>
        <v/>
      </c>
      <c r="DC137" s="106" t="str">
        <f aca="false">IF(ISBLANK($C137),"",$D137)</f>
        <v/>
      </c>
      <c r="DD137" s="107" t="str">
        <f aca="false">$CR137</f>
        <v/>
      </c>
      <c r="DE137" s="108" t="str">
        <f aca="false">$CQ137</f>
        <v/>
      </c>
      <c r="DF137" s="106" t="str">
        <f aca="false">IF(ISBLANK($C137),"",$CT137)</f>
        <v/>
      </c>
      <c r="DG137" s="109" t="str">
        <f aca="false">IF($CX137&gt;$CW$8,"",VLOOKUP($CX137,$CZ$9:$DF$508,7,FALSE()))</f>
        <v/>
      </c>
      <c r="DH137" s="110" t="str">
        <f aca="false">IF($CX137&gt;$CW$8,"",VLOOKUP($CX137,$CZ$9:$DF$508,2,FALSE()))</f>
        <v/>
      </c>
      <c r="DI137" s="110" t="str">
        <f aca="false">IF($CX137&gt;$CW$8,"",VLOOKUP($CX137,$CZ$9:$DF$508,3,FALSE()))</f>
        <v/>
      </c>
      <c r="DJ137" s="110" t="str">
        <f aca="false">IF($CX137&gt;$CW$8,"",VLOOKUP($CX137,$CZ$9:$DF$508,4,FALSE()))</f>
        <v/>
      </c>
      <c r="DK137" s="110" t="str">
        <f aca="false">IF($CX137&gt;$CW$8,"",VLOOKUP($CX137,$CZ$9:$DF$508,5,FALSE()))</f>
        <v/>
      </c>
      <c r="DL137" s="111" t="str">
        <f aca="false">IF($CX137&gt;$CW$8,"",VLOOKUP($CX137,$CZ$9:$DF$508,6,FALSE()))</f>
        <v/>
      </c>
      <c r="DM137" s="75"/>
    </row>
    <row r="138" customFormat="false" ht="15.75" hidden="false" customHeight="false" outlineLevel="0" collapsed="false">
      <c r="A138" s="9"/>
      <c r="B138" s="157"/>
      <c r="C138" s="158"/>
      <c r="D138" s="159"/>
      <c r="E138" s="177"/>
      <c r="F138" s="161"/>
      <c r="G138" s="162"/>
      <c r="H138" s="162"/>
      <c r="I138" s="178"/>
      <c r="J138" s="165"/>
      <c r="K138" s="126"/>
      <c r="L138" s="127"/>
      <c r="M138" s="128"/>
      <c r="N138" s="165"/>
      <c r="O138" s="165"/>
      <c r="P138" s="177"/>
      <c r="Q138" s="165"/>
      <c r="R138" s="165"/>
      <c r="S138" s="126"/>
      <c r="T138" s="128"/>
      <c r="U138" s="128"/>
      <c r="V138" s="165"/>
      <c r="W138" s="165"/>
      <c r="X138" s="177"/>
      <c r="Y138" s="165"/>
      <c r="Z138" s="166"/>
      <c r="AA138" s="165"/>
      <c r="AB138" s="132"/>
      <c r="AC138" s="133"/>
      <c r="AD138" s="133"/>
      <c r="AE138" s="133"/>
      <c r="AF138" s="133" t="str">
        <f aca="false">IF(ISBLANK($C138),"",IF(E138=Constants!$B$3,TRUE(),IF(E138=Constants!$B$4,FALSE(),TRUE())))</f>
        <v/>
      </c>
      <c r="AG138" s="133" t="str">
        <f aca="false">IF(ISBLANK($C138),"",IF(F138=Constants!$B$3,TRUE(),IF(F138=Constants!$B$4,FALSE(),TRUE())))</f>
        <v/>
      </c>
      <c r="AH138" s="133" t="str">
        <f aca="false">IF(ISBLANK($C138),"",IF(G138=Constants!$B$3,TRUE(),IF(G138=Constants!$B$4,FALSE(),TRUE())))</f>
        <v/>
      </c>
      <c r="AI138" s="133" t="str">
        <f aca="false">IF(ISBLANK($C138),"",IF(AND(ISNUMBER(H138),H138&gt;=0),H138,Constants!$B$29))</f>
        <v/>
      </c>
      <c r="AJ138" s="133" t="str">
        <f aca="false">IF(ISBLANK($C138),"",IF(I138=Constants!$B$3,TRUE(),IF(I138=Constants!$B$4,FALSE(),TRUE())))</f>
        <v/>
      </c>
      <c r="AK138" s="133" t="str">
        <f aca="false">IF(ISBLANK($C138),"",IF(J138=Constants!$B$3,TRUE(),IF(J138=Constants!$B$4,FALSE(),TRUE())))</f>
        <v/>
      </c>
      <c r="AL138" s="133" t="str">
        <f aca="false">IF(ISBLANK($C138),"",IF(K138=Constants!$B$5,TRUE(),IF(K138=Constants!$B$6,FALSE(),COUNTA(L138:P138)&gt;0)))</f>
        <v/>
      </c>
      <c r="AM138" s="134" t="str">
        <f aca="false">IF(ISBLANK($C138),"",IF(ISNUMBER(L138),IF(L138&gt;=0,L138,""),""))</f>
        <v/>
      </c>
      <c r="AN138" s="135" t="str">
        <f aca="false">IF(ISBLANK($C138),"",IF(ISNUMBER(M138),IF(M138&gt;=0,M138,""),""))</f>
        <v/>
      </c>
      <c r="AO138" s="135" t="str">
        <f aca="false">IF(ISBLANK($C138),"",IF(N138=Constants!$B$3,TRUE(),IF(N138=Constants!$B$4,FALSE(),TRUE())))</f>
        <v/>
      </c>
      <c r="AP138" s="133" t="str">
        <f aca="false">IF(ISBLANK($C138),"",IF(ISNUMBER(O138),IF(O138&gt;=0,O138,""),""))</f>
        <v/>
      </c>
      <c r="AQ138" s="133" t="str">
        <f aca="false">IF(ISBLANK($C138),"",IF(P138=Constants!$B$3,TRUE(),IF(P138=Constants!$B$4,FALSE(),FALSE())))</f>
        <v/>
      </c>
      <c r="AR138" s="133" t="str">
        <f aca="false">IF(ISBLANK($C138),"",IF(Q138=Constants!$B$3,TRUE(),IF(Q138=Constants!$B$4,FALSE(),TRUE())))</f>
        <v/>
      </c>
      <c r="AS138" s="133" t="str">
        <f aca="false">IF(ISBLANK($C138),"",IF(R138=Constants!$B$3,TRUE(),IF(R138=Constants!$B$4,FALSE(),TRUE())))</f>
        <v/>
      </c>
      <c r="AT138" s="133" t="str">
        <f aca="false">IF(ISBLANK($C138),"",IF(S138=Constants!$B$5,TRUE(),IF(S138=Constants!$B$6,FALSE(),COUNTA(T138:X138)&gt;0)))</f>
        <v/>
      </c>
      <c r="AU138" s="134" t="str">
        <f aca="false">IF(ISBLANK($C138),"",IF(ISNUMBER(T138),IF(T138&gt;=0,T138,""),""))</f>
        <v/>
      </c>
      <c r="AV138" s="135" t="str">
        <f aca="false">IF(ISBLANK($C138),"",IF(ISNUMBER(U138),IF(U138&gt;=0,U138,""),""))</f>
        <v/>
      </c>
      <c r="AW138" s="135" t="str">
        <f aca="false">IF(ISBLANK($C138),"",IF(V138=Constants!$B$3,TRUE(),IF(V138=Constants!$B$4,FALSE(),TRUE())))</f>
        <v/>
      </c>
      <c r="AX138" s="133" t="str">
        <f aca="false">IF(ISBLANK($C138),"",IF(ISNUMBER(W138),IF(W138&gt;=0,W138,""),""))</f>
        <v/>
      </c>
      <c r="AY138" s="133" t="str">
        <f aca="false">IF(ISBLANK($C138),"",IF(X138=Constants!$B$3,TRUE(),IF(X138=Constants!$B$4,FALSE(),FALSE())))</f>
        <v/>
      </c>
      <c r="AZ138" s="133" t="str">
        <f aca="false">IF(ISBLANK($C138),"",MIN(Constants!$B$31,MAX(0,IF(ISNUMBER(Y138),Y138*60,0)+IF(ISNUMBER(Z138),Z138,0))))</f>
        <v/>
      </c>
      <c r="BA138" s="133" t="str">
        <f aca="false">IF(ISBLANK($C138),"",IF(AA138=Constants!$B$3,TRUE(),IF(AA138=Constants!$B$4,FALSE(),FALSE())))</f>
        <v/>
      </c>
      <c r="BB138" s="132" t="str">
        <f aca="false">IF(ISBLANK($C138),"",AND($AL138,OR($AM138="",$AN138="",AND($AO138,$AP138=""))))</f>
        <v/>
      </c>
      <c r="BC138" s="135" t="str">
        <f aca="false">IF($BR138&lt;&gt;Constants!$B$8,"",IF($AL138,Constants!$B$21*$AN138+Constants!$B$22*IF($AO138,$AP138,Constants!$B$23),Constants!$B$24))</f>
        <v/>
      </c>
      <c r="BD138" s="136" t="str">
        <f aca="false">IF($BR138&lt;&gt;Constants!$B$8,"",Constants!$B$25*ABS($AD$9-IF($AL138,$AM138,0)))</f>
        <v/>
      </c>
      <c r="BE138" s="136" t="str">
        <f aca="false">IF($BR138&lt;&gt;Constants!$B$8,"",IF(AND($AL138,$AQ138,$AO138),Constants!$B$27,0))</f>
        <v/>
      </c>
      <c r="BF138" s="136" t="str">
        <f aca="false">IF($BR138&lt;&gt;Constants!$B$8,"",IF($AL138,($AI138-Constants!$B$29)*Constants!$B$28,0))</f>
        <v/>
      </c>
      <c r="BG138" s="136" t="str">
        <f aca="false">IF($BR138&lt;&gt;Constants!$B$8,"",IF($AK138,0,Constants!$B$15)+IF($AJ138,0,Constants!$B$16)+IF($AH138,0,Constants!$B$17))</f>
        <v/>
      </c>
      <c r="BH138" s="137" t="str">
        <f aca="false">IF($BR138&lt;&gt;Constants!$B$8,"",Constants!$B$20+SUM($BC138:$BG138))</f>
        <v/>
      </c>
      <c r="BI138" s="133" t="str">
        <f aca="false">IF($BR138&lt;&gt;Constants!$B$8,"",IF(OR($BP138&lt;$BH138,AND($BP138=$BH138,OR($BK138&lt;$BC138,AND($BK138=$BC138,OR($BL138&lt;$BD138,AND($BL138=$BD138,$AT138,$AL138,$AV138&lt;$AN138)))))),"-&gt;","&lt;-"))</f>
        <v/>
      </c>
      <c r="BJ138" s="132" t="str">
        <f aca="false">IF(ISBLANK($C138),"",AND($AT138,OR($AU138="",$AV138="",AND($AW138,$AX138=""))))</f>
        <v/>
      </c>
      <c r="BK138" s="135" t="str">
        <f aca="false">IF($BR138&lt;&gt;Constants!$B$8,"",IF($AT138,Constants!$B$21*$AV138+Constants!$B$22*IF($AW138,$AX138,Constants!$B$23),Constants!$B$24))</f>
        <v/>
      </c>
      <c r="BL138" s="136" t="str">
        <f aca="false">IF($BR138&lt;&gt;Constants!$B$8,"",Constants!$B$25*ABS($AD$9-IF($AT138,$AU138,0)))</f>
        <v/>
      </c>
      <c r="BM138" s="136" t="str">
        <f aca="false">IF($BR138&lt;&gt;Constants!$B$8,"",IF(AND($AT138,$AY138,$AW138),Constants!$B$27,0))</f>
        <v/>
      </c>
      <c r="BN138" s="136" t="str">
        <f aca="false">IF($BR138&lt;&gt;Constants!$B$8,"",IF($AT138,($AI138-Constants!$B$29)*Constants!$B$28,0))</f>
        <v/>
      </c>
      <c r="BO138" s="136" t="str">
        <f aca="false">IF($BR138&lt;&gt;Constants!$B$8,"",IF($AS138,0,Constants!$B$15)+IF($AR138,0,Constants!$B$16)+IF($AH138,0,Constants!$B$17))</f>
        <v/>
      </c>
      <c r="BP138" s="137" t="str">
        <f aca="false">IF($BR138&lt;&gt;Constants!$B$8,"",Constants!$B$20+SUM($BK138:$BO138))</f>
        <v/>
      </c>
      <c r="BQ138" s="133" t="str">
        <f aca="false">IF(ISBLANK($C138),"",IF(ISBLANK($D$7),$BQ$5,IF(NOT(ISNUMBER($D$7)),$BQ$6,"")))</f>
        <v/>
      </c>
      <c r="BR138" s="133" t="str">
        <f aca="false">IF(ISBLANK($C138),"",IF($BA138,Constants!$B$11,IF(COUNTA($E138:$AA138)=0,Constants!$B$10,IF(NOT($AG138),Constants!$B$9,IF(OR($BQ138&lt;&gt;"",$BB138,$BJ138),Constants!$B$12,Constants!$B$8)))))</f>
        <v/>
      </c>
      <c r="BS138" s="133" t="str">
        <f aca="false">IF(ISBLANK($C138),"",IF($BR138&lt;&gt;Constants!$B$8,$BR138,Constants!$B$13))</f>
        <v/>
      </c>
      <c r="BT138" s="136" t="str">
        <f aca="false">IF($BR138&lt;&gt;Constants!$B$8,"",IF($BI138="-&gt;",$BP138,$BH138))</f>
        <v/>
      </c>
      <c r="BU138" s="136" t="str">
        <f aca="false">IF($BR138&lt;&gt;Constants!$B$8,"",IF($AF138,0,Constants!$B$18))</f>
        <v/>
      </c>
      <c r="BV138" s="136" t="str">
        <f aca="false">IF($BR138&lt;&gt;Constants!$B$8,"",((Constants!$B$31-$AZ138)-Constants!$B$31)/Constants!$B$32)</f>
        <v/>
      </c>
      <c r="BW138" s="136" t="str">
        <f aca="false">IF(ISBLANK($C138),"",IF($BR138&lt;&gt;Constants!$B$8,$BR138,SUM($BT138:$BV138)))</f>
        <v/>
      </c>
      <c r="BX138" s="133" t="str">
        <f aca="false">IF(ISBLANK($C138),"",IF($BR138&lt;&gt;Constants!$B$8,$BR138,RANK($BW138,$BW$9:$BW$508,1)))</f>
        <v/>
      </c>
      <c r="BY138" s="136" t="str">
        <f aca="false">IF($BR138&lt;&gt;Constants!$B$8,"",IF($BI138="-&gt;",$BK138,$BC138))</f>
        <v/>
      </c>
      <c r="BZ138" s="133" t="str">
        <f aca="false">IF(ISBLANK($C138),"",IF($BR138&lt;&gt;Constants!$B$8,$BR138,IF(ISNUMBER($BY138),RANK($BY138,$BY$9:$BY$508,1),COUNT($BY$9:$BY$508)+1)))</f>
        <v/>
      </c>
      <c r="CA138" s="136" t="str">
        <f aca="false">IF($BR138&lt;&gt;Constants!$B$8,"",IF($BI138="-&gt;",$BL138,$BD138))</f>
        <v/>
      </c>
      <c r="CB138" s="133" t="str">
        <f aca="false">IF(ISBLANK($C138),"",IF($BR138&lt;&gt;Constants!$B$8,$BR138,IF(ISNUMBER($CA138),RANK($CA138,$CA$9:$CA$508,1),COUNT($CA$9:$CA$508)+1)))</f>
        <v/>
      </c>
      <c r="CC138" s="136" t="str">
        <f aca="false">IF($BR138&lt;&gt;Constants!$B$8,"",IF($BI138="-&gt;",IF($AT138,$AV138,""),IF($AL138,$AN138,"")))</f>
        <v/>
      </c>
      <c r="CD138" s="133" t="str">
        <f aca="false">IF(ISBLANK($C138),"",IF($BR138&lt;&gt;Constants!$B$8,$BR138,IF(ISNUMBER($CC138),RANK($CC138,$CC$9:$CC$508,1),COUNT($CC$9:$CC$508)+1)))</f>
        <v/>
      </c>
      <c r="CE138" s="136" t="str">
        <f aca="false">IF($BR138&lt;&gt;Constants!$B$8,"",IF(AND(NOT($AL138),NOT($AT138),$AJ138,$AK138,$AR138,$AS138),"",$AI138))</f>
        <v/>
      </c>
      <c r="CF138" s="133" t="str">
        <f aca="false">IF(ISBLANK($C138),"",IF($BR138&lt;&gt;Constants!$B$8,$BR138,IF(ISNUMBER($CE138),RANK($CE138,$CE$9:$CE$508,1),COUNT($CE$9:$CE$508)+1)))</f>
        <v/>
      </c>
      <c r="CG138" s="133" t="str">
        <f aca="false">IF(ISBLANK($C138),"",IF($BR138&lt;&gt;Constants!$B$8,$BR138,COUNTIFS($BX$9:$BX$508,"&lt;"&amp;$BX138)+COUNTIFS($BX$9:$BX$508,$BX138,$BZ$9:$BZ$508,"&lt;"&amp;$BZ138)+COUNTIFS($BX$9:$BX$508,$BX138,$BZ$9:$BZ$508,$BZ138,$CB$9:$CB$508,"&lt;"&amp;$CB138)+COUNTIFS($BX$9:$BX$508,$BX138,$BZ$9:$BZ$508,$BZ138,$CB$9:$CB$508,$CB138,$CD$9:$CD$508,"&lt;"&amp;$CD138)+COUNTIFS($BX$9:$BX$508,$BX138,$BZ$9:$BZ$508,$BZ138,$CB$9:$CB$508,$CB138,$CD$9:$CD$508,$CD138,$CF$9:$CF$508,"&lt;"&amp;$CF138)+1))</f>
        <v/>
      </c>
      <c r="CH138" s="133" t="str">
        <f aca="false">IF(ISBLANK($C138),"",IF($BR138&lt;&gt;Constants!$B$8,$BR138,$BX138-$CG138))</f>
        <v/>
      </c>
      <c r="CI138" s="138"/>
      <c r="CJ138" s="139"/>
      <c r="CK138" s="140" t="str">
        <f aca="false">IF(ISBLANK($C138),"",IF($BR138=Constants!$B$12,$BQ138,""))</f>
        <v/>
      </c>
      <c r="CL138" s="139" t="str">
        <f aca="false">IF(ISBLANK($C138),"",IF($BR138&lt;&gt;Constants!$B$8,"",IF($BI138="-&gt;",2,1)))</f>
        <v/>
      </c>
      <c r="CM138" s="141" t="str">
        <f aca="false">IF(ISBLANK($C138),"",IF($BR138&lt;&gt;Constants!$B$8,"",IF($BI138="-&gt;",$BK138,$BC138)))</f>
        <v/>
      </c>
      <c r="CN138" s="141" t="str">
        <f aca="false">IF(ISBLANK($C138),"",IF($BR138&lt;&gt;Constants!$B$8,"",IF($BI138="-&gt;",$BL138,$BD138)))</f>
        <v/>
      </c>
      <c r="CO138" s="141" t="str">
        <f aca="false">IF(ISBLANK($C138),"",IF($BR138&lt;&gt;Constants!$B$8,"",IF($BI138="-&gt;",$BM138+$BN138,$BE138+$BF138)+$BV138))</f>
        <v/>
      </c>
      <c r="CP138" s="141" t="str">
        <f aca="false">IF(ISBLANK($C138),"",IF($BR138&lt;&gt;Constants!$B$8,"",IF($BI138="-&gt;",$BO138,$BG138)+$BU138))</f>
        <v/>
      </c>
      <c r="CQ138" s="142" t="str">
        <f aca="false">IF(ISBLANK($C138),"",IF($BR138&lt;&gt;Constants!$B$8,$BR138,$BW138))</f>
        <v/>
      </c>
      <c r="CR138" s="143" t="str">
        <f aca="false">IF(ISBLANK($C138),"",$BS138)</f>
        <v/>
      </c>
      <c r="CS138" s="144" t="str">
        <f aca="false">IF(ISBLANK($C138),"",$CH138)</f>
        <v/>
      </c>
      <c r="CT138" s="144" t="str">
        <f aca="false">IF(ISBLANK($C138),"",$CG138)</f>
        <v/>
      </c>
      <c r="CU138" s="145" t="str">
        <f aca="false">IF(ISBLANK($C138),"",IFERROR(_xlfn.SWITCH($CT138,Constants!$B$11,COUNTA($C$9:$C$508)+2,Constants!$B$10,COUNTA($C$9:$C$508)+1,Constants!$B$9,COUNTA($C$9:$C$508)),$CT138))</f>
        <v/>
      </c>
      <c r="CV138" s="9"/>
      <c r="CW138" s="146" t="n">
        <f aca="false">IF(OR(ISNUMBER($CT138),$CT138=Constants!$B$11,$CT138=Constants!$B$9,$CT138=Constants!$B$10),1,0)</f>
        <v>0</v>
      </c>
      <c r="CX138" s="146" t="n">
        <v>130</v>
      </c>
      <c r="CY138" s="146" t="str">
        <f aca="false">IF(ISBLANK($C138),"",IF(ISNUMBER($CU138),$CU138+ROW($B138)/1000,""))</f>
        <v/>
      </c>
      <c r="CZ138" s="146" t="str">
        <f aca="false">IF(ISNUMBER($CY138),RANK($CY138,$CY$9:$CY$508,1),"")</f>
        <v/>
      </c>
      <c r="DA138" s="146" t="str">
        <f aca="false">IF(ISBLANK($C138),"",$B138)</f>
        <v/>
      </c>
      <c r="DB138" s="146" t="str">
        <f aca="false">IF(ISBLANK($C138),"",$C138)</f>
        <v/>
      </c>
      <c r="DC138" s="146" t="str">
        <f aca="false">IF(ISBLANK($C138),"",$D138)</f>
        <v/>
      </c>
      <c r="DD138" s="147" t="str">
        <f aca="false">$CR138</f>
        <v/>
      </c>
      <c r="DE138" s="148" t="str">
        <f aca="false">$CQ138</f>
        <v/>
      </c>
      <c r="DF138" s="146" t="str">
        <f aca="false">IF(ISBLANK($C138),"",$CT138)</f>
        <v/>
      </c>
      <c r="DG138" s="149" t="str">
        <f aca="false">IF($CX138&gt;$CW$8,"",VLOOKUP($CX138,$CZ$9:$DF$508,7,FALSE()))</f>
        <v/>
      </c>
      <c r="DH138" s="150" t="str">
        <f aca="false">IF($CX138&gt;$CW$8,"",VLOOKUP($CX138,$CZ$9:$DF$508,2,FALSE()))</f>
        <v/>
      </c>
      <c r="DI138" s="150" t="str">
        <f aca="false">IF($CX138&gt;$CW$8,"",VLOOKUP($CX138,$CZ$9:$DF$508,3,FALSE()))</f>
        <v/>
      </c>
      <c r="DJ138" s="150" t="str">
        <f aca="false">IF($CX138&gt;$CW$8,"",VLOOKUP($CX138,$CZ$9:$DF$508,4,FALSE()))</f>
        <v/>
      </c>
      <c r="DK138" s="150" t="str">
        <f aca="false">IF($CX138&gt;$CW$8,"",VLOOKUP($CX138,$CZ$9:$DF$508,5,FALSE()))</f>
        <v/>
      </c>
      <c r="DL138" s="151" t="str">
        <f aca="false">IF($CX138&gt;$CW$8,"",VLOOKUP($CX138,$CZ$9:$DF$508,6,FALSE()))</f>
        <v/>
      </c>
      <c r="DM138" s="75"/>
    </row>
    <row r="139" customFormat="false" ht="15.75" hidden="false" customHeight="false" outlineLevel="0" collapsed="false">
      <c r="A139" s="9"/>
      <c r="B139" s="157"/>
      <c r="C139" s="158"/>
      <c r="D139" s="159"/>
      <c r="E139" s="177"/>
      <c r="F139" s="161"/>
      <c r="G139" s="162"/>
      <c r="H139" s="162"/>
      <c r="I139" s="178"/>
      <c r="J139" s="165"/>
      <c r="K139" s="126"/>
      <c r="L139" s="127"/>
      <c r="M139" s="128"/>
      <c r="N139" s="165"/>
      <c r="O139" s="165"/>
      <c r="P139" s="177"/>
      <c r="Q139" s="165"/>
      <c r="R139" s="165"/>
      <c r="S139" s="126"/>
      <c r="T139" s="128"/>
      <c r="U139" s="128"/>
      <c r="V139" s="165"/>
      <c r="W139" s="165"/>
      <c r="X139" s="177"/>
      <c r="Y139" s="165"/>
      <c r="Z139" s="166"/>
      <c r="AA139" s="165"/>
      <c r="AB139" s="132"/>
      <c r="AC139" s="133"/>
      <c r="AD139" s="133"/>
      <c r="AE139" s="133"/>
      <c r="AF139" s="133" t="str">
        <f aca="false">IF(ISBLANK($C139),"",IF(E139=Constants!$B$3,TRUE(),IF(E139=Constants!$B$4,FALSE(),TRUE())))</f>
        <v/>
      </c>
      <c r="AG139" s="133" t="str">
        <f aca="false">IF(ISBLANK($C139),"",IF(F139=Constants!$B$3,TRUE(),IF(F139=Constants!$B$4,FALSE(),TRUE())))</f>
        <v/>
      </c>
      <c r="AH139" s="133" t="str">
        <f aca="false">IF(ISBLANK($C139),"",IF(G139=Constants!$B$3,TRUE(),IF(G139=Constants!$B$4,FALSE(),TRUE())))</f>
        <v/>
      </c>
      <c r="AI139" s="133" t="str">
        <f aca="false">IF(ISBLANK($C139),"",IF(AND(ISNUMBER(H139),H139&gt;=0),H139,Constants!$B$29))</f>
        <v/>
      </c>
      <c r="AJ139" s="133" t="str">
        <f aca="false">IF(ISBLANK($C139),"",IF(I139=Constants!$B$3,TRUE(),IF(I139=Constants!$B$4,FALSE(),TRUE())))</f>
        <v/>
      </c>
      <c r="AK139" s="133" t="str">
        <f aca="false">IF(ISBLANK($C139),"",IF(J139=Constants!$B$3,TRUE(),IF(J139=Constants!$B$4,FALSE(),TRUE())))</f>
        <v/>
      </c>
      <c r="AL139" s="133" t="str">
        <f aca="false">IF(ISBLANK($C139),"",IF(K139=Constants!$B$5,TRUE(),IF(K139=Constants!$B$6,FALSE(),COUNTA(L139:P139)&gt;0)))</f>
        <v/>
      </c>
      <c r="AM139" s="134" t="str">
        <f aca="false">IF(ISBLANK($C139),"",IF(ISNUMBER(L139),IF(L139&gt;=0,L139,""),""))</f>
        <v/>
      </c>
      <c r="AN139" s="135" t="str">
        <f aca="false">IF(ISBLANK($C139),"",IF(ISNUMBER(M139),IF(M139&gt;=0,M139,""),""))</f>
        <v/>
      </c>
      <c r="AO139" s="135" t="str">
        <f aca="false">IF(ISBLANK($C139),"",IF(N139=Constants!$B$3,TRUE(),IF(N139=Constants!$B$4,FALSE(),TRUE())))</f>
        <v/>
      </c>
      <c r="AP139" s="133" t="str">
        <f aca="false">IF(ISBLANK($C139),"",IF(ISNUMBER(O139),IF(O139&gt;=0,O139,""),""))</f>
        <v/>
      </c>
      <c r="AQ139" s="133" t="str">
        <f aca="false">IF(ISBLANK($C139),"",IF(P139=Constants!$B$3,TRUE(),IF(P139=Constants!$B$4,FALSE(),FALSE())))</f>
        <v/>
      </c>
      <c r="AR139" s="133" t="str">
        <f aca="false">IF(ISBLANK($C139),"",IF(Q139=Constants!$B$3,TRUE(),IF(Q139=Constants!$B$4,FALSE(),TRUE())))</f>
        <v/>
      </c>
      <c r="AS139" s="133" t="str">
        <f aca="false">IF(ISBLANK($C139),"",IF(R139=Constants!$B$3,TRUE(),IF(R139=Constants!$B$4,FALSE(),TRUE())))</f>
        <v/>
      </c>
      <c r="AT139" s="133" t="str">
        <f aca="false">IF(ISBLANK($C139),"",IF(S139=Constants!$B$5,TRUE(),IF(S139=Constants!$B$6,FALSE(),COUNTA(T139:X139)&gt;0)))</f>
        <v/>
      </c>
      <c r="AU139" s="134" t="str">
        <f aca="false">IF(ISBLANK($C139),"",IF(ISNUMBER(T139),IF(T139&gt;=0,T139,""),""))</f>
        <v/>
      </c>
      <c r="AV139" s="135" t="str">
        <f aca="false">IF(ISBLANK($C139),"",IF(ISNUMBER(U139),IF(U139&gt;=0,U139,""),""))</f>
        <v/>
      </c>
      <c r="AW139" s="135" t="str">
        <f aca="false">IF(ISBLANK($C139),"",IF(V139=Constants!$B$3,TRUE(),IF(V139=Constants!$B$4,FALSE(),TRUE())))</f>
        <v/>
      </c>
      <c r="AX139" s="133" t="str">
        <f aca="false">IF(ISBLANK($C139),"",IF(ISNUMBER(W139),IF(W139&gt;=0,W139,""),""))</f>
        <v/>
      </c>
      <c r="AY139" s="133" t="str">
        <f aca="false">IF(ISBLANK($C139),"",IF(X139=Constants!$B$3,TRUE(),IF(X139=Constants!$B$4,FALSE(),FALSE())))</f>
        <v/>
      </c>
      <c r="AZ139" s="133" t="str">
        <f aca="false">IF(ISBLANK($C139),"",MIN(Constants!$B$31,MAX(0,IF(ISNUMBER(Y139),Y139*60,0)+IF(ISNUMBER(Z139),Z139,0))))</f>
        <v/>
      </c>
      <c r="BA139" s="133" t="str">
        <f aca="false">IF(ISBLANK($C139),"",IF(AA139=Constants!$B$3,TRUE(),IF(AA139=Constants!$B$4,FALSE(),FALSE())))</f>
        <v/>
      </c>
      <c r="BB139" s="132" t="str">
        <f aca="false">IF(ISBLANK($C139),"",AND($AL139,OR($AM139="",$AN139="",AND($AO139,$AP139=""))))</f>
        <v/>
      </c>
      <c r="BC139" s="135" t="str">
        <f aca="false">IF($BR139&lt;&gt;Constants!$B$8,"",IF($AL139,Constants!$B$21*$AN139+Constants!$B$22*IF($AO139,$AP139,Constants!$B$23),Constants!$B$24))</f>
        <v/>
      </c>
      <c r="BD139" s="136" t="str">
        <f aca="false">IF($BR139&lt;&gt;Constants!$B$8,"",Constants!$B$25*ABS($AD$9-IF($AL139,$AM139,0)))</f>
        <v/>
      </c>
      <c r="BE139" s="136" t="str">
        <f aca="false">IF($BR139&lt;&gt;Constants!$B$8,"",IF(AND($AL139,$AQ139,$AO139),Constants!$B$27,0))</f>
        <v/>
      </c>
      <c r="BF139" s="136" t="str">
        <f aca="false">IF($BR139&lt;&gt;Constants!$B$8,"",IF($AL139,($AI139-Constants!$B$29)*Constants!$B$28,0))</f>
        <v/>
      </c>
      <c r="BG139" s="136" t="str">
        <f aca="false">IF($BR139&lt;&gt;Constants!$B$8,"",IF($AK139,0,Constants!$B$15)+IF($AJ139,0,Constants!$B$16)+IF($AH139,0,Constants!$B$17))</f>
        <v/>
      </c>
      <c r="BH139" s="137" t="str">
        <f aca="false">IF($BR139&lt;&gt;Constants!$B$8,"",Constants!$B$20+SUM($BC139:$BG139))</f>
        <v/>
      </c>
      <c r="BI139" s="133" t="str">
        <f aca="false">IF($BR139&lt;&gt;Constants!$B$8,"",IF(OR($BP139&lt;$BH139,AND($BP139=$BH139,OR($BK139&lt;$BC139,AND($BK139=$BC139,OR($BL139&lt;$BD139,AND($BL139=$BD139,$AT139,$AL139,$AV139&lt;$AN139)))))),"-&gt;","&lt;-"))</f>
        <v/>
      </c>
      <c r="BJ139" s="132" t="str">
        <f aca="false">IF(ISBLANK($C139),"",AND($AT139,OR($AU139="",$AV139="",AND($AW139,$AX139=""))))</f>
        <v/>
      </c>
      <c r="BK139" s="135" t="str">
        <f aca="false">IF($BR139&lt;&gt;Constants!$B$8,"",IF($AT139,Constants!$B$21*$AV139+Constants!$B$22*IF($AW139,$AX139,Constants!$B$23),Constants!$B$24))</f>
        <v/>
      </c>
      <c r="BL139" s="136" t="str">
        <f aca="false">IF($BR139&lt;&gt;Constants!$B$8,"",Constants!$B$25*ABS($AD$9-IF($AT139,$AU139,0)))</f>
        <v/>
      </c>
      <c r="BM139" s="136" t="str">
        <f aca="false">IF($BR139&lt;&gt;Constants!$B$8,"",IF(AND($AT139,$AY139,$AW139),Constants!$B$27,0))</f>
        <v/>
      </c>
      <c r="BN139" s="136" t="str">
        <f aca="false">IF($BR139&lt;&gt;Constants!$B$8,"",IF($AT139,($AI139-Constants!$B$29)*Constants!$B$28,0))</f>
        <v/>
      </c>
      <c r="BO139" s="136" t="str">
        <f aca="false">IF($BR139&lt;&gt;Constants!$B$8,"",IF($AS139,0,Constants!$B$15)+IF($AR139,0,Constants!$B$16)+IF($AH139,0,Constants!$B$17))</f>
        <v/>
      </c>
      <c r="BP139" s="137" t="str">
        <f aca="false">IF($BR139&lt;&gt;Constants!$B$8,"",Constants!$B$20+SUM($BK139:$BO139))</f>
        <v/>
      </c>
      <c r="BQ139" s="133" t="str">
        <f aca="false">IF(ISBLANK($C139),"",IF(ISBLANK($D$7),$BQ$5,IF(NOT(ISNUMBER($D$7)),$BQ$6,"")))</f>
        <v/>
      </c>
      <c r="BR139" s="133" t="str">
        <f aca="false">IF(ISBLANK($C139),"",IF($BA139,Constants!$B$11,IF(COUNTA($E139:$AA139)=0,Constants!$B$10,IF(NOT($AG139),Constants!$B$9,IF(OR($BQ139&lt;&gt;"",$BB139,$BJ139),Constants!$B$12,Constants!$B$8)))))</f>
        <v/>
      </c>
      <c r="BS139" s="133" t="str">
        <f aca="false">IF(ISBLANK($C139),"",IF($BR139&lt;&gt;Constants!$B$8,$BR139,Constants!$B$13))</f>
        <v/>
      </c>
      <c r="BT139" s="136" t="str">
        <f aca="false">IF($BR139&lt;&gt;Constants!$B$8,"",IF($BI139="-&gt;",$BP139,$BH139))</f>
        <v/>
      </c>
      <c r="BU139" s="136" t="str">
        <f aca="false">IF($BR139&lt;&gt;Constants!$B$8,"",IF($AF139,0,Constants!$B$18))</f>
        <v/>
      </c>
      <c r="BV139" s="136" t="str">
        <f aca="false">IF($BR139&lt;&gt;Constants!$B$8,"",((Constants!$B$31-$AZ139)-Constants!$B$31)/Constants!$B$32)</f>
        <v/>
      </c>
      <c r="BW139" s="136" t="str">
        <f aca="false">IF(ISBLANK($C139),"",IF($BR139&lt;&gt;Constants!$B$8,$BR139,SUM($BT139:$BV139)))</f>
        <v/>
      </c>
      <c r="BX139" s="133" t="str">
        <f aca="false">IF(ISBLANK($C139),"",IF($BR139&lt;&gt;Constants!$B$8,$BR139,RANK($BW139,$BW$9:$BW$508,1)))</f>
        <v/>
      </c>
      <c r="BY139" s="136" t="str">
        <f aca="false">IF($BR139&lt;&gt;Constants!$B$8,"",IF($BI139="-&gt;",$BK139,$BC139))</f>
        <v/>
      </c>
      <c r="BZ139" s="133" t="str">
        <f aca="false">IF(ISBLANK($C139),"",IF($BR139&lt;&gt;Constants!$B$8,$BR139,IF(ISNUMBER($BY139),RANK($BY139,$BY$9:$BY$508,1),COUNT($BY$9:$BY$508)+1)))</f>
        <v/>
      </c>
      <c r="CA139" s="136" t="str">
        <f aca="false">IF($BR139&lt;&gt;Constants!$B$8,"",IF($BI139="-&gt;",$BL139,$BD139))</f>
        <v/>
      </c>
      <c r="CB139" s="133" t="str">
        <f aca="false">IF(ISBLANK($C139),"",IF($BR139&lt;&gt;Constants!$B$8,$BR139,IF(ISNUMBER($CA139),RANK($CA139,$CA$9:$CA$508,1),COUNT($CA$9:$CA$508)+1)))</f>
        <v/>
      </c>
      <c r="CC139" s="136" t="str">
        <f aca="false">IF($BR139&lt;&gt;Constants!$B$8,"",IF($BI139="-&gt;",IF($AT139,$AV139,""),IF($AL139,$AN139,"")))</f>
        <v/>
      </c>
      <c r="CD139" s="133" t="str">
        <f aca="false">IF(ISBLANK($C139),"",IF($BR139&lt;&gt;Constants!$B$8,$BR139,IF(ISNUMBER($CC139),RANK($CC139,$CC$9:$CC$508,1),COUNT($CC$9:$CC$508)+1)))</f>
        <v/>
      </c>
      <c r="CE139" s="136" t="str">
        <f aca="false">IF($BR139&lt;&gt;Constants!$B$8,"",IF(AND(NOT($AL139),NOT($AT139),$AJ139,$AK139,$AR139,$AS139),"",$AI139))</f>
        <v/>
      </c>
      <c r="CF139" s="133" t="str">
        <f aca="false">IF(ISBLANK($C139),"",IF($BR139&lt;&gt;Constants!$B$8,$BR139,IF(ISNUMBER($CE139),RANK($CE139,$CE$9:$CE$508,1),COUNT($CE$9:$CE$508)+1)))</f>
        <v/>
      </c>
      <c r="CG139" s="133" t="str">
        <f aca="false">IF(ISBLANK($C139),"",IF($BR139&lt;&gt;Constants!$B$8,$BR139,COUNTIFS($BX$9:$BX$508,"&lt;"&amp;$BX139)+COUNTIFS($BX$9:$BX$508,$BX139,$BZ$9:$BZ$508,"&lt;"&amp;$BZ139)+COUNTIFS($BX$9:$BX$508,$BX139,$BZ$9:$BZ$508,$BZ139,$CB$9:$CB$508,"&lt;"&amp;$CB139)+COUNTIFS($BX$9:$BX$508,$BX139,$BZ$9:$BZ$508,$BZ139,$CB$9:$CB$508,$CB139,$CD$9:$CD$508,"&lt;"&amp;$CD139)+COUNTIFS($BX$9:$BX$508,$BX139,$BZ$9:$BZ$508,$BZ139,$CB$9:$CB$508,$CB139,$CD$9:$CD$508,$CD139,$CF$9:$CF$508,"&lt;"&amp;$CF139)+1))</f>
        <v/>
      </c>
      <c r="CH139" s="133" t="str">
        <f aca="false">IF(ISBLANK($C139),"",IF($BR139&lt;&gt;Constants!$B$8,$BR139,$BX139-$CG139))</f>
        <v/>
      </c>
      <c r="CI139" s="138"/>
      <c r="CJ139" s="139"/>
      <c r="CK139" s="140" t="str">
        <f aca="false">IF(ISBLANK($C139),"",IF($BR139=Constants!$B$12,$BQ139,""))</f>
        <v/>
      </c>
      <c r="CL139" s="139" t="str">
        <f aca="false">IF(ISBLANK($C139),"",IF($BR139&lt;&gt;Constants!$B$8,"",IF($BI139="-&gt;",2,1)))</f>
        <v/>
      </c>
      <c r="CM139" s="141" t="str">
        <f aca="false">IF(ISBLANK($C139),"",IF($BR139&lt;&gt;Constants!$B$8,"",IF($BI139="-&gt;",$BK139,$BC139)))</f>
        <v/>
      </c>
      <c r="CN139" s="141" t="str">
        <f aca="false">IF(ISBLANK($C139),"",IF($BR139&lt;&gt;Constants!$B$8,"",IF($BI139="-&gt;",$BL139,$BD139)))</f>
        <v/>
      </c>
      <c r="CO139" s="141" t="str">
        <f aca="false">IF(ISBLANK($C139),"",IF($BR139&lt;&gt;Constants!$B$8,"",IF($BI139="-&gt;",$BM139+$BN139,$BE139+$BF139)+$BV139))</f>
        <v/>
      </c>
      <c r="CP139" s="141" t="str">
        <f aca="false">IF(ISBLANK($C139),"",IF($BR139&lt;&gt;Constants!$B$8,"",IF($BI139="-&gt;",$BO139,$BG139)+$BU139))</f>
        <v/>
      </c>
      <c r="CQ139" s="142" t="str">
        <f aca="false">IF(ISBLANK($C139),"",IF($BR139&lt;&gt;Constants!$B$8,$BR139,$BW139))</f>
        <v/>
      </c>
      <c r="CR139" s="143" t="str">
        <f aca="false">IF(ISBLANK($C139),"",$BS139)</f>
        <v/>
      </c>
      <c r="CS139" s="144" t="str">
        <f aca="false">IF(ISBLANK($C139),"",$CH139)</f>
        <v/>
      </c>
      <c r="CT139" s="144" t="str">
        <f aca="false">IF(ISBLANK($C139),"",$CG139)</f>
        <v/>
      </c>
      <c r="CU139" s="145" t="str">
        <f aca="false">IF(ISBLANK($C139),"",IFERROR(_xlfn.SWITCH($CT139,Constants!$B$11,COUNTA($C$9:$C$508)+2,Constants!$B$10,COUNTA($C$9:$C$508)+1,Constants!$B$9,COUNTA($C$9:$C$508)),$CT139))</f>
        <v/>
      </c>
      <c r="CV139" s="9"/>
      <c r="CW139" s="146" t="n">
        <f aca="false">IF(OR(ISNUMBER($CT139),$CT139=Constants!$B$11,$CT139=Constants!$B$9,$CT139=Constants!$B$10),1,0)</f>
        <v>0</v>
      </c>
      <c r="CX139" s="146" t="n">
        <v>131</v>
      </c>
      <c r="CY139" s="146" t="str">
        <f aca="false">IF(ISBLANK($C139),"",IF(ISNUMBER($CU139),$CU139+ROW($B139)/1000,""))</f>
        <v/>
      </c>
      <c r="CZ139" s="146" t="str">
        <f aca="false">IF(ISNUMBER($CY139),RANK($CY139,$CY$9:$CY$508,1),"")</f>
        <v/>
      </c>
      <c r="DA139" s="146" t="str">
        <f aca="false">IF(ISBLANK($C139),"",$B139)</f>
        <v/>
      </c>
      <c r="DB139" s="146" t="str">
        <f aca="false">IF(ISBLANK($C139),"",$C139)</f>
        <v/>
      </c>
      <c r="DC139" s="146" t="str">
        <f aca="false">IF(ISBLANK($C139),"",$D139)</f>
        <v/>
      </c>
      <c r="DD139" s="147" t="str">
        <f aca="false">$CR139</f>
        <v/>
      </c>
      <c r="DE139" s="148" t="str">
        <f aca="false">$CQ139</f>
        <v/>
      </c>
      <c r="DF139" s="146" t="str">
        <f aca="false">IF(ISBLANK($C139),"",$CT139)</f>
        <v/>
      </c>
      <c r="DG139" s="149" t="str">
        <f aca="false">IF($CX139&gt;$CW$8,"",VLOOKUP($CX139,$CZ$9:$DF$508,7,FALSE()))</f>
        <v/>
      </c>
      <c r="DH139" s="150" t="str">
        <f aca="false">IF($CX139&gt;$CW$8,"",VLOOKUP($CX139,$CZ$9:$DF$508,2,FALSE()))</f>
        <v/>
      </c>
      <c r="DI139" s="150" t="str">
        <f aca="false">IF($CX139&gt;$CW$8,"",VLOOKUP($CX139,$CZ$9:$DF$508,3,FALSE()))</f>
        <v/>
      </c>
      <c r="DJ139" s="150" t="str">
        <f aca="false">IF($CX139&gt;$CW$8,"",VLOOKUP($CX139,$CZ$9:$DF$508,4,FALSE()))</f>
        <v/>
      </c>
      <c r="DK139" s="150" t="str">
        <f aca="false">IF($CX139&gt;$CW$8,"",VLOOKUP($CX139,$CZ$9:$DF$508,5,FALSE()))</f>
        <v/>
      </c>
      <c r="DL139" s="151" t="str">
        <f aca="false">IF($CX139&gt;$CW$8,"",VLOOKUP($CX139,$CZ$9:$DF$508,6,FALSE()))</f>
        <v/>
      </c>
      <c r="DM139" s="75"/>
    </row>
    <row r="140" customFormat="false" ht="15.75" hidden="false" customHeight="false" outlineLevel="0" collapsed="false">
      <c r="A140" s="9"/>
      <c r="B140" s="157"/>
      <c r="C140" s="158"/>
      <c r="D140" s="159"/>
      <c r="E140" s="177"/>
      <c r="F140" s="161"/>
      <c r="G140" s="162"/>
      <c r="H140" s="162"/>
      <c r="I140" s="178"/>
      <c r="J140" s="165"/>
      <c r="K140" s="126"/>
      <c r="L140" s="127"/>
      <c r="M140" s="128"/>
      <c r="N140" s="165"/>
      <c r="O140" s="165"/>
      <c r="P140" s="177"/>
      <c r="Q140" s="165"/>
      <c r="R140" s="165"/>
      <c r="S140" s="126"/>
      <c r="T140" s="128"/>
      <c r="U140" s="128"/>
      <c r="V140" s="165"/>
      <c r="W140" s="165"/>
      <c r="X140" s="177"/>
      <c r="Y140" s="165"/>
      <c r="Z140" s="166"/>
      <c r="AA140" s="165"/>
      <c r="AB140" s="132"/>
      <c r="AC140" s="133"/>
      <c r="AD140" s="133"/>
      <c r="AE140" s="133"/>
      <c r="AF140" s="133" t="str">
        <f aca="false">IF(ISBLANK($C140),"",IF(E140=Constants!$B$3,TRUE(),IF(E140=Constants!$B$4,FALSE(),TRUE())))</f>
        <v/>
      </c>
      <c r="AG140" s="133" t="str">
        <f aca="false">IF(ISBLANK($C140),"",IF(F140=Constants!$B$3,TRUE(),IF(F140=Constants!$B$4,FALSE(),TRUE())))</f>
        <v/>
      </c>
      <c r="AH140" s="133" t="str">
        <f aca="false">IF(ISBLANK($C140),"",IF(G140=Constants!$B$3,TRUE(),IF(G140=Constants!$B$4,FALSE(),TRUE())))</f>
        <v/>
      </c>
      <c r="AI140" s="133" t="str">
        <f aca="false">IF(ISBLANK($C140),"",IF(AND(ISNUMBER(H140),H140&gt;=0),H140,Constants!$B$29))</f>
        <v/>
      </c>
      <c r="AJ140" s="133" t="str">
        <f aca="false">IF(ISBLANK($C140),"",IF(I140=Constants!$B$3,TRUE(),IF(I140=Constants!$B$4,FALSE(),TRUE())))</f>
        <v/>
      </c>
      <c r="AK140" s="133" t="str">
        <f aca="false">IF(ISBLANK($C140),"",IF(J140=Constants!$B$3,TRUE(),IF(J140=Constants!$B$4,FALSE(),TRUE())))</f>
        <v/>
      </c>
      <c r="AL140" s="133" t="str">
        <f aca="false">IF(ISBLANK($C140),"",IF(K140=Constants!$B$5,TRUE(),IF(K140=Constants!$B$6,FALSE(),COUNTA(L140:P140)&gt;0)))</f>
        <v/>
      </c>
      <c r="AM140" s="134" t="str">
        <f aca="false">IF(ISBLANK($C140),"",IF(ISNUMBER(L140),IF(L140&gt;=0,L140,""),""))</f>
        <v/>
      </c>
      <c r="AN140" s="135" t="str">
        <f aca="false">IF(ISBLANK($C140),"",IF(ISNUMBER(M140),IF(M140&gt;=0,M140,""),""))</f>
        <v/>
      </c>
      <c r="AO140" s="135" t="str">
        <f aca="false">IF(ISBLANK($C140),"",IF(N140=Constants!$B$3,TRUE(),IF(N140=Constants!$B$4,FALSE(),TRUE())))</f>
        <v/>
      </c>
      <c r="AP140" s="133" t="str">
        <f aca="false">IF(ISBLANK($C140),"",IF(ISNUMBER(O140),IF(O140&gt;=0,O140,""),""))</f>
        <v/>
      </c>
      <c r="AQ140" s="133" t="str">
        <f aca="false">IF(ISBLANK($C140),"",IF(P140=Constants!$B$3,TRUE(),IF(P140=Constants!$B$4,FALSE(),FALSE())))</f>
        <v/>
      </c>
      <c r="AR140" s="133" t="str">
        <f aca="false">IF(ISBLANK($C140),"",IF(Q140=Constants!$B$3,TRUE(),IF(Q140=Constants!$B$4,FALSE(),TRUE())))</f>
        <v/>
      </c>
      <c r="AS140" s="133" t="str">
        <f aca="false">IF(ISBLANK($C140),"",IF(R140=Constants!$B$3,TRUE(),IF(R140=Constants!$B$4,FALSE(),TRUE())))</f>
        <v/>
      </c>
      <c r="AT140" s="133" t="str">
        <f aca="false">IF(ISBLANK($C140),"",IF(S140=Constants!$B$5,TRUE(),IF(S140=Constants!$B$6,FALSE(),COUNTA(T140:X140)&gt;0)))</f>
        <v/>
      </c>
      <c r="AU140" s="134" t="str">
        <f aca="false">IF(ISBLANK($C140),"",IF(ISNUMBER(T140),IF(T140&gt;=0,T140,""),""))</f>
        <v/>
      </c>
      <c r="AV140" s="135" t="str">
        <f aca="false">IF(ISBLANK($C140),"",IF(ISNUMBER(U140),IF(U140&gt;=0,U140,""),""))</f>
        <v/>
      </c>
      <c r="AW140" s="135" t="str">
        <f aca="false">IF(ISBLANK($C140),"",IF(V140=Constants!$B$3,TRUE(),IF(V140=Constants!$B$4,FALSE(),TRUE())))</f>
        <v/>
      </c>
      <c r="AX140" s="133" t="str">
        <f aca="false">IF(ISBLANK($C140),"",IF(ISNUMBER(W140),IF(W140&gt;=0,W140,""),""))</f>
        <v/>
      </c>
      <c r="AY140" s="133" t="str">
        <f aca="false">IF(ISBLANK($C140),"",IF(X140=Constants!$B$3,TRUE(),IF(X140=Constants!$B$4,FALSE(),FALSE())))</f>
        <v/>
      </c>
      <c r="AZ140" s="133" t="str">
        <f aca="false">IF(ISBLANK($C140),"",MIN(Constants!$B$31,MAX(0,IF(ISNUMBER(Y140),Y140*60,0)+IF(ISNUMBER(Z140),Z140,0))))</f>
        <v/>
      </c>
      <c r="BA140" s="133" t="str">
        <f aca="false">IF(ISBLANK($C140),"",IF(AA140=Constants!$B$3,TRUE(),IF(AA140=Constants!$B$4,FALSE(),FALSE())))</f>
        <v/>
      </c>
      <c r="BB140" s="132" t="str">
        <f aca="false">IF(ISBLANK($C140),"",AND($AL140,OR($AM140="",$AN140="",AND($AO140,$AP140=""))))</f>
        <v/>
      </c>
      <c r="BC140" s="135" t="str">
        <f aca="false">IF($BR140&lt;&gt;Constants!$B$8,"",IF($AL140,Constants!$B$21*$AN140+Constants!$B$22*IF($AO140,$AP140,Constants!$B$23),Constants!$B$24))</f>
        <v/>
      </c>
      <c r="BD140" s="136" t="str">
        <f aca="false">IF($BR140&lt;&gt;Constants!$B$8,"",Constants!$B$25*ABS($AD$9-IF($AL140,$AM140,0)))</f>
        <v/>
      </c>
      <c r="BE140" s="136" t="str">
        <f aca="false">IF($BR140&lt;&gt;Constants!$B$8,"",IF(AND($AL140,$AQ140,$AO140),Constants!$B$27,0))</f>
        <v/>
      </c>
      <c r="BF140" s="136" t="str">
        <f aca="false">IF($BR140&lt;&gt;Constants!$B$8,"",IF($AL140,($AI140-Constants!$B$29)*Constants!$B$28,0))</f>
        <v/>
      </c>
      <c r="BG140" s="136" t="str">
        <f aca="false">IF($BR140&lt;&gt;Constants!$B$8,"",IF($AK140,0,Constants!$B$15)+IF($AJ140,0,Constants!$B$16)+IF($AH140,0,Constants!$B$17))</f>
        <v/>
      </c>
      <c r="BH140" s="137" t="str">
        <f aca="false">IF($BR140&lt;&gt;Constants!$B$8,"",Constants!$B$20+SUM($BC140:$BG140))</f>
        <v/>
      </c>
      <c r="BI140" s="133" t="str">
        <f aca="false">IF($BR140&lt;&gt;Constants!$B$8,"",IF(OR($BP140&lt;$BH140,AND($BP140=$BH140,OR($BK140&lt;$BC140,AND($BK140=$BC140,OR($BL140&lt;$BD140,AND($BL140=$BD140,$AT140,$AL140,$AV140&lt;$AN140)))))),"-&gt;","&lt;-"))</f>
        <v/>
      </c>
      <c r="BJ140" s="132" t="str">
        <f aca="false">IF(ISBLANK($C140),"",AND($AT140,OR($AU140="",$AV140="",AND($AW140,$AX140=""))))</f>
        <v/>
      </c>
      <c r="BK140" s="135" t="str">
        <f aca="false">IF($BR140&lt;&gt;Constants!$B$8,"",IF($AT140,Constants!$B$21*$AV140+Constants!$B$22*IF($AW140,$AX140,Constants!$B$23),Constants!$B$24))</f>
        <v/>
      </c>
      <c r="BL140" s="136" t="str">
        <f aca="false">IF($BR140&lt;&gt;Constants!$B$8,"",Constants!$B$25*ABS($AD$9-IF($AT140,$AU140,0)))</f>
        <v/>
      </c>
      <c r="BM140" s="136" t="str">
        <f aca="false">IF($BR140&lt;&gt;Constants!$B$8,"",IF(AND($AT140,$AY140,$AW140),Constants!$B$27,0))</f>
        <v/>
      </c>
      <c r="BN140" s="136" t="str">
        <f aca="false">IF($BR140&lt;&gt;Constants!$B$8,"",IF($AT140,($AI140-Constants!$B$29)*Constants!$B$28,0))</f>
        <v/>
      </c>
      <c r="BO140" s="136" t="str">
        <f aca="false">IF($BR140&lt;&gt;Constants!$B$8,"",IF($AS140,0,Constants!$B$15)+IF($AR140,0,Constants!$B$16)+IF($AH140,0,Constants!$B$17))</f>
        <v/>
      </c>
      <c r="BP140" s="137" t="str">
        <f aca="false">IF($BR140&lt;&gt;Constants!$B$8,"",Constants!$B$20+SUM($BK140:$BO140))</f>
        <v/>
      </c>
      <c r="BQ140" s="133" t="str">
        <f aca="false">IF(ISBLANK($C140),"",IF(ISBLANK($D$7),$BQ$5,IF(NOT(ISNUMBER($D$7)),$BQ$6,"")))</f>
        <v/>
      </c>
      <c r="BR140" s="133" t="str">
        <f aca="false">IF(ISBLANK($C140),"",IF($BA140,Constants!$B$11,IF(COUNTA($E140:$AA140)=0,Constants!$B$10,IF(NOT($AG140),Constants!$B$9,IF(OR($BQ140&lt;&gt;"",$BB140,$BJ140),Constants!$B$12,Constants!$B$8)))))</f>
        <v/>
      </c>
      <c r="BS140" s="133" t="str">
        <f aca="false">IF(ISBLANK($C140),"",IF($BR140&lt;&gt;Constants!$B$8,$BR140,Constants!$B$13))</f>
        <v/>
      </c>
      <c r="BT140" s="136" t="str">
        <f aca="false">IF($BR140&lt;&gt;Constants!$B$8,"",IF($BI140="-&gt;",$BP140,$BH140))</f>
        <v/>
      </c>
      <c r="BU140" s="136" t="str">
        <f aca="false">IF($BR140&lt;&gt;Constants!$B$8,"",IF($AF140,0,Constants!$B$18))</f>
        <v/>
      </c>
      <c r="BV140" s="136" t="str">
        <f aca="false">IF($BR140&lt;&gt;Constants!$B$8,"",((Constants!$B$31-$AZ140)-Constants!$B$31)/Constants!$B$32)</f>
        <v/>
      </c>
      <c r="BW140" s="136" t="str">
        <f aca="false">IF(ISBLANK($C140),"",IF($BR140&lt;&gt;Constants!$B$8,$BR140,SUM($BT140:$BV140)))</f>
        <v/>
      </c>
      <c r="BX140" s="133" t="str">
        <f aca="false">IF(ISBLANK($C140),"",IF($BR140&lt;&gt;Constants!$B$8,$BR140,RANK($BW140,$BW$9:$BW$508,1)))</f>
        <v/>
      </c>
      <c r="BY140" s="136" t="str">
        <f aca="false">IF($BR140&lt;&gt;Constants!$B$8,"",IF($BI140="-&gt;",$BK140,$BC140))</f>
        <v/>
      </c>
      <c r="BZ140" s="133" t="str">
        <f aca="false">IF(ISBLANK($C140),"",IF($BR140&lt;&gt;Constants!$B$8,$BR140,IF(ISNUMBER($BY140),RANK($BY140,$BY$9:$BY$508,1),COUNT($BY$9:$BY$508)+1)))</f>
        <v/>
      </c>
      <c r="CA140" s="136" t="str">
        <f aca="false">IF($BR140&lt;&gt;Constants!$B$8,"",IF($BI140="-&gt;",$BL140,$BD140))</f>
        <v/>
      </c>
      <c r="CB140" s="133" t="str">
        <f aca="false">IF(ISBLANK($C140),"",IF($BR140&lt;&gt;Constants!$B$8,$BR140,IF(ISNUMBER($CA140),RANK($CA140,$CA$9:$CA$508,1),COUNT($CA$9:$CA$508)+1)))</f>
        <v/>
      </c>
      <c r="CC140" s="136" t="str">
        <f aca="false">IF($BR140&lt;&gt;Constants!$B$8,"",IF($BI140="-&gt;",IF($AT140,$AV140,""),IF($AL140,$AN140,"")))</f>
        <v/>
      </c>
      <c r="CD140" s="133" t="str">
        <f aca="false">IF(ISBLANK($C140),"",IF($BR140&lt;&gt;Constants!$B$8,$BR140,IF(ISNUMBER($CC140),RANK($CC140,$CC$9:$CC$508,1),COUNT($CC$9:$CC$508)+1)))</f>
        <v/>
      </c>
      <c r="CE140" s="136" t="str">
        <f aca="false">IF($BR140&lt;&gt;Constants!$B$8,"",IF(AND(NOT($AL140),NOT($AT140),$AJ140,$AK140,$AR140,$AS140),"",$AI140))</f>
        <v/>
      </c>
      <c r="CF140" s="133" t="str">
        <f aca="false">IF(ISBLANK($C140),"",IF($BR140&lt;&gt;Constants!$B$8,$BR140,IF(ISNUMBER($CE140),RANK($CE140,$CE$9:$CE$508,1),COUNT($CE$9:$CE$508)+1)))</f>
        <v/>
      </c>
      <c r="CG140" s="133" t="str">
        <f aca="false">IF(ISBLANK($C140),"",IF($BR140&lt;&gt;Constants!$B$8,$BR140,COUNTIFS($BX$9:$BX$508,"&lt;"&amp;$BX140)+COUNTIFS($BX$9:$BX$508,$BX140,$BZ$9:$BZ$508,"&lt;"&amp;$BZ140)+COUNTIFS($BX$9:$BX$508,$BX140,$BZ$9:$BZ$508,$BZ140,$CB$9:$CB$508,"&lt;"&amp;$CB140)+COUNTIFS($BX$9:$BX$508,$BX140,$BZ$9:$BZ$508,$BZ140,$CB$9:$CB$508,$CB140,$CD$9:$CD$508,"&lt;"&amp;$CD140)+COUNTIFS($BX$9:$BX$508,$BX140,$BZ$9:$BZ$508,$BZ140,$CB$9:$CB$508,$CB140,$CD$9:$CD$508,$CD140,$CF$9:$CF$508,"&lt;"&amp;$CF140)+1))</f>
        <v/>
      </c>
      <c r="CH140" s="133" t="str">
        <f aca="false">IF(ISBLANK($C140),"",IF($BR140&lt;&gt;Constants!$B$8,$BR140,$BX140-$CG140))</f>
        <v/>
      </c>
      <c r="CI140" s="138"/>
      <c r="CJ140" s="139"/>
      <c r="CK140" s="140" t="str">
        <f aca="false">IF(ISBLANK($C140),"",IF($BR140=Constants!$B$12,$BQ140,""))</f>
        <v/>
      </c>
      <c r="CL140" s="139" t="str">
        <f aca="false">IF(ISBLANK($C140),"",IF($BR140&lt;&gt;Constants!$B$8,"",IF($BI140="-&gt;",2,1)))</f>
        <v/>
      </c>
      <c r="CM140" s="141" t="str">
        <f aca="false">IF(ISBLANK($C140),"",IF($BR140&lt;&gt;Constants!$B$8,"",IF($BI140="-&gt;",$BK140,$BC140)))</f>
        <v/>
      </c>
      <c r="CN140" s="141" t="str">
        <f aca="false">IF(ISBLANK($C140),"",IF($BR140&lt;&gt;Constants!$B$8,"",IF($BI140="-&gt;",$BL140,$BD140)))</f>
        <v/>
      </c>
      <c r="CO140" s="141" t="str">
        <f aca="false">IF(ISBLANK($C140),"",IF($BR140&lt;&gt;Constants!$B$8,"",IF($BI140="-&gt;",$BM140+$BN140,$BE140+$BF140)+$BV140))</f>
        <v/>
      </c>
      <c r="CP140" s="141" t="str">
        <f aca="false">IF(ISBLANK($C140),"",IF($BR140&lt;&gt;Constants!$B$8,"",IF($BI140="-&gt;",$BO140,$BG140)+$BU140))</f>
        <v/>
      </c>
      <c r="CQ140" s="142" t="str">
        <f aca="false">IF(ISBLANK($C140),"",IF($BR140&lt;&gt;Constants!$B$8,$BR140,$BW140))</f>
        <v/>
      </c>
      <c r="CR140" s="143" t="str">
        <f aca="false">IF(ISBLANK($C140),"",$BS140)</f>
        <v/>
      </c>
      <c r="CS140" s="144" t="str">
        <f aca="false">IF(ISBLANK($C140),"",$CH140)</f>
        <v/>
      </c>
      <c r="CT140" s="144" t="str">
        <f aca="false">IF(ISBLANK($C140),"",$CG140)</f>
        <v/>
      </c>
      <c r="CU140" s="145" t="str">
        <f aca="false">IF(ISBLANK($C140),"",IFERROR(_xlfn.SWITCH($CT140,Constants!$B$11,COUNTA($C$9:$C$508)+2,Constants!$B$10,COUNTA($C$9:$C$508)+1,Constants!$B$9,COUNTA($C$9:$C$508)),$CT140))</f>
        <v/>
      </c>
      <c r="CV140" s="9"/>
      <c r="CW140" s="146" t="n">
        <f aca="false">IF(OR(ISNUMBER($CT140),$CT140=Constants!$B$11,$CT140=Constants!$B$9,$CT140=Constants!$B$10),1,0)</f>
        <v>0</v>
      </c>
      <c r="CX140" s="146" t="n">
        <v>132</v>
      </c>
      <c r="CY140" s="146" t="str">
        <f aca="false">IF(ISBLANK($C140),"",IF(ISNUMBER($CU140),$CU140+ROW($B140)/1000,""))</f>
        <v/>
      </c>
      <c r="CZ140" s="146" t="str">
        <f aca="false">IF(ISNUMBER($CY140),RANK($CY140,$CY$9:$CY$508,1),"")</f>
        <v/>
      </c>
      <c r="DA140" s="146" t="str">
        <f aca="false">IF(ISBLANK($C140),"",$B140)</f>
        <v/>
      </c>
      <c r="DB140" s="146" t="str">
        <f aca="false">IF(ISBLANK($C140),"",$C140)</f>
        <v/>
      </c>
      <c r="DC140" s="146" t="str">
        <f aca="false">IF(ISBLANK($C140),"",$D140)</f>
        <v/>
      </c>
      <c r="DD140" s="147" t="str">
        <f aca="false">$CR140</f>
        <v/>
      </c>
      <c r="DE140" s="148" t="str">
        <f aca="false">$CQ140</f>
        <v/>
      </c>
      <c r="DF140" s="146" t="str">
        <f aca="false">IF(ISBLANK($C140),"",$CT140)</f>
        <v/>
      </c>
      <c r="DG140" s="149" t="str">
        <f aca="false">IF($CX140&gt;$CW$8,"",VLOOKUP($CX140,$CZ$9:$DF$508,7,FALSE()))</f>
        <v/>
      </c>
      <c r="DH140" s="150" t="str">
        <f aca="false">IF($CX140&gt;$CW$8,"",VLOOKUP($CX140,$CZ$9:$DF$508,2,FALSE()))</f>
        <v/>
      </c>
      <c r="DI140" s="150" t="str">
        <f aca="false">IF($CX140&gt;$CW$8,"",VLOOKUP($CX140,$CZ$9:$DF$508,3,FALSE()))</f>
        <v/>
      </c>
      <c r="DJ140" s="150" t="str">
        <f aca="false">IF($CX140&gt;$CW$8,"",VLOOKUP($CX140,$CZ$9:$DF$508,4,FALSE()))</f>
        <v/>
      </c>
      <c r="DK140" s="150" t="str">
        <f aca="false">IF($CX140&gt;$CW$8,"",VLOOKUP($CX140,$CZ$9:$DF$508,5,FALSE()))</f>
        <v/>
      </c>
      <c r="DL140" s="151" t="str">
        <f aca="false">IF($CX140&gt;$CW$8,"",VLOOKUP($CX140,$CZ$9:$DF$508,6,FALSE()))</f>
        <v/>
      </c>
      <c r="DM140" s="75"/>
    </row>
    <row r="141" customFormat="false" ht="15.75" hidden="false" customHeight="false" outlineLevel="0" collapsed="false">
      <c r="A141" s="9"/>
      <c r="B141" s="77"/>
      <c r="C141" s="78"/>
      <c r="D141" s="167"/>
      <c r="E141" s="175"/>
      <c r="F141" s="169"/>
      <c r="G141" s="170"/>
      <c r="H141" s="170"/>
      <c r="I141" s="176"/>
      <c r="J141" s="173"/>
      <c r="K141" s="85"/>
      <c r="L141" s="86"/>
      <c r="M141" s="87"/>
      <c r="N141" s="173"/>
      <c r="O141" s="173"/>
      <c r="P141" s="175"/>
      <c r="Q141" s="173"/>
      <c r="R141" s="173"/>
      <c r="S141" s="85"/>
      <c r="T141" s="87"/>
      <c r="U141" s="87"/>
      <c r="V141" s="173"/>
      <c r="W141" s="173"/>
      <c r="X141" s="175"/>
      <c r="Y141" s="173"/>
      <c r="Z141" s="174"/>
      <c r="AA141" s="173"/>
      <c r="AB141" s="91"/>
      <c r="AC141" s="92"/>
      <c r="AD141" s="92"/>
      <c r="AE141" s="92"/>
      <c r="AF141" s="92" t="str">
        <f aca="false">IF(ISBLANK($C141),"",IF(E141=Constants!$B$3,TRUE(),IF(E141=Constants!$B$4,FALSE(),TRUE())))</f>
        <v/>
      </c>
      <c r="AG141" s="92" t="str">
        <f aca="false">IF(ISBLANK($C141),"",IF(F141=Constants!$B$3,TRUE(),IF(F141=Constants!$B$4,FALSE(),TRUE())))</f>
        <v/>
      </c>
      <c r="AH141" s="92" t="str">
        <f aca="false">IF(ISBLANK($C141),"",IF(G141=Constants!$B$3,TRUE(),IF(G141=Constants!$B$4,FALSE(),TRUE())))</f>
        <v/>
      </c>
      <c r="AI141" s="92" t="str">
        <f aca="false">IF(ISBLANK($C141),"",IF(AND(ISNUMBER(H141),H141&gt;=0),H141,Constants!$B$29))</f>
        <v/>
      </c>
      <c r="AJ141" s="92" t="str">
        <f aca="false">IF(ISBLANK($C141),"",IF(I141=Constants!$B$3,TRUE(),IF(I141=Constants!$B$4,FALSE(),TRUE())))</f>
        <v/>
      </c>
      <c r="AK141" s="92" t="str">
        <f aca="false">IF(ISBLANK($C141),"",IF(J141=Constants!$B$3,TRUE(),IF(J141=Constants!$B$4,FALSE(),TRUE())))</f>
        <v/>
      </c>
      <c r="AL141" s="92" t="str">
        <f aca="false">IF(ISBLANK($C141),"",IF(K141=Constants!$B$5,TRUE(),IF(K141=Constants!$B$6,FALSE(),COUNTA(L141:P141)&gt;0)))</f>
        <v/>
      </c>
      <c r="AM141" s="94" t="str">
        <f aca="false">IF(ISBLANK($C141),"",IF(ISNUMBER(L141),IF(L141&gt;=0,L141,""),""))</f>
        <v/>
      </c>
      <c r="AN141" s="93" t="str">
        <f aca="false">IF(ISBLANK($C141),"",IF(ISNUMBER(M141),IF(M141&gt;=0,M141,""),""))</f>
        <v/>
      </c>
      <c r="AO141" s="93" t="str">
        <f aca="false">IF(ISBLANK($C141),"",IF(N141=Constants!$B$3,TRUE(),IF(N141=Constants!$B$4,FALSE(),TRUE())))</f>
        <v/>
      </c>
      <c r="AP141" s="92" t="str">
        <f aca="false">IF(ISBLANK($C141),"",IF(ISNUMBER(O141),IF(O141&gt;=0,O141,""),""))</f>
        <v/>
      </c>
      <c r="AQ141" s="92" t="str">
        <f aca="false">IF(ISBLANK($C141),"",IF(P141=Constants!$B$3,TRUE(),IF(P141=Constants!$B$4,FALSE(),FALSE())))</f>
        <v/>
      </c>
      <c r="AR141" s="92" t="str">
        <f aca="false">IF(ISBLANK($C141),"",IF(Q141=Constants!$B$3,TRUE(),IF(Q141=Constants!$B$4,FALSE(),TRUE())))</f>
        <v/>
      </c>
      <c r="AS141" s="92" t="str">
        <f aca="false">IF(ISBLANK($C141),"",IF(R141=Constants!$B$3,TRUE(),IF(R141=Constants!$B$4,FALSE(),TRUE())))</f>
        <v/>
      </c>
      <c r="AT141" s="92" t="str">
        <f aca="false">IF(ISBLANK($C141),"",IF(S141=Constants!$B$5,TRUE(),IF(S141=Constants!$B$6,FALSE(),COUNTA(T141:X141)&gt;0)))</f>
        <v/>
      </c>
      <c r="AU141" s="94" t="str">
        <f aca="false">IF(ISBLANK($C141),"",IF(ISNUMBER(T141),IF(T141&gt;=0,T141,""),""))</f>
        <v/>
      </c>
      <c r="AV141" s="93" t="str">
        <f aca="false">IF(ISBLANK($C141),"",IF(ISNUMBER(U141),IF(U141&gt;=0,U141,""),""))</f>
        <v/>
      </c>
      <c r="AW141" s="93" t="str">
        <f aca="false">IF(ISBLANK($C141),"",IF(V141=Constants!$B$3,TRUE(),IF(V141=Constants!$B$4,FALSE(),TRUE())))</f>
        <v/>
      </c>
      <c r="AX141" s="92" t="str">
        <f aca="false">IF(ISBLANK($C141),"",IF(ISNUMBER(W141),IF(W141&gt;=0,W141,""),""))</f>
        <v/>
      </c>
      <c r="AY141" s="92" t="str">
        <f aca="false">IF(ISBLANK($C141),"",IF(X141=Constants!$B$3,TRUE(),IF(X141=Constants!$B$4,FALSE(),FALSE())))</f>
        <v/>
      </c>
      <c r="AZ141" s="92" t="str">
        <f aca="false">IF(ISBLANK($C141),"",MIN(Constants!$B$31,MAX(0,IF(ISNUMBER(Y141),Y141*60,0)+IF(ISNUMBER(Z141),Z141,0))))</f>
        <v/>
      </c>
      <c r="BA141" s="92" t="str">
        <f aca="false">IF(ISBLANK($C141),"",IF(AA141=Constants!$B$3,TRUE(),IF(AA141=Constants!$B$4,FALSE(),FALSE())))</f>
        <v/>
      </c>
      <c r="BB141" s="91" t="str">
        <f aca="false">IF(ISBLANK($C141),"",AND($AL141,OR($AM141="",$AN141="",AND($AO141,$AP141=""))))</f>
        <v/>
      </c>
      <c r="BC141" s="93" t="str">
        <f aca="false">IF($BR141&lt;&gt;Constants!$B$8,"",IF($AL141,Constants!$B$21*$AN141+Constants!$B$22*IF($AO141,$AP141,Constants!$B$23),Constants!$B$24))</f>
        <v/>
      </c>
      <c r="BD141" s="96" t="str">
        <f aca="false">IF($BR141&lt;&gt;Constants!$B$8,"",Constants!$B$25*ABS($AD$9-IF($AL141,$AM141,0)))</f>
        <v/>
      </c>
      <c r="BE141" s="96" t="str">
        <f aca="false">IF($BR141&lt;&gt;Constants!$B$8,"",IF(AND($AL141,$AQ141,$AO141),Constants!$B$27,0))</f>
        <v/>
      </c>
      <c r="BF141" s="96" t="str">
        <f aca="false">IF($BR141&lt;&gt;Constants!$B$8,"",IF($AL141,($AI141-Constants!$B$29)*Constants!$B$28,0))</f>
        <v/>
      </c>
      <c r="BG141" s="96" t="str">
        <f aca="false">IF($BR141&lt;&gt;Constants!$B$8,"",IF($AK141,0,Constants!$B$15)+IF($AJ141,0,Constants!$B$16)+IF($AH141,0,Constants!$B$17))</f>
        <v/>
      </c>
      <c r="BH141" s="97" t="str">
        <f aca="false">IF($BR141&lt;&gt;Constants!$B$8,"",Constants!$B$20+SUM($BC141:$BG141))</f>
        <v/>
      </c>
      <c r="BI141" s="92" t="str">
        <f aca="false">IF($BR141&lt;&gt;Constants!$B$8,"",IF(OR($BP141&lt;$BH141,AND($BP141=$BH141,OR($BK141&lt;$BC141,AND($BK141=$BC141,OR($BL141&lt;$BD141,AND($BL141=$BD141,$AT141,$AL141,$AV141&lt;$AN141)))))),"-&gt;","&lt;-"))</f>
        <v/>
      </c>
      <c r="BJ141" s="91" t="str">
        <f aca="false">IF(ISBLANK($C141),"",AND($AT141,OR($AU141="",$AV141="",AND($AW141,$AX141=""))))</f>
        <v/>
      </c>
      <c r="BK141" s="93" t="str">
        <f aca="false">IF($BR141&lt;&gt;Constants!$B$8,"",IF($AT141,Constants!$B$21*$AV141+Constants!$B$22*IF($AW141,$AX141,Constants!$B$23),Constants!$B$24))</f>
        <v/>
      </c>
      <c r="BL141" s="96" t="str">
        <f aca="false">IF($BR141&lt;&gt;Constants!$B$8,"",Constants!$B$25*ABS($AD$9-IF($AT141,$AU141,0)))</f>
        <v/>
      </c>
      <c r="BM141" s="96" t="str">
        <f aca="false">IF($BR141&lt;&gt;Constants!$B$8,"",IF(AND($AT141,$AY141,$AW141),Constants!$B$27,0))</f>
        <v/>
      </c>
      <c r="BN141" s="96" t="str">
        <f aca="false">IF($BR141&lt;&gt;Constants!$B$8,"",IF($AT141,($AI141-Constants!$B$29)*Constants!$B$28,0))</f>
        <v/>
      </c>
      <c r="BO141" s="96" t="str">
        <f aca="false">IF($BR141&lt;&gt;Constants!$B$8,"",IF($AS141,0,Constants!$B$15)+IF($AR141,0,Constants!$B$16)+IF($AH141,0,Constants!$B$17))</f>
        <v/>
      </c>
      <c r="BP141" s="97" t="str">
        <f aca="false">IF($BR141&lt;&gt;Constants!$B$8,"",Constants!$B$20+SUM($BK141:$BO141))</f>
        <v/>
      </c>
      <c r="BQ141" s="92" t="str">
        <f aca="false">IF(ISBLANK($C141),"",IF(ISBLANK($D$7),$BQ$5,IF(NOT(ISNUMBER($D$7)),$BQ$6,"")))</f>
        <v/>
      </c>
      <c r="BR141" s="92" t="str">
        <f aca="false">IF(ISBLANK($C141),"",IF($BA141,Constants!$B$11,IF(COUNTA($E141:$AA141)=0,Constants!$B$10,IF(NOT($AG141),Constants!$B$9,IF(OR($BQ141&lt;&gt;"",$BB141,$BJ141),Constants!$B$12,Constants!$B$8)))))</f>
        <v/>
      </c>
      <c r="BS141" s="92" t="str">
        <f aca="false">IF(ISBLANK($C141),"",IF($BR141&lt;&gt;Constants!$B$8,$BR141,Constants!$B$13))</f>
        <v/>
      </c>
      <c r="BT141" s="96" t="str">
        <f aca="false">IF($BR141&lt;&gt;Constants!$B$8,"",IF($BI141="-&gt;",$BP141,$BH141))</f>
        <v/>
      </c>
      <c r="BU141" s="96" t="str">
        <f aca="false">IF($BR141&lt;&gt;Constants!$B$8,"",IF($AF141,0,Constants!$B$18))</f>
        <v/>
      </c>
      <c r="BV141" s="96" t="str">
        <f aca="false">IF($BR141&lt;&gt;Constants!$B$8,"",((Constants!$B$31-$AZ141)-Constants!$B$31)/Constants!$B$32)</f>
        <v/>
      </c>
      <c r="BW141" s="96" t="str">
        <f aca="false">IF(ISBLANK($C141),"",IF($BR141&lt;&gt;Constants!$B$8,$BR141,SUM($BT141:$BV141)))</f>
        <v/>
      </c>
      <c r="BX141" s="92" t="str">
        <f aca="false">IF(ISBLANK($C141),"",IF($BR141&lt;&gt;Constants!$B$8,$BR141,RANK($BW141,$BW$9:$BW$508,1)))</f>
        <v/>
      </c>
      <c r="BY141" s="96" t="str">
        <f aca="false">IF($BR141&lt;&gt;Constants!$B$8,"",IF($BI141="-&gt;",$BK141,$BC141))</f>
        <v/>
      </c>
      <c r="BZ141" s="92" t="str">
        <f aca="false">IF(ISBLANK($C141),"",IF($BR141&lt;&gt;Constants!$B$8,$BR141,IF(ISNUMBER($BY141),RANK($BY141,$BY$9:$BY$508,1),COUNT($BY$9:$BY$508)+1)))</f>
        <v/>
      </c>
      <c r="CA141" s="96" t="str">
        <f aca="false">IF($BR141&lt;&gt;Constants!$B$8,"",IF($BI141="-&gt;",$BL141,$BD141))</f>
        <v/>
      </c>
      <c r="CB141" s="92" t="str">
        <f aca="false">IF(ISBLANK($C141),"",IF($BR141&lt;&gt;Constants!$B$8,$BR141,IF(ISNUMBER($CA141),RANK($CA141,$CA$9:$CA$508,1),COUNT($CA$9:$CA$508)+1)))</f>
        <v/>
      </c>
      <c r="CC141" s="96" t="str">
        <f aca="false">IF($BR141&lt;&gt;Constants!$B$8,"",IF($BI141="-&gt;",IF($AT141,$AV141,""),IF($AL141,$AN141,"")))</f>
        <v/>
      </c>
      <c r="CD141" s="92" t="str">
        <f aca="false">IF(ISBLANK($C141),"",IF($BR141&lt;&gt;Constants!$B$8,$BR141,IF(ISNUMBER($CC141),RANK($CC141,$CC$9:$CC$508,1),COUNT($CC$9:$CC$508)+1)))</f>
        <v/>
      </c>
      <c r="CE141" s="96" t="str">
        <f aca="false">IF($BR141&lt;&gt;Constants!$B$8,"",IF(AND(NOT($AL141),NOT($AT141),$AJ141,$AK141,$AR141,$AS141),"",$AI141))</f>
        <v/>
      </c>
      <c r="CF141" s="92" t="str">
        <f aca="false">IF(ISBLANK($C141),"",IF($BR141&lt;&gt;Constants!$B$8,$BR141,IF(ISNUMBER($CE141),RANK($CE141,$CE$9:$CE$508,1),COUNT($CE$9:$CE$508)+1)))</f>
        <v/>
      </c>
      <c r="CG141" s="92" t="str">
        <f aca="false">IF(ISBLANK($C141),"",IF($BR141&lt;&gt;Constants!$B$8,$BR141,COUNTIFS($BX$9:$BX$508,"&lt;"&amp;$BX141)+COUNTIFS($BX$9:$BX$508,$BX141,$BZ$9:$BZ$508,"&lt;"&amp;$BZ141)+COUNTIFS($BX$9:$BX$508,$BX141,$BZ$9:$BZ$508,$BZ141,$CB$9:$CB$508,"&lt;"&amp;$CB141)+COUNTIFS($BX$9:$BX$508,$BX141,$BZ$9:$BZ$508,$BZ141,$CB$9:$CB$508,$CB141,$CD$9:$CD$508,"&lt;"&amp;$CD141)+COUNTIFS($BX$9:$BX$508,$BX141,$BZ$9:$BZ$508,$BZ141,$CB$9:$CB$508,$CB141,$CD$9:$CD$508,$CD141,$CF$9:$CF$508,"&lt;"&amp;$CF141)+1))</f>
        <v/>
      </c>
      <c r="CH141" s="92" t="str">
        <f aca="false">IF(ISBLANK($C141),"",IF($BR141&lt;&gt;Constants!$B$8,$BR141,$BX141-$CG141))</f>
        <v/>
      </c>
      <c r="CI141" s="98"/>
      <c r="CJ141" s="99"/>
      <c r="CK141" s="100" t="str">
        <f aca="false">IF(ISBLANK($C141),"",IF($BR141=Constants!$B$12,$BQ141,""))</f>
        <v/>
      </c>
      <c r="CL141" s="99" t="str">
        <f aca="false">IF(ISBLANK($C141),"",IF($BR141&lt;&gt;Constants!$B$8,"",IF($BI141="-&gt;",2,1)))</f>
        <v/>
      </c>
      <c r="CM141" s="101" t="str">
        <f aca="false">IF(ISBLANK($C141),"",IF($BR141&lt;&gt;Constants!$B$8,"",IF($BI141="-&gt;",$BK141,$BC141)))</f>
        <v/>
      </c>
      <c r="CN141" s="101" t="str">
        <f aca="false">IF(ISBLANK($C141),"",IF($BR141&lt;&gt;Constants!$B$8,"",IF($BI141="-&gt;",$BL141,$BD141)))</f>
        <v/>
      </c>
      <c r="CO141" s="101" t="str">
        <f aca="false">IF(ISBLANK($C141),"",IF($BR141&lt;&gt;Constants!$B$8,"",IF($BI141="-&gt;",$BM141+$BN141,$BE141+$BF141)+$BV141))</f>
        <v/>
      </c>
      <c r="CP141" s="101" t="str">
        <f aca="false">IF(ISBLANK($C141),"",IF($BR141&lt;&gt;Constants!$B$8,"",IF($BI141="-&gt;",$BO141,$BG141)+$BU141))</f>
        <v/>
      </c>
      <c r="CQ141" s="102" t="str">
        <f aca="false">IF(ISBLANK($C141),"",IF($BR141&lt;&gt;Constants!$B$8,$BR141,$BW141))</f>
        <v/>
      </c>
      <c r="CR141" s="103" t="str">
        <f aca="false">IF(ISBLANK($C141),"",$BS141)</f>
        <v/>
      </c>
      <c r="CS141" s="104" t="str">
        <f aca="false">IF(ISBLANK($C141),"",$CH141)</f>
        <v/>
      </c>
      <c r="CT141" s="104" t="str">
        <f aca="false">IF(ISBLANK($C141),"",$CG141)</f>
        <v/>
      </c>
      <c r="CU141" s="105" t="str">
        <f aca="false">IF(ISBLANK($C141),"",IFERROR(_xlfn.SWITCH($CT141,Constants!$B$11,COUNTA($C$9:$C$508)+2,Constants!$B$10,COUNTA($C$9:$C$508)+1,Constants!$B$9,COUNTA($C$9:$C$508)),$CT141))</f>
        <v/>
      </c>
      <c r="CV141" s="9"/>
      <c r="CW141" s="106" t="n">
        <f aca="false">IF(OR(ISNUMBER($CT141),$CT141=Constants!$B$11,$CT141=Constants!$B$9,$CT141=Constants!$B$10),1,0)</f>
        <v>0</v>
      </c>
      <c r="CX141" s="106" t="n">
        <v>133</v>
      </c>
      <c r="CY141" s="106" t="str">
        <f aca="false">IF(ISBLANK($C141),"",IF(ISNUMBER($CU141),$CU141+ROW($B141)/1000,""))</f>
        <v/>
      </c>
      <c r="CZ141" s="106" t="str">
        <f aca="false">IF(ISNUMBER($CY141),RANK($CY141,$CY$9:$CY$508,1),"")</f>
        <v/>
      </c>
      <c r="DA141" s="106" t="str">
        <f aca="false">IF(ISBLANK($C141),"",$B141)</f>
        <v/>
      </c>
      <c r="DB141" s="106" t="str">
        <f aca="false">IF(ISBLANK($C141),"",$C141)</f>
        <v/>
      </c>
      <c r="DC141" s="106" t="str">
        <f aca="false">IF(ISBLANK($C141),"",$D141)</f>
        <v/>
      </c>
      <c r="DD141" s="107" t="str">
        <f aca="false">$CR141</f>
        <v/>
      </c>
      <c r="DE141" s="108" t="str">
        <f aca="false">$CQ141</f>
        <v/>
      </c>
      <c r="DF141" s="106" t="str">
        <f aca="false">IF(ISBLANK($C141),"",$CT141)</f>
        <v/>
      </c>
      <c r="DG141" s="109" t="str">
        <f aca="false">IF($CX141&gt;$CW$8,"",VLOOKUP($CX141,$CZ$9:$DF$508,7,FALSE()))</f>
        <v/>
      </c>
      <c r="DH141" s="110" t="str">
        <f aca="false">IF($CX141&gt;$CW$8,"",VLOOKUP($CX141,$CZ$9:$DF$508,2,FALSE()))</f>
        <v/>
      </c>
      <c r="DI141" s="110" t="str">
        <f aca="false">IF($CX141&gt;$CW$8,"",VLOOKUP($CX141,$CZ$9:$DF$508,3,FALSE()))</f>
        <v/>
      </c>
      <c r="DJ141" s="110" t="str">
        <f aca="false">IF($CX141&gt;$CW$8,"",VLOOKUP($CX141,$CZ$9:$DF$508,4,FALSE()))</f>
        <v/>
      </c>
      <c r="DK141" s="110" t="str">
        <f aca="false">IF($CX141&gt;$CW$8,"",VLOOKUP($CX141,$CZ$9:$DF$508,5,FALSE()))</f>
        <v/>
      </c>
      <c r="DL141" s="111" t="str">
        <f aca="false">IF($CX141&gt;$CW$8,"",VLOOKUP($CX141,$CZ$9:$DF$508,6,FALSE()))</f>
        <v/>
      </c>
      <c r="DM141" s="75"/>
    </row>
    <row r="142" customFormat="false" ht="15.75" hidden="false" customHeight="false" outlineLevel="0" collapsed="false">
      <c r="A142" s="9"/>
      <c r="B142" s="77"/>
      <c r="C142" s="78"/>
      <c r="D142" s="167"/>
      <c r="E142" s="175"/>
      <c r="F142" s="169"/>
      <c r="G142" s="170"/>
      <c r="H142" s="170"/>
      <c r="I142" s="176"/>
      <c r="J142" s="173"/>
      <c r="K142" s="85"/>
      <c r="L142" s="86"/>
      <c r="M142" s="87"/>
      <c r="N142" s="173"/>
      <c r="O142" s="173"/>
      <c r="P142" s="175"/>
      <c r="Q142" s="173"/>
      <c r="R142" s="173"/>
      <c r="S142" s="85"/>
      <c r="T142" s="87"/>
      <c r="U142" s="87"/>
      <c r="V142" s="173"/>
      <c r="W142" s="173"/>
      <c r="X142" s="175"/>
      <c r="Y142" s="173"/>
      <c r="Z142" s="174"/>
      <c r="AA142" s="173"/>
      <c r="AB142" s="91"/>
      <c r="AC142" s="92"/>
      <c r="AD142" s="92"/>
      <c r="AE142" s="92"/>
      <c r="AF142" s="92" t="str">
        <f aca="false">IF(ISBLANK($C142),"",IF(E142=Constants!$B$3,TRUE(),IF(E142=Constants!$B$4,FALSE(),TRUE())))</f>
        <v/>
      </c>
      <c r="AG142" s="92" t="str">
        <f aca="false">IF(ISBLANK($C142),"",IF(F142=Constants!$B$3,TRUE(),IF(F142=Constants!$B$4,FALSE(),TRUE())))</f>
        <v/>
      </c>
      <c r="AH142" s="92" t="str">
        <f aca="false">IF(ISBLANK($C142),"",IF(G142=Constants!$B$3,TRUE(),IF(G142=Constants!$B$4,FALSE(),TRUE())))</f>
        <v/>
      </c>
      <c r="AI142" s="92" t="str">
        <f aca="false">IF(ISBLANK($C142),"",IF(AND(ISNUMBER(H142),H142&gt;=0),H142,Constants!$B$29))</f>
        <v/>
      </c>
      <c r="AJ142" s="92" t="str">
        <f aca="false">IF(ISBLANK($C142),"",IF(I142=Constants!$B$3,TRUE(),IF(I142=Constants!$B$4,FALSE(),TRUE())))</f>
        <v/>
      </c>
      <c r="AK142" s="92" t="str">
        <f aca="false">IF(ISBLANK($C142),"",IF(J142=Constants!$B$3,TRUE(),IF(J142=Constants!$B$4,FALSE(),TRUE())))</f>
        <v/>
      </c>
      <c r="AL142" s="92" t="str">
        <f aca="false">IF(ISBLANK($C142),"",IF(K142=Constants!$B$5,TRUE(),IF(K142=Constants!$B$6,FALSE(),COUNTA(L142:P142)&gt;0)))</f>
        <v/>
      </c>
      <c r="AM142" s="94" t="str">
        <f aca="false">IF(ISBLANK($C142),"",IF(ISNUMBER(L142),IF(L142&gt;=0,L142,""),""))</f>
        <v/>
      </c>
      <c r="AN142" s="93" t="str">
        <f aca="false">IF(ISBLANK($C142),"",IF(ISNUMBER(M142),IF(M142&gt;=0,M142,""),""))</f>
        <v/>
      </c>
      <c r="AO142" s="93" t="str">
        <f aca="false">IF(ISBLANK($C142),"",IF(N142=Constants!$B$3,TRUE(),IF(N142=Constants!$B$4,FALSE(),TRUE())))</f>
        <v/>
      </c>
      <c r="AP142" s="92" t="str">
        <f aca="false">IF(ISBLANK($C142),"",IF(ISNUMBER(O142),IF(O142&gt;=0,O142,""),""))</f>
        <v/>
      </c>
      <c r="AQ142" s="92" t="str">
        <f aca="false">IF(ISBLANK($C142),"",IF(P142=Constants!$B$3,TRUE(),IF(P142=Constants!$B$4,FALSE(),FALSE())))</f>
        <v/>
      </c>
      <c r="AR142" s="92" t="str">
        <f aca="false">IF(ISBLANK($C142),"",IF(Q142=Constants!$B$3,TRUE(),IF(Q142=Constants!$B$4,FALSE(),TRUE())))</f>
        <v/>
      </c>
      <c r="AS142" s="92" t="str">
        <f aca="false">IF(ISBLANK($C142),"",IF(R142=Constants!$B$3,TRUE(),IF(R142=Constants!$B$4,FALSE(),TRUE())))</f>
        <v/>
      </c>
      <c r="AT142" s="92" t="str">
        <f aca="false">IF(ISBLANK($C142),"",IF(S142=Constants!$B$5,TRUE(),IF(S142=Constants!$B$6,FALSE(),COUNTA(T142:X142)&gt;0)))</f>
        <v/>
      </c>
      <c r="AU142" s="94" t="str">
        <f aca="false">IF(ISBLANK($C142),"",IF(ISNUMBER(T142),IF(T142&gt;=0,T142,""),""))</f>
        <v/>
      </c>
      <c r="AV142" s="93" t="str">
        <f aca="false">IF(ISBLANK($C142),"",IF(ISNUMBER(U142),IF(U142&gt;=0,U142,""),""))</f>
        <v/>
      </c>
      <c r="AW142" s="93" t="str">
        <f aca="false">IF(ISBLANK($C142),"",IF(V142=Constants!$B$3,TRUE(),IF(V142=Constants!$B$4,FALSE(),TRUE())))</f>
        <v/>
      </c>
      <c r="AX142" s="92" t="str">
        <f aca="false">IF(ISBLANK($C142),"",IF(ISNUMBER(W142),IF(W142&gt;=0,W142,""),""))</f>
        <v/>
      </c>
      <c r="AY142" s="92" t="str">
        <f aca="false">IF(ISBLANK($C142),"",IF(X142=Constants!$B$3,TRUE(),IF(X142=Constants!$B$4,FALSE(),FALSE())))</f>
        <v/>
      </c>
      <c r="AZ142" s="92" t="str">
        <f aca="false">IF(ISBLANK($C142),"",MIN(Constants!$B$31,MAX(0,IF(ISNUMBER(Y142),Y142*60,0)+IF(ISNUMBER(Z142),Z142,0))))</f>
        <v/>
      </c>
      <c r="BA142" s="92" t="str">
        <f aca="false">IF(ISBLANK($C142),"",IF(AA142=Constants!$B$3,TRUE(),IF(AA142=Constants!$B$4,FALSE(),FALSE())))</f>
        <v/>
      </c>
      <c r="BB142" s="91" t="str">
        <f aca="false">IF(ISBLANK($C142),"",AND($AL142,OR($AM142="",$AN142="",AND($AO142,$AP142=""))))</f>
        <v/>
      </c>
      <c r="BC142" s="93" t="str">
        <f aca="false">IF($BR142&lt;&gt;Constants!$B$8,"",IF($AL142,Constants!$B$21*$AN142+Constants!$B$22*IF($AO142,$AP142,Constants!$B$23),Constants!$B$24))</f>
        <v/>
      </c>
      <c r="BD142" s="96" t="str">
        <f aca="false">IF($BR142&lt;&gt;Constants!$B$8,"",Constants!$B$25*ABS($AD$9-IF($AL142,$AM142,0)))</f>
        <v/>
      </c>
      <c r="BE142" s="96" t="str">
        <f aca="false">IF($BR142&lt;&gt;Constants!$B$8,"",IF(AND($AL142,$AQ142,$AO142),Constants!$B$27,0))</f>
        <v/>
      </c>
      <c r="BF142" s="96" t="str">
        <f aca="false">IF($BR142&lt;&gt;Constants!$B$8,"",IF($AL142,($AI142-Constants!$B$29)*Constants!$B$28,0))</f>
        <v/>
      </c>
      <c r="BG142" s="96" t="str">
        <f aca="false">IF($BR142&lt;&gt;Constants!$B$8,"",IF($AK142,0,Constants!$B$15)+IF($AJ142,0,Constants!$B$16)+IF($AH142,0,Constants!$B$17))</f>
        <v/>
      </c>
      <c r="BH142" s="97" t="str">
        <f aca="false">IF($BR142&lt;&gt;Constants!$B$8,"",Constants!$B$20+SUM($BC142:$BG142))</f>
        <v/>
      </c>
      <c r="BI142" s="92" t="str">
        <f aca="false">IF($BR142&lt;&gt;Constants!$B$8,"",IF(OR($BP142&lt;$BH142,AND($BP142=$BH142,OR($BK142&lt;$BC142,AND($BK142=$BC142,OR($BL142&lt;$BD142,AND($BL142=$BD142,$AT142,$AL142,$AV142&lt;$AN142)))))),"-&gt;","&lt;-"))</f>
        <v/>
      </c>
      <c r="BJ142" s="91" t="str">
        <f aca="false">IF(ISBLANK($C142),"",AND($AT142,OR($AU142="",$AV142="",AND($AW142,$AX142=""))))</f>
        <v/>
      </c>
      <c r="BK142" s="93" t="str">
        <f aca="false">IF($BR142&lt;&gt;Constants!$B$8,"",IF($AT142,Constants!$B$21*$AV142+Constants!$B$22*IF($AW142,$AX142,Constants!$B$23),Constants!$B$24))</f>
        <v/>
      </c>
      <c r="BL142" s="96" t="str">
        <f aca="false">IF($BR142&lt;&gt;Constants!$B$8,"",Constants!$B$25*ABS($AD$9-IF($AT142,$AU142,0)))</f>
        <v/>
      </c>
      <c r="BM142" s="96" t="str">
        <f aca="false">IF($BR142&lt;&gt;Constants!$B$8,"",IF(AND($AT142,$AY142,$AW142),Constants!$B$27,0))</f>
        <v/>
      </c>
      <c r="BN142" s="96" t="str">
        <f aca="false">IF($BR142&lt;&gt;Constants!$B$8,"",IF($AT142,($AI142-Constants!$B$29)*Constants!$B$28,0))</f>
        <v/>
      </c>
      <c r="BO142" s="96" t="str">
        <f aca="false">IF($BR142&lt;&gt;Constants!$B$8,"",IF($AS142,0,Constants!$B$15)+IF($AR142,0,Constants!$B$16)+IF($AH142,0,Constants!$B$17))</f>
        <v/>
      </c>
      <c r="BP142" s="97" t="str">
        <f aca="false">IF($BR142&lt;&gt;Constants!$B$8,"",Constants!$B$20+SUM($BK142:$BO142))</f>
        <v/>
      </c>
      <c r="BQ142" s="92" t="str">
        <f aca="false">IF(ISBLANK($C142),"",IF(ISBLANK($D$7),$BQ$5,IF(NOT(ISNUMBER($D$7)),$BQ$6,"")))</f>
        <v/>
      </c>
      <c r="BR142" s="92" t="str">
        <f aca="false">IF(ISBLANK($C142),"",IF($BA142,Constants!$B$11,IF(COUNTA($E142:$AA142)=0,Constants!$B$10,IF(NOT($AG142),Constants!$B$9,IF(OR($BQ142&lt;&gt;"",$BB142,$BJ142),Constants!$B$12,Constants!$B$8)))))</f>
        <v/>
      </c>
      <c r="BS142" s="92" t="str">
        <f aca="false">IF(ISBLANK($C142),"",IF($BR142&lt;&gt;Constants!$B$8,$BR142,Constants!$B$13))</f>
        <v/>
      </c>
      <c r="BT142" s="96" t="str">
        <f aca="false">IF($BR142&lt;&gt;Constants!$B$8,"",IF($BI142="-&gt;",$BP142,$BH142))</f>
        <v/>
      </c>
      <c r="BU142" s="96" t="str">
        <f aca="false">IF($BR142&lt;&gt;Constants!$B$8,"",IF($AF142,0,Constants!$B$18))</f>
        <v/>
      </c>
      <c r="BV142" s="96" t="str">
        <f aca="false">IF($BR142&lt;&gt;Constants!$B$8,"",((Constants!$B$31-$AZ142)-Constants!$B$31)/Constants!$B$32)</f>
        <v/>
      </c>
      <c r="BW142" s="96" t="str">
        <f aca="false">IF(ISBLANK($C142),"",IF($BR142&lt;&gt;Constants!$B$8,$BR142,SUM($BT142:$BV142)))</f>
        <v/>
      </c>
      <c r="BX142" s="92" t="str">
        <f aca="false">IF(ISBLANK($C142),"",IF($BR142&lt;&gt;Constants!$B$8,$BR142,RANK($BW142,$BW$9:$BW$508,1)))</f>
        <v/>
      </c>
      <c r="BY142" s="96" t="str">
        <f aca="false">IF($BR142&lt;&gt;Constants!$B$8,"",IF($BI142="-&gt;",$BK142,$BC142))</f>
        <v/>
      </c>
      <c r="BZ142" s="92" t="str">
        <f aca="false">IF(ISBLANK($C142),"",IF($BR142&lt;&gt;Constants!$B$8,$BR142,IF(ISNUMBER($BY142),RANK($BY142,$BY$9:$BY$508,1),COUNT($BY$9:$BY$508)+1)))</f>
        <v/>
      </c>
      <c r="CA142" s="96" t="str">
        <f aca="false">IF($BR142&lt;&gt;Constants!$B$8,"",IF($BI142="-&gt;",$BL142,$BD142))</f>
        <v/>
      </c>
      <c r="CB142" s="92" t="str">
        <f aca="false">IF(ISBLANK($C142),"",IF($BR142&lt;&gt;Constants!$B$8,$BR142,IF(ISNUMBER($CA142),RANK($CA142,$CA$9:$CA$508,1),COUNT($CA$9:$CA$508)+1)))</f>
        <v/>
      </c>
      <c r="CC142" s="96" t="str">
        <f aca="false">IF($BR142&lt;&gt;Constants!$B$8,"",IF($BI142="-&gt;",IF($AT142,$AV142,""),IF($AL142,$AN142,"")))</f>
        <v/>
      </c>
      <c r="CD142" s="92" t="str">
        <f aca="false">IF(ISBLANK($C142),"",IF($BR142&lt;&gt;Constants!$B$8,$BR142,IF(ISNUMBER($CC142),RANK($CC142,$CC$9:$CC$508,1),COUNT($CC$9:$CC$508)+1)))</f>
        <v/>
      </c>
      <c r="CE142" s="96" t="str">
        <f aca="false">IF($BR142&lt;&gt;Constants!$B$8,"",IF(AND(NOT($AL142),NOT($AT142),$AJ142,$AK142,$AR142,$AS142),"",$AI142))</f>
        <v/>
      </c>
      <c r="CF142" s="92" t="str">
        <f aca="false">IF(ISBLANK($C142),"",IF($BR142&lt;&gt;Constants!$B$8,$BR142,IF(ISNUMBER($CE142),RANK($CE142,$CE$9:$CE$508,1),COUNT($CE$9:$CE$508)+1)))</f>
        <v/>
      </c>
      <c r="CG142" s="92" t="str">
        <f aca="false">IF(ISBLANK($C142),"",IF($BR142&lt;&gt;Constants!$B$8,$BR142,COUNTIFS($BX$9:$BX$508,"&lt;"&amp;$BX142)+COUNTIFS($BX$9:$BX$508,$BX142,$BZ$9:$BZ$508,"&lt;"&amp;$BZ142)+COUNTIFS($BX$9:$BX$508,$BX142,$BZ$9:$BZ$508,$BZ142,$CB$9:$CB$508,"&lt;"&amp;$CB142)+COUNTIFS($BX$9:$BX$508,$BX142,$BZ$9:$BZ$508,$BZ142,$CB$9:$CB$508,$CB142,$CD$9:$CD$508,"&lt;"&amp;$CD142)+COUNTIFS($BX$9:$BX$508,$BX142,$BZ$9:$BZ$508,$BZ142,$CB$9:$CB$508,$CB142,$CD$9:$CD$508,$CD142,$CF$9:$CF$508,"&lt;"&amp;$CF142)+1))</f>
        <v/>
      </c>
      <c r="CH142" s="92" t="str">
        <f aca="false">IF(ISBLANK($C142),"",IF($BR142&lt;&gt;Constants!$B$8,$BR142,$BX142-$CG142))</f>
        <v/>
      </c>
      <c r="CI142" s="98"/>
      <c r="CJ142" s="99"/>
      <c r="CK142" s="100" t="str">
        <f aca="false">IF(ISBLANK($C142),"",IF($BR142=Constants!$B$12,$BQ142,""))</f>
        <v/>
      </c>
      <c r="CL142" s="99" t="str">
        <f aca="false">IF(ISBLANK($C142),"",IF($BR142&lt;&gt;Constants!$B$8,"",IF($BI142="-&gt;",2,1)))</f>
        <v/>
      </c>
      <c r="CM142" s="101" t="str">
        <f aca="false">IF(ISBLANK($C142),"",IF($BR142&lt;&gt;Constants!$B$8,"",IF($BI142="-&gt;",$BK142,$BC142)))</f>
        <v/>
      </c>
      <c r="CN142" s="101" t="str">
        <f aca="false">IF(ISBLANK($C142),"",IF($BR142&lt;&gt;Constants!$B$8,"",IF($BI142="-&gt;",$BL142,$BD142)))</f>
        <v/>
      </c>
      <c r="CO142" s="101" t="str">
        <f aca="false">IF(ISBLANK($C142),"",IF($BR142&lt;&gt;Constants!$B$8,"",IF($BI142="-&gt;",$BM142+$BN142,$BE142+$BF142)+$BV142))</f>
        <v/>
      </c>
      <c r="CP142" s="101" t="str">
        <f aca="false">IF(ISBLANK($C142),"",IF($BR142&lt;&gt;Constants!$B$8,"",IF($BI142="-&gt;",$BO142,$BG142)+$BU142))</f>
        <v/>
      </c>
      <c r="CQ142" s="102" t="str">
        <f aca="false">IF(ISBLANK($C142),"",IF($BR142&lt;&gt;Constants!$B$8,$BR142,$BW142))</f>
        <v/>
      </c>
      <c r="CR142" s="103" t="str">
        <f aca="false">IF(ISBLANK($C142),"",$BS142)</f>
        <v/>
      </c>
      <c r="CS142" s="104" t="str">
        <f aca="false">IF(ISBLANK($C142),"",$CH142)</f>
        <v/>
      </c>
      <c r="CT142" s="104" t="str">
        <f aca="false">IF(ISBLANK($C142),"",$CG142)</f>
        <v/>
      </c>
      <c r="CU142" s="105" t="str">
        <f aca="false">IF(ISBLANK($C142),"",IFERROR(_xlfn.SWITCH($CT142,Constants!$B$11,COUNTA($C$9:$C$508)+2,Constants!$B$10,COUNTA($C$9:$C$508)+1,Constants!$B$9,COUNTA($C$9:$C$508)),$CT142))</f>
        <v/>
      </c>
      <c r="CV142" s="9"/>
      <c r="CW142" s="106" t="n">
        <f aca="false">IF(OR(ISNUMBER($CT142),$CT142=Constants!$B$11,$CT142=Constants!$B$9,$CT142=Constants!$B$10),1,0)</f>
        <v>0</v>
      </c>
      <c r="CX142" s="106" t="n">
        <v>134</v>
      </c>
      <c r="CY142" s="106" t="str">
        <f aca="false">IF(ISBLANK($C142),"",IF(ISNUMBER($CU142),$CU142+ROW($B142)/1000,""))</f>
        <v/>
      </c>
      <c r="CZ142" s="106" t="str">
        <f aca="false">IF(ISNUMBER($CY142),RANK($CY142,$CY$9:$CY$508,1),"")</f>
        <v/>
      </c>
      <c r="DA142" s="106" t="str">
        <f aca="false">IF(ISBLANK($C142),"",$B142)</f>
        <v/>
      </c>
      <c r="DB142" s="106" t="str">
        <f aca="false">IF(ISBLANK($C142),"",$C142)</f>
        <v/>
      </c>
      <c r="DC142" s="106" t="str">
        <f aca="false">IF(ISBLANK($C142),"",$D142)</f>
        <v/>
      </c>
      <c r="DD142" s="107" t="str">
        <f aca="false">$CR142</f>
        <v/>
      </c>
      <c r="DE142" s="108" t="str">
        <f aca="false">$CQ142</f>
        <v/>
      </c>
      <c r="DF142" s="106" t="str">
        <f aca="false">IF(ISBLANK($C142),"",$CT142)</f>
        <v/>
      </c>
      <c r="DG142" s="109" t="str">
        <f aca="false">IF($CX142&gt;$CW$8,"",VLOOKUP($CX142,$CZ$9:$DF$508,7,FALSE()))</f>
        <v/>
      </c>
      <c r="DH142" s="110" t="str">
        <f aca="false">IF($CX142&gt;$CW$8,"",VLOOKUP($CX142,$CZ$9:$DF$508,2,FALSE()))</f>
        <v/>
      </c>
      <c r="DI142" s="110" t="str">
        <f aca="false">IF($CX142&gt;$CW$8,"",VLOOKUP($CX142,$CZ$9:$DF$508,3,FALSE()))</f>
        <v/>
      </c>
      <c r="DJ142" s="110" t="str">
        <f aca="false">IF($CX142&gt;$CW$8,"",VLOOKUP($CX142,$CZ$9:$DF$508,4,FALSE()))</f>
        <v/>
      </c>
      <c r="DK142" s="110" t="str">
        <f aca="false">IF($CX142&gt;$CW$8,"",VLOOKUP($CX142,$CZ$9:$DF$508,5,FALSE()))</f>
        <v/>
      </c>
      <c r="DL142" s="111" t="str">
        <f aca="false">IF($CX142&gt;$CW$8,"",VLOOKUP($CX142,$CZ$9:$DF$508,6,FALSE()))</f>
        <v/>
      </c>
      <c r="DM142" s="75"/>
    </row>
    <row r="143" customFormat="false" ht="15.75" hidden="false" customHeight="false" outlineLevel="0" collapsed="false">
      <c r="A143" s="9"/>
      <c r="B143" s="77"/>
      <c r="C143" s="78"/>
      <c r="D143" s="167"/>
      <c r="E143" s="175"/>
      <c r="F143" s="169"/>
      <c r="G143" s="170"/>
      <c r="H143" s="170"/>
      <c r="I143" s="176"/>
      <c r="J143" s="173"/>
      <c r="K143" s="85"/>
      <c r="L143" s="86"/>
      <c r="M143" s="87"/>
      <c r="N143" s="173"/>
      <c r="O143" s="173"/>
      <c r="P143" s="175"/>
      <c r="Q143" s="173"/>
      <c r="R143" s="173"/>
      <c r="S143" s="85"/>
      <c r="T143" s="87"/>
      <c r="U143" s="87"/>
      <c r="V143" s="173"/>
      <c r="W143" s="173"/>
      <c r="X143" s="175"/>
      <c r="Y143" s="173"/>
      <c r="Z143" s="174"/>
      <c r="AA143" s="173"/>
      <c r="AB143" s="91"/>
      <c r="AC143" s="92"/>
      <c r="AD143" s="92"/>
      <c r="AE143" s="92"/>
      <c r="AF143" s="92" t="str">
        <f aca="false">IF(ISBLANK($C143),"",IF(E143=Constants!$B$3,TRUE(),IF(E143=Constants!$B$4,FALSE(),TRUE())))</f>
        <v/>
      </c>
      <c r="AG143" s="92" t="str">
        <f aca="false">IF(ISBLANK($C143),"",IF(F143=Constants!$B$3,TRUE(),IF(F143=Constants!$B$4,FALSE(),TRUE())))</f>
        <v/>
      </c>
      <c r="AH143" s="92" t="str">
        <f aca="false">IF(ISBLANK($C143),"",IF(G143=Constants!$B$3,TRUE(),IF(G143=Constants!$B$4,FALSE(),TRUE())))</f>
        <v/>
      </c>
      <c r="AI143" s="92" t="str">
        <f aca="false">IF(ISBLANK($C143),"",IF(AND(ISNUMBER(H143),H143&gt;=0),H143,Constants!$B$29))</f>
        <v/>
      </c>
      <c r="AJ143" s="92" t="str">
        <f aca="false">IF(ISBLANK($C143),"",IF(I143=Constants!$B$3,TRUE(),IF(I143=Constants!$B$4,FALSE(),TRUE())))</f>
        <v/>
      </c>
      <c r="AK143" s="92" t="str">
        <f aca="false">IF(ISBLANK($C143),"",IF(J143=Constants!$B$3,TRUE(),IF(J143=Constants!$B$4,FALSE(),TRUE())))</f>
        <v/>
      </c>
      <c r="AL143" s="92" t="str">
        <f aca="false">IF(ISBLANK($C143),"",IF(K143=Constants!$B$5,TRUE(),IF(K143=Constants!$B$6,FALSE(),COUNTA(L143:P143)&gt;0)))</f>
        <v/>
      </c>
      <c r="AM143" s="94" t="str">
        <f aca="false">IF(ISBLANK($C143),"",IF(ISNUMBER(L143),IF(L143&gt;=0,L143,""),""))</f>
        <v/>
      </c>
      <c r="AN143" s="93" t="str">
        <f aca="false">IF(ISBLANK($C143),"",IF(ISNUMBER(M143),IF(M143&gt;=0,M143,""),""))</f>
        <v/>
      </c>
      <c r="AO143" s="93" t="str">
        <f aca="false">IF(ISBLANK($C143),"",IF(N143=Constants!$B$3,TRUE(),IF(N143=Constants!$B$4,FALSE(),TRUE())))</f>
        <v/>
      </c>
      <c r="AP143" s="92" t="str">
        <f aca="false">IF(ISBLANK($C143),"",IF(ISNUMBER(O143),IF(O143&gt;=0,O143,""),""))</f>
        <v/>
      </c>
      <c r="AQ143" s="92" t="str">
        <f aca="false">IF(ISBLANK($C143),"",IF(P143=Constants!$B$3,TRUE(),IF(P143=Constants!$B$4,FALSE(),FALSE())))</f>
        <v/>
      </c>
      <c r="AR143" s="92" t="str">
        <f aca="false">IF(ISBLANK($C143),"",IF(Q143=Constants!$B$3,TRUE(),IF(Q143=Constants!$B$4,FALSE(),TRUE())))</f>
        <v/>
      </c>
      <c r="AS143" s="92" t="str">
        <f aca="false">IF(ISBLANK($C143),"",IF(R143=Constants!$B$3,TRUE(),IF(R143=Constants!$B$4,FALSE(),TRUE())))</f>
        <v/>
      </c>
      <c r="AT143" s="92" t="str">
        <f aca="false">IF(ISBLANK($C143),"",IF(S143=Constants!$B$5,TRUE(),IF(S143=Constants!$B$6,FALSE(),COUNTA(T143:X143)&gt;0)))</f>
        <v/>
      </c>
      <c r="AU143" s="94" t="str">
        <f aca="false">IF(ISBLANK($C143),"",IF(ISNUMBER(T143),IF(T143&gt;=0,T143,""),""))</f>
        <v/>
      </c>
      <c r="AV143" s="93" t="str">
        <f aca="false">IF(ISBLANK($C143),"",IF(ISNUMBER(U143),IF(U143&gt;=0,U143,""),""))</f>
        <v/>
      </c>
      <c r="AW143" s="93" t="str">
        <f aca="false">IF(ISBLANK($C143),"",IF(V143=Constants!$B$3,TRUE(),IF(V143=Constants!$B$4,FALSE(),TRUE())))</f>
        <v/>
      </c>
      <c r="AX143" s="92" t="str">
        <f aca="false">IF(ISBLANK($C143),"",IF(ISNUMBER(W143),IF(W143&gt;=0,W143,""),""))</f>
        <v/>
      </c>
      <c r="AY143" s="92" t="str">
        <f aca="false">IF(ISBLANK($C143),"",IF(X143=Constants!$B$3,TRUE(),IF(X143=Constants!$B$4,FALSE(),FALSE())))</f>
        <v/>
      </c>
      <c r="AZ143" s="92" t="str">
        <f aca="false">IF(ISBLANK($C143),"",MIN(Constants!$B$31,MAX(0,IF(ISNUMBER(Y143),Y143*60,0)+IF(ISNUMBER(Z143),Z143,0))))</f>
        <v/>
      </c>
      <c r="BA143" s="92" t="str">
        <f aca="false">IF(ISBLANK($C143),"",IF(AA143=Constants!$B$3,TRUE(),IF(AA143=Constants!$B$4,FALSE(),FALSE())))</f>
        <v/>
      </c>
      <c r="BB143" s="91" t="str">
        <f aca="false">IF(ISBLANK($C143),"",AND($AL143,OR($AM143="",$AN143="",AND($AO143,$AP143=""))))</f>
        <v/>
      </c>
      <c r="BC143" s="93" t="str">
        <f aca="false">IF($BR143&lt;&gt;Constants!$B$8,"",IF($AL143,Constants!$B$21*$AN143+Constants!$B$22*IF($AO143,$AP143,Constants!$B$23),Constants!$B$24))</f>
        <v/>
      </c>
      <c r="BD143" s="96" t="str">
        <f aca="false">IF($BR143&lt;&gt;Constants!$B$8,"",Constants!$B$25*ABS($AD$9-IF($AL143,$AM143,0)))</f>
        <v/>
      </c>
      <c r="BE143" s="96" t="str">
        <f aca="false">IF($BR143&lt;&gt;Constants!$B$8,"",IF(AND($AL143,$AQ143,$AO143),Constants!$B$27,0))</f>
        <v/>
      </c>
      <c r="BF143" s="96" t="str">
        <f aca="false">IF($BR143&lt;&gt;Constants!$B$8,"",IF($AL143,($AI143-Constants!$B$29)*Constants!$B$28,0))</f>
        <v/>
      </c>
      <c r="BG143" s="96" t="str">
        <f aca="false">IF($BR143&lt;&gt;Constants!$B$8,"",IF($AK143,0,Constants!$B$15)+IF($AJ143,0,Constants!$B$16)+IF($AH143,0,Constants!$B$17))</f>
        <v/>
      </c>
      <c r="BH143" s="97" t="str">
        <f aca="false">IF($BR143&lt;&gt;Constants!$B$8,"",Constants!$B$20+SUM($BC143:$BG143))</f>
        <v/>
      </c>
      <c r="BI143" s="92" t="str">
        <f aca="false">IF($BR143&lt;&gt;Constants!$B$8,"",IF(OR($BP143&lt;$BH143,AND($BP143=$BH143,OR($BK143&lt;$BC143,AND($BK143=$BC143,OR($BL143&lt;$BD143,AND($BL143=$BD143,$AT143,$AL143,$AV143&lt;$AN143)))))),"-&gt;","&lt;-"))</f>
        <v/>
      </c>
      <c r="BJ143" s="91" t="str">
        <f aca="false">IF(ISBLANK($C143),"",AND($AT143,OR($AU143="",$AV143="",AND($AW143,$AX143=""))))</f>
        <v/>
      </c>
      <c r="BK143" s="93" t="str">
        <f aca="false">IF($BR143&lt;&gt;Constants!$B$8,"",IF($AT143,Constants!$B$21*$AV143+Constants!$B$22*IF($AW143,$AX143,Constants!$B$23),Constants!$B$24))</f>
        <v/>
      </c>
      <c r="BL143" s="96" t="str">
        <f aca="false">IF($BR143&lt;&gt;Constants!$B$8,"",Constants!$B$25*ABS($AD$9-IF($AT143,$AU143,0)))</f>
        <v/>
      </c>
      <c r="BM143" s="96" t="str">
        <f aca="false">IF($BR143&lt;&gt;Constants!$B$8,"",IF(AND($AT143,$AY143,$AW143),Constants!$B$27,0))</f>
        <v/>
      </c>
      <c r="BN143" s="96" t="str">
        <f aca="false">IF($BR143&lt;&gt;Constants!$B$8,"",IF($AT143,($AI143-Constants!$B$29)*Constants!$B$28,0))</f>
        <v/>
      </c>
      <c r="BO143" s="96" t="str">
        <f aca="false">IF($BR143&lt;&gt;Constants!$B$8,"",IF($AS143,0,Constants!$B$15)+IF($AR143,0,Constants!$B$16)+IF($AH143,0,Constants!$B$17))</f>
        <v/>
      </c>
      <c r="BP143" s="97" t="str">
        <f aca="false">IF($BR143&lt;&gt;Constants!$B$8,"",Constants!$B$20+SUM($BK143:$BO143))</f>
        <v/>
      </c>
      <c r="BQ143" s="92" t="str">
        <f aca="false">IF(ISBLANK($C143),"",IF(ISBLANK($D$7),$BQ$5,IF(NOT(ISNUMBER($D$7)),$BQ$6,"")))</f>
        <v/>
      </c>
      <c r="BR143" s="92" t="str">
        <f aca="false">IF(ISBLANK($C143),"",IF($BA143,Constants!$B$11,IF(COUNTA($E143:$AA143)=0,Constants!$B$10,IF(NOT($AG143),Constants!$B$9,IF(OR($BQ143&lt;&gt;"",$BB143,$BJ143),Constants!$B$12,Constants!$B$8)))))</f>
        <v/>
      </c>
      <c r="BS143" s="92" t="str">
        <f aca="false">IF(ISBLANK($C143),"",IF($BR143&lt;&gt;Constants!$B$8,$BR143,Constants!$B$13))</f>
        <v/>
      </c>
      <c r="BT143" s="96" t="str">
        <f aca="false">IF($BR143&lt;&gt;Constants!$B$8,"",IF($BI143="-&gt;",$BP143,$BH143))</f>
        <v/>
      </c>
      <c r="BU143" s="96" t="str">
        <f aca="false">IF($BR143&lt;&gt;Constants!$B$8,"",IF($AF143,0,Constants!$B$18))</f>
        <v/>
      </c>
      <c r="BV143" s="96" t="str">
        <f aca="false">IF($BR143&lt;&gt;Constants!$B$8,"",((Constants!$B$31-$AZ143)-Constants!$B$31)/Constants!$B$32)</f>
        <v/>
      </c>
      <c r="BW143" s="96" t="str">
        <f aca="false">IF(ISBLANK($C143),"",IF($BR143&lt;&gt;Constants!$B$8,$BR143,SUM($BT143:$BV143)))</f>
        <v/>
      </c>
      <c r="BX143" s="92" t="str">
        <f aca="false">IF(ISBLANK($C143),"",IF($BR143&lt;&gt;Constants!$B$8,$BR143,RANK($BW143,$BW$9:$BW$508,1)))</f>
        <v/>
      </c>
      <c r="BY143" s="96" t="str">
        <f aca="false">IF($BR143&lt;&gt;Constants!$B$8,"",IF($BI143="-&gt;",$BK143,$BC143))</f>
        <v/>
      </c>
      <c r="BZ143" s="92" t="str">
        <f aca="false">IF(ISBLANK($C143),"",IF($BR143&lt;&gt;Constants!$B$8,$BR143,IF(ISNUMBER($BY143),RANK($BY143,$BY$9:$BY$508,1),COUNT($BY$9:$BY$508)+1)))</f>
        <v/>
      </c>
      <c r="CA143" s="96" t="str">
        <f aca="false">IF($BR143&lt;&gt;Constants!$B$8,"",IF($BI143="-&gt;",$BL143,$BD143))</f>
        <v/>
      </c>
      <c r="CB143" s="92" t="str">
        <f aca="false">IF(ISBLANK($C143),"",IF($BR143&lt;&gt;Constants!$B$8,$BR143,IF(ISNUMBER($CA143),RANK($CA143,$CA$9:$CA$508,1),COUNT($CA$9:$CA$508)+1)))</f>
        <v/>
      </c>
      <c r="CC143" s="96" t="str">
        <f aca="false">IF($BR143&lt;&gt;Constants!$B$8,"",IF($BI143="-&gt;",IF($AT143,$AV143,""),IF($AL143,$AN143,"")))</f>
        <v/>
      </c>
      <c r="CD143" s="92" t="str">
        <f aca="false">IF(ISBLANK($C143),"",IF($BR143&lt;&gt;Constants!$B$8,$BR143,IF(ISNUMBER($CC143),RANK($CC143,$CC$9:$CC$508,1),COUNT($CC$9:$CC$508)+1)))</f>
        <v/>
      </c>
      <c r="CE143" s="96" t="str">
        <f aca="false">IF($BR143&lt;&gt;Constants!$B$8,"",IF(AND(NOT($AL143),NOT($AT143),$AJ143,$AK143,$AR143,$AS143),"",$AI143))</f>
        <v/>
      </c>
      <c r="CF143" s="92" t="str">
        <f aca="false">IF(ISBLANK($C143),"",IF($BR143&lt;&gt;Constants!$B$8,$BR143,IF(ISNUMBER($CE143),RANK($CE143,$CE$9:$CE$508,1),COUNT($CE$9:$CE$508)+1)))</f>
        <v/>
      </c>
      <c r="CG143" s="92" t="str">
        <f aca="false">IF(ISBLANK($C143),"",IF($BR143&lt;&gt;Constants!$B$8,$BR143,COUNTIFS($BX$9:$BX$508,"&lt;"&amp;$BX143)+COUNTIFS($BX$9:$BX$508,$BX143,$BZ$9:$BZ$508,"&lt;"&amp;$BZ143)+COUNTIFS($BX$9:$BX$508,$BX143,$BZ$9:$BZ$508,$BZ143,$CB$9:$CB$508,"&lt;"&amp;$CB143)+COUNTIFS($BX$9:$BX$508,$BX143,$BZ$9:$BZ$508,$BZ143,$CB$9:$CB$508,$CB143,$CD$9:$CD$508,"&lt;"&amp;$CD143)+COUNTIFS($BX$9:$BX$508,$BX143,$BZ$9:$BZ$508,$BZ143,$CB$9:$CB$508,$CB143,$CD$9:$CD$508,$CD143,$CF$9:$CF$508,"&lt;"&amp;$CF143)+1))</f>
        <v/>
      </c>
      <c r="CH143" s="92" t="str">
        <f aca="false">IF(ISBLANK($C143),"",IF($BR143&lt;&gt;Constants!$B$8,$BR143,$BX143-$CG143))</f>
        <v/>
      </c>
      <c r="CI143" s="98"/>
      <c r="CJ143" s="99"/>
      <c r="CK143" s="100" t="str">
        <f aca="false">IF(ISBLANK($C143),"",IF($BR143=Constants!$B$12,$BQ143,""))</f>
        <v/>
      </c>
      <c r="CL143" s="99" t="str">
        <f aca="false">IF(ISBLANK($C143),"",IF($BR143&lt;&gt;Constants!$B$8,"",IF($BI143="-&gt;",2,1)))</f>
        <v/>
      </c>
      <c r="CM143" s="101" t="str">
        <f aca="false">IF(ISBLANK($C143),"",IF($BR143&lt;&gt;Constants!$B$8,"",IF($BI143="-&gt;",$BK143,$BC143)))</f>
        <v/>
      </c>
      <c r="CN143" s="101" t="str">
        <f aca="false">IF(ISBLANK($C143),"",IF($BR143&lt;&gt;Constants!$B$8,"",IF($BI143="-&gt;",$BL143,$BD143)))</f>
        <v/>
      </c>
      <c r="CO143" s="101" t="str">
        <f aca="false">IF(ISBLANK($C143),"",IF($BR143&lt;&gt;Constants!$B$8,"",IF($BI143="-&gt;",$BM143+$BN143,$BE143+$BF143)+$BV143))</f>
        <v/>
      </c>
      <c r="CP143" s="101" t="str">
        <f aca="false">IF(ISBLANK($C143),"",IF($BR143&lt;&gt;Constants!$B$8,"",IF($BI143="-&gt;",$BO143,$BG143)+$BU143))</f>
        <v/>
      </c>
      <c r="CQ143" s="102" t="str">
        <f aca="false">IF(ISBLANK($C143),"",IF($BR143&lt;&gt;Constants!$B$8,$BR143,$BW143))</f>
        <v/>
      </c>
      <c r="CR143" s="103" t="str">
        <f aca="false">IF(ISBLANK($C143),"",$BS143)</f>
        <v/>
      </c>
      <c r="CS143" s="104" t="str">
        <f aca="false">IF(ISBLANK($C143),"",$CH143)</f>
        <v/>
      </c>
      <c r="CT143" s="104" t="str">
        <f aca="false">IF(ISBLANK($C143),"",$CG143)</f>
        <v/>
      </c>
      <c r="CU143" s="105" t="str">
        <f aca="false">IF(ISBLANK($C143),"",IFERROR(_xlfn.SWITCH($CT143,Constants!$B$11,COUNTA($C$9:$C$508)+2,Constants!$B$10,COUNTA($C$9:$C$508)+1,Constants!$B$9,COUNTA($C$9:$C$508)),$CT143))</f>
        <v/>
      </c>
      <c r="CV143" s="9"/>
      <c r="CW143" s="106" t="n">
        <f aca="false">IF(OR(ISNUMBER($CT143),$CT143=Constants!$B$11,$CT143=Constants!$B$9,$CT143=Constants!$B$10),1,0)</f>
        <v>0</v>
      </c>
      <c r="CX143" s="106" t="n">
        <v>135</v>
      </c>
      <c r="CY143" s="106" t="str">
        <f aca="false">IF(ISBLANK($C143),"",IF(ISNUMBER($CU143),$CU143+ROW($B143)/1000,""))</f>
        <v/>
      </c>
      <c r="CZ143" s="106" t="str">
        <f aca="false">IF(ISNUMBER($CY143),RANK($CY143,$CY$9:$CY$508,1),"")</f>
        <v/>
      </c>
      <c r="DA143" s="106" t="str">
        <f aca="false">IF(ISBLANK($C143),"",$B143)</f>
        <v/>
      </c>
      <c r="DB143" s="106" t="str">
        <f aca="false">IF(ISBLANK($C143),"",$C143)</f>
        <v/>
      </c>
      <c r="DC143" s="106" t="str">
        <f aca="false">IF(ISBLANK($C143),"",$D143)</f>
        <v/>
      </c>
      <c r="DD143" s="107" t="str">
        <f aca="false">$CR143</f>
        <v/>
      </c>
      <c r="DE143" s="108" t="str">
        <f aca="false">$CQ143</f>
        <v/>
      </c>
      <c r="DF143" s="106" t="str">
        <f aca="false">IF(ISBLANK($C143),"",$CT143)</f>
        <v/>
      </c>
      <c r="DG143" s="109" t="str">
        <f aca="false">IF($CX143&gt;$CW$8,"",VLOOKUP($CX143,$CZ$9:$DF$508,7,FALSE()))</f>
        <v/>
      </c>
      <c r="DH143" s="110" t="str">
        <f aca="false">IF($CX143&gt;$CW$8,"",VLOOKUP($CX143,$CZ$9:$DF$508,2,FALSE()))</f>
        <v/>
      </c>
      <c r="DI143" s="110" t="str">
        <f aca="false">IF($CX143&gt;$CW$8,"",VLOOKUP($CX143,$CZ$9:$DF$508,3,FALSE()))</f>
        <v/>
      </c>
      <c r="DJ143" s="110" t="str">
        <f aca="false">IF($CX143&gt;$CW$8,"",VLOOKUP($CX143,$CZ$9:$DF$508,4,FALSE()))</f>
        <v/>
      </c>
      <c r="DK143" s="110" t="str">
        <f aca="false">IF($CX143&gt;$CW$8,"",VLOOKUP($CX143,$CZ$9:$DF$508,5,FALSE()))</f>
        <v/>
      </c>
      <c r="DL143" s="111" t="str">
        <f aca="false">IF($CX143&gt;$CW$8,"",VLOOKUP($CX143,$CZ$9:$DF$508,6,FALSE()))</f>
        <v/>
      </c>
      <c r="DM143" s="75"/>
    </row>
    <row r="144" customFormat="false" ht="15.75" hidden="false" customHeight="false" outlineLevel="0" collapsed="false">
      <c r="A144" s="9"/>
      <c r="B144" s="157"/>
      <c r="C144" s="158"/>
      <c r="D144" s="159"/>
      <c r="E144" s="177"/>
      <c r="F144" s="161"/>
      <c r="G144" s="162"/>
      <c r="H144" s="162"/>
      <c r="I144" s="178"/>
      <c r="J144" s="165"/>
      <c r="K144" s="126"/>
      <c r="L144" s="127"/>
      <c r="M144" s="128"/>
      <c r="N144" s="165"/>
      <c r="O144" s="165"/>
      <c r="P144" s="177"/>
      <c r="Q144" s="165"/>
      <c r="R144" s="165"/>
      <c r="S144" s="126"/>
      <c r="T144" s="128"/>
      <c r="U144" s="128"/>
      <c r="V144" s="165"/>
      <c r="W144" s="165"/>
      <c r="X144" s="177"/>
      <c r="Y144" s="165"/>
      <c r="Z144" s="166"/>
      <c r="AA144" s="165"/>
      <c r="AB144" s="132"/>
      <c r="AC144" s="133"/>
      <c r="AD144" s="133"/>
      <c r="AE144" s="133"/>
      <c r="AF144" s="133" t="str">
        <f aca="false">IF(ISBLANK($C144),"",IF(E144=Constants!$B$3,TRUE(),IF(E144=Constants!$B$4,FALSE(),TRUE())))</f>
        <v/>
      </c>
      <c r="AG144" s="133" t="str">
        <f aca="false">IF(ISBLANK($C144),"",IF(F144=Constants!$B$3,TRUE(),IF(F144=Constants!$B$4,FALSE(),TRUE())))</f>
        <v/>
      </c>
      <c r="AH144" s="133" t="str">
        <f aca="false">IF(ISBLANK($C144),"",IF(G144=Constants!$B$3,TRUE(),IF(G144=Constants!$B$4,FALSE(),TRUE())))</f>
        <v/>
      </c>
      <c r="AI144" s="133" t="str">
        <f aca="false">IF(ISBLANK($C144),"",IF(AND(ISNUMBER(H144),H144&gt;=0),H144,Constants!$B$29))</f>
        <v/>
      </c>
      <c r="AJ144" s="133" t="str">
        <f aca="false">IF(ISBLANK($C144),"",IF(I144=Constants!$B$3,TRUE(),IF(I144=Constants!$B$4,FALSE(),TRUE())))</f>
        <v/>
      </c>
      <c r="AK144" s="133" t="str">
        <f aca="false">IF(ISBLANK($C144),"",IF(J144=Constants!$B$3,TRUE(),IF(J144=Constants!$B$4,FALSE(),TRUE())))</f>
        <v/>
      </c>
      <c r="AL144" s="133" t="str">
        <f aca="false">IF(ISBLANK($C144),"",IF(K144=Constants!$B$5,TRUE(),IF(K144=Constants!$B$6,FALSE(),COUNTA(L144:P144)&gt;0)))</f>
        <v/>
      </c>
      <c r="AM144" s="134" t="str">
        <f aca="false">IF(ISBLANK($C144),"",IF(ISNUMBER(L144),IF(L144&gt;=0,L144,""),""))</f>
        <v/>
      </c>
      <c r="AN144" s="135" t="str">
        <f aca="false">IF(ISBLANK($C144),"",IF(ISNUMBER(M144),IF(M144&gt;=0,M144,""),""))</f>
        <v/>
      </c>
      <c r="AO144" s="135" t="str">
        <f aca="false">IF(ISBLANK($C144),"",IF(N144=Constants!$B$3,TRUE(),IF(N144=Constants!$B$4,FALSE(),TRUE())))</f>
        <v/>
      </c>
      <c r="AP144" s="133" t="str">
        <f aca="false">IF(ISBLANK($C144),"",IF(ISNUMBER(O144),IF(O144&gt;=0,O144,""),""))</f>
        <v/>
      </c>
      <c r="AQ144" s="133" t="str">
        <f aca="false">IF(ISBLANK($C144),"",IF(P144=Constants!$B$3,TRUE(),IF(P144=Constants!$B$4,FALSE(),FALSE())))</f>
        <v/>
      </c>
      <c r="AR144" s="133" t="str">
        <f aca="false">IF(ISBLANK($C144),"",IF(Q144=Constants!$B$3,TRUE(),IF(Q144=Constants!$B$4,FALSE(),TRUE())))</f>
        <v/>
      </c>
      <c r="AS144" s="133" t="str">
        <f aca="false">IF(ISBLANK($C144),"",IF(R144=Constants!$B$3,TRUE(),IF(R144=Constants!$B$4,FALSE(),TRUE())))</f>
        <v/>
      </c>
      <c r="AT144" s="133" t="str">
        <f aca="false">IF(ISBLANK($C144),"",IF(S144=Constants!$B$5,TRUE(),IF(S144=Constants!$B$6,FALSE(),COUNTA(T144:X144)&gt;0)))</f>
        <v/>
      </c>
      <c r="AU144" s="134" t="str">
        <f aca="false">IF(ISBLANK($C144),"",IF(ISNUMBER(T144),IF(T144&gt;=0,T144,""),""))</f>
        <v/>
      </c>
      <c r="AV144" s="135" t="str">
        <f aca="false">IF(ISBLANK($C144),"",IF(ISNUMBER(U144),IF(U144&gt;=0,U144,""),""))</f>
        <v/>
      </c>
      <c r="AW144" s="135" t="str">
        <f aca="false">IF(ISBLANK($C144),"",IF(V144=Constants!$B$3,TRUE(),IF(V144=Constants!$B$4,FALSE(),TRUE())))</f>
        <v/>
      </c>
      <c r="AX144" s="133" t="str">
        <f aca="false">IF(ISBLANK($C144),"",IF(ISNUMBER(W144),IF(W144&gt;=0,W144,""),""))</f>
        <v/>
      </c>
      <c r="AY144" s="133" t="str">
        <f aca="false">IF(ISBLANK($C144),"",IF(X144=Constants!$B$3,TRUE(),IF(X144=Constants!$B$4,FALSE(),FALSE())))</f>
        <v/>
      </c>
      <c r="AZ144" s="133" t="str">
        <f aca="false">IF(ISBLANK($C144),"",MIN(Constants!$B$31,MAX(0,IF(ISNUMBER(Y144),Y144*60,0)+IF(ISNUMBER(Z144),Z144,0))))</f>
        <v/>
      </c>
      <c r="BA144" s="133" t="str">
        <f aca="false">IF(ISBLANK($C144),"",IF(AA144=Constants!$B$3,TRUE(),IF(AA144=Constants!$B$4,FALSE(),FALSE())))</f>
        <v/>
      </c>
      <c r="BB144" s="132" t="str">
        <f aca="false">IF(ISBLANK($C144),"",AND($AL144,OR($AM144="",$AN144="",AND($AO144,$AP144=""))))</f>
        <v/>
      </c>
      <c r="BC144" s="135" t="str">
        <f aca="false">IF($BR144&lt;&gt;Constants!$B$8,"",IF($AL144,Constants!$B$21*$AN144+Constants!$B$22*IF($AO144,$AP144,Constants!$B$23),Constants!$B$24))</f>
        <v/>
      </c>
      <c r="BD144" s="136" t="str">
        <f aca="false">IF($BR144&lt;&gt;Constants!$B$8,"",Constants!$B$25*ABS($AD$9-IF($AL144,$AM144,0)))</f>
        <v/>
      </c>
      <c r="BE144" s="136" t="str">
        <f aca="false">IF($BR144&lt;&gt;Constants!$B$8,"",IF(AND($AL144,$AQ144,$AO144),Constants!$B$27,0))</f>
        <v/>
      </c>
      <c r="BF144" s="136" t="str">
        <f aca="false">IF($BR144&lt;&gt;Constants!$B$8,"",IF($AL144,($AI144-Constants!$B$29)*Constants!$B$28,0))</f>
        <v/>
      </c>
      <c r="BG144" s="136" t="str">
        <f aca="false">IF($BR144&lt;&gt;Constants!$B$8,"",IF($AK144,0,Constants!$B$15)+IF($AJ144,0,Constants!$B$16)+IF($AH144,0,Constants!$B$17))</f>
        <v/>
      </c>
      <c r="BH144" s="137" t="str">
        <f aca="false">IF($BR144&lt;&gt;Constants!$B$8,"",Constants!$B$20+SUM($BC144:$BG144))</f>
        <v/>
      </c>
      <c r="BI144" s="133" t="str">
        <f aca="false">IF($BR144&lt;&gt;Constants!$B$8,"",IF(OR($BP144&lt;$BH144,AND($BP144=$BH144,OR($BK144&lt;$BC144,AND($BK144=$BC144,OR($BL144&lt;$BD144,AND($BL144=$BD144,$AT144,$AL144,$AV144&lt;$AN144)))))),"-&gt;","&lt;-"))</f>
        <v/>
      </c>
      <c r="BJ144" s="132" t="str">
        <f aca="false">IF(ISBLANK($C144),"",AND($AT144,OR($AU144="",$AV144="",AND($AW144,$AX144=""))))</f>
        <v/>
      </c>
      <c r="BK144" s="135" t="str">
        <f aca="false">IF($BR144&lt;&gt;Constants!$B$8,"",IF($AT144,Constants!$B$21*$AV144+Constants!$B$22*IF($AW144,$AX144,Constants!$B$23),Constants!$B$24))</f>
        <v/>
      </c>
      <c r="BL144" s="136" t="str">
        <f aca="false">IF($BR144&lt;&gt;Constants!$B$8,"",Constants!$B$25*ABS($AD$9-IF($AT144,$AU144,0)))</f>
        <v/>
      </c>
      <c r="BM144" s="136" t="str">
        <f aca="false">IF($BR144&lt;&gt;Constants!$B$8,"",IF(AND($AT144,$AY144,$AW144),Constants!$B$27,0))</f>
        <v/>
      </c>
      <c r="BN144" s="136" t="str">
        <f aca="false">IF($BR144&lt;&gt;Constants!$B$8,"",IF($AT144,($AI144-Constants!$B$29)*Constants!$B$28,0))</f>
        <v/>
      </c>
      <c r="BO144" s="136" t="str">
        <f aca="false">IF($BR144&lt;&gt;Constants!$B$8,"",IF($AS144,0,Constants!$B$15)+IF($AR144,0,Constants!$B$16)+IF($AH144,0,Constants!$B$17))</f>
        <v/>
      </c>
      <c r="BP144" s="137" t="str">
        <f aca="false">IF($BR144&lt;&gt;Constants!$B$8,"",Constants!$B$20+SUM($BK144:$BO144))</f>
        <v/>
      </c>
      <c r="BQ144" s="133" t="str">
        <f aca="false">IF(ISBLANK($C144),"",IF(ISBLANK($D$7),$BQ$5,IF(NOT(ISNUMBER($D$7)),$BQ$6,"")))</f>
        <v/>
      </c>
      <c r="BR144" s="133" t="str">
        <f aca="false">IF(ISBLANK($C144),"",IF($BA144,Constants!$B$11,IF(COUNTA($E144:$AA144)=0,Constants!$B$10,IF(NOT($AG144),Constants!$B$9,IF(OR($BQ144&lt;&gt;"",$BB144,$BJ144),Constants!$B$12,Constants!$B$8)))))</f>
        <v/>
      </c>
      <c r="BS144" s="133" t="str">
        <f aca="false">IF(ISBLANK($C144),"",IF($BR144&lt;&gt;Constants!$B$8,$BR144,Constants!$B$13))</f>
        <v/>
      </c>
      <c r="BT144" s="136" t="str">
        <f aca="false">IF($BR144&lt;&gt;Constants!$B$8,"",IF($BI144="-&gt;",$BP144,$BH144))</f>
        <v/>
      </c>
      <c r="BU144" s="136" t="str">
        <f aca="false">IF($BR144&lt;&gt;Constants!$B$8,"",IF($AF144,0,Constants!$B$18))</f>
        <v/>
      </c>
      <c r="BV144" s="136" t="str">
        <f aca="false">IF($BR144&lt;&gt;Constants!$B$8,"",((Constants!$B$31-$AZ144)-Constants!$B$31)/Constants!$B$32)</f>
        <v/>
      </c>
      <c r="BW144" s="136" t="str">
        <f aca="false">IF(ISBLANK($C144),"",IF($BR144&lt;&gt;Constants!$B$8,$BR144,SUM($BT144:$BV144)))</f>
        <v/>
      </c>
      <c r="BX144" s="133" t="str">
        <f aca="false">IF(ISBLANK($C144),"",IF($BR144&lt;&gt;Constants!$B$8,$BR144,RANK($BW144,$BW$9:$BW$508,1)))</f>
        <v/>
      </c>
      <c r="BY144" s="136" t="str">
        <f aca="false">IF($BR144&lt;&gt;Constants!$B$8,"",IF($BI144="-&gt;",$BK144,$BC144))</f>
        <v/>
      </c>
      <c r="BZ144" s="133" t="str">
        <f aca="false">IF(ISBLANK($C144),"",IF($BR144&lt;&gt;Constants!$B$8,$BR144,IF(ISNUMBER($BY144),RANK($BY144,$BY$9:$BY$508,1),COUNT($BY$9:$BY$508)+1)))</f>
        <v/>
      </c>
      <c r="CA144" s="136" t="str">
        <f aca="false">IF($BR144&lt;&gt;Constants!$B$8,"",IF($BI144="-&gt;",$BL144,$BD144))</f>
        <v/>
      </c>
      <c r="CB144" s="133" t="str">
        <f aca="false">IF(ISBLANK($C144),"",IF($BR144&lt;&gt;Constants!$B$8,$BR144,IF(ISNUMBER($CA144),RANK($CA144,$CA$9:$CA$508,1),COUNT($CA$9:$CA$508)+1)))</f>
        <v/>
      </c>
      <c r="CC144" s="136" t="str">
        <f aca="false">IF($BR144&lt;&gt;Constants!$B$8,"",IF($BI144="-&gt;",IF($AT144,$AV144,""),IF($AL144,$AN144,"")))</f>
        <v/>
      </c>
      <c r="CD144" s="133" t="str">
        <f aca="false">IF(ISBLANK($C144),"",IF($BR144&lt;&gt;Constants!$B$8,$BR144,IF(ISNUMBER($CC144),RANK($CC144,$CC$9:$CC$508,1),COUNT($CC$9:$CC$508)+1)))</f>
        <v/>
      </c>
      <c r="CE144" s="136" t="str">
        <f aca="false">IF($BR144&lt;&gt;Constants!$B$8,"",IF(AND(NOT($AL144),NOT($AT144),$AJ144,$AK144,$AR144,$AS144),"",$AI144))</f>
        <v/>
      </c>
      <c r="CF144" s="133" t="str">
        <f aca="false">IF(ISBLANK($C144),"",IF($BR144&lt;&gt;Constants!$B$8,$BR144,IF(ISNUMBER($CE144),RANK($CE144,$CE$9:$CE$508,1),COUNT($CE$9:$CE$508)+1)))</f>
        <v/>
      </c>
      <c r="CG144" s="133" t="str">
        <f aca="false">IF(ISBLANK($C144),"",IF($BR144&lt;&gt;Constants!$B$8,$BR144,COUNTIFS($BX$9:$BX$508,"&lt;"&amp;$BX144)+COUNTIFS($BX$9:$BX$508,$BX144,$BZ$9:$BZ$508,"&lt;"&amp;$BZ144)+COUNTIFS($BX$9:$BX$508,$BX144,$BZ$9:$BZ$508,$BZ144,$CB$9:$CB$508,"&lt;"&amp;$CB144)+COUNTIFS($BX$9:$BX$508,$BX144,$BZ$9:$BZ$508,$BZ144,$CB$9:$CB$508,$CB144,$CD$9:$CD$508,"&lt;"&amp;$CD144)+COUNTIFS($BX$9:$BX$508,$BX144,$BZ$9:$BZ$508,$BZ144,$CB$9:$CB$508,$CB144,$CD$9:$CD$508,$CD144,$CF$9:$CF$508,"&lt;"&amp;$CF144)+1))</f>
        <v/>
      </c>
      <c r="CH144" s="133" t="str">
        <f aca="false">IF(ISBLANK($C144),"",IF($BR144&lt;&gt;Constants!$B$8,$BR144,$BX144-$CG144))</f>
        <v/>
      </c>
      <c r="CI144" s="138"/>
      <c r="CJ144" s="139"/>
      <c r="CK144" s="140" t="str">
        <f aca="false">IF(ISBLANK($C144),"",IF($BR144=Constants!$B$12,$BQ144,""))</f>
        <v/>
      </c>
      <c r="CL144" s="139" t="str">
        <f aca="false">IF(ISBLANK($C144),"",IF($BR144&lt;&gt;Constants!$B$8,"",IF($BI144="-&gt;",2,1)))</f>
        <v/>
      </c>
      <c r="CM144" s="141" t="str">
        <f aca="false">IF(ISBLANK($C144),"",IF($BR144&lt;&gt;Constants!$B$8,"",IF($BI144="-&gt;",$BK144,$BC144)))</f>
        <v/>
      </c>
      <c r="CN144" s="141" t="str">
        <f aca="false">IF(ISBLANK($C144),"",IF($BR144&lt;&gt;Constants!$B$8,"",IF($BI144="-&gt;",$BL144,$BD144)))</f>
        <v/>
      </c>
      <c r="CO144" s="141" t="str">
        <f aca="false">IF(ISBLANK($C144),"",IF($BR144&lt;&gt;Constants!$B$8,"",IF($BI144="-&gt;",$BM144+$BN144,$BE144+$BF144)+$BV144))</f>
        <v/>
      </c>
      <c r="CP144" s="141" t="str">
        <f aca="false">IF(ISBLANK($C144),"",IF($BR144&lt;&gt;Constants!$B$8,"",IF($BI144="-&gt;",$BO144,$BG144)+$BU144))</f>
        <v/>
      </c>
      <c r="CQ144" s="142" t="str">
        <f aca="false">IF(ISBLANK($C144),"",IF($BR144&lt;&gt;Constants!$B$8,$BR144,$BW144))</f>
        <v/>
      </c>
      <c r="CR144" s="143" t="str">
        <f aca="false">IF(ISBLANK($C144),"",$BS144)</f>
        <v/>
      </c>
      <c r="CS144" s="144" t="str">
        <f aca="false">IF(ISBLANK($C144),"",$CH144)</f>
        <v/>
      </c>
      <c r="CT144" s="144" t="str">
        <f aca="false">IF(ISBLANK($C144),"",$CG144)</f>
        <v/>
      </c>
      <c r="CU144" s="145" t="str">
        <f aca="false">IF(ISBLANK($C144),"",IFERROR(_xlfn.SWITCH($CT144,Constants!$B$11,COUNTA($C$9:$C$508)+2,Constants!$B$10,COUNTA($C$9:$C$508)+1,Constants!$B$9,COUNTA($C$9:$C$508)),$CT144))</f>
        <v/>
      </c>
      <c r="CV144" s="9"/>
      <c r="CW144" s="146" t="n">
        <f aca="false">IF(OR(ISNUMBER($CT144),$CT144=Constants!$B$11,$CT144=Constants!$B$9,$CT144=Constants!$B$10),1,0)</f>
        <v>0</v>
      </c>
      <c r="CX144" s="146" t="n">
        <v>136</v>
      </c>
      <c r="CY144" s="146" t="str">
        <f aca="false">IF(ISBLANK($C144),"",IF(ISNUMBER($CU144),$CU144+ROW($B144)/1000,""))</f>
        <v/>
      </c>
      <c r="CZ144" s="146" t="str">
        <f aca="false">IF(ISNUMBER($CY144),RANK($CY144,$CY$9:$CY$508,1),"")</f>
        <v/>
      </c>
      <c r="DA144" s="146" t="str">
        <f aca="false">IF(ISBLANK($C144),"",$B144)</f>
        <v/>
      </c>
      <c r="DB144" s="146" t="str">
        <f aca="false">IF(ISBLANK($C144),"",$C144)</f>
        <v/>
      </c>
      <c r="DC144" s="146" t="str">
        <f aca="false">IF(ISBLANK($C144),"",$D144)</f>
        <v/>
      </c>
      <c r="DD144" s="147" t="str">
        <f aca="false">$CR144</f>
        <v/>
      </c>
      <c r="DE144" s="148" t="str">
        <f aca="false">$CQ144</f>
        <v/>
      </c>
      <c r="DF144" s="146" t="str">
        <f aca="false">IF(ISBLANK($C144),"",$CT144)</f>
        <v/>
      </c>
      <c r="DG144" s="149" t="str">
        <f aca="false">IF($CX144&gt;$CW$8,"",VLOOKUP($CX144,$CZ$9:$DF$508,7,FALSE()))</f>
        <v/>
      </c>
      <c r="DH144" s="150" t="str">
        <f aca="false">IF($CX144&gt;$CW$8,"",VLOOKUP($CX144,$CZ$9:$DF$508,2,FALSE()))</f>
        <v/>
      </c>
      <c r="DI144" s="150" t="str">
        <f aca="false">IF($CX144&gt;$CW$8,"",VLOOKUP($CX144,$CZ$9:$DF$508,3,FALSE()))</f>
        <v/>
      </c>
      <c r="DJ144" s="150" t="str">
        <f aca="false">IF($CX144&gt;$CW$8,"",VLOOKUP($CX144,$CZ$9:$DF$508,4,FALSE()))</f>
        <v/>
      </c>
      <c r="DK144" s="150" t="str">
        <f aca="false">IF($CX144&gt;$CW$8,"",VLOOKUP($CX144,$CZ$9:$DF$508,5,FALSE()))</f>
        <v/>
      </c>
      <c r="DL144" s="151" t="str">
        <f aca="false">IF($CX144&gt;$CW$8,"",VLOOKUP($CX144,$CZ$9:$DF$508,6,FALSE()))</f>
        <v/>
      </c>
      <c r="DM144" s="75"/>
    </row>
    <row r="145" customFormat="false" ht="15.75" hidden="false" customHeight="false" outlineLevel="0" collapsed="false">
      <c r="A145" s="9"/>
      <c r="B145" s="157"/>
      <c r="C145" s="158"/>
      <c r="D145" s="159"/>
      <c r="E145" s="177"/>
      <c r="F145" s="161"/>
      <c r="G145" s="162"/>
      <c r="H145" s="162"/>
      <c r="I145" s="178"/>
      <c r="J145" s="165"/>
      <c r="K145" s="126"/>
      <c r="L145" s="127"/>
      <c r="M145" s="128"/>
      <c r="N145" s="165"/>
      <c r="O145" s="165"/>
      <c r="P145" s="177"/>
      <c r="Q145" s="165"/>
      <c r="R145" s="165"/>
      <c r="S145" s="126"/>
      <c r="T145" s="128"/>
      <c r="U145" s="128"/>
      <c r="V145" s="165"/>
      <c r="W145" s="165"/>
      <c r="X145" s="177"/>
      <c r="Y145" s="165"/>
      <c r="Z145" s="166"/>
      <c r="AA145" s="165"/>
      <c r="AB145" s="132"/>
      <c r="AC145" s="133"/>
      <c r="AD145" s="133"/>
      <c r="AE145" s="133"/>
      <c r="AF145" s="133" t="str">
        <f aca="false">IF(ISBLANK($C145),"",IF(E145=Constants!$B$3,TRUE(),IF(E145=Constants!$B$4,FALSE(),TRUE())))</f>
        <v/>
      </c>
      <c r="AG145" s="133" t="str">
        <f aca="false">IF(ISBLANK($C145),"",IF(F145=Constants!$B$3,TRUE(),IF(F145=Constants!$B$4,FALSE(),TRUE())))</f>
        <v/>
      </c>
      <c r="AH145" s="133" t="str">
        <f aca="false">IF(ISBLANK($C145),"",IF(G145=Constants!$B$3,TRUE(),IF(G145=Constants!$B$4,FALSE(),TRUE())))</f>
        <v/>
      </c>
      <c r="AI145" s="133" t="str">
        <f aca="false">IF(ISBLANK($C145),"",IF(AND(ISNUMBER(H145),H145&gt;=0),H145,Constants!$B$29))</f>
        <v/>
      </c>
      <c r="AJ145" s="133" t="str">
        <f aca="false">IF(ISBLANK($C145),"",IF(I145=Constants!$B$3,TRUE(),IF(I145=Constants!$B$4,FALSE(),TRUE())))</f>
        <v/>
      </c>
      <c r="AK145" s="133" t="str">
        <f aca="false">IF(ISBLANK($C145),"",IF(J145=Constants!$B$3,TRUE(),IF(J145=Constants!$B$4,FALSE(),TRUE())))</f>
        <v/>
      </c>
      <c r="AL145" s="133" t="str">
        <f aca="false">IF(ISBLANK($C145),"",IF(K145=Constants!$B$5,TRUE(),IF(K145=Constants!$B$6,FALSE(),COUNTA(L145:P145)&gt;0)))</f>
        <v/>
      </c>
      <c r="AM145" s="134" t="str">
        <f aca="false">IF(ISBLANK($C145),"",IF(ISNUMBER(L145),IF(L145&gt;=0,L145,""),""))</f>
        <v/>
      </c>
      <c r="AN145" s="135" t="str">
        <f aca="false">IF(ISBLANK($C145),"",IF(ISNUMBER(M145),IF(M145&gt;=0,M145,""),""))</f>
        <v/>
      </c>
      <c r="AO145" s="135" t="str">
        <f aca="false">IF(ISBLANK($C145),"",IF(N145=Constants!$B$3,TRUE(),IF(N145=Constants!$B$4,FALSE(),TRUE())))</f>
        <v/>
      </c>
      <c r="AP145" s="133" t="str">
        <f aca="false">IF(ISBLANK($C145),"",IF(ISNUMBER(O145),IF(O145&gt;=0,O145,""),""))</f>
        <v/>
      </c>
      <c r="AQ145" s="133" t="str">
        <f aca="false">IF(ISBLANK($C145),"",IF(P145=Constants!$B$3,TRUE(),IF(P145=Constants!$B$4,FALSE(),FALSE())))</f>
        <v/>
      </c>
      <c r="AR145" s="133" t="str">
        <f aca="false">IF(ISBLANK($C145),"",IF(Q145=Constants!$B$3,TRUE(),IF(Q145=Constants!$B$4,FALSE(),TRUE())))</f>
        <v/>
      </c>
      <c r="AS145" s="133" t="str">
        <f aca="false">IF(ISBLANK($C145),"",IF(R145=Constants!$B$3,TRUE(),IF(R145=Constants!$B$4,FALSE(),TRUE())))</f>
        <v/>
      </c>
      <c r="AT145" s="133" t="str">
        <f aca="false">IF(ISBLANK($C145),"",IF(S145=Constants!$B$5,TRUE(),IF(S145=Constants!$B$6,FALSE(),COUNTA(T145:X145)&gt;0)))</f>
        <v/>
      </c>
      <c r="AU145" s="134" t="str">
        <f aca="false">IF(ISBLANK($C145),"",IF(ISNUMBER(T145),IF(T145&gt;=0,T145,""),""))</f>
        <v/>
      </c>
      <c r="AV145" s="135" t="str">
        <f aca="false">IF(ISBLANK($C145),"",IF(ISNUMBER(U145),IF(U145&gt;=0,U145,""),""))</f>
        <v/>
      </c>
      <c r="AW145" s="135" t="str">
        <f aca="false">IF(ISBLANK($C145),"",IF(V145=Constants!$B$3,TRUE(),IF(V145=Constants!$B$4,FALSE(),TRUE())))</f>
        <v/>
      </c>
      <c r="AX145" s="133" t="str">
        <f aca="false">IF(ISBLANK($C145),"",IF(ISNUMBER(W145),IF(W145&gt;=0,W145,""),""))</f>
        <v/>
      </c>
      <c r="AY145" s="133" t="str">
        <f aca="false">IF(ISBLANK($C145),"",IF(X145=Constants!$B$3,TRUE(),IF(X145=Constants!$B$4,FALSE(),FALSE())))</f>
        <v/>
      </c>
      <c r="AZ145" s="133" t="str">
        <f aca="false">IF(ISBLANK($C145),"",MIN(Constants!$B$31,MAX(0,IF(ISNUMBER(Y145),Y145*60,0)+IF(ISNUMBER(Z145),Z145,0))))</f>
        <v/>
      </c>
      <c r="BA145" s="133" t="str">
        <f aca="false">IF(ISBLANK($C145),"",IF(AA145=Constants!$B$3,TRUE(),IF(AA145=Constants!$B$4,FALSE(),FALSE())))</f>
        <v/>
      </c>
      <c r="BB145" s="132" t="str">
        <f aca="false">IF(ISBLANK($C145),"",AND($AL145,OR($AM145="",$AN145="",AND($AO145,$AP145=""))))</f>
        <v/>
      </c>
      <c r="BC145" s="135" t="str">
        <f aca="false">IF($BR145&lt;&gt;Constants!$B$8,"",IF($AL145,Constants!$B$21*$AN145+Constants!$B$22*IF($AO145,$AP145,Constants!$B$23),Constants!$B$24))</f>
        <v/>
      </c>
      <c r="BD145" s="136" t="str">
        <f aca="false">IF($BR145&lt;&gt;Constants!$B$8,"",Constants!$B$25*ABS($AD$9-IF($AL145,$AM145,0)))</f>
        <v/>
      </c>
      <c r="BE145" s="136" t="str">
        <f aca="false">IF($BR145&lt;&gt;Constants!$B$8,"",IF(AND($AL145,$AQ145,$AO145),Constants!$B$27,0))</f>
        <v/>
      </c>
      <c r="BF145" s="136" t="str">
        <f aca="false">IF($BR145&lt;&gt;Constants!$B$8,"",IF($AL145,($AI145-Constants!$B$29)*Constants!$B$28,0))</f>
        <v/>
      </c>
      <c r="BG145" s="136" t="str">
        <f aca="false">IF($BR145&lt;&gt;Constants!$B$8,"",IF($AK145,0,Constants!$B$15)+IF($AJ145,0,Constants!$B$16)+IF($AH145,0,Constants!$B$17))</f>
        <v/>
      </c>
      <c r="BH145" s="137" t="str">
        <f aca="false">IF($BR145&lt;&gt;Constants!$B$8,"",Constants!$B$20+SUM($BC145:$BG145))</f>
        <v/>
      </c>
      <c r="BI145" s="133" t="str">
        <f aca="false">IF($BR145&lt;&gt;Constants!$B$8,"",IF(OR($BP145&lt;$BH145,AND($BP145=$BH145,OR($BK145&lt;$BC145,AND($BK145=$BC145,OR($BL145&lt;$BD145,AND($BL145=$BD145,$AT145,$AL145,$AV145&lt;$AN145)))))),"-&gt;","&lt;-"))</f>
        <v/>
      </c>
      <c r="BJ145" s="132" t="str">
        <f aca="false">IF(ISBLANK($C145),"",AND($AT145,OR($AU145="",$AV145="",AND($AW145,$AX145=""))))</f>
        <v/>
      </c>
      <c r="BK145" s="135" t="str">
        <f aca="false">IF($BR145&lt;&gt;Constants!$B$8,"",IF($AT145,Constants!$B$21*$AV145+Constants!$B$22*IF($AW145,$AX145,Constants!$B$23),Constants!$B$24))</f>
        <v/>
      </c>
      <c r="BL145" s="136" t="str">
        <f aca="false">IF($BR145&lt;&gt;Constants!$B$8,"",Constants!$B$25*ABS($AD$9-IF($AT145,$AU145,0)))</f>
        <v/>
      </c>
      <c r="BM145" s="136" t="str">
        <f aca="false">IF($BR145&lt;&gt;Constants!$B$8,"",IF(AND($AT145,$AY145,$AW145),Constants!$B$27,0))</f>
        <v/>
      </c>
      <c r="BN145" s="136" t="str">
        <f aca="false">IF($BR145&lt;&gt;Constants!$B$8,"",IF($AT145,($AI145-Constants!$B$29)*Constants!$B$28,0))</f>
        <v/>
      </c>
      <c r="BO145" s="136" t="str">
        <f aca="false">IF($BR145&lt;&gt;Constants!$B$8,"",IF($AS145,0,Constants!$B$15)+IF($AR145,0,Constants!$B$16)+IF($AH145,0,Constants!$B$17))</f>
        <v/>
      </c>
      <c r="BP145" s="137" t="str">
        <f aca="false">IF($BR145&lt;&gt;Constants!$B$8,"",Constants!$B$20+SUM($BK145:$BO145))</f>
        <v/>
      </c>
      <c r="BQ145" s="133" t="str">
        <f aca="false">IF(ISBLANK($C145),"",IF(ISBLANK($D$7),$BQ$5,IF(NOT(ISNUMBER($D$7)),$BQ$6,"")))</f>
        <v/>
      </c>
      <c r="BR145" s="133" t="str">
        <f aca="false">IF(ISBLANK($C145),"",IF($BA145,Constants!$B$11,IF(COUNTA($E145:$AA145)=0,Constants!$B$10,IF(NOT($AG145),Constants!$B$9,IF(OR($BQ145&lt;&gt;"",$BB145,$BJ145),Constants!$B$12,Constants!$B$8)))))</f>
        <v/>
      </c>
      <c r="BS145" s="133" t="str">
        <f aca="false">IF(ISBLANK($C145),"",IF($BR145&lt;&gt;Constants!$B$8,$BR145,Constants!$B$13))</f>
        <v/>
      </c>
      <c r="BT145" s="136" t="str">
        <f aca="false">IF($BR145&lt;&gt;Constants!$B$8,"",IF($BI145="-&gt;",$BP145,$BH145))</f>
        <v/>
      </c>
      <c r="BU145" s="136" t="str">
        <f aca="false">IF($BR145&lt;&gt;Constants!$B$8,"",IF($AF145,0,Constants!$B$18))</f>
        <v/>
      </c>
      <c r="BV145" s="136" t="str">
        <f aca="false">IF($BR145&lt;&gt;Constants!$B$8,"",((Constants!$B$31-$AZ145)-Constants!$B$31)/Constants!$B$32)</f>
        <v/>
      </c>
      <c r="BW145" s="136" t="str">
        <f aca="false">IF(ISBLANK($C145),"",IF($BR145&lt;&gt;Constants!$B$8,$BR145,SUM($BT145:$BV145)))</f>
        <v/>
      </c>
      <c r="BX145" s="133" t="str">
        <f aca="false">IF(ISBLANK($C145),"",IF($BR145&lt;&gt;Constants!$B$8,$BR145,RANK($BW145,$BW$9:$BW$508,1)))</f>
        <v/>
      </c>
      <c r="BY145" s="136" t="str">
        <f aca="false">IF($BR145&lt;&gt;Constants!$B$8,"",IF($BI145="-&gt;",$BK145,$BC145))</f>
        <v/>
      </c>
      <c r="BZ145" s="133" t="str">
        <f aca="false">IF(ISBLANK($C145),"",IF($BR145&lt;&gt;Constants!$B$8,$BR145,IF(ISNUMBER($BY145),RANK($BY145,$BY$9:$BY$508,1),COUNT($BY$9:$BY$508)+1)))</f>
        <v/>
      </c>
      <c r="CA145" s="136" t="str">
        <f aca="false">IF($BR145&lt;&gt;Constants!$B$8,"",IF($BI145="-&gt;",$BL145,$BD145))</f>
        <v/>
      </c>
      <c r="CB145" s="133" t="str">
        <f aca="false">IF(ISBLANK($C145),"",IF($BR145&lt;&gt;Constants!$B$8,$BR145,IF(ISNUMBER($CA145),RANK($CA145,$CA$9:$CA$508,1),COUNT($CA$9:$CA$508)+1)))</f>
        <v/>
      </c>
      <c r="CC145" s="136" t="str">
        <f aca="false">IF($BR145&lt;&gt;Constants!$B$8,"",IF($BI145="-&gt;",IF($AT145,$AV145,""),IF($AL145,$AN145,"")))</f>
        <v/>
      </c>
      <c r="CD145" s="133" t="str">
        <f aca="false">IF(ISBLANK($C145),"",IF($BR145&lt;&gt;Constants!$B$8,$BR145,IF(ISNUMBER($CC145),RANK($CC145,$CC$9:$CC$508,1),COUNT($CC$9:$CC$508)+1)))</f>
        <v/>
      </c>
      <c r="CE145" s="136" t="str">
        <f aca="false">IF($BR145&lt;&gt;Constants!$B$8,"",IF(AND(NOT($AL145),NOT($AT145),$AJ145,$AK145,$AR145,$AS145),"",$AI145))</f>
        <v/>
      </c>
      <c r="CF145" s="133" t="str">
        <f aca="false">IF(ISBLANK($C145),"",IF($BR145&lt;&gt;Constants!$B$8,$BR145,IF(ISNUMBER($CE145),RANK($CE145,$CE$9:$CE$508,1),COUNT($CE$9:$CE$508)+1)))</f>
        <v/>
      </c>
      <c r="CG145" s="133" t="str">
        <f aca="false">IF(ISBLANK($C145),"",IF($BR145&lt;&gt;Constants!$B$8,$BR145,COUNTIFS($BX$9:$BX$508,"&lt;"&amp;$BX145)+COUNTIFS($BX$9:$BX$508,$BX145,$BZ$9:$BZ$508,"&lt;"&amp;$BZ145)+COUNTIFS($BX$9:$BX$508,$BX145,$BZ$9:$BZ$508,$BZ145,$CB$9:$CB$508,"&lt;"&amp;$CB145)+COUNTIFS($BX$9:$BX$508,$BX145,$BZ$9:$BZ$508,$BZ145,$CB$9:$CB$508,$CB145,$CD$9:$CD$508,"&lt;"&amp;$CD145)+COUNTIFS($BX$9:$BX$508,$BX145,$BZ$9:$BZ$508,$BZ145,$CB$9:$CB$508,$CB145,$CD$9:$CD$508,$CD145,$CF$9:$CF$508,"&lt;"&amp;$CF145)+1))</f>
        <v/>
      </c>
      <c r="CH145" s="133" t="str">
        <f aca="false">IF(ISBLANK($C145),"",IF($BR145&lt;&gt;Constants!$B$8,$BR145,$BX145-$CG145))</f>
        <v/>
      </c>
      <c r="CI145" s="138"/>
      <c r="CJ145" s="139"/>
      <c r="CK145" s="140" t="str">
        <f aca="false">IF(ISBLANK($C145),"",IF($BR145=Constants!$B$12,$BQ145,""))</f>
        <v/>
      </c>
      <c r="CL145" s="139" t="str">
        <f aca="false">IF(ISBLANK($C145),"",IF($BR145&lt;&gt;Constants!$B$8,"",IF($BI145="-&gt;",2,1)))</f>
        <v/>
      </c>
      <c r="CM145" s="141" t="str">
        <f aca="false">IF(ISBLANK($C145),"",IF($BR145&lt;&gt;Constants!$B$8,"",IF($BI145="-&gt;",$BK145,$BC145)))</f>
        <v/>
      </c>
      <c r="CN145" s="141" t="str">
        <f aca="false">IF(ISBLANK($C145),"",IF($BR145&lt;&gt;Constants!$B$8,"",IF($BI145="-&gt;",$BL145,$BD145)))</f>
        <v/>
      </c>
      <c r="CO145" s="141" t="str">
        <f aca="false">IF(ISBLANK($C145),"",IF($BR145&lt;&gt;Constants!$B$8,"",IF($BI145="-&gt;",$BM145+$BN145,$BE145+$BF145)+$BV145))</f>
        <v/>
      </c>
      <c r="CP145" s="141" t="str">
        <f aca="false">IF(ISBLANK($C145),"",IF($BR145&lt;&gt;Constants!$B$8,"",IF($BI145="-&gt;",$BO145,$BG145)+$BU145))</f>
        <v/>
      </c>
      <c r="CQ145" s="142" t="str">
        <f aca="false">IF(ISBLANK($C145),"",IF($BR145&lt;&gt;Constants!$B$8,$BR145,$BW145))</f>
        <v/>
      </c>
      <c r="CR145" s="143" t="str">
        <f aca="false">IF(ISBLANK($C145),"",$BS145)</f>
        <v/>
      </c>
      <c r="CS145" s="144" t="str">
        <f aca="false">IF(ISBLANK($C145),"",$CH145)</f>
        <v/>
      </c>
      <c r="CT145" s="144" t="str">
        <f aca="false">IF(ISBLANK($C145),"",$CG145)</f>
        <v/>
      </c>
      <c r="CU145" s="145" t="str">
        <f aca="false">IF(ISBLANK($C145),"",IFERROR(_xlfn.SWITCH($CT145,Constants!$B$11,COUNTA($C$9:$C$508)+2,Constants!$B$10,COUNTA($C$9:$C$508)+1,Constants!$B$9,COUNTA($C$9:$C$508)),$CT145))</f>
        <v/>
      </c>
      <c r="CV145" s="9"/>
      <c r="CW145" s="146" t="n">
        <f aca="false">IF(OR(ISNUMBER($CT145),$CT145=Constants!$B$11,$CT145=Constants!$B$9,$CT145=Constants!$B$10),1,0)</f>
        <v>0</v>
      </c>
      <c r="CX145" s="146" t="n">
        <v>137</v>
      </c>
      <c r="CY145" s="146" t="str">
        <f aca="false">IF(ISBLANK($C145),"",IF(ISNUMBER($CU145),$CU145+ROW($B145)/1000,""))</f>
        <v/>
      </c>
      <c r="CZ145" s="146" t="str">
        <f aca="false">IF(ISNUMBER($CY145),RANK($CY145,$CY$9:$CY$508,1),"")</f>
        <v/>
      </c>
      <c r="DA145" s="146" t="str">
        <f aca="false">IF(ISBLANK($C145),"",$B145)</f>
        <v/>
      </c>
      <c r="DB145" s="146" t="str">
        <f aca="false">IF(ISBLANK($C145),"",$C145)</f>
        <v/>
      </c>
      <c r="DC145" s="146" t="str">
        <f aca="false">IF(ISBLANK($C145),"",$D145)</f>
        <v/>
      </c>
      <c r="DD145" s="147" t="str">
        <f aca="false">$CR145</f>
        <v/>
      </c>
      <c r="DE145" s="148" t="str">
        <f aca="false">$CQ145</f>
        <v/>
      </c>
      <c r="DF145" s="146" t="str">
        <f aca="false">IF(ISBLANK($C145),"",$CT145)</f>
        <v/>
      </c>
      <c r="DG145" s="149" t="str">
        <f aca="false">IF($CX145&gt;$CW$8,"",VLOOKUP($CX145,$CZ$9:$DF$508,7,FALSE()))</f>
        <v/>
      </c>
      <c r="DH145" s="150" t="str">
        <f aca="false">IF($CX145&gt;$CW$8,"",VLOOKUP($CX145,$CZ$9:$DF$508,2,FALSE()))</f>
        <v/>
      </c>
      <c r="DI145" s="150" t="str">
        <f aca="false">IF($CX145&gt;$CW$8,"",VLOOKUP($CX145,$CZ$9:$DF$508,3,FALSE()))</f>
        <v/>
      </c>
      <c r="DJ145" s="150" t="str">
        <f aca="false">IF($CX145&gt;$CW$8,"",VLOOKUP($CX145,$CZ$9:$DF$508,4,FALSE()))</f>
        <v/>
      </c>
      <c r="DK145" s="150" t="str">
        <f aca="false">IF($CX145&gt;$CW$8,"",VLOOKUP($CX145,$CZ$9:$DF$508,5,FALSE()))</f>
        <v/>
      </c>
      <c r="DL145" s="151" t="str">
        <f aca="false">IF($CX145&gt;$CW$8,"",VLOOKUP($CX145,$CZ$9:$DF$508,6,FALSE()))</f>
        <v/>
      </c>
      <c r="DM145" s="75"/>
    </row>
    <row r="146" customFormat="false" ht="15.75" hidden="false" customHeight="false" outlineLevel="0" collapsed="false">
      <c r="A146" s="9"/>
      <c r="B146" s="157"/>
      <c r="C146" s="158"/>
      <c r="D146" s="159"/>
      <c r="E146" s="177"/>
      <c r="F146" s="161"/>
      <c r="G146" s="162"/>
      <c r="H146" s="162"/>
      <c r="I146" s="178"/>
      <c r="J146" s="165"/>
      <c r="K146" s="126"/>
      <c r="L146" s="127"/>
      <c r="M146" s="128"/>
      <c r="N146" s="165"/>
      <c r="O146" s="165"/>
      <c r="P146" s="177"/>
      <c r="Q146" s="165"/>
      <c r="R146" s="165"/>
      <c r="S146" s="126"/>
      <c r="T146" s="128"/>
      <c r="U146" s="128"/>
      <c r="V146" s="165"/>
      <c r="W146" s="165"/>
      <c r="X146" s="177"/>
      <c r="Y146" s="165"/>
      <c r="Z146" s="166"/>
      <c r="AA146" s="165"/>
      <c r="AB146" s="132"/>
      <c r="AC146" s="133"/>
      <c r="AD146" s="133"/>
      <c r="AE146" s="133"/>
      <c r="AF146" s="133" t="str">
        <f aca="false">IF(ISBLANK($C146),"",IF(E146=Constants!$B$3,TRUE(),IF(E146=Constants!$B$4,FALSE(),TRUE())))</f>
        <v/>
      </c>
      <c r="AG146" s="133" t="str">
        <f aca="false">IF(ISBLANK($C146),"",IF(F146=Constants!$B$3,TRUE(),IF(F146=Constants!$B$4,FALSE(),TRUE())))</f>
        <v/>
      </c>
      <c r="AH146" s="133" t="str">
        <f aca="false">IF(ISBLANK($C146),"",IF(G146=Constants!$B$3,TRUE(),IF(G146=Constants!$B$4,FALSE(),TRUE())))</f>
        <v/>
      </c>
      <c r="AI146" s="133" t="str">
        <f aca="false">IF(ISBLANK($C146),"",IF(AND(ISNUMBER(H146),H146&gt;=0),H146,Constants!$B$29))</f>
        <v/>
      </c>
      <c r="AJ146" s="133" t="str">
        <f aca="false">IF(ISBLANK($C146),"",IF(I146=Constants!$B$3,TRUE(),IF(I146=Constants!$B$4,FALSE(),TRUE())))</f>
        <v/>
      </c>
      <c r="AK146" s="133" t="str">
        <f aca="false">IF(ISBLANK($C146),"",IF(J146=Constants!$B$3,TRUE(),IF(J146=Constants!$B$4,FALSE(),TRUE())))</f>
        <v/>
      </c>
      <c r="AL146" s="133" t="str">
        <f aca="false">IF(ISBLANK($C146),"",IF(K146=Constants!$B$5,TRUE(),IF(K146=Constants!$B$6,FALSE(),COUNTA(L146:P146)&gt;0)))</f>
        <v/>
      </c>
      <c r="AM146" s="134" t="str">
        <f aca="false">IF(ISBLANK($C146),"",IF(ISNUMBER(L146),IF(L146&gt;=0,L146,""),""))</f>
        <v/>
      </c>
      <c r="AN146" s="135" t="str">
        <f aca="false">IF(ISBLANK($C146),"",IF(ISNUMBER(M146),IF(M146&gt;=0,M146,""),""))</f>
        <v/>
      </c>
      <c r="AO146" s="135" t="str">
        <f aca="false">IF(ISBLANK($C146),"",IF(N146=Constants!$B$3,TRUE(),IF(N146=Constants!$B$4,FALSE(),TRUE())))</f>
        <v/>
      </c>
      <c r="AP146" s="133" t="str">
        <f aca="false">IF(ISBLANK($C146),"",IF(ISNUMBER(O146),IF(O146&gt;=0,O146,""),""))</f>
        <v/>
      </c>
      <c r="AQ146" s="133" t="str">
        <f aca="false">IF(ISBLANK($C146),"",IF(P146=Constants!$B$3,TRUE(),IF(P146=Constants!$B$4,FALSE(),FALSE())))</f>
        <v/>
      </c>
      <c r="AR146" s="133" t="str">
        <f aca="false">IF(ISBLANK($C146),"",IF(Q146=Constants!$B$3,TRUE(),IF(Q146=Constants!$B$4,FALSE(),TRUE())))</f>
        <v/>
      </c>
      <c r="AS146" s="133" t="str">
        <f aca="false">IF(ISBLANK($C146),"",IF(R146=Constants!$B$3,TRUE(),IF(R146=Constants!$B$4,FALSE(),TRUE())))</f>
        <v/>
      </c>
      <c r="AT146" s="133" t="str">
        <f aca="false">IF(ISBLANK($C146),"",IF(S146=Constants!$B$5,TRUE(),IF(S146=Constants!$B$6,FALSE(),COUNTA(T146:X146)&gt;0)))</f>
        <v/>
      </c>
      <c r="AU146" s="134" t="str">
        <f aca="false">IF(ISBLANK($C146),"",IF(ISNUMBER(T146),IF(T146&gt;=0,T146,""),""))</f>
        <v/>
      </c>
      <c r="AV146" s="135" t="str">
        <f aca="false">IF(ISBLANK($C146),"",IF(ISNUMBER(U146),IF(U146&gt;=0,U146,""),""))</f>
        <v/>
      </c>
      <c r="AW146" s="135" t="str">
        <f aca="false">IF(ISBLANK($C146),"",IF(V146=Constants!$B$3,TRUE(),IF(V146=Constants!$B$4,FALSE(),TRUE())))</f>
        <v/>
      </c>
      <c r="AX146" s="133" t="str">
        <f aca="false">IF(ISBLANK($C146),"",IF(ISNUMBER(W146),IF(W146&gt;=0,W146,""),""))</f>
        <v/>
      </c>
      <c r="AY146" s="133" t="str">
        <f aca="false">IF(ISBLANK($C146),"",IF(X146=Constants!$B$3,TRUE(),IF(X146=Constants!$B$4,FALSE(),FALSE())))</f>
        <v/>
      </c>
      <c r="AZ146" s="133" t="str">
        <f aca="false">IF(ISBLANK($C146),"",MIN(Constants!$B$31,MAX(0,IF(ISNUMBER(Y146),Y146*60,0)+IF(ISNUMBER(Z146),Z146,0))))</f>
        <v/>
      </c>
      <c r="BA146" s="133" t="str">
        <f aca="false">IF(ISBLANK($C146),"",IF(AA146=Constants!$B$3,TRUE(),IF(AA146=Constants!$B$4,FALSE(),FALSE())))</f>
        <v/>
      </c>
      <c r="BB146" s="132" t="str">
        <f aca="false">IF(ISBLANK($C146),"",AND($AL146,OR($AM146="",$AN146="",AND($AO146,$AP146=""))))</f>
        <v/>
      </c>
      <c r="BC146" s="135" t="str">
        <f aca="false">IF($BR146&lt;&gt;Constants!$B$8,"",IF($AL146,Constants!$B$21*$AN146+Constants!$B$22*IF($AO146,$AP146,Constants!$B$23),Constants!$B$24))</f>
        <v/>
      </c>
      <c r="BD146" s="136" t="str">
        <f aca="false">IF($BR146&lt;&gt;Constants!$B$8,"",Constants!$B$25*ABS($AD$9-IF($AL146,$AM146,0)))</f>
        <v/>
      </c>
      <c r="BE146" s="136" t="str">
        <f aca="false">IF($BR146&lt;&gt;Constants!$B$8,"",IF(AND($AL146,$AQ146,$AO146),Constants!$B$27,0))</f>
        <v/>
      </c>
      <c r="BF146" s="136" t="str">
        <f aca="false">IF($BR146&lt;&gt;Constants!$B$8,"",IF($AL146,($AI146-Constants!$B$29)*Constants!$B$28,0))</f>
        <v/>
      </c>
      <c r="BG146" s="136" t="str">
        <f aca="false">IF($BR146&lt;&gt;Constants!$B$8,"",IF($AK146,0,Constants!$B$15)+IF($AJ146,0,Constants!$B$16)+IF($AH146,0,Constants!$B$17))</f>
        <v/>
      </c>
      <c r="BH146" s="137" t="str">
        <f aca="false">IF($BR146&lt;&gt;Constants!$B$8,"",Constants!$B$20+SUM($BC146:$BG146))</f>
        <v/>
      </c>
      <c r="BI146" s="133" t="str">
        <f aca="false">IF($BR146&lt;&gt;Constants!$B$8,"",IF(OR($BP146&lt;$BH146,AND($BP146=$BH146,OR($BK146&lt;$BC146,AND($BK146=$BC146,OR($BL146&lt;$BD146,AND($BL146=$BD146,$AT146,$AL146,$AV146&lt;$AN146)))))),"-&gt;","&lt;-"))</f>
        <v/>
      </c>
      <c r="BJ146" s="132" t="str">
        <f aca="false">IF(ISBLANK($C146),"",AND($AT146,OR($AU146="",$AV146="",AND($AW146,$AX146=""))))</f>
        <v/>
      </c>
      <c r="BK146" s="135" t="str">
        <f aca="false">IF($BR146&lt;&gt;Constants!$B$8,"",IF($AT146,Constants!$B$21*$AV146+Constants!$B$22*IF($AW146,$AX146,Constants!$B$23),Constants!$B$24))</f>
        <v/>
      </c>
      <c r="BL146" s="136" t="str">
        <f aca="false">IF($BR146&lt;&gt;Constants!$B$8,"",Constants!$B$25*ABS($AD$9-IF($AT146,$AU146,0)))</f>
        <v/>
      </c>
      <c r="BM146" s="136" t="str">
        <f aca="false">IF($BR146&lt;&gt;Constants!$B$8,"",IF(AND($AT146,$AY146,$AW146),Constants!$B$27,0))</f>
        <v/>
      </c>
      <c r="BN146" s="136" t="str">
        <f aca="false">IF($BR146&lt;&gt;Constants!$B$8,"",IF($AT146,($AI146-Constants!$B$29)*Constants!$B$28,0))</f>
        <v/>
      </c>
      <c r="BO146" s="136" t="str">
        <f aca="false">IF($BR146&lt;&gt;Constants!$B$8,"",IF($AS146,0,Constants!$B$15)+IF($AR146,0,Constants!$B$16)+IF($AH146,0,Constants!$B$17))</f>
        <v/>
      </c>
      <c r="BP146" s="137" t="str">
        <f aca="false">IF($BR146&lt;&gt;Constants!$B$8,"",Constants!$B$20+SUM($BK146:$BO146))</f>
        <v/>
      </c>
      <c r="BQ146" s="133" t="str">
        <f aca="false">IF(ISBLANK($C146),"",IF(ISBLANK($D$7),$BQ$5,IF(NOT(ISNUMBER($D$7)),$BQ$6,"")))</f>
        <v/>
      </c>
      <c r="BR146" s="133" t="str">
        <f aca="false">IF(ISBLANK($C146),"",IF($BA146,Constants!$B$11,IF(COUNTA($E146:$AA146)=0,Constants!$B$10,IF(NOT($AG146),Constants!$B$9,IF(OR($BQ146&lt;&gt;"",$BB146,$BJ146),Constants!$B$12,Constants!$B$8)))))</f>
        <v/>
      </c>
      <c r="BS146" s="133" t="str">
        <f aca="false">IF(ISBLANK($C146),"",IF($BR146&lt;&gt;Constants!$B$8,$BR146,Constants!$B$13))</f>
        <v/>
      </c>
      <c r="BT146" s="136" t="str">
        <f aca="false">IF($BR146&lt;&gt;Constants!$B$8,"",IF($BI146="-&gt;",$BP146,$BH146))</f>
        <v/>
      </c>
      <c r="BU146" s="136" t="str">
        <f aca="false">IF($BR146&lt;&gt;Constants!$B$8,"",IF($AF146,0,Constants!$B$18))</f>
        <v/>
      </c>
      <c r="BV146" s="136" t="str">
        <f aca="false">IF($BR146&lt;&gt;Constants!$B$8,"",((Constants!$B$31-$AZ146)-Constants!$B$31)/Constants!$B$32)</f>
        <v/>
      </c>
      <c r="BW146" s="136" t="str">
        <f aca="false">IF(ISBLANK($C146),"",IF($BR146&lt;&gt;Constants!$B$8,$BR146,SUM($BT146:$BV146)))</f>
        <v/>
      </c>
      <c r="BX146" s="133" t="str">
        <f aca="false">IF(ISBLANK($C146),"",IF($BR146&lt;&gt;Constants!$B$8,$BR146,RANK($BW146,$BW$9:$BW$508,1)))</f>
        <v/>
      </c>
      <c r="BY146" s="136" t="str">
        <f aca="false">IF($BR146&lt;&gt;Constants!$B$8,"",IF($BI146="-&gt;",$BK146,$BC146))</f>
        <v/>
      </c>
      <c r="BZ146" s="133" t="str">
        <f aca="false">IF(ISBLANK($C146),"",IF($BR146&lt;&gt;Constants!$B$8,$BR146,IF(ISNUMBER($BY146),RANK($BY146,$BY$9:$BY$508,1),COUNT($BY$9:$BY$508)+1)))</f>
        <v/>
      </c>
      <c r="CA146" s="136" t="str">
        <f aca="false">IF($BR146&lt;&gt;Constants!$B$8,"",IF($BI146="-&gt;",$BL146,$BD146))</f>
        <v/>
      </c>
      <c r="CB146" s="133" t="str">
        <f aca="false">IF(ISBLANK($C146),"",IF($BR146&lt;&gt;Constants!$B$8,$BR146,IF(ISNUMBER($CA146),RANK($CA146,$CA$9:$CA$508,1),COUNT($CA$9:$CA$508)+1)))</f>
        <v/>
      </c>
      <c r="CC146" s="136" t="str">
        <f aca="false">IF($BR146&lt;&gt;Constants!$B$8,"",IF($BI146="-&gt;",IF($AT146,$AV146,""),IF($AL146,$AN146,"")))</f>
        <v/>
      </c>
      <c r="CD146" s="133" t="str">
        <f aca="false">IF(ISBLANK($C146),"",IF($BR146&lt;&gt;Constants!$B$8,$BR146,IF(ISNUMBER($CC146),RANK($CC146,$CC$9:$CC$508,1),COUNT($CC$9:$CC$508)+1)))</f>
        <v/>
      </c>
      <c r="CE146" s="136" t="str">
        <f aca="false">IF($BR146&lt;&gt;Constants!$B$8,"",IF(AND(NOT($AL146),NOT($AT146),$AJ146,$AK146,$AR146,$AS146),"",$AI146))</f>
        <v/>
      </c>
      <c r="CF146" s="133" t="str">
        <f aca="false">IF(ISBLANK($C146),"",IF($BR146&lt;&gt;Constants!$B$8,$BR146,IF(ISNUMBER($CE146),RANK($CE146,$CE$9:$CE$508,1),COUNT($CE$9:$CE$508)+1)))</f>
        <v/>
      </c>
      <c r="CG146" s="133" t="str">
        <f aca="false">IF(ISBLANK($C146),"",IF($BR146&lt;&gt;Constants!$B$8,$BR146,COUNTIFS($BX$9:$BX$508,"&lt;"&amp;$BX146)+COUNTIFS($BX$9:$BX$508,$BX146,$BZ$9:$BZ$508,"&lt;"&amp;$BZ146)+COUNTIFS($BX$9:$BX$508,$BX146,$BZ$9:$BZ$508,$BZ146,$CB$9:$CB$508,"&lt;"&amp;$CB146)+COUNTIFS($BX$9:$BX$508,$BX146,$BZ$9:$BZ$508,$BZ146,$CB$9:$CB$508,$CB146,$CD$9:$CD$508,"&lt;"&amp;$CD146)+COUNTIFS($BX$9:$BX$508,$BX146,$BZ$9:$BZ$508,$BZ146,$CB$9:$CB$508,$CB146,$CD$9:$CD$508,$CD146,$CF$9:$CF$508,"&lt;"&amp;$CF146)+1))</f>
        <v/>
      </c>
      <c r="CH146" s="133" t="str">
        <f aca="false">IF(ISBLANK($C146),"",IF($BR146&lt;&gt;Constants!$B$8,$BR146,$BX146-$CG146))</f>
        <v/>
      </c>
      <c r="CI146" s="138"/>
      <c r="CJ146" s="139"/>
      <c r="CK146" s="140" t="str">
        <f aca="false">IF(ISBLANK($C146),"",IF($BR146=Constants!$B$12,$BQ146,""))</f>
        <v/>
      </c>
      <c r="CL146" s="139" t="str">
        <f aca="false">IF(ISBLANK($C146),"",IF($BR146&lt;&gt;Constants!$B$8,"",IF($BI146="-&gt;",2,1)))</f>
        <v/>
      </c>
      <c r="CM146" s="141" t="str">
        <f aca="false">IF(ISBLANK($C146),"",IF($BR146&lt;&gt;Constants!$B$8,"",IF($BI146="-&gt;",$BK146,$BC146)))</f>
        <v/>
      </c>
      <c r="CN146" s="141" t="str">
        <f aca="false">IF(ISBLANK($C146),"",IF($BR146&lt;&gt;Constants!$B$8,"",IF($BI146="-&gt;",$BL146,$BD146)))</f>
        <v/>
      </c>
      <c r="CO146" s="141" t="str">
        <f aca="false">IF(ISBLANK($C146),"",IF($BR146&lt;&gt;Constants!$B$8,"",IF($BI146="-&gt;",$BM146+$BN146,$BE146+$BF146)+$BV146))</f>
        <v/>
      </c>
      <c r="CP146" s="141" t="str">
        <f aca="false">IF(ISBLANK($C146),"",IF($BR146&lt;&gt;Constants!$B$8,"",IF($BI146="-&gt;",$BO146,$BG146)+$BU146))</f>
        <v/>
      </c>
      <c r="CQ146" s="142" t="str">
        <f aca="false">IF(ISBLANK($C146),"",IF($BR146&lt;&gt;Constants!$B$8,$BR146,$BW146))</f>
        <v/>
      </c>
      <c r="CR146" s="143" t="str">
        <f aca="false">IF(ISBLANK($C146),"",$BS146)</f>
        <v/>
      </c>
      <c r="CS146" s="144" t="str">
        <f aca="false">IF(ISBLANK($C146),"",$CH146)</f>
        <v/>
      </c>
      <c r="CT146" s="144" t="str">
        <f aca="false">IF(ISBLANK($C146),"",$CG146)</f>
        <v/>
      </c>
      <c r="CU146" s="145" t="str">
        <f aca="false">IF(ISBLANK($C146),"",IFERROR(_xlfn.SWITCH($CT146,Constants!$B$11,COUNTA($C$9:$C$508)+2,Constants!$B$10,COUNTA($C$9:$C$508)+1,Constants!$B$9,COUNTA($C$9:$C$508)),$CT146))</f>
        <v/>
      </c>
      <c r="CV146" s="9"/>
      <c r="CW146" s="146" t="n">
        <f aca="false">IF(OR(ISNUMBER($CT146),$CT146=Constants!$B$11,$CT146=Constants!$B$9,$CT146=Constants!$B$10),1,0)</f>
        <v>0</v>
      </c>
      <c r="CX146" s="146" t="n">
        <v>138</v>
      </c>
      <c r="CY146" s="146" t="str">
        <f aca="false">IF(ISBLANK($C146),"",IF(ISNUMBER($CU146),$CU146+ROW($B146)/1000,""))</f>
        <v/>
      </c>
      <c r="CZ146" s="146" t="str">
        <f aca="false">IF(ISNUMBER($CY146),RANK($CY146,$CY$9:$CY$508,1),"")</f>
        <v/>
      </c>
      <c r="DA146" s="146" t="str">
        <f aca="false">IF(ISBLANK($C146),"",$B146)</f>
        <v/>
      </c>
      <c r="DB146" s="146" t="str">
        <f aca="false">IF(ISBLANK($C146),"",$C146)</f>
        <v/>
      </c>
      <c r="DC146" s="146" t="str">
        <f aca="false">IF(ISBLANK($C146),"",$D146)</f>
        <v/>
      </c>
      <c r="DD146" s="147" t="str">
        <f aca="false">$CR146</f>
        <v/>
      </c>
      <c r="DE146" s="148" t="str">
        <f aca="false">$CQ146</f>
        <v/>
      </c>
      <c r="DF146" s="146" t="str">
        <f aca="false">IF(ISBLANK($C146),"",$CT146)</f>
        <v/>
      </c>
      <c r="DG146" s="149" t="str">
        <f aca="false">IF($CX146&gt;$CW$8,"",VLOOKUP($CX146,$CZ$9:$DF$508,7,FALSE()))</f>
        <v/>
      </c>
      <c r="DH146" s="150" t="str">
        <f aca="false">IF($CX146&gt;$CW$8,"",VLOOKUP($CX146,$CZ$9:$DF$508,2,FALSE()))</f>
        <v/>
      </c>
      <c r="DI146" s="150" t="str">
        <f aca="false">IF($CX146&gt;$CW$8,"",VLOOKUP($CX146,$CZ$9:$DF$508,3,FALSE()))</f>
        <v/>
      </c>
      <c r="DJ146" s="150" t="str">
        <f aca="false">IF($CX146&gt;$CW$8,"",VLOOKUP($CX146,$CZ$9:$DF$508,4,FALSE()))</f>
        <v/>
      </c>
      <c r="DK146" s="150" t="str">
        <f aca="false">IF($CX146&gt;$CW$8,"",VLOOKUP($CX146,$CZ$9:$DF$508,5,FALSE()))</f>
        <v/>
      </c>
      <c r="DL146" s="151" t="str">
        <f aca="false">IF($CX146&gt;$CW$8,"",VLOOKUP($CX146,$CZ$9:$DF$508,6,FALSE()))</f>
        <v/>
      </c>
      <c r="DM146" s="75"/>
    </row>
    <row r="147" customFormat="false" ht="15.75" hidden="false" customHeight="false" outlineLevel="0" collapsed="false">
      <c r="A147" s="9"/>
      <c r="B147" s="77"/>
      <c r="C147" s="78"/>
      <c r="D147" s="167"/>
      <c r="E147" s="175"/>
      <c r="F147" s="169"/>
      <c r="G147" s="170"/>
      <c r="H147" s="170"/>
      <c r="I147" s="176"/>
      <c r="J147" s="173"/>
      <c r="K147" s="85"/>
      <c r="L147" s="86"/>
      <c r="M147" s="87"/>
      <c r="N147" s="173"/>
      <c r="O147" s="173"/>
      <c r="P147" s="175"/>
      <c r="Q147" s="173"/>
      <c r="R147" s="173"/>
      <c r="S147" s="85"/>
      <c r="T147" s="87"/>
      <c r="U147" s="87"/>
      <c r="V147" s="173"/>
      <c r="W147" s="173"/>
      <c r="X147" s="175"/>
      <c r="Y147" s="173"/>
      <c r="Z147" s="174"/>
      <c r="AA147" s="173"/>
      <c r="AB147" s="91"/>
      <c r="AC147" s="92"/>
      <c r="AD147" s="92"/>
      <c r="AE147" s="92"/>
      <c r="AF147" s="92" t="str">
        <f aca="false">IF(ISBLANK($C147),"",IF(E147=Constants!$B$3,TRUE(),IF(E147=Constants!$B$4,FALSE(),TRUE())))</f>
        <v/>
      </c>
      <c r="AG147" s="92" t="str">
        <f aca="false">IF(ISBLANK($C147),"",IF(F147=Constants!$B$3,TRUE(),IF(F147=Constants!$B$4,FALSE(),TRUE())))</f>
        <v/>
      </c>
      <c r="AH147" s="92" t="str">
        <f aca="false">IF(ISBLANK($C147),"",IF(G147=Constants!$B$3,TRUE(),IF(G147=Constants!$B$4,FALSE(),TRUE())))</f>
        <v/>
      </c>
      <c r="AI147" s="92" t="str">
        <f aca="false">IF(ISBLANK($C147),"",IF(AND(ISNUMBER(H147),H147&gt;=0),H147,Constants!$B$29))</f>
        <v/>
      </c>
      <c r="AJ147" s="92" t="str">
        <f aca="false">IF(ISBLANK($C147),"",IF(I147=Constants!$B$3,TRUE(),IF(I147=Constants!$B$4,FALSE(),TRUE())))</f>
        <v/>
      </c>
      <c r="AK147" s="92" t="str">
        <f aca="false">IF(ISBLANK($C147),"",IF(J147=Constants!$B$3,TRUE(),IF(J147=Constants!$B$4,FALSE(),TRUE())))</f>
        <v/>
      </c>
      <c r="AL147" s="92" t="str">
        <f aca="false">IF(ISBLANK($C147),"",IF(K147=Constants!$B$5,TRUE(),IF(K147=Constants!$B$6,FALSE(),COUNTA(L147:P147)&gt;0)))</f>
        <v/>
      </c>
      <c r="AM147" s="94" t="str">
        <f aca="false">IF(ISBLANK($C147),"",IF(ISNUMBER(L147),IF(L147&gt;=0,L147,""),""))</f>
        <v/>
      </c>
      <c r="AN147" s="93" t="str">
        <f aca="false">IF(ISBLANK($C147),"",IF(ISNUMBER(M147),IF(M147&gt;=0,M147,""),""))</f>
        <v/>
      </c>
      <c r="AO147" s="93" t="str">
        <f aca="false">IF(ISBLANK($C147),"",IF(N147=Constants!$B$3,TRUE(),IF(N147=Constants!$B$4,FALSE(),TRUE())))</f>
        <v/>
      </c>
      <c r="AP147" s="92" t="str">
        <f aca="false">IF(ISBLANK($C147),"",IF(ISNUMBER(O147),IF(O147&gt;=0,O147,""),""))</f>
        <v/>
      </c>
      <c r="AQ147" s="92" t="str">
        <f aca="false">IF(ISBLANK($C147),"",IF(P147=Constants!$B$3,TRUE(),IF(P147=Constants!$B$4,FALSE(),FALSE())))</f>
        <v/>
      </c>
      <c r="AR147" s="92" t="str">
        <f aca="false">IF(ISBLANK($C147),"",IF(Q147=Constants!$B$3,TRUE(),IF(Q147=Constants!$B$4,FALSE(),TRUE())))</f>
        <v/>
      </c>
      <c r="AS147" s="92" t="str">
        <f aca="false">IF(ISBLANK($C147),"",IF(R147=Constants!$B$3,TRUE(),IF(R147=Constants!$B$4,FALSE(),TRUE())))</f>
        <v/>
      </c>
      <c r="AT147" s="92" t="str">
        <f aca="false">IF(ISBLANK($C147),"",IF(S147=Constants!$B$5,TRUE(),IF(S147=Constants!$B$6,FALSE(),COUNTA(T147:X147)&gt;0)))</f>
        <v/>
      </c>
      <c r="AU147" s="94" t="str">
        <f aca="false">IF(ISBLANK($C147),"",IF(ISNUMBER(T147),IF(T147&gt;=0,T147,""),""))</f>
        <v/>
      </c>
      <c r="AV147" s="93" t="str">
        <f aca="false">IF(ISBLANK($C147),"",IF(ISNUMBER(U147),IF(U147&gt;=0,U147,""),""))</f>
        <v/>
      </c>
      <c r="AW147" s="93" t="str">
        <f aca="false">IF(ISBLANK($C147),"",IF(V147=Constants!$B$3,TRUE(),IF(V147=Constants!$B$4,FALSE(),TRUE())))</f>
        <v/>
      </c>
      <c r="AX147" s="92" t="str">
        <f aca="false">IF(ISBLANK($C147),"",IF(ISNUMBER(W147),IF(W147&gt;=0,W147,""),""))</f>
        <v/>
      </c>
      <c r="AY147" s="92" t="str">
        <f aca="false">IF(ISBLANK($C147),"",IF(X147=Constants!$B$3,TRUE(),IF(X147=Constants!$B$4,FALSE(),FALSE())))</f>
        <v/>
      </c>
      <c r="AZ147" s="92" t="str">
        <f aca="false">IF(ISBLANK($C147),"",MIN(Constants!$B$31,MAX(0,IF(ISNUMBER(Y147),Y147*60,0)+IF(ISNUMBER(Z147),Z147,0))))</f>
        <v/>
      </c>
      <c r="BA147" s="92" t="str">
        <f aca="false">IF(ISBLANK($C147),"",IF(AA147=Constants!$B$3,TRUE(),IF(AA147=Constants!$B$4,FALSE(),FALSE())))</f>
        <v/>
      </c>
      <c r="BB147" s="91" t="str">
        <f aca="false">IF(ISBLANK($C147),"",AND($AL147,OR($AM147="",$AN147="",AND($AO147,$AP147=""))))</f>
        <v/>
      </c>
      <c r="BC147" s="93" t="str">
        <f aca="false">IF($BR147&lt;&gt;Constants!$B$8,"",IF($AL147,Constants!$B$21*$AN147+Constants!$B$22*IF($AO147,$AP147,Constants!$B$23),Constants!$B$24))</f>
        <v/>
      </c>
      <c r="BD147" s="96" t="str">
        <f aca="false">IF($BR147&lt;&gt;Constants!$B$8,"",Constants!$B$25*ABS($AD$9-IF($AL147,$AM147,0)))</f>
        <v/>
      </c>
      <c r="BE147" s="96" t="str">
        <f aca="false">IF($BR147&lt;&gt;Constants!$B$8,"",IF(AND($AL147,$AQ147,$AO147),Constants!$B$27,0))</f>
        <v/>
      </c>
      <c r="BF147" s="96" t="str">
        <f aca="false">IF($BR147&lt;&gt;Constants!$B$8,"",IF($AL147,($AI147-Constants!$B$29)*Constants!$B$28,0))</f>
        <v/>
      </c>
      <c r="BG147" s="96" t="str">
        <f aca="false">IF($BR147&lt;&gt;Constants!$B$8,"",IF($AK147,0,Constants!$B$15)+IF($AJ147,0,Constants!$B$16)+IF($AH147,0,Constants!$B$17))</f>
        <v/>
      </c>
      <c r="BH147" s="97" t="str">
        <f aca="false">IF($BR147&lt;&gt;Constants!$B$8,"",Constants!$B$20+SUM($BC147:$BG147))</f>
        <v/>
      </c>
      <c r="BI147" s="92" t="str">
        <f aca="false">IF($BR147&lt;&gt;Constants!$B$8,"",IF(OR($BP147&lt;$BH147,AND($BP147=$BH147,OR($BK147&lt;$BC147,AND($BK147=$BC147,OR($BL147&lt;$BD147,AND($BL147=$BD147,$AT147,$AL147,$AV147&lt;$AN147)))))),"-&gt;","&lt;-"))</f>
        <v/>
      </c>
      <c r="BJ147" s="91" t="str">
        <f aca="false">IF(ISBLANK($C147),"",AND($AT147,OR($AU147="",$AV147="",AND($AW147,$AX147=""))))</f>
        <v/>
      </c>
      <c r="BK147" s="93" t="str">
        <f aca="false">IF($BR147&lt;&gt;Constants!$B$8,"",IF($AT147,Constants!$B$21*$AV147+Constants!$B$22*IF($AW147,$AX147,Constants!$B$23),Constants!$B$24))</f>
        <v/>
      </c>
      <c r="BL147" s="96" t="str">
        <f aca="false">IF($BR147&lt;&gt;Constants!$B$8,"",Constants!$B$25*ABS($AD$9-IF($AT147,$AU147,0)))</f>
        <v/>
      </c>
      <c r="BM147" s="96" t="str">
        <f aca="false">IF($BR147&lt;&gt;Constants!$B$8,"",IF(AND($AT147,$AY147,$AW147),Constants!$B$27,0))</f>
        <v/>
      </c>
      <c r="BN147" s="96" t="str">
        <f aca="false">IF($BR147&lt;&gt;Constants!$B$8,"",IF($AT147,($AI147-Constants!$B$29)*Constants!$B$28,0))</f>
        <v/>
      </c>
      <c r="BO147" s="96" t="str">
        <f aca="false">IF($BR147&lt;&gt;Constants!$B$8,"",IF($AS147,0,Constants!$B$15)+IF($AR147,0,Constants!$B$16)+IF($AH147,0,Constants!$B$17))</f>
        <v/>
      </c>
      <c r="BP147" s="97" t="str">
        <f aca="false">IF($BR147&lt;&gt;Constants!$B$8,"",Constants!$B$20+SUM($BK147:$BO147))</f>
        <v/>
      </c>
      <c r="BQ147" s="92" t="str">
        <f aca="false">IF(ISBLANK($C147),"",IF(ISBLANK($D$7),$BQ$5,IF(NOT(ISNUMBER($D$7)),$BQ$6,"")))</f>
        <v/>
      </c>
      <c r="BR147" s="92" t="str">
        <f aca="false">IF(ISBLANK($C147),"",IF($BA147,Constants!$B$11,IF(COUNTA($E147:$AA147)=0,Constants!$B$10,IF(NOT($AG147),Constants!$B$9,IF(OR($BQ147&lt;&gt;"",$BB147,$BJ147),Constants!$B$12,Constants!$B$8)))))</f>
        <v/>
      </c>
      <c r="BS147" s="92" t="str">
        <f aca="false">IF(ISBLANK($C147),"",IF($BR147&lt;&gt;Constants!$B$8,$BR147,Constants!$B$13))</f>
        <v/>
      </c>
      <c r="BT147" s="96" t="str">
        <f aca="false">IF($BR147&lt;&gt;Constants!$B$8,"",IF($BI147="-&gt;",$BP147,$BH147))</f>
        <v/>
      </c>
      <c r="BU147" s="96" t="str">
        <f aca="false">IF($BR147&lt;&gt;Constants!$B$8,"",IF($AF147,0,Constants!$B$18))</f>
        <v/>
      </c>
      <c r="BV147" s="96" t="str">
        <f aca="false">IF($BR147&lt;&gt;Constants!$B$8,"",((Constants!$B$31-$AZ147)-Constants!$B$31)/Constants!$B$32)</f>
        <v/>
      </c>
      <c r="BW147" s="96" t="str">
        <f aca="false">IF(ISBLANK($C147),"",IF($BR147&lt;&gt;Constants!$B$8,$BR147,SUM($BT147:$BV147)))</f>
        <v/>
      </c>
      <c r="BX147" s="92" t="str">
        <f aca="false">IF(ISBLANK($C147),"",IF($BR147&lt;&gt;Constants!$B$8,$BR147,RANK($BW147,$BW$9:$BW$508,1)))</f>
        <v/>
      </c>
      <c r="BY147" s="96" t="str">
        <f aca="false">IF($BR147&lt;&gt;Constants!$B$8,"",IF($BI147="-&gt;",$BK147,$BC147))</f>
        <v/>
      </c>
      <c r="BZ147" s="92" t="str">
        <f aca="false">IF(ISBLANK($C147),"",IF($BR147&lt;&gt;Constants!$B$8,$BR147,IF(ISNUMBER($BY147),RANK($BY147,$BY$9:$BY$508,1),COUNT($BY$9:$BY$508)+1)))</f>
        <v/>
      </c>
      <c r="CA147" s="96" t="str">
        <f aca="false">IF($BR147&lt;&gt;Constants!$B$8,"",IF($BI147="-&gt;",$BL147,$BD147))</f>
        <v/>
      </c>
      <c r="CB147" s="92" t="str">
        <f aca="false">IF(ISBLANK($C147),"",IF($BR147&lt;&gt;Constants!$B$8,$BR147,IF(ISNUMBER($CA147),RANK($CA147,$CA$9:$CA$508,1),COUNT($CA$9:$CA$508)+1)))</f>
        <v/>
      </c>
      <c r="CC147" s="96" t="str">
        <f aca="false">IF($BR147&lt;&gt;Constants!$B$8,"",IF($BI147="-&gt;",IF($AT147,$AV147,""),IF($AL147,$AN147,"")))</f>
        <v/>
      </c>
      <c r="CD147" s="92" t="str">
        <f aca="false">IF(ISBLANK($C147),"",IF($BR147&lt;&gt;Constants!$B$8,$BR147,IF(ISNUMBER($CC147),RANK($CC147,$CC$9:$CC$508,1),COUNT($CC$9:$CC$508)+1)))</f>
        <v/>
      </c>
      <c r="CE147" s="96" t="str">
        <f aca="false">IF($BR147&lt;&gt;Constants!$B$8,"",IF(AND(NOT($AL147),NOT($AT147),$AJ147,$AK147,$AR147,$AS147),"",$AI147))</f>
        <v/>
      </c>
      <c r="CF147" s="92" t="str">
        <f aca="false">IF(ISBLANK($C147),"",IF($BR147&lt;&gt;Constants!$B$8,$BR147,IF(ISNUMBER($CE147),RANK($CE147,$CE$9:$CE$508,1),COUNT($CE$9:$CE$508)+1)))</f>
        <v/>
      </c>
      <c r="CG147" s="92" t="str">
        <f aca="false">IF(ISBLANK($C147),"",IF($BR147&lt;&gt;Constants!$B$8,$BR147,COUNTIFS($BX$9:$BX$508,"&lt;"&amp;$BX147)+COUNTIFS($BX$9:$BX$508,$BX147,$BZ$9:$BZ$508,"&lt;"&amp;$BZ147)+COUNTIFS($BX$9:$BX$508,$BX147,$BZ$9:$BZ$508,$BZ147,$CB$9:$CB$508,"&lt;"&amp;$CB147)+COUNTIFS($BX$9:$BX$508,$BX147,$BZ$9:$BZ$508,$BZ147,$CB$9:$CB$508,$CB147,$CD$9:$CD$508,"&lt;"&amp;$CD147)+COUNTIFS($BX$9:$BX$508,$BX147,$BZ$9:$BZ$508,$BZ147,$CB$9:$CB$508,$CB147,$CD$9:$CD$508,$CD147,$CF$9:$CF$508,"&lt;"&amp;$CF147)+1))</f>
        <v/>
      </c>
      <c r="CH147" s="92" t="str">
        <f aca="false">IF(ISBLANK($C147),"",IF($BR147&lt;&gt;Constants!$B$8,$BR147,$BX147-$CG147))</f>
        <v/>
      </c>
      <c r="CI147" s="98"/>
      <c r="CJ147" s="99"/>
      <c r="CK147" s="100" t="str">
        <f aca="false">IF(ISBLANK($C147),"",IF($BR147=Constants!$B$12,$BQ147,""))</f>
        <v/>
      </c>
      <c r="CL147" s="99" t="str">
        <f aca="false">IF(ISBLANK($C147),"",IF($BR147&lt;&gt;Constants!$B$8,"",IF($BI147="-&gt;",2,1)))</f>
        <v/>
      </c>
      <c r="CM147" s="101" t="str">
        <f aca="false">IF(ISBLANK($C147),"",IF($BR147&lt;&gt;Constants!$B$8,"",IF($BI147="-&gt;",$BK147,$BC147)))</f>
        <v/>
      </c>
      <c r="CN147" s="101" t="str">
        <f aca="false">IF(ISBLANK($C147),"",IF($BR147&lt;&gt;Constants!$B$8,"",IF($BI147="-&gt;",$BL147,$BD147)))</f>
        <v/>
      </c>
      <c r="CO147" s="101" t="str">
        <f aca="false">IF(ISBLANK($C147),"",IF($BR147&lt;&gt;Constants!$B$8,"",IF($BI147="-&gt;",$BM147+$BN147,$BE147+$BF147)+$BV147))</f>
        <v/>
      </c>
      <c r="CP147" s="101" t="str">
        <f aca="false">IF(ISBLANK($C147),"",IF($BR147&lt;&gt;Constants!$B$8,"",IF($BI147="-&gt;",$BO147,$BG147)+$BU147))</f>
        <v/>
      </c>
      <c r="CQ147" s="102" t="str">
        <f aca="false">IF(ISBLANK($C147),"",IF($BR147&lt;&gt;Constants!$B$8,$BR147,$BW147))</f>
        <v/>
      </c>
      <c r="CR147" s="103" t="str">
        <f aca="false">IF(ISBLANK($C147),"",$BS147)</f>
        <v/>
      </c>
      <c r="CS147" s="104" t="str">
        <f aca="false">IF(ISBLANK($C147),"",$CH147)</f>
        <v/>
      </c>
      <c r="CT147" s="104" t="str">
        <f aca="false">IF(ISBLANK($C147),"",$CG147)</f>
        <v/>
      </c>
      <c r="CU147" s="105" t="str">
        <f aca="false">IF(ISBLANK($C147),"",IFERROR(_xlfn.SWITCH($CT147,Constants!$B$11,COUNTA($C$9:$C$508)+2,Constants!$B$10,COUNTA($C$9:$C$508)+1,Constants!$B$9,COUNTA($C$9:$C$508)),$CT147))</f>
        <v/>
      </c>
      <c r="CV147" s="9"/>
      <c r="CW147" s="106" t="n">
        <f aca="false">IF(OR(ISNUMBER($CT147),$CT147=Constants!$B$11,$CT147=Constants!$B$9,$CT147=Constants!$B$10),1,0)</f>
        <v>0</v>
      </c>
      <c r="CX147" s="106" t="n">
        <v>139</v>
      </c>
      <c r="CY147" s="106" t="str">
        <f aca="false">IF(ISBLANK($C147),"",IF(ISNUMBER($CU147),$CU147+ROW($B147)/1000,""))</f>
        <v/>
      </c>
      <c r="CZ147" s="106" t="str">
        <f aca="false">IF(ISNUMBER($CY147),RANK($CY147,$CY$9:$CY$508,1),"")</f>
        <v/>
      </c>
      <c r="DA147" s="106" t="str">
        <f aca="false">IF(ISBLANK($C147),"",$B147)</f>
        <v/>
      </c>
      <c r="DB147" s="106" t="str">
        <f aca="false">IF(ISBLANK($C147),"",$C147)</f>
        <v/>
      </c>
      <c r="DC147" s="106" t="str">
        <f aca="false">IF(ISBLANK($C147),"",$D147)</f>
        <v/>
      </c>
      <c r="DD147" s="107" t="str">
        <f aca="false">$CR147</f>
        <v/>
      </c>
      <c r="DE147" s="108" t="str">
        <f aca="false">$CQ147</f>
        <v/>
      </c>
      <c r="DF147" s="106" t="str">
        <f aca="false">IF(ISBLANK($C147),"",$CT147)</f>
        <v/>
      </c>
      <c r="DG147" s="109" t="str">
        <f aca="false">IF($CX147&gt;$CW$8,"",VLOOKUP($CX147,$CZ$9:$DF$508,7,FALSE()))</f>
        <v/>
      </c>
      <c r="DH147" s="110" t="str">
        <f aca="false">IF($CX147&gt;$CW$8,"",VLOOKUP($CX147,$CZ$9:$DF$508,2,FALSE()))</f>
        <v/>
      </c>
      <c r="DI147" s="110" t="str">
        <f aca="false">IF($CX147&gt;$CW$8,"",VLOOKUP($CX147,$CZ$9:$DF$508,3,FALSE()))</f>
        <v/>
      </c>
      <c r="DJ147" s="110" t="str">
        <f aca="false">IF($CX147&gt;$CW$8,"",VLOOKUP($CX147,$CZ$9:$DF$508,4,FALSE()))</f>
        <v/>
      </c>
      <c r="DK147" s="110" t="str">
        <f aca="false">IF($CX147&gt;$CW$8,"",VLOOKUP($CX147,$CZ$9:$DF$508,5,FALSE()))</f>
        <v/>
      </c>
      <c r="DL147" s="111" t="str">
        <f aca="false">IF($CX147&gt;$CW$8,"",VLOOKUP($CX147,$CZ$9:$DF$508,6,FALSE()))</f>
        <v/>
      </c>
      <c r="DM147" s="75"/>
    </row>
    <row r="148" customFormat="false" ht="15.75" hidden="false" customHeight="false" outlineLevel="0" collapsed="false">
      <c r="A148" s="9"/>
      <c r="B148" s="77"/>
      <c r="C148" s="78"/>
      <c r="D148" s="167"/>
      <c r="E148" s="175"/>
      <c r="F148" s="169"/>
      <c r="G148" s="170"/>
      <c r="H148" s="170"/>
      <c r="I148" s="176"/>
      <c r="J148" s="173"/>
      <c r="K148" s="85"/>
      <c r="L148" s="86"/>
      <c r="M148" s="87"/>
      <c r="N148" s="173"/>
      <c r="O148" s="173"/>
      <c r="P148" s="175"/>
      <c r="Q148" s="173"/>
      <c r="R148" s="173"/>
      <c r="S148" s="85"/>
      <c r="T148" s="87"/>
      <c r="U148" s="87"/>
      <c r="V148" s="173"/>
      <c r="W148" s="173"/>
      <c r="X148" s="175"/>
      <c r="Y148" s="173"/>
      <c r="Z148" s="174"/>
      <c r="AA148" s="173"/>
      <c r="AB148" s="91"/>
      <c r="AC148" s="92"/>
      <c r="AD148" s="92"/>
      <c r="AE148" s="92"/>
      <c r="AF148" s="92" t="str">
        <f aca="false">IF(ISBLANK($C148),"",IF(E148=Constants!$B$3,TRUE(),IF(E148=Constants!$B$4,FALSE(),TRUE())))</f>
        <v/>
      </c>
      <c r="AG148" s="92" t="str">
        <f aca="false">IF(ISBLANK($C148),"",IF(F148=Constants!$B$3,TRUE(),IF(F148=Constants!$B$4,FALSE(),TRUE())))</f>
        <v/>
      </c>
      <c r="AH148" s="92" t="str">
        <f aca="false">IF(ISBLANK($C148),"",IF(G148=Constants!$B$3,TRUE(),IF(G148=Constants!$B$4,FALSE(),TRUE())))</f>
        <v/>
      </c>
      <c r="AI148" s="92" t="str">
        <f aca="false">IF(ISBLANK($C148),"",IF(AND(ISNUMBER(H148),H148&gt;=0),H148,Constants!$B$29))</f>
        <v/>
      </c>
      <c r="AJ148" s="92" t="str">
        <f aca="false">IF(ISBLANK($C148),"",IF(I148=Constants!$B$3,TRUE(),IF(I148=Constants!$B$4,FALSE(),TRUE())))</f>
        <v/>
      </c>
      <c r="AK148" s="92" t="str">
        <f aca="false">IF(ISBLANK($C148),"",IF(J148=Constants!$B$3,TRUE(),IF(J148=Constants!$B$4,FALSE(),TRUE())))</f>
        <v/>
      </c>
      <c r="AL148" s="92" t="str">
        <f aca="false">IF(ISBLANK($C148),"",IF(K148=Constants!$B$5,TRUE(),IF(K148=Constants!$B$6,FALSE(),COUNTA(L148:P148)&gt;0)))</f>
        <v/>
      </c>
      <c r="AM148" s="94" t="str">
        <f aca="false">IF(ISBLANK($C148),"",IF(ISNUMBER(L148),IF(L148&gt;=0,L148,""),""))</f>
        <v/>
      </c>
      <c r="AN148" s="93" t="str">
        <f aca="false">IF(ISBLANK($C148),"",IF(ISNUMBER(M148),IF(M148&gt;=0,M148,""),""))</f>
        <v/>
      </c>
      <c r="AO148" s="93" t="str">
        <f aca="false">IF(ISBLANK($C148),"",IF(N148=Constants!$B$3,TRUE(),IF(N148=Constants!$B$4,FALSE(),TRUE())))</f>
        <v/>
      </c>
      <c r="AP148" s="92" t="str">
        <f aca="false">IF(ISBLANK($C148),"",IF(ISNUMBER(O148),IF(O148&gt;=0,O148,""),""))</f>
        <v/>
      </c>
      <c r="AQ148" s="92" t="str">
        <f aca="false">IF(ISBLANK($C148),"",IF(P148=Constants!$B$3,TRUE(),IF(P148=Constants!$B$4,FALSE(),FALSE())))</f>
        <v/>
      </c>
      <c r="AR148" s="92" t="str">
        <f aca="false">IF(ISBLANK($C148),"",IF(Q148=Constants!$B$3,TRUE(),IF(Q148=Constants!$B$4,FALSE(),TRUE())))</f>
        <v/>
      </c>
      <c r="AS148" s="92" t="str">
        <f aca="false">IF(ISBLANK($C148),"",IF(R148=Constants!$B$3,TRUE(),IF(R148=Constants!$B$4,FALSE(),TRUE())))</f>
        <v/>
      </c>
      <c r="AT148" s="92" t="str">
        <f aca="false">IF(ISBLANK($C148),"",IF(S148=Constants!$B$5,TRUE(),IF(S148=Constants!$B$6,FALSE(),COUNTA(T148:X148)&gt;0)))</f>
        <v/>
      </c>
      <c r="AU148" s="94" t="str">
        <f aca="false">IF(ISBLANK($C148),"",IF(ISNUMBER(T148),IF(T148&gt;=0,T148,""),""))</f>
        <v/>
      </c>
      <c r="AV148" s="93" t="str">
        <f aca="false">IF(ISBLANK($C148),"",IF(ISNUMBER(U148),IF(U148&gt;=0,U148,""),""))</f>
        <v/>
      </c>
      <c r="AW148" s="93" t="str">
        <f aca="false">IF(ISBLANK($C148),"",IF(V148=Constants!$B$3,TRUE(),IF(V148=Constants!$B$4,FALSE(),TRUE())))</f>
        <v/>
      </c>
      <c r="AX148" s="92" t="str">
        <f aca="false">IF(ISBLANK($C148),"",IF(ISNUMBER(W148),IF(W148&gt;=0,W148,""),""))</f>
        <v/>
      </c>
      <c r="AY148" s="92" t="str">
        <f aca="false">IF(ISBLANK($C148),"",IF(X148=Constants!$B$3,TRUE(),IF(X148=Constants!$B$4,FALSE(),FALSE())))</f>
        <v/>
      </c>
      <c r="AZ148" s="92" t="str">
        <f aca="false">IF(ISBLANK($C148),"",MIN(Constants!$B$31,MAX(0,IF(ISNUMBER(Y148),Y148*60,0)+IF(ISNUMBER(Z148),Z148,0))))</f>
        <v/>
      </c>
      <c r="BA148" s="92" t="str">
        <f aca="false">IF(ISBLANK($C148),"",IF(AA148=Constants!$B$3,TRUE(),IF(AA148=Constants!$B$4,FALSE(),FALSE())))</f>
        <v/>
      </c>
      <c r="BB148" s="91" t="str">
        <f aca="false">IF(ISBLANK($C148),"",AND($AL148,OR($AM148="",$AN148="",AND($AO148,$AP148=""))))</f>
        <v/>
      </c>
      <c r="BC148" s="93" t="str">
        <f aca="false">IF($BR148&lt;&gt;Constants!$B$8,"",IF($AL148,Constants!$B$21*$AN148+Constants!$B$22*IF($AO148,$AP148,Constants!$B$23),Constants!$B$24))</f>
        <v/>
      </c>
      <c r="BD148" s="96" t="str">
        <f aca="false">IF($BR148&lt;&gt;Constants!$B$8,"",Constants!$B$25*ABS($AD$9-IF($AL148,$AM148,0)))</f>
        <v/>
      </c>
      <c r="BE148" s="96" t="str">
        <f aca="false">IF($BR148&lt;&gt;Constants!$B$8,"",IF(AND($AL148,$AQ148,$AO148),Constants!$B$27,0))</f>
        <v/>
      </c>
      <c r="BF148" s="96" t="str">
        <f aca="false">IF($BR148&lt;&gt;Constants!$B$8,"",IF($AL148,($AI148-Constants!$B$29)*Constants!$B$28,0))</f>
        <v/>
      </c>
      <c r="BG148" s="96" t="str">
        <f aca="false">IF($BR148&lt;&gt;Constants!$B$8,"",IF($AK148,0,Constants!$B$15)+IF($AJ148,0,Constants!$B$16)+IF($AH148,0,Constants!$B$17))</f>
        <v/>
      </c>
      <c r="BH148" s="97" t="str">
        <f aca="false">IF($BR148&lt;&gt;Constants!$B$8,"",Constants!$B$20+SUM($BC148:$BG148))</f>
        <v/>
      </c>
      <c r="BI148" s="92" t="str">
        <f aca="false">IF($BR148&lt;&gt;Constants!$B$8,"",IF(OR($BP148&lt;$BH148,AND($BP148=$BH148,OR($BK148&lt;$BC148,AND($BK148=$BC148,OR($BL148&lt;$BD148,AND($BL148=$BD148,$AT148,$AL148,$AV148&lt;$AN148)))))),"-&gt;","&lt;-"))</f>
        <v/>
      </c>
      <c r="BJ148" s="91" t="str">
        <f aca="false">IF(ISBLANK($C148),"",AND($AT148,OR($AU148="",$AV148="",AND($AW148,$AX148=""))))</f>
        <v/>
      </c>
      <c r="BK148" s="93" t="str">
        <f aca="false">IF($BR148&lt;&gt;Constants!$B$8,"",IF($AT148,Constants!$B$21*$AV148+Constants!$B$22*IF($AW148,$AX148,Constants!$B$23),Constants!$B$24))</f>
        <v/>
      </c>
      <c r="BL148" s="96" t="str">
        <f aca="false">IF($BR148&lt;&gt;Constants!$B$8,"",Constants!$B$25*ABS($AD$9-IF($AT148,$AU148,0)))</f>
        <v/>
      </c>
      <c r="BM148" s="96" t="str">
        <f aca="false">IF($BR148&lt;&gt;Constants!$B$8,"",IF(AND($AT148,$AY148,$AW148),Constants!$B$27,0))</f>
        <v/>
      </c>
      <c r="BN148" s="96" t="str">
        <f aca="false">IF($BR148&lt;&gt;Constants!$B$8,"",IF($AT148,($AI148-Constants!$B$29)*Constants!$B$28,0))</f>
        <v/>
      </c>
      <c r="BO148" s="96" t="str">
        <f aca="false">IF($BR148&lt;&gt;Constants!$B$8,"",IF($AS148,0,Constants!$B$15)+IF($AR148,0,Constants!$B$16)+IF($AH148,0,Constants!$B$17))</f>
        <v/>
      </c>
      <c r="BP148" s="97" t="str">
        <f aca="false">IF($BR148&lt;&gt;Constants!$B$8,"",Constants!$B$20+SUM($BK148:$BO148))</f>
        <v/>
      </c>
      <c r="BQ148" s="92" t="str">
        <f aca="false">IF(ISBLANK($C148),"",IF(ISBLANK($D$7),$BQ$5,IF(NOT(ISNUMBER($D$7)),$BQ$6,"")))</f>
        <v/>
      </c>
      <c r="BR148" s="92" t="str">
        <f aca="false">IF(ISBLANK($C148),"",IF($BA148,Constants!$B$11,IF(COUNTA($E148:$AA148)=0,Constants!$B$10,IF(NOT($AG148),Constants!$B$9,IF(OR($BQ148&lt;&gt;"",$BB148,$BJ148),Constants!$B$12,Constants!$B$8)))))</f>
        <v/>
      </c>
      <c r="BS148" s="92" t="str">
        <f aca="false">IF(ISBLANK($C148),"",IF($BR148&lt;&gt;Constants!$B$8,$BR148,Constants!$B$13))</f>
        <v/>
      </c>
      <c r="BT148" s="96" t="str">
        <f aca="false">IF($BR148&lt;&gt;Constants!$B$8,"",IF($BI148="-&gt;",$BP148,$BH148))</f>
        <v/>
      </c>
      <c r="BU148" s="96" t="str">
        <f aca="false">IF($BR148&lt;&gt;Constants!$B$8,"",IF($AF148,0,Constants!$B$18))</f>
        <v/>
      </c>
      <c r="BV148" s="96" t="str">
        <f aca="false">IF($BR148&lt;&gt;Constants!$B$8,"",((Constants!$B$31-$AZ148)-Constants!$B$31)/Constants!$B$32)</f>
        <v/>
      </c>
      <c r="BW148" s="96" t="str">
        <f aca="false">IF(ISBLANK($C148),"",IF($BR148&lt;&gt;Constants!$B$8,$BR148,SUM($BT148:$BV148)))</f>
        <v/>
      </c>
      <c r="BX148" s="92" t="str">
        <f aca="false">IF(ISBLANK($C148),"",IF($BR148&lt;&gt;Constants!$B$8,$BR148,RANK($BW148,$BW$9:$BW$508,1)))</f>
        <v/>
      </c>
      <c r="BY148" s="96" t="str">
        <f aca="false">IF($BR148&lt;&gt;Constants!$B$8,"",IF($BI148="-&gt;",$BK148,$BC148))</f>
        <v/>
      </c>
      <c r="BZ148" s="92" t="str">
        <f aca="false">IF(ISBLANK($C148),"",IF($BR148&lt;&gt;Constants!$B$8,$BR148,IF(ISNUMBER($BY148),RANK($BY148,$BY$9:$BY$508,1),COUNT($BY$9:$BY$508)+1)))</f>
        <v/>
      </c>
      <c r="CA148" s="96" t="str">
        <f aca="false">IF($BR148&lt;&gt;Constants!$B$8,"",IF($BI148="-&gt;",$BL148,$BD148))</f>
        <v/>
      </c>
      <c r="CB148" s="92" t="str">
        <f aca="false">IF(ISBLANK($C148),"",IF($BR148&lt;&gt;Constants!$B$8,$BR148,IF(ISNUMBER($CA148),RANK($CA148,$CA$9:$CA$508,1),COUNT($CA$9:$CA$508)+1)))</f>
        <v/>
      </c>
      <c r="CC148" s="96" t="str">
        <f aca="false">IF($BR148&lt;&gt;Constants!$B$8,"",IF($BI148="-&gt;",IF($AT148,$AV148,""),IF($AL148,$AN148,"")))</f>
        <v/>
      </c>
      <c r="CD148" s="92" t="str">
        <f aca="false">IF(ISBLANK($C148),"",IF($BR148&lt;&gt;Constants!$B$8,$BR148,IF(ISNUMBER($CC148),RANK($CC148,$CC$9:$CC$508,1),COUNT($CC$9:$CC$508)+1)))</f>
        <v/>
      </c>
      <c r="CE148" s="96" t="str">
        <f aca="false">IF($BR148&lt;&gt;Constants!$B$8,"",IF(AND(NOT($AL148),NOT($AT148),$AJ148,$AK148,$AR148,$AS148),"",$AI148))</f>
        <v/>
      </c>
      <c r="CF148" s="92" t="str">
        <f aca="false">IF(ISBLANK($C148),"",IF($BR148&lt;&gt;Constants!$B$8,$BR148,IF(ISNUMBER($CE148),RANK($CE148,$CE$9:$CE$508,1),COUNT($CE$9:$CE$508)+1)))</f>
        <v/>
      </c>
      <c r="CG148" s="92" t="str">
        <f aca="false">IF(ISBLANK($C148),"",IF($BR148&lt;&gt;Constants!$B$8,$BR148,COUNTIFS($BX$9:$BX$508,"&lt;"&amp;$BX148)+COUNTIFS($BX$9:$BX$508,$BX148,$BZ$9:$BZ$508,"&lt;"&amp;$BZ148)+COUNTIFS($BX$9:$BX$508,$BX148,$BZ$9:$BZ$508,$BZ148,$CB$9:$CB$508,"&lt;"&amp;$CB148)+COUNTIFS($BX$9:$BX$508,$BX148,$BZ$9:$BZ$508,$BZ148,$CB$9:$CB$508,$CB148,$CD$9:$CD$508,"&lt;"&amp;$CD148)+COUNTIFS($BX$9:$BX$508,$BX148,$BZ$9:$BZ$508,$BZ148,$CB$9:$CB$508,$CB148,$CD$9:$CD$508,$CD148,$CF$9:$CF$508,"&lt;"&amp;$CF148)+1))</f>
        <v/>
      </c>
      <c r="CH148" s="92" t="str">
        <f aca="false">IF(ISBLANK($C148),"",IF($BR148&lt;&gt;Constants!$B$8,$BR148,$BX148-$CG148))</f>
        <v/>
      </c>
      <c r="CI148" s="98"/>
      <c r="CJ148" s="99"/>
      <c r="CK148" s="100" t="str">
        <f aca="false">IF(ISBLANK($C148),"",IF($BR148=Constants!$B$12,$BQ148,""))</f>
        <v/>
      </c>
      <c r="CL148" s="99" t="str">
        <f aca="false">IF(ISBLANK($C148),"",IF($BR148&lt;&gt;Constants!$B$8,"",IF($BI148="-&gt;",2,1)))</f>
        <v/>
      </c>
      <c r="CM148" s="101" t="str">
        <f aca="false">IF(ISBLANK($C148),"",IF($BR148&lt;&gt;Constants!$B$8,"",IF($BI148="-&gt;",$BK148,$BC148)))</f>
        <v/>
      </c>
      <c r="CN148" s="101" t="str">
        <f aca="false">IF(ISBLANK($C148),"",IF($BR148&lt;&gt;Constants!$B$8,"",IF($BI148="-&gt;",$BL148,$BD148)))</f>
        <v/>
      </c>
      <c r="CO148" s="101" t="str">
        <f aca="false">IF(ISBLANK($C148),"",IF($BR148&lt;&gt;Constants!$B$8,"",IF($BI148="-&gt;",$BM148+$BN148,$BE148+$BF148)+$BV148))</f>
        <v/>
      </c>
      <c r="CP148" s="101" t="str">
        <f aca="false">IF(ISBLANK($C148),"",IF($BR148&lt;&gt;Constants!$B$8,"",IF($BI148="-&gt;",$BO148,$BG148)+$BU148))</f>
        <v/>
      </c>
      <c r="CQ148" s="102" t="str">
        <f aca="false">IF(ISBLANK($C148),"",IF($BR148&lt;&gt;Constants!$B$8,$BR148,$BW148))</f>
        <v/>
      </c>
      <c r="CR148" s="103" t="str">
        <f aca="false">IF(ISBLANK($C148),"",$BS148)</f>
        <v/>
      </c>
      <c r="CS148" s="104" t="str">
        <f aca="false">IF(ISBLANK($C148),"",$CH148)</f>
        <v/>
      </c>
      <c r="CT148" s="104" t="str">
        <f aca="false">IF(ISBLANK($C148),"",$CG148)</f>
        <v/>
      </c>
      <c r="CU148" s="105" t="str">
        <f aca="false">IF(ISBLANK($C148),"",IFERROR(_xlfn.SWITCH($CT148,Constants!$B$11,COUNTA($C$9:$C$508)+2,Constants!$B$10,COUNTA($C$9:$C$508)+1,Constants!$B$9,COUNTA($C$9:$C$508)),$CT148))</f>
        <v/>
      </c>
      <c r="CV148" s="9"/>
      <c r="CW148" s="106" t="n">
        <f aca="false">IF(OR(ISNUMBER($CT148),$CT148=Constants!$B$11,$CT148=Constants!$B$9,$CT148=Constants!$B$10),1,0)</f>
        <v>0</v>
      </c>
      <c r="CX148" s="106" t="n">
        <v>140</v>
      </c>
      <c r="CY148" s="106" t="str">
        <f aca="false">IF(ISBLANK($C148),"",IF(ISNUMBER($CU148),$CU148+ROW($B148)/1000,""))</f>
        <v/>
      </c>
      <c r="CZ148" s="106" t="str">
        <f aca="false">IF(ISNUMBER($CY148),RANK($CY148,$CY$9:$CY$508,1),"")</f>
        <v/>
      </c>
      <c r="DA148" s="106" t="str">
        <f aca="false">IF(ISBLANK($C148),"",$B148)</f>
        <v/>
      </c>
      <c r="DB148" s="106" t="str">
        <f aca="false">IF(ISBLANK($C148),"",$C148)</f>
        <v/>
      </c>
      <c r="DC148" s="106" t="str">
        <f aca="false">IF(ISBLANK($C148),"",$D148)</f>
        <v/>
      </c>
      <c r="DD148" s="107" t="str">
        <f aca="false">$CR148</f>
        <v/>
      </c>
      <c r="DE148" s="108" t="str">
        <f aca="false">$CQ148</f>
        <v/>
      </c>
      <c r="DF148" s="106" t="str">
        <f aca="false">IF(ISBLANK($C148),"",$CT148)</f>
        <v/>
      </c>
      <c r="DG148" s="109" t="str">
        <f aca="false">IF($CX148&gt;$CW$8,"",VLOOKUP($CX148,$CZ$9:$DF$508,7,FALSE()))</f>
        <v/>
      </c>
      <c r="DH148" s="110" t="str">
        <f aca="false">IF($CX148&gt;$CW$8,"",VLOOKUP($CX148,$CZ$9:$DF$508,2,FALSE()))</f>
        <v/>
      </c>
      <c r="DI148" s="110" t="str">
        <f aca="false">IF($CX148&gt;$CW$8,"",VLOOKUP($CX148,$CZ$9:$DF$508,3,FALSE()))</f>
        <v/>
      </c>
      <c r="DJ148" s="110" t="str">
        <f aca="false">IF($CX148&gt;$CW$8,"",VLOOKUP($CX148,$CZ$9:$DF$508,4,FALSE()))</f>
        <v/>
      </c>
      <c r="DK148" s="110" t="str">
        <f aca="false">IF($CX148&gt;$CW$8,"",VLOOKUP($CX148,$CZ$9:$DF$508,5,FALSE()))</f>
        <v/>
      </c>
      <c r="DL148" s="111" t="str">
        <f aca="false">IF($CX148&gt;$CW$8,"",VLOOKUP($CX148,$CZ$9:$DF$508,6,FALSE()))</f>
        <v/>
      </c>
      <c r="DM148" s="75"/>
    </row>
    <row r="149" customFormat="false" ht="15.75" hidden="false" customHeight="false" outlineLevel="0" collapsed="false">
      <c r="A149" s="9"/>
      <c r="B149" s="77"/>
      <c r="C149" s="78"/>
      <c r="D149" s="167"/>
      <c r="E149" s="175"/>
      <c r="F149" s="169"/>
      <c r="G149" s="170"/>
      <c r="H149" s="170"/>
      <c r="I149" s="176"/>
      <c r="J149" s="173"/>
      <c r="K149" s="85"/>
      <c r="L149" s="86"/>
      <c r="M149" s="87"/>
      <c r="N149" s="173"/>
      <c r="O149" s="173"/>
      <c r="P149" s="175"/>
      <c r="Q149" s="173"/>
      <c r="R149" s="173"/>
      <c r="S149" s="85"/>
      <c r="T149" s="87"/>
      <c r="U149" s="87"/>
      <c r="V149" s="173"/>
      <c r="W149" s="173"/>
      <c r="X149" s="175"/>
      <c r="Y149" s="173"/>
      <c r="Z149" s="174"/>
      <c r="AA149" s="173"/>
      <c r="AB149" s="91"/>
      <c r="AC149" s="92"/>
      <c r="AD149" s="92"/>
      <c r="AE149" s="92"/>
      <c r="AF149" s="92" t="str">
        <f aca="false">IF(ISBLANK($C149),"",IF(E149=Constants!$B$3,TRUE(),IF(E149=Constants!$B$4,FALSE(),TRUE())))</f>
        <v/>
      </c>
      <c r="AG149" s="92" t="str">
        <f aca="false">IF(ISBLANK($C149),"",IF(F149=Constants!$B$3,TRUE(),IF(F149=Constants!$B$4,FALSE(),TRUE())))</f>
        <v/>
      </c>
      <c r="AH149" s="92" t="str">
        <f aca="false">IF(ISBLANK($C149),"",IF(G149=Constants!$B$3,TRUE(),IF(G149=Constants!$B$4,FALSE(),TRUE())))</f>
        <v/>
      </c>
      <c r="AI149" s="92" t="str">
        <f aca="false">IF(ISBLANK($C149),"",IF(AND(ISNUMBER(H149),H149&gt;=0),H149,Constants!$B$29))</f>
        <v/>
      </c>
      <c r="AJ149" s="92" t="str">
        <f aca="false">IF(ISBLANK($C149),"",IF(I149=Constants!$B$3,TRUE(),IF(I149=Constants!$B$4,FALSE(),TRUE())))</f>
        <v/>
      </c>
      <c r="AK149" s="92" t="str">
        <f aca="false">IF(ISBLANK($C149),"",IF(J149=Constants!$B$3,TRUE(),IF(J149=Constants!$B$4,FALSE(),TRUE())))</f>
        <v/>
      </c>
      <c r="AL149" s="92" t="str">
        <f aca="false">IF(ISBLANK($C149),"",IF(K149=Constants!$B$5,TRUE(),IF(K149=Constants!$B$6,FALSE(),COUNTA(L149:P149)&gt;0)))</f>
        <v/>
      </c>
      <c r="AM149" s="94" t="str">
        <f aca="false">IF(ISBLANK($C149),"",IF(ISNUMBER(L149),IF(L149&gt;=0,L149,""),""))</f>
        <v/>
      </c>
      <c r="AN149" s="93" t="str">
        <f aca="false">IF(ISBLANK($C149),"",IF(ISNUMBER(M149),IF(M149&gt;=0,M149,""),""))</f>
        <v/>
      </c>
      <c r="AO149" s="93" t="str">
        <f aca="false">IF(ISBLANK($C149),"",IF(N149=Constants!$B$3,TRUE(),IF(N149=Constants!$B$4,FALSE(),TRUE())))</f>
        <v/>
      </c>
      <c r="AP149" s="92" t="str">
        <f aca="false">IF(ISBLANK($C149),"",IF(ISNUMBER(O149),IF(O149&gt;=0,O149,""),""))</f>
        <v/>
      </c>
      <c r="AQ149" s="92" t="str">
        <f aca="false">IF(ISBLANK($C149),"",IF(P149=Constants!$B$3,TRUE(),IF(P149=Constants!$B$4,FALSE(),FALSE())))</f>
        <v/>
      </c>
      <c r="AR149" s="92" t="str">
        <f aca="false">IF(ISBLANK($C149),"",IF(Q149=Constants!$B$3,TRUE(),IF(Q149=Constants!$B$4,FALSE(),TRUE())))</f>
        <v/>
      </c>
      <c r="AS149" s="92" t="str">
        <f aca="false">IF(ISBLANK($C149),"",IF(R149=Constants!$B$3,TRUE(),IF(R149=Constants!$B$4,FALSE(),TRUE())))</f>
        <v/>
      </c>
      <c r="AT149" s="92" t="str">
        <f aca="false">IF(ISBLANK($C149),"",IF(S149=Constants!$B$5,TRUE(),IF(S149=Constants!$B$6,FALSE(),COUNTA(T149:X149)&gt;0)))</f>
        <v/>
      </c>
      <c r="AU149" s="94" t="str">
        <f aca="false">IF(ISBLANK($C149),"",IF(ISNUMBER(T149),IF(T149&gt;=0,T149,""),""))</f>
        <v/>
      </c>
      <c r="AV149" s="93" t="str">
        <f aca="false">IF(ISBLANK($C149),"",IF(ISNUMBER(U149),IF(U149&gt;=0,U149,""),""))</f>
        <v/>
      </c>
      <c r="AW149" s="93" t="str">
        <f aca="false">IF(ISBLANK($C149),"",IF(V149=Constants!$B$3,TRUE(),IF(V149=Constants!$B$4,FALSE(),TRUE())))</f>
        <v/>
      </c>
      <c r="AX149" s="92" t="str">
        <f aca="false">IF(ISBLANK($C149),"",IF(ISNUMBER(W149),IF(W149&gt;=0,W149,""),""))</f>
        <v/>
      </c>
      <c r="AY149" s="92" t="str">
        <f aca="false">IF(ISBLANK($C149),"",IF(X149=Constants!$B$3,TRUE(),IF(X149=Constants!$B$4,FALSE(),FALSE())))</f>
        <v/>
      </c>
      <c r="AZ149" s="92" t="str">
        <f aca="false">IF(ISBLANK($C149),"",MIN(Constants!$B$31,MAX(0,IF(ISNUMBER(Y149),Y149*60,0)+IF(ISNUMBER(Z149),Z149,0))))</f>
        <v/>
      </c>
      <c r="BA149" s="92" t="str">
        <f aca="false">IF(ISBLANK($C149),"",IF(AA149=Constants!$B$3,TRUE(),IF(AA149=Constants!$B$4,FALSE(),FALSE())))</f>
        <v/>
      </c>
      <c r="BB149" s="91" t="str">
        <f aca="false">IF(ISBLANK($C149),"",AND($AL149,OR($AM149="",$AN149="",AND($AO149,$AP149=""))))</f>
        <v/>
      </c>
      <c r="BC149" s="93" t="str">
        <f aca="false">IF($BR149&lt;&gt;Constants!$B$8,"",IF($AL149,Constants!$B$21*$AN149+Constants!$B$22*IF($AO149,$AP149,Constants!$B$23),Constants!$B$24))</f>
        <v/>
      </c>
      <c r="BD149" s="96" t="str">
        <f aca="false">IF($BR149&lt;&gt;Constants!$B$8,"",Constants!$B$25*ABS($AD$9-IF($AL149,$AM149,0)))</f>
        <v/>
      </c>
      <c r="BE149" s="96" t="str">
        <f aca="false">IF($BR149&lt;&gt;Constants!$B$8,"",IF(AND($AL149,$AQ149,$AO149),Constants!$B$27,0))</f>
        <v/>
      </c>
      <c r="BF149" s="96" t="str">
        <f aca="false">IF($BR149&lt;&gt;Constants!$B$8,"",IF($AL149,($AI149-Constants!$B$29)*Constants!$B$28,0))</f>
        <v/>
      </c>
      <c r="BG149" s="96" t="str">
        <f aca="false">IF($BR149&lt;&gt;Constants!$B$8,"",IF($AK149,0,Constants!$B$15)+IF($AJ149,0,Constants!$B$16)+IF($AH149,0,Constants!$B$17))</f>
        <v/>
      </c>
      <c r="BH149" s="97" t="str">
        <f aca="false">IF($BR149&lt;&gt;Constants!$B$8,"",Constants!$B$20+SUM($BC149:$BG149))</f>
        <v/>
      </c>
      <c r="BI149" s="92" t="str">
        <f aca="false">IF($BR149&lt;&gt;Constants!$B$8,"",IF(OR($BP149&lt;$BH149,AND($BP149=$BH149,OR($BK149&lt;$BC149,AND($BK149=$BC149,OR($BL149&lt;$BD149,AND($BL149=$BD149,$AT149,$AL149,$AV149&lt;$AN149)))))),"-&gt;","&lt;-"))</f>
        <v/>
      </c>
      <c r="BJ149" s="91" t="str">
        <f aca="false">IF(ISBLANK($C149),"",AND($AT149,OR($AU149="",$AV149="",AND($AW149,$AX149=""))))</f>
        <v/>
      </c>
      <c r="BK149" s="93" t="str">
        <f aca="false">IF($BR149&lt;&gt;Constants!$B$8,"",IF($AT149,Constants!$B$21*$AV149+Constants!$B$22*IF($AW149,$AX149,Constants!$B$23),Constants!$B$24))</f>
        <v/>
      </c>
      <c r="BL149" s="96" t="str">
        <f aca="false">IF($BR149&lt;&gt;Constants!$B$8,"",Constants!$B$25*ABS($AD$9-IF($AT149,$AU149,0)))</f>
        <v/>
      </c>
      <c r="BM149" s="96" t="str">
        <f aca="false">IF($BR149&lt;&gt;Constants!$B$8,"",IF(AND($AT149,$AY149,$AW149),Constants!$B$27,0))</f>
        <v/>
      </c>
      <c r="BN149" s="96" t="str">
        <f aca="false">IF($BR149&lt;&gt;Constants!$B$8,"",IF($AT149,($AI149-Constants!$B$29)*Constants!$B$28,0))</f>
        <v/>
      </c>
      <c r="BO149" s="96" t="str">
        <f aca="false">IF($BR149&lt;&gt;Constants!$B$8,"",IF($AS149,0,Constants!$B$15)+IF($AR149,0,Constants!$B$16)+IF($AH149,0,Constants!$B$17))</f>
        <v/>
      </c>
      <c r="BP149" s="97" t="str">
        <f aca="false">IF($BR149&lt;&gt;Constants!$B$8,"",Constants!$B$20+SUM($BK149:$BO149))</f>
        <v/>
      </c>
      <c r="BQ149" s="92" t="str">
        <f aca="false">IF(ISBLANK($C149),"",IF(ISBLANK($D$7),$BQ$5,IF(NOT(ISNUMBER($D$7)),$BQ$6,"")))</f>
        <v/>
      </c>
      <c r="BR149" s="92" t="str">
        <f aca="false">IF(ISBLANK($C149),"",IF($BA149,Constants!$B$11,IF(COUNTA($E149:$AA149)=0,Constants!$B$10,IF(NOT($AG149),Constants!$B$9,IF(OR($BQ149&lt;&gt;"",$BB149,$BJ149),Constants!$B$12,Constants!$B$8)))))</f>
        <v/>
      </c>
      <c r="BS149" s="92" t="str">
        <f aca="false">IF(ISBLANK($C149),"",IF($BR149&lt;&gt;Constants!$B$8,$BR149,Constants!$B$13))</f>
        <v/>
      </c>
      <c r="BT149" s="96" t="str">
        <f aca="false">IF($BR149&lt;&gt;Constants!$B$8,"",IF($BI149="-&gt;",$BP149,$BH149))</f>
        <v/>
      </c>
      <c r="BU149" s="96" t="str">
        <f aca="false">IF($BR149&lt;&gt;Constants!$B$8,"",IF($AF149,0,Constants!$B$18))</f>
        <v/>
      </c>
      <c r="BV149" s="96" t="str">
        <f aca="false">IF($BR149&lt;&gt;Constants!$B$8,"",((Constants!$B$31-$AZ149)-Constants!$B$31)/Constants!$B$32)</f>
        <v/>
      </c>
      <c r="BW149" s="96" t="str">
        <f aca="false">IF(ISBLANK($C149),"",IF($BR149&lt;&gt;Constants!$B$8,$BR149,SUM($BT149:$BV149)))</f>
        <v/>
      </c>
      <c r="BX149" s="92" t="str">
        <f aca="false">IF(ISBLANK($C149),"",IF($BR149&lt;&gt;Constants!$B$8,$BR149,RANK($BW149,$BW$9:$BW$508,1)))</f>
        <v/>
      </c>
      <c r="BY149" s="96" t="str">
        <f aca="false">IF($BR149&lt;&gt;Constants!$B$8,"",IF($BI149="-&gt;",$BK149,$BC149))</f>
        <v/>
      </c>
      <c r="BZ149" s="92" t="str">
        <f aca="false">IF(ISBLANK($C149),"",IF($BR149&lt;&gt;Constants!$B$8,$BR149,IF(ISNUMBER($BY149),RANK($BY149,$BY$9:$BY$508,1),COUNT($BY$9:$BY$508)+1)))</f>
        <v/>
      </c>
      <c r="CA149" s="96" t="str">
        <f aca="false">IF($BR149&lt;&gt;Constants!$B$8,"",IF($BI149="-&gt;",$BL149,$BD149))</f>
        <v/>
      </c>
      <c r="CB149" s="92" t="str">
        <f aca="false">IF(ISBLANK($C149),"",IF($BR149&lt;&gt;Constants!$B$8,$BR149,IF(ISNUMBER($CA149),RANK($CA149,$CA$9:$CA$508,1),COUNT($CA$9:$CA$508)+1)))</f>
        <v/>
      </c>
      <c r="CC149" s="96" t="str">
        <f aca="false">IF($BR149&lt;&gt;Constants!$B$8,"",IF($BI149="-&gt;",IF($AT149,$AV149,""),IF($AL149,$AN149,"")))</f>
        <v/>
      </c>
      <c r="CD149" s="92" t="str">
        <f aca="false">IF(ISBLANK($C149),"",IF($BR149&lt;&gt;Constants!$B$8,$BR149,IF(ISNUMBER($CC149),RANK($CC149,$CC$9:$CC$508,1),COUNT($CC$9:$CC$508)+1)))</f>
        <v/>
      </c>
      <c r="CE149" s="96" t="str">
        <f aca="false">IF($BR149&lt;&gt;Constants!$B$8,"",IF(AND(NOT($AL149),NOT($AT149),$AJ149,$AK149,$AR149,$AS149),"",$AI149))</f>
        <v/>
      </c>
      <c r="CF149" s="92" t="str">
        <f aca="false">IF(ISBLANK($C149),"",IF($BR149&lt;&gt;Constants!$B$8,$BR149,IF(ISNUMBER($CE149),RANK($CE149,$CE$9:$CE$508,1),COUNT($CE$9:$CE$508)+1)))</f>
        <v/>
      </c>
      <c r="CG149" s="92" t="str">
        <f aca="false">IF(ISBLANK($C149),"",IF($BR149&lt;&gt;Constants!$B$8,$BR149,COUNTIFS($BX$9:$BX$508,"&lt;"&amp;$BX149)+COUNTIFS($BX$9:$BX$508,$BX149,$BZ$9:$BZ$508,"&lt;"&amp;$BZ149)+COUNTIFS($BX$9:$BX$508,$BX149,$BZ$9:$BZ$508,$BZ149,$CB$9:$CB$508,"&lt;"&amp;$CB149)+COUNTIFS($BX$9:$BX$508,$BX149,$BZ$9:$BZ$508,$BZ149,$CB$9:$CB$508,$CB149,$CD$9:$CD$508,"&lt;"&amp;$CD149)+COUNTIFS($BX$9:$BX$508,$BX149,$BZ$9:$BZ$508,$BZ149,$CB$9:$CB$508,$CB149,$CD$9:$CD$508,$CD149,$CF$9:$CF$508,"&lt;"&amp;$CF149)+1))</f>
        <v/>
      </c>
      <c r="CH149" s="92" t="str">
        <f aca="false">IF(ISBLANK($C149),"",IF($BR149&lt;&gt;Constants!$B$8,$BR149,$BX149-$CG149))</f>
        <v/>
      </c>
      <c r="CI149" s="98"/>
      <c r="CJ149" s="99"/>
      <c r="CK149" s="100" t="str">
        <f aca="false">IF(ISBLANK($C149),"",IF($BR149=Constants!$B$12,$BQ149,""))</f>
        <v/>
      </c>
      <c r="CL149" s="99" t="str">
        <f aca="false">IF(ISBLANK($C149),"",IF($BR149&lt;&gt;Constants!$B$8,"",IF($BI149="-&gt;",2,1)))</f>
        <v/>
      </c>
      <c r="CM149" s="101" t="str">
        <f aca="false">IF(ISBLANK($C149),"",IF($BR149&lt;&gt;Constants!$B$8,"",IF($BI149="-&gt;",$BK149,$BC149)))</f>
        <v/>
      </c>
      <c r="CN149" s="101" t="str">
        <f aca="false">IF(ISBLANK($C149),"",IF($BR149&lt;&gt;Constants!$B$8,"",IF($BI149="-&gt;",$BL149,$BD149)))</f>
        <v/>
      </c>
      <c r="CO149" s="101" t="str">
        <f aca="false">IF(ISBLANK($C149),"",IF($BR149&lt;&gt;Constants!$B$8,"",IF($BI149="-&gt;",$BM149+$BN149,$BE149+$BF149)+$BV149))</f>
        <v/>
      </c>
      <c r="CP149" s="101" t="str">
        <f aca="false">IF(ISBLANK($C149),"",IF($BR149&lt;&gt;Constants!$B$8,"",IF($BI149="-&gt;",$BO149,$BG149)+$BU149))</f>
        <v/>
      </c>
      <c r="CQ149" s="102" t="str">
        <f aca="false">IF(ISBLANK($C149),"",IF($BR149&lt;&gt;Constants!$B$8,$BR149,$BW149))</f>
        <v/>
      </c>
      <c r="CR149" s="103" t="str">
        <f aca="false">IF(ISBLANK($C149),"",$BS149)</f>
        <v/>
      </c>
      <c r="CS149" s="104" t="str">
        <f aca="false">IF(ISBLANK($C149),"",$CH149)</f>
        <v/>
      </c>
      <c r="CT149" s="104" t="str">
        <f aca="false">IF(ISBLANK($C149),"",$CG149)</f>
        <v/>
      </c>
      <c r="CU149" s="105" t="str">
        <f aca="false">IF(ISBLANK($C149),"",IFERROR(_xlfn.SWITCH($CT149,Constants!$B$11,COUNTA($C$9:$C$508)+2,Constants!$B$10,COUNTA($C$9:$C$508)+1,Constants!$B$9,COUNTA($C$9:$C$508)),$CT149))</f>
        <v/>
      </c>
      <c r="CV149" s="9"/>
      <c r="CW149" s="106" t="n">
        <f aca="false">IF(OR(ISNUMBER($CT149),$CT149=Constants!$B$11,$CT149=Constants!$B$9,$CT149=Constants!$B$10),1,0)</f>
        <v>0</v>
      </c>
      <c r="CX149" s="106" t="n">
        <v>141</v>
      </c>
      <c r="CY149" s="106" t="str">
        <f aca="false">IF(ISBLANK($C149),"",IF(ISNUMBER($CU149),$CU149+ROW($B149)/1000,""))</f>
        <v/>
      </c>
      <c r="CZ149" s="106" t="str">
        <f aca="false">IF(ISNUMBER($CY149),RANK($CY149,$CY$9:$CY$508,1),"")</f>
        <v/>
      </c>
      <c r="DA149" s="106" t="str">
        <f aca="false">IF(ISBLANK($C149),"",$B149)</f>
        <v/>
      </c>
      <c r="DB149" s="106" t="str">
        <f aca="false">IF(ISBLANK($C149),"",$C149)</f>
        <v/>
      </c>
      <c r="DC149" s="106" t="str">
        <f aca="false">IF(ISBLANK($C149),"",$D149)</f>
        <v/>
      </c>
      <c r="DD149" s="107" t="str">
        <f aca="false">$CR149</f>
        <v/>
      </c>
      <c r="DE149" s="108" t="str">
        <f aca="false">$CQ149</f>
        <v/>
      </c>
      <c r="DF149" s="106" t="str">
        <f aca="false">IF(ISBLANK($C149),"",$CT149)</f>
        <v/>
      </c>
      <c r="DG149" s="109" t="str">
        <f aca="false">IF($CX149&gt;$CW$8,"",VLOOKUP($CX149,$CZ$9:$DF$508,7,FALSE()))</f>
        <v/>
      </c>
      <c r="DH149" s="110" t="str">
        <f aca="false">IF($CX149&gt;$CW$8,"",VLOOKUP($CX149,$CZ$9:$DF$508,2,FALSE()))</f>
        <v/>
      </c>
      <c r="DI149" s="110" t="str">
        <f aca="false">IF($CX149&gt;$CW$8,"",VLOOKUP($CX149,$CZ$9:$DF$508,3,FALSE()))</f>
        <v/>
      </c>
      <c r="DJ149" s="110" t="str">
        <f aca="false">IF($CX149&gt;$CW$8,"",VLOOKUP($CX149,$CZ$9:$DF$508,4,FALSE()))</f>
        <v/>
      </c>
      <c r="DK149" s="110" t="str">
        <f aca="false">IF($CX149&gt;$CW$8,"",VLOOKUP($CX149,$CZ$9:$DF$508,5,FALSE()))</f>
        <v/>
      </c>
      <c r="DL149" s="111" t="str">
        <f aca="false">IF($CX149&gt;$CW$8,"",VLOOKUP($CX149,$CZ$9:$DF$508,6,FALSE()))</f>
        <v/>
      </c>
      <c r="DM149" s="75"/>
    </row>
    <row r="150" customFormat="false" ht="15.75" hidden="false" customHeight="false" outlineLevel="0" collapsed="false">
      <c r="A150" s="9"/>
      <c r="B150" s="157"/>
      <c r="C150" s="158"/>
      <c r="D150" s="159"/>
      <c r="E150" s="177"/>
      <c r="F150" s="161"/>
      <c r="G150" s="162"/>
      <c r="H150" s="162"/>
      <c r="I150" s="178"/>
      <c r="J150" s="165"/>
      <c r="K150" s="126"/>
      <c r="L150" s="127"/>
      <c r="M150" s="128"/>
      <c r="N150" s="165"/>
      <c r="O150" s="165"/>
      <c r="P150" s="177"/>
      <c r="Q150" s="165"/>
      <c r="R150" s="165"/>
      <c r="S150" s="126"/>
      <c r="T150" s="128"/>
      <c r="U150" s="128"/>
      <c r="V150" s="165"/>
      <c r="W150" s="165"/>
      <c r="X150" s="177"/>
      <c r="Y150" s="165"/>
      <c r="Z150" s="166"/>
      <c r="AA150" s="165"/>
      <c r="AB150" s="132"/>
      <c r="AC150" s="133"/>
      <c r="AD150" s="133"/>
      <c r="AE150" s="133"/>
      <c r="AF150" s="133" t="str">
        <f aca="false">IF(ISBLANK($C150),"",IF(E150=Constants!$B$3,TRUE(),IF(E150=Constants!$B$4,FALSE(),TRUE())))</f>
        <v/>
      </c>
      <c r="AG150" s="133" t="str">
        <f aca="false">IF(ISBLANK($C150),"",IF(F150=Constants!$B$3,TRUE(),IF(F150=Constants!$B$4,FALSE(),TRUE())))</f>
        <v/>
      </c>
      <c r="AH150" s="133" t="str">
        <f aca="false">IF(ISBLANK($C150),"",IF(G150=Constants!$B$3,TRUE(),IF(G150=Constants!$B$4,FALSE(),TRUE())))</f>
        <v/>
      </c>
      <c r="AI150" s="133" t="str">
        <f aca="false">IF(ISBLANK($C150),"",IF(AND(ISNUMBER(H150),H150&gt;=0),H150,Constants!$B$29))</f>
        <v/>
      </c>
      <c r="AJ150" s="133" t="str">
        <f aca="false">IF(ISBLANK($C150),"",IF(I150=Constants!$B$3,TRUE(),IF(I150=Constants!$B$4,FALSE(),TRUE())))</f>
        <v/>
      </c>
      <c r="AK150" s="133" t="str">
        <f aca="false">IF(ISBLANK($C150),"",IF(J150=Constants!$B$3,TRUE(),IF(J150=Constants!$B$4,FALSE(),TRUE())))</f>
        <v/>
      </c>
      <c r="AL150" s="133" t="str">
        <f aca="false">IF(ISBLANK($C150),"",IF(K150=Constants!$B$5,TRUE(),IF(K150=Constants!$B$6,FALSE(),COUNTA(L150:P150)&gt;0)))</f>
        <v/>
      </c>
      <c r="AM150" s="134" t="str">
        <f aca="false">IF(ISBLANK($C150),"",IF(ISNUMBER(L150),IF(L150&gt;=0,L150,""),""))</f>
        <v/>
      </c>
      <c r="AN150" s="135" t="str">
        <f aca="false">IF(ISBLANK($C150),"",IF(ISNUMBER(M150),IF(M150&gt;=0,M150,""),""))</f>
        <v/>
      </c>
      <c r="AO150" s="135" t="str">
        <f aca="false">IF(ISBLANK($C150),"",IF(N150=Constants!$B$3,TRUE(),IF(N150=Constants!$B$4,FALSE(),TRUE())))</f>
        <v/>
      </c>
      <c r="AP150" s="133" t="str">
        <f aca="false">IF(ISBLANK($C150),"",IF(ISNUMBER(O150),IF(O150&gt;=0,O150,""),""))</f>
        <v/>
      </c>
      <c r="AQ150" s="133" t="str">
        <f aca="false">IF(ISBLANK($C150),"",IF(P150=Constants!$B$3,TRUE(),IF(P150=Constants!$B$4,FALSE(),FALSE())))</f>
        <v/>
      </c>
      <c r="AR150" s="133" t="str">
        <f aca="false">IF(ISBLANK($C150),"",IF(Q150=Constants!$B$3,TRUE(),IF(Q150=Constants!$B$4,FALSE(),TRUE())))</f>
        <v/>
      </c>
      <c r="AS150" s="133" t="str">
        <f aca="false">IF(ISBLANK($C150),"",IF(R150=Constants!$B$3,TRUE(),IF(R150=Constants!$B$4,FALSE(),TRUE())))</f>
        <v/>
      </c>
      <c r="AT150" s="133" t="str">
        <f aca="false">IF(ISBLANK($C150),"",IF(S150=Constants!$B$5,TRUE(),IF(S150=Constants!$B$6,FALSE(),COUNTA(T150:X150)&gt;0)))</f>
        <v/>
      </c>
      <c r="AU150" s="134" t="str">
        <f aca="false">IF(ISBLANK($C150),"",IF(ISNUMBER(T150),IF(T150&gt;=0,T150,""),""))</f>
        <v/>
      </c>
      <c r="AV150" s="135" t="str">
        <f aca="false">IF(ISBLANK($C150),"",IF(ISNUMBER(U150),IF(U150&gt;=0,U150,""),""))</f>
        <v/>
      </c>
      <c r="AW150" s="135" t="str">
        <f aca="false">IF(ISBLANK($C150),"",IF(V150=Constants!$B$3,TRUE(),IF(V150=Constants!$B$4,FALSE(),TRUE())))</f>
        <v/>
      </c>
      <c r="AX150" s="133" t="str">
        <f aca="false">IF(ISBLANK($C150),"",IF(ISNUMBER(W150),IF(W150&gt;=0,W150,""),""))</f>
        <v/>
      </c>
      <c r="AY150" s="133" t="str">
        <f aca="false">IF(ISBLANK($C150),"",IF(X150=Constants!$B$3,TRUE(),IF(X150=Constants!$B$4,FALSE(),FALSE())))</f>
        <v/>
      </c>
      <c r="AZ150" s="133" t="str">
        <f aca="false">IF(ISBLANK($C150),"",MIN(Constants!$B$31,MAX(0,IF(ISNUMBER(Y150),Y150*60,0)+IF(ISNUMBER(Z150),Z150,0))))</f>
        <v/>
      </c>
      <c r="BA150" s="133" t="str">
        <f aca="false">IF(ISBLANK($C150),"",IF(AA150=Constants!$B$3,TRUE(),IF(AA150=Constants!$B$4,FALSE(),FALSE())))</f>
        <v/>
      </c>
      <c r="BB150" s="132" t="str">
        <f aca="false">IF(ISBLANK($C150),"",AND($AL150,OR($AM150="",$AN150="",AND($AO150,$AP150=""))))</f>
        <v/>
      </c>
      <c r="BC150" s="135" t="str">
        <f aca="false">IF($BR150&lt;&gt;Constants!$B$8,"",IF($AL150,Constants!$B$21*$AN150+Constants!$B$22*IF($AO150,$AP150,Constants!$B$23),Constants!$B$24))</f>
        <v/>
      </c>
      <c r="BD150" s="136" t="str">
        <f aca="false">IF($BR150&lt;&gt;Constants!$B$8,"",Constants!$B$25*ABS($AD$9-IF($AL150,$AM150,0)))</f>
        <v/>
      </c>
      <c r="BE150" s="136" t="str">
        <f aca="false">IF($BR150&lt;&gt;Constants!$B$8,"",IF(AND($AL150,$AQ150,$AO150),Constants!$B$27,0))</f>
        <v/>
      </c>
      <c r="BF150" s="136" t="str">
        <f aca="false">IF($BR150&lt;&gt;Constants!$B$8,"",IF($AL150,($AI150-Constants!$B$29)*Constants!$B$28,0))</f>
        <v/>
      </c>
      <c r="BG150" s="136" t="str">
        <f aca="false">IF($BR150&lt;&gt;Constants!$B$8,"",IF($AK150,0,Constants!$B$15)+IF($AJ150,0,Constants!$B$16)+IF($AH150,0,Constants!$B$17))</f>
        <v/>
      </c>
      <c r="BH150" s="137" t="str">
        <f aca="false">IF($BR150&lt;&gt;Constants!$B$8,"",Constants!$B$20+SUM($BC150:$BG150))</f>
        <v/>
      </c>
      <c r="BI150" s="133" t="str">
        <f aca="false">IF($BR150&lt;&gt;Constants!$B$8,"",IF(OR($BP150&lt;$BH150,AND($BP150=$BH150,OR($BK150&lt;$BC150,AND($BK150=$BC150,OR($BL150&lt;$BD150,AND($BL150=$BD150,$AT150,$AL150,$AV150&lt;$AN150)))))),"-&gt;","&lt;-"))</f>
        <v/>
      </c>
      <c r="BJ150" s="132" t="str">
        <f aca="false">IF(ISBLANK($C150),"",AND($AT150,OR($AU150="",$AV150="",AND($AW150,$AX150=""))))</f>
        <v/>
      </c>
      <c r="BK150" s="135" t="str">
        <f aca="false">IF($BR150&lt;&gt;Constants!$B$8,"",IF($AT150,Constants!$B$21*$AV150+Constants!$B$22*IF($AW150,$AX150,Constants!$B$23),Constants!$B$24))</f>
        <v/>
      </c>
      <c r="BL150" s="136" t="str">
        <f aca="false">IF($BR150&lt;&gt;Constants!$B$8,"",Constants!$B$25*ABS($AD$9-IF($AT150,$AU150,0)))</f>
        <v/>
      </c>
      <c r="BM150" s="136" t="str">
        <f aca="false">IF($BR150&lt;&gt;Constants!$B$8,"",IF(AND($AT150,$AY150,$AW150),Constants!$B$27,0))</f>
        <v/>
      </c>
      <c r="BN150" s="136" t="str">
        <f aca="false">IF($BR150&lt;&gt;Constants!$B$8,"",IF($AT150,($AI150-Constants!$B$29)*Constants!$B$28,0))</f>
        <v/>
      </c>
      <c r="BO150" s="136" t="str">
        <f aca="false">IF($BR150&lt;&gt;Constants!$B$8,"",IF($AS150,0,Constants!$B$15)+IF($AR150,0,Constants!$B$16)+IF($AH150,0,Constants!$B$17))</f>
        <v/>
      </c>
      <c r="BP150" s="137" t="str">
        <f aca="false">IF($BR150&lt;&gt;Constants!$B$8,"",Constants!$B$20+SUM($BK150:$BO150))</f>
        <v/>
      </c>
      <c r="BQ150" s="133" t="str">
        <f aca="false">IF(ISBLANK($C150),"",IF(ISBLANK($D$7),$BQ$5,IF(NOT(ISNUMBER($D$7)),$BQ$6,"")))</f>
        <v/>
      </c>
      <c r="BR150" s="133" t="str">
        <f aca="false">IF(ISBLANK($C150),"",IF($BA150,Constants!$B$11,IF(COUNTA($E150:$AA150)=0,Constants!$B$10,IF(NOT($AG150),Constants!$B$9,IF(OR($BQ150&lt;&gt;"",$BB150,$BJ150),Constants!$B$12,Constants!$B$8)))))</f>
        <v/>
      </c>
      <c r="BS150" s="133" t="str">
        <f aca="false">IF(ISBLANK($C150),"",IF($BR150&lt;&gt;Constants!$B$8,$BR150,Constants!$B$13))</f>
        <v/>
      </c>
      <c r="BT150" s="136" t="str">
        <f aca="false">IF($BR150&lt;&gt;Constants!$B$8,"",IF($BI150="-&gt;",$BP150,$BH150))</f>
        <v/>
      </c>
      <c r="BU150" s="136" t="str">
        <f aca="false">IF($BR150&lt;&gt;Constants!$B$8,"",IF($AF150,0,Constants!$B$18))</f>
        <v/>
      </c>
      <c r="BV150" s="136" t="str">
        <f aca="false">IF($BR150&lt;&gt;Constants!$B$8,"",((Constants!$B$31-$AZ150)-Constants!$B$31)/Constants!$B$32)</f>
        <v/>
      </c>
      <c r="BW150" s="136" t="str">
        <f aca="false">IF(ISBLANK($C150),"",IF($BR150&lt;&gt;Constants!$B$8,$BR150,SUM($BT150:$BV150)))</f>
        <v/>
      </c>
      <c r="BX150" s="133" t="str">
        <f aca="false">IF(ISBLANK($C150),"",IF($BR150&lt;&gt;Constants!$B$8,$BR150,RANK($BW150,$BW$9:$BW$508,1)))</f>
        <v/>
      </c>
      <c r="BY150" s="136" t="str">
        <f aca="false">IF($BR150&lt;&gt;Constants!$B$8,"",IF($BI150="-&gt;",$BK150,$BC150))</f>
        <v/>
      </c>
      <c r="BZ150" s="133" t="str">
        <f aca="false">IF(ISBLANK($C150),"",IF($BR150&lt;&gt;Constants!$B$8,$BR150,IF(ISNUMBER($BY150),RANK($BY150,$BY$9:$BY$508,1),COUNT($BY$9:$BY$508)+1)))</f>
        <v/>
      </c>
      <c r="CA150" s="136" t="str">
        <f aca="false">IF($BR150&lt;&gt;Constants!$B$8,"",IF($BI150="-&gt;",$BL150,$BD150))</f>
        <v/>
      </c>
      <c r="CB150" s="133" t="str">
        <f aca="false">IF(ISBLANK($C150),"",IF($BR150&lt;&gt;Constants!$B$8,$BR150,IF(ISNUMBER($CA150),RANK($CA150,$CA$9:$CA$508,1),COUNT($CA$9:$CA$508)+1)))</f>
        <v/>
      </c>
      <c r="CC150" s="136" t="str">
        <f aca="false">IF($BR150&lt;&gt;Constants!$B$8,"",IF($BI150="-&gt;",IF($AT150,$AV150,""),IF($AL150,$AN150,"")))</f>
        <v/>
      </c>
      <c r="CD150" s="133" t="str">
        <f aca="false">IF(ISBLANK($C150),"",IF($BR150&lt;&gt;Constants!$B$8,$BR150,IF(ISNUMBER($CC150),RANK($CC150,$CC$9:$CC$508,1),COUNT($CC$9:$CC$508)+1)))</f>
        <v/>
      </c>
      <c r="CE150" s="136" t="str">
        <f aca="false">IF($BR150&lt;&gt;Constants!$B$8,"",IF(AND(NOT($AL150),NOT($AT150),$AJ150,$AK150,$AR150,$AS150),"",$AI150))</f>
        <v/>
      </c>
      <c r="CF150" s="133" t="str">
        <f aca="false">IF(ISBLANK($C150),"",IF($BR150&lt;&gt;Constants!$B$8,$BR150,IF(ISNUMBER($CE150),RANK($CE150,$CE$9:$CE$508,1),COUNT($CE$9:$CE$508)+1)))</f>
        <v/>
      </c>
      <c r="CG150" s="133" t="str">
        <f aca="false">IF(ISBLANK($C150),"",IF($BR150&lt;&gt;Constants!$B$8,$BR150,COUNTIFS($BX$9:$BX$508,"&lt;"&amp;$BX150)+COUNTIFS($BX$9:$BX$508,$BX150,$BZ$9:$BZ$508,"&lt;"&amp;$BZ150)+COUNTIFS($BX$9:$BX$508,$BX150,$BZ$9:$BZ$508,$BZ150,$CB$9:$CB$508,"&lt;"&amp;$CB150)+COUNTIFS($BX$9:$BX$508,$BX150,$BZ$9:$BZ$508,$BZ150,$CB$9:$CB$508,$CB150,$CD$9:$CD$508,"&lt;"&amp;$CD150)+COUNTIFS($BX$9:$BX$508,$BX150,$BZ$9:$BZ$508,$BZ150,$CB$9:$CB$508,$CB150,$CD$9:$CD$508,$CD150,$CF$9:$CF$508,"&lt;"&amp;$CF150)+1))</f>
        <v/>
      </c>
      <c r="CH150" s="133" t="str">
        <f aca="false">IF(ISBLANK($C150),"",IF($BR150&lt;&gt;Constants!$B$8,$BR150,$BX150-$CG150))</f>
        <v/>
      </c>
      <c r="CI150" s="138"/>
      <c r="CJ150" s="139"/>
      <c r="CK150" s="140" t="str">
        <f aca="false">IF(ISBLANK($C150),"",IF($BR150=Constants!$B$12,$BQ150,""))</f>
        <v/>
      </c>
      <c r="CL150" s="139" t="str">
        <f aca="false">IF(ISBLANK($C150),"",IF($BR150&lt;&gt;Constants!$B$8,"",IF($BI150="-&gt;",2,1)))</f>
        <v/>
      </c>
      <c r="CM150" s="141" t="str">
        <f aca="false">IF(ISBLANK($C150),"",IF($BR150&lt;&gt;Constants!$B$8,"",IF($BI150="-&gt;",$BK150,$BC150)))</f>
        <v/>
      </c>
      <c r="CN150" s="141" t="str">
        <f aca="false">IF(ISBLANK($C150),"",IF($BR150&lt;&gt;Constants!$B$8,"",IF($BI150="-&gt;",$BL150,$BD150)))</f>
        <v/>
      </c>
      <c r="CO150" s="141" t="str">
        <f aca="false">IF(ISBLANK($C150),"",IF($BR150&lt;&gt;Constants!$B$8,"",IF($BI150="-&gt;",$BM150+$BN150,$BE150+$BF150)+$BV150))</f>
        <v/>
      </c>
      <c r="CP150" s="141" t="str">
        <f aca="false">IF(ISBLANK($C150),"",IF($BR150&lt;&gt;Constants!$B$8,"",IF($BI150="-&gt;",$BO150,$BG150)+$BU150))</f>
        <v/>
      </c>
      <c r="CQ150" s="142" t="str">
        <f aca="false">IF(ISBLANK($C150),"",IF($BR150&lt;&gt;Constants!$B$8,$BR150,$BW150))</f>
        <v/>
      </c>
      <c r="CR150" s="143" t="str">
        <f aca="false">IF(ISBLANK($C150),"",$BS150)</f>
        <v/>
      </c>
      <c r="CS150" s="144" t="str">
        <f aca="false">IF(ISBLANK($C150),"",$CH150)</f>
        <v/>
      </c>
      <c r="CT150" s="144" t="str">
        <f aca="false">IF(ISBLANK($C150),"",$CG150)</f>
        <v/>
      </c>
      <c r="CU150" s="145" t="str">
        <f aca="false">IF(ISBLANK($C150),"",IFERROR(_xlfn.SWITCH($CT150,Constants!$B$11,COUNTA($C$9:$C$508)+2,Constants!$B$10,COUNTA($C$9:$C$508)+1,Constants!$B$9,COUNTA($C$9:$C$508)),$CT150))</f>
        <v/>
      </c>
      <c r="CV150" s="9"/>
      <c r="CW150" s="146" t="n">
        <f aca="false">IF(OR(ISNUMBER($CT150),$CT150=Constants!$B$11,$CT150=Constants!$B$9,$CT150=Constants!$B$10),1,0)</f>
        <v>0</v>
      </c>
      <c r="CX150" s="146" t="n">
        <v>142</v>
      </c>
      <c r="CY150" s="146" t="str">
        <f aca="false">IF(ISBLANK($C150),"",IF(ISNUMBER($CU150),$CU150+ROW($B150)/1000,""))</f>
        <v/>
      </c>
      <c r="CZ150" s="146" t="str">
        <f aca="false">IF(ISNUMBER($CY150),RANK($CY150,$CY$9:$CY$508,1),"")</f>
        <v/>
      </c>
      <c r="DA150" s="146" t="str">
        <f aca="false">IF(ISBLANK($C150),"",$B150)</f>
        <v/>
      </c>
      <c r="DB150" s="146" t="str">
        <f aca="false">IF(ISBLANK($C150),"",$C150)</f>
        <v/>
      </c>
      <c r="DC150" s="146" t="str">
        <f aca="false">IF(ISBLANK($C150),"",$D150)</f>
        <v/>
      </c>
      <c r="DD150" s="147" t="str">
        <f aca="false">$CR150</f>
        <v/>
      </c>
      <c r="DE150" s="148" t="str">
        <f aca="false">$CQ150</f>
        <v/>
      </c>
      <c r="DF150" s="146" t="str">
        <f aca="false">IF(ISBLANK($C150),"",$CT150)</f>
        <v/>
      </c>
      <c r="DG150" s="149" t="str">
        <f aca="false">IF($CX150&gt;$CW$8,"",VLOOKUP($CX150,$CZ$9:$DF$508,7,FALSE()))</f>
        <v/>
      </c>
      <c r="DH150" s="150" t="str">
        <f aca="false">IF($CX150&gt;$CW$8,"",VLOOKUP($CX150,$CZ$9:$DF$508,2,FALSE()))</f>
        <v/>
      </c>
      <c r="DI150" s="150" t="str">
        <f aca="false">IF($CX150&gt;$CW$8,"",VLOOKUP($CX150,$CZ$9:$DF$508,3,FALSE()))</f>
        <v/>
      </c>
      <c r="DJ150" s="150" t="str">
        <f aca="false">IF($CX150&gt;$CW$8,"",VLOOKUP($CX150,$CZ$9:$DF$508,4,FALSE()))</f>
        <v/>
      </c>
      <c r="DK150" s="150" t="str">
        <f aca="false">IF($CX150&gt;$CW$8,"",VLOOKUP($CX150,$CZ$9:$DF$508,5,FALSE()))</f>
        <v/>
      </c>
      <c r="DL150" s="151" t="str">
        <f aca="false">IF($CX150&gt;$CW$8,"",VLOOKUP($CX150,$CZ$9:$DF$508,6,FALSE()))</f>
        <v/>
      </c>
      <c r="DM150" s="75"/>
    </row>
    <row r="151" customFormat="false" ht="15.75" hidden="false" customHeight="false" outlineLevel="0" collapsed="false">
      <c r="A151" s="9"/>
      <c r="B151" s="157"/>
      <c r="C151" s="158"/>
      <c r="D151" s="159"/>
      <c r="E151" s="177"/>
      <c r="F151" s="161"/>
      <c r="G151" s="162"/>
      <c r="H151" s="162"/>
      <c r="I151" s="178"/>
      <c r="J151" s="165"/>
      <c r="K151" s="126"/>
      <c r="L151" s="127"/>
      <c r="M151" s="128"/>
      <c r="N151" s="165"/>
      <c r="O151" s="165"/>
      <c r="P151" s="177"/>
      <c r="Q151" s="165"/>
      <c r="R151" s="165"/>
      <c r="S151" s="126"/>
      <c r="T151" s="128"/>
      <c r="U151" s="128"/>
      <c r="V151" s="165"/>
      <c r="W151" s="165"/>
      <c r="X151" s="177"/>
      <c r="Y151" s="165"/>
      <c r="Z151" s="166"/>
      <c r="AA151" s="165"/>
      <c r="AB151" s="132"/>
      <c r="AC151" s="133"/>
      <c r="AD151" s="133"/>
      <c r="AE151" s="133"/>
      <c r="AF151" s="133" t="str">
        <f aca="false">IF(ISBLANK($C151),"",IF(E151=Constants!$B$3,TRUE(),IF(E151=Constants!$B$4,FALSE(),TRUE())))</f>
        <v/>
      </c>
      <c r="AG151" s="133" t="str">
        <f aca="false">IF(ISBLANK($C151),"",IF(F151=Constants!$B$3,TRUE(),IF(F151=Constants!$B$4,FALSE(),TRUE())))</f>
        <v/>
      </c>
      <c r="AH151" s="133" t="str">
        <f aca="false">IF(ISBLANK($C151),"",IF(G151=Constants!$B$3,TRUE(),IF(G151=Constants!$B$4,FALSE(),TRUE())))</f>
        <v/>
      </c>
      <c r="AI151" s="133" t="str">
        <f aca="false">IF(ISBLANK($C151),"",IF(AND(ISNUMBER(H151),H151&gt;=0),H151,Constants!$B$29))</f>
        <v/>
      </c>
      <c r="AJ151" s="133" t="str">
        <f aca="false">IF(ISBLANK($C151),"",IF(I151=Constants!$B$3,TRUE(),IF(I151=Constants!$B$4,FALSE(),TRUE())))</f>
        <v/>
      </c>
      <c r="AK151" s="133" t="str">
        <f aca="false">IF(ISBLANK($C151),"",IF(J151=Constants!$B$3,TRUE(),IF(J151=Constants!$B$4,FALSE(),TRUE())))</f>
        <v/>
      </c>
      <c r="AL151" s="133" t="str">
        <f aca="false">IF(ISBLANK($C151),"",IF(K151=Constants!$B$5,TRUE(),IF(K151=Constants!$B$6,FALSE(),COUNTA(L151:P151)&gt;0)))</f>
        <v/>
      </c>
      <c r="AM151" s="134" t="str">
        <f aca="false">IF(ISBLANK($C151),"",IF(ISNUMBER(L151),IF(L151&gt;=0,L151,""),""))</f>
        <v/>
      </c>
      <c r="AN151" s="135" t="str">
        <f aca="false">IF(ISBLANK($C151),"",IF(ISNUMBER(M151),IF(M151&gt;=0,M151,""),""))</f>
        <v/>
      </c>
      <c r="AO151" s="135" t="str">
        <f aca="false">IF(ISBLANK($C151),"",IF(N151=Constants!$B$3,TRUE(),IF(N151=Constants!$B$4,FALSE(),TRUE())))</f>
        <v/>
      </c>
      <c r="AP151" s="133" t="str">
        <f aca="false">IF(ISBLANK($C151),"",IF(ISNUMBER(O151),IF(O151&gt;=0,O151,""),""))</f>
        <v/>
      </c>
      <c r="AQ151" s="133" t="str">
        <f aca="false">IF(ISBLANK($C151),"",IF(P151=Constants!$B$3,TRUE(),IF(P151=Constants!$B$4,FALSE(),FALSE())))</f>
        <v/>
      </c>
      <c r="AR151" s="133" t="str">
        <f aca="false">IF(ISBLANK($C151),"",IF(Q151=Constants!$B$3,TRUE(),IF(Q151=Constants!$B$4,FALSE(),TRUE())))</f>
        <v/>
      </c>
      <c r="AS151" s="133" t="str">
        <f aca="false">IF(ISBLANK($C151),"",IF(R151=Constants!$B$3,TRUE(),IF(R151=Constants!$B$4,FALSE(),TRUE())))</f>
        <v/>
      </c>
      <c r="AT151" s="133" t="str">
        <f aca="false">IF(ISBLANK($C151),"",IF(S151=Constants!$B$5,TRUE(),IF(S151=Constants!$B$6,FALSE(),COUNTA(T151:X151)&gt;0)))</f>
        <v/>
      </c>
      <c r="AU151" s="134" t="str">
        <f aca="false">IF(ISBLANK($C151),"",IF(ISNUMBER(T151),IF(T151&gt;=0,T151,""),""))</f>
        <v/>
      </c>
      <c r="AV151" s="135" t="str">
        <f aca="false">IF(ISBLANK($C151),"",IF(ISNUMBER(U151),IF(U151&gt;=0,U151,""),""))</f>
        <v/>
      </c>
      <c r="AW151" s="135" t="str">
        <f aca="false">IF(ISBLANK($C151),"",IF(V151=Constants!$B$3,TRUE(),IF(V151=Constants!$B$4,FALSE(),TRUE())))</f>
        <v/>
      </c>
      <c r="AX151" s="133" t="str">
        <f aca="false">IF(ISBLANK($C151),"",IF(ISNUMBER(W151),IF(W151&gt;=0,W151,""),""))</f>
        <v/>
      </c>
      <c r="AY151" s="133" t="str">
        <f aca="false">IF(ISBLANK($C151),"",IF(X151=Constants!$B$3,TRUE(),IF(X151=Constants!$B$4,FALSE(),FALSE())))</f>
        <v/>
      </c>
      <c r="AZ151" s="133" t="str">
        <f aca="false">IF(ISBLANK($C151),"",MIN(Constants!$B$31,MAX(0,IF(ISNUMBER(Y151),Y151*60,0)+IF(ISNUMBER(Z151),Z151,0))))</f>
        <v/>
      </c>
      <c r="BA151" s="133" t="str">
        <f aca="false">IF(ISBLANK($C151),"",IF(AA151=Constants!$B$3,TRUE(),IF(AA151=Constants!$B$4,FALSE(),FALSE())))</f>
        <v/>
      </c>
      <c r="BB151" s="132" t="str">
        <f aca="false">IF(ISBLANK($C151),"",AND($AL151,OR($AM151="",$AN151="",AND($AO151,$AP151=""))))</f>
        <v/>
      </c>
      <c r="BC151" s="135" t="str">
        <f aca="false">IF($BR151&lt;&gt;Constants!$B$8,"",IF($AL151,Constants!$B$21*$AN151+Constants!$B$22*IF($AO151,$AP151,Constants!$B$23),Constants!$B$24))</f>
        <v/>
      </c>
      <c r="BD151" s="136" t="str">
        <f aca="false">IF($BR151&lt;&gt;Constants!$B$8,"",Constants!$B$25*ABS($AD$9-IF($AL151,$AM151,0)))</f>
        <v/>
      </c>
      <c r="BE151" s="136" t="str">
        <f aca="false">IF($BR151&lt;&gt;Constants!$B$8,"",IF(AND($AL151,$AQ151,$AO151),Constants!$B$27,0))</f>
        <v/>
      </c>
      <c r="BF151" s="136" t="str">
        <f aca="false">IF($BR151&lt;&gt;Constants!$B$8,"",IF($AL151,($AI151-Constants!$B$29)*Constants!$B$28,0))</f>
        <v/>
      </c>
      <c r="BG151" s="136" t="str">
        <f aca="false">IF($BR151&lt;&gt;Constants!$B$8,"",IF($AK151,0,Constants!$B$15)+IF($AJ151,0,Constants!$B$16)+IF($AH151,0,Constants!$B$17))</f>
        <v/>
      </c>
      <c r="BH151" s="137" t="str">
        <f aca="false">IF($BR151&lt;&gt;Constants!$B$8,"",Constants!$B$20+SUM($BC151:$BG151))</f>
        <v/>
      </c>
      <c r="BI151" s="133" t="str">
        <f aca="false">IF($BR151&lt;&gt;Constants!$B$8,"",IF(OR($BP151&lt;$BH151,AND($BP151=$BH151,OR($BK151&lt;$BC151,AND($BK151=$BC151,OR($BL151&lt;$BD151,AND($BL151=$BD151,$AT151,$AL151,$AV151&lt;$AN151)))))),"-&gt;","&lt;-"))</f>
        <v/>
      </c>
      <c r="BJ151" s="132" t="str">
        <f aca="false">IF(ISBLANK($C151),"",AND($AT151,OR($AU151="",$AV151="",AND($AW151,$AX151=""))))</f>
        <v/>
      </c>
      <c r="BK151" s="135" t="str">
        <f aca="false">IF($BR151&lt;&gt;Constants!$B$8,"",IF($AT151,Constants!$B$21*$AV151+Constants!$B$22*IF($AW151,$AX151,Constants!$B$23),Constants!$B$24))</f>
        <v/>
      </c>
      <c r="BL151" s="136" t="str">
        <f aca="false">IF($BR151&lt;&gt;Constants!$B$8,"",Constants!$B$25*ABS($AD$9-IF($AT151,$AU151,0)))</f>
        <v/>
      </c>
      <c r="BM151" s="136" t="str">
        <f aca="false">IF($BR151&lt;&gt;Constants!$B$8,"",IF(AND($AT151,$AY151,$AW151),Constants!$B$27,0))</f>
        <v/>
      </c>
      <c r="BN151" s="136" t="str">
        <f aca="false">IF($BR151&lt;&gt;Constants!$B$8,"",IF($AT151,($AI151-Constants!$B$29)*Constants!$B$28,0))</f>
        <v/>
      </c>
      <c r="BO151" s="136" t="str">
        <f aca="false">IF($BR151&lt;&gt;Constants!$B$8,"",IF($AS151,0,Constants!$B$15)+IF($AR151,0,Constants!$B$16)+IF($AH151,0,Constants!$B$17))</f>
        <v/>
      </c>
      <c r="BP151" s="137" t="str">
        <f aca="false">IF($BR151&lt;&gt;Constants!$B$8,"",Constants!$B$20+SUM($BK151:$BO151))</f>
        <v/>
      </c>
      <c r="BQ151" s="133" t="str">
        <f aca="false">IF(ISBLANK($C151),"",IF(ISBLANK($D$7),$BQ$5,IF(NOT(ISNUMBER($D$7)),$BQ$6,"")))</f>
        <v/>
      </c>
      <c r="BR151" s="133" t="str">
        <f aca="false">IF(ISBLANK($C151),"",IF($BA151,Constants!$B$11,IF(COUNTA($E151:$AA151)=0,Constants!$B$10,IF(NOT($AG151),Constants!$B$9,IF(OR($BQ151&lt;&gt;"",$BB151,$BJ151),Constants!$B$12,Constants!$B$8)))))</f>
        <v/>
      </c>
      <c r="BS151" s="133" t="str">
        <f aca="false">IF(ISBLANK($C151),"",IF($BR151&lt;&gt;Constants!$B$8,$BR151,Constants!$B$13))</f>
        <v/>
      </c>
      <c r="BT151" s="136" t="str">
        <f aca="false">IF($BR151&lt;&gt;Constants!$B$8,"",IF($BI151="-&gt;",$BP151,$BH151))</f>
        <v/>
      </c>
      <c r="BU151" s="136" t="str">
        <f aca="false">IF($BR151&lt;&gt;Constants!$B$8,"",IF($AF151,0,Constants!$B$18))</f>
        <v/>
      </c>
      <c r="BV151" s="136" t="str">
        <f aca="false">IF($BR151&lt;&gt;Constants!$B$8,"",((Constants!$B$31-$AZ151)-Constants!$B$31)/Constants!$B$32)</f>
        <v/>
      </c>
      <c r="BW151" s="136" t="str">
        <f aca="false">IF(ISBLANK($C151),"",IF($BR151&lt;&gt;Constants!$B$8,$BR151,SUM($BT151:$BV151)))</f>
        <v/>
      </c>
      <c r="BX151" s="133" t="str">
        <f aca="false">IF(ISBLANK($C151),"",IF($BR151&lt;&gt;Constants!$B$8,$BR151,RANK($BW151,$BW$9:$BW$508,1)))</f>
        <v/>
      </c>
      <c r="BY151" s="136" t="str">
        <f aca="false">IF($BR151&lt;&gt;Constants!$B$8,"",IF($BI151="-&gt;",$BK151,$BC151))</f>
        <v/>
      </c>
      <c r="BZ151" s="133" t="str">
        <f aca="false">IF(ISBLANK($C151),"",IF($BR151&lt;&gt;Constants!$B$8,$BR151,IF(ISNUMBER($BY151),RANK($BY151,$BY$9:$BY$508,1),COUNT($BY$9:$BY$508)+1)))</f>
        <v/>
      </c>
      <c r="CA151" s="136" t="str">
        <f aca="false">IF($BR151&lt;&gt;Constants!$B$8,"",IF($BI151="-&gt;",$BL151,$BD151))</f>
        <v/>
      </c>
      <c r="CB151" s="133" t="str">
        <f aca="false">IF(ISBLANK($C151),"",IF($BR151&lt;&gt;Constants!$B$8,$BR151,IF(ISNUMBER($CA151),RANK($CA151,$CA$9:$CA$508,1),COUNT($CA$9:$CA$508)+1)))</f>
        <v/>
      </c>
      <c r="CC151" s="136" t="str">
        <f aca="false">IF($BR151&lt;&gt;Constants!$B$8,"",IF($BI151="-&gt;",IF($AT151,$AV151,""),IF($AL151,$AN151,"")))</f>
        <v/>
      </c>
      <c r="CD151" s="133" t="str">
        <f aca="false">IF(ISBLANK($C151),"",IF($BR151&lt;&gt;Constants!$B$8,$BR151,IF(ISNUMBER($CC151),RANK($CC151,$CC$9:$CC$508,1),COUNT($CC$9:$CC$508)+1)))</f>
        <v/>
      </c>
      <c r="CE151" s="136" t="str">
        <f aca="false">IF($BR151&lt;&gt;Constants!$B$8,"",IF(AND(NOT($AL151),NOT($AT151),$AJ151,$AK151,$AR151,$AS151),"",$AI151))</f>
        <v/>
      </c>
      <c r="CF151" s="133" t="str">
        <f aca="false">IF(ISBLANK($C151),"",IF($BR151&lt;&gt;Constants!$B$8,$BR151,IF(ISNUMBER($CE151),RANK($CE151,$CE$9:$CE$508,1),COUNT($CE$9:$CE$508)+1)))</f>
        <v/>
      </c>
      <c r="CG151" s="133" t="str">
        <f aca="false">IF(ISBLANK($C151),"",IF($BR151&lt;&gt;Constants!$B$8,$BR151,COUNTIFS($BX$9:$BX$508,"&lt;"&amp;$BX151)+COUNTIFS($BX$9:$BX$508,$BX151,$BZ$9:$BZ$508,"&lt;"&amp;$BZ151)+COUNTIFS($BX$9:$BX$508,$BX151,$BZ$9:$BZ$508,$BZ151,$CB$9:$CB$508,"&lt;"&amp;$CB151)+COUNTIFS($BX$9:$BX$508,$BX151,$BZ$9:$BZ$508,$BZ151,$CB$9:$CB$508,$CB151,$CD$9:$CD$508,"&lt;"&amp;$CD151)+COUNTIFS($BX$9:$BX$508,$BX151,$BZ$9:$BZ$508,$BZ151,$CB$9:$CB$508,$CB151,$CD$9:$CD$508,$CD151,$CF$9:$CF$508,"&lt;"&amp;$CF151)+1))</f>
        <v/>
      </c>
      <c r="CH151" s="133" t="str">
        <f aca="false">IF(ISBLANK($C151),"",IF($BR151&lt;&gt;Constants!$B$8,$BR151,$BX151-$CG151))</f>
        <v/>
      </c>
      <c r="CI151" s="138"/>
      <c r="CJ151" s="139"/>
      <c r="CK151" s="140" t="str">
        <f aca="false">IF(ISBLANK($C151),"",IF($BR151=Constants!$B$12,$BQ151,""))</f>
        <v/>
      </c>
      <c r="CL151" s="139" t="str">
        <f aca="false">IF(ISBLANK($C151),"",IF($BR151&lt;&gt;Constants!$B$8,"",IF($BI151="-&gt;",2,1)))</f>
        <v/>
      </c>
      <c r="CM151" s="141" t="str">
        <f aca="false">IF(ISBLANK($C151),"",IF($BR151&lt;&gt;Constants!$B$8,"",IF($BI151="-&gt;",$BK151,$BC151)))</f>
        <v/>
      </c>
      <c r="CN151" s="141" t="str">
        <f aca="false">IF(ISBLANK($C151),"",IF($BR151&lt;&gt;Constants!$B$8,"",IF($BI151="-&gt;",$BL151,$BD151)))</f>
        <v/>
      </c>
      <c r="CO151" s="141" t="str">
        <f aca="false">IF(ISBLANK($C151),"",IF($BR151&lt;&gt;Constants!$B$8,"",IF($BI151="-&gt;",$BM151+$BN151,$BE151+$BF151)+$BV151))</f>
        <v/>
      </c>
      <c r="CP151" s="141" t="str">
        <f aca="false">IF(ISBLANK($C151),"",IF($BR151&lt;&gt;Constants!$B$8,"",IF($BI151="-&gt;",$BO151,$BG151)+$BU151))</f>
        <v/>
      </c>
      <c r="CQ151" s="142" t="str">
        <f aca="false">IF(ISBLANK($C151),"",IF($BR151&lt;&gt;Constants!$B$8,$BR151,$BW151))</f>
        <v/>
      </c>
      <c r="CR151" s="143" t="str">
        <f aca="false">IF(ISBLANK($C151),"",$BS151)</f>
        <v/>
      </c>
      <c r="CS151" s="144" t="str">
        <f aca="false">IF(ISBLANK($C151),"",$CH151)</f>
        <v/>
      </c>
      <c r="CT151" s="144" t="str">
        <f aca="false">IF(ISBLANK($C151),"",$CG151)</f>
        <v/>
      </c>
      <c r="CU151" s="145" t="str">
        <f aca="false">IF(ISBLANK($C151),"",IFERROR(_xlfn.SWITCH($CT151,Constants!$B$11,COUNTA($C$9:$C$508)+2,Constants!$B$10,COUNTA($C$9:$C$508)+1,Constants!$B$9,COUNTA($C$9:$C$508)),$CT151))</f>
        <v/>
      </c>
      <c r="CV151" s="9"/>
      <c r="CW151" s="146" t="n">
        <f aca="false">IF(OR(ISNUMBER($CT151),$CT151=Constants!$B$11,$CT151=Constants!$B$9,$CT151=Constants!$B$10),1,0)</f>
        <v>0</v>
      </c>
      <c r="CX151" s="146" t="n">
        <v>143</v>
      </c>
      <c r="CY151" s="146" t="str">
        <f aca="false">IF(ISBLANK($C151),"",IF(ISNUMBER($CU151),$CU151+ROW($B151)/1000,""))</f>
        <v/>
      </c>
      <c r="CZ151" s="146" t="str">
        <f aca="false">IF(ISNUMBER($CY151),RANK($CY151,$CY$9:$CY$508,1),"")</f>
        <v/>
      </c>
      <c r="DA151" s="146" t="str">
        <f aca="false">IF(ISBLANK($C151),"",$B151)</f>
        <v/>
      </c>
      <c r="DB151" s="146" t="str">
        <f aca="false">IF(ISBLANK($C151),"",$C151)</f>
        <v/>
      </c>
      <c r="DC151" s="146" t="str">
        <f aca="false">IF(ISBLANK($C151),"",$D151)</f>
        <v/>
      </c>
      <c r="DD151" s="147" t="str">
        <f aca="false">$CR151</f>
        <v/>
      </c>
      <c r="DE151" s="148" t="str">
        <f aca="false">$CQ151</f>
        <v/>
      </c>
      <c r="DF151" s="146" t="str">
        <f aca="false">IF(ISBLANK($C151),"",$CT151)</f>
        <v/>
      </c>
      <c r="DG151" s="149" t="str">
        <f aca="false">IF($CX151&gt;$CW$8,"",VLOOKUP($CX151,$CZ$9:$DF$508,7,FALSE()))</f>
        <v/>
      </c>
      <c r="DH151" s="150" t="str">
        <f aca="false">IF($CX151&gt;$CW$8,"",VLOOKUP($CX151,$CZ$9:$DF$508,2,FALSE()))</f>
        <v/>
      </c>
      <c r="DI151" s="150" t="str">
        <f aca="false">IF($CX151&gt;$CW$8,"",VLOOKUP($CX151,$CZ$9:$DF$508,3,FALSE()))</f>
        <v/>
      </c>
      <c r="DJ151" s="150" t="str">
        <f aca="false">IF($CX151&gt;$CW$8,"",VLOOKUP($CX151,$CZ$9:$DF$508,4,FALSE()))</f>
        <v/>
      </c>
      <c r="DK151" s="150" t="str">
        <f aca="false">IF($CX151&gt;$CW$8,"",VLOOKUP($CX151,$CZ$9:$DF$508,5,FALSE()))</f>
        <v/>
      </c>
      <c r="DL151" s="151" t="str">
        <f aca="false">IF($CX151&gt;$CW$8,"",VLOOKUP($CX151,$CZ$9:$DF$508,6,FALSE()))</f>
        <v/>
      </c>
      <c r="DM151" s="75"/>
    </row>
    <row r="152" customFormat="false" ht="15.75" hidden="false" customHeight="false" outlineLevel="0" collapsed="false">
      <c r="A152" s="9"/>
      <c r="B152" s="157"/>
      <c r="C152" s="158"/>
      <c r="D152" s="159"/>
      <c r="E152" s="177"/>
      <c r="F152" s="161"/>
      <c r="G152" s="162"/>
      <c r="H152" s="162"/>
      <c r="I152" s="178"/>
      <c r="J152" s="165"/>
      <c r="K152" s="126"/>
      <c r="L152" s="127"/>
      <c r="M152" s="128"/>
      <c r="N152" s="165"/>
      <c r="O152" s="165"/>
      <c r="P152" s="177"/>
      <c r="Q152" s="165"/>
      <c r="R152" s="165"/>
      <c r="S152" s="126"/>
      <c r="T152" s="128"/>
      <c r="U152" s="128"/>
      <c r="V152" s="165"/>
      <c r="W152" s="165"/>
      <c r="X152" s="177"/>
      <c r="Y152" s="165"/>
      <c r="Z152" s="166"/>
      <c r="AA152" s="165"/>
      <c r="AB152" s="132"/>
      <c r="AC152" s="133"/>
      <c r="AD152" s="133"/>
      <c r="AE152" s="133"/>
      <c r="AF152" s="133" t="str">
        <f aca="false">IF(ISBLANK($C152),"",IF(E152=Constants!$B$3,TRUE(),IF(E152=Constants!$B$4,FALSE(),TRUE())))</f>
        <v/>
      </c>
      <c r="AG152" s="133" t="str">
        <f aca="false">IF(ISBLANK($C152),"",IF(F152=Constants!$B$3,TRUE(),IF(F152=Constants!$B$4,FALSE(),TRUE())))</f>
        <v/>
      </c>
      <c r="AH152" s="133" t="str">
        <f aca="false">IF(ISBLANK($C152),"",IF(G152=Constants!$B$3,TRUE(),IF(G152=Constants!$B$4,FALSE(),TRUE())))</f>
        <v/>
      </c>
      <c r="AI152" s="133" t="str">
        <f aca="false">IF(ISBLANK($C152),"",IF(AND(ISNUMBER(H152),H152&gt;=0),H152,Constants!$B$29))</f>
        <v/>
      </c>
      <c r="AJ152" s="133" t="str">
        <f aca="false">IF(ISBLANK($C152),"",IF(I152=Constants!$B$3,TRUE(),IF(I152=Constants!$B$4,FALSE(),TRUE())))</f>
        <v/>
      </c>
      <c r="AK152" s="133" t="str">
        <f aca="false">IF(ISBLANK($C152),"",IF(J152=Constants!$B$3,TRUE(),IF(J152=Constants!$B$4,FALSE(),TRUE())))</f>
        <v/>
      </c>
      <c r="AL152" s="133" t="str">
        <f aca="false">IF(ISBLANK($C152),"",IF(K152=Constants!$B$5,TRUE(),IF(K152=Constants!$B$6,FALSE(),COUNTA(L152:P152)&gt;0)))</f>
        <v/>
      </c>
      <c r="AM152" s="134" t="str">
        <f aca="false">IF(ISBLANK($C152),"",IF(ISNUMBER(L152),IF(L152&gt;=0,L152,""),""))</f>
        <v/>
      </c>
      <c r="AN152" s="135" t="str">
        <f aca="false">IF(ISBLANK($C152),"",IF(ISNUMBER(M152),IF(M152&gt;=0,M152,""),""))</f>
        <v/>
      </c>
      <c r="AO152" s="135" t="str">
        <f aca="false">IF(ISBLANK($C152),"",IF(N152=Constants!$B$3,TRUE(),IF(N152=Constants!$B$4,FALSE(),TRUE())))</f>
        <v/>
      </c>
      <c r="AP152" s="133" t="str">
        <f aca="false">IF(ISBLANK($C152),"",IF(ISNUMBER(O152),IF(O152&gt;=0,O152,""),""))</f>
        <v/>
      </c>
      <c r="AQ152" s="133" t="str">
        <f aca="false">IF(ISBLANK($C152),"",IF(P152=Constants!$B$3,TRUE(),IF(P152=Constants!$B$4,FALSE(),FALSE())))</f>
        <v/>
      </c>
      <c r="AR152" s="133" t="str">
        <f aca="false">IF(ISBLANK($C152),"",IF(Q152=Constants!$B$3,TRUE(),IF(Q152=Constants!$B$4,FALSE(),TRUE())))</f>
        <v/>
      </c>
      <c r="AS152" s="133" t="str">
        <f aca="false">IF(ISBLANK($C152),"",IF(R152=Constants!$B$3,TRUE(),IF(R152=Constants!$B$4,FALSE(),TRUE())))</f>
        <v/>
      </c>
      <c r="AT152" s="133" t="str">
        <f aca="false">IF(ISBLANK($C152),"",IF(S152=Constants!$B$5,TRUE(),IF(S152=Constants!$B$6,FALSE(),COUNTA(T152:X152)&gt;0)))</f>
        <v/>
      </c>
      <c r="AU152" s="134" t="str">
        <f aca="false">IF(ISBLANK($C152),"",IF(ISNUMBER(T152),IF(T152&gt;=0,T152,""),""))</f>
        <v/>
      </c>
      <c r="AV152" s="135" t="str">
        <f aca="false">IF(ISBLANK($C152),"",IF(ISNUMBER(U152),IF(U152&gt;=0,U152,""),""))</f>
        <v/>
      </c>
      <c r="AW152" s="135" t="str">
        <f aca="false">IF(ISBLANK($C152),"",IF(V152=Constants!$B$3,TRUE(),IF(V152=Constants!$B$4,FALSE(),TRUE())))</f>
        <v/>
      </c>
      <c r="AX152" s="133" t="str">
        <f aca="false">IF(ISBLANK($C152),"",IF(ISNUMBER(W152),IF(W152&gt;=0,W152,""),""))</f>
        <v/>
      </c>
      <c r="AY152" s="133" t="str">
        <f aca="false">IF(ISBLANK($C152),"",IF(X152=Constants!$B$3,TRUE(),IF(X152=Constants!$B$4,FALSE(),FALSE())))</f>
        <v/>
      </c>
      <c r="AZ152" s="133" t="str">
        <f aca="false">IF(ISBLANK($C152),"",MIN(Constants!$B$31,MAX(0,IF(ISNUMBER(Y152),Y152*60,0)+IF(ISNUMBER(Z152),Z152,0))))</f>
        <v/>
      </c>
      <c r="BA152" s="133" t="str">
        <f aca="false">IF(ISBLANK($C152),"",IF(AA152=Constants!$B$3,TRUE(),IF(AA152=Constants!$B$4,FALSE(),FALSE())))</f>
        <v/>
      </c>
      <c r="BB152" s="132" t="str">
        <f aca="false">IF(ISBLANK($C152),"",AND($AL152,OR($AM152="",$AN152="",AND($AO152,$AP152=""))))</f>
        <v/>
      </c>
      <c r="BC152" s="135" t="str">
        <f aca="false">IF($BR152&lt;&gt;Constants!$B$8,"",IF($AL152,Constants!$B$21*$AN152+Constants!$B$22*IF($AO152,$AP152,Constants!$B$23),Constants!$B$24))</f>
        <v/>
      </c>
      <c r="BD152" s="136" t="str">
        <f aca="false">IF($BR152&lt;&gt;Constants!$B$8,"",Constants!$B$25*ABS($AD$9-IF($AL152,$AM152,0)))</f>
        <v/>
      </c>
      <c r="BE152" s="136" t="str">
        <f aca="false">IF($BR152&lt;&gt;Constants!$B$8,"",IF(AND($AL152,$AQ152,$AO152),Constants!$B$27,0))</f>
        <v/>
      </c>
      <c r="BF152" s="136" t="str">
        <f aca="false">IF($BR152&lt;&gt;Constants!$B$8,"",IF($AL152,($AI152-Constants!$B$29)*Constants!$B$28,0))</f>
        <v/>
      </c>
      <c r="BG152" s="136" t="str">
        <f aca="false">IF($BR152&lt;&gt;Constants!$B$8,"",IF($AK152,0,Constants!$B$15)+IF($AJ152,0,Constants!$B$16)+IF($AH152,0,Constants!$B$17))</f>
        <v/>
      </c>
      <c r="BH152" s="137" t="str">
        <f aca="false">IF($BR152&lt;&gt;Constants!$B$8,"",Constants!$B$20+SUM($BC152:$BG152))</f>
        <v/>
      </c>
      <c r="BI152" s="133" t="str">
        <f aca="false">IF($BR152&lt;&gt;Constants!$B$8,"",IF(OR($BP152&lt;$BH152,AND($BP152=$BH152,OR($BK152&lt;$BC152,AND($BK152=$BC152,OR($BL152&lt;$BD152,AND($BL152=$BD152,$AT152,$AL152,$AV152&lt;$AN152)))))),"-&gt;","&lt;-"))</f>
        <v/>
      </c>
      <c r="BJ152" s="132" t="str">
        <f aca="false">IF(ISBLANK($C152),"",AND($AT152,OR($AU152="",$AV152="",AND($AW152,$AX152=""))))</f>
        <v/>
      </c>
      <c r="BK152" s="135" t="str">
        <f aca="false">IF($BR152&lt;&gt;Constants!$B$8,"",IF($AT152,Constants!$B$21*$AV152+Constants!$B$22*IF($AW152,$AX152,Constants!$B$23),Constants!$B$24))</f>
        <v/>
      </c>
      <c r="BL152" s="136" t="str">
        <f aca="false">IF($BR152&lt;&gt;Constants!$B$8,"",Constants!$B$25*ABS($AD$9-IF($AT152,$AU152,0)))</f>
        <v/>
      </c>
      <c r="BM152" s="136" t="str">
        <f aca="false">IF($BR152&lt;&gt;Constants!$B$8,"",IF(AND($AT152,$AY152,$AW152),Constants!$B$27,0))</f>
        <v/>
      </c>
      <c r="BN152" s="136" t="str">
        <f aca="false">IF($BR152&lt;&gt;Constants!$B$8,"",IF($AT152,($AI152-Constants!$B$29)*Constants!$B$28,0))</f>
        <v/>
      </c>
      <c r="BO152" s="136" t="str">
        <f aca="false">IF($BR152&lt;&gt;Constants!$B$8,"",IF($AS152,0,Constants!$B$15)+IF($AR152,0,Constants!$B$16)+IF($AH152,0,Constants!$B$17))</f>
        <v/>
      </c>
      <c r="BP152" s="137" t="str">
        <f aca="false">IF($BR152&lt;&gt;Constants!$B$8,"",Constants!$B$20+SUM($BK152:$BO152))</f>
        <v/>
      </c>
      <c r="BQ152" s="133" t="str">
        <f aca="false">IF(ISBLANK($C152),"",IF(ISBLANK($D$7),$BQ$5,IF(NOT(ISNUMBER($D$7)),$BQ$6,"")))</f>
        <v/>
      </c>
      <c r="BR152" s="133" t="str">
        <f aca="false">IF(ISBLANK($C152),"",IF($BA152,Constants!$B$11,IF(COUNTA($E152:$AA152)=0,Constants!$B$10,IF(NOT($AG152),Constants!$B$9,IF(OR($BQ152&lt;&gt;"",$BB152,$BJ152),Constants!$B$12,Constants!$B$8)))))</f>
        <v/>
      </c>
      <c r="BS152" s="133" t="str">
        <f aca="false">IF(ISBLANK($C152),"",IF($BR152&lt;&gt;Constants!$B$8,$BR152,Constants!$B$13))</f>
        <v/>
      </c>
      <c r="BT152" s="136" t="str">
        <f aca="false">IF($BR152&lt;&gt;Constants!$B$8,"",IF($BI152="-&gt;",$BP152,$BH152))</f>
        <v/>
      </c>
      <c r="BU152" s="136" t="str">
        <f aca="false">IF($BR152&lt;&gt;Constants!$B$8,"",IF($AF152,0,Constants!$B$18))</f>
        <v/>
      </c>
      <c r="BV152" s="136" t="str">
        <f aca="false">IF($BR152&lt;&gt;Constants!$B$8,"",((Constants!$B$31-$AZ152)-Constants!$B$31)/Constants!$B$32)</f>
        <v/>
      </c>
      <c r="BW152" s="136" t="str">
        <f aca="false">IF(ISBLANK($C152),"",IF($BR152&lt;&gt;Constants!$B$8,$BR152,SUM($BT152:$BV152)))</f>
        <v/>
      </c>
      <c r="BX152" s="133" t="str">
        <f aca="false">IF(ISBLANK($C152),"",IF($BR152&lt;&gt;Constants!$B$8,$BR152,RANK($BW152,$BW$9:$BW$508,1)))</f>
        <v/>
      </c>
      <c r="BY152" s="136" t="str">
        <f aca="false">IF($BR152&lt;&gt;Constants!$B$8,"",IF($BI152="-&gt;",$BK152,$BC152))</f>
        <v/>
      </c>
      <c r="BZ152" s="133" t="str">
        <f aca="false">IF(ISBLANK($C152),"",IF($BR152&lt;&gt;Constants!$B$8,$BR152,IF(ISNUMBER($BY152),RANK($BY152,$BY$9:$BY$508,1),COUNT($BY$9:$BY$508)+1)))</f>
        <v/>
      </c>
      <c r="CA152" s="136" t="str">
        <f aca="false">IF($BR152&lt;&gt;Constants!$B$8,"",IF($BI152="-&gt;",$BL152,$BD152))</f>
        <v/>
      </c>
      <c r="CB152" s="133" t="str">
        <f aca="false">IF(ISBLANK($C152),"",IF($BR152&lt;&gt;Constants!$B$8,$BR152,IF(ISNUMBER($CA152),RANK($CA152,$CA$9:$CA$508,1),COUNT($CA$9:$CA$508)+1)))</f>
        <v/>
      </c>
      <c r="CC152" s="136" t="str">
        <f aca="false">IF($BR152&lt;&gt;Constants!$B$8,"",IF($BI152="-&gt;",IF($AT152,$AV152,""),IF($AL152,$AN152,"")))</f>
        <v/>
      </c>
      <c r="CD152" s="133" t="str">
        <f aca="false">IF(ISBLANK($C152),"",IF($BR152&lt;&gt;Constants!$B$8,$BR152,IF(ISNUMBER($CC152),RANK($CC152,$CC$9:$CC$508,1),COUNT($CC$9:$CC$508)+1)))</f>
        <v/>
      </c>
      <c r="CE152" s="136" t="str">
        <f aca="false">IF($BR152&lt;&gt;Constants!$B$8,"",IF(AND(NOT($AL152),NOT($AT152),$AJ152,$AK152,$AR152,$AS152),"",$AI152))</f>
        <v/>
      </c>
      <c r="CF152" s="133" t="str">
        <f aca="false">IF(ISBLANK($C152),"",IF($BR152&lt;&gt;Constants!$B$8,$BR152,IF(ISNUMBER($CE152),RANK($CE152,$CE$9:$CE$508,1),COUNT($CE$9:$CE$508)+1)))</f>
        <v/>
      </c>
      <c r="CG152" s="133" t="str">
        <f aca="false">IF(ISBLANK($C152),"",IF($BR152&lt;&gt;Constants!$B$8,$BR152,COUNTIFS($BX$9:$BX$508,"&lt;"&amp;$BX152)+COUNTIFS($BX$9:$BX$508,$BX152,$BZ$9:$BZ$508,"&lt;"&amp;$BZ152)+COUNTIFS($BX$9:$BX$508,$BX152,$BZ$9:$BZ$508,$BZ152,$CB$9:$CB$508,"&lt;"&amp;$CB152)+COUNTIFS($BX$9:$BX$508,$BX152,$BZ$9:$BZ$508,$BZ152,$CB$9:$CB$508,$CB152,$CD$9:$CD$508,"&lt;"&amp;$CD152)+COUNTIFS($BX$9:$BX$508,$BX152,$BZ$9:$BZ$508,$BZ152,$CB$9:$CB$508,$CB152,$CD$9:$CD$508,$CD152,$CF$9:$CF$508,"&lt;"&amp;$CF152)+1))</f>
        <v/>
      </c>
      <c r="CH152" s="133" t="str">
        <f aca="false">IF(ISBLANK($C152),"",IF($BR152&lt;&gt;Constants!$B$8,$BR152,$BX152-$CG152))</f>
        <v/>
      </c>
      <c r="CI152" s="138"/>
      <c r="CJ152" s="139"/>
      <c r="CK152" s="140" t="str">
        <f aca="false">IF(ISBLANK($C152),"",IF($BR152=Constants!$B$12,$BQ152,""))</f>
        <v/>
      </c>
      <c r="CL152" s="139" t="str">
        <f aca="false">IF(ISBLANK($C152),"",IF($BR152&lt;&gt;Constants!$B$8,"",IF($BI152="-&gt;",2,1)))</f>
        <v/>
      </c>
      <c r="CM152" s="141" t="str">
        <f aca="false">IF(ISBLANK($C152),"",IF($BR152&lt;&gt;Constants!$B$8,"",IF($BI152="-&gt;",$BK152,$BC152)))</f>
        <v/>
      </c>
      <c r="CN152" s="141" t="str">
        <f aca="false">IF(ISBLANK($C152),"",IF($BR152&lt;&gt;Constants!$B$8,"",IF($BI152="-&gt;",$BL152,$BD152)))</f>
        <v/>
      </c>
      <c r="CO152" s="141" t="str">
        <f aca="false">IF(ISBLANK($C152),"",IF($BR152&lt;&gt;Constants!$B$8,"",IF($BI152="-&gt;",$BM152+$BN152,$BE152+$BF152)+$BV152))</f>
        <v/>
      </c>
      <c r="CP152" s="141" t="str">
        <f aca="false">IF(ISBLANK($C152),"",IF($BR152&lt;&gt;Constants!$B$8,"",IF($BI152="-&gt;",$BO152,$BG152)+$BU152))</f>
        <v/>
      </c>
      <c r="CQ152" s="142" t="str">
        <f aca="false">IF(ISBLANK($C152),"",IF($BR152&lt;&gt;Constants!$B$8,$BR152,$BW152))</f>
        <v/>
      </c>
      <c r="CR152" s="143" t="str">
        <f aca="false">IF(ISBLANK($C152),"",$BS152)</f>
        <v/>
      </c>
      <c r="CS152" s="144" t="str">
        <f aca="false">IF(ISBLANK($C152),"",$CH152)</f>
        <v/>
      </c>
      <c r="CT152" s="144" t="str">
        <f aca="false">IF(ISBLANK($C152),"",$CG152)</f>
        <v/>
      </c>
      <c r="CU152" s="145" t="str">
        <f aca="false">IF(ISBLANK($C152),"",IFERROR(_xlfn.SWITCH($CT152,Constants!$B$11,COUNTA($C$9:$C$508)+2,Constants!$B$10,COUNTA($C$9:$C$508)+1,Constants!$B$9,COUNTA($C$9:$C$508)),$CT152))</f>
        <v/>
      </c>
      <c r="CV152" s="9"/>
      <c r="CW152" s="146" t="n">
        <f aca="false">IF(OR(ISNUMBER($CT152),$CT152=Constants!$B$11,$CT152=Constants!$B$9,$CT152=Constants!$B$10),1,0)</f>
        <v>0</v>
      </c>
      <c r="CX152" s="146" t="n">
        <v>144</v>
      </c>
      <c r="CY152" s="146" t="str">
        <f aca="false">IF(ISBLANK($C152),"",IF(ISNUMBER($CU152),$CU152+ROW($B152)/1000,""))</f>
        <v/>
      </c>
      <c r="CZ152" s="146" t="str">
        <f aca="false">IF(ISNUMBER($CY152),RANK($CY152,$CY$9:$CY$508,1),"")</f>
        <v/>
      </c>
      <c r="DA152" s="146" t="str">
        <f aca="false">IF(ISBLANK($C152),"",$B152)</f>
        <v/>
      </c>
      <c r="DB152" s="146" t="str">
        <f aca="false">IF(ISBLANK($C152),"",$C152)</f>
        <v/>
      </c>
      <c r="DC152" s="146" t="str">
        <f aca="false">IF(ISBLANK($C152),"",$D152)</f>
        <v/>
      </c>
      <c r="DD152" s="147" t="str">
        <f aca="false">$CR152</f>
        <v/>
      </c>
      <c r="DE152" s="148" t="str">
        <f aca="false">$CQ152</f>
        <v/>
      </c>
      <c r="DF152" s="146" t="str">
        <f aca="false">IF(ISBLANK($C152),"",$CT152)</f>
        <v/>
      </c>
      <c r="DG152" s="149" t="str">
        <f aca="false">IF($CX152&gt;$CW$8,"",VLOOKUP($CX152,$CZ$9:$DF$508,7,FALSE()))</f>
        <v/>
      </c>
      <c r="DH152" s="150" t="str">
        <f aca="false">IF($CX152&gt;$CW$8,"",VLOOKUP($CX152,$CZ$9:$DF$508,2,FALSE()))</f>
        <v/>
      </c>
      <c r="DI152" s="150" t="str">
        <f aca="false">IF($CX152&gt;$CW$8,"",VLOOKUP($CX152,$CZ$9:$DF$508,3,FALSE()))</f>
        <v/>
      </c>
      <c r="DJ152" s="150" t="str">
        <f aca="false">IF($CX152&gt;$CW$8,"",VLOOKUP($CX152,$CZ$9:$DF$508,4,FALSE()))</f>
        <v/>
      </c>
      <c r="DK152" s="150" t="str">
        <f aca="false">IF($CX152&gt;$CW$8,"",VLOOKUP($CX152,$CZ$9:$DF$508,5,FALSE()))</f>
        <v/>
      </c>
      <c r="DL152" s="151" t="str">
        <f aca="false">IF($CX152&gt;$CW$8,"",VLOOKUP($CX152,$CZ$9:$DF$508,6,FALSE()))</f>
        <v/>
      </c>
      <c r="DM152" s="75"/>
    </row>
    <row r="153" customFormat="false" ht="15.75" hidden="false" customHeight="false" outlineLevel="0" collapsed="false">
      <c r="A153" s="9"/>
      <c r="B153" s="77"/>
      <c r="C153" s="78"/>
      <c r="D153" s="167"/>
      <c r="E153" s="175"/>
      <c r="F153" s="169"/>
      <c r="G153" s="170"/>
      <c r="H153" s="170"/>
      <c r="I153" s="176"/>
      <c r="J153" s="173"/>
      <c r="K153" s="85"/>
      <c r="L153" s="86"/>
      <c r="M153" s="87"/>
      <c r="N153" s="173"/>
      <c r="O153" s="173"/>
      <c r="P153" s="175"/>
      <c r="Q153" s="173"/>
      <c r="R153" s="173"/>
      <c r="S153" s="85"/>
      <c r="T153" s="87"/>
      <c r="U153" s="87"/>
      <c r="V153" s="173"/>
      <c r="W153" s="173"/>
      <c r="X153" s="175"/>
      <c r="Y153" s="173"/>
      <c r="Z153" s="174"/>
      <c r="AA153" s="173"/>
      <c r="AB153" s="91"/>
      <c r="AC153" s="92"/>
      <c r="AD153" s="92"/>
      <c r="AE153" s="92"/>
      <c r="AF153" s="92" t="str">
        <f aca="false">IF(ISBLANK($C153),"",IF(E153=Constants!$B$3,TRUE(),IF(E153=Constants!$B$4,FALSE(),TRUE())))</f>
        <v/>
      </c>
      <c r="AG153" s="92" t="str">
        <f aca="false">IF(ISBLANK($C153),"",IF(F153=Constants!$B$3,TRUE(),IF(F153=Constants!$B$4,FALSE(),TRUE())))</f>
        <v/>
      </c>
      <c r="AH153" s="92" t="str">
        <f aca="false">IF(ISBLANK($C153),"",IF(G153=Constants!$B$3,TRUE(),IF(G153=Constants!$B$4,FALSE(),TRUE())))</f>
        <v/>
      </c>
      <c r="AI153" s="92" t="str">
        <f aca="false">IF(ISBLANK($C153),"",IF(AND(ISNUMBER(H153),H153&gt;=0),H153,Constants!$B$29))</f>
        <v/>
      </c>
      <c r="AJ153" s="92" t="str">
        <f aca="false">IF(ISBLANK($C153),"",IF(I153=Constants!$B$3,TRUE(),IF(I153=Constants!$B$4,FALSE(),TRUE())))</f>
        <v/>
      </c>
      <c r="AK153" s="92" t="str">
        <f aca="false">IF(ISBLANK($C153),"",IF(J153=Constants!$B$3,TRUE(),IF(J153=Constants!$B$4,FALSE(),TRUE())))</f>
        <v/>
      </c>
      <c r="AL153" s="92" t="str">
        <f aca="false">IF(ISBLANK($C153),"",IF(K153=Constants!$B$5,TRUE(),IF(K153=Constants!$B$6,FALSE(),COUNTA(L153:P153)&gt;0)))</f>
        <v/>
      </c>
      <c r="AM153" s="94" t="str">
        <f aca="false">IF(ISBLANK($C153),"",IF(ISNUMBER(L153),IF(L153&gt;=0,L153,""),""))</f>
        <v/>
      </c>
      <c r="AN153" s="93" t="str">
        <f aca="false">IF(ISBLANK($C153),"",IF(ISNUMBER(M153),IF(M153&gt;=0,M153,""),""))</f>
        <v/>
      </c>
      <c r="AO153" s="93" t="str">
        <f aca="false">IF(ISBLANK($C153),"",IF(N153=Constants!$B$3,TRUE(),IF(N153=Constants!$B$4,FALSE(),TRUE())))</f>
        <v/>
      </c>
      <c r="AP153" s="92" t="str">
        <f aca="false">IF(ISBLANK($C153),"",IF(ISNUMBER(O153),IF(O153&gt;=0,O153,""),""))</f>
        <v/>
      </c>
      <c r="AQ153" s="92" t="str">
        <f aca="false">IF(ISBLANK($C153),"",IF(P153=Constants!$B$3,TRUE(),IF(P153=Constants!$B$4,FALSE(),FALSE())))</f>
        <v/>
      </c>
      <c r="AR153" s="92" t="str">
        <f aca="false">IF(ISBLANK($C153),"",IF(Q153=Constants!$B$3,TRUE(),IF(Q153=Constants!$B$4,FALSE(),TRUE())))</f>
        <v/>
      </c>
      <c r="AS153" s="92" t="str">
        <f aca="false">IF(ISBLANK($C153),"",IF(R153=Constants!$B$3,TRUE(),IF(R153=Constants!$B$4,FALSE(),TRUE())))</f>
        <v/>
      </c>
      <c r="AT153" s="92" t="str">
        <f aca="false">IF(ISBLANK($C153),"",IF(S153=Constants!$B$5,TRUE(),IF(S153=Constants!$B$6,FALSE(),COUNTA(T153:X153)&gt;0)))</f>
        <v/>
      </c>
      <c r="AU153" s="94" t="str">
        <f aca="false">IF(ISBLANK($C153),"",IF(ISNUMBER(T153),IF(T153&gt;=0,T153,""),""))</f>
        <v/>
      </c>
      <c r="AV153" s="93" t="str">
        <f aca="false">IF(ISBLANK($C153),"",IF(ISNUMBER(U153),IF(U153&gt;=0,U153,""),""))</f>
        <v/>
      </c>
      <c r="AW153" s="93" t="str">
        <f aca="false">IF(ISBLANK($C153),"",IF(V153=Constants!$B$3,TRUE(),IF(V153=Constants!$B$4,FALSE(),TRUE())))</f>
        <v/>
      </c>
      <c r="AX153" s="92" t="str">
        <f aca="false">IF(ISBLANK($C153),"",IF(ISNUMBER(W153),IF(W153&gt;=0,W153,""),""))</f>
        <v/>
      </c>
      <c r="AY153" s="92" t="str">
        <f aca="false">IF(ISBLANK($C153),"",IF(X153=Constants!$B$3,TRUE(),IF(X153=Constants!$B$4,FALSE(),FALSE())))</f>
        <v/>
      </c>
      <c r="AZ153" s="92" t="str">
        <f aca="false">IF(ISBLANK($C153),"",MIN(Constants!$B$31,MAX(0,IF(ISNUMBER(Y153),Y153*60,0)+IF(ISNUMBER(Z153),Z153,0))))</f>
        <v/>
      </c>
      <c r="BA153" s="92" t="str">
        <f aca="false">IF(ISBLANK($C153),"",IF(AA153=Constants!$B$3,TRUE(),IF(AA153=Constants!$B$4,FALSE(),FALSE())))</f>
        <v/>
      </c>
      <c r="BB153" s="91" t="str">
        <f aca="false">IF(ISBLANK($C153),"",AND($AL153,OR($AM153="",$AN153="",AND($AO153,$AP153=""))))</f>
        <v/>
      </c>
      <c r="BC153" s="93" t="str">
        <f aca="false">IF($BR153&lt;&gt;Constants!$B$8,"",IF($AL153,Constants!$B$21*$AN153+Constants!$B$22*IF($AO153,$AP153,Constants!$B$23),Constants!$B$24))</f>
        <v/>
      </c>
      <c r="BD153" s="96" t="str">
        <f aca="false">IF($BR153&lt;&gt;Constants!$B$8,"",Constants!$B$25*ABS($AD$9-IF($AL153,$AM153,0)))</f>
        <v/>
      </c>
      <c r="BE153" s="96" t="str">
        <f aca="false">IF($BR153&lt;&gt;Constants!$B$8,"",IF(AND($AL153,$AQ153,$AO153),Constants!$B$27,0))</f>
        <v/>
      </c>
      <c r="BF153" s="96" t="str">
        <f aca="false">IF($BR153&lt;&gt;Constants!$B$8,"",IF($AL153,($AI153-Constants!$B$29)*Constants!$B$28,0))</f>
        <v/>
      </c>
      <c r="BG153" s="96" t="str">
        <f aca="false">IF($BR153&lt;&gt;Constants!$B$8,"",IF($AK153,0,Constants!$B$15)+IF($AJ153,0,Constants!$B$16)+IF($AH153,0,Constants!$B$17))</f>
        <v/>
      </c>
      <c r="BH153" s="97" t="str">
        <f aca="false">IF($BR153&lt;&gt;Constants!$B$8,"",Constants!$B$20+SUM($BC153:$BG153))</f>
        <v/>
      </c>
      <c r="BI153" s="92" t="str">
        <f aca="false">IF($BR153&lt;&gt;Constants!$B$8,"",IF(OR($BP153&lt;$BH153,AND($BP153=$BH153,OR($BK153&lt;$BC153,AND($BK153=$BC153,OR($BL153&lt;$BD153,AND($BL153=$BD153,$AT153,$AL153,$AV153&lt;$AN153)))))),"-&gt;","&lt;-"))</f>
        <v/>
      </c>
      <c r="BJ153" s="91" t="str">
        <f aca="false">IF(ISBLANK($C153),"",AND($AT153,OR($AU153="",$AV153="",AND($AW153,$AX153=""))))</f>
        <v/>
      </c>
      <c r="BK153" s="93" t="str">
        <f aca="false">IF($BR153&lt;&gt;Constants!$B$8,"",IF($AT153,Constants!$B$21*$AV153+Constants!$B$22*IF($AW153,$AX153,Constants!$B$23),Constants!$B$24))</f>
        <v/>
      </c>
      <c r="BL153" s="96" t="str">
        <f aca="false">IF($BR153&lt;&gt;Constants!$B$8,"",Constants!$B$25*ABS($AD$9-IF($AT153,$AU153,0)))</f>
        <v/>
      </c>
      <c r="BM153" s="96" t="str">
        <f aca="false">IF($BR153&lt;&gt;Constants!$B$8,"",IF(AND($AT153,$AY153,$AW153),Constants!$B$27,0))</f>
        <v/>
      </c>
      <c r="BN153" s="96" t="str">
        <f aca="false">IF($BR153&lt;&gt;Constants!$B$8,"",IF($AT153,($AI153-Constants!$B$29)*Constants!$B$28,0))</f>
        <v/>
      </c>
      <c r="BO153" s="96" t="str">
        <f aca="false">IF($BR153&lt;&gt;Constants!$B$8,"",IF($AS153,0,Constants!$B$15)+IF($AR153,0,Constants!$B$16)+IF($AH153,0,Constants!$B$17))</f>
        <v/>
      </c>
      <c r="BP153" s="97" t="str">
        <f aca="false">IF($BR153&lt;&gt;Constants!$B$8,"",Constants!$B$20+SUM($BK153:$BO153))</f>
        <v/>
      </c>
      <c r="BQ153" s="92" t="str">
        <f aca="false">IF(ISBLANK($C153),"",IF(ISBLANK($D$7),$BQ$5,IF(NOT(ISNUMBER($D$7)),$BQ$6,"")))</f>
        <v/>
      </c>
      <c r="BR153" s="92" t="str">
        <f aca="false">IF(ISBLANK($C153),"",IF($BA153,Constants!$B$11,IF(COUNTA($E153:$AA153)=0,Constants!$B$10,IF(NOT($AG153),Constants!$B$9,IF(OR($BQ153&lt;&gt;"",$BB153,$BJ153),Constants!$B$12,Constants!$B$8)))))</f>
        <v/>
      </c>
      <c r="BS153" s="92" t="str">
        <f aca="false">IF(ISBLANK($C153),"",IF($BR153&lt;&gt;Constants!$B$8,$BR153,Constants!$B$13))</f>
        <v/>
      </c>
      <c r="BT153" s="96" t="str">
        <f aca="false">IF($BR153&lt;&gt;Constants!$B$8,"",IF($BI153="-&gt;",$BP153,$BH153))</f>
        <v/>
      </c>
      <c r="BU153" s="96" t="str">
        <f aca="false">IF($BR153&lt;&gt;Constants!$B$8,"",IF($AF153,0,Constants!$B$18))</f>
        <v/>
      </c>
      <c r="BV153" s="96" t="str">
        <f aca="false">IF($BR153&lt;&gt;Constants!$B$8,"",((Constants!$B$31-$AZ153)-Constants!$B$31)/Constants!$B$32)</f>
        <v/>
      </c>
      <c r="BW153" s="96" t="str">
        <f aca="false">IF(ISBLANK($C153),"",IF($BR153&lt;&gt;Constants!$B$8,$BR153,SUM($BT153:$BV153)))</f>
        <v/>
      </c>
      <c r="BX153" s="92" t="str">
        <f aca="false">IF(ISBLANK($C153),"",IF($BR153&lt;&gt;Constants!$B$8,$BR153,RANK($BW153,$BW$9:$BW$508,1)))</f>
        <v/>
      </c>
      <c r="BY153" s="96" t="str">
        <f aca="false">IF($BR153&lt;&gt;Constants!$B$8,"",IF($BI153="-&gt;",$BK153,$BC153))</f>
        <v/>
      </c>
      <c r="BZ153" s="92" t="str">
        <f aca="false">IF(ISBLANK($C153),"",IF($BR153&lt;&gt;Constants!$B$8,$BR153,IF(ISNUMBER($BY153),RANK($BY153,$BY$9:$BY$508,1),COUNT($BY$9:$BY$508)+1)))</f>
        <v/>
      </c>
      <c r="CA153" s="96" t="str">
        <f aca="false">IF($BR153&lt;&gt;Constants!$B$8,"",IF($BI153="-&gt;",$BL153,$BD153))</f>
        <v/>
      </c>
      <c r="CB153" s="92" t="str">
        <f aca="false">IF(ISBLANK($C153),"",IF($BR153&lt;&gt;Constants!$B$8,$BR153,IF(ISNUMBER($CA153),RANK($CA153,$CA$9:$CA$508,1),COUNT($CA$9:$CA$508)+1)))</f>
        <v/>
      </c>
      <c r="CC153" s="96" t="str">
        <f aca="false">IF($BR153&lt;&gt;Constants!$B$8,"",IF($BI153="-&gt;",IF($AT153,$AV153,""),IF($AL153,$AN153,"")))</f>
        <v/>
      </c>
      <c r="CD153" s="92" t="str">
        <f aca="false">IF(ISBLANK($C153),"",IF($BR153&lt;&gt;Constants!$B$8,$BR153,IF(ISNUMBER($CC153),RANK($CC153,$CC$9:$CC$508,1),COUNT($CC$9:$CC$508)+1)))</f>
        <v/>
      </c>
      <c r="CE153" s="96" t="str">
        <f aca="false">IF($BR153&lt;&gt;Constants!$B$8,"",IF(AND(NOT($AL153),NOT($AT153),$AJ153,$AK153,$AR153,$AS153),"",$AI153))</f>
        <v/>
      </c>
      <c r="CF153" s="92" t="str">
        <f aca="false">IF(ISBLANK($C153),"",IF($BR153&lt;&gt;Constants!$B$8,$BR153,IF(ISNUMBER($CE153),RANK($CE153,$CE$9:$CE$508,1),COUNT($CE$9:$CE$508)+1)))</f>
        <v/>
      </c>
      <c r="CG153" s="92" t="str">
        <f aca="false">IF(ISBLANK($C153),"",IF($BR153&lt;&gt;Constants!$B$8,$BR153,COUNTIFS($BX$9:$BX$508,"&lt;"&amp;$BX153)+COUNTIFS($BX$9:$BX$508,$BX153,$BZ$9:$BZ$508,"&lt;"&amp;$BZ153)+COUNTIFS($BX$9:$BX$508,$BX153,$BZ$9:$BZ$508,$BZ153,$CB$9:$CB$508,"&lt;"&amp;$CB153)+COUNTIFS($BX$9:$BX$508,$BX153,$BZ$9:$BZ$508,$BZ153,$CB$9:$CB$508,$CB153,$CD$9:$CD$508,"&lt;"&amp;$CD153)+COUNTIFS($BX$9:$BX$508,$BX153,$BZ$9:$BZ$508,$BZ153,$CB$9:$CB$508,$CB153,$CD$9:$CD$508,$CD153,$CF$9:$CF$508,"&lt;"&amp;$CF153)+1))</f>
        <v/>
      </c>
      <c r="CH153" s="92" t="str">
        <f aca="false">IF(ISBLANK($C153),"",IF($BR153&lt;&gt;Constants!$B$8,$BR153,$BX153-$CG153))</f>
        <v/>
      </c>
      <c r="CI153" s="98"/>
      <c r="CJ153" s="99"/>
      <c r="CK153" s="100" t="str">
        <f aca="false">IF(ISBLANK($C153),"",IF($BR153=Constants!$B$12,$BQ153,""))</f>
        <v/>
      </c>
      <c r="CL153" s="99" t="str">
        <f aca="false">IF(ISBLANK($C153),"",IF($BR153&lt;&gt;Constants!$B$8,"",IF($BI153="-&gt;",2,1)))</f>
        <v/>
      </c>
      <c r="CM153" s="101" t="str">
        <f aca="false">IF(ISBLANK($C153),"",IF($BR153&lt;&gt;Constants!$B$8,"",IF($BI153="-&gt;",$BK153,$BC153)))</f>
        <v/>
      </c>
      <c r="CN153" s="101" t="str">
        <f aca="false">IF(ISBLANK($C153),"",IF($BR153&lt;&gt;Constants!$B$8,"",IF($BI153="-&gt;",$BL153,$BD153)))</f>
        <v/>
      </c>
      <c r="CO153" s="101" t="str">
        <f aca="false">IF(ISBLANK($C153),"",IF($BR153&lt;&gt;Constants!$B$8,"",IF($BI153="-&gt;",$BM153+$BN153,$BE153+$BF153)+$BV153))</f>
        <v/>
      </c>
      <c r="CP153" s="101" t="str">
        <f aca="false">IF(ISBLANK($C153),"",IF($BR153&lt;&gt;Constants!$B$8,"",IF($BI153="-&gt;",$BO153,$BG153)+$BU153))</f>
        <v/>
      </c>
      <c r="CQ153" s="102" t="str">
        <f aca="false">IF(ISBLANK($C153),"",IF($BR153&lt;&gt;Constants!$B$8,$BR153,$BW153))</f>
        <v/>
      </c>
      <c r="CR153" s="103" t="str">
        <f aca="false">IF(ISBLANK($C153),"",$BS153)</f>
        <v/>
      </c>
      <c r="CS153" s="104" t="str">
        <f aca="false">IF(ISBLANK($C153),"",$CH153)</f>
        <v/>
      </c>
      <c r="CT153" s="104" t="str">
        <f aca="false">IF(ISBLANK($C153),"",$CG153)</f>
        <v/>
      </c>
      <c r="CU153" s="105" t="str">
        <f aca="false">IF(ISBLANK($C153),"",IFERROR(_xlfn.SWITCH($CT153,Constants!$B$11,COUNTA($C$9:$C$508)+2,Constants!$B$10,COUNTA($C$9:$C$508)+1,Constants!$B$9,COUNTA($C$9:$C$508)),$CT153))</f>
        <v/>
      </c>
      <c r="CV153" s="9"/>
      <c r="CW153" s="106" t="n">
        <f aca="false">IF(OR(ISNUMBER($CT153),$CT153=Constants!$B$11,$CT153=Constants!$B$9,$CT153=Constants!$B$10),1,0)</f>
        <v>0</v>
      </c>
      <c r="CX153" s="106" t="n">
        <v>145</v>
      </c>
      <c r="CY153" s="106" t="str">
        <f aca="false">IF(ISBLANK($C153),"",IF(ISNUMBER($CU153),$CU153+ROW($B153)/1000,""))</f>
        <v/>
      </c>
      <c r="CZ153" s="106" t="str">
        <f aca="false">IF(ISNUMBER($CY153),RANK($CY153,$CY$9:$CY$508,1),"")</f>
        <v/>
      </c>
      <c r="DA153" s="106" t="str">
        <f aca="false">IF(ISBLANK($C153),"",$B153)</f>
        <v/>
      </c>
      <c r="DB153" s="106" t="str">
        <f aca="false">IF(ISBLANK($C153),"",$C153)</f>
        <v/>
      </c>
      <c r="DC153" s="106" t="str">
        <f aca="false">IF(ISBLANK($C153),"",$D153)</f>
        <v/>
      </c>
      <c r="DD153" s="107" t="str">
        <f aca="false">$CR153</f>
        <v/>
      </c>
      <c r="DE153" s="108" t="str">
        <f aca="false">$CQ153</f>
        <v/>
      </c>
      <c r="DF153" s="106" t="str">
        <f aca="false">IF(ISBLANK($C153),"",$CT153)</f>
        <v/>
      </c>
      <c r="DG153" s="109" t="str">
        <f aca="false">IF($CX153&gt;$CW$8,"",VLOOKUP($CX153,$CZ$9:$DF$508,7,FALSE()))</f>
        <v/>
      </c>
      <c r="DH153" s="110" t="str">
        <f aca="false">IF($CX153&gt;$CW$8,"",VLOOKUP($CX153,$CZ$9:$DF$508,2,FALSE()))</f>
        <v/>
      </c>
      <c r="DI153" s="110" t="str">
        <f aca="false">IF($CX153&gt;$CW$8,"",VLOOKUP($CX153,$CZ$9:$DF$508,3,FALSE()))</f>
        <v/>
      </c>
      <c r="DJ153" s="110" t="str">
        <f aca="false">IF($CX153&gt;$CW$8,"",VLOOKUP($CX153,$CZ$9:$DF$508,4,FALSE()))</f>
        <v/>
      </c>
      <c r="DK153" s="110" t="str">
        <f aca="false">IF($CX153&gt;$CW$8,"",VLOOKUP($CX153,$CZ$9:$DF$508,5,FALSE()))</f>
        <v/>
      </c>
      <c r="DL153" s="111" t="str">
        <f aca="false">IF($CX153&gt;$CW$8,"",VLOOKUP($CX153,$CZ$9:$DF$508,6,FALSE()))</f>
        <v/>
      </c>
      <c r="DM153" s="75"/>
    </row>
    <row r="154" customFormat="false" ht="15.75" hidden="false" customHeight="false" outlineLevel="0" collapsed="false">
      <c r="A154" s="9"/>
      <c r="B154" s="77"/>
      <c r="C154" s="78"/>
      <c r="D154" s="167"/>
      <c r="E154" s="175"/>
      <c r="F154" s="169"/>
      <c r="G154" s="170"/>
      <c r="H154" s="170"/>
      <c r="I154" s="176"/>
      <c r="J154" s="173"/>
      <c r="K154" s="85"/>
      <c r="L154" s="86"/>
      <c r="M154" s="87"/>
      <c r="N154" s="173"/>
      <c r="O154" s="173"/>
      <c r="P154" s="175"/>
      <c r="Q154" s="173"/>
      <c r="R154" s="173"/>
      <c r="S154" s="85"/>
      <c r="T154" s="87"/>
      <c r="U154" s="87"/>
      <c r="V154" s="173"/>
      <c r="W154" s="173"/>
      <c r="X154" s="175"/>
      <c r="Y154" s="173"/>
      <c r="Z154" s="174"/>
      <c r="AA154" s="173"/>
      <c r="AB154" s="91"/>
      <c r="AC154" s="92"/>
      <c r="AD154" s="92"/>
      <c r="AE154" s="92"/>
      <c r="AF154" s="92" t="str">
        <f aca="false">IF(ISBLANK($C154),"",IF(E154=Constants!$B$3,TRUE(),IF(E154=Constants!$B$4,FALSE(),TRUE())))</f>
        <v/>
      </c>
      <c r="AG154" s="92" t="str">
        <f aca="false">IF(ISBLANK($C154),"",IF(F154=Constants!$B$3,TRUE(),IF(F154=Constants!$B$4,FALSE(),TRUE())))</f>
        <v/>
      </c>
      <c r="AH154" s="92" t="str">
        <f aca="false">IF(ISBLANK($C154),"",IF(G154=Constants!$B$3,TRUE(),IF(G154=Constants!$B$4,FALSE(),TRUE())))</f>
        <v/>
      </c>
      <c r="AI154" s="92" t="str">
        <f aca="false">IF(ISBLANK($C154),"",IF(AND(ISNUMBER(H154),H154&gt;=0),H154,Constants!$B$29))</f>
        <v/>
      </c>
      <c r="AJ154" s="92" t="str">
        <f aca="false">IF(ISBLANK($C154),"",IF(I154=Constants!$B$3,TRUE(),IF(I154=Constants!$B$4,FALSE(),TRUE())))</f>
        <v/>
      </c>
      <c r="AK154" s="92" t="str">
        <f aca="false">IF(ISBLANK($C154),"",IF(J154=Constants!$B$3,TRUE(),IF(J154=Constants!$B$4,FALSE(),TRUE())))</f>
        <v/>
      </c>
      <c r="AL154" s="92" t="str">
        <f aca="false">IF(ISBLANK($C154),"",IF(K154=Constants!$B$5,TRUE(),IF(K154=Constants!$B$6,FALSE(),COUNTA(L154:P154)&gt;0)))</f>
        <v/>
      </c>
      <c r="AM154" s="94" t="str">
        <f aca="false">IF(ISBLANK($C154),"",IF(ISNUMBER(L154),IF(L154&gt;=0,L154,""),""))</f>
        <v/>
      </c>
      <c r="AN154" s="93" t="str">
        <f aca="false">IF(ISBLANK($C154),"",IF(ISNUMBER(M154),IF(M154&gt;=0,M154,""),""))</f>
        <v/>
      </c>
      <c r="AO154" s="93" t="str">
        <f aca="false">IF(ISBLANK($C154),"",IF(N154=Constants!$B$3,TRUE(),IF(N154=Constants!$B$4,FALSE(),TRUE())))</f>
        <v/>
      </c>
      <c r="AP154" s="92" t="str">
        <f aca="false">IF(ISBLANK($C154),"",IF(ISNUMBER(O154),IF(O154&gt;=0,O154,""),""))</f>
        <v/>
      </c>
      <c r="AQ154" s="92" t="str">
        <f aca="false">IF(ISBLANK($C154),"",IF(P154=Constants!$B$3,TRUE(),IF(P154=Constants!$B$4,FALSE(),FALSE())))</f>
        <v/>
      </c>
      <c r="AR154" s="92" t="str">
        <f aca="false">IF(ISBLANK($C154),"",IF(Q154=Constants!$B$3,TRUE(),IF(Q154=Constants!$B$4,FALSE(),TRUE())))</f>
        <v/>
      </c>
      <c r="AS154" s="92" t="str">
        <f aca="false">IF(ISBLANK($C154),"",IF(R154=Constants!$B$3,TRUE(),IF(R154=Constants!$B$4,FALSE(),TRUE())))</f>
        <v/>
      </c>
      <c r="AT154" s="92" t="str">
        <f aca="false">IF(ISBLANK($C154),"",IF(S154=Constants!$B$5,TRUE(),IF(S154=Constants!$B$6,FALSE(),COUNTA(T154:X154)&gt;0)))</f>
        <v/>
      </c>
      <c r="AU154" s="94" t="str">
        <f aca="false">IF(ISBLANK($C154),"",IF(ISNUMBER(T154),IF(T154&gt;=0,T154,""),""))</f>
        <v/>
      </c>
      <c r="AV154" s="93" t="str">
        <f aca="false">IF(ISBLANK($C154),"",IF(ISNUMBER(U154),IF(U154&gt;=0,U154,""),""))</f>
        <v/>
      </c>
      <c r="AW154" s="93" t="str">
        <f aca="false">IF(ISBLANK($C154),"",IF(V154=Constants!$B$3,TRUE(),IF(V154=Constants!$B$4,FALSE(),TRUE())))</f>
        <v/>
      </c>
      <c r="AX154" s="92" t="str">
        <f aca="false">IF(ISBLANK($C154),"",IF(ISNUMBER(W154),IF(W154&gt;=0,W154,""),""))</f>
        <v/>
      </c>
      <c r="AY154" s="92" t="str">
        <f aca="false">IF(ISBLANK($C154),"",IF(X154=Constants!$B$3,TRUE(),IF(X154=Constants!$B$4,FALSE(),FALSE())))</f>
        <v/>
      </c>
      <c r="AZ154" s="92" t="str">
        <f aca="false">IF(ISBLANK($C154),"",MIN(Constants!$B$31,MAX(0,IF(ISNUMBER(Y154),Y154*60,0)+IF(ISNUMBER(Z154),Z154,0))))</f>
        <v/>
      </c>
      <c r="BA154" s="92" t="str">
        <f aca="false">IF(ISBLANK($C154),"",IF(AA154=Constants!$B$3,TRUE(),IF(AA154=Constants!$B$4,FALSE(),FALSE())))</f>
        <v/>
      </c>
      <c r="BB154" s="91" t="str">
        <f aca="false">IF(ISBLANK($C154),"",AND($AL154,OR($AM154="",$AN154="",AND($AO154,$AP154=""))))</f>
        <v/>
      </c>
      <c r="BC154" s="93" t="str">
        <f aca="false">IF($BR154&lt;&gt;Constants!$B$8,"",IF($AL154,Constants!$B$21*$AN154+Constants!$B$22*IF($AO154,$AP154,Constants!$B$23),Constants!$B$24))</f>
        <v/>
      </c>
      <c r="BD154" s="96" t="str">
        <f aca="false">IF($BR154&lt;&gt;Constants!$B$8,"",Constants!$B$25*ABS($AD$9-IF($AL154,$AM154,0)))</f>
        <v/>
      </c>
      <c r="BE154" s="96" t="str">
        <f aca="false">IF($BR154&lt;&gt;Constants!$B$8,"",IF(AND($AL154,$AQ154,$AO154),Constants!$B$27,0))</f>
        <v/>
      </c>
      <c r="BF154" s="96" t="str">
        <f aca="false">IF($BR154&lt;&gt;Constants!$B$8,"",IF($AL154,($AI154-Constants!$B$29)*Constants!$B$28,0))</f>
        <v/>
      </c>
      <c r="BG154" s="96" t="str">
        <f aca="false">IF($BR154&lt;&gt;Constants!$B$8,"",IF($AK154,0,Constants!$B$15)+IF($AJ154,0,Constants!$B$16)+IF($AH154,0,Constants!$B$17))</f>
        <v/>
      </c>
      <c r="BH154" s="97" t="str">
        <f aca="false">IF($BR154&lt;&gt;Constants!$B$8,"",Constants!$B$20+SUM($BC154:$BG154))</f>
        <v/>
      </c>
      <c r="BI154" s="92" t="str">
        <f aca="false">IF($BR154&lt;&gt;Constants!$B$8,"",IF(OR($BP154&lt;$BH154,AND($BP154=$BH154,OR($BK154&lt;$BC154,AND($BK154=$BC154,OR($BL154&lt;$BD154,AND($BL154=$BD154,$AT154,$AL154,$AV154&lt;$AN154)))))),"-&gt;","&lt;-"))</f>
        <v/>
      </c>
      <c r="BJ154" s="91" t="str">
        <f aca="false">IF(ISBLANK($C154),"",AND($AT154,OR($AU154="",$AV154="",AND($AW154,$AX154=""))))</f>
        <v/>
      </c>
      <c r="BK154" s="93" t="str">
        <f aca="false">IF($BR154&lt;&gt;Constants!$B$8,"",IF($AT154,Constants!$B$21*$AV154+Constants!$B$22*IF($AW154,$AX154,Constants!$B$23),Constants!$B$24))</f>
        <v/>
      </c>
      <c r="BL154" s="96" t="str">
        <f aca="false">IF($BR154&lt;&gt;Constants!$B$8,"",Constants!$B$25*ABS($AD$9-IF($AT154,$AU154,0)))</f>
        <v/>
      </c>
      <c r="BM154" s="96" t="str">
        <f aca="false">IF($BR154&lt;&gt;Constants!$B$8,"",IF(AND($AT154,$AY154,$AW154),Constants!$B$27,0))</f>
        <v/>
      </c>
      <c r="BN154" s="96" t="str">
        <f aca="false">IF($BR154&lt;&gt;Constants!$B$8,"",IF($AT154,($AI154-Constants!$B$29)*Constants!$B$28,0))</f>
        <v/>
      </c>
      <c r="BO154" s="96" t="str">
        <f aca="false">IF($BR154&lt;&gt;Constants!$B$8,"",IF($AS154,0,Constants!$B$15)+IF($AR154,0,Constants!$B$16)+IF($AH154,0,Constants!$B$17))</f>
        <v/>
      </c>
      <c r="BP154" s="97" t="str">
        <f aca="false">IF($BR154&lt;&gt;Constants!$B$8,"",Constants!$B$20+SUM($BK154:$BO154))</f>
        <v/>
      </c>
      <c r="BQ154" s="92" t="str">
        <f aca="false">IF(ISBLANK($C154),"",IF(ISBLANK($D$7),$BQ$5,IF(NOT(ISNUMBER($D$7)),$BQ$6,"")))</f>
        <v/>
      </c>
      <c r="BR154" s="92" t="str">
        <f aca="false">IF(ISBLANK($C154),"",IF($BA154,Constants!$B$11,IF(COUNTA($E154:$AA154)=0,Constants!$B$10,IF(NOT($AG154),Constants!$B$9,IF(OR($BQ154&lt;&gt;"",$BB154,$BJ154),Constants!$B$12,Constants!$B$8)))))</f>
        <v/>
      </c>
      <c r="BS154" s="92" t="str">
        <f aca="false">IF(ISBLANK($C154),"",IF($BR154&lt;&gt;Constants!$B$8,$BR154,Constants!$B$13))</f>
        <v/>
      </c>
      <c r="BT154" s="96" t="str">
        <f aca="false">IF($BR154&lt;&gt;Constants!$B$8,"",IF($BI154="-&gt;",$BP154,$BH154))</f>
        <v/>
      </c>
      <c r="BU154" s="96" t="str">
        <f aca="false">IF($BR154&lt;&gt;Constants!$B$8,"",IF($AF154,0,Constants!$B$18))</f>
        <v/>
      </c>
      <c r="BV154" s="96" t="str">
        <f aca="false">IF($BR154&lt;&gt;Constants!$B$8,"",((Constants!$B$31-$AZ154)-Constants!$B$31)/Constants!$B$32)</f>
        <v/>
      </c>
      <c r="BW154" s="96" t="str">
        <f aca="false">IF(ISBLANK($C154),"",IF($BR154&lt;&gt;Constants!$B$8,$BR154,SUM($BT154:$BV154)))</f>
        <v/>
      </c>
      <c r="BX154" s="92" t="str">
        <f aca="false">IF(ISBLANK($C154),"",IF($BR154&lt;&gt;Constants!$B$8,$BR154,RANK($BW154,$BW$9:$BW$508,1)))</f>
        <v/>
      </c>
      <c r="BY154" s="96" t="str">
        <f aca="false">IF($BR154&lt;&gt;Constants!$B$8,"",IF($BI154="-&gt;",$BK154,$BC154))</f>
        <v/>
      </c>
      <c r="BZ154" s="92" t="str">
        <f aca="false">IF(ISBLANK($C154),"",IF($BR154&lt;&gt;Constants!$B$8,$BR154,IF(ISNUMBER($BY154),RANK($BY154,$BY$9:$BY$508,1),COUNT($BY$9:$BY$508)+1)))</f>
        <v/>
      </c>
      <c r="CA154" s="96" t="str">
        <f aca="false">IF($BR154&lt;&gt;Constants!$B$8,"",IF($BI154="-&gt;",$BL154,$BD154))</f>
        <v/>
      </c>
      <c r="CB154" s="92" t="str">
        <f aca="false">IF(ISBLANK($C154),"",IF($BR154&lt;&gt;Constants!$B$8,$BR154,IF(ISNUMBER($CA154),RANK($CA154,$CA$9:$CA$508,1),COUNT($CA$9:$CA$508)+1)))</f>
        <v/>
      </c>
      <c r="CC154" s="96" t="str">
        <f aca="false">IF($BR154&lt;&gt;Constants!$B$8,"",IF($BI154="-&gt;",IF($AT154,$AV154,""),IF($AL154,$AN154,"")))</f>
        <v/>
      </c>
      <c r="CD154" s="92" t="str">
        <f aca="false">IF(ISBLANK($C154),"",IF($BR154&lt;&gt;Constants!$B$8,$BR154,IF(ISNUMBER($CC154),RANK($CC154,$CC$9:$CC$508,1),COUNT($CC$9:$CC$508)+1)))</f>
        <v/>
      </c>
      <c r="CE154" s="96" t="str">
        <f aca="false">IF($BR154&lt;&gt;Constants!$B$8,"",IF(AND(NOT($AL154),NOT($AT154),$AJ154,$AK154,$AR154,$AS154),"",$AI154))</f>
        <v/>
      </c>
      <c r="CF154" s="92" t="str">
        <f aca="false">IF(ISBLANK($C154),"",IF($BR154&lt;&gt;Constants!$B$8,$BR154,IF(ISNUMBER($CE154),RANK($CE154,$CE$9:$CE$508,1),COUNT($CE$9:$CE$508)+1)))</f>
        <v/>
      </c>
      <c r="CG154" s="92" t="str">
        <f aca="false">IF(ISBLANK($C154),"",IF($BR154&lt;&gt;Constants!$B$8,$BR154,COUNTIFS($BX$9:$BX$508,"&lt;"&amp;$BX154)+COUNTIFS($BX$9:$BX$508,$BX154,$BZ$9:$BZ$508,"&lt;"&amp;$BZ154)+COUNTIFS($BX$9:$BX$508,$BX154,$BZ$9:$BZ$508,$BZ154,$CB$9:$CB$508,"&lt;"&amp;$CB154)+COUNTIFS($BX$9:$BX$508,$BX154,$BZ$9:$BZ$508,$BZ154,$CB$9:$CB$508,$CB154,$CD$9:$CD$508,"&lt;"&amp;$CD154)+COUNTIFS($BX$9:$BX$508,$BX154,$BZ$9:$BZ$508,$BZ154,$CB$9:$CB$508,$CB154,$CD$9:$CD$508,$CD154,$CF$9:$CF$508,"&lt;"&amp;$CF154)+1))</f>
        <v/>
      </c>
      <c r="CH154" s="92" t="str">
        <f aca="false">IF(ISBLANK($C154),"",IF($BR154&lt;&gt;Constants!$B$8,$BR154,$BX154-$CG154))</f>
        <v/>
      </c>
      <c r="CI154" s="98"/>
      <c r="CJ154" s="99"/>
      <c r="CK154" s="100" t="str">
        <f aca="false">IF(ISBLANK($C154),"",IF($BR154=Constants!$B$12,$BQ154,""))</f>
        <v/>
      </c>
      <c r="CL154" s="99" t="str">
        <f aca="false">IF(ISBLANK($C154),"",IF($BR154&lt;&gt;Constants!$B$8,"",IF($BI154="-&gt;",2,1)))</f>
        <v/>
      </c>
      <c r="CM154" s="101" t="str">
        <f aca="false">IF(ISBLANK($C154),"",IF($BR154&lt;&gt;Constants!$B$8,"",IF($BI154="-&gt;",$BK154,$BC154)))</f>
        <v/>
      </c>
      <c r="CN154" s="101" t="str">
        <f aca="false">IF(ISBLANK($C154),"",IF($BR154&lt;&gt;Constants!$B$8,"",IF($BI154="-&gt;",$BL154,$BD154)))</f>
        <v/>
      </c>
      <c r="CO154" s="101" t="str">
        <f aca="false">IF(ISBLANK($C154),"",IF($BR154&lt;&gt;Constants!$B$8,"",IF($BI154="-&gt;",$BM154+$BN154,$BE154+$BF154)+$BV154))</f>
        <v/>
      </c>
      <c r="CP154" s="101" t="str">
        <f aca="false">IF(ISBLANK($C154),"",IF($BR154&lt;&gt;Constants!$B$8,"",IF($BI154="-&gt;",$BO154,$BG154)+$BU154))</f>
        <v/>
      </c>
      <c r="CQ154" s="102" t="str">
        <f aca="false">IF(ISBLANK($C154),"",IF($BR154&lt;&gt;Constants!$B$8,$BR154,$BW154))</f>
        <v/>
      </c>
      <c r="CR154" s="103" t="str">
        <f aca="false">IF(ISBLANK($C154),"",$BS154)</f>
        <v/>
      </c>
      <c r="CS154" s="104" t="str">
        <f aca="false">IF(ISBLANK($C154),"",$CH154)</f>
        <v/>
      </c>
      <c r="CT154" s="104" t="str">
        <f aca="false">IF(ISBLANK($C154),"",$CG154)</f>
        <v/>
      </c>
      <c r="CU154" s="105" t="str">
        <f aca="false">IF(ISBLANK($C154),"",IFERROR(_xlfn.SWITCH($CT154,Constants!$B$11,COUNTA($C$9:$C$508)+2,Constants!$B$10,COUNTA($C$9:$C$508)+1,Constants!$B$9,COUNTA($C$9:$C$508)),$CT154))</f>
        <v/>
      </c>
      <c r="CV154" s="9"/>
      <c r="CW154" s="106" t="n">
        <f aca="false">IF(OR(ISNUMBER($CT154),$CT154=Constants!$B$11,$CT154=Constants!$B$9,$CT154=Constants!$B$10),1,0)</f>
        <v>0</v>
      </c>
      <c r="CX154" s="106" t="n">
        <v>146</v>
      </c>
      <c r="CY154" s="106" t="str">
        <f aca="false">IF(ISBLANK($C154),"",IF(ISNUMBER($CU154),$CU154+ROW($B154)/1000,""))</f>
        <v/>
      </c>
      <c r="CZ154" s="106" t="str">
        <f aca="false">IF(ISNUMBER($CY154),RANK($CY154,$CY$9:$CY$508,1),"")</f>
        <v/>
      </c>
      <c r="DA154" s="106" t="str">
        <f aca="false">IF(ISBLANK($C154),"",$B154)</f>
        <v/>
      </c>
      <c r="DB154" s="106" t="str">
        <f aca="false">IF(ISBLANK($C154),"",$C154)</f>
        <v/>
      </c>
      <c r="DC154" s="106" t="str">
        <f aca="false">IF(ISBLANK($C154),"",$D154)</f>
        <v/>
      </c>
      <c r="DD154" s="107" t="str">
        <f aca="false">$CR154</f>
        <v/>
      </c>
      <c r="DE154" s="108" t="str">
        <f aca="false">$CQ154</f>
        <v/>
      </c>
      <c r="DF154" s="106" t="str">
        <f aca="false">IF(ISBLANK($C154),"",$CT154)</f>
        <v/>
      </c>
      <c r="DG154" s="109" t="str">
        <f aca="false">IF($CX154&gt;$CW$8,"",VLOOKUP($CX154,$CZ$9:$DF$508,7,FALSE()))</f>
        <v/>
      </c>
      <c r="DH154" s="110" t="str">
        <f aca="false">IF($CX154&gt;$CW$8,"",VLOOKUP($CX154,$CZ$9:$DF$508,2,FALSE()))</f>
        <v/>
      </c>
      <c r="DI154" s="110" t="str">
        <f aca="false">IF($CX154&gt;$CW$8,"",VLOOKUP($CX154,$CZ$9:$DF$508,3,FALSE()))</f>
        <v/>
      </c>
      <c r="DJ154" s="110" t="str">
        <f aca="false">IF($CX154&gt;$CW$8,"",VLOOKUP($CX154,$CZ$9:$DF$508,4,FALSE()))</f>
        <v/>
      </c>
      <c r="DK154" s="110" t="str">
        <f aca="false">IF($CX154&gt;$CW$8,"",VLOOKUP($CX154,$CZ$9:$DF$508,5,FALSE()))</f>
        <v/>
      </c>
      <c r="DL154" s="111" t="str">
        <f aca="false">IF($CX154&gt;$CW$8,"",VLOOKUP($CX154,$CZ$9:$DF$508,6,FALSE()))</f>
        <v/>
      </c>
      <c r="DM154" s="75"/>
    </row>
    <row r="155" customFormat="false" ht="15.75" hidden="false" customHeight="false" outlineLevel="0" collapsed="false">
      <c r="A155" s="9"/>
      <c r="B155" s="77"/>
      <c r="C155" s="78"/>
      <c r="D155" s="167"/>
      <c r="E155" s="175"/>
      <c r="F155" s="169"/>
      <c r="G155" s="170"/>
      <c r="H155" s="170"/>
      <c r="I155" s="176"/>
      <c r="J155" s="173"/>
      <c r="K155" s="85"/>
      <c r="L155" s="86"/>
      <c r="M155" s="87"/>
      <c r="N155" s="173"/>
      <c r="O155" s="173"/>
      <c r="P155" s="175"/>
      <c r="Q155" s="173"/>
      <c r="R155" s="173"/>
      <c r="S155" s="85"/>
      <c r="T155" s="87"/>
      <c r="U155" s="87"/>
      <c r="V155" s="173"/>
      <c r="W155" s="173"/>
      <c r="X155" s="175"/>
      <c r="Y155" s="173"/>
      <c r="Z155" s="174"/>
      <c r="AA155" s="173"/>
      <c r="AB155" s="91"/>
      <c r="AC155" s="92"/>
      <c r="AD155" s="92"/>
      <c r="AE155" s="92"/>
      <c r="AF155" s="92" t="str">
        <f aca="false">IF(ISBLANK($C155),"",IF(E155=Constants!$B$3,TRUE(),IF(E155=Constants!$B$4,FALSE(),TRUE())))</f>
        <v/>
      </c>
      <c r="AG155" s="92" t="str">
        <f aca="false">IF(ISBLANK($C155),"",IF(F155=Constants!$B$3,TRUE(),IF(F155=Constants!$B$4,FALSE(),TRUE())))</f>
        <v/>
      </c>
      <c r="AH155" s="92" t="str">
        <f aca="false">IF(ISBLANK($C155),"",IF(G155=Constants!$B$3,TRUE(),IF(G155=Constants!$B$4,FALSE(),TRUE())))</f>
        <v/>
      </c>
      <c r="AI155" s="92" t="str">
        <f aca="false">IF(ISBLANK($C155),"",IF(AND(ISNUMBER(H155),H155&gt;=0),H155,Constants!$B$29))</f>
        <v/>
      </c>
      <c r="AJ155" s="92" t="str">
        <f aca="false">IF(ISBLANK($C155),"",IF(I155=Constants!$B$3,TRUE(),IF(I155=Constants!$B$4,FALSE(),TRUE())))</f>
        <v/>
      </c>
      <c r="AK155" s="92" t="str">
        <f aca="false">IF(ISBLANK($C155),"",IF(J155=Constants!$B$3,TRUE(),IF(J155=Constants!$B$4,FALSE(),TRUE())))</f>
        <v/>
      </c>
      <c r="AL155" s="92" t="str">
        <f aca="false">IF(ISBLANK($C155),"",IF(K155=Constants!$B$5,TRUE(),IF(K155=Constants!$B$6,FALSE(),COUNTA(L155:P155)&gt;0)))</f>
        <v/>
      </c>
      <c r="AM155" s="94" t="str">
        <f aca="false">IF(ISBLANK($C155),"",IF(ISNUMBER(L155),IF(L155&gt;=0,L155,""),""))</f>
        <v/>
      </c>
      <c r="AN155" s="93" t="str">
        <f aca="false">IF(ISBLANK($C155),"",IF(ISNUMBER(M155),IF(M155&gt;=0,M155,""),""))</f>
        <v/>
      </c>
      <c r="AO155" s="93" t="str">
        <f aca="false">IF(ISBLANK($C155),"",IF(N155=Constants!$B$3,TRUE(),IF(N155=Constants!$B$4,FALSE(),TRUE())))</f>
        <v/>
      </c>
      <c r="AP155" s="92" t="str">
        <f aca="false">IF(ISBLANK($C155),"",IF(ISNUMBER(O155),IF(O155&gt;=0,O155,""),""))</f>
        <v/>
      </c>
      <c r="AQ155" s="92" t="str">
        <f aca="false">IF(ISBLANK($C155),"",IF(P155=Constants!$B$3,TRUE(),IF(P155=Constants!$B$4,FALSE(),FALSE())))</f>
        <v/>
      </c>
      <c r="AR155" s="92" t="str">
        <f aca="false">IF(ISBLANK($C155),"",IF(Q155=Constants!$B$3,TRUE(),IF(Q155=Constants!$B$4,FALSE(),TRUE())))</f>
        <v/>
      </c>
      <c r="AS155" s="92" t="str">
        <f aca="false">IF(ISBLANK($C155),"",IF(R155=Constants!$B$3,TRUE(),IF(R155=Constants!$B$4,FALSE(),TRUE())))</f>
        <v/>
      </c>
      <c r="AT155" s="92" t="str">
        <f aca="false">IF(ISBLANK($C155),"",IF(S155=Constants!$B$5,TRUE(),IF(S155=Constants!$B$6,FALSE(),COUNTA(T155:X155)&gt;0)))</f>
        <v/>
      </c>
      <c r="AU155" s="94" t="str">
        <f aca="false">IF(ISBLANK($C155),"",IF(ISNUMBER(T155),IF(T155&gt;=0,T155,""),""))</f>
        <v/>
      </c>
      <c r="AV155" s="93" t="str">
        <f aca="false">IF(ISBLANK($C155),"",IF(ISNUMBER(U155),IF(U155&gt;=0,U155,""),""))</f>
        <v/>
      </c>
      <c r="AW155" s="93" t="str">
        <f aca="false">IF(ISBLANK($C155),"",IF(V155=Constants!$B$3,TRUE(),IF(V155=Constants!$B$4,FALSE(),TRUE())))</f>
        <v/>
      </c>
      <c r="AX155" s="92" t="str">
        <f aca="false">IF(ISBLANK($C155),"",IF(ISNUMBER(W155),IF(W155&gt;=0,W155,""),""))</f>
        <v/>
      </c>
      <c r="AY155" s="92" t="str">
        <f aca="false">IF(ISBLANK($C155),"",IF(X155=Constants!$B$3,TRUE(),IF(X155=Constants!$B$4,FALSE(),FALSE())))</f>
        <v/>
      </c>
      <c r="AZ155" s="92" t="str">
        <f aca="false">IF(ISBLANK($C155),"",MIN(Constants!$B$31,MAX(0,IF(ISNUMBER(Y155),Y155*60,0)+IF(ISNUMBER(Z155),Z155,0))))</f>
        <v/>
      </c>
      <c r="BA155" s="92" t="str">
        <f aca="false">IF(ISBLANK($C155),"",IF(AA155=Constants!$B$3,TRUE(),IF(AA155=Constants!$B$4,FALSE(),FALSE())))</f>
        <v/>
      </c>
      <c r="BB155" s="91" t="str">
        <f aca="false">IF(ISBLANK($C155),"",AND($AL155,OR($AM155="",$AN155="",AND($AO155,$AP155=""))))</f>
        <v/>
      </c>
      <c r="BC155" s="93" t="str">
        <f aca="false">IF($BR155&lt;&gt;Constants!$B$8,"",IF($AL155,Constants!$B$21*$AN155+Constants!$B$22*IF($AO155,$AP155,Constants!$B$23),Constants!$B$24))</f>
        <v/>
      </c>
      <c r="BD155" s="96" t="str">
        <f aca="false">IF($BR155&lt;&gt;Constants!$B$8,"",Constants!$B$25*ABS($AD$9-IF($AL155,$AM155,0)))</f>
        <v/>
      </c>
      <c r="BE155" s="96" t="str">
        <f aca="false">IF($BR155&lt;&gt;Constants!$B$8,"",IF(AND($AL155,$AQ155,$AO155),Constants!$B$27,0))</f>
        <v/>
      </c>
      <c r="BF155" s="96" t="str">
        <f aca="false">IF($BR155&lt;&gt;Constants!$B$8,"",IF($AL155,($AI155-Constants!$B$29)*Constants!$B$28,0))</f>
        <v/>
      </c>
      <c r="BG155" s="96" t="str">
        <f aca="false">IF($BR155&lt;&gt;Constants!$B$8,"",IF($AK155,0,Constants!$B$15)+IF($AJ155,0,Constants!$B$16)+IF($AH155,0,Constants!$B$17))</f>
        <v/>
      </c>
      <c r="BH155" s="97" t="str">
        <f aca="false">IF($BR155&lt;&gt;Constants!$B$8,"",Constants!$B$20+SUM($BC155:$BG155))</f>
        <v/>
      </c>
      <c r="BI155" s="92" t="str">
        <f aca="false">IF($BR155&lt;&gt;Constants!$B$8,"",IF(OR($BP155&lt;$BH155,AND($BP155=$BH155,OR($BK155&lt;$BC155,AND($BK155=$BC155,OR($BL155&lt;$BD155,AND($BL155=$BD155,$AT155,$AL155,$AV155&lt;$AN155)))))),"-&gt;","&lt;-"))</f>
        <v/>
      </c>
      <c r="BJ155" s="91" t="str">
        <f aca="false">IF(ISBLANK($C155),"",AND($AT155,OR($AU155="",$AV155="",AND($AW155,$AX155=""))))</f>
        <v/>
      </c>
      <c r="BK155" s="93" t="str">
        <f aca="false">IF($BR155&lt;&gt;Constants!$B$8,"",IF($AT155,Constants!$B$21*$AV155+Constants!$B$22*IF($AW155,$AX155,Constants!$B$23),Constants!$B$24))</f>
        <v/>
      </c>
      <c r="BL155" s="96" t="str">
        <f aca="false">IF($BR155&lt;&gt;Constants!$B$8,"",Constants!$B$25*ABS($AD$9-IF($AT155,$AU155,0)))</f>
        <v/>
      </c>
      <c r="BM155" s="96" t="str">
        <f aca="false">IF($BR155&lt;&gt;Constants!$B$8,"",IF(AND($AT155,$AY155,$AW155),Constants!$B$27,0))</f>
        <v/>
      </c>
      <c r="BN155" s="96" t="str">
        <f aca="false">IF($BR155&lt;&gt;Constants!$B$8,"",IF($AT155,($AI155-Constants!$B$29)*Constants!$B$28,0))</f>
        <v/>
      </c>
      <c r="BO155" s="96" t="str">
        <f aca="false">IF($BR155&lt;&gt;Constants!$B$8,"",IF($AS155,0,Constants!$B$15)+IF($AR155,0,Constants!$B$16)+IF($AH155,0,Constants!$B$17))</f>
        <v/>
      </c>
      <c r="BP155" s="97" t="str">
        <f aca="false">IF($BR155&lt;&gt;Constants!$B$8,"",Constants!$B$20+SUM($BK155:$BO155))</f>
        <v/>
      </c>
      <c r="BQ155" s="92" t="str">
        <f aca="false">IF(ISBLANK($C155),"",IF(ISBLANK($D$7),$BQ$5,IF(NOT(ISNUMBER($D$7)),$BQ$6,"")))</f>
        <v/>
      </c>
      <c r="BR155" s="92" t="str">
        <f aca="false">IF(ISBLANK($C155),"",IF($BA155,Constants!$B$11,IF(COUNTA($E155:$AA155)=0,Constants!$B$10,IF(NOT($AG155),Constants!$B$9,IF(OR($BQ155&lt;&gt;"",$BB155,$BJ155),Constants!$B$12,Constants!$B$8)))))</f>
        <v/>
      </c>
      <c r="BS155" s="92" t="str">
        <f aca="false">IF(ISBLANK($C155),"",IF($BR155&lt;&gt;Constants!$B$8,$BR155,Constants!$B$13))</f>
        <v/>
      </c>
      <c r="BT155" s="96" t="str">
        <f aca="false">IF($BR155&lt;&gt;Constants!$B$8,"",IF($BI155="-&gt;",$BP155,$BH155))</f>
        <v/>
      </c>
      <c r="BU155" s="96" t="str">
        <f aca="false">IF($BR155&lt;&gt;Constants!$B$8,"",IF($AF155,0,Constants!$B$18))</f>
        <v/>
      </c>
      <c r="BV155" s="96" t="str">
        <f aca="false">IF($BR155&lt;&gt;Constants!$B$8,"",((Constants!$B$31-$AZ155)-Constants!$B$31)/Constants!$B$32)</f>
        <v/>
      </c>
      <c r="BW155" s="96" t="str">
        <f aca="false">IF(ISBLANK($C155),"",IF($BR155&lt;&gt;Constants!$B$8,$BR155,SUM($BT155:$BV155)))</f>
        <v/>
      </c>
      <c r="BX155" s="92" t="str">
        <f aca="false">IF(ISBLANK($C155),"",IF($BR155&lt;&gt;Constants!$B$8,$BR155,RANK($BW155,$BW$9:$BW$508,1)))</f>
        <v/>
      </c>
      <c r="BY155" s="96" t="str">
        <f aca="false">IF($BR155&lt;&gt;Constants!$B$8,"",IF($BI155="-&gt;",$BK155,$BC155))</f>
        <v/>
      </c>
      <c r="BZ155" s="92" t="str">
        <f aca="false">IF(ISBLANK($C155),"",IF($BR155&lt;&gt;Constants!$B$8,$BR155,IF(ISNUMBER($BY155),RANK($BY155,$BY$9:$BY$508,1),COUNT($BY$9:$BY$508)+1)))</f>
        <v/>
      </c>
      <c r="CA155" s="96" t="str">
        <f aca="false">IF($BR155&lt;&gt;Constants!$B$8,"",IF($BI155="-&gt;",$BL155,$BD155))</f>
        <v/>
      </c>
      <c r="CB155" s="92" t="str">
        <f aca="false">IF(ISBLANK($C155),"",IF($BR155&lt;&gt;Constants!$B$8,$BR155,IF(ISNUMBER($CA155),RANK($CA155,$CA$9:$CA$508,1),COUNT($CA$9:$CA$508)+1)))</f>
        <v/>
      </c>
      <c r="CC155" s="96" t="str">
        <f aca="false">IF($BR155&lt;&gt;Constants!$B$8,"",IF($BI155="-&gt;",IF($AT155,$AV155,""),IF($AL155,$AN155,"")))</f>
        <v/>
      </c>
      <c r="CD155" s="92" t="str">
        <f aca="false">IF(ISBLANK($C155),"",IF($BR155&lt;&gt;Constants!$B$8,$BR155,IF(ISNUMBER($CC155),RANK($CC155,$CC$9:$CC$508,1),COUNT($CC$9:$CC$508)+1)))</f>
        <v/>
      </c>
      <c r="CE155" s="96" t="str">
        <f aca="false">IF($BR155&lt;&gt;Constants!$B$8,"",IF(AND(NOT($AL155),NOT($AT155),$AJ155,$AK155,$AR155,$AS155),"",$AI155))</f>
        <v/>
      </c>
      <c r="CF155" s="92" t="str">
        <f aca="false">IF(ISBLANK($C155),"",IF($BR155&lt;&gt;Constants!$B$8,$BR155,IF(ISNUMBER($CE155),RANK($CE155,$CE$9:$CE$508,1),COUNT($CE$9:$CE$508)+1)))</f>
        <v/>
      </c>
      <c r="CG155" s="92" t="str">
        <f aca="false">IF(ISBLANK($C155),"",IF($BR155&lt;&gt;Constants!$B$8,$BR155,COUNTIFS($BX$9:$BX$508,"&lt;"&amp;$BX155)+COUNTIFS($BX$9:$BX$508,$BX155,$BZ$9:$BZ$508,"&lt;"&amp;$BZ155)+COUNTIFS($BX$9:$BX$508,$BX155,$BZ$9:$BZ$508,$BZ155,$CB$9:$CB$508,"&lt;"&amp;$CB155)+COUNTIFS($BX$9:$BX$508,$BX155,$BZ$9:$BZ$508,$BZ155,$CB$9:$CB$508,$CB155,$CD$9:$CD$508,"&lt;"&amp;$CD155)+COUNTIFS($BX$9:$BX$508,$BX155,$BZ$9:$BZ$508,$BZ155,$CB$9:$CB$508,$CB155,$CD$9:$CD$508,$CD155,$CF$9:$CF$508,"&lt;"&amp;$CF155)+1))</f>
        <v/>
      </c>
      <c r="CH155" s="92" t="str">
        <f aca="false">IF(ISBLANK($C155),"",IF($BR155&lt;&gt;Constants!$B$8,$BR155,$BX155-$CG155))</f>
        <v/>
      </c>
      <c r="CI155" s="98"/>
      <c r="CJ155" s="99"/>
      <c r="CK155" s="100" t="str">
        <f aca="false">IF(ISBLANK($C155),"",IF($BR155=Constants!$B$12,$BQ155,""))</f>
        <v/>
      </c>
      <c r="CL155" s="99" t="str">
        <f aca="false">IF(ISBLANK($C155),"",IF($BR155&lt;&gt;Constants!$B$8,"",IF($BI155="-&gt;",2,1)))</f>
        <v/>
      </c>
      <c r="CM155" s="101" t="str">
        <f aca="false">IF(ISBLANK($C155),"",IF($BR155&lt;&gt;Constants!$B$8,"",IF($BI155="-&gt;",$BK155,$BC155)))</f>
        <v/>
      </c>
      <c r="CN155" s="101" t="str">
        <f aca="false">IF(ISBLANK($C155),"",IF($BR155&lt;&gt;Constants!$B$8,"",IF($BI155="-&gt;",$BL155,$BD155)))</f>
        <v/>
      </c>
      <c r="CO155" s="101" t="str">
        <f aca="false">IF(ISBLANK($C155),"",IF($BR155&lt;&gt;Constants!$B$8,"",IF($BI155="-&gt;",$BM155+$BN155,$BE155+$BF155)+$BV155))</f>
        <v/>
      </c>
      <c r="CP155" s="101" t="str">
        <f aca="false">IF(ISBLANK($C155),"",IF($BR155&lt;&gt;Constants!$B$8,"",IF($BI155="-&gt;",$BO155,$BG155)+$BU155))</f>
        <v/>
      </c>
      <c r="CQ155" s="102" t="str">
        <f aca="false">IF(ISBLANK($C155),"",IF($BR155&lt;&gt;Constants!$B$8,$BR155,$BW155))</f>
        <v/>
      </c>
      <c r="CR155" s="103" t="str">
        <f aca="false">IF(ISBLANK($C155),"",$BS155)</f>
        <v/>
      </c>
      <c r="CS155" s="104" t="str">
        <f aca="false">IF(ISBLANK($C155),"",$CH155)</f>
        <v/>
      </c>
      <c r="CT155" s="104" t="str">
        <f aca="false">IF(ISBLANK($C155),"",$CG155)</f>
        <v/>
      </c>
      <c r="CU155" s="105" t="str">
        <f aca="false">IF(ISBLANK($C155),"",IFERROR(_xlfn.SWITCH($CT155,Constants!$B$11,COUNTA($C$9:$C$508)+2,Constants!$B$10,COUNTA($C$9:$C$508)+1,Constants!$B$9,COUNTA($C$9:$C$508)),$CT155))</f>
        <v/>
      </c>
      <c r="CV155" s="9"/>
      <c r="CW155" s="106" t="n">
        <f aca="false">IF(OR(ISNUMBER($CT155),$CT155=Constants!$B$11,$CT155=Constants!$B$9,$CT155=Constants!$B$10),1,0)</f>
        <v>0</v>
      </c>
      <c r="CX155" s="106" t="n">
        <v>147</v>
      </c>
      <c r="CY155" s="106" t="str">
        <f aca="false">IF(ISBLANK($C155),"",IF(ISNUMBER($CU155),$CU155+ROW($B155)/1000,""))</f>
        <v/>
      </c>
      <c r="CZ155" s="106" t="str">
        <f aca="false">IF(ISNUMBER($CY155),RANK($CY155,$CY$9:$CY$508,1),"")</f>
        <v/>
      </c>
      <c r="DA155" s="106" t="str">
        <f aca="false">IF(ISBLANK($C155),"",$B155)</f>
        <v/>
      </c>
      <c r="DB155" s="106" t="str">
        <f aca="false">IF(ISBLANK($C155),"",$C155)</f>
        <v/>
      </c>
      <c r="DC155" s="106" t="str">
        <f aca="false">IF(ISBLANK($C155),"",$D155)</f>
        <v/>
      </c>
      <c r="DD155" s="107" t="str">
        <f aca="false">$CR155</f>
        <v/>
      </c>
      <c r="DE155" s="108" t="str">
        <f aca="false">$CQ155</f>
        <v/>
      </c>
      <c r="DF155" s="106" t="str">
        <f aca="false">IF(ISBLANK($C155),"",$CT155)</f>
        <v/>
      </c>
      <c r="DG155" s="109" t="str">
        <f aca="false">IF($CX155&gt;$CW$8,"",VLOOKUP($CX155,$CZ$9:$DF$508,7,FALSE()))</f>
        <v/>
      </c>
      <c r="DH155" s="110" t="str">
        <f aca="false">IF($CX155&gt;$CW$8,"",VLOOKUP($CX155,$CZ$9:$DF$508,2,FALSE()))</f>
        <v/>
      </c>
      <c r="DI155" s="110" t="str">
        <f aca="false">IF($CX155&gt;$CW$8,"",VLOOKUP($CX155,$CZ$9:$DF$508,3,FALSE()))</f>
        <v/>
      </c>
      <c r="DJ155" s="110" t="str">
        <f aca="false">IF($CX155&gt;$CW$8,"",VLOOKUP($CX155,$CZ$9:$DF$508,4,FALSE()))</f>
        <v/>
      </c>
      <c r="DK155" s="110" t="str">
        <f aca="false">IF($CX155&gt;$CW$8,"",VLOOKUP($CX155,$CZ$9:$DF$508,5,FALSE()))</f>
        <v/>
      </c>
      <c r="DL155" s="111" t="str">
        <f aca="false">IF($CX155&gt;$CW$8,"",VLOOKUP($CX155,$CZ$9:$DF$508,6,FALSE()))</f>
        <v/>
      </c>
      <c r="DM155" s="75"/>
    </row>
    <row r="156" customFormat="false" ht="15.75" hidden="false" customHeight="false" outlineLevel="0" collapsed="false">
      <c r="A156" s="9"/>
      <c r="B156" s="157"/>
      <c r="C156" s="158"/>
      <c r="D156" s="159"/>
      <c r="E156" s="177"/>
      <c r="F156" s="161"/>
      <c r="G156" s="162"/>
      <c r="H156" s="162"/>
      <c r="I156" s="178"/>
      <c r="J156" s="165"/>
      <c r="K156" s="126"/>
      <c r="L156" s="127"/>
      <c r="M156" s="128"/>
      <c r="N156" s="165"/>
      <c r="O156" s="165"/>
      <c r="P156" s="177"/>
      <c r="Q156" s="165"/>
      <c r="R156" s="165"/>
      <c r="S156" s="126"/>
      <c r="T156" s="128"/>
      <c r="U156" s="128"/>
      <c r="V156" s="165"/>
      <c r="W156" s="165"/>
      <c r="X156" s="177"/>
      <c r="Y156" s="165"/>
      <c r="Z156" s="166"/>
      <c r="AA156" s="165"/>
      <c r="AB156" s="132"/>
      <c r="AC156" s="133"/>
      <c r="AD156" s="133"/>
      <c r="AE156" s="133"/>
      <c r="AF156" s="133" t="str">
        <f aca="false">IF(ISBLANK($C156),"",IF(E156=Constants!$B$3,TRUE(),IF(E156=Constants!$B$4,FALSE(),TRUE())))</f>
        <v/>
      </c>
      <c r="AG156" s="133" t="str">
        <f aca="false">IF(ISBLANK($C156),"",IF(F156=Constants!$B$3,TRUE(),IF(F156=Constants!$B$4,FALSE(),TRUE())))</f>
        <v/>
      </c>
      <c r="AH156" s="133" t="str">
        <f aca="false">IF(ISBLANK($C156),"",IF(G156=Constants!$B$3,TRUE(),IF(G156=Constants!$B$4,FALSE(),TRUE())))</f>
        <v/>
      </c>
      <c r="AI156" s="133" t="str">
        <f aca="false">IF(ISBLANK($C156),"",IF(AND(ISNUMBER(H156),H156&gt;=0),H156,Constants!$B$29))</f>
        <v/>
      </c>
      <c r="AJ156" s="133" t="str">
        <f aca="false">IF(ISBLANK($C156),"",IF(I156=Constants!$B$3,TRUE(),IF(I156=Constants!$B$4,FALSE(),TRUE())))</f>
        <v/>
      </c>
      <c r="AK156" s="133" t="str">
        <f aca="false">IF(ISBLANK($C156),"",IF(J156=Constants!$B$3,TRUE(),IF(J156=Constants!$B$4,FALSE(),TRUE())))</f>
        <v/>
      </c>
      <c r="AL156" s="133" t="str">
        <f aca="false">IF(ISBLANK($C156),"",IF(K156=Constants!$B$5,TRUE(),IF(K156=Constants!$B$6,FALSE(),COUNTA(L156:P156)&gt;0)))</f>
        <v/>
      </c>
      <c r="AM156" s="134" t="str">
        <f aca="false">IF(ISBLANK($C156),"",IF(ISNUMBER(L156),IF(L156&gt;=0,L156,""),""))</f>
        <v/>
      </c>
      <c r="AN156" s="135" t="str">
        <f aca="false">IF(ISBLANK($C156),"",IF(ISNUMBER(M156),IF(M156&gt;=0,M156,""),""))</f>
        <v/>
      </c>
      <c r="AO156" s="135" t="str">
        <f aca="false">IF(ISBLANK($C156),"",IF(N156=Constants!$B$3,TRUE(),IF(N156=Constants!$B$4,FALSE(),TRUE())))</f>
        <v/>
      </c>
      <c r="AP156" s="133" t="str">
        <f aca="false">IF(ISBLANK($C156),"",IF(ISNUMBER(O156),IF(O156&gt;=0,O156,""),""))</f>
        <v/>
      </c>
      <c r="AQ156" s="133" t="str">
        <f aca="false">IF(ISBLANK($C156),"",IF(P156=Constants!$B$3,TRUE(),IF(P156=Constants!$B$4,FALSE(),FALSE())))</f>
        <v/>
      </c>
      <c r="AR156" s="133" t="str">
        <f aca="false">IF(ISBLANK($C156),"",IF(Q156=Constants!$B$3,TRUE(),IF(Q156=Constants!$B$4,FALSE(),TRUE())))</f>
        <v/>
      </c>
      <c r="AS156" s="133" t="str">
        <f aca="false">IF(ISBLANK($C156),"",IF(R156=Constants!$B$3,TRUE(),IF(R156=Constants!$B$4,FALSE(),TRUE())))</f>
        <v/>
      </c>
      <c r="AT156" s="133" t="str">
        <f aca="false">IF(ISBLANK($C156),"",IF(S156=Constants!$B$5,TRUE(),IF(S156=Constants!$B$6,FALSE(),COUNTA(T156:X156)&gt;0)))</f>
        <v/>
      </c>
      <c r="AU156" s="134" t="str">
        <f aca="false">IF(ISBLANK($C156),"",IF(ISNUMBER(T156),IF(T156&gt;=0,T156,""),""))</f>
        <v/>
      </c>
      <c r="AV156" s="135" t="str">
        <f aca="false">IF(ISBLANK($C156),"",IF(ISNUMBER(U156),IF(U156&gt;=0,U156,""),""))</f>
        <v/>
      </c>
      <c r="AW156" s="135" t="str">
        <f aca="false">IF(ISBLANK($C156),"",IF(V156=Constants!$B$3,TRUE(),IF(V156=Constants!$B$4,FALSE(),TRUE())))</f>
        <v/>
      </c>
      <c r="AX156" s="133" t="str">
        <f aca="false">IF(ISBLANK($C156),"",IF(ISNUMBER(W156),IF(W156&gt;=0,W156,""),""))</f>
        <v/>
      </c>
      <c r="AY156" s="133" t="str">
        <f aca="false">IF(ISBLANK($C156),"",IF(X156=Constants!$B$3,TRUE(),IF(X156=Constants!$B$4,FALSE(),FALSE())))</f>
        <v/>
      </c>
      <c r="AZ156" s="133" t="str">
        <f aca="false">IF(ISBLANK($C156),"",MIN(Constants!$B$31,MAX(0,IF(ISNUMBER(Y156),Y156*60,0)+IF(ISNUMBER(Z156),Z156,0))))</f>
        <v/>
      </c>
      <c r="BA156" s="133" t="str">
        <f aca="false">IF(ISBLANK($C156),"",IF(AA156=Constants!$B$3,TRUE(),IF(AA156=Constants!$B$4,FALSE(),FALSE())))</f>
        <v/>
      </c>
      <c r="BB156" s="132" t="str">
        <f aca="false">IF(ISBLANK($C156),"",AND($AL156,OR($AM156="",$AN156="",AND($AO156,$AP156=""))))</f>
        <v/>
      </c>
      <c r="BC156" s="135" t="str">
        <f aca="false">IF($BR156&lt;&gt;Constants!$B$8,"",IF($AL156,Constants!$B$21*$AN156+Constants!$B$22*IF($AO156,$AP156,Constants!$B$23),Constants!$B$24))</f>
        <v/>
      </c>
      <c r="BD156" s="136" t="str">
        <f aca="false">IF($BR156&lt;&gt;Constants!$B$8,"",Constants!$B$25*ABS($AD$9-IF($AL156,$AM156,0)))</f>
        <v/>
      </c>
      <c r="BE156" s="136" t="str">
        <f aca="false">IF($BR156&lt;&gt;Constants!$B$8,"",IF(AND($AL156,$AQ156,$AO156),Constants!$B$27,0))</f>
        <v/>
      </c>
      <c r="BF156" s="136" t="str">
        <f aca="false">IF($BR156&lt;&gt;Constants!$B$8,"",IF($AL156,($AI156-Constants!$B$29)*Constants!$B$28,0))</f>
        <v/>
      </c>
      <c r="BG156" s="136" t="str">
        <f aca="false">IF($BR156&lt;&gt;Constants!$B$8,"",IF($AK156,0,Constants!$B$15)+IF($AJ156,0,Constants!$B$16)+IF($AH156,0,Constants!$B$17))</f>
        <v/>
      </c>
      <c r="BH156" s="137" t="str">
        <f aca="false">IF($BR156&lt;&gt;Constants!$B$8,"",Constants!$B$20+SUM($BC156:$BG156))</f>
        <v/>
      </c>
      <c r="BI156" s="133" t="str">
        <f aca="false">IF($BR156&lt;&gt;Constants!$B$8,"",IF(OR($BP156&lt;$BH156,AND($BP156=$BH156,OR($BK156&lt;$BC156,AND($BK156=$BC156,OR($BL156&lt;$BD156,AND($BL156=$BD156,$AT156,$AL156,$AV156&lt;$AN156)))))),"-&gt;","&lt;-"))</f>
        <v/>
      </c>
      <c r="BJ156" s="132" t="str">
        <f aca="false">IF(ISBLANK($C156),"",AND($AT156,OR($AU156="",$AV156="",AND($AW156,$AX156=""))))</f>
        <v/>
      </c>
      <c r="BK156" s="135" t="str">
        <f aca="false">IF($BR156&lt;&gt;Constants!$B$8,"",IF($AT156,Constants!$B$21*$AV156+Constants!$B$22*IF($AW156,$AX156,Constants!$B$23),Constants!$B$24))</f>
        <v/>
      </c>
      <c r="BL156" s="136" t="str">
        <f aca="false">IF($BR156&lt;&gt;Constants!$B$8,"",Constants!$B$25*ABS($AD$9-IF($AT156,$AU156,0)))</f>
        <v/>
      </c>
      <c r="BM156" s="136" t="str">
        <f aca="false">IF($BR156&lt;&gt;Constants!$B$8,"",IF(AND($AT156,$AY156,$AW156),Constants!$B$27,0))</f>
        <v/>
      </c>
      <c r="BN156" s="136" t="str">
        <f aca="false">IF($BR156&lt;&gt;Constants!$B$8,"",IF($AT156,($AI156-Constants!$B$29)*Constants!$B$28,0))</f>
        <v/>
      </c>
      <c r="BO156" s="136" t="str">
        <f aca="false">IF($BR156&lt;&gt;Constants!$B$8,"",IF($AS156,0,Constants!$B$15)+IF($AR156,0,Constants!$B$16)+IF($AH156,0,Constants!$B$17))</f>
        <v/>
      </c>
      <c r="BP156" s="137" t="str">
        <f aca="false">IF($BR156&lt;&gt;Constants!$B$8,"",Constants!$B$20+SUM($BK156:$BO156))</f>
        <v/>
      </c>
      <c r="BQ156" s="133" t="str">
        <f aca="false">IF(ISBLANK($C156),"",IF(ISBLANK($D$7),$BQ$5,IF(NOT(ISNUMBER($D$7)),$BQ$6,"")))</f>
        <v/>
      </c>
      <c r="BR156" s="133" t="str">
        <f aca="false">IF(ISBLANK($C156),"",IF($BA156,Constants!$B$11,IF(COUNTA($E156:$AA156)=0,Constants!$B$10,IF(NOT($AG156),Constants!$B$9,IF(OR($BQ156&lt;&gt;"",$BB156,$BJ156),Constants!$B$12,Constants!$B$8)))))</f>
        <v/>
      </c>
      <c r="BS156" s="133" t="str">
        <f aca="false">IF(ISBLANK($C156),"",IF($BR156&lt;&gt;Constants!$B$8,$BR156,Constants!$B$13))</f>
        <v/>
      </c>
      <c r="BT156" s="136" t="str">
        <f aca="false">IF($BR156&lt;&gt;Constants!$B$8,"",IF($BI156="-&gt;",$BP156,$BH156))</f>
        <v/>
      </c>
      <c r="BU156" s="136" t="str">
        <f aca="false">IF($BR156&lt;&gt;Constants!$B$8,"",IF($AF156,0,Constants!$B$18))</f>
        <v/>
      </c>
      <c r="BV156" s="136" t="str">
        <f aca="false">IF($BR156&lt;&gt;Constants!$B$8,"",((Constants!$B$31-$AZ156)-Constants!$B$31)/Constants!$B$32)</f>
        <v/>
      </c>
      <c r="BW156" s="136" t="str">
        <f aca="false">IF(ISBLANK($C156),"",IF($BR156&lt;&gt;Constants!$B$8,$BR156,SUM($BT156:$BV156)))</f>
        <v/>
      </c>
      <c r="BX156" s="133" t="str">
        <f aca="false">IF(ISBLANK($C156),"",IF($BR156&lt;&gt;Constants!$B$8,$BR156,RANK($BW156,$BW$9:$BW$508,1)))</f>
        <v/>
      </c>
      <c r="BY156" s="136" t="str">
        <f aca="false">IF($BR156&lt;&gt;Constants!$B$8,"",IF($BI156="-&gt;",$BK156,$BC156))</f>
        <v/>
      </c>
      <c r="BZ156" s="133" t="str">
        <f aca="false">IF(ISBLANK($C156),"",IF($BR156&lt;&gt;Constants!$B$8,$BR156,IF(ISNUMBER($BY156),RANK($BY156,$BY$9:$BY$508,1),COUNT($BY$9:$BY$508)+1)))</f>
        <v/>
      </c>
      <c r="CA156" s="136" t="str">
        <f aca="false">IF($BR156&lt;&gt;Constants!$B$8,"",IF($BI156="-&gt;",$BL156,$BD156))</f>
        <v/>
      </c>
      <c r="CB156" s="133" t="str">
        <f aca="false">IF(ISBLANK($C156),"",IF($BR156&lt;&gt;Constants!$B$8,$BR156,IF(ISNUMBER($CA156),RANK($CA156,$CA$9:$CA$508,1),COUNT($CA$9:$CA$508)+1)))</f>
        <v/>
      </c>
      <c r="CC156" s="136" t="str">
        <f aca="false">IF($BR156&lt;&gt;Constants!$B$8,"",IF($BI156="-&gt;",IF($AT156,$AV156,""),IF($AL156,$AN156,"")))</f>
        <v/>
      </c>
      <c r="CD156" s="133" t="str">
        <f aca="false">IF(ISBLANK($C156),"",IF($BR156&lt;&gt;Constants!$B$8,$BR156,IF(ISNUMBER($CC156),RANK($CC156,$CC$9:$CC$508,1),COUNT($CC$9:$CC$508)+1)))</f>
        <v/>
      </c>
      <c r="CE156" s="136" t="str">
        <f aca="false">IF($BR156&lt;&gt;Constants!$B$8,"",IF(AND(NOT($AL156),NOT($AT156),$AJ156,$AK156,$AR156,$AS156),"",$AI156))</f>
        <v/>
      </c>
      <c r="CF156" s="133" t="str">
        <f aca="false">IF(ISBLANK($C156),"",IF($BR156&lt;&gt;Constants!$B$8,$BR156,IF(ISNUMBER($CE156),RANK($CE156,$CE$9:$CE$508,1),COUNT($CE$9:$CE$508)+1)))</f>
        <v/>
      </c>
      <c r="CG156" s="133" t="str">
        <f aca="false">IF(ISBLANK($C156),"",IF($BR156&lt;&gt;Constants!$B$8,$BR156,COUNTIFS($BX$9:$BX$508,"&lt;"&amp;$BX156)+COUNTIFS($BX$9:$BX$508,$BX156,$BZ$9:$BZ$508,"&lt;"&amp;$BZ156)+COUNTIFS($BX$9:$BX$508,$BX156,$BZ$9:$BZ$508,$BZ156,$CB$9:$CB$508,"&lt;"&amp;$CB156)+COUNTIFS($BX$9:$BX$508,$BX156,$BZ$9:$BZ$508,$BZ156,$CB$9:$CB$508,$CB156,$CD$9:$CD$508,"&lt;"&amp;$CD156)+COUNTIFS($BX$9:$BX$508,$BX156,$BZ$9:$BZ$508,$BZ156,$CB$9:$CB$508,$CB156,$CD$9:$CD$508,$CD156,$CF$9:$CF$508,"&lt;"&amp;$CF156)+1))</f>
        <v/>
      </c>
      <c r="CH156" s="133" t="str">
        <f aca="false">IF(ISBLANK($C156),"",IF($BR156&lt;&gt;Constants!$B$8,$BR156,$BX156-$CG156))</f>
        <v/>
      </c>
      <c r="CI156" s="138"/>
      <c r="CJ156" s="139"/>
      <c r="CK156" s="140" t="str">
        <f aca="false">IF(ISBLANK($C156),"",IF($BR156=Constants!$B$12,$BQ156,""))</f>
        <v/>
      </c>
      <c r="CL156" s="139" t="str">
        <f aca="false">IF(ISBLANK($C156),"",IF($BR156&lt;&gt;Constants!$B$8,"",IF($BI156="-&gt;",2,1)))</f>
        <v/>
      </c>
      <c r="CM156" s="141" t="str">
        <f aca="false">IF(ISBLANK($C156),"",IF($BR156&lt;&gt;Constants!$B$8,"",IF($BI156="-&gt;",$BK156,$BC156)))</f>
        <v/>
      </c>
      <c r="CN156" s="141" t="str">
        <f aca="false">IF(ISBLANK($C156),"",IF($BR156&lt;&gt;Constants!$B$8,"",IF($BI156="-&gt;",$BL156,$BD156)))</f>
        <v/>
      </c>
      <c r="CO156" s="141" t="str">
        <f aca="false">IF(ISBLANK($C156),"",IF($BR156&lt;&gt;Constants!$B$8,"",IF($BI156="-&gt;",$BM156+$BN156,$BE156+$BF156)+$BV156))</f>
        <v/>
      </c>
      <c r="CP156" s="141" t="str">
        <f aca="false">IF(ISBLANK($C156),"",IF($BR156&lt;&gt;Constants!$B$8,"",IF($BI156="-&gt;",$BO156,$BG156)+$BU156))</f>
        <v/>
      </c>
      <c r="CQ156" s="142" t="str">
        <f aca="false">IF(ISBLANK($C156),"",IF($BR156&lt;&gt;Constants!$B$8,$BR156,$BW156))</f>
        <v/>
      </c>
      <c r="CR156" s="143" t="str">
        <f aca="false">IF(ISBLANK($C156),"",$BS156)</f>
        <v/>
      </c>
      <c r="CS156" s="144" t="str">
        <f aca="false">IF(ISBLANK($C156),"",$CH156)</f>
        <v/>
      </c>
      <c r="CT156" s="144" t="str">
        <f aca="false">IF(ISBLANK($C156),"",$CG156)</f>
        <v/>
      </c>
      <c r="CU156" s="145" t="str">
        <f aca="false">IF(ISBLANK($C156),"",IFERROR(_xlfn.SWITCH($CT156,Constants!$B$11,COUNTA($C$9:$C$508)+2,Constants!$B$10,COUNTA($C$9:$C$508)+1,Constants!$B$9,COUNTA($C$9:$C$508)),$CT156))</f>
        <v/>
      </c>
      <c r="CV156" s="9"/>
      <c r="CW156" s="146" t="n">
        <f aca="false">IF(OR(ISNUMBER($CT156),$CT156=Constants!$B$11,$CT156=Constants!$B$9,$CT156=Constants!$B$10),1,0)</f>
        <v>0</v>
      </c>
      <c r="CX156" s="146" t="n">
        <v>148</v>
      </c>
      <c r="CY156" s="146" t="str">
        <f aca="false">IF(ISBLANK($C156),"",IF(ISNUMBER($CU156),$CU156+ROW($B156)/1000,""))</f>
        <v/>
      </c>
      <c r="CZ156" s="146" t="str">
        <f aca="false">IF(ISNUMBER($CY156),RANK($CY156,$CY$9:$CY$508,1),"")</f>
        <v/>
      </c>
      <c r="DA156" s="146" t="str">
        <f aca="false">IF(ISBLANK($C156),"",$B156)</f>
        <v/>
      </c>
      <c r="DB156" s="146" t="str">
        <f aca="false">IF(ISBLANK($C156),"",$C156)</f>
        <v/>
      </c>
      <c r="DC156" s="146" t="str">
        <f aca="false">IF(ISBLANK($C156),"",$D156)</f>
        <v/>
      </c>
      <c r="DD156" s="147" t="str">
        <f aca="false">$CR156</f>
        <v/>
      </c>
      <c r="DE156" s="148" t="str">
        <f aca="false">$CQ156</f>
        <v/>
      </c>
      <c r="DF156" s="146" t="str">
        <f aca="false">IF(ISBLANK($C156),"",$CT156)</f>
        <v/>
      </c>
      <c r="DG156" s="149" t="str">
        <f aca="false">IF($CX156&gt;$CW$8,"",VLOOKUP($CX156,$CZ$9:$DF$508,7,FALSE()))</f>
        <v/>
      </c>
      <c r="DH156" s="150" t="str">
        <f aca="false">IF($CX156&gt;$CW$8,"",VLOOKUP($CX156,$CZ$9:$DF$508,2,FALSE()))</f>
        <v/>
      </c>
      <c r="DI156" s="150" t="str">
        <f aca="false">IF($CX156&gt;$CW$8,"",VLOOKUP($CX156,$CZ$9:$DF$508,3,FALSE()))</f>
        <v/>
      </c>
      <c r="DJ156" s="150" t="str">
        <f aca="false">IF($CX156&gt;$CW$8,"",VLOOKUP($CX156,$CZ$9:$DF$508,4,FALSE()))</f>
        <v/>
      </c>
      <c r="DK156" s="150" t="str">
        <f aca="false">IF($CX156&gt;$CW$8,"",VLOOKUP($CX156,$CZ$9:$DF$508,5,FALSE()))</f>
        <v/>
      </c>
      <c r="DL156" s="151" t="str">
        <f aca="false">IF($CX156&gt;$CW$8,"",VLOOKUP($CX156,$CZ$9:$DF$508,6,FALSE()))</f>
        <v/>
      </c>
      <c r="DM156" s="75"/>
    </row>
    <row r="157" customFormat="false" ht="15.75" hidden="false" customHeight="false" outlineLevel="0" collapsed="false">
      <c r="A157" s="9"/>
      <c r="B157" s="157"/>
      <c r="C157" s="158"/>
      <c r="D157" s="159"/>
      <c r="E157" s="177"/>
      <c r="F157" s="161"/>
      <c r="G157" s="162"/>
      <c r="H157" s="162"/>
      <c r="I157" s="178"/>
      <c r="J157" s="165"/>
      <c r="K157" s="126"/>
      <c r="L157" s="127"/>
      <c r="M157" s="128"/>
      <c r="N157" s="165"/>
      <c r="O157" s="165"/>
      <c r="P157" s="177"/>
      <c r="Q157" s="165"/>
      <c r="R157" s="165"/>
      <c r="S157" s="126"/>
      <c r="T157" s="128"/>
      <c r="U157" s="128"/>
      <c r="V157" s="165"/>
      <c r="W157" s="165"/>
      <c r="X157" s="177"/>
      <c r="Y157" s="165"/>
      <c r="Z157" s="166"/>
      <c r="AA157" s="165"/>
      <c r="AB157" s="132"/>
      <c r="AC157" s="133"/>
      <c r="AD157" s="133"/>
      <c r="AE157" s="133"/>
      <c r="AF157" s="133" t="str">
        <f aca="false">IF(ISBLANK($C157),"",IF(E157=Constants!$B$3,TRUE(),IF(E157=Constants!$B$4,FALSE(),TRUE())))</f>
        <v/>
      </c>
      <c r="AG157" s="133" t="str">
        <f aca="false">IF(ISBLANK($C157),"",IF(F157=Constants!$B$3,TRUE(),IF(F157=Constants!$B$4,FALSE(),TRUE())))</f>
        <v/>
      </c>
      <c r="AH157" s="133" t="str">
        <f aca="false">IF(ISBLANK($C157),"",IF(G157=Constants!$B$3,TRUE(),IF(G157=Constants!$B$4,FALSE(),TRUE())))</f>
        <v/>
      </c>
      <c r="AI157" s="133" t="str">
        <f aca="false">IF(ISBLANK($C157),"",IF(AND(ISNUMBER(H157),H157&gt;=0),H157,Constants!$B$29))</f>
        <v/>
      </c>
      <c r="AJ157" s="133" t="str">
        <f aca="false">IF(ISBLANK($C157),"",IF(I157=Constants!$B$3,TRUE(),IF(I157=Constants!$B$4,FALSE(),TRUE())))</f>
        <v/>
      </c>
      <c r="AK157" s="133" t="str">
        <f aca="false">IF(ISBLANK($C157),"",IF(J157=Constants!$B$3,TRUE(),IF(J157=Constants!$B$4,FALSE(),TRUE())))</f>
        <v/>
      </c>
      <c r="AL157" s="133" t="str">
        <f aca="false">IF(ISBLANK($C157),"",IF(K157=Constants!$B$5,TRUE(),IF(K157=Constants!$B$6,FALSE(),COUNTA(L157:P157)&gt;0)))</f>
        <v/>
      </c>
      <c r="AM157" s="134" t="str">
        <f aca="false">IF(ISBLANK($C157),"",IF(ISNUMBER(L157),IF(L157&gt;=0,L157,""),""))</f>
        <v/>
      </c>
      <c r="AN157" s="135" t="str">
        <f aca="false">IF(ISBLANK($C157),"",IF(ISNUMBER(M157),IF(M157&gt;=0,M157,""),""))</f>
        <v/>
      </c>
      <c r="AO157" s="135" t="str">
        <f aca="false">IF(ISBLANK($C157),"",IF(N157=Constants!$B$3,TRUE(),IF(N157=Constants!$B$4,FALSE(),TRUE())))</f>
        <v/>
      </c>
      <c r="AP157" s="133" t="str">
        <f aca="false">IF(ISBLANK($C157),"",IF(ISNUMBER(O157),IF(O157&gt;=0,O157,""),""))</f>
        <v/>
      </c>
      <c r="AQ157" s="133" t="str">
        <f aca="false">IF(ISBLANK($C157),"",IF(P157=Constants!$B$3,TRUE(),IF(P157=Constants!$B$4,FALSE(),FALSE())))</f>
        <v/>
      </c>
      <c r="AR157" s="133" t="str">
        <f aca="false">IF(ISBLANK($C157),"",IF(Q157=Constants!$B$3,TRUE(),IF(Q157=Constants!$B$4,FALSE(),TRUE())))</f>
        <v/>
      </c>
      <c r="AS157" s="133" t="str">
        <f aca="false">IF(ISBLANK($C157),"",IF(R157=Constants!$B$3,TRUE(),IF(R157=Constants!$B$4,FALSE(),TRUE())))</f>
        <v/>
      </c>
      <c r="AT157" s="133" t="str">
        <f aca="false">IF(ISBLANK($C157),"",IF(S157=Constants!$B$5,TRUE(),IF(S157=Constants!$B$6,FALSE(),COUNTA(T157:X157)&gt;0)))</f>
        <v/>
      </c>
      <c r="AU157" s="134" t="str">
        <f aca="false">IF(ISBLANK($C157),"",IF(ISNUMBER(T157),IF(T157&gt;=0,T157,""),""))</f>
        <v/>
      </c>
      <c r="AV157" s="135" t="str">
        <f aca="false">IF(ISBLANK($C157),"",IF(ISNUMBER(U157),IF(U157&gt;=0,U157,""),""))</f>
        <v/>
      </c>
      <c r="AW157" s="135" t="str">
        <f aca="false">IF(ISBLANK($C157),"",IF(V157=Constants!$B$3,TRUE(),IF(V157=Constants!$B$4,FALSE(),TRUE())))</f>
        <v/>
      </c>
      <c r="AX157" s="133" t="str">
        <f aca="false">IF(ISBLANK($C157),"",IF(ISNUMBER(W157),IF(W157&gt;=0,W157,""),""))</f>
        <v/>
      </c>
      <c r="AY157" s="133" t="str">
        <f aca="false">IF(ISBLANK($C157),"",IF(X157=Constants!$B$3,TRUE(),IF(X157=Constants!$B$4,FALSE(),FALSE())))</f>
        <v/>
      </c>
      <c r="AZ157" s="133" t="str">
        <f aca="false">IF(ISBLANK($C157),"",MIN(Constants!$B$31,MAX(0,IF(ISNUMBER(Y157),Y157*60,0)+IF(ISNUMBER(Z157),Z157,0))))</f>
        <v/>
      </c>
      <c r="BA157" s="133" t="str">
        <f aca="false">IF(ISBLANK($C157),"",IF(AA157=Constants!$B$3,TRUE(),IF(AA157=Constants!$B$4,FALSE(),FALSE())))</f>
        <v/>
      </c>
      <c r="BB157" s="132" t="str">
        <f aca="false">IF(ISBLANK($C157),"",AND($AL157,OR($AM157="",$AN157="",AND($AO157,$AP157=""))))</f>
        <v/>
      </c>
      <c r="BC157" s="135" t="str">
        <f aca="false">IF($BR157&lt;&gt;Constants!$B$8,"",IF($AL157,Constants!$B$21*$AN157+Constants!$B$22*IF($AO157,$AP157,Constants!$B$23),Constants!$B$24))</f>
        <v/>
      </c>
      <c r="BD157" s="136" t="str">
        <f aca="false">IF($BR157&lt;&gt;Constants!$B$8,"",Constants!$B$25*ABS($AD$9-IF($AL157,$AM157,0)))</f>
        <v/>
      </c>
      <c r="BE157" s="136" t="str">
        <f aca="false">IF($BR157&lt;&gt;Constants!$B$8,"",IF(AND($AL157,$AQ157,$AO157),Constants!$B$27,0))</f>
        <v/>
      </c>
      <c r="BF157" s="136" t="str">
        <f aca="false">IF($BR157&lt;&gt;Constants!$B$8,"",IF($AL157,($AI157-Constants!$B$29)*Constants!$B$28,0))</f>
        <v/>
      </c>
      <c r="BG157" s="136" t="str">
        <f aca="false">IF($BR157&lt;&gt;Constants!$B$8,"",IF($AK157,0,Constants!$B$15)+IF($AJ157,0,Constants!$B$16)+IF($AH157,0,Constants!$B$17))</f>
        <v/>
      </c>
      <c r="BH157" s="137" t="str">
        <f aca="false">IF($BR157&lt;&gt;Constants!$B$8,"",Constants!$B$20+SUM($BC157:$BG157))</f>
        <v/>
      </c>
      <c r="BI157" s="133" t="str">
        <f aca="false">IF($BR157&lt;&gt;Constants!$B$8,"",IF(OR($BP157&lt;$BH157,AND($BP157=$BH157,OR($BK157&lt;$BC157,AND($BK157=$BC157,OR($BL157&lt;$BD157,AND($BL157=$BD157,$AT157,$AL157,$AV157&lt;$AN157)))))),"-&gt;","&lt;-"))</f>
        <v/>
      </c>
      <c r="BJ157" s="132" t="str">
        <f aca="false">IF(ISBLANK($C157),"",AND($AT157,OR($AU157="",$AV157="",AND($AW157,$AX157=""))))</f>
        <v/>
      </c>
      <c r="BK157" s="135" t="str">
        <f aca="false">IF($BR157&lt;&gt;Constants!$B$8,"",IF($AT157,Constants!$B$21*$AV157+Constants!$B$22*IF($AW157,$AX157,Constants!$B$23),Constants!$B$24))</f>
        <v/>
      </c>
      <c r="BL157" s="136" t="str">
        <f aca="false">IF($BR157&lt;&gt;Constants!$B$8,"",Constants!$B$25*ABS($AD$9-IF($AT157,$AU157,0)))</f>
        <v/>
      </c>
      <c r="BM157" s="136" t="str">
        <f aca="false">IF($BR157&lt;&gt;Constants!$B$8,"",IF(AND($AT157,$AY157,$AW157),Constants!$B$27,0))</f>
        <v/>
      </c>
      <c r="BN157" s="136" t="str">
        <f aca="false">IF($BR157&lt;&gt;Constants!$B$8,"",IF($AT157,($AI157-Constants!$B$29)*Constants!$B$28,0))</f>
        <v/>
      </c>
      <c r="BO157" s="136" t="str">
        <f aca="false">IF($BR157&lt;&gt;Constants!$B$8,"",IF($AS157,0,Constants!$B$15)+IF($AR157,0,Constants!$B$16)+IF($AH157,0,Constants!$B$17))</f>
        <v/>
      </c>
      <c r="BP157" s="137" t="str">
        <f aca="false">IF($BR157&lt;&gt;Constants!$B$8,"",Constants!$B$20+SUM($BK157:$BO157))</f>
        <v/>
      </c>
      <c r="BQ157" s="133" t="str">
        <f aca="false">IF(ISBLANK($C157),"",IF(ISBLANK($D$7),$BQ$5,IF(NOT(ISNUMBER($D$7)),$BQ$6,"")))</f>
        <v/>
      </c>
      <c r="BR157" s="133" t="str">
        <f aca="false">IF(ISBLANK($C157),"",IF($BA157,Constants!$B$11,IF(COUNTA($E157:$AA157)=0,Constants!$B$10,IF(NOT($AG157),Constants!$B$9,IF(OR($BQ157&lt;&gt;"",$BB157,$BJ157),Constants!$B$12,Constants!$B$8)))))</f>
        <v/>
      </c>
      <c r="BS157" s="133" t="str">
        <f aca="false">IF(ISBLANK($C157),"",IF($BR157&lt;&gt;Constants!$B$8,$BR157,Constants!$B$13))</f>
        <v/>
      </c>
      <c r="BT157" s="136" t="str">
        <f aca="false">IF($BR157&lt;&gt;Constants!$B$8,"",IF($BI157="-&gt;",$BP157,$BH157))</f>
        <v/>
      </c>
      <c r="BU157" s="136" t="str">
        <f aca="false">IF($BR157&lt;&gt;Constants!$B$8,"",IF($AF157,0,Constants!$B$18))</f>
        <v/>
      </c>
      <c r="BV157" s="136" t="str">
        <f aca="false">IF($BR157&lt;&gt;Constants!$B$8,"",((Constants!$B$31-$AZ157)-Constants!$B$31)/Constants!$B$32)</f>
        <v/>
      </c>
      <c r="BW157" s="136" t="str">
        <f aca="false">IF(ISBLANK($C157),"",IF($BR157&lt;&gt;Constants!$B$8,$BR157,SUM($BT157:$BV157)))</f>
        <v/>
      </c>
      <c r="BX157" s="133" t="str">
        <f aca="false">IF(ISBLANK($C157),"",IF($BR157&lt;&gt;Constants!$B$8,$BR157,RANK($BW157,$BW$9:$BW$508,1)))</f>
        <v/>
      </c>
      <c r="BY157" s="136" t="str">
        <f aca="false">IF($BR157&lt;&gt;Constants!$B$8,"",IF($BI157="-&gt;",$BK157,$BC157))</f>
        <v/>
      </c>
      <c r="BZ157" s="133" t="str">
        <f aca="false">IF(ISBLANK($C157),"",IF($BR157&lt;&gt;Constants!$B$8,$BR157,IF(ISNUMBER($BY157),RANK($BY157,$BY$9:$BY$508,1),COUNT($BY$9:$BY$508)+1)))</f>
        <v/>
      </c>
      <c r="CA157" s="136" t="str">
        <f aca="false">IF($BR157&lt;&gt;Constants!$B$8,"",IF($BI157="-&gt;",$BL157,$BD157))</f>
        <v/>
      </c>
      <c r="CB157" s="133" t="str">
        <f aca="false">IF(ISBLANK($C157),"",IF($BR157&lt;&gt;Constants!$B$8,$BR157,IF(ISNUMBER($CA157),RANK($CA157,$CA$9:$CA$508,1),COUNT($CA$9:$CA$508)+1)))</f>
        <v/>
      </c>
      <c r="CC157" s="136" t="str">
        <f aca="false">IF($BR157&lt;&gt;Constants!$B$8,"",IF($BI157="-&gt;",IF($AT157,$AV157,""),IF($AL157,$AN157,"")))</f>
        <v/>
      </c>
      <c r="CD157" s="133" t="str">
        <f aca="false">IF(ISBLANK($C157),"",IF($BR157&lt;&gt;Constants!$B$8,$BR157,IF(ISNUMBER($CC157),RANK($CC157,$CC$9:$CC$508,1),COUNT($CC$9:$CC$508)+1)))</f>
        <v/>
      </c>
      <c r="CE157" s="136" t="str">
        <f aca="false">IF($BR157&lt;&gt;Constants!$B$8,"",IF(AND(NOT($AL157),NOT($AT157),$AJ157,$AK157,$AR157,$AS157),"",$AI157))</f>
        <v/>
      </c>
      <c r="CF157" s="133" t="str">
        <f aca="false">IF(ISBLANK($C157),"",IF($BR157&lt;&gt;Constants!$B$8,$BR157,IF(ISNUMBER($CE157),RANK($CE157,$CE$9:$CE$508,1),COUNT($CE$9:$CE$508)+1)))</f>
        <v/>
      </c>
      <c r="CG157" s="133" t="str">
        <f aca="false">IF(ISBLANK($C157),"",IF($BR157&lt;&gt;Constants!$B$8,$BR157,COUNTIFS($BX$9:$BX$508,"&lt;"&amp;$BX157)+COUNTIFS($BX$9:$BX$508,$BX157,$BZ$9:$BZ$508,"&lt;"&amp;$BZ157)+COUNTIFS($BX$9:$BX$508,$BX157,$BZ$9:$BZ$508,$BZ157,$CB$9:$CB$508,"&lt;"&amp;$CB157)+COUNTIFS($BX$9:$BX$508,$BX157,$BZ$9:$BZ$508,$BZ157,$CB$9:$CB$508,$CB157,$CD$9:$CD$508,"&lt;"&amp;$CD157)+COUNTIFS($BX$9:$BX$508,$BX157,$BZ$9:$BZ$508,$BZ157,$CB$9:$CB$508,$CB157,$CD$9:$CD$508,$CD157,$CF$9:$CF$508,"&lt;"&amp;$CF157)+1))</f>
        <v/>
      </c>
      <c r="CH157" s="133" t="str">
        <f aca="false">IF(ISBLANK($C157),"",IF($BR157&lt;&gt;Constants!$B$8,$BR157,$BX157-$CG157))</f>
        <v/>
      </c>
      <c r="CI157" s="138"/>
      <c r="CJ157" s="139"/>
      <c r="CK157" s="140" t="str">
        <f aca="false">IF(ISBLANK($C157),"",IF($BR157=Constants!$B$12,$BQ157,""))</f>
        <v/>
      </c>
      <c r="CL157" s="139" t="str">
        <f aca="false">IF(ISBLANK($C157),"",IF($BR157&lt;&gt;Constants!$B$8,"",IF($BI157="-&gt;",2,1)))</f>
        <v/>
      </c>
      <c r="CM157" s="141" t="str">
        <f aca="false">IF(ISBLANK($C157),"",IF($BR157&lt;&gt;Constants!$B$8,"",IF($BI157="-&gt;",$BK157,$BC157)))</f>
        <v/>
      </c>
      <c r="CN157" s="141" t="str">
        <f aca="false">IF(ISBLANK($C157),"",IF($BR157&lt;&gt;Constants!$B$8,"",IF($BI157="-&gt;",$BL157,$BD157)))</f>
        <v/>
      </c>
      <c r="CO157" s="141" t="str">
        <f aca="false">IF(ISBLANK($C157),"",IF($BR157&lt;&gt;Constants!$B$8,"",IF($BI157="-&gt;",$BM157+$BN157,$BE157+$BF157)+$BV157))</f>
        <v/>
      </c>
      <c r="CP157" s="141" t="str">
        <f aca="false">IF(ISBLANK($C157),"",IF($BR157&lt;&gt;Constants!$B$8,"",IF($BI157="-&gt;",$BO157,$BG157)+$BU157))</f>
        <v/>
      </c>
      <c r="CQ157" s="142" t="str">
        <f aca="false">IF(ISBLANK($C157),"",IF($BR157&lt;&gt;Constants!$B$8,$BR157,$BW157))</f>
        <v/>
      </c>
      <c r="CR157" s="143" t="str">
        <f aca="false">IF(ISBLANK($C157),"",$BS157)</f>
        <v/>
      </c>
      <c r="CS157" s="144" t="str">
        <f aca="false">IF(ISBLANK($C157),"",$CH157)</f>
        <v/>
      </c>
      <c r="CT157" s="144" t="str">
        <f aca="false">IF(ISBLANK($C157),"",$CG157)</f>
        <v/>
      </c>
      <c r="CU157" s="145" t="str">
        <f aca="false">IF(ISBLANK($C157),"",IFERROR(_xlfn.SWITCH($CT157,Constants!$B$11,COUNTA($C$9:$C$508)+2,Constants!$B$10,COUNTA($C$9:$C$508)+1,Constants!$B$9,COUNTA($C$9:$C$508)),$CT157))</f>
        <v/>
      </c>
      <c r="CV157" s="9"/>
      <c r="CW157" s="146" t="n">
        <f aca="false">IF(OR(ISNUMBER($CT157),$CT157=Constants!$B$11,$CT157=Constants!$B$9,$CT157=Constants!$B$10),1,0)</f>
        <v>0</v>
      </c>
      <c r="CX157" s="146" t="n">
        <v>149</v>
      </c>
      <c r="CY157" s="146" t="str">
        <f aca="false">IF(ISBLANK($C157),"",IF(ISNUMBER($CU157),$CU157+ROW($B157)/1000,""))</f>
        <v/>
      </c>
      <c r="CZ157" s="146" t="str">
        <f aca="false">IF(ISNUMBER($CY157),RANK($CY157,$CY$9:$CY$508,1),"")</f>
        <v/>
      </c>
      <c r="DA157" s="146" t="str">
        <f aca="false">IF(ISBLANK($C157),"",$B157)</f>
        <v/>
      </c>
      <c r="DB157" s="146" t="str">
        <f aca="false">IF(ISBLANK($C157),"",$C157)</f>
        <v/>
      </c>
      <c r="DC157" s="146" t="str">
        <f aca="false">IF(ISBLANK($C157),"",$D157)</f>
        <v/>
      </c>
      <c r="DD157" s="147" t="str">
        <f aca="false">$CR157</f>
        <v/>
      </c>
      <c r="DE157" s="148" t="str">
        <f aca="false">$CQ157</f>
        <v/>
      </c>
      <c r="DF157" s="146" t="str">
        <f aca="false">IF(ISBLANK($C157),"",$CT157)</f>
        <v/>
      </c>
      <c r="DG157" s="149" t="str">
        <f aca="false">IF($CX157&gt;$CW$8,"",VLOOKUP($CX157,$CZ$9:$DF$508,7,FALSE()))</f>
        <v/>
      </c>
      <c r="DH157" s="150" t="str">
        <f aca="false">IF($CX157&gt;$CW$8,"",VLOOKUP($CX157,$CZ$9:$DF$508,2,FALSE()))</f>
        <v/>
      </c>
      <c r="DI157" s="150" t="str">
        <f aca="false">IF($CX157&gt;$CW$8,"",VLOOKUP($CX157,$CZ$9:$DF$508,3,FALSE()))</f>
        <v/>
      </c>
      <c r="DJ157" s="150" t="str">
        <f aca="false">IF($CX157&gt;$CW$8,"",VLOOKUP($CX157,$CZ$9:$DF$508,4,FALSE()))</f>
        <v/>
      </c>
      <c r="DK157" s="150" t="str">
        <f aca="false">IF($CX157&gt;$CW$8,"",VLOOKUP($CX157,$CZ$9:$DF$508,5,FALSE()))</f>
        <v/>
      </c>
      <c r="DL157" s="151" t="str">
        <f aca="false">IF($CX157&gt;$CW$8,"",VLOOKUP($CX157,$CZ$9:$DF$508,6,FALSE()))</f>
        <v/>
      </c>
      <c r="DM157" s="75"/>
    </row>
    <row r="158" customFormat="false" ht="15.75" hidden="false" customHeight="false" outlineLevel="0" collapsed="false">
      <c r="A158" s="9"/>
      <c r="B158" s="157"/>
      <c r="C158" s="158"/>
      <c r="D158" s="159"/>
      <c r="E158" s="177"/>
      <c r="F158" s="161"/>
      <c r="G158" s="162"/>
      <c r="H158" s="162"/>
      <c r="I158" s="178"/>
      <c r="J158" s="165"/>
      <c r="K158" s="126"/>
      <c r="L158" s="127"/>
      <c r="M158" s="128"/>
      <c r="N158" s="165"/>
      <c r="O158" s="165"/>
      <c r="P158" s="177"/>
      <c r="Q158" s="165"/>
      <c r="R158" s="165"/>
      <c r="S158" s="126"/>
      <c r="T158" s="128"/>
      <c r="U158" s="128"/>
      <c r="V158" s="165"/>
      <c r="W158" s="165"/>
      <c r="X158" s="177"/>
      <c r="Y158" s="165"/>
      <c r="Z158" s="166"/>
      <c r="AA158" s="165"/>
      <c r="AB158" s="132"/>
      <c r="AC158" s="133"/>
      <c r="AD158" s="133"/>
      <c r="AE158" s="133"/>
      <c r="AF158" s="133" t="str">
        <f aca="false">IF(ISBLANK($C158),"",IF(E158=Constants!$B$3,TRUE(),IF(E158=Constants!$B$4,FALSE(),TRUE())))</f>
        <v/>
      </c>
      <c r="AG158" s="133" t="str">
        <f aca="false">IF(ISBLANK($C158),"",IF(F158=Constants!$B$3,TRUE(),IF(F158=Constants!$B$4,FALSE(),TRUE())))</f>
        <v/>
      </c>
      <c r="AH158" s="133" t="str">
        <f aca="false">IF(ISBLANK($C158),"",IF(G158=Constants!$B$3,TRUE(),IF(G158=Constants!$B$4,FALSE(),TRUE())))</f>
        <v/>
      </c>
      <c r="AI158" s="133" t="str">
        <f aca="false">IF(ISBLANK($C158),"",IF(AND(ISNUMBER(H158),H158&gt;=0),H158,Constants!$B$29))</f>
        <v/>
      </c>
      <c r="AJ158" s="133" t="str">
        <f aca="false">IF(ISBLANK($C158),"",IF(I158=Constants!$B$3,TRUE(),IF(I158=Constants!$B$4,FALSE(),TRUE())))</f>
        <v/>
      </c>
      <c r="AK158" s="133" t="str">
        <f aca="false">IF(ISBLANK($C158),"",IF(J158=Constants!$B$3,TRUE(),IF(J158=Constants!$B$4,FALSE(),TRUE())))</f>
        <v/>
      </c>
      <c r="AL158" s="133" t="str">
        <f aca="false">IF(ISBLANK($C158),"",IF(K158=Constants!$B$5,TRUE(),IF(K158=Constants!$B$6,FALSE(),COUNTA(L158:P158)&gt;0)))</f>
        <v/>
      </c>
      <c r="AM158" s="134" t="str">
        <f aca="false">IF(ISBLANK($C158),"",IF(ISNUMBER(L158),IF(L158&gt;=0,L158,""),""))</f>
        <v/>
      </c>
      <c r="AN158" s="135" t="str">
        <f aca="false">IF(ISBLANK($C158),"",IF(ISNUMBER(M158),IF(M158&gt;=0,M158,""),""))</f>
        <v/>
      </c>
      <c r="AO158" s="135" t="str">
        <f aca="false">IF(ISBLANK($C158),"",IF(N158=Constants!$B$3,TRUE(),IF(N158=Constants!$B$4,FALSE(),TRUE())))</f>
        <v/>
      </c>
      <c r="AP158" s="133" t="str">
        <f aca="false">IF(ISBLANK($C158),"",IF(ISNUMBER(O158),IF(O158&gt;=0,O158,""),""))</f>
        <v/>
      </c>
      <c r="AQ158" s="133" t="str">
        <f aca="false">IF(ISBLANK($C158),"",IF(P158=Constants!$B$3,TRUE(),IF(P158=Constants!$B$4,FALSE(),FALSE())))</f>
        <v/>
      </c>
      <c r="AR158" s="133" t="str">
        <f aca="false">IF(ISBLANK($C158),"",IF(Q158=Constants!$B$3,TRUE(),IF(Q158=Constants!$B$4,FALSE(),TRUE())))</f>
        <v/>
      </c>
      <c r="AS158" s="133" t="str">
        <f aca="false">IF(ISBLANK($C158),"",IF(R158=Constants!$B$3,TRUE(),IF(R158=Constants!$B$4,FALSE(),TRUE())))</f>
        <v/>
      </c>
      <c r="AT158" s="133" t="str">
        <f aca="false">IF(ISBLANK($C158),"",IF(S158=Constants!$B$5,TRUE(),IF(S158=Constants!$B$6,FALSE(),COUNTA(T158:X158)&gt;0)))</f>
        <v/>
      </c>
      <c r="AU158" s="134" t="str">
        <f aca="false">IF(ISBLANK($C158),"",IF(ISNUMBER(T158),IF(T158&gt;=0,T158,""),""))</f>
        <v/>
      </c>
      <c r="AV158" s="135" t="str">
        <f aca="false">IF(ISBLANK($C158),"",IF(ISNUMBER(U158),IF(U158&gt;=0,U158,""),""))</f>
        <v/>
      </c>
      <c r="AW158" s="135" t="str">
        <f aca="false">IF(ISBLANK($C158),"",IF(V158=Constants!$B$3,TRUE(),IF(V158=Constants!$B$4,FALSE(),TRUE())))</f>
        <v/>
      </c>
      <c r="AX158" s="133" t="str">
        <f aca="false">IF(ISBLANK($C158),"",IF(ISNUMBER(W158),IF(W158&gt;=0,W158,""),""))</f>
        <v/>
      </c>
      <c r="AY158" s="133" t="str">
        <f aca="false">IF(ISBLANK($C158),"",IF(X158=Constants!$B$3,TRUE(),IF(X158=Constants!$B$4,FALSE(),FALSE())))</f>
        <v/>
      </c>
      <c r="AZ158" s="133" t="str">
        <f aca="false">IF(ISBLANK($C158),"",MIN(Constants!$B$31,MAX(0,IF(ISNUMBER(Y158),Y158*60,0)+IF(ISNUMBER(Z158),Z158,0))))</f>
        <v/>
      </c>
      <c r="BA158" s="133" t="str">
        <f aca="false">IF(ISBLANK($C158),"",IF(AA158=Constants!$B$3,TRUE(),IF(AA158=Constants!$B$4,FALSE(),FALSE())))</f>
        <v/>
      </c>
      <c r="BB158" s="132" t="str">
        <f aca="false">IF(ISBLANK($C158),"",AND($AL158,OR($AM158="",$AN158="",AND($AO158,$AP158=""))))</f>
        <v/>
      </c>
      <c r="BC158" s="135" t="str">
        <f aca="false">IF($BR158&lt;&gt;Constants!$B$8,"",IF($AL158,Constants!$B$21*$AN158+Constants!$B$22*IF($AO158,$AP158,Constants!$B$23),Constants!$B$24))</f>
        <v/>
      </c>
      <c r="BD158" s="136" t="str">
        <f aca="false">IF($BR158&lt;&gt;Constants!$B$8,"",Constants!$B$25*ABS($AD$9-IF($AL158,$AM158,0)))</f>
        <v/>
      </c>
      <c r="BE158" s="136" t="str">
        <f aca="false">IF($BR158&lt;&gt;Constants!$B$8,"",IF(AND($AL158,$AQ158,$AO158),Constants!$B$27,0))</f>
        <v/>
      </c>
      <c r="BF158" s="136" t="str">
        <f aca="false">IF($BR158&lt;&gt;Constants!$B$8,"",IF($AL158,($AI158-Constants!$B$29)*Constants!$B$28,0))</f>
        <v/>
      </c>
      <c r="BG158" s="136" t="str">
        <f aca="false">IF($BR158&lt;&gt;Constants!$B$8,"",IF($AK158,0,Constants!$B$15)+IF($AJ158,0,Constants!$B$16)+IF($AH158,0,Constants!$B$17))</f>
        <v/>
      </c>
      <c r="BH158" s="137" t="str">
        <f aca="false">IF($BR158&lt;&gt;Constants!$B$8,"",Constants!$B$20+SUM($BC158:$BG158))</f>
        <v/>
      </c>
      <c r="BI158" s="133" t="str">
        <f aca="false">IF($BR158&lt;&gt;Constants!$B$8,"",IF(OR($BP158&lt;$BH158,AND($BP158=$BH158,OR($BK158&lt;$BC158,AND($BK158=$BC158,OR($BL158&lt;$BD158,AND($BL158=$BD158,$AT158,$AL158,$AV158&lt;$AN158)))))),"-&gt;","&lt;-"))</f>
        <v/>
      </c>
      <c r="BJ158" s="132" t="str">
        <f aca="false">IF(ISBLANK($C158),"",AND($AT158,OR($AU158="",$AV158="",AND($AW158,$AX158=""))))</f>
        <v/>
      </c>
      <c r="BK158" s="135" t="str">
        <f aca="false">IF($BR158&lt;&gt;Constants!$B$8,"",IF($AT158,Constants!$B$21*$AV158+Constants!$B$22*IF($AW158,$AX158,Constants!$B$23),Constants!$B$24))</f>
        <v/>
      </c>
      <c r="BL158" s="136" t="str">
        <f aca="false">IF($BR158&lt;&gt;Constants!$B$8,"",Constants!$B$25*ABS($AD$9-IF($AT158,$AU158,0)))</f>
        <v/>
      </c>
      <c r="BM158" s="136" t="str">
        <f aca="false">IF($BR158&lt;&gt;Constants!$B$8,"",IF(AND($AT158,$AY158,$AW158),Constants!$B$27,0))</f>
        <v/>
      </c>
      <c r="BN158" s="136" t="str">
        <f aca="false">IF($BR158&lt;&gt;Constants!$B$8,"",IF($AT158,($AI158-Constants!$B$29)*Constants!$B$28,0))</f>
        <v/>
      </c>
      <c r="BO158" s="136" t="str">
        <f aca="false">IF($BR158&lt;&gt;Constants!$B$8,"",IF($AS158,0,Constants!$B$15)+IF($AR158,0,Constants!$B$16)+IF($AH158,0,Constants!$B$17))</f>
        <v/>
      </c>
      <c r="BP158" s="137" t="str">
        <f aca="false">IF($BR158&lt;&gt;Constants!$B$8,"",Constants!$B$20+SUM($BK158:$BO158))</f>
        <v/>
      </c>
      <c r="BQ158" s="133" t="str">
        <f aca="false">IF(ISBLANK($C158),"",IF(ISBLANK($D$7),$BQ$5,IF(NOT(ISNUMBER($D$7)),$BQ$6,"")))</f>
        <v/>
      </c>
      <c r="BR158" s="133" t="str">
        <f aca="false">IF(ISBLANK($C158),"",IF($BA158,Constants!$B$11,IF(COUNTA($E158:$AA158)=0,Constants!$B$10,IF(NOT($AG158),Constants!$B$9,IF(OR($BQ158&lt;&gt;"",$BB158,$BJ158),Constants!$B$12,Constants!$B$8)))))</f>
        <v/>
      </c>
      <c r="BS158" s="133" t="str">
        <f aca="false">IF(ISBLANK($C158),"",IF($BR158&lt;&gt;Constants!$B$8,$BR158,Constants!$B$13))</f>
        <v/>
      </c>
      <c r="BT158" s="136" t="str">
        <f aca="false">IF($BR158&lt;&gt;Constants!$B$8,"",IF($BI158="-&gt;",$BP158,$BH158))</f>
        <v/>
      </c>
      <c r="BU158" s="136" t="str">
        <f aca="false">IF($BR158&lt;&gt;Constants!$B$8,"",IF($AF158,0,Constants!$B$18))</f>
        <v/>
      </c>
      <c r="BV158" s="136" t="str">
        <f aca="false">IF($BR158&lt;&gt;Constants!$B$8,"",((Constants!$B$31-$AZ158)-Constants!$B$31)/Constants!$B$32)</f>
        <v/>
      </c>
      <c r="BW158" s="136" t="str">
        <f aca="false">IF(ISBLANK($C158),"",IF($BR158&lt;&gt;Constants!$B$8,$BR158,SUM($BT158:$BV158)))</f>
        <v/>
      </c>
      <c r="BX158" s="133" t="str">
        <f aca="false">IF(ISBLANK($C158),"",IF($BR158&lt;&gt;Constants!$B$8,$BR158,RANK($BW158,$BW$9:$BW$508,1)))</f>
        <v/>
      </c>
      <c r="BY158" s="136" t="str">
        <f aca="false">IF($BR158&lt;&gt;Constants!$B$8,"",IF($BI158="-&gt;",$BK158,$BC158))</f>
        <v/>
      </c>
      <c r="BZ158" s="133" t="str">
        <f aca="false">IF(ISBLANK($C158),"",IF($BR158&lt;&gt;Constants!$B$8,$BR158,IF(ISNUMBER($BY158),RANK($BY158,$BY$9:$BY$508,1),COUNT($BY$9:$BY$508)+1)))</f>
        <v/>
      </c>
      <c r="CA158" s="136" t="str">
        <f aca="false">IF($BR158&lt;&gt;Constants!$B$8,"",IF($BI158="-&gt;",$BL158,$BD158))</f>
        <v/>
      </c>
      <c r="CB158" s="133" t="str">
        <f aca="false">IF(ISBLANK($C158),"",IF($BR158&lt;&gt;Constants!$B$8,$BR158,IF(ISNUMBER($CA158),RANK($CA158,$CA$9:$CA$508,1),COUNT($CA$9:$CA$508)+1)))</f>
        <v/>
      </c>
      <c r="CC158" s="136" t="str">
        <f aca="false">IF($BR158&lt;&gt;Constants!$B$8,"",IF($BI158="-&gt;",IF($AT158,$AV158,""),IF($AL158,$AN158,"")))</f>
        <v/>
      </c>
      <c r="CD158" s="133" t="str">
        <f aca="false">IF(ISBLANK($C158),"",IF($BR158&lt;&gt;Constants!$B$8,$BR158,IF(ISNUMBER($CC158),RANK($CC158,$CC$9:$CC$508,1),COUNT($CC$9:$CC$508)+1)))</f>
        <v/>
      </c>
      <c r="CE158" s="136" t="str">
        <f aca="false">IF($BR158&lt;&gt;Constants!$B$8,"",IF(AND(NOT($AL158),NOT($AT158),$AJ158,$AK158,$AR158,$AS158),"",$AI158))</f>
        <v/>
      </c>
      <c r="CF158" s="133" t="str">
        <f aca="false">IF(ISBLANK($C158),"",IF($BR158&lt;&gt;Constants!$B$8,$BR158,IF(ISNUMBER($CE158),RANK($CE158,$CE$9:$CE$508,1),COUNT($CE$9:$CE$508)+1)))</f>
        <v/>
      </c>
      <c r="CG158" s="133" t="str">
        <f aca="false">IF(ISBLANK($C158),"",IF($BR158&lt;&gt;Constants!$B$8,$BR158,COUNTIFS($BX$9:$BX$508,"&lt;"&amp;$BX158)+COUNTIFS($BX$9:$BX$508,$BX158,$BZ$9:$BZ$508,"&lt;"&amp;$BZ158)+COUNTIFS($BX$9:$BX$508,$BX158,$BZ$9:$BZ$508,$BZ158,$CB$9:$CB$508,"&lt;"&amp;$CB158)+COUNTIFS($BX$9:$BX$508,$BX158,$BZ$9:$BZ$508,$BZ158,$CB$9:$CB$508,$CB158,$CD$9:$CD$508,"&lt;"&amp;$CD158)+COUNTIFS($BX$9:$BX$508,$BX158,$BZ$9:$BZ$508,$BZ158,$CB$9:$CB$508,$CB158,$CD$9:$CD$508,$CD158,$CF$9:$CF$508,"&lt;"&amp;$CF158)+1))</f>
        <v/>
      </c>
      <c r="CH158" s="133" t="str">
        <f aca="false">IF(ISBLANK($C158),"",IF($BR158&lt;&gt;Constants!$B$8,$BR158,$BX158-$CG158))</f>
        <v/>
      </c>
      <c r="CI158" s="138"/>
      <c r="CJ158" s="139"/>
      <c r="CK158" s="140" t="str">
        <f aca="false">IF(ISBLANK($C158),"",IF($BR158=Constants!$B$12,$BQ158,""))</f>
        <v/>
      </c>
      <c r="CL158" s="139" t="str">
        <f aca="false">IF(ISBLANK($C158),"",IF($BR158&lt;&gt;Constants!$B$8,"",IF($BI158="-&gt;",2,1)))</f>
        <v/>
      </c>
      <c r="CM158" s="141" t="str">
        <f aca="false">IF(ISBLANK($C158),"",IF($BR158&lt;&gt;Constants!$B$8,"",IF($BI158="-&gt;",$BK158,$BC158)))</f>
        <v/>
      </c>
      <c r="CN158" s="141" t="str">
        <f aca="false">IF(ISBLANK($C158),"",IF($BR158&lt;&gt;Constants!$B$8,"",IF($BI158="-&gt;",$BL158,$BD158)))</f>
        <v/>
      </c>
      <c r="CO158" s="141" t="str">
        <f aca="false">IF(ISBLANK($C158),"",IF($BR158&lt;&gt;Constants!$B$8,"",IF($BI158="-&gt;",$BM158+$BN158,$BE158+$BF158)+$BV158))</f>
        <v/>
      </c>
      <c r="CP158" s="141" t="str">
        <f aca="false">IF(ISBLANK($C158),"",IF($BR158&lt;&gt;Constants!$B$8,"",IF($BI158="-&gt;",$BO158,$BG158)+$BU158))</f>
        <v/>
      </c>
      <c r="CQ158" s="142" t="str">
        <f aca="false">IF(ISBLANK($C158),"",IF($BR158&lt;&gt;Constants!$B$8,$BR158,$BW158))</f>
        <v/>
      </c>
      <c r="CR158" s="143" t="str">
        <f aca="false">IF(ISBLANK($C158),"",$BS158)</f>
        <v/>
      </c>
      <c r="CS158" s="144" t="str">
        <f aca="false">IF(ISBLANK($C158),"",$CH158)</f>
        <v/>
      </c>
      <c r="CT158" s="144" t="str">
        <f aca="false">IF(ISBLANK($C158),"",$CG158)</f>
        <v/>
      </c>
      <c r="CU158" s="145" t="str">
        <f aca="false">IF(ISBLANK($C158),"",IFERROR(_xlfn.SWITCH($CT158,Constants!$B$11,COUNTA($C$9:$C$508)+2,Constants!$B$10,COUNTA($C$9:$C$508)+1,Constants!$B$9,COUNTA($C$9:$C$508)),$CT158))</f>
        <v/>
      </c>
      <c r="CV158" s="9"/>
      <c r="CW158" s="146" t="n">
        <f aca="false">IF(OR(ISNUMBER($CT158),$CT158=Constants!$B$11,$CT158=Constants!$B$9,$CT158=Constants!$B$10),1,0)</f>
        <v>0</v>
      </c>
      <c r="CX158" s="146" t="n">
        <v>150</v>
      </c>
      <c r="CY158" s="146" t="str">
        <f aca="false">IF(ISBLANK($C158),"",IF(ISNUMBER($CU158),$CU158+ROW($B158)/1000,""))</f>
        <v/>
      </c>
      <c r="CZ158" s="146" t="str">
        <f aca="false">IF(ISNUMBER($CY158),RANK($CY158,$CY$9:$CY$508,1),"")</f>
        <v/>
      </c>
      <c r="DA158" s="146" t="str">
        <f aca="false">IF(ISBLANK($C158),"",$B158)</f>
        <v/>
      </c>
      <c r="DB158" s="146" t="str">
        <f aca="false">IF(ISBLANK($C158),"",$C158)</f>
        <v/>
      </c>
      <c r="DC158" s="146" t="str">
        <f aca="false">IF(ISBLANK($C158),"",$D158)</f>
        <v/>
      </c>
      <c r="DD158" s="147" t="str">
        <f aca="false">$CR158</f>
        <v/>
      </c>
      <c r="DE158" s="148" t="str">
        <f aca="false">$CQ158</f>
        <v/>
      </c>
      <c r="DF158" s="146" t="str">
        <f aca="false">IF(ISBLANK($C158),"",$CT158)</f>
        <v/>
      </c>
      <c r="DG158" s="149" t="str">
        <f aca="false">IF($CX158&gt;$CW$8,"",VLOOKUP($CX158,$CZ$9:$DF$508,7,FALSE()))</f>
        <v/>
      </c>
      <c r="DH158" s="150" t="str">
        <f aca="false">IF($CX158&gt;$CW$8,"",VLOOKUP($CX158,$CZ$9:$DF$508,2,FALSE()))</f>
        <v/>
      </c>
      <c r="DI158" s="150" t="str">
        <f aca="false">IF($CX158&gt;$CW$8,"",VLOOKUP($CX158,$CZ$9:$DF$508,3,FALSE()))</f>
        <v/>
      </c>
      <c r="DJ158" s="150" t="str">
        <f aca="false">IF($CX158&gt;$CW$8,"",VLOOKUP($CX158,$CZ$9:$DF$508,4,FALSE()))</f>
        <v/>
      </c>
      <c r="DK158" s="150" t="str">
        <f aca="false">IF($CX158&gt;$CW$8,"",VLOOKUP($CX158,$CZ$9:$DF$508,5,FALSE()))</f>
        <v/>
      </c>
      <c r="DL158" s="151" t="str">
        <f aca="false">IF($CX158&gt;$CW$8,"",VLOOKUP($CX158,$CZ$9:$DF$508,6,FALSE()))</f>
        <v/>
      </c>
      <c r="DM158" s="75"/>
    </row>
    <row r="159" customFormat="false" ht="15.75" hidden="false" customHeight="false" outlineLevel="0" collapsed="false">
      <c r="A159" s="9"/>
      <c r="B159" s="77"/>
      <c r="C159" s="78"/>
      <c r="D159" s="167"/>
      <c r="E159" s="175"/>
      <c r="F159" s="169"/>
      <c r="G159" s="170"/>
      <c r="H159" s="170"/>
      <c r="I159" s="176"/>
      <c r="J159" s="173"/>
      <c r="K159" s="85"/>
      <c r="L159" s="86"/>
      <c r="M159" s="87"/>
      <c r="N159" s="173"/>
      <c r="O159" s="173"/>
      <c r="P159" s="175"/>
      <c r="Q159" s="173"/>
      <c r="R159" s="173"/>
      <c r="S159" s="85"/>
      <c r="T159" s="87"/>
      <c r="U159" s="87"/>
      <c r="V159" s="173"/>
      <c r="W159" s="173"/>
      <c r="X159" s="175"/>
      <c r="Y159" s="173"/>
      <c r="Z159" s="174"/>
      <c r="AA159" s="173"/>
      <c r="AB159" s="91"/>
      <c r="AC159" s="92"/>
      <c r="AD159" s="92"/>
      <c r="AE159" s="92"/>
      <c r="AF159" s="92" t="str">
        <f aca="false">IF(ISBLANK($C159),"",IF(E159=Constants!$B$3,TRUE(),IF(E159=Constants!$B$4,FALSE(),TRUE())))</f>
        <v/>
      </c>
      <c r="AG159" s="92" t="str">
        <f aca="false">IF(ISBLANK($C159),"",IF(F159=Constants!$B$3,TRUE(),IF(F159=Constants!$B$4,FALSE(),TRUE())))</f>
        <v/>
      </c>
      <c r="AH159" s="92" t="str">
        <f aca="false">IF(ISBLANK($C159),"",IF(G159=Constants!$B$3,TRUE(),IF(G159=Constants!$B$4,FALSE(),TRUE())))</f>
        <v/>
      </c>
      <c r="AI159" s="92" t="str">
        <f aca="false">IF(ISBLANK($C159),"",IF(AND(ISNUMBER(H159),H159&gt;=0),H159,Constants!$B$29))</f>
        <v/>
      </c>
      <c r="AJ159" s="92" t="str">
        <f aca="false">IF(ISBLANK($C159),"",IF(I159=Constants!$B$3,TRUE(),IF(I159=Constants!$B$4,FALSE(),TRUE())))</f>
        <v/>
      </c>
      <c r="AK159" s="92" t="str">
        <f aca="false">IF(ISBLANK($C159),"",IF(J159=Constants!$B$3,TRUE(),IF(J159=Constants!$B$4,FALSE(),TRUE())))</f>
        <v/>
      </c>
      <c r="AL159" s="92" t="str">
        <f aca="false">IF(ISBLANK($C159),"",IF(K159=Constants!$B$5,TRUE(),IF(K159=Constants!$B$6,FALSE(),COUNTA(L159:P159)&gt;0)))</f>
        <v/>
      </c>
      <c r="AM159" s="94" t="str">
        <f aca="false">IF(ISBLANK($C159),"",IF(ISNUMBER(L159),IF(L159&gt;=0,L159,""),""))</f>
        <v/>
      </c>
      <c r="AN159" s="93" t="str">
        <f aca="false">IF(ISBLANK($C159),"",IF(ISNUMBER(M159),IF(M159&gt;=0,M159,""),""))</f>
        <v/>
      </c>
      <c r="AO159" s="93" t="str">
        <f aca="false">IF(ISBLANK($C159),"",IF(N159=Constants!$B$3,TRUE(),IF(N159=Constants!$B$4,FALSE(),TRUE())))</f>
        <v/>
      </c>
      <c r="AP159" s="92" t="str">
        <f aca="false">IF(ISBLANK($C159),"",IF(ISNUMBER(O159),IF(O159&gt;=0,O159,""),""))</f>
        <v/>
      </c>
      <c r="AQ159" s="92" t="str">
        <f aca="false">IF(ISBLANK($C159),"",IF(P159=Constants!$B$3,TRUE(),IF(P159=Constants!$B$4,FALSE(),FALSE())))</f>
        <v/>
      </c>
      <c r="AR159" s="92" t="str">
        <f aca="false">IF(ISBLANK($C159),"",IF(Q159=Constants!$B$3,TRUE(),IF(Q159=Constants!$B$4,FALSE(),TRUE())))</f>
        <v/>
      </c>
      <c r="AS159" s="92" t="str">
        <f aca="false">IF(ISBLANK($C159),"",IF(R159=Constants!$B$3,TRUE(),IF(R159=Constants!$B$4,FALSE(),TRUE())))</f>
        <v/>
      </c>
      <c r="AT159" s="92" t="str">
        <f aca="false">IF(ISBLANK($C159),"",IF(S159=Constants!$B$5,TRUE(),IF(S159=Constants!$B$6,FALSE(),COUNTA(T159:X159)&gt;0)))</f>
        <v/>
      </c>
      <c r="AU159" s="94" t="str">
        <f aca="false">IF(ISBLANK($C159),"",IF(ISNUMBER(T159),IF(T159&gt;=0,T159,""),""))</f>
        <v/>
      </c>
      <c r="AV159" s="93" t="str">
        <f aca="false">IF(ISBLANK($C159),"",IF(ISNUMBER(U159),IF(U159&gt;=0,U159,""),""))</f>
        <v/>
      </c>
      <c r="AW159" s="93" t="str">
        <f aca="false">IF(ISBLANK($C159),"",IF(V159=Constants!$B$3,TRUE(),IF(V159=Constants!$B$4,FALSE(),TRUE())))</f>
        <v/>
      </c>
      <c r="AX159" s="92" t="str">
        <f aca="false">IF(ISBLANK($C159),"",IF(ISNUMBER(W159),IF(W159&gt;=0,W159,""),""))</f>
        <v/>
      </c>
      <c r="AY159" s="92" t="str">
        <f aca="false">IF(ISBLANK($C159),"",IF(X159=Constants!$B$3,TRUE(),IF(X159=Constants!$B$4,FALSE(),FALSE())))</f>
        <v/>
      </c>
      <c r="AZ159" s="92" t="str">
        <f aca="false">IF(ISBLANK($C159),"",MIN(Constants!$B$31,MAX(0,IF(ISNUMBER(Y159),Y159*60,0)+IF(ISNUMBER(Z159),Z159,0))))</f>
        <v/>
      </c>
      <c r="BA159" s="92" t="str">
        <f aca="false">IF(ISBLANK($C159),"",IF(AA159=Constants!$B$3,TRUE(),IF(AA159=Constants!$B$4,FALSE(),FALSE())))</f>
        <v/>
      </c>
      <c r="BB159" s="91" t="str">
        <f aca="false">IF(ISBLANK($C159),"",AND($AL159,OR($AM159="",$AN159="",AND($AO159,$AP159=""))))</f>
        <v/>
      </c>
      <c r="BC159" s="93" t="str">
        <f aca="false">IF($BR159&lt;&gt;Constants!$B$8,"",IF($AL159,Constants!$B$21*$AN159+Constants!$B$22*IF($AO159,$AP159,Constants!$B$23),Constants!$B$24))</f>
        <v/>
      </c>
      <c r="BD159" s="96" t="str">
        <f aca="false">IF($BR159&lt;&gt;Constants!$B$8,"",Constants!$B$25*ABS($AD$9-IF($AL159,$AM159,0)))</f>
        <v/>
      </c>
      <c r="BE159" s="96" t="str">
        <f aca="false">IF($BR159&lt;&gt;Constants!$B$8,"",IF(AND($AL159,$AQ159,$AO159),Constants!$B$27,0))</f>
        <v/>
      </c>
      <c r="BF159" s="96" t="str">
        <f aca="false">IF($BR159&lt;&gt;Constants!$B$8,"",IF($AL159,($AI159-Constants!$B$29)*Constants!$B$28,0))</f>
        <v/>
      </c>
      <c r="BG159" s="96" t="str">
        <f aca="false">IF($BR159&lt;&gt;Constants!$B$8,"",IF($AK159,0,Constants!$B$15)+IF($AJ159,0,Constants!$B$16)+IF($AH159,0,Constants!$B$17))</f>
        <v/>
      </c>
      <c r="BH159" s="97" t="str">
        <f aca="false">IF($BR159&lt;&gt;Constants!$B$8,"",Constants!$B$20+SUM($BC159:$BG159))</f>
        <v/>
      </c>
      <c r="BI159" s="92" t="str">
        <f aca="false">IF($BR159&lt;&gt;Constants!$B$8,"",IF(OR($BP159&lt;$BH159,AND($BP159=$BH159,OR($BK159&lt;$BC159,AND($BK159=$BC159,OR($BL159&lt;$BD159,AND($BL159=$BD159,$AT159,$AL159,$AV159&lt;$AN159)))))),"-&gt;","&lt;-"))</f>
        <v/>
      </c>
      <c r="BJ159" s="91" t="str">
        <f aca="false">IF(ISBLANK($C159),"",AND($AT159,OR($AU159="",$AV159="",AND($AW159,$AX159=""))))</f>
        <v/>
      </c>
      <c r="BK159" s="93" t="str">
        <f aca="false">IF($BR159&lt;&gt;Constants!$B$8,"",IF($AT159,Constants!$B$21*$AV159+Constants!$B$22*IF($AW159,$AX159,Constants!$B$23),Constants!$B$24))</f>
        <v/>
      </c>
      <c r="BL159" s="96" t="str">
        <f aca="false">IF($BR159&lt;&gt;Constants!$B$8,"",Constants!$B$25*ABS($AD$9-IF($AT159,$AU159,0)))</f>
        <v/>
      </c>
      <c r="BM159" s="96" t="str">
        <f aca="false">IF($BR159&lt;&gt;Constants!$B$8,"",IF(AND($AT159,$AY159,$AW159),Constants!$B$27,0))</f>
        <v/>
      </c>
      <c r="BN159" s="96" t="str">
        <f aca="false">IF($BR159&lt;&gt;Constants!$B$8,"",IF($AT159,($AI159-Constants!$B$29)*Constants!$B$28,0))</f>
        <v/>
      </c>
      <c r="BO159" s="96" t="str">
        <f aca="false">IF($BR159&lt;&gt;Constants!$B$8,"",IF($AS159,0,Constants!$B$15)+IF($AR159,0,Constants!$B$16)+IF($AH159,0,Constants!$B$17))</f>
        <v/>
      </c>
      <c r="BP159" s="97" t="str">
        <f aca="false">IF($BR159&lt;&gt;Constants!$B$8,"",Constants!$B$20+SUM($BK159:$BO159))</f>
        <v/>
      </c>
      <c r="BQ159" s="92" t="str">
        <f aca="false">IF(ISBLANK($C159),"",IF(ISBLANK($D$7),$BQ$5,IF(NOT(ISNUMBER($D$7)),$BQ$6,"")))</f>
        <v/>
      </c>
      <c r="BR159" s="92" t="str">
        <f aca="false">IF(ISBLANK($C159),"",IF($BA159,Constants!$B$11,IF(COUNTA($E159:$AA159)=0,Constants!$B$10,IF(NOT($AG159),Constants!$B$9,IF(OR($BQ159&lt;&gt;"",$BB159,$BJ159),Constants!$B$12,Constants!$B$8)))))</f>
        <v/>
      </c>
      <c r="BS159" s="92" t="str">
        <f aca="false">IF(ISBLANK($C159),"",IF($BR159&lt;&gt;Constants!$B$8,$BR159,Constants!$B$13))</f>
        <v/>
      </c>
      <c r="BT159" s="96" t="str">
        <f aca="false">IF($BR159&lt;&gt;Constants!$B$8,"",IF($BI159="-&gt;",$BP159,$BH159))</f>
        <v/>
      </c>
      <c r="BU159" s="96" t="str">
        <f aca="false">IF($BR159&lt;&gt;Constants!$B$8,"",IF($AF159,0,Constants!$B$18))</f>
        <v/>
      </c>
      <c r="BV159" s="96" t="str">
        <f aca="false">IF($BR159&lt;&gt;Constants!$B$8,"",((Constants!$B$31-$AZ159)-Constants!$B$31)/Constants!$B$32)</f>
        <v/>
      </c>
      <c r="BW159" s="96" t="str">
        <f aca="false">IF(ISBLANK($C159),"",IF($BR159&lt;&gt;Constants!$B$8,$BR159,SUM($BT159:$BV159)))</f>
        <v/>
      </c>
      <c r="BX159" s="92" t="str">
        <f aca="false">IF(ISBLANK($C159),"",IF($BR159&lt;&gt;Constants!$B$8,$BR159,RANK($BW159,$BW$9:$BW$508,1)))</f>
        <v/>
      </c>
      <c r="BY159" s="96" t="str">
        <f aca="false">IF($BR159&lt;&gt;Constants!$B$8,"",IF($BI159="-&gt;",$BK159,$BC159))</f>
        <v/>
      </c>
      <c r="BZ159" s="92" t="str">
        <f aca="false">IF(ISBLANK($C159),"",IF($BR159&lt;&gt;Constants!$B$8,$BR159,IF(ISNUMBER($BY159),RANK($BY159,$BY$9:$BY$508,1),COUNT($BY$9:$BY$508)+1)))</f>
        <v/>
      </c>
      <c r="CA159" s="96" t="str">
        <f aca="false">IF($BR159&lt;&gt;Constants!$B$8,"",IF($BI159="-&gt;",$BL159,$BD159))</f>
        <v/>
      </c>
      <c r="CB159" s="92" t="str">
        <f aca="false">IF(ISBLANK($C159),"",IF($BR159&lt;&gt;Constants!$B$8,$BR159,IF(ISNUMBER($CA159),RANK($CA159,$CA$9:$CA$508,1),COUNT($CA$9:$CA$508)+1)))</f>
        <v/>
      </c>
      <c r="CC159" s="96" t="str">
        <f aca="false">IF($BR159&lt;&gt;Constants!$B$8,"",IF($BI159="-&gt;",IF($AT159,$AV159,""),IF($AL159,$AN159,"")))</f>
        <v/>
      </c>
      <c r="CD159" s="92" t="str">
        <f aca="false">IF(ISBLANK($C159),"",IF($BR159&lt;&gt;Constants!$B$8,$BR159,IF(ISNUMBER($CC159),RANK($CC159,$CC$9:$CC$508,1),COUNT($CC$9:$CC$508)+1)))</f>
        <v/>
      </c>
      <c r="CE159" s="96" t="str">
        <f aca="false">IF($BR159&lt;&gt;Constants!$B$8,"",IF(AND(NOT($AL159),NOT($AT159),$AJ159,$AK159,$AR159,$AS159),"",$AI159))</f>
        <v/>
      </c>
      <c r="CF159" s="92" t="str">
        <f aca="false">IF(ISBLANK($C159),"",IF($BR159&lt;&gt;Constants!$B$8,$BR159,IF(ISNUMBER($CE159),RANK($CE159,$CE$9:$CE$508,1),COUNT($CE$9:$CE$508)+1)))</f>
        <v/>
      </c>
      <c r="CG159" s="92" t="str">
        <f aca="false">IF(ISBLANK($C159),"",IF($BR159&lt;&gt;Constants!$B$8,$BR159,COUNTIFS($BX$9:$BX$508,"&lt;"&amp;$BX159)+COUNTIFS($BX$9:$BX$508,$BX159,$BZ$9:$BZ$508,"&lt;"&amp;$BZ159)+COUNTIFS($BX$9:$BX$508,$BX159,$BZ$9:$BZ$508,$BZ159,$CB$9:$CB$508,"&lt;"&amp;$CB159)+COUNTIFS($BX$9:$BX$508,$BX159,$BZ$9:$BZ$508,$BZ159,$CB$9:$CB$508,$CB159,$CD$9:$CD$508,"&lt;"&amp;$CD159)+COUNTIFS($BX$9:$BX$508,$BX159,$BZ$9:$BZ$508,$BZ159,$CB$9:$CB$508,$CB159,$CD$9:$CD$508,$CD159,$CF$9:$CF$508,"&lt;"&amp;$CF159)+1))</f>
        <v/>
      </c>
      <c r="CH159" s="92" t="str">
        <f aca="false">IF(ISBLANK($C159),"",IF($BR159&lt;&gt;Constants!$B$8,$BR159,$BX159-$CG159))</f>
        <v/>
      </c>
      <c r="CI159" s="98"/>
      <c r="CJ159" s="99"/>
      <c r="CK159" s="100" t="str">
        <f aca="false">IF(ISBLANK($C159),"",IF($BR159=Constants!$B$12,$BQ159,""))</f>
        <v/>
      </c>
      <c r="CL159" s="99" t="str">
        <f aca="false">IF(ISBLANK($C159),"",IF($BR159&lt;&gt;Constants!$B$8,"",IF($BI159="-&gt;",2,1)))</f>
        <v/>
      </c>
      <c r="CM159" s="101" t="str">
        <f aca="false">IF(ISBLANK($C159),"",IF($BR159&lt;&gt;Constants!$B$8,"",IF($BI159="-&gt;",$BK159,$BC159)))</f>
        <v/>
      </c>
      <c r="CN159" s="101" t="str">
        <f aca="false">IF(ISBLANK($C159),"",IF($BR159&lt;&gt;Constants!$B$8,"",IF($BI159="-&gt;",$BL159,$BD159)))</f>
        <v/>
      </c>
      <c r="CO159" s="101" t="str">
        <f aca="false">IF(ISBLANK($C159),"",IF($BR159&lt;&gt;Constants!$B$8,"",IF($BI159="-&gt;",$BM159+$BN159,$BE159+$BF159)+$BV159))</f>
        <v/>
      </c>
      <c r="CP159" s="101" t="str">
        <f aca="false">IF(ISBLANK($C159),"",IF($BR159&lt;&gt;Constants!$B$8,"",IF($BI159="-&gt;",$BO159,$BG159)+$BU159))</f>
        <v/>
      </c>
      <c r="CQ159" s="102" t="str">
        <f aca="false">IF(ISBLANK($C159),"",IF($BR159&lt;&gt;Constants!$B$8,$BR159,$BW159))</f>
        <v/>
      </c>
      <c r="CR159" s="103" t="str">
        <f aca="false">IF(ISBLANK($C159),"",$BS159)</f>
        <v/>
      </c>
      <c r="CS159" s="104" t="str">
        <f aca="false">IF(ISBLANK($C159),"",$CH159)</f>
        <v/>
      </c>
      <c r="CT159" s="104" t="str">
        <f aca="false">IF(ISBLANK($C159),"",$CG159)</f>
        <v/>
      </c>
      <c r="CU159" s="105" t="str">
        <f aca="false">IF(ISBLANK($C159),"",IFERROR(_xlfn.SWITCH($CT159,Constants!$B$11,COUNTA($C$9:$C$508)+2,Constants!$B$10,COUNTA($C$9:$C$508)+1,Constants!$B$9,COUNTA($C$9:$C$508)),$CT159))</f>
        <v/>
      </c>
      <c r="CV159" s="9"/>
      <c r="CW159" s="106" t="n">
        <f aca="false">IF(OR(ISNUMBER($CT159),$CT159=Constants!$B$11,$CT159=Constants!$B$9,$CT159=Constants!$B$10),1,0)</f>
        <v>0</v>
      </c>
      <c r="CX159" s="106" t="n">
        <v>151</v>
      </c>
      <c r="CY159" s="106" t="str">
        <f aca="false">IF(ISBLANK($C159),"",IF(ISNUMBER($CU159),$CU159+ROW($B159)/1000,""))</f>
        <v/>
      </c>
      <c r="CZ159" s="106" t="str">
        <f aca="false">IF(ISNUMBER($CY159),RANK($CY159,$CY$9:$CY$508,1),"")</f>
        <v/>
      </c>
      <c r="DA159" s="106" t="str">
        <f aca="false">IF(ISBLANK($C159),"",$B159)</f>
        <v/>
      </c>
      <c r="DB159" s="106" t="str">
        <f aca="false">IF(ISBLANK($C159),"",$C159)</f>
        <v/>
      </c>
      <c r="DC159" s="106" t="str">
        <f aca="false">IF(ISBLANK($C159),"",$D159)</f>
        <v/>
      </c>
      <c r="DD159" s="107" t="str">
        <f aca="false">$CR159</f>
        <v/>
      </c>
      <c r="DE159" s="108" t="str">
        <f aca="false">$CQ159</f>
        <v/>
      </c>
      <c r="DF159" s="106" t="str">
        <f aca="false">IF(ISBLANK($C159),"",$CT159)</f>
        <v/>
      </c>
      <c r="DG159" s="109" t="str">
        <f aca="false">IF($CX159&gt;$CW$8,"",VLOOKUP($CX159,$CZ$9:$DF$508,7,FALSE()))</f>
        <v/>
      </c>
      <c r="DH159" s="110" t="str">
        <f aca="false">IF($CX159&gt;$CW$8,"",VLOOKUP($CX159,$CZ$9:$DF$508,2,FALSE()))</f>
        <v/>
      </c>
      <c r="DI159" s="110" t="str">
        <f aca="false">IF($CX159&gt;$CW$8,"",VLOOKUP($CX159,$CZ$9:$DF$508,3,FALSE()))</f>
        <v/>
      </c>
      <c r="DJ159" s="110" t="str">
        <f aca="false">IF($CX159&gt;$CW$8,"",VLOOKUP($CX159,$CZ$9:$DF$508,4,FALSE()))</f>
        <v/>
      </c>
      <c r="DK159" s="110" t="str">
        <f aca="false">IF($CX159&gt;$CW$8,"",VLOOKUP($CX159,$CZ$9:$DF$508,5,FALSE()))</f>
        <v/>
      </c>
      <c r="DL159" s="111" t="str">
        <f aca="false">IF($CX159&gt;$CW$8,"",VLOOKUP($CX159,$CZ$9:$DF$508,6,FALSE()))</f>
        <v/>
      </c>
      <c r="DM159" s="75"/>
    </row>
    <row r="160" customFormat="false" ht="15.75" hidden="false" customHeight="false" outlineLevel="0" collapsed="false">
      <c r="A160" s="9"/>
      <c r="B160" s="77"/>
      <c r="C160" s="78"/>
      <c r="D160" s="167"/>
      <c r="E160" s="175"/>
      <c r="F160" s="169"/>
      <c r="G160" s="170"/>
      <c r="H160" s="170"/>
      <c r="I160" s="176"/>
      <c r="J160" s="173"/>
      <c r="K160" s="85"/>
      <c r="L160" s="86"/>
      <c r="M160" s="87"/>
      <c r="N160" s="173"/>
      <c r="O160" s="173"/>
      <c r="P160" s="175"/>
      <c r="Q160" s="173"/>
      <c r="R160" s="173"/>
      <c r="S160" s="85"/>
      <c r="T160" s="87"/>
      <c r="U160" s="87"/>
      <c r="V160" s="173"/>
      <c r="W160" s="173"/>
      <c r="X160" s="175"/>
      <c r="Y160" s="173"/>
      <c r="Z160" s="174"/>
      <c r="AA160" s="173"/>
      <c r="AB160" s="91"/>
      <c r="AC160" s="92"/>
      <c r="AD160" s="92"/>
      <c r="AE160" s="92"/>
      <c r="AF160" s="92" t="str">
        <f aca="false">IF(ISBLANK($C160),"",IF(E160=Constants!$B$3,TRUE(),IF(E160=Constants!$B$4,FALSE(),TRUE())))</f>
        <v/>
      </c>
      <c r="AG160" s="92" t="str">
        <f aca="false">IF(ISBLANK($C160),"",IF(F160=Constants!$B$3,TRUE(),IF(F160=Constants!$B$4,FALSE(),TRUE())))</f>
        <v/>
      </c>
      <c r="AH160" s="92" t="str">
        <f aca="false">IF(ISBLANK($C160),"",IF(G160=Constants!$B$3,TRUE(),IF(G160=Constants!$B$4,FALSE(),TRUE())))</f>
        <v/>
      </c>
      <c r="AI160" s="92" t="str">
        <f aca="false">IF(ISBLANK($C160),"",IF(AND(ISNUMBER(H160),H160&gt;=0),H160,Constants!$B$29))</f>
        <v/>
      </c>
      <c r="AJ160" s="92" t="str">
        <f aca="false">IF(ISBLANK($C160),"",IF(I160=Constants!$B$3,TRUE(),IF(I160=Constants!$B$4,FALSE(),TRUE())))</f>
        <v/>
      </c>
      <c r="AK160" s="92" t="str">
        <f aca="false">IF(ISBLANK($C160),"",IF(J160=Constants!$B$3,TRUE(),IF(J160=Constants!$B$4,FALSE(),TRUE())))</f>
        <v/>
      </c>
      <c r="AL160" s="92" t="str">
        <f aca="false">IF(ISBLANK($C160),"",IF(K160=Constants!$B$5,TRUE(),IF(K160=Constants!$B$6,FALSE(),COUNTA(L160:P160)&gt;0)))</f>
        <v/>
      </c>
      <c r="AM160" s="94" t="str">
        <f aca="false">IF(ISBLANK($C160),"",IF(ISNUMBER(L160),IF(L160&gt;=0,L160,""),""))</f>
        <v/>
      </c>
      <c r="AN160" s="93" t="str">
        <f aca="false">IF(ISBLANK($C160),"",IF(ISNUMBER(M160),IF(M160&gt;=0,M160,""),""))</f>
        <v/>
      </c>
      <c r="AO160" s="93" t="str">
        <f aca="false">IF(ISBLANK($C160),"",IF(N160=Constants!$B$3,TRUE(),IF(N160=Constants!$B$4,FALSE(),TRUE())))</f>
        <v/>
      </c>
      <c r="AP160" s="92" t="str">
        <f aca="false">IF(ISBLANK($C160),"",IF(ISNUMBER(O160),IF(O160&gt;=0,O160,""),""))</f>
        <v/>
      </c>
      <c r="AQ160" s="92" t="str">
        <f aca="false">IF(ISBLANK($C160),"",IF(P160=Constants!$B$3,TRUE(),IF(P160=Constants!$B$4,FALSE(),FALSE())))</f>
        <v/>
      </c>
      <c r="AR160" s="92" t="str">
        <f aca="false">IF(ISBLANK($C160),"",IF(Q160=Constants!$B$3,TRUE(),IF(Q160=Constants!$B$4,FALSE(),TRUE())))</f>
        <v/>
      </c>
      <c r="AS160" s="92" t="str">
        <f aca="false">IF(ISBLANK($C160),"",IF(R160=Constants!$B$3,TRUE(),IF(R160=Constants!$B$4,FALSE(),TRUE())))</f>
        <v/>
      </c>
      <c r="AT160" s="92" t="str">
        <f aca="false">IF(ISBLANK($C160),"",IF(S160=Constants!$B$5,TRUE(),IF(S160=Constants!$B$6,FALSE(),COUNTA(T160:X160)&gt;0)))</f>
        <v/>
      </c>
      <c r="AU160" s="94" t="str">
        <f aca="false">IF(ISBLANK($C160),"",IF(ISNUMBER(T160),IF(T160&gt;=0,T160,""),""))</f>
        <v/>
      </c>
      <c r="AV160" s="93" t="str">
        <f aca="false">IF(ISBLANK($C160),"",IF(ISNUMBER(U160),IF(U160&gt;=0,U160,""),""))</f>
        <v/>
      </c>
      <c r="AW160" s="93" t="str">
        <f aca="false">IF(ISBLANK($C160),"",IF(V160=Constants!$B$3,TRUE(),IF(V160=Constants!$B$4,FALSE(),TRUE())))</f>
        <v/>
      </c>
      <c r="AX160" s="92" t="str">
        <f aca="false">IF(ISBLANK($C160),"",IF(ISNUMBER(W160),IF(W160&gt;=0,W160,""),""))</f>
        <v/>
      </c>
      <c r="AY160" s="92" t="str">
        <f aca="false">IF(ISBLANK($C160),"",IF(X160=Constants!$B$3,TRUE(),IF(X160=Constants!$B$4,FALSE(),FALSE())))</f>
        <v/>
      </c>
      <c r="AZ160" s="92" t="str">
        <f aca="false">IF(ISBLANK($C160),"",MIN(Constants!$B$31,MAX(0,IF(ISNUMBER(Y160),Y160*60,0)+IF(ISNUMBER(Z160),Z160,0))))</f>
        <v/>
      </c>
      <c r="BA160" s="92" t="str">
        <f aca="false">IF(ISBLANK($C160),"",IF(AA160=Constants!$B$3,TRUE(),IF(AA160=Constants!$B$4,FALSE(),FALSE())))</f>
        <v/>
      </c>
      <c r="BB160" s="91" t="str">
        <f aca="false">IF(ISBLANK($C160),"",AND($AL160,OR($AM160="",$AN160="",AND($AO160,$AP160=""))))</f>
        <v/>
      </c>
      <c r="BC160" s="93" t="str">
        <f aca="false">IF($BR160&lt;&gt;Constants!$B$8,"",IF($AL160,Constants!$B$21*$AN160+Constants!$B$22*IF($AO160,$AP160,Constants!$B$23),Constants!$B$24))</f>
        <v/>
      </c>
      <c r="BD160" s="96" t="str">
        <f aca="false">IF($BR160&lt;&gt;Constants!$B$8,"",Constants!$B$25*ABS($AD$9-IF($AL160,$AM160,0)))</f>
        <v/>
      </c>
      <c r="BE160" s="96" t="str">
        <f aca="false">IF($BR160&lt;&gt;Constants!$B$8,"",IF(AND($AL160,$AQ160,$AO160),Constants!$B$27,0))</f>
        <v/>
      </c>
      <c r="BF160" s="96" t="str">
        <f aca="false">IF($BR160&lt;&gt;Constants!$B$8,"",IF($AL160,($AI160-Constants!$B$29)*Constants!$B$28,0))</f>
        <v/>
      </c>
      <c r="BG160" s="96" t="str">
        <f aca="false">IF($BR160&lt;&gt;Constants!$B$8,"",IF($AK160,0,Constants!$B$15)+IF($AJ160,0,Constants!$B$16)+IF($AH160,0,Constants!$B$17))</f>
        <v/>
      </c>
      <c r="BH160" s="97" t="str">
        <f aca="false">IF($BR160&lt;&gt;Constants!$B$8,"",Constants!$B$20+SUM($BC160:$BG160))</f>
        <v/>
      </c>
      <c r="BI160" s="92" t="str">
        <f aca="false">IF($BR160&lt;&gt;Constants!$B$8,"",IF(OR($BP160&lt;$BH160,AND($BP160=$BH160,OR($BK160&lt;$BC160,AND($BK160=$BC160,OR($BL160&lt;$BD160,AND($BL160=$BD160,$AT160,$AL160,$AV160&lt;$AN160)))))),"-&gt;","&lt;-"))</f>
        <v/>
      </c>
      <c r="BJ160" s="91" t="str">
        <f aca="false">IF(ISBLANK($C160),"",AND($AT160,OR($AU160="",$AV160="",AND($AW160,$AX160=""))))</f>
        <v/>
      </c>
      <c r="BK160" s="93" t="str">
        <f aca="false">IF($BR160&lt;&gt;Constants!$B$8,"",IF($AT160,Constants!$B$21*$AV160+Constants!$B$22*IF($AW160,$AX160,Constants!$B$23),Constants!$B$24))</f>
        <v/>
      </c>
      <c r="BL160" s="96" t="str">
        <f aca="false">IF($BR160&lt;&gt;Constants!$B$8,"",Constants!$B$25*ABS($AD$9-IF($AT160,$AU160,0)))</f>
        <v/>
      </c>
      <c r="BM160" s="96" t="str">
        <f aca="false">IF($BR160&lt;&gt;Constants!$B$8,"",IF(AND($AT160,$AY160,$AW160),Constants!$B$27,0))</f>
        <v/>
      </c>
      <c r="BN160" s="96" t="str">
        <f aca="false">IF($BR160&lt;&gt;Constants!$B$8,"",IF($AT160,($AI160-Constants!$B$29)*Constants!$B$28,0))</f>
        <v/>
      </c>
      <c r="BO160" s="96" t="str">
        <f aca="false">IF($BR160&lt;&gt;Constants!$B$8,"",IF($AS160,0,Constants!$B$15)+IF($AR160,0,Constants!$B$16)+IF($AH160,0,Constants!$B$17))</f>
        <v/>
      </c>
      <c r="BP160" s="97" t="str">
        <f aca="false">IF($BR160&lt;&gt;Constants!$B$8,"",Constants!$B$20+SUM($BK160:$BO160))</f>
        <v/>
      </c>
      <c r="BQ160" s="92" t="str">
        <f aca="false">IF(ISBLANK($C160),"",IF(ISBLANK($D$7),$BQ$5,IF(NOT(ISNUMBER($D$7)),$BQ$6,"")))</f>
        <v/>
      </c>
      <c r="BR160" s="92" t="str">
        <f aca="false">IF(ISBLANK($C160),"",IF($BA160,Constants!$B$11,IF(COUNTA($E160:$AA160)=0,Constants!$B$10,IF(NOT($AG160),Constants!$B$9,IF(OR($BQ160&lt;&gt;"",$BB160,$BJ160),Constants!$B$12,Constants!$B$8)))))</f>
        <v/>
      </c>
      <c r="BS160" s="92" t="str">
        <f aca="false">IF(ISBLANK($C160),"",IF($BR160&lt;&gt;Constants!$B$8,$BR160,Constants!$B$13))</f>
        <v/>
      </c>
      <c r="BT160" s="96" t="str">
        <f aca="false">IF($BR160&lt;&gt;Constants!$B$8,"",IF($BI160="-&gt;",$BP160,$BH160))</f>
        <v/>
      </c>
      <c r="BU160" s="96" t="str">
        <f aca="false">IF($BR160&lt;&gt;Constants!$B$8,"",IF($AF160,0,Constants!$B$18))</f>
        <v/>
      </c>
      <c r="BV160" s="96" t="str">
        <f aca="false">IF($BR160&lt;&gt;Constants!$B$8,"",((Constants!$B$31-$AZ160)-Constants!$B$31)/Constants!$B$32)</f>
        <v/>
      </c>
      <c r="BW160" s="96" t="str">
        <f aca="false">IF(ISBLANK($C160),"",IF($BR160&lt;&gt;Constants!$B$8,$BR160,SUM($BT160:$BV160)))</f>
        <v/>
      </c>
      <c r="BX160" s="92" t="str">
        <f aca="false">IF(ISBLANK($C160),"",IF($BR160&lt;&gt;Constants!$B$8,$BR160,RANK($BW160,$BW$9:$BW$508,1)))</f>
        <v/>
      </c>
      <c r="BY160" s="96" t="str">
        <f aca="false">IF($BR160&lt;&gt;Constants!$B$8,"",IF($BI160="-&gt;",$BK160,$BC160))</f>
        <v/>
      </c>
      <c r="BZ160" s="92" t="str">
        <f aca="false">IF(ISBLANK($C160),"",IF($BR160&lt;&gt;Constants!$B$8,$BR160,IF(ISNUMBER($BY160),RANK($BY160,$BY$9:$BY$508,1),COUNT($BY$9:$BY$508)+1)))</f>
        <v/>
      </c>
      <c r="CA160" s="96" t="str">
        <f aca="false">IF($BR160&lt;&gt;Constants!$B$8,"",IF($BI160="-&gt;",$BL160,$BD160))</f>
        <v/>
      </c>
      <c r="CB160" s="92" t="str">
        <f aca="false">IF(ISBLANK($C160),"",IF($BR160&lt;&gt;Constants!$B$8,$BR160,IF(ISNUMBER($CA160),RANK($CA160,$CA$9:$CA$508,1),COUNT($CA$9:$CA$508)+1)))</f>
        <v/>
      </c>
      <c r="CC160" s="96" t="str">
        <f aca="false">IF($BR160&lt;&gt;Constants!$B$8,"",IF($BI160="-&gt;",IF($AT160,$AV160,""),IF($AL160,$AN160,"")))</f>
        <v/>
      </c>
      <c r="CD160" s="92" t="str">
        <f aca="false">IF(ISBLANK($C160),"",IF($BR160&lt;&gt;Constants!$B$8,$BR160,IF(ISNUMBER($CC160),RANK($CC160,$CC$9:$CC$508,1),COUNT($CC$9:$CC$508)+1)))</f>
        <v/>
      </c>
      <c r="CE160" s="96" t="str">
        <f aca="false">IF($BR160&lt;&gt;Constants!$B$8,"",IF(AND(NOT($AL160),NOT($AT160),$AJ160,$AK160,$AR160,$AS160),"",$AI160))</f>
        <v/>
      </c>
      <c r="CF160" s="92" t="str">
        <f aca="false">IF(ISBLANK($C160),"",IF($BR160&lt;&gt;Constants!$B$8,$BR160,IF(ISNUMBER($CE160),RANK($CE160,$CE$9:$CE$508,1),COUNT($CE$9:$CE$508)+1)))</f>
        <v/>
      </c>
      <c r="CG160" s="92" t="str">
        <f aca="false">IF(ISBLANK($C160),"",IF($BR160&lt;&gt;Constants!$B$8,$BR160,COUNTIFS($BX$9:$BX$508,"&lt;"&amp;$BX160)+COUNTIFS($BX$9:$BX$508,$BX160,$BZ$9:$BZ$508,"&lt;"&amp;$BZ160)+COUNTIFS($BX$9:$BX$508,$BX160,$BZ$9:$BZ$508,$BZ160,$CB$9:$CB$508,"&lt;"&amp;$CB160)+COUNTIFS($BX$9:$BX$508,$BX160,$BZ$9:$BZ$508,$BZ160,$CB$9:$CB$508,$CB160,$CD$9:$CD$508,"&lt;"&amp;$CD160)+COUNTIFS($BX$9:$BX$508,$BX160,$BZ$9:$BZ$508,$BZ160,$CB$9:$CB$508,$CB160,$CD$9:$CD$508,$CD160,$CF$9:$CF$508,"&lt;"&amp;$CF160)+1))</f>
        <v/>
      </c>
      <c r="CH160" s="92" t="str">
        <f aca="false">IF(ISBLANK($C160),"",IF($BR160&lt;&gt;Constants!$B$8,$BR160,$BX160-$CG160))</f>
        <v/>
      </c>
      <c r="CI160" s="98"/>
      <c r="CJ160" s="99"/>
      <c r="CK160" s="100" t="str">
        <f aca="false">IF(ISBLANK($C160),"",IF($BR160=Constants!$B$12,$BQ160,""))</f>
        <v/>
      </c>
      <c r="CL160" s="99" t="str">
        <f aca="false">IF(ISBLANK($C160),"",IF($BR160&lt;&gt;Constants!$B$8,"",IF($BI160="-&gt;",2,1)))</f>
        <v/>
      </c>
      <c r="CM160" s="101" t="str">
        <f aca="false">IF(ISBLANK($C160),"",IF($BR160&lt;&gt;Constants!$B$8,"",IF($BI160="-&gt;",$BK160,$BC160)))</f>
        <v/>
      </c>
      <c r="CN160" s="101" t="str">
        <f aca="false">IF(ISBLANK($C160),"",IF($BR160&lt;&gt;Constants!$B$8,"",IF($BI160="-&gt;",$BL160,$BD160)))</f>
        <v/>
      </c>
      <c r="CO160" s="101" t="str">
        <f aca="false">IF(ISBLANK($C160),"",IF($BR160&lt;&gt;Constants!$B$8,"",IF($BI160="-&gt;",$BM160+$BN160,$BE160+$BF160)+$BV160))</f>
        <v/>
      </c>
      <c r="CP160" s="101" t="str">
        <f aca="false">IF(ISBLANK($C160),"",IF($BR160&lt;&gt;Constants!$B$8,"",IF($BI160="-&gt;",$BO160,$BG160)+$BU160))</f>
        <v/>
      </c>
      <c r="CQ160" s="102" t="str">
        <f aca="false">IF(ISBLANK($C160),"",IF($BR160&lt;&gt;Constants!$B$8,$BR160,$BW160))</f>
        <v/>
      </c>
      <c r="CR160" s="103" t="str">
        <f aca="false">IF(ISBLANK($C160),"",$BS160)</f>
        <v/>
      </c>
      <c r="CS160" s="104" t="str">
        <f aca="false">IF(ISBLANK($C160),"",$CH160)</f>
        <v/>
      </c>
      <c r="CT160" s="104" t="str">
        <f aca="false">IF(ISBLANK($C160),"",$CG160)</f>
        <v/>
      </c>
      <c r="CU160" s="105" t="str">
        <f aca="false">IF(ISBLANK($C160),"",IFERROR(_xlfn.SWITCH($CT160,Constants!$B$11,COUNTA($C$9:$C$508)+2,Constants!$B$10,COUNTA($C$9:$C$508)+1,Constants!$B$9,COUNTA($C$9:$C$508)),$CT160))</f>
        <v/>
      </c>
      <c r="CV160" s="9"/>
      <c r="CW160" s="106" t="n">
        <f aca="false">IF(OR(ISNUMBER($CT160),$CT160=Constants!$B$11,$CT160=Constants!$B$9,$CT160=Constants!$B$10),1,0)</f>
        <v>0</v>
      </c>
      <c r="CX160" s="106" t="n">
        <v>152</v>
      </c>
      <c r="CY160" s="106" t="str">
        <f aca="false">IF(ISBLANK($C160),"",IF(ISNUMBER($CU160),$CU160+ROW($B160)/1000,""))</f>
        <v/>
      </c>
      <c r="CZ160" s="106" t="str">
        <f aca="false">IF(ISNUMBER($CY160),RANK($CY160,$CY$9:$CY$508,1),"")</f>
        <v/>
      </c>
      <c r="DA160" s="106" t="str">
        <f aca="false">IF(ISBLANK($C160),"",$B160)</f>
        <v/>
      </c>
      <c r="DB160" s="106" t="str">
        <f aca="false">IF(ISBLANK($C160),"",$C160)</f>
        <v/>
      </c>
      <c r="DC160" s="106" t="str">
        <f aca="false">IF(ISBLANK($C160),"",$D160)</f>
        <v/>
      </c>
      <c r="DD160" s="107" t="str">
        <f aca="false">$CR160</f>
        <v/>
      </c>
      <c r="DE160" s="108" t="str">
        <f aca="false">$CQ160</f>
        <v/>
      </c>
      <c r="DF160" s="106" t="str">
        <f aca="false">IF(ISBLANK($C160),"",$CT160)</f>
        <v/>
      </c>
      <c r="DG160" s="109" t="str">
        <f aca="false">IF($CX160&gt;$CW$8,"",VLOOKUP($CX160,$CZ$9:$DF$508,7,FALSE()))</f>
        <v/>
      </c>
      <c r="DH160" s="110" t="str">
        <f aca="false">IF($CX160&gt;$CW$8,"",VLOOKUP($CX160,$CZ$9:$DF$508,2,FALSE()))</f>
        <v/>
      </c>
      <c r="DI160" s="110" t="str">
        <f aca="false">IF($CX160&gt;$CW$8,"",VLOOKUP($CX160,$CZ$9:$DF$508,3,FALSE()))</f>
        <v/>
      </c>
      <c r="DJ160" s="110" t="str">
        <f aca="false">IF($CX160&gt;$CW$8,"",VLOOKUP($CX160,$CZ$9:$DF$508,4,FALSE()))</f>
        <v/>
      </c>
      <c r="DK160" s="110" t="str">
        <f aca="false">IF($CX160&gt;$CW$8,"",VLOOKUP($CX160,$CZ$9:$DF$508,5,FALSE()))</f>
        <v/>
      </c>
      <c r="DL160" s="111" t="str">
        <f aca="false">IF($CX160&gt;$CW$8,"",VLOOKUP($CX160,$CZ$9:$DF$508,6,FALSE()))</f>
        <v/>
      </c>
      <c r="DM160" s="75"/>
    </row>
    <row r="161" customFormat="false" ht="15.75" hidden="false" customHeight="false" outlineLevel="0" collapsed="false">
      <c r="A161" s="9"/>
      <c r="B161" s="77"/>
      <c r="C161" s="78"/>
      <c r="D161" s="167"/>
      <c r="E161" s="175"/>
      <c r="F161" s="169"/>
      <c r="G161" s="170"/>
      <c r="H161" s="170"/>
      <c r="I161" s="176"/>
      <c r="J161" s="173"/>
      <c r="K161" s="85"/>
      <c r="L161" s="86"/>
      <c r="M161" s="87"/>
      <c r="N161" s="173"/>
      <c r="O161" s="173"/>
      <c r="P161" s="175"/>
      <c r="Q161" s="173"/>
      <c r="R161" s="173"/>
      <c r="S161" s="85"/>
      <c r="T161" s="87"/>
      <c r="U161" s="87"/>
      <c r="V161" s="173"/>
      <c r="W161" s="173"/>
      <c r="X161" s="175"/>
      <c r="Y161" s="173"/>
      <c r="Z161" s="174"/>
      <c r="AA161" s="173"/>
      <c r="AB161" s="91"/>
      <c r="AC161" s="92"/>
      <c r="AD161" s="92"/>
      <c r="AE161" s="92"/>
      <c r="AF161" s="92" t="str">
        <f aca="false">IF(ISBLANK($C161),"",IF(E161=Constants!$B$3,TRUE(),IF(E161=Constants!$B$4,FALSE(),TRUE())))</f>
        <v/>
      </c>
      <c r="AG161" s="92" t="str">
        <f aca="false">IF(ISBLANK($C161),"",IF(F161=Constants!$B$3,TRUE(),IF(F161=Constants!$B$4,FALSE(),TRUE())))</f>
        <v/>
      </c>
      <c r="AH161" s="92" t="str">
        <f aca="false">IF(ISBLANK($C161),"",IF(G161=Constants!$B$3,TRUE(),IF(G161=Constants!$B$4,FALSE(),TRUE())))</f>
        <v/>
      </c>
      <c r="AI161" s="92" t="str">
        <f aca="false">IF(ISBLANK($C161),"",IF(AND(ISNUMBER(H161),H161&gt;=0),H161,Constants!$B$29))</f>
        <v/>
      </c>
      <c r="AJ161" s="92" t="str">
        <f aca="false">IF(ISBLANK($C161),"",IF(I161=Constants!$B$3,TRUE(),IF(I161=Constants!$B$4,FALSE(),TRUE())))</f>
        <v/>
      </c>
      <c r="AK161" s="92" t="str">
        <f aca="false">IF(ISBLANK($C161),"",IF(J161=Constants!$B$3,TRUE(),IF(J161=Constants!$B$4,FALSE(),TRUE())))</f>
        <v/>
      </c>
      <c r="AL161" s="92" t="str">
        <f aca="false">IF(ISBLANK($C161),"",IF(K161=Constants!$B$5,TRUE(),IF(K161=Constants!$B$6,FALSE(),COUNTA(L161:P161)&gt;0)))</f>
        <v/>
      </c>
      <c r="AM161" s="94" t="str">
        <f aca="false">IF(ISBLANK($C161),"",IF(ISNUMBER(L161),IF(L161&gt;=0,L161,""),""))</f>
        <v/>
      </c>
      <c r="AN161" s="93" t="str">
        <f aca="false">IF(ISBLANK($C161),"",IF(ISNUMBER(M161),IF(M161&gt;=0,M161,""),""))</f>
        <v/>
      </c>
      <c r="AO161" s="93" t="str">
        <f aca="false">IF(ISBLANK($C161),"",IF(N161=Constants!$B$3,TRUE(),IF(N161=Constants!$B$4,FALSE(),TRUE())))</f>
        <v/>
      </c>
      <c r="AP161" s="92" t="str">
        <f aca="false">IF(ISBLANK($C161),"",IF(ISNUMBER(O161),IF(O161&gt;=0,O161,""),""))</f>
        <v/>
      </c>
      <c r="AQ161" s="92" t="str">
        <f aca="false">IF(ISBLANK($C161),"",IF(P161=Constants!$B$3,TRUE(),IF(P161=Constants!$B$4,FALSE(),FALSE())))</f>
        <v/>
      </c>
      <c r="AR161" s="92" t="str">
        <f aca="false">IF(ISBLANK($C161),"",IF(Q161=Constants!$B$3,TRUE(),IF(Q161=Constants!$B$4,FALSE(),TRUE())))</f>
        <v/>
      </c>
      <c r="AS161" s="92" t="str">
        <f aca="false">IF(ISBLANK($C161),"",IF(R161=Constants!$B$3,TRUE(),IF(R161=Constants!$B$4,FALSE(),TRUE())))</f>
        <v/>
      </c>
      <c r="AT161" s="92" t="str">
        <f aca="false">IF(ISBLANK($C161),"",IF(S161=Constants!$B$5,TRUE(),IF(S161=Constants!$B$6,FALSE(),COUNTA(T161:X161)&gt;0)))</f>
        <v/>
      </c>
      <c r="AU161" s="94" t="str">
        <f aca="false">IF(ISBLANK($C161),"",IF(ISNUMBER(T161),IF(T161&gt;=0,T161,""),""))</f>
        <v/>
      </c>
      <c r="AV161" s="93" t="str">
        <f aca="false">IF(ISBLANK($C161),"",IF(ISNUMBER(U161),IF(U161&gt;=0,U161,""),""))</f>
        <v/>
      </c>
      <c r="AW161" s="93" t="str">
        <f aca="false">IF(ISBLANK($C161),"",IF(V161=Constants!$B$3,TRUE(),IF(V161=Constants!$B$4,FALSE(),TRUE())))</f>
        <v/>
      </c>
      <c r="AX161" s="92" t="str">
        <f aca="false">IF(ISBLANK($C161),"",IF(ISNUMBER(W161),IF(W161&gt;=0,W161,""),""))</f>
        <v/>
      </c>
      <c r="AY161" s="92" t="str">
        <f aca="false">IF(ISBLANK($C161),"",IF(X161=Constants!$B$3,TRUE(),IF(X161=Constants!$B$4,FALSE(),FALSE())))</f>
        <v/>
      </c>
      <c r="AZ161" s="92" t="str">
        <f aca="false">IF(ISBLANK($C161),"",MIN(Constants!$B$31,MAX(0,IF(ISNUMBER(Y161),Y161*60,0)+IF(ISNUMBER(Z161),Z161,0))))</f>
        <v/>
      </c>
      <c r="BA161" s="92" t="str">
        <f aca="false">IF(ISBLANK($C161),"",IF(AA161=Constants!$B$3,TRUE(),IF(AA161=Constants!$B$4,FALSE(),FALSE())))</f>
        <v/>
      </c>
      <c r="BB161" s="91" t="str">
        <f aca="false">IF(ISBLANK($C161),"",AND($AL161,OR($AM161="",$AN161="",AND($AO161,$AP161=""))))</f>
        <v/>
      </c>
      <c r="BC161" s="93" t="str">
        <f aca="false">IF($BR161&lt;&gt;Constants!$B$8,"",IF($AL161,Constants!$B$21*$AN161+Constants!$B$22*IF($AO161,$AP161,Constants!$B$23),Constants!$B$24))</f>
        <v/>
      </c>
      <c r="BD161" s="96" t="str">
        <f aca="false">IF($BR161&lt;&gt;Constants!$B$8,"",Constants!$B$25*ABS($AD$9-IF($AL161,$AM161,0)))</f>
        <v/>
      </c>
      <c r="BE161" s="96" t="str">
        <f aca="false">IF($BR161&lt;&gt;Constants!$B$8,"",IF(AND($AL161,$AQ161,$AO161),Constants!$B$27,0))</f>
        <v/>
      </c>
      <c r="BF161" s="96" t="str">
        <f aca="false">IF($BR161&lt;&gt;Constants!$B$8,"",IF($AL161,($AI161-Constants!$B$29)*Constants!$B$28,0))</f>
        <v/>
      </c>
      <c r="BG161" s="96" t="str">
        <f aca="false">IF($BR161&lt;&gt;Constants!$B$8,"",IF($AK161,0,Constants!$B$15)+IF($AJ161,0,Constants!$B$16)+IF($AH161,0,Constants!$B$17))</f>
        <v/>
      </c>
      <c r="BH161" s="97" t="str">
        <f aca="false">IF($BR161&lt;&gt;Constants!$B$8,"",Constants!$B$20+SUM($BC161:$BG161))</f>
        <v/>
      </c>
      <c r="BI161" s="92" t="str">
        <f aca="false">IF($BR161&lt;&gt;Constants!$B$8,"",IF(OR($BP161&lt;$BH161,AND($BP161=$BH161,OR($BK161&lt;$BC161,AND($BK161=$BC161,OR($BL161&lt;$BD161,AND($BL161=$BD161,$AT161,$AL161,$AV161&lt;$AN161)))))),"-&gt;","&lt;-"))</f>
        <v/>
      </c>
      <c r="BJ161" s="91" t="str">
        <f aca="false">IF(ISBLANK($C161),"",AND($AT161,OR($AU161="",$AV161="",AND($AW161,$AX161=""))))</f>
        <v/>
      </c>
      <c r="BK161" s="93" t="str">
        <f aca="false">IF($BR161&lt;&gt;Constants!$B$8,"",IF($AT161,Constants!$B$21*$AV161+Constants!$B$22*IF($AW161,$AX161,Constants!$B$23),Constants!$B$24))</f>
        <v/>
      </c>
      <c r="BL161" s="96" t="str">
        <f aca="false">IF($BR161&lt;&gt;Constants!$B$8,"",Constants!$B$25*ABS($AD$9-IF($AT161,$AU161,0)))</f>
        <v/>
      </c>
      <c r="BM161" s="96" t="str">
        <f aca="false">IF($BR161&lt;&gt;Constants!$B$8,"",IF(AND($AT161,$AY161,$AW161),Constants!$B$27,0))</f>
        <v/>
      </c>
      <c r="BN161" s="96" t="str">
        <f aca="false">IF($BR161&lt;&gt;Constants!$B$8,"",IF($AT161,($AI161-Constants!$B$29)*Constants!$B$28,0))</f>
        <v/>
      </c>
      <c r="BO161" s="96" t="str">
        <f aca="false">IF($BR161&lt;&gt;Constants!$B$8,"",IF($AS161,0,Constants!$B$15)+IF($AR161,0,Constants!$B$16)+IF($AH161,0,Constants!$B$17))</f>
        <v/>
      </c>
      <c r="BP161" s="97" t="str">
        <f aca="false">IF($BR161&lt;&gt;Constants!$B$8,"",Constants!$B$20+SUM($BK161:$BO161))</f>
        <v/>
      </c>
      <c r="BQ161" s="92" t="str">
        <f aca="false">IF(ISBLANK($C161),"",IF(ISBLANK($D$7),$BQ$5,IF(NOT(ISNUMBER($D$7)),$BQ$6,"")))</f>
        <v/>
      </c>
      <c r="BR161" s="92" t="str">
        <f aca="false">IF(ISBLANK($C161),"",IF($BA161,Constants!$B$11,IF(COUNTA($E161:$AA161)=0,Constants!$B$10,IF(NOT($AG161),Constants!$B$9,IF(OR($BQ161&lt;&gt;"",$BB161,$BJ161),Constants!$B$12,Constants!$B$8)))))</f>
        <v/>
      </c>
      <c r="BS161" s="92" t="str">
        <f aca="false">IF(ISBLANK($C161),"",IF($BR161&lt;&gt;Constants!$B$8,$BR161,Constants!$B$13))</f>
        <v/>
      </c>
      <c r="BT161" s="96" t="str">
        <f aca="false">IF($BR161&lt;&gt;Constants!$B$8,"",IF($BI161="-&gt;",$BP161,$BH161))</f>
        <v/>
      </c>
      <c r="BU161" s="96" t="str">
        <f aca="false">IF($BR161&lt;&gt;Constants!$B$8,"",IF($AF161,0,Constants!$B$18))</f>
        <v/>
      </c>
      <c r="BV161" s="96" t="str">
        <f aca="false">IF($BR161&lt;&gt;Constants!$B$8,"",((Constants!$B$31-$AZ161)-Constants!$B$31)/Constants!$B$32)</f>
        <v/>
      </c>
      <c r="BW161" s="96" t="str">
        <f aca="false">IF(ISBLANK($C161),"",IF($BR161&lt;&gt;Constants!$B$8,$BR161,SUM($BT161:$BV161)))</f>
        <v/>
      </c>
      <c r="BX161" s="92" t="str">
        <f aca="false">IF(ISBLANK($C161),"",IF($BR161&lt;&gt;Constants!$B$8,$BR161,RANK($BW161,$BW$9:$BW$508,1)))</f>
        <v/>
      </c>
      <c r="BY161" s="96" t="str">
        <f aca="false">IF($BR161&lt;&gt;Constants!$B$8,"",IF($BI161="-&gt;",$BK161,$BC161))</f>
        <v/>
      </c>
      <c r="BZ161" s="92" t="str">
        <f aca="false">IF(ISBLANK($C161),"",IF($BR161&lt;&gt;Constants!$B$8,$BR161,IF(ISNUMBER($BY161),RANK($BY161,$BY$9:$BY$508,1),COUNT($BY$9:$BY$508)+1)))</f>
        <v/>
      </c>
      <c r="CA161" s="96" t="str">
        <f aca="false">IF($BR161&lt;&gt;Constants!$B$8,"",IF($BI161="-&gt;",$BL161,$BD161))</f>
        <v/>
      </c>
      <c r="CB161" s="92" t="str">
        <f aca="false">IF(ISBLANK($C161),"",IF($BR161&lt;&gt;Constants!$B$8,$BR161,IF(ISNUMBER($CA161),RANK($CA161,$CA$9:$CA$508,1),COUNT($CA$9:$CA$508)+1)))</f>
        <v/>
      </c>
      <c r="CC161" s="96" t="str">
        <f aca="false">IF($BR161&lt;&gt;Constants!$B$8,"",IF($BI161="-&gt;",IF($AT161,$AV161,""),IF($AL161,$AN161,"")))</f>
        <v/>
      </c>
      <c r="CD161" s="92" t="str">
        <f aca="false">IF(ISBLANK($C161),"",IF($BR161&lt;&gt;Constants!$B$8,$BR161,IF(ISNUMBER($CC161),RANK($CC161,$CC$9:$CC$508,1),COUNT($CC$9:$CC$508)+1)))</f>
        <v/>
      </c>
      <c r="CE161" s="96" t="str">
        <f aca="false">IF($BR161&lt;&gt;Constants!$B$8,"",IF(AND(NOT($AL161),NOT($AT161),$AJ161,$AK161,$AR161,$AS161),"",$AI161))</f>
        <v/>
      </c>
      <c r="CF161" s="92" t="str">
        <f aca="false">IF(ISBLANK($C161),"",IF($BR161&lt;&gt;Constants!$B$8,$BR161,IF(ISNUMBER($CE161),RANK($CE161,$CE$9:$CE$508,1),COUNT($CE$9:$CE$508)+1)))</f>
        <v/>
      </c>
      <c r="CG161" s="92" t="str">
        <f aca="false">IF(ISBLANK($C161),"",IF($BR161&lt;&gt;Constants!$B$8,$BR161,COUNTIFS($BX$9:$BX$508,"&lt;"&amp;$BX161)+COUNTIFS($BX$9:$BX$508,$BX161,$BZ$9:$BZ$508,"&lt;"&amp;$BZ161)+COUNTIFS($BX$9:$BX$508,$BX161,$BZ$9:$BZ$508,$BZ161,$CB$9:$CB$508,"&lt;"&amp;$CB161)+COUNTIFS($BX$9:$BX$508,$BX161,$BZ$9:$BZ$508,$BZ161,$CB$9:$CB$508,$CB161,$CD$9:$CD$508,"&lt;"&amp;$CD161)+COUNTIFS($BX$9:$BX$508,$BX161,$BZ$9:$BZ$508,$BZ161,$CB$9:$CB$508,$CB161,$CD$9:$CD$508,$CD161,$CF$9:$CF$508,"&lt;"&amp;$CF161)+1))</f>
        <v/>
      </c>
      <c r="CH161" s="92" t="str">
        <f aca="false">IF(ISBLANK($C161),"",IF($BR161&lt;&gt;Constants!$B$8,$BR161,$BX161-$CG161))</f>
        <v/>
      </c>
      <c r="CI161" s="98"/>
      <c r="CJ161" s="99"/>
      <c r="CK161" s="100" t="str">
        <f aca="false">IF(ISBLANK($C161),"",IF($BR161=Constants!$B$12,$BQ161,""))</f>
        <v/>
      </c>
      <c r="CL161" s="99" t="str">
        <f aca="false">IF(ISBLANK($C161),"",IF($BR161&lt;&gt;Constants!$B$8,"",IF($BI161="-&gt;",2,1)))</f>
        <v/>
      </c>
      <c r="CM161" s="101" t="str">
        <f aca="false">IF(ISBLANK($C161),"",IF($BR161&lt;&gt;Constants!$B$8,"",IF($BI161="-&gt;",$BK161,$BC161)))</f>
        <v/>
      </c>
      <c r="CN161" s="101" t="str">
        <f aca="false">IF(ISBLANK($C161),"",IF($BR161&lt;&gt;Constants!$B$8,"",IF($BI161="-&gt;",$BL161,$BD161)))</f>
        <v/>
      </c>
      <c r="CO161" s="101" t="str">
        <f aca="false">IF(ISBLANK($C161),"",IF($BR161&lt;&gt;Constants!$B$8,"",IF($BI161="-&gt;",$BM161+$BN161,$BE161+$BF161)+$BV161))</f>
        <v/>
      </c>
      <c r="CP161" s="101" t="str">
        <f aca="false">IF(ISBLANK($C161),"",IF($BR161&lt;&gt;Constants!$B$8,"",IF($BI161="-&gt;",$BO161,$BG161)+$BU161))</f>
        <v/>
      </c>
      <c r="CQ161" s="102" t="str">
        <f aca="false">IF(ISBLANK($C161),"",IF($BR161&lt;&gt;Constants!$B$8,$BR161,$BW161))</f>
        <v/>
      </c>
      <c r="CR161" s="103" t="str">
        <f aca="false">IF(ISBLANK($C161),"",$BS161)</f>
        <v/>
      </c>
      <c r="CS161" s="104" t="str">
        <f aca="false">IF(ISBLANK($C161),"",$CH161)</f>
        <v/>
      </c>
      <c r="CT161" s="104" t="str">
        <f aca="false">IF(ISBLANK($C161),"",$CG161)</f>
        <v/>
      </c>
      <c r="CU161" s="105" t="str">
        <f aca="false">IF(ISBLANK($C161),"",IFERROR(_xlfn.SWITCH($CT161,Constants!$B$11,COUNTA($C$9:$C$508)+2,Constants!$B$10,COUNTA($C$9:$C$508)+1,Constants!$B$9,COUNTA($C$9:$C$508)),$CT161))</f>
        <v/>
      </c>
      <c r="CV161" s="9"/>
      <c r="CW161" s="106" t="n">
        <f aca="false">IF(OR(ISNUMBER($CT161),$CT161=Constants!$B$11,$CT161=Constants!$B$9,$CT161=Constants!$B$10),1,0)</f>
        <v>0</v>
      </c>
      <c r="CX161" s="106" t="n">
        <v>153</v>
      </c>
      <c r="CY161" s="106" t="str">
        <f aca="false">IF(ISBLANK($C161),"",IF(ISNUMBER($CU161),$CU161+ROW($B161)/1000,""))</f>
        <v/>
      </c>
      <c r="CZ161" s="106" t="str">
        <f aca="false">IF(ISNUMBER($CY161),RANK($CY161,$CY$9:$CY$508,1),"")</f>
        <v/>
      </c>
      <c r="DA161" s="106" t="str">
        <f aca="false">IF(ISBLANK($C161),"",$B161)</f>
        <v/>
      </c>
      <c r="DB161" s="106" t="str">
        <f aca="false">IF(ISBLANK($C161),"",$C161)</f>
        <v/>
      </c>
      <c r="DC161" s="106" t="str">
        <f aca="false">IF(ISBLANK($C161),"",$D161)</f>
        <v/>
      </c>
      <c r="DD161" s="107" t="str">
        <f aca="false">$CR161</f>
        <v/>
      </c>
      <c r="DE161" s="108" t="str">
        <f aca="false">$CQ161</f>
        <v/>
      </c>
      <c r="DF161" s="106" t="str">
        <f aca="false">IF(ISBLANK($C161),"",$CT161)</f>
        <v/>
      </c>
      <c r="DG161" s="109" t="str">
        <f aca="false">IF($CX161&gt;$CW$8,"",VLOOKUP($CX161,$CZ$9:$DF$508,7,FALSE()))</f>
        <v/>
      </c>
      <c r="DH161" s="110" t="str">
        <f aca="false">IF($CX161&gt;$CW$8,"",VLOOKUP($CX161,$CZ$9:$DF$508,2,FALSE()))</f>
        <v/>
      </c>
      <c r="DI161" s="110" t="str">
        <f aca="false">IF($CX161&gt;$CW$8,"",VLOOKUP($CX161,$CZ$9:$DF$508,3,FALSE()))</f>
        <v/>
      </c>
      <c r="DJ161" s="110" t="str">
        <f aca="false">IF($CX161&gt;$CW$8,"",VLOOKUP($CX161,$CZ$9:$DF$508,4,FALSE()))</f>
        <v/>
      </c>
      <c r="DK161" s="110" t="str">
        <f aca="false">IF($CX161&gt;$CW$8,"",VLOOKUP($CX161,$CZ$9:$DF$508,5,FALSE()))</f>
        <v/>
      </c>
      <c r="DL161" s="111" t="str">
        <f aca="false">IF($CX161&gt;$CW$8,"",VLOOKUP($CX161,$CZ$9:$DF$508,6,FALSE()))</f>
        <v/>
      </c>
      <c r="DM161" s="75"/>
    </row>
    <row r="162" customFormat="false" ht="15.75" hidden="false" customHeight="false" outlineLevel="0" collapsed="false">
      <c r="A162" s="9"/>
      <c r="B162" s="157"/>
      <c r="C162" s="158"/>
      <c r="D162" s="159"/>
      <c r="E162" s="177"/>
      <c r="F162" s="161"/>
      <c r="G162" s="162"/>
      <c r="H162" s="162"/>
      <c r="I162" s="178"/>
      <c r="J162" s="165"/>
      <c r="K162" s="126"/>
      <c r="L162" s="127"/>
      <c r="M162" s="128"/>
      <c r="N162" s="165"/>
      <c r="O162" s="165"/>
      <c r="P162" s="177"/>
      <c r="Q162" s="165"/>
      <c r="R162" s="165"/>
      <c r="S162" s="126"/>
      <c r="T162" s="128"/>
      <c r="U162" s="128"/>
      <c r="V162" s="165"/>
      <c r="W162" s="165"/>
      <c r="X162" s="177"/>
      <c r="Y162" s="165"/>
      <c r="Z162" s="166"/>
      <c r="AA162" s="165"/>
      <c r="AB162" s="132"/>
      <c r="AC162" s="133"/>
      <c r="AD162" s="133"/>
      <c r="AE162" s="133"/>
      <c r="AF162" s="133" t="str">
        <f aca="false">IF(ISBLANK($C162),"",IF(E162=Constants!$B$3,TRUE(),IF(E162=Constants!$B$4,FALSE(),TRUE())))</f>
        <v/>
      </c>
      <c r="AG162" s="133" t="str">
        <f aca="false">IF(ISBLANK($C162),"",IF(F162=Constants!$B$3,TRUE(),IF(F162=Constants!$B$4,FALSE(),TRUE())))</f>
        <v/>
      </c>
      <c r="AH162" s="133" t="str">
        <f aca="false">IF(ISBLANK($C162),"",IF(G162=Constants!$B$3,TRUE(),IF(G162=Constants!$B$4,FALSE(),TRUE())))</f>
        <v/>
      </c>
      <c r="AI162" s="133" t="str">
        <f aca="false">IF(ISBLANK($C162),"",IF(AND(ISNUMBER(H162),H162&gt;=0),H162,Constants!$B$29))</f>
        <v/>
      </c>
      <c r="AJ162" s="133" t="str">
        <f aca="false">IF(ISBLANK($C162),"",IF(I162=Constants!$B$3,TRUE(),IF(I162=Constants!$B$4,FALSE(),TRUE())))</f>
        <v/>
      </c>
      <c r="AK162" s="133" t="str">
        <f aca="false">IF(ISBLANK($C162),"",IF(J162=Constants!$B$3,TRUE(),IF(J162=Constants!$B$4,FALSE(),TRUE())))</f>
        <v/>
      </c>
      <c r="AL162" s="133" t="str">
        <f aca="false">IF(ISBLANK($C162),"",IF(K162=Constants!$B$5,TRUE(),IF(K162=Constants!$B$6,FALSE(),COUNTA(L162:P162)&gt;0)))</f>
        <v/>
      </c>
      <c r="AM162" s="134" t="str">
        <f aca="false">IF(ISBLANK($C162),"",IF(ISNUMBER(L162),IF(L162&gt;=0,L162,""),""))</f>
        <v/>
      </c>
      <c r="AN162" s="135" t="str">
        <f aca="false">IF(ISBLANK($C162),"",IF(ISNUMBER(M162),IF(M162&gt;=0,M162,""),""))</f>
        <v/>
      </c>
      <c r="AO162" s="135" t="str">
        <f aca="false">IF(ISBLANK($C162),"",IF(N162=Constants!$B$3,TRUE(),IF(N162=Constants!$B$4,FALSE(),TRUE())))</f>
        <v/>
      </c>
      <c r="AP162" s="133" t="str">
        <f aca="false">IF(ISBLANK($C162),"",IF(ISNUMBER(O162),IF(O162&gt;=0,O162,""),""))</f>
        <v/>
      </c>
      <c r="AQ162" s="133" t="str">
        <f aca="false">IF(ISBLANK($C162),"",IF(P162=Constants!$B$3,TRUE(),IF(P162=Constants!$B$4,FALSE(),FALSE())))</f>
        <v/>
      </c>
      <c r="AR162" s="133" t="str">
        <f aca="false">IF(ISBLANK($C162),"",IF(Q162=Constants!$B$3,TRUE(),IF(Q162=Constants!$B$4,FALSE(),TRUE())))</f>
        <v/>
      </c>
      <c r="AS162" s="133" t="str">
        <f aca="false">IF(ISBLANK($C162),"",IF(R162=Constants!$B$3,TRUE(),IF(R162=Constants!$B$4,FALSE(),TRUE())))</f>
        <v/>
      </c>
      <c r="AT162" s="133" t="str">
        <f aca="false">IF(ISBLANK($C162),"",IF(S162=Constants!$B$5,TRUE(),IF(S162=Constants!$B$6,FALSE(),COUNTA(T162:X162)&gt;0)))</f>
        <v/>
      </c>
      <c r="AU162" s="134" t="str">
        <f aca="false">IF(ISBLANK($C162),"",IF(ISNUMBER(T162),IF(T162&gt;=0,T162,""),""))</f>
        <v/>
      </c>
      <c r="AV162" s="135" t="str">
        <f aca="false">IF(ISBLANK($C162),"",IF(ISNUMBER(U162),IF(U162&gt;=0,U162,""),""))</f>
        <v/>
      </c>
      <c r="AW162" s="135" t="str">
        <f aca="false">IF(ISBLANK($C162),"",IF(V162=Constants!$B$3,TRUE(),IF(V162=Constants!$B$4,FALSE(),TRUE())))</f>
        <v/>
      </c>
      <c r="AX162" s="133" t="str">
        <f aca="false">IF(ISBLANK($C162),"",IF(ISNUMBER(W162),IF(W162&gt;=0,W162,""),""))</f>
        <v/>
      </c>
      <c r="AY162" s="133" t="str">
        <f aca="false">IF(ISBLANK($C162),"",IF(X162=Constants!$B$3,TRUE(),IF(X162=Constants!$B$4,FALSE(),FALSE())))</f>
        <v/>
      </c>
      <c r="AZ162" s="133" t="str">
        <f aca="false">IF(ISBLANK($C162),"",MIN(Constants!$B$31,MAX(0,IF(ISNUMBER(Y162),Y162*60,0)+IF(ISNUMBER(Z162),Z162,0))))</f>
        <v/>
      </c>
      <c r="BA162" s="133" t="str">
        <f aca="false">IF(ISBLANK($C162),"",IF(AA162=Constants!$B$3,TRUE(),IF(AA162=Constants!$B$4,FALSE(),FALSE())))</f>
        <v/>
      </c>
      <c r="BB162" s="132" t="str">
        <f aca="false">IF(ISBLANK($C162),"",AND($AL162,OR($AM162="",$AN162="",AND($AO162,$AP162=""))))</f>
        <v/>
      </c>
      <c r="BC162" s="135" t="str">
        <f aca="false">IF($BR162&lt;&gt;Constants!$B$8,"",IF($AL162,Constants!$B$21*$AN162+Constants!$B$22*IF($AO162,$AP162,Constants!$B$23),Constants!$B$24))</f>
        <v/>
      </c>
      <c r="BD162" s="136" t="str">
        <f aca="false">IF($BR162&lt;&gt;Constants!$B$8,"",Constants!$B$25*ABS($AD$9-IF($AL162,$AM162,0)))</f>
        <v/>
      </c>
      <c r="BE162" s="136" t="str">
        <f aca="false">IF($BR162&lt;&gt;Constants!$B$8,"",IF(AND($AL162,$AQ162,$AO162),Constants!$B$27,0))</f>
        <v/>
      </c>
      <c r="BF162" s="136" t="str">
        <f aca="false">IF($BR162&lt;&gt;Constants!$B$8,"",IF($AL162,($AI162-Constants!$B$29)*Constants!$B$28,0))</f>
        <v/>
      </c>
      <c r="BG162" s="136" t="str">
        <f aca="false">IF($BR162&lt;&gt;Constants!$B$8,"",IF($AK162,0,Constants!$B$15)+IF($AJ162,0,Constants!$B$16)+IF($AH162,0,Constants!$B$17))</f>
        <v/>
      </c>
      <c r="BH162" s="137" t="str">
        <f aca="false">IF($BR162&lt;&gt;Constants!$B$8,"",Constants!$B$20+SUM($BC162:$BG162))</f>
        <v/>
      </c>
      <c r="BI162" s="133" t="str">
        <f aca="false">IF($BR162&lt;&gt;Constants!$B$8,"",IF(OR($BP162&lt;$BH162,AND($BP162=$BH162,OR($BK162&lt;$BC162,AND($BK162=$BC162,OR($BL162&lt;$BD162,AND($BL162=$BD162,$AT162,$AL162,$AV162&lt;$AN162)))))),"-&gt;","&lt;-"))</f>
        <v/>
      </c>
      <c r="BJ162" s="132" t="str">
        <f aca="false">IF(ISBLANK($C162),"",AND($AT162,OR($AU162="",$AV162="",AND($AW162,$AX162=""))))</f>
        <v/>
      </c>
      <c r="BK162" s="135" t="str">
        <f aca="false">IF($BR162&lt;&gt;Constants!$B$8,"",IF($AT162,Constants!$B$21*$AV162+Constants!$B$22*IF($AW162,$AX162,Constants!$B$23),Constants!$B$24))</f>
        <v/>
      </c>
      <c r="BL162" s="136" t="str">
        <f aca="false">IF($BR162&lt;&gt;Constants!$B$8,"",Constants!$B$25*ABS($AD$9-IF($AT162,$AU162,0)))</f>
        <v/>
      </c>
      <c r="BM162" s="136" t="str">
        <f aca="false">IF($BR162&lt;&gt;Constants!$B$8,"",IF(AND($AT162,$AY162,$AW162),Constants!$B$27,0))</f>
        <v/>
      </c>
      <c r="BN162" s="136" t="str">
        <f aca="false">IF($BR162&lt;&gt;Constants!$B$8,"",IF($AT162,($AI162-Constants!$B$29)*Constants!$B$28,0))</f>
        <v/>
      </c>
      <c r="BO162" s="136" t="str">
        <f aca="false">IF($BR162&lt;&gt;Constants!$B$8,"",IF($AS162,0,Constants!$B$15)+IF($AR162,0,Constants!$B$16)+IF($AH162,0,Constants!$B$17))</f>
        <v/>
      </c>
      <c r="BP162" s="137" t="str">
        <f aca="false">IF($BR162&lt;&gt;Constants!$B$8,"",Constants!$B$20+SUM($BK162:$BO162))</f>
        <v/>
      </c>
      <c r="BQ162" s="133" t="str">
        <f aca="false">IF(ISBLANK($C162),"",IF(ISBLANK($D$7),$BQ$5,IF(NOT(ISNUMBER($D$7)),$BQ$6,"")))</f>
        <v/>
      </c>
      <c r="BR162" s="133" t="str">
        <f aca="false">IF(ISBLANK($C162),"",IF($BA162,Constants!$B$11,IF(COUNTA($E162:$AA162)=0,Constants!$B$10,IF(NOT($AG162),Constants!$B$9,IF(OR($BQ162&lt;&gt;"",$BB162,$BJ162),Constants!$B$12,Constants!$B$8)))))</f>
        <v/>
      </c>
      <c r="BS162" s="133" t="str">
        <f aca="false">IF(ISBLANK($C162),"",IF($BR162&lt;&gt;Constants!$B$8,$BR162,Constants!$B$13))</f>
        <v/>
      </c>
      <c r="BT162" s="136" t="str">
        <f aca="false">IF($BR162&lt;&gt;Constants!$B$8,"",IF($BI162="-&gt;",$BP162,$BH162))</f>
        <v/>
      </c>
      <c r="BU162" s="136" t="str">
        <f aca="false">IF($BR162&lt;&gt;Constants!$B$8,"",IF($AF162,0,Constants!$B$18))</f>
        <v/>
      </c>
      <c r="BV162" s="136" t="str">
        <f aca="false">IF($BR162&lt;&gt;Constants!$B$8,"",((Constants!$B$31-$AZ162)-Constants!$B$31)/Constants!$B$32)</f>
        <v/>
      </c>
      <c r="BW162" s="136" t="str">
        <f aca="false">IF(ISBLANK($C162),"",IF($BR162&lt;&gt;Constants!$B$8,$BR162,SUM($BT162:$BV162)))</f>
        <v/>
      </c>
      <c r="BX162" s="133" t="str">
        <f aca="false">IF(ISBLANK($C162),"",IF($BR162&lt;&gt;Constants!$B$8,$BR162,RANK($BW162,$BW$9:$BW$508,1)))</f>
        <v/>
      </c>
      <c r="BY162" s="136" t="str">
        <f aca="false">IF($BR162&lt;&gt;Constants!$B$8,"",IF($BI162="-&gt;",$BK162,$BC162))</f>
        <v/>
      </c>
      <c r="BZ162" s="133" t="str">
        <f aca="false">IF(ISBLANK($C162),"",IF($BR162&lt;&gt;Constants!$B$8,$BR162,IF(ISNUMBER($BY162),RANK($BY162,$BY$9:$BY$508,1),COUNT($BY$9:$BY$508)+1)))</f>
        <v/>
      </c>
      <c r="CA162" s="136" t="str">
        <f aca="false">IF($BR162&lt;&gt;Constants!$B$8,"",IF($BI162="-&gt;",$BL162,$BD162))</f>
        <v/>
      </c>
      <c r="CB162" s="133" t="str">
        <f aca="false">IF(ISBLANK($C162),"",IF($BR162&lt;&gt;Constants!$B$8,$BR162,IF(ISNUMBER($CA162),RANK($CA162,$CA$9:$CA$508,1),COUNT($CA$9:$CA$508)+1)))</f>
        <v/>
      </c>
      <c r="CC162" s="136" t="str">
        <f aca="false">IF($BR162&lt;&gt;Constants!$B$8,"",IF($BI162="-&gt;",IF($AT162,$AV162,""),IF($AL162,$AN162,"")))</f>
        <v/>
      </c>
      <c r="CD162" s="133" t="str">
        <f aca="false">IF(ISBLANK($C162),"",IF($BR162&lt;&gt;Constants!$B$8,$BR162,IF(ISNUMBER($CC162),RANK($CC162,$CC$9:$CC$508,1),COUNT($CC$9:$CC$508)+1)))</f>
        <v/>
      </c>
      <c r="CE162" s="136" t="str">
        <f aca="false">IF($BR162&lt;&gt;Constants!$B$8,"",IF(AND(NOT($AL162),NOT($AT162),$AJ162,$AK162,$AR162,$AS162),"",$AI162))</f>
        <v/>
      </c>
      <c r="CF162" s="133" t="str">
        <f aca="false">IF(ISBLANK($C162),"",IF($BR162&lt;&gt;Constants!$B$8,$BR162,IF(ISNUMBER($CE162),RANK($CE162,$CE$9:$CE$508,1),COUNT($CE$9:$CE$508)+1)))</f>
        <v/>
      </c>
      <c r="CG162" s="133" t="str">
        <f aca="false">IF(ISBLANK($C162),"",IF($BR162&lt;&gt;Constants!$B$8,$BR162,COUNTIFS($BX$9:$BX$508,"&lt;"&amp;$BX162)+COUNTIFS($BX$9:$BX$508,$BX162,$BZ$9:$BZ$508,"&lt;"&amp;$BZ162)+COUNTIFS($BX$9:$BX$508,$BX162,$BZ$9:$BZ$508,$BZ162,$CB$9:$CB$508,"&lt;"&amp;$CB162)+COUNTIFS($BX$9:$BX$508,$BX162,$BZ$9:$BZ$508,$BZ162,$CB$9:$CB$508,$CB162,$CD$9:$CD$508,"&lt;"&amp;$CD162)+COUNTIFS($BX$9:$BX$508,$BX162,$BZ$9:$BZ$508,$BZ162,$CB$9:$CB$508,$CB162,$CD$9:$CD$508,$CD162,$CF$9:$CF$508,"&lt;"&amp;$CF162)+1))</f>
        <v/>
      </c>
      <c r="CH162" s="133" t="str">
        <f aca="false">IF(ISBLANK($C162),"",IF($BR162&lt;&gt;Constants!$B$8,$BR162,$BX162-$CG162))</f>
        <v/>
      </c>
      <c r="CI162" s="138"/>
      <c r="CJ162" s="139"/>
      <c r="CK162" s="140" t="str">
        <f aca="false">IF(ISBLANK($C162),"",IF($BR162=Constants!$B$12,$BQ162,""))</f>
        <v/>
      </c>
      <c r="CL162" s="139" t="str">
        <f aca="false">IF(ISBLANK($C162),"",IF($BR162&lt;&gt;Constants!$B$8,"",IF($BI162="-&gt;",2,1)))</f>
        <v/>
      </c>
      <c r="CM162" s="141" t="str">
        <f aca="false">IF(ISBLANK($C162),"",IF($BR162&lt;&gt;Constants!$B$8,"",IF($BI162="-&gt;",$BK162,$BC162)))</f>
        <v/>
      </c>
      <c r="CN162" s="141" t="str">
        <f aca="false">IF(ISBLANK($C162),"",IF($BR162&lt;&gt;Constants!$B$8,"",IF($BI162="-&gt;",$BL162,$BD162)))</f>
        <v/>
      </c>
      <c r="CO162" s="141" t="str">
        <f aca="false">IF(ISBLANK($C162),"",IF($BR162&lt;&gt;Constants!$B$8,"",IF($BI162="-&gt;",$BM162+$BN162,$BE162+$BF162)+$BV162))</f>
        <v/>
      </c>
      <c r="CP162" s="141" t="str">
        <f aca="false">IF(ISBLANK($C162),"",IF($BR162&lt;&gt;Constants!$B$8,"",IF($BI162="-&gt;",$BO162,$BG162)+$BU162))</f>
        <v/>
      </c>
      <c r="CQ162" s="142" t="str">
        <f aca="false">IF(ISBLANK($C162),"",IF($BR162&lt;&gt;Constants!$B$8,$BR162,$BW162))</f>
        <v/>
      </c>
      <c r="CR162" s="143" t="str">
        <f aca="false">IF(ISBLANK($C162),"",$BS162)</f>
        <v/>
      </c>
      <c r="CS162" s="144" t="str">
        <f aca="false">IF(ISBLANK($C162),"",$CH162)</f>
        <v/>
      </c>
      <c r="CT162" s="144" t="str">
        <f aca="false">IF(ISBLANK($C162),"",$CG162)</f>
        <v/>
      </c>
      <c r="CU162" s="145" t="str">
        <f aca="false">IF(ISBLANK($C162),"",IFERROR(_xlfn.SWITCH($CT162,Constants!$B$11,COUNTA($C$9:$C$508)+2,Constants!$B$10,COUNTA($C$9:$C$508)+1,Constants!$B$9,COUNTA($C$9:$C$508)),$CT162))</f>
        <v/>
      </c>
      <c r="CV162" s="9"/>
      <c r="CW162" s="146" t="n">
        <f aca="false">IF(OR(ISNUMBER($CT162),$CT162=Constants!$B$11,$CT162=Constants!$B$9,$CT162=Constants!$B$10),1,0)</f>
        <v>0</v>
      </c>
      <c r="CX162" s="146" t="n">
        <v>154</v>
      </c>
      <c r="CY162" s="146" t="str">
        <f aca="false">IF(ISBLANK($C162),"",IF(ISNUMBER($CU162),$CU162+ROW($B162)/1000,""))</f>
        <v/>
      </c>
      <c r="CZ162" s="146" t="str">
        <f aca="false">IF(ISNUMBER($CY162),RANK($CY162,$CY$9:$CY$508,1),"")</f>
        <v/>
      </c>
      <c r="DA162" s="146" t="str">
        <f aca="false">IF(ISBLANK($C162),"",$B162)</f>
        <v/>
      </c>
      <c r="DB162" s="146" t="str">
        <f aca="false">IF(ISBLANK($C162),"",$C162)</f>
        <v/>
      </c>
      <c r="DC162" s="146" t="str">
        <f aca="false">IF(ISBLANK($C162),"",$D162)</f>
        <v/>
      </c>
      <c r="DD162" s="147" t="str">
        <f aca="false">$CR162</f>
        <v/>
      </c>
      <c r="DE162" s="148" t="str">
        <f aca="false">$CQ162</f>
        <v/>
      </c>
      <c r="DF162" s="146" t="str">
        <f aca="false">IF(ISBLANK($C162),"",$CT162)</f>
        <v/>
      </c>
      <c r="DG162" s="149" t="str">
        <f aca="false">IF($CX162&gt;$CW$8,"",VLOOKUP($CX162,$CZ$9:$DF$508,7,FALSE()))</f>
        <v/>
      </c>
      <c r="DH162" s="150" t="str">
        <f aca="false">IF($CX162&gt;$CW$8,"",VLOOKUP($CX162,$CZ$9:$DF$508,2,FALSE()))</f>
        <v/>
      </c>
      <c r="DI162" s="150" t="str">
        <f aca="false">IF($CX162&gt;$CW$8,"",VLOOKUP($CX162,$CZ$9:$DF$508,3,FALSE()))</f>
        <v/>
      </c>
      <c r="DJ162" s="150" t="str">
        <f aca="false">IF($CX162&gt;$CW$8,"",VLOOKUP($CX162,$CZ$9:$DF$508,4,FALSE()))</f>
        <v/>
      </c>
      <c r="DK162" s="150" t="str">
        <f aca="false">IF($CX162&gt;$CW$8,"",VLOOKUP($CX162,$CZ$9:$DF$508,5,FALSE()))</f>
        <v/>
      </c>
      <c r="DL162" s="151" t="str">
        <f aca="false">IF($CX162&gt;$CW$8,"",VLOOKUP($CX162,$CZ$9:$DF$508,6,FALSE()))</f>
        <v/>
      </c>
      <c r="DM162" s="75"/>
    </row>
    <row r="163" customFormat="false" ht="15.75" hidden="false" customHeight="false" outlineLevel="0" collapsed="false">
      <c r="A163" s="9"/>
      <c r="B163" s="157"/>
      <c r="C163" s="158"/>
      <c r="D163" s="159"/>
      <c r="E163" s="177"/>
      <c r="F163" s="161"/>
      <c r="G163" s="162"/>
      <c r="H163" s="162"/>
      <c r="I163" s="178"/>
      <c r="J163" s="165"/>
      <c r="K163" s="126"/>
      <c r="L163" s="127"/>
      <c r="M163" s="128"/>
      <c r="N163" s="165"/>
      <c r="O163" s="165"/>
      <c r="P163" s="177"/>
      <c r="Q163" s="165"/>
      <c r="R163" s="165"/>
      <c r="S163" s="126"/>
      <c r="T163" s="128"/>
      <c r="U163" s="128"/>
      <c r="V163" s="165"/>
      <c r="W163" s="165"/>
      <c r="X163" s="177"/>
      <c r="Y163" s="165"/>
      <c r="Z163" s="166"/>
      <c r="AA163" s="165"/>
      <c r="AB163" s="132"/>
      <c r="AC163" s="133"/>
      <c r="AD163" s="133"/>
      <c r="AE163" s="133"/>
      <c r="AF163" s="133" t="str">
        <f aca="false">IF(ISBLANK($C163),"",IF(E163=Constants!$B$3,TRUE(),IF(E163=Constants!$B$4,FALSE(),TRUE())))</f>
        <v/>
      </c>
      <c r="AG163" s="133" t="str">
        <f aca="false">IF(ISBLANK($C163),"",IF(F163=Constants!$B$3,TRUE(),IF(F163=Constants!$B$4,FALSE(),TRUE())))</f>
        <v/>
      </c>
      <c r="AH163" s="133" t="str">
        <f aca="false">IF(ISBLANK($C163),"",IF(G163=Constants!$B$3,TRUE(),IF(G163=Constants!$B$4,FALSE(),TRUE())))</f>
        <v/>
      </c>
      <c r="AI163" s="133" t="str">
        <f aca="false">IF(ISBLANK($C163),"",IF(AND(ISNUMBER(H163),H163&gt;=0),H163,Constants!$B$29))</f>
        <v/>
      </c>
      <c r="AJ163" s="133" t="str">
        <f aca="false">IF(ISBLANK($C163),"",IF(I163=Constants!$B$3,TRUE(),IF(I163=Constants!$B$4,FALSE(),TRUE())))</f>
        <v/>
      </c>
      <c r="AK163" s="133" t="str">
        <f aca="false">IF(ISBLANK($C163),"",IF(J163=Constants!$B$3,TRUE(),IF(J163=Constants!$B$4,FALSE(),TRUE())))</f>
        <v/>
      </c>
      <c r="AL163" s="133" t="str">
        <f aca="false">IF(ISBLANK($C163),"",IF(K163=Constants!$B$5,TRUE(),IF(K163=Constants!$B$6,FALSE(),COUNTA(L163:P163)&gt;0)))</f>
        <v/>
      </c>
      <c r="AM163" s="134" t="str">
        <f aca="false">IF(ISBLANK($C163),"",IF(ISNUMBER(L163),IF(L163&gt;=0,L163,""),""))</f>
        <v/>
      </c>
      <c r="AN163" s="135" t="str">
        <f aca="false">IF(ISBLANK($C163),"",IF(ISNUMBER(M163),IF(M163&gt;=0,M163,""),""))</f>
        <v/>
      </c>
      <c r="AO163" s="135" t="str">
        <f aca="false">IF(ISBLANK($C163),"",IF(N163=Constants!$B$3,TRUE(),IF(N163=Constants!$B$4,FALSE(),TRUE())))</f>
        <v/>
      </c>
      <c r="AP163" s="133" t="str">
        <f aca="false">IF(ISBLANK($C163),"",IF(ISNUMBER(O163),IF(O163&gt;=0,O163,""),""))</f>
        <v/>
      </c>
      <c r="AQ163" s="133" t="str">
        <f aca="false">IF(ISBLANK($C163),"",IF(P163=Constants!$B$3,TRUE(),IF(P163=Constants!$B$4,FALSE(),FALSE())))</f>
        <v/>
      </c>
      <c r="AR163" s="133" t="str">
        <f aca="false">IF(ISBLANK($C163),"",IF(Q163=Constants!$B$3,TRUE(),IF(Q163=Constants!$B$4,FALSE(),TRUE())))</f>
        <v/>
      </c>
      <c r="AS163" s="133" t="str">
        <f aca="false">IF(ISBLANK($C163),"",IF(R163=Constants!$B$3,TRUE(),IF(R163=Constants!$B$4,FALSE(),TRUE())))</f>
        <v/>
      </c>
      <c r="AT163" s="133" t="str">
        <f aca="false">IF(ISBLANK($C163),"",IF(S163=Constants!$B$5,TRUE(),IF(S163=Constants!$B$6,FALSE(),COUNTA(T163:X163)&gt;0)))</f>
        <v/>
      </c>
      <c r="AU163" s="134" t="str">
        <f aca="false">IF(ISBLANK($C163),"",IF(ISNUMBER(T163),IF(T163&gt;=0,T163,""),""))</f>
        <v/>
      </c>
      <c r="AV163" s="135" t="str">
        <f aca="false">IF(ISBLANK($C163),"",IF(ISNUMBER(U163),IF(U163&gt;=0,U163,""),""))</f>
        <v/>
      </c>
      <c r="AW163" s="135" t="str">
        <f aca="false">IF(ISBLANK($C163),"",IF(V163=Constants!$B$3,TRUE(),IF(V163=Constants!$B$4,FALSE(),TRUE())))</f>
        <v/>
      </c>
      <c r="AX163" s="133" t="str">
        <f aca="false">IF(ISBLANK($C163),"",IF(ISNUMBER(W163),IF(W163&gt;=0,W163,""),""))</f>
        <v/>
      </c>
      <c r="AY163" s="133" t="str">
        <f aca="false">IF(ISBLANK($C163),"",IF(X163=Constants!$B$3,TRUE(),IF(X163=Constants!$B$4,FALSE(),FALSE())))</f>
        <v/>
      </c>
      <c r="AZ163" s="133" t="str">
        <f aca="false">IF(ISBLANK($C163),"",MIN(Constants!$B$31,MAX(0,IF(ISNUMBER(Y163),Y163*60,0)+IF(ISNUMBER(Z163),Z163,0))))</f>
        <v/>
      </c>
      <c r="BA163" s="133" t="str">
        <f aca="false">IF(ISBLANK($C163),"",IF(AA163=Constants!$B$3,TRUE(),IF(AA163=Constants!$B$4,FALSE(),FALSE())))</f>
        <v/>
      </c>
      <c r="BB163" s="132" t="str">
        <f aca="false">IF(ISBLANK($C163),"",AND($AL163,OR($AM163="",$AN163="",AND($AO163,$AP163=""))))</f>
        <v/>
      </c>
      <c r="BC163" s="135" t="str">
        <f aca="false">IF($BR163&lt;&gt;Constants!$B$8,"",IF($AL163,Constants!$B$21*$AN163+Constants!$B$22*IF($AO163,$AP163,Constants!$B$23),Constants!$B$24))</f>
        <v/>
      </c>
      <c r="BD163" s="136" t="str">
        <f aca="false">IF($BR163&lt;&gt;Constants!$B$8,"",Constants!$B$25*ABS($AD$9-IF($AL163,$AM163,0)))</f>
        <v/>
      </c>
      <c r="BE163" s="136" t="str">
        <f aca="false">IF($BR163&lt;&gt;Constants!$B$8,"",IF(AND($AL163,$AQ163,$AO163),Constants!$B$27,0))</f>
        <v/>
      </c>
      <c r="BF163" s="136" t="str">
        <f aca="false">IF($BR163&lt;&gt;Constants!$B$8,"",IF($AL163,($AI163-Constants!$B$29)*Constants!$B$28,0))</f>
        <v/>
      </c>
      <c r="BG163" s="136" t="str">
        <f aca="false">IF($BR163&lt;&gt;Constants!$B$8,"",IF($AK163,0,Constants!$B$15)+IF($AJ163,0,Constants!$B$16)+IF($AH163,0,Constants!$B$17))</f>
        <v/>
      </c>
      <c r="BH163" s="137" t="str">
        <f aca="false">IF($BR163&lt;&gt;Constants!$B$8,"",Constants!$B$20+SUM($BC163:$BG163))</f>
        <v/>
      </c>
      <c r="BI163" s="133" t="str">
        <f aca="false">IF($BR163&lt;&gt;Constants!$B$8,"",IF(OR($BP163&lt;$BH163,AND($BP163=$BH163,OR($BK163&lt;$BC163,AND($BK163=$BC163,OR($BL163&lt;$BD163,AND($BL163=$BD163,$AT163,$AL163,$AV163&lt;$AN163)))))),"-&gt;","&lt;-"))</f>
        <v/>
      </c>
      <c r="BJ163" s="132" t="str">
        <f aca="false">IF(ISBLANK($C163),"",AND($AT163,OR($AU163="",$AV163="",AND($AW163,$AX163=""))))</f>
        <v/>
      </c>
      <c r="BK163" s="135" t="str">
        <f aca="false">IF($BR163&lt;&gt;Constants!$B$8,"",IF($AT163,Constants!$B$21*$AV163+Constants!$B$22*IF($AW163,$AX163,Constants!$B$23),Constants!$B$24))</f>
        <v/>
      </c>
      <c r="BL163" s="136" t="str">
        <f aca="false">IF($BR163&lt;&gt;Constants!$B$8,"",Constants!$B$25*ABS($AD$9-IF($AT163,$AU163,0)))</f>
        <v/>
      </c>
      <c r="BM163" s="136" t="str">
        <f aca="false">IF($BR163&lt;&gt;Constants!$B$8,"",IF(AND($AT163,$AY163,$AW163),Constants!$B$27,0))</f>
        <v/>
      </c>
      <c r="BN163" s="136" t="str">
        <f aca="false">IF($BR163&lt;&gt;Constants!$B$8,"",IF($AT163,($AI163-Constants!$B$29)*Constants!$B$28,0))</f>
        <v/>
      </c>
      <c r="BO163" s="136" t="str">
        <f aca="false">IF($BR163&lt;&gt;Constants!$B$8,"",IF($AS163,0,Constants!$B$15)+IF($AR163,0,Constants!$B$16)+IF($AH163,0,Constants!$B$17))</f>
        <v/>
      </c>
      <c r="BP163" s="137" t="str">
        <f aca="false">IF($BR163&lt;&gt;Constants!$B$8,"",Constants!$B$20+SUM($BK163:$BO163))</f>
        <v/>
      </c>
      <c r="BQ163" s="133" t="str">
        <f aca="false">IF(ISBLANK($C163),"",IF(ISBLANK($D$7),$BQ$5,IF(NOT(ISNUMBER($D$7)),$BQ$6,"")))</f>
        <v/>
      </c>
      <c r="BR163" s="133" t="str">
        <f aca="false">IF(ISBLANK($C163),"",IF($BA163,Constants!$B$11,IF(COUNTA($E163:$AA163)=0,Constants!$B$10,IF(NOT($AG163),Constants!$B$9,IF(OR($BQ163&lt;&gt;"",$BB163,$BJ163),Constants!$B$12,Constants!$B$8)))))</f>
        <v/>
      </c>
      <c r="BS163" s="133" t="str">
        <f aca="false">IF(ISBLANK($C163),"",IF($BR163&lt;&gt;Constants!$B$8,$BR163,Constants!$B$13))</f>
        <v/>
      </c>
      <c r="BT163" s="136" t="str">
        <f aca="false">IF($BR163&lt;&gt;Constants!$B$8,"",IF($BI163="-&gt;",$BP163,$BH163))</f>
        <v/>
      </c>
      <c r="BU163" s="136" t="str">
        <f aca="false">IF($BR163&lt;&gt;Constants!$B$8,"",IF($AF163,0,Constants!$B$18))</f>
        <v/>
      </c>
      <c r="BV163" s="136" t="str">
        <f aca="false">IF($BR163&lt;&gt;Constants!$B$8,"",((Constants!$B$31-$AZ163)-Constants!$B$31)/Constants!$B$32)</f>
        <v/>
      </c>
      <c r="BW163" s="136" t="str">
        <f aca="false">IF(ISBLANK($C163),"",IF($BR163&lt;&gt;Constants!$B$8,$BR163,SUM($BT163:$BV163)))</f>
        <v/>
      </c>
      <c r="BX163" s="133" t="str">
        <f aca="false">IF(ISBLANK($C163),"",IF($BR163&lt;&gt;Constants!$B$8,$BR163,RANK($BW163,$BW$9:$BW$508,1)))</f>
        <v/>
      </c>
      <c r="BY163" s="136" t="str">
        <f aca="false">IF($BR163&lt;&gt;Constants!$B$8,"",IF($BI163="-&gt;",$BK163,$BC163))</f>
        <v/>
      </c>
      <c r="BZ163" s="133" t="str">
        <f aca="false">IF(ISBLANK($C163),"",IF($BR163&lt;&gt;Constants!$B$8,$BR163,IF(ISNUMBER($BY163),RANK($BY163,$BY$9:$BY$508,1),COUNT($BY$9:$BY$508)+1)))</f>
        <v/>
      </c>
      <c r="CA163" s="136" t="str">
        <f aca="false">IF($BR163&lt;&gt;Constants!$B$8,"",IF($BI163="-&gt;",$BL163,$BD163))</f>
        <v/>
      </c>
      <c r="CB163" s="133" t="str">
        <f aca="false">IF(ISBLANK($C163),"",IF($BR163&lt;&gt;Constants!$B$8,$BR163,IF(ISNUMBER($CA163),RANK($CA163,$CA$9:$CA$508,1),COUNT($CA$9:$CA$508)+1)))</f>
        <v/>
      </c>
      <c r="CC163" s="136" t="str">
        <f aca="false">IF($BR163&lt;&gt;Constants!$B$8,"",IF($BI163="-&gt;",IF($AT163,$AV163,""),IF($AL163,$AN163,"")))</f>
        <v/>
      </c>
      <c r="CD163" s="133" t="str">
        <f aca="false">IF(ISBLANK($C163),"",IF($BR163&lt;&gt;Constants!$B$8,$BR163,IF(ISNUMBER($CC163),RANK($CC163,$CC$9:$CC$508,1),COUNT($CC$9:$CC$508)+1)))</f>
        <v/>
      </c>
      <c r="CE163" s="136" t="str">
        <f aca="false">IF($BR163&lt;&gt;Constants!$B$8,"",IF(AND(NOT($AL163),NOT($AT163),$AJ163,$AK163,$AR163,$AS163),"",$AI163))</f>
        <v/>
      </c>
      <c r="CF163" s="133" t="str">
        <f aca="false">IF(ISBLANK($C163),"",IF($BR163&lt;&gt;Constants!$B$8,$BR163,IF(ISNUMBER($CE163),RANK($CE163,$CE$9:$CE$508,1),COUNT($CE$9:$CE$508)+1)))</f>
        <v/>
      </c>
      <c r="CG163" s="133" t="str">
        <f aca="false">IF(ISBLANK($C163),"",IF($BR163&lt;&gt;Constants!$B$8,$BR163,COUNTIFS($BX$9:$BX$508,"&lt;"&amp;$BX163)+COUNTIFS($BX$9:$BX$508,$BX163,$BZ$9:$BZ$508,"&lt;"&amp;$BZ163)+COUNTIFS($BX$9:$BX$508,$BX163,$BZ$9:$BZ$508,$BZ163,$CB$9:$CB$508,"&lt;"&amp;$CB163)+COUNTIFS($BX$9:$BX$508,$BX163,$BZ$9:$BZ$508,$BZ163,$CB$9:$CB$508,$CB163,$CD$9:$CD$508,"&lt;"&amp;$CD163)+COUNTIFS($BX$9:$BX$508,$BX163,$BZ$9:$BZ$508,$BZ163,$CB$9:$CB$508,$CB163,$CD$9:$CD$508,$CD163,$CF$9:$CF$508,"&lt;"&amp;$CF163)+1))</f>
        <v/>
      </c>
      <c r="CH163" s="133" t="str">
        <f aca="false">IF(ISBLANK($C163),"",IF($BR163&lt;&gt;Constants!$B$8,$BR163,$BX163-$CG163))</f>
        <v/>
      </c>
      <c r="CI163" s="138"/>
      <c r="CJ163" s="139"/>
      <c r="CK163" s="140" t="str">
        <f aca="false">IF(ISBLANK($C163),"",IF($BR163=Constants!$B$12,$BQ163,""))</f>
        <v/>
      </c>
      <c r="CL163" s="139" t="str">
        <f aca="false">IF(ISBLANK($C163),"",IF($BR163&lt;&gt;Constants!$B$8,"",IF($BI163="-&gt;",2,1)))</f>
        <v/>
      </c>
      <c r="CM163" s="141" t="str">
        <f aca="false">IF(ISBLANK($C163),"",IF($BR163&lt;&gt;Constants!$B$8,"",IF($BI163="-&gt;",$BK163,$BC163)))</f>
        <v/>
      </c>
      <c r="CN163" s="141" t="str">
        <f aca="false">IF(ISBLANK($C163),"",IF($BR163&lt;&gt;Constants!$B$8,"",IF($BI163="-&gt;",$BL163,$BD163)))</f>
        <v/>
      </c>
      <c r="CO163" s="141" t="str">
        <f aca="false">IF(ISBLANK($C163),"",IF($BR163&lt;&gt;Constants!$B$8,"",IF($BI163="-&gt;",$BM163+$BN163,$BE163+$BF163)+$BV163))</f>
        <v/>
      </c>
      <c r="CP163" s="141" t="str">
        <f aca="false">IF(ISBLANK($C163),"",IF($BR163&lt;&gt;Constants!$B$8,"",IF($BI163="-&gt;",$BO163,$BG163)+$BU163))</f>
        <v/>
      </c>
      <c r="CQ163" s="142" t="str">
        <f aca="false">IF(ISBLANK($C163),"",IF($BR163&lt;&gt;Constants!$B$8,$BR163,$BW163))</f>
        <v/>
      </c>
      <c r="CR163" s="143" t="str">
        <f aca="false">IF(ISBLANK($C163),"",$BS163)</f>
        <v/>
      </c>
      <c r="CS163" s="144" t="str">
        <f aca="false">IF(ISBLANK($C163),"",$CH163)</f>
        <v/>
      </c>
      <c r="CT163" s="144" t="str">
        <f aca="false">IF(ISBLANK($C163),"",$CG163)</f>
        <v/>
      </c>
      <c r="CU163" s="145" t="str">
        <f aca="false">IF(ISBLANK($C163),"",IFERROR(_xlfn.SWITCH($CT163,Constants!$B$11,COUNTA($C$9:$C$508)+2,Constants!$B$10,COUNTA($C$9:$C$508)+1,Constants!$B$9,COUNTA($C$9:$C$508)),$CT163))</f>
        <v/>
      </c>
      <c r="CV163" s="9"/>
      <c r="CW163" s="146" t="n">
        <f aca="false">IF(OR(ISNUMBER($CT163),$CT163=Constants!$B$11,$CT163=Constants!$B$9,$CT163=Constants!$B$10),1,0)</f>
        <v>0</v>
      </c>
      <c r="CX163" s="146" t="n">
        <v>155</v>
      </c>
      <c r="CY163" s="146" t="str">
        <f aca="false">IF(ISBLANK($C163),"",IF(ISNUMBER($CU163),$CU163+ROW($B163)/1000,""))</f>
        <v/>
      </c>
      <c r="CZ163" s="146" t="str">
        <f aca="false">IF(ISNUMBER($CY163),RANK($CY163,$CY$9:$CY$508,1),"")</f>
        <v/>
      </c>
      <c r="DA163" s="146" t="str">
        <f aca="false">IF(ISBLANK($C163),"",$B163)</f>
        <v/>
      </c>
      <c r="DB163" s="146" t="str">
        <f aca="false">IF(ISBLANK($C163),"",$C163)</f>
        <v/>
      </c>
      <c r="DC163" s="146" t="str">
        <f aca="false">IF(ISBLANK($C163),"",$D163)</f>
        <v/>
      </c>
      <c r="DD163" s="147" t="str">
        <f aca="false">$CR163</f>
        <v/>
      </c>
      <c r="DE163" s="148" t="str">
        <f aca="false">$CQ163</f>
        <v/>
      </c>
      <c r="DF163" s="146" t="str">
        <f aca="false">IF(ISBLANK($C163),"",$CT163)</f>
        <v/>
      </c>
      <c r="DG163" s="149" t="str">
        <f aca="false">IF($CX163&gt;$CW$8,"",VLOOKUP($CX163,$CZ$9:$DF$508,7,FALSE()))</f>
        <v/>
      </c>
      <c r="DH163" s="150" t="str">
        <f aca="false">IF($CX163&gt;$CW$8,"",VLOOKUP($CX163,$CZ$9:$DF$508,2,FALSE()))</f>
        <v/>
      </c>
      <c r="DI163" s="150" t="str">
        <f aca="false">IF($CX163&gt;$CW$8,"",VLOOKUP($CX163,$CZ$9:$DF$508,3,FALSE()))</f>
        <v/>
      </c>
      <c r="DJ163" s="150" t="str">
        <f aca="false">IF($CX163&gt;$CW$8,"",VLOOKUP($CX163,$CZ$9:$DF$508,4,FALSE()))</f>
        <v/>
      </c>
      <c r="DK163" s="150" t="str">
        <f aca="false">IF($CX163&gt;$CW$8,"",VLOOKUP($CX163,$CZ$9:$DF$508,5,FALSE()))</f>
        <v/>
      </c>
      <c r="DL163" s="151" t="str">
        <f aca="false">IF($CX163&gt;$CW$8,"",VLOOKUP($CX163,$CZ$9:$DF$508,6,FALSE()))</f>
        <v/>
      </c>
      <c r="DM163" s="75"/>
    </row>
    <row r="164" customFormat="false" ht="15.75" hidden="false" customHeight="false" outlineLevel="0" collapsed="false">
      <c r="A164" s="9"/>
      <c r="B164" s="157"/>
      <c r="C164" s="158"/>
      <c r="D164" s="159"/>
      <c r="E164" s="177"/>
      <c r="F164" s="161"/>
      <c r="G164" s="162"/>
      <c r="H164" s="162"/>
      <c r="I164" s="178"/>
      <c r="J164" s="165"/>
      <c r="K164" s="126"/>
      <c r="L164" s="127"/>
      <c r="M164" s="128"/>
      <c r="N164" s="165"/>
      <c r="O164" s="165"/>
      <c r="P164" s="177"/>
      <c r="Q164" s="165"/>
      <c r="R164" s="165"/>
      <c r="S164" s="126"/>
      <c r="T164" s="128"/>
      <c r="U164" s="128"/>
      <c r="V164" s="165"/>
      <c r="W164" s="165"/>
      <c r="X164" s="177"/>
      <c r="Y164" s="165"/>
      <c r="Z164" s="166"/>
      <c r="AA164" s="165"/>
      <c r="AB164" s="132"/>
      <c r="AC164" s="133"/>
      <c r="AD164" s="133"/>
      <c r="AE164" s="133"/>
      <c r="AF164" s="133" t="str">
        <f aca="false">IF(ISBLANK($C164),"",IF(E164=Constants!$B$3,TRUE(),IF(E164=Constants!$B$4,FALSE(),TRUE())))</f>
        <v/>
      </c>
      <c r="AG164" s="133" t="str">
        <f aca="false">IF(ISBLANK($C164),"",IF(F164=Constants!$B$3,TRUE(),IF(F164=Constants!$B$4,FALSE(),TRUE())))</f>
        <v/>
      </c>
      <c r="AH164" s="133" t="str">
        <f aca="false">IF(ISBLANK($C164),"",IF(G164=Constants!$B$3,TRUE(),IF(G164=Constants!$B$4,FALSE(),TRUE())))</f>
        <v/>
      </c>
      <c r="AI164" s="133" t="str">
        <f aca="false">IF(ISBLANK($C164),"",IF(AND(ISNUMBER(H164),H164&gt;=0),H164,Constants!$B$29))</f>
        <v/>
      </c>
      <c r="AJ164" s="133" t="str">
        <f aca="false">IF(ISBLANK($C164),"",IF(I164=Constants!$B$3,TRUE(),IF(I164=Constants!$B$4,FALSE(),TRUE())))</f>
        <v/>
      </c>
      <c r="AK164" s="133" t="str">
        <f aca="false">IF(ISBLANK($C164),"",IF(J164=Constants!$B$3,TRUE(),IF(J164=Constants!$B$4,FALSE(),TRUE())))</f>
        <v/>
      </c>
      <c r="AL164" s="133" t="str">
        <f aca="false">IF(ISBLANK($C164),"",IF(K164=Constants!$B$5,TRUE(),IF(K164=Constants!$B$6,FALSE(),COUNTA(L164:P164)&gt;0)))</f>
        <v/>
      </c>
      <c r="AM164" s="134" t="str">
        <f aca="false">IF(ISBLANK($C164),"",IF(ISNUMBER(L164),IF(L164&gt;=0,L164,""),""))</f>
        <v/>
      </c>
      <c r="AN164" s="135" t="str">
        <f aca="false">IF(ISBLANK($C164),"",IF(ISNUMBER(M164),IF(M164&gt;=0,M164,""),""))</f>
        <v/>
      </c>
      <c r="AO164" s="135" t="str">
        <f aca="false">IF(ISBLANK($C164),"",IF(N164=Constants!$B$3,TRUE(),IF(N164=Constants!$B$4,FALSE(),TRUE())))</f>
        <v/>
      </c>
      <c r="AP164" s="133" t="str">
        <f aca="false">IF(ISBLANK($C164),"",IF(ISNUMBER(O164),IF(O164&gt;=0,O164,""),""))</f>
        <v/>
      </c>
      <c r="AQ164" s="133" t="str">
        <f aca="false">IF(ISBLANK($C164),"",IF(P164=Constants!$B$3,TRUE(),IF(P164=Constants!$B$4,FALSE(),FALSE())))</f>
        <v/>
      </c>
      <c r="AR164" s="133" t="str">
        <f aca="false">IF(ISBLANK($C164),"",IF(Q164=Constants!$B$3,TRUE(),IF(Q164=Constants!$B$4,FALSE(),TRUE())))</f>
        <v/>
      </c>
      <c r="AS164" s="133" t="str">
        <f aca="false">IF(ISBLANK($C164),"",IF(R164=Constants!$B$3,TRUE(),IF(R164=Constants!$B$4,FALSE(),TRUE())))</f>
        <v/>
      </c>
      <c r="AT164" s="133" t="str">
        <f aca="false">IF(ISBLANK($C164),"",IF(S164=Constants!$B$5,TRUE(),IF(S164=Constants!$B$6,FALSE(),COUNTA(T164:X164)&gt;0)))</f>
        <v/>
      </c>
      <c r="AU164" s="134" t="str">
        <f aca="false">IF(ISBLANK($C164),"",IF(ISNUMBER(T164),IF(T164&gt;=0,T164,""),""))</f>
        <v/>
      </c>
      <c r="AV164" s="135" t="str">
        <f aca="false">IF(ISBLANK($C164),"",IF(ISNUMBER(U164),IF(U164&gt;=0,U164,""),""))</f>
        <v/>
      </c>
      <c r="AW164" s="135" t="str">
        <f aca="false">IF(ISBLANK($C164),"",IF(V164=Constants!$B$3,TRUE(),IF(V164=Constants!$B$4,FALSE(),TRUE())))</f>
        <v/>
      </c>
      <c r="AX164" s="133" t="str">
        <f aca="false">IF(ISBLANK($C164),"",IF(ISNUMBER(W164),IF(W164&gt;=0,W164,""),""))</f>
        <v/>
      </c>
      <c r="AY164" s="133" t="str">
        <f aca="false">IF(ISBLANK($C164),"",IF(X164=Constants!$B$3,TRUE(),IF(X164=Constants!$B$4,FALSE(),FALSE())))</f>
        <v/>
      </c>
      <c r="AZ164" s="133" t="str">
        <f aca="false">IF(ISBLANK($C164),"",MIN(Constants!$B$31,MAX(0,IF(ISNUMBER(Y164),Y164*60,0)+IF(ISNUMBER(Z164),Z164,0))))</f>
        <v/>
      </c>
      <c r="BA164" s="133" t="str">
        <f aca="false">IF(ISBLANK($C164),"",IF(AA164=Constants!$B$3,TRUE(),IF(AA164=Constants!$B$4,FALSE(),FALSE())))</f>
        <v/>
      </c>
      <c r="BB164" s="132" t="str">
        <f aca="false">IF(ISBLANK($C164),"",AND($AL164,OR($AM164="",$AN164="",AND($AO164,$AP164=""))))</f>
        <v/>
      </c>
      <c r="BC164" s="135" t="str">
        <f aca="false">IF($BR164&lt;&gt;Constants!$B$8,"",IF($AL164,Constants!$B$21*$AN164+Constants!$B$22*IF($AO164,$AP164,Constants!$B$23),Constants!$B$24))</f>
        <v/>
      </c>
      <c r="BD164" s="136" t="str">
        <f aca="false">IF($BR164&lt;&gt;Constants!$B$8,"",Constants!$B$25*ABS($AD$9-IF($AL164,$AM164,0)))</f>
        <v/>
      </c>
      <c r="BE164" s="136" t="str">
        <f aca="false">IF($BR164&lt;&gt;Constants!$B$8,"",IF(AND($AL164,$AQ164,$AO164),Constants!$B$27,0))</f>
        <v/>
      </c>
      <c r="BF164" s="136" t="str">
        <f aca="false">IF($BR164&lt;&gt;Constants!$B$8,"",IF($AL164,($AI164-Constants!$B$29)*Constants!$B$28,0))</f>
        <v/>
      </c>
      <c r="BG164" s="136" t="str">
        <f aca="false">IF($BR164&lt;&gt;Constants!$B$8,"",IF($AK164,0,Constants!$B$15)+IF($AJ164,0,Constants!$B$16)+IF($AH164,0,Constants!$B$17))</f>
        <v/>
      </c>
      <c r="BH164" s="137" t="str">
        <f aca="false">IF($BR164&lt;&gt;Constants!$B$8,"",Constants!$B$20+SUM($BC164:$BG164))</f>
        <v/>
      </c>
      <c r="BI164" s="133" t="str">
        <f aca="false">IF($BR164&lt;&gt;Constants!$B$8,"",IF(OR($BP164&lt;$BH164,AND($BP164=$BH164,OR($BK164&lt;$BC164,AND($BK164=$BC164,OR($BL164&lt;$BD164,AND($BL164=$BD164,$AT164,$AL164,$AV164&lt;$AN164)))))),"-&gt;","&lt;-"))</f>
        <v/>
      </c>
      <c r="BJ164" s="132" t="str">
        <f aca="false">IF(ISBLANK($C164),"",AND($AT164,OR($AU164="",$AV164="",AND($AW164,$AX164=""))))</f>
        <v/>
      </c>
      <c r="BK164" s="135" t="str">
        <f aca="false">IF($BR164&lt;&gt;Constants!$B$8,"",IF($AT164,Constants!$B$21*$AV164+Constants!$B$22*IF($AW164,$AX164,Constants!$B$23),Constants!$B$24))</f>
        <v/>
      </c>
      <c r="BL164" s="136" t="str">
        <f aca="false">IF($BR164&lt;&gt;Constants!$B$8,"",Constants!$B$25*ABS($AD$9-IF($AT164,$AU164,0)))</f>
        <v/>
      </c>
      <c r="BM164" s="136" t="str">
        <f aca="false">IF($BR164&lt;&gt;Constants!$B$8,"",IF(AND($AT164,$AY164,$AW164),Constants!$B$27,0))</f>
        <v/>
      </c>
      <c r="BN164" s="136" t="str">
        <f aca="false">IF($BR164&lt;&gt;Constants!$B$8,"",IF($AT164,($AI164-Constants!$B$29)*Constants!$B$28,0))</f>
        <v/>
      </c>
      <c r="BO164" s="136" t="str">
        <f aca="false">IF($BR164&lt;&gt;Constants!$B$8,"",IF($AS164,0,Constants!$B$15)+IF($AR164,0,Constants!$B$16)+IF($AH164,0,Constants!$B$17))</f>
        <v/>
      </c>
      <c r="BP164" s="137" t="str">
        <f aca="false">IF($BR164&lt;&gt;Constants!$B$8,"",Constants!$B$20+SUM($BK164:$BO164))</f>
        <v/>
      </c>
      <c r="BQ164" s="133" t="str">
        <f aca="false">IF(ISBLANK($C164),"",IF(ISBLANK($D$7),$BQ$5,IF(NOT(ISNUMBER($D$7)),$BQ$6,"")))</f>
        <v/>
      </c>
      <c r="BR164" s="133" t="str">
        <f aca="false">IF(ISBLANK($C164),"",IF($BA164,Constants!$B$11,IF(COUNTA($E164:$AA164)=0,Constants!$B$10,IF(NOT($AG164),Constants!$B$9,IF(OR($BQ164&lt;&gt;"",$BB164,$BJ164),Constants!$B$12,Constants!$B$8)))))</f>
        <v/>
      </c>
      <c r="BS164" s="133" t="str">
        <f aca="false">IF(ISBLANK($C164),"",IF($BR164&lt;&gt;Constants!$B$8,$BR164,Constants!$B$13))</f>
        <v/>
      </c>
      <c r="BT164" s="136" t="str">
        <f aca="false">IF($BR164&lt;&gt;Constants!$B$8,"",IF($BI164="-&gt;",$BP164,$BH164))</f>
        <v/>
      </c>
      <c r="BU164" s="136" t="str">
        <f aca="false">IF($BR164&lt;&gt;Constants!$B$8,"",IF($AF164,0,Constants!$B$18))</f>
        <v/>
      </c>
      <c r="BV164" s="136" t="str">
        <f aca="false">IF($BR164&lt;&gt;Constants!$B$8,"",((Constants!$B$31-$AZ164)-Constants!$B$31)/Constants!$B$32)</f>
        <v/>
      </c>
      <c r="BW164" s="136" t="str">
        <f aca="false">IF(ISBLANK($C164),"",IF($BR164&lt;&gt;Constants!$B$8,$BR164,SUM($BT164:$BV164)))</f>
        <v/>
      </c>
      <c r="BX164" s="133" t="str">
        <f aca="false">IF(ISBLANK($C164),"",IF($BR164&lt;&gt;Constants!$B$8,$BR164,RANK($BW164,$BW$9:$BW$508,1)))</f>
        <v/>
      </c>
      <c r="BY164" s="136" t="str">
        <f aca="false">IF($BR164&lt;&gt;Constants!$B$8,"",IF($BI164="-&gt;",$BK164,$BC164))</f>
        <v/>
      </c>
      <c r="BZ164" s="133" t="str">
        <f aca="false">IF(ISBLANK($C164),"",IF($BR164&lt;&gt;Constants!$B$8,$BR164,IF(ISNUMBER($BY164),RANK($BY164,$BY$9:$BY$508,1),COUNT($BY$9:$BY$508)+1)))</f>
        <v/>
      </c>
      <c r="CA164" s="136" t="str">
        <f aca="false">IF($BR164&lt;&gt;Constants!$B$8,"",IF($BI164="-&gt;",$BL164,$BD164))</f>
        <v/>
      </c>
      <c r="CB164" s="133" t="str">
        <f aca="false">IF(ISBLANK($C164),"",IF($BR164&lt;&gt;Constants!$B$8,$BR164,IF(ISNUMBER($CA164),RANK($CA164,$CA$9:$CA$508,1),COUNT($CA$9:$CA$508)+1)))</f>
        <v/>
      </c>
      <c r="CC164" s="136" t="str">
        <f aca="false">IF($BR164&lt;&gt;Constants!$B$8,"",IF($BI164="-&gt;",IF($AT164,$AV164,""),IF($AL164,$AN164,"")))</f>
        <v/>
      </c>
      <c r="CD164" s="133" t="str">
        <f aca="false">IF(ISBLANK($C164),"",IF($BR164&lt;&gt;Constants!$B$8,$BR164,IF(ISNUMBER($CC164),RANK($CC164,$CC$9:$CC$508,1),COUNT($CC$9:$CC$508)+1)))</f>
        <v/>
      </c>
      <c r="CE164" s="136" t="str">
        <f aca="false">IF($BR164&lt;&gt;Constants!$B$8,"",IF(AND(NOT($AL164),NOT($AT164),$AJ164,$AK164,$AR164,$AS164),"",$AI164))</f>
        <v/>
      </c>
      <c r="CF164" s="133" t="str">
        <f aca="false">IF(ISBLANK($C164),"",IF($BR164&lt;&gt;Constants!$B$8,$BR164,IF(ISNUMBER($CE164),RANK($CE164,$CE$9:$CE$508,1),COUNT($CE$9:$CE$508)+1)))</f>
        <v/>
      </c>
      <c r="CG164" s="133" t="str">
        <f aca="false">IF(ISBLANK($C164),"",IF($BR164&lt;&gt;Constants!$B$8,$BR164,COUNTIFS($BX$9:$BX$508,"&lt;"&amp;$BX164)+COUNTIFS($BX$9:$BX$508,$BX164,$BZ$9:$BZ$508,"&lt;"&amp;$BZ164)+COUNTIFS($BX$9:$BX$508,$BX164,$BZ$9:$BZ$508,$BZ164,$CB$9:$CB$508,"&lt;"&amp;$CB164)+COUNTIFS($BX$9:$BX$508,$BX164,$BZ$9:$BZ$508,$BZ164,$CB$9:$CB$508,$CB164,$CD$9:$CD$508,"&lt;"&amp;$CD164)+COUNTIFS($BX$9:$BX$508,$BX164,$BZ$9:$BZ$508,$BZ164,$CB$9:$CB$508,$CB164,$CD$9:$CD$508,$CD164,$CF$9:$CF$508,"&lt;"&amp;$CF164)+1))</f>
        <v/>
      </c>
      <c r="CH164" s="133" t="str">
        <f aca="false">IF(ISBLANK($C164),"",IF($BR164&lt;&gt;Constants!$B$8,$BR164,$BX164-$CG164))</f>
        <v/>
      </c>
      <c r="CI164" s="138"/>
      <c r="CJ164" s="139"/>
      <c r="CK164" s="140" t="str">
        <f aca="false">IF(ISBLANK($C164),"",IF($BR164=Constants!$B$12,$BQ164,""))</f>
        <v/>
      </c>
      <c r="CL164" s="139" t="str">
        <f aca="false">IF(ISBLANK($C164),"",IF($BR164&lt;&gt;Constants!$B$8,"",IF($BI164="-&gt;",2,1)))</f>
        <v/>
      </c>
      <c r="CM164" s="141" t="str">
        <f aca="false">IF(ISBLANK($C164),"",IF($BR164&lt;&gt;Constants!$B$8,"",IF($BI164="-&gt;",$BK164,$BC164)))</f>
        <v/>
      </c>
      <c r="CN164" s="141" t="str">
        <f aca="false">IF(ISBLANK($C164),"",IF($BR164&lt;&gt;Constants!$B$8,"",IF($BI164="-&gt;",$BL164,$BD164)))</f>
        <v/>
      </c>
      <c r="CO164" s="141" t="str">
        <f aca="false">IF(ISBLANK($C164),"",IF($BR164&lt;&gt;Constants!$B$8,"",IF($BI164="-&gt;",$BM164+$BN164,$BE164+$BF164)+$BV164))</f>
        <v/>
      </c>
      <c r="CP164" s="141" t="str">
        <f aca="false">IF(ISBLANK($C164),"",IF($BR164&lt;&gt;Constants!$B$8,"",IF($BI164="-&gt;",$BO164,$BG164)+$BU164))</f>
        <v/>
      </c>
      <c r="CQ164" s="142" t="str">
        <f aca="false">IF(ISBLANK($C164),"",IF($BR164&lt;&gt;Constants!$B$8,$BR164,$BW164))</f>
        <v/>
      </c>
      <c r="CR164" s="143" t="str">
        <f aca="false">IF(ISBLANK($C164),"",$BS164)</f>
        <v/>
      </c>
      <c r="CS164" s="144" t="str">
        <f aca="false">IF(ISBLANK($C164),"",$CH164)</f>
        <v/>
      </c>
      <c r="CT164" s="144" t="str">
        <f aca="false">IF(ISBLANK($C164),"",$CG164)</f>
        <v/>
      </c>
      <c r="CU164" s="145" t="str">
        <f aca="false">IF(ISBLANK($C164),"",IFERROR(_xlfn.SWITCH($CT164,Constants!$B$11,COUNTA($C$9:$C$508)+2,Constants!$B$10,COUNTA($C$9:$C$508)+1,Constants!$B$9,COUNTA($C$9:$C$508)),$CT164))</f>
        <v/>
      </c>
      <c r="CV164" s="9"/>
      <c r="CW164" s="146" t="n">
        <f aca="false">IF(OR(ISNUMBER($CT164),$CT164=Constants!$B$11,$CT164=Constants!$B$9,$CT164=Constants!$B$10),1,0)</f>
        <v>0</v>
      </c>
      <c r="CX164" s="146" t="n">
        <v>156</v>
      </c>
      <c r="CY164" s="146" t="str">
        <f aca="false">IF(ISBLANK($C164),"",IF(ISNUMBER($CU164),$CU164+ROW($B164)/1000,""))</f>
        <v/>
      </c>
      <c r="CZ164" s="146" t="str">
        <f aca="false">IF(ISNUMBER($CY164),RANK($CY164,$CY$9:$CY$508,1),"")</f>
        <v/>
      </c>
      <c r="DA164" s="146" t="str">
        <f aca="false">IF(ISBLANK($C164),"",$B164)</f>
        <v/>
      </c>
      <c r="DB164" s="146" t="str">
        <f aca="false">IF(ISBLANK($C164),"",$C164)</f>
        <v/>
      </c>
      <c r="DC164" s="146" t="str">
        <f aca="false">IF(ISBLANK($C164),"",$D164)</f>
        <v/>
      </c>
      <c r="DD164" s="147" t="str">
        <f aca="false">$CR164</f>
        <v/>
      </c>
      <c r="DE164" s="148" t="str">
        <f aca="false">$CQ164</f>
        <v/>
      </c>
      <c r="DF164" s="146" t="str">
        <f aca="false">IF(ISBLANK($C164),"",$CT164)</f>
        <v/>
      </c>
      <c r="DG164" s="149" t="str">
        <f aca="false">IF($CX164&gt;$CW$8,"",VLOOKUP($CX164,$CZ$9:$DF$508,7,FALSE()))</f>
        <v/>
      </c>
      <c r="DH164" s="150" t="str">
        <f aca="false">IF($CX164&gt;$CW$8,"",VLOOKUP($CX164,$CZ$9:$DF$508,2,FALSE()))</f>
        <v/>
      </c>
      <c r="DI164" s="150" t="str">
        <f aca="false">IF($CX164&gt;$CW$8,"",VLOOKUP($CX164,$CZ$9:$DF$508,3,FALSE()))</f>
        <v/>
      </c>
      <c r="DJ164" s="150" t="str">
        <f aca="false">IF($CX164&gt;$CW$8,"",VLOOKUP($CX164,$CZ$9:$DF$508,4,FALSE()))</f>
        <v/>
      </c>
      <c r="DK164" s="150" t="str">
        <f aca="false">IF($CX164&gt;$CW$8,"",VLOOKUP($CX164,$CZ$9:$DF$508,5,FALSE()))</f>
        <v/>
      </c>
      <c r="DL164" s="151" t="str">
        <f aca="false">IF($CX164&gt;$CW$8,"",VLOOKUP($CX164,$CZ$9:$DF$508,6,FALSE()))</f>
        <v/>
      </c>
      <c r="DM164" s="75"/>
    </row>
    <row r="165" customFormat="false" ht="15.75" hidden="false" customHeight="false" outlineLevel="0" collapsed="false">
      <c r="A165" s="9"/>
      <c r="B165" s="77"/>
      <c r="C165" s="78"/>
      <c r="D165" s="167"/>
      <c r="E165" s="175"/>
      <c r="F165" s="169"/>
      <c r="G165" s="170"/>
      <c r="H165" s="170"/>
      <c r="I165" s="176"/>
      <c r="J165" s="173"/>
      <c r="K165" s="85"/>
      <c r="L165" s="86"/>
      <c r="M165" s="87"/>
      <c r="N165" s="173"/>
      <c r="O165" s="173"/>
      <c r="P165" s="175"/>
      <c r="Q165" s="173"/>
      <c r="R165" s="173"/>
      <c r="S165" s="85"/>
      <c r="T165" s="87"/>
      <c r="U165" s="87"/>
      <c r="V165" s="173"/>
      <c r="W165" s="173"/>
      <c r="X165" s="175"/>
      <c r="Y165" s="173"/>
      <c r="Z165" s="174"/>
      <c r="AA165" s="173"/>
      <c r="AB165" s="91"/>
      <c r="AC165" s="92"/>
      <c r="AD165" s="92"/>
      <c r="AE165" s="92"/>
      <c r="AF165" s="92" t="str">
        <f aca="false">IF(ISBLANK($C165),"",IF(E165=Constants!$B$3,TRUE(),IF(E165=Constants!$B$4,FALSE(),TRUE())))</f>
        <v/>
      </c>
      <c r="AG165" s="92" t="str">
        <f aca="false">IF(ISBLANK($C165),"",IF(F165=Constants!$B$3,TRUE(),IF(F165=Constants!$B$4,FALSE(),TRUE())))</f>
        <v/>
      </c>
      <c r="AH165" s="92" t="str">
        <f aca="false">IF(ISBLANK($C165),"",IF(G165=Constants!$B$3,TRUE(),IF(G165=Constants!$B$4,FALSE(),TRUE())))</f>
        <v/>
      </c>
      <c r="AI165" s="92" t="str">
        <f aca="false">IF(ISBLANK($C165),"",IF(AND(ISNUMBER(H165),H165&gt;=0),H165,Constants!$B$29))</f>
        <v/>
      </c>
      <c r="AJ165" s="92" t="str">
        <f aca="false">IF(ISBLANK($C165),"",IF(I165=Constants!$B$3,TRUE(),IF(I165=Constants!$B$4,FALSE(),TRUE())))</f>
        <v/>
      </c>
      <c r="AK165" s="92" t="str">
        <f aca="false">IF(ISBLANK($C165),"",IF(J165=Constants!$B$3,TRUE(),IF(J165=Constants!$B$4,FALSE(),TRUE())))</f>
        <v/>
      </c>
      <c r="AL165" s="92" t="str">
        <f aca="false">IF(ISBLANK($C165),"",IF(K165=Constants!$B$5,TRUE(),IF(K165=Constants!$B$6,FALSE(),COUNTA(L165:P165)&gt;0)))</f>
        <v/>
      </c>
      <c r="AM165" s="94" t="str">
        <f aca="false">IF(ISBLANK($C165),"",IF(ISNUMBER(L165),IF(L165&gt;=0,L165,""),""))</f>
        <v/>
      </c>
      <c r="AN165" s="93" t="str">
        <f aca="false">IF(ISBLANK($C165),"",IF(ISNUMBER(M165),IF(M165&gt;=0,M165,""),""))</f>
        <v/>
      </c>
      <c r="AO165" s="93" t="str">
        <f aca="false">IF(ISBLANK($C165),"",IF(N165=Constants!$B$3,TRUE(),IF(N165=Constants!$B$4,FALSE(),TRUE())))</f>
        <v/>
      </c>
      <c r="AP165" s="92" t="str">
        <f aca="false">IF(ISBLANK($C165),"",IF(ISNUMBER(O165),IF(O165&gt;=0,O165,""),""))</f>
        <v/>
      </c>
      <c r="AQ165" s="92" t="str">
        <f aca="false">IF(ISBLANK($C165),"",IF(P165=Constants!$B$3,TRUE(),IF(P165=Constants!$B$4,FALSE(),FALSE())))</f>
        <v/>
      </c>
      <c r="AR165" s="92" t="str">
        <f aca="false">IF(ISBLANK($C165),"",IF(Q165=Constants!$B$3,TRUE(),IF(Q165=Constants!$B$4,FALSE(),TRUE())))</f>
        <v/>
      </c>
      <c r="AS165" s="92" t="str">
        <f aca="false">IF(ISBLANK($C165),"",IF(R165=Constants!$B$3,TRUE(),IF(R165=Constants!$B$4,FALSE(),TRUE())))</f>
        <v/>
      </c>
      <c r="AT165" s="92" t="str">
        <f aca="false">IF(ISBLANK($C165),"",IF(S165=Constants!$B$5,TRUE(),IF(S165=Constants!$B$6,FALSE(),COUNTA(T165:X165)&gt;0)))</f>
        <v/>
      </c>
      <c r="AU165" s="94" t="str">
        <f aca="false">IF(ISBLANK($C165),"",IF(ISNUMBER(T165),IF(T165&gt;=0,T165,""),""))</f>
        <v/>
      </c>
      <c r="AV165" s="93" t="str">
        <f aca="false">IF(ISBLANK($C165),"",IF(ISNUMBER(U165),IF(U165&gt;=0,U165,""),""))</f>
        <v/>
      </c>
      <c r="AW165" s="93" t="str">
        <f aca="false">IF(ISBLANK($C165),"",IF(V165=Constants!$B$3,TRUE(),IF(V165=Constants!$B$4,FALSE(),TRUE())))</f>
        <v/>
      </c>
      <c r="AX165" s="92" t="str">
        <f aca="false">IF(ISBLANK($C165),"",IF(ISNUMBER(W165),IF(W165&gt;=0,W165,""),""))</f>
        <v/>
      </c>
      <c r="AY165" s="92" t="str">
        <f aca="false">IF(ISBLANK($C165),"",IF(X165=Constants!$B$3,TRUE(),IF(X165=Constants!$B$4,FALSE(),FALSE())))</f>
        <v/>
      </c>
      <c r="AZ165" s="92" t="str">
        <f aca="false">IF(ISBLANK($C165),"",MIN(Constants!$B$31,MAX(0,IF(ISNUMBER(Y165),Y165*60,0)+IF(ISNUMBER(Z165),Z165,0))))</f>
        <v/>
      </c>
      <c r="BA165" s="92" t="str">
        <f aca="false">IF(ISBLANK($C165),"",IF(AA165=Constants!$B$3,TRUE(),IF(AA165=Constants!$B$4,FALSE(),FALSE())))</f>
        <v/>
      </c>
      <c r="BB165" s="91" t="str">
        <f aca="false">IF(ISBLANK($C165),"",AND($AL165,OR($AM165="",$AN165="",AND($AO165,$AP165=""))))</f>
        <v/>
      </c>
      <c r="BC165" s="93" t="str">
        <f aca="false">IF($BR165&lt;&gt;Constants!$B$8,"",IF($AL165,Constants!$B$21*$AN165+Constants!$B$22*IF($AO165,$AP165,Constants!$B$23),Constants!$B$24))</f>
        <v/>
      </c>
      <c r="BD165" s="96" t="str">
        <f aca="false">IF($BR165&lt;&gt;Constants!$B$8,"",Constants!$B$25*ABS($AD$9-IF($AL165,$AM165,0)))</f>
        <v/>
      </c>
      <c r="BE165" s="96" t="str">
        <f aca="false">IF($BR165&lt;&gt;Constants!$B$8,"",IF(AND($AL165,$AQ165,$AO165),Constants!$B$27,0))</f>
        <v/>
      </c>
      <c r="BF165" s="96" t="str">
        <f aca="false">IF($BR165&lt;&gt;Constants!$B$8,"",IF($AL165,($AI165-Constants!$B$29)*Constants!$B$28,0))</f>
        <v/>
      </c>
      <c r="BG165" s="96" t="str">
        <f aca="false">IF($BR165&lt;&gt;Constants!$B$8,"",IF($AK165,0,Constants!$B$15)+IF($AJ165,0,Constants!$B$16)+IF($AH165,0,Constants!$B$17))</f>
        <v/>
      </c>
      <c r="BH165" s="97" t="str">
        <f aca="false">IF($BR165&lt;&gt;Constants!$B$8,"",Constants!$B$20+SUM($BC165:$BG165))</f>
        <v/>
      </c>
      <c r="BI165" s="92" t="str">
        <f aca="false">IF($BR165&lt;&gt;Constants!$B$8,"",IF(OR($BP165&lt;$BH165,AND($BP165=$BH165,OR($BK165&lt;$BC165,AND($BK165=$BC165,OR($BL165&lt;$BD165,AND($BL165=$BD165,$AT165,$AL165,$AV165&lt;$AN165)))))),"-&gt;","&lt;-"))</f>
        <v/>
      </c>
      <c r="BJ165" s="91" t="str">
        <f aca="false">IF(ISBLANK($C165),"",AND($AT165,OR($AU165="",$AV165="",AND($AW165,$AX165=""))))</f>
        <v/>
      </c>
      <c r="BK165" s="93" t="str">
        <f aca="false">IF($BR165&lt;&gt;Constants!$B$8,"",IF($AT165,Constants!$B$21*$AV165+Constants!$B$22*IF($AW165,$AX165,Constants!$B$23),Constants!$B$24))</f>
        <v/>
      </c>
      <c r="BL165" s="96" t="str">
        <f aca="false">IF($BR165&lt;&gt;Constants!$B$8,"",Constants!$B$25*ABS($AD$9-IF($AT165,$AU165,0)))</f>
        <v/>
      </c>
      <c r="BM165" s="96" t="str">
        <f aca="false">IF($BR165&lt;&gt;Constants!$B$8,"",IF(AND($AT165,$AY165,$AW165),Constants!$B$27,0))</f>
        <v/>
      </c>
      <c r="BN165" s="96" t="str">
        <f aca="false">IF($BR165&lt;&gt;Constants!$B$8,"",IF($AT165,($AI165-Constants!$B$29)*Constants!$B$28,0))</f>
        <v/>
      </c>
      <c r="BO165" s="96" t="str">
        <f aca="false">IF($BR165&lt;&gt;Constants!$B$8,"",IF($AS165,0,Constants!$B$15)+IF($AR165,0,Constants!$B$16)+IF($AH165,0,Constants!$B$17))</f>
        <v/>
      </c>
      <c r="BP165" s="97" t="str">
        <f aca="false">IF($BR165&lt;&gt;Constants!$B$8,"",Constants!$B$20+SUM($BK165:$BO165))</f>
        <v/>
      </c>
      <c r="BQ165" s="92" t="str">
        <f aca="false">IF(ISBLANK($C165),"",IF(ISBLANK($D$7),$BQ$5,IF(NOT(ISNUMBER($D$7)),$BQ$6,"")))</f>
        <v/>
      </c>
      <c r="BR165" s="92" t="str">
        <f aca="false">IF(ISBLANK($C165),"",IF($BA165,Constants!$B$11,IF(COUNTA($E165:$AA165)=0,Constants!$B$10,IF(NOT($AG165),Constants!$B$9,IF(OR($BQ165&lt;&gt;"",$BB165,$BJ165),Constants!$B$12,Constants!$B$8)))))</f>
        <v/>
      </c>
      <c r="BS165" s="92" t="str">
        <f aca="false">IF(ISBLANK($C165),"",IF($BR165&lt;&gt;Constants!$B$8,$BR165,Constants!$B$13))</f>
        <v/>
      </c>
      <c r="BT165" s="96" t="str">
        <f aca="false">IF($BR165&lt;&gt;Constants!$B$8,"",IF($BI165="-&gt;",$BP165,$BH165))</f>
        <v/>
      </c>
      <c r="BU165" s="96" t="str">
        <f aca="false">IF($BR165&lt;&gt;Constants!$B$8,"",IF($AF165,0,Constants!$B$18))</f>
        <v/>
      </c>
      <c r="BV165" s="96" t="str">
        <f aca="false">IF($BR165&lt;&gt;Constants!$B$8,"",((Constants!$B$31-$AZ165)-Constants!$B$31)/Constants!$B$32)</f>
        <v/>
      </c>
      <c r="BW165" s="96" t="str">
        <f aca="false">IF(ISBLANK($C165),"",IF($BR165&lt;&gt;Constants!$B$8,$BR165,SUM($BT165:$BV165)))</f>
        <v/>
      </c>
      <c r="BX165" s="92" t="str">
        <f aca="false">IF(ISBLANK($C165),"",IF($BR165&lt;&gt;Constants!$B$8,$BR165,RANK($BW165,$BW$9:$BW$508,1)))</f>
        <v/>
      </c>
      <c r="BY165" s="96" t="str">
        <f aca="false">IF($BR165&lt;&gt;Constants!$B$8,"",IF($BI165="-&gt;",$BK165,$BC165))</f>
        <v/>
      </c>
      <c r="BZ165" s="92" t="str">
        <f aca="false">IF(ISBLANK($C165),"",IF($BR165&lt;&gt;Constants!$B$8,$BR165,IF(ISNUMBER($BY165),RANK($BY165,$BY$9:$BY$508,1),COUNT($BY$9:$BY$508)+1)))</f>
        <v/>
      </c>
      <c r="CA165" s="96" t="str">
        <f aca="false">IF($BR165&lt;&gt;Constants!$B$8,"",IF($BI165="-&gt;",$BL165,$BD165))</f>
        <v/>
      </c>
      <c r="CB165" s="92" t="str">
        <f aca="false">IF(ISBLANK($C165),"",IF($BR165&lt;&gt;Constants!$B$8,$BR165,IF(ISNUMBER($CA165),RANK($CA165,$CA$9:$CA$508,1),COUNT($CA$9:$CA$508)+1)))</f>
        <v/>
      </c>
      <c r="CC165" s="96" t="str">
        <f aca="false">IF($BR165&lt;&gt;Constants!$B$8,"",IF($BI165="-&gt;",IF($AT165,$AV165,""),IF($AL165,$AN165,"")))</f>
        <v/>
      </c>
      <c r="CD165" s="92" t="str">
        <f aca="false">IF(ISBLANK($C165),"",IF($BR165&lt;&gt;Constants!$B$8,$BR165,IF(ISNUMBER($CC165),RANK($CC165,$CC$9:$CC$508,1),COUNT($CC$9:$CC$508)+1)))</f>
        <v/>
      </c>
      <c r="CE165" s="96" t="str">
        <f aca="false">IF($BR165&lt;&gt;Constants!$B$8,"",IF(AND(NOT($AL165),NOT($AT165),$AJ165,$AK165,$AR165,$AS165),"",$AI165))</f>
        <v/>
      </c>
      <c r="CF165" s="92" t="str">
        <f aca="false">IF(ISBLANK($C165),"",IF($BR165&lt;&gt;Constants!$B$8,$BR165,IF(ISNUMBER($CE165),RANK($CE165,$CE$9:$CE$508,1),COUNT($CE$9:$CE$508)+1)))</f>
        <v/>
      </c>
      <c r="CG165" s="92" t="str">
        <f aca="false">IF(ISBLANK($C165),"",IF($BR165&lt;&gt;Constants!$B$8,$BR165,COUNTIFS($BX$9:$BX$508,"&lt;"&amp;$BX165)+COUNTIFS($BX$9:$BX$508,$BX165,$BZ$9:$BZ$508,"&lt;"&amp;$BZ165)+COUNTIFS($BX$9:$BX$508,$BX165,$BZ$9:$BZ$508,$BZ165,$CB$9:$CB$508,"&lt;"&amp;$CB165)+COUNTIFS($BX$9:$BX$508,$BX165,$BZ$9:$BZ$508,$BZ165,$CB$9:$CB$508,$CB165,$CD$9:$CD$508,"&lt;"&amp;$CD165)+COUNTIFS($BX$9:$BX$508,$BX165,$BZ$9:$BZ$508,$BZ165,$CB$9:$CB$508,$CB165,$CD$9:$CD$508,$CD165,$CF$9:$CF$508,"&lt;"&amp;$CF165)+1))</f>
        <v/>
      </c>
      <c r="CH165" s="92" t="str">
        <f aca="false">IF(ISBLANK($C165),"",IF($BR165&lt;&gt;Constants!$B$8,$BR165,$BX165-$CG165))</f>
        <v/>
      </c>
      <c r="CI165" s="98"/>
      <c r="CJ165" s="99"/>
      <c r="CK165" s="100" t="str">
        <f aca="false">IF(ISBLANK($C165),"",IF($BR165=Constants!$B$12,$BQ165,""))</f>
        <v/>
      </c>
      <c r="CL165" s="99" t="str">
        <f aca="false">IF(ISBLANK($C165),"",IF($BR165&lt;&gt;Constants!$B$8,"",IF($BI165="-&gt;",2,1)))</f>
        <v/>
      </c>
      <c r="CM165" s="101" t="str">
        <f aca="false">IF(ISBLANK($C165),"",IF($BR165&lt;&gt;Constants!$B$8,"",IF($BI165="-&gt;",$BK165,$BC165)))</f>
        <v/>
      </c>
      <c r="CN165" s="101" t="str">
        <f aca="false">IF(ISBLANK($C165),"",IF($BR165&lt;&gt;Constants!$B$8,"",IF($BI165="-&gt;",$BL165,$BD165)))</f>
        <v/>
      </c>
      <c r="CO165" s="101" t="str">
        <f aca="false">IF(ISBLANK($C165),"",IF($BR165&lt;&gt;Constants!$B$8,"",IF($BI165="-&gt;",$BM165+$BN165,$BE165+$BF165)+$BV165))</f>
        <v/>
      </c>
      <c r="CP165" s="101" t="str">
        <f aca="false">IF(ISBLANK($C165),"",IF($BR165&lt;&gt;Constants!$B$8,"",IF($BI165="-&gt;",$BO165,$BG165)+$BU165))</f>
        <v/>
      </c>
      <c r="CQ165" s="102" t="str">
        <f aca="false">IF(ISBLANK($C165),"",IF($BR165&lt;&gt;Constants!$B$8,$BR165,$BW165))</f>
        <v/>
      </c>
      <c r="CR165" s="103" t="str">
        <f aca="false">IF(ISBLANK($C165),"",$BS165)</f>
        <v/>
      </c>
      <c r="CS165" s="104" t="str">
        <f aca="false">IF(ISBLANK($C165),"",$CH165)</f>
        <v/>
      </c>
      <c r="CT165" s="104" t="str">
        <f aca="false">IF(ISBLANK($C165),"",$CG165)</f>
        <v/>
      </c>
      <c r="CU165" s="105" t="str">
        <f aca="false">IF(ISBLANK($C165),"",IFERROR(_xlfn.SWITCH($CT165,Constants!$B$11,COUNTA($C$9:$C$508)+2,Constants!$B$10,COUNTA($C$9:$C$508)+1,Constants!$B$9,COUNTA($C$9:$C$508)),$CT165))</f>
        <v/>
      </c>
      <c r="CV165" s="9"/>
      <c r="CW165" s="106" t="n">
        <f aca="false">IF(OR(ISNUMBER($CT165),$CT165=Constants!$B$11,$CT165=Constants!$B$9,$CT165=Constants!$B$10),1,0)</f>
        <v>0</v>
      </c>
      <c r="CX165" s="106" t="n">
        <v>157</v>
      </c>
      <c r="CY165" s="106" t="str">
        <f aca="false">IF(ISBLANK($C165),"",IF(ISNUMBER($CU165),$CU165+ROW($B165)/1000,""))</f>
        <v/>
      </c>
      <c r="CZ165" s="106" t="str">
        <f aca="false">IF(ISNUMBER($CY165),RANK($CY165,$CY$9:$CY$508,1),"")</f>
        <v/>
      </c>
      <c r="DA165" s="106" t="str">
        <f aca="false">IF(ISBLANK($C165),"",$B165)</f>
        <v/>
      </c>
      <c r="DB165" s="106" t="str">
        <f aca="false">IF(ISBLANK($C165),"",$C165)</f>
        <v/>
      </c>
      <c r="DC165" s="106" t="str">
        <f aca="false">IF(ISBLANK($C165),"",$D165)</f>
        <v/>
      </c>
      <c r="DD165" s="107" t="str">
        <f aca="false">$CR165</f>
        <v/>
      </c>
      <c r="DE165" s="108" t="str">
        <f aca="false">$CQ165</f>
        <v/>
      </c>
      <c r="DF165" s="106" t="str">
        <f aca="false">IF(ISBLANK($C165),"",$CT165)</f>
        <v/>
      </c>
      <c r="DG165" s="109" t="str">
        <f aca="false">IF($CX165&gt;$CW$8,"",VLOOKUP($CX165,$CZ$9:$DF$508,7,FALSE()))</f>
        <v/>
      </c>
      <c r="DH165" s="110" t="str">
        <f aca="false">IF($CX165&gt;$CW$8,"",VLOOKUP($CX165,$CZ$9:$DF$508,2,FALSE()))</f>
        <v/>
      </c>
      <c r="DI165" s="110" t="str">
        <f aca="false">IF($CX165&gt;$CW$8,"",VLOOKUP($CX165,$CZ$9:$DF$508,3,FALSE()))</f>
        <v/>
      </c>
      <c r="DJ165" s="110" t="str">
        <f aca="false">IF($CX165&gt;$CW$8,"",VLOOKUP($CX165,$CZ$9:$DF$508,4,FALSE()))</f>
        <v/>
      </c>
      <c r="DK165" s="110" t="str">
        <f aca="false">IF($CX165&gt;$CW$8,"",VLOOKUP($CX165,$CZ$9:$DF$508,5,FALSE()))</f>
        <v/>
      </c>
      <c r="DL165" s="111" t="str">
        <f aca="false">IF($CX165&gt;$CW$8,"",VLOOKUP($CX165,$CZ$9:$DF$508,6,FALSE()))</f>
        <v/>
      </c>
      <c r="DM165" s="75"/>
    </row>
    <row r="166" customFormat="false" ht="15.75" hidden="false" customHeight="false" outlineLevel="0" collapsed="false">
      <c r="A166" s="9"/>
      <c r="B166" s="77"/>
      <c r="C166" s="78"/>
      <c r="D166" s="167"/>
      <c r="E166" s="175"/>
      <c r="F166" s="169"/>
      <c r="G166" s="170"/>
      <c r="H166" s="170"/>
      <c r="I166" s="176"/>
      <c r="J166" s="173"/>
      <c r="K166" s="85"/>
      <c r="L166" s="86"/>
      <c r="M166" s="87"/>
      <c r="N166" s="173"/>
      <c r="O166" s="173"/>
      <c r="P166" s="175"/>
      <c r="Q166" s="173"/>
      <c r="R166" s="173"/>
      <c r="S166" s="85"/>
      <c r="T166" s="87"/>
      <c r="U166" s="87"/>
      <c r="V166" s="173"/>
      <c r="W166" s="173"/>
      <c r="X166" s="175"/>
      <c r="Y166" s="173"/>
      <c r="Z166" s="174"/>
      <c r="AA166" s="173"/>
      <c r="AB166" s="91"/>
      <c r="AC166" s="92"/>
      <c r="AD166" s="92"/>
      <c r="AE166" s="92"/>
      <c r="AF166" s="92" t="str">
        <f aca="false">IF(ISBLANK($C166),"",IF(E166=Constants!$B$3,TRUE(),IF(E166=Constants!$B$4,FALSE(),TRUE())))</f>
        <v/>
      </c>
      <c r="AG166" s="92" t="str">
        <f aca="false">IF(ISBLANK($C166),"",IF(F166=Constants!$B$3,TRUE(),IF(F166=Constants!$B$4,FALSE(),TRUE())))</f>
        <v/>
      </c>
      <c r="AH166" s="92" t="str">
        <f aca="false">IF(ISBLANK($C166),"",IF(G166=Constants!$B$3,TRUE(),IF(G166=Constants!$B$4,FALSE(),TRUE())))</f>
        <v/>
      </c>
      <c r="AI166" s="92" t="str">
        <f aca="false">IF(ISBLANK($C166),"",IF(AND(ISNUMBER(H166),H166&gt;=0),H166,Constants!$B$29))</f>
        <v/>
      </c>
      <c r="AJ166" s="92" t="str">
        <f aca="false">IF(ISBLANK($C166),"",IF(I166=Constants!$B$3,TRUE(),IF(I166=Constants!$B$4,FALSE(),TRUE())))</f>
        <v/>
      </c>
      <c r="AK166" s="92" t="str">
        <f aca="false">IF(ISBLANK($C166),"",IF(J166=Constants!$B$3,TRUE(),IF(J166=Constants!$B$4,FALSE(),TRUE())))</f>
        <v/>
      </c>
      <c r="AL166" s="92" t="str">
        <f aca="false">IF(ISBLANK($C166),"",IF(K166=Constants!$B$5,TRUE(),IF(K166=Constants!$B$6,FALSE(),COUNTA(L166:P166)&gt;0)))</f>
        <v/>
      </c>
      <c r="AM166" s="94" t="str">
        <f aca="false">IF(ISBLANK($C166),"",IF(ISNUMBER(L166),IF(L166&gt;=0,L166,""),""))</f>
        <v/>
      </c>
      <c r="AN166" s="93" t="str">
        <f aca="false">IF(ISBLANK($C166),"",IF(ISNUMBER(M166),IF(M166&gt;=0,M166,""),""))</f>
        <v/>
      </c>
      <c r="AO166" s="93" t="str">
        <f aca="false">IF(ISBLANK($C166),"",IF(N166=Constants!$B$3,TRUE(),IF(N166=Constants!$B$4,FALSE(),TRUE())))</f>
        <v/>
      </c>
      <c r="AP166" s="92" t="str">
        <f aca="false">IF(ISBLANK($C166),"",IF(ISNUMBER(O166),IF(O166&gt;=0,O166,""),""))</f>
        <v/>
      </c>
      <c r="AQ166" s="92" t="str">
        <f aca="false">IF(ISBLANK($C166),"",IF(P166=Constants!$B$3,TRUE(),IF(P166=Constants!$B$4,FALSE(),FALSE())))</f>
        <v/>
      </c>
      <c r="AR166" s="92" t="str">
        <f aca="false">IF(ISBLANK($C166),"",IF(Q166=Constants!$B$3,TRUE(),IF(Q166=Constants!$B$4,FALSE(),TRUE())))</f>
        <v/>
      </c>
      <c r="AS166" s="92" t="str">
        <f aca="false">IF(ISBLANK($C166),"",IF(R166=Constants!$B$3,TRUE(),IF(R166=Constants!$B$4,FALSE(),TRUE())))</f>
        <v/>
      </c>
      <c r="AT166" s="92" t="str">
        <f aca="false">IF(ISBLANK($C166),"",IF(S166=Constants!$B$5,TRUE(),IF(S166=Constants!$B$6,FALSE(),COUNTA(T166:X166)&gt;0)))</f>
        <v/>
      </c>
      <c r="AU166" s="94" t="str">
        <f aca="false">IF(ISBLANK($C166),"",IF(ISNUMBER(T166),IF(T166&gt;=0,T166,""),""))</f>
        <v/>
      </c>
      <c r="AV166" s="93" t="str">
        <f aca="false">IF(ISBLANK($C166),"",IF(ISNUMBER(U166),IF(U166&gt;=0,U166,""),""))</f>
        <v/>
      </c>
      <c r="AW166" s="93" t="str">
        <f aca="false">IF(ISBLANK($C166),"",IF(V166=Constants!$B$3,TRUE(),IF(V166=Constants!$B$4,FALSE(),TRUE())))</f>
        <v/>
      </c>
      <c r="AX166" s="92" t="str">
        <f aca="false">IF(ISBLANK($C166),"",IF(ISNUMBER(W166),IF(W166&gt;=0,W166,""),""))</f>
        <v/>
      </c>
      <c r="AY166" s="92" t="str">
        <f aca="false">IF(ISBLANK($C166),"",IF(X166=Constants!$B$3,TRUE(),IF(X166=Constants!$B$4,FALSE(),FALSE())))</f>
        <v/>
      </c>
      <c r="AZ166" s="92" t="str">
        <f aca="false">IF(ISBLANK($C166),"",MIN(Constants!$B$31,MAX(0,IF(ISNUMBER(Y166),Y166*60,0)+IF(ISNUMBER(Z166),Z166,0))))</f>
        <v/>
      </c>
      <c r="BA166" s="92" t="str">
        <f aca="false">IF(ISBLANK($C166),"",IF(AA166=Constants!$B$3,TRUE(),IF(AA166=Constants!$B$4,FALSE(),FALSE())))</f>
        <v/>
      </c>
      <c r="BB166" s="91" t="str">
        <f aca="false">IF(ISBLANK($C166),"",AND($AL166,OR($AM166="",$AN166="",AND($AO166,$AP166=""))))</f>
        <v/>
      </c>
      <c r="BC166" s="93" t="str">
        <f aca="false">IF($BR166&lt;&gt;Constants!$B$8,"",IF($AL166,Constants!$B$21*$AN166+Constants!$B$22*IF($AO166,$AP166,Constants!$B$23),Constants!$B$24))</f>
        <v/>
      </c>
      <c r="BD166" s="96" t="str">
        <f aca="false">IF($BR166&lt;&gt;Constants!$B$8,"",Constants!$B$25*ABS($AD$9-IF($AL166,$AM166,0)))</f>
        <v/>
      </c>
      <c r="BE166" s="96" t="str">
        <f aca="false">IF($BR166&lt;&gt;Constants!$B$8,"",IF(AND($AL166,$AQ166,$AO166),Constants!$B$27,0))</f>
        <v/>
      </c>
      <c r="BF166" s="96" t="str">
        <f aca="false">IF($BR166&lt;&gt;Constants!$B$8,"",IF($AL166,($AI166-Constants!$B$29)*Constants!$B$28,0))</f>
        <v/>
      </c>
      <c r="BG166" s="96" t="str">
        <f aca="false">IF($BR166&lt;&gt;Constants!$B$8,"",IF($AK166,0,Constants!$B$15)+IF($AJ166,0,Constants!$B$16)+IF($AH166,0,Constants!$B$17))</f>
        <v/>
      </c>
      <c r="BH166" s="97" t="str">
        <f aca="false">IF($BR166&lt;&gt;Constants!$B$8,"",Constants!$B$20+SUM($BC166:$BG166))</f>
        <v/>
      </c>
      <c r="BI166" s="92" t="str">
        <f aca="false">IF($BR166&lt;&gt;Constants!$B$8,"",IF(OR($BP166&lt;$BH166,AND($BP166=$BH166,OR($BK166&lt;$BC166,AND($BK166=$BC166,OR($BL166&lt;$BD166,AND($BL166=$BD166,$AT166,$AL166,$AV166&lt;$AN166)))))),"-&gt;","&lt;-"))</f>
        <v/>
      </c>
      <c r="BJ166" s="91" t="str">
        <f aca="false">IF(ISBLANK($C166),"",AND($AT166,OR($AU166="",$AV166="",AND($AW166,$AX166=""))))</f>
        <v/>
      </c>
      <c r="BK166" s="93" t="str">
        <f aca="false">IF($BR166&lt;&gt;Constants!$B$8,"",IF($AT166,Constants!$B$21*$AV166+Constants!$B$22*IF($AW166,$AX166,Constants!$B$23),Constants!$B$24))</f>
        <v/>
      </c>
      <c r="BL166" s="96" t="str">
        <f aca="false">IF($BR166&lt;&gt;Constants!$B$8,"",Constants!$B$25*ABS($AD$9-IF($AT166,$AU166,0)))</f>
        <v/>
      </c>
      <c r="BM166" s="96" t="str">
        <f aca="false">IF($BR166&lt;&gt;Constants!$B$8,"",IF(AND($AT166,$AY166,$AW166),Constants!$B$27,0))</f>
        <v/>
      </c>
      <c r="BN166" s="96" t="str">
        <f aca="false">IF($BR166&lt;&gt;Constants!$B$8,"",IF($AT166,($AI166-Constants!$B$29)*Constants!$B$28,0))</f>
        <v/>
      </c>
      <c r="BO166" s="96" t="str">
        <f aca="false">IF($BR166&lt;&gt;Constants!$B$8,"",IF($AS166,0,Constants!$B$15)+IF($AR166,0,Constants!$B$16)+IF($AH166,0,Constants!$B$17))</f>
        <v/>
      </c>
      <c r="BP166" s="97" t="str">
        <f aca="false">IF($BR166&lt;&gt;Constants!$B$8,"",Constants!$B$20+SUM($BK166:$BO166))</f>
        <v/>
      </c>
      <c r="BQ166" s="92" t="str">
        <f aca="false">IF(ISBLANK($C166),"",IF(ISBLANK($D$7),$BQ$5,IF(NOT(ISNUMBER($D$7)),$BQ$6,"")))</f>
        <v/>
      </c>
      <c r="BR166" s="92" t="str">
        <f aca="false">IF(ISBLANK($C166),"",IF($BA166,Constants!$B$11,IF(COUNTA($E166:$AA166)=0,Constants!$B$10,IF(NOT($AG166),Constants!$B$9,IF(OR($BQ166&lt;&gt;"",$BB166,$BJ166),Constants!$B$12,Constants!$B$8)))))</f>
        <v/>
      </c>
      <c r="BS166" s="92" t="str">
        <f aca="false">IF(ISBLANK($C166),"",IF($BR166&lt;&gt;Constants!$B$8,$BR166,Constants!$B$13))</f>
        <v/>
      </c>
      <c r="BT166" s="96" t="str">
        <f aca="false">IF($BR166&lt;&gt;Constants!$B$8,"",IF($BI166="-&gt;",$BP166,$BH166))</f>
        <v/>
      </c>
      <c r="BU166" s="96" t="str">
        <f aca="false">IF($BR166&lt;&gt;Constants!$B$8,"",IF($AF166,0,Constants!$B$18))</f>
        <v/>
      </c>
      <c r="BV166" s="96" t="str">
        <f aca="false">IF($BR166&lt;&gt;Constants!$B$8,"",((Constants!$B$31-$AZ166)-Constants!$B$31)/Constants!$B$32)</f>
        <v/>
      </c>
      <c r="BW166" s="96" t="str">
        <f aca="false">IF(ISBLANK($C166),"",IF($BR166&lt;&gt;Constants!$B$8,$BR166,SUM($BT166:$BV166)))</f>
        <v/>
      </c>
      <c r="BX166" s="92" t="str">
        <f aca="false">IF(ISBLANK($C166),"",IF($BR166&lt;&gt;Constants!$B$8,$BR166,RANK($BW166,$BW$9:$BW$508,1)))</f>
        <v/>
      </c>
      <c r="BY166" s="96" t="str">
        <f aca="false">IF($BR166&lt;&gt;Constants!$B$8,"",IF($BI166="-&gt;",$BK166,$BC166))</f>
        <v/>
      </c>
      <c r="BZ166" s="92" t="str">
        <f aca="false">IF(ISBLANK($C166),"",IF($BR166&lt;&gt;Constants!$B$8,$BR166,IF(ISNUMBER($BY166),RANK($BY166,$BY$9:$BY$508,1),COUNT($BY$9:$BY$508)+1)))</f>
        <v/>
      </c>
      <c r="CA166" s="96" t="str">
        <f aca="false">IF($BR166&lt;&gt;Constants!$B$8,"",IF($BI166="-&gt;",$BL166,$BD166))</f>
        <v/>
      </c>
      <c r="CB166" s="92" t="str">
        <f aca="false">IF(ISBLANK($C166),"",IF($BR166&lt;&gt;Constants!$B$8,$BR166,IF(ISNUMBER($CA166),RANK($CA166,$CA$9:$CA$508,1),COUNT($CA$9:$CA$508)+1)))</f>
        <v/>
      </c>
      <c r="CC166" s="96" t="str">
        <f aca="false">IF($BR166&lt;&gt;Constants!$B$8,"",IF($BI166="-&gt;",IF($AT166,$AV166,""),IF($AL166,$AN166,"")))</f>
        <v/>
      </c>
      <c r="CD166" s="92" t="str">
        <f aca="false">IF(ISBLANK($C166),"",IF($BR166&lt;&gt;Constants!$B$8,$BR166,IF(ISNUMBER($CC166),RANK($CC166,$CC$9:$CC$508,1),COUNT($CC$9:$CC$508)+1)))</f>
        <v/>
      </c>
      <c r="CE166" s="96" t="str">
        <f aca="false">IF($BR166&lt;&gt;Constants!$B$8,"",IF(AND(NOT($AL166),NOT($AT166),$AJ166,$AK166,$AR166,$AS166),"",$AI166))</f>
        <v/>
      </c>
      <c r="CF166" s="92" t="str">
        <f aca="false">IF(ISBLANK($C166),"",IF($BR166&lt;&gt;Constants!$B$8,$BR166,IF(ISNUMBER($CE166),RANK($CE166,$CE$9:$CE$508,1),COUNT($CE$9:$CE$508)+1)))</f>
        <v/>
      </c>
      <c r="CG166" s="92" t="str">
        <f aca="false">IF(ISBLANK($C166),"",IF($BR166&lt;&gt;Constants!$B$8,$BR166,COUNTIFS($BX$9:$BX$508,"&lt;"&amp;$BX166)+COUNTIFS($BX$9:$BX$508,$BX166,$BZ$9:$BZ$508,"&lt;"&amp;$BZ166)+COUNTIFS($BX$9:$BX$508,$BX166,$BZ$9:$BZ$508,$BZ166,$CB$9:$CB$508,"&lt;"&amp;$CB166)+COUNTIFS($BX$9:$BX$508,$BX166,$BZ$9:$BZ$508,$BZ166,$CB$9:$CB$508,$CB166,$CD$9:$CD$508,"&lt;"&amp;$CD166)+COUNTIFS($BX$9:$BX$508,$BX166,$BZ$9:$BZ$508,$BZ166,$CB$9:$CB$508,$CB166,$CD$9:$CD$508,$CD166,$CF$9:$CF$508,"&lt;"&amp;$CF166)+1))</f>
        <v/>
      </c>
      <c r="CH166" s="92" t="str">
        <f aca="false">IF(ISBLANK($C166),"",IF($BR166&lt;&gt;Constants!$B$8,$BR166,$BX166-$CG166))</f>
        <v/>
      </c>
      <c r="CI166" s="98"/>
      <c r="CJ166" s="99"/>
      <c r="CK166" s="100" t="str">
        <f aca="false">IF(ISBLANK($C166),"",IF($BR166=Constants!$B$12,$BQ166,""))</f>
        <v/>
      </c>
      <c r="CL166" s="99" t="str">
        <f aca="false">IF(ISBLANK($C166),"",IF($BR166&lt;&gt;Constants!$B$8,"",IF($BI166="-&gt;",2,1)))</f>
        <v/>
      </c>
      <c r="CM166" s="101" t="str">
        <f aca="false">IF(ISBLANK($C166),"",IF($BR166&lt;&gt;Constants!$B$8,"",IF($BI166="-&gt;",$BK166,$BC166)))</f>
        <v/>
      </c>
      <c r="CN166" s="101" t="str">
        <f aca="false">IF(ISBLANK($C166),"",IF($BR166&lt;&gt;Constants!$B$8,"",IF($BI166="-&gt;",$BL166,$BD166)))</f>
        <v/>
      </c>
      <c r="CO166" s="101" t="str">
        <f aca="false">IF(ISBLANK($C166),"",IF($BR166&lt;&gt;Constants!$B$8,"",IF($BI166="-&gt;",$BM166+$BN166,$BE166+$BF166)+$BV166))</f>
        <v/>
      </c>
      <c r="CP166" s="101" t="str">
        <f aca="false">IF(ISBLANK($C166),"",IF($BR166&lt;&gt;Constants!$B$8,"",IF($BI166="-&gt;",$BO166,$BG166)+$BU166))</f>
        <v/>
      </c>
      <c r="CQ166" s="102" t="str">
        <f aca="false">IF(ISBLANK($C166),"",IF($BR166&lt;&gt;Constants!$B$8,$BR166,$BW166))</f>
        <v/>
      </c>
      <c r="CR166" s="103" t="str">
        <f aca="false">IF(ISBLANK($C166),"",$BS166)</f>
        <v/>
      </c>
      <c r="CS166" s="104" t="str">
        <f aca="false">IF(ISBLANK($C166),"",$CH166)</f>
        <v/>
      </c>
      <c r="CT166" s="104" t="str">
        <f aca="false">IF(ISBLANK($C166),"",$CG166)</f>
        <v/>
      </c>
      <c r="CU166" s="105" t="str">
        <f aca="false">IF(ISBLANK($C166),"",IFERROR(_xlfn.SWITCH($CT166,Constants!$B$11,COUNTA($C$9:$C$508)+2,Constants!$B$10,COUNTA($C$9:$C$508)+1,Constants!$B$9,COUNTA($C$9:$C$508)),$CT166))</f>
        <v/>
      </c>
      <c r="CV166" s="9"/>
      <c r="CW166" s="106" t="n">
        <f aca="false">IF(OR(ISNUMBER($CT166),$CT166=Constants!$B$11,$CT166=Constants!$B$9,$CT166=Constants!$B$10),1,0)</f>
        <v>0</v>
      </c>
      <c r="CX166" s="106" t="n">
        <v>158</v>
      </c>
      <c r="CY166" s="106" t="str">
        <f aca="false">IF(ISBLANK($C166),"",IF(ISNUMBER($CU166),$CU166+ROW($B166)/1000,""))</f>
        <v/>
      </c>
      <c r="CZ166" s="106" t="str">
        <f aca="false">IF(ISNUMBER($CY166),RANK($CY166,$CY$9:$CY$508,1),"")</f>
        <v/>
      </c>
      <c r="DA166" s="106" t="str">
        <f aca="false">IF(ISBLANK($C166),"",$B166)</f>
        <v/>
      </c>
      <c r="DB166" s="106" t="str">
        <f aca="false">IF(ISBLANK($C166),"",$C166)</f>
        <v/>
      </c>
      <c r="DC166" s="106" t="str">
        <f aca="false">IF(ISBLANK($C166),"",$D166)</f>
        <v/>
      </c>
      <c r="DD166" s="107" t="str">
        <f aca="false">$CR166</f>
        <v/>
      </c>
      <c r="DE166" s="108" t="str">
        <f aca="false">$CQ166</f>
        <v/>
      </c>
      <c r="DF166" s="106" t="str">
        <f aca="false">IF(ISBLANK($C166),"",$CT166)</f>
        <v/>
      </c>
      <c r="DG166" s="109" t="str">
        <f aca="false">IF($CX166&gt;$CW$8,"",VLOOKUP($CX166,$CZ$9:$DF$508,7,FALSE()))</f>
        <v/>
      </c>
      <c r="DH166" s="110" t="str">
        <f aca="false">IF($CX166&gt;$CW$8,"",VLOOKUP($CX166,$CZ$9:$DF$508,2,FALSE()))</f>
        <v/>
      </c>
      <c r="DI166" s="110" t="str">
        <f aca="false">IF($CX166&gt;$CW$8,"",VLOOKUP($CX166,$CZ$9:$DF$508,3,FALSE()))</f>
        <v/>
      </c>
      <c r="DJ166" s="110" t="str">
        <f aca="false">IF($CX166&gt;$CW$8,"",VLOOKUP($CX166,$CZ$9:$DF$508,4,FALSE()))</f>
        <v/>
      </c>
      <c r="DK166" s="110" t="str">
        <f aca="false">IF($CX166&gt;$CW$8,"",VLOOKUP($CX166,$CZ$9:$DF$508,5,FALSE()))</f>
        <v/>
      </c>
      <c r="DL166" s="111" t="str">
        <f aca="false">IF($CX166&gt;$CW$8,"",VLOOKUP($CX166,$CZ$9:$DF$508,6,FALSE()))</f>
        <v/>
      </c>
      <c r="DM166" s="75"/>
    </row>
    <row r="167" customFormat="false" ht="15.75" hidden="false" customHeight="false" outlineLevel="0" collapsed="false">
      <c r="A167" s="9"/>
      <c r="B167" s="77"/>
      <c r="C167" s="78"/>
      <c r="D167" s="167"/>
      <c r="E167" s="175"/>
      <c r="F167" s="169"/>
      <c r="G167" s="170"/>
      <c r="H167" s="170"/>
      <c r="I167" s="176"/>
      <c r="J167" s="173"/>
      <c r="K167" s="85"/>
      <c r="L167" s="86"/>
      <c r="M167" s="87"/>
      <c r="N167" s="173"/>
      <c r="O167" s="173"/>
      <c r="P167" s="175"/>
      <c r="Q167" s="173"/>
      <c r="R167" s="173"/>
      <c r="S167" s="85"/>
      <c r="T167" s="87"/>
      <c r="U167" s="87"/>
      <c r="V167" s="173"/>
      <c r="W167" s="173"/>
      <c r="X167" s="175"/>
      <c r="Y167" s="173"/>
      <c r="Z167" s="174"/>
      <c r="AA167" s="173"/>
      <c r="AB167" s="91"/>
      <c r="AC167" s="92"/>
      <c r="AD167" s="92"/>
      <c r="AE167" s="92"/>
      <c r="AF167" s="92" t="str">
        <f aca="false">IF(ISBLANK($C167),"",IF(E167=Constants!$B$3,TRUE(),IF(E167=Constants!$B$4,FALSE(),TRUE())))</f>
        <v/>
      </c>
      <c r="AG167" s="92" t="str">
        <f aca="false">IF(ISBLANK($C167),"",IF(F167=Constants!$B$3,TRUE(),IF(F167=Constants!$B$4,FALSE(),TRUE())))</f>
        <v/>
      </c>
      <c r="AH167" s="92" t="str">
        <f aca="false">IF(ISBLANK($C167),"",IF(G167=Constants!$B$3,TRUE(),IF(G167=Constants!$B$4,FALSE(),TRUE())))</f>
        <v/>
      </c>
      <c r="AI167" s="92" t="str">
        <f aca="false">IF(ISBLANK($C167),"",IF(AND(ISNUMBER(H167),H167&gt;=0),H167,Constants!$B$29))</f>
        <v/>
      </c>
      <c r="AJ167" s="92" t="str">
        <f aca="false">IF(ISBLANK($C167),"",IF(I167=Constants!$B$3,TRUE(),IF(I167=Constants!$B$4,FALSE(),TRUE())))</f>
        <v/>
      </c>
      <c r="AK167" s="92" t="str">
        <f aca="false">IF(ISBLANK($C167),"",IF(J167=Constants!$B$3,TRUE(),IF(J167=Constants!$B$4,FALSE(),TRUE())))</f>
        <v/>
      </c>
      <c r="AL167" s="92" t="str">
        <f aca="false">IF(ISBLANK($C167),"",IF(K167=Constants!$B$5,TRUE(),IF(K167=Constants!$B$6,FALSE(),COUNTA(L167:P167)&gt;0)))</f>
        <v/>
      </c>
      <c r="AM167" s="94" t="str">
        <f aca="false">IF(ISBLANK($C167),"",IF(ISNUMBER(L167),IF(L167&gt;=0,L167,""),""))</f>
        <v/>
      </c>
      <c r="AN167" s="93" t="str">
        <f aca="false">IF(ISBLANK($C167),"",IF(ISNUMBER(M167),IF(M167&gt;=0,M167,""),""))</f>
        <v/>
      </c>
      <c r="AO167" s="93" t="str">
        <f aca="false">IF(ISBLANK($C167),"",IF(N167=Constants!$B$3,TRUE(),IF(N167=Constants!$B$4,FALSE(),TRUE())))</f>
        <v/>
      </c>
      <c r="AP167" s="92" t="str">
        <f aca="false">IF(ISBLANK($C167),"",IF(ISNUMBER(O167),IF(O167&gt;=0,O167,""),""))</f>
        <v/>
      </c>
      <c r="AQ167" s="92" t="str">
        <f aca="false">IF(ISBLANK($C167),"",IF(P167=Constants!$B$3,TRUE(),IF(P167=Constants!$B$4,FALSE(),FALSE())))</f>
        <v/>
      </c>
      <c r="AR167" s="92" t="str">
        <f aca="false">IF(ISBLANK($C167),"",IF(Q167=Constants!$B$3,TRUE(),IF(Q167=Constants!$B$4,FALSE(),TRUE())))</f>
        <v/>
      </c>
      <c r="AS167" s="92" t="str">
        <f aca="false">IF(ISBLANK($C167),"",IF(R167=Constants!$B$3,TRUE(),IF(R167=Constants!$B$4,FALSE(),TRUE())))</f>
        <v/>
      </c>
      <c r="AT167" s="92" t="str">
        <f aca="false">IF(ISBLANK($C167),"",IF(S167=Constants!$B$5,TRUE(),IF(S167=Constants!$B$6,FALSE(),COUNTA(T167:X167)&gt;0)))</f>
        <v/>
      </c>
      <c r="AU167" s="94" t="str">
        <f aca="false">IF(ISBLANK($C167),"",IF(ISNUMBER(T167),IF(T167&gt;=0,T167,""),""))</f>
        <v/>
      </c>
      <c r="AV167" s="93" t="str">
        <f aca="false">IF(ISBLANK($C167),"",IF(ISNUMBER(U167),IF(U167&gt;=0,U167,""),""))</f>
        <v/>
      </c>
      <c r="AW167" s="93" t="str">
        <f aca="false">IF(ISBLANK($C167),"",IF(V167=Constants!$B$3,TRUE(),IF(V167=Constants!$B$4,FALSE(),TRUE())))</f>
        <v/>
      </c>
      <c r="AX167" s="92" t="str">
        <f aca="false">IF(ISBLANK($C167),"",IF(ISNUMBER(W167),IF(W167&gt;=0,W167,""),""))</f>
        <v/>
      </c>
      <c r="AY167" s="92" t="str">
        <f aca="false">IF(ISBLANK($C167),"",IF(X167=Constants!$B$3,TRUE(),IF(X167=Constants!$B$4,FALSE(),FALSE())))</f>
        <v/>
      </c>
      <c r="AZ167" s="92" t="str">
        <f aca="false">IF(ISBLANK($C167),"",MIN(Constants!$B$31,MAX(0,IF(ISNUMBER(Y167),Y167*60,0)+IF(ISNUMBER(Z167),Z167,0))))</f>
        <v/>
      </c>
      <c r="BA167" s="92" t="str">
        <f aca="false">IF(ISBLANK($C167),"",IF(AA167=Constants!$B$3,TRUE(),IF(AA167=Constants!$B$4,FALSE(),FALSE())))</f>
        <v/>
      </c>
      <c r="BB167" s="91" t="str">
        <f aca="false">IF(ISBLANK($C167),"",AND($AL167,OR($AM167="",$AN167="",AND($AO167,$AP167=""))))</f>
        <v/>
      </c>
      <c r="BC167" s="93" t="str">
        <f aca="false">IF($BR167&lt;&gt;Constants!$B$8,"",IF($AL167,Constants!$B$21*$AN167+Constants!$B$22*IF($AO167,$AP167,Constants!$B$23),Constants!$B$24))</f>
        <v/>
      </c>
      <c r="BD167" s="96" t="str">
        <f aca="false">IF($BR167&lt;&gt;Constants!$B$8,"",Constants!$B$25*ABS($AD$9-IF($AL167,$AM167,0)))</f>
        <v/>
      </c>
      <c r="BE167" s="96" t="str">
        <f aca="false">IF($BR167&lt;&gt;Constants!$B$8,"",IF(AND($AL167,$AQ167,$AO167),Constants!$B$27,0))</f>
        <v/>
      </c>
      <c r="BF167" s="96" t="str">
        <f aca="false">IF($BR167&lt;&gt;Constants!$B$8,"",IF($AL167,($AI167-Constants!$B$29)*Constants!$B$28,0))</f>
        <v/>
      </c>
      <c r="BG167" s="96" t="str">
        <f aca="false">IF($BR167&lt;&gt;Constants!$B$8,"",IF($AK167,0,Constants!$B$15)+IF($AJ167,0,Constants!$B$16)+IF($AH167,0,Constants!$B$17))</f>
        <v/>
      </c>
      <c r="BH167" s="97" t="str">
        <f aca="false">IF($BR167&lt;&gt;Constants!$B$8,"",Constants!$B$20+SUM($BC167:$BG167))</f>
        <v/>
      </c>
      <c r="BI167" s="92" t="str">
        <f aca="false">IF($BR167&lt;&gt;Constants!$B$8,"",IF(OR($BP167&lt;$BH167,AND($BP167=$BH167,OR($BK167&lt;$BC167,AND($BK167=$BC167,OR($BL167&lt;$BD167,AND($BL167=$BD167,$AT167,$AL167,$AV167&lt;$AN167)))))),"-&gt;","&lt;-"))</f>
        <v/>
      </c>
      <c r="BJ167" s="91" t="str">
        <f aca="false">IF(ISBLANK($C167),"",AND($AT167,OR($AU167="",$AV167="",AND($AW167,$AX167=""))))</f>
        <v/>
      </c>
      <c r="BK167" s="93" t="str">
        <f aca="false">IF($BR167&lt;&gt;Constants!$B$8,"",IF($AT167,Constants!$B$21*$AV167+Constants!$B$22*IF($AW167,$AX167,Constants!$B$23),Constants!$B$24))</f>
        <v/>
      </c>
      <c r="BL167" s="96" t="str">
        <f aca="false">IF($BR167&lt;&gt;Constants!$B$8,"",Constants!$B$25*ABS($AD$9-IF($AT167,$AU167,0)))</f>
        <v/>
      </c>
      <c r="BM167" s="96" t="str">
        <f aca="false">IF($BR167&lt;&gt;Constants!$B$8,"",IF(AND($AT167,$AY167,$AW167),Constants!$B$27,0))</f>
        <v/>
      </c>
      <c r="BN167" s="96" t="str">
        <f aca="false">IF($BR167&lt;&gt;Constants!$B$8,"",IF($AT167,($AI167-Constants!$B$29)*Constants!$B$28,0))</f>
        <v/>
      </c>
      <c r="BO167" s="96" t="str">
        <f aca="false">IF($BR167&lt;&gt;Constants!$B$8,"",IF($AS167,0,Constants!$B$15)+IF($AR167,0,Constants!$B$16)+IF($AH167,0,Constants!$B$17))</f>
        <v/>
      </c>
      <c r="BP167" s="97" t="str">
        <f aca="false">IF($BR167&lt;&gt;Constants!$B$8,"",Constants!$B$20+SUM($BK167:$BO167))</f>
        <v/>
      </c>
      <c r="BQ167" s="92" t="str">
        <f aca="false">IF(ISBLANK($C167),"",IF(ISBLANK($D$7),$BQ$5,IF(NOT(ISNUMBER($D$7)),$BQ$6,"")))</f>
        <v/>
      </c>
      <c r="BR167" s="92" t="str">
        <f aca="false">IF(ISBLANK($C167),"",IF($BA167,Constants!$B$11,IF(COUNTA($E167:$AA167)=0,Constants!$B$10,IF(NOT($AG167),Constants!$B$9,IF(OR($BQ167&lt;&gt;"",$BB167,$BJ167),Constants!$B$12,Constants!$B$8)))))</f>
        <v/>
      </c>
      <c r="BS167" s="92" t="str">
        <f aca="false">IF(ISBLANK($C167),"",IF($BR167&lt;&gt;Constants!$B$8,$BR167,Constants!$B$13))</f>
        <v/>
      </c>
      <c r="BT167" s="96" t="str">
        <f aca="false">IF($BR167&lt;&gt;Constants!$B$8,"",IF($BI167="-&gt;",$BP167,$BH167))</f>
        <v/>
      </c>
      <c r="BU167" s="96" t="str">
        <f aca="false">IF($BR167&lt;&gt;Constants!$B$8,"",IF($AF167,0,Constants!$B$18))</f>
        <v/>
      </c>
      <c r="BV167" s="96" t="str">
        <f aca="false">IF($BR167&lt;&gt;Constants!$B$8,"",((Constants!$B$31-$AZ167)-Constants!$B$31)/Constants!$B$32)</f>
        <v/>
      </c>
      <c r="BW167" s="96" t="str">
        <f aca="false">IF(ISBLANK($C167),"",IF($BR167&lt;&gt;Constants!$B$8,$BR167,SUM($BT167:$BV167)))</f>
        <v/>
      </c>
      <c r="BX167" s="92" t="str">
        <f aca="false">IF(ISBLANK($C167),"",IF($BR167&lt;&gt;Constants!$B$8,$BR167,RANK($BW167,$BW$9:$BW$508,1)))</f>
        <v/>
      </c>
      <c r="BY167" s="96" t="str">
        <f aca="false">IF($BR167&lt;&gt;Constants!$B$8,"",IF($BI167="-&gt;",$BK167,$BC167))</f>
        <v/>
      </c>
      <c r="BZ167" s="92" t="str">
        <f aca="false">IF(ISBLANK($C167),"",IF($BR167&lt;&gt;Constants!$B$8,$BR167,IF(ISNUMBER($BY167),RANK($BY167,$BY$9:$BY$508,1),COUNT($BY$9:$BY$508)+1)))</f>
        <v/>
      </c>
      <c r="CA167" s="96" t="str">
        <f aca="false">IF($BR167&lt;&gt;Constants!$B$8,"",IF($BI167="-&gt;",$BL167,$BD167))</f>
        <v/>
      </c>
      <c r="CB167" s="92" t="str">
        <f aca="false">IF(ISBLANK($C167),"",IF($BR167&lt;&gt;Constants!$B$8,$BR167,IF(ISNUMBER($CA167),RANK($CA167,$CA$9:$CA$508,1),COUNT($CA$9:$CA$508)+1)))</f>
        <v/>
      </c>
      <c r="CC167" s="96" t="str">
        <f aca="false">IF($BR167&lt;&gt;Constants!$B$8,"",IF($BI167="-&gt;",IF($AT167,$AV167,""),IF($AL167,$AN167,"")))</f>
        <v/>
      </c>
      <c r="CD167" s="92" t="str">
        <f aca="false">IF(ISBLANK($C167),"",IF($BR167&lt;&gt;Constants!$B$8,$BR167,IF(ISNUMBER($CC167),RANK($CC167,$CC$9:$CC$508,1),COUNT($CC$9:$CC$508)+1)))</f>
        <v/>
      </c>
      <c r="CE167" s="96" t="str">
        <f aca="false">IF($BR167&lt;&gt;Constants!$B$8,"",IF(AND(NOT($AL167),NOT($AT167),$AJ167,$AK167,$AR167,$AS167),"",$AI167))</f>
        <v/>
      </c>
      <c r="CF167" s="92" t="str">
        <f aca="false">IF(ISBLANK($C167),"",IF($BR167&lt;&gt;Constants!$B$8,$BR167,IF(ISNUMBER($CE167),RANK($CE167,$CE$9:$CE$508,1),COUNT($CE$9:$CE$508)+1)))</f>
        <v/>
      </c>
      <c r="CG167" s="92" t="str">
        <f aca="false">IF(ISBLANK($C167),"",IF($BR167&lt;&gt;Constants!$B$8,$BR167,COUNTIFS($BX$9:$BX$508,"&lt;"&amp;$BX167)+COUNTIFS($BX$9:$BX$508,$BX167,$BZ$9:$BZ$508,"&lt;"&amp;$BZ167)+COUNTIFS($BX$9:$BX$508,$BX167,$BZ$9:$BZ$508,$BZ167,$CB$9:$CB$508,"&lt;"&amp;$CB167)+COUNTIFS($BX$9:$BX$508,$BX167,$BZ$9:$BZ$508,$BZ167,$CB$9:$CB$508,$CB167,$CD$9:$CD$508,"&lt;"&amp;$CD167)+COUNTIFS($BX$9:$BX$508,$BX167,$BZ$9:$BZ$508,$BZ167,$CB$9:$CB$508,$CB167,$CD$9:$CD$508,$CD167,$CF$9:$CF$508,"&lt;"&amp;$CF167)+1))</f>
        <v/>
      </c>
      <c r="CH167" s="92" t="str">
        <f aca="false">IF(ISBLANK($C167),"",IF($BR167&lt;&gt;Constants!$B$8,$BR167,$BX167-$CG167))</f>
        <v/>
      </c>
      <c r="CI167" s="98"/>
      <c r="CJ167" s="99"/>
      <c r="CK167" s="100" t="str">
        <f aca="false">IF(ISBLANK($C167),"",IF($BR167=Constants!$B$12,$BQ167,""))</f>
        <v/>
      </c>
      <c r="CL167" s="99" t="str">
        <f aca="false">IF(ISBLANK($C167),"",IF($BR167&lt;&gt;Constants!$B$8,"",IF($BI167="-&gt;",2,1)))</f>
        <v/>
      </c>
      <c r="CM167" s="101" t="str">
        <f aca="false">IF(ISBLANK($C167),"",IF($BR167&lt;&gt;Constants!$B$8,"",IF($BI167="-&gt;",$BK167,$BC167)))</f>
        <v/>
      </c>
      <c r="CN167" s="101" t="str">
        <f aca="false">IF(ISBLANK($C167),"",IF($BR167&lt;&gt;Constants!$B$8,"",IF($BI167="-&gt;",$BL167,$BD167)))</f>
        <v/>
      </c>
      <c r="CO167" s="101" t="str">
        <f aca="false">IF(ISBLANK($C167),"",IF($BR167&lt;&gt;Constants!$B$8,"",IF($BI167="-&gt;",$BM167+$BN167,$BE167+$BF167)+$BV167))</f>
        <v/>
      </c>
      <c r="CP167" s="101" t="str">
        <f aca="false">IF(ISBLANK($C167),"",IF($BR167&lt;&gt;Constants!$B$8,"",IF($BI167="-&gt;",$BO167,$BG167)+$BU167))</f>
        <v/>
      </c>
      <c r="CQ167" s="102" t="str">
        <f aca="false">IF(ISBLANK($C167),"",IF($BR167&lt;&gt;Constants!$B$8,$BR167,$BW167))</f>
        <v/>
      </c>
      <c r="CR167" s="103" t="str">
        <f aca="false">IF(ISBLANK($C167),"",$BS167)</f>
        <v/>
      </c>
      <c r="CS167" s="104" t="str">
        <f aca="false">IF(ISBLANK($C167),"",$CH167)</f>
        <v/>
      </c>
      <c r="CT167" s="104" t="str">
        <f aca="false">IF(ISBLANK($C167),"",$CG167)</f>
        <v/>
      </c>
      <c r="CU167" s="105" t="str">
        <f aca="false">IF(ISBLANK($C167),"",IFERROR(_xlfn.SWITCH($CT167,Constants!$B$11,COUNTA($C$9:$C$508)+2,Constants!$B$10,COUNTA($C$9:$C$508)+1,Constants!$B$9,COUNTA($C$9:$C$508)),$CT167))</f>
        <v/>
      </c>
      <c r="CV167" s="9"/>
      <c r="CW167" s="106" t="n">
        <f aca="false">IF(OR(ISNUMBER($CT167),$CT167=Constants!$B$11,$CT167=Constants!$B$9,$CT167=Constants!$B$10),1,0)</f>
        <v>0</v>
      </c>
      <c r="CX167" s="106" t="n">
        <v>159</v>
      </c>
      <c r="CY167" s="106" t="str">
        <f aca="false">IF(ISBLANK($C167),"",IF(ISNUMBER($CU167),$CU167+ROW($B167)/1000,""))</f>
        <v/>
      </c>
      <c r="CZ167" s="106" t="str">
        <f aca="false">IF(ISNUMBER($CY167),RANK($CY167,$CY$9:$CY$508,1),"")</f>
        <v/>
      </c>
      <c r="DA167" s="106" t="str">
        <f aca="false">IF(ISBLANK($C167),"",$B167)</f>
        <v/>
      </c>
      <c r="DB167" s="106" t="str">
        <f aca="false">IF(ISBLANK($C167),"",$C167)</f>
        <v/>
      </c>
      <c r="DC167" s="106" t="str">
        <f aca="false">IF(ISBLANK($C167),"",$D167)</f>
        <v/>
      </c>
      <c r="DD167" s="107" t="str">
        <f aca="false">$CR167</f>
        <v/>
      </c>
      <c r="DE167" s="108" t="str">
        <f aca="false">$CQ167</f>
        <v/>
      </c>
      <c r="DF167" s="106" t="str">
        <f aca="false">IF(ISBLANK($C167),"",$CT167)</f>
        <v/>
      </c>
      <c r="DG167" s="109" t="str">
        <f aca="false">IF($CX167&gt;$CW$8,"",VLOOKUP($CX167,$CZ$9:$DF$508,7,FALSE()))</f>
        <v/>
      </c>
      <c r="DH167" s="110" t="str">
        <f aca="false">IF($CX167&gt;$CW$8,"",VLOOKUP($CX167,$CZ$9:$DF$508,2,FALSE()))</f>
        <v/>
      </c>
      <c r="DI167" s="110" t="str">
        <f aca="false">IF($CX167&gt;$CW$8,"",VLOOKUP($CX167,$CZ$9:$DF$508,3,FALSE()))</f>
        <v/>
      </c>
      <c r="DJ167" s="110" t="str">
        <f aca="false">IF($CX167&gt;$CW$8,"",VLOOKUP($CX167,$CZ$9:$DF$508,4,FALSE()))</f>
        <v/>
      </c>
      <c r="DK167" s="110" t="str">
        <f aca="false">IF($CX167&gt;$CW$8,"",VLOOKUP($CX167,$CZ$9:$DF$508,5,FALSE()))</f>
        <v/>
      </c>
      <c r="DL167" s="111" t="str">
        <f aca="false">IF($CX167&gt;$CW$8,"",VLOOKUP($CX167,$CZ$9:$DF$508,6,FALSE()))</f>
        <v/>
      </c>
      <c r="DM167" s="75"/>
    </row>
    <row r="168" customFormat="false" ht="15.75" hidden="false" customHeight="false" outlineLevel="0" collapsed="false">
      <c r="A168" s="9"/>
      <c r="B168" s="157"/>
      <c r="C168" s="158"/>
      <c r="D168" s="159"/>
      <c r="E168" s="177"/>
      <c r="F168" s="161"/>
      <c r="G168" s="162"/>
      <c r="H168" s="162"/>
      <c r="I168" s="178"/>
      <c r="J168" s="165"/>
      <c r="K168" s="126"/>
      <c r="L168" s="127"/>
      <c r="M168" s="128"/>
      <c r="N168" s="165"/>
      <c r="O168" s="165"/>
      <c r="P168" s="177"/>
      <c r="Q168" s="165"/>
      <c r="R168" s="165"/>
      <c r="S168" s="126"/>
      <c r="T168" s="128"/>
      <c r="U168" s="128"/>
      <c r="V168" s="165"/>
      <c r="W168" s="165"/>
      <c r="X168" s="177"/>
      <c r="Y168" s="165"/>
      <c r="Z168" s="166"/>
      <c r="AA168" s="165"/>
      <c r="AB168" s="132"/>
      <c r="AC168" s="133"/>
      <c r="AD168" s="133"/>
      <c r="AE168" s="133"/>
      <c r="AF168" s="133" t="str">
        <f aca="false">IF(ISBLANK($C168),"",IF(E168=Constants!$B$3,TRUE(),IF(E168=Constants!$B$4,FALSE(),TRUE())))</f>
        <v/>
      </c>
      <c r="AG168" s="133" t="str">
        <f aca="false">IF(ISBLANK($C168),"",IF(F168=Constants!$B$3,TRUE(),IF(F168=Constants!$B$4,FALSE(),TRUE())))</f>
        <v/>
      </c>
      <c r="AH168" s="133" t="str">
        <f aca="false">IF(ISBLANK($C168),"",IF(G168=Constants!$B$3,TRUE(),IF(G168=Constants!$B$4,FALSE(),TRUE())))</f>
        <v/>
      </c>
      <c r="AI168" s="133" t="str">
        <f aca="false">IF(ISBLANK($C168),"",IF(AND(ISNUMBER(H168),H168&gt;=0),H168,Constants!$B$29))</f>
        <v/>
      </c>
      <c r="AJ168" s="133" t="str">
        <f aca="false">IF(ISBLANK($C168),"",IF(I168=Constants!$B$3,TRUE(),IF(I168=Constants!$B$4,FALSE(),TRUE())))</f>
        <v/>
      </c>
      <c r="AK168" s="133" t="str">
        <f aca="false">IF(ISBLANK($C168),"",IF(J168=Constants!$B$3,TRUE(),IF(J168=Constants!$B$4,FALSE(),TRUE())))</f>
        <v/>
      </c>
      <c r="AL168" s="133" t="str">
        <f aca="false">IF(ISBLANK($C168),"",IF(K168=Constants!$B$5,TRUE(),IF(K168=Constants!$B$6,FALSE(),COUNTA(L168:P168)&gt;0)))</f>
        <v/>
      </c>
      <c r="AM168" s="134" t="str">
        <f aca="false">IF(ISBLANK($C168),"",IF(ISNUMBER(L168),IF(L168&gt;=0,L168,""),""))</f>
        <v/>
      </c>
      <c r="AN168" s="135" t="str">
        <f aca="false">IF(ISBLANK($C168),"",IF(ISNUMBER(M168),IF(M168&gt;=0,M168,""),""))</f>
        <v/>
      </c>
      <c r="AO168" s="135" t="str">
        <f aca="false">IF(ISBLANK($C168),"",IF(N168=Constants!$B$3,TRUE(),IF(N168=Constants!$B$4,FALSE(),TRUE())))</f>
        <v/>
      </c>
      <c r="AP168" s="133" t="str">
        <f aca="false">IF(ISBLANK($C168),"",IF(ISNUMBER(O168),IF(O168&gt;=0,O168,""),""))</f>
        <v/>
      </c>
      <c r="AQ168" s="133" t="str">
        <f aca="false">IF(ISBLANK($C168),"",IF(P168=Constants!$B$3,TRUE(),IF(P168=Constants!$B$4,FALSE(),FALSE())))</f>
        <v/>
      </c>
      <c r="AR168" s="133" t="str">
        <f aca="false">IF(ISBLANK($C168),"",IF(Q168=Constants!$B$3,TRUE(),IF(Q168=Constants!$B$4,FALSE(),TRUE())))</f>
        <v/>
      </c>
      <c r="AS168" s="133" t="str">
        <f aca="false">IF(ISBLANK($C168),"",IF(R168=Constants!$B$3,TRUE(),IF(R168=Constants!$B$4,FALSE(),TRUE())))</f>
        <v/>
      </c>
      <c r="AT168" s="133" t="str">
        <f aca="false">IF(ISBLANK($C168),"",IF(S168=Constants!$B$5,TRUE(),IF(S168=Constants!$B$6,FALSE(),COUNTA(T168:X168)&gt;0)))</f>
        <v/>
      </c>
      <c r="AU168" s="134" t="str">
        <f aca="false">IF(ISBLANK($C168),"",IF(ISNUMBER(T168),IF(T168&gt;=0,T168,""),""))</f>
        <v/>
      </c>
      <c r="AV168" s="135" t="str">
        <f aca="false">IF(ISBLANK($C168),"",IF(ISNUMBER(U168),IF(U168&gt;=0,U168,""),""))</f>
        <v/>
      </c>
      <c r="AW168" s="135" t="str">
        <f aca="false">IF(ISBLANK($C168),"",IF(V168=Constants!$B$3,TRUE(),IF(V168=Constants!$B$4,FALSE(),TRUE())))</f>
        <v/>
      </c>
      <c r="AX168" s="133" t="str">
        <f aca="false">IF(ISBLANK($C168),"",IF(ISNUMBER(W168),IF(W168&gt;=0,W168,""),""))</f>
        <v/>
      </c>
      <c r="AY168" s="133" t="str">
        <f aca="false">IF(ISBLANK($C168),"",IF(X168=Constants!$B$3,TRUE(),IF(X168=Constants!$B$4,FALSE(),FALSE())))</f>
        <v/>
      </c>
      <c r="AZ168" s="133" t="str">
        <f aca="false">IF(ISBLANK($C168),"",MIN(Constants!$B$31,MAX(0,IF(ISNUMBER(Y168),Y168*60,0)+IF(ISNUMBER(Z168),Z168,0))))</f>
        <v/>
      </c>
      <c r="BA168" s="133" t="str">
        <f aca="false">IF(ISBLANK($C168),"",IF(AA168=Constants!$B$3,TRUE(),IF(AA168=Constants!$B$4,FALSE(),FALSE())))</f>
        <v/>
      </c>
      <c r="BB168" s="132" t="str">
        <f aca="false">IF(ISBLANK($C168),"",AND($AL168,OR($AM168="",$AN168="",AND($AO168,$AP168=""))))</f>
        <v/>
      </c>
      <c r="BC168" s="135" t="str">
        <f aca="false">IF($BR168&lt;&gt;Constants!$B$8,"",IF($AL168,Constants!$B$21*$AN168+Constants!$B$22*IF($AO168,$AP168,Constants!$B$23),Constants!$B$24))</f>
        <v/>
      </c>
      <c r="BD168" s="136" t="str">
        <f aca="false">IF($BR168&lt;&gt;Constants!$B$8,"",Constants!$B$25*ABS($AD$9-IF($AL168,$AM168,0)))</f>
        <v/>
      </c>
      <c r="BE168" s="136" t="str">
        <f aca="false">IF($BR168&lt;&gt;Constants!$B$8,"",IF(AND($AL168,$AQ168,$AO168),Constants!$B$27,0))</f>
        <v/>
      </c>
      <c r="BF168" s="136" t="str">
        <f aca="false">IF($BR168&lt;&gt;Constants!$B$8,"",IF($AL168,($AI168-Constants!$B$29)*Constants!$B$28,0))</f>
        <v/>
      </c>
      <c r="BG168" s="136" t="str">
        <f aca="false">IF($BR168&lt;&gt;Constants!$B$8,"",IF($AK168,0,Constants!$B$15)+IF($AJ168,0,Constants!$B$16)+IF($AH168,0,Constants!$B$17))</f>
        <v/>
      </c>
      <c r="BH168" s="137" t="str">
        <f aca="false">IF($BR168&lt;&gt;Constants!$B$8,"",Constants!$B$20+SUM($BC168:$BG168))</f>
        <v/>
      </c>
      <c r="BI168" s="133" t="str">
        <f aca="false">IF($BR168&lt;&gt;Constants!$B$8,"",IF(OR($BP168&lt;$BH168,AND($BP168=$BH168,OR($BK168&lt;$BC168,AND($BK168=$BC168,OR($BL168&lt;$BD168,AND($BL168=$BD168,$AT168,$AL168,$AV168&lt;$AN168)))))),"-&gt;","&lt;-"))</f>
        <v/>
      </c>
      <c r="BJ168" s="132" t="str">
        <f aca="false">IF(ISBLANK($C168),"",AND($AT168,OR($AU168="",$AV168="",AND($AW168,$AX168=""))))</f>
        <v/>
      </c>
      <c r="BK168" s="135" t="str">
        <f aca="false">IF($BR168&lt;&gt;Constants!$B$8,"",IF($AT168,Constants!$B$21*$AV168+Constants!$B$22*IF($AW168,$AX168,Constants!$B$23),Constants!$B$24))</f>
        <v/>
      </c>
      <c r="BL168" s="136" t="str">
        <f aca="false">IF($BR168&lt;&gt;Constants!$B$8,"",Constants!$B$25*ABS($AD$9-IF($AT168,$AU168,0)))</f>
        <v/>
      </c>
      <c r="BM168" s="136" t="str">
        <f aca="false">IF($BR168&lt;&gt;Constants!$B$8,"",IF(AND($AT168,$AY168,$AW168),Constants!$B$27,0))</f>
        <v/>
      </c>
      <c r="BN168" s="136" t="str">
        <f aca="false">IF($BR168&lt;&gt;Constants!$B$8,"",IF($AT168,($AI168-Constants!$B$29)*Constants!$B$28,0))</f>
        <v/>
      </c>
      <c r="BO168" s="136" t="str">
        <f aca="false">IF($BR168&lt;&gt;Constants!$B$8,"",IF($AS168,0,Constants!$B$15)+IF($AR168,0,Constants!$B$16)+IF($AH168,0,Constants!$B$17))</f>
        <v/>
      </c>
      <c r="BP168" s="137" t="str">
        <f aca="false">IF($BR168&lt;&gt;Constants!$B$8,"",Constants!$B$20+SUM($BK168:$BO168))</f>
        <v/>
      </c>
      <c r="BQ168" s="133" t="str">
        <f aca="false">IF(ISBLANK($C168),"",IF(ISBLANK($D$7),$BQ$5,IF(NOT(ISNUMBER($D$7)),$BQ$6,"")))</f>
        <v/>
      </c>
      <c r="BR168" s="133" t="str">
        <f aca="false">IF(ISBLANK($C168),"",IF($BA168,Constants!$B$11,IF(COUNTA($E168:$AA168)=0,Constants!$B$10,IF(NOT($AG168),Constants!$B$9,IF(OR($BQ168&lt;&gt;"",$BB168,$BJ168),Constants!$B$12,Constants!$B$8)))))</f>
        <v/>
      </c>
      <c r="BS168" s="133" t="str">
        <f aca="false">IF(ISBLANK($C168),"",IF($BR168&lt;&gt;Constants!$B$8,$BR168,Constants!$B$13))</f>
        <v/>
      </c>
      <c r="BT168" s="136" t="str">
        <f aca="false">IF($BR168&lt;&gt;Constants!$B$8,"",IF($BI168="-&gt;",$BP168,$BH168))</f>
        <v/>
      </c>
      <c r="BU168" s="136" t="str">
        <f aca="false">IF($BR168&lt;&gt;Constants!$B$8,"",IF($AF168,0,Constants!$B$18))</f>
        <v/>
      </c>
      <c r="BV168" s="136" t="str">
        <f aca="false">IF($BR168&lt;&gt;Constants!$B$8,"",((Constants!$B$31-$AZ168)-Constants!$B$31)/Constants!$B$32)</f>
        <v/>
      </c>
      <c r="BW168" s="136" t="str">
        <f aca="false">IF(ISBLANK($C168),"",IF($BR168&lt;&gt;Constants!$B$8,$BR168,SUM($BT168:$BV168)))</f>
        <v/>
      </c>
      <c r="BX168" s="133" t="str">
        <f aca="false">IF(ISBLANK($C168),"",IF($BR168&lt;&gt;Constants!$B$8,$BR168,RANK($BW168,$BW$9:$BW$508,1)))</f>
        <v/>
      </c>
      <c r="BY168" s="136" t="str">
        <f aca="false">IF($BR168&lt;&gt;Constants!$B$8,"",IF($BI168="-&gt;",$BK168,$BC168))</f>
        <v/>
      </c>
      <c r="BZ168" s="133" t="str">
        <f aca="false">IF(ISBLANK($C168),"",IF($BR168&lt;&gt;Constants!$B$8,$BR168,IF(ISNUMBER($BY168),RANK($BY168,$BY$9:$BY$508,1),COUNT($BY$9:$BY$508)+1)))</f>
        <v/>
      </c>
      <c r="CA168" s="136" t="str">
        <f aca="false">IF($BR168&lt;&gt;Constants!$B$8,"",IF($BI168="-&gt;",$BL168,$BD168))</f>
        <v/>
      </c>
      <c r="CB168" s="133" t="str">
        <f aca="false">IF(ISBLANK($C168),"",IF($BR168&lt;&gt;Constants!$B$8,$BR168,IF(ISNUMBER($CA168),RANK($CA168,$CA$9:$CA$508,1),COUNT($CA$9:$CA$508)+1)))</f>
        <v/>
      </c>
      <c r="CC168" s="136" t="str">
        <f aca="false">IF($BR168&lt;&gt;Constants!$B$8,"",IF($BI168="-&gt;",IF($AT168,$AV168,""),IF($AL168,$AN168,"")))</f>
        <v/>
      </c>
      <c r="CD168" s="133" t="str">
        <f aca="false">IF(ISBLANK($C168),"",IF($BR168&lt;&gt;Constants!$B$8,$BR168,IF(ISNUMBER($CC168),RANK($CC168,$CC$9:$CC$508,1),COUNT($CC$9:$CC$508)+1)))</f>
        <v/>
      </c>
      <c r="CE168" s="136" t="str">
        <f aca="false">IF($BR168&lt;&gt;Constants!$B$8,"",IF(AND(NOT($AL168),NOT($AT168),$AJ168,$AK168,$AR168,$AS168),"",$AI168))</f>
        <v/>
      </c>
      <c r="CF168" s="133" t="str">
        <f aca="false">IF(ISBLANK($C168),"",IF($BR168&lt;&gt;Constants!$B$8,$BR168,IF(ISNUMBER($CE168),RANK($CE168,$CE$9:$CE$508,1),COUNT($CE$9:$CE$508)+1)))</f>
        <v/>
      </c>
      <c r="CG168" s="133" t="str">
        <f aca="false">IF(ISBLANK($C168),"",IF($BR168&lt;&gt;Constants!$B$8,$BR168,COUNTIFS($BX$9:$BX$508,"&lt;"&amp;$BX168)+COUNTIFS($BX$9:$BX$508,$BX168,$BZ$9:$BZ$508,"&lt;"&amp;$BZ168)+COUNTIFS($BX$9:$BX$508,$BX168,$BZ$9:$BZ$508,$BZ168,$CB$9:$CB$508,"&lt;"&amp;$CB168)+COUNTIFS($BX$9:$BX$508,$BX168,$BZ$9:$BZ$508,$BZ168,$CB$9:$CB$508,$CB168,$CD$9:$CD$508,"&lt;"&amp;$CD168)+COUNTIFS($BX$9:$BX$508,$BX168,$BZ$9:$BZ$508,$BZ168,$CB$9:$CB$508,$CB168,$CD$9:$CD$508,$CD168,$CF$9:$CF$508,"&lt;"&amp;$CF168)+1))</f>
        <v/>
      </c>
      <c r="CH168" s="133" t="str">
        <f aca="false">IF(ISBLANK($C168),"",IF($BR168&lt;&gt;Constants!$B$8,$BR168,$BX168-$CG168))</f>
        <v/>
      </c>
      <c r="CI168" s="138"/>
      <c r="CJ168" s="139"/>
      <c r="CK168" s="140" t="str">
        <f aca="false">IF(ISBLANK($C168),"",IF($BR168=Constants!$B$12,$BQ168,""))</f>
        <v/>
      </c>
      <c r="CL168" s="139" t="str">
        <f aca="false">IF(ISBLANK($C168),"",IF($BR168&lt;&gt;Constants!$B$8,"",IF($BI168="-&gt;",2,1)))</f>
        <v/>
      </c>
      <c r="CM168" s="141" t="str">
        <f aca="false">IF(ISBLANK($C168),"",IF($BR168&lt;&gt;Constants!$B$8,"",IF($BI168="-&gt;",$BK168,$BC168)))</f>
        <v/>
      </c>
      <c r="CN168" s="141" t="str">
        <f aca="false">IF(ISBLANK($C168),"",IF($BR168&lt;&gt;Constants!$B$8,"",IF($BI168="-&gt;",$BL168,$BD168)))</f>
        <v/>
      </c>
      <c r="CO168" s="141" t="str">
        <f aca="false">IF(ISBLANK($C168),"",IF($BR168&lt;&gt;Constants!$B$8,"",IF($BI168="-&gt;",$BM168+$BN168,$BE168+$BF168)+$BV168))</f>
        <v/>
      </c>
      <c r="CP168" s="141" t="str">
        <f aca="false">IF(ISBLANK($C168),"",IF($BR168&lt;&gt;Constants!$B$8,"",IF($BI168="-&gt;",$BO168,$BG168)+$BU168))</f>
        <v/>
      </c>
      <c r="CQ168" s="142" t="str">
        <f aca="false">IF(ISBLANK($C168),"",IF($BR168&lt;&gt;Constants!$B$8,$BR168,$BW168))</f>
        <v/>
      </c>
      <c r="CR168" s="143" t="str">
        <f aca="false">IF(ISBLANK($C168),"",$BS168)</f>
        <v/>
      </c>
      <c r="CS168" s="144" t="str">
        <f aca="false">IF(ISBLANK($C168),"",$CH168)</f>
        <v/>
      </c>
      <c r="CT168" s="144" t="str">
        <f aca="false">IF(ISBLANK($C168),"",$CG168)</f>
        <v/>
      </c>
      <c r="CU168" s="145" t="str">
        <f aca="false">IF(ISBLANK($C168),"",IFERROR(_xlfn.SWITCH($CT168,Constants!$B$11,COUNTA($C$9:$C$508)+2,Constants!$B$10,COUNTA($C$9:$C$508)+1,Constants!$B$9,COUNTA($C$9:$C$508)),$CT168))</f>
        <v/>
      </c>
      <c r="CV168" s="9"/>
      <c r="CW168" s="146" t="n">
        <f aca="false">IF(OR(ISNUMBER($CT168),$CT168=Constants!$B$11,$CT168=Constants!$B$9,$CT168=Constants!$B$10),1,0)</f>
        <v>0</v>
      </c>
      <c r="CX168" s="146" t="n">
        <v>160</v>
      </c>
      <c r="CY168" s="146" t="str">
        <f aca="false">IF(ISBLANK($C168),"",IF(ISNUMBER($CU168),$CU168+ROW($B168)/1000,""))</f>
        <v/>
      </c>
      <c r="CZ168" s="146" t="str">
        <f aca="false">IF(ISNUMBER($CY168),RANK($CY168,$CY$9:$CY$508,1),"")</f>
        <v/>
      </c>
      <c r="DA168" s="146" t="str">
        <f aca="false">IF(ISBLANK($C168),"",$B168)</f>
        <v/>
      </c>
      <c r="DB168" s="146" t="str">
        <f aca="false">IF(ISBLANK($C168),"",$C168)</f>
        <v/>
      </c>
      <c r="DC168" s="146" t="str">
        <f aca="false">IF(ISBLANK($C168),"",$D168)</f>
        <v/>
      </c>
      <c r="DD168" s="147" t="str">
        <f aca="false">$CR168</f>
        <v/>
      </c>
      <c r="DE168" s="148" t="str">
        <f aca="false">$CQ168</f>
        <v/>
      </c>
      <c r="DF168" s="146" t="str">
        <f aca="false">IF(ISBLANK($C168),"",$CT168)</f>
        <v/>
      </c>
      <c r="DG168" s="149" t="str">
        <f aca="false">IF($CX168&gt;$CW$8,"",VLOOKUP($CX168,$CZ$9:$DF$508,7,FALSE()))</f>
        <v/>
      </c>
      <c r="DH168" s="150" t="str">
        <f aca="false">IF($CX168&gt;$CW$8,"",VLOOKUP($CX168,$CZ$9:$DF$508,2,FALSE()))</f>
        <v/>
      </c>
      <c r="DI168" s="150" t="str">
        <f aca="false">IF($CX168&gt;$CW$8,"",VLOOKUP($CX168,$CZ$9:$DF$508,3,FALSE()))</f>
        <v/>
      </c>
      <c r="DJ168" s="150" t="str">
        <f aca="false">IF($CX168&gt;$CW$8,"",VLOOKUP($CX168,$CZ$9:$DF$508,4,FALSE()))</f>
        <v/>
      </c>
      <c r="DK168" s="150" t="str">
        <f aca="false">IF($CX168&gt;$CW$8,"",VLOOKUP($CX168,$CZ$9:$DF$508,5,FALSE()))</f>
        <v/>
      </c>
      <c r="DL168" s="151" t="str">
        <f aca="false">IF($CX168&gt;$CW$8,"",VLOOKUP($CX168,$CZ$9:$DF$508,6,FALSE()))</f>
        <v/>
      </c>
      <c r="DM168" s="75"/>
    </row>
    <row r="169" customFormat="false" ht="15.75" hidden="false" customHeight="false" outlineLevel="0" collapsed="false">
      <c r="A169" s="9"/>
      <c r="B169" s="157"/>
      <c r="C169" s="158"/>
      <c r="D169" s="159"/>
      <c r="E169" s="177"/>
      <c r="F169" s="161"/>
      <c r="G169" s="162"/>
      <c r="H169" s="162"/>
      <c r="I169" s="178"/>
      <c r="J169" s="165"/>
      <c r="K169" s="126"/>
      <c r="L169" s="127"/>
      <c r="M169" s="128"/>
      <c r="N169" s="165"/>
      <c r="O169" s="165"/>
      <c r="P169" s="177"/>
      <c r="Q169" s="165"/>
      <c r="R169" s="165"/>
      <c r="S169" s="126"/>
      <c r="T169" s="128"/>
      <c r="U169" s="128"/>
      <c r="V169" s="165"/>
      <c r="W169" s="165"/>
      <c r="X169" s="177"/>
      <c r="Y169" s="165"/>
      <c r="Z169" s="166"/>
      <c r="AA169" s="165"/>
      <c r="AB169" s="132"/>
      <c r="AC169" s="133"/>
      <c r="AD169" s="133"/>
      <c r="AE169" s="133"/>
      <c r="AF169" s="133" t="str">
        <f aca="false">IF(ISBLANK($C169),"",IF(E169=Constants!$B$3,TRUE(),IF(E169=Constants!$B$4,FALSE(),TRUE())))</f>
        <v/>
      </c>
      <c r="AG169" s="133" t="str">
        <f aca="false">IF(ISBLANK($C169),"",IF(F169=Constants!$B$3,TRUE(),IF(F169=Constants!$B$4,FALSE(),TRUE())))</f>
        <v/>
      </c>
      <c r="AH169" s="133" t="str">
        <f aca="false">IF(ISBLANK($C169),"",IF(G169=Constants!$B$3,TRUE(),IF(G169=Constants!$B$4,FALSE(),TRUE())))</f>
        <v/>
      </c>
      <c r="AI169" s="133" t="str">
        <f aca="false">IF(ISBLANK($C169),"",IF(AND(ISNUMBER(H169),H169&gt;=0),H169,Constants!$B$29))</f>
        <v/>
      </c>
      <c r="AJ169" s="133" t="str">
        <f aca="false">IF(ISBLANK($C169),"",IF(I169=Constants!$B$3,TRUE(),IF(I169=Constants!$B$4,FALSE(),TRUE())))</f>
        <v/>
      </c>
      <c r="AK169" s="133" t="str">
        <f aca="false">IF(ISBLANK($C169),"",IF(J169=Constants!$B$3,TRUE(),IF(J169=Constants!$B$4,FALSE(),TRUE())))</f>
        <v/>
      </c>
      <c r="AL169" s="133" t="str">
        <f aca="false">IF(ISBLANK($C169),"",IF(K169=Constants!$B$5,TRUE(),IF(K169=Constants!$B$6,FALSE(),COUNTA(L169:P169)&gt;0)))</f>
        <v/>
      </c>
      <c r="AM169" s="134" t="str">
        <f aca="false">IF(ISBLANK($C169),"",IF(ISNUMBER(L169),IF(L169&gt;=0,L169,""),""))</f>
        <v/>
      </c>
      <c r="AN169" s="135" t="str">
        <f aca="false">IF(ISBLANK($C169),"",IF(ISNUMBER(M169),IF(M169&gt;=0,M169,""),""))</f>
        <v/>
      </c>
      <c r="AO169" s="135" t="str">
        <f aca="false">IF(ISBLANK($C169),"",IF(N169=Constants!$B$3,TRUE(),IF(N169=Constants!$B$4,FALSE(),TRUE())))</f>
        <v/>
      </c>
      <c r="AP169" s="133" t="str">
        <f aca="false">IF(ISBLANK($C169),"",IF(ISNUMBER(O169),IF(O169&gt;=0,O169,""),""))</f>
        <v/>
      </c>
      <c r="AQ169" s="133" t="str">
        <f aca="false">IF(ISBLANK($C169),"",IF(P169=Constants!$B$3,TRUE(),IF(P169=Constants!$B$4,FALSE(),FALSE())))</f>
        <v/>
      </c>
      <c r="AR169" s="133" t="str">
        <f aca="false">IF(ISBLANK($C169),"",IF(Q169=Constants!$B$3,TRUE(),IF(Q169=Constants!$B$4,FALSE(),TRUE())))</f>
        <v/>
      </c>
      <c r="AS169" s="133" t="str">
        <f aca="false">IF(ISBLANK($C169),"",IF(R169=Constants!$B$3,TRUE(),IF(R169=Constants!$B$4,FALSE(),TRUE())))</f>
        <v/>
      </c>
      <c r="AT169" s="133" t="str">
        <f aca="false">IF(ISBLANK($C169),"",IF(S169=Constants!$B$5,TRUE(),IF(S169=Constants!$B$6,FALSE(),COUNTA(T169:X169)&gt;0)))</f>
        <v/>
      </c>
      <c r="AU169" s="134" t="str">
        <f aca="false">IF(ISBLANK($C169),"",IF(ISNUMBER(T169),IF(T169&gt;=0,T169,""),""))</f>
        <v/>
      </c>
      <c r="AV169" s="135" t="str">
        <f aca="false">IF(ISBLANK($C169),"",IF(ISNUMBER(U169),IF(U169&gt;=0,U169,""),""))</f>
        <v/>
      </c>
      <c r="AW169" s="135" t="str">
        <f aca="false">IF(ISBLANK($C169),"",IF(V169=Constants!$B$3,TRUE(),IF(V169=Constants!$B$4,FALSE(),TRUE())))</f>
        <v/>
      </c>
      <c r="AX169" s="133" t="str">
        <f aca="false">IF(ISBLANK($C169),"",IF(ISNUMBER(W169),IF(W169&gt;=0,W169,""),""))</f>
        <v/>
      </c>
      <c r="AY169" s="133" t="str">
        <f aca="false">IF(ISBLANK($C169),"",IF(X169=Constants!$B$3,TRUE(),IF(X169=Constants!$B$4,FALSE(),FALSE())))</f>
        <v/>
      </c>
      <c r="AZ169" s="133" t="str">
        <f aca="false">IF(ISBLANK($C169),"",MIN(Constants!$B$31,MAX(0,IF(ISNUMBER(Y169),Y169*60,0)+IF(ISNUMBER(Z169),Z169,0))))</f>
        <v/>
      </c>
      <c r="BA169" s="133" t="str">
        <f aca="false">IF(ISBLANK($C169),"",IF(AA169=Constants!$B$3,TRUE(),IF(AA169=Constants!$B$4,FALSE(),FALSE())))</f>
        <v/>
      </c>
      <c r="BB169" s="132" t="str">
        <f aca="false">IF(ISBLANK($C169),"",AND($AL169,OR($AM169="",$AN169="",AND($AO169,$AP169=""))))</f>
        <v/>
      </c>
      <c r="BC169" s="135" t="str">
        <f aca="false">IF($BR169&lt;&gt;Constants!$B$8,"",IF($AL169,Constants!$B$21*$AN169+Constants!$B$22*IF($AO169,$AP169,Constants!$B$23),Constants!$B$24))</f>
        <v/>
      </c>
      <c r="BD169" s="136" t="str">
        <f aca="false">IF($BR169&lt;&gt;Constants!$B$8,"",Constants!$B$25*ABS($AD$9-IF($AL169,$AM169,0)))</f>
        <v/>
      </c>
      <c r="BE169" s="136" t="str">
        <f aca="false">IF($BR169&lt;&gt;Constants!$B$8,"",IF(AND($AL169,$AQ169,$AO169),Constants!$B$27,0))</f>
        <v/>
      </c>
      <c r="BF169" s="136" t="str">
        <f aca="false">IF($BR169&lt;&gt;Constants!$B$8,"",IF($AL169,($AI169-Constants!$B$29)*Constants!$B$28,0))</f>
        <v/>
      </c>
      <c r="BG169" s="136" t="str">
        <f aca="false">IF($BR169&lt;&gt;Constants!$B$8,"",IF($AK169,0,Constants!$B$15)+IF($AJ169,0,Constants!$B$16)+IF($AH169,0,Constants!$B$17))</f>
        <v/>
      </c>
      <c r="BH169" s="137" t="str">
        <f aca="false">IF($BR169&lt;&gt;Constants!$B$8,"",Constants!$B$20+SUM($BC169:$BG169))</f>
        <v/>
      </c>
      <c r="BI169" s="133" t="str">
        <f aca="false">IF($BR169&lt;&gt;Constants!$B$8,"",IF(OR($BP169&lt;$BH169,AND($BP169=$BH169,OR($BK169&lt;$BC169,AND($BK169=$BC169,OR($BL169&lt;$BD169,AND($BL169=$BD169,$AT169,$AL169,$AV169&lt;$AN169)))))),"-&gt;","&lt;-"))</f>
        <v/>
      </c>
      <c r="BJ169" s="132" t="str">
        <f aca="false">IF(ISBLANK($C169),"",AND($AT169,OR($AU169="",$AV169="",AND($AW169,$AX169=""))))</f>
        <v/>
      </c>
      <c r="BK169" s="135" t="str">
        <f aca="false">IF($BR169&lt;&gt;Constants!$B$8,"",IF($AT169,Constants!$B$21*$AV169+Constants!$B$22*IF($AW169,$AX169,Constants!$B$23),Constants!$B$24))</f>
        <v/>
      </c>
      <c r="BL169" s="136" t="str">
        <f aca="false">IF($BR169&lt;&gt;Constants!$B$8,"",Constants!$B$25*ABS($AD$9-IF($AT169,$AU169,0)))</f>
        <v/>
      </c>
      <c r="BM169" s="136" t="str">
        <f aca="false">IF($BR169&lt;&gt;Constants!$B$8,"",IF(AND($AT169,$AY169,$AW169),Constants!$B$27,0))</f>
        <v/>
      </c>
      <c r="BN169" s="136" t="str">
        <f aca="false">IF($BR169&lt;&gt;Constants!$B$8,"",IF($AT169,($AI169-Constants!$B$29)*Constants!$B$28,0))</f>
        <v/>
      </c>
      <c r="BO169" s="136" t="str">
        <f aca="false">IF($BR169&lt;&gt;Constants!$B$8,"",IF($AS169,0,Constants!$B$15)+IF($AR169,0,Constants!$B$16)+IF($AH169,0,Constants!$B$17))</f>
        <v/>
      </c>
      <c r="BP169" s="137" t="str">
        <f aca="false">IF($BR169&lt;&gt;Constants!$B$8,"",Constants!$B$20+SUM($BK169:$BO169))</f>
        <v/>
      </c>
      <c r="BQ169" s="133" t="str">
        <f aca="false">IF(ISBLANK($C169),"",IF(ISBLANK($D$7),$BQ$5,IF(NOT(ISNUMBER($D$7)),$BQ$6,"")))</f>
        <v/>
      </c>
      <c r="BR169" s="133" t="str">
        <f aca="false">IF(ISBLANK($C169),"",IF($BA169,Constants!$B$11,IF(COUNTA($E169:$AA169)=0,Constants!$B$10,IF(NOT($AG169),Constants!$B$9,IF(OR($BQ169&lt;&gt;"",$BB169,$BJ169),Constants!$B$12,Constants!$B$8)))))</f>
        <v/>
      </c>
      <c r="BS169" s="133" t="str">
        <f aca="false">IF(ISBLANK($C169),"",IF($BR169&lt;&gt;Constants!$B$8,$BR169,Constants!$B$13))</f>
        <v/>
      </c>
      <c r="BT169" s="136" t="str">
        <f aca="false">IF($BR169&lt;&gt;Constants!$B$8,"",IF($BI169="-&gt;",$BP169,$BH169))</f>
        <v/>
      </c>
      <c r="BU169" s="136" t="str">
        <f aca="false">IF($BR169&lt;&gt;Constants!$B$8,"",IF($AF169,0,Constants!$B$18))</f>
        <v/>
      </c>
      <c r="BV169" s="136" t="str">
        <f aca="false">IF($BR169&lt;&gt;Constants!$B$8,"",((Constants!$B$31-$AZ169)-Constants!$B$31)/Constants!$B$32)</f>
        <v/>
      </c>
      <c r="BW169" s="136" t="str">
        <f aca="false">IF(ISBLANK($C169),"",IF($BR169&lt;&gt;Constants!$B$8,$BR169,SUM($BT169:$BV169)))</f>
        <v/>
      </c>
      <c r="BX169" s="133" t="str">
        <f aca="false">IF(ISBLANK($C169),"",IF($BR169&lt;&gt;Constants!$B$8,$BR169,RANK($BW169,$BW$9:$BW$508,1)))</f>
        <v/>
      </c>
      <c r="BY169" s="136" t="str">
        <f aca="false">IF($BR169&lt;&gt;Constants!$B$8,"",IF($BI169="-&gt;",$BK169,$BC169))</f>
        <v/>
      </c>
      <c r="BZ169" s="133" t="str">
        <f aca="false">IF(ISBLANK($C169),"",IF($BR169&lt;&gt;Constants!$B$8,$BR169,IF(ISNUMBER($BY169),RANK($BY169,$BY$9:$BY$508,1),COUNT($BY$9:$BY$508)+1)))</f>
        <v/>
      </c>
      <c r="CA169" s="136" t="str">
        <f aca="false">IF($BR169&lt;&gt;Constants!$B$8,"",IF($BI169="-&gt;",$BL169,$BD169))</f>
        <v/>
      </c>
      <c r="CB169" s="133" t="str">
        <f aca="false">IF(ISBLANK($C169),"",IF($BR169&lt;&gt;Constants!$B$8,$BR169,IF(ISNUMBER($CA169),RANK($CA169,$CA$9:$CA$508,1),COUNT($CA$9:$CA$508)+1)))</f>
        <v/>
      </c>
      <c r="CC169" s="136" t="str">
        <f aca="false">IF($BR169&lt;&gt;Constants!$B$8,"",IF($BI169="-&gt;",IF($AT169,$AV169,""),IF($AL169,$AN169,"")))</f>
        <v/>
      </c>
      <c r="CD169" s="133" t="str">
        <f aca="false">IF(ISBLANK($C169),"",IF($BR169&lt;&gt;Constants!$B$8,$BR169,IF(ISNUMBER($CC169),RANK($CC169,$CC$9:$CC$508,1),COUNT($CC$9:$CC$508)+1)))</f>
        <v/>
      </c>
      <c r="CE169" s="136" t="str">
        <f aca="false">IF($BR169&lt;&gt;Constants!$B$8,"",IF(AND(NOT($AL169),NOT($AT169),$AJ169,$AK169,$AR169,$AS169),"",$AI169))</f>
        <v/>
      </c>
      <c r="CF169" s="133" t="str">
        <f aca="false">IF(ISBLANK($C169),"",IF($BR169&lt;&gt;Constants!$B$8,$BR169,IF(ISNUMBER($CE169),RANK($CE169,$CE$9:$CE$508,1),COUNT($CE$9:$CE$508)+1)))</f>
        <v/>
      </c>
      <c r="CG169" s="133" t="str">
        <f aca="false">IF(ISBLANK($C169),"",IF($BR169&lt;&gt;Constants!$B$8,$BR169,COUNTIFS($BX$9:$BX$508,"&lt;"&amp;$BX169)+COUNTIFS($BX$9:$BX$508,$BX169,$BZ$9:$BZ$508,"&lt;"&amp;$BZ169)+COUNTIFS($BX$9:$BX$508,$BX169,$BZ$9:$BZ$508,$BZ169,$CB$9:$CB$508,"&lt;"&amp;$CB169)+COUNTIFS($BX$9:$BX$508,$BX169,$BZ$9:$BZ$508,$BZ169,$CB$9:$CB$508,$CB169,$CD$9:$CD$508,"&lt;"&amp;$CD169)+COUNTIFS($BX$9:$BX$508,$BX169,$BZ$9:$BZ$508,$BZ169,$CB$9:$CB$508,$CB169,$CD$9:$CD$508,$CD169,$CF$9:$CF$508,"&lt;"&amp;$CF169)+1))</f>
        <v/>
      </c>
      <c r="CH169" s="133" t="str">
        <f aca="false">IF(ISBLANK($C169),"",IF($BR169&lt;&gt;Constants!$B$8,$BR169,$BX169-$CG169))</f>
        <v/>
      </c>
      <c r="CI169" s="138"/>
      <c r="CJ169" s="139"/>
      <c r="CK169" s="140" t="str">
        <f aca="false">IF(ISBLANK($C169),"",IF($BR169=Constants!$B$12,$BQ169,""))</f>
        <v/>
      </c>
      <c r="CL169" s="139" t="str">
        <f aca="false">IF(ISBLANK($C169),"",IF($BR169&lt;&gt;Constants!$B$8,"",IF($BI169="-&gt;",2,1)))</f>
        <v/>
      </c>
      <c r="CM169" s="141" t="str">
        <f aca="false">IF(ISBLANK($C169),"",IF($BR169&lt;&gt;Constants!$B$8,"",IF($BI169="-&gt;",$BK169,$BC169)))</f>
        <v/>
      </c>
      <c r="CN169" s="141" t="str">
        <f aca="false">IF(ISBLANK($C169),"",IF($BR169&lt;&gt;Constants!$B$8,"",IF($BI169="-&gt;",$BL169,$BD169)))</f>
        <v/>
      </c>
      <c r="CO169" s="141" t="str">
        <f aca="false">IF(ISBLANK($C169),"",IF($BR169&lt;&gt;Constants!$B$8,"",IF($BI169="-&gt;",$BM169+$BN169,$BE169+$BF169)+$BV169))</f>
        <v/>
      </c>
      <c r="CP169" s="141" t="str">
        <f aca="false">IF(ISBLANK($C169),"",IF($BR169&lt;&gt;Constants!$B$8,"",IF($BI169="-&gt;",$BO169,$BG169)+$BU169))</f>
        <v/>
      </c>
      <c r="CQ169" s="142" t="str">
        <f aca="false">IF(ISBLANK($C169),"",IF($BR169&lt;&gt;Constants!$B$8,$BR169,$BW169))</f>
        <v/>
      </c>
      <c r="CR169" s="143" t="str">
        <f aca="false">IF(ISBLANK($C169),"",$BS169)</f>
        <v/>
      </c>
      <c r="CS169" s="144" t="str">
        <f aca="false">IF(ISBLANK($C169),"",$CH169)</f>
        <v/>
      </c>
      <c r="CT169" s="144" t="str">
        <f aca="false">IF(ISBLANK($C169),"",$CG169)</f>
        <v/>
      </c>
      <c r="CU169" s="145" t="str">
        <f aca="false">IF(ISBLANK($C169),"",IFERROR(_xlfn.SWITCH($CT169,Constants!$B$11,COUNTA($C$9:$C$508)+2,Constants!$B$10,COUNTA($C$9:$C$508)+1,Constants!$B$9,COUNTA($C$9:$C$508)),$CT169))</f>
        <v/>
      </c>
      <c r="CV169" s="9"/>
      <c r="CW169" s="146" t="n">
        <f aca="false">IF(OR(ISNUMBER($CT169),$CT169=Constants!$B$11,$CT169=Constants!$B$9,$CT169=Constants!$B$10),1,0)</f>
        <v>0</v>
      </c>
      <c r="CX169" s="146" t="n">
        <v>161</v>
      </c>
      <c r="CY169" s="146" t="str">
        <f aca="false">IF(ISBLANK($C169),"",IF(ISNUMBER($CU169),$CU169+ROW($B169)/1000,""))</f>
        <v/>
      </c>
      <c r="CZ169" s="146" t="str">
        <f aca="false">IF(ISNUMBER($CY169),RANK($CY169,$CY$9:$CY$508,1),"")</f>
        <v/>
      </c>
      <c r="DA169" s="146" t="str">
        <f aca="false">IF(ISBLANK($C169),"",$B169)</f>
        <v/>
      </c>
      <c r="DB169" s="146" t="str">
        <f aca="false">IF(ISBLANK($C169),"",$C169)</f>
        <v/>
      </c>
      <c r="DC169" s="146" t="str">
        <f aca="false">IF(ISBLANK($C169),"",$D169)</f>
        <v/>
      </c>
      <c r="DD169" s="147" t="str">
        <f aca="false">$CR169</f>
        <v/>
      </c>
      <c r="DE169" s="148" t="str">
        <f aca="false">$CQ169</f>
        <v/>
      </c>
      <c r="DF169" s="146" t="str">
        <f aca="false">IF(ISBLANK($C169),"",$CT169)</f>
        <v/>
      </c>
      <c r="DG169" s="149" t="str">
        <f aca="false">IF($CX169&gt;$CW$8,"",VLOOKUP($CX169,$CZ$9:$DF$508,7,FALSE()))</f>
        <v/>
      </c>
      <c r="DH169" s="150" t="str">
        <f aca="false">IF($CX169&gt;$CW$8,"",VLOOKUP($CX169,$CZ$9:$DF$508,2,FALSE()))</f>
        <v/>
      </c>
      <c r="DI169" s="150" t="str">
        <f aca="false">IF($CX169&gt;$CW$8,"",VLOOKUP($CX169,$CZ$9:$DF$508,3,FALSE()))</f>
        <v/>
      </c>
      <c r="DJ169" s="150" t="str">
        <f aca="false">IF($CX169&gt;$CW$8,"",VLOOKUP($CX169,$CZ$9:$DF$508,4,FALSE()))</f>
        <v/>
      </c>
      <c r="DK169" s="150" t="str">
        <f aca="false">IF($CX169&gt;$CW$8,"",VLOOKUP($CX169,$CZ$9:$DF$508,5,FALSE()))</f>
        <v/>
      </c>
      <c r="DL169" s="151" t="str">
        <f aca="false">IF($CX169&gt;$CW$8,"",VLOOKUP($CX169,$CZ$9:$DF$508,6,FALSE()))</f>
        <v/>
      </c>
      <c r="DM169" s="75"/>
    </row>
    <row r="170" customFormat="false" ht="15.75" hidden="false" customHeight="false" outlineLevel="0" collapsed="false">
      <c r="A170" s="9"/>
      <c r="B170" s="157"/>
      <c r="C170" s="158"/>
      <c r="D170" s="159"/>
      <c r="E170" s="177"/>
      <c r="F170" s="161"/>
      <c r="G170" s="162"/>
      <c r="H170" s="162"/>
      <c r="I170" s="178"/>
      <c r="J170" s="165"/>
      <c r="K170" s="126"/>
      <c r="L170" s="127"/>
      <c r="M170" s="128"/>
      <c r="N170" s="165"/>
      <c r="O170" s="165"/>
      <c r="P170" s="177"/>
      <c r="Q170" s="165"/>
      <c r="R170" s="165"/>
      <c r="S170" s="126"/>
      <c r="T170" s="128"/>
      <c r="U170" s="128"/>
      <c r="V170" s="165"/>
      <c r="W170" s="165"/>
      <c r="X170" s="177"/>
      <c r="Y170" s="165"/>
      <c r="Z170" s="166"/>
      <c r="AA170" s="165"/>
      <c r="AB170" s="132"/>
      <c r="AC170" s="133"/>
      <c r="AD170" s="133"/>
      <c r="AE170" s="133"/>
      <c r="AF170" s="133" t="str">
        <f aca="false">IF(ISBLANK($C170),"",IF(E170=Constants!$B$3,TRUE(),IF(E170=Constants!$B$4,FALSE(),TRUE())))</f>
        <v/>
      </c>
      <c r="AG170" s="133" t="str">
        <f aca="false">IF(ISBLANK($C170),"",IF(F170=Constants!$B$3,TRUE(),IF(F170=Constants!$B$4,FALSE(),TRUE())))</f>
        <v/>
      </c>
      <c r="AH170" s="133" t="str">
        <f aca="false">IF(ISBLANK($C170),"",IF(G170=Constants!$B$3,TRUE(),IF(G170=Constants!$B$4,FALSE(),TRUE())))</f>
        <v/>
      </c>
      <c r="AI170" s="133" t="str">
        <f aca="false">IF(ISBLANK($C170),"",IF(AND(ISNUMBER(H170),H170&gt;=0),H170,Constants!$B$29))</f>
        <v/>
      </c>
      <c r="AJ170" s="133" t="str">
        <f aca="false">IF(ISBLANK($C170),"",IF(I170=Constants!$B$3,TRUE(),IF(I170=Constants!$B$4,FALSE(),TRUE())))</f>
        <v/>
      </c>
      <c r="AK170" s="133" t="str">
        <f aca="false">IF(ISBLANK($C170),"",IF(J170=Constants!$B$3,TRUE(),IF(J170=Constants!$B$4,FALSE(),TRUE())))</f>
        <v/>
      </c>
      <c r="AL170" s="133" t="str">
        <f aca="false">IF(ISBLANK($C170),"",IF(K170=Constants!$B$5,TRUE(),IF(K170=Constants!$B$6,FALSE(),COUNTA(L170:P170)&gt;0)))</f>
        <v/>
      </c>
      <c r="AM170" s="134" t="str">
        <f aca="false">IF(ISBLANK($C170),"",IF(ISNUMBER(L170),IF(L170&gt;=0,L170,""),""))</f>
        <v/>
      </c>
      <c r="AN170" s="135" t="str">
        <f aca="false">IF(ISBLANK($C170),"",IF(ISNUMBER(M170),IF(M170&gt;=0,M170,""),""))</f>
        <v/>
      </c>
      <c r="AO170" s="135" t="str">
        <f aca="false">IF(ISBLANK($C170),"",IF(N170=Constants!$B$3,TRUE(),IF(N170=Constants!$B$4,FALSE(),TRUE())))</f>
        <v/>
      </c>
      <c r="AP170" s="133" t="str">
        <f aca="false">IF(ISBLANK($C170),"",IF(ISNUMBER(O170),IF(O170&gt;=0,O170,""),""))</f>
        <v/>
      </c>
      <c r="AQ170" s="133" t="str">
        <f aca="false">IF(ISBLANK($C170),"",IF(P170=Constants!$B$3,TRUE(),IF(P170=Constants!$B$4,FALSE(),FALSE())))</f>
        <v/>
      </c>
      <c r="AR170" s="133" t="str">
        <f aca="false">IF(ISBLANK($C170),"",IF(Q170=Constants!$B$3,TRUE(),IF(Q170=Constants!$B$4,FALSE(),TRUE())))</f>
        <v/>
      </c>
      <c r="AS170" s="133" t="str">
        <f aca="false">IF(ISBLANK($C170),"",IF(R170=Constants!$B$3,TRUE(),IF(R170=Constants!$B$4,FALSE(),TRUE())))</f>
        <v/>
      </c>
      <c r="AT170" s="133" t="str">
        <f aca="false">IF(ISBLANK($C170),"",IF(S170=Constants!$B$5,TRUE(),IF(S170=Constants!$B$6,FALSE(),COUNTA(T170:X170)&gt;0)))</f>
        <v/>
      </c>
      <c r="AU170" s="134" t="str">
        <f aca="false">IF(ISBLANK($C170),"",IF(ISNUMBER(T170),IF(T170&gt;=0,T170,""),""))</f>
        <v/>
      </c>
      <c r="AV170" s="135" t="str">
        <f aca="false">IF(ISBLANK($C170),"",IF(ISNUMBER(U170),IF(U170&gt;=0,U170,""),""))</f>
        <v/>
      </c>
      <c r="AW170" s="135" t="str">
        <f aca="false">IF(ISBLANK($C170),"",IF(V170=Constants!$B$3,TRUE(),IF(V170=Constants!$B$4,FALSE(),TRUE())))</f>
        <v/>
      </c>
      <c r="AX170" s="133" t="str">
        <f aca="false">IF(ISBLANK($C170),"",IF(ISNUMBER(W170),IF(W170&gt;=0,W170,""),""))</f>
        <v/>
      </c>
      <c r="AY170" s="133" t="str">
        <f aca="false">IF(ISBLANK($C170),"",IF(X170=Constants!$B$3,TRUE(),IF(X170=Constants!$B$4,FALSE(),FALSE())))</f>
        <v/>
      </c>
      <c r="AZ170" s="133" t="str">
        <f aca="false">IF(ISBLANK($C170),"",MIN(Constants!$B$31,MAX(0,IF(ISNUMBER(Y170),Y170*60,0)+IF(ISNUMBER(Z170),Z170,0))))</f>
        <v/>
      </c>
      <c r="BA170" s="133" t="str">
        <f aca="false">IF(ISBLANK($C170),"",IF(AA170=Constants!$B$3,TRUE(),IF(AA170=Constants!$B$4,FALSE(),FALSE())))</f>
        <v/>
      </c>
      <c r="BB170" s="132" t="str">
        <f aca="false">IF(ISBLANK($C170),"",AND($AL170,OR($AM170="",$AN170="",AND($AO170,$AP170=""))))</f>
        <v/>
      </c>
      <c r="BC170" s="135" t="str">
        <f aca="false">IF($BR170&lt;&gt;Constants!$B$8,"",IF($AL170,Constants!$B$21*$AN170+Constants!$B$22*IF($AO170,$AP170,Constants!$B$23),Constants!$B$24))</f>
        <v/>
      </c>
      <c r="BD170" s="136" t="str">
        <f aca="false">IF($BR170&lt;&gt;Constants!$B$8,"",Constants!$B$25*ABS($AD$9-IF($AL170,$AM170,0)))</f>
        <v/>
      </c>
      <c r="BE170" s="136" t="str">
        <f aca="false">IF($BR170&lt;&gt;Constants!$B$8,"",IF(AND($AL170,$AQ170,$AO170),Constants!$B$27,0))</f>
        <v/>
      </c>
      <c r="BF170" s="136" t="str">
        <f aca="false">IF($BR170&lt;&gt;Constants!$B$8,"",IF($AL170,($AI170-Constants!$B$29)*Constants!$B$28,0))</f>
        <v/>
      </c>
      <c r="BG170" s="136" t="str">
        <f aca="false">IF($BR170&lt;&gt;Constants!$B$8,"",IF($AK170,0,Constants!$B$15)+IF($AJ170,0,Constants!$B$16)+IF($AH170,0,Constants!$B$17))</f>
        <v/>
      </c>
      <c r="BH170" s="137" t="str">
        <f aca="false">IF($BR170&lt;&gt;Constants!$B$8,"",Constants!$B$20+SUM($BC170:$BG170))</f>
        <v/>
      </c>
      <c r="BI170" s="133" t="str">
        <f aca="false">IF($BR170&lt;&gt;Constants!$B$8,"",IF(OR($BP170&lt;$BH170,AND($BP170=$BH170,OR($BK170&lt;$BC170,AND($BK170=$BC170,OR($BL170&lt;$BD170,AND($BL170=$BD170,$AT170,$AL170,$AV170&lt;$AN170)))))),"-&gt;","&lt;-"))</f>
        <v/>
      </c>
      <c r="BJ170" s="132" t="str">
        <f aca="false">IF(ISBLANK($C170),"",AND($AT170,OR($AU170="",$AV170="",AND($AW170,$AX170=""))))</f>
        <v/>
      </c>
      <c r="BK170" s="135" t="str">
        <f aca="false">IF($BR170&lt;&gt;Constants!$B$8,"",IF($AT170,Constants!$B$21*$AV170+Constants!$B$22*IF($AW170,$AX170,Constants!$B$23),Constants!$B$24))</f>
        <v/>
      </c>
      <c r="BL170" s="136" t="str">
        <f aca="false">IF($BR170&lt;&gt;Constants!$B$8,"",Constants!$B$25*ABS($AD$9-IF($AT170,$AU170,0)))</f>
        <v/>
      </c>
      <c r="BM170" s="136" t="str">
        <f aca="false">IF($BR170&lt;&gt;Constants!$B$8,"",IF(AND($AT170,$AY170,$AW170),Constants!$B$27,0))</f>
        <v/>
      </c>
      <c r="BN170" s="136" t="str">
        <f aca="false">IF($BR170&lt;&gt;Constants!$B$8,"",IF($AT170,($AI170-Constants!$B$29)*Constants!$B$28,0))</f>
        <v/>
      </c>
      <c r="BO170" s="136" t="str">
        <f aca="false">IF($BR170&lt;&gt;Constants!$B$8,"",IF($AS170,0,Constants!$B$15)+IF($AR170,0,Constants!$B$16)+IF($AH170,0,Constants!$B$17))</f>
        <v/>
      </c>
      <c r="BP170" s="137" t="str">
        <f aca="false">IF($BR170&lt;&gt;Constants!$B$8,"",Constants!$B$20+SUM($BK170:$BO170))</f>
        <v/>
      </c>
      <c r="BQ170" s="133" t="str">
        <f aca="false">IF(ISBLANK($C170),"",IF(ISBLANK($D$7),$BQ$5,IF(NOT(ISNUMBER($D$7)),$BQ$6,"")))</f>
        <v/>
      </c>
      <c r="BR170" s="133" t="str">
        <f aca="false">IF(ISBLANK($C170),"",IF($BA170,Constants!$B$11,IF(COUNTA($E170:$AA170)=0,Constants!$B$10,IF(NOT($AG170),Constants!$B$9,IF(OR($BQ170&lt;&gt;"",$BB170,$BJ170),Constants!$B$12,Constants!$B$8)))))</f>
        <v/>
      </c>
      <c r="BS170" s="133" t="str">
        <f aca="false">IF(ISBLANK($C170),"",IF($BR170&lt;&gt;Constants!$B$8,$BR170,Constants!$B$13))</f>
        <v/>
      </c>
      <c r="BT170" s="136" t="str">
        <f aca="false">IF($BR170&lt;&gt;Constants!$B$8,"",IF($BI170="-&gt;",$BP170,$BH170))</f>
        <v/>
      </c>
      <c r="BU170" s="136" t="str">
        <f aca="false">IF($BR170&lt;&gt;Constants!$B$8,"",IF($AF170,0,Constants!$B$18))</f>
        <v/>
      </c>
      <c r="BV170" s="136" t="str">
        <f aca="false">IF($BR170&lt;&gt;Constants!$B$8,"",((Constants!$B$31-$AZ170)-Constants!$B$31)/Constants!$B$32)</f>
        <v/>
      </c>
      <c r="BW170" s="136" t="str">
        <f aca="false">IF(ISBLANK($C170),"",IF($BR170&lt;&gt;Constants!$B$8,$BR170,SUM($BT170:$BV170)))</f>
        <v/>
      </c>
      <c r="BX170" s="133" t="str">
        <f aca="false">IF(ISBLANK($C170),"",IF($BR170&lt;&gt;Constants!$B$8,$BR170,RANK($BW170,$BW$9:$BW$508,1)))</f>
        <v/>
      </c>
      <c r="BY170" s="136" t="str">
        <f aca="false">IF($BR170&lt;&gt;Constants!$B$8,"",IF($BI170="-&gt;",$BK170,$BC170))</f>
        <v/>
      </c>
      <c r="BZ170" s="133" t="str">
        <f aca="false">IF(ISBLANK($C170),"",IF($BR170&lt;&gt;Constants!$B$8,$BR170,IF(ISNUMBER($BY170),RANK($BY170,$BY$9:$BY$508,1),COUNT($BY$9:$BY$508)+1)))</f>
        <v/>
      </c>
      <c r="CA170" s="136" t="str">
        <f aca="false">IF($BR170&lt;&gt;Constants!$B$8,"",IF($BI170="-&gt;",$BL170,$BD170))</f>
        <v/>
      </c>
      <c r="CB170" s="133" t="str">
        <f aca="false">IF(ISBLANK($C170),"",IF($BR170&lt;&gt;Constants!$B$8,$BR170,IF(ISNUMBER($CA170),RANK($CA170,$CA$9:$CA$508,1),COUNT($CA$9:$CA$508)+1)))</f>
        <v/>
      </c>
      <c r="CC170" s="136" t="str">
        <f aca="false">IF($BR170&lt;&gt;Constants!$B$8,"",IF($BI170="-&gt;",IF($AT170,$AV170,""),IF($AL170,$AN170,"")))</f>
        <v/>
      </c>
      <c r="CD170" s="133" t="str">
        <f aca="false">IF(ISBLANK($C170),"",IF($BR170&lt;&gt;Constants!$B$8,$BR170,IF(ISNUMBER($CC170),RANK($CC170,$CC$9:$CC$508,1),COUNT($CC$9:$CC$508)+1)))</f>
        <v/>
      </c>
      <c r="CE170" s="136" t="str">
        <f aca="false">IF($BR170&lt;&gt;Constants!$B$8,"",IF(AND(NOT($AL170),NOT($AT170),$AJ170,$AK170,$AR170,$AS170),"",$AI170))</f>
        <v/>
      </c>
      <c r="CF170" s="133" t="str">
        <f aca="false">IF(ISBLANK($C170),"",IF($BR170&lt;&gt;Constants!$B$8,$BR170,IF(ISNUMBER($CE170),RANK($CE170,$CE$9:$CE$508,1),COUNT($CE$9:$CE$508)+1)))</f>
        <v/>
      </c>
      <c r="CG170" s="133" t="str">
        <f aca="false">IF(ISBLANK($C170),"",IF($BR170&lt;&gt;Constants!$B$8,$BR170,COUNTIFS($BX$9:$BX$508,"&lt;"&amp;$BX170)+COUNTIFS($BX$9:$BX$508,$BX170,$BZ$9:$BZ$508,"&lt;"&amp;$BZ170)+COUNTIFS($BX$9:$BX$508,$BX170,$BZ$9:$BZ$508,$BZ170,$CB$9:$CB$508,"&lt;"&amp;$CB170)+COUNTIFS($BX$9:$BX$508,$BX170,$BZ$9:$BZ$508,$BZ170,$CB$9:$CB$508,$CB170,$CD$9:$CD$508,"&lt;"&amp;$CD170)+COUNTIFS($BX$9:$BX$508,$BX170,$BZ$9:$BZ$508,$BZ170,$CB$9:$CB$508,$CB170,$CD$9:$CD$508,$CD170,$CF$9:$CF$508,"&lt;"&amp;$CF170)+1))</f>
        <v/>
      </c>
      <c r="CH170" s="133" t="str">
        <f aca="false">IF(ISBLANK($C170),"",IF($BR170&lt;&gt;Constants!$B$8,$BR170,$BX170-$CG170))</f>
        <v/>
      </c>
      <c r="CI170" s="138"/>
      <c r="CJ170" s="139"/>
      <c r="CK170" s="140" t="str">
        <f aca="false">IF(ISBLANK($C170),"",IF($BR170=Constants!$B$12,$BQ170,""))</f>
        <v/>
      </c>
      <c r="CL170" s="139" t="str">
        <f aca="false">IF(ISBLANK($C170),"",IF($BR170&lt;&gt;Constants!$B$8,"",IF($BI170="-&gt;",2,1)))</f>
        <v/>
      </c>
      <c r="CM170" s="141" t="str">
        <f aca="false">IF(ISBLANK($C170),"",IF($BR170&lt;&gt;Constants!$B$8,"",IF($BI170="-&gt;",$BK170,$BC170)))</f>
        <v/>
      </c>
      <c r="CN170" s="141" t="str">
        <f aca="false">IF(ISBLANK($C170),"",IF($BR170&lt;&gt;Constants!$B$8,"",IF($BI170="-&gt;",$BL170,$BD170)))</f>
        <v/>
      </c>
      <c r="CO170" s="141" t="str">
        <f aca="false">IF(ISBLANK($C170),"",IF($BR170&lt;&gt;Constants!$B$8,"",IF($BI170="-&gt;",$BM170+$BN170,$BE170+$BF170)+$BV170))</f>
        <v/>
      </c>
      <c r="CP170" s="141" t="str">
        <f aca="false">IF(ISBLANK($C170),"",IF($BR170&lt;&gt;Constants!$B$8,"",IF($BI170="-&gt;",$BO170,$BG170)+$BU170))</f>
        <v/>
      </c>
      <c r="CQ170" s="142" t="str">
        <f aca="false">IF(ISBLANK($C170),"",IF($BR170&lt;&gt;Constants!$B$8,$BR170,$BW170))</f>
        <v/>
      </c>
      <c r="CR170" s="143" t="str">
        <f aca="false">IF(ISBLANK($C170),"",$BS170)</f>
        <v/>
      </c>
      <c r="CS170" s="144" t="str">
        <f aca="false">IF(ISBLANK($C170),"",$CH170)</f>
        <v/>
      </c>
      <c r="CT170" s="144" t="str">
        <f aca="false">IF(ISBLANK($C170),"",$CG170)</f>
        <v/>
      </c>
      <c r="CU170" s="145" t="str">
        <f aca="false">IF(ISBLANK($C170),"",IFERROR(_xlfn.SWITCH($CT170,Constants!$B$11,COUNTA($C$9:$C$508)+2,Constants!$B$10,COUNTA($C$9:$C$508)+1,Constants!$B$9,COUNTA($C$9:$C$508)),$CT170))</f>
        <v/>
      </c>
      <c r="CV170" s="9"/>
      <c r="CW170" s="146" t="n">
        <f aca="false">IF(OR(ISNUMBER($CT170),$CT170=Constants!$B$11,$CT170=Constants!$B$9,$CT170=Constants!$B$10),1,0)</f>
        <v>0</v>
      </c>
      <c r="CX170" s="146" t="n">
        <v>162</v>
      </c>
      <c r="CY170" s="146" t="str">
        <f aca="false">IF(ISBLANK($C170),"",IF(ISNUMBER($CU170),$CU170+ROW($B170)/1000,""))</f>
        <v/>
      </c>
      <c r="CZ170" s="146" t="str">
        <f aca="false">IF(ISNUMBER($CY170),RANK($CY170,$CY$9:$CY$508,1),"")</f>
        <v/>
      </c>
      <c r="DA170" s="146" t="str">
        <f aca="false">IF(ISBLANK($C170),"",$B170)</f>
        <v/>
      </c>
      <c r="DB170" s="146" t="str">
        <f aca="false">IF(ISBLANK($C170),"",$C170)</f>
        <v/>
      </c>
      <c r="DC170" s="146" t="str">
        <f aca="false">IF(ISBLANK($C170),"",$D170)</f>
        <v/>
      </c>
      <c r="DD170" s="147" t="str">
        <f aca="false">$CR170</f>
        <v/>
      </c>
      <c r="DE170" s="148" t="str">
        <f aca="false">$CQ170</f>
        <v/>
      </c>
      <c r="DF170" s="146" t="str">
        <f aca="false">IF(ISBLANK($C170),"",$CT170)</f>
        <v/>
      </c>
      <c r="DG170" s="149" t="str">
        <f aca="false">IF($CX170&gt;$CW$8,"",VLOOKUP($CX170,$CZ$9:$DF$508,7,FALSE()))</f>
        <v/>
      </c>
      <c r="DH170" s="150" t="str">
        <f aca="false">IF($CX170&gt;$CW$8,"",VLOOKUP($CX170,$CZ$9:$DF$508,2,FALSE()))</f>
        <v/>
      </c>
      <c r="DI170" s="150" t="str">
        <f aca="false">IF($CX170&gt;$CW$8,"",VLOOKUP($CX170,$CZ$9:$DF$508,3,FALSE()))</f>
        <v/>
      </c>
      <c r="DJ170" s="150" t="str">
        <f aca="false">IF($CX170&gt;$CW$8,"",VLOOKUP($CX170,$CZ$9:$DF$508,4,FALSE()))</f>
        <v/>
      </c>
      <c r="DK170" s="150" t="str">
        <f aca="false">IF($CX170&gt;$CW$8,"",VLOOKUP($CX170,$CZ$9:$DF$508,5,FALSE()))</f>
        <v/>
      </c>
      <c r="DL170" s="151" t="str">
        <f aca="false">IF($CX170&gt;$CW$8,"",VLOOKUP($CX170,$CZ$9:$DF$508,6,FALSE()))</f>
        <v/>
      </c>
      <c r="DM170" s="75"/>
    </row>
    <row r="171" customFormat="false" ht="15.75" hidden="false" customHeight="false" outlineLevel="0" collapsed="false">
      <c r="A171" s="9"/>
      <c r="B171" s="77"/>
      <c r="C171" s="78"/>
      <c r="D171" s="167"/>
      <c r="E171" s="175"/>
      <c r="F171" s="169"/>
      <c r="G171" s="170"/>
      <c r="H171" s="170"/>
      <c r="I171" s="176"/>
      <c r="J171" s="173"/>
      <c r="K171" s="85"/>
      <c r="L171" s="86"/>
      <c r="M171" s="87"/>
      <c r="N171" s="173"/>
      <c r="O171" s="173"/>
      <c r="P171" s="175"/>
      <c r="Q171" s="173"/>
      <c r="R171" s="173"/>
      <c r="S171" s="85"/>
      <c r="T171" s="87"/>
      <c r="U171" s="87"/>
      <c r="V171" s="173"/>
      <c r="W171" s="173"/>
      <c r="X171" s="175"/>
      <c r="Y171" s="173"/>
      <c r="Z171" s="174"/>
      <c r="AA171" s="173"/>
      <c r="AB171" s="91"/>
      <c r="AC171" s="92"/>
      <c r="AD171" s="92"/>
      <c r="AE171" s="92"/>
      <c r="AF171" s="92" t="str">
        <f aca="false">IF(ISBLANK($C171),"",IF(E171=Constants!$B$3,TRUE(),IF(E171=Constants!$B$4,FALSE(),TRUE())))</f>
        <v/>
      </c>
      <c r="AG171" s="92" t="str">
        <f aca="false">IF(ISBLANK($C171),"",IF(F171=Constants!$B$3,TRUE(),IF(F171=Constants!$B$4,FALSE(),TRUE())))</f>
        <v/>
      </c>
      <c r="AH171" s="92" t="str">
        <f aca="false">IF(ISBLANK($C171),"",IF(G171=Constants!$B$3,TRUE(),IF(G171=Constants!$B$4,FALSE(),TRUE())))</f>
        <v/>
      </c>
      <c r="AI171" s="92" t="str">
        <f aca="false">IF(ISBLANK($C171),"",IF(AND(ISNUMBER(H171),H171&gt;=0),H171,Constants!$B$29))</f>
        <v/>
      </c>
      <c r="AJ171" s="92" t="str">
        <f aca="false">IF(ISBLANK($C171),"",IF(I171=Constants!$B$3,TRUE(),IF(I171=Constants!$B$4,FALSE(),TRUE())))</f>
        <v/>
      </c>
      <c r="AK171" s="92" t="str">
        <f aca="false">IF(ISBLANK($C171),"",IF(J171=Constants!$B$3,TRUE(),IF(J171=Constants!$B$4,FALSE(),TRUE())))</f>
        <v/>
      </c>
      <c r="AL171" s="92" t="str">
        <f aca="false">IF(ISBLANK($C171),"",IF(K171=Constants!$B$5,TRUE(),IF(K171=Constants!$B$6,FALSE(),COUNTA(L171:P171)&gt;0)))</f>
        <v/>
      </c>
      <c r="AM171" s="94" t="str">
        <f aca="false">IF(ISBLANK($C171),"",IF(ISNUMBER(L171),IF(L171&gt;=0,L171,""),""))</f>
        <v/>
      </c>
      <c r="AN171" s="93" t="str">
        <f aca="false">IF(ISBLANK($C171),"",IF(ISNUMBER(M171),IF(M171&gt;=0,M171,""),""))</f>
        <v/>
      </c>
      <c r="AO171" s="93" t="str">
        <f aca="false">IF(ISBLANK($C171),"",IF(N171=Constants!$B$3,TRUE(),IF(N171=Constants!$B$4,FALSE(),TRUE())))</f>
        <v/>
      </c>
      <c r="AP171" s="92" t="str">
        <f aca="false">IF(ISBLANK($C171),"",IF(ISNUMBER(O171),IF(O171&gt;=0,O171,""),""))</f>
        <v/>
      </c>
      <c r="AQ171" s="92" t="str">
        <f aca="false">IF(ISBLANK($C171),"",IF(P171=Constants!$B$3,TRUE(),IF(P171=Constants!$B$4,FALSE(),FALSE())))</f>
        <v/>
      </c>
      <c r="AR171" s="92" t="str">
        <f aca="false">IF(ISBLANK($C171),"",IF(Q171=Constants!$B$3,TRUE(),IF(Q171=Constants!$B$4,FALSE(),TRUE())))</f>
        <v/>
      </c>
      <c r="AS171" s="92" t="str">
        <f aca="false">IF(ISBLANK($C171),"",IF(R171=Constants!$B$3,TRUE(),IF(R171=Constants!$B$4,FALSE(),TRUE())))</f>
        <v/>
      </c>
      <c r="AT171" s="92" t="str">
        <f aca="false">IF(ISBLANK($C171),"",IF(S171=Constants!$B$5,TRUE(),IF(S171=Constants!$B$6,FALSE(),COUNTA(T171:X171)&gt;0)))</f>
        <v/>
      </c>
      <c r="AU171" s="94" t="str">
        <f aca="false">IF(ISBLANK($C171),"",IF(ISNUMBER(T171),IF(T171&gt;=0,T171,""),""))</f>
        <v/>
      </c>
      <c r="AV171" s="93" t="str">
        <f aca="false">IF(ISBLANK($C171),"",IF(ISNUMBER(U171),IF(U171&gt;=0,U171,""),""))</f>
        <v/>
      </c>
      <c r="AW171" s="93" t="str">
        <f aca="false">IF(ISBLANK($C171),"",IF(V171=Constants!$B$3,TRUE(),IF(V171=Constants!$B$4,FALSE(),TRUE())))</f>
        <v/>
      </c>
      <c r="AX171" s="92" t="str">
        <f aca="false">IF(ISBLANK($C171),"",IF(ISNUMBER(W171),IF(W171&gt;=0,W171,""),""))</f>
        <v/>
      </c>
      <c r="AY171" s="92" t="str">
        <f aca="false">IF(ISBLANK($C171),"",IF(X171=Constants!$B$3,TRUE(),IF(X171=Constants!$B$4,FALSE(),FALSE())))</f>
        <v/>
      </c>
      <c r="AZ171" s="92" t="str">
        <f aca="false">IF(ISBLANK($C171),"",MIN(Constants!$B$31,MAX(0,IF(ISNUMBER(Y171),Y171*60,0)+IF(ISNUMBER(Z171),Z171,0))))</f>
        <v/>
      </c>
      <c r="BA171" s="92" t="str">
        <f aca="false">IF(ISBLANK($C171),"",IF(AA171=Constants!$B$3,TRUE(),IF(AA171=Constants!$B$4,FALSE(),FALSE())))</f>
        <v/>
      </c>
      <c r="BB171" s="91" t="str">
        <f aca="false">IF(ISBLANK($C171),"",AND($AL171,OR($AM171="",$AN171="",AND($AO171,$AP171=""))))</f>
        <v/>
      </c>
      <c r="BC171" s="93" t="str">
        <f aca="false">IF($BR171&lt;&gt;Constants!$B$8,"",IF($AL171,Constants!$B$21*$AN171+Constants!$B$22*IF($AO171,$AP171,Constants!$B$23),Constants!$B$24))</f>
        <v/>
      </c>
      <c r="BD171" s="96" t="str">
        <f aca="false">IF($BR171&lt;&gt;Constants!$B$8,"",Constants!$B$25*ABS($AD$9-IF($AL171,$AM171,0)))</f>
        <v/>
      </c>
      <c r="BE171" s="96" t="str">
        <f aca="false">IF($BR171&lt;&gt;Constants!$B$8,"",IF(AND($AL171,$AQ171,$AO171),Constants!$B$27,0))</f>
        <v/>
      </c>
      <c r="BF171" s="96" t="str">
        <f aca="false">IF($BR171&lt;&gt;Constants!$B$8,"",IF($AL171,($AI171-Constants!$B$29)*Constants!$B$28,0))</f>
        <v/>
      </c>
      <c r="BG171" s="96" t="str">
        <f aca="false">IF($BR171&lt;&gt;Constants!$B$8,"",IF($AK171,0,Constants!$B$15)+IF($AJ171,0,Constants!$B$16)+IF($AH171,0,Constants!$B$17))</f>
        <v/>
      </c>
      <c r="BH171" s="97" t="str">
        <f aca="false">IF($BR171&lt;&gt;Constants!$B$8,"",Constants!$B$20+SUM($BC171:$BG171))</f>
        <v/>
      </c>
      <c r="BI171" s="92" t="str">
        <f aca="false">IF($BR171&lt;&gt;Constants!$B$8,"",IF(OR($BP171&lt;$BH171,AND($BP171=$BH171,OR($BK171&lt;$BC171,AND($BK171=$BC171,OR($BL171&lt;$BD171,AND($BL171=$BD171,$AT171,$AL171,$AV171&lt;$AN171)))))),"-&gt;","&lt;-"))</f>
        <v/>
      </c>
      <c r="BJ171" s="91" t="str">
        <f aca="false">IF(ISBLANK($C171),"",AND($AT171,OR($AU171="",$AV171="",AND($AW171,$AX171=""))))</f>
        <v/>
      </c>
      <c r="BK171" s="93" t="str">
        <f aca="false">IF($BR171&lt;&gt;Constants!$B$8,"",IF($AT171,Constants!$B$21*$AV171+Constants!$B$22*IF($AW171,$AX171,Constants!$B$23),Constants!$B$24))</f>
        <v/>
      </c>
      <c r="BL171" s="96" t="str">
        <f aca="false">IF($BR171&lt;&gt;Constants!$B$8,"",Constants!$B$25*ABS($AD$9-IF($AT171,$AU171,0)))</f>
        <v/>
      </c>
      <c r="BM171" s="96" t="str">
        <f aca="false">IF($BR171&lt;&gt;Constants!$B$8,"",IF(AND($AT171,$AY171,$AW171),Constants!$B$27,0))</f>
        <v/>
      </c>
      <c r="BN171" s="96" t="str">
        <f aca="false">IF($BR171&lt;&gt;Constants!$B$8,"",IF($AT171,($AI171-Constants!$B$29)*Constants!$B$28,0))</f>
        <v/>
      </c>
      <c r="BO171" s="96" t="str">
        <f aca="false">IF($BR171&lt;&gt;Constants!$B$8,"",IF($AS171,0,Constants!$B$15)+IF($AR171,0,Constants!$B$16)+IF($AH171,0,Constants!$B$17))</f>
        <v/>
      </c>
      <c r="BP171" s="97" t="str">
        <f aca="false">IF($BR171&lt;&gt;Constants!$B$8,"",Constants!$B$20+SUM($BK171:$BO171))</f>
        <v/>
      </c>
      <c r="BQ171" s="92" t="str">
        <f aca="false">IF(ISBLANK($C171),"",IF(ISBLANK($D$7),$BQ$5,IF(NOT(ISNUMBER($D$7)),$BQ$6,"")))</f>
        <v/>
      </c>
      <c r="BR171" s="92" t="str">
        <f aca="false">IF(ISBLANK($C171),"",IF($BA171,Constants!$B$11,IF(COUNTA($E171:$AA171)=0,Constants!$B$10,IF(NOT($AG171),Constants!$B$9,IF(OR($BQ171&lt;&gt;"",$BB171,$BJ171),Constants!$B$12,Constants!$B$8)))))</f>
        <v/>
      </c>
      <c r="BS171" s="92" t="str">
        <f aca="false">IF(ISBLANK($C171),"",IF($BR171&lt;&gt;Constants!$B$8,$BR171,Constants!$B$13))</f>
        <v/>
      </c>
      <c r="BT171" s="96" t="str">
        <f aca="false">IF($BR171&lt;&gt;Constants!$B$8,"",IF($BI171="-&gt;",$BP171,$BH171))</f>
        <v/>
      </c>
      <c r="BU171" s="96" t="str">
        <f aca="false">IF($BR171&lt;&gt;Constants!$B$8,"",IF($AF171,0,Constants!$B$18))</f>
        <v/>
      </c>
      <c r="BV171" s="96" t="str">
        <f aca="false">IF($BR171&lt;&gt;Constants!$B$8,"",((Constants!$B$31-$AZ171)-Constants!$B$31)/Constants!$B$32)</f>
        <v/>
      </c>
      <c r="BW171" s="96" t="str">
        <f aca="false">IF(ISBLANK($C171),"",IF($BR171&lt;&gt;Constants!$B$8,$BR171,SUM($BT171:$BV171)))</f>
        <v/>
      </c>
      <c r="BX171" s="92" t="str">
        <f aca="false">IF(ISBLANK($C171),"",IF($BR171&lt;&gt;Constants!$B$8,$BR171,RANK($BW171,$BW$9:$BW$508,1)))</f>
        <v/>
      </c>
      <c r="BY171" s="96" t="str">
        <f aca="false">IF($BR171&lt;&gt;Constants!$B$8,"",IF($BI171="-&gt;",$BK171,$BC171))</f>
        <v/>
      </c>
      <c r="BZ171" s="92" t="str">
        <f aca="false">IF(ISBLANK($C171),"",IF($BR171&lt;&gt;Constants!$B$8,$BR171,IF(ISNUMBER($BY171),RANK($BY171,$BY$9:$BY$508,1),COUNT($BY$9:$BY$508)+1)))</f>
        <v/>
      </c>
      <c r="CA171" s="96" t="str">
        <f aca="false">IF($BR171&lt;&gt;Constants!$B$8,"",IF($BI171="-&gt;",$BL171,$BD171))</f>
        <v/>
      </c>
      <c r="CB171" s="92" t="str">
        <f aca="false">IF(ISBLANK($C171),"",IF($BR171&lt;&gt;Constants!$B$8,$BR171,IF(ISNUMBER($CA171),RANK($CA171,$CA$9:$CA$508,1),COUNT($CA$9:$CA$508)+1)))</f>
        <v/>
      </c>
      <c r="CC171" s="96" t="str">
        <f aca="false">IF($BR171&lt;&gt;Constants!$B$8,"",IF($BI171="-&gt;",IF($AT171,$AV171,""),IF($AL171,$AN171,"")))</f>
        <v/>
      </c>
      <c r="CD171" s="92" t="str">
        <f aca="false">IF(ISBLANK($C171),"",IF($BR171&lt;&gt;Constants!$B$8,$BR171,IF(ISNUMBER($CC171),RANK($CC171,$CC$9:$CC$508,1),COUNT($CC$9:$CC$508)+1)))</f>
        <v/>
      </c>
      <c r="CE171" s="96" t="str">
        <f aca="false">IF($BR171&lt;&gt;Constants!$B$8,"",IF(AND(NOT($AL171),NOT($AT171),$AJ171,$AK171,$AR171,$AS171),"",$AI171))</f>
        <v/>
      </c>
      <c r="CF171" s="92" t="str">
        <f aca="false">IF(ISBLANK($C171),"",IF($BR171&lt;&gt;Constants!$B$8,$BR171,IF(ISNUMBER($CE171),RANK($CE171,$CE$9:$CE$508,1),COUNT($CE$9:$CE$508)+1)))</f>
        <v/>
      </c>
      <c r="CG171" s="92" t="str">
        <f aca="false">IF(ISBLANK($C171),"",IF($BR171&lt;&gt;Constants!$B$8,$BR171,COUNTIFS($BX$9:$BX$508,"&lt;"&amp;$BX171)+COUNTIFS($BX$9:$BX$508,$BX171,$BZ$9:$BZ$508,"&lt;"&amp;$BZ171)+COUNTIFS($BX$9:$BX$508,$BX171,$BZ$9:$BZ$508,$BZ171,$CB$9:$CB$508,"&lt;"&amp;$CB171)+COUNTIFS($BX$9:$BX$508,$BX171,$BZ$9:$BZ$508,$BZ171,$CB$9:$CB$508,$CB171,$CD$9:$CD$508,"&lt;"&amp;$CD171)+COUNTIFS($BX$9:$BX$508,$BX171,$BZ$9:$BZ$508,$BZ171,$CB$9:$CB$508,$CB171,$CD$9:$CD$508,$CD171,$CF$9:$CF$508,"&lt;"&amp;$CF171)+1))</f>
        <v/>
      </c>
      <c r="CH171" s="92" t="str">
        <f aca="false">IF(ISBLANK($C171),"",IF($BR171&lt;&gt;Constants!$B$8,$BR171,$BX171-$CG171))</f>
        <v/>
      </c>
      <c r="CI171" s="98"/>
      <c r="CJ171" s="99"/>
      <c r="CK171" s="100" t="str">
        <f aca="false">IF(ISBLANK($C171),"",IF($BR171=Constants!$B$12,$BQ171,""))</f>
        <v/>
      </c>
      <c r="CL171" s="99" t="str">
        <f aca="false">IF(ISBLANK($C171),"",IF($BR171&lt;&gt;Constants!$B$8,"",IF($BI171="-&gt;",2,1)))</f>
        <v/>
      </c>
      <c r="CM171" s="101" t="str">
        <f aca="false">IF(ISBLANK($C171),"",IF($BR171&lt;&gt;Constants!$B$8,"",IF($BI171="-&gt;",$BK171,$BC171)))</f>
        <v/>
      </c>
      <c r="CN171" s="101" t="str">
        <f aca="false">IF(ISBLANK($C171),"",IF($BR171&lt;&gt;Constants!$B$8,"",IF($BI171="-&gt;",$BL171,$BD171)))</f>
        <v/>
      </c>
      <c r="CO171" s="101" t="str">
        <f aca="false">IF(ISBLANK($C171),"",IF($BR171&lt;&gt;Constants!$B$8,"",IF($BI171="-&gt;",$BM171+$BN171,$BE171+$BF171)+$BV171))</f>
        <v/>
      </c>
      <c r="CP171" s="101" t="str">
        <f aca="false">IF(ISBLANK($C171),"",IF($BR171&lt;&gt;Constants!$B$8,"",IF($BI171="-&gt;",$BO171,$BG171)+$BU171))</f>
        <v/>
      </c>
      <c r="CQ171" s="102" t="str">
        <f aca="false">IF(ISBLANK($C171),"",IF($BR171&lt;&gt;Constants!$B$8,$BR171,$BW171))</f>
        <v/>
      </c>
      <c r="CR171" s="103" t="str">
        <f aca="false">IF(ISBLANK($C171),"",$BS171)</f>
        <v/>
      </c>
      <c r="CS171" s="104" t="str">
        <f aca="false">IF(ISBLANK($C171),"",$CH171)</f>
        <v/>
      </c>
      <c r="CT171" s="104" t="str">
        <f aca="false">IF(ISBLANK($C171),"",$CG171)</f>
        <v/>
      </c>
      <c r="CU171" s="105" t="str">
        <f aca="false">IF(ISBLANK($C171),"",IFERROR(_xlfn.SWITCH($CT171,Constants!$B$11,COUNTA($C$9:$C$508)+2,Constants!$B$10,COUNTA($C$9:$C$508)+1,Constants!$B$9,COUNTA($C$9:$C$508)),$CT171))</f>
        <v/>
      </c>
      <c r="CV171" s="9"/>
      <c r="CW171" s="106" t="n">
        <f aca="false">IF(OR(ISNUMBER($CT171),$CT171=Constants!$B$11,$CT171=Constants!$B$9,$CT171=Constants!$B$10),1,0)</f>
        <v>0</v>
      </c>
      <c r="CX171" s="106" t="n">
        <v>163</v>
      </c>
      <c r="CY171" s="106" t="str">
        <f aca="false">IF(ISBLANK($C171),"",IF(ISNUMBER($CU171),$CU171+ROW($B171)/1000,""))</f>
        <v/>
      </c>
      <c r="CZ171" s="106" t="str">
        <f aca="false">IF(ISNUMBER($CY171),RANK($CY171,$CY$9:$CY$508,1),"")</f>
        <v/>
      </c>
      <c r="DA171" s="106" t="str">
        <f aca="false">IF(ISBLANK($C171),"",$B171)</f>
        <v/>
      </c>
      <c r="DB171" s="106" t="str">
        <f aca="false">IF(ISBLANK($C171),"",$C171)</f>
        <v/>
      </c>
      <c r="DC171" s="106" t="str">
        <f aca="false">IF(ISBLANK($C171),"",$D171)</f>
        <v/>
      </c>
      <c r="DD171" s="107" t="str">
        <f aca="false">$CR171</f>
        <v/>
      </c>
      <c r="DE171" s="108" t="str">
        <f aca="false">$CQ171</f>
        <v/>
      </c>
      <c r="DF171" s="106" t="str">
        <f aca="false">IF(ISBLANK($C171),"",$CT171)</f>
        <v/>
      </c>
      <c r="DG171" s="109" t="str">
        <f aca="false">IF($CX171&gt;$CW$8,"",VLOOKUP($CX171,$CZ$9:$DF$508,7,FALSE()))</f>
        <v/>
      </c>
      <c r="DH171" s="110" t="str">
        <f aca="false">IF($CX171&gt;$CW$8,"",VLOOKUP($CX171,$CZ$9:$DF$508,2,FALSE()))</f>
        <v/>
      </c>
      <c r="DI171" s="110" t="str">
        <f aca="false">IF($CX171&gt;$CW$8,"",VLOOKUP($CX171,$CZ$9:$DF$508,3,FALSE()))</f>
        <v/>
      </c>
      <c r="DJ171" s="110" t="str">
        <f aca="false">IF($CX171&gt;$CW$8,"",VLOOKUP($CX171,$CZ$9:$DF$508,4,FALSE()))</f>
        <v/>
      </c>
      <c r="DK171" s="110" t="str">
        <f aca="false">IF($CX171&gt;$CW$8,"",VLOOKUP($CX171,$CZ$9:$DF$508,5,FALSE()))</f>
        <v/>
      </c>
      <c r="DL171" s="111" t="str">
        <f aca="false">IF($CX171&gt;$CW$8,"",VLOOKUP($CX171,$CZ$9:$DF$508,6,FALSE()))</f>
        <v/>
      </c>
      <c r="DM171" s="75"/>
    </row>
    <row r="172" customFormat="false" ht="15.75" hidden="false" customHeight="false" outlineLevel="0" collapsed="false">
      <c r="A172" s="9"/>
      <c r="B172" s="77"/>
      <c r="C172" s="78"/>
      <c r="D172" s="167"/>
      <c r="E172" s="175"/>
      <c r="F172" s="169"/>
      <c r="G172" s="170"/>
      <c r="H172" s="170"/>
      <c r="I172" s="176"/>
      <c r="J172" s="173"/>
      <c r="K172" s="85"/>
      <c r="L172" s="86"/>
      <c r="M172" s="87"/>
      <c r="N172" s="173"/>
      <c r="O172" s="173"/>
      <c r="P172" s="175"/>
      <c r="Q172" s="173"/>
      <c r="R172" s="173"/>
      <c r="S172" s="85"/>
      <c r="T172" s="87"/>
      <c r="U172" s="87"/>
      <c r="V172" s="173"/>
      <c r="W172" s="173"/>
      <c r="X172" s="175"/>
      <c r="Y172" s="173"/>
      <c r="Z172" s="174"/>
      <c r="AA172" s="173"/>
      <c r="AB172" s="91"/>
      <c r="AC172" s="92"/>
      <c r="AD172" s="92"/>
      <c r="AE172" s="92"/>
      <c r="AF172" s="92" t="str">
        <f aca="false">IF(ISBLANK($C172),"",IF(E172=Constants!$B$3,TRUE(),IF(E172=Constants!$B$4,FALSE(),TRUE())))</f>
        <v/>
      </c>
      <c r="AG172" s="92" t="str">
        <f aca="false">IF(ISBLANK($C172),"",IF(F172=Constants!$B$3,TRUE(),IF(F172=Constants!$B$4,FALSE(),TRUE())))</f>
        <v/>
      </c>
      <c r="AH172" s="92" t="str">
        <f aca="false">IF(ISBLANK($C172),"",IF(G172=Constants!$B$3,TRUE(),IF(G172=Constants!$B$4,FALSE(),TRUE())))</f>
        <v/>
      </c>
      <c r="AI172" s="92" t="str">
        <f aca="false">IF(ISBLANK($C172),"",IF(AND(ISNUMBER(H172),H172&gt;=0),H172,Constants!$B$29))</f>
        <v/>
      </c>
      <c r="AJ172" s="92" t="str">
        <f aca="false">IF(ISBLANK($C172),"",IF(I172=Constants!$B$3,TRUE(),IF(I172=Constants!$B$4,FALSE(),TRUE())))</f>
        <v/>
      </c>
      <c r="AK172" s="92" t="str">
        <f aca="false">IF(ISBLANK($C172),"",IF(J172=Constants!$B$3,TRUE(),IF(J172=Constants!$B$4,FALSE(),TRUE())))</f>
        <v/>
      </c>
      <c r="AL172" s="92" t="str">
        <f aca="false">IF(ISBLANK($C172),"",IF(K172=Constants!$B$5,TRUE(),IF(K172=Constants!$B$6,FALSE(),COUNTA(L172:P172)&gt;0)))</f>
        <v/>
      </c>
      <c r="AM172" s="94" t="str">
        <f aca="false">IF(ISBLANK($C172),"",IF(ISNUMBER(L172),IF(L172&gt;=0,L172,""),""))</f>
        <v/>
      </c>
      <c r="AN172" s="93" t="str">
        <f aca="false">IF(ISBLANK($C172),"",IF(ISNUMBER(M172),IF(M172&gt;=0,M172,""),""))</f>
        <v/>
      </c>
      <c r="AO172" s="93" t="str">
        <f aca="false">IF(ISBLANK($C172),"",IF(N172=Constants!$B$3,TRUE(),IF(N172=Constants!$B$4,FALSE(),TRUE())))</f>
        <v/>
      </c>
      <c r="AP172" s="92" t="str">
        <f aca="false">IF(ISBLANK($C172),"",IF(ISNUMBER(O172),IF(O172&gt;=0,O172,""),""))</f>
        <v/>
      </c>
      <c r="AQ172" s="92" t="str">
        <f aca="false">IF(ISBLANK($C172),"",IF(P172=Constants!$B$3,TRUE(),IF(P172=Constants!$B$4,FALSE(),FALSE())))</f>
        <v/>
      </c>
      <c r="AR172" s="92" t="str">
        <f aca="false">IF(ISBLANK($C172),"",IF(Q172=Constants!$B$3,TRUE(),IF(Q172=Constants!$B$4,FALSE(),TRUE())))</f>
        <v/>
      </c>
      <c r="AS172" s="92" t="str">
        <f aca="false">IF(ISBLANK($C172),"",IF(R172=Constants!$B$3,TRUE(),IF(R172=Constants!$B$4,FALSE(),TRUE())))</f>
        <v/>
      </c>
      <c r="AT172" s="92" t="str">
        <f aca="false">IF(ISBLANK($C172),"",IF(S172=Constants!$B$5,TRUE(),IF(S172=Constants!$B$6,FALSE(),COUNTA(T172:X172)&gt;0)))</f>
        <v/>
      </c>
      <c r="AU172" s="94" t="str">
        <f aca="false">IF(ISBLANK($C172),"",IF(ISNUMBER(T172),IF(T172&gt;=0,T172,""),""))</f>
        <v/>
      </c>
      <c r="AV172" s="93" t="str">
        <f aca="false">IF(ISBLANK($C172),"",IF(ISNUMBER(U172),IF(U172&gt;=0,U172,""),""))</f>
        <v/>
      </c>
      <c r="AW172" s="93" t="str">
        <f aca="false">IF(ISBLANK($C172),"",IF(V172=Constants!$B$3,TRUE(),IF(V172=Constants!$B$4,FALSE(),TRUE())))</f>
        <v/>
      </c>
      <c r="AX172" s="92" t="str">
        <f aca="false">IF(ISBLANK($C172),"",IF(ISNUMBER(W172),IF(W172&gt;=0,W172,""),""))</f>
        <v/>
      </c>
      <c r="AY172" s="92" t="str">
        <f aca="false">IF(ISBLANK($C172),"",IF(X172=Constants!$B$3,TRUE(),IF(X172=Constants!$B$4,FALSE(),FALSE())))</f>
        <v/>
      </c>
      <c r="AZ172" s="92" t="str">
        <f aca="false">IF(ISBLANK($C172),"",MIN(Constants!$B$31,MAX(0,IF(ISNUMBER(Y172),Y172*60,0)+IF(ISNUMBER(Z172),Z172,0))))</f>
        <v/>
      </c>
      <c r="BA172" s="92" t="str">
        <f aca="false">IF(ISBLANK($C172),"",IF(AA172=Constants!$B$3,TRUE(),IF(AA172=Constants!$B$4,FALSE(),FALSE())))</f>
        <v/>
      </c>
      <c r="BB172" s="91" t="str">
        <f aca="false">IF(ISBLANK($C172),"",AND($AL172,OR($AM172="",$AN172="",AND($AO172,$AP172=""))))</f>
        <v/>
      </c>
      <c r="BC172" s="93" t="str">
        <f aca="false">IF($BR172&lt;&gt;Constants!$B$8,"",IF($AL172,Constants!$B$21*$AN172+Constants!$B$22*IF($AO172,$AP172,Constants!$B$23),Constants!$B$24))</f>
        <v/>
      </c>
      <c r="BD172" s="96" t="str">
        <f aca="false">IF($BR172&lt;&gt;Constants!$B$8,"",Constants!$B$25*ABS($AD$9-IF($AL172,$AM172,0)))</f>
        <v/>
      </c>
      <c r="BE172" s="96" t="str">
        <f aca="false">IF($BR172&lt;&gt;Constants!$B$8,"",IF(AND($AL172,$AQ172,$AO172),Constants!$B$27,0))</f>
        <v/>
      </c>
      <c r="BF172" s="96" t="str">
        <f aca="false">IF($BR172&lt;&gt;Constants!$B$8,"",IF($AL172,($AI172-Constants!$B$29)*Constants!$B$28,0))</f>
        <v/>
      </c>
      <c r="BG172" s="96" t="str">
        <f aca="false">IF($BR172&lt;&gt;Constants!$B$8,"",IF($AK172,0,Constants!$B$15)+IF($AJ172,0,Constants!$B$16)+IF($AH172,0,Constants!$B$17))</f>
        <v/>
      </c>
      <c r="BH172" s="97" t="str">
        <f aca="false">IF($BR172&lt;&gt;Constants!$B$8,"",Constants!$B$20+SUM($BC172:$BG172))</f>
        <v/>
      </c>
      <c r="BI172" s="92" t="str">
        <f aca="false">IF($BR172&lt;&gt;Constants!$B$8,"",IF(OR($BP172&lt;$BH172,AND($BP172=$BH172,OR($BK172&lt;$BC172,AND($BK172=$BC172,OR($BL172&lt;$BD172,AND($BL172=$BD172,$AT172,$AL172,$AV172&lt;$AN172)))))),"-&gt;","&lt;-"))</f>
        <v/>
      </c>
      <c r="BJ172" s="91" t="str">
        <f aca="false">IF(ISBLANK($C172),"",AND($AT172,OR($AU172="",$AV172="",AND($AW172,$AX172=""))))</f>
        <v/>
      </c>
      <c r="BK172" s="93" t="str">
        <f aca="false">IF($BR172&lt;&gt;Constants!$B$8,"",IF($AT172,Constants!$B$21*$AV172+Constants!$B$22*IF($AW172,$AX172,Constants!$B$23),Constants!$B$24))</f>
        <v/>
      </c>
      <c r="BL172" s="96" t="str">
        <f aca="false">IF($BR172&lt;&gt;Constants!$B$8,"",Constants!$B$25*ABS($AD$9-IF($AT172,$AU172,0)))</f>
        <v/>
      </c>
      <c r="BM172" s="96" t="str">
        <f aca="false">IF($BR172&lt;&gt;Constants!$B$8,"",IF(AND($AT172,$AY172,$AW172),Constants!$B$27,0))</f>
        <v/>
      </c>
      <c r="BN172" s="96" t="str">
        <f aca="false">IF($BR172&lt;&gt;Constants!$B$8,"",IF($AT172,($AI172-Constants!$B$29)*Constants!$B$28,0))</f>
        <v/>
      </c>
      <c r="BO172" s="96" t="str">
        <f aca="false">IF($BR172&lt;&gt;Constants!$B$8,"",IF($AS172,0,Constants!$B$15)+IF($AR172,0,Constants!$B$16)+IF($AH172,0,Constants!$B$17))</f>
        <v/>
      </c>
      <c r="BP172" s="97" t="str">
        <f aca="false">IF($BR172&lt;&gt;Constants!$B$8,"",Constants!$B$20+SUM($BK172:$BO172))</f>
        <v/>
      </c>
      <c r="BQ172" s="92" t="str">
        <f aca="false">IF(ISBLANK($C172),"",IF(ISBLANK($D$7),$BQ$5,IF(NOT(ISNUMBER($D$7)),$BQ$6,"")))</f>
        <v/>
      </c>
      <c r="BR172" s="92" t="str">
        <f aca="false">IF(ISBLANK($C172),"",IF($BA172,Constants!$B$11,IF(COUNTA($E172:$AA172)=0,Constants!$B$10,IF(NOT($AG172),Constants!$B$9,IF(OR($BQ172&lt;&gt;"",$BB172,$BJ172),Constants!$B$12,Constants!$B$8)))))</f>
        <v/>
      </c>
      <c r="BS172" s="92" t="str">
        <f aca="false">IF(ISBLANK($C172),"",IF($BR172&lt;&gt;Constants!$B$8,$BR172,Constants!$B$13))</f>
        <v/>
      </c>
      <c r="BT172" s="96" t="str">
        <f aca="false">IF($BR172&lt;&gt;Constants!$B$8,"",IF($BI172="-&gt;",$BP172,$BH172))</f>
        <v/>
      </c>
      <c r="BU172" s="96" t="str">
        <f aca="false">IF($BR172&lt;&gt;Constants!$B$8,"",IF($AF172,0,Constants!$B$18))</f>
        <v/>
      </c>
      <c r="BV172" s="96" t="str">
        <f aca="false">IF($BR172&lt;&gt;Constants!$B$8,"",((Constants!$B$31-$AZ172)-Constants!$B$31)/Constants!$B$32)</f>
        <v/>
      </c>
      <c r="BW172" s="96" t="str">
        <f aca="false">IF(ISBLANK($C172),"",IF($BR172&lt;&gt;Constants!$B$8,$BR172,SUM($BT172:$BV172)))</f>
        <v/>
      </c>
      <c r="BX172" s="92" t="str">
        <f aca="false">IF(ISBLANK($C172),"",IF($BR172&lt;&gt;Constants!$B$8,$BR172,RANK($BW172,$BW$9:$BW$508,1)))</f>
        <v/>
      </c>
      <c r="BY172" s="96" t="str">
        <f aca="false">IF($BR172&lt;&gt;Constants!$B$8,"",IF($BI172="-&gt;",$BK172,$BC172))</f>
        <v/>
      </c>
      <c r="BZ172" s="92" t="str">
        <f aca="false">IF(ISBLANK($C172),"",IF($BR172&lt;&gt;Constants!$B$8,$BR172,IF(ISNUMBER($BY172),RANK($BY172,$BY$9:$BY$508,1),COUNT($BY$9:$BY$508)+1)))</f>
        <v/>
      </c>
      <c r="CA172" s="96" t="str">
        <f aca="false">IF($BR172&lt;&gt;Constants!$B$8,"",IF($BI172="-&gt;",$BL172,$BD172))</f>
        <v/>
      </c>
      <c r="CB172" s="92" t="str">
        <f aca="false">IF(ISBLANK($C172),"",IF($BR172&lt;&gt;Constants!$B$8,$BR172,IF(ISNUMBER($CA172),RANK($CA172,$CA$9:$CA$508,1),COUNT($CA$9:$CA$508)+1)))</f>
        <v/>
      </c>
      <c r="CC172" s="96" t="str">
        <f aca="false">IF($BR172&lt;&gt;Constants!$B$8,"",IF($BI172="-&gt;",IF($AT172,$AV172,""),IF($AL172,$AN172,"")))</f>
        <v/>
      </c>
      <c r="CD172" s="92" t="str">
        <f aca="false">IF(ISBLANK($C172),"",IF($BR172&lt;&gt;Constants!$B$8,$BR172,IF(ISNUMBER($CC172),RANK($CC172,$CC$9:$CC$508,1),COUNT($CC$9:$CC$508)+1)))</f>
        <v/>
      </c>
      <c r="CE172" s="96" t="str">
        <f aca="false">IF($BR172&lt;&gt;Constants!$B$8,"",IF(AND(NOT($AL172),NOT($AT172),$AJ172,$AK172,$AR172,$AS172),"",$AI172))</f>
        <v/>
      </c>
      <c r="CF172" s="92" t="str">
        <f aca="false">IF(ISBLANK($C172),"",IF($BR172&lt;&gt;Constants!$B$8,$BR172,IF(ISNUMBER($CE172),RANK($CE172,$CE$9:$CE$508,1),COUNT($CE$9:$CE$508)+1)))</f>
        <v/>
      </c>
      <c r="CG172" s="92" t="str">
        <f aca="false">IF(ISBLANK($C172),"",IF($BR172&lt;&gt;Constants!$B$8,$BR172,COUNTIFS($BX$9:$BX$508,"&lt;"&amp;$BX172)+COUNTIFS($BX$9:$BX$508,$BX172,$BZ$9:$BZ$508,"&lt;"&amp;$BZ172)+COUNTIFS($BX$9:$BX$508,$BX172,$BZ$9:$BZ$508,$BZ172,$CB$9:$CB$508,"&lt;"&amp;$CB172)+COUNTIFS($BX$9:$BX$508,$BX172,$BZ$9:$BZ$508,$BZ172,$CB$9:$CB$508,$CB172,$CD$9:$CD$508,"&lt;"&amp;$CD172)+COUNTIFS($BX$9:$BX$508,$BX172,$BZ$9:$BZ$508,$BZ172,$CB$9:$CB$508,$CB172,$CD$9:$CD$508,$CD172,$CF$9:$CF$508,"&lt;"&amp;$CF172)+1))</f>
        <v/>
      </c>
      <c r="CH172" s="92" t="str">
        <f aca="false">IF(ISBLANK($C172),"",IF($BR172&lt;&gt;Constants!$B$8,$BR172,$BX172-$CG172))</f>
        <v/>
      </c>
      <c r="CI172" s="98"/>
      <c r="CJ172" s="99"/>
      <c r="CK172" s="100" t="str">
        <f aca="false">IF(ISBLANK($C172),"",IF($BR172=Constants!$B$12,$BQ172,""))</f>
        <v/>
      </c>
      <c r="CL172" s="99" t="str">
        <f aca="false">IF(ISBLANK($C172),"",IF($BR172&lt;&gt;Constants!$B$8,"",IF($BI172="-&gt;",2,1)))</f>
        <v/>
      </c>
      <c r="CM172" s="101" t="str">
        <f aca="false">IF(ISBLANK($C172),"",IF($BR172&lt;&gt;Constants!$B$8,"",IF($BI172="-&gt;",$BK172,$BC172)))</f>
        <v/>
      </c>
      <c r="CN172" s="101" t="str">
        <f aca="false">IF(ISBLANK($C172),"",IF($BR172&lt;&gt;Constants!$B$8,"",IF($BI172="-&gt;",$BL172,$BD172)))</f>
        <v/>
      </c>
      <c r="CO172" s="101" t="str">
        <f aca="false">IF(ISBLANK($C172),"",IF($BR172&lt;&gt;Constants!$B$8,"",IF($BI172="-&gt;",$BM172+$BN172,$BE172+$BF172)+$BV172))</f>
        <v/>
      </c>
      <c r="CP172" s="101" t="str">
        <f aca="false">IF(ISBLANK($C172),"",IF($BR172&lt;&gt;Constants!$B$8,"",IF($BI172="-&gt;",$BO172,$BG172)+$BU172))</f>
        <v/>
      </c>
      <c r="CQ172" s="102" t="str">
        <f aca="false">IF(ISBLANK($C172),"",IF($BR172&lt;&gt;Constants!$B$8,$BR172,$BW172))</f>
        <v/>
      </c>
      <c r="CR172" s="103" t="str">
        <f aca="false">IF(ISBLANK($C172),"",$BS172)</f>
        <v/>
      </c>
      <c r="CS172" s="104" t="str">
        <f aca="false">IF(ISBLANK($C172),"",$CH172)</f>
        <v/>
      </c>
      <c r="CT172" s="104" t="str">
        <f aca="false">IF(ISBLANK($C172),"",$CG172)</f>
        <v/>
      </c>
      <c r="CU172" s="105" t="str">
        <f aca="false">IF(ISBLANK($C172),"",IFERROR(_xlfn.SWITCH($CT172,Constants!$B$11,COUNTA($C$9:$C$508)+2,Constants!$B$10,COUNTA($C$9:$C$508)+1,Constants!$B$9,COUNTA($C$9:$C$508)),$CT172))</f>
        <v/>
      </c>
      <c r="CV172" s="9"/>
      <c r="CW172" s="106" t="n">
        <f aca="false">IF(OR(ISNUMBER($CT172),$CT172=Constants!$B$11,$CT172=Constants!$B$9,$CT172=Constants!$B$10),1,0)</f>
        <v>0</v>
      </c>
      <c r="CX172" s="106" t="n">
        <v>164</v>
      </c>
      <c r="CY172" s="106" t="str">
        <f aca="false">IF(ISBLANK($C172),"",IF(ISNUMBER($CU172),$CU172+ROW($B172)/1000,""))</f>
        <v/>
      </c>
      <c r="CZ172" s="106" t="str">
        <f aca="false">IF(ISNUMBER($CY172),RANK($CY172,$CY$9:$CY$508,1),"")</f>
        <v/>
      </c>
      <c r="DA172" s="106" t="str">
        <f aca="false">IF(ISBLANK($C172),"",$B172)</f>
        <v/>
      </c>
      <c r="DB172" s="106" t="str">
        <f aca="false">IF(ISBLANK($C172),"",$C172)</f>
        <v/>
      </c>
      <c r="DC172" s="106" t="str">
        <f aca="false">IF(ISBLANK($C172),"",$D172)</f>
        <v/>
      </c>
      <c r="DD172" s="107" t="str">
        <f aca="false">$CR172</f>
        <v/>
      </c>
      <c r="DE172" s="108" t="str">
        <f aca="false">$CQ172</f>
        <v/>
      </c>
      <c r="DF172" s="106" t="str">
        <f aca="false">IF(ISBLANK($C172),"",$CT172)</f>
        <v/>
      </c>
      <c r="DG172" s="109" t="str">
        <f aca="false">IF($CX172&gt;$CW$8,"",VLOOKUP($CX172,$CZ$9:$DF$508,7,FALSE()))</f>
        <v/>
      </c>
      <c r="DH172" s="110" t="str">
        <f aca="false">IF($CX172&gt;$CW$8,"",VLOOKUP($CX172,$CZ$9:$DF$508,2,FALSE()))</f>
        <v/>
      </c>
      <c r="DI172" s="110" t="str">
        <f aca="false">IF($CX172&gt;$CW$8,"",VLOOKUP($CX172,$CZ$9:$DF$508,3,FALSE()))</f>
        <v/>
      </c>
      <c r="DJ172" s="110" t="str">
        <f aca="false">IF($CX172&gt;$CW$8,"",VLOOKUP($CX172,$CZ$9:$DF$508,4,FALSE()))</f>
        <v/>
      </c>
      <c r="DK172" s="110" t="str">
        <f aca="false">IF($CX172&gt;$CW$8,"",VLOOKUP($CX172,$CZ$9:$DF$508,5,FALSE()))</f>
        <v/>
      </c>
      <c r="DL172" s="111" t="str">
        <f aca="false">IF($CX172&gt;$CW$8,"",VLOOKUP($CX172,$CZ$9:$DF$508,6,FALSE()))</f>
        <v/>
      </c>
      <c r="DM172" s="75"/>
    </row>
    <row r="173" customFormat="false" ht="15.75" hidden="false" customHeight="false" outlineLevel="0" collapsed="false">
      <c r="A173" s="9"/>
      <c r="B173" s="77"/>
      <c r="C173" s="78"/>
      <c r="D173" s="167"/>
      <c r="E173" s="175"/>
      <c r="F173" s="169"/>
      <c r="G173" s="170"/>
      <c r="H173" s="170"/>
      <c r="I173" s="176"/>
      <c r="J173" s="173"/>
      <c r="K173" s="85"/>
      <c r="L173" s="86"/>
      <c r="M173" s="87"/>
      <c r="N173" s="173"/>
      <c r="O173" s="173"/>
      <c r="P173" s="175"/>
      <c r="Q173" s="173"/>
      <c r="R173" s="173"/>
      <c r="S173" s="85"/>
      <c r="T173" s="87"/>
      <c r="U173" s="87"/>
      <c r="V173" s="173"/>
      <c r="W173" s="173"/>
      <c r="X173" s="175"/>
      <c r="Y173" s="173"/>
      <c r="Z173" s="174"/>
      <c r="AA173" s="173"/>
      <c r="AB173" s="91"/>
      <c r="AC173" s="92"/>
      <c r="AD173" s="92"/>
      <c r="AE173" s="92"/>
      <c r="AF173" s="92" t="str">
        <f aca="false">IF(ISBLANK($C173),"",IF(E173=Constants!$B$3,TRUE(),IF(E173=Constants!$B$4,FALSE(),TRUE())))</f>
        <v/>
      </c>
      <c r="AG173" s="92" t="str">
        <f aca="false">IF(ISBLANK($C173),"",IF(F173=Constants!$B$3,TRUE(),IF(F173=Constants!$B$4,FALSE(),TRUE())))</f>
        <v/>
      </c>
      <c r="AH173" s="92" t="str">
        <f aca="false">IF(ISBLANK($C173),"",IF(G173=Constants!$B$3,TRUE(),IF(G173=Constants!$B$4,FALSE(),TRUE())))</f>
        <v/>
      </c>
      <c r="AI173" s="92" t="str">
        <f aca="false">IF(ISBLANK($C173),"",IF(AND(ISNUMBER(H173),H173&gt;=0),H173,Constants!$B$29))</f>
        <v/>
      </c>
      <c r="AJ173" s="92" t="str">
        <f aca="false">IF(ISBLANK($C173),"",IF(I173=Constants!$B$3,TRUE(),IF(I173=Constants!$B$4,FALSE(),TRUE())))</f>
        <v/>
      </c>
      <c r="AK173" s="92" t="str">
        <f aca="false">IF(ISBLANK($C173),"",IF(J173=Constants!$B$3,TRUE(),IF(J173=Constants!$B$4,FALSE(),TRUE())))</f>
        <v/>
      </c>
      <c r="AL173" s="92" t="str">
        <f aca="false">IF(ISBLANK($C173),"",IF(K173=Constants!$B$5,TRUE(),IF(K173=Constants!$B$6,FALSE(),COUNTA(L173:P173)&gt;0)))</f>
        <v/>
      </c>
      <c r="AM173" s="94" t="str">
        <f aca="false">IF(ISBLANK($C173),"",IF(ISNUMBER(L173),IF(L173&gt;=0,L173,""),""))</f>
        <v/>
      </c>
      <c r="AN173" s="93" t="str">
        <f aca="false">IF(ISBLANK($C173),"",IF(ISNUMBER(M173),IF(M173&gt;=0,M173,""),""))</f>
        <v/>
      </c>
      <c r="AO173" s="93" t="str">
        <f aca="false">IF(ISBLANK($C173),"",IF(N173=Constants!$B$3,TRUE(),IF(N173=Constants!$B$4,FALSE(),TRUE())))</f>
        <v/>
      </c>
      <c r="AP173" s="92" t="str">
        <f aca="false">IF(ISBLANK($C173),"",IF(ISNUMBER(O173),IF(O173&gt;=0,O173,""),""))</f>
        <v/>
      </c>
      <c r="AQ173" s="92" t="str">
        <f aca="false">IF(ISBLANK($C173),"",IF(P173=Constants!$B$3,TRUE(),IF(P173=Constants!$B$4,FALSE(),FALSE())))</f>
        <v/>
      </c>
      <c r="AR173" s="92" t="str">
        <f aca="false">IF(ISBLANK($C173),"",IF(Q173=Constants!$B$3,TRUE(),IF(Q173=Constants!$B$4,FALSE(),TRUE())))</f>
        <v/>
      </c>
      <c r="AS173" s="92" t="str">
        <f aca="false">IF(ISBLANK($C173),"",IF(R173=Constants!$B$3,TRUE(),IF(R173=Constants!$B$4,FALSE(),TRUE())))</f>
        <v/>
      </c>
      <c r="AT173" s="92" t="str">
        <f aca="false">IF(ISBLANK($C173),"",IF(S173=Constants!$B$5,TRUE(),IF(S173=Constants!$B$6,FALSE(),COUNTA(T173:X173)&gt;0)))</f>
        <v/>
      </c>
      <c r="AU173" s="94" t="str">
        <f aca="false">IF(ISBLANK($C173),"",IF(ISNUMBER(T173),IF(T173&gt;=0,T173,""),""))</f>
        <v/>
      </c>
      <c r="AV173" s="93" t="str">
        <f aca="false">IF(ISBLANK($C173),"",IF(ISNUMBER(U173),IF(U173&gt;=0,U173,""),""))</f>
        <v/>
      </c>
      <c r="AW173" s="93" t="str">
        <f aca="false">IF(ISBLANK($C173),"",IF(V173=Constants!$B$3,TRUE(),IF(V173=Constants!$B$4,FALSE(),TRUE())))</f>
        <v/>
      </c>
      <c r="AX173" s="92" t="str">
        <f aca="false">IF(ISBLANK($C173),"",IF(ISNUMBER(W173),IF(W173&gt;=0,W173,""),""))</f>
        <v/>
      </c>
      <c r="AY173" s="92" t="str">
        <f aca="false">IF(ISBLANK($C173),"",IF(X173=Constants!$B$3,TRUE(),IF(X173=Constants!$B$4,FALSE(),FALSE())))</f>
        <v/>
      </c>
      <c r="AZ173" s="92" t="str">
        <f aca="false">IF(ISBLANK($C173),"",MIN(Constants!$B$31,MAX(0,IF(ISNUMBER(Y173),Y173*60,0)+IF(ISNUMBER(Z173),Z173,0))))</f>
        <v/>
      </c>
      <c r="BA173" s="92" t="str">
        <f aca="false">IF(ISBLANK($C173),"",IF(AA173=Constants!$B$3,TRUE(),IF(AA173=Constants!$B$4,FALSE(),FALSE())))</f>
        <v/>
      </c>
      <c r="BB173" s="91" t="str">
        <f aca="false">IF(ISBLANK($C173),"",AND($AL173,OR($AM173="",$AN173="",AND($AO173,$AP173=""))))</f>
        <v/>
      </c>
      <c r="BC173" s="93" t="str">
        <f aca="false">IF($BR173&lt;&gt;Constants!$B$8,"",IF($AL173,Constants!$B$21*$AN173+Constants!$B$22*IF($AO173,$AP173,Constants!$B$23),Constants!$B$24))</f>
        <v/>
      </c>
      <c r="BD173" s="96" t="str">
        <f aca="false">IF($BR173&lt;&gt;Constants!$B$8,"",Constants!$B$25*ABS($AD$9-IF($AL173,$AM173,0)))</f>
        <v/>
      </c>
      <c r="BE173" s="96" t="str">
        <f aca="false">IF($BR173&lt;&gt;Constants!$B$8,"",IF(AND($AL173,$AQ173,$AO173),Constants!$B$27,0))</f>
        <v/>
      </c>
      <c r="BF173" s="96" t="str">
        <f aca="false">IF($BR173&lt;&gt;Constants!$B$8,"",IF($AL173,($AI173-Constants!$B$29)*Constants!$B$28,0))</f>
        <v/>
      </c>
      <c r="BG173" s="96" t="str">
        <f aca="false">IF($BR173&lt;&gt;Constants!$B$8,"",IF($AK173,0,Constants!$B$15)+IF($AJ173,0,Constants!$B$16)+IF($AH173,0,Constants!$B$17))</f>
        <v/>
      </c>
      <c r="BH173" s="97" t="str">
        <f aca="false">IF($BR173&lt;&gt;Constants!$B$8,"",Constants!$B$20+SUM($BC173:$BG173))</f>
        <v/>
      </c>
      <c r="BI173" s="92" t="str">
        <f aca="false">IF($BR173&lt;&gt;Constants!$B$8,"",IF(OR($BP173&lt;$BH173,AND($BP173=$BH173,OR($BK173&lt;$BC173,AND($BK173=$BC173,OR($BL173&lt;$BD173,AND($BL173=$BD173,$AT173,$AL173,$AV173&lt;$AN173)))))),"-&gt;","&lt;-"))</f>
        <v/>
      </c>
      <c r="BJ173" s="91" t="str">
        <f aca="false">IF(ISBLANK($C173),"",AND($AT173,OR($AU173="",$AV173="",AND($AW173,$AX173=""))))</f>
        <v/>
      </c>
      <c r="BK173" s="93" t="str">
        <f aca="false">IF($BR173&lt;&gt;Constants!$B$8,"",IF($AT173,Constants!$B$21*$AV173+Constants!$B$22*IF($AW173,$AX173,Constants!$B$23),Constants!$B$24))</f>
        <v/>
      </c>
      <c r="BL173" s="96" t="str">
        <f aca="false">IF($BR173&lt;&gt;Constants!$B$8,"",Constants!$B$25*ABS($AD$9-IF($AT173,$AU173,0)))</f>
        <v/>
      </c>
      <c r="BM173" s="96" t="str">
        <f aca="false">IF($BR173&lt;&gt;Constants!$B$8,"",IF(AND($AT173,$AY173,$AW173),Constants!$B$27,0))</f>
        <v/>
      </c>
      <c r="BN173" s="96" t="str">
        <f aca="false">IF($BR173&lt;&gt;Constants!$B$8,"",IF($AT173,($AI173-Constants!$B$29)*Constants!$B$28,0))</f>
        <v/>
      </c>
      <c r="BO173" s="96" t="str">
        <f aca="false">IF($BR173&lt;&gt;Constants!$B$8,"",IF($AS173,0,Constants!$B$15)+IF($AR173,0,Constants!$B$16)+IF($AH173,0,Constants!$B$17))</f>
        <v/>
      </c>
      <c r="BP173" s="97" t="str">
        <f aca="false">IF($BR173&lt;&gt;Constants!$B$8,"",Constants!$B$20+SUM($BK173:$BO173))</f>
        <v/>
      </c>
      <c r="BQ173" s="92" t="str">
        <f aca="false">IF(ISBLANK($C173),"",IF(ISBLANK($D$7),$BQ$5,IF(NOT(ISNUMBER($D$7)),$BQ$6,"")))</f>
        <v/>
      </c>
      <c r="BR173" s="92" t="str">
        <f aca="false">IF(ISBLANK($C173),"",IF($BA173,Constants!$B$11,IF(COUNTA($E173:$AA173)=0,Constants!$B$10,IF(NOT($AG173),Constants!$B$9,IF(OR($BQ173&lt;&gt;"",$BB173,$BJ173),Constants!$B$12,Constants!$B$8)))))</f>
        <v/>
      </c>
      <c r="BS173" s="92" t="str">
        <f aca="false">IF(ISBLANK($C173),"",IF($BR173&lt;&gt;Constants!$B$8,$BR173,Constants!$B$13))</f>
        <v/>
      </c>
      <c r="BT173" s="96" t="str">
        <f aca="false">IF($BR173&lt;&gt;Constants!$B$8,"",IF($BI173="-&gt;",$BP173,$BH173))</f>
        <v/>
      </c>
      <c r="BU173" s="96" t="str">
        <f aca="false">IF($BR173&lt;&gt;Constants!$B$8,"",IF($AF173,0,Constants!$B$18))</f>
        <v/>
      </c>
      <c r="BV173" s="96" t="str">
        <f aca="false">IF($BR173&lt;&gt;Constants!$B$8,"",((Constants!$B$31-$AZ173)-Constants!$B$31)/Constants!$B$32)</f>
        <v/>
      </c>
      <c r="BW173" s="96" t="str">
        <f aca="false">IF(ISBLANK($C173),"",IF($BR173&lt;&gt;Constants!$B$8,$BR173,SUM($BT173:$BV173)))</f>
        <v/>
      </c>
      <c r="BX173" s="92" t="str">
        <f aca="false">IF(ISBLANK($C173),"",IF($BR173&lt;&gt;Constants!$B$8,$BR173,RANK($BW173,$BW$9:$BW$508,1)))</f>
        <v/>
      </c>
      <c r="BY173" s="96" t="str">
        <f aca="false">IF($BR173&lt;&gt;Constants!$B$8,"",IF($BI173="-&gt;",$BK173,$BC173))</f>
        <v/>
      </c>
      <c r="BZ173" s="92" t="str">
        <f aca="false">IF(ISBLANK($C173),"",IF($BR173&lt;&gt;Constants!$B$8,$BR173,IF(ISNUMBER($BY173),RANK($BY173,$BY$9:$BY$508,1),COUNT($BY$9:$BY$508)+1)))</f>
        <v/>
      </c>
      <c r="CA173" s="96" t="str">
        <f aca="false">IF($BR173&lt;&gt;Constants!$B$8,"",IF($BI173="-&gt;",$BL173,$BD173))</f>
        <v/>
      </c>
      <c r="CB173" s="92" t="str">
        <f aca="false">IF(ISBLANK($C173),"",IF($BR173&lt;&gt;Constants!$B$8,$BR173,IF(ISNUMBER($CA173),RANK($CA173,$CA$9:$CA$508,1),COUNT($CA$9:$CA$508)+1)))</f>
        <v/>
      </c>
      <c r="CC173" s="96" t="str">
        <f aca="false">IF($BR173&lt;&gt;Constants!$B$8,"",IF($BI173="-&gt;",IF($AT173,$AV173,""),IF($AL173,$AN173,"")))</f>
        <v/>
      </c>
      <c r="CD173" s="92" t="str">
        <f aca="false">IF(ISBLANK($C173),"",IF($BR173&lt;&gt;Constants!$B$8,$BR173,IF(ISNUMBER($CC173),RANK($CC173,$CC$9:$CC$508,1),COUNT($CC$9:$CC$508)+1)))</f>
        <v/>
      </c>
      <c r="CE173" s="96" t="str">
        <f aca="false">IF($BR173&lt;&gt;Constants!$B$8,"",IF(AND(NOT($AL173),NOT($AT173),$AJ173,$AK173,$AR173,$AS173),"",$AI173))</f>
        <v/>
      </c>
      <c r="CF173" s="92" t="str">
        <f aca="false">IF(ISBLANK($C173),"",IF($BR173&lt;&gt;Constants!$B$8,$BR173,IF(ISNUMBER($CE173),RANK($CE173,$CE$9:$CE$508,1),COUNT($CE$9:$CE$508)+1)))</f>
        <v/>
      </c>
      <c r="CG173" s="92" t="str">
        <f aca="false">IF(ISBLANK($C173),"",IF($BR173&lt;&gt;Constants!$B$8,$BR173,COUNTIFS($BX$9:$BX$508,"&lt;"&amp;$BX173)+COUNTIFS($BX$9:$BX$508,$BX173,$BZ$9:$BZ$508,"&lt;"&amp;$BZ173)+COUNTIFS($BX$9:$BX$508,$BX173,$BZ$9:$BZ$508,$BZ173,$CB$9:$CB$508,"&lt;"&amp;$CB173)+COUNTIFS($BX$9:$BX$508,$BX173,$BZ$9:$BZ$508,$BZ173,$CB$9:$CB$508,$CB173,$CD$9:$CD$508,"&lt;"&amp;$CD173)+COUNTIFS($BX$9:$BX$508,$BX173,$BZ$9:$BZ$508,$BZ173,$CB$9:$CB$508,$CB173,$CD$9:$CD$508,$CD173,$CF$9:$CF$508,"&lt;"&amp;$CF173)+1))</f>
        <v/>
      </c>
      <c r="CH173" s="92" t="str">
        <f aca="false">IF(ISBLANK($C173),"",IF($BR173&lt;&gt;Constants!$B$8,$BR173,$BX173-$CG173))</f>
        <v/>
      </c>
      <c r="CI173" s="98"/>
      <c r="CJ173" s="99"/>
      <c r="CK173" s="100" t="str">
        <f aca="false">IF(ISBLANK($C173),"",IF($BR173=Constants!$B$12,$BQ173,""))</f>
        <v/>
      </c>
      <c r="CL173" s="99" t="str">
        <f aca="false">IF(ISBLANK($C173),"",IF($BR173&lt;&gt;Constants!$B$8,"",IF($BI173="-&gt;",2,1)))</f>
        <v/>
      </c>
      <c r="CM173" s="101" t="str">
        <f aca="false">IF(ISBLANK($C173),"",IF($BR173&lt;&gt;Constants!$B$8,"",IF($BI173="-&gt;",$BK173,$BC173)))</f>
        <v/>
      </c>
      <c r="CN173" s="101" t="str">
        <f aca="false">IF(ISBLANK($C173),"",IF($BR173&lt;&gt;Constants!$B$8,"",IF($BI173="-&gt;",$BL173,$BD173)))</f>
        <v/>
      </c>
      <c r="CO173" s="101" t="str">
        <f aca="false">IF(ISBLANK($C173),"",IF($BR173&lt;&gt;Constants!$B$8,"",IF($BI173="-&gt;",$BM173+$BN173,$BE173+$BF173)+$BV173))</f>
        <v/>
      </c>
      <c r="CP173" s="101" t="str">
        <f aca="false">IF(ISBLANK($C173),"",IF($BR173&lt;&gt;Constants!$B$8,"",IF($BI173="-&gt;",$BO173,$BG173)+$BU173))</f>
        <v/>
      </c>
      <c r="CQ173" s="102" t="str">
        <f aca="false">IF(ISBLANK($C173),"",IF($BR173&lt;&gt;Constants!$B$8,$BR173,$BW173))</f>
        <v/>
      </c>
      <c r="CR173" s="103" t="str">
        <f aca="false">IF(ISBLANK($C173),"",$BS173)</f>
        <v/>
      </c>
      <c r="CS173" s="104" t="str">
        <f aca="false">IF(ISBLANK($C173),"",$CH173)</f>
        <v/>
      </c>
      <c r="CT173" s="104" t="str">
        <f aca="false">IF(ISBLANK($C173),"",$CG173)</f>
        <v/>
      </c>
      <c r="CU173" s="105" t="str">
        <f aca="false">IF(ISBLANK($C173),"",IFERROR(_xlfn.SWITCH($CT173,Constants!$B$11,COUNTA($C$9:$C$508)+2,Constants!$B$10,COUNTA($C$9:$C$508)+1,Constants!$B$9,COUNTA($C$9:$C$508)),$CT173))</f>
        <v/>
      </c>
      <c r="CV173" s="9"/>
      <c r="CW173" s="106" t="n">
        <f aca="false">IF(OR(ISNUMBER($CT173),$CT173=Constants!$B$11,$CT173=Constants!$B$9,$CT173=Constants!$B$10),1,0)</f>
        <v>0</v>
      </c>
      <c r="CX173" s="106" t="n">
        <v>165</v>
      </c>
      <c r="CY173" s="106" t="str">
        <f aca="false">IF(ISBLANK($C173),"",IF(ISNUMBER($CU173),$CU173+ROW($B173)/1000,""))</f>
        <v/>
      </c>
      <c r="CZ173" s="106" t="str">
        <f aca="false">IF(ISNUMBER($CY173),RANK($CY173,$CY$9:$CY$508,1),"")</f>
        <v/>
      </c>
      <c r="DA173" s="106" t="str">
        <f aca="false">IF(ISBLANK($C173),"",$B173)</f>
        <v/>
      </c>
      <c r="DB173" s="106" t="str">
        <f aca="false">IF(ISBLANK($C173),"",$C173)</f>
        <v/>
      </c>
      <c r="DC173" s="106" t="str">
        <f aca="false">IF(ISBLANK($C173),"",$D173)</f>
        <v/>
      </c>
      <c r="DD173" s="107" t="str">
        <f aca="false">$CR173</f>
        <v/>
      </c>
      <c r="DE173" s="108" t="str">
        <f aca="false">$CQ173</f>
        <v/>
      </c>
      <c r="DF173" s="106" t="str">
        <f aca="false">IF(ISBLANK($C173),"",$CT173)</f>
        <v/>
      </c>
      <c r="DG173" s="109" t="str">
        <f aca="false">IF($CX173&gt;$CW$8,"",VLOOKUP($CX173,$CZ$9:$DF$508,7,FALSE()))</f>
        <v/>
      </c>
      <c r="DH173" s="110" t="str">
        <f aca="false">IF($CX173&gt;$CW$8,"",VLOOKUP($CX173,$CZ$9:$DF$508,2,FALSE()))</f>
        <v/>
      </c>
      <c r="DI173" s="110" t="str">
        <f aca="false">IF($CX173&gt;$CW$8,"",VLOOKUP($CX173,$CZ$9:$DF$508,3,FALSE()))</f>
        <v/>
      </c>
      <c r="DJ173" s="110" t="str">
        <f aca="false">IF($CX173&gt;$CW$8,"",VLOOKUP($CX173,$CZ$9:$DF$508,4,FALSE()))</f>
        <v/>
      </c>
      <c r="DK173" s="110" t="str">
        <f aca="false">IF($CX173&gt;$CW$8,"",VLOOKUP($CX173,$CZ$9:$DF$508,5,FALSE()))</f>
        <v/>
      </c>
      <c r="DL173" s="111" t="str">
        <f aca="false">IF($CX173&gt;$CW$8,"",VLOOKUP($CX173,$CZ$9:$DF$508,6,FALSE()))</f>
        <v/>
      </c>
      <c r="DM173" s="75"/>
    </row>
    <row r="174" customFormat="false" ht="15.75" hidden="false" customHeight="false" outlineLevel="0" collapsed="false">
      <c r="A174" s="9"/>
      <c r="B174" s="157"/>
      <c r="C174" s="158"/>
      <c r="D174" s="159"/>
      <c r="E174" s="177"/>
      <c r="F174" s="161"/>
      <c r="G174" s="162"/>
      <c r="H174" s="162"/>
      <c r="I174" s="178"/>
      <c r="J174" s="165"/>
      <c r="K174" s="126"/>
      <c r="L174" s="127"/>
      <c r="M174" s="128"/>
      <c r="N174" s="165"/>
      <c r="O174" s="165"/>
      <c r="P174" s="177"/>
      <c r="Q174" s="165"/>
      <c r="R174" s="165"/>
      <c r="S174" s="126"/>
      <c r="T174" s="128"/>
      <c r="U174" s="128"/>
      <c r="V174" s="165"/>
      <c r="W174" s="165"/>
      <c r="X174" s="177"/>
      <c r="Y174" s="165"/>
      <c r="Z174" s="166"/>
      <c r="AA174" s="165"/>
      <c r="AB174" s="132"/>
      <c r="AC174" s="133"/>
      <c r="AD174" s="133"/>
      <c r="AE174" s="133"/>
      <c r="AF174" s="133" t="str">
        <f aca="false">IF(ISBLANK($C174),"",IF(E174=Constants!$B$3,TRUE(),IF(E174=Constants!$B$4,FALSE(),TRUE())))</f>
        <v/>
      </c>
      <c r="AG174" s="133" t="str">
        <f aca="false">IF(ISBLANK($C174),"",IF(F174=Constants!$B$3,TRUE(),IF(F174=Constants!$B$4,FALSE(),TRUE())))</f>
        <v/>
      </c>
      <c r="AH174" s="133" t="str">
        <f aca="false">IF(ISBLANK($C174),"",IF(G174=Constants!$B$3,TRUE(),IF(G174=Constants!$B$4,FALSE(),TRUE())))</f>
        <v/>
      </c>
      <c r="AI174" s="133" t="str">
        <f aca="false">IF(ISBLANK($C174),"",IF(AND(ISNUMBER(H174),H174&gt;=0),H174,Constants!$B$29))</f>
        <v/>
      </c>
      <c r="AJ174" s="133" t="str">
        <f aca="false">IF(ISBLANK($C174),"",IF(I174=Constants!$B$3,TRUE(),IF(I174=Constants!$B$4,FALSE(),TRUE())))</f>
        <v/>
      </c>
      <c r="AK174" s="133" t="str">
        <f aca="false">IF(ISBLANK($C174),"",IF(J174=Constants!$B$3,TRUE(),IF(J174=Constants!$B$4,FALSE(),TRUE())))</f>
        <v/>
      </c>
      <c r="AL174" s="133" t="str">
        <f aca="false">IF(ISBLANK($C174),"",IF(K174=Constants!$B$5,TRUE(),IF(K174=Constants!$B$6,FALSE(),COUNTA(L174:P174)&gt;0)))</f>
        <v/>
      </c>
      <c r="AM174" s="134" t="str">
        <f aca="false">IF(ISBLANK($C174),"",IF(ISNUMBER(L174),IF(L174&gt;=0,L174,""),""))</f>
        <v/>
      </c>
      <c r="AN174" s="135" t="str">
        <f aca="false">IF(ISBLANK($C174),"",IF(ISNUMBER(M174),IF(M174&gt;=0,M174,""),""))</f>
        <v/>
      </c>
      <c r="AO174" s="135" t="str">
        <f aca="false">IF(ISBLANK($C174),"",IF(N174=Constants!$B$3,TRUE(),IF(N174=Constants!$B$4,FALSE(),TRUE())))</f>
        <v/>
      </c>
      <c r="AP174" s="133" t="str">
        <f aca="false">IF(ISBLANK($C174),"",IF(ISNUMBER(O174),IF(O174&gt;=0,O174,""),""))</f>
        <v/>
      </c>
      <c r="AQ174" s="133" t="str">
        <f aca="false">IF(ISBLANK($C174),"",IF(P174=Constants!$B$3,TRUE(),IF(P174=Constants!$B$4,FALSE(),FALSE())))</f>
        <v/>
      </c>
      <c r="AR174" s="133" t="str">
        <f aca="false">IF(ISBLANK($C174),"",IF(Q174=Constants!$B$3,TRUE(),IF(Q174=Constants!$B$4,FALSE(),TRUE())))</f>
        <v/>
      </c>
      <c r="AS174" s="133" t="str">
        <f aca="false">IF(ISBLANK($C174),"",IF(R174=Constants!$B$3,TRUE(),IF(R174=Constants!$B$4,FALSE(),TRUE())))</f>
        <v/>
      </c>
      <c r="AT174" s="133" t="str">
        <f aca="false">IF(ISBLANK($C174),"",IF(S174=Constants!$B$5,TRUE(),IF(S174=Constants!$B$6,FALSE(),COUNTA(T174:X174)&gt;0)))</f>
        <v/>
      </c>
      <c r="AU174" s="134" t="str">
        <f aca="false">IF(ISBLANK($C174),"",IF(ISNUMBER(T174),IF(T174&gt;=0,T174,""),""))</f>
        <v/>
      </c>
      <c r="AV174" s="135" t="str">
        <f aca="false">IF(ISBLANK($C174),"",IF(ISNUMBER(U174),IF(U174&gt;=0,U174,""),""))</f>
        <v/>
      </c>
      <c r="AW174" s="135" t="str">
        <f aca="false">IF(ISBLANK($C174),"",IF(V174=Constants!$B$3,TRUE(),IF(V174=Constants!$B$4,FALSE(),TRUE())))</f>
        <v/>
      </c>
      <c r="AX174" s="133" t="str">
        <f aca="false">IF(ISBLANK($C174),"",IF(ISNUMBER(W174),IF(W174&gt;=0,W174,""),""))</f>
        <v/>
      </c>
      <c r="AY174" s="133" t="str">
        <f aca="false">IF(ISBLANK($C174),"",IF(X174=Constants!$B$3,TRUE(),IF(X174=Constants!$B$4,FALSE(),FALSE())))</f>
        <v/>
      </c>
      <c r="AZ174" s="133" t="str">
        <f aca="false">IF(ISBLANK($C174),"",MIN(Constants!$B$31,MAX(0,IF(ISNUMBER(Y174),Y174*60,0)+IF(ISNUMBER(Z174),Z174,0))))</f>
        <v/>
      </c>
      <c r="BA174" s="133" t="str">
        <f aca="false">IF(ISBLANK($C174),"",IF(AA174=Constants!$B$3,TRUE(),IF(AA174=Constants!$B$4,FALSE(),FALSE())))</f>
        <v/>
      </c>
      <c r="BB174" s="132" t="str">
        <f aca="false">IF(ISBLANK($C174),"",AND($AL174,OR($AM174="",$AN174="",AND($AO174,$AP174=""))))</f>
        <v/>
      </c>
      <c r="BC174" s="135" t="str">
        <f aca="false">IF($BR174&lt;&gt;Constants!$B$8,"",IF($AL174,Constants!$B$21*$AN174+Constants!$B$22*IF($AO174,$AP174,Constants!$B$23),Constants!$B$24))</f>
        <v/>
      </c>
      <c r="BD174" s="136" t="str">
        <f aca="false">IF($BR174&lt;&gt;Constants!$B$8,"",Constants!$B$25*ABS($AD$9-IF($AL174,$AM174,0)))</f>
        <v/>
      </c>
      <c r="BE174" s="136" t="str">
        <f aca="false">IF($BR174&lt;&gt;Constants!$B$8,"",IF(AND($AL174,$AQ174,$AO174),Constants!$B$27,0))</f>
        <v/>
      </c>
      <c r="BF174" s="136" t="str">
        <f aca="false">IF($BR174&lt;&gt;Constants!$B$8,"",IF($AL174,($AI174-Constants!$B$29)*Constants!$B$28,0))</f>
        <v/>
      </c>
      <c r="BG174" s="136" t="str">
        <f aca="false">IF($BR174&lt;&gt;Constants!$B$8,"",IF($AK174,0,Constants!$B$15)+IF($AJ174,0,Constants!$B$16)+IF($AH174,0,Constants!$B$17))</f>
        <v/>
      </c>
      <c r="BH174" s="137" t="str">
        <f aca="false">IF($BR174&lt;&gt;Constants!$B$8,"",Constants!$B$20+SUM($BC174:$BG174))</f>
        <v/>
      </c>
      <c r="BI174" s="133" t="str">
        <f aca="false">IF($BR174&lt;&gt;Constants!$B$8,"",IF(OR($BP174&lt;$BH174,AND($BP174=$BH174,OR($BK174&lt;$BC174,AND($BK174=$BC174,OR($BL174&lt;$BD174,AND($BL174=$BD174,$AT174,$AL174,$AV174&lt;$AN174)))))),"-&gt;","&lt;-"))</f>
        <v/>
      </c>
      <c r="BJ174" s="132" t="str">
        <f aca="false">IF(ISBLANK($C174),"",AND($AT174,OR($AU174="",$AV174="",AND($AW174,$AX174=""))))</f>
        <v/>
      </c>
      <c r="BK174" s="135" t="str">
        <f aca="false">IF($BR174&lt;&gt;Constants!$B$8,"",IF($AT174,Constants!$B$21*$AV174+Constants!$B$22*IF($AW174,$AX174,Constants!$B$23),Constants!$B$24))</f>
        <v/>
      </c>
      <c r="BL174" s="136" t="str">
        <f aca="false">IF($BR174&lt;&gt;Constants!$B$8,"",Constants!$B$25*ABS($AD$9-IF($AT174,$AU174,0)))</f>
        <v/>
      </c>
      <c r="BM174" s="136" t="str">
        <f aca="false">IF($BR174&lt;&gt;Constants!$B$8,"",IF(AND($AT174,$AY174,$AW174),Constants!$B$27,0))</f>
        <v/>
      </c>
      <c r="BN174" s="136" t="str">
        <f aca="false">IF($BR174&lt;&gt;Constants!$B$8,"",IF($AT174,($AI174-Constants!$B$29)*Constants!$B$28,0))</f>
        <v/>
      </c>
      <c r="BO174" s="136" t="str">
        <f aca="false">IF($BR174&lt;&gt;Constants!$B$8,"",IF($AS174,0,Constants!$B$15)+IF($AR174,0,Constants!$B$16)+IF($AH174,0,Constants!$B$17))</f>
        <v/>
      </c>
      <c r="BP174" s="137" t="str">
        <f aca="false">IF($BR174&lt;&gt;Constants!$B$8,"",Constants!$B$20+SUM($BK174:$BO174))</f>
        <v/>
      </c>
      <c r="BQ174" s="133" t="str">
        <f aca="false">IF(ISBLANK($C174),"",IF(ISBLANK($D$7),$BQ$5,IF(NOT(ISNUMBER($D$7)),$BQ$6,"")))</f>
        <v/>
      </c>
      <c r="BR174" s="133" t="str">
        <f aca="false">IF(ISBLANK($C174),"",IF($BA174,Constants!$B$11,IF(COUNTA($E174:$AA174)=0,Constants!$B$10,IF(NOT($AG174),Constants!$B$9,IF(OR($BQ174&lt;&gt;"",$BB174,$BJ174),Constants!$B$12,Constants!$B$8)))))</f>
        <v/>
      </c>
      <c r="BS174" s="133" t="str">
        <f aca="false">IF(ISBLANK($C174),"",IF($BR174&lt;&gt;Constants!$B$8,$BR174,Constants!$B$13))</f>
        <v/>
      </c>
      <c r="BT174" s="136" t="str">
        <f aca="false">IF($BR174&lt;&gt;Constants!$B$8,"",IF($BI174="-&gt;",$BP174,$BH174))</f>
        <v/>
      </c>
      <c r="BU174" s="136" t="str">
        <f aca="false">IF($BR174&lt;&gt;Constants!$B$8,"",IF($AF174,0,Constants!$B$18))</f>
        <v/>
      </c>
      <c r="BV174" s="136" t="str">
        <f aca="false">IF($BR174&lt;&gt;Constants!$B$8,"",((Constants!$B$31-$AZ174)-Constants!$B$31)/Constants!$B$32)</f>
        <v/>
      </c>
      <c r="BW174" s="136" t="str">
        <f aca="false">IF(ISBLANK($C174),"",IF($BR174&lt;&gt;Constants!$B$8,$BR174,SUM($BT174:$BV174)))</f>
        <v/>
      </c>
      <c r="BX174" s="133" t="str">
        <f aca="false">IF(ISBLANK($C174),"",IF($BR174&lt;&gt;Constants!$B$8,$BR174,RANK($BW174,$BW$9:$BW$508,1)))</f>
        <v/>
      </c>
      <c r="BY174" s="136" t="str">
        <f aca="false">IF($BR174&lt;&gt;Constants!$B$8,"",IF($BI174="-&gt;",$BK174,$BC174))</f>
        <v/>
      </c>
      <c r="BZ174" s="133" t="str">
        <f aca="false">IF(ISBLANK($C174),"",IF($BR174&lt;&gt;Constants!$B$8,$BR174,IF(ISNUMBER($BY174),RANK($BY174,$BY$9:$BY$508,1),COUNT($BY$9:$BY$508)+1)))</f>
        <v/>
      </c>
      <c r="CA174" s="136" t="str">
        <f aca="false">IF($BR174&lt;&gt;Constants!$B$8,"",IF($BI174="-&gt;",$BL174,$BD174))</f>
        <v/>
      </c>
      <c r="CB174" s="133" t="str">
        <f aca="false">IF(ISBLANK($C174),"",IF($BR174&lt;&gt;Constants!$B$8,$BR174,IF(ISNUMBER($CA174),RANK($CA174,$CA$9:$CA$508,1),COUNT($CA$9:$CA$508)+1)))</f>
        <v/>
      </c>
      <c r="CC174" s="136" t="str">
        <f aca="false">IF($BR174&lt;&gt;Constants!$B$8,"",IF($BI174="-&gt;",IF($AT174,$AV174,""),IF($AL174,$AN174,"")))</f>
        <v/>
      </c>
      <c r="CD174" s="133" t="str">
        <f aca="false">IF(ISBLANK($C174),"",IF($BR174&lt;&gt;Constants!$B$8,$BR174,IF(ISNUMBER($CC174),RANK($CC174,$CC$9:$CC$508,1),COUNT($CC$9:$CC$508)+1)))</f>
        <v/>
      </c>
      <c r="CE174" s="136" t="str">
        <f aca="false">IF($BR174&lt;&gt;Constants!$B$8,"",IF(AND(NOT($AL174),NOT($AT174),$AJ174,$AK174,$AR174,$AS174),"",$AI174))</f>
        <v/>
      </c>
      <c r="CF174" s="133" t="str">
        <f aca="false">IF(ISBLANK($C174),"",IF($BR174&lt;&gt;Constants!$B$8,$BR174,IF(ISNUMBER($CE174),RANK($CE174,$CE$9:$CE$508,1),COUNT($CE$9:$CE$508)+1)))</f>
        <v/>
      </c>
      <c r="CG174" s="133" t="str">
        <f aca="false">IF(ISBLANK($C174),"",IF($BR174&lt;&gt;Constants!$B$8,$BR174,COUNTIFS($BX$9:$BX$508,"&lt;"&amp;$BX174)+COUNTIFS($BX$9:$BX$508,$BX174,$BZ$9:$BZ$508,"&lt;"&amp;$BZ174)+COUNTIFS($BX$9:$BX$508,$BX174,$BZ$9:$BZ$508,$BZ174,$CB$9:$CB$508,"&lt;"&amp;$CB174)+COUNTIFS($BX$9:$BX$508,$BX174,$BZ$9:$BZ$508,$BZ174,$CB$9:$CB$508,$CB174,$CD$9:$CD$508,"&lt;"&amp;$CD174)+COUNTIFS($BX$9:$BX$508,$BX174,$BZ$9:$BZ$508,$BZ174,$CB$9:$CB$508,$CB174,$CD$9:$CD$508,$CD174,$CF$9:$CF$508,"&lt;"&amp;$CF174)+1))</f>
        <v/>
      </c>
      <c r="CH174" s="133" t="str">
        <f aca="false">IF(ISBLANK($C174),"",IF($BR174&lt;&gt;Constants!$B$8,$BR174,$BX174-$CG174))</f>
        <v/>
      </c>
      <c r="CI174" s="138"/>
      <c r="CJ174" s="139"/>
      <c r="CK174" s="140" t="str">
        <f aca="false">IF(ISBLANK($C174),"",IF($BR174=Constants!$B$12,$BQ174,""))</f>
        <v/>
      </c>
      <c r="CL174" s="139" t="str">
        <f aca="false">IF(ISBLANK($C174),"",IF($BR174&lt;&gt;Constants!$B$8,"",IF($BI174="-&gt;",2,1)))</f>
        <v/>
      </c>
      <c r="CM174" s="141" t="str">
        <f aca="false">IF(ISBLANK($C174),"",IF($BR174&lt;&gt;Constants!$B$8,"",IF($BI174="-&gt;",$BK174,$BC174)))</f>
        <v/>
      </c>
      <c r="CN174" s="141" t="str">
        <f aca="false">IF(ISBLANK($C174),"",IF($BR174&lt;&gt;Constants!$B$8,"",IF($BI174="-&gt;",$BL174,$BD174)))</f>
        <v/>
      </c>
      <c r="CO174" s="141" t="str">
        <f aca="false">IF(ISBLANK($C174),"",IF($BR174&lt;&gt;Constants!$B$8,"",IF($BI174="-&gt;",$BM174+$BN174,$BE174+$BF174)+$BV174))</f>
        <v/>
      </c>
      <c r="CP174" s="141" t="str">
        <f aca="false">IF(ISBLANK($C174),"",IF($BR174&lt;&gt;Constants!$B$8,"",IF($BI174="-&gt;",$BO174,$BG174)+$BU174))</f>
        <v/>
      </c>
      <c r="CQ174" s="142" t="str">
        <f aca="false">IF(ISBLANK($C174),"",IF($BR174&lt;&gt;Constants!$B$8,$BR174,$BW174))</f>
        <v/>
      </c>
      <c r="CR174" s="143" t="str">
        <f aca="false">IF(ISBLANK($C174),"",$BS174)</f>
        <v/>
      </c>
      <c r="CS174" s="144" t="str">
        <f aca="false">IF(ISBLANK($C174),"",$CH174)</f>
        <v/>
      </c>
      <c r="CT174" s="144" t="str">
        <f aca="false">IF(ISBLANK($C174),"",$CG174)</f>
        <v/>
      </c>
      <c r="CU174" s="145" t="str">
        <f aca="false">IF(ISBLANK($C174),"",IFERROR(_xlfn.SWITCH($CT174,Constants!$B$11,COUNTA($C$9:$C$508)+2,Constants!$B$10,COUNTA($C$9:$C$508)+1,Constants!$B$9,COUNTA($C$9:$C$508)),$CT174))</f>
        <v/>
      </c>
      <c r="CV174" s="9"/>
      <c r="CW174" s="146" t="n">
        <f aca="false">IF(OR(ISNUMBER($CT174),$CT174=Constants!$B$11,$CT174=Constants!$B$9,$CT174=Constants!$B$10),1,0)</f>
        <v>0</v>
      </c>
      <c r="CX174" s="146" t="n">
        <v>166</v>
      </c>
      <c r="CY174" s="146" t="str">
        <f aca="false">IF(ISBLANK($C174),"",IF(ISNUMBER($CU174),$CU174+ROW($B174)/1000,""))</f>
        <v/>
      </c>
      <c r="CZ174" s="146" t="str">
        <f aca="false">IF(ISNUMBER($CY174),RANK($CY174,$CY$9:$CY$508,1),"")</f>
        <v/>
      </c>
      <c r="DA174" s="146" t="str">
        <f aca="false">IF(ISBLANK($C174),"",$B174)</f>
        <v/>
      </c>
      <c r="DB174" s="146" t="str">
        <f aca="false">IF(ISBLANK($C174),"",$C174)</f>
        <v/>
      </c>
      <c r="DC174" s="146" t="str">
        <f aca="false">IF(ISBLANK($C174),"",$D174)</f>
        <v/>
      </c>
      <c r="DD174" s="147" t="str">
        <f aca="false">$CR174</f>
        <v/>
      </c>
      <c r="DE174" s="148" t="str">
        <f aca="false">$CQ174</f>
        <v/>
      </c>
      <c r="DF174" s="146" t="str">
        <f aca="false">IF(ISBLANK($C174),"",$CT174)</f>
        <v/>
      </c>
      <c r="DG174" s="149" t="str">
        <f aca="false">IF($CX174&gt;$CW$8,"",VLOOKUP($CX174,$CZ$9:$DF$508,7,FALSE()))</f>
        <v/>
      </c>
      <c r="DH174" s="150" t="str">
        <f aca="false">IF($CX174&gt;$CW$8,"",VLOOKUP($CX174,$CZ$9:$DF$508,2,FALSE()))</f>
        <v/>
      </c>
      <c r="DI174" s="150" t="str">
        <f aca="false">IF($CX174&gt;$CW$8,"",VLOOKUP($CX174,$CZ$9:$DF$508,3,FALSE()))</f>
        <v/>
      </c>
      <c r="DJ174" s="150" t="str">
        <f aca="false">IF($CX174&gt;$CW$8,"",VLOOKUP($CX174,$CZ$9:$DF$508,4,FALSE()))</f>
        <v/>
      </c>
      <c r="DK174" s="150" t="str">
        <f aca="false">IF($CX174&gt;$CW$8,"",VLOOKUP($CX174,$CZ$9:$DF$508,5,FALSE()))</f>
        <v/>
      </c>
      <c r="DL174" s="151" t="str">
        <f aca="false">IF($CX174&gt;$CW$8,"",VLOOKUP($CX174,$CZ$9:$DF$508,6,FALSE()))</f>
        <v/>
      </c>
      <c r="DM174" s="75"/>
    </row>
    <row r="175" customFormat="false" ht="15.75" hidden="false" customHeight="false" outlineLevel="0" collapsed="false">
      <c r="A175" s="9"/>
      <c r="B175" s="157"/>
      <c r="C175" s="158"/>
      <c r="D175" s="159"/>
      <c r="E175" s="177"/>
      <c r="F175" s="161"/>
      <c r="G175" s="162"/>
      <c r="H175" s="162"/>
      <c r="I175" s="178"/>
      <c r="J175" s="165"/>
      <c r="K175" s="126"/>
      <c r="L175" s="127"/>
      <c r="M175" s="128"/>
      <c r="N175" s="165"/>
      <c r="O175" s="165"/>
      <c r="P175" s="177"/>
      <c r="Q175" s="165"/>
      <c r="R175" s="165"/>
      <c r="S175" s="126"/>
      <c r="T175" s="128"/>
      <c r="U175" s="128"/>
      <c r="V175" s="165"/>
      <c r="W175" s="165"/>
      <c r="X175" s="177"/>
      <c r="Y175" s="165"/>
      <c r="Z175" s="166"/>
      <c r="AA175" s="165"/>
      <c r="AB175" s="132"/>
      <c r="AC175" s="133"/>
      <c r="AD175" s="133"/>
      <c r="AE175" s="133"/>
      <c r="AF175" s="133" t="str">
        <f aca="false">IF(ISBLANK($C175),"",IF(E175=Constants!$B$3,TRUE(),IF(E175=Constants!$B$4,FALSE(),TRUE())))</f>
        <v/>
      </c>
      <c r="AG175" s="133" t="str">
        <f aca="false">IF(ISBLANK($C175),"",IF(F175=Constants!$B$3,TRUE(),IF(F175=Constants!$B$4,FALSE(),TRUE())))</f>
        <v/>
      </c>
      <c r="AH175" s="133" t="str">
        <f aca="false">IF(ISBLANK($C175),"",IF(G175=Constants!$B$3,TRUE(),IF(G175=Constants!$B$4,FALSE(),TRUE())))</f>
        <v/>
      </c>
      <c r="AI175" s="133" t="str">
        <f aca="false">IF(ISBLANK($C175),"",IF(AND(ISNUMBER(H175),H175&gt;=0),H175,Constants!$B$29))</f>
        <v/>
      </c>
      <c r="AJ175" s="133" t="str">
        <f aca="false">IF(ISBLANK($C175),"",IF(I175=Constants!$B$3,TRUE(),IF(I175=Constants!$B$4,FALSE(),TRUE())))</f>
        <v/>
      </c>
      <c r="AK175" s="133" t="str">
        <f aca="false">IF(ISBLANK($C175),"",IF(J175=Constants!$B$3,TRUE(),IF(J175=Constants!$B$4,FALSE(),TRUE())))</f>
        <v/>
      </c>
      <c r="AL175" s="133" t="str">
        <f aca="false">IF(ISBLANK($C175),"",IF(K175=Constants!$B$5,TRUE(),IF(K175=Constants!$B$6,FALSE(),COUNTA(L175:P175)&gt;0)))</f>
        <v/>
      </c>
      <c r="AM175" s="134" t="str">
        <f aca="false">IF(ISBLANK($C175),"",IF(ISNUMBER(L175),IF(L175&gt;=0,L175,""),""))</f>
        <v/>
      </c>
      <c r="AN175" s="135" t="str">
        <f aca="false">IF(ISBLANK($C175),"",IF(ISNUMBER(M175),IF(M175&gt;=0,M175,""),""))</f>
        <v/>
      </c>
      <c r="AO175" s="135" t="str">
        <f aca="false">IF(ISBLANK($C175),"",IF(N175=Constants!$B$3,TRUE(),IF(N175=Constants!$B$4,FALSE(),TRUE())))</f>
        <v/>
      </c>
      <c r="AP175" s="133" t="str">
        <f aca="false">IF(ISBLANK($C175),"",IF(ISNUMBER(O175),IF(O175&gt;=0,O175,""),""))</f>
        <v/>
      </c>
      <c r="AQ175" s="133" t="str">
        <f aca="false">IF(ISBLANK($C175),"",IF(P175=Constants!$B$3,TRUE(),IF(P175=Constants!$B$4,FALSE(),FALSE())))</f>
        <v/>
      </c>
      <c r="AR175" s="133" t="str">
        <f aca="false">IF(ISBLANK($C175),"",IF(Q175=Constants!$B$3,TRUE(),IF(Q175=Constants!$B$4,FALSE(),TRUE())))</f>
        <v/>
      </c>
      <c r="AS175" s="133" t="str">
        <f aca="false">IF(ISBLANK($C175),"",IF(R175=Constants!$B$3,TRUE(),IF(R175=Constants!$B$4,FALSE(),TRUE())))</f>
        <v/>
      </c>
      <c r="AT175" s="133" t="str">
        <f aca="false">IF(ISBLANK($C175),"",IF(S175=Constants!$B$5,TRUE(),IF(S175=Constants!$B$6,FALSE(),COUNTA(T175:X175)&gt;0)))</f>
        <v/>
      </c>
      <c r="AU175" s="134" t="str">
        <f aca="false">IF(ISBLANK($C175),"",IF(ISNUMBER(T175),IF(T175&gt;=0,T175,""),""))</f>
        <v/>
      </c>
      <c r="AV175" s="135" t="str">
        <f aca="false">IF(ISBLANK($C175),"",IF(ISNUMBER(U175),IF(U175&gt;=0,U175,""),""))</f>
        <v/>
      </c>
      <c r="AW175" s="135" t="str">
        <f aca="false">IF(ISBLANK($C175),"",IF(V175=Constants!$B$3,TRUE(),IF(V175=Constants!$B$4,FALSE(),TRUE())))</f>
        <v/>
      </c>
      <c r="AX175" s="133" t="str">
        <f aca="false">IF(ISBLANK($C175),"",IF(ISNUMBER(W175),IF(W175&gt;=0,W175,""),""))</f>
        <v/>
      </c>
      <c r="AY175" s="133" t="str">
        <f aca="false">IF(ISBLANK($C175),"",IF(X175=Constants!$B$3,TRUE(),IF(X175=Constants!$B$4,FALSE(),FALSE())))</f>
        <v/>
      </c>
      <c r="AZ175" s="133" t="str">
        <f aca="false">IF(ISBLANK($C175),"",MIN(Constants!$B$31,MAX(0,IF(ISNUMBER(Y175),Y175*60,0)+IF(ISNUMBER(Z175),Z175,0))))</f>
        <v/>
      </c>
      <c r="BA175" s="133" t="str">
        <f aca="false">IF(ISBLANK($C175),"",IF(AA175=Constants!$B$3,TRUE(),IF(AA175=Constants!$B$4,FALSE(),FALSE())))</f>
        <v/>
      </c>
      <c r="BB175" s="132" t="str">
        <f aca="false">IF(ISBLANK($C175),"",AND($AL175,OR($AM175="",$AN175="",AND($AO175,$AP175=""))))</f>
        <v/>
      </c>
      <c r="BC175" s="135" t="str">
        <f aca="false">IF($BR175&lt;&gt;Constants!$B$8,"",IF($AL175,Constants!$B$21*$AN175+Constants!$B$22*IF($AO175,$AP175,Constants!$B$23),Constants!$B$24))</f>
        <v/>
      </c>
      <c r="BD175" s="136" t="str">
        <f aca="false">IF($BR175&lt;&gt;Constants!$B$8,"",Constants!$B$25*ABS($AD$9-IF($AL175,$AM175,0)))</f>
        <v/>
      </c>
      <c r="BE175" s="136" t="str">
        <f aca="false">IF($BR175&lt;&gt;Constants!$B$8,"",IF(AND($AL175,$AQ175,$AO175),Constants!$B$27,0))</f>
        <v/>
      </c>
      <c r="BF175" s="136" t="str">
        <f aca="false">IF($BR175&lt;&gt;Constants!$B$8,"",IF($AL175,($AI175-Constants!$B$29)*Constants!$B$28,0))</f>
        <v/>
      </c>
      <c r="BG175" s="136" t="str">
        <f aca="false">IF($BR175&lt;&gt;Constants!$B$8,"",IF($AK175,0,Constants!$B$15)+IF($AJ175,0,Constants!$B$16)+IF($AH175,0,Constants!$B$17))</f>
        <v/>
      </c>
      <c r="BH175" s="137" t="str">
        <f aca="false">IF($BR175&lt;&gt;Constants!$B$8,"",Constants!$B$20+SUM($BC175:$BG175))</f>
        <v/>
      </c>
      <c r="BI175" s="133" t="str">
        <f aca="false">IF($BR175&lt;&gt;Constants!$B$8,"",IF(OR($BP175&lt;$BH175,AND($BP175=$BH175,OR($BK175&lt;$BC175,AND($BK175=$BC175,OR($BL175&lt;$BD175,AND($BL175=$BD175,$AT175,$AL175,$AV175&lt;$AN175)))))),"-&gt;","&lt;-"))</f>
        <v/>
      </c>
      <c r="BJ175" s="132" t="str">
        <f aca="false">IF(ISBLANK($C175),"",AND($AT175,OR($AU175="",$AV175="",AND($AW175,$AX175=""))))</f>
        <v/>
      </c>
      <c r="BK175" s="135" t="str">
        <f aca="false">IF($BR175&lt;&gt;Constants!$B$8,"",IF($AT175,Constants!$B$21*$AV175+Constants!$B$22*IF($AW175,$AX175,Constants!$B$23),Constants!$B$24))</f>
        <v/>
      </c>
      <c r="BL175" s="136" t="str">
        <f aca="false">IF($BR175&lt;&gt;Constants!$B$8,"",Constants!$B$25*ABS($AD$9-IF($AT175,$AU175,0)))</f>
        <v/>
      </c>
      <c r="BM175" s="136" t="str">
        <f aca="false">IF($BR175&lt;&gt;Constants!$B$8,"",IF(AND($AT175,$AY175,$AW175),Constants!$B$27,0))</f>
        <v/>
      </c>
      <c r="BN175" s="136" t="str">
        <f aca="false">IF($BR175&lt;&gt;Constants!$B$8,"",IF($AT175,($AI175-Constants!$B$29)*Constants!$B$28,0))</f>
        <v/>
      </c>
      <c r="BO175" s="136" t="str">
        <f aca="false">IF($BR175&lt;&gt;Constants!$B$8,"",IF($AS175,0,Constants!$B$15)+IF($AR175,0,Constants!$B$16)+IF($AH175,0,Constants!$B$17))</f>
        <v/>
      </c>
      <c r="BP175" s="137" t="str">
        <f aca="false">IF($BR175&lt;&gt;Constants!$B$8,"",Constants!$B$20+SUM($BK175:$BO175))</f>
        <v/>
      </c>
      <c r="BQ175" s="133" t="str">
        <f aca="false">IF(ISBLANK($C175),"",IF(ISBLANK($D$7),$BQ$5,IF(NOT(ISNUMBER($D$7)),$BQ$6,"")))</f>
        <v/>
      </c>
      <c r="BR175" s="133" t="str">
        <f aca="false">IF(ISBLANK($C175),"",IF($BA175,Constants!$B$11,IF(COUNTA($E175:$AA175)=0,Constants!$B$10,IF(NOT($AG175),Constants!$B$9,IF(OR($BQ175&lt;&gt;"",$BB175,$BJ175),Constants!$B$12,Constants!$B$8)))))</f>
        <v/>
      </c>
      <c r="BS175" s="133" t="str">
        <f aca="false">IF(ISBLANK($C175),"",IF($BR175&lt;&gt;Constants!$B$8,$BR175,Constants!$B$13))</f>
        <v/>
      </c>
      <c r="BT175" s="136" t="str">
        <f aca="false">IF($BR175&lt;&gt;Constants!$B$8,"",IF($BI175="-&gt;",$BP175,$BH175))</f>
        <v/>
      </c>
      <c r="BU175" s="136" t="str">
        <f aca="false">IF($BR175&lt;&gt;Constants!$B$8,"",IF($AF175,0,Constants!$B$18))</f>
        <v/>
      </c>
      <c r="BV175" s="136" t="str">
        <f aca="false">IF($BR175&lt;&gt;Constants!$B$8,"",((Constants!$B$31-$AZ175)-Constants!$B$31)/Constants!$B$32)</f>
        <v/>
      </c>
      <c r="BW175" s="136" t="str">
        <f aca="false">IF(ISBLANK($C175),"",IF($BR175&lt;&gt;Constants!$B$8,$BR175,SUM($BT175:$BV175)))</f>
        <v/>
      </c>
      <c r="BX175" s="133" t="str">
        <f aca="false">IF(ISBLANK($C175),"",IF($BR175&lt;&gt;Constants!$B$8,$BR175,RANK($BW175,$BW$9:$BW$508,1)))</f>
        <v/>
      </c>
      <c r="BY175" s="136" t="str">
        <f aca="false">IF($BR175&lt;&gt;Constants!$B$8,"",IF($BI175="-&gt;",$BK175,$BC175))</f>
        <v/>
      </c>
      <c r="BZ175" s="133" t="str">
        <f aca="false">IF(ISBLANK($C175),"",IF($BR175&lt;&gt;Constants!$B$8,$BR175,IF(ISNUMBER($BY175),RANK($BY175,$BY$9:$BY$508,1),COUNT($BY$9:$BY$508)+1)))</f>
        <v/>
      </c>
      <c r="CA175" s="136" t="str">
        <f aca="false">IF($BR175&lt;&gt;Constants!$B$8,"",IF($BI175="-&gt;",$BL175,$BD175))</f>
        <v/>
      </c>
      <c r="CB175" s="133" t="str">
        <f aca="false">IF(ISBLANK($C175),"",IF($BR175&lt;&gt;Constants!$B$8,$BR175,IF(ISNUMBER($CA175),RANK($CA175,$CA$9:$CA$508,1),COUNT($CA$9:$CA$508)+1)))</f>
        <v/>
      </c>
      <c r="CC175" s="136" t="str">
        <f aca="false">IF($BR175&lt;&gt;Constants!$B$8,"",IF($BI175="-&gt;",IF($AT175,$AV175,""),IF($AL175,$AN175,"")))</f>
        <v/>
      </c>
      <c r="CD175" s="133" t="str">
        <f aca="false">IF(ISBLANK($C175),"",IF($BR175&lt;&gt;Constants!$B$8,$BR175,IF(ISNUMBER($CC175),RANK($CC175,$CC$9:$CC$508,1),COUNT($CC$9:$CC$508)+1)))</f>
        <v/>
      </c>
      <c r="CE175" s="136" t="str">
        <f aca="false">IF($BR175&lt;&gt;Constants!$B$8,"",IF(AND(NOT($AL175),NOT($AT175),$AJ175,$AK175,$AR175,$AS175),"",$AI175))</f>
        <v/>
      </c>
      <c r="CF175" s="133" t="str">
        <f aca="false">IF(ISBLANK($C175),"",IF($BR175&lt;&gt;Constants!$B$8,$BR175,IF(ISNUMBER($CE175),RANK($CE175,$CE$9:$CE$508,1),COUNT($CE$9:$CE$508)+1)))</f>
        <v/>
      </c>
      <c r="CG175" s="133" t="str">
        <f aca="false">IF(ISBLANK($C175),"",IF($BR175&lt;&gt;Constants!$B$8,$BR175,COUNTIFS($BX$9:$BX$508,"&lt;"&amp;$BX175)+COUNTIFS($BX$9:$BX$508,$BX175,$BZ$9:$BZ$508,"&lt;"&amp;$BZ175)+COUNTIFS($BX$9:$BX$508,$BX175,$BZ$9:$BZ$508,$BZ175,$CB$9:$CB$508,"&lt;"&amp;$CB175)+COUNTIFS($BX$9:$BX$508,$BX175,$BZ$9:$BZ$508,$BZ175,$CB$9:$CB$508,$CB175,$CD$9:$CD$508,"&lt;"&amp;$CD175)+COUNTIFS($BX$9:$BX$508,$BX175,$BZ$9:$BZ$508,$BZ175,$CB$9:$CB$508,$CB175,$CD$9:$CD$508,$CD175,$CF$9:$CF$508,"&lt;"&amp;$CF175)+1))</f>
        <v/>
      </c>
      <c r="CH175" s="133" t="str">
        <f aca="false">IF(ISBLANK($C175),"",IF($BR175&lt;&gt;Constants!$B$8,$BR175,$BX175-$CG175))</f>
        <v/>
      </c>
      <c r="CI175" s="138"/>
      <c r="CJ175" s="139"/>
      <c r="CK175" s="140" t="str">
        <f aca="false">IF(ISBLANK($C175),"",IF($BR175=Constants!$B$12,$BQ175,""))</f>
        <v/>
      </c>
      <c r="CL175" s="139" t="str">
        <f aca="false">IF(ISBLANK($C175),"",IF($BR175&lt;&gt;Constants!$B$8,"",IF($BI175="-&gt;",2,1)))</f>
        <v/>
      </c>
      <c r="CM175" s="141" t="str">
        <f aca="false">IF(ISBLANK($C175),"",IF($BR175&lt;&gt;Constants!$B$8,"",IF($BI175="-&gt;",$BK175,$BC175)))</f>
        <v/>
      </c>
      <c r="CN175" s="141" t="str">
        <f aca="false">IF(ISBLANK($C175),"",IF($BR175&lt;&gt;Constants!$B$8,"",IF($BI175="-&gt;",$BL175,$BD175)))</f>
        <v/>
      </c>
      <c r="CO175" s="141" t="str">
        <f aca="false">IF(ISBLANK($C175),"",IF($BR175&lt;&gt;Constants!$B$8,"",IF($BI175="-&gt;",$BM175+$BN175,$BE175+$BF175)+$BV175))</f>
        <v/>
      </c>
      <c r="CP175" s="141" t="str">
        <f aca="false">IF(ISBLANK($C175),"",IF($BR175&lt;&gt;Constants!$B$8,"",IF($BI175="-&gt;",$BO175,$BG175)+$BU175))</f>
        <v/>
      </c>
      <c r="CQ175" s="142" t="str">
        <f aca="false">IF(ISBLANK($C175),"",IF($BR175&lt;&gt;Constants!$B$8,$BR175,$BW175))</f>
        <v/>
      </c>
      <c r="CR175" s="143" t="str">
        <f aca="false">IF(ISBLANK($C175),"",$BS175)</f>
        <v/>
      </c>
      <c r="CS175" s="144" t="str">
        <f aca="false">IF(ISBLANK($C175),"",$CH175)</f>
        <v/>
      </c>
      <c r="CT175" s="144" t="str">
        <f aca="false">IF(ISBLANK($C175),"",$CG175)</f>
        <v/>
      </c>
      <c r="CU175" s="145" t="str">
        <f aca="false">IF(ISBLANK($C175),"",IFERROR(_xlfn.SWITCH($CT175,Constants!$B$11,COUNTA($C$9:$C$508)+2,Constants!$B$10,COUNTA($C$9:$C$508)+1,Constants!$B$9,COUNTA($C$9:$C$508)),$CT175))</f>
        <v/>
      </c>
      <c r="CV175" s="9"/>
      <c r="CW175" s="146" t="n">
        <f aca="false">IF(OR(ISNUMBER($CT175),$CT175=Constants!$B$11,$CT175=Constants!$B$9,$CT175=Constants!$B$10),1,0)</f>
        <v>0</v>
      </c>
      <c r="CX175" s="146" t="n">
        <v>167</v>
      </c>
      <c r="CY175" s="146" t="str">
        <f aca="false">IF(ISBLANK($C175),"",IF(ISNUMBER($CU175),$CU175+ROW($B175)/1000,""))</f>
        <v/>
      </c>
      <c r="CZ175" s="146" t="str">
        <f aca="false">IF(ISNUMBER($CY175),RANK($CY175,$CY$9:$CY$508,1),"")</f>
        <v/>
      </c>
      <c r="DA175" s="146" t="str">
        <f aca="false">IF(ISBLANK($C175),"",$B175)</f>
        <v/>
      </c>
      <c r="DB175" s="146" t="str">
        <f aca="false">IF(ISBLANK($C175),"",$C175)</f>
        <v/>
      </c>
      <c r="DC175" s="146" t="str">
        <f aca="false">IF(ISBLANK($C175),"",$D175)</f>
        <v/>
      </c>
      <c r="DD175" s="147" t="str">
        <f aca="false">$CR175</f>
        <v/>
      </c>
      <c r="DE175" s="148" t="str">
        <f aca="false">$CQ175</f>
        <v/>
      </c>
      <c r="DF175" s="146" t="str">
        <f aca="false">IF(ISBLANK($C175),"",$CT175)</f>
        <v/>
      </c>
      <c r="DG175" s="149" t="str">
        <f aca="false">IF($CX175&gt;$CW$8,"",VLOOKUP($CX175,$CZ$9:$DF$508,7,FALSE()))</f>
        <v/>
      </c>
      <c r="DH175" s="150" t="str">
        <f aca="false">IF($CX175&gt;$CW$8,"",VLOOKUP($CX175,$CZ$9:$DF$508,2,FALSE()))</f>
        <v/>
      </c>
      <c r="DI175" s="150" t="str">
        <f aca="false">IF($CX175&gt;$CW$8,"",VLOOKUP($CX175,$CZ$9:$DF$508,3,FALSE()))</f>
        <v/>
      </c>
      <c r="DJ175" s="150" t="str">
        <f aca="false">IF($CX175&gt;$CW$8,"",VLOOKUP($CX175,$CZ$9:$DF$508,4,FALSE()))</f>
        <v/>
      </c>
      <c r="DK175" s="150" t="str">
        <f aca="false">IF($CX175&gt;$CW$8,"",VLOOKUP($CX175,$CZ$9:$DF$508,5,FALSE()))</f>
        <v/>
      </c>
      <c r="DL175" s="151" t="str">
        <f aca="false">IF($CX175&gt;$CW$8,"",VLOOKUP($CX175,$CZ$9:$DF$508,6,FALSE()))</f>
        <v/>
      </c>
      <c r="DM175" s="75"/>
    </row>
    <row r="176" customFormat="false" ht="15.75" hidden="false" customHeight="false" outlineLevel="0" collapsed="false">
      <c r="A176" s="9"/>
      <c r="B176" s="157"/>
      <c r="C176" s="158"/>
      <c r="D176" s="159"/>
      <c r="E176" s="177"/>
      <c r="F176" s="161"/>
      <c r="G176" s="162"/>
      <c r="H176" s="162"/>
      <c r="I176" s="178"/>
      <c r="J176" s="165"/>
      <c r="K176" s="126"/>
      <c r="L176" s="127"/>
      <c r="M176" s="128"/>
      <c r="N176" s="165"/>
      <c r="O176" s="165"/>
      <c r="P176" s="177"/>
      <c r="Q176" s="165"/>
      <c r="R176" s="165"/>
      <c r="S176" s="126"/>
      <c r="T176" s="128"/>
      <c r="U176" s="128"/>
      <c r="V176" s="165"/>
      <c r="W176" s="165"/>
      <c r="X176" s="177"/>
      <c r="Y176" s="165"/>
      <c r="Z176" s="166"/>
      <c r="AA176" s="165"/>
      <c r="AB176" s="132"/>
      <c r="AC176" s="133"/>
      <c r="AD176" s="133"/>
      <c r="AE176" s="133"/>
      <c r="AF176" s="133" t="str">
        <f aca="false">IF(ISBLANK($C176),"",IF(E176=Constants!$B$3,TRUE(),IF(E176=Constants!$B$4,FALSE(),TRUE())))</f>
        <v/>
      </c>
      <c r="AG176" s="133" t="str">
        <f aca="false">IF(ISBLANK($C176),"",IF(F176=Constants!$B$3,TRUE(),IF(F176=Constants!$B$4,FALSE(),TRUE())))</f>
        <v/>
      </c>
      <c r="AH176" s="133" t="str">
        <f aca="false">IF(ISBLANK($C176),"",IF(G176=Constants!$B$3,TRUE(),IF(G176=Constants!$B$4,FALSE(),TRUE())))</f>
        <v/>
      </c>
      <c r="AI176" s="133" t="str">
        <f aca="false">IF(ISBLANK($C176),"",IF(AND(ISNUMBER(H176),H176&gt;=0),H176,Constants!$B$29))</f>
        <v/>
      </c>
      <c r="AJ176" s="133" t="str">
        <f aca="false">IF(ISBLANK($C176),"",IF(I176=Constants!$B$3,TRUE(),IF(I176=Constants!$B$4,FALSE(),TRUE())))</f>
        <v/>
      </c>
      <c r="AK176" s="133" t="str">
        <f aca="false">IF(ISBLANK($C176),"",IF(J176=Constants!$B$3,TRUE(),IF(J176=Constants!$B$4,FALSE(),TRUE())))</f>
        <v/>
      </c>
      <c r="AL176" s="133" t="str">
        <f aca="false">IF(ISBLANK($C176),"",IF(K176=Constants!$B$5,TRUE(),IF(K176=Constants!$B$6,FALSE(),COUNTA(L176:P176)&gt;0)))</f>
        <v/>
      </c>
      <c r="AM176" s="134" t="str">
        <f aca="false">IF(ISBLANK($C176),"",IF(ISNUMBER(L176),IF(L176&gt;=0,L176,""),""))</f>
        <v/>
      </c>
      <c r="AN176" s="135" t="str">
        <f aca="false">IF(ISBLANK($C176),"",IF(ISNUMBER(M176),IF(M176&gt;=0,M176,""),""))</f>
        <v/>
      </c>
      <c r="AO176" s="135" t="str">
        <f aca="false">IF(ISBLANK($C176),"",IF(N176=Constants!$B$3,TRUE(),IF(N176=Constants!$B$4,FALSE(),TRUE())))</f>
        <v/>
      </c>
      <c r="AP176" s="133" t="str">
        <f aca="false">IF(ISBLANK($C176),"",IF(ISNUMBER(O176),IF(O176&gt;=0,O176,""),""))</f>
        <v/>
      </c>
      <c r="AQ176" s="133" t="str">
        <f aca="false">IF(ISBLANK($C176),"",IF(P176=Constants!$B$3,TRUE(),IF(P176=Constants!$B$4,FALSE(),FALSE())))</f>
        <v/>
      </c>
      <c r="AR176" s="133" t="str">
        <f aca="false">IF(ISBLANK($C176),"",IF(Q176=Constants!$B$3,TRUE(),IF(Q176=Constants!$B$4,FALSE(),TRUE())))</f>
        <v/>
      </c>
      <c r="AS176" s="133" t="str">
        <f aca="false">IF(ISBLANK($C176),"",IF(R176=Constants!$B$3,TRUE(),IF(R176=Constants!$B$4,FALSE(),TRUE())))</f>
        <v/>
      </c>
      <c r="AT176" s="133" t="str">
        <f aca="false">IF(ISBLANK($C176),"",IF(S176=Constants!$B$5,TRUE(),IF(S176=Constants!$B$6,FALSE(),COUNTA(T176:X176)&gt;0)))</f>
        <v/>
      </c>
      <c r="AU176" s="134" t="str">
        <f aca="false">IF(ISBLANK($C176),"",IF(ISNUMBER(T176),IF(T176&gt;=0,T176,""),""))</f>
        <v/>
      </c>
      <c r="AV176" s="135" t="str">
        <f aca="false">IF(ISBLANK($C176),"",IF(ISNUMBER(U176),IF(U176&gt;=0,U176,""),""))</f>
        <v/>
      </c>
      <c r="AW176" s="135" t="str">
        <f aca="false">IF(ISBLANK($C176),"",IF(V176=Constants!$B$3,TRUE(),IF(V176=Constants!$B$4,FALSE(),TRUE())))</f>
        <v/>
      </c>
      <c r="AX176" s="133" t="str">
        <f aca="false">IF(ISBLANK($C176),"",IF(ISNUMBER(W176),IF(W176&gt;=0,W176,""),""))</f>
        <v/>
      </c>
      <c r="AY176" s="133" t="str">
        <f aca="false">IF(ISBLANK($C176),"",IF(X176=Constants!$B$3,TRUE(),IF(X176=Constants!$B$4,FALSE(),FALSE())))</f>
        <v/>
      </c>
      <c r="AZ176" s="133" t="str">
        <f aca="false">IF(ISBLANK($C176),"",MIN(Constants!$B$31,MAX(0,IF(ISNUMBER(Y176),Y176*60,0)+IF(ISNUMBER(Z176),Z176,0))))</f>
        <v/>
      </c>
      <c r="BA176" s="133" t="str">
        <f aca="false">IF(ISBLANK($C176),"",IF(AA176=Constants!$B$3,TRUE(),IF(AA176=Constants!$B$4,FALSE(),FALSE())))</f>
        <v/>
      </c>
      <c r="BB176" s="132" t="str">
        <f aca="false">IF(ISBLANK($C176),"",AND($AL176,OR($AM176="",$AN176="",AND($AO176,$AP176=""))))</f>
        <v/>
      </c>
      <c r="BC176" s="135" t="str">
        <f aca="false">IF($BR176&lt;&gt;Constants!$B$8,"",IF($AL176,Constants!$B$21*$AN176+Constants!$B$22*IF($AO176,$AP176,Constants!$B$23),Constants!$B$24))</f>
        <v/>
      </c>
      <c r="BD176" s="136" t="str">
        <f aca="false">IF($BR176&lt;&gt;Constants!$B$8,"",Constants!$B$25*ABS($AD$9-IF($AL176,$AM176,0)))</f>
        <v/>
      </c>
      <c r="BE176" s="136" t="str">
        <f aca="false">IF($BR176&lt;&gt;Constants!$B$8,"",IF(AND($AL176,$AQ176,$AO176),Constants!$B$27,0))</f>
        <v/>
      </c>
      <c r="BF176" s="136" t="str">
        <f aca="false">IF($BR176&lt;&gt;Constants!$B$8,"",IF($AL176,($AI176-Constants!$B$29)*Constants!$B$28,0))</f>
        <v/>
      </c>
      <c r="BG176" s="136" t="str">
        <f aca="false">IF($BR176&lt;&gt;Constants!$B$8,"",IF($AK176,0,Constants!$B$15)+IF($AJ176,0,Constants!$B$16)+IF($AH176,0,Constants!$B$17))</f>
        <v/>
      </c>
      <c r="BH176" s="137" t="str">
        <f aca="false">IF($BR176&lt;&gt;Constants!$B$8,"",Constants!$B$20+SUM($BC176:$BG176))</f>
        <v/>
      </c>
      <c r="BI176" s="133" t="str">
        <f aca="false">IF($BR176&lt;&gt;Constants!$B$8,"",IF(OR($BP176&lt;$BH176,AND($BP176=$BH176,OR($BK176&lt;$BC176,AND($BK176=$BC176,OR($BL176&lt;$BD176,AND($BL176=$BD176,$AT176,$AL176,$AV176&lt;$AN176)))))),"-&gt;","&lt;-"))</f>
        <v/>
      </c>
      <c r="BJ176" s="132" t="str">
        <f aca="false">IF(ISBLANK($C176),"",AND($AT176,OR($AU176="",$AV176="",AND($AW176,$AX176=""))))</f>
        <v/>
      </c>
      <c r="BK176" s="135" t="str">
        <f aca="false">IF($BR176&lt;&gt;Constants!$B$8,"",IF($AT176,Constants!$B$21*$AV176+Constants!$B$22*IF($AW176,$AX176,Constants!$B$23),Constants!$B$24))</f>
        <v/>
      </c>
      <c r="BL176" s="136" t="str">
        <f aca="false">IF($BR176&lt;&gt;Constants!$B$8,"",Constants!$B$25*ABS($AD$9-IF($AT176,$AU176,0)))</f>
        <v/>
      </c>
      <c r="BM176" s="136" t="str">
        <f aca="false">IF($BR176&lt;&gt;Constants!$B$8,"",IF(AND($AT176,$AY176,$AW176),Constants!$B$27,0))</f>
        <v/>
      </c>
      <c r="BN176" s="136" t="str">
        <f aca="false">IF($BR176&lt;&gt;Constants!$B$8,"",IF($AT176,($AI176-Constants!$B$29)*Constants!$B$28,0))</f>
        <v/>
      </c>
      <c r="BO176" s="136" t="str">
        <f aca="false">IF($BR176&lt;&gt;Constants!$B$8,"",IF($AS176,0,Constants!$B$15)+IF($AR176,0,Constants!$B$16)+IF($AH176,0,Constants!$B$17))</f>
        <v/>
      </c>
      <c r="BP176" s="137" t="str">
        <f aca="false">IF($BR176&lt;&gt;Constants!$B$8,"",Constants!$B$20+SUM($BK176:$BO176))</f>
        <v/>
      </c>
      <c r="BQ176" s="133" t="str">
        <f aca="false">IF(ISBLANK($C176),"",IF(ISBLANK($D$7),$BQ$5,IF(NOT(ISNUMBER($D$7)),$BQ$6,"")))</f>
        <v/>
      </c>
      <c r="BR176" s="133" t="str">
        <f aca="false">IF(ISBLANK($C176),"",IF($BA176,Constants!$B$11,IF(COUNTA($E176:$AA176)=0,Constants!$B$10,IF(NOT($AG176),Constants!$B$9,IF(OR($BQ176&lt;&gt;"",$BB176,$BJ176),Constants!$B$12,Constants!$B$8)))))</f>
        <v/>
      </c>
      <c r="BS176" s="133" t="str">
        <f aca="false">IF(ISBLANK($C176),"",IF($BR176&lt;&gt;Constants!$B$8,$BR176,Constants!$B$13))</f>
        <v/>
      </c>
      <c r="BT176" s="136" t="str">
        <f aca="false">IF($BR176&lt;&gt;Constants!$B$8,"",IF($BI176="-&gt;",$BP176,$BH176))</f>
        <v/>
      </c>
      <c r="BU176" s="136" t="str">
        <f aca="false">IF($BR176&lt;&gt;Constants!$B$8,"",IF($AF176,0,Constants!$B$18))</f>
        <v/>
      </c>
      <c r="BV176" s="136" t="str">
        <f aca="false">IF($BR176&lt;&gt;Constants!$B$8,"",((Constants!$B$31-$AZ176)-Constants!$B$31)/Constants!$B$32)</f>
        <v/>
      </c>
      <c r="BW176" s="136" t="str">
        <f aca="false">IF(ISBLANK($C176),"",IF($BR176&lt;&gt;Constants!$B$8,$BR176,SUM($BT176:$BV176)))</f>
        <v/>
      </c>
      <c r="BX176" s="133" t="str">
        <f aca="false">IF(ISBLANK($C176),"",IF($BR176&lt;&gt;Constants!$B$8,$BR176,RANK($BW176,$BW$9:$BW$508,1)))</f>
        <v/>
      </c>
      <c r="BY176" s="136" t="str">
        <f aca="false">IF($BR176&lt;&gt;Constants!$B$8,"",IF($BI176="-&gt;",$BK176,$BC176))</f>
        <v/>
      </c>
      <c r="BZ176" s="133" t="str">
        <f aca="false">IF(ISBLANK($C176),"",IF($BR176&lt;&gt;Constants!$B$8,$BR176,IF(ISNUMBER($BY176),RANK($BY176,$BY$9:$BY$508,1),COUNT($BY$9:$BY$508)+1)))</f>
        <v/>
      </c>
      <c r="CA176" s="136" t="str">
        <f aca="false">IF($BR176&lt;&gt;Constants!$B$8,"",IF($BI176="-&gt;",$BL176,$BD176))</f>
        <v/>
      </c>
      <c r="CB176" s="133" t="str">
        <f aca="false">IF(ISBLANK($C176),"",IF($BR176&lt;&gt;Constants!$B$8,$BR176,IF(ISNUMBER($CA176),RANK($CA176,$CA$9:$CA$508,1),COUNT($CA$9:$CA$508)+1)))</f>
        <v/>
      </c>
      <c r="CC176" s="136" t="str">
        <f aca="false">IF($BR176&lt;&gt;Constants!$B$8,"",IF($BI176="-&gt;",IF($AT176,$AV176,""),IF($AL176,$AN176,"")))</f>
        <v/>
      </c>
      <c r="CD176" s="133" t="str">
        <f aca="false">IF(ISBLANK($C176),"",IF($BR176&lt;&gt;Constants!$B$8,$BR176,IF(ISNUMBER($CC176),RANK($CC176,$CC$9:$CC$508,1),COUNT($CC$9:$CC$508)+1)))</f>
        <v/>
      </c>
      <c r="CE176" s="136" t="str">
        <f aca="false">IF($BR176&lt;&gt;Constants!$B$8,"",IF(AND(NOT($AL176),NOT($AT176),$AJ176,$AK176,$AR176,$AS176),"",$AI176))</f>
        <v/>
      </c>
      <c r="CF176" s="133" t="str">
        <f aca="false">IF(ISBLANK($C176),"",IF($BR176&lt;&gt;Constants!$B$8,$BR176,IF(ISNUMBER($CE176),RANK($CE176,$CE$9:$CE$508,1),COUNT($CE$9:$CE$508)+1)))</f>
        <v/>
      </c>
      <c r="CG176" s="133" t="str">
        <f aca="false">IF(ISBLANK($C176),"",IF($BR176&lt;&gt;Constants!$B$8,$BR176,COUNTIFS($BX$9:$BX$508,"&lt;"&amp;$BX176)+COUNTIFS($BX$9:$BX$508,$BX176,$BZ$9:$BZ$508,"&lt;"&amp;$BZ176)+COUNTIFS($BX$9:$BX$508,$BX176,$BZ$9:$BZ$508,$BZ176,$CB$9:$CB$508,"&lt;"&amp;$CB176)+COUNTIFS($BX$9:$BX$508,$BX176,$BZ$9:$BZ$508,$BZ176,$CB$9:$CB$508,$CB176,$CD$9:$CD$508,"&lt;"&amp;$CD176)+COUNTIFS($BX$9:$BX$508,$BX176,$BZ$9:$BZ$508,$BZ176,$CB$9:$CB$508,$CB176,$CD$9:$CD$508,$CD176,$CF$9:$CF$508,"&lt;"&amp;$CF176)+1))</f>
        <v/>
      </c>
      <c r="CH176" s="133" t="str">
        <f aca="false">IF(ISBLANK($C176),"",IF($BR176&lt;&gt;Constants!$B$8,$BR176,$BX176-$CG176))</f>
        <v/>
      </c>
      <c r="CI176" s="138"/>
      <c r="CJ176" s="139"/>
      <c r="CK176" s="140" t="str">
        <f aca="false">IF(ISBLANK($C176),"",IF($BR176=Constants!$B$12,$BQ176,""))</f>
        <v/>
      </c>
      <c r="CL176" s="139" t="str">
        <f aca="false">IF(ISBLANK($C176),"",IF($BR176&lt;&gt;Constants!$B$8,"",IF($BI176="-&gt;",2,1)))</f>
        <v/>
      </c>
      <c r="CM176" s="141" t="str">
        <f aca="false">IF(ISBLANK($C176),"",IF($BR176&lt;&gt;Constants!$B$8,"",IF($BI176="-&gt;",$BK176,$BC176)))</f>
        <v/>
      </c>
      <c r="CN176" s="141" t="str">
        <f aca="false">IF(ISBLANK($C176),"",IF($BR176&lt;&gt;Constants!$B$8,"",IF($BI176="-&gt;",$BL176,$BD176)))</f>
        <v/>
      </c>
      <c r="CO176" s="141" t="str">
        <f aca="false">IF(ISBLANK($C176),"",IF($BR176&lt;&gt;Constants!$B$8,"",IF($BI176="-&gt;",$BM176+$BN176,$BE176+$BF176)+$BV176))</f>
        <v/>
      </c>
      <c r="CP176" s="141" t="str">
        <f aca="false">IF(ISBLANK($C176),"",IF($BR176&lt;&gt;Constants!$B$8,"",IF($BI176="-&gt;",$BO176,$BG176)+$BU176))</f>
        <v/>
      </c>
      <c r="CQ176" s="142" t="str">
        <f aca="false">IF(ISBLANK($C176),"",IF($BR176&lt;&gt;Constants!$B$8,$BR176,$BW176))</f>
        <v/>
      </c>
      <c r="CR176" s="143" t="str">
        <f aca="false">IF(ISBLANK($C176),"",$BS176)</f>
        <v/>
      </c>
      <c r="CS176" s="144" t="str">
        <f aca="false">IF(ISBLANK($C176),"",$CH176)</f>
        <v/>
      </c>
      <c r="CT176" s="144" t="str">
        <f aca="false">IF(ISBLANK($C176),"",$CG176)</f>
        <v/>
      </c>
      <c r="CU176" s="145" t="str">
        <f aca="false">IF(ISBLANK($C176),"",IFERROR(_xlfn.SWITCH($CT176,Constants!$B$11,COUNTA($C$9:$C$508)+2,Constants!$B$10,COUNTA($C$9:$C$508)+1,Constants!$B$9,COUNTA($C$9:$C$508)),$CT176))</f>
        <v/>
      </c>
      <c r="CV176" s="9"/>
      <c r="CW176" s="146" t="n">
        <f aca="false">IF(OR(ISNUMBER($CT176),$CT176=Constants!$B$11,$CT176=Constants!$B$9,$CT176=Constants!$B$10),1,0)</f>
        <v>0</v>
      </c>
      <c r="CX176" s="146" t="n">
        <v>168</v>
      </c>
      <c r="CY176" s="146" t="str">
        <f aca="false">IF(ISBLANK($C176),"",IF(ISNUMBER($CU176),$CU176+ROW($B176)/1000,""))</f>
        <v/>
      </c>
      <c r="CZ176" s="146" t="str">
        <f aca="false">IF(ISNUMBER($CY176),RANK($CY176,$CY$9:$CY$508,1),"")</f>
        <v/>
      </c>
      <c r="DA176" s="146" t="str">
        <f aca="false">IF(ISBLANK($C176),"",$B176)</f>
        <v/>
      </c>
      <c r="DB176" s="146" t="str">
        <f aca="false">IF(ISBLANK($C176),"",$C176)</f>
        <v/>
      </c>
      <c r="DC176" s="146" t="str">
        <f aca="false">IF(ISBLANK($C176),"",$D176)</f>
        <v/>
      </c>
      <c r="DD176" s="147" t="str">
        <f aca="false">$CR176</f>
        <v/>
      </c>
      <c r="DE176" s="148" t="str">
        <f aca="false">$CQ176</f>
        <v/>
      </c>
      <c r="DF176" s="146" t="str">
        <f aca="false">IF(ISBLANK($C176),"",$CT176)</f>
        <v/>
      </c>
      <c r="DG176" s="149" t="str">
        <f aca="false">IF($CX176&gt;$CW$8,"",VLOOKUP($CX176,$CZ$9:$DF$508,7,FALSE()))</f>
        <v/>
      </c>
      <c r="DH176" s="150" t="str">
        <f aca="false">IF($CX176&gt;$CW$8,"",VLOOKUP($CX176,$CZ$9:$DF$508,2,FALSE()))</f>
        <v/>
      </c>
      <c r="DI176" s="150" t="str">
        <f aca="false">IF($CX176&gt;$CW$8,"",VLOOKUP($CX176,$CZ$9:$DF$508,3,FALSE()))</f>
        <v/>
      </c>
      <c r="DJ176" s="150" t="str">
        <f aca="false">IF($CX176&gt;$CW$8,"",VLOOKUP($CX176,$CZ$9:$DF$508,4,FALSE()))</f>
        <v/>
      </c>
      <c r="DK176" s="150" t="str">
        <f aca="false">IF($CX176&gt;$CW$8,"",VLOOKUP($CX176,$CZ$9:$DF$508,5,FALSE()))</f>
        <v/>
      </c>
      <c r="DL176" s="151" t="str">
        <f aca="false">IF($CX176&gt;$CW$8,"",VLOOKUP($CX176,$CZ$9:$DF$508,6,FALSE()))</f>
        <v/>
      </c>
      <c r="DM176" s="75"/>
    </row>
    <row r="177" customFormat="false" ht="15.75" hidden="false" customHeight="false" outlineLevel="0" collapsed="false">
      <c r="A177" s="9"/>
      <c r="B177" s="77"/>
      <c r="C177" s="78"/>
      <c r="D177" s="167"/>
      <c r="E177" s="175"/>
      <c r="F177" s="169"/>
      <c r="G177" s="170"/>
      <c r="H177" s="170"/>
      <c r="I177" s="176"/>
      <c r="J177" s="173"/>
      <c r="K177" s="85"/>
      <c r="L177" s="86"/>
      <c r="M177" s="87"/>
      <c r="N177" s="173"/>
      <c r="O177" s="173"/>
      <c r="P177" s="175"/>
      <c r="Q177" s="173"/>
      <c r="R177" s="173"/>
      <c r="S177" s="85"/>
      <c r="T177" s="87"/>
      <c r="U177" s="87"/>
      <c r="V177" s="173"/>
      <c r="W177" s="173"/>
      <c r="X177" s="175"/>
      <c r="Y177" s="173"/>
      <c r="Z177" s="174"/>
      <c r="AA177" s="173"/>
      <c r="AB177" s="91"/>
      <c r="AC177" s="92"/>
      <c r="AD177" s="92"/>
      <c r="AE177" s="92"/>
      <c r="AF177" s="92" t="str">
        <f aca="false">IF(ISBLANK($C177),"",IF(E177=Constants!$B$3,TRUE(),IF(E177=Constants!$B$4,FALSE(),TRUE())))</f>
        <v/>
      </c>
      <c r="AG177" s="92" t="str">
        <f aca="false">IF(ISBLANK($C177),"",IF(F177=Constants!$B$3,TRUE(),IF(F177=Constants!$B$4,FALSE(),TRUE())))</f>
        <v/>
      </c>
      <c r="AH177" s="92" t="str">
        <f aca="false">IF(ISBLANK($C177),"",IF(G177=Constants!$B$3,TRUE(),IF(G177=Constants!$B$4,FALSE(),TRUE())))</f>
        <v/>
      </c>
      <c r="AI177" s="92" t="str">
        <f aca="false">IF(ISBLANK($C177),"",IF(AND(ISNUMBER(H177),H177&gt;=0),H177,Constants!$B$29))</f>
        <v/>
      </c>
      <c r="AJ177" s="92" t="str">
        <f aca="false">IF(ISBLANK($C177),"",IF(I177=Constants!$B$3,TRUE(),IF(I177=Constants!$B$4,FALSE(),TRUE())))</f>
        <v/>
      </c>
      <c r="AK177" s="92" t="str">
        <f aca="false">IF(ISBLANK($C177),"",IF(J177=Constants!$B$3,TRUE(),IF(J177=Constants!$B$4,FALSE(),TRUE())))</f>
        <v/>
      </c>
      <c r="AL177" s="92" t="str">
        <f aca="false">IF(ISBLANK($C177),"",IF(K177=Constants!$B$5,TRUE(),IF(K177=Constants!$B$6,FALSE(),COUNTA(L177:P177)&gt;0)))</f>
        <v/>
      </c>
      <c r="AM177" s="94" t="str">
        <f aca="false">IF(ISBLANK($C177),"",IF(ISNUMBER(L177),IF(L177&gt;=0,L177,""),""))</f>
        <v/>
      </c>
      <c r="AN177" s="93" t="str">
        <f aca="false">IF(ISBLANK($C177),"",IF(ISNUMBER(M177),IF(M177&gt;=0,M177,""),""))</f>
        <v/>
      </c>
      <c r="AO177" s="93" t="str">
        <f aca="false">IF(ISBLANK($C177),"",IF(N177=Constants!$B$3,TRUE(),IF(N177=Constants!$B$4,FALSE(),TRUE())))</f>
        <v/>
      </c>
      <c r="AP177" s="92" t="str">
        <f aca="false">IF(ISBLANK($C177),"",IF(ISNUMBER(O177),IF(O177&gt;=0,O177,""),""))</f>
        <v/>
      </c>
      <c r="AQ177" s="92" t="str">
        <f aca="false">IF(ISBLANK($C177),"",IF(P177=Constants!$B$3,TRUE(),IF(P177=Constants!$B$4,FALSE(),FALSE())))</f>
        <v/>
      </c>
      <c r="AR177" s="92" t="str">
        <f aca="false">IF(ISBLANK($C177),"",IF(Q177=Constants!$B$3,TRUE(),IF(Q177=Constants!$B$4,FALSE(),TRUE())))</f>
        <v/>
      </c>
      <c r="AS177" s="92" t="str">
        <f aca="false">IF(ISBLANK($C177),"",IF(R177=Constants!$B$3,TRUE(),IF(R177=Constants!$B$4,FALSE(),TRUE())))</f>
        <v/>
      </c>
      <c r="AT177" s="92" t="str">
        <f aca="false">IF(ISBLANK($C177),"",IF(S177=Constants!$B$5,TRUE(),IF(S177=Constants!$B$6,FALSE(),COUNTA(T177:X177)&gt;0)))</f>
        <v/>
      </c>
      <c r="AU177" s="94" t="str">
        <f aca="false">IF(ISBLANK($C177),"",IF(ISNUMBER(T177),IF(T177&gt;=0,T177,""),""))</f>
        <v/>
      </c>
      <c r="AV177" s="93" t="str">
        <f aca="false">IF(ISBLANK($C177),"",IF(ISNUMBER(U177),IF(U177&gt;=0,U177,""),""))</f>
        <v/>
      </c>
      <c r="AW177" s="93" t="str">
        <f aca="false">IF(ISBLANK($C177),"",IF(V177=Constants!$B$3,TRUE(),IF(V177=Constants!$B$4,FALSE(),TRUE())))</f>
        <v/>
      </c>
      <c r="AX177" s="92" t="str">
        <f aca="false">IF(ISBLANK($C177),"",IF(ISNUMBER(W177),IF(W177&gt;=0,W177,""),""))</f>
        <v/>
      </c>
      <c r="AY177" s="92" t="str">
        <f aca="false">IF(ISBLANK($C177),"",IF(X177=Constants!$B$3,TRUE(),IF(X177=Constants!$B$4,FALSE(),FALSE())))</f>
        <v/>
      </c>
      <c r="AZ177" s="92" t="str">
        <f aca="false">IF(ISBLANK($C177),"",MIN(Constants!$B$31,MAX(0,IF(ISNUMBER(Y177),Y177*60,0)+IF(ISNUMBER(Z177),Z177,0))))</f>
        <v/>
      </c>
      <c r="BA177" s="92" t="str">
        <f aca="false">IF(ISBLANK($C177),"",IF(AA177=Constants!$B$3,TRUE(),IF(AA177=Constants!$B$4,FALSE(),FALSE())))</f>
        <v/>
      </c>
      <c r="BB177" s="91" t="str">
        <f aca="false">IF(ISBLANK($C177),"",AND($AL177,OR($AM177="",$AN177="",AND($AO177,$AP177=""))))</f>
        <v/>
      </c>
      <c r="BC177" s="93" t="str">
        <f aca="false">IF($BR177&lt;&gt;Constants!$B$8,"",IF($AL177,Constants!$B$21*$AN177+Constants!$B$22*IF($AO177,$AP177,Constants!$B$23),Constants!$B$24))</f>
        <v/>
      </c>
      <c r="BD177" s="96" t="str">
        <f aca="false">IF($BR177&lt;&gt;Constants!$B$8,"",Constants!$B$25*ABS($AD$9-IF($AL177,$AM177,0)))</f>
        <v/>
      </c>
      <c r="BE177" s="96" t="str">
        <f aca="false">IF($BR177&lt;&gt;Constants!$B$8,"",IF(AND($AL177,$AQ177,$AO177),Constants!$B$27,0))</f>
        <v/>
      </c>
      <c r="BF177" s="96" t="str">
        <f aca="false">IF($BR177&lt;&gt;Constants!$B$8,"",IF($AL177,($AI177-Constants!$B$29)*Constants!$B$28,0))</f>
        <v/>
      </c>
      <c r="BG177" s="96" t="str">
        <f aca="false">IF($BR177&lt;&gt;Constants!$B$8,"",IF($AK177,0,Constants!$B$15)+IF($AJ177,0,Constants!$B$16)+IF($AH177,0,Constants!$B$17))</f>
        <v/>
      </c>
      <c r="BH177" s="97" t="str">
        <f aca="false">IF($BR177&lt;&gt;Constants!$B$8,"",Constants!$B$20+SUM($BC177:$BG177))</f>
        <v/>
      </c>
      <c r="BI177" s="92" t="str">
        <f aca="false">IF($BR177&lt;&gt;Constants!$B$8,"",IF(OR($BP177&lt;$BH177,AND($BP177=$BH177,OR($BK177&lt;$BC177,AND($BK177=$BC177,OR($BL177&lt;$BD177,AND($BL177=$BD177,$AT177,$AL177,$AV177&lt;$AN177)))))),"-&gt;","&lt;-"))</f>
        <v/>
      </c>
      <c r="BJ177" s="91" t="str">
        <f aca="false">IF(ISBLANK($C177),"",AND($AT177,OR($AU177="",$AV177="",AND($AW177,$AX177=""))))</f>
        <v/>
      </c>
      <c r="BK177" s="93" t="str">
        <f aca="false">IF($BR177&lt;&gt;Constants!$B$8,"",IF($AT177,Constants!$B$21*$AV177+Constants!$B$22*IF($AW177,$AX177,Constants!$B$23),Constants!$B$24))</f>
        <v/>
      </c>
      <c r="BL177" s="96" t="str">
        <f aca="false">IF($BR177&lt;&gt;Constants!$B$8,"",Constants!$B$25*ABS($AD$9-IF($AT177,$AU177,0)))</f>
        <v/>
      </c>
      <c r="BM177" s="96" t="str">
        <f aca="false">IF($BR177&lt;&gt;Constants!$B$8,"",IF(AND($AT177,$AY177,$AW177),Constants!$B$27,0))</f>
        <v/>
      </c>
      <c r="BN177" s="96" t="str">
        <f aca="false">IF($BR177&lt;&gt;Constants!$B$8,"",IF($AT177,($AI177-Constants!$B$29)*Constants!$B$28,0))</f>
        <v/>
      </c>
      <c r="BO177" s="96" t="str">
        <f aca="false">IF($BR177&lt;&gt;Constants!$B$8,"",IF($AS177,0,Constants!$B$15)+IF($AR177,0,Constants!$B$16)+IF($AH177,0,Constants!$B$17))</f>
        <v/>
      </c>
      <c r="BP177" s="97" t="str">
        <f aca="false">IF($BR177&lt;&gt;Constants!$B$8,"",Constants!$B$20+SUM($BK177:$BO177))</f>
        <v/>
      </c>
      <c r="BQ177" s="92" t="str">
        <f aca="false">IF(ISBLANK($C177),"",IF(ISBLANK($D$7),$BQ$5,IF(NOT(ISNUMBER($D$7)),$BQ$6,"")))</f>
        <v/>
      </c>
      <c r="BR177" s="92" t="str">
        <f aca="false">IF(ISBLANK($C177),"",IF($BA177,Constants!$B$11,IF(COUNTA($E177:$AA177)=0,Constants!$B$10,IF(NOT($AG177),Constants!$B$9,IF(OR($BQ177&lt;&gt;"",$BB177,$BJ177),Constants!$B$12,Constants!$B$8)))))</f>
        <v/>
      </c>
      <c r="BS177" s="92" t="str">
        <f aca="false">IF(ISBLANK($C177),"",IF($BR177&lt;&gt;Constants!$B$8,$BR177,Constants!$B$13))</f>
        <v/>
      </c>
      <c r="BT177" s="96" t="str">
        <f aca="false">IF($BR177&lt;&gt;Constants!$B$8,"",IF($BI177="-&gt;",$BP177,$BH177))</f>
        <v/>
      </c>
      <c r="BU177" s="96" t="str">
        <f aca="false">IF($BR177&lt;&gt;Constants!$B$8,"",IF($AF177,0,Constants!$B$18))</f>
        <v/>
      </c>
      <c r="BV177" s="96" t="str">
        <f aca="false">IF($BR177&lt;&gt;Constants!$B$8,"",((Constants!$B$31-$AZ177)-Constants!$B$31)/Constants!$B$32)</f>
        <v/>
      </c>
      <c r="BW177" s="96" t="str">
        <f aca="false">IF(ISBLANK($C177),"",IF($BR177&lt;&gt;Constants!$B$8,$BR177,SUM($BT177:$BV177)))</f>
        <v/>
      </c>
      <c r="BX177" s="92" t="str">
        <f aca="false">IF(ISBLANK($C177),"",IF($BR177&lt;&gt;Constants!$B$8,$BR177,RANK($BW177,$BW$9:$BW$508,1)))</f>
        <v/>
      </c>
      <c r="BY177" s="96" t="str">
        <f aca="false">IF($BR177&lt;&gt;Constants!$B$8,"",IF($BI177="-&gt;",$BK177,$BC177))</f>
        <v/>
      </c>
      <c r="BZ177" s="92" t="str">
        <f aca="false">IF(ISBLANK($C177),"",IF($BR177&lt;&gt;Constants!$B$8,$BR177,IF(ISNUMBER($BY177),RANK($BY177,$BY$9:$BY$508,1),COUNT($BY$9:$BY$508)+1)))</f>
        <v/>
      </c>
      <c r="CA177" s="96" t="str">
        <f aca="false">IF($BR177&lt;&gt;Constants!$B$8,"",IF($BI177="-&gt;",$BL177,$BD177))</f>
        <v/>
      </c>
      <c r="CB177" s="92" t="str">
        <f aca="false">IF(ISBLANK($C177),"",IF($BR177&lt;&gt;Constants!$B$8,$BR177,IF(ISNUMBER($CA177),RANK($CA177,$CA$9:$CA$508,1),COUNT($CA$9:$CA$508)+1)))</f>
        <v/>
      </c>
      <c r="CC177" s="96" t="str">
        <f aca="false">IF($BR177&lt;&gt;Constants!$B$8,"",IF($BI177="-&gt;",IF($AT177,$AV177,""),IF($AL177,$AN177,"")))</f>
        <v/>
      </c>
      <c r="CD177" s="92" t="str">
        <f aca="false">IF(ISBLANK($C177),"",IF($BR177&lt;&gt;Constants!$B$8,$BR177,IF(ISNUMBER($CC177),RANK($CC177,$CC$9:$CC$508,1),COUNT($CC$9:$CC$508)+1)))</f>
        <v/>
      </c>
      <c r="CE177" s="96" t="str">
        <f aca="false">IF($BR177&lt;&gt;Constants!$B$8,"",IF(AND(NOT($AL177),NOT($AT177),$AJ177,$AK177,$AR177,$AS177),"",$AI177))</f>
        <v/>
      </c>
      <c r="CF177" s="92" t="str">
        <f aca="false">IF(ISBLANK($C177),"",IF($BR177&lt;&gt;Constants!$B$8,$BR177,IF(ISNUMBER($CE177),RANK($CE177,$CE$9:$CE$508,1),COUNT($CE$9:$CE$508)+1)))</f>
        <v/>
      </c>
      <c r="CG177" s="92" t="str">
        <f aca="false">IF(ISBLANK($C177),"",IF($BR177&lt;&gt;Constants!$B$8,$BR177,COUNTIFS($BX$9:$BX$508,"&lt;"&amp;$BX177)+COUNTIFS($BX$9:$BX$508,$BX177,$BZ$9:$BZ$508,"&lt;"&amp;$BZ177)+COUNTIFS($BX$9:$BX$508,$BX177,$BZ$9:$BZ$508,$BZ177,$CB$9:$CB$508,"&lt;"&amp;$CB177)+COUNTIFS($BX$9:$BX$508,$BX177,$BZ$9:$BZ$508,$BZ177,$CB$9:$CB$508,$CB177,$CD$9:$CD$508,"&lt;"&amp;$CD177)+COUNTIFS($BX$9:$BX$508,$BX177,$BZ$9:$BZ$508,$BZ177,$CB$9:$CB$508,$CB177,$CD$9:$CD$508,$CD177,$CF$9:$CF$508,"&lt;"&amp;$CF177)+1))</f>
        <v/>
      </c>
      <c r="CH177" s="92" t="str">
        <f aca="false">IF(ISBLANK($C177),"",IF($BR177&lt;&gt;Constants!$B$8,$BR177,$BX177-$CG177))</f>
        <v/>
      </c>
      <c r="CI177" s="98"/>
      <c r="CJ177" s="99"/>
      <c r="CK177" s="100" t="str">
        <f aca="false">IF(ISBLANK($C177),"",IF($BR177=Constants!$B$12,$BQ177,""))</f>
        <v/>
      </c>
      <c r="CL177" s="99" t="str">
        <f aca="false">IF(ISBLANK($C177),"",IF($BR177&lt;&gt;Constants!$B$8,"",IF($BI177="-&gt;",2,1)))</f>
        <v/>
      </c>
      <c r="CM177" s="101" t="str">
        <f aca="false">IF(ISBLANK($C177),"",IF($BR177&lt;&gt;Constants!$B$8,"",IF($BI177="-&gt;",$BK177,$BC177)))</f>
        <v/>
      </c>
      <c r="CN177" s="101" t="str">
        <f aca="false">IF(ISBLANK($C177),"",IF($BR177&lt;&gt;Constants!$B$8,"",IF($BI177="-&gt;",$BL177,$BD177)))</f>
        <v/>
      </c>
      <c r="CO177" s="101" t="str">
        <f aca="false">IF(ISBLANK($C177),"",IF($BR177&lt;&gt;Constants!$B$8,"",IF($BI177="-&gt;",$BM177+$BN177,$BE177+$BF177)+$BV177))</f>
        <v/>
      </c>
      <c r="CP177" s="101" t="str">
        <f aca="false">IF(ISBLANK($C177),"",IF($BR177&lt;&gt;Constants!$B$8,"",IF($BI177="-&gt;",$BO177,$BG177)+$BU177))</f>
        <v/>
      </c>
      <c r="CQ177" s="102" t="str">
        <f aca="false">IF(ISBLANK($C177),"",IF($BR177&lt;&gt;Constants!$B$8,$BR177,$BW177))</f>
        <v/>
      </c>
      <c r="CR177" s="103" t="str">
        <f aca="false">IF(ISBLANK($C177),"",$BS177)</f>
        <v/>
      </c>
      <c r="CS177" s="104" t="str">
        <f aca="false">IF(ISBLANK($C177),"",$CH177)</f>
        <v/>
      </c>
      <c r="CT177" s="104" t="str">
        <f aca="false">IF(ISBLANK($C177),"",$CG177)</f>
        <v/>
      </c>
      <c r="CU177" s="105" t="str">
        <f aca="false">IF(ISBLANK($C177),"",IFERROR(_xlfn.SWITCH($CT177,Constants!$B$11,COUNTA($C$9:$C$508)+2,Constants!$B$10,COUNTA($C$9:$C$508)+1,Constants!$B$9,COUNTA($C$9:$C$508)),$CT177))</f>
        <v/>
      </c>
      <c r="CV177" s="9"/>
      <c r="CW177" s="106" t="n">
        <f aca="false">IF(OR(ISNUMBER($CT177),$CT177=Constants!$B$11,$CT177=Constants!$B$9,$CT177=Constants!$B$10),1,0)</f>
        <v>0</v>
      </c>
      <c r="CX177" s="106" t="n">
        <v>169</v>
      </c>
      <c r="CY177" s="106" t="str">
        <f aca="false">IF(ISBLANK($C177),"",IF(ISNUMBER($CU177),$CU177+ROW($B177)/1000,""))</f>
        <v/>
      </c>
      <c r="CZ177" s="106" t="str">
        <f aca="false">IF(ISNUMBER($CY177),RANK($CY177,$CY$9:$CY$508,1),"")</f>
        <v/>
      </c>
      <c r="DA177" s="106" t="str">
        <f aca="false">IF(ISBLANK($C177),"",$B177)</f>
        <v/>
      </c>
      <c r="DB177" s="106" t="str">
        <f aca="false">IF(ISBLANK($C177),"",$C177)</f>
        <v/>
      </c>
      <c r="DC177" s="106" t="str">
        <f aca="false">IF(ISBLANK($C177),"",$D177)</f>
        <v/>
      </c>
      <c r="DD177" s="107" t="str">
        <f aca="false">$CR177</f>
        <v/>
      </c>
      <c r="DE177" s="108" t="str">
        <f aca="false">$CQ177</f>
        <v/>
      </c>
      <c r="DF177" s="106" t="str">
        <f aca="false">IF(ISBLANK($C177),"",$CT177)</f>
        <v/>
      </c>
      <c r="DG177" s="109" t="str">
        <f aca="false">IF($CX177&gt;$CW$8,"",VLOOKUP($CX177,$CZ$9:$DF$508,7,FALSE()))</f>
        <v/>
      </c>
      <c r="DH177" s="110" t="str">
        <f aca="false">IF($CX177&gt;$CW$8,"",VLOOKUP($CX177,$CZ$9:$DF$508,2,FALSE()))</f>
        <v/>
      </c>
      <c r="DI177" s="110" t="str">
        <f aca="false">IF($CX177&gt;$CW$8,"",VLOOKUP($CX177,$CZ$9:$DF$508,3,FALSE()))</f>
        <v/>
      </c>
      <c r="DJ177" s="110" t="str">
        <f aca="false">IF($CX177&gt;$CW$8,"",VLOOKUP($CX177,$CZ$9:$DF$508,4,FALSE()))</f>
        <v/>
      </c>
      <c r="DK177" s="110" t="str">
        <f aca="false">IF($CX177&gt;$CW$8,"",VLOOKUP($CX177,$CZ$9:$DF$508,5,FALSE()))</f>
        <v/>
      </c>
      <c r="DL177" s="111" t="str">
        <f aca="false">IF($CX177&gt;$CW$8,"",VLOOKUP($CX177,$CZ$9:$DF$508,6,FALSE()))</f>
        <v/>
      </c>
      <c r="DM177" s="75"/>
    </row>
    <row r="178" customFormat="false" ht="15.75" hidden="false" customHeight="false" outlineLevel="0" collapsed="false">
      <c r="A178" s="9"/>
      <c r="B178" s="77"/>
      <c r="C178" s="78"/>
      <c r="D178" s="167"/>
      <c r="E178" s="175"/>
      <c r="F178" s="169"/>
      <c r="G178" s="170"/>
      <c r="H178" s="170"/>
      <c r="I178" s="176"/>
      <c r="J178" s="173"/>
      <c r="K178" s="85"/>
      <c r="L178" s="86"/>
      <c r="M178" s="87"/>
      <c r="N178" s="173"/>
      <c r="O178" s="173"/>
      <c r="P178" s="175"/>
      <c r="Q178" s="173"/>
      <c r="R178" s="173"/>
      <c r="S178" s="85"/>
      <c r="T178" s="87"/>
      <c r="U178" s="87"/>
      <c r="V178" s="173"/>
      <c r="W178" s="173"/>
      <c r="X178" s="175"/>
      <c r="Y178" s="173"/>
      <c r="Z178" s="174"/>
      <c r="AA178" s="173"/>
      <c r="AB178" s="91"/>
      <c r="AC178" s="92"/>
      <c r="AD178" s="92"/>
      <c r="AE178" s="92"/>
      <c r="AF178" s="92" t="str">
        <f aca="false">IF(ISBLANK($C178),"",IF(E178=Constants!$B$3,TRUE(),IF(E178=Constants!$B$4,FALSE(),TRUE())))</f>
        <v/>
      </c>
      <c r="AG178" s="92" t="str">
        <f aca="false">IF(ISBLANK($C178),"",IF(F178=Constants!$B$3,TRUE(),IF(F178=Constants!$B$4,FALSE(),TRUE())))</f>
        <v/>
      </c>
      <c r="AH178" s="92" t="str">
        <f aca="false">IF(ISBLANK($C178),"",IF(G178=Constants!$B$3,TRUE(),IF(G178=Constants!$B$4,FALSE(),TRUE())))</f>
        <v/>
      </c>
      <c r="AI178" s="92" t="str">
        <f aca="false">IF(ISBLANK($C178),"",IF(AND(ISNUMBER(H178),H178&gt;=0),H178,Constants!$B$29))</f>
        <v/>
      </c>
      <c r="AJ178" s="92" t="str">
        <f aca="false">IF(ISBLANK($C178),"",IF(I178=Constants!$B$3,TRUE(),IF(I178=Constants!$B$4,FALSE(),TRUE())))</f>
        <v/>
      </c>
      <c r="AK178" s="92" t="str">
        <f aca="false">IF(ISBLANK($C178),"",IF(J178=Constants!$B$3,TRUE(),IF(J178=Constants!$B$4,FALSE(),TRUE())))</f>
        <v/>
      </c>
      <c r="AL178" s="92" t="str">
        <f aca="false">IF(ISBLANK($C178),"",IF(K178=Constants!$B$5,TRUE(),IF(K178=Constants!$B$6,FALSE(),COUNTA(L178:P178)&gt;0)))</f>
        <v/>
      </c>
      <c r="AM178" s="94" t="str">
        <f aca="false">IF(ISBLANK($C178),"",IF(ISNUMBER(L178),IF(L178&gt;=0,L178,""),""))</f>
        <v/>
      </c>
      <c r="AN178" s="93" t="str">
        <f aca="false">IF(ISBLANK($C178),"",IF(ISNUMBER(M178),IF(M178&gt;=0,M178,""),""))</f>
        <v/>
      </c>
      <c r="AO178" s="93" t="str">
        <f aca="false">IF(ISBLANK($C178),"",IF(N178=Constants!$B$3,TRUE(),IF(N178=Constants!$B$4,FALSE(),TRUE())))</f>
        <v/>
      </c>
      <c r="AP178" s="92" t="str">
        <f aca="false">IF(ISBLANK($C178),"",IF(ISNUMBER(O178),IF(O178&gt;=0,O178,""),""))</f>
        <v/>
      </c>
      <c r="AQ178" s="92" t="str">
        <f aca="false">IF(ISBLANK($C178),"",IF(P178=Constants!$B$3,TRUE(),IF(P178=Constants!$B$4,FALSE(),FALSE())))</f>
        <v/>
      </c>
      <c r="AR178" s="92" t="str">
        <f aca="false">IF(ISBLANK($C178),"",IF(Q178=Constants!$B$3,TRUE(),IF(Q178=Constants!$B$4,FALSE(),TRUE())))</f>
        <v/>
      </c>
      <c r="AS178" s="92" t="str">
        <f aca="false">IF(ISBLANK($C178),"",IF(R178=Constants!$B$3,TRUE(),IF(R178=Constants!$B$4,FALSE(),TRUE())))</f>
        <v/>
      </c>
      <c r="AT178" s="92" t="str">
        <f aca="false">IF(ISBLANK($C178),"",IF(S178=Constants!$B$5,TRUE(),IF(S178=Constants!$B$6,FALSE(),COUNTA(T178:X178)&gt;0)))</f>
        <v/>
      </c>
      <c r="AU178" s="94" t="str">
        <f aca="false">IF(ISBLANK($C178),"",IF(ISNUMBER(T178),IF(T178&gt;=0,T178,""),""))</f>
        <v/>
      </c>
      <c r="AV178" s="93" t="str">
        <f aca="false">IF(ISBLANK($C178),"",IF(ISNUMBER(U178),IF(U178&gt;=0,U178,""),""))</f>
        <v/>
      </c>
      <c r="AW178" s="93" t="str">
        <f aca="false">IF(ISBLANK($C178),"",IF(V178=Constants!$B$3,TRUE(),IF(V178=Constants!$B$4,FALSE(),TRUE())))</f>
        <v/>
      </c>
      <c r="AX178" s="92" t="str">
        <f aca="false">IF(ISBLANK($C178),"",IF(ISNUMBER(W178),IF(W178&gt;=0,W178,""),""))</f>
        <v/>
      </c>
      <c r="AY178" s="92" t="str">
        <f aca="false">IF(ISBLANK($C178),"",IF(X178=Constants!$B$3,TRUE(),IF(X178=Constants!$B$4,FALSE(),FALSE())))</f>
        <v/>
      </c>
      <c r="AZ178" s="92" t="str">
        <f aca="false">IF(ISBLANK($C178),"",MIN(Constants!$B$31,MAX(0,IF(ISNUMBER(Y178),Y178*60,0)+IF(ISNUMBER(Z178),Z178,0))))</f>
        <v/>
      </c>
      <c r="BA178" s="92" t="str">
        <f aca="false">IF(ISBLANK($C178),"",IF(AA178=Constants!$B$3,TRUE(),IF(AA178=Constants!$B$4,FALSE(),FALSE())))</f>
        <v/>
      </c>
      <c r="BB178" s="91" t="str">
        <f aca="false">IF(ISBLANK($C178),"",AND($AL178,OR($AM178="",$AN178="",AND($AO178,$AP178=""))))</f>
        <v/>
      </c>
      <c r="BC178" s="93" t="str">
        <f aca="false">IF($BR178&lt;&gt;Constants!$B$8,"",IF($AL178,Constants!$B$21*$AN178+Constants!$B$22*IF($AO178,$AP178,Constants!$B$23),Constants!$B$24))</f>
        <v/>
      </c>
      <c r="BD178" s="96" t="str">
        <f aca="false">IF($BR178&lt;&gt;Constants!$B$8,"",Constants!$B$25*ABS($AD$9-IF($AL178,$AM178,0)))</f>
        <v/>
      </c>
      <c r="BE178" s="96" t="str">
        <f aca="false">IF($BR178&lt;&gt;Constants!$B$8,"",IF(AND($AL178,$AQ178,$AO178),Constants!$B$27,0))</f>
        <v/>
      </c>
      <c r="BF178" s="96" t="str">
        <f aca="false">IF($BR178&lt;&gt;Constants!$B$8,"",IF($AL178,($AI178-Constants!$B$29)*Constants!$B$28,0))</f>
        <v/>
      </c>
      <c r="BG178" s="96" t="str">
        <f aca="false">IF($BR178&lt;&gt;Constants!$B$8,"",IF($AK178,0,Constants!$B$15)+IF($AJ178,0,Constants!$B$16)+IF($AH178,0,Constants!$B$17))</f>
        <v/>
      </c>
      <c r="BH178" s="97" t="str">
        <f aca="false">IF($BR178&lt;&gt;Constants!$B$8,"",Constants!$B$20+SUM($BC178:$BG178))</f>
        <v/>
      </c>
      <c r="BI178" s="92" t="str">
        <f aca="false">IF($BR178&lt;&gt;Constants!$B$8,"",IF(OR($BP178&lt;$BH178,AND($BP178=$BH178,OR($BK178&lt;$BC178,AND($BK178=$BC178,OR($BL178&lt;$BD178,AND($BL178=$BD178,$AT178,$AL178,$AV178&lt;$AN178)))))),"-&gt;","&lt;-"))</f>
        <v/>
      </c>
      <c r="BJ178" s="91" t="str">
        <f aca="false">IF(ISBLANK($C178),"",AND($AT178,OR($AU178="",$AV178="",AND($AW178,$AX178=""))))</f>
        <v/>
      </c>
      <c r="BK178" s="93" t="str">
        <f aca="false">IF($BR178&lt;&gt;Constants!$B$8,"",IF($AT178,Constants!$B$21*$AV178+Constants!$B$22*IF($AW178,$AX178,Constants!$B$23),Constants!$B$24))</f>
        <v/>
      </c>
      <c r="BL178" s="96" t="str">
        <f aca="false">IF($BR178&lt;&gt;Constants!$B$8,"",Constants!$B$25*ABS($AD$9-IF($AT178,$AU178,0)))</f>
        <v/>
      </c>
      <c r="BM178" s="96" t="str">
        <f aca="false">IF($BR178&lt;&gt;Constants!$B$8,"",IF(AND($AT178,$AY178,$AW178),Constants!$B$27,0))</f>
        <v/>
      </c>
      <c r="BN178" s="96" t="str">
        <f aca="false">IF($BR178&lt;&gt;Constants!$B$8,"",IF($AT178,($AI178-Constants!$B$29)*Constants!$B$28,0))</f>
        <v/>
      </c>
      <c r="BO178" s="96" t="str">
        <f aca="false">IF($BR178&lt;&gt;Constants!$B$8,"",IF($AS178,0,Constants!$B$15)+IF($AR178,0,Constants!$B$16)+IF($AH178,0,Constants!$B$17))</f>
        <v/>
      </c>
      <c r="BP178" s="97" t="str">
        <f aca="false">IF($BR178&lt;&gt;Constants!$B$8,"",Constants!$B$20+SUM($BK178:$BO178))</f>
        <v/>
      </c>
      <c r="BQ178" s="92" t="str">
        <f aca="false">IF(ISBLANK($C178),"",IF(ISBLANK($D$7),$BQ$5,IF(NOT(ISNUMBER($D$7)),$BQ$6,"")))</f>
        <v/>
      </c>
      <c r="BR178" s="92" t="str">
        <f aca="false">IF(ISBLANK($C178),"",IF($BA178,Constants!$B$11,IF(COUNTA($E178:$AA178)=0,Constants!$B$10,IF(NOT($AG178),Constants!$B$9,IF(OR($BQ178&lt;&gt;"",$BB178,$BJ178),Constants!$B$12,Constants!$B$8)))))</f>
        <v/>
      </c>
      <c r="BS178" s="92" t="str">
        <f aca="false">IF(ISBLANK($C178),"",IF($BR178&lt;&gt;Constants!$B$8,$BR178,Constants!$B$13))</f>
        <v/>
      </c>
      <c r="BT178" s="96" t="str">
        <f aca="false">IF($BR178&lt;&gt;Constants!$B$8,"",IF($BI178="-&gt;",$BP178,$BH178))</f>
        <v/>
      </c>
      <c r="BU178" s="96" t="str">
        <f aca="false">IF($BR178&lt;&gt;Constants!$B$8,"",IF($AF178,0,Constants!$B$18))</f>
        <v/>
      </c>
      <c r="BV178" s="96" t="str">
        <f aca="false">IF($BR178&lt;&gt;Constants!$B$8,"",((Constants!$B$31-$AZ178)-Constants!$B$31)/Constants!$B$32)</f>
        <v/>
      </c>
      <c r="BW178" s="96" t="str">
        <f aca="false">IF(ISBLANK($C178),"",IF($BR178&lt;&gt;Constants!$B$8,$BR178,SUM($BT178:$BV178)))</f>
        <v/>
      </c>
      <c r="BX178" s="92" t="str">
        <f aca="false">IF(ISBLANK($C178),"",IF($BR178&lt;&gt;Constants!$B$8,$BR178,RANK($BW178,$BW$9:$BW$508,1)))</f>
        <v/>
      </c>
      <c r="BY178" s="96" t="str">
        <f aca="false">IF($BR178&lt;&gt;Constants!$B$8,"",IF($BI178="-&gt;",$BK178,$BC178))</f>
        <v/>
      </c>
      <c r="BZ178" s="92" t="str">
        <f aca="false">IF(ISBLANK($C178),"",IF($BR178&lt;&gt;Constants!$B$8,$BR178,IF(ISNUMBER($BY178),RANK($BY178,$BY$9:$BY$508,1),COUNT($BY$9:$BY$508)+1)))</f>
        <v/>
      </c>
      <c r="CA178" s="96" t="str">
        <f aca="false">IF($BR178&lt;&gt;Constants!$B$8,"",IF($BI178="-&gt;",$BL178,$BD178))</f>
        <v/>
      </c>
      <c r="CB178" s="92" t="str">
        <f aca="false">IF(ISBLANK($C178),"",IF($BR178&lt;&gt;Constants!$B$8,$BR178,IF(ISNUMBER($CA178),RANK($CA178,$CA$9:$CA$508,1),COUNT($CA$9:$CA$508)+1)))</f>
        <v/>
      </c>
      <c r="CC178" s="96" t="str">
        <f aca="false">IF($BR178&lt;&gt;Constants!$B$8,"",IF($BI178="-&gt;",IF($AT178,$AV178,""),IF($AL178,$AN178,"")))</f>
        <v/>
      </c>
      <c r="CD178" s="92" t="str">
        <f aca="false">IF(ISBLANK($C178),"",IF($BR178&lt;&gt;Constants!$B$8,$BR178,IF(ISNUMBER($CC178),RANK($CC178,$CC$9:$CC$508,1),COUNT($CC$9:$CC$508)+1)))</f>
        <v/>
      </c>
      <c r="CE178" s="96" t="str">
        <f aca="false">IF($BR178&lt;&gt;Constants!$B$8,"",IF(AND(NOT($AL178),NOT($AT178),$AJ178,$AK178,$AR178,$AS178),"",$AI178))</f>
        <v/>
      </c>
      <c r="CF178" s="92" t="str">
        <f aca="false">IF(ISBLANK($C178),"",IF($BR178&lt;&gt;Constants!$B$8,$BR178,IF(ISNUMBER($CE178),RANK($CE178,$CE$9:$CE$508,1),COUNT($CE$9:$CE$508)+1)))</f>
        <v/>
      </c>
      <c r="CG178" s="92" t="str">
        <f aca="false">IF(ISBLANK($C178),"",IF($BR178&lt;&gt;Constants!$B$8,$BR178,COUNTIFS($BX$9:$BX$508,"&lt;"&amp;$BX178)+COUNTIFS($BX$9:$BX$508,$BX178,$BZ$9:$BZ$508,"&lt;"&amp;$BZ178)+COUNTIFS($BX$9:$BX$508,$BX178,$BZ$9:$BZ$508,$BZ178,$CB$9:$CB$508,"&lt;"&amp;$CB178)+COUNTIFS($BX$9:$BX$508,$BX178,$BZ$9:$BZ$508,$BZ178,$CB$9:$CB$508,$CB178,$CD$9:$CD$508,"&lt;"&amp;$CD178)+COUNTIFS($BX$9:$BX$508,$BX178,$BZ$9:$BZ$508,$BZ178,$CB$9:$CB$508,$CB178,$CD$9:$CD$508,$CD178,$CF$9:$CF$508,"&lt;"&amp;$CF178)+1))</f>
        <v/>
      </c>
      <c r="CH178" s="92" t="str">
        <f aca="false">IF(ISBLANK($C178),"",IF($BR178&lt;&gt;Constants!$B$8,$BR178,$BX178-$CG178))</f>
        <v/>
      </c>
      <c r="CI178" s="98"/>
      <c r="CJ178" s="99"/>
      <c r="CK178" s="100" t="str">
        <f aca="false">IF(ISBLANK($C178),"",IF($BR178=Constants!$B$12,$BQ178,""))</f>
        <v/>
      </c>
      <c r="CL178" s="99" t="str">
        <f aca="false">IF(ISBLANK($C178),"",IF($BR178&lt;&gt;Constants!$B$8,"",IF($BI178="-&gt;",2,1)))</f>
        <v/>
      </c>
      <c r="CM178" s="101" t="str">
        <f aca="false">IF(ISBLANK($C178),"",IF($BR178&lt;&gt;Constants!$B$8,"",IF($BI178="-&gt;",$BK178,$BC178)))</f>
        <v/>
      </c>
      <c r="CN178" s="101" t="str">
        <f aca="false">IF(ISBLANK($C178),"",IF($BR178&lt;&gt;Constants!$B$8,"",IF($BI178="-&gt;",$BL178,$BD178)))</f>
        <v/>
      </c>
      <c r="CO178" s="101" t="str">
        <f aca="false">IF(ISBLANK($C178),"",IF($BR178&lt;&gt;Constants!$B$8,"",IF($BI178="-&gt;",$BM178+$BN178,$BE178+$BF178)+$BV178))</f>
        <v/>
      </c>
      <c r="CP178" s="101" t="str">
        <f aca="false">IF(ISBLANK($C178),"",IF($BR178&lt;&gt;Constants!$B$8,"",IF($BI178="-&gt;",$BO178,$BG178)+$BU178))</f>
        <v/>
      </c>
      <c r="CQ178" s="102" t="str">
        <f aca="false">IF(ISBLANK($C178),"",IF($BR178&lt;&gt;Constants!$B$8,$BR178,$BW178))</f>
        <v/>
      </c>
      <c r="CR178" s="103" t="str">
        <f aca="false">IF(ISBLANK($C178),"",$BS178)</f>
        <v/>
      </c>
      <c r="CS178" s="104" t="str">
        <f aca="false">IF(ISBLANK($C178),"",$CH178)</f>
        <v/>
      </c>
      <c r="CT178" s="104" t="str">
        <f aca="false">IF(ISBLANK($C178),"",$CG178)</f>
        <v/>
      </c>
      <c r="CU178" s="105" t="str">
        <f aca="false">IF(ISBLANK($C178),"",IFERROR(_xlfn.SWITCH($CT178,Constants!$B$11,COUNTA($C$9:$C$508)+2,Constants!$B$10,COUNTA($C$9:$C$508)+1,Constants!$B$9,COUNTA($C$9:$C$508)),$CT178))</f>
        <v/>
      </c>
      <c r="CV178" s="9"/>
      <c r="CW178" s="106" t="n">
        <f aca="false">IF(OR(ISNUMBER($CT178),$CT178=Constants!$B$11,$CT178=Constants!$B$9,$CT178=Constants!$B$10),1,0)</f>
        <v>0</v>
      </c>
      <c r="CX178" s="106" t="n">
        <v>170</v>
      </c>
      <c r="CY178" s="106" t="str">
        <f aca="false">IF(ISBLANK($C178),"",IF(ISNUMBER($CU178),$CU178+ROW($B178)/1000,""))</f>
        <v/>
      </c>
      <c r="CZ178" s="106" t="str">
        <f aca="false">IF(ISNUMBER($CY178),RANK($CY178,$CY$9:$CY$508,1),"")</f>
        <v/>
      </c>
      <c r="DA178" s="106" t="str">
        <f aca="false">IF(ISBLANK($C178),"",$B178)</f>
        <v/>
      </c>
      <c r="DB178" s="106" t="str">
        <f aca="false">IF(ISBLANK($C178),"",$C178)</f>
        <v/>
      </c>
      <c r="DC178" s="106" t="str">
        <f aca="false">IF(ISBLANK($C178),"",$D178)</f>
        <v/>
      </c>
      <c r="DD178" s="107" t="str">
        <f aca="false">$CR178</f>
        <v/>
      </c>
      <c r="DE178" s="108" t="str">
        <f aca="false">$CQ178</f>
        <v/>
      </c>
      <c r="DF178" s="106" t="str">
        <f aca="false">IF(ISBLANK($C178),"",$CT178)</f>
        <v/>
      </c>
      <c r="DG178" s="109" t="str">
        <f aca="false">IF($CX178&gt;$CW$8,"",VLOOKUP($CX178,$CZ$9:$DF$508,7,FALSE()))</f>
        <v/>
      </c>
      <c r="DH178" s="110" t="str">
        <f aca="false">IF($CX178&gt;$CW$8,"",VLOOKUP($CX178,$CZ$9:$DF$508,2,FALSE()))</f>
        <v/>
      </c>
      <c r="DI178" s="110" t="str">
        <f aca="false">IF($CX178&gt;$CW$8,"",VLOOKUP($CX178,$CZ$9:$DF$508,3,FALSE()))</f>
        <v/>
      </c>
      <c r="DJ178" s="110" t="str">
        <f aca="false">IF($CX178&gt;$CW$8,"",VLOOKUP($CX178,$CZ$9:$DF$508,4,FALSE()))</f>
        <v/>
      </c>
      <c r="DK178" s="110" t="str">
        <f aca="false">IF($CX178&gt;$CW$8,"",VLOOKUP($CX178,$CZ$9:$DF$508,5,FALSE()))</f>
        <v/>
      </c>
      <c r="DL178" s="111" t="str">
        <f aca="false">IF($CX178&gt;$CW$8,"",VLOOKUP($CX178,$CZ$9:$DF$508,6,FALSE()))</f>
        <v/>
      </c>
      <c r="DM178" s="75"/>
    </row>
    <row r="179" customFormat="false" ht="15.75" hidden="false" customHeight="false" outlineLevel="0" collapsed="false">
      <c r="A179" s="9"/>
      <c r="B179" s="77"/>
      <c r="C179" s="78"/>
      <c r="D179" s="167"/>
      <c r="E179" s="175"/>
      <c r="F179" s="169"/>
      <c r="G179" s="170"/>
      <c r="H179" s="170"/>
      <c r="I179" s="176"/>
      <c r="J179" s="173"/>
      <c r="K179" s="85"/>
      <c r="L179" s="86"/>
      <c r="M179" s="87"/>
      <c r="N179" s="173"/>
      <c r="O179" s="173"/>
      <c r="P179" s="175"/>
      <c r="Q179" s="173"/>
      <c r="R179" s="173"/>
      <c r="S179" s="85"/>
      <c r="T179" s="87"/>
      <c r="U179" s="87"/>
      <c r="V179" s="173"/>
      <c r="W179" s="173"/>
      <c r="X179" s="175"/>
      <c r="Y179" s="173"/>
      <c r="Z179" s="174"/>
      <c r="AA179" s="173"/>
      <c r="AB179" s="91"/>
      <c r="AC179" s="92"/>
      <c r="AD179" s="92"/>
      <c r="AE179" s="92"/>
      <c r="AF179" s="92" t="str">
        <f aca="false">IF(ISBLANK($C179),"",IF(E179=Constants!$B$3,TRUE(),IF(E179=Constants!$B$4,FALSE(),TRUE())))</f>
        <v/>
      </c>
      <c r="AG179" s="92" t="str">
        <f aca="false">IF(ISBLANK($C179),"",IF(F179=Constants!$B$3,TRUE(),IF(F179=Constants!$B$4,FALSE(),TRUE())))</f>
        <v/>
      </c>
      <c r="AH179" s="92" t="str">
        <f aca="false">IF(ISBLANK($C179),"",IF(G179=Constants!$B$3,TRUE(),IF(G179=Constants!$B$4,FALSE(),TRUE())))</f>
        <v/>
      </c>
      <c r="AI179" s="92" t="str">
        <f aca="false">IF(ISBLANK($C179),"",IF(AND(ISNUMBER(H179),H179&gt;=0),H179,Constants!$B$29))</f>
        <v/>
      </c>
      <c r="AJ179" s="92" t="str">
        <f aca="false">IF(ISBLANK($C179),"",IF(I179=Constants!$B$3,TRUE(),IF(I179=Constants!$B$4,FALSE(),TRUE())))</f>
        <v/>
      </c>
      <c r="AK179" s="92" t="str">
        <f aca="false">IF(ISBLANK($C179),"",IF(J179=Constants!$B$3,TRUE(),IF(J179=Constants!$B$4,FALSE(),TRUE())))</f>
        <v/>
      </c>
      <c r="AL179" s="92" t="str">
        <f aca="false">IF(ISBLANK($C179),"",IF(K179=Constants!$B$5,TRUE(),IF(K179=Constants!$B$6,FALSE(),COUNTA(L179:P179)&gt;0)))</f>
        <v/>
      </c>
      <c r="AM179" s="94" t="str">
        <f aca="false">IF(ISBLANK($C179),"",IF(ISNUMBER(L179),IF(L179&gt;=0,L179,""),""))</f>
        <v/>
      </c>
      <c r="AN179" s="93" t="str">
        <f aca="false">IF(ISBLANK($C179),"",IF(ISNUMBER(M179),IF(M179&gt;=0,M179,""),""))</f>
        <v/>
      </c>
      <c r="AO179" s="93" t="str">
        <f aca="false">IF(ISBLANK($C179),"",IF(N179=Constants!$B$3,TRUE(),IF(N179=Constants!$B$4,FALSE(),TRUE())))</f>
        <v/>
      </c>
      <c r="AP179" s="92" t="str">
        <f aca="false">IF(ISBLANK($C179),"",IF(ISNUMBER(O179),IF(O179&gt;=0,O179,""),""))</f>
        <v/>
      </c>
      <c r="AQ179" s="92" t="str">
        <f aca="false">IF(ISBLANK($C179),"",IF(P179=Constants!$B$3,TRUE(),IF(P179=Constants!$B$4,FALSE(),FALSE())))</f>
        <v/>
      </c>
      <c r="AR179" s="92" t="str">
        <f aca="false">IF(ISBLANK($C179),"",IF(Q179=Constants!$B$3,TRUE(),IF(Q179=Constants!$B$4,FALSE(),TRUE())))</f>
        <v/>
      </c>
      <c r="AS179" s="92" t="str">
        <f aca="false">IF(ISBLANK($C179),"",IF(R179=Constants!$B$3,TRUE(),IF(R179=Constants!$B$4,FALSE(),TRUE())))</f>
        <v/>
      </c>
      <c r="AT179" s="92" t="str">
        <f aca="false">IF(ISBLANK($C179),"",IF(S179=Constants!$B$5,TRUE(),IF(S179=Constants!$B$6,FALSE(),COUNTA(T179:X179)&gt;0)))</f>
        <v/>
      </c>
      <c r="AU179" s="94" t="str">
        <f aca="false">IF(ISBLANK($C179),"",IF(ISNUMBER(T179),IF(T179&gt;=0,T179,""),""))</f>
        <v/>
      </c>
      <c r="AV179" s="93" t="str">
        <f aca="false">IF(ISBLANK($C179),"",IF(ISNUMBER(U179),IF(U179&gt;=0,U179,""),""))</f>
        <v/>
      </c>
      <c r="AW179" s="93" t="str">
        <f aca="false">IF(ISBLANK($C179),"",IF(V179=Constants!$B$3,TRUE(),IF(V179=Constants!$B$4,FALSE(),TRUE())))</f>
        <v/>
      </c>
      <c r="AX179" s="92" t="str">
        <f aca="false">IF(ISBLANK($C179),"",IF(ISNUMBER(W179),IF(W179&gt;=0,W179,""),""))</f>
        <v/>
      </c>
      <c r="AY179" s="92" t="str">
        <f aca="false">IF(ISBLANK($C179),"",IF(X179=Constants!$B$3,TRUE(),IF(X179=Constants!$B$4,FALSE(),FALSE())))</f>
        <v/>
      </c>
      <c r="AZ179" s="92" t="str">
        <f aca="false">IF(ISBLANK($C179),"",MIN(Constants!$B$31,MAX(0,IF(ISNUMBER(Y179),Y179*60,0)+IF(ISNUMBER(Z179),Z179,0))))</f>
        <v/>
      </c>
      <c r="BA179" s="92" t="str">
        <f aca="false">IF(ISBLANK($C179),"",IF(AA179=Constants!$B$3,TRUE(),IF(AA179=Constants!$B$4,FALSE(),FALSE())))</f>
        <v/>
      </c>
      <c r="BB179" s="91" t="str">
        <f aca="false">IF(ISBLANK($C179),"",AND($AL179,OR($AM179="",$AN179="",AND($AO179,$AP179=""))))</f>
        <v/>
      </c>
      <c r="BC179" s="93" t="str">
        <f aca="false">IF($BR179&lt;&gt;Constants!$B$8,"",IF($AL179,Constants!$B$21*$AN179+Constants!$B$22*IF($AO179,$AP179,Constants!$B$23),Constants!$B$24))</f>
        <v/>
      </c>
      <c r="BD179" s="96" t="str">
        <f aca="false">IF($BR179&lt;&gt;Constants!$B$8,"",Constants!$B$25*ABS($AD$9-IF($AL179,$AM179,0)))</f>
        <v/>
      </c>
      <c r="BE179" s="96" t="str">
        <f aca="false">IF($BR179&lt;&gt;Constants!$B$8,"",IF(AND($AL179,$AQ179,$AO179),Constants!$B$27,0))</f>
        <v/>
      </c>
      <c r="BF179" s="96" t="str">
        <f aca="false">IF($BR179&lt;&gt;Constants!$B$8,"",IF($AL179,($AI179-Constants!$B$29)*Constants!$B$28,0))</f>
        <v/>
      </c>
      <c r="BG179" s="96" t="str">
        <f aca="false">IF($BR179&lt;&gt;Constants!$B$8,"",IF($AK179,0,Constants!$B$15)+IF($AJ179,0,Constants!$B$16)+IF($AH179,0,Constants!$B$17))</f>
        <v/>
      </c>
      <c r="BH179" s="97" t="str">
        <f aca="false">IF($BR179&lt;&gt;Constants!$B$8,"",Constants!$B$20+SUM($BC179:$BG179))</f>
        <v/>
      </c>
      <c r="BI179" s="92" t="str">
        <f aca="false">IF($BR179&lt;&gt;Constants!$B$8,"",IF(OR($BP179&lt;$BH179,AND($BP179=$BH179,OR($BK179&lt;$BC179,AND($BK179=$BC179,OR($BL179&lt;$BD179,AND($BL179=$BD179,$AT179,$AL179,$AV179&lt;$AN179)))))),"-&gt;","&lt;-"))</f>
        <v/>
      </c>
      <c r="BJ179" s="91" t="str">
        <f aca="false">IF(ISBLANK($C179),"",AND($AT179,OR($AU179="",$AV179="",AND($AW179,$AX179=""))))</f>
        <v/>
      </c>
      <c r="BK179" s="93" t="str">
        <f aca="false">IF($BR179&lt;&gt;Constants!$B$8,"",IF($AT179,Constants!$B$21*$AV179+Constants!$B$22*IF($AW179,$AX179,Constants!$B$23),Constants!$B$24))</f>
        <v/>
      </c>
      <c r="BL179" s="96" t="str">
        <f aca="false">IF($BR179&lt;&gt;Constants!$B$8,"",Constants!$B$25*ABS($AD$9-IF($AT179,$AU179,0)))</f>
        <v/>
      </c>
      <c r="BM179" s="96" t="str">
        <f aca="false">IF($BR179&lt;&gt;Constants!$B$8,"",IF(AND($AT179,$AY179,$AW179),Constants!$B$27,0))</f>
        <v/>
      </c>
      <c r="BN179" s="96" t="str">
        <f aca="false">IF($BR179&lt;&gt;Constants!$B$8,"",IF($AT179,($AI179-Constants!$B$29)*Constants!$B$28,0))</f>
        <v/>
      </c>
      <c r="BO179" s="96" t="str">
        <f aca="false">IF($BR179&lt;&gt;Constants!$B$8,"",IF($AS179,0,Constants!$B$15)+IF($AR179,0,Constants!$B$16)+IF($AH179,0,Constants!$B$17))</f>
        <v/>
      </c>
      <c r="BP179" s="97" t="str">
        <f aca="false">IF($BR179&lt;&gt;Constants!$B$8,"",Constants!$B$20+SUM($BK179:$BO179))</f>
        <v/>
      </c>
      <c r="BQ179" s="92" t="str">
        <f aca="false">IF(ISBLANK($C179),"",IF(ISBLANK($D$7),$BQ$5,IF(NOT(ISNUMBER($D$7)),$BQ$6,"")))</f>
        <v/>
      </c>
      <c r="BR179" s="92" t="str">
        <f aca="false">IF(ISBLANK($C179),"",IF($BA179,Constants!$B$11,IF(COUNTA($E179:$AA179)=0,Constants!$B$10,IF(NOT($AG179),Constants!$B$9,IF(OR($BQ179&lt;&gt;"",$BB179,$BJ179),Constants!$B$12,Constants!$B$8)))))</f>
        <v/>
      </c>
      <c r="BS179" s="92" t="str">
        <f aca="false">IF(ISBLANK($C179),"",IF($BR179&lt;&gt;Constants!$B$8,$BR179,Constants!$B$13))</f>
        <v/>
      </c>
      <c r="BT179" s="96" t="str">
        <f aca="false">IF($BR179&lt;&gt;Constants!$B$8,"",IF($BI179="-&gt;",$BP179,$BH179))</f>
        <v/>
      </c>
      <c r="BU179" s="96" t="str">
        <f aca="false">IF($BR179&lt;&gt;Constants!$B$8,"",IF($AF179,0,Constants!$B$18))</f>
        <v/>
      </c>
      <c r="BV179" s="96" t="str">
        <f aca="false">IF($BR179&lt;&gt;Constants!$B$8,"",((Constants!$B$31-$AZ179)-Constants!$B$31)/Constants!$B$32)</f>
        <v/>
      </c>
      <c r="BW179" s="96" t="str">
        <f aca="false">IF(ISBLANK($C179),"",IF($BR179&lt;&gt;Constants!$B$8,$BR179,SUM($BT179:$BV179)))</f>
        <v/>
      </c>
      <c r="BX179" s="92" t="str">
        <f aca="false">IF(ISBLANK($C179),"",IF($BR179&lt;&gt;Constants!$B$8,$BR179,RANK($BW179,$BW$9:$BW$508,1)))</f>
        <v/>
      </c>
      <c r="BY179" s="96" t="str">
        <f aca="false">IF($BR179&lt;&gt;Constants!$B$8,"",IF($BI179="-&gt;",$BK179,$BC179))</f>
        <v/>
      </c>
      <c r="BZ179" s="92" t="str">
        <f aca="false">IF(ISBLANK($C179),"",IF($BR179&lt;&gt;Constants!$B$8,$BR179,IF(ISNUMBER($BY179),RANK($BY179,$BY$9:$BY$508,1),COUNT($BY$9:$BY$508)+1)))</f>
        <v/>
      </c>
      <c r="CA179" s="96" t="str">
        <f aca="false">IF($BR179&lt;&gt;Constants!$B$8,"",IF($BI179="-&gt;",$BL179,$BD179))</f>
        <v/>
      </c>
      <c r="CB179" s="92" t="str">
        <f aca="false">IF(ISBLANK($C179),"",IF($BR179&lt;&gt;Constants!$B$8,$BR179,IF(ISNUMBER($CA179),RANK($CA179,$CA$9:$CA$508,1),COUNT($CA$9:$CA$508)+1)))</f>
        <v/>
      </c>
      <c r="CC179" s="96" t="str">
        <f aca="false">IF($BR179&lt;&gt;Constants!$B$8,"",IF($BI179="-&gt;",IF($AT179,$AV179,""),IF($AL179,$AN179,"")))</f>
        <v/>
      </c>
      <c r="CD179" s="92" t="str">
        <f aca="false">IF(ISBLANK($C179),"",IF($BR179&lt;&gt;Constants!$B$8,$BR179,IF(ISNUMBER($CC179),RANK($CC179,$CC$9:$CC$508,1),COUNT($CC$9:$CC$508)+1)))</f>
        <v/>
      </c>
      <c r="CE179" s="96" t="str">
        <f aca="false">IF($BR179&lt;&gt;Constants!$B$8,"",IF(AND(NOT($AL179),NOT($AT179),$AJ179,$AK179,$AR179,$AS179),"",$AI179))</f>
        <v/>
      </c>
      <c r="CF179" s="92" t="str">
        <f aca="false">IF(ISBLANK($C179),"",IF($BR179&lt;&gt;Constants!$B$8,$BR179,IF(ISNUMBER($CE179),RANK($CE179,$CE$9:$CE$508,1),COUNT($CE$9:$CE$508)+1)))</f>
        <v/>
      </c>
      <c r="CG179" s="92" t="str">
        <f aca="false">IF(ISBLANK($C179),"",IF($BR179&lt;&gt;Constants!$B$8,$BR179,COUNTIFS($BX$9:$BX$508,"&lt;"&amp;$BX179)+COUNTIFS($BX$9:$BX$508,$BX179,$BZ$9:$BZ$508,"&lt;"&amp;$BZ179)+COUNTIFS($BX$9:$BX$508,$BX179,$BZ$9:$BZ$508,$BZ179,$CB$9:$CB$508,"&lt;"&amp;$CB179)+COUNTIFS($BX$9:$BX$508,$BX179,$BZ$9:$BZ$508,$BZ179,$CB$9:$CB$508,$CB179,$CD$9:$CD$508,"&lt;"&amp;$CD179)+COUNTIFS($BX$9:$BX$508,$BX179,$BZ$9:$BZ$508,$BZ179,$CB$9:$CB$508,$CB179,$CD$9:$CD$508,$CD179,$CF$9:$CF$508,"&lt;"&amp;$CF179)+1))</f>
        <v/>
      </c>
      <c r="CH179" s="92" t="str">
        <f aca="false">IF(ISBLANK($C179),"",IF($BR179&lt;&gt;Constants!$B$8,$BR179,$BX179-$CG179))</f>
        <v/>
      </c>
      <c r="CI179" s="98"/>
      <c r="CJ179" s="99"/>
      <c r="CK179" s="100" t="str">
        <f aca="false">IF(ISBLANK($C179),"",IF($BR179=Constants!$B$12,$BQ179,""))</f>
        <v/>
      </c>
      <c r="CL179" s="99" t="str">
        <f aca="false">IF(ISBLANK($C179),"",IF($BR179&lt;&gt;Constants!$B$8,"",IF($BI179="-&gt;",2,1)))</f>
        <v/>
      </c>
      <c r="CM179" s="101" t="str">
        <f aca="false">IF(ISBLANK($C179),"",IF($BR179&lt;&gt;Constants!$B$8,"",IF($BI179="-&gt;",$BK179,$BC179)))</f>
        <v/>
      </c>
      <c r="CN179" s="101" t="str">
        <f aca="false">IF(ISBLANK($C179),"",IF($BR179&lt;&gt;Constants!$B$8,"",IF($BI179="-&gt;",$BL179,$BD179)))</f>
        <v/>
      </c>
      <c r="CO179" s="101" t="str">
        <f aca="false">IF(ISBLANK($C179),"",IF($BR179&lt;&gt;Constants!$B$8,"",IF($BI179="-&gt;",$BM179+$BN179,$BE179+$BF179)+$BV179))</f>
        <v/>
      </c>
      <c r="CP179" s="101" t="str">
        <f aca="false">IF(ISBLANK($C179),"",IF($BR179&lt;&gt;Constants!$B$8,"",IF($BI179="-&gt;",$BO179,$BG179)+$BU179))</f>
        <v/>
      </c>
      <c r="CQ179" s="102" t="str">
        <f aca="false">IF(ISBLANK($C179),"",IF($BR179&lt;&gt;Constants!$B$8,$BR179,$BW179))</f>
        <v/>
      </c>
      <c r="CR179" s="103" t="str">
        <f aca="false">IF(ISBLANK($C179),"",$BS179)</f>
        <v/>
      </c>
      <c r="CS179" s="104" t="str">
        <f aca="false">IF(ISBLANK($C179),"",$CH179)</f>
        <v/>
      </c>
      <c r="CT179" s="104" t="str">
        <f aca="false">IF(ISBLANK($C179),"",$CG179)</f>
        <v/>
      </c>
      <c r="CU179" s="105" t="str">
        <f aca="false">IF(ISBLANK($C179),"",IFERROR(_xlfn.SWITCH($CT179,Constants!$B$11,COUNTA($C$9:$C$508)+2,Constants!$B$10,COUNTA($C$9:$C$508)+1,Constants!$B$9,COUNTA($C$9:$C$508)),$CT179))</f>
        <v/>
      </c>
      <c r="CV179" s="9"/>
      <c r="CW179" s="106" t="n">
        <f aca="false">IF(OR(ISNUMBER($CT179),$CT179=Constants!$B$11,$CT179=Constants!$B$9,$CT179=Constants!$B$10),1,0)</f>
        <v>0</v>
      </c>
      <c r="CX179" s="106" t="n">
        <v>171</v>
      </c>
      <c r="CY179" s="106" t="str">
        <f aca="false">IF(ISBLANK($C179),"",IF(ISNUMBER($CU179),$CU179+ROW($B179)/1000,""))</f>
        <v/>
      </c>
      <c r="CZ179" s="106" t="str">
        <f aca="false">IF(ISNUMBER($CY179),RANK($CY179,$CY$9:$CY$508,1),"")</f>
        <v/>
      </c>
      <c r="DA179" s="106" t="str">
        <f aca="false">IF(ISBLANK($C179),"",$B179)</f>
        <v/>
      </c>
      <c r="DB179" s="106" t="str">
        <f aca="false">IF(ISBLANK($C179),"",$C179)</f>
        <v/>
      </c>
      <c r="DC179" s="106" t="str">
        <f aca="false">IF(ISBLANK($C179),"",$D179)</f>
        <v/>
      </c>
      <c r="DD179" s="107" t="str">
        <f aca="false">$CR179</f>
        <v/>
      </c>
      <c r="DE179" s="108" t="str">
        <f aca="false">$CQ179</f>
        <v/>
      </c>
      <c r="DF179" s="106" t="str">
        <f aca="false">IF(ISBLANK($C179),"",$CT179)</f>
        <v/>
      </c>
      <c r="DG179" s="109" t="str">
        <f aca="false">IF($CX179&gt;$CW$8,"",VLOOKUP($CX179,$CZ$9:$DF$508,7,FALSE()))</f>
        <v/>
      </c>
      <c r="DH179" s="110" t="str">
        <f aca="false">IF($CX179&gt;$CW$8,"",VLOOKUP($CX179,$CZ$9:$DF$508,2,FALSE()))</f>
        <v/>
      </c>
      <c r="DI179" s="110" t="str">
        <f aca="false">IF($CX179&gt;$CW$8,"",VLOOKUP($CX179,$CZ$9:$DF$508,3,FALSE()))</f>
        <v/>
      </c>
      <c r="DJ179" s="110" t="str">
        <f aca="false">IF($CX179&gt;$CW$8,"",VLOOKUP($CX179,$CZ$9:$DF$508,4,FALSE()))</f>
        <v/>
      </c>
      <c r="DK179" s="110" t="str">
        <f aca="false">IF($CX179&gt;$CW$8,"",VLOOKUP($CX179,$CZ$9:$DF$508,5,FALSE()))</f>
        <v/>
      </c>
      <c r="DL179" s="111" t="str">
        <f aca="false">IF($CX179&gt;$CW$8,"",VLOOKUP($CX179,$CZ$9:$DF$508,6,FALSE()))</f>
        <v/>
      </c>
      <c r="DM179" s="75"/>
    </row>
    <row r="180" customFormat="false" ht="15.75" hidden="false" customHeight="false" outlineLevel="0" collapsed="false">
      <c r="A180" s="9"/>
      <c r="B180" s="157"/>
      <c r="C180" s="158"/>
      <c r="D180" s="159"/>
      <c r="E180" s="177"/>
      <c r="F180" s="161"/>
      <c r="G180" s="162"/>
      <c r="H180" s="162"/>
      <c r="I180" s="178"/>
      <c r="J180" s="165"/>
      <c r="K180" s="126"/>
      <c r="L180" s="127"/>
      <c r="M180" s="128"/>
      <c r="N180" s="165"/>
      <c r="O180" s="165"/>
      <c r="P180" s="177"/>
      <c r="Q180" s="165"/>
      <c r="R180" s="165"/>
      <c r="S180" s="126"/>
      <c r="T180" s="128"/>
      <c r="U180" s="128"/>
      <c r="V180" s="165"/>
      <c r="W180" s="165"/>
      <c r="X180" s="177"/>
      <c r="Y180" s="165"/>
      <c r="Z180" s="166"/>
      <c r="AA180" s="165"/>
      <c r="AB180" s="132"/>
      <c r="AC180" s="133"/>
      <c r="AD180" s="133"/>
      <c r="AE180" s="133"/>
      <c r="AF180" s="133" t="str">
        <f aca="false">IF(ISBLANK($C180),"",IF(E180=Constants!$B$3,TRUE(),IF(E180=Constants!$B$4,FALSE(),TRUE())))</f>
        <v/>
      </c>
      <c r="AG180" s="133" t="str">
        <f aca="false">IF(ISBLANK($C180),"",IF(F180=Constants!$B$3,TRUE(),IF(F180=Constants!$B$4,FALSE(),TRUE())))</f>
        <v/>
      </c>
      <c r="AH180" s="133" t="str">
        <f aca="false">IF(ISBLANK($C180),"",IF(G180=Constants!$B$3,TRUE(),IF(G180=Constants!$B$4,FALSE(),TRUE())))</f>
        <v/>
      </c>
      <c r="AI180" s="133" t="str">
        <f aca="false">IF(ISBLANK($C180),"",IF(AND(ISNUMBER(H180),H180&gt;=0),H180,Constants!$B$29))</f>
        <v/>
      </c>
      <c r="AJ180" s="133" t="str">
        <f aca="false">IF(ISBLANK($C180),"",IF(I180=Constants!$B$3,TRUE(),IF(I180=Constants!$B$4,FALSE(),TRUE())))</f>
        <v/>
      </c>
      <c r="AK180" s="133" t="str">
        <f aca="false">IF(ISBLANK($C180),"",IF(J180=Constants!$B$3,TRUE(),IF(J180=Constants!$B$4,FALSE(),TRUE())))</f>
        <v/>
      </c>
      <c r="AL180" s="133" t="str">
        <f aca="false">IF(ISBLANK($C180),"",IF(K180=Constants!$B$5,TRUE(),IF(K180=Constants!$B$6,FALSE(),COUNTA(L180:P180)&gt;0)))</f>
        <v/>
      </c>
      <c r="AM180" s="134" t="str">
        <f aca="false">IF(ISBLANK($C180),"",IF(ISNUMBER(L180),IF(L180&gt;=0,L180,""),""))</f>
        <v/>
      </c>
      <c r="AN180" s="135" t="str">
        <f aca="false">IF(ISBLANK($C180),"",IF(ISNUMBER(M180),IF(M180&gt;=0,M180,""),""))</f>
        <v/>
      </c>
      <c r="AO180" s="135" t="str">
        <f aca="false">IF(ISBLANK($C180),"",IF(N180=Constants!$B$3,TRUE(),IF(N180=Constants!$B$4,FALSE(),TRUE())))</f>
        <v/>
      </c>
      <c r="AP180" s="133" t="str">
        <f aca="false">IF(ISBLANK($C180),"",IF(ISNUMBER(O180),IF(O180&gt;=0,O180,""),""))</f>
        <v/>
      </c>
      <c r="AQ180" s="133" t="str">
        <f aca="false">IF(ISBLANK($C180),"",IF(P180=Constants!$B$3,TRUE(),IF(P180=Constants!$B$4,FALSE(),FALSE())))</f>
        <v/>
      </c>
      <c r="AR180" s="133" t="str">
        <f aca="false">IF(ISBLANK($C180),"",IF(Q180=Constants!$B$3,TRUE(),IF(Q180=Constants!$B$4,FALSE(),TRUE())))</f>
        <v/>
      </c>
      <c r="AS180" s="133" t="str">
        <f aca="false">IF(ISBLANK($C180),"",IF(R180=Constants!$B$3,TRUE(),IF(R180=Constants!$B$4,FALSE(),TRUE())))</f>
        <v/>
      </c>
      <c r="AT180" s="133" t="str">
        <f aca="false">IF(ISBLANK($C180),"",IF(S180=Constants!$B$5,TRUE(),IF(S180=Constants!$B$6,FALSE(),COUNTA(T180:X180)&gt;0)))</f>
        <v/>
      </c>
      <c r="AU180" s="134" t="str">
        <f aca="false">IF(ISBLANK($C180),"",IF(ISNUMBER(T180),IF(T180&gt;=0,T180,""),""))</f>
        <v/>
      </c>
      <c r="AV180" s="135" t="str">
        <f aca="false">IF(ISBLANK($C180),"",IF(ISNUMBER(U180),IF(U180&gt;=0,U180,""),""))</f>
        <v/>
      </c>
      <c r="AW180" s="135" t="str">
        <f aca="false">IF(ISBLANK($C180),"",IF(V180=Constants!$B$3,TRUE(),IF(V180=Constants!$B$4,FALSE(),TRUE())))</f>
        <v/>
      </c>
      <c r="AX180" s="133" t="str">
        <f aca="false">IF(ISBLANK($C180),"",IF(ISNUMBER(W180),IF(W180&gt;=0,W180,""),""))</f>
        <v/>
      </c>
      <c r="AY180" s="133" t="str">
        <f aca="false">IF(ISBLANK($C180),"",IF(X180=Constants!$B$3,TRUE(),IF(X180=Constants!$B$4,FALSE(),FALSE())))</f>
        <v/>
      </c>
      <c r="AZ180" s="133" t="str">
        <f aca="false">IF(ISBLANK($C180),"",MIN(Constants!$B$31,MAX(0,IF(ISNUMBER(Y180),Y180*60,0)+IF(ISNUMBER(Z180),Z180,0))))</f>
        <v/>
      </c>
      <c r="BA180" s="133" t="str">
        <f aca="false">IF(ISBLANK($C180),"",IF(AA180=Constants!$B$3,TRUE(),IF(AA180=Constants!$B$4,FALSE(),FALSE())))</f>
        <v/>
      </c>
      <c r="BB180" s="132" t="str">
        <f aca="false">IF(ISBLANK($C180),"",AND($AL180,OR($AM180="",$AN180="",AND($AO180,$AP180=""))))</f>
        <v/>
      </c>
      <c r="BC180" s="135" t="str">
        <f aca="false">IF($BR180&lt;&gt;Constants!$B$8,"",IF($AL180,Constants!$B$21*$AN180+Constants!$B$22*IF($AO180,$AP180,Constants!$B$23),Constants!$B$24))</f>
        <v/>
      </c>
      <c r="BD180" s="136" t="str">
        <f aca="false">IF($BR180&lt;&gt;Constants!$B$8,"",Constants!$B$25*ABS($AD$9-IF($AL180,$AM180,0)))</f>
        <v/>
      </c>
      <c r="BE180" s="136" t="str">
        <f aca="false">IF($BR180&lt;&gt;Constants!$B$8,"",IF(AND($AL180,$AQ180,$AO180),Constants!$B$27,0))</f>
        <v/>
      </c>
      <c r="BF180" s="136" t="str">
        <f aca="false">IF($BR180&lt;&gt;Constants!$B$8,"",IF($AL180,($AI180-Constants!$B$29)*Constants!$B$28,0))</f>
        <v/>
      </c>
      <c r="BG180" s="136" t="str">
        <f aca="false">IF($BR180&lt;&gt;Constants!$B$8,"",IF($AK180,0,Constants!$B$15)+IF($AJ180,0,Constants!$B$16)+IF($AH180,0,Constants!$B$17))</f>
        <v/>
      </c>
      <c r="BH180" s="137" t="str">
        <f aca="false">IF($BR180&lt;&gt;Constants!$B$8,"",Constants!$B$20+SUM($BC180:$BG180))</f>
        <v/>
      </c>
      <c r="BI180" s="133" t="str">
        <f aca="false">IF($BR180&lt;&gt;Constants!$B$8,"",IF(OR($BP180&lt;$BH180,AND($BP180=$BH180,OR($BK180&lt;$BC180,AND($BK180=$BC180,OR($BL180&lt;$BD180,AND($BL180=$BD180,$AT180,$AL180,$AV180&lt;$AN180)))))),"-&gt;","&lt;-"))</f>
        <v/>
      </c>
      <c r="BJ180" s="132" t="str">
        <f aca="false">IF(ISBLANK($C180),"",AND($AT180,OR($AU180="",$AV180="",AND($AW180,$AX180=""))))</f>
        <v/>
      </c>
      <c r="BK180" s="135" t="str">
        <f aca="false">IF($BR180&lt;&gt;Constants!$B$8,"",IF($AT180,Constants!$B$21*$AV180+Constants!$B$22*IF($AW180,$AX180,Constants!$B$23),Constants!$B$24))</f>
        <v/>
      </c>
      <c r="BL180" s="136" t="str">
        <f aca="false">IF($BR180&lt;&gt;Constants!$B$8,"",Constants!$B$25*ABS($AD$9-IF($AT180,$AU180,0)))</f>
        <v/>
      </c>
      <c r="BM180" s="136" t="str">
        <f aca="false">IF($BR180&lt;&gt;Constants!$B$8,"",IF(AND($AT180,$AY180,$AW180),Constants!$B$27,0))</f>
        <v/>
      </c>
      <c r="BN180" s="136" t="str">
        <f aca="false">IF($BR180&lt;&gt;Constants!$B$8,"",IF($AT180,($AI180-Constants!$B$29)*Constants!$B$28,0))</f>
        <v/>
      </c>
      <c r="BO180" s="136" t="str">
        <f aca="false">IF($BR180&lt;&gt;Constants!$B$8,"",IF($AS180,0,Constants!$B$15)+IF($AR180,0,Constants!$B$16)+IF($AH180,0,Constants!$B$17))</f>
        <v/>
      </c>
      <c r="BP180" s="137" t="str">
        <f aca="false">IF($BR180&lt;&gt;Constants!$B$8,"",Constants!$B$20+SUM($BK180:$BO180))</f>
        <v/>
      </c>
      <c r="BQ180" s="133" t="str">
        <f aca="false">IF(ISBLANK($C180),"",IF(ISBLANK($D$7),$BQ$5,IF(NOT(ISNUMBER($D$7)),$BQ$6,"")))</f>
        <v/>
      </c>
      <c r="BR180" s="133" t="str">
        <f aca="false">IF(ISBLANK($C180),"",IF($BA180,Constants!$B$11,IF(COUNTA($E180:$AA180)=0,Constants!$B$10,IF(NOT($AG180),Constants!$B$9,IF(OR($BQ180&lt;&gt;"",$BB180,$BJ180),Constants!$B$12,Constants!$B$8)))))</f>
        <v/>
      </c>
      <c r="BS180" s="133" t="str">
        <f aca="false">IF(ISBLANK($C180),"",IF($BR180&lt;&gt;Constants!$B$8,$BR180,Constants!$B$13))</f>
        <v/>
      </c>
      <c r="BT180" s="136" t="str">
        <f aca="false">IF($BR180&lt;&gt;Constants!$B$8,"",IF($BI180="-&gt;",$BP180,$BH180))</f>
        <v/>
      </c>
      <c r="BU180" s="136" t="str">
        <f aca="false">IF($BR180&lt;&gt;Constants!$B$8,"",IF($AF180,0,Constants!$B$18))</f>
        <v/>
      </c>
      <c r="BV180" s="136" t="str">
        <f aca="false">IF($BR180&lt;&gt;Constants!$B$8,"",((Constants!$B$31-$AZ180)-Constants!$B$31)/Constants!$B$32)</f>
        <v/>
      </c>
      <c r="BW180" s="136" t="str">
        <f aca="false">IF(ISBLANK($C180),"",IF($BR180&lt;&gt;Constants!$B$8,$BR180,SUM($BT180:$BV180)))</f>
        <v/>
      </c>
      <c r="BX180" s="133" t="str">
        <f aca="false">IF(ISBLANK($C180),"",IF($BR180&lt;&gt;Constants!$B$8,$BR180,RANK($BW180,$BW$9:$BW$508,1)))</f>
        <v/>
      </c>
      <c r="BY180" s="136" t="str">
        <f aca="false">IF($BR180&lt;&gt;Constants!$B$8,"",IF($BI180="-&gt;",$BK180,$BC180))</f>
        <v/>
      </c>
      <c r="BZ180" s="133" t="str">
        <f aca="false">IF(ISBLANK($C180),"",IF($BR180&lt;&gt;Constants!$B$8,$BR180,IF(ISNUMBER($BY180),RANK($BY180,$BY$9:$BY$508,1),COUNT($BY$9:$BY$508)+1)))</f>
        <v/>
      </c>
      <c r="CA180" s="136" t="str">
        <f aca="false">IF($BR180&lt;&gt;Constants!$B$8,"",IF($BI180="-&gt;",$BL180,$BD180))</f>
        <v/>
      </c>
      <c r="CB180" s="133" t="str">
        <f aca="false">IF(ISBLANK($C180),"",IF($BR180&lt;&gt;Constants!$B$8,$BR180,IF(ISNUMBER($CA180),RANK($CA180,$CA$9:$CA$508,1),COUNT($CA$9:$CA$508)+1)))</f>
        <v/>
      </c>
      <c r="CC180" s="136" t="str">
        <f aca="false">IF($BR180&lt;&gt;Constants!$B$8,"",IF($BI180="-&gt;",IF($AT180,$AV180,""),IF($AL180,$AN180,"")))</f>
        <v/>
      </c>
      <c r="CD180" s="133" t="str">
        <f aca="false">IF(ISBLANK($C180),"",IF($BR180&lt;&gt;Constants!$B$8,$BR180,IF(ISNUMBER($CC180),RANK($CC180,$CC$9:$CC$508,1),COUNT($CC$9:$CC$508)+1)))</f>
        <v/>
      </c>
      <c r="CE180" s="136" t="str">
        <f aca="false">IF($BR180&lt;&gt;Constants!$B$8,"",IF(AND(NOT($AL180),NOT($AT180),$AJ180,$AK180,$AR180,$AS180),"",$AI180))</f>
        <v/>
      </c>
      <c r="CF180" s="133" t="str">
        <f aca="false">IF(ISBLANK($C180),"",IF($BR180&lt;&gt;Constants!$B$8,$BR180,IF(ISNUMBER($CE180),RANK($CE180,$CE$9:$CE$508,1),COUNT($CE$9:$CE$508)+1)))</f>
        <v/>
      </c>
      <c r="CG180" s="133" t="str">
        <f aca="false">IF(ISBLANK($C180),"",IF($BR180&lt;&gt;Constants!$B$8,$BR180,COUNTIFS($BX$9:$BX$508,"&lt;"&amp;$BX180)+COUNTIFS($BX$9:$BX$508,$BX180,$BZ$9:$BZ$508,"&lt;"&amp;$BZ180)+COUNTIFS($BX$9:$BX$508,$BX180,$BZ$9:$BZ$508,$BZ180,$CB$9:$CB$508,"&lt;"&amp;$CB180)+COUNTIFS($BX$9:$BX$508,$BX180,$BZ$9:$BZ$508,$BZ180,$CB$9:$CB$508,$CB180,$CD$9:$CD$508,"&lt;"&amp;$CD180)+COUNTIFS($BX$9:$BX$508,$BX180,$BZ$9:$BZ$508,$BZ180,$CB$9:$CB$508,$CB180,$CD$9:$CD$508,$CD180,$CF$9:$CF$508,"&lt;"&amp;$CF180)+1))</f>
        <v/>
      </c>
      <c r="CH180" s="133" t="str">
        <f aca="false">IF(ISBLANK($C180),"",IF($BR180&lt;&gt;Constants!$B$8,$BR180,$BX180-$CG180))</f>
        <v/>
      </c>
      <c r="CI180" s="138"/>
      <c r="CJ180" s="139"/>
      <c r="CK180" s="140" t="str">
        <f aca="false">IF(ISBLANK($C180),"",IF($BR180=Constants!$B$12,$BQ180,""))</f>
        <v/>
      </c>
      <c r="CL180" s="139" t="str">
        <f aca="false">IF(ISBLANK($C180),"",IF($BR180&lt;&gt;Constants!$B$8,"",IF($BI180="-&gt;",2,1)))</f>
        <v/>
      </c>
      <c r="CM180" s="141" t="str">
        <f aca="false">IF(ISBLANK($C180),"",IF($BR180&lt;&gt;Constants!$B$8,"",IF($BI180="-&gt;",$BK180,$BC180)))</f>
        <v/>
      </c>
      <c r="CN180" s="141" t="str">
        <f aca="false">IF(ISBLANK($C180),"",IF($BR180&lt;&gt;Constants!$B$8,"",IF($BI180="-&gt;",$BL180,$BD180)))</f>
        <v/>
      </c>
      <c r="CO180" s="141" t="str">
        <f aca="false">IF(ISBLANK($C180),"",IF($BR180&lt;&gt;Constants!$B$8,"",IF($BI180="-&gt;",$BM180+$BN180,$BE180+$BF180)+$BV180))</f>
        <v/>
      </c>
      <c r="CP180" s="141" t="str">
        <f aca="false">IF(ISBLANK($C180),"",IF($BR180&lt;&gt;Constants!$B$8,"",IF($BI180="-&gt;",$BO180,$BG180)+$BU180))</f>
        <v/>
      </c>
      <c r="CQ180" s="142" t="str">
        <f aca="false">IF(ISBLANK($C180),"",IF($BR180&lt;&gt;Constants!$B$8,$BR180,$BW180))</f>
        <v/>
      </c>
      <c r="CR180" s="143" t="str">
        <f aca="false">IF(ISBLANK($C180),"",$BS180)</f>
        <v/>
      </c>
      <c r="CS180" s="144" t="str">
        <f aca="false">IF(ISBLANK($C180),"",$CH180)</f>
        <v/>
      </c>
      <c r="CT180" s="144" t="str">
        <f aca="false">IF(ISBLANK($C180),"",$CG180)</f>
        <v/>
      </c>
      <c r="CU180" s="145" t="str">
        <f aca="false">IF(ISBLANK($C180),"",IFERROR(_xlfn.SWITCH($CT180,Constants!$B$11,COUNTA($C$9:$C$508)+2,Constants!$B$10,COUNTA($C$9:$C$508)+1,Constants!$B$9,COUNTA($C$9:$C$508)),$CT180))</f>
        <v/>
      </c>
      <c r="CV180" s="9"/>
      <c r="CW180" s="146" t="n">
        <f aca="false">IF(OR(ISNUMBER($CT180),$CT180=Constants!$B$11,$CT180=Constants!$B$9,$CT180=Constants!$B$10),1,0)</f>
        <v>0</v>
      </c>
      <c r="CX180" s="146" t="n">
        <v>172</v>
      </c>
      <c r="CY180" s="146" t="str">
        <f aca="false">IF(ISBLANK($C180),"",IF(ISNUMBER($CU180),$CU180+ROW($B180)/1000,""))</f>
        <v/>
      </c>
      <c r="CZ180" s="146" t="str">
        <f aca="false">IF(ISNUMBER($CY180),RANK($CY180,$CY$9:$CY$508,1),"")</f>
        <v/>
      </c>
      <c r="DA180" s="146" t="str">
        <f aca="false">IF(ISBLANK($C180),"",$B180)</f>
        <v/>
      </c>
      <c r="DB180" s="146" t="str">
        <f aca="false">IF(ISBLANK($C180),"",$C180)</f>
        <v/>
      </c>
      <c r="DC180" s="146" t="str">
        <f aca="false">IF(ISBLANK($C180),"",$D180)</f>
        <v/>
      </c>
      <c r="DD180" s="147" t="str">
        <f aca="false">$CR180</f>
        <v/>
      </c>
      <c r="DE180" s="148" t="str">
        <f aca="false">$CQ180</f>
        <v/>
      </c>
      <c r="DF180" s="146" t="str">
        <f aca="false">IF(ISBLANK($C180),"",$CT180)</f>
        <v/>
      </c>
      <c r="DG180" s="149" t="str">
        <f aca="false">IF($CX180&gt;$CW$8,"",VLOOKUP($CX180,$CZ$9:$DF$508,7,FALSE()))</f>
        <v/>
      </c>
      <c r="DH180" s="150" t="str">
        <f aca="false">IF($CX180&gt;$CW$8,"",VLOOKUP($CX180,$CZ$9:$DF$508,2,FALSE()))</f>
        <v/>
      </c>
      <c r="DI180" s="150" t="str">
        <f aca="false">IF($CX180&gt;$CW$8,"",VLOOKUP($CX180,$CZ$9:$DF$508,3,FALSE()))</f>
        <v/>
      </c>
      <c r="DJ180" s="150" t="str">
        <f aca="false">IF($CX180&gt;$CW$8,"",VLOOKUP($CX180,$CZ$9:$DF$508,4,FALSE()))</f>
        <v/>
      </c>
      <c r="DK180" s="150" t="str">
        <f aca="false">IF($CX180&gt;$CW$8,"",VLOOKUP($CX180,$CZ$9:$DF$508,5,FALSE()))</f>
        <v/>
      </c>
      <c r="DL180" s="151" t="str">
        <f aca="false">IF($CX180&gt;$CW$8,"",VLOOKUP($CX180,$CZ$9:$DF$508,6,FALSE()))</f>
        <v/>
      </c>
      <c r="DM180" s="75"/>
    </row>
    <row r="181" customFormat="false" ht="15.75" hidden="false" customHeight="false" outlineLevel="0" collapsed="false">
      <c r="A181" s="9"/>
      <c r="B181" s="157"/>
      <c r="C181" s="158"/>
      <c r="D181" s="159"/>
      <c r="E181" s="177"/>
      <c r="F181" s="161"/>
      <c r="G181" s="162"/>
      <c r="H181" s="162"/>
      <c r="I181" s="178"/>
      <c r="J181" s="165"/>
      <c r="K181" s="126"/>
      <c r="L181" s="127"/>
      <c r="M181" s="128"/>
      <c r="N181" s="165"/>
      <c r="O181" s="165"/>
      <c r="P181" s="177"/>
      <c r="Q181" s="165"/>
      <c r="R181" s="165"/>
      <c r="S181" s="126"/>
      <c r="T181" s="128"/>
      <c r="U181" s="128"/>
      <c r="V181" s="165"/>
      <c r="W181" s="165"/>
      <c r="X181" s="177"/>
      <c r="Y181" s="165"/>
      <c r="Z181" s="166"/>
      <c r="AA181" s="165"/>
      <c r="AB181" s="132"/>
      <c r="AC181" s="133"/>
      <c r="AD181" s="133"/>
      <c r="AE181" s="133"/>
      <c r="AF181" s="133" t="str">
        <f aca="false">IF(ISBLANK($C181),"",IF(E181=Constants!$B$3,TRUE(),IF(E181=Constants!$B$4,FALSE(),TRUE())))</f>
        <v/>
      </c>
      <c r="AG181" s="133" t="str">
        <f aca="false">IF(ISBLANK($C181),"",IF(F181=Constants!$B$3,TRUE(),IF(F181=Constants!$B$4,FALSE(),TRUE())))</f>
        <v/>
      </c>
      <c r="AH181" s="133" t="str">
        <f aca="false">IF(ISBLANK($C181),"",IF(G181=Constants!$B$3,TRUE(),IF(G181=Constants!$B$4,FALSE(),TRUE())))</f>
        <v/>
      </c>
      <c r="AI181" s="133" t="str">
        <f aca="false">IF(ISBLANK($C181),"",IF(AND(ISNUMBER(H181),H181&gt;=0),H181,Constants!$B$29))</f>
        <v/>
      </c>
      <c r="AJ181" s="133" t="str">
        <f aca="false">IF(ISBLANK($C181),"",IF(I181=Constants!$B$3,TRUE(),IF(I181=Constants!$B$4,FALSE(),TRUE())))</f>
        <v/>
      </c>
      <c r="AK181" s="133" t="str">
        <f aca="false">IF(ISBLANK($C181),"",IF(J181=Constants!$B$3,TRUE(),IF(J181=Constants!$B$4,FALSE(),TRUE())))</f>
        <v/>
      </c>
      <c r="AL181" s="133" t="str">
        <f aca="false">IF(ISBLANK($C181),"",IF(K181=Constants!$B$5,TRUE(),IF(K181=Constants!$B$6,FALSE(),COUNTA(L181:P181)&gt;0)))</f>
        <v/>
      </c>
      <c r="AM181" s="134" t="str">
        <f aca="false">IF(ISBLANK($C181),"",IF(ISNUMBER(L181),IF(L181&gt;=0,L181,""),""))</f>
        <v/>
      </c>
      <c r="AN181" s="135" t="str">
        <f aca="false">IF(ISBLANK($C181),"",IF(ISNUMBER(M181),IF(M181&gt;=0,M181,""),""))</f>
        <v/>
      </c>
      <c r="AO181" s="135" t="str">
        <f aca="false">IF(ISBLANK($C181),"",IF(N181=Constants!$B$3,TRUE(),IF(N181=Constants!$B$4,FALSE(),TRUE())))</f>
        <v/>
      </c>
      <c r="AP181" s="133" t="str">
        <f aca="false">IF(ISBLANK($C181),"",IF(ISNUMBER(O181),IF(O181&gt;=0,O181,""),""))</f>
        <v/>
      </c>
      <c r="AQ181" s="133" t="str">
        <f aca="false">IF(ISBLANK($C181),"",IF(P181=Constants!$B$3,TRUE(),IF(P181=Constants!$B$4,FALSE(),FALSE())))</f>
        <v/>
      </c>
      <c r="AR181" s="133" t="str">
        <f aca="false">IF(ISBLANK($C181),"",IF(Q181=Constants!$B$3,TRUE(),IF(Q181=Constants!$B$4,FALSE(),TRUE())))</f>
        <v/>
      </c>
      <c r="AS181" s="133" t="str">
        <f aca="false">IF(ISBLANK($C181),"",IF(R181=Constants!$B$3,TRUE(),IF(R181=Constants!$B$4,FALSE(),TRUE())))</f>
        <v/>
      </c>
      <c r="AT181" s="133" t="str">
        <f aca="false">IF(ISBLANK($C181),"",IF(S181=Constants!$B$5,TRUE(),IF(S181=Constants!$B$6,FALSE(),COUNTA(T181:X181)&gt;0)))</f>
        <v/>
      </c>
      <c r="AU181" s="134" t="str">
        <f aca="false">IF(ISBLANK($C181),"",IF(ISNUMBER(T181),IF(T181&gt;=0,T181,""),""))</f>
        <v/>
      </c>
      <c r="AV181" s="135" t="str">
        <f aca="false">IF(ISBLANK($C181),"",IF(ISNUMBER(U181),IF(U181&gt;=0,U181,""),""))</f>
        <v/>
      </c>
      <c r="AW181" s="135" t="str">
        <f aca="false">IF(ISBLANK($C181),"",IF(V181=Constants!$B$3,TRUE(),IF(V181=Constants!$B$4,FALSE(),TRUE())))</f>
        <v/>
      </c>
      <c r="AX181" s="133" t="str">
        <f aca="false">IF(ISBLANK($C181),"",IF(ISNUMBER(W181),IF(W181&gt;=0,W181,""),""))</f>
        <v/>
      </c>
      <c r="AY181" s="133" t="str">
        <f aca="false">IF(ISBLANK($C181),"",IF(X181=Constants!$B$3,TRUE(),IF(X181=Constants!$B$4,FALSE(),FALSE())))</f>
        <v/>
      </c>
      <c r="AZ181" s="133" t="str">
        <f aca="false">IF(ISBLANK($C181),"",MIN(Constants!$B$31,MAX(0,IF(ISNUMBER(Y181),Y181*60,0)+IF(ISNUMBER(Z181),Z181,0))))</f>
        <v/>
      </c>
      <c r="BA181" s="133" t="str">
        <f aca="false">IF(ISBLANK($C181),"",IF(AA181=Constants!$B$3,TRUE(),IF(AA181=Constants!$B$4,FALSE(),FALSE())))</f>
        <v/>
      </c>
      <c r="BB181" s="132" t="str">
        <f aca="false">IF(ISBLANK($C181),"",AND($AL181,OR($AM181="",$AN181="",AND($AO181,$AP181=""))))</f>
        <v/>
      </c>
      <c r="BC181" s="135" t="str">
        <f aca="false">IF($BR181&lt;&gt;Constants!$B$8,"",IF($AL181,Constants!$B$21*$AN181+Constants!$B$22*IF($AO181,$AP181,Constants!$B$23),Constants!$B$24))</f>
        <v/>
      </c>
      <c r="BD181" s="136" t="str">
        <f aca="false">IF($BR181&lt;&gt;Constants!$B$8,"",Constants!$B$25*ABS($AD$9-IF($AL181,$AM181,0)))</f>
        <v/>
      </c>
      <c r="BE181" s="136" t="str">
        <f aca="false">IF($BR181&lt;&gt;Constants!$B$8,"",IF(AND($AL181,$AQ181,$AO181),Constants!$B$27,0))</f>
        <v/>
      </c>
      <c r="BF181" s="136" t="str">
        <f aca="false">IF($BR181&lt;&gt;Constants!$B$8,"",IF($AL181,($AI181-Constants!$B$29)*Constants!$B$28,0))</f>
        <v/>
      </c>
      <c r="BG181" s="136" t="str">
        <f aca="false">IF($BR181&lt;&gt;Constants!$B$8,"",IF($AK181,0,Constants!$B$15)+IF($AJ181,0,Constants!$B$16)+IF($AH181,0,Constants!$B$17))</f>
        <v/>
      </c>
      <c r="BH181" s="137" t="str">
        <f aca="false">IF($BR181&lt;&gt;Constants!$B$8,"",Constants!$B$20+SUM($BC181:$BG181))</f>
        <v/>
      </c>
      <c r="BI181" s="133" t="str">
        <f aca="false">IF($BR181&lt;&gt;Constants!$B$8,"",IF(OR($BP181&lt;$BH181,AND($BP181=$BH181,OR($BK181&lt;$BC181,AND($BK181=$BC181,OR($BL181&lt;$BD181,AND($BL181=$BD181,$AT181,$AL181,$AV181&lt;$AN181)))))),"-&gt;","&lt;-"))</f>
        <v/>
      </c>
      <c r="BJ181" s="132" t="str">
        <f aca="false">IF(ISBLANK($C181),"",AND($AT181,OR($AU181="",$AV181="",AND($AW181,$AX181=""))))</f>
        <v/>
      </c>
      <c r="BK181" s="135" t="str">
        <f aca="false">IF($BR181&lt;&gt;Constants!$B$8,"",IF($AT181,Constants!$B$21*$AV181+Constants!$B$22*IF($AW181,$AX181,Constants!$B$23),Constants!$B$24))</f>
        <v/>
      </c>
      <c r="BL181" s="136" t="str">
        <f aca="false">IF($BR181&lt;&gt;Constants!$B$8,"",Constants!$B$25*ABS($AD$9-IF($AT181,$AU181,0)))</f>
        <v/>
      </c>
      <c r="BM181" s="136" t="str">
        <f aca="false">IF($BR181&lt;&gt;Constants!$B$8,"",IF(AND($AT181,$AY181,$AW181),Constants!$B$27,0))</f>
        <v/>
      </c>
      <c r="BN181" s="136" t="str">
        <f aca="false">IF($BR181&lt;&gt;Constants!$B$8,"",IF($AT181,($AI181-Constants!$B$29)*Constants!$B$28,0))</f>
        <v/>
      </c>
      <c r="BO181" s="136" t="str">
        <f aca="false">IF($BR181&lt;&gt;Constants!$B$8,"",IF($AS181,0,Constants!$B$15)+IF($AR181,0,Constants!$B$16)+IF($AH181,0,Constants!$B$17))</f>
        <v/>
      </c>
      <c r="BP181" s="137" t="str">
        <f aca="false">IF($BR181&lt;&gt;Constants!$B$8,"",Constants!$B$20+SUM($BK181:$BO181))</f>
        <v/>
      </c>
      <c r="BQ181" s="133" t="str">
        <f aca="false">IF(ISBLANK($C181),"",IF(ISBLANK($D$7),$BQ$5,IF(NOT(ISNUMBER($D$7)),$BQ$6,"")))</f>
        <v/>
      </c>
      <c r="BR181" s="133" t="str">
        <f aca="false">IF(ISBLANK($C181),"",IF($BA181,Constants!$B$11,IF(COUNTA($E181:$AA181)=0,Constants!$B$10,IF(NOT($AG181),Constants!$B$9,IF(OR($BQ181&lt;&gt;"",$BB181,$BJ181),Constants!$B$12,Constants!$B$8)))))</f>
        <v/>
      </c>
      <c r="BS181" s="133" t="str">
        <f aca="false">IF(ISBLANK($C181),"",IF($BR181&lt;&gt;Constants!$B$8,$BR181,Constants!$B$13))</f>
        <v/>
      </c>
      <c r="BT181" s="136" t="str">
        <f aca="false">IF($BR181&lt;&gt;Constants!$B$8,"",IF($BI181="-&gt;",$BP181,$BH181))</f>
        <v/>
      </c>
      <c r="BU181" s="136" t="str">
        <f aca="false">IF($BR181&lt;&gt;Constants!$B$8,"",IF($AF181,0,Constants!$B$18))</f>
        <v/>
      </c>
      <c r="BV181" s="136" t="str">
        <f aca="false">IF($BR181&lt;&gt;Constants!$B$8,"",((Constants!$B$31-$AZ181)-Constants!$B$31)/Constants!$B$32)</f>
        <v/>
      </c>
      <c r="BW181" s="136" t="str">
        <f aca="false">IF(ISBLANK($C181),"",IF($BR181&lt;&gt;Constants!$B$8,$BR181,SUM($BT181:$BV181)))</f>
        <v/>
      </c>
      <c r="BX181" s="133" t="str">
        <f aca="false">IF(ISBLANK($C181),"",IF($BR181&lt;&gt;Constants!$B$8,$BR181,RANK($BW181,$BW$9:$BW$508,1)))</f>
        <v/>
      </c>
      <c r="BY181" s="136" t="str">
        <f aca="false">IF($BR181&lt;&gt;Constants!$B$8,"",IF($BI181="-&gt;",$BK181,$BC181))</f>
        <v/>
      </c>
      <c r="BZ181" s="133" t="str">
        <f aca="false">IF(ISBLANK($C181),"",IF($BR181&lt;&gt;Constants!$B$8,$BR181,IF(ISNUMBER($BY181),RANK($BY181,$BY$9:$BY$508,1),COUNT($BY$9:$BY$508)+1)))</f>
        <v/>
      </c>
      <c r="CA181" s="136" t="str">
        <f aca="false">IF($BR181&lt;&gt;Constants!$B$8,"",IF($BI181="-&gt;",$BL181,$BD181))</f>
        <v/>
      </c>
      <c r="CB181" s="133" t="str">
        <f aca="false">IF(ISBLANK($C181),"",IF($BR181&lt;&gt;Constants!$B$8,$BR181,IF(ISNUMBER($CA181),RANK($CA181,$CA$9:$CA$508,1),COUNT($CA$9:$CA$508)+1)))</f>
        <v/>
      </c>
      <c r="CC181" s="136" t="str">
        <f aca="false">IF($BR181&lt;&gt;Constants!$B$8,"",IF($BI181="-&gt;",IF($AT181,$AV181,""),IF($AL181,$AN181,"")))</f>
        <v/>
      </c>
      <c r="CD181" s="133" t="str">
        <f aca="false">IF(ISBLANK($C181),"",IF($BR181&lt;&gt;Constants!$B$8,$BR181,IF(ISNUMBER($CC181),RANK($CC181,$CC$9:$CC$508,1),COUNT($CC$9:$CC$508)+1)))</f>
        <v/>
      </c>
      <c r="CE181" s="136" t="str">
        <f aca="false">IF($BR181&lt;&gt;Constants!$B$8,"",IF(AND(NOT($AL181),NOT($AT181),$AJ181,$AK181,$AR181,$AS181),"",$AI181))</f>
        <v/>
      </c>
      <c r="CF181" s="133" t="str">
        <f aca="false">IF(ISBLANK($C181),"",IF($BR181&lt;&gt;Constants!$B$8,$BR181,IF(ISNUMBER($CE181),RANK($CE181,$CE$9:$CE$508,1),COUNT($CE$9:$CE$508)+1)))</f>
        <v/>
      </c>
      <c r="CG181" s="133" t="str">
        <f aca="false">IF(ISBLANK($C181),"",IF($BR181&lt;&gt;Constants!$B$8,$BR181,COUNTIFS($BX$9:$BX$508,"&lt;"&amp;$BX181)+COUNTIFS($BX$9:$BX$508,$BX181,$BZ$9:$BZ$508,"&lt;"&amp;$BZ181)+COUNTIFS($BX$9:$BX$508,$BX181,$BZ$9:$BZ$508,$BZ181,$CB$9:$CB$508,"&lt;"&amp;$CB181)+COUNTIFS($BX$9:$BX$508,$BX181,$BZ$9:$BZ$508,$BZ181,$CB$9:$CB$508,$CB181,$CD$9:$CD$508,"&lt;"&amp;$CD181)+COUNTIFS($BX$9:$BX$508,$BX181,$BZ$9:$BZ$508,$BZ181,$CB$9:$CB$508,$CB181,$CD$9:$CD$508,$CD181,$CF$9:$CF$508,"&lt;"&amp;$CF181)+1))</f>
        <v/>
      </c>
      <c r="CH181" s="133" t="str">
        <f aca="false">IF(ISBLANK($C181),"",IF($BR181&lt;&gt;Constants!$B$8,$BR181,$BX181-$CG181))</f>
        <v/>
      </c>
      <c r="CI181" s="138"/>
      <c r="CJ181" s="139"/>
      <c r="CK181" s="140" t="str">
        <f aca="false">IF(ISBLANK($C181),"",IF($BR181=Constants!$B$12,$BQ181,""))</f>
        <v/>
      </c>
      <c r="CL181" s="139" t="str">
        <f aca="false">IF(ISBLANK($C181),"",IF($BR181&lt;&gt;Constants!$B$8,"",IF($BI181="-&gt;",2,1)))</f>
        <v/>
      </c>
      <c r="CM181" s="141" t="str">
        <f aca="false">IF(ISBLANK($C181),"",IF($BR181&lt;&gt;Constants!$B$8,"",IF($BI181="-&gt;",$BK181,$BC181)))</f>
        <v/>
      </c>
      <c r="CN181" s="141" t="str">
        <f aca="false">IF(ISBLANK($C181),"",IF($BR181&lt;&gt;Constants!$B$8,"",IF($BI181="-&gt;",$BL181,$BD181)))</f>
        <v/>
      </c>
      <c r="CO181" s="141" t="str">
        <f aca="false">IF(ISBLANK($C181),"",IF($BR181&lt;&gt;Constants!$B$8,"",IF($BI181="-&gt;",$BM181+$BN181,$BE181+$BF181)+$BV181))</f>
        <v/>
      </c>
      <c r="CP181" s="141" t="str">
        <f aca="false">IF(ISBLANK($C181),"",IF($BR181&lt;&gt;Constants!$B$8,"",IF($BI181="-&gt;",$BO181,$BG181)+$BU181))</f>
        <v/>
      </c>
      <c r="CQ181" s="142" t="str">
        <f aca="false">IF(ISBLANK($C181),"",IF($BR181&lt;&gt;Constants!$B$8,$BR181,$BW181))</f>
        <v/>
      </c>
      <c r="CR181" s="143" t="str">
        <f aca="false">IF(ISBLANK($C181),"",$BS181)</f>
        <v/>
      </c>
      <c r="CS181" s="144" t="str">
        <f aca="false">IF(ISBLANK($C181),"",$CH181)</f>
        <v/>
      </c>
      <c r="CT181" s="144" t="str">
        <f aca="false">IF(ISBLANK($C181),"",$CG181)</f>
        <v/>
      </c>
      <c r="CU181" s="145" t="str">
        <f aca="false">IF(ISBLANK($C181),"",IFERROR(_xlfn.SWITCH($CT181,Constants!$B$11,COUNTA($C$9:$C$508)+2,Constants!$B$10,COUNTA($C$9:$C$508)+1,Constants!$B$9,COUNTA($C$9:$C$508)),$CT181))</f>
        <v/>
      </c>
      <c r="CV181" s="9"/>
      <c r="CW181" s="146" t="n">
        <f aca="false">IF(OR(ISNUMBER($CT181),$CT181=Constants!$B$11,$CT181=Constants!$B$9,$CT181=Constants!$B$10),1,0)</f>
        <v>0</v>
      </c>
      <c r="CX181" s="146" t="n">
        <v>173</v>
      </c>
      <c r="CY181" s="146" t="str">
        <f aca="false">IF(ISBLANK($C181),"",IF(ISNUMBER($CU181),$CU181+ROW($B181)/1000,""))</f>
        <v/>
      </c>
      <c r="CZ181" s="146" t="str">
        <f aca="false">IF(ISNUMBER($CY181),RANK($CY181,$CY$9:$CY$508,1),"")</f>
        <v/>
      </c>
      <c r="DA181" s="146" t="str">
        <f aca="false">IF(ISBLANK($C181),"",$B181)</f>
        <v/>
      </c>
      <c r="DB181" s="146" t="str">
        <f aca="false">IF(ISBLANK($C181),"",$C181)</f>
        <v/>
      </c>
      <c r="DC181" s="146" t="str">
        <f aca="false">IF(ISBLANK($C181),"",$D181)</f>
        <v/>
      </c>
      <c r="DD181" s="147" t="str">
        <f aca="false">$CR181</f>
        <v/>
      </c>
      <c r="DE181" s="148" t="str">
        <f aca="false">$CQ181</f>
        <v/>
      </c>
      <c r="DF181" s="146" t="str">
        <f aca="false">IF(ISBLANK($C181),"",$CT181)</f>
        <v/>
      </c>
      <c r="DG181" s="149" t="str">
        <f aca="false">IF($CX181&gt;$CW$8,"",VLOOKUP($CX181,$CZ$9:$DF$508,7,FALSE()))</f>
        <v/>
      </c>
      <c r="DH181" s="150" t="str">
        <f aca="false">IF($CX181&gt;$CW$8,"",VLOOKUP($CX181,$CZ$9:$DF$508,2,FALSE()))</f>
        <v/>
      </c>
      <c r="DI181" s="150" t="str">
        <f aca="false">IF($CX181&gt;$CW$8,"",VLOOKUP($CX181,$CZ$9:$DF$508,3,FALSE()))</f>
        <v/>
      </c>
      <c r="DJ181" s="150" t="str">
        <f aca="false">IF($CX181&gt;$CW$8,"",VLOOKUP($CX181,$CZ$9:$DF$508,4,FALSE()))</f>
        <v/>
      </c>
      <c r="DK181" s="150" t="str">
        <f aca="false">IF($CX181&gt;$CW$8,"",VLOOKUP($CX181,$CZ$9:$DF$508,5,FALSE()))</f>
        <v/>
      </c>
      <c r="DL181" s="151" t="str">
        <f aca="false">IF($CX181&gt;$CW$8,"",VLOOKUP($CX181,$CZ$9:$DF$508,6,FALSE()))</f>
        <v/>
      </c>
      <c r="DM181" s="75"/>
    </row>
    <row r="182" customFormat="false" ht="15.75" hidden="false" customHeight="false" outlineLevel="0" collapsed="false">
      <c r="A182" s="9"/>
      <c r="B182" s="157"/>
      <c r="C182" s="158"/>
      <c r="D182" s="159"/>
      <c r="E182" s="177"/>
      <c r="F182" s="161"/>
      <c r="G182" s="162"/>
      <c r="H182" s="162"/>
      <c r="I182" s="178"/>
      <c r="J182" s="165"/>
      <c r="K182" s="126"/>
      <c r="L182" s="127"/>
      <c r="M182" s="128"/>
      <c r="N182" s="165"/>
      <c r="O182" s="165"/>
      <c r="P182" s="177"/>
      <c r="Q182" s="165"/>
      <c r="R182" s="165"/>
      <c r="S182" s="126"/>
      <c r="T182" s="128"/>
      <c r="U182" s="128"/>
      <c r="V182" s="165"/>
      <c r="W182" s="165"/>
      <c r="X182" s="177"/>
      <c r="Y182" s="165"/>
      <c r="Z182" s="166"/>
      <c r="AA182" s="165"/>
      <c r="AB182" s="132"/>
      <c r="AC182" s="133"/>
      <c r="AD182" s="133"/>
      <c r="AE182" s="133"/>
      <c r="AF182" s="133" t="str">
        <f aca="false">IF(ISBLANK($C182),"",IF(E182=Constants!$B$3,TRUE(),IF(E182=Constants!$B$4,FALSE(),TRUE())))</f>
        <v/>
      </c>
      <c r="AG182" s="133" t="str">
        <f aca="false">IF(ISBLANK($C182),"",IF(F182=Constants!$B$3,TRUE(),IF(F182=Constants!$B$4,FALSE(),TRUE())))</f>
        <v/>
      </c>
      <c r="AH182" s="133" t="str">
        <f aca="false">IF(ISBLANK($C182),"",IF(G182=Constants!$B$3,TRUE(),IF(G182=Constants!$B$4,FALSE(),TRUE())))</f>
        <v/>
      </c>
      <c r="AI182" s="133" t="str">
        <f aca="false">IF(ISBLANK($C182),"",IF(AND(ISNUMBER(H182),H182&gt;=0),H182,Constants!$B$29))</f>
        <v/>
      </c>
      <c r="AJ182" s="133" t="str">
        <f aca="false">IF(ISBLANK($C182),"",IF(I182=Constants!$B$3,TRUE(),IF(I182=Constants!$B$4,FALSE(),TRUE())))</f>
        <v/>
      </c>
      <c r="AK182" s="133" t="str">
        <f aca="false">IF(ISBLANK($C182),"",IF(J182=Constants!$B$3,TRUE(),IF(J182=Constants!$B$4,FALSE(),TRUE())))</f>
        <v/>
      </c>
      <c r="AL182" s="133" t="str">
        <f aca="false">IF(ISBLANK($C182),"",IF(K182=Constants!$B$5,TRUE(),IF(K182=Constants!$B$6,FALSE(),COUNTA(L182:P182)&gt;0)))</f>
        <v/>
      </c>
      <c r="AM182" s="134" t="str">
        <f aca="false">IF(ISBLANK($C182),"",IF(ISNUMBER(L182),IF(L182&gt;=0,L182,""),""))</f>
        <v/>
      </c>
      <c r="AN182" s="135" t="str">
        <f aca="false">IF(ISBLANK($C182),"",IF(ISNUMBER(M182),IF(M182&gt;=0,M182,""),""))</f>
        <v/>
      </c>
      <c r="AO182" s="135" t="str">
        <f aca="false">IF(ISBLANK($C182),"",IF(N182=Constants!$B$3,TRUE(),IF(N182=Constants!$B$4,FALSE(),TRUE())))</f>
        <v/>
      </c>
      <c r="AP182" s="133" t="str">
        <f aca="false">IF(ISBLANK($C182),"",IF(ISNUMBER(O182),IF(O182&gt;=0,O182,""),""))</f>
        <v/>
      </c>
      <c r="AQ182" s="133" t="str">
        <f aca="false">IF(ISBLANK($C182),"",IF(P182=Constants!$B$3,TRUE(),IF(P182=Constants!$B$4,FALSE(),FALSE())))</f>
        <v/>
      </c>
      <c r="AR182" s="133" t="str">
        <f aca="false">IF(ISBLANK($C182),"",IF(Q182=Constants!$B$3,TRUE(),IF(Q182=Constants!$B$4,FALSE(),TRUE())))</f>
        <v/>
      </c>
      <c r="AS182" s="133" t="str">
        <f aca="false">IF(ISBLANK($C182),"",IF(R182=Constants!$B$3,TRUE(),IF(R182=Constants!$B$4,FALSE(),TRUE())))</f>
        <v/>
      </c>
      <c r="AT182" s="133" t="str">
        <f aca="false">IF(ISBLANK($C182),"",IF(S182=Constants!$B$5,TRUE(),IF(S182=Constants!$B$6,FALSE(),COUNTA(T182:X182)&gt;0)))</f>
        <v/>
      </c>
      <c r="AU182" s="134" t="str">
        <f aca="false">IF(ISBLANK($C182),"",IF(ISNUMBER(T182),IF(T182&gt;=0,T182,""),""))</f>
        <v/>
      </c>
      <c r="AV182" s="135" t="str">
        <f aca="false">IF(ISBLANK($C182),"",IF(ISNUMBER(U182),IF(U182&gt;=0,U182,""),""))</f>
        <v/>
      </c>
      <c r="AW182" s="135" t="str">
        <f aca="false">IF(ISBLANK($C182),"",IF(V182=Constants!$B$3,TRUE(),IF(V182=Constants!$B$4,FALSE(),TRUE())))</f>
        <v/>
      </c>
      <c r="AX182" s="133" t="str">
        <f aca="false">IF(ISBLANK($C182),"",IF(ISNUMBER(W182),IF(W182&gt;=0,W182,""),""))</f>
        <v/>
      </c>
      <c r="AY182" s="133" t="str">
        <f aca="false">IF(ISBLANK($C182),"",IF(X182=Constants!$B$3,TRUE(),IF(X182=Constants!$B$4,FALSE(),FALSE())))</f>
        <v/>
      </c>
      <c r="AZ182" s="133" t="str">
        <f aca="false">IF(ISBLANK($C182),"",MIN(Constants!$B$31,MAX(0,IF(ISNUMBER(Y182),Y182*60,0)+IF(ISNUMBER(Z182),Z182,0))))</f>
        <v/>
      </c>
      <c r="BA182" s="133" t="str">
        <f aca="false">IF(ISBLANK($C182),"",IF(AA182=Constants!$B$3,TRUE(),IF(AA182=Constants!$B$4,FALSE(),FALSE())))</f>
        <v/>
      </c>
      <c r="BB182" s="132" t="str">
        <f aca="false">IF(ISBLANK($C182),"",AND($AL182,OR($AM182="",$AN182="",AND($AO182,$AP182=""))))</f>
        <v/>
      </c>
      <c r="BC182" s="135" t="str">
        <f aca="false">IF($BR182&lt;&gt;Constants!$B$8,"",IF($AL182,Constants!$B$21*$AN182+Constants!$B$22*IF($AO182,$AP182,Constants!$B$23),Constants!$B$24))</f>
        <v/>
      </c>
      <c r="BD182" s="136" t="str">
        <f aca="false">IF($BR182&lt;&gt;Constants!$B$8,"",Constants!$B$25*ABS($AD$9-IF($AL182,$AM182,0)))</f>
        <v/>
      </c>
      <c r="BE182" s="136" t="str">
        <f aca="false">IF($BR182&lt;&gt;Constants!$B$8,"",IF(AND($AL182,$AQ182,$AO182),Constants!$B$27,0))</f>
        <v/>
      </c>
      <c r="BF182" s="136" t="str">
        <f aca="false">IF($BR182&lt;&gt;Constants!$B$8,"",IF($AL182,($AI182-Constants!$B$29)*Constants!$B$28,0))</f>
        <v/>
      </c>
      <c r="BG182" s="136" t="str">
        <f aca="false">IF($BR182&lt;&gt;Constants!$B$8,"",IF($AK182,0,Constants!$B$15)+IF($AJ182,0,Constants!$B$16)+IF($AH182,0,Constants!$B$17))</f>
        <v/>
      </c>
      <c r="BH182" s="137" t="str">
        <f aca="false">IF($BR182&lt;&gt;Constants!$B$8,"",Constants!$B$20+SUM($BC182:$BG182))</f>
        <v/>
      </c>
      <c r="BI182" s="133" t="str">
        <f aca="false">IF($BR182&lt;&gt;Constants!$B$8,"",IF(OR($BP182&lt;$BH182,AND($BP182=$BH182,OR($BK182&lt;$BC182,AND($BK182=$BC182,OR($BL182&lt;$BD182,AND($BL182=$BD182,$AT182,$AL182,$AV182&lt;$AN182)))))),"-&gt;","&lt;-"))</f>
        <v/>
      </c>
      <c r="BJ182" s="132" t="str">
        <f aca="false">IF(ISBLANK($C182),"",AND($AT182,OR($AU182="",$AV182="",AND($AW182,$AX182=""))))</f>
        <v/>
      </c>
      <c r="BK182" s="135" t="str">
        <f aca="false">IF($BR182&lt;&gt;Constants!$B$8,"",IF($AT182,Constants!$B$21*$AV182+Constants!$B$22*IF($AW182,$AX182,Constants!$B$23),Constants!$B$24))</f>
        <v/>
      </c>
      <c r="BL182" s="136" t="str">
        <f aca="false">IF($BR182&lt;&gt;Constants!$B$8,"",Constants!$B$25*ABS($AD$9-IF($AT182,$AU182,0)))</f>
        <v/>
      </c>
      <c r="BM182" s="136" t="str">
        <f aca="false">IF($BR182&lt;&gt;Constants!$B$8,"",IF(AND($AT182,$AY182,$AW182),Constants!$B$27,0))</f>
        <v/>
      </c>
      <c r="BN182" s="136" t="str">
        <f aca="false">IF($BR182&lt;&gt;Constants!$B$8,"",IF($AT182,($AI182-Constants!$B$29)*Constants!$B$28,0))</f>
        <v/>
      </c>
      <c r="BO182" s="136" t="str">
        <f aca="false">IF($BR182&lt;&gt;Constants!$B$8,"",IF($AS182,0,Constants!$B$15)+IF($AR182,0,Constants!$B$16)+IF($AH182,0,Constants!$B$17))</f>
        <v/>
      </c>
      <c r="BP182" s="137" t="str">
        <f aca="false">IF($BR182&lt;&gt;Constants!$B$8,"",Constants!$B$20+SUM($BK182:$BO182))</f>
        <v/>
      </c>
      <c r="BQ182" s="133" t="str">
        <f aca="false">IF(ISBLANK($C182),"",IF(ISBLANK($D$7),$BQ$5,IF(NOT(ISNUMBER($D$7)),$BQ$6,"")))</f>
        <v/>
      </c>
      <c r="BR182" s="133" t="str">
        <f aca="false">IF(ISBLANK($C182),"",IF($BA182,Constants!$B$11,IF(COUNTA($E182:$AA182)=0,Constants!$B$10,IF(NOT($AG182),Constants!$B$9,IF(OR($BQ182&lt;&gt;"",$BB182,$BJ182),Constants!$B$12,Constants!$B$8)))))</f>
        <v/>
      </c>
      <c r="BS182" s="133" t="str">
        <f aca="false">IF(ISBLANK($C182),"",IF($BR182&lt;&gt;Constants!$B$8,$BR182,Constants!$B$13))</f>
        <v/>
      </c>
      <c r="BT182" s="136" t="str">
        <f aca="false">IF($BR182&lt;&gt;Constants!$B$8,"",IF($BI182="-&gt;",$BP182,$BH182))</f>
        <v/>
      </c>
      <c r="BU182" s="136" t="str">
        <f aca="false">IF($BR182&lt;&gt;Constants!$B$8,"",IF($AF182,0,Constants!$B$18))</f>
        <v/>
      </c>
      <c r="BV182" s="136" t="str">
        <f aca="false">IF($BR182&lt;&gt;Constants!$B$8,"",((Constants!$B$31-$AZ182)-Constants!$B$31)/Constants!$B$32)</f>
        <v/>
      </c>
      <c r="BW182" s="136" t="str">
        <f aca="false">IF(ISBLANK($C182),"",IF($BR182&lt;&gt;Constants!$B$8,$BR182,SUM($BT182:$BV182)))</f>
        <v/>
      </c>
      <c r="BX182" s="133" t="str">
        <f aca="false">IF(ISBLANK($C182),"",IF($BR182&lt;&gt;Constants!$B$8,$BR182,RANK($BW182,$BW$9:$BW$508,1)))</f>
        <v/>
      </c>
      <c r="BY182" s="136" t="str">
        <f aca="false">IF($BR182&lt;&gt;Constants!$B$8,"",IF($BI182="-&gt;",$BK182,$BC182))</f>
        <v/>
      </c>
      <c r="BZ182" s="133" t="str">
        <f aca="false">IF(ISBLANK($C182),"",IF($BR182&lt;&gt;Constants!$B$8,$BR182,IF(ISNUMBER($BY182),RANK($BY182,$BY$9:$BY$508,1),COUNT($BY$9:$BY$508)+1)))</f>
        <v/>
      </c>
      <c r="CA182" s="136" t="str">
        <f aca="false">IF($BR182&lt;&gt;Constants!$B$8,"",IF($BI182="-&gt;",$BL182,$BD182))</f>
        <v/>
      </c>
      <c r="CB182" s="133" t="str">
        <f aca="false">IF(ISBLANK($C182),"",IF($BR182&lt;&gt;Constants!$B$8,$BR182,IF(ISNUMBER($CA182),RANK($CA182,$CA$9:$CA$508,1),COUNT($CA$9:$CA$508)+1)))</f>
        <v/>
      </c>
      <c r="CC182" s="136" t="str">
        <f aca="false">IF($BR182&lt;&gt;Constants!$B$8,"",IF($BI182="-&gt;",IF($AT182,$AV182,""),IF($AL182,$AN182,"")))</f>
        <v/>
      </c>
      <c r="CD182" s="133" t="str">
        <f aca="false">IF(ISBLANK($C182),"",IF($BR182&lt;&gt;Constants!$B$8,$BR182,IF(ISNUMBER($CC182),RANK($CC182,$CC$9:$CC$508,1),COUNT($CC$9:$CC$508)+1)))</f>
        <v/>
      </c>
      <c r="CE182" s="136" t="str">
        <f aca="false">IF($BR182&lt;&gt;Constants!$B$8,"",IF(AND(NOT($AL182),NOT($AT182),$AJ182,$AK182,$AR182,$AS182),"",$AI182))</f>
        <v/>
      </c>
      <c r="CF182" s="133" t="str">
        <f aca="false">IF(ISBLANK($C182),"",IF($BR182&lt;&gt;Constants!$B$8,$BR182,IF(ISNUMBER($CE182),RANK($CE182,$CE$9:$CE$508,1),COUNT($CE$9:$CE$508)+1)))</f>
        <v/>
      </c>
      <c r="CG182" s="133" t="str">
        <f aca="false">IF(ISBLANK($C182),"",IF($BR182&lt;&gt;Constants!$B$8,$BR182,COUNTIFS($BX$9:$BX$508,"&lt;"&amp;$BX182)+COUNTIFS($BX$9:$BX$508,$BX182,$BZ$9:$BZ$508,"&lt;"&amp;$BZ182)+COUNTIFS($BX$9:$BX$508,$BX182,$BZ$9:$BZ$508,$BZ182,$CB$9:$CB$508,"&lt;"&amp;$CB182)+COUNTIFS($BX$9:$BX$508,$BX182,$BZ$9:$BZ$508,$BZ182,$CB$9:$CB$508,$CB182,$CD$9:$CD$508,"&lt;"&amp;$CD182)+COUNTIFS($BX$9:$BX$508,$BX182,$BZ$9:$BZ$508,$BZ182,$CB$9:$CB$508,$CB182,$CD$9:$CD$508,$CD182,$CF$9:$CF$508,"&lt;"&amp;$CF182)+1))</f>
        <v/>
      </c>
      <c r="CH182" s="133" t="str">
        <f aca="false">IF(ISBLANK($C182),"",IF($BR182&lt;&gt;Constants!$B$8,$BR182,$BX182-$CG182))</f>
        <v/>
      </c>
      <c r="CI182" s="138"/>
      <c r="CJ182" s="139"/>
      <c r="CK182" s="140" t="str">
        <f aca="false">IF(ISBLANK($C182),"",IF($BR182=Constants!$B$12,$BQ182,""))</f>
        <v/>
      </c>
      <c r="CL182" s="139" t="str">
        <f aca="false">IF(ISBLANK($C182),"",IF($BR182&lt;&gt;Constants!$B$8,"",IF($BI182="-&gt;",2,1)))</f>
        <v/>
      </c>
      <c r="CM182" s="141" t="str">
        <f aca="false">IF(ISBLANK($C182),"",IF($BR182&lt;&gt;Constants!$B$8,"",IF($BI182="-&gt;",$BK182,$BC182)))</f>
        <v/>
      </c>
      <c r="CN182" s="141" t="str">
        <f aca="false">IF(ISBLANK($C182),"",IF($BR182&lt;&gt;Constants!$B$8,"",IF($BI182="-&gt;",$BL182,$BD182)))</f>
        <v/>
      </c>
      <c r="CO182" s="141" t="str">
        <f aca="false">IF(ISBLANK($C182),"",IF($BR182&lt;&gt;Constants!$B$8,"",IF($BI182="-&gt;",$BM182+$BN182,$BE182+$BF182)+$BV182))</f>
        <v/>
      </c>
      <c r="CP182" s="141" t="str">
        <f aca="false">IF(ISBLANK($C182),"",IF($BR182&lt;&gt;Constants!$B$8,"",IF($BI182="-&gt;",$BO182,$BG182)+$BU182))</f>
        <v/>
      </c>
      <c r="CQ182" s="142" t="str">
        <f aca="false">IF(ISBLANK($C182),"",IF($BR182&lt;&gt;Constants!$B$8,$BR182,$BW182))</f>
        <v/>
      </c>
      <c r="CR182" s="143" t="str">
        <f aca="false">IF(ISBLANK($C182),"",$BS182)</f>
        <v/>
      </c>
      <c r="CS182" s="144" t="str">
        <f aca="false">IF(ISBLANK($C182),"",$CH182)</f>
        <v/>
      </c>
      <c r="CT182" s="144" t="str">
        <f aca="false">IF(ISBLANK($C182),"",$CG182)</f>
        <v/>
      </c>
      <c r="CU182" s="145" t="str">
        <f aca="false">IF(ISBLANK($C182),"",IFERROR(_xlfn.SWITCH($CT182,Constants!$B$11,COUNTA($C$9:$C$508)+2,Constants!$B$10,COUNTA($C$9:$C$508)+1,Constants!$B$9,COUNTA($C$9:$C$508)),$CT182))</f>
        <v/>
      </c>
      <c r="CV182" s="9"/>
      <c r="CW182" s="146" t="n">
        <f aca="false">IF(OR(ISNUMBER($CT182),$CT182=Constants!$B$11,$CT182=Constants!$B$9,$CT182=Constants!$B$10),1,0)</f>
        <v>0</v>
      </c>
      <c r="CX182" s="146" t="n">
        <v>174</v>
      </c>
      <c r="CY182" s="146" t="str">
        <f aca="false">IF(ISBLANK($C182),"",IF(ISNUMBER($CU182),$CU182+ROW($B182)/1000,""))</f>
        <v/>
      </c>
      <c r="CZ182" s="146" t="str">
        <f aca="false">IF(ISNUMBER($CY182),RANK($CY182,$CY$9:$CY$508,1),"")</f>
        <v/>
      </c>
      <c r="DA182" s="146" t="str">
        <f aca="false">IF(ISBLANK($C182),"",$B182)</f>
        <v/>
      </c>
      <c r="DB182" s="146" t="str">
        <f aca="false">IF(ISBLANK($C182),"",$C182)</f>
        <v/>
      </c>
      <c r="DC182" s="146" t="str">
        <f aca="false">IF(ISBLANK($C182),"",$D182)</f>
        <v/>
      </c>
      <c r="DD182" s="147" t="str">
        <f aca="false">$CR182</f>
        <v/>
      </c>
      <c r="DE182" s="148" t="str">
        <f aca="false">$CQ182</f>
        <v/>
      </c>
      <c r="DF182" s="146" t="str">
        <f aca="false">IF(ISBLANK($C182),"",$CT182)</f>
        <v/>
      </c>
      <c r="DG182" s="149" t="str">
        <f aca="false">IF($CX182&gt;$CW$8,"",VLOOKUP($CX182,$CZ$9:$DF$508,7,FALSE()))</f>
        <v/>
      </c>
      <c r="DH182" s="150" t="str">
        <f aca="false">IF($CX182&gt;$CW$8,"",VLOOKUP($CX182,$CZ$9:$DF$508,2,FALSE()))</f>
        <v/>
      </c>
      <c r="DI182" s="150" t="str">
        <f aca="false">IF($CX182&gt;$CW$8,"",VLOOKUP($CX182,$CZ$9:$DF$508,3,FALSE()))</f>
        <v/>
      </c>
      <c r="DJ182" s="150" t="str">
        <f aca="false">IF($CX182&gt;$CW$8,"",VLOOKUP($CX182,$CZ$9:$DF$508,4,FALSE()))</f>
        <v/>
      </c>
      <c r="DK182" s="150" t="str">
        <f aca="false">IF($CX182&gt;$CW$8,"",VLOOKUP($CX182,$CZ$9:$DF$508,5,FALSE()))</f>
        <v/>
      </c>
      <c r="DL182" s="151" t="str">
        <f aca="false">IF($CX182&gt;$CW$8,"",VLOOKUP($CX182,$CZ$9:$DF$508,6,FALSE()))</f>
        <v/>
      </c>
      <c r="DM182" s="75"/>
    </row>
    <row r="183" customFormat="false" ht="15.75" hidden="false" customHeight="false" outlineLevel="0" collapsed="false">
      <c r="A183" s="9"/>
      <c r="B183" s="77"/>
      <c r="C183" s="78"/>
      <c r="D183" s="167"/>
      <c r="E183" s="175"/>
      <c r="F183" s="169"/>
      <c r="G183" s="170"/>
      <c r="H183" s="170"/>
      <c r="I183" s="176"/>
      <c r="J183" s="173"/>
      <c r="K183" s="85"/>
      <c r="L183" s="86"/>
      <c r="M183" s="87"/>
      <c r="N183" s="173"/>
      <c r="O183" s="173"/>
      <c r="P183" s="175"/>
      <c r="Q183" s="173"/>
      <c r="R183" s="173"/>
      <c r="S183" s="85"/>
      <c r="T183" s="87"/>
      <c r="U183" s="87"/>
      <c r="V183" s="173"/>
      <c r="W183" s="173"/>
      <c r="X183" s="175"/>
      <c r="Y183" s="173"/>
      <c r="Z183" s="174"/>
      <c r="AA183" s="173"/>
      <c r="AB183" s="91"/>
      <c r="AC183" s="92"/>
      <c r="AD183" s="92"/>
      <c r="AE183" s="92"/>
      <c r="AF183" s="92" t="str">
        <f aca="false">IF(ISBLANK($C183),"",IF(E183=Constants!$B$3,TRUE(),IF(E183=Constants!$B$4,FALSE(),TRUE())))</f>
        <v/>
      </c>
      <c r="AG183" s="92" t="str">
        <f aca="false">IF(ISBLANK($C183),"",IF(F183=Constants!$B$3,TRUE(),IF(F183=Constants!$B$4,FALSE(),TRUE())))</f>
        <v/>
      </c>
      <c r="AH183" s="92" t="str">
        <f aca="false">IF(ISBLANK($C183),"",IF(G183=Constants!$B$3,TRUE(),IF(G183=Constants!$B$4,FALSE(),TRUE())))</f>
        <v/>
      </c>
      <c r="AI183" s="92" t="str">
        <f aca="false">IF(ISBLANK($C183),"",IF(AND(ISNUMBER(H183),H183&gt;=0),H183,Constants!$B$29))</f>
        <v/>
      </c>
      <c r="AJ183" s="92" t="str">
        <f aca="false">IF(ISBLANK($C183),"",IF(I183=Constants!$B$3,TRUE(),IF(I183=Constants!$B$4,FALSE(),TRUE())))</f>
        <v/>
      </c>
      <c r="AK183" s="92" t="str">
        <f aca="false">IF(ISBLANK($C183),"",IF(J183=Constants!$B$3,TRUE(),IF(J183=Constants!$B$4,FALSE(),TRUE())))</f>
        <v/>
      </c>
      <c r="AL183" s="92" t="str">
        <f aca="false">IF(ISBLANK($C183),"",IF(K183=Constants!$B$5,TRUE(),IF(K183=Constants!$B$6,FALSE(),COUNTA(L183:P183)&gt;0)))</f>
        <v/>
      </c>
      <c r="AM183" s="94" t="str">
        <f aca="false">IF(ISBLANK($C183),"",IF(ISNUMBER(L183),IF(L183&gt;=0,L183,""),""))</f>
        <v/>
      </c>
      <c r="AN183" s="93" t="str">
        <f aca="false">IF(ISBLANK($C183),"",IF(ISNUMBER(M183),IF(M183&gt;=0,M183,""),""))</f>
        <v/>
      </c>
      <c r="AO183" s="93" t="str">
        <f aca="false">IF(ISBLANK($C183),"",IF(N183=Constants!$B$3,TRUE(),IF(N183=Constants!$B$4,FALSE(),TRUE())))</f>
        <v/>
      </c>
      <c r="AP183" s="92" t="str">
        <f aca="false">IF(ISBLANK($C183),"",IF(ISNUMBER(O183),IF(O183&gt;=0,O183,""),""))</f>
        <v/>
      </c>
      <c r="AQ183" s="92" t="str">
        <f aca="false">IF(ISBLANK($C183),"",IF(P183=Constants!$B$3,TRUE(),IF(P183=Constants!$B$4,FALSE(),FALSE())))</f>
        <v/>
      </c>
      <c r="AR183" s="92" t="str">
        <f aca="false">IF(ISBLANK($C183),"",IF(Q183=Constants!$B$3,TRUE(),IF(Q183=Constants!$B$4,FALSE(),TRUE())))</f>
        <v/>
      </c>
      <c r="AS183" s="92" t="str">
        <f aca="false">IF(ISBLANK($C183),"",IF(R183=Constants!$B$3,TRUE(),IF(R183=Constants!$B$4,FALSE(),TRUE())))</f>
        <v/>
      </c>
      <c r="AT183" s="92" t="str">
        <f aca="false">IF(ISBLANK($C183),"",IF(S183=Constants!$B$5,TRUE(),IF(S183=Constants!$B$6,FALSE(),COUNTA(T183:X183)&gt;0)))</f>
        <v/>
      </c>
      <c r="AU183" s="94" t="str">
        <f aca="false">IF(ISBLANK($C183),"",IF(ISNUMBER(T183),IF(T183&gt;=0,T183,""),""))</f>
        <v/>
      </c>
      <c r="AV183" s="93" t="str">
        <f aca="false">IF(ISBLANK($C183),"",IF(ISNUMBER(U183),IF(U183&gt;=0,U183,""),""))</f>
        <v/>
      </c>
      <c r="AW183" s="93" t="str">
        <f aca="false">IF(ISBLANK($C183),"",IF(V183=Constants!$B$3,TRUE(),IF(V183=Constants!$B$4,FALSE(),TRUE())))</f>
        <v/>
      </c>
      <c r="AX183" s="92" t="str">
        <f aca="false">IF(ISBLANK($C183),"",IF(ISNUMBER(W183),IF(W183&gt;=0,W183,""),""))</f>
        <v/>
      </c>
      <c r="AY183" s="92" t="str">
        <f aca="false">IF(ISBLANK($C183),"",IF(X183=Constants!$B$3,TRUE(),IF(X183=Constants!$B$4,FALSE(),FALSE())))</f>
        <v/>
      </c>
      <c r="AZ183" s="92" t="str">
        <f aca="false">IF(ISBLANK($C183),"",MIN(Constants!$B$31,MAX(0,IF(ISNUMBER(Y183),Y183*60,0)+IF(ISNUMBER(Z183),Z183,0))))</f>
        <v/>
      </c>
      <c r="BA183" s="92" t="str">
        <f aca="false">IF(ISBLANK($C183),"",IF(AA183=Constants!$B$3,TRUE(),IF(AA183=Constants!$B$4,FALSE(),FALSE())))</f>
        <v/>
      </c>
      <c r="BB183" s="91" t="str">
        <f aca="false">IF(ISBLANK($C183),"",AND($AL183,OR($AM183="",$AN183="",AND($AO183,$AP183=""))))</f>
        <v/>
      </c>
      <c r="BC183" s="93" t="str">
        <f aca="false">IF($BR183&lt;&gt;Constants!$B$8,"",IF($AL183,Constants!$B$21*$AN183+Constants!$B$22*IF($AO183,$AP183,Constants!$B$23),Constants!$B$24))</f>
        <v/>
      </c>
      <c r="BD183" s="96" t="str">
        <f aca="false">IF($BR183&lt;&gt;Constants!$B$8,"",Constants!$B$25*ABS($AD$9-IF($AL183,$AM183,0)))</f>
        <v/>
      </c>
      <c r="BE183" s="96" t="str">
        <f aca="false">IF($BR183&lt;&gt;Constants!$B$8,"",IF(AND($AL183,$AQ183,$AO183),Constants!$B$27,0))</f>
        <v/>
      </c>
      <c r="BF183" s="96" t="str">
        <f aca="false">IF($BR183&lt;&gt;Constants!$B$8,"",IF($AL183,($AI183-Constants!$B$29)*Constants!$B$28,0))</f>
        <v/>
      </c>
      <c r="BG183" s="96" t="str">
        <f aca="false">IF($BR183&lt;&gt;Constants!$B$8,"",IF($AK183,0,Constants!$B$15)+IF($AJ183,0,Constants!$B$16)+IF($AH183,0,Constants!$B$17))</f>
        <v/>
      </c>
      <c r="BH183" s="97" t="str">
        <f aca="false">IF($BR183&lt;&gt;Constants!$B$8,"",Constants!$B$20+SUM($BC183:$BG183))</f>
        <v/>
      </c>
      <c r="BI183" s="92" t="str">
        <f aca="false">IF($BR183&lt;&gt;Constants!$B$8,"",IF(OR($BP183&lt;$BH183,AND($BP183=$BH183,OR($BK183&lt;$BC183,AND($BK183=$BC183,OR($BL183&lt;$BD183,AND($BL183=$BD183,$AT183,$AL183,$AV183&lt;$AN183)))))),"-&gt;","&lt;-"))</f>
        <v/>
      </c>
      <c r="BJ183" s="91" t="str">
        <f aca="false">IF(ISBLANK($C183),"",AND($AT183,OR($AU183="",$AV183="",AND($AW183,$AX183=""))))</f>
        <v/>
      </c>
      <c r="BK183" s="93" t="str">
        <f aca="false">IF($BR183&lt;&gt;Constants!$B$8,"",IF($AT183,Constants!$B$21*$AV183+Constants!$B$22*IF($AW183,$AX183,Constants!$B$23),Constants!$B$24))</f>
        <v/>
      </c>
      <c r="BL183" s="96" t="str">
        <f aca="false">IF($BR183&lt;&gt;Constants!$B$8,"",Constants!$B$25*ABS($AD$9-IF($AT183,$AU183,0)))</f>
        <v/>
      </c>
      <c r="BM183" s="96" t="str">
        <f aca="false">IF($BR183&lt;&gt;Constants!$B$8,"",IF(AND($AT183,$AY183,$AW183),Constants!$B$27,0))</f>
        <v/>
      </c>
      <c r="BN183" s="96" t="str">
        <f aca="false">IF($BR183&lt;&gt;Constants!$B$8,"",IF($AT183,($AI183-Constants!$B$29)*Constants!$B$28,0))</f>
        <v/>
      </c>
      <c r="BO183" s="96" t="str">
        <f aca="false">IF($BR183&lt;&gt;Constants!$B$8,"",IF($AS183,0,Constants!$B$15)+IF($AR183,0,Constants!$B$16)+IF($AH183,0,Constants!$B$17))</f>
        <v/>
      </c>
      <c r="BP183" s="97" t="str">
        <f aca="false">IF($BR183&lt;&gt;Constants!$B$8,"",Constants!$B$20+SUM($BK183:$BO183))</f>
        <v/>
      </c>
      <c r="BQ183" s="92" t="str">
        <f aca="false">IF(ISBLANK($C183),"",IF(ISBLANK($D$7),$BQ$5,IF(NOT(ISNUMBER($D$7)),$BQ$6,"")))</f>
        <v/>
      </c>
      <c r="BR183" s="92" t="str">
        <f aca="false">IF(ISBLANK($C183),"",IF($BA183,Constants!$B$11,IF(COUNTA($E183:$AA183)=0,Constants!$B$10,IF(NOT($AG183),Constants!$B$9,IF(OR($BQ183&lt;&gt;"",$BB183,$BJ183),Constants!$B$12,Constants!$B$8)))))</f>
        <v/>
      </c>
      <c r="BS183" s="92" t="str">
        <f aca="false">IF(ISBLANK($C183),"",IF($BR183&lt;&gt;Constants!$B$8,$BR183,Constants!$B$13))</f>
        <v/>
      </c>
      <c r="BT183" s="96" t="str">
        <f aca="false">IF($BR183&lt;&gt;Constants!$B$8,"",IF($BI183="-&gt;",$BP183,$BH183))</f>
        <v/>
      </c>
      <c r="BU183" s="96" t="str">
        <f aca="false">IF($BR183&lt;&gt;Constants!$B$8,"",IF($AF183,0,Constants!$B$18))</f>
        <v/>
      </c>
      <c r="BV183" s="96" t="str">
        <f aca="false">IF($BR183&lt;&gt;Constants!$B$8,"",((Constants!$B$31-$AZ183)-Constants!$B$31)/Constants!$B$32)</f>
        <v/>
      </c>
      <c r="BW183" s="96" t="str">
        <f aca="false">IF(ISBLANK($C183),"",IF($BR183&lt;&gt;Constants!$B$8,$BR183,SUM($BT183:$BV183)))</f>
        <v/>
      </c>
      <c r="BX183" s="92" t="str">
        <f aca="false">IF(ISBLANK($C183),"",IF($BR183&lt;&gt;Constants!$B$8,$BR183,RANK($BW183,$BW$9:$BW$508,1)))</f>
        <v/>
      </c>
      <c r="BY183" s="96" t="str">
        <f aca="false">IF($BR183&lt;&gt;Constants!$B$8,"",IF($BI183="-&gt;",$BK183,$BC183))</f>
        <v/>
      </c>
      <c r="BZ183" s="92" t="str">
        <f aca="false">IF(ISBLANK($C183),"",IF($BR183&lt;&gt;Constants!$B$8,$BR183,IF(ISNUMBER($BY183),RANK($BY183,$BY$9:$BY$508,1),COUNT($BY$9:$BY$508)+1)))</f>
        <v/>
      </c>
      <c r="CA183" s="96" t="str">
        <f aca="false">IF($BR183&lt;&gt;Constants!$B$8,"",IF($BI183="-&gt;",$BL183,$BD183))</f>
        <v/>
      </c>
      <c r="CB183" s="92" t="str">
        <f aca="false">IF(ISBLANK($C183),"",IF($BR183&lt;&gt;Constants!$B$8,$BR183,IF(ISNUMBER($CA183),RANK($CA183,$CA$9:$CA$508,1),COUNT($CA$9:$CA$508)+1)))</f>
        <v/>
      </c>
      <c r="CC183" s="96" t="str">
        <f aca="false">IF($BR183&lt;&gt;Constants!$B$8,"",IF($BI183="-&gt;",IF($AT183,$AV183,""),IF($AL183,$AN183,"")))</f>
        <v/>
      </c>
      <c r="CD183" s="92" t="str">
        <f aca="false">IF(ISBLANK($C183),"",IF($BR183&lt;&gt;Constants!$B$8,$BR183,IF(ISNUMBER($CC183),RANK($CC183,$CC$9:$CC$508,1),COUNT($CC$9:$CC$508)+1)))</f>
        <v/>
      </c>
      <c r="CE183" s="96" t="str">
        <f aca="false">IF($BR183&lt;&gt;Constants!$B$8,"",IF(AND(NOT($AL183),NOT($AT183),$AJ183,$AK183,$AR183,$AS183),"",$AI183))</f>
        <v/>
      </c>
      <c r="CF183" s="92" t="str">
        <f aca="false">IF(ISBLANK($C183),"",IF($BR183&lt;&gt;Constants!$B$8,$BR183,IF(ISNUMBER($CE183),RANK($CE183,$CE$9:$CE$508,1),COUNT($CE$9:$CE$508)+1)))</f>
        <v/>
      </c>
      <c r="CG183" s="92" t="str">
        <f aca="false">IF(ISBLANK($C183),"",IF($BR183&lt;&gt;Constants!$B$8,$BR183,COUNTIFS($BX$9:$BX$508,"&lt;"&amp;$BX183)+COUNTIFS($BX$9:$BX$508,$BX183,$BZ$9:$BZ$508,"&lt;"&amp;$BZ183)+COUNTIFS($BX$9:$BX$508,$BX183,$BZ$9:$BZ$508,$BZ183,$CB$9:$CB$508,"&lt;"&amp;$CB183)+COUNTIFS($BX$9:$BX$508,$BX183,$BZ$9:$BZ$508,$BZ183,$CB$9:$CB$508,$CB183,$CD$9:$CD$508,"&lt;"&amp;$CD183)+COUNTIFS($BX$9:$BX$508,$BX183,$BZ$9:$BZ$508,$BZ183,$CB$9:$CB$508,$CB183,$CD$9:$CD$508,$CD183,$CF$9:$CF$508,"&lt;"&amp;$CF183)+1))</f>
        <v/>
      </c>
      <c r="CH183" s="92" t="str">
        <f aca="false">IF(ISBLANK($C183),"",IF($BR183&lt;&gt;Constants!$B$8,$BR183,$BX183-$CG183))</f>
        <v/>
      </c>
      <c r="CI183" s="98"/>
      <c r="CJ183" s="99"/>
      <c r="CK183" s="100" t="str">
        <f aca="false">IF(ISBLANK($C183),"",IF($BR183=Constants!$B$12,$BQ183,""))</f>
        <v/>
      </c>
      <c r="CL183" s="99" t="str">
        <f aca="false">IF(ISBLANK($C183),"",IF($BR183&lt;&gt;Constants!$B$8,"",IF($BI183="-&gt;",2,1)))</f>
        <v/>
      </c>
      <c r="CM183" s="101" t="str">
        <f aca="false">IF(ISBLANK($C183),"",IF($BR183&lt;&gt;Constants!$B$8,"",IF($BI183="-&gt;",$BK183,$BC183)))</f>
        <v/>
      </c>
      <c r="CN183" s="101" t="str">
        <f aca="false">IF(ISBLANK($C183),"",IF($BR183&lt;&gt;Constants!$B$8,"",IF($BI183="-&gt;",$BL183,$BD183)))</f>
        <v/>
      </c>
      <c r="CO183" s="101" t="str">
        <f aca="false">IF(ISBLANK($C183),"",IF($BR183&lt;&gt;Constants!$B$8,"",IF($BI183="-&gt;",$BM183+$BN183,$BE183+$BF183)+$BV183))</f>
        <v/>
      </c>
      <c r="CP183" s="101" t="str">
        <f aca="false">IF(ISBLANK($C183),"",IF($BR183&lt;&gt;Constants!$B$8,"",IF($BI183="-&gt;",$BO183,$BG183)+$BU183))</f>
        <v/>
      </c>
      <c r="CQ183" s="102" t="str">
        <f aca="false">IF(ISBLANK($C183),"",IF($BR183&lt;&gt;Constants!$B$8,$BR183,$BW183))</f>
        <v/>
      </c>
      <c r="CR183" s="103" t="str">
        <f aca="false">IF(ISBLANK($C183),"",$BS183)</f>
        <v/>
      </c>
      <c r="CS183" s="104" t="str">
        <f aca="false">IF(ISBLANK($C183),"",$CH183)</f>
        <v/>
      </c>
      <c r="CT183" s="104" t="str">
        <f aca="false">IF(ISBLANK($C183),"",$CG183)</f>
        <v/>
      </c>
      <c r="CU183" s="105" t="str">
        <f aca="false">IF(ISBLANK($C183),"",IFERROR(_xlfn.SWITCH($CT183,Constants!$B$11,COUNTA($C$9:$C$508)+2,Constants!$B$10,COUNTA($C$9:$C$508)+1,Constants!$B$9,COUNTA($C$9:$C$508)),$CT183))</f>
        <v/>
      </c>
      <c r="CV183" s="9"/>
      <c r="CW183" s="106" t="n">
        <f aca="false">IF(OR(ISNUMBER($CT183),$CT183=Constants!$B$11,$CT183=Constants!$B$9,$CT183=Constants!$B$10),1,0)</f>
        <v>0</v>
      </c>
      <c r="CX183" s="106" t="n">
        <v>175</v>
      </c>
      <c r="CY183" s="106" t="str">
        <f aca="false">IF(ISBLANK($C183),"",IF(ISNUMBER($CU183),$CU183+ROW($B183)/1000,""))</f>
        <v/>
      </c>
      <c r="CZ183" s="106" t="str">
        <f aca="false">IF(ISNUMBER($CY183),RANK($CY183,$CY$9:$CY$508,1),"")</f>
        <v/>
      </c>
      <c r="DA183" s="106" t="str">
        <f aca="false">IF(ISBLANK($C183),"",$B183)</f>
        <v/>
      </c>
      <c r="DB183" s="106" t="str">
        <f aca="false">IF(ISBLANK($C183),"",$C183)</f>
        <v/>
      </c>
      <c r="DC183" s="106" t="str">
        <f aca="false">IF(ISBLANK($C183),"",$D183)</f>
        <v/>
      </c>
      <c r="DD183" s="107" t="str">
        <f aca="false">$CR183</f>
        <v/>
      </c>
      <c r="DE183" s="108" t="str">
        <f aca="false">$CQ183</f>
        <v/>
      </c>
      <c r="DF183" s="106" t="str">
        <f aca="false">IF(ISBLANK($C183),"",$CT183)</f>
        <v/>
      </c>
      <c r="DG183" s="109" t="str">
        <f aca="false">IF($CX183&gt;$CW$8,"",VLOOKUP($CX183,$CZ$9:$DF$508,7,FALSE()))</f>
        <v/>
      </c>
      <c r="DH183" s="110" t="str">
        <f aca="false">IF($CX183&gt;$CW$8,"",VLOOKUP($CX183,$CZ$9:$DF$508,2,FALSE()))</f>
        <v/>
      </c>
      <c r="DI183" s="110" t="str">
        <f aca="false">IF($CX183&gt;$CW$8,"",VLOOKUP($CX183,$CZ$9:$DF$508,3,FALSE()))</f>
        <v/>
      </c>
      <c r="DJ183" s="110" t="str">
        <f aca="false">IF($CX183&gt;$CW$8,"",VLOOKUP($CX183,$CZ$9:$DF$508,4,FALSE()))</f>
        <v/>
      </c>
      <c r="DK183" s="110" t="str">
        <f aca="false">IF($CX183&gt;$CW$8,"",VLOOKUP($CX183,$CZ$9:$DF$508,5,FALSE()))</f>
        <v/>
      </c>
      <c r="DL183" s="111" t="str">
        <f aca="false">IF($CX183&gt;$CW$8,"",VLOOKUP($CX183,$CZ$9:$DF$508,6,FALSE()))</f>
        <v/>
      </c>
      <c r="DM183" s="75"/>
    </row>
    <row r="184" customFormat="false" ht="15.75" hidden="false" customHeight="false" outlineLevel="0" collapsed="false">
      <c r="A184" s="9"/>
      <c r="B184" s="77"/>
      <c r="C184" s="78"/>
      <c r="D184" s="167"/>
      <c r="E184" s="175"/>
      <c r="F184" s="169"/>
      <c r="G184" s="170"/>
      <c r="H184" s="170"/>
      <c r="I184" s="176"/>
      <c r="J184" s="173"/>
      <c r="K184" s="85"/>
      <c r="L184" s="86"/>
      <c r="M184" s="87"/>
      <c r="N184" s="173"/>
      <c r="O184" s="173"/>
      <c r="P184" s="175"/>
      <c r="Q184" s="173"/>
      <c r="R184" s="173"/>
      <c r="S184" s="85"/>
      <c r="T184" s="87"/>
      <c r="U184" s="87"/>
      <c r="V184" s="173"/>
      <c r="W184" s="173"/>
      <c r="X184" s="175"/>
      <c r="Y184" s="173"/>
      <c r="Z184" s="174"/>
      <c r="AA184" s="173"/>
      <c r="AB184" s="91"/>
      <c r="AC184" s="92"/>
      <c r="AD184" s="92"/>
      <c r="AE184" s="92"/>
      <c r="AF184" s="92" t="str">
        <f aca="false">IF(ISBLANK($C184),"",IF(E184=Constants!$B$3,TRUE(),IF(E184=Constants!$B$4,FALSE(),TRUE())))</f>
        <v/>
      </c>
      <c r="AG184" s="92" t="str">
        <f aca="false">IF(ISBLANK($C184),"",IF(F184=Constants!$B$3,TRUE(),IF(F184=Constants!$B$4,FALSE(),TRUE())))</f>
        <v/>
      </c>
      <c r="AH184" s="92" t="str">
        <f aca="false">IF(ISBLANK($C184),"",IF(G184=Constants!$B$3,TRUE(),IF(G184=Constants!$B$4,FALSE(),TRUE())))</f>
        <v/>
      </c>
      <c r="AI184" s="92" t="str">
        <f aca="false">IF(ISBLANK($C184),"",IF(AND(ISNUMBER(H184),H184&gt;=0),H184,Constants!$B$29))</f>
        <v/>
      </c>
      <c r="AJ184" s="92" t="str">
        <f aca="false">IF(ISBLANK($C184),"",IF(I184=Constants!$B$3,TRUE(),IF(I184=Constants!$B$4,FALSE(),TRUE())))</f>
        <v/>
      </c>
      <c r="AK184" s="92" t="str">
        <f aca="false">IF(ISBLANK($C184),"",IF(J184=Constants!$B$3,TRUE(),IF(J184=Constants!$B$4,FALSE(),TRUE())))</f>
        <v/>
      </c>
      <c r="AL184" s="92" t="str">
        <f aca="false">IF(ISBLANK($C184),"",IF(K184=Constants!$B$5,TRUE(),IF(K184=Constants!$B$6,FALSE(),COUNTA(L184:P184)&gt;0)))</f>
        <v/>
      </c>
      <c r="AM184" s="94" t="str">
        <f aca="false">IF(ISBLANK($C184),"",IF(ISNUMBER(L184),IF(L184&gt;=0,L184,""),""))</f>
        <v/>
      </c>
      <c r="AN184" s="93" t="str">
        <f aca="false">IF(ISBLANK($C184),"",IF(ISNUMBER(M184),IF(M184&gt;=0,M184,""),""))</f>
        <v/>
      </c>
      <c r="AO184" s="93" t="str">
        <f aca="false">IF(ISBLANK($C184),"",IF(N184=Constants!$B$3,TRUE(),IF(N184=Constants!$B$4,FALSE(),TRUE())))</f>
        <v/>
      </c>
      <c r="AP184" s="92" t="str">
        <f aca="false">IF(ISBLANK($C184),"",IF(ISNUMBER(O184),IF(O184&gt;=0,O184,""),""))</f>
        <v/>
      </c>
      <c r="AQ184" s="92" t="str">
        <f aca="false">IF(ISBLANK($C184),"",IF(P184=Constants!$B$3,TRUE(),IF(P184=Constants!$B$4,FALSE(),FALSE())))</f>
        <v/>
      </c>
      <c r="AR184" s="92" t="str">
        <f aca="false">IF(ISBLANK($C184),"",IF(Q184=Constants!$B$3,TRUE(),IF(Q184=Constants!$B$4,FALSE(),TRUE())))</f>
        <v/>
      </c>
      <c r="AS184" s="92" t="str">
        <f aca="false">IF(ISBLANK($C184),"",IF(R184=Constants!$B$3,TRUE(),IF(R184=Constants!$B$4,FALSE(),TRUE())))</f>
        <v/>
      </c>
      <c r="AT184" s="92" t="str">
        <f aca="false">IF(ISBLANK($C184),"",IF(S184=Constants!$B$5,TRUE(),IF(S184=Constants!$B$6,FALSE(),COUNTA(T184:X184)&gt;0)))</f>
        <v/>
      </c>
      <c r="AU184" s="94" t="str">
        <f aca="false">IF(ISBLANK($C184),"",IF(ISNUMBER(T184),IF(T184&gt;=0,T184,""),""))</f>
        <v/>
      </c>
      <c r="AV184" s="93" t="str">
        <f aca="false">IF(ISBLANK($C184),"",IF(ISNUMBER(U184),IF(U184&gt;=0,U184,""),""))</f>
        <v/>
      </c>
      <c r="AW184" s="93" t="str">
        <f aca="false">IF(ISBLANK($C184),"",IF(V184=Constants!$B$3,TRUE(),IF(V184=Constants!$B$4,FALSE(),TRUE())))</f>
        <v/>
      </c>
      <c r="AX184" s="92" t="str">
        <f aca="false">IF(ISBLANK($C184),"",IF(ISNUMBER(W184),IF(W184&gt;=0,W184,""),""))</f>
        <v/>
      </c>
      <c r="AY184" s="92" t="str">
        <f aca="false">IF(ISBLANK($C184),"",IF(X184=Constants!$B$3,TRUE(),IF(X184=Constants!$B$4,FALSE(),FALSE())))</f>
        <v/>
      </c>
      <c r="AZ184" s="92" t="str">
        <f aca="false">IF(ISBLANK($C184),"",MIN(Constants!$B$31,MAX(0,IF(ISNUMBER(Y184),Y184*60,0)+IF(ISNUMBER(Z184),Z184,0))))</f>
        <v/>
      </c>
      <c r="BA184" s="92" t="str">
        <f aca="false">IF(ISBLANK($C184),"",IF(AA184=Constants!$B$3,TRUE(),IF(AA184=Constants!$B$4,FALSE(),FALSE())))</f>
        <v/>
      </c>
      <c r="BB184" s="91" t="str">
        <f aca="false">IF(ISBLANK($C184),"",AND($AL184,OR($AM184="",$AN184="",AND($AO184,$AP184=""))))</f>
        <v/>
      </c>
      <c r="BC184" s="93" t="str">
        <f aca="false">IF($BR184&lt;&gt;Constants!$B$8,"",IF($AL184,Constants!$B$21*$AN184+Constants!$B$22*IF($AO184,$AP184,Constants!$B$23),Constants!$B$24))</f>
        <v/>
      </c>
      <c r="BD184" s="96" t="str">
        <f aca="false">IF($BR184&lt;&gt;Constants!$B$8,"",Constants!$B$25*ABS($AD$9-IF($AL184,$AM184,0)))</f>
        <v/>
      </c>
      <c r="BE184" s="96" t="str">
        <f aca="false">IF($BR184&lt;&gt;Constants!$B$8,"",IF(AND($AL184,$AQ184,$AO184),Constants!$B$27,0))</f>
        <v/>
      </c>
      <c r="BF184" s="96" t="str">
        <f aca="false">IF($BR184&lt;&gt;Constants!$B$8,"",IF($AL184,($AI184-Constants!$B$29)*Constants!$B$28,0))</f>
        <v/>
      </c>
      <c r="BG184" s="96" t="str">
        <f aca="false">IF($BR184&lt;&gt;Constants!$B$8,"",IF($AK184,0,Constants!$B$15)+IF($AJ184,0,Constants!$B$16)+IF($AH184,0,Constants!$B$17))</f>
        <v/>
      </c>
      <c r="BH184" s="97" t="str">
        <f aca="false">IF($BR184&lt;&gt;Constants!$B$8,"",Constants!$B$20+SUM($BC184:$BG184))</f>
        <v/>
      </c>
      <c r="BI184" s="92" t="str">
        <f aca="false">IF($BR184&lt;&gt;Constants!$B$8,"",IF(OR($BP184&lt;$BH184,AND($BP184=$BH184,OR($BK184&lt;$BC184,AND($BK184=$BC184,OR($BL184&lt;$BD184,AND($BL184=$BD184,$AT184,$AL184,$AV184&lt;$AN184)))))),"-&gt;","&lt;-"))</f>
        <v/>
      </c>
      <c r="BJ184" s="91" t="str">
        <f aca="false">IF(ISBLANK($C184),"",AND($AT184,OR($AU184="",$AV184="",AND($AW184,$AX184=""))))</f>
        <v/>
      </c>
      <c r="BK184" s="93" t="str">
        <f aca="false">IF($BR184&lt;&gt;Constants!$B$8,"",IF($AT184,Constants!$B$21*$AV184+Constants!$B$22*IF($AW184,$AX184,Constants!$B$23),Constants!$B$24))</f>
        <v/>
      </c>
      <c r="BL184" s="96" t="str">
        <f aca="false">IF($BR184&lt;&gt;Constants!$B$8,"",Constants!$B$25*ABS($AD$9-IF($AT184,$AU184,0)))</f>
        <v/>
      </c>
      <c r="BM184" s="96" t="str">
        <f aca="false">IF($BR184&lt;&gt;Constants!$B$8,"",IF(AND($AT184,$AY184,$AW184),Constants!$B$27,0))</f>
        <v/>
      </c>
      <c r="BN184" s="96" t="str">
        <f aca="false">IF($BR184&lt;&gt;Constants!$B$8,"",IF($AT184,($AI184-Constants!$B$29)*Constants!$B$28,0))</f>
        <v/>
      </c>
      <c r="BO184" s="96" t="str">
        <f aca="false">IF($BR184&lt;&gt;Constants!$B$8,"",IF($AS184,0,Constants!$B$15)+IF($AR184,0,Constants!$B$16)+IF($AH184,0,Constants!$B$17))</f>
        <v/>
      </c>
      <c r="BP184" s="97" t="str">
        <f aca="false">IF($BR184&lt;&gt;Constants!$B$8,"",Constants!$B$20+SUM($BK184:$BO184))</f>
        <v/>
      </c>
      <c r="BQ184" s="92" t="str">
        <f aca="false">IF(ISBLANK($C184),"",IF(ISBLANK($D$7),$BQ$5,IF(NOT(ISNUMBER($D$7)),$BQ$6,"")))</f>
        <v/>
      </c>
      <c r="BR184" s="92" t="str">
        <f aca="false">IF(ISBLANK($C184),"",IF($BA184,Constants!$B$11,IF(COUNTA($E184:$AA184)=0,Constants!$B$10,IF(NOT($AG184),Constants!$B$9,IF(OR($BQ184&lt;&gt;"",$BB184,$BJ184),Constants!$B$12,Constants!$B$8)))))</f>
        <v/>
      </c>
      <c r="BS184" s="92" t="str">
        <f aca="false">IF(ISBLANK($C184),"",IF($BR184&lt;&gt;Constants!$B$8,$BR184,Constants!$B$13))</f>
        <v/>
      </c>
      <c r="BT184" s="96" t="str">
        <f aca="false">IF($BR184&lt;&gt;Constants!$B$8,"",IF($BI184="-&gt;",$BP184,$BH184))</f>
        <v/>
      </c>
      <c r="BU184" s="96" t="str">
        <f aca="false">IF($BR184&lt;&gt;Constants!$B$8,"",IF($AF184,0,Constants!$B$18))</f>
        <v/>
      </c>
      <c r="BV184" s="96" t="str">
        <f aca="false">IF($BR184&lt;&gt;Constants!$B$8,"",((Constants!$B$31-$AZ184)-Constants!$B$31)/Constants!$B$32)</f>
        <v/>
      </c>
      <c r="BW184" s="96" t="str">
        <f aca="false">IF(ISBLANK($C184),"",IF($BR184&lt;&gt;Constants!$B$8,$BR184,SUM($BT184:$BV184)))</f>
        <v/>
      </c>
      <c r="BX184" s="92" t="str">
        <f aca="false">IF(ISBLANK($C184),"",IF($BR184&lt;&gt;Constants!$B$8,$BR184,RANK($BW184,$BW$9:$BW$508,1)))</f>
        <v/>
      </c>
      <c r="BY184" s="96" t="str">
        <f aca="false">IF($BR184&lt;&gt;Constants!$B$8,"",IF($BI184="-&gt;",$BK184,$BC184))</f>
        <v/>
      </c>
      <c r="BZ184" s="92" t="str">
        <f aca="false">IF(ISBLANK($C184),"",IF($BR184&lt;&gt;Constants!$B$8,$BR184,IF(ISNUMBER($BY184),RANK($BY184,$BY$9:$BY$508,1),COUNT($BY$9:$BY$508)+1)))</f>
        <v/>
      </c>
      <c r="CA184" s="96" t="str">
        <f aca="false">IF($BR184&lt;&gt;Constants!$B$8,"",IF($BI184="-&gt;",$BL184,$BD184))</f>
        <v/>
      </c>
      <c r="CB184" s="92" t="str">
        <f aca="false">IF(ISBLANK($C184),"",IF($BR184&lt;&gt;Constants!$B$8,$BR184,IF(ISNUMBER($CA184),RANK($CA184,$CA$9:$CA$508,1),COUNT($CA$9:$CA$508)+1)))</f>
        <v/>
      </c>
      <c r="CC184" s="96" t="str">
        <f aca="false">IF($BR184&lt;&gt;Constants!$B$8,"",IF($BI184="-&gt;",IF($AT184,$AV184,""),IF($AL184,$AN184,"")))</f>
        <v/>
      </c>
      <c r="CD184" s="92" t="str">
        <f aca="false">IF(ISBLANK($C184),"",IF($BR184&lt;&gt;Constants!$B$8,$BR184,IF(ISNUMBER($CC184),RANK($CC184,$CC$9:$CC$508,1),COUNT($CC$9:$CC$508)+1)))</f>
        <v/>
      </c>
      <c r="CE184" s="96" t="str">
        <f aca="false">IF($BR184&lt;&gt;Constants!$B$8,"",IF(AND(NOT($AL184),NOT($AT184),$AJ184,$AK184,$AR184,$AS184),"",$AI184))</f>
        <v/>
      </c>
      <c r="CF184" s="92" t="str">
        <f aca="false">IF(ISBLANK($C184),"",IF($BR184&lt;&gt;Constants!$B$8,$BR184,IF(ISNUMBER($CE184),RANK($CE184,$CE$9:$CE$508,1),COUNT($CE$9:$CE$508)+1)))</f>
        <v/>
      </c>
      <c r="CG184" s="92" t="str">
        <f aca="false">IF(ISBLANK($C184),"",IF($BR184&lt;&gt;Constants!$B$8,$BR184,COUNTIFS($BX$9:$BX$508,"&lt;"&amp;$BX184)+COUNTIFS($BX$9:$BX$508,$BX184,$BZ$9:$BZ$508,"&lt;"&amp;$BZ184)+COUNTIFS($BX$9:$BX$508,$BX184,$BZ$9:$BZ$508,$BZ184,$CB$9:$CB$508,"&lt;"&amp;$CB184)+COUNTIFS($BX$9:$BX$508,$BX184,$BZ$9:$BZ$508,$BZ184,$CB$9:$CB$508,$CB184,$CD$9:$CD$508,"&lt;"&amp;$CD184)+COUNTIFS($BX$9:$BX$508,$BX184,$BZ$9:$BZ$508,$BZ184,$CB$9:$CB$508,$CB184,$CD$9:$CD$508,$CD184,$CF$9:$CF$508,"&lt;"&amp;$CF184)+1))</f>
        <v/>
      </c>
      <c r="CH184" s="92" t="str">
        <f aca="false">IF(ISBLANK($C184),"",IF($BR184&lt;&gt;Constants!$B$8,$BR184,$BX184-$CG184))</f>
        <v/>
      </c>
      <c r="CI184" s="98"/>
      <c r="CJ184" s="99"/>
      <c r="CK184" s="100" t="str">
        <f aca="false">IF(ISBLANK($C184),"",IF($BR184=Constants!$B$12,$BQ184,""))</f>
        <v/>
      </c>
      <c r="CL184" s="99" t="str">
        <f aca="false">IF(ISBLANK($C184),"",IF($BR184&lt;&gt;Constants!$B$8,"",IF($BI184="-&gt;",2,1)))</f>
        <v/>
      </c>
      <c r="CM184" s="101" t="str">
        <f aca="false">IF(ISBLANK($C184),"",IF($BR184&lt;&gt;Constants!$B$8,"",IF($BI184="-&gt;",$BK184,$BC184)))</f>
        <v/>
      </c>
      <c r="CN184" s="101" t="str">
        <f aca="false">IF(ISBLANK($C184),"",IF($BR184&lt;&gt;Constants!$B$8,"",IF($BI184="-&gt;",$BL184,$BD184)))</f>
        <v/>
      </c>
      <c r="CO184" s="101" t="str">
        <f aca="false">IF(ISBLANK($C184),"",IF($BR184&lt;&gt;Constants!$B$8,"",IF($BI184="-&gt;",$BM184+$BN184,$BE184+$BF184)+$BV184))</f>
        <v/>
      </c>
      <c r="CP184" s="101" t="str">
        <f aca="false">IF(ISBLANK($C184),"",IF($BR184&lt;&gt;Constants!$B$8,"",IF($BI184="-&gt;",$BO184,$BG184)+$BU184))</f>
        <v/>
      </c>
      <c r="CQ184" s="102" t="str">
        <f aca="false">IF(ISBLANK($C184),"",IF($BR184&lt;&gt;Constants!$B$8,$BR184,$BW184))</f>
        <v/>
      </c>
      <c r="CR184" s="103" t="str">
        <f aca="false">IF(ISBLANK($C184),"",$BS184)</f>
        <v/>
      </c>
      <c r="CS184" s="104" t="str">
        <f aca="false">IF(ISBLANK($C184),"",$CH184)</f>
        <v/>
      </c>
      <c r="CT184" s="104" t="str">
        <f aca="false">IF(ISBLANK($C184),"",$CG184)</f>
        <v/>
      </c>
      <c r="CU184" s="105" t="str">
        <f aca="false">IF(ISBLANK($C184),"",IFERROR(_xlfn.SWITCH($CT184,Constants!$B$11,COUNTA($C$9:$C$508)+2,Constants!$B$10,COUNTA($C$9:$C$508)+1,Constants!$B$9,COUNTA($C$9:$C$508)),$CT184))</f>
        <v/>
      </c>
      <c r="CV184" s="9"/>
      <c r="CW184" s="106" t="n">
        <f aca="false">IF(OR(ISNUMBER($CT184),$CT184=Constants!$B$11,$CT184=Constants!$B$9,$CT184=Constants!$B$10),1,0)</f>
        <v>0</v>
      </c>
      <c r="CX184" s="106" t="n">
        <v>176</v>
      </c>
      <c r="CY184" s="106" t="str">
        <f aca="false">IF(ISBLANK($C184),"",IF(ISNUMBER($CU184),$CU184+ROW($B184)/1000,""))</f>
        <v/>
      </c>
      <c r="CZ184" s="106" t="str">
        <f aca="false">IF(ISNUMBER($CY184),RANK($CY184,$CY$9:$CY$508,1),"")</f>
        <v/>
      </c>
      <c r="DA184" s="106" t="str">
        <f aca="false">IF(ISBLANK($C184),"",$B184)</f>
        <v/>
      </c>
      <c r="DB184" s="106" t="str">
        <f aca="false">IF(ISBLANK($C184),"",$C184)</f>
        <v/>
      </c>
      <c r="DC184" s="106" t="str">
        <f aca="false">IF(ISBLANK($C184),"",$D184)</f>
        <v/>
      </c>
      <c r="DD184" s="107" t="str">
        <f aca="false">$CR184</f>
        <v/>
      </c>
      <c r="DE184" s="108" t="str">
        <f aca="false">$CQ184</f>
        <v/>
      </c>
      <c r="DF184" s="106" t="str">
        <f aca="false">IF(ISBLANK($C184),"",$CT184)</f>
        <v/>
      </c>
      <c r="DG184" s="109" t="str">
        <f aca="false">IF($CX184&gt;$CW$8,"",VLOOKUP($CX184,$CZ$9:$DF$508,7,FALSE()))</f>
        <v/>
      </c>
      <c r="DH184" s="110" t="str">
        <f aca="false">IF($CX184&gt;$CW$8,"",VLOOKUP($CX184,$CZ$9:$DF$508,2,FALSE()))</f>
        <v/>
      </c>
      <c r="DI184" s="110" t="str">
        <f aca="false">IF($CX184&gt;$CW$8,"",VLOOKUP($CX184,$CZ$9:$DF$508,3,FALSE()))</f>
        <v/>
      </c>
      <c r="DJ184" s="110" t="str">
        <f aca="false">IF($CX184&gt;$CW$8,"",VLOOKUP($CX184,$CZ$9:$DF$508,4,FALSE()))</f>
        <v/>
      </c>
      <c r="DK184" s="110" t="str">
        <f aca="false">IF($CX184&gt;$CW$8,"",VLOOKUP($CX184,$CZ$9:$DF$508,5,FALSE()))</f>
        <v/>
      </c>
      <c r="DL184" s="111" t="str">
        <f aca="false">IF($CX184&gt;$CW$8,"",VLOOKUP($CX184,$CZ$9:$DF$508,6,FALSE()))</f>
        <v/>
      </c>
      <c r="DM184" s="75"/>
    </row>
    <row r="185" customFormat="false" ht="15.75" hidden="false" customHeight="false" outlineLevel="0" collapsed="false">
      <c r="A185" s="9"/>
      <c r="B185" s="77"/>
      <c r="C185" s="78"/>
      <c r="D185" s="167"/>
      <c r="E185" s="175"/>
      <c r="F185" s="169"/>
      <c r="G185" s="170"/>
      <c r="H185" s="170"/>
      <c r="I185" s="176"/>
      <c r="J185" s="173"/>
      <c r="K185" s="85"/>
      <c r="L185" s="86"/>
      <c r="M185" s="87"/>
      <c r="N185" s="173"/>
      <c r="O185" s="173"/>
      <c r="P185" s="175"/>
      <c r="Q185" s="173"/>
      <c r="R185" s="173"/>
      <c r="S185" s="85"/>
      <c r="T185" s="87"/>
      <c r="U185" s="87"/>
      <c r="V185" s="173"/>
      <c r="W185" s="173"/>
      <c r="X185" s="175"/>
      <c r="Y185" s="173"/>
      <c r="Z185" s="174"/>
      <c r="AA185" s="173"/>
      <c r="AB185" s="91"/>
      <c r="AC185" s="92"/>
      <c r="AD185" s="92"/>
      <c r="AE185" s="92"/>
      <c r="AF185" s="92" t="str">
        <f aca="false">IF(ISBLANK($C185),"",IF(E185=Constants!$B$3,TRUE(),IF(E185=Constants!$B$4,FALSE(),TRUE())))</f>
        <v/>
      </c>
      <c r="AG185" s="92" t="str">
        <f aca="false">IF(ISBLANK($C185),"",IF(F185=Constants!$B$3,TRUE(),IF(F185=Constants!$B$4,FALSE(),TRUE())))</f>
        <v/>
      </c>
      <c r="AH185" s="92" t="str">
        <f aca="false">IF(ISBLANK($C185),"",IF(G185=Constants!$B$3,TRUE(),IF(G185=Constants!$B$4,FALSE(),TRUE())))</f>
        <v/>
      </c>
      <c r="AI185" s="92" t="str">
        <f aca="false">IF(ISBLANK($C185),"",IF(AND(ISNUMBER(H185),H185&gt;=0),H185,Constants!$B$29))</f>
        <v/>
      </c>
      <c r="AJ185" s="92" t="str">
        <f aca="false">IF(ISBLANK($C185),"",IF(I185=Constants!$B$3,TRUE(),IF(I185=Constants!$B$4,FALSE(),TRUE())))</f>
        <v/>
      </c>
      <c r="AK185" s="92" t="str">
        <f aca="false">IF(ISBLANK($C185),"",IF(J185=Constants!$B$3,TRUE(),IF(J185=Constants!$B$4,FALSE(),TRUE())))</f>
        <v/>
      </c>
      <c r="AL185" s="92" t="str">
        <f aca="false">IF(ISBLANK($C185),"",IF(K185=Constants!$B$5,TRUE(),IF(K185=Constants!$B$6,FALSE(),COUNTA(L185:P185)&gt;0)))</f>
        <v/>
      </c>
      <c r="AM185" s="94" t="str">
        <f aca="false">IF(ISBLANK($C185),"",IF(ISNUMBER(L185),IF(L185&gt;=0,L185,""),""))</f>
        <v/>
      </c>
      <c r="AN185" s="93" t="str">
        <f aca="false">IF(ISBLANK($C185),"",IF(ISNUMBER(M185),IF(M185&gt;=0,M185,""),""))</f>
        <v/>
      </c>
      <c r="AO185" s="93" t="str">
        <f aca="false">IF(ISBLANK($C185),"",IF(N185=Constants!$B$3,TRUE(),IF(N185=Constants!$B$4,FALSE(),TRUE())))</f>
        <v/>
      </c>
      <c r="AP185" s="92" t="str">
        <f aca="false">IF(ISBLANK($C185),"",IF(ISNUMBER(O185),IF(O185&gt;=0,O185,""),""))</f>
        <v/>
      </c>
      <c r="AQ185" s="92" t="str">
        <f aca="false">IF(ISBLANK($C185),"",IF(P185=Constants!$B$3,TRUE(),IF(P185=Constants!$B$4,FALSE(),FALSE())))</f>
        <v/>
      </c>
      <c r="AR185" s="92" t="str">
        <f aca="false">IF(ISBLANK($C185),"",IF(Q185=Constants!$B$3,TRUE(),IF(Q185=Constants!$B$4,FALSE(),TRUE())))</f>
        <v/>
      </c>
      <c r="AS185" s="92" t="str">
        <f aca="false">IF(ISBLANK($C185),"",IF(R185=Constants!$B$3,TRUE(),IF(R185=Constants!$B$4,FALSE(),TRUE())))</f>
        <v/>
      </c>
      <c r="AT185" s="92" t="str">
        <f aca="false">IF(ISBLANK($C185),"",IF(S185=Constants!$B$5,TRUE(),IF(S185=Constants!$B$6,FALSE(),COUNTA(T185:X185)&gt;0)))</f>
        <v/>
      </c>
      <c r="AU185" s="94" t="str">
        <f aca="false">IF(ISBLANK($C185),"",IF(ISNUMBER(T185),IF(T185&gt;=0,T185,""),""))</f>
        <v/>
      </c>
      <c r="AV185" s="93" t="str">
        <f aca="false">IF(ISBLANK($C185),"",IF(ISNUMBER(U185),IF(U185&gt;=0,U185,""),""))</f>
        <v/>
      </c>
      <c r="AW185" s="93" t="str">
        <f aca="false">IF(ISBLANK($C185),"",IF(V185=Constants!$B$3,TRUE(),IF(V185=Constants!$B$4,FALSE(),TRUE())))</f>
        <v/>
      </c>
      <c r="AX185" s="92" t="str">
        <f aca="false">IF(ISBLANK($C185),"",IF(ISNUMBER(W185),IF(W185&gt;=0,W185,""),""))</f>
        <v/>
      </c>
      <c r="AY185" s="92" t="str">
        <f aca="false">IF(ISBLANK($C185),"",IF(X185=Constants!$B$3,TRUE(),IF(X185=Constants!$B$4,FALSE(),FALSE())))</f>
        <v/>
      </c>
      <c r="AZ185" s="92" t="str">
        <f aca="false">IF(ISBLANK($C185),"",MIN(Constants!$B$31,MAX(0,IF(ISNUMBER(Y185),Y185*60,0)+IF(ISNUMBER(Z185),Z185,0))))</f>
        <v/>
      </c>
      <c r="BA185" s="92" t="str">
        <f aca="false">IF(ISBLANK($C185),"",IF(AA185=Constants!$B$3,TRUE(),IF(AA185=Constants!$B$4,FALSE(),FALSE())))</f>
        <v/>
      </c>
      <c r="BB185" s="91" t="str">
        <f aca="false">IF(ISBLANK($C185),"",AND($AL185,OR($AM185="",$AN185="",AND($AO185,$AP185=""))))</f>
        <v/>
      </c>
      <c r="BC185" s="93" t="str">
        <f aca="false">IF($BR185&lt;&gt;Constants!$B$8,"",IF($AL185,Constants!$B$21*$AN185+Constants!$B$22*IF($AO185,$AP185,Constants!$B$23),Constants!$B$24))</f>
        <v/>
      </c>
      <c r="BD185" s="96" t="str">
        <f aca="false">IF($BR185&lt;&gt;Constants!$B$8,"",Constants!$B$25*ABS($AD$9-IF($AL185,$AM185,0)))</f>
        <v/>
      </c>
      <c r="BE185" s="96" t="str">
        <f aca="false">IF($BR185&lt;&gt;Constants!$B$8,"",IF(AND($AL185,$AQ185,$AO185),Constants!$B$27,0))</f>
        <v/>
      </c>
      <c r="BF185" s="96" t="str">
        <f aca="false">IF($BR185&lt;&gt;Constants!$B$8,"",IF($AL185,($AI185-Constants!$B$29)*Constants!$B$28,0))</f>
        <v/>
      </c>
      <c r="BG185" s="96" t="str">
        <f aca="false">IF($BR185&lt;&gt;Constants!$B$8,"",IF($AK185,0,Constants!$B$15)+IF($AJ185,0,Constants!$B$16)+IF($AH185,0,Constants!$B$17))</f>
        <v/>
      </c>
      <c r="BH185" s="97" t="str">
        <f aca="false">IF($BR185&lt;&gt;Constants!$B$8,"",Constants!$B$20+SUM($BC185:$BG185))</f>
        <v/>
      </c>
      <c r="BI185" s="92" t="str">
        <f aca="false">IF($BR185&lt;&gt;Constants!$B$8,"",IF(OR($BP185&lt;$BH185,AND($BP185=$BH185,OR($BK185&lt;$BC185,AND($BK185=$BC185,OR($BL185&lt;$BD185,AND($BL185=$BD185,$AT185,$AL185,$AV185&lt;$AN185)))))),"-&gt;","&lt;-"))</f>
        <v/>
      </c>
      <c r="BJ185" s="91" t="str">
        <f aca="false">IF(ISBLANK($C185),"",AND($AT185,OR($AU185="",$AV185="",AND($AW185,$AX185=""))))</f>
        <v/>
      </c>
      <c r="BK185" s="93" t="str">
        <f aca="false">IF($BR185&lt;&gt;Constants!$B$8,"",IF($AT185,Constants!$B$21*$AV185+Constants!$B$22*IF($AW185,$AX185,Constants!$B$23),Constants!$B$24))</f>
        <v/>
      </c>
      <c r="BL185" s="96" t="str">
        <f aca="false">IF($BR185&lt;&gt;Constants!$B$8,"",Constants!$B$25*ABS($AD$9-IF($AT185,$AU185,0)))</f>
        <v/>
      </c>
      <c r="BM185" s="96" t="str">
        <f aca="false">IF($BR185&lt;&gt;Constants!$B$8,"",IF(AND($AT185,$AY185,$AW185),Constants!$B$27,0))</f>
        <v/>
      </c>
      <c r="BN185" s="96" t="str">
        <f aca="false">IF($BR185&lt;&gt;Constants!$B$8,"",IF($AT185,($AI185-Constants!$B$29)*Constants!$B$28,0))</f>
        <v/>
      </c>
      <c r="BO185" s="96" t="str">
        <f aca="false">IF($BR185&lt;&gt;Constants!$B$8,"",IF($AS185,0,Constants!$B$15)+IF($AR185,0,Constants!$B$16)+IF($AH185,0,Constants!$B$17))</f>
        <v/>
      </c>
      <c r="BP185" s="97" t="str">
        <f aca="false">IF($BR185&lt;&gt;Constants!$B$8,"",Constants!$B$20+SUM($BK185:$BO185))</f>
        <v/>
      </c>
      <c r="BQ185" s="92" t="str">
        <f aca="false">IF(ISBLANK($C185),"",IF(ISBLANK($D$7),$BQ$5,IF(NOT(ISNUMBER($D$7)),$BQ$6,"")))</f>
        <v/>
      </c>
      <c r="BR185" s="92" t="str">
        <f aca="false">IF(ISBLANK($C185),"",IF($BA185,Constants!$B$11,IF(COUNTA($E185:$AA185)=0,Constants!$B$10,IF(NOT($AG185),Constants!$B$9,IF(OR($BQ185&lt;&gt;"",$BB185,$BJ185),Constants!$B$12,Constants!$B$8)))))</f>
        <v/>
      </c>
      <c r="BS185" s="92" t="str">
        <f aca="false">IF(ISBLANK($C185),"",IF($BR185&lt;&gt;Constants!$B$8,$BR185,Constants!$B$13))</f>
        <v/>
      </c>
      <c r="BT185" s="96" t="str">
        <f aca="false">IF($BR185&lt;&gt;Constants!$B$8,"",IF($BI185="-&gt;",$BP185,$BH185))</f>
        <v/>
      </c>
      <c r="BU185" s="96" t="str">
        <f aca="false">IF($BR185&lt;&gt;Constants!$B$8,"",IF($AF185,0,Constants!$B$18))</f>
        <v/>
      </c>
      <c r="BV185" s="96" t="str">
        <f aca="false">IF($BR185&lt;&gt;Constants!$B$8,"",((Constants!$B$31-$AZ185)-Constants!$B$31)/Constants!$B$32)</f>
        <v/>
      </c>
      <c r="BW185" s="96" t="str">
        <f aca="false">IF(ISBLANK($C185),"",IF($BR185&lt;&gt;Constants!$B$8,$BR185,SUM($BT185:$BV185)))</f>
        <v/>
      </c>
      <c r="BX185" s="92" t="str">
        <f aca="false">IF(ISBLANK($C185),"",IF($BR185&lt;&gt;Constants!$B$8,$BR185,RANK($BW185,$BW$9:$BW$508,1)))</f>
        <v/>
      </c>
      <c r="BY185" s="96" t="str">
        <f aca="false">IF($BR185&lt;&gt;Constants!$B$8,"",IF($BI185="-&gt;",$BK185,$BC185))</f>
        <v/>
      </c>
      <c r="BZ185" s="92" t="str">
        <f aca="false">IF(ISBLANK($C185),"",IF($BR185&lt;&gt;Constants!$B$8,$BR185,IF(ISNUMBER($BY185),RANK($BY185,$BY$9:$BY$508,1),COUNT($BY$9:$BY$508)+1)))</f>
        <v/>
      </c>
      <c r="CA185" s="96" t="str">
        <f aca="false">IF($BR185&lt;&gt;Constants!$B$8,"",IF($BI185="-&gt;",$BL185,$BD185))</f>
        <v/>
      </c>
      <c r="CB185" s="92" t="str">
        <f aca="false">IF(ISBLANK($C185),"",IF($BR185&lt;&gt;Constants!$B$8,$BR185,IF(ISNUMBER($CA185),RANK($CA185,$CA$9:$CA$508,1),COUNT($CA$9:$CA$508)+1)))</f>
        <v/>
      </c>
      <c r="CC185" s="96" t="str">
        <f aca="false">IF($BR185&lt;&gt;Constants!$B$8,"",IF($BI185="-&gt;",IF($AT185,$AV185,""),IF($AL185,$AN185,"")))</f>
        <v/>
      </c>
      <c r="CD185" s="92" t="str">
        <f aca="false">IF(ISBLANK($C185),"",IF($BR185&lt;&gt;Constants!$B$8,$BR185,IF(ISNUMBER($CC185),RANK($CC185,$CC$9:$CC$508,1),COUNT($CC$9:$CC$508)+1)))</f>
        <v/>
      </c>
      <c r="CE185" s="96" t="str">
        <f aca="false">IF($BR185&lt;&gt;Constants!$B$8,"",IF(AND(NOT($AL185),NOT($AT185),$AJ185,$AK185,$AR185,$AS185),"",$AI185))</f>
        <v/>
      </c>
      <c r="CF185" s="92" t="str">
        <f aca="false">IF(ISBLANK($C185),"",IF($BR185&lt;&gt;Constants!$B$8,$BR185,IF(ISNUMBER($CE185),RANK($CE185,$CE$9:$CE$508,1),COUNT($CE$9:$CE$508)+1)))</f>
        <v/>
      </c>
      <c r="CG185" s="92" t="str">
        <f aca="false">IF(ISBLANK($C185),"",IF($BR185&lt;&gt;Constants!$B$8,$BR185,COUNTIFS($BX$9:$BX$508,"&lt;"&amp;$BX185)+COUNTIFS($BX$9:$BX$508,$BX185,$BZ$9:$BZ$508,"&lt;"&amp;$BZ185)+COUNTIFS($BX$9:$BX$508,$BX185,$BZ$9:$BZ$508,$BZ185,$CB$9:$CB$508,"&lt;"&amp;$CB185)+COUNTIFS($BX$9:$BX$508,$BX185,$BZ$9:$BZ$508,$BZ185,$CB$9:$CB$508,$CB185,$CD$9:$CD$508,"&lt;"&amp;$CD185)+COUNTIFS($BX$9:$BX$508,$BX185,$BZ$9:$BZ$508,$BZ185,$CB$9:$CB$508,$CB185,$CD$9:$CD$508,$CD185,$CF$9:$CF$508,"&lt;"&amp;$CF185)+1))</f>
        <v/>
      </c>
      <c r="CH185" s="92" t="str">
        <f aca="false">IF(ISBLANK($C185),"",IF($BR185&lt;&gt;Constants!$B$8,$BR185,$BX185-$CG185))</f>
        <v/>
      </c>
      <c r="CI185" s="98"/>
      <c r="CJ185" s="99"/>
      <c r="CK185" s="100" t="str">
        <f aca="false">IF(ISBLANK($C185),"",IF($BR185=Constants!$B$12,$BQ185,""))</f>
        <v/>
      </c>
      <c r="CL185" s="99" t="str">
        <f aca="false">IF(ISBLANK($C185),"",IF($BR185&lt;&gt;Constants!$B$8,"",IF($BI185="-&gt;",2,1)))</f>
        <v/>
      </c>
      <c r="CM185" s="101" t="str">
        <f aca="false">IF(ISBLANK($C185),"",IF($BR185&lt;&gt;Constants!$B$8,"",IF($BI185="-&gt;",$BK185,$BC185)))</f>
        <v/>
      </c>
      <c r="CN185" s="101" t="str">
        <f aca="false">IF(ISBLANK($C185),"",IF($BR185&lt;&gt;Constants!$B$8,"",IF($BI185="-&gt;",$BL185,$BD185)))</f>
        <v/>
      </c>
      <c r="CO185" s="101" t="str">
        <f aca="false">IF(ISBLANK($C185),"",IF($BR185&lt;&gt;Constants!$B$8,"",IF($BI185="-&gt;",$BM185+$BN185,$BE185+$BF185)+$BV185))</f>
        <v/>
      </c>
      <c r="CP185" s="101" t="str">
        <f aca="false">IF(ISBLANK($C185),"",IF($BR185&lt;&gt;Constants!$B$8,"",IF($BI185="-&gt;",$BO185,$BG185)+$BU185))</f>
        <v/>
      </c>
      <c r="CQ185" s="102" t="str">
        <f aca="false">IF(ISBLANK($C185),"",IF($BR185&lt;&gt;Constants!$B$8,$BR185,$BW185))</f>
        <v/>
      </c>
      <c r="CR185" s="103" t="str">
        <f aca="false">IF(ISBLANK($C185),"",$BS185)</f>
        <v/>
      </c>
      <c r="CS185" s="104" t="str">
        <f aca="false">IF(ISBLANK($C185),"",$CH185)</f>
        <v/>
      </c>
      <c r="CT185" s="104" t="str">
        <f aca="false">IF(ISBLANK($C185),"",$CG185)</f>
        <v/>
      </c>
      <c r="CU185" s="105" t="str">
        <f aca="false">IF(ISBLANK($C185),"",IFERROR(_xlfn.SWITCH($CT185,Constants!$B$11,COUNTA($C$9:$C$508)+2,Constants!$B$10,COUNTA($C$9:$C$508)+1,Constants!$B$9,COUNTA($C$9:$C$508)),$CT185))</f>
        <v/>
      </c>
      <c r="CV185" s="9"/>
      <c r="CW185" s="106" t="n">
        <f aca="false">IF(OR(ISNUMBER($CT185),$CT185=Constants!$B$11,$CT185=Constants!$B$9,$CT185=Constants!$B$10),1,0)</f>
        <v>0</v>
      </c>
      <c r="CX185" s="106" t="n">
        <v>177</v>
      </c>
      <c r="CY185" s="106" t="str">
        <f aca="false">IF(ISBLANK($C185),"",IF(ISNUMBER($CU185),$CU185+ROW($B185)/1000,""))</f>
        <v/>
      </c>
      <c r="CZ185" s="106" t="str">
        <f aca="false">IF(ISNUMBER($CY185),RANK($CY185,$CY$9:$CY$508,1),"")</f>
        <v/>
      </c>
      <c r="DA185" s="106" t="str">
        <f aca="false">IF(ISBLANK($C185),"",$B185)</f>
        <v/>
      </c>
      <c r="DB185" s="106" t="str">
        <f aca="false">IF(ISBLANK($C185),"",$C185)</f>
        <v/>
      </c>
      <c r="DC185" s="106" t="str">
        <f aca="false">IF(ISBLANK($C185),"",$D185)</f>
        <v/>
      </c>
      <c r="DD185" s="107" t="str">
        <f aca="false">$CR185</f>
        <v/>
      </c>
      <c r="DE185" s="108" t="str">
        <f aca="false">$CQ185</f>
        <v/>
      </c>
      <c r="DF185" s="106" t="str">
        <f aca="false">IF(ISBLANK($C185),"",$CT185)</f>
        <v/>
      </c>
      <c r="DG185" s="109" t="str">
        <f aca="false">IF($CX185&gt;$CW$8,"",VLOOKUP($CX185,$CZ$9:$DF$508,7,FALSE()))</f>
        <v/>
      </c>
      <c r="DH185" s="110" t="str">
        <f aca="false">IF($CX185&gt;$CW$8,"",VLOOKUP($CX185,$CZ$9:$DF$508,2,FALSE()))</f>
        <v/>
      </c>
      <c r="DI185" s="110" t="str">
        <f aca="false">IF($CX185&gt;$CW$8,"",VLOOKUP($CX185,$CZ$9:$DF$508,3,FALSE()))</f>
        <v/>
      </c>
      <c r="DJ185" s="110" t="str">
        <f aca="false">IF($CX185&gt;$CW$8,"",VLOOKUP($CX185,$CZ$9:$DF$508,4,FALSE()))</f>
        <v/>
      </c>
      <c r="DK185" s="110" t="str">
        <f aca="false">IF($CX185&gt;$CW$8,"",VLOOKUP($CX185,$CZ$9:$DF$508,5,FALSE()))</f>
        <v/>
      </c>
      <c r="DL185" s="111" t="str">
        <f aca="false">IF($CX185&gt;$CW$8,"",VLOOKUP($CX185,$CZ$9:$DF$508,6,FALSE()))</f>
        <v/>
      </c>
      <c r="DM185" s="75"/>
    </row>
    <row r="186" customFormat="false" ht="15.75" hidden="false" customHeight="false" outlineLevel="0" collapsed="false">
      <c r="A186" s="9"/>
      <c r="B186" s="157"/>
      <c r="C186" s="158"/>
      <c r="D186" s="159"/>
      <c r="E186" s="177"/>
      <c r="F186" s="161"/>
      <c r="G186" s="162"/>
      <c r="H186" s="162"/>
      <c r="I186" s="178"/>
      <c r="J186" s="165"/>
      <c r="K186" s="126"/>
      <c r="L186" s="127"/>
      <c r="M186" s="128"/>
      <c r="N186" s="165"/>
      <c r="O186" s="165"/>
      <c r="P186" s="177"/>
      <c r="Q186" s="165"/>
      <c r="R186" s="165"/>
      <c r="S186" s="126"/>
      <c r="T186" s="128"/>
      <c r="U186" s="128"/>
      <c r="V186" s="165"/>
      <c r="W186" s="165"/>
      <c r="X186" s="177"/>
      <c r="Y186" s="165"/>
      <c r="Z186" s="166"/>
      <c r="AA186" s="165"/>
      <c r="AB186" s="132"/>
      <c r="AC186" s="133"/>
      <c r="AD186" s="133"/>
      <c r="AE186" s="133"/>
      <c r="AF186" s="133" t="str">
        <f aca="false">IF(ISBLANK($C186),"",IF(E186=Constants!$B$3,TRUE(),IF(E186=Constants!$B$4,FALSE(),TRUE())))</f>
        <v/>
      </c>
      <c r="AG186" s="133" t="str">
        <f aca="false">IF(ISBLANK($C186),"",IF(F186=Constants!$B$3,TRUE(),IF(F186=Constants!$B$4,FALSE(),TRUE())))</f>
        <v/>
      </c>
      <c r="AH186" s="133" t="str">
        <f aca="false">IF(ISBLANK($C186),"",IF(G186=Constants!$B$3,TRUE(),IF(G186=Constants!$B$4,FALSE(),TRUE())))</f>
        <v/>
      </c>
      <c r="AI186" s="133" t="str">
        <f aca="false">IF(ISBLANK($C186),"",IF(AND(ISNUMBER(H186),H186&gt;=0),H186,Constants!$B$29))</f>
        <v/>
      </c>
      <c r="AJ186" s="133" t="str">
        <f aca="false">IF(ISBLANK($C186),"",IF(I186=Constants!$B$3,TRUE(),IF(I186=Constants!$B$4,FALSE(),TRUE())))</f>
        <v/>
      </c>
      <c r="AK186" s="133" t="str">
        <f aca="false">IF(ISBLANK($C186),"",IF(J186=Constants!$B$3,TRUE(),IF(J186=Constants!$B$4,FALSE(),TRUE())))</f>
        <v/>
      </c>
      <c r="AL186" s="133" t="str">
        <f aca="false">IF(ISBLANK($C186),"",IF(K186=Constants!$B$5,TRUE(),IF(K186=Constants!$B$6,FALSE(),COUNTA(L186:P186)&gt;0)))</f>
        <v/>
      </c>
      <c r="AM186" s="134" t="str">
        <f aca="false">IF(ISBLANK($C186),"",IF(ISNUMBER(L186),IF(L186&gt;=0,L186,""),""))</f>
        <v/>
      </c>
      <c r="AN186" s="135" t="str">
        <f aca="false">IF(ISBLANK($C186),"",IF(ISNUMBER(M186),IF(M186&gt;=0,M186,""),""))</f>
        <v/>
      </c>
      <c r="AO186" s="135" t="str">
        <f aca="false">IF(ISBLANK($C186),"",IF(N186=Constants!$B$3,TRUE(),IF(N186=Constants!$B$4,FALSE(),TRUE())))</f>
        <v/>
      </c>
      <c r="AP186" s="133" t="str">
        <f aca="false">IF(ISBLANK($C186),"",IF(ISNUMBER(O186),IF(O186&gt;=0,O186,""),""))</f>
        <v/>
      </c>
      <c r="AQ186" s="133" t="str">
        <f aca="false">IF(ISBLANK($C186),"",IF(P186=Constants!$B$3,TRUE(),IF(P186=Constants!$B$4,FALSE(),FALSE())))</f>
        <v/>
      </c>
      <c r="AR186" s="133" t="str">
        <f aca="false">IF(ISBLANK($C186),"",IF(Q186=Constants!$B$3,TRUE(),IF(Q186=Constants!$B$4,FALSE(),TRUE())))</f>
        <v/>
      </c>
      <c r="AS186" s="133" t="str">
        <f aca="false">IF(ISBLANK($C186),"",IF(R186=Constants!$B$3,TRUE(),IF(R186=Constants!$B$4,FALSE(),TRUE())))</f>
        <v/>
      </c>
      <c r="AT186" s="133" t="str">
        <f aca="false">IF(ISBLANK($C186),"",IF(S186=Constants!$B$5,TRUE(),IF(S186=Constants!$B$6,FALSE(),COUNTA(T186:X186)&gt;0)))</f>
        <v/>
      </c>
      <c r="AU186" s="134" t="str">
        <f aca="false">IF(ISBLANK($C186),"",IF(ISNUMBER(T186),IF(T186&gt;=0,T186,""),""))</f>
        <v/>
      </c>
      <c r="AV186" s="135" t="str">
        <f aca="false">IF(ISBLANK($C186),"",IF(ISNUMBER(U186),IF(U186&gt;=0,U186,""),""))</f>
        <v/>
      </c>
      <c r="AW186" s="135" t="str">
        <f aca="false">IF(ISBLANK($C186),"",IF(V186=Constants!$B$3,TRUE(),IF(V186=Constants!$B$4,FALSE(),TRUE())))</f>
        <v/>
      </c>
      <c r="AX186" s="133" t="str">
        <f aca="false">IF(ISBLANK($C186),"",IF(ISNUMBER(W186),IF(W186&gt;=0,W186,""),""))</f>
        <v/>
      </c>
      <c r="AY186" s="133" t="str">
        <f aca="false">IF(ISBLANK($C186),"",IF(X186=Constants!$B$3,TRUE(),IF(X186=Constants!$B$4,FALSE(),FALSE())))</f>
        <v/>
      </c>
      <c r="AZ186" s="133" t="str">
        <f aca="false">IF(ISBLANK($C186),"",MIN(Constants!$B$31,MAX(0,IF(ISNUMBER(Y186),Y186*60,0)+IF(ISNUMBER(Z186),Z186,0))))</f>
        <v/>
      </c>
      <c r="BA186" s="133" t="str">
        <f aca="false">IF(ISBLANK($C186),"",IF(AA186=Constants!$B$3,TRUE(),IF(AA186=Constants!$B$4,FALSE(),FALSE())))</f>
        <v/>
      </c>
      <c r="BB186" s="132" t="str">
        <f aca="false">IF(ISBLANK($C186),"",AND($AL186,OR($AM186="",$AN186="",AND($AO186,$AP186=""))))</f>
        <v/>
      </c>
      <c r="BC186" s="135" t="str">
        <f aca="false">IF($BR186&lt;&gt;Constants!$B$8,"",IF($AL186,Constants!$B$21*$AN186+Constants!$B$22*IF($AO186,$AP186,Constants!$B$23),Constants!$B$24))</f>
        <v/>
      </c>
      <c r="BD186" s="136" t="str">
        <f aca="false">IF($BR186&lt;&gt;Constants!$B$8,"",Constants!$B$25*ABS($AD$9-IF($AL186,$AM186,0)))</f>
        <v/>
      </c>
      <c r="BE186" s="136" t="str">
        <f aca="false">IF($BR186&lt;&gt;Constants!$B$8,"",IF(AND($AL186,$AQ186,$AO186),Constants!$B$27,0))</f>
        <v/>
      </c>
      <c r="BF186" s="136" t="str">
        <f aca="false">IF($BR186&lt;&gt;Constants!$B$8,"",IF($AL186,($AI186-Constants!$B$29)*Constants!$B$28,0))</f>
        <v/>
      </c>
      <c r="BG186" s="136" t="str">
        <f aca="false">IF($BR186&lt;&gt;Constants!$B$8,"",IF($AK186,0,Constants!$B$15)+IF($AJ186,0,Constants!$B$16)+IF($AH186,0,Constants!$B$17))</f>
        <v/>
      </c>
      <c r="BH186" s="137" t="str">
        <f aca="false">IF($BR186&lt;&gt;Constants!$B$8,"",Constants!$B$20+SUM($BC186:$BG186))</f>
        <v/>
      </c>
      <c r="BI186" s="133" t="str">
        <f aca="false">IF($BR186&lt;&gt;Constants!$B$8,"",IF(OR($BP186&lt;$BH186,AND($BP186=$BH186,OR($BK186&lt;$BC186,AND($BK186=$BC186,OR($BL186&lt;$BD186,AND($BL186=$BD186,$AT186,$AL186,$AV186&lt;$AN186)))))),"-&gt;","&lt;-"))</f>
        <v/>
      </c>
      <c r="BJ186" s="132" t="str">
        <f aca="false">IF(ISBLANK($C186),"",AND($AT186,OR($AU186="",$AV186="",AND($AW186,$AX186=""))))</f>
        <v/>
      </c>
      <c r="BK186" s="135" t="str">
        <f aca="false">IF($BR186&lt;&gt;Constants!$B$8,"",IF($AT186,Constants!$B$21*$AV186+Constants!$B$22*IF($AW186,$AX186,Constants!$B$23),Constants!$B$24))</f>
        <v/>
      </c>
      <c r="BL186" s="136" t="str">
        <f aca="false">IF($BR186&lt;&gt;Constants!$B$8,"",Constants!$B$25*ABS($AD$9-IF($AT186,$AU186,0)))</f>
        <v/>
      </c>
      <c r="BM186" s="136" t="str">
        <f aca="false">IF($BR186&lt;&gt;Constants!$B$8,"",IF(AND($AT186,$AY186,$AW186),Constants!$B$27,0))</f>
        <v/>
      </c>
      <c r="BN186" s="136" t="str">
        <f aca="false">IF($BR186&lt;&gt;Constants!$B$8,"",IF($AT186,($AI186-Constants!$B$29)*Constants!$B$28,0))</f>
        <v/>
      </c>
      <c r="BO186" s="136" t="str">
        <f aca="false">IF($BR186&lt;&gt;Constants!$B$8,"",IF($AS186,0,Constants!$B$15)+IF($AR186,0,Constants!$B$16)+IF($AH186,0,Constants!$B$17))</f>
        <v/>
      </c>
      <c r="BP186" s="137" t="str">
        <f aca="false">IF($BR186&lt;&gt;Constants!$B$8,"",Constants!$B$20+SUM($BK186:$BO186))</f>
        <v/>
      </c>
      <c r="BQ186" s="133" t="str">
        <f aca="false">IF(ISBLANK($C186),"",IF(ISBLANK($D$7),$BQ$5,IF(NOT(ISNUMBER($D$7)),$BQ$6,"")))</f>
        <v/>
      </c>
      <c r="BR186" s="133" t="str">
        <f aca="false">IF(ISBLANK($C186),"",IF($BA186,Constants!$B$11,IF(COUNTA($E186:$AA186)=0,Constants!$B$10,IF(NOT($AG186),Constants!$B$9,IF(OR($BQ186&lt;&gt;"",$BB186,$BJ186),Constants!$B$12,Constants!$B$8)))))</f>
        <v/>
      </c>
      <c r="BS186" s="133" t="str">
        <f aca="false">IF(ISBLANK($C186),"",IF($BR186&lt;&gt;Constants!$B$8,$BR186,Constants!$B$13))</f>
        <v/>
      </c>
      <c r="BT186" s="136" t="str">
        <f aca="false">IF($BR186&lt;&gt;Constants!$B$8,"",IF($BI186="-&gt;",$BP186,$BH186))</f>
        <v/>
      </c>
      <c r="BU186" s="136" t="str">
        <f aca="false">IF($BR186&lt;&gt;Constants!$B$8,"",IF($AF186,0,Constants!$B$18))</f>
        <v/>
      </c>
      <c r="BV186" s="136" t="str">
        <f aca="false">IF($BR186&lt;&gt;Constants!$B$8,"",((Constants!$B$31-$AZ186)-Constants!$B$31)/Constants!$B$32)</f>
        <v/>
      </c>
      <c r="BW186" s="136" t="str">
        <f aca="false">IF(ISBLANK($C186),"",IF($BR186&lt;&gt;Constants!$B$8,$BR186,SUM($BT186:$BV186)))</f>
        <v/>
      </c>
      <c r="BX186" s="133" t="str">
        <f aca="false">IF(ISBLANK($C186),"",IF($BR186&lt;&gt;Constants!$B$8,$BR186,RANK($BW186,$BW$9:$BW$508,1)))</f>
        <v/>
      </c>
      <c r="BY186" s="136" t="str">
        <f aca="false">IF($BR186&lt;&gt;Constants!$B$8,"",IF($BI186="-&gt;",$BK186,$BC186))</f>
        <v/>
      </c>
      <c r="BZ186" s="133" t="str">
        <f aca="false">IF(ISBLANK($C186),"",IF($BR186&lt;&gt;Constants!$B$8,$BR186,IF(ISNUMBER($BY186),RANK($BY186,$BY$9:$BY$508,1),COUNT($BY$9:$BY$508)+1)))</f>
        <v/>
      </c>
      <c r="CA186" s="136" t="str">
        <f aca="false">IF($BR186&lt;&gt;Constants!$B$8,"",IF($BI186="-&gt;",$BL186,$BD186))</f>
        <v/>
      </c>
      <c r="CB186" s="133" t="str">
        <f aca="false">IF(ISBLANK($C186),"",IF($BR186&lt;&gt;Constants!$B$8,$BR186,IF(ISNUMBER($CA186),RANK($CA186,$CA$9:$CA$508,1),COUNT($CA$9:$CA$508)+1)))</f>
        <v/>
      </c>
      <c r="CC186" s="136" t="str">
        <f aca="false">IF($BR186&lt;&gt;Constants!$B$8,"",IF($BI186="-&gt;",IF($AT186,$AV186,""),IF($AL186,$AN186,"")))</f>
        <v/>
      </c>
      <c r="CD186" s="133" t="str">
        <f aca="false">IF(ISBLANK($C186),"",IF($BR186&lt;&gt;Constants!$B$8,$BR186,IF(ISNUMBER($CC186),RANK($CC186,$CC$9:$CC$508,1),COUNT($CC$9:$CC$508)+1)))</f>
        <v/>
      </c>
      <c r="CE186" s="136" t="str">
        <f aca="false">IF($BR186&lt;&gt;Constants!$B$8,"",IF(AND(NOT($AL186),NOT($AT186),$AJ186,$AK186,$AR186,$AS186),"",$AI186))</f>
        <v/>
      </c>
      <c r="CF186" s="133" t="str">
        <f aca="false">IF(ISBLANK($C186),"",IF($BR186&lt;&gt;Constants!$B$8,$BR186,IF(ISNUMBER($CE186),RANK($CE186,$CE$9:$CE$508,1),COUNT($CE$9:$CE$508)+1)))</f>
        <v/>
      </c>
      <c r="CG186" s="133" t="str">
        <f aca="false">IF(ISBLANK($C186),"",IF($BR186&lt;&gt;Constants!$B$8,$BR186,COUNTIFS($BX$9:$BX$508,"&lt;"&amp;$BX186)+COUNTIFS($BX$9:$BX$508,$BX186,$BZ$9:$BZ$508,"&lt;"&amp;$BZ186)+COUNTIFS($BX$9:$BX$508,$BX186,$BZ$9:$BZ$508,$BZ186,$CB$9:$CB$508,"&lt;"&amp;$CB186)+COUNTIFS($BX$9:$BX$508,$BX186,$BZ$9:$BZ$508,$BZ186,$CB$9:$CB$508,$CB186,$CD$9:$CD$508,"&lt;"&amp;$CD186)+COUNTIFS($BX$9:$BX$508,$BX186,$BZ$9:$BZ$508,$BZ186,$CB$9:$CB$508,$CB186,$CD$9:$CD$508,$CD186,$CF$9:$CF$508,"&lt;"&amp;$CF186)+1))</f>
        <v/>
      </c>
      <c r="CH186" s="133" t="str">
        <f aca="false">IF(ISBLANK($C186),"",IF($BR186&lt;&gt;Constants!$B$8,$BR186,$BX186-$CG186))</f>
        <v/>
      </c>
      <c r="CI186" s="138"/>
      <c r="CJ186" s="139"/>
      <c r="CK186" s="140" t="str">
        <f aca="false">IF(ISBLANK($C186),"",IF($BR186=Constants!$B$12,$BQ186,""))</f>
        <v/>
      </c>
      <c r="CL186" s="139" t="str">
        <f aca="false">IF(ISBLANK($C186),"",IF($BR186&lt;&gt;Constants!$B$8,"",IF($BI186="-&gt;",2,1)))</f>
        <v/>
      </c>
      <c r="CM186" s="141" t="str">
        <f aca="false">IF(ISBLANK($C186),"",IF($BR186&lt;&gt;Constants!$B$8,"",IF($BI186="-&gt;",$BK186,$BC186)))</f>
        <v/>
      </c>
      <c r="CN186" s="141" t="str">
        <f aca="false">IF(ISBLANK($C186),"",IF($BR186&lt;&gt;Constants!$B$8,"",IF($BI186="-&gt;",$BL186,$BD186)))</f>
        <v/>
      </c>
      <c r="CO186" s="141" t="str">
        <f aca="false">IF(ISBLANK($C186),"",IF($BR186&lt;&gt;Constants!$B$8,"",IF($BI186="-&gt;",$BM186+$BN186,$BE186+$BF186)+$BV186))</f>
        <v/>
      </c>
      <c r="CP186" s="141" t="str">
        <f aca="false">IF(ISBLANK($C186),"",IF($BR186&lt;&gt;Constants!$B$8,"",IF($BI186="-&gt;",$BO186,$BG186)+$BU186))</f>
        <v/>
      </c>
      <c r="CQ186" s="142" t="str">
        <f aca="false">IF(ISBLANK($C186),"",IF($BR186&lt;&gt;Constants!$B$8,$BR186,$BW186))</f>
        <v/>
      </c>
      <c r="CR186" s="143" t="str">
        <f aca="false">IF(ISBLANK($C186),"",$BS186)</f>
        <v/>
      </c>
      <c r="CS186" s="144" t="str">
        <f aca="false">IF(ISBLANK($C186),"",$CH186)</f>
        <v/>
      </c>
      <c r="CT186" s="144" t="str">
        <f aca="false">IF(ISBLANK($C186),"",$CG186)</f>
        <v/>
      </c>
      <c r="CU186" s="145" t="str">
        <f aca="false">IF(ISBLANK($C186),"",IFERROR(_xlfn.SWITCH($CT186,Constants!$B$11,COUNTA($C$9:$C$508)+2,Constants!$B$10,COUNTA($C$9:$C$508)+1,Constants!$B$9,COUNTA($C$9:$C$508)),$CT186))</f>
        <v/>
      </c>
      <c r="CV186" s="9"/>
      <c r="CW186" s="146" t="n">
        <f aca="false">IF(OR(ISNUMBER($CT186),$CT186=Constants!$B$11,$CT186=Constants!$B$9,$CT186=Constants!$B$10),1,0)</f>
        <v>0</v>
      </c>
      <c r="CX186" s="146" t="n">
        <v>178</v>
      </c>
      <c r="CY186" s="146" t="str">
        <f aca="false">IF(ISBLANK($C186),"",IF(ISNUMBER($CU186),$CU186+ROW($B186)/1000,""))</f>
        <v/>
      </c>
      <c r="CZ186" s="146" t="str">
        <f aca="false">IF(ISNUMBER($CY186),RANK($CY186,$CY$9:$CY$508,1),"")</f>
        <v/>
      </c>
      <c r="DA186" s="146" t="str">
        <f aca="false">IF(ISBLANK($C186),"",$B186)</f>
        <v/>
      </c>
      <c r="DB186" s="146" t="str">
        <f aca="false">IF(ISBLANK($C186),"",$C186)</f>
        <v/>
      </c>
      <c r="DC186" s="146" t="str">
        <f aca="false">IF(ISBLANK($C186),"",$D186)</f>
        <v/>
      </c>
      <c r="DD186" s="147" t="str">
        <f aca="false">$CR186</f>
        <v/>
      </c>
      <c r="DE186" s="148" t="str">
        <f aca="false">$CQ186</f>
        <v/>
      </c>
      <c r="DF186" s="146" t="str">
        <f aca="false">IF(ISBLANK($C186),"",$CT186)</f>
        <v/>
      </c>
      <c r="DG186" s="149" t="str">
        <f aca="false">IF($CX186&gt;$CW$8,"",VLOOKUP($CX186,$CZ$9:$DF$508,7,FALSE()))</f>
        <v/>
      </c>
      <c r="DH186" s="150" t="str">
        <f aca="false">IF($CX186&gt;$CW$8,"",VLOOKUP($CX186,$CZ$9:$DF$508,2,FALSE()))</f>
        <v/>
      </c>
      <c r="DI186" s="150" t="str">
        <f aca="false">IF($CX186&gt;$CW$8,"",VLOOKUP($CX186,$CZ$9:$DF$508,3,FALSE()))</f>
        <v/>
      </c>
      <c r="DJ186" s="150" t="str">
        <f aca="false">IF($CX186&gt;$CW$8,"",VLOOKUP($CX186,$CZ$9:$DF$508,4,FALSE()))</f>
        <v/>
      </c>
      <c r="DK186" s="150" t="str">
        <f aca="false">IF($CX186&gt;$CW$8,"",VLOOKUP($CX186,$CZ$9:$DF$508,5,FALSE()))</f>
        <v/>
      </c>
      <c r="DL186" s="151" t="str">
        <f aca="false">IF($CX186&gt;$CW$8,"",VLOOKUP($CX186,$CZ$9:$DF$508,6,FALSE()))</f>
        <v/>
      </c>
      <c r="DM186" s="75"/>
    </row>
    <row r="187" customFormat="false" ht="15.75" hidden="false" customHeight="false" outlineLevel="0" collapsed="false">
      <c r="A187" s="9"/>
      <c r="B187" s="157"/>
      <c r="C187" s="158"/>
      <c r="D187" s="159"/>
      <c r="E187" s="177"/>
      <c r="F187" s="161"/>
      <c r="G187" s="162"/>
      <c r="H187" s="162"/>
      <c r="I187" s="178"/>
      <c r="J187" s="165"/>
      <c r="K187" s="126"/>
      <c r="L187" s="127"/>
      <c r="M187" s="128"/>
      <c r="N187" s="165"/>
      <c r="O187" s="165"/>
      <c r="P187" s="177"/>
      <c r="Q187" s="165"/>
      <c r="R187" s="165"/>
      <c r="S187" s="126"/>
      <c r="T187" s="128"/>
      <c r="U187" s="128"/>
      <c r="V187" s="165"/>
      <c r="W187" s="165"/>
      <c r="X187" s="177"/>
      <c r="Y187" s="165"/>
      <c r="Z187" s="166"/>
      <c r="AA187" s="165"/>
      <c r="AB187" s="132"/>
      <c r="AC187" s="133"/>
      <c r="AD187" s="133"/>
      <c r="AE187" s="133"/>
      <c r="AF187" s="133" t="str">
        <f aca="false">IF(ISBLANK($C187),"",IF(E187=Constants!$B$3,TRUE(),IF(E187=Constants!$B$4,FALSE(),TRUE())))</f>
        <v/>
      </c>
      <c r="AG187" s="133" t="str">
        <f aca="false">IF(ISBLANK($C187),"",IF(F187=Constants!$B$3,TRUE(),IF(F187=Constants!$B$4,FALSE(),TRUE())))</f>
        <v/>
      </c>
      <c r="AH187" s="133" t="str">
        <f aca="false">IF(ISBLANK($C187),"",IF(G187=Constants!$B$3,TRUE(),IF(G187=Constants!$B$4,FALSE(),TRUE())))</f>
        <v/>
      </c>
      <c r="AI187" s="133" t="str">
        <f aca="false">IF(ISBLANK($C187),"",IF(AND(ISNUMBER(H187),H187&gt;=0),H187,Constants!$B$29))</f>
        <v/>
      </c>
      <c r="AJ187" s="133" t="str">
        <f aca="false">IF(ISBLANK($C187),"",IF(I187=Constants!$B$3,TRUE(),IF(I187=Constants!$B$4,FALSE(),TRUE())))</f>
        <v/>
      </c>
      <c r="AK187" s="133" t="str">
        <f aca="false">IF(ISBLANK($C187),"",IF(J187=Constants!$B$3,TRUE(),IF(J187=Constants!$B$4,FALSE(),TRUE())))</f>
        <v/>
      </c>
      <c r="AL187" s="133" t="str">
        <f aca="false">IF(ISBLANK($C187),"",IF(K187=Constants!$B$5,TRUE(),IF(K187=Constants!$B$6,FALSE(),COUNTA(L187:P187)&gt;0)))</f>
        <v/>
      </c>
      <c r="AM187" s="134" t="str">
        <f aca="false">IF(ISBLANK($C187),"",IF(ISNUMBER(L187),IF(L187&gt;=0,L187,""),""))</f>
        <v/>
      </c>
      <c r="AN187" s="135" t="str">
        <f aca="false">IF(ISBLANK($C187),"",IF(ISNUMBER(M187),IF(M187&gt;=0,M187,""),""))</f>
        <v/>
      </c>
      <c r="AO187" s="135" t="str">
        <f aca="false">IF(ISBLANK($C187),"",IF(N187=Constants!$B$3,TRUE(),IF(N187=Constants!$B$4,FALSE(),TRUE())))</f>
        <v/>
      </c>
      <c r="AP187" s="133" t="str">
        <f aca="false">IF(ISBLANK($C187),"",IF(ISNUMBER(O187),IF(O187&gt;=0,O187,""),""))</f>
        <v/>
      </c>
      <c r="AQ187" s="133" t="str">
        <f aca="false">IF(ISBLANK($C187),"",IF(P187=Constants!$B$3,TRUE(),IF(P187=Constants!$B$4,FALSE(),FALSE())))</f>
        <v/>
      </c>
      <c r="AR187" s="133" t="str">
        <f aca="false">IF(ISBLANK($C187),"",IF(Q187=Constants!$B$3,TRUE(),IF(Q187=Constants!$B$4,FALSE(),TRUE())))</f>
        <v/>
      </c>
      <c r="AS187" s="133" t="str">
        <f aca="false">IF(ISBLANK($C187),"",IF(R187=Constants!$B$3,TRUE(),IF(R187=Constants!$B$4,FALSE(),TRUE())))</f>
        <v/>
      </c>
      <c r="AT187" s="133" t="str">
        <f aca="false">IF(ISBLANK($C187),"",IF(S187=Constants!$B$5,TRUE(),IF(S187=Constants!$B$6,FALSE(),COUNTA(T187:X187)&gt;0)))</f>
        <v/>
      </c>
      <c r="AU187" s="134" t="str">
        <f aca="false">IF(ISBLANK($C187),"",IF(ISNUMBER(T187),IF(T187&gt;=0,T187,""),""))</f>
        <v/>
      </c>
      <c r="AV187" s="135" t="str">
        <f aca="false">IF(ISBLANK($C187),"",IF(ISNUMBER(U187),IF(U187&gt;=0,U187,""),""))</f>
        <v/>
      </c>
      <c r="AW187" s="135" t="str">
        <f aca="false">IF(ISBLANK($C187),"",IF(V187=Constants!$B$3,TRUE(),IF(V187=Constants!$B$4,FALSE(),TRUE())))</f>
        <v/>
      </c>
      <c r="AX187" s="133" t="str">
        <f aca="false">IF(ISBLANK($C187),"",IF(ISNUMBER(W187),IF(W187&gt;=0,W187,""),""))</f>
        <v/>
      </c>
      <c r="AY187" s="133" t="str">
        <f aca="false">IF(ISBLANK($C187),"",IF(X187=Constants!$B$3,TRUE(),IF(X187=Constants!$B$4,FALSE(),FALSE())))</f>
        <v/>
      </c>
      <c r="AZ187" s="133" t="str">
        <f aca="false">IF(ISBLANK($C187),"",MIN(Constants!$B$31,MAX(0,IF(ISNUMBER(Y187),Y187*60,0)+IF(ISNUMBER(Z187),Z187,0))))</f>
        <v/>
      </c>
      <c r="BA187" s="133" t="str">
        <f aca="false">IF(ISBLANK($C187),"",IF(AA187=Constants!$B$3,TRUE(),IF(AA187=Constants!$B$4,FALSE(),FALSE())))</f>
        <v/>
      </c>
      <c r="BB187" s="132" t="str">
        <f aca="false">IF(ISBLANK($C187),"",AND($AL187,OR($AM187="",$AN187="",AND($AO187,$AP187=""))))</f>
        <v/>
      </c>
      <c r="BC187" s="135" t="str">
        <f aca="false">IF($BR187&lt;&gt;Constants!$B$8,"",IF($AL187,Constants!$B$21*$AN187+Constants!$B$22*IF($AO187,$AP187,Constants!$B$23),Constants!$B$24))</f>
        <v/>
      </c>
      <c r="BD187" s="136" t="str">
        <f aca="false">IF($BR187&lt;&gt;Constants!$B$8,"",Constants!$B$25*ABS($AD$9-IF($AL187,$AM187,0)))</f>
        <v/>
      </c>
      <c r="BE187" s="136" t="str">
        <f aca="false">IF($BR187&lt;&gt;Constants!$B$8,"",IF(AND($AL187,$AQ187,$AO187),Constants!$B$27,0))</f>
        <v/>
      </c>
      <c r="BF187" s="136" t="str">
        <f aca="false">IF($BR187&lt;&gt;Constants!$B$8,"",IF($AL187,($AI187-Constants!$B$29)*Constants!$B$28,0))</f>
        <v/>
      </c>
      <c r="BG187" s="136" t="str">
        <f aca="false">IF($BR187&lt;&gt;Constants!$B$8,"",IF($AK187,0,Constants!$B$15)+IF($AJ187,0,Constants!$B$16)+IF($AH187,0,Constants!$B$17))</f>
        <v/>
      </c>
      <c r="BH187" s="137" t="str">
        <f aca="false">IF($BR187&lt;&gt;Constants!$B$8,"",Constants!$B$20+SUM($BC187:$BG187))</f>
        <v/>
      </c>
      <c r="BI187" s="133" t="str">
        <f aca="false">IF($BR187&lt;&gt;Constants!$B$8,"",IF(OR($BP187&lt;$BH187,AND($BP187=$BH187,OR($BK187&lt;$BC187,AND($BK187=$BC187,OR($BL187&lt;$BD187,AND($BL187=$BD187,$AT187,$AL187,$AV187&lt;$AN187)))))),"-&gt;","&lt;-"))</f>
        <v/>
      </c>
      <c r="BJ187" s="132" t="str">
        <f aca="false">IF(ISBLANK($C187),"",AND($AT187,OR($AU187="",$AV187="",AND($AW187,$AX187=""))))</f>
        <v/>
      </c>
      <c r="BK187" s="135" t="str">
        <f aca="false">IF($BR187&lt;&gt;Constants!$B$8,"",IF($AT187,Constants!$B$21*$AV187+Constants!$B$22*IF($AW187,$AX187,Constants!$B$23),Constants!$B$24))</f>
        <v/>
      </c>
      <c r="BL187" s="136" t="str">
        <f aca="false">IF($BR187&lt;&gt;Constants!$B$8,"",Constants!$B$25*ABS($AD$9-IF($AT187,$AU187,0)))</f>
        <v/>
      </c>
      <c r="BM187" s="136" t="str">
        <f aca="false">IF($BR187&lt;&gt;Constants!$B$8,"",IF(AND($AT187,$AY187,$AW187),Constants!$B$27,0))</f>
        <v/>
      </c>
      <c r="BN187" s="136" t="str">
        <f aca="false">IF($BR187&lt;&gt;Constants!$B$8,"",IF($AT187,($AI187-Constants!$B$29)*Constants!$B$28,0))</f>
        <v/>
      </c>
      <c r="BO187" s="136" t="str">
        <f aca="false">IF($BR187&lt;&gt;Constants!$B$8,"",IF($AS187,0,Constants!$B$15)+IF($AR187,0,Constants!$B$16)+IF($AH187,0,Constants!$B$17))</f>
        <v/>
      </c>
      <c r="BP187" s="137" t="str">
        <f aca="false">IF($BR187&lt;&gt;Constants!$B$8,"",Constants!$B$20+SUM($BK187:$BO187))</f>
        <v/>
      </c>
      <c r="BQ187" s="133" t="str">
        <f aca="false">IF(ISBLANK($C187),"",IF(ISBLANK($D$7),$BQ$5,IF(NOT(ISNUMBER($D$7)),$BQ$6,"")))</f>
        <v/>
      </c>
      <c r="BR187" s="133" t="str">
        <f aca="false">IF(ISBLANK($C187),"",IF($BA187,Constants!$B$11,IF(COUNTA($E187:$AA187)=0,Constants!$B$10,IF(NOT($AG187),Constants!$B$9,IF(OR($BQ187&lt;&gt;"",$BB187,$BJ187),Constants!$B$12,Constants!$B$8)))))</f>
        <v/>
      </c>
      <c r="BS187" s="133" t="str">
        <f aca="false">IF(ISBLANK($C187),"",IF($BR187&lt;&gt;Constants!$B$8,$BR187,Constants!$B$13))</f>
        <v/>
      </c>
      <c r="BT187" s="136" t="str">
        <f aca="false">IF($BR187&lt;&gt;Constants!$B$8,"",IF($BI187="-&gt;",$BP187,$BH187))</f>
        <v/>
      </c>
      <c r="BU187" s="136" t="str">
        <f aca="false">IF($BR187&lt;&gt;Constants!$B$8,"",IF($AF187,0,Constants!$B$18))</f>
        <v/>
      </c>
      <c r="BV187" s="136" t="str">
        <f aca="false">IF($BR187&lt;&gt;Constants!$B$8,"",((Constants!$B$31-$AZ187)-Constants!$B$31)/Constants!$B$32)</f>
        <v/>
      </c>
      <c r="BW187" s="136" t="str">
        <f aca="false">IF(ISBLANK($C187),"",IF($BR187&lt;&gt;Constants!$B$8,$BR187,SUM($BT187:$BV187)))</f>
        <v/>
      </c>
      <c r="BX187" s="133" t="str">
        <f aca="false">IF(ISBLANK($C187),"",IF($BR187&lt;&gt;Constants!$B$8,$BR187,RANK($BW187,$BW$9:$BW$508,1)))</f>
        <v/>
      </c>
      <c r="BY187" s="136" t="str">
        <f aca="false">IF($BR187&lt;&gt;Constants!$B$8,"",IF($BI187="-&gt;",$BK187,$BC187))</f>
        <v/>
      </c>
      <c r="BZ187" s="133" t="str">
        <f aca="false">IF(ISBLANK($C187),"",IF($BR187&lt;&gt;Constants!$B$8,$BR187,IF(ISNUMBER($BY187),RANK($BY187,$BY$9:$BY$508,1),COUNT($BY$9:$BY$508)+1)))</f>
        <v/>
      </c>
      <c r="CA187" s="136" t="str">
        <f aca="false">IF($BR187&lt;&gt;Constants!$B$8,"",IF($BI187="-&gt;",$BL187,$BD187))</f>
        <v/>
      </c>
      <c r="CB187" s="133" t="str">
        <f aca="false">IF(ISBLANK($C187),"",IF($BR187&lt;&gt;Constants!$B$8,$BR187,IF(ISNUMBER($CA187),RANK($CA187,$CA$9:$CA$508,1),COUNT($CA$9:$CA$508)+1)))</f>
        <v/>
      </c>
      <c r="CC187" s="136" t="str">
        <f aca="false">IF($BR187&lt;&gt;Constants!$B$8,"",IF($BI187="-&gt;",IF($AT187,$AV187,""),IF($AL187,$AN187,"")))</f>
        <v/>
      </c>
      <c r="CD187" s="133" t="str">
        <f aca="false">IF(ISBLANK($C187),"",IF($BR187&lt;&gt;Constants!$B$8,$BR187,IF(ISNUMBER($CC187),RANK($CC187,$CC$9:$CC$508,1),COUNT($CC$9:$CC$508)+1)))</f>
        <v/>
      </c>
      <c r="CE187" s="136" t="str">
        <f aca="false">IF($BR187&lt;&gt;Constants!$B$8,"",IF(AND(NOT($AL187),NOT($AT187),$AJ187,$AK187,$AR187,$AS187),"",$AI187))</f>
        <v/>
      </c>
      <c r="CF187" s="133" t="str">
        <f aca="false">IF(ISBLANK($C187),"",IF($BR187&lt;&gt;Constants!$B$8,$BR187,IF(ISNUMBER($CE187),RANK($CE187,$CE$9:$CE$508,1),COUNT($CE$9:$CE$508)+1)))</f>
        <v/>
      </c>
      <c r="CG187" s="133" t="str">
        <f aca="false">IF(ISBLANK($C187),"",IF($BR187&lt;&gt;Constants!$B$8,$BR187,COUNTIFS($BX$9:$BX$508,"&lt;"&amp;$BX187)+COUNTIFS($BX$9:$BX$508,$BX187,$BZ$9:$BZ$508,"&lt;"&amp;$BZ187)+COUNTIFS($BX$9:$BX$508,$BX187,$BZ$9:$BZ$508,$BZ187,$CB$9:$CB$508,"&lt;"&amp;$CB187)+COUNTIFS($BX$9:$BX$508,$BX187,$BZ$9:$BZ$508,$BZ187,$CB$9:$CB$508,$CB187,$CD$9:$CD$508,"&lt;"&amp;$CD187)+COUNTIFS($BX$9:$BX$508,$BX187,$BZ$9:$BZ$508,$BZ187,$CB$9:$CB$508,$CB187,$CD$9:$CD$508,$CD187,$CF$9:$CF$508,"&lt;"&amp;$CF187)+1))</f>
        <v/>
      </c>
      <c r="CH187" s="133" t="str">
        <f aca="false">IF(ISBLANK($C187),"",IF($BR187&lt;&gt;Constants!$B$8,$BR187,$BX187-$CG187))</f>
        <v/>
      </c>
      <c r="CI187" s="138"/>
      <c r="CJ187" s="139"/>
      <c r="CK187" s="140" t="str">
        <f aca="false">IF(ISBLANK($C187),"",IF($BR187=Constants!$B$12,$BQ187,""))</f>
        <v/>
      </c>
      <c r="CL187" s="139" t="str">
        <f aca="false">IF(ISBLANK($C187),"",IF($BR187&lt;&gt;Constants!$B$8,"",IF($BI187="-&gt;",2,1)))</f>
        <v/>
      </c>
      <c r="CM187" s="141" t="str">
        <f aca="false">IF(ISBLANK($C187),"",IF($BR187&lt;&gt;Constants!$B$8,"",IF($BI187="-&gt;",$BK187,$BC187)))</f>
        <v/>
      </c>
      <c r="CN187" s="141" t="str">
        <f aca="false">IF(ISBLANK($C187),"",IF($BR187&lt;&gt;Constants!$B$8,"",IF($BI187="-&gt;",$BL187,$BD187)))</f>
        <v/>
      </c>
      <c r="CO187" s="141" t="str">
        <f aca="false">IF(ISBLANK($C187),"",IF($BR187&lt;&gt;Constants!$B$8,"",IF($BI187="-&gt;",$BM187+$BN187,$BE187+$BF187)+$BV187))</f>
        <v/>
      </c>
      <c r="CP187" s="141" t="str">
        <f aca="false">IF(ISBLANK($C187),"",IF($BR187&lt;&gt;Constants!$B$8,"",IF($BI187="-&gt;",$BO187,$BG187)+$BU187))</f>
        <v/>
      </c>
      <c r="CQ187" s="142" t="str">
        <f aca="false">IF(ISBLANK($C187),"",IF($BR187&lt;&gt;Constants!$B$8,$BR187,$BW187))</f>
        <v/>
      </c>
      <c r="CR187" s="143" t="str">
        <f aca="false">IF(ISBLANK($C187),"",$BS187)</f>
        <v/>
      </c>
      <c r="CS187" s="144" t="str">
        <f aca="false">IF(ISBLANK($C187),"",$CH187)</f>
        <v/>
      </c>
      <c r="CT187" s="144" t="str">
        <f aca="false">IF(ISBLANK($C187),"",$CG187)</f>
        <v/>
      </c>
      <c r="CU187" s="145" t="str">
        <f aca="false">IF(ISBLANK($C187),"",IFERROR(_xlfn.SWITCH($CT187,Constants!$B$11,COUNTA($C$9:$C$508)+2,Constants!$B$10,COUNTA($C$9:$C$508)+1,Constants!$B$9,COUNTA($C$9:$C$508)),$CT187))</f>
        <v/>
      </c>
      <c r="CV187" s="9"/>
      <c r="CW187" s="146" t="n">
        <f aca="false">IF(OR(ISNUMBER($CT187),$CT187=Constants!$B$11,$CT187=Constants!$B$9,$CT187=Constants!$B$10),1,0)</f>
        <v>0</v>
      </c>
      <c r="CX187" s="146" t="n">
        <v>179</v>
      </c>
      <c r="CY187" s="146" t="str">
        <f aca="false">IF(ISBLANK($C187),"",IF(ISNUMBER($CU187),$CU187+ROW($B187)/1000,""))</f>
        <v/>
      </c>
      <c r="CZ187" s="146" t="str">
        <f aca="false">IF(ISNUMBER($CY187),RANK($CY187,$CY$9:$CY$508,1),"")</f>
        <v/>
      </c>
      <c r="DA187" s="146" t="str">
        <f aca="false">IF(ISBLANK($C187),"",$B187)</f>
        <v/>
      </c>
      <c r="DB187" s="146" t="str">
        <f aca="false">IF(ISBLANK($C187),"",$C187)</f>
        <v/>
      </c>
      <c r="DC187" s="146" t="str">
        <f aca="false">IF(ISBLANK($C187),"",$D187)</f>
        <v/>
      </c>
      <c r="DD187" s="147" t="str">
        <f aca="false">$CR187</f>
        <v/>
      </c>
      <c r="DE187" s="148" t="str">
        <f aca="false">$CQ187</f>
        <v/>
      </c>
      <c r="DF187" s="146" t="str">
        <f aca="false">IF(ISBLANK($C187),"",$CT187)</f>
        <v/>
      </c>
      <c r="DG187" s="149" t="str">
        <f aca="false">IF($CX187&gt;$CW$8,"",VLOOKUP($CX187,$CZ$9:$DF$508,7,FALSE()))</f>
        <v/>
      </c>
      <c r="DH187" s="150" t="str">
        <f aca="false">IF($CX187&gt;$CW$8,"",VLOOKUP($CX187,$CZ$9:$DF$508,2,FALSE()))</f>
        <v/>
      </c>
      <c r="DI187" s="150" t="str">
        <f aca="false">IF($CX187&gt;$CW$8,"",VLOOKUP($CX187,$CZ$9:$DF$508,3,FALSE()))</f>
        <v/>
      </c>
      <c r="DJ187" s="150" t="str">
        <f aca="false">IF($CX187&gt;$CW$8,"",VLOOKUP($CX187,$CZ$9:$DF$508,4,FALSE()))</f>
        <v/>
      </c>
      <c r="DK187" s="150" t="str">
        <f aca="false">IF($CX187&gt;$CW$8,"",VLOOKUP($CX187,$CZ$9:$DF$508,5,FALSE()))</f>
        <v/>
      </c>
      <c r="DL187" s="151" t="str">
        <f aca="false">IF($CX187&gt;$CW$8,"",VLOOKUP($CX187,$CZ$9:$DF$508,6,FALSE()))</f>
        <v/>
      </c>
      <c r="DM187" s="75"/>
    </row>
    <row r="188" customFormat="false" ht="15.75" hidden="false" customHeight="false" outlineLevel="0" collapsed="false">
      <c r="A188" s="9"/>
      <c r="B188" s="157"/>
      <c r="C188" s="158"/>
      <c r="D188" s="159"/>
      <c r="E188" s="177"/>
      <c r="F188" s="161"/>
      <c r="G188" s="162"/>
      <c r="H188" s="162"/>
      <c r="I188" s="178"/>
      <c r="J188" s="165"/>
      <c r="K188" s="126"/>
      <c r="L188" s="127"/>
      <c r="M188" s="128"/>
      <c r="N188" s="165"/>
      <c r="O188" s="165"/>
      <c r="P188" s="177"/>
      <c r="Q188" s="165"/>
      <c r="R188" s="165"/>
      <c r="S188" s="126"/>
      <c r="T188" s="128"/>
      <c r="U188" s="128"/>
      <c r="V188" s="165"/>
      <c r="W188" s="165"/>
      <c r="X188" s="177"/>
      <c r="Y188" s="165"/>
      <c r="Z188" s="166"/>
      <c r="AA188" s="165"/>
      <c r="AB188" s="132"/>
      <c r="AC188" s="133"/>
      <c r="AD188" s="133"/>
      <c r="AE188" s="133"/>
      <c r="AF188" s="133" t="str">
        <f aca="false">IF(ISBLANK($C188),"",IF(E188=Constants!$B$3,TRUE(),IF(E188=Constants!$B$4,FALSE(),TRUE())))</f>
        <v/>
      </c>
      <c r="AG188" s="133" t="str">
        <f aca="false">IF(ISBLANK($C188),"",IF(F188=Constants!$B$3,TRUE(),IF(F188=Constants!$B$4,FALSE(),TRUE())))</f>
        <v/>
      </c>
      <c r="AH188" s="133" t="str">
        <f aca="false">IF(ISBLANK($C188),"",IF(G188=Constants!$B$3,TRUE(),IF(G188=Constants!$B$4,FALSE(),TRUE())))</f>
        <v/>
      </c>
      <c r="AI188" s="133" t="str">
        <f aca="false">IF(ISBLANK($C188),"",IF(AND(ISNUMBER(H188),H188&gt;=0),H188,Constants!$B$29))</f>
        <v/>
      </c>
      <c r="AJ188" s="133" t="str">
        <f aca="false">IF(ISBLANK($C188),"",IF(I188=Constants!$B$3,TRUE(),IF(I188=Constants!$B$4,FALSE(),TRUE())))</f>
        <v/>
      </c>
      <c r="AK188" s="133" t="str">
        <f aca="false">IF(ISBLANK($C188),"",IF(J188=Constants!$B$3,TRUE(),IF(J188=Constants!$B$4,FALSE(),TRUE())))</f>
        <v/>
      </c>
      <c r="AL188" s="133" t="str">
        <f aca="false">IF(ISBLANK($C188),"",IF(K188=Constants!$B$5,TRUE(),IF(K188=Constants!$B$6,FALSE(),COUNTA(L188:P188)&gt;0)))</f>
        <v/>
      </c>
      <c r="AM188" s="134" t="str">
        <f aca="false">IF(ISBLANK($C188),"",IF(ISNUMBER(L188),IF(L188&gt;=0,L188,""),""))</f>
        <v/>
      </c>
      <c r="AN188" s="135" t="str">
        <f aca="false">IF(ISBLANK($C188),"",IF(ISNUMBER(M188),IF(M188&gt;=0,M188,""),""))</f>
        <v/>
      </c>
      <c r="AO188" s="135" t="str">
        <f aca="false">IF(ISBLANK($C188),"",IF(N188=Constants!$B$3,TRUE(),IF(N188=Constants!$B$4,FALSE(),TRUE())))</f>
        <v/>
      </c>
      <c r="AP188" s="133" t="str">
        <f aca="false">IF(ISBLANK($C188),"",IF(ISNUMBER(O188),IF(O188&gt;=0,O188,""),""))</f>
        <v/>
      </c>
      <c r="AQ188" s="133" t="str">
        <f aca="false">IF(ISBLANK($C188),"",IF(P188=Constants!$B$3,TRUE(),IF(P188=Constants!$B$4,FALSE(),FALSE())))</f>
        <v/>
      </c>
      <c r="AR188" s="133" t="str">
        <f aca="false">IF(ISBLANK($C188),"",IF(Q188=Constants!$B$3,TRUE(),IF(Q188=Constants!$B$4,FALSE(),TRUE())))</f>
        <v/>
      </c>
      <c r="AS188" s="133" t="str">
        <f aca="false">IF(ISBLANK($C188),"",IF(R188=Constants!$B$3,TRUE(),IF(R188=Constants!$B$4,FALSE(),TRUE())))</f>
        <v/>
      </c>
      <c r="AT188" s="133" t="str">
        <f aca="false">IF(ISBLANK($C188),"",IF(S188=Constants!$B$5,TRUE(),IF(S188=Constants!$B$6,FALSE(),COUNTA(T188:X188)&gt;0)))</f>
        <v/>
      </c>
      <c r="AU188" s="134" t="str">
        <f aca="false">IF(ISBLANK($C188),"",IF(ISNUMBER(T188),IF(T188&gt;=0,T188,""),""))</f>
        <v/>
      </c>
      <c r="AV188" s="135" t="str">
        <f aca="false">IF(ISBLANK($C188),"",IF(ISNUMBER(U188),IF(U188&gt;=0,U188,""),""))</f>
        <v/>
      </c>
      <c r="AW188" s="135" t="str">
        <f aca="false">IF(ISBLANK($C188),"",IF(V188=Constants!$B$3,TRUE(),IF(V188=Constants!$B$4,FALSE(),TRUE())))</f>
        <v/>
      </c>
      <c r="AX188" s="133" t="str">
        <f aca="false">IF(ISBLANK($C188),"",IF(ISNUMBER(W188),IF(W188&gt;=0,W188,""),""))</f>
        <v/>
      </c>
      <c r="AY188" s="133" t="str">
        <f aca="false">IF(ISBLANK($C188),"",IF(X188=Constants!$B$3,TRUE(),IF(X188=Constants!$B$4,FALSE(),FALSE())))</f>
        <v/>
      </c>
      <c r="AZ188" s="133" t="str">
        <f aca="false">IF(ISBLANK($C188),"",MIN(Constants!$B$31,MAX(0,IF(ISNUMBER(Y188),Y188*60,0)+IF(ISNUMBER(Z188),Z188,0))))</f>
        <v/>
      </c>
      <c r="BA188" s="133" t="str">
        <f aca="false">IF(ISBLANK($C188),"",IF(AA188=Constants!$B$3,TRUE(),IF(AA188=Constants!$B$4,FALSE(),FALSE())))</f>
        <v/>
      </c>
      <c r="BB188" s="132" t="str">
        <f aca="false">IF(ISBLANK($C188),"",AND($AL188,OR($AM188="",$AN188="",AND($AO188,$AP188=""))))</f>
        <v/>
      </c>
      <c r="BC188" s="135" t="str">
        <f aca="false">IF($BR188&lt;&gt;Constants!$B$8,"",IF($AL188,Constants!$B$21*$AN188+Constants!$B$22*IF($AO188,$AP188,Constants!$B$23),Constants!$B$24))</f>
        <v/>
      </c>
      <c r="BD188" s="136" t="str">
        <f aca="false">IF($BR188&lt;&gt;Constants!$B$8,"",Constants!$B$25*ABS($AD$9-IF($AL188,$AM188,0)))</f>
        <v/>
      </c>
      <c r="BE188" s="136" t="str">
        <f aca="false">IF($BR188&lt;&gt;Constants!$B$8,"",IF(AND($AL188,$AQ188,$AO188),Constants!$B$27,0))</f>
        <v/>
      </c>
      <c r="BF188" s="136" t="str">
        <f aca="false">IF($BR188&lt;&gt;Constants!$B$8,"",IF($AL188,($AI188-Constants!$B$29)*Constants!$B$28,0))</f>
        <v/>
      </c>
      <c r="BG188" s="136" t="str">
        <f aca="false">IF($BR188&lt;&gt;Constants!$B$8,"",IF($AK188,0,Constants!$B$15)+IF($AJ188,0,Constants!$B$16)+IF($AH188,0,Constants!$B$17))</f>
        <v/>
      </c>
      <c r="BH188" s="137" t="str">
        <f aca="false">IF($BR188&lt;&gt;Constants!$B$8,"",Constants!$B$20+SUM($BC188:$BG188))</f>
        <v/>
      </c>
      <c r="BI188" s="133" t="str">
        <f aca="false">IF($BR188&lt;&gt;Constants!$B$8,"",IF(OR($BP188&lt;$BH188,AND($BP188=$BH188,OR($BK188&lt;$BC188,AND($BK188=$BC188,OR($BL188&lt;$BD188,AND($BL188=$BD188,$AT188,$AL188,$AV188&lt;$AN188)))))),"-&gt;","&lt;-"))</f>
        <v/>
      </c>
      <c r="BJ188" s="132" t="str">
        <f aca="false">IF(ISBLANK($C188),"",AND($AT188,OR($AU188="",$AV188="",AND($AW188,$AX188=""))))</f>
        <v/>
      </c>
      <c r="BK188" s="135" t="str">
        <f aca="false">IF($BR188&lt;&gt;Constants!$B$8,"",IF($AT188,Constants!$B$21*$AV188+Constants!$B$22*IF($AW188,$AX188,Constants!$B$23),Constants!$B$24))</f>
        <v/>
      </c>
      <c r="BL188" s="136" t="str">
        <f aca="false">IF($BR188&lt;&gt;Constants!$B$8,"",Constants!$B$25*ABS($AD$9-IF($AT188,$AU188,0)))</f>
        <v/>
      </c>
      <c r="BM188" s="136" t="str">
        <f aca="false">IF($BR188&lt;&gt;Constants!$B$8,"",IF(AND($AT188,$AY188,$AW188),Constants!$B$27,0))</f>
        <v/>
      </c>
      <c r="BN188" s="136" t="str">
        <f aca="false">IF($BR188&lt;&gt;Constants!$B$8,"",IF($AT188,($AI188-Constants!$B$29)*Constants!$B$28,0))</f>
        <v/>
      </c>
      <c r="BO188" s="136" t="str">
        <f aca="false">IF($BR188&lt;&gt;Constants!$B$8,"",IF($AS188,0,Constants!$B$15)+IF($AR188,0,Constants!$B$16)+IF($AH188,0,Constants!$B$17))</f>
        <v/>
      </c>
      <c r="BP188" s="137" t="str">
        <f aca="false">IF($BR188&lt;&gt;Constants!$B$8,"",Constants!$B$20+SUM($BK188:$BO188))</f>
        <v/>
      </c>
      <c r="BQ188" s="133" t="str">
        <f aca="false">IF(ISBLANK($C188),"",IF(ISBLANK($D$7),$BQ$5,IF(NOT(ISNUMBER($D$7)),$BQ$6,"")))</f>
        <v/>
      </c>
      <c r="BR188" s="133" t="str">
        <f aca="false">IF(ISBLANK($C188),"",IF($BA188,Constants!$B$11,IF(COUNTA($E188:$AA188)=0,Constants!$B$10,IF(NOT($AG188),Constants!$B$9,IF(OR($BQ188&lt;&gt;"",$BB188,$BJ188),Constants!$B$12,Constants!$B$8)))))</f>
        <v/>
      </c>
      <c r="BS188" s="133" t="str">
        <f aca="false">IF(ISBLANK($C188),"",IF($BR188&lt;&gt;Constants!$B$8,$BR188,Constants!$B$13))</f>
        <v/>
      </c>
      <c r="BT188" s="136" t="str">
        <f aca="false">IF($BR188&lt;&gt;Constants!$B$8,"",IF($BI188="-&gt;",$BP188,$BH188))</f>
        <v/>
      </c>
      <c r="BU188" s="136" t="str">
        <f aca="false">IF($BR188&lt;&gt;Constants!$B$8,"",IF($AF188,0,Constants!$B$18))</f>
        <v/>
      </c>
      <c r="BV188" s="136" t="str">
        <f aca="false">IF($BR188&lt;&gt;Constants!$B$8,"",((Constants!$B$31-$AZ188)-Constants!$B$31)/Constants!$B$32)</f>
        <v/>
      </c>
      <c r="BW188" s="136" t="str">
        <f aca="false">IF(ISBLANK($C188),"",IF($BR188&lt;&gt;Constants!$B$8,$BR188,SUM($BT188:$BV188)))</f>
        <v/>
      </c>
      <c r="BX188" s="133" t="str">
        <f aca="false">IF(ISBLANK($C188),"",IF($BR188&lt;&gt;Constants!$B$8,$BR188,RANK($BW188,$BW$9:$BW$508,1)))</f>
        <v/>
      </c>
      <c r="BY188" s="136" t="str">
        <f aca="false">IF($BR188&lt;&gt;Constants!$B$8,"",IF($BI188="-&gt;",$BK188,$BC188))</f>
        <v/>
      </c>
      <c r="BZ188" s="133" t="str">
        <f aca="false">IF(ISBLANK($C188),"",IF($BR188&lt;&gt;Constants!$B$8,$BR188,IF(ISNUMBER($BY188),RANK($BY188,$BY$9:$BY$508,1),COUNT($BY$9:$BY$508)+1)))</f>
        <v/>
      </c>
      <c r="CA188" s="136" t="str">
        <f aca="false">IF($BR188&lt;&gt;Constants!$B$8,"",IF($BI188="-&gt;",$BL188,$BD188))</f>
        <v/>
      </c>
      <c r="CB188" s="133" t="str">
        <f aca="false">IF(ISBLANK($C188),"",IF($BR188&lt;&gt;Constants!$B$8,$BR188,IF(ISNUMBER($CA188),RANK($CA188,$CA$9:$CA$508,1),COUNT($CA$9:$CA$508)+1)))</f>
        <v/>
      </c>
      <c r="CC188" s="136" t="str">
        <f aca="false">IF($BR188&lt;&gt;Constants!$B$8,"",IF($BI188="-&gt;",IF($AT188,$AV188,""),IF($AL188,$AN188,"")))</f>
        <v/>
      </c>
      <c r="CD188" s="133" t="str">
        <f aca="false">IF(ISBLANK($C188),"",IF($BR188&lt;&gt;Constants!$B$8,$BR188,IF(ISNUMBER($CC188),RANK($CC188,$CC$9:$CC$508,1),COUNT($CC$9:$CC$508)+1)))</f>
        <v/>
      </c>
      <c r="CE188" s="136" t="str">
        <f aca="false">IF($BR188&lt;&gt;Constants!$B$8,"",IF(AND(NOT($AL188),NOT($AT188),$AJ188,$AK188,$AR188,$AS188),"",$AI188))</f>
        <v/>
      </c>
      <c r="CF188" s="133" t="str">
        <f aca="false">IF(ISBLANK($C188),"",IF($BR188&lt;&gt;Constants!$B$8,$BR188,IF(ISNUMBER($CE188),RANK($CE188,$CE$9:$CE$508,1),COUNT($CE$9:$CE$508)+1)))</f>
        <v/>
      </c>
      <c r="CG188" s="133" t="str">
        <f aca="false">IF(ISBLANK($C188),"",IF($BR188&lt;&gt;Constants!$B$8,$BR188,COUNTIFS($BX$9:$BX$508,"&lt;"&amp;$BX188)+COUNTIFS($BX$9:$BX$508,$BX188,$BZ$9:$BZ$508,"&lt;"&amp;$BZ188)+COUNTIFS($BX$9:$BX$508,$BX188,$BZ$9:$BZ$508,$BZ188,$CB$9:$CB$508,"&lt;"&amp;$CB188)+COUNTIFS($BX$9:$BX$508,$BX188,$BZ$9:$BZ$508,$BZ188,$CB$9:$CB$508,$CB188,$CD$9:$CD$508,"&lt;"&amp;$CD188)+COUNTIFS($BX$9:$BX$508,$BX188,$BZ$9:$BZ$508,$BZ188,$CB$9:$CB$508,$CB188,$CD$9:$CD$508,$CD188,$CF$9:$CF$508,"&lt;"&amp;$CF188)+1))</f>
        <v/>
      </c>
      <c r="CH188" s="133" t="str">
        <f aca="false">IF(ISBLANK($C188),"",IF($BR188&lt;&gt;Constants!$B$8,$BR188,$BX188-$CG188))</f>
        <v/>
      </c>
      <c r="CI188" s="138"/>
      <c r="CJ188" s="139"/>
      <c r="CK188" s="140" t="str">
        <f aca="false">IF(ISBLANK($C188),"",IF($BR188=Constants!$B$12,$BQ188,""))</f>
        <v/>
      </c>
      <c r="CL188" s="139" t="str">
        <f aca="false">IF(ISBLANK($C188),"",IF($BR188&lt;&gt;Constants!$B$8,"",IF($BI188="-&gt;",2,1)))</f>
        <v/>
      </c>
      <c r="CM188" s="141" t="str">
        <f aca="false">IF(ISBLANK($C188),"",IF($BR188&lt;&gt;Constants!$B$8,"",IF($BI188="-&gt;",$BK188,$BC188)))</f>
        <v/>
      </c>
      <c r="CN188" s="141" t="str">
        <f aca="false">IF(ISBLANK($C188),"",IF($BR188&lt;&gt;Constants!$B$8,"",IF($BI188="-&gt;",$BL188,$BD188)))</f>
        <v/>
      </c>
      <c r="CO188" s="141" t="str">
        <f aca="false">IF(ISBLANK($C188),"",IF($BR188&lt;&gt;Constants!$B$8,"",IF($BI188="-&gt;",$BM188+$BN188,$BE188+$BF188)+$BV188))</f>
        <v/>
      </c>
      <c r="CP188" s="141" t="str">
        <f aca="false">IF(ISBLANK($C188),"",IF($BR188&lt;&gt;Constants!$B$8,"",IF($BI188="-&gt;",$BO188,$BG188)+$BU188))</f>
        <v/>
      </c>
      <c r="CQ188" s="142" t="str">
        <f aca="false">IF(ISBLANK($C188),"",IF($BR188&lt;&gt;Constants!$B$8,$BR188,$BW188))</f>
        <v/>
      </c>
      <c r="CR188" s="143" t="str">
        <f aca="false">IF(ISBLANK($C188),"",$BS188)</f>
        <v/>
      </c>
      <c r="CS188" s="144" t="str">
        <f aca="false">IF(ISBLANK($C188),"",$CH188)</f>
        <v/>
      </c>
      <c r="CT188" s="144" t="str">
        <f aca="false">IF(ISBLANK($C188),"",$CG188)</f>
        <v/>
      </c>
      <c r="CU188" s="145" t="str">
        <f aca="false">IF(ISBLANK($C188),"",IFERROR(_xlfn.SWITCH($CT188,Constants!$B$11,COUNTA($C$9:$C$508)+2,Constants!$B$10,COUNTA($C$9:$C$508)+1,Constants!$B$9,COUNTA($C$9:$C$508)),$CT188))</f>
        <v/>
      </c>
      <c r="CV188" s="9"/>
      <c r="CW188" s="146" t="n">
        <f aca="false">IF(OR(ISNUMBER($CT188),$CT188=Constants!$B$11,$CT188=Constants!$B$9,$CT188=Constants!$B$10),1,0)</f>
        <v>0</v>
      </c>
      <c r="CX188" s="146" t="n">
        <v>180</v>
      </c>
      <c r="CY188" s="146" t="str">
        <f aca="false">IF(ISBLANK($C188),"",IF(ISNUMBER($CU188),$CU188+ROW($B188)/1000,""))</f>
        <v/>
      </c>
      <c r="CZ188" s="146" t="str">
        <f aca="false">IF(ISNUMBER($CY188),RANK($CY188,$CY$9:$CY$508,1),"")</f>
        <v/>
      </c>
      <c r="DA188" s="146" t="str">
        <f aca="false">IF(ISBLANK($C188),"",$B188)</f>
        <v/>
      </c>
      <c r="DB188" s="146" t="str">
        <f aca="false">IF(ISBLANK($C188),"",$C188)</f>
        <v/>
      </c>
      <c r="DC188" s="146" t="str">
        <f aca="false">IF(ISBLANK($C188),"",$D188)</f>
        <v/>
      </c>
      <c r="DD188" s="147" t="str">
        <f aca="false">$CR188</f>
        <v/>
      </c>
      <c r="DE188" s="148" t="str">
        <f aca="false">$CQ188</f>
        <v/>
      </c>
      <c r="DF188" s="146" t="str">
        <f aca="false">IF(ISBLANK($C188),"",$CT188)</f>
        <v/>
      </c>
      <c r="DG188" s="149" t="str">
        <f aca="false">IF($CX188&gt;$CW$8,"",VLOOKUP($CX188,$CZ$9:$DF$508,7,FALSE()))</f>
        <v/>
      </c>
      <c r="DH188" s="150" t="str">
        <f aca="false">IF($CX188&gt;$CW$8,"",VLOOKUP($CX188,$CZ$9:$DF$508,2,FALSE()))</f>
        <v/>
      </c>
      <c r="DI188" s="150" t="str">
        <f aca="false">IF($CX188&gt;$CW$8,"",VLOOKUP($CX188,$CZ$9:$DF$508,3,FALSE()))</f>
        <v/>
      </c>
      <c r="DJ188" s="150" t="str">
        <f aca="false">IF($CX188&gt;$CW$8,"",VLOOKUP($CX188,$CZ$9:$DF$508,4,FALSE()))</f>
        <v/>
      </c>
      <c r="DK188" s="150" t="str">
        <f aca="false">IF($CX188&gt;$CW$8,"",VLOOKUP($CX188,$CZ$9:$DF$508,5,FALSE()))</f>
        <v/>
      </c>
      <c r="DL188" s="151" t="str">
        <f aca="false">IF($CX188&gt;$CW$8,"",VLOOKUP($CX188,$CZ$9:$DF$508,6,FALSE()))</f>
        <v/>
      </c>
      <c r="DM188" s="75"/>
    </row>
    <row r="189" customFormat="false" ht="15.75" hidden="false" customHeight="false" outlineLevel="0" collapsed="false">
      <c r="A189" s="9"/>
      <c r="B189" s="77"/>
      <c r="C189" s="78"/>
      <c r="D189" s="167"/>
      <c r="E189" s="175"/>
      <c r="F189" s="169"/>
      <c r="G189" s="170"/>
      <c r="H189" s="170"/>
      <c r="I189" s="176"/>
      <c r="J189" s="173"/>
      <c r="K189" s="85"/>
      <c r="L189" s="86"/>
      <c r="M189" s="87"/>
      <c r="N189" s="173"/>
      <c r="O189" s="173"/>
      <c r="P189" s="175"/>
      <c r="Q189" s="173"/>
      <c r="R189" s="173"/>
      <c r="S189" s="85"/>
      <c r="T189" s="87"/>
      <c r="U189" s="87"/>
      <c r="V189" s="173"/>
      <c r="W189" s="173"/>
      <c r="X189" s="175"/>
      <c r="Y189" s="173"/>
      <c r="Z189" s="174"/>
      <c r="AA189" s="173"/>
      <c r="AB189" s="91"/>
      <c r="AC189" s="92"/>
      <c r="AD189" s="92"/>
      <c r="AE189" s="92"/>
      <c r="AF189" s="92" t="str">
        <f aca="false">IF(ISBLANK($C189),"",IF(E189=Constants!$B$3,TRUE(),IF(E189=Constants!$B$4,FALSE(),TRUE())))</f>
        <v/>
      </c>
      <c r="AG189" s="92" t="str">
        <f aca="false">IF(ISBLANK($C189),"",IF(F189=Constants!$B$3,TRUE(),IF(F189=Constants!$B$4,FALSE(),TRUE())))</f>
        <v/>
      </c>
      <c r="AH189" s="92" t="str">
        <f aca="false">IF(ISBLANK($C189),"",IF(G189=Constants!$B$3,TRUE(),IF(G189=Constants!$B$4,FALSE(),TRUE())))</f>
        <v/>
      </c>
      <c r="AI189" s="92" t="str">
        <f aca="false">IF(ISBLANK($C189),"",IF(AND(ISNUMBER(H189),H189&gt;=0),H189,Constants!$B$29))</f>
        <v/>
      </c>
      <c r="AJ189" s="92" t="str">
        <f aca="false">IF(ISBLANK($C189),"",IF(I189=Constants!$B$3,TRUE(),IF(I189=Constants!$B$4,FALSE(),TRUE())))</f>
        <v/>
      </c>
      <c r="AK189" s="92" t="str">
        <f aca="false">IF(ISBLANK($C189),"",IF(J189=Constants!$B$3,TRUE(),IF(J189=Constants!$B$4,FALSE(),TRUE())))</f>
        <v/>
      </c>
      <c r="AL189" s="92" t="str">
        <f aca="false">IF(ISBLANK($C189),"",IF(K189=Constants!$B$5,TRUE(),IF(K189=Constants!$B$6,FALSE(),COUNTA(L189:P189)&gt;0)))</f>
        <v/>
      </c>
      <c r="AM189" s="94" t="str">
        <f aca="false">IF(ISBLANK($C189),"",IF(ISNUMBER(L189),IF(L189&gt;=0,L189,""),""))</f>
        <v/>
      </c>
      <c r="AN189" s="93" t="str">
        <f aca="false">IF(ISBLANK($C189),"",IF(ISNUMBER(M189),IF(M189&gt;=0,M189,""),""))</f>
        <v/>
      </c>
      <c r="AO189" s="93" t="str">
        <f aca="false">IF(ISBLANK($C189),"",IF(N189=Constants!$B$3,TRUE(),IF(N189=Constants!$B$4,FALSE(),TRUE())))</f>
        <v/>
      </c>
      <c r="AP189" s="92" t="str">
        <f aca="false">IF(ISBLANK($C189),"",IF(ISNUMBER(O189),IF(O189&gt;=0,O189,""),""))</f>
        <v/>
      </c>
      <c r="AQ189" s="92" t="str">
        <f aca="false">IF(ISBLANK($C189),"",IF(P189=Constants!$B$3,TRUE(),IF(P189=Constants!$B$4,FALSE(),FALSE())))</f>
        <v/>
      </c>
      <c r="AR189" s="92" t="str">
        <f aca="false">IF(ISBLANK($C189),"",IF(Q189=Constants!$B$3,TRUE(),IF(Q189=Constants!$B$4,FALSE(),TRUE())))</f>
        <v/>
      </c>
      <c r="AS189" s="92" t="str">
        <f aca="false">IF(ISBLANK($C189),"",IF(R189=Constants!$B$3,TRUE(),IF(R189=Constants!$B$4,FALSE(),TRUE())))</f>
        <v/>
      </c>
      <c r="AT189" s="92" t="str">
        <f aca="false">IF(ISBLANK($C189),"",IF(S189=Constants!$B$5,TRUE(),IF(S189=Constants!$B$6,FALSE(),COUNTA(T189:X189)&gt;0)))</f>
        <v/>
      </c>
      <c r="AU189" s="94" t="str">
        <f aca="false">IF(ISBLANK($C189),"",IF(ISNUMBER(T189),IF(T189&gt;=0,T189,""),""))</f>
        <v/>
      </c>
      <c r="AV189" s="93" t="str">
        <f aca="false">IF(ISBLANK($C189),"",IF(ISNUMBER(U189),IF(U189&gt;=0,U189,""),""))</f>
        <v/>
      </c>
      <c r="AW189" s="93" t="str">
        <f aca="false">IF(ISBLANK($C189),"",IF(V189=Constants!$B$3,TRUE(),IF(V189=Constants!$B$4,FALSE(),TRUE())))</f>
        <v/>
      </c>
      <c r="AX189" s="92" t="str">
        <f aca="false">IF(ISBLANK($C189),"",IF(ISNUMBER(W189),IF(W189&gt;=0,W189,""),""))</f>
        <v/>
      </c>
      <c r="AY189" s="92" t="str">
        <f aca="false">IF(ISBLANK($C189),"",IF(X189=Constants!$B$3,TRUE(),IF(X189=Constants!$B$4,FALSE(),FALSE())))</f>
        <v/>
      </c>
      <c r="AZ189" s="92" t="str">
        <f aca="false">IF(ISBLANK($C189),"",MIN(Constants!$B$31,MAX(0,IF(ISNUMBER(Y189),Y189*60,0)+IF(ISNUMBER(Z189),Z189,0))))</f>
        <v/>
      </c>
      <c r="BA189" s="92" t="str">
        <f aca="false">IF(ISBLANK($C189),"",IF(AA189=Constants!$B$3,TRUE(),IF(AA189=Constants!$B$4,FALSE(),FALSE())))</f>
        <v/>
      </c>
      <c r="BB189" s="91" t="str">
        <f aca="false">IF(ISBLANK($C189),"",AND($AL189,OR($AM189="",$AN189="",AND($AO189,$AP189=""))))</f>
        <v/>
      </c>
      <c r="BC189" s="93" t="str">
        <f aca="false">IF($BR189&lt;&gt;Constants!$B$8,"",IF($AL189,Constants!$B$21*$AN189+Constants!$B$22*IF($AO189,$AP189,Constants!$B$23),Constants!$B$24))</f>
        <v/>
      </c>
      <c r="BD189" s="96" t="str">
        <f aca="false">IF($BR189&lt;&gt;Constants!$B$8,"",Constants!$B$25*ABS($AD$9-IF($AL189,$AM189,0)))</f>
        <v/>
      </c>
      <c r="BE189" s="96" t="str">
        <f aca="false">IF($BR189&lt;&gt;Constants!$B$8,"",IF(AND($AL189,$AQ189,$AO189),Constants!$B$27,0))</f>
        <v/>
      </c>
      <c r="BF189" s="96" t="str">
        <f aca="false">IF($BR189&lt;&gt;Constants!$B$8,"",IF($AL189,($AI189-Constants!$B$29)*Constants!$B$28,0))</f>
        <v/>
      </c>
      <c r="BG189" s="96" t="str">
        <f aca="false">IF($BR189&lt;&gt;Constants!$B$8,"",IF($AK189,0,Constants!$B$15)+IF($AJ189,0,Constants!$B$16)+IF($AH189,0,Constants!$B$17))</f>
        <v/>
      </c>
      <c r="BH189" s="97" t="str">
        <f aca="false">IF($BR189&lt;&gt;Constants!$B$8,"",Constants!$B$20+SUM($BC189:$BG189))</f>
        <v/>
      </c>
      <c r="BI189" s="92" t="str">
        <f aca="false">IF($BR189&lt;&gt;Constants!$B$8,"",IF(OR($BP189&lt;$BH189,AND($BP189=$BH189,OR($BK189&lt;$BC189,AND($BK189=$BC189,OR($BL189&lt;$BD189,AND($BL189=$BD189,$AT189,$AL189,$AV189&lt;$AN189)))))),"-&gt;","&lt;-"))</f>
        <v/>
      </c>
      <c r="BJ189" s="91" t="str">
        <f aca="false">IF(ISBLANK($C189),"",AND($AT189,OR($AU189="",$AV189="",AND($AW189,$AX189=""))))</f>
        <v/>
      </c>
      <c r="BK189" s="93" t="str">
        <f aca="false">IF($BR189&lt;&gt;Constants!$B$8,"",IF($AT189,Constants!$B$21*$AV189+Constants!$B$22*IF($AW189,$AX189,Constants!$B$23),Constants!$B$24))</f>
        <v/>
      </c>
      <c r="BL189" s="96" t="str">
        <f aca="false">IF($BR189&lt;&gt;Constants!$B$8,"",Constants!$B$25*ABS($AD$9-IF($AT189,$AU189,0)))</f>
        <v/>
      </c>
      <c r="BM189" s="96" t="str">
        <f aca="false">IF($BR189&lt;&gt;Constants!$B$8,"",IF(AND($AT189,$AY189,$AW189),Constants!$B$27,0))</f>
        <v/>
      </c>
      <c r="BN189" s="96" t="str">
        <f aca="false">IF($BR189&lt;&gt;Constants!$B$8,"",IF($AT189,($AI189-Constants!$B$29)*Constants!$B$28,0))</f>
        <v/>
      </c>
      <c r="BO189" s="96" t="str">
        <f aca="false">IF($BR189&lt;&gt;Constants!$B$8,"",IF($AS189,0,Constants!$B$15)+IF($AR189,0,Constants!$B$16)+IF($AH189,0,Constants!$B$17))</f>
        <v/>
      </c>
      <c r="BP189" s="97" t="str">
        <f aca="false">IF($BR189&lt;&gt;Constants!$B$8,"",Constants!$B$20+SUM($BK189:$BO189))</f>
        <v/>
      </c>
      <c r="BQ189" s="92" t="str">
        <f aca="false">IF(ISBLANK($C189),"",IF(ISBLANK($D$7),$BQ$5,IF(NOT(ISNUMBER($D$7)),$BQ$6,"")))</f>
        <v/>
      </c>
      <c r="BR189" s="92" t="str">
        <f aca="false">IF(ISBLANK($C189),"",IF($BA189,Constants!$B$11,IF(COUNTA($E189:$AA189)=0,Constants!$B$10,IF(NOT($AG189),Constants!$B$9,IF(OR($BQ189&lt;&gt;"",$BB189,$BJ189),Constants!$B$12,Constants!$B$8)))))</f>
        <v/>
      </c>
      <c r="BS189" s="92" t="str">
        <f aca="false">IF(ISBLANK($C189),"",IF($BR189&lt;&gt;Constants!$B$8,$BR189,Constants!$B$13))</f>
        <v/>
      </c>
      <c r="BT189" s="96" t="str">
        <f aca="false">IF($BR189&lt;&gt;Constants!$B$8,"",IF($BI189="-&gt;",$BP189,$BH189))</f>
        <v/>
      </c>
      <c r="BU189" s="96" t="str">
        <f aca="false">IF($BR189&lt;&gt;Constants!$B$8,"",IF($AF189,0,Constants!$B$18))</f>
        <v/>
      </c>
      <c r="BV189" s="96" t="str">
        <f aca="false">IF($BR189&lt;&gt;Constants!$B$8,"",((Constants!$B$31-$AZ189)-Constants!$B$31)/Constants!$B$32)</f>
        <v/>
      </c>
      <c r="BW189" s="96" t="str">
        <f aca="false">IF(ISBLANK($C189),"",IF($BR189&lt;&gt;Constants!$B$8,$BR189,SUM($BT189:$BV189)))</f>
        <v/>
      </c>
      <c r="BX189" s="92" t="str">
        <f aca="false">IF(ISBLANK($C189),"",IF($BR189&lt;&gt;Constants!$B$8,$BR189,RANK($BW189,$BW$9:$BW$508,1)))</f>
        <v/>
      </c>
      <c r="BY189" s="96" t="str">
        <f aca="false">IF($BR189&lt;&gt;Constants!$B$8,"",IF($BI189="-&gt;",$BK189,$BC189))</f>
        <v/>
      </c>
      <c r="BZ189" s="92" t="str">
        <f aca="false">IF(ISBLANK($C189),"",IF($BR189&lt;&gt;Constants!$B$8,$BR189,IF(ISNUMBER($BY189),RANK($BY189,$BY$9:$BY$508,1),COUNT($BY$9:$BY$508)+1)))</f>
        <v/>
      </c>
      <c r="CA189" s="96" t="str">
        <f aca="false">IF($BR189&lt;&gt;Constants!$B$8,"",IF($BI189="-&gt;",$BL189,$BD189))</f>
        <v/>
      </c>
      <c r="CB189" s="92" t="str">
        <f aca="false">IF(ISBLANK($C189),"",IF($BR189&lt;&gt;Constants!$B$8,$BR189,IF(ISNUMBER($CA189),RANK($CA189,$CA$9:$CA$508,1),COUNT($CA$9:$CA$508)+1)))</f>
        <v/>
      </c>
      <c r="CC189" s="96" t="str">
        <f aca="false">IF($BR189&lt;&gt;Constants!$B$8,"",IF($BI189="-&gt;",IF($AT189,$AV189,""),IF($AL189,$AN189,"")))</f>
        <v/>
      </c>
      <c r="CD189" s="92" t="str">
        <f aca="false">IF(ISBLANK($C189),"",IF($BR189&lt;&gt;Constants!$B$8,$BR189,IF(ISNUMBER($CC189),RANK($CC189,$CC$9:$CC$508,1),COUNT($CC$9:$CC$508)+1)))</f>
        <v/>
      </c>
      <c r="CE189" s="96" t="str">
        <f aca="false">IF($BR189&lt;&gt;Constants!$B$8,"",IF(AND(NOT($AL189),NOT($AT189),$AJ189,$AK189,$AR189,$AS189),"",$AI189))</f>
        <v/>
      </c>
      <c r="CF189" s="92" t="str">
        <f aca="false">IF(ISBLANK($C189),"",IF($BR189&lt;&gt;Constants!$B$8,$BR189,IF(ISNUMBER($CE189),RANK($CE189,$CE$9:$CE$508,1),COUNT($CE$9:$CE$508)+1)))</f>
        <v/>
      </c>
      <c r="CG189" s="92" t="str">
        <f aca="false">IF(ISBLANK($C189),"",IF($BR189&lt;&gt;Constants!$B$8,$BR189,COUNTIFS($BX$9:$BX$508,"&lt;"&amp;$BX189)+COUNTIFS($BX$9:$BX$508,$BX189,$BZ$9:$BZ$508,"&lt;"&amp;$BZ189)+COUNTIFS($BX$9:$BX$508,$BX189,$BZ$9:$BZ$508,$BZ189,$CB$9:$CB$508,"&lt;"&amp;$CB189)+COUNTIFS($BX$9:$BX$508,$BX189,$BZ$9:$BZ$508,$BZ189,$CB$9:$CB$508,$CB189,$CD$9:$CD$508,"&lt;"&amp;$CD189)+COUNTIFS($BX$9:$BX$508,$BX189,$BZ$9:$BZ$508,$BZ189,$CB$9:$CB$508,$CB189,$CD$9:$CD$508,$CD189,$CF$9:$CF$508,"&lt;"&amp;$CF189)+1))</f>
        <v/>
      </c>
      <c r="CH189" s="92" t="str">
        <f aca="false">IF(ISBLANK($C189),"",IF($BR189&lt;&gt;Constants!$B$8,$BR189,$BX189-$CG189))</f>
        <v/>
      </c>
      <c r="CI189" s="98"/>
      <c r="CJ189" s="99"/>
      <c r="CK189" s="100" t="str">
        <f aca="false">IF(ISBLANK($C189),"",IF($BR189=Constants!$B$12,$BQ189,""))</f>
        <v/>
      </c>
      <c r="CL189" s="99" t="str">
        <f aca="false">IF(ISBLANK($C189),"",IF($BR189&lt;&gt;Constants!$B$8,"",IF($BI189="-&gt;",2,1)))</f>
        <v/>
      </c>
      <c r="CM189" s="101" t="str">
        <f aca="false">IF(ISBLANK($C189),"",IF($BR189&lt;&gt;Constants!$B$8,"",IF($BI189="-&gt;",$BK189,$BC189)))</f>
        <v/>
      </c>
      <c r="CN189" s="101" t="str">
        <f aca="false">IF(ISBLANK($C189),"",IF($BR189&lt;&gt;Constants!$B$8,"",IF($BI189="-&gt;",$BL189,$BD189)))</f>
        <v/>
      </c>
      <c r="CO189" s="101" t="str">
        <f aca="false">IF(ISBLANK($C189),"",IF($BR189&lt;&gt;Constants!$B$8,"",IF($BI189="-&gt;",$BM189+$BN189,$BE189+$BF189)+$BV189))</f>
        <v/>
      </c>
      <c r="CP189" s="101" t="str">
        <f aca="false">IF(ISBLANK($C189),"",IF($BR189&lt;&gt;Constants!$B$8,"",IF($BI189="-&gt;",$BO189,$BG189)+$BU189))</f>
        <v/>
      </c>
      <c r="CQ189" s="102" t="str">
        <f aca="false">IF(ISBLANK($C189),"",IF($BR189&lt;&gt;Constants!$B$8,$BR189,$BW189))</f>
        <v/>
      </c>
      <c r="CR189" s="103" t="str">
        <f aca="false">IF(ISBLANK($C189),"",$BS189)</f>
        <v/>
      </c>
      <c r="CS189" s="104" t="str">
        <f aca="false">IF(ISBLANK($C189),"",$CH189)</f>
        <v/>
      </c>
      <c r="CT189" s="104" t="str">
        <f aca="false">IF(ISBLANK($C189),"",$CG189)</f>
        <v/>
      </c>
      <c r="CU189" s="105" t="str">
        <f aca="false">IF(ISBLANK($C189),"",IFERROR(_xlfn.SWITCH($CT189,Constants!$B$11,COUNTA($C$9:$C$508)+2,Constants!$B$10,COUNTA($C$9:$C$508)+1,Constants!$B$9,COUNTA($C$9:$C$508)),$CT189))</f>
        <v/>
      </c>
      <c r="CV189" s="9"/>
      <c r="CW189" s="106" t="n">
        <f aca="false">IF(OR(ISNUMBER($CT189),$CT189=Constants!$B$11,$CT189=Constants!$B$9,$CT189=Constants!$B$10),1,0)</f>
        <v>0</v>
      </c>
      <c r="CX189" s="106" t="n">
        <v>181</v>
      </c>
      <c r="CY189" s="106" t="str">
        <f aca="false">IF(ISBLANK($C189),"",IF(ISNUMBER($CU189),$CU189+ROW($B189)/1000,""))</f>
        <v/>
      </c>
      <c r="CZ189" s="106" t="str">
        <f aca="false">IF(ISNUMBER($CY189),RANK($CY189,$CY$9:$CY$508,1),"")</f>
        <v/>
      </c>
      <c r="DA189" s="106" t="str">
        <f aca="false">IF(ISBLANK($C189),"",$B189)</f>
        <v/>
      </c>
      <c r="DB189" s="106" t="str">
        <f aca="false">IF(ISBLANK($C189),"",$C189)</f>
        <v/>
      </c>
      <c r="DC189" s="106" t="str">
        <f aca="false">IF(ISBLANK($C189),"",$D189)</f>
        <v/>
      </c>
      <c r="DD189" s="107" t="str">
        <f aca="false">$CR189</f>
        <v/>
      </c>
      <c r="DE189" s="108" t="str">
        <f aca="false">$CQ189</f>
        <v/>
      </c>
      <c r="DF189" s="106" t="str">
        <f aca="false">IF(ISBLANK($C189),"",$CT189)</f>
        <v/>
      </c>
      <c r="DG189" s="109" t="str">
        <f aca="false">IF($CX189&gt;$CW$8,"",VLOOKUP($CX189,$CZ$9:$DF$508,7,FALSE()))</f>
        <v/>
      </c>
      <c r="DH189" s="110" t="str">
        <f aca="false">IF($CX189&gt;$CW$8,"",VLOOKUP($CX189,$CZ$9:$DF$508,2,FALSE()))</f>
        <v/>
      </c>
      <c r="DI189" s="110" t="str">
        <f aca="false">IF($CX189&gt;$CW$8,"",VLOOKUP($CX189,$CZ$9:$DF$508,3,FALSE()))</f>
        <v/>
      </c>
      <c r="DJ189" s="110" t="str">
        <f aca="false">IF($CX189&gt;$CW$8,"",VLOOKUP($CX189,$CZ$9:$DF$508,4,FALSE()))</f>
        <v/>
      </c>
      <c r="DK189" s="110" t="str">
        <f aca="false">IF($CX189&gt;$CW$8,"",VLOOKUP($CX189,$CZ$9:$DF$508,5,FALSE()))</f>
        <v/>
      </c>
      <c r="DL189" s="111" t="str">
        <f aca="false">IF($CX189&gt;$CW$8,"",VLOOKUP($CX189,$CZ$9:$DF$508,6,FALSE()))</f>
        <v/>
      </c>
      <c r="DM189" s="75"/>
    </row>
    <row r="190" customFormat="false" ht="15.75" hidden="false" customHeight="false" outlineLevel="0" collapsed="false">
      <c r="A190" s="9"/>
      <c r="B190" s="77"/>
      <c r="C190" s="78"/>
      <c r="D190" s="167"/>
      <c r="E190" s="175"/>
      <c r="F190" s="169"/>
      <c r="G190" s="170"/>
      <c r="H190" s="170"/>
      <c r="I190" s="176"/>
      <c r="J190" s="173"/>
      <c r="K190" s="85"/>
      <c r="L190" s="86"/>
      <c r="M190" s="87"/>
      <c r="N190" s="173"/>
      <c r="O190" s="173"/>
      <c r="P190" s="175"/>
      <c r="Q190" s="173"/>
      <c r="R190" s="173"/>
      <c r="S190" s="85"/>
      <c r="T190" s="87"/>
      <c r="U190" s="87"/>
      <c r="V190" s="173"/>
      <c r="W190" s="173"/>
      <c r="X190" s="175"/>
      <c r="Y190" s="173"/>
      <c r="Z190" s="174"/>
      <c r="AA190" s="173"/>
      <c r="AB190" s="91"/>
      <c r="AC190" s="92"/>
      <c r="AD190" s="92"/>
      <c r="AE190" s="92"/>
      <c r="AF190" s="92" t="str">
        <f aca="false">IF(ISBLANK($C190),"",IF(E190=Constants!$B$3,TRUE(),IF(E190=Constants!$B$4,FALSE(),TRUE())))</f>
        <v/>
      </c>
      <c r="AG190" s="92" t="str">
        <f aca="false">IF(ISBLANK($C190),"",IF(F190=Constants!$B$3,TRUE(),IF(F190=Constants!$B$4,FALSE(),TRUE())))</f>
        <v/>
      </c>
      <c r="AH190" s="92" t="str">
        <f aca="false">IF(ISBLANK($C190),"",IF(G190=Constants!$B$3,TRUE(),IF(G190=Constants!$B$4,FALSE(),TRUE())))</f>
        <v/>
      </c>
      <c r="AI190" s="92" t="str">
        <f aca="false">IF(ISBLANK($C190),"",IF(AND(ISNUMBER(H190),H190&gt;=0),H190,Constants!$B$29))</f>
        <v/>
      </c>
      <c r="AJ190" s="92" t="str">
        <f aca="false">IF(ISBLANK($C190),"",IF(I190=Constants!$B$3,TRUE(),IF(I190=Constants!$B$4,FALSE(),TRUE())))</f>
        <v/>
      </c>
      <c r="AK190" s="92" t="str">
        <f aca="false">IF(ISBLANK($C190),"",IF(J190=Constants!$B$3,TRUE(),IF(J190=Constants!$B$4,FALSE(),TRUE())))</f>
        <v/>
      </c>
      <c r="AL190" s="92" t="str">
        <f aca="false">IF(ISBLANK($C190),"",IF(K190=Constants!$B$5,TRUE(),IF(K190=Constants!$B$6,FALSE(),COUNTA(L190:P190)&gt;0)))</f>
        <v/>
      </c>
      <c r="AM190" s="94" t="str">
        <f aca="false">IF(ISBLANK($C190),"",IF(ISNUMBER(L190),IF(L190&gt;=0,L190,""),""))</f>
        <v/>
      </c>
      <c r="AN190" s="93" t="str">
        <f aca="false">IF(ISBLANK($C190),"",IF(ISNUMBER(M190),IF(M190&gt;=0,M190,""),""))</f>
        <v/>
      </c>
      <c r="AO190" s="93" t="str">
        <f aca="false">IF(ISBLANK($C190),"",IF(N190=Constants!$B$3,TRUE(),IF(N190=Constants!$B$4,FALSE(),TRUE())))</f>
        <v/>
      </c>
      <c r="AP190" s="92" t="str">
        <f aca="false">IF(ISBLANK($C190),"",IF(ISNUMBER(O190),IF(O190&gt;=0,O190,""),""))</f>
        <v/>
      </c>
      <c r="AQ190" s="92" t="str">
        <f aca="false">IF(ISBLANK($C190),"",IF(P190=Constants!$B$3,TRUE(),IF(P190=Constants!$B$4,FALSE(),FALSE())))</f>
        <v/>
      </c>
      <c r="AR190" s="92" t="str">
        <f aca="false">IF(ISBLANK($C190),"",IF(Q190=Constants!$B$3,TRUE(),IF(Q190=Constants!$B$4,FALSE(),TRUE())))</f>
        <v/>
      </c>
      <c r="AS190" s="92" t="str">
        <f aca="false">IF(ISBLANK($C190),"",IF(R190=Constants!$B$3,TRUE(),IF(R190=Constants!$B$4,FALSE(),TRUE())))</f>
        <v/>
      </c>
      <c r="AT190" s="92" t="str">
        <f aca="false">IF(ISBLANK($C190),"",IF(S190=Constants!$B$5,TRUE(),IF(S190=Constants!$B$6,FALSE(),COUNTA(T190:X190)&gt;0)))</f>
        <v/>
      </c>
      <c r="AU190" s="94" t="str">
        <f aca="false">IF(ISBLANK($C190),"",IF(ISNUMBER(T190),IF(T190&gt;=0,T190,""),""))</f>
        <v/>
      </c>
      <c r="AV190" s="93" t="str">
        <f aca="false">IF(ISBLANK($C190),"",IF(ISNUMBER(U190),IF(U190&gt;=0,U190,""),""))</f>
        <v/>
      </c>
      <c r="AW190" s="93" t="str">
        <f aca="false">IF(ISBLANK($C190),"",IF(V190=Constants!$B$3,TRUE(),IF(V190=Constants!$B$4,FALSE(),TRUE())))</f>
        <v/>
      </c>
      <c r="AX190" s="92" t="str">
        <f aca="false">IF(ISBLANK($C190),"",IF(ISNUMBER(W190),IF(W190&gt;=0,W190,""),""))</f>
        <v/>
      </c>
      <c r="AY190" s="92" t="str">
        <f aca="false">IF(ISBLANK($C190),"",IF(X190=Constants!$B$3,TRUE(),IF(X190=Constants!$B$4,FALSE(),FALSE())))</f>
        <v/>
      </c>
      <c r="AZ190" s="92" t="str">
        <f aca="false">IF(ISBLANK($C190),"",MIN(Constants!$B$31,MAX(0,IF(ISNUMBER(Y190),Y190*60,0)+IF(ISNUMBER(Z190),Z190,0))))</f>
        <v/>
      </c>
      <c r="BA190" s="92" t="str">
        <f aca="false">IF(ISBLANK($C190),"",IF(AA190=Constants!$B$3,TRUE(),IF(AA190=Constants!$B$4,FALSE(),FALSE())))</f>
        <v/>
      </c>
      <c r="BB190" s="91" t="str">
        <f aca="false">IF(ISBLANK($C190),"",AND($AL190,OR($AM190="",$AN190="",AND($AO190,$AP190=""))))</f>
        <v/>
      </c>
      <c r="BC190" s="93" t="str">
        <f aca="false">IF($BR190&lt;&gt;Constants!$B$8,"",IF($AL190,Constants!$B$21*$AN190+Constants!$B$22*IF($AO190,$AP190,Constants!$B$23),Constants!$B$24))</f>
        <v/>
      </c>
      <c r="BD190" s="96" t="str">
        <f aca="false">IF($BR190&lt;&gt;Constants!$B$8,"",Constants!$B$25*ABS($AD$9-IF($AL190,$AM190,0)))</f>
        <v/>
      </c>
      <c r="BE190" s="96" t="str">
        <f aca="false">IF($BR190&lt;&gt;Constants!$B$8,"",IF(AND($AL190,$AQ190,$AO190),Constants!$B$27,0))</f>
        <v/>
      </c>
      <c r="BF190" s="96" t="str">
        <f aca="false">IF($BR190&lt;&gt;Constants!$B$8,"",IF($AL190,($AI190-Constants!$B$29)*Constants!$B$28,0))</f>
        <v/>
      </c>
      <c r="BG190" s="96" t="str">
        <f aca="false">IF($BR190&lt;&gt;Constants!$B$8,"",IF($AK190,0,Constants!$B$15)+IF($AJ190,0,Constants!$B$16)+IF($AH190,0,Constants!$B$17))</f>
        <v/>
      </c>
      <c r="BH190" s="97" t="str">
        <f aca="false">IF($BR190&lt;&gt;Constants!$B$8,"",Constants!$B$20+SUM($BC190:$BG190))</f>
        <v/>
      </c>
      <c r="BI190" s="92" t="str">
        <f aca="false">IF($BR190&lt;&gt;Constants!$B$8,"",IF(OR($BP190&lt;$BH190,AND($BP190=$BH190,OR($BK190&lt;$BC190,AND($BK190=$BC190,OR($BL190&lt;$BD190,AND($BL190=$BD190,$AT190,$AL190,$AV190&lt;$AN190)))))),"-&gt;","&lt;-"))</f>
        <v/>
      </c>
      <c r="BJ190" s="91" t="str">
        <f aca="false">IF(ISBLANK($C190),"",AND($AT190,OR($AU190="",$AV190="",AND($AW190,$AX190=""))))</f>
        <v/>
      </c>
      <c r="BK190" s="93" t="str">
        <f aca="false">IF($BR190&lt;&gt;Constants!$B$8,"",IF($AT190,Constants!$B$21*$AV190+Constants!$B$22*IF($AW190,$AX190,Constants!$B$23),Constants!$B$24))</f>
        <v/>
      </c>
      <c r="BL190" s="96" t="str">
        <f aca="false">IF($BR190&lt;&gt;Constants!$B$8,"",Constants!$B$25*ABS($AD$9-IF($AT190,$AU190,0)))</f>
        <v/>
      </c>
      <c r="BM190" s="96" t="str">
        <f aca="false">IF($BR190&lt;&gt;Constants!$B$8,"",IF(AND($AT190,$AY190,$AW190),Constants!$B$27,0))</f>
        <v/>
      </c>
      <c r="BN190" s="96" t="str">
        <f aca="false">IF($BR190&lt;&gt;Constants!$B$8,"",IF($AT190,($AI190-Constants!$B$29)*Constants!$B$28,0))</f>
        <v/>
      </c>
      <c r="BO190" s="96" t="str">
        <f aca="false">IF($BR190&lt;&gt;Constants!$B$8,"",IF($AS190,0,Constants!$B$15)+IF($AR190,0,Constants!$B$16)+IF($AH190,0,Constants!$B$17))</f>
        <v/>
      </c>
      <c r="BP190" s="97" t="str">
        <f aca="false">IF($BR190&lt;&gt;Constants!$B$8,"",Constants!$B$20+SUM($BK190:$BO190))</f>
        <v/>
      </c>
      <c r="BQ190" s="92" t="str">
        <f aca="false">IF(ISBLANK($C190),"",IF(ISBLANK($D$7),$BQ$5,IF(NOT(ISNUMBER($D$7)),$BQ$6,"")))</f>
        <v/>
      </c>
      <c r="BR190" s="92" t="str">
        <f aca="false">IF(ISBLANK($C190),"",IF($BA190,Constants!$B$11,IF(COUNTA($E190:$AA190)=0,Constants!$B$10,IF(NOT($AG190),Constants!$B$9,IF(OR($BQ190&lt;&gt;"",$BB190,$BJ190),Constants!$B$12,Constants!$B$8)))))</f>
        <v/>
      </c>
      <c r="BS190" s="92" t="str">
        <f aca="false">IF(ISBLANK($C190),"",IF($BR190&lt;&gt;Constants!$B$8,$BR190,Constants!$B$13))</f>
        <v/>
      </c>
      <c r="BT190" s="96" t="str">
        <f aca="false">IF($BR190&lt;&gt;Constants!$B$8,"",IF($BI190="-&gt;",$BP190,$BH190))</f>
        <v/>
      </c>
      <c r="BU190" s="96" t="str">
        <f aca="false">IF($BR190&lt;&gt;Constants!$B$8,"",IF($AF190,0,Constants!$B$18))</f>
        <v/>
      </c>
      <c r="BV190" s="96" t="str">
        <f aca="false">IF($BR190&lt;&gt;Constants!$B$8,"",((Constants!$B$31-$AZ190)-Constants!$B$31)/Constants!$B$32)</f>
        <v/>
      </c>
      <c r="BW190" s="96" t="str">
        <f aca="false">IF(ISBLANK($C190),"",IF($BR190&lt;&gt;Constants!$B$8,$BR190,SUM($BT190:$BV190)))</f>
        <v/>
      </c>
      <c r="BX190" s="92" t="str">
        <f aca="false">IF(ISBLANK($C190),"",IF($BR190&lt;&gt;Constants!$B$8,$BR190,RANK($BW190,$BW$9:$BW$508,1)))</f>
        <v/>
      </c>
      <c r="BY190" s="96" t="str">
        <f aca="false">IF($BR190&lt;&gt;Constants!$B$8,"",IF($BI190="-&gt;",$BK190,$BC190))</f>
        <v/>
      </c>
      <c r="BZ190" s="92" t="str">
        <f aca="false">IF(ISBLANK($C190),"",IF($BR190&lt;&gt;Constants!$B$8,$BR190,IF(ISNUMBER($BY190),RANK($BY190,$BY$9:$BY$508,1),COUNT($BY$9:$BY$508)+1)))</f>
        <v/>
      </c>
      <c r="CA190" s="96" t="str">
        <f aca="false">IF($BR190&lt;&gt;Constants!$B$8,"",IF($BI190="-&gt;",$BL190,$BD190))</f>
        <v/>
      </c>
      <c r="CB190" s="92" t="str">
        <f aca="false">IF(ISBLANK($C190),"",IF($BR190&lt;&gt;Constants!$B$8,$BR190,IF(ISNUMBER($CA190),RANK($CA190,$CA$9:$CA$508,1),COUNT($CA$9:$CA$508)+1)))</f>
        <v/>
      </c>
      <c r="CC190" s="96" t="str">
        <f aca="false">IF($BR190&lt;&gt;Constants!$B$8,"",IF($BI190="-&gt;",IF($AT190,$AV190,""),IF($AL190,$AN190,"")))</f>
        <v/>
      </c>
      <c r="CD190" s="92" t="str">
        <f aca="false">IF(ISBLANK($C190),"",IF($BR190&lt;&gt;Constants!$B$8,$BR190,IF(ISNUMBER($CC190),RANK($CC190,$CC$9:$CC$508,1),COUNT($CC$9:$CC$508)+1)))</f>
        <v/>
      </c>
      <c r="CE190" s="96" t="str">
        <f aca="false">IF($BR190&lt;&gt;Constants!$B$8,"",IF(AND(NOT($AL190),NOT($AT190),$AJ190,$AK190,$AR190,$AS190),"",$AI190))</f>
        <v/>
      </c>
      <c r="CF190" s="92" t="str">
        <f aca="false">IF(ISBLANK($C190),"",IF($BR190&lt;&gt;Constants!$B$8,$BR190,IF(ISNUMBER($CE190),RANK($CE190,$CE$9:$CE$508,1),COUNT($CE$9:$CE$508)+1)))</f>
        <v/>
      </c>
      <c r="CG190" s="92" t="str">
        <f aca="false">IF(ISBLANK($C190),"",IF($BR190&lt;&gt;Constants!$B$8,$BR190,COUNTIFS($BX$9:$BX$508,"&lt;"&amp;$BX190)+COUNTIFS($BX$9:$BX$508,$BX190,$BZ$9:$BZ$508,"&lt;"&amp;$BZ190)+COUNTIFS($BX$9:$BX$508,$BX190,$BZ$9:$BZ$508,$BZ190,$CB$9:$CB$508,"&lt;"&amp;$CB190)+COUNTIFS($BX$9:$BX$508,$BX190,$BZ$9:$BZ$508,$BZ190,$CB$9:$CB$508,$CB190,$CD$9:$CD$508,"&lt;"&amp;$CD190)+COUNTIFS($BX$9:$BX$508,$BX190,$BZ$9:$BZ$508,$BZ190,$CB$9:$CB$508,$CB190,$CD$9:$CD$508,$CD190,$CF$9:$CF$508,"&lt;"&amp;$CF190)+1))</f>
        <v/>
      </c>
      <c r="CH190" s="92" t="str">
        <f aca="false">IF(ISBLANK($C190),"",IF($BR190&lt;&gt;Constants!$B$8,$BR190,$BX190-$CG190))</f>
        <v/>
      </c>
      <c r="CI190" s="98"/>
      <c r="CJ190" s="99"/>
      <c r="CK190" s="100" t="str">
        <f aca="false">IF(ISBLANK($C190),"",IF($BR190=Constants!$B$12,$BQ190,""))</f>
        <v/>
      </c>
      <c r="CL190" s="99" t="str">
        <f aca="false">IF(ISBLANK($C190),"",IF($BR190&lt;&gt;Constants!$B$8,"",IF($BI190="-&gt;",2,1)))</f>
        <v/>
      </c>
      <c r="CM190" s="101" t="str">
        <f aca="false">IF(ISBLANK($C190),"",IF($BR190&lt;&gt;Constants!$B$8,"",IF($BI190="-&gt;",$BK190,$BC190)))</f>
        <v/>
      </c>
      <c r="CN190" s="101" t="str">
        <f aca="false">IF(ISBLANK($C190),"",IF($BR190&lt;&gt;Constants!$B$8,"",IF($BI190="-&gt;",$BL190,$BD190)))</f>
        <v/>
      </c>
      <c r="CO190" s="101" t="str">
        <f aca="false">IF(ISBLANK($C190),"",IF($BR190&lt;&gt;Constants!$B$8,"",IF($BI190="-&gt;",$BM190+$BN190,$BE190+$BF190)+$BV190))</f>
        <v/>
      </c>
      <c r="CP190" s="101" t="str">
        <f aca="false">IF(ISBLANK($C190),"",IF($BR190&lt;&gt;Constants!$B$8,"",IF($BI190="-&gt;",$BO190,$BG190)+$BU190))</f>
        <v/>
      </c>
      <c r="CQ190" s="102" t="str">
        <f aca="false">IF(ISBLANK($C190),"",IF($BR190&lt;&gt;Constants!$B$8,$BR190,$BW190))</f>
        <v/>
      </c>
      <c r="CR190" s="103" t="str">
        <f aca="false">IF(ISBLANK($C190),"",$BS190)</f>
        <v/>
      </c>
      <c r="CS190" s="104" t="str">
        <f aca="false">IF(ISBLANK($C190),"",$CH190)</f>
        <v/>
      </c>
      <c r="CT190" s="104" t="str">
        <f aca="false">IF(ISBLANK($C190),"",$CG190)</f>
        <v/>
      </c>
      <c r="CU190" s="105" t="str">
        <f aca="false">IF(ISBLANK($C190),"",IFERROR(_xlfn.SWITCH($CT190,Constants!$B$11,COUNTA($C$9:$C$508)+2,Constants!$B$10,COUNTA($C$9:$C$508)+1,Constants!$B$9,COUNTA($C$9:$C$508)),$CT190))</f>
        <v/>
      </c>
      <c r="CV190" s="9"/>
      <c r="CW190" s="106" t="n">
        <f aca="false">IF(OR(ISNUMBER($CT190),$CT190=Constants!$B$11,$CT190=Constants!$B$9,$CT190=Constants!$B$10),1,0)</f>
        <v>0</v>
      </c>
      <c r="CX190" s="106" t="n">
        <v>182</v>
      </c>
      <c r="CY190" s="106" t="str">
        <f aca="false">IF(ISBLANK($C190),"",IF(ISNUMBER($CU190),$CU190+ROW($B190)/1000,""))</f>
        <v/>
      </c>
      <c r="CZ190" s="106" t="str">
        <f aca="false">IF(ISNUMBER($CY190),RANK($CY190,$CY$9:$CY$508,1),"")</f>
        <v/>
      </c>
      <c r="DA190" s="106" t="str">
        <f aca="false">IF(ISBLANK($C190),"",$B190)</f>
        <v/>
      </c>
      <c r="DB190" s="106" t="str">
        <f aca="false">IF(ISBLANK($C190),"",$C190)</f>
        <v/>
      </c>
      <c r="DC190" s="106" t="str">
        <f aca="false">IF(ISBLANK($C190),"",$D190)</f>
        <v/>
      </c>
      <c r="DD190" s="107" t="str">
        <f aca="false">$CR190</f>
        <v/>
      </c>
      <c r="DE190" s="108" t="str">
        <f aca="false">$CQ190</f>
        <v/>
      </c>
      <c r="DF190" s="106" t="str">
        <f aca="false">IF(ISBLANK($C190),"",$CT190)</f>
        <v/>
      </c>
      <c r="DG190" s="109" t="str">
        <f aca="false">IF($CX190&gt;$CW$8,"",VLOOKUP($CX190,$CZ$9:$DF$508,7,FALSE()))</f>
        <v/>
      </c>
      <c r="DH190" s="110" t="str">
        <f aca="false">IF($CX190&gt;$CW$8,"",VLOOKUP($CX190,$CZ$9:$DF$508,2,FALSE()))</f>
        <v/>
      </c>
      <c r="DI190" s="110" t="str">
        <f aca="false">IF($CX190&gt;$CW$8,"",VLOOKUP($CX190,$CZ$9:$DF$508,3,FALSE()))</f>
        <v/>
      </c>
      <c r="DJ190" s="110" t="str">
        <f aca="false">IF($CX190&gt;$CW$8,"",VLOOKUP($CX190,$CZ$9:$DF$508,4,FALSE()))</f>
        <v/>
      </c>
      <c r="DK190" s="110" t="str">
        <f aca="false">IF($CX190&gt;$CW$8,"",VLOOKUP($CX190,$CZ$9:$DF$508,5,FALSE()))</f>
        <v/>
      </c>
      <c r="DL190" s="111" t="str">
        <f aca="false">IF($CX190&gt;$CW$8,"",VLOOKUP($CX190,$CZ$9:$DF$508,6,FALSE()))</f>
        <v/>
      </c>
      <c r="DM190" s="75"/>
    </row>
    <row r="191" customFormat="false" ht="15.75" hidden="false" customHeight="false" outlineLevel="0" collapsed="false">
      <c r="A191" s="9"/>
      <c r="B191" s="77"/>
      <c r="C191" s="78"/>
      <c r="D191" s="167"/>
      <c r="E191" s="175"/>
      <c r="F191" s="169"/>
      <c r="G191" s="170"/>
      <c r="H191" s="170"/>
      <c r="I191" s="176"/>
      <c r="J191" s="173"/>
      <c r="K191" s="85"/>
      <c r="L191" s="86"/>
      <c r="M191" s="87"/>
      <c r="N191" s="173"/>
      <c r="O191" s="173"/>
      <c r="P191" s="175"/>
      <c r="Q191" s="173"/>
      <c r="R191" s="173"/>
      <c r="S191" s="85"/>
      <c r="T191" s="87"/>
      <c r="U191" s="87"/>
      <c r="V191" s="173"/>
      <c r="W191" s="173"/>
      <c r="X191" s="175"/>
      <c r="Y191" s="173"/>
      <c r="Z191" s="174"/>
      <c r="AA191" s="173"/>
      <c r="AB191" s="91"/>
      <c r="AC191" s="92"/>
      <c r="AD191" s="92"/>
      <c r="AE191" s="92"/>
      <c r="AF191" s="92" t="str">
        <f aca="false">IF(ISBLANK($C191),"",IF(E191=Constants!$B$3,TRUE(),IF(E191=Constants!$B$4,FALSE(),TRUE())))</f>
        <v/>
      </c>
      <c r="AG191" s="92" t="str">
        <f aca="false">IF(ISBLANK($C191),"",IF(F191=Constants!$B$3,TRUE(),IF(F191=Constants!$B$4,FALSE(),TRUE())))</f>
        <v/>
      </c>
      <c r="AH191" s="92" t="str">
        <f aca="false">IF(ISBLANK($C191),"",IF(G191=Constants!$B$3,TRUE(),IF(G191=Constants!$B$4,FALSE(),TRUE())))</f>
        <v/>
      </c>
      <c r="AI191" s="92" t="str">
        <f aca="false">IF(ISBLANK($C191),"",IF(AND(ISNUMBER(H191),H191&gt;=0),H191,Constants!$B$29))</f>
        <v/>
      </c>
      <c r="AJ191" s="92" t="str">
        <f aca="false">IF(ISBLANK($C191),"",IF(I191=Constants!$B$3,TRUE(),IF(I191=Constants!$B$4,FALSE(),TRUE())))</f>
        <v/>
      </c>
      <c r="AK191" s="92" t="str">
        <f aca="false">IF(ISBLANK($C191),"",IF(J191=Constants!$B$3,TRUE(),IF(J191=Constants!$B$4,FALSE(),TRUE())))</f>
        <v/>
      </c>
      <c r="AL191" s="92" t="str">
        <f aca="false">IF(ISBLANK($C191),"",IF(K191=Constants!$B$5,TRUE(),IF(K191=Constants!$B$6,FALSE(),COUNTA(L191:P191)&gt;0)))</f>
        <v/>
      </c>
      <c r="AM191" s="94" t="str">
        <f aca="false">IF(ISBLANK($C191),"",IF(ISNUMBER(L191),IF(L191&gt;=0,L191,""),""))</f>
        <v/>
      </c>
      <c r="AN191" s="93" t="str">
        <f aca="false">IF(ISBLANK($C191),"",IF(ISNUMBER(M191),IF(M191&gt;=0,M191,""),""))</f>
        <v/>
      </c>
      <c r="AO191" s="93" t="str">
        <f aca="false">IF(ISBLANK($C191),"",IF(N191=Constants!$B$3,TRUE(),IF(N191=Constants!$B$4,FALSE(),TRUE())))</f>
        <v/>
      </c>
      <c r="AP191" s="92" t="str">
        <f aca="false">IF(ISBLANK($C191),"",IF(ISNUMBER(O191),IF(O191&gt;=0,O191,""),""))</f>
        <v/>
      </c>
      <c r="AQ191" s="92" t="str">
        <f aca="false">IF(ISBLANK($C191),"",IF(P191=Constants!$B$3,TRUE(),IF(P191=Constants!$B$4,FALSE(),FALSE())))</f>
        <v/>
      </c>
      <c r="AR191" s="92" t="str">
        <f aca="false">IF(ISBLANK($C191),"",IF(Q191=Constants!$B$3,TRUE(),IF(Q191=Constants!$B$4,FALSE(),TRUE())))</f>
        <v/>
      </c>
      <c r="AS191" s="92" t="str">
        <f aca="false">IF(ISBLANK($C191),"",IF(R191=Constants!$B$3,TRUE(),IF(R191=Constants!$B$4,FALSE(),TRUE())))</f>
        <v/>
      </c>
      <c r="AT191" s="92" t="str">
        <f aca="false">IF(ISBLANK($C191),"",IF(S191=Constants!$B$5,TRUE(),IF(S191=Constants!$B$6,FALSE(),COUNTA(T191:X191)&gt;0)))</f>
        <v/>
      </c>
      <c r="AU191" s="94" t="str">
        <f aca="false">IF(ISBLANK($C191),"",IF(ISNUMBER(T191),IF(T191&gt;=0,T191,""),""))</f>
        <v/>
      </c>
      <c r="AV191" s="93" t="str">
        <f aca="false">IF(ISBLANK($C191),"",IF(ISNUMBER(U191),IF(U191&gt;=0,U191,""),""))</f>
        <v/>
      </c>
      <c r="AW191" s="93" t="str">
        <f aca="false">IF(ISBLANK($C191),"",IF(V191=Constants!$B$3,TRUE(),IF(V191=Constants!$B$4,FALSE(),TRUE())))</f>
        <v/>
      </c>
      <c r="AX191" s="92" t="str">
        <f aca="false">IF(ISBLANK($C191),"",IF(ISNUMBER(W191),IF(W191&gt;=0,W191,""),""))</f>
        <v/>
      </c>
      <c r="AY191" s="92" t="str">
        <f aca="false">IF(ISBLANK($C191),"",IF(X191=Constants!$B$3,TRUE(),IF(X191=Constants!$B$4,FALSE(),FALSE())))</f>
        <v/>
      </c>
      <c r="AZ191" s="92" t="str">
        <f aca="false">IF(ISBLANK($C191),"",MIN(Constants!$B$31,MAX(0,IF(ISNUMBER(Y191),Y191*60,0)+IF(ISNUMBER(Z191),Z191,0))))</f>
        <v/>
      </c>
      <c r="BA191" s="92" t="str">
        <f aca="false">IF(ISBLANK($C191),"",IF(AA191=Constants!$B$3,TRUE(),IF(AA191=Constants!$B$4,FALSE(),FALSE())))</f>
        <v/>
      </c>
      <c r="BB191" s="91" t="str">
        <f aca="false">IF(ISBLANK($C191),"",AND($AL191,OR($AM191="",$AN191="",AND($AO191,$AP191=""))))</f>
        <v/>
      </c>
      <c r="BC191" s="93" t="str">
        <f aca="false">IF($BR191&lt;&gt;Constants!$B$8,"",IF($AL191,Constants!$B$21*$AN191+Constants!$B$22*IF($AO191,$AP191,Constants!$B$23),Constants!$B$24))</f>
        <v/>
      </c>
      <c r="BD191" s="96" t="str">
        <f aca="false">IF($BR191&lt;&gt;Constants!$B$8,"",Constants!$B$25*ABS($AD$9-IF($AL191,$AM191,0)))</f>
        <v/>
      </c>
      <c r="BE191" s="96" t="str">
        <f aca="false">IF($BR191&lt;&gt;Constants!$B$8,"",IF(AND($AL191,$AQ191,$AO191),Constants!$B$27,0))</f>
        <v/>
      </c>
      <c r="BF191" s="96" t="str">
        <f aca="false">IF($BR191&lt;&gt;Constants!$B$8,"",IF($AL191,($AI191-Constants!$B$29)*Constants!$B$28,0))</f>
        <v/>
      </c>
      <c r="BG191" s="96" t="str">
        <f aca="false">IF($BR191&lt;&gt;Constants!$B$8,"",IF($AK191,0,Constants!$B$15)+IF($AJ191,0,Constants!$B$16)+IF($AH191,0,Constants!$B$17))</f>
        <v/>
      </c>
      <c r="BH191" s="97" t="str">
        <f aca="false">IF($BR191&lt;&gt;Constants!$B$8,"",Constants!$B$20+SUM($BC191:$BG191))</f>
        <v/>
      </c>
      <c r="BI191" s="92" t="str">
        <f aca="false">IF($BR191&lt;&gt;Constants!$B$8,"",IF(OR($BP191&lt;$BH191,AND($BP191=$BH191,OR($BK191&lt;$BC191,AND($BK191=$BC191,OR($BL191&lt;$BD191,AND($BL191=$BD191,$AT191,$AL191,$AV191&lt;$AN191)))))),"-&gt;","&lt;-"))</f>
        <v/>
      </c>
      <c r="BJ191" s="91" t="str">
        <f aca="false">IF(ISBLANK($C191),"",AND($AT191,OR($AU191="",$AV191="",AND($AW191,$AX191=""))))</f>
        <v/>
      </c>
      <c r="BK191" s="93" t="str">
        <f aca="false">IF($BR191&lt;&gt;Constants!$B$8,"",IF($AT191,Constants!$B$21*$AV191+Constants!$B$22*IF($AW191,$AX191,Constants!$B$23),Constants!$B$24))</f>
        <v/>
      </c>
      <c r="BL191" s="96" t="str">
        <f aca="false">IF($BR191&lt;&gt;Constants!$B$8,"",Constants!$B$25*ABS($AD$9-IF($AT191,$AU191,0)))</f>
        <v/>
      </c>
      <c r="BM191" s="96" t="str">
        <f aca="false">IF($BR191&lt;&gt;Constants!$B$8,"",IF(AND($AT191,$AY191,$AW191),Constants!$B$27,0))</f>
        <v/>
      </c>
      <c r="BN191" s="96" t="str">
        <f aca="false">IF($BR191&lt;&gt;Constants!$B$8,"",IF($AT191,($AI191-Constants!$B$29)*Constants!$B$28,0))</f>
        <v/>
      </c>
      <c r="BO191" s="96" t="str">
        <f aca="false">IF($BR191&lt;&gt;Constants!$B$8,"",IF($AS191,0,Constants!$B$15)+IF($AR191,0,Constants!$B$16)+IF($AH191,0,Constants!$B$17))</f>
        <v/>
      </c>
      <c r="BP191" s="97" t="str">
        <f aca="false">IF($BR191&lt;&gt;Constants!$B$8,"",Constants!$B$20+SUM($BK191:$BO191))</f>
        <v/>
      </c>
      <c r="BQ191" s="92" t="str">
        <f aca="false">IF(ISBLANK($C191),"",IF(ISBLANK($D$7),$BQ$5,IF(NOT(ISNUMBER($D$7)),$BQ$6,"")))</f>
        <v/>
      </c>
      <c r="BR191" s="92" t="str">
        <f aca="false">IF(ISBLANK($C191),"",IF($BA191,Constants!$B$11,IF(COUNTA($E191:$AA191)=0,Constants!$B$10,IF(NOT($AG191),Constants!$B$9,IF(OR($BQ191&lt;&gt;"",$BB191,$BJ191),Constants!$B$12,Constants!$B$8)))))</f>
        <v/>
      </c>
      <c r="BS191" s="92" t="str">
        <f aca="false">IF(ISBLANK($C191),"",IF($BR191&lt;&gt;Constants!$B$8,$BR191,Constants!$B$13))</f>
        <v/>
      </c>
      <c r="BT191" s="96" t="str">
        <f aca="false">IF($BR191&lt;&gt;Constants!$B$8,"",IF($BI191="-&gt;",$BP191,$BH191))</f>
        <v/>
      </c>
      <c r="BU191" s="96" t="str">
        <f aca="false">IF($BR191&lt;&gt;Constants!$B$8,"",IF($AF191,0,Constants!$B$18))</f>
        <v/>
      </c>
      <c r="BV191" s="96" t="str">
        <f aca="false">IF($BR191&lt;&gt;Constants!$B$8,"",((Constants!$B$31-$AZ191)-Constants!$B$31)/Constants!$B$32)</f>
        <v/>
      </c>
      <c r="BW191" s="96" t="str">
        <f aca="false">IF(ISBLANK($C191),"",IF($BR191&lt;&gt;Constants!$B$8,$BR191,SUM($BT191:$BV191)))</f>
        <v/>
      </c>
      <c r="BX191" s="92" t="str">
        <f aca="false">IF(ISBLANK($C191),"",IF($BR191&lt;&gt;Constants!$B$8,$BR191,RANK($BW191,$BW$9:$BW$508,1)))</f>
        <v/>
      </c>
      <c r="BY191" s="96" t="str">
        <f aca="false">IF($BR191&lt;&gt;Constants!$B$8,"",IF($BI191="-&gt;",$BK191,$BC191))</f>
        <v/>
      </c>
      <c r="BZ191" s="92" t="str">
        <f aca="false">IF(ISBLANK($C191),"",IF($BR191&lt;&gt;Constants!$B$8,$BR191,IF(ISNUMBER($BY191),RANK($BY191,$BY$9:$BY$508,1),COUNT($BY$9:$BY$508)+1)))</f>
        <v/>
      </c>
      <c r="CA191" s="96" t="str">
        <f aca="false">IF($BR191&lt;&gt;Constants!$B$8,"",IF($BI191="-&gt;",$BL191,$BD191))</f>
        <v/>
      </c>
      <c r="CB191" s="92" t="str">
        <f aca="false">IF(ISBLANK($C191),"",IF($BR191&lt;&gt;Constants!$B$8,$BR191,IF(ISNUMBER($CA191),RANK($CA191,$CA$9:$CA$508,1),COUNT($CA$9:$CA$508)+1)))</f>
        <v/>
      </c>
      <c r="CC191" s="96" t="str">
        <f aca="false">IF($BR191&lt;&gt;Constants!$B$8,"",IF($BI191="-&gt;",IF($AT191,$AV191,""),IF($AL191,$AN191,"")))</f>
        <v/>
      </c>
      <c r="CD191" s="92" t="str">
        <f aca="false">IF(ISBLANK($C191),"",IF($BR191&lt;&gt;Constants!$B$8,$BR191,IF(ISNUMBER($CC191),RANK($CC191,$CC$9:$CC$508,1),COUNT($CC$9:$CC$508)+1)))</f>
        <v/>
      </c>
      <c r="CE191" s="96" t="str">
        <f aca="false">IF($BR191&lt;&gt;Constants!$B$8,"",IF(AND(NOT($AL191),NOT($AT191),$AJ191,$AK191,$AR191,$AS191),"",$AI191))</f>
        <v/>
      </c>
      <c r="CF191" s="92" t="str">
        <f aca="false">IF(ISBLANK($C191),"",IF($BR191&lt;&gt;Constants!$B$8,$BR191,IF(ISNUMBER($CE191),RANK($CE191,$CE$9:$CE$508,1),COUNT($CE$9:$CE$508)+1)))</f>
        <v/>
      </c>
      <c r="CG191" s="92" t="str">
        <f aca="false">IF(ISBLANK($C191),"",IF($BR191&lt;&gt;Constants!$B$8,$BR191,COUNTIFS($BX$9:$BX$508,"&lt;"&amp;$BX191)+COUNTIFS($BX$9:$BX$508,$BX191,$BZ$9:$BZ$508,"&lt;"&amp;$BZ191)+COUNTIFS($BX$9:$BX$508,$BX191,$BZ$9:$BZ$508,$BZ191,$CB$9:$CB$508,"&lt;"&amp;$CB191)+COUNTIFS($BX$9:$BX$508,$BX191,$BZ$9:$BZ$508,$BZ191,$CB$9:$CB$508,$CB191,$CD$9:$CD$508,"&lt;"&amp;$CD191)+COUNTIFS($BX$9:$BX$508,$BX191,$BZ$9:$BZ$508,$BZ191,$CB$9:$CB$508,$CB191,$CD$9:$CD$508,$CD191,$CF$9:$CF$508,"&lt;"&amp;$CF191)+1))</f>
        <v/>
      </c>
      <c r="CH191" s="92" t="str">
        <f aca="false">IF(ISBLANK($C191),"",IF($BR191&lt;&gt;Constants!$B$8,$BR191,$BX191-$CG191))</f>
        <v/>
      </c>
      <c r="CI191" s="98"/>
      <c r="CJ191" s="99"/>
      <c r="CK191" s="100" t="str">
        <f aca="false">IF(ISBLANK($C191),"",IF($BR191=Constants!$B$12,$BQ191,""))</f>
        <v/>
      </c>
      <c r="CL191" s="99" t="str">
        <f aca="false">IF(ISBLANK($C191),"",IF($BR191&lt;&gt;Constants!$B$8,"",IF($BI191="-&gt;",2,1)))</f>
        <v/>
      </c>
      <c r="CM191" s="101" t="str">
        <f aca="false">IF(ISBLANK($C191),"",IF($BR191&lt;&gt;Constants!$B$8,"",IF($BI191="-&gt;",$BK191,$BC191)))</f>
        <v/>
      </c>
      <c r="CN191" s="101" t="str">
        <f aca="false">IF(ISBLANK($C191),"",IF($BR191&lt;&gt;Constants!$B$8,"",IF($BI191="-&gt;",$BL191,$BD191)))</f>
        <v/>
      </c>
      <c r="CO191" s="101" t="str">
        <f aca="false">IF(ISBLANK($C191),"",IF($BR191&lt;&gt;Constants!$B$8,"",IF($BI191="-&gt;",$BM191+$BN191,$BE191+$BF191)+$BV191))</f>
        <v/>
      </c>
      <c r="CP191" s="101" t="str">
        <f aca="false">IF(ISBLANK($C191),"",IF($BR191&lt;&gt;Constants!$B$8,"",IF($BI191="-&gt;",$BO191,$BG191)+$BU191))</f>
        <v/>
      </c>
      <c r="CQ191" s="102" t="str">
        <f aca="false">IF(ISBLANK($C191),"",IF($BR191&lt;&gt;Constants!$B$8,$BR191,$BW191))</f>
        <v/>
      </c>
      <c r="CR191" s="103" t="str">
        <f aca="false">IF(ISBLANK($C191),"",$BS191)</f>
        <v/>
      </c>
      <c r="CS191" s="104" t="str">
        <f aca="false">IF(ISBLANK($C191),"",$CH191)</f>
        <v/>
      </c>
      <c r="CT191" s="104" t="str">
        <f aca="false">IF(ISBLANK($C191),"",$CG191)</f>
        <v/>
      </c>
      <c r="CU191" s="105" t="str">
        <f aca="false">IF(ISBLANK($C191),"",IFERROR(_xlfn.SWITCH($CT191,Constants!$B$11,COUNTA($C$9:$C$508)+2,Constants!$B$10,COUNTA($C$9:$C$508)+1,Constants!$B$9,COUNTA($C$9:$C$508)),$CT191))</f>
        <v/>
      </c>
      <c r="CV191" s="9"/>
      <c r="CW191" s="106" t="n">
        <f aca="false">IF(OR(ISNUMBER($CT191),$CT191=Constants!$B$11,$CT191=Constants!$B$9,$CT191=Constants!$B$10),1,0)</f>
        <v>0</v>
      </c>
      <c r="CX191" s="106" t="n">
        <v>183</v>
      </c>
      <c r="CY191" s="106" t="str">
        <f aca="false">IF(ISBLANK($C191),"",IF(ISNUMBER($CU191),$CU191+ROW($B191)/1000,""))</f>
        <v/>
      </c>
      <c r="CZ191" s="106" t="str">
        <f aca="false">IF(ISNUMBER($CY191),RANK($CY191,$CY$9:$CY$508,1),"")</f>
        <v/>
      </c>
      <c r="DA191" s="106" t="str">
        <f aca="false">IF(ISBLANK($C191),"",$B191)</f>
        <v/>
      </c>
      <c r="DB191" s="106" t="str">
        <f aca="false">IF(ISBLANK($C191),"",$C191)</f>
        <v/>
      </c>
      <c r="DC191" s="106" t="str">
        <f aca="false">IF(ISBLANK($C191),"",$D191)</f>
        <v/>
      </c>
      <c r="DD191" s="107" t="str">
        <f aca="false">$CR191</f>
        <v/>
      </c>
      <c r="DE191" s="108" t="str">
        <f aca="false">$CQ191</f>
        <v/>
      </c>
      <c r="DF191" s="106" t="str">
        <f aca="false">IF(ISBLANK($C191),"",$CT191)</f>
        <v/>
      </c>
      <c r="DG191" s="109" t="str">
        <f aca="false">IF($CX191&gt;$CW$8,"",VLOOKUP($CX191,$CZ$9:$DF$508,7,FALSE()))</f>
        <v/>
      </c>
      <c r="DH191" s="110" t="str">
        <f aca="false">IF($CX191&gt;$CW$8,"",VLOOKUP($CX191,$CZ$9:$DF$508,2,FALSE()))</f>
        <v/>
      </c>
      <c r="DI191" s="110" t="str">
        <f aca="false">IF($CX191&gt;$CW$8,"",VLOOKUP($CX191,$CZ$9:$DF$508,3,FALSE()))</f>
        <v/>
      </c>
      <c r="DJ191" s="110" t="str">
        <f aca="false">IF($CX191&gt;$CW$8,"",VLOOKUP($CX191,$CZ$9:$DF$508,4,FALSE()))</f>
        <v/>
      </c>
      <c r="DK191" s="110" t="str">
        <f aca="false">IF($CX191&gt;$CW$8,"",VLOOKUP($CX191,$CZ$9:$DF$508,5,FALSE()))</f>
        <v/>
      </c>
      <c r="DL191" s="111" t="str">
        <f aca="false">IF($CX191&gt;$CW$8,"",VLOOKUP($CX191,$CZ$9:$DF$508,6,FALSE()))</f>
        <v/>
      </c>
      <c r="DM191" s="75"/>
    </row>
    <row r="192" customFormat="false" ht="15.75" hidden="false" customHeight="false" outlineLevel="0" collapsed="false">
      <c r="A192" s="9"/>
      <c r="B192" s="157"/>
      <c r="C192" s="158"/>
      <c r="D192" s="159"/>
      <c r="E192" s="177"/>
      <c r="F192" s="161"/>
      <c r="G192" s="162"/>
      <c r="H192" s="162"/>
      <c r="I192" s="178"/>
      <c r="J192" s="165"/>
      <c r="K192" s="126"/>
      <c r="L192" s="127"/>
      <c r="M192" s="128"/>
      <c r="N192" s="165"/>
      <c r="O192" s="165"/>
      <c r="P192" s="177"/>
      <c r="Q192" s="165"/>
      <c r="R192" s="165"/>
      <c r="S192" s="126"/>
      <c r="T192" s="128"/>
      <c r="U192" s="128"/>
      <c r="V192" s="165"/>
      <c r="W192" s="165"/>
      <c r="X192" s="177"/>
      <c r="Y192" s="165"/>
      <c r="Z192" s="166"/>
      <c r="AA192" s="165"/>
      <c r="AB192" s="132"/>
      <c r="AC192" s="133"/>
      <c r="AD192" s="133"/>
      <c r="AE192" s="133"/>
      <c r="AF192" s="133" t="str">
        <f aca="false">IF(ISBLANK($C192),"",IF(E192=Constants!$B$3,TRUE(),IF(E192=Constants!$B$4,FALSE(),TRUE())))</f>
        <v/>
      </c>
      <c r="AG192" s="133" t="str">
        <f aca="false">IF(ISBLANK($C192),"",IF(F192=Constants!$B$3,TRUE(),IF(F192=Constants!$B$4,FALSE(),TRUE())))</f>
        <v/>
      </c>
      <c r="AH192" s="133" t="str">
        <f aca="false">IF(ISBLANK($C192),"",IF(G192=Constants!$B$3,TRUE(),IF(G192=Constants!$B$4,FALSE(),TRUE())))</f>
        <v/>
      </c>
      <c r="AI192" s="133" t="str">
        <f aca="false">IF(ISBLANK($C192),"",IF(AND(ISNUMBER(H192),H192&gt;=0),H192,Constants!$B$29))</f>
        <v/>
      </c>
      <c r="AJ192" s="133" t="str">
        <f aca="false">IF(ISBLANK($C192),"",IF(I192=Constants!$B$3,TRUE(),IF(I192=Constants!$B$4,FALSE(),TRUE())))</f>
        <v/>
      </c>
      <c r="AK192" s="133" t="str">
        <f aca="false">IF(ISBLANK($C192),"",IF(J192=Constants!$B$3,TRUE(),IF(J192=Constants!$B$4,FALSE(),TRUE())))</f>
        <v/>
      </c>
      <c r="AL192" s="133" t="str">
        <f aca="false">IF(ISBLANK($C192),"",IF(K192=Constants!$B$5,TRUE(),IF(K192=Constants!$B$6,FALSE(),COUNTA(L192:P192)&gt;0)))</f>
        <v/>
      </c>
      <c r="AM192" s="134" t="str">
        <f aca="false">IF(ISBLANK($C192),"",IF(ISNUMBER(L192),IF(L192&gt;=0,L192,""),""))</f>
        <v/>
      </c>
      <c r="AN192" s="135" t="str">
        <f aca="false">IF(ISBLANK($C192),"",IF(ISNUMBER(M192),IF(M192&gt;=0,M192,""),""))</f>
        <v/>
      </c>
      <c r="AO192" s="135" t="str">
        <f aca="false">IF(ISBLANK($C192),"",IF(N192=Constants!$B$3,TRUE(),IF(N192=Constants!$B$4,FALSE(),TRUE())))</f>
        <v/>
      </c>
      <c r="AP192" s="133" t="str">
        <f aca="false">IF(ISBLANK($C192),"",IF(ISNUMBER(O192),IF(O192&gt;=0,O192,""),""))</f>
        <v/>
      </c>
      <c r="AQ192" s="133" t="str">
        <f aca="false">IF(ISBLANK($C192),"",IF(P192=Constants!$B$3,TRUE(),IF(P192=Constants!$B$4,FALSE(),FALSE())))</f>
        <v/>
      </c>
      <c r="AR192" s="133" t="str">
        <f aca="false">IF(ISBLANK($C192),"",IF(Q192=Constants!$B$3,TRUE(),IF(Q192=Constants!$B$4,FALSE(),TRUE())))</f>
        <v/>
      </c>
      <c r="AS192" s="133" t="str">
        <f aca="false">IF(ISBLANK($C192),"",IF(R192=Constants!$B$3,TRUE(),IF(R192=Constants!$B$4,FALSE(),TRUE())))</f>
        <v/>
      </c>
      <c r="AT192" s="133" t="str">
        <f aca="false">IF(ISBLANK($C192),"",IF(S192=Constants!$B$5,TRUE(),IF(S192=Constants!$B$6,FALSE(),COUNTA(T192:X192)&gt;0)))</f>
        <v/>
      </c>
      <c r="AU192" s="134" t="str">
        <f aca="false">IF(ISBLANK($C192),"",IF(ISNUMBER(T192),IF(T192&gt;=0,T192,""),""))</f>
        <v/>
      </c>
      <c r="AV192" s="135" t="str">
        <f aca="false">IF(ISBLANK($C192),"",IF(ISNUMBER(U192),IF(U192&gt;=0,U192,""),""))</f>
        <v/>
      </c>
      <c r="AW192" s="135" t="str">
        <f aca="false">IF(ISBLANK($C192),"",IF(V192=Constants!$B$3,TRUE(),IF(V192=Constants!$B$4,FALSE(),TRUE())))</f>
        <v/>
      </c>
      <c r="AX192" s="133" t="str">
        <f aca="false">IF(ISBLANK($C192),"",IF(ISNUMBER(W192),IF(W192&gt;=0,W192,""),""))</f>
        <v/>
      </c>
      <c r="AY192" s="133" t="str">
        <f aca="false">IF(ISBLANK($C192),"",IF(X192=Constants!$B$3,TRUE(),IF(X192=Constants!$B$4,FALSE(),FALSE())))</f>
        <v/>
      </c>
      <c r="AZ192" s="133" t="str">
        <f aca="false">IF(ISBLANK($C192),"",MIN(Constants!$B$31,MAX(0,IF(ISNUMBER(Y192),Y192*60,0)+IF(ISNUMBER(Z192),Z192,0))))</f>
        <v/>
      </c>
      <c r="BA192" s="133" t="str">
        <f aca="false">IF(ISBLANK($C192),"",IF(AA192=Constants!$B$3,TRUE(),IF(AA192=Constants!$B$4,FALSE(),FALSE())))</f>
        <v/>
      </c>
      <c r="BB192" s="132" t="str">
        <f aca="false">IF(ISBLANK($C192),"",AND($AL192,OR($AM192="",$AN192="",AND($AO192,$AP192=""))))</f>
        <v/>
      </c>
      <c r="BC192" s="135" t="str">
        <f aca="false">IF($BR192&lt;&gt;Constants!$B$8,"",IF($AL192,Constants!$B$21*$AN192+Constants!$B$22*IF($AO192,$AP192,Constants!$B$23),Constants!$B$24))</f>
        <v/>
      </c>
      <c r="BD192" s="136" t="str">
        <f aca="false">IF($BR192&lt;&gt;Constants!$B$8,"",Constants!$B$25*ABS($AD$9-IF($AL192,$AM192,0)))</f>
        <v/>
      </c>
      <c r="BE192" s="136" t="str">
        <f aca="false">IF($BR192&lt;&gt;Constants!$B$8,"",IF(AND($AL192,$AQ192,$AO192),Constants!$B$27,0))</f>
        <v/>
      </c>
      <c r="BF192" s="136" t="str">
        <f aca="false">IF($BR192&lt;&gt;Constants!$B$8,"",IF($AL192,($AI192-Constants!$B$29)*Constants!$B$28,0))</f>
        <v/>
      </c>
      <c r="BG192" s="136" t="str">
        <f aca="false">IF($BR192&lt;&gt;Constants!$B$8,"",IF($AK192,0,Constants!$B$15)+IF($AJ192,0,Constants!$B$16)+IF($AH192,0,Constants!$B$17))</f>
        <v/>
      </c>
      <c r="BH192" s="137" t="str">
        <f aca="false">IF($BR192&lt;&gt;Constants!$B$8,"",Constants!$B$20+SUM($BC192:$BG192))</f>
        <v/>
      </c>
      <c r="BI192" s="133" t="str">
        <f aca="false">IF($BR192&lt;&gt;Constants!$B$8,"",IF(OR($BP192&lt;$BH192,AND($BP192=$BH192,OR($BK192&lt;$BC192,AND($BK192=$BC192,OR($BL192&lt;$BD192,AND($BL192=$BD192,$AT192,$AL192,$AV192&lt;$AN192)))))),"-&gt;","&lt;-"))</f>
        <v/>
      </c>
      <c r="BJ192" s="132" t="str">
        <f aca="false">IF(ISBLANK($C192),"",AND($AT192,OR($AU192="",$AV192="",AND($AW192,$AX192=""))))</f>
        <v/>
      </c>
      <c r="BK192" s="135" t="str">
        <f aca="false">IF($BR192&lt;&gt;Constants!$B$8,"",IF($AT192,Constants!$B$21*$AV192+Constants!$B$22*IF($AW192,$AX192,Constants!$B$23),Constants!$B$24))</f>
        <v/>
      </c>
      <c r="BL192" s="136" t="str">
        <f aca="false">IF($BR192&lt;&gt;Constants!$B$8,"",Constants!$B$25*ABS($AD$9-IF($AT192,$AU192,0)))</f>
        <v/>
      </c>
      <c r="BM192" s="136" t="str">
        <f aca="false">IF($BR192&lt;&gt;Constants!$B$8,"",IF(AND($AT192,$AY192,$AW192),Constants!$B$27,0))</f>
        <v/>
      </c>
      <c r="BN192" s="136" t="str">
        <f aca="false">IF($BR192&lt;&gt;Constants!$B$8,"",IF($AT192,($AI192-Constants!$B$29)*Constants!$B$28,0))</f>
        <v/>
      </c>
      <c r="BO192" s="136" t="str">
        <f aca="false">IF($BR192&lt;&gt;Constants!$B$8,"",IF($AS192,0,Constants!$B$15)+IF($AR192,0,Constants!$B$16)+IF($AH192,0,Constants!$B$17))</f>
        <v/>
      </c>
      <c r="BP192" s="137" t="str">
        <f aca="false">IF($BR192&lt;&gt;Constants!$B$8,"",Constants!$B$20+SUM($BK192:$BO192))</f>
        <v/>
      </c>
      <c r="BQ192" s="133" t="str">
        <f aca="false">IF(ISBLANK($C192),"",IF(ISBLANK($D$7),$BQ$5,IF(NOT(ISNUMBER($D$7)),$BQ$6,"")))</f>
        <v/>
      </c>
      <c r="BR192" s="133" t="str">
        <f aca="false">IF(ISBLANK($C192),"",IF($BA192,Constants!$B$11,IF(COUNTA($E192:$AA192)=0,Constants!$B$10,IF(NOT($AG192),Constants!$B$9,IF(OR($BQ192&lt;&gt;"",$BB192,$BJ192),Constants!$B$12,Constants!$B$8)))))</f>
        <v/>
      </c>
      <c r="BS192" s="133" t="str">
        <f aca="false">IF(ISBLANK($C192),"",IF($BR192&lt;&gt;Constants!$B$8,$BR192,Constants!$B$13))</f>
        <v/>
      </c>
      <c r="BT192" s="136" t="str">
        <f aca="false">IF($BR192&lt;&gt;Constants!$B$8,"",IF($BI192="-&gt;",$BP192,$BH192))</f>
        <v/>
      </c>
      <c r="BU192" s="136" t="str">
        <f aca="false">IF($BR192&lt;&gt;Constants!$B$8,"",IF($AF192,0,Constants!$B$18))</f>
        <v/>
      </c>
      <c r="BV192" s="136" t="str">
        <f aca="false">IF($BR192&lt;&gt;Constants!$B$8,"",((Constants!$B$31-$AZ192)-Constants!$B$31)/Constants!$B$32)</f>
        <v/>
      </c>
      <c r="BW192" s="136" t="str">
        <f aca="false">IF(ISBLANK($C192),"",IF($BR192&lt;&gt;Constants!$B$8,$BR192,SUM($BT192:$BV192)))</f>
        <v/>
      </c>
      <c r="BX192" s="133" t="str">
        <f aca="false">IF(ISBLANK($C192),"",IF($BR192&lt;&gt;Constants!$B$8,$BR192,RANK($BW192,$BW$9:$BW$508,1)))</f>
        <v/>
      </c>
      <c r="BY192" s="136" t="str">
        <f aca="false">IF($BR192&lt;&gt;Constants!$B$8,"",IF($BI192="-&gt;",$BK192,$BC192))</f>
        <v/>
      </c>
      <c r="BZ192" s="133" t="str">
        <f aca="false">IF(ISBLANK($C192),"",IF($BR192&lt;&gt;Constants!$B$8,$BR192,IF(ISNUMBER($BY192),RANK($BY192,$BY$9:$BY$508,1),COUNT($BY$9:$BY$508)+1)))</f>
        <v/>
      </c>
      <c r="CA192" s="136" t="str">
        <f aca="false">IF($BR192&lt;&gt;Constants!$B$8,"",IF($BI192="-&gt;",$BL192,$BD192))</f>
        <v/>
      </c>
      <c r="CB192" s="133" t="str">
        <f aca="false">IF(ISBLANK($C192),"",IF($BR192&lt;&gt;Constants!$B$8,$BR192,IF(ISNUMBER($CA192),RANK($CA192,$CA$9:$CA$508,1),COUNT($CA$9:$CA$508)+1)))</f>
        <v/>
      </c>
      <c r="CC192" s="136" t="str">
        <f aca="false">IF($BR192&lt;&gt;Constants!$B$8,"",IF($BI192="-&gt;",IF($AT192,$AV192,""),IF($AL192,$AN192,"")))</f>
        <v/>
      </c>
      <c r="CD192" s="133" t="str">
        <f aca="false">IF(ISBLANK($C192),"",IF($BR192&lt;&gt;Constants!$B$8,$BR192,IF(ISNUMBER($CC192),RANK($CC192,$CC$9:$CC$508,1),COUNT($CC$9:$CC$508)+1)))</f>
        <v/>
      </c>
      <c r="CE192" s="136" t="str">
        <f aca="false">IF($BR192&lt;&gt;Constants!$B$8,"",IF(AND(NOT($AL192),NOT($AT192),$AJ192,$AK192,$AR192,$AS192),"",$AI192))</f>
        <v/>
      </c>
      <c r="CF192" s="133" t="str">
        <f aca="false">IF(ISBLANK($C192),"",IF($BR192&lt;&gt;Constants!$B$8,$BR192,IF(ISNUMBER($CE192),RANK($CE192,$CE$9:$CE$508,1),COUNT($CE$9:$CE$508)+1)))</f>
        <v/>
      </c>
      <c r="CG192" s="133" t="str">
        <f aca="false">IF(ISBLANK($C192),"",IF($BR192&lt;&gt;Constants!$B$8,$BR192,COUNTIFS($BX$9:$BX$508,"&lt;"&amp;$BX192)+COUNTIFS($BX$9:$BX$508,$BX192,$BZ$9:$BZ$508,"&lt;"&amp;$BZ192)+COUNTIFS($BX$9:$BX$508,$BX192,$BZ$9:$BZ$508,$BZ192,$CB$9:$CB$508,"&lt;"&amp;$CB192)+COUNTIFS($BX$9:$BX$508,$BX192,$BZ$9:$BZ$508,$BZ192,$CB$9:$CB$508,$CB192,$CD$9:$CD$508,"&lt;"&amp;$CD192)+COUNTIFS($BX$9:$BX$508,$BX192,$BZ$9:$BZ$508,$BZ192,$CB$9:$CB$508,$CB192,$CD$9:$CD$508,$CD192,$CF$9:$CF$508,"&lt;"&amp;$CF192)+1))</f>
        <v/>
      </c>
      <c r="CH192" s="133" t="str">
        <f aca="false">IF(ISBLANK($C192),"",IF($BR192&lt;&gt;Constants!$B$8,$BR192,$BX192-$CG192))</f>
        <v/>
      </c>
      <c r="CI192" s="138"/>
      <c r="CJ192" s="139"/>
      <c r="CK192" s="140" t="str">
        <f aca="false">IF(ISBLANK($C192),"",IF($BR192=Constants!$B$12,$BQ192,""))</f>
        <v/>
      </c>
      <c r="CL192" s="139" t="str">
        <f aca="false">IF(ISBLANK($C192),"",IF($BR192&lt;&gt;Constants!$B$8,"",IF($BI192="-&gt;",2,1)))</f>
        <v/>
      </c>
      <c r="CM192" s="141" t="str">
        <f aca="false">IF(ISBLANK($C192),"",IF($BR192&lt;&gt;Constants!$B$8,"",IF($BI192="-&gt;",$BK192,$BC192)))</f>
        <v/>
      </c>
      <c r="CN192" s="141" t="str">
        <f aca="false">IF(ISBLANK($C192),"",IF($BR192&lt;&gt;Constants!$B$8,"",IF($BI192="-&gt;",$BL192,$BD192)))</f>
        <v/>
      </c>
      <c r="CO192" s="141" t="str">
        <f aca="false">IF(ISBLANK($C192),"",IF($BR192&lt;&gt;Constants!$B$8,"",IF($BI192="-&gt;",$BM192+$BN192,$BE192+$BF192)+$BV192))</f>
        <v/>
      </c>
      <c r="CP192" s="141" t="str">
        <f aca="false">IF(ISBLANK($C192),"",IF($BR192&lt;&gt;Constants!$B$8,"",IF($BI192="-&gt;",$BO192,$BG192)+$BU192))</f>
        <v/>
      </c>
      <c r="CQ192" s="142" t="str">
        <f aca="false">IF(ISBLANK($C192),"",IF($BR192&lt;&gt;Constants!$B$8,$BR192,$BW192))</f>
        <v/>
      </c>
      <c r="CR192" s="143" t="str">
        <f aca="false">IF(ISBLANK($C192),"",$BS192)</f>
        <v/>
      </c>
      <c r="CS192" s="144" t="str">
        <f aca="false">IF(ISBLANK($C192),"",$CH192)</f>
        <v/>
      </c>
      <c r="CT192" s="144" t="str">
        <f aca="false">IF(ISBLANK($C192),"",$CG192)</f>
        <v/>
      </c>
      <c r="CU192" s="145" t="str">
        <f aca="false">IF(ISBLANK($C192),"",IFERROR(_xlfn.SWITCH($CT192,Constants!$B$11,COUNTA($C$9:$C$508)+2,Constants!$B$10,COUNTA($C$9:$C$508)+1,Constants!$B$9,COUNTA($C$9:$C$508)),$CT192))</f>
        <v/>
      </c>
      <c r="CV192" s="9"/>
      <c r="CW192" s="146" t="n">
        <f aca="false">IF(OR(ISNUMBER($CT192),$CT192=Constants!$B$11,$CT192=Constants!$B$9,$CT192=Constants!$B$10),1,0)</f>
        <v>0</v>
      </c>
      <c r="CX192" s="146" t="n">
        <v>184</v>
      </c>
      <c r="CY192" s="146" t="str">
        <f aca="false">IF(ISBLANK($C192),"",IF(ISNUMBER($CU192),$CU192+ROW($B192)/1000,""))</f>
        <v/>
      </c>
      <c r="CZ192" s="146" t="str">
        <f aca="false">IF(ISNUMBER($CY192),RANK($CY192,$CY$9:$CY$508,1),"")</f>
        <v/>
      </c>
      <c r="DA192" s="146" t="str">
        <f aca="false">IF(ISBLANK($C192),"",$B192)</f>
        <v/>
      </c>
      <c r="DB192" s="146" t="str">
        <f aca="false">IF(ISBLANK($C192),"",$C192)</f>
        <v/>
      </c>
      <c r="DC192" s="146" t="str">
        <f aca="false">IF(ISBLANK($C192),"",$D192)</f>
        <v/>
      </c>
      <c r="DD192" s="147" t="str">
        <f aca="false">$CR192</f>
        <v/>
      </c>
      <c r="DE192" s="148" t="str">
        <f aca="false">$CQ192</f>
        <v/>
      </c>
      <c r="DF192" s="146" t="str">
        <f aca="false">IF(ISBLANK($C192),"",$CT192)</f>
        <v/>
      </c>
      <c r="DG192" s="149" t="str">
        <f aca="false">IF($CX192&gt;$CW$8,"",VLOOKUP($CX192,$CZ$9:$DF$508,7,FALSE()))</f>
        <v/>
      </c>
      <c r="DH192" s="150" t="str">
        <f aca="false">IF($CX192&gt;$CW$8,"",VLOOKUP($CX192,$CZ$9:$DF$508,2,FALSE()))</f>
        <v/>
      </c>
      <c r="DI192" s="150" t="str">
        <f aca="false">IF($CX192&gt;$CW$8,"",VLOOKUP($CX192,$CZ$9:$DF$508,3,FALSE()))</f>
        <v/>
      </c>
      <c r="DJ192" s="150" t="str">
        <f aca="false">IF($CX192&gt;$CW$8,"",VLOOKUP($CX192,$CZ$9:$DF$508,4,FALSE()))</f>
        <v/>
      </c>
      <c r="DK192" s="150" t="str">
        <f aca="false">IF($CX192&gt;$CW$8,"",VLOOKUP($CX192,$CZ$9:$DF$508,5,FALSE()))</f>
        <v/>
      </c>
      <c r="DL192" s="151" t="str">
        <f aca="false">IF($CX192&gt;$CW$8,"",VLOOKUP($CX192,$CZ$9:$DF$508,6,FALSE()))</f>
        <v/>
      </c>
      <c r="DM192" s="75"/>
    </row>
    <row r="193" customFormat="false" ht="15.75" hidden="false" customHeight="false" outlineLevel="0" collapsed="false">
      <c r="A193" s="9"/>
      <c r="B193" s="157"/>
      <c r="C193" s="158"/>
      <c r="D193" s="159"/>
      <c r="E193" s="177"/>
      <c r="F193" s="161"/>
      <c r="G193" s="162"/>
      <c r="H193" s="162"/>
      <c r="I193" s="178"/>
      <c r="J193" s="165"/>
      <c r="K193" s="126"/>
      <c r="L193" s="127"/>
      <c r="M193" s="128"/>
      <c r="N193" s="165"/>
      <c r="O193" s="165"/>
      <c r="P193" s="177"/>
      <c r="Q193" s="165"/>
      <c r="R193" s="165"/>
      <c r="S193" s="126"/>
      <c r="T193" s="128"/>
      <c r="U193" s="128"/>
      <c r="V193" s="165"/>
      <c r="W193" s="165"/>
      <c r="X193" s="177"/>
      <c r="Y193" s="165"/>
      <c r="Z193" s="166"/>
      <c r="AA193" s="165"/>
      <c r="AB193" s="132"/>
      <c r="AC193" s="133"/>
      <c r="AD193" s="133"/>
      <c r="AE193" s="133"/>
      <c r="AF193" s="133" t="str">
        <f aca="false">IF(ISBLANK($C193),"",IF(E193=Constants!$B$3,TRUE(),IF(E193=Constants!$B$4,FALSE(),TRUE())))</f>
        <v/>
      </c>
      <c r="AG193" s="133" t="str">
        <f aca="false">IF(ISBLANK($C193),"",IF(F193=Constants!$B$3,TRUE(),IF(F193=Constants!$B$4,FALSE(),TRUE())))</f>
        <v/>
      </c>
      <c r="AH193" s="133" t="str">
        <f aca="false">IF(ISBLANK($C193),"",IF(G193=Constants!$B$3,TRUE(),IF(G193=Constants!$B$4,FALSE(),TRUE())))</f>
        <v/>
      </c>
      <c r="AI193" s="133" t="str">
        <f aca="false">IF(ISBLANK($C193),"",IF(AND(ISNUMBER(H193),H193&gt;=0),H193,Constants!$B$29))</f>
        <v/>
      </c>
      <c r="AJ193" s="133" t="str">
        <f aca="false">IF(ISBLANK($C193),"",IF(I193=Constants!$B$3,TRUE(),IF(I193=Constants!$B$4,FALSE(),TRUE())))</f>
        <v/>
      </c>
      <c r="AK193" s="133" t="str">
        <f aca="false">IF(ISBLANK($C193),"",IF(J193=Constants!$B$3,TRUE(),IF(J193=Constants!$B$4,FALSE(),TRUE())))</f>
        <v/>
      </c>
      <c r="AL193" s="133" t="str">
        <f aca="false">IF(ISBLANK($C193),"",IF(K193=Constants!$B$5,TRUE(),IF(K193=Constants!$B$6,FALSE(),COUNTA(L193:P193)&gt;0)))</f>
        <v/>
      </c>
      <c r="AM193" s="134" t="str">
        <f aca="false">IF(ISBLANK($C193),"",IF(ISNUMBER(L193),IF(L193&gt;=0,L193,""),""))</f>
        <v/>
      </c>
      <c r="AN193" s="135" t="str">
        <f aca="false">IF(ISBLANK($C193),"",IF(ISNUMBER(M193),IF(M193&gt;=0,M193,""),""))</f>
        <v/>
      </c>
      <c r="AO193" s="135" t="str">
        <f aca="false">IF(ISBLANK($C193),"",IF(N193=Constants!$B$3,TRUE(),IF(N193=Constants!$B$4,FALSE(),TRUE())))</f>
        <v/>
      </c>
      <c r="AP193" s="133" t="str">
        <f aca="false">IF(ISBLANK($C193),"",IF(ISNUMBER(O193),IF(O193&gt;=0,O193,""),""))</f>
        <v/>
      </c>
      <c r="AQ193" s="133" t="str">
        <f aca="false">IF(ISBLANK($C193),"",IF(P193=Constants!$B$3,TRUE(),IF(P193=Constants!$B$4,FALSE(),FALSE())))</f>
        <v/>
      </c>
      <c r="AR193" s="133" t="str">
        <f aca="false">IF(ISBLANK($C193),"",IF(Q193=Constants!$B$3,TRUE(),IF(Q193=Constants!$B$4,FALSE(),TRUE())))</f>
        <v/>
      </c>
      <c r="AS193" s="133" t="str">
        <f aca="false">IF(ISBLANK($C193),"",IF(R193=Constants!$B$3,TRUE(),IF(R193=Constants!$B$4,FALSE(),TRUE())))</f>
        <v/>
      </c>
      <c r="AT193" s="133" t="str">
        <f aca="false">IF(ISBLANK($C193),"",IF(S193=Constants!$B$5,TRUE(),IF(S193=Constants!$B$6,FALSE(),COUNTA(T193:X193)&gt;0)))</f>
        <v/>
      </c>
      <c r="AU193" s="134" t="str">
        <f aca="false">IF(ISBLANK($C193),"",IF(ISNUMBER(T193),IF(T193&gt;=0,T193,""),""))</f>
        <v/>
      </c>
      <c r="AV193" s="135" t="str">
        <f aca="false">IF(ISBLANK($C193),"",IF(ISNUMBER(U193),IF(U193&gt;=0,U193,""),""))</f>
        <v/>
      </c>
      <c r="AW193" s="135" t="str">
        <f aca="false">IF(ISBLANK($C193),"",IF(V193=Constants!$B$3,TRUE(),IF(V193=Constants!$B$4,FALSE(),TRUE())))</f>
        <v/>
      </c>
      <c r="AX193" s="133" t="str">
        <f aca="false">IF(ISBLANK($C193),"",IF(ISNUMBER(W193),IF(W193&gt;=0,W193,""),""))</f>
        <v/>
      </c>
      <c r="AY193" s="133" t="str">
        <f aca="false">IF(ISBLANK($C193),"",IF(X193=Constants!$B$3,TRUE(),IF(X193=Constants!$B$4,FALSE(),FALSE())))</f>
        <v/>
      </c>
      <c r="AZ193" s="133" t="str">
        <f aca="false">IF(ISBLANK($C193),"",MIN(Constants!$B$31,MAX(0,IF(ISNUMBER(Y193),Y193*60,0)+IF(ISNUMBER(Z193),Z193,0))))</f>
        <v/>
      </c>
      <c r="BA193" s="133" t="str">
        <f aca="false">IF(ISBLANK($C193),"",IF(AA193=Constants!$B$3,TRUE(),IF(AA193=Constants!$B$4,FALSE(),FALSE())))</f>
        <v/>
      </c>
      <c r="BB193" s="132" t="str">
        <f aca="false">IF(ISBLANK($C193),"",AND($AL193,OR($AM193="",$AN193="",AND($AO193,$AP193=""))))</f>
        <v/>
      </c>
      <c r="BC193" s="135" t="str">
        <f aca="false">IF($BR193&lt;&gt;Constants!$B$8,"",IF($AL193,Constants!$B$21*$AN193+Constants!$B$22*IF($AO193,$AP193,Constants!$B$23),Constants!$B$24))</f>
        <v/>
      </c>
      <c r="BD193" s="136" t="str">
        <f aca="false">IF($BR193&lt;&gt;Constants!$B$8,"",Constants!$B$25*ABS($AD$9-IF($AL193,$AM193,0)))</f>
        <v/>
      </c>
      <c r="BE193" s="136" t="str">
        <f aca="false">IF($BR193&lt;&gt;Constants!$B$8,"",IF(AND($AL193,$AQ193,$AO193),Constants!$B$27,0))</f>
        <v/>
      </c>
      <c r="BF193" s="136" t="str">
        <f aca="false">IF($BR193&lt;&gt;Constants!$B$8,"",IF($AL193,($AI193-Constants!$B$29)*Constants!$B$28,0))</f>
        <v/>
      </c>
      <c r="BG193" s="136" t="str">
        <f aca="false">IF($BR193&lt;&gt;Constants!$B$8,"",IF($AK193,0,Constants!$B$15)+IF($AJ193,0,Constants!$B$16)+IF($AH193,0,Constants!$B$17))</f>
        <v/>
      </c>
      <c r="BH193" s="137" t="str">
        <f aca="false">IF($BR193&lt;&gt;Constants!$B$8,"",Constants!$B$20+SUM($BC193:$BG193))</f>
        <v/>
      </c>
      <c r="BI193" s="133" t="str">
        <f aca="false">IF($BR193&lt;&gt;Constants!$B$8,"",IF(OR($BP193&lt;$BH193,AND($BP193=$BH193,OR($BK193&lt;$BC193,AND($BK193=$BC193,OR($BL193&lt;$BD193,AND($BL193=$BD193,$AT193,$AL193,$AV193&lt;$AN193)))))),"-&gt;","&lt;-"))</f>
        <v/>
      </c>
      <c r="BJ193" s="132" t="str">
        <f aca="false">IF(ISBLANK($C193),"",AND($AT193,OR($AU193="",$AV193="",AND($AW193,$AX193=""))))</f>
        <v/>
      </c>
      <c r="BK193" s="135" t="str">
        <f aca="false">IF($BR193&lt;&gt;Constants!$B$8,"",IF($AT193,Constants!$B$21*$AV193+Constants!$B$22*IF($AW193,$AX193,Constants!$B$23),Constants!$B$24))</f>
        <v/>
      </c>
      <c r="BL193" s="136" t="str">
        <f aca="false">IF($BR193&lt;&gt;Constants!$B$8,"",Constants!$B$25*ABS($AD$9-IF($AT193,$AU193,0)))</f>
        <v/>
      </c>
      <c r="BM193" s="136" t="str">
        <f aca="false">IF($BR193&lt;&gt;Constants!$B$8,"",IF(AND($AT193,$AY193,$AW193),Constants!$B$27,0))</f>
        <v/>
      </c>
      <c r="BN193" s="136" t="str">
        <f aca="false">IF($BR193&lt;&gt;Constants!$B$8,"",IF($AT193,($AI193-Constants!$B$29)*Constants!$B$28,0))</f>
        <v/>
      </c>
      <c r="BO193" s="136" t="str">
        <f aca="false">IF($BR193&lt;&gt;Constants!$B$8,"",IF($AS193,0,Constants!$B$15)+IF($AR193,0,Constants!$B$16)+IF($AH193,0,Constants!$B$17))</f>
        <v/>
      </c>
      <c r="BP193" s="137" t="str">
        <f aca="false">IF($BR193&lt;&gt;Constants!$B$8,"",Constants!$B$20+SUM($BK193:$BO193))</f>
        <v/>
      </c>
      <c r="BQ193" s="133" t="str">
        <f aca="false">IF(ISBLANK($C193),"",IF(ISBLANK($D$7),$BQ$5,IF(NOT(ISNUMBER($D$7)),$BQ$6,"")))</f>
        <v/>
      </c>
      <c r="BR193" s="133" t="str">
        <f aca="false">IF(ISBLANK($C193),"",IF($BA193,Constants!$B$11,IF(COUNTA($E193:$AA193)=0,Constants!$B$10,IF(NOT($AG193),Constants!$B$9,IF(OR($BQ193&lt;&gt;"",$BB193,$BJ193),Constants!$B$12,Constants!$B$8)))))</f>
        <v/>
      </c>
      <c r="BS193" s="133" t="str">
        <f aca="false">IF(ISBLANK($C193),"",IF($BR193&lt;&gt;Constants!$B$8,$BR193,Constants!$B$13))</f>
        <v/>
      </c>
      <c r="BT193" s="136" t="str">
        <f aca="false">IF($BR193&lt;&gt;Constants!$B$8,"",IF($BI193="-&gt;",$BP193,$BH193))</f>
        <v/>
      </c>
      <c r="BU193" s="136" t="str">
        <f aca="false">IF($BR193&lt;&gt;Constants!$B$8,"",IF($AF193,0,Constants!$B$18))</f>
        <v/>
      </c>
      <c r="BV193" s="136" t="str">
        <f aca="false">IF($BR193&lt;&gt;Constants!$B$8,"",((Constants!$B$31-$AZ193)-Constants!$B$31)/Constants!$B$32)</f>
        <v/>
      </c>
      <c r="BW193" s="136" t="str">
        <f aca="false">IF(ISBLANK($C193),"",IF($BR193&lt;&gt;Constants!$B$8,$BR193,SUM($BT193:$BV193)))</f>
        <v/>
      </c>
      <c r="BX193" s="133" t="str">
        <f aca="false">IF(ISBLANK($C193),"",IF($BR193&lt;&gt;Constants!$B$8,$BR193,RANK($BW193,$BW$9:$BW$508,1)))</f>
        <v/>
      </c>
      <c r="BY193" s="136" t="str">
        <f aca="false">IF($BR193&lt;&gt;Constants!$B$8,"",IF($BI193="-&gt;",$BK193,$BC193))</f>
        <v/>
      </c>
      <c r="BZ193" s="133" t="str">
        <f aca="false">IF(ISBLANK($C193),"",IF($BR193&lt;&gt;Constants!$B$8,$BR193,IF(ISNUMBER($BY193),RANK($BY193,$BY$9:$BY$508,1),COUNT($BY$9:$BY$508)+1)))</f>
        <v/>
      </c>
      <c r="CA193" s="136" t="str">
        <f aca="false">IF($BR193&lt;&gt;Constants!$B$8,"",IF($BI193="-&gt;",$BL193,$BD193))</f>
        <v/>
      </c>
      <c r="CB193" s="133" t="str">
        <f aca="false">IF(ISBLANK($C193),"",IF($BR193&lt;&gt;Constants!$B$8,$BR193,IF(ISNUMBER($CA193),RANK($CA193,$CA$9:$CA$508,1),COUNT($CA$9:$CA$508)+1)))</f>
        <v/>
      </c>
      <c r="CC193" s="136" t="str">
        <f aca="false">IF($BR193&lt;&gt;Constants!$B$8,"",IF($BI193="-&gt;",IF($AT193,$AV193,""),IF($AL193,$AN193,"")))</f>
        <v/>
      </c>
      <c r="CD193" s="133" t="str">
        <f aca="false">IF(ISBLANK($C193),"",IF($BR193&lt;&gt;Constants!$B$8,$BR193,IF(ISNUMBER($CC193),RANK($CC193,$CC$9:$CC$508,1),COUNT($CC$9:$CC$508)+1)))</f>
        <v/>
      </c>
      <c r="CE193" s="136" t="str">
        <f aca="false">IF($BR193&lt;&gt;Constants!$B$8,"",IF(AND(NOT($AL193),NOT($AT193),$AJ193,$AK193,$AR193,$AS193),"",$AI193))</f>
        <v/>
      </c>
      <c r="CF193" s="133" t="str">
        <f aca="false">IF(ISBLANK($C193),"",IF($BR193&lt;&gt;Constants!$B$8,$BR193,IF(ISNUMBER($CE193),RANK($CE193,$CE$9:$CE$508,1),COUNT($CE$9:$CE$508)+1)))</f>
        <v/>
      </c>
      <c r="CG193" s="133" t="str">
        <f aca="false">IF(ISBLANK($C193),"",IF($BR193&lt;&gt;Constants!$B$8,$BR193,COUNTIFS($BX$9:$BX$508,"&lt;"&amp;$BX193)+COUNTIFS($BX$9:$BX$508,$BX193,$BZ$9:$BZ$508,"&lt;"&amp;$BZ193)+COUNTIFS($BX$9:$BX$508,$BX193,$BZ$9:$BZ$508,$BZ193,$CB$9:$CB$508,"&lt;"&amp;$CB193)+COUNTIFS($BX$9:$BX$508,$BX193,$BZ$9:$BZ$508,$BZ193,$CB$9:$CB$508,$CB193,$CD$9:$CD$508,"&lt;"&amp;$CD193)+COUNTIFS($BX$9:$BX$508,$BX193,$BZ$9:$BZ$508,$BZ193,$CB$9:$CB$508,$CB193,$CD$9:$CD$508,$CD193,$CF$9:$CF$508,"&lt;"&amp;$CF193)+1))</f>
        <v/>
      </c>
      <c r="CH193" s="133" t="str">
        <f aca="false">IF(ISBLANK($C193),"",IF($BR193&lt;&gt;Constants!$B$8,$BR193,$BX193-$CG193))</f>
        <v/>
      </c>
      <c r="CI193" s="138"/>
      <c r="CJ193" s="139"/>
      <c r="CK193" s="140" t="str">
        <f aca="false">IF(ISBLANK($C193),"",IF($BR193=Constants!$B$12,$BQ193,""))</f>
        <v/>
      </c>
      <c r="CL193" s="139" t="str">
        <f aca="false">IF(ISBLANK($C193),"",IF($BR193&lt;&gt;Constants!$B$8,"",IF($BI193="-&gt;",2,1)))</f>
        <v/>
      </c>
      <c r="CM193" s="141" t="str">
        <f aca="false">IF(ISBLANK($C193),"",IF($BR193&lt;&gt;Constants!$B$8,"",IF($BI193="-&gt;",$BK193,$BC193)))</f>
        <v/>
      </c>
      <c r="CN193" s="141" t="str">
        <f aca="false">IF(ISBLANK($C193),"",IF($BR193&lt;&gt;Constants!$B$8,"",IF($BI193="-&gt;",$BL193,$BD193)))</f>
        <v/>
      </c>
      <c r="CO193" s="141" t="str">
        <f aca="false">IF(ISBLANK($C193),"",IF($BR193&lt;&gt;Constants!$B$8,"",IF($BI193="-&gt;",$BM193+$BN193,$BE193+$BF193)+$BV193))</f>
        <v/>
      </c>
      <c r="CP193" s="141" t="str">
        <f aca="false">IF(ISBLANK($C193),"",IF($BR193&lt;&gt;Constants!$B$8,"",IF($BI193="-&gt;",$BO193,$BG193)+$BU193))</f>
        <v/>
      </c>
      <c r="CQ193" s="142" t="str">
        <f aca="false">IF(ISBLANK($C193),"",IF($BR193&lt;&gt;Constants!$B$8,$BR193,$BW193))</f>
        <v/>
      </c>
      <c r="CR193" s="143" t="str">
        <f aca="false">IF(ISBLANK($C193),"",$BS193)</f>
        <v/>
      </c>
      <c r="CS193" s="144" t="str">
        <f aca="false">IF(ISBLANK($C193),"",$CH193)</f>
        <v/>
      </c>
      <c r="CT193" s="144" t="str">
        <f aca="false">IF(ISBLANK($C193),"",$CG193)</f>
        <v/>
      </c>
      <c r="CU193" s="145" t="str">
        <f aca="false">IF(ISBLANK($C193),"",IFERROR(_xlfn.SWITCH($CT193,Constants!$B$11,COUNTA($C$9:$C$508)+2,Constants!$B$10,COUNTA($C$9:$C$508)+1,Constants!$B$9,COUNTA($C$9:$C$508)),$CT193))</f>
        <v/>
      </c>
      <c r="CV193" s="9"/>
      <c r="CW193" s="146" t="n">
        <f aca="false">IF(OR(ISNUMBER($CT193),$CT193=Constants!$B$11,$CT193=Constants!$B$9,$CT193=Constants!$B$10),1,0)</f>
        <v>0</v>
      </c>
      <c r="CX193" s="146" t="n">
        <v>185</v>
      </c>
      <c r="CY193" s="146" t="str">
        <f aca="false">IF(ISBLANK($C193),"",IF(ISNUMBER($CU193),$CU193+ROW($B193)/1000,""))</f>
        <v/>
      </c>
      <c r="CZ193" s="146" t="str">
        <f aca="false">IF(ISNUMBER($CY193),RANK($CY193,$CY$9:$CY$508,1),"")</f>
        <v/>
      </c>
      <c r="DA193" s="146" t="str">
        <f aca="false">IF(ISBLANK($C193),"",$B193)</f>
        <v/>
      </c>
      <c r="DB193" s="146" t="str">
        <f aca="false">IF(ISBLANK($C193),"",$C193)</f>
        <v/>
      </c>
      <c r="DC193" s="146" t="str">
        <f aca="false">IF(ISBLANK($C193),"",$D193)</f>
        <v/>
      </c>
      <c r="DD193" s="147" t="str">
        <f aca="false">$CR193</f>
        <v/>
      </c>
      <c r="DE193" s="148" t="str">
        <f aca="false">$CQ193</f>
        <v/>
      </c>
      <c r="DF193" s="146" t="str">
        <f aca="false">IF(ISBLANK($C193),"",$CT193)</f>
        <v/>
      </c>
      <c r="DG193" s="149" t="str">
        <f aca="false">IF($CX193&gt;$CW$8,"",VLOOKUP($CX193,$CZ$9:$DF$508,7,FALSE()))</f>
        <v/>
      </c>
      <c r="DH193" s="150" t="str">
        <f aca="false">IF($CX193&gt;$CW$8,"",VLOOKUP($CX193,$CZ$9:$DF$508,2,FALSE()))</f>
        <v/>
      </c>
      <c r="DI193" s="150" t="str">
        <f aca="false">IF($CX193&gt;$CW$8,"",VLOOKUP($CX193,$CZ$9:$DF$508,3,FALSE()))</f>
        <v/>
      </c>
      <c r="DJ193" s="150" t="str">
        <f aca="false">IF($CX193&gt;$CW$8,"",VLOOKUP($CX193,$CZ$9:$DF$508,4,FALSE()))</f>
        <v/>
      </c>
      <c r="DK193" s="150" t="str">
        <f aca="false">IF($CX193&gt;$CW$8,"",VLOOKUP($CX193,$CZ$9:$DF$508,5,FALSE()))</f>
        <v/>
      </c>
      <c r="DL193" s="151" t="str">
        <f aca="false">IF($CX193&gt;$CW$8,"",VLOOKUP($CX193,$CZ$9:$DF$508,6,FALSE()))</f>
        <v/>
      </c>
      <c r="DM193" s="75"/>
    </row>
    <row r="194" customFormat="false" ht="15.75" hidden="false" customHeight="false" outlineLevel="0" collapsed="false">
      <c r="A194" s="9"/>
      <c r="B194" s="157"/>
      <c r="C194" s="158"/>
      <c r="D194" s="159"/>
      <c r="E194" s="177"/>
      <c r="F194" s="161"/>
      <c r="G194" s="162"/>
      <c r="H194" s="162"/>
      <c r="I194" s="178"/>
      <c r="J194" s="165"/>
      <c r="K194" s="126"/>
      <c r="L194" s="127"/>
      <c r="M194" s="128"/>
      <c r="N194" s="165"/>
      <c r="O194" s="165"/>
      <c r="P194" s="177"/>
      <c r="Q194" s="165"/>
      <c r="R194" s="165"/>
      <c r="S194" s="126"/>
      <c r="T194" s="128"/>
      <c r="U194" s="128"/>
      <c r="V194" s="165"/>
      <c r="W194" s="165"/>
      <c r="X194" s="177"/>
      <c r="Y194" s="165"/>
      <c r="Z194" s="166"/>
      <c r="AA194" s="165"/>
      <c r="AB194" s="132"/>
      <c r="AC194" s="133"/>
      <c r="AD194" s="133"/>
      <c r="AE194" s="133"/>
      <c r="AF194" s="133" t="str">
        <f aca="false">IF(ISBLANK($C194),"",IF(E194=Constants!$B$3,TRUE(),IF(E194=Constants!$B$4,FALSE(),TRUE())))</f>
        <v/>
      </c>
      <c r="AG194" s="133" t="str">
        <f aca="false">IF(ISBLANK($C194),"",IF(F194=Constants!$B$3,TRUE(),IF(F194=Constants!$B$4,FALSE(),TRUE())))</f>
        <v/>
      </c>
      <c r="AH194" s="133" t="str">
        <f aca="false">IF(ISBLANK($C194),"",IF(G194=Constants!$B$3,TRUE(),IF(G194=Constants!$B$4,FALSE(),TRUE())))</f>
        <v/>
      </c>
      <c r="AI194" s="133" t="str">
        <f aca="false">IF(ISBLANK($C194),"",IF(AND(ISNUMBER(H194),H194&gt;=0),H194,Constants!$B$29))</f>
        <v/>
      </c>
      <c r="AJ194" s="133" t="str">
        <f aca="false">IF(ISBLANK($C194),"",IF(I194=Constants!$B$3,TRUE(),IF(I194=Constants!$B$4,FALSE(),TRUE())))</f>
        <v/>
      </c>
      <c r="AK194" s="133" t="str">
        <f aca="false">IF(ISBLANK($C194),"",IF(J194=Constants!$B$3,TRUE(),IF(J194=Constants!$B$4,FALSE(),TRUE())))</f>
        <v/>
      </c>
      <c r="AL194" s="133" t="str">
        <f aca="false">IF(ISBLANK($C194),"",IF(K194=Constants!$B$5,TRUE(),IF(K194=Constants!$B$6,FALSE(),COUNTA(L194:P194)&gt;0)))</f>
        <v/>
      </c>
      <c r="AM194" s="134" t="str">
        <f aca="false">IF(ISBLANK($C194),"",IF(ISNUMBER(L194),IF(L194&gt;=0,L194,""),""))</f>
        <v/>
      </c>
      <c r="AN194" s="135" t="str">
        <f aca="false">IF(ISBLANK($C194),"",IF(ISNUMBER(M194),IF(M194&gt;=0,M194,""),""))</f>
        <v/>
      </c>
      <c r="AO194" s="135" t="str">
        <f aca="false">IF(ISBLANK($C194),"",IF(N194=Constants!$B$3,TRUE(),IF(N194=Constants!$B$4,FALSE(),TRUE())))</f>
        <v/>
      </c>
      <c r="AP194" s="133" t="str">
        <f aca="false">IF(ISBLANK($C194),"",IF(ISNUMBER(O194),IF(O194&gt;=0,O194,""),""))</f>
        <v/>
      </c>
      <c r="AQ194" s="133" t="str">
        <f aca="false">IF(ISBLANK($C194),"",IF(P194=Constants!$B$3,TRUE(),IF(P194=Constants!$B$4,FALSE(),FALSE())))</f>
        <v/>
      </c>
      <c r="AR194" s="133" t="str">
        <f aca="false">IF(ISBLANK($C194),"",IF(Q194=Constants!$B$3,TRUE(),IF(Q194=Constants!$B$4,FALSE(),TRUE())))</f>
        <v/>
      </c>
      <c r="AS194" s="133" t="str">
        <f aca="false">IF(ISBLANK($C194),"",IF(R194=Constants!$B$3,TRUE(),IF(R194=Constants!$B$4,FALSE(),TRUE())))</f>
        <v/>
      </c>
      <c r="AT194" s="133" t="str">
        <f aca="false">IF(ISBLANK($C194),"",IF(S194=Constants!$B$5,TRUE(),IF(S194=Constants!$B$6,FALSE(),COUNTA(T194:X194)&gt;0)))</f>
        <v/>
      </c>
      <c r="AU194" s="134" t="str">
        <f aca="false">IF(ISBLANK($C194),"",IF(ISNUMBER(T194),IF(T194&gt;=0,T194,""),""))</f>
        <v/>
      </c>
      <c r="AV194" s="135" t="str">
        <f aca="false">IF(ISBLANK($C194),"",IF(ISNUMBER(U194),IF(U194&gt;=0,U194,""),""))</f>
        <v/>
      </c>
      <c r="AW194" s="135" t="str">
        <f aca="false">IF(ISBLANK($C194),"",IF(V194=Constants!$B$3,TRUE(),IF(V194=Constants!$B$4,FALSE(),TRUE())))</f>
        <v/>
      </c>
      <c r="AX194" s="133" t="str">
        <f aca="false">IF(ISBLANK($C194),"",IF(ISNUMBER(W194),IF(W194&gt;=0,W194,""),""))</f>
        <v/>
      </c>
      <c r="AY194" s="133" t="str">
        <f aca="false">IF(ISBLANK($C194),"",IF(X194=Constants!$B$3,TRUE(),IF(X194=Constants!$B$4,FALSE(),FALSE())))</f>
        <v/>
      </c>
      <c r="AZ194" s="133" t="str">
        <f aca="false">IF(ISBLANK($C194),"",MIN(Constants!$B$31,MAX(0,IF(ISNUMBER(Y194),Y194*60,0)+IF(ISNUMBER(Z194),Z194,0))))</f>
        <v/>
      </c>
      <c r="BA194" s="133" t="str">
        <f aca="false">IF(ISBLANK($C194),"",IF(AA194=Constants!$B$3,TRUE(),IF(AA194=Constants!$B$4,FALSE(),FALSE())))</f>
        <v/>
      </c>
      <c r="BB194" s="132" t="str">
        <f aca="false">IF(ISBLANK($C194),"",AND($AL194,OR($AM194="",$AN194="",AND($AO194,$AP194=""))))</f>
        <v/>
      </c>
      <c r="BC194" s="135" t="str">
        <f aca="false">IF($BR194&lt;&gt;Constants!$B$8,"",IF($AL194,Constants!$B$21*$AN194+Constants!$B$22*IF($AO194,$AP194,Constants!$B$23),Constants!$B$24))</f>
        <v/>
      </c>
      <c r="BD194" s="136" t="str">
        <f aca="false">IF($BR194&lt;&gt;Constants!$B$8,"",Constants!$B$25*ABS($AD$9-IF($AL194,$AM194,0)))</f>
        <v/>
      </c>
      <c r="BE194" s="136" t="str">
        <f aca="false">IF($BR194&lt;&gt;Constants!$B$8,"",IF(AND($AL194,$AQ194,$AO194),Constants!$B$27,0))</f>
        <v/>
      </c>
      <c r="BF194" s="136" t="str">
        <f aca="false">IF($BR194&lt;&gt;Constants!$B$8,"",IF($AL194,($AI194-Constants!$B$29)*Constants!$B$28,0))</f>
        <v/>
      </c>
      <c r="BG194" s="136" t="str">
        <f aca="false">IF($BR194&lt;&gt;Constants!$B$8,"",IF($AK194,0,Constants!$B$15)+IF($AJ194,0,Constants!$B$16)+IF($AH194,0,Constants!$B$17))</f>
        <v/>
      </c>
      <c r="BH194" s="137" t="str">
        <f aca="false">IF($BR194&lt;&gt;Constants!$B$8,"",Constants!$B$20+SUM($BC194:$BG194))</f>
        <v/>
      </c>
      <c r="BI194" s="133" t="str">
        <f aca="false">IF($BR194&lt;&gt;Constants!$B$8,"",IF(OR($BP194&lt;$BH194,AND($BP194=$BH194,OR($BK194&lt;$BC194,AND($BK194=$BC194,OR($BL194&lt;$BD194,AND($BL194=$BD194,$AT194,$AL194,$AV194&lt;$AN194)))))),"-&gt;","&lt;-"))</f>
        <v/>
      </c>
      <c r="BJ194" s="132" t="str">
        <f aca="false">IF(ISBLANK($C194),"",AND($AT194,OR($AU194="",$AV194="",AND($AW194,$AX194=""))))</f>
        <v/>
      </c>
      <c r="BK194" s="135" t="str">
        <f aca="false">IF($BR194&lt;&gt;Constants!$B$8,"",IF($AT194,Constants!$B$21*$AV194+Constants!$B$22*IF($AW194,$AX194,Constants!$B$23),Constants!$B$24))</f>
        <v/>
      </c>
      <c r="BL194" s="136" t="str">
        <f aca="false">IF($BR194&lt;&gt;Constants!$B$8,"",Constants!$B$25*ABS($AD$9-IF($AT194,$AU194,0)))</f>
        <v/>
      </c>
      <c r="BM194" s="136" t="str">
        <f aca="false">IF($BR194&lt;&gt;Constants!$B$8,"",IF(AND($AT194,$AY194,$AW194),Constants!$B$27,0))</f>
        <v/>
      </c>
      <c r="BN194" s="136" t="str">
        <f aca="false">IF($BR194&lt;&gt;Constants!$B$8,"",IF($AT194,($AI194-Constants!$B$29)*Constants!$B$28,0))</f>
        <v/>
      </c>
      <c r="BO194" s="136" t="str">
        <f aca="false">IF($BR194&lt;&gt;Constants!$B$8,"",IF($AS194,0,Constants!$B$15)+IF($AR194,0,Constants!$B$16)+IF($AH194,0,Constants!$B$17))</f>
        <v/>
      </c>
      <c r="BP194" s="137" t="str">
        <f aca="false">IF($BR194&lt;&gt;Constants!$B$8,"",Constants!$B$20+SUM($BK194:$BO194))</f>
        <v/>
      </c>
      <c r="BQ194" s="133" t="str">
        <f aca="false">IF(ISBLANK($C194),"",IF(ISBLANK($D$7),$BQ$5,IF(NOT(ISNUMBER($D$7)),$BQ$6,"")))</f>
        <v/>
      </c>
      <c r="BR194" s="133" t="str">
        <f aca="false">IF(ISBLANK($C194),"",IF($BA194,Constants!$B$11,IF(COUNTA($E194:$AA194)=0,Constants!$B$10,IF(NOT($AG194),Constants!$B$9,IF(OR($BQ194&lt;&gt;"",$BB194,$BJ194),Constants!$B$12,Constants!$B$8)))))</f>
        <v/>
      </c>
      <c r="BS194" s="133" t="str">
        <f aca="false">IF(ISBLANK($C194),"",IF($BR194&lt;&gt;Constants!$B$8,$BR194,Constants!$B$13))</f>
        <v/>
      </c>
      <c r="BT194" s="136" t="str">
        <f aca="false">IF($BR194&lt;&gt;Constants!$B$8,"",IF($BI194="-&gt;",$BP194,$BH194))</f>
        <v/>
      </c>
      <c r="BU194" s="136" t="str">
        <f aca="false">IF($BR194&lt;&gt;Constants!$B$8,"",IF($AF194,0,Constants!$B$18))</f>
        <v/>
      </c>
      <c r="BV194" s="136" t="str">
        <f aca="false">IF($BR194&lt;&gt;Constants!$B$8,"",((Constants!$B$31-$AZ194)-Constants!$B$31)/Constants!$B$32)</f>
        <v/>
      </c>
      <c r="BW194" s="136" t="str">
        <f aca="false">IF(ISBLANK($C194),"",IF($BR194&lt;&gt;Constants!$B$8,$BR194,SUM($BT194:$BV194)))</f>
        <v/>
      </c>
      <c r="BX194" s="133" t="str">
        <f aca="false">IF(ISBLANK($C194),"",IF($BR194&lt;&gt;Constants!$B$8,$BR194,RANK($BW194,$BW$9:$BW$508,1)))</f>
        <v/>
      </c>
      <c r="BY194" s="136" t="str">
        <f aca="false">IF($BR194&lt;&gt;Constants!$B$8,"",IF($BI194="-&gt;",$BK194,$BC194))</f>
        <v/>
      </c>
      <c r="BZ194" s="133" t="str">
        <f aca="false">IF(ISBLANK($C194),"",IF($BR194&lt;&gt;Constants!$B$8,$BR194,IF(ISNUMBER($BY194),RANK($BY194,$BY$9:$BY$508,1),COUNT($BY$9:$BY$508)+1)))</f>
        <v/>
      </c>
      <c r="CA194" s="136" t="str">
        <f aca="false">IF($BR194&lt;&gt;Constants!$B$8,"",IF($BI194="-&gt;",$BL194,$BD194))</f>
        <v/>
      </c>
      <c r="CB194" s="133" t="str">
        <f aca="false">IF(ISBLANK($C194),"",IF($BR194&lt;&gt;Constants!$B$8,$BR194,IF(ISNUMBER($CA194),RANK($CA194,$CA$9:$CA$508,1),COUNT($CA$9:$CA$508)+1)))</f>
        <v/>
      </c>
      <c r="CC194" s="136" t="str">
        <f aca="false">IF($BR194&lt;&gt;Constants!$B$8,"",IF($BI194="-&gt;",IF($AT194,$AV194,""),IF($AL194,$AN194,"")))</f>
        <v/>
      </c>
      <c r="CD194" s="133" t="str">
        <f aca="false">IF(ISBLANK($C194),"",IF($BR194&lt;&gt;Constants!$B$8,$BR194,IF(ISNUMBER($CC194),RANK($CC194,$CC$9:$CC$508,1),COUNT($CC$9:$CC$508)+1)))</f>
        <v/>
      </c>
      <c r="CE194" s="136" t="str">
        <f aca="false">IF($BR194&lt;&gt;Constants!$B$8,"",IF(AND(NOT($AL194),NOT($AT194),$AJ194,$AK194,$AR194,$AS194),"",$AI194))</f>
        <v/>
      </c>
      <c r="CF194" s="133" t="str">
        <f aca="false">IF(ISBLANK($C194),"",IF($BR194&lt;&gt;Constants!$B$8,$BR194,IF(ISNUMBER($CE194),RANK($CE194,$CE$9:$CE$508,1),COUNT($CE$9:$CE$508)+1)))</f>
        <v/>
      </c>
      <c r="CG194" s="133" t="str">
        <f aca="false">IF(ISBLANK($C194),"",IF($BR194&lt;&gt;Constants!$B$8,$BR194,COUNTIFS($BX$9:$BX$508,"&lt;"&amp;$BX194)+COUNTIFS($BX$9:$BX$508,$BX194,$BZ$9:$BZ$508,"&lt;"&amp;$BZ194)+COUNTIFS($BX$9:$BX$508,$BX194,$BZ$9:$BZ$508,$BZ194,$CB$9:$CB$508,"&lt;"&amp;$CB194)+COUNTIFS($BX$9:$BX$508,$BX194,$BZ$9:$BZ$508,$BZ194,$CB$9:$CB$508,$CB194,$CD$9:$CD$508,"&lt;"&amp;$CD194)+COUNTIFS($BX$9:$BX$508,$BX194,$BZ$9:$BZ$508,$BZ194,$CB$9:$CB$508,$CB194,$CD$9:$CD$508,$CD194,$CF$9:$CF$508,"&lt;"&amp;$CF194)+1))</f>
        <v/>
      </c>
      <c r="CH194" s="133" t="str">
        <f aca="false">IF(ISBLANK($C194),"",IF($BR194&lt;&gt;Constants!$B$8,$BR194,$BX194-$CG194))</f>
        <v/>
      </c>
      <c r="CI194" s="138"/>
      <c r="CJ194" s="139"/>
      <c r="CK194" s="140" t="str">
        <f aca="false">IF(ISBLANK($C194),"",IF($BR194=Constants!$B$12,$BQ194,""))</f>
        <v/>
      </c>
      <c r="CL194" s="139" t="str">
        <f aca="false">IF(ISBLANK($C194),"",IF($BR194&lt;&gt;Constants!$B$8,"",IF($BI194="-&gt;",2,1)))</f>
        <v/>
      </c>
      <c r="CM194" s="141" t="str">
        <f aca="false">IF(ISBLANK($C194),"",IF($BR194&lt;&gt;Constants!$B$8,"",IF($BI194="-&gt;",$BK194,$BC194)))</f>
        <v/>
      </c>
      <c r="CN194" s="141" t="str">
        <f aca="false">IF(ISBLANK($C194),"",IF($BR194&lt;&gt;Constants!$B$8,"",IF($BI194="-&gt;",$BL194,$BD194)))</f>
        <v/>
      </c>
      <c r="CO194" s="141" t="str">
        <f aca="false">IF(ISBLANK($C194),"",IF($BR194&lt;&gt;Constants!$B$8,"",IF($BI194="-&gt;",$BM194+$BN194,$BE194+$BF194)+$BV194))</f>
        <v/>
      </c>
      <c r="CP194" s="141" t="str">
        <f aca="false">IF(ISBLANK($C194),"",IF($BR194&lt;&gt;Constants!$B$8,"",IF($BI194="-&gt;",$BO194,$BG194)+$BU194))</f>
        <v/>
      </c>
      <c r="CQ194" s="142" t="str">
        <f aca="false">IF(ISBLANK($C194),"",IF($BR194&lt;&gt;Constants!$B$8,$BR194,$BW194))</f>
        <v/>
      </c>
      <c r="CR194" s="143" t="str">
        <f aca="false">IF(ISBLANK($C194),"",$BS194)</f>
        <v/>
      </c>
      <c r="CS194" s="144" t="str">
        <f aca="false">IF(ISBLANK($C194),"",$CH194)</f>
        <v/>
      </c>
      <c r="CT194" s="144" t="str">
        <f aca="false">IF(ISBLANK($C194),"",$CG194)</f>
        <v/>
      </c>
      <c r="CU194" s="145" t="str">
        <f aca="false">IF(ISBLANK($C194),"",IFERROR(_xlfn.SWITCH($CT194,Constants!$B$11,COUNTA($C$9:$C$508)+2,Constants!$B$10,COUNTA($C$9:$C$508)+1,Constants!$B$9,COUNTA($C$9:$C$508)),$CT194))</f>
        <v/>
      </c>
      <c r="CV194" s="9"/>
      <c r="CW194" s="146" t="n">
        <f aca="false">IF(OR(ISNUMBER($CT194),$CT194=Constants!$B$11,$CT194=Constants!$B$9,$CT194=Constants!$B$10),1,0)</f>
        <v>0</v>
      </c>
      <c r="CX194" s="146" t="n">
        <v>186</v>
      </c>
      <c r="CY194" s="146" t="str">
        <f aca="false">IF(ISBLANK($C194),"",IF(ISNUMBER($CU194),$CU194+ROW($B194)/1000,""))</f>
        <v/>
      </c>
      <c r="CZ194" s="146" t="str">
        <f aca="false">IF(ISNUMBER($CY194),RANK($CY194,$CY$9:$CY$508,1),"")</f>
        <v/>
      </c>
      <c r="DA194" s="146" t="str">
        <f aca="false">IF(ISBLANK($C194),"",$B194)</f>
        <v/>
      </c>
      <c r="DB194" s="146" t="str">
        <f aca="false">IF(ISBLANK($C194),"",$C194)</f>
        <v/>
      </c>
      <c r="DC194" s="146" t="str">
        <f aca="false">IF(ISBLANK($C194),"",$D194)</f>
        <v/>
      </c>
      <c r="DD194" s="147" t="str">
        <f aca="false">$CR194</f>
        <v/>
      </c>
      <c r="DE194" s="148" t="str">
        <f aca="false">$CQ194</f>
        <v/>
      </c>
      <c r="DF194" s="146" t="str">
        <f aca="false">IF(ISBLANK($C194),"",$CT194)</f>
        <v/>
      </c>
      <c r="DG194" s="149" t="str">
        <f aca="false">IF($CX194&gt;$CW$8,"",VLOOKUP($CX194,$CZ$9:$DF$508,7,FALSE()))</f>
        <v/>
      </c>
      <c r="DH194" s="150" t="str">
        <f aca="false">IF($CX194&gt;$CW$8,"",VLOOKUP($CX194,$CZ$9:$DF$508,2,FALSE()))</f>
        <v/>
      </c>
      <c r="DI194" s="150" t="str">
        <f aca="false">IF($CX194&gt;$CW$8,"",VLOOKUP($CX194,$CZ$9:$DF$508,3,FALSE()))</f>
        <v/>
      </c>
      <c r="DJ194" s="150" t="str">
        <f aca="false">IF($CX194&gt;$CW$8,"",VLOOKUP($CX194,$CZ$9:$DF$508,4,FALSE()))</f>
        <v/>
      </c>
      <c r="DK194" s="150" t="str">
        <f aca="false">IF($CX194&gt;$CW$8,"",VLOOKUP($CX194,$CZ$9:$DF$508,5,FALSE()))</f>
        <v/>
      </c>
      <c r="DL194" s="151" t="str">
        <f aca="false">IF($CX194&gt;$CW$8,"",VLOOKUP($CX194,$CZ$9:$DF$508,6,FALSE()))</f>
        <v/>
      </c>
      <c r="DM194" s="75"/>
    </row>
    <row r="195" customFormat="false" ht="15.75" hidden="false" customHeight="false" outlineLevel="0" collapsed="false">
      <c r="A195" s="9"/>
      <c r="B195" s="77"/>
      <c r="C195" s="78"/>
      <c r="D195" s="167"/>
      <c r="E195" s="175"/>
      <c r="F195" s="169"/>
      <c r="G195" s="170"/>
      <c r="H195" s="170"/>
      <c r="I195" s="176"/>
      <c r="J195" s="173"/>
      <c r="K195" s="85"/>
      <c r="L195" s="86"/>
      <c r="M195" s="87"/>
      <c r="N195" s="173"/>
      <c r="O195" s="173"/>
      <c r="P195" s="175"/>
      <c r="Q195" s="173"/>
      <c r="R195" s="173"/>
      <c r="S195" s="85"/>
      <c r="T195" s="87"/>
      <c r="U195" s="87"/>
      <c r="V195" s="173"/>
      <c r="W195" s="173"/>
      <c r="X195" s="175"/>
      <c r="Y195" s="173"/>
      <c r="Z195" s="174"/>
      <c r="AA195" s="173"/>
      <c r="AB195" s="91"/>
      <c r="AC195" s="92"/>
      <c r="AD195" s="92"/>
      <c r="AE195" s="92"/>
      <c r="AF195" s="92" t="str">
        <f aca="false">IF(ISBLANK($C195),"",IF(E195=Constants!$B$3,TRUE(),IF(E195=Constants!$B$4,FALSE(),TRUE())))</f>
        <v/>
      </c>
      <c r="AG195" s="92" t="str">
        <f aca="false">IF(ISBLANK($C195),"",IF(F195=Constants!$B$3,TRUE(),IF(F195=Constants!$B$4,FALSE(),TRUE())))</f>
        <v/>
      </c>
      <c r="AH195" s="92" t="str">
        <f aca="false">IF(ISBLANK($C195),"",IF(G195=Constants!$B$3,TRUE(),IF(G195=Constants!$B$4,FALSE(),TRUE())))</f>
        <v/>
      </c>
      <c r="AI195" s="92" t="str">
        <f aca="false">IF(ISBLANK($C195),"",IF(AND(ISNUMBER(H195),H195&gt;=0),H195,Constants!$B$29))</f>
        <v/>
      </c>
      <c r="AJ195" s="92" t="str">
        <f aca="false">IF(ISBLANK($C195),"",IF(I195=Constants!$B$3,TRUE(),IF(I195=Constants!$B$4,FALSE(),TRUE())))</f>
        <v/>
      </c>
      <c r="AK195" s="92" t="str">
        <f aca="false">IF(ISBLANK($C195),"",IF(J195=Constants!$B$3,TRUE(),IF(J195=Constants!$B$4,FALSE(),TRUE())))</f>
        <v/>
      </c>
      <c r="AL195" s="92" t="str">
        <f aca="false">IF(ISBLANK($C195),"",IF(K195=Constants!$B$5,TRUE(),IF(K195=Constants!$B$6,FALSE(),COUNTA(L195:P195)&gt;0)))</f>
        <v/>
      </c>
      <c r="AM195" s="94" t="str">
        <f aca="false">IF(ISBLANK($C195),"",IF(ISNUMBER(L195),IF(L195&gt;=0,L195,""),""))</f>
        <v/>
      </c>
      <c r="AN195" s="93" t="str">
        <f aca="false">IF(ISBLANK($C195),"",IF(ISNUMBER(M195),IF(M195&gt;=0,M195,""),""))</f>
        <v/>
      </c>
      <c r="AO195" s="93" t="str">
        <f aca="false">IF(ISBLANK($C195),"",IF(N195=Constants!$B$3,TRUE(),IF(N195=Constants!$B$4,FALSE(),TRUE())))</f>
        <v/>
      </c>
      <c r="AP195" s="92" t="str">
        <f aca="false">IF(ISBLANK($C195),"",IF(ISNUMBER(O195),IF(O195&gt;=0,O195,""),""))</f>
        <v/>
      </c>
      <c r="AQ195" s="92" t="str">
        <f aca="false">IF(ISBLANK($C195),"",IF(P195=Constants!$B$3,TRUE(),IF(P195=Constants!$B$4,FALSE(),FALSE())))</f>
        <v/>
      </c>
      <c r="AR195" s="92" t="str">
        <f aca="false">IF(ISBLANK($C195),"",IF(Q195=Constants!$B$3,TRUE(),IF(Q195=Constants!$B$4,FALSE(),TRUE())))</f>
        <v/>
      </c>
      <c r="AS195" s="92" t="str">
        <f aca="false">IF(ISBLANK($C195),"",IF(R195=Constants!$B$3,TRUE(),IF(R195=Constants!$B$4,FALSE(),TRUE())))</f>
        <v/>
      </c>
      <c r="AT195" s="92" t="str">
        <f aca="false">IF(ISBLANK($C195),"",IF(S195=Constants!$B$5,TRUE(),IF(S195=Constants!$B$6,FALSE(),COUNTA(T195:X195)&gt;0)))</f>
        <v/>
      </c>
      <c r="AU195" s="94" t="str">
        <f aca="false">IF(ISBLANK($C195),"",IF(ISNUMBER(T195),IF(T195&gt;=0,T195,""),""))</f>
        <v/>
      </c>
      <c r="AV195" s="93" t="str">
        <f aca="false">IF(ISBLANK($C195),"",IF(ISNUMBER(U195),IF(U195&gt;=0,U195,""),""))</f>
        <v/>
      </c>
      <c r="AW195" s="93" t="str">
        <f aca="false">IF(ISBLANK($C195),"",IF(V195=Constants!$B$3,TRUE(),IF(V195=Constants!$B$4,FALSE(),TRUE())))</f>
        <v/>
      </c>
      <c r="AX195" s="92" t="str">
        <f aca="false">IF(ISBLANK($C195),"",IF(ISNUMBER(W195),IF(W195&gt;=0,W195,""),""))</f>
        <v/>
      </c>
      <c r="AY195" s="92" t="str">
        <f aca="false">IF(ISBLANK($C195),"",IF(X195=Constants!$B$3,TRUE(),IF(X195=Constants!$B$4,FALSE(),FALSE())))</f>
        <v/>
      </c>
      <c r="AZ195" s="92" t="str">
        <f aca="false">IF(ISBLANK($C195),"",MIN(Constants!$B$31,MAX(0,IF(ISNUMBER(Y195),Y195*60,0)+IF(ISNUMBER(Z195),Z195,0))))</f>
        <v/>
      </c>
      <c r="BA195" s="92" t="str">
        <f aca="false">IF(ISBLANK($C195),"",IF(AA195=Constants!$B$3,TRUE(),IF(AA195=Constants!$B$4,FALSE(),FALSE())))</f>
        <v/>
      </c>
      <c r="BB195" s="91" t="str">
        <f aca="false">IF(ISBLANK($C195),"",AND($AL195,OR($AM195="",$AN195="",AND($AO195,$AP195=""))))</f>
        <v/>
      </c>
      <c r="BC195" s="93" t="str">
        <f aca="false">IF($BR195&lt;&gt;Constants!$B$8,"",IF($AL195,Constants!$B$21*$AN195+Constants!$B$22*IF($AO195,$AP195,Constants!$B$23),Constants!$B$24))</f>
        <v/>
      </c>
      <c r="BD195" s="96" t="str">
        <f aca="false">IF($BR195&lt;&gt;Constants!$B$8,"",Constants!$B$25*ABS($AD$9-IF($AL195,$AM195,0)))</f>
        <v/>
      </c>
      <c r="BE195" s="96" t="str">
        <f aca="false">IF($BR195&lt;&gt;Constants!$B$8,"",IF(AND($AL195,$AQ195,$AO195),Constants!$B$27,0))</f>
        <v/>
      </c>
      <c r="BF195" s="96" t="str">
        <f aca="false">IF($BR195&lt;&gt;Constants!$B$8,"",IF($AL195,($AI195-Constants!$B$29)*Constants!$B$28,0))</f>
        <v/>
      </c>
      <c r="BG195" s="96" t="str">
        <f aca="false">IF($BR195&lt;&gt;Constants!$B$8,"",IF($AK195,0,Constants!$B$15)+IF($AJ195,0,Constants!$B$16)+IF($AH195,0,Constants!$B$17))</f>
        <v/>
      </c>
      <c r="BH195" s="97" t="str">
        <f aca="false">IF($BR195&lt;&gt;Constants!$B$8,"",Constants!$B$20+SUM($BC195:$BG195))</f>
        <v/>
      </c>
      <c r="BI195" s="92" t="str">
        <f aca="false">IF($BR195&lt;&gt;Constants!$B$8,"",IF(OR($BP195&lt;$BH195,AND($BP195=$BH195,OR($BK195&lt;$BC195,AND($BK195=$BC195,OR($BL195&lt;$BD195,AND($BL195=$BD195,$AT195,$AL195,$AV195&lt;$AN195)))))),"-&gt;","&lt;-"))</f>
        <v/>
      </c>
      <c r="BJ195" s="91" t="str">
        <f aca="false">IF(ISBLANK($C195),"",AND($AT195,OR($AU195="",$AV195="",AND($AW195,$AX195=""))))</f>
        <v/>
      </c>
      <c r="BK195" s="93" t="str">
        <f aca="false">IF($BR195&lt;&gt;Constants!$B$8,"",IF($AT195,Constants!$B$21*$AV195+Constants!$B$22*IF($AW195,$AX195,Constants!$B$23),Constants!$B$24))</f>
        <v/>
      </c>
      <c r="BL195" s="96" t="str">
        <f aca="false">IF($BR195&lt;&gt;Constants!$B$8,"",Constants!$B$25*ABS($AD$9-IF($AT195,$AU195,0)))</f>
        <v/>
      </c>
      <c r="BM195" s="96" t="str">
        <f aca="false">IF($BR195&lt;&gt;Constants!$B$8,"",IF(AND($AT195,$AY195,$AW195),Constants!$B$27,0))</f>
        <v/>
      </c>
      <c r="BN195" s="96" t="str">
        <f aca="false">IF($BR195&lt;&gt;Constants!$B$8,"",IF($AT195,($AI195-Constants!$B$29)*Constants!$B$28,0))</f>
        <v/>
      </c>
      <c r="BO195" s="96" t="str">
        <f aca="false">IF($BR195&lt;&gt;Constants!$B$8,"",IF($AS195,0,Constants!$B$15)+IF($AR195,0,Constants!$B$16)+IF($AH195,0,Constants!$B$17))</f>
        <v/>
      </c>
      <c r="BP195" s="97" t="str">
        <f aca="false">IF($BR195&lt;&gt;Constants!$B$8,"",Constants!$B$20+SUM($BK195:$BO195))</f>
        <v/>
      </c>
      <c r="BQ195" s="92" t="str">
        <f aca="false">IF(ISBLANK($C195),"",IF(ISBLANK($D$7),$BQ$5,IF(NOT(ISNUMBER($D$7)),$BQ$6,"")))</f>
        <v/>
      </c>
      <c r="BR195" s="92" t="str">
        <f aca="false">IF(ISBLANK($C195),"",IF($BA195,Constants!$B$11,IF(COUNTA($E195:$AA195)=0,Constants!$B$10,IF(NOT($AG195),Constants!$B$9,IF(OR($BQ195&lt;&gt;"",$BB195,$BJ195),Constants!$B$12,Constants!$B$8)))))</f>
        <v/>
      </c>
      <c r="BS195" s="92" t="str">
        <f aca="false">IF(ISBLANK($C195),"",IF($BR195&lt;&gt;Constants!$B$8,$BR195,Constants!$B$13))</f>
        <v/>
      </c>
      <c r="BT195" s="96" t="str">
        <f aca="false">IF($BR195&lt;&gt;Constants!$B$8,"",IF($BI195="-&gt;",$BP195,$BH195))</f>
        <v/>
      </c>
      <c r="BU195" s="96" t="str">
        <f aca="false">IF($BR195&lt;&gt;Constants!$B$8,"",IF($AF195,0,Constants!$B$18))</f>
        <v/>
      </c>
      <c r="BV195" s="96" t="str">
        <f aca="false">IF($BR195&lt;&gt;Constants!$B$8,"",((Constants!$B$31-$AZ195)-Constants!$B$31)/Constants!$B$32)</f>
        <v/>
      </c>
      <c r="BW195" s="96" t="str">
        <f aca="false">IF(ISBLANK($C195),"",IF($BR195&lt;&gt;Constants!$B$8,$BR195,SUM($BT195:$BV195)))</f>
        <v/>
      </c>
      <c r="BX195" s="92" t="str">
        <f aca="false">IF(ISBLANK($C195),"",IF($BR195&lt;&gt;Constants!$B$8,$BR195,RANK($BW195,$BW$9:$BW$508,1)))</f>
        <v/>
      </c>
      <c r="BY195" s="96" t="str">
        <f aca="false">IF($BR195&lt;&gt;Constants!$B$8,"",IF($BI195="-&gt;",$BK195,$BC195))</f>
        <v/>
      </c>
      <c r="BZ195" s="92" t="str">
        <f aca="false">IF(ISBLANK($C195),"",IF($BR195&lt;&gt;Constants!$B$8,$BR195,IF(ISNUMBER($BY195),RANK($BY195,$BY$9:$BY$508,1),COUNT($BY$9:$BY$508)+1)))</f>
        <v/>
      </c>
      <c r="CA195" s="96" t="str">
        <f aca="false">IF($BR195&lt;&gt;Constants!$B$8,"",IF($BI195="-&gt;",$BL195,$BD195))</f>
        <v/>
      </c>
      <c r="CB195" s="92" t="str">
        <f aca="false">IF(ISBLANK($C195),"",IF($BR195&lt;&gt;Constants!$B$8,$BR195,IF(ISNUMBER($CA195),RANK($CA195,$CA$9:$CA$508,1),COUNT($CA$9:$CA$508)+1)))</f>
        <v/>
      </c>
      <c r="CC195" s="96" t="str">
        <f aca="false">IF($BR195&lt;&gt;Constants!$B$8,"",IF($BI195="-&gt;",IF($AT195,$AV195,""),IF($AL195,$AN195,"")))</f>
        <v/>
      </c>
      <c r="CD195" s="92" t="str">
        <f aca="false">IF(ISBLANK($C195),"",IF($BR195&lt;&gt;Constants!$B$8,$BR195,IF(ISNUMBER($CC195),RANK($CC195,$CC$9:$CC$508,1),COUNT($CC$9:$CC$508)+1)))</f>
        <v/>
      </c>
      <c r="CE195" s="96" t="str">
        <f aca="false">IF($BR195&lt;&gt;Constants!$B$8,"",IF(AND(NOT($AL195),NOT($AT195),$AJ195,$AK195,$AR195,$AS195),"",$AI195))</f>
        <v/>
      </c>
      <c r="CF195" s="92" t="str">
        <f aca="false">IF(ISBLANK($C195),"",IF($BR195&lt;&gt;Constants!$B$8,$BR195,IF(ISNUMBER($CE195),RANK($CE195,$CE$9:$CE$508,1),COUNT($CE$9:$CE$508)+1)))</f>
        <v/>
      </c>
      <c r="CG195" s="92" t="str">
        <f aca="false">IF(ISBLANK($C195),"",IF($BR195&lt;&gt;Constants!$B$8,$BR195,COUNTIFS($BX$9:$BX$508,"&lt;"&amp;$BX195)+COUNTIFS($BX$9:$BX$508,$BX195,$BZ$9:$BZ$508,"&lt;"&amp;$BZ195)+COUNTIFS($BX$9:$BX$508,$BX195,$BZ$9:$BZ$508,$BZ195,$CB$9:$CB$508,"&lt;"&amp;$CB195)+COUNTIFS($BX$9:$BX$508,$BX195,$BZ$9:$BZ$508,$BZ195,$CB$9:$CB$508,$CB195,$CD$9:$CD$508,"&lt;"&amp;$CD195)+COUNTIFS($BX$9:$BX$508,$BX195,$BZ$9:$BZ$508,$BZ195,$CB$9:$CB$508,$CB195,$CD$9:$CD$508,$CD195,$CF$9:$CF$508,"&lt;"&amp;$CF195)+1))</f>
        <v/>
      </c>
      <c r="CH195" s="92" t="str">
        <f aca="false">IF(ISBLANK($C195),"",IF($BR195&lt;&gt;Constants!$B$8,$BR195,$BX195-$CG195))</f>
        <v/>
      </c>
      <c r="CI195" s="98"/>
      <c r="CJ195" s="99"/>
      <c r="CK195" s="100" t="str">
        <f aca="false">IF(ISBLANK($C195),"",IF($BR195=Constants!$B$12,$BQ195,""))</f>
        <v/>
      </c>
      <c r="CL195" s="99" t="str">
        <f aca="false">IF(ISBLANK($C195),"",IF($BR195&lt;&gt;Constants!$B$8,"",IF($BI195="-&gt;",2,1)))</f>
        <v/>
      </c>
      <c r="CM195" s="101" t="str">
        <f aca="false">IF(ISBLANK($C195),"",IF($BR195&lt;&gt;Constants!$B$8,"",IF($BI195="-&gt;",$BK195,$BC195)))</f>
        <v/>
      </c>
      <c r="CN195" s="101" t="str">
        <f aca="false">IF(ISBLANK($C195),"",IF($BR195&lt;&gt;Constants!$B$8,"",IF($BI195="-&gt;",$BL195,$BD195)))</f>
        <v/>
      </c>
      <c r="CO195" s="101" t="str">
        <f aca="false">IF(ISBLANK($C195),"",IF($BR195&lt;&gt;Constants!$B$8,"",IF($BI195="-&gt;",$BM195+$BN195,$BE195+$BF195)+$BV195))</f>
        <v/>
      </c>
      <c r="CP195" s="101" t="str">
        <f aca="false">IF(ISBLANK($C195),"",IF($BR195&lt;&gt;Constants!$B$8,"",IF($BI195="-&gt;",$BO195,$BG195)+$BU195))</f>
        <v/>
      </c>
      <c r="CQ195" s="102" t="str">
        <f aca="false">IF(ISBLANK($C195),"",IF($BR195&lt;&gt;Constants!$B$8,$BR195,$BW195))</f>
        <v/>
      </c>
      <c r="CR195" s="103" t="str">
        <f aca="false">IF(ISBLANK($C195),"",$BS195)</f>
        <v/>
      </c>
      <c r="CS195" s="104" t="str">
        <f aca="false">IF(ISBLANK($C195),"",$CH195)</f>
        <v/>
      </c>
      <c r="CT195" s="104" t="str">
        <f aca="false">IF(ISBLANK($C195),"",$CG195)</f>
        <v/>
      </c>
      <c r="CU195" s="105" t="str">
        <f aca="false">IF(ISBLANK($C195),"",IFERROR(_xlfn.SWITCH($CT195,Constants!$B$11,COUNTA($C$9:$C$508)+2,Constants!$B$10,COUNTA($C$9:$C$508)+1,Constants!$B$9,COUNTA($C$9:$C$508)),$CT195))</f>
        <v/>
      </c>
      <c r="CV195" s="9"/>
      <c r="CW195" s="106" t="n">
        <f aca="false">IF(OR(ISNUMBER($CT195),$CT195=Constants!$B$11,$CT195=Constants!$B$9,$CT195=Constants!$B$10),1,0)</f>
        <v>0</v>
      </c>
      <c r="CX195" s="106" t="n">
        <v>187</v>
      </c>
      <c r="CY195" s="106" t="str">
        <f aca="false">IF(ISBLANK($C195),"",IF(ISNUMBER($CU195),$CU195+ROW($B195)/1000,""))</f>
        <v/>
      </c>
      <c r="CZ195" s="106" t="str">
        <f aca="false">IF(ISNUMBER($CY195),RANK($CY195,$CY$9:$CY$508,1),"")</f>
        <v/>
      </c>
      <c r="DA195" s="106" t="str">
        <f aca="false">IF(ISBLANK($C195),"",$B195)</f>
        <v/>
      </c>
      <c r="DB195" s="106" t="str">
        <f aca="false">IF(ISBLANK($C195),"",$C195)</f>
        <v/>
      </c>
      <c r="DC195" s="106" t="str">
        <f aca="false">IF(ISBLANK($C195),"",$D195)</f>
        <v/>
      </c>
      <c r="DD195" s="107" t="str">
        <f aca="false">$CR195</f>
        <v/>
      </c>
      <c r="DE195" s="108" t="str">
        <f aca="false">$CQ195</f>
        <v/>
      </c>
      <c r="DF195" s="106" t="str">
        <f aca="false">IF(ISBLANK($C195),"",$CT195)</f>
        <v/>
      </c>
      <c r="DG195" s="109" t="str">
        <f aca="false">IF($CX195&gt;$CW$8,"",VLOOKUP($CX195,$CZ$9:$DF$508,7,FALSE()))</f>
        <v/>
      </c>
      <c r="DH195" s="110" t="str">
        <f aca="false">IF($CX195&gt;$CW$8,"",VLOOKUP($CX195,$CZ$9:$DF$508,2,FALSE()))</f>
        <v/>
      </c>
      <c r="DI195" s="110" t="str">
        <f aca="false">IF($CX195&gt;$CW$8,"",VLOOKUP($CX195,$CZ$9:$DF$508,3,FALSE()))</f>
        <v/>
      </c>
      <c r="DJ195" s="110" t="str">
        <f aca="false">IF($CX195&gt;$CW$8,"",VLOOKUP($CX195,$CZ$9:$DF$508,4,FALSE()))</f>
        <v/>
      </c>
      <c r="DK195" s="110" t="str">
        <f aca="false">IF($CX195&gt;$CW$8,"",VLOOKUP($CX195,$CZ$9:$DF$508,5,FALSE()))</f>
        <v/>
      </c>
      <c r="DL195" s="111" t="str">
        <f aca="false">IF($CX195&gt;$CW$8,"",VLOOKUP($CX195,$CZ$9:$DF$508,6,FALSE()))</f>
        <v/>
      </c>
      <c r="DM195" s="75"/>
    </row>
    <row r="196" customFormat="false" ht="15.75" hidden="false" customHeight="false" outlineLevel="0" collapsed="false">
      <c r="A196" s="9"/>
      <c r="B196" s="77"/>
      <c r="C196" s="78"/>
      <c r="D196" s="167"/>
      <c r="E196" s="175"/>
      <c r="F196" s="169"/>
      <c r="G196" s="170"/>
      <c r="H196" s="170"/>
      <c r="I196" s="176"/>
      <c r="J196" s="173"/>
      <c r="K196" s="85"/>
      <c r="L196" s="86"/>
      <c r="M196" s="87"/>
      <c r="N196" s="173"/>
      <c r="O196" s="173"/>
      <c r="P196" s="175"/>
      <c r="Q196" s="173"/>
      <c r="R196" s="173"/>
      <c r="S196" s="85"/>
      <c r="T196" s="87"/>
      <c r="U196" s="87"/>
      <c r="V196" s="173"/>
      <c r="W196" s="173"/>
      <c r="X196" s="175"/>
      <c r="Y196" s="173"/>
      <c r="Z196" s="174"/>
      <c r="AA196" s="173"/>
      <c r="AB196" s="91"/>
      <c r="AC196" s="92"/>
      <c r="AD196" s="92"/>
      <c r="AE196" s="92"/>
      <c r="AF196" s="92" t="str">
        <f aca="false">IF(ISBLANK($C196),"",IF(E196=Constants!$B$3,TRUE(),IF(E196=Constants!$B$4,FALSE(),TRUE())))</f>
        <v/>
      </c>
      <c r="AG196" s="92" t="str">
        <f aca="false">IF(ISBLANK($C196),"",IF(F196=Constants!$B$3,TRUE(),IF(F196=Constants!$B$4,FALSE(),TRUE())))</f>
        <v/>
      </c>
      <c r="AH196" s="92" t="str">
        <f aca="false">IF(ISBLANK($C196),"",IF(G196=Constants!$B$3,TRUE(),IF(G196=Constants!$B$4,FALSE(),TRUE())))</f>
        <v/>
      </c>
      <c r="AI196" s="92" t="str">
        <f aca="false">IF(ISBLANK($C196),"",IF(AND(ISNUMBER(H196),H196&gt;=0),H196,Constants!$B$29))</f>
        <v/>
      </c>
      <c r="AJ196" s="92" t="str">
        <f aca="false">IF(ISBLANK($C196),"",IF(I196=Constants!$B$3,TRUE(),IF(I196=Constants!$B$4,FALSE(),TRUE())))</f>
        <v/>
      </c>
      <c r="AK196" s="92" t="str">
        <f aca="false">IF(ISBLANK($C196),"",IF(J196=Constants!$B$3,TRUE(),IF(J196=Constants!$B$4,FALSE(),TRUE())))</f>
        <v/>
      </c>
      <c r="AL196" s="92" t="str">
        <f aca="false">IF(ISBLANK($C196),"",IF(K196=Constants!$B$5,TRUE(),IF(K196=Constants!$B$6,FALSE(),COUNTA(L196:P196)&gt;0)))</f>
        <v/>
      </c>
      <c r="AM196" s="94" t="str">
        <f aca="false">IF(ISBLANK($C196),"",IF(ISNUMBER(L196),IF(L196&gt;=0,L196,""),""))</f>
        <v/>
      </c>
      <c r="AN196" s="93" t="str">
        <f aca="false">IF(ISBLANK($C196),"",IF(ISNUMBER(M196),IF(M196&gt;=0,M196,""),""))</f>
        <v/>
      </c>
      <c r="AO196" s="93" t="str">
        <f aca="false">IF(ISBLANK($C196),"",IF(N196=Constants!$B$3,TRUE(),IF(N196=Constants!$B$4,FALSE(),TRUE())))</f>
        <v/>
      </c>
      <c r="AP196" s="92" t="str">
        <f aca="false">IF(ISBLANK($C196),"",IF(ISNUMBER(O196),IF(O196&gt;=0,O196,""),""))</f>
        <v/>
      </c>
      <c r="AQ196" s="92" t="str">
        <f aca="false">IF(ISBLANK($C196),"",IF(P196=Constants!$B$3,TRUE(),IF(P196=Constants!$B$4,FALSE(),FALSE())))</f>
        <v/>
      </c>
      <c r="AR196" s="92" t="str">
        <f aca="false">IF(ISBLANK($C196),"",IF(Q196=Constants!$B$3,TRUE(),IF(Q196=Constants!$B$4,FALSE(),TRUE())))</f>
        <v/>
      </c>
      <c r="AS196" s="92" t="str">
        <f aca="false">IF(ISBLANK($C196),"",IF(R196=Constants!$B$3,TRUE(),IF(R196=Constants!$B$4,FALSE(),TRUE())))</f>
        <v/>
      </c>
      <c r="AT196" s="92" t="str">
        <f aca="false">IF(ISBLANK($C196),"",IF(S196=Constants!$B$5,TRUE(),IF(S196=Constants!$B$6,FALSE(),COUNTA(T196:X196)&gt;0)))</f>
        <v/>
      </c>
      <c r="AU196" s="94" t="str">
        <f aca="false">IF(ISBLANK($C196),"",IF(ISNUMBER(T196),IF(T196&gt;=0,T196,""),""))</f>
        <v/>
      </c>
      <c r="AV196" s="93" t="str">
        <f aca="false">IF(ISBLANK($C196),"",IF(ISNUMBER(U196),IF(U196&gt;=0,U196,""),""))</f>
        <v/>
      </c>
      <c r="AW196" s="93" t="str">
        <f aca="false">IF(ISBLANK($C196),"",IF(V196=Constants!$B$3,TRUE(),IF(V196=Constants!$B$4,FALSE(),TRUE())))</f>
        <v/>
      </c>
      <c r="AX196" s="92" t="str">
        <f aca="false">IF(ISBLANK($C196),"",IF(ISNUMBER(W196),IF(W196&gt;=0,W196,""),""))</f>
        <v/>
      </c>
      <c r="AY196" s="92" t="str">
        <f aca="false">IF(ISBLANK($C196),"",IF(X196=Constants!$B$3,TRUE(),IF(X196=Constants!$B$4,FALSE(),FALSE())))</f>
        <v/>
      </c>
      <c r="AZ196" s="92" t="str">
        <f aca="false">IF(ISBLANK($C196),"",MIN(Constants!$B$31,MAX(0,IF(ISNUMBER(Y196),Y196*60,0)+IF(ISNUMBER(Z196),Z196,0))))</f>
        <v/>
      </c>
      <c r="BA196" s="92" t="str">
        <f aca="false">IF(ISBLANK($C196),"",IF(AA196=Constants!$B$3,TRUE(),IF(AA196=Constants!$B$4,FALSE(),FALSE())))</f>
        <v/>
      </c>
      <c r="BB196" s="91" t="str">
        <f aca="false">IF(ISBLANK($C196),"",AND($AL196,OR($AM196="",$AN196="",AND($AO196,$AP196=""))))</f>
        <v/>
      </c>
      <c r="BC196" s="93" t="str">
        <f aca="false">IF($BR196&lt;&gt;Constants!$B$8,"",IF($AL196,Constants!$B$21*$AN196+Constants!$B$22*IF($AO196,$AP196,Constants!$B$23),Constants!$B$24))</f>
        <v/>
      </c>
      <c r="BD196" s="96" t="str">
        <f aca="false">IF($BR196&lt;&gt;Constants!$B$8,"",Constants!$B$25*ABS($AD$9-IF($AL196,$AM196,0)))</f>
        <v/>
      </c>
      <c r="BE196" s="96" t="str">
        <f aca="false">IF($BR196&lt;&gt;Constants!$B$8,"",IF(AND($AL196,$AQ196,$AO196),Constants!$B$27,0))</f>
        <v/>
      </c>
      <c r="BF196" s="96" t="str">
        <f aca="false">IF($BR196&lt;&gt;Constants!$B$8,"",IF($AL196,($AI196-Constants!$B$29)*Constants!$B$28,0))</f>
        <v/>
      </c>
      <c r="BG196" s="96" t="str">
        <f aca="false">IF($BR196&lt;&gt;Constants!$B$8,"",IF($AK196,0,Constants!$B$15)+IF($AJ196,0,Constants!$B$16)+IF($AH196,0,Constants!$B$17))</f>
        <v/>
      </c>
      <c r="BH196" s="97" t="str">
        <f aca="false">IF($BR196&lt;&gt;Constants!$B$8,"",Constants!$B$20+SUM($BC196:$BG196))</f>
        <v/>
      </c>
      <c r="BI196" s="92" t="str">
        <f aca="false">IF($BR196&lt;&gt;Constants!$B$8,"",IF(OR($BP196&lt;$BH196,AND($BP196=$BH196,OR($BK196&lt;$BC196,AND($BK196=$BC196,OR($BL196&lt;$BD196,AND($BL196=$BD196,$AT196,$AL196,$AV196&lt;$AN196)))))),"-&gt;","&lt;-"))</f>
        <v/>
      </c>
      <c r="BJ196" s="91" t="str">
        <f aca="false">IF(ISBLANK($C196),"",AND($AT196,OR($AU196="",$AV196="",AND($AW196,$AX196=""))))</f>
        <v/>
      </c>
      <c r="BK196" s="93" t="str">
        <f aca="false">IF($BR196&lt;&gt;Constants!$B$8,"",IF($AT196,Constants!$B$21*$AV196+Constants!$B$22*IF($AW196,$AX196,Constants!$B$23),Constants!$B$24))</f>
        <v/>
      </c>
      <c r="BL196" s="96" t="str">
        <f aca="false">IF($BR196&lt;&gt;Constants!$B$8,"",Constants!$B$25*ABS($AD$9-IF($AT196,$AU196,0)))</f>
        <v/>
      </c>
      <c r="BM196" s="96" t="str">
        <f aca="false">IF($BR196&lt;&gt;Constants!$B$8,"",IF(AND($AT196,$AY196,$AW196),Constants!$B$27,0))</f>
        <v/>
      </c>
      <c r="BN196" s="96" t="str">
        <f aca="false">IF($BR196&lt;&gt;Constants!$B$8,"",IF($AT196,($AI196-Constants!$B$29)*Constants!$B$28,0))</f>
        <v/>
      </c>
      <c r="BO196" s="96" t="str">
        <f aca="false">IF($BR196&lt;&gt;Constants!$B$8,"",IF($AS196,0,Constants!$B$15)+IF($AR196,0,Constants!$B$16)+IF($AH196,0,Constants!$B$17))</f>
        <v/>
      </c>
      <c r="BP196" s="97" t="str">
        <f aca="false">IF($BR196&lt;&gt;Constants!$B$8,"",Constants!$B$20+SUM($BK196:$BO196))</f>
        <v/>
      </c>
      <c r="BQ196" s="92" t="str">
        <f aca="false">IF(ISBLANK($C196),"",IF(ISBLANK($D$7),$BQ$5,IF(NOT(ISNUMBER($D$7)),$BQ$6,"")))</f>
        <v/>
      </c>
      <c r="BR196" s="92" t="str">
        <f aca="false">IF(ISBLANK($C196),"",IF($BA196,Constants!$B$11,IF(COUNTA($E196:$AA196)=0,Constants!$B$10,IF(NOT($AG196),Constants!$B$9,IF(OR($BQ196&lt;&gt;"",$BB196,$BJ196),Constants!$B$12,Constants!$B$8)))))</f>
        <v/>
      </c>
      <c r="BS196" s="92" t="str">
        <f aca="false">IF(ISBLANK($C196),"",IF($BR196&lt;&gt;Constants!$B$8,$BR196,Constants!$B$13))</f>
        <v/>
      </c>
      <c r="BT196" s="96" t="str">
        <f aca="false">IF($BR196&lt;&gt;Constants!$B$8,"",IF($BI196="-&gt;",$BP196,$BH196))</f>
        <v/>
      </c>
      <c r="BU196" s="96" t="str">
        <f aca="false">IF($BR196&lt;&gt;Constants!$B$8,"",IF($AF196,0,Constants!$B$18))</f>
        <v/>
      </c>
      <c r="BV196" s="96" t="str">
        <f aca="false">IF($BR196&lt;&gt;Constants!$B$8,"",((Constants!$B$31-$AZ196)-Constants!$B$31)/Constants!$B$32)</f>
        <v/>
      </c>
      <c r="BW196" s="96" t="str">
        <f aca="false">IF(ISBLANK($C196),"",IF($BR196&lt;&gt;Constants!$B$8,$BR196,SUM($BT196:$BV196)))</f>
        <v/>
      </c>
      <c r="BX196" s="92" t="str">
        <f aca="false">IF(ISBLANK($C196),"",IF($BR196&lt;&gt;Constants!$B$8,$BR196,RANK($BW196,$BW$9:$BW$508,1)))</f>
        <v/>
      </c>
      <c r="BY196" s="96" t="str">
        <f aca="false">IF($BR196&lt;&gt;Constants!$B$8,"",IF($BI196="-&gt;",$BK196,$BC196))</f>
        <v/>
      </c>
      <c r="BZ196" s="92" t="str">
        <f aca="false">IF(ISBLANK($C196),"",IF($BR196&lt;&gt;Constants!$B$8,$BR196,IF(ISNUMBER($BY196),RANK($BY196,$BY$9:$BY$508,1),COUNT($BY$9:$BY$508)+1)))</f>
        <v/>
      </c>
      <c r="CA196" s="96" t="str">
        <f aca="false">IF($BR196&lt;&gt;Constants!$B$8,"",IF($BI196="-&gt;",$BL196,$BD196))</f>
        <v/>
      </c>
      <c r="CB196" s="92" t="str">
        <f aca="false">IF(ISBLANK($C196),"",IF($BR196&lt;&gt;Constants!$B$8,$BR196,IF(ISNUMBER($CA196),RANK($CA196,$CA$9:$CA$508,1),COUNT($CA$9:$CA$508)+1)))</f>
        <v/>
      </c>
      <c r="CC196" s="96" t="str">
        <f aca="false">IF($BR196&lt;&gt;Constants!$B$8,"",IF($BI196="-&gt;",IF($AT196,$AV196,""),IF($AL196,$AN196,"")))</f>
        <v/>
      </c>
      <c r="CD196" s="92" t="str">
        <f aca="false">IF(ISBLANK($C196),"",IF($BR196&lt;&gt;Constants!$B$8,$BR196,IF(ISNUMBER($CC196),RANK($CC196,$CC$9:$CC$508,1),COUNT($CC$9:$CC$508)+1)))</f>
        <v/>
      </c>
      <c r="CE196" s="96" t="str">
        <f aca="false">IF($BR196&lt;&gt;Constants!$B$8,"",IF(AND(NOT($AL196),NOT($AT196),$AJ196,$AK196,$AR196,$AS196),"",$AI196))</f>
        <v/>
      </c>
      <c r="CF196" s="92" t="str">
        <f aca="false">IF(ISBLANK($C196),"",IF($BR196&lt;&gt;Constants!$B$8,$BR196,IF(ISNUMBER($CE196),RANK($CE196,$CE$9:$CE$508,1),COUNT($CE$9:$CE$508)+1)))</f>
        <v/>
      </c>
      <c r="CG196" s="92" t="str">
        <f aca="false">IF(ISBLANK($C196),"",IF($BR196&lt;&gt;Constants!$B$8,$BR196,COUNTIFS($BX$9:$BX$508,"&lt;"&amp;$BX196)+COUNTIFS($BX$9:$BX$508,$BX196,$BZ$9:$BZ$508,"&lt;"&amp;$BZ196)+COUNTIFS($BX$9:$BX$508,$BX196,$BZ$9:$BZ$508,$BZ196,$CB$9:$CB$508,"&lt;"&amp;$CB196)+COUNTIFS($BX$9:$BX$508,$BX196,$BZ$9:$BZ$508,$BZ196,$CB$9:$CB$508,$CB196,$CD$9:$CD$508,"&lt;"&amp;$CD196)+COUNTIFS($BX$9:$BX$508,$BX196,$BZ$9:$BZ$508,$BZ196,$CB$9:$CB$508,$CB196,$CD$9:$CD$508,$CD196,$CF$9:$CF$508,"&lt;"&amp;$CF196)+1))</f>
        <v/>
      </c>
      <c r="CH196" s="92" t="str">
        <f aca="false">IF(ISBLANK($C196),"",IF($BR196&lt;&gt;Constants!$B$8,$BR196,$BX196-$CG196))</f>
        <v/>
      </c>
      <c r="CI196" s="98"/>
      <c r="CJ196" s="99"/>
      <c r="CK196" s="100" t="str">
        <f aca="false">IF(ISBLANK($C196),"",IF($BR196=Constants!$B$12,$BQ196,""))</f>
        <v/>
      </c>
      <c r="CL196" s="99" t="str">
        <f aca="false">IF(ISBLANK($C196),"",IF($BR196&lt;&gt;Constants!$B$8,"",IF($BI196="-&gt;",2,1)))</f>
        <v/>
      </c>
      <c r="CM196" s="101" t="str">
        <f aca="false">IF(ISBLANK($C196),"",IF($BR196&lt;&gt;Constants!$B$8,"",IF($BI196="-&gt;",$BK196,$BC196)))</f>
        <v/>
      </c>
      <c r="CN196" s="101" t="str">
        <f aca="false">IF(ISBLANK($C196),"",IF($BR196&lt;&gt;Constants!$B$8,"",IF($BI196="-&gt;",$BL196,$BD196)))</f>
        <v/>
      </c>
      <c r="CO196" s="101" t="str">
        <f aca="false">IF(ISBLANK($C196),"",IF($BR196&lt;&gt;Constants!$B$8,"",IF($BI196="-&gt;",$BM196+$BN196,$BE196+$BF196)+$BV196))</f>
        <v/>
      </c>
      <c r="CP196" s="101" t="str">
        <f aca="false">IF(ISBLANK($C196),"",IF($BR196&lt;&gt;Constants!$B$8,"",IF($BI196="-&gt;",$BO196,$BG196)+$BU196))</f>
        <v/>
      </c>
      <c r="CQ196" s="102" t="str">
        <f aca="false">IF(ISBLANK($C196),"",IF($BR196&lt;&gt;Constants!$B$8,$BR196,$BW196))</f>
        <v/>
      </c>
      <c r="CR196" s="103" t="str">
        <f aca="false">IF(ISBLANK($C196),"",$BS196)</f>
        <v/>
      </c>
      <c r="CS196" s="104" t="str">
        <f aca="false">IF(ISBLANK($C196),"",$CH196)</f>
        <v/>
      </c>
      <c r="CT196" s="104" t="str">
        <f aca="false">IF(ISBLANK($C196),"",$CG196)</f>
        <v/>
      </c>
      <c r="CU196" s="105" t="str">
        <f aca="false">IF(ISBLANK($C196),"",IFERROR(_xlfn.SWITCH($CT196,Constants!$B$11,COUNTA($C$9:$C$508)+2,Constants!$B$10,COUNTA($C$9:$C$508)+1,Constants!$B$9,COUNTA($C$9:$C$508)),$CT196))</f>
        <v/>
      </c>
      <c r="CV196" s="9"/>
      <c r="CW196" s="106" t="n">
        <f aca="false">IF(OR(ISNUMBER($CT196),$CT196=Constants!$B$11,$CT196=Constants!$B$9,$CT196=Constants!$B$10),1,0)</f>
        <v>0</v>
      </c>
      <c r="CX196" s="106" t="n">
        <v>188</v>
      </c>
      <c r="CY196" s="106" t="str">
        <f aca="false">IF(ISBLANK($C196),"",IF(ISNUMBER($CU196),$CU196+ROW($B196)/1000,""))</f>
        <v/>
      </c>
      <c r="CZ196" s="106" t="str">
        <f aca="false">IF(ISNUMBER($CY196),RANK($CY196,$CY$9:$CY$508,1),"")</f>
        <v/>
      </c>
      <c r="DA196" s="106" t="str">
        <f aca="false">IF(ISBLANK($C196),"",$B196)</f>
        <v/>
      </c>
      <c r="DB196" s="106" t="str">
        <f aca="false">IF(ISBLANK($C196),"",$C196)</f>
        <v/>
      </c>
      <c r="DC196" s="106" t="str">
        <f aca="false">IF(ISBLANK($C196),"",$D196)</f>
        <v/>
      </c>
      <c r="DD196" s="107" t="str">
        <f aca="false">$CR196</f>
        <v/>
      </c>
      <c r="DE196" s="108" t="str">
        <f aca="false">$CQ196</f>
        <v/>
      </c>
      <c r="DF196" s="106" t="str">
        <f aca="false">IF(ISBLANK($C196),"",$CT196)</f>
        <v/>
      </c>
      <c r="DG196" s="109" t="str">
        <f aca="false">IF($CX196&gt;$CW$8,"",VLOOKUP($CX196,$CZ$9:$DF$508,7,FALSE()))</f>
        <v/>
      </c>
      <c r="DH196" s="110" t="str">
        <f aca="false">IF($CX196&gt;$CW$8,"",VLOOKUP($CX196,$CZ$9:$DF$508,2,FALSE()))</f>
        <v/>
      </c>
      <c r="DI196" s="110" t="str">
        <f aca="false">IF($CX196&gt;$CW$8,"",VLOOKUP($CX196,$CZ$9:$DF$508,3,FALSE()))</f>
        <v/>
      </c>
      <c r="DJ196" s="110" t="str">
        <f aca="false">IF($CX196&gt;$CW$8,"",VLOOKUP($CX196,$CZ$9:$DF$508,4,FALSE()))</f>
        <v/>
      </c>
      <c r="DK196" s="110" t="str">
        <f aca="false">IF($CX196&gt;$CW$8,"",VLOOKUP($CX196,$CZ$9:$DF$508,5,FALSE()))</f>
        <v/>
      </c>
      <c r="DL196" s="111" t="str">
        <f aca="false">IF($CX196&gt;$CW$8,"",VLOOKUP($CX196,$CZ$9:$DF$508,6,FALSE()))</f>
        <v/>
      </c>
      <c r="DM196" s="75"/>
    </row>
    <row r="197" customFormat="false" ht="15.75" hidden="false" customHeight="false" outlineLevel="0" collapsed="false">
      <c r="A197" s="9"/>
      <c r="B197" s="77"/>
      <c r="C197" s="78"/>
      <c r="D197" s="167"/>
      <c r="E197" s="175"/>
      <c r="F197" s="169"/>
      <c r="G197" s="170"/>
      <c r="H197" s="170"/>
      <c r="I197" s="176"/>
      <c r="J197" s="173"/>
      <c r="K197" s="85"/>
      <c r="L197" s="86"/>
      <c r="M197" s="87"/>
      <c r="N197" s="173"/>
      <c r="O197" s="173"/>
      <c r="P197" s="175"/>
      <c r="Q197" s="173"/>
      <c r="R197" s="173"/>
      <c r="S197" s="85"/>
      <c r="T197" s="87"/>
      <c r="U197" s="87"/>
      <c r="V197" s="173"/>
      <c r="W197" s="173"/>
      <c r="X197" s="175"/>
      <c r="Y197" s="173"/>
      <c r="Z197" s="174"/>
      <c r="AA197" s="173"/>
      <c r="AB197" s="91"/>
      <c r="AC197" s="92"/>
      <c r="AD197" s="92"/>
      <c r="AE197" s="92"/>
      <c r="AF197" s="92" t="str">
        <f aca="false">IF(ISBLANK($C197),"",IF(E197=Constants!$B$3,TRUE(),IF(E197=Constants!$B$4,FALSE(),TRUE())))</f>
        <v/>
      </c>
      <c r="AG197" s="92" t="str">
        <f aca="false">IF(ISBLANK($C197),"",IF(F197=Constants!$B$3,TRUE(),IF(F197=Constants!$B$4,FALSE(),TRUE())))</f>
        <v/>
      </c>
      <c r="AH197" s="92" t="str">
        <f aca="false">IF(ISBLANK($C197),"",IF(G197=Constants!$B$3,TRUE(),IF(G197=Constants!$B$4,FALSE(),TRUE())))</f>
        <v/>
      </c>
      <c r="AI197" s="92" t="str">
        <f aca="false">IF(ISBLANK($C197),"",IF(AND(ISNUMBER(H197),H197&gt;=0),H197,Constants!$B$29))</f>
        <v/>
      </c>
      <c r="AJ197" s="92" t="str">
        <f aca="false">IF(ISBLANK($C197),"",IF(I197=Constants!$B$3,TRUE(),IF(I197=Constants!$B$4,FALSE(),TRUE())))</f>
        <v/>
      </c>
      <c r="AK197" s="92" t="str">
        <f aca="false">IF(ISBLANK($C197),"",IF(J197=Constants!$B$3,TRUE(),IF(J197=Constants!$B$4,FALSE(),TRUE())))</f>
        <v/>
      </c>
      <c r="AL197" s="92" t="str">
        <f aca="false">IF(ISBLANK($C197),"",IF(K197=Constants!$B$5,TRUE(),IF(K197=Constants!$B$6,FALSE(),COUNTA(L197:P197)&gt;0)))</f>
        <v/>
      </c>
      <c r="AM197" s="94" t="str">
        <f aca="false">IF(ISBLANK($C197),"",IF(ISNUMBER(L197),IF(L197&gt;=0,L197,""),""))</f>
        <v/>
      </c>
      <c r="AN197" s="93" t="str">
        <f aca="false">IF(ISBLANK($C197),"",IF(ISNUMBER(M197),IF(M197&gt;=0,M197,""),""))</f>
        <v/>
      </c>
      <c r="AO197" s="93" t="str">
        <f aca="false">IF(ISBLANK($C197),"",IF(N197=Constants!$B$3,TRUE(),IF(N197=Constants!$B$4,FALSE(),TRUE())))</f>
        <v/>
      </c>
      <c r="AP197" s="92" t="str">
        <f aca="false">IF(ISBLANK($C197),"",IF(ISNUMBER(O197),IF(O197&gt;=0,O197,""),""))</f>
        <v/>
      </c>
      <c r="AQ197" s="92" t="str">
        <f aca="false">IF(ISBLANK($C197),"",IF(P197=Constants!$B$3,TRUE(),IF(P197=Constants!$B$4,FALSE(),FALSE())))</f>
        <v/>
      </c>
      <c r="AR197" s="92" t="str">
        <f aca="false">IF(ISBLANK($C197),"",IF(Q197=Constants!$B$3,TRUE(),IF(Q197=Constants!$B$4,FALSE(),TRUE())))</f>
        <v/>
      </c>
      <c r="AS197" s="92" t="str">
        <f aca="false">IF(ISBLANK($C197),"",IF(R197=Constants!$B$3,TRUE(),IF(R197=Constants!$B$4,FALSE(),TRUE())))</f>
        <v/>
      </c>
      <c r="AT197" s="92" t="str">
        <f aca="false">IF(ISBLANK($C197),"",IF(S197=Constants!$B$5,TRUE(),IF(S197=Constants!$B$6,FALSE(),COUNTA(T197:X197)&gt;0)))</f>
        <v/>
      </c>
      <c r="AU197" s="94" t="str">
        <f aca="false">IF(ISBLANK($C197),"",IF(ISNUMBER(T197),IF(T197&gt;=0,T197,""),""))</f>
        <v/>
      </c>
      <c r="AV197" s="93" t="str">
        <f aca="false">IF(ISBLANK($C197),"",IF(ISNUMBER(U197),IF(U197&gt;=0,U197,""),""))</f>
        <v/>
      </c>
      <c r="AW197" s="93" t="str">
        <f aca="false">IF(ISBLANK($C197),"",IF(V197=Constants!$B$3,TRUE(),IF(V197=Constants!$B$4,FALSE(),TRUE())))</f>
        <v/>
      </c>
      <c r="AX197" s="92" t="str">
        <f aca="false">IF(ISBLANK($C197),"",IF(ISNUMBER(W197),IF(W197&gt;=0,W197,""),""))</f>
        <v/>
      </c>
      <c r="AY197" s="92" t="str">
        <f aca="false">IF(ISBLANK($C197),"",IF(X197=Constants!$B$3,TRUE(),IF(X197=Constants!$B$4,FALSE(),FALSE())))</f>
        <v/>
      </c>
      <c r="AZ197" s="92" t="str">
        <f aca="false">IF(ISBLANK($C197),"",MIN(Constants!$B$31,MAX(0,IF(ISNUMBER(Y197),Y197*60,0)+IF(ISNUMBER(Z197),Z197,0))))</f>
        <v/>
      </c>
      <c r="BA197" s="92" t="str">
        <f aca="false">IF(ISBLANK($C197),"",IF(AA197=Constants!$B$3,TRUE(),IF(AA197=Constants!$B$4,FALSE(),FALSE())))</f>
        <v/>
      </c>
      <c r="BB197" s="91" t="str">
        <f aca="false">IF(ISBLANK($C197),"",AND($AL197,OR($AM197="",$AN197="",AND($AO197,$AP197=""))))</f>
        <v/>
      </c>
      <c r="BC197" s="93" t="str">
        <f aca="false">IF($BR197&lt;&gt;Constants!$B$8,"",IF($AL197,Constants!$B$21*$AN197+Constants!$B$22*IF($AO197,$AP197,Constants!$B$23),Constants!$B$24))</f>
        <v/>
      </c>
      <c r="BD197" s="96" t="str">
        <f aca="false">IF($BR197&lt;&gt;Constants!$B$8,"",Constants!$B$25*ABS($AD$9-IF($AL197,$AM197,0)))</f>
        <v/>
      </c>
      <c r="BE197" s="96" t="str">
        <f aca="false">IF($BR197&lt;&gt;Constants!$B$8,"",IF(AND($AL197,$AQ197,$AO197),Constants!$B$27,0))</f>
        <v/>
      </c>
      <c r="BF197" s="96" t="str">
        <f aca="false">IF($BR197&lt;&gt;Constants!$B$8,"",IF($AL197,($AI197-Constants!$B$29)*Constants!$B$28,0))</f>
        <v/>
      </c>
      <c r="BG197" s="96" t="str">
        <f aca="false">IF($BR197&lt;&gt;Constants!$B$8,"",IF($AK197,0,Constants!$B$15)+IF($AJ197,0,Constants!$B$16)+IF($AH197,0,Constants!$B$17))</f>
        <v/>
      </c>
      <c r="BH197" s="97" t="str">
        <f aca="false">IF($BR197&lt;&gt;Constants!$B$8,"",Constants!$B$20+SUM($BC197:$BG197))</f>
        <v/>
      </c>
      <c r="BI197" s="92" t="str">
        <f aca="false">IF($BR197&lt;&gt;Constants!$B$8,"",IF(OR($BP197&lt;$BH197,AND($BP197=$BH197,OR($BK197&lt;$BC197,AND($BK197=$BC197,OR($BL197&lt;$BD197,AND($BL197=$BD197,$AT197,$AL197,$AV197&lt;$AN197)))))),"-&gt;","&lt;-"))</f>
        <v/>
      </c>
      <c r="BJ197" s="91" t="str">
        <f aca="false">IF(ISBLANK($C197),"",AND($AT197,OR($AU197="",$AV197="",AND($AW197,$AX197=""))))</f>
        <v/>
      </c>
      <c r="BK197" s="93" t="str">
        <f aca="false">IF($BR197&lt;&gt;Constants!$B$8,"",IF($AT197,Constants!$B$21*$AV197+Constants!$B$22*IF($AW197,$AX197,Constants!$B$23),Constants!$B$24))</f>
        <v/>
      </c>
      <c r="BL197" s="96" t="str">
        <f aca="false">IF($BR197&lt;&gt;Constants!$B$8,"",Constants!$B$25*ABS($AD$9-IF($AT197,$AU197,0)))</f>
        <v/>
      </c>
      <c r="BM197" s="96" t="str">
        <f aca="false">IF($BR197&lt;&gt;Constants!$B$8,"",IF(AND($AT197,$AY197,$AW197),Constants!$B$27,0))</f>
        <v/>
      </c>
      <c r="BN197" s="96" t="str">
        <f aca="false">IF($BR197&lt;&gt;Constants!$B$8,"",IF($AT197,($AI197-Constants!$B$29)*Constants!$B$28,0))</f>
        <v/>
      </c>
      <c r="BO197" s="96" t="str">
        <f aca="false">IF($BR197&lt;&gt;Constants!$B$8,"",IF($AS197,0,Constants!$B$15)+IF($AR197,0,Constants!$B$16)+IF($AH197,0,Constants!$B$17))</f>
        <v/>
      </c>
      <c r="BP197" s="97" t="str">
        <f aca="false">IF($BR197&lt;&gt;Constants!$B$8,"",Constants!$B$20+SUM($BK197:$BO197))</f>
        <v/>
      </c>
      <c r="BQ197" s="92" t="str">
        <f aca="false">IF(ISBLANK($C197),"",IF(ISBLANK($D$7),$BQ$5,IF(NOT(ISNUMBER($D$7)),$BQ$6,"")))</f>
        <v/>
      </c>
      <c r="BR197" s="92" t="str">
        <f aca="false">IF(ISBLANK($C197),"",IF($BA197,Constants!$B$11,IF(COUNTA($E197:$AA197)=0,Constants!$B$10,IF(NOT($AG197),Constants!$B$9,IF(OR($BQ197&lt;&gt;"",$BB197,$BJ197),Constants!$B$12,Constants!$B$8)))))</f>
        <v/>
      </c>
      <c r="BS197" s="92" t="str">
        <f aca="false">IF(ISBLANK($C197),"",IF($BR197&lt;&gt;Constants!$B$8,$BR197,Constants!$B$13))</f>
        <v/>
      </c>
      <c r="BT197" s="96" t="str">
        <f aca="false">IF($BR197&lt;&gt;Constants!$B$8,"",IF($BI197="-&gt;",$BP197,$BH197))</f>
        <v/>
      </c>
      <c r="BU197" s="96" t="str">
        <f aca="false">IF($BR197&lt;&gt;Constants!$B$8,"",IF($AF197,0,Constants!$B$18))</f>
        <v/>
      </c>
      <c r="BV197" s="96" t="str">
        <f aca="false">IF($BR197&lt;&gt;Constants!$B$8,"",((Constants!$B$31-$AZ197)-Constants!$B$31)/Constants!$B$32)</f>
        <v/>
      </c>
      <c r="BW197" s="96" t="str">
        <f aca="false">IF(ISBLANK($C197),"",IF($BR197&lt;&gt;Constants!$B$8,$BR197,SUM($BT197:$BV197)))</f>
        <v/>
      </c>
      <c r="BX197" s="92" t="str">
        <f aca="false">IF(ISBLANK($C197),"",IF($BR197&lt;&gt;Constants!$B$8,$BR197,RANK($BW197,$BW$9:$BW$508,1)))</f>
        <v/>
      </c>
      <c r="BY197" s="96" t="str">
        <f aca="false">IF($BR197&lt;&gt;Constants!$B$8,"",IF($BI197="-&gt;",$BK197,$BC197))</f>
        <v/>
      </c>
      <c r="BZ197" s="92" t="str">
        <f aca="false">IF(ISBLANK($C197),"",IF($BR197&lt;&gt;Constants!$B$8,$BR197,IF(ISNUMBER($BY197),RANK($BY197,$BY$9:$BY$508,1),COUNT($BY$9:$BY$508)+1)))</f>
        <v/>
      </c>
      <c r="CA197" s="96" t="str">
        <f aca="false">IF($BR197&lt;&gt;Constants!$B$8,"",IF($BI197="-&gt;",$BL197,$BD197))</f>
        <v/>
      </c>
      <c r="CB197" s="92" t="str">
        <f aca="false">IF(ISBLANK($C197),"",IF($BR197&lt;&gt;Constants!$B$8,$BR197,IF(ISNUMBER($CA197),RANK($CA197,$CA$9:$CA$508,1),COUNT($CA$9:$CA$508)+1)))</f>
        <v/>
      </c>
      <c r="CC197" s="96" t="str">
        <f aca="false">IF($BR197&lt;&gt;Constants!$B$8,"",IF($BI197="-&gt;",IF($AT197,$AV197,""),IF($AL197,$AN197,"")))</f>
        <v/>
      </c>
      <c r="CD197" s="92" t="str">
        <f aca="false">IF(ISBLANK($C197),"",IF($BR197&lt;&gt;Constants!$B$8,$BR197,IF(ISNUMBER($CC197),RANK($CC197,$CC$9:$CC$508,1),COUNT($CC$9:$CC$508)+1)))</f>
        <v/>
      </c>
      <c r="CE197" s="96" t="str">
        <f aca="false">IF($BR197&lt;&gt;Constants!$B$8,"",IF(AND(NOT($AL197),NOT($AT197),$AJ197,$AK197,$AR197,$AS197),"",$AI197))</f>
        <v/>
      </c>
      <c r="CF197" s="92" t="str">
        <f aca="false">IF(ISBLANK($C197),"",IF($BR197&lt;&gt;Constants!$B$8,$BR197,IF(ISNUMBER($CE197),RANK($CE197,$CE$9:$CE$508,1),COUNT($CE$9:$CE$508)+1)))</f>
        <v/>
      </c>
      <c r="CG197" s="92" t="str">
        <f aca="false">IF(ISBLANK($C197),"",IF($BR197&lt;&gt;Constants!$B$8,$BR197,COUNTIFS($BX$9:$BX$508,"&lt;"&amp;$BX197)+COUNTIFS($BX$9:$BX$508,$BX197,$BZ$9:$BZ$508,"&lt;"&amp;$BZ197)+COUNTIFS($BX$9:$BX$508,$BX197,$BZ$9:$BZ$508,$BZ197,$CB$9:$CB$508,"&lt;"&amp;$CB197)+COUNTIFS($BX$9:$BX$508,$BX197,$BZ$9:$BZ$508,$BZ197,$CB$9:$CB$508,$CB197,$CD$9:$CD$508,"&lt;"&amp;$CD197)+COUNTIFS($BX$9:$BX$508,$BX197,$BZ$9:$BZ$508,$BZ197,$CB$9:$CB$508,$CB197,$CD$9:$CD$508,$CD197,$CF$9:$CF$508,"&lt;"&amp;$CF197)+1))</f>
        <v/>
      </c>
      <c r="CH197" s="92" t="str">
        <f aca="false">IF(ISBLANK($C197),"",IF($BR197&lt;&gt;Constants!$B$8,$BR197,$BX197-$CG197))</f>
        <v/>
      </c>
      <c r="CI197" s="98"/>
      <c r="CJ197" s="99"/>
      <c r="CK197" s="100" t="str">
        <f aca="false">IF(ISBLANK($C197),"",IF($BR197=Constants!$B$12,$BQ197,""))</f>
        <v/>
      </c>
      <c r="CL197" s="99" t="str">
        <f aca="false">IF(ISBLANK($C197),"",IF($BR197&lt;&gt;Constants!$B$8,"",IF($BI197="-&gt;",2,1)))</f>
        <v/>
      </c>
      <c r="CM197" s="101" t="str">
        <f aca="false">IF(ISBLANK($C197),"",IF($BR197&lt;&gt;Constants!$B$8,"",IF($BI197="-&gt;",$BK197,$BC197)))</f>
        <v/>
      </c>
      <c r="CN197" s="101" t="str">
        <f aca="false">IF(ISBLANK($C197),"",IF($BR197&lt;&gt;Constants!$B$8,"",IF($BI197="-&gt;",$BL197,$BD197)))</f>
        <v/>
      </c>
      <c r="CO197" s="101" t="str">
        <f aca="false">IF(ISBLANK($C197),"",IF($BR197&lt;&gt;Constants!$B$8,"",IF($BI197="-&gt;",$BM197+$BN197,$BE197+$BF197)+$BV197))</f>
        <v/>
      </c>
      <c r="CP197" s="101" t="str">
        <f aca="false">IF(ISBLANK($C197),"",IF($BR197&lt;&gt;Constants!$B$8,"",IF($BI197="-&gt;",$BO197,$BG197)+$BU197))</f>
        <v/>
      </c>
      <c r="CQ197" s="102" t="str">
        <f aca="false">IF(ISBLANK($C197),"",IF($BR197&lt;&gt;Constants!$B$8,$BR197,$BW197))</f>
        <v/>
      </c>
      <c r="CR197" s="103" t="str">
        <f aca="false">IF(ISBLANK($C197),"",$BS197)</f>
        <v/>
      </c>
      <c r="CS197" s="104" t="str">
        <f aca="false">IF(ISBLANK($C197),"",$CH197)</f>
        <v/>
      </c>
      <c r="CT197" s="104" t="str">
        <f aca="false">IF(ISBLANK($C197),"",$CG197)</f>
        <v/>
      </c>
      <c r="CU197" s="105" t="str">
        <f aca="false">IF(ISBLANK($C197),"",IFERROR(_xlfn.SWITCH($CT197,Constants!$B$11,COUNTA($C$9:$C$508)+2,Constants!$B$10,COUNTA($C$9:$C$508)+1,Constants!$B$9,COUNTA($C$9:$C$508)),$CT197))</f>
        <v/>
      </c>
      <c r="CV197" s="9"/>
      <c r="CW197" s="106" t="n">
        <f aca="false">IF(OR(ISNUMBER($CT197),$CT197=Constants!$B$11,$CT197=Constants!$B$9,$CT197=Constants!$B$10),1,0)</f>
        <v>0</v>
      </c>
      <c r="CX197" s="106" t="n">
        <v>189</v>
      </c>
      <c r="CY197" s="106" t="str">
        <f aca="false">IF(ISBLANK($C197),"",IF(ISNUMBER($CU197),$CU197+ROW($B197)/1000,""))</f>
        <v/>
      </c>
      <c r="CZ197" s="106" t="str">
        <f aca="false">IF(ISNUMBER($CY197),RANK($CY197,$CY$9:$CY$508,1),"")</f>
        <v/>
      </c>
      <c r="DA197" s="106" t="str">
        <f aca="false">IF(ISBLANK($C197),"",$B197)</f>
        <v/>
      </c>
      <c r="DB197" s="106" t="str">
        <f aca="false">IF(ISBLANK($C197),"",$C197)</f>
        <v/>
      </c>
      <c r="DC197" s="106" t="str">
        <f aca="false">IF(ISBLANK($C197),"",$D197)</f>
        <v/>
      </c>
      <c r="DD197" s="107" t="str">
        <f aca="false">$CR197</f>
        <v/>
      </c>
      <c r="DE197" s="108" t="str">
        <f aca="false">$CQ197</f>
        <v/>
      </c>
      <c r="DF197" s="106" t="str">
        <f aca="false">IF(ISBLANK($C197),"",$CT197)</f>
        <v/>
      </c>
      <c r="DG197" s="109" t="str">
        <f aca="false">IF($CX197&gt;$CW$8,"",VLOOKUP($CX197,$CZ$9:$DF$508,7,FALSE()))</f>
        <v/>
      </c>
      <c r="DH197" s="110" t="str">
        <f aca="false">IF($CX197&gt;$CW$8,"",VLOOKUP($CX197,$CZ$9:$DF$508,2,FALSE()))</f>
        <v/>
      </c>
      <c r="DI197" s="110" t="str">
        <f aca="false">IF($CX197&gt;$CW$8,"",VLOOKUP($CX197,$CZ$9:$DF$508,3,FALSE()))</f>
        <v/>
      </c>
      <c r="DJ197" s="110" t="str">
        <f aca="false">IF($CX197&gt;$CW$8,"",VLOOKUP($CX197,$CZ$9:$DF$508,4,FALSE()))</f>
        <v/>
      </c>
      <c r="DK197" s="110" t="str">
        <f aca="false">IF($CX197&gt;$CW$8,"",VLOOKUP($CX197,$CZ$9:$DF$508,5,FALSE()))</f>
        <v/>
      </c>
      <c r="DL197" s="111" t="str">
        <f aca="false">IF($CX197&gt;$CW$8,"",VLOOKUP($CX197,$CZ$9:$DF$508,6,FALSE()))</f>
        <v/>
      </c>
      <c r="DM197" s="75"/>
    </row>
    <row r="198" customFormat="false" ht="15.75" hidden="false" customHeight="false" outlineLevel="0" collapsed="false">
      <c r="A198" s="9"/>
      <c r="B198" s="157"/>
      <c r="C198" s="158"/>
      <c r="D198" s="159"/>
      <c r="E198" s="177"/>
      <c r="F198" s="161"/>
      <c r="G198" s="162"/>
      <c r="H198" s="162"/>
      <c r="I198" s="178"/>
      <c r="J198" s="165"/>
      <c r="K198" s="126"/>
      <c r="L198" s="127"/>
      <c r="M198" s="128"/>
      <c r="N198" s="165"/>
      <c r="O198" s="165"/>
      <c r="P198" s="177"/>
      <c r="Q198" s="165"/>
      <c r="R198" s="165"/>
      <c r="S198" s="126"/>
      <c r="T198" s="128"/>
      <c r="U198" s="128"/>
      <c r="V198" s="165"/>
      <c r="W198" s="165"/>
      <c r="X198" s="177"/>
      <c r="Y198" s="165"/>
      <c r="Z198" s="166"/>
      <c r="AA198" s="165"/>
      <c r="AB198" s="132"/>
      <c r="AC198" s="133"/>
      <c r="AD198" s="133"/>
      <c r="AE198" s="133"/>
      <c r="AF198" s="133" t="str">
        <f aca="false">IF(ISBLANK($C198),"",IF(E198=Constants!$B$3,TRUE(),IF(E198=Constants!$B$4,FALSE(),TRUE())))</f>
        <v/>
      </c>
      <c r="AG198" s="133" t="str">
        <f aca="false">IF(ISBLANK($C198),"",IF(F198=Constants!$B$3,TRUE(),IF(F198=Constants!$B$4,FALSE(),TRUE())))</f>
        <v/>
      </c>
      <c r="AH198" s="133" t="str">
        <f aca="false">IF(ISBLANK($C198),"",IF(G198=Constants!$B$3,TRUE(),IF(G198=Constants!$B$4,FALSE(),TRUE())))</f>
        <v/>
      </c>
      <c r="AI198" s="133" t="str">
        <f aca="false">IF(ISBLANK($C198),"",IF(AND(ISNUMBER(H198),H198&gt;=0),H198,Constants!$B$29))</f>
        <v/>
      </c>
      <c r="AJ198" s="133" t="str">
        <f aca="false">IF(ISBLANK($C198),"",IF(I198=Constants!$B$3,TRUE(),IF(I198=Constants!$B$4,FALSE(),TRUE())))</f>
        <v/>
      </c>
      <c r="AK198" s="133" t="str">
        <f aca="false">IF(ISBLANK($C198),"",IF(J198=Constants!$B$3,TRUE(),IF(J198=Constants!$B$4,FALSE(),TRUE())))</f>
        <v/>
      </c>
      <c r="AL198" s="133" t="str">
        <f aca="false">IF(ISBLANK($C198),"",IF(K198=Constants!$B$5,TRUE(),IF(K198=Constants!$B$6,FALSE(),COUNTA(L198:P198)&gt;0)))</f>
        <v/>
      </c>
      <c r="AM198" s="134" t="str">
        <f aca="false">IF(ISBLANK($C198),"",IF(ISNUMBER(L198),IF(L198&gt;=0,L198,""),""))</f>
        <v/>
      </c>
      <c r="AN198" s="135" t="str">
        <f aca="false">IF(ISBLANK($C198),"",IF(ISNUMBER(M198),IF(M198&gt;=0,M198,""),""))</f>
        <v/>
      </c>
      <c r="AO198" s="135" t="str">
        <f aca="false">IF(ISBLANK($C198),"",IF(N198=Constants!$B$3,TRUE(),IF(N198=Constants!$B$4,FALSE(),TRUE())))</f>
        <v/>
      </c>
      <c r="AP198" s="133" t="str">
        <f aca="false">IF(ISBLANK($C198),"",IF(ISNUMBER(O198),IF(O198&gt;=0,O198,""),""))</f>
        <v/>
      </c>
      <c r="AQ198" s="133" t="str">
        <f aca="false">IF(ISBLANK($C198),"",IF(P198=Constants!$B$3,TRUE(),IF(P198=Constants!$B$4,FALSE(),FALSE())))</f>
        <v/>
      </c>
      <c r="AR198" s="133" t="str">
        <f aca="false">IF(ISBLANK($C198),"",IF(Q198=Constants!$B$3,TRUE(),IF(Q198=Constants!$B$4,FALSE(),TRUE())))</f>
        <v/>
      </c>
      <c r="AS198" s="133" t="str">
        <f aca="false">IF(ISBLANK($C198),"",IF(R198=Constants!$B$3,TRUE(),IF(R198=Constants!$B$4,FALSE(),TRUE())))</f>
        <v/>
      </c>
      <c r="AT198" s="133" t="str">
        <f aca="false">IF(ISBLANK($C198),"",IF(S198=Constants!$B$5,TRUE(),IF(S198=Constants!$B$6,FALSE(),COUNTA(T198:X198)&gt;0)))</f>
        <v/>
      </c>
      <c r="AU198" s="134" t="str">
        <f aca="false">IF(ISBLANK($C198),"",IF(ISNUMBER(T198),IF(T198&gt;=0,T198,""),""))</f>
        <v/>
      </c>
      <c r="AV198" s="135" t="str">
        <f aca="false">IF(ISBLANK($C198),"",IF(ISNUMBER(U198),IF(U198&gt;=0,U198,""),""))</f>
        <v/>
      </c>
      <c r="AW198" s="135" t="str">
        <f aca="false">IF(ISBLANK($C198),"",IF(V198=Constants!$B$3,TRUE(),IF(V198=Constants!$B$4,FALSE(),TRUE())))</f>
        <v/>
      </c>
      <c r="AX198" s="133" t="str">
        <f aca="false">IF(ISBLANK($C198),"",IF(ISNUMBER(W198),IF(W198&gt;=0,W198,""),""))</f>
        <v/>
      </c>
      <c r="AY198" s="133" t="str">
        <f aca="false">IF(ISBLANK($C198),"",IF(X198=Constants!$B$3,TRUE(),IF(X198=Constants!$B$4,FALSE(),FALSE())))</f>
        <v/>
      </c>
      <c r="AZ198" s="133" t="str">
        <f aca="false">IF(ISBLANK($C198),"",MIN(Constants!$B$31,MAX(0,IF(ISNUMBER(Y198),Y198*60,0)+IF(ISNUMBER(Z198),Z198,0))))</f>
        <v/>
      </c>
      <c r="BA198" s="133" t="str">
        <f aca="false">IF(ISBLANK($C198),"",IF(AA198=Constants!$B$3,TRUE(),IF(AA198=Constants!$B$4,FALSE(),FALSE())))</f>
        <v/>
      </c>
      <c r="BB198" s="132" t="str">
        <f aca="false">IF(ISBLANK($C198),"",AND($AL198,OR($AM198="",$AN198="",AND($AO198,$AP198=""))))</f>
        <v/>
      </c>
      <c r="BC198" s="135" t="str">
        <f aca="false">IF($BR198&lt;&gt;Constants!$B$8,"",IF($AL198,Constants!$B$21*$AN198+Constants!$B$22*IF($AO198,$AP198,Constants!$B$23),Constants!$B$24))</f>
        <v/>
      </c>
      <c r="BD198" s="136" t="str">
        <f aca="false">IF($BR198&lt;&gt;Constants!$B$8,"",Constants!$B$25*ABS($AD$9-IF($AL198,$AM198,0)))</f>
        <v/>
      </c>
      <c r="BE198" s="136" t="str">
        <f aca="false">IF($BR198&lt;&gt;Constants!$B$8,"",IF(AND($AL198,$AQ198,$AO198),Constants!$B$27,0))</f>
        <v/>
      </c>
      <c r="BF198" s="136" t="str">
        <f aca="false">IF($BR198&lt;&gt;Constants!$B$8,"",IF($AL198,($AI198-Constants!$B$29)*Constants!$B$28,0))</f>
        <v/>
      </c>
      <c r="BG198" s="136" t="str">
        <f aca="false">IF($BR198&lt;&gt;Constants!$B$8,"",IF($AK198,0,Constants!$B$15)+IF($AJ198,0,Constants!$B$16)+IF($AH198,0,Constants!$B$17))</f>
        <v/>
      </c>
      <c r="BH198" s="137" t="str">
        <f aca="false">IF($BR198&lt;&gt;Constants!$B$8,"",Constants!$B$20+SUM($BC198:$BG198))</f>
        <v/>
      </c>
      <c r="BI198" s="133" t="str">
        <f aca="false">IF($BR198&lt;&gt;Constants!$B$8,"",IF(OR($BP198&lt;$BH198,AND($BP198=$BH198,OR($BK198&lt;$BC198,AND($BK198=$BC198,OR($BL198&lt;$BD198,AND($BL198=$BD198,$AT198,$AL198,$AV198&lt;$AN198)))))),"-&gt;","&lt;-"))</f>
        <v/>
      </c>
      <c r="BJ198" s="132" t="str">
        <f aca="false">IF(ISBLANK($C198),"",AND($AT198,OR($AU198="",$AV198="",AND($AW198,$AX198=""))))</f>
        <v/>
      </c>
      <c r="BK198" s="135" t="str">
        <f aca="false">IF($BR198&lt;&gt;Constants!$B$8,"",IF($AT198,Constants!$B$21*$AV198+Constants!$B$22*IF($AW198,$AX198,Constants!$B$23),Constants!$B$24))</f>
        <v/>
      </c>
      <c r="BL198" s="136" t="str">
        <f aca="false">IF($BR198&lt;&gt;Constants!$B$8,"",Constants!$B$25*ABS($AD$9-IF($AT198,$AU198,0)))</f>
        <v/>
      </c>
      <c r="BM198" s="136" t="str">
        <f aca="false">IF($BR198&lt;&gt;Constants!$B$8,"",IF(AND($AT198,$AY198,$AW198),Constants!$B$27,0))</f>
        <v/>
      </c>
      <c r="BN198" s="136" t="str">
        <f aca="false">IF($BR198&lt;&gt;Constants!$B$8,"",IF($AT198,($AI198-Constants!$B$29)*Constants!$B$28,0))</f>
        <v/>
      </c>
      <c r="BO198" s="136" t="str">
        <f aca="false">IF($BR198&lt;&gt;Constants!$B$8,"",IF($AS198,0,Constants!$B$15)+IF($AR198,0,Constants!$B$16)+IF($AH198,0,Constants!$B$17))</f>
        <v/>
      </c>
      <c r="BP198" s="137" t="str">
        <f aca="false">IF($BR198&lt;&gt;Constants!$B$8,"",Constants!$B$20+SUM($BK198:$BO198))</f>
        <v/>
      </c>
      <c r="BQ198" s="133" t="str">
        <f aca="false">IF(ISBLANK($C198),"",IF(ISBLANK($D$7),$BQ$5,IF(NOT(ISNUMBER($D$7)),$BQ$6,"")))</f>
        <v/>
      </c>
      <c r="BR198" s="133" t="str">
        <f aca="false">IF(ISBLANK($C198),"",IF($BA198,Constants!$B$11,IF(COUNTA($E198:$AA198)=0,Constants!$B$10,IF(NOT($AG198),Constants!$B$9,IF(OR($BQ198&lt;&gt;"",$BB198,$BJ198),Constants!$B$12,Constants!$B$8)))))</f>
        <v/>
      </c>
      <c r="BS198" s="133" t="str">
        <f aca="false">IF(ISBLANK($C198),"",IF($BR198&lt;&gt;Constants!$B$8,$BR198,Constants!$B$13))</f>
        <v/>
      </c>
      <c r="BT198" s="136" t="str">
        <f aca="false">IF($BR198&lt;&gt;Constants!$B$8,"",IF($BI198="-&gt;",$BP198,$BH198))</f>
        <v/>
      </c>
      <c r="BU198" s="136" t="str">
        <f aca="false">IF($BR198&lt;&gt;Constants!$B$8,"",IF($AF198,0,Constants!$B$18))</f>
        <v/>
      </c>
      <c r="BV198" s="136" t="str">
        <f aca="false">IF($BR198&lt;&gt;Constants!$B$8,"",((Constants!$B$31-$AZ198)-Constants!$B$31)/Constants!$B$32)</f>
        <v/>
      </c>
      <c r="BW198" s="136" t="str">
        <f aca="false">IF(ISBLANK($C198),"",IF($BR198&lt;&gt;Constants!$B$8,$BR198,SUM($BT198:$BV198)))</f>
        <v/>
      </c>
      <c r="BX198" s="133" t="str">
        <f aca="false">IF(ISBLANK($C198),"",IF($BR198&lt;&gt;Constants!$B$8,$BR198,RANK($BW198,$BW$9:$BW$508,1)))</f>
        <v/>
      </c>
      <c r="BY198" s="136" t="str">
        <f aca="false">IF($BR198&lt;&gt;Constants!$B$8,"",IF($BI198="-&gt;",$BK198,$BC198))</f>
        <v/>
      </c>
      <c r="BZ198" s="133" t="str">
        <f aca="false">IF(ISBLANK($C198),"",IF($BR198&lt;&gt;Constants!$B$8,$BR198,IF(ISNUMBER($BY198),RANK($BY198,$BY$9:$BY$508,1),COUNT($BY$9:$BY$508)+1)))</f>
        <v/>
      </c>
      <c r="CA198" s="136" t="str">
        <f aca="false">IF($BR198&lt;&gt;Constants!$B$8,"",IF($BI198="-&gt;",$BL198,$BD198))</f>
        <v/>
      </c>
      <c r="CB198" s="133" t="str">
        <f aca="false">IF(ISBLANK($C198),"",IF($BR198&lt;&gt;Constants!$B$8,$BR198,IF(ISNUMBER($CA198),RANK($CA198,$CA$9:$CA$508,1),COUNT($CA$9:$CA$508)+1)))</f>
        <v/>
      </c>
      <c r="CC198" s="136" t="str">
        <f aca="false">IF($BR198&lt;&gt;Constants!$B$8,"",IF($BI198="-&gt;",IF($AT198,$AV198,""),IF($AL198,$AN198,"")))</f>
        <v/>
      </c>
      <c r="CD198" s="133" t="str">
        <f aca="false">IF(ISBLANK($C198),"",IF($BR198&lt;&gt;Constants!$B$8,$BR198,IF(ISNUMBER($CC198),RANK($CC198,$CC$9:$CC$508,1),COUNT($CC$9:$CC$508)+1)))</f>
        <v/>
      </c>
      <c r="CE198" s="136" t="str">
        <f aca="false">IF($BR198&lt;&gt;Constants!$B$8,"",IF(AND(NOT($AL198),NOT($AT198),$AJ198,$AK198,$AR198,$AS198),"",$AI198))</f>
        <v/>
      </c>
      <c r="CF198" s="133" t="str">
        <f aca="false">IF(ISBLANK($C198),"",IF($BR198&lt;&gt;Constants!$B$8,$BR198,IF(ISNUMBER($CE198),RANK($CE198,$CE$9:$CE$508,1),COUNT($CE$9:$CE$508)+1)))</f>
        <v/>
      </c>
      <c r="CG198" s="133" t="str">
        <f aca="false">IF(ISBLANK($C198),"",IF($BR198&lt;&gt;Constants!$B$8,$BR198,COUNTIFS($BX$9:$BX$508,"&lt;"&amp;$BX198)+COUNTIFS($BX$9:$BX$508,$BX198,$BZ$9:$BZ$508,"&lt;"&amp;$BZ198)+COUNTIFS($BX$9:$BX$508,$BX198,$BZ$9:$BZ$508,$BZ198,$CB$9:$CB$508,"&lt;"&amp;$CB198)+COUNTIFS($BX$9:$BX$508,$BX198,$BZ$9:$BZ$508,$BZ198,$CB$9:$CB$508,$CB198,$CD$9:$CD$508,"&lt;"&amp;$CD198)+COUNTIFS($BX$9:$BX$508,$BX198,$BZ$9:$BZ$508,$BZ198,$CB$9:$CB$508,$CB198,$CD$9:$CD$508,$CD198,$CF$9:$CF$508,"&lt;"&amp;$CF198)+1))</f>
        <v/>
      </c>
      <c r="CH198" s="133" t="str">
        <f aca="false">IF(ISBLANK($C198),"",IF($BR198&lt;&gt;Constants!$B$8,$BR198,$BX198-$CG198))</f>
        <v/>
      </c>
      <c r="CI198" s="138"/>
      <c r="CJ198" s="139"/>
      <c r="CK198" s="140" t="str">
        <f aca="false">IF(ISBLANK($C198),"",IF($BR198=Constants!$B$12,$BQ198,""))</f>
        <v/>
      </c>
      <c r="CL198" s="139" t="str">
        <f aca="false">IF(ISBLANK($C198),"",IF($BR198&lt;&gt;Constants!$B$8,"",IF($BI198="-&gt;",2,1)))</f>
        <v/>
      </c>
      <c r="CM198" s="141" t="str">
        <f aca="false">IF(ISBLANK($C198),"",IF($BR198&lt;&gt;Constants!$B$8,"",IF($BI198="-&gt;",$BK198,$BC198)))</f>
        <v/>
      </c>
      <c r="CN198" s="141" t="str">
        <f aca="false">IF(ISBLANK($C198),"",IF($BR198&lt;&gt;Constants!$B$8,"",IF($BI198="-&gt;",$BL198,$BD198)))</f>
        <v/>
      </c>
      <c r="CO198" s="141" t="str">
        <f aca="false">IF(ISBLANK($C198),"",IF($BR198&lt;&gt;Constants!$B$8,"",IF($BI198="-&gt;",$BM198+$BN198,$BE198+$BF198)+$BV198))</f>
        <v/>
      </c>
      <c r="CP198" s="141" t="str">
        <f aca="false">IF(ISBLANK($C198),"",IF($BR198&lt;&gt;Constants!$B$8,"",IF($BI198="-&gt;",$BO198,$BG198)+$BU198))</f>
        <v/>
      </c>
      <c r="CQ198" s="142" t="str">
        <f aca="false">IF(ISBLANK($C198),"",IF($BR198&lt;&gt;Constants!$B$8,$BR198,$BW198))</f>
        <v/>
      </c>
      <c r="CR198" s="143" t="str">
        <f aca="false">IF(ISBLANK($C198),"",$BS198)</f>
        <v/>
      </c>
      <c r="CS198" s="144" t="str">
        <f aca="false">IF(ISBLANK($C198),"",$CH198)</f>
        <v/>
      </c>
      <c r="CT198" s="144" t="str">
        <f aca="false">IF(ISBLANK($C198),"",$CG198)</f>
        <v/>
      </c>
      <c r="CU198" s="145" t="str">
        <f aca="false">IF(ISBLANK($C198),"",IFERROR(_xlfn.SWITCH($CT198,Constants!$B$11,COUNTA($C$9:$C$508)+2,Constants!$B$10,COUNTA($C$9:$C$508)+1,Constants!$B$9,COUNTA($C$9:$C$508)),$CT198))</f>
        <v/>
      </c>
      <c r="CV198" s="9"/>
      <c r="CW198" s="146" t="n">
        <f aca="false">IF(OR(ISNUMBER($CT198),$CT198=Constants!$B$11,$CT198=Constants!$B$9,$CT198=Constants!$B$10),1,0)</f>
        <v>0</v>
      </c>
      <c r="CX198" s="146" t="n">
        <v>190</v>
      </c>
      <c r="CY198" s="146" t="str">
        <f aca="false">IF(ISBLANK($C198),"",IF(ISNUMBER($CU198),$CU198+ROW($B198)/1000,""))</f>
        <v/>
      </c>
      <c r="CZ198" s="146" t="str">
        <f aca="false">IF(ISNUMBER($CY198),RANK($CY198,$CY$9:$CY$508,1),"")</f>
        <v/>
      </c>
      <c r="DA198" s="146" t="str">
        <f aca="false">IF(ISBLANK($C198),"",$B198)</f>
        <v/>
      </c>
      <c r="DB198" s="146" t="str">
        <f aca="false">IF(ISBLANK($C198),"",$C198)</f>
        <v/>
      </c>
      <c r="DC198" s="146" t="str">
        <f aca="false">IF(ISBLANK($C198),"",$D198)</f>
        <v/>
      </c>
      <c r="DD198" s="147" t="str">
        <f aca="false">$CR198</f>
        <v/>
      </c>
      <c r="DE198" s="148" t="str">
        <f aca="false">$CQ198</f>
        <v/>
      </c>
      <c r="DF198" s="146" t="str">
        <f aca="false">IF(ISBLANK($C198),"",$CT198)</f>
        <v/>
      </c>
      <c r="DG198" s="149" t="str">
        <f aca="false">IF($CX198&gt;$CW$8,"",VLOOKUP($CX198,$CZ$9:$DF$508,7,FALSE()))</f>
        <v/>
      </c>
      <c r="DH198" s="150" t="str">
        <f aca="false">IF($CX198&gt;$CW$8,"",VLOOKUP($CX198,$CZ$9:$DF$508,2,FALSE()))</f>
        <v/>
      </c>
      <c r="DI198" s="150" t="str">
        <f aca="false">IF($CX198&gt;$CW$8,"",VLOOKUP($CX198,$CZ$9:$DF$508,3,FALSE()))</f>
        <v/>
      </c>
      <c r="DJ198" s="150" t="str">
        <f aca="false">IF($CX198&gt;$CW$8,"",VLOOKUP($CX198,$CZ$9:$DF$508,4,FALSE()))</f>
        <v/>
      </c>
      <c r="DK198" s="150" t="str">
        <f aca="false">IF($CX198&gt;$CW$8,"",VLOOKUP($CX198,$CZ$9:$DF$508,5,FALSE()))</f>
        <v/>
      </c>
      <c r="DL198" s="151" t="str">
        <f aca="false">IF($CX198&gt;$CW$8,"",VLOOKUP($CX198,$CZ$9:$DF$508,6,FALSE()))</f>
        <v/>
      </c>
      <c r="DM198" s="75"/>
    </row>
    <row r="199" customFormat="false" ht="15.75" hidden="false" customHeight="false" outlineLevel="0" collapsed="false">
      <c r="A199" s="9"/>
      <c r="B199" s="157"/>
      <c r="C199" s="158"/>
      <c r="D199" s="159"/>
      <c r="E199" s="177"/>
      <c r="F199" s="161"/>
      <c r="G199" s="162"/>
      <c r="H199" s="162"/>
      <c r="I199" s="178"/>
      <c r="J199" s="165"/>
      <c r="K199" s="126"/>
      <c r="L199" s="127"/>
      <c r="M199" s="128"/>
      <c r="N199" s="165"/>
      <c r="O199" s="165"/>
      <c r="P199" s="177"/>
      <c r="Q199" s="165"/>
      <c r="R199" s="165"/>
      <c r="S199" s="126"/>
      <c r="T199" s="128"/>
      <c r="U199" s="128"/>
      <c r="V199" s="165"/>
      <c r="W199" s="165"/>
      <c r="X199" s="177"/>
      <c r="Y199" s="165"/>
      <c r="Z199" s="166"/>
      <c r="AA199" s="165"/>
      <c r="AB199" s="132"/>
      <c r="AC199" s="133"/>
      <c r="AD199" s="133"/>
      <c r="AE199" s="133"/>
      <c r="AF199" s="133" t="str">
        <f aca="false">IF(ISBLANK($C199),"",IF(E199=Constants!$B$3,TRUE(),IF(E199=Constants!$B$4,FALSE(),TRUE())))</f>
        <v/>
      </c>
      <c r="AG199" s="133" t="str">
        <f aca="false">IF(ISBLANK($C199),"",IF(F199=Constants!$B$3,TRUE(),IF(F199=Constants!$B$4,FALSE(),TRUE())))</f>
        <v/>
      </c>
      <c r="AH199" s="133" t="str">
        <f aca="false">IF(ISBLANK($C199),"",IF(G199=Constants!$B$3,TRUE(),IF(G199=Constants!$B$4,FALSE(),TRUE())))</f>
        <v/>
      </c>
      <c r="AI199" s="133" t="str">
        <f aca="false">IF(ISBLANK($C199),"",IF(AND(ISNUMBER(H199),H199&gt;=0),H199,Constants!$B$29))</f>
        <v/>
      </c>
      <c r="AJ199" s="133" t="str">
        <f aca="false">IF(ISBLANK($C199),"",IF(I199=Constants!$B$3,TRUE(),IF(I199=Constants!$B$4,FALSE(),TRUE())))</f>
        <v/>
      </c>
      <c r="AK199" s="133" t="str">
        <f aca="false">IF(ISBLANK($C199),"",IF(J199=Constants!$B$3,TRUE(),IF(J199=Constants!$B$4,FALSE(),TRUE())))</f>
        <v/>
      </c>
      <c r="AL199" s="133" t="str">
        <f aca="false">IF(ISBLANK($C199),"",IF(K199=Constants!$B$5,TRUE(),IF(K199=Constants!$B$6,FALSE(),COUNTA(L199:P199)&gt;0)))</f>
        <v/>
      </c>
      <c r="AM199" s="134" t="str">
        <f aca="false">IF(ISBLANK($C199),"",IF(ISNUMBER(L199),IF(L199&gt;=0,L199,""),""))</f>
        <v/>
      </c>
      <c r="AN199" s="135" t="str">
        <f aca="false">IF(ISBLANK($C199),"",IF(ISNUMBER(M199),IF(M199&gt;=0,M199,""),""))</f>
        <v/>
      </c>
      <c r="AO199" s="135" t="str">
        <f aca="false">IF(ISBLANK($C199),"",IF(N199=Constants!$B$3,TRUE(),IF(N199=Constants!$B$4,FALSE(),TRUE())))</f>
        <v/>
      </c>
      <c r="AP199" s="133" t="str">
        <f aca="false">IF(ISBLANK($C199),"",IF(ISNUMBER(O199),IF(O199&gt;=0,O199,""),""))</f>
        <v/>
      </c>
      <c r="AQ199" s="133" t="str">
        <f aca="false">IF(ISBLANK($C199),"",IF(P199=Constants!$B$3,TRUE(),IF(P199=Constants!$B$4,FALSE(),FALSE())))</f>
        <v/>
      </c>
      <c r="AR199" s="133" t="str">
        <f aca="false">IF(ISBLANK($C199),"",IF(Q199=Constants!$B$3,TRUE(),IF(Q199=Constants!$B$4,FALSE(),TRUE())))</f>
        <v/>
      </c>
      <c r="AS199" s="133" t="str">
        <f aca="false">IF(ISBLANK($C199),"",IF(R199=Constants!$B$3,TRUE(),IF(R199=Constants!$B$4,FALSE(),TRUE())))</f>
        <v/>
      </c>
      <c r="AT199" s="133" t="str">
        <f aca="false">IF(ISBLANK($C199),"",IF(S199=Constants!$B$5,TRUE(),IF(S199=Constants!$B$6,FALSE(),COUNTA(T199:X199)&gt;0)))</f>
        <v/>
      </c>
      <c r="AU199" s="134" t="str">
        <f aca="false">IF(ISBLANK($C199),"",IF(ISNUMBER(T199),IF(T199&gt;=0,T199,""),""))</f>
        <v/>
      </c>
      <c r="AV199" s="135" t="str">
        <f aca="false">IF(ISBLANK($C199),"",IF(ISNUMBER(U199),IF(U199&gt;=0,U199,""),""))</f>
        <v/>
      </c>
      <c r="AW199" s="135" t="str">
        <f aca="false">IF(ISBLANK($C199),"",IF(V199=Constants!$B$3,TRUE(),IF(V199=Constants!$B$4,FALSE(),TRUE())))</f>
        <v/>
      </c>
      <c r="AX199" s="133" t="str">
        <f aca="false">IF(ISBLANK($C199),"",IF(ISNUMBER(W199),IF(W199&gt;=0,W199,""),""))</f>
        <v/>
      </c>
      <c r="AY199" s="133" t="str">
        <f aca="false">IF(ISBLANK($C199),"",IF(X199=Constants!$B$3,TRUE(),IF(X199=Constants!$B$4,FALSE(),FALSE())))</f>
        <v/>
      </c>
      <c r="AZ199" s="133" t="str">
        <f aca="false">IF(ISBLANK($C199),"",MIN(Constants!$B$31,MAX(0,IF(ISNUMBER(Y199),Y199*60,0)+IF(ISNUMBER(Z199),Z199,0))))</f>
        <v/>
      </c>
      <c r="BA199" s="133" t="str">
        <f aca="false">IF(ISBLANK($C199),"",IF(AA199=Constants!$B$3,TRUE(),IF(AA199=Constants!$B$4,FALSE(),FALSE())))</f>
        <v/>
      </c>
      <c r="BB199" s="132" t="str">
        <f aca="false">IF(ISBLANK($C199),"",AND($AL199,OR($AM199="",$AN199="",AND($AO199,$AP199=""))))</f>
        <v/>
      </c>
      <c r="BC199" s="135" t="str">
        <f aca="false">IF($BR199&lt;&gt;Constants!$B$8,"",IF($AL199,Constants!$B$21*$AN199+Constants!$B$22*IF($AO199,$AP199,Constants!$B$23),Constants!$B$24))</f>
        <v/>
      </c>
      <c r="BD199" s="136" t="str">
        <f aca="false">IF($BR199&lt;&gt;Constants!$B$8,"",Constants!$B$25*ABS($AD$9-IF($AL199,$AM199,0)))</f>
        <v/>
      </c>
      <c r="BE199" s="136" t="str">
        <f aca="false">IF($BR199&lt;&gt;Constants!$B$8,"",IF(AND($AL199,$AQ199,$AO199),Constants!$B$27,0))</f>
        <v/>
      </c>
      <c r="BF199" s="136" t="str">
        <f aca="false">IF($BR199&lt;&gt;Constants!$B$8,"",IF($AL199,($AI199-Constants!$B$29)*Constants!$B$28,0))</f>
        <v/>
      </c>
      <c r="BG199" s="136" t="str">
        <f aca="false">IF($BR199&lt;&gt;Constants!$B$8,"",IF($AK199,0,Constants!$B$15)+IF($AJ199,0,Constants!$B$16)+IF($AH199,0,Constants!$B$17))</f>
        <v/>
      </c>
      <c r="BH199" s="137" t="str">
        <f aca="false">IF($BR199&lt;&gt;Constants!$B$8,"",Constants!$B$20+SUM($BC199:$BG199))</f>
        <v/>
      </c>
      <c r="BI199" s="133" t="str">
        <f aca="false">IF($BR199&lt;&gt;Constants!$B$8,"",IF(OR($BP199&lt;$BH199,AND($BP199=$BH199,OR($BK199&lt;$BC199,AND($BK199=$BC199,OR($BL199&lt;$BD199,AND($BL199=$BD199,$AT199,$AL199,$AV199&lt;$AN199)))))),"-&gt;","&lt;-"))</f>
        <v/>
      </c>
      <c r="BJ199" s="132" t="str">
        <f aca="false">IF(ISBLANK($C199),"",AND($AT199,OR($AU199="",$AV199="",AND($AW199,$AX199=""))))</f>
        <v/>
      </c>
      <c r="BK199" s="135" t="str">
        <f aca="false">IF($BR199&lt;&gt;Constants!$B$8,"",IF($AT199,Constants!$B$21*$AV199+Constants!$B$22*IF($AW199,$AX199,Constants!$B$23),Constants!$B$24))</f>
        <v/>
      </c>
      <c r="BL199" s="136" t="str">
        <f aca="false">IF($BR199&lt;&gt;Constants!$B$8,"",Constants!$B$25*ABS($AD$9-IF($AT199,$AU199,0)))</f>
        <v/>
      </c>
      <c r="BM199" s="136" t="str">
        <f aca="false">IF($BR199&lt;&gt;Constants!$B$8,"",IF(AND($AT199,$AY199,$AW199),Constants!$B$27,0))</f>
        <v/>
      </c>
      <c r="BN199" s="136" t="str">
        <f aca="false">IF($BR199&lt;&gt;Constants!$B$8,"",IF($AT199,($AI199-Constants!$B$29)*Constants!$B$28,0))</f>
        <v/>
      </c>
      <c r="BO199" s="136" t="str">
        <f aca="false">IF($BR199&lt;&gt;Constants!$B$8,"",IF($AS199,0,Constants!$B$15)+IF($AR199,0,Constants!$B$16)+IF($AH199,0,Constants!$B$17))</f>
        <v/>
      </c>
      <c r="BP199" s="137" t="str">
        <f aca="false">IF($BR199&lt;&gt;Constants!$B$8,"",Constants!$B$20+SUM($BK199:$BO199))</f>
        <v/>
      </c>
      <c r="BQ199" s="133" t="str">
        <f aca="false">IF(ISBLANK($C199),"",IF(ISBLANK($D$7),$BQ$5,IF(NOT(ISNUMBER($D$7)),$BQ$6,"")))</f>
        <v/>
      </c>
      <c r="BR199" s="133" t="str">
        <f aca="false">IF(ISBLANK($C199),"",IF($BA199,Constants!$B$11,IF(COUNTA($E199:$AA199)=0,Constants!$B$10,IF(NOT($AG199),Constants!$B$9,IF(OR($BQ199&lt;&gt;"",$BB199,$BJ199),Constants!$B$12,Constants!$B$8)))))</f>
        <v/>
      </c>
      <c r="BS199" s="133" t="str">
        <f aca="false">IF(ISBLANK($C199),"",IF($BR199&lt;&gt;Constants!$B$8,$BR199,Constants!$B$13))</f>
        <v/>
      </c>
      <c r="BT199" s="136" t="str">
        <f aca="false">IF($BR199&lt;&gt;Constants!$B$8,"",IF($BI199="-&gt;",$BP199,$BH199))</f>
        <v/>
      </c>
      <c r="BU199" s="136" t="str">
        <f aca="false">IF($BR199&lt;&gt;Constants!$B$8,"",IF($AF199,0,Constants!$B$18))</f>
        <v/>
      </c>
      <c r="BV199" s="136" t="str">
        <f aca="false">IF($BR199&lt;&gt;Constants!$B$8,"",((Constants!$B$31-$AZ199)-Constants!$B$31)/Constants!$B$32)</f>
        <v/>
      </c>
      <c r="BW199" s="136" t="str">
        <f aca="false">IF(ISBLANK($C199),"",IF($BR199&lt;&gt;Constants!$B$8,$BR199,SUM($BT199:$BV199)))</f>
        <v/>
      </c>
      <c r="BX199" s="133" t="str">
        <f aca="false">IF(ISBLANK($C199),"",IF($BR199&lt;&gt;Constants!$B$8,$BR199,RANK($BW199,$BW$9:$BW$508,1)))</f>
        <v/>
      </c>
      <c r="BY199" s="136" t="str">
        <f aca="false">IF($BR199&lt;&gt;Constants!$B$8,"",IF($BI199="-&gt;",$BK199,$BC199))</f>
        <v/>
      </c>
      <c r="BZ199" s="133" t="str">
        <f aca="false">IF(ISBLANK($C199),"",IF($BR199&lt;&gt;Constants!$B$8,$BR199,IF(ISNUMBER($BY199),RANK($BY199,$BY$9:$BY$508,1),COUNT($BY$9:$BY$508)+1)))</f>
        <v/>
      </c>
      <c r="CA199" s="136" t="str">
        <f aca="false">IF($BR199&lt;&gt;Constants!$B$8,"",IF($BI199="-&gt;",$BL199,$BD199))</f>
        <v/>
      </c>
      <c r="CB199" s="133" t="str">
        <f aca="false">IF(ISBLANK($C199),"",IF($BR199&lt;&gt;Constants!$B$8,$BR199,IF(ISNUMBER($CA199),RANK($CA199,$CA$9:$CA$508,1),COUNT($CA$9:$CA$508)+1)))</f>
        <v/>
      </c>
      <c r="CC199" s="136" t="str">
        <f aca="false">IF($BR199&lt;&gt;Constants!$B$8,"",IF($BI199="-&gt;",IF($AT199,$AV199,""),IF($AL199,$AN199,"")))</f>
        <v/>
      </c>
      <c r="CD199" s="133" t="str">
        <f aca="false">IF(ISBLANK($C199),"",IF($BR199&lt;&gt;Constants!$B$8,$BR199,IF(ISNUMBER($CC199),RANK($CC199,$CC$9:$CC$508,1),COUNT($CC$9:$CC$508)+1)))</f>
        <v/>
      </c>
      <c r="CE199" s="136" t="str">
        <f aca="false">IF($BR199&lt;&gt;Constants!$B$8,"",IF(AND(NOT($AL199),NOT($AT199),$AJ199,$AK199,$AR199,$AS199),"",$AI199))</f>
        <v/>
      </c>
      <c r="CF199" s="133" t="str">
        <f aca="false">IF(ISBLANK($C199),"",IF($BR199&lt;&gt;Constants!$B$8,$BR199,IF(ISNUMBER($CE199),RANK($CE199,$CE$9:$CE$508,1),COUNT($CE$9:$CE$508)+1)))</f>
        <v/>
      </c>
      <c r="CG199" s="133" t="str">
        <f aca="false">IF(ISBLANK($C199),"",IF($BR199&lt;&gt;Constants!$B$8,$BR199,COUNTIFS($BX$9:$BX$508,"&lt;"&amp;$BX199)+COUNTIFS($BX$9:$BX$508,$BX199,$BZ$9:$BZ$508,"&lt;"&amp;$BZ199)+COUNTIFS($BX$9:$BX$508,$BX199,$BZ$9:$BZ$508,$BZ199,$CB$9:$CB$508,"&lt;"&amp;$CB199)+COUNTIFS($BX$9:$BX$508,$BX199,$BZ$9:$BZ$508,$BZ199,$CB$9:$CB$508,$CB199,$CD$9:$CD$508,"&lt;"&amp;$CD199)+COUNTIFS($BX$9:$BX$508,$BX199,$BZ$9:$BZ$508,$BZ199,$CB$9:$CB$508,$CB199,$CD$9:$CD$508,$CD199,$CF$9:$CF$508,"&lt;"&amp;$CF199)+1))</f>
        <v/>
      </c>
      <c r="CH199" s="133" t="str">
        <f aca="false">IF(ISBLANK($C199),"",IF($BR199&lt;&gt;Constants!$B$8,$BR199,$BX199-$CG199))</f>
        <v/>
      </c>
      <c r="CI199" s="138"/>
      <c r="CJ199" s="139"/>
      <c r="CK199" s="140" t="str">
        <f aca="false">IF(ISBLANK($C199),"",IF($BR199=Constants!$B$12,$BQ199,""))</f>
        <v/>
      </c>
      <c r="CL199" s="139" t="str">
        <f aca="false">IF(ISBLANK($C199),"",IF($BR199&lt;&gt;Constants!$B$8,"",IF($BI199="-&gt;",2,1)))</f>
        <v/>
      </c>
      <c r="CM199" s="141" t="str">
        <f aca="false">IF(ISBLANK($C199),"",IF($BR199&lt;&gt;Constants!$B$8,"",IF($BI199="-&gt;",$BK199,$BC199)))</f>
        <v/>
      </c>
      <c r="CN199" s="141" t="str">
        <f aca="false">IF(ISBLANK($C199),"",IF($BR199&lt;&gt;Constants!$B$8,"",IF($BI199="-&gt;",$BL199,$BD199)))</f>
        <v/>
      </c>
      <c r="CO199" s="141" t="str">
        <f aca="false">IF(ISBLANK($C199),"",IF($BR199&lt;&gt;Constants!$B$8,"",IF($BI199="-&gt;",$BM199+$BN199,$BE199+$BF199)+$BV199))</f>
        <v/>
      </c>
      <c r="CP199" s="141" t="str">
        <f aca="false">IF(ISBLANK($C199),"",IF($BR199&lt;&gt;Constants!$B$8,"",IF($BI199="-&gt;",$BO199,$BG199)+$BU199))</f>
        <v/>
      </c>
      <c r="CQ199" s="142" t="str">
        <f aca="false">IF(ISBLANK($C199),"",IF($BR199&lt;&gt;Constants!$B$8,$BR199,$BW199))</f>
        <v/>
      </c>
      <c r="CR199" s="143" t="str">
        <f aca="false">IF(ISBLANK($C199),"",$BS199)</f>
        <v/>
      </c>
      <c r="CS199" s="144" t="str">
        <f aca="false">IF(ISBLANK($C199),"",$CH199)</f>
        <v/>
      </c>
      <c r="CT199" s="144" t="str">
        <f aca="false">IF(ISBLANK($C199),"",$CG199)</f>
        <v/>
      </c>
      <c r="CU199" s="145" t="str">
        <f aca="false">IF(ISBLANK($C199),"",IFERROR(_xlfn.SWITCH($CT199,Constants!$B$11,COUNTA($C$9:$C$508)+2,Constants!$B$10,COUNTA($C$9:$C$508)+1,Constants!$B$9,COUNTA($C$9:$C$508)),$CT199))</f>
        <v/>
      </c>
      <c r="CV199" s="9"/>
      <c r="CW199" s="146" t="n">
        <f aca="false">IF(OR(ISNUMBER($CT199),$CT199=Constants!$B$11,$CT199=Constants!$B$9,$CT199=Constants!$B$10),1,0)</f>
        <v>0</v>
      </c>
      <c r="CX199" s="146" t="n">
        <v>191</v>
      </c>
      <c r="CY199" s="146" t="str">
        <f aca="false">IF(ISBLANK($C199),"",IF(ISNUMBER($CU199),$CU199+ROW($B199)/1000,""))</f>
        <v/>
      </c>
      <c r="CZ199" s="146" t="str">
        <f aca="false">IF(ISNUMBER($CY199),RANK($CY199,$CY$9:$CY$508,1),"")</f>
        <v/>
      </c>
      <c r="DA199" s="146" t="str">
        <f aca="false">IF(ISBLANK($C199),"",$B199)</f>
        <v/>
      </c>
      <c r="DB199" s="146" t="str">
        <f aca="false">IF(ISBLANK($C199),"",$C199)</f>
        <v/>
      </c>
      <c r="DC199" s="146" t="str">
        <f aca="false">IF(ISBLANK($C199),"",$D199)</f>
        <v/>
      </c>
      <c r="DD199" s="147" t="str">
        <f aca="false">$CR199</f>
        <v/>
      </c>
      <c r="DE199" s="148" t="str">
        <f aca="false">$CQ199</f>
        <v/>
      </c>
      <c r="DF199" s="146" t="str">
        <f aca="false">IF(ISBLANK($C199),"",$CT199)</f>
        <v/>
      </c>
      <c r="DG199" s="149" t="str">
        <f aca="false">IF($CX199&gt;$CW$8,"",VLOOKUP($CX199,$CZ$9:$DF$508,7,FALSE()))</f>
        <v/>
      </c>
      <c r="DH199" s="150" t="str">
        <f aca="false">IF($CX199&gt;$CW$8,"",VLOOKUP($CX199,$CZ$9:$DF$508,2,FALSE()))</f>
        <v/>
      </c>
      <c r="DI199" s="150" t="str">
        <f aca="false">IF($CX199&gt;$CW$8,"",VLOOKUP($CX199,$CZ$9:$DF$508,3,FALSE()))</f>
        <v/>
      </c>
      <c r="DJ199" s="150" t="str">
        <f aca="false">IF($CX199&gt;$CW$8,"",VLOOKUP($CX199,$CZ$9:$DF$508,4,FALSE()))</f>
        <v/>
      </c>
      <c r="DK199" s="150" t="str">
        <f aca="false">IF($CX199&gt;$CW$8,"",VLOOKUP($CX199,$CZ$9:$DF$508,5,FALSE()))</f>
        <v/>
      </c>
      <c r="DL199" s="151" t="str">
        <f aca="false">IF($CX199&gt;$CW$8,"",VLOOKUP($CX199,$CZ$9:$DF$508,6,FALSE()))</f>
        <v/>
      </c>
      <c r="DM199" s="75"/>
    </row>
    <row r="200" customFormat="false" ht="15.75" hidden="false" customHeight="false" outlineLevel="0" collapsed="false">
      <c r="A200" s="9"/>
      <c r="B200" s="157"/>
      <c r="C200" s="158"/>
      <c r="D200" s="159"/>
      <c r="E200" s="177"/>
      <c r="F200" s="161"/>
      <c r="G200" s="162"/>
      <c r="H200" s="162"/>
      <c r="I200" s="178"/>
      <c r="J200" s="165"/>
      <c r="K200" s="126"/>
      <c r="L200" s="127"/>
      <c r="M200" s="128"/>
      <c r="N200" s="165"/>
      <c r="O200" s="165"/>
      <c r="P200" s="177"/>
      <c r="Q200" s="165"/>
      <c r="R200" s="165"/>
      <c r="S200" s="126"/>
      <c r="T200" s="128"/>
      <c r="U200" s="128"/>
      <c r="V200" s="165"/>
      <c r="W200" s="165"/>
      <c r="X200" s="177"/>
      <c r="Y200" s="165"/>
      <c r="Z200" s="166"/>
      <c r="AA200" s="165"/>
      <c r="AB200" s="132"/>
      <c r="AC200" s="133"/>
      <c r="AD200" s="133"/>
      <c r="AE200" s="133"/>
      <c r="AF200" s="133" t="str">
        <f aca="false">IF(ISBLANK($C200),"",IF(E200=Constants!$B$3,TRUE(),IF(E200=Constants!$B$4,FALSE(),TRUE())))</f>
        <v/>
      </c>
      <c r="AG200" s="133" t="str">
        <f aca="false">IF(ISBLANK($C200),"",IF(F200=Constants!$B$3,TRUE(),IF(F200=Constants!$B$4,FALSE(),TRUE())))</f>
        <v/>
      </c>
      <c r="AH200" s="133" t="str">
        <f aca="false">IF(ISBLANK($C200),"",IF(G200=Constants!$B$3,TRUE(),IF(G200=Constants!$B$4,FALSE(),TRUE())))</f>
        <v/>
      </c>
      <c r="AI200" s="133" t="str">
        <f aca="false">IF(ISBLANK($C200),"",IF(AND(ISNUMBER(H200),H200&gt;=0),H200,Constants!$B$29))</f>
        <v/>
      </c>
      <c r="AJ200" s="133" t="str">
        <f aca="false">IF(ISBLANK($C200),"",IF(I200=Constants!$B$3,TRUE(),IF(I200=Constants!$B$4,FALSE(),TRUE())))</f>
        <v/>
      </c>
      <c r="AK200" s="133" t="str">
        <f aca="false">IF(ISBLANK($C200),"",IF(J200=Constants!$B$3,TRUE(),IF(J200=Constants!$B$4,FALSE(),TRUE())))</f>
        <v/>
      </c>
      <c r="AL200" s="133" t="str">
        <f aca="false">IF(ISBLANK($C200),"",IF(K200=Constants!$B$5,TRUE(),IF(K200=Constants!$B$6,FALSE(),COUNTA(L200:P200)&gt;0)))</f>
        <v/>
      </c>
      <c r="AM200" s="134" t="str">
        <f aca="false">IF(ISBLANK($C200),"",IF(ISNUMBER(L200),IF(L200&gt;=0,L200,""),""))</f>
        <v/>
      </c>
      <c r="AN200" s="135" t="str">
        <f aca="false">IF(ISBLANK($C200),"",IF(ISNUMBER(M200),IF(M200&gt;=0,M200,""),""))</f>
        <v/>
      </c>
      <c r="AO200" s="135" t="str">
        <f aca="false">IF(ISBLANK($C200),"",IF(N200=Constants!$B$3,TRUE(),IF(N200=Constants!$B$4,FALSE(),TRUE())))</f>
        <v/>
      </c>
      <c r="AP200" s="133" t="str">
        <f aca="false">IF(ISBLANK($C200),"",IF(ISNUMBER(O200),IF(O200&gt;=0,O200,""),""))</f>
        <v/>
      </c>
      <c r="AQ200" s="133" t="str">
        <f aca="false">IF(ISBLANK($C200),"",IF(P200=Constants!$B$3,TRUE(),IF(P200=Constants!$B$4,FALSE(),FALSE())))</f>
        <v/>
      </c>
      <c r="AR200" s="133" t="str">
        <f aca="false">IF(ISBLANK($C200),"",IF(Q200=Constants!$B$3,TRUE(),IF(Q200=Constants!$B$4,FALSE(),TRUE())))</f>
        <v/>
      </c>
      <c r="AS200" s="133" t="str">
        <f aca="false">IF(ISBLANK($C200),"",IF(R200=Constants!$B$3,TRUE(),IF(R200=Constants!$B$4,FALSE(),TRUE())))</f>
        <v/>
      </c>
      <c r="AT200" s="133" t="str">
        <f aca="false">IF(ISBLANK($C200),"",IF(S200=Constants!$B$5,TRUE(),IF(S200=Constants!$B$6,FALSE(),COUNTA(T200:X200)&gt;0)))</f>
        <v/>
      </c>
      <c r="AU200" s="134" t="str">
        <f aca="false">IF(ISBLANK($C200),"",IF(ISNUMBER(T200),IF(T200&gt;=0,T200,""),""))</f>
        <v/>
      </c>
      <c r="AV200" s="135" t="str">
        <f aca="false">IF(ISBLANK($C200),"",IF(ISNUMBER(U200),IF(U200&gt;=0,U200,""),""))</f>
        <v/>
      </c>
      <c r="AW200" s="135" t="str">
        <f aca="false">IF(ISBLANK($C200),"",IF(V200=Constants!$B$3,TRUE(),IF(V200=Constants!$B$4,FALSE(),TRUE())))</f>
        <v/>
      </c>
      <c r="AX200" s="133" t="str">
        <f aca="false">IF(ISBLANK($C200),"",IF(ISNUMBER(W200),IF(W200&gt;=0,W200,""),""))</f>
        <v/>
      </c>
      <c r="AY200" s="133" t="str">
        <f aca="false">IF(ISBLANK($C200),"",IF(X200=Constants!$B$3,TRUE(),IF(X200=Constants!$B$4,FALSE(),FALSE())))</f>
        <v/>
      </c>
      <c r="AZ200" s="133" t="str">
        <f aca="false">IF(ISBLANK($C200),"",MIN(Constants!$B$31,MAX(0,IF(ISNUMBER(Y200),Y200*60,0)+IF(ISNUMBER(Z200),Z200,0))))</f>
        <v/>
      </c>
      <c r="BA200" s="133" t="str">
        <f aca="false">IF(ISBLANK($C200),"",IF(AA200=Constants!$B$3,TRUE(),IF(AA200=Constants!$B$4,FALSE(),FALSE())))</f>
        <v/>
      </c>
      <c r="BB200" s="132" t="str">
        <f aca="false">IF(ISBLANK($C200),"",AND($AL200,OR($AM200="",$AN200="",AND($AO200,$AP200=""))))</f>
        <v/>
      </c>
      <c r="BC200" s="135" t="str">
        <f aca="false">IF($BR200&lt;&gt;Constants!$B$8,"",IF($AL200,Constants!$B$21*$AN200+Constants!$B$22*IF($AO200,$AP200,Constants!$B$23),Constants!$B$24))</f>
        <v/>
      </c>
      <c r="BD200" s="136" t="str">
        <f aca="false">IF($BR200&lt;&gt;Constants!$B$8,"",Constants!$B$25*ABS($AD$9-IF($AL200,$AM200,0)))</f>
        <v/>
      </c>
      <c r="BE200" s="136" t="str">
        <f aca="false">IF($BR200&lt;&gt;Constants!$B$8,"",IF(AND($AL200,$AQ200,$AO200),Constants!$B$27,0))</f>
        <v/>
      </c>
      <c r="BF200" s="136" t="str">
        <f aca="false">IF($BR200&lt;&gt;Constants!$B$8,"",IF($AL200,($AI200-Constants!$B$29)*Constants!$B$28,0))</f>
        <v/>
      </c>
      <c r="BG200" s="136" t="str">
        <f aca="false">IF($BR200&lt;&gt;Constants!$B$8,"",IF($AK200,0,Constants!$B$15)+IF($AJ200,0,Constants!$B$16)+IF($AH200,0,Constants!$B$17))</f>
        <v/>
      </c>
      <c r="BH200" s="137" t="str">
        <f aca="false">IF($BR200&lt;&gt;Constants!$B$8,"",Constants!$B$20+SUM($BC200:$BG200))</f>
        <v/>
      </c>
      <c r="BI200" s="133" t="str">
        <f aca="false">IF($BR200&lt;&gt;Constants!$B$8,"",IF(OR($BP200&lt;$BH200,AND($BP200=$BH200,OR($BK200&lt;$BC200,AND($BK200=$BC200,OR($BL200&lt;$BD200,AND($BL200=$BD200,$AT200,$AL200,$AV200&lt;$AN200)))))),"-&gt;","&lt;-"))</f>
        <v/>
      </c>
      <c r="BJ200" s="132" t="str">
        <f aca="false">IF(ISBLANK($C200),"",AND($AT200,OR($AU200="",$AV200="",AND($AW200,$AX200=""))))</f>
        <v/>
      </c>
      <c r="BK200" s="135" t="str">
        <f aca="false">IF($BR200&lt;&gt;Constants!$B$8,"",IF($AT200,Constants!$B$21*$AV200+Constants!$B$22*IF($AW200,$AX200,Constants!$B$23),Constants!$B$24))</f>
        <v/>
      </c>
      <c r="BL200" s="136" t="str">
        <f aca="false">IF($BR200&lt;&gt;Constants!$B$8,"",Constants!$B$25*ABS($AD$9-IF($AT200,$AU200,0)))</f>
        <v/>
      </c>
      <c r="BM200" s="136" t="str">
        <f aca="false">IF($BR200&lt;&gt;Constants!$B$8,"",IF(AND($AT200,$AY200,$AW200),Constants!$B$27,0))</f>
        <v/>
      </c>
      <c r="BN200" s="136" t="str">
        <f aca="false">IF($BR200&lt;&gt;Constants!$B$8,"",IF($AT200,($AI200-Constants!$B$29)*Constants!$B$28,0))</f>
        <v/>
      </c>
      <c r="BO200" s="136" t="str">
        <f aca="false">IF($BR200&lt;&gt;Constants!$B$8,"",IF($AS200,0,Constants!$B$15)+IF($AR200,0,Constants!$B$16)+IF($AH200,0,Constants!$B$17))</f>
        <v/>
      </c>
      <c r="BP200" s="137" t="str">
        <f aca="false">IF($BR200&lt;&gt;Constants!$B$8,"",Constants!$B$20+SUM($BK200:$BO200))</f>
        <v/>
      </c>
      <c r="BQ200" s="133" t="str">
        <f aca="false">IF(ISBLANK($C200),"",IF(ISBLANK($D$7),$BQ$5,IF(NOT(ISNUMBER($D$7)),$BQ$6,"")))</f>
        <v/>
      </c>
      <c r="BR200" s="133" t="str">
        <f aca="false">IF(ISBLANK($C200),"",IF($BA200,Constants!$B$11,IF(COUNTA($E200:$AA200)=0,Constants!$B$10,IF(NOT($AG200),Constants!$B$9,IF(OR($BQ200&lt;&gt;"",$BB200,$BJ200),Constants!$B$12,Constants!$B$8)))))</f>
        <v/>
      </c>
      <c r="BS200" s="133" t="str">
        <f aca="false">IF(ISBLANK($C200),"",IF($BR200&lt;&gt;Constants!$B$8,$BR200,Constants!$B$13))</f>
        <v/>
      </c>
      <c r="BT200" s="136" t="str">
        <f aca="false">IF($BR200&lt;&gt;Constants!$B$8,"",IF($BI200="-&gt;",$BP200,$BH200))</f>
        <v/>
      </c>
      <c r="BU200" s="136" t="str">
        <f aca="false">IF($BR200&lt;&gt;Constants!$B$8,"",IF($AF200,0,Constants!$B$18))</f>
        <v/>
      </c>
      <c r="BV200" s="136" t="str">
        <f aca="false">IF($BR200&lt;&gt;Constants!$B$8,"",((Constants!$B$31-$AZ200)-Constants!$B$31)/Constants!$B$32)</f>
        <v/>
      </c>
      <c r="BW200" s="136" t="str">
        <f aca="false">IF(ISBLANK($C200),"",IF($BR200&lt;&gt;Constants!$B$8,$BR200,SUM($BT200:$BV200)))</f>
        <v/>
      </c>
      <c r="BX200" s="133" t="str">
        <f aca="false">IF(ISBLANK($C200),"",IF($BR200&lt;&gt;Constants!$B$8,$BR200,RANK($BW200,$BW$9:$BW$508,1)))</f>
        <v/>
      </c>
      <c r="BY200" s="136" t="str">
        <f aca="false">IF($BR200&lt;&gt;Constants!$B$8,"",IF($BI200="-&gt;",$BK200,$BC200))</f>
        <v/>
      </c>
      <c r="BZ200" s="133" t="str">
        <f aca="false">IF(ISBLANK($C200),"",IF($BR200&lt;&gt;Constants!$B$8,$BR200,IF(ISNUMBER($BY200),RANK($BY200,$BY$9:$BY$508,1),COUNT($BY$9:$BY$508)+1)))</f>
        <v/>
      </c>
      <c r="CA200" s="136" t="str">
        <f aca="false">IF($BR200&lt;&gt;Constants!$B$8,"",IF($BI200="-&gt;",$BL200,$BD200))</f>
        <v/>
      </c>
      <c r="CB200" s="133" t="str">
        <f aca="false">IF(ISBLANK($C200),"",IF($BR200&lt;&gt;Constants!$B$8,$BR200,IF(ISNUMBER($CA200),RANK($CA200,$CA$9:$CA$508,1),COUNT($CA$9:$CA$508)+1)))</f>
        <v/>
      </c>
      <c r="CC200" s="136" t="str">
        <f aca="false">IF($BR200&lt;&gt;Constants!$B$8,"",IF($BI200="-&gt;",IF($AT200,$AV200,""),IF($AL200,$AN200,"")))</f>
        <v/>
      </c>
      <c r="CD200" s="133" t="str">
        <f aca="false">IF(ISBLANK($C200),"",IF($BR200&lt;&gt;Constants!$B$8,$BR200,IF(ISNUMBER($CC200),RANK($CC200,$CC$9:$CC$508,1),COUNT($CC$9:$CC$508)+1)))</f>
        <v/>
      </c>
      <c r="CE200" s="136" t="str">
        <f aca="false">IF($BR200&lt;&gt;Constants!$B$8,"",IF(AND(NOT($AL200),NOT($AT200),$AJ200,$AK200,$AR200,$AS200),"",$AI200))</f>
        <v/>
      </c>
      <c r="CF200" s="133" t="str">
        <f aca="false">IF(ISBLANK($C200),"",IF($BR200&lt;&gt;Constants!$B$8,$BR200,IF(ISNUMBER($CE200),RANK($CE200,$CE$9:$CE$508,1),COUNT($CE$9:$CE$508)+1)))</f>
        <v/>
      </c>
      <c r="CG200" s="133" t="str">
        <f aca="false">IF(ISBLANK($C200),"",IF($BR200&lt;&gt;Constants!$B$8,$BR200,COUNTIFS($BX$9:$BX$508,"&lt;"&amp;$BX200)+COUNTIFS($BX$9:$BX$508,$BX200,$BZ$9:$BZ$508,"&lt;"&amp;$BZ200)+COUNTIFS($BX$9:$BX$508,$BX200,$BZ$9:$BZ$508,$BZ200,$CB$9:$CB$508,"&lt;"&amp;$CB200)+COUNTIFS($BX$9:$BX$508,$BX200,$BZ$9:$BZ$508,$BZ200,$CB$9:$CB$508,$CB200,$CD$9:$CD$508,"&lt;"&amp;$CD200)+COUNTIFS($BX$9:$BX$508,$BX200,$BZ$9:$BZ$508,$BZ200,$CB$9:$CB$508,$CB200,$CD$9:$CD$508,$CD200,$CF$9:$CF$508,"&lt;"&amp;$CF200)+1))</f>
        <v/>
      </c>
      <c r="CH200" s="133" t="str">
        <f aca="false">IF(ISBLANK($C200),"",IF($BR200&lt;&gt;Constants!$B$8,$BR200,$BX200-$CG200))</f>
        <v/>
      </c>
      <c r="CI200" s="138"/>
      <c r="CJ200" s="139"/>
      <c r="CK200" s="140" t="str">
        <f aca="false">IF(ISBLANK($C200),"",IF($BR200=Constants!$B$12,$BQ200,""))</f>
        <v/>
      </c>
      <c r="CL200" s="139" t="str">
        <f aca="false">IF(ISBLANK($C200),"",IF($BR200&lt;&gt;Constants!$B$8,"",IF($BI200="-&gt;",2,1)))</f>
        <v/>
      </c>
      <c r="CM200" s="141" t="str">
        <f aca="false">IF(ISBLANK($C200),"",IF($BR200&lt;&gt;Constants!$B$8,"",IF($BI200="-&gt;",$BK200,$BC200)))</f>
        <v/>
      </c>
      <c r="CN200" s="141" t="str">
        <f aca="false">IF(ISBLANK($C200),"",IF($BR200&lt;&gt;Constants!$B$8,"",IF($BI200="-&gt;",$BL200,$BD200)))</f>
        <v/>
      </c>
      <c r="CO200" s="141" t="str">
        <f aca="false">IF(ISBLANK($C200),"",IF($BR200&lt;&gt;Constants!$B$8,"",IF($BI200="-&gt;",$BM200+$BN200,$BE200+$BF200)+$BV200))</f>
        <v/>
      </c>
      <c r="CP200" s="141" t="str">
        <f aca="false">IF(ISBLANK($C200),"",IF($BR200&lt;&gt;Constants!$B$8,"",IF($BI200="-&gt;",$BO200,$BG200)+$BU200))</f>
        <v/>
      </c>
      <c r="CQ200" s="142" t="str">
        <f aca="false">IF(ISBLANK($C200),"",IF($BR200&lt;&gt;Constants!$B$8,$BR200,$BW200))</f>
        <v/>
      </c>
      <c r="CR200" s="143" t="str">
        <f aca="false">IF(ISBLANK($C200),"",$BS200)</f>
        <v/>
      </c>
      <c r="CS200" s="144" t="str">
        <f aca="false">IF(ISBLANK($C200),"",$CH200)</f>
        <v/>
      </c>
      <c r="CT200" s="144" t="str">
        <f aca="false">IF(ISBLANK($C200),"",$CG200)</f>
        <v/>
      </c>
      <c r="CU200" s="145" t="str">
        <f aca="false">IF(ISBLANK($C200),"",IFERROR(_xlfn.SWITCH($CT200,Constants!$B$11,COUNTA($C$9:$C$508)+2,Constants!$B$10,COUNTA($C$9:$C$508)+1,Constants!$B$9,COUNTA($C$9:$C$508)),$CT200))</f>
        <v/>
      </c>
      <c r="CV200" s="9"/>
      <c r="CW200" s="146" t="n">
        <f aca="false">IF(OR(ISNUMBER($CT200),$CT200=Constants!$B$11,$CT200=Constants!$B$9,$CT200=Constants!$B$10),1,0)</f>
        <v>0</v>
      </c>
      <c r="CX200" s="146" t="n">
        <v>192</v>
      </c>
      <c r="CY200" s="146" t="str">
        <f aca="false">IF(ISBLANK($C200),"",IF(ISNUMBER($CU200),$CU200+ROW($B200)/1000,""))</f>
        <v/>
      </c>
      <c r="CZ200" s="146" t="str">
        <f aca="false">IF(ISNUMBER($CY200),RANK($CY200,$CY$9:$CY$508,1),"")</f>
        <v/>
      </c>
      <c r="DA200" s="146" t="str">
        <f aca="false">IF(ISBLANK($C200),"",$B200)</f>
        <v/>
      </c>
      <c r="DB200" s="146" t="str">
        <f aca="false">IF(ISBLANK($C200),"",$C200)</f>
        <v/>
      </c>
      <c r="DC200" s="146" t="str">
        <f aca="false">IF(ISBLANK($C200),"",$D200)</f>
        <v/>
      </c>
      <c r="DD200" s="147" t="str">
        <f aca="false">$CR200</f>
        <v/>
      </c>
      <c r="DE200" s="148" t="str">
        <f aca="false">$CQ200</f>
        <v/>
      </c>
      <c r="DF200" s="146" t="str">
        <f aca="false">IF(ISBLANK($C200),"",$CT200)</f>
        <v/>
      </c>
      <c r="DG200" s="149" t="str">
        <f aca="false">IF($CX200&gt;$CW$8,"",VLOOKUP($CX200,$CZ$9:$DF$508,7,FALSE()))</f>
        <v/>
      </c>
      <c r="DH200" s="150" t="str">
        <f aca="false">IF($CX200&gt;$CW$8,"",VLOOKUP($CX200,$CZ$9:$DF$508,2,FALSE()))</f>
        <v/>
      </c>
      <c r="DI200" s="150" t="str">
        <f aca="false">IF($CX200&gt;$CW$8,"",VLOOKUP($CX200,$CZ$9:$DF$508,3,FALSE()))</f>
        <v/>
      </c>
      <c r="DJ200" s="150" t="str">
        <f aca="false">IF($CX200&gt;$CW$8,"",VLOOKUP($CX200,$CZ$9:$DF$508,4,FALSE()))</f>
        <v/>
      </c>
      <c r="DK200" s="150" t="str">
        <f aca="false">IF($CX200&gt;$CW$8,"",VLOOKUP($CX200,$CZ$9:$DF$508,5,FALSE()))</f>
        <v/>
      </c>
      <c r="DL200" s="151" t="str">
        <f aca="false">IF($CX200&gt;$CW$8,"",VLOOKUP($CX200,$CZ$9:$DF$508,6,FALSE()))</f>
        <v/>
      </c>
      <c r="DM200" s="75"/>
    </row>
    <row r="201" customFormat="false" ht="15.75" hidden="false" customHeight="false" outlineLevel="0" collapsed="false">
      <c r="A201" s="9"/>
      <c r="B201" s="77"/>
      <c r="C201" s="78"/>
      <c r="D201" s="167"/>
      <c r="E201" s="175"/>
      <c r="F201" s="169"/>
      <c r="G201" s="170"/>
      <c r="H201" s="170"/>
      <c r="I201" s="176"/>
      <c r="J201" s="173"/>
      <c r="K201" s="85"/>
      <c r="L201" s="86"/>
      <c r="M201" s="87"/>
      <c r="N201" s="173"/>
      <c r="O201" s="173"/>
      <c r="P201" s="175"/>
      <c r="Q201" s="173"/>
      <c r="R201" s="173"/>
      <c r="S201" s="85"/>
      <c r="T201" s="87"/>
      <c r="U201" s="87"/>
      <c r="V201" s="173"/>
      <c r="W201" s="173"/>
      <c r="X201" s="175"/>
      <c r="Y201" s="173"/>
      <c r="Z201" s="174"/>
      <c r="AA201" s="173"/>
      <c r="AB201" s="91"/>
      <c r="AC201" s="92"/>
      <c r="AD201" s="92"/>
      <c r="AE201" s="92"/>
      <c r="AF201" s="92" t="str">
        <f aca="false">IF(ISBLANK($C201),"",IF(E201=Constants!$B$3,TRUE(),IF(E201=Constants!$B$4,FALSE(),TRUE())))</f>
        <v/>
      </c>
      <c r="AG201" s="92" t="str">
        <f aca="false">IF(ISBLANK($C201),"",IF(F201=Constants!$B$3,TRUE(),IF(F201=Constants!$B$4,FALSE(),TRUE())))</f>
        <v/>
      </c>
      <c r="AH201" s="92" t="str">
        <f aca="false">IF(ISBLANK($C201),"",IF(G201=Constants!$B$3,TRUE(),IF(G201=Constants!$B$4,FALSE(),TRUE())))</f>
        <v/>
      </c>
      <c r="AI201" s="92" t="str">
        <f aca="false">IF(ISBLANK($C201),"",IF(AND(ISNUMBER(H201),H201&gt;=0),H201,Constants!$B$29))</f>
        <v/>
      </c>
      <c r="AJ201" s="92" t="str">
        <f aca="false">IF(ISBLANK($C201),"",IF(I201=Constants!$B$3,TRUE(),IF(I201=Constants!$B$4,FALSE(),TRUE())))</f>
        <v/>
      </c>
      <c r="AK201" s="92" t="str">
        <f aca="false">IF(ISBLANK($C201),"",IF(J201=Constants!$B$3,TRUE(),IF(J201=Constants!$B$4,FALSE(),TRUE())))</f>
        <v/>
      </c>
      <c r="AL201" s="92" t="str">
        <f aca="false">IF(ISBLANK($C201),"",IF(K201=Constants!$B$5,TRUE(),IF(K201=Constants!$B$6,FALSE(),COUNTA(L201:P201)&gt;0)))</f>
        <v/>
      </c>
      <c r="AM201" s="94" t="str">
        <f aca="false">IF(ISBLANK($C201),"",IF(ISNUMBER(L201),IF(L201&gt;=0,L201,""),""))</f>
        <v/>
      </c>
      <c r="AN201" s="93" t="str">
        <f aca="false">IF(ISBLANK($C201),"",IF(ISNUMBER(M201),IF(M201&gt;=0,M201,""),""))</f>
        <v/>
      </c>
      <c r="AO201" s="93" t="str">
        <f aca="false">IF(ISBLANK($C201),"",IF(N201=Constants!$B$3,TRUE(),IF(N201=Constants!$B$4,FALSE(),TRUE())))</f>
        <v/>
      </c>
      <c r="AP201" s="92" t="str">
        <f aca="false">IF(ISBLANK($C201),"",IF(ISNUMBER(O201),IF(O201&gt;=0,O201,""),""))</f>
        <v/>
      </c>
      <c r="AQ201" s="92" t="str">
        <f aca="false">IF(ISBLANK($C201),"",IF(P201=Constants!$B$3,TRUE(),IF(P201=Constants!$B$4,FALSE(),FALSE())))</f>
        <v/>
      </c>
      <c r="AR201" s="92" t="str">
        <f aca="false">IF(ISBLANK($C201),"",IF(Q201=Constants!$B$3,TRUE(),IF(Q201=Constants!$B$4,FALSE(),TRUE())))</f>
        <v/>
      </c>
      <c r="AS201" s="92" t="str">
        <f aca="false">IF(ISBLANK($C201),"",IF(R201=Constants!$B$3,TRUE(),IF(R201=Constants!$B$4,FALSE(),TRUE())))</f>
        <v/>
      </c>
      <c r="AT201" s="92" t="str">
        <f aca="false">IF(ISBLANK($C201),"",IF(S201=Constants!$B$5,TRUE(),IF(S201=Constants!$B$6,FALSE(),COUNTA(T201:X201)&gt;0)))</f>
        <v/>
      </c>
      <c r="AU201" s="94" t="str">
        <f aca="false">IF(ISBLANK($C201),"",IF(ISNUMBER(T201),IF(T201&gt;=0,T201,""),""))</f>
        <v/>
      </c>
      <c r="AV201" s="93" t="str">
        <f aca="false">IF(ISBLANK($C201),"",IF(ISNUMBER(U201),IF(U201&gt;=0,U201,""),""))</f>
        <v/>
      </c>
      <c r="AW201" s="93" t="str">
        <f aca="false">IF(ISBLANK($C201),"",IF(V201=Constants!$B$3,TRUE(),IF(V201=Constants!$B$4,FALSE(),TRUE())))</f>
        <v/>
      </c>
      <c r="AX201" s="92" t="str">
        <f aca="false">IF(ISBLANK($C201),"",IF(ISNUMBER(W201),IF(W201&gt;=0,W201,""),""))</f>
        <v/>
      </c>
      <c r="AY201" s="92" t="str">
        <f aca="false">IF(ISBLANK($C201),"",IF(X201=Constants!$B$3,TRUE(),IF(X201=Constants!$B$4,FALSE(),FALSE())))</f>
        <v/>
      </c>
      <c r="AZ201" s="92" t="str">
        <f aca="false">IF(ISBLANK($C201),"",MIN(Constants!$B$31,MAX(0,IF(ISNUMBER(Y201),Y201*60,0)+IF(ISNUMBER(Z201),Z201,0))))</f>
        <v/>
      </c>
      <c r="BA201" s="92" t="str">
        <f aca="false">IF(ISBLANK($C201),"",IF(AA201=Constants!$B$3,TRUE(),IF(AA201=Constants!$B$4,FALSE(),FALSE())))</f>
        <v/>
      </c>
      <c r="BB201" s="91" t="str">
        <f aca="false">IF(ISBLANK($C201),"",AND($AL201,OR($AM201="",$AN201="",AND($AO201,$AP201=""))))</f>
        <v/>
      </c>
      <c r="BC201" s="93" t="str">
        <f aca="false">IF($BR201&lt;&gt;Constants!$B$8,"",IF($AL201,Constants!$B$21*$AN201+Constants!$B$22*IF($AO201,$AP201,Constants!$B$23),Constants!$B$24))</f>
        <v/>
      </c>
      <c r="BD201" s="96" t="str">
        <f aca="false">IF($BR201&lt;&gt;Constants!$B$8,"",Constants!$B$25*ABS($AD$9-IF($AL201,$AM201,0)))</f>
        <v/>
      </c>
      <c r="BE201" s="96" t="str">
        <f aca="false">IF($BR201&lt;&gt;Constants!$B$8,"",IF(AND($AL201,$AQ201,$AO201),Constants!$B$27,0))</f>
        <v/>
      </c>
      <c r="BF201" s="96" t="str">
        <f aca="false">IF($BR201&lt;&gt;Constants!$B$8,"",IF($AL201,($AI201-Constants!$B$29)*Constants!$B$28,0))</f>
        <v/>
      </c>
      <c r="BG201" s="96" t="str">
        <f aca="false">IF($BR201&lt;&gt;Constants!$B$8,"",IF($AK201,0,Constants!$B$15)+IF($AJ201,0,Constants!$B$16)+IF($AH201,0,Constants!$B$17))</f>
        <v/>
      </c>
      <c r="BH201" s="97" t="str">
        <f aca="false">IF($BR201&lt;&gt;Constants!$B$8,"",Constants!$B$20+SUM($BC201:$BG201))</f>
        <v/>
      </c>
      <c r="BI201" s="92" t="str">
        <f aca="false">IF($BR201&lt;&gt;Constants!$B$8,"",IF(OR($BP201&lt;$BH201,AND($BP201=$BH201,OR($BK201&lt;$BC201,AND($BK201=$BC201,OR($BL201&lt;$BD201,AND($BL201=$BD201,$AT201,$AL201,$AV201&lt;$AN201)))))),"-&gt;","&lt;-"))</f>
        <v/>
      </c>
      <c r="BJ201" s="91" t="str">
        <f aca="false">IF(ISBLANK($C201),"",AND($AT201,OR($AU201="",$AV201="",AND($AW201,$AX201=""))))</f>
        <v/>
      </c>
      <c r="BK201" s="93" t="str">
        <f aca="false">IF($BR201&lt;&gt;Constants!$B$8,"",IF($AT201,Constants!$B$21*$AV201+Constants!$B$22*IF($AW201,$AX201,Constants!$B$23),Constants!$B$24))</f>
        <v/>
      </c>
      <c r="BL201" s="96" t="str">
        <f aca="false">IF($BR201&lt;&gt;Constants!$B$8,"",Constants!$B$25*ABS($AD$9-IF($AT201,$AU201,0)))</f>
        <v/>
      </c>
      <c r="BM201" s="96" t="str">
        <f aca="false">IF($BR201&lt;&gt;Constants!$B$8,"",IF(AND($AT201,$AY201,$AW201),Constants!$B$27,0))</f>
        <v/>
      </c>
      <c r="BN201" s="96" t="str">
        <f aca="false">IF($BR201&lt;&gt;Constants!$B$8,"",IF($AT201,($AI201-Constants!$B$29)*Constants!$B$28,0))</f>
        <v/>
      </c>
      <c r="BO201" s="96" t="str">
        <f aca="false">IF($BR201&lt;&gt;Constants!$B$8,"",IF($AS201,0,Constants!$B$15)+IF($AR201,0,Constants!$B$16)+IF($AH201,0,Constants!$B$17))</f>
        <v/>
      </c>
      <c r="BP201" s="97" t="str">
        <f aca="false">IF($BR201&lt;&gt;Constants!$B$8,"",Constants!$B$20+SUM($BK201:$BO201))</f>
        <v/>
      </c>
      <c r="BQ201" s="92" t="str">
        <f aca="false">IF(ISBLANK($C201),"",IF(ISBLANK($D$7),$BQ$5,IF(NOT(ISNUMBER($D$7)),$BQ$6,"")))</f>
        <v/>
      </c>
      <c r="BR201" s="92" t="str">
        <f aca="false">IF(ISBLANK($C201),"",IF($BA201,Constants!$B$11,IF(COUNTA($E201:$AA201)=0,Constants!$B$10,IF(NOT($AG201),Constants!$B$9,IF(OR($BQ201&lt;&gt;"",$BB201,$BJ201),Constants!$B$12,Constants!$B$8)))))</f>
        <v/>
      </c>
      <c r="BS201" s="92" t="str">
        <f aca="false">IF(ISBLANK($C201),"",IF($BR201&lt;&gt;Constants!$B$8,$BR201,Constants!$B$13))</f>
        <v/>
      </c>
      <c r="BT201" s="96" t="str">
        <f aca="false">IF($BR201&lt;&gt;Constants!$B$8,"",IF($BI201="-&gt;",$BP201,$BH201))</f>
        <v/>
      </c>
      <c r="BU201" s="96" t="str">
        <f aca="false">IF($BR201&lt;&gt;Constants!$B$8,"",IF($AF201,0,Constants!$B$18))</f>
        <v/>
      </c>
      <c r="BV201" s="96" t="str">
        <f aca="false">IF($BR201&lt;&gt;Constants!$B$8,"",((Constants!$B$31-$AZ201)-Constants!$B$31)/Constants!$B$32)</f>
        <v/>
      </c>
      <c r="BW201" s="96" t="str">
        <f aca="false">IF(ISBLANK($C201),"",IF($BR201&lt;&gt;Constants!$B$8,$BR201,SUM($BT201:$BV201)))</f>
        <v/>
      </c>
      <c r="BX201" s="92" t="str">
        <f aca="false">IF(ISBLANK($C201),"",IF($BR201&lt;&gt;Constants!$B$8,$BR201,RANK($BW201,$BW$9:$BW$508,1)))</f>
        <v/>
      </c>
      <c r="BY201" s="96" t="str">
        <f aca="false">IF($BR201&lt;&gt;Constants!$B$8,"",IF($BI201="-&gt;",$BK201,$BC201))</f>
        <v/>
      </c>
      <c r="BZ201" s="92" t="str">
        <f aca="false">IF(ISBLANK($C201),"",IF($BR201&lt;&gt;Constants!$B$8,$BR201,IF(ISNUMBER($BY201),RANK($BY201,$BY$9:$BY$508,1),COUNT($BY$9:$BY$508)+1)))</f>
        <v/>
      </c>
      <c r="CA201" s="96" t="str">
        <f aca="false">IF($BR201&lt;&gt;Constants!$B$8,"",IF($BI201="-&gt;",$BL201,$BD201))</f>
        <v/>
      </c>
      <c r="CB201" s="92" t="str">
        <f aca="false">IF(ISBLANK($C201),"",IF($BR201&lt;&gt;Constants!$B$8,$BR201,IF(ISNUMBER($CA201),RANK($CA201,$CA$9:$CA$508,1),COUNT($CA$9:$CA$508)+1)))</f>
        <v/>
      </c>
      <c r="CC201" s="96" t="str">
        <f aca="false">IF($BR201&lt;&gt;Constants!$B$8,"",IF($BI201="-&gt;",IF($AT201,$AV201,""),IF($AL201,$AN201,"")))</f>
        <v/>
      </c>
      <c r="CD201" s="92" t="str">
        <f aca="false">IF(ISBLANK($C201),"",IF($BR201&lt;&gt;Constants!$B$8,$BR201,IF(ISNUMBER($CC201),RANK($CC201,$CC$9:$CC$508,1),COUNT($CC$9:$CC$508)+1)))</f>
        <v/>
      </c>
      <c r="CE201" s="96" t="str">
        <f aca="false">IF($BR201&lt;&gt;Constants!$B$8,"",IF(AND(NOT($AL201),NOT($AT201),$AJ201,$AK201,$AR201,$AS201),"",$AI201))</f>
        <v/>
      </c>
      <c r="CF201" s="92" t="str">
        <f aca="false">IF(ISBLANK($C201),"",IF($BR201&lt;&gt;Constants!$B$8,$BR201,IF(ISNUMBER($CE201),RANK($CE201,$CE$9:$CE$508,1),COUNT($CE$9:$CE$508)+1)))</f>
        <v/>
      </c>
      <c r="CG201" s="92" t="str">
        <f aca="false">IF(ISBLANK($C201),"",IF($BR201&lt;&gt;Constants!$B$8,$BR201,COUNTIFS($BX$9:$BX$508,"&lt;"&amp;$BX201)+COUNTIFS($BX$9:$BX$508,$BX201,$BZ$9:$BZ$508,"&lt;"&amp;$BZ201)+COUNTIFS($BX$9:$BX$508,$BX201,$BZ$9:$BZ$508,$BZ201,$CB$9:$CB$508,"&lt;"&amp;$CB201)+COUNTIFS($BX$9:$BX$508,$BX201,$BZ$9:$BZ$508,$BZ201,$CB$9:$CB$508,$CB201,$CD$9:$CD$508,"&lt;"&amp;$CD201)+COUNTIFS($BX$9:$BX$508,$BX201,$BZ$9:$BZ$508,$BZ201,$CB$9:$CB$508,$CB201,$CD$9:$CD$508,$CD201,$CF$9:$CF$508,"&lt;"&amp;$CF201)+1))</f>
        <v/>
      </c>
      <c r="CH201" s="92" t="str">
        <f aca="false">IF(ISBLANK($C201),"",IF($BR201&lt;&gt;Constants!$B$8,$BR201,$BX201-$CG201))</f>
        <v/>
      </c>
      <c r="CI201" s="98"/>
      <c r="CJ201" s="99"/>
      <c r="CK201" s="100" t="str">
        <f aca="false">IF(ISBLANK($C201),"",IF($BR201=Constants!$B$12,$BQ201,""))</f>
        <v/>
      </c>
      <c r="CL201" s="99" t="str">
        <f aca="false">IF(ISBLANK($C201),"",IF($BR201&lt;&gt;Constants!$B$8,"",IF($BI201="-&gt;",2,1)))</f>
        <v/>
      </c>
      <c r="CM201" s="101" t="str">
        <f aca="false">IF(ISBLANK($C201),"",IF($BR201&lt;&gt;Constants!$B$8,"",IF($BI201="-&gt;",$BK201,$BC201)))</f>
        <v/>
      </c>
      <c r="CN201" s="101" t="str">
        <f aca="false">IF(ISBLANK($C201),"",IF($BR201&lt;&gt;Constants!$B$8,"",IF($BI201="-&gt;",$BL201,$BD201)))</f>
        <v/>
      </c>
      <c r="CO201" s="101" t="str">
        <f aca="false">IF(ISBLANK($C201),"",IF($BR201&lt;&gt;Constants!$B$8,"",IF($BI201="-&gt;",$BM201+$BN201,$BE201+$BF201)+$BV201))</f>
        <v/>
      </c>
      <c r="CP201" s="101" t="str">
        <f aca="false">IF(ISBLANK($C201),"",IF($BR201&lt;&gt;Constants!$B$8,"",IF($BI201="-&gt;",$BO201,$BG201)+$BU201))</f>
        <v/>
      </c>
      <c r="CQ201" s="102" t="str">
        <f aca="false">IF(ISBLANK($C201),"",IF($BR201&lt;&gt;Constants!$B$8,$BR201,$BW201))</f>
        <v/>
      </c>
      <c r="CR201" s="103" t="str">
        <f aca="false">IF(ISBLANK($C201),"",$BS201)</f>
        <v/>
      </c>
      <c r="CS201" s="104" t="str">
        <f aca="false">IF(ISBLANK($C201),"",$CH201)</f>
        <v/>
      </c>
      <c r="CT201" s="104" t="str">
        <f aca="false">IF(ISBLANK($C201),"",$CG201)</f>
        <v/>
      </c>
      <c r="CU201" s="105" t="str">
        <f aca="false">IF(ISBLANK($C201),"",IFERROR(_xlfn.SWITCH($CT201,Constants!$B$11,COUNTA($C$9:$C$508)+2,Constants!$B$10,COUNTA($C$9:$C$508)+1,Constants!$B$9,COUNTA($C$9:$C$508)),$CT201))</f>
        <v/>
      </c>
      <c r="CV201" s="9"/>
      <c r="CW201" s="106" t="n">
        <f aca="false">IF(OR(ISNUMBER($CT201),$CT201=Constants!$B$11,$CT201=Constants!$B$9,$CT201=Constants!$B$10),1,0)</f>
        <v>0</v>
      </c>
      <c r="CX201" s="106" t="n">
        <v>193</v>
      </c>
      <c r="CY201" s="106" t="str">
        <f aca="false">IF(ISBLANK($C201),"",IF(ISNUMBER($CU201),$CU201+ROW($B201)/1000,""))</f>
        <v/>
      </c>
      <c r="CZ201" s="106" t="str">
        <f aca="false">IF(ISNUMBER($CY201),RANK($CY201,$CY$9:$CY$508,1),"")</f>
        <v/>
      </c>
      <c r="DA201" s="106" t="str">
        <f aca="false">IF(ISBLANK($C201),"",$B201)</f>
        <v/>
      </c>
      <c r="DB201" s="106" t="str">
        <f aca="false">IF(ISBLANK($C201),"",$C201)</f>
        <v/>
      </c>
      <c r="DC201" s="106" t="str">
        <f aca="false">IF(ISBLANK($C201),"",$D201)</f>
        <v/>
      </c>
      <c r="DD201" s="107" t="str">
        <f aca="false">$CR201</f>
        <v/>
      </c>
      <c r="DE201" s="108" t="str">
        <f aca="false">$CQ201</f>
        <v/>
      </c>
      <c r="DF201" s="106" t="str">
        <f aca="false">IF(ISBLANK($C201),"",$CT201)</f>
        <v/>
      </c>
      <c r="DG201" s="109" t="str">
        <f aca="false">IF($CX201&gt;$CW$8,"",VLOOKUP($CX201,$CZ$9:$DF$508,7,FALSE()))</f>
        <v/>
      </c>
      <c r="DH201" s="110" t="str">
        <f aca="false">IF($CX201&gt;$CW$8,"",VLOOKUP($CX201,$CZ$9:$DF$508,2,FALSE()))</f>
        <v/>
      </c>
      <c r="DI201" s="110" t="str">
        <f aca="false">IF($CX201&gt;$CW$8,"",VLOOKUP($CX201,$CZ$9:$DF$508,3,FALSE()))</f>
        <v/>
      </c>
      <c r="DJ201" s="110" t="str">
        <f aca="false">IF($CX201&gt;$CW$8,"",VLOOKUP($CX201,$CZ$9:$DF$508,4,FALSE()))</f>
        <v/>
      </c>
      <c r="DK201" s="110" t="str">
        <f aca="false">IF($CX201&gt;$CW$8,"",VLOOKUP($CX201,$CZ$9:$DF$508,5,FALSE()))</f>
        <v/>
      </c>
      <c r="DL201" s="111" t="str">
        <f aca="false">IF($CX201&gt;$CW$8,"",VLOOKUP($CX201,$CZ$9:$DF$508,6,FALSE()))</f>
        <v/>
      </c>
      <c r="DM201" s="75"/>
    </row>
    <row r="202" customFormat="false" ht="15.75" hidden="false" customHeight="false" outlineLevel="0" collapsed="false">
      <c r="A202" s="9"/>
      <c r="B202" s="77"/>
      <c r="C202" s="78"/>
      <c r="D202" s="167"/>
      <c r="E202" s="175"/>
      <c r="F202" s="169"/>
      <c r="G202" s="170"/>
      <c r="H202" s="170"/>
      <c r="I202" s="176"/>
      <c r="J202" s="173"/>
      <c r="K202" s="85"/>
      <c r="L202" s="86"/>
      <c r="M202" s="87"/>
      <c r="N202" s="173"/>
      <c r="O202" s="173"/>
      <c r="P202" s="175"/>
      <c r="Q202" s="173"/>
      <c r="R202" s="173"/>
      <c r="S202" s="85"/>
      <c r="T202" s="87"/>
      <c r="U202" s="87"/>
      <c r="V202" s="173"/>
      <c r="W202" s="173"/>
      <c r="X202" s="175"/>
      <c r="Y202" s="173"/>
      <c r="Z202" s="174"/>
      <c r="AA202" s="173"/>
      <c r="AB202" s="91"/>
      <c r="AC202" s="92"/>
      <c r="AD202" s="92"/>
      <c r="AE202" s="92"/>
      <c r="AF202" s="92" t="str">
        <f aca="false">IF(ISBLANK($C202),"",IF(E202=Constants!$B$3,TRUE(),IF(E202=Constants!$B$4,FALSE(),TRUE())))</f>
        <v/>
      </c>
      <c r="AG202" s="92" t="str">
        <f aca="false">IF(ISBLANK($C202),"",IF(F202=Constants!$B$3,TRUE(),IF(F202=Constants!$B$4,FALSE(),TRUE())))</f>
        <v/>
      </c>
      <c r="AH202" s="92" t="str">
        <f aca="false">IF(ISBLANK($C202),"",IF(G202=Constants!$B$3,TRUE(),IF(G202=Constants!$B$4,FALSE(),TRUE())))</f>
        <v/>
      </c>
      <c r="AI202" s="92" t="str">
        <f aca="false">IF(ISBLANK($C202),"",IF(AND(ISNUMBER(H202),H202&gt;=0),H202,Constants!$B$29))</f>
        <v/>
      </c>
      <c r="AJ202" s="92" t="str">
        <f aca="false">IF(ISBLANK($C202),"",IF(I202=Constants!$B$3,TRUE(),IF(I202=Constants!$B$4,FALSE(),TRUE())))</f>
        <v/>
      </c>
      <c r="AK202" s="92" t="str">
        <f aca="false">IF(ISBLANK($C202),"",IF(J202=Constants!$B$3,TRUE(),IF(J202=Constants!$B$4,FALSE(),TRUE())))</f>
        <v/>
      </c>
      <c r="AL202" s="92" t="str">
        <f aca="false">IF(ISBLANK($C202),"",IF(K202=Constants!$B$5,TRUE(),IF(K202=Constants!$B$6,FALSE(),COUNTA(L202:P202)&gt;0)))</f>
        <v/>
      </c>
      <c r="AM202" s="94" t="str">
        <f aca="false">IF(ISBLANK($C202),"",IF(ISNUMBER(L202),IF(L202&gt;=0,L202,""),""))</f>
        <v/>
      </c>
      <c r="AN202" s="93" t="str">
        <f aca="false">IF(ISBLANK($C202),"",IF(ISNUMBER(M202),IF(M202&gt;=0,M202,""),""))</f>
        <v/>
      </c>
      <c r="AO202" s="93" t="str">
        <f aca="false">IF(ISBLANK($C202),"",IF(N202=Constants!$B$3,TRUE(),IF(N202=Constants!$B$4,FALSE(),TRUE())))</f>
        <v/>
      </c>
      <c r="AP202" s="92" t="str">
        <f aca="false">IF(ISBLANK($C202),"",IF(ISNUMBER(O202),IF(O202&gt;=0,O202,""),""))</f>
        <v/>
      </c>
      <c r="AQ202" s="92" t="str">
        <f aca="false">IF(ISBLANK($C202),"",IF(P202=Constants!$B$3,TRUE(),IF(P202=Constants!$B$4,FALSE(),FALSE())))</f>
        <v/>
      </c>
      <c r="AR202" s="92" t="str">
        <f aca="false">IF(ISBLANK($C202),"",IF(Q202=Constants!$B$3,TRUE(),IF(Q202=Constants!$B$4,FALSE(),TRUE())))</f>
        <v/>
      </c>
      <c r="AS202" s="92" t="str">
        <f aca="false">IF(ISBLANK($C202),"",IF(R202=Constants!$B$3,TRUE(),IF(R202=Constants!$B$4,FALSE(),TRUE())))</f>
        <v/>
      </c>
      <c r="AT202" s="92" t="str">
        <f aca="false">IF(ISBLANK($C202),"",IF(S202=Constants!$B$5,TRUE(),IF(S202=Constants!$B$6,FALSE(),COUNTA(T202:X202)&gt;0)))</f>
        <v/>
      </c>
      <c r="AU202" s="94" t="str">
        <f aca="false">IF(ISBLANK($C202),"",IF(ISNUMBER(T202),IF(T202&gt;=0,T202,""),""))</f>
        <v/>
      </c>
      <c r="AV202" s="93" t="str">
        <f aca="false">IF(ISBLANK($C202),"",IF(ISNUMBER(U202),IF(U202&gt;=0,U202,""),""))</f>
        <v/>
      </c>
      <c r="AW202" s="93" t="str">
        <f aca="false">IF(ISBLANK($C202),"",IF(V202=Constants!$B$3,TRUE(),IF(V202=Constants!$B$4,FALSE(),TRUE())))</f>
        <v/>
      </c>
      <c r="AX202" s="92" t="str">
        <f aca="false">IF(ISBLANK($C202),"",IF(ISNUMBER(W202),IF(W202&gt;=0,W202,""),""))</f>
        <v/>
      </c>
      <c r="AY202" s="92" t="str">
        <f aca="false">IF(ISBLANK($C202),"",IF(X202=Constants!$B$3,TRUE(),IF(X202=Constants!$B$4,FALSE(),FALSE())))</f>
        <v/>
      </c>
      <c r="AZ202" s="92" t="str">
        <f aca="false">IF(ISBLANK($C202),"",MIN(Constants!$B$31,MAX(0,IF(ISNUMBER(Y202),Y202*60,0)+IF(ISNUMBER(Z202),Z202,0))))</f>
        <v/>
      </c>
      <c r="BA202" s="92" t="str">
        <f aca="false">IF(ISBLANK($C202),"",IF(AA202=Constants!$B$3,TRUE(),IF(AA202=Constants!$B$4,FALSE(),FALSE())))</f>
        <v/>
      </c>
      <c r="BB202" s="91" t="str">
        <f aca="false">IF(ISBLANK($C202),"",AND($AL202,OR($AM202="",$AN202="",AND($AO202,$AP202=""))))</f>
        <v/>
      </c>
      <c r="BC202" s="93" t="str">
        <f aca="false">IF($BR202&lt;&gt;Constants!$B$8,"",IF($AL202,Constants!$B$21*$AN202+Constants!$B$22*IF($AO202,$AP202,Constants!$B$23),Constants!$B$24))</f>
        <v/>
      </c>
      <c r="BD202" s="96" t="str">
        <f aca="false">IF($BR202&lt;&gt;Constants!$B$8,"",Constants!$B$25*ABS($AD$9-IF($AL202,$AM202,0)))</f>
        <v/>
      </c>
      <c r="BE202" s="96" t="str">
        <f aca="false">IF($BR202&lt;&gt;Constants!$B$8,"",IF(AND($AL202,$AQ202,$AO202),Constants!$B$27,0))</f>
        <v/>
      </c>
      <c r="BF202" s="96" t="str">
        <f aca="false">IF($BR202&lt;&gt;Constants!$B$8,"",IF($AL202,($AI202-Constants!$B$29)*Constants!$B$28,0))</f>
        <v/>
      </c>
      <c r="BG202" s="96" t="str">
        <f aca="false">IF($BR202&lt;&gt;Constants!$B$8,"",IF($AK202,0,Constants!$B$15)+IF($AJ202,0,Constants!$B$16)+IF($AH202,0,Constants!$B$17))</f>
        <v/>
      </c>
      <c r="BH202" s="97" t="str">
        <f aca="false">IF($BR202&lt;&gt;Constants!$B$8,"",Constants!$B$20+SUM($BC202:$BG202))</f>
        <v/>
      </c>
      <c r="BI202" s="92" t="str">
        <f aca="false">IF($BR202&lt;&gt;Constants!$B$8,"",IF(OR($BP202&lt;$BH202,AND($BP202=$BH202,OR($BK202&lt;$BC202,AND($BK202=$BC202,OR($BL202&lt;$BD202,AND($BL202=$BD202,$AT202,$AL202,$AV202&lt;$AN202)))))),"-&gt;","&lt;-"))</f>
        <v/>
      </c>
      <c r="BJ202" s="91" t="str">
        <f aca="false">IF(ISBLANK($C202),"",AND($AT202,OR($AU202="",$AV202="",AND($AW202,$AX202=""))))</f>
        <v/>
      </c>
      <c r="BK202" s="93" t="str">
        <f aca="false">IF($BR202&lt;&gt;Constants!$B$8,"",IF($AT202,Constants!$B$21*$AV202+Constants!$B$22*IF($AW202,$AX202,Constants!$B$23),Constants!$B$24))</f>
        <v/>
      </c>
      <c r="BL202" s="96" t="str">
        <f aca="false">IF($BR202&lt;&gt;Constants!$B$8,"",Constants!$B$25*ABS($AD$9-IF($AT202,$AU202,0)))</f>
        <v/>
      </c>
      <c r="BM202" s="96" t="str">
        <f aca="false">IF($BR202&lt;&gt;Constants!$B$8,"",IF(AND($AT202,$AY202,$AW202),Constants!$B$27,0))</f>
        <v/>
      </c>
      <c r="BN202" s="96" t="str">
        <f aca="false">IF($BR202&lt;&gt;Constants!$B$8,"",IF($AT202,($AI202-Constants!$B$29)*Constants!$B$28,0))</f>
        <v/>
      </c>
      <c r="BO202" s="96" t="str">
        <f aca="false">IF($BR202&lt;&gt;Constants!$B$8,"",IF($AS202,0,Constants!$B$15)+IF($AR202,0,Constants!$B$16)+IF($AH202,0,Constants!$B$17))</f>
        <v/>
      </c>
      <c r="BP202" s="97" t="str">
        <f aca="false">IF($BR202&lt;&gt;Constants!$B$8,"",Constants!$B$20+SUM($BK202:$BO202))</f>
        <v/>
      </c>
      <c r="BQ202" s="92" t="str">
        <f aca="false">IF(ISBLANK($C202),"",IF(ISBLANK($D$7),$BQ$5,IF(NOT(ISNUMBER($D$7)),$BQ$6,"")))</f>
        <v/>
      </c>
      <c r="BR202" s="92" t="str">
        <f aca="false">IF(ISBLANK($C202),"",IF($BA202,Constants!$B$11,IF(COUNTA($E202:$AA202)=0,Constants!$B$10,IF(NOT($AG202),Constants!$B$9,IF(OR($BQ202&lt;&gt;"",$BB202,$BJ202),Constants!$B$12,Constants!$B$8)))))</f>
        <v/>
      </c>
      <c r="BS202" s="92" t="str">
        <f aca="false">IF(ISBLANK($C202),"",IF($BR202&lt;&gt;Constants!$B$8,$BR202,Constants!$B$13))</f>
        <v/>
      </c>
      <c r="BT202" s="96" t="str">
        <f aca="false">IF($BR202&lt;&gt;Constants!$B$8,"",IF($BI202="-&gt;",$BP202,$BH202))</f>
        <v/>
      </c>
      <c r="BU202" s="96" t="str">
        <f aca="false">IF($BR202&lt;&gt;Constants!$B$8,"",IF($AF202,0,Constants!$B$18))</f>
        <v/>
      </c>
      <c r="BV202" s="96" t="str">
        <f aca="false">IF($BR202&lt;&gt;Constants!$B$8,"",((Constants!$B$31-$AZ202)-Constants!$B$31)/Constants!$B$32)</f>
        <v/>
      </c>
      <c r="BW202" s="96" t="str">
        <f aca="false">IF(ISBLANK($C202),"",IF($BR202&lt;&gt;Constants!$B$8,$BR202,SUM($BT202:$BV202)))</f>
        <v/>
      </c>
      <c r="BX202" s="92" t="str">
        <f aca="false">IF(ISBLANK($C202),"",IF($BR202&lt;&gt;Constants!$B$8,$BR202,RANK($BW202,$BW$9:$BW$508,1)))</f>
        <v/>
      </c>
      <c r="BY202" s="96" t="str">
        <f aca="false">IF($BR202&lt;&gt;Constants!$B$8,"",IF($BI202="-&gt;",$BK202,$BC202))</f>
        <v/>
      </c>
      <c r="BZ202" s="92" t="str">
        <f aca="false">IF(ISBLANK($C202),"",IF($BR202&lt;&gt;Constants!$B$8,$BR202,IF(ISNUMBER($BY202),RANK($BY202,$BY$9:$BY$508,1),COUNT($BY$9:$BY$508)+1)))</f>
        <v/>
      </c>
      <c r="CA202" s="96" t="str">
        <f aca="false">IF($BR202&lt;&gt;Constants!$B$8,"",IF($BI202="-&gt;",$BL202,$BD202))</f>
        <v/>
      </c>
      <c r="CB202" s="92" t="str">
        <f aca="false">IF(ISBLANK($C202),"",IF($BR202&lt;&gt;Constants!$B$8,$BR202,IF(ISNUMBER($CA202),RANK($CA202,$CA$9:$CA$508,1),COUNT($CA$9:$CA$508)+1)))</f>
        <v/>
      </c>
      <c r="CC202" s="96" t="str">
        <f aca="false">IF($BR202&lt;&gt;Constants!$B$8,"",IF($BI202="-&gt;",IF($AT202,$AV202,""),IF($AL202,$AN202,"")))</f>
        <v/>
      </c>
      <c r="CD202" s="92" t="str">
        <f aca="false">IF(ISBLANK($C202),"",IF($BR202&lt;&gt;Constants!$B$8,$BR202,IF(ISNUMBER($CC202),RANK($CC202,$CC$9:$CC$508,1),COUNT($CC$9:$CC$508)+1)))</f>
        <v/>
      </c>
      <c r="CE202" s="96" t="str">
        <f aca="false">IF($BR202&lt;&gt;Constants!$B$8,"",IF(AND(NOT($AL202),NOT($AT202),$AJ202,$AK202,$AR202,$AS202),"",$AI202))</f>
        <v/>
      </c>
      <c r="CF202" s="92" t="str">
        <f aca="false">IF(ISBLANK($C202),"",IF($BR202&lt;&gt;Constants!$B$8,$BR202,IF(ISNUMBER($CE202),RANK($CE202,$CE$9:$CE$508,1),COUNT($CE$9:$CE$508)+1)))</f>
        <v/>
      </c>
      <c r="CG202" s="92" t="str">
        <f aca="false">IF(ISBLANK($C202),"",IF($BR202&lt;&gt;Constants!$B$8,$BR202,COUNTIFS($BX$9:$BX$508,"&lt;"&amp;$BX202)+COUNTIFS($BX$9:$BX$508,$BX202,$BZ$9:$BZ$508,"&lt;"&amp;$BZ202)+COUNTIFS($BX$9:$BX$508,$BX202,$BZ$9:$BZ$508,$BZ202,$CB$9:$CB$508,"&lt;"&amp;$CB202)+COUNTIFS($BX$9:$BX$508,$BX202,$BZ$9:$BZ$508,$BZ202,$CB$9:$CB$508,$CB202,$CD$9:$CD$508,"&lt;"&amp;$CD202)+COUNTIFS($BX$9:$BX$508,$BX202,$BZ$9:$BZ$508,$BZ202,$CB$9:$CB$508,$CB202,$CD$9:$CD$508,$CD202,$CF$9:$CF$508,"&lt;"&amp;$CF202)+1))</f>
        <v/>
      </c>
      <c r="CH202" s="92" t="str">
        <f aca="false">IF(ISBLANK($C202),"",IF($BR202&lt;&gt;Constants!$B$8,$BR202,$BX202-$CG202))</f>
        <v/>
      </c>
      <c r="CI202" s="98"/>
      <c r="CJ202" s="99"/>
      <c r="CK202" s="100" t="str">
        <f aca="false">IF(ISBLANK($C202),"",IF($BR202=Constants!$B$12,$BQ202,""))</f>
        <v/>
      </c>
      <c r="CL202" s="99" t="str">
        <f aca="false">IF(ISBLANK($C202),"",IF($BR202&lt;&gt;Constants!$B$8,"",IF($BI202="-&gt;",2,1)))</f>
        <v/>
      </c>
      <c r="CM202" s="101" t="str">
        <f aca="false">IF(ISBLANK($C202),"",IF($BR202&lt;&gt;Constants!$B$8,"",IF($BI202="-&gt;",$BK202,$BC202)))</f>
        <v/>
      </c>
      <c r="CN202" s="101" t="str">
        <f aca="false">IF(ISBLANK($C202),"",IF($BR202&lt;&gt;Constants!$B$8,"",IF($BI202="-&gt;",$BL202,$BD202)))</f>
        <v/>
      </c>
      <c r="CO202" s="101" t="str">
        <f aca="false">IF(ISBLANK($C202),"",IF($BR202&lt;&gt;Constants!$B$8,"",IF($BI202="-&gt;",$BM202+$BN202,$BE202+$BF202)+$BV202))</f>
        <v/>
      </c>
      <c r="CP202" s="101" t="str">
        <f aca="false">IF(ISBLANK($C202),"",IF($BR202&lt;&gt;Constants!$B$8,"",IF($BI202="-&gt;",$BO202,$BG202)+$BU202))</f>
        <v/>
      </c>
      <c r="CQ202" s="102" t="str">
        <f aca="false">IF(ISBLANK($C202),"",IF($BR202&lt;&gt;Constants!$B$8,$BR202,$BW202))</f>
        <v/>
      </c>
      <c r="CR202" s="103" t="str">
        <f aca="false">IF(ISBLANK($C202),"",$BS202)</f>
        <v/>
      </c>
      <c r="CS202" s="104" t="str">
        <f aca="false">IF(ISBLANK($C202),"",$CH202)</f>
        <v/>
      </c>
      <c r="CT202" s="104" t="str">
        <f aca="false">IF(ISBLANK($C202),"",$CG202)</f>
        <v/>
      </c>
      <c r="CU202" s="105" t="str">
        <f aca="false">IF(ISBLANK($C202),"",IFERROR(_xlfn.SWITCH($CT202,Constants!$B$11,COUNTA($C$9:$C$508)+2,Constants!$B$10,COUNTA($C$9:$C$508)+1,Constants!$B$9,COUNTA($C$9:$C$508)),$CT202))</f>
        <v/>
      </c>
      <c r="CV202" s="9"/>
      <c r="CW202" s="106" t="n">
        <f aca="false">IF(OR(ISNUMBER($CT202),$CT202=Constants!$B$11,$CT202=Constants!$B$9,$CT202=Constants!$B$10),1,0)</f>
        <v>0</v>
      </c>
      <c r="CX202" s="106" t="n">
        <v>194</v>
      </c>
      <c r="CY202" s="106" t="str">
        <f aca="false">IF(ISBLANK($C202),"",IF(ISNUMBER($CU202),$CU202+ROW($B202)/1000,""))</f>
        <v/>
      </c>
      <c r="CZ202" s="106" t="str">
        <f aca="false">IF(ISNUMBER($CY202),RANK($CY202,$CY$9:$CY$508,1),"")</f>
        <v/>
      </c>
      <c r="DA202" s="106" t="str">
        <f aca="false">IF(ISBLANK($C202),"",$B202)</f>
        <v/>
      </c>
      <c r="DB202" s="106" t="str">
        <f aca="false">IF(ISBLANK($C202),"",$C202)</f>
        <v/>
      </c>
      <c r="DC202" s="106" t="str">
        <f aca="false">IF(ISBLANK($C202),"",$D202)</f>
        <v/>
      </c>
      <c r="DD202" s="107" t="str">
        <f aca="false">$CR202</f>
        <v/>
      </c>
      <c r="DE202" s="108" t="str">
        <f aca="false">$CQ202</f>
        <v/>
      </c>
      <c r="DF202" s="106" t="str">
        <f aca="false">IF(ISBLANK($C202),"",$CT202)</f>
        <v/>
      </c>
      <c r="DG202" s="109" t="str">
        <f aca="false">IF($CX202&gt;$CW$8,"",VLOOKUP($CX202,$CZ$9:$DF$508,7,FALSE()))</f>
        <v/>
      </c>
      <c r="DH202" s="110" t="str">
        <f aca="false">IF($CX202&gt;$CW$8,"",VLOOKUP($CX202,$CZ$9:$DF$508,2,FALSE()))</f>
        <v/>
      </c>
      <c r="DI202" s="110" t="str">
        <f aca="false">IF($CX202&gt;$CW$8,"",VLOOKUP($CX202,$CZ$9:$DF$508,3,FALSE()))</f>
        <v/>
      </c>
      <c r="DJ202" s="110" t="str">
        <f aca="false">IF($CX202&gt;$CW$8,"",VLOOKUP($CX202,$CZ$9:$DF$508,4,FALSE()))</f>
        <v/>
      </c>
      <c r="DK202" s="110" t="str">
        <f aca="false">IF($CX202&gt;$CW$8,"",VLOOKUP($CX202,$CZ$9:$DF$508,5,FALSE()))</f>
        <v/>
      </c>
      <c r="DL202" s="111" t="str">
        <f aca="false">IF($CX202&gt;$CW$8,"",VLOOKUP($CX202,$CZ$9:$DF$508,6,FALSE()))</f>
        <v/>
      </c>
      <c r="DM202" s="75"/>
    </row>
    <row r="203" customFormat="false" ht="15.75" hidden="false" customHeight="false" outlineLevel="0" collapsed="false">
      <c r="A203" s="9"/>
      <c r="B203" s="77"/>
      <c r="C203" s="78"/>
      <c r="D203" s="167"/>
      <c r="E203" s="175"/>
      <c r="F203" s="169"/>
      <c r="G203" s="170"/>
      <c r="H203" s="170"/>
      <c r="I203" s="176"/>
      <c r="J203" s="173"/>
      <c r="K203" s="85"/>
      <c r="L203" s="86"/>
      <c r="M203" s="87"/>
      <c r="N203" s="173"/>
      <c r="O203" s="173"/>
      <c r="P203" s="175"/>
      <c r="Q203" s="173"/>
      <c r="R203" s="173"/>
      <c r="S203" s="85"/>
      <c r="T203" s="87"/>
      <c r="U203" s="87"/>
      <c r="V203" s="173"/>
      <c r="W203" s="173"/>
      <c r="X203" s="175"/>
      <c r="Y203" s="173"/>
      <c r="Z203" s="174"/>
      <c r="AA203" s="173"/>
      <c r="AB203" s="91"/>
      <c r="AC203" s="92"/>
      <c r="AD203" s="92"/>
      <c r="AE203" s="92"/>
      <c r="AF203" s="92" t="str">
        <f aca="false">IF(ISBLANK($C203),"",IF(E203=Constants!$B$3,TRUE(),IF(E203=Constants!$B$4,FALSE(),TRUE())))</f>
        <v/>
      </c>
      <c r="AG203" s="92" t="str">
        <f aca="false">IF(ISBLANK($C203),"",IF(F203=Constants!$B$3,TRUE(),IF(F203=Constants!$B$4,FALSE(),TRUE())))</f>
        <v/>
      </c>
      <c r="AH203" s="92" t="str">
        <f aca="false">IF(ISBLANK($C203),"",IF(G203=Constants!$B$3,TRUE(),IF(G203=Constants!$B$4,FALSE(),TRUE())))</f>
        <v/>
      </c>
      <c r="AI203" s="92" t="str">
        <f aca="false">IF(ISBLANK($C203),"",IF(AND(ISNUMBER(H203),H203&gt;=0),H203,Constants!$B$29))</f>
        <v/>
      </c>
      <c r="AJ203" s="92" t="str">
        <f aca="false">IF(ISBLANK($C203),"",IF(I203=Constants!$B$3,TRUE(),IF(I203=Constants!$B$4,FALSE(),TRUE())))</f>
        <v/>
      </c>
      <c r="AK203" s="92" t="str">
        <f aca="false">IF(ISBLANK($C203),"",IF(J203=Constants!$B$3,TRUE(),IF(J203=Constants!$B$4,FALSE(),TRUE())))</f>
        <v/>
      </c>
      <c r="AL203" s="92" t="str">
        <f aca="false">IF(ISBLANK($C203),"",IF(K203=Constants!$B$5,TRUE(),IF(K203=Constants!$B$6,FALSE(),COUNTA(L203:P203)&gt;0)))</f>
        <v/>
      </c>
      <c r="AM203" s="94" t="str">
        <f aca="false">IF(ISBLANK($C203),"",IF(ISNUMBER(L203),IF(L203&gt;=0,L203,""),""))</f>
        <v/>
      </c>
      <c r="AN203" s="93" t="str">
        <f aca="false">IF(ISBLANK($C203),"",IF(ISNUMBER(M203),IF(M203&gt;=0,M203,""),""))</f>
        <v/>
      </c>
      <c r="AO203" s="93" t="str">
        <f aca="false">IF(ISBLANK($C203),"",IF(N203=Constants!$B$3,TRUE(),IF(N203=Constants!$B$4,FALSE(),TRUE())))</f>
        <v/>
      </c>
      <c r="AP203" s="92" t="str">
        <f aca="false">IF(ISBLANK($C203),"",IF(ISNUMBER(O203),IF(O203&gt;=0,O203,""),""))</f>
        <v/>
      </c>
      <c r="AQ203" s="92" t="str">
        <f aca="false">IF(ISBLANK($C203),"",IF(P203=Constants!$B$3,TRUE(),IF(P203=Constants!$B$4,FALSE(),FALSE())))</f>
        <v/>
      </c>
      <c r="AR203" s="92" t="str">
        <f aca="false">IF(ISBLANK($C203),"",IF(Q203=Constants!$B$3,TRUE(),IF(Q203=Constants!$B$4,FALSE(),TRUE())))</f>
        <v/>
      </c>
      <c r="AS203" s="92" t="str">
        <f aca="false">IF(ISBLANK($C203),"",IF(R203=Constants!$B$3,TRUE(),IF(R203=Constants!$B$4,FALSE(),TRUE())))</f>
        <v/>
      </c>
      <c r="AT203" s="92" t="str">
        <f aca="false">IF(ISBLANK($C203),"",IF(S203=Constants!$B$5,TRUE(),IF(S203=Constants!$B$6,FALSE(),COUNTA(T203:X203)&gt;0)))</f>
        <v/>
      </c>
      <c r="AU203" s="94" t="str">
        <f aca="false">IF(ISBLANK($C203),"",IF(ISNUMBER(T203),IF(T203&gt;=0,T203,""),""))</f>
        <v/>
      </c>
      <c r="AV203" s="93" t="str">
        <f aca="false">IF(ISBLANK($C203),"",IF(ISNUMBER(U203),IF(U203&gt;=0,U203,""),""))</f>
        <v/>
      </c>
      <c r="AW203" s="93" t="str">
        <f aca="false">IF(ISBLANK($C203),"",IF(V203=Constants!$B$3,TRUE(),IF(V203=Constants!$B$4,FALSE(),TRUE())))</f>
        <v/>
      </c>
      <c r="AX203" s="92" t="str">
        <f aca="false">IF(ISBLANK($C203),"",IF(ISNUMBER(W203),IF(W203&gt;=0,W203,""),""))</f>
        <v/>
      </c>
      <c r="AY203" s="92" t="str">
        <f aca="false">IF(ISBLANK($C203),"",IF(X203=Constants!$B$3,TRUE(),IF(X203=Constants!$B$4,FALSE(),FALSE())))</f>
        <v/>
      </c>
      <c r="AZ203" s="92" t="str">
        <f aca="false">IF(ISBLANK($C203),"",MIN(Constants!$B$31,MAX(0,IF(ISNUMBER(Y203),Y203*60,0)+IF(ISNUMBER(Z203),Z203,0))))</f>
        <v/>
      </c>
      <c r="BA203" s="92" t="str">
        <f aca="false">IF(ISBLANK($C203),"",IF(AA203=Constants!$B$3,TRUE(),IF(AA203=Constants!$B$4,FALSE(),FALSE())))</f>
        <v/>
      </c>
      <c r="BB203" s="91" t="str">
        <f aca="false">IF(ISBLANK($C203),"",AND($AL203,OR($AM203="",$AN203="",AND($AO203,$AP203=""))))</f>
        <v/>
      </c>
      <c r="BC203" s="93" t="str">
        <f aca="false">IF($BR203&lt;&gt;Constants!$B$8,"",IF($AL203,Constants!$B$21*$AN203+Constants!$B$22*IF($AO203,$AP203,Constants!$B$23),Constants!$B$24))</f>
        <v/>
      </c>
      <c r="BD203" s="96" t="str">
        <f aca="false">IF($BR203&lt;&gt;Constants!$B$8,"",Constants!$B$25*ABS($AD$9-IF($AL203,$AM203,0)))</f>
        <v/>
      </c>
      <c r="BE203" s="96" t="str">
        <f aca="false">IF($BR203&lt;&gt;Constants!$B$8,"",IF(AND($AL203,$AQ203,$AO203),Constants!$B$27,0))</f>
        <v/>
      </c>
      <c r="BF203" s="96" t="str">
        <f aca="false">IF($BR203&lt;&gt;Constants!$B$8,"",IF($AL203,($AI203-Constants!$B$29)*Constants!$B$28,0))</f>
        <v/>
      </c>
      <c r="BG203" s="96" t="str">
        <f aca="false">IF($BR203&lt;&gt;Constants!$B$8,"",IF($AK203,0,Constants!$B$15)+IF($AJ203,0,Constants!$B$16)+IF($AH203,0,Constants!$B$17))</f>
        <v/>
      </c>
      <c r="BH203" s="97" t="str">
        <f aca="false">IF($BR203&lt;&gt;Constants!$B$8,"",Constants!$B$20+SUM($BC203:$BG203))</f>
        <v/>
      </c>
      <c r="BI203" s="92" t="str">
        <f aca="false">IF($BR203&lt;&gt;Constants!$B$8,"",IF(OR($BP203&lt;$BH203,AND($BP203=$BH203,OR($BK203&lt;$BC203,AND($BK203=$BC203,OR($BL203&lt;$BD203,AND($BL203=$BD203,$AT203,$AL203,$AV203&lt;$AN203)))))),"-&gt;","&lt;-"))</f>
        <v/>
      </c>
      <c r="BJ203" s="91" t="str">
        <f aca="false">IF(ISBLANK($C203),"",AND($AT203,OR($AU203="",$AV203="",AND($AW203,$AX203=""))))</f>
        <v/>
      </c>
      <c r="BK203" s="93" t="str">
        <f aca="false">IF($BR203&lt;&gt;Constants!$B$8,"",IF($AT203,Constants!$B$21*$AV203+Constants!$B$22*IF($AW203,$AX203,Constants!$B$23),Constants!$B$24))</f>
        <v/>
      </c>
      <c r="BL203" s="96" t="str">
        <f aca="false">IF($BR203&lt;&gt;Constants!$B$8,"",Constants!$B$25*ABS($AD$9-IF($AT203,$AU203,0)))</f>
        <v/>
      </c>
      <c r="BM203" s="96" t="str">
        <f aca="false">IF($BR203&lt;&gt;Constants!$B$8,"",IF(AND($AT203,$AY203,$AW203),Constants!$B$27,0))</f>
        <v/>
      </c>
      <c r="BN203" s="96" t="str">
        <f aca="false">IF($BR203&lt;&gt;Constants!$B$8,"",IF($AT203,($AI203-Constants!$B$29)*Constants!$B$28,0))</f>
        <v/>
      </c>
      <c r="BO203" s="96" t="str">
        <f aca="false">IF($BR203&lt;&gt;Constants!$B$8,"",IF($AS203,0,Constants!$B$15)+IF($AR203,0,Constants!$B$16)+IF($AH203,0,Constants!$B$17))</f>
        <v/>
      </c>
      <c r="BP203" s="97" t="str">
        <f aca="false">IF($BR203&lt;&gt;Constants!$B$8,"",Constants!$B$20+SUM($BK203:$BO203))</f>
        <v/>
      </c>
      <c r="BQ203" s="92" t="str">
        <f aca="false">IF(ISBLANK($C203),"",IF(ISBLANK($D$7),$BQ$5,IF(NOT(ISNUMBER($D$7)),$BQ$6,"")))</f>
        <v/>
      </c>
      <c r="BR203" s="92" t="str">
        <f aca="false">IF(ISBLANK($C203),"",IF($BA203,Constants!$B$11,IF(COUNTA($E203:$AA203)=0,Constants!$B$10,IF(NOT($AG203),Constants!$B$9,IF(OR($BQ203&lt;&gt;"",$BB203,$BJ203),Constants!$B$12,Constants!$B$8)))))</f>
        <v/>
      </c>
      <c r="BS203" s="92" t="str">
        <f aca="false">IF(ISBLANK($C203),"",IF($BR203&lt;&gt;Constants!$B$8,$BR203,Constants!$B$13))</f>
        <v/>
      </c>
      <c r="BT203" s="96" t="str">
        <f aca="false">IF($BR203&lt;&gt;Constants!$B$8,"",IF($BI203="-&gt;",$BP203,$BH203))</f>
        <v/>
      </c>
      <c r="BU203" s="96" t="str">
        <f aca="false">IF($BR203&lt;&gt;Constants!$B$8,"",IF($AF203,0,Constants!$B$18))</f>
        <v/>
      </c>
      <c r="BV203" s="96" t="str">
        <f aca="false">IF($BR203&lt;&gt;Constants!$B$8,"",((Constants!$B$31-$AZ203)-Constants!$B$31)/Constants!$B$32)</f>
        <v/>
      </c>
      <c r="BW203" s="96" t="str">
        <f aca="false">IF(ISBLANK($C203),"",IF($BR203&lt;&gt;Constants!$B$8,$BR203,SUM($BT203:$BV203)))</f>
        <v/>
      </c>
      <c r="BX203" s="92" t="str">
        <f aca="false">IF(ISBLANK($C203),"",IF($BR203&lt;&gt;Constants!$B$8,$BR203,RANK($BW203,$BW$9:$BW$508,1)))</f>
        <v/>
      </c>
      <c r="BY203" s="96" t="str">
        <f aca="false">IF($BR203&lt;&gt;Constants!$B$8,"",IF($BI203="-&gt;",$BK203,$BC203))</f>
        <v/>
      </c>
      <c r="BZ203" s="92" t="str">
        <f aca="false">IF(ISBLANK($C203),"",IF($BR203&lt;&gt;Constants!$B$8,$BR203,IF(ISNUMBER($BY203),RANK($BY203,$BY$9:$BY$508,1),COUNT($BY$9:$BY$508)+1)))</f>
        <v/>
      </c>
      <c r="CA203" s="96" t="str">
        <f aca="false">IF($BR203&lt;&gt;Constants!$B$8,"",IF($BI203="-&gt;",$BL203,$BD203))</f>
        <v/>
      </c>
      <c r="CB203" s="92" t="str">
        <f aca="false">IF(ISBLANK($C203),"",IF($BR203&lt;&gt;Constants!$B$8,$BR203,IF(ISNUMBER($CA203),RANK($CA203,$CA$9:$CA$508,1),COUNT($CA$9:$CA$508)+1)))</f>
        <v/>
      </c>
      <c r="CC203" s="96" t="str">
        <f aca="false">IF($BR203&lt;&gt;Constants!$B$8,"",IF($BI203="-&gt;",IF($AT203,$AV203,""),IF($AL203,$AN203,"")))</f>
        <v/>
      </c>
      <c r="CD203" s="92" t="str">
        <f aca="false">IF(ISBLANK($C203),"",IF($BR203&lt;&gt;Constants!$B$8,$BR203,IF(ISNUMBER($CC203),RANK($CC203,$CC$9:$CC$508,1),COUNT($CC$9:$CC$508)+1)))</f>
        <v/>
      </c>
      <c r="CE203" s="96" t="str">
        <f aca="false">IF($BR203&lt;&gt;Constants!$B$8,"",IF(AND(NOT($AL203),NOT($AT203),$AJ203,$AK203,$AR203,$AS203),"",$AI203))</f>
        <v/>
      </c>
      <c r="CF203" s="92" t="str">
        <f aca="false">IF(ISBLANK($C203),"",IF($BR203&lt;&gt;Constants!$B$8,$BR203,IF(ISNUMBER($CE203),RANK($CE203,$CE$9:$CE$508,1),COUNT($CE$9:$CE$508)+1)))</f>
        <v/>
      </c>
      <c r="CG203" s="92" t="str">
        <f aca="false">IF(ISBLANK($C203),"",IF($BR203&lt;&gt;Constants!$B$8,$BR203,COUNTIFS($BX$9:$BX$508,"&lt;"&amp;$BX203)+COUNTIFS($BX$9:$BX$508,$BX203,$BZ$9:$BZ$508,"&lt;"&amp;$BZ203)+COUNTIFS($BX$9:$BX$508,$BX203,$BZ$9:$BZ$508,$BZ203,$CB$9:$CB$508,"&lt;"&amp;$CB203)+COUNTIFS($BX$9:$BX$508,$BX203,$BZ$9:$BZ$508,$BZ203,$CB$9:$CB$508,$CB203,$CD$9:$CD$508,"&lt;"&amp;$CD203)+COUNTIFS($BX$9:$BX$508,$BX203,$BZ$9:$BZ$508,$BZ203,$CB$9:$CB$508,$CB203,$CD$9:$CD$508,$CD203,$CF$9:$CF$508,"&lt;"&amp;$CF203)+1))</f>
        <v/>
      </c>
      <c r="CH203" s="92" t="str">
        <f aca="false">IF(ISBLANK($C203),"",IF($BR203&lt;&gt;Constants!$B$8,$BR203,$BX203-$CG203))</f>
        <v/>
      </c>
      <c r="CI203" s="98"/>
      <c r="CJ203" s="99"/>
      <c r="CK203" s="100" t="str">
        <f aca="false">IF(ISBLANK($C203),"",IF($BR203=Constants!$B$12,$BQ203,""))</f>
        <v/>
      </c>
      <c r="CL203" s="99" t="str">
        <f aca="false">IF(ISBLANK($C203),"",IF($BR203&lt;&gt;Constants!$B$8,"",IF($BI203="-&gt;",2,1)))</f>
        <v/>
      </c>
      <c r="CM203" s="101" t="str">
        <f aca="false">IF(ISBLANK($C203),"",IF($BR203&lt;&gt;Constants!$B$8,"",IF($BI203="-&gt;",$BK203,$BC203)))</f>
        <v/>
      </c>
      <c r="CN203" s="101" t="str">
        <f aca="false">IF(ISBLANK($C203),"",IF($BR203&lt;&gt;Constants!$B$8,"",IF($BI203="-&gt;",$BL203,$BD203)))</f>
        <v/>
      </c>
      <c r="CO203" s="101" t="str">
        <f aca="false">IF(ISBLANK($C203),"",IF($BR203&lt;&gt;Constants!$B$8,"",IF($BI203="-&gt;",$BM203+$BN203,$BE203+$BF203)+$BV203))</f>
        <v/>
      </c>
      <c r="CP203" s="101" t="str">
        <f aca="false">IF(ISBLANK($C203),"",IF($BR203&lt;&gt;Constants!$B$8,"",IF($BI203="-&gt;",$BO203,$BG203)+$BU203))</f>
        <v/>
      </c>
      <c r="CQ203" s="102" t="str">
        <f aca="false">IF(ISBLANK($C203),"",IF($BR203&lt;&gt;Constants!$B$8,$BR203,$BW203))</f>
        <v/>
      </c>
      <c r="CR203" s="103" t="str">
        <f aca="false">IF(ISBLANK($C203),"",$BS203)</f>
        <v/>
      </c>
      <c r="CS203" s="104" t="str">
        <f aca="false">IF(ISBLANK($C203),"",$CH203)</f>
        <v/>
      </c>
      <c r="CT203" s="104" t="str">
        <f aca="false">IF(ISBLANK($C203),"",$CG203)</f>
        <v/>
      </c>
      <c r="CU203" s="105" t="str">
        <f aca="false">IF(ISBLANK($C203),"",IFERROR(_xlfn.SWITCH($CT203,Constants!$B$11,COUNTA($C$9:$C$508)+2,Constants!$B$10,COUNTA($C$9:$C$508)+1,Constants!$B$9,COUNTA($C$9:$C$508)),$CT203))</f>
        <v/>
      </c>
      <c r="CV203" s="9"/>
      <c r="CW203" s="106" t="n">
        <f aca="false">IF(OR(ISNUMBER($CT203),$CT203=Constants!$B$11,$CT203=Constants!$B$9,$CT203=Constants!$B$10),1,0)</f>
        <v>0</v>
      </c>
      <c r="CX203" s="106" t="n">
        <v>195</v>
      </c>
      <c r="CY203" s="106" t="str">
        <f aca="false">IF(ISBLANK($C203),"",IF(ISNUMBER($CU203),$CU203+ROW($B203)/1000,""))</f>
        <v/>
      </c>
      <c r="CZ203" s="106" t="str">
        <f aca="false">IF(ISNUMBER($CY203),RANK($CY203,$CY$9:$CY$508,1),"")</f>
        <v/>
      </c>
      <c r="DA203" s="106" t="str">
        <f aca="false">IF(ISBLANK($C203),"",$B203)</f>
        <v/>
      </c>
      <c r="DB203" s="106" t="str">
        <f aca="false">IF(ISBLANK($C203),"",$C203)</f>
        <v/>
      </c>
      <c r="DC203" s="106" t="str">
        <f aca="false">IF(ISBLANK($C203),"",$D203)</f>
        <v/>
      </c>
      <c r="DD203" s="107" t="str">
        <f aca="false">$CR203</f>
        <v/>
      </c>
      <c r="DE203" s="108" t="str">
        <f aca="false">$CQ203</f>
        <v/>
      </c>
      <c r="DF203" s="106" t="str">
        <f aca="false">IF(ISBLANK($C203),"",$CT203)</f>
        <v/>
      </c>
      <c r="DG203" s="109" t="str">
        <f aca="false">IF($CX203&gt;$CW$8,"",VLOOKUP($CX203,$CZ$9:$DF$508,7,FALSE()))</f>
        <v/>
      </c>
      <c r="DH203" s="110" t="str">
        <f aca="false">IF($CX203&gt;$CW$8,"",VLOOKUP($CX203,$CZ$9:$DF$508,2,FALSE()))</f>
        <v/>
      </c>
      <c r="DI203" s="110" t="str">
        <f aca="false">IF($CX203&gt;$CW$8,"",VLOOKUP($CX203,$CZ$9:$DF$508,3,FALSE()))</f>
        <v/>
      </c>
      <c r="DJ203" s="110" t="str">
        <f aca="false">IF($CX203&gt;$CW$8,"",VLOOKUP($CX203,$CZ$9:$DF$508,4,FALSE()))</f>
        <v/>
      </c>
      <c r="DK203" s="110" t="str">
        <f aca="false">IF($CX203&gt;$CW$8,"",VLOOKUP($CX203,$CZ$9:$DF$508,5,FALSE()))</f>
        <v/>
      </c>
      <c r="DL203" s="111" t="str">
        <f aca="false">IF($CX203&gt;$CW$8,"",VLOOKUP($CX203,$CZ$9:$DF$508,6,FALSE()))</f>
        <v/>
      </c>
      <c r="DM203" s="75"/>
    </row>
    <row r="204" customFormat="false" ht="15.75" hidden="false" customHeight="false" outlineLevel="0" collapsed="false">
      <c r="A204" s="9"/>
      <c r="B204" s="157"/>
      <c r="C204" s="158"/>
      <c r="D204" s="159"/>
      <c r="E204" s="177"/>
      <c r="F204" s="161"/>
      <c r="G204" s="162"/>
      <c r="H204" s="162"/>
      <c r="I204" s="178"/>
      <c r="J204" s="165"/>
      <c r="K204" s="126"/>
      <c r="L204" s="127"/>
      <c r="M204" s="128"/>
      <c r="N204" s="165"/>
      <c r="O204" s="165"/>
      <c r="P204" s="177"/>
      <c r="Q204" s="165"/>
      <c r="R204" s="165"/>
      <c r="S204" s="126"/>
      <c r="T204" s="128"/>
      <c r="U204" s="128"/>
      <c r="V204" s="165"/>
      <c r="W204" s="165"/>
      <c r="X204" s="177"/>
      <c r="Y204" s="165"/>
      <c r="Z204" s="166"/>
      <c r="AA204" s="165"/>
      <c r="AB204" s="132"/>
      <c r="AC204" s="133"/>
      <c r="AD204" s="133"/>
      <c r="AE204" s="133"/>
      <c r="AF204" s="133" t="str">
        <f aca="false">IF(ISBLANK($C204),"",IF(E204=Constants!$B$3,TRUE(),IF(E204=Constants!$B$4,FALSE(),TRUE())))</f>
        <v/>
      </c>
      <c r="AG204" s="133" t="str">
        <f aca="false">IF(ISBLANK($C204),"",IF(F204=Constants!$B$3,TRUE(),IF(F204=Constants!$B$4,FALSE(),TRUE())))</f>
        <v/>
      </c>
      <c r="AH204" s="133" t="str">
        <f aca="false">IF(ISBLANK($C204),"",IF(G204=Constants!$B$3,TRUE(),IF(G204=Constants!$B$4,FALSE(),TRUE())))</f>
        <v/>
      </c>
      <c r="AI204" s="133" t="str">
        <f aca="false">IF(ISBLANK($C204),"",IF(AND(ISNUMBER(H204),H204&gt;=0),H204,Constants!$B$29))</f>
        <v/>
      </c>
      <c r="AJ204" s="133" t="str">
        <f aca="false">IF(ISBLANK($C204),"",IF(I204=Constants!$B$3,TRUE(),IF(I204=Constants!$B$4,FALSE(),TRUE())))</f>
        <v/>
      </c>
      <c r="AK204" s="133" t="str">
        <f aca="false">IF(ISBLANK($C204),"",IF(J204=Constants!$B$3,TRUE(),IF(J204=Constants!$B$4,FALSE(),TRUE())))</f>
        <v/>
      </c>
      <c r="AL204" s="133" t="str">
        <f aca="false">IF(ISBLANK($C204),"",IF(K204=Constants!$B$5,TRUE(),IF(K204=Constants!$B$6,FALSE(),COUNTA(L204:P204)&gt;0)))</f>
        <v/>
      </c>
      <c r="AM204" s="134" t="str">
        <f aca="false">IF(ISBLANK($C204),"",IF(ISNUMBER(L204),IF(L204&gt;=0,L204,""),""))</f>
        <v/>
      </c>
      <c r="AN204" s="135" t="str">
        <f aca="false">IF(ISBLANK($C204),"",IF(ISNUMBER(M204),IF(M204&gt;=0,M204,""),""))</f>
        <v/>
      </c>
      <c r="AO204" s="135" t="str">
        <f aca="false">IF(ISBLANK($C204),"",IF(N204=Constants!$B$3,TRUE(),IF(N204=Constants!$B$4,FALSE(),TRUE())))</f>
        <v/>
      </c>
      <c r="AP204" s="133" t="str">
        <f aca="false">IF(ISBLANK($C204),"",IF(ISNUMBER(O204),IF(O204&gt;=0,O204,""),""))</f>
        <v/>
      </c>
      <c r="AQ204" s="133" t="str">
        <f aca="false">IF(ISBLANK($C204),"",IF(P204=Constants!$B$3,TRUE(),IF(P204=Constants!$B$4,FALSE(),FALSE())))</f>
        <v/>
      </c>
      <c r="AR204" s="133" t="str">
        <f aca="false">IF(ISBLANK($C204),"",IF(Q204=Constants!$B$3,TRUE(),IF(Q204=Constants!$B$4,FALSE(),TRUE())))</f>
        <v/>
      </c>
      <c r="AS204" s="133" t="str">
        <f aca="false">IF(ISBLANK($C204),"",IF(R204=Constants!$B$3,TRUE(),IF(R204=Constants!$B$4,FALSE(),TRUE())))</f>
        <v/>
      </c>
      <c r="AT204" s="133" t="str">
        <f aca="false">IF(ISBLANK($C204),"",IF(S204=Constants!$B$5,TRUE(),IF(S204=Constants!$B$6,FALSE(),COUNTA(T204:X204)&gt;0)))</f>
        <v/>
      </c>
      <c r="AU204" s="134" t="str">
        <f aca="false">IF(ISBLANK($C204),"",IF(ISNUMBER(T204),IF(T204&gt;=0,T204,""),""))</f>
        <v/>
      </c>
      <c r="AV204" s="135" t="str">
        <f aca="false">IF(ISBLANK($C204),"",IF(ISNUMBER(U204),IF(U204&gt;=0,U204,""),""))</f>
        <v/>
      </c>
      <c r="AW204" s="135" t="str">
        <f aca="false">IF(ISBLANK($C204),"",IF(V204=Constants!$B$3,TRUE(),IF(V204=Constants!$B$4,FALSE(),TRUE())))</f>
        <v/>
      </c>
      <c r="AX204" s="133" t="str">
        <f aca="false">IF(ISBLANK($C204),"",IF(ISNUMBER(W204),IF(W204&gt;=0,W204,""),""))</f>
        <v/>
      </c>
      <c r="AY204" s="133" t="str">
        <f aca="false">IF(ISBLANK($C204),"",IF(X204=Constants!$B$3,TRUE(),IF(X204=Constants!$B$4,FALSE(),FALSE())))</f>
        <v/>
      </c>
      <c r="AZ204" s="133" t="str">
        <f aca="false">IF(ISBLANK($C204),"",MIN(Constants!$B$31,MAX(0,IF(ISNUMBER(Y204),Y204*60,0)+IF(ISNUMBER(Z204),Z204,0))))</f>
        <v/>
      </c>
      <c r="BA204" s="133" t="str">
        <f aca="false">IF(ISBLANK($C204),"",IF(AA204=Constants!$B$3,TRUE(),IF(AA204=Constants!$B$4,FALSE(),FALSE())))</f>
        <v/>
      </c>
      <c r="BB204" s="132" t="str">
        <f aca="false">IF(ISBLANK($C204),"",AND($AL204,OR($AM204="",$AN204="",AND($AO204,$AP204=""))))</f>
        <v/>
      </c>
      <c r="BC204" s="135" t="str">
        <f aca="false">IF($BR204&lt;&gt;Constants!$B$8,"",IF($AL204,Constants!$B$21*$AN204+Constants!$B$22*IF($AO204,$AP204,Constants!$B$23),Constants!$B$24))</f>
        <v/>
      </c>
      <c r="BD204" s="136" t="str">
        <f aca="false">IF($BR204&lt;&gt;Constants!$B$8,"",Constants!$B$25*ABS($AD$9-IF($AL204,$AM204,0)))</f>
        <v/>
      </c>
      <c r="BE204" s="136" t="str">
        <f aca="false">IF($BR204&lt;&gt;Constants!$B$8,"",IF(AND($AL204,$AQ204,$AO204),Constants!$B$27,0))</f>
        <v/>
      </c>
      <c r="BF204" s="136" t="str">
        <f aca="false">IF($BR204&lt;&gt;Constants!$B$8,"",IF($AL204,($AI204-Constants!$B$29)*Constants!$B$28,0))</f>
        <v/>
      </c>
      <c r="BG204" s="136" t="str">
        <f aca="false">IF($BR204&lt;&gt;Constants!$B$8,"",IF($AK204,0,Constants!$B$15)+IF($AJ204,0,Constants!$B$16)+IF($AH204,0,Constants!$B$17))</f>
        <v/>
      </c>
      <c r="BH204" s="137" t="str">
        <f aca="false">IF($BR204&lt;&gt;Constants!$B$8,"",Constants!$B$20+SUM($BC204:$BG204))</f>
        <v/>
      </c>
      <c r="BI204" s="133" t="str">
        <f aca="false">IF($BR204&lt;&gt;Constants!$B$8,"",IF(OR($BP204&lt;$BH204,AND($BP204=$BH204,OR($BK204&lt;$BC204,AND($BK204=$BC204,OR($BL204&lt;$BD204,AND($BL204=$BD204,$AT204,$AL204,$AV204&lt;$AN204)))))),"-&gt;","&lt;-"))</f>
        <v/>
      </c>
      <c r="BJ204" s="132" t="str">
        <f aca="false">IF(ISBLANK($C204),"",AND($AT204,OR($AU204="",$AV204="",AND($AW204,$AX204=""))))</f>
        <v/>
      </c>
      <c r="BK204" s="135" t="str">
        <f aca="false">IF($BR204&lt;&gt;Constants!$B$8,"",IF($AT204,Constants!$B$21*$AV204+Constants!$B$22*IF($AW204,$AX204,Constants!$B$23),Constants!$B$24))</f>
        <v/>
      </c>
      <c r="BL204" s="136" t="str">
        <f aca="false">IF($BR204&lt;&gt;Constants!$B$8,"",Constants!$B$25*ABS($AD$9-IF($AT204,$AU204,0)))</f>
        <v/>
      </c>
      <c r="BM204" s="136" t="str">
        <f aca="false">IF($BR204&lt;&gt;Constants!$B$8,"",IF(AND($AT204,$AY204,$AW204),Constants!$B$27,0))</f>
        <v/>
      </c>
      <c r="BN204" s="136" t="str">
        <f aca="false">IF($BR204&lt;&gt;Constants!$B$8,"",IF($AT204,($AI204-Constants!$B$29)*Constants!$B$28,0))</f>
        <v/>
      </c>
      <c r="BO204" s="136" t="str">
        <f aca="false">IF($BR204&lt;&gt;Constants!$B$8,"",IF($AS204,0,Constants!$B$15)+IF($AR204,0,Constants!$B$16)+IF($AH204,0,Constants!$B$17))</f>
        <v/>
      </c>
      <c r="BP204" s="137" t="str">
        <f aca="false">IF($BR204&lt;&gt;Constants!$B$8,"",Constants!$B$20+SUM($BK204:$BO204))</f>
        <v/>
      </c>
      <c r="BQ204" s="133" t="str">
        <f aca="false">IF(ISBLANK($C204),"",IF(ISBLANK($D$7),$BQ$5,IF(NOT(ISNUMBER($D$7)),$BQ$6,"")))</f>
        <v/>
      </c>
      <c r="BR204" s="133" t="str">
        <f aca="false">IF(ISBLANK($C204),"",IF($BA204,Constants!$B$11,IF(COUNTA($E204:$AA204)=0,Constants!$B$10,IF(NOT($AG204),Constants!$B$9,IF(OR($BQ204&lt;&gt;"",$BB204,$BJ204),Constants!$B$12,Constants!$B$8)))))</f>
        <v/>
      </c>
      <c r="BS204" s="133" t="str">
        <f aca="false">IF(ISBLANK($C204),"",IF($BR204&lt;&gt;Constants!$B$8,$BR204,Constants!$B$13))</f>
        <v/>
      </c>
      <c r="BT204" s="136" t="str">
        <f aca="false">IF($BR204&lt;&gt;Constants!$B$8,"",IF($BI204="-&gt;",$BP204,$BH204))</f>
        <v/>
      </c>
      <c r="BU204" s="136" t="str">
        <f aca="false">IF($BR204&lt;&gt;Constants!$B$8,"",IF($AF204,0,Constants!$B$18))</f>
        <v/>
      </c>
      <c r="BV204" s="136" t="str">
        <f aca="false">IF($BR204&lt;&gt;Constants!$B$8,"",((Constants!$B$31-$AZ204)-Constants!$B$31)/Constants!$B$32)</f>
        <v/>
      </c>
      <c r="BW204" s="136" t="str">
        <f aca="false">IF(ISBLANK($C204),"",IF($BR204&lt;&gt;Constants!$B$8,$BR204,SUM($BT204:$BV204)))</f>
        <v/>
      </c>
      <c r="BX204" s="133" t="str">
        <f aca="false">IF(ISBLANK($C204),"",IF($BR204&lt;&gt;Constants!$B$8,$BR204,RANK($BW204,$BW$9:$BW$508,1)))</f>
        <v/>
      </c>
      <c r="BY204" s="136" t="str">
        <f aca="false">IF($BR204&lt;&gt;Constants!$B$8,"",IF($BI204="-&gt;",$BK204,$BC204))</f>
        <v/>
      </c>
      <c r="BZ204" s="133" t="str">
        <f aca="false">IF(ISBLANK($C204),"",IF($BR204&lt;&gt;Constants!$B$8,$BR204,IF(ISNUMBER($BY204),RANK($BY204,$BY$9:$BY$508,1),COUNT($BY$9:$BY$508)+1)))</f>
        <v/>
      </c>
      <c r="CA204" s="136" t="str">
        <f aca="false">IF($BR204&lt;&gt;Constants!$B$8,"",IF($BI204="-&gt;",$BL204,$BD204))</f>
        <v/>
      </c>
      <c r="CB204" s="133" t="str">
        <f aca="false">IF(ISBLANK($C204),"",IF($BR204&lt;&gt;Constants!$B$8,$BR204,IF(ISNUMBER($CA204),RANK($CA204,$CA$9:$CA$508,1),COUNT($CA$9:$CA$508)+1)))</f>
        <v/>
      </c>
      <c r="CC204" s="136" t="str">
        <f aca="false">IF($BR204&lt;&gt;Constants!$B$8,"",IF($BI204="-&gt;",IF($AT204,$AV204,""),IF($AL204,$AN204,"")))</f>
        <v/>
      </c>
      <c r="CD204" s="133" t="str">
        <f aca="false">IF(ISBLANK($C204),"",IF($BR204&lt;&gt;Constants!$B$8,$BR204,IF(ISNUMBER($CC204),RANK($CC204,$CC$9:$CC$508,1),COUNT($CC$9:$CC$508)+1)))</f>
        <v/>
      </c>
      <c r="CE204" s="136" t="str">
        <f aca="false">IF($BR204&lt;&gt;Constants!$B$8,"",IF(AND(NOT($AL204),NOT($AT204),$AJ204,$AK204,$AR204,$AS204),"",$AI204))</f>
        <v/>
      </c>
      <c r="CF204" s="133" t="str">
        <f aca="false">IF(ISBLANK($C204),"",IF($BR204&lt;&gt;Constants!$B$8,$BR204,IF(ISNUMBER($CE204),RANK($CE204,$CE$9:$CE$508,1),COUNT($CE$9:$CE$508)+1)))</f>
        <v/>
      </c>
      <c r="CG204" s="133" t="str">
        <f aca="false">IF(ISBLANK($C204),"",IF($BR204&lt;&gt;Constants!$B$8,$BR204,COUNTIFS($BX$9:$BX$508,"&lt;"&amp;$BX204)+COUNTIFS($BX$9:$BX$508,$BX204,$BZ$9:$BZ$508,"&lt;"&amp;$BZ204)+COUNTIFS($BX$9:$BX$508,$BX204,$BZ$9:$BZ$508,$BZ204,$CB$9:$CB$508,"&lt;"&amp;$CB204)+COUNTIFS($BX$9:$BX$508,$BX204,$BZ$9:$BZ$508,$BZ204,$CB$9:$CB$508,$CB204,$CD$9:$CD$508,"&lt;"&amp;$CD204)+COUNTIFS($BX$9:$BX$508,$BX204,$BZ$9:$BZ$508,$BZ204,$CB$9:$CB$508,$CB204,$CD$9:$CD$508,$CD204,$CF$9:$CF$508,"&lt;"&amp;$CF204)+1))</f>
        <v/>
      </c>
      <c r="CH204" s="133" t="str">
        <f aca="false">IF(ISBLANK($C204),"",IF($BR204&lt;&gt;Constants!$B$8,$BR204,$BX204-$CG204))</f>
        <v/>
      </c>
      <c r="CI204" s="138"/>
      <c r="CJ204" s="139"/>
      <c r="CK204" s="140" t="str">
        <f aca="false">IF(ISBLANK($C204),"",IF($BR204=Constants!$B$12,$BQ204,""))</f>
        <v/>
      </c>
      <c r="CL204" s="139" t="str">
        <f aca="false">IF(ISBLANK($C204),"",IF($BR204&lt;&gt;Constants!$B$8,"",IF($BI204="-&gt;",2,1)))</f>
        <v/>
      </c>
      <c r="CM204" s="141" t="str">
        <f aca="false">IF(ISBLANK($C204),"",IF($BR204&lt;&gt;Constants!$B$8,"",IF($BI204="-&gt;",$BK204,$BC204)))</f>
        <v/>
      </c>
      <c r="CN204" s="141" t="str">
        <f aca="false">IF(ISBLANK($C204),"",IF($BR204&lt;&gt;Constants!$B$8,"",IF($BI204="-&gt;",$BL204,$BD204)))</f>
        <v/>
      </c>
      <c r="CO204" s="141" t="str">
        <f aca="false">IF(ISBLANK($C204),"",IF($BR204&lt;&gt;Constants!$B$8,"",IF($BI204="-&gt;",$BM204+$BN204,$BE204+$BF204)+$BV204))</f>
        <v/>
      </c>
      <c r="CP204" s="141" t="str">
        <f aca="false">IF(ISBLANK($C204),"",IF($BR204&lt;&gt;Constants!$B$8,"",IF($BI204="-&gt;",$BO204,$BG204)+$BU204))</f>
        <v/>
      </c>
      <c r="CQ204" s="142" t="str">
        <f aca="false">IF(ISBLANK($C204),"",IF($BR204&lt;&gt;Constants!$B$8,$BR204,$BW204))</f>
        <v/>
      </c>
      <c r="CR204" s="143" t="str">
        <f aca="false">IF(ISBLANK($C204),"",$BS204)</f>
        <v/>
      </c>
      <c r="CS204" s="144" t="str">
        <f aca="false">IF(ISBLANK($C204),"",$CH204)</f>
        <v/>
      </c>
      <c r="CT204" s="144" t="str">
        <f aca="false">IF(ISBLANK($C204),"",$CG204)</f>
        <v/>
      </c>
      <c r="CU204" s="145" t="str">
        <f aca="false">IF(ISBLANK($C204),"",IFERROR(_xlfn.SWITCH($CT204,Constants!$B$11,COUNTA($C$9:$C$508)+2,Constants!$B$10,COUNTA($C$9:$C$508)+1,Constants!$B$9,COUNTA($C$9:$C$508)),$CT204))</f>
        <v/>
      </c>
      <c r="CV204" s="9"/>
      <c r="CW204" s="146" t="n">
        <f aca="false">IF(OR(ISNUMBER($CT204),$CT204=Constants!$B$11,$CT204=Constants!$B$9,$CT204=Constants!$B$10),1,0)</f>
        <v>0</v>
      </c>
      <c r="CX204" s="146" t="n">
        <v>196</v>
      </c>
      <c r="CY204" s="146" t="str">
        <f aca="false">IF(ISBLANK($C204),"",IF(ISNUMBER($CU204),$CU204+ROW($B204)/1000,""))</f>
        <v/>
      </c>
      <c r="CZ204" s="146" t="str">
        <f aca="false">IF(ISNUMBER($CY204),RANK($CY204,$CY$9:$CY$508,1),"")</f>
        <v/>
      </c>
      <c r="DA204" s="146" t="str">
        <f aca="false">IF(ISBLANK($C204),"",$B204)</f>
        <v/>
      </c>
      <c r="DB204" s="146" t="str">
        <f aca="false">IF(ISBLANK($C204),"",$C204)</f>
        <v/>
      </c>
      <c r="DC204" s="146" t="str">
        <f aca="false">IF(ISBLANK($C204),"",$D204)</f>
        <v/>
      </c>
      <c r="DD204" s="147" t="str">
        <f aca="false">$CR204</f>
        <v/>
      </c>
      <c r="DE204" s="148" t="str">
        <f aca="false">$CQ204</f>
        <v/>
      </c>
      <c r="DF204" s="146" t="str">
        <f aca="false">IF(ISBLANK($C204),"",$CT204)</f>
        <v/>
      </c>
      <c r="DG204" s="149" t="str">
        <f aca="false">IF($CX204&gt;$CW$8,"",VLOOKUP($CX204,$CZ$9:$DF$508,7,FALSE()))</f>
        <v/>
      </c>
      <c r="DH204" s="150" t="str">
        <f aca="false">IF($CX204&gt;$CW$8,"",VLOOKUP($CX204,$CZ$9:$DF$508,2,FALSE()))</f>
        <v/>
      </c>
      <c r="DI204" s="150" t="str">
        <f aca="false">IF($CX204&gt;$CW$8,"",VLOOKUP($CX204,$CZ$9:$DF$508,3,FALSE()))</f>
        <v/>
      </c>
      <c r="DJ204" s="150" t="str">
        <f aca="false">IF($CX204&gt;$CW$8,"",VLOOKUP($CX204,$CZ$9:$DF$508,4,FALSE()))</f>
        <v/>
      </c>
      <c r="DK204" s="150" t="str">
        <f aca="false">IF($CX204&gt;$CW$8,"",VLOOKUP($CX204,$CZ$9:$DF$508,5,FALSE()))</f>
        <v/>
      </c>
      <c r="DL204" s="151" t="str">
        <f aca="false">IF($CX204&gt;$CW$8,"",VLOOKUP($CX204,$CZ$9:$DF$508,6,FALSE()))</f>
        <v/>
      </c>
      <c r="DM204" s="75"/>
    </row>
    <row r="205" customFormat="false" ht="15.75" hidden="false" customHeight="false" outlineLevel="0" collapsed="false">
      <c r="A205" s="9"/>
      <c r="B205" s="157"/>
      <c r="C205" s="158"/>
      <c r="D205" s="159"/>
      <c r="E205" s="177"/>
      <c r="F205" s="161"/>
      <c r="G205" s="162"/>
      <c r="H205" s="162"/>
      <c r="I205" s="178"/>
      <c r="J205" s="165"/>
      <c r="K205" s="126"/>
      <c r="L205" s="127"/>
      <c r="M205" s="128"/>
      <c r="N205" s="165"/>
      <c r="O205" s="165"/>
      <c r="P205" s="177"/>
      <c r="Q205" s="165"/>
      <c r="R205" s="165"/>
      <c r="S205" s="126"/>
      <c r="T205" s="128"/>
      <c r="U205" s="128"/>
      <c r="V205" s="165"/>
      <c r="W205" s="165"/>
      <c r="X205" s="177"/>
      <c r="Y205" s="165"/>
      <c r="Z205" s="166"/>
      <c r="AA205" s="165"/>
      <c r="AB205" s="132"/>
      <c r="AC205" s="133"/>
      <c r="AD205" s="133"/>
      <c r="AE205" s="133"/>
      <c r="AF205" s="133" t="str">
        <f aca="false">IF(ISBLANK($C205),"",IF(E205=Constants!$B$3,TRUE(),IF(E205=Constants!$B$4,FALSE(),TRUE())))</f>
        <v/>
      </c>
      <c r="AG205" s="133" t="str">
        <f aca="false">IF(ISBLANK($C205),"",IF(F205=Constants!$B$3,TRUE(),IF(F205=Constants!$B$4,FALSE(),TRUE())))</f>
        <v/>
      </c>
      <c r="AH205" s="133" t="str">
        <f aca="false">IF(ISBLANK($C205),"",IF(G205=Constants!$B$3,TRUE(),IF(G205=Constants!$B$4,FALSE(),TRUE())))</f>
        <v/>
      </c>
      <c r="AI205" s="133" t="str">
        <f aca="false">IF(ISBLANK($C205),"",IF(AND(ISNUMBER(H205),H205&gt;=0),H205,Constants!$B$29))</f>
        <v/>
      </c>
      <c r="AJ205" s="133" t="str">
        <f aca="false">IF(ISBLANK($C205),"",IF(I205=Constants!$B$3,TRUE(),IF(I205=Constants!$B$4,FALSE(),TRUE())))</f>
        <v/>
      </c>
      <c r="AK205" s="133" t="str">
        <f aca="false">IF(ISBLANK($C205),"",IF(J205=Constants!$B$3,TRUE(),IF(J205=Constants!$B$4,FALSE(),TRUE())))</f>
        <v/>
      </c>
      <c r="AL205" s="133" t="str">
        <f aca="false">IF(ISBLANK($C205),"",IF(K205=Constants!$B$5,TRUE(),IF(K205=Constants!$B$6,FALSE(),COUNTA(L205:P205)&gt;0)))</f>
        <v/>
      </c>
      <c r="AM205" s="134" t="str">
        <f aca="false">IF(ISBLANK($C205),"",IF(ISNUMBER(L205),IF(L205&gt;=0,L205,""),""))</f>
        <v/>
      </c>
      <c r="AN205" s="135" t="str">
        <f aca="false">IF(ISBLANK($C205),"",IF(ISNUMBER(M205),IF(M205&gt;=0,M205,""),""))</f>
        <v/>
      </c>
      <c r="AO205" s="135" t="str">
        <f aca="false">IF(ISBLANK($C205),"",IF(N205=Constants!$B$3,TRUE(),IF(N205=Constants!$B$4,FALSE(),TRUE())))</f>
        <v/>
      </c>
      <c r="AP205" s="133" t="str">
        <f aca="false">IF(ISBLANK($C205),"",IF(ISNUMBER(O205),IF(O205&gt;=0,O205,""),""))</f>
        <v/>
      </c>
      <c r="AQ205" s="133" t="str">
        <f aca="false">IF(ISBLANK($C205),"",IF(P205=Constants!$B$3,TRUE(),IF(P205=Constants!$B$4,FALSE(),FALSE())))</f>
        <v/>
      </c>
      <c r="AR205" s="133" t="str">
        <f aca="false">IF(ISBLANK($C205),"",IF(Q205=Constants!$B$3,TRUE(),IF(Q205=Constants!$B$4,FALSE(),TRUE())))</f>
        <v/>
      </c>
      <c r="AS205" s="133" t="str">
        <f aca="false">IF(ISBLANK($C205),"",IF(R205=Constants!$B$3,TRUE(),IF(R205=Constants!$B$4,FALSE(),TRUE())))</f>
        <v/>
      </c>
      <c r="AT205" s="133" t="str">
        <f aca="false">IF(ISBLANK($C205),"",IF(S205=Constants!$B$5,TRUE(),IF(S205=Constants!$B$6,FALSE(),COUNTA(T205:X205)&gt;0)))</f>
        <v/>
      </c>
      <c r="AU205" s="134" t="str">
        <f aca="false">IF(ISBLANK($C205),"",IF(ISNUMBER(T205),IF(T205&gt;=0,T205,""),""))</f>
        <v/>
      </c>
      <c r="AV205" s="135" t="str">
        <f aca="false">IF(ISBLANK($C205),"",IF(ISNUMBER(U205),IF(U205&gt;=0,U205,""),""))</f>
        <v/>
      </c>
      <c r="AW205" s="135" t="str">
        <f aca="false">IF(ISBLANK($C205),"",IF(V205=Constants!$B$3,TRUE(),IF(V205=Constants!$B$4,FALSE(),TRUE())))</f>
        <v/>
      </c>
      <c r="AX205" s="133" t="str">
        <f aca="false">IF(ISBLANK($C205),"",IF(ISNUMBER(W205),IF(W205&gt;=0,W205,""),""))</f>
        <v/>
      </c>
      <c r="AY205" s="133" t="str">
        <f aca="false">IF(ISBLANK($C205),"",IF(X205=Constants!$B$3,TRUE(),IF(X205=Constants!$B$4,FALSE(),FALSE())))</f>
        <v/>
      </c>
      <c r="AZ205" s="133" t="str">
        <f aca="false">IF(ISBLANK($C205),"",MIN(Constants!$B$31,MAX(0,IF(ISNUMBER(Y205),Y205*60,0)+IF(ISNUMBER(Z205),Z205,0))))</f>
        <v/>
      </c>
      <c r="BA205" s="133" t="str">
        <f aca="false">IF(ISBLANK($C205),"",IF(AA205=Constants!$B$3,TRUE(),IF(AA205=Constants!$B$4,FALSE(),FALSE())))</f>
        <v/>
      </c>
      <c r="BB205" s="132" t="str">
        <f aca="false">IF(ISBLANK($C205),"",AND($AL205,OR($AM205="",$AN205="",AND($AO205,$AP205=""))))</f>
        <v/>
      </c>
      <c r="BC205" s="135" t="str">
        <f aca="false">IF($BR205&lt;&gt;Constants!$B$8,"",IF($AL205,Constants!$B$21*$AN205+Constants!$B$22*IF($AO205,$AP205,Constants!$B$23),Constants!$B$24))</f>
        <v/>
      </c>
      <c r="BD205" s="136" t="str">
        <f aca="false">IF($BR205&lt;&gt;Constants!$B$8,"",Constants!$B$25*ABS($AD$9-IF($AL205,$AM205,0)))</f>
        <v/>
      </c>
      <c r="BE205" s="136" t="str">
        <f aca="false">IF($BR205&lt;&gt;Constants!$B$8,"",IF(AND($AL205,$AQ205,$AO205),Constants!$B$27,0))</f>
        <v/>
      </c>
      <c r="BF205" s="136" t="str">
        <f aca="false">IF($BR205&lt;&gt;Constants!$B$8,"",IF($AL205,($AI205-Constants!$B$29)*Constants!$B$28,0))</f>
        <v/>
      </c>
      <c r="BG205" s="136" t="str">
        <f aca="false">IF($BR205&lt;&gt;Constants!$B$8,"",IF($AK205,0,Constants!$B$15)+IF($AJ205,0,Constants!$B$16)+IF($AH205,0,Constants!$B$17))</f>
        <v/>
      </c>
      <c r="BH205" s="137" t="str">
        <f aca="false">IF($BR205&lt;&gt;Constants!$B$8,"",Constants!$B$20+SUM($BC205:$BG205))</f>
        <v/>
      </c>
      <c r="BI205" s="133" t="str">
        <f aca="false">IF($BR205&lt;&gt;Constants!$B$8,"",IF(OR($BP205&lt;$BH205,AND($BP205=$BH205,OR($BK205&lt;$BC205,AND($BK205=$BC205,OR($BL205&lt;$BD205,AND($BL205=$BD205,$AT205,$AL205,$AV205&lt;$AN205)))))),"-&gt;","&lt;-"))</f>
        <v/>
      </c>
      <c r="BJ205" s="132" t="str">
        <f aca="false">IF(ISBLANK($C205),"",AND($AT205,OR($AU205="",$AV205="",AND($AW205,$AX205=""))))</f>
        <v/>
      </c>
      <c r="BK205" s="135" t="str">
        <f aca="false">IF($BR205&lt;&gt;Constants!$B$8,"",IF($AT205,Constants!$B$21*$AV205+Constants!$B$22*IF($AW205,$AX205,Constants!$B$23),Constants!$B$24))</f>
        <v/>
      </c>
      <c r="BL205" s="136" t="str">
        <f aca="false">IF($BR205&lt;&gt;Constants!$B$8,"",Constants!$B$25*ABS($AD$9-IF($AT205,$AU205,0)))</f>
        <v/>
      </c>
      <c r="BM205" s="136" t="str">
        <f aca="false">IF($BR205&lt;&gt;Constants!$B$8,"",IF(AND($AT205,$AY205,$AW205),Constants!$B$27,0))</f>
        <v/>
      </c>
      <c r="BN205" s="136" t="str">
        <f aca="false">IF($BR205&lt;&gt;Constants!$B$8,"",IF($AT205,($AI205-Constants!$B$29)*Constants!$B$28,0))</f>
        <v/>
      </c>
      <c r="BO205" s="136" t="str">
        <f aca="false">IF($BR205&lt;&gt;Constants!$B$8,"",IF($AS205,0,Constants!$B$15)+IF($AR205,0,Constants!$B$16)+IF($AH205,0,Constants!$B$17))</f>
        <v/>
      </c>
      <c r="BP205" s="137" t="str">
        <f aca="false">IF($BR205&lt;&gt;Constants!$B$8,"",Constants!$B$20+SUM($BK205:$BO205))</f>
        <v/>
      </c>
      <c r="BQ205" s="133" t="str">
        <f aca="false">IF(ISBLANK($C205),"",IF(ISBLANK($D$7),$BQ$5,IF(NOT(ISNUMBER($D$7)),$BQ$6,"")))</f>
        <v/>
      </c>
      <c r="BR205" s="133" t="str">
        <f aca="false">IF(ISBLANK($C205),"",IF($BA205,Constants!$B$11,IF(COUNTA($E205:$AA205)=0,Constants!$B$10,IF(NOT($AG205),Constants!$B$9,IF(OR($BQ205&lt;&gt;"",$BB205,$BJ205),Constants!$B$12,Constants!$B$8)))))</f>
        <v/>
      </c>
      <c r="BS205" s="133" t="str">
        <f aca="false">IF(ISBLANK($C205),"",IF($BR205&lt;&gt;Constants!$B$8,$BR205,Constants!$B$13))</f>
        <v/>
      </c>
      <c r="BT205" s="136" t="str">
        <f aca="false">IF($BR205&lt;&gt;Constants!$B$8,"",IF($BI205="-&gt;",$BP205,$BH205))</f>
        <v/>
      </c>
      <c r="BU205" s="136" t="str">
        <f aca="false">IF($BR205&lt;&gt;Constants!$B$8,"",IF($AF205,0,Constants!$B$18))</f>
        <v/>
      </c>
      <c r="BV205" s="136" t="str">
        <f aca="false">IF($BR205&lt;&gt;Constants!$B$8,"",((Constants!$B$31-$AZ205)-Constants!$B$31)/Constants!$B$32)</f>
        <v/>
      </c>
      <c r="BW205" s="136" t="str">
        <f aca="false">IF(ISBLANK($C205),"",IF($BR205&lt;&gt;Constants!$B$8,$BR205,SUM($BT205:$BV205)))</f>
        <v/>
      </c>
      <c r="BX205" s="133" t="str">
        <f aca="false">IF(ISBLANK($C205),"",IF($BR205&lt;&gt;Constants!$B$8,$BR205,RANK($BW205,$BW$9:$BW$508,1)))</f>
        <v/>
      </c>
      <c r="BY205" s="136" t="str">
        <f aca="false">IF($BR205&lt;&gt;Constants!$B$8,"",IF($BI205="-&gt;",$BK205,$BC205))</f>
        <v/>
      </c>
      <c r="BZ205" s="133" t="str">
        <f aca="false">IF(ISBLANK($C205),"",IF($BR205&lt;&gt;Constants!$B$8,$BR205,IF(ISNUMBER($BY205),RANK($BY205,$BY$9:$BY$508,1),COUNT($BY$9:$BY$508)+1)))</f>
        <v/>
      </c>
      <c r="CA205" s="136" t="str">
        <f aca="false">IF($BR205&lt;&gt;Constants!$B$8,"",IF($BI205="-&gt;",$BL205,$BD205))</f>
        <v/>
      </c>
      <c r="CB205" s="133" t="str">
        <f aca="false">IF(ISBLANK($C205),"",IF($BR205&lt;&gt;Constants!$B$8,$BR205,IF(ISNUMBER($CA205),RANK($CA205,$CA$9:$CA$508,1),COUNT($CA$9:$CA$508)+1)))</f>
        <v/>
      </c>
      <c r="CC205" s="136" t="str">
        <f aca="false">IF($BR205&lt;&gt;Constants!$B$8,"",IF($BI205="-&gt;",IF($AT205,$AV205,""),IF($AL205,$AN205,"")))</f>
        <v/>
      </c>
      <c r="CD205" s="133" t="str">
        <f aca="false">IF(ISBLANK($C205),"",IF($BR205&lt;&gt;Constants!$B$8,$BR205,IF(ISNUMBER($CC205),RANK($CC205,$CC$9:$CC$508,1),COUNT($CC$9:$CC$508)+1)))</f>
        <v/>
      </c>
      <c r="CE205" s="136" t="str">
        <f aca="false">IF($BR205&lt;&gt;Constants!$B$8,"",IF(AND(NOT($AL205),NOT($AT205),$AJ205,$AK205,$AR205,$AS205),"",$AI205))</f>
        <v/>
      </c>
      <c r="CF205" s="133" t="str">
        <f aca="false">IF(ISBLANK($C205),"",IF($BR205&lt;&gt;Constants!$B$8,$BR205,IF(ISNUMBER($CE205),RANK($CE205,$CE$9:$CE$508,1),COUNT($CE$9:$CE$508)+1)))</f>
        <v/>
      </c>
      <c r="CG205" s="133" t="str">
        <f aca="false">IF(ISBLANK($C205),"",IF($BR205&lt;&gt;Constants!$B$8,$BR205,COUNTIFS($BX$9:$BX$508,"&lt;"&amp;$BX205)+COUNTIFS($BX$9:$BX$508,$BX205,$BZ$9:$BZ$508,"&lt;"&amp;$BZ205)+COUNTIFS($BX$9:$BX$508,$BX205,$BZ$9:$BZ$508,$BZ205,$CB$9:$CB$508,"&lt;"&amp;$CB205)+COUNTIFS($BX$9:$BX$508,$BX205,$BZ$9:$BZ$508,$BZ205,$CB$9:$CB$508,$CB205,$CD$9:$CD$508,"&lt;"&amp;$CD205)+COUNTIFS($BX$9:$BX$508,$BX205,$BZ$9:$BZ$508,$BZ205,$CB$9:$CB$508,$CB205,$CD$9:$CD$508,$CD205,$CF$9:$CF$508,"&lt;"&amp;$CF205)+1))</f>
        <v/>
      </c>
      <c r="CH205" s="133" t="str">
        <f aca="false">IF(ISBLANK($C205),"",IF($BR205&lt;&gt;Constants!$B$8,$BR205,$BX205-$CG205))</f>
        <v/>
      </c>
      <c r="CI205" s="138"/>
      <c r="CJ205" s="139"/>
      <c r="CK205" s="140" t="str">
        <f aca="false">IF(ISBLANK($C205),"",IF($BR205=Constants!$B$12,$BQ205,""))</f>
        <v/>
      </c>
      <c r="CL205" s="139" t="str">
        <f aca="false">IF(ISBLANK($C205),"",IF($BR205&lt;&gt;Constants!$B$8,"",IF($BI205="-&gt;",2,1)))</f>
        <v/>
      </c>
      <c r="CM205" s="141" t="str">
        <f aca="false">IF(ISBLANK($C205),"",IF($BR205&lt;&gt;Constants!$B$8,"",IF($BI205="-&gt;",$BK205,$BC205)))</f>
        <v/>
      </c>
      <c r="CN205" s="141" t="str">
        <f aca="false">IF(ISBLANK($C205),"",IF($BR205&lt;&gt;Constants!$B$8,"",IF($BI205="-&gt;",$BL205,$BD205)))</f>
        <v/>
      </c>
      <c r="CO205" s="141" t="str">
        <f aca="false">IF(ISBLANK($C205),"",IF($BR205&lt;&gt;Constants!$B$8,"",IF($BI205="-&gt;",$BM205+$BN205,$BE205+$BF205)+$BV205))</f>
        <v/>
      </c>
      <c r="CP205" s="141" t="str">
        <f aca="false">IF(ISBLANK($C205),"",IF($BR205&lt;&gt;Constants!$B$8,"",IF($BI205="-&gt;",$BO205,$BG205)+$BU205))</f>
        <v/>
      </c>
      <c r="CQ205" s="142" t="str">
        <f aca="false">IF(ISBLANK($C205),"",IF($BR205&lt;&gt;Constants!$B$8,$BR205,$BW205))</f>
        <v/>
      </c>
      <c r="CR205" s="143" t="str">
        <f aca="false">IF(ISBLANK($C205),"",$BS205)</f>
        <v/>
      </c>
      <c r="CS205" s="144" t="str">
        <f aca="false">IF(ISBLANK($C205),"",$CH205)</f>
        <v/>
      </c>
      <c r="CT205" s="144" t="str">
        <f aca="false">IF(ISBLANK($C205),"",$CG205)</f>
        <v/>
      </c>
      <c r="CU205" s="145" t="str">
        <f aca="false">IF(ISBLANK($C205),"",IFERROR(_xlfn.SWITCH($CT205,Constants!$B$11,COUNTA($C$9:$C$508)+2,Constants!$B$10,COUNTA($C$9:$C$508)+1,Constants!$B$9,COUNTA($C$9:$C$508)),$CT205))</f>
        <v/>
      </c>
      <c r="CV205" s="9"/>
      <c r="CW205" s="146" t="n">
        <f aca="false">IF(OR(ISNUMBER($CT205),$CT205=Constants!$B$11,$CT205=Constants!$B$9,$CT205=Constants!$B$10),1,0)</f>
        <v>0</v>
      </c>
      <c r="CX205" s="146" t="n">
        <v>197</v>
      </c>
      <c r="CY205" s="146" t="str">
        <f aca="false">IF(ISBLANK($C205),"",IF(ISNUMBER($CU205),$CU205+ROW($B205)/1000,""))</f>
        <v/>
      </c>
      <c r="CZ205" s="146" t="str">
        <f aca="false">IF(ISNUMBER($CY205),RANK($CY205,$CY$9:$CY$508,1),"")</f>
        <v/>
      </c>
      <c r="DA205" s="146" t="str">
        <f aca="false">IF(ISBLANK($C205),"",$B205)</f>
        <v/>
      </c>
      <c r="DB205" s="146" t="str">
        <f aca="false">IF(ISBLANK($C205),"",$C205)</f>
        <v/>
      </c>
      <c r="DC205" s="146" t="str">
        <f aca="false">IF(ISBLANK($C205),"",$D205)</f>
        <v/>
      </c>
      <c r="DD205" s="147" t="str">
        <f aca="false">$CR205</f>
        <v/>
      </c>
      <c r="DE205" s="148" t="str">
        <f aca="false">$CQ205</f>
        <v/>
      </c>
      <c r="DF205" s="146" t="str">
        <f aca="false">IF(ISBLANK($C205),"",$CT205)</f>
        <v/>
      </c>
      <c r="DG205" s="149" t="str">
        <f aca="false">IF($CX205&gt;$CW$8,"",VLOOKUP($CX205,$CZ$9:$DF$508,7,FALSE()))</f>
        <v/>
      </c>
      <c r="DH205" s="150" t="str">
        <f aca="false">IF($CX205&gt;$CW$8,"",VLOOKUP($CX205,$CZ$9:$DF$508,2,FALSE()))</f>
        <v/>
      </c>
      <c r="DI205" s="150" t="str">
        <f aca="false">IF($CX205&gt;$CW$8,"",VLOOKUP($CX205,$CZ$9:$DF$508,3,FALSE()))</f>
        <v/>
      </c>
      <c r="DJ205" s="150" t="str">
        <f aca="false">IF($CX205&gt;$CW$8,"",VLOOKUP($CX205,$CZ$9:$DF$508,4,FALSE()))</f>
        <v/>
      </c>
      <c r="DK205" s="150" t="str">
        <f aca="false">IF($CX205&gt;$CW$8,"",VLOOKUP($CX205,$CZ$9:$DF$508,5,FALSE()))</f>
        <v/>
      </c>
      <c r="DL205" s="151" t="str">
        <f aca="false">IF($CX205&gt;$CW$8,"",VLOOKUP($CX205,$CZ$9:$DF$508,6,FALSE()))</f>
        <v/>
      </c>
      <c r="DM205" s="75"/>
    </row>
    <row r="206" customFormat="false" ht="15.75" hidden="false" customHeight="false" outlineLevel="0" collapsed="false">
      <c r="A206" s="9"/>
      <c r="B206" s="157"/>
      <c r="C206" s="158"/>
      <c r="D206" s="159"/>
      <c r="E206" s="177"/>
      <c r="F206" s="161"/>
      <c r="G206" s="162"/>
      <c r="H206" s="162"/>
      <c r="I206" s="178"/>
      <c r="J206" s="165"/>
      <c r="K206" s="126"/>
      <c r="L206" s="127"/>
      <c r="M206" s="128"/>
      <c r="N206" s="165"/>
      <c r="O206" s="165"/>
      <c r="P206" s="177"/>
      <c r="Q206" s="165"/>
      <c r="R206" s="165"/>
      <c r="S206" s="126"/>
      <c r="T206" s="128"/>
      <c r="U206" s="128"/>
      <c r="V206" s="165"/>
      <c r="W206" s="165"/>
      <c r="X206" s="177"/>
      <c r="Y206" s="165"/>
      <c r="Z206" s="166"/>
      <c r="AA206" s="165"/>
      <c r="AB206" s="132"/>
      <c r="AC206" s="133"/>
      <c r="AD206" s="133"/>
      <c r="AE206" s="133"/>
      <c r="AF206" s="133" t="str">
        <f aca="false">IF(ISBLANK($C206),"",IF(E206=Constants!$B$3,TRUE(),IF(E206=Constants!$B$4,FALSE(),TRUE())))</f>
        <v/>
      </c>
      <c r="AG206" s="133" t="str">
        <f aca="false">IF(ISBLANK($C206),"",IF(F206=Constants!$B$3,TRUE(),IF(F206=Constants!$B$4,FALSE(),TRUE())))</f>
        <v/>
      </c>
      <c r="AH206" s="133" t="str">
        <f aca="false">IF(ISBLANK($C206),"",IF(G206=Constants!$B$3,TRUE(),IF(G206=Constants!$B$4,FALSE(),TRUE())))</f>
        <v/>
      </c>
      <c r="AI206" s="133" t="str">
        <f aca="false">IF(ISBLANK($C206),"",IF(AND(ISNUMBER(H206),H206&gt;=0),H206,Constants!$B$29))</f>
        <v/>
      </c>
      <c r="AJ206" s="133" t="str">
        <f aca="false">IF(ISBLANK($C206),"",IF(I206=Constants!$B$3,TRUE(),IF(I206=Constants!$B$4,FALSE(),TRUE())))</f>
        <v/>
      </c>
      <c r="AK206" s="133" t="str">
        <f aca="false">IF(ISBLANK($C206),"",IF(J206=Constants!$B$3,TRUE(),IF(J206=Constants!$B$4,FALSE(),TRUE())))</f>
        <v/>
      </c>
      <c r="AL206" s="133" t="str">
        <f aca="false">IF(ISBLANK($C206),"",IF(K206=Constants!$B$5,TRUE(),IF(K206=Constants!$B$6,FALSE(),COUNTA(L206:P206)&gt;0)))</f>
        <v/>
      </c>
      <c r="AM206" s="134" t="str">
        <f aca="false">IF(ISBLANK($C206),"",IF(ISNUMBER(L206),IF(L206&gt;=0,L206,""),""))</f>
        <v/>
      </c>
      <c r="AN206" s="135" t="str">
        <f aca="false">IF(ISBLANK($C206),"",IF(ISNUMBER(M206),IF(M206&gt;=0,M206,""),""))</f>
        <v/>
      </c>
      <c r="AO206" s="135" t="str">
        <f aca="false">IF(ISBLANK($C206),"",IF(N206=Constants!$B$3,TRUE(),IF(N206=Constants!$B$4,FALSE(),TRUE())))</f>
        <v/>
      </c>
      <c r="AP206" s="133" t="str">
        <f aca="false">IF(ISBLANK($C206),"",IF(ISNUMBER(O206),IF(O206&gt;=0,O206,""),""))</f>
        <v/>
      </c>
      <c r="AQ206" s="133" t="str">
        <f aca="false">IF(ISBLANK($C206),"",IF(P206=Constants!$B$3,TRUE(),IF(P206=Constants!$B$4,FALSE(),FALSE())))</f>
        <v/>
      </c>
      <c r="AR206" s="133" t="str">
        <f aca="false">IF(ISBLANK($C206),"",IF(Q206=Constants!$B$3,TRUE(),IF(Q206=Constants!$B$4,FALSE(),TRUE())))</f>
        <v/>
      </c>
      <c r="AS206" s="133" t="str">
        <f aca="false">IF(ISBLANK($C206),"",IF(R206=Constants!$B$3,TRUE(),IF(R206=Constants!$B$4,FALSE(),TRUE())))</f>
        <v/>
      </c>
      <c r="AT206" s="133" t="str">
        <f aca="false">IF(ISBLANK($C206),"",IF(S206=Constants!$B$5,TRUE(),IF(S206=Constants!$B$6,FALSE(),COUNTA(T206:X206)&gt;0)))</f>
        <v/>
      </c>
      <c r="AU206" s="134" t="str">
        <f aca="false">IF(ISBLANK($C206),"",IF(ISNUMBER(T206),IF(T206&gt;=0,T206,""),""))</f>
        <v/>
      </c>
      <c r="AV206" s="135" t="str">
        <f aca="false">IF(ISBLANK($C206),"",IF(ISNUMBER(U206),IF(U206&gt;=0,U206,""),""))</f>
        <v/>
      </c>
      <c r="AW206" s="135" t="str">
        <f aca="false">IF(ISBLANK($C206),"",IF(V206=Constants!$B$3,TRUE(),IF(V206=Constants!$B$4,FALSE(),TRUE())))</f>
        <v/>
      </c>
      <c r="AX206" s="133" t="str">
        <f aca="false">IF(ISBLANK($C206),"",IF(ISNUMBER(W206),IF(W206&gt;=0,W206,""),""))</f>
        <v/>
      </c>
      <c r="AY206" s="133" t="str">
        <f aca="false">IF(ISBLANK($C206),"",IF(X206=Constants!$B$3,TRUE(),IF(X206=Constants!$B$4,FALSE(),FALSE())))</f>
        <v/>
      </c>
      <c r="AZ206" s="133" t="str">
        <f aca="false">IF(ISBLANK($C206),"",MIN(Constants!$B$31,MAX(0,IF(ISNUMBER(Y206),Y206*60,0)+IF(ISNUMBER(Z206),Z206,0))))</f>
        <v/>
      </c>
      <c r="BA206" s="133" t="str">
        <f aca="false">IF(ISBLANK($C206),"",IF(AA206=Constants!$B$3,TRUE(),IF(AA206=Constants!$B$4,FALSE(),FALSE())))</f>
        <v/>
      </c>
      <c r="BB206" s="132" t="str">
        <f aca="false">IF(ISBLANK($C206),"",AND($AL206,OR($AM206="",$AN206="",AND($AO206,$AP206=""))))</f>
        <v/>
      </c>
      <c r="BC206" s="135" t="str">
        <f aca="false">IF($BR206&lt;&gt;Constants!$B$8,"",IF($AL206,Constants!$B$21*$AN206+Constants!$B$22*IF($AO206,$AP206,Constants!$B$23),Constants!$B$24))</f>
        <v/>
      </c>
      <c r="BD206" s="136" t="str">
        <f aca="false">IF($BR206&lt;&gt;Constants!$B$8,"",Constants!$B$25*ABS($AD$9-IF($AL206,$AM206,0)))</f>
        <v/>
      </c>
      <c r="BE206" s="136" t="str">
        <f aca="false">IF($BR206&lt;&gt;Constants!$B$8,"",IF(AND($AL206,$AQ206,$AO206),Constants!$B$27,0))</f>
        <v/>
      </c>
      <c r="BF206" s="136" t="str">
        <f aca="false">IF($BR206&lt;&gt;Constants!$B$8,"",IF($AL206,($AI206-Constants!$B$29)*Constants!$B$28,0))</f>
        <v/>
      </c>
      <c r="BG206" s="136" t="str">
        <f aca="false">IF($BR206&lt;&gt;Constants!$B$8,"",IF($AK206,0,Constants!$B$15)+IF($AJ206,0,Constants!$B$16)+IF($AH206,0,Constants!$B$17))</f>
        <v/>
      </c>
      <c r="BH206" s="137" t="str">
        <f aca="false">IF($BR206&lt;&gt;Constants!$B$8,"",Constants!$B$20+SUM($BC206:$BG206))</f>
        <v/>
      </c>
      <c r="BI206" s="133" t="str">
        <f aca="false">IF($BR206&lt;&gt;Constants!$B$8,"",IF(OR($BP206&lt;$BH206,AND($BP206=$BH206,OR($BK206&lt;$BC206,AND($BK206=$BC206,OR($BL206&lt;$BD206,AND($BL206=$BD206,$AT206,$AL206,$AV206&lt;$AN206)))))),"-&gt;","&lt;-"))</f>
        <v/>
      </c>
      <c r="BJ206" s="132" t="str">
        <f aca="false">IF(ISBLANK($C206),"",AND($AT206,OR($AU206="",$AV206="",AND($AW206,$AX206=""))))</f>
        <v/>
      </c>
      <c r="BK206" s="135" t="str">
        <f aca="false">IF($BR206&lt;&gt;Constants!$B$8,"",IF($AT206,Constants!$B$21*$AV206+Constants!$B$22*IF($AW206,$AX206,Constants!$B$23),Constants!$B$24))</f>
        <v/>
      </c>
      <c r="BL206" s="136" t="str">
        <f aca="false">IF($BR206&lt;&gt;Constants!$B$8,"",Constants!$B$25*ABS($AD$9-IF($AT206,$AU206,0)))</f>
        <v/>
      </c>
      <c r="BM206" s="136" t="str">
        <f aca="false">IF($BR206&lt;&gt;Constants!$B$8,"",IF(AND($AT206,$AY206,$AW206),Constants!$B$27,0))</f>
        <v/>
      </c>
      <c r="BN206" s="136" t="str">
        <f aca="false">IF($BR206&lt;&gt;Constants!$B$8,"",IF($AT206,($AI206-Constants!$B$29)*Constants!$B$28,0))</f>
        <v/>
      </c>
      <c r="BO206" s="136" t="str">
        <f aca="false">IF($BR206&lt;&gt;Constants!$B$8,"",IF($AS206,0,Constants!$B$15)+IF($AR206,0,Constants!$B$16)+IF($AH206,0,Constants!$B$17))</f>
        <v/>
      </c>
      <c r="BP206" s="137" t="str">
        <f aca="false">IF($BR206&lt;&gt;Constants!$B$8,"",Constants!$B$20+SUM($BK206:$BO206))</f>
        <v/>
      </c>
      <c r="BQ206" s="133" t="str">
        <f aca="false">IF(ISBLANK($C206),"",IF(ISBLANK($D$7),$BQ$5,IF(NOT(ISNUMBER($D$7)),$BQ$6,"")))</f>
        <v/>
      </c>
      <c r="BR206" s="133" t="str">
        <f aca="false">IF(ISBLANK($C206),"",IF($BA206,Constants!$B$11,IF(COUNTA($E206:$AA206)=0,Constants!$B$10,IF(NOT($AG206),Constants!$B$9,IF(OR($BQ206&lt;&gt;"",$BB206,$BJ206),Constants!$B$12,Constants!$B$8)))))</f>
        <v/>
      </c>
      <c r="BS206" s="133" t="str">
        <f aca="false">IF(ISBLANK($C206),"",IF($BR206&lt;&gt;Constants!$B$8,$BR206,Constants!$B$13))</f>
        <v/>
      </c>
      <c r="BT206" s="136" t="str">
        <f aca="false">IF($BR206&lt;&gt;Constants!$B$8,"",IF($BI206="-&gt;",$BP206,$BH206))</f>
        <v/>
      </c>
      <c r="BU206" s="136" t="str">
        <f aca="false">IF($BR206&lt;&gt;Constants!$B$8,"",IF($AF206,0,Constants!$B$18))</f>
        <v/>
      </c>
      <c r="BV206" s="136" t="str">
        <f aca="false">IF($BR206&lt;&gt;Constants!$B$8,"",((Constants!$B$31-$AZ206)-Constants!$B$31)/Constants!$B$32)</f>
        <v/>
      </c>
      <c r="BW206" s="136" t="str">
        <f aca="false">IF(ISBLANK($C206),"",IF($BR206&lt;&gt;Constants!$B$8,$BR206,SUM($BT206:$BV206)))</f>
        <v/>
      </c>
      <c r="BX206" s="133" t="str">
        <f aca="false">IF(ISBLANK($C206),"",IF($BR206&lt;&gt;Constants!$B$8,$BR206,RANK($BW206,$BW$9:$BW$508,1)))</f>
        <v/>
      </c>
      <c r="BY206" s="136" t="str">
        <f aca="false">IF($BR206&lt;&gt;Constants!$B$8,"",IF($BI206="-&gt;",$BK206,$BC206))</f>
        <v/>
      </c>
      <c r="BZ206" s="133" t="str">
        <f aca="false">IF(ISBLANK($C206),"",IF($BR206&lt;&gt;Constants!$B$8,$BR206,IF(ISNUMBER($BY206),RANK($BY206,$BY$9:$BY$508,1),COUNT($BY$9:$BY$508)+1)))</f>
        <v/>
      </c>
      <c r="CA206" s="136" t="str">
        <f aca="false">IF($BR206&lt;&gt;Constants!$B$8,"",IF($BI206="-&gt;",$BL206,$BD206))</f>
        <v/>
      </c>
      <c r="CB206" s="133" t="str">
        <f aca="false">IF(ISBLANK($C206),"",IF($BR206&lt;&gt;Constants!$B$8,$BR206,IF(ISNUMBER($CA206),RANK($CA206,$CA$9:$CA$508,1),COUNT($CA$9:$CA$508)+1)))</f>
        <v/>
      </c>
      <c r="CC206" s="136" t="str">
        <f aca="false">IF($BR206&lt;&gt;Constants!$B$8,"",IF($BI206="-&gt;",IF($AT206,$AV206,""),IF($AL206,$AN206,"")))</f>
        <v/>
      </c>
      <c r="CD206" s="133" t="str">
        <f aca="false">IF(ISBLANK($C206),"",IF($BR206&lt;&gt;Constants!$B$8,$BR206,IF(ISNUMBER($CC206),RANK($CC206,$CC$9:$CC$508,1),COUNT($CC$9:$CC$508)+1)))</f>
        <v/>
      </c>
      <c r="CE206" s="136" t="str">
        <f aca="false">IF($BR206&lt;&gt;Constants!$B$8,"",IF(AND(NOT($AL206),NOT($AT206),$AJ206,$AK206,$AR206,$AS206),"",$AI206))</f>
        <v/>
      </c>
      <c r="CF206" s="133" t="str">
        <f aca="false">IF(ISBLANK($C206),"",IF($BR206&lt;&gt;Constants!$B$8,$BR206,IF(ISNUMBER($CE206),RANK($CE206,$CE$9:$CE$508,1),COUNT($CE$9:$CE$508)+1)))</f>
        <v/>
      </c>
      <c r="CG206" s="133" t="str">
        <f aca="false">IF(ISBLANK($C206),"",IF($BR206&lt;&gt;Constants!$B$8,$BR206,COUNTIFS($BX$9:$BX$508,"&lt;"&amp;$BX206)+COUNTIFS($BX$9:$BX$508,$BX206,$BZ$9:$BZ$508,"&lt;"&amp;$BZ206)+COUNTIFS($BX$9:$BX$508,$BX206,$BZ$9:$BZ$508,$BZ206,$CB$9:$CB$508,"&lt;"&amp;$CB206)+COUNTIFS($BX$9:$BX$508,$BX206,$BZ$9:$BZ$508,$BZ206,$CB$9:$CB$508,$CB206,$CD$9:$CD$508,"&lt;"&amp;$CD206)+COUNTIFS($BX$9:$BX$508,$BX206,$BZ$9:$BZ$508,$BZ206,$CB$9:$CB$508,$CB206,$CD$9:$CD$508,$CD206,$CF$9:$CF$508,"&lt;"&amp;$CF206)+1))</f>
        <v/>
      </c>
      <c r="CH206" s="133" t="str">
        <f aca="false">IF(ISBLANK($C206),"",IF($BR206&lt;&gt;Constants!$B$8,$BR206,$BX206-$CG206))</f>
        <v/>
      </c>
      <c r="CI206" s="138"/>
      <c r="CJ206" s="139"/>
      <c r="CK206" s="140" t="str">
        <f aca="false">IF(ISBLANK($C206),"",IF($BR206=Constants!$B$12,$BQ206,""))</f>
        <v/>
      </c>
      <c r="CL206" s="139" t="str">
        <f aca="false">IF(ISBLANK($C206),"",IF($BR206&lt;&gt;Constants!$B$8,"",IF($BI206="-&gt;",2,1)))</f>
        <v/>
      </c>
      <c r="CM206" s="141" t="str">
        <f aca="false">IF(ISBLANK($C206),"",IF($BR206&lt;&gt;Constants!$B$8,"",IF($BI206="-&gt;",$BK206,$BC206)))</f>
        <v/>
      </c>
      <c r="CN206" s="141" t="str">
        <f aca="false">IF(ISBLANK($C206),"",IF($BR206&lt;&gt;Constants!$B$8,"",IF($BI206="-&gt;",$BL206,$BD206)))</f>
        <v/>
      </c>
      <c r="CO206" s="141" t="str">
        <f aca="false">IF(ISBLANK($C206),"",IF($BR206&lt;&gt;Constants!$B$8,"",IF($BI206="-&gt;",$BM206+$BN206,$BE206+$BF206)+$BV206))</f>
        <v/>
      </c>
      <c r="CP206" s="141" t="str">
        <f aca="false">IF(ISBLANK($C206),"",IF($BR206&lt;&gt;Constants!$B$8,"",IF($BI206="-&gt;",$BO206,$BG206)+$BU206))</f>
        <v/>
      </c>
      <c r="CQ206" s="142" t="str">
        <f aca="false">IF(ISBLANK($C206),"",IF($BR206&lt;&gt;Constants!$B$8,$BR206,$BW206))</f>
        <v/>
      </c>
      <c r="CR206" s="143" t="str">
        <f aca="false">IF(ISBLANK($C206),"",$BS206)</f>
        <v/>
      </c>
      <c r="CS206" s="144" t="str">
        <f aca="false">IF(ISBLANK($C206),"",$CH206)</f>
        <v/>
      </c>
      <c r="CT206" s="144" t="str">
        <f aca="false">IF(ISBLANK($C206),"",$CG206)</f>
        <v/>
      </c>
      <c r="CU206" s="145" t="str">
        <f aca="false">IF(ISBLANK($C206),"",IFERROR(_xlfn.SWITCH($CT206,Constants!$B$11,COUNTA($C$9:$C$508)+2,Constants!$B$10,COUNTA($C$9:$C$508)+1,Constants!$B$9,COUNTA($C$9:$C$508)),$CT206))</f>
        <v/>
      </c>
      <c r="CV206" s="9"/>
      <c r="CW206" s="146" t="n">
        <f aca="false">IF(OR(ISNUMBER($CT206),$CT206=Constants!$B$11,$CT206=Constants!$B$9,$CT206=Constants!$B$10),1,0)</f>
        <v>0</v>
      </c>
      <c r="CX206" s="146" t="n">
        <v>198</v>
      </c>
      <c r="CY206" s="146" t="str">
        <f aca="false">IF(ISBLANK($C206),"",IF(ISNUMBER($CU206),$CU206+ROW($B206)/1000,""))</f>
        <v/>
      </c>
      <c r="CZ206" s="146" t="str">
        <f aca="false">IF(ISNUMBER($CY206),RANK($CY206,$CY$9:$CY$508,1),"")</f>
        <v/>
      </c>
      <c r="DA206" s="146" t="str">
        <f aca="false">IF(ISBLANK($C206),"",$B206)</f>
        <v/>
      </c>
      <c r="DB206" s="146" t="str">
        <f aca="false">IF(ISBLANK($C206),"",$C206)</f>
        <v/>
      </c>
      <c r="DC206" s="146" t="str">
        <f aca="false">IF(ISBLANK($C206),"",$D206)</f>
        <v/>
      </c>
      <c r="DD206" s="147" t="str">
        <f aca="false">$CR206</f>
        <v/>
      </c>
      <c r="DE206" s="148" t="str">
        <f aca="false">$CQ206</f>
        <v/>
      </c>
      <c r="DF206" s="146" t="str">
        <f aca="false">IF(ISBLANK($C206),"",$CT206)</f>
        <v/>
      </c>
      <c r="DG206" s="149" t="str">
        <f aca="false">IF($CX206&gt;$CW$8,"",VLOOKUP($CX206,$CZ$9:$DF$508,7,FALSE()))</f>
        <v/>
      </c>
      <c r="DH206" s="150" t="str">
        <f aca="false">IF($CX206&gt;$CW$8,"",VLOOKUP($CX206,$CZ$9:$DF$508,2,FALSE()))</f>
        <v/>
      </c>
      <c r="DI206" s="150" t="str">
        <f aca="false">IF($CX206&gt;$CW$8,"",VLOOKUP($CX206,$CZ$9:$DF$508,3,FALSE()))</f>
        <v/>
      </c>
      <c r="DJ206" s="150" t="str">
        <f aca="false">IF($CX206&gt;$CW$8,"",VLOOKUP($CX206,$CZ$9:$DF$508,4,FALSE()))</f>
        <v/>
      </c>
      <c r="DK206" s="150" t="str">
        <f aca="false">IF($CX206&gt;$CW$8,"",VLOOKUP($CX206,$CZ$9:$DF$508,5,FALSE()))</f>
        <v/>
      </c>
      <c r="DL206" s="151" t="str">
        <f aca="false">IF($CX206&gt;$CW$8,"",VLOOKUP($CX206,$CZ$9:$DF$508,6,FALSE()))</f>
        <v/>
      </c>
      <c r="DM206" s="75"/>
    </row>
    <row r="207" customFormat="false" ht="15.75" hidden="false" customHeight="false" outlineLevel="0" collapsed="false">
      <c r="A207" s="9"/>
      <c r="B207" s="77"/>
      <c r="C207" s="78"/>
      <c r="D207" s="167"/>
      <c r="E207" s="175"/>
      <c r="F207" s="169"/>
      <c r="G207" s="170"/>
      <c r="H207" s="170"/>
      <c r="I207" s="176"/>
      <c r="J207" s="173"/>
      <c r="K207" s="85"/>
      <c r="L207" s="86"/>
      <c r="M207" s="87"/>
      <c r="N207" s="173"/>
      <c r="O207" s="173"/>
      <c r="P207" s="175"/>
      <c r="Q207" s="173"/>
      <c r="R207" s="173"/>
      <c r="S207" s="85"/>
      <c r="T207" s="87"/>
      <c r="U207" s="87"/>
      <c r="V207" s="173"/>
      <c r="W207" s="173"/>
      <c r="X207" s="175"/>
      <c r="Y207" s="173"/>
      <c r="Z207" s="174"/>
      <c r="AA207" s="173"/>
      <c r="AB207" s="91"/>
      <c r="AC207" s="92"/>
      <c r="AD207" s="92"/>
      <c r="AE207" s="92"/>
      <c r="AF207" s="92" t="str">
        <f aca="false">IF(ISBLANK($C207),"",IF(E207=Constants!$B$3,TRUE(),IF(E207=Constants!$B$4,FALSE(),TRUE())))</f>
        <v/>
      </c>
      <c r="AG207" s="92" t="str">
        <f aca="false">IF(ISBLANK($C207),"",IF(F207=Constants!$B$3,TRUE(),IF(F207=Constants!$B$4,FALSE(),TRUE())))</f>
        <v/>
      </c>
      <c r="AH207" s="92" t="str">
        <f aca="false">IF(ISBLANK($C207),"",IF(G207=Constants!$B$3,TRUE(),IF(G207=Constants!$B$4,FALSE(),TRUE())))</f>
        <v/>
      </c>
      <c r="AI207" s="92" t="str">
        <f aca="false">IF(ISBLANK($C207),"",IF(AND(ISNUMBER(H207),H207&gt;=0),H207,Constants!$B$29))</f>
        <v/>
      </c>
      <c r="AJ207" s="92" t="str">
        <f aca="false">IF(ISBLANK($C207),"",IF(I207=Constants!$B$3,TRUE(),IF(I207=Constants!$B$4,FALSE(),TRUE())))</f>
        <v/>
      </c>
      <c r="AK207" s="92" t="str">
        <f aca="false">IF(ISBLANK($C207),"",IF(J207=Constants!$B$3,TRUE(),IF(J207=Constants!$B$4,FALSE(),TRUE())))</f>
        <v/>
      </c>
      <c r="AL207" s="92" t="str">
        <f aca="false">IF(ISBLANK($C207),"",IF(K207=Constants!$B$5,TRUE(),IF(K207=Constants!$B$6,FALSE(),COUNTA(L207:P207)&gt;0)))</f>
        <v/>
      </c>
      <c r="AM207" s="94" t="str">
        <f aca="false">IF(ISBLANK($C207),"",IF(ISNUMBER(L207),IF(L207&gt;=0,L207,""),""))</f>
        <v/>
      </c>
      <c r="AN207" s="93" t="str">
        <f aca="false">IF(ISBLANK($C207),"",IF(ISNUMBER(M207),IF(M207&gt;=0,M207,""),""))</f>
        <v/>
      </c>
      <c r="AO207" s="93" t="str">
        <f aca="false">IF(ISBLANK($C207),"",IF(N207=Constants!$B$3,TRUE(),IF(N207=Constants!$B$4,FALSE(),TRUE())))</f>
        <v/>
      </c>
      <c r="AP207" s="92" t="str">
        <f aca="false">IF(ISBLANK($C207),"",IF(ISNUMBER(O207),IF(O207&gt;=0,O207,""),""))</f>
        <v/>
      </c>
      <c r="AQ207" s="92" t="str">
        <f aca="false">IF(ISBLANK($C207),"",IF(P207=Constants!$B$3,TRUE(),IF(P207=Constants!$B$4,FALSE(),FALSE())))</f>
        <v/>
      </c>
      <c r="AR207" s="92" t="str">
        <f aca="false">IF(ISBLANK($C207),"",IF(Q207=Constants!$B$3,TRUE(),IF(Q207=Constants!$B$4,FALSE(),TRUE())))</f>
        <v/>
      </c>
      <c r="AS207" s="92" t="str">
        <f aca="false">IF(ISBLANK($C207),"",IF(R207=Constants!$B$3,TRUE(),IF(R207=Constants!$B$4,FALSE(),TRUE())))</f>
        <v/>
      </c>
      <c r="AT207" s="92" t="str">
        <f aca="false">IF(ISBLANK($C207),"",IF(S207=Constants!$B$5,TRUE(),IF(S207=Constants!$B$6,FALSE(),COUNTA(T207:X207)&gt;0)))</f>
        <v/>
      </c>
      <c r="AU207" s="94" t="str">
        <f aca="false">IF(ISBLANK($C207),"",IF(ISNUMBER(T207),IF(T207&gt;=0,T207,""),""))</f>
        <v/>
      </c>
      <c r="AV207" s="93" t="str">
        <f aca="false">IF(ISBLANK($C207),"",IF(ISNUMBER(U207),IF(U207&gt;=0,U207,""),""))</f>
        <v/>
      </c>
      <c r="AW207" s="93" t="str">
        <f aca="false">IF(ISBLANK($C207),"",IF(V207=Constants!$B$3,TRUE(),IF(V207=Constants!$B$4,FALSE(),TRUE())))</f>
        <v/>
      </c>
      <c r="AX207" s="92" t="str">
        <f aca="false">IF(ISBLANK($C207),"",IF(ISNUMBER(W207),IF(W207&gt;=0,W207,""),""))</f>
        <v/>
      </c>
      <c r="AY207" s="92" t="str">
        <f aca="false">IF(ISBLANK($C207),"",IF(X207=Constants!$B$3,TRUE(),IF(X207=Constants!$B$4,FALSE(),FALSE())))</f>
        <v/>
      </c>
      <c r="AZ207" s="92" t="str">
        <f aca="false">IF(ISBLANK($C207),"",MIN(Constants!$B$31,MAX(0,IF(ISNUMBER(Y207),Y207*60,0)+IF(ISNUMBER(Z207),Z207,0))))</f>
        <v/>
      </c>
      <c r="BA207" s="92" t="str">
        <f aca="false">IF(ISBLANK($C207),"",IF(AA207=Constants!$B$3,TRUE(),IF(AA207=Constants!$B$4,FALSE(),FALSE())))</f>
        <v/>
      </c>
      <c r="BB207" s="91" t="str">
        <f aca="false">IF(ISBLANK($C207),"",AND($AL207,OR($AM207="",$AN207="",AND($AO207,$AP207=""))))</f>
        <v/>
      </c>
      <c r="BC207" s="93" t="str">
        <f aca="false">IF($BR207&lt;&gt;Constants!$B$8,"",IF($AL207,Constants!$B$21*$AN207+Constants!$B$22*IF($AO207,$AP207,Constants!$B$23),Constants!$B$24))</f>
        <v/>
      </c>
      <c r="BD207" s="96" t="str">
        <f aca="false">IF($BR207&lt;&gt;Constants!$B$8,"",Constants!$B$25*ABS($AD$9-IF($AL207,$AM207,0)))</f>
        <v/>
      </c>
      <c r="BE207" s="96" t="str">
        <f aca="false">IF($BR207&lt;&gt;Constants!$B$8,"",IF(AND($AL207,$AQ207,$AO207),Constants!$B$27,0))</f>
        <v/>
      </c>
      <c r="BF207" s="96" t="str">
        <f aca="false">IF($BR207&lt;&gt;Constants!$B$8,"",IF($AL207,($AI207-Constants!$B$29)*Constants!$B$28,0))</f>
        <v/>
      </c>
      <c r="BG207" s="96" t="str">
        <f aca="false">IF($BR207&lt;&gt;Constants!$B$8,"",IF($AK207,0,Constants!$B$15)+IF($AJ207,0,Constants!$B$16)+IF($AH207,0,Constants!$B$17))</f>
        <v/>
      </c>
      <c r="BH207" s="97" t="str">
        <f aca="false">IF($BR207&lt;&gt;Constants!$B$8,"",Constants!$B$20+SUM($BC207:$BG207))</f>
        <v/>
      </c>
      <c r="BI207" s="92" t="str">
        <f aca="false">IF($BR207&lt;&gt;Constants!$B$8,"",IF(OR($BP207&lt;$BH207,AND($BP207=$BH207,OR($BK207&lt;$BC207,AND($BK207=$BC207,OR($BL207&lt;$BD207,AND($BL207=$BD207,$AT207,$AL207,$AV207&lt;$AN207)))))),"-&gt;","&lt;-"))</f>
        <v/>
      </c>
      <c r="BJ207" s="91" t="str">
        <f aca="false">IF(ISBLANK($C207),"",AND($AT207,OR($AU207="",$AV207="",AND($AW207,$AX207=""))))</f>
        <v/>
      </c>
      <c r="BK207" s="93" t="str">
        <f aca="false">IF($BR207&lt;&gt;Constants!$B$8,"",IF($AT207,Constants!$B$21*$AV207+Constants!$B$22*IF($AW207,$AX207,Constants!$B$23),Constants!$B$24))</f>
        <v/>
      </c>
      <c r="BL207" s="96" t="str">
        <f aca="false">IF($BR207&lt;&gt;Constants!$B$8,"",Constants!$B$25*ABS($AD$9-IF($AT207,$AU207,0)))</f>
        <v/>
      </c>
      <c r="BM207" s="96" t="str">
        <f aca="false">IF($BR207&lt;&gt;Constants!$B$8,"",IF(AND($AT207,$AY207,$AW207),Constants!$B$27,0))</f>
        <v/>
      </c>
      <c r="BN207" s="96" t="str">
        <f aca="false">IF($BR207&lt;&gt;Constants!$B$8,"",IF($AT207,($AI207-Constants!$B$29)*Constants!$B$28,0))</f>
        <v/>
      </c>
      <c r="BO207" s="96" t="str">
        <f aca="false">IF($BR207&lt;&gt;Constants!$B$8,"",IF($AS207,0,Constants!$B$15)+IF($AR207,0,Constants!$B$16)+IF($AH207,0,Constants!$B$17))</f>
        <v/>
      </c>
      <c r="BP207" s="97" t="str">
        <f aca="false">IF($BR207&lt;&gt;Constants!$B$8,"",Constants!$B$20+SUM($BK207:$BO207))</f>
        <v/>
      </c>
      <c r="BQ207" s="92" t="str">
        <f aca="false">IF(ISBLANK($C207),"",IF(ISBLANK($D$7),$BQ$5,IF(NOT(ISNUMBER($D$7)),$BQ$6,"")))</f>
        <v/>
      </c>
      <c r="BR207" s="92" t="str">
        <f aca="false">IF(ISBLANK($C207),"",IF($BA207,Constants!$B$11,IF(COUNTA($E207:$AA207)=0,Constants!$B$10,IF(NOT($AG207),Constants!$B$9,IF(OR($BQ207&lt;&gt;"",$BB207,$BJ207),Constants!$B$12,Constants!$B$8)))))</f>
        <v/>
      </c>
      <c r="BS207" s="92" t="str">
        <f aca="false">IF(ISBLANK($C207),"",IF($BR207&lt;&gt;Constants!$B$8,$BR207,Constants!$B$13))</f>
        <v/>
      </c>
      <c r="BT207" s="96" t="str">
        <f aca="false">IF($BR207&lt;&gt;Constants!$B$8,"",IF($BI207="-&gt;",$BP207,$BH207))</f>
        <v/>
      </c>
      <c r="BU207" s="96" t="str">
        <f aca="false">IF($BR207&lt;&gt;Constants!$B$8,"",IF($AF207,0,Constants!$B$18))</f>
        <v/>
      </c>
      <c r="BV207" s="96" t="str">
        <f aca="false">IF($BR207&lt;&gt;Constants!$B$8,"",((Constants!$B$31-$AZ207)-Constants!$B$31)/Constants!$B$32)</f>
        <v/>
      </c>
      <c r="BW207" s="96" t="str">
        <f aca="false">IF(ISBLANK($C207),"",IF($BR207&lt;&gt;Constants!$B$8,$BR207,SUM($BT207:$BV207)))</f>
        <v/>
      </c>
      <c r="BX207" s="92" t="str">
        <f aca="false">IF(ISBLANK($C207),"",IF($BR207&lt;&gt;Constants!$B$8,$BR207,RANK($BW207,$BW$9:$BW$508,1)))</f>
        <v/>
      </c>
      <c r="BY207" s="96" t="str">
        <f aca="false">IF($BR207&lt;&gt;Constants!$B$8,"",IF($BI207="-&gt;",$BK207,$BC207))</f>
        <v/>
      </c>
      <c r="BZ207" s="92" t="str">
        <f aca="false">IF(ISBLANK($C207),"",IF($BR207&lt;&gt;Constants!$B$8,$BR207,IF(ISNUMBER($BY207),RANK($BY207,$BY$9:$BY$508,1),COUNT($BY$9:$BY$508)+1)))</f>
        <v/>
      </c>
      <c r="CA207" s="96" t="str">
        <f aca="false">IF($BR207&lt;&gt;Constants!$B$8,"",IF($BI207="-&gt;",$BL207,$BD207))</f>
        <v/>
      </c>
      <c r="CB207" s="92" t="str">
        <f aca="false">IF(ISBLANK($C207),"",IF($BR207&lt;&gt;Constants!$B$8,$BR207,IF(ISNUMBER($CA207),RANK($CA207,$CA$9:$CA$508,1),COUNT($CA$9:$CA$508)+1)))</f>
        <v/>
      </c>
      <c r="CC207" s="96" t="str">
        <f aca="false">IF($BR207&lt;&gt;Constants!$B$8,"",IF($BI207="-&gt;",IF($AT207,$AV207,""),IF($AL207,$AN207,"")))</f>
        <v/>
      </c>
      <c r="CD207" s="92" t="str">
        <f aca="false">IF(ISBLANK($C207),"",IF($BR207&lt;&gt;Constants!$B$8,$BR207,IF(ISNUMBER($CC207),RANK($CC207,$CC$9:$CC$508,1),COUNT($CC$9:$CC$508)+1)))</f>
        <v/>
      </c>
      <c r="CE207" s="96" t="str">
        <f aca="false">IF($BR207&lt;&gt;Constants!$B$8,"",IF(AND(NOT($AL207),NOT($AT207),$AJ207,$AK207,$AR207,$AS207),"",$AI207))</f>
        <v/>
      </c>
      <c r="CF207" s="92" t="str">
        <f aca="false">IF(ISBLANK($C207),"",IF($BR207&lt;&gt;Constants!$B$8,$BR207,IF(ISNUMBER($CE207),RANK($CE207,$CE$9:$CE$508,1),COUNT($CE$9:$CE$508)+1)))</f>
        <v/>
      </c>
      <c r="CG207" s="92" t="str">
        <f aca="false">IF(ISBLANK($C207),"",IF($BR207&lt;&gt;Constants!$B$8,$BR207,COUNTIFS($BX$9:$BX$508,"&lt;"&amp;$BX207)+COUNTIFS($BX$9:$BX$508,$BX207,$BZ$9:$BZ$508,"&lt;"&amp;$BZ207)+COUNTIFS($BX$9:$BX$508,$BX207,$BZ$9:$BZ$508,$BZ207,$CB$9:$CB$508,"&lt;"&amp;$CB207)+COUNTIFS($BX$9:$BX$508,$BX207,$BZ$9:$BZ$508,$BZ207,$CB$9:$CB$508,$CB207,$CD$9:$CD$508,"&lt;"&amp;$CD207)+COUNTIFS($BX$9:$BX$508,$BX207,$BZ$9:$BZ$508,$BZ207,$CB$9:$CB$508,$CB207,$CD$9:$CD$508,$CD207,$CF$9:$CF$508,"&lt;"&amp;$CF207)+1))</f>
        <v/>
      </c>
      <c r="CH207" s="92" t="str">
        <f aca="false">IF(ISBLANK($C207),"",IF($BR207&lt;&gt;Constants!$B$8,$BR207,$BX207-$CG207))</f>
        <v/>
      </c>
      <c r="CI207" s="98"/>
      <c r="CJ207" s="99"/>
      <c r="CK207" s="100" t="str">
        <f aca="false">IF(ISBLANK($C207),"",IF($BR207=Constants!$B$12,$BQ207,""))</f>
        <v/>
      </c>
      <c r="CL207" s="99" t="str">
        <f aca="false">IF(ISBLANK($C207),"",IF($BR207&lt;&gt;Constants!$B$8,"",IF($BI207="-&gt;",2,1)))</f>
        <v/>
      </c>
      <c r="CM207" s="101" t="str">
        <f aca="false">IF(ISBLANK($C207),"",IF($BR207&lt;&gt;Constants!$B$8,"",IF($BI207="-&gt;",$BK207,$BC207)))</f>
        <v/>
      </c>
      <c r="CN207" s="101" t="str">
        <f aca="false">IF(ISBLANK($C207),"",IF($BR207&lt;&gt;Constants!$B$8,"",IF($BI207="-&gt;",$BL207,$BD207)))</f>
        <v/>
      </c>
      <c r="CO207" s="101" t="str">
        <f aca="false">IF(ISBLANK($C207),"",IF($BR207&lt;&gt;Constants!$B$8,"",IF($BI207="-&gt;",$BM207+$BN207,$BE207+$BF207)+$BV207))</f>
        <v/>
      </c>
      <c r="CP207" s="101" t="str">
        <f aca="false">IF(ISBLANK($C207),"",IF($BR207&lt;&gt;Constants!$B$8,"",IF($BI207="-&gt;",$BO207,$BG207)+$BU207))</f>
        <v/>
      </c>
      <c r="CQ207" s="102" t="str">
        <f aca="false">IF(ISBLANK($C207),"",IF($BR207&lt;&gt;Constants!$B$8,$BR207,$BW207))</f>
        <v/>
      </c>
      <c r="CR207" s="103" t="str">
        <f aca="false">IF(ISBLANK($C207),"",$BS207)</f>
        <v/>
      </c>
      <c r="CS207" s="104" t="str">
        <f aca="false">IF(ISBLANK($C207),"",$CH207)</f>
        <v/>
      </c>
      <c r="CT207" s="104" t="str">
        <f aca="false">IF(ISBLANK($C207),"",$CG207)</f>
        <v/>
      </c>
      <c r="CU207" s="105" t="str">
        <f aca="false">IF(ISBLANK($C207),"",IFERROR(_xlfn.SWITCH($CT207,Constants!$B$11,COUNTA($C$9:$C$508)+2,Constants!$B$10,COUNTA($C$9:$C$508)+1,Constants!$B$9,COUNTA($C$9:$C$508)),$CT207))</f>
        <v/>
      </c>
      <c r="CV207" s="9"/>
      <c r="CW207" s="106" t="n">
        <f aca="false">IF(OR(ISNUMBER($CT207),$CT207=Constants!$B$11,$CT207=Constants!$B$9,$CT207=Constants!$B$10),1,0)</f>
        <v>0</v>
      </c>
      <c r="CX207" s="106" t="n">
        <v>199</v>
      </c>
      <c r="CY207" s="106" t="str">
        <f aca="false">IF(ISBLANK($C207),"",IF(ISNUMBER($CU207),$CU207+ROW($B207)/1000,""))</f>
        <v/>
      </c>
      <c r="CZ207" s="106" t="str">
        <f aca="false">IF(ISNUMBER($CY207),RANK($CY207,$CY$9:$CY$508,1),"")</f>
        <v/>
      </c>
      <c r="DA207" s="106" t="str">
        <f aca="false">IF(ISBLANK($C207),"",$B207)</f>
        <v/>
      </c>
      <c r="DB207" s="106" t="str">
        <f aca="false">IF(ISBLANK($C207),"",$C207)</f>
        <v/>
      </c>
      <c r="DC207" s="106" t="str">
        <f aca="false">IF(ISBLANK($C207),"",$D207)</f>
        <v/>
      </c>
      <c r="DD207" s="107" t="str">
        <f aca="false">$CR207</f>
        <v/>
      </c>
      <c r="DE207" s="108" t="str">
        <f aca="false">$CQ207</f>
        <v/>
      </c>
      <c r="DF207" s="106" t="str">
        <f aca="false">IF(ISBLANK($C207),"",$CT207)</f>
        <v/>
      </c>
      <c r="DG207" s="109" t="str">
        <f aca="false">IF($CX207&gt;$CW$8,"",VLOOKUP($CX207,$CZ$9:$DF$508,7,FALSE()))</f>
        <v/>
      </c>
      <c r="DH207" s="110" t="str">
        <f aca="false">IF($CX207&gt;$CW$8,"",VLOOKUP($CX207,$CZ$9:$DF$508,2,FALSE()))</f>
        <v/>
      </c>
      <c r="DI207" s="110" t="str">
        <f aca="false">IF($CX207&gt;$CW$8,"",VLOOKUP($CX207,$CZ$9:$DF$508,3,FALSE()))</f>
        <v/>
      </c>
      <c r="DJ207" s="110" t="str">
        <f aca="false">IF($CX207&gt;$CW$8,"",VLOOKUP($CX207,$CZ$9:$DF$508,4,FALSE()))</f>
        <v/>
      </c>
      <c r="DK207" s="110" t="str">
        <f aca="false">IF($CX207&gt;$CW$8,"",VLOOKUP($CX207,$CZ$9:$DF$508,5,FALSE()))</f>
        <v/>
      </c>
      <c r="DL207" s="111" t="str">
        <f aca="false">IF($CX207&gt;$CW$8,"",VLOOKUP($CX207,$CZ$9:$DF$508,6,FALSE()))</f>
        <v/>
      </c>
      <c r="DM207" s="75"/>
    </row>
    <row r="208" customFormat="false" ht="15.75" hidden="false" customHeight="false" outlineLevel="0" collapsed="false">
      <c r="A208" s="9"/>
      <c r="B208" s="77"/>
      <c r="C208" s="78"/>
      <c r="D208" s="167"/>
      <c r="E208" s="175"/>
      <c r="F208" s="169"/>
      <c r="G208" s="170"/>
      <c r="H208" s="170"/>
      <c r="I208" s="176"/>
      <c r="J208" s="173"/>
      <c r="K208" s="85"/>
      <c r="L208" s="86"/>
      <c r="M208" s="87"/>
      <c r="N208" s="173"/>
      <c r="O208" s="173"/>
      <c r="P208" s="175"/>
      <c r="Q208" s="173"/>
      <c r="R208" s="173"/>
      <c r="S208" s="85"/>
      <c r="T208" s="87"/>
      <c r="U208" s="87"/>
      <c r="V208" s="173"/>
      <c r="W208" s="173"/>
      <c r="X208" s="175"/>
      <c r="Y208" s="173"/>
      <c r="Z208" s="174"/>
      <c r="AA208" s="173"/>
      <c r="AB208" s="91"/>
      <c r="AC208" s="92"/>
      <c r="AD208" s="92"/>
      <c r="AE208" s="92"/>
      <c r="AF208" s="92" t="str">
        <f aca="false">IF(ISBLANK($C208),"",IF(E208=Constants!$B$3,TRUE(),IF(E208=Constants!$B$4,FALSE(),TRUE())))</f>
        <v/>
      </c>
      <c r="AG208" s="92" t="str">
        <f aca="false">IF(ISBLANK($C208),"",IF(F208=Constants!$B$3,TRUE(),IF(F208=Constants!$B$4,FALSE(),TRUE())))</f>
        <v/>
      </c>
      <c r="AH208" s="92" t="str">
        <f aca="false">IF(ISBLANK($C208),"",IF(G208=Constants!$B$3,TRUE(),IF(G208=Constants!$B$4,FALSE(),TRUE())))</f>
        <v/>
      </c>
      <c r="AI208" s="92" t="str">
        <f aca="false">IF(ISBLANK($C208),"",IF(AND(ISNUMBER(H208),H208&gt;=0),H208,Constants!$B$29))</f>
        <v/>
      </c>
      <c r="AJ208" s="92" t="str">
        <f aca="false">IF(ISBLANK($C208),"",IF(I208=Constants!$B$3,TRUE(),IF(I208=Constants!$B$4,FALSE(),TRUE())))</f>
        <v/>
      </c>
      <c r="AK208" s="92" t="str">
        <f aca="false">IF(ISBLANK($C208),"",IF(J208=Constants!$B$3,TRUE(),IF(J208=Constants!$B$4,FALSE(),TRUE())))</f>
        <v/>
      </c>
      <c r="AL208" s="92" t="str">
        <f aca="false">IF(ISBLANK($C208),"",IF(K208=Constants!$B$5,TRUE(),IF(K208=Constants!$B$6,FALSE(),COUNTA(L208:P208)&gt;0)))</f>
        <v/>
      </c>
      <c r="AM208" s="94" t="str">
        <f aca="false">IF(ISBLANK($C208),"",IF(ISNUMBER(L208),IF(L208&gt;=0,L208,""),""))</f>
        <v/>
      </c>
      <c r="AN208" s="93" t="str">
        <f aca="false">IF(ISBLANK($C208),"",IF(ISNUMBER(M208),IF(M208&gt;=0,M208,""),""))</f>
        <v/>
      </c>
      <c r="AO208" s="93" t="str">
        <f aca="false">IF(ISBLANK($C208),"",IF(N208=Constants!$B$3,TRUE(),IF(N208=Constants!$B$4,FALSE(),TRUE())))</f>
        <v/>
      </c>
      <c r="AP208" s="92" t="str">
        <f aca="false">IF(ISBLANK($C208),"",IF(ISNUMBER(O208),IF(O208&gt;=0,O208,""),""))</f>
        <v/>
      </c>
      <c r="AQ208" s="92" t="str">
        <f aca="false">IF(ISBLANK($C208),"",IF(P208=Constants!$B$3,TRUE(),IF(P208=Constants!$B$4,FALSE(),FALSE())))</f>
        <v/>
      </c>
      <c r="AR208" s="92" t="str">
        <f aca="false">IF(ISBLANK($C208),"",IF(Q208=Constants!$B$3,TRUE(),IF(Q208=Constants!$B$4,FALSE(),TRUE())))</f>
        <v/>
      </c>
      <c r="AS208" s="92" t="str">
        <f aca="false">IF(ISBLANK($C208),"",IF(R208=Constants!$B$3,TRUE(),IF(R208=Constants!$B$4,FALSE(),TRUE())))</f>
        <v/>
      </c>
      <c r="AT208" s="92" t="str">
        <f aca="false">IF(ISBLANK($C208),"",IF(S208=Constants!$B$5,TRUE(),IF(S208=Constants!$B$6,FALSE(),COUNTA(T208:X208)&gt;0)))</f>
        <v/>
      </c>
      <c r="AU208" s="94" t="str">
        <f aca="false">IF(ISBLANK($C208),"",IF(ISNUMBER(T208),IF(T208&gt;=0,T208,""),""))</f>
        <v/>
      </c>
      <c r="AV208" s="93" t="str">
        <f aca="false">IF(ISBLANK($C208),"",IF(ISNUMBER(U208),IF(U208&gt;=0,U208,""),""))</f>
        <v/>
      </c>
      <c r="AW208" s="93" t="str">
        <f aca="false">IF(ISBLANK($C208),"",IF(V208=Constants!$B$3,TRUE(),IF(V208=Constants!$B$4,FALSE(),TRUE())))</f>
        <v/>
      </c>
      <c r="AX208" s="92" t="str">
        <f aca="false">IF(ISBLANK($C208),"",IF(ISNUMBER(W208),IF(W208&gt;=0,W208,""),""))</f>
        <v/>
      </c>
      <c r="AY208" s="92" t="str">
        <f aca="false">IF(ISBLANK($C208),"",IF(X208=Constants!$B$3,TRUE(),IF(X208=Constants!$B$4,FALSE(),FALSE())))</f>
        <v/>
      </c>
      <c r="AZ208" s="92" t="str">
        <f aca="false">IF(ISBLANK($C208),"",MIN(Constants!$B$31,MAX(0,IF(ISNUMBER(Y208),Y208*60,0)+IF(ISNUMBER(Z208),Z208,0))))</f>
        <v/>
      </c>
      <c r="BA208" s="92" t="str">
        <f aca="false">IF(ISBLANK($C208),"",IF(AA208=Constants!$B$3,TRUE(),IF(AA208=Constants!$B$4,FALSE(),FALSE())))</f>
        <v/>
      </c>
      <c r="BB208" s="91" t="str">
        <f aca="false">IF(ISBLANK($C208),"",AND($AL208,OR($AM208="",$AN208="",AND($AO208,$AP208=""))))</f>
        <v/>
      </c>
      <c r="BC208" s="93" t="str">
        <f aca="false">IF($BR208&lt;&gt;Constants!$B$8,"",IF($AL208,Constants!$B$21*$AN208+Constants!$B$22*IF($AO208,$AP208,Constants!$B$23),Constants!$B$24))</f>
        <v/>
      </c>
      <c r="BD208" s="96" t="str">
        <f aca="false">IF($BR208&lt;&gt;Constants!$B$8,"",Constants!$B$25*ABS($AD$9-IF($AL208,$AM208,0)))</f>
        <v/>
      </c>
      <c r="BE208" s="96" t="str">
        <f aca="false">IF($BR208&lt;&gt;Constants!$B$8,"",IF(AND($AL208,$AQ208,$AO208),Constants!$B$27,0))</f>
        <v/>
      </c>
      <c r="BF208" s="96" t="str">
        <f aca="false">IF($BR208&lt;&gt;Constants!$B$8,"",IF($AL208,($AI208-Constants!$B$29)*Constants!$B$28,0))</f>
        <v/>
      </c>
      <c r="BG208" s="96" t="str">
        <f aca="false">IF($BR208&lt;&gt;Constants!$B$8,"",IF($AK208,0,Constants!$B$15)+IF($AJ208,0,Constants!$B$16)+IF($AH208,0,Constants!$B$17))</f>
        <v/>
      </c>
      <c r="BH208" s="97" t="str">
        <f aca="false">IF($BR208&lt;&gt;Constants!$B$8,"",Constants!$B$20+SUM($BC208:$BG208))</f>
        <v/>
      </c>
      <c r="BI208" s="92" t="str">
        <f aca="false">IF($BR208&lt;&gt;Constants!$B$8,"",IF(OR($BP208&lt;$BH208,AND($BP208=$BH208,OR($BK208&lt;$BC208,AND($BK208=$BC208,OR($BL208&lt;$BD208,AND($BL208=$BD208,$AT208,$AL208,$AV208&lt;$AN208)))))),"-&gt;","&lt;-"))</f>
        <v/>
      </c>
      <c r="BJ208" s="91" t="str">
        <f aca="false">IF(ISBLANK($C208),"",AND($AT208,OR($AU208="",$AV208="",AND($AW208,$AX208=""))))</f>
        <v/>
      </c>
      <c r="BK208" s="93" t="str">
        <f aca="false">IF($BR208&lt;&gt;Constants!$B$8,"",IF($AT208,Constants!$B$21*$AV208+Constants!$B$22*IF($AW208,$AX208,Constants!$B$23),Constants!$B$24))</f>
        <v/>
      </c>
      <c r="BL208" s="96" t="str">
        <f aca="false">IF($BR208&lt;&gt;Constants!$B$8,"",Constants!$B$25*ABS($AD$9-IF($AT208,$AU208,0)))</f>
        <v/>
      </c>
      <c r="BM208" s="96" t="str">
        <f aca="false">IF($BR208&lt;&gt;Constants!$B$8,"",IF(AND($AT208,$AY208,$AW208),Constants!$B$27,0))</f>
        <v/>
      </c>
      <c r="BN208" s="96" t="str">
        <f aca="false">IF($BR208&lt;&gt;Constants!$B$8,"",IF($AT208,($AI208-Constants!$B$29)*Constants!$B$28,0))</f>
        <v/>
      </c>
      <c r="BO208" s="96" t="str">
        <f aca="false">IF($BR208&lt;&gt;Constants!$B$8,"",IF($AS208,0,Constants!$B$15)+IF($AR208,0,Constants!$B$16)+IF($AH208,0,Constants!$B$17))</f>
        <v/>
      </c>
      <c r="BP208" s="97" t="str">
        <f aca="false">IF($BR208&lt;&gt;Constants!$B$8,"",Constants!$B$20+SUM($BK208:$BO208))</f>
        <v/>
      </c>
      <c r="BQ208" s="92" t="str">
        <f aca="false">IF(ISBLANK($C208),"",IF(ISBLANK($D$7),$BQ$5,IF(NOT(ISNUMBER($D$7)),$BQ$6,"")))</f>
        <v/>
      </c>
      <c r="BR208" s="92" t="str">
        <f aca="false">IF(ISBLANK($C208),"",IF($BA208,Constants!$B$11,IF(COUNTA($E208:$AA208)=0,Constants!$B$10,IF(NOT($AG208),Constants!$B$9,IF(OR($BQ208&lt;&gt;"",$BB208,$BJ208),Constants!$B$12,Constants!$B$8)))))</f>
        <v/>
      </c>
      <c r="BS208" s="92" t="str">
        <f aca="false">IF(ISBLANK($C208),"",IF($BR208&lt;&gt;Constants!$B$8,$BR208,Constants!$B$13))</f>
        <v/>
      </c>
      <c r="BT208" s="96" t="str">
        <f aca="false">IF($BR208&lt;&gt;Constants!$B$8,"",IF($BI208="-&gt;",$BP208,$BH208))</f>
        <v/>
      </c>
      <c r="BU208" s="96" t="str">
        <f aca="false">IF($BR208&lt;&gt;Constants!$B$8,"",IF($AF208,0,Constants!$B$18))</f>
        <v/>
      </c>
      <c r="BV208" s="96" t="str">
        <f aca="false">IF($BR208&lt;&gt;Constants!$B$8,"",((Constants!$B$31-$AZ208)-Constants!$B$31)/Constants!$B$32)</f>
        <v/>
      </c>
      <c r="BW208" s="96" t="str">
        <f aca="false">IF(ISBLANK($C208),"",IF($BR208&lt;&gt;Constants!$B$8,$BR208,SUM($BT208:$BV208)))</f>
        <v/>
      </c>
      <c r="BX208" s="92" t="str">
        <f aca="false">IF(ISBLANK($C208),"",IF($BR208&lt;&gt;Constants!$B$8,$BR208,RANK($BW208,$BW$9:$BW$508,1)))</f>
        <v/>
      </c>
      <c r="BY208" s="96" t="str">
        <f aca="false">IF($BR208&lt;&gt;Constants!$B$8,"",IF($BI208="-&gt;",$BK208,$BC208))</f>
        <v/>
      </c>
      <c r="BZ208" s="92" t="str">
        <f aca="false">IF(ISBLANK($C208),"",IF($BR208&lt;&gt;Constants!$B$8,$BR208,IF(ISNUMBER($BY208),RANK($BY208,$BY$9:$BY$508,1),COUNT($BY$9:$BY$508)+1)))</f>
        <v/>
      </c>
      <c r="CA208" s="96" t="str">
        <f aca="false">IF($BR208&lt;&gt;Constants!$B$8,"",IF($BI208="-&gt;",$BL208,$BD208))</f>
        <v/>
      </c>
      <c r="CB208" s="92" t="str">
        <f aca="false">IF(ISBLANK($C208),"",IF($BR208&lt;&gt;Constants!$B$8,$BR208,IF(ISNUMBER($CA208),RANK($CA208,$CA$9:$CA$508,1),COUNT($CA$9:$CA$508)+1)))</f>
        <v/>
      </c>
      <c r="CC208" s="96" t="str">
        <f aca="false">IF($BR208&lt;&gt;Constants!$B$8,"",IF($BI208="-&gt;",IF($AT208,$AV208,""),IF($AL208,$AN208,"")))</f>
        <v/>
      </c>
      <c r="CD208" s="92" t="str">
        <f aca="false">IF(ISBLANK($C208),"",IF($BR208&lt;&gt;Constants!$B$8,$BR208,IF(ISNUMBER($CC208),RANK($CC208,$CC$9:$CC$508,1),COUNT($CC$9:$CC$508)+1)))</f>
        <v/>
      </c>
      <c r="CE208" s="96" t="str">
        <f aca="false">IF($BR208&lt;&gt;Constants!$B$8,"",IF(AND(NOT($AL208),NOT($AT208),$AJ208,$AK208,$AR208,$AS208),"",$AI208))</f>
        <v/>
      </c>
      <c r="CF208" s="92" t="str">
        <f aca="false">IF(ISBLANK($C208),"",IF($BR208&lt;&gt;Constants!$B$8,$BR208,IF(ISNUMBER($CE208),RANK($CE208,$CE$9:$CE$508,1),COUNT($CE$9:$CE$508)+1)))</f>
        <v/>
      </c>
      <c r="CG208" s="92" t="str">
        <f aca="false">IF(ISBLANK($C208),"",IF($BR208&lt;&gt;Constants!$B$8,$BR208,COUNTIFS($BX$9:$BX$508,"&lt;"&amp;$BX208)+COUNTIFS($BX$9:$BX$508,$BX208,$BZ$9:$BZ$508,"&lt;"&amp;$BZ208)+COUNTIFS($BX$9:$BX$508,$BX208,$BZ$9:$BZ$508,$BZ208,$CB$9:$CB$508,"&lt;"&amp;$CB208)+COUNTIFS($BX$9:$BX$508,$BX208,$BZ$9:$BZ$508,$BZ208,$CB$9:$CB$508,$CB208,$CD$9:$CD$508,"&lt;"&amp;$CD208)+COUNTIFS($BX$9:$BX$508,$BX208,$BZ$9:$BZ$508,$BZ208,$CB$9:$CB$508,$CB208,$CD$9:$CD$508,$CD208,$CF$9:$CF$508,"&lt;"&amp;$CF208)+1))</f>
        <v/>
      </c>
      <c r="CH208" s="92" t="str">
        <f aca="false">IF(ISBLANK($C208),"",IF($BR208&lt;&gt;Constants!$B$8,$BR208,$BX208-$CG208))</f>
        <v/>
      </c>
      <c r="CI208" s="98"/>
      <c r="CJ208" s="99"/>
      <c r="CK208" s="100" t="str">
        <f aca="false">IF(ISBLANK($C208),"",IF($BR208=Constants!$B$12,$BQ208,""))</f>
        <v/>
      </c>
      <c r="CL208" s="99" t="str">
        <f aca="false">IF(ISBLANK($C208),"",IF($BR208&lt;&gt;Constants!$B$8,"",IF($BI208="-&gt;",2,1)))</f>
        <v/>
      </c>
      <c r="CM208" s="101" t="str">
        <f aca="false">IF(ISBLANK($C208),"",IF($BR208&lt;&gt;Constants!$B$8,"",IF($BI208="-&gt;",$BK208,$BC208)))</f>
        <v/>
      </c>
      <c r="CN208" s="101" t="str">
        <f aca="false">IF(ISBLANK($C208),"",IF($BR208&lt;&gt;Constants!$B$8,"",IF($BI208="-&gt;",$BL208,$BD208)))</f>
        <v/>
      </c>
      <c r="CO208" s="101" t="str">
        <f aca="false">IF(ISBLANK($C208),"",IF($BR208&lt;&gt;Constants!$B$8,"",IF($BI208="-&gt;",$BM208+$BN208,$BE208+$BF208)+$BV208))</f>
        <v/>
      </c>
      <c r="CP208" s="101" t="str">
        <f aca="false">IF(ISBLANK($C208),"",IF($BR208&lt;&gt;Constants!$B$8,"",IF($BI208="-&gt;",$BO208,$BG208)+$BU208))</f>
        <v/>
      </c>
      <c r="CQ208" s="102" t="str">
        <f aca="false">IF(ISBLANK($C208),"",IF($BR208&lt;&gt;Constants!$B$8,$BR208,$BW208))</f>
        <v/>
      </c>
      <c r="CR208" s="103" t="str">
        <f aca="false">IF(ISBLANK($C208),"",$BS208)</f>
        <v/>
      </c>
      <c r="CS208" s="104" t="str">
        <f aca="false">IF(ISBLANK($C208),"",$CH208)</f>
        <v/>
      </c>
      <c r="CT208" s="104" t="str">
        <f aca="false">IF(ISBLANK($C208),"",$CG208)</f>
        <v/>
      </c>
      <c r="CU208" s="105" t="str">
        <f aca="false">IF(ISBLANK($C208),"",IFERROR(_xlfn.SWITCH($CT208,Constants!$B$11,COUNTA($C$9:$C$508)+2,Constants!$B$10,COUNTA($C$9:$C$508)+1,Constants!$B$9,COUNTA($C$9:$C$508)),$CT208))</f>
        <v/>
      </c>
      <c r="CV208" s="9"/>
      <c r="CW208" s="106" t="n">
        <f aca="false">IF(OR(ISNUMBER($CT208),$CT208=Constants!$B$11,$CT208=Constants!$B$9,$CT208=Constants!$B$10),1,0)</f>
        <v>0</v>
      </c>
      <c r="CX208" s="106" t="n">
        <v>200</v>
      </c>
      <c r="CY208" s="106" t="str">
        <f aca="false">IF(ISBLANK($C208),"",IF(ISNUMBER($CU208),$CU208+ROW($B208)/1000,""))</f>
        <v/>
      </c>
      <c r="CZ208" s="106" t="str">
        <f aca="false">IF(ISNUMBER($CY208),RANK($CY208,$CY$9:$CY$508,1),"")</f>
        <v/>
      </c>
      <c r="DA208" s="106" t="str">
        <f aca="false">IF(ISBLANK($C208),"",$B208)</f>
        <v/>
      </c>
      <c r="DB208" s="106" t="str">
        <f aca="false">IF(ISBLANK($C208),"",$C208)</f>
        <v/>
      </c>
      <c r="DC208" s="106" t="str">
        <f aca="false">IF(ISBLANK($C208),"",$D208)</f>
        <v/>
      </c>
      <c r="DD208" s="107" t="str">
        <f aca="false">$CR208</f>
        <v/>
      </c>
      <c r="DE208" s="108" t="str">
        <f aca="false">$CQ208</f>
        <v/>
      </c>
      <c r="DF208" s="106" t="str">
        <f aca="false">IF(ISBLANK($C208),"",$CT208)</f>
        <v/>
      </c>
      <c r="DG208" s="109" t="str">
        <f aca="false">IF($CX208&gt;$CW$8,"",VLOOKUP($CX208,$CZ$9:$DF$508,7,FALSE()))</f>
        <v/>
      </c>
      <c r="DH208" s="110" t="str">
        <f aca="false">IF($CX208&gt;$CW$8,"",VLOOKUP($CX208,$CZ$9:$DF$508,2,FALSE()))</f>
        <v/>
      </c>
      <c r="DI208" s="110" t="str">
        <f aca="false">IF($CX208&gt;$CW$8,"",VLOOKUP($CX208,$CZ$9:$DF$508,3,FALSE()))</f>
        <v/>
      </c>
      <c r="DJ208" s="110" t="str">
        <f aca="false">IF($CX208&gt;$CW$8,"",VLOOKUP($CX208,$CZ$9:$DF$508,4,FALSE()))</f>
        <v/>
      </c>
      <c r="DK208" s="110" t="str">
        <f aca="false">IF($CX208&gt;$CW$8,"",VLOOKUP($CX208,$CZ$9:$DF$508,5,FALSE()))</f>
        <v/>
      </c>
      <c r="DL208" s="111" t="str">
        <f aca="false">IF($CX208&gt;$CW$8,"",VLOOKUP($CX208,$CZ$9:$DF$508,6,FALSE()))</f>
        <v/>
      </c>
      <c r="DM208" s="75"/>
    </row>
    <row r="209" customFormat="false" ht="15.75" hidden="false" customHeight="false" outlineLevel="0" collapsed="false">
      <c r="A209" s="9"/>
      <c r="B209" s="77"/>
      <c r="C209" s="78"/>
      <c r="D209" s="167"/>
      <c r="E209" s="175"/>
      <c r="F209" s="169"/>
      <c r="G209" s="170"/>
      <c r="H209" s="170"/>
      <c r="I209" s="176"/>
      <c r="J209" s="173"/>
      <c r="K209" s="85"/>
      <c r="L209" s="86"/>
      <c r="M209" s="87"/>
      <c r="N209" s="173"/>
      <c r="O209" s="173"/>
      <c r="P209" s="175"/>
      <c r="Q209" s="173"/>
      <c r="R209" s="173"/>
      <c r="S209" s="85"/>
      <c r="T209" s="87"/>
      <c r="U209" s="87"/>
      <c r="V209" s="173"/>
      <c r="W209" s="173"/>
      <c r="X209" s="175"/>
      <c r="Y209" s="173"/>
      <c r="Z209" s="174"/>
      <c r="AA209" s="173"/>
      <c r="AB209" s="91"/>
      <c r="AC209" s="92"/>
      <c r="AD209" s="92"/>
      <c r="AE209" s="92"/>
      <c r="AF209" s="92" t="str">
        <f aca="false">IF(ISBLANK($C209),"",IF(E209=Constants!$B$3,TRUE(),IF(E209=Constants!$B$4,FALSE(),TRUE())))</f>
        <v/>
      </c>
      <c r="AG209" s="92" t="str">
        <f aca="false">IF(ISBLANK($C209),"",IF(F209=Constants!$B$3,TRUE(),IF(F209=Constants!$B$4,FALSE(),TRUE())))</f>
        <v/>
      </c>
      <c r="AH209" s="92" t="str">
        <f aca="false">IF(ISBLANK($C209),"",IF(G209=Constants!$B$3,TRUE(),IF(G209=Constants!$B$4,FALSE(),TRUE())))</f>
        <v/>
      </c>
      <c r="AI209" s="92" t="str">
        <f aca="false">IF(ISBLANK($C209),"",IF(AND(ISNUMBER(H209),H209&gt;=0),H209,Constants!$B$29))</f>
        <v/>
      </c>
      <c r="AJ209" s="92" t="str">
        <f aca="false">IF(ISBLANK($C209),"",IF(I209=Constants!$B$3,TRUE(),IF(I209=Constants!$B$4,FALSE(),TRUE())))</f>
        <v/>
      </c>
      <c r="AK209" s="92" t="str">
        <f aca="false">IF(ISBLANK($C209),"",IF(J209=Constants!$B$3,TRUE(),IF(J209=Constants!$B$4,FALSE(),TRUE())))</f>
        <v/>
      </c>
      <c r="AL209" s="92" t="str">
        <f aca="false">IF(ISBLANK($C209),"",IF(K209=Constants!$B$5,TRUE(),IF(K209=Constants!$B$6,FALSE(),COUNTA(L209:P209)&gt;0)))</f>
        <v/>
      </c>
      <c r="AM209" s="94" t="str">
        <f aca="false">IF(ISBLANK($C209),"",IF(ISNUMBER(L209),IF(L209&gt;=0,L209,""),""))</f>
        <v/>
      </c>
      <c r="AN209" s="93" t="str">
        <f aca="false">IF(ISBLANK($C209),"",IF(ISNUMBER(M209),IF(M209&gt;=0,M209,""),""))</f>
        <v/>
      </c>
      <c r="AO209" s="93" t="str">
        <f aca="false">IF(ISBLANK($C209),"",IF(N209=Constants!$B$3,TRUE(),IF(N209=Constants!$B$4,FALSE(),TRUE())))</f>
        <v/>
      </c>
      <c r="AP209" s="92" t="str">
        <f aca="false">IF(ISBLANK($C209),"",IF(ISNUMBER(O209),IF(O209&gt;=0,O209,""),""))</f>
        <v/>
      </c>
      <c r="AQ209" s="92" t="str">
        <f aca="false">IF(ISBLANK($C209),"",IF(P209=Constants!$B$3,TRUE(),IF(P209=Constants!$B$4,FALSE(),FALSE())))</f>
        <v/>
      </c>
      <c r="AR209" s="92" t="str">
        <f aca="false">IF(ISBLANK($C209),"",IF(Q209=Constants!$B$3,TRUE(),IF(Q209=Constants!$B$4,FALSE(),TRUE())))</f>
        <v/>
      </c>
      <c r="AS209" s="92" t="str">
        <f aca="false">IF(ISBLANK($C209),"",IF(R209=Constants!$B$3,TRUE(),IF(R209=Constants!$B$4,FALSE(),TRUE())))</f>
        <v/>
      </c>
      <c r="AT209" s="92" t="str">
        <f aca="false">IF(ISBLANK($C209),"",IF(S209=Constants!$B$5,TRUE(),IF(S209=Constants!$B$6,FALSE(),COUNTA(T209:X209)&gt;0)))</f>
        <v/>
      </c>
      <c r="AU209" s="94" t="str">
        <f aca="false">IF(ISBLANK($C209),"",IF(ISNUMBER(T209),IF(T209&gt;=0,T209,""),""))</f>
        <v/>
      </c>
      <c r="AV209" s="93" t="str">
        <f aca="false">IF(ISBLANK($C209),"",IF(ISNUMBER(U209),IF(U209&gt;=0,U209,""),""))</f>
        <v/>
      </c>
      <c r="AW209" s="93" t="str">
        <f aca="false">IF(ISBLANK($C209),"",IF(V209=Constants!$B$3,TRUE(),IF(V209=Constants!$B$4,FALSE(),TRUE())))</f>
        <v/>
      </c>
      <c r="AX209" s="92" t="str">
        <f aca="false">IF(ISBLANK($C209),"",IF(ISNUMBER(W209),IF(W209&gt;=0,W209,""),""))</f>
        <v/>
      </c>
      <c r="AY209" s="92" t="str">
        <f aca="false">IF(ISBLANK($C209),"",IF(X209=Constants!$B$3,TRUE(),IF(X209=Constants!$B$4,FALSE(),FALSE())))</f>
        <v/>
      </c>
      <c r="AZ209" s="92" t="str">
        <f aca="false">IF(ISBLANK($C209),"",MIN(Constants!$B$31,MAX(0,IF(ISNUMBER(Y209),Y209*60,0)+IF(ISNUMBER(Z209),Z209,0))))</f>
        <v/>
      </c>
      <c r="BA209" s="92" t="str">
        <f aca="false">IF(ISBLANK($C209),"",IF(AA209=Constants!$B$3,TRUE(),IF(AA209=Constants!$B$4,FALSE(),FALSE())))</f>
        <v/>
      </c>
      <c r="BB209" s="91" t="str">
        <f aca="false">IF(ISBLANK($C209),"",AND($AL209,OR($AM209="",$AN209="",AND($AO209,$AP209=""))))</f>
        <v/>
      </c>
      <c r="BC209" s="93" t="str">
        <f aca="false">IF($BR209&lt;&gt;Constants!$B$8,"",IF($AL209,Constants!$B$21*$AN209+Constants!$B$22*IF($AO209,$AP209,Constants!$B$23),Constants!$B$24))</f>
        <v/>
      </c>
      <c r="BD209" s="96" t="str">
        <f aca="false">IF($BR209&lt;&gt;Constants!$B$8,"",Constants!$B$25*ABS($AD$9-IF($AL209,$AM209,0)))</f>
        <v/>
      </c>
      <c r="BE209" s="96" t="str">
        <f aca="false">IF($BR209&lt;&gt;Constants!$B$8,"",IF(AND($AL209,$AQ209,$AO209),Constants!$B$27,0))</f>
        <v/>
      </c>
      <c r="BF209" s="96" t="str">
        <f aca="false">IF($BR209&lt;&gt;Constants!$B$8,"",IF($AL209,($AI209-Constants!$B$29)*Constants!$B$28,0))</f>
        <v/>
      </c>
      <c r="BG209" s="96" t="str">
        <f aca="false">IF($BR209&lt;&gt;Constants!$B$8,"",IF($AK209,0,Constants!$B$15)+IF($AJ209,0,Constants!$B$16)+IF($AH209,0,Constants!$B$17))</f>
        <v/>
      </c>
      <c r="BH209" s="97" t="str">
        <f aca="false">IF($BR209&lt;&gt;Constants!$B$8,"",Constants!$B$20+SUM($BC209:$BG209))</f>
        <v/>
      </c>
      <c r="BI209" s="92" t="str">
        <f aca="false">IF($BR209&lt;&gt;Constants!$B$8,"",IF(OR($BP209&lt;$BH209,AND($BP209=$BH209,OR($BK209&lt;$BC209,AND($BK209=$BC209,OR($BL209&lt;$BD209,AND($BL209=$BD209,$AT209,$AL209,$AV209&lt;$AN209)))))),"-&gt;","&lt;-"))</f>
        <v/>
      </c>
      <c r="BJ209" s="91" t="str">
        <f aca="false">IF(ISBLANK($C209),"",AND($AT209,OR($AU209="",$AV209="",AND($AW209,$AX209=""))))</f>
        <v/>
      </c>
      <c r="BK209" s="93" t="str">
        <f aca="false">IF($BR209&lt;&gt;Constants!$B$8,"",IF($AT209,Constants!$B$21*$AV209+Constants!$B$22*IF($AW209,$AX209,Constants!$B$23),Constants!$B$24))</f>
        <v/>
      </c>
      <c r="BL209" s="96" t="str">
        <f aca="false">IF($BR209&lt;&gt;Constants!$B$8,"",Constants!$B$25*ABS($AD$9-IF($AT209,$AU209,0)))</f>
        <v/>
      </c>
      <c r="BM209" s="96" t="str">
        <f aca="false">IF($BR209&lt;&gt;Constants!$B$8,"",IF(AND($AT209,$AY209,$AW209),Constants!$B$27,0))</f>
        <v/>
      </c>
      <c r="BN209" s="96" t="str">
        <f aca="false">IF($BR209&lt;&gt;Constants!$B$8,"",IF($AT209,($AI209-Constants!$B$29)*Constants!$B$28,0))</f>
        <v/>
      </c>
      <c r="BO209" s="96" t="str">
        <f aca="false">IF($BR209&lt;&gt;Constants!$B$8,"",IF($AS209,0,Constants!$B$15)+IF($AR209,0,Constants!$B$16)+IF($AH209,0,Constants!$B$17))</f>
        <v/>
      </c>
      <c r="BP209" s="97" t="str">
        <f aca="false">IF($BR209&lt;&gt;Constants!$B$8,"",Constants!$B$20+SUM($BK209:$BO209))</f>
        <v/>
      </c>
      <c r="BQ209" s="92" t="str">
        <f aca="false">IF(ISBLANK($C209),"",IF(ISBLANK($D$7),$BQ$5,IF(NOT(ISNUMBER($D$7)),$BQ$6,"")))</f>
        <v/>
      </c>
      <c r="BR209" s="92" t="str">
        <f aca="false">IF(ISBLANK($C209),"",IF($BA209,Constants!$B$11,IF(COUNTA($E209:$AA209)=0,Constants!$B$10,IF(NOT($AG209),Constants!$B$9,IF(OR($BQ209&lt;&gt;"",$BB209,$BJ209),Constants!$B$12,Constants!$B$8)))))</f>
        <v/>
      </c>
      <c r="BS209" s="92" t="str">
        <f aca="false">IF(ISBLANK($C209),"",IF($BR209&lt;&gt;Constants!$B$8,$BR209,Constants!$B$13))</f>
        <v/>
      </c>
      <c r="BT209" s="96" t="str">
        <f aca="false">IF($BR209&lt;&gt;Constants!$B$8,"",IF($BI209="-&gt;",$BP209,$BH209))</f>
        <v/>
      </c>
      <c r="BU209" s="96" t="str">
        <f aca="false">IF($BR209&lt;&gt;Constants!$B$8,"",IF($AF209,0,Constants!$B$18))</f>
        <v/>
      </c>
      <c r="BV209" s="96" t="str">
        <f aca="false">IF($BR209&lt;&gt;Constants!$B$8,"",((Constants!$B$31-$AZ209)-Constants!$B$31)/Constants!$B$32)</f>
        <v/>
      </c>
      <c r="BW209" s="96" t="str">
        <f aca="false">IF(ISBLANK($C209),"",IF($BR209&lt;&gt;Constants!$B$8,$BR209,SUM($BT209:$BV209)))</f>
        <v/>
      </c>
      <c r="BX209" s="92" t="str">
        <f aca="false">IF(ISBLANK($C209),"",IF($BR209&lt;&gt;Constants!$B$8,$BR209,RANK($BW209,$BW$9:$BW$508,1)))</f>
        <v/>
      </c>
      <c r="BY209" s="96" t="str">
        <f aca="false">IF($BR209&lt;&gt;Constants!$B$8,"",IF($BI209="-&gt;",$BK209,$BC209))</f>
        <v/>
      </c>
      <c r="BZ209" s="92" t="str">
        <f aca="false">IF(ISBLANK($C209),"",IF($BR209&lt;&gt;Constants!$B$8,$BR209,IF(ISNUMBER($BY209),RANK($BY209,$BY$9:$BY$508,1),COUNT($BY$9:$BY$508)+1)))</f>
        <v/>
      </c>
      <c r="CA209" s="96" t="str">
        <f aca="false">IF($BR209&lt;&gt;Constants!$B$8,"",IF($BI209="-&gt;",$BL209,$BD209))</f>
        <v/>
      </c>
      <c r="CB209" s="92" t="str">
        <f aca="false">IF(ISBLANK($C209),"",IF($BR209&lt;&gt;Constants!$B$8,$BR209,IF(ISNUMBER($CA209),RANK($CA209,$CA$9:$CA$508,1),COUNT($CA$9:$CA$508)+1)))</f>
        <v/>
      </c>
      <c r="CC209" s="96" t="str">
        <f aca="false">IF($BR209&lt;&gt;Constants!$B$8,"",IF($BI209="-&gt;",IF($AT209,$AV209,""),IF($AL209,$AN209,"")))</f>
        <v/>
      </c>
      <c r="CD209" s="92" t="str">
        <f aca="false">IF(ISBLANK($C209),"",IF($BR209&lt;&gt;Constants!$B$8,$BR209,IF(ISNUMBER($CC209),RANK($CC209,$CC$9:$CC$508,1),COUNT($CC$9:$CC$508)+1)))</f>
        <v/>
      </c>
      <c r="CE209" s="96" t="str">
        <f aca="false">IF($BR209&lt;&gt;Constants!$B$8,"",IF(AND(NOT($AL209),NOT($AT209),$AJ209,$AK209,$AR209,$AS209),"",$AI209))</f>
        <v/>
      </c>
      <c r="CF209" s="92" t="str">
        <f aca="false">IF(ISBLANK($C209),"",IF($BR209&lt;&gt;Constants!$B$8,$BR209,IF(ISNUMBER($CE209),RANK($CE209,$CE$9:$CE$508,1),COUNT($CE$9:$CE$508)+1)))</f>
        <v/>
      </c>
      <c r="CG209" s="92" t="str">
        <f aca="false">IF(ISBLANK($C209),"",IF($BR209&lt;&gt;Constants!$B$8,$BR209,COUNTIFS($BX$9:$BX$508,"&lt;"&amp;$BX209)+COUNTIFS($BX$9:$BX$508,$BX209,$BZ$9:$BZ$508,"&lt;"&amp;$BZ209)+COUNTIFS($BX$9:$BX$508,$BX209,$BZ$9:$BZ$508,$BZ209,$CB$9:$CB$508,"&lt;"&amp;$CB209)+COUNTIFS($BX$9:$BX$508,$BX209,$BZ$9:$BZ$508,$BZ209,$CB$9:$CB$508,$CB209,$CD$9:$CD$508,"&lt;"&amp;$CD209)+COUNTIFS($BX$9:$BX$508,$BX209,$BZ$9:$BZ$508,$BZ209,$CB$9:$CB$508,$CB209,$CD$9:$CD$508,$CD209,$CF$9:$CF$508,"&lt;"&amp;$CF209)+1))</f>
        <v/>
      </c>
      <c r="CH209" s="92" t="str">
        <f aca="false">IF(ISBLANK($C209),"",IF($BR209&lt;&gt;Constants!$B$8,$BR209,$BX209-$CG209))</f>
        <v/>
      </c>
      <c r="CI209" s="98"/>
      <c r="CJ209" s="99"/>
      <c r="CK209" s="100" t="str">
        <f aca="false">IF(ISBLANK($C209),"",IF($BR209=Constants!$B$12,$BQ209,""))</f>
        <v/>
      </c>
      <c r="CL209" s="99" t="str">
        <f aca="false">IF(ISBLANK($C209),"",IF($BR209&lt;&gt;Constants!$B$8,"",IF($BI209="-&gt;",2,1)))</f>
        <v/>
      </c>
      <c r="CM209" s="101" t="str">
        <f aca="false">IF(ISBLANK($C209),"",IF($BR209&lt;&gt;Constants!$B$8,"",IF($BI209="-&gt;",$BK209,$BC209)))</f>
        <v/>
      </c>
      <c r="CN209" s="101" t="str">
        <f aca="false">IF(ISBLANK($C209),"",IF($BR209&lt;&gt;Constants!$B$8,"",IF($BI209="-&gt;",$BL209,$BD209)))</f>
        <v/>
      </c>
      <c r="CO209" s="101" t="str">
        <f aca="false">IF(ISBLANK($C209),"",IF($BR209&lt;&gt;Constants!$B$8,"",IF($BI209="-&gt;",$BM209+$BN209,$BE209+$BF209)+$BV209))</f>
        <v/>
      </c>
      <c r="CP209" s="101" t="str">
        <f aca="false">IF(ISBLANK($C209),"",IF($BR209&lt;&gt;Constants!$B$8,"",IF($BI209="-&gt;",$BO209,$BG209)+$BU209))</f>
        <v/>
      </c>
      <c r="CQ209" s="102" t="str">
        <f aca="false">IF(ISBLANK($C209),"",IF($BR209&lt;&gt;Constants!$B$8,$BR209,$BW209))</f>
        <v/>
      </c>
      <c r="CR209" s="103" t="str">
        <f aca="false">IF(ISBLANK($C209),"",$BS209)</f>
        <v/>
      </c>
      <c r="CS209" s="104" t="str">
        <f aca="false">IF(ISBLANK($C209),"",$CH209)</f>
        <v/>
      </c>
      <c r="CT209" s="104" t="str">
        <f aca="false">IF(ISBLANK($C209),"",$CG209)</f>
        <v/>
      </c>
      <c r="CU209" s="105" t="str">
        <f aca="false">IF(ISBLANK($C209),"",IFERROR(_xlfn.SWITCH($CT209,Constants!$B$11,COUNTA($C$9:$C$508)+2,Constants!$B$10,COUNTA($C$9:$C$508)+1,Constants!$B$9,COUNTA($C$9:$C$508)),$CT209))</f>
        <v/>
      </c>
      <c r="CV209" s="9"/>
      <c r="CW209" s="106" t="n">
        <f aca="false">IF(OR(ISNUMBER($CT209),$CT209=Constants!$B$11,$CT209=Constants!$B$9,$CT209=Constants!$B$10),1,0)</f>
        <v>0</v>
      </c>
      <c r="CX209" s="106" t="n">
        <v>201</v>
      </c>
      <c r="CY209" s="106" t="str">
        <f aca="false">IF(ISBLANK($C209),"",IF(ISNUMBER($CU209),$CU209+ROW($B209)/1000,""))</f>
        <v/>
      </c>
      <c r="CZ209" s="106" t="str">
        <f aca="false">IF(ISNUMBER($CY209),RANK($CY209,$CY$9:$CY$508,1),"")</f>
        <v/>
      </c>
      <c r="DA209" s="106" t="str">
        <f aca="false">IF(ISBLANK($C209),"",$B209)</f>
        <v/>
      </c>
      <c r="DB209" s="106" t="str">
        <f aca="false">IF(ISBLANK($C209),"",$C209)</f>
        <v/>
      </c>
      <c r="DC209" s="106" t="str">
        <f aca="false">IF(ISBLANK($C209),"",$D209)</f>
        <v/>
      </c>
      <c r="DD209" s="107" t="str">
        <f aca="false">$CR209</f>
        <v/>
      </c>
      <c r="DE209" s="108" t="str">
        <f aca="false">$CQ209</f>
        <v/>
      </c>
      <c r="DF209" s="106" t="str">
        <f aca="false">IF(ISBLANK($C209),"",$CT209)</f>
        <v/>
      </c>
      <c r="DG209" s="109" t="str">
        <f aca="false">IF($CX209&gt;$CW$8,"",VLOOKUP($CX209,$CZ$9:$DF$508,7,FALSE()))</f>
        <v/>
      </c>
      <c r="DH209" s="110" t="str">
        <f aca="false">IF($CX209&gt;$CW$8,"",VLOOKUP($CX209,$CZ$9:$DF$508,2,FALSE()))</f>
        <v/>
      </c>
      <c r="DI209" s="110" t="str">
        <f aca="false">IF($CX209&gt;$CW$8,"",VLOOKUP($CX209,$CZ$9:$DF$508,3,FALSE()))</f>
        <v/>
      </c>
      <c r="DJ209" s="110" t="str">
        <f aca="false">IF($CX209&gt;$CW$8,"",VLOOKUP($CX209,$CZ$9:$DF$508,4,FALSE()))</f>
        <v/>
      </c>
      <c r="DK209" s="110" t="str">
        <f aca="false">IF($CX209&gt;$CW$8,"",VLOOKUP($CX209,$CZ$9:$DF$508,5,FALSE()))</f>
        <v/>
      </c>
      <c r="DL209" s="111" t="str">
        <f aca="false">IF($CX209&gt;$CW$8,"",VLOOKUP($CX209,$CZ$9:$DF$508,6,FALSE()))</f>
        <v/>
      </c>
      <c r="DM209" s="75"/>
    </row>
    <row r="210" customFormat="false" ht="15.75" hidden="false" customHeight="false" outlineLevel="0" collapsed="false">
      <c r="A210" s="9"/>
      <c r="B210" s="157"/>
      <c r="C210" s="158"/>
      <c r="D210" s="159"/>
      <c r="E210" s="177"/>
      <c r="F210" s="161"/>
      <c r="G210" s="162"/>
      <c r="H210" s="162"/>
      <c r="I210" s="178"/>
      <c r="J210" s="165"/>
      <c r="K210" s="126"/>
      <c r="L210" s="127"/>
      <c r="M210" s="128"/>
      <c r="N210" s="165"/>
      <c r="O210" s="165"/>
      <c r="P210" s="177"/>
      <c r="Q210" s="165"/>
      <c r="R210" s="165"/>
      <c r="S210" s="126"/>
      <c r="T210" s="128"/>
      <c r="U210" s="128"/>
      <c r="V210" s="165"/>
      <c r="W210" s="165"/>
      <c r="X210" s="177"/>
      <c r="Y210" s="165"/>
      <c r="Z210" s="166"/>
      <c r="AA210" s="165"/>
      <c r="AB210" s="132"/>
      <c r="AC210" s="133"/>
      <c r="AD210" s="133"/>
      <c r="AE210" s="133"/>
      <c r="AF210" s="133" t="str">
        <f aca="false">IF(ISBLANK($C210),"",IF(E210=Constants!$B$3,TRUE(),IF(E210=Constants!$B$4,FALSE(),TRUE())))</f>
        <v/>
      </c>
      <c r="AG210" s="133" t="str">
        <f aca="false">IF(ISBLANK($C210),"",IF(F210=Constants!$B$3,TRUE(),IF(F210=Constants!$B$4,FALSE(),TRUE())))</f>
        <v/>
      </c>
      <c r="AH210" s="133" t="str">
        <f aca="false">IF(ISBLANK($C210),"",IF(G210=Constants!$B$3,TRUE(),IF(G210=Constants!$B$4,FALSE(),TRUE())))</f>
        <v/>
      </c>
      <c r="AI210" s="133" t="str">
        <f aca="false">IF(ISBLANK($C210),"",IF(AND(ISNUMBER(H210),H210&gt;=0),H210,Constants!$B$29))</f>
        <v/>
      </c>
      <c r="AJ210" s="133" t="str">
        <f aca="false">IF(ISBLANK($C210),"",IF(I210=Constants!$B$3,TRUE(),IF(I210=Constants!$B$4,FALSE(),TRUE())))</f>
        <v/>
      </c>
      <c r="AK210" s="133" t="str">
        <f aca="false">IF(ISBLANK($C210),"",IF(J210=Constants!$B$3,TRUE(),IF(J210=Constants!$B$4,FALSE(),TRUE())))</f>
        <v/>
      </c>
      <c r="AL210" s="133" t="str">
        <f aca="false">IF(ISBLANK($C210),"",IF(K210=Constants!$B$5,TRUE(),IF(K210=Constants!$B$6,FALSE(),COUNTA(L210:P210)&gt;0)))</f>
        <v/>
      </c>
      <c r="AM210" s="134" t="str">
        <f aca="false">IF(ISBLANK($C210),"",IF(ISNUMBER(L210),IF(L210&gt;=0,L210,""),""))</f>
        <v/>
      </c>
      <c r="AN210" s="135" t="str">
        <f aca="false">IF(ISBLANK($C210),"",IF(ISNUMBER(M210),IF(M210&gt;=0,M210,""),""))</f>
        <v/>
      </c>
      <c r="AO210" s="135" t="str">
        <f aca="false">IF(ISBLANK($C210),"",IF(N210=Constants!$B$3,TRUE(),IF(N210=Constants!$B$4,FALSE(),TRUE())))</f>
        <v/>
      </c>
      <c r="AP210" s="133" t="str">
        <f aca="false">IF(ISBLANK($C210),"",IF(ISNUMBER(O210),IF(O210&gt;=0,O210,""),""))</f>
        <v/>
      </c>
      <c r="AQ210" s="133" t="str">
        <f aca="false">IF(ISBLANK($C210),"",IF(P210=Constants!$B$3,TRUE(),IF(P210=Constants!$B$4,FALSE(),FALSE())))</f>
        <v/>
      </c>
      <c r="AR210" s="133" t="str">
        <f aca="false">IF(ISBLANK($C210),"",IF(Q210=Constants!$B$3,TRUE(),IF(Q210=Constants!$B$4,FALSE(),TRUE())))</f>
        <v/>
      </c>
      <c r="AS210" s="133" t="str">
        <f aca="false">IF(ISBLANK($C210),"",IF(R210=Constants!$B$3,TRUE(),IF(R210=Constants!$B$4,FALSE(),TRUE())))</f>
        <v/>
      </c>
      <c r="AT210" s="133" t="str">
        <f aca="false">IF(ISBLANK($C210),"",IF(S210=Constants!$B$5,TRUE(),IF(S210=Constants!$B$6,FALSE(),COUNTA(T210:X210)&gt;0)))</f>
        <v/>
      </c>
      <c r="AU210" s="134" t="str">
        <f aca="false">IF(ISBLANK($C210),"",IF(ISNUMBER(T210),IF(T210&gt;=0,T210,""),""))</f>
        <v/>
      </c>
      <c r="AV210" s="135" t="str">
        <f aca="false">IF(ISBLANK($C210),"",IF(ISNUMBER(U210),IF(U210&gt;=0,U210,""),""))</f>
        <v/>
      </c>
      <c r="AW210" s="135" t="str">
        <f aca="false">IF(ISBLANK($C210),"",IF(V210=Constants!$B$3,TRUE(),IF(V210=Constants!$B$4,FALSE(),TRUE())))</f>
        <v/>
      </c>
      <c r="AX210" s="133" t="str">
        <f aca="false">IF(ISBLANK($C210),"",IF(ISNUMBER(W210),IF(W210&gt;=0,W210,""),""))</f>
        <v/>
      </c>
      <c r="AY210" s="133" t="str">
        <f aca="false">IF(ISBLANK($C210),"",IF(X210=Constants!$B$3,TRUE(),IF(X210=Constants!$B$4,FALSE(),FALSE())))</f>
        <v/>
      </c>
      <c r="AZ210" s="133" t="str">
        <f aca="false">IF(ISBLANK($C210),"",MIN(Constants!$B$31,MAX(0,IF(ISNUMBER(Y210),Y210*60,0)+IF(ISNUMBER(Z210),Z210,0))))</f>
        <v/>
      </c>
      <c r="BA210" s="133" t="str">
        <f aca="false">IF(ISBLANK($C210),"",IF(AA210=Constants!$B$3,TRUE(),IF(AA210=Constants!$B$4,FALSE(),FALSE())))</f>
        <v/>
      </c>
      <c r="BB210" s="132" t="str">
        <f aca="false">IF(ISBLANK($C210),"",AND($AL210,OR($AM210="",$AN210="",AND($AO210,$AP210=""))))</f>
        <v/>
      </c>
      <c r="BC210" s="135" t="str">
        <f aca="false">IF($BR210&lt;&gt;Constants!$B$8,"",IF($AL210,Constants!$B$21*$AN210+Constants!$B$22*IF($AO210,$AP210,Constants!$B$23),Constants!$B$24))</f>
        <v/>
      </c>
      <c r="BD210" s="136" t="str">
        <f aca="false">IF($BR210&lt;&gt;Constants!$B$8,"",Constants!$B$25*ABS($AD$9-IF($AL210,$AM210,0)))</f>
        <v/>
      </c>
      <c r="BE210" s="136" t="str">
        <f aca="false">IF($BR210&lt;&gt;Constants!$B$8,"",IF(AND($AL210,$AQ210,$AO210),Constants!$B$27,0))</f>
        <v/>
      </c>
      <c r="BF210" s="136" t="str">
        <f aca="false">IF($BR210&lt;&gt;Constants!$B$8,"",IF($AL210,($AI210-Constants!$B$29)*Constants!$B$28,0))</f>
        <v/>
      </c>
      <c r="BG210" s="136" t="str">
        <f aca="false">IF($BR210&lt;&gt;Constants!$B$8,"",IF($AK210,0,Constants!$B$15)+IF($AJ210,0,Constants!$B$16)+IF($AH210,0,Constants!$B$17))</f>
        <v/>
      </c>
      <c r="BH210" s="137" t="str">
        <f aca="false">IF($BR210&lt;&gt;Constants!$B$8,"",Constants!$B$20+SUM($BC210:$BG210))</f>
        <v/>
      </c>
      <c r="BI210" s="133" t="str">
        <f aca="false">IF($BR210&lt;&gt;Constants!$B$8,"",IF(OR($BP210&lt;$BH210,AND($BP210=$BH210,OR($BK210&lt;$BC210,AND($BK210=$BC210,OR($BL210&lt;$BD210,AND($BL210=$BD210,$AT210,$AL210,$AV210&lt;$AN210)))))),"-&gt;","&lt;-"))</f>
        <v/>
      </c>
      <c r="BJ210" s="132" t="str">
        <f aca="false">IF(ISBLANK($C210),"",AND($AT210,OR($AU210="",$AV210="",AND($AW210,$AX210=""))))</f>
        <v/>
      </c>
      <c r="BK210" s="135" t="str">
        <f aca="false">IF($BR210&lt;&gt;Constants!$B$8,"",IF($AT210,Constants!$B$21*$AV210+Constants!$B$22*IF($AW210,$AX210,Constants!$B$23),Constants!$B$24))</f>
        <v/>
      </c>
      <c r="BL210" s="136" t="str">
        <f aca="false">IF($BR210&lt;&gt;Constants!$B$8,"",Constants!$B$25*ABS($AD$9-IF($AT210,$AU210,0)))</f>
        <v/>
      </c>
      <c r="BM210" s="136" t="str">
        <f aca="false">IF($BR210&lt;&gt;Constants!$B$8,"",IF(AND($AT210,$AY210,$AW210),Constants!$B$27,0))</f>
        <v/>
      </c>
      <c r="BN210" s="136" t="str">
        <f aca="false">IF($BR210&lt;&gt;Constants!$B$8,"",IF($AT210,($AI210-Constants!$B$29)*Constants!$B$28,0))</f>
        <v/>
      </c>
      <c r="BO210" s="136" t="str">
        <f aca="false">IF($BR210&lt;&gt;Constants!$B$8,"",IF($AS210,0,Constants!$B$15)+IF($AR210,0,Constants!$B$16)+IF($AH210,0,Constants!$B$17))</f>
        <v/>
      </c>
      <c r="BP210" s="137" t="str">
        <f aca="false">IF($BR210&lt;&gt;Constants!$B$8,"",Constants!$B$20+SUM($BK210:$BO210))</f>
        <v/>
      </c>
      <c r="BQ210" s="133" t="str">
        <f aca="false">IF(ISBLANK($C210),"",IF(ISBLANK($D$7),$BQ$5,IF(NOT(ISNUMBER($D$7)),$BQ$6,"")))</f>
        <v/>
      </c>
      <c r="BR210" s="133" t="str">
        <f aca="false">IF(ISBLANK($C210),"",IF($BA210,Constants!$B$11,IF(COUNTA($E210:$AA210)=0,Constants!$B$10,IF(NOT($AG210),Constants!$B$9,IF(OR($BQ210&lt;&gt;"",$BB210,$BJ210),Constants!$B$12,Constants!$B$8)))))</f>
        <v/>
      </c>
      <c r="BS210" s="133" t="str">
        <f aca="false">IF(ISBLANK($C210),"",IF($BR210&lt;&gt;Constants!$B$8,$BR210,Constants!$B$13))</f>
        <v/>
      </c>
      <c r="BT210" s="136" t="str">
        <f aca="false">IF($BR210&lt;&gt;Constants!$B$8,"",IF($BI210="-&gt;",$BP210,$BH210))</f>
        <v/>
      </c>
      <c r="BU210" s="136" t="str">
        <f aca="false">IF($BR210&lt;&gt;Constants!$B$8,"",IF($AF210,0,Constants!$B$18))</f>
        <v/>
      </c>
      <c r="BV210" s="136" t="str">
        <f aca="false">IF($BR210&lt;&gt;Constants!$B$8,"",((Constants!$B$31-$AZ210)-Constants!$B$31)/Constants!$B$32)</f>
        <v/>
      </c>
      <c r="BW210" s="136" t="str">
        <f aca="false">IF(ISBLANK($C210),"",IF($BR210&lt;&gt;Constants!$B$8,$BR210,SUM($BT210:$BV210)))</f>
        <v/>
      </c>
      <c r="BX210" s="133" t="str">
        <f aca="false">IF(ISBLANK($C210),"",IF($BR210&lt;&gt;Constants!$B$8,$BR210,RANK($BW210,$BW$9:$BW$508,1)))</f>
        <v/>
      </c>
      <c r="BY210" s="136" t="str">
        <f aca="false">IF($BR210&lt;&gt;Constants!$B$8,"",IF($BI210="-&gt;",$BK210,$BC210))</f>
        <v/>
      </c>
      <c r="BZ210" s="133" t="str">
        <f aca="false">IF(ISBLANK($C210),"",IF($BR210&lt;&gt;Constants!$B$8,$BR210,IF(ISNUMBER($BY210),RANK($BY210,$BY$9:$BY$508,1),COUNT($BY$9:$BY$508)+1)))</f>
        <v/>
      </c>
      <c r="CA210" s="136" t="str">
        <f aca="false">IF($BR210&lt;&gt;Constants!$B$8,"",IF($BI210="-&gt;",$BL210,$BD210))</f>
        <v/>
      </c>
      <c r="CB210" s="133" t="str">
        <f aca="false">IF(ISBLANK($C210),"",IF($BR210&lt;&gt;Constants!$B$8,$BR210,IF(ISNUMBER($CA210),RANK($CA210,$CA$9:$CA$508,1),COUNT($CA$9:$CA$508)+1)))</f>
        <v/>
      </c>
      <c r="CC210" s="136" t="str">
        <f aca="false">IF($BR210&lt;&gt;Constants!$B$8,"",IF($BI210="-&gt;",IF($AT210,$AV210,""),IF($AL210,$AN210,"")))</f>
        <v/>
      </c>
      <c r="CD210" s="133" t="str">
        <f aca="false">IF(ISBLANK($C210),"",IF($BR210&lt;&gt;Constants!$B$8,$BR210,IF(ISNUMBER($CC210),RANK($CC210,$CC$9:$CC$508,1),COUNT($CC$9:$CC$508)+1)))</f>
        <v/>
      </c>
      <c r="CE210" s="136" t="str">
        <f aca="false">IF($BR210&lt;&gt;Constants!$B$8,"",IF(AND(NOT($AL210),NOT($AT210),$AJ210,$AK210,$AR210,$AS210),"",$AI210))</f>
        <v/>
      </c>
      <c r="CF210" s="133" t="str">
        <f aca="false">IF(ISBLANK($C210),"",IF($BR210&lt;&gt;Constants!$B$8,$BR210,IF(ISNUMBER($CE210),RANK($CE210,$CE$9:$CE$508,1),COUNT($CE$9:$CE$508)+1)))</f>
        <v/>
      </c>
      <c r="CG210" s="133" t="str">
        <f aca="false">IF(ISBLANK($C210),"",IF($BR210&lt;&gt;Constants!$B$8,$BR210,COUNTIFS($BX$9:$BX$508,"&lt;"&amp;$BX210)+COUNTIFS($BX$9:$BX$508,$BX210,$BZ$9:$BZ$508,"&lt;"&amp;$BZ210)+COUNTIFS($BX$9:$BX$508,$BX210,$BZ$9:$BZ$508,$BZ210,$CB$9:$CB$508,"&lt;"&amp;$CB210)+COUNTIFS($BX$9:$BX$508,$BX210,$BZ$9:$BZ$508,$BZ210,$CB$9:$CB$508,$CB210,$CD$9:$CD$508,"&lt;"&amp;$CD210)+COUNTIFS($BX$9:$BX$508,$BX210,$BZ$9:$BZ$508,$BZ210,$CB$9:$CB$508,$CB210,$CD$9:$CD$508,$CD210,$CF$9:$CF$508,"&lt;"&amp;$CF210)+1))</f>
        <v/>
      </c>
      <c r="CH210" s="133" t="str">
        <f aca="false">IF(ISBLANK($C210),"",IF($BR210&lt;&gt;Constants!$B$8,$BR210,$BX210-$CG210))</f>
        <v/>
      </c>
      <c r="CI210" s="138"/>
      <c r="CJ210" s="139"/>
      <c r="CK210" s="140" t="str">
        <f aca="false">IF(ISBLANK($C210),"",IF($BR210=Constants!$B$12,$BQ210,""))</f>
        <v/>
      </c>
      <c r="CL210" s="139" t="str">
        <f aca="false">IF(ISBLANK($C210),"",IF($BR210&lt;&gt;Constants!$B$8,"",IF($BI210="-&gt;",2,1)))</f>
        <v/>
      </c>
      <c r="CM210" s="141" t="str">
        <f aca="false">IF(ISBLANK($C210),"",IF($BR210&lt;&gt;Constants!$B$8,"",IF($BI210="-&gt;",$BK210,$BC210)))</f>
        <v/>
      </c>
      <c r="CN210" s="141" t="str">
        <f aca="false">IF(ISBLANK($C210),"",IF($BR210&lt;&gt;Constants!$B$8,"",IF($BI210="-&gt;",$BL210,$BD210)))</f>
        <v/>
      </c>
      <c r="CO210" s="141" t="str">
        <f aca="false">IF(ISBLANK($C210),"",IF($BR210&lt;&gt;Constants!$B$8,"",IF($BI210="-&gt;",$BM210+$BN210,$BE210+$BF210)+$BV210))</f>
        <v/>
      </c>
      <c r="CP210" s="141" t="str">
        <f aca="false">IF(ISBLANK($C210),"",IF($BR210&lt;&gt;Constants!$B$8,"",IF($BI210="-&gt;",$BO210,$BG210)+$BU210))</f>
        <v/>
      </c>
      <c r="CQ210" s="142" t="str">
        <f aca="false">IF(ISBLANK($C210),"",IF($BR210&lt;&gt;Constants!$B$8,$BR210,$BW210))</f>
        <v/>
      </c>
      <c r="CR210" s="143" t="str">
        <f aca="false">IF(ISBLANK($C210),"",$BS210)</f>
        <v/>
      </c>
      <c r="CS210" s="144" t="str">
        <f aca="false">IF(ISBLANK($C210),"",$CH210)</f>
        <v/>
      </c>
      <c r="CT210" s="144" t="str">
        <f aca="false">IF(ISBLANK($C210),"",$CG210)</f>
        <v/>
      </c>
      <c r="CU210" s="145" t="str">
        <f aca="false">IF(ISBLANK($C210),"",IFERROR(_xlfn.SWITCH($CT210,Constants!$B$11,COUNTA($C$9:$C$508)+2,Constants!$B$10,COUNTA($C$9:$C$508)+1,Constants!$B$9,COUNTA($C$9:$C$508)),$CT210))</f>
        <v/>
      </c>
      <c r="CV210" s="9"/>
      <c r="CW210" s="146" t="n">
        <f aca="false">IF(OR(ISNUMBER($CT210),$CT210=Constants!$B$11,$CT210=Constants!$B$9,$CT210=Constants!$B$10),1,0)</f>
        <v>0</v>
      </c>
      <c r="CX210" s="146" t="n">
        <v>202</v>
      </c>
      <c r="CY210" s="146" t="str">
        <f aca="false">IF(ISBLANK($C210),"",IF(ISNUMBER($CU210),$CU210+ROW($B210)/1000,""))</f>
        <v/>
      </c>
      <c r="CZ210" s="146" t="str">
        <f aca="false">IF(ISNUMBER($CY210),RANK($CY210,$CY$9:$CY$508,1),"")</f>
        <v/>
      </c>
      <c r="DA210" s="146" t="str">
        <f aca="false">IF(ISBLANK($C210),"",$B210)</f>
        <v/>
      </c>
      <c r="DB210" s="146" t="str">
        <f aca="false">IF(ISBLANK($C210),"",$C210)</f>
        <v/>
      </c>
      <c r="DC210" s="146" t="str">
        <f aca="false">IF(ISBLANK($C210),"",$D210)</f>
        <v/>
      </c>
      <c r="DD210" s="147" t="str">
        <f aca="false">$CR210</f>
        <v/>
      </c>
      <c r="DE210" s="148" t="str">
        <f aca="false">$CQ210</f>
        <v/>
      </c>
      <c r="DF210" s="146" t="str">
        <f aca="false">IF(ISBLANK($C210),"",$CT210)</f>
        <v/>
      </c>
      <c r="DG210" s="149" t="str">
        <f aca="false">IF($CX210&gt;$CW$8,"",VLOOKUP($CX210,$CZ$9:$DF$508,7,FALSE()))</f>
        <v/>
      </c>
      <c r="DH210" s="150" t="str">
        <f aca="false">IF($CX210&gt;$CW$8,"",VLOOKUP($CX210,$CZ$9:$DF$508,2,FALSE()))</f>
        <v/>
      </c>
      <c r="DI210" s="150" t="str">
        <f aca="false">IF($CX210&gt;$CW$8,"",VLOOKUP($CX210,$CZ$9:$DF$508,3,FALSE()))</f>
        <v/>
      </c>
      <c r="DJ210" s="150" t="str">
        <f aca="false">IF($CX210&gt;$CW$8,"",VLOOKUP($CX210,$CZ$9:$DF$508,4,FALSE()))</f>
        <v/>
      </c>
      <c r="DK210" s="150" t="str">
        <f aca="false">IF($CX210&gt;$CW$8,"",VLOOKUP($CX210,$CZ$9:$DF$508,5,FALSE()))</f>
        <v/>
      </c>
      <c r="DL210" s="151" t="str">
        <f aca="false">IF($CX210&gt;$CW$8,"",VLOOKUP($CX210,$CZ$9:$DF$508,6,FALSE()))</f>
        <v/>
      </c>
      <c r="DM210" s="75"/>
    </row>
    <row r="211" customFormat="false" ht="15.75" hidden="false" customHeight="false" outlineLevel="0" collapsed="false">
      <c r="A211" s="9"/>
      <c r="B211" s="157"/>
      <c r="C211" s="158"/>
      <c r="D211" s="159"/>
      <c r="E211" s="177"/>
      <c r="F211" s="161"/>
      <c r="G211" s="162"/>
      <c r="H211" s="162"/>
      <c r="I211" s="178"/>
      <c r="J211" s="165"/>
      <c r="K211" s="126"/>
      <c r="L211" s="127"/>
      <c r="M211" s="128"/>
      <c r="N211" s="165"/>
      <c r="O211" s="165"/>
      <c r="P211" s="177"/>
      <c r="Q211" s="165"/>
      <c r="R211" s="165"/>
      <c r="S211" s="126"/>
      <c r="T211" s="128"/>
      <c r="U211" s="128"/>
      <c r="V211" s="165"/>
      <c r="W211" s="165"/>
      <c r="X211" s="177"/>
      <c r="Y211" s="165"/>
      <c r="Z211" s="166"/>
      <c r="AA211" s="165"/>
      <c r="AB211" s="132"/>
      <c r="AC211" s="133"/>
      <c r="AD211" s="133"/>
      <c r="AE211" s="133"/>
      <c r="AF211" s="133" t="str">
        <f aca="false">IF(ISBLANK($C211),"",IF(E211=Constants!$B$3,TRUE(),IF(E211=Constants!$B$4,FALSE(),TRUE())))</f>
        <v/>
      </c>
      <c r="AG211" s="133" t="str">
        <f aca="false">IF(ISBLANK($C211),"",IF(F211=Constants!$B$3,TRUE(),IF(F211=Constants!$B$4,FALSE(),TRUE())))</f>
        <v/>
      </c>
      <c r="AH211" s="133" t="str">
        <f aca="false">IF(ISBLANK($C211),"",IF(G211=Constants!$B$3,TRUE(),IF(G211=Constants!$B$4,FALSE(),TRUE())))</f>
        <v/>
      </c>
      <c r="AI211" s="133" t="str">
        <f aca="false">IF(ISBLANK($C211),"",IF(AND(ISNUMBER(H211),H211&gt;=0),H211,Constants!$B$29))</f>
        <v/>
      </c>
      <c r="AJ211" s="133" t="str">
        <f aca="false">IF(ISBLANK($C211),"",IF(I211=Constants!$B$3,TRUE(),IF(I211=Constants!$B$4,FALSE(),TRUE())))</f>
        <v/>
      </c>
      <c r="AK211" s="133" t="str">
        <f aca="false">IF(ISBLANK($C211),"",IF(J211=Constants!$B$3,TRUE(),IF(J211=Constants!$B$4,FALSE(),TRUE())))</f>
        <v/>
      </c>
      <c r="AL211" s="133" t="str">
        <f aca="false">IF(ISBLANK($C211),"",IF(K211=Constants!$B$5,TRUE(),IF(K211=Constants!$B$6,FALSE(),COUNTA(L211:P211)&gt;0)))</f>
        <v/>
      </c>
      <c r="AM211" s="134" t="str">
        <f aca="false">IF(ISBLANK($C211),"",IF(ISNUMBER(L211),IF(L211&gt;=0,L211,""),""))</f>
        <v/>
      </c>
      <c r="AN211" s="135" t="str">
        <f aca="false">IF(ISBLANK($C211),"",IF(ISNUMBER(M211),IF(M211&gt;=0,M211,""),""))</f>
        <v/>
      </c>
      <c r="AO211" s="135" t="str">
        <f aca="false">IF(ISBLANK($C211),"",IF(N211=Constants!$B$3,TRUE(),IF(N211=Constants!$B$4,FALSE(),TRUE())))</f>
        <v/>
      </c>
      <c r="AP211" s="133" t="str">
        <f aca="false">IF(ISBLANK($C211),"",IF(ISNUMBER(O211),IF(O211&gt;=0,O211,""),""))</f>
        <v/>
      </c>
      <c r="AQ211" s="133" t="str">
        <f aca="false">IF(ISBLANK($C211),"",IF(P211=Constants!$B$3,TRUE(),IF(P211=Constants!$B$4,FALSE(),FALSE())))</f>
        <v/>
      </c>
      <c r="AR211" s="133" t="str">
        <f aca="false">IF(ISBLANK($C211),"",IF(Q211=Constants!$B$3,TRUE(),IF(Q211=Constants!$B$4,FALSE(),TRUE())))</f>
        <v/>
      </c>
      <c r="AS211" s="133" t="str">
        <f aca="false">IF(ISBLANK($C211),"",IF(R211=Constants!$B$3,TRUE(),IF(R211=Constants!$B$4,FALSE(),TRUE())))</f>
        <v/>
      </c>
      <c r="AT211" s="133" t="str">
        <f aca="false">IF(ISBLANK($C211),"",IF(S211=Constants!$B$5,TRUE(),IF(S211=Constants!$B$6,FALSE(),COUNTA(T211:X211)&gt;0)))</f>
        <v/>
      </c>
      <c r="AU211" s="134" t="str">
        <f aca="false">IF(ISBLANK($C211),"",IF(ISNUMBER(T211),IF(T211&gt;=0,T211,""),""))</f>
        <v/>
      </c>
      <c r="AV211" s="135" t="str">
        <f aca="false">IF(ISBLANK($C211),"",IF(ISNUMBER(U211),IF(U211&gt;=0,U211,""),""))</f>
        <v/>
      </c>
      <c r="AW211" s="135" t="str">
        <f aca="false">IF(ISBLANK($C211),"",IF(V211=Constants!$B$3,TRUE(),IF(V211=Constants!$B$4,FALSE(),TRUE())))</f>
        <v/>
      </c>
      <c r="AX211" s="133" t="str">
        <f aca="false">IF(ISBLANK($C211),"",IF(ISNUMBER(W211),IF(W211&gt;=0,W211,""),""))</f>
        <v/>
      </c>
      <c r="AY211" s="133" t="str">
        <f aca="false">IF(ISBLANK($C211),"",IF(X211=Constants!$B$3,TRUE(),IF(X211=Constants!$B$4,FALSE(),FALSE())))</f>
        <v/>
      </c>
      <c r="AZ211" s="133" t="str">
        <f aca="false">IF(ISBLANK($C211),"",MIN(Constants!$B$31,MAX(0,IF(ISNUMBER(Y211),Y211*60,0)+IF(ISNUMBER(Z211),Z211,0))))</f>
        <v/>
      </c>
      <c r="BA211" s="133" t="str">
        <f aca="false">IF(ISBLANK($C211),"",IF(AA211=Constants!$B$3,TRUE(),IF(AA211=Constants!$B$4,FALSE(),FALSE())))</f>
        <v/>
      </c>
      <c r="BB211" s="132" t="str">
        <f aca="false">IF(ISBLANK($C211),"",AND($AL211,OR($AM211="",$AN211="",AND($AO211,$AP211=""))))</f>
        <v/>
      </c>
      <c r="BC211" s="135" t="str">
        <f aca="false">IF($BR211&lt;&gt;Constants!$B$8,"",IF($AL211,Constants!$B$21*$AN211+Constants!$B$22*IF($AO211,$AP211,Constants!$B$23),Constants!$B$24))</f>
        <v/>
      </c>
      <c r="BD211" s="136" t="str">
        <f aca="false">IF($BR211&lt;&gt;Constants!$B$8,"",Constants!$B$25*ABS($AD$9-IF($AL211,$AM211,0)))</f>
        <v/>
      </c>
      <c r="BE211" s="136" t="str">
        <f aca="false">IF($BR211&lt;&gt;Constants!$B$8,"",IF(AND($AL211,$AQ211,$AO211),Constants!$B$27,0))</f>
        <v/>
      </c>
      <c r="BF211" s="136" t="str">
        <f aca="false">IF($BR211&lt;&gt;Constants!$B$8,"",IF($AL211,($AI211-Constants!$B$29)*Constants!$B$28,0))</f>
        <v/>
      </c>
      <c r="BG211" s="136" t="str">
        <f aca="false">IF($BR211&lt;&gt;Constants!$B$8,"",IF($AK211,0,Constants!$B$15)+IF($AJ211,0,Constants!$B$16)+IF($AH211,0,Constants!$B$17))</f>
        <v/>
      </c>
      <c r="BH211" s="137" t="str">
        <f aca="false">IF($BR211&lt;&gt;Constants!$B$8,"",Constants!$B$20+SUM($BC211:$BG211))</f>
        <v/>
      </c>
      <c r="BI211" s="133" t="str">
        <f aca="false">IF($BR211&lt;&gt;Constants!$B$8,"",IF(OR($BP211&lt;$BH211,AND($BP211=$BH211,OR($BK211&lt;$BC211,AND($BK211=$BC211,OR($BL211&lt;$BD211,AND($BL211=$BD211,$AT211,$AL211,$AV211&lt;$AN211)))))),"-&gt;","&lt;-"))</f>
        <v/>
      </c>
      <c r="BJ211" s="132" t="str">
        <f aca="false">IF(ISBLANK($C211),"",AND($AT211,OR($AU211="",$AV211="",AND($AW211,$AX211=""))))</f>
        <v/>
      </c>
      <c r="BK211" s="135" t="str">
        <f aca="false">IF($BR211&lt;&gt;Constants!$B$8,"",IF($AT211,Constants!$B$21*$AV211+Constants!$B$22*IF($AW211,$AX211,Constants!$B$23),Constants!$B$24))</f>
        <v/>
      </c>
      <c r="BL211" s="136" t="str">
        <f aca="false">IF($BR211&lt;&gt;Constants!$B$8,"",Constants!$B$25*ABS($AD$9-IF($AT211,$AU211,0)))</f>
        <v/>
      </c>
      <c r="BM211" s="136" t="str">
        <f aca="false">IF($BR211&lt;&gt;Constants!$B$8,"",IF(AND($AT211,$AY211,$AW211),Constants!$B$27,0))</f>
        <v/>
      </c>
      <c r="BN211" s="136" t="str">
        <f aca="false">IF($BR211&lt;&gt;Constants!$B$8,"",IF($AT211,($AI211-Constants!$B$29)*Constants!$B$28,0))</f>
        <v/>
      </c>
      <c r="BO211" s="136" t="str">
        <f aca="false">IF($BR211&lt;&gt;Constants!$B$8,"",IF($AS211,0,Constants!$B$15)+IF($AR211,0,Constants!$B$16)+IF($AH211,0,Constants!$B$17))</f>
        <v/>
      </c>
      <c r="BP211" s="137" t="str">
        <f aca="false">IF($BR211&lt;&gt;Constants!$B$8,"",Constants!$B$20+SUM($BK211:$BO211))</f>
        <v/>
      </c>
      <c r="BQ211" s="133" t="str">
        <f aca="false">IF(ISBLANK($C211),"",IF(ISBLANK($D$7),$BQ$5,IF(NOT(ISNUMBER($D$7)),$BQ$6,"")))</f>
        <v/>
      </c>
      <c r="BR211" s="133" t="str">
        <f aca="false">IF(ISBLANK($C211),"",IF($BA211,Constants!$B$11,IF(COUNTA($E211:$AA211)=0,Constants!$B$10,IF(NOT($AG211),Constants!$B$9,IF(OR($BQ211&lt;&gt;"",$BB211,$BJ211),Constants!$B$12,Constants!$B$8)))))</f>
        <v/>
      </c>
      <c r="BS211" s="133" t="str">
        <f aca="false">IF(ISBLANK($C211),"",IF($BR211&lt;&gt;Constants!$B$8,$BR211,Constants!$B$13))</f>
        <v/>
      </c>
      <c r="BT211" s="136" t="str">
        <f aca="false">IF($BR211&lt;&gt;Constants!$B$8,"",IF($BI211="-&gt;",$BP211,$BH211))</f>
        <v/>
      </c>
      <c r="BU211" s="136" t="str">
        <f aca="false">IF($BR211&lt;&gt;Constants!$B$8,"",IF($AF211,0,Constants!$B$18))</f>
        <v/>
      </c>
      <c r="BV211" s="136" t="str">
        <f aca="false">IF($BR211&lt;&gt;Constants!$B$8,"",((Constants!$B$31-$AZ211)-Constants!$B$31)/Constants!$B$32)</f>
        <v/>
      </c>
      <c r="BW211" s="136" t="str">
        <f aca="false">IF(ISBLANK($C211),"",IF($BR211&lt;&gt;Constants!$B$8,$BR211,SUM($BT211:$BV211)))</f>
        <v/>
      </c>
      <c r="BX211" s="133" t="str">
        <f aca="false">IF(ISBLANK($C211),"",IF($BR211&lt;&gt;Constants!$B$8,$BR211,RANK($BW211,$BW$9:$BW$508,1)))</f>
        <v/>
      </c>
      <c r="BY211" s="136" t="str">
        <f aca="false">IF($BR211&lt;&gt;Constants!$B$8,"",IF($BI211="-&gt;",$BK211,$BC211))</f>
        <v/>
      </c>
      <c r="BZ211" s="133" t="str">
        <f aca="false">IF(ISBLANK($C211),"",IF($BR211&lt;&gt;Constants!$B$8,$BR211,IF(ISNUMBER($BY211),RANK($BY211,$BY$9:$BY$508,1),COUNT($BY$9:$BY$508)+1)))</f>
        <v/>
      </c>
      <c r="CA211" s="136" t="str">
        <f aca="false">IF($BR211&lt;&gt;Constants!$B$8,"",IF($BI211="-&gt;",$BL211,$BD211))</f>
        <v/>
      </c>
      <c r="CB211" s="133" t="str">
        <f aca="false">IF(ISBLANK($C211),"",IF($BR211&lt;&gt;Constants!$B$8,$BR211,IF(ISNUMBER($CA211),RANK($CA211,$CA$9:$CA$508,1),COUNT($CA$9:$CA$508)+1)))</f>
        <v/>
      </c>
      <c r="CC211" s="136" t="str">
        <f aca="false">IF($BR211&lt;&gt;Constants!$B$8,"",IF($BI211="-&gt;",IF($AT211,$AV211,""),IF($AL211,$AN211,"")))</f>
        <v/>
      </c>
      <c r="CD211" s="133" t="str">
        <f aca="false">IF(ISBLANK($C211),"",IF($BR211&lt;&gt;Constants!$B$8,$BR211,IF(ISNUMBER($CC211),RANK($CC211,$CC$9:$CC$508,1),COUNT($CC$9:$CC$508)+1)))</f>
        <v/>
      </c>
      <c r="CE211" s="136" t="str">
        <f aca="false">IF($BR211&lt;&gt;Constants!$B$8,"",IF(AND(NOT($AL211),NOT($AT211),$AJ211,$AK211,$AR211,$AS211),"",$AI211))</f>
        <v/>
      </c>
      <c r="CF211" s="133" t="str">
        <f aca="false">IF(ISBLANK($C211),"",IF($BR211&lt;&gt;Constants!$B$8,$BR211,IF(ISNUMBER($CE211),RANK($CE211,$CE$9:$CE$508,1),COUNT($CE$9:$CE$508)+1)))</f>
        <v/>
      </c>
      <c r="CG211" s="133" t="str">
        <f aca="false">IF(ISBLANK($C211),"",IF($BR211&lt;&gt;Constants!$B$8,$BR211,COUNTIFS($BX$9:$BX$508,"&lt;"&amp;$BX211)+COUNTIFS($BX$9:$BX$508,$BX211,$BZ$9:$BZ$508,"&lt;"&amp;$BZ211)+COUNTIFS($BX$9:$BX$508,$BX211,$BZ$9:$BZ$508,$BZ211,$CB$9:$CB$508,"&lt;"&amp;$CB211)+COUNTIFS($BX$9:$BX$508,$BX211,$BZ$9:$BZ$508,$BZ211,$CB$9:$CB$508,$CB211,$CD$9:$CD$508,"&lt;"&amp;$CD211)+COUNTIFS($BX$9:$BX$508,$BX211,$BZ$9:$BZ$508,$BZ211,$CB$9:$CB$508,$CB211,$CD$9:$CD$508,$CD211,$CF$9:$CF$508,"&lt;"&amp;$CF211)+1))</f>
        <v/>
      </c>
      <c r="CH211" s="133" t="str">
        <f aca="false">IF(ISBLANK($C211),"",IF($BR211&lt;&gt;Constants!$B$8,$BR211,$BX211-$CG211))</f>
        <v/>
      </c>
      <c r="CI211" s="138"/>
      <c r="CJ211" s="139"/>
      <c r="CK211" s="140" t="str">
        <f aca="false">IF(ISBLANK($C211),"",IF($BR211=Constants!$B$12,$BQ211,""))</f>
        <v/>
      </c>
      <c r="CL211" s="139" t="str">
        <f aca="false">IF(ISBLANK($C211),"",IF($BR211&lt;&gt;Constants!$B$8,"",IF($BI211="-&gt;",2,1)))</f>
        <v/>
      </c>
      <c r="CM211" s="141" t="str">
        <f aca="false">IF(ISBLANK($C211),"",IF($BR211&lt;&gt;Constants!$B$8,"",IF($BI211="-&gt;",$BK211,$BC211)))</f>
        <v/>
      </c>
      <c r="CN211" s="141" t="str">
        <f aca="false">IF(ISBLANK($C211),"",IF($BR211&lt;&gt;Constants!$B$8,"",IF($BI211="-&gt;",$BL211,$BD211)))</f>
        <v/>
      </c>
      <c r="CO211" s="141" t="str">
        <f aca="false">IF(ISBLANK($C211),"",IF($BR211&lt;&gt;Constants!$B$8,"",IF($BI211="-&gt;",$BM211+$BN211,$BE211+$BF211)+$BV211))</f>
        <v/>
      </c>
      <c r="CP211" s="141" t="str">
        <f aca="false">IF(ISBLANK($C211),"",IF($BR211&lt;&gt;Constants!$B$8,"",IF($BI211="-&gt;",$BO211,$BG211)+$BU211))</f>
        <v/>
      </c>
      <c r="CQ211" s="142" t="str">
        <f aca="false">IF(ISBLANK($C211),"",IF($BR211&lt;&gt;Constants!$B$8,$BR211,$BW211))</f>
        <v/>
      </c>
      <c r="CR211" s="143" t="str">
        <f aca="false">IF(ISBLANK($C211),"",$BS211)</f>
        <v/>
      </c>
      <c r="CS211" s="144" t="str">
        <f aca="false">IF(ISBLANK($C211),"",$CH211)</f>
        <v/>
      </c>
      <c r="CT211" s="144" t="str">
        <f aca="false">IF(ISBLANK($C211),"",$CG211)</f>
        <v/>
      </c>
      <c r="CU211" s="145" t="str">
        <f aca="false">IF(ISBLANK($C211),"",IFERROR(_xlfn.SWITCH($CT211,Constants!$B$11,COUNTA($C$9:$C$508)+2,Constants!$B$10,COUNTA($C$9:$C$508)+1,Constants!$B$9,COUNTA($C$9:$C$508)),$CT211))</f>
        <v/>
      </c>
      <c r="CV211" s="9"/>
      <c r="CW211" s="146" t="n">
        <f aca="false">IF(OR(ISNUMBER($CT211),$CT211=Constants!$B$11,$CT211=Constants!$B$9,$CT211=Constants!$B$10),1,0)</f>
        <v>0</v>
      </c>
      <c r="CX211" s="146" t="n">
        <v>203</v>
      </c>
      <c r="CY211" s="146" t="str">
        <f aca="false">IF(ISBLANK($C211),"",IF(ISNUMBER($CU211),$CU211+ROW($B211)/1000,""))</f>
        <v/>
      </c>
      <c r="CZ211" s="146" t="str">
        <f aca="false">IF(ISNUMBER($CY211),RANK($CY211,$CY$9:$CY$508,1),"")</f>
        <v/>
      </c>
      <c r="DA211" s="146" t="str">
        <f aca="false">IF(ISBLANK($C211),"",$B211)</f>
        <v/>
      </c>
      <c r="DB211" s="146" t="str">
        <f aca="false">IF(ISBLANK($C211),"",$C211)</f>
        <v/>
      </c>
      <c r="DC211" s="146" t="str">
        <f aca="false">IF(ISBLANK($C211),"",$D211)</f>
        <v/>
      </c>
      <c r="DD211" s="147" t="str">
        <f aca="false">$CR211</f>
        <v/>
      </c>
      <c r="DE211" s="148" t="str">
        <f aca="false">$CQ211</f>
        <v/>
      </c>
      <c r="DF211" s="146" t="str">
        <f aca="false">IF(ISBLANK($C211),"",$CT211)</f>
        <v/>
      </c>
      <c r="DG211" s="149" t="str">
        <f aca="false">IF($CX211&gt;$CW$8,"",VLOOKUP($CX211,$CZ$9:$DF$508,7,FALSE()))</f>
        <v/>
      </c>
      <c r="DH211" s="150" t="str">
        <f aca="false">IF($CX211&gt;$CW$8,"",VLOOKUP($CX211,$CZ$9:$DF$508,2,FALSE()))</f>
        <v/>
      </c>
      <c r="DI211" s="150" t="str">
        <f aca="false">IF($CX211&gt;$CW$8,"",VLOOKUP($CX211,$CZ$9:$DF$508,3,FALSE()))</f>
        <v/>
      </c>
      <c r="DJ211" s="150" t="str">
        <f aca="false">IF($CX211&gt;$CW$8,"",VLOOKUP($CX211,$CZ$9:$DF$508,4,FALSE()))</f>
        <v/>
      </c>
      <c r="DK211" s="150" t="str">
        <f aca="false">IF($CX211&gt;$CW$8,"",VLOOKUP($CX211,$CZ$9:$DF$508,5,FALSE()))</f>
        <v/>
      </c>
      <c r="DL211" s="151" t="str">
        <f aca="false">IF($CX211&gt;$CW$8,"",VLOOKUP($CX211,$CZ$9:$DF$508,6,FALSE()))</f>
        <v/>
      </c>
      <c r="DM211" s="75"/>
    </row>
    <row r="212" customFormat="false" ht="15.75" hidden="false" customHeight="false" outlineLevel="0" collapsed="false">
      <c r="A212" s="9"/>
      <c r="B212" s="157"/>
      <c r="C212" s="158"/>
      <c r="D212" s="159"/>
      <c r="E212" s="177"/>
      <c r="F212" s="161"/>
      <c r="G212" s="162"/>
      <c r="H212" s="162"/>
      <c r="I212" s="178"/>
      <c r="J212" s="165"/>
      <c r="K212" s="126"/>
      <c r="L212" s="127"/>
      <c r="M212" s="128"/>
      <c r="N212" s="165"/>
      <c r="O212" s="165"/>
      <c r="P212" s="177"/>
      <c r="Q212" s="165"/>
      <c r="R212" s="165"/>
      <c r="S212" s="126"/>
      <c r="T212" s="128"/>
      <c r="U212" s="128"/>
      <c r="V212" s="165"/>
      <c r="W212" s="165"/>
      <c r="X212" s="177"/>
      <c r="Y212" s="165"/>
      <c r="Z212" s="166"/>
      <c r="AA212" s="165"/>
      <c r="AB212" s="132"/>
      <c r="AC212" s="133"/>
      <c r="AD212" s="133"/>
      <c r="AE212" s="133"/>
      <c r="AF212" s="133" t="str">
        <f aca="false">IF(ISBLANK($C212),"",IF(E212=Constants!$B$3,TRUE(),IF(E212=Constants!$B$4,FALSE(),TRUE())))</f>
        <v/>
      </c>
      <c r="AG212" s="133" t="str">
        <f aca="false">IF(ISBLANK($C212),"",IF(F212=Constants!$B$3,TRUE(),IF(F212=Constants!$B$4,FALSE(),TRUE())))</f>
        <v/>
      </c>
      <c r="AH212" s="133" t="str">
        <f aca="false">IF(ISBLANK($C212),"",IF(G212=Constants!$B$3,TRUE(),IF(G212=Constants!$B$4,FALSE(),TRUE())))</f>
        <v/>
      </c>
      <c r="AI212" s="133" t="str">
        <f aca="false">IF(ISBLANK($C212),"",IF(AND(ISNUMBER(H212),H212&gt;=0),H212,Constants!$B$29))</f>
        <v/>
      </c>
      <c r="AJ212" s="133" t="str">
        <f aca="false">IF(ISBLANK($C212),"",IF(I212=Constants!$B$3,TRUE(),IF(I212=Constants!$B$4,FALSE(),TRUE())))</f>
        <v/>
      </c>
      <c r="AK212" s="133" t="str">
        <f aca="false">IF(ISBLANK($C212),"",IF(J212=Constants!$B$3,TRUE(),IF(J212=Constants!$B$4,FALSE(),TRUE())))</f>
        <v/>
      </c>
      <c r="AL212" s="133" t="str">
        <f aca="false">IF(ISBLANK($C212),"",IF(K212=Constants!$B$5,TRUE(),IF(K212=Constants!$B$6,FALSE(),COUNTA(L212:P212)&gt;0)))</f>
        <v/>
      </c>
      <c r="AM212" s="134" t="str">
        <f aca="false">IF(ISBLANK($C212),"",IF(ISNUMBER(L212),IF(L212&gt;=0,L212,""),""))</f>
        <v/>
      </c>
      <c r="AN212" s="135" t="str">
        <f aca="false">IF(ISBLANK($C212),"",IF(ISNUMBER(M212),IF(M212&gt;=0,M212,""),""))</f>
        <v/>
      </c>
      <c r="AO212" s="135" t="str">
        <f aca="false">IF(ISBLANK($C212),"",IF(N212=Constants!$B$3,TRUE(),IF(N212=Constants!$B$4,FALSE(),TRUE())))</f>
        <v/>
      </c>
      <c r="AP212" s="133" t="str">
        <f aca="false">IF(ISBLANK($C212),"",IF(ISNUMBER(O212),IF(O212&gt;=0,O212,""),""))</f>
        <v/>
      </c>
      <c r="AQ212" s="133" t="str">
        <f aca="false">IF(ISBLANK($C212),"",IF(P212=Constants!$B$3,TRUE(),IF(P212=Constants!$B$4,FALSE(),FALSE())))</f>
        <v/>
      </c>
      <c r="AR212" s="133" t="str">
        <f aca="false">IF(ISBLANK($C212),"",IF(Q212=Constants!$B$3,TRUE(),IF(Q212=Constants!$B$4,FALSE(),TRUE())))</f>
        <v/>
      </c>
      <c r="AS212" s="133" t="str">
        <f aca="false">IF(ISBLANK($C212),"",IF(R212=Constants!$B$3,TRUE(),IF(R212=Constants!$B$4,FALSE(),TRUE())))</f>
        <v/>
      </c>
      <c r="AT212" s="133" t="str">
        <f aca="false">IF(ISBLANK($C212),"",IF(S212=Constants!$B$5,TRUE(),IF(S212=Constants!$B$6,FALSE(),COUNTA(T212:X212)&gt;0)))</f>
        <v/>
      </c>
      <c r="AU212" s="134" t="str">
        <f aca="false">IF(ISBLANK($C212),"",IF(ISNUMBER(T212),IF(T212&gt;=0,T212,""),""))</f>
        <v/>
      </c>
      <c r="AV212" s="135" t="str">
        <f aca="false">IF(ISBLANK($C212),"",IF(ISNUMBER(U212),IF(U212&gt;=0,U212,""),""))</f>
        <v/>
      </c>
      <c r="AW212" s="135" t="str">
        <f aca="false">IF(ISBLANK($C212),"",IF(V212=Constants!$B$3,TRUE(),IF(V212=Constants!$B$4,FALSE(),TRUE())))</f>
        <v/>
      </c>
      <c r="AX212" s="133" t="str">
        <f aca="false">IF(ISBLANK($C212),"",IF(ISNUMBER(W212),IF(W212&gt;=0,W212,""),""))</f>
        <v/>
      </c>
      <c r="AY212" s="133" t="str">
        <f aca="false">IF(ISBLANK($C212),"",IF(X212=Constants!$B$3,TRUE(),IF(X212=Constants!$B$4,FALSE(),FALSE())))</f>
        <v/>
      </c>
      <c r="AZ212" s="133" t="str">
        <f aca="false">IF(ISBLANK($C212),"",MIN(Constants!$B$31,MAX(0,IF(ISNUMBER(Y212),Y212*60,0)+IF(ISNUMBER(Z212),Z212,0))))</f>
        <v/>
      </c>
      <c r="BA212" s="133" t="str">
        <f aca="false">IF(ISBLANK($C212),"",IF(AA212=Constants!$B$3,TRUE(),IF(AA212=Constants!$B$4,FALSE(),FALSE())))</f>
        <v/>
      </c>
      <c r="BB212" s="132" t="str">
        <f aca="false">IF(ISBLANK($C212),"",AND($AL212,OR($AM212="",$AN212="",AND($AO212,$AP212=""))))</f>
        <v/>
      </c>
      <c r="BC212" s="135" t="str">
        <f aca="false">IF($BR212&lt;&gt;Constants!$B$8,"",IF($AL212,Constants!$B$21*$AN212+Constants!$B$22*IF($AO212,$AP212,Constants!$B$23),Constants!$B$24))</f>
        <v/>
      </c>
      <c r="BD212" s="136" t="str">
        <f aca="false">IF($BR212&lt;&gt;Constants!$B$8,"",Constants!$B$25*ABS($AD$9-IF($AL212,$AM212,0)))</f>
        <v/>
      </c>
      <c r="BE212" s="136" t="str">
        <f aca="false">IF($BR212&lt;&gt;Constants!$B$8,"",IF(AND($AL212,$AQ212,$AO212),Constants!$B$27,0))</f>
        <v/>
      </c>
      <c r="BF212" s="136" t="str">
        <f aca="false">IF($BR212&lt;&gt;Constants!$B$8,"",IF($AL212,($AI212-Constants!$B$29)*Constants!$B$28,0))</f>
        <v/>
      </c>
      <c r="BG212" s="136" t="str">
        <f aca="false">IF($BR212&lt;&gt;Constants!$B$8,"",IF($AK212,0,Constants!$B$15)+IF($AJ212,0,Constants!$B$16)+IF($AH212,0,Constants!$B$17))</f>
        <v/>
      </c>
      <c r="BH212" s="137" t="str">
        <f aca="false">IF($BR212&lt;&gt;Constants!$B$8,"",Constants!$B$20+SUM($BC212:$BG212))</f>
        <v/>
      </c>
      <c r="BI212" s="133" t="str">
        <f aca="false">IF($BR212&lt;&gt;Constants!$B$8,"",IF(OR($BP212&lt;$BH212,AND($BP212=$BH212,OR($BK212&lt;$BC212,AND($BK212=$BC212,OR($BL212&lt;$BD212,AND($BL212=$BD212,$AT212,$AL212,$AV212&lt;$AN212)))))),"-&gt;","&lt;-"))</f>
        <v/>
      </c>
      <c r="BJ212" s="132" t="str">
        <f aca="false">IF(ISBLANK($C212),"",AND($AT212,OR($AU212="",$AV212="",AND($AW212,$AX212=""))))</f>
        <v/>
      </c>
      <c r="BK212" s="135" t="str">
        <f aca="false">IF($BR212&lt;&gt;Constants!$B$8,"",IF($AT212,Constants!$B$21*$AV212+Constants!$B$22*IF($AW212,$AX212,Constants!$B$23),Constants!$B$24))</f>
        <v/>
      </c>
      <c r="BL212" s="136" t="str">
        <f aca="false">IF($BR212&lt;&gt;Constants!$B$8,"",Constants!$B$25*ABS($AD$9-IF($AT212,$AU212,0)))</f>
        <v/>
      </c>
      <c r="BM212" s="136" t="str">
        <f aca="false">IF($BR212&lt;&gt;Constants!$B$8,"",IF(AND($AT212,$AY212,$AW212),Constants!$B$27,0))</f>
        <v/>
      </c>
      <c r="BN212" s="136" t="str">
        <f aca="false">IF($BR212&lt;&gt;Constants!$B$8,"",IF($AT212,($AI212-Constants!$B$29)*Constants!$B$28,0))</f>
        <v/>
      </c>
      <c r="BO212" s="136" t="str">
        <f aca="false">IF($BR212&lt;&gt;Constants!$B$8,"",IF($AS212,0,Constants!$B$15)+IF($AR212,0,Constants!$B$16)+IF($AH212,0,Constants!$B$17))</f>
        <v/>
      </c>
      <c r="BP212" s="137" t="str">
        <f aca="false">IF($BR212&lt;&gt;Constants!$B$8,"",Constants!$B$20+SUM($BK212:$BO212))</f>
        <v/>
      </c>
      <c r="BQ212" s="133" t="str">
        <f aca="false">IF(ISBLANK($C212),"",IF(ISBLANK($D$7),$BQ$5,IF(NOT(ISNUMBER($D$7)),$BQ$6,"")))</f>
        <v/>
      </c>
      <c r="BR212" s="133" t="str">
        <f aca="false">IF(ISBLANK($C212),"",IF($BA212,Constants!$B$11,IF(COUNTA($E212:$AA212)=0,Constants!$B$10,IF(NOT($AG212),Constants!$B$9,IF(OR($BQ212&lt;&gt;"",$BB212,$BJ212),Constants!$B$12,Constants!$B$8)))))</f>
        <v/>
      </c>
      <c r="BS212" s="133" t="str">
        <f aca="false">IF(ISBLANK($C212),"",IF($BR212&lt;&gt;Constants!$B$8,$BR212,Constants!$B$13))</f>
        <v/>
      </c>
      <c r="BT212" s="136" t="str">
        <f aca="false">IF($BR212&lt;&gt;Constants!$B$8,"",IF($BI212="-&gt;",$BP212,$BH212))</f>
        <v/>
      </c>
      <c r="BU212" s="136" t="str">
        <f aca="false">IF($BR212&lt;&gt;Constants!$B$8,"",IF($AF212,0,Constants!$B$18))</f>
        <v/>
      </c>
      <c r="BV212" s="136" t="str">
        <f aca="false">IF($BR212&lt;&gt;Constants!$B$8,"",((Constants!$B$31-$AZ212)-Constants!$B$31)/Constants!$B$32)</f>
        <v/>
      </c>
      <c r="BW212" s="136" t="str">
        <f aca="false">IF(ISBLANK($C212),"",IF($BR212&lt;&gt;Constants!$B$8,$BR212,SUM($BT212:$BV212)))</f>
        <v/>
      </c>
      <c r="BX212" s="133" t="str">
        <f aca="false">IF(ISBLANK($C212),"",IF($BR212&lt;&gt;Constants!$B$8,$BR212,RANK($BW212,$BW$9:$BW$508,1)))</f>
        <v/>
      </c>
      <c r="BY212" s="136" t="str">
        <f aca="false">IF($BR212&lt;&gt;Constants!$B$8,"",IF($BI212="-&gt;",$BK212,$BC212))</f>
        <v/>
      </c>
      <c r="BZ212" s="133" t="str">
        <f aca="false">IF(ISBLANK($C212),"",IF($BR212&lt;&gt;Constants!$B$8,$BR212,IF(ISNUMBER($BY212),RANK($BY212,$BY$9:$BY$508,1),COUNT($BY$9:$BY$508)+1)))</f>
        <v/>
      </c>
      <c r="CA212" s="136" t="str">
        <f aca="false">IF($BR212&lt;&gt;Constants!$B$8,"",IF($BI212="-&gt;",$BL212,$BD212))</f>
        <v/>
      </c>
      <c r="CB212" s="133" t="str">
        <f aca="false">IF(ISBLANK($C212),"",IF($BR212&lt;&gt;Constants!$B$8,$BR212,IF(ISNUMBER($CA212),RANK($CA212,$CA$9:$CA$508,1),COUNT($CA$9:$CA$508)+1)))</f>
        <v/>
      </c>
      <c r="CC212" s="136" t="str">
        <f aca="false">IF($BR212&lt;&gt;Constants!$B$8,"",IF($BI212="-&gt;",IF($AT212,$AV212,""),IF($AL212,$AN212,"")))</f>
        <v/>
      </c>
      <c r="CD212" s="133" t="str">
        <f aca="false">IF(ISBLANK($C212),"",IF($BR212&lt;&gt;Constants!$B$8,$BR212,IF(ISNUMBER($CC212),RANK($CC212,$CC$9:$CC$508,1),COUNT($CC$9:$CC$508)+1)))</f>
        <v/>
      </c>
      <c r="CE212" s="136" t="str">
        <f aca="false">IF($BR212&lt;&gt;Constants!$B$8,"",IF(AND(NOT($AL212),NOT($AT212),$AJ212,$AK212,$AR212,$AS212),"",$AI212))</f>
        <v/>
      </c>
      <c r="CF212" s="133" t="str">
        <f aca="false">IF(ISBLANK($C212),"",IF($BR212&lt;&gt;Constants!$B$8,$BR212,IF(ISNUMBER($CE212),RANK($CE212,$CE$9:$CE$508,1),COUNT($CE$9:$CE$508)+1)))</f>
        <v/>
      </c>
      <c r="CG212" s="133" t="str">
        <f aca="false">IF(ISBLANK($C212),"",IF($BR212&lt;&gt;Constants!$B$8,$BR212,COUNTIFS($BX$9:$BX$508,"&lt;"&amp;$BX212)+COUNTIFS($BX$9:$BX$508,$BX212,$BZ$9:$BZ$508,"&lt;"&amp;$BZ212)+COUNTIFS($BX$9:$BX$508,$BX212,$BZ$9:$BZ$508,$BZ212,$CB$9:$CB$508,"&lt;"&amp;$CB212)+COUNTIFS($BX$9:$BX$508,$BX212,$BZ$9:$BZ$508,$BZ212,$CB$9:$CB$508,$CB212,$CD$9:$CD$508,"&lt;"&amp;$CD212)+COUNTIFS($BX$9:$BX$508,$BX212,$BZ$9:$BZ$508,$BZ212,$CB$9:$CB$508,$CB212,$CD$9:$CD$508,$CD212,$CF$9:$CF$508,"&lt;"&amp;$CF212)+1))</f>
        <v/>
      </c>
      <c r="CH212" s="133" t="str">
        <f aca="false">IF(ISBLANK($C212),"",IF($BR212&lt;&gt;Constants!$B$8,$BR212,$BX212-$CG212))</f>
        <v/>
      </c>
      <c r="CI212" s="138"/>
      <c r="CJ212" s="139"/>
      <c r="CK212" s="140" t="str">
        <f aca="false">IF(ISBLANK($C212),"",IF($BR212=Constants!$B$12,$BQ212,""))</f>
        <v/>
      </c>
      <c r="CL212" s="139" t="str">
        <f aca="false">IF(ISBLANK($C212),"",IF($BR212&lt;&gt;Constants!$B$8,"",IF($BI212="-&gt;",2,1)))</f>
        <v/>
      </c>
      <c r="CM212" s="141" t="str">
        <f aca="false">IF(ISBLANK($C212),"",IF($BR212&lt;&gt;Constants!$B$8,"",IF($BI212="-&gt;",$BK212,$BC212)))</f>
        <v/>
      </c>
      <c r="CN212" s="141" t="str">
        <f aca="false">IF(ISBLANK($C212),"",IF($BR212&lt;&gt;Constants!$B$8,"",IF($BI212="-&gt;",$BL212,$BD212)))</f>
        <v/>
      </c>
      <c r="CO212" s="141" t="str">
        <f aca="false">IF(ISBLANK($C212),"",IF($BR212&lt;&gt;Constants!$B$8,"",IF($BI212="-&gt;",$BM212+$BN212,$BE212+$BF212)+$BV212))</f>
        <v/>
      </c>
      <c r="CP212" s="141" t="str">
        <f aca="false">IF(ISBLANK($C212),"",IF($BR212&lt;&gt;Constants!$B$8,"",IF($BI212="-&gt;",$BO212,$BG212)+$BU212))</f>
        <v/>
      </c>
      <c r="CQ212" s="142" t="str">
        <f aca="false">IF(ISBLANK($C212),"",IF($BR212&lt;&gt;Constants!$B$8,$BR212,$BW212))</f>
        <v/>
      </c>
      <c r="CR212" s="143" t="str">
        <f aca="false">IF(ISBLANK($C212),"",$BS212)</f>
        <v/>
      </c>
      <c r="CS212" s="144" t="str">
        <f aca="false">IF(ISBLANK($C212),"",$CH212)</f>
        <v/>
      </c>
      <c r="CT212" s="144" t="str">
        <f aca="false">IF(ISBLANK($C212),"",$CG212)</f>
        <v/>
      </c>
      <c r="CU212" s="145" t="str">
        <f aca="false">IF(ISBLANK($C212),"",IFERROR(_xlfn.SWITCH($CT212,Constants!$B$11,COUNTA($C$9:$C$508)+2,Constants!$B$10,COUNTA($C$9:$C$508)+1,Constants!$B$9,COUNTA($C$9:$C$508)),$CT212))</f>
        <v/>
      </c>
      <c r="CV212" s="9"/>
      <c r="CW212" s="146" t="n">
        <f aca="false">IF(OR(ISNUMBER($CT212),$CT212=Constants!$B$11,$CT212=Constants!$B$9,$CT212=Constants!$B$10),1,0)</f>
        <v>0</v>
      </c>
      <c r="CX212" s="146" t="n">
        <v>204</v>
      </c>
      <c r="CY212" s="146" t="str">
        <f aca="false">IF(ISBLANK($C212),"",IF(ISNUMBER($CU212),$CU212+ROW($B212)/1000,""))</f>
        <v/>
      </c>
      <c r="CZ212" s="146" t="str">
        <f aca="false">IF(ISNUMBER($CY212),RANK($CY212,$CY$9:$CY$508,1),"")</f>
        <v/>
      </c>
      <c r="DA212" s="146" t="str">
        <f aca="false">IF(ISBLANK($C212),"",$B212)</f>
        <v/>
      </c>
      <c r="DB212" s="146" t="str">
        <f aca="false">IF(ISBLANK($C212),"",$C212)</f>
        <v/>
      </c>
      <c r="DC212" s="146" t="str">
        <f aca="false">IF(ISBLANK($C212),"",$D212)</f>
        <v/>
      </c>
      <c r="DD212" s="147" t="str">
        <f aca="false">$CR212</f>
        <v/>
      </c>
      <c r="DE212" s="148" t="str">
        <f aca="false">$CQ212</f>
        <v/>
      </c>
      <c r="DF212" s="146" t="str">
        <f aca="false">IF(ISBLANK($C212),"",$CT212)</f>
        <v/>
      </c>
      <c r="DG212" s="149" t="str">
        <f aca="false">IF($CX212&gt;$CW$8,"",VLOOKUP($CX212,$CZ$9:$DF$508,7,FALSE()))</f>
        <v/>
      </c>
      <c r="DH212" s="150" t="str">
        <f aca="false">IF($CX212&gt;$CW$8,"",VLOOKUP($CX212,$CZ$9:$DF$508,2,FALSE()))</f>
        <v/>
      </c>
      <c r="DI212" s="150" t="str">
        <f aca="false">IF($CX212&gt;$CW$8,"",VLOOKUP($CX212,$CZ$9:$DF$508,3,FALSE()))</f>
        <v/>
      </c>
      <c r="DJ212" s="150" t="str">
        <f aca="false">IF($CX212&gt;$CW$8,"",VLOOKUP($CX212,$CZ$9:$DF$508,4,FALSE()))</f>
        <v/>
      </c>
      <c r="DK212" s="150" t="str">
        <f aca="false">IF($CX212&gt;$CW$8,"",VLOOKUP($CX212,$CZ$9:$DF$508,5,FALSE()))</f>
        <v/>
      </c>
      <c r="DL212" s="151" t="str">
        <f aca="false">IF($CX212&gt;$CW$8,"",VLOOKUP($CX212,$CZ$9:$DF$508,6,FALSE()))</f>
        <v/>
      </c>
      <c r="DM212" s="75"/>
    </row>
    <row r="213" customFormat="false" ht="15.75" hidden="false" customHeight="false" outlineLevel="0" collapsed="false">
      <c r="A213" s="9"/>
      <c r="B213" s="77"/>
      <c r="C213" s="78"/>
      <c r="D213" s="167"/>
      <c r="E213" s="175"/>
      <c r="F213" s="169"/>
      <c r="G213" s="170"/>
      <c r="H213" s="170"/>
      <c r="I213" s="176"/>
      <c r="J213" s="173"/>
      <c r="K213" s="85"/>
      <c r="L213" s="86"/>
      <c r="M213" s="87"/>
      <c r="N213" s="173"/>
      <c r="O213" s="173"/>
      <c r="P213" s="175"/>
      <c r="Q213" s="173"/>
      <c r="R213" s="173"/>
      <c r="S213" s="85"/>
      <c r="T213" s="87"/>
      <c r="U213" s="87"/>
      <c r="V213" s="173"/>
      <c r="W213" s="173"/>
      <c r="X213" s="175"/>
      <c r="Y213" s="173"/>
      <c r="Z213" s="174"/>
      <c r="AA213" s="173"/>
      <c r="AB213" s="91"/>
      <c r="AC213" s="92"/>
      <c r="AD213" s="92"/>
      <c r="AE213" s="92"/>
      <c r="AF213" s="92" t="str">
        <f aca="false">IF(ISBLANK($C213),"",IF(E213=Constants!$B$3,TRUE(),IF(E213=Constants!$B$4,FALSE(),TRUE())))</f>
        <v/>
      </c>
      <c r="AG213" s="92" t="str">
        <f aca="false">IF(ISBLANK($C213),"",IF(F213=Constants!$B$3,TRUE(),IF(F213=Constants!$B$4,FALSE(),TRUE())))</f>
        <v/>
      </c>
      <c r="AH213" s="92" t="str">
        <f aca="false">IF(ISBLANK($C213),"",IF(G213=Constants!$B$3,TRUE(),IF(G213=Constants!$B$4,FALSE(),TRUE())))</f>
        <v/>
      </c>
      <c r="AI213" s="92" t="str">
        <f aca="false">IF(ISBLANK($C213),"",IF(AND(ISNUMBER(H213),H213&gt;=0),H213,Constants!$B$29))</f>
        <v/>
      </c>
      <c r="AJ213" s="92" t="str">
        <f aca="false">IF(ISBLANK($C213),"",IF(I213=Constants!$B$3,TRUE(),IF(I213=Constants!$B$4,FALSE(),TRUE())))</f>
        <v/>
      </c>
      <c r="AK213" s="92" t="str">
        <f aca="false">IF(ISBLANK($C213),"",IF(J213=Constants!$B$3,TRUE(),IF(J213=Constants!$B$4,FALSE(),TRUE())))</f>
        <v/>
      </c>
      <c r="AL213" s="92" t="str">
        <f aca="false">IF(ISBLANK($C213),"",IF(K213=Constants!$B$5,TRUE(),IF(K213=Constants!$B$6,FALSE(),COUNTA(L213:P213)&gt;0)))</f>
        <v/>
      </c>
      <c r="AM213" s="94" t="str">
        <f aca="false">IF(ISBLANK($C213),"",IF(ISNUMBER(L213),IF(L213&gt;=0,L213,""),""))</f>
        <v/>
      </c>
      <c r="AN213" s="93" t="str">
        <f aca="false">IF(ISBLANK($C213),"",IF(ISNUMBER(M213),IF(M213&gt;=0,M213,""),""))</f>
        <v/>
      </c>
      <c r="AO213" s="93" t="str">
        <f aca="false">IF(ISBLANK($C213),"",IF(N213=Constants!$B$3,TRUE(),IF(N213=Constants!$B$4,FALSE(),TRUE())))</f>
        <v/>
      </c>
      <c r="AP213" s="92" t="str">
        <f aca="false">IF(ISBLANK($C213),"",IF(ISNUMBER(O213),IF(O213&gt;=0,O213,""),""))</f>
        <v/>
      </c>
      <c r="AQ213" s="92" t="str">
        <f aca="false">IF(ISBLANK($C213),"",IF(P213=Constants!$B$3,TRUE(),IF(P213=Constants!$B$4,FALSE(),FALSE())))</f>
        <v/>
      </c>
      <c r="AR213" s="92" t="str">
        <f aca="false">IF(ISBLANK($C213),"",IF(Q213=Constants!$B$3,TRUE(),IF(Q213=Constants!$B$4,FALSE(),TRUE())))</f>
        <v/>
      </c>
      <c r="AS213" s="92" t="str">
        <f aca="false">IF(ISBLANK($C213),"",IF(R213=Constants!$B$3,TRUE(),IF(R213=Constants!$B$4,FALSE(),TRUE())))</f>
        <v/>
      </c>
      <c r="AT213" s="92" t="str">
        <f aca="false">IF(ISBLANK($C213),"",IF(S213=Constants!$B$5,TRUE(),IF(S213=Constants!$B$6,FALSE(),COUNTA(T213:X213)&gt;0)))</f>
        <v/>
      </c>
      <c r="AU213" s="94" t="str">
        <f aca="false">IF(ISBLANK($C213),"",IF(ISNUMBER(T213),IF(T213&gt;=0,T213,""),""))</f>
        <v/>
      </c>
      <c r="AV213" s="93" t="str">
        <f aca="false">IF(ISBLANK($C213),"",IF(ISNUMBER(U213),IF(U213&gt;=0,U213,""),""))</f>
        <v/>
      </c>
      <c r="AW213" s="93" t="str">
        <f aca="false">IF(ISBLANK($C213),"",IF(V213=Constants!$B$3,TRUE(),IF(V213=Constants!$B$4,FALSE(),TRUE())))</f>
        <v/>
      </c>
      <c r="AX213" s="92" t="str">
        <f aca="false">IF(ISBLANK($C213),"",IF(ISNUMBER(W213),IF(W213&gt;=0,W213,""),""))</f>
        <v/>
      </c>
      <c r="AY213" s="92" t="str">
        <f aca="false">IF(ISBLANK($C213),"",IF(X213=Constants!$B$3,TRUE(),IF(X213=Constants!$B$4,FALSE(),FALSE())))</f>
        <v/>
      </c>
      <c r="AZ213" s="92" t="str">
        <f aca="false">IF(ISBLANK($C213),"",MIN(Constants!$B$31,MAX(0,IF(ISNUMBER(Y213),Y213*60,0)+IF(ISNUMBER(Z213),Z213,0))))</f>
        <v/>
      </c>
      <c r="BA213" s="92" t="str">
        <f aca="false">IF(ISBLANK($C213),"",IF(AA213=Constants!$B$3,TRUE(),IF(AA213=Constants!$B$4,FALSE(),FALSE())))</f>
        <v/>
      </c>
      <c r="BB213" s="91" t="str">
        <f aca="false">IF(ISBLANK($C213),"",AND($AL213,OR($AM213="",$AN213="",AND($AO213,$AP213=""))))</f>
        <v/>
      </c>
      <c r="BC213" s="93" t="str">
        <f aca="false">IF($BR213&lt;&gt;Constants!$B$8,"",IF($AL213,Constants!$B$21*$AN213+Constants!$B$22*IF($AO213,$AP213,Constants!$B$23),Constants!$B$24))</f>
        <v/>
      </c>
      <c r="BD213" s="96" t="str">
        <f aca="false">IF($BR213&lt;&gt;Constants!$B$8,"",Constants!$B$25*ABS($AD$9-IF($AL213,$AM213,0)))</f>
        <v/>
      </c>
      <c r="BE213" s="96" t="str">
        <f aca="false">IF($BR213&lt;&gt;Constants!$B$8,"",IF(AND($AL213,$AQ213,$AO213),Constants!$B$27,0))</f>
        <v/>
      </c>
      <c r="BF213" s="96" t="str">
        <f aca="false">IF($BR213&lt;&gt;Constants!$B$8,"",IF($AL213,($AI213-Constants!$B$29)*Constants!$B$28,0))</f>
        <v/>
      </c>
      <c r="BG213" s="96" t="str">
        <f aca="false">IF($BR213&lt;&gt;Constants!$B$8,"",IF($AK213,0,Constants!$B$15)+IF($AJ213,0,Constants!$B$16)+IF($AH213,0,Constants!$B$17))</f>
        <v/>
      </c>
      <c r="BH213" s="97" t="str">
        <f aca="false">IF($BR213&lt;&gt;Constants!$B$8,"",Constants!$B$20+SUM($BC213:$BG213))</f>
        <v/>
      </c>
      <c r="BI213" s="92" t="str">
        <f aca="false">IF($BR213&lt;&gt;Constants!$B$8,"",IF(OR($BP213&lt;$BH213,AND($BP213=$BH213,OR($BK213&lt;$BC213,AND($BK213=$BC213,OR($BL213&lt;$BD213,AND($BL213=$BD213,$AT213,$AL213,$AV213&lt;$AN213)))))),"-&gt;","&lt;-"))</f>
        <v/>
      </c>
      <c r="BJ213" s="91" t="str">
        <f aca="false">IF(ISBLANK($C213),"",AND($AT213,OR($AU213="",$AV213="",AND($AW213,$AX213=""))))</f>
        <v/>
      </c>
      <c r="BK213" s="93" t="str">
        <f aca="false">IF($BR213&lt;&gt;Constants!$B$8,"",IF($AT213,Constants!$B$21*$AV213+Constants!$B$22*IF($AW213,$AX213,Constants!$B$23),Constants!$B$24))</f>
        <v/>
      </c>
      <c r="BL213" s="96" t="str">
        <f aca="false">IF($BR213&lt;&gt;Constants!$B$8,"",Constants!$B$25*ABS($AD$9-IF($AT213,$AU213,0)))</f>
        <v/>
      </c>
      <c r="BM213" s="96" t="str">
        <f aca="false">IF($BR213&lt;&gt;Constants!$B$8,"",IF(AND($AT213,$AY213,$AW213),Constants!$B$27,0))</f>
        <v/>
      </c>
      <c r="BN213" s="96" t="str">
        <f aca="false">IF($BR213&lt;&gt;Constants!$B$8,"",IF($AT213,($AI213-Constants!$B$29)*Constants!$B$28,0))</f>
        <v/>
      </c>
      <c r="BO213" s="96" t="str">
        <f aca="false">IF($BR213&lt;&gt;Constants!$B$8,"",IF($AS213,0,Constants!$B$15)+IF($AR213,0,Constants!$B$16)+IF($AH213,0,Constants!$B$17))</f>
        <v/>
      </c>
      <c r="BP213" s="97" t="str">
        <f aca="false">IF($BR213&lt;&gt;Constants!$B$8,"",Constants!$B$20+SUM($BK213:$BO213))</f>
        <v/>
      </c>
      <c r="BQ213" s="92" t="str">
        <f aca="false">IF(ISBLANK($C213),"",IF(ISBLANK($D$7),$BQ$5,IF(NOT(ISNUMBER($D$7)),$BQ$6,"")))</f>
        <v/>
      </c>
      <c r="BR213" s="92" t="str">
        <f aca="false">IF(ISBLANK($C213),"",IF($BA213,Constants!$B$11,IF(COUNTA($E213:$AA213)=0,Constants!$B$10,IF(NOT($AG213),Constants!$B$9,IF(OR($BQ213&lt;&gt;"",$BB213,$BJ213),Constants!$B$12,Constants!$B$8)))))</f>
        <v/>
      </c>
      <c r="BS213" s="92" t="str">
        <f aca="false">IF(ISBLANK($C213),"",IF($BR213&lt;&gt;Constants!$B$8,$BR213,Constants!$B$13))</f>
        <v/>
      </c>
      <c r="BT213" s="96" t="str">
        <f aca="false">IF($BR213&lt;&gt;Constants!$B$8,"",IF($BI213="-&gt;",$BP213,$BH213))</f>
        <v/>
      </c>
      <c r="BU213" s="96" t="str">
        <f aca="false">IF($BR213&lt;&gt;Constants!$B$8,"",IF($AF213,0,Constants!$B$18))</f>
        <v/>
      </c>
      <c r="BV213" s="96" t="str">
        <f aca="false">IF($BR213&lt;&gt;Constants!$B$8,"",((Constants!$B$31-$AZ213)-Constants!$B$31)/Constants!$B$32)</f>
        <v/>
      </c>
      <c r="BW213" s="96" t="str">
        <f aca="false">IF(ISBLANK($C213),"",IF($BR213&lt;&gt;Constants!$B$8,$BR213,SUM($BT213:$BV213)))</f>
        <v/>
      </c>
      <c r="BX213" s="92" t="str">
        <f aca="false">IF(ISBLANK($C213),"",IF($BR213&lt;&gt;Constants!$B$8,$BR213,RANK($BW213,$BW$9:$BW$508,1)))</f>
        <v/>
      </c>
      <c r="BY213" s="96" t="str">
        <f aca="false">IF($BR213&lt;&gt;Constants!$B$8,"",IF($BI213="-&gt;",$BK213,$BC213))</f>
        <v/>
      </c>
      <c r="BZ213" s="92" t="str">
        <f aca="false">IF(ISBLANK($C213),"",IF($BR213&lt;&gt;Constants!$B$8,$BR213,IF(ISNUMBER($BY213),RANK($BY213,$BY$9:$BY$508,1),COUNT($BY$9:$BY$508)+1)))</f>
        <v/>
      </c>
      <c r="CA213" s="96" t="str">
        <f aca="false">IF($BR213&lt;&gt;Constants!$B$8,"",IF($BI213="-&gt;",$BL213,$BD213))</f>
        <v/>
      </c>
      <c r="CB213" s="92" t="str">
        <f aca="false">IF(ISBLANK($C213),"",IF($BR213&lt;&gt;Constants!$B$8,$BR213,IF(ISNUMBER($CA213),RANK($CA213,$CA$9:$CA$508,1),COUNT($CA$9:$CA$508)+1)))</f>
        <v/>
      </c>
      <c r="CC213" s="96" t="str">
        <f aca="false">IF($BR213&lt;&gt;Constants!$B$8,"",IF($BI213="-&gt;",IF($AT213,$AV213,""),IF($AL213,$AN213,"")))</f>
        <v/>
      </c>
      <c r="CD213" s="92" t="str">
        <f aca="false">IF(ISBLANK($C213),"",IF($BR213&lt;&gt;Constants!$B$8,$BR213,IF(ISNUMBER($CC213),RANK($CC213,$CC$9:$CC$508,1),COUNT($CC$9:$CC$508)+1)))</f>
        <v/>
      </c>
      <c r="CE213" s="96" t="str">
        <f aca="false">IF($BR213&lt;&gt;Constants!$B$8,"",IF(AND(NOT($AL213),NOT($AT213),$AJ213,$AK213,$AR213,$AS213),"",$AI213))</f>
        <v/>
      </c>
      <c r="CF213" s="92" t="str">
        <f aca="false">IF(ISBLANK($C213),"",IF($BR213&lt;&gt;Constants!$B$8,$BR213,IF(ISNUMBER($CE213),RANK($CE213,$CE$9:$CE$508,1),COUNT($CE$9:$CE$508)+1)))</f>
        <v/>
      </c>
      <c r="CG213" s="92" t="str">
        <f aca="false">IF(ISBLANK($C213),"",IF($BR213&lt;&gt;Constants!$B$8,$BR213,COUNTIFS($BX$9:$BX$508,"&lt;"&amp;$BX213)+COUNTIFS($BX$9:$BX$508,$BX213,$BZ$9:$BZ$508,"&lt;"&amp;$BZ213)+COUNTIFS($BX$9:$BX$508,$BX213,$BZ$9:$BZ$508,$BZ213,$CB$9:$CB$508,"&lt;"&amp;$CB213)+COUNTIFS($BX$9:$BX$508,$BX213,$BZ$9:$BZ$508,$BZ213,$CB$9:$CB$508,$CB213,$CD$9:$CD$508,"&lt;"&amp;$CD213)+COUNTIFS($BX$9:$BX$508,$BX213,$BZ$9:$BZ$508,$BZ213,$CB$9:$CB$508,$CB213,$CD$9:$CD$508,$CD213,$CF$9:$CF$508,"&lt;"&amp;$CF213)+1))</f>
        <v/>
      </c>
      <c r="CH213" s="92" t="str">
        <f aca="false">IF(ISBLANK($C213),"",IF($BR213&lt;&gt;Constants!$B$8,$BR213,$BX213-$CG213))</f>
        <v/>
      </c>
      <c r="CI213" s="98"/>
      <c r="CJ213" s="99"/>
      <c r="CK213" s="100" t="str">
        <f aca="false">IF(ISBLANK($C213),"",IF($BR213=Constants!$B$12,$BQ213,""))</f>
        <v/>
      </c>
      <c r="CL213" s="99" t="str">
        <f aca="false">IF(ISBLANK($C213),"",IF($BR213&lt;&gt;Constants!$B$8,"",IF($BI213="-&gt;",2,1)))</f>
        <v/>
      </c>
      <c r="CM213" s="101" t="str">
        <f aca="false">IF(ISBLANK($C213),"",IF($BR213&lt;&gt;Constants!$B$8,"",IF($BI213="-&gt;",$BK213,$BC213)))</f>
        <v/>
      </c>
      <c r="CN213" s="101" t="str">
        <f aca="false">IF(ISBLANK($C213),"",IF($BR213&lt;&gt;Constants!$B$8,"",IF($BI213="-&gt;",$BL213,$BD213)))</f>
        <v/>
      </c>
      <c r="CO213" s="101" t="str">
        <f aca="false">IF(ISBLANK($C213),"",IF($BR213&lt;&gt;Constants!$B$8,"",IF($BI213="-&gt;",$BM213+$BN213,$BE213+$BF213)+$BV213))</f>
        <v/>
      </c>
      <c r="CP213" s="101" t="str">
        <f aca="false">IF(ISBLANK($C213),"",IF($BR213&lt;&gt;Constants!$B$8,"",IF($BI213="-&gt;",$BO213,$BG213)+$BU213))</f>
        <v/>
      </c>
      <c r="CQ213" s="102" t="str">
        <f aca="false">IF(ISBLANK($C213),"",IF($BR213&lt;&gt;Constants!$B$8,$BR213,$BW213))</f>
        <v/>
      </c>
      <c r="CR213" s="103" t="str">
        <f aca="false">IF(ISBLANK($C213),"",$BS213)</f>
        <v/>
      </c>
      <c r="CS213" s="104" t="str">
        <f aca="false">IF(ISBLANK($C213),"",$CH213)</f>
        <v/>
      </c>
      <c r="CT213" s="104" t="str">
        <f aca="false">IF(ISBLANK($C213),"",$CG213)</f>
        <v/>
      </c>
      <c r="CU213" s="105" t="str">
        <f aca="false">IF(ISBLANK($C213),"",IFERROR(_xlfn.SWITCH($CT213,Constants!$B$11,COUNTA($C$9:$C$508)+2,Constants!$B$10,COUNTA($C$9:$C$508)+1,Constants!$B$9,COUNTA($C$9:$C$508)),$CT213))</f>
        <v/>
      </c>
      <c r="CV213" s="9"/>
      <c r="CW213" s="106" t="n">
        <f aca="false">IF(OR(ISNUMBER($CT213),$CT213=Constants!$B$11,$CT213=Constants!$B$9,$CT213=Constants!$B$10),1,0)</f>
        <v>0</v>
      </c>
      <c r="CX213" s="106" t="n">
        <v>205</v>
      </c>
      <c r="CY213" s="106" t="str">
        <f aca="false">IF(ISBLANK($C213),"",IF(ISNUMBER($CU213),$CU213+ROW($B213)/1000,""))</f>
        <v/>
      </c>
      <c r="CZ213" s="106" t="str">
        <f aca="false">IF(ISNUMBER($CY213),RANK($CY213,$CY$9:$CY$508,1),"")</f>
        <v/>
      </c>
      <c r="DA213" s="106" t="str">
        <f aca="false">IF(ISBLANK($C213),"",$B213)</f>
        <v/>
      </c>
      <c r="DB213" s="106" t="str">
        <f aca="false">IF(ISBLANK($C213),"",$C213)</f>
        <v/>
      </c>
      <c r="DC213" s="106" t="str">
        <f aca="false">IF(ISBLANK($C213),"",$D213)</f>
        <v/>
      </c>
      <c r="DD213" s="107" t="str">
        <f aca="false">$CR213</f>
        <v/>
      </c>
      <c r="DE213" s="108" t="str">
        <f aca="false">$CQ213</f>
        <v/>
      </c>
      <c r="DF213" s="106" t="str">
        <f aca="false">IF(ISBLANK($C213),"",$CT213)</f>
        <v/>
      </c>
      <c r="DG213" s="109" t="str">
        <f aca="false">IF($CX213&gt;$CW$8,"",VLOOKUP($CX213,$CZ$9:$DF$508,7,FALSE()))</f>
        <v/>
      </c>
      <c r="DH213" s="110" t="str">
        <f aca="false">IF($CX213&gt;$CW$8,"",VLOOKUP($CX213,$CZ$9:$DF$508,2,FALSE()))</f>
        <v/>
      </c>
      <c r="DI213" s="110" t="str">
        <f aca="false">IF($CX213&gt;$CW$8,"",VLOOKUP($CX213,$CZ$9:$DF$508,3,FALSE()))</f>
        <v/>
      </c>
      <c r="DJ213" s="110" t="str">
        <f aca="false">IF($CX213&gt;$CW$8,"",VLOOKUP($CX213,$CZ$9:$DF$508,4,FALSE()))</f>
        <v/>
      </c>
      <c r="DK213" s="110" t="str">
        <f aca="false">IF($CX213&gt;$CW$8,"",VLOOKUP($CX213,$CZ$9:$DF$508,5,FALSE()))</f>
        <v/>
      </c>
      <c r="DL213" s="111" t="str">
        <f aca="false">IF($CX213&gt;$CW$8,"",VLOOKUP($CX213,$CZ$9:$DF$508,6,FALSE()))</f>
        <v/>
      </c>
      <c r="DM213" s="75"/>
    </row>
    <row r="214" customFormat="false" ht="15.75" hidden="false" customHeight="false" outlineLevel="0" collapsed="false">
      <c r="A214" s="9"/>
      <c r="B214" s="77"/>
      <c r="C214" s="78"/>
      <c r="D214" s="167"/>
      <c r="E214" s="175"/>
      <c r="F214" s="169"/>
      <c r="G214" s="170"/>
      <c r="H214" s="170"/>
      <c r="I214" s="176"/>
      <c r="J214" s="173"/>
      <c r="K214" s="85"/>
      <c r="L214" s="86"/>
      <c r="M214" s="87"/>
      <c r="N214" s="173"/>
      <c r="O214" s="173"/>
      <c r="P214" s="175"/>
      <c r="Q214" s="173"/>
      <c r="R214" s="173"/>
      <c r="S214" s="85"/>
      <c r="T214" s="87"/>
      <c r="U214" s="87"/>
      <c r="V214" s="173"/>
      <c r="W214" s="173"/>
      <c r="X214" s="175"/>
      <c r="Y214" s="173"/>
      <c r="Z214" s="174"/>
      <c r="AA214" s="173"/>
      <c r="AB214" s="91"/>
      <c r="AC214" s="92"/>
      <c r="AD214" s="92"/>
      <c r="AE214" s="92"/>
      <c r="AF214" s="92" t="str">
        <f aca="false">IF(ISBLANK($C214),"",IF(E214=Constants!$B$3,TRUE(),IF(E214=Constants!$B$4,FALSE(),TRUE())))</f>
        <v/>
      </c>
      <c r="AG214" s="92" t="str">
        <f aca="false">IF(ISBLANK($C214),"",IF(F214=Constants!$B$3,TRUE(),IF(F214=Constants!$B$4,FALSE(),TRUE())))</f>
        <v/>
      </c>
      <c r="AH214" s="92" t="str">
        <f aca="false">IF(ISBLANK($C214),"",IF(G214=Constants!$B$3,TRUE(),IF(G214=Constants!$B$4,FALSE(),TRUE())))</f>
        <v/>
      </c>
      <c r="AI214" s="92" t="str">
        <f aca="false">IF(ISBLANK($C214),"",IF(AND(ISNUMBER(H214),H214&gt;=0),H214,Constants!$B$29))</f>
        <v/>
      </c>
      <c r="AJ214" s="92" t="str">
        <f aca="false">IF(ISBLANK($C214),"",IF(I214=Constants!$B$3,TRUE(),IF(I214=Constants!$B$4,FALSE(),TRUE())))</f>
        <v/>
      </c>
      <c r="AK214" s="92" t="str">
        <f aca="false">IF(ISBLANK($C214),"",IF(J214=Constants!$B$3,TRUE(),IF(J214=Constants!$B$4,FALSE(),TRUE())))</f>
        <v/>
      </c>
      <c r="AL214" s="92" t="str">
        <f aca="false">IF(ISBLANK($C214),"",IF(K214=Constants!$B$5,TRUE(),IF(K214=Constants!$B$6,FALSE(),COUNTA(L214:P214)&gt;0)))</f>
        <v/>
      </c>
      <c r="AM214" s="94" t="str">
        <f aca="false">IF(ISBLANK($C214),"",IF(ISNUMBER(L214),IF(L214&gt;=0,L214,""),""))</f>
        <v/>
      </c>
      <c r="AN214" s="93" t="str">
        <f aca="false">IF(ISBLANK($C214),"",IF(ISNUMBER(M214),IF(M214&gt;=0,M214,""),""))</f>
        <v/>
      </c>
      <c r="AO214" s="93" t="str">
        <f aca="false">IF(ISBLANK($C214),"",IF(N214=Constants!$B$3,TRUE(),IF(N214=Constants!$B$4,FALSE(),TRUE())))</f>
        <v/>
      </c>
      <c r="AP214" s="92" t="str">
        <f aca="false">IF(ISBLANK($C214),"",IF(ISNUMBER(O214),IF(O214&gt;=0,O214,""),""))</f>
        <v/>
      </c>
      <c r="AQ214" s="92" t="str">
        <f aca="false">IF(ISBLANK($C214),"",IF(P214=Constants!$B$3,TRUE(),IF(P214=Constants!$B$4,FALSE(),FALSE())))</f>
        <v/>
      </c>
      <c r="AR214" s="92" t="str">
        <f aca="false">IF(ISBLANK($C214),"",IF(Q214=Constants!$B$3,TRUE(),IF(Q214=Constants!$B$4,FALSE(),TRUE())))</f>
        <v/>
      </c>
      <c r="AS214" s="92" t="str">
        <f aca="false">IF(ISBLANK($C214),"",IF(R214=Constants!$B$3,TRUE(),IF(R214=Constants!$B$4,FALSE(),TRUE())))</f>
        <v/>
      </c>
      <c r="AT214" s="92" t="str">
        <f aca="false">IF(ISBLANK($C214),"",IF(S214=Constants!$B$5,TRUE(),IF(S214=Constants!$B$6,FALSE(),COUNTA(T214:X214)&gt;0)))</f>
        <v/>
      </c>
      <c r="AU214" s="94" t="str">
        <f aca="false">IF(ISBLANK($C214),"",IF(ISNUMBER(T214),IF(T214&gt;=0,T214,""),""))</f>
        <v/>
      </c>
      <c r="AV214" s="93" t="str">
        <f aca="false">IF(ISBLANK($C214),"",IF(ISNUMBER(U214),IF(U214&gt;=0,U214,""),""))</f>
        <v/>
      </c>
      <c r="AW214" s="93" t="str">
        <f aca="false">IF(ISBLANK($C214),"",IF(V214=Constants!$B$3,TRUE(),IF(V214=Constants!$B$4,FALSE(),TRUE())))</f>
        <v/>
      </c>
      <c r="AX214" s="92" t="str">
        <f aca="false">IF(ISBLANK($C214),"",IF(ISNUMBER(W214),IF(W214&gt;=0,W214,""),""))</f>
        <v/>
      </c>
      <c r="AY214" s="92" t="str">
        <f aca="false">IF(ISBLANK($C214),"",IF(X214=Constants!$B$3,TRUE(),IF(X214=Constants!$B$4,FALSE(),FALSE())))</f>
        <v/>
      </c>
      <c r="AZ214" s="92" t="str">
        <f aca="false">IF(ISBLANK($C214),"",MIN(Constants!$B$31,MAX(0,IF(ISNUMBER(Y214),Y214*60,0)+IF(ISNUMBER(Z214),Z214,0))))</f>
        <v/>
      </c>
      <c r="BA214" s="92" t="str">
        <f aca="false">IF(ISBLANK($C214),"",IF(AA214=Constants!$B$3,TRUE(),IF(AA214=Constants!$B$4,FALSE(),FALSE())))</f>
        <v/>
      </c>
      <c r="BB214" s="91" t="str">
        <f aca="false">IF(ISBLANK($C214),"",AND($AL214,OR($AM214="",$AN214="",AND($AO214,$AP214=""))))</f>
        <v/>
      </c>
      <c r="BC214" s="93" t="str">
        <f aca="false">IF($BR214&lt;&gt;Constants!$B$8,"",IF($AL214,Constants!$B$21*$AN214+Constants!$B$22*IF($AO214,$AP214,Constants!$B$23),Constants!$B$24))</f>
        <v/>
      </c>
      <c r="BD214" s="96" t="str">
        <f aca="false">IF($BR214&lt;&gt;Constants!$B$8,"",Constants!$B$25*ABS($AD$9-IF($AL214,$AM214,0)))</f>
        <v/>
      </c>
      <c r="BE214" s="96" t="str">
        <f aca="false">IF($BR214&lt;&gt;Constants!$B$8,"",IF(AND($AL214,$AQ214,$AO214),Constants!$B$27,0))</f>
        <v/>
      </c>
      <c r="BF214" s="96" t="str">
        <f aca="false">IF($BR214&lt;&gt;Constants!$B$8,"",IF($AL214,($AI214-Constants!$B$29)*Constants!$B$28,0))</f>
        <v/>
      </c>
      <c r="BG214" s="96" t="str">
        <f aca="false">IF($BR214&lt;&gt;Constants!$B$8,"",IF($AK214,0,Constants!$B$15)+IF($AJ214,0,Constants!$B$16)+IF($AH214,0,Constants!$B$17))</f>
        <v/>
      </c>
      <c r="BH214" s="97" t="str">
        <f aca="false">IF($BR214&lt;&gt;Constants!$B$8,"",Constants!$B$20+SUM($BC214:$BG214))</f>
        <v/>
      </c>
      <c r="BI214" s="92" t="str">
        <f aca="false">IF($BR214&lt;&gt;Constants!$B$8,"",IF(OR($BP214&lt;$BH214,AND($BP214=$BH214,OR($BK214&lt;$BC214,AND($BK214=$BC214,OR($BL214&lt;$BD214,AND($BL214=$BD214,$AT214,$AL214,$AV214&lt;$AN214)))))),"-&gt;","&lt;-"))</f>
        <v/>
      </c>
      <c r="BJ214" s="91" t="str">
        <f aca="false">IF(ISBLANK($C214),"",AND($AT214,OR($AU214="",$AV214="",AND($AW214,$AX214=""))))</f>
        <v/>
      </c>
      <c r="BK214" s="93" t="str">
        <f aca="false">IF($BR214&lt;&gt;Constants!$B$8,"",IF($AT214,Constants!$B$21*$AV214+Constants!$B$22*IF($AW214,$AX214,Constants!$B$23),Constants!$B$24))</f>
        <v/>
      </c>
      <c r="BL214" s="96" t="str">
        <f aca="false">IF($BR214&lt;&gt;Constants!$B$8,"",Constants!$B$25*ABS($AD$9-IF($AT214,$AU214,0)))</f>
        <v/>
      </c>
      <c r="BM214" s="96" t="str">
        <f aca="false">IF($BR214&lt;&gt;Constants!$B$8,"",IF(AND($AT214,$AY214,$AW214),Constants!$B$27,0))</f>
        <v/>
      </c>
      <c r="BN214" s="96" t="str">
        <f aca="false">IF($BR214&lt;&gt;Constants!$B$8,"",IF($AT214,($AI214-Constants!$B$29)*Constants!$B$28,0))</f>
        <v/>
      </c>
      <c r="BO214" s="96" t="str">
        <f aca="false">IF($BR214&lt;&gt;Constants!$B$8,"",IF($AS214,0,Constants!$B$15)+IF($AR214,0,Constants!$B$16)+IF($AH214,0,Constants!$B$17))</f>
        <v/>
      </c>
      <c r="BP214" s="97" t="str">
        <f aca="false">IF($BR214&lt;&gt;Constants!$B$8,"",Constants!$B$20+SUM($BK214:$BO214))</f>
        <v/>
      </c>
      <c r="BQ214" s="92" t="str">
        <f aca="false">IF(ISBLANK($C214),"",IF(ISBLANK($D$7),$BQ$5,IF(NOT(ISNUMBER($D$7)),$BQ$6,"")))</f>
        <v/>
      </c>
      <c r="BR214" s="92" t="str">
        <f aca="false">IF(ISBLANK($C214),"",IF($BA214,Constants!$B$11,IF(COUNTA($E214:$AA214)=0,Constants!$B$10,IF(NOT($AG214),Constants!$B$9,IF(OR($BQ214&lt;&gt;"",$BB214,$BJ214),Constants!$B$12,Constants!$B$8)))))</f>
        <v/>
      </c>
      <c r="BS214" s="92" t="str">
        <f aca="false">IF(ISBLANK($C214),"",IF($BR214&lt;&gt;Constants!$B$8,$BR214,Constants!$B$13))</f>
        <v/>
      </c>
      <c r="BT214" s="96" t="str">
        <f aca="false">IF($BR214&lt;&gt;Constants!$B$8,"",IF($BI214="-&gt;",$BP214,$BH214))</f>
        <v/>
      </c>
      <c r="BU214" s="96" t="str">
        <f aca="false">IF($BR214&lt;&gt;Constants!$B$8,"",IF($AF214,0,Constants!$B$18))</f>
        <v/>
      </c>
      <c r="BV214" s="96" t="str">
        <f aca="false">IF($BR214&lt;&gt;Constants!$B$8,"",((Constants!$B$31-$AZ214)-Constants!$B$31)/Constants!$B$32)</f>
        <v/>
      </c>
      <c r="BW214" s="96" t="str">
        <f aca="false">IF(ISBLANK($C214),"",IF($BR214&lt;&gt;Constants!$B$8,$BR214,SUM($BT214:$BV214)))</f>
        <v/>
      </c>
      <c r="BX214" s="92" t="str">
        <f aca="false">IF(ISBLANK($C214),"",IF($BR214&lt;&gt;Constants!$B$8,$BR214,RANK($BW214,$BW$9:$BW$508,1)))</f>
        <v/>
      </c>
      <c r="BY214" s="96" t="str">
        <f aca="false">IF($BR214&lt;&gt;Constants!$B$8,"",IF($BI214="-&gt;",$BK214,$BC214))</f>
        <v/>
      </c>
      <c r="BZ214" s="92" t="str">
        <f aca="false">IF(ISBLANK($C214),"",IF($BR214&lt;&gt;Constants!$B$8,$BR214,IF(ISNUMBER($BY214),RANK($BY214,$BY$9:$BY$508,1),COUNT($BY$9:$BY$508)+1)))</f>
        <v/>
      </c>
      <c r="CA214" s="96" t="str">
        <f aca="false">IF($BR214&lt;&gt;Constants!$B$8,"",IF($BI214="-&gt;",$BL214,$BD214))</f>
        <v/>
      </c>
      <c r="CB214" s="92" t="str">
        <f aca="false">IF(ISBLANK($C214),"",IF($BR214&lt;&gt;Constants!$B$8,$BR214,IF(ISNUMBER($CA214),RANK($CA214,$CA$9:$CA$508,1),COUNT($CA$9:$CA$508)+1)))</f>
        <v/>
      </c>
      <c r="CC214" s="96" t="str">
        <f aca="false">IF($BR214&lt;&gt;Constants!$B$8,"",IF($BI214="-&gt;",IF($AT214,$AV214,""),IF($AL214,$AN214,"")))</f>
        <v/>
      </c>
      <c r="CD214" s="92" t="str">
        <f aca="false">IF(ISBLANK($C214),"",IF($BR214&lt;&gt;Constants!$B$8,$BR214,IF(ISNUMBER($CC214),RANK($CC214,$CC$9:$CC$508,1),COUNT($CC$9:$CC$508)+1)))</f>
        <v/>
      </c>
      <c r="CE214" s="96" t="str">
        <f aca="false">IF($BR214&lt;&gt;Constants!$B$8,"",IF(AND(NOT($AL214),NOT($AT214),$AJ214,$AK214,$AR214,$AS214),"",$AI214))</f>
        <v/>
      </c>
      <c r="CF214" s="92" t="str">
        <f aca="false">IF(ISBLANK($C214),"",IF($BR214&lt;&gt;Constants!$B$8,$BR214,IF(ISNUMBER($CE214),RANK($CE214,$CE$9:$CE$508,1),COUNT($CE$9:$CE$508)+1)))</f>
        <v/>
      </c>
      <c r="CG214" s="92" t="str">
        <f aca="false">IF(ISBLANK($C214),"",IF($BR214&lt;&gt;Constants!$B$8,$BR214,COUNTIFS($BX$9:$BX$508,"&lt;"&amp;$BX214)+COUNTIFS($BX$9:$BX$508,$BX214,$BZ$9:$BZ$508,"&lt;"&amp;$BZ214)+COUNTIFS($BX$9:$BX$508,$BX214,$BZ$9:$BZ$508,$BZ214,$CB$9:$CB$508,"&lt;"&amp;$CB214)+COUNTIFS($BX$9:$BX$508,$BX214,$BZ$9:$BZ$508,$BZ214,$CB$9:$CB$508,$CB214,$CD$9:$CD$508,"&lt;"&amp;$CD214)+COUNTIFS($BX$9:$BX$508,$BX214,$BZ$9:$BZ$508,$BZ214,$CB$9:$CB$508,$CB214,$CD$9:$CD$508,$CD214,$CF$9:$CF$508,"&lt;"&amp;$CF214)+1))</f>
        <v/>
      </c>
      <c r="CH214" s="92" t="str">
        <f aca="false">IF(ISBLANK($C214),"",IF($BR214&lt;&gt;Constants!$B$8,$BR214,$BX214-$CG214))</f>
        <v/>
      </c>
      <c r="CI214" s="98"/>
      <c r="CJ214" s="99"/>
      <c r="CK214" s="100" t="str">
        <f aca="false">IF(ISBLANK($C214),"",IF($BR214=Constants!$B$12,$BQ214,""))</f>
        <v/>
      </c>
      <c r="CL214" s="99" t="str">
        <f aca="false">IF(ISBLANK($C214),"",IF($BR214&lt;&gt;Constants!$B$8,"",IF($BI214="-&gt;",2,1)))</f>
        <v/>
      </c>
      <c r="CM214" s="101" t="str">
        <f aca="false">IF(ISBLANK($C214),"",IF($BR214&lt;&gt;Constants!$B$8,"",IF($BI214="-&gt;",$BK214,$BC214)))</f>
        <v/>
      </c>
      <c r="CN214" s="101" t="str">
        <f aca="false">IF(ISBLANK($C214),"",IF($BR214&lt;&gt;Constants!$B$8,"",IF($BI214="-&gt;",$BL214,$BD214)))</f>
        <v/>
      </c>
      <c r="CO214" s="101" t="str">
        <f aca="false">IF(ISBLANK($C214),"",IF($BR214&lt;&gt;Constants!$B$8,"",IF($BI214="-&gt;",$BM214+$BN214,$BE214+$BF214)+$BV214))</f>
        <v/>
      </c>
      <c r="CP214" s="101" t="str">
        <f aca="false">IF(ISBLANK($C214),"",IF($BR214&lt;&gt;Constants!$B$8,"",IF($BI214="-&gt;",$BO214,$BG214)+$BU214))</f>
        <v/>
      </c>
      <c r="CQ214" s="102" t="str">
        <f aca="false">IF(ISBLANK($C214),"",IF($BR214&lt;&gt;Constants!$B$8,$BR214,$BW214))</f>
        <v/>
      </c>
      <c r="CR214" s="103" t="str">
        <f aca="false">IF(ISBLANK($C214),"",$BS214)</f>
        <v/>
      </c>
      <c r="CS214" s="104" t="str">
        <f aca="false">IF(ISBLANK($C214),"",$CH214)</f>
        <v/>
      </c>
      <c r="CT214" s="104" t="str">
        <f aca="false">IF(ISBLANK($C214),"",$CG214)</f>
        <v/>
      </c>
      <c r="CU214" s="105" t="str">
        <f aca="false">IF(ISBLANK($C214),"",IFERROR(_xlfn.SWITCH($CT214,Constants!$B$11,COUNTA($C$9:$C$508)+2,Constants!$B$10,COUNTA($C$9:$C$508)+1,Constants!$B$9,COUNTA($C$9:$C$508)),$CT214))</f>
        <v/>
      </c>
      <c r="CV214" s="9"/>
      <c r="CW214" s="106" t="n">
        <f aca="false">IF(OR(ISNUMBER($CT214),$CT214=Constants!$B$11,$CT214=Constants!$B$9,$CT214=Constants!$B$10),1,0)</f>
        <v>0</v>
      </c>
      <c r="CX214" s="106" t="n">
        <v>206</v>
      </c>
      <c r="CY214" s="106" t="str">
        <f aca="false">IF(ISBLANK($C214),"",IF(ISNUMBER($CU214),$CU214+ROW($B214)/1000,""))</f>
        <v/>
      </c>
      <c r="CZ214" s="106" t="str">
        <f aca="false">IF(ISNUMBER($CY214),RANK($CY214,$CY$9:$CY$508,1),"")</f>
        <v/>
      </c>
      <c r="DA214" s="106" t="str">
        <f aca="false">IF(ISBLANK($C214),"",$B214)</f>
        <v/>
      </c>
      <c r="DB214" s="106" t="str">
        <f aca="false">IF(ISBLANK($C214),"",$C214)</f>
        <v/>
      </c>
      <c r="DC214" s="106" t="str">
        <f aca="false">IF(ISBLANK($C214),"",$D214)</f>
        <v/>
      </c>
      <c r="DD214" s="107" t="str">
        <f aca="false">$CR214</f>
        <v/>
      </c>
      <c r="DE214" s="108" t="str">
        <f aca="false">$CQ214</f>
        <v/>
      </c>
      <c r="DF214" s="106" t="str">
        <f aca="false">IF(ISBLANK($C214),"",$CT214)</f>
        <v/>
      </c>
      <c r="DG214" s="109" t="str">
        <f aca="false">IF($CX214&gt;$CW$8,"",VLOOKUP($CX214,$CZ$9:$DF$508,7,FALSE()))</f>
        <v/>
      </c>
      <c r="DH214" s="110" t="str">
        <f aca="false">IF($CX214&gt;$CW$8,"",VLOOKUP($CX214,$CZ$9:$DF$508,2,FALSE()))</f>
        <v/>
      </c>
      <c r="DI214" s="110" t="str">
        <f aca="false">IF($CX214&gt;$CW$8,"",VLOOKUP($CX214,$CZ$9:$DF$508,3,FALSE()))</f>
        <v/>
      </c>
      <c r="DJ214" s="110" t="str">
        <f aca="false">IF($CX214&gt;$CW$8,"",VLOOKUP($CX214,$CZ$9:$DF$508,4,FALSE()))</f>
        <v/>
      </c>
      <c r="DK214" s="110" t="str">
        <f aca="false">IF($CX214&gt;$CW$8,"",VLOOKUP($CX214,$CZ$9:$DF$508,5,FALSE()))</f>
        <v/>
      </c>
      <c r="DL214" s="111" t="str">
        <f aca="false">IF($CX214&gt;$CW$8,"",VLOOKUP($CX214,$CZ$9:$DF$508,6,FALSE()))</f>
        <v/>
      </c>
      <c r="DM214" s="75"/>
    </row>
    <row r="215" customFormat="false" ht="15.75" hidden="false" customHeight="false" outlineLevel="0" collapsed="false">
      <c r="A215" s="9"/>
      <c r="B215" s="77"/>
      <c r="C215" s="78"/>
      <c r="D215" s="167"/>
      <c r="E215" s="175"/>
      <c r="F215" s="169"/>
      <c r="G215" s="170"/>
      <c r="H215" s="170"/>
      <c r="I215" s="176"/>
      <c r="J215" s="173"/>
      <c r="K215" s="85"/>
      <c r="L215" s="86"/>
      <c r="M215" s="87"/>
      <c r="N215" s="173"/>
      <c r="O215" s="173"/>
      <c r="P215" s="175"/>
      <c r="Q215" s="173"/>
      <c r="R215" s="173"/>
      <c r="S215" s="85"/>
      <c r="T215" s="87"/>
      <c r="U215" s="87"/>
      <c r="V215" s="173"/>
      <c r="W215" s="173"/>
      <c r="X215" s="175"/>
      <c r="Y215" s="173"/>
      <c r="Z215" s="174"/>
      <c r="AA215" s="173"/>
      <c r="AB215" s="91"/>
      <c r="AC215" s="92"/>
      <c r="AD215" s="92"/>
      <c r="AE215" s="92"/>
      <c r="AF215" s="92" t="str">
        <f aca="false">IF(ISBLANK($C215),"",IF(E215=Constants!$B$3,TRUE(),IF(E215=Constants!$B$4,FALSE(),TRUE())))</f>
        <v/>
      </c>
      <c r="AG215" s="92" t="str">
        <f aca="false">IF(ISBLANK($C215),"",IF(F215=Constants!$B$3,TRUE(),IF(F215=Constants!$B$4,FALSE(),TRUE())))</f>
        <v/>
      </c>
      <c r="AH215" s="92" t="str">
        <f aca="false">IF(ISBLANK($C215),"",IF(G215=Constants!$B$3,TRUE(),IF(G215=Constants!$B$4,FALSE(),TRUE())))</f>
        <v/>
      </c>
      <c r="AI215" s="92" t="str">
        <f aca="false">IF(ISBLANK($C215),"",IF(AND(ISNUMBER(H215),H215&gt;=0),H215,Constants!$B$29))</f>
        <v/>
      </c>
      <c r="AJ215" s="92" t="str">
        <f aca="false">IF(ISBLANK($C215),"",IF(I215=Constants!$B$3,TRUE(),IF(I215=Constants!$B$4,FALSE(),TRUE())))</f>
        <v/>
      </c>
      <c r="AK215" s="92" t="str">
        <f aca="false">IF(ISBLANK($C215),"",IF(J215=Constants!$B$3,TRUE(),IF(J215=Constants!$B$4,FALSE(),TRUE())))</f>
        <v/>
      </c>
      <c r="AL215" s="92" t="str">
        <f aca="false">IF(ISBLANK($C215),"",IF(K215=Constants!$B$5,TRUE(),IF(K215=Constants!$B$6,FALSE(),COUNTA(L215:P215)&gt;0)))</f>
        <v/>
      </c>
      <c r="AM215" s="94" t="str">
        <f aca="false">IF(ISBLANK($C215),"",IF(ISNUMBER(L215),IF(L215&gt;=0,L215,""),""))</f>
        <v/>
      </c>
      <c r="AN215" s="93" t="str">
        <f aca="false">IF(ISBLANK($C215),"",IF(ISNUMBER(M215),IF(M215&gt;=0,M215,""),""))</f>
        <v/>
      </c>
      <c r="AO215" s="93" t="str">
        <f aca="false">IF(ISBLANK($C215),"",IF(N215=Constants!$B$3,TRUE(),IF(N215=Constants!$B$4,FALSE(),TRUE())))</f>
        <v/>
      </c>
      <c r="AP215" s="92" t="str">
        <f aca="false">IF(ISBLANK($C215),"",IF(ISNUMBER(O215),IF(O215&gt;=0,O215,""),""))</f>
        <v/>
      </c>
      <c r="AQ215" s="92" t="str">
        <f aca="false">IF(ISBLANK($C215),"",IF(P215=Constants!$B$3,TRUE(),IF(P215=Constants!$B$4,FALSE(),FALSE())))</f>
        <v/>
      </c>
      <c r="AR215" s="92" t="str">
        <f aca="false">IF(ISBLANK($C215),"",IF(Q215=Constants!$B$3,TRUE(),IF(Q215=Constants!$B$4,FALSE(),TRUE())))</f>
        <v/>
      </c>
      <c r="AS215" s="92" t="str">
        <f aca="false">IF(ISBLANK($C215),"",IF(R215=Constants!$B$3,TRUE(),IF(R215=Constants!$B$4,FALSE(),TRUE())))</f>
        <v/>
      </c>
      <c r="AT215" s="92" t="str">
        <f aca="false">IF(ISBLANK($C215),"",IF(S215=Constants!$B$5,TRUE(),IF(S215=Constants!$B$6,FALSE(),COUNTA(T215:X215)&gt;0)))</f>
        <v/>
      </c>
      <c r="AU215" s="94" t="str">
        <f aca="false">IF(ISBLANK($C215),"",IF(ISNUMBER(T215),IF(T215&gt;=0,T215,""),""))</f>
        <v/>
      </c>
      <c r="AV215" s="93" t="str">
        <f aca="false">IF(ISBLANK($C215),"",IF(ISNUMBER(U215),IF(U215&gt;=0,U215,""),""))</f>
        <v/>
      </c>
      <c r="AW215" s="93" t="str">
        <f aca="false">IF(ISBLANK($C215),"",IF(V215=Constants!$B$3,TRUE(),IF(V215=Constants!$B$4,FALSE(),TRUE())))</f>
        <v/>
      </c>
      <c r="AX215" s="92" t="str">
        <f aca="false">IF(ISBLANK($C215),"",IF(ISNUMBER(W215),IF(W215&gt;=0,W215,""),""))</f>
        <v/>
      </c>
      <c r="AY215" s="92" t="str">
        <f aca="false">IF(ISBLANK($C215),"",IF(X215=Constants!$B$3,TRUE(),IF(X215=Constants!$B$4,FALSE(),FALSE())))</f>
        <v/>
      </c>
      <c r="AZ215" s="92" t="str">
        <f aca="false">IF(ISBLANK($C215),"",MIN(Constants!$B$31,MAX(0,IF(ISNUMBER(Y215),Y215*60,0)+IF(ISNUMBER(Z215),Z215,0))))</f>
        <v/>
      </c>
      <c r="BA215" s="92" t="str">
        <f aca="false">IF(ISBLANK($C215),"",IF(AA215=Constants!$B$3,TRUE(),IF(AA215=Constants!$B$4,FALSE(),FALSE())))</f>
        <v/>
      </c>
      <c r="BB215" s="91" t="str">
        <f aca="false">IF(ISBLANK($C215),"",AND($AL215,OR($AM215="",$AN215="",AND($AO215,$AP215=""))))</f>
        <v/>
      </c>
      <c r="BC215" s="93" t="str">
        <f aca="false">IF($BR215&lt;&gt;Constants!$B$8,"",IF($AL215,Constants!$B$21*$AN215+Constants!$B$22*IF($AO215,$AP215,Constants!$B$23),Constants!$B$24))</f>
        <v/>
      </c>
      <c r="BD215" s="96" t="str">
        <f aca="false">IF($BR215&lt;&gt;Constants!$B$8,"",Constants!$B$25*ABS($AD$9-IF($AL215,$AM215,0)))</f>
        <v/>
      </c>
      <c r="BE215" s="96" t="str">
        <f aca="false">IF($BR215&lt;&gt;Constants!$B$8,"",IF(AND($AL215,$AQ215,$AO215),Constants!$B$27,0))</f>
        <v/>
      </c>
      <c r="BF215" s="96" t="str">
        <f aca="false">IF($BR215&lt;&gt;Constants!$B$8,"",IF($AL215,($AI215-Constants!$B$29)*Constants!$B$28,0))</f>
        <v/>
      </c>
      <c r="BG215" s="96" t="str">
        <f aca="false">IF($BR215&lt;&gt;Constants!$B$8,"",IF($AK215,0,Constants!$B$15)+IF($AJ215,0,Constants!$B$16)+IF($AH215,0,Constants!$B$17))</f>
        <v/>
      </c>
      <c r="BH215" s="97" t="str">
        <f aca="false">IF($BR215&lt;&gt;Constants!$B$8,"",Constants!$B$20+SUM($BC215:$BG215))</f>
        <v/>
      </c>
      <c r="BI215" s="92" t="str">
        <f aca="false">IF($BR215&lt;&gt;Constants!$B$8,"",IF(OR($BP215&lt;$BH215,AND($BP215=$BH215,OR($BK215&lt;$BC215,AND($BK215=$BC215,OR($BL215&lt;$BD215,AND($BL215=$BD215,$AT215,$AL215,$AV215&lt;$AN215)))))),"-&gt;","&lt;-"))</f>
        <v/>
      </c>
      <c r="BJ215" s="91" t="str">
        <f aca="false">IF(ISBLANK($C215),"",AND($AT215,OR($AU215="",$AV215="",AND($AW215,$AX215=""))))</f>
        <v/>
      </c>
      <c r="BK215" s="93" t="str">
        <f aca="false">IF($BR215&lt;&gt;Constants!$B$8,"",IF($AT215,Constants!$B$21*$AV215+Constants!$B$22*IF($AW215,$AX215,Constants!$B$23),Constants!$B$24))</f>
        <v/>
      </c>
      <c r="BL215" s="96" t="str">
        <f aca="false">IF($BR215&lt;&gt;Constants!$B$8,"",Constants!$B$25*ABS($AD$9-IF($AT215,$AU215,0)))</f>
        <v/>
      </c>
      <c r="BM215" s="96" t="str">
        <f aca="false">IF($BR215&lt;&gt;Constants!$B$8,"",IF(AND($AT215,$AY215,$AW215),Constants!$B$27,0))</f>
        <v/>
      </c>
      <c r="BN215" s="96" t="str">
        <f aca="false">IF($BR215&lt;&gt;Constants!$B$8,"",IF($AT215,($AI215-Constants!$B$29)*Constants!$B$28,0))</f>
        <v/>
      </c>
      <c r="BO215" s="96" t="str">
        <f aca="false">IF($BR215&lt;&gt;Constants!$B$8,"",IF($AS215,0,Constants!$B$15)+IF($AR215,0,Constants!$B$16)+IF($AH215,0,Constants!$B$17))</f>
        <v/>
      </c>
      <c r="BP215" s="97" t="str">
        <f aca="false">IF($BR215&lt;&gt;Constants!$B$8,"",Constants!$B$20+SUM($BK215:$BO215))</f>
        <v/>
      </c>
      <c r="BQ215" s="92" t="str">
        <f aca="false">IF(ISBLANK($C215),"",IF(ISBLANK($D$7),$BQ$5,IF(NOT(ISNUMBER($D$7)),$BQ$6,"")))</f>
        <v/>
      </c>
      <c r="BR215" s="92" t="str">
        <f aca="false">IF(ISBLANK($C215),"",IF($BA215,Constants!$B$11,IF(COUNTA($E215:$AA215)=0,Constants!$B$10,IF(NOT($AG215),Constants!$B$9,IF(OR($BQ215&lt;&gt;"",$BB215,$BJ215),Constants!$B$12,Constants!$B$8)))))</f>
        <v/>
      </c>
      <c r="BS215" s="92" t="str">
        <f aca="false">IF(ISBLANK($C215),"",IF($BR215&lt;&gt;Constants!$B$8,$BR215,Constants!$B$13))</f>
        <v/>
      </c>
      <c r="BT215" s="96" t="str">
        <f aca="false">IF($BR215&lt;&gt;Constants!$B$8,"",IF($BI215="-&gt;",$BP215,$BH215))</f>
        <v/>
      </c>
      <c r="BU215" s="96" t="str">
        <f aca="false">IF($BR215&lt;&gt;Constants!$B$8,"",IF($AF215,0,Constants!$B$18))</f>
        <v/>
      </c>
      <c r="BV215" s="96" t="str">
        <f aca="false">IF($BR215&lt;&gt;Constants!$B$8,"",((Constants!$B$31-$AZ215)-Constants!$B$31)/Constants!$B$32)</f>
        <v/>
      </c>
      <c r="BW215" s="96" t="str">
        <f aca="false">IF(ISBLANK($C215),"",IF($BR215&lt;&gt;Constants!$B$8,$BR215,SUM($BT215:$BV215)))</f>
        <v/>
      </c>
      <c r="BX215" s="92" t="str">
        <f aca="false">IF(ISBLANK($C215),"",IF($BR215&lt;&gt;Constants!$B$8,$BR215,RANK($BW215,$BW$9:$BW$508,1)))</f>
        <v/>
      </c>
      <c r="BY215" s="96" t="str">
        <f aca="false">IF($BR215&lt;&gt;Constants!$B$8,"",IF($BI215="-&gt;",$BK215,$BC215))</f>
        <v/>
      </c>
      <c r="BZ215" s="92" t="str">
        <f aca="false">IF(ISBLANK($C215),"",IF($BR215&lt;&gt;Constants!$B$8,$BR215,IF(ISNUMBER($BY215),RANK($BY215,$BY$9:$BY$508,1),COUNT($BY$9:$BY$508)+1)))</f>
        <v/>
      </c>
      <c r="CA215" s="96" t="str">
        <f aca="false">IF($BR215&lt;&gt;Constants!$B$8,"",IF($BI215="-&gt;",$BL215,$BD215))</f>
        <v/>
      </c>
      <c r="CB215" s="92" t="str">
        <f aca="false">IF(ISBLANK($C215),"",IF($BR215&lt;&gt;Constants!$B$8,$BR215,IF(ISNUMBER($CA215),RANK($CA215,$CA$9:$CA$508,1),COUNT($CA$9:$CA$508)+1)))</f>
        <v/>
      </c>
      <c r="CC215" s="96" t="str">
        <f aca="false">IF($BR215&lt;&gt;Constants!$B$8,"",IF($BI215="-&gt;",IF($AT215,$AV215,""),IF($AL215,$AN215,"")))</f>
        <v/>
      </c>
      <c r="CD215" s="92" t="str">
        <f aca="false">IF(ISBLANK($C215),"",IF($BR215&lt;&gt;Constants!$B$8,$BR215,IF(ISNUMBER($CC215),RANK($CC215,$CC$9:$CC$508,1),COUNT($CC$9:$CC$508)+1)))</f>
        <v/>
      </c>
      <c r="CE215" s="96" t="str">
        <f aca="false">IF($BR215&lt;&gt;Constants!$B$8,"",IF(AND(NOT($AL215),NOT($AT215),$AJ215,$AK215,$AR215,$AS215),"",$AI215))</f>
        <v/>
      </c>
      <c r="CF215" s="92" t="str">
        <f aca="false">IF(ISBLANK($C215),"",IF($BR215&lt;&gt;Constants!$B$8,$BR215,IF(ISNUMBER($CE215),RANK($CE215,$CE$9:$CE$508,1),COUNT($CE$9:$CE$508)+1)))</f>
        <v/>
      </c>
      <c r="CG215" s="92" t="str">
        <f aca="false">IF(ISBLANK($C215),"",IF($BR215&lt;&gt;Constants!$B$8,$BR215,COUNTIFS($BX$9:$BX$508,"&lt;"&amp;$BX215)+COUNTIFS($BX$9:$BX$508,$BX215,$BZ$9:$BZ$508,"&lt;"&amp;$BZ215)+COUNTIFS($BX$9:$BX$508,$BX215,$BZ$9:$BZ$508,$BZ215,$CB$9:$CB$508,"&lt;"&amp;$CB215)+COUNTIFS($BX$9:$BX$508,$BX215,$BZ$9:$BZ$508,$BZ215,$CB$9:$CB$508,$CB215,$CD$9:$CD$508,"&lt;"&amp;$CD215)+COUNTIFS($BX$9:$BX$508,$BX215,$BZ$9:$BZ$508,$BZ215,$CB$9:$CB$508,$CB215,$CD$9:$CD$508,$CD215,$CF$9:$CF$508,"&lt;"&amp;$CF215)+1))</f>
        <v/>
      </c>
      <c r="CH215" s="92" t="str">
        <f aca="false">IF(ISBLANK($C215),"",IF($BR215&lt;&gt;Constants!$B$8,$BR215,$BX215-$CG215))</f>
        <v/>
      </c>
      <c r="CI215" s="98"/>
      <c r="CJ215" s="99"/>
      <c r="CK215" s="100" t="str">
        <f aca="false">IF(ISBLANK($C215),"",IF($BR215=Constants!$B$12,$BQ215,""))</f>
        <v/>
      </c>
      <c r="CL215" s="99" t="str">
        <f aca="false">IF(ISBLANK($C215),"",IF($BR215&lt;&gt;Constants!$B$8,"",IF($BI215="-&gt;",2,1)))</f>
        <v/>
      </c>
      <c r="CM215" s="101" t="str">
        <f aca="false">IF(ISBLANK($C215),"",IF($BR215&lt;&gt;Constants!$B$8,"",IF($BI215="-&gt;",$BK215,$BC215)))</f>
        <v/>
      </c>
      <c r="CN215" s="101" t="str">
        <f aca="false">IF(ISBLANK($C215),"",IF($BR215&lt;&gt;Constants!$B$8,"",IF($BI215="-&gt;",$BL215,$BD215)))</f>
        <v/>
      </c>
      <c r="CO215" s="101" t="str">
        <f aca="false">IF(ISBLANK($C215),"",IF($BR215&lt;&gt;Constants!$B$8,"",IF($BI215="-&gt;",$BM215+$BN215,$BE215+$BF215)+$BV215))</f>
        <v/>
      </c>
      <c r="CP215" s="101" t="str">
        <f aca="false">IF(ISBLANK($C215),"",IF($BR215&lt;&gt;Constants!$B$8,"",IF($BI215="-&gt;",$BO215,$BG215)+$BU215))</f>
        <v/>
      </c>
      <c r="CQ215" s="102" t="str">
        <f aca="false">IF(ISBLANK($C215),"",IF($BR215&lt;&gt;Constants!$B$8,$BR215,$BW215))</f>
        <v/>
      </c>
      <c r="CR215" s="103" t="str">
        <f aca="false">IF(ISBLANK($C215),"",$BS215)</f>
        <v/>
      </c>
      <c r="CS215" s="104" t="str">
        <f aca="false">IF(ISBLANK($C215),"",$CH215)</f>
        <v/>
      </c>
      <c r="CT215" s="104" t="str">
        <f aca="false">IF(ISBLANK($C215),"",$CG215)</f>
        <v/>
      </c>
      <c r="CU215" s="105" t="str">
        <f aca="false">IF(ISBLANK($C215),"",IFERROR(_xlfn.SWITCH($CT215,Constants!$B$11,COUNTA($C$9:$C$508)+2,Constants!$B$10,COUNTA($C$9:$C$508)+1,Constants!$B$9,COUNTA($C$9:$C$508)),$CT215))</f>
        <v/>
      </c>
      <c r="CV215" s="9"/>
      <c r="CW215" s="106" t="n">
        <f aca="false">IF(OR(ISNUMBER($CT215),$CT215=Constants!$B$11,$CT215=Constants!$B$9,$CT215=Constants!$B$10),1,0)</f>
        <v>0</v>
      </c>
      <c r="CX215" s="106" t="n">
        <v>207</v>
      </c>
      <c r="CY215" s="106" t="str">
        <f aca="false">IF(ISBLANK($C215),"",IF(ISNUMBER($CU215),$CU215+ROW($B215)/1000,""))</f>
        <v/>
      </c>
      <c r="CZ215" s="106" t="str">
        <f aca="false">IF(ISNUMBER($CY215),RANK($CY215,$CY$9:$CY$508,1),"")</f>
        <v/>
      </c>
      <c r="DA215" s="106" t="str">
        <f aca="false">IF(ISBLANK($C215),"",$B215)</f>
        <v/>
      </c>
      <c r="DB215" s="106" t="str">
        <f aca="false">IF(ISBLANK($C215),"",$C215)</f>
        <v/>
      </c>
      <c r="DC215" s="106" t="str">
        <f aca="false">IF(ISBLANK($C215),"",$D215)</f>
        <v/>
      </c>
      <c r="DD215" s="107" t="str">
        <f aca="false">$CR215</f>
        <v/>
      </c>
      <c r="DE215" s="108" t="str">
        <f aca="false">$CQ215</f>
        <v/>
      </c>
      <c r="DF215" s="106" t="str">
        <f aca="false">IF(ISBLANK($C215),"",$CT215)</f>
        <v/>
      </c>
      <c r="DG215" s="109" t="str">
        <f aca="false">IF($CX215&gt;$CW$8,"",VLOOKUP($CX215,$CZ$9:$DF$508,7,FALSE()))</f>
        <v/>
      </c>
      <c r="DH215" s="110" t="str">
        <f aca="false">IF($CX215&gt;$CW$8,"",VLOOKUP($CX215,$CZ$9:$DF$508,2,FALSE()))</f>
        <v/>
      </c>
      <c r="DI215" s="110" t="str">
        <f aca="false">IF($CX215&gt;$CW$8,"",VLOOKUP($CX215,$CZ$9:$DF$508,3,FALSE()))</f>
        <v/>
      </c>
      <c r="DJ215" s="110" t="str">
        <f aca="false">IF($CX215&gt;$CW$8,"",VLOOKUP($CX215,$CZ$9:$DF$508,4,FALSE()))</f>
        <v/>
      </c>
      <c r="DK215" s="110" t="str">
        <f aca="false">IF($CX215&gt;$CW$8,"",VLOOKUP($CX215,$CZ$9:$DF$508,5,FALSE()))</f>
        <v/>
      </c>
      <c r="DL215" s="111" t="str">
        <f aca="false">IF($CX215&gt;$CW$8,"",VLOOKUP($CX215,$CZ$9:$DF$508,6,FALSE()))</f>
        <v/>
      </c>
      <c r="DM215" s="75"/>
    </row>
    <row r="216" customFormat="false" ht="15.75" hidden="false" customHeight="false" outlineLevel="0" collapsed="false">
      <c r="A216" s="9"/>
      <c r="B216" s="157"/>
      <c r="C216" s="158"/>
      <c r="D216" s="159"/>
      <c r="E216" s="177"/>
      <c r="F216" s="161"/>
      <c r="G216" s="162"/>
      <c r="H216" s="162"/>
      <c r="I216" s="178"/>
      <c r="J216" s="165"/>
      <c r="K216" s="126"/>
      <c r="L216" s="127"/>
      <c r="M216" s="128"/>
      <c r="N216" s="165"/>
      <c r="O216" s="165"/>
      <c r="P216" s="177"/>
      <c r="Q216" s="165"/>
      <c r="R216" s="165"/>
      <c r="S216" s="126"/>
      <c r="T216" s="128"/>
      <c r="U216" s="128"/>
      <c r="V216" s="165"/>
      <c r="W216" s="165"/>
      <c r="X216" s="177"/>
      <c r="Y216" s="165"/>
      <c r="Z216" s="166"/>
      <c r="AA216" s="165"/>
      <c r="AB216" s="132"/>
      <c r="AC216" s="133"/>
      <c r="AD216" s="133"/>
      <c r="AE216" s="133"/>
      <c r="AF216" s="133" t="str">
        <f aca="false">IF(ISBLANK($C216),"",IF(E216=Constants!$B$3,TRUE(),IF(E216=Constants!$B$4,FALSE(),TRUE())))</f>
        <v/>
      </c>
      <c r="AG216" s="133" t="str">
        <f aca="false">IF(ISBLANK($C216),"",IF(F216=Constants!$B$3,TRUE(),IF(F216=Constants!$B$4,FALSE(),TRUE())))</f>
        <v/>
      </c>
      <c r="AH216" s="133" t="str">
        <f aca="false">IF(ISBLANK($C216),"",IF(G216=Constants!$B$3,TRUE(),IF(G216=Constants!$B$4,FALSE(),TRUE())))</f>
        <v/>
      </c>
      <c r="AI216" s="133" t="str">
        <f aca="false">IF(ISBLANK($C216),"",IF(AND(ISNUMBER(H216),H216&gt;=0),H216,Constants!$B$29))</f>
        <v/>
      </c>
      <c r="AJ216" s="133" t="str">
        <f aca="false">IF(ISBLANK($C216),"",IF(I216=Constants!$B$3,TRUE(),IF(I216=Constants!$B$4,FALSE(),TRUE())))</f>
        <v/>
      </c>
      <c r="AK216" s="133" t="str">
        <f aca="false">IF(ISBLANK($C216),"",IF(J216=Constants!$B$3,TRUE(),IF(J216=Constants!$B$4,FALSE(),TRUE())))</f>
        <v/>
      </c>
      <c r="AL216" s="133" t="str">
        <f aca="false">IF(ISBLANK($C216),"",IF(K216=Constants!$B$5,TRUE(),IF(K216=Constants!$B$6,FALSE(),COUNTA(L216:P216)&gt;0)))</f>
        <v/>
      </c>
      <c r="AM216" s="134" t="str">
        <f aca="false">IF(ISBLANK($C216),"",IF(ISNUMBER(L216),IF(L216&gt;=0,L216,""),""))</f>
        <v/>
      </c>
      <c r="AN216" s="135" t="str">
        <f aca="false">IF(ISBLANK($C216),"",IF(ISNUMBER(M216),IF(M216&gt;=0,M216,""),""))</f>
        <v/>
      </c>
      <c r="AO216" s="135" t="str">
        <f aca="false">IF(ISBLANK($C216),"",IF(N216=Constants!$B$3,TRUE(),IF(N216=Constants!$B$4,FALSE(),TRUE())))</f>
        <v/>
      </c>
      <c r="AP216" s="133" t="str">
        <f aca="false">IF(ISBLANK($C216),"",IF(ISNUMBER(O216),IF(O216&gt;=0,O216,""),""))</f>
        <v/>
      </c>
      <c r="AQ216" s="133" t="str">
        <f aca="false">IF(ISBLANK($C216),"",IF(P216=Constants!$B$3,TRUE(),IF(P216=Constants!$B$4,FALSE(),FALSE())))</f>
        <v/>
      </c>
      <c r="AR216" s="133" t="str">
        <f aca="false">IF(ISBLANK($C216),"",IF(Q216=Constants!$B$3,TRUE(),IF(Q216=Constants!$B$4,FALSE(),TRUE())))</f>
        <v/>
      </c>
      <c r="AS216" s="133" t="str">
        <f aca="false">IF(ISBLANK($C216),"",IF(R216=Constants!$B$3,TRUE(),IF(R216=Constants!$B$4,FALSE(),TRUE())))</f>
        <v/>
      </c>
      <c r="AT216" s="133" t="str">
        <f aca="false">IF(ISBLANK($C216),"",IF(S216=Constants!$B$5,TRUE(),IF(S216=Constants!$B$6,FALSE(),COUNTA(T216:X216)&gt;0)))</f>
        <v/>
      </c>
      <c r="AU216" s="134" t="str">
        <f aca="false">IF(ISBLANK($C216),"",IF(ISNUMBER(T216),IF(T216&gt;=0,T216,""),""))</f>
        <v/>
      </c>
      <c r="AV216" s="135" t="str">
        <f aca="false">IF(ISBLANK($C216),"",IF(ISNUMBER(U216),IF(U216&gt;=0,U216,""),""))</f>
        <v/>
      </c>
      <c r="AW216" s="135" t="str">
        <f aca="false">IF(ISBLANK($C216),"",IF(V216=Constants!$B$3,TRUE(),IF(V216=Constants!$B$4,FALSE(),TRUE())))</f>
        <v/>
      </c>
      <c r="AX216" s="133" t="str">
        <f aca="false">IF(ISBLANK($C216),"",IF(ISNUMBER(W216),IF(W216&gt;=0,W216,""),""))</f>
        <v/>
      </c>
      <c r="AY216" s="133" t="str">
        <f aca="false">IF(ISBLANK($C216),"",IF(X216=Constants!$B$3,TRUE(),IF(X216=Constants!$B$4,FALSE(),FALSE())))</f>
        <v/>
      </c>
      <c r="AZ216" s="133" t="str">
        <f aca="false">IF(ISBLANK($C216),"",MIN(Constants!$B$31,MAX(0,IF(ISNUMBER(Y216),Y216*60,0)+IF(ISNUMBER(Z216),Z216,0))))</f>
        <v/>
      </c>
      <c r="BA216" s="133" t="str">
        <f aca="false">IF(ISBLANK($C216),"",IF(AA216=Constants!$B$3,TRUE(),IF(AA216=Constants!$B$4,FALSE(),FALSE())))</f>
        <v/>
      </c>
      <c r="BB216" s="132" t="str">
        <f aca="false">IF(ISBLANK($C216),"",AND($AL216,OR($AM216="",$AN216="",AND($AO216,$AP216=""))))</f>
        <v/>
      </c>
      <c r="BC216" s="135" t="str">
        <f aca="false">IF($BR216&lt;&gt;Constants!$B$8,"",IF($AL216,Constants!$B$21*$AN216+Constants!$B$22*IF($AO216,$AP216,Constants!$B$23),Constants!$B$24))</f>
        <v/>
      </c>
      <c r="BD216" s="136" t="str">
        <f aca="false">IF($BR216&lt;&gt;Constants!$B$8,"",Constants!$B$25*ABS($AD$9-IF($AL216,$AM216,0)))</f>
        <v/>
      </c>
      <c r="BE216" s="136" t="str">
        <f aca="false">IF($BR216&lt;&gt;Constants!$B$8,"",IF(AND($AL216,$AQ216,$AO216),Constants!$B$27,0))</f>
        <v/>
      </c>
      <c r="BF216" s="136" t="str">
        <f aca="false">IF($BR216&lt;&gt;Constants!$B$8,"",IF($AL216,($AI216-Constants!$B$29)*Constants!$B$28,0))</f>
        <v/>
      </c>
      <c r="BG216" s="136" t="str">
        <f aca="false">IF($BR216&lt;&gt;Constants!$B$8,"",IF($AK216,0,Constants!$B$15)+IF($AJ216,0,Constants!$B$16)+IF($AH216,0,Constants!$B$17))</f>
        <v/>
      </c>
      <c r="BH216" s="137" t="str">
        <f aca="false">IF($BR216&lt;&gt;Constants!$B$8,"",Constants!$B$20+SUM($BC216:$BG216))</f>
        <v/>
      </c>
      <c r="BI216" s="133" t="str">
        <f aca="false">IF($BR216&lt;&gt;Constants!$B$8,"",IF(OR($BP216&lt;$BH216,AND($BP216=$BH216,OR($BK216&lt;$BC216,AND($BK216=$BC216,OR($BL216&lt;$BD216,AND($BL216=$BD216,$AT216,$AL216,$AV216&lt;$AN216)))))),"-&gt;","&lt;-"))</f>
        <v/>
      </c>
      <c r="BJ216" s="132" t="str">
        <f aca="false">IF(ISBLANK($C216),"",AND($AT216,OR($AU216="",$AV216="",AND($AW216,$AX216=""))))</f>
        <v/>
      </c>
      <c r="BK216" s="135" t="str">
        <f aca="false">IF($BR216&lt;&gt;Constants!$B$8,"",IF($AT216,Constants!$B$21*$AV216+Constants!$B$22*IF($AW216,$AX216,Constants!$B$23),Constants!$B$24))</f>
        <v/>
      </c>
      <c r="BL216" s="136" t="str">
        <f aca="false">IF($BR216&lt;&gt;Constants!$B$8,"",Constants!$B$25*ABS($AD$9-IF($AT216,$AU216,0)))</f>
        <v/>
      </c>
      <c r="BM216" s="136" t="str">
        <f aca="false">IF($BR216&lt;&gt;Constants!$B$8,"",IF(AND($AT216,$AY216,$AW216),Constants!$B$27,0))</f>
        <v/>
      </c>
      <c r="BN216" s="136" t="str">
        <f aca="false">IF($BR216&lt;&gt;Constants!$B$8,"",IF($AT216,($AI216-Constants!$B$29)*Constants!$B$28,0))</f>
        <v/>
      </c>
      <c r="BO216" s="136" t="str">
        <f aca="false">IF($BR216&lt;&gt;Constants!$B$8,"",IF($AS216,0,Constants!$B$15)+IF($AR216,0,Constants!$B$16)+IF($AH216,0,Constants!$B$17))</f>
        <v/>
      </c>
      <c r="BP216" s="137" t="str">
        <f aca="false">IF($BR216&lt;&gt;Constants!$B$8,"",Constants!$B$20+SUM($BK216:$BO216))</f>
        <v/>
      </c>
      <c r="BQ216" s="133" t="str">
        <f aca="false">IF(ISBLANK($C216),"",IF(ISBLANK($D$7),$BQ$5,IF(NOT(ISNUMBER($D$7)),$BQ$6,"")))</f>
        <v/>
      </c>
      <c r="BR216" s="133" t="str">
        <f aca="false">IF(ISBLANK($C216),"",IF($BA216,Constants!$B$11,IF(COUNTA($E216:$AA216)=0,Constants!$B$10,IF(NOT($AG216),Constants!$B$9,IF(OR($BQ216&lt;&gt;"",$BB216,$BJ216),Constants!$B$12,Constants!$B$8)))))</f>
        <v/>
      </c>
      <c r="BS216" s="133" t="str">
        <f aca="false">IF(ISBLANK($C216),"",IF($BR216&lt;&gt;Constants!$B$8,$BR216,Constants!$B$13))</f>
        <v/>
      </c>
      <c r="BT216" s="136" t="str">
        <f aca="false">IF($BR216&lt;&gt;Constants!$B$8,"",IF($BI216="-&gt;",$BP216,$BH216))</f>
        <v/>
      </c>
      <c r="BU216" s="136" t="str">
        <f aca="false">IF($BR216&lt;&gt;Constants!$B$8,"",IF($AF216,0,Constants!$B$18))</f>
        <v/>
      </c>
      <c r="BV216" s="136" t="str">
        <f aca="false">IF($BR216&lt;&gt;Constants!$B$8,"",((Constants!$B$31-$AZ216)-Constants!$B$31)/Constants!$B$32)</f>
        <v/>
      </c>
      <c r="BW216" s="136" t="str">
        <f aca="false">IF(ISBLANK($C216),"",IF($BR216&lt;&gt;Constants!$B$8,$BR216,SUM($BT216:$BV216)))</f>
        <v/>
      </c>
      <c r="BX216" s="133" t="str">
        <f aca="false">IF(ISBLANK($C216),"",IF($BR216&lt;&gt;Constants!$B$8,$BR216,RANK($BW216,$BW$9:$BW$508,1)))</f>
        <v/>
      </c>
      <c r="BY216" s="136" t="str">
        <f aca="false">IF($BR216&lt;&gt;Constants!$B$8,"",IF($BI216="-&gt;",$BK216,$BC216))</f>
        <v/>
      </c>
      <c r="BZ216" s="133" t="str">
        <f aca="false">IF(ISBLANK($C216),"",IF($BR216&lt;&gt;Constants!$B$8,$BR216,IF(ISNUMBER($BY216),RANK($BY216,$BY$9:$BY$508,1),COUNT($BY$9:$BY$508)+1)))</f>
        <v/>
      </c>
      <c r="CA216" s="136" t="str">
        <f aca="false">IF($BR216&lt;&gt;Constants!$B$8,"",IF($BI216="-&gt;",$BL216,$BD216))</f>
        <v/>
      </c>
      <c r="CB216" s="133" t="str">
        <f aca="false">IF(ISBLANK($C216),"",IF($BR216&lt;&gt;Constants!$B$8,$BR216,IF(ISNUMBER($CA216),RANK($CA216,$CA$9:$CA$508,1),COUNT($CA$9:$CA$508)+1)))</f>
        <v/>
      </c>
      <c r="CC216" s="136" t="str">
        <f aca="false">IF($BR216&lt;&gt;Constants!$B$8,"",IF($BI216="-&gt;",IF($AT216,$AV216,""),IF($AL216,$AN216,"")))</f>
        <v/>
      </c>
      <c r="CD216" s="133" t="str">
        <f aca="false">IF(ISBLANK($C216),"",IF($BR216&lt;&gt;Constants!$B$8,$BR216,IF(ISNUMBER($CC216),RANK($CC216,$CC$9:$CC$508,1),COUNT($CC$9:$CC$508)+1)))</f>
        <v/>
      </c>
      <c r="CE216" s="136" t="str">
        <f aca="false">IF($BR216&lt;&gt;Constants!$B$8,"",IF(AND(NOT($AL216),NOT($AT216),$AJ216,$AK216,$AR216,$AS216),"",$AI216))</f>
        <v/>
      </c>
      <c r="CF216" s="133" t="str">
        <f aca="false">IF(ISBLANK($C216),"",IF($BR216&lt;&gt;Constants!$B$8,$BR216,IF(ISNUMBER($CE216),RANK($CE216,$CE$9:$CE$508,1),COUNT($CE$9:$CE$508)+1)))</f>
        <v/>
      </c>
      <c r="CG216" s="133" t="str">
        <f aca="false">IF(ISBLANK($C216),"",IF($BR216&lt;&gt;Constants!$B$8,$BR216,COUNTIFS($BX$9:$BX$508,"&lt;"&amp;$BX216)+COUNTIFS($BX$9:$BX$508,$BX216,$BZ$9:$BZ$508,"&lt;"&amp;$BZ216)+COUNTIFS($BX$9:$BX$508,$BX216,$BZ$9:$BZ$508,$BZ216,$CB$9:$CB$508,"&lt;"&amp;$CB216)+COUNTIFS($BX$9:$BX$508,$BX216,$BZ$9:$BZ$508,$BZ216,$CB$9:$CB$508,$CB216,$CD$9:$CD$508,"&lt;"&amp;$CD216)+COUNTIFS($BX$9:$BX$508,$BX216,$BZ$9:$BZ$508,$BZ216,$CB$9:$CB$508,$CB216,$CD$9:$CD$508,$CD216,$CF$9:$CF$508,"&lt;"&amp;$CF216)+1))</f>
        <v/>
      </c>
      <c r="CH216" s="133" t="str">
        <f aca="false">IF(ISBLANK($C216),"",IF($BR216&lt;&gt;Constants!$B$8,$BR216,$BX216-$CG216))</f>
        <v/>
      </c>
      <c r="CI216" s="138"/>
      <c r="CJ216" s="139"/>
      <c r="CK216" s="140" t="str">
        <f aca="false">IF(ISBLANK($C216),"",IF($BR216=Constants!$B$12,$BQ216,""))</f>
        <v/>
      </c>
      <c r="CL216" s="139" t="str">
        <f aca="false">IF(ISBLANK($C216),"",IF($BR216&lt;&gt;Constants!$B$8,"",IF($BI216="-&gt;",2,1)))</f>
        <v/>
      </c>
      <c r="CM216" s="141" t="str">
        <f aca="false">IF(ISBLANK($C216),"",IF($BR216&lt;&gt;Constants!$B$8,"",IF($BI216="-&gt;",$BK216,$BC216)))</f>
        <v/>
      </c>
      <c r="CN216" s="141" t="str">
        <f aca="false">IF(ISBLANK($C216),"",IF($BR216&lt;&gt;Constants!$B$8,"",IF($BI216="-&gt;",$BL216,$BD216)))</f>
        <v/>
      </c>
      <c r="CO216" s="141" t="str">
        <f aca="false">IF(ISBLANK($C216),"",IF($BR216&lt;&gt;Constants!$B$8,"",IF($BI216="-&gt;",$BM216+$BN216,$BE216+$BF216)+$BV216))</f>
        <v/>
      </c>
      <c r="CP216" s="141" t="str">
        <f aca="false">IF(ISBLANK($C216),"",IF($BR216&lt;&gt;Constants!$B$8,"",IF($BI216="-&gt;",$BO216,$BG216)+$BU216))</f>
        <v/>
      </c>
      <c r="CQ216" s="142" t="str">
        <f aca="false">IF(ISBLANK($C216),"",IF($BR216&lt;&gt;Constants!$B$8,$BR216,$BW216))</f>
        <v/>
      </c>
      <c r="CR216" s="143" t="str">
        <f aca="false">IF(ISBLANK($C216),"",$BS216)</f>
        <v/>
      </c>
      <c r="CS216" s="144" t="str">
        <f aca="false">IF(ISBLANK($C216),"",$CH216)</f>
        <v/>
      </c>
      <c r="CT216" s="144" t="str">
        <f aca="false">IF(ISBLANK($C216),"",$CG216)</f>
        <v/>
      </c>
      <c r="CU216" s="145" t="str">
        <f aca="false">IF(ISBLANK($C216),"",IFERROR(_xlfn.SWITCH($CT216,Constants!$B$11,COUNTA($C$9:$C$508)+2,Constants!$B$10,COUNTA($C$9:$C$508)+1,Constants!$B$9,COUNTA($C$9:$C$508)),$CT216))</f>
        <v/>
      </c>
      <c r="CV216" s="9"/>
      <c r="CW216" s="146" t="n">
        <f aca="false">IF(OR(ISNUMBER($CT216),$CT216=Constants!$B$11,$CT216=Constants!$B$9,$CT216=Constants!$B$10),1,0)</f>
        <v>0</v>
      </c>
      <c r="CX216" s="146" t="n">
        <v>208</v>
      </c>
      <c r="CY216" s="146" t="str">
        <f aca="false">IF(ISBLANK($C216),"",IF(ISNUMBER($CU216),$CU216+ROW($B216)/1000,""))</f>
        <v/>
      </c>
      <c r="CZ216" s="146" t="str">
        <f aca="false">IF(ISNUMBER($CY216),RANK($CY216,$CY$9:$CY$508,1),"")</f>
        <v/>
      </c>
      <c r="DA216" s="146" t="str">
        <f aca="false">IF(ISBLANK($C216),"",$B216)</f>
        <v/>
      </c>
      <c r="DB216" s="146" t="str">
        <f aca="false">IF(ISBLANK($C216),"",$C216)</f>
        <v/>
      </c>
      <c r="DC216" s="146" t="str">
        <f aca="false">IF(ISBLANK($C216),"",$D216)</f>
        <v/>
      </c>
      <c r="DD216" s="147" t="str">
        <f aca="false">$CR216</f>
        <v/>
      </c>
      <c r="DE216" s="148" t="str">
        <f aca="false">$CQ216</f>
        <v/>
      </c>
      <c r="DF216" s="146" t="str">
        <f aca="false">IF(ISBLANK($C216),"",$CT216)</f>
        <v/>
      </c>
      <c r="DG216" s="149" t="str">
        <f aca="false">IF($CX216&gt;$CW$8,"",VLOOKUP($CX216,$CZ$9:$DF$508,7,FALSE()))</f>
        <v/>
      </c>
      <c r="DH216" s="150" t="str">
        <f aca="false">IF($CX216&gt;$CW$8,"",VLOOKUP($CX216,$CZ$9:$DF$508,2,FALSE()))</f>
        <v/>
      </c>
      <c r="DI216" s="150" t="str">
        <f aca="false">IF($CX216&gt;$CW$8,"",VLOOKUP($CX216,$CZ$9:$DF$508,3,FALSE()))</f>
        <v/>
      </c>
      <c r="DJ216" s="150" t="str">
        <f aca="false">IF($CX216&gt;$CW$8,"",VLOOKUP($CX216,$CZ$9:$DF$508,4,FALSE()))</f>
        <v/>
      </c>
      <c r="DK216" s="150" t="str">
        <f aca="false">IF($CX216&gt;$CW$8,"",VLOOKUP($CX216,$CZ$9:$DF$508,5,FALSE()))</f>
        <v/>
      </c>
      <c r="DL216" s="151" t="str">
        <f aca="false">IF($CX216&gt;$CW$8,"",VLOOKUP($CX216,$CZ$9:$DF$508,6,FALSE()))</f>
        <v/>
      </c>
      <c r="DM216" s="75"/>
    </row>
    <row r="217" customFormat="false" ht="15.75" hidden="false" customHeight="false" outlineLevel="0" collapsed="false">
      <c r="A217" s="9"/>
      <c r="B217" s="157"/>
      <c r="C217" s="158"/>
      <c r="D217" s="159"/>
      <c r="E217" s="177"/>
      <c r="F217" s="161"/>
      <c r="G217" s="162"/>
      <c r="H217" s="162"/>
      <c r="I217" s="178"/>
      <c r="J217" s="165"/>
      <c r="K217" s="126"/>
      <c r="L217" s="127"/>
      <c r="M217" s="128"/>
      <c r="N217" s="165"/>
      <c r="O217" s="165"/>
      <c r="P217" s="177"/>
      <c r="Q217" s="165"/>
      <c r="R217" s="165"/>
      <c r="S217" s="126"/>
      <c r="T217" s="128"/>
      <c r="U217" s="128"/>
      <c r="V217" s="165"/>
      <c r="W217" s="165"/>
      <c r="X217" s="177"/>
      <c r="Y217" s="165"/>
      <c r="Z217" s="166"/>
      <c r="AA217" s="165"/>
      <c r="AB217" s="132"/>
      <c r="AC217" s="133"/>
      <c r="AD217" s="133"/>
      <c r="AE217" s="133"/>
      <c r="AF217" s="133" t="str">
        <f aca="false">IF(ISBLANK($C217),"",IF(E217=Constants!$B$3,TRUE(),IF(E217=Constants!$B$4,FALSE(),TRUE())))</f>
        <v/>
      </c>
      <c r="AG217" s="133" t="str">
        <f aca="false">IF(ISBLANK($C217),"",IF(F217=Constants!$B$3,TRUE(),IF(F217=Constants!$B$4,FALSE(),TRUE())))</f>
        <v/>
      </c>
      <c r="AH217" s="133" t="str">
        <f aca="false">IF(ISBLANK($C217),"",IF(G217=Constants!$B$3,TRUE(),IF(G217=Constants!$B$4,FALSE(),TRUE())))</f>
        <v/>
      </c>
      <c r="AI217" s="133" t="str">
        <f aca="false">IF(ISBLANK($C217),"",IF(AND(ISNUMBER(H217),H217&gt;=0),H217,Constants!$B$29))</f>
        <v/>
      </c>
      <c r="AJ217" s="133" t="str">
        <f aca="false">IF(ISBLANK($C217),"",IF(I217=Constants!$B$3,TRUE(),IF(I217=Constants!$B$4,FALSE(),TRUE())))</f>
        <v/>
      </c>
      <c r="AK217" s="133" t="str">
        <f aca="false">IF(ISBLANK($C217),"",IF(J217=Constants!$B$3,TRUE(),IF(J217=Constants!$B$4,FALSE(),TRUE())))</f>
        <v/>
      </c>
      <c r="AL217" s="133" t="str">
        <f aca="false">IF(ISBLANK($C217),"",IF(K217=Constants!$B$5,TRUE(),IF(K217=Constants!$B$6,FALSE(),COUNTA(L217:P217)&gt;0)))</f>
        <v/>
      </c>
      <c r="AM217" s="134" t="str">
        <f aca="false">IF(ISBLANK($C217),"",IF(ISNUMBER(L217),IF(L217&gt;=0,L217,""),""))</f>
        <v/>
      </c>
      <c r="AN217" s="135" t="str">
        <f aca="false">IF(ISBLANK($C217),"",IF(ISNUMBER(M217),IF(M217&gt;=0,M217,""),""))</f>
        <v/>
      </c>
      <c r="AO217" s="135" t="str">
        <f aca="false">IF(ISBLANK($C217),"",IF(N217=Constants!$B$3,TRUE(),IF(N217=Constants!$B$4,FALSE(),TRUE())))</f>
        <v/>
      </c>
      <c r="AP217" s="133" t="str">
        <f aca="false">IF(ISBLANK($C217),"",IF(ISNUMBER(O217),IF(O217&gt;=0,O217,""),""))</f>
        <v/>
      </c>
      <c r="AQ217" s="133" t="str">
        <f aca="false">IF(ISBLANK($C217),"",IF(P217=Constants!$B$3,TRUE(),IF(P217=Constants!$B$4,FALSE(),FALSE())))</f>
        <v/>
      </c>
      <c r="AR217" s="133" t="str">
        <f aca="false">IF(ISBLANK($C217),"",IF(Q217=Constants!$B$3,TRUE(),IF(Q217=Constants!$B$4,FALSE(),TRUE())))</f>
        <v/>
      </c>
      <c r="AS217" s="133" t="str">
        <f aca="false">IF(ISBLANK($C217),"",IF(R217=Constants!$B$3,TRUE(),IF(R217=Constants!$B$4,FALSE(),TRUE())))</f>
        <v/>
      </c>
      <c r="AT217" s="133" t="str">
        <f aca="false">IF(ISBLANK($C217),"",IF(S217=Constants!$B$5,TRUE(),IF(S217=Constants!$B$6,FALSE(),COUNTA(T217:X217)&gt;0)))</f>
        <v/>
      </c>
      <c r="AU217" s="134" t="str">
        <f aca="false">IF(ISBLANK($C217),"",IF(ISNUMBER(T217),IF(T217&gt;=0,T217,""),""))</f>
        <v/>
      </c>
      <c r="AV217" s="135" t="str">
        <f aca="false">IF(ISBLANK($C217),"",IF(ISNUMBER(U217),IF(U217&gt;=0,U217,""),""))</f>
        <v/>
      </c>
      <c r="AW217" s="135" t="str">
        <f aca="false">IF(ISBLANK($C217),"",IF(V217=Constants!$B$3,TRUE(),IF(V217=Constants!$B$4,FALSE(),TRUE())))</f>
        <v/>
      </c>
      <c r="AX217" s="133" t="str">
        <f aca="false">IF(ISBLANK($C217),"",IF(ISNUMBER(W217),IF(W217&gt;=0,W217,""),""))</f>
        <v/>
      </c>
      <c r="AY217" s="133" t="str">
        <f aca="false">IF(ISBLANK($C217),"",IF(X217=Constants!$B$3,TRUE(),IF(X217=Constants!$B$4,FALSE(),FALSE())))</f>
        <v/>
      </c>
      <c r="AZ217" s="133" t="str">
        <f aca="false">IF(ISBLANK($C217),"",MIN(Constants!$B$31,MAX(0,IF(ISNUMBER(Y217),Y217*60,0)+IF(ISNUMBER(Z217),Z217,0))))</f>
        <v/>
      </c>
      <c r="BA217" s="133" t="str">
        <f aca="false">IF(ISBLANK($C217),"",IF(AA217=Constants!$B$3,TRUE(),IF(AA217=Constants!$B$4,FALSE(),FALSE())))</f>
        <v/>
      </c>
      <c r="BB217" s="132" t="str">
        <f aca="false">IF(ISBLANK($C217),"",AND($AL217,OR($AM217="",$AN217="",AND($AO217,$AP217=""))))</f>
        <v/>
      </c>
      <c r="BC217" s="135" t="str">
        <f aca="false">IF($BR217&lt;&gt;Constants!$B$8,"",IF($AL217,Constants!$B$21*$AN217+Constants!$B$22*IF($AO217,$AP217,Constants!$B$23),Constants!$B$24))</f>
        <v/>
      </c>
      <c r="BD217" s="136" t="str">
        <f aca="false">IF($BR217&lt;&gt;Constants!$B$8,"",Constants!$B$25*ABS($AD$9-IF($AL217,$AM217,0)))</f>
        <v/>
      </c>
      <c r="BE217" s="136" t="str">
        <f aca="false">IF($BR217&lt;&gt;Constants!$B$8,"",IF(AND($AL217,$AQ217,$AO217),Constants!$B$27,0))</f>
        <v/>
      </c>
      <c r="BF217" s="136" t="str">
        <f aca="false">IF($BR217&lt;&gt;Constants!$B$8,"",IF($AL217,($AI217-Constants!$B$29)*Constants!$B$28,0))</f>
        <v/>
      </c>
      <c r="BG217" s="136" t="str">
        <f aca="false">IF($BR217&lt;&gt;Constants!$B$8,"",IF($AK217,0,Constants!$B$15)+IF($AJ217,0,Constants!$B$16)+IF($AH217,0,Constants!$B$17))</f>
        <v/>
      </c>
      <c r="BH217" s="137" t="str">
        <f aca="false">IF($BR217&lt;&gt;Constants!$B$8,"",Constants!$B$20+SUM($BC217:$BG217))</f>
        <v/>
      </c>
      <c r="BI217" s="133" t="str">
        <f aca="false">IF($BR217&lt;&gt;Constants!$B$8,"",IF(OR($BP217&lt;$BH217,AND($BP217=$BH217,OR($BK217&lt;$BC217,AND($BK217=$BC217,OR($BL217&lt;$BD217,AND($BL217=$BD217,$AT217,$AL217,$AV217&lt;$AN217)))))),"-&gt;","&lt;-"))</f>
        <v/>
      </c>
      <c r="BJ217" s="132" t="str">
        <f aca="false">IF(ISBLANK($C217),"",AND($AT217,OR($AU217="",$AV217="",AND($AW217,$AX217=""))))</f>
        <v/>
      </c>
      <c r="BK217" s="135" t="str">
        <f aca="false">IF($BR217&lt;&gt;Constants!$B$8,"",IF($AT217,Constants!$B$21*$AV217+Constants!$B$22*IF($AW217,$AX217,Constants!$B$23),Constants!$B$24))</f>
        <v/>
      </c>
      <c r="BL217" s="136" t="str">
        <f aca="false">IF($BR217&lt;&gt;Constants!$B$8,"",Constants!$B$25*ABS($AD$9-IF($AT217,$AU217,0)))</f>
        <v/>
      </c>
      <c r="BM217" s="136" t="str">
        <f aca="false">IF($BR217&lt;&gt;Constants!$B$8,"",IF(AND($AT217,$AY217,$AW217),Constants!$B$27,0))</f>
        <v/>
      </c>
      <c r="BN217" s="136" t="str">
        <f aca="false">IF($BR217&lt;&gt;Constants!$B$8,"",IF($AT217,($AI217-Constants!$B$29)*Constants!$B$28,0))</f>
        <v/>
      </c>
      <c r="BO217" s="136" t="str">
        <f aca="false">IF($BR217&lt;&gt;Constants!$B$8,"",IF($AS217,0,Constants!$B$15)+IF($AR217,0,Constants!$B$16)+IF($AH217,0,Constants!$B$17))</f>
        <v/>
      </c>
      <c r="BP217" s="137" t="str">
        <f aca="false">IF($BR217&lt;&gt;Constants!$B$8,"",Constants!$B$20+SUM($BK217:$BO217))</f>
        <v/>
      </c>
      <c r="BQ217" s="133" t="str">
        <f aca="false">IF(ISBLANK($C217),"",IF(ISBLANK($D$7),$BQ$5,IF(NOT(ISNUMBER($D$7)),$BQ$6,"")))</f>
        <v/>
      </c>
      <c r="BR217" s="133" t="str">
        <f aca="false">IF(ISBLANK($C217),"",IF($BA217,Constants!$B$11,IF(COUNTA($E217:$AA217)=0,Constants!$B$10,IF(NOT($AG217),Constants!$B$9,IF(OR($BQ217&lt;&gt;"",$BB217,$BJ217),Constants!$B$12,Constants!$B$8)))))</f>
        <v/>
      </c>
      <c r="BS217" s="133" t="str">
        <f aca="false">IF(ISBLANK($C217),"",IF($BR217&lt;&gt;Constants!$B$8,$BR217,Constants!$B$13))</f>
        <v/>
      </c>
      <c r="BT217" s="136" t="str">
        <f aca="false">IF($BR217&lt;&gt;Constants!$B$8,"",IF($BI217="-&gt;",$BP217,$BH217))</f>
        <v/>
      </c>
      <c r="BU217" s="136" t="str">
        <f aca="false">IF($BR217&lt;&gt;Constants!$B$8,"",IF($AF217,0,Constants!$B$18))</f>
        <v/>
      </c>
      <c r="BV217" s="136" t="str">
        <f aca="false">IF($BR217&lt;&gt;Constants!$B$8,"",((Constants!$B$31-$AZ217)-Constants!$B$31)/Constants!$B$32)</f>
        <v/>
      </c>
      <c r="BW217" s="136" t="str">
        <f aca="false">IF(ISBLANK($C217),"",IF($BR217&lt;&gt;Constants!$B$8,$BR217,SUM($BT217:$BV217)))</f>
        <v/>
      </c>
      <c r="BX217" s="133" t="str">
        <f aca="false">IF(ISBLANK($C217),"",IF($BR217&lt;&gt;Constants!$B$8,$BR217,RANK($BW217,$BW$9:$BW$508,1)))</f>
        <v/>
      </c>
      <c r="BY217" s="136" t="str">
        <f aca="false">IF($BR217&lt;&gt;Constants!$B$8,"",IF($BI217="-&gt;",$BK217,$BC217))</f>
        <v/>
      </c>
      <c r="BZ217" s="133" t="str">
        <f aca="false">IF(ISBLANK($C217),"",IF($BR217&lt;&gt;Constants!$B$8,$BR217,IF(ISNUMBER($BY217),RANK($BY217,$BY$9:$BY$508,1),COUNT($BY$9:$BY$508)+1)))</f>
        <v/>
      </c>
      <c r="CA217" s="136" t="str">
        <f aca="false">IF($BR217&lt;&gt;Constants!$B$8,"",IF($BI217="-&gt;",$BL217,$BD217))</f>
        <v/>
      </c>
      <c r="CB217" s="133" t="str">
        <f aca="false">IF(ISBLANK($C217),"",IF($BR217&lt;&gt;Constants!$B$8,$BR217,IF(ISNUMBER($CA217),RANK($CA217,$CA$9:$CA$508,1),COUNT($CA$9:$CA$508)+1)))</f>
        <v/>
      </c>
      <c r="CC217" s="136" t="str">
        <f aca="false">IF($BR217&lt;&gt;Constants!$B$8,"",IF($BI217="-&gt;",IF($AT217,$AV217,""),IF($AL217,$AN217,"")))</f>
        <v/>
      </c>
      <c r="CD217" s="133" t="str">
        <f aca="false">IF(ISBLANK($C217),"",IF($BR217&lt;&gt;Constants!$B$8,$BR217,IF(ISNUMBER($CC217),RANK($CC217,$CC$9:$CC$508,1),COUNT($CC$9:$CC$508)+1)))</f>
        <v/>
      </c>
      <c r="CE217" s="136" t="str">
        <f aca="false">IF($BR217&lt;&gt;Constants!$B$8,"",IF(AND(NOT($AL217),NOT($AT217),$AJ217,$AK217,$AR217,$AS217),"",$AI217))</f>
        <v/>
      </c>
      <c r="CF217" s="133" t="str">
        <f aca="false">IF(ISBLANK($C217),"",IF($BR217&lt;&gt;Constants!$B$8,$BR217,IF(ISNUMBER($CE217),RANK($CE217,$CE$9:$CE$508,1),COUNT($CE$9:$CE$508)+1)))</f>
        <v/>
      </c>
      <c r="CG217" s="133" t="str">
        <f aca="false">IF(ISBLANK($C217),"",IF($BR217&lt;&gt;Constants!$B$8,$BR217,COUNTIFS($BX$9:$BX$508,"&lt;"&amp;$BX217)+COUNTIFS($BX$9:$BX$508,$BX217,$BZ$9:$BZ$508,"&lt;"&amp;$BZ217)+COUNTIFS($BX$9:$BX$508,$BX217,$BZ$9:$BZ$508,$BZ217,$CB$9:$CB$508,"&lt;"&amp;$CB217)+COUNTIFS($BX$9:$BX$508,$BX217,$BZ$9:$BZ$508,$BZ217,$CB$9:$CB$508,$CB217,$CD$9:$CD$508,"&lt;"&amp;$CD217)+COUNTIFS($BX$9:$BX$508,$BX217,$BZ$9:$BZ$508,$BZ217,$CB$9:$CB$508,$CB217,$CD$9:$CD$508,$CD217,$CF$9:$CF$508,"&lt;"&amp;$CF217)+1))</f>
        <v/>
      </c>
      <c r="CH217" s="133" t="str">
        <f aca="false">IF(ISBLANK($C217),"",IF($BR217&lt;&gt;Constants!$B$8,$BR217,$BX217-$CG217))</f>
        <v/>
      </c>
      <c r="CI217" s="138"/>
      <c r="CJ217" s="139"/>
      <c r="CK217" s="140" t="str">
        <f aca="false">IF(ISBLANK($C217),"",IF($BR217=Constants!$B$12,$BQ217,""))</f>
        <v/>
      </c>
      <c r="CL217" s="139" t="str">
        <f aca="false">IF(ISBLANK($C217),"",IF($BR217&lt;&gt;Constants!$B$8,"",IF($BI217="-&gt;",2,1)))</f>
        <v/>
      </c>
      <c r="CM217" s="141" t="str">
        <f aca="false">IF(ISBLANK($C217),"",IF($BR217&lt;&gt;Constants!$B$8,"",IF($BI217="-&gt;",$BK217,$BC217)))</f>
        <v/>
      </c>
      <c r="CN217" s="141" t="str">
        <f aca="false">IF(ISBLANK($C217),"",IF($BR217&lt;&gt;Constants!$B$8,"",IF($BI217="-&gt;",$BL217,$BD217)))</f>
        <v/>
      </c>
      <c r="CO217" s="141" t="str">
        <f aca="false">IF(ISBLANK($C217),"",IF($BR217&lt;&gt;Constants!$B$8,"",IF($BI217="-&gt;",$BM217+$BN217,$BE217+$BF217)+$BV217))</f>
        <v/>
      </c>
      <c r="CP217" s="141" t="str">
        <f aca="false">IF(ISBLANK($C217),"",IF($BR217&lt;&gt;Constants!$B$8,"",IF($BI217="-&gt;",$BO217,$BG217)+$BU217))</f>
        <v/>
      </c>
      <c r="CQ217" s="142" t="str">
        <f aca="false">IF(ISBLANK($C217),"",IF($BR217&lt;&gt;Constants!$B$8,$BR217,$BW217))</f>
        <v/>
      </c>
      <c r="CR217" s="143" t="str">
        <f aca="false">IF(ISBLANK($C217),"",$BS217)</f>
        <v/>
      </c>
      <c r="CS217" s="144" t="str">
        <f aca="false">IF(ISBLANK($C217),"",$CH217)</f>
        <v/>
      </c>
      <c r="CT217" s="144" t="str">
        <f aca="false">IF(ISBLANK($C217),"",$CG217)</f>
        <v/>
      </c>
      <c r="CU217" s="145" t="str">
        <f aca="false">IF(ISBLANK($C217),"",IFERROR(_xlfn.SWITCH($CT217,Constants!$B$11,COUNTA($C$9:$C$508)+2,Constants!$B$10,COUNTA($C$9:$C$508)+1,Constants!$B$9,COUNTA($C$9:$C$508)),$CT217))</f>
        <v/>
      </c>
      <c r="CV217" s="9"/>
      <c r="CW217" s="146" t="n">
        <f aca="false">IF(OR(ISNUMBER($CT217),$CT217=Constants!$B$11,$CT217=Constants!$B$9,$CT217=Constants!$B$10),1,0)</f>
        <v>0</v>
      </c>
      <c r="CX217" s="146" t="n">
        <v>209</v>
      </c>
      <c r="CY217" s="146" t="str">
        <f aca="false">IF(ISBLANK($C217),"",IF(ISNUMBER($CU217),$CU217+ROW($B217)/1000,""))</f>
        <v/>
      </c>
      <c r="CZ217" s="146" t="str">
        <f aca="false">IF(ISNUMBER($CY217),RANK($CY217,$CY$9:$CY$508,1),"")</f>
        <v/>
      </c>
      <c r="DA217" s="146" t="str">
        <f aca="false">IF(ISBLANK($C217),"",$B217)</f>
        <v/>
      </c>
      <c r="DB217" s="146" t="str">
        <f aca="false">IF(ISBLANK($C217),"",$C217)</f>
        <v/>
      </c>
      <c r="DC217" s="146" t="str">
        <f aca="false">IF(ISBLANK($C217),"",$D217)</f>
        <v/>
      </c>
      <c r="DD217" s="147" t="str">
        <f aca="false">$CR217</f>
        <v/>
      </c>
      <c r="DE217" s="148" t="str">
        <f aca="false">$CQ217</f>
        <v/>
      </c>
      <c r="DF217" s="146" t="str">
        <f aca="false">IF(ISBLANK($C217),"",$CT217)</f>
        <v/>
      </c>
      <c r="DG217" s="149" t="str">
        <f aca="false">IF($CX217&gt;$CW$8,"",VLOOKUP($CX217,$CZ$9:$DF$508,7,FALSE()))</f>
        <v/>
      </c>
      <c r="DH217" s="150" t="str">
        <f aca="false">IF($CX217&gt;$CW$8,"",VLOOKUP($CX217,$CZ$9:$DF$508,2,FALSE()))</f>
        <v/>
      </c>
      <c r="DI217" s="150" t="str">
        <f aca="false">IF($CX217&gt;$CW$8,"",VLOOKUP($CX217,$CZ$9:$DF$508,3,FALSE()))</f>
        <v/>
      </c>
      <c r="DJ217" s="150" t="str">
        <f aca="false">IF($CX217&gt;$CW$8,"",VLOOKUP($CX217,$CZ$9:$DF$508,4,FALSE()))</f>
        <v/>
      </c>
      <c r="DK217" s="150" t="str">
        <f aca="false">IF($CX217&gt;$CW$8,"",VLOOKUP($CX217,$CZ$9:$DF$508,5,FALSE()))</f>
        <v/>
      </c>
      <c r="DL217" s="151" t="str">
        <f aca="false">IF($CX217&gt;$CW$8,"",VLOOKUP($CX217,$CZ$9:$DF$508,6,FALSE()))</f>
        <v/>
      </c>
      <c r="DM217" s="75"/>
    </row>
    <row r="218" customFormat="false" ht="15.75" hidden="false" customHeight="false" outlineLevel="0" collapsed="false">
      <c r="A218" s="9"/>
      <c r="B218" s="157"/>
      <c r="C218" s="158"/>
      <c r="D218" s="159"/>
      <c r="E218" s="177"/>
      <c r="F218" s="161"/>
      <c r="G218" s="162"/>
      <c r="H218" s="162"/>
      <c r="I218" s="178"/>
      <c r="J218" s="165"/>
      <c r="K218" s="126"/>
      <c r="L218" s="127"/>
      <c r="M218" s="128"/>
      <c r="N218" s="165"/>
      <c r="O218" s="165"/>
      <c r="P218" s="177"/>
      <c r="Q218" s="165"/>
      <c r="R218" s="165"/>
      <c r="S218" s="126"/>
      <c r="T218" s="128"/>
      <c r="U218" s="128"/>
      <c r="V218" s="165"/>
      <c r="W218" s="165"/>
      <c r="X218" s="177"/>
      <c r="Y218" s="165"/>
      <c r="Z218" s="166"/>
      <c r="AA218" s="165"/>
      <c r="AB218" s="132"/>
      <c r="AC218" s="133"/>
      <c r="AD218" s="133"/>
      <c r="AE218" s="133"/>
      <c r="AF218" s="133" t="str">
        <f aca="false">IF(ISBLANK($C218),"",IF(E218=Constants!$B$3,TRUE(),IF(E218=Constants!$B$4,FALSE(),TRUE())))</f>
        <v/>
      </c>
      <c r="AG218" s="133" t="str">
        <f aca="false">IF(ISBLANK($C218),"",IF(F218=Constants!$B$3,TRUE(),IF(F218=Constants!$B$4,FALSE(),TRUE())))</f>
        <v/>
      </c>
      <c r="AH218" s="133" t="str">
        <f aca="false">IF(ISBLANK($C218),"",IF(G218=Constants!$B$3,TRUE(),IF(G218=Constants!$B$4,FALSE(),TRUE())))</f>
        <v/>
      </c>
      <c r="AI218" s="133" t="str">
        <f aca="false">IF(ISBLANK($C218),"",IF(AND(ISNUMBER(H218),H218&gt;=0),H218,Constants!$B$29))</f>
        <v/>
      </c>
      <c r="AJ218" s="133" t="str">
        <f aca="false">IF(ISBLANK($C218),"",IF(I218=Constants!$B$3,TRUE(),IF(I218=Constants!$B$4,FALSE(),TRUE())))</f>
        <v/>
      </c>
      <c r="AK218" s="133" t="str">
        <f aca="false">IF(ISBLANK($C218),"",IF(J218=Constants!$B$3,TRUE(),IF(J218=Constants!$B$4,FALSE(),TRUE())))</f>
        <v/>
      </c>
      <c r="AL218" s="133" t="str">
        <f aca="false">IF(ISBLANK($C218),"",IF(K218=Constants!$B$5,TRUE(),IF(K218=Constants!$B$6,FALSE(),COUNTA(L218:P218)&gt;0)))</f>
        <v/>
      </c>
      <c r="AM218" s="134" t="str">
        <f aca="false">IF(ISBLANK($C218),"",IF(ISNUMBER(L218),IF(L218&gt;=0,L218,""),""))</f>
        <v/>
      </c>
      <c r="AN218" s="135" t="str">
        <f aca="false">IF(ISBLANK($C218),"",IF(ISNUMBER(M218),IF(M218&gt;=0,M218,""),""))</f>
        <v/>
      </c>
      <c r="AO218" s="135" t="str">
        <f aca="false">IF(ISBLANK($C218),"",IF(N218=Constants!$B$3,TRUE(),IF(N218=Constants!$B$4,FALSE(),TRUE())))</f>
        <v/>
      </c>
      <c r="AP218" s="133" t="str">
        <f aca="false">IF(ISBLANK($C218),"",IF(ISNUMBER(O218),IF(O218&gt;=0,O218,""),""))</f>
        <v/>
      </c>
      <c r="AQ218" s="133" t="str">
        <f aca="false">IF(ISBLANK($C218),"",IF(P218=Constants!$B$3,TRUE(),IF(P218=Constants!$B$4,FALSE(),FALSE())))</f>
        <v/>
      </c>
      <c r="AR218" s="133" t="str">
        <f aca="false">IF(ISBLANK($C218),"",IF(Q218=Constants!$B$3,TRUE(),IF(Q218=Constants!$B$4,FALSE(),TRUE())))</f>
        <v/>
      </c>
      <c r="AS218" s="133" t="str">
        <f aca="false">IF(ISBLANK($C218),"",IF(R218=Constants!$B$3,TRUE(),IF(R218=Constants!$B$4,FALSE(),TRUE())))</f>
        <v/>
      </c>
      <c r="AT218" s="133" t="str">
        <f aca="false">IF(ISBLANK($C218),"",IF(S218=Constants!$B$5,TRUE(),IF(S218=Constants!$B$6,FALSE(),COUNTA(T218:X218)&gt;0)))</f>
        <v/>
      </c>
      <c r="AU218" s="134" t="str">
        <f aca="false">IF(ISBLANK($C218),"",IF(ISNUMBER(T218),IF(T218&gt;=0,T218,""),""))</f>
        <v/>
      </c>
      <c r="AV218" s="135" t="str">
        <f aca="false">IF(ISBLANK($C218),"",IF(ISNUMBER(U218),IF(U218&gt;=0,U218,""),""))</f>
        <v/>
      </c>
      <c r="AW218" s="135" t="str">
        <f aca="false">IF(ISBLANK($C218),"",IF(V218=Constants!$B$3,TRUE(),IF(V218=Constants!$B$4,FALSE(),TRUE())))</f>
        <v/>
      </c>
      <c r="AX218" s="133" t="str">
        <f aca="false">IF(ISBLANK($C218),"",IF(ISNUMBER(W218),IF(W218&gt;=0,W218,""),""))</f>
        <v/>
      </c>
      <c r="AY218" s="133" t="str">
        <f aca="false">IF(ISBLANK($C218),"",IF(X218=Constants!$B$3,TRUE(),IF(X218=Constants!$B$4,FALSE(),FALSE())))</f>
        <v/>
      </c>
      <c r="AZ218" s="133" t="str">
        <f aca="false">IF(ISBLANK($C218),"",MIN(Constants!$B$31,MAX(0,IF(ISNUMBER(Y218),Y218*60,0)+IF(ISNUMBER(Z218),Z218,0))))</f>
        <v/>
      </c>
      <c r="BA218" s="133" t="str">
        <f aca="false">IF(ISBLANK($C218),"",IF(AA218=Constants!$B$3,TRUE(),IF(AA218=Constants!$B$4,FALSE(),FALSE())))</f>
        <v/>
      </c>
      <c r="BB218" s="132" t="str">
        <f aca="false">IF(ISBLANK($C218),"",AND($AL218,OR($AM218="",$AN218="",AND($AO218,$AP218=""))))</f>
        <v/>
      </c>
      <c r="BC218" s="135" t="str">
        <f aca="false">IF($BR218&lt;&gt;Constants!$B$8,"",IF($AL218,Constants!$B$21*$AN218+Constants!$B$22*IF($AO218,$AP218,Constants!$B$23),Constants!$B$24))</f>
        <v/>
      </c>
      <c r="BD218" s="136" t="str">
        <f aca="false">IF($BR218&lt;&gt;Constants!$B$8,"",Constants!$B$25*ABS($AD$9-IF($AL218,$AM218,0)))</f>
        <v/>
      </c>
      <c r="BE218" s="136" t="str">
        <f aca="false">IF($BR218&lt;&gt;Constants!$B$8,"",IF(AND($AL218,$AQ218,$AO218),Constants!$B$27,0))</f>
        <v/>
      </c>
      <c r="BF218" s="136" t="str">
        <f aca="false">IF($BR218&lt;&gt;Constants!$B$8,"",IF($AL218,($AI218-Constants!$B$29)*Constants!$B$28,0))</f>
        <v/>
      </c>
      <c r="BG218" s="136" t="str">
        <f aca="false">IF($BR218&lt;&gt;Constants!$B$8,"",IF($AK218,0,Constants!$B$15)+IF($AJ218,0,Constants!$B$16)+IF($AH218,0,Constants!$B$17))</f>
        <v/>
      </c>
      <c r="BH218" s="137" t="str">
        <f aca="false">IF($BR218&lt;&gt;Constants!$B$8,"",Constants!$B$20+SUM($BC218:$BG218))</f>
        <v/>
      </c>
      <c r="BI218" s="133" t="str">
        <f aca="false">IF($BR218&lt;&gt;Constants!$B$8,"",IF(OR($BP218&lt;$BH218,AND($BP218=$BH218,OR($BK218&lt;$BC218,AND($BK218=$BC218,OR($BL218&lt;$BD218,AND($BL218=$BD218,$AT218,$AL218,$AV218&lt;$AN218)))))),"-&gt;","&lt;-"))</f>
        <v/>
      </c>
      <c r="BJ218" s="132" t="str">
        <f aca="false">IF(ISBLANK($C218),"",AND($AT218,OR($AU218="",$AV218="",AND($AW218,$AX218=""))))</f>
        <v/>
      </c>
      <c r="BK218" s="135" t="str">
        <f aca="false">IF($BR218&lt;&gt;Constants!$B$8,"",IF($AT218,Constants!$B$21*$AV218+Constants!$B$22*IF($AW218,$AX218,Constants!$B$23),Constants!$B$24))</f>
        <v/>
      </c>
      <c r="BL218" s="136" t="str">
        <f aca="false">IF($BR218&lt;&gt;Constants!$B$8,"",Constants!$B$25*ABS($AD$9-IF($AT218,$AU218,0)))</f>
        <v/>
      </c>
      <c r="BM218" s="136" t="str">
        <f aca="false">IF($BR218&lt;&gt;Constants!$B$8,"",IF(AND($AT218,$AY218,$AW218),Constants!$B$27,0))</f>
        <v/>
      </c>
      <c r="BN218" s="136" t="str">
        <f aca="false">IF($BR218&lt;&gt;Constants!$B$8,"",IF($AT218,($AI218-Constants!$B$29)*Constants!$B$28,0))</f>
        <v/>
      </c>
      <c r="BO218" s="136" t="str">
        <f aca="false">IF($BR218&lt;&gt;Constants!$B$8,"",IF($AS218,0,Constants!$B$15)+IF($AR218,0,Constants!$B$16)+IF($AH218,0,Constants!$B$17))</f>
        <v/>
      </c>
      <c r="BP218" s="137" t="str">
        <f aca="false">IF($BR218&lt;&gt;Constants!$B$8,"",Constants!$B$20+SUM($BK218:$BO218))</f>
        <v/>
      </c>
      <c r="BQ218" s="133" t="str">
        <f aca="false">IF(ISBLANK($C218),"",IF(ISBLANK($D$7),$BQ$5,IF(NOT(ISNUMBER($D$7)),$BQ$6,"")))</f>
        <v/>
      </c>
      <c r="BR218" s="133" t="str">
        <f aca="false">IF(ISBLANK($C218),"",IF($BA218,Constants!$B$11,IF(COUNTA($E218:$AA218)=0,Constants!$B$10,IF(NOT($AG218),Constants!$B$9,IF(OR($BQ218&lt;&gt;"",$BB218,$BJ218),Constants!$B$12,Constants!$B$8)))))</f>
        <v/>
      </c>
      <c r="BS218" s="133" t="str">
        <f aca="false">IF(ISBLANK($C218),"",IF($BR218&lt;&gt;Constants!$B$8,$BR218,Constants!$B$13))</f>
        <v/>
      </c>
      <c r="BT218" s="136" t="str">
        <f aca="false">IF($BR218&lt;&gt;Constants!$B$8,"",IF($BI218="-&gt;",$BP218,$BH218))</f>
        <v/>
      </c>
      <c r="BU218" s="136" t="str">
        <f aca="false">IF($BR218&lt;&gt;Constants!$B$8,"",IF($AF218,0,Constants!$B$18))</f>
        <v/>
      </c>
      <c r="BV218" s="136" t="str">
        <f aca="false">IF($BR218&lt;&gt;Constants!$B$8,"",((Constants!$B$31-$AZ218)-Constants!$B$31)/Constants!$B$32)</f>
        <v/>
      </c>
      <c r="BW218" s="136" t="str">
        <f aca="false">IF(ISBLANK($C218),"",IF($BR218&lt;&gt;Constants!$B$8,$BR218,SUM($BT218:$BV218)))</f>
        <v/>
      </c>
      <c r="BX218" s="133" t="str">
        <f aca="false">IF(ISBLANK($C218),"",IF($BR218&lt;&gt;Constants!$B$8,$BR218,RANK($BW218,$BW$9:$BW$508,1)))</f>
        <v/>
      </c>
      <c r="BY218" s="136" t="str">
        <f aca="false">IF($BR218&lt;&gt;Constants!$B$8,"",IF($BI218="-&gt;",$BK218,$BC218))</f>
        <v/>
      </c>
      <c r="BZ218" s="133" t="str">
        <f aca="false">IF(ISBLANK($C218),"",IF($BR218&lt;&gt;Constants!$B$8,$BR218,IF(ISNUMBER($BY218),RANK($BY218,$BY$9:$BY$508,1),COUNT($BY$9:$BY$508)+1)))</f>
        <v/>
      </c>
      <c r="CA218" s="136" t="str">
        <f aca="false">IF($BR218&lt;&gt;Constants!$B$8,"",IF($BI218="-&gt;",$BL218,$BD218))</f>
        <v/>
      </c>
      <c r="CB218" s="133" t="str">
        <f aca="false">IF(ISBLANK($C218),"",IF($BR218&lt;&gt;Constants!$B$8,$BR218,IF(ISNUMBER($CA218),RANK($CA218,$CA$9:$CA$508,1),COUNT($CA$9:$CA$508)+1)))</f>
        <v/>
      </c>
      <c r="CC218" s="136" t="str">
        <f aca="false">IF($BR218&lt;&gt;Constants!$B$8,"",IF($BI218="-&gt;",IF($AT218,$AV218,""),IF($AL218,$AN218,"")))</f>
        <v/>
      </c>
      <c r="CD218" s="133" t="str">
        <f aca="false">IF(ISBLANK($C218),"",IF($BR218&lt;&gt;Constants!$B$8,$BR218,IF(ISNUMBER($CC218),RANK($CC218,$CC$9:$CC$508,1),COUNT($CC$9:$CC$508)+1)))</f>
        <v/>
      </c>
      <c r="CE218" s="136" t="str">
        <f aca="false">IF($BR218&lt;&gt;Constants!$B$8,"",IF(AND(NOT($AL218),NOT($AT218),$AJ218,$AK218,$AR218,$AS218),"",$AI218))</f>
        <v/>
      </c>
      <c r="CF218" s="133" t="str">
        <f aca="false">IF(ISBLANK($C218),"",IF($BR218&lt;&gt;Constants!$B$8,$BR218,IF(ISNUMBER($CE218),RANK($CE218,$CE$9:$CE$508,1),COUNT($CE$9:$CE$508)+1)))</f>
        <v/>
      </c>
      <c r="CG218" s="133" t="str">
        <f aca="false">IF(ISBLANK($C218),"",IF($BR218&lt;&gt;Constants!$B$8,$BR218,COUNTIFS($BX$9:$BX$508,"&lt;"&amp;$BX218)+COUNTIFS($BX$9:$BX$508,$BX218,$BZ$9:$BZ$508,"&lt;"&amp;$BZ218)+COUNTIFS($BX$9:$BX$508,$BX218,$BZ$9:$BZ$508,$BZ218,$CB$9:$CB$508,"&lt;"&amp;$CB218)+COUNTIFS($BX$9:$BX$508,$BX218,$BZ$9:$BZ$508,$BZ218,$CB$9:$CB$508,$CB218,$CD$9:$CD$508,"&lt;"&amp;$CD218)+COUNTIFS($BX$9:$BX$508,$BX218,$BZ$9:$BZ$508,$BZ218,$CB$9:$CB$508,$CB218,$CD$9:$CD$508,$CD218,$CF$9:$CF$508,"&lt;"&amp;$CF218)+1))</f>
        <v/>
      </c>
      <c r="CH218" s="133" t="str">
        <f aca="false">IF(ISBLANK($C218),"",IF($BR218&lt;&gt;Constants!$B$8,$BR218,$BX218-$CG218))</f>
        <v/>
      </c>
      <c r="CI218" s="138"/>
      <c r="CJ218" s="139"/>
      <c r="CK218" s="140" t="str">
        <f aca="false">IF(ISBLANK($C218),"",IF($BR218=Constants!$B$12,$BQ218,""))</f>
        <v/>
      </c>
      <c r="CL218" s="139" t="str">
        <f aca="false">IF(ISBLANK($C218),"",IF($BR218&lt;&gt;Constants!$B$8,"",IF($BI218="-&gt;",2,1)))</f>
        <v/>
      </c>
      <c r="CM218" s="141" t="str">
        <f aca="false">IF(ISBLANK($C218),"",IF($BR218&lt;&gt;Constants!$B$8,"",IF($BI218="-&gt;",$BK218,$BC218)))</f>
        <v/>
      </c>
      <c r="CN218" s="141" t="str">
        <f aca="false">IF(ISBLANK($C218),"",IF($BR218&lt;&gt;Constants!$B$8,"",IF($BI218="-&gt;",$BL218,$BD218)))</f>
        <v/>
      </c>
      <c r="CO218" s="141" t="str">
        <f aca="false">IF(ISBLANK($C218),"",IF($BR218&lt;&gt;Constants!$B$8,"",IF($BI218="-&gt;",$BM218+$BN218,$BE218+$BF218)+$BV218))</f>
        <v/>
      </c>
      <c r="CP218" s="141" t="str">
        <f aca="false">IF(ISBLANK($C218),"",IF($BR218&lt;&gt;Constants!$B$8,"",IF($BI218="-&gt;",$BO218,$BG218)+$BU218))</f>
        <v/>
      </c>
      <c r="CQ218" s="142" t="str">
        <f aca="false">IF(ISBLANK($C218),"",IF($BR218&lt;&gt;Constants!$B$8,$BR218,$BW218))</f>
        <v/>
      </c>
      <c r="CR218" s="143" t="str">
        <f aca="false">IF(ISBLANK($C218),"",$BS218)</f>
        <v/>
      </c>
      <c r="CS218" s="144" t="str">
        <f aca="false">IF(ISBLANK($C218),"",$CH218)</f>
        <v/>
      </c>
      <c r="CT218" s="144" t="str">
        <f aca="false">IF(ISBLANK($C218),"",$CG218)</f>
        <v/>
      </c>
      <c r="CU218" s="145" t="str">
        <f aca="false">IF(ISBLANK($C218),"",IFERROR(_xlfn.SWITCH($CT218,Constants!$B$11,COUNTA($C$9:$C$508)+2,Constants!$B$10,COUNTA($C$9:$C$508)+1,Constants!$B$9,COUNTA($C$9:$C$508)),$CT218))</f>
        <v/>
      </c>
      <c r="CV218" s="9"/>
      <c r="CW218" s="146" t="n">
        <f aca="false">IF(OR(ISNUMBER($CT218),$CT218=Constants!$B$11,$CT218=Constants!$B$9,$CT218=Constants!$B$10),1,0)</f>
        <v>0</v>
      </c>
      <c r="CX218" s="146" t="n">
        <v>210</v>
      </c>
      <c r="CY218" s="146" t="str">
        <f aca="false">IF(ISBLANK($C218),"",IF(ISNUMBER($CU218),$CU218+ROW($B218)/1000,""))</f>
        <v/>
      </c>
      <c r="CZ218" s="146" t="str">
        <f aca="false">IF(ISNUMBER($CY218),RANK($CY218,$CY$9:$CY$508,1),"")</f>
        <v/>
      </c>
      <c r="DA218" s="146" t="str">
        <f aca="false">IF(ISBLANK($C218),"",$B218)</f>
        <v/>
      </c>
      <c r="DB218" s="146" t="str">
        <f aca="false">IF(ISBLANK($C218),"",$C218)</f>
        <v/>
      </c>
      <c r="DC218" s="146" t="str">
        <f aca="false">IF(ISBLANK($C218),"",$D218)</f>
        <v/>
      </c>
      <c r="DD218" s="147" t="str">
        <f aca="false">$CR218</f>
        <v/>
      </c>
      <c r="DE218" s="148" t="str">
        <f aca="false">$CQ218</f>
        <v/>
      </c>
      <c r="DF218" s="146" t="str">
        <f aca="false">IF(ISBLANK($C218),"",$CT218)</f>
        <v/>
      </c>
      <c r="DG218" s="149" t="str">
        <f aca="false">IF($CX218&gt;$CW$8,"",VLOOKUP($CX218,$CZ$9:$DF$508,7,FALSE()))</f>
        <v/>
      </c>
      <c r="DH218" s="150" t="str">
        <f aca="false">IF($CX218&gt;$CW$8,"",VLOOKUP($CX218,$CZ$9:$DF$508,2,FALSE()))</f>
        <v/>
      </c>
      <c r="DI218" s="150" t="str">
        <f aca="false">IF($CX218&gt;$CW$8,"",VLOOKUP($CX218,$CZ$9:$DF$508,3,FALSE()))</f>
        <v/>
      </c>
      <c r="DJ218" s="150" t="str">
        <f aca="false">IF($CX218&gt;$CW$8,"",VLOOKUP($CX218,$CZ$9:$DF$508,4,FALSE()))</f>
        <v/>
      </c>
      <c r="DK218" s="150" t="str">
        <f aca="false">IF($CX218&gt;$CW$8,"",VLOOKUP($CX218,$CZ$9:$DF$508,5,FALSE()))</f>
        <v/>
      </c>
      <c r="DL218" s="151" t="str">
        <f aca="false">IF($CX218&gt;$CW$8,"",VLOOKUP($CX218,$CZ$9:$DF$508,6,FALSE()))</f>
        <v/>
      </c>
      <c r="DM218" s="75"/>
    </row>
    <row r="219" customFormat="false" ht="15.75" hidden="false" customHeight="false" outlineLevel="0" collapsed="false">
      <c r="A219" s="9"/>
      <c r="B219" s="77"/>
      <c r="C219" s="78"/>
      <c r="D219" s="167"/>
      <c r="E219" s="175"/>
      <c r="F219" s="169"/>
      <c r="G219" s="170"/>
      <c r="H219" s="170"/>
      <c r="I219" s="176"/>
      <c r="J219" s="173"/>
      <c r="K219" s="85"/>
      <c r="L219" s="86"/>
      <c r="M219" s="87"/>
      <c r="N219" s="173"/>
      <c r="O219" s="173"/>
      <c r="P219" s="175"/>
      <c r="Q219" s="173"/>
      <c r="R219" s="173"/>
      <c r="S219" s="85"/>
      <c r="T219" s="87"/>
      <c r="U219" s="87"/>
      <c r="V219" s="173"/>
      <c r="W219" s="173"/>
      <c r="X219" s="175"/>
      <c r="Y219" s="173"/>
      <c r="Z219" s="174"/>
      <c r="AA219" s="173"/>
      <c r="AB219" s="91"/>
      <c r="AC219" s="92"/>
      <c r="AD219" s="92"/>
      <c r="AE219" s="92"/>
      <c r="AF219" s="92" t="str">
        <f aca="false">IF(ISBLANK($C219),"",IF(E219=Constants!$B$3,TRUE(),IF(E219=Constants!$B$4,FALSE(),TRUE())))</f>
        <v/>
      </c>
      <c r="AG219" s="92" t="str">
        <f aca="false">IF(ISBLANK($C219),"",IF(F219=Constants!$B$3,TRUE(),IF(F219=Constants!$B$4,FALSE(),TRUE())))</f>
        <v/>
      </c>
      <c r="AH219" s="92" t="str">
        <f aca="false">IF(ISBLANK($C219),"",IF(G219=Constants!$B$3,TRUE(),IF(G219=Constants!$B$4,FALSE(),TRUE())))</f>
        <v/>
      </c>
      <c r="AI219" s="92" t="str">
        <f aca="false">IF(ISBLANK($C219),"",IF(AND(ISNUMBER(H219),H219&gt;=0),H219,Constants!$B$29))</f>
        <v/>
      </c>
      <c r="AJ219" s="92" t="str">
        <f aca="false">IF(ISBLANK($C219),"",IF(I219=Constants!$B$3,TRUE(),IF(I219=Constants!$B$4,FALSE(),TRUE())))</f>
        <v/>
      </c>
      <c r="AK219" s="92" t="str">
        <f aca="false">IF(ISBLANK($C219),"",IF(J219=Constants!$B$3,TRUE(),IF(J219=Constants!$B$4,FALSE(),TRUE())))</f>
        <v/>
      </c>
      <c r="AL219" s="92" t="str">
        <f aca="false">IF(ISBLANK($C219),"",IF(K219=Constants!$B$5,TRUE(),IF(K219=Constants!$B$6,FALSE(),COUNTA(L219:P219)&gt;0)))</f>
        <v/>
      </c>
      <c r="AM219" s="94" t="str">
        <f aca="false">IF(ISBLANK($C219),"",IF(ISNUMBER(L219),IF(L219&gt;=0,L219,""),""))</f>
        <v/>
      </c>
      <c r="AN219" s="93" t="str">
        <f aca="false">IF(ISBLANK($C219),"",IF(ISNUMBER(M219),IF(M219&gt;=0,M219,""),""))</f>
        <v/>
      </c>
      <c r="AO219" s="93" t="str">
        <f aca="false">IF(ISBLANK($C219),"",IF(N219=Constants!$B$3,TRUE(),IF(N219=Constants!$B$4,FALSE(),TRUE())))</f>
        <v/>
      </c>
      <c r="AP219" s="92" t="str">
        <f aca="false">IF(ISBLANK($C219),"",IF(ISNUMBER(O219),IF(O219&gt;=0,O219,""),""))</f>
        <v/>
      </c>
      <c r="AQ219" s="92" t="str">
        <f aca="false">IF(ISBLANK($C219),"",IF(P219=Constants!$B$3,TRUE(),IF(P219=Constants!$B$4,FALSE(),FALSE())))</f>
        <v/>
      </c>
      <c r="AR219" s="92" t="str">
        <f aca="false">IF(ISBLANK($C219),"",IF(Q219=Constants!$B$3,TRUE(),IF(Q219=Constants!$B$4,FALSE(),TRUE())))</f>
        <v/>
      </c>
      <c r="AS219" s="92" t="str">
        <f aca="false">IF(ISBLANK($C219),"",IF(R219=Constants!$B$3,TRUE(),IF(R219=Constants!$B$4,FALSE(),TRUE())))</f>
        <v/>
      </c>
      <c r="AT219" s="92" t="str">
        <f aca="false">IF(ISBLANK($C219),"",IF(S219=Constants!$B$5,TRUE(),IF(S219=Constants!$B$6,FALSE(),COUNTA(T219:X219)&gt;0)))</f>
        <v/>
      </c>
      <c r="AU219" s="94" t="str">
        <f aca="false">IF(ISBLANK($C219),"",IF(ISNUMBER(T219),IF(T219&gt;=0,T219,""),""))</f>
        <v/>
      </c>
      <c r="AV219" s="93" t="str">
        <f aca="false">IF(ISBLANK($C219),"",IF(ISNUMBER(U219),IF(U219&gt;=0,U219,""),""))</f>
        <v/>
      </c>
      <c r="AW219" s="93" t="str">
        <f aca="false">IF(ISBLANK($C219),"",IF(V219=Constants!$B$3,TRUE(),IF(V219=Constants!$B$4,FALSE(),TRUE())))</f>
        <v/>
      </c>
      <c r="AX219" s="92" t="str">
        <f aca="false">IF(ISBLANK($C219),"",IF(ISNUMBER(W219),IF(W219&gt;=0,W219,""),""))</f>
        <v/>
      </c>
      <c r="AY219" s="92" t="str">
        <f aca="false">IF(ISBLANK($C219),"",IF(X219=Constants!$B$3,TRUE(),IF(X219=Constants!$B$4,FALSE(),FALSE())))</f>
        <v/>
      </c>
      <c r="AZ219" s="92" t="str">
        <f aca="false">IF(ISBLANK($C219),"",MIN(Constants!$B$31,MAX(0,IF(ISNUMBER(Y219),Y219*60,0)+IF(ISNUMBER(Z219),Z219,0))))</f>
        <v/>
      </c>
      <c r="BA219" s="92" t="str">
        <f aca="false">IF(ISBLANK($C219),"",IF(AA219=Constants!$B$3,TRUE(),IF(AA219=Constants!$B$4,FALSE(),FALSE())))</f>
        <v/>
      </c>
      <c r="BB219" s="91" t="str">
        <f aca="false">IF(ISBLANK($C219),"",AND($AL219,OR($AM219="",$AN219="",AND($AO219,$AP219=""))))</f>
        <v/>
      </c>
      <c r="BC219" s="93" t="str">
        <f aca="false">IF($BR219&lt;&gt;Constants!$B$8,"",IF($AL219,Constants!$B$21*$AN219+Constants!$B$22*IF($AO219,$AP219,Constants!$B$23),Constants!$B$24))</f>
        <v/>
      </c>
      <c r="BD219" s="96" t="str">
        <f aca="false">IF($BR219&lt;&gt;Constants!$B$8,"",Constants!$B$25*ABS($AD$9-IF($AL219,$AM219,0)))</f>
        <v/>
      </c>
      <c r="BE219" s="96" t="str">
        <f aca="false">IF($BR219&lt;&gt;Constants!$B$8,"",IF(AND($AL219,$AQ219,$AO219),Constants!$B$27,0))</f>
        <v/>
      </c>
      <c r="BF219" s="96" t="str">
        <f aca="false">IF($BR219&lt;&gt;Constants!$B$8,"",IF($AL219,($AI219-Constants!$B$29)*Constants!$B$28,0))</f>
        <v/>
      </c>
      <c r="BG219" s="96" t="str">
        <f aca="false">IF($BR219&lt;&gt;Constants!$B$8,"",IF($AK219,0,Constants!$B$15)+IF($AJ219,0,Constants!$B$16)+IF($AH219,0,Constants!$B$17))</f>
        <v/>
      </c>
      <c r="BH219" s="97" t="str">
        <f aca="false">IF($BR219&lt;&gt;Constants!$B$8,"",Constants!$B$20+SUM($BC219:$BG219))</f>
        <v/>
      </c>
      <c r="BI219" s="92" t="str">
        <f aca="false">IF($BR219&lt;&gt;Constants!$B$8,"",IF(OR($BP219&lt;$BH219,AND($BP219=$BH219,OR($BK219&lt;$BC219,AND($BK219=$BC219,OR($BL219&lt;$BD219,AND($BL219=$BD219,$AT219,$AL219,$AV219&lt;$AN219)))))),"-&gt;","&lt;-"))</f>
        <v/>
      </c>
      <c r="BJ219" s="91" t="str">
        <f aca="false">IF(ISBLANK($C219),"",AND($AT219,OR($AU219="",$AV219="",AND($AW219,$AX219=""))))</f>
        <v/>
      </c>
      <c r="BK219" s="93" t="str">
        <f aca="false">IF($BR219&lt;&gt;Constants!$B$8,"",IF($AT219,Constants!$B$21*$AV219+Constants!$B$22*IF($AW219,$AX219,Constants!$B$23),Constants!$B$24))</f>
        <v/>
      </c>
      <c r="BL219" s="96" t="str">
        <f aca="false">IF($BR219&lt;&gt;Constants!$B$8,"",Constants!$B$25*ABS($AD$9-IF($AT219,$AU219,0)))</f>
        <v/>
      </c>
      <c r="BM219" s="96" t="str">
        <f aca="false">IF($BR219&lt;&gt;Constants!$B$8,"",IF(AND($AT219,$AY219,$AW219),Constants!$B$27,0))</f>
        <v/>
      </c>
      <c r="BN219" s="96" t="str">
        <f aca="false">IF($BR219&lt;&gt;Constants!$B$8,"",IF($AT219,($AI219-Constants!$B$29)*Constants!$B$28,0))</f>
        <v/>
      </c>
      <c r="BO219" s="96" t="str">
        <f aca="false">IF($BR219&lt;&gt;Constants!$B$8,"",IF($AS219,0,Constants!$B$15)+IF($AR219,0,Constants!$B$16)+IF($AH219,0,Constants!$B$17))</f>
        <v/>
      </c>
      <c r="BP219" s="97" t="str">
        <f aca="false">IF($BR219&lt;&gt;Constants!$B$8,"",Constants!$B$20+SUM($BK219:$BO219))</f>
        <v/>
      </c>
      <c r="BQ219" s="92" t="str">
        <f aca="false">IF(ISBLANK($C219),"",IF(ISBLANK($D$7),$BQ$5,IF(NOT(ISNUMBER($D$7)),$BQ$6,"")))</f>
        <v/>
      </c>
      <c r="BR219" s="92" t="str">
        <f aca="false">IF(ISBLANK($C219),"",IF($BA219,Constants!$B$11,IF(COUNTA($E219:$AA219)=0,Constants!$B$10,IF(NOT($AG219),Constants!$B$9,IF(OR($BQ219&lt;&gt;"",$BB219,$BJ219),Constants!$B$12,Constants!$B$8)))))</f>
        <v/>
      </c>
      <c r="BS219" s="92" t="str">
        <f aca="false">IF(ISBLANK($C219),"",IF($BR219&lt;&gt;Constants!$B$8,$BR219,Constants!$B$13))</f>
        <v/>
      </c>
      <c r="BT219" s="96" t="str">
        <f aca="false">IF($BR219&lt;&gt;Constants!$B$8,"",IF($BI219="-&gt;",$BP219,$BH219))</f>
        <v/>
      </c>
      <c r="BU219" s="96" t="str">
        <f aca="false">IF($BR219&lt;&gt;Constants!$B$8,"",IF($AF219,0,Constants!$B$18))</f>
        <v/>
      </c>
      <c r="BV219" s="96" t="str">
        <f aca="false">IF($BR219&lt;&gt;Constants!$B$8,"",((Constants!$B$31-$AZ219)-Constants!$B$31)/Constants!$B$32)</f>
        <v/>
      </c>
      <c r="BW219" s="96" t="str">
        <f aca="false">IF(ISBLANK($C219),"",IF($BR219&lt;&gt;Constants!$B$8,$BR219,SUM($BT219:$BV219)))</f>
        <v/>
      </c>
      <c r="BX219" s="92" t="str">
        <f aca="false">IF(ISBLANK($C219),"",IF($BR219&lt;&gt;Constants!$B$8,$BR219,RANK($BW219,$BW$9:$BW$508,1)))</f>
        <v/>
      </c>
      <c r="BY219" s="96" t="str">
        <f aca="false">IF($BR219&lt;&gt;Constants!$B$8,"",IF($BI219="-&gt;",$BK219,$BC219))</f>
        <v/>
      </c>
      <c r="BZ219" s="92" t="str">
        <f aca="false">IF(ISBLANK($C219),"",IF($BR219&lt;&gt;Constants!$B$8,$BR219,IF(ISNUMBER($BY219),RANK($BY219,$BY$9:$BY$508,1),COUNT($BY$9:$BY$508)+1)))</f>
        <v/>
      </c>
      <c r="CA219" s="96" t="str">
        <f aca="false">IF($BR219&lt;&gt;Constants!$B$8,"",IF($BI219="-&gt;",$BL219,$BD219))</f>
        <v/>
      </c>
      <c r="CB219" s="92" t="str">
        <f aca="false">IF(ISBLANK($C219),"",IF($BR219&lt;&gt;Constants!$B$8,$BR219,IF(ISNUMBER($CA219),RANK($CA219,$CA$9:$CA$508,1),COUNT($CA$9:$CA$508)+1)))</f>
        <v/>
      </c>
      <c r="CC219" s="96" t="str">
        <f aca="false">IF($BR219&lt;&gt;Constants!$B$8,"",IF($BI219="-&gt;",IF($AT219,$AV219,""),IF($AL219,$AN219,"")))</f>
        <v/>
      </c>
      <c r="CD219" s="92" t="str">
        <f aca="false">IF(ISBLANK($C219),"",IF($BR219&lt;&gt;Constants!$B$8,$BR219,IF(ISNUMBER($CC219),RANK($CC219,$CC$9:$CC$508,1),COUNT($CC$9:$CC$508)+1)))</f>
        <v/>
      </c>
      <c r="CE219" s="96" t="str">
        <f aca="false">IF($BR219&lt;&gt;Constants!$B$8,"",IF(AND(NOT($AL219),NOT($AT219),$AJ219,$AK219,$AR219,$AS219),"",$AI219))</f>
        <v/>
      </c>
      <c r="CF219" s="92" t="str">
        <f aca="false">IF(ISBLANK($C219),"",IF($BR219&lt;&gt;Constants!$B$8,$BR219,IF(ISNUMBER($CE219),RANK($CE219,$CE$9:$CE$508,1),COUNT($CE$9:$CE$508)+1)))</f>
        <v/>
      </c>
      <c r="CG219" s="92" t="str">
        <f aca="false">IF(ISBLANK($C219),"",IF($BR219&lt;&gt;Constants!$B$8,$BR219,COUNTIFS($BX$9:$BX$508,"&lt;"&amp;$BX219)+COUNTIFS($BX$9:$BX$508,$BX219,$BZ$9:$BZ$508,"&lt;"&amp;$BZ219)+COUNTIFS($BX$9:$BX$508,$BX219,$BZ$9:$BZ$508,$BZ219,$CB$9:$CB$508,"&lt;"&amp;$CB219)+COUNTIFS($BX$9:$BX$508,$BX219,$BZ$9:$BZ$508,$BZ219,$CB$9:$CB$508,$CB219,$CD$9:$CD$508,"&lt;"&amp;$CD219)+COUNTIFS($BX$9:$BX$508,$BX219,$BZ$9:$BZ$508,$BZ219,$CB$9:$CB$508,$CB219,$CD$9:$CD$508,$CD219,$CF$9:$CF$508,"&lt;"&amp;$CF219)+1))</f>
        <v/>
      </c>
      <c r="CH219" s="92" t="str">
        <f aca="false">IF(ISBLANK($C219),"",IF($BR219&lt;&gt;Constants!$B$8,$BR219,$BX219-$CG219))</f>
        <v/>
      </c>
      <c r="CI219" s="98"/>
      <c r="CJ219" s="99"/>
      <c r="CK219" s="100" t="str">
        <f aca="false">IF(ISBLANK($C219),"",IF($BR219=Constants!$B$12,$BQ219,""))</f>
        <v/>
      </c>
      <c r="CL219" s="99" t="str">
        <f aca="false">IF(ISBLANK($C219),"",IF($BR219&lt;&gt;Constants!$B$8,"",IF($BI219="-&gt;",2,1)))</f>
        <v/>
      </c>
      <c r="CM219" s="101" t="str">
        <f aca="false">IF(ISBLANK($C219),"",IF($BR219&lt;&gt;Constants!$B$8,"",IF($BI219="-&gt;",$BK219,$BC219)))</f>
        <v/>
      </c>
      <c r="CN219" s="101" t="str">
        <f aca="false">IF(ISBLANK($C219),"",IF($BR219&lt;&gt;Constants!$B$8,"",IF($BI219="-&gt;",$BL219,$BD219)))</f>
        <v/>
      </c>
      <c r="CO219" s="101" t="str">
        <f aca="false">IF(ISBLANK($C219),"",IF($BR219&lt;&gt;Constants!$B$8,"",IF($BI219="-&gt;",$BM219+$BN219,$BE219+$BF219)+$BV219))</f>
        <v/>
      </c>
      <c r="CP219" s="101" t="str">
        <f aca="false">IF(ISBLANK($C219),"",IF($BR219&lt;&gt;Constants!$B$8,"",IF($BI219="-&gt;",$BO219,$BG219)+$BU219))</f>
        <v/>
      </c>
      <c r="CQ219" s="102" t="str">
        <f aca="false">IF(ISBLANK($C219),"",IF($BR219&lt;&gt;Constants!$B$8,$BR219,$BW219))</f>
        <v/>
      </c>
      <c r="CR219" s="103" t="str">
        <f aca="false">IF(ISBLANK($C219),"",$BS219)</f>
        <v/>
      </c>
      <c r="CS219" s="104" t="str">
        <f aca="false">IF(ISBLANK($C219),"",$CH219)</f>
        <v/>
      </c>
      <c r="CT219" s="104" t="str">
        <f aca="false">IF(ISBLANK($C219),"",$CG219)</f>
        <v/>
      </c>
      <c r="CU219" s="105" t="str">
        <f aca="false">IF(ISBLANK($C219),"",IFERROR(_xlfn.SWITCH($CT219,Constants!$B$11,COUNTA($C$9:$C$508)+2,Constants!$B$10,COUNTA($C$9:$C$508)+1,Constants!$B$9,COUNTA($C$9:$C$508)),$CT219))</f>
        <v/>
      </c>
      <c r="CV219" s="9"/>
      <c r="CW219" s="106" t="n">
        <f aca="false">IF(OR(ISNUMBER($CT219),$CT219=Constants!$B$11,$CT219=Constants!$B$9,$CT219=Constants!$B$10),1,0)</f>
        <v>0</v>
      </c>
      <c r="CX219" s="106" t="n">
        <v>211</v>
      </c>
      <c r="CY219" s="106" t="str">
        <f aca="false">IF(ISBLANK($C219),"",IF(ISNUMBER($CU219),$CU219+ROW($B219)/1000,""))</f>
        <v/>
      </c>
      <c r="CZ219" s="106" t="str">
        <f aca="false">IF(ISNUMBER($CY219),RANK($CY219,$CY$9:$CY$508,1),"")</f>
        <v/>
      </c>
      <c r="DA219" s="106" t="str">
        <f aca="false">IF(ISBLANK($C219),"",$B219)</f>
        <v/>
      </c>
      <c r="DB219" s="106" t="str">
        <f aca="false">IF(ISBLANK($C219),"",$C219)</f>
        <v/>
      </c>
      <c r="DC219" s="106" t="str">
        <f aca="false">IF(ISBLANK($C219),"",$D219)</f>
        <v/>
      </c>
      <c r="DD219" s="107" t="str">
        <f aca="false">$CR219</f>
        <v/>
      </c>
      <c r="DE219" s="108" t="str">
        <f aca="false">$CQ219</f>
        <v/>
      </c>
      <c r="DF219" s="106" t="str">
        <f aca="false">IF(ISBLANK($C219),"",$CT219)</f>
        <v/>
      </c>
      <c r="DG219" s="109" t="str">
        <f aca="false">IF($CX219&gt;$CW$8,"",VLOOKUP($CX219,$CZ$9:$DF$508,7,FALSE()))</f>
        <v/>
      </c>
      <c r="DH219" s="110" t="str">
        <f aca="false">IF($CX219&gt;$CW$8,"",VLOOKUP($CX219,$CZ$9:$DF$508,2,FALSE()))</f>
        <v/>
      </c>
      <c r="DI219" s="110" t="str">
        <f aca="false">IF($CX219&gt;$CW$8,"",VLOOKUP($CX219,$CZ$9:$DF$508,3,FALSE()))</f>
        <v/>
      </c>
      <c r="DJ219" s="110" t="str">
        <f aca="false">IF($CX219&gt;$CW$8,"",VLOOKUP($CX219,$CZ$9:$DF$508,4,FALSE()))</f>
        <v/>
      </c>
      <c r="DK219" s="110" t="str">
        <f aca="false">IF($CX219&gt;$CW$8,"",VLOOKUP($CX219,$CZ$9:$DF$508,5,FALSE()))</f>
        <v/>
      </c>
      <c r="DL219" s="111" t="str">
        <f aca="false">IF($CX219&gt;$CW$8,"",VLOOKUP($CX219,$CZ$9:$DF$508,6,FALSE()))</f>
        <v/>
      </c>
      <c r="DM219" s="75"/>
    </row>
    <row r="220" customFormat="false" ht="15.75" hidden="false" customHeight="false" outlineLevel="0" collapsed="false">
      <c r="A220" s="9"/>
      <c r="B220" s="77"/>
      <c r="C220" s="78"/>
      <c r="D220" s="167"/>
      <c r="E220" s="175"/>
      <c r="F220" s="169"/>
      <c r="G220" s="170"/>
      <c r="H220" s="170"/>
      <c r="I220" s="176"/>
      <c r="J220" s="173"/>
      <c r="K220" s="85"/>
      <c r="L220" s="86"/>
      <c r="M220" s="87"/>
      <c r="N220" s="173"/>
      <c r="O220" s="173"/>
      <c r="P220" s="175"/>
      <c r="Q220" s="173"/>
      <c r="R220" s="173"/>
      <c r="S220" s="85"/>
      <c r="T220" s="87"/>
      <c r="U220" s="87"/>
      <c r="V220" s="173"/>
      <c r="W220" s="173"/>
      <c r="X220" s="175"/>
      <c r="Y220" s="173"/>
      <c r="Z220" s="174"/>
      <c r="AA220" s="173"/>
      <c r="AB220" s="91"/>
      <c r="AC220" s="92"/>
      <c r="AD220" s="92"/>
      <c r="AE220" s="92"/>
      <c r="AF220" s="92" t="str">
        <f aca="false">IF(ISBLANK($C220),"",IF(E220=Constants!$B$3,TRUE(),IF(E220=Constants!$B$4,FALSE(),TRUE())))</f>
        <v/>
      </c>
      <c r="AG220" s="92" t="str">
        <f aca="false">IF(ISBLANK($C220),"",IF(F220=Constants!$B$3,TRUE(),IF(F220=Constants!$B$4,FALSE(),TRUE())))</f>
        <v/>
      </c>
      <c r="AH220" s="92" t="str">
        <f aca="false">IF(ISBLANK($C220),"",IF(G220=Constants!$B$3,TRUE(),IF(G220=Constants!$B$4,FALSE(),TRUE())))</f>
        <v/>
      </c>
      <c r="AI220" s="92" t="str">
        <f aca="false">IF(ISBLANK($C220),"",IF(AND(ISNUMBER(H220),H220&gt;=0),H220,Constants!$B$29))</f>
        <v/>
      </c>
      <c r="AJ220" s="92" t="str">
        <f aca="false">IF(ISBLANK($C220),"",IF(I220=Constants!$B$3,TRUE(),IF(I220=Constants!$B$4,FALSE(),TRUE())))</f>
        <v/>
      </c>
      <c r="AK220" s="92" t="str">
        <f aca="false">IF(ISBLANK($C220),"",IF(J220=Constants!$B$3,TRUE(),IF(J220=Constants!$B$4,FALSE(),TRUE())))</f>
        <v/>
      </c>
      <c r="AL220" s="92" t="str">
        <f aca="false">IF(ISBLANK($C220),"",IF(K220=Constants!$B$5,TRUE(),IF(K220=Constants!$B$6,FALSE(),COUNTA(L220:P220)&gt;0)))</f>
        <v/>
      </c>
      <c r="AM220" s="94" t="str">
        <f aca="false">IF(ISBLANK($C220),"",IF(ISNUMBER(L220),IF(L220&gt;=0,L220,""),""))</f>
        <v/>
      </c>
      <c r="AN220" s="93" t="str">
        <f aca="false">IF(ISBLANK($C220),"",IF(ISNUMBER(M220),IF(M220&gt;=0,M220,""),""))</f>
        <v/>
      </c>
      <c r="AO220" s="93" t="str">
        <f aca="false">IF(ISBLANK($C220),"",IF(N220=Constants!$B$3,TRUE(),IF(N220=Constants!$B$4,FALSE(),TRUE())))</f>
        <v/>
      </c>
      <c r="AP220" s="92" t="str">
        <f aca="false">IF(ISBLANK($C220),"",IF(ISNUMBER(O220),IF(O220&gt;=0,O220,""),""))</f>
        <v/>
      </c>
      <c r="AQ220" s="92" t="str">
        <f aca="false">IF(ISBLANK($C220),"",IF(P220=Constants!$B$3,TRUE(),IF(P220=Constants!$B$4,FALSE(),FALSE())))</f>
        <v/>
      </c>
      <c r="AR220" s="92" t="str">
        <f aca="false">IF(ISBLANK($C220),"",IF(Q220=Constants!$B$3,TRUE(),IF(Q220=Constants!$B$4,FALSE(),TRUE())))</f>
        <v/>
      </c>
      <c r="AS220" s="92" t="str">
        <f aca="false">IF(ISBLANK($C220),"",IF(R220=Constants!$B$3,TRUE(),IF(R220=Constants!$B$4,FALSE(),TRUE())))</f>
        <v/>
      </c>
      <c r="AT220" s="92" t="str">
        <f aca="false">IF(ISBLANK($C220),"",IF(S220=Constants!$B$5,TRUE(),IF(S220=Constants!$B$6,FALSE(),COUNTA(T220:X220)&gt;0)))</f>
        <v/>
      </c>
      <c r="AU220" s="94" t="str">
        <f aca="false">IF(ISBLANK($C220),"",IF(ISNUMBER(T220),IF(T220&gt;=0,T220,""),""))</f>
        <v/>
      </c>
      <c r="AV220" s="93" t="str">
        <f aca="false">IF(ISBLANK($C220),"",IF(ISNUMBER(U220),IF(U220&gt;=0,U220,""),""))</f>
        <v/>
      </c>
      <c r="AW220" s="93" t="str">
        <f aca="false">IF(ISBLANK($C220),"",IF(V220=Constants!$B$3,TRUE(),IF(V220=Constants!$B$4,FALSE(),TRUE())))</f>
        <v/>
      </c>
      <c r="AX220" s="92" t="str">
        <f aca="false">IF(ISBLANK($C220),"",IF(ISNUMBER(W220),IF(W220&gt;=0,W220,""),""))</f>
        <v/>
      </c>
      <c r="AY220" s="92" t="str">
        <f aca="false">IF(ISBLANK($C220),"",IF(X220=Constants!$B$3,TRUE(),IF(X220=Constants!$B$4,FALSE(),FALSE())))</f>
        <v/>
      </c>
      <c r="AZ220" s="92" t="str">
        <f aca="false">IF(ISBLANK($C220),"",MIN(Constants!$B$31,MAX(0,IF(ISNUMBER(Y220),Y220*60,0)+IF(ISNUMBER(Z220),Z220,0))))</f>
        <v/>
      </c>
      <c r="BA220" s="92" t="str">
        <f aca="false">IF(ISBLANK($C220),"",IF(AA220=Constants!$B$3,TRUE(),IF(AA220=Constants!$B$4,FALSE(),FALSE())))</f>
        <v/>
      </c>
      <c r="BB220" s="91" t="str">
        <f aca="false">IF(ISBLANK($C220),"",AND($AL220,OR($AM220="",$AN220="",AND($AO220,$AP220=""))))</f>
        <v/>
      </c>
      <c r="BC220" s="93" t="str">
        <f aca="false">IF($BR220&lt;&gt;Constants!$B$8,"",IF($AL220,Constants!$B$21*$AN220+Constants!$B$22*IF($AO220,$AP220,Constants!$B$23),Constants!$B$24))</f>
        <v/>
      </c>
      <c r="BD220" s="96" t="str">
        <f aca="false">IF($BR220&lt;&gt;Constants!$B$8,"",Constants!$B$25*ABS($AD$9-IF($AL220,$AM220,0)))</f>
        <v/>
      </c>
      <c r="BE220" s="96" t="str">
        <f aca="false">IF($BR220&lt;&gt;Constants!$B$8,"",IF(AND($AL220,$AQ220,$AO220),Constants!$B$27,0))</f>
        <v/>
      </c>
      <c r="BF220" s="96" t="str">
        <f aca="false">IF($BR220&lt;&gt;Constants!$B$8,"",IF($AL220,($AI220-Constants!$B$29)*Constants!$B$28,0))</f>
        <v/>
      </c>
      <c r="BG220" s="96" t="str">
        <f aca="false">IF($BR220&lt;&gt;Constants!$B$8,"",IF($AK220,0,Constants!$B$15)+IF($AJ220,0,Constants!$B$16)+IF($AH220,0,Constants!$B$17))</f>
        <v/>
      </c>
      <c r="BH220" s="97" t="str">
        <f aca="false">IF($BR220&lt;&gt;Constants!$B$8,"",Constants!$B$20+SUM($BC220:$BG220))</f>
        <v/>
      </c>
      <c r="BI220" s="92" t="str">
        <f aca="false">IF($BR220&lt;&gt;Constants!$B$8,"",IF(OR($BP220&lt;$BH220,AND($BP220=$BH220,OR($BK220&lt;$BC220,AND($BK220=$BC220,OR($BL220&lt;$BD220,AND($BL220=$BD220,$AT220,$AL220,$AV220&lt;$AN220)))))),"-&gt;","&lt;-"))</f>
        <v/>
      </c>
      <c r="BJ220" s="91" t="str">
        <f aca="false">IF(ISBLANK($C220),"",AND($AT220,OR($AU220="",$AV220="",AND($AW220,$AX220=""))))</f>
        <v/>
      </c>
      <c r="BK220" s="93" t="str">
        <f aca="false">IF($BR220&lt;&gt;Constants!$B$8,"",IF($AT220,Constants!$B$21*$AV220+Constants!$B$22*IF($AW220,$AX220,Constants!$B$23),Constants!$B$24))</f>
        <v/>
      </c>
      <c r="BL220" s="96" t="str">
        <f aca="false">IF($BR220&lt;&gt;Constants!$B$8,"",Constants!$B$25*ABS($AD$9-IF($AT220,$AU220,0)))</f>
        <v/>
      </c>
      <c r="BM220" s="96" t="str">
        <f aca="false">IF($BR220&lt;&gt;Constants!$B$8,"",IF(AND($AT220,$AY220,$AW220),Constants!$B$27,0))</f>
        <v/>
      </c>
      <c r="BN220" s="96" t="str">
        <f aca="false">IF($BR220&lt;&gt;Constants!$B$8,"",IF($AT220,($AI220-Constants!$B$29)*Constants!$B$28,0))</f>
        <v/>
      </c>
      <c r="BO220" s="96" t="str">
        <f aca="false">IF($BR220&lt;&gt;Constants!$B$8,"",IF($AS220,0,Constants!$B$15)+IF($AR220,0,Constants!$B$16)+IF($AH220,0,Constants!$B$17))</f>
        <v/>
      </c>
      <c r="BP220" s="97" t="str">
        <f aca="false">IF($BR220&lt;&gt;Constants!$B$8,"",Constants!$B$20+SUM($BK220:$BO220))</f>
        <v/>
      </c>
      <c r="BQ220" s="92" t="str">
        <f aca="false">IF(ISBLANK($C220),"",IF(ISBLANK($D$7),$BQ$5,IF(NOT(ISNUMBER($D$7)),$BQ$6,"")))</f>
        <v/>
      </c>
      <c r="BR220" s="92" t="str">
        <f aca="false">IF(ISBLANK($C220),"",IF($BA220,Constants!$B$11,IF(COUNTA($E220:$AA220)=0,Constants!$B$10,IF(NOT($AG220),Constants!$B$9,IF(OR($BQ220&lt;&gt;"",$BB220,$BJ220),Constants!$B$12,Constants!$B$8)))))</f>
        <v/>
      </c>
      <c r="BS220" s="92" t="str">
        <f aca="false">IF(ISBLANK($C220),"",IF($BR220&lt;&gt;Constants!$B$8,$BR220,Constants!$B$13))</f>
        <v/>
      </c>
      <c r="BT220" s="96" t="str">
        <f aca="false">IF($BR220&lt;&gt;Constants!$B$8,"",IF($BI220="-&gt;",$BP220,$BH220))</f>
        <v/>
      </c>
      <c r="BU220" s="96" t="str">
        <f aca="false">IF($BR220&lt;&gt;Constants!$B$8,"",IF($AF220,0,Constants!$B$18))</f>
        <v/>
      </c>
      <c r="BV220" s="96" t="str">
        <f aca="false">IF($BR220&lt;&gt;Constants!$B$8,"",((Constants!$B$31-$AZ220)-Constants!$B$31)/Constants!$B$32)</f>
        <v/>
      </c>
      <c r="BW220" s="96" t="str">
        <f aca="false">IF(ISBLANK($C220),"",IF($BR220&lt;&gt;Constants!$B$8,$BR220,SUM($BT220:$BV220)))</f>
        <v/>
      </c>
      <c r="BX220" s="92" t="str">
        <f aca="false">IF(ISBLANK($C220),"",IF($BR220&lt;&gt;Constants!$B$8,$BR220,RANK($BW220,$BW$9:$BW$508,1)))</f>
        <v/>
      </c>
      <c r="BY220" s="96" t="str">
        <f aca="false">IF($BR220&lt;&gt;Constants!$B$8,"",IF($BI220="-&gt;",$BK220,$BC220))</f>
        <v/>
      </c>
      <c r="BZ220" s="92" t="str">
        <f aca="false">IF(ISBLANK($C220),"",IF($BR220&lt;&gt;Constants!$B$8,$BR220,IF(ISNUMBER($BY220),RANK($BY220,$BY$9:$BY$508,1),COUNT($BY$9:$BY$508)+1)))</f>
        <v/>
      </c>
      <c r="CA220" s="96" t="str">
        <f aca="false">IF($BR220&lt;&gt;Constants!$B$8,"",IF($BI220="-&gt;",$BL220,$BD220))</f>
        <v/>
      </c>
      <c r="CB220" s="92" t="str">
        <f aca="false">IF(ISBLANK($C220),"",IF($BR220&lt;&gt;Constants!$B$8,$BR220,IF(ISNUMBER($CA220),RANK($CA220,$CA$9:$CA$508,1),COUNT($CA$9:$CA$508)+1)))</f>
        <v/>
      </c>
      <c r="CC220" s="96" t="str">
        <f aca="false">IF($BR220&lt;&gt;Constants!$B$8,"",IF($BI220="-&gt;",IF($AT220,$AV220,""),IF($AL220,$AN220,"")))</f>
        <v/>
      </c>
      <c r="CD220" s="92" t="str">
        <f aca="false">IF(ISBLANK($C220),"",IF($BR220&lt;&gt;Constants!$B$8,$BR220,IF(ISNUMBER($CC220),RANK($CC220,$CC$9:$CC$508,1),COUNT($CC$9:$CC$508)+1)))</f>
        <v/>
      </c>
      <c r="CE220" s="96" t="str">
        <f aca="false">IF($BR220&lt;&gt;Constants!$B$8,"",IF(AND(NOT($AL220),NOT($AT220),$AJ220,$AK220,$AR220,$AS220),"",$AI220))</f>
        <v/>
      </c>
      <c r="CF220" s="92" t="str">
        <f aca="false">IF(ISBLANK($C220),"",IF($BR220&lt;&gt;Constants!$B$8,$BR220,IF(ISNUMBER($CE220),RANK($CE220,$CE$9:$CE$508,1),COUNT($CE$9:$CE$508)+1)))</f>
        <v/>
      </c>
      <c r="CG220" s="92" t="str">
        <f aca="false">IF(ISBLANK($C220),"",IF($BR220&lt;&gt;Constants!$B$8,$BR220,COUNTIFS($BX$9:$BX$508,"&lt;"&amp;$BX220)+COUNTIFS($BX$9:$BX$508,$BX220,$BZ$9:$BZ$508,"&lt;"&amp;$BZ220)+COUNTIFS($BX$9:$BX$508,$BX220,$BZ$9:$BZ$508,$BZ220,$CB$9:$CB$508,"&lt;"&amp;$CB220)+COUNTIFS($BX$9:$BX$508,$BX220,$BZ$9:$BZ$508,$BZ220,$CB$9:$CB$508,$CB220,$CD$9:$CD$508,"&lt;"&amp;$CD220)+COUNTIFS($BX$9:$BX$508,$BX220,$BZ$9:$BZ$508,$BZ220,$CB$9:$CB$508,$CB220,$CD$9:$CD$508,$CD220,$CF$9:$CF$508,"&lt;"&amp;$CF220)+1))</f>
        <v/>
      </c>
      <c r="CH220" s="92" t="str">
        <f aca="false">IF(ISBLANK($C220),"",IF($BR220&lt;&gt;Constants!$B$8,$BR220,$BX220-$CG220))</f>
        <v/>
      </c>
      <c r="CI220" s="98"/>
      <c r="CJ220" s="99"/>
      <c r="CK220" s="100" t="str">
        <f aca="false">IF(ISBLANK($C220),"",IF($BR220=Constants!$B$12,$BQ220,""))</f>
        <v/>
      </c>
      <c r="CL220" s="99" t="str">
        <f aca="false">IF(ISBLANK($C220),"",IF($BR220&lt;&gt;Constants!$B$8,"",IF($BI220="-&gt;",2,1)))</f>
        <v/>
      </c>
      <c r="CM220" s="101" t="str">
        <f aca="false">IF(ISBLANK($C220),"",IF($BR220&lt;&gt;Constants!$B$8,"",IF($BI220="-&gt;",$BK220,$BC220)))</f>
        <v/>
      </c>
      <c r="CN220" s="101" t="str">
        <f aca="false">IF(ISBLANK($C220),"",IF($BR220&lt;&gt;Constants!$B$8,"",IF($BI220="-&gt;",$BL220,$BD220)))</f>
        <v/>
      </c>
      <c r="CO220" s="101" t="str">
        <f aca="false">IF(ISBLANK($C220),"",IF($BR220&lt;&gt;Constants!$B$8,"",IF($BI220="-&gt;",$BM220+$BN220,$BE220+$BF220)+$BV220))</f>
        <v/>
      </c>
      <c r="CP220" s="101" t="str">
        <f aca="false">IF(ISBLANK($C220),"",IF($BR220&lt;&gt;Constants!$B$8,"",IF($BI220="-&gt;",$BO220,$BG220)+$BU220))</f>
        <v/>
      </c>
      <c r="CQ220" s="102" t="str">
        <f aca="false">IF(ISBLANK($C220),"",IF($BR220&lt;&gt;Constants!$B$8,$BR220,$BW220))</f>
        <v/>
      </c>
      <c r="CR220" s="103" t="str">
        <f aca="false">IF(ISBLANK($C220),"",$BS220)</f>
        <v/>
      </c>
      <c r="CS220" s="104" t="str">
        <f aca="false">IF(ISBLANK($C220),"",$CH220)</f>
        <v/>
      </c>
      <c r="CT220" s="104" t="str">
        <f aca="false">IF(ISBLANK($C220),"",$CG220)</f>
        <v/>
      </c>
      <c r="CU220" s="105" t="str">
        <f aca="false">IF(ISBLANK($C220),"",IFERROR(_xlfn.SWITCH($CT220,Constants!$B$11,COUNTA($C$9:$C$508)+2,Constants!$B$10,COUNTA($C$9:$C$508)+1,Constants!$B$9,COUNTA($C$9:$C$508)),$CT220))</f>
        <v/>
      </c>
      <c r="CV220" s="9"/>
      <c r="CW220" s="106" t="n">
        <f aca="false">IF(OR(ISNUMBER($CT220),$CT220=Constants!$B$11,$CT220=Constants!$B$9,$CT220=Constants!$B$10),1,0)</f>
        <v>0</v>
      </c>
      <c r="CX220" s="106" t="n">
        <v>212</v>
      </c>
      <c r="CY220" s="106" t="str">
        <f aca="false">IF(ISBLANK($C220),"",IF(ISNUMBER($CU220),$CU220+ROW($B220)/1000,""))</f>
        <v/>
      </c>
      <c r="CZ220" s="106" t="str">
        <f aca="false">IF(ISNUMBER($CY220),RANK($CY220,$CY$9:$CY$508,1),"")</f>
        <v/>
      </c>
      <c r="DA220" s="106" t="str">
        <f aca="false">IF(ISBLANK($C220),"",$B220)</f>
        <v/>
      </c>
      <c r="DB220" s="106" t="str">
        <f aca="false">IF(ISBLANK($C220),"",$C220)</f>
        <v/>
      </c>
      <c r="DC220" s="106" t="str">
        <f aca="false">IF(ISBLANK($C220),"",$D220)</f>
        <v/>
      </c>
      <c r="DD220" s="107" t="str">
        <f aca="false">$CR220</f>
        <v/>
      </c>
      <c r="DE220" s="108" t="str">
        <f aca="false">$CQ220</f>
        <v/>
      </c>
      <c r="DF220" s="106" t="str">
        <f aca="false">IF(ISBLANK($C220),"",$CT220)</f>
        <v/>
      </c>
      <c r="DG220" s="109" t="str">
        <f aca="false">IF($CX220&gt;$CW$8,"",VLOOKUP($CX220,$CZ$9:$DF$508,7,FALSE()))</f>
        <v/>
      </c>
      <c r="DH220" s="110" t="str">
        <f aca="false">IF($CX220&gt;$CW$8,"",VLOOKUP($CX220,$CZ$9:$DF$508,2,FALSE()))</f>
        <v/>
      </c>
      <c r="DI220" s="110" t="str">
        <f aca="false">IF($CX220&gt;$CW$8,"",VLOOKUP($CX220,$CZ$9:$DF$508,3,FALSE()))</f>
        <v/>
      </c>
      <c r="DJ220" s="110" t="str">
        <f aca="false">IF($CX220&gt;$CW$8,"",VLOOKUP($CX220,$CZ$9:$DF$508,4,FALSE()))</f>
        <v/>
      </c>
      <c r="DK220" s="110" t="str">
        <f aca="false">IF($CX220&gt;$CW$8,"",VLOOKUP($CX220,$CZ$9:$DF$508,5,FALSE()))</f>
        <v/>
      </c>
      <c r="DL220" s="111" t="str">
        <f aca="false">IF($CX220&gt;$CW$8,"",VLOOKUP($CX220,$CZ$9:$DF$508,6,FALSE()))</f>
        <v/>
      </c>
      <c r="DM220" s="75"/>
    </row>
    <row r="221" customFormat="false" ht="15.75" hidden="false" customHeight="false" outlineLevel="0" collapsed="false">
      <c r="A221" s="9"/>
      <c r="B221" s="77"/>
      <c r="C221" s="78"/>
      <c r="D221" s="167"/>
      <c r="E221" s="175"/>
      <c r="F221" s="169"/>
      <c r="G221" s="170"/>
      <c r="H221" s="170"/>
      <c r="I221" s="176"/>
      <c r="J221" s="173"/>
      <c r="K221" s="85"/>
      <c r="L221" s="86"/>
      <c r="M221" s="87"/>
      <c r="N221" s="173"/>
      <c r="O221" s="173"/>
      <c r="P221" s="175"/>
      <c r="Q221" s="173"/>
      <c r="R221" s="173"/>
      <c r="S221" s="85"/>
      <c r="T221" s="87"/>
      <c r="U221" s="87"/>
      <c r="V221" s="173"/>
      <c r="W221" s="173"/>
      <c r="X221" s="175"/>
      <c r="Y221" s="173"/>
      <c r="Z221" s="174"/>
      <c r="AA221" s="173"/>
      <c r="AB221" s="91"/>
      <c r="AC221" s="92"/>
      <c r="AD221" s="92"/>
      <c r="AE221" s="92"/>
      <c r="AF221" s="92" t="str">
        <f aca="false">IF(ISBLANK($C221),"",IF(E221=Constants!$B$3,TRUE(),IF(E221=Constants!$B$4,FALSE(),TRUE())))</f>
        <v/>
      </c>
      <c r="AG221" s="92" t="str">
        <f aca="false">IF(ISBLANK($C221),"",IF(F221=Constants!$B$3,TRUE(),IF(F221=Constants!$B$4,FALSE(),TRUE())))</f>
        <v/>
      </c>
      <c r="AH221" s="92" t="str">
        <f aca="false">IF(ISBLANK($C221),"",IF(G221=Constants!$B$3,TRUE(),IF(G221=Constants!$B$4,FALSE(),TRUE())))</f>
        <v/>
      </c>
      <c r="AI221" s="92" t="str">
        <f aca="false">IF(ISBLANK($C221),"",IF(AND(ISNUMBER(H221),H221&gt;=0),H221,Constants!$B$29))</f>
        <v/>
      </c>
      <c r="AJ221" s="92" t="str">
        <f aca="false">IF(ISBLANK($C221),"",IF(I221=Constants!$B$3,TRUE(),IF(I221=Constants!$B$4,FALSE(),TRUE())))</f>
        <v/>
      </c>
      <c r="AK221" s="92" t="str">
        <f aca="false">IF(ISBLANK($C221),"",IF(J221=Constants!$B$3,TRUE(),IF(J221=Constants!$B$4,FALSE(),TRUE())))</f>
        <v/>
      </c>
      <c r="AL221" s="92" t="str">
        <f aca="false">IF(ISBLANK($C221),"",IF(K221=Constants!$B$5,TRUE(),IF(K221=Constants!$B$6,FALSE(),COUNTA(L221:P221)&gt;0)))</f>
        <v/>
      </c>
      <c r="AM221" s="94" t="str">
        <f aca="false">IF(ISBLANK($C221),"",IF(ISNUMBER(L221),IF(L221&gt;=0,L221,""),""))</f>
        <v/>
      </c>
      <c r="AN221" s="93" t="str">
        <f aca="false">IF(ISBLANK($C221),"",IF(ISNUMBER(M221),IF(M221&gt;=0,M221,""),""))</f>
        <v/>
      </c>
      <c r="AO221" s="93" t="str">
        <f aca="false">IF(ISBLANK($C221),"",IF(N221=Constants!$B$3,TRUE(),IF(N221=Constants!$B$4,FALSE(),TRUE())))</f>
        <v/>
      </c>
      <c r="AP221" s="92" t="str">
        <f aca="false">IF(ISBLANK($C221),"",IF(ISNUMBER(O221),IF(O221&gt;=0,O221,""),""))</f>
        <v/>
      </c>
      <c r="AQ221" s="92" t="str">
        <f aca="false">IF(ISBLANK($C221),"",IF(P221=Constants!$B$3,TRUE(),IF(P221=Constants!$B$4,FALSE(),FALSE())))</f>
        <v/>
      </c>
      <c r="AR221" s="92" t="str">
        <f aca="false">IF(ISBLANK($C221),"",IF(Q221=Constants!$B$3,TRUE(),IF(Q221=Constants!$B$4,FALSE(),TRUE())))</f>
        <v/>
      </c>
      <c r="AS221" s="92" t="str">
        <f aca="false">IF(ISBLANK($C221),"",IF(R221=Constants!$B$3,TRUE(),IF(R221=Constants!$B$4,FALSE(),TRUE())))</f>
        <v/>
      </c>
      <c r="AT221" s="92" t="str">
        <f aca="false">IF(ISBLANK($C221),"",IF(S221=Constants!$B$5,TRUE(),IF(S221=Constants!$B$6,FALSE(),COUNTA(T221:X221)&gt;0)))</f>
        <v/>
      </c>
      <c r="AU221" s="94" t="str">
        <f aca="false">IF(ISBLANK($C221),"",IF(ISNUMBER(T221),IF(T221&gt;=0,T221,""),""))</f>
        <v/>
      </c>
      <c r="AV221" s="93" t="str">
        <f aca="false">IF(ISBLANK($C221),"",IF(ISNUMBER(U221),IF(U221&gt;=0,U221,""),""))</f>
        <v/>
      </c>
      <c r="AW221" s="93" t="str">
        <f aca="false">IF(ISBLANK($C221),"",IF(V221=Constants!$B$3,TRUE(),IF(V221=Constants!$B$4,FALSE(),TRUE())))</f>
        <v/>
      </c>
      <c r="AX221" s="92" t="str">
        <f aca="false">IF(ISBLANK($C221),"",IF(ISNUMBER(W221),IF(W221&gt;=0,W221,""),""))</f>
        <v/>
      </c>
      <c r="AY221" s="92" t="str">
        <f aca="false">IF(ISBLANK($C221),"",IF(X221=Constants!$B$3,TRUE(),IF(X221=Constants!$B$4,FALSE(),FALSE())))</f>
        <v/>
      </c>
      <c r="AZ221" s="92" t="str">
        <f aca="false">IF(ISBLANK($C221),"",MIN(Constants!$B$31,MAX(0,IF(ISNUMBER(Y221),Y221*60,0)+IF(ISNUMBER(Z221),Z221,0))))</f>
        <v/>
      </c>
      <c r="BA221" s="92" t="str">
        <f aca="false">IF(ISBLANK($C221),"",IF(AA221=Constants!$B$3,TRUE(),IF(AA221=Constants!$B$4,FALSE(),FALSE())))</f>
        <v/>
      </c>
      <c r="BB221" s="91" t="str">
        <f aca="false">IF(ISBLANK($C221),"",AND($AL221,OR($AM221="",$AN221="",AND($AO221,$AP221=""))))</f>
        <v/>
      </c>
      <c r="BC221" s="93" t="str">
        <f aca="false">IF($BR221&lt;&gt;Constants!$B$8,"",IF($AL221,Constants!$B$21*$AN221+Constants!$B$22*IF($AO221,$AP221,Constants!$B$23),Constants!$B$24))</f>
        <v/>
      </c>
      <c r="BD221" s="96" t="str">
        <f aca="false">IF($BR221&lt;&gt;Constants!$B$8,"",Constants!$B$25*ABS($AD$9-IF($AL221,$AM221,0)))</f>
        <v/>
      </c>
      <c r="BE221" s="96" t="str">
        <f aca="false">IF($BR221&lt;&gt;Constants!$B$8,"",IF(AND($AL221,$AQ221,$AO221),Constants!$B$27,0))</f>
        <v/>
      </c>
      <c r="BF221" s="96" t="str">
        <f aca="false">IF($BR221&lt;&gt;Constants!$B$8,"",IF($AL221,($AI221-Constants!$B$29)*Constants!$B$28,0))</f>
        <v/>
      </c>
      <c r="BG221" s="96" t="str">
        <f aca="false">IF($BR221&lt;&gt;Constants!$B$8,"",IF($AK221,0,Constants!$B$15)+IF($AJ221,0,Constants!$B$16)+IF($AH221,0,Constants!$B$17))</f>
        <v/>
      </c>
      <c r="BH221" s="97" t="str">
        <f aca="false">IF($BR221&lt;&gt;Constants!$B$8,"",Constants!$B$20+SUM($BC221:$BG221))</f>
        <v/>
      </c>
      <c r="BI221" s="92" t="str">
        <f aca="false">IF($BR221&lt;&gt;Constants!$B$8,"",IF(OR($BP221&lt;$BH221,AND($BP221=$BH221,OR($BK221&lt;$BC221,AND($BK221=$BC221,OR($BL221&lt;$BD221,AND($BL221=$BD221,$AT221,$AL221,$AV221&lt;$AN221)))))),"-&gt;","&lt;-"))</f>
        <v/>
      </c>
      <c r="BJ221" s="91" t="str">
        <f aca="false">IF(ISBLANK($C221),"",AND($AT221,OR($AU221="",$AV221="",AND($AW221,$AX221=""))))</f>
        <v/>
      </c>
      <c r="BK221" s="93" t="str">
        <f aca="false">IF($BR221&lt;&gt;Constants!$B$8,"",IF($AT221,Constants!$B$21*$AV221+Constants!$B$22*IF($AW221,$AX221,Constants!$B$23),Constants!$B$24))</f>
        <v/>
      </c>
      <c r="BL221" s="96" t="str">
        <f aca="false">IF($BR221&lt;&gt;Constants!$B$8,"",Constants!$B$25*ABS($AD$9-IF($AT221,$AU221,0)))</f>
        <v/>
      </c>
      <c r="BM221" s="96" t="str">
        <f aca="false">IF($BR221&lt;&gt;Constants!$B$8,"",IF(AND($AT221,$AY221,$AW221),Constants!$B$27,0))</f>
        <v/>
      </c>
      <c r="BN221" s="96" t="str">
        <f aca="false">IF($BR221&lt;&gt;Constants!$B$8,"",IF($AT221,($AI221-Constants!$B$29)*Constants!$B$28,0))</f>
        <v/>
      </c>
      <c r="BO221" s="96" t="str">
        <f aca="false">IF($BR221&lt;&gt;Constants!$B$8,"",IF($AS221,0,Constants!$B$15)+IF($AR221,0,Constants!$B$16)+IF($AH221,0,Constants!$B$17))</f>
        <v/>
      </c>
      <c r="BP221" s="97" t="str">
        <f aca="false">IF($BR221&lt;&gt;Constants!$B$8,"",Constants!$B$20+SUM($BK221:$BO221))</f>
        <v/>
      </c>
      <c r="BQ221" s="92" t="str">
        <f aca="false">IF(ISBLANK($C221),"",IF(ISBLANK($D$7),$BQ$5,IF(NOT(ISNUMBER($D$7)),$BQ$6,"")))</f>
        <v/>
      </c>
      <c r="BR221" s="92" t="str">
        <f aca="false">IF(ISBLANK($C221),"",IF($BA221,Constants!$B$11,IF(COUNTA($E221:$AA221)=0,Constants!$B$10,IF(NOT($AG221),Constants!$B$9,IF(OR($BQ221&lt;&gt;"",$BB221,$BJ221),Constants!$B$12,Constants!$B$8)))))</f>
        <v/>
      </c>
      <c r="BS221" s="92" t="str">
        <f aca="false">IF(ISBLANK($C221),"",IF($BR221&lt;&gt;Constants!$B$8,$BR221,Constants!$B$13))</f>
        <v/>
      </c>
      <c r="BT221" s="96" t="str">
        <f aca="false">IF($BR221&lt;&gt;Constants!$B$8,"",IF($BI221="-&gt;",$BP221,$BH221))</f>
        <v/>
      </c>
      <c r="BU221" s="96" t="str">
        <f aca="false">IF($BR221&lt;&gt;Constants!$B$8,"",IF($AF221,0,Constants!$B$18))</f>
        <v/>
      </c>
      <c r="BV221" s="96" t="str">
        <f aca="false">IF($BR221&lt;&gt;Constants!$B$8,"",((Constants!$B$31-$AZ221)-Constants!$B$31)/Constants!$B$32)</f>
        <v/>
      </c>
      <c r="BW221" s="96" t="str">
        <f aca="false">IF(ISBLANK($C221),"",IF($BR221&lt;&gt;Constants!$B$8,$BR221,SUM($BT221:$BV221)))</f>
        <v/>
      </c>
      <c r="BX221" s="92" t="str">
        <f aca="false">IF(ISBLANK($C221),"",IF($BR221&lt;&gt;Constants!$B$8,$BR221,RANK($BW221,$BW$9:$BW$508,1)))</f>
        <v/>
      </c>
      <c r="BY221" s="96" t="str">
        <f aca="false">IF($BR221&lt;&gt;Constants!$B$8,"",IF($BI221="-&gt;",$BK221,$BC221))</f>
        <v/>
      </c>
      <c r="BZ221" s="92" t="str">
        <f aca="false">IF(ISBLANK($C221),"",IF($BR221&lt;&gt;Constants!$B$8,$BR221,IF(ISNUMBER($BY221),RANK($BY221,$BY$9:$BY$508,1),COUNT($BY$9:$BY$508)+1)))</f>
        <v/>
      </c>
      <c r="CA221" s="96" t="str">
        <f aca="false">IF($BR221&lt;&gt;Constants!$B$8,"",IF($BI221="-&gt;",$BL221,$BD221))</f>
        <v/>
      </c>
      <c r="CB221" s="92" t="str">
        <f aca="false">IF(ISBLANK($C221),"",IF($BR221&lt;&gt;Constants!$B$8,$BR221,IF(ISNUMBER($CA221),RANK($CA221,$CA$9:$CA$508,1),COUNT($CA$9:$CA$508)+1)))</f>
        <v/>
      </c>
      <c r="CC221" s="96" t="str">
        <f aca="false">IF($BR221&lt;&gt;Constants!$B$8,"",IF($BI221="-&gt;",IF($AT221,$AV221,""),IF($AL221,$AN221,"")))</f>
        <v/>
      </c>
      <c r="CD221" s="92" t="str">
        <f aca="false">IF(ISBLANK($C221),"",IF($BR221&lt;&gt;Constants!$B$8,$BR221,IF(ISNUMBER($CC221),RANK($CC221,$CC$9:$CC$508,1),COUNT($CC$9:$CC$508)+1)))</f>
        <v/>
      </c>
      <c r="CE221" s="96" t="str">
        <f aca="false">IF($BR221&lt;&gt;Constants!$B$8,"",IF(AND(NOT($AL221),NOT($AT221),$AJ221,$AK221,$AR221,$AS221),"",$AI221))</f>
        <v/>
      </c>
      <c r="CF221" s="92" t="str">
        <f aca="false">IF(ISBLANK($C221),"",IF($BR221&lt;&gt;Constants!$B$8,$BR221,IF(ISNUMBER($CE221),RANK($CE221,$CE$9:$CE$508,1),COUNT($CE$9:$CE$508)+1)))</f>
        <v/>
      </c>
      <c r="CG221" s="92" t="str">
        <f aca="false">IF(ISBLANK($C221),"",IF($BR221&lt;&gt;Constants!$B$8,$BR221,COUNTIFS($BX$9:$BX$508,"&lt;"&amp;$BX221)+COUNTIFS($BX$9:$BX$508,$BX221,$BZ$9:$BZ$508,"&lt;"&amp;$BZ221)+COUNTIFS($BX$9:$BX$508,$BX221,$BZ$9:$BZ$508,$BZ221,$CB$9:$CB$508,"&lt;"&amp;$CB221)+COUNTIFS($BX$9:$BX$508,$BX221,$BZ$9:$BZ$508,$BZ221,$CB$9:$CB$508,$CB221,$CD$9:$CD$508,"&lt;"&amp;$CD221)+COUNTIFS($BX$9:$BX$508,$BX221,$BZ$9:$BZ$508,$BZ221,$CB$9:$CB$508,$CB221,$CD$9:$CD$508,$CD221,$CF$9:$CF$508,"&lt;"&amp;$CF221)+1))</f>
        <v/>
      </c>
      <c r="CH221" s="92" t="str">
        <f aca="false">IF(ISBLANK($C221),"",IF($BR221&lt;&gt;Constants!$B$8,$BR221,$BX221-$CG221))</f>
        <v/>
      </c>
      <c r="CI221" s="98"/>
      <c r="CJ221" s="99"/>
      <c r="CK221" s="100" t="str">
        <f aca="false">IF(ISBLANK($C221),"",IF($BR221=Constants!$B$12,$BQ221,""))</f>
        <v/>
      </c>
      <c r="CL221" s="99" t="str">
        <f aca="false">IF(ISBLANK($C221),"",IF($BR221&lt;&gt;Constants!$B$8,"",IF($BI221="-&gt;",2,1)))</f>
        <v/>
      </c>
      <c r="CM221" s="101" t="str">
        <f aca="false">IF(ISBLANK($C221),"",IF($BR221&lt;&gt;Constants!$B$8,"",IF($BI221="-&gt;",$BK221,$BC221)))</f>
        <v/>
      </c>
      <c r="CN221" s="101" t="str">
        <f aca="false">IF(ISBLANK($C221),"",IF($BR221&lt;&gt;Constants!$B$8,"",IF($BI221="-&gt;",$BL221,$BD221)))</f>
        <v/>
      </c>
      <c r="CO221" s="101" t="str">
        <f aca="false">IF(ISBLANK($C221),"",IF($BR221&lt;&gt;Constants!$B$8,"",IF($BI221="-&gt;",$BM221+$BN221,$BE221+$BF221)+$BV221))</f>
        <v/>
      </c>
      <c r="CP221" s="101" t="str">
        <f aca="false">IF(ISBLANK($C221),"",IF($BR221&lt;&gt;Constants!$B$8,"",IF($BI221="-&gt;",$BO221,$BG221)+$BU221))</f>
        <v/>
      </c>
      <c r="CQ221" s="102" t="str">
        <f aca="false">IF(ISBLANK($C221),"",IF($BR221&lt;&gt;Constants!$B$8,$BR221,$BW221))</f>
        <v/>
      </c>
      <c r="CR221" s="103" t="str">
        <f aca="false">IF(ISBLANK($C221),"",$BS221)</f>
        <v/>
      </c>
      <c r="CS221" s="104" t="str">
        <f aca="false">IF(ISBLANK($C221),"",$CH221)</f>
        <v/>
      </c>
      <c r="CT221" s="104" t="str">
        <f aca="false">IF(ISBLANK($C221),"",$CG221)</f>
        <v/>
      </c>
      <c r="CU221" s="105" t="str">
        <f aca="false">IF(ISBLANK($C221),"",IFERROR(_xlfn.SWITCH($CT221,Constants!$B$11,COUNTA($C$9:$C$508)+2,Constants!$B$10,COUNTA($C$9:$C$508)+1,Constants!$B$9,COUNTA($C$9:$C$508)),$CT221))</f>
        <v/>
      </c>
      <c r="CV221" s="9"/>
      <c r="CW221" s="106" t="n">
        <f aca="false">IF(OR(ISNUMBER($CT221),$CT221=Constants!$B$11,$CT221=Constants!$B$9,$CT221=Constants!$B$10),1,0)</f>
        <v>0</v>
      </c>
      <c r="CX221" s="106" t="n">
        <v>213</v>
      </c>
      <c r="CY221" s="106" t="str">
        <f aca="false">IF(ISBLANK($C221),"",IF(ISNUMBER($CU221),$CU221+ROW($B221)/1000,""))</f>
        <v/>
      </c>
      <c r="CZ221" s="106" t="str">
        <f aca="false">IF(ISNUMBER($CY221),RANK($CY221,$CY$9:$CY$508,1),"")</f>
        <v/>
      </c>
      <c r="DA221" s="106" t="str">
        <f aca="false">IF(ISBLANK($C221),"",$B221)</f>
        <v/>
      </c>
      <c r="DB221" s="106" t="str">
        <f aca="false">IF(ISBLANK($C221),"",$C221)</f>
        <v/>
      </c>
      <c r="DC221" s="106" t="str">
        <f aca="false">IF(ISBLANK($C221),"",$D221)</f>
        <v/>
      </c>
      <c r="DD221" s="107" t="str">
        <f aca="false">$CR221</f>
        <v/>
      </c>
      <c r="DE221" s="108" t="str">
        <f aca="false">$CQ221</f>
        <v/>
      </c>
      <c r="DF221" s="106" t="str">
        <f aca="false">IF(ISBLANK($C221),"",$CT221)</f>
        <v/>
      </c>
      <c r="DG221" s="109" t="str">
        <f aca="false">IF($CX221&gt;$CW$8,"",VLOOKUP($CX221,$CZ$9:$DF$508,7,FALSE()))</f>
        <v/>
      </c>
      <c r="DH221" s="110" t="str">
        <f aca="false">IF($CX221&gt;$CW$8,"",VLOOKUP($CX221,$CZ$9:$DF$508,2,FALSE()))</f>
        <v/>
      </c>
      <c r="DI221" s="110" t="str">
        <f aca="false">IF($CX221&gt;$CW$8,"",VLOOKUP($CX221,$CZ$9:$DF$508,3,FALSE()))</f>
        <v/>
      </c>
      <c r="DJ221" s="110" t="str">
        <f aca="false">IF($CX221&gt;$CW$8,"",VLOOKUP($CX221,$CZ$9:$DF$508,4,FALSE()))</f>
        <v/>
      </c>
      <c r="DK221" s="110" t="str">
        <f aca="false">IF($CX221&gt;$CW$8,"",VLOOKUP($CX221,$CZ$9:$DF$508,5,FALSE()))</f>
        <v/>
      </c>
      <c r="DL221" s="111" t="str">
        <f aca="false">IF($CX221&gt;$CW$8,"",VLOOKUP($CX221,$CZ$9:$DF$508,6,FALSE()))</f>
        <v/>
      </c>
      <c r="DM221" s="75"/>
    </row>
    <row r="222" customFormat="false" ht="15.75" hidden="false" customHeight="false" outlineLevel="0" collapsed="false">
      <c r="A222" s="9"/>
      <c r="B222" s="157"/>
      <c r="C222" s="158"/>
      <c r="D222" s="159"/>
      <c r="E222" s="177"/>
      <c r="F222" s="161"/>
      <c r="G222" s="162"/>
      <c r="H222" s="162"/>
      <c r="I222" s="178"/>
      <c r="J222" s="165"/>
      <c r="K222" s="126"/>
      <c r="L222" s="127"/>
      <c r="M222" s="128"/>
      <c r="N222" s="165"/>
      <c r="O222" s="165"/>
      <c r="P222" s="177"/>
      <c r="Q222" s="165"/>
      <c r="R222" s="165"/>
      <c r="S222" s="126"/>
      <c r="T222" s="128"/>
      <c r="U222" s="128"/>
      <c r="V222" s="165"/>
      <c r="W222" s="165"/>
      <c r="X222" s="177"/>
      <c r="Y222" s="165"/>
      <c r="Z222" s="166"/>
      <c r="AA222" s="165"/>
      <c r="AB222" s="132"/>
      <c r="AC222" s="133"/>
      <c r="AD222" s="133"/>
      <c r="AE222" s="133"/>
      <c r="AF222" s="133" t="str">
        <f aca="false">IF(ISBLANK($C222),"",IF(E222=Constants!$B$3,TRUE(),IF(E222=Constants!$B$4,FALSE(),TRUE())))</f>
        <v/>
      </c>
      <c r="AG222" s="133" t="str">
        <f aca="false">IF(ISBLANK($C222),"",IF(F222=Constants!$B$3,TRUE(),IF(F222=Constants!$B$4,FALSE(),TRUE())))</f>
        <v/>
      </c>
      <c r="AH222" s="133" t="str">
        <f aca="false">IF(ISBLANK($C222),"",IF(G222=Constants!$B$3,TRUE(),IF(G222=Constants!$B$4,FALSE(),TRUE())))</f>
        <v/>
      </c>
      <c r="AI222" s="133" t="str">
        <f aca="false">IF(ISBLANK($C222),"",IF(AND(ISNUMBER(H222),H222&gt;=0),H222,Constants!$B$29))</f>
        <v/>
      </c>
      <c r="AJ222" s="133" t="str">
        <f aca="false">IF(ISBLANK($C222),"",IF(I222=Constants!$B$3,TRUE(),IF(I222=Constants!$B$4,FALSE(),TRUE())))</f>
        <v/>
      </c>
      <c r="AK222" s="133" t="str">
        <f aca="false">IF(ISBLANK($C222),"",IF(J222=Constants!$B$3,TRUE(),IF(J222=Constants!$B$4,FALSE(),TRUE())))</f>
        <v/>
      </c>
      <c r="AL222" s="133" t="str">
        <f aca="false">IF(ISBLANK($C222),"",IF(K222=Constants!$B$5,TRUE(),IF(K222=Constants!$B$6,FALSE(),COUNTA(L222:P222)&gt;0)))</f>
        <v/>
      </c>
      <c r="AM222" s="134" t="str">
        <f aca="false">IF(ISBLANK($C222),"",IF(ISNUMBER(L222),IF(L222&gt;=0,L222,""),""))</f>
        <v/>
      </c>
      <c r="AN222" s="135" t="str">
        <f aca="false">IF(ISBLANK($C222),"",IF(ISNUMBER(M222),IF(M222&gt;=0,M222,""),""))</f>
        <v/>
      </c>
      <c r="AO222" s="135" t="str">
        <f aca="false">IF(ISBLANK($C222),"",IF(N222=Constants!$B$3,TRUE(),IF(N222=Constants!$B$4,FALSE(),TRUE())))</f>
        <v/>
      </c>
      <c r="AP222" s="133" t="str">
        <f aca="false">IF(ISBLANK($C222),"",IF(ISNUMBER(O222),IF(O222&gt;=0,O222,""),""))</f>
        <v/>
      </c>
      <c r="AQ222" s="133" t="str">
        <f aca="false">IF(ISBLANK($C222),"",IF(P222=Constants!$B$3,TRUE(),IF(P222=Constants!$B$4,FALSE(),FALSE())))</f>
        <v/>
      </c>
      <c r="AR222" s="133" t="str">
        <f aca="false">IF(ISBLANK($C222),"",IF(Q222=Constants!$B$3,TRUE(),IF(Q222=Constants!$B$4,FALSE(),TRUE())))</f>
        <v/>
      </c>
      <c r="AS222" s="133" t="str">
        <f aca="false">IF(ISBLANK($C222),"",IF(R222=Constants!$B$3,TRUE(),IF(R222=Constants!$B$4,FALSE(),TRUE())))</f>
        <v/>
      </c>
      <c r="AT222" s="133" t="str">
        <f aca="false">IF(ISBLANK($C222),"",IF(S222=Constants!$B$5,TRUE(),IF(S222=Constants!$B$6,FALSE(),COUNTA(T222:X222)&gt;0)))</f>
        <v/>
      </c>
      <c r="AU222" s="134" t="str">
        <f aca="false">IF(ISBLANK($C222),"",IF(ISNUMBER(T222),IF(T222&gt;=0,T222,""),""))</f>
        <v/>
      </c>
      <c r="AV222" s="135" t="str">
        <f aca="false">IF(ISBLANK($C222),"",IF(ISNUMBER(U222),IF(U222&gt;=0,U222,""),""))</f>
        <v/>
      </c>
      <c r="AW222" s="135" t="str">
        <f aca="false">IF(ISBLANK($C222),"",IF(V222=Constants!$B$3,TRUE(),IF(V222=Constants!$B$4,FALSE(),TRUE())))</f>
        <v/>
      </c>
      <c r="AX222" s="133" t="str">
        <f aca="false">IF(ISBLANK($C222),"",IF(ISNUMBER(W222),IF(W222&gt;=0,W222,""),""))</f>
        <v/>
      </c>
      <c r="AY222" s="133" t="str">
        <f aca="false">IF(ISBLANK($C222),"",IF(X222=Constants!$B$3,TRUE(),IF(X222=Constants!$B$4,FALSE(),FALSE())))</f>
        <v/>
      </c>
      <c r="AZ222" s="133" t="str">
        <f aca="false">IF(ISBLANK($C222),"",MIN(Constants!$B$31,MAX(0,IF(ISNUMBER(Y222),Y222*60,0)+IF(ISNUMBER(Z222),Z222,0))))</f>
        <v/>
      </c>
      <c r="BA222" s="133" t="str">
        <f aca="false">IF(ISBLANK($C222),"",IF(AA222=Constants!$B$3,TRUE(),IF(AA222=Constants!$B$4,FALSE(),FALSE())))</f>
        <v/>
      </c>
      <c r="BB222" s="132" t="str">
        <f aca="false">IF(ISBLANK($C222),"",AND($AL222,OR($AM222="",$AN222="",AND($AO222,$AP222=""))))</f>
        <v/>
      </c>
      <c r="BC222" s="135" t="str">
        <f aca="false">IF($BR222&lt;&gt;Constants!$B$8,"",IF($AL222,Constants!$B$21*$AN222+Constants!$B$22*IF($AO222,$AP222,Constants!$B$23),Constants!$B$24))</f>
        <v/>
      </c>
      <c r="BD222" s="136" t="str">
        <f aca="false">IF($BR222&lt;&gt;Constants!$B$8,"",Constants!$B$25*ABS($AD$9-IF($AL222,$AM222,0)))</f>
        <v/>
      </c>
      <c r="BE222" s="136" t="str">
        <f aca="false">IF($BR222&lt;&gt;Constants!$B$8,"",IF(AND($AL222,$AQ222,$AO222),Constants!$B$27,0))</f>
        <v/>
      </c>
      <c r="BF222" s="136" t="str">
        <f aca="false">IF($BR222&lt;&gt;Constants!$B$8,"",IF($AL222,($AI222-Constants!$B$29)*Constants!$B$28,0))</f>
        <v/>
      </c>
      <c r="BG222" s="136" t="str">
        <f aca="false">IF($BR222&lt;&gt;Constants!$B$8,"",IF($AK222,0,Constants!$B$15)+IF($AJ222,0,Constants!$B$16)+IF($AH222,0,Constants!$B$17))</f>
        <v/>
      </c>
      <c r="BH222" s="137" t="str">
        <f aca="false">IF($BR222&lt;&gt;Constants!$B$8,"",Constants!$B$20+SUM($BC222:$BG222))</f>
        <v/>
      </c>
      <c r="BI222" s="133" t="str">
        <f aca="false">IF($BR222&lt;&gt;Constants!$B$8,"",IF(OR($BP222&lt;$BH222,AND($BP222=$BH222,OR($BK222&lt;$BC222,AND($BK222=$BC222,OR($BL222&lt;$BD222,AND($BL222=$BD222,$AT222,$AL222,$AV222&lt;$AN222)))))),"-&gt;","&lt;-"))</f>
        <v/>
      </c>
      <c r="BJ222" s="132" t="str">
        <f aca="false">IF(ISBLANK($C222),"",AND($AT222,OR($AU222="",$AV222="",AND($AW222,$AX222=""))))</f>
        <v/>
      </c>
      <c r="BK222" s="135" t="str">
        <f aca="false">IF($BR222&lt;&gt;Constants!$B$8,"",IF($AT222,Constants!$B$21*$AV222+Constants!$B$22*IF($AW222,$AX222,Constants!$B$23),Constants!$B$24))</f>
        <v/>
      </c>
      <c r="BL222" s="136" t="str">
        <f aca="false">IF($BR222&lt;&gt;Constants!$B$8,"",Constants!$B$25*ABS($AD$9-IF($AT222,$AU222,0)))</f>
        <v/>
      </c>
      <c r="BM222" s="136" t="str">
        <f aca="false">IF($BR222&lt;&gt;Constants!$B$8,"",IF(AND($AT222,$AY222,$AW222),Constants!$B$27,0))</f>
        <v/>
      </c>
      <c r="BN222" s="136" t="str">
        <f aca="false">IF($BR222&lt;&gt;Constants!$B$8,"",IF($AT222,($AI222-Constants!$B$29)*Constants!$B$28,0))</f>
        <v/>
      </c>
      <c r="BO222" s="136" t="str">
        <f aca="false">IF($BR222&lt;&gt;Constants!$B$8,"",IF($AS222,0,Constants!$B$15)+IF($AR222,0,Constants!$B$16)+IF($AH222,0,Constants!$B$17))</f>
        <v/>
      </c>
      <c r="BP222" s="137" t="str">
        <f aca="false">IF($BR222&lt;&gt;Constants!$B$8,"",Constants!$B$20+SUM($BK222:$BO222))</f>
        <v/>
      </c>
      <c r="BQ222" s="133" t="str">
        <f aca="false">IF(ISBLANK($C222),"",IF(ISBLANK($D$7),$BQ$5,IF(NOT(ISNUMBER($D$7)),$BQ$6,"")))</f>
        <v/>
      </c>
      <c r="BR222" s="133" t="str">
        <f aca="false">IF(ISBLANK($C222),"",IF($BA222,Constants!$B$11,IF(COUNTA($E222:$AA222)=0,Constants!$B$10,IF(NOT($AG222),Constants!$B$9,IF(OR($BQ222&lt;&gt;"",$BB222,$BJ222),Constants!$B$12,Constants!$B$8)))))</f>
        <v/>
      </c>
      <c r="BS222" s="133" t="str">
        <f aca="false">IF(ISBLANK($C222),"",IF($BR222&lt;&gt;Constants!$B$8,$BR222,Constants!$B$13))</f>
        <v/>
      </c>
      <c r="BT222" s="136" t="str">
        <f aca="false">IF($BR222&lt;&gt;Constants!$B$8,"",IF($BI222="-&gt;",$BP222,$BH222))</f>
        <v/>
      </c>
      <c r="BU222" s="136" t="str">
        <f aca="false">IF($BR222&lt;&gt;Constants!$B$8,"",IF($AF222,0,Constants!$B$18))</f>
        <v/>
      </c>
      <c r="BV222" s="136" t="str">
        <f aca="false">IF($BR222&lt;&gt;Constants!$B$8,"",((Constants!$B$31-$AZ222)-Constants!$B$31)/Constants!$B$32)</f>
        <v/>
      </c>
      <c r="BW222" s="136" t="str">
        <f aca="false">IF(ISBLANK($C222),"",IF($BR222&lt;&gt;Constants!$B$8,$BR222,SUM($BT222:$BV222)))</f>
        <v/>
      </c>
      <c r="BX222" s="133" t="str">
        <f aca="false">IF(ISBLANK($C222),"",IF($BR222&lt;&gt;Constants!$B$8,$BR222,RANK($BW222,$BW$9:$BW$508,1)))</f>
        <v/>
      </c>
      <c r="BY222" s="136" t="str">
        <f aca="false">IF($BR222&lt;&gt;Constants!$B$8,"",IF($BI222="-&gt;",$BK222,$BC222))</f>
        <v/>
      </c>
      <c r="BZ222" s="133" t="str">
        <f aca="false">IF(ISBLANK($C222),"",IF($BR222&lt;&gt;Constants!$B$8,$BR222,IF(ISNUMBER($BY222),RANK($BY222,$BY$9:$BY$508,1),COUNT($BY$9:$BY$508)+1)))</f>
        <v/>
      </c>
      <c r="CA222" s="136" t="str">
        <f aca="false">IF($BR222&lt;&gt;Constants!$B$8,"",IF($BI222="-&gt;",$BL222,$BD222))</f>
        <v/>
      </c>
      <c r="CB222" s="133" t="str">
        <f aca="false">IF(ISBLANK($C222),"",IF($BR222&lt;&gt;Constants!$B$8,$BR222,IF(ISNUMBER($CA222),RANK($CA222,$CA$9:$CA$508,1),COUNT($CA$9:$CA$508)+1)))</f>
        <v/>
      </c>
      <c r="CC222" s="136" t="str">
        <f aca="false">IF($BR222&lt;&gt;Constants!$B$8,"",IF($BI222="-&gt;",IF($AT222,$AV222,""),IF($AL222,$AN222,"")))</f>
        <v/>
      </c>
      <c r="CD222" s="133" t="str">
        <f aca="false">IF(ISBLANK($C222),"",IF($BR222&lt;&gt;Constants!$B$8,$BR222,IF(ISNUMBER($CC222),RANK($CC222,$CC$9:$CC$508,1),COUNT($CC$9:$CC$508)+1)))</f>
        <v/>
      </c>
      <c r="CE222" s="136" t="str">
        <f aca="false">IF($BR222&lt;&gt;Constants!$B$8,"",IF(AND(NOT($AL222),NOT($AT222),$AJ222,$AK222,$AR222,$AS222),"",$AI222))</f>
        <v/>
      </c>
      <c r="CF222" s="133" t="str">
        <f aca="false">IF(ISBLANK($C222),"",IF($BR222&lt;&gt;Constants!$B$8,$BR222,IF(ISNUMBER($CE222),RANK($CE222,$CE$9:$CE$508,1),COUNT($CE$9:$CE$508)+1)))</f>
        <v/>
      </c>
      <c r="CG222" s="133" t="str">
        <f aca="false">IF(ISBLANK($C222),"",IF($BR222&lt;&gt;Constants!$B$8,$BR222,COUNTIFS($BX$9:$BX$508,"&lt;"&amp;$BX222)+COUNTIFS($BX$9:$BX$508,$BX222,$BZ$9:$BZ$508,"&lt;"&amp;$BZ222)+COUNTIFS($BX$9:$BX$508,$BX222,$BZ$9:$BZ$508,$BZ222,$CB$9:$CB$508,"&lt;"&amp;$CB222)+COUNTIFS($BX$9:$BX$508,$BX222,$BZ$9:$BZ$508,$BZ222,$CB$9:$CB$508,$CB222,$CD$9:$CD$508,"&lt;"&amp;$CD222)+COUNTIFS($BX$9:$BX$508,$BX222,$BZ$9:$BZ$508,$BZ222,$CB$9:$CB$508,$CB222,$CD$9:$CD$508,$CD222,$CF$9:$CF$508,"&lt;"&amp;$CF222)+1))</f>
        <v/>
      </c>
      <c r="CH222" s="133" t="str">
        <f aca="false">IF(ISBLANK($C222),"",IF($BR222&lt;&gt;Constants!$B$8,$BR222,$BX222-$CG222))</f>
        <v/>
      </c>
      <c r="CI222" s="138"/>
      <c r="CJ222" s="139"/>
      <c r="CK222" s="140" t="str">
        <f aca="false">IF(ISBLANK($C222),"",IF($BR222=Constants!$B$12,$BQ222,""))</f>
        <v/>
      </c>
      <c r="CL222" s="139" t="str">
        <f aca="false">IF(ISBLANK($C222),"",IF($BR222&lt;&gt;Constants!$B$8,"",IF($BI222="-&gt;",2,1)))</f>
        <v/>
      </c>
      <c r="CM222" s="141" t="str">
        <f aca="false">IF(ISBLANK($C222),"",IF($BR222&lt;&gt;Constants!$B$8,"",IF($BI222="-&gt;",$BK222,$BC222)))</f>
        <v/>
      </c>
      <c r="CN222" s="141" t="str">
        <f aca="false">IF(ISBLANK($C222),"",IF($BR222&lt;&gt;Constants!$B$8,"",IF($BI222="-&gt;",$BL222,$BD222)))</f>
        <v/>
      </c>
      <c r="CO222" s="141" t="str">
        <f aca="false">IF(ISBLANK($C222),"",IF($BR222&lt;&gt;Constants!$B$8,"",IF($BI222="-&gt;",$BM222+$BN222,$BE222+$BF222)+$BV222))</f>
        <v/>
      </c>
      <c r="CP222" s="141" t="str">
        <f aca="false">IF(ISBLANK($C222),"",IF($BR222&lt;&gt;Constants!$B$8,"",IF($BI222="-&gt;",$BO222,$BG222)+$BU222))</f>
        <v/>
      </c>
      <c r="CQ222" s="142" t="str">
        <f aca="false">IF(ISBLANK($C222),"",IF($BR222&lt;&gt;Constants!$B$8,$BR222,$BW222))</f>
        <v/>
      </c>
      <c r="CR222" s="143" t="str">
        <f aca="false">IF(ISBLANK($C222),"",$BS222)</f>
        <v/>
      </c>
      <c r="CS222" s="144" t="str">
        <f aca="false">IF(ISBLANK($C222),"",$CH222)</f>
        <v/>
      </c>
      <c r="CT222" s="144" t="str">
        <f aca="false">IF(ISBLANK($C222),"",$CG222)</f>
        <v/>
      </c>
      <c r="CU222" s="145" t="str">
        <f aca="false">IF(ISBLANK($C222),"",IFERROR(_xlfn.SWITCH($CT222,Constants!$B$11,COUNTA($C$9:$C$508)+2,Constants!$B$10,COUNTA($C$9:$C$508)+1,Constants!$B$9,COUNTA($C$9:$C$508)),$CT222))</f>
        <v/>
      </c>
      <c r="CV222" s="9"/>
      <c r="CW222" s="146" t="n">
        <f aca="false">IF(OR(ISNUMBER($CT222),$CT222=Constants!$B$11,$CT222=Constants!$B$9,$CT222=Constants!$B$10),1,0)</f>
        <v>0</v>
      </c>
      <c r="CX222" s="146" t="n">
        <v>214</v>
      </c>
      <c r="CY222" s="146" t="str">
        <f aca="false">IF(ISBLANK($C222),"",IF(ISNUMBER($CU222),$CU222+ROW($B222)/1000,""))</f>
        <v/>
      </c>
      <c r="CZ222" s="146" t="str">
        <f aca="false">IF(ISNUMBER($CY222),RANK($CY222,$CY$9:$CY$508,1),"")</f>
        <v/>
      </c>
      <c r="DA222" s="146" t="str">
        <f aca="false">IF(ISBLANK($C222),"",$B222)</f>
        <v/>
      </c>
      <c r="DB222" s="146" t="str">
        <f aca="false">IF(ISBLANK($C222),"",$C222)</f>
        <v/>
      </c>
      <c r="DC222" s="146" t="str">
        <f aca="false">IF(ISBLANK($C222),"",$D222)</f>
        <v/>
      </c>
      <c r="DD222" s="147" t="str">
        <f aca="false">$CR222</f>
        <v/>
      </c>
      <c r="DE222" s="148" t="str">
        <f aca="false">$CQ222</f>
        <v/>
      </c>
      <c r="DF222" s="146" t="str">
        <f aca="false">IF(ISBLANK($C222),"",$CT222)</f>
        <v/>
      </c>
      <c r="DG222" s="149" t="str">
        <f aca="false">IF($CX222&gt;$CW$8,"",VLOOKUP($CX222,$CZ$9:$DF$508,7,FALSE()))</f>
        <v/>
      </c>
      <c r="DH222" s="150" t="str">
        <f aca="false">IF($CX222&gt;$CW$8,"",VLOOKUP($CX222,$CZ$9:$DF$508,2,FALSE()))</f>
        <v/>
      </c>
      <c r="DI222" s="150" t="str">
        <f aca="false">IF($CX222&gt;$CW$8,"",VLOOKUP($CX222,$CZ$9:$DF$508,3,FALSE()))</f>
        <v/>
      </c>
      <c r="DJ222" s="150" t="str">
        <f aca="false">IF($CX222&gt;$CW$8,"",VLOOKUP($CX222,$CZ$9:$DF$508,4,FALSE()))</f>
        <v/>
      </c>
      <c r="DK222" s="150" t="str">
        <f aca="false">IF($CX222&gt;$CW$8,"",VLOOKUP($CX222,$CZ$9:$DF$508,5,FALSE()))</f>
        <v/>
      </c>
      <c r="DL222" s="151" t="str">
        <f aca="false">IF($CX222&gt;$CW$8,"",VLOOKUP($CX222,$CZ$9:$DF$508,6,FALSE()))</f>
        <v/>
      </c>
      <c r="DM222" s="75"/>
    </row>
    <row r="223" customFormat="false" ht="15.75" hidden="false" customHeight="false" outlineLevel="0" collapsed="false">
      <c r="A223" s="9"/>
      <c r="B223" s="157"/>
      <c r="C223" s="158"/>
      <c r="D223" s="159"/>
      <c r="E223" s="177"/>
      <c r="F223" s="161"/>
      <c r="G223" s="162"/>
      <c r="H223" s="162"/>
      <c r="I223" s="178"/>
      <c r="J223" s="165"/>
      <c r="K223" s="126"/>
      <c r="L223" s="127"/>
      <c r="M223" s="128"/>
      <c r="N223" s="165"/>
      <c r="O223" s="165"/>
      <c r="P223" s="177"/>
      <c r="Q223" s="165"/>
      <c r="R223" s="165"/>
      <c r="S223" s="126"/>
      <c r="T223" s="128"/>
      <c r="U223" s="128"/>
      <c r="V223" s="165"/>
      <c r="W223" s="165"/>
      <c r="X223" s="177"/>
      <c r="Y223" s="165"/>
      <c r="Z223" s="166"/>
      <c r="AA223" s="165"/>
      <c r="AB223" s="132"/>
      <c r="AC223" s="133"/>
      <c r="AD223" s="133"/>
      <c r="AE223" s="133"/>
      <c r="AF223" s="133" t="str">
        <f aca="false">IF(ISBLANK($C223),"",IF(E223=Constants!$B$3,TRUE(),IF(E223=Constants!$B$4,FALSE(),TRUE())))</f>
        <v/>
      </c>
      <c r="AG223" s="133" t="str">
        <f aca="false">IF(ISBLANK($C223),"",IF(F223=Constants!$B$3,TRUE(),IF(F223=Constants!$B$4,FALSE(),TRUE())))</f>
        <v/>
      </c>
      <c r="AH223" s="133" t="str">
        <f aca="false">IF(ISBLANK($C223),"",IF(G223=Constants!$B$3,TRUE(),IF(G223=Constants!$B$4,FALSE(),TRUE())))</f>
        <v/>
      </c>
      <c r="AI223" s="133" t="str">
        <f aca="false">IF(ISBLANK($C223),"",IF(AND(ISNUMBER(H223),H223&gt;=0),H223,Constants!$B$29))</f>
        <v/>
      </c>
      <c r="AJ223" s="133" t="str">
        <f aca="false">IF(ISBLANK($C223),"",IF(I223=Constants!$B$3,TRUE(),IF(I223=Constants!$B$4,FALSE(),TRUE())))</f>
        <v/>
      </c>
      <c r="AK223" s="133" t="str">
        <f aca="false">IF(ISBLANK($C223),"",IF(J223=Constants!$B$3,TRUE(),IF(J223=Constants!$B$4,FALSE(),TRUE())))</f>
        <v/>
      </c>
      <c r="AL223" s="133" t="str">
        <f aca="false">IF(ISBLANK($C223),"",IF(K223=Constants!$B$5,TRUE(),IF(K223=Constants!$B$6,FALSE(),COUNTA(L223:P223)&gt;0)))</f>
        <v/>
      </c>
      <c r="AM223" s="134" t="str">
        <f aca="false">IF(ISBLANK($C223),"",IF(ISNUMBER(L223),IF(L223&gt;=0,L223,""),""))</f>
        <v/>
      </c>
      <c r="AN223" s="135" t="str">
        <f aca="false">IF(ISBLANK($C223),"",IF(ISNUMBER(M223),IF(M223&gt;=0,M223,""),""))</f>
        <v/>
      </c>
      <c r="AO223" s="135" t="str">
        <f aca="false">IF(ISBLANK($C223),"",IF(N223=Constants!$B$3,TRUE(),IF(N223=Constants!$B$4,FALSE(),TRUE())))</f>
        <v/>
      </c>
      <c r="AP223" s="133" t="str">
        <f aca="false">IF(ISBLANK($C223),"",IF(ISNUMBER(O223),IF(O223&gt;=0,O223,""),""))</f>
        <v/>
      </c>
      <c r="AQ223" s="133" t="str">
        <f aca="false">IF(ISBLANK($C223),"",IF(P223=Constants!$B$3,TRUE(),IF(P223=Constants!$B$4,FALSE(),FALSE())))</f>
        <v/>
      </c>
      <c r="AR223" s="133" t="str">
        <f aca="false">IF(ISBLANK($C223),"",IF(Q223=Constants!$B$3,TRUE(),IF(Q223=Constants!$B$4,FALSE(),TRUE())))</f>
        <v/>
      </c>
      <c r="AS223" s="133" t="str">
        <f aca="false">IF(ISBLANK($C223),"",IF(R223=Constants!$B$3,TRUE(),IF(R223=Constants!$B$4,FALSE(),TRUE())))</f>
        <v/>
      </c>
      <c r="AT223" s="133" t="str">
        <f aca="false">IF(ISBLANK($C223),"",IF(S223=Constants!$B$5,TRUE(),IF(S223=Constants!$B$6,FALSE(),COUNTA(T223:X223)&gt;0)))</f>
        <v/>
      </c>
      <c r="AU223" s="134" t="str">
        <f aca="false">IF(ISBLANK($C223),"",IF(ISNUMBER(T223),IF(T223&gt;=0,T223,""),""))</f>
        <v/>
      </c>
      <c r="AV223" s="135" t="str">
        <f aca="false">IF(ISBLANK($C223),"",IF(ISNUMBER(U223),IF(U223&gt;=0,U223,""),""))</f>
        <v/>
      </c>
      <c r="AW223" s="135" t="str">
        <f aca="false">IF(ISBLANK($C223),"",IF(V223=Constants!$B$3,TRUE(),IF(V223=Constants!$B$4,FALSE(),TRUE())))</f>
        <v/>
      </c>
      <c r="AX223" s="133" t="str">
        <f aca="false">IF(ISBLANK($C223),"",IF(ISNUMBER(W223),IF(W223&gt;=0,W223,""),""))</f>
        <v/>
      </c>
      <c r="AY223" s="133" t="str">
        <f aca="false">IF(ISBLANK($C223),"",IF(X223=Constants!$B$3,TRUE(),IF(X223=Constants!$B$4,FALSE(),FALSE())))</f>
        <v/>
      </c>
      <c r="AZ223" s="133" t="str">
        <f aca="false">IF(ISBLANK($C223),"",MIN(Constants!$B$31,MAX(0,IF(ISNUMBER(Y223),Y223*60,0)+IF(ISNUMBER(Z223),Z223,0))))</f>
        <v/>
      </c>
      <c r="BA223" s="133" t="str">
        <f aca="false">IF(ISBLANK($C223),"",IF(AA223=Constants!$B$3,TRUE(),IF(AA223=Constants!$B$4,FALSE(),FALSE())))</f>
        <v/>
      </c>
      <c r="BB223" s="132" t="str">
        <f aca="false">IF(ISBLANK($C223),"",AND($AL223,OR($AM223="",$AN223="",AND($AO223,$AP223=""))))</f>
        <v/>
      </c>
      <c r="BC223" s="135" t="str">
        <f aca="false">IF($BR223&lt;&gt;Constants!$B$8,"",IF($AL223,Constants!$B$21*$AN223+Constants!$B$22*IF($AO223,$AP223,Constants!$B$23),Constants!$B$24))</f>
        <v/>
      </c>
      <c r="BD223" s="136" t="str">
        <f aca="false">IF($BR223&lt;&gt;Constants!$B$8,"",Constants!$B$25*ABS($AD$9-IF($AL223,$AM223,0)))</f>
        <v/>
      </c>
      <c r="BE223" s="136" t="str">
        <f aca="false">IF($BR223&lt;&gt;Constants!$B$8,"",IF(AND($AL223,$AQ223,$AO223),Constants!$B$27,0))</f>
        <v/>
      </c>
      <c r="BF223" s="136" t="str">
        <f aca="false">IF($BR223&lt;&gt;Constants!$B$8,"",IF($AL223,($AI223-Constants!$B$29)*Constants!$B$28,0))</f>
        <v/>
      </c>
      <c r="BG223" s="136" t="str">
        <f aca="false">IF($BR223&lt;&gt;Constants!$B$8,"",IF($AK223,0,Constants!$B$15)+IF($AJ223,0,Constants!$B$16)+IF($AH223,0,Constants!$B$17))</f>
        <v/>
      </c>
      <c r="BH223" s="137" t="str">
        <f aca="false">IF($BR223&lt;&gt;Constants!$B$8,"",Constants!$B$20+SUM($BC223:$BG223))</f>
        <v/>
      </c>
      <c r="BI223" s="133" t="str">
        <f aca="false">IF($BR223&lt;&gt;Constants!$B$8,"",IF(OR($BP223&lt;$BH223,AND($BP223=$BH223,OR($BK223&lt;$BC223,AND($BK223=$BC223,OR($BL223&lt;$BD223,AND($BL223=$BD223,$AT223,$AL223,$AV223&lt;$AN223)))))),"-&gt;","&lt;-"))</f>
        <v/>
      </c>
      <c r="BJ223" s="132" t="str">
        <f aca="false">IF(ISBLANK($C223),"",AND($AT223,OR($AU223="",$AV223="",AND($AW223,$AX223=""))))</f>
        <v/>
      </c>
      <c r="BK223" s="135" t="str">
        <f aca="false">IF($BR223&lt;&gt;Constants!$B$8,"",IF($AT223,Constants!$B$21*$AV223+Constants!$B$22*IF($AW223,$AX223,Constants!$B$23),Constants!$B$24))</f>
        <v/>
      </c>
      <c r="BL223" s="136" t="str">
        <f aca="false">IF($BR223&lt;&gt;Constants!$B$8,"",Constants!$B$25*ABS($AD$9-IF($AT223,$AU223,0)))</f>
        <v/>
      </c>
      <c r="BM223" s="136" t="str">
        <f aca="false">IF($BR223&lt;&gt;Constants!$B$8,"",IF(AND($AT223,$AY223,$AW223),Constants!$B$27,0))</f>
        <v/>
      </c>
      <c r="BN223" s="136" t="str">
        <f aca="false">IF($BR223&lt;&gt;Constants!$B$8,"",IF($AT223,($AI223-Constants!$B$29)*Constants!$B$28,0))</f>
        <v/>
      </c>
      <c r="BO223" s="136" t="str">
        <f aca="false">IF($BR223&lt;&gt;Constants!$B$8,"",IF($AS223,0,Constants!$B$15)+IF($AR223,0,Constants!$B$16)+IF($AH223,0,Constants!$B$17))</f>
        <v/>
      </c>
      <c r="BP223" s="137" t="str">
        <f aca="false">IF($BR223&lt;&gt;Constants!$B$8,"",Constants!$B$20+SUM($BK223:$BO223))</f>
        <v/>
      </c>
      <c r="BQ223" s="133" t="str">
        <f aca="false">IF(ISBLANK($C223),"",IF(ISBLANK($D$7),$BQ$5,IF(NOT(ISNUMBER($D$7)),$BQ$6,"")))</f>
        <v/>
      </c>
      <c r="BR223" s="133" t="str">
        <f aca="false">IF(ISBLANK($C223),"",IF($BA223,Constants!$B$11,IF(COUNTA($E223:$AA223)=0,Constants!$B$10,IF(NOT($AG223),Constants!$B$9,IF(OR($BQ223&lt;&gt;"",$BB223,$BJ223),Constants!$B$12,Constants!$B$8)))))</f>
        <v/>
      </c>
      <c r="BS223" s="133" t="str">
        <f aca="false">IF(ISBLANK($C223),"",IF($BR223&lt;&gt;Constants!$B$8,$BR223,Constants!$B$13))</f>
        <v/>
      </c>
      <c r="BT223" s="136" t="str">
        <f aca="false">IF($BR223&lt;&gt;Constants!$B$8,"",IF($BI223="-&gt;",$BP223,$BH223))</f>
        <v/>
      </c>
      <c r="BU223" s="136" t="str">
        <f aca="false">IF($BR223&lt;&gt;Constants!$B$8,"",IF($AF223,0,Constants!$B$18))</f>
        <v/>
      </c>
      <c r="BV223" s="136" t="str">
        <f aca="false">IF($BR223&lt;&gt;Constants!$B$8,"",((Constants!$B$31-$AZ223)-Constants!$B$31)/Constants!$B$32)</f>
        <v/>
      </c>
      <c r="BW223" s="136" t="str">
        <f aca="false">IF(ISBLANK($C223),"",IF($BR223&lt;&gt;Constants!$B$8,$BR223,SUM($BT223:$BV223)))</f>
        <v/>
      </c>
      <c r="BX223" s="133" t="str">
        <f aca="false">IF(ISBLANK($C223),"",IF($BR223&lt;&gt;Constants!$B$8,$BR223,RANK($BW223,$BW$9:$BW$508,1)))</f>
        <v/>
      </c>
      <c r="BY223" s="136" t="str">
        <f aca="false">IF($BR223&lt;&gt;Constants!$B$8,"",IF($BI223="-&gt;",$BK223,$BC223))</f>
        <v/>
      </c>
      <c r="BZ223" s="133" t="str">
        <f aca="false">IF(ISBLANK($C223),"",IF($BR223&lt;&gt;Constants!$B$8,$BR223,IF(ISNUMBER($BY223),RANK($BY223,$BY$9:$BY$508,1),COUNT($BY$9:$BY$508)+1)))</f>
        <v/>
      </c>
      <c r="CA223" s="136" t="str">
        <f aca="false">IF($BR223&lt;&gt;Constants!$B$8,"",IF($BI223="-&gt;",$BL223,$BD223))</f>
        <v/>
      </c>
      <c r="CB223" s="133" t="str">
        <f aca="false">IF(ISBLANK($C223),"",IF($BR223&lt;&gt;Constants!$B$8,$BR223,IF(ISNUMBER($CA223),RANK($CA223,$CA$9:$CA$508,1),COUNT($CA$9:$CA$508)+1)))</f>
        <v/>
      </c>
      <c r="CC223" s="136" t="str">
        <f aca="false">IF($BR223&lt;&gt;Constants!$B$8,"",IF($BI223="-&gt;",IF($AT223,$AV223,""),IF($AL223,$AN223,"")))</f>
        <v/>
      </c>
      <c r="CD223" s="133" t="str">
        <f aca="false">IF(ISBLANK($C223),"",IF($BR223&lt;&gt;Constants!$B$8,$BR223,IF(ISNUMBER($CC223),RANK($CC223,$CC$9:$CC$508,1),COUNT($CC$9:$CC$508)+1)))</f>
        <v/>
      </c>
      <c r="CE223" s="136" t="str">
        <f aca="false">IF($BR223&lt;&gt;Constants!$B$8,"",IF(AND(NOT($AL223),NOT($AT223),$AJ223,$AK223,$AR223,$AS223),"",$AI223))</f>
        <v/>
      </c>
      <c r="CF223" s="133" t="str">
        <f aca="false">IF(ISBLANK($C223),"",IF($BR223&lt;&gt;Constants!$B$8,$BR223,IF(ISNUMBER($CE223),RANK($CE223,$CE$9:$CE$508,1),COUNT($CE$9:$CE$508)+1)))</f>
        <v/>
      </c>
      <c r="CG223" s="133" t="str">
        <f aca="false">IF(ISBLANK($C223),"",IF($BR223&lt;&gt;Constants!$B$8,$BR223,COUNTIFS($BX$9:$BX$508,"&lt;"&amp;$BX223)+COUNTIFS($BX$9:$BX$508,$BX223,$BZ$9:$BZ$508,"&lt;"&amp;$BZ223)+COUNTIFS($BX$9:$BX$508,$BX223,$BZ$9:$BZ$508,$BZ223,$CB$9:$CB$508,"&lt;"&amp;$CB223)+COUNTIFS($BX$9:$BX$508,$BX223,$BZ$9:$BZ$508,$BZ223,$CB$9:$CB$508,$CB223,$CD$9:$CD$508,"&lt;"&amp;$CD223)+COUNTIFS($BX$9:$BX$508,$BX223,$BZ$9:$BZ$508,$BZ223,$CB$9:$CB$508,$CB223,$CD$9:$CD$508,$CD223,$CF$9:$CF$508,"&lt;"&amp;$CF223)+1))</f>
        <v/>
      </c>
      <c r="CH223" s="133" t="str">
        <f aca="false">IF(ISBLANK($C223),"",IF($BR223&lt;&gt;Constants!$B$8,$BR223,$BX223-$CG223))</f>
        <v/>
      </c>
      <c r="CI223" s="138"/>
      <c r="CJ223" s="139"/>
      <c r="CK223" s="140" t="str">
        <f aca="false">IF(ISBLANK($C223),"",IF($BR223=Constants!$B$12,$BQ223,""))</f>
        <v/>
      </c>
      <c r="CL223" s="139" t="str">
        <f aca="false">IF(ISBLANK($C223),"",IF($BR223&lt;&gt;Constants!$B$8,"",IF($BI223="-&gt;",2,1)))</f>
        <v/>
      </c>
      <c r="CM223" s="141" t="str">
        <f aca="false">IF(ISBLANK($C223),"",IF($BR223&lt;&gt;Constants!$B$8,"",IF($BI223="-&gt;",$BK223,$BC223)))</f>
        <v/>
      </c>
      <c r="CN223" s="141" t="str">
        <f aca="false">IF(ISBLANK($C223),"",IF($BR223&lt;&gt;Constants!$B$8,"",IF($BI223="-&gt;",$BL223,$BD223)))</f>
        <v/>
      </c>
      <c r="CO223" s="141" t="str">
        <f aca="false">IF(ISBLANK($C223),"",IF($BR223&lt;&gt;Constants!$B$8,"",IF($BI223="-&gt;",$BM223+$BN223,$BE223+$BF223)+$BV223))</f>
        <v/>
      </c>
      <c r="CP223" s="141" t="str">
        <f aca="false">IF(ISBLANK($C223),"",IF($BR223&lt;&gt;Constants!$B$8,"",IF($BI223="-&gt;",$BO223,$BG223)+$BU223))</f>
        <v/>
      </c>
      <c r="CQ223" s="142" t="str">
        <f aca="false">IF(ISBLANK($C223),"",IF($BR223&lt;&gt;Constants!$B$8,$BR223,$BW223))</f>
        <v/>
      </c>
      <c r="CR223" s="143" t="str">
        <f aca="false">IF(ISBLANK($C223),"",$BS223)</f>
        <v/>
      </c>
      <c r="CS223" s="144" t="str">
        <f aca="false">IF(ISBLANK($C223),"",$CH223)</f>
        <v/>
      </c>
      <c r="CT223" s="144" t="str">
        <f aca="false">IF(ISBLANK($C223),"",$CG223)</f>
        <v/>
      </c>
      <c r="CU223" s="145" t="str">
        <f aca="false">IF(ISBLANK($C223),"",IFERROR(_xlfn.SWITCH($CT223,Constants!$B$11,COUNTA($C$9:$C$508)+2,Constants!$B$10,COUNTA($C$9:$C$508)+1,Constants!$B$9,COUNTA($C$9:$C$508)),$CT223))</f>
        <v/>
      </c>
      <c r="CV223" s="9"/>
      <c r="CW223" s="146" t="n">
        <f aca="false">IF(OR(ISNUMBER($CT223),$CT223=Constants!$B$11,$CT223=Constants!$B$9,$CT223=Constants!$B$10),1,0)</f>
        <v>0</v>
      </c>
      <c r="CX223" s="146" t="n">
        <v>215</v>
      </c>
      <c r="CY223" s="146" t="str">
        <f aca="false">IF(ISBLANK($C223),"",IF(ISNUMBER($CU223),$CU223+ROW($B223)/1000,""))</f>
        <v/>
      </c>
      <c r="CZ223" s="146" t="str">
        <f aca="false">IF(ISNUMBER($CY223),RANK($CY223,$CY$9:$CY$508,1),"")</f>
        <v/>
      </c>
      <c r="DA223" s="146" t="str">
        <f aca="false">IF(ISBLANK($C223),"",$B223)</f>
        <v/>
      </c>
      <c r="DB223" s="146" t="str">
        <f aca="false">IF(ISBLANK($C223),"",$C223)</f>
        <v/>
      </c>
      <c r="DC223" s="146" t="str">
        <f aca="false">IF(ISBLANK($C223),"",$D223)</f>
        <v/>
      </c>
      <c r="DD223" s="147" t="str">
        <f aca="false">$CR223</f>
        <v/>
      </c>
      <c r="DE223" s="148" t="str">
        <f aca="false">$CQ223</f>
        <v/>
      </c>
      <c r="DF223" s="146" t="str">
        <f aca="false">IF(ISBLANK($C223),"",$CT223)</f>
        <v/>
      </c>
      <c r="DG223" s="149" t="str">
        <f aca="false">IF($CX223&gt;$CW$8,"",VLOOKUP($CX223,$CZ$9:$DF$508,7,FALSE()))</f>
        <v/>
      </c>
      <c r="DH223" s="150" t="str">
        <f aca="false">IF($CX223&gt;$CW$8,"",VLOOKUP($CX223,$CZ$9:$DF$508,2,FALSE()))</f>
        <v/>
      </c>
      <c r="DI223" s="150" t="str">
        <f aca="false">IF($CX223&gt;$CW$8,"",VLOOKUP($CX223,$CZ$9:$DF$508,3,FALSE()))</f>
        <v/>
      </c>
      <c r="DJ223" s="150" t="str">
        <f aca="false">IF($CX223&gt;$CW$8,"",VLOOKUP($CX223,$CZ$9:$DF$508,4,FALSE()))</f>
        <v/>
      </c>
      <c r="DK223" s="150" t="str">
        <f aca="false">IF($CX223&gt;$CW$8,"",VLOOKUP($CX223,$CZ$9:$DF$508,5,FALSE()))</f>
        <v/>
      </c>
      <c r="DL223" s="151" t="str">
        <f aca="false">IF($CX223&gt;$CW$8,"",VLOOKUP($CX223,$CZ$9:$DF$508,6,FALSE()))</f>
        <v/>
      </c>
      <c r="DM223" s="75"/>
    </row>
    <row r="224" customFormat="false" ht="15.75" hidden="false" customHeight="false" outlineLevel="0" collapsed="false">
      <c r="A224" s="9"/>
      <c r="B224" s="157"/>
      <c r="C224" s="158"/>
      <c r="D224" s="159"/>
      <c r="E224" s="177"/>
      <c r="F224" s="161"/>
      <c r="G224" s="162"/>
      <c r="H224" s="162"/>
      <c r="I224" s="178"/>
      <c r="J224" s="165"/>
      <c r="K224" s="126"/>
      <c r="L224" s="127"/>
      <c r="M224" s="128"/>
      <c r="N224" s="165"/>
      <c r="O224" s="165"/>
      <c r="P224" s="177"/>
      <c r="Q224" s="165"/>
      <c r="R224" s="165"/>
      <c r="S224" s="126"/>
      <c r="T224" s="128"/>
      <c r="U224" s="128"/>
      <c r="V224" s="165"/>
      <c r="W224" s="165"/>
      <c r="X224" s="177"/>
      <c r="Y224" s="165"/>
      <c r="Z224" s="166"/>
      <c r="AA224" s="165"/>
      <c r="AB224" s="132"/>
      <c r="AC224" s="133"/>
      <c r="AD224" s="133"/>
      <c r="AE224" s="133"/>
      <c r="AF224" s="133" t="str">
        <f aca="false">IF(ISBLANK($C224),"",IF(E224=Constants!$B$3,TRUE(),IF(E224=Constants!$B$4,FALSE(),TRUE())))</f>
        <v/>
      </c>
      <c r="AG224" s="133" t="str">
        <f aca="false">IF(ISBLANK($C224),"",IF(F224=Constants!$B$3,TRUE(),IF(F224=Constants!$B$4,FALSE(),TRUE())))</f>
        <v/>
      </c>
      <c r="AH224" s="133" t="str">
        <f aca="false">IF(ISBLANK($C224),"",IF(G224=Constants!$B$3,TRUE(),IF(G224=Constants!$B$4,FALSE(),TRUE())))</f>
        <v/>
      </c>
      <c r="AI224" s="133" t="str">
        <f aca="false">IF(ISBLANK($C224),"",IF(AND(ISNUMBER(H224),H224&gt;=0),H224,Constants!$B$29))</f>
        <v/>
      </c>
      <c r="AJ224" s="133" t="str">
        <f aca="false">IF(ISBLANK($C224),"",IF(I224=Constants!$B$3,TRUE(),IF(I224=Constants!$B$4,FALSE(),TRUE())))</f>
        <v/>
      </c>
      <c r="AK224" s="133" t="str">
        <f aca="false">IF(ISBLANK($C224),"",IF(J224=Constants!$B$3,TRUE(),IF(J224=Constants!$B$4,FALSE(),TRUE())))</f>
        <v/>
      </c>
      <c r="AL224" s="133" t="str">
        <f aca="false">IF(ISBLANK($C224),"",IF(K224=Constants!$B$5,TRUE(),IF(K224=Constants!$B$6,FALSE(),COUNTA(L224:P224)&gt;0)))</f>
        <v/>
      </c>
      <c r="AM224" s="134" t="str">
        <f aca="false">IF(ISBLANK($C224),"",IF(ISNUMBER(L224),IF(L224&gt;=0,L224,""),""))</f>
        <v/>
      </c>
      <c r="AN224" s="135" t="str">
        <f aca="false">IF(ISBLANK($C224),"",IF(ISNUMBER(M224),IF(M224&gt;=0,M224,""),""))</f>
        <v/>
      </c>
      <c r="AO224" s="135" t="str">
        <f aca="false">IF(ISBLANK($C224),"",IF(N224=Constants!$B$3,TRUE(),IF(N224=Constants!$B$4,FALSE(),TRUE())))</f>
        <v/>
      </c>
      <c r="AP224" s="133" t="str">
        <f aca="false">IF(ISBLANK($C224),"",IF(ISNUMBER(O224),IF(O224&gt;=0,O224,""),""))</f>
        <v/>
      </c>
      <c r="AQ224" s="133" t="str">
        <f aca="false">IF(ISBLANK($C224),"",IF(P224=Constants!$B$3,TRUE(),IF(P224=Constants!$B$4,FALSE(),FALSE())))</f>
        <v/>
      </c>
      <c r="AR224" s="133" t="str">
        <f aca="false">IF(ISBLANK($C224),"",IF(Q224=Constants!$B$3,TRUE(),IF(Q224=Constants!$B$4,FALSE(),TRUE())))</f>
        <v/>
      </c>
      <c r="AS224" s="133" t="str">
        <f aca="false">IF(ISBLANK($C224),"",IF(R224=Constants!$B$3,TRUE(),IF(R224=Constants!$B$4,FALSE(),TRUE())))</f>
        <v/>
      </c>
      <c r="AT224" s="133" t="str">
        <f aca="false">IF(ISBLANK($C224),"",IF(S224=Constants!$B$5,TRUE(),IF(S224=Constants!$B$6,FALSE(),COUNTA(T224:X224)&gt;0)))</f>
        <v/>
      </c>
      <c r="AU224" s="134" t="str">
        <f aca="false">IF(ISBLANK($C224),"",IF(ISNUMBER(T224),IF(T224&gt;=0,T224,""),""))</f>
        <v/>
      </c>
      <c r="AV224" s="135" t="str">
        <f aca="false">IF(ISBLANK($C224),"",IF(ISNUMBER(U224),IF(U224&gt;=0,U224,""),""))</f>
        <v/>
      </c>
      <c r="AW224" s="135" t="str">
        <f aca="false">IF(ISBLANK($C224),"",IF(V224=Constants!$B$3,TRUE(),IF(V224=Constants!$B$4,FALSE(),TRUE())))</f>
        <v/>
      </c>
      <c r="AX224" s="133" t="str">
        <f aca="false">IF(ISBLANK($C224),"",IF(ISNUMBER(W224),IF(W224&gt;=0,W224,""),""))</f>
        <v/>
      </c>
      <c r="AY224" s="133" t="str">
        <f aca="false">IF(ISBLANK($C224),"",IF(X224=Constants!$B$3,TRUE(),IF(X224=Constants!$B$4,FALSE(),FALSE())))</f>
        <v/>
      </c>
      <c r="AZ224" s="133" t="str">
        <f aca="false">IF(ISBLANK($C224),"",MIN(Constants!$B$31,MAX(0,IF(ISNUMBER(Y224),Y224*60,0)+IF(ISNUMBER(Z224),Z224,0))))</f>
        <v/>
      </c>
      <c r="BA224" s="133" t="str">
        <f aca="false">IF(ISBLANK($C224),"",IF(AA224=Constants!$B$3,TRUE(),IF(AA224=Constants!$B$4,FALSE(),FALSE())))</f>
        <v/>
      </c>
      <c r="BB224" s="132" t="str">
        <f aca="false">IF(ISBLANK($C224),"",AND($AL224,OR($AM224="",$AN224="",AND($AO224,$AP224=""))))</f>
        <v/>
      </c>
      <c r="BC224" s="135" t="str">
        <f aca="false">IF($BR224&lt;&gt;Constants!$B$8,"",IF($AL224,Constants!$B$21*$AN224+Constants!$B$22*IF($AO224,$AP224,Constants!$B$23),Constants!$B$24))</f>
        <v/>
      </c>
      <c r="BD224" s="136" t="str">
        <f aca="false">IF($BR224&lt;&gt;Constants!$B$8,"",Constants!$B$25*ABS($AD$9-IF($AL224,$AM224,0)))</f>
        <v/>
      </c>
      <c r="BE224" s="136" t="str">
        <f aca="false">IF($BR224&lt;&gt;Constants!$B$8,"",IF(AND($AL224,$AQ224,$AO224),Constants!$B$27,0))</f>
        <v/>
      </c>
      <c r="BF224" s="136" t="str">
        <f aca="false">IF($BR224&lt;&gt;Constants!$B$8,"",IF($AL224,($AI224-Constants!$B$29)*Constants!$B$28,0))</f>
        <v/>
      </c>
      <c r="BG224" s="136" t="str">
        <f aca="false">IF($BR224&lt;&gt;Constants!$B$8,"",IF($AK224,0,Constants!$B$15)+IF($AJ224,0,Constants!$B$16)+IF($AH224,0,Constants!$B$17))</f>
        <v/>
      </c>
      <c r="BH224" s="137" t="str">
        <f aca="false">IF($BR224&lt;&gt;Constants!$B$8,"",Constants!$B$20+SUM($BC224:$BG224))</f>
        <v/>
      </c>
      <c r="BI224" s="133" t="str">
        <f aca="false">IF($BR224&lt;&gt;Constants!$B$8,"",IF(OR($BP224&lt;$BH224,AND($BP224=$BH224,OR($BK224&lt;$BC224,AND($BK224=$BC224,OR($BL224&lt;$BD224,AND($BL224=$BD224,$AT224,$AL224,$AV224&lt;$AN224)))))),"-&gt;","&lt;-"))</f>
        <v/>
      </c>
      <c r="BJ224" s="132" t="str">
        <f aca="false">IF(ISBLANK($C224),"",AND($AT224,OR($AU224="",$AV224="",AND($AW224,$AX224=""))))</f>
        <v/>
      </c>
      <c r="BK224" s="135" t="str">
        <f aca="false">IF($BR224&lt;&gt;Constants!$B$8,"",IF($AT224,Constants!$B$21*$AV224+Constants!$B$22*IF($AW224,$AX224,Constants!$B$23),Constants!$B$24))</f>
        <v/>
      </c>
      <c r="BL224" s="136" t="str">
        <f aca="false">IF($BR224&lt;&gt;Constants!$B$8,"",Constants!$B$25*ABS($AD$9-IF($AT224,$AU224,0)))</f>
        <v/>
      </c>
      <c r="BM224" s="136" t="str">
        <f aca="false">IF($BR224&lt;&gt;Constants!$B$8,"",IF(AND($AT224,$AY224,$AW224),Constants!$B$27,0))</f>
        <v/>
      </c>
      <c r="BN224" s="136" t="str">
        <f aca="false">IF($BR224&lt;&gt;Constants!$B$8,"",IF($AT224,($AI224-Constants!$B$29)*Constants!$B$28,0))</f>
        <v/>
      </c>
      <c r="BO224" s="136" t="str">
        <f aca="false">IF($BR224&lt;&gt;Constants!$B$8,"",IF($AS224,0,Constants!$B$15)+IF($AR224,0,Constants!$B$16)+IF($AH224,0,Constants!$B$17))</f>
        <v/>
      </c>
      <c r="BP224" s="137" t="str">
        <f aca="false">IF($BR224&lt;&gt;Constants!$B$8,"",Constants!$B$20+SUM($BK224:$BO224))</f>
        <v/>
      </c>
      <c r="BQ224" s="133" t="str">
        <f aca="false">IF(ISBLANK($C224),"",IF(ISBLANK($D$7),$BQ$5,IF(NOT(ISNUMBER($D$7)),$BQ$6,"")))</f>
        <v/>
      </c>
      <c r="BR224" s="133" t="str">
        <f aca="false">IF(ISBLANK($C224),"",IF($BA224,Constants!$B$11,IF(COUNTA($E224:$AA224)=0,Constants!$B$10,IF(NOT($AG224),Constants!$B$9,IF(OR($BQ224&lt;&gt;"",$BB224,$BJ224),Constants!$B$12,Constants!$B$8)))))</f>
        <v/>
      </c>
      <c r="BS224" s="133" t="str">
        <f aca="false">IF(ISBLANK($C224),"",IF($BR224&lt;&gt;Constants!$B$8,$BR224,Constants!$B$13))</f>
        <v/>
      </c>
      <c r="BT224" s="136" t="str">
        <f aca="false">IF($BR224&lt;&gt;Constants!$B$8,"",IF($BI224="-&gt;",$BP224,$BH224))</f>
        <v/>
      </c>
      <c r="BU224" s="136" t="str">
        <f aca="false">IF($BR224&lt;&gt;Constants!$B$8,"",IF($AF224,0,Constants!$B$18))</f>
        <v/>
      </c>
      <c r="BV224" s="136" t="str">
        <f aca="false">IF($BR224&lt;&gt;Constants!$B$8,"",((Constants!$B$31-$AZ224)-Constants!$B$31)/Constants!$B$32)</f>
        <v/>
      </c>
      <c r="BW224" s="136" t="str">
        <f aca="false">IF(ISBLANK($C224),"",IF($BR224&lt;&gt;Constants!$B$8,$BR224,SUM($BT224:$BV224)))</f>
        <v/>
      </c>
      <c r="BX224" s="133" t="str">
        <f aca="false">IF(ISBLANK($C224),"",IF($BR224&lt;&gt;Constants!$B$8,$BR224,RANK($BW224,$BW$9:$BW$508,1)))</f>
        <v/>
      </c>
      <c r="BY224" s="136" t="str">
        <f aca="false">IF($BR224&lt;&gt;Constants!$B$8,"",IF($BI224="-&gt;",$BK224,$BC224))</f>
        <v/>
      </c>
      <c r="BZ224" s="133" t="str">
        <f aca="false">IF(ISBLANK($C224),"",IF($BR224&lt;&gt;Constants!$B$8,$BR224,IF(ISNUMBER($BY224),RANK($BY224,$BY$9:$BY$508,1),COUNT($BY$9:$BY$508)+1)))</f>
        <v/>
      </c>
      <c r="CA224" s="136" t="str">
        <f aca="false">IF($BR224&lt;&gt;Constants!$B$8,"",IF($BI224="-&gt;",$BL224,$BD224))</f>
        <v/>
      </c>
      <c r="CB224" s="133" t="str">
        <f aca="false">IF(ISBLANK($C224),"",IF($BR224&lt;&gt;Constants!$B$8,$BR224,IF(ISNUMBER($CA224),RANK($CA224,$CA$9:$CA$508,1),COUNT($CA$9:$CA$508)+1)))</f>
        <v/>
      </c>
      <c r="CC224" s="136" t="str">
        <f aca="false">IF($BR224&lt;&gt;Constants!$B$8,"",IF($BI224="-&gt;",IF($AT224,$AV224,""),IF($AL224,$AN224,"")))</f>
        <v/>
      </c>
      <c r="CD224" s="133" t="str">
        <f aca="false">IF(ISBLANK($C224),"",IF($BR224&lt;&gt;Constants!$B$8,$BR224,IF(ISNUMBER($CC224),RANK($CC224,$CC$9:$CC$508,1),COUNT($CC$9:$CC$508)+1)))</f>
        <v/>
      </c>
      <c r="CE224" s="136" t="str">
        <f aca="false">IF($BR224&lt;&gt;Constants!$B$8,"",IF(AND(NOT($AL224),NOT($AT224),$AJ224,$AK224,$AR224,$AS224),"",$AI224))</f>
        <v/>
      </c>
      <c r="CF224" s="133" t="str">
        <f aca="false">IF(ISBLANK($C224),"",IF($BR224&lt;&gt;Constants!$B$8,$BR224,IF(ISNUMBER($CE224),RANK($CE224,$CE$9:$CE$508,1),COUNT($CE$9:$CE$508)+1)))</f>
        <v/>
      </c>
      <c r="CG224" s="133" t="str">
        <f aca="false">IF(ISBLANK($C224),"",IF($BR224&lt;&gt;Constants!$B$8,$BR224,COUNTIFS($BX$9:$BX$508,"&lt;"&amp;$BX224)+COUNTIFS($BX$9:$BX$508,$BX224,$BZ$9:$BZ$508,"&lt;"&amp;$BZ224)+COUNTIFS($BX$9:$BX$508,$BX224,$BZ$9:$BZ$508,$BZ224,$CB$9:$CB$508,"&lt;"&amp;$CB224)+COUNTIFS($BX$9:$BX$508,$BX224,$BZ$9:$BZ$508,$BZ224,$CB$9:$CB$508,$CB224,$CD$9:$CD$508,"&lt;"&amp;$CD224)+COUNTIFS($BX$9:$BX$508,$BX224,$BZ$9:$BZ$508,$BZ224,$CB$9:$CB$508,$CB224,$CD$9:$CD$508,$CD224,$CF$9:$CF$508,"&lt;"&amp;$CF224)+1))</f>
        <v/>
      </c>
      <c r="CH224" s="133" t="str">
        <f aca="false">IF(ISBLANK($C224),"",IF($BR224&lt;&gt;Constants!$B$8,$BR224,$BX224-$CG224))</f>
        <v/>
      </c>
      <c r="CI224" s="138"/>
      <c r="CJ224" s="139"/>
      <c r="CK224" s="140" t="str">
        <f aca="false">IF(ISBLANK($C224),"",IF($BR224=Constants!$B$12,$BQ224,""))</f>
        <v/>
      </c>
      <c r="CL224" s="139" t="str">
        <f aca="false">IF(ISBLANK($C224),"",IF($BR224&lt;&gt;Constants!$B$8,"",IF($BI224="-&gt;",2,1)))</f>
        <v/>
      </c>
      <c r="CM224" s="141" t="str">
        <f aca="false">IF(ISBLANK($C224),"",IF($BR224&lt;&gt;Constants!$B$8,"",IF($BI224="-&gt;",$BK224,$BC224)))</f>
        <v/>
      </c>
      <c r="CN224" s="141" t="str">
        <f aca="false">IF(ISBLANK($C224),"",IF($BR224&lt;&gt;Constants!$B$8,"",IF($BI224="-&gt;",$BL224,$BD224)))</f>
        <v/>
      </c>
      <c r="CO224" s="141" t="str">
        <f aca="false">IF(ISBLANK($C224),"",IF($BR224&lt;&gt;Constants!$B$8,"",IF($BI224="-&gt;",$BM224+$BN224,$BE224+$BF224)+$BV224))</f>
        <v/>
      </c>
      <c r="CP224" s="141" t="str">
        <f aca="false">IF(ISBLANK($C224),"",IF($BR224&lt;&gt;Constants!$B$8,"",IF($BI224="-&gt;",$BO224,$BG224)+$BU224))</f>
        <v/>
      </c>
      <c r="CQ224" s="142" t="str">
        <f aca="false">IF(ISBLANK($C224),"",IF($BR224&lt;&gt;Constants!$B$8,$BR224,$BW224))</f>
        <v/>
      </c>
      <c r="CR224" s="143" t="str">
        <f aca="false">IF(ISBLANK($C224),"",$BS224)</f>
        <v/>
      </c>
      <c r="CS224" s="144" t="str">
        <f aca="false">IF(ISBLANK($C224),"",$CH224)</f>
        <v/>
      </c>
      <c r="CT224" s="144" t="str">
        <f aca="false">IF(ISBLANK($C224),"",$CG224)</f>
        <v/>
      </c>
      <c r="CU224" s="145" t="str">
        <f aca="false">IF(ISBLANK($C224),"",IFERROR(_xlfn.SWITCH($CT224,Constants!$B$11,COUNTA($C$9:$C$508)+2,Constants!$B$10,COUNTA($C$9:$C$508)+1,Constants!$B$9,COUNTA($C$9:$C$508)),$CT224))</f>
        <v/>
      </c>
      <c r="CV224" s="9"/>
      <c r="CW224" s="146" t="n">
        <f aca="false">IF(OR(ISNUMBER($CT224),$CT224=Constants!$B$11,$CT224=Constants!$B$9,$CT224=Constants!$B$10),1,0)</f>
        <v>0</v>
      </c>
      <c r="CX224" s="146" t="n">
        <v>216</v>
      </c>
      <c r="CY224" s="146" t="str">
        <f aca="false">IF(ISBLANK($C224),"",IF(ISNUMBER($CU224),$CU224+ROW($B224)/1000,""))</f>
        <v/>
      </c>
      <c r="CZ224" s="146" t="str">
        <f aca="false">IF(ISNUMBER($CY224),RANK($CY224,$CY$9:$CY$508,1),"")</f>
        <v/>
      </c>
      <c r="DA224" s="146" t="str">
        <f aca="false">IF(ISBLANK($C224),"",$B224)</f>
        <v/>
      </c>
      <c r="DB224" s="146" t="str">
        <f aca="false">IF(ISBLANK($C224),"",$C224)</f>
        <v/>
      </c>
      <c r="DC224" s="146" t="str">
        <f aca="false">IF(ISBLANK($C224),"",$D224)</f>
        <v/>
      </c>
      <c r="DD224" s="147" t="str">
        <f aca="false">$CR224</f>
        <v/>
      </c>
      <c r="DE224" s="148" t="str">
        <f aca="false">$CQ224</f>
        <v/>
      </c>
      <c r="DF224" s="146" t="str">
        <f aca="false">IF(ISBLANK($C224),"",$CT224)</f>
        <v/>
      </c>
      <c r="DG224" s="149" t="str">
        <f aca="false">IF($CX224&gt;$CW$8,"",VLOOKUP($CX224,$CZ$9:$DF$508,7,FALSE()))</f>
        <v/>
      </c>
      <c r="DH224" s="150" t="str">
        <f aca="false">IF($CX224&gt;$CW$8,"",VLOOKUP($CX224,$CZ$9:$DF$508,2,FALSE()))</f>
        <v/>
      </c>
      <c r="DI224" s="150" t="str">
        <f aca="false">IF($CX224&gt;$CW$8,"",VLOOKUP($CX224,$CZ$9:$DF$508,3,FALSE()))</f>
        <v/>
      </c>
      <c r="DJ224" s="150" t="str">
        <f aca="false">IF($CX224&gt;$CW$8,"",VLOOKUP($CX224,$CZ$9:$DF$508,4,FALSE()))</f>
        <v/>
      </c>
      <c r="DK224" s="150" t="str">
        <f aca="false">IF($CX224&gt;$CW$8,"",VLOOKUP($CX224,$CZ$9:$DF$508,5,FALSE()))</f>
        <v/>
      </c>
      <c r="DL224" s="151" t="str">
        <f aca="false">IF($CX224&gt;$CW$8,"",VLOOKUP($CX224,$CZ$9:$DF$508,6,FALSE()))</f>
        <v/>
      </c>
      <c r="DM224" s="75"/>
    </row>
    <row r="225" customFormat="false" ht="15.75" hidden="false" customHeight="false" outlineLevel="0" collapsed="false">
      <c r="A225" s="9"/>
      <c r="B225" s="77"/>
      <c r="C225" s="78"/>
      <c r="D225" s="167"/>
      <c r="E225" s="175"/>
      <c r="F225" s="169"/>
      <c r="G225" s="170"/>
      <c r="H225" s="170"/>
      <c r="I225" s="176"/>
      <c r="J225" s="173"/>
      <c r="K225" s="85"/>
      <c r="L225" s="86"/>
      <c r="M225" s="87"/>
      <c r="N225" s="173"/>
      <c r="O225" s="173"/>
      <c r="P225" s="175"/>
      <c r="Q225" s="173"/>
      <c r="R225" s="173"/>
      <c r="S225" s="85"/>
      <c r="T225" s="87"/>
      <c r="U225" s="87"/>
      <c r="V225" s="173"/>
      <c r="W225" s="173"/>
      <c r="X225" s="175"/>
      <c r="Y225" s="173"/>
      <c r="Z225" s="174"/>
      <c r="AA225" s="173"/>
      <c r="AB225" s="91"/>
      <c r="AC225" s="92"/>
      <c r="AD225" s="92"/>
      <c r="AE225" s="92"/>
      <c r="AF225" s="92" t="str">
        <f aca="false">IF(ISBLANK($C225),"",IF(E225=Constants!$B$3,TRUE(),IF(E225=Constants!$B$4,FALSE(),TRUE())))</f>
        <v/>
      </c>
      <c r="AG225" s="92" t="str">
        <f aca="false">IF(ISBLANK($C225),"",IF(F225=Constants!$B$3,TRUE(),IF(F225=Constants!$B$4,FALSE(),TRUE())))</f>
        <v/>
      </c>
      <c r="AH225" s="92" t="str">
        <f aca="false">IF(ISBLANK($C225),"",IF(G225=Constants!$B$3,TRUE(),IF(G225=Constants!$B$4,FALSE(),TRUE())))</f>
        <v/>
      </c>
      <c r="AI225" s="92" t="str">
        <f aca="false">IF(ISBLANK($C225),"",IF(AND(ISNUMBER(H225),H225&gt;=0),H225,Constants!$B$29))</f>
        <v/>
      </c>
      <c r="AJ225" s="92" t="str">
        <f aca="false">IF(ISBLANK($C225),"",IF(I225=Constants!$B$3,TRUE(),IF(I225=Constants!$B$4,FALSE(),TRUE())))</f>
        <v/>
      </c>
      <c r="AK225" s="92" t="str">
        <f aca="false">IF(ISBLANK($C225),"",IF(J225=Constants!$B$3,TRUE(),IF(J225=Constants!$B$4,FALSE(),TRUE())))</f>
        <v/>
      </c>
      <c r="AL225" s="92" t="str">
        <f aca="false">IF(ISBLANK($C225),"",IF(K225=Constants!$B$5,TRUE(),IF(K225=Constants!$B$6,FALSE(),COUNTA(L225:P225)&gt;0)))</f>
        <v/>
      </c>
      <c r="AM225" s="94" t="str">
        <f aca="false">IF(ISBLANK($C225),"",IF(ISNUMBER(L225),IF(L225&gt;=0,L225,""),""))</f>
        <v/>
      </c>
      <c r="AN225" s="93" t="str">
        <f aca="false">IF(ISBLANK($C225),"",IF(ISNUMBER(M225),IF(M225&gt;=0,M225,""),""))</f>
        <v/>
      </c>
      <c r="AO225" s="93" t="str">
        <f aca="false">IF(ISBLANK($C225),"",IF(N225=Constants!$B$3,TRUE(),IF(N225=Constants!$B$4,FALSE(),TRUE())))</f>
        <v/>
      </c>
      <c r="AP225" s="92" t="str">
        <f aca="false">IF(ISBLANK($C225),"",IF(ISNUMBER(O225),IF(O225&gt;=0,O225,""),""))</f>
        <v/>
      </c>
      <c r="AQ225" s="92" t="str">
        <f aca="false">IF(ISBLANK($C225),"",IF(P225=Constants!$B$3,TRUE(),IF(P225=Constants!$B$4,FALSE(),FALSE())))</f>
        <v/>
      </c>
      <c r="AR225" s="92" t="str">
        <f aca="false">IF(ISBLANK($C225),"",IF(Q225=Constants!$B$3,TRUE(),IF(Q225=Constants!$B$4,FALSE(),TRUE())))</f>
        <v/>
      </c>
      <c r="AS225" s="92" t="str">
        <f aca="false">IF(ISBLANK($C225),"",IF(R225=Constants!$B$3,TRUE(),IF(R225=Constants!$B$4,FALSE(),TRUE())))</f>
        <v/>
      </c>
      <c r="AT225" s="92" t="str">
        <f aca="false">IF(ISBLANK($C225),"",IF(S225=Constants!$B$5,TRUE(),IF(S225=Constants!$B$6,FALSE(),COUNTA(T225:X225)&gt;0)))</f>
        <v/>
      </c>
      <c r="AU225" s="94" t="str">
        <f aca="false">IF(ISBLANK($C225),"",IF(ISNUMBER(T225),IF(T225&gt;=0,T225,""),""))</f>
        <v/>
      </c>
      <c r="AV225" s="93" t="str">
        <f aca="false">IF(ISBLANK($C225),"",IF(ISNUMBER(U225),IF(U225&gt;=0,U225,""),""))</f>
        <v/>
      </c>
      <c r="AW225" s="93" t="str">
        <f aca="false">IF(ISBLANK($C225),"",IF(V225=Constants!$B$3,TRUE(),IF(V225=Constants!$B$4,FALSE(),TRUE())))</f>
        <v/>
      </c>
      <c r="AX225" s="92" t="str">
        <f aca="false">IF(ISBLANK($C225),"",IF(ISNUMBER(W225),IF(W225&gt;=0,W225,""),""))</f>
        <v/>
      </c>
      <c r="AY225" s="92" t="str">
        <f aca="false">IF(ISBLANK($C225),"",IF(X225=Constants!$B$3,TRUE(),IF(X225=Constants!$B$4,FALSE(),FALSE())))</f>
        <v/>
      </c>
      <c r="AZ225" s="92" t="str">
        <f aca="false">IF(ISBLANK($C225),"",MIN(Constants!$B$31,MAX(0,IF(ISNUMBER(Y225),Y225*60,0)+IF(ISNUMBER(Z225),Z225,0))))</f>
        <v/>
      </c>
      <c r="BA225" s="92" t="str">
        <f aca="false">IF(ISBLANK($C225),"",IF(AA225=Constants!$B$3,TRUE(),IF(AA225=Constants!$B$4,FALSE(),FALSE())))</f>
        <v/>
      </c>
      <c r="BB225" s="91" t="str">
        <f aca="false">IF(ISBLANK($C225),"",AND($AL225,OR($AM225="",$AN225="",AND($AO225,$AP225=""))))</f>
        <v/>
      </c>
      <c r="BC225" s="93" t="str">
        <f aca="false">IF($BR225&lt;&gt;Constants!$B$8,"",IF($AL225,Constants!$B$21*$AN225+Constants!$B$22*IF($AO225,$AP225,Constants!$B$23),Constants!$B$24))</f>
        <v/>
      </c>
      <c r="BD225" s="96" t="str">
        <f aca="false">IF($BR225&lt;&gt;Constants!$B$8,"",Constants!$B$25*ABS($AD$9-IF($AL225,$AM225,0)))</f>
        <v/>
      </c>
      <c r="BE225" s="96" t="str">
        <f aca="false">IF($BR225&lt;&gt;Constants!$B$8,"",IF(AND($AL225,$AQ225,$AO225),Constants!$B$27,0))</f>
        <v/>
      </c>
      <c r="BF225" s="96" t="str">
        <f aca="false">IF($BR225&lt;&gt;Constants!$B$8,"",IF($AL225,($AI225-Constants!$B$29)*Constants!$B$28,0))</f>
        <v/>
      </c>
      <c r="BG225" s="96" t="str">
        <f aca="false">IF($BR225&lt;&gt;Constants!$B$8,"",IF($AK225,0,Constants!$B$15)+IF($AJ225,0,Constants!$B$16)+IF($AH225,0,Constants!$B$17))</f>
        <v/>
      </c>
      <c r="BH225" s="97" t="str">
        <f aca="false">IF($BR225&lt;&gt;Constants!$B$8,"",Constants!$B$20+SUM($BC225:$BG225))</f>
        <v/>
      </c>
      <c r="BI225" s="92" t="str">
        <f aca="false">IF($BR225&lt;&gt;Constants!$B$8,"",IF(OR($BP225&lt;$BH225,AND($BP225=$BH225,OR($BK225&lt;$BC225,AND($BK225=$BC225,OR($BL225&lt;$BD225,AND($BL225=$BD225,$AT225,$AL225,$AV225&lt;$AN225)))))),"-&gt;","&lt;-"))</f>
        <v/>
      </c>
      <c r="BJ225" s="91" t="str">
        <f aca="false">IF(ISBLANK($C225),"",AND($AT225,OR($AU225="",$AV225="",AND($AW225,$AX225=""))))</f>
        <v/>
      </c>
      <c r="BK225" s="93" t="str">
        <f aca="false">IF($BR225&lt;&gt;Constants!$B$8,"",IF($AT225,Constants!$B$21*$AV225+Constants!$B$22*IF($AW225,$AX225,Constants!$B$23),Constants!$B$24))</f>
        <v/>
      </c>
      <c r="BL225" s="96" t="str">
        <f aca="false">IF($BR225&lt;&gt;Constants!$B$8,"",Constants!$B$25*ABS($AD$9-IF($AT225,$AU225,0)))</f>
        <v/>
      </c>
      <c r="BM225" s="96" t="str">
        <f aca="false">IF($BR225&lt;&gt;Constants!$B$8,"",IF(AND($AT225,$AY225,$AW225),Constants!$B$27,0))</f>
        <v/>
      </c>
      <c r="BN225" s="96" t="str">
        <f aca="false">IF($BR225&lt;&gt;Constants!$B$8,"",IF($AT225,($AI225-Constants!$B$29)*Constants!$B$28,0))</f>
        <v/>
      </c>
      <c r="BO225" s="96" t="str">
        <f aca="false">IF($BR225&lt;&gt;Constants!$B$8,"",IF($AS225,0,Constants!$B$15)+IF($AR225,0,Constants!$B$16)+IF($AH225,0,Constants!$B$17))</f>
        <v/>
      </c>
      <c r="BP225" s="97" t="str">
        <f aca="false">IF($BR225&lt;&gt;Constants!$B$8,"",Constants!$B$20+SUM($BK225:$BO225))</f>
        <v/>
      </c>
      <c r="BQ225" s="92" t="str">
        <f aca="false">IF(ISBLANK($C225),"",IF(ISBLANK($D$7),$BQ$5,IF(NOT(ISNUMBER($D$7)),$BQ$6,"")))</f>
        <v/>
      </c>
      <c r="BR225" s="92" t="str">
        <f aca="false">IF(ISBLANK($C225),"",IF($BA225,Constants!$B$11,IF(COUNTA($E225:$AA225)=0,Constants!$B$10,IF(NOT($AG225),Constants!$B$9,IF(OR($BQ225&lt;&gt;"",$BB225,$BJ225),Constants!$B$12,Constants!$B$8)))))</f>
        <v/>
      </c>
      <c r="BS225" s="92" t="str">
        <f aca="false">IF(ISBLANK($C225),"",IF($BR225&lt;&gt;Constants!$B$8,$BR225,Constants!$B$13))</f>
        <v/>
      </c>
      <c r="BT225" s="96" t="str">
        <f aca="false">IF($BR225&lt;&gt;Constants!$B$8,"",IF($BI225="-&gt;",$BP225,$BH225))</f>
        <v/>
      </c>
      <c r="BU225" s="96" t="str">
        <f aca="false">IF($BR225&lt;&gt;Constants!$B$8,"",IF($AF225,0,Constants!$B$18))</f>
        <v/>
      </c>
      <c r="BV225" s="96" t="str">
        <f aca="false">IF($BR225&lt;&gt;Constants!$B$8,"",((Constants!$B$31-$AZ225)-Constants!$B$31)/Constants!$B$32)</f>
        <v/>
      </c>
      <c r="BW225" s="96" t="str">
        <f aca="false">IF(ISBLANK($C225),"",IF($BR225&lt;&gt;Constants!$B$8,$BR225,SUM($BT225:$BV225)))</f>
        <v/>
      </c>
      <c r="BX225" s="92" t="str">
        <f aca="false">IF(ISBLANK($C225),"",IF($BR225&lt;&gt;Constants!$B$8,$BR225,RANK($BW225,$BW$9:$BW$508,1)))</f>
        <v/>
      </c>
      <c r="BY225" s="96" t="str">
        <f aca="false">IF($BR225&lt;&gt;Constants!$B$8,"",IF($BI225="-&gt;",$BK225,$BC225))</f>
        <v/>
      </c>
      <c r="BZ225" s="92" t="str">
        <f aca="false">IF(ISBLANK($C225),"",IF($BR225&lt;&gt;Constants!$B$8,$BR225,IF(ISNUMBER($BY225),RANK($BY225,$BY$9:$BY$508,1),COUNT($BY$9:$BY$508)+1)))</f>
        <v/>
      </c>
      <c r="CA225" s="96" t="str">
        <f aca="false">IF($BR225&lt;&gt;Constants!$B$8,"",IF($BI225="-&gt;",$BL225,$BD225))</f>
        <v/>
      </c>
      <c r="CB225" s="92" t="str">
        <f aca="false">IF(ISBLANK($C225),"",IF($BR225&lt;&gt;Constants!$B$8,$BR225,IF(ISNUMBER($CA225),RANK($CA225,$CA$9:$CA$508,1),COUNT($CA$9:$CA$508)+1)))</f>
        <v/>
      </c>
      <c r="CC225" s="96" t="str">
        <f aca="false">IF($BR225&lt;&gt;Constants!$B$8,"",IF($BI225="-&gt;",IF($AT225,$AV225,""),IF($AL225,$AN225,"")))</f>
        <v/>
      </c>
      <c r="CD225" s="92" t="str">
        <f aca="false">IF(ISBLANK($C225),"",IF($BR225&lt;&gt;Constants!$B$8,$BR225,IF(ISNUMBER($CC225),RANK($CC225,$CC$9:$CC$508,1),COUNT($CC$9:$CC$508)+1)))</f>
        <v/>
      </c>
      <c r="CE225" s="96" t="str">
        <f aca="false">IF($BR225&lt;&gt;Constants!$B$8,"",IF(AND(NOT($AL225),NOT($AT225),$AJ225,$AK225,$AR225,$AS225),"",$AI225))</f>
        <v/>
      </c>
      <c r="CF225" s="92" t="str">
        <f aca="false">IF(ISBLANK($C225),"",IF($BR225&lt;&gt;Constants!$B$8,$BR225,IF(ISNUMBER($CE225),RANK($CE225,$CE$9:$CE$508,1),COUNT($CE$9:$CE$508)+1)))</f>
        <v/>
      </c>
      <c r="CG225" s="92" t="str">
        <f aca="false">IF(ISBLANK($C225),"",IF($BR225&lt;&gt;Constants!$B$8,$BR225,COUNTIFS($BX$9:$BX$508,"&lt;"&amp;$BX225)+COUNTIFS($BX$9:$BX$508,$BX225,$BZ$9:$BZ$508,"&lt;"&amp;$BZ225)+COUNTIFS($BX$9:$BX$508,$BX225,$BZ$9:$BZ$508,$BZ225,$CB$9:$CB$508,"&lt;"&amp;$CB225)+COUNTIFS($BX$9:$BX$508,$BX225,$BZ$9:$BZ$508,$BZ225,$CB$9:$CB$508,$CB225,$CD$9:$CD$508,"&lt;"&amp;$CD225)+COUNTIFS($BX$9:$BX$508,$BX225,$BZ$9:$BZ$508,$BZ225,$CB$9:$CB$508,$CB225,$CD$9:$CD$508,$CD225,$CF$9:$CF$508,"&lt;"&amp;$CF225)+1))</f>
        <v/>
      </c>
      <c r="CH225" s="92" t="str">
        <f aca="false">IF(ISBLANK($C225),"",IF($BR225&lt;&gt;Constants!$B$8,$BR225,$BX225-$CG225))</f>
        <v/>
      </c>
      <c r="CI225" s="98"/>
      <c r="CJ225" s="99"/>
      <c r="CK225" s="100" t="str">
        <f aca="false">IF(ISBLANK($C225),"",IF($BR225=Constants!$B$12,$BQ225,""))</f>
        <v/>
      </c>
      <c r="CL225" s="99" t="str">
        <f aca="false">IF(ISBLANK($C225),"",IF($BR225&lt;&gt;Constants!$B$8,"",IF($BI225="-&gt;",2,1)))</f>
        <v/>
      </c>
      <c r="CM225" s="101" t="str">
        <f aca="false">IF(ISBLANK($C225),"",IF($BR225&lt;&gt;Constants!$B$8,"",IF($BI225="-&gt;",$BK225,$BC225)))</f>
        <v/>
      </c>
      <c r="CN225" s="101" t="str">
        <f aca="false">IF(ISBLANK($C225),"",IF($BR225&lt;&gt;Constants!$B$8,"",IF($BI225="-&gt;",$BL225,$BD225)))</f>
        <v/>
      </c>
      <c r="CO225" s="101" t="str">
        <f aca="false">IF(ISBLANK($C225),"",IF($BR225&lt;&gt;Constants!$B$8,"",IF($BI225="-&gt;",$BM225+$BN225,$BE225+$BF225)+$BV225))</f>
        <v/>
      </c>
      <c r="CP225" s="101" t="str">
        <f aca="false">IF(ISBLANK($C225),"",IF($BR225&lt;&gt;Constants!$B$8,"",IF($BI225="-&gt;",$BO225,$BG225)+$BU225))</f>
        <v/>
      </c>
      <c r="CQ225" s="102" t="str">
        <f aca="false">IF(ISBLANK($C225),"",IF($BR225&lt;&gt;Constants!$B$8,$BR225,$BW225))</f>
        <v/>
      </c>
      <c r="CR225" s="103" t="str">
        <f aca="false">IF(ISBLANK($C225),"",$BS225)</f>
        <v/>
      </c>
      <c r="CS225" s="104" t="str">
        <f aca="false">IF(ISBLANK($C225),"",$CH225)</f>
        <v/>
      </c>
      <c r="CT225" s="104" t="str">
        <f aca="false">IF(ISBLANK($C225),"",$CG225)</f>
        <v/>
      </c>
      <c r="CU225" s="105" t="str">
        <f aca="false">IF(ISBLANK($C225),"",IFERROR(_xlfn.SWITCH($CT225,Constants!$B$11,COUNTA($C$9:$C$508)+2,Constants!$B$10,COUNTA($C$9:$C$508)+1,Constants!$B$9,COUNTA($C$9:$C$508)),$CT225))</f>
        <v/>
      </c>
      <c r="CV225" s="9"/>
      <c r="CW225" s="106" t="n">
        <f aca="false">IF(OR(ISNUMBER($CT225),$CT225=Constants!$B$11,$CT225=Constants!$B$9,$CT225=Constants!$B$10),1,0)</f>
        <v>0</v>
      </c>
      <c r="CX225" s="106" t="n">
        <v>217</v>
      </c>
      <c r="CY225" s="106" t="str">
        <f aca="false">IF(ISBLANK($C225),"",IF(ISNUMBER($CU225),$CU225+ROW($B225)/1000,""))</f>
        <v/>
      </c>
      <c r="CZ225" s="106" t="str">
        <f aca="false">IF(ISNUMBER($CY225),RANK($CY225,$CY$9:$CY$508,1),"")</f>
        <v/>
      </c>
      <c r="DA225" s="106" t="str">
        <f aca="false">IF(ISBLANK($C225),"",$B225)</f>
        <v/>
      </c>
      <c r="DB225" s="106" t="str">
        <f aca="false">IF(ISBLANK($C225),"",$C225)</f>
        <v/>
      </c>
      <c r="DC225" s="106" t="str">
        <f aca="false">IF(ISBLANK($C225),"",$D225)</f>
        <v/>
      </c>
      <c r="DD225" s="107" t="str">
        <f aca="false">$CR225</f>
        <v/>
      </c>
      <c r="DE225" s="108" t="str">
        <f aca="false">$CQ225</f>
        <v/>
      </c>
      <c r="DF225" s="106" t="str">
        <f aca="false">IF(ISBLANK($C225),"",$CT225)</f>
        <v/>
      </c>
      <c r="DG225" s="109" t="str">
        <f aca="false">IF($CX225&gt;$CW$8,"",VLOOKUP($CX225,$CZ$9:$DF$508,7,FALSE()))</f>
        <v/>
      </c>
      <c r="DH225" s="110" t="str">
        <f aca="false">IF($CX225&gt;$CW$8,"",VLOOKUP($CX225,$CZ$9:$DF$508,2,FALSE()))</f>
        <v/>
      </c>
      <c r="DI225" s="110" t="str">
        <f aca="false">IF($CX225&gt;$CW$8,"",VLOOKUP($CX225,$CZ$9:$DF$508,3,FALSE()))</f>
        <v/>
      </c>
      <c r="DJ225" s="110" t="str">
        <f aca="false">IF($CX225&gt;$CW$8,"",VLOOKUP($CX225,$CZ$9:$DF$508,4,FALSE()))</f>
        <v/>
      </c>
      <c r="DK225" s="110" t="str">
        <f aca="false">IF($CX225&gt;$CW$8,"",VLOOKUP($CX225,$CZ$9:$DF$508,5,FALSE()))</f>
        <v/>
      </c>
      <c r="DL225" s="111" t="str">
        <f aca="false">IF($CX225&gt;$CW$8,"",VLOOKUP($CX225,$CZ$9:$DF$508,6,FALSE()))</f>
        <v/>
      </c>
      <c r="DM225" s="75"/>
    </row>
    <row r="226" customFormat="false" ht="15.75" hidden="false" customHeight="false" outlineLevel="0" collapsed="false">
      <c r="A226" s="9"/>
      <c r="B226" s="77"/>
      <c r="C226" s="78"/>
      <c r="D226" s="167"/>
      <c r="E226" s="175"/>
      <c r="F226" s="169"/>
      <c r="G226" s="170"/>
      <c r="H226" s="170"/>
      <c r="I226" s="176"/>
      <c r="J226" s="173"/>
      <c r="K226" s="85"/>
      <c r="L226" s="86"/>
      <c r="M226" s="87"/>
      <c r="N226" s="173"/>
      <c r="O226" s="173"/>
      <c r="P226" s="175"/>
      <c r="Q226" s="173"/>
      <c r="R226" s="173"/>
      <c r="S226" s="85"/>
      <c r="T226" s="87"/>
      <c r="U226" s="87"/>
      <c r="V226" s="173"/>
      <c r="W226" s="173"/>
      <c r="X226" s="175"/>
      <c r="Y226" s="173"/>
      <c r="Z226" s="174"/>
      <c r="AA226" s="173"/>
      <c r="AB226" s="91"/>
      <c r="AC226" s="92"/>
      <c r="AD226" s="92"/>
      <c r="AE226" s="92"/>
      <c r="AF226" s="92" t="str">
        <f aca="false">IF(ISBLANK($C226),"",IF(E226=Constants!$B$3,TRUE(),IF(E226=Constants!$B$4,FALSE(),TRUE())))</f>
        <v/>
      </c>
      <c r="AG226" s="92" t="str">
        <f aca="false">IF(ISBLANK($C226),"",IF(F226=Constants!$B$3,TRUE(),IF(F226=Constants!$B$4,FALSE(),TRUE())))</f>
        <v/>
      </c>
      <c r="AH226" s="92" t="str">
        <f aca="false">IF(ISBLANK($C226),"",IF(G226=Constants!$B$3,TRUE(),IF(G226=Constants!$B$4,FALSE(),TRUE())))</f>
        <v/>
      </c>
      <c r="AI226" s="92" t="str">
        <f aca="false">IF(ISBLANK($C226),"",IF(AND(ISNUMBER(H226),H226&gt;=0),H226,Constants!$B$29))</f>
        <v/>
      </c>
      <c r="AJ226" s="92" t="str">
        <f aca="false">IF(ISBLANK($C226),"",IF(I226=Constants!$B$3,TRUE(),IF(I226=Constants!$B$4,FALSE(),TRUE())))</f>
        <v/>
      </c>
      <c r="AK226" s="92" t="str">
        <f aca="false">IF(ISBLANK($C226),"",IF(J226=Constants!$B$3,TRUE(),IF(J226=Constants!$B$4,FALSE(),TRUE())))</f>
        <v/>
      </c>
      <c r="AL226" s="92" t="str">
        <f aca="false">IF(ISBLANK($C226),"",IF(K226=Constants!$B$5,TRUE(),IF(K226=Constants!$B$6,FALSE(),COUNTA(L226:P226)&gt;0)))</f>
        <v/>
      </c>
      <c r="AM226" s="94" t="str">
        <f aca="false">IF(ISBLANK($C226),"",IF(ISNUMBER(L226),IF(L226&gt;=0,L226,""),""))</f>
        <v/>
      </c>
      <c r="AN226" s="93" t="str">
        <f aca="false">IF(ISBLANK($C226),"",IF(ISNUMBER(M226),IF(M226&gt;=0,M226,""),""))</f>
        <v/>
      </c>
      <c r="AO226" s="93" t="str">
        <f aca="false">IF(ISBLANK($C226),"",IF(N226=Constants!$B$3,TRUE(),IF(N226=Constants!$B$4,FALSE(),TRUE())))</f>
        <v/>
      </c>
      <c r="AP226" s="92" t="str">
        <f aca="false">IF(ISBLANK($C226),"",IF(ISNUMBER(O226),IF(O226&gt;=0,O226,""),""))</f>
        <v/>
      </c>
      <c r="AQ226" s="92" t="str">
        <f aca="false">IF(ISBLANK($C226),"",IF(P226=Constants!$B$3,TRUE(),IF(P226=Constants!$B$4,FALSE(),FALSE())))</f>
        <v/>
      </c>
      <c r="AR226" s="92" t="str">
        <f aca="false">IF(ISBLANK($C226),"",IF(Q226=Constants!$B$3,TRUE(),IF(Q226=Constants!$B$4,FALSE(),TRUE())))</f>
        <v/>
      </c>
      <c r="AS226" s="92" t="str">
        <f aca="false">IF(ISBLANK($C226),"",IF(R226=Constants!$B$3,TRUE(),IF(R226=Constants!$B$4,FALSE(),TRUE())))</f>
        <v/>
      </c>
      <c r="AT226" s="92" t="str">
        <f aca="false">IF(ISBLANK($C226),"",IF(S226=Constants!$B$5,TRUE(),IF(S226=Constants!$B$6,FALSE(),COUNTA(T226:X226)&gt;0)))</f>
        <v/>
      </c>
      <c r="AU226" s="94" t="str">
        <f aca="false">IF(ISBLANK($C226),"",IF(ISNUMBER(T226),IF(T226&gt;=0,T226,""),""))</f>
        <v/>
      </c>
      <c r="AV226" s="93" t="str">
        <f aca="false">IF(ISBLANK($C226),"",IF(ISNUMBER(U226),IF(U226&gt;=0,U226,""),""))</f>
        <v/>
      </c>
      <c r="AW226" s="93" t="str">
        <f aca="false">IF(ISBLANK($C226),"",IF(V226=Constants!$B$3,TRUE(),IF(V226=Constants!$B$4,FALSE(),TRUE())))</f>
        <v/>
      </c>
      <c r="AX226" s="92" t="str">
        <f aca="false">IF(ISBLANK($C226),"",IF(ISNUMBER(W226),IF(W226&gt;=0,W226,""),""))</f>
        <v/>
      </c>
      <c r="AY226" s="92" t="str">
        <f aca="false">IF(ISBLANK($C226),"",IF(X226=Constants!$B$3,TRUE(),IF(X226=Constants!$B$4,FALSE(),FALSE())))</f>
        <v/>
      </c>
      <c r="AZ226" s="92" t="str">
        <f aca="false">IF(ISBLANK($C226),"",MIN(Constants!$B$31,MAX(0,IF(ISNUMBER(Y226),Y226*60,0)+IF(ISNUMBER(Z226),Z226,0))))</f>
        <v/>
      </c>
      <c r="BA226" s="92" t="str">
        <f aca="false">IF(ISBLANK($C226),"",IF(AA226=Constants!$B$3,TRUE(),IF(AA226=Constants!$B$4,FALSE(),FALSE())))</f>
        <v/>
      </c>
      <c r="BB226" s="91" t="str">
        <f aca="false">IF(ISBLANK($C226),"",AND($AL226,OR($AM226="",$AN226="",AND($AO226,$AP226=""))))</f>
        <v/>
      </c>
      <c r="BC226" s="93" t="str">
        <f aca="false">IF($BR226&lt;&gt;Constants!$B$8,"",IF($AL226,Constants!$B$21*$AN226+Constants!$B$22*IF($AO226,$AP226,Constants!$B$23),Constants!$B$24))</f>
        <v/>
      </c>
      <c r="BD226" s="96" t="str">
        <f aca="false">IF($BR226&lt;&gt;Constants!$B$8,"",Constants!$B$25*ABS($AD$9-IF($AL226,$AM226,0)))</f>
        <v/>
      </c>
      <c r="BE226" s="96" t="str">
        <f aca="false">IF($BR226&lt;&gt;Constants!$B$8,"",IF(AND($AL226,$AQ226,$AO226),Constants!$B$27,0))</f>
        <v/>
      </c>
      <c r="BF226" s="96" t="str">
        <f aca="false">IF($BR226&lt;&gt;Constants!$B$8,"",IF($AL226,($AI226-Constants!$B$29)*Constants!$B$28,0))</f>
        <v/>
      </c>
      <c r="BG226" s="96" t="str">
        <f aca="false">IF($BR226&lt;&gt;Constants!$B$8,"",IF($AK226,0,Constants!$B$15)+IF($AJ226,0,Constants!$B$16)+IF($AH226,0,Constants!$B$17))</f>
        <v/>
      </c>
      <c r="BH226" s="97" t="str">
        <f aca="false">IF($BR226&lt;&gt;Constants!$B$8,"",Constants!$B$20+SUM($BC226:$BG226))</f>
        <v/>
      </c>
      <c r="BI226" s="92" t="str">
        <f aca="false">IF($BR226&lt;&gt;Constants!$B$8,"",IF(OR($BP226&lt;$BH226,AND($BP226=$BH226,OR($BK226&lt;$BC226,AND($BK226=$BC226,OR($BL226&lt;$BD226,AND($BL226=$BD226,$AT226,$AL226,$AV226&lt;$AN226)))))),"-&gt;","&lt;-"))</f>
        <v/>
      </c>
      <c r="BJ226" s="91" t="str">
        <f aca="false">IF(ISBLANK($C226),"",AND($AT226,OR($AU226="",$AV226="",AND($AW226,$AX226=""))))</f>
        <v/>
      </c>
      <c r="BK226" s="93" t="str">
        <f aca="false">IF($BR226&lt;&gt;Constants!$B$8,"",IF($AT226,Constants!$B$21*$AV226+Constants!$B$22*IF($AW226,$AX226,Constants!$B$23),Constants!$B$24))</f>
        <v/>
      </c>
      <c r="BL226" s="96" t="str">
        <f aca="false">IF($BR226&lt;&gt;Constants!$B$8,"",Constants!$B$25*ABS($AD$9-IF($AT226,$AU226,0)))</f>
        <v/>
      </c>
      <c r="BM226" s="96" t="str">
        <f aca="false">IF($BR226&lt;&gt;Constants!$B$8,"",IF(AND($AT226,$AY226,$AW226),Constants!$B$27,0))</f>
        <v/>
      </c>
      <c r="BN226" s="96" t="str">
        <f aca="false">IF($BR226&lt;&gt;Constants!$B$8,"",IF($AT226,($AI226-Constants!$B$29)*Constants!$B$28,0))</f>
        <v/>
      </c>
      <c r="BO226" s="96" t="str">
        <f aca="false">IF($BR226&lt;&gt;Constants!$B$8,"",IF($AS226,0,Constants!$B$15)+IF($AR226,0,Constants!$B$16)+IF($AH226,0,Constants!$B$17))</f>
        <v/>
      </c>
      <c r="BP226" s="97" t="str">
        <f aca="false">IF($BR226&lt;&gt;Constants!$B$8,"",Constants!$B$20+SUM($BK226:$BO226))</f>
        <v/>
      </c>
      <c r="BQ226" s="92" t="str">
        <f aca="false">IF(ISBLANK($C226),"",IF(ISBLANK($D$7),$BQ$5,IF(NOT(ISNUMBER($D$7)),$BQ$6,"")))</f>
        <v/>
      </c>
      <c r="BR226" s="92" t="str">
        <f aca="false">IF(ISBLANK($C226),"",IF($BA226,Constants!$B$11,IF(COUNTA($E226:$AA226)=0,Constants!$B$10,IF(NOT($AG226),Constants!$B$9,IF(OR($BQ226&lt;&gt;"",$BB226,$BJ226),Constants!$B$12,Constants!$B$8)))))</f>
        <v/>
      </c>
      <c r="BS226" s="92" t="str">
        <f aca="false">IF(ISBLANK($C226),"",IF($BR226&lt;&gt;Constants!$B$8,$BR226,Constants!$B$13))</f>
        <v/>
      </c>
      <c r="BT226" s="96" t="str">
        <f aca="false">IF($BR226&lt;&gt;Constants!$B$8,"",IF($BI226="-&gt;",$BP226,$BH226))</f>
        <v/>
      </c>
      <c r="BU226" s="96" t="str">
        <f aca="false">IF($BR226&lt;&gt;Constants!$B$8,"",IF($AF226,0,Constants!$B$18))</f>
        <v/>
      </c>
      <c r="BV226" s="96" t="str">
        <f aca="false">IF($BR226&lt;&gt;Constants!$B$8,"",((Constants!$B$31-$AZ226)-Constants!$B$31)/Constants!$B$32)</f>
        <v/>
      </c>
      <c r="BW226" s="96" t="str">
        <f aca="false">IF(ISBLANK($C226),"",IF($BR226&lt;&gt;Constants!$B$8,$BR226,SUM($BT226:$BV226)))</f>
        <v/>
      </c>
      <c r="BX226" s="92" t="str">
        <f aca="false">IF(ISBLANK($C226),"",IF($BR226&lt;&gt;Constants!$B$8,$BR226,RANK($BW226,$BW$9:$BW$508,1)))</f>
        <v/>
      </c>
      <c r="BY226" s="96" t="str">
        <f aca="false">IF($BR226&lt;&gt;Constants!$B$8,"",IF($BI226="-&gt;",$BK226,$BC226))</f>
        <v/>
      </c>
      <c r="BZ226" s="92" t="str">
        <f aca="false">IF(ISBLANK($C226),"",IF($BR226&lt;&gt;Constants!$B$8,$BR226,IF(ISNUMBER($BY226),RANK($BY226,$BY$9:$BY$508,1),COUNT($BY$9:$BY$508)+1)))</f>
        <v/>
      </c>
      <c r="CA226" s="96" t="str">
        <f aca="false">IF($BR226&lt;&gt;Constants!$B$8,"",IF($BI226="-&gt;",$BL226,$BD226))</f>
        <v/>
      </c>
      <c r="CB226" s="92" t="str">
        <f aca="false">IF(ISBLANK($C226),"",IF($BR226&lt;&gt;Constants!$B$8,$BR226,IF(ISNUMBER($CA226),RANK($CA226,$CA$9:$CA$508,1),COUNT($CA$9:$CA$508)+1)))</f>
        <v/>
      </c>
      <c r="CC226" s="96" t="str">
        <f aca="false">IF($BR226&lt;&gt;Constants!$B$8,"",IF($BI226="-&gt;",IF($AT226,$AV226,""),IF($AL226,$AN226,"")))</f>
        <v/>
      </c>
      <c r="CD226" s="92" t="str">
        <f aca="false">IF(ISBLANK($C226),"",IF($BR226&lt;&gt;Constants!$B$8,$BR226,IF(ISNUMBER($CC226),RANK($CC226,$CC$9:$CC$508,1),COUNT($CC$9:$CC$508)+1)))</f>
        <v/>
      </c>
      <c r="CE226" s="96" t="str">
        <f aca="false">IF($BR226&lt;&gt;Constants!$B$8,"",IF(AND(NOT($AL226),NOT($AT226),$AJ226,$AK226,$AR226,$AS226),"",$AI226))</f>
        <v/>
      </c>
      <c r="CF226" s="92" t="str">
        <f aca="false">IF(ISBLANK($C226),"",IF($BR226&lt;&gt;Constants!$B$8,$BR226,IF(ISNUMBER($CE226),RANK($CE226,$CE$9:$CE$508,1),COUNT($CE$9:$CE$508)+1)))</f>
        <v/>
      </c>
      <c r="CG226" s="92" t="str">
        <f aca="false">IF(ISBLANK($C226),"",IF($BR226&lt;&gt;Constants!$B$8,$BR226,COUNTIFS($BX$9:$BX$508,"&lt;"&amp;$BX226)+COUNTIFS($BX$9:$BX$508,$BX226,$BZ$9:$BZ$508,"&lt;"&amp;$BZ226)+COUNTIFS($BX$9:$BX$508,$BX226,$BZ$9:$BZ$508,$BZ226,$CB$9:$CB$508,"&lt;"&amp;$CB226)+COUNTIFS($BX$9:$BX$508,$BX226,$BZ$9:$BZ$508,$BZ226,$CB$9:$CB$508,$CB226,$CD$9:$CD$508,"&lt;"&amp;$CD226)+COUNTIFS($BX$9:$BX$508,$BX226,$BZ$9:$BZ$508,$BZ226,$CB$9:$CB$508,$CB226,$CD$9:$CD$508,$CD226,$CF$9:$CF$508,"&lt;"&amp;$CF226)+1))</f>
        <v/>
      </c>
      <c r="CH226" s="92" t="str">
        <f aca="false">IF(ISBLANK($C226),"",IF($BR226&lt;&gt;Constants!$B$8,$BR226,$BX226-$CG226))</f>
        <v/>
      </c>
      <c r="CI226" s="98"/>
      <c r="CJ226" s="99"/>
      <c r="CK226" s="100" t="str">
        <f aca="false">IF(ISBLANK($C226),"",IF($BR226=Constants!$B$12,$BQ226,""))</f>
        <v/>
      </c>
      <c r="CL226" s="99" t="str">
        <f aca="false">IF(ISBLANK($C226),"",IF($BR226&lt;&gt;Constants!$B$8,"",IF($BI226="-&gt;",2,1)))</f>
        <v/>
      </c>
      <c r="CM226" s="101" t="str">
        <f aca="false">IF(ISBLANK($C226),"",IF($BR226&lt;&gt;Constants!$B$8,"",IF($BI226="-&gt;",$BK226,$BC226)))</f>
        <v/>
      </c>
      <c r="CN226" s="101" t="str">
        <f aca="false">IF(ISBLANK($C226),"",IF($BR226&lt;&gt;Constants!$B$8,"",IF($BI226="-&gt;",$BL226,$BD226)))</f>
        <v/>
      </c>
      <c r="CO226" s="101" t="str">
        <f aca="false">IF(ISBLANK($C226),"",IF($BR226&lt;&gt;Constants!$B$8,"",IF($BI226="-&gt;",$BM226+$BN226,$BE226+$BF226)+$BV226))</f>
        <v/>
      </c>
      <c r="CP226" s="101" t="str">
        <f aca="false">IF(ISBLANK($C226),"",IF($BR226&lt;&gt;Constants!$B$8,"",IF($BI226="-&gt;",$BO226,$BG226)+$BU226))</f>
        <v/>
      </c>
      <c r="CQ226" s="102" t="str">
        <f aca="false">IF(ISBLANK($C226),"",IF($BR226&lt;&gt;Constants!$B$8,$BR226,$BW226))</f>
        <v/>
      </c>
      <c r="CR226" s="103" t="str">
        <f aca="false">IF(ISBLANK($C226),"",$BS226)</f>
        <v/>
      </c>
      <c r="CS226" s="104" t="str">
        <f aca="false">IF(ISBLANK($C226),"",$CH226)</f>
        <v/>
      </c>
      <c r="CT226" s="104" t="str">
        <f aca="false">IF(ISBLANK($C226),"",$CG226)</f>
        <v/>
      </c>
      <c r="CU226" s="105" t="str">
        <f aca="false">IF(ISBLANK($C226),"",IFERROR(_xlfn.SWITCH($CT226,Constants!$B$11,COUNTA($C$9:$C$508)+2,Constants!$B$10,COUNTA($C$9:$C$508)+1,Constants!$B$9,COUNTA($C$9:$C$508)),$CT226))</f>
        <v/>
      </c>
      <c r="CV226" s="9"/>
      <c r="CW226" s="106" t="n">
        <f aca="false">IF(OR(ISNUMBER($CT226),$CT226=Constants!$B$11,$CT226=Constants!$B$9,$CT226=Constants!$B$10),1,0)</f>
        <v>0</v>
      </c>
      <c r="CX226" s="106" t="n">
        <v>218</v>
      </c>
      <c r="CY226" s="106" t="str">
        <f aca="false">IF(ISBLANK($C226),"",IF(ISNUMBER($CU226),$CU226+ROW($B226)/1000,""))</f>
        <v/>
      </c>
      <c r="CZ226" s="106" t="str">
        <f aca="false">IF(ISNUMBER($CY226),RANK($CY226,$CY$9:$CY$508,1),"")</f>
        <v/>
      </c>
      <c r="DA226" s="106" t="str">
        <f aca="false">IF(ISBLANK($C226),"",$B226)</f>
        <v/>
      </c>
      <c r="DB226" s="106" t="str">
        <f aca="false">IF(ISBLANK($C226),"",$C226)</f>
        <v/>
      </c>
      <c r="DC226" s="106" t="str">
        <f aca="false">IF(ISBLANK($C226),"",$D226)</f>
        <v/>
      </c>
      <c r="DD226" s="107" t="str">
        <f aca="false">$CR226</f>
        <v/>
      </c>
      <c r="DE226" s="108" t="str">
        <f aca="false">$CQ226</f>
        <v/>
      </c>
      <c r="DF226" s="106" t="str">
        <f aca="false">IF(ISBLANK($C226),"",$CT226)</f>
        <v/>
      </c>
      <c r="DG226" s="109" t="str">
        <f aca="false">IF($CX226&gt;$CW$8,"",VLOOKUP($CX226,$CZ$9:$DF$508,7,FALSE()))</f>
        <v/>
      </c>
      <c r="DH226" s="110" t="str">
        <f aca="false">IF($CX226&gt;$CW$8,"",VLOOKUP($CX226,$CZ$9:$DF$508,2,FALSE()))</f>
        <v/>
      </c>
      <c r="DI226" s="110" t="str">
        <f aca="false">IF($CX226&gt;$CW$8,"",VLOOKUP($CX226,$CZ$9:$DF$508,3,FALSE()))</f>
        <v/>
      </c>
      <c r="DJ226" s="110" t="str">
        <f aca="false">IF($CX226&gt;$CW$8,"",VLOOKUP($CX226,$CZ$9:$DF$508,4,FALSE()))</f>
        <v/>
      </c>
      <c r="DK226" s="110" t="str">
        <f aca="false">IF($CX226&gt;$CW$8,"",VLOOKUP($CX226,$CZ$9:$DF$508,5,FALSE()))</f>
        <v/>
      </c>
      <c r="DL226" s="111" t="str">
        <f aca="false">IF($CX226&gt;$CW$8,"",VLOOKUP($CX226,$CZ$9:$DF$508,6,FALSE()))</f>
        <v/>
      </c>
      <c r="DM226" s="75"/>
    </row>
    <row r="227" customFormat="false" ht="15.75" hidden="false" customHeight="false" outlineLevel="0" collapsed="false">
      <c r="A227" s="9"/>
      <c r="B227" s="77"/>
      <c r="C227" s="78"/>
      <c r="D227" s="167"/>
      <c r="E227" s="175"/>
      <c r="F227" s="169"/>
      <c r="G227" s="170"/>
      <c r="H227" s="170"/>
      <c r="I227" s="176"/>
      <c r="J227" s="173"/>
      <c r="K227" s="85"/>
      <c r="L227" s="86"/>
      <c r="M227" s="87"/>
      <c r="N227" s="173"/>
      <c r="O227" s="173"/>
      <c r="P227" s="175"/>
      <c r="Q227" s="173"/>
      <c r="R227" s="173"/>
      <c r="S227" s="85"/>
      <c r="T227" s="87"/>
      <c r="U227" s="87"/>
      <c r="V227" s="173"/>
      <c r="W227" s="173"/>
      <c r="X227" s="175"/>
      <c r="Y227" s="173"/>
      <c r="Z227" s="174"/>
      <c r="AA227" s="173"/>
      <c r="AB227" s="91"/>
      <c r="AC227" s="92"/>
      <c r="AD227" s="92"/>
      <c r="AE227" s="92"/>
      <c r="AF227" s="92" t="str">
        <f aca="false">IF(ISBLANK($C227),"",IF(E227=Constants!$B$3,TRUE(),IF(E227=Constants!$B$4,FALSE(),TRUE())))</f>
        <v/>
      </c>
      <c r="AG227" s="92" t="str">
        <f aca="false">IF(ISBLANK($C227),"",IF(F227=Constants!$B$3,TRUE(),IF(F227=Constants!$B$4,FALSE(),TRUE())))</f>
        <v/>
      </c>
      <c r="AH227" s="92" t="str">
        <f aca="false">IF(ISBLANK($C227),"",IF(G227=Constants!$B$3,TRUE(),IF(G227=Constants!$B$4,FALSE(),TRUE())))</f>
        <v/>
      </c>
      <c r="AI227" s="92" t="str">
        <f aca="false">IF(ISBLANK($C227),"",IF(AND(ISNUMBER(H227),H227&gt;=0),H227,Constants!$B$29))</f>
        <v/>
      </c>
      <c r="AJ227" s="92" t="str">
        <f aca="false">IF(ISBLANK($C227),"",IF(I227=Constants!$B$3,TRUE(),IF(I227=Constants!$B$4,FALSE(),TRUE())))</f>
        <v/>
      </c>
      <c r="AK227" s="92" t="str">
        <f aca="false">IF(ISBLANK($C227),"",IF(J227=Constants!$B$3,TRUE(),IF(J227=Constants!$B$4,FALSE(),TRUE())))</f>
        <v/>
      </c>
      <c r="AL227" s="92" t="str">
        <f aca="false">IF(ISBLANK($C227),"",IF(K227=Constants!$B$5,TRUE(),IF(K227=Constants!$B$6,FALSE(),COUNTA(L227:P227)&gt;0)))</f>
        <v/>
      </c>
      <c r="AM227" s="94" t="str">
        <f aca="false">IF(ISBLANK($C227),"",IF(ISNUMBER(L227),IF(L227&gt;=0,L227,""),""))</f>
        <v/>
      </c>
      <c r="AN227" s="93" t="str">
        <f aca="false">IF(ISBLANK($C227),"",IF(ISNUMBER(M227),IF(M227&gt;=0,M227,""),""))</f>
        <v/>
      </c>
      <c r="AO227" s="93" t="str">
        <f aca="false">IF(ISBLANK($C227),"",IF(N227=Constants!$B$3,TRUE(),IF(N227=Constants!$B$4,FALSE(),TRUE())))</f>
        <v/>
      </c>
      <c r="AP227" s="92" t="str">
        <f aca="false">IF(ISBLANK($C227),"",IF(ISNUMBER(O227),IF(O227&gt;=0,O227,""),""))</f>
        <v/>
      </c>
      <c r="AQ227" s="92" t="str">
        <f aca="false">IF(ISBLANK($C227),"",IF(P227=Constants!$B$3,TRUE(),IF(P227=Constants!$B$4,FALSE(),FALSE())))</f>
        <v/>
      </c>
      <c r="AR227" s="92" t="str">
        <f aca="false">IF(ISBLANK($C227),"",IF(Q227=Constants!$B$3,TRUE(),IF(Q227=Constants!$B$4,FALSE(),TRUE())))</f>
        <v/>
      </c>
      <c r="AS227" s="92" t="str">
        <f aca="false">IF(ISBLANK($C227),"",IF(R227=Constants!$B$3,TRUE(),IF(R227=Constants!$B$4,FALSE(),TRUE())))</f>
        <v/>
      </c>
      <c r="AT227" s="92" t="str">
        <f aca="false">IF(ISBLANK($C227),"",IF(S227=Constants!$B$5,TRUE(),IF(S227=Constants!$B$6,FALSE(),COUNTA(T227:X227)&gt;0)))</f>
        <v/>
      </c>
      <c r="AU227" s="94" t="str">
        <f aca="false">IF(ISBLANK($C227),"",IF(ISNUMBER(T227),IF(T227&gt;=0,T227,""),""))</f>
        <v/>
      </c>
      <c r="AV227" s="93" t="str">
        <f aca="false">IF(ISBLANK($C227),"",IF(ISNUMBER(U227),IF(U227&gt;=0,U227,""),""))</f>
        <v/>
      </c>
      <c r="AW227" s="93" t="str">
        <f aca="false">IF(ISBLANK($C227),"",IF(V227=Constants!$B$3,TRUE(),IF(V227=Constants!$B$4,FALSE(),TRUE())))</f>
        <v/>
      </c>
      <c r="AX227" s="92" t="str">
        <f aca="false">IF(ISBLANK($C227),"",IF(ISNUMBER(W227),IF(W227&gt;=0,W227,""),""))</f>
        <v/>
      </c>
      <c r="AY227" s="92" t="str">
        <f aca="false">IF(ISBLANK($C227),"",IF(X227=Constants!$B$3,TRUE(),IF(X227=Constants!$B$4,FALSE(),FALSE())))</f>
        <v/>
      </c>
      <c r="AZ227" s="92" t="str">
        <f aca="false">IF(ISBLANK($C227),"",MIN(Constants!$B$31,MAX(0,IF(ISNUMBER(Y227),Y227*60,0)+IF(ISNUMBER(Z227),Z227,0))))</f>
        <v/>
      </c>
      <c r="BA227" s="92" t="str">
        <f aca="false">IF(ISBLANK($C227),"",IF(AA227=Constants!$B$3,TRUE(),IF(AA227=Constants!$B$4,FALSE(),FALSE())))</f>
        <v/>
      </c>
      <c r="BB227" s="91" t="str">
        <f aca="false">IF(ISBLANK($C227),"",AND($AL227,OR($AM227="",$AN227="",AND($AO227,$AP227=""))))</f>
        <v/>
      </c>
      <c r="BC227" s="93" t="str">
        <f aca="false">IF($BR227&lt;&gt;Constants!$B$8,"",IF($AL227,Constants!$B$21*$AN227+Constants!$B$22*IF($AO227,$AP227,Constants!$B$23),Constants!$B$24))</f>
        <v/>
      </c>
      <c r="BD227" s="96" t="str">
        <f aca="false">IF($BR227&lt;&gt;Constants!$B$8,"",Constants!$B$25*ABS($AD$9-IF($AL227,$AM227,0)))</f>
        <v/>
      </c>
      <c r="BE227" s="96" t="str">
        <f aca="false">IF($BR227&lt;&gt;Constants!$B$8,"",IF(AND($AL227,$AQ227,$AO227),Constants!$B$27,0))</f>
        <v/>
      </c>
      <c r="BF227" s="96" t="str">
        <f aca="false">IF($BR227&lt;&gt;Constants!$B$8,"",IF($AL227,($AI227-Constants!$B$29)*Constants!$B$28,0))</f>
        <v/>
      </c>
      <c r="BG227" s="96" t="str">
        <f aca="false">IF($BR227&lt;&gt;Constants!$B$8,"",IF($AK227,0,Constants!$B$15)+IF($AJ227,0,Constants!$B$16)+IF($AH227,0,Constants!$B$17))</f>
        <v/>
      </c>
      <c r="BH227" s="97" t="str">
        <f aca="false">IF($BR227&lt;&gt;Constants!$B$8,"",Constants!$B$20+SUM($BC227:$BG227))</f>
        <v/>
      </c>
      <c r="BI227" s="92" t="str">
        <f aca="false">IF($BR227&lt;&gt;Constants!$B$8,"",IF(OR($BP227&lt;$BH227,AND($BP227=$BH227,OR($BK227&lt;$BC227,AND($BK227=$BC227,OR($BL227&lt;$BD227,AND($BL227=$BD227,$AT227,$AL227,$AV227&lt;$AN227)))))),"-&gt;","&lt;-"))</f>
        <v/>
      </c>
      <c r="BJ227" s="91" t="str">
        <f aca="false">IF(ISBLANK($C227),"",AND($AT227,OR($AU227="",$AV227="",AND($AW227,$AX227=""))))</f>
        <v/>
      </c>
      <c r="BK227" s="93" t="str">
        <f aca="false">IF($BR227&lt;&gt;Constants!$B$8,"",IF($AT227,Constants!$B$21*$AV227+Constants!$B$22*IF($AW227,$AX227,Constants!$B$23),Constants!$B$24))</f>
        <v/>
      </c>
      <c r="BL227" s="96" t="str">
        <f aca="false">IF($BR227&lt;&gt;Constants!$B$8,"",Constants!$B$25*ABS($AD$9-IF($AT227,$AU227,0)))</f>
        <v/>
      </c>
      <c r="BM227" s="96" t="str">
        <f aca="false">IF($BR227&lt;&gt;Constants!$B$8,"",IF(AND($AT227,$AY227,$AW227),Constants!$B$27,0))</f>
        <v/>
      </c>
      <c r="BN227" s="96" t="str">
        <f aca="false">IF($BR227&lt;&gt;Constants!$B$8,"",IF($AT227,($AI227-Constants!$B$29)*Constants!$B$28,0))</f>
        <v/>
      </c>
      <c r="BO227" s="96" t="str">
        <f aca="false">IF($BR227&lt;&gt;Constants!$B$8,"",IF($AS227,0,Constants!$B$15)+IF($AR227,0,Constants!$B$16)+IF($AH227,0,Constants!$B$17))</f>
        <v/>
      </c>
      <c r="BP227" s="97" t="str">
        <f aca="false">IF($BR227&lt;&gt;Constants!$B$8,"",Constants!$B$20+SUM($BK227:$BO227))</f>
        <v/>
      </c>
      <c r="BQ227" s="92" t="str">
        <f aca="false">IF(ISBLANK($C227),"",IF(ISBLANK($D$7),$BQ$5,IF(NOT(ISNUMBER($D$7)),$BQ$6,"")))</f>
        <v/>
      </c>
      <c r="BR227" s="92" t="str">
        <f aca="false">IF(ISBLANK($C227),"",IF($BA227,Constants!$B$11,IF(COUNTA($E227:$AA227)=0,Constants!$B$10,IF(NOT($AG227),Constants!$B$9,IF(OR($BQ227&lt;&gt;"",$BB227,$BJ227),Constants!$B$12,Constants!$B$8)))))</f>
        <v/>
      </c>
      <c r="BS227" s="92" t="str">
        <f aca="false">IF(ISBLANK($C227),"",IF($BR227&lt;&gt;Constants!$B$8,$BR227,Constants!$B$13))</f>
        <v/>
      </c>
      <c r="BT227" s="96" t="str">
        <f aca="false">IF($BR227&lt;&gt;Constants!$B$8,"",IF($BI227="-&gt;",$BP227,$BH227))</f>
        <v/>
      </c>
      <c r="BU227" s="96" t="str">
        <f aca="false">IF($BR227&lt;&gt;Constants!$B$8,"",IF($AF227,0,Constants!$B$18))</f>
        <v/>
      </c>
      <c r="BV227" s="96" t="str">
        <f aca="false">IF($BR227&lt;&gt;Constants!$B$8,"",((Constants!$B$31-$AZ227)-Constants!$B$31)/Constants!$B$32)</f>
        <v/>
      </c>
      <c r="BW227" s="96" t="str">
        <f aca="false">IF(ISBLANK($C227),"",IF($BR227&lt;&gt;Constants!$B$8,$BR227,SUM($BT227:$BV227)))</f>
        <v/>
      </c>
      <c r="BX227" s="92" t="str">
        <f aca="false">IF(ISBLANK($C227),"",IF($BR227&lt;&gt;Constants!$B$8,$BR227,RANK($BW227,$BW$9:$BW$508,1)))</f>
        <v/>
      </c>
      <c r="BY227" s="96" t="str">
        <f aca="false">IF($BR227&lt;&gt;Constants!$B$8,"",IF($BI227="-&gt;",$BK227,$BC227))</f>
        <v/>
      </c>
      <c r="BZ227" s="92" t="str">
        <f aca="false">IF(ISBLANK($C227),"",IF($BR227&lt;&gt;Constants!$B$8,$BR227,IF(ISNUMBER($BY227),RANK($BY227,$BY$9:$BY$508,1),COUNT($BY$9:$BY$508)+1)))</f>
        <v/>
      </c>
      <c r="CA227" s="96" t="str">
        <f aca="false">IF($BR227&lt;&gt;Constants!$B$8,"",IF($BI227="-&gt;",$BL227,$BD227))</f>
        <v/>
      </c>
      <c r="CB227" s="92" t="str">
        <f aca="false">IF(ISBLANK($C227),"",IF($BR227&lt;&gt;Constants!$B$8,$BR227,IF(ISNUMBER($CA227),RANK($CA227,$CA$9:$CA$508,1),COUNT($CA$9:$CA$508)+1)))</f>
        <v/>
      </c>
      <c r="CC227" s="96" t="str">
        <f aca="false">IF($BR227&lt;&gt;Constants!$B$8,"",IF($BI227="-&gt;",IF($AT227,$AV227,""),IF($AL227,$AN227,"")))</f>
        <v/>
      </c>
      <c r="CD227" s="92" t="str">
        <f aca="false">IF(ISBLANK($C227),"",IF($BR227&lt;&gt;Constants!$B$8,$BR227,IF(ISNUMBER($CC227),RANK($CC227,$CC$9:$CC$508,1),COUNT($CC$9:$CC$508)+1)))</f>
        <v/>
      </c>
      <c r="CE227" s="96" t="str">
        <f aca="false">IF($BR227&lt;&gt;Constants!$B$8,"",IF(AND(NOT($AL227),NOT($AT227),$AJ227,$AK227,$AR227,$AS227),"",$AI227))</f>
        <v/>
      </c>
      <c r="CF227" s="92" t="str">
        <f aca="false">IF(ISBLANK($C227),"",IF($BR227&lt;&gt;Constants!$B$8,$BR227,IF(ISNUMBER($CE227),RANK($CE227,$CE$9:$CE$508,1),COUNT($CE$9:$CE$508)+1)))</f>
        <v/>
      </c>
      <c r="CG227" s="92" t="str">
        <f aca="false">IF(ISBLANK($C227),"",IF($BR227&lt;&gt;Constants!$B$8,$BR227,COUNTIFS($BX$9:$BX$508,"&lt;"&amp;$BX227)+COUNTIFS($BX$9:$BX$508,$BX227,$BZ$9:$BZ$508,"&lt;"&amp;$BZ227)+COUNTIFS($BX$9:$BX$508,$BX227,$BZ$9:$BZ$508,$BZ227,$CB$9:$CB$508,"&lt;"&amp;$CB227)+COUNTIFS($BX$9:$BX$508,$BX227,$BZ$9:$BZ$508,$BZ227,$CB$9:$CB$508,$CB227,$CD$9:$CD$508,"&lt;"&amp;$CD227)+COUNTIFS($BX$9:$BX$508,$BX227,$BZ$9:$BZ$508,$BZ227,$CB$9:$CB$508,$CB227,$CD$9:$CD$508,$CD227,$CF$9:$CF$508,"&lt;"&amp;$CF227)+1))</f>
        <v/>
      </c>
      <c r="CH227" s="92" t="str">
        <f aca="false">IF(ISBLANK($C227),"",IF($BR227&lt;&gt;Constants!$B$8,$BR227,$BX227-$CG227))</f>
        <v/>
      </c>
      <c r="CI227" s="98"/>
      <c r="CJ227" s="99"/>
      <c r="CK227" s="100" t="str">
        <f aca="false">IF(ISBLANK($C227),"",IF($BR227=Constants!$B$12,$BQ227,""))</f>
        <v/>
      </c>
      <c r="CL227" s="99" t="str">
        <f aca="false">IF(ISBLANK($C227),"",IF($BR227&lt;&gt;Constants!$B$8,"",IF($BI227="-&gt;",2,1)))</f>
        <v/>
      </c>
      <c r="CM227" s="101" t="str">
        <f aca="false">IF(ISBLANK($C227),"",IF($BR227&lt;&gt;Constants!$B$8,"",IF($BI227="-&gt;",$BK227,$BC227)))</f>
        <v/>
      </c>
      <c r="CN227" s="101" t="str">
        <f aca="false">IF(ISBLANK($C227),"",IF($BR227&lt;&gt;Constants!$B$8,"",IF($BI227="-&gt;",$BL227,$BD227)))</f>
        <v/>
      </c>
      <c r="CO227" s="101" t="str">
        <f aca="false">IF(ISBLANK($C227),"",IF($BR227&lt;&gt;Constants!$B$8,"",IF($BI227="-&gt;",$BM227+$BN227,$BE227+$BF227)+$BV227))</f>
        <v/>
      </c>
      <c r="CP227" s="101" t="str">
        <f aca="false">IF(ISBLANK($C227),"",IF($BR227&lt;&gt;Constants!$B$8,"",IF($BI227="-&gt;",$BO227,$BG227)+$BU227))</f>
        <v/>
      </c>
      <c r="CQ227" s="102" t="str">
        <f aca="false">IF(ISBLANK($C227),"",IF($BR227&lt;&gt;Constants!$B$8,$BR227,$BW227))</f>
        <v/>
      </c>
      <c r="CR227" s="103" t="str">
        <f aca="false">IF(ISBLANK($C227),"",$BS227)</f>
        <v/>
      </c>
      <c r="CS227" s="104" t="str">
        <f aca="false">IF(ISBLANK($C227),"",$CH227)</f>
        <v/>
      </c>
      <c r="CT227" s="104" t="str">
        <f aca="false">IF(ISBLANK($C227),"",$CG227)</f>
        <v/>
      </c>
      <c r="CU227" s="105" t="str">
        <f aca="false">IF(ISBLANK($C227),"",IFERROR(_xlfn.SWITCH($CT227,Constants!$B$11,COUNTA($C$9:$C$508)+2,Constants!$B$10,COUNTA($C$9:$C$508)+1,Constants!$B$9,COUNTA($C$9:$C$508)),$CT227))</f>
        <v/>
      </c>
      <c r="CV227" s="9"/>
      <c r="CW227" s="106" t="n">
        <f aca="false">IF(OR(ISNUMBER($CT227),$CT227=Constants!$B$11,$CT227=Constants!$B$9,$CT227=Constants!$B$10),1,0)</f>
        <v>0</v>
      </c>
      <c r="CX227" s="106" t="n">
        <v>219</v>
      </c>
      <c r="CY227" s="106" t="str">
        <f aca="false">IF(ISBLANK($C227),"",IF(ISNUMBER($CU227),$CU227+ROW($B227)/1000,""))</f>
        <v/>
      </c>
      <c r="CZ227" s="106" t="str">
        <f aca="false">IF(ISNUMBER($CY227),RANK($CY227,$CY$9:$CY$508,1),"")</f>
        <v/>
      </c>
      <c r="DA227" s="106" t="str">
        <f aca="false">IF(ISBLANK($C227),"",$B227)</f>
        <v/>
      </c>
      <c r="DB227" s="106" t="str">
        <f aca="false">IF(ISBLANK($C227),"",$C227)</f>
        <v/>
      </c>
      <c r="DC227" s="106" t="str">
        <f aca="false">IF(ISBLANK($C227),"",$D227)</f>
        <v/>
      </c>
      <c r="DD227" s="107" t="str">
        <f aca="false">$CR227</f>
        <v/>
      </c>
      <c r="DE227" s="108" t="str">
        <f aca="false">$CQ227</f>
        <v/>
      </c>
      <c r="DF227" s="106" t="str">
        <f aca="false">IF(ISBLANK($C227),"",$CT227)</f>
        <v/>
      </c>
      <c r="DG227" s="109" t="str">
        <f aca="false">IF($CX227&gt;$CW$8,"",VLOOKUP($CX227,$CZ$9:$DF$508,7,FALSE()))</f>
        <v/>
      </c>
      <c r="DH227" s="110" t="str">
        <f aca="false">IF($CX227&gt;$CW$8,"",VLOOKUP($CX227,$CZ$9:$DF$508,2,FALSE()))</f>
        <v/>
      </c>
      <c r="DI227" s="110" t="str">
        <f aca="false">IF($CX227&gt;$CW$8,"",VLOOKUP($CX227,$CZ$9:$DF$508,3,FALSE()))</f>
        <v/>
      </c>
      <c r="DJ227" s="110" t="str">
        <f aca="false">IF($CX227&gt;$CW$8,"",VLOOKUP($CX227,$CZ$9:$DF$508,4,FALSE()))</f>
        <v/>
      </c>
      <c r="DK227" s="110" t="str">
        <f aca="false">IF($CX227&gt;$CW$8,"",VLOOKUP($CX227,$CZ$9:$DF$508,5,FALSE()))</f>
        <v/>
      </c>
      <c r="DL227" s="111" t="str">
        <f aca="false">IF($CX227&gt;$CW$8,"",VLOOKUP($CX227,$CZ$9:$DF$508,6,FALSE()))</f>
        <v/>
      </c>
      <c r="DM227" s="75"/>
    </row>
    <row r="228" customFormat="false" ht="15.75" hidden="false" customHeight="false" outlineLevel="0" collapsed="false">
      <c r="A228" s="9"/>
      <c r="B228" s="157"/>
      <c r="C228" s="158"/>
      <c r="D228" s="159"/>
      <c r="E228" s="177"/>
      <c r="F228" s="161"/>
      <c r="G228" s="162"/>
      <c r="H228" s="162"/>
      <c r="I228" s="178"/>
      <c r="J228" s="165"/>
      <c r="K228" s="126"/>
      <c r="L228" s="127"/>
      <c r="M228" s="128"/>
      <c r="N228" s="165"/>
      <c r="O228" s="165"/>
      <c r="P228" s="177"/>
      <c r="Q228" s="165"/>
      <c r="R228" s="165"/>
      <c r="S228" s="126"/>
      <c r="T228" s="128"/>
      <c r="U228" s="128"/>
      <c r="V228" s="165"/>
      <c r="W228" s="165"/>
      <c r="X228" s="177"/>
      <c r="Y228" s="165"/>
      <c r="Z228" s="166"/>
      <c r="AA228" s="165"/>
      <c r="AB228" s="132"/>
      <c r="AC228" s="133"/>
      <c r="AD228" s="133"/>
      <c r="AE228" s="133"/>
      <c r="AF228" s="133" t="str">
        <f aca="false">IF(ISBLANK($C228),"",IF(E228=Constants!$B$3,TRUE(),IF(E228=Constants!$B$4,FALSE(),TRUE())))</f>
        <v/>
      </c>
      <c r="AG228" s="133" t="str">
        <f aca="false">IF(ISBLANK($C228),"",IF(F228=Constants!$B$3,TRUE(),IF(F228=Constants!$B$4,FALSE(),TRUE())))</f>
        <v/>
      </c>
      <c r="AH228" s="133" t="str">
        <f aca="false">IF(ISBLANK($C228),"",IF(G228=Constants!$B$3,TRUE(),IF(G228=Constants!$B$4,FALSE(),TRUE())))</f>
        <v/>
      </c>
      <c r="AI228" s="133" t="str">
        <f aca="false">IF(ISBLANK($C228),"",IF(AND(ISNUMBER(H228),H228&gt;=0),H228,Constants!$B$29))</f>
        <v/>
      </c>
      <c r="AJ228" s="133" t="str">
        <f aca="false">IF(ISBLANK($C228),"",IF(I228=Constants!$B$3,TRUE(),IF(I228=Constants!$B$4,FALSE(),TRUE())))</f>
        <v/>
      </c>
      <c r="AK228" s="133" t="str">
        <f aca="false">IF(ISBLANK($C228),"",IF(J228=Constants!$B$3,TRUE(),IF(J228=Constants!$B$4,FALSE(),TRUE())))</f>
        <v/>
      </c>
      <c r="AL228" s="133" t="str">
        <f aca="false">IF(ISBLANK($C228),"",IF(K228=Constants!$B$5,TRUE(),IF(K228=Constants!$B$6,FALSE(),COUNTA(L228:P228)&gt;0)))</f>
        <v/>
      </c>
      <c r="AM228" s="134" t="str">
        <f aca="false">IF(ISBLANK($C228),"",IF(ISNUMBER(L228),IF(L228&gt;=0,L228,""),""))</f>
        <v/>
      </c>
      <c r="AN228" s="135" t="str">
        <f aca="false">IF(ISBLANK($C228),"",IF(ISNUMBER(M228),IF(M228&gt;=0,M228,""),""))</f>
        <v/>
      </c>
      <c r="AO228" s="135" t="str">
        <f aca="false">IF(ISBLANK($C228),"",IF(N228=Constants!$B$3,TRUE(),IF(N228=Constants!$B$4,FALSE(),TRUE())))</f>
        <v/>
      </c>
      <c r="AP228" s="133" t="str">
        <f aca="false">IF(ISBLANK($C228),"",IF(ISNUMBER(O228),IF(O228&gt;=0,O228,""),""))</f>
        <v/>
      </c>
      <c r="AQ228" s="133" t="str">
        <f aca="false">IF(ISBLANK($C228),"",IF(P228=Constants!$B$3,TRUE(),IF(P228=Constants!$B$4,FALSE(),FALSE())))</f>
        <v/>
      </c>
      <c r="AR228" s="133" t="str">
        <f aca="false">IF(ISBLANK($C228),"",IF(Q228=Constants!$B$3,TRUE(),IF(Q228=Constants!$B$4,FALSE(),TRUE())))</f>
        <v/>
      </c>
      <c r="AS228" s="133" t="str">
        <f aca="false">IF(ISBLANK($C228),"",IF(R228=Constants!$B$3,TRUE(),IF(R228=Constants!$B$4,FALSE(),TRUE())))</f>
        <v/>
      </c>
      <c r="AT228" s="133" t="str">
        <f aca="false">IF(ISBLANK($C228),"",IF(S228=Constants!$B$5,TRUE(),IF(S228=Constants!$B$6,FALSE(),COUNTA(T228:X228)&gt;0)))</f>
        <v/>
      </c>
      <c r="AU228" s="134" t="str">
        <f aca="false">IF(ISBLANK($C228),"",IF(ISNUMBER(T228),IF(T228&gt;=0,T228,""),""))</f>
        <v/>
      </c>
      <c r="AV228" s="135" t="str">
        <f aca="false">IF(ISBLANK($C228),"",IF(ISNUMBER(U228),IF(U228&gt;=0,U228,""),""))</f>
        <v/>
      </c>
      <c r="AW228" s="135" t="str">
        <f aca="false">IF(ISBLANK($C228),"",IF(V228=Constants!$B$3,TRUE(),IF(V228=Constants!$B$4,FALSE(),TRUE())))</f>
        <v/>
      </c>
      <c r="AX228" s="133" t="str">
        <f aca="false">IF(ISBLANK($C228),"",IF(ISNUMBER(W228),IF(W228&gt;=0,W228,""),""))</f>
        <v/>
      </c>
      <c r="AY228" s="133" t="str">
        <f aca="false">IF(ISBLANK($C228),"",IF(X228=Constants!$B$3,TRUE(),IF(X228=Constants!$B$4,FALSE(),FALSE())))</f>
        <v/>
      </c>
      <c r="AZ228" s="133" t="str">
        <f aca="false">IF(ISBLANK($C228),"",MIN(Constants!$B$31,MAX(0,IF(ISNUMBER(Y228),Y228*60,0)+IF(ISNUMBER(Z228),Z228,0))))</f>
        <v/>
      </c>
      <c r="BA228" s="133" t="str">
        <f aca="false">IF(ISBLANK($C228),"",IF(AA228=Constants!$B$3,TRUE(),IF(AA228=Constants!$B$4,FALSE(),FALSE())))</f>
        <v/>
      </c>
      <c r="BB228" s="132" t="str">
        <f aca="false">IF(ISBLANK($C228),"",AND($AL228,OR($AM228="",$AN228="",AND($AO228,$AP228=""))))</f>
        <v/>
      </c>
      <c r="BC228" s="135" t="str">
        <f aca="false">IF($BR228&lt;&gt;Constants!$B$8,"",IF($AL228,Constants!$B$21*$AN228+Constants!$B$22*IF($AO228,$AP228,Constants!$B$23),Constants!$B$24))</f>
        <v/>
      </c>
      <c r="BD228" s="136" t="str">
        <f aca="false">IF($BR228&lt;&gt;Constants!$B$8,"",Constants!$B$25*ABS($AD$9-IF($AL228,$AM228,0)))</f>
        <v/>
      </c>
      <c r="BE228" s="136" t="str">
        <f aca="false">IF($BR228&lt;&gt;Constants!$B$8,"",IF(AND($AL228,$AQ228,$AO228),Constants!$B$27,0))</f>
        <v/>
      </c>
      <c r="BF228" s="136" t="str">
        <f aca="false">IF($BR228&lt;&gt;Constants!$B$8,"",IF($AL228,($AI228-Constants!$B$29)*Constants!$B$28,0))</f>
        <v/>
      </c>
      <c r="BG228" s="136" t="str">
        <f aca="false">IF($BR228&lt;&gt;Constants!$B$8,"",IF($AK228,0,Constants!$B$15)+IF($AJ228,0,Constants!$B$16)+IF($AH228,0,Constants!$B$17))</f>
        <v/>
      </c>
      <c r="BH228" s="137" t="str">
        <f aca="false">IF($BR228&lt;&gt;Constants!$B$8,"",Constants!$B$20+SUM($BC228:$BG228))</f>
        <v/>
      </c>
      <c r="BI228" s="133" t="str">
        <f aca="false">IF($BR228&lt;&gt;Constants!$B$8,"",IF(OR($BP228&lt;$BH228,AND($BP228=$BH228,OR($BK228&lt;$BC228,AND($BK228=$BC228,OR($BL228&lt;$BD228,AND($BL228=$BD228,$AT228,$AL228,$AV228&lt;$AN228)))))),"-&gt;","&lt;-"))</f>
        <v/>
      </c>
      <c r="BJ228" s="132" t="str">
        <f aca="false">IF(ISBLANK($C228),"",AND($AT228,OR($AU228="",$AV228="",AND($AW228,$AX228=""))))</f>
        <v/>
      </c>
      <c r="BK228" s="135" t="str">
        <f aca="false">IF($BR228&lt;&gt;Constants!$B$8,"",IF($AT228,Constants!$B$21*$AV228+Constants!$B$22*IF($AW228,$AX228,Constants!$B$23),Constants!$B$24))</f>
        <v/>
      </c>
      <c r="BL228" s="136" t="str">
        <f aca="false">IF($BR228&lt;&gt;Constants!$B$8,"",Constants!$B$25*ABS($AD$9-IF($AT228,$AU228,0)))</f>
        <v/>
      </c>
      <c r="BM228" s="136" t="str">
        <f aca="false">IF($BR228&lt;&gt;Constants!$B$8,"",IF(AND($AT228,$AY228,$AW228),Constants!$B$27,0))</f>
        <v/>
      </c>
      <c r="BN228" s="136" t="str">
        <f aca="false">IF($BR228&lt;&gt;Constants!$B$8,"",IF($AT228,($AI228-Constants!$B$29)*Constants!$B$28,0))</f>
        <v/>
      </c>
      <c r="BO228" s="136" t="str">
        <f aca="false">IF($BR228&lt;&gt;Constants!$B$8,"",IF($AS228,0,Constants!$B$15)+IF($AR228,0,Constants!$B$16)+IF($AH228,0,Constants!$B$17))</f>
        <v/>
      </c>
      <c r="BP228" s="137" t="str">
        <f aca="false">IF($BR228&lt;&gt;Constants!$B$8,"",Constants!$B$20+SUM($BK228:$BO228))</f>
        <v/>
      </c>
      <c r="BQ228" s="133" t="str">
        <f aca="false">IF(ISBLANK($C228),"",IF(ISBLANK($D$7),$BQ$5,IF(NOT(ISNUMBER($D$7)),$BQ$6,"")))</f>
        <v/>
      </c>
      <c r="BR228" s="133" t="str">
        <f aca="false">IF(ISBLANK($C228),"",IF($BA228,Constants!$B$11,IF(COUNTA($E228:$AA228)=0,Constants!$B$10,IF(NOT($AG228),Constants!$B$9,IF(OR($BQ228&lt;&gt;"",$BB228,$BJ228),Constants!$B$12,Constants!$B$8)))))</f>
        <v/>
      </c>
      <c r="BS228" s="133" t="str">
        <f aca="false">IF(ISBLANK($C228),"",IF($BR228&lt;&gt;Constants!$B$8,$BR228,Constants!$B$13))</f>
        <v/>
      </c>
      <c r="BT228" s="136" t="str">
        <f aca="false">IF($BR228&lt;&gt;Constants!$B$8,"",IF($BI228="-&gt;",$BP228,$BH228))</f>
        <v/>
      </c>
      <c r="BU228" s="136" t="str">
        <f aca="false">IF($BR228&lt;&gt;Constants!$B$8,"",IF($AF228,0,Constants!$B$18))</f>
        <v/>
      </c>
      <c r="BV228" s="136" t="str">
        <f aca="false">IF($BR228&lt;&gt;Constants!$B$8,"",((Constants!$B$31-$AZ228)-Constants!$B$31)/Constants!$B$32)</f>
        <v/>
      </c>
      <c r="BW228" s="136" t="str">
        <f aca="false">IF(ISBLANK($C228),"",IF($BR228&lt;&gt;Constants!$B$8,$BR228,SUM($BT228:$BV228)))</f>
        <v/>
      </c>
      <c r="BX228" s="133" t="str">
        <f aca="false">IF(ISBLANK($C228),"",IF($BR228&lt;&gt;Constants!$B$8,$BR228,RANK($BW228,$BW$9:$BW$508,1)))</f>
        <v/>
      </c>
      <c r="BY228" s="136" t="str">
        <f aca="false">IF($BR228&lt;&gt;Constants!$B$8,"",IF($BI228="-&gt;",$BK228,$BC228))</f>
        <v/>
      </c>
      <c r="BZ228" s="133" t="str">
        <f aca="false">IF(ISBLANK($C228),"",IF($BR228&lt;&gt;Constants!$B$8,$BR228,IF(ISNUMBER($BY228),RANK($BY228,$BY$9:$BY$508,1),COUNT($BY$9:$BY$508)+1)))</f>
        <v/>
      </c>
      <c r="CA228" s="136" t="str">
        <f aca="false">IF($BR228&lt;&gt;Constants!$B$8,"",IF($BI228="-&gt;",$BL228,$BD228))</f>
        <v/>
      </c>
      <c r="CB228" s="133" t="str">
        <f aca="false">IF(ISBLANK($C228),"",IF($BR228&lt;&gt;Constants!$B$8,$BR228,IF(ISNUMBER($CA228),RANK($CA228,$CA$9:$CA$508,1),COUNT($CA$9:$CA$508)+1)))</f>
        <v/>
      </c>
      <c r="CC228" s="136" t="str">
        <f aca="false">IF($BR228&lt;&gt;Constants!$B$8,"",IF($BI228="-&gt;",IF($AT228,$AV228,""),IF($AL228,$AN228,"")))</f>
        <v/>
      </c>
      <c r="CD228" s="133" t="str">
        <f aca="false">IF(ISBLANK($C228),"",IF($BR228&lt;&gt;Constants!$B$8,$BR228,IF(ISNUMBER($CC228),RANK($CC228,$CC$9:$CC$508,1),COUNT($CC$9:$CC$508)+1)))</f>
        <v/>
      </c>
      <c r="CE228" s="136" t="str">
        <f aca="false">IF($BR228&lt;&gt;Constants!$B$8,"",IF(AND(NOT($AL228),NOT($AT228),$AJ228,$AK228,$AR228,$AS228),"",$AI228))</f>
        <v/>
      </c>
      <c r="CF228" s="133" t="str">
        <f aca="false">IF(ISBLANK($C228),"",IF($BR228&lt;&gt;Constants!$B$8,$BR228,IF(ISNUMBER($CE228),RANK($CE228,$CE$9:$CE$508,1),COUNT($CE$9:$CE$508)+1)))</f>
        <v/>
      </c>
      <c r="CG228" s="133" t="str">
        <f aca="false">IF(ISBLANK($C228),"",IF($BR228&lt;&gt;Constants!$B$8,$BR228,COUNTIFS($BX$9:$BX$508,"&lt;"&amp;$BX228)+COUNTIFS($BX$9:$BX$508,$BX228,$BZ$9:$BZ$508,"&lt;"&amp;$BZ228)+COUNTIFS($BX$9:$BX$508,$BX228,$BZ$9:$BZ$508,$BZ228,$CB$9:$CB$508,"&lt;"&amp;$CB228)+COUNTIFS($BX$9:$BX$508,$BX228,$BZ$9:$BZ$508,$BZ228,$CB$9:$CB$508,$CB228,$CD$9:$CD$508,"&lt;"&amp;$CD228)+COUNTIFS($BX$9:$BX$508,$BX228,$BZ$9:$BZ$508,$BZ228,$CB$9:$CB$508,$CB228,$CD$9:$CD$508,$CD228,$CF$9:$CF$508,"&lt;"&amp;$CF228)+1))</f>
        <v/>
      </c>
      <c r="CH228" s="133" t="str">
        <f aca="false">IF(ISBLANK($C228),"",IF($BR228&lt;&gt;Constants!$B$8,$BR228,$BX228-$CG228))</f>
        <v/>
      </c>
      <c r="CI228" s="138"/>
      <c r="CJ228" s="139"/>
      <c r="CK228" s="140" t="str">
        <f aca="false">IF(ISBLANK($C228),"",IF($BR228=Constants!$B$12,$BQ228,""))</f>
        <v/>
      </c>
      <c r="CL228" s="139" t="str">
        <f aca="false">IF(ISBLANK($C228),"",IF($BR228&lt;&gt;Constants!$B$8,"",IF($BI228="-&gt;",2,1)))</f>
        <v/>
      </c>
      <c r="CM228" s="141" t="str">
        <f aca="false">IF(ISBLANK($C228),"",IF($BR228&lt;&gt;Constants!$B$8,"",IF($BI228="-&gt;",$BK228,$BC228)))</f>
        <v/>
      </c>
      <c r="CN228" s="141" t="str">
        <f aca="false">IF(ISBLANK($C228),"",IF($BR228&lt;&gt;Constants!$B$8,"",IF($BI228="-&gt;",$BL228,$BD228)))</f>
        <v/>
      </c>
      <c r="CO228" s="141" t="str">
        <f aca="false">IF(ISBLANK($C228),"",IF($BR228&lt;&gt;Constants!$B$8,"",IF($BI228="-&gt;",$BM228+$BN228,$BE228+$BF228)+$BV228))</f>
        <v/>
      </c>
      <c r="CP228" s="141" t="str">
        <f aca="false">IF(ISBLANK($C228),"",IF($BR228&lt;&gt;Constants!$B$8,"",IF($BI228="-&gt;",$BO228,$BG228)+$BU228))</f>
        <v/>
      </c>
      <c r="CQ228" s="142" t="str">
        <f aca="false">IF(ISBLANK($C228),"",IF($BR228&lt;&gt;Constants!$B$8,$BR228,$BW228))</f>
        <v/>
      </c>
      <c r="CR228" s="143" t="str">
        <f aca="false">IF(ISBLANK($C228),"",$BS228)</f>
        <v/>
      </c>
      <c r="CS228" s="144" t="str">
        <f aca="false">IF(ISBLANK($C228),"",$CH228)</f>
        <v/>
      </c>
      <c r="CT228" s="144" t="str">
        <f aca="false">IF(ISBLANK($C228),"",$CG228)</f>
        <v/>
      </c>
      <c r="CU228" s="145" t="str">
        <f aca="false">IF(ISBLANK($C228),"",IFERROR(_xlfn.SWITCH($CT228,Constants!$B$11,COUNTA($C$9:$C$508)+2,Constants!$B$10,COUNTA($C$9:$C$508)+1,Constants!$B$9,COUNTA($C$9:$C$508)),$CT228))</f>
        <v/>
      </c>
      <c r="CV228" s="9"/>
      <c r="CW228" s="146" t="n">
        <f aca="false">IF(OR(ISNUMBER($CT228),$CT228=Constants!$B$11,$CT228=Constants!$B$9,$CT228=Constants!$B$10),1,0)</f>
        <v>0</v>
      </c>
      <c r="CX228" s="146" t="n">
        <v>220</v>
      </c>
      <c r="CY228" s="146" t="str">
        <f aca="false">IF(ISBLANK($C228),"",IF(ISNUMBER($CU228),$CU228+ROW($B228)/1000,""))</f>
        <v/>
      </c>
      <c r="CZ228" s="146" t="str">
        <f aca="false">IF(ISNUMBER($CY228),RANK($CY228,$CY$9:$CY$508,1),"")</f>
        <v/>
      </c>
      <c r="DA228" s="146" t="str">
        <f aca="false">IF(ISBLANK($C228),"",$B228)</f>
        <v/>
      </c>
      <c r="DB228" s="146" t="str">
        <f aca="false">IF(ISBLANK($C228),"",$C228)</f>
        <v/>
      </c>
      <c r="DC228" s="146" t="str">
        <f aca="false">IF(ISBLANK($C228),"",$D228)</f>
        <v/>
      </c>
      <c r="DD228" s="147" t="str">
        <f aca="false">$CR228</f>
        <v/>
      </c>
      <c r="DE228" s="148" t="str">
        <f aca="false">$CQ228</f>
        <v/>
      </c>
      <c r="DF228" s="146" t="str">
        <f aca="false">IF(ISBLANK($C228),"",$CT228)</f>
        <v/>
      </c>
      <c r="DG228" s="149" t="str">
        <f aca="false">IF($CX228&gt;$CW$8,"",VLOOKUP($CX228,$CZ$9:$DF$508,7,FALSE()))</f>
        <v/>
      </c>
      <c r="DH228" s="150" t="str">
        <f aca="false">IF($CX228&gt;$CW$8,"",VLOOKUP($CX228,$CZ$9:$DF$508,2,FALSE()))</f>
        <v/>
      </c>
      <c r="DI228" s="150" t="str">
        <f aca="false">IF($CX228&gt;$CW$8,"",VLOOKUP($CX228,$CZ$9:$DF$508,3,FALSE()))</f>
        <v/>
      </c>
      <c r="DJ228" s="150" t="str">
        <f aca="false">IF($CX228&gt;$CW$8,"",VLOOKUP($CX228,$CZ$9:$DF$508,4,FALSE()))</f>
        <v/>
      </c>
      <c r="DK228" s="150" t="str">
        <f aca="false">IF($CX228&gt;$CW$8,"",VLOOKUP($CX228,$CZ$9:$DF$508,5,FALSE()))</f>
        <v/>
      </c>
      <c r="DL228" s="151" t="str">
        <f aca="false">IF($CX228&gt;$CW$8,"",VLOOKUP($CX228,$CZ$9:$DF$508,6,FALSE()))</f>
        <v/>
      </c>
      <c r="DM228" s="75"/>
    </row>
    <row r="229" customFormat="false" ht="15.75" hidden="false" customHeight="false" outlineLevel="0" collapsed="false">
      <c r="A229" s="9"/>
      <c r="B229" s="157"/>
      <c r="C229" s="158"/>
      <c r="D229" s="159"/>
      <c r="E229" s="177"/>
      <c r="F229" s="161"/>
      <c r="G229" s="162"/>
      <c r="H229" s="162"/>
      <c r="I229" s="178"/>
      <c r="J229" s="165"/>
      <c r="K229" s="126"/>
      <c r="L229" s="127"/>
      <c r="M229" s="128"/>
      <c r="N229" s="165"/>
      <c r="O229" s="165"/>
      <c r="P229" s="177"/>
      <c r="Q229" s="165"/>
      <c r="R229" s="165"/>
      <c r="S229" s="126"/>
      <c r="T229" s="128"/>
      <c r="U229" s="128"/>
      <c r="V229" s="165"/>
      <c r="W229" s="165"/>
      <c r="X229" s="177"/>
      <c r="Y229" s="165"/>
      <c r="Z229" s="166"/>
      <c r="AA229" s="165"/>
      <c r="AB229" s="132"/>
      <c r="AC229" s="133"/>
      <c r="AD229" s="133"/>
      <c r="AE229" s="133"/>
      <c r="AF229" s="133" t="str">
        <f aca="false">IF(ISBLANK($C229),"",IF(E229=Constants!$B$3,TRUE(),IF(E229=Constants!$B$4,FALSE(),TRUE())))</f>
        <v/>
      </c>
      <c r="AG229" s="133" t="str">
        <f aca="false">IF(ISBLANK($C229),"",IF(F229=Constants!$B$3,TRUE(),IF(F229=Constants!$B$4,FALSE(),TRUE())))</f>
        <v/>
      </c>
      <c r="AH229" s="133" t="str">
        <f aca="false">IF(ISBLANK($C229),"",IF(G229=Constants!$B$3,TRUE(),IF(G229=Constants!$B$4,FALSE(),TRUE())))</f>
        <v/>
      </c>
      <c r="AI229" s="133" t="str">
        <f aca="false">IF(ISBLANK($C229),"",IF(AND(ISNUMBER(H229),H229&gt;=0),H229,Constants!$B$29))</f>
        <v/>
      </c>
      <c r="AJ229" s="133" t="str">
        <f aca="false">IF(ISBLANK($C229),"",IF(I229=Constants!$B$3,TRUE(),IF(I229=Constants!$B$4,FALSE(),TRUE())))</f>
        <v/>
      </c>
      <c r="AK229" s="133" t="str">
        <f aca="false">IF(ISBLANK($C229),"",IF(J229=Constants!$B$3,TRUE(),IF(J229=Constants!$B$4,FALSE(),TRUE())))</f>
        <v/>
      </c>
      <c r="AL229" s="133" t="str">
        <f aca="false">IF(ISBLANK($C229),"",IF(K229=Constants!$B$5,TRUE(),IF(K229=Constants!$B$6,FALSE(),COUNTA(L229:P229)&gt;0)))</f>
        <v/>
      </c>
      <c r="AM229" s="134" t="str">
        <f aca="false">IF(ISBLANK($C229),"",IF(ISNUMBER(L229),IF(L229&gt;=0,L229,""),""))</f>
        <v/>
      </c>
      <c r="AN229" s="135" t="str">
        <f aca="false">IF(ISBLANK($C229),"",IF(ISNUMBER(M229),IF(M229&gt;=0,M229,""),""))</f>
        <v/>
      </c>
      <c r="AO229" s="135" t="str">
        <f aca="false">IF(ISBLANK($C229),"",IF(N229=Constants!$B$3,TRUE(),IF(N229=Constants!$B$4,FALSE(),TRUE())))</f>
        <v/>
      </c>
      <c r="AP229" s="133" t="str">
        <f aca="false">IF(ISBLANK($C229),"",IF(ISNUMBER(O229),IF(O229&gt;=0,O229,""),""))</f>
        <v/>
      </c>
      <c r="AQ229" s="133" t="str">
        <f aca="false">IF(ISBLANK($C229),"",IF(P229=Constants!$B$3,TRUE(),IF(P229=Constants!$B$4,FALSE(),FALSE())))</f>
        <v/>
      </c>
      <c r="AR229" s="133" t="str">
        <f aca="false">IF(ISBLANK($C229),"",IF(Q229=Constants!$B$3,TRUE(),IF(Q229=Constants!$B$4,FALSE(),TRUE())))</f>
        <v/>
      </c>
      <c r="AS229" s="133" t="str">
        <f aca="false">IF(ISBLANK($C229),"",IF(R229=Constants!$B$3,TRUE(),IF(R229=Constants!$B$4,FALSE(),TRUE())))</f>
        <v/>
      </c>
      <c r="AT229" s="133" t="str">
        <f aca="false">IF(ISBLANK($C229),"",IF(S229=Constants!$B$5,TRUE(),IF(S229=Constants!$B$6,FALSE(),COUNTA(T229:X229)&gt;0)))</f>
        <v/>
      </c>
      <c r="AU229" s="134" t="str">
        <f aca="false">IF(ISBLANK($C229),"",IF(ISNUMBER(T229),IF(T229&gt;=0,T229,""),""))</f>
        <v/>
      </c>
      <c r="AV229" s="135" t="str">
        <f aca="false">IF(ISBLANK($C229),"",IF(ISNUMBER(U229),IF(U229&gt;=0,U229,""),""))</f>
        <v/>
      </c>
      <c r="AW229" s="135" t="str">
        <f aca="false">IF(ISBLANK($C229),"",IF(V229=Constants!$B$3,TRUE(),IF(V229=Constants!$B$4,FALSE(),TRUE())))</f>
        <v/>
      </c>
      <c r="AX229" s="133" t="str">
        <f aca="false">IF(ISBLANK($C229),"",IF(ISNUMBER(W229),IF(W229&gt;=0,W229,""),""))</f>
        <v/>
      </c>
      <c r="AY229" s="133" t="str">
        <f aca="false">IF(ISBLANK($C229),"",IF(X229=Constants!$B$3,TRUE(),IF(X229=Constants!$B$4,FALSE(),FALSE())))</f>
        <v/>
      </c>
      <c r="AZ229" s="133" t="str">
        <f aca="false">IF(ISBLANK($C229),"",MIN(Constants!$B$31,MAX(0,IF(ISNUMBER(Y229),Y229*60,0)+IF(ISNUMBER(Z229),Z229,0))))</f>
        <v/>
      </c>
      <c r="BA229" s="133" t="str">
        <f aca="false">IF(ISBLANK($C229),"",IF(AA229=Constants!$B$3,TRUE(),IF(AA229=Constants!$B$4,FALSE(),FALSE())))</f>
        <v/>
      </c>
      <c r="BB229" s="132" t="str">
        <f aca="false">IF(ISBLANK($C229),"",AND($AL229,OR($AM229="",$AN229="",AND($AO229,$AP229=""))))</f>
        <v/>
      </c>
      <c r="BC229" s="135" t="str">
        <f aca="false">IF($BR229&lt;&gt;Constants!$B$8,"",IF($AL229,Constants!$B$21*$AN229+Constants!$B$22*IF($AO229,$AP229,Constants!$B$23),Constants!$B$24))</f>
        <v/>
      </c>
      <c r="BD229" s="136" t="str">
        <f aca="false">IF($BR229&lt;&gt;Constants!$B$8,"",Constants!$B$25*ABS($AD$9-IF($AL229,$AM229,0)))</f>
        <v/>
      </c>
      <c r="BE229" s="136" t="str">
        <f aca="false">IF($BR229&lt;&gt;Constants!$B$8,"",IF(AND($AL229,$AQ229,$AO229),Constants!$B$27,0))</f>
        <v/>
      </c>
      <c r="BF229" s="136" t="str">
        <f aca="false">IF($BR229&lt;&gt;Constants!$B$8,"",IF($AL229,($AI229-Constants!$B$29)*Constants!$B$28,0))</f>
        <v/>
      </c>
      <c r="BG229" s="136" t="str">
        <f aca="false">IF($BR229&lt;&gt;Constants!$B$8,"",IF($AK229,0,Constants!$B$15)+IF($AJ229,0,Constants!$B$16)+IF($AH229,0,Constants!$B$17))</f>
        <v/>
      </c>
      <c r="BH229" s="137" t="str">
        <f aca="false">IF($BR229&lt;&gt;Constants!$B$8,"",Constants!$B$20+SUM($BC229:$BG229))</f>
        <v/>
      </c>
      <c r="BI229" s="133" t="str">
        <f aca="false">IF($BR229&lt;&gt;Constants!$B$8,"",IF(OR($BP229&lt;$BH229,AND($BP229=$BH229,OR($BK229&lt;$BC229,AND($BK229=$BC229,OR($BL229&lt;$BD229,AND($BL229=$BD229,$AT229,$AL229,$AV229&lt;$AN229)))))),"-&gt;","&lt;-"))</f>
        <v/>
      </c>
      <c r="BJ229" s="132" t="str">
        <f aca="false">IF(ISBLANK($C229),"",AND($AT229,OR($AU229="",$AV229="",AND($AW229,$AX229=""))))</f>
        <v/>
      </c>
      <c r="BK229" s="135" t="str">
        <f aca="false">IF($BR229&lt;&gt;Constants!$B$8,"",IF($AT229,Constants!$B$21*$AV229+Constants!$B$22*IF($AW229,$AX229,Constants!$B$23),Constants!$B$24))</f>
        <v/>
      </c>
      <c r="BL229" s="136" t="str">
        <f aca="false">IF($BR229&lt;&gt;Constants!$B$8,"",Constants!$B$25*ABS($AD$9-IF($AT229,$AU229,0)))</f>
        <v/>
      </c>
      <c r="BM229" s="136" t="str">
        <f aca="false">IF($BR229&lt;&gt;Constants!$B$8,"",IF(AND($AT229,$AY229,$AW229),Constants!$B$27,0))</f>
        <v/>
      </c>
      <c r="BN229" s="136" t="str">
        <f aca="false">IF($BR229&lt;&gt;Constants!$B$8,"",IF($AT229,($AI229-Constants!$B$29)*Constants!$B$28,0))</f>
        <v/>
      </c>
      <c r="BO229" s="136" t="str">
        <f aca="false">IF($BR229&lt;&gt;Constants!$B$8,"",IF($AS229,0,Constants!$B$15)+IF($AR229,0,Constants!$B$16)+IF($AH229,0,Constants!$B$17))</f>
        <v/>
      </c>
      <c r="BP229" s="137" t="str">
        <f aca="false">IF($BR229&lt;&gt;Constants!$B$8,"",Constants!$B$20+SUM($BK229:$BO229))</f>
        <v/>
      </c>
      <c r="BQ229" s="133" t="str">
        <f aca="false">IF(ISBLANK($C229),"",IF(ISBLANK($D$7),$BQ$5,IF(NOT(ISNUMBER($D$7)),$BQ$6,"")))</f>
        <v/>
      </c>
      <c r="BR229" s="133" t="str">
        <f aca="false">IF(ISBLANK($C229),"",IF($BA229,Constants!$B$11,IF(COUNTA($E229:$AA229)=0,Constants!$B$10,IF(NOT($AG229),Constants!$B$9,IF(OR($BQ229&lt;&gt;"",$BB229,$BJ229),Constants!$B$12,Constants!$B$8)))))</f>
        <v/>
      </c>
      <c r="BS229" s="133" t="str">
        <f aca="false">IF(ISBLANK($C229),"",IF($BR229&lt;&gt;Constants!$B$8,$BR229,Constants!$B$13))</f>
        <v/>
      </c>
      <c r="BT229" s="136" t="str">
        <f aca="false">IF($BR229&lt;&gt;Constants!$B$8,"",IF($BI229="-&gt;",$BP229,$BH229))</f>
        <v/>
      </c>
      <c r="BU229" s="136" t="str">
        <f aca="false">IF($BR229&lt;&gt;Constants!$B$8,"",IF($AF229,0,Constants!$B$18))</f>
        <v/>
      </c>
      <c r="BV229" s="136" t="str">
        <f aca="false">IF($BR229&lt;&gt;Constants!$B$8,"",((Constants!$B$31-$AZ229)-Constants!$B$31)/Constants!$B$32)</f>
        <v/>
      </c>
      <c r="BW229" s="136" t="str">
        <f aca="false">IF(ISBLANK($C229),"",IF($BR229&lt;&gt;Constants!$B$8,$BR229,SUM($BT229:$BV229)))</f>
        <v/>
      </c>
      <c r="BX229" s="133" t="str">
        <f aca="false">IF(ISBLANK($C229),"",IF($BR229&lt;&gt;Constants!$B$8,$BR229,RANK($BW229,$BW$9:$BW$508,1)))</f>
        <v/>
      </c>
      <c r="BY229" s="136" t="str">
        <f aca="false">IF($BR229&lt;&gt;Constants!$B$8,"",IF($BI229="-&gt;",$BK229,$BC229))</f>
        <v/>
      </c>
      <c r="BZ229" s="133" t="str">
        <f aca="false">IF(ISBLANK($C229),"",IF($BR229&lt;&gt;Constants!$B$8,$BR229,IF(ISNUMBER($BY229),RANK($BY229,$BY$9:$BY$508,1),COUNT($BY$9:$BY$508)+1)))</f>
        <v/>
      </c>
      <c r="CA229" s="136" t="str">
        <f aca="false">IF($BR229&lt;&gt;Constants!$B$8,"",IF($BI229="-&gt;",$BL229,$BD229))</f>
        <v/>
      </c>
      <c r="CB229" s="133" t="str">
        <f aca="false">IF(ISBLANK($C229),"",IF($BR229&lt;&gt;Constants!$B$8,$BR229,IF(ISNUMBER($CA229),RANK($CA229,$CA$9:$CA$508,1),COUNT($CA$9:$CA$508)+1)))</f>
        <v/>
      </c>
      <c r="CC229" s="136" t="str">
        <f aca="false">IF($BR229&lt;&gt;Constants!$B$8,"",IF($BI229="-&gt;",IF($AT229,$AV229,""),IF($AL229,$AN229,"")))</f>
        <v/>
      </c>
      <c r="CD229" s="133" t="str">
        <f aca="false">IF(ISBLANK($C229),"",IF($BR229&lt;&gt;Constants!$B$8,$BR229,IF(ISNUMBER($CC229),RANK($CC229,$CC$9:$CC$508,1),COUNT($CC$9:$CC$508)+1)))</f>
        <v/>
      </c>
      <c r="CE229" s="136" t="str">
        <f aca="false">IF($BR229&lt;&gt;Constants!$B$8,"",IF(AND(NOT($AL229),NOT($AT229),$AJ229,$AK229,$AR229,$AS229),"",$AI229))</f>
        <v/>
      </c>
      <c r="CF229" s="133" t="str">
        <f aca="false">IF(ISBLANK($C229),"",IF($BR229&lt;&gt;Constants!$B$8,$BR229,IF(ISNUMBER($CE229),RANK($CE229,$CE$9:$CE$508,1),COUNT($CE$9:$CE$508)+1)))</f>
        <v/>
      </c>
      <c r="CG229" s="133" t="str">
        <f aca="false">IF(ISBLANK($C229),"",IF($BR229&lt;&gt;Constants!$B$8,$BR229,COUNTIFS($BX$9:$BX$508,"&lt;"&amp;$BX229)+COUNTIFS($BX$9:$BX$508,$BX229,$BZ$9:$BZ$508,"&lt;"&amp;$BZ229)+COUNTIFS($BX$9:$BX$508,$BX229,$BZ$9:$BZ$508,$BZ229,$CB$9:$CB$508,"&lt;"&amp;$CB229)+COUNTIFS($BX$9:$BX$508,$BX229,$BZ$9:$BZ$508,$BZ229,$CB$9:$CB$508,$CB229,$CD$9:$CD$508,"&lt;"&amp;$CD229)+COUNTIFS($BX$9:$BX$508,$BX229,$BZ$9:$BZ$508,$BZ229,$CB$9:$CB$508,$CB229,$CD$9:$CD$508,$CD229,$CF$9:$CF$508,"&lt;"&amp;$CF229)+1))</f>
        <v/>
      </c>
      <c r="CH229" s="133" t="str">
        <f aca="false">IF(ISBLANK($C229),"",IF($BR229&lt;&gt;Constants!$B$8,$BR229,$BX229-$CG229))</f>
        <v/>
      </c>
      <c r="CI229" s="138"/>
      <c r="CJ229" s="139"/>
      <c r="CK229" s="140" t="str">
        <f aca="false">IF(ISBLANK($C229),"",IF($BR229=Constants!$B$12,$BQ229,""))</f>
        <v/>
      </c>
      <c r="CL229" s="139" t="str">
        <f aca="false">IF(ISBLANK($C229),"",IF($BR229&lt;&gt;Constants!$B$8,"",IF($BI229="-&gt;",2,1)))</f>
        <v/>
      </c>
      <c r="CM229" s="141" t="str">
        <f aca="false">IF(ISBLANK($C229),"",IF($BR229&lt;&gt;Constants!$B$8,"",IF($BI229="-&gt;",$BK229,$BC229)))</f>
        <v/>
      </c>
      <c r="CN229" s="141" t="str">
        <f aca="false">IF(ISBLANK($C229),"",IF($BR229&lt;&gt;Constants!$B$8,"",IF($BI229="-&gt;",$BL229,$BD229)))</f>
        <v/>
      </c>
      <c r="CO229" s="141" t="str">
        <f aca="false">IF(ISBLANK($C229),"",IF($BR229&lt;&gt;Constants!$B$8,"",IF($BI229="-&gt;",$BM229+$BN229,$BE229+$BF229)+$BV229))</f>
        <v/>
      </c>
      <c r="CP229" s="141" t="str">
        <f aca="false">IF(ISBLANK($C229),"",IF($BR229&lt;&gt;Constants!$B$8,"",IF($BI229="-&gt;",$BO229,$BG229)+$BU229))</f>
        <v/>
      </c>
      <c r="CQ229" s="142" t="str">
        <f aca="false">IF(ISBLANK($C229),"",IF($BR229&lt;&gt;Constants!$B$8,$BR229,$BW229))</f>
        <v/>
      </c>
      <c r="CR229" s="143" t="str">
        <f aca="false">IF(ISBLANK($C229),"",$BS229)</f>
        <v/>
      </c>
      <c r="CS229" s="144" t="str">
        <f aca="false">IF(ISBLANK($C229),"",$CH229)</f>
        <v/>
      </c>
      <c r="CT229" s="144" t="str">
        <f aca="false">IF(ISBLANK($C229),"",$CG229)</f>
        <v/>
      </c>
      <c r="CU229" s="145" t="str">
        <f aca="false">IF(ISBLANK($C229),"",IFERROR(_xlfn.SWITCH($CT229,Constants!$B$11,COUNTA($C$9:$C$508)+2,Constants!$B$10,COUNTA($C$9:$C$508)+1,Constants!$B$9,COUNTA($C$9:$C$508)),$CT229))</f>
        <v/>
      </c>
      <c r="CV229" s="9"/>
      <c r="CW229" s="146" t="n">
        <f aca="false">IF(OR(ISNUMBER($CT229),$CT229=Constants!$B$11,$CT229=Constants!$B$9,$CT229=Constants!$B$10),1,0)</f>
        <v>0</v>
      </c>
      <c r="CX229" s="146" t="n">
        <v>221</v>
      </c>
      <c r="CY229" s="146" t="str">
        <f aca="false">IF(ISBLANK($C229),"",IF(ISNUMBER($CU229),$CU229+ROW($B229)/1000,""))</f>
        <v/>
      </c>
      <c r="CZ229" s="146" t="str">
        <f aca="false">IF(ISNUMBER($CY229),RANK($CY229,$CY$9:$CY$508,1),"")</f>
        <v/>
      </c>
      <c r="DA229" s="146" t="str">
        <f aca="false">IF(ISBLANK($C229),"",$B229)</f>
        <v/>
      </c>
      <c r="DB229" s="146" t="str">
        <f aca="false">IF(ISBLANK($C229),"",$C229)</f>
        <v/>
      </c>
      <c r="DC229" s="146" t="str">
        <f aca="false">IF(ISBLANK($C229),"",$D229)</f>
        <v/>
      </c>
      <c r="DD229" s="147" t="str">
        <f aca="false">$CR229</f>
        <v/>
      </c>
      <c r="DE229" s="148" t="str">
        <f aca="false">$CQ229</f>
        <v/>
      </c>
      <c r="DF229" s="146" t="str">
        <f aca="false">IF(ISBLANK($C229),"",$CT229)</f>
        <v/>
      </c>
      <c r="DG229" s="149" t="str">
        <f aca="false">IF($CX229&gt;$CW$8,"",VLOOKUP($CX229,$CZ$9:$DF$508,7,FALSE()))</f>
        <v/>
      </c>
      <c r="DH229" s="150" t="str">
        <f aca="false">IF($CX229&gt;$CW$8,"",VLOOKUP($CX229,$CZ$9:$DF$508,2,FALSE()))</f>
        <v/>
      </c>
      <c r="DI229" s="150" t="str">
        <f aca="false">IF($CX229&gt;$CW$8,"",VLOOKUP($CX229,$CZ$9:$DF$508,3,FALSE()))</f>
        <v/>
      </c>
      <c r="DJ229" s="150" t="str">
        <f aca="false">IF($CX229&gt;$CW$8,"",VLOOKUP($CX229,$CZ$9:$DF$508,4,FALSE()))</f>
        <v/>
      </c>
      <c r="DK229" s="150" t="str">
        <f aca="false">IF($CX229&gt;$CW$8,"",VLOOKUP($CX229,$CZ$9:$DF$508,5,FALSE()))</f>
        <v/>
      </c>
      <c r="DL229" s="151" t="str">
        <f aca="false">IF($CX229&gt;$CW$8,"",VLOOKUP($CX229,$CZ$9:$DF$508,6,FALSE()))</f>
        <v/>
      </c>
      <c r="DM229" s="75"/>
    </row>
    <row r="230" customFormat="false" ht="15.75" hidden="false" customHeight="false" outlineLevel="0" collapsed="false">
      <c r="A230" s="9"/>
      <c r="B230" s="157"/>
      <c r="C230" s="158"/>
      <c r="D230" s="159"/>
      <c r="E230" s="177"/>
      <c r="F230" s="161"/>
      <c r="G230" s="162"/>
      <c r="H230" s="162"/>
      <c r="I230" s="178"/>
      <c r="J230" s="165"/>
      <c r="K230" s="126"/>
      <c r="L230" s="127"/>
      <c r="M230" s="128"/>
      <c r="N230" s="165"/>
      <c r="O230" s="165"/>
      <c r="P230" s="177"/>
      <c r="Q230" s="165"/>
      <c r="R230" s="165"/>
      <c r="S230" s="126"/>
      <c r="T230" s="128"/>
      <c r="U230" s="128"/>
      <c r="V230" s="165"/>
      <c r="W230" s="165"/>
      <c r="X230" s="177"/>
      <c r="Y230" s="165"/>
      <c r="Z230" s="166"/>
      <c r="AA230" s="165"/>
      <c r="AB230" s="132"/>
      <c r="AC230" s="133"/>
      <c r="AD230" s="133"/>
      <c r="AE230" s="133"/>
      <c r="AF230" s="133" t="str">
        <f aca="false">IF(ISBLANK($C230),"",IF(E230=Constants!$B$3,TRUE(),IF(E230=Constants!$B$4,FALSE(),TRUE())))</f>
        <v/>
      </c>
      <c r="AG230" s="133" t="str">
        <f aca="false">IF(ISBLANK($C230),"",IF(F230=Constants!$B$3,TRUE(),IF(F230=Constants!$B$4,FALSE(),TRUE())))</f>
        <v/>
      </c>
      <c r="AH230" s="133" t="str">
        <f aca="false">IF(ISBLANK($C230),"",IF(G230=Constants!$B$3,TRUE(),IF(G230=Constants!$B$4,FALSE(),TRUE())))</f>
        <v/>
      </c>
      <c r="AI230" s="133" t="str">
        <f aca="false">IF(ISBLANK($C230),"",IF(AND(ISNUMBER(H230),H230&gt;=0),H230,Constants!$B$29))</f>
        <v/>
      </c>
      <c r="AJ230" s="133" t="str">
        <f aca="false">IF(ISBLANK($C230),"",IF(I230=Constants!$B$3,TRUE(),IF(I230=Constants!$B$4,FALSE(),TRUE())))</f>
        <v/>
      </c>
      <c r="AK230" s="133" t="str">
        <f aca="false">IF(ISBLANK($C230),"",IF(J230=Constants!$B$3,TRUE(),IF(J230=Constants!$B$4,FALSE(),TRUE())))</f>
        <v/>
      </c>
      <c r="AL230" s="133" t="str">
        <f aca="false">IF(ISBLANK($C230),"",IF(K230=Constants!$B$5,TRUE(),IF(K230=Constants!$B$6,FALSE(),COUNTA(L230:P230)&gt;0)))</f>
        <v/>
      </c>
      <c r="AM230" s="134" t="str">
        <f aca="false">IF(ISBLANK($C230),"",IF(ISNUMBER(L230),IF(L230&gt;=0,L230,""),""))</f>
        <v/>
      </c>
      <c r="AN230" s="135" t="str">
        <f aca="false">IF(ISBLANK($C230),"",IF(ISNUMBER(M230),IF(M230&gt;=0,M230,""),""))</f>
        <v/>
      </c>
      <c r="AO230" s="135" t="str">
        <f aca="false">IF(ISBLANK($C230),"",IF(N230=Constants!$B$3,TRUE(),IF(N230=Constants!$B$4,FALSE(),TRUE())))</f>
        <v/>
      </c>
      <c r="AP230" s="133" t="str">
        <f aca="false">IF(ISBLANK($C230),"",IF(ISNUMBER(O230),IF(O230&gt;=0,O230,""),""))</f>
        <v/>
      </c>
      <c r="AQ230" s="133" t="str">
        <f aca="false">IF(ISBLANK($C230),"",IF(P230=Constants!$B$3,TRUE(),IF(P230=Constants!$B$4,FALSE(),FALSE())))</f>
        <v/>
      </c>
      <c r="AR230" s="133" t="str">
        <f aca="false">IF(ISBLANK($C230),"",IF(Q230=Constants!$B$3,TRUE(),IF(Q230=Constants!$B$4,FALSE(),TRUE())))</f>
        <v/>
      </c>
      <c r="AS230" s="133" t="str">
        <f aca="false">IF(ISBLANK($C230),"",IF(R230=Constants!$B$3,TRUE(),IF(R230=Constants!$B$4,FALSE(),TRUE())))</f>
        <v/>
      </c>
      <c r="AT230" s="133" t="str">
        <f aca="false">IF(ISBLANK($C230),"",IF(S230=Constants!$B$5,TRUE(),IF(S230=Constants!$B$6,FALSE(),COUNTA(T230:X230)&gt;0)))</f>
        <v/>
      </c>
      <c r="AU230" s="134" t="str">
        <f aca="false">IF(ISBLANK($C230),"",IF(ISNUMBER(T230),IF(T230&gt;=0,T230,""),""))</f>
        <v/>
      </c>
      <c r="AV230" s="135" t="str">
        <f aca="false">IF(ISBLANK($C230),"",IF(ISNUMBER(U230),IF(U230&gt;=0,U230,""),""))</f>
        <v/>
      </c>
      <c r="AW230" s="135" t="str">
        <f aca="false">IF(ISBLANK($C230),"",IF(V230=Constants!$B$3,TRUE(),IF(V230=Constants!$B$4,FALSE(),TRUE())))</f>
        <v/>
      </c>
      <c r="AX230" s="133" t="str">
        <f aca="false">IF(ISBLANK($C230),"",IF(ISNUMBER(W230),IF(W230&gt;=0,W230,""),""))</f>
        <v/>
      </c>
      <c r="AY230" s="133" t="str">
        <f aca="false">IF(ISBLANK($C230),"",IF(X230=Constants!$B$3,TRUE(),IF(X230=Constants!$B$4,FALSE(),FALSE())))</f>
        <v/>
      </c>
      <c r="AZ230" s="133" t="str">
        <f aca="false">IF(ISBLANK($C230),"",MIN(Constants!$B$31,MAX(0,IF(ISNUMBER(Y230),Y230*60,0)+IF(ISNUMBER(Z230),Z230,0))))</f>
        <v/>
      </c>
      <c r="BA230" s="133" t="str">
        <f aca="false">IF(ISBLANK($C230),"",IF(AA230=Constants!$B$3,TRUE(),IF(AA230=Constants!$B$4,FALSE(),FALSE())))</f>
        <v/>
      </c>
      <c r="BB230" s="132" t="str">
        <f aca="false">IF(ISBLANK($C230),"",AND($AL230,OR($AM230="",$AN230="",AND($AO230,$AP230=""))))</f>
        <v/>
      </c>
      <c r="BC230" s="135" t="str">
        <f aca="false">IF($BR230&lt;&gt;Constants!$B$8,"",IF($AL230,Constants!$B$21*$AN230+Constants!$B$22*IF($AO230,$AP230,Constants!$B$23),Constants!$B$24))</f>
        <v/>
      </c>
      <c r="BD230" s="136" t="str">
        <f aca="false">IF($BR230&lt;&gt;Constants!$B$8,"",Constants!$B$25*ABS($AD$9-IF($AL230,$AM230,0)))</f>
        <v/>
      </c>
      <c r="BE230" s="136" t="str">
        <f aca="false">IF($BR230&lt;&gt;Constants!$B$8,"",IF(AND($AL230,$AQ230,$AO230),Constants!$B$27,0))</f>
        <v/>
      </c>
      <c r="BF230" s="136" t="str">
        <f aca="false">IF($BR230&lt;&gt;Constants!$B$8,"",IF($AL230,($AI230-Constants!$B$29)*Constants!$B$28,0))</f>
        <v/>
      </c>
      <c r="BG230" s="136" t="str">
        <f aca="false">IF($BR230&lt;&gt;Constants!$B$8,"",IF($AK230,0,Constants!$B$15)+IF($AJ230,0,Constants!$B$16)+IF($AH230,0,Constants!$B$17))</f>
        <v/>
      </c>
      <c r="BH230" s="137" t="str">
        <f aca="false">IF($BR230&lt;&gt;Constants!$B$8,"",Constants!$B$20+SUM($BC230:$BG230))</f>
        <v/>
      </c>
      <c r="BI230" s="133" t="str">
        <f aca="false">IF($BR230&lt;&gt;Constants!$B$8,"",IF(OR($BP230&lt;$BH230,AND($BP230=$BH230,OR($BK230&lt;$BC230,AND($BK230=$BC230,OR($BL230&lt;$BD230,AND($BL230=$BD230,$AT230,$AL230,$AV230&lt;$AN230)))))),"-&gt;","&lt;-"))</f>
        <v/>
      </c>
      <c r="BJ230" s="132" t="str">
        <f aca="false">IF(ISBLANK($C230),"",AND($AT230,OR($AU230="",$AV230="",AND($AW230,$AX230=""))))</f>
        <v/>
      </c>
      <c r="BK230" s="135" t="str">
        <f aca="false">IF($BR230&lt;&gt;Constants!$B$8,"",IF($AT230,Constants!$B$21*$AV230+Constants!$B$22*IF($AW230,$AX230,Constants!$B$23),Constants!$B$24))</f>
        <v/>
      </c>
      <c r="BL230" s="136" t="str">
        <f aca="false">IF($BR230&lt;&gt;Constants!$B$8,"",Constants!$B$25*ABS($AD$9-IF($AT230,$AU230,0)))</f>
        <v/>
      </c>
      <c r="BM230" s="136" t="str">
        <f aca="false">IF($BR230&lt;&gt;Constants!$B$8,"",IF(AND($AT230,$AY230,$AW230),Constants!$B$27,0))</f>
        <v/>
      </c>
      <c r="BN230" s="136" t="str">
        <f aca="false">IF($BR230&lt;&gt;Constants!$B$8,"",IF($AT230,($AI230-Constants!$B$29)*Constants!$B$28,0))</f>
        <v/>
      </c>
      <c r="BO230" s="136" t="str">
        <f aca="false">IF($BR230&lt;&gt;Constants!$B$8,"",IF($AS230,0,Constants!$B$15)+IF($AR230,0,Constants!$B$16)+IF($AH230,0,Constants!$B$17))</f>
        <v/>
      </c>
      <c r="BP230" s="137" t="str">
        <f aca="false">IF($BR230&lt;&gt;Constants!$B$8,"",Constants!$B$20+SUM($BK230:$BO230))</f>
        <v/>
      </c>
      <c r="BQ230" s="133" t="str">
        <f aca="false">IF(ISBLANK($C230),"",IF(ISBLANK($D$7),$BQ$5,IF(NOT(ISNUMBER($D$7)),$BQ$6,"")))</f>
        <v/>
      </c>
      <c r="BR230" s="133" t="str">
        <f aca="false">IF(ISBLANK($C230),"",IF($BA230,Constants!$B$11,IF(COUNTA($E230:$AA230)=0,Constants!$B$10,IF(NOT($AG230),Constants!$B$9,IF(OR($BQ230&lt;&gt;"",$BB230,$BJ230),Constants!$B$12,Constants!$B$8)))))</f>
        <v/>
      </c>
      <c r="BS230" s="133" t="str">
        <f aca="false">IF(ISBLANK($C230),"",IF($BR230&lt;&gt;Constants!$B$8,$BR230,Constants!$B$13))</f>
        <v/>
      </c>
      <c r="BT230" s="136" t="str">
        <f aca="false">IF($BR230&lt;&gt;Constants!$B$8,"",IF($BI230="-&gt;",$BP230,$BH230))</f>
        <v/>
      </c>
      <c r="BU230" s="136" t="str">
        <f aca="false">IF($BR230&lt;&gt;Constants!$B$8,"",IF($AF230,0,Constants!$B$18))</f>
        <v/>
      </c>
      <c r="BV230" s="136" t="str">
        <f aca="false">IF($BR230&lt;&gt;Constants!$B$8,"",((Constants!$B$31-$AZ230)-Constants!$B$31)/Constants!$B$32)</f>
        <v/>
      </c>
      <c r="BW230" s="136" t="str">
        <f aca="false">IF(ISBLANK($C230),"",IF($BR230&lt;&gt;Constants!$B$8,$BR230,SUM($BT230:$BV230)))</f>
        <v/>
      </c>
      <c r="BX230" s="133" t="str">
        <f aca="false">IF(ISBLANK($C230),"",IF($BR230&lt;&gt;Constants!$B$8,$BR230,RANK($BW230,$BW$9:$BW$508,1)))</f>
        <v/>
      </c>
      <c r="BY230" s="136" t="str">
        <f aca="false">IF($BR230&lt;&gt;Constants!$B$8,"",IF($BI230="-&gt;",$BK230,$BC230))</f>
        <v/>
      </c>
      <c r="BZ230" s="133" t="str">
        <f aca="false">IF(ISBLANK($C230),"",IF($BR230&lt;&gt;Constants!$B$8,$BR230,IF(ISNUMBER($BY230),RANK($BY230,$BY$9:$BY$508,1),COUNT($BY$9:$BY$508)+1)))</f>
        <v/>
      </c>
      <c r="CA230" s="136" t="str">
        <f aca="false">IF($BR230&lt;&gt;Constants!$B$8,"",IF($BI230="-&gt;",$BL230,$BD230))</f>
        <v/>
      </c>
      <c r="CB230" s="133" t="str">
        <f aca="false">IF(ISBLANK($C230),"",IF($BR230&lt;&gt;Constants!$B$8,$BR230,IF(ISNUMBER($CA230),RANK($CA230,$CA$9:$CA$508,1),COUNT($CA$9:$CA$508)+1)))</f>
        <v/>
      </c>
      <c r="CC230" s="136" t="str">
        <f aca="false">IF($BR230&lt;&gt;Constants!$B$8,"",IF($BI230="-&gt;",IF($AT230,$AV230,""),IF($AL230,$AN230,"")))</f>
        <v/>
      </c>
      <c r="CD230" s="133" t="str">
        <f aca="false">IF(ISBLANK($C230),"",IF($BR230&lt;&gt;Constants!$B$8,$BR230,IF(ISNUMBER($CC230),RANK($CC230,$CC$9:$CC$508,1),COUNT($CC$9:$CC$508)+1)))</f>
        <v/>
      </c>
      <c r="CE230" s="136" t="str">
        <f aca="false">IF($BR230&lt;&gt;Constants!$B$8,"",IF(AND(NOT($AL230),NOT($AT230),$AJ230,$AK230,$AR230,$AS230),"",$AI230))</f>
        <v/>
      </c>
      <c r="CF230" s="133" t="str">
        <f aca="false">IF(ISBLANK($C230),"",IF($BR230&lt;&gt;Constants!$B$8,$BR230,IF(ISNUMBER($CE230),RANK($CE230,$CE$9:$CE$508,1),COUNT($CE$9:$CE$508)+1)))</f>
        <v/>
      </c>
      <c r="CG230" s="133" t="str">
        <f aca="false">IF(ISBLANK($C230),"",IF($BR230&lt;&gt;Constants!$B$8,$BR230,COUNTIFS($BX$9:$BX$508,"&lt;"&amp;$BX230)+COUNTIFS($BX$9:$BX$508,$BX230,$BZ$9:$BZ$508,"&lt;"&amp;$BZ230)+COUNTIFS($BX$9:$BX$508,$BX230,$BZ$9:$BZ$508,$BZ230,$CB$9:$CB$508,"&lt;"&amp;$CB230)+COUNTIFS($BX$9:$BX$508,$BX230,$BZ$9:$BZ$508,$BZ230,$CB$9:$CB$508,$CB230,$CD$9:$CD$508,"&lt;"&amp;$CD230)+COUNTIFS($BX$9:$BX$508,$BX230,$BZ$9:$BZ$508,$BZ230,$CB$9:$CB$508,$CB230,$CD$9:$CD$508,$CD230,$CF$9:$CF$508,"&lt;"&amp;$CF230)+1))</f>
        <v/>
      </c>
      <c r="CH230" s="133" t="str">
        <f aca="false">IF(ISBLANK($C230),"",IF($BR230&lt;&gt;Constants!$B$8,$BR230,$BX230-$CG230))</f>
        <v/>
      </c>
      <c r="CI230" s="138"/>
      <c r="CJ230" s="139"/>
      <c r="CK230" s="140" t="str">
        <f aca="false">IF(ISBLANK($C230),"",IF($BR230=Constants!$B$12,$BQ230,""))</f>
        <v/>
      </c>
      <c r="CL230" s="139" t="str">
        <f aca="false">IF(ISBLANK($C230),"",IF($BR230&lt;&gt;Constants!$B$8,"",IF($BI230="-&gt;",2,1)))</f>
        <v/>
      </c>
      <c r="CM230" s="141" t="str">
        <f aca="false">IF(ISBLANK($C230),"",IF($BR230&lt;&gt;Constants!$B$8,"",IF($BI230="-&gt;",$BK230,$BC230)))</f>
        <v/>
      </c>
      <c r="CN230" s="141" t="str">
        <f aca="false">IF(ISBLANK($C230),"",IF($BR230&lt;&gt;Constants!$B$8,"",IF($BI230="-&gt;",$BL230,$BD230)))</f>
        <v/>
      </c>
      <c r="CO230" s="141" t="str">
        <f aca="false">IF(ISBLANK($C230),"",IF($BR230&lt;&gt;Constants!$B$8,"",IF($BI230="-&gt;",$BM230+$BN230,$BE230+$BF230)+$BV230))</f>
        <v/>
      </c>
      <c r="CP230" s="141" t="str">
        <f aca="false">IF(ISBLANK($C230),"",IF($BR230&lt;&gt;Constants!$B$8,"",IF($BI230="-&gt;",$BO230,$BG230)+$BU230))</f>
        <v/>
      </c>
      <c r="CQ230" s="142" t="str">
        <f aca="false">IF(ISBLANK($C230),"",IF($BR230&lt;&gt;Constants!$B$8,$BR230,$BW230))</f>
        <v/>
      </c>
      <c r="CR230" s="143" t="str">
        <f aca="false">IF(ISBLANK($C230),"",$BS230)</f>
        <v/>
      </c>
      <c r="CS230" s="144" t="str">
        <f aca="false">IF(ISBLANK($C230),"",$CH230)</f>
        <v/>
      </c>
      <c r="CT230" s="144" t="str">
        <f aca="false">IF(ISBLANK($C230),"",$CG230)</f>
        <v/>
      </c>
      <c r="CU230" s="145" t="str">
        <f aca="false">IF(ISBLANK($C230),"",IFERROR(_xlfn.SWITCH($CT230,Constants!$B$11,COUNTA($C$9:$C$508)+2,Constants!$B$10,COUNTA($C$9:$C$508)+1,Constants!$B$9,COUNTA($C$9:$C$508)),$CT230))</f>
        <v/>
      </c>
      <c r="CV230" s="9"/>
      <c r="CW230" s="146" t="n">
        <f aca="false">IF(OR(ISNUMBER($CT230),$CT230=Constants!$B$11,$CT230=Constants!$B$9,$CT230=Constants!$B$10),1,0)</f>
        <v>0</v>
      </c>
      <c r="CX230" s="146" t="n">
        <v>222</v>
      </c>
      <c r="CY230" s="146" t="str">
        <f aca="false">IF(ISBLANK($C230),"",IF(ISNUMBER($CU230),$CU230+ROW($B230)/1000,""))</f>
        <v/>
      </c>
      <c r="CZ230" s="146" t="str">
        <f aca="false">IF(ISNUMBER($CY230),RANK($CY230,$CY$9:$CY$508,1),"")</f>
        <v/>
      </c>
      <c r="DA230" s="146" t="str">
        <f aca="false">IF(ISBLANK($C230),"",$B230)</f>
        <v/>
      </c>
      <c r="DB230" s="146" t="str">
        <f aca="false">IF(ISBLANK($C230),"",$C230)</f>
        <v/>
      </c>
      <c r="DC230" s="146" t="str">
        <f aca="false">IF(ISBLANK($C230),"",$D230)</f>
        <v/>
      </c>
      <c r="DD230" s="147" t="str">
        <f aca="false">$CR230</f>
        <v/>
      </c>
      <c r="DE230" s="148" t="str">
        <f aca="false">$CQ230</f>
        <v/>
      </c>
      <c r="DF230" s="146" t="str">
        <f aca="false">IF(ISBLANK($C230),"",$CT230)</f>
        <v/>
      </c>
      <c r="DG230" s="149" t="str">
        <f aca="false">IF($CX230&gt;$CW$8,"",VLOOKUP($CX230,$CZ$9:$DF$508,7,FALSE()))</f>
        <v/>
      </c>
      <c r="DH230" s="150" t="str">
        <f aca="false">IF($CX230&gt;$CW$8,"",VLOOKUP($CX230,$CZ$9:$DF$508,2,FALSE()))</f>
        <v/>
      </c>
      <c r="DI230" s="150" t="str">
        <f aca="false">IF($CX230&gt;$CW$8,"",VLOOKUP($CX230,$CZ$9:$DF$508,3,FALSE()))</f>
        <v/>
      </c>
      <c r="DJ230" s="150" t="str">
        <f aca="false">IF($CX230&gt;$CW$8,"",VLOOKUP($CX230,$CZ$9:$DF$508,4,FALSE()))</f>
        <v/>
      </c>
      <c r="DK230" s="150" t="str">
        <f aca="false">IF($CX230&gt;$CW$8,"",VLOOKUP($CX230,$CZ$9:$DF$508,5,FALSE()))</f>
        <v/>
      </c>
      <c r="DL230" s="151" t="str">
        <f aca="false">IF($CX230&gt;$CW$8,"",VLOOKUP($CX230,$CZ$9:$DF$508,6,FALSE()))</f>
        <v/>
      </c>
      <c r="DM230" s="75"/>
    </row>
    <row r="231" customFormat="false" ht="15.75" hidden="false" customHeight="false" outlineLevel="0" collapsed="false">
      <c r="A231" s="9"/>
      <c r="B231" s="77"/>
      <c r="C231" s="78"/>
      <c r="D231" s="167"/>
      <c r="E231" s="175"/>
      <c r="F231" s="169"/>
      <c r="G231" s="170"/>
      <c r="H231" s="170"/>
      <c r="I231" s="176"/>
      <c r="J231" s="173"/>
      <c r="K231" s="85"/>
      <c r="L231" s="86"/>
      <c r="M231" s="87"/>
      <c r="N231" s="173"/>
      <c r="O231" s="173"/>
      <c r="P231" s="175"/>
      <c r="Q231" s="173"/>
      <c r="R231" s="173"/>
      <c r="S231" s="85"/>
      <c r="T231" s="87"/>
      <c r="U231" s="87"/>
      <c r="V231" s="173"/>
      <c r="W231" s="173"/>
      <c r="X231" s="175"/>
      <c r="Y231" s="173"/>
      <c r="Z231" s="174"/>
      <c r="AA231" s="173"/>
      <c r="AB231" s="91"/>
      <c r="AC231" s="92"/>
      <c r="AD231" s="92"/>
      <c r="AE231" s="92"/>
      <c r="AF231" s="92" t="str">
        <f aca="false">IF(ISBLANK($C231),"",IF(E231=Constants!$B$3,TRUE(),IF(E231=Constants!$B$4,FALSE(),TRUE())))</f>
        <v/>
      </c>
      <c r="AG231" s="92" t="str">
        <f aca="false">IF(ISBLANK($C231),"",IF(F231=Constants!$B$3,TRUE(),IF(F231=Constants!$B$4,FALSE(),TRUE())))</f>
        <v/>
      </c>
      <c r="AH231" s="92" t="str">
        <f aca="false">IF(ISBLANK($C231),"",IF(G231=Constants!$B$3,TRUE(),IF(G231=Constants!$B$4,FALSE(),TRUE())))</f>
        <v/>
      </c>
      <c r="AI231" s="92" t="str">
        <f aca="false">IF(ISBLANK($C231),"",IF(AND(ISNUMBER(H231),H231&gt;=0),H231,Constants!$B$29))</f>
        <v/>
      </c>
      <c r="AJ231" s="92" t="str">
        <f aca="false">IF(ISBLANK($C231),"",IF(I231=Constants!$B$3,TRUE(),IF(I231=Constants!$B$4,FALSE(),TRUE())))</f>
        <v/>
      </c>
      <c r="AK231" s="92" t="str">
        <f aca="false">IF(ISBLANK($C231),"",IF(J231=Constants!$B$3,TRUE(),IF(J231=Constants!$B$4,FALSE(),TRUE())))</f>
        <v/>
      </c>
      <c r="AL231" s="92" t="str">
        <f aca="false">IF(ISBLANK($C231),"",IF(K231=Constants!$B$5,TRUE(),IF(K231=Constants!$B$6,FALSE(),COUNTA(L231:P231)&gt;0)))</f>
        <v/>
      </c>
      <c r="AM231" s="94" t="str">
        <f aca="false">IF(ISBLANK($C231),"",IF(ISNUMBER(L231),IF(L231&gt;=0,L231,""),""))</f>
        <v/>
      </c>
      <c r="AN231" s="93" t="str">
        <f aca="false">IF(ISBLANK($C231),"",IF(ISNUMBER(M231),IF(M231&gt;=0,M231,""),""))</f>
        <v/>
      </c>
      <c r="AO231" s="93" t="str">
        <f aca="false">IF(ISBLANK($C231),"",IF(N231=Constants!$B$3,TRUE(),IF(N231=Constants!$B$4,FALSE(),TRUE())))</f>
        <v/>
      </c>
      <c r="AP231" s="92" t="str">
        <f aca="false">IF(ISBLANK($C231),"",IF(ISNUMBER(O231),IF(O231&gt;=0,O231,""),""))</f>
        <v/>
      </c>
      <c r="AQ231" s="92" t="str">
        <f aca="false">IF(ISBLANK($C231),"",IF(P231=Constants!$B$3,TRUE(),IF(P231=Constants!$B$4,FALSE(),FALSE())))</f>
        <v/>
      </c>
      <c r="AR231" s="92" t="str">
        <f aca="false">IF(ISBLANK($C231),"",IF(Q231=Constants!$B$3,TRUE(),IF(Q231=Constants!$B$4,FALSE(),TRUE())))</f>
        <v/>
      </c>
      <c r="AS231" s="92" t="str">
        <f aca="false">IF(ISBLANK($C231),"",IF(R231=Constants!$B$3,TRUE(),IF(R231=Constants!$B$4,FALSE(),TRUE())))</f>
        <v/>
      </c>
      <c r="AT231" s="92" t="str">
        <f aca="false">IF(ISBLANK($C231),"",IF(S231=Constants!$B$5,TRUE(),IF(S231=Constants!$B$6,FALSE(),COUNTA(T231:X231)&gt;0)))</f>
        <v/>
      </c>
      <c r="AU231" s="94" t="str">
        <f aca="false">IF(ISBLANK($C231),"",IF(ISNUMBER(T231),IF(T231&gt;=0,T231,""),""))</f>
        <v/>
      </c>
      <c r="AV231" s="93" t="str">
        <f aca="false">IF(ISBLANK($C231),"",IF(ISNUMBER(U231),IF(U231&gt;=0,U231,""),""))</f>
        <v/>
      </c>
      <c r="AW231" s="93" t="str">
        <f aca="false">IF(ISBLANK($C231),"",IF(V231=Constants!$B$3,TRUE(),IF(V231=Constants!$B$4,FALSE(),TRUE())))</f>
        <v/>
      </c>
      <c r="AX231" s="92" t="str">
        <f aca="false">IF(ISBLANK($C231),"",IF(ISNUMBER(W231),IF(W231&gt;=0,W231,""),""))</f>
        <v/>
      </c>
      <c r="AY231" s="92" t="str">
        <f aca="false">IF(ISBLANK($C231),"",IF(X231=Constants!$B$3,TRUE(),IF(X231=Constants!$B$4,FALSE(),FALSE())))</f>
        <v/>
      </c>
      <c r="AZ231" s="92" t="str">
        <f aca="false">IF(ISBLANK($C231),"",MIN(Constants!$B$31,MAX(0,IF(ISNUMBER(Y231),Y231*60,0)+IF(ISNUMBER(Z231),Z231,0))))</f>
        <v/>
      </c>
      <c r="BA231" s="92" t="str">
        <f aca="false">IF(ISBLANK($C231),"",IF(AA231=Constants!$B$3,TRUE(),IF(AA231=Constants!$B$4,FALSE(),FALSE())))</f>
        <v/>
      </c>
      <c r="BB231" s="91" t="str">
        <f aca="false">IF(ISBLANK($C231),"",AND($AL231,OR($AM231="",$AN231="",AND($AO231,$AP231=""))))</f>
        <v/>
      </c>
      <c r="BC231" s="93" t="str">
        <f aca="false">IF($BR231&lt;&gt;Constants!$B$8,"",IF($AL231,Constants!$B$21*$AN231+Constants!$B$22*IF($AO231,$AP231,Constants!$B$23),Constants!$B$24))</f>
        <v/>
      </c>
      <c r="BD231" s="96" t="str">
        <f aca="false">IF($BR231&lt;&gt;Constants!$B$8,"",Constants!$B$25*ABS($AD$9-IF($AL231,$AM231,0)))</f>
        <v/>
      </c>
      <c r="BE231" s="96" t="str">
        <f aca="false">IF($BR231&lt;&gt;Constants!$B$8,"",IF(AND($AL231,$AQ231,$AO231),Constants!$B$27,0))</f>
        <v/>
      </c>
      <c r="BF231" s="96" t="str">
        <f aca="false">IF($BR231&lt;&gt;Constants!$B$8,"",IF($AL231,($AI231-Constants!$B$29)*Constants!$B$28,0))</f>
        <v/>
      </c>
      <c r="BG231" s="96" t="str">
        <f aca="false">IF($BR231&lt;&gt;Constants!$B$8,"",IF($AK231,0,Constants!$B$15)+IF($AJ231,0,Constants!$B$16)+IF($AH231,0,Constants!$B$17))</f>
        <v/>
      </c>
      <c r="BH231" s="97" t="str">
        <f aca="false">IF($BR231&lt;&gt;Constants!$B$8,"",Constants!$B$20+SUM($BC231:$BG231))</f>
        <v/>
      </c>
      <c r="BI231" s="92" t="str">
        <f aca="false">IF($BR231&lt;&gt;Constants!$B$8,"",IF(OR($BP231&lt;$BH231,AND($BP231=$BH231,OR($BK231&lt;$BC231,AND($BK231=$BC231,OR($BL231&lt;$BD231,AND($BL231=$BD231,$AT231,$AL231,$AV231&lt;$AN231)))))),"-&gt;","&lt;-"))</f>
        <v/>
      </c>
      <c r="BJ231" s="91" t="str">
        <f aca="false">IF(ISBLANK($C231),"",AND($AT231,OR($AU231="",$AV231="",AND($AW231,$AX231=""))))</f>
        <v/>
      </c>
      <c r="BK231" s="93" t="str">
        <f aca="false">IF($BR231&lt;&gt;Constants!$B$8,"",IF($AT231,Constants!$B$21*$AV231+Constants!$B$22*IF($AW231,$AX231,Constants!$B$23),Constants!$B$24))</f>
        <v/>
      </c>
      <c r="BL231" s="96" t="str">
        <f aca="false">IF($BR231&lt;&gt;Constants!$B$8,"",Constants!$B$25*ABS($AD$9-IF($AT231,$AU231,0)))</f>
        <v/>
      </c>
      <c r="BM231" s="96" t="str">
        <f aca="false">IF($BR231&lt;&gt;Constants!$B$8,"",IF(AND($AT231,$AY231,$AW231),Constants!$B$27,0))</f>
        <v/>
      </c>
      <c r="BN231" s="96" t="str">
        <f aca="false">IF($BR231&lt;&gt;Constants!$B$8,"",IF($AT231,($AI231-Constants!$B$29)*Constants!$B$28,0))</f>
        <v/>
      </c>
      <c r="BO231" s="96" t="str">
        <f aca="false">IF($BR231&lt;&gt;Constants!$B$8,"",IF($AS231,0,Constants!$B$15)+IF($AR231,0,Constants!$B$16)+IF($AH231,0,Constants!$B$17))</f>
        <v/>
      </c>
      <c r="BP231" s="97" t="str">
        <f aca="false">IF($BR231&lt;&gt;Constants!$B$8,"",Constants!$B$20+SUM($BK231:$BO231))</f>
        <v/>
      </c>
      <c r="BQ231" s="92" t="str">
        <f aca="false">IF(ISBLANK($C231),"",IF(ISBLANK($D$7),$BQ$5,IF(NOT(ISNUMBER($D$7)),$BQ$6,"")))</f>
        <v/>
      </c>
      <c r="BR231" s="92" t="str">
        <f aca="false">IF(ISBLANK($C231),"",IF($BA231,Constants!$B$11,IF(COUNTA($E231:$AA231)=0,Constants!$B$10,IF(NOT($AG231),Constants!$B$9,IF(OR($BQ231&lt;&gt;"",$BB231,$BJ231),Constants!$B$12,Constants!$B$8)))))</f>
        <v/>
      </c>
      <c r="BS231" s="92" t="str">
        <f aca="false">IF(ISBLANK($C231),"",IF($BR231&lt;&gt;Constants!$B$8,$BR231,Constants!$B$13))</f>
        <v/>
      </c>
      <c r="BT231" s="96" t="str">
        <f aca="false">IF($BR231&lt;&gt;Constants!$B$8,"",IF($BI231="-&gt;",$BP231,$BH231))</f>
        <v/>
      </c>
      <c r="BU231" s="96" t="str">
        <f aca="false">IF($BR231&lt;&gt;Constants!$B$8,"",IF($AF231,0,Constants!$B$18))</f>
        <v/>
      </c>
      <c r="BV231" s="96" t="str">
        <f aca="false">IF($BR231&lt;&gt;Constants!$B$8,"",((Constants!$B$31-$AZ231)-Constants!$B$31)/Constants!$B$32)</f>
        <v/>
      </c>
      <c r="BW231" s="96" t="str">
        <f aca="false">IF(ISBLANK($C231),"",IF($BR231&lt;&gt;Constants!$B$8,$BR231,SUM($BT231:$BV231)))</f>
        <v/>
      </c>
      <c r="BX231" s="92" t="str">
        <f aca="false">IF(ISBLANK($C231),"",IF($BR231&lt;&gt;Constants!$B$8,$BR231,RANK($BW231,$BW$9:$BW$508,1)))</f>
        <v/>
      </c>
      <c r="BY231" s="96" t="str">
        <f aca="false">IF($BR231&lt;&gt;Constants!$B$8,"",IF($BI231="-&gt;",$BK231,$BC231))</f>
        <v/>
      </c>
      <c r="BZ231" s="92" t="str">
        <f aca="false">IF(ISBLANK($C231),"",IF($BR231&lt;&gt;Constants!$B$8,$BR231,IF(ISNUMBER($BY231),RANK($BY231,$BY$9:$BY$508,1),COUNT($BY$9:$BY$508)+1)))</f>
        <v/>
      </c>
      <c r="CA231" s="96" t="str">
        <f aca="false">IF($BR231&lt;&gt;Constants!$B$8,"",IF($BI231="-&gt;",$BL231,$BD231))</f>
        <v/>
      </c>
      <c r="CB231" s="92" t="str">
        <f aca="false">IF(ISBLANK($C231),"",IF($BR231&lt;&gt;Constants!$B$8,$BR231,IF(ISNUMBER($CA231),RANK($CA231,$CA$9:$CA$508,1),COUNT($CA$9:$CA$508)+1)))</f>
        <v/>
      </c>
      <c r="CC231" s="96" t="str">
        <f aca="false">IF($BR231&lt;&gt;Constants!$B$8,"",IF($BI231="-&gt;",IF($AT231,$AV231,""),IF($AL231,$AN231,"")))</f>
        <v/>
      </c>
      <c r="CD231" s="92" t="str">
        <f aca="false">IF(ISBLANK($C231),"",IF($BR231&lt;&gt;Constants!$B$8,$BR231,IF(ISNUMBER($CC231),RANK($CC231,$CC$9:$CC$508,1),COUNT($CC$9:$CC$508)+1)))</f>
        <v/>
      </c>
      <c r="CE231" s="96" t="str">
        <f aca="false">IF($BR231&lt;&gt;Constants!$B$8,"",IF(AND(NOT($AL231),NOT($AT231),$AJ231,$AK231,$AR231,$AS231),"",$AI231))</f>
        <v/>
      </c>
      <c r="CF231" s="92" t="str">
        <f aca="false">IF(ISBLANK($C231),"",IF($BR231&lt;&gt;Constants!$B$8,$BR231,IF(ISNUMBER($CE231),RANK($CE231,$CE$9:$CE$508,1),COUNT($CE$9:$CE$508)+1)))</f>
        <v/>
      </c>
      <c r="CG231" s="92" t="str">
        <f aca="false">IF(ISBLANK($C231),"",IF($BR231&lt;&gt;Constants!$B$8,$BR231,COUNTIFS($BX$9:$BX$508,"&lt;"&amp;$BX231)+COUNTIFS($BX$9:$BX$508,$BX231,$BZ$9:$BZ$508,"&lt;"&amp;$BZ231)+COUNTIFS($BX$9:$BX$508,$BX231,$BZ$9:$BZ$508,$BZ231,$CB$9:$CB$508,"&lt;"&amp;$CB231)+COUNTIFS($BX$9:$BX$508,$BX231,$BZ$9:$BZ$508,$BZ231,$CB$9:$CB$508,$CB231,$CD$9:$CD$508,"&lt;"&amp;$CD231)+COUNTIFS($BX$9:$BX$508,$BX231,$BZ$9:$BZ$508,$BZ231,$CB$9:$CB$508,$CB231,$CD$9:$CD$508,$CD231,$CF$9:$CF$508,"&lt;"&amp;$CF231)+1))</f>
        <v/>
      </c>
      <c r="CH231" s="92" t="str">
        <f aca="false">IF(ISBLANK($C231),"",IF($BR231&lt;&gt;Constants!$B$8,$BR231,$BX231-$CG231))</f>
        <v/>
      </c>
      <c r="CI231" s="98"/>
      <c r="CJ231" s="99"/>
      <c r="CK231" s="100" t="str">
        <f aca="false">IF(ISBLANK($C231),"",IF($BR231=Constants!$B$12,$BQ231,""))</f>
        <v/>
      </c>
      <c r="CL231" s="99" t="str">
        <f aca="false">IF(ISBLANK($C231),"",IF($BR231&lt;&gt;Constants!$B$8,"",IF($BI231="-&gt;",2,1)))</f>
        <v/>
      </c>
      <c r="CM231" s="101" t="str">
        <f aca="false">IF(ISBLANK($C231),"",IF($BR231&lt;&gt;Constants!$B$8,"",IF($BI231="-&gt;",$BK231,$BC231)))</f>
        <v/>
      </c>
      <c r="CN231" s="101" t="str">
        <f aca="false">IF(ISBLANK($C231),"",IF($BR231&lt;&gt;Constants!$B$8,"",IF($BI231="-&gt;",$BL231,$BD231)))</f>
        <v/>
      </c>
      <c r="CO231" s="101" t="str">
        <f aca="false">IF(ISBLANK($C231),"",IF($BR231&lt;&gt;Constants!$B$8,"",IF($BI231="-&gt;",$BM231+$BN231,$BE231+$BF231)+$BV231))</f>
        <v/>
      </c>
      <c r="CP231" s="101" t="str">
        <f aca="false">IF(ISBLANK($C231),"",IF($BR231&lt;&gt;Constants!$B$8,"",IF($BI231="-&gt;",$BO231,$BG231)+$BU231))</f>
        <v/>
      </c>
      <c r="CQ231" s="102" t="str">
        <f aca="false">IF(ISBLANK($C231),"",IF($BR231&lt;&gt;Constants!$B$8,$BR231,$BW231))</f>
        <v/>
      </c>
      <c r="CR231" s="103" t="str">
        <f aca="false">IF(ISBLANK($C231),"",$BS231)</f>
        <v/>
      </c>
      <c r="CS231" s="104" t="str">
        <f aca="false">IF(ISBLANK($C231),"",$CH231)</f>
        <v/>
      </c>
      <c r="CT231" s="104" t="str">
        <f aca="false">IF(ISBLANK($C231),"",$CG231)</f>
        <v/>
      </c>
      <c r="CU231" s="105" t="str">
        <f aca="false">IF(ISBLANK($C231),"",IFERROR(_xlfn.SWITCH($CT231,Constants!$B$11,COUNTA($C$9:$C$508)+2,Constants!$B$10,COUNTA($C$9:$C$508)+1,Constants!$B$9,COUNTA($C$9:$C$508)),$CT231))</f>
        <v/>
      </c>
      <c r="CV231" s="9"/>
      <c r="CW231" s="106" t="n">
        <f aca="false">IF(OR(ISNUMBER($CT231),$CT231=Constants!$B$11,$CT231=Constants!$B$9,$CT231=Constants!$B$10),1,0)</f>
        <v>0</v>
      </c>
      <c r="CX231" s="106" t="n">
        <v>223</v>
      </c>
      <c r="CY231" s="106" t="str">
        <f aca="false">IF(ISBLANK($C231),"",IF(ISNUMBER($CU231),$CU231+ROW($B231)/1000,""))</f>
        <v/>
      </c>
      <c r="CZ231" s="106" t="str">
        <f aca="false">IF(ISNUMBER($CY231),RANK($CY231,$CY$9:$CY$508,1),"")</f>
        <v/>
      </c>
      <c r="DA231" s="106" t="str">
        <f aca="false">IF(ISBLANK($C231),"",$B231)</f>
        <v/>
      </c>
      <c r="DB231" s="106" t="str">
        <f aca="false">IF(ISBLANK($C231),"",$C231)</f>
        <v/>
      </c>
      <c r="DC231" s="106" t="str">
        <f aca="false">IF(ISBLANK($C231),"",$D231)</f>
        <v/>
      </c>
      <c r="DD231" s="107" t="str">
        <f aca="false">$CR231</f>
        <v/>
      </c>
      <c r="DE231" s="108" t="str">
        <f aca="false">$CQ231</f>
        <v/>
      </c>
      <c r="DF231" s="106" t="str">
        <f aca="false">IF(ISBLANK($C231),"",$CT231)</f>
        <v/>
      </c>
      <c r="DG231" s="109" t="str">
        <f aca="false">IF($CX231&gt;$CW$8,"",VLOOKUP($CX231,$CZ$9:$DF$508,7,FALSE()))</f>
        <v/>
      </c>
      <c r="DH231" s="110" t="str">
        <f aca="false">IF($CX231&gt;$CW$8,"",VLOOKUP($CX231,$CZ$9:$DF$508,2,FALSE()))</f>
        <v/>
      </c>
      <c r="DI231" s="110" t="str">
        <f aca="false">IF($CX231&gt;$CW$8,"",VLOOKUP($CX231,$CZ$9:$DF$508,3,FALSE()))</f>
        <v/>
      </c>
      <c r="DJ231" s="110" t="str">
        <f aca="false">IF($CX231&gt;$CW$8,"",VLOOKUP($CX231,$CZ$9:$DF$508,4,FALSE()))</f>
        <v/>
      </c>
      <c r="DK231" s="110" t="str">
        <f aca="false">IF($CX231&gt;$CW$8,"",VLOOKUP($CX231,$CZ$9:$DF$508,5,FALSE()))</f>
        <v/>
      </c>
      <c r="DL231" s="111" t="str">
        <f aca="false">IF($CX231&gt;$CW$8,"",VLOOKUP($CX231,$CZ$9:$DF$508,6,FALSE()))</f>
        <v/>
      </c>
      <c r="DM231" s="75"/>
    </row>
    <row r="232" customFormat="false" ht="15.75" hidden="false" customHeight="false" outlineLevel="0" collapsed="false">
      <c r="A232" s="9"/>
      <c r="B232" s="77"/>
      <c r="C232" s="78"/>
      <c r="D232" s="167"/>
      <c r="E232" s="175"/>
      <c r="F232" s="169"/>
      <c r="G232" s="170"/>
      <c r="H232" s="170"/>
      <c r="I232" s="176"/>
      <c r="J232" s="173"/>
      <c r="K232" s="85"/>
      <c r="L232" s="86"/>
      <c r="M232" s="87"/>
      <c r="N232" s="173"/>
      <c r="O232" s="173"/>
      <c r="P232" s="175"/>
      <c r="Q232" s="173"/>
      <c r="R232" s="173"/>
      <c r="S232" s="85"/>
      <c r="T232" s="87"/>
      <c r="U232" s="87"/>
      <c r="V232" s="173"/>
      <c r="W232" s="173"/>
      <c r="X232" s="175"/>
      <c r="Y232" s="173"/>
      <c r="Z232" s="174"/>
      <c r="AA232" s="173"/>
      <c r="AB232" s="91"/>
      <c r="AC232" s="92"/>
      <c r="AD232" s="92"/>
      <c r="AE232" s="92"/>
      <c r="AF232" s="92" t="str">
        <f aca="false">IF(ISBLANK($C232),"",IF(E232=Constants!$B$3,TRUE(),IF(E232=Constants!$B$4,FALSE(),TRUE())))</f>
        <v/>
      </c>
      <c r="AG232" s="92" t="str">
        <f aca="false">IF(ISBLANK($C232),"",IF(F232=Constants!$B$3,TRUE(),IF(F232=Constants!$B$4,FALSE(),TRUE())))</f>
        <v/>
      </c>
      <c r="AH232" s="92" t="str">
        <f aca="false">IF(ISBLANK($C232),"",IF(G232=Constants!$B$3,TRUE(),IF(G232=Constants!$B$4,FALSE(),TRUE())))</f>
        <v/>
      </c>
      <c r="AI232" s="92" t="str">
        <f aca="false">IF(ISBLANK($C232),"",IF(AND(ISNUMBER(H232),H232&gt;=0),H232,Constants!$B$29))</f>
        <v/>
      </c>
      <c r="AJ232" s="92" t="str">
        <f aca="false">IF(ISBLANK($C232),"",IF(I232=Constants!$B$3,TRUE(),IF(I232=Constants!$B$4,FALSE(),TRUE())))</f>
        <v/>
      </c>
      <c r="AK232" s="92" t="str">
        <f aca="false">IF(ISBLANK($C232),"",IF(J232=Constants!$B$3,TRUE(),IF(J232=Constants!$B$4,FALSE(),TRUE())))</f>
        <v/>
      </c>
      <c r="AL232" s="92" t="str">
        <f aca="false">IF(ISBLANK($C232),"",IF(K232=Constants!$B$5,TRUE(),IF(K232=Constants!$B$6,FALSE(),COUNTA(L232:P232)&gt;0)))</f>
        <v/>
      </c>
      <c r="AM232" s="94" t="str">
        <f aca="false">IF(ISBLANK($C232),"",IF(ISNUMBER(L232),IF(L232&gt;=0,L232,""),""))</f>
        <v/>
      </c>
      <c r="AN232" s="93" t="str">
        <f aca="false">IF(ISBLANK($C232),"",IF(ISNUMBER(M232),IF(M232&gt;=0,M232,""),""))</f>
        <v/>
      </c>
      <c r="AO232" s="93" t="str">
        <f aca="false">IF(ISBLANK($C232),"",IF(N232=Constants!$B$3,TRUE(),IF(N232=Constants!$B$4,FALSE(),TRUE())))</f>
        <v/>
      </c>
      <c r="AP232" s="92" t="str">
        <f aca="false">IF(ISBLANK($C232),"",IF(ISNUMBER(O232),IF(O232&gt;=0,O232,""),""))</f>
        <v/>
      </c>
      <c r="AQ232" s="92" t="str">
        <f aca="false">IF(ISBLANK($C232),"",IF(P232=Constants!$B$3,TRUE(),IF(P232=Constants!$B$4,FALSE(),FALSE())))</f>
        <v/>
      </c>
      <c r="AR232" s="92" t="str">
        <f aca="false">IF(ISBLANK($C232),"",IF(Q232=Constants!$B$3,TRUE(),IF(Q232=Constants!$B$4,FALSE(),TRUE())))</f>
        <v/>
      </c>
      <c r="AS232" s="92" t="str">
        <f aca="false">IF(ISBLANK($C232),"",IF(R232=Constants!$B$3,TRUE(),IF(R232=Constants!$B$4,FALSE(),TRUE())))</f>
        <v/>
      </c>
      <c r="AT232" s="92" t="str">
        <f aca="false">IF(ISBLANK($C232),"",IF(S232=Constants!$B$5,TRUE(),IF(S232=Constants!$B$6,FALSE(),COUNTA(T232:X232)&gt;0)))</f>
        <v/>
      </c>
      <c r="AU232" s="94" t="str">
        <f aca="false">IF(ISBLANK($C232),"",IF(ISNUMBER(T232),IF(T232&gt;=0,T232,""),""))</f>
        <v/>
      </c>
      <c r="AV232" s="93" t="str">
        <f aca="false">IF(ISBLANK($C232),"",IF(ISNUMBER(U232),IF(U232&gt;=0,U232,""),""))</f>
        <v/>
      </c>
      <c r="AW232" s="93" t="str">
        <f aca="false">IF(ISBLANK($C232),"",IF(V232=Constants!$B$3,TRUE(),IF(V232=Constants!$B$4,FALSE(),TRUE())))</f>
        <v/>
      </c>
      <c r="AX232" s="92" t="str">
        <f aca="false">IF(ISBLANK($C232),"",IF(ISNUMBER(W232),IF(W232&gt;=0,W232,""),""))</f>
        <v/>
      </c>
      <c r="AY232" s="92" t="str">
        <f aca="false">IF(ISBLANK($C232),"",IF(X232=Constants!$B$3,TRUE(),IF(X232=Constants!$B$4,FALSE(),FALSE())))</f>
        <v/>
      </c>
      <c r="AZ232" s="92" t="str">
        <f aca="false">IF(ISBLANK($C232),"",MIN(Constants!$B$31,MAX(0,IF(ISNUMBER(Y232),Y232*60,0)+IF(ISNUMBER(Z232),Z232,0))))</f>
        <v/>
      </c>
      <c r="BA232" s="92" t="str">
        <f aca="false">IF(ISBLANK($C232),"",IF(AA232=Constants!$B$3,TRUE(),IF(AA232=Constants!$B$4,FALSE(),FALSE())))</f>
        <v/>
      </c>
      <c r="BB232" s="91" t="str">
        <f aca="false">IF(ISBLANK($C232),"",AND($AL232,OR($AM232="",$AN232="",AND($AO232,$AP232=""))))</f>
        <v/>
      </c>
      <c r="BC232" s="93" t="str">
        <f aca="false">IF($BR232&lt;&gt;Constants!$B$8,"",IF($AL232,Constants!$B$21*$AN232+Constants!$B$22*IF($AO232,$AP232,Constants!$B$23),Constants!$B$24))</f>
        <v/>
      </c>
      <c r="BD232" s="96" t="str">
        <f aca="false">IF($BR232&lt;&gt;Constants!$B$8,"",Constants!$B$25*ABS($AD$9-IF($AL232,$AM232,0)))</f>
        <v/>
      </c>
      <c r="BE232" s="96" t="str">
        <f aca="false">IF($BR232&lt;&gt;Constants!$B$8,"",IF(AND($AL232,$AQ232,$AO232),Constants!$B$27,0))</f>
        <v/>
      </c>
      <c r="BF232" s="96" t="str">
        <f aca="false">IF($BR232&lt;&gt;Constants!$B$8,"",IF($AL232,($AI232-Constants!$B$29)*Constants!$B$28,0))</f>
        <v/>
      </c>
      <c r="BG232" s="96" t="str">
        <f aca="false">IF($BR232&lt;&gt;Constants!$B$8,"",IF($AK232,0,Constants!$B$15)+IF($AJ232,0,Constants!$B$16)+IF($AH232,0,Constants!$B$17))</f>
        <v/>
      </c>
      <c r="BH232" s="97" t="str">
        <f aca="false">IF($BR232&lt;&gt;Constants!$B$8,"",Constants!$B$20+SUM($BC232:$BG232))</f>
        <v/>
      </c>
      <c r="BI232" s="92" t="str">
        <f aca="false">IF($BR232&lt;&gt;Constants!$B$8,"",IF(OR($BP232&lt;$BH232,AND($BP232=$BH232,OR($BK232&lt;$BC232,AND($BK232=$BC232,OR($BL232&lt;$BD232,AND($BL232=$BD232,$AT232,$AL232,$AV232&lt;$AN232)))))),"-&gt;","&lt;-"))</f>
        <v/>
      </c>
      <c r="BJ232" s="91" t="str">
        <f aca="false">IF(ISBLANK($C232),"",AND($AT232,OR($AU232="",$AV232="",AND($AW232,$AX232=""))))</f>
        <v/>
      </c>
      <c r="BK232" s="93" t="str">
        <f aca="false">IF($BR232&lt;&gt;Constants!$B$8,"",IF($AT232,Constants!$B$21*$AV232+Constants!$B$22*IF($AW232,$AX232,Constants!$B$23),Constants!$B$24))</f>
        <v/>
      </c>
      <c r="BL232" s="96" t="str">
        <f aca="false">IF($BR232&lt;&gt;Constants!$B$8,"",Constants!$B$25*ABS($AD$9-IF($AT232,$AU232,0)))</f>
        <v/>
      </c>
      <c r="BM232" s="96" t="str">
        <f aca="false">IF($BR232&lt;&gt;Constants!$B$8,"",IF(AND($AT232,$AY232,$AW232),Constants!$B$27,0))</f>
        <v/>
      </c>
      <c r="BN232" s="96" t="str">
        <f aca="false">IF($BR232&lt;&gt;Constants!$B$8,"",IF($AT232,($AI232-Constants!$B$29)*Constants!$B$28,0))</f>
        <v/>
      </c>
      <c r="BO232" s="96" t="str">
        <f aca="false">IF($BR232&lt;&gt;Constants!$B$8,"",IF($AS232,0,Constants!$B$15)+IF($AR232,0,Constants!$B$16)+IF($AH232,0,Constants!$B$17))</f>
        <v/>
      </c>
      <c r="BP232" s="97" t="str">
        <f aca="false">IF($BR232&lt;&gt;Constants!$B$8,"",Constants!$B$20+SUM($BK232:$BO232))</f>
        <v/>
      </c>
      <c r="BQ232" s="92" t="str">
        <f aca="false">IF(ISBLANK($C232),"",IF(ISBLANK($D$7),$BQ$5,IF(NOT(ISNUMBER($D$7)),$BQ$6,"")))</f>
        <v/>
      </c>
      <c r="BR232" s="92" t="str">
        <f aca="false">IF(ISBLANK($C232),"",IF($BA232,Constants!$B$11,IF(COUNTA($E232:$AA232)=0,Constants!$B$10,IF(NOT($AG232),Constants!$B$9,IF(OR($BQ232&lt;&gt;"",$BB232,$BJ232),Constants!$B$12,Constants!$B$8)))))</f>
        <v/>
      </c>
      <c r="BS232" s="92" t="str">
        <f aca="false">IF(ISBLANK($C232),"",IF($BR232&lt;&gt;Constants!$B$8,$BR232,Constants!$B$13))</f>
        <v/>
      </c>
      <c r="BT232" s="96" t="str">
        <f aca="false">IF($BR232&lt;&gt;Constants!$B$8,"",IF($BI232="-&gt;",$BP232,$BH232))</f>
        <v/>
      </c>
      <c r="BU232" s="96" t="str">
        <f aca="false">IF($BR232&lt;&gt;Constants!$B$8,"",IF($AF232,0,Constants!$B$18))</f>
        <v/>
      </c>
      <c r="BV232" s="96" t="str">
        <f aca="false">IF($BR232&lt;&gt;Constants!$B$8,"",((Constants!$B$31-$AZ232)-Constants!$B$31)/Constants!$B$32)</f>
        <v/>
      </c>
      <c r="BW232" s="96" t="str">
        <f aca="false">IF(ISBLANK($C232),"",IF($BR232&lt;&gt;Constants!$B$8,$BR232,SUM($BT232:$BV232)))</f>
        <v/>
      </c>
      <c r="BX232" s="92" t="str">
        <f aca="false">IF(ISBLANK($C232),"",IF($BR232&lt;&gt;Constants!$B$8,$BR232,RANK($BW232,$BW$9:$BW$508,1)))</f>
        <v/>
      </c>
      <c r="BY232" s="96" t="str">
        <f aca="false">IF($BR232&lt;&gt;Constants!$B$8,"",IF($BI232="-&gt;",$BK232,$BC232))</f>
        <v/>
      </c>
      <c r="BZ232" s="92" t="str">
        <f aca="false">IF(ISBLANK($C232),"",IF($BR232&lt;&gt;Constants!$B$8,$BR232,IF(ISNUMBER($BY232),RANK($BY232,$BY$9:$BY$508,1),COUNT($BY$9:$BY$508)+1)))</f>
        <v/>
      </c>
      <c r="CA232" s="96" t="str">
        <f aca="false">IF($BR232&lt;&gt;Constants!$B$8,"",IF($BI232="-&gt;",$BL232,$BD232))</f>
        <v/>
      </c>
      <c r="CB232" s="92" t="str">
        <f aca="false">IF(ISBLANK($C232),"",IF($BR232&lt;&gt;Constants!$B$8,$BR232,IF(ISNUMBER($CA232),RANK($CA232,$CA$9:$CA$508,1),COUNT($CA$9:$CA$508)+1)))</f>
        <v/>
      </c>
      <c r="CC232" s="96" t="str">
        <f aca="false">IF($BR232&lt;&gt;Constants!$B$8,"",IF($BI232="-&gt;",IF($AT232,$AV232,""),IF($AL232,$AN232,"")))</f>
        <v/>
      </c>
      <c r="CD232" s="92" t="str">
        <f aca="false">IF(ISBLANK($C232),"",IF($BR232&lt;&gt;Constants!$B$8,$BR232,IF(ISNUMBER($CC232),RANK($CC232,$CC$9:$CC$508,1),COUNT($CC$9:$CC$508)+1)))</f>
        <v/>
      </c>
      <c r="CE232" s="96" t="str">
        <f aca="false">IF($BR232&lt;&gt;Constants!$B$8,"",IF(AND(NOT($AL232),NOT($AT232),$AJ232,$AK232,$AR232,$AS232),"",$AI232))</f>
        <v/>
      </c>
      <c r="CF232" s="92" t="str">
        <f aca="false">IF(ISBLANK($C232),"",IF($BR232&lt;&gt;Constants!$B$8,$BR232,IF(ISNUMBER($CE232),RANK($CE232,$CE$9:$CE$508,1),COUNT($CE$9:$CE$508)+1)))</f>
        <v/>
      </c>
      <c r="CG232" s="92" t="str">
        <f aca="false">IF(ISBLANK($C232),"",IF($BR232&lt;&gt;Constants!$B$8,$BR232,COUNTIFS($BX$9:$BX$508,"&lt;"&amp;$BX232)+COUNTIFS($BX$9:$BX$508,$BX232,$BZ$9:$BZ$508,"&lt;"&amp;$BZ232)+COUNTIFS($BX$9:$BX$508,$BX232,$BZ$9:$BZ$508,$BZ232,$CB$9:$CB$508,"&lt;"&amp;$CB232)+COUNTIFS($BX$9:$BX$508,$BX232,$BZ$9:$BZ$508,$BZ232,$CB$9:$CB$508,$CB232,$CD$9:$CD$508,"&lt;"&amp;$CD232)+COUNTIFS($BX$9:$BX$508,$BX232,$BZ$9:$BZ$508,$BZ232,$CB$9:$CB$508,$CB232,$CD$9:$CD$508,$CD232,$CF$9:$CF$508,"&lt;"&amp;$CF232)+1))</f>
        <v/>
      </c>
      <c r="CH232" s="92" t="str">
        <f aca="false">IF(ISBLANK($C232),"",IF($BR232&lt;&gt;Constants!$B$8,$BR232,$BX232-$CG232))</f>
        <v/>
      </c>
      <c r="CI232" s="98"/>
      <c r="CJ232" s="99"/>
      <c r="CK232" s="100" t="str">
        <f aca="false">IF(ISBLANK($C232),"",IF($BR232=Constants!$B$12,$BQ232,""))</f>
        <v/>
      </c>
      <c r="CL232" s="99" t="str">
        <f aca="false">IF(ISBLANK($C232),"",IF($BR232&lt;&gt;Constants!$B$8,"",IF($BI232="-&gt;",2,1)))</f>
        <v/>
      </c>
      <c r="CM232" s="101" t="str">
        <f aca="false">IF(ISBLANK($C232),"",IF($BR232&lt;&gt;Constants!$B$8,"",IF($BI232="-&gt;",$BK232,$BC232)))</f>
        <v/>
      </c>
      <c r="CN232" s="101" t="str">
        <f aca="false">IF(ISBLANK($C232),"",IF($BR232&lt;&gt;Constants!$B$8,"",IF($BI232="-&gt;",$BL232,$BD232)))</f>
        <v/>
      </c>
      <c r="CO232" s="101" t="str">
        <f aca="false">IF(ISBLANK($C232),"",IF($BR232&lt;&gt;Constants!$B$8,"",IF($BI232="-&gt;",$BM232+$BN232,$BE232+$BF232)+$BV232))</f>
        <v/>
      </c>
      <c r="CP232" s="101" t="str">
        <f aca="false">IF(ISBLANK($C232),"",IF($BR232&lt;&gt;Constants!$B$8,"",IF($BI232="-&gt;",$BO232,$BG232)+$BU232))</f>
        <v/>
      </c>
      <c r="CQ232" s="102" t="str">
        <f aca="false">IF(ISBLANK($C232),"",IF($BR232&lt;&gt;Constants!$B$8,$BR232,$BW232))</f>
        <v/>
      </c>
      <c r="CR232" s="103" t="str">
        <f aca="false">IF(ISBLANK($C232),"",$BS232)</f>
        <v/>
      </c>
      <c r="CS232" s="104" t="str">
        <f aca="false">IF(ISBLANK($C232),"",$CH232)</f>
        <v/>
      </c>
      <c r="CT232" s="104" t="str">
        <f aca="false">IF(ISBLANK($C232),"",$CG232)</f>
        <v/>
      </c>
      <c r="CU232" s="105" t="str">
        <f aca="false">IF(ISBLANK($C232),"",IFERROR(_xlfn.SWITCH($CT232,Constants!$B$11,COUNTA($C$9:$C$508)+2,Constants!$B$10,COUNTA($C$9:$C$508)+1,Constants!$B$9,COUNTA($C$9:$C$508)),$CT232))</f>
        <v/>
      </c>
      <c r="CV232" s="9"/>
      <c r="CW232" s="106" t="n">
        <f aca="false">IF(OR(ISNUMBER($CT232),$CT232=Constants!$B$11,$CT232=Constants!$B$9,$CT232=Constants!$B$10),1,0)</f>
        <v>0</v>
      </c>
      <c r="CX232" s="106" t="n">
        <v>224</v>
      </c>
      <c r="CY232" s="106" t="str">
        <f aca="false">IF(ISBLANK($C232),"",IF(ISNUMBER($CU232),$CU232+ROW($B232)/1000,""))</f>
        <v/>
      </c>
      <c r="CZ232" s="106" t="str">
        <f aca="false">IF(ISNUMBER($CY232),RANK($CY232,$CY$9:$CY$508,1),"")</f>
        <v/>
      </c>
      <c r="DA232" s="106" t="str">
        <f aca="false">IF(ISBLANK($C232),"",$B232)</f>
        <v/>
      </c>
      <c r="DB232" s="106" t="str">
        <f aca="false">IF(ISBLANK($C232),"",$C232)</f>
        <v/>
      </c>
      <c r="DC232" s="106" t="str">
        <f aca="false">IF(ISBLANK($C232),"",$D232)</f>
        <v/>
      </c>
      <c r="DD232" s="107" t="str">
        <f aca="false">$CR232</f>
        <v/>
      </c>
      <c r="DE232" s="108" t="str">
        <f aca="false">$CQ232</f>
        <v/>
      </c>
      <c r="DF232" s="106" t="str">
        <f aca="false">IF(ISBLANK($C232),"",$CT232)</f>
        <v/>
      </c>
      <c r="DG232" s="109" t="str">
        <f aca="false">IF($CX232&gt;$CW$8,"",VLOOKUP($CX232,$CZ$9:$DF$508,7,FALSE()))</f>
        <v/>
      </c>
      <c r="DH232" s="110" t="str">
        <f aca="false">IF($CX232&gt;$CW$8,"",VLOOKUP($CX232,$CZ$9:$DF$508,2,FALSE()))</f>
        <v/>
      </c>
      <c r="DI232" s="110" t="str">
        <f aca="false">IF($CX232&gt;$CW$8,"",VLOOKUP($CX232,$CZ$9:$DF$508,3,FALSE()))</f>
        <v/>
      </c>
      <c r="DJ232" s="110" t="str">
        <f aca="false">IF($CX232&gt;$CW$8,"",VLOOKUP($CX232,$CZ$9:$DF$508,4,FALSE()))</f>
        <v/>
      </c>
      <c r="DK232" s="110" t="str">
        <f aca="false">IF($CX232&gt;$CW$8,"",VLOOKUP($CX232,$CZ$9:$DF$508,5,FALSE()))</f>
        <v/>
      </c>
      <c r="DL232" s="111" t="str">
        <f aca="false">IF($CX232&gt;$CW$8,"",VLOOKUP($CX232,$CZ$9:$DF$508,6,FALSE()))</f>
        <v/>
      </c>
      <c r="DM232" s="75"/>
    </row>
    <row r="233" customFormat="false" ht="15.75" hidden="false" customHeight="false" outlineLevel="0" collapsed="false">
      <c r="A233" s="9"/>
      <c r="B233" s="77"/>
      <c r="C233" s="78"/>
      <c r="D233" s="167"/>
      <c r="E233" s="175"/>
      <c r="F233" s="169"/>
      <c r="G233" s="170"/>
      <c r="H233" s="170"/>
      <c r="I233" s="176"/>
      <c r="J233" s="173"/>
      <c r="K233" s="85"/>
      <c r="L233" s="86"/>
      <c r="M233" s="87"/>
      <c r="N233" s="173"/>
      <c r="O233" s="173"/>
      <c r="P233" s="175"/>
      <c r="Q233" s="173"/>
      <c r="R233" s="173"/>
      <c r="S233" s="85"/>
      <c r="T233" s="87"/>
      <c r="U233" s="87"/>
      <c r="V233" s="173"/>
      <c r="W233" s="173"/>
      <c r="X233" s="175"/>
      <c r="Y233" s="173"/>
      <c r="Z233" s="174"/>
      <c r="AA233" s="173"/>
      <c r="AB233" s="91"/>
      <c r="AC233" s="92"/>
      <c r="AD233" s="92"/>
      <c r="AE233" s="92"/>
      <c r="AF233" s="92" t="str">
        <f aca="false">IF(ISBLANK($C233),"",IF(E233=Constants!$B$3,TRUE(),IF(E233=Constants!$B$4,FALSE(),TRUE())))</f>
        <v/>
      </c>
      <c r="AG233" s="92" t="str">
        <f aca="false">IF(ISBLANK($C233),"",IF(F233=Constants!$B$3,TRUE(),IF(F233=Constants!$B$4,FALSE(),TRUE())))</f>
        <v/>
      </c>
      <c r="AH233" s="92" t="str">
        <f aca="false">IF(ISBLANK($C233),"",IF(G233=Constants!$B$3,TRUE(),IF(G233=Constants!$B$4,FALSE(),TRUE())))</f>
        <v/>
      </c>
      <c r="AI233" s="92" t="str">
        <f aca="false">IF(ISBLANK($C233),"",IF(AND(ISNUMBER(H233),H233&gt;=0),H233,Constants!$B$29))</f>
        <v/>
      </c>
      <c r="AJ233" s="92" t="str">
        <f aca="false">IF(ISBLANK($C233),"",IF(I233=Constants!$B$3,TRUE(),IF(I233=Constants!$B$4,FALSE(),TRUE())))</f>
        <v/>
      </c>
      <c r="AK233" s="92" t="str">
        <f aca="false">IF(ISBLANK($C233),"",IF(J233=Constants!$B$3,TRUE(),IF(J233=Constants!$B$4,FALSE(),TRUE())))</f>
        <v/>
      </c>
      <c r="AL233" s="92" t="str">
        <f aca="false">IF(ISBLANK($C233),"",IF(K233=Constants!$B$5,TRUE(),IF(K233=Constants!$B$6,FALSE(),COUNTA(L233:P233)&gt;0)))</f>
        <v/>
      </c>
      <c r="AM233" s="94" t="str">
        <f aca="false">IF(ISBLANK($C233),"",IF(ISNUMBER(L233),IF(L233&gt;=0,L233,""),""))</f>
        <v/>
      </c>
      <c r="AN233" s="93" t="str">
        <f aca="false">IF(ISBLANK($C233),"",IF(ISNUMBER(M233),IF(M233&gt;=0,M233,""),""))</f>
        <v/>
      </c>
      <c r="AO233" s="93" t="str">
        <f aca="false">IF(ISBLANK($C233),"",IF(N233=Constants!$B$3,TRUE(),IF(N233=Constants!$B$4,FALSE(),TRUE())))</f>
        <v/>
      </c>
      <c r="AP233" s="92" t="str">
        <f aca="false">IF(ISBLANK($C233),"",IF(ISNUMBER(O233),IF(O233&gt;=0,O233,""),""))</f>
        <v/>
      </c>
      <c r="AQ233" s="92" t="str">
        <f aca="false">IF(ISBLANK($C233),"",IF(P233=Constants!$B$3,TRUE(),IF(P233=Constants!$B$4,FALSE(),FALSE())))</f>
        <v/>
      </c>
      <c r="AR233" s="92" t="str">
        <f aca="false">IF(ISBLANK($C233),"",IF(Q233=Constants!$B$3,TRUE(),IF(Q233=Constants!$B$4,FALSE(),TRUE())))</f>
        <v/>
      </c>
      <c r="AS233" s="92" t="str">
        <f aca="false">IF(ISBLANK($C233),"",IF(R233=Constants!$B$3,TRUE(),IF(R233=Constants!$B$4,FALSE(),TRUE())))</f>
        <v/>
      </c>
      <c r="AT233" s="92" t="str">
        <f aca="false">IF(ISBLANK($C233),"",IF(S233=Constants!$B$5,TRUE(),IF(S233=Constants!$B$6,FALSE(),COUNTA(T233:X233)&gt;0)))</f>
        <v/>
      </c>
      <c r="AU233" s="94" t="str">
        <f aca="false">IF(ISBLANK($C233),"",IF(ISNUMBER(T233),IF(T233&gt;=0,T233,""),""))</f>
        <v/>
      </c>
      <c r="AV233" s="93" t="str">
        <f aca="false">IF(ISBLANK($C233),"",IF(ISNUMBER(U233),IF(U233&gt;=0,U233,""),""))</f>
        <v/>
      </c>
      <c r="AW233" s="93" t="str">
        <f aca="false">IF(ISBLANK($C233),"",IF(V233=Constants!$B$3,TRUE(),IF(V233=Constants!$B$4,FALSE(),TRUE())))</f>
        <v/>
      </c>
      <c r="AX233" s="92" t="str">
        <f aca="false">IF(ISBLANK($C233),"",IF(ISNUMBER(W233),IF(W233&gt;=0,W233,""),""))</f>
        <v/>
      </c>
      <c r="AY233" s="92" t="str">
        <f aca="false">IF(ISBLANK($C233),"",IF(X233=Constants!$B$3,TRUE(),IF(X233=Constants!$B$4,FALSE(),FALSE())))</f>
        <v/>
      </c>
      <c r="AZ233" s="92" t="str">
        <f aca="false">IF(ISBLANK($C233),"",MIN(Constants!$B$31,MAX(0,IF(ISNUMBER(Y233),Y233*60,0)+IF(ISNUMBER(Z233),Z233,0))))</f>
        <v/>
      </c>
      <c r="BA233" s="92" t="str">
        <f aca="false">IF(ISBLANK($C233),"",IF(AA233=Constants!$B$3,TRUE(),IF(AA233=Constants!$B$4,FALSE(),FALSE())))</f>
        <v/>
      </c>
      <c r="BB233" s="91" t="str">
        <f aca="false">IF(ISBLANK($C233),"",AND($AL233,OR($AM233="",$AN233="",AND($AO233,$AP233=""))))</f>
        <v/>
      </c>
      <c r="BC233" s="93" t="str">
        <f aca="false">IF($BR233&lt;&gt;Constants!$B$8,"",IF($AL233,Constants!$B$21*$AN233+Constants!$B$22*IF($AO233,$AP233,Constants!$B$23),Constants!$B$24))</f>
        <v/>
      </c>
      <c r="BD233" s="96" t="str">
        <f aca="false">IF($BR233&lt;&gt;Constants!$B$8,"",Constants!$B$25*ABS($AD$9-IF($AL233,$AM233,0)))</f>
        <v/>
      </c>
      <c r="BE233" s="96" t="str">
        <f aca="false">IF($BR233&lt;&gt;Constants!$B$8,"",IF(AND($AL233,$AQ233,$AO233),Constants!$B$27,0))</f>
        <v/>
      </c>
      <c r="BF233" s="96" t="str">
        <f aca="false">IF($BR233&lt;&gt;Constants!$B$8,"",IF($AL233,($AI233-Constants!$B$29)*Constants!$B$28,0))</f>
        <v/>
      </c>
      <c r="BG233" s="96" t="str">
        <f aca="false">IF($BR233&lt;&gt;Constants!$B$8,"",IF($AK233,0,Constants!$B$15)+IF($AJ233,0,Constants!$B$16)+IF($AH233,0,Constants!$B$17))</f>
        <v/>
      </c>
      <c r="BH233" s="97" t="str">
        <f aca="false">IF($BR233&lt;&gt;Constants!$B$8,"",Constants!$B$20+SUM($BC233:$BG233))</f>
        <v/>
      </c>
      <c r="BI233" s="92" t="str">
        <f aca="false">IF($BR233&lt;&gt;Constants!$B$8,"",IF(OR($BP233&lt;$BH233,AND($BP233=$BH233,OR($BK233&lt;$BC233,AND($BK233=$BC233,OR($BL233&lt;$BD233,AND($BL233=$BD233,$AT233,$AL233,$AV233&lt;$AN233)))))),"-&gt;","&lt;-"))</f>
        <v/>
      </c>
      <c r="BJ233" s="91" t="str">
        <f aca="false">IF(ISBLANK($C233),"",AND($AT233,OR($AU233="",$AV233="",AND($AW233,$AX233=""))))</f>
        <v/>
      </c>
      <c r="BK233" s="93" t="str">
        <f aca="false">IF($BR233&lt;&gt;Constants!$B$8,"",IF($AT233,Constants!$B$21*$AV233+Constants!$B$22*IF($AW233,$AX233,Constants!$B$23),Constants!$B$24))</f>
        <v/>
      </c>
      <c r="BL233" s="96" t="str">
        <f aca="false">IF($BR233&lt;&gt;Constants!$B$8,"",Constants!$B$25*ABS($AD$9-IF($AT233,$AU233,0)))</f>
        <v/>
      </c>
      <c r="BM233" s="96" t="str">
        <f aca="false">IF($BR233&lt;&gt;Constants!$B$8,"",IF(AND($AT233,$AY233,$AW233),Constants!$B$27,0))</f>
        <v/>
      </c>
      <c r="BN233" s="96" t="str">
        <f aca="false">IF($BR233&lt;&gt;Constants!$B$8,"",IF($AT233,($AI233-Constants!$B$29)*Constants!$B$28,0))</f>
        <v/>
      </c>
      <c r="BO233" s="96" t="str">
        <f aca="false">IF($BR233&lt;&gt;Constants!$B$8,"",IF($AS233,0,Constants!$B$15)+IF($AR233,0,Constants!$B$16)+IF($AH233,0,Constants!$B$17))</f>
        <v/>
      </c>
      <c r="BP233" s="97" t="str">
        <f aca="false">IF($BR233&lt;&gt;Constants!$B$8,"",Constants!$B$20+SUM($BK233:$BO233))</f>
        <v/>
      </c>
      <c r="BQ233" s="92" t="str">
        <f aca="false">IF(ISBLANK($C233),"",IF(ISBLANK($D$7),$BQ$5,IF(NOT(ISNUMBER($D$7)),$BQ$6,"")))</f>
        <v/>
      </c>
      <c r="BR233" s="92" t="str">
        <f aca="false">IF(ISBLANK($C233),"",IF($BA233,Constants!$B$11,IF(COUNTA($E233:$AA233)=0,Constants!$B$10,IF(NOT($AG233),Constants!$B$9,IF(OR($BQ233&lt;&gt;"",$BB233,$BJ233),Constants!$B$12,Constants!$B$8)))))</f>
        <v/>
      </c>
      <c r="BS233" s="92" t="str">
        <f aca="false">IF(ISBLANK($C233),"",IF($BR233&lt;&gt;Constants!$B$8,$BR233,Constants!$B$13))</f>
        <v/>
      </c>
      <c r="BT233" s="96" t="str">
        <f aca="false">IF($BR233&lt;&gt;Constants!$B$8,"",IF($BI233="-&gt;",$BP233,$BH233))</f>
        <v/>
      </c>
      <c r="BU233" s="96" t="str">
        <f aca="false">IF($BR233&lt;&gt;Constants!$B$8,"",IF($AF233,0,Constants!$B$18))</f>
        <v/>
      </c>
      <c r="BV233" s="96" t="str">
        <f aca="false">IF($BR233&lt;&gt;Constants!$B$8,"",((Constants!$B$31-$AZ233)-Constants!$B$31)/Constants!$B$32)</f>
        <v/>
      </c>
      <c r="BW233" s="96" t="str">
        <f aca="false">IF(ISBLANK($C233),"",IF($BR233&lt;&gt;Constants!$B$8,$BR233,SUM($BT233:$BV233)))</f>
        <v/>
      </c>
      <c r="BX233" s="92" t="str">
        <f aca="false">IF(ISBLANK($C233),"",IF($BR233&lt;&gt;Constants!$B$8,$BR233,RANK($BW233,$BW$9:$BW$508,1)))</f>
        <v/>
      </c>
      <c r="BY233" s="96" t="str">
        <f aca="false">IF($BR233&lt;&gt;Constants!$B$8,"",IF($BI233="-&gt;",$BK233,$BC233))</f>
        <v/>
      </c>
      <c r="BZ233" s="92" t="str">
        <f aca="false">IF(ISBLANK($C233),"",IF($BR233&lt;&gt;Constants!$B$8,$BR233,IF(ISNUMBER($BY233),RANK($BY233,$BY$9:$BY$508,1),COUNT($BY$9:$BY$508)+1)))</f>
        <v/>
      </c>
      <c r="CA233" s="96" t="str">
        <f aca="false">IF($BR233&lt;&gt;Constants!$B$8,"",IF($BI233="-&gt;",$BL233,$BD233))</f>
        <v/>
      </c>
      <c r="CB233" s="92" t="str">
        <f aca="false">IF(ISBLANK($C233),"",IF($BR233&lt;&gt;Constants!$B$8,$BR233,IF(ISNUMBER($CA233),RANK($CA233,$CA$9:$CA$508,1),COUNT($CA$9:$CA$508)+1)))</f>
        <v/>
      </c>
      <c r="CC233" s="96" t="str">
        <f aca="false">IF($BR233&lt;&gt;Constants!$B$8,"",IF($BI233="-&gt;",IF($AT233,$AV233,""),IF($AL233,$AN233,"")))</f>
        <v/>
      </c>
      <c r="CD233" s="92" t="str">
        <f aca="false">IF(ISBLANK($C233),"",IF($BR233&lt;&gt;Constants!$B$8,$BR233,IF(ISNUMBER($CC233),RANK($CC233,$CC$9:$CC$508,1),COUNT($CC$9:$CC$508)+1)))</f>
        <v/>
      </c>
      <c r="CE233" s="96" t="str">
        <f aca="false">IF($BR233&lt;&gt;Constants!$B$8,"",IF(AND(NOT($AL233),NOT($AT233),$AJ233,$AK233,$AR233,$AS233),"",$AI233))</f>
        <v/>
      </c>
      <c r="CF233" s="92" t="str">
        <f aca="false">IF(ISBLANK($C233),"",IF($BR233&lt;&gt;Constants!$B$8,$BR233,IF(ISNUMBER($CE233),RANK($CE233,$CE$9:$CE$508,1),COUNT($CE$9:$CE$508)+1)))</f>
        <v/>
      </c>
      <c r="CG233" s="92" t="str">
        <f aca="false">IF(ISBLANK($C233),"",IF($BR233&lt;&gt;Constants!$B$8,$BR233,COUNTIFS($BX$9:$BX$508,"&lt;"&amp;$BX233)+COUNTIFS($BX$9:$BX$508,$BX233,$BZ$9:$BZ$508,"&lt;"&amp;$BZ233)+COUNTIFS($BX$9:$BX$508,$BX233,$BZ$9:$BZ$508,$BZ233,$CB$9:$CB$508,"&lt;"&amp;$CB233)+COUNTIFS($BX$9:$BX$508,$BX233,$BZ$9:$BZ$508,$BZ233,$CB$9:$CB$508,$CB233,$CD$9:$CD$508,"&lt;"&amp;$CD233)+COUNTIFS($BX$9:$BX$508,$BX233,$BZ$9:$BZ$508,$BZ233,$CB$9:$CB$508,$CB233,$CD$9:$CD$508,$CD233,$CF$9:$CF$508,"&lt;"&amp;$CF233)+1))</f>
        <v/>
      </c>
      <c r="CH233" s="92" t="str">
        <f aca="false">IF(ISBLANK($C233),"",IF($BR233&lt;&gt;Constants!$B$8,$BR233,$BX233-$CG233))</f>
        <v/>
      </c>
      <c r="CI233" s="98"/>
      <c r="CJ233" s="99"/>
      <c r="CK233" s="100" t="str">
        <f aca="false">IF(ISBLANK($C233),"",IF($BR233=Constants!$B$12,$BQ233,""))</f>
        <v/>
      </c>
      <c r="CL233" s="99" t="str">
        <f aca="false">IF(ISBLANK($C233),"",IF($BR233&lt;&gt;Constants!$B$8,"",IF($BI233="-&gt;",2,1)))</f>
        <v/>
      </c>
      <c r="CM233" s="101" t="str">
        <f aca="false">IF(ISBLANK($C233),"",IF($BR233&lt;&gt;Constants!$B$8,"",IF($BI233="-&gt;",$BK233,$BC233)))</f>
        <v/>
      </c>
      <c r="CN233" s="101" t="str">
        <f aca="false">IF(ISBLANK($C233),"",IF($BR233&lt;&gt;Constants!$B$8,"",IF($BI233="-&gt;",$BL233,$BD233)))</f>
        <v/>
      </c>
      <c r="CO233" s="101" t="str">
        <f aca="false">IF(ISBLANK($C233),"",IF($BR233&lt;&gt;Constants!$B$8,"",IF($BI233="-&gt;",$BM233+$BN233,$BE233+$BF233)+$BV233))</f>
        <v/>
      </c>
      <c r="CP233" s="101" t="str">
        <f aca="false">IF(ISBLANK($C233),"",IF($BR233&lt;&gt;Constants!$B$8,"",IF($BI233="-&gt;",$BO233,$BG233)+$BU233))</f>
        <v/>
      </c>
      <c r="CQ233" s="102" t="str">
        <f aca="false">IF(ISBLANK($C233),"",IF($BR233&lt;&gt;Constants!$B$8,$BR233,$BW233))</f>
        <v/>
      </c>
      <c r="CR233" s="103" t="str">
        <f aca="false">IF(ISBLANK($C233),"",$BS233)</f>
        <v/>
      </c>
      <c r="CS233" s="104" t="str">
        <f aca="false">IF(ISBLANK($C233),"",$CH233)</f>
        <v/>
      </c>
      <c r="CT233" s="104" t="str">
        <f aca="false">IF(ISBLANK($C233),"",$CG233)</f>
        <v/>
      </c>
      <c r="CU233" s="105" t="str">
        <f aca="false">IF(ISBLANK($C233),"",IFERROR(_xlfn.SWITCH($CT233,Constants!$B$11,COUNTA($C$9:$C$508)+2,Constants!$B$10,COUNTA($C$9:$C$508)+1,Constants!$B$9,COUNTA($C$9:$C$508)),$CT233))</f>
        <v/>
      </c>
      <c r="CV233" s="9"/>
      <c r="CW233" s="106" t="n">
        <f aca="false">IF(OR(ISNUMBER($CT233),$CT233=Constants!$B$11,$CT233=Constants!$B$9,$CT233=Constants!$B$10),1,0)</f>
        <v>0</v>
      </c>
      <c r="CX233" s="106" t="n">
        <v>225</v>
      </c>
      <c r="CY233" s="106" t="str">
        <f aca="false">IF(ISBLANK($C233),"",IF(ISNUMBER($CU233),$CU233+ROW($B233)/1000,""))</f>
        <v/>
      </c>
      <c r="CZ233" s="106" t="str">
        <f aca="false">IF(ISNUMBER($CY233),RANK($CY233,$CY$9:$CY$508,1),"")</f>
        <v/>
      </c>
      <c r="DA233" s="106" t="str">
        <f aca="false">IF(ISBLANK($C233),"",$B233)</f>
        <v/>
      </c>
      <c r="DB233" s="106" t="str">
        <f aca="false">IF(ISBLANK($C233),"",$C233)</f>
        <v/>
      </c>
      <c r="DC233" s="106" t="str">
        <f aca="false">IF(ISBLANK($C233),"",$D233)</f>
        <v/>
      </c>
      <c r="DD233" s="107" t="str">
        <f aca="false">$CR233</f>
        <v/>
      </c>
      <c r="DE233" s="108" t="str">
        <f aca="false">$CQ233</f>
        <v/>
      </c>
      <c r="DF233" s="106" t="str">
        <f aca="false">IF(ISBLANK($C233),"",$CT233)</f>
        <v/>
      </c>
      <c r="DG233" s="109" t="str">
        <f aca="false">IF($CX233&gt;$CW$8,"",VLOOKUP($CX233,$CZ$9:$DF$508,7,FALSE()))</f>
        <v/>
      </c>
      <c r="DH233" s="110" t="str">
        <f aca="false">IF($CX233&gt;$CW$8,"",VLOOKUP($CX233,$CZ$9:$DF$508,2,FALSE()))</f>
        <v/>
      </c>
      <c r="DI233" s="110" t="str">
        <f aca="false">IF($CX233&gt;$CW$8,"",VLOOKUP($CX233,$CZ$9:$DF$508,3,FALSE()))</f>
        <v/>
      </c>
      <c r="DJ233" s="110" t="str">
        <f aca="false">IF($CX233&gt;$CW$8,"",VLOOKUP($CX233,$CZ$9:$DF$508,4,FALSE()))</f>
        <v/>
      </c>
      <c r="DK233" s="110" t="str">
        <f aca="false">IF($CX233&gt;$CW$8,"",VLOOKUP($CX233,$CZ$9:$DF$508,5,FALSE()))</f>
        <v/>
      </c>
      <c r="DL233" s="111" t="str">
        <f aca="false">IF($CX233&gt;$CW$8,"",VLOOKUP($CX233,$CZ$9:$DF$508,6,FALSE()))</f>
        <v/>
      </c>
      <c r="DM233" s="75"/>
    </row>
    <row r="234" customFormat="false" ht="15.75" hidden="false" customHeight="false" outlineLevel="0" collapsed="false">
      <c r="A234" s="9"/>
      <c r="B234" s="157"/>
      <c r="C234" s="158"/>
      <c r="D234" s="159"/>
      <c r="E234" s="177"/>
      <c r="F234" s="161"/>
      <c r="G234" s="162"/>
      <c r="H234" s="162"/>
      <c r="I234" s="178"/>
      <c r="J234" s="165"/>
      <c r="K234" s="126"/>
      <c r="L234" s="127"/>
      <c r="M234" s="128"/>
      <c r="N234" s="165"/>
      <c r="O234" s="165"/>
      <c r="P234" s="177"/>
      <c r="Q234" s="165"/>
      <c r="R234" s="165"/>
      <c r="S234" s="126"/>
      <c r="T234" s="128"/>
      <c r="U234" s="128"/>
      <c r="V234" s="165"/>
      <c r="W234" s="165"/>
      <c r="X234" s="177"/>
      <c r="Y234" s="165"/>
      <c r="Z234" s="166"/>
      <c r="AA234" s="165"/>
      <c r="AB234" s="132"/>
      <c r="AC234" s="133"/>
      <c r="AD234" s="133"/>
      <c r="AE234" s="133"/>
      <c r="AF234" s="133" t="str">
        <f aca="false">IF(ISBLANK($C234),"",IF(E234=Constants!$B$3,TRUE(),IF(E234=Constants!$B$4,FALSE(),TRUE())))</f>
        <v/>
      </c>
      <c r="AG234" s="133" t="str">
        <f aca="false">IF(ISBLANK($C234),"",IF(F234=Constants!$B$3,TRUE(),IF(F234=Constants!$B$4,FALSE(),TRUE())))</f>
        <v/>
      </c>
      <c r="AH234" s="133" t="str">
        <f aca="false">IF(ISBLANK($C234),"",IF(G234=Constants!$B$3,TRUE(),IF(G234=Constants!$B$4,FALSE(),TRUE())))</f>
        <v/>
      </c>
      <c r="AI234" s="133" t="str">
        <f aca="false">IF(ISBLANK($C234),"",IF(AND(ISNUMBER(H234),H234&gt;=0),H234,Constants!$B$29))</f>
        <v/>
      </c>
      <c r="AJ234" s="133" t="str">
        <f aca="false">IF(ISBLANK($C234),"",IF(I234=Constants!$B$3,TRUE(),IF(I234=Constants!$B$4,FALSE(),TRUE())))</f>
        <v/>
      </c>
      <c r="AK234" s="133" t="str">
        <f aca="false">IF(ISBLANK($C234),"",IF(J234=Constants!$B$3,TRUE(),IF(J234=Constants!$B$4,FALSE(),TRUE())))</f>
        <v/>
      </c>
      <c r="AL234" s="133" t="str">
        <f aca="false">IF(ISBLANK($C234),"",IF(K234=Constants!$B$5,TRUE(),IF(K234=Constants!$B$6,FALSE(),COUNTA(L234:P234)&gt;0)))</f>
        <v/>
      </c>
      <c r="AM234" s="134" t="str">
        <f aca="false">IF(ISBLANK($C234),"",IF(ISNUMBER(L234),IF(L234&gt;=0,L234,""),""))</f>
        <v/>
      </c>
      <c r="AN234" s="135" t="str">
        <f aca="false">IF(ISBLANK($C234),"",IF(ISNUMBER(M234),IF(M234&gt;=0,M234,""),""))</f>
        <v/>
      </c>
      <c r="AO234" s="135" t="str">
        <f aca="false">IF(ISBLANK($C234),"",IF(N234=Constants!$B$3,TRUE(),IF(N234=Constants!$B$4,FALSE(),TRUE())))</f>
        <v/>
      </c>
      <c r="AP234" s="133" t="str">
        <f aca="false">IF(ISBLANK($C234),"",IF(ISNUMBER(O234),IF(O234&gt;=0,O234,""),""))</f>
        <v/>
      </c>
      <c r="AQ234" s="133" t="str">
        <f aca="false">IF(ISBLANK($C234),"",IF(P234=Constants!$B$3,TRUE(),IF(P234=Constants!$B$4,FALSE(),FALSE())))</f>
        <v/>
      </c>
      <c r="AR234" s="133" t="str">
        <f aca="false">IF(ISBLANK($C234),"",IF(Q234=Constants!$B$3,TRUE(),IF(Q234=Constants!$B$4,FALSE(),TRUE())))</f>
        <v/>
      </c>
      <c r="AS234" s="133" t="str">
        <f aca="false">IF(ISBLANK($C234),"",IF(R234=Constants!$B$3,TRUE(),IF(R234=Constants!$B$4,FALSE(),TRUE())))</f>
        <v/>
      </c>
      <c r="AT234" s="133" t="str">
        <f aca="false">IF(ISBLANK($C234),"",IF(S234=Constants!$B$5,TRUE(),IF(S234=Constants!$B$6,FALSE(),COUNTA(T234:X234)&gt;0)))</f>
        <v/>
      </c>
      <c r="AU234" s="134" t="str">
        <f aca="false">IF(ISBLANK($C234),"",IF(ISNUMBER(T234),IF(T234&gt;=0,T234,""),""))</f>
        <v/>
      </c>
      <c r="AV234" s="135" t="str">
        <f aca="false">IF(ISBLANK($C234),"",IF(ISNUMBER(U234),IF(U234&gt;=0,U234,""),""))</f>
        <v/>
      </c>
      <c r="AW234" s="135" t="str">
        <f aca="false">IF(ISBLANK($C234),"",IF(V234=Constants!$B$3,TRUE(),IF(V234=Constants!$B$4,FALSE(),TRUE())))</f>
        <v/>
      </c>
      <c r="AX234" s="133" t="str">
        <f aca="false">IF(ISBLANK($C234),"",IF(ISNUMBER(W234),IF(W234&gt;=0,W234,""),""))</f>
        <v/>
      </c>
      <c r="AY234" s="133" t="str">
        <f aca="false">IF(ISBLANK($C234),"",IF(X234=Constants!$B$3,TRUE(),IF(X234=Constants!$B$4,FALSE(),FALSE())))</f>
        <v/>
      </c>
      <c r="AZ234" s="133" t="str">
        <f aca="false">IF(ISBLANK($C234),"",MIN(Constants!$B$31,MAX(0,IF(ISNUMBER(Y234),Y234*60,0)+IF(ISNUMBER(Z234),Z234,0))))</f>
        <v/>
      </c>
      <c r="BA234" s="133" t="str">
        <f aca="false">IF(ISBLANK($C234),"",IF(AA234=Constants!$B$3,TRUE(),IF(AA234=Constants!$B$4,FALSE(),FALSE())))</f>
        <v/>
      </c>
      <c r="BB234" s="132" t="str">
        <f aca="false">IF(ISBLANK($C234),"",AND($AL234,OR($AM234="",$AN234="",AND($AO234,$AP234=""))))</f>
        <v/>
      </c>
      <c r="BC234" s="135" t="str">
        <f aca="false">IF($BR234&lt;&gt;Constants!$B$8,"",IF($AL234,Constants!$B$21*$AN234+Constants!$B$22*IF($AO234,$AP234,Constants!$B$23),Constants!$B$24))</f>
        <v/>
      </c>
      <c r="BD234" s="136" t="str">
        <f aca="false">IF($BR234&lt;&gt;Constants!$B$8,"",Constants!$B$25*ABS($AD$9-IF($AL234,$AM234,0)))</f>
        <v/>
      </c>
      <c r="BE234" s="136" t="str">
        <f aca="false">IF($BR234&lt;&gt;Constants!$B$8,"",IF(AND($AL234,$AQ234,$AO234),Constants!$B$27,0))</f>
        <v/>
      </c>
      <c r="BF234" s="136" t="str">
        <f aca="false">IF($BR234&lt;&gt;Constants!$B$8,"",IF($AL234,($AI234-Constants!$B$29)*Constants!$B$28,0))</f>
        <v/>
      </c>
      <c r="BG234" s="136" t="str">
        <f aca="false">IF($BR234&lt;&gt;Constants!$B$8,"",IF($AK234,0,Constants!$B$15)+IF($AJ234,0,Constants!$B$16)+IF($AH234,0,Constants!$B$17))</f>
        <v/>
      </c>
      <c r="BH234" s="137" t="str">
        <f aca="false">IF($BR234&lt;&gt;Constants!$B$8,"",Constants!$B$20+SUM($BC234:$BG234))</f>
        <v/>
      </c>
      <c r="BI234" s="133" t="str">
        <f aca="false">IF($BR234&lt;&gt;Constants!$B$8,"",IF(OR($BP234&lt;$BH234,AND($BP234=$BH234,OR($BK234&lt;$BC234,AND($BK234=$BC234,OR($BL234&lt;$BD234,AND($BL234=$BD234,$AT234,$AL234,$AV234&lt;$AN234)))))),"-&gt;","&lt;-"))</f>
        <v/>
      </c>
      <c r="BJ234" s="132" t="str">
        <f aca="false">IF(ISBLANK($C234),"",AND($AT234,OR($AU234="",$AV234="",AND($AW234,$AX234=""))))</f>
        <v/>
      </c>
      <c r="BK234" s="135" t="str">
        <f aca="false">IF($BR234&lt;&gt;Constants!$B$8,"",IF($AT234,Constants!$B$21*$AV234+Constants!$B$22*IF($AW234,$AX234,Constants!$B$23),Constants!$B$24))</f>
        <v/>
      </c>
      <c r="BL234" s="136" t="str">
        <f aca="false">IF($BR234&lt;&gt;Constants!$B$8,"",Constants!$B$25*ABS($AD$9-IF($AT234,$AU234,0)))</f>
        <v/>
      </c>
      <c r="BM234" s="136" t="str">
        <f aca="false">IF($BR234&lt;&gt;Constants!$B$8,"",IF(AND($AT234,$AY234,$AW234),Constants!$B$27,0))</f>
        <v/>
      </c>
      <c r="BN234" s="136" t="str">
        <f aca="false">IF($BR234&lt;&gt;Constants!$B$8,"",IF($AT234,($AI234-Constants!$B$29)*Constants!$B$28,0))</f>
        <v/>
      </c>
      <c r="BO234" s="136" t="str">
        <f aca="false">IF($BR234&lt;&gt;Constants!$B$8,"",IF($AS234,0,Constants!$B$15)+IF($AR234,0,Constants!$B$16)+IF($AH234,0,Constants!$B$17))</f>
        <v/>
      </c>
      <c r="BP234" s="137" t="str">
        <f aca="false">IF($BR234&lt;&gt;Constants!$B$8,"",Constants!$B$20+SUM($BK234:$BO234))</f>
        <v/>
      </c>
      <c r="BQ234" s="133" t="str">
        <f aca="false">IF(ISBLANK($C234),"",IF(ISBLANK($D$7),$BQ$5,IF(NOT(ISNUMBER($D$7)),$BQ$6,"")))</f>
        <v/>
      </c>
      <c r="BR234" s="133" t="str">
        <f aca="false">IF(ISBLANK($C234),"",IF($BA234,Constants!$B$11,IF(COUNTA($E234:$AA234)=0,Constants!$B$10,IF(NOT($AG234),Constants!$B$9,IF(OR($BQ234&lt;&gt;"",$BB234,$BJ234),Constants!$B$12,Constants!$B$8)))))</f>
        <v/>
      </c>
      <c r="BS234" s="133" t="str">
        <f aca="false">IF(ISBLANK($C234),"",IF($BR234&lt;&gt;Constants!$B$8,$BR234,Constants!$B$13))</f>
        <v/>
      </c>
      <c r="BT234" s="136" t="str">
        <f aca="false">IF($BR234&lt;&gt;Constants!$B$8,"",IF($BI234="-&gt;",$BP234,$BH234))</f>
        <v/>
      </c>
      <c r="BU234" s="136" t="str">
        <f aca="false">IF($BR234&lt;&gt;Constants!$B$8,"",IF($AF234,0,Constants!$B$18))</f>
        <v/>
      </c>
      <c r="BV234" s="136" t="str">
        <f aca="false">IF($BR234&lt;&gt;Constants!$B$8,"",((Constants!$B$31-$AZ234)-Constants!$B$31)/Constants!$B$32)</f>
        <v/>
      </c>
      <c r="BW234" s="136" t="str">
        <f aca="false">IF(ISBLANK($C234),"",IF($BR234&lt;&gt;Constants!$B$8,$BR234,SUM($BT234:$BV234)))</f>
        <v/>
      </c>
      <c r="BX234" s="133" t="str">
        <f aca="false">IF(ISBLANK($C234),"",IF($BR234&lt;&gt;Constants!$B$8,$BR234,RANK($BW234,$BW$9:$BW$508,1)))</f>
        <v/>
      </c>
      <c r="BY234" s="136" t="str">
        <f aca="false">IF($BR234&lt;&gt;Constants!$B$8,"",IF($BI234="-&gt;",$BK234,$BC234))</f>
        <v/>
      </c>
      <c r="BZ234" s="133" t="str">
        <f aca="false">IF(ISBLANK($C234),"",IF($BR234&lt;&gt;Constants!$B$8,$BR234,IF(ISNUMBER($BY234),RANK($BY234,$BY$9:$BY$508,1),COUNT($BY$9:$BY$508)+1)))</f>
        <v/>
      </c>
      <c r="CA234" s="136" t="str">
        <f aca="false">IF($BR234&lt;&gt;Constants!$B$8,"",IF($BI234="-&gt;",$BL234,$BD234))</f>
        <v/>
      </c>
      <c r="CB234" s="133" t="str">
        <f aca="false">IF(ISBLANK($C234),"",IF($BR234&lt;&gt;Constants!$B$8,$BR234,IF(ISNUMBER($CA234),RANK($CA234,$CA$9:$CA$508,1),COUNT($CA$9:$CA$508)+1)))</f>
        <v/>
      </c>
      <c r="CC234" s="136" t="str">
        <f aca="false">IF($BR234&lt;&gt;Constants!$B$8,"",IF($BI234="-&gt;",IF($AT234,$AV234,""),IF($AL234,$AN234,"")))</f>
        <v/>
      </c>
      <c r="CD234" s="133" t="str">
        <f aca="false">IF(ISBLANK($C234),"",IF($BR234&lt;&gt;Constants!$B$8,$BR234,IF(ISNUMBER($CC234),RANK($CC234,$CC$9:$CC$508,1),COUNT($CC$9:$CC$508)+1)))</f>
        <v/>
      </c>
      <c r="CE234" s="136" t="str">
        <f aca="false">IF($BR234&lt;&gt;Constants!$B$8,"",IF(AND(NOT($AL234),NOT($AT234),$AJ234,$AK234,$AR234,$AS234),"",$AI234))</f>
        <v/>
      </c>
      <c r="CF234" s="133" t="str">
        <f aca="false">IF(ISBLANK($C234),"",IF($BR234&lt;&gt;Constants!$B$8,$BR234,IF(ISNUMBER($CE234),RANK($CE234,$CE$9:$CE$508,1),COUNT($CE$9:$CE$508)+1)))</f>
        <v/>
      </c>
      <c r="CG234" s="133" t="str">
        <f aca="false">IF(ISBLANK($C234),"",IF($BR234&lt;&gt;Constants!$B$8,$BR234,COUNTIFS($BX$9:$BX$508,"&lt;"&amp;$BX234)+COUNTIFS($BX$9:$BX$508,$BX234,$BZ$9:$BZ$508,"&lt;"&amp;$BZ234)+COUNTIFS($BX$9:$BX$508,$BX234,$BZ$9:$BZ$508,$BZ234,$CB$9:$CB$508,"&lt;"&amp;$CB234)+COUNTIFS($BX$9:$BX$508,$BX234,$BZ$9:$BZ$508,$BZ234,$CB$9:$CB$508,$CB234,$CD$9:$CD$508,"&lt;"&amp;$CD234)+COUNTIFS($BX$9:$BX$508,$BX234,$BZ$9:$BZ$508,$BZ234,$CB$9:$CB$508,$CB234,$CD$9:$CD$508,$CD234,$CF$9:$CF$508,"&lt;"&amp;$CF234)+1))</f>
        <v/>
      </c>
      <c r="CH234" s="133" t="str">
        <f aca="false">IF(ISBLANK($C234),"",IF($BR234&lt;&gt;Constants!$B$8,$BR234,$BX234-$CG234))</f>
        <v/>
      </c>
      <c r="CI234" s="138"/>
      <c r="CJ234" s="139"/>
      <c r="CK234" s="140" t="str">
        <f aca="false">IF(ISBLANK($C234),"",IF($BR234=Constants!$B$12,$BQ234,""))</f>
        <v/>
      </c>
      <c r="CL234" s="139" t="str">
        <f aca="false">IF(ISBLANK($C234),"",IF($BR234&lt;&gt;Constants!$B$8,"",IF($BI234="-&gt;",2,1)))</f>
        <v/>
      </c>
      <c r="CM234" s="141" t="str">
        <f aca="false">IF(ISBLANK($C234),"",IF($BR234&lt;&gt;Constants!$B$8,"",IF($BI234="-&gt;",$BK234,$BC234)))</f>
        <v/>
      </c>
      <c r="CN234" s="141" t="str">
        <f aca="false">IF(ISBLANK($C234),"",IF($BR234&lt;&gt;Constants!$B$8,"",IF($BI234="-&gt;",$BL234,$BD234)))</f>
        <v/>
      </c>
      <c r="CO234" s="141" t="str">
        <f aca="false">IF(ISBLANK($C234),"",IF($BR234&lt;&gt;Constants!$B$8,"",IF($BI234="-&gt;",$BM234+$BN234,$BE234+$BF234)+$BV234))</f>
        <v/>
      </c>
      <c r="CP234" s="141" t="str">
        <f aca="false">IF(ISBLANK($C234),"",IF($BR234&lt;&gt;Constants!$B$8,"",IF($BI234="-&gt;",$BO234,$BG234)+$BU234))</f>
        <v/>
      </c>
      <c r="CQ234" s="142" t="str">
        <f aca="false">IF(ISBLANK($C234),"",IF($BR234&lt;&gt;Constants!$B$8,$BR234,$BW234))</f>
        <v/>
      </c>
      <c r="CR234" s="143" t="str">
        <f aca="false">IF(ISBLANK($C234),"",$BS234)</f>
        <v/>
      </c>
      <c r="CS234" s="144" t="str">
        <f aca="false">IF(ISBLANK($C234),"",$CH234)</f>
        <v/>
      </c>
      <c r="CT234" s="144" t="str">
        <f aca="false">IF(ISBLANK($C234),"",$CG234)</f>
        <v/>
      </c>
      <c r="CU234" s="145" t="str">
        <f aca="false">IF(ISBLANK($C234),"",IFERROR(_xlfn.SWITCH($CT234,Constants!$B$11,COUNTA($C$9:$C$508)+2,Constants!$B$10,COUNTA($C$9:$C$508)+1,Constants!$B$9,COUNTA($C$9:$C$508)),$CT234))</f>
        <v/>
      </c>
      <c r="CV234" s="9"/>
      <c r="CW234" s="146" t="n">
        <f aca="false">IF(OR(ISNUMBER($CT234),$CT234=Constants!$B$11,$CT234=Constants!$B$9,$CT234=Constants!$B$10),1,0)</f>
        <v>0</v>
      </c>
      <c r="CX234" s="146" t="n">
        <v>226</v>
      </c>
      <c r="CY234" s="146" t="str">
        <f aca="false">IF(ISBLANK($C234),"",IF(ISNUMBER($CU234),$CU234+ROW($B234)/1000,""))</f>
        <v/>
      </c>
      <c r="CZ234" s="146" t="str">
        <f aca="false">IF(ISNUMBER($CY234),RANK($CY234,$CY$9:$CY$508,1),"")</f>
        <v/>
      </c>
      <c r="DA234" s="146" t="str">
        <f aca="false">IF(ISBLANK($C234),"",$B234)</f>
        <v/>
      </c>
      <c r="DB234" s="146" t="str">
        <f aca="false">IF(ISBLANK($C234),"",$C234)</f>
        <v/>
      </c>
      <c r="DC234" s="146" t="str">
        <f aca="false">IF(ISBLANK($C234),"",$D234)</f>
        <v/>
      </c>
      <c r="DD234" s="147" t="str">
        <f aca="false">$CR234</f>
        <v/>
      </c>
      <c r="DE234" s="148" t="str">
        <f aca="false">$CQ234</f>
        <v/>
      </c>
      <c r="DF234" s="146" t="str">
        <f aca="false">IF(ISBLANK($C234),"",$CT234)</f>
        <v/>
      </c>
      <c r="DG234" s="149" t="str">
        <f aca="false">IF($CX234&gt;$CW$8,"",VLOOKUP($CX234,$CZ$9:$DF$508,7,FALSE()))</f>
        <v/>
      </c>
      <c r="DH234" s="150" t="str">
        <f aca="false">IF($CX234&gt;$CW$8,"",VLOOKUP($CX234,$CZ$9:$DF$508,2,FALSE()))</f>
        <v/>
      </c>
      <c r="DI234" s="150" t="str">
        <f aca="false">IF($CX234&gt;$CW$8,"",VLOOKUP($CX234,$CZ$9:$DF$508,3,FALSE()))</f>
        <v/>
      </c>
      <c r="DJ234" s="150" t="str">
        <f aca="false">IF($CX234&gt;$CW$8,"",VLOOKUP($CX234,$CZ$9:$DF$508,4,FALSE()))</f>
        <v/>
      </c>
      <c r="DK234" s="150" t="str">
        <f aca="false">IF($CX234&gt;$CW$8,"",VLOOKUP($CX234,$CZ$9:$DF$508,5,FALSE()))</f>
        <v/>
      </c>
      <c r="DL234" s="151" t="str">
        <f aca="false">IF($CX234&gt;$CW$8,"",VLOOKUP($CX234,$CZ$9:$DF$508,6,FALSE()))</f>
        <v/>
      </c>
      <c r="DM234" s="75"/>
    </row>
    <row r="235" customFormat="false" ht="15.75" hidden="false" customHeight="false" outlineLevel="0" collapsed="false">
      <c r="A235" s="9"/>
      <c r="B235" s="157"/>
      <c r="C235" s="158"/>
      <c r="D235" s="159"/>
      <c r="E235" s="177"/>
      <c r="F235" s="161"/>
      <c r="G235" s="162"/>
      <c r="H235" s="162"/>
      <c r="I235" s="178"/>
      <c r="J235" s="165"/>
      <c r="K235" s="126"/>
      <c r="L235" s="127"/>
      <c r="M235" s="128"/>
      <c r="N235" s="165"/>
      <c r="O235" s="165"/>
      <c r="P235" s="177"/>
      <c r="Q235" s="165"/>
      <c r="R235" s="165"/>
      <c r="S235" s="126"/>
      <c r="T235" s="128"/>
      <c r="U235" s="128"/>
      <c r="V235" s="165"/>
      <c r="W235" s="165"/>
      <c r="X235" s="177"/>
      <c r="Y235" s="165"/>
      <c r="Z235" s="166"/>
      <c r="AA235" s="165"/>
      <c r="AB235" s="132"/>
      <c r="AC235" s="133"/>
      <c r="AD235" s="133"/>
      <c r="AE235" s="133"/>
      <c r="AF235" s="133" t="str">
        <f aca="false">IF(ISBLANK($C235),"",IF(E235=Constants!$B$3,TRUE(),IF(E235=Constants!$B$4,FALSE(),TRUE())))</f>
        <v/>
      </c>
      <c r="AG235" s="133" t="str">
        <f aca="false">IF(ISBLANK($C235),"",IF(F235=Constants!$B$3,TRUE(),IF(F235=Constants!$B$4,FALSE(),TRUE())))</f>
        <v/>
      </c>
      <c r="AH235" s="133" t="str">
        <f aca="false">IF(ISBLANK($C235),"",IF(G235=Constants!$B$3,TRUE(),IF(G235=Constants!$B$4,FALSE(),TRUE())))</f>
        <v/>
      </c>
      <c r="AI235" s="133" t="str">
        <f aca="false">IF(ISBLANK($C235),"",IF(AND(ISNUMBER(H235),H235&gt;=0),H235,Constants!$B$29))</f>
        <v/>
      </c>
      <c r="AJ235" s="133" t="str">
        <f aca="false">IF(ISBLANK($C235),"",IF(I235=Constants!$B$3,TRUE(),IF(I235=Constants!$B$4,FALSE(),TRUE())))</f>
        <v/>
      </c>
      <c r="AK235" s="133" t="str">
        <f aca="false">IF(ISBLANK($C235),"",IF(J235=Constants!$B$3,TRUE(),IF(J235=Constants!$B$4,FALSE(),TRUE())))</f>
        <v/>
      </c>
      <c r="AL235" s="133" t="str">
        <f aca="false">IF(ISBLANK($C235),"",IF(K235=Constants!$B$5,TRUE(),IF(K235=Constants!$B$6,FALSE(),COUNTA(L235:P235)&gt;0)))</f>
        <v/>
      </c>
      <c r="AM235" s="134" t="str">
        <f aca="false">IF(ISBLANK($C235),"",IF(ISNUMBER(L235),IF(L235&gt;=0,L235,""),""))</f>
        <v/>
      </c>
      <c r="AN235" s="135" t="str">
        <f aca="false">IF(ISBLANK($C235),"",IF(ISNUMBER(M235),IF(M235&gt;=0,M235,""),""))</f>
        <v/>
      </c>
      <c r="AO235" s="135" t="str">
        <f aca="false">IF(ISBLANK($C235),"",IF(N235=Constants!$B$3,TRUE(),IF(N235=Constants!$B$4,FALSE(),TRUE())))</f>
        <v/>
      </c>
      <c r="AP235" s="133" t="str">
        <f aca="false">IF(ISBLANK($C235),"",IF(ISNUMBER(O235),IF(O235&gt;=0,O235,""),""))</f>
        <v/>
      </c>
      <c r="AQ235" s="133" t="str">
        <f aca="false">IF(ISBLANK($C235),"",IF(P235=Constants!$B$3,TRUE(),IF(P235=Constants!$B$4,FALSE(),FALSE())))</f>
        <v/>
      </c>
      <c r="AR235" s="133" t="str">
        <f aca="false">IF(ISBLANK($C235),"",IF(Q235=Constants!$B$3,TRUE(),IF(Q235=Constants!$B$4,FALSE(),TRUE())))</f>
        <v/>
      </c>
      <c r="AS235" s="133" t="str">
        <f aca="false">IF(ISBLANK($C235),"",IF(R235=Constants!$B$3,TRUE(),IF(R235=Constants!$B$4,FALSE(),TRUE())))</f>
        <v/>
      </c>
      <c r="AT235" s="133" t="str">
        <f aca="false">IF(ISBLANK($C235),"",IF(S235=Constants!$B$5,TRUE(),IF(S235=Constants!$B$6,FALSE(),COUNTA(T235:X235)&gt;0)))</f>
        <v/>
      </c>
      <c r="AU235" s="134" t="str">
        <f aca="false">IF(ISBLANK($C235),"",IF(ISNUMBER(T235),IF(T235&gt;=0,T235,""),""))</f>
        <v/>
      </c>
      <c r="AV235" s="135" t="str">
        <f aca="false">IF(ISBLANK($C235),"",IF(ISNUMBER(U235),IF(U235&gt;=0,U235,""),""))</f>
        <v/>
      </c>
      <c r="AW235" s="135" t="str">
        <f aca="false">IF(ISBLANK($C235),"",IF(V235=Constants!$B$3,TRUE(),IF(V235=Constants!$B$4,FALSE(),TRUE())))</f>
        <v/>
      </c>
      <c r="AX235" s="133" t="str">
        <f aca="false">IF(ISBLANK($C235),"",IF(ISNUMBER(W235),IF(W235&gt;=0,W235,""),""))</f>
        <v/>
      </c>
      <c r="AY235" s="133" t="str">
        <f aca="false">IF(ISBLANK($C235),"",IF(X235=Constants!$B$3,TRUE(),IF(X235=Constants!$B$4,FALSE(),FALSE())))</f>
        <v/>
      </c>
      <c r="AZ235" s="133" t="str">
        <f aca="false">IF(ISBLANK($C235),"",MIN(Constants!$B$31,MAX(0,IF(ISNUMBER(Y235),Y235*60,0)+IF(ISNUMBER(Z235),Z235,0))))</f>
        <v/>
      </c>
      <c r="BA235" s="133" t="str">
        <f aca="false">IF(ISBLANK($C235),"",IF(AA235=Constants!$B$3,TRUE(),IF(AA235=Constants!$B$4,FALSE(),FALSE())))</f>
        <v/>
      </c>
      <c r="BB235" s="132" t="str">
        <f aca="false">IF(ISBLANK($C235),"",AND($AL235,OR($AM235="",$AN235="",AND($AO235,$AP235=""))))</f>
        <v/>
      </c>
      <c r="BC235" s="135" t="str">
        <f aca="false">IF($BR235&lt;&gt;Constants!$B$8,"",IF($AL235,Constants!$B$21*$AN235+Constants!$B$22*IF($AO235,$AP235,Constants!$B$23),Constants!$B$24))</f>
        <v/>
      </c>
      <c r="BD235" s="136" t="str">
        <f aca="false">IF($BR235&lt;&gt;Constants!$B$8,"",Constants!$B$25*ABS($AD$9-IF($AL235,$AM235,0)))</f>
        <v/>
      </c>
      <c r="BE235" s="136" t="str">
        <f aca="false">IF($BR235&lt;&gt;Constants!$B$8,"",IF(AND($AL235,$AQ235,$AO235),Constants!$B$27,0))</f>
        <v/>
      </c>
      <c r="BF235" s="136" t="str">
        <f aca="false">IF($BR235&lt;&gt;Constants!$B$8,"",IF($AL235,($AI235-Constants!$B$29)*Constants!$B$28,0))</f>
        <v/>
      </c>
      <c r="BG235" s="136" t="str">
        <f aca="false">IF($BR235&lt;&gt;Constants!$B$8,"",IF($AK235,0,Constants!$B$15)+IF($AJ235,0,Constants!$B$16)+IF($AH235,0,Constants!$B$17))</f>
        <v/>
      </c>
      <c r="BH235" s="137" t="str">
        <f aca="false">IF($BR235&lt;&gt;Constants!$B$8,"",Constants!$B$20+SUM($BC235:$BG235))</f>
        <v/>
      </c>
      <c r="BI235" s="133" t="str">
        <f aca="false">IF($BR235&lt;&gt;Constants!$B$8,"",IF(OR($BP235&lt;$BH235,AND($BP235=$BH235,OR($BK235&lt;$BC235,AND($BK235=$BC235,OR($BL235&lt;$BD235,AND($BL235=$BD235,$AT235,$AL235,$AV235&lt;$AN235)))))),"-&gt;","&lt;-"))</f>
        <v/>
      </c>
      <c r="BJ235" s="132" t="str">
        <f aca="false">IF(ISBLANK($C235),"",AND($AT235,OR($AU235="",$AV235="",AND($AW235,$AX235=""))))</f>
        <v/>
      </c>
      <c r="BK235" s="135" t="str">
        <f aca="false">IF($BR235&lt;&gt;Constants!$B$8,"",IF($AT235,Constants!$B$21*$AV235+Constants!$B$22*IF($AW235,$AX235,Constants!$B$23),Constants!$B$24))</f>
        <v/>
      </c>
      <c r="BL235" s="136" t="str">
        <f aca="false">IF($BR235&lt;&gt;Constants!$B$8,"",Constants!$B$25*ABS($AD$9-IF($AT235,$AU235,0)))</f>
        <v/>
      </c>
      <c r="BM235" s="136" t="str">
        <f aca="false">IF($BR235&lt;&gt;Constants!$B$8,"",IF(AND($AT235,$AY235,$AW235),Constants!$B$27,0))</f>
        <v/>
      </c>
      <c r="BN235" s="136" t="str">
        <f aca="false">IF($BR235&lt;&gt;Constants!$B$8,"",IF($AT235,($AI235-Constants!$B$29)*Constants!$B$28,0))</f>
        <v/>
      </c>
      <c r="BO235" s="136" t="str">
        <f aca="false">IF($BR235&lt;&gt;Constants!$B$8,"",IF($AS235,0,Constants!$B$15)+IF($AR235,0,Constants!$B$16)+IF($AH235,0,Constants!$B$17))</f>
        <v/>
      </c>
      <c r="BP235" s="137" t="str">
        <f aca="false">IF($BR235&lt;&gt;Constants!$B$8,"",Constants!$B$20+SUM($BK235:$BO235))</f>
        <v/>
      </c>
      <c r="BQ235" s="133" t="str">
        <f aca="false">IF(ISBLANK($C235),"",IF(ISBLANK($D$7),$BQ$5,IF(NOT(ISNUMBER($D$7)),$BQ$6,"")))</f>
        <v/>
      </c>
      <c r="BR235" s="133" t="str">
        <f aca="false">IF(ISBLANK($C235),"",IF($BA235,Constants!$B$11,IF(COUNTA($E235:$AA235)=0,Constants!$B$10,IF(NOT($AG235),Constants!$B$9,IF(OR($BQ235&lt;&gt;"",$BB235,$BJ235),Constants!$B$12,Constants!$B$8)))))</f>
        <v/>
      </c>
      <c r="BS235" s="133" t="str">
        <f aca="false">IF(ISBLANK($C235),"",IF($BR235&lt;&gt;Constants!$B$8,$BR235,Constants!$B$13))</f>
        <v/>
      </c>
      <c r="BT235" s="136" t="str">
        <f aca="false">IF($BR235&lt;&gt;Constants!$B$8,"",IF($BI235="-&gt;",$BP235,$BH235))</f>
        <v/>
      </c>
      <c r="BU235" s="136" t="str">
        <f aca="false">IF($BR235&lt;&gt;Constants!$B$8,"",IF($AF235,0,Constants!$B$18))</f>
        <v/>
      </c>
      <c r="BV235" s="136" t="str">
        <f aca="false">IF($BR235&lt;&gt;Constants!$B$8,"",((Constants!$B$31-$AZ235)-Constants!$B$31)/Constants!$B$32)</f>
        <v/>
      </c>
      <c r="BW235" s="136" t="str">
        <f aca="false">IF(ISBLANK($C235),"",IF($BR235&lt;&gt;Constants!$B$8,$BR235,SUM($BT235:$BV235)))</f>
        <v/>
      </c>
      <c r="BX235" s="133" t="str">
        <f aca="false">IF(ISBLANK($C235),"",IF($BR235&lt;&gt;Constants!$B$8,$BR235,RANK($BW235,$BW$9:$BW$508,1)))</f>
        <v/>
      </c>
      <c r="BY235" s="136" t="str">
        <f aca="false">IF($BR235&lt;&gt;Constants!$B$8,"",IF($BI235="-&gt;",$BK235,$BC235))</f>
        <v/>
      </c>
      <c r="BZ235" s="133" t="str">
        <f aca="false">IF(ISBLANK($C235),"",IF($BR235&lt;&gt;Constants!$B$8,$BR235,IF(ISNUMBER($BY235),RANK($BY235,$BY$9:$BY$508,1),COUNT($BY$9:$BY$508)+1)))</f>
        <v/>
      </c>
      <c r="CA235" s="136" t="str">
        <f aca="false">IF($BR235&lt;&gt;Constants!$B$8,"",IF($BI235="-&gt;",$BL235,$BD235))</f>
        <v/>
      </c>
      <c r="CB235" s="133" t="str">
        <f aca="false">IF(ISBLANK($C235),"",IF($BR235&lt;&gt;Constants!$B$8,$BR235,IF(ISNUMBER($CA235),RANK($CA235,$CA$9:$CA$508,1),COUNT($CA$9:$CA$508)+1)))</f>
        <v/>
      </c>
      <c r="CC235" s="136" t="str">
        <f aca="false">IF($BR235&lt;&gt;Constants!$B$8,"",IF($BI235="-&gt;",IF($AT235,$AV235,""),IF($AL235,$AN235,"")))</f>
        <v/>
      </c>
      <c r="CD235" s="133" t="str">
        <f aca="false">IF(ISBLANK($C235),"",IF($BR235&lt;&gt;Constants!$B$8,$BR235,IF(ISNUMBER($CC235),RANK($CC235,$CC$9:$CC$508,1),COUNT($CC$9:$CC$508)+1)))</f>
        <v/>
      </c>
      <c r="CE235" s="136" t="str">
        <f aca="false">IF($BR235&lt;&gt;Constants!$B$8,"",IF(AND(NOT($AL235),NOT($AT235),$AJ235,$AK235,$AR235,$AS235),"",$AI235))</f>
        <v/>
      </c>
      <c r="CF235" s="133" t="str">
        <f aca="false">IF(ISBLANK($C235),"",IF($BR235&lt;&gt;Constants!$B$8,$BR235,IF(ISNUMBER($CE235),RANK($CE235,$CE$9:$CE$508,1),COUNT($CE$9:$CE$508)+1)))</f>
        <v/>
      </c>
      <c r="CG235" s="133" t="str">
        <f aca="false">IF(ISBLANK($C235),"",IF($BR235&lt;&gt;Constants!$B$8,$BR235,COUNTIFS($BX$9:$BX$508,"&lt;"&amp;$BX235)+COUNTIFS($BX$9:$BX$508,$BX235,$BZ$9:$BZ$508,"&lt;"&amp;$BZ235)+COUNTIFS($BX$9:$BX$508,$BX235,$BZ$9:$BZ$508,$BZ235,$CB$9:$CB$508,"&lt;"&amp;$CB235)+COUNTIFS($BX$9:$BX$508,$BX235,$BZ$9:$BZ$508,$BZ235,$CB$9:$CB$508,$CB235,$CD$9:$CD$508,"&lt;"&amp;$CD235)+COUNTIFS($BX$9:$BX$508,$BX235,$BZ$9:$BZ$508,$BZ235,$CB$9:$CB$508,$CB235,$CD$9:$CD$508,$CD235,$CF$9:$CF$508,"&lt;"&amp;$CF235)+1))</f>
        <v/>
      </c>
      <c r="CH235" s="133" t="str">
        <f aca="false">IF(ISBLANK($C235),"",IF($BR235&lt;&gt;Constants!$B$8,$BR235,$BX235-$CG235))</f>
        <v/>
      </c>
      <c r="CI235" s="138"/>
      <c r="CJ235" s="139"/>
      <c r="CK235" s="140" t="str">
        <f aca="false">IF(ISBLANK($C235),"",IF($BR235=Constants!$B$12,$BQ235,""))</f>
        <v/>
      </c>
      <c r="CL235" s="139" t="str">
        <f aca="false">IF(ISBLANK($C235),"",IF($BR235&lt;&gt;Constants!$B$8,"",IF($BI235="-&gt;",2,1)))</f>
        <v/>
      </c>
      <c r="CM235" s="141" t="str">
        <f aca="false">IF(ISBLANK($C235),"",IF($BR235&lt;&gt;Constants!$B$8,"",IF($BI235="-&gt;",$BK235,$BC235)))</f>
        <v/>
      </c>
      <c r="CN235" s="141" t="str">
        <f aca="false">IF(ISBLANK($C235),"",IF($BR235&lt;&gt;Constants!$B$8,"",IF($BI235="-&gt;",$BL235,$BD235)))</f>
        <v/>
      </c>
      <c r="CO235" s="141" t="str">
        <f aca="false">IF(ISBLANK($C235),"",IF($BR235&lt;&gt;Constants!$B$8,"",IF($BI235="-&gt;",$BM235+$BN235,$BE235+$BF235)+$BV235))</f>
        <v/>
      </c>
      <c r="CP235" s="141" t="str">
        <f aca="false">IF(ISBLANK($C235),"",IF($BR235&lt;&gt;Constants!$B$8,"",IF($BI235="-&gt;",$BO235,$BG235)+$BU235))</f>
        <v/>
      </c>
      <c r="CQ235" s="142" t="str">
        <f aca="false">IF(ISBLANK($C235),"",IF($BR235&lt;&gt;Constants!$B$8,$BR235,$BW235))</f>
        <v/>
      </c>
      <c r="CR235" s="143" t="str">
        <f aca="false">IF(ISBLANK($C235),"",$BS235)</f>
        <v/>
      </c>
      <c r="CS235" s="144" t="str">
        <f aca="false">IF(ISBLANK($C235),"",$CH235)</f>
        <v/>
      </c>
      <c r="CT235" s="144" t="str">
        <f aca="false">IF(ISBLANK($C235),"",$CG235)</f>
        <v/>
      </c>
      <c r="CU235" s="145" t="str">
        <f aca="false">IF(ISBLANK($C235),"",IFERROR(_xlfn.SWITCH($CT235,Constants!$B$11,COUNTA($C$9:$C$508)+2,Constants!$B$10,COUNTA($C$9:$C$508)+1,Constants!$B$9,COUNTA($C$9:$C$508)),$CT235))</f>
        <v/>
      </c>
      <c r="CV235" s="9"/>
      <c r="CW235" s="146" t="n">
        <f aca="false">IF(OR(ISNUMBER($CT235),$CT235=Constants!$B$11,$CT235=Constants!$B$9,$CT235=Constants!$B$10),1,0)</f>
        <v>0</v>
      </c>
      <c r="CX235" s="146" t="n">
        <v>227</v>
      </c>
      <c r="CY235" s="146" t="str">
        <f aca="false">IF(ISBLANK($C235),"",IF(ISNUMBER($CU235),$CU235+ROW($B235)/1000,""))</f>
        <v/>
      </c>
      <c r="CZ235" s="146" t="str">
        <f aca="false">IF(ISNUMBER($CY235),RANK($CY235,$CY$9:$CY$508,1),"")</f>
        <v/>
      </c>
      <c r="DA235" s="146" t="str">
        <f aca="false">IF(ISBLANK($C235),"",$B235)</f>
        <v/>
      </c>
      <c r="DB235" s="146" t="str">
        <f aca="false">IF(ISBLANK($C235),"",$C235)</f>
        <v/>
      </c>
      <c r="DC235" s="146" t="str">
        <f aca="false">IF(ISBLANK($C235),"",$D235)</f>
        <v/>
      </c>
      <c r="DD235" s="147" t="str">
        <f aca="false">$CR235</f>
        <v/>
      </c>
      <c r="DE235" s="148" t="str">
        <f aca="false">$CQ235</f>
        <v/>
      </c>
      <c r="DF235" s="146" t="str">
        <f aca="false">IF(ISBLANK($C235),"",$CT235)</f>
        <v/>
      </c>
      <c r="DG235" s="149" t="str">
        <f aca="false">IF($CX235&gt;$CW$8,"",VLOOKUP($CX235,$CZ$9:$DF$508,7,FALSE()))</f>
        <v/>
      </c>
      <c r="DH235" s="150" t="str">
        <f aca="false">IF($CX235&gt;$CW$8,"",VLOOKUP($CX235,$CZ$9:$DF$508,2,FALSE()))</f>
        <v/>
      </c>
      <c r="DI235" s="150" t="str">
        <f aca="false">IF($CX235&gt;$CW$8,"",VLOOKUP($CX235,$CZ$9:$DF$508,3,FALSE()))</f>
        <v/>
      </c>
      <c r="DJ235" s="150" t="str">
        <f aca="false">IF($CX235&gt;$CW$8,"",VLOOKUP($CX235,$CZ$9:$DF$508,4,FALSE()))</f>
        <v/>
      </c>
      <c r="DK235" s="150" t="str">
        <f aca="false">IF($CX235&gt;$CW$8,"",VLOOKUP($CX235,$CZ$9:$DF$508,5,FALSE()))</f>
        <v/>
      </c>
      <c r="DL235" s="151" t="str">
        <f aca="false">IF($CX235&gt;$CW$8,"",VLOOKUP($CX235,$CZ$9:$DF$508,6,FALSE()))</f>
        <v/>
      </c>
      <c r="DM235" s="75"/>
    </row>
    <row r="236" customFormat="false" ht="15.75" hidden="false" customHeight="false" outlineLevel="0" collapsed="false">
      <c r="A236" s="9"/>
      <c r="B236" s="157"/>
      <c r="C236" s="158"/>
      <c r="D236" s="159"/>
      <c r="E236" s="177"/>
      <c r="F236" s="161"/>
      <c r="G236" s="162"/>
      <c r="H236" s="162"/>
      <c r="I236" s="178"/>
      <c r="J236" s="165"/>
      <c r="K236" s="126"/>
      <c r="L236" s="127"/>
      <c r="M236" s="128"/>
      <c r="N236" s="165"/>
      <c r="O236" s="165"/>
      <c r="P236" s="177"/>
      <c r="Q236" s="165"/>
      <c r="R236" s="165"/>
      <c r="S236" s="126"/>
      <c r="T236" s="128"/>
      <c r="U236" s="128"/>
      <c r="V236" s="165"/>
      <c r="W236" s="165"/>
      <c r="X236" s="177"/>
      <c r="Y236" s="165"/>
      <c r="Z236" s="166"/>
      <c r="AA236" s="165"/>
      <c r="AB236" s="132"/>
      <c r="AC236" s="133"/>
      <c r="AD236" s="133"/>
      <c r="AE236" s="133"/>
      <c r="AF236" s="133" t="str">
        <f aca="false">IF(ISBLANK($C236),"",IF(E236=Constants!$B$3,TRUE(),IF(E236=Constants!$B$4,FALSE(),TRUE())))</f>
        <v/>
      </c>
      <c r="AG236" s="133" t="str">
        <f aca="false">IF(ISBLANK($C236),"",IF(F236=Constants!$B$3,TRUE(),IF(F236=Constants!$B$4,FALSE(),TRUE())))</f>
        <v/>
      </c>
      <c r="AH236" s="133" t="str">
        <f aca="false">IF(ISBLANK($C236),"",IF(G236=Constants!$B$3,TRUE(),IF(G236=Constants!$B$4,FALSE(),TRUE())))</f>
        <v/>
      </c>
      <c r="AI236" s="133" t="str">
        <f aca="false">IF(ISBLANK($C236),"",IF(AND(ISNUMBER(H236),H236&gt;=0),H236,Constants!$B$29))</f>
        <v/>
      </c>
      <c r="AJ236" s="133" t="str">
        <f aca="false">IF(ISBLANK($C236),"",IF(I236=Constants!$B$3,TRUE(),IF(I236=Constants!$B$4,FALSE(),TRUE())))</f>
        <v/>
      </c>
      <c r="AK236" s="133" t="str">
        <f aca="false">IF(ISBLANK($C236),"",IF(J236=Constants!$B$3,TRUE(),IF(J236=Constants!$B$4,FALSE(),TRUE())))</f>
        <v/>
      </c>
      <c r="AL236" s="133" t="str">
        <f aca="false">IF(ISBLANK($C236),"",IF(K236=Constants!$B$5,TRUE(),IF(K236=Constants!$B$6,FALSE(),COUNTA(L236:P236)&gt;0)))</f>
        <v/>
      </c>
      <c r="AM236" s="134" t="str">
        <f aca="false">IF(ISBLANK($C236),"",IF(ISNUMBER(L236),IF(L236&gt;=0,L236,""),""))</f>
        <v/>
      </c>
      <c r="AN236" s="135" t="str">
        <f aca="false">IF(ISBLANK($C236),"",IF(ISNUMBER(M236),IF(M236&gt;=0,M236,""),""))</f>
        <v/>
      </c>
      <c r="AO236" s="135" t="str">
        <f aca="false">IF(ISBLANK($C236),"",IF(N236=Constants!$B$3,TRUE(),IF(N236=Constants!$B$4,FALSE(),TRUE())))</f>
        <v/>
      </c>
      <c r="AP236" s="133" t="str">
        <f aca="false">IF(ISBLANK($C236),"",IF(ISNUMBER(O236),IF(O236&gt;=0,O236,""),""))</f>
        <v/>
      </c>
      <c r="AQ236" s="133" t="str">
        <f aca="false">IF(ISBLANK($C236),"",IF(P236=Constants!$B$3,TRUE(),IF(P236=Constants!$B$4,FALSE(),FALSE())))</f>
        <v/>
      </c>
      <c r="AR236" s="133" t="str">
        <f aca="false">IF(ISBLANK($C236),"",IF(Q236=Constants!$B$3,TRUE(),IF(Q236=Constants!$B$4,FALSE(),TRUE())))</f>
        <v/>
      </c>
      <c r="AS236" s="133" t="str">
        <f aca="false">IF(ISBLANK($C236),"",IF(R236=Constants!$B$3,TRUE(),IF(R236=Constants!$B$4,FALSE(),TRUE())))</f>
        <v/>
      </c>
      <c r="AT236" s="133" t="str">
        <f aca="false">IF(ISBLANK($C236),"",IF(S236=Constants!$B$5,TRUE(),IF(S236=Constants!$B$6,FALSE(),COUNTA(T236:X236)&gt;0)))</f>
        <v/>
      </c>
      <c r="AU236" s="134" t="str">
        <f aca="false">IF(ISBLANK($C236),"",IF(ISNUMBER(T236),IF(T236&gt;=0,T236,""),""))</f>
        <v/>
      </c>
      <c r="AV236" s="135" t="str">
        <f aca="false">IF(ISBLANK($C236),"",IF(ISNUMBER(U236),IF(U236&gt;=0,U236,""),""))</f>
        <v/>
      </c>
      <c r="AW236" s="135" t="str">
        <f aca="false">IF(ISBLANK($C236),"",IF(V236=Constants!$B$3,TRUE(),IF(V236=Constants!$B$4,FALSE(),TRUE())))</f>
        <v/>
      </c>
      <c r="AX236" s="133" t="str">
        <f aca="false">IF(ISBLANK($C236),"",IF(ISNUMBER(W236),IF(W236&gt;=0,W236,""),""))</f>
        <v/>
      </c>
      <c r="AY236" s="133" t="str">
        <f aca="false">IF(ISBLANK($C236),"",IF(X236=Constants!$B$3,TRUE(),IF(X236=Constants!$B$4,FALSE(),FALSE())))</f>
        <v/>
      </c>
      <c r="AZ236" s="133" t="str">
        <f aca="false">IF(ISBLANK($C236),"",MIN(Constants!$B$31,MAX(0,IF(ISNUMBER(Y236),Y236*60,0)+IF(ISNUMBER(Z236),Z236,0))))</f>
        <v/>
      </c>
      <c r="BA236" s="133" t="str">
        <f aca="false">IF(ISBLANK($C236),"",IF(AA236=Constants!$B$3,TRUE(),IF(AA236=Constants!$B$4,FALSE(),FALSE())))</f>
        <v/>
      </c>
      <c r="BB236" s="132" t="str">
        <f aca="false">IF(ISBLANK($C236),"",AND($AL236,OR($AM236="",$AN236="",AND($AO236,$AP236=""))))</f>
        <v/>
      </c>
      <c r="BC236" s="135" t="str">
        <f aca="false">IF($BR236&lt;&gt;Constants!$B$8,"",IF($AL236,Constants!$B$21*$AN236+Constants!$B$22*IF($AO236,$AP236,Constants!$B$23),Constants!$B$24))</f>
        <v/>
      </c>
      <c r="BD236" s="136" t="str">
        <f aca="false">IF($BR236&lt;&gt;Constants!$B$8,"",Constants!$B$25*ABS($AD$9-IF($AL236,$AM236,0)))</f>
        <v/>
      </c>
      <c r="BE236" s="136" t="str">
        <f aca="false">IF($BR236&lt;&gt;Constants!$B$8,"",IF(AND($AL236,$AQ236,$AO236),Constants!$B$27,0))</f>
        <v/>
      </c>
      <c r="BF236" s="136" t="str">
        <f aca="false">IF($BR236&lt;&gt;Constants!$B$8,"",IF($AL236,($AI236-Constants!$B$29)*Constants!$B$28,0))</f>
        <v/>
      </c>
      <c r="BG236" s="136" t="str">
        <f aca="false">IF($BR236&lt;&gt;Constants!$B$8,"",IF($AK236,0,Constants!$B$15)+IF($AJ236,0,Constants!$B$16)+IF($AH236,0,Constants!$B$17))</f>
        <v/>
      </c>
      <c r="BH236" s="137" t="str">
        <f aca="false">IF($BR236&lt;&gt;Constants!$B$8,"",Constants!$B$20+SUM($BC236:$BG236))</f>
        <v/>
      </c>
      <c r="BI236" s="133" t="str">
        <f aca="false">IF($BR236&lt;&gt;Constants!$B$8,"",IF(OR($BP236&lt;$BH236,AND($BP236=$BH236,OR($BK236&lt;$BC236,AND($BK236=$BC236,OR($BL236&lt;$BD236,AND($BL236=$BD236,$AT236,$AL236,$AV236&lt;$AN236)))))),"-&gt;","&lt;-"))</f>
        <v/>
      </c>
      <c r="BJ236" s="132" t="str">
        <f aca="false">IF(ISBLANK($C236),"",AND($AT236,OR($AU236="",$AV236="",AND($AW236,$AX236=""))))</f>
        <v/>
      </c>
      <c r="BK236" s="135" t="str">
        <f aca="false">IF($BR236&lt;&gt;Constants!$B$8,"",IF($AT236,Constants!$B$21*$AV236+Constants!$B$22*IF($AW236,$AX236,Constants!$B$23),Constants!$B$24))</f>
        <v/>
      </c>
      <c r="BL236" s="136" t="str">
        <f aca="false">IF($BR236&lt;&gt;Constants!$B$8,"",Constants!$B$25*ABS($AD$9-IF($AT236,$AU236,0)))</f>
        <v/>
      </c>
      <c r="BM236" s="136" t="str">
        <f aca="false">IF($BR236&lt;&gt;Constants!$B$8,"",IF(AND($AT236,$AY236,$AW236),Constants!$B$27,0))</f>
        <v/>
      </c>
      <c r="BN236" s="136" t="str">
        <f aca="false">IF($BR236&lt;&gt;Constants!$B$8,"",IF($AT236,($AI236-Constants!$B$29)*Constants!$B$28,0))</f>
        <v/>
      </c>
      <c r="BO236" s="136" t="str">
        <f aca="false">IF($BR236&lt;&gt;Constants!$B$8,"",IF($AS236,0,Constants!$B$15)+IF($AR236,0,Constants!$B$16)+IF($AH236,0,Constants!$B$17))</f>
        <v/>
      </c>
      <c r="BP236" s="137" t="str">
        <f aca="false">IF($BR236&lt;&gt;Constants!$B$8,"",Constants!$B$20+SUM($BK236:$BO236))</f>
        <v/>
      </c>
      <c r="BQ236" s="133" t="str">
        <f aca="false">IF(ISBLANK($C236),"",IF(ISBLANK($D$7),$BQ$5,IF(NOT(ISNUMBER($D$7)),$BQ$6,"")))</f>
        <v/>
      </c>
      <c r="BR236" s="133" t="str">
        <f aca="false">IF(ISBLANK($C236),"",IF($BA236,Constants!$B$11,IF(COUNTA($E236:$AA236)=0,Constants!$B$10,IF(NOT($AG236),Constants!$B$9,IF(OR($BQ236&lt;&gt;"",$BB236,$BJ236),Constants!$B$12,Constants!$B$8)))))</f>
        <v/>
      </c>
      <c r="BS236" s="133" t="str">
        <f aca="false">IF(ISBLANK($C236),"",IF($BR236&lt;&gt;Constants!$B$8,$BR236,Constants!$B$13))</f>
        <v/>
      </c>
      <c r="BT236" s="136" t="str">
        <f aca="false">IF($BR236&lt;&gt;Constants!$B$8,"",IF($BI236="-&gt;",$BP236,$BH236))</f>
        <v/>
      </c>
      <c r="BU236" s="136" t="str">
        <f aca="false">IF($BR236&lt;&gt;Constants!$B$8,"",IF($AF236,0,Constants!$B$18))</f>
        <v/>
      </c>
      <c r="BV236" s="136" t="str">
        <f aca="false">IF($BR236&lt;&gt;Constants!$B$8,"",((Constants!$B$31-$AZ236)-Constants!$B$31)/Constants!$B$32)</f>
        <v/>
      </c>
      <c r="BW236" s="136" t="str">
        <f aca="false">IF(ISBLANK($C236),"",IF($BR236&lt;&gt;Constants!$B$8,$BR236,SUM($BT236:$BV236)))</f>
        <v/>
      </c>
      <c r="BX236" s="133" t="str">
        <f aca="false">IF(ISBLANK($C236),"",IF($BR236&lt;&gt;Constants!$B$8,$BR236,RANK($BW236,$BW$9:$BW$508,1)))</f>
        <v/>
      </c>
      <c r="BY236" s="136" t="str">
        <f aca="false">IF($BR236&lt;&gt;Constants!$B$8,"",IF($BI236="-&gt;",$BK236,$BC236))</f>
        <v/>
      </c>
      <c r="BZ236" s="133" t="str">
        <f aca="false">IF(ISBLANK($C236),"",IF($BR236&lt;&gt;Constants!$B$8,$BR236,IF(ISNUMBER($BY236),RANK($BY236,$BY$9:$BY$508,1),COUNT($BY$9:$BY$508)+1)))</f>
        <v/>
      </c>
      <c r="CA236" s="136" t="str">
        <f aca="false">IF($BR236&lt;&gt;Constants!$B$8,"",IF($BI236="-&gt;",$BL236,$BD236))</f>
        <v/>
      </c>
      <c r="CB236" s="133" t="str">
        <f aca="false">IF(ISBLANK($C236),"",IF($BR236&lt;&gt;Constants!$B$8,$BR236,IF(ISNUMBER($CA236),RANK($CA236,$CA$9:$CA$508,1),COUNT($CA$9:$CA$508)+1)))</f>
        <v/>
      </c>
      <c r="CC236" s="136" t="str">
        <f aca="false">IF($BR236&lt;&gt;Constants!$B$8,"",IF($BI236="-&gt;",IF($AT236,$AV236,""),IF($AL236,$AN236,"")))</f>
        <v/>
      </c>
      <c r="CD236" s="133" t="str">
        <f aca="false">IF(ISBLANK($C236),"",IF($BR236&lt;&gt;Constants!$B$8,$BR236,IF(ISNUMBER($CC236),RANK($CC236,$CC$9:$CC$508,1),COUNT($CC$9:$CC$508)+1)))</f>
        <v/>
      </c>
      <c r="CE236" s="136" t="str">
        <f aca="false">IF($BR236&lt;&gt;Constants!$B$8,"",IF(AND(NOT($AL236),NOT($AT236),$AJ236,$AK236,$AR236,$AS236),"",$AI236))</f>
        <v/>
      </c>
      <c r="CF236" s="133" t="str">
        <f aca="false">IF(ISBLANK($C236),"",IF($BR236&lt;&gt;Constants!$B$8,$BR236,IF(ISNUMBER($CE236),RANK($CE236,$CE$9:$CE$508,1),COUNT($CE$9:$CE$508)+1)))</f>
        <v/>
      </c>
      <c r="CG236" s="133" t="str">
        <f aca="false">IF(ISBLANK($C236),"",IF($BR236&lt;&gt;Constants!$B$8,$BR236,COUNTIFS($BX$9:$BX$508,"&lt;"&amp;$BX236)+COUNTIFS($BX$9:$BX$508,$BX236,$BZ$9:$BZ$508,"&lt;"&amp;$BZ236)+COUNTIFS($BX$9:$BX$508,$BX236,$BZ$9:$BZ$508,$BZ236,$CB$9:$CB$508,"&lt;"&amp;$CB236)+COUNTIFS($BX$9:$BX$508,$BX236,$BZ$9:$BZ$508,$BZ236,$CB$9:$CB$508,$CB236,$CD$9:$CD$508,"&lt;"&amp;$CD236)+COUNTIFS($BX$9:$BX$508,$BX236,$BZ$9:$BZ$508,$BZ236,$CB$9:$CB$508,$CB236,$CD$9:$CD$508,$CD236,$CF$9:$CF$508,"&lt;"&amp;$CF236)+1))</f>
        <v/>
      </c>
      <c r="CH236" s="133" t="str">
        <f aca="false">IF(ISBLANK($C236),"",IF($BR236&lt;&gt;Constants!$B$8,$BR236,$BX236-$CG236))</f>
        <v/>
      </c>
      <c r="CI236" s="138"/>
      <c r="CJ236" s="139"/>
      <c r="CK236" s="140" t="str">
        <f aca="false">IF(ISBLANK($C236),"",IF($BR236=Constants!$B$12,$BQ236,""))</f>
        <v/>
      </c>
      <c r="CL236" s="139" t="str">
        <f aca="false">IF(ISBLANK($C236),"",IF($BR236&lt;&gt;Constants!$B$8,"",IF($BI236="-&gt;",2,1)))</f>
        <v/>
      </c>
      <c r="CM236" s="141" t="str">
        <f aca="false">IF(ISBLANK($C236),"",IF($BR236&lt;&gt;Constants!$B$8,"",IF($BI236="-&gt;",$BK236,$BC236)))</f>
        <v/>
      </c>
      <c r="CN236" s="141" t="str">
        <f aca="false">IF(ISBLANK($C236),"",IF($BR236&lt;&gt;Constants!$B$8,"",IF($BI236="-&gt;",$BL236,$BD236)))</f>
        <v/>
      </c>
      <c r="CO236" s="141" t="str">
        <f aca="false">IF(ISBLANK($C236),"",IF($BR236&lt;&gt;Constants!$B$8,"",IF($BI236="-&gt;",$BM236+$BN236,$BE236+$BF236)+$BV236))</f>
        <v/>
      </c>
      <c r="CP236" s="141" t="str">
        <f aca="false">IF(ISBLANK($C236),"",IF($BR236&lt;&gt;Constants!$B$8,"",IF($BI236="-&gt;",$BO236,$BG236)+$BU236))</f>
        <v/>
      </c>
      <c r="CQ236" s="142" t="str">
        <f aca="false">IF(ISBLANK($C236),"",IF($BR236&lt;&gt;Constants!$B$8,$BR236,$BW236))</f>
        <v/>
      </c>
      <c r="CR236" s="143" t="str">
        <f aca="false">IF(ISBLANK($C236),"",$BS236)</f>
        <v/>
      </c>
      <c r="CS236" s="144" t="str">
        <f aca="false">IF(ISBLANK($C236),"",$CH236)</f>
        <v/>
      </c>
      <c r="CT236" s="144" t="str">
        <f aca="false">IF(ISBLANK($C236),"",$CG236)</f>
        <v/>
      </c>
      <c r="CU236" s="145" t="str">
        <f aca="false">IF(ISBLANK($C236),"",IFERROR(_xlfn.SWITCH($CT236,Constants!$B$11,COUNTA($C$9:$C$508)+2,Constants!$B$10,COUNTA($C$9:$C$508)+1,Constants!$B$9,COUNTA($C$9:$C$508)),$CT236))</f>
        <v/>
      </c>
      <c r="CV236" s="9"/>
      <c r="CW236" s="146" t="n">
        <f aca="false">IF(OR(ISNUMBER($CT236),$CT236=Constants!$B$11,$CT236=Constants!$B$9,$CT236=Constants!$B$10),1,0)</f>
        <v>0</v>
      </c>
      <c r="CX236" s="146" t="n">
        <v>228</v>
      </c>
      <c r="CY236" s="146" t="str">
        <f aca="false">IF(ISBLANK($C236),"",IF(ISNUMBER($CU236),$CU236+ROW($B236)/1000,""))</f>
        <v/>
      </c>
      <c r="CZ236" s="146" t="str">
        <f aca="false">IF(ISNUMBER($CY236),RANK($CY236,$CY$9:$CY$508,1),"")</f>
        <v/>
      </c>
      <c r="DA236" s="146" t="str">
        <f aca="false">IF(ISBLANK($C236),"",$B236)</f>
        <v/>
      </c>
      <c r="DB236" s="146" t="str">
        <f aca="false">IF(ISBLANK($C236),"",$C236)</f>
        <v/>
      </c>
      <c r="DC236" s="146" t="str">
        <f aca="false">IF(ISBLANK($C236),"",$D236)</f>
        <v/>
      </c>
      <c r="DD236" s="147" t="str">
        <f aca="false">$CR236</f>
        <v/>
      </c>
      <c r="DE236" s="148" t="str">
        <f aca="false">$CQ236</f>
        <v/>
      </c>
      <c r="DF236" s="146" t="str">
        <f aca="false">IF(ISBLANK($C236),"",$CT236)</f>
        <v/>
      </c>
      <c r="DG236" s="149" t="str">
        <f aca="false">IF($CX236&gt;$CW$8,"",VLOOKUP($CX236,$CZ$9:$DF$508,7,FALSE()))</f>
        <v/>
      </c>
      <c r="DH236" s="150" t="str">
        <f aca="false">IF($CX236&gt;$CW$8,"",VLOOKUP($CX236,$CZ$9:$DF$508,2,FALSE()))</f>
        <v/>
      </c>
      <c r="DI236" s="150" t="str">
        <f aca="false">IF($CX236&gt;$CW$8,"",VLOOKUP($CX236,$CZ$9:$DF$508,3,FALSE()))</f>
        <v/>
      </c>
      <c r="DJ236" s="150" t="str">
        <f aca="false">IF($CX236&gt;$CW$8,"",VLOOKUP($CX236,$CZ$9:$DF$508,4,FALSE()))</f>
        <v/>
      </c>
      <c r="DK236" s="150" t="str">
        <f aca="false">IF($CX236&gt;$CW$8,"",VLOOKUP($CX236,$CZ$9:$DF$508,5,FALSE()))</f>
        <v/>
      </c>
      <c r="DL236" s="151" t="str">
        <f aca="false">IF($CX236&gt;$CW$8,"",VLOOKUP($CX236,$CZ$9:$DF$508,6,FALSE()))</f>
        <v/>
      </c>
      <c r="DM236" s="75"/>
    </row>
    <row r="237" customFormat="false" ht="15.75" hidden="false" customHeight="false" outlineLevel="0" collapsed="false">
      <c r="A237" s="9"/>
      <c r="B237" s="77"/>
      <c r="C237" s="78"/>
      <c r="D237" s="167"/>
      <c r="E237" s="175"/>
      <c r="F237" s="169"/>
      <c r="G237" s="170"/>
      <c r="H237" s="170"/>
      <c r="I237" s="176"/>
      <c r="J237" s="173"/>
      <c r="K237" s="85"/>
      <c r="L237" s="86"/>
      <c r="M237" s="87"/>
      <c r="N237" s="173"/>
      <c r="O237" s="173"/>
      <c r="P237" s="175"/>
      <c r="Q237" s="173"/>
      <c r="R237" s="173"/>
      <c r="S237" s="85"/>
      <c r="T237" s="87"/>
      <c r="U237" s="87"/>
      <c r="V237" s="173"/>
      <c r="W237" s="173"/>
      <c r="X237" s="175"/>
      <c r="Y237" s="173"/>
      <c r="Z237" s="174"/>
      <c r="AA237" s="173"/>
      <c r="AB237" s="91"/>
      <c r="AC237" s="92"/>
      <c r="AD237" s="92"/>
      <c r="AE237" s="92"/>
      <c r="AF237" s="92" t="str">
        <f aca="false">IF(ISBLANK($C237),"",IF(E237=Constants!$B$3,TRUE(),IF(E237=Constants!$B$4,FALSE(),TRUE())))</f>
        <v/>
      </c>
      <c r="AG237" s="92" t="str">
        <f aca="false">IF(ISBLANK($C237),"",IF(F237=Constants!$B$3,TRUE(),IF(F237=Constants!$B$4,FALSE(),TRUE())))</f>
        <v/>
      </c>
      <c r="AH237" s="92" t="str">
        <f aca="false">IF(ISBLANK($C237),"",IF(G237=Constants!$B$3,TRUE(),IF(G237=Constants!$B$4,FALSE(),TRUE())))</f>
        <v/>
      </c>
      <c r="AI237" s="92" t="str">
        <f aca="false">IF(ISBLANK($C237),"",IF(AND(ISNUMBER(H237),H237&gt;=0),H237,Constants!$B$29))</f>
        <v/>
      </c>
      <c r="AJ237" s="92" t="str">
        <f aca="false">IF(ISBLANK($C237),"",IF(I237=Constants!$B$3,TRUE(),IF(I237=Constants!$B$4,FALSE(),TRUE())))</f>
        <v/>
      </c>
      <c r="AK237" s="92" t="str">
        <f aca="false">IF(ISBLANK($C237),"",IF(J237=Constants!$B$3,TRUE(),IF(J237=Constants!$B$4,FALSE(),TRUE())))</f>
        <v/>
      </c>
      <c r="AL237" s="92" t="str">
        <f aca="false">IF(ISBLANK($C237),"",IF(K237=Constants!$B$5,TRUE(),IF(K237=Constants!$B$6,FALSE(),COUNTA(L237:P237)&gt;0)))</f>
        <v/>
      </c>
      <c r="AM237" s="94" t="str">
        <f aca="false">IF(ISBLANK($C237),"",IF(ISNUMBER(L237),IF(L237&gt;=0,L237,""),""))</f>
        <v/>
      </c>
      <c r="AN237" s="93" t="str">
        <f aca="false">IF(ISBLANK($C237),"",IF(ISNUMBER(M237),IF(M237&gt;=0,M237,""),""))</f>
        <v/>
      </c>
      <c r="AO237" s="93" t="str">
        <f aca="false">IF(ISBLANK($C237),"",IF(N237=Constants!$B$3,TRUE(),IF(N237=Constants!$B$4,FALSE(),TRUE())))</f>
        <v/>
      </c>
      <c r="AP237" s="92" t="str">
        <f aca="false">IF(ISBLANK($C237),"",IF(ISNUMBER(O237),IF(O237&gt;=0,O237,""),""))</f>
        <v/>
      </c>
      <c r="AQ237" s="92" t="str">
        <f aca="false">IF(ISBLANK($C237),"",IF(P237=Constants!$B$3,TRUE(),IF(P237=Constants!$B$4,FALSE(),FALSE())))</f>
        <v/>
      </c>
      <c r="AR237" s="92" t="str">
        <f aca="false">IF(ISBLANK($C237),"",IF(Q237=Constants!$B$3,TRUE(),IF(Q237=Constants!$B$4,FALSE(),TRUE())))</f>
        <v/>
      </c>
      <c r="AS237" s="92" t="str">
        <f aca="false">IF(ISBLANK($C237),"",IF(R237=Constants!$B$3,TRUE(),IF(R237=Constants!$B$4,FALSE(),TRUE())))</f>
        <v/>
      </c>
      <c r="AT237" s="92" t="str">
        <f aca="false">IF(ISBLANK($C237),"",IF(S237=Constants!$B$5,TRUE(),IF(S237=Constants!$B$6,FALSE(),COUNTA(T237:X237)&gt;0)))</f>
        <v/>
      </c>
      <c r="AU237" s="94" t="str">
        <f aca="false">IF(ISBLANK($C237),"",IF(ISNUMBER(T237),IF(T237&gt;=0,T237,""),""))</f>
        <v/>
      </c>
      <c r="AV237" s="93" t="str">
        <f aca="false">IF(ISBLANK($C237),"",IF(ISNUMBER(U237),IF(U237&gt;=0,U237,""),""))</f>
        <v/>
      </c>
      <c r="AW237" s="93" t="str">
        <f aca="false">IF(ISBLANK($C237),"",IF(V237=Constants!$B$3,TRUE(),IF(V237=Constants!$B$4,FALSE(),TRUE())))</f>
        <v/>
      </c>
      <c r="AX237" s="92" t="str">
        <f aca="false">IF(ISBLANK($C237),"",IF(ISNUMBER(W237),IF(W237&gt;=0,W237,""),""))</f>
        <v/>
      </c>
      <c r="AY237" s="92" t="str">
        <f aca="false">IF(ISBLANK($C237),"",IF(X237=Constants!$B$3,TRUE(),IF(X237=Constants!$B$4,FALSE(),FALSE())))</f>
        <v/>
      </c>
      <c r="AZ237" s="92" t="str">
        <f aca="false">IF(ISBLANK($C237),"",MIN(Constants!$B$31,MAX(0,IF(ISNUMBER(Y237),Y237*60,0)+IF(ISNUMBER(Z237),Z237,0))))</f>
        <v/>
      </c>
      <c r="BA237" s="92" t="str">
        <f aca="false">IF(ISBLANK($C237),"",IF(AA237=Constants!$B$3,TRUE(),IF(AA237=Constants!$B$4,FALSE(),FALSE())))</f>
        <v/>
      </c>
      <c r="BB237" s="91" t="str">
        <f aca="false">IF(ISBLANK($C237),"",AND($AL237,OR($AM237="",$AN237="",AND($AO237,$AP237=""))))</f>
        <v/>
      </c>
      <c r="BC237" s="93" t="str">
        <f aca="false">IF($BR237&lt;&gt;Constants!$B$8,"",IF($AL237,Constants!$B$21*$AN237+Constants!$B$22*IF($AO237,$AP237,Constants!$B$23),Constants!$B$24))</f>
        <v/>
      </c>
      <c r="BD237" s="96" t="str">
        <f aca="false">IF($BR237&lt;&gt;Constants!$B$8,"",Constants!$B$25*ABS($AD$9-IF($AL237,$AM237,0)))</f>
        <v/>
      </c>
      <c r="BE237" s="96" t="str">
        <f aca="false">IF($BR237&lt;&gt;Constants!$B$8,"",IF(AND($AL237,$AQ237,$AO237),Constants!$B$27,0))</f>
        <v/>
      </c>
      <c r="BF237" s="96" t="str">
        <f aca="false">IF($BR237&lt;&gt;Constants!$B$8,"",IF($AL237,($AI237-Constants!$B$29)*Constants!$B$28,0))</f>
        <v/>
      </c>
      <c r="BG237" s="96" t="str">
        <f aca="false">IF($BR237&lt;&gt;Constants!$B$8,"",IF($AK237,0,Constants!$B$15)+IF($AJ237,0,Constants!$B$16)+IF($AH237,0,Constants!$B$17))</f>
        <v/>
      </c>
      <c r="BH237" s="97" t="str">
        <f aca="false">IF($BR237&lt;&gt;Constants!$B$8,"",Constants!$B$20+SUM($BC237:$BG237))</f>
        <v/>
      </c>
      <c r="BI237" s="92" t="str">
        <f aca="false">IF($BR237&lt;&gt;Constants!$B$8,"",IF(OR($BP237&lt;$BH237,AND($BP237=$BH237,OR($BK237&lt;$BC237,AND($BK237=$BC237,OR($BL237&lt;$BD237,AND($BL237=$BD237,$AT237,$AL237,$AV237&lt;$AN237)))))),"-&gt;","&lt;-"))</f>
        <v/>
      </c>
      <c r="BJ237" s="91" t="str">
        <f aca="false">IF(ISBLANK($C237),"",AND($AT237,OR($AU237="",$AV237="",AND($AW237,$AX237=""))))</f>
        <v/>
      </c>
      <c r="BK237" s="93" t="str">
        <f aca="false">IF($BR237&lt;&gt;Constants!$B$8,"",IF($AT237,Constants!$B$21*$AV237+Constants!$B$22*IF($AW237,$AX237,Constants!$B$23),Constants!$B$24))</f>
        <v/>
      </c>
      <c r="BL237" s="96" t="str">
        <f aca="false">IF($BR237&lt;&gt;Constants!$B$8,"",Constants!$B$25*ABS($AD$9-IF($AT237,$AU237,0)))</f>
        <v/>
      </c>
      <c r="BM237" s="96" t="str">
        <f aca="false">IF($BR237&lt;&gt;Constants!$B$8,"",IF(AND($AT237,$AY237,$AW237),Constants!$B$27,0))</f>
        <v/>
      </c>
      <c r="BN237" s="96" t="str">
        <f aca="false">IF($BR237&lt;&gt;Constants!$B$8,"",IF($AT237,($AI237-Constants!$B$29)*Constants!$B$28,0))</f>
        <v/>
      </c>
      <c r="BO237" s="96" t="str">
        <f aca="false">IF($BR237&lt;&gt;Constants!$B$8,"",IF($AS237,0,Constants!$B$15)+IF($AR237,0,Constants!$B$16)+IF($AH237,0,Constants!$B$17))</f>
        <v/>
      </c>
      <c r="BP237" s="97" t="str">
        <f aca="false">IF($BR237&lt;&gt;Constants!$B$8,"",Constants!$B$20+SUM($BK237:$BO237))</f>
        <v/>
      </c>
      <c r="BQ237" s="92" t="str">
        <f aca="false">IF(ISBLANK($C237),"",IF(ISBLANK($D$7),$BQ$5,IF(NOT(ISNUMBER($D$7)),$BQ$6,"")))</f>
        <v/>
      </c>
      <c r="BR237" s="92" t="str">
        <f aca="false">IF(ISBLANK($C237),"",IF($BA237,Constants!$B$11,IF(COUNTA($E237:$AA237)=0,Constants!$B$10,IF(NOT($AG237),Constants!$B$9,IF(OR($BQ237&lt;&gt;"",$BB237,$BJ237),Constants!$B$12,Constants!$B$8)))))</f>
        <v/>
      </c>
      <c r="BS237" s="92" t="str">
        <f aca="false">IF(ISBLANK($C237),"",IF($BR237&lt;&gt;Constants!$B$8,$BR237,Constants!$B$13))</f>
        <v/>
      </c>
      <c r="BT237" s="96" t="str">
        <f aca="false">IF($BR237&lt;&gt;Constants!$B$8,"",IF($BI237="-&gt;",$BP237,$BH237))</f>
        <v/>
      </c>
      <c r="BU237" s="96" t="str">
        <f aca="false">IF($BR237&lt;&gt;Constants!$B$8,"",IF($AF237,0,Constants!$B$18))</f>
        <v/>
      </c>
      <c r="BV237" s="96" t="str">
        <f aca="false">IF($BR237&lt;&gt;Constants!$B$8,"",((Constants!$B$31-$AZ237)-Constants!$B$31)/Constants!$B$32)</f>
        <v/>
      </c>
      <c r="BW237" s="96" t="str">
        <f aca="false">IF(ISBLANK($C237),"",IF($BR237&lt;&gt;Constants!$B$8,$BR237,SUM($BT237:$BV237)))</f>
        <v/>
      </c>
      <c r="BX237" s="92" t="str">
        <f aca="false">IF(ISBLANK($C237),"",IF($BR237&lt;&gt;Constants!$B$8,$BR237,RANK($BW237,$BW$9:$BW$508,1)))</f>
        <v/>
      </c>
      <c r="BY237" s="96" t="str">
        <f aca="false">IF($BR237&lt;&gt;Constants!$B$8,"",IF($BI237="-&gt;",$BK237,$BC237))</f>
        <v/>
      </c>
      <c r="BZ237" s="92" t="str">
        <f aca="false">IF(ISBLANK($C237),"",IF($BR237&lt;&gt;Constants!$B$8,$BR237,IF(ISNUMBER($BY237),RANK($BY237,$BY$9:$BY$508,1),COUNT($BY$9:$BY$508)+1)))</f>
        <v/>
      </c>
      <c r="CA237" s="96" t="str">
        <f aca="false">IF($BR237&lt;&gt;Constants!$B$8,"",IF($BI237="-&gt;",$BL237,$BD237))</f>
        <v/>
      </c>
      <c r="CB237" s="92" t="str">
        <f aca="false">IF(ISBLANK($C237),"",IF($BR237&lt;&gt;Constants!$B$8,$BR237,IF(ISNUMBER($CA237),RANK($CA237,$CA$9:$CA$508,1),COUNT($CA$9:$CA$508)+1)))</f>
        <v/>
      </c>
      <c r="CC237" s="96" t="str">
        <f aca="false">IF($BR237&lt;&gt;Constants!$B$8,"",IF($BI237="-&gt;",IF($AT237,$AV237,""),IF($AL237,$AN237,"")))</f>
        <v/>
      </c>
      <c r="CD237" s="92" t="str">
        <f aca="false">IF(ISBLANK($C237),"",IF($BR237&lt;&gt;Constants!$B$8,$BR237,IF(ISNUMBER($CC237),RANK($CC237,$CC$9:$CC$508,1),COUNT($CC$9:$CC$508)+1)))</f>
        <v/>
      </c>
      <c r="CE237" s="96" t="str">
        <f aca="false">IF($BR237&lt;&gt;Constants!$B$8,"",IF(AND(NOT($AL237),NOT($AT237),$AJ237,$AK237,$AR237,$AS237),"",$AI237))</f>
        <v/>
      </c>
      <c r="CF237" s="92" t="str">
        <f aca="false">IF(ISBLANK($C237),"",IF($BR237&lt;&gt;Constants!$B$8,$BR237,IF(ISNUMBER($CE237),RANK($CE237,$CE$9:$CE$508,1),COUNT($CE$9:$CE$508)+1)))</f>
        <v/>
      </c>
      <c r="CG237" s="92" t="str">
        <f aca="false">IF(ISBLANK($C237),"",IF($BR237&lt;&gt;Constants!$B$8,$BR237,COUNTIFS($BX$9:$BX$508,"&lt;"&amp;$BX237)+COUNTIFS($BX$9:$BX$508,$BX237,$BZ$9:$BZ$508,"&lt;"&amp;$BZ237)+COUNTIFS($BX$9:$BX$508,$BX237,$BZ$9:$BZ$508,$BZ237,$CB$9:$CB$508,"&lt;"&amp;$CB237)+COUNTIFS($BX$9:$BX$508,$BX237,$BZ$9:$BZ$508,$BZ237,$CB$9:$CB$508,$CB237,$CD$9:$CD$508,"&lt;"&amp;$CD237)+COUNTIFS($BX$9:$BX$508,$BX237,$BZ$9:$BZ$508,$BZ237,$CB$9:$CB$508,$CB237,$CD$9:$CD$508,$CD237,$CF$9:$CF$508,"&lt;"&amp;$CF237)+1))</f>
        <v/>
      </c>
      <c r="CH237" s="92" t="str">
        <f aca="false">IF(ISBLANK($C237),"",IF($BR237&lt;&gt;Constants!$B$8,$BR237,$BX237-$CG237))</f>
        <v/>
      </c>
      <c r="CI237" s="98"/>
      <c r="CJ237" s="99"/>
      <c r="CK237" s="100" t="str">
        <f aca="false">IF(ISBLANK($C237),"",IF($BR237=Constants!$B$12,$BQ237,""))</f>
        <v/>
      </c>
      <c r="CL237" s="99" t="str">
        <f aca="false">IF(ISBLANK($C237),"",IF($BR237&lt;&gt;Constants!$B$8,"",IF($BI237="-&gt;",2,1)))</f>
        <v/>
      </c>
      <c r="CM237" s="101" t="str">
        <f aca="false">IF(ISBLANK($C237),"",IF($BR237&lt;&gt;Constants!$B$8,"",IF($BI237="-&gt;",$BK237,$BC237)))</f>
        <v/>
      </c>
      <c r="CN237" s="101" t="str">
        <f aca="false">IF(ISBLANK($C237),"",IF($BR237&lt;&gt;Constants!$B$8,"",IF($BI237="-&gt;",$BL237,$BD237)))</f>
        <v/>
      </c>
      <c r="CO237" s="101" t="str">
        <f aca="false">IF(ISBLANK($C237),"",IF($BR237&lt;&gt;Constants!$B$8,"",IF($BI237="-&gt;",$BM237+$BN237,$BE237+$BF237)+$BV237))</f>
        <v/>
      </c>
      <c r="CP237" s="101" t="str">
        <f aca="false">IF(ISBLANK($C237),"",IF($BR237&lt;&gt;Constants!$B$8,"",IF($BI237="-&gt;",$BO237,$BG237)+$BU237))</f>
        <v/>
      </c>
      <c r="CQ237" s="102" t="str">
        <f aca="false">IF(ISBLANK($C237),"",IF($BR237&lt;&gt;Constants!$B$8,$BR237,$BW237))</f>
        <v/>
      </c>
      <c r="CR237" s="103" t="str">
        <f aca="false">IF(ISBLANK($C237),"",$BS237)</f>
        <v/>
      </c>
      <c r="CS237" s="104" t="str">
        <f aca="false">IF(ISBLANK($C237),"",$CH237)</f>
        <v/>
      </c>
      <c r="CT237" s="104" t="str">
        <f aca="false">IF(ISBLANK($C237),"",$CG237)</f>
        <v/>
      </c>
      <c r="CU237" s="105" t="str">
        <f aca="false">IF(ISBLANK($C237),"",IFERROR(_xlfn.SWITCH($CT237,Constants!$B$11,COUNTA($C$9:$C$508)+2,Constants!$B$10,COUNTA($C$9:$C$508)+1,Constants!$B$9,COUNTA($C$9:$C$508)),$CT237))</f>
        <v/>
      </c>
      <c r="CV237" s="9"/>
      <c r="CW237" s="106" t="n">
        <f aca="false">IF(OR(ISNUMBER($CT237),$CT237=Constants!$B$11,$CT237=Constants!$B$9,$CT237=Constants!$B$10),1,0)</f>
        <v>0</v>
      </c>
      <c r="CX237" s="106" t="n">
        <v>229</v>
      </c>
      <c r="CY237" s="106" t="str">
        <f aca="false">IF(ISBLANK($C237),"",IF(ISNUMBER($CU237),$CU237+ROW($B237)/1000,""))</f>
        <v/>
      </c>
      <c r="CZ237" s="106" t="str">
        <f aca="false">IF(ISNUMBER($CY237),RANK($CY237,$CY$9:$CY$508,1),"")</f>
        <v/>
      </c>
      <c r="DA237" s="106" t="str">
        <f aca="false">IF(ISBLANK($C237),"",$B237)</f>
        <v/>
      </c>
      <c r="DB237" s="106" t="str">
        <f aca="false">IF(ISBLANK($C237),"",$C237)</f>
        <v/>
      </c>
      <c r="DC237" s="106" t="str">
        <f aca="false">IF(ISBLANK($C237),"",$D237)</f>
        <v/>
      </c>
      <c r="DD237" s="107" t="str">
        <f aca="false">$CR237</f>
        <v/>
      </c>
      <c r="DE237" s="108" t="str">
        <f aca="false">$CQ237</f>
        <v/>
      </c>
      <c r="DF237" s="106" t="str">
        <f aca="false">IF(ISBLANK($C237),"",$CT237)</f>
        <v/>
      </c>
      <c r="DG237" s="109" t="str">
        <f aca="false">IF($CX237&gt;$CW$8,"",VLOOKUP($CX237,$CZ$9:$DF$508,7,FALSE()))</f>
        <v/>
      </c>
      <c r="DH237" s="110" t="str">
        <f aca="false">IF($CX237&gt;$CW$8,"",VLOOKUP($CX237,$CZ$9:$DF$508,2,FALSE()))</f>
        <v/>
      </c>
      <c r="DI237" s="110" t="str">
        <f aca="false">IF($CX237&gt;$CW$8,"",VLOOKUP($CX237,$CZ$9:$DF$508,3,FALSE()))</f>
        <v/>
      </c>
      <c r="DJ237" s="110" t="str">
        <f aca="false">IF($CX237&gt;$CW$8,"",VLOOKUP($CX237,$CZ$9:$DF$508,4,FALSE()))</f>
        <v/>
      </c>
      <c r="DK237" s="110" t="str">
        <f aca="false">IF($CX237&gt;$CW$8,"",VLOOKUP($CX237,$CZ$9:$DF$508,5,FALSE()))</f>
        <v/>
      </c>
      <c r="DL237" s="111" t="str">
        <f aca="false">IF($CX237&gt;$CW$8,"",VLOOKUP($CX237,$CZ$9:$DF$508,6,FALSE()))</f>
        <v/>
      </c>
      <c r="DM237" s="75"/>
    </row>
    <row r="238" customFormat="false" ht="15.75" hidden="false" customHeight="false" outlineLevel="0" collapsed="false">
      <c r="A238" s="9"/>
      <c r="B238" s="77"/>
      <c r="C238" s="78"/>
      <c r="D238" s="167"/>
      <c r="E238" s="175"/>
      <c r="F238" s="169"/>
      <c r="G238" s="170"/>
      <c r="H238" s="170"/>
      <c r="I238" s="176"/>
      <c r="J238" s="173"/>
      <c r="K238" s="85"/>
      <c r="L238" s="86"/>
      <c r="M238" s="87"/>
      <c r="N238" s="173"/>
      <c r="O238" s="173"/>
      <c r="P238" s="175"/>
      <c r="Q238" s="173"/>
      <c r="R238" s="173"/>
      <c r="S238" s="85"/>
      <c r="T238" s="87"/>
      <c r="U238" s="87"/>
      <c r="V238" s="173"/>
      <c r="W238" s="173"/>
      <c r="X238" s="175"/>
      <c r="Y238" s="173"/>
      <c r="Z238" s="174"/>
      <c r="AA238" s="173"/>
      <c r="AB238" s="91"/>
      <c r="AC238" s="92"/>
      <c r="AD238" s="92"/>
      <c r="AE238" s="92"/>
      <c r="AF238" s="92" t="str">
        <f aca="false">IF(ISBLANK($C238),"",IF(E238=Constants!$B$3,TRUE(),IF(E238=Constants!$B$4,FALSE(),TRUE())))</f>
        <v/>
      </c>
      <c r="AG238" s="92" t="str">
        <f aca="false">IF(ISBLANK($C238),"",IF(F238=Constants!$B$3,TRUE(),IF(F238=Constants!$B$4,FALSE(),TRUE())))</f>
        <v/>
      </c>
      <c r="AH238" s="92" t="str">
        <f aca="false">IF(ISBLANK($C238),"",IF(G238=Constants!$B$3,TRUE(),IF(G238=Constants!$B$4,FALSE(),TRUE())))</f>
        <v/>
      </c>
      <c r="AI238" s="92" t="str">
        <f aca="false">IF(ISBLANK($C238),"",IF(AND(ISNUMBER(H238),H238&gt;=0),H238,Constants!$B$29))</f>
        <v/>
      </c>
      <c r="AJ238" s="92" t="str">
        <f aca="false">IF(ISBLANK($C238),"",IF(I238=Constants!$B$3,TRUE(),IF(I238=Constants!$B$4,FALSE(),TRUE())))</f>
        <v/>
      </c>
      <c r="AK238" s="92" t="str">
        <f aca="false">IF(ISBLANK($C238),"",IF(J238=Constants!$B$3,TRUE(),IF(J238=Constants!$B$4,FALSE(),TRUE())))</f>
        <v/>
      </c>
      <c r="AL238" s="92" t="str">
        <f aca="false">IF(ISBLANK($C238),"",IF(K238=Constants!$B$5,TRUE(),IF(K238=Constants!$B$6,FALSE(),COUNTA(L238:P238)&gt;0)))</f>
        <v/>
      </c>
      <c r="AM238" s="94" t="str">
        <f aca="false">IF(ISBLANK($C238),"",IF(ISNUMBER(L238),IF(L238&gt;=0,L238,""),""))</f>
        <v/>
      </c>
      <c r="AN238" s="93" t="str">
        <f aca="false">IF(ISBLANK($C238),"",IF(ISNUMBER(M238),IF(M238&gt;=0,M238,""),""))</f>
        <v/>
      </c>
      <c r="AO238" s="93" t="str">
        <f aca="false">IF(ISBLANK($C238),"",IF(N238=Constants!$B$3,TRUE(),IF(N238=Constants!$B$4,FALSE(),TRUE())))</f>
        <v/>
      </c>
      <c r="AP238" s="92" t="str">
        <f aca="false">IF(ISBLANK($C238),"",IF(ISNUMBER(O238),IF(O238&gt;=0,O238,""),""))</f>
        <v/>
      </c>
      <c r="AQ238" s="92" t="str">
        <f aca="false">IF(ISBLANK($C238),"",IF(P238=Constants!$B$3,TRUE(),IF(P238=Constants!$B$4,FALSE(),FALSE())))</f>
        <v/>
      </c>
      <c r="AR238" s="92" t="str">
        <f aca="false">IF(ISBLANK($C238),"",IF(Q238=Constants!$B$3,TRUE(),IF(Q238=Constants!$B$4,FALSE(),TRUE())))</f>
        <v/>
      </c>
      <c r="AS238" s="92" t="str">
        <f aca="false">IF(ISBLANK($C238),"",IF(R238=Constants!$B$3,TRUE(),IF(R238=Constants!$B$4,FALSE(),TRUE())))</f>
        <v/>
      </c>
      <c r="AT238" s="92" t="str">
        <f aca="false">IF(ISBLANK($C238),"",IF(S238=Constants!$B$5,TRUE(),IF(S238=Constants!$B$6,FALSE(),COUNTA(T238:X238)&gt;0)))</f>
        <v/>
      </c>
      <c r="AU238" s="94" t="str">
        <f aca="false">IF(ISBLANK($C238),"",IF(ISNUMBER(T238),IF(T238&gt;=0,T238,""),""))</f>
        <v/>
      </c>
      <c r="AV238" s="93" t="str">
        <f aca="false">IF(ISBLANK($C238),"",IF(ISNUMBER(U238),IF(U238&gt;=0,U238,""),""))</f>
        <v/>
      </c>
      <c r="AW238" s="93" t="str">
        <f aca="false">IF(ISBLANK($C238),"",IF(V238=Constants!$B$3,TRUE(),IF(V238=Constants!$B$4,FALSE(),TRUE())))</f>
        <v/>
      </c>
      <c r="AX238" s="92" t="str">
        <f aca="false">IF(ISBLANK($C238),"",IF(ISNUMBER(W238),IF(W238&gt;=0,W238,""),""))</f>
        <v/>
      </c>
      <c r="AY238" s="92" t="str">
        <f aca="false">IF(ISBLANK($C238),"",IF(X238=Constants!$B$3,TRUE(),IF(X238=Constants!$B$4,FALSE(),FALSE())))</f>
        <v/>
      </c>
      <c r="AZ238" s="92" t="str">
        <f aca="false">IF(ISBLANK($C238),"",MIN(Constants!$B$31,MAX(0,IF(ISNUMBER(Y238),Y238*60,0)+IF(ISNUMBER(Z238),Z238,0))))</f>
        <v/>
      </c>
      <c r="BA238" s="92" t="str">
        <f aca="false">IF(ISBLANK($C238),"",IF(AA238=Constants!$B$3,TRUE(),IF(AA238=Constants!$B$4,FALSE(),FALSE())))</f>
        <v/>
      </c>
      <c r="BB238" s="91" t="str">
        <f aca="false">IF(ISBLANK($C238),"",AND($AL238,OR($AM238="",$AN238="",AND($AO238,$AP238=""))))</f>
        <v/>
      </c>
      <c r="BC238" s="93" t="str">
        <f aca="false">IF($BR238&lt;&gt;Constants!$B$8,"",IF($AL238,Constants!$B$21*$AN238+Constants!$B$22*IF($AO238,$AP238,Constants!$B$23),Constants!$B$24))</f>
        <v/>
      </c>
      <c r="BD238" s="96" t="str">
        <f aca="false">IF($BR238&lt;&gt;Constants!$B$8,"",Constants!$B$25*ABS($AD$9-IF($AL238,$AM238,0)))</f>
        <v/>
      </c>
      <c r="BE238" s="96" t="str">
        <f aca="false">IF($BR238&lt;&gt;Constants!$B$8,"",IF(AND($AL238,$AQ238,$AO238),Constants!$B$27,0))</f>
        <v/>
      </c>
      <c r="BF238" s="96" t="str">
        <f aca="false">IF($BR238&lt;&gt;Constants!$B$8,"",IF($AL238,($AI238-Constants!$B$29)*Constants!$B$28,0))</f>
        <v/>
      </c>
      <c r="BG238" s="96" t="str">
        <f aca="false">IF($BR238&lt;&gt;Constants!$B$8,"",IF($AK238,0,Constants!$B$15)+IF($AJ238,0,Constants!$B$16)+IF($AH238,0,Constants!$B$17))</f>
        <v/>
      </c>
      <c r="BH238" s="97" t="str">
        <f aca="false">IF($BR238&lt;&gt;Constants!$B$8,"",Constants!$B$20+SUM($BC238:$BG238))</f>
        <v/>
      </c>
      <c r="BI238" s="92" t="str">
        <f aca="false">IF($BR238&lt;&gt;Constants!$B$8,"",IF(OR($BP238&lt;$BH238,AND($BP238=$BH238,OR($BK238&lt;$BC238,AND($BK238=$BC238,OR($BL238&lt;$BD238,AND($BL238=$BD238,$AT238,$AL238,$AV238&lt;$AN238)))))),"-&gt;","&lt;-"))</f>
        <v/>
      </c>
      <c r="BJ238" s="91" t="str">
        <f aca="false">IF(ISBLANK($C238),"",AND($AT238,OR($AU238="",$AV238="",AND($AW238,$AX238=""))))</f>
        <v/>
      </c>
      <c r="BK238" s="93" t="str">
        <f aca="false">IF($BR238&lt;&gt;Constants!$B$8,"",IF($AT238,Constants!$B$21*$AV238+Constants!$B$22*IF($AW238,$AX238,Constants!$B$23),Constants!$B$24))</f>
        <v/>
      </c>
      <c r="BL238" s="96" t="str">
        <f aca="false">IF($BR238&lt;&gt;Constants!$B$8,"",Constants!$B$25*ABS($AD$9-IF($AT238,$AU238,0)))</f>
        <v/>
      </c>
      <c r="BM238" s="96" t="str">
        <f aca="false">IF($BR238&lt;&gt;Constants!$B$8,"",IF(AND($AT238,$AY238,$AW238),Constants!$B$27,0))</f>
        <v/>
      </c>
      <c r="BN238" s="96" t="str">
        <f aca="false">IF($BR238&lt;&gt;Constants!$B$8,"",IF($AT238,($AI238-Constants!$B$29)*Constants!$B$28,0))</f>
        <v/>
      </c>
      <c r="BO238" s="96" t="str">
        <f aca="false">IF($BR238&lt;&gt;Constants!$B$8,"",IF($AS238,0,Constants!$B$15)+IF($AR238,0,Constants!$B$16)+IF($AH238,0,Constants!$B$17))</f>
        <v/>
      </c>
      <c r="BP238" s="97" t="str">
        <f aca="false">IF($BR238&lt;&gt;Constants!$B$8,"",Constants!$B$20+SUM($BK238:$BO238))</f>
        <v/>
      </c>
      <c r="BQ238" s="92" t="str">
        <f aca="false">IF(ISBLANK($C238),"",IF(ISBLANK($D$7),$BQ$5,IF(NOT(ISNUMBER($D$7)),$BQ$6,"")))</f>
        <v/>
      </c>
      <c r="BR238" s="92" t="str">
        <f aca="false">IF(ISBLANK($C238),"",IF($BA238,Constants!$B$11,IF(COUNTA($E238:$AA238)=0,Constants!$B$10,IF(NOT($AG238),Constants!$B$9,IF(OR($BQ238&lt;&gt;"",$BB238,$BJ238),Constants!$B$12,Constants!$B$8)))))</f>
        <v/>
      </c>
      <c r="BS238" s="92" t="str">
        <f aca="false">IF(ISBLANK($C238),"",IF($BR238&lt;&gt;Constants!$B$8,$BR238,Constants!$B$13))</f>
        <v/>
      </c>
      <c r="BT238" s="96" t="str">
        <f aca="false">IF($BR238&lt;&gt;Constants!$B$8,"",IF($BI238="-&gt;",$BP238,$BH238))</f>
        <v/>
      </c>
      <c r="BU238" s="96" t="str">
        <f aca="false">IF($BR238&lt;&gt;Constants!$B$8,"",IF($AF238,0,Constants!$B$18))</f>
        <v/>
      </c>
      <c r="BV238" s="96" t="str">
        <f aca="false">IF($BR238&lt;&gt;Constants!$B$8,"",((Constants!$B$31-$AZ238)-Constants!$B$31)/Constants!$B$32)</f>
        <v/>
      </c>
      <c r="BW238" s="96" t="str">
        <f aca="false">IF(ISBLANK($C238),"",IF($BR238&lt;&gt;Constants!$B$8,$BR238,SUM($BT238:$BV238)))</f>
        <v/>
      </c>
      <c r="BX238" s="92" t="str">
        <f aca="false">IF(ISBLANK($C238),"",IF($BR238&lt;&gt;Constants!$B$8,$BR238,RANK($BW238,$BW$9:$BW$508,1)))</f>
        <v/>
      </c>
      <c r="BY238" s="96" t="str">
        <f aca="false">IF($BR238&lt;&gt;Constants!$B$8,"",IF($BI238="-&gt;",$BK238,$BC238))</f>
        <v/>
      </c>
      <c r="BZ238" s="92" t="str">
        <f aca="false">IF(ISBLANK($C238),"",IF($BR238&lt;&gt;Constants!$B$8,$BR238,IF(ISNUMBER($BY238),RANK($BY238,$BY$9:$BY$508,1),COUNT($BY$9:$BY$508)+1)))</f>
        <v/>
      </c>
      <c r="CA238" s="96" t="str">
        <f aca="false">IF($BR238&lt;&gt;Constants!$B$8,"",IF($BI238="-&gt;",$BL238,$BD238))</f>
        <v/>
      </c>
      <c r="CB238" s="92" t="str">
        <f aca="false">IF(ISBLANK($C238),"",IF($BR238&lt;&gt;Constants!$B$8,$BR238,IF(ISNUMBER($CA238),RANK($CA238,$CA$9:$CA$508,1),COUNT($CA$9:$CA$508)+1)))</f>
        <v/>
      </c>
      <c r="CC238" s="96" t="str">
        <f aca="false">IF($BR238&lt;&gt;Constants!$B$8,"",IF($BI238="-&gt;",IF($AT238,$AV238,""),IF($AL238,$AN238,"")))</f>
        <v/>
      </c>
      <c r="CD238" s="92" t="str">
        <f aca="false">IF(ISBLANK($C238),"",IF($BR238&lt;&gt;Constants!$B$8,$BR238,IF(ISNUMBER($CC238),RANK($CC238,$CC$9:$CC$508,1),COUNT($CC$9:$CC$508)+1)))</f>
        <v/>
      </c>
      <c r="CE238" s="96" t="str">
        <f aca="false">IF($BR238&lt;&gt;Constants!$B$8,"",IF(AND(NOT($AL238),NOT($AT238),$AJ238,$AK238,$AR238,$AS238),"",$AI238))</f>
        <v/>
      </c>
      <c r="CF238" s="92" t="str">
        <f aca="false">IF(ISBLANK($C238),"",IF($BR238&lt;&gt;Constants!$B$8,$BR238,IF(ISNUMBER($CE238),RANK($CE238,$CE$9:$CE$508,1),COUNT($CE$9:$CE$508)+1)))</f>
        <v/>
      </c>
      <c r="CG238" s="92" t="str">
        <f aca="false">IF(ISBLANK($C238),"",IF($BR238&lt;&gt;Constants!$B$8,$BR238,COUNTIFS($BX$9:$BX$508,"&lt;"&amp;$BX238)+COUNTIFS($BX$9:$BX$508,$BX238,$BZ$9:$BZ$508,"&lt;"&amp;$BZ238)+COUNTIFS($BX$9:$BX$508,$BX238,$BZ$9:$BZ$508,$BZ238,$CB$9:$CB$508,"&lt;"&amp;$CB238)+COUNTIFS($BX$9:$BX$508,$BX238,$BZ$9:$BZ$508,$BZ238,$CB$9:$CB$508,$CB238,$CD$9:$CD$508,"&lt;"&amp;$CD238)+COUNTIFS($BX$9:$BX$508,$BX238,$BZ$9:$BZ$508,$BZ238,$CB$9:$CB$508,$CB238,$CD$9:$CD$508,$CD238,$CF$9:$CF$508,"&lt;"&amp;$CF238)+1))</f>
        <v/>
      </c>
      <c r="CH238" s="92" t="str">
        <f aca="false">IF(ISBLANK($C238),"",IF($BR238&lt;&gt;Constants!$B$8,$BR238,$BX238-$CG238))</f>
        <v/>
      </c>
      <c r="CI238" s="98"/>
      <c r="CJ238" s="99"/>
      <c r="CK238" s="100" t="str">
        <f aca="false">IF(ISBLANK($C238),"",IF($BR238=Constants!$B$12,$BQ238,""))</f>
        <v/>
      </c>
      <c r="CL238" s="99" t="str">
        <f aca="false">IF(ISBLANK($C238),"",IF($BR238&lt;&gt;Constants!$B$8,"",IF($BI238="-&gt;",2,1)))</f>
        <v/>
      </c>
      <c r="CM238" s="101" t="str">
        <f aca="false">IF(ISBLANK($C238),"",IF($BR238&lt;&gt;Constants!$B$8,"",IF($BI238="-&gt;",$BK238,$BC238)))</f>
        <v/>
      </c>
      <c r="CN238" s="101" t="str">
        <f aca="false">IF(ISBLANK($C238),"",IF($BR238&lt;&gt;Constants!$B$8,"",IF($BI238="-&gt;",$BL238,$BD238)))</f>
        <v/>
      </c>
      <c r="CO238" s="101" t="str">
        <f aca="false">IF(ISBLANK($C238),"",IF($BR238&lt;&gt;Constants!$B$8,"",IF($BI238="-&gt;",$BM238+$BN238,$BE238+$BF238)+$BV238))</f>
        <v/>
      </c>
      <c r="CP238" s="101" t="str">
        <f aca="false">IF(ISBLANK($C238),"",IF($BR238&lt;&gt;Constants!$B$8,"",IF($BI238="-&gt;",$BO238,$BG238)+$BU238))</f>
        <v/>
      </c>
      <c r="CQ238" s="102" t="str">
        <f aca="false">IF(ISBLANK($C238),"",IF($BR238&lt;&gt;Constants!$B$8,$BR238,$BW238))</f>
        <v/>
      </c>
      <c r="CR238" s="103" t="str">
        <f aca="false">IF(ISBLANK($C238),"",$BS238)</f>
        <v/>
      </c>
      <c r="CS238" s="104" t="str">
        <f aca="false">IF(ISBLANK($C238),"",$CH238)</f>
        <v/>
      </c>
      <c r="CT238" s="104" t="str">
        <f aca="false">IF(ISBLANK($C238),"",$CG238)</f>
        <v/>
      </c>
      <c r="CU238" s="105" t="str">
        <f aca="false">IF(ISBLANK($C238),"",IFERROR(_xlfn.SWITCH($CT238,Constants!$B$11,COUNTA($C$9:$C$508)+2,Constants!$B$10,COUNTA($C$9:$C$508)+1,Constants!$B$9,COUNTA($C$9:$C$508)),$CT238))</f>
        <v/>
      </c>
      <c r="CV238" s="9"/>
      <c r="CW238" s="106" t="n">
        <f aca="false">IF(OR(ISNUMBER($CT238),$CT238=Constants!$B$11,$CT238=Constants!$B$9,$CT238=Constants!$B$10),1,0)</f>
        <v>0</v>
      </c>
      <c r="CX238" s="106" t="n">
        <v>230</v>
      </c>
      <c r="CY238" s="106" t="str">
        <f aca="false">IF(ISBLANK($C238),"",IF(ISNUMBER($CU238),$CU238+ROW($B238)/1000,""))</f>
        <v/>
      </c>
      <c r="CZ238" s="106" t="str">
        <f aca="false">IF(ISNUMBER($CY238),RANK($CY238,$CY$9:$CY$508,1),"")</f>
        <v/>
      </c>
      <c r="DA238" s="106" t="str">
        <f aca="false">IF(ISBLANK($C238),"",$B238)</f>
        <v/>
      </c>
      <c r="DB238" s="106" t="str">
        <f aca="false">IF(ISBLANK($C238),"",$C238)</f>
        <v/>
      </c>
      <c r="DC238" s="106" t="str">
        <f aca="false">IF(ISBLANK($C238),"",$D238)</f>
        <v/>
      </c>
      <c r="DD238" s="107" t="str">
        <f aca="false">$CR238</f>
        <v/>
      </c>
      <c r="DE238" s="108" t="str">
        <f aca="false">$CQ238</f>
        <v/>
      </c>
      <c r="DF238" s="106" t="str">
        <f aca="false">IF(ISBLANK($C238),"",$CT238)</f>
        <v/>
      </c>
      <c r="DG238" s="109" t="str">
        <f aca="false">IF($CX238&gt;$CW$8,"",VLOOKUP($CX238,$CZ$9:$DF$508,7,FALSE()))</f>
        <v/>
      </c>
      <c r="DH238" s="110" t="str">
        <f aca="false">IF($CX238&gt;$CW$8,"",VLOOKUP($CX238,$CZ$9:$DF$508,2,FALSE()))</f>
        <v/>
      </c>
      <c r="DI238" s="110" t="str">
        <f aca="false">IF($CX238&gt;$CW$8,"",VLOOKUP($CX238,$CZ$9:$DF$508,3,FALSE()))</f>
        <v/>
      </c>
      <c r="DJ238" s="110" t="str">
        <f aca="false">IF($CX238&gt;$CW$8,"",VLOOKUP($CX238,$CZ$9:$DF$508,4,FALSE()))</f>
        <v/>
      </c>
      <c r="DK238" s="110" t="str">
        <f aca="false">IF($CX238&gt;$CW$8,"",VLOOKUP($CX238,$CZ$9:$DF$508,5,FALSE()))</f>
        <v/>
      </c>
      <c r="DL238" s="111" t="str">
        <f aca="false">IF($CX238&gt;$CW$8,"",VLOOKUP($CX238,$CZ$9:$DF$508,6,FALSE()))</f>
        <v/>
      </c>
      <c r="DM238" s="75"/>
    </row>
    <row r="239" customFormat="false" ht="15.75" hidden="false" customHeight="false" outlineLevel="0" collapsed="false">
      <c r="A239" s="9"/>
      <c r="B239" s="77"/>
      <c r="C239" s="78"/>
      <c r="D239" s="167"/>
      <c r="E239" s="175"/>
      <c r="F239" s="169"/>
      <c r="G239" s="170"/>
      <c r="H239" s="170"/>
      <c r="I239" s="176"/>
      <c r="J239" s="173"/>
      <c r="K239" s="85"/>
      <c r="L239" s="86"/>
      <c r="M239" s="87"/>
      <c r="N239" s="173"/>
      <c r="O239" s="173"/>
      <c r="P239" s="175"/>
      <c r="Q239" s="173"/>
      <c r="R239" s="173"/>
      <c r="S239" s="85"/>
      <c r="T239" s="87"/>
      <c r="U239" s="87"/>
      <c r="V239" s="173"/>
      <c r="W239" s="173"/>
      <c r="X239" s="175"/>
      <c r="Y239" s="173"/>
      <c r="Z239" s="174"/>
      <c r="AA239" s="173"/>
      <c r="AB239" s="91"/>
      <c r="AC239" s="92"/>
      <c r="AD239" s="92"/>
      <c r="AE239" s="92"/>
      <c r="AF239" s="92" t="str">
        <f aca="false">IF(ISBLANK($C239),"",IF(E239=Constants!$B$3,TRUE(),IF(E239=Constants!$B$4,FALSE(),TRUE())))</f>
        <v/>
      </c>
      <c r="AG239" s="92" t="str">
        <f aca="false">IF(ISBLANK($C239),"",IF(F239=Constants!$B$3,TRUE(),IF(F239=Constants!$B$4,FALSE(),TRUE())))</f>
        <v/>
      </c>
      <c r="AH239" s="92" t="str">
        <f aca="false">IF(ISBLANK($C239),"",IF(G239=Constants!$B$3,TRUE(),IF(G239=Constants!$B$4,FALSE(),TRUE())))</f>
        <v/>
      </c>
      <c r="AI239" s="92" t="str">
        <f aca="false">IF(ISBLANK($C239),"",IF(AND(ISNUMBER(H239),H239&gt;=0),H239,Constants!$B$29))</f>
        <v/>
      </c>
      <c r="AJ239" s="92" t="str">
        <f aca="false">IF(ISBLANK($C239),"",IF(I239=Constants!$B$3,TRUE(),IF(I239=Constants!$B$4,FALSE(),TRUE())))</f>
        <v/>
      </c>
      <c r="AK239" s="92" t="str">
        <f aca="false">IF(ISBLANK($C239),"",IF(J239=Constants!$B$3,TRUE(),IF(J239=Constants!$B$4,FALSE(),TRUE())))</f>
        <v/>
      </c>
      <c r="AL239" s="92" t="str">
        <f aca="false">IF(ISBLANK($C239),"",IF(K239=Constants!$B$5,TRUE(),IF(K239=Constants!$B$6,FALSE(),COUNTA(L239:P239)&gt;0)))</f>
        <v/>
      </c>
      <c r="AM239" s="94" t="str">
        <f aca="false">IF(ISBLANK($C239),"",IF(ISNUMBER(L239),IF(L239&gt;=0,L239,""),""))</f>
        <v/>
      </c>
      <c r="AN239" s="93" t="str">
        <f aca="false">IF(ISBLANK($C239),"",IF(ISNUMBER(M239),IF(M239&gt;=0,M239,""),""))</f>
        <v/>
      </c>
      <c r="AO239" s="93" t="str">
        <f aca="false">IF(ISBLANK($C239),"",IF(N239=Constants!$B$3,TRUE(),IF(N239=Constants!$B$4,FALSE(),TRUE())))</f>
        <v/>
      </c>
      <c r="AP239" s="92" t="str">
        <f aca="false">IF(ISBLANK($C239),"",IF(ISNUMBER(O239),IF(O239&gt;=0,O239,""),""))</f>
        <v/>
      </c>
      <c r="AQ239" s="92" t="str">
        <f aca="false">IF(ISBLANK($C239),"",IF(P239=Constants!$B$3,TRUE(),IF(P239=Constants!$B$4,FALSE(),FALSE())))</f>
        <v/>
      </c>
      <c r="AR239" s="92" t="str">
        <f aca="false">IF(ISBLANK($C239),"",IF(Q239=Constants!$B$3,TRUE(),IF(Q239=Constants!$B$4,FALSE(),TRUE())))</f>
        <v/>
      </c>
      <c r="AS239" s="92" t="str">
        <f aca="false">IF(ISBLANK($C239),"",IF(R239=Constants!$B$3,TRUE(),IF(R239=Constants!$B$4,FALSE(),TRUE())))</f>
        <v/>
      </c>
      <c r="AT239" s="92" t="str">
        <f aca="false">IF(ISBLANK($C239),"",IF(S239=Constants!$B$5,TRUE(),IF(S239=Constants!$B$6,FALSE(),COUNTA(T239:X239)&gt;0)))</f>
        <v/>
      </c>
      <c r="AU239" s="94" t="str">
        <f aca="false">IF(ISBLANK($C239),"",IF(ISNUMBER(T239),IF(T239&gt;=0,T239,""),""))</f>
        <v/>
      </c>
      <c r="AV239" s="93" t="str">
        <f aca="false">IF(ISBLANK($C239),"",IF(ISNUMBER(U239),IF(U239&gt;=0,U239,""),""))</f>
        <v/>
      </c>
      <c r="AW239" s="93" t="str">
        <f aca="false">IF(ISBLANK($C239),"",IF(V239=Constants!$B$3,TRUE(),IF(V239=Constants!$B$4,FALSE(),TRUE())))</f>
        <v/>
      </c>
      <c r="AX239" s="92" t="str">
        <f aca="false">IF(ISBLANK($C239),"",IF(ISNUMBER(W239),IF(W239&gt;=0,W239,""),""))</f>
        <v/>
      </c>
      <c r="AY239" s="92" t="str">
        <f aca="false">IF(ISBLANK($C239),"",IF(X239=Constants!$B$3,TRUE(),IF(X239=Constants!$B$4,FALSE(),FALSE())))</f>
        <v/>
      </c>
      <c r="AZ239" s="92" t="str">
        <f aca="false">IF(ISBLANK($C239),"",MIN(Constants!$B$31,MAX(0,IF(ISNUMBER(Y239),Y239*60,0)+IF(ISNUMBER(Z239),Z239,0))))</f>
        <v/>
      </c>
      <c r="BA239" s="92" t="str">
        <f aca="false">IF(ISBLANK($C239),"",IF(AA239=Constants!$B$3,TRUE(),IF(AA239=Constants!$B$4,FALSE(),FALSE())))</f>
        <v/>
      </c>
      <c r="BB239" s="91" t="str">
        <f aca="false">IF(ISBLANK($C239),"",AND($AL239,OR($AM239="",$AN239="",AND($AO239,$AP239=""))))</f>
        <v/>
      </c>
      <c r="BC239" s="93" t="str">
        <f aca="false">IF($BR239&lt;&gt;Constants!$B$8,"",IF($AL239,Constants!$B$21*$AN239+Constants!$B$22*IF($AO239,$AP239,Constants!$B$23),Constants!$B$24))</f>
        <v/>
      </c>
      <c r="BD239" s="96" t="str">
        <f aca="false">IF($BR239&lt;&gt;Constants!$B$8,"",Constants!$B$25*ABS($AD$9-IF($AL239,$AM239,0)))</f>
        <v/>
      </c>
      <c r="BE239" s="96" t="str">
        <f aca="false">IF($BR239&lt;&gt;Constants!$B$8,"",IF(AND($AL239,$AQ239,$AO239),Constants!$B$27,0))</f>
        <v/>
      </c>
      <c r="BF239" s="96" t="str">
        <f aca="false">IF($BR239&lt;&gt;Constants!$B$8,"",IF($AL239,($AI239-Constants!$B$29)*Constants!$B$28,0))</f>
        <v/>
      </c>
      <c r="BG239" s="96" t="str">
        <f aca="false">IF($BR239&lt;&gt;Constants!$B$8,"",IF($AK239,0,Constants!$B$15)+IF($AJ239,0,Constants!$B$16)+IF($AH239,0,Constants!$B$17))</f>
        <v/>
      </c>
      <c r="BH239" s="97" t="str">
        <f aca="false">IF($BR239&lt;&gt;Constants!$B$8,"",Constants!$B$20+SUM($BC239:$BG239))</f>
        <v/>
      </c>
      <c r="BI239" s="92" t="str">
        <f aca="false">IF($BR239&lt;&gt;Constants!$B$8,"",IF(OR($BP239&lt;$BH239,AND($BP239=$BH239,OR($BK239&lt;$BC239,AND($BK239=$BC239,OR($BL239&lt;$BD239,AND($BL239=$BD239,$AT239,$AL239,$AV239&lt;$AN239)))))),"-&gt;","&lt;-"))</f>
        <v/>
      </c>
      <c r="BJ239" s="91" t="str">
        <f aca="false">IF(ISBLANK($C239),"",AND($AT239,OR($AU239="",$AV239="",AND($AW239,$AX239=""))))</f>
        <v/>
      </c>
      <c r="BK239" s="93" t="str">
        <f aca="false">IF($BR239&lt;&gt;Constants!$B$8,"",IF($AT239,Constants!$B$21*$AV239+Constants!$B$22*IF($AW239,$AX239,Constants!$B$23),Constants!$B$24))</f>
        <v/>
      </c>
      <c r="BL239" s="96" t="str">
        <f aca="false">IF($BR239&lt;&gt;Constants!$B$8,"",Constants!$B$25*ABS($AD$9-IF($AT239,$AU239,0)))</f>
        <v/>
      </c>
      <c r="BM239" s="96" t="str">
        <f aca="false">IF($BR239&lt;&gt;Constants!$B$8,"",IF(AND($AT239,$AY239,$AW239),Constants!$B$27,0))</f>
        <v/>
      </c>
      <c r="BN239" s="96" t="str">
        <f aca="false">IF($BR239&lt;&gt;Constants!$B$8,"",IF($AT239,($AI239-Constants!$B$29)*Constants!$B$28,0))</f>
        <v/>
      </c>
      <c r="BO239" s="96" t="str">
        <f aca="false">IF($BR239&lt;&gt;Constants!$B$8,"",IF($AS239,0,Constants!$B$15)+IF($AR239,0,Constants!$B$16)+IF($AH239,0,Constants!$B$17))</f>
        <v/>
      </c>
      <c r="BP239" s="97" t="str">
        <f aca="false">IF($BR239&lt;&gt;Constants!$B$8,"",Constants!$B$20+SUM($BK239:$BO239))</f>
        <v/>
      </c>
      <c r="BQ239" s="92" t="str">
        <f aca="false">IF(ISBLANK($C239),"",IF(ISBLANK($D$7),$BQ$5,IF(NOT(ISNUMBER($D$7)),$BQ$6,"")))</f>
        <v/>
      </c>
      <c r="BR239" s="92" t="str">
        <f aca="false">IF(ISBLANK($C239),"",IF($BA239,Constants!$B$11,IF(COUNTA($E239:$AA239)=0,Constants!$B$10,IF(NOT($AG239),Constants!$B$9,IF(OR($BQ239&lt;&gt;"",$BB239,$BJ239),Constants!$B$12,Constants!$B$8)))))</f>
        <v/>
      </c>
      <c r="BS239" s="92" t="str">
        <f aca="false">IF(ISBLANK($C239),"",IF($BR239&lt;&gt;Constants!$B$8,$BR239,Constants!$B$13))</f>
        <v/>
      </c>
      <c r="BT239" s="96" t="str">
        <f aca="false">IF($BR239&lt;&gt;Constants!$B$8,"",IF($BI239="-&gt;",$BP239,$BH239))</f>
        <v/>
      </c>
      <c r="BU239" s="96" t="str">
        <f aca="false">IF($BR239&lt;&gt;Constants!$B$8,"",IF($AF239,0,Constants!$B$18))</f>
        <v/>
      </c>
      <c r="BV239" s="96" t="str">
        <f aca="false">IF($BR239&lt;&gt;Constants!$B$8,"",((Constants!$B$31-$AZ239)-Constants!$B$31)/Constants!$B$32)</f>
        <v/>
      </c>
      <c r="BW239" s="96" t="str">
        <f aca="false">IF(ISBLANK($C239),"",IF($BR239&lt;&gt;Constants!$B$8,$BR239,SUM($BT239:$BV239)))</f>
        <v/>
      </c>
      <c r="BX239" s="92" t="str">
        <f aca="false">IF(ISBLANK($C239),"",IF($BR239&lt;&gt;Constants!$B$8,$BR239,RANK($BW239,$BW$9:$BW$508,1)))</f>
        <v/>
      </c>
      <c r="BY239" s="96" t="str">
        <f aca="false">IF($BR239&lt;&gt;Constants!$B$8,"",IF($BI239="-&gt;",$BK239,$BC239))</f>
        <v/>
      </c>
      <c r="BZ239" s="92" t="str">
        <f aca="false">IF(ISBLANK($C239),"",IF($BR239&lt;&gt;Constants!$B$8,$BR239,IF(ISNUMBER($BY239),RANK($BY239,$BY$9:$BY$508,1),COUNT($BY$9:$BY$508)+1)))</f>
        <v/>
      </c>
      <c r="CA239" s="96" t="str">
        <f aca="false">IF($BR239&lt;&gt;Constants!$B$8,"",IF($BI239="-&gt;",$BL239,$BD239))</f>
        <v/>
      </c>
      <c r="CB239" s="92" t="str">
        <f aca="false">IF(ISBLANK($C239),"",IF($BR239&lt;&gt;Constants!$B$8,$BR239,IF(ISNUMBER($CA239),RANK($CA239,$CA$9:$CA$508,1),COUNT($CA$9:$CA$508)+1)))</f>
        <v/>
      </c>
      <c r="CC239" s="96" t="str">
        <f aca="false">IF($BR239&lt;&gt;Constants!$B$8,"",IF($BI239="-&gt;",IF($AT239,$AV239,""),IF($AL239,$AN239,"")))</f>
        <v/>
      </c>
      <c r="CD239" s="92" t="str">
        <f aca="false">IF(ISBLANK($C239),"",IF($BR239&lt;&gt;Constants!$B$8,$BR239,IF(ISNUMBER($CC239),RANK($CC239,$CC$9:$CC$508,1),COUNT($CC$9:$CC$508)+1)))</f>
        <v/>
      </c>
      <c r="CE239" s="96" t="str">
        <f aca="false">IF($BR239&lt;&gt;Constants!$B$8,"",IF(AND(NOT($AL239),NOT($AT239),$AJ239,$AK239,$AR239,$AS239),"",$AI239))</f>
        <v/>
      </c>
      <c r="CF239" s="92" t="str">
        <f aca="false">IF(ISBLANK($C239),"",IF($BR239&lt;&gt;Constants!$B$8,$BR239,IF(ISNUMBER($CE239),RANK($CE239,$CE$9:$CE$508,1),COUNT($CE$9:$CE$508)+1)))</f>
        <v/>
      </c>
      <c r="CG239" s="92" t="str">
        <f aca="false">IF(ISBLANK($C239),"",IF($BR239&lt;&gt;Constants!$B$8,$BR239,COUNTIFS($BX$9:$BX$508,"&lt;"&amp;$BX239)+COUNTIFS($BX$9:$BX$508,$BX239,$BZ$9:$BZ$508,"&lt;"&amp;$BZ239)+COUNTIFS($BX$9:$BX$508,$BX239,$BZ$9:$BZ$508,$BZ239,$CB$9:$CB$508,"&lt;"&amp;$CB239)+COUNTIFS($BX$9:$BX$508,$BX239,$BZ$9:$BZ$508,$BZ239,$CB$9:$CB$508,$CB239,$CD$9:$CD$508,"&lt;"&amp;$CD239)+COUNTIFS($BX$9:$BX$508,$BX239,$BZ$9:$BZ$508,$BZ239,$CB$9:$CB$508,$CB239,$CD$9:$CD$508,$CD239,$CF$9:$CF$508,"&lt;"&amp;$CF239)+1))</f>
        <v/>
      </c>
      <c r="CH239" s="92" t="str">
        <f aca="false">IF(ISBLANK($C239),"",IF($BR239&lt;&gt;Constants!$B$8,$BR239,$BX239-$CG239))</f>
        <v/>
      </c>
      <c r="CI239" s="98"/>
      <c r="CJ239" s="99"/>
      <c r="CK239" s="100" t="str">
        <f aca="false">IF(ISBLANK($C239),"",IF($BR239=Constants!$B$12,$BQ239,""))</f>
        <v/>
      </c>
      <c r="CL239" s="99" t="str">
        <f aca="false">IF(ISBLANK($C239),"",IF($BR239&lt;&gt;Constants!$B$8,"",IF($BI239="-&gt;",2,1)))</f>
        <v/>
      </c>
      <c r="CM239" s="101" t="str">
        <f aca="false">IF(ISBLANK($C239),"",IF($BR239&lt;&gt;Constants!$B$8,"",IF($BI239="-&gt;",$BK239,$BC239)))</f>
        <v/>
      </c>
      <c r="CN239" s="101" t="str">
        <f aca="false">IF(ISBLANK($C239),"",IF($BR239&lt;&gt;Constants!$B$8,"",IF($BI239="-&gt;",$BL239,$BD239)))</f>
        <v/>
      </c>
      <c r="CO239" s="101" t="str">
        <f aca="false">IF(ISBLANK($C239),"",IF($BR239&lt;&gt;Constants!$B$8,"",IF($BI239="-&gt;",$BM239+$BN239,$BE239+$BF239)+$BV239))</f>
        <v/>
      </c>
      <c r="CP239" s="101" t="str">
        <f aca="false">IF(ISBLANK($C239),"",IF($BR239&lt;&gt;Constants!$B$8,"",IF($BI239="-&gt;",$BO239,$BG239)+$BU239))</f>
        <v/>
      </c>
      <c r="CQ239" s="102" t="str">
        <f aca="false">IF(ISBLANK($C239),"",IF($BR239&lt;&gt;Constants!$B$8,$BR239,$BW239))</f>
        <v/>
      </c>
      <c r="CR239" s="103" t="str">
        <f aca="false">IF(ISBLANK($C239),"",$BS239)</f>
        <v/>
      </c>
      <c r="CS239" s="104" t="str">
        <f aca="false">IF(ISBLANK($C239),"",$CH239)</f>
        <v/>
      </c>
      <c r="CT239" s="104" t="str">
        <f aca="false">IF(ISBLANK($C239),"",$CG239)</f>
        <v/>
      </c>
      <c r="CU239" s="105" t="str">
        <f aca="false">IF(ISBLANK($C239),"",IFERROR(_xlfn.SWITCH($CT239,Constants!$B$11,COUNTA($C$9:$C$508)+2,Constants!$B$10,COUNTA($C$9:$C$508)+1,Constants!$B$9,COUNTA($C$9:$C$508)),$CT239))</f>
        <v/>
      </c>
      <c r="CV239" s="9"/>
      <c r="CW239" s="106" t="n">
        <f aca="false">IF(OR(ISNUMBER($CT239),$CT239=Constants!$B$11,$CT239=Constants!$B$9,$CT239=Constants!$B$10),1,0)</f>
        <v>0</v>
      </c>
      <c r="CX239" s="106" t="n">
        <v>231</v>
      </c>
      <c r="CY239" s="106" t="str">
        <f aca="false">IF(ISBLANK($C239),"",IF(ISNUMBER($CU239),$CU239+ROW($B239)/1000,""))</f>
        <v/>
      </c>
      <c r="CZ239" s="106" t="str">
        <f aca="false">IF(ISNUMBER($CY239),RANK($CY239,$CY$9:$CY$508,1),"")</f>
        <v/>
      </c>
      <c r="DA239" s="106" t="str">
        <f aca="false">IF(ISBLANK($C239),"",$B239)</f>
        <v/>
      </c>
      <c r="DB239" s="106" t="str">
        <f aca="false">IF(ISBLANK($C239),"",$C239)</f>
        <v/>
      </c>
      <c r="DC239" s="106" t="str">
        <f aca="false">IF(ISBLANK($C239),"",$D239)</f>
        <v/>
      </c>
      <c r="DD239" s="107" t="str">
        <f aca="false">$CR239</f>
        <v/>
      </c>
      <c r="DE239" s="108" t="str">
        <f aca="false">$CQ239</f>
        <v/>
      </c>
      <c r="DF239" s="106" t="str">
        <f aca="false">IF(ISBLANK($C239),"",$CT239)</f>
        <v/>
      </c>
      <c r="DG239" s="109" t="str">
        <f aca="false">IF($CX239&gt;$CW$8,"",VLOOKUP($CX239,$CZ$9:$DF$508,7,FALSE()))</f>
        <v/>
      </c>
      <c r="DH239" s="110" t="str">
        <f aca="false">IF($CX239&gt;$CW$8,"",VLOOKUP($CX239,$CZ$9:$DF$508,2,FALSE()))</f>
        <v/>
      </c>
      <c r="DI239" s="110" t="str">
        <f aca="false">IF($CX239&gt;$CW$8,"",VLOOKUP($CX239,$CZ$9:$DF$508,3,FALSE()))</f>
        <v/>
      </c>
      <c r="DJ239" s="110" t="str">
        <f aca="false">IF($CX239&gt;$CW$8,"",VLOOKUP($CX239,$CZ$9:$DF$508,4,FALSE()))</f>
        <v/>
      </c>
      <c r="DK239" s="110" t="str">
        <f aca="false">IF($CX239&gt;$CW$8,"",VLOOKUP($CX239,$CZ$9:$DF$508,5,FALSE()))</f>
        <v/>
      </c>
      <c r="DL239" s="111" t="str">
        <f aca="false">IF($CX239&gt;$CW$8,"",VLOOKUP($CX239,$CZ$9:$DF$508,6,FALSE()))</f>
        <v/>
      </c>
      <c r="DM239" s="75"/>
    </row>
    <row r="240" customFormat="false" ht="15.75" hidden="false" customHeight="false" outlineLevel="0" collapsed="false">
      <c r="A240" s="9"/>
      <c r="B240" s="157"/>
      <c r="C240" s="158"/>
      <c r="D240" s="159"/>
      <c r="E240" s="177"/>
      <c r="F240" s="161"/>
      <c r="G240" s="162"/>
      <c r="H240" s="162"/>
      <c r="I240" s="178"/>
      <c r="J240" s="165"/>
      <c r="K240" s="126"/>
      <c r="L240" s="127"/>
      <c r="M240" s="128"/>
      <c r="N240" s="165"/>
      <c r="O240" s="165"/>
      <c r="P240" s="177"/>
      <c r="Q240" s="165"/>
      <c r="R240" s="165"/>
      <c r="S240" s="126"/>
      <c r="T240" s="128"/>
      <c r="U240" s="128"/>
      <c r="V240" s="165"/>
      <c r="W240" s="165"/>
      <c r="X240" s="177"/>
      <c r="Y240" s="165"/>
      <c r="Z240" s="166"/>
      <c r="AA240" s="165"/>
      <c r="AB240" s="132"/>
      <c r="AC240" s="133"/>
      <c r="AD240" s="133"/>
      <c r="AE240" s="133"/>
      <c r="AF240" s="133" t="str">
        <f aca="false">IF(ISBLANK($C240),"",IF(E240=Constants!$B$3,TRUE(),IF(E240=Constants!$B$4,FALSE(),TRUE())))</f>
        <v/>
      </c>
      <c r="AG240" s="133" t="str">
        <f aca="false">IF(ISBLANK($C240),"",IF(F240=Constants!$B$3,TRUE(),IF(F240=Constants!$B$4,FALSE(),TRUE())))</f>
        <v/>
      </c>
      <c r="AH240" s="133" t="str">
        <f aca="false">IF(ISBLANK($C240),"",IF(G240=Constants!$B$3,TRUE(),IF(G240=Constants!$B$4,FALSE(),TRUE())))</f>
        <v/>
      </c>
      <c r="AI240" s="133" t="str">
        <f aca="false">IF(ISBLANK($C240),"",IF(AND(ISNUMBER(H240),H240&gt;=0),H240,Constants!$B$29))</f>
        <v/>
      </c>
      <c r="AJ240" s="133" t="str">
        <f aca="false">IF(ISBLANK($C240),"",IF(I240=Constants!$B$3,TRUE(),IF(I240=Constants!$B$4,FALSE(),TRUE())))</f>
        <v/>
      </c>
      <c r="AK240" s="133" t="str">
        <f aca="false">IF(ISBLANK($C240),"",IF(J240=Constants!$B$3,TRUE(),IF(J240=Constants!$B$4,FALSE(),TRUE())))</f>
        <v/>
      </c>
      <c r="AL240" s="133" t="str">
        <f aca="false">IF(ISBLANK($C240),"",IF(K240=Constants!$B$5,TRUE(),IF(K240=Constants!$B$6,FALSE(),COUNTA(L240:P240)&gt;0)))</f>
        <v/>
      </c>
      <c r="AM240" s="134" t="str">
        <f aca="false">IF(ISBLANK($C240),"",IF(ISNUMBER(L240),IF(L240&gt;=0,L240,""),""))</f>
        <v/>
      </c>
      <c r="AN240" s="135" t="str">
        <f aca="false">IF(ISBLANK($C240),"",IF(ISNUMBER(M240),IF(M240&gt;=0,M240,""),""))</f>
        <v/>
      </c>
      <c r="AO240" s="135" t="str">
        <f aca="false">IF(ISBLANK($C240),"",IF(N240=Constants!$B$3,TRUE(),IF(N240=Constants!$B$4,FALSE(),TRUE())))</f>
        <v/>
      </c>
      <c r="AP240" s="133" t="str">
        <f aca="false">IF(ISBLANK($C240),"",IF(ISNUMBER(O240),IF(O240&gt;=0,O240,""),""))</f>
        <v/>
      </c>
      <c r="AQ240" s="133" t="str">
        <f aca="false">IF(ISBLANK($C240),"",IF(P240=Constants!$B$3,TRUE(),IF(P240=Constants!$B$4,FALSE(),FALSE())))</f>
        <v/>
      </c>
      <c r="AR240" s="133" t="str">
        <f aca="false">IF(ISBLANK($C240),"",IF(Q240=Constants!$B$3,TRUE(),IF(Q240=Constants!$B$4,FALSE(),TRUE())))</f>
        <v/>
      </c>
      <c r="AS240" s="133" t="str">
        <f aca="false">IF(ISBLANK($C240),"",IF(R240=Constants!$B$3,TRUE(),IF(R240=Constants!$B$4,FALSE(),TRUE())))</f>
        <v/>
      </c>
      <c r="AT240" s="133" t="str">
        <f aca="false">IF(ISBLANK($C240),"",IF(S240=Constants!$B$5,TRUE(),IF(S240=Constants!$B$6,FALSE(),COUNTA(T240:X240)&gt;0)))</f>
        <v/>
      </c>
      <c r="AU240" s="134" t="str">
        <f aca="false">IF(ISBLANK($C240),"",IF(ISNUMBER(T240),IF(T240&gt;=0,T240,""),""))</f>
        <v/>
      </c>
      <c r="AV240" s="135" t="str">
        <f aca="false">IF(ISBLANK($C240),"",IF(ISNUMBER(U240),IF(U240&gt;=0,U240,""),""))</f>
        <v/>
      </c>
      <c r="AW240" s="135" t="str">
        <f aca="false">IF(ISBLANK($C240),"",IF(V240=Constants!$B$3,TRUE(),IF(V240=Constants!$B$4,FALSE(),TRUE())))</f>
        <v/>
      </c>
      <c r="AX240" s="133" t="str">
        <f aca="false">IF(ISBLANK($C240),"",IF(ISNUMBER(W240),IF(W240&gt;=0,W240,""),""))</f>
        <v/>
      </c>
      <c r="AY240" s="133" t="str">
        <f aca="false">IF(ISBLANK($C240),"",IF(X240=Constants!$B$3,TRUE(),IF(X240=Constants!$B$4,FALSE(),FALSE())))</f>
        <v/>
      </c>
      <c r="AZ240" s="133" t="str">
        <f aca="false">IF(ISBLANK($C240),"",MIN(Constants!$B$31,MAX(0,IF(ISNUMBER(Y240),Y240*60,0)+IF(ISNUMBER(Z240),Z240,0))))</f>
        <v/>
      </c>
      <c r="BA240" s="133" t="str">
        <f aca="false">IF(ISBLANK($C240),"",IF(AA240=Constants!$B$3,TRUE(),IF(AA240=Constants!$B$4,FALSE(),FALSE())))</f>
        <v/>
      </c>
      <c r="BB240" s="132" t="str">
        <f aca="false">IF(ISBLANK($C240),"",AND($AL240,OR($AM240="",$AN240="",AND($AO240,$AP240=""))))</f>
        <v/>
      </c>
      <c r="BC240" s="135" t="str">
        <f aca="false">IF($BR240&lt;&gt;Constants!$B$8,"",IF($AL240,Constants!$B$21*$AN240+Constants!$B$22*IF($AO240,$AP240,Constants!$B$23),Constants!$B$24))</f>
        <v/>
      </c>
      <c r="BD240" s="136" t="str">
        <f aca="false">IF($BR240&lt;&gt;Constants!$B$8,"",Constants!$B$25*ABS($AD$9-IF($AL240,$AM240,0)))</f>
        <v/>
      </c>
      <c r="BE240" s="136" t="str">
        <f aca="false">IF($BR240&lt;&gt;Constants!$B$8,"",IF(AND($AL240,$AQ240,$AO240),Constants!$B$27,0))</f>
        <v/>
      </c>
      <c r="BF240" s="136" t="str">
        <f aca="false">IF($BR240&lt;&gt;Constants!$B$8,"",IF($AL240,($AI240-Constants!$B$29)*Constants!$B$28,0))</f>
        <v/>
      </c>
      <c r="BG240" s="136" t="str">
        <f aca="false">IF($BR240&lt;&gt;Constants!$B$8,"",IF($AK240,0,Constants!$B$15)+IF($AJ240,0,Constants!$B$16)+IF($AH240,0,Constants!$B$17))</f>
        <v/>
      </c>
      <c r="BH240" s="137" t="str">
        <f aca="false">IF($BR240&lt;&gt;Constants!$B$8,"",Constants!$B$20+SUM($BC240:$BG240))</f>
        <v/>
      </c>
      <c r="BI240" s="133" t="str">
        <f aca="false">IF($BR240&lt;&gt;Constants!$B$8,"",IF(OR($BP240&lt;$BH240,AND($BP240=$BH240,OR($BK240&lt;$BC240,AND($BK240=$BC240,OR($BL240&lt;$BD240,AND($BL240=$BD240,$AT240,$AL240,$AV240&lt;$AN240)))))),"-&gt;","&lt;-"))</f>
        <v/>
      </c>
      <c r="BJ240" s="132" t="str">
        <f aca="false">IF(ISBLANK($C240),"",AND($AT240,OR($AU240="",$AV240="",AND($AW240,$AX240=""))))</f>
        <v/>
      </c>
      <c r="BK240" s="135" t="str">
        <f aca="false">IF($BR240&lt;&gt;Constants!$B$8,"",IF($AT240,Constants!$B$21*$AV240+Constants!$B$22*IF($AW240,$AX240,Constants!$B$23),Constants!$B$24))</f>
        <v/>
      </c>
      <c r="BL240" s="136" t="str">
        <f aca="false">IF($BR240&lt;&gt;Constants!$B$8,"",Constants!$B$25*ABS($AD$9-IF($AT240,$AU240,0)))</f>
        <v/>
      </c>
      <c r="BM240" s="136" t="str">
        <f aca="false">IF($BR240&lt;&gt;Constants!$B$8,"",IF(AND($AT240,$AY240,$AW240),Constants!$B$27,0))</f>
        <v/>
      </c>
      <c r="BN240" s="136" t="str">
        <f aca="false">IF($BR240&lt;&gt;Constants!$B$8,"",IF($AT240,($AI240-Constants!$B$29)*Constants!$B$28,0))</f>
        <v/>
      </c>
      <c r="BO240" s="136" t="str">
        <f aca="false">IF($BR240&lt;&gt;Constants!$B$8,"",IF($AS240,0,Constants!$B$15)+IF($AR240,0,Constants!$B$16)+IF($AH240,0,Constants!$B$17))</f>
        <v/>
      </c>
      <c r="BP240" s="137" t="str">
        <f aca="false">IF($BR240&lt;&gt;Constants!$B$8,"",Constants!$B$20+SUM($BK240:$BO240))</f>
        <v/>
      </c>
      <c r="BQ240" s="133" t="str">
        <f aca="false">IF(ISBLANK($C240),"",IF(ISBLANK($D$7),$BQ$5,IF(NOT(ISNUMBER($D$7)),$BQ$6,"")))</f>
        <v/>
      </c>
      <c r="BR240" s="133" t="str">
        <f aca="false">IF(ISBLANK($C240),"",IF($BA240,Constants!$B$11,IF(COUNTA($E240:$AA240)=0,Constants!$B$10,IF(NOT($AG240),Constants!$B$9,IF(OR($BQ240&lt;&gt;"",$BB240,$BJ240),Constants!$B$12,Constants!$B$8)))))</f>
        <v/>
      </c>
      <c r="BS240" s="133" t="str">
        <f aca="false">IF(ISBLANK($C240),"",IF($BR240&lt;&gt;Constants!$B$8,$BR240,Constants!$B$13))</f>
        <v/>
      </c>
      <c r="BT240" s="136" t="str">
        <f aca="false">IF($BR240&lt;&gt;Constants!$B$8,"",IF($BI240="-&gt;",$BP240,$BH240))</f>
        <v/>
      </c>
      <c r="BU240" s="136" t="str">
        <f aca="false">IF($BR240&lt;&gt;Constants!$B$8,"",IF($AF240,0,Constants!$B$18))</f>
        <v/>
      </c>
      <c r="BV240" s="136" t="str">
        <f aca="false">IF($BR240&lt;&gt;Constants!$B$8,"",((Constants!$B$31-$AZ240)-Constants!$B$31)/Constants!$B$32)</f>
        <v/>
      </c>
      <c r="BW240" s="136" t="str">
        <f aca="false">IF(ISBLANK($C240),"",IF($BR240&lt;&gt;Constants!$B$8,$BR240,SUM($BT240:$BV240)))</f>
        <v/>
      </c>
      <c r="BX240" s="133" t="str">
        <f aca="false">IF(ISBLANK($C240),"",IF($BR240&lt;&gt;Constants!$B$8,$BR240,RANK($BW240,$BW$9:$BW$508,1)))</f>
        <v/>
      </c>
      <c r="BY240" s="136" t="str">
        <f aca="false">IF($BR240&lt;&gt;Constants!$B$8,"",IF($BI240="-&gt;",$BK240,$BC240))</f>
        <v/>
      </c>
      <c r="BZ240" s="133" t="str">
        <f aca="false">IF(ISBLANK($C240),"",IF($BR240&lt;&gt;Constants!$B$8,$BR240,IF(ISNUMBER($BY240),RANK($BY240,$BY$9:$BY$508,1),COUNT($BY$9:$BY$508)+1)))</f>
        <v/>
      </c>
      <c r="CA240" s="136" t="str">
        <f aca="false">IF($BR240&lt;&gt;Constants!$B$8,"",IF($BI240="-&gt;",$BL240,$BD240))</f>
        <v/>
      </c>
      <c r="CB240" s="133" t="str">
        <f aca="false">IF(ISBLANK($C240),"",IF($BR240&lt;&gt;Constants!$B$8,$BR240,IF(ISNUMBER($CA240),RANK($CA240,$CA$9:$CA$508,1),COUNT($CA$9:$CA$508)+1)))</f>
        <v/>
      </c>
      <c r="CC240" s="136" t="str">
        <f aca="false">IF($BR240&lt;&gt;Constants!$B$8,"",IF($BI240="-&gt;",IF($AT240,$AV240,""),IF($AL240,$AN240,"")))</f>
        <v/>
      </c>
      <c r="CD240" s="133" t="str">
        <f aca="false">IF(ISBLANK($C240),"",IF($BR240&lt;&gt;Constants!$B$8,$BR240,IF(ISNUMBER($CC240),RANK($CC240,$CC$9:$CC$508,1),COUNT($CC$9:$CC$508)+1)))</f>
        <v/>
      </c>
      <c r="CE240" s="136" t="str">
        <f aca="false">IF($BR240&lt;&gt;Constants!$B$8,"",IF(AND(NOT($AL240),NOT($AT240),$AJ240,$AK240,$AR240,$AS240),"",$AI240))</f>
        <v/>
      </c>
      <c r="CF240" s="133" t="str">
        <f aca="false">IF(ISBLANK($C240),"",IF($BR240&lt;&gt;Constants!$B$8,$BR240,IF(ISNUMBER($CE240),RANK($CE240,$CE$9:$CE$508,1),COUNT($CE$9:$CE$508)+1)))</f>
        <v/>
      </c>
      <c r="CG240" s="133" t="str">
        <f aca="false">IF(ISBLANK($C240),"",IF($BR240&lt;&gt;Constants!$B$8,$BR240,COUNTIFS($BX$9:$BX$508,"&lt;"&amp;$BX240)+COUNTIFS($BX$9:$BX$508,$BX240,$BZ$9:$BZ$508,"&lt;"&amp;$BZ240)+COUNTIFS($BX$9:$BX$508,$BX240,$BZ$9:$BZ$508,$BZ240,$CB$9:$CB$508,"&lt;"&amp;$CB240)+COUNTIFS($BX$9:$BX$508,$BX240,$BZ$9:$BZ$508,$BZ240,$CB$9:$CB$508,$CB240,$CD$9:$CD$508,"&lt;"&amp;$CD240)+COUNTIFS($BX$9:$BX$508,$BX240,$BZ$9:$BZ$508,$BZ240,$CB$9:$CB$508,$CB240,$CD$9:$CD$508,$CD240,$CF$9:$CF$508,"&lt;"&amp;$CF240)+1))</f>
        <v/>
      </c>
      <c r="CH240" s="133" t="str">
        <f aca="false">IF(ISBLANK($C240),"",IF($BR240&lt;&gt;Constants!$B$8,$BR240,$BX240-$CG240))</f>
        <v/>
      </c>
      <c r="CI240" s="138"/>
      <c r="CJ240" s="139"/>
      <c r="CK240" s="140" t="str">
        <f aca="false">IF(ISBLANK($C240),"",IF($BR240=Constants!$B$12,$BQ240,""))</f>
        <v/>
      </c>
      <c r="CL240" s="139" t="str">
        <f aca="false">IF(ISBLANK($C240),"",IF($BR240&lt;&gt;Constants!$B$8,"",IF($BI240="-&gt;",2,1)))</f>
        <v/>
      </c>
      <c r="CM240" s="141" t="str">
        <f aca="false">IF(ISBLANK($C240),"",IF($BR240&lt;&gt;Constants!$B$8,"",IF($BI240="-&gt;",$BK240,$BC240)))</f>
        <v/>
      </c>
      <c r="CN240" s="141" t="str">
        <f aca="false">IF(ISBLANK($C240),"",IF($BR240&lt;&gt;Constants!$B$8,"",IF($BI240="-&gt;",$BL240,$BD240)))</f>
        <v/>
      </c>
      <c r="CO240" s="141" t="str">
        <f aca="false">IF(ISBLANK($C240),"",IF($BR240&lt;&gt;Constants!$B$8,"",IF($BI240="-&gt;",$BM240+$BN240,$BE240+$BF240)+$BV240))</f>
        <v/>
      </c>
      <c r="CP240" s="141" t="str">
        <f aca="false">IF(ISBLANK($C240),"",IF($BR240&lt;&gt;Constants!$B$8,"",IF($BI240="-&gt;",$BO240,$BG240)+$BU240))</f>
        <v/>
      </c>
      <c r="CQ240" s="142" t="str">
        <f aca="false">IF(ISBLANK($C240),"",IF($BR240&lt;&gt;Constants!$B$8,$BR240,$BW240))</f>
        <v/>
      </c>
      <c r="CR240" s="143" t="str">
        <f aca="false">IF(ISBLANK($C240),"",$BS240)</f>
        <v/>
      </c>
      <c r="CS240" s="144" t="str">
        <f aca="false">IF(ISBLANK($C240),"",$CH240)</f>
        <v/>
      </c>
      <c r="CT240" s="144" t="str">
        <f aca="false">IF(ISBLANK($C240),"",$CG240)</f>
        <v/>
      </c>
      <c r="CU240" s="145" t="str">
        <f aca="false">IF(ISBLANK($C240),"",IFERROR(_xlfn.SWITCH($CT240,Constants!$B$11,COUNTA($C$9:$C$508)+2,Constants!$B$10,COUNTA($C$9:$C$508)+1,Constants!$B$9,COUNTA($C$9:$C$508)),$CT240))</f>
        <v/>
      </c>
      <c r="CV240" s="9"/>
      <c r="CW240" s="146" t="n">
        <f aca="false">IF(OR(ISNUMBER($CT240),$CT240=Constants!$B$11,$CT240=Constants!$B$9,$CT240=Constants!$B$10),1,0)</f>
        <v>0</v>
      </c>
      <c r="CX240" s="146" t="n">
        <v>232</v>
      </c>
      <c r="CY240" s="146" t="str">
        <f aca="false">IF(ISBLANK($C240),"",IF(ISNUMBER($CU240),$CU240+ROW($B240)/1000,""))</f>
        <v/>
      </c>
      <c r="CZ240" s="146" t="str">
        <f aca="false">IF(ISNUMBER($CY240),RANK($CY240,$CY$9:$CY$508,1),"")</f>
        <v/>
      </c>
      <c r="DA240" s="146" t="str">
        <f aca="false">IF(ISBLANK($C240),"",$B240)</f>
        <v/>
      </c>
      <c r="DB240" s="146" t="str">
        <f aca="false">IF(ISBLANK($C240),"",$C240)</f>
        <v/>
      </c>
      <c r="DC240" s="146" t="str">
        <f aca="false">IF(ISBLANK($C240),"",$D240)</f>
        <v/>
      </c>
      <c r="DD240" s="147" t="str">
        <f aca="false">$CR240</f>
        <v/>
      </c>
      <c r="DE240" s="148" t="str">
        <f aca="false">$CQ240</f>
        <v/>
      </c>
      <c r="DF240" s="146" t="str">
        <f aca="false">IF(ISBLANK($C240),"",$CT240)</f>
        <v/>
      </c>
      <c r="DG240" s="149" t="str">
        <f aca="false">IF($CX240&gt;$CW$8,"",VLOOKUP($CX240,$CZ$9:$DF$508,7,FALSE()))</f>
        <v/>
      </c>
      <c r="DH240" s="150" t="str">
        <f aca="false">IF($CX240&gt;$CW$8,"",VLOOKUP($CX240,$CZ$9:$DF$508,2,FALSE()))</f>
        <v/>
      </c>
      <c r="DI240" s="150" t="str">
        <f aca="false">IF($CX240&gt;$CW$8,"",VLOOKUP($CX240,$CZ$9:$DF$508,3,FALSE()))</f>
        <v/>
      </c>
      <c r="DJ240" s="150" t="str">
        <f aca="false">IF($CX240&gt;$CW$8,"",VLOOKUP($CX240,$CZ$9:$DF$508,4,FALSE()))</f>
        <v/>
      </c>
      <c r="DK240" s="150" t="str">
        <f aca="false">IF($CX240&gt;$CW$8,"",VLOOKUP($CX240,$CZ$9:$DF$508,5,FALSE()))</f>
        <v/>
      </c>
      <c r="DL240" s="151" t="str">
        <f aca="false">IF($CX240&gt;$CW$8,"",VLOOKUP($CX240,$CZ$9:$DF$508,6,FALSE()))</f>
        <v/>
      </c>
      <c r="DM240" s="75"/>
    </row>
    <row r="241" customFormat="false" ht="15.75" hidden="false" customHeight="false" outlineLevel="0" collapsed="false">
      <c r="A241" s="9"/>
      <c r="B241" s="157"/>
      <c r="C241" s="158"/>
      <c r="D241" s="159"/>
      <c r="E241" s="177"/>
      <c r="F241" s="161"/>
      <c r="G241" s="162"/>
      <c r="H241" s="162"/>
      <c r="I241" s="178"/>
      <c r="J241" s="165"/>
      <c r="K241" s="126"/>
      <c r="L241" s="127"/>
      <c r="M241" s="128"/>
      <c r="N241" s="165"/>
      <c r="O241" s="165"/>
      <c r="P241" s="177"/>
      <c r="Q241" s="165"/>
      <c r="R241" s="165"/>
      <c r="S241" s="126"/>
      <c r="T241" s="128"/>
      <c r="U241" s="128"/>
      <c r="V241" s="165"/>
      <c r="W241" s="165"/>
      <c r="X241" s="177"/>
      <c r="Y241" s="165"/>
      <c r="Z241" s="166"/>
      <c r="AA241" s="165"/>
      <c r="AB241" s="132"/>
      <c r="AC241" s="133"/>
      <c r="AD241" s="133"/>
      <c r="AE241" s="133"/>
      <c r="AF241" s="133" t="str">
        <f aca="false">IF(ISBLANK($C241),"",IF(E241=Constants!$B$3,TRUE(),IF(E241=Constants!$B$4,FALSE(),TRUE())))</f>
        <v/>
      </c>
      <c r="AG241" s="133" t="str">
        <f aca="false">IF(ISBLANK($C241),"",IF(F241=Constants!$B$3,TRUE(),IF(F241=Constants!$B$4,FALSE(),TRUE())))</f>
        <v/>
      </c>
      <c r="AH241" s="133" t="str">
        <f aca="false">IF(ISBLANK($C241),"",IF(G241=Constants!$B$3,TRUE(),IF(G241=Constants!$B$4,FALSE(),TRUE())))</f>
        <v/>
      </c>
      <c r="AI241" s="133" t="str">
        <f aca="false">IF(ISBLANK($C241),"",IF(AND(ISNUMBER(H241),H241&gt;=0),H241,Constants!$B$29))</f>
        <v/>
      </c>
      <c r="AJ241" s="133" t="str">
        <f aca="false">IF(ISBLANK($C241),"",IF(I241=Constants!$B$3,TRUE(),IF(I241=Constants!$B$4,FALSE(),TRUE())))</f>
        <v/>
      </c>
      <c r="AK241" s="133" t="str">
        <f aca="false">IF(ISBLANK($C241),"",IF(J241=Constants!$B$3,TRUE(),IF(J241=Constants!$B$4,FALSE(),TRUE())))</f>
        <v/>
      </c>
      <c r="AL241" s="133" t="str">
        <f aca="false">IF(ISBLANK($C241),"",IF(K241=Constants!$B$5,TRUE(),IF(K241=Constants!$B$6,FALSE(),COUNTA(L241:P241)&gt;0)))</f>
        <v/>
      </c>
      <c r="AM241" s="134" t="str">
        <f aca="false">IF(ISBLANK($C241),"",IF(ISNUMBER(L241),IF(L241&gt;=0,L241,""),""))</f>
        <v/>
      </c>
      <c r="AN241" s="135" t="str">
        <f aca="false">IF(ISBLANK($C241),"",IF(ISNUMBER(M241),IF(M241&gt;=0,M241,""),""))</f>
        <v/>
      </c>
      <c r="AO241" s="135" t="str">
        <f aca="false">IF(ISBLANK($C241),"",IF(N241=Constants!$B$3,TRUE(),IF(N241=Constants!$B$4,FALSE(),TRUE())))</f>
        <v/>
      </c>
      <c r="AP241" s="133" t="str">
        <f aca="false">IF(ISBLANK($C241),"",IF(ISNUMBER(O241),IF(O241&gt;=0,O241,""),""))</f>
        <v/>
      </c>
      <c r="AQ241" s="133" t="str">
        <f aca="false">IF(ISBLANK($C241),"",IF(P241=Constants!$B$3,TRUE(),IF(P241=Constants!$B$4,FALSE(),FALSE())))</f>
        <v/>
      </c>
      <c r="AR241" s="133" t="str">
        <f aca="false">IF(ISBLANK($C241),"",IF(Q241=Constants!$B$3,TRUE(),IF(Q241=Constants!$B$4,FALSE(),TRUE())))</f>
        <v/>
      </c>
      <c r="AS241" s="133" t="str">
        <f aca="false">IF(ISBLANK($C241),"",IF(R241=Constants!$B$3,TRUE(),IF(R241=Constants!$B$4,FALSE(),TRUE())))</f>
        <v/>
      </c>
      <c r="AT241" s="133" t="str">
        <f aca="false">IF(ISBLANK($C241),"",IF(S241=Constants!$B$5,TRUE(),IF(S241=Constants!$B$6,FALSE(),COUNTA(T241:X241)&gt;0)))</f>
        <v/>
      </c>
      <c r="AU241" s="134" t="str">
        <f aca="false">IF(ISBLANK($C241),"",IF(ISNUMBER(T241),IF(T241&gt;=0,T241,""),""))</f>
        <v/>
      </c>
      <c r="AV241" s="135" t="str">
        <f aca="false">IF(ISBLANK($C241),"",IF(ISNUMBER(U241),IF(U241&gt;=0,U241,""),""))</f>
        <v/>
      </c>
      <c r="AW241" s="135" t="str">
        <f aca="false">IF(ISBLANK($C241),"",IF(V241=Constants!$B$3,TRUE(),IF(V241=Constants!$B$4,FALSE(),TRUE())))</f>
        <v/>
      </c>
      <c r="AX241" s="133" t="str">
        <f aca="false">IF(ISBLANK($C241),"",IF(ISNUMBER(W241),IF(W241&gt;=0,W241,""),""))</f>
        <v/>
      </c>
      <c r="AY241" s="133" t="str">
        <f aca="false">IF(ISBLANK($C241),"",IF(X241=Constants!$B$3,TRUE(),IF(X241=Constants!$B$4,FALSE(),FALSE())))</f>
        <v/>
      </c>
      <c r="AZ241" s="133" t="str">
        <f aca="false">IF(ISBLANK($C241),"",MIN(Constants!$B$31,MAX(0,IF(ISNUMBER(Y241),Y241*60,0)+IF(ISNUMBER(Z241),Z241,0))))</f>
        <v/>
      </c>
      <c r="BA241" s="133" t="str">
        <f aca="false">IF(ISBLANK($C241),"",IF(AA241=Constants!$B$3,TRUE(),IF(AA241=Constants!$B$4,FALSE(),FALSE())))</f>
        <v/>
      </c>
      <c r="BB241" s="132" t="str">
        <f aca="false">IF(ISBLANK($C241),"",AND($AL241,OR($AM241="",$AN241="",AND($AO241,$AP241=""))))</f>
        <v/>
      </c>
      <c r="BC241" s="135" t="str">
        <f aca="false">IF($BR241&lt;&gt;Constants!$B$8,"",IF($AL241,Constants!$B$21*$AN241+Constants!$B$22*IF($AO241,$AP241,Constants!$B$23),Constants!$B$24))</f>
        <v/>
      </c>
      <c r="BD241" s="136" t="str">
        <f aca="false">IF($BR241&lt;&gt;Constants!$B$8,"",Constants!$B$25*ABS($AD$9-IF($AL241,$AM241,0)))</f>
        <v/>
      </c>
      <c r="BE241" s="136" t="str">
        <f aca="false">IF($BR241&lt;&gt;Constants!$B$8,"",IF(AND($AL241,$AQ241,$AO241),Constants!$B$27,0))</f>
        <v/>
      </c>
      <c r="BF241" s="136" t="str">
        <f aca="false">IF($BR241&lt;&gt;Constants!$B$8,"",IF($AL241,($AI241-Constants!$B$29)*Constants!$B$28,0))</f>
        <v/>
      </c>
      <c r="BG241" s="136" t="str">
        <f aca="false">IF($BR241&lt;&gt;Constants!$B$8,"",IF($AK241,0,Constants!$B$15)+IF($AJ241,0,Constants!$B$16)+IF($AH241,0,Constants!$B$17))</f>
        <v/>
      </c>
      <c r="BH241" s="137" t="str">
        <f aca="false">IF($BR241&lt;&gt;Constants!$B$8,"",Constants!$B$20+SUM($BC241:$BG241))</f>
        <v/>
      </c>
      <c r="BI241" s="133" t="str">
        <f aca="false">IF($BR241&lt;&gt;Constants!$B$8,"",IF(OR($BP241&lt;$BH241,AND($BP241=$BH241,OR($BK241&lt;$BC241,AND($BK241=$BC241,OR($BL241&lt;$BD241,AND($BL241=$BD241,$AT241,$AL241,$AV241&lt;$AN241)))))),"-&gt;","&lt;-"))</f>
        <v/>
      </c>
      <c r="BJ241" s="132" t="str">
        <f aca="false">IF(ISBLANK($C241),"",AND($AT241,OR($AU241="",$AV241="",AND($AW241,$AX241=""))))</f>
        <v/>
      </c>
      <c r="BK241" s="135" t="str">
        <f aca="false">IF($BR241&lt;&gt;Constants!$B$8,"",IF($AT241,Constants!$B$21*$AV241+Constants!$B$22*IF($AW241,$AX241,Constants!$B$23),Constants!$B$24))</f>
        <v/>
      </c>
      <c r="BL241" s="136" t="str">
        <f aca="false">IF($BR241&lt;&gt;Constants!$B$8,"",Constants!$B$25*ABS($AD$9-IF($AT241,$AU241,0)))</f>
        <v/>
      </c>
      <c r="BM241" s="136" t="str">
        <f aca="false">IF($BR241&lt;&gt;Constants!$B$8,"",IF(AND($AT241,$AY241,$AW241),Constants!$B$27,0))</f>
        <v/>
      </c>
      <c r="BN241" s="136" t="str">
        <f aca="false">IF($BR241&lt;&gt;Constants!$B$8,"",IF($AT241,($AI241-Constants!$B$29)*Constants!$B$28,0))</f>
        <v/>
      </c>
      <c r="BO241" s="136" t="str">
        <f aca="false">IF($BR241&lt;&gt;Constants!$B$8,"",IF($AS241,0,Constants!$B$15)+IF($AR241,0,Constants!$B$16)+IF($AH241,0,Constants!$B$17))</f>
        <v/>
      </c>
      <c r="BP241" s="137" t="str">
        <f aca="false">IF($BR241&lt;&gt;Constants!$B$8,"",Constants!$B$20+SUM($BK241:$BO241))</f>
        <v/>
      </c>
      <c r="BQ241" s="133" t="str">
        <f aca="false">IF(ISBLANK($C241),"",IF(ISBLANK($D$7),$BQ$5,IF(NOT(ISNUMBER($D$7)),$BQ$6,"")))</f>
        <v/>
      </c>
      <c r="BR241" s="133" t="str">
        <f aca="false">IF(ISBLANK($C241),"",IF($BA241,Constants!$B$11,IF(COUNTA($E241:$AA241)=0,Constants!$B$10,IF(NOT($AG241),Constants!$B$9,IF(OR($BQ241&lt;&gt;"",$BB241,$BJ241),Constants!$B$12,Constants!$B$8)))))</f>
        <v/>
      </c>
      <c r="BS241" s="133" t="str">
        <f aca="false">IF(ISBLANK($C241),"",IF($BR241&lt;&gt;Constants!$B$8,$BR241,Constants!$B$13))</f>
        <v/>
      </c>
      <c r="BT241" s="136" t="str">
        <f aca="false">IF($BR241&lt;&gt;Constants!$B$8,"",IF($BI241="-&gt;",$BP241,$BH241))</f>
        <v/>
      </c>
      <c r="BU241" s="136" t="str">
        <f aca="false">IF($BR241&lt;&gt;Constants!$B$8,"",IF($AF241,0,Constants!$B$18))</f>
        <v/>
      </c>
      <c r="BV241" s="136" t="str">
        <f aca="false">IF($BR241&lt;&gt;Constants!$B$8,"",((Constants!$B$31-$AZ241)-Constants!$B$31)/Constants!$B$32)</f>
        <v/>
      </c>
      <c r="BW241" s="136" t="str">
        <f aca="false">IF(ISBLANK($C241),"",IF($BR241&lt;&gt;Constants!$B$8,$BR241,SUM($BT241:$BV241)))</f>
        <v/>
      </c>
      <c r="BX241" s="133" t="str">
        <f aca="false">IF(ISBLANK($C241),"",IF($BR241&lt;&gt;Constants!$B$8,$BR241,RANK($BW241,$BW$9:$BW$508,1)))</f>
        <v/>
      </c>
      <c r="BY241" s="136" t="str">
        <f aca="false">IF($BR241&lt;&gt;Constants!$B$8,"",IF($BI241="-&gt;",$BK241,$BC241))</f>
        <v/>
      </c>
      <c r="BZ241" s="133" t="str">
        <f aca="false">IF(ISBLANK($C241),"",IF($BR241&lt;&gt;Constants!$B$8,$BR241,IF(ISNUMBER($BY241),RANK($BY241,$BY$9:$BY$508,1),COUNT($BY$9:$BY$508)+1)))</f>
        <v/>
      </c>
      <c r="CA241" s="136" t="str">
        <f aca="false">IF($BR241&lt;&gt;Constants!$B$8,"",IF($BI241="-&gt;",$BL241,$BD241))</f>
        <v/>
      </c>
      <c r="CB241" s="133" t="str">
        <f aca="false">IF(ISBLANK($C241),"",IF($BR241&lt;&gt;Constants!$B$8,$BR241,IF(ISNUMBER($CA241),RANK($CA241,$CA$9:$CA$508,1),COUNT($CA$9:$CA$508)+1)))</f>
        <v/>
      </c>
      <c r="CC241" s="136" t="str">
        <f aca="false">IF($BR241&lt;&gt;Constants!$B$8,"",IF($BI241="-&gt;",IF($AT241,$AV241,""),IF($AL241,$AN241,"")))</f>
        <v/>
      </c>
      <c r="CD241" s="133" t="str">
        <f aca="false">IF(ISBLANK($C241),"",IF($BR241&lt;&gt;Constants!$B$8,$BR241,IF(ISNUMBER($CC241),RANK($CC241,$CC$9:$CC$508,1),COUNT($CC$9:$CC$508)+1)))</f>
        <v/>
      </c>
      <c r="CE241" s="136" t="str">
        <f aca="false">IF($BR241&lt;&gt;Constants!$B$8,"",IF(AND(NOT($AL241),NOT($AT241),$AJ241,$AK241,$AR241,$AS241),"",$AI241))</f>
        <v/>
      </c>
      <c r="CF241" s="133" t="str">
        <f aca="false">IF(ISBLANK($C241),"",IF($BR241&lt;&gt;Constants!$B$8,$BR241,IF(ISNUMBER($CE241),RANK($CE241,$CE$9:$CE$508,1),COUNT($CE$9:$CE$508)+1)))</f>
        <v/>
      </c>
      <c r="CG241" s="133" t="str">
        <f aca="false">IF(ISBLANK($C241),"",IF($BR241&lt;&gt;Constants!$B$8,$BR241,COUNTIFS($BX$9:$BX$508,"&lt;"&amp;$BX241)+COUNTIFS($BX$9:$BX$508,$BX241,$BZ$9:$BZ$508,"&lt;"&amp;$BZ241)+COUNTIFS($BX$9:$BX$508,$BX241,$BZ$9:$BZ$508,$BZ241,$CB$9:$CB$508,"&lt;"&amp;$CB241)+COUNTIFS($BX$9:$BX$508,$BX241,$BZ$9:$BZ$508,$BZ241,$CB$9:$CB$508,$CB241,$CD$9:$CD$508,"&lt;"&amp;$CD241)+COUNTIFS($BX$9:$BX$508,$BX241,$BZ$9:$BZ$508,$BZ241,$CB$9:$CB$508,$CB241,$CD$9:$CD$508,$CD241,$CF$9:$CF$508,"&lt;"&amp;$CF241)+1))</f>
        <v/>
      </c>
      <c r="CH241" s="133" t="str">
        <f aca="false">IF(ISBLANK($C241),"",IF($BR241&lt;&gt;Constants!$B$8,$BR241,$BX241-$CG241))</f>
        <v/>
      </c>
      <c r="CI241" s="138"/>
      <c r="CJ241" s="139"/>
      <c r="CK241" s="140" t="str">
        <f aca="false">IF(ISBLANK($C241),"",IF($BR241=Constants!$B$12,$BQ241,""))</f>
        <v/>
      </c>
      <c r="CL241" s="139" t="str">
        <f aca="false">IF(ISBLANK($C241),"",IF($BR241&lt;&gt;Constants!$B$8,"",IF($BI241="-&gt;",2,1)))</f>
        <v/>
      </c>
      <c r="CM241" s="141" t="str">
        <f aca="false">IF(ISBLANK($C241),"",IF($BR241&lt;&gt;Constants!$B$8,"",IF($BI241="-&gt;",$BK241,$BC241)))</f>
        <v/>
      </c>
      <c r="CN241" s="141" t="str">
        <f aca="false">IF(ISBLANK($C241),"",IF($BR241&lt;&gt;Constants!$B$8,"",IF($BI241="-&gt;",$BL241,$BD241)))</f>
        <v/>
      </c>
      <c r="CO241" s="141" t="str">
        <f aca="false">IF(ISBLANK($C241),"",IF($BR241&lt;&gt;Constants!$B$8,"",IF($BI241="-&gt;",$BM241+$BN241,$BE241+$BF241)+$BV241))</f>
        <v/>
      </c>
      <c r="CP241" s="141" t="str">
        <f aca="false">IF(ISBLANK($C241),"",IF($BR241&lt;&gt;Constants!$B$8,"",IF($BI241="-&gt;",$BO241,$BG241)+$BU241))</f>
        <v/>
      </c>
      <c r="CQ241" s="142" t="str">
        <f aca="false">IF(ISBLANK($C241),"",IF($BR241&lt;&gt;Constants!$B$8,$BR241,$BW241))</f>
        <v/>
      </c>
      <c r="CR241" s="143" t="str">
        <f aca="false">IF(ISBLANK($C241),"",$BS241)</f>
        <v/>
      </c>
      <c r="CS241" s="144" t="str">
        <f aca="false">IF(ISBLANK($C241),"",$CH241)</f>
        <v/>
      </c>
      <c r="CT241" s="144" t="str">
        <f aca="false">IF(ISBLANK($C241),"",$CG241)</f>
        <v/>
      </c>
      <c r="CU241" s="145" t="str">
        <f aca="false">IF(ISBLANK($C241),"",IFERROR(_xlfn.SWITCH($CT241,Constants!$B$11,COUNTA($C$9:$C$508)+2,Constants!$B$10,COUNTA($C$9:$C$508)+1,Constants!$B$9,COUNTA($C$9:$C$508)),$CT241))</f>
        <v/>
      </c>
      <c r="CV241" s="9"/>
      <c r="CW241" s="146" t="n">
        <f aca="false">IF(OR(ISNUMBER($CT241),$CT241=Constants!$B$11,$CT241=Constants!$B$9,$CT241=Constants!$B$10),1,0)</f>
        <v>0</v>
      </c>
      <c r="CX241" s="146" t="n">
        <v>233</v>
      </c>
      <c r="CY241" s="146" t="str">
        <f aca="false">IF(ISBLANK($C241),"",IF(ISNUMBER($CU241),$CU241+ROW($B241)/1000,""))</f>
        <v/>
      </c>
      <c r="CZ241" s="146" t="str">
        <f aca="false">IF(ISNUMBER($CY241),RANK($CY241,$CY$9:$CY$508,1),"")</f>
        <v/>
      </c>
      <c r="DA241" s="146" t="str">
        <f aca="false">IF(ISBLANK($C241),"",$B241)</f>
        <v/>
      </c>
      <c r="DB241" s="146" t="str">
        <f aca="false">IF(ISBLANK($C241),"",$C241)</f>
        <v/>
      </c>
      <c r="DC241" s="146" t="str">
        <f aca="false">IF(ISBLANK($C241),"",$D241)</f>
        <v/>
      </c>
      <c r="DD241" s="147" t="str">
        <f aca="false">$CR241</f>
        <v/>
      </c>
      <c r="DE241" s="148" t="str">
        <f aca="false">$CQ241</f>
        <v/>
      </c>
      <c r="DF241" s="146" t="str">
        <f aca="false">IF(ISBLANK($C241),"",$CT241)</f>
        <v/>
      </c>
      <c r="DG241" s="149" t="str">
        <f aca="false">IF($CX241&gt;$CW$8,"",VLOOKUP($CX241,$CZ$9:$DF$508,7,FALSE()))</f>
        <v/>
      </c>
      <c r="DH241" s="150" t="str">
        <f aca="false">IF($CX241&gt;$CW$8,"",VLOOKUP($CX241,$CZ$9:$DF$508,2,FALSE()))</f>
        <v/>
      </c>
      <c r="DI241" s="150" t="str">
        <f aca="false">IF($CX241&gt;$CW$8,"",VLOOKUP($CX241,$CZ$9:$DF$508,3,FALSE()))</f>
        <v/>
      </c>
      <c r="DJ241" s="150" t="str">
        <f aca="false">IF($CX241&gt;$CW$8,"",VLOOKUP($CX241,$CZ$9:$DF$508,4,FALSE()))</f>
        <v/>
      </c>
      <c r="DK241" s="150" t="str">
        <f aca="false">IF($CX241&gt;$CW$8,"",VLOOKUP($CX241,$CZ$9:$DF$508,5,FALSE()))</f>
        <v/>
      </c>
      <c r="DL241" s="151" t="str">
        <f aca="false">IF($CX241&gt;$CW$8,"",VLOOKUP($CX241,$CZ$9:$DF$508,6,FALSE()))</f>
        <v/>
      </c>
      <c r="DM241" s="75"/>
    </row>
    <row r="242" customFormat="false" ht="15.75" hidden="false" customHeight="false" outlineLevel="0" collapsed="false">
      <c r="A242" s="9"/>
      <c r="B242" s="157"/>
      <c r="C242" s="158"/>
      <c r="D242" s="159"/>
      <c r="E242" s="177"/>
      <c r="F242" s="161"/>
      <c r="G242" s="162"/>
      <c r="H242" s="162"/>
      <c r="I242" s="178"/>
      <c r="J242" s="165"/>
      <c r="K242" s="126"/>
      <c r="L242" s="127"/>
      <c r="M242" s="128"/>
      <c r="N242" s="165"/>
      <c r="O242" s="165"/>
      <c r="P242" s="177"/>
      <c r="Q242" s="165"/>
      <c r="R242" s="165"/>
      <c r="S242" s="126"/>
      <c r="T242" s="128"/>
      <c r="U242" s="128"/>
      <c r="V242" s="165"/>
      <c r="W242" s="165"/>
      <c r="X242" s="177"/>
      <c r="Y242" s="165"/>
      <c r="Z242" s="166"/>
      <c r="AA242" s="165"/>
      <c r="AB242" s="132"/>
      <c r="AC242" s="133"/>
      <c r="AD242" s="133"/>
      <c r="AE242" s="133"/>
      <c r="AF242" s="133" t="str">
        <f aca="false">IF(ISBLANK($C242),"",IF(E242=Constants!$B$3,TRUE(),IF(E242=Constants!$B$4,FALSE(),TRUE())))</f>
        <v/>
      </c>
      <c r="AG242" s="133" t="str">
        <f aca="false">IF(ISBLANK($C242),"",IF(F242=Constants!$B$3,TRUE(),IF(F242=Constants!$B$4,FALSE(),TRUE())))</f>
        <v/>
      </c>
      <c r="AH242" s="133" t="str">
        <f aca="false">IF(ISBLANK($C242),"",IF(G242=Constants!$B$3,TRUE(),IF(G242=Constants!$B$4,FALSE(),TRUE())))</f>
        <v/>
      </c>
      <c r="AI242" s="133" t="str">
        <f aca="false">IF(ISBLANK($C242),"",IF(AND(ISNUMBER(H242),H242&gt;=0),H242,Constants!$B$29))</f>
        <v/>
      </c>
      <c r="AJ242" s="133" t="str">
        <f aca="false">IF(ISBLANK($C242),"",IF(I242=Constants!$B$3,TRUE(),IF(I242=Constants!$B$4,FALSE(),TRUE())))</f>
        <v/>
      </c>
      <c r="AK242" s="133" t="str">
        <f aca="false">IF(ISBLANK($C242),"",IF(J242=Constants!$B$3,TRUE(),IF(J242=Constants!$B$4,FALSE(),TRUE())))</f>
        <v/>
      </c>
      <c r="AL242" s="133" t="str">
        <f aca="false">IF(ISBLANK($C242),"",IF(K242=Constants!$B$5,TRUE(),IF(K242=Constants!$B$6,FALSE(),COUNTA(L242:P242)&gt;0)))</f>
        <v/>
      </c>
      <c r="AM242" s="134" t="str">
        <f aca="false">IF(ISBLANK($C242),"",IF(ISNUMBER(L242),IF(L242&gt;=0,L242,""),""))</f>
        <v/>
      </c>
      <c r="AN242" s="135" t="str">
        <f aca="false">IF(ISBLANK($C242),"",IF(ISNUMBER(M242),IF(M242&gt;=0,M242,""),""))</f>
        <v/>
      </c>
      <c r="AO242" s="135" t="str">
        <f aca="false">IF(ISBLANK($C242),"",IF(N242=Constants!$B$3,TRUE(),IF(N242=Constants!$B$4,FALSE(),TRUE())))</f>
        <v/>
      </c>
      <c r="AP242" s="133" t="str">
        <f aca="false">IF(ISBLANK($C242),"",IF(ISNUMBER(O242),IF(O242&gt;=0,O242,""),""))</f>
        <v/>
      </c>
      <c r="AQ242" s="133" t="str">
        <f aca="false">IF(ISBLANK($C242),"",IF(P242=Constants!$B$3,TRUE(),IF(P242=Constants!$B$4,FALSE(),FALSE())))</f>
        <v/>
      </c>
      <c r="AR242" s="133" t="str">
        <f aca="false">IF(ISBLANK($C242),"",IF(Q242=Constants!$B$3,TRUE(),IF(Q242=Constants!$B$4,FALSE(),TRUE())))</f>
        <v/>
      </c>
      <c r="AS242" s="133" t="str">
        <f aca="false">IF(ISBLANK($C242),"",IF(R242=Constants!$B$3,TRUE(),IF(R242=Constants!$B$4,FALSE(),TRUE())))</f>
        <v/>
      </c>
      <c r="AT242" s="133" t="str">
        <f aca="false">IF(ISBLANK($C242),"",IF(S242=Constants!$B$5,TRUE(),IF(S242=Constants!$B$6,FALSE(),COUNTA(T242:X242)&gt;0)))</f>
        <v/>
      </c>
      <c r="AU242" s="134" t="str">
        <f aca="false">IF(ISBLANK($C242),"",IF(ISNUMBER(T242),IF(T242&gt;=0,T242,""),""))</f>
        <v/>
      </c>
      <c r="AV242" s="135" t="str">
        <f aca="false">IF(ISBLANK($C242),"",IF(ISNUMBER(U242),IF(U242&gt;=0,U242,""),""))</f>
        <v/>
      </c>
      <c r="AW242" s="135" t="str">
        <f aca="false">IF(ISBLANK($C242),"",IF(V242=Constants!$B$3,TRUE(),IF(V242=Constants!$B$4,FALSE(),TRUE())))</f>
        <v/>
      </c>
      <c r="AX242" s="133" t="str">
        <f aca="false">IF(ISBLANK($C242),"",IF(ISNUMBER(W242),IF(W242&gt;=0,W242,""),""))</f>
        <v/>
      </c>
      <c r="AY242" s="133" t="str">
        <f aca="false">IF(ISBLANK($C242),"",IF(X242=Constants!$B$3,TRUE(),IF(X242=Constants!$B$4,FALSE(),FALSE())))</f>
        <v/>
      </c>
      <c r="AZ242" s="133" t="str">
        <f aca="false">IF(ISBLANK($C242),"",MIN(Constants!$B$31,MAX(0,IF(ISNUMBER(Y242),Y242*60,0)+IF(ISNUMBER(Z242),Z242,0))))</f>
        <v/>
      </c>
      <c r="BA242" s="133" t="str">
        <f aca="false">IF(ISBLANK($C242),"",IF(AA242=Constants!$B$3,TRUE(),IF(AA242=Constants!$B$4,FALSE(),FALSE())))</f>
        <v/>
      </c>
      <c r="BB242" s="132" t="str">
        <f aca="false">IF(ISBLANK($C242),"",AND($AL242,OR($AM242="",$AN242="",AND($AO242,$AP242=""))))</f>
        <v/>
      </c>
      <c r="BC242" s="135" t="str">
        <f aca="false">IF($BR242&lt;&gt;Constants!$B$8,"",IF($AL242,Constants!$B$21*$AN242+Constants!$B$22*IF($AO242,$AP242,Constants!$B$23),Constants!$B$24))</f>
        <v/>
      </c>
      <c r="BD242" s="136" t="str">
        <f aca="false">IF($BR242&lt;&gt;Constants!$B$8,"",Constants!$B$25*ABS($AD$9-IF($AL242,$AM242,0)))</f>
        <v/>
      </c>
      <c r="BE242" s="136" t="str">
        <f aca="false">IF($BR242&lt;&gt;Constants!$B$8,"",IF(AND($AL242,$AQ242,$AO242),Constants!$B$27,0))</f>
        <v/>
      </c>
      <c r="BF242" s="136" t="str">
        <f aca="false">IF($BR242&lt;&gt;Constants!$B$8,"",IF($AL242,($AI242-Constants!$B$29)*Constants!$B$28,0))</f>
        <v/>
      </c>
      <c r="BG242" s="136" t="str">
        <f aca="false">IF($BR242&lt;&gt;Constants!$B$8,"",IF($AK242,0,Constants!$B$15)+IF($AJ242,0,Constants!$B$16)+IF($AH242,0,Constants!$B$17))</f>
        <v/>
      </c>
      <c r="BH242" s="137" t="str">
        <f aca="false">IF($BR242&lt;&gt;Constants!$B$8,"",Constants!$B$20+SUM($BC242:$BG242))</f>
        <v/>
      </c>
      <c r="BI242" s="133" t="str">
        <f aca="false">IF($BR242&lt;&gt;Constants!$B$8,"",IF(OR($BP242&lt;$BH242,AND($BP242=$BH242,OR($BK242&lt;$BC242,AND($BK242=$BC242,OR($BL242&lt;$BD242,AND($BL242=$BD242,$AT242,$AL242,$AV242&lt;$AN242)))))),"-&gt;","&lt;-"))</f>
        <v/>
      </c>
      <c r="BJ242" s="132" t="str">
        <f aca="false">IF(ISBLANK($C242),"",AND($AT242,OR($AU242="",$AV242="",AND($AW242,$AX242=""))))</f>
        <v/>
      </c>
      <c r="BK242" s="135" t="str">
        <f aca="false">IF($BR242&lt;&gt;Constants!$B$8,"",IF($AT242,Constants!$B$21*$AV242+Constants!$B$22*IF($AW242,$AX242,Constants!$B$23),Constants!$B$24))</f>
        <v/>
      </c>
      <c r="BL242" s="136" t="str">
        <f aca="false">IF($BR242&lt;&gt;Constants!$B$8,"",Constants!$B$25*ABS($AD$9-IF($AT242,$AU242,0)))</f>
        <v/>
      </c>
      <c r="BM242" s="136" t="str">
        <f aca="false">IF($BR242&lt;&gt;Constants!$B$8,"",IF(AND($AT242,$AY242,$AW242),Constants!$B$27,0))</f>
        <v/>
      </c>
      <c r="BN242" s="136" t="str">
        <f aca="false">IF($BR242&lt;&gt;Constants!$B$8,"",IF($AT242,($AI242-Constants!$B$29)*Constants!$B$28,0))</f>
        <v/>
      </c>
      <c r="BO242" s="136" t="str">
        <f aca="false">IF($BR242&lt;&gt;Constants!$B$8,"",IF($AS242,0,Constants!$B$15)+IF($AR242,0,Constants!$B$16)+IF($AH242,0,Constants!$B$17))</f>
        <v/>
      </c>
      <c r="BP242" s="137" t="str">
        <f aca="false">IF($BR242&lt;&gt;Constants!$B$8,"",Constants!$B$20+SUM($BK242:$BO242))</f>
        <v/>
      </c>
      <c r="BQ242" s="133" t="str">
        <f aca="false">IF(ISBLANK($C242),"",IF(ISBLANK($D$7),$BQ$5,IF(NOT(ISNUMBER($D$7)),$BQ$6,"")))</f>
        <v/>
      </c>
      <c r="BR242" s="133" t="str">
        <f aca="false">IF(ISBLANK($C242),"",IF($BA242,Constants!$B$11,IF(COUNTA($E242:$AA242)=0,Constants!$B$10,IF(NOT($AG242),Constants!$B$9,IF(OR($BQ242&lt;&gt;"",$BB242,$BJ242),Constants!$B$12,Constants!$B$8)))))</f>
        <v/>
      </c>
      <c r="BS242" s="133" t="str">
        <f aca="false">IF(ISBLANK($C242),"",IF($BR242&lt;&gt;Constants!$B$8,$BR242,Constants!$B$13))</f>
        <v/>
      </c>
      <c r="BT242" s="136" t="str">
        <f aca="false">IF($BR242&lt;&gt;Constants!$B$8,"",IF($BI242="-&gt;",$BP242,$BH242))</f>
        <v/>
      </c>
      <c r="BU242" s="136" t="str">
        <f aca="false">IF($BR242&lt;&gt;Constants!$B$8,"",IF($AF242,0,Constants!$B$18))</f>
        <v/>
      </c>
      <c r="BV242" s="136" t="str">
        <f aca="false">IF($BR242&lt;&gt;Constants!$B$8,"",((Constants!$B$31-$AZ242)-Constants!$B$31)/Constants!$B$32)</f>
        <v/>
      </c>
      <c r="BW242" s="136" t="str">
        <f aca="false">IF(ISBLANK($C242),"",IF($BR242&lt;&gt;Constants!$B$8,$BR242,SUM($BT242:$BV242)))</f>
        <v/>
      </c>
      <c r="BX242" s="133" t="str">
        <f aca="false">IF(ISBLANK($C242),"",IF($BR242&lt;&gt;Constants!$B$8,$BR242,RANK($BW242,$BW$9:$BW$508,1)))</f>
        <v/>
      </c>
      <c r="BY242" s="136" t="str">
        <f aca="false">IF($BR242&lt;&gt;Constants!$B$8,"",IF($BI242="-&gt;",$BK242,$BC242))</f>
        <v/>
      </c>
      <c r="BZ242" s="133" t="str">
        <f aca="false">IF(ISBLANK($C242),"",IF($BR242&lt;&gt;Constants!$B$8,$BR242,IF(ISNUMBER($BY242),RANK($BY242,$BY$9:$BY$508,1),COUNT($BY$9:$BY$508)+1)))</f>
        <v/>
      </c>
      <c r="CA242" s="136" t="str">
        <f aca="false">IF($BR242&lt;&gt;Constants!$B$8,"",IF($BI242="-&gt;",$BL242,$BD242))</f>
        <v/>
      </c>
      <c r="CB242" s="133" t="str">
        <f aca="false">IF(ISBLANK($C242),"",IF($BR242&lt;&gt;Constants!$B$8,$BR242,IF(ISNUMBER($CA242),RANK($CA242,$CA$9:$CA$508,1),COUNT($CA$9:$CA$508)+1)))</f>
        <v/>
      </c>
      <c r="CC242" s="136" t="str">
        <f aca="false">IF($BR242&lt;&gt;Constants!$B$8,"",IF($BI242="-&gt;",IF($AT242,$AV242,""),IF($AL242,$AN242,"")))</f>
        <v/>
      </c>
      <c r="CD242" s="133" t="str">
        <f aca="false">IF(ISBLANK($C242),"",IF($BR242&lt;&gt;Constants!$B$8,$BR242,IF(ISNUMBER($CC242),RANK($CC242,$CC$9:$CC$508,1),COUNT($CC$9:$CC$508)+1)))</f>
        <v/>
      </c>
      <c r="CE242" s="136" t="str">
        <f aca="false">IF($BR242&lt;&gt;Constants!$B$8,"",IF(AND(NOT($AL242),NOT($AT242),$AJ242,$AK242,$AR242,$AS242),"",$AI242))</f>
        <v/>
      </c>
      <c r="CF242" s="133" t="str">
        <f aca="false">IF(ISBLANK($C242),"",IF($BR242&lt;&gt;Constants!$B$8,$BR242,IF(ISNUMBER($CE242),RANK($CE242,$CE$9:$CE$508,1),COUNT($CE$9:$CE$508)+1)))</f>
        <v/>
      </c>
      <c r="CG242" s="133" t="str">
        <f aca="false">IF(ISBLANK($C242),"",IF($BR242&lt;&gt;Constants!$B$8,$BR242,COUNTIFS($BX$9:$BX$508,"&lt;"&amp;$BX242)+COUNTIFS($BX$9:$BX$508,$BX242,$BZ$9:$BZ$508,"&lt;"&amp;$BZ242)+COUNTIFS($BX$9:$BX$508,$BX242,$BZ$9:$BZ$508,$BZ242,$CB$9:$CB$508,"&lt;"&amp;$CB242)+COUNTIFS($BX$9:$BX$508,$BX242,$BZ$9:$BZ$508,$BZ242,$CB$9:$CB$508,$CB242,$CD$9:$CD$508,"&lt;"&amp;$CD242)+COUNTIFS($BX$9:$BX$508,$BX242,$BZ$9:$BZ$508,$BZ242,$CB$9:$CB$508,$CB242,$CD$9:$CD$508,$CD242,$CF$9:$CF$508,"&lt;"&amp;$CF242)+1))</f>
        <v/>
      </c>
      <c r="CH242" s="133" t="str">
        <f aca="false">IF(ISBLANK($C242),"",IF($BR242&lt;&gt;Constants!$B$8,$BR242,$BX242-$CG242))</f>
        <v/>
      </c>
      <c r="CI242" s="138"/>
      <c r="CJ242" s="139"/>
      <c r="CK242" s="140" t="str">
        <f aca="false">IF(ISBLANK($C242),"",IF($BR242=Constants!$B$12,$BQ242,""))</f>
        <v/>
      </c>
      <c r="CL242" s="139" t="str">
        <f aca="false">IF(ISBLANK($C242),"",IF($BR242&lt;&gt;Constants!$B$8,"",IF($BI242="-&gt;",2,1)))</f>
        <v/>
      </c>
      <c r="CM242" s="141" t="str">
        <f aca="false">IF(ISBLANK($C242),"",IF($BR242&lt;&gt;Constants!$B$8,"",IF($BI242="-&gt;",$BK242,$BC242)))</f>
        <v/>
      </c>
      <c r="CN242" s="141" t="str">
        <f aca="false">IF(ISBLANK($C242),"",IF($BR242&lt;&gt;Constants!$B$8,"",IF($BI242="-&gt;",$BL242,$BD242)))</f>
        <v/>
      </c>
      <c r="CO242" s="141" t="str">
        <f aca="false">IF(ISBLANK($C242),"",IF($BR242&lt;&gt;Constants!$B$8,"",IF($BI242="-&gt;",$BM242+$BN242,$BE242+$BF242)+$BV242))</f>
        <v/>
      </c>
      <c r="CP242" s="141" t="str">
        <f aca="false">IF(ISBLANK($C242),"",IF($BR242&lt;&gt;Constants!$B$8,"",IF($BI242="-&gt;",$BO242,$BG242)+$BU242))</f>
        <v/>
      </c>
      <c r="CQ242" s="142" t="str">
        <f aca="false">IF(ISBLANK($C242),"",IF($BR242&lt;&gt;Constants!$B$8,$BR242,$BW242))</f>
        <v/>
      </c>
      <c r="CR242" s="143" t="str">
        <f aca="false">IF(ISBLANK($C242),"",$BS242)</f>
        <v/>
      </c>
      <c r="CS242" s="144" t="str">
        <f aca="false">IF(ISBLANK($C242),"",$CH242)</f>
        <v/>
      </c>
      <c r="CT242" s="144" t="str">
        <f aca="false">IF(ISBLANK($C242),"",$CG242)</f>
        <v/>
      </c>
      <c r="CU242" s="145" t="str">
        <f aca="false">IF(ISBLANK($C242),"",IFERROR(_xlfn.SWITCH($CT242,Constants!$B$11,COUNTA($C$9:$C$508)+2,Constants!$B$10,COUNTA($C$9:$C$508)+1,Constants!$B$9,COUNTA($C$9:$C$508)),$CT242))</f>
        <v/>
      </c>
      <c r="CV242" s="9"/>
      <c r="CW242" s="146" t="n">
        <f aca="false">IF(OR(ISNUMBER($CT242),$CT242=Constants!$B$11,$CT242=Constants!$B$9,$CT242=Constants!$B$10),1,0)</f>
        <v>0</v>
      </c>
      <c r="CX242" s="146" t="n">
        <v>234</v>
      </c>
      <c r="CY242" s="146" t="str">
        <f aca="false">IF(ISBLANK($C242),"",IF(ISNUMBER($CU242),$CU242+ROW($B242)/1000,""))</f>
        <v/>
      </c>
      <c r="CZ242" s="146" t="str">
        <f aca="false">IF(ISNUMBER($CY242),RANK($CY242,$CY$9:$CY$508,1),"")</f>
        <v/>
      </c>
      <c r="DA242" s="146" t="str">
        <f aca="false">IF(ISBLANK($C242),"",$B242)</f>
        <v/>
      </c>
      <c r="DB242" s="146" t="str">
        <f aca="false">IF(ISBLANK($C242),"",$C242)</f>
        <v/>
      </c>
      <c r="DC242" s="146" t="str">
        <f aca="false">IF(ISBLANK($C242),"",$D242)</f>
        <v/>
      </c>
      <c r="DD242" s="147" t="str">
        <f aca="false">$CR242</f>
        <v/>
      </c>
      <c r="DE242" s="148" t="str">
        <f aca="false">$CQ242</f>
        <v/>
      </c>
      <c r="DF242" s="146" t="str">
        <f aca="false">IF(ISBLANK($C242),"",$CT242)</f>
        <v/>
      </c>
      <c r="DG242" s="149" t="str">
        <f aca="false">IF($CX242&gt;$CW$8,"",VLOOKUP($CX242,$CZ$9:$DF$508,7,FALSE()))</f>
        <v/>
      </c>
      <c r="DH242" s="150" t="str">
        <f aca="false">IF($CX242&gt;$CW$8,"",VLOOKUP($CX242,$CZ$9:$DF$508,2,FALSE()))</f>
        <v/>
      </c>
      <c r="DI242" s="150" t="str">
        <f aca="false">IF($CX242&gt;$CW$8,"",VLOOKUP($CX242,$CZ$9:$DF$508,3,FALSE()))</f>
        <v/>
      </c>
      <c r="DJ242" s="150" t="str">
        <f aca="false">IF($CX242&gt;$CW$8,"",VLOOKUP($CX242,$CZ$9:$DF$508,4,FALSE()))</f>
        <v/>
      </c>
      <c r="DK242" s="150" t="str">
        <f aca="false">IF($CX242&gt;$CW$8,"",VLOOKUP($CX242,$CZ$9:$DF$508,5,FALSE()))</f>
        <v/>
      </c>
      <c r="DL242" s="151" t="str">
        <f aca="false">IF($CX242&gt;$CW$8,"",VLOOKUP($CX242,$CZ$9:$DF$508,6,FALSE()))</f>
        <v/>
      </c>
      <c r="DM242" s="75"/>
    </row>
    <row r="243" customFormat="false" ht="15.75" hidden="false" customHeight="false" outlineLevel="0" collapsed="false">
      <c r="A243" s="9"/>
      <c r="B243" s="77"/>
      <c r="C243" s="78"/>
      <c r="D243" s="167"/>
      <c r="E243" s="175"/>
      <c r="F243" s="169"/>
      <c r="G243" s="170"/>
      <c r="H243" s="170"/>
      <c r="I243" s="176"/>
      <c r="J243" s="173"/>
      <c r="K243" s="85"/>
      <c r="L243" s="86"/>
      <c r="M243" s="87"/>
      <c r="N243" s="173"/>
      <c r="O243" s="173"/>
      <c r="P243" s="175"/>
      <c r="Q243" s="173"/>
      <c r="R243" s="173"/>
      <c r="S243" s="85"/>
      <c r="T243" s="87"/>
      <c r="U243" s="87"/>
      <c r="V243" s="173"/>
      <c r="W243" s="173"/>
      <c r="X243" s="175"/>
      <c r="Y243" s="173"/>
      <c r="Z243" s="174"/>
      <c r="AA243" s="173"/>
      <c r="AB243" s="91"/>
      <c r="AC243" s="92"/>
      <c r="AD243" s="92"/>
      <c r="AE243" s="92"/>
      <c r="AF243" s="92" t="str">
        <f aca="false">IF(ISBLANK($C243),"",IF(E243=Constants!$B$3,TRUE(),IF(E243=Constants!$B$4,FALSE(),TRUE())))</f>
        <v/>
      </c>
      <c r="AG243" s="92" t="str">
        <f aca="false">IF(ISBLANK($C243),"",IF(F243=Constants!$B$3,TRUE(),IF(F243=Constants!$B$4,FALSE(),TRUE())))</f>
        <v/>
      </c>
      <c r="AH243" s="92" t="str">
        <f aca="false">IF(ISBLANK($C243),"",IF(G243=Constants!$B$3,TRUE(),IF(G243=Constants!$B$4,FALSE(),TRUE())))</f>
        <v/>
      </c>
      <c r="AI243" s="92" t="str">
        <f aca="false">IF(ISBLANK($C243),"",IF(AND(ISNUMBER(H243),H243&gt;=0),H243,Constants!$B$29))</f>
        <v/>
      </c>
      <c r="AJ243" s="92" t="str">
        <f aca="false">IF(ISBLANK($C243),"",IF(I243=Constants!$B$3,TRUE(),IF(I243=Constants!$B$4,FALSE(),TRUE())))</f>
        <v/>
      </c>
      <c r="AK243" s="92" t="str">
        <f aca="false">IF(ISBLANK($C243),"",IF(J243=Constants!$B$3,TRUE(),IF(J243=Constants!$B$4,FALSE(),TRUE())))</f>
        <v/>
      </c>
      <c r="AL243" s="92" t="str">
        <f aca="false">IF(ISBLANK($C243),"",IF(K243=Constants!$B$5,TRUE(),IF(K243=Constants!$B$6,FALSE(),COUNTA(L243:P243)&gt;0)))</f>
        <v/>
      </c>
      <c r="AM243" s="94" t="str">
        <f aca="false">IF(ISBLANK($C243),"",IF(ISNUMBER(L243),IF(L243&gt;=0,L243,""),""))</f>
        <v/>
      </c>
      <c r="AN243" s="93" t="str">
        <f aca="false">IF(ISBLANK($C243),"",IF(ISNUMBER(M243),IF(M243&gt;=0,M243,""),""))</f>
        <v/>
      </c>
      <c r="AO243" s="93" t="str">
        <f aca="false">IF(ISBLANK($C243),"",IF(N243=Constants!$B$3,TRUE(),IF(N243=Constants!$B$4,FALSE(),TRUE())))</f>
        <v/>
      </c>
      <c r="AP243" s="92" t="str">
        <f aca="false">IF(ISBLANK($C243),"",IF(ISNUMBER(O243),IF(O243&gt;=0,O243,""),""))</f>
        <v/>
      </c>
      <c r="AQ243" s="92" t="str">
        <f aca="false">IF(ISBLANK($C243),"",IF(P243=Constants!$B$3,TRUE(),IF(P243=Constants!$B$4,FALSE(),FALSE())))</f>
        <v/>
      </c>
      <c r="AR243" s="92" t="str">
        <f aca="false">IF(ISBLANK($C243),"",IF(Q243=Constants!$B$3,TRUE(),IF(Q243=Constants!$B$4,FALSE(),TRUE())))</f>
        <v/>
      </c>
      <c r="AS243" s="92" t="str">
        <f aca="false">IF(ISBLANK($C243),"",IF(R243=Constants!$B$3,TRUE(),IF(R243=Constants!$B$4,FALSE(),TRUE())))</f>
        <v/>
      </c>
      <c r="AT243" s="92" t="str">
        <f aca="false">IF(ISBLANK($C243),"",IF(S243=Constants!$B$5,TRUE(),IF(S243=Constants!$B$6,FALSE(),COUNTA(T243:X243)&gt;0)))</f>
        <v/>
      </c>
      <c r="AU243" s="94" t="str">
        <f aca="false">IF(ISBLANK($C243),"",IF(ISNUMBER(T243),IF(T243&gt;=0,T243,""),""))</f>
        <v/>
      </c>
      <c r="AV243" s="93" t="str">
        <f aca="false">IF(ISBLANK($C243),"",IF(ISNUMBER(U243),IF(U243&gt;=0,U243,""),""))</f>
        <v/>
      </c>
      <c r="AW243" s="93" t="str">
        <f aca="false">IF(ISBLANK($C243),"",IF(V243=Constants!$B$3,TRUE(),IF(V243=Constants!$B$4,FALSE(),TRUE())))</f>
        <v/>
      </c>
      <c r="AX243" s="92" t="str">
        <f aca="false">IF(ISBLANK($C243),"",IF(ISNUMBER(W243),IF(W243&gt;=0,W243,""),""))</f>
        <v/>
      </c>
      <c r="AY243" s="92" t="str">
        <f aca="false">IF(ISBLANK($C243),"",IF(X243=Constants!$B$3,TRUE(),IF(X243=Constants!$B$4,FALSE(),FALSE())))</f>
        <v/>
      </c>
      <c r="AZ243" s="92" t="str">
        <f aca="false">IF(ISBLANK($C243),"",MIN(Constants!$B$31,MAX(0,IF(ISNUMBER(Y243),Y243*60,0)+IF(ISNUMBER(Z243),Z243,0))))</f>
        <v/>
      </c>
      <c r="BA243" s="92" t="str">
        <f aca="false">IF(ISBLANK($C243),"",IF(AA243=Constants!$B$3,TRUE(),IF(AA243=Constants!$B$4,FALSE(),FALSE())))</f>
        <v/>
      </c>
      <c r="BB243" s="91" t="str">
        <f aca="false">IF(ISBLANK($C243),"",AND($AL243,OR($AM243="",$AN243="",AND($AO243,$AP243=""))))</f>
        <v/>
      </c>
      <c r="BC243" s="93" t="str">
        <f aca="false">IF($BR243&lt;&gt;Constants!$B$8,"",IF($AL243,Constants!$B$21*$AN243+Constants!$B$22*IF($AO243,$AP243,Constants!$B$23),Constants!$B$24))</f>
        <v/>
      </c>
      <c r="BD243" s="96" t="str">
        <f aca="false">IF($BR243&lt;&gt;Constants!$B$8,"",Constants!$B$25*ABS($AD$9-IF($AL243,$AM243,0)))</f>
        <v/>
      </c>
      <c r="BE243" s="96" t="str">
        <f aca="false">IF($BR243&lt;&gt;Constants!$B$8,"",IF(AND($AL243,$AQ243,$AO243),Constants!$B$27,0))</f>
        <v/>
      </c>
      <c r="BF243" s="96" t="str">
        <f aca="false">IF($BR243&lt;&gt;Constants!$B$8,"",IF($AL243,($AI243-Constants!$B$29)*Constants!$B$28,0))</f>
        <v/>
      </c>
      <c r="BG243" s="96" t="str">
        <f aca="false">IF($BR243&lt;&gt;Constants!$B$8,"",IF($AK243,0,Constants!$B$15)+IF($AJ243,0,Constants!$B$16)+IF($AH243,0,Constants!$B$17))</f>
        <v/>
      </c>
      <c r="BH243" s="97" t="str">
        <f aca="false">IF($BR243&lt;&gt;Constants!$B$8,"",Constants!$B$20+SUM($BC243:$BG243))</f>
        <v/>
      </c>
      <c r="BI243" s="92" t="str">
        <f aca="false">IF($BR243&lt;&gt;Constants!$B$8,"",IF(OR($BP243&lt;$BH243,AND($BP243=$BH243,OR($BK243&lt;$BC243,AND($BK243=$BC243,OR($BL243&lt;$BD243,AND($BL243=$BD243,$AT243,$AL243,$AV243&lt;$AN243)))))),"-&gt;","&lt;-"))</f>
        <v/>
      </c>
      <c r="BJ243" s="91" t="str">
        <f aca="false">IF(ISBLANK($C243),"",AND($AT243,OR($AU243="",$AV243="",AND($AW243,$AX243=""))))</f>
        <v/>
      </c>
      <c r="BK243" s="93" t="str">
        <f aca="false">IF($BR243&lt;&gt;Constants!$B$8,"",IF($AT243,Constants!$B$21*$AV243+Constants!$B$22*IF($AW243,$AX243,Constants!$B$23),Constants!$B$24))</f>
        <v/>
      </c>
      <c r="BL243" s="96" t="str">
        <f aca="false">IF($BR243&lt;&gt;Constants!$B$8,"",Constants!$B$25*ABS($AD$9-IF($AT243,$AU243,0)))</f>
        <v/>
      </c>
      <c r="BM243" s="96" t="str">
        <f aca="false">IF($BR243&lt;&gt;Constants!$B$8,"",IF(AND($AT243,$AY243,$AW243),Constants!$B$27,0))</f>
        <v/>
      </c>
      <c r="BN243" s="96" t="str">
        <f aca="false">IF($BR243&lt;&gt;Constants!$B$8,"",IF($AT243,($AI243-Constants!$B$29)*Constants!$B$28,0))</f>
        <v/>
      </c>
      <c r="BO243" s="96" t="str">
        <f aca="false">IF($BR243&lt;&gt;Constants!$B$8,"",IF($AS243,0,Constants!$B$15)+IF($AR243,0,Constants!$B$16)+IF($AH243,0,Constants!$B$17))</f>
        <v/>
      </c>
      <c r="BP243" s="97" t="str">
        <f aca="false">IF($BR243&lt;&gt;Constants!$B$8,"",Constants!$B$20+SUM($BK243:$BO243))</f>
        <v/>
      </c>
      <c r="BQ243" s="92" t="str">
        <f aca="false">IF(ISBLANK($C243),"",IF(ISBLANK($D$7),$BQ$5,IF(NOT(ISNUMBER($D$7)),$BQ$6,"")))</f>
        <v/>
      </c>
      <c r="BR243" s="92" t="str">
        <f aca="false">IF(ISBLANK($C243),"",IF($BA243,Constants!$B$11,IF(COUNTA($E243:$AA243)=0,Constants!$B$10,IF(NOT($AG243),Constants!$B$9,IF(OR($BQ243&lt;&gt;"",$BB243,$BJ243),Constants!$B$12,Constants!$B$8)))))</f>
        <v/>
      </c>
      <c r="BS243" s="92" t="str">
        <f aca="false">IF(ISBLANK($C243),"",IF($BR243&lt;&gt;Constants!$B$8,$BR243,Constants!$B$13))</f>
        <v/>
      </c>
      <c r="BT243" s="96" t="str">
        <f aca="false">IF($BR243&lt;&gt;Constants!$B$8,"",IF($BI243="-&gt;",$BP243,$BH243))</f>
        <v/>
      </c>
      <c r="BU243" s="96" t="str">
        <f aca="false">IF($BR243&lt;&gt;Constants!$B$8,"",IF($AF243,0,Constants!$B$18))</f>
        <v/>
      </c>
      <c r="BV243" s="96" t="str">
        <f aca="false">IF($BR243&lt;&gt;Constants!$B$8,"",((Constants!$B$31-$AZ243)-Constants!$B$31)/Constants!$B$32)</f>
        <v/>
      </c>
      <c r="BW243" s="96" t="str">
        <f aca="false">IF(ISBLANK($C243),"",IF($BR243&lt;&gt;Constants!$B$8,$BR243,SUM($BT243:$BV243)))</f>
        <v/>
      </c>
      <c r="BX243" s="92" t="str">
        <f aca="false">IF(ISBLANK($C243),"",IF($BR243&lt;&gt;Constants!$B$8,$BR243,RANK($BW243,$BW$9:$BW$508,1)))</f>
        <v/>
      </c>
      <c r="BY243" s="96" t="str">
        <f aca="false">IF($BR243&lt;&gt;Constants!$B$8,"",IF($BI243="-&gt;",$BK243,$BC243))</f>
        <v/>
      </c>
      <c r="BZ243" s="92" t="str">
        <f aca="false">IF(ISBLANK($C243),"",IF($BR243&lt;&gt;Constants!$B$8,$BR243,IF(ISNUMBER($BY243),RANK($BY243,$BY$9:$BY$508,1),COUNT($BY$9:$BY$508)+1)))</f>
        <v/>
      </c>
      <c r="CA243" s="96" t="str">
        <f aca="false">IF($BR243&lt;&gt;Constants!$B$8,"",IF($BI243="-&gt;",$BL243,$BD243))</f>
        <v/>
      </c>
      <c r="CB243" s="92" t="str">
        <f aca="false">IF(ISBLANK($C243),"",IF($BR243&lt;&gt;Constants!$B$8,$BR243,IF(ISNUMBER($CA243),RANK($CA243,$CA$9:$CA$508,1),COUNT($CA$9:$CA$508)+1)))</f>
        <v/>
      </c>
      <c r="CC243" s="96" t="str">
        <f aca="false">IF($BR243&lt;&gt;Constants!$B$8,"",IF($BI243="-&gt;",IF($AT243,$AV243,""),IF($AL243,$AN243,"")))</f>
        <v/>
      </c>
      <c r="CD243" s="92" t="str">
        <f aca="false">IF(ISBLANK($C243),"",IF($BR243&lt;&gt;Constants!$B$8,$BR243,IF(ISNUMBER($CC243),RANK($CC243,$CC$9:$CC$508,1),COUNT($CC$9:$CC$508)+1)))</f>
        <v/>
      </c>
      <c r="CE243" s="96" t="str">
        <f aca="false">IF($BR243&lt;&gt;Constants!$B$8,"",IF(AND(NOT($AL243),NOT($AT243),$AJ243,$AK243,$AR243,$AS243),"",$AI243))</f>
        <v/>
      </c>
      <c r="CF243" s="92" t="str">
        <f aca="false">IF(ISBLANK($C243),"",IF($BR243&lt;&gt;Constants!$B$8,$BR243,IF(ISNUMBER($CE243),RANK($CE243,$CE$9:$CE$508,1),COUNT($CE$9:$CE$508)+1)))</f>
        <v/>
      </c>
      <c r="CG243" s="92" t="str">
        <f aca="false">IF(ISBLANK($C243),"",IF($BR243&lt;&gt;Constants!$B$8,$BR243,COUNTIFS($BX$9:$BX$508,"&lt;"&amp;$BX243)+COUNTIFS($BX$9:$BX$508,$BX243,$BZ$9:$BZ$508,"&lt;"&amp;$BZ243)+COUNTIFS($BX$9:$BX$508,$BX243,$BZ$9:$BZ$508,$BZ243,$CB$9:$CB$508,"&lt;"&amp;$CB243)+COUNTIFS($BX$9:$BX$508,$BX243,$BZ$9:$BZ$508,$BZ243,$CB$9:$CB$508,$CB243,$CD$9:$CD$508,"&lt;"&amp;$CD243)+COUNTIFS($BX$9:$BX$508,$BX243,$BZ$9:$BZ$508,$BZ243,$CB$9:$CB$508,$CB243,$CD$9:$CD$508,$CD243,$CF$9:$CF$508,"&lt;"&amp;$CF243)+1))</f>
        <v/>
      </c>
      <c r="CH243" s="92" t="str">
        <f aca="false">IF(ISBLANK($C243),"",IF($BR243&lt;&gt;Constants!$B$8,$BR243,$BX243-$CG243))</f>
        <v/>
      </c>
      <c r="CI243" s="98"/>
      <c r="CJ243" s="99"/>
      <c r="CK243" s="100" t="str">
        <f aca="false">IF(ISBLANK($C243),"",IF($BR243=Constants!$B$12,$BQ243,""))</f>
        <v/>
      </c>
      <c r="CL243" s="99" t="str">
        <f aca="false">IF(ISBLANK($C243),"",IF($BR243&lt;&gt;Constants!$B$8,"",IF($BI243="-&gt;",2,1)))</f>
        <v/>
      </c>
      <c r="CM243" s="101" t="str">
        <f aca="false">IF(ISBLANK($C243),"",IF($BR243&lt;&gt;Constants!$B$8,"",IF($BI243="-&gt;",$BK243,$BC243)))</f>
        <v/>
      </c>
      <c r="CN243" s="101" t="str">
        <f aca="false">IF(ISBLANK($C243),"",IF($BR243&lt;&gt;Constants!$B$8,"",IF($BI243="-&gt;",$BL243,$BD243)))</f>
        <v/>
      </c>
      <c r="CO243" s="101" t="str">
        <f aca="false">IF(ISBLANK($C243),"",IF($BR243&lt;&gt;Constants!$B$8,"",IF($BI243="-&gt;",$BM243+$BN243,$BE243+$BF243)+$BV243))</f>
        <v/>
      </c>
      <c r="CP243" s="101" t="str">
        <f aca="false">IF(ISBLANK($C243),"",IF($BR243&lt;&gt;Constants!$B$8,"",IF($BI243="-&gt;",$BO243,$BG243)+$BU243))</f>
        <v/>
      </c>
      <c r="CQ243" s="102" t="str">
        <f aca="false">IF(ISBLANK($C243),"",IF($BR243&lt;&gt;Constants!$B$8,$BR243,$BW243))</f>
        <v/>
      </c>
      <c r="CR243" s="103" t="str">
        <f aca="false">IF(ISBLANK($C243),"",$BS243)</f>
        <v/>
      </c>
      <c r="CS243" s="104" t="str">
        <f aca="false">IF(ISBLANK($C243),"",$CH243)</f>
        <v/>
      </c>
      <c r="CT243" s="104" t="str">
        <f aca="false">IF(ISBLANK($C243),"",$CG243)</f>
        <v/>
      </c>
      <c r="CU243" s="105" t="str">
        <f aca="false">IF(ISBLANK($C243),"",IFERROR(_xlfn.SWITCH($CT243,Constants!$B$11,COUNTA($C$9:$C$508)+2,Constants!$B$10,COUNTA($C$9:$C$508)+1,Constants!$B$9,COUNTA($C$9:$C$508)),$CT243))</f>
        <v/>
      </c>
      <c r="CV243" s="9"/>
      <c r="CW243" s="106" t="n">
        <f aca="false">IF(OR(ISNUMBER($CT243),$CT243=Constants!$B$11,$CT243=Constants!$B$9,$CT243=Constants!$B$10),1,0)</f>
        <v>0</v>
      </c>
      <c r="CX243" s="106" t="n">
        <v>235</v>
      </c>
      <c r="CY243" s="106" t="str">
        <f aca="false">IF(ISBLANK($C243),"",IF(ISNUMBER($CU243),$CU243+ROW($B243)/1000,""))</f>
        <v/>
      </c>
      <c r="CZ243" s="106" t="str">
        <f aca="false">IF(ISNUMBER($CY243),RANK($CY243,$CY$9:$CY$508,1),"")</f>
        <v/>
      </c>
      <c r="DA243" s="106" t="str">
        <f aca="false">IF(ISBLANK($C243),"",$B243)</f>
        <v/>
      </c>
      <c r="DB243" s="106" t="str">
        <f aca="false">IF(ISBLANK($C243),"",$C243)</f>
        <v/>
      </c>
      <c r="DC243" s="106" t="str">
        <f aca="false">IF(ISBLANK($C243),"",$D243)</f>
        <v/>
      </c>
      <c r="DD243" s="107" t="str">
        <f aca="false">$CR243</f>
        <v/>
      </c>
      <c r="DE243" s="108" t="str">
        <f aca="false">$CQ243</f>
        <v/>
      </c>
      <c r="DF243" s="106" t="str">
        <f aca="false">IF(ISBLANK($C243),"",$CT243)</f>
        <v/>
      </c>
      <c r="DG243" s="109" t="str">
        <f aca="false">IF($CX243&gt;$CW$8,"",VLOOKUP($CX243,$CZ$9:$DF$508,7,FALSE()))</f>
        <v/>
      </c>
      <c r="DH243" s="110" t="str">
        <f aca="false">IF($CX243&gt;$CW$8,"",VLOOKUP($CX243,$CZ$9:$DF$508,2,FALSE()))</f>
        <v/>
      </c>
      <c r="DI243" s="110" t="str">
        <f aca="false">IF($CX243&gt;$CW$8,"",VLOOKUP($CX243,$CZ$9:$DF$508,3,FALSE()))</f>
        <v/>
      </c>
      <c r="DJ243" s="110" t="str">
        <f aca="false">IF($CX243&gt;$CW$8,"",VLOOKUP($CX243,$CZ$9:$DF$508,4,FALSE()))</f>
        <v/>
      </c>
      <c r="DK243" s="110" t="str">
        <f aca="false">IF($CX243&gt;$CW$8,"",VLOOKUP($CX243,$CZ$9:$DF$508,5,FALSE()))</f>
        <v/>
      </c>
      <c r="DL243" s="111" t="str">
        <f aca="false">IF($CX243&gt;$CW$8,"",VLOOKUP($CX243,$CZ$9:$DF$508,6,FALSE()))</f>
        <v/>
      </c>
      <c r="DM243" s="75"/>
    </row>
    <row r="244" customFormat="false" ht="15.75" hidden="false" customHeight="false" outlineLevel="0" collapsed="false">
      <c r="A244" s="9"/>
      <c r="B244" s="77"/>
      <c r="C244" s="78"/>
      <c r="D244" s="167"/>
      <c r="E244" s="175"/>
      <c r="F244" s="169"/>
      <c r="G244" s="170"/>
      <c r="H244" s="170"/>
      <c r="I244" s="176"/>
      <c r="J244" s="173"/>
      <c r="K244" s="85"/>
      <c r="L244" s="86"/>
      <c r="M244" s="87"/>
      <c r="N244" s="173"/>
      <c r="O244" s="173"/>
      <c r="P244" s="175"/>
      <c r="Q244" s="173"/>
      <c r="R244" s="173"/>
      <c r="S244" s="85"/>
      <c r="T244" s="87"/>
      <c r="U244" s="87"/>
      <c r="V244" s="173"/>
      <c r="W244" s="173"/>
      <c r="X244" s="175"/>
      <c r="Y244" s="173"/>
      <c r="Z244" s="174"/>
      <c r="AA244" s="173"/>
      <c r="AB244" s="91"/>
      <c r="AC244" s="92"/>
      <c r="AD244" s="92"/>
      <c r="AE244" s="92"/>
      <c r="AF244" s="92" t="str">
        <f aca="false">IF(ISBLANK($C244),"",IF(E244=Constants!$B$3,TRUE(),IF(E244=Constants!$B$4,FALSE(),TRUE())))</f>
        <v/>
      </c>
      <c r="AG244" s="92" t="str">
        <f aca="false">IF(ISBLANK($C244),"",IF(F244=Constants!$B$3,TRUE(),IF(F244=Constants!$B$4,FALSE(),TRUE())))</f>
        <v/>
      </c>
      <c r="AH244" s="92" t="str">
        <f aca="false">IF(ISBLANK($C244),"",IF(G244=Constants!$B$3,TRUE(),IF(G244=Constants!$B$4,FALSE(),TRUE())))</f>
        <v/>
      </c>
      <c r="AI244" s="92" t="str">
        <f aca="false">IF(ISBLANK($C244),"",IF(AND(ISNUMBER(H244),H244&gt;=0),H244,Constants!$B$29))</f>
        <v/>
      </c>
      <c r="AJ244" s="92" t="str">
        <f aca="false">IF(ISBLANK($C244),"",IF(I244=Constants!$B$3,TRUE(),IF(I244=Constants!$B$4,FALSE(),TRUE())))</f>
        <v/>
      </c>
      <c r="AK244" s="92" t="str">
        <f aca="false">IF(ISBLANK($C244),"",IF(J244=Constants!$B$3,TRUE(),IF(J244=Constants!$B$4,FALSE(),TRUE())))</f>
        <v/>
      </c>
      <c r="AL244" s="92" t="str">
        <f aca="false">IF(ISBLANK($C244),"",IF(K244=Constants!$B$5,TRUE(),IF(K244=Constants!$B$6,FALSE(),COUNTA(L244:P244)&gt;0)))</f>
        <v/>
      </c>
      <c r="AM244" s="94" t="str">
        <f aca="false">IF(ISBLANK($C244),"",IF(ISNUMBER(L244),IF(L244&gt;=0,L244,""),""))</f>
        <v/>
      </c>
      <c r="AN244" s="93" t="str">
        <f aca="false">IF(ISBLANK($C244),"",IF(ISNUMBER(M244),IF(M244&gt;=0,M244,""),""))</f>
        <v/>
      </c>
      <c r="AO244" s="93" t="str">
        <f aca="false">IF(ISBLANK($C244),"",IF(N244=Constants!$B$3,TRUE(),IF(N244=Constants!$B$4,FALSE(),TRUE())))</f>
        <v/>
      </c>
      <c r="AP244" s="92" t="str">
        <f aca="false">IF(ISBLANK($C244),"",IF(ISNUMBER(O244),IF(O244&gt;=0,O244,""),""))</f>
        <v/>
      </c>
      <c r="AQ244" s="92" t="str">
        <f aca="false">IF(ISBLANK($C244),"",IF(P244=Constants!$B$3,TRUE(),IF(P244=Constants!$B$4,FALSE(),FALSE())))</f>
        <v/>
      </c>
      <c r="AR244" s="92" t="str">
        <f aca="false">IF(ISBLANK($C244),"",IF(Q244=Constants!$B$3,TRUE(),IF(Q244=Constants!$B$4,FALSE(),TRUE())))</f>
        <v/>
      </c>
      <c r="AS244" s="92" t="str">
        <f aca="false">IF(ISBLANK($C244),"",IF(R244=Constants!$B$3,TRUE(),IF(R244=Constants!$B$4,FALSE(),TRUE())))</f>
        <v/>
      </c>
      <c r="AT244" s="92" t="str">
        <f aca="false">IF(ISBLANK($C244),"",IF(S244=Constants!$B$5,TRUE(),IF(S244=Constants!$B$6,FALSE(),COUNTA(T244:X244)&gt;0)))</f>
        <v/>
      </c>
      <c r="AU244" s="94" t="str">
        <f aca="false">IF(ISBLANK($C244),"",IF(ISNUMBER(T244),IF(T244&gt;=0,T244,""),""))</f>
        <v/>
      </c>
      <c r="AV244" s="93" t="str">
        <f aca="false">IF(ISBLANK($C244),"",IF(ISNUMBER(U244),IF(U244&gt;=0,U244,""),""))</f>
        <v/>
      </c>
      <c r="AW244" s="93" t="str">
        <f aca="false">IF(ISBLANK($C244),"",IF(V244=Constants!$B$3,TRUE(),IF(V244=Constants!$B$4,FALSE(),TRUE())))</f>
        <v/>
      </c>
      <c r="AX244" s="92" t="str">
        <f aca="false">IF(ISBLANK($C244),"",IF(ISNUMBER(W244),IF(W244&gt;=0,W244,""),""))</f>
        <v/>
      </c>
      <c r="AY244" s="92" t="str">
        <f aca="false">IF(ISBLANK($C244),"",IF(X244=Constants!$B$3,TRUE(),IF(X244=Constants!$B$4,FALSE(),FALSE())))</f>
        <v/>
      </c>
      <c r="AZ244" s="92" t="str">
        <f aca="false">IF(ISBLANK($C244),"",MIN(Constants!$B$31,MAX(0,IF(ISNUMBER(Y244),Y244*60,0)+IF(ISNUMBER(Z244),Z244,0))))</f>
        <v/>
      </c>
      <c r="BA244" s="92" t="str">
        <f aca="false">IF(ISBLANK($C244),"",IF(AA244=Constants!$B$3,TRUE(),IF(AA244=Constants!$B$4,FALSE(),FALSE())))</f>
        <v/>
      </c>
      <c r="BB244" s="91" t="str">
        <f aca="false">IF(ISBLANK($C244),"",AND($AL244,OR($AM244="",$AN244="",AND($AO244,$AP244=""))))</f>
        <v/>
      </c>
      <c r="BC244" s="93" t="str">
        <f aca="false">IF($BR244&lt;&gt;Constants!$B$8,"",IF($AL244,Constants!$B$21*$AN244+Constants!$B$22*IF($AO244,$AP244,Constants!$B$23),Constants!$B$24))</f>
        <v/>
      </c>
      <c r="BD244" s="96" t="str">
        <f aca="false">IF($BR244&lt;&gt;Constants!$B$8,"",Constants!$B$25*ABS($AD$9-IF($AL244,$AM244,0)))</f>
        <v/>
      </c>
      <c r="BE244" s="96" t="str">
        <f aca="false">IF($BR244&lt;&gt;Constants!$B$8,"",IF(AND($AL244,$AQ244,$AO244),Constants!$B$27,0))</f>
        <v/>
      </c>
      <c r="BF244" s="96" t="str">
        <f aca="false">IF($BR244&lt;&gt;Constants!$B$8,"",IF($AL244,($AI244-Constants!$B$29)*Constants!$B$28,0))</f>
        <v/>
      </c>
      <c r="BG244" s="96" t="str">
        <f aca="false">IF($BR244&lt;&gt;Constants!$B$8,"",IF($AK244,0,Constants!$B$15)+IF($AJ244,0,Constants!$B$16)+IF($AH244,0,Constants!$B$17))</f>
        <v/>
      </c>
      <c r="BH244" s="97" t="str">
        <f aca="false">IF($BR244&lt;&gt;Constants!$B$8,"",Constants!$B$20+SUM($BC244:$BG244))</f>
        <v/>
      </c>
      <c r="BI244" s="92" t="str">
        <f aca="false">IF($BR244&lt;&gt;Constants!$B$8,"",IF(OR($BP244&lt;$BH244,AND($BP244=$BH244,OR($BK244&lt;$BC244,AND($BK244=$BC244,OR($BL244&lt;$BD244,AND($BL244=$BD244,$AT244,$AL244,$AV244&lt;$AN244)))))),"-&gt;","&lt;-"))</f>
        <v/>
      </c>
      <c r="BJ244" s="91" t="str">
        <f aca="false">IF(ISBLANK($C244),"",AND($AT244,OR($AU244="",$AV244="",AND($AW244,$AX244=""))))</f>
        <v/>
      </c>
      <c r="BK244" s="93" t="str">
        <f aca="false">IF($BR244&lt;&gt;Constants!$B$8,"",IF($AT244,Constants!$B$21*$AV244+Constants!$B$22*IF($AW244,$AX244,Constants!$B$23),Constants!$B$24))</f>
        <v/>
      </c>
      <c r="BL244" s="96" t="str">
        <f aca="false">IF($BR244&lt;&gt;Constants!$B$8,"",Constants!$B$25*ABS($AD$9-IF($AT244,$AU244,0)))</f>
        <v/>
      </c>
      <c r="BM244" s="96" t="str">
        <f aca="false">IF($BR244&lt;&gt;Constants!$B$8,"",IF(AND($AT244,$AY244,$AW244),Constants!$B$27,0))</f>
        <v/>
      </c>
      <c r="BN244" s="96" t="str">
        <f aca="false">IF($BR244&lt;&gt;Constants!$B$8,"",IF($AT244,($AI244-Constants!$B$29)*Constants!$B$28,0))</f>
        <v/>
      </c>
      <c r="BO244" s="96" t="str">
        <f aca="false">IF($BR244&lt;&gt;Constants!$B$8,"",IF($AS244,0,Constants!$B$15)+IF($AR244,0,Constants!$B$16)+IF($AH244,0,Constants!$B$17))</f>
        <v/>
      </c>
      <c r="BP244" s="97" t="str">
        <f aca="false">IF($BR244&lt;&gt;Constants!$B$8,"",Constants!$B$20+SUM($BK244:$BO244))</f>
        <v/>
      </c>
      <c r="BQ244" s="92" t="str">
        <f aca="false">IF(ISBLANK($C244),"",IF(ISBLANK($D$7),$BQ$5,IF(NOT(ISNUMBER($D$7)),$BQ$6,"")))</f>
        <v/>
      </c>
      <c r="BR244" s="92" t="str">
        <f aca="false">IF(ISBLANK($C244),"",IF($BA244,Constants!$B$11,IF(COUNTA($E244:$AA244)=0,Constants!$B$10,IF(NOT($AG244),Constants!$B$9,IF(OR($BQ244&lt;&gt;"",$BB244,$BJ244),Constants!$B$12,Constants!$B$8)))))</f>
        <v/>
      </c>
      <c r="BS244" s="92" t="str">
        <f aca="false">IF(ISBLANK($C244),"",IF($BR244&lt;&gt;Constants!$B$8,$BR244,Constants!$B$13))</f>
        <v/>
      </c>
      <c r="BT244" s="96" t="str">
        <f aca="false">IF($BR244&lt;&gt;Constants!$B$8,"",IF($BI244="-&gt;",$BP244,$BH244))</f>
        <v/>
      </c>
      <c r="BU244" s="96" t="str">
        <f aca="false">IF($BR244&lt;&gt;Constants!$B$8,"",IF($AF244,0,Constants!$B$18))</f>
        <v/>
      </c>
      <c r="BV244" s="96" t="str">
        <f aca="false">IF($BR244&lt;&gt;Constants!$B$8,"",((Constants!$B$31-$AZ244)-Constants!$B$31)/Constants!$B$32)</f>
        <v/>
      </c>
      <c r="BW244" s="96" t="str">
        <f aca="false">IF(ISBLANK($C244),"",IF($BR244&lt;&gt;Constants!$B$8,$BR244,SUM($BT244:$BV244)))</f>
        <v/>
      </c>
      <c r="BX244" s="92" t="str">
        <f aca="false">IF(ISBLANK($C244),"",IF($BR244&lt;&gt;Constants!$B$8,$BR244,RANK($BW244,$BW$9:$BW$508,1)))</f>
        <v/>
      </c>
      <c r="BY244" s="96" t="str">
        <f aca="false">IF($BR244&lt;&gt;Constants!$B$8,"",IF($BI244="-&gt;",$BK244,$BC244))</f>
        <v/>
      </c>
      <c r="BZ244" s="92" t="str">
        <f aca="false">IF(ISBLANK($C244),"",IF($BR244&lt;&gt;Constants!$B$8,$BR244,IF(ISNUMBER($BY244),RANK($BY244,$BY$9:$BY$508,1),COUNT($BY$9:$BY$508)+1)))</f>
        <v/>
      </c>
      <c r="CA244" s="96" t="str">
        <f aca="false">IF($BR244&lt;&gt;Constants!$B$8,"",IF($BI244="-&gt;",$BL244,$BD244))</f>
        <v/>
      </c>
      <c r="CB244" s="92" t="str">
        <f aca="false">IF(ISBLANK($C244),"",IF($BR244&lt;&gt;Constants!$B$8,$BR244,IF(ISNUMBER($CA244),RANK($CA244,$CA$9:$CA$508,1),COUNT($CA$9:$CA$508)+1)))</f>
        <v/>
      </c>
      <c r="CC244" s="96" t="str">
        <f aca="false">IF($BR244&lt;&gt;Constants!$B$8,"",IF($BI244="-&gt;",IF($AT244,$AV244,""),IF($AL244,$AN244,"")))</f>
        <v/>
      </c>
      <c r="CD244" s="92" t="str">
        <f aca="false">IF(ISBLANK($C244),"",IF($BR244&lt;&gt;Constants!$B$8,$BR244,IF(ISNUMBER($CC244),RANK($CC244,$CC$9:$CC$508,1),COUNT($CC$9:$CC$508)+1)))</f>
        <v/>
      </c>
      <c r="CE244" s="96" t="str">
        <f aca="false">IF($BR244&lt;&gt;Constants!$B$8,"",IF(AND(NOT($AL244),NOT($AT244),$AJ244,$AK244,$AR244,$AS244),"",$AI244))</f>
        <v/>
      </c>
      <c r="CF244" s="92" t="str">
        <f aca="false">IF(ISBLANK($C244),"",IF($BR244&lt;&gt;Constants!$B$8,$BR244,IF(ISNUMBER($CE244),RANK($CE244,$CE$9:$CE$508,1),COUNT($CE$9:$CE$508)+1)))</f>
        <v/>
      </c>
      <c r="CG244" s="92" t="str">
        <f aca="false">IF(ISBLANK($C244),"",IF($BR244&lt;&gt;Constants!$B$8,$BR244,COUNTIFS($BX$9:$BX$508,"&lt;"&amp;$BX244)+COUNTIFS($BX$9:$BX$508,$BX244,$BZ$9:$BZ$508,"&lt;"&amp;$BZ244)+COUNTIFS($BX$9:$BX$508,$BX244,$BZ$9:$BZ$508,$BZ244,$CB$9:$CB$508,"&lt;"&amp;$CB244)+COUNTIFS($BX$9:$BX$508,$BX244,$BZ$9:$BZ$508,$BZ244,$CB$9:$CB$508,$CB244,$CD$9:$CD$508,"&lt;"&amp;$CD244)+COUNTIFS($BX$9:$BX$508,$BX244,$BZ$9:$BZ$508,$BZ244,$CB$9:$CB$508,$CB244,$CD$9:$CD$508,$CD244,$CF$9:$CF$508,"&lt;"&amp;$CF244)+1))</f>
        <v/>
      </c>
      <c r="CH244" s="92" t="str">
        <f aca="false">IF(ISBLANK($C244),"",IF($BR244&lt;&gt;Constants!$B$8,$BR244,$BX244-$CG244))</f>
        <v/>
      </c>
      <c r="CI244" s="98"/>
      <c r="CJ244" s="99"/>
      <c r="CK244" s="100" t="str">
        <f aca="false">IF(ISBLANK($C244),"",IF($BR244=Constants!$B$12,$BQ244,""))</f>
        <v/>
      </c>
      <c r="CL244" s="99" t="str">
        <f aca="false">IF(ISBLANK($C244),"",IF($BR244&lt;&gt;Constants!$B$8,"",IF($BI244="-&gt;",2,1)))</f>
        <v/>
      </c>
      <c r="CM244" s="101" t="str">
        <f aca="false">IF(ISBLANK($C244),"",IF($BR244&lt;&gt;Constants!$B$8,"",IF($BI244="-&gt;",$BK244,$BC244)))</f>
        <v/>
      </c>
      <c r="CN244" s="101" t="str">
        <f aca="false">IF(ISBLANK($C244),"",IF($BR244&lt;&gt;Constants!$B$8,"",IF($BI244="-&gt;",$BL244,$BD244)))</f>
        <v/>
      </c>
      <c r="CO244" s="101" t="str">
        <f aca="false">IF(ISBLANK($C244),"",IF($BR244&lt;&gt;Constants!$B$8,"",IF($BI244="-&gt;",$BM244+$BN244,$BE244+$BF244)+$BV244))</f>
        <v/>
      </c>
      <c r="CP244" s="101" t="str">
        <f aca="false">IF(ISBLANK($C244),"",IF($BR244&lt;&gt;Constants!$B$8,"",IF($BI244="-&gt;",$BO244,$BG244)+$BU244))</f>
        <v/>
      </c>
      <c r="CQ244" s="102" t="str">
        <f aca="false">IF(ISBLANK($C244),"",IF($BR244&lt;&gt;Constants!$B$8,$BR244,$BW244))</f>
        <v/>
      </c>
      <c r="CR244" s="103" t="str">
        <f aca="false">IF(ISBLANK($C244),"",$BS244)</f>
        <v/>
      </c>
      <c r="CS244" s="104" t="str">
        <f aca="false">IF(ISBLANK($C244),"",$CH244)</f>
        <v/>
      </c>
      <c r="CT244" s="104" t="str">
        <f aca="false">IF(ISBLANK($C244),"",$CG244)</f>
        <v/>
      </c>
      <c r="CU244" s="105" t="str">
        <f aca="false">IF(ISBLANK($C244),"",IFERROR(_xlfn.SWITCH($CT244,Constants!$B$11,COUNTA($C$9:$C$508)+2,Constants!$B$10,COUNTA($C$9:$C$508)+1,Constants!$B$9,COUNTA($C$9:$C$508)),$CT244))</f>
        <v/>
      </c>
      <c r="CV244" s="9"/>
      <c r="CW244" s="106" t="n">
        <f aca="false">IF(OR(ISNUMBER($CT244),$CT244=Constants!$B$11,$CT244=Constants!$B$9,$CT244=Constants!$B$10),1,0)</f>
        <v>0</v>
      </c>
      <c r="CX244" s="106" t="n">
        <v>236</v>
      </c>
      <c r="CY244" s="106" t="str">
        <f aca="false">IF(ISBLANK($C244),"",IF(ISNUMBER($CU244),$CU244+ROW($B244)/1000,""))</f>
        <v/>
      </c>
      <c r="CZ244" s="106" t="str">
        <f aca="false">IF(ISNUMBER($CY244),RANK($CY244,$CY$9:$CY$508,1),"")</f>
        <v/>
      </c>
      <c r="DA244" s="106" t="str">
        <f aca="false">IF(ISBLANK($C244),"",$B244)</f>
        <v/>
      </c>
      <c r="DB244" s="106" t="str">
        <f aca="false">IF(ISBLANK($C244),"",$C244)</f>
        <v/>
      </c>
      <c r="DC244" s="106" t="str">
        <f aca="false">IF(ISBLANK($C244),"",$D244)</f>
        <v/>
      </c>
      <c r="DD244" s="107" t="str">
        <f aca="false">$CR244</f>
        <v/>
      </c>
      <c r="DE244" s="108" t="str">
        <f aca="false">$CQ244</f>
        <v/>
      </c>
      <c r="DF244" s="106" t="str">
        <f aca="false">IF(ISBLANK($C244),"",$CT244)</f>
        <v/>
      </c>
      <c r="DG244" s="109" t="str">
        <f aca="false">IF($CX244&gt;$CW$8,"",VLOOKUP($CX244,$CZ$9:$DF$508,7,FALSE()))</f>
        <v/>
      </c>
      <c r="DH244" s="110" t="str">
        <f aca="false">IF($CX244&gt;$CW$8,"",VLOOKUP($CX244,$CZ$9:$DF$508,2,FALSE()))</f>
        <v/>
      </c>
      <c r="DI244" s="110" t="str">
        <f aca="false">IF($CX244&gt;$CW$8,"",VLOOKUP($CX244,$CZ$9:$DF$508,3,FALSE()))</f>
        <v/>
      </c>
      <c r="DJ244" s="110" t="str">
        <f aca="false">IF($CX244&gt;$CW$8,"",VLOOKUP($CX244,$CZ$9:$DF$508,4,FALSE()))</f>
        <v/>
      </c>
      <c r="DK244" s="110" t="str">
        <f aca="false">IF($CX244&gt;$CW$8,"",VLOOKUP($CX244,$CZ$9:$DF$508,5,FALSE()))</f>
        <v/>
      </c>
      <c r="DL244" s="111" t="str">
        <f aca="false">IF($CX244&gt;$CW$8,"",VLOOKUP($CX244,$CZ$9:$DF$508,6,FALSE()))</f>
        <v/>
      </c>
      <c r="DM244" s="75"/>
    </row>
    <row r="245" customFormat="false" ht="15.75" hidden="false" customHeight="false" outlineLevel="0" collapsed="false">
      <c r="A245" s="9"/>
      <c r="B245" s="77"/>
      <c r="C245" s="78"/>
      <c r="D245" s="167"/>
      <c r="E245" s="175"/>
      <c r="F245" s="169"/>
      <c r="G245" s="170"/>
      <c r="H245" s="170"/>
      <c r="I245" s="176"/>
      <c r="J245" s="173"/>
      <c r="K245" s="85"/>
      <c r="L245" s="86"/>
      <c r="M245" s="87"/>
      <c r="N245" s="173"/>
      <c r="O245" s="173"/>
      <c r="P245" s="175"/>
      <c r="Q245" s="173"/>
      <c r="R245" s="173"/>
      <c r="S245" s="85"/>
      <c r="T245" s="87"/>
      <c r="U245" s="87"/>
      <c r="V245" s="173"/>
      <c r="W245" s="173"/>
      <c r="X245" s="175"/>
      <c r="Y245" s="173"/>
      <c r="Z245" s="174"/>
      <c r="AA245" s="173"/>
      <c r="AB245" s="91"/>
      <c r="AC245" s="92"/>
      <c r="AD245" s="92"/>
      <c r="AE245" s="92"/>
      <c r="AF245" s="92" t="str">
        <f aca="false">IF(ISBLANK($C245),"",IF(E245=Constants!$B$3,TRUE(),IF(E245=Constants!$B$4,FALSE(),TRUE())))</f>
        <v/>
      </c>
      <c r="AG245" s="92" t="str">
        <f aca="false">IF(ISBLANK($C245),"",IF(F245=Constants!$B$3,TRUE(),IF(F245=Constants!$B$4,FALSE(),TRUE())))</f>
        <v/>
      </c>
      <c r="AH245" s="92" t="str">
        <f aca="false">IF(ISBLANK($C245),"",IF(G245=Constants!$B$3,TRUE(),IF(G245=Constants!$B$4,FALSE(),TRUE())))</f>
        <v/>
      </c>
      <c r="AI245" s="92" t="str">
        <f aca="false">IF(ISBLANK($C245),"",IF(AND(ISNUMBER(H245),H245&gt;=0),H245,Constants!$B$29))</f>
        <v/>
      </c>
      <c r="AJ245" s="92" t="str">
        <f aca="false">IF(ISBLANK($C245),"",IF(I245=Constants!$B$3,TRUE(),IF(I245=Constants!$B$4,FALSE(),TRUE())))</f>
        <v/>
      </c>
      <c r="AK245" s="92" t="str">
        <f aca="false">IF(ISBLANK($C245),"",IF(J245=Constants!$B$3,TRUE(),IF(J245=Constants!$B$4,FALSE(),TRUE())))</f>
        <v/>
      </c>
      <c r="AL245" s="92" t="str">
        <f aca="false">IF(ISBLANK($C245),"",IF(K245=Constants!$B$5,TRUE(),IF(K245=Constants!$B$6,FALSE(),COUNTA(L245:P245)&gt;0)))</f>
        <v/>
      </c>
      <c r="AM245" s="94" t="str">
        <f aca="false">IF(ISBLANK($C245),"",IF(ISNUMBER(L245),IF(L245&gt;=0,L245,""),""))</f>
        <v/>
      </c>
      <c r="AN245" s="93" t="str">
        <f aca="false">IF(ISBLANK($C245),"",IF(ISNUMBER(M245),IF(M245&gt;=0,M245,""),""))</f>
        <v/>
      </c>
      <c r="AO245" s="93" t="str">
        <f aca="false">IF(ISBLANK($C245),"",IF(N245=Constants!$B$3,TRUE(),IF(N245=Constants!$B$4,FALSE(),TRUE())))</f>
        <v/>
      </c>
      <c r="AP245" s="92" t="str">
        <f aca="false">IF(ISBLANK($C245),"",IF(ISNUMBER(O245),IF(O245&gt;=0,O245,""),""))</f>
        <v/>
      </c>
      <c r="AQ245" s="92" t="str">
        <f aca="false">IF(ISBLANK($C245),"",IF(P245=Constants!$B$3,TRUE(),IF(P245=Constants!$B$4,FALSE(),FALSE())))</f>
        <v/>
      </c>
      <c r="AR245" s="92" t="str">
        <f aca="false">IF(ISBLANK($C245),"",IF(Q245=Constants!$B$3,TRUE(),IF(Q245=Constants!$B$4,FALSE(),TRUE())))</f>
        <v/>
      </c>
      <c r="AS245" s="92" t="str">
        <f aca="false">IF(ISBLANK($C245),"",IF(R245=Constants!$B$3,TRUE(),IF(R245=Constants!$B$4,FALSE(),TRUE())))</f>
        <v/>
      </c>
      <c r="AT245" s="92" t="str">
        <f aca="false">IF(ISBLANK($C245),"",IF(S245=Constants!$B$5,TRUE(),IF(S245=Constants!$B$6,FALSE(),COUNTA(T245:X245)&gt;0)))</f>
        <v/>
      </c>
      <c r="AU245" s="94" t="str">
        <f aca="false">IF(ISBLANK($C245),"",IF(ISNUMBER(T245),IF(T245&gt;=0,T245,""),""))</f>
        <v/>
      </c>
      <c r="AV245" s="93" t="str">
        <f aca="false">IF(ISBLANK($C245),"",IF(ISNUMBER(U245),IF(U245&gt;=0,U245,""),""))</f>
        <v/>
      </c>
      <c r="AW245" s="93" t="str">
        <f aca="false">IF(ISBLANK($C245),"",IF(V245=Constants!$B$3,TRUE(),IF(V245=Constants!$B$4,FALSE(),TRUE())))</f>
        <v/>
      </c>
      <c r="AX245" s="92" t="str">
        <f aca="false">IF(ISBLANK($C245),"",IF(ISNUMBER(W245),IF(W245&gt;=0,W245,""),""))</f>
        <v/>
      </c>
      <c r="AY245" s="92" t="str">
        <f aca="false">IF(ISBLANK($C245),"",IF(X245=Constants!$B$3,TRUE(),IF(X245=Constants!$B$4,FALSE(),FALSE())))</f>
        <v/>
      </c>
      <c r="AZ245" s="92" t="str">
        <f aca="false">IF(ISBLANK($C245),"",MIN(Constants!$B$31,MAX(0,IF(ISNUMBER(Y245),Y245*60,0)+IF(ISNUMBER(Z245),Z245,0))))</f>
        <v/>
      </c>
      <c r="BA245" s="92" t="str">
        <f aca="false">IF(ISBLANK($C245),"",IF(AA245=Constants!$B$3,TRUE(),IF(AA245=Constants!$B$4,FALSE(),FALSE())))</f>
        <v/>
      </c>
      <c r="BB245" s="91" t="str">
        <f aca="false">IF(ISBLANK($C245),"",AND($AL245,OR($AM245="",$AN245="",AND($AO245,$AP245=""))))</f>
        <v/>
      </c>
      <c r="BC245" s="93" t="str">
        <f aca="false">IF($BR245&lt;&gt;Constants!$B$8,"",IF($AL245,Constants!$B$21*$AN245+Constants!$B$22*IF($AO245,$AP245,Constants!$B$23),Constants!$B$24))</f>
        <v/>
      </c>
      <c r="BD245" s="96" t="str">
        <f aca="false">IF($BR245&lt;&gt;Constants!$B$8,"",Constants!$B$25*ABS($AD$9-IF($AL245,$AM245,0)))</f>
        <v/>
      </c>
      <c r="BE245" s="96" t="str">
        <f aca="false">IF($BR245&lt;&gt;Constants!$B$8,"",IF(AND($AL245,$AQ245,$AO245),Constants!$B$27,0))</f>
        <v/>
      </c>
      <c r="BF245" s="96" t="str">
        <f aca="false">IF($BR245&lt;&gt;Constants!$B$8,"",IF($AL245,($AI245-Constants!$B$29)*Constants!$B$28,0))</f>
        <v/>
      </c>
      <c r="BG245" s="96" t="str">
        <f aca="false">IF($BR245&lt;&gt;Constants!$B$8,"",IF($AK245,0,Constants!$B$15)+IF($AJ245,0,Constants!$B$16)+IF($AH245,0,Constants!$B$17))</f>
        <v/>
      </c>
      <c r="BH245" s="97" t="str">
        <f aca="false">IF($BR245&lt;&gt;Constants!$B$8,"",Constants!$B$20+SUM($BC245:$BG245))</f>
        <v/>
      </c>
      <c r="BI245" s="92" t="str">
        <f aca="false">IF($BR245&lt;&gt;Constants!$B$8,"",IF(OR($BP245&lt;$BH245,AND($BP245=$BH245,OR($BK245&lt;$BC245,AND($BK245=$BC245,OR($BL245&lt;$BD245,AND($BL245=$BD245,$AT245,$AL245,$AV245&lt;$AN245)))))),"-&gt;","&lt;-"))</f>
        <v/>
      </c>
      <c r="BJ245" s="91" t="str">
        <f aca="false">IF(ISBLANK($C245),"",AND($AT245,OR($AU245="",$AV245="",AND($AW245,$AX245=""))))</f>
        <v/>
      </c>
      <c r="BK245" s="93" t="str">
        <f aca="false">IF($BR245&lt;&gt;Constants!$B$8,"",IF($AT245,Constants!$B$21*$AV245+Constants!$B$22*IF($AW245,$AX245,Constants!$B$23),Constants!$B$24))</f>
        <v/>
      </c>
      <c r="BL245" s="96" t="str">
        <f aca="false">IF($BR245&lt;&gt;Constants!$B$8,"",Constants!$B$25*ABS($AD$9-IF($AT245,$AU245,0)))</f>
        <v/>
      </c>
      <c r="BM245" s="96" t="str">
        <f aca="false">IF($BR245&lt;&gt;Constants!$B$8,"",IF(AND($AT245,$AY245,$AW245),Constants!$B$27,0))</f>
        <v/>
      </c>
      <c r="BN245" s="96" t="str">
        <f aca="false">IF($BR245&lt;&gt;Constants!$B$8,"",IF($AT245,($AI245-Constants!$B$29)*Constants!$B$28,0))</f>
        <v/>
      </c>
      <c r="BO245" s="96" t="str">
        <f aca="false">IF($BR245&lt;&gt;Constants!$B$8,"",IF($AS245,0,Constants!$B$15)+IF($AR245,0,Constants!$B$16)+IF($AH245,0,Constants!$B$17))</f>
        <v/>
      </c>
      <c r="BP245" s="97" t="str">
        <f aca="false">IF($BR245&lt;&gt;Constants!$B$8,"",Constants!$B$20+SUM($BK245:$BO245))</f>
        <v/>
      </c>
      <c r="BQ245" s="92" t="str">
        <f aca="false">IF(ISBLANK($C245),"",IF(ISBLANK($D$7),$BQ$5,IF(NOT(ISNUMBER($D$7)),$BQ$6,"")))</f>
        <v/>
      </c>
      <c r="BR245" s="92" t="str">
        <f aca="false">IF(ISBLANK($C245),"",IF($BA245,Constants!$B$11,IF(COUNTA($E245:$AA245)=0,Constants!$B$10,IF(NOT($AG245),Constants!$B$9,IF(OR($BQ245&lt;&gt;"",$BB245,$BJ245),Constants!$B$12,Constants!$B$8)))))</f>
        <v/>
      </c>
      <c r="BS245" s="92" t="str">
        <f aca="false">IF(ISBLANK($C245),"",IF($BR245&lt;&gt;Constants!$B$8,$BR245,Constants!$B$13))</f>
        <v/>
      </c>
      <c r="BT245" s="96" t="str">
        <f aca="false">IF($BR245&lt;&gt;Constants!$B$8,"",IF($BI245="-&gt;",$BP245,$BH245))</f>
        <v/>
      </c>
      <c r="BU245" s="96" t="str">
        <f aca="false">IF($BR245&lt;&gt;Constants!$B$8,"",IF($AF245,0,Constants!$B$18))</f>
        <v/>
      </c>
      <c r="BV245" s="96" t="str">
        <f aca="false">IF($BR245&lt;&gt;Constants!$B$8,"",((Constants!$B$31-$AZ245)-Constants!$B$31)/Constants!$B$32)</f>
        <v/>
      </c>
      <c r="BW245" s="96" t="str">
        <f aca="false">IF(ISBLANK($C245),"",IF($BR245&lt;&gt;Constants!$B$8,$BR245,SUM($BT245:$BV245)))</f>
        <v/>
      </c>
      <c r="BX245" s="92" t="str">
        <f aca="false">IF(ISBLANK($C245),"",IF($BR245&lt;&gt;Constants!$B$8,$BR245,RANK($BW245,$BW$9:$BW$508,1)))</f>
        <v/>
      </c>
      <c r="BY245" s="96" t="str">
        <f aca="false">IF($BR245&lt;&gt;Constants!$B$8,"",IF($BI245="-&gt;",$BK245,$BC245))</f>
        <v/>
      </c>
      <c r="BZ245" s="92" t="str">
        <f aca="false">IF(ISBLANK($C245),"",IF($BR245&lt;&gt;Constants!$B$8,$BR245,IF(ISNUMBER($BY245),RANK($BY245,$BY$9:$BY$508,1),COUNT($BY$9:$BY$508)+1)))</f>
        <v/>
      </c>
      <c r="CA245" s="96" t="str">
        <f aca="false">IF($BR245&lt;&gt;Constants!$B$8,"",IF($BI245="-&gt;",$BL245,$BD245))</f>
        <v/>
      </c>
      <c r="CB245" s="92" t="str">
        <f aca="false">IF(ISBLANK($C245),"",IF($BR245&lt;&gt;Constants!$B$8,$BR245,IF(ISNUMBER($CA245),RANK($CA245,$CA$9:$CA$508,1),COUNT($CA$9:$CA$508)+1)))</f>
        <v/>
      </c>
      <c r="CC245" s="96" t="str">
        <f aca="false">IF($BR245&lt;&gt;Constants!$B$8,"",IF($BI245="-&gt;",IF($AT245,$AV245,""),IF($AL245,$AN245,"")))</f>
        <v/>
      </c>
      <c r="CD245" s="92" t="str">
        <f aca="false">IF(ISBLANK($C245),"",IF($BR245&lt;&gt;Constants!$B$8,$BR245,IF(ISNUMBER($CC245),RANK($CC245,$CC$9:$CC$508,1),COUNT($CC$9:$CC$508)+1)))</f>
        <v/>
      </c>
      <c r="CE245" s="96" t="str">
        <f aca="false">IF($BR245&lt;&gt;Constants!$B$8,"",IF(AND(NOT($AL245),NOT($AT245),$AJ245,$AK245,$AR245,$AS245),"",$AI245))</f>
        <v/>
      </c>
      <c r="CF245" s="92" t="str">
        <f aca="false">IF(ISBLANK($C245),"",IF($BR245&lt;&gt;Constants!$B$8,$BR245,IF(ISNUMBER($CE245),RANK($CE245,$CE$9:$CE$508,1),COUNT($CE$9:$CE$508)+1)))</f>
        <v/>
      </c>
      <c r="CG245" s="92" t="str">
        <f aca="false">IF(ISBLANK($C245),"",IF($BR245&lt;&gt;Constants!$B$8,$BR245,COUNTIFS($BX$9:$BX$508,"&lt;"&amp;$BX245)+COUNTIFS($BX$9:$BX$508,$BX245,$BZ$9:$BZ$508,"&lt;"&amp;$BZ245)+COUNTIFS($BX$9:$BX$508,$BX245,$BZ$9:$BZ$508,$BZ245,$CB$9:$CB$508,"&lt;"&amp;$CB245)+COUNTIFS($BX$9:$BX$508,$BX245,$BZ$9:$BZ$508,$BZ245,$CB$9:$CB$508,$CB245,$CD$9:$CD$508,"&lt;"&amp;$CD245)+COUNTIFS($BX$9:$BX$508,$BX245,$BZ$9:$BZ$508,$BZ245,$CB$9:$CB$508,$CB245,$CD$9:$CD$508,$CD245,$CF$9:$CF$508,"&lt;"&amp;$CF245)+1))</f>
        <v/>
      </c>
      <c r="CH245" s="92" t="str">
        <f aca="false">IF(ISBLANK($C245),"",IF($BR245&lt;&gt;Constants!$B$8,$BR245,$BX245-$CG245))</f>
        <v/>
      </c>
      <c r="CI245" s="98"/>
      <c r="CJ245" s="99"/>
      <c r="CK245" s="100" t="str">
        <f aca="false">IF(ISBLANK($C245),"",IF($BR245=Constants!$B$12,$BQ245,""))</f>
        <v/>
      </c>
      <c r="CL245" s="99" t="str">
        <f aca="false">IF(ISBLANK($C245),"",IF($BR245&lt;&gt;Constants!$B$8,"",IF($BI245="-&gt;",2,1)))</f>
        <v/>
      </c>
      <c r="CM245" s="101" t="str">
        <f aca="false">IF(ISBLANK($C245),"",IF($BR245&lt;&gt;Constants!$B$8,"",IF($BI245="-&gt;",$BK245,$BC245)))</f>
        <v/>
      </c>
      <c r="CN245" s="101" t="str">
        <f aca="false">IF(ISBLANK($C245),"",IF($BR245&lt;&gt;Constants!$B$8,"",IF($BI245="-&gt;",$BL245,$BD245)))</f>
        <v/>
      </c>
      <c r="CO245" s="101" t="str">
        <f aca="false">IF(ISBLANK($C245),"",IF($BR245&lt;&gt;Constants!$B$8,"",IF($BI245="-&gt;",$BM245+$BN245,$BE245+$BF245)+$BV245))</f>
        <v/>
      </c>
      <c r="CP245" s="101" t="str">
        <f aca="false">IF(ISBLANK($C245),"",IF($BR245&lt;&gt;Constants!$B$8,"",IF($BI245="-&gt;",$BO245,$BG245)+$BU245))</f>
        <v/>
      </c>
      <c r="CQ245" s="102" t="str">
        <f aca="false">IF(ISBLANK($C245),"",IF($BR245&lt;&gt;Constants!$B$8,$BR245,$BW245))</f>
        <v/>
      </c>
      <c r="CR245" s="103" t="str">
        <f aca="false">IF(ISBLANK($C245),"",$BS245)</f>
        <v/>
      </c>
      <c r="CS245" s="104" t="str">
        <f aca="false">IF(ISBLANK($C245),"",$CH245)</f>
        <v/>
      </c>
      <c r="CT245" s="104" t="str">
        <f aca="false">IF(ISBLANK($C245),"",$CG245)</f>
        <v/>
      </c>
      <c r="CU245" s="105" t="str">
        <f aca="false">IF(ISBLANK($C245),"",IFERROR(_xlfn.SWITCH($CT245,Constants!$B$11,COUNTA($C$9:$C$508)+2,Constants!$B$10,COUNTA($C$9:$C$508)+1,Constants!$B$9,COUNTA($C$9:$C$508)),$CT245))</f>
        <v/>
      </c>
      <c r="CV245" s="9"/>
      <c r="CW245" s="106" t="n">
        <f aca="false">IF(OR(ISNUMBER($CT245),$CT245=Constants!$B$11,$CT245=Constants!$B$9,$CT245=Constants!$B$10),1,0)</f>
        <v>0</v>
      </c>
      <c r="CX245" s="106" t="n">
        <v>237</v>
      </c>
      <c r="CY245" s="106" t="str">
        <f aca="false">IF(ISBLANK($C245),"",IF(ISNUMBER($CU245),$CU245+ROW($B245)/1000,""))</f>
        <v/>
      </c>
      <c r="CZ245" s="106" t="str">
        <f aca="false">IF(ISNUMBER($CY245),RANK($CY245,$CY$9:$CY$508,1),"")</f>
        <v/>
      </c>
      <c r="DA245" s="106" t="str">
        <f aca="false">IF(ISBLANK($C245),"",$B245)</f>
        <v/>
      </c>
      <c r="DB245" s="106" t="str">
        <f aca="false">IF(ISBLANK($C245),"",$C245)</f>
        <v/>
      </c>
      <c r="DC245" s="106" t="str">
        <f aca="false">IF(ISBLANK($C245),"",$D245)</f>
        <v/>
      </c>
      <c r="DD245" s="107" t="str">
        <f aca="false">$CR245</f>
        <v/>
      </c>
      <c r="DE245" s="108" t="str">
        <f aca="false">$CQ245</f>
        <v/>
      </c>
      <c r="DF245" s="106" t="str">
        <f aca="false">IF(ISBLANK($C245),"",$CT245)</f>
        <v/>
      </c>
      <c r="DG245" s="109" t="str">
        <f aca="false">IF($CX245&gt;$CW$8,"",VLOOKUP($CX245,$CZ$9:$DF$508,7,FALSE()))</f>
        <v/>
      </c>
      <c r="DH245" s="110" t="str">
        <f aca="false">IF($CX245&gt;$CW$8,"",VLOOKUP($CX245,$CZ$9:$DF$508,2,FALSE()))</f>
        <v/>
      </c>
      <c r="DI245" s="110" t="str">
        <f aca="false">IF($CX245&gt;$CW$8,"",VLOOKUP($CX245,$CZ$9:$DF$508,3,FALSE()))</f>
        <v/>
      </c>
      <c r="DJ245" s="110" t="str">
        <f aca="false">IF($CX245&gt;$CW$8,"",VLOOKUP($CX245,$CZ$9:$DF$508,4,FALSE()))</f>
        <v/>
      </c>
      <c r="DK245" s="110" t="str">
        <f aca="false">IF($CX245&gt;$CW$8,"",VLOOKUP($CX245,$CZ$9:$DF$508,5,FALSE()))</f>
        <v/>
      </c>
      <c r="DL245" s="111" t="str">
        <f aca="false">IF($CX245&gt;$CW$8,"",VLOOKUP($CX245,$CZ$9:$DF$508,6,FALSE()))</f>
        <v/>
      </c>
      <c r="DM245" s="75"/>
    </row>
    <row r="246" customFormat="false" ht="15.75" hidden="false" customHeight="false" outlineLevel="0" collapsed="false">
      <c r="A246" s="9"/>
      <c r="B246" s="157"/>
      <c r="C246" s="158"/>
      <c r="D246" s="159"/>
      <c r="E246" s="177"/>
      <c r="F246" s="161"/>
      <c r="G246" s="162"/>
      <c r="H246" s="162"/>
      <c r="I246" s="178"/>
      <c r="J246" s="165"/>
      <c r="K246" s="126"/>
      <c r="L246" s="127"/>
      <c r="M246" s="128"/>
      <c r="N246" s="165"/>
      <c r="O246" s="165"/>
      <c r="P246" s="177"/>
      <c r="Q246" s="165"/>
      <c r="R246" s="165"/>
      <c r="S246" s="126"/>
      <c r="T246" s="128"/>
      <c r="U246" s="128"/>
      <c r="V246" s="165"/>
      <c r="W246" s="165"/>
      <c r="X246" s="177"/>
      <c r="Y246" s="165"/>
      <c r="Z246" s="166"/>
      <c r="AA246" s="165"/>
      <c r="AB246" s="132"/>
      <c r="AC246" s="133"/>
      <c r="AD246" s="133"/>
      <c r="AE246" s="133"/>
      <c r="AF246" s="133" t="str">
        <f aca="false">IF(ISBLANK($C246),"",IF(E246=Constants!$B$3,TRUE(),IF(E246=Constants!$B$4,FALSE(),TRUE())))</f>
        <v/>
      </c>
      <c r="AG246" s="133" t="str">
        <f aca="false">IF(ISBLANK($C246),"",IF(F246=Constants!$B$3,TRUE(),IF(F246=Constants!$B$4,FALSE(),TRUE())))</f>
        <v/>
      </c>
      <c r="AH246" s="133" t="str">
        <f aca="false">IF(ISBLANK($C246),"",IF(G246=Constants!$B$3,TRUE(),IF(G246=Constants!$B$4,FALSE(),TRUE())))</f>
        <v/>
      </c>
      <c r="AI246" s="133" t="str">
        <f aca="false">IF(ISBLANK($C246),"",IF(AND(ISNUMBER(H246),H246&gt;=0),H246,Constants!$B$29))</f>
        <v/>
      </c>
      <c r="AJ246" s="133" t="str">
        <f aca="false">IF(ISBLANK($C246),"",IF(I246=Constants!$B$3,TRUE(),IF(I246=Constants!$B$4,FALSE(),TRUE())))</f>
        <v/>
      </c>
      <c r="AK246" s="133" t="str">
        <f aca="false">IF(ISBLANK($C246),"",IF(J246=Constants!$B$3,TRUE(),IF(J246=Constants!$B$4,FALSE(),TRUE())))</f>
        <v/>
      </c>
      <c r="AL246" s="133" t="str">
        <f aca="false">IF(ISBLANK($C246),"",IF(K246=Constants!$B$5,TRUE(),IF(K246=Constants!$B$6,FALSE(),COUNTA(L246:P246)&gt;0)))</f>
        <v/>
      </c>
      <c r="AM246" s="134" t="str">
        <f aca="false">IF(ISBLANK($C246),"",IF(ISNUMBER(L246),IF(L246&gt;=0,L246,""),""))</f>
        <v/>
      </c>
      <c r="AN246" s="135" t="str">
        <f aca="false">IF(ISBLANK($C246),"",IF(ISNUMBER(M246),IF(M246&gt;=0,M246,""),""))</f>
        <v/>
      </c>
      <c r="AO246" s="135" t="str">
        <f aca="false">IF(ISBLANK($C246),"",IF(N246=Constants!$B$3,TRUE(),IF(N246=Constants!$B$4,FALSE(),TRUE())))</f>
        <v/>
      </c>
      <c r="AP246" s="133" t="str">
        <f aca="false">IF(ISBLANK($C246),"",IF(ISNUMBER(O246),IF(O246&gt;=0,O246,""),""))</f>
        <v/>
      </c>
      <c r="AQ246" s="133" t="str">
        <f aca="false">IF(ISBLANK($C246),"",IF(P246=Constants!$B$3,TRUE(),IF(P246=Constants!$B$4,FALSE(),FALSE())))</f>
        <v/>
      </c>
      <c r="AR246" s="133" t="str">
        <f aca="false">IF(ISBLANK($C246),"",IF(Q246=Constants!$B$3,TRUE(),IF(Q246=Constants!$B$4,FALSE(),TRUE())))</f>
        <v/>
      </c>
      <c r="AS246" s="133" t="str">
        <f aca="false">IF(ISBLANK($C246),"",IF(R246=Constants!$B$3,TRUE(),IF(R246=Constants!$B$4,FALSE(),TRUE())))</f>
        <v/>
      </c>
      <c r="AT246" s="133" t="str">
        <f aca="false">IF(ISBLANK($C246),"",IF(S246=Constants!$B$5,TRUE(),IF(S246=Constants!$B$6,FALSE(),COUNTA(T246:X246)&gt;0)))</f>
        <v/>
      </c>
      <c r="AU246" s="134" t="str">
        <f aca="false">IF(ISBLANK($C246),"",IF(ISNUMBER(T246),IF(T246&gt;=0,T246,""),""))</f>
        <v/>
      </c>
      <c r="AV246" s="135" t="str">
        <f aca="false">IF(ISBLANK($C246),"",IF(ISNUMBER(U246),IF(U246&gt;=0,U246,""),""))</f>
        <v/>
      </c>
      <c r="AW246" s="135" t="str">
        <f aca="false">IF(ISBLANK($C246),"",IF(V246=Constants!$B$3,TRUE(),IF(V246=Constants!$B$4,FALSE(),TRUE())))</f>
        <v/>
      </c>
      <c r="AX246" s="133" t="str">
        <f aca="false">IF(ISBLANK($C246),"",IF(ISNUMBER(W246),IF(W246&gt;=0,W246,""),""))</f>
        <v/>
      </c>
      <c r="AY246" s="133" t="str">
        <f aca="false">IF(ISBLANK($C246),"",IF(X246=Constants!$B$3,TRUE(),IF(X246=Constants!$B$4,FALSE(),FALSE())))</f>
        <v/>
      </c>
      <c r="AZ246" s="133" t="str">
        <f aca="false">IF(ISBLANK($C246),"",MIN(Constants!$B$31,MAX(0,IF(ISNUMBER(Y246),Y246*60,0)+IF(ISNUMBER(Z246),Z246,0))))</f>
        <v/>
      </c>
      <c r="BA246" s="133" t="str">
        <f aca="false">IF(ISBLANK($C246),"",IF(AA246=Constants!$B$3,TRUE(),IF(AA246=Constants!$B$4,FALSE(),FALSE())))</f>
        <v/>
      </c>
      <c r="BB246" s="132" t="str">
        <f aca="false">IF(ISBLANK($C246),"",AND($AL246,OR($AM246="",$AN246="",AND($AO246,$AP246=""))))</f>
        <v/>
      </c>
      <c r="BC246" s="135" t="str">
        <f aca="false">IF($BR246&lt;&gt;Constants!$B$8,"",IF($AL246,Constants!$B$21*$AN246+Constants!$B$22*IF($AO246,$AP246,Constants!$B$23),Constants!$B$24))</f>
        <v/>
      </c>
      <c r="BD246" s="136" t="str">
        <f aca="false">IF($BR246&lt;&gt;Constants!$B$8,"",Constants!$B$25*ABS($AD$9-IF($AL246,$AM246,0)))</f>
        <v/>
      </c>
      <c r="BE246" s="136" t="str">
        <f aca="false">IF($BR246&lt;&gt;Constants!$B$8,"",IF(AND($AL246,$AQ246,$AO246),Constants!$B$27,0))</f>
        <v/>
      </c>
      <c r="BF246" s="136" t="str">
        <f aca="false">IF($BR246&lt;&gt;Constants!$B$8,"",IF($AL246,($AI246-Constants!$B$29)*Constants!$B$28,0))</f>
        <v/>
      </c>
      <c r="BG246" s="136" t="str">
        <f aca="false">IF($BR246&lt;&gt;Constants!$B$8,"",IF($AK246,0,Constants!$B$15)+IF($AJ246,0,Constants!$B$16)+IF($AH246,0,Constants!$B$17))</f>
        <v/>
      </c>
      <c r="BH246" s="137" t="str">
        <f aca="false">IF($BR246&lt;&gt;Constants!$B$8,"",Constants!$B$20+SUM($BC246:$BG246))</f>
        <v/>
      </c>
      <c r="BI246" s="133" t="str">
        <f aca="false">IF($BR246&lt;&gt;Constants!$B$8,"",IF(OR($BP246&lt;$BH246,AND($BP246=$BH246,OR($BK246&lt;$BC246,AND($BK246=$BC246,OR($BL246&lt;$BD246,AND($BL246=$BD246,$AT246,$AL246,$AV246&lt;$AN246)))))),"-&gt;","&lt;-"))</f>
        <v/>
      </c>
      <c r="BJ246" s="132" t="str">
        <f aca="false">IF(ISBLANK($C246),"",AND($AT246,OR($AU246="",$AV246="",AND($AW246,$AX246=""))))</f>
        <v/>
      </c>
      <c r="BK246" s="135" t="str">
        <f aca="false">IF($BR246&lt;&gt;Constants!$B$8,"",IF($AT246,Constants!$B$21*$AV246+Constants!$B$22*IF($AW246,$AX246,Constants!$B$23),Constants!$B$24))</f>
        <v/>
      </c>
      <c r="BL246" s="136" t="str">
        <f aca="false">IF($BR246&lt;&gt;Constants!$B$8,"",Constants!$B$25*ABS($AD$9-IF($AT246,$AU246,0)))</f>
        <v/>
      </c>
      <c r="BM246" s="136" t="str">
        <f aca="false">IF($BR246&lt;&gt;Constants!$B$8,"",IF(AND($AT246,$AY246,$AW246),Constants!$B$27,0))</f>
        <v/>
      </c>
      <c r="BN246" s="136" t="str">
        <f aca="false">IF($BR246&lt;&gt;Constants!$B$8,"",IF($AT246,($AI246-Constants!$B$29)*Constants!$B$28,0))</f>
        <v/>
      </c>
      <c r="BO246" s="136" t="str">
        <f aca="false">IF($BR246&lt;&gt;Constants!$B$8,"",IF($AS246,0,Constants!$B$15)+IF($AR246,0,Constants!$B$16)+IF($AH246,0,Constants!$B$17))</f>
        <v/>
      </c>
      <c r="BP246" s="137" t="str">
        <f aca="false">IF($BR246&lt;&gt;Constants!$B$8,"",Constants!$B$20+SUM($BK246:$BO246))</f>
        <v/>
      </c>
      <c r="BQ246" s="133" t="str">
        <f aca="false">IF(ISBLANK($C246),"",IF(ISBLANK($D$7),$BQ$5,IF(NOT(ISNUMBER($D$7)),$BQ$6,"")))</f>
        <v/>
      </c>
      <c r="BR246" s="133" t="str">
        <f aca="false">IF(ISBLANK($C246),"",IF($BA246,Constants!$B$11,IF(COUNTA($E246:$AA246)=0,Constants!$B$10,IF(NOT($AG246),Constants!$B$9,IF(OR($BQ246&lt;&gt;"",$BB246,$BJ246),Constants!$B$12,Constants!$B$8)))))</f>
        <v/>
      </c>
      <c r="BS246" s="133" t="str">
        <f aca="false">IF(ISBLANK($C246),"",IF($BR246&lt;&gt;Constants!$B$8,$BR246,Constants!$B$13))</f>
        <v/>
      </c>
      <c r="BT246" s="136" t="str">
        <f aca="false">IF($BR246&lt;&gt;Constants!$B$8,"",IF($BI246="-&gt;",$BP246,$BH246))</f>
        <v/>
      </c>
      <c r="BU246" s="136" t="str">
        <f aca="false">IF($BR246&lt;&gt;Constants!$B$8,"",IF($AF246,0,Constants!$B$18))</f>
        <v/>
      </c>
      <c r="BV246" s="136" t="str">
        <f aca="false">IF($BR246&lt;&gt;Constants!$B$8,"",((Constants!$B$31-$AZ246)-Constants!$B$31)/Constants!$B$32)</f>
        <v/>
      </c>
      <c r="BW246" s="136" t="str">
        <f aca="false">IF(ISBLANK($C246),"",IF($BR246&lt;&gt;Constants!$B$8,$BR246,SUM($BT246:$BV246)))</f>
        <v/>
      </c>
      <c r="BX246" s="133" t="str">
        <f aca="false">IF(ISBLANK($C246),"",IF($BR246&lt;&gt;Constants!$B$8,$BR246,RANK($BW246,$BW$9:$BW$508,1)))</f>
        <v/>
      </c>
      <c r="BY246" s="136" t="str">
        <f aca="false">IF($BR246&lt;&gt;Constants!$B$8,"",IF($BI246="-&gt;",$BK246,$BC246))</f>
        <v/>
      </c>
      <c r="BZ246" s="133" t="str">
        <f aca="false">IF(ISBLANK($C246),"",IF($BR246&lt;&gt;Constants!$B$8,$BR246,IF(ISNUMBER($BY246),RANK($BY246,$BY$9:$BY$508,1),COUNT($BY$9:$BY$508)+1)))</f>
        <v/>
      </c>
      <c r="CA246" s="136" t="str">
        <f aca="false">IF($BR246&lt;&gt;Constants!$B$8,"",IF($BI246="-&gt;",$BL246,$BD246))</f>
        <v/>
      </c>
      <c r="CB246" s="133" t="str">
        <f aca="false">IF(ISBLANK($C246),"",IF($BR246&lt;&gt;Constants!$B$8,$BR246,IF(ISNUMBER($CA246),RANK($CA246,$CA$9:$CA$508,1),COUNT($CA$9:$CA$508)+1)))</f>
        <v/>
      </c>
      <c r="CC246" s="136" t="str">
        <f aca="false">IF($BR246&lt;&gt;Constants!$B$8,"",IF($BI246="-&gt;",IF($AT246,$AV246,""),IF($AL246,$AN246,"")))</f>
        <v/>
      </c>
      <c r="CD246" s="133" t="str">
        <f aca="false">IF(ISBLANK($C246),"",IF($BR246&lt;&gt;Constants!$B$8,$BR246,IF(ISNUMBER($CC246),RANK($CC246,$CC$9:$CC$508,1),COUNT($CC$9:$CC$508)+1)))</f>
        <v/>
      </c>
      <c r="CE246" s="136" t="str">
        <f aca="false">IF($BR246&lt;&gt;Constants!$B$8,"",IF(AND(NOT($AL246),NOT($AT246),$AJ246,$AK246,$AR246,$AS246),"",$AI246))</f>
        <v/>
      </c>
      <c r="CF246" s="133" t="str">
        <f aca="false">IF(ISBLANK($C246),"",IF($BR246&lt;&gt;Constants!$B$8,$BR246,IF(ISNUMBER($CE246),RANK($CE246,$CE$9:$CE$508,1),COUNT($CE$9:$CE$508)+1)))</f>
        <v/>
      </c>
      <c r="CG246" s="133" t="str">
        <f aca="false">IF(ISBLANK($C246),"",IF($BR246&lt;&gt;Constants!$B$8,$BR246,COUNTIFS($BX$9:$BX$508,"&lt;"&amp;$BX246)+COUNTIFS($BX$9:$BX$508,$BX246,$BZ$9:$BZ$508,"&lt;"&amp;$BZ246)+COUNTIFS($BX$9:$BX$508,$BX246,$BZ$9:$BZ$508,$BZ246,$CB$9:$CB$508,"&lt;"&amp;$CB246)+COUNTIFS($BX$9:$BX$508,$BX246,$BZ$9:$BZ$508,$BZ246,$CB$9:$CB$508,$CB246,$CD$9:$CD$508,"&lt;"&amp;$CD246)+COUNTIFS($BX$9:$BX$508,$BX246,$BZ$9:$BZ$508,$BZ246,$CB$9:$CB$508,$CB246,$CD$9:$CD$508,$CD246,$CF$9:$CF$508,"&lt;"&amp;$CF246)+1))</f>
        <v/>
      </c>
      <c r="CH246" s="133" t="str">
        <f aca="false">IF(ISBLANK($C246),"",IF($BR246&lt;&gt;Constants!$B$8,$BR246,$BX246-$CG246))</f>
        <v/>
      </c>
      <c r="CI246" s="138"/>
      <c r="CJ246" s="139"/>
      <c r="CK246" s="140" t="str">
        <f aca="false">IF(ISBLANK($C246),"",IF($BR246=Constants!$B$12,$BQ246,""))</f>
        <v/>
      </c>
      <c r="CL246" s="139" t="str">
        <f aca="false">IF(ISBLANK($C246),"",IF($BR246&lt;&gt;Constants!$B$8,"",IF($BI246="-&gt;",2,1)))</f>
        <v/>
      </c>
      <c r="CM246" s="141" t="str">
        <f aca="false">IF(ISBLANK($C246),"",IF($BR246&lt;&gt;Constants!$B$8,"",IF($BI246="-&gt;",$BK246,$BC246)))</f>
        <v/>
      </c>
      <c r="CN246" s="141" t="str">
        <f aca="false">IF(ISBLANK($C246),"",IF($BR246&lt;&gt;Constants!$B$8,"",IF($BI246="-&gt;",$BL246,$BD246)))</f>
        <v/>
      </c>
      <c r="CO246" s="141" t="str">
        <f aca="false">IF(ISBLANK($C246),"",IF($BR246&lt;&gt;Constants!$B$8,"",IF($BI246="-&gt;",$BM246+$BN246,$BE246+$BF246)+$BV246))</f>
        <v/>
      </c>
      <c r="CP246" s="141" t="str">
        <f aca="false">IF(ISBLANK($C246),"",IF($BR246&lt;&gt;Constants!$B$8,"",IF($BI246="-&gt;",$BO246,$BG246)+$BU246))</f>
        <v/>
      </c>
      <c r="CQ246" s="142" t="str">
        <f aca="false">IF(ISBLANK($C246),"",IF($BR246&lt;&gt;Constants!$B$8,$BR246,$BW246))</f>
        <v/>
      </c>
      <c r="CR246" s="143" t="str">
        <f aca="false">IF(ISBLANK($C246),"",$BS246)</f>
        <v/>
      </c>
      <c r="CS246" s="144" t="str">
        <f aca="false">IF(ISBLANK($C246),"",$CH246)</f>
        <v/>
      </c>
      <c r="CT246" s="144" t="str">
        <f aca="false">IF(ISBLANK($C246),"",$CG246)</f>
        <v/>
      </c>
      <c r="CU246" s="145" t="str">
        <f aca="false">IF(ISBLANK($C246),"",IFERROR(_xlfn.SWITCH($CT246,Constants!$B$11,COUNTA($C$9:$C$508)+2,Constants!$B$10,COUNTA($C$9:$C$508)+1,Constants!$B$9,COUNTA($C$9:$C$508)),$CT246))</f>
        <v/>
      </c>
      <c r="CV246" s="9"/>
      <c r="CW246" s="146" t="n">
        <f aca="false">IF(OR(ISNUMBER($CT246),$CT246=Constants!$B$11,$CT246=Constants!$B$9,$CT246=Constants!$B$10),1,0)</f>
        <v>0</v>
      </c>
      <c r="CX246" s="146" t="n">
        <v>238</v>
      </c>
      <c r="CY246" s="146" t="str">
        <f aca="false">IF(ISBLANK($C246),"",IF(ISNUMBER($CU246),$CU246+ROW($B246)/1000,""))</f>
        <v/>
      </c>
      <c r="CZ246" s="146" t="str">
        <f aca="false">IF(ISNUMBER($CY246),RANK($CY246,$CY$9:$CY$508,1),"")</f>
        <v/>
      </c>
      <c r="DA246" s="146" t="str">
        <f aca="false">IF(ISBLANK($C246),"",$B246)</f>
        <v/>
      </c>
      <c r="DB246" s="146" t="str">
        <f aca="false">IF(ISBLANK($C246),"",$C246)</f>
        <v/>
      </c>
      <c r="DC246" s="146" t="str">
        <f aca="false">IF(ISBLANK($C246),"",$D246)</f>
        <v/>
      </c>
      <c r="DD246" s="147" t="str">
        <f aca="false">$CR246</f>
        <v/>
      </c>
      <c r="DE246" s="148" t="str">
        <f aca="false">$CQ246</f>
        <v/>
      </c>
      <c r="DF246" s="146" t="str">
        <f aca="false">IF(ISBLANK($C246),"",$CT246)</f>
        <v/>
      </c>
      <c r="DG246" s="149" t="str">
        <f aca="false">IF($CX246&gt;$CW$8,"",VLOOKUP($CX246,$CZ$9:$DF$508,7,FALSE()))</f>
        <v/>
      </c>
      <c r="DH246" s="150" t="str">
        <f aca="false">IF($CX246&gt;$CW$8,"",VLOOKUP($CX246,$CZ$9:$DF$508,2,FALSE()))</f>
        <v/>
      </c>
      <c r="DI246" s="150" t="str">
        <f aca="false">IF($CX246&gt;$CW$8,"",VLOOKUP($CX246,$CZ$9:$DF$508,3,FALSE()))</f>
        <v/>
      </c>
      <c r="DJ246" s="150" t="str">
        <f aca="false">IF($CX246&gt;$CW$8,"",VLOOKUP($CX246,$CZ$9:$DF$508,4,FALSE()))</f>
        <v/>
      </c>
      <c r="DK246" s="150" t="str">
        <f aca="false">IF($CX246&gt;$CW$8,"",VLOOKUP($CX246,$CZ$9:$DF$508,5,FALSE()))</f>
        <v/>
      </c>
      <c r="DL246" s="151" t="str">
        <f aca="false">IF($CX246&gt;$CW$8,"",VLOOKUP($CX246,$CZ$9:$DF$508,6,FALSE()))</f>
        <v/>
      </c>
      <c r="DM246" s="75"/>
    </row>
    <row r="247" customFormat="false" ht="15.75" hidden="false" customHeight="false" outlineLevel="0" collapsed="false">
      <c r="A247" s="9"/>
      <c r="B247" s="157"/>
      <c r="C247" s="158"/>
      <c r="D247" s="159"/>
      <c r="E247" s="177"/>
      <c r="F247" s="161"/>
      <c r="G247" s="162"/>
      <c r="H247" s="162"/>
      <c r="I247" s="178"/>
      <c r="J247" s="165"/>
      <c r="K247" s="126"/>
      <c r="L247" s="127"/>
      <c r="M247" s="128"/>
      <c r="N247" s="165"/>
      <c r="O247" s="165"/>
      <c r="P247" s="177"/>
      <c r="Q247" s="165"/>
      <c r="R247" s="165"/>
      <c r="S247" s="126"/>
      <c r="T247" s="128"/>
      <c r="U247" s="128"/>
      <c r="V247" s="165"/>
      <c r="W247" s="165"/>
      <c r="X247" s="177"/>
      <c r="Y247" s="165"/>
      <c r="Z247" s="166"/>
      <c r="AA247" s="165"/>
      <c r="AB247" s="132"/>
      <c r="AC247" s="133"/>
      <c r="AD247" s="133"/>
      <c r="AE247" s="133"/>
      <c r="AF247" s="133" t="str">
        <f aca="false">IF(ISBLANK($C247),"",IF(E247=Constants!$B$3,TRUE(),IF(E247=Constants!$B$4,FALSE(),TRUE())))</f>
        <v/>
      </c>
      <c r="AG247" s="133" t="str">
        <f aca="false">IF(ISBLANK($C247),"",IF(F247=Constants!$B$3,TRUE(),IF(F247=Constants!$B$4,FALSE(),TRUE())))</f>
        <v/>
      </c>
      <c r="AH247" s="133" t="str">
        <f aca="false">IF(ISBLANK($C247),"",IF(G247=Constants!$B$3,TRUE(),IF(G247=Constants!$B$4,FALSE(),TRUE())))</f>
        <v/>
      </c>
      <c r="AI247" s="133" t="str">
        <f aca="false">IF(ISBLANK($C247),"",IF(AND(ISNUMBER(H247),H247&gt;=0),H247,Constants!$B$29))</f>
        <v/>
      </c>
      <c r="AJ247" s="133" t="str">
        <f aca="false">IF(ISBLANK($C247),"",IF(I247=Constants!$B$3,TRUE(),IF(I247=Constants!$B$4,FALSE(),TRUE())))</f>
        <v/>
      </c>
      <c r="AK247" s="133" t="str">
        <f aca="false">IF(ISBLANK($C247),"",IF(J247=Constants!$B$3,TRUE(),IF(J247=Constants!$B$4,FALSE(),TRUE())))</f>
        <v/>
      </c>
      <c r="AL247" s="133" t="str">
        <f aca="false">IF(ISBLANK($C247),"",IF(K247=Constants!$B$5,TRUE(),IF(K247=Constants!$B$6,FALSE(),COUNTA(L247:P247)&gt;0)))</f>
        <v/>
      </c>
      <c r="AM247" s="134" t="str">
        <f aca="false">IF(ISBLANK($C247),"",IF(ISNUMBER(L247),IF(L247&gt;=0,L247,""),""))</f>
        <v/>
      </c>
      <c r="AN247" s="135" t="str">
        <f aca="false">IF(ISBLANK($C247),"",IF(ISNUMBER(M247),IF(M247&gt;=0,M247,""),""))</f>
        <v/>
      </c>
      <c r="AO247" s="135" t="str">
        <f aca="false">IF(ISBLANK($C247),"",IF(N247=Constants!$B$3,TRUE(),IF(N247=Constants!$B$4,FALSE(),TRUE())))</f>
        <v/>
      </c>
      <c r="AP247" s="133" t="str">
        <f aca="false">IF(ISBLANK($C247),"",IF(ISNUMBER(O247),IF(O247&gt;=0,O247,""),""))</f>
        <v/>
      </c>
      <c r="AQ247" s="133" t="str">
        <f aca="false">IF(ISBLANK($C247),"",IF(P247=Constants!$B$3,TRUE(),IF(P247=Constants!$B$4,FALSE(),FALSE())))</f>
        <v/>
      </c>
      <c r="AR247" s="133" t="str">
        <f aca="false">IF(ISBLANK($C247),"",IF(Q247=Constants!$B$3,TRUE(),IF(Q247=Constants!$B$4,FALSE(),TRUE())))</f>
        <v/>
      </c>
      <c r="AS247" s="133" t="str">
        <f aca="false">IF(ISBLANK($C247),"",IF(R247=Constants!$B$3,TRUE(),IF(R247=Constants!$B$4,FALSE(),TRUE())))</f>
        <v/>
      </c>
      <c r="AT247" s="133" t="str">
        <f aca="false">IF(ISBLANK($C247),"",IF(S247=Constants!$B$5,TRUE(),IF(S247=Constants!$B$6,FALSE(),COUNTA(T247:X247)&gt;0)))</f>
        <v/>
      </c>
      <c r="AU247" s="134" t="str">
        <f aca="false">IF(ISBLANK($C247),"",IF(ISNUMBER(T247),IF(T247&gt;=0,T247,""),""))</f>
        <v/>
      </c>
      <c r="AV247" s="135" t="str">
        <f aca="false">IF(ISBLANK($C247),"",IF(ISNUMBER(U247),IF(U247&gt;=0,U247,""),""))</f>
        <v/>
      </c>
      <c r="AW247" s="135" t="str">
        <f aca="false">IF(ISBLANK($C247),"",IF(V247=Constants!$B$3,TRUE(),IF(V247=Constants!$B$4,FALSE(),TRUE())))</f>
        <v/>
      </c>
      <c r="AX247" s="133" t="str">
        <f aca="false">IF(ISBLANK($C247),"",IF(ISNUMBER(W247),IF(W247&gt;=0,W247,""),""))</f>
        <v/>
      </c>
      <c r="AY247" s="133" t="str">
        <f aca="false">IF(ISBLANK($C247),"",IF(X247=Constants!$B$3,TRUE(),IF(X247=Constants!$B$4,FALSE(),FALSE())))</f>
        <v/>
      </c>
      <c r="AZ247" s="133" t="str">
        <f aca="false">IF(ISBLANK($C247),"",MIN(Constants!$B$31,MAX(0,IF(ISNUMBER(Y247),Y247*60,0)+IF(ISNUMBER(Z247),Z247,0))))</f>
        <v/>
      </c>
      <c r="BA247" s="133" t="str">
        <f aca="false">IF(ISBLANK($C247),"",IF(AA247=Constants!$B$3,TRUE(),IF(AA247=Constants!$B$4,FALSE(),FALSE())))</f>
        <v/>
      </c>
      <c r="BB247" s="132" t="str">
        <f aca="false">IF(ISBLANK($C247),"",AND($AL247,OR($AM247="",$AN247="",AND($AO247,$AP247=""))))</f>
        <v/>
      </c>
      <c r="BC247" s="135" t="str">
        <f aca="false">IF($BR247&lt;&gt;Constants!$B$8,"",IF($AL247,Constants!$B$21*$AN247+Constants!$B$22*IF($AO247,$AP247,Constants!$B$23),Constants!$B$24))</f>
        <v/>
      </c>
      <c r="BD247" s="136" t="str">
        <f aca="false">IF($BR247&lt;&gt;Constants!$B$8,"",Constants!$B$25*ABS($AD$9-IF($AL247,$AM247,0)))</f>
        <v/>
      </c>
      <c r="BE247" s="136" t="str">
        <f aca="false">IF($BR247&lt;&gt;Constants!$B$8,"",IF(AND($AL247,$AQ247,$AO247),Constants!$B$27,0))</f>
        <v/>
      </c>
      <c r="BF247" s="136" t="str">
        <f aca="false">IF($BR247&lt;&gt;Constants!$B$8,"",IF($AL247,($AI247-Constants!$B$29)*Constants!$B$28,0))</f>
        <v/>
      </c>
      <c r="BG247" s="136" t="str">
        <f aca="false">IF($BR247&lt;&gt;Constants!$B$8,"",IF($AK247,0,Constants!$B$15)+IF($AJ247,0,Constants!$B$16)+IF($AH247,0,Constants!$B$17))</f>
        <v/>
      </c>
      <c r="BH247" s="137" t="str">
        <f aca="false">IF($BR247&lt;&gt;Constants!$B$8,"",Constants!$B$20+SUM($BC247:$BG247))</f>
        <v/>
      </c>
      <c r="BI247" s="133" t="str">
        <f aca="false">IF($BR247&lt;&gt;Constants!$B$8,"",IF(OR($BP247&lt;$BH247,AND($BP247=$BH247,OR($BK247&lt;$BC247,AND($BK247=$BC247,OR($BL247&lt;$BD247,AND($BL247=$BD247,$AT247,$AL247,$AV247&lt;$AN247)))))),"-&gt;","&lt;-"))</f>
        <v/>
      </c>
      <c r="BJ247" s="132" t="str">
        <f aca="false">IF(ISBLANK($C247),"",AND($AT247,OR($AU247="",$AV247="",AND($AW247,$AX247=""))))</f>
        <v/>
      </c>
      <c r="BK247" s="135" t="str">
        <f aca="false">IF($BR247&lt;&gt;Constants!$B$8,"",IF($AT247,Constants!$B$21*$AV247+Constants!$B$22*IF($AW247,$AX247,Constants!$B$23),Constants!$B$24))</f>
        <v/>
      </c>
      <c r="BL247" s="136" t="str">
        <f aca="false">IF($BR247&lt;&gt;Constants!$B$8,"",Constants!$B$25*ABS($AD$9-IF($AT247,$AU247,0)))</f>
        <v/>
      </c>
      <c r="BM247" s="136" t="str">
        <f aca="false">IF($BR247&lt;&gt;Constants!$B$8,"",IF(AND($AT247,$AY247,$AW247),Constants!$B$27,0))</f>
        <v/>
      </c>
      <c r="BN247" s="136" t="str">
        <f aca="false">IF($BR247&lt;&gt;Constants!$B$8,"",IF($AT247,($AI247-Constants!$B$29)*Constants!$B$28,0))</f>
        <v/>
      </c>
      <c r="BO247" s="136" t="str">
        <f aca="false">IF($BR247&lt;&gt;Constants!$B$8,"",IF($AS247,0,Constants!$B$15)+IF($AR247,0,Constants!$B$16)+IF($AH247,0,Constants!$B$17))</f>
        <v/>
      </c>
      <c r="BP247" s="137" t="str">
        <f aca="false">IF($BR247&lt;&gt;Constants!$B$8,"",Constants!$B$20+SUM($BK247:$BO247))</f>
        <v/>
      </c>
      <c r="BQ247" s="133" t="str">
        <f aca="false">IF(ISBLANK($C247),"",IF(ISBLANK($D$7),$BQ$5,IF(NOT(ISNUMBER($D$7)),$BQ$6,"")))</f>
        <v/>
      </c>
      <c r="BR247" s="133" t="str">
        <f aca="false">IF(ISBLANK($C247),"",IF($BA247,Constants!$B$11,IF(COUNTA($E247:$AA247)=0,Constants!$B$10,IF(NOT($AG247),Constants!$B$9,IF(OR($BQ247&lt;&gt;"",$BB247,$BJ247),Constants!$B$12,Constants!$B$8)))))</f>
        <v/>
      </c>
      <c r="BS247" s="133" t="str">
        <f aca="false">IF(ISBLANK($C247),"",IF($BR247&lt;&gt;Constants!$B$8,$BR247,Constants!$B$13))</f>
        <v/>
      </c>
      <c r="BT247" s="136" t="str">
        <f aca="false">IF($BR247&lt;&gt;Constants!$B$8,"",IF($BI247="-&gt;",$BP247,$BH247))</f>
        <v/>
      </c>
      <c r="BU247" s="136" t="str">
        <f aca="false">IF($BR247&lt;&gt;Constants!$B$8,"",IF($AF247,0,Constants!$B$18))</f>
        <v/>
      </c>
      <c r="BV247" s="136" t="str">
        <f aca="false">IF($BR247&lt;&gt;Constants!$B$8,"",((Constants!$B$31-$AZ247)-Constants!$B$31)/Constants!$B$32)</f>
        <v/>
      </c>
      <c r="BW247" s="136" t="str">
        <f aca="false">IF(ISBLANK($C247),"",IF($BR247&lt;&gt;Constants!$B$8,$BR247,SUM($BT247:$BV247)))</f>
        <v/>
      </c>
      <c r="BX247" s="133" t="str">
        <f aca="false">IF(ISBLANK($C247),"",IF($BR247&lt;&gt;Constants!$B$8,$BR247,RANK($BW247,$BW$9:$BW$508,1)))</f>
        <v/>
      </c>
      <c r="BY247" s="136" t="str">
        <f aca="false">IF($BR247&lt;&gt;Constants!$B$8,"",IF($BI247="-&gt;",$BK247,$BC247))</f>
        <v/>
      </c>
      <c r="BZ247" s="133" t="str">
        <f aca="false">IF(ISBLANK($C247),"",IF($BR247&lt;&gt;Constants!$B$8,$BR247,IF(ISNUMBER($BY247),RANK($BY247,$BY$9:$BY$508,1),COUNT($BY$9:$BY$508)+1)))</f>
        <v/>
      </c>
      <c r="CA247" s="136" t="str">
        <f aca="false">IF($BR247&lt;&gt;Constants!$B$8,"",IF($BI247="-&gt;",$BL247,$BD247))</f>
        <v/>
      </c>
      <c r="CB247" s="133" t="str">
        <f aca="false">IF(ISBLANK($C247),"",IF($BR247&lt;&gt;Constants!$B$8,$BR247,IF(ISNUMBER($CA247),RANK($CA247,$CA$9:$CA$508,1),COUNT($CA$9:$CA$508)+1)))</f>
        <v/>
      </c>
      <c r="CC247" s="136" t="str">
        <f aca="false">IF($BR247&lt;&gt;Constants!$B$8,"",IF($BI247="-&gt;",IF($AT247,$AV247,""),IF($AL247,$AN247,"")))</f>
        <v/>
      </c>
      <c r="CD247" s="133" t="str">
        <f aca="false">IF(ISBLANK($C247),"",IF($BR247&lt;&gt;Constants!$B$8,$BR247,IF(ISNUMBER($CC247),RANK($CC247,$CC$9:$CC$508,1),COUNT($CC$9:$CC$508)+1)))</f>
        <v/>
      </c>
      <c r="CE247" s="136" t="str">
        <f aca="false">IF($BR247&lt;&gt;Constants!$B$8,"",IF(AND(NOT($AL247),NOT($AT247),$AJ247,$AK247,$AR247,$AS247),"",$AI247))</f>
        <v/>
      </c>
      <c r="CF247" s="133" t="str">
        <f aca="false">IF(ISBLANK($C247),"",IF($BR247&lt;&gt;Constants!$B$8,$BR247,IF(ISNUMBER($CE247),RANK($CE247,$CE$9:$CE$508,1),COUNT($CE$9:$CE$508)+1)))</f>
        <v/>
      </c>
      <c r="CG247" s="133" t="str">
        <f aca="false">IF(ISBLANK($C247),"",IF($BR247&lt;&gt;Constants!$B$8,$BR247,COUNTIFS($BX$9:$BX$508,"&lt;"&amp;$BX247)+COUNTIFS($BX$9:$BX$508,$BX247,$BZ$9:$BZ$508,"&lt;"&amp;$BZ247)+COUNTIFS($BX$9:$BX$508,$BX247,$BZ$9:$BZ$508,$BZ247,$CB$9:$CB$508,"&lt;"&amp;$CB247)+COUNTIFS($BX$9:$BX$508,$BX247,$BZ$9:$BZ$508,$BZ247,$CB$9:$CB$508,$CB247,$CD$9:$CD$508,"&lt;"&amp;$CD247)+COUNTIFS($BX$9:$BX$508,$BX247,$BZ$9:$BZ$508,$BZ247,$CB$9:$CB$508,$CB247,$CD$9:$CD$508,$CD247,$CF$9:$CF$508,"&lt;"&amp;$CF247)+1))</f>
        <v/>
      </c>
      <c r="CH247" s="133" t="str">
        <f aca="false">IF(ISBLANK($C247),"",IF($BR247&lt;&gt;Constants!$B$8,$BR247,$BX247-$CG247))</f>
        <v/>
      </c>
      <c r="CI247" s="138"/>
      <c r="CJ247" s="139"/>
      <c r="CK247" s="140" t="str">
        <f aca="false">IF(ISBLANK($C247),"",IF($BR247=Constants!$B$12,$BQ247,""))</f>
        <v/>
      </c>
      <c r="CL247" s="139" t="str">
        <f aca="false">IF(ISBLANK($C247),"",IF($BR247&lt;&gt;Constants!$B$8,"",IF($BI247="-&gt;",2,1)))</f>
        <v/>
      </c>
      <c r="CM247" s="141" t="str">
        <f aca="false">IF(ISBLANK($C247),"",IF($BR247&lt;&gt;Constants!$B$8,"",IF($BI247="-&gt;",$BK247,$BC247)))</f>
        <v/>
      </c>
      <c r="CN247" s="141" t="str">
        <f aca="false">IF(ISBLANK($C247),"",IF($BR247&lt;&gt;Constants!$B$8,"",IF($BI247="-&gt;",$BL247,$BD247)))</f>
        <v/>
      </c>
      <c r="CO247" s="141" t="str">
        <f aca="false">IF(ISBLANK($C247),"",IF($BR247&lt;&gt;Constants!$B$8,"",IF($BI247="-&gt;",$BM247+$BN247,$BE247+$BF247)+$BV247))</f>
        <v/>
      </c>
      <c r="CP247" s="141" t="str">
        <f aca="false">IF(ISBLANK($C247),"",IF($BR247&lt;&gt;Constants!$B$8,"",IF($BI247="-&gt;",$BO247,$BG247)+$BU247))</f>
        <v/>
      </c>
      <c r="CQ247" s="142" t="str">
        <f aca="false">IF(ISBLANK($C247),"",IF($BR247&lt;&gt;Constants!$B$8,$BR247,$BW247))</f>
        <v/>
      </c>
      <c r="CR247" s="143" t="str">
        <f aca="false">IF(ISBLANK($C247),"",$BS247)</f>
        <v/>
      </c>
      <c r="CS247" s="144" t="str">
        <f aca="false">IF(ISBLANK($C247),"",$CH247)</f>
        <v/>
      </c>
      <c r="CT247" s="144" t="str">
        <f aca="false">IF(ISBLANK($C247),"",$CG247)</f>
        <v/>
      </c>
      <c r="CU247" s="145" t="str">
        <f aca="false">IF(ISBLANK($C247),"",IFERROR(_xlfn.SWITCH($CT247,Constants!$B$11,COUNTA($C$9:$C$508)+2,Constants!$B$10,COUNTA($C$9:$C$508)+1,Constants!$B$9,COUNTA($C$9:$C$508)),$CT247))</f>
        <v/>
      </c>
      <c r="CV247" s="9"/>
      <c r="CW247" s="146" t="n">
        <f aca="false">IF(OR(ISNUMBER($CT247),$CT247=Constants!$B$11,$CT247=Constants!$B$9,$CT247=Constants!$B$10),1,0)</f>
        <v>0</v>
      </c>
      <c r="CX247" s="146" t="n">
        <v>239</v>
      </c>
      <c r="CY247" s="146" t="str">
        <f aca="false">IF(ISBLANK($C247),"",IF(ISNUMBER($CU247),$CU247+ROW($B247)/1000,""))</f>
        <v/>
      </c>
      <c r="CZ247" s="146" t="str">
        <f aca="false">IF(ISNUMBER($CY247),RANK($CY247,$CY$9:$CY$508,1),"")</f>
        <v/>
      </c>
      <c r="DA247" s="146" t="str">
        <f aca="false">IF(ISBLANK($C247),"",$B247)</f>
        <v/>
      </c>
      <c r="DB247" s="146" t="str">
        <f aca="false">IF(ISBLANK($C247),"",$C247)</f>
        <v/>
      </c>
      <c r="DC247" s="146" t="str">
        <f aca="false">IF(ISBLANK($C247),"",$D247)</f>
        <v/>
      </c>
      <c r="DD247" s="147" t="str">
        <f aca="false">$CR247</f>
        <v/>
      </c>
      <c r="DE247" s="148" t="str">
        <f aca="false">$CQ247</f>
        <v/>
      </c>
      <c r="DF247" s="146" t="str">
        <f aca="false">IF(ISBLANK($C247),"",$CT247)</f>
        <v/>
      </c>
      <c r="DG247" s="149" t="str">
        <f aca="false">IF($CX247&gt;$CW$8,"",VLOOKUP($CX247,$CZ$9:$DF$508,7,FALSE()))</f>
        <v/>
      </c>
      <c r="DH247" s="150" t="str">
        <f aca="false">IF($CX247&gt;$CW$8,"",VLOOKUP($CX247,$CZ$9:$DF$508,2,FALSE()))</f>
        <v/>
      </c>
      <c r="DI247" s="150" t="str">
        <f aca="false">IF($CX247&gt;$CW$8,"",VLOOKUP($CX247,$CZ$9:$DF$508,3,FALSE()))</f>
        <v/>
      </c>
      <c r="DJ247" s="150" t="str">
        <f aca="false">IF($CX247&gt;$CW$8,"",VLOOKUP($CX247,$CZ$9:$DF$508,4,FALSE()))</f>
        <v/>
      </c>
      <c r="DK247" s="150" t="str">
        <f aca="false">IF($CX247&gt;$CW$8,"",VLOOKUP($CX247,$CZ$9:$DF$508,5,FALSE()))</f>
        <v/>
      </c>
      <c r="DL247" s="151" t="str">
        <f aca="false">IF($CX247&gt;$CW$8,"",VLOOKUP($CX247,$CZ$9:$DF$508,6,FALSE()))</f>
        <v/>
      </c>
      <c r="DM247" s="75"/>
    </row>
    <row r="248" customFormat="false" ht="15.75" hidden="false" customHeight="false" outlineLevel="0" collapsed="false">
      <c r="A248" s="9"/>
      <c r="B248" s="157"/>
      <c r="C248" s="158"/>
      <c r="D248" s="159"/>
      <c r="E248" s="177"/>
      <c r="F248" s="161"/>
      <c r="G248" s="162"/>
      <c r="H248" s="162"/>
      <c r="I248" s="178"/>
      <c r="J248" s="165"/>
      <c r="K248" s="126"/>
      <c r="L248" s="127"/>
      <c r="M248" s="128"/>
      <c r="N248" s="165"/>
      <c r="O248" s="165"/>
      <c r="P248" s="177"/>
      <c r="Q248" s="165"/>
      <c r="R248" s="165"/>
      <c r="S248" s="126"/>
      <c r="T248" s="128"/>
      <c r="U248" s="128"/>
      <c r="V248" s="165"/>
      <c r="W248" s="165"/>
      <c r="X248" s="177"/>
      <c r="Y248" s="165"/>
      <c r="Z248" s="166"/>
      <c r="AA248" s="165"/>
      <c r="AB248" s="132"/>
      <c r="AC248" s="133"/>
      <c r="AD248" s="133"/>
      <c r="AE248" s="133"/>
      <c r="AF248" s="133" t="str">
        <f aca="false">IF(ISBLANK($C248),"",IF(E248=Constants!$B$3,TRUE(),IF(E248=Constants!$B$4,FALSE(),TRUE())))</f>
        <v/>
      </c>
      <c r="AG248" s="133" t="str">
        <f aca="false">IF(ISBLANK($C248),"",IF(F248=Constants!$B$3,TRUE(),IF(F248=Constants!$B$4,FALSE(),TRUE())))</f>
        <v/>
      </c>
      <c r="AH248" s="133" t="str">
        <f aca="false">IF(ISBLANK($C248),"",IF(G248=Constants!$B$3,TRUE(),IF(G248=Constants!$B$4,FALSE(),TRUE())))</f>
        <v/>
      </c>
      <c r="AI248" s="133" t="str">
        <f aca="false">IF(ISBLANK($C248),"",IF(AND(ISNUMBER(H248),H248&gt;=0),H248,Constants!$B$29))</f>
        <v/>
      </c>
      <c r="AJ248" s="133" t="str">
        <f aca="false">IF(ISBLANK($C248),"",IF(I248=Constants!$B$3,TRUE(),IF(I248=Constants!$B$4,FALSE(),TRUE())))</f>
        <v/>
      </c>
      <c r="AK248" s="133" t="str">
        <f aca="false">IF(ISBLANK($C248),"",IF(J248=Constants!$B$3,TRUE(),IF(J248=Constants!$B$4,FALSE(),TRUE())))</f>
        <v/>
      </c>
      <c r="AL248" s="133" t="str">
        <f aca="false">IF(ISBLANK($C248),"",IF(K248=Constants!$B$5,TRUE(),IF(K248=Constants!$B$6,FALSE(),COUNTA(L248:P248)&gt;0)))</f>
        <v/>
      </c>
      <c r="AM248" s="134" t="str">
        <f aca="false">IF(ISBLANK($C248),"",IF(ISNUMBER(L248),IF(L248&gt;=0,L248,""),""))</f>
        <v/>
      </c>
      <c r="AN248" s="135" t="str">
        <f aca="false">IF(ISBLANK($C248),"",IF(ISNUMBER(M248),IF(M248&gt;=0,M248,""),""))</f>
        <v/>
      </c>
      <c r="AO248" s="135" t="str">
        <f aca="false">IF(ISBLANK($C248),"",IF(N248=Constants!$B$3,TRUE(),IF(N248=Constants!$B$4,FALSE(),TRUE())))</f>
        <v/>
      </c>
      <c r="AP248" s="133" t="str">
        <f aca="false">IF(ISBLANK($C248),"",IF(ISNUMBER(O248),IF(O248&gt;=0,O248,""),""))</f>
        <v/>
      </c>
      <c r="AQ248" s="133" t="str">
        <f aca="false">IF(ISBLANK($C248),"",IF(P248=Constants!$B$3,TRUE(),IF(P248=Constants!$B$4,FALSE(),FALSE())))</f>
        <v/>
      </c>
      <c r="AR248" s="133" t="str">
        <f aca="false">IF(ISBLANK($C248),"",IF(Q248=Constants!$B$3,TRUE(),IF(Q248=Constants!$B$4,FALSE(),TRUE())))</f>
        <v/>
      </c>
      <c r="AS248" s="133" t="str">
        <f aca="false">IF(ISBLANK($C248),"",IF(R248=Constants!$B$3,TRUE(),IF(R248=Constants!$B$4,FALSE(),TRUE())))</f>
        <v/>
      </c>
      <c r="AT248" s="133" t="str">
        <f aca="false">IF(ISBLANK($C248),"",IF(S248=Constants!$B$5,TRUE(),IF(S248=Constants!$B$6,FALSE(),COUNTA(T248:X248)&gt;0)))</f>
        <v/>
      </c>
      <c r="AU248" s="134" t="str">
        <f aca="false">IF(ISBLANK($C248),"",IF(ISNUMBER(T248),IF(T248&gt;=0,T248,""),""))</f>
        <v/>
      </c>
      <c r="AV248" s="135" t="str">
        <f aca="false">IF(ISBLANK($C248),"",IF(ISNUMBER(U248),IF(U248&gt;=0,U248,""),""))</f>
        <v/>
      </c>
      <c r="AW248" s="135" t="str">
        <f aca="false">IF(ISBLANK($C248),"",IF(V248=Constants!$B$3,TRUE(),IF(V248=Constants!$B$4,FALSE(),TRUE())))</f>
        <v/>
      </c>
      <c r="AX248" s="133" t="str">
        <f aca="false">IF(ISBLANK($C248),"",IF(ISNUMBER(W248),IF(W248&gt;=0,W248,""),""))</f>
        <v/>
      </c>
      <c r="AY248" s="133" t="str">
        <f aca="false">IF(ISBLANK($C248),"",IF(X248=Constants!$B$3,TRUE(),IF(X248=Constants!$B$4,FALSE(),FALSE())))</f>
        <v/>
      </c>
      <c r="AZ248" s="133" t="str">
        <f aca="false">IF(ISBLANK($C248),"",MIN(Constants!$B$31,MAX(0,IF(ISNUMBER(Y248),Y248*60,0)+IF(ISNUMBER(Z248),Z248,0))))</f>
        <v/>
      </c>
      <c r="BA248" s="133" t="str">
        <f aca="false">IF(ISBLANK($C248),"",IF(AA248=Constants!$B$3,TRUE(),IF(AA248=Constants!$B$4,FALSE(),FALSE())))</f>
        <v/>
      </c>
      <c r="BB248" s="132" t="str">
        <f aca="false">IF(ISBLANK($C248),"",AND($AL248,OR($AM248="",$AN248="",AND($AO248,$AP248=""))))</f>
        <v/>
      </c>
      <c r="BC248" s="135" t="str">
        <f aca="false">IF($BR248&lt;&gt;Constants!$B$8,"",IF($AL248,Constants!$B$21*$AN248+Constants!$B$22*IF($AO248,$AP248,Constants!$B$23),Constants!$B$24))</f>
        <v/>
      </c>
      <c r="BD248" s="136" t="str">
        <f aca="false">IF($BR248&lt;&gt;Constants!$B$8,"",Constants!$B$25*ABS($AD$9-IF($AL248,$AM248,0)))</f>
        <v/>
      </c>
      <c r="BE248" s="136" t="str">
        <f aca="false">IF($BR248&lt;&gt;Constants!$B$8,"",IF(AND($AL248,$AQ248,$AO248),Constants!$B$27,0))</f>
        <v/>
      </c>
      <c r="BF248" s="136" t="str">
        <f aca="false">IF($BR248&lt;&gt;Constants!$B$8,"",IF($AL248,($AI248-Constants!$B$29)*Constants!$B$28,0))</f>
        <v/>
      </c>
      <c r="BG248" s="136" t="str">
        <f aca="false">IF($BR248&lt;&gt;Constants!$B$8,"",IF($AK248,0,Constants!$B$15)+IF($AJ248,0,Constants!$B$16)+IF($AH248,0,Constants!$B$17))</f>
        <v/>
      </c>
      <c r="BH248" s="137" t="str">
        <f aca="false">IF($BR248&lt;&gt;Constants!$B$8,"",Constants!$B$20+SUM($BC248:$BG248))</f>
        <v/>
      </c>
      <c r="BI248" s="133" t="str">
        <f aca="false">IF($BR248&lt;&gt;Constants!$B$8,"",IF(OR($BP248&lt;$BH248,AND($BP248=$BH248,OR($BK248&lt;$BC248,AND($BK248=$BC248,OR($BL248&lt;$BD248,AND($BL248=$BD248,$AT248,$AL248,$AV248&lt;$AN248)))))),"-&gt;","&lt;-"))</f>
        <v/>
      </c>
      <c r="BJ248" s="132" t="str">
        <f aca="false">IF(ISBLANK($C248),"",AND($AT248,OR($AU248="",$AV248="",AND($AW248,$AX248=""))))</f>
        <v/>
      </c>
      <c r="BK248" s="135" t="str">
        <f aca="false">IF($BR248&lt;&gt;Constants!$B$8,"",IF($AT248,Constants!$B$21*$AV248+Constants!$B$22*IF($AW248,$AX248,Constants!$B$23),Constants!$B$24))</f>
        <v/>
      </c>
      <c r="BL248" s="136" t="str">
        <f aca="false">IF($BR248&lt;&gt;Constants!$B$8,"",Constants!$B$25*ABS($AD$9-IF($AT248,$AU248,0)))</f>
        <v/>
      </c>
      <c r="BM248" s="136" t="str">
        <f aca="false">IF($BR248&lt;&gt;Constants!$B$8,"",IF(AND($AT248,$AY248,$AW248),Constants!$B$27,0))</f>
        <v/>
      </c>
      <c r="BN248" s="136" t="str">
        <f aca="false">IF($BR248&lt;&gt;Constants!$B$8,"",IF($AT248,($AI248-Constants!$B$29)*Constants!$B$28,0))</f>
        <v/>
      </c>
      <c r="BO248" s="136" t="str">
        <f aca="false">IF($BR248&lt;&gt;Constants!$B$8,"",IF($AS248,0,Constants!$B$15)+IF($AR248,0,Constants!$B$16)+IF($AH248,0,Constants!$B$17))</f>
        <v/>
      </c>
      <c r="BP248" s="137" t="str">
        <f aca="false">IF($BR248&lt;&gt;Constants!$B$8,"",Constants!$B$20+SUM($BK248:$BO248))</f>
        <v/>
      </c>
      <c r="BQ248" s="133" t="str">
        <f aca="false">IF(ISBLANK($C248),"",IF(ISBLANK($D$7),$BQ$5,IF(NOT(ISNUMBER($D$7)),$BQ$6,"")))</f>
        <v/>
      </c>
      <c r="BR248" s="133" t="str">
        <f aca="false">IF(ISBLANK($C248),"",IF($BA248,Constants!$B$11,IF(COUNTA($E248:$AA248)=0,Constants!$B$10,IF(NOT($AG248),Constants!$B$9,IF(OR($BQ248&lt;&gt;"",$BB248,$BJ248),Constants!$B$12,Constants!$B$8)))))</f>
        <v/>
      </c>
      <c r="BS248" s="133" t="str">
        <f aca="false">IF(ISBLANK($C248),"",IF($BR248&lt;&gt;Constants!$B$8,$BR248,Constants!$B$13))</f>
        <v/>
      </c>
      <c r="BT248" s="136" t="str">
        <f aca="false">IF($BR248&lt;&gt;Constants!$B$8,"",IF($BI248="-&gt;",$BP248,$BH248))</f>
        <v/>
      </c>
      <c r="BU248" s="136" t="str">
        <f aca="false">IF($BR248&lt;&gt;Constants!$B$8,"",IF($AF248,0,Constants!$B$18))</f>
        <v/>
      </c>
      <c r="BV248" s="136" t="str">
        <f aca="false">IF($BR248&lt;&gt;Constants!$B$8,"",((Constants!$B$31-$AZ248)-Constants!$B$31)/Constants!$B$32)</f>
        <v/>
      </c>
      <c r="BW248" s="136" t="str">
        <f aca="false">IF(ISBLANK($C248),"",IF($BR248&lt;&gt;Constants!$B$8,$BR248,SUM($BT248:$BV248)))</f>
        <v/>
      </c>
      <c r="BX248" s="133" t="str">
        <f aca="false">IF(ISBLANK($C248),"",IF($BR248&lt;&gt;Constants!$B$8,$BR248,RANK($BW248,$BW$9:$BW$508,1)))</f>
        <v/>
      </c>
      <c r="BY248" s="136" t="str">
        <f aca="false">IF($BR248&lt;&gt;Constants!$B$8,"",IF($BI248="-&gt;",$BK248,$BC248))</f>
        <v/>
      </c>
      <c r="BZ248" s="133" t="str">
        <f aca="false">IF(ISBLANK($C248),"",IF($BR248&lt;&gt;Constants!$B$8,$BR248,IF(ISNUMBER($BY248),RANK($BY248,$BY$9:$BY$508,1),COUNT($BY$9:$BY$508)+1)))</f>
        <v/>
      </c>
      <c r="CA248" s="136" t="str">
        <f aca="false">IF($BR248&lt;&gt;Constants!$B$8,"",IF($BI248="-&gt;",$BL248,$BD248))</f>
        <v/>
      </c>
      <c r="CB248" s="133" t="str">
        <f aca="false">IF(ISBLANK($C248),"",IF($BR248&lt;&gt;Constants!$B$8,$BR248,IF(ISNUMBER($CA248),RANK($CA248,$CA$9:$CA$508,1),COUNT($CA$9:$CA$508)+1)))</f>
        <v/>
      </c>
      <c r="CC248" s="136" t="str">
        <f aca="false">IF($BR248&lt;&gt;Constants!$B$8,"",IF($BI248="-&gt;",IF($AT248,$AV248,""),IF($AL248,$AN248,"")))</f>
        <v/>
      </c>
      <c r="CD248" s="133" t="str">
        <f aca="false">IF(ISBLANK($C248),"",IF($BR248&lt;&gt;Constants!$B$8,$BR248,IF(ISNUMBER($CC248),RANK($CC248,$CC$9:$CC$508,1),COUNT($CC$9:$CC$508)+1)))</f>
        <v/>
      </c>
      <c r="CE248" s="136" t="str">
        <f aca="false">IF($BR248&lt;&gt;Constants!$B$8,"",IF(AND(NOT($AL248),NOT($AT248),$AJ248,$AK248,$AR248,$AS248),"",$AI248))</f>
        <v/>
      </c>
      <c r="CF248" s="133" t="str">
        <f aca="false">IF(ISBLANK($C248),"",IF($BR248&lt;&gt;Constants!$B$8,$BR248,IF(ISNUMBER($CE248),RANK($CE248,$CE$9:$CE$508,1),COUNT($CE$9:$CE$508)+1)))</f>
        <v/>
      </c>
      <c r="CG248" s="133" t="str">
        <f aca="false">IF(ISBLANK($C248),"",IF($BR248&lt;&gt;Constants!$B$8,$BR248,COUNTIFS($BX$9:$BX$508,"&lt;"&amp;$BX248)+COUNTIFS($BX$9:$BX$508,$BX248,$BZ$9:$BZ$508,"&lt;"&amp;$BZ248)+COUNTIFS($BX$9:$BX$508,$BX248,$BZ$9:$BZ$508,$BZ248,$CB$9:$CB$508,"&lt;"&amp;$CB248)+COUNTIFS($BX$9:$BX$508,$BX248,$BZ$9:$BZ$508,$BZ248,$CB$9:$CB$508,$CB248,$CD$9:$CD$508,"&lt;"&amp;$CD248)+COUNTIFS($BX$9:$BX$508,$BX248,$BZ$9:$BZ$508,$BZ248,$CB$9:$CB$508,$CB248,$CD$9:$CD$508,$CD248,$CF$9:$CF$508,"&lt;"&amp;$CF248)+1))</f>
        <v/>
      </c>
      <c r="CH248" s="133" t="str">
        <f aca="false">IF(ISBLANK($C248),"",IF($BR248&lt;&gt;Constants!$B$8,$BR248,$BX248-$CG248))</f>
        <v/>
      </c>
      <c r="CI248" s="138"/>
      <c r="CJ248" s="139"/>
      <c r="CK248" s="140" t="str">
        <f aca="false">IF(ISBLANK($C248),"",IF($BR248=Constants!$B$12,$BQ248,""))</f>
        <v/>
      </c>
      <c r="CL248" s="139" t="str">
        <f aca="false">IF(ISBLANK($C248),"",IF($BR248&lt;&gt;Constants!$B$8,"",IF($BI248="-&gt;",2,1)))</f>
        <v/>
      </c>
      <c r="CM248" s="141" t="str">
        <f aca="false">IF(ISBLANK($C248),"",IF($BR248&lt;&gt;Constants!$B$8,"",IF($BI248="-&gt;",$BK248,$BC248)))</f>
        <v/>
      </c>
      <c r="CN248" s="141" t="str">
        <f aca="false">IF(ISBLANK($C248),"",IF($BR248&lt;&gt;Constants!$B$8,"",IF($BI248="-&gt;",$BL248,$BD248)))</f>
        <v/>
      </c>
      <c r="CO248" s="141" t="str">
        <f aca="false">IF(ISBLANK($C248),"",IF($BR248&lt;&gt;Constants!$B$8,"",IF($BI248="-&gt;",$BM248+$BN248,$BE248+$BF248)+$BV248))</f>
        <v/>
      </c>
      <c r="CP248" s="141" t="str">
        <f aca="false">IF(ISBLANK($C248),"",IF($BR248&lt;&gt;Constants!$B$8,"",IF($BI248="-&gt;",$BO248,$BG248)+$BU248))</f>
        <v/>
      </c>
      <c r="CQ248" s="142" t="str">
        <f aca="false">IF(ISBLANK($C248),"",IF($BR248&lt;&gt;Constants!$B$8,$BR248,$BW248))</f>
        <v/>
      </c>
      <c r="CR248" s="143" t="str">
        <f aca="false">IF(ISBLANK($C248),"",$BS248)</f>
        <v/>
      </c>
      <c r="CS248" s="144" t="str">
        <f aca="false">IF(ISBLANK($C248),"",$CH248)</f>
        <v/>
      </c>
      <c r="CT248" s="144" t="str">
        <f aca="false">IF(ISBLANK($C248),"",$CG248)</f>
        <v/>
      </c>
      <c r="CU248" s="145" t="str">
        <f aca="false">IF(ISBLANK($C248),"",IFERROR(_xlfn.SWITCH($CT248,Constants!$B$11,COUNTA($C$9:$C$508)+2,Constants!$B$10,COUNTA($C$9:$C$508)+1,Constants!$B$9,COUNTA($C$9:$C$508)),$CT248))</f>
        <v/>
      </c>
      <c r="CV248" s="9"/>
      <c r="CW248" s="146" t="n">
        <f aca="false">IF(OR(ISNUMBER($CT248),$CT248=Constants!$B$11,$CT248=Constants!$B$9,$CT248=Constants!$B$10),1,0)</f>
        <v>0</v>
      </c>
      <c r="CX248" s="146" t="n">
        <v>240</v>
      </c>
      <c r="CY248" s="146" t="str">
        <f aca="false">IF(ISBLANK($C248),"",IF(ISNUMBER($CU248),$CU248+ROW($B248)/1000,""))</f>
        <v/>
      </c>
      <c r="CZ248" s="146" t="str">
        <f aca="false">IF(ISNUMBER($CY248),RANK($CY248,$CY$9:$CY$508,1),"")</f>
        <v/>
      </c>
      <c r="DA248" s="146" t="str">
        <f aca="false">IF(ISBLANK($C248),"",$B248)</f>
        <v/>
      </c>
      <c r="DB248" s="146" t="str">
        <f aca="false">IF(ISBLANK($C248),"",$C248)</f>
        <v/>
      </c>
      <c r="DC248" s="146" t="str">
        <f aca="false">IF(ISBLANK($C248),"",$D248)</f>
        <v/>
      </c>
      <c r="DD248" s="147" t="str">
        <f aca="false">$CR248</f>
        <v/>
      </c>
      <c r="DE248" s="148" t="str">
        <f aca="false">$CQ248</f>
        <v/>
      </c>
      <c r="DF248" s="146" t="str">
        <f aca="false">IF(ISBLANK($C248),"",$CT248)</f>
        <v/>
      </c>
      <c r="DG248" s="149" t="str">
        <f aca="false">IF($CX248&gt;$CW$8,"",VLOOKUP($CX248,$CZ$9:$DF$508,7,FALSE()))</f>
        <v/>
      </c>
      <c r="DH248" s="150" t="str">
        <f aca="false">IF($CX248&gt;$CW$8,"",VLOOKUP($CX248,$CZ$9:$DF$508,2,FALSE()))</f>
        <v/>
      </c>
      <c r="DI248" s="150" t="str">
        <f aca="false">IF($CX248&gt;$CW$8,"",VLOOKUP($CX248,$CZ$9:$DF$508,3,FALSE()))</f>
        <v/>
      </c>
      <c r="DJ248" s="150" t="str">
        <f aca="false">IF($CX248&gt;$CW$8,"",VLOOKUP($CX248,$CZ$9:$DF$508,4,FALSE()))</f>
        <v/>
      </c>
      <c r="DK248" s="150" t="str">
        <f aca="false">IF($CX248&gt;$CW$8,"",VLOOKUP($CX248,$CZ$9:$DF$508,5,FALSE()))</f>
        <v/>
      </c>
      <c r="DL248" s="151" t="str">
        <f aca="false">IF($CX248&gt;$CW$8,"",VLOOKUP($CX248,$CZ$9:$DF$508,6,FALSE()))</f>
        <v/>
      </c>
      <c r="DM248" s="75"/>
    </row>
    <row r="249" customFormat="false" ht="15.75" hidden="false" customHeight="false" outlineLevel="0" collapsed="false">
      <c r="A249" s="9"/>
      <c r="B249" s="77"/>
      <c r="C249" s="78"/>
      <c r="D249" s="167"/>
      <c r="E249" s="175"/>
      <c r="F249" s="169"/>
      <c r="G249" s="170"/>
      <c r="H249" s="170"/>
      <c r="I249" s="176"/>
      <c r="J249" s="173"/>
      <c r="K249" s="85"/>
      <c r="L249" s="86"/>
      <c r="M249" s="87"/>
      <c r="N249" s="173"/>
      <c r="O249" s="173"/>
      <c r="P249" s="175"/>
      <c r="Q249" s="173"/>
      <c r="R249" s="173"/>
      <c r="S249" s="85"/>
      <c r="T249" s="87"/>
      <c r="U249" s="87"/>
      <c r="V249" s="173"/>
      <c r="W249" s="173"/>
      <c r="X249" s="175"/>
      <c r="Y249" s="173"/>
      <c r="Z249" s="174"/>
      <c r="AA249" s="173"/>
      <c r="AB249" s="91"/>
      <c r="AC249" s="92"/>
      <c r="AD249" s="92"/>
      <c r="AE249" s="92"/>
      <c r="AF249" s="92" t="str">
        <f aca="false">IF(ISBLANK($C249),"",IF(E249=Constants!$B$3,TRUE(),IF(E249=Constants!$B$4,FALSE(),TRUE())))</f>
        <v/>
      </c>
      <c r="AG249" s="92" t="str">
        <f aca="false">IF(ISBLANK($C249),"",IF(F249=Constants!$B$3,TRUE(),IF(F249=Constants!$B$4,FALSE(),TRUE())))</f>
        <v/>
      </c>
      <c r="AH249" s="92" t="str">
        <f aca="false">IF(ISBLANK($C249),"",IF(G249=Constants!$B$3,TRUE(),IF(G249=Constants!$B$4,FALSE(),TRUE())))</f>
        <v/>
      </c>
      <c r="AI249" s="92" t="str">
        <f aca="false">IF(ISBLANK($C249),"",IF(AND(ISNUMBER(H249),H249&gt;=0),H249,Constants!$B$29))</f>
        <v/>
      </c>
      <c r="AJ249" s="92" t="str">
        <f aca="false">IF(ISBLANK($C249),"",IF(I249=Constants!$B$3,TRUE(),IF(I249=Constants!$B$4,FALSE(),TRUE())))</f>
        <v/>
      </c>
      <c r="AK249" s="92" t="str">
        <f aca="false">IF(ISBLANK($C249),"",IF(J249=Constants!$B$3,TRUE(),IF(J249=Constants!$B$4,FALSE(),TRUE())))</f>
        <v/>
      </c>
      <c r="AL249" s="92" t="str">
        <f aca="false">IF(ISBLANK($C249),"",IF(K249=Constants!$B$5,TRUE(),IF(K249=Constants!$B$6,FALSE(),COUNTA(L249:P249)&gt;0)))</f>
        <v/>
      </c>
      <c r="AM249" s="94" t="str">
        <f aca="false">IF(ISBLANK($C249),"",IF(ISNUMBER(L249),IF(L249&gt;=0,L249,""),""))</f>
        <v/>
      </c>
      <c r="AN249" s="93" t="str">
        <f aca="false">IF(ISBLANK($C249),"",IF(ISNUMBER(M249),IF(M249&gt;=0,M249,""),""))</f>
        <v/>
      </c>
      <c r="AO249" s="93" t="str">
        <f aca="false">IF(ISBLANK($C249),"",IF(N249=Constants!$B$3,TRUE(),IF(N249=Constants!$B$4,FALSE(),TRUE())))</f>
        <v/>
      </c>
      <c r="AP249" s="92" t="str">
        <f aca="false">IF(ISBLANK($C249),"",IF(ISNUMBER(O249),IF(O249&gt;=0,O249,""),""))</f>
        <v/>
      </c>
      <c r="AQ249" s="92" t="str">
        <f aca="false">IF(ISBLANK($C249),"",IF(P249=Constants!$B$3,TRUE(),IF(P249=Constants!$B$4,FALSE(),FALSE())))</f>
        <v/>
      </c>
      <c r="AR249" s="92" t="str">
        <f aca="false">IF(ISBLANK($C249),"",IF(Q249=Constants!$B$3,TRUE(),IF(Q249=Constants!$B$4,FALSE(),TRUE())))</f>
        <v/>
      </c>
      <c r="AS249" s="92" t="str">
        <f aca="false">IF(ISBLANK($C249),"",IF(R249=Constants!$B$3,TRUE(),IF(R249=Constants!$B$4,FALSE(),TRUE())))</f>
        <v/>
      </c>
      <c r="AT249" s="92" t="str">
        <f aca="false">IF(ISBLANK($C249),"",IF(S249=Constants!$B$5,TRUE(),IF(S249=Constants!$B$6,FALSE(),COUNTA(T249:X249)&gt;0)))</f>
        <v/>
      </c>
      <c r="AU249" s="94" t="str">
        <f aca="false">IF(ISBLANK($C249),"",IF(ISNUMBER(T249),IF(T249&gt;=0,T249,""),""))</f>
        <v/>
      </c>
      <c r="AV249" s="93" t="str">
        <f aca="false">IF(ISBLANK($C249),"",IF(ISNUMBER(U249),IF(U249&gt;=0,U249,""),""))</f>
        <v/>
      </c>
      <c r="AW249" s="93" t="str">
        <f aca="false">IF(ISBLANK($C249),"",IF(V249=Constants!$B$3,TRUE(),IF(V249=Constants!$B$4,FALSE(),TRUE())))</f>
        <v/>
      </c>
      <c r="AX249" s="92" t="str">
        <f aca="false">IF(ISBLANK($C249),"",IF(ISNUMBER(W249),IF(W249&gt;=0,W249,""),""))</f>
        <v/>
      </c>
      <c r="AY249" s="92" t="str">
        <f aca="false">IF(ISBLANK($C249),"",IF(X249=Constants!$B$3,TRUE(),IF(X249=Constants!$B$4,FALSE(),FALSE())))</f>
        <v/>
      </c>
      <c r="AZ249" s="92" t="str">
        <f aca="false">IF(ISBLANK($C249),"",MIN(Constants!$B$31,MAX(0,IF(ISNUMBER(Y249),Y249*60,0)+IF(ISNUMBER(Z249),Z249,0))))</f>
        <v/>
      </c>
      <c r="BA249" s="92" t="str">
        <f aca="false">IF(ISBLANK($C249),"",IF(AA249=Constants!$B$3,TRUE(),IF(AA249=Constants!$B$4,FALSE(),FALSE())))</f>
        <v/>
      </c>
      <c r="BB249" s="91" t="str">
        <f aca="false">IF(ISBLANK($C249),"",AND($AL249,OR($AM249="",$AN249="",AND($AO249,$AP249=""))))</f>
        <v/>
      </c>
      <c r="BC249" s="93" t="str">
        <f aca="false">IF($BR249&lt;&gt;Constants!$B$8,"",IF($AL249,Constants!$B$21*$AN249+Constants!$B$22*IF($AO249,$AP249,Constants!$B$23),Constants!$B$24))</f>
        <v/>
      </c>
      <c r="BD249" s="96" t="str">
        <f aca="false">IF($BR249&lt;&gt;Constants!$B$8,"",Constants!$B$25*ABS($AD$9-IF($AL249,$AM249,0)))</f>
        <v/>
      </c>
      <c r="BE249" s="96" t="str">
        <f aca="false">IF($BR249&lt;&gt;Constants!$B$8,"",IF(AND($AL249,$AQ249,$AO249),Constants!$B$27,0))</f>
        <v/>
      </c>
      <c r="BF249" s="96" t="str">
        <f aca="false">IF($BR249&lt;&gt;Constants!$B$8,"",IF($AL249,($AI249-Constants!$B$29)*Constants!$B$28,0))</f>
        <v/>
      </c>
      <c r="BG249" s="96" t="str">
        <f aca="false">IF($BR249&lt;&gt;Constants!$B$8,"",IF($AK249,0,Constants!$B$15)+IF($AJ249,0,Constants!$B$16)+IF($AH249,0,Constants!$B$17))</f>
        <v/>
      </c>
      <c r="BH249" s="97" t="str">
        <f aca="false">IF($BR249&lt;&gt;Constants!$B$8,"",Constants!$B$20+SUM($BC249:$BG249))</f>
        <v/>
      </c>
      <c r="BI249" s="92" t="str">
        <f aca="false">IF($BR249&lt;&gt;Constants!$B$8,"",IF(OR($BP249&lt;$BH249,AND($BP249=$BH249,OR($BK249&lt;$BC249,AND($BK249=$BC249,OR($BL249&lt;$BD249,AND($BL249=$BD249,$AT249,$AL249,$AV249&lt;$AN249)))))),"-&gt;","&lt;-"))</f>
        <v/>
      </c>
      <c r="BJ249" s="91" t="str">
        <f aca="false">IF(ISBLANK($C249),"",AND($AT249,OR($AU249="",$AV249="",AND($AW249,$AX249=""))))</f>
        <v/>
      </c>
      <c r="BK249" s="93" t="str">
        <f aca="false">IF($BR249&lt;&gt;Constants!$B$8,"",IF($AT249,Constants!$B$21*$AV249+Constants!$B$22*IF($AW249,$AX249,Constants!$B$23),Constants!$B$24))</f>
        <v/>
      </c>
      <c r="BL249" s="96" t="str">
        <f aca="false">IF($BR249&lt;&gt;Constants!$B$8,"",Constants!$B$25*ABS($AD$9-IF($AT249,$AU249,0)))</f>
        <v/>
      </c>
      <c r="BM249" s="96" t="str">
        <f aca="false">IF($BR249&lt;&gt;Constants!$B$8,"",IF(AND($AT249,$AY249,$AW249),Constants!$B$27,0))</f>
        <v/>
      </c>
      <c r="BN249" s="96" t="str">
        <f aca="false">IF($BR249&lt;&gt;Constants!$B$8,"",IF($AT249,($AI249-Constants!$B$29)*Constants!$B$28,0))</f>
        <v/>
      </c>
      <c r="BO249" s="96" t="str">
        <f aca="false">IF($BR249&lt;&gt;Constants!$B$8,"",IF($AS249,0,Constants!$B$15)+IF($AR249,0,Constants!$B$16)+IF($AH249,0,Constants!$B$17))</f>
        <v/>
      </c>
      <c r="BP249" s="97" t="str">
        <f aca="false">IF($BR249&lt;&gt;Constants!$B$8,"",Constants!$B$20+SUM($BK249:$BO249))</f>
        <v/>
      </c>
      <c r="BQ249" s="92" t="str">
        <f aca="false">IF(ISBLANK($C249),"",IF(ISBLANK($D$7),$BQ$5,IF(NOT(ISNUMBER($D$7)),$BQ$6,"")))</f>
        <v/>
      </c>
      <c r="BR249" s="92" t="str">
        <f aca="false">IF(ISBLANK($C249),"",IF($BA249,Constants!$B$11,IF(COUNTA($E249:$AA249)=0,Constants!$B$10,IF(NOT($AG249),Constants!$B$9,IF(OR($BQ249&lt;&gt;"",$BB249,$BJ249),Constants!$B$12,Constants!$B$8)))))</f>
        <v/>
      </c>
      <c r="BS249" s="92" t="str">
        <f aca="false">IF(ISBLANK($C249),"",IF($BR249&lt;&gt;Constants!$B$8,$BR249,Constants!$B$13))</f>
        <v/>
      </c>
      <c r="BT249" s="96" t="str">
        <f aca="false">IF($BR249&lt;&gt;Constants!$B$8,"",IF($BI249="-&gt;",$BP249,$BH249))</f>
        <v/>
      </c>
      <c r="BU249" s="96" t="str">
        <f aca="false">IF($BR249&lt;&gt;Constants!$B$8,"",IF($AF249,0,Constants!$B$18))</f>
        <v/>
      </c>
      <c r="BV249" s="96" t="str">
        <f aca="false">IF($BR249&lt;&gt;Constants!$B$8,"",((Constants!$B$31-$AZ249)-Constants!$B$31)/Constants!$B$32)</f>
        <v/>
      </c>
      <c r="BW249" s="96" t="str">
        <f aca="false">IF(ISBLANK($C249),"",IF($BR249&lt;&gt;Constants!$B$8,$BR249,SUM($BT249:$BV249)))</f>
        <v/>
      </c>
      <c r="BX249" s="92" t="str">
        <f aca="false">IF(ISBLANK($C249),"",IF($BR249&lt;&gt;Constants!$B$8,$BR249,RANK($BW249,$BW$9:$BW$508,1)))</f>
        <v/>
      </c>
      <c r="BY249" s="96" t="str">
        <f aca="false">IF($BR249&lt;&gt;Constants!$B$8,"",IF($BI249="-&gt;",$BK249,$BC249))</f>
        <v/>
      </c>
      <c r="BZ249" s="92" t="str">
        <f aca="false">IF(ISBLANK($C249),"",IF($BR249&lt;&gt;Constants!$B$8,$BR249,IF(ISNUMBER($BY249),RANK($BY249,$BY$9:$BY$508,1),COUNT($BY$9:$BY$508)+1)))</f>
        <v/>
      </c>
      <c r="CA249" s="96" t="str">
        <f aca="false">IF($BR249&lt;&gt;Constants!$B$8,"",IF($BI249="-&gt;",$BL249,$BD249))</f>
        <v/>
      </c>
      <c r="CB249" s="92" t="str">
        <f aca="false">IF(ISBLANK($C249),"",IF($BR249&lt;&gt;Constants!$B$8,$BR249,IF(ISNUMBER($CA249),RANK($CA249,$CA$9:$CA$508,1),COUNT($CA$9:$CA$508)+1)))</f>
        <v/>
      </c>
      <c r="CC249" s="96" t="str">
        <f aca="false">IF($BR249&lt;&gt;Constants!$B$8,"",IF($BI249="-&gt;",IF($AT249,$AV249,""),IF($AL249,$AN249,"")))</f>
        <v/>
      </c>
      <c r="CD249" s="92" t="str">
        <f aca="false">IF(ISBLANK($C249),"",IF($BR249&lt;&gt;Constants!$B$8,$BR249,IF(ISNUMBER($CC249),RANK($CC249,$CC$9:$CC$508,1),COUNT($CC$9:$CC$508)+1)))</f>
        <v/>
      </c>
      <c r="CE249" s="96" t="str">
        <f aca="false">IF($BR249&lt;&gt;Constants!$B$8,"",IF(AND(NOT($AL249),NOT($AT249),$AJ249,$AK249,$AR249,$AS249),"",$AI249))</f>
        <v/>
      </c>
      <c r="CF249" s="92" t="str">
        <f aca="false">IF(ISBLANK($C249),"",IF($BR249&lt;&gt;Constants!$B$8,$BR249,IF(ISNUMBER($CE249),RANK($CE249,$CE$9:$CE$508,1),COUNT($CE$9:$CE$508)+1)))</f>
        <v/>
      </c>
      <c r="CG249" s="92" t="str">
        <f aca="false">IF(ISBLANK($C249),"",IF($BR249&lt;&gt;Constants!$B$8,$BR249,COUNTIFS($BX$9:$BX$508,"&lt;"&amp;$BX249)+COUNTIFS($BX$9:$BX$508,$BX249,$BZ$9:$BZ$508,"&lt;"&amp;$BZ249)+COUNTIFS($BX$9:$BX$508,$BX249,$BZ$9:$BZ$508,$BZ249,$CB$9:$CB$508,"&lt;"&amp;$CB249)+COUNTIFS($BX$9:$BX$508,$BX249,$BZ$9:$BZ$508,$BZ249,$CB$9:$CB$508,$CB249,$CD$9:$CD$508,"&lt;"&amp;$CD249)+COUNTIFS($BX$9:$BX$508,$BX249,$BZ$9:$BZ$508,$BZ249,$CB$9:$CB$508,$CB249,$CD$9:$CD$508,$CD249,$CF$9:$CF$508,"&lt;"&amp;$CF249)+1))</f>
        <v/>
      </c>
      <c r="CH249" s="92" t="str">
        <f aca="false">IF(ISBLANK($C249),"",IF($BR249&lt;&gt;Constants!$B$8,$BR249,$BX249-$CG249))</f>
        <v/>
      </c>
      <c r="CI249" s="98"/>
      <c r="CJ249" s="99"/>
      <c r="CK249" s="100" t="str">
        <f aca="false">IF(ISBLANK($C249),"",IF($BR249=Constants!$B$12,$BQ249,""))</f>
        <v/>
      </c>
      <c r="CL249" s="99" t="str">
        <f aca="false">IF(ISBLANK($C249),"",IF($BR249&lt;&gt;Constants!$B$8,"",IF($BI249="-&gt;",2,1)))</f>
        <v/>
      </c>
      <c r="CM249" s="101" t="str">
        <f aca="false">IF(ISBLANK($C249),"",IF($BR249&lt;&gt;Constants!$B$8,"",IF($BI249="-&gt;",$BK249,$BC249)))</f>
        <v/>
      </c>
      <c r="CN249" s="101" t="str">
        <f aca="false">IF(ISBLANK($C249),"",IF($BR249&lt;&gt;Constants!$B$8,"",IF($BI249="-&gt;",$BL249,$BD249)))</f>
        <v/>
      </c>
      <c r="CO249" s="101" t="str">
        <f aca="false">IF(ISBLANK($C249),"",IF($BR249&lt;&gt;Constants!$B$8,"",IF($BI249="-&gt;",$BM249+$BN249,$BE249+$BF249)+$BV249))</f>
        <v/>
      </c>
      <c r="CP249" s="101" t="str">
        <f aca="false">IF(ISBLANK($C249),"",IF($BR249&lt;&gt;Constants!$B$8,"",IF($BI249="-&gt;",$BO249,$BG249)+$BU249))</f>
        <v/>
      </c>
      <c r="CQ249" s="102" t="str">
        <f aca="false">IF(ISBLANK($C249),"",IF($BR249&lt;&gt;Constants!$B$8,$BR249,$BW249))</f>
        <v/>
      </c>
      <c r="CR249" s="103" t="str">
        <f aca="false">IF(ISBLANK($C249),"",$BS249)</f>
        <v/>
      </c>
      <c r="CS249" s="104" t="str">
        <f aca="false">IF(ISBLANK($C249),"",$CH249)</f>
        <v/>
      </c>
      <c r="CT249" s="104" t="str">
        <f aca="false">IF(ISBLANK($C249),"",$CG249)</f>
        <v/>
      </c>
      <c r="CU249" s="105" t="str">
        <f aca="false">IF(ISBLANK($C249),"",IFERROR(_xlfn.SWITCH($CT249,Constants!$B$11,COUNTA($C$9:$C$508)+2,Constants!$B$10,COUNTA($C$9:$C$508)+1,Constants!$B$9,COUNTA($C$9:$C$508)),$CT249))</f>
        <v/>
      </c>
      <c r="CV249" s="9"/>
      <c r="CW249" s="106" t="n">
        <f aca="false">IF(OR(ISNUMBER($CT249),$CT249=Constants!$B$11,$CT249=Constants!$B$9,$CT249=Constants!$B$10),1,0)</f>
        <v>0</v>
      </c>
      <c r="CX249" s="106" t="n">
        <v>241</v>
      </c>
      <c r="CY249" s="106" t="str">
        <f aca="false">IF(ISBLANK($C249),"",IF(ISNUMBER($CU249),$CU249+ROW($B249)/1000,""))</f>
        <v/>
      </c>
      <c r="CZ249" s="106" t="str">
        <f aca="false">IF(ISNUMBER($CY249),RANK($CY249,$CY$9:$CY$508,1),"")</f>
        <v/>
      </c>
      <c r="DA249" s="106" t="str">
        <f aca="false">IF(ISBLANK($C249),"",$B249)</f>
        <v/>
      </c>
      <c r="DB249" s="106" t="str">
        <f aca="false">IF(ISBLANK($C249),"",$C249)</f>
        <v/>
      </c>
      <c r="DC249" s="106" t="str">
        <f aca="false">IF(ISBLANK($C249),"",$D249)</f>
        <v/>
      </c>
      <c r="DD249" s="107" t="str">
        <f aca="false">$CR249</f>
        <v/>
      </c>
      <c r="DE249" s="108" t="str">
        <f aca="false">$CQ249</f>
        <v/>
      </c>
      <c r="DF249" s="106" t="str">
        <f aca="false">IF(ISBLANK($C249),"",$CT249)</f>
        <v/>
      </c>
      <c r="DG249" s="109" t="str">
        <f aca="false">IF($CX249&gt;$CW$8,"",VLOOKUP($CX249,$CZ$9:$DF$508,7,FALSE()))</f>
        <v/>
      </c>
      <c r="DH249" s="110" t="str">
        <f aca="false">IF($CX249&gt;$CW$8,"",VLOOKUP($CX249,$CZ$9:$DF$508,2,FALSE()))</f>
        <v/>
      </c>
      <c r="DI249" s="110" t="str">
        <f aca="false">IF($CX249&gt;$CW$8,"",VLOOKUP($CX249,$CZ$9:$DF$508,3,FALSE()))</f>
        <v/>
      </c>
      <c r="DJ249" s="110" t="str">
        <f aca="false">IF($CX249&gt;$CW$8,"",VLOOKUP($CX249,$CZ$9:$DF$508,4,FALSE()))</f>
        <v/>
      </c>
      <c r="DK249" s="110" t="str">
        <f aca="false">IF($CX249&gt;$CW$8,"",VLOOKUP($CX249,$CZ$9:$DF$508,5,FALSE()))</f>
        <v/>
      </c>
      <c r="DL249" s="111" t="str">
        <f aca="false">IF($CX249&gt;$CW$8,"",VLOOKUP($CX249,$CZ$9:$DF$508,6,FALSE()))</f>
        <v/>
      </c>
      <c r="DM249" s="75"/>
    </row>
    <row r="250" customFormat="false" ht="15.75" hidden="false" customHeight="false" outlineLevel="0" collapsed="false">
      <c r="A250" s="9"/>
      <c r="B250" s="77"/>
      <c r="C250" s="78"/>
      <c r="D250" s="167"/>
      <c r="E250" s="175"/>
      <c r="F250" s="169"/>
      <c r="G250" s="170"/>
      <c r="H250" s="170"/>
      <c r="I250" s="176"/>
      <c r="J250" s="173"/>
      <c r="K250" s="85"/>
      <c r="L250" s="86"/>
      <c r="M250" s="87"/>
      <c r="N250" s="173"/>
      <c r="O250" s="173"/>
      <c r="P250" s="175"/>
      <c r="Q250" s="173"/>
      <c r="R250" s="173"/>
      <c r="S250" s="85"/>
      <c r="T250" s="87"/>
      <c r="U250" s="87"/>
      <c r="V250" s="173"/>
      <c r="W250" s="173"/>
      <c r="X250" s="175"/>
      <c r="Y250" s="173"/>
      <c r="Z250" s="174"/>
      <c r="AA250" s="173"/>
      <c r="AB250" s="91"/>
      <c r="AC250" s="92"/>
      <c r="AD250" s="92"/>
      <c r="AE250" s="92"/>
      <c r="AF250" s="92" t="str">
        <f aca="false">IF(ISBLANK($C250),"",IF(E250=Constants!$B$3,TRUE(),IF(E250=Constants!$B$4,FALSE(),TRUE())))</f>
        <v/>
      </c>
      <c r="AG250" s="92" t="str">
        <f aca="false">IF(ISBLANK($C250),"",IF(F250=Constants!$B$3,TRUE(),IF(F250=Constants!$B$4,FALSE(),TRUE())))</f>
        <v/>
      </c>
      <c r="AH250" s="92" t="str">
        <f aca="false">IF(ISBLANK($C250),"",IF(G250=Constants!$B$3,TRUE(),IF(G250=Constants!$B$4,FALSE(),TRUE())))</f>
        <v/>
      </c>
      <c r="AI250" s="92" t="str">
        <f aca="false">IF(ISBLANK($C250),"",IF(AND(ISNUMBER(H250),H250&gt;=0),H250,Constants!$B$29))</f>
        <v/>
      </c>
      <c r="AJ250" s="92" t="str">
        <f aca="false">IF(ISBLANK($C250),"",IF(I250=Constants!$B$3,TRUE(),IF(I250=Constants!$B$4,FALSE(),TRUE())))</f>
        <v/>
      </c>
      <c r="AK250" s="92" t="str">
        <f aca="false">IF(ISBLANK($C250),"",IF(J250=Constants!$B$3,TRUE(),IF(J250=Constants!$B$4,FALSE(),TRUE())))</f>
        <v/>
      </c>
      <c r="AL250" s="92" t="str">
        <f aca="false">IF(ISBLANK($C250),"",IF(K250=Constants!$B$5,TRUE(),IF(K250=Constants!$B$6,FALSE(),COUNTA(L250:P250)&gt;0)))</f>
        <v/>
      </c>
      <c r="AM250" s="94" t="str">
        <f aca="false">IF(ISBLANK($C250),"",IF(ISNUMBER(L250),IF(L250&gt;=0,L250,""),""))</f>
        <v/>
      </c>
      <c r="AN250" s="93" t="str">
        <f aca="false">IF(ISBLANK($C250),"",IF(ISNUMBER(M250),IF(M250&gt;=0,M250,""),""))</f>
        <v/>
      </c>
      <c r="AO250" s="93" t="str">
        <f aca="false">IF(ISBLANK($C250),"",IF(N250=Constants!$B$3,TRUE(),IF(N250=Constants!$B$4,FALSE(),TRUE())))</f>
        <v/>
      </c>
      <c r="AP250" s="92" t="str">
        <f aca="false">IF(ISBLANK($C250),"",IF(ISNUMBER(O250),IF(O250&gt;=0,O250,""),""))</f>
        <v/>
      </c>
      <c r="AQ250" s="92" t="str">
        <f aca="false">IF(ISBLANK($C250),"",IF(P250=Constants!$B$3,TRUE(),IF(P250=Constants!$B$4,FALSE(),FALSE())))</f>
        <v/>
      </c>
      <c r="AR250" s="92" t="str">
        <f aca="false">IF(ISBLANK($C250),"",IF(Q250=Constants!$B$3,TRUE(),IF(Q250=Constants!$B$4,FALSE(),TRUE())))</f>
        <v/>
      </c>
      <c r="AS250" s="92" t="str">
        <f aca="false">IF(ISBLANK($C250),"",IF(R250=Constants!$B$3,TRUE(),IF(R250=Constants!$B$4,FALSE(),TRUE())))</f>
        <v/>
      </c>
      <c r="AT250" s="92" t="str">
        <f aca="false">IF(ISBLANK($C250),"",IF(S250=Constants!$B$5,TRUE(),IF(S250=Constants!$B$6,FALSE(),COUNTA(T250:X250)&gt;0)))</f>
        <v/>
      </c>
      <c r="AU250" s="94" t="str">
        <f aca="false">IF(ISBLANK($C250),"",IF(ISNUMBER(T250),IF(T250&gt;=0,T250,""),""))</f>
        <v/>
      </c>
      <c r="AV250" s="93" t="str">
        <f aca="false">IF(ISBLANK($C250),"",IF(ISNUMBER(U250),IF(U250&gt;=0,U250,""),""))</f>
        <v/>
      </c>
      <c r="AW250" s="93" t="str">
        <f aca="false">IF(ISBLANK($C250),"",IF(V250=Constants!$B$3,TRUE(),IF(V250=Constants!$B$4,FALSE(),TRUE())))</f>
        <v/>
      </c>
      <c r="AX250" s="92" t="str">
        <f aca="false">IF(ISBLANK($C250),"",IF(ISNUMBER(W250),IF(W250&gt;=0,W250,""),""))</f>
        <v/>
      </c>
      <c r="AY250" s="92" t="str">
        <f aca="false">IF(ISBLANK($C250),"",IF(X250=Constants!$B$3,TRUE(),IF(X250=Constants!$B$4,FALSE(),FALSE())))</f>
        <v/>
      </c>
      <c r="AZ250" s="92" t="str">
        <f aca="false">IF(ISBLANK($C250),"",MIN(Constants!$B$31,MAX(0,IF(ISNUMBER(Y250),Y250*60,0)+IF(ISNUMBER(Z250),Z250,0))))</f>
        <v/>
      </c>
      <c r="BA250" s="92" t="str">
        <f aca="false">IF(ISBLANK($C250),"",IF(AA250=Constants!$B$3,TRUE(),IF(AA250=Constants!$B$4,FALSE(),FALSE())))</f>
        <v/>
      </c>
      <c r="BB250" s="91" t="str">
        <f aca="false">IF(ISBLANK($C250),"",AND($AL250,OR($AM250="",$AN250="",AND($AO250,$AP250=""))))</f>
        <v/>
      </c>
      <c r="BC250" s="93" t="str">
        <f aca="false">IF($BR250&lt;&gt;Constants!$B$8,"",IF($AL250,Constants!$B$21*$AN250+Constants!$B$22*IF($AO250,$AP250,Constants!$B$23),Constants!$B$24))</f>
        <v/>
      </c>
      <c r="BD250" s="96" t="str">
        <f aca="false">IF($BR250&lt;&gt;Constants!$B$8,"",Constants!$B$25*ABS($AD$9-IF($AL250,$AM250,0)))</f>
        <v/>
      </c>
      <c r="BE250" s="96" t="str">
        <f aca="false">IF($BR250&lt;&gt;Constants!$B$8,"",IF(AND($AL250,$AQ250,$AO250),Constants!$B$27,0))</f>
        <v/>
      </c>
      <c r="BF250" s="96" t="str">
        <f aca="false">IF($BR250&lt;&gt;Constants!$B$8,"",IF($AL250,($AI250-Constants!$B$29)*Constants!$B$28,0))</f>
        <v/>
      </c>
      <c r="BG250" s="96" t="str">
        <f aca="false">IF($BR250&lt;&gt;Constants!$B$8,"",IF($AK250,0,Constants!$B$15)+IF($AJ250,0,Constants!$B$16)+IF($AH250,0,Constants!$B$17))</f>
        <v/>
      </c>
      <c r="BH250" s="97" t="str">
        <f aca="false">IF($BR250&lt;&gt;Constants!$B$8,"",Constants!$B$20+SUM($BC250:$BG250))</f>
        <v/>
      </c>
      <c r="BI250" s="92" t="str">
        <f aca="false">IF($BR250&lt;&gt;Constants!$B$8,"",IF(OR($BP250&lt;$BH250,AND($BP250=$BH250,OR($BK250&lt;$BC250,AND($BK250=$BC250,OR($BL250&lt;$BD250,AND($BL250=$BD250,$AT250,$AL250,$AV250&lt;$AN250)))))),"-&gt;","&lt;-"))</f>
        <v/>
      </c>
      <c r="BJ250" s="91" t="str">
        <f aca="false">IF(ISBLANK($C250),"",AND($AT250,OR($AU250="",$AV250="",AND($AW250,$AX250=""))))</f>
        <v/>
      </c>
      <c r="BK250" s="93" t="str">
        <f aca="false">IF($BR250&lt;&gt;Constants!$B$8,"",IF($AT250,Constants!$B$21*$AV250+Constants!$B$22*IF($AW250,$AX250,Constants!$B$23),Constants!$B$24))</f>
        <v/>
      </c>
      <c r="BL250" s="96" t="str">
        <f aca="false">IF($BR250&lt;&gt;Constants!$B$8,"",Constants!$B$25*ABS($AD$9-IF($AT250,$AU250,0)))</f>
        <v/>
      </c>
      <c r="BM250" s="96" t="str">
        <f aca="false">IF($BR250&lt;&gt;Constants!$B$8,"",IF(AND($AT250,$AY250,$AW250),Constants!$B$27,0))</f>
        <v/>
      </c>
      <c r="BN250" s="96" t="str">
        <f aca="false">IF($BR250&lt;&gt;Constants!$B$8,"",IF($AT250,($AI250-Constants!$B$29)*Constants!$B$28,0))</f>
        <v/>
      </c>
      <c r="BO250" s="96" t="str">
        <f aca="false">IF($BR250&lt;&gt;Constants!$B$8,"",IF($AS250,0,Constants!$B$15)+IF($AR250,0,Constants!$B$16)+IF($AH250,0,Constants!$B$17))</f>
        <v/>
      </c>
      <c r="BP250" s="97" t="str">
        <f aca="false">IF($BR250&lt;&gt;Constants!$B$8,"",Constants!$B$20+SUM($BK250:$BO250))</f>
        <v/>
      </c>
      <c r="BQ250" s="92" t="str">
        <f aca="false">IF(ISBLANK($C250),"",IF(ISBLANK($D$7),$BQ$5,IF(NOT(ISNUMBER($D$7)),$BQ$6,"")))</f>
        <v/>
      </c>
      <c r="BR250" s="92" t="str">
        <f aca="false">IF(ISBLANK($C250),"",IF($BA250,Constants!$B$11,IF(COUNTA($E250:$AA250)=0,Constants!$B$10,IF(NOT($AG250),Constants!$B$9,IF(OR($BQ250&lt;&gt;"",$BB250,$BJ250),Constants!$B$12,Constants!$B$8)))))</f>
        <v/>
      </c>
      <c r="BS250" s="92" t="str">
        <f aca="false">IF(ISBLANK($C250),"",IF($BR250&lt;&gt;Constants!$B$8,$BR250,Constants!$B$13))</f>
        <v/>
      </c>
      <c r="BT250" s="96" t="str">
        <f aca="false">IF($BR250&lt;&gt;Constants!$B$8,"",IF($BI250="-&gt;",$BP250,$BH250))</f>
        <v/>
      </c>
      <c r="BU250" s="96" t="str">
        <f aca="false">IF($BR250&lt;&gt;Constants!$B$8,"",IF($AF250,0,Constants!$B$18))</f>
        <v/>
      </c>
      <c r="BV250" s="96" t="str">
        <f aca="false">IF($BR250&lt;&gt;Constants!$B$8,"",((Constants!$B$31-$AZ250)-Constants!$B$31)/Constants!$B$32)</f>
        <v/>
      </c>
      <c r="BW250" s="96" t="str">
        <f aca="false">IF(ISBLANK($C250),"",IF($BR250&lt;&gt;Constants!$B$8,$BR250,SUM($BT250:$BV250)))</f>
        <v/>
      </c>
      <c r="BX250" s="92" t="str">
        <f aca="false">IF(ISBLANK($C250),"",IF($BR250&lt;&gt;Constants!$B$8,$BR250,RANK($BW250,$BW$9:$BW$508,1)))</f>
        <v/>
      </c>
      <c r="BY250" s="96" t="str">
        <f aca="false">IF($BR250&lt;&gt;Constants!$B$8,"",IF($BI250="-&gt;",$BK250,$BC250))</f>
        <v/>
      </c>
      <c r="BZ250" s="92" t="str">
        <f aca="false">IF(ISBLANK($C250),"",IF($BR250&lt;&gt;Constants!$B$8,$BR250,IF(ISNUMBER($BY250),RANK($BY250,$BY$9:$BY$508,1),COUNT($BY$9:$BY$508)+1)))</f>
        <v/>
      </c>
      <c r="CA250" s="96" t="str">
        <f aca="false">IF($BR250&lt;&gt;Constants!$B$8,"",IF($BI250="-&gt;",$BL250,$BD250))</f>
        <v/>
      </c>
      <c r="CB250" s="92" t="str">
        <f aca="false">IF(ISBLANK($C250),"",IF($BR250&lt;&gt;Constants!$B$8,$BR250,IF(ISNUMBER($CA250),RANK($CA250,$CA$9:$CA$508,1),COUNT($CA$9:$CA$508)+1)))</f>
        <v/>
      </c>
      <c r="CC250" s="96" t="str">
        <f aca="false">IF($BR250&lt;&gt;Constants!$B$8,"",IF($BI250="-&gt;",IF($AT250,$AV250,""),IF($AL250,$AN250,"")))</f>
        <v/>
      </c>
      <c r="CD250" s="92" t="str">
        <f aca="false">IF(ISBLANK($C250),"",IF($BR250&lt;&gt;Constants!$B$8,$BR250,IF(ISNUMBER($CC250),RANK($CC250,$CC$9:$CC$508,1),COUNT($CC$9:$CC$508)+1)))</f>
        <v/>
      </c>
      <c r="CE250" s="96" t="str">
        <f aca="false">IF($BR250&lt;&gt;Constants!$B$8,"",IF(AND(NOT($AL250),NOT($AT250),$AJ250,$AK250,$AR250,$AS250),"",$AI250))</f>
        <v/>
      </c>
      <c r="CF250" s="92" t="str">
        <f aca="false">IF(ISBLANK($C250),"",IF($BR250&lt;&gt;Constants!$B$8,$BR250,IF(ISNUMBER($CE250),RANK($CE250,$CE$9:$CE$508,1),COUNT($CE$9:$CE$508)+1)))</f>
        <v/>
      </c>
      <c r="CG250" s="92" t="str">
        <f aca="false">IF(ISBLANK($C250),"",IF($BR250&lt;&gt;Constants!$B$8,$BR250,COUNTIFS($BX$9:$BX$508,"&lt;"&amp;$BX250)+COUNTIFS($BX$9:$BX$508,$BX250,$BZ$9:$BZ$508,"&lt;"&amp;$BZ250)+COUNTIFS($BX$9:$BX$508,$BX250,$BZ$9:$BZ$508,$BZ250,$CB$9:$CB$508,"&lt;"&amp;$CB250)+COUNTIFS($BX$9:$BX$508,$BX250,$BZ$9:$BZ$508,$BZ250,$CB$9:$CB$508,$CB250,$CD$9:$CD$508,"&lt;"&amp;$CD250)+COUNTIFS($BX$9:$BX$508,$BX250,$BZ$9:$BZ$508,$BZ250,$CB$9:$CB$508,$CB250,$CD$9:$CD$508,$CD250,$CF$9:$CF$508,"&lt;"&amp;$CF250)+1))</f>
        <v/>
      </c>
      <c r="CH250" s="92" t="str">
        <f aca="false">IF(ISBLANK($C250),"",IF($BR250&lt;&gt;Constants!$B$8,$BR250,$BX250-$CG250))</f>
        <v/>
      </c>
      <c r="CI250" s="98"/>
      <c r="CJ250" s="99"/>
      <c r="CK250" s="100" t="str">
        <f aca="false">IF(ISBLANK($C250),"",IF($BR250=Constants!$B$12,$BQ250,""))</f>
        <v/>
      </c>
      <c r="CL250" s="99" t="str">
        <f aca="false">IF(ISBLANK($C250),"",IF($BR250&lt;&gt;Constants!$B$8,"",IF($BI250="-&gt;",2,1)))</f>
        <v/>
      </c>
      <c r="CM250" s="101" t="str">
        <f aca="false">IF(ISBLANK($C250),"",IF($BR250&lt;&gt;Constants!$B$8,"",IF($BI250="-&gt;",$BK250,$BC250)))</f>
        <v/>
      </c>
      <c r="CN250" s="101" t="str">
        <f aca="false">IF(ISBLANK($C250),"",IF($BR250&lt;&gt;Constants!$B$8,"",IF($BI250="-&gt;",$BL250,$BD250)))</f>
        <v/>
      </c>
      <c r="CO250" s="101" t="str">
        <f aca="false">IF(ISBLANK($C250),"",IF($BR250&lt;&gt;Constants!$B$8,"",IF($BI250="-&gt;",$BM250+$BN250,$BE250+$BF250)+$BV250))</f>
        <v/>
      </c>
      <c r="CP250" s="101" t="str">
        <f aca="false">IF(ISBLANK($C250),"",IF($BR250&lt;&gt;Constants!$B$8,"",IF($BI250="-&gt;",$BO250,$BG250)+$BU250))</f>
        <v/>
      </c>
      <c r="CQ250" s="102" t="str">
        <f aca="false">IF(ISBLANK($C250),"",IF($BR250&lt;&gt;Constants!$B$8,$BR250,$BW250))</f>
        <v/>
      </c>
      <c r="CR250" s="103" t="str">
        <f aca="false">IF(ISBLANK($C250),"",$BS250)</f>
        <v/>
      </c>
      <c r="CS250" s="104" t="str">
        <f aca="false">IF(ISBLANK($C250),"",$CH250)</f>
        <v/>
      </c>
      <c r="CT250" s="104" t="str">
        <f aca="false">IF(ISBLANK($C250),"",$CG250)</f>
        <v/>
      </c>
      <c r="CU250" s="105" t="str">
        <f aca="false">IF(ISBLANK($C250),"",IFERROR(_xlfn.SWITCH($CT250,Constants!$B$11,COUNTA($C$9:$C$508)+2,Constants!$B$10,COUNTA($C$9:$C$508)+1,Constants!$B$9,COUNTA($C$9:$C$508)),$CT250))</f>
        <v/>
      </c>
      <c r="CV250" s="9"/>
      <c r="CW250" s="106" t="n">
        <f aca="false">IF(OR(ISNUMBER($CT250),$CT250=Constants!$B$11,$CT250=Constants!$B$9,$CT250=Constants!$B$10),1,0)</f>
        <v>0</v>
      </c>
      <c r="CX250" s="106" t="n">
        <v>242</v>
      </c>
      <c r="CY250" s="106" t="str">
        <f aca="false">IF(ISBLANK($C250),"",IF(ISNUMBER($CU250),$CU250+ROW($B250)/1000,""))</f>
        <v/>
      </c>
      <c r="CZ250" s="106" t="str">
        <f aca="false">IF(ISNUMBER($CY250),RANK($CY250,$CY$9:$CY$508,1),"")</f>
        <v/>
      </c>
      <c r="DA250" s="106" t="str">
        <f aca="false">IF(ISBLANK($C250),"",$B250)</f>
        <v/>
      </c>
      <c r="DB250" s="106" t="str">
        <f aca="false">IF(ISBLANK($C250),"",$C250)</f>
        <v/>
      </c>
      <c r="DC250" s="106" t="str">
        <f aca="false">IF(ISBLANK($C250),"",$D250)</f>
        <v/>
      </c>
      <c r="DD250" s="107" t="str">
        <f aca="false">$CR250</f>
        <v/>
      </c>
      <c r="DE250" s="108" t="str">
        <f aca="false">$CQ250</f>
        <v/>
      </c>
      <c r="DF250" s="106" t="str">
        <f aca="false">IF(ISBLANK($C250),"",$CT250)</f>
        <v/>
      </c>
      <c r="DG250" s="109" t="str">
        <f aca="false">IF($CX250&gt;$CW$8,"",VLOOKUP($CX250,$CZ$9:$DF$508,7,FALSE()))</f>
        <v/>
      </c>
      <c r="DH250" s="110" t="str">
        <f aca="false">IF($CX250&gt;$CW$8,"",VLOOKUP($CX250,$CZ$9:$DF$508,2,FALSE()))</f>
        <v/>
      </c>
      <c r="DI250" s="110" t="str">
        <f aca="false">IF($CX250&gt;$CW$8,"",VLOOKUP($CX250,$CZ$9:$DF$508,3,FALSE()))</f>
        <v/>
      </c>
      <c r="DJ250" s="110" t="str">
        <f aca="false">IF($CX250&gt;$CW$8,"",VLOOKUP($CX250,$CZ$9:$DF$508,4,FALSE()))</f>
        <v/>
      </c>
      <c r="DK250" s="110" t="str">
        <f aca="false">IF($CX250&gt;$CW$8,"",VLOOKUP($CX250,$CZ$9:$DF$508,5,FALSE()))</f>
        <v/>
      </c>
      <c r="DL250" s="111" t="str">
        <f aca="false">IF($CX250&gt;$CW$8,"",VLOOKUP($CX250,$CZ$9:$DF$508,6,FALSE()))</f>
        <v/>
      </c>
      <c r="DM250" s="75"/>
    </row>
    <row r="251" customFormat="false" ht="15.75" hidden="false" customHeight="false" outlineLevel="0" collapsed="false">
      <c r="A251" s="9"/>
      <c r="B251" s="77"/>
      <c r="C251" s="78"/>
      <c r="D251" s="167"/>
      <c r="E251" s="175"/>
      <c r="F251" s="169"/>
      <c r="G251" s="170"/>
      <c r="H251" s="170"/>
      <c r="I251" s="176"/>
      <c r="J251" s="173"/>
      <c r="K251" s="85"/>
      <c r="L251" s="86"/>
      <c r="M251" s="87"/>
      <c r="N251" s="173"/>
      <c r="O251" s="173"/>
      <c r="P251" s="175"/>
      <c r="Q251" s="173"/>
      <c r="R251" s="173"/>
      <c r="S251" s="85"/>
      <c r="T251" s="87"/>
      <c r="U251" s="87"/>
      <c r="V251" s="173"/>
      <c r="W251" s="173"/>
      <c r="X251" s="175"/>
      <c r="Y251" s="173"/>
      <c r="Z251" s="174"/>
      <c r="AA251" s="173"/>
      <c r="AB251" s="91"/>
      <c r="AC251" s="92"/>
      <c r="AD251" s="92"/>
      <c r="AE251" s="92"/>
      <c r="AF251" s="92" t="str">
        <f aca="false">IF(ISBLANK($C251),"",IF(E251=Constants!$B$3,TRUE(),IF(E251=Constants!$B$4,FALSE(),TRUE())))</f>
        <v/>
      </c>
      <c r="AG251" s="92" t="str">
        <f aca="false">IF(ISBLANK($C251),"",IF(F251=Constants!$B$3,TRUE(),IF(F251=Constants!$B$4,FALSE(),TRUE())))</f>
        <v/>
      </c>
      <c r="AH251" s="92" t="str">
        <f aca="false">IF(ISBLANK($C251),"",IF(G251=Constants!$B$3,TRUE(),IF(G251=Constants!$B$4,FALSE(),TRUE())))</f>
        <v/>
      </c>
      <c r="AI251" s="92" t="str">
        <f aca="false">IF(ISBLANK($C251),"",IF(AND(ISNUMBER(H251),H251&gt;=0),H251,Constants!$B$29))</f>
        <v/>
      </c>
      <c r="AJ251" s="92" t="str">
        <f aca="false">IF(ISBLANK($C251),"",IF(I251=Constants!$B$3,TRUE(),IF(I251=Constants!$B$4,FALSE(),TRUE())))</f>
        <v/>
      </c>
      <c r="AK251" s="92" t="str">
        <f aca="false">IF(ISBLANK($C251),"",IF(J251=Constants!$B$3,TRUE(),IF(J251=Constants!$B$4,FALSE(),TRUE())))</f>
        <v/>
      </c>
      <c r="AL251" s="92" t="str">
        <f aca="false">IF(ISBLANK($C251),"",IF(K251=Constants!$B$5,TRUE(),IF(K251=Constants!$B$6,FALSE(),COUNTA(L251:P251)&gt;0)))</f>
        <v/>
      </c>
      <c r="AM251" s="94" t="str">
        <f aca="false">IF(ISBLANK($C251),"",IF(ISNUMBER(L251),IF(L251&gt;=0,L251,""),""))</f>
        <v/>
      </c>
      <c r="AN251" s="93" t="str">
        <f aca="false">IF(ISBLANK($C251),"",IF(ISNUMBER(M251),IF(M251&gt;=0,M251,""),""))</f>
        <v/>
      </c>
      <c r="AO251" s="93" t="str">
        <f aca="false">IF(ISBLANK($C251),"",IF(N251=Constants!$B$3,TRUE(),IF(N251=Constants!$B$4,FALSE(),TRUE())))</f>
        <v/>
      </c>
      <c r="AP251" s="92" t="str">
        <f aca="false">IF(ISBLANK($C251),"",IF(ISNUMBER(O251),IF(O251&gt;=0,O251,""),""))</f>
        <v/>
      </c>
      <c r="AQ251" s="92" t="str">
        <f aca="false">IF(ISBLANK($C251),"",IF(P251=Constants!$B$3,TRUE(),IF(P251=Constants!$B$4,FALSE(),FALSE())))</f>
        <v/>
      </c>
      <c r="AR251" s="92" t="str">
        <f aca="false">IF(ISBLANK($C251),"",IF(Q251=Constants!$B$3,TRUE(),IF(Q251=Constants!$B$4,FALSE(),TRUE())))</f>
        <v/>
      </c>
      <c r="AS251" s="92" t="str">
        <f aca="false">IF(ISBLANK($C251),"",IF(R251=Constants!$B$3,TRUE(),IF(R251=Constants!$B$4,FALSE(),TRUE())))</f>
        <v/>
      </c>
      <c r="AT251" s="92" t="str">
        <f aca="false">IF(ISBLANK($C251),"",IF(S251=Constants!$B$5,TRUE(),IF(S251=Constants!$B$6,FALSE(),COUNTA(T251:X251)&gt;0)))</f>
        <v/>
      </c>
      <c r="AU251" s="94" t="str">
        <f aca="false">IF(ISBLANK($C251),"",IF(ISNUMBER(T251),IF(T251&gt;=0,T251,""),""))</f>
        <v/>
      </c>
      <c r="AV251" s="93" t="str">
        <f aca="false">IF(ISBLANK($C251),"",IF(ISNUMBER(U251),IF(U251&gt;=0,U251,""),""))</f>
        <v/>
      </c>
      <c r="AW251" s="93" t="str">
        <f aca="false">IF(ISBLANK($C251),"",IF(V251=Constants!$B$3,TRUE(),IF(V251=Constants!$B$4,FALSE(),TRUE())))</f>
        <v/>
      </c>
      <c r="AX251" s="92" t="str">
        <f aca="false">IF(ISBLANK($C251),"",IF(ISNUMBER(W251),IF(W251&gt;=0,W251,""),""))</f>
        <v/>
      </c>
      <c r="AY251" s="92" t="str">
        <f aca="false">IF(ISBLANK($C251),"",IF(X251=Constants!$B$3,TRUE(),IF(X251=Constants!$B$4,FALSE(),FALSE())))</f>
        <v/>
      </c>
      <c r="AZ251" s="92" t="str">
        <f aca="false">IF(ISBLANK($C251),"",MIN(Constants!$B$31,MAX(0,IF(ISNUMBER(Y251),Y251*60,0)+IF(ISNUMBER(Z251),Z251,0))))</f>
        <v/>
      </c>
      <c r="BA251" s="92" t="str">
        <f aca="false">IF(ISBLANK($C251),"",IF(AA251=Constants!$B$3,TRUE(),IF(AA251=Constants!$B$4,FALSE(),FALSE())))</f>
        <v/>
      </c>
      <c r="BB251" s="91" t="str">
        <f aca="false">IF(ISBLANK($C251),"",AND($AL251,OR($AM251="",$AN251="",AND($AO251,$AP251=""))))</f>
        <v/>
      </c>
      <c r="BC251" s="93" t="str">
        <f aca="false">IF($BR251&lt;&gt;Constants!$B$8,"",IF($AL251,Constants!$B$21*$AN251+Constants!$B$22*IF($AO251,$AP251,Constants!$B$23),Constants!$B$24))</f>
        <v/>
      </c>
      <c r="BD251" s="96" t="str">
        <f aca="false">IF($BR251&lt;&gt;Constants!$B$8,"",Constants!$B$25*ABS($AD$9-IF($AL251,$AM251,0)))</f>
        <v/>
      </c>
      <c r="BE251" s="96" t="str">
        <f aca="false">IF($BR251&lt;&gt;Constants!$B$8,"",IF(AND($AL251,$AQ251,$AO251),Constants!$B$27,0))</f>
        <v/>
      </c>
      <c r="BF251" s="96" t="str">
        <f aca="false">IF($BR251&lt;&gt;Constants!$B$8,"",IF($AL251,($AI251-Constants!$B$29)*Constants!$B$28,0))</f>
        <v/>
      </c>
      <c r="BG251" s="96" t="str">
        <f aca="false">IF($BR251&lt;&gt;Constants!$B$8,"",IF($AK251,0,Constants!$B$15)+IF($AJ251,0,Constants!$B$16)+IF($AH251,0,Constants!$B$17))</f>
        <v/>
      </c>
      <c r="BH251" s="97" t="str">
        <f aca="false">IF($BR251&lt;&gt;Constants!$B$8,"",Constants!$B$20+SUM($BC251:$BG251))</f>
        <v/>
      </c>
      <c r="BI251" s="92" t="str">
        <f aca="false">IF($BR251&lt;&gt;Constants!$B$8,"",IF(OR($BP251&lt;$BH251,AND($BP251=$BH251,OR($BK251&lt;$BC251,AND($BK251=$BC251,OR($BL251&lt;$BD251,AND($BL251=$BD251,$AT251,$AL251,$AV251&lt;$AN251)))))),"-&gt;","&lt;-"))</f>
        <v/>
      </c>
      <c r="BJ251" s="91" t="str">
        <f aca="false">IF(ISBLANK($C251),"",AND($AT251,OR($AU251="",$AV251="",AND($AW251,$AX251=""))))</f>
        <v/>
      </c>
      <c r="BK251" s="93" t="str">
        <f aca="false">IF($BR251&lt;&gt;Constants!$B$8,"",IF($AT251,Constants!$B$21*$AV251+Constants!$B$22*IF($AW251,$AX251,Constants!$B$23),Constants!$B$24))</f>
        <v/>
      </c>
      <c r="BL251" s="96" t="str">
        <f aca="false">IF($BR251&lt;&gt;Constants!$B$8,"",Constants!$B$25*ABS($AD$9-IF($AT251,$AU251,0)))</f>
        <v/>
      </c>
      <c r="BM251" s="96" t="str">
        <f aca="false">IF($BR251&lt;&gt;Constants!$B$8,"",IF(AND($AT251,$AY251,$AW251),Constants!$B$27,0))</f>
        <v/>
      </c>
      <c r="BN251" s="96" t="str">
        <f aca="false">IF($BR251&lt;&gt;Constants!$B$8,"",IF($AT251,($AI251-Constants!$B$29)*Constants!$B$28,0))</f>
        <v/>
      </c>
      <c r="BO251" s="96" t="str">
        <f aca="false">IF($BR251&lt;&gt;Constants!$B$8,"",IF($AS251,0,Constants!$B$15)+IF($AR251,0,Constants!$B$16)+IF($AH251,0,Constants!$B$17))</f>
        <v/>
      </c>
      <c r="BP251" s="97" t="str">
        <f aca="false">IF($BR251&lt;&gt;Constants!$B$8,"",Constants!$B$20+SUM($BK251:$BO251))</f>
        <v/>
      </c>
      <c r="BQ251" s="92" t="str">
        <f aca="false">IF(ISBLANK($C251),"",IF(ISBLANK($D$7),$BQ$5,IF(NOT(ISNUMBER($D$7)),$BQ$6,"")))</f>
        <v/>
      </c>
      <c r="BR251" s="92" t="str">
        <f aca="false">IF(ISBLANK($C251),"",IF($BA251,Constants!$B$11,IF(COUNTA($E251:$AA251)=0,Constants!$B$10,IF(NOT($AG251),Constants!$B$9,IF(OR($BQ251&lt;&gt;"",$BB251,$BJ251),Constants!$B$12,Constants!$B$8)))))</f>
        <v/>
      </c>
      <c r="BS251" s="92" t="str">
        <f aca="false">IF(ISBLANK($C251),"",IF($BR251&lt;&gt;Constants!$B$8,$BR251,Constants!$B$13))</f>
        <v/>
      </c>
      <c r="BT251" s="96" t="str">
        <f aca="false">IF($BR251&lt;&gt;Constants!$B$8,"",IF($BI251="-&gt;",$BP251,$BH251))</f>
        <v/>
      </c>
      <c r="BU251" s="96" t="str">
        <f aca="false">IF($BR251&lt;&gt;Constants!$B$8,"",IF($AF251,0,Constants!$B$18))</f>
        <v/>
      </c>
      <c r="BV251" s="96" t="str">
        <f aca="false">IF($BR251&lt;&gt;Constants!$B$8,"",((Constants!$B$31-$AZ251)-Constants!$B$31)/Constants!$B$32)</f>
        <v/>
      </c>
      <c r="BW251" s="96" t="str">
        <f aca="false">IF(ISBLANK($C251),"",IF($BR251&lt;&gt;Constants!$B$8,$BR251,SUM($BT251:$BV251)))</f>
        <v/>
      </c>
      <c r="BX251" s="92" t="str">
        <f aca="false">IF(ISBLANK($C251),"",IF($BR251&lt;&gt;Constants!$B$8,$BR251,RANK($BW251,$BW$9:$BW$508,1)))</f>
        <v/>
      </c>
      <c r="BY251" s="96" t="str">
        <f aca="false">IF($BR251&lt;&gt;Constants!$B$8,"",IF($BI251="-&gt;",$BK251,$BC251))</f>
        <v/>
      </c>
      <c r="BZ251" s="92" t="str">
        <f aca="false">IF(ISBLANK($C251),"",IF($BR251&lt;&gt;Constants!$B$8,$BR251,IF(ISNUMBER($BY251),RANK($BY251,$BY$9:$BY$508,1),COUNT($BY$9:$BY$508)+1)))</f>
        <v/>
      </c>
      <c r="CA251" s="96" t="str">
        <f aca="false">IF($BR251&lt;&gt;Constants!$B$8,"",IF($BI251="-&gt;",$BL251,$BD251))</f>
        <v/>
      </c>
      <c r="CB251" s="92" t="str">
        <f aca="false">IF(ISBLANK($C251),"",IF($BR251&lt;&gt;Constants!$B$8,$BR251,IF(ISNUMBER($CA251),RANK($CA251,$CA$9:$CA$508,1),COUNT($CA$9:$CA$508)+1)))</f>
        <v/>
      </c>
      <c r="CC251" s="96" t="str">
        <f aca="false">IF($BR251&lt;&gt;Constants!$B$8,"",IF($BI251="-&gt;",IF($AT251,$AV251,""),IF($AL251,$AN251,"")))</f>
        <v/>
      </c>
      <c r="CD251" s="92" t="str">
        <f aca="false">IF(ISBLANK($C251),"",IF($BR251&lt;&gt;Constants!$B$8,$BR251,IF(ISNUMBER($CC251),RANK($CC251,$CC$9:$CC$508,1),COUNT($CC$9:$CC$508)+1)))</f>
        <v/>
      </c>
      <c r="CE251" s="96" t="str">
        <f aca="false">IF($BR251&lt;&gt;Constants!$B$8,"",IF(AND(NOT($AL251),NOT($AT251),$AJ251,$AK251,$AR251,$AS251),"",$AI251))</f>
        <v/>
      </c>
      <c r="CF251" s="92" t="str">
        <f aca="false">IF(ISBLANK($C251),"",IF($BR251&lt;&gt;Constants!$B$8,$BR251,IF(ISNUMBER($CE251),RANK($CE251,$CE$9:$CE$508,1),COUNT($CE$9:$CE$508)+1)))</f>
        <v/>
      </c>
      <c r="CG251" s="92" t="str">
        <f aca="false">IF(ISBLANK($C251),"",IF($BR251&lt;&gt;Constants!$B$8,$BR251,COUNTIFS($BX$9:$BX$508,"&lt;"&amp;$BX251)+COUNTIFS($BX$9:$BX$508,$BX251,$BZ$9:$BZ$508,"&lt;"&amp;$BZ251)+COUNTIFS($BX$9:$BX$508,$BX251,$BZ$9:$BZ$508,$BZ251,$CB$9:$CB$508,"&lt;"&amp;$CB251)+COUNTIFS($BX$9:$BX$508,$BX251,$BZ$9:$BZ$508,$BZ251,$CB$9:$CB$508,$CB251,$CD$9:$CD$508,"&lt;"&amp;$CD251)+COUNTIFS($BX$9:$BX$508,$BX251,$BZ$9:$BZ$508,$BZ251,$CB$9:$CB$508,$CB251,$CD$9:$CD$508,$CD251,$CF$9:$CF$508,"&lt;"&amp;$CF251)+1))</f>
        <v/>
      </c>
      <c r="CH251" s="92" t="str">
        <f aca="false">IF(ISBLANK($C251),"",IF($BR251&lt;&gt;Constants!$B$8,$BR251,$BX251-$CG251))</f>
        <v/>
      </c>
      <c r="CI251" s="98"/>
      <c r="CJ251" s="99"/>
      <c r="CK251" s="100" t="str">
        <f aca="false">IF(ISBLANK($C251),"",IF($BR251=Constants!$B$12,$BQ251,""))</f>
        <v/>
      </c>
      <c r="CL251" s="99" t="str">
        <f aca="false">IF(ISBLANK($C251),"",IF($BR251&lt;&gt;Constants!$B$8,"",IF($BI251="-&gt;",2,1)))</f>
        <v/>
      </c>
      <c r="CM251" s="101" t="str">
        <f aca="false">IF(ISBLANK($C251),"",IF($BR251&lt;&gt;Constants!$B$8,"",IF($BI251="-&gt;",$BK251,$BC251)))</f>
        <v/>
      </c>
      <c r="CN251" s="101" t="str">
        <f aca="false">IF(ISBLANK($C251),"",IF($BR251&lt;&gt;Constants!$B$8,"",IF($BI251="-&gt;",$BL251,$BD251)))</f>
        <v/>
      </c>
      <c r="CO251" s="101" t="str">
        <f aca="false">IF(ISBLANK($C251),"",IF($BR251&lt;&gt;Constants!$B$8,"",IF($BI251="-&gt;",$BM251+$BN251,$BE251+$BF251)+$BV251))</f>
        <v/>
      </c>
      <c r="CP251" s="101" t="str">
        <f aca="false">IF(ISBLANK($C251),"",IF($BR251&lt;&gt;Constants!$B$8,"",IF($BI251="-&gt;",$BO251,$BG251)+$BU251))</f>
        <v/>
      </c>
      <c r="CQ251" s="102" t="str">
        <f aca="false">IF(ISBLANK($C251),"",IF($BR251&lt;&gt;Constants!$B$8,$BR251,$BW251))</f>
        <v/>
      </c>
      <c r="CR251" s="103" t="str">
        <f aca="false">IF(ISBLANK($C251),"",$BS251)</f>
        <v/>
      </c>
      <c r="CS251" s="104" t="str">
        <f aca="false">IF(ISBLANK($C251),"",$CH251)</f>
        <v/>
      </c>
      <c r="CT251" s="104" t="str">
        <f aca="false">IF(ISBLANK($C251),"",$CG251)</f>
        <v/>
      </c>
      <c r="CU251" s="105" t="str">
        <f aca="false">IF(ISBLANK($C251),"",IFERROR(_xlfn.SWITCH($CT251,Constants!$B$11,COUNTA($C$9:$C$508)+2,Constants!$B$10,COUNTA($C$9:$C$508)+1,Constants!$B$9,COUNTA($C$9:$C$508)),$CT251))</f>
        <v/>
      </c>
      <c r="CV251" s="9"/>
      <c r="CW251" s="106" t="n">
        <f aca="false">IF(OR(ISNUMBER($CT251),$CT251=Constants!$B$11,$CT251=Constants!$B$9,$CT251=Constants!$B$10),1,0)</f>
        <v>0</v>
      </c>
      <c r="CX251" s="106" t="n">
        <v>243</v>
      </c>
      <c r="CY251" s="106" t="str">
        <f aca="false">IF(ISBLANK($C251),"",IF(ISNUMBER($CU251),$CU251+ROW($B251)/1000,""))</f>
        <v/>
      </c>
      <c r="CZ251" s="106" t="str">
        <f aca="false">IF(ISNUMBER($CY251),RANK($CY251,$CY$9:$CY$508,1),"")</f>
        <v/>
      </c>
      <c r="DA251" s="106" t="str">
        <f aca="false">IF(ISBLANK($C251),"",$B251)</f>
        <v/>
      </c>
      <c r="DB251" s="106" t="str">
        <f aca="false">IF(ISBLANK($C251),"",$C251)</f>
        <v/>
      </c>
      <c r="DC251" s="106" t="str">
        <f aca="false">IF(ISBLANK($C251),"",$D251)</f>
        <v/>
      </c>
      <c r="DD251" s="107" t="str">
        <f aca="false">$CR251</f>
        <v/>
      </c>
      <c r="DE251" s="108" t="str">
        <f aca="false">$CQ251</f>
        <v/>
      </c>
      <c r="DF251" s="106" t="str">
        <f aca="false">IF(ISBLANK($C251),"",$CT251)</f>
        <v/>
      </c>
      <c r="DG251" s="109" t="str">
        <f aca="false">IF($CX251&gt;$CW$8,"",VLOOKUP($CX251,$CZ$9:$DF$508,7,FALSE()))</f>
        <v/>
      </c>
      <c r="DH251" s="110" t="str">
        <f aca="false">IF($CX251&gt;$CW$8,"",VLOOKUP($CX251,$CZ$9:$DF$508,2,FALSE()))</f>
        <v/>
      </c>
      <c r="DI251" s="110" t="str">
        <f aca="false">IF($CX251&gt;$CW$8,"",VLOOKUP($CX251,$CZ$9:$DF$508,3,FALSE()))</f>
        <v/>
      </c>
      <c r="DJ251" s="110" t="str">
        <f aca="false">IF($CX251&gt;$CW$8,"",VLOOKUP($CX251,$CZ$9:$DF$508,4,FALSE()))</f>
        <v/>
      </c>
      <c r="DK251" s="110" t="str">
        <f aca="false">IF($CX251&gt;$CW$8,"",VLOOKUP($CX251,$CZ$9:$DF$508,5,FALSE()))</f>
        <v/>
      </c>
      <c r="DL251" s="111" t="str">
        <f aca="false">IF($CX251&gt;$CW$8,"",VLOOKUP($CX251,$CZ$9:$DF$508,6,FALSE()))</f>
        <v/>
      </c>
      <c r="DM251" s="75"/>
    </row>
    <row r="252" customFormat="false" ht="15.75" hidden="false" customHeight="false" outlineLevel="0" collapsed="false">
      <c r="A252" s="9"/>
      <c r="B252" s="157"/>
      <c r="C252" s="158"/>
      <c r="D252" s="159"/>
      <c r="E252" s="177"/>
      <c r="F252" s="161"/>
      <c r="G252" s="162"/>
      <c r="H252" s="162"/>
      <c r="I252" s="178"/>
      <c r="J252" s="165"/>
      <c r="K252" s="126"/>
      <c r="L252" s="127"/>
      <c r="M252" s="128"/>
      <c r="N252" s="165"/>
      <c r="O252" s="165"/>
      <c r="P252" s="177"/>
      <c r="Q252" s="165"/>
      <c r="R252" s="165"/>
      <c r="S252" s="126"/>
      <c r="T252" s="128"/>
      <c r="U252" s="128"/>
      <c r="V252" s="165"/>
      <c r="W252" s="165"/>
      <c r="X252" s="177"/>
      <c r="Y252" s="165"/>
      <c r="Z252" s="166"/>
      <c r="AA252" s="165"/>
      <c r="AB252" s="132"/>
      <c r="AC252" s="133"/>
      <c r="AD252" s="133"/>
      <c r="AE252" s="133"/>
      <c r="AF252" s="133" t="str">
        <f aca="false">IF(ISBLANK($C252),"",IF(E252=Constants!$B$3,TRUE(),IF(E252=Constants!$B$4,FALSE(),TRUE())))</f>
        <v/>
      </c>
      <c r="AG252" s="133" t="str">
        <f aca="false">IF(ISBLANK($C252),"",IF(F252=Constants!$B$3,TRUE(),IF(F252=Constants!$B$4,FALSE(),TRUE())))</f>
        <v/>
      </c>
      <c r="AH252" s="133" t="str">
        <f aca="false">IF(ISBLANK($C252),"",IF(G252=Constants!$B$3,TRUE(),IF(G252=Constants!$B$4,FALSE(),TRUE())))</f>
        <v/>
      </c>
      <c r="AI252" s="133" t="str">
        <f aca="false">IF(ISBLANK($C252),"",IF(AND(ISNUMBER(H252),H252&gt;=0),H252,Constants!$B$29))</f>
        <v/>
      </c>
      <c r="AJ252" s="133" t="str">
        <f aca="false">IF(ISBLANK($C252),"",IF(I252=Constants!$B$3,TRUE(),IF(I252=Constants!$B$4,FALSE(),TRUE())))</f>
        <v/>
      </c>
      <c r="AK252" s="133" t="str">
        <f aca="false">IF(ISBLANK($C252),"",IF(J252=Constants!$B$3,TRUE(),IF(J252=Constants!$B$4,FALSE(),TRUE())))</f>
        <v/>
      </c>
      <c r="AL252" s="133" t="str">
        <f aca="false">IF(ISBLANK($C252),"",IF(K252=Constants!$B$5,TRUE(),IF(K252=Constants!$B$6,FALSE(),COUNTA(L252:P252)&gt;0)))</f>
        <v/>
      </c>
      <c r="AM252" s="134" t="str">
        <f aca="false">IF(ISBLANK($C252),"",IF(ISNUMBER(L252),IF(L252&gt;=0,L252,""),""))</f>
        <v/>
      </c>
      <c r="AN252" s="135" t="str">
        <f aca="false">IF(ISBLANK($C252),"",IF(ISNUMBER(M252),IF(M252&gt;=0,M252,""),""))</f>
        <v/>
      </c>
      <c r="AO252" s="135" t="str">
        <f aca="false">IF(ISBLANK($C252),"",IF(N252=Constants!$B$3,TRUE(),IF(N252=Constants!$B$4,FALSE(),TRUE())))</f>
        <v/>
      </c>
      <c r="AP252" s="133" t="str">
        <f aca="false">IF(ISBLANK($C252),"",IF(ISNUMBER(O252),IF(O252&gt;=0,O252,""),""))</f>
        <v/>
      </c>
      <c r="AQ252" s="133" t="str">
        <f aca="false">IF(ISBLANK($C252),"",IF(P252=Constants!$B$3,TRUE(),IF(P252=Constants!$B$4,FALSE(),FALSE())))</f>
        <v/>
      </c>
      <c r="AR252" s="133" t="str">
        <f aca="false">IF(ISBLANK($C252),"",IF(Q252=Constants!$B$3,TRUE(),IF(Q252=Constants!$B$4,FALSE(),TRUE())))</f>
        <v/>
      </c>
      <c r="AS252" s="133" t="str">
        <f aca="false">IF(ISBLANK($C252),"",IF(R252=Constants!$B$3,TRUE(),IF(R252=Constants!$B$4,FALSE(),TRUE())))</f>
        <v/>
      </c>
      <c r="AT252" s="133" t="str">
        <f aca="false">IF(ISBLANK($C252),"",IF(S252=Constants!$B$5,TRUE(),IF(S252=Constants!$B$6,FALSE(),COUNTA(T252:X252)&gt;0)))</f>
        <v/>
      </c>
      <c r="AU252" s="134" t="str">
        <f aca="false">IF(ISBLANK($C252),"",IF(ISNUMBER(T252),IF(T252&gt;=0,T252,""),""))</f>
        <v/>
      </c>
      <c r="AV252" s="135" t="str">
        <f aca="false">IF(ISBLANK($C252),"",IF(ISNUMBER(U252),IF(U252&gt;=0,U252,""),""))</f>
        <v/>
      </c>
      <c r="AW252" s="135" t="str">
        <f aca="false">IF(ISBLANK($C252),"",IF(V252=Constants!$B$3,TRUE(),IF(V252=Constants!$B$4,FALSE(),TRUE())))</f>
        <v/>
      </c>
      <c r="AX252" s="133" t="str">
        <f aca="false">IF(ISBLANK($C252),"",IF(ISNUMBER(W252),IF(W252&gt;=0,W252,""),""))</f>
        <v/>
      </c>
      <c r="AY252" s="133" t="str">
        <f aca="false">IF(ISBLANK($C252),"",IF(X252=Constants!$B$3,TRUE(),IF(X252=Constants!$B$4,FALSE(),FALSE())))</f>
        <v/>
      </c>
      <c r="AZ252" s="133" t="str">
        <f aca="false">IF(ISBLANK($C252),"",MIN(Constants!$B$31,MAX(0,IF(ISNUMBER(Y252),Y252*60,0)+IF(ISNUMBER(Z252),Z252,0))))</f>
        <v/>
      </c>
      <c r="BA252" s="133" t="str">
        <f aca="false">IF(ISBLANK($C252),"",IF(AA252=Constants!$B$3,TRUE(),IF(AA252=Constants!$B$4,FALSE(),FALSE())))</f>
        <v/>
      </c>
      <c r="BB252" s="132" t="str">
        <f aca="false">IF(ISBLANK($C252),"",AND($AL252,OR($AM252="",$AN252="",AND($AO252,$AP252=""))))</f>
        <v/>
      </c>
      <c r="BC252" s="135" t="str">
        <f aca="false">IF($BR252&lt;&gt;Constants!$B$8,"",IF($AL252,Constants!$B$21*$AN252+Constants!$B$22*IF($AO252,$AP252,Constants!$B$23),Constants!$B$24))</f>
        <v/>
      </c>
      <c r="BD252" s="136" t="str">
        <f aca="false">IF($BR252&lt;&gt;Constants!$B$8,"",Constants!$B$25*ABS($AD$9-IF($AL252,$AM252,0)))</f>
        <v/>
      </c>
      <c r="BE252" s="136" t="str">
        <f aca="false">IF($BR252&lt;&gt;Constants!$B$8,"",IF(AND($AL252,$AQ252,$AO252),Constants!$B$27,0))</f>
        <v/>
      </c>
      <c r="BF252" s="136" t="str">
        <f aca="false">IF($BR252&lt;&gt;Constants!$B$8,"",IF($AL252,($AI252-Constants!$B$29)*Constants!$B$28,0))</f>
        <v/>
      </c>
      <c r="BG252" s="136" t="str">
        <f aca="false">IF($BR252&lt;&gt;Constants!$B$8,"",IF($AK252,0,Constants!$B$15)+IF($AJ252,0,Constants!$B$16)+IF($AH252,0,Constants!$B$17))</f>
        <v/>
      </c>
      <c r="BH252" s="137" t="str">
        <f aca="false">IF($BR252&lt;&gt;Constants!$B$8,"",Constants!$B$20+SUM($BC252:$BG252))</f>
        <v/>
      </c>
      <c r="BI252" s="133" t="str">
        <f aca="false">IF($BR252&lt;&gt;Constants!$B$8,"",IF(OR($BP252&lt;$BH252,AND($BP252=$BH252,OR($BK252&lt;$BC252,AND($BK252=$BC252,OR($BL252&lt;$BD252,AND($BL252=$BD252,$AT252,$AL252,$AV252&lt;$AN252)))))),"-&gt;","&lt;-"))</f>
        <v/>
      </c>
      <c r="BJ252" s="132" t="str">
        <f aca="false">IF(ISBLANK($C252),"",AND($AT252,OR($AU252="",$AV252="",AND($AW252,$AX252=""))))</f>
        <v/>
      </c>
      <c r="BK252" s="135" t="str">
        <f aca="false">IF($BR252&lt;&gt;Constants!$B$8,"",IF($AT252,Constants!$B$21*$AV252+Constants!$B$22*IF($AW252,$AX252,Constants!$B$23),Constants!$B$24))</f>
        <v/>
      </c>
      <c r="BL252" s="136" t="str">
        <f aca="false">IF($BR252&lt;&gt;Constants!$B$8,"",Constants!$B$25*ABS($AD$9-IF($AT252,$AU252,0)))</f>
        <v/>
      </c>
      <c r="BM252" s="136" t="str">
        <f aca="false">IF($BR252&lt;&gt;Constants!$B$8,"",IF(AND($AT252,$AY252,$AW252),Constants!$B$27,0))</f>
        <v/>
      </c>
      <c r="BN252" s="136" t="str">
        <f aca="false">IF($BR252&lt;&gt;Constants!$B$8,"",IF($AT252,($AI252-Constants!$B$29)*Constants!$B$28,0))</f>
        <v/>
      </c>
      <c r="BO252" s="136" t="str">
        <f aca="false">IF($BR252&lt;&gt;Constants!$B$8,"",IF($AS252,0,Constants!$B$15)+IF($AR252,0,Constants!$B$16)+IF($AH252,0,Constants!$B$17))</f>
        <v/>
      </c>
      <c r="BP252" s="137" t="str">
        <f aca="false">IF($BR252&lt;&gt;Constants!$B$8,"",Constants!$B$20+SUM($BK252:$BO252))</f>
        <v/>
      </c>
      <c r="BQ252" s="133" t="str">
        <f aca="false">IF(ISBLANK($C252),"",IF(ISBLANK($D$7),$BQ$5,IF(NOT(ISNUMBER($D$7)),$BQ$6,"")))</f>
        <v/>
      </c>
      <c r="BR252" s="133" t="str">
        <f aca="false">IF(ISBLANK($C252),"",IF($BA252,Constants!$B$11,IF(COUNTA($E252:$AA252)=0,Constants!$B$10,IF(NOT($AG252),Constants!$B$9,IF(OR($BQ252&lt;&gt;"",$BB252,$BJ252),Constants!$B$12,Constants!$B$8)))))</f>
        <v/>
      </c>
      <c r="BS252" s="133" t="str">
        <f aca="false">IF(ISBLANK($C252),"",IF($BR252&lt;&gt;Constants!$B$8,$BR252,Constants!$B$13))</f>
        <v/>
      </c>
      <c r="BT252" s="136" t="str">
        <f aca="false">IF($BR252&lt;&gt;Constants!$B$8,"",IF($BI252="-&gt;",$BP252,$BH252))</f>
        <v/>
      </c>
      <c r="BU252" s="136" t="str">
        <f aca="false">IF($BR252&lt;&gt;Constants!$B$8,"",IF($AF252,0,Constants!$B$18))</f>
        <v/>
      </c>
      <c r="BV252" s="136" t="str">
        <f aca="false">IF($BR252&lt;&gt;Constants!$B$8,"",((Constants!$B$31-$AZ252)-Constants!$B$31)/Constants!$B$32)</f>
        <v/>
      </c>
      <c r="BW252" s="136" t="str">
        <f aca="false">IF(ISBLANK($C252),"",IF($BR252&lt;&gt;Constants!$B$8,$BR252,SUM($BT252:$BV252)))</f>
        <v/>
      </c>
      <c r="BX252" s="133" t="str">
        <f aca="false">IF(ISBLANK($C252),"",IF($BR252&lt;&gt;Constants!$B$8,$BR252,RANK($BW252,$BW$9:$BW$508,1)))</f>
        <v/>
      </c>
      <c r="BY252" s="136" t="str">
        <f aca="false">IF($BR252&lt;&gt;Constants!$B$8,"",IF($BI252="-&gt;",$BK252,$BC252))</f>
        <v/>
      </c>
      <c r="BZ252" s="133" t="str">
        <f aca="false">IF(ISBLANK($C252),"",IF($BR252&lt;&gt;Constants!$B$8,$BR252,IF(ISNUMBER($BY252),RANK($BY252,$BY$9:$BY$508,1),COUNT($BY$9:$BY$508)+1)))</f>
        <v/>
      </c>
      <c r="CA252" s="136" t="str">
        <f aca="false">IF($BR252&lt;&gt;Constants!$B$8,"",IF($BI252="-&gt;",$BL252,$BD252))</f>
        <v/>
      </c>
      <c r="CB252" s="133" t="str">
        <f aca="false">IF(ISBLANK($C252),"",IF($BR252&lt;&gt;Constants!$B$8,$BR252,IF(ISNUMBER($CA252),RANK($CA252,$CA$9:$CA$508,1),COUNT($CA$9:$CA$508)+1)))</f>
        <v/>
      </c>
      <c r="CC252" s="136" t="str">
        <f aca="false">IF($BR252&lt;&gt;Constants!$B$8,"",IF($BI252="-&gt;",IF($AT252,$AV252,""),IF($AL252,$AN252,"")))</f>
        <v/>
      </c>
      <c r="CD252" s="133" t="str">
        <f aca="false">IF(ISBLANK($C252),"",IF($BR252&lt;&gt;Constants!$B$8,$BR252,IF(ISNUMBER($CC252),RANK($CC252,$CC$9:$CC$508,1),COUNT($CC$9:$CC$508)+1)))</f>
        <v/>
      </c>
      <c r="CE252" s="136" t="str">
        <f aca="false">IF($BR252&lt;&gt;Constants!$B$8,"",IF(AND(NOT($AL252),NOT($AT252),$AJ252,$AK252,$AR252,$AS252),"",$AI252))</f>
        <v/>
      </c>
      <c r="CF252" s="133" t="str">
        <f aca="false">IF(ISBLANK($C252),"",IF($BR252&lt;&gt;Constants!$B$8,$BR252,IF(ISNUMBER($CE252),RANK($CE252,$CE$9:$CE$508,1),COUNT($CE$9:$CE$508)+1)))</f>
        <v/>
      </c>
      <c r="CG252" s="133" t="str">
        <f aca="false">IF(ISBLANK($C252),"",IF($BR252&lt;&gt;Constants!$B$8,$BR252,COUNTIFS($BX$9:$BX$508,"&lt;"&amp;$BX252)+COUNTIFS($BX$9:$BX$508,$BX252,$BZ$9:$BZ$508,"&lt;"&amp;$BZ252)+COUNTIFS($BX$9:$BX$508,$BX252,$BZ$9:$BZ$508,$BZ252,$CB$9:$CB$508,"&lt;"&amp;$CB252)+COUNTIFS($BX$9:$BX$508,$BX252,$BZ$9:$BZ$508,$BZ252,$CB$9:$CB$508,$CB252,$CD$9:$CD$508,"&lt;"&amp;$CD252)+COUNTIFS($BX$9:$BX$508,$BX252,$BZ$9:$BZ$508,$BZ252,$CB$9:$CB$508,$CB252,$CD$9:$CD$508,$CD252,$CF$9:$CF$508,"&lt;"&amp;$CF252)+1))</f>
        <v/>
      </c>
      <c r="CH252" s="133" t="str">
        <f aca="false">IF(ISBLANK($C252),"",IF($BR252&lt;&gt;Constants!$B$8,$BR252,$BX252-$CG252))</f>
        <v/>
      </c>
      <c r="CI252" s="138"/>
      <c r="CJ252" s="139"/>
      <c r="CK252" s="140" t="str">
        <f aca="false">IF(ISBLANK($C252),"",IF($BR252=Constants!$B$12,$BQ252,""))</f>
        <v/>
      </c>
      <c r="CL252" s="139" t="str">
        <f aca="false">IF(ISBLANK($C252),"",IF($BR252&lt;&gt;Constants!$B$8,"",IF($BI252="-&gt;",2,1)))</f>
        <v/>
      </c>
      <c r="CM252" s="141" t="str">
        <f aca="false">IF(ISBLANK($C252),"",IF($BR252&lt;&gt;Constants!$B$8,"",IF($BI252="-&gt;",$BK252,$BC252)))</f>
        <v/>
      </c>
      <c r="CN252" s="141" t="str">
        <f aca="false">IF(ISBLANK($C252),"",IF($BR252&lt;&gt;Constants!$B$8,"",IF($BI252="-&gt;",$BL252,$BD252)))</f>
        <v/>
      </c>
      <c r="CO252" s="141" t="str">
        <f aca="false">IF(ISBLANK($C252),"",IF($BR252&lt;&gt;Constants!$B$8,"",IF($BI252="-&gt;",$BM252+$BN252,$BE252+$BF252)+$BV252))</f>
        <v/>
      </c>
      <c r="CP252" s="141" t="str">
        <f aca="false">IF(ISBLANK($C252),"",IF($BR252&lt;&gt;Constants!$B$8,"",IF($BI252="-&gt;",$BO252,$BG252)+$BU252))</f>
        <v/>
      </c>
      <c r="CQ252" s="142" t="str">
        <f aca="false">IF(ISBLANK($C252),"",IF($BR252&lt;&gt;Constants!$B$8,$BR252,$BW252))</f>
        <v/>
      </c>
      <c r="CR252" s="143" t="str">
        <f aca="false">IF(ISBLANK($C252),"",$BS252)</f>
        <v/>
      </c>
      <c r="CS252" s="144" t="str">
        <f aca="false">IF(ISBLANK($C252),"",$CH252)</f>
        <v/>
      </c>
      <c r="CT252" s="144" t="str">
        <f aca="false">IF(ISBLANK($C252),"",$CG252)</f>
        <v/>
      </c>
      <c r="CU252" s="145" t="str">
        <f aca="false">IF(ISBLANK($C252),"",IFERROR(_xlfn.SWITCH($CT252,Constants!$B$11,COUNTA($C$9:$C$508)+2,Constants!$B$10,COUNTA($C$9:$C$508)+1,Constants!$B$9,COUNTA($C$9:$C$508)),$CT252))</f>
        <v/>
      </c>
      <c r="CV252" s="9"/>
      <c r="CW252" s="146" t="n">
        <f aca="false">IF(OR(ISNUMBER($CT252),$CT252=Constants!$B$11,$CT252=Constants!$B$9,$CT252=Constants!$B$10),1,0)</f>
        <v>0</v>
      </c>
      <c r="CX252" s="146" t="n">
        <v>244</v>
      </c>
      <c r="CY252" s="146" t="str">
        <f aca="false">IF(ISBLANK($C252),"",IF(ISNUMBER($CU252),$CU252+ROW($B252)/1000,""))</f>
        <v/>
      </c>
      <c r="CZ252" s="146" t="str">
        <f aca="false">IF(ISNUMBER($CY252),RANK($CY252,$CY$9:$CY$508,1),"")</f>
        <v/>
      </c>
      <c r="DA252" s="146" t="str">
        <f aca="false">IF(ISBLANK($C252),"",$B252)</f>
        <v/>
      </c>
      <c r="DB252" s="146" t="str">
        <f aca="false">IF(ISBLANK($C252),"",$C252)</f>
        <v/>
      </c>
      <c r="DC252" s="146" t="str">
        <f aca="false">IF(ISBLANK($C252),"",$D252)</f>
        <v/>
      </c>
      <c r="DD252" s="147" t="str">
        <f aca="false">$CR252</f>
        <v/>
      </c>
      <c r="DE252" s="148" t="str">
        <f aca="false">$CQ252</f>
        <v/>
      </c>
      <c r="DF252" s="146" t="str">
        <f aca="false">IF(ISBLANK($C252),"",$CT252)</f>
        <v/>
      </c>
      <c r="DG252" s="149" t="str">
        <f aca="false">IF($CX252&gt;$CW$8,"",VLOOKUP($CX252,$CZ$9:$DF$508,7,FALSE()))</f>
        <v/>
      </c>
      <c r="DH252" s="150" t="str">
        <f aca="false">IF($CX252&gt;$CW$8,"",VLOOKUP($CX252,$CZ$9:$DF$508,2,FALSE()))</f>
        <v/>
      </c>
      <c r="DI252" s="150" t="str">
        <f aca="false">IF($CX252&gt;$CW$8,"",VLOOKUP($CX252,$CZ$9:$DF$508,3,FALSE()))</f>
        <v/>
      </c>
      <c r="DJ252" s="150" t="str">
        <f aca="false">IF($CX252&gt;$CW$8,"",VLOOKUP($CX252,$CZ$9:$DF$508,4,FALSE()))</f>
        <v/>
      </c>
      <c r="DK252" s="150" t="str">
        <f aca="false">IF($CX252&gt;$CW$8,"",VLOOKUP($CX252,$CZ$9:$DF$508,5,FALSE()))</f>
        <v/>
      </c>
      <c r="DL252" s="151" t="str">
        <f aca="false">IF($CX252&gt;$CW$8,"",VLOOKUP($CX252,$CZ$9:$DF$508,6,FALSE()))</f>
        <v/>
      </c>
      <c r="DM252" s="75"/>
    </row>
    <row r="253" customFormat="false" ht="15.75" hidden="false" customHeight="false" outlineLevel="0" collapsed="false">
      <c r="A253" s="9"/>
      <c r="B253" s="157"/>
      <c r="C253" s="158"/>
      <c r="D253" s="159"/>
      <c r="E253" s="177"/>
      <c r="F253" s="161"/>
      <c r="G253" s="162"/>
      <c r="H253" s="162"/>
      <c r="I253" s="178"/>
      <c r="J253" s="165"/>
      <c r="K253" s="126"/>
      <c r="L253" s="127"/>
      <c r="M253" s="128"/>
      <c r="N253" s="165"/>
      <c r="O253" s="165"/>
      <c r="P253" s="177"/>
      <c r="Q253" s="165"/>
      <c r="R253" s="165"/>
      <c r="S253" s="126"/>
      <c r="T253" s="128"/>
      <c r="U253" s="128"/>
      <c r="V253" s="165"/>
      <c r="W253" s="165"/>
      <c r="X253" s="177"/>
      <c r="Y253" s="165"/>
      <c r="Z253" s="166"/>
      <c r="AA253" s="165"/>
      <c r="AB253" s="132"/>
      <c r="AC253" s="133"/>
      <c r="AD253" s="133"/>
      <c r="AE253" s="133"/>
      <c r="AF253" s="133" t="str">
        <f aca="false">IF(ISBLANK($C253),"",IF(E253=Constants!$B$3,TRUE(),IF(E253=Constants!$B$4,FALSE(),TRUE())))</f>
        <v/>
      </c>
      <c r="AG253" s="133" t="str">
        <f aca="false">IF(ISBLANK($C253),"",IF(F253=Constants!$B$3,TRUE(),IF(F253=Constants!$B$4,FALSE(),TRUE())))</f>
        <v/>
      </c>
      <c r="AH253" s="133" t="str">
        <f aca="false">IF(ISBLANK($C253),"",IF(G253=Constants!$B$3,TRUE(),IF(G253=Constants!$B$4,FALSE(),TRUE())))</f>
        <v/>
      </c>
      <c r="AI253" s="133" t="str">
        <f aca="false">IF(ISBLANK($C253),"",IF(AND(ISNUMBER(H253),H253&gt;=0),H253,Constants!$B$29))</f>
        <v/>
      </c>
      <c r="AJ253" s="133" t="str">
        <f aca="false">IF(ISBLANK($C253),"",IF(I253=Constants!$B$3,TRUE(),IF(I253=Constants!$B$4,FALSE(),TRUE())))</f>
        <v/>
      </c>
      <c r="AK253" s="133" t="str">
        <f aca="false">IF(ISBLANK($C253),"",IF(J253=Constants!$B$3,TRUE(),IF(J253=Constants!$B$4,FALSE(),TRUE())))</f>
        <v/>
      </c>
      <c r="AL253" s="133" t="str">
        <f aca="false">IF(ISBLANK($C253),"",IF(K253=Constants!$B$5,TRUE(),IF(K253=Constants!$B$6,FALSE(),COUNTA(L253:P253)&gt;0)))</f>
        <v/>
      </c>
      <c r="AM253" s="134" t="str">
        <f aca="false">IF(ISBLANK($C253),"",IF(ISNUMBER(L253),IF(L253&gt;=0,L253,""),""))</f>
        <v/>
      </c>
      <c r="AN253" s="135" t="str">
        <f aca="false">IF(ISBLANK($C253),"",IF(ISNUMBER(M253),IF(M253&gt;=0,M253,""),""))</f>
        <v/>
      </c>
      <c r="AO253" s="135" t="str">
        <f aca="false">IF(ISBLANK($C253),"",IF(N253=Constants!$B$3,TRUE(),IF(N253=Constants!$B$4,FALSE(),TRUE())))</f>
        <v/>
      </c>
      <c r="AP253" s="133" t="str">
        <f aca="false">IF(ISBLANK($C253),"",IF(ISNUMBER(O253),IF(O253&gt;=0,O253,""),""))</f>
        <v/>
      </c>
      <c r="AQ253" s="133" t="str">
        <f aca="false">IF(ISBLANK($C253),"",IF(P253=Constants!$B$3,TRUE(),IF(P253=Constants!$B$4,FALSE(),FALSE())))</f>
        <v/>
      </c>
      <c r="AR253" s="133" t="str">
        <f aca="false">IF(ISBLANK($C253),"",IF(Q253=Constants!$B$3,TRUE(),IF(Q253=Constants!$B$4,FALSE(),TRUE())))</f>
        <v/>
      </c>
      <c r="AS253" s="133" t="str">
        <f aca="false">IF(ISBLANK($C253),"",IF(R253=Constants!$B$3,TRUE(),IF(R253=Constants!$B$4,FALSE(),TRUE())))</f>
        <v/>
      </c>
      <c r="AT253" s="133" t="str">
        <f aca="false">IF(ISBLANK($C253),"",IF(S253=Constants!$B$5,TRUE(),IF(S253=Constants!$B$6,FALSE(),COUNTA(T253:X253)&gt;0)))</f>
        <v/>
      </c>
      <c r="AU253" s="134" t="str">
        <f aca="false">IF(ISBLANK($C253),"",IF(ISNUMBER(T253),IF(T253&gt;=0,T253,""),""))</f>
        <v/>
      </c>
      <c r="AV253" s="135" t="str">
        <f aca="false">IF(ISBLANK($C253),"",IF(ISNUMBER(U253),IF(U253&gt;=0,U253,""),""))</f>
        <v/>
      </c>
      <c r="AW253" s="135" t="str">
        <f aca="false">IF(ISBLANK($C253),"",IF(V253=Constants!$B$3,TRUE(),IF(V253=Constants!$B$4,FALSE(),TRUE())))</f>
        <v/>
      </c>
      <c r="AX253" s="133" t="str">
        <f aca="false">IF(ISBLANK($C253),"",IF(ISNUMBER(W253),IF(W253&gt;=0,W253,""),""))</f>
        <v/>
      </c>
      <c r="AY253" s="133" t="str">
        <f aca="false">IF(ISBLANK($C253),"",IF(X253=Constants!$B$3,TRUE(),IF(X253=Constants!$B$4,FALSE(),FALSE())))</f>
        <v/>
      </c>
      <c r="AZ253" s="133" t="str">
        <f aca="false">IF(ISBLANK($C253),"",MIN(Constants!$B$31,MAX(0,IF(ISNUMBER(Y253),Y253*60,0)+IF(ISNUMBER(Z253),Z253,0))))</f>
        <v/>
      </c>
      <c r="BA253" s="133" t="str">
        <f aca="false">IF(ISBLANK($C253),"",IF(AA253=Constants!$B$3,TRUE(),IF(AA253=Constants!$B$4,FALSE(),FALSE())))</f>
        <v/>
      </c>
      <c r="BB253" s="132" t="str">
        <f aca="false">IF(ISBLANK($C253),"",AND($AL253,OR($AM253="",$AN253="",AND($AO253,$AP253=""))))</f>
        <v/>
      </c>
      <c r="BC253" s="135" t="str">
        <f aca="false">IF($BR253&lt;&gt;Constants!$B$8,"",IF($AL253,Constants!$B$21*$AN253+Constants!$B$22*IF($AO253,$AP253,Constants!$B$23),Constants!$B$24))</f>
        <v/>
      </c>
      <c r="BD253" s="136" t="str">
        <f aca="false">IF($BR253&lt;&gt;Constants!$B$8,"",Constants!$B$25*ABS($AD$9-IF($AL253,$AM253,0)))</f>
        <v/>
      </c>
      <c r="BE253" s="136" t="str">
        <f aca="false">IF($BR253&lt;&gt;Constants!$B$8,"",IF(AND($AL253,$AQ253,$AO253),Constants!$B$27,0))</f>
        <v/>
      </c>
      <c r="BF253" s="136" t="str">
        <f aca="false">IF($BR253&lt;&gt;Constants!$B$8,"",IF($AL253,($AI253-Constants!$B$29)*Constants!$B$28,0))</f>
        <v/>
      </c>
      <c r="BG253" s="136" t="str">
        <f aca="false">IF($BR253&lt;&gt;Constants!$B$8,"",IF($AK253,0,Constants!$B$15)+IF($AJ253,0,Constants!$B$16)+IF($AH253,0,Constants!$B$17))</f>
        <v/>
      </c>
      <c r="BH253" s="137" t="str">
        <f aca="false">IF($BR253&lt;&gt;Constants!$B$8,"",Constants!$B$20+SUM($BC253:$BG253))</f>
        <v/>
      </c>
      <c r="BI253" s="133" t="str">
        <f aca="false">IF($BR253&lt;&gt;Constants!$B$8,"",IF(OR($BP253&lt;$BH253,AND($BP253=$BH253,OR($BK253&lt;$BC253,AND($BK253=$BC253,OR($BL253&lt;$BD253,AND($BL253=$BD253,$AT253,$AL253,$AV253&lt;$AN253)))))),"-&gt;","&lt;-"))</f>
        <v/>
      </c>
      <c r="BJ253" s="132" t="str">
        <f aca="false">IF(ISBLANK($C253),"",AND($AT253,OR($AU253="",$AV253="",AND($AW253,$AX253=""))))</f>
        <v/>
      </c>
      <c r="BK253" s="135" t="str">
        <f aca="false">IF($BR253&lt;&gt;Constants!$B$8,"",IF($AT253,Constants!$B$21*$AV253+Constants!$B$22*IF($AW253,$AX253,Constants!$B$23),Constants!$B$24))</f>
        <v/>
      </c>
      <c r="BL253" s="136" t="str">
        <f aca="false">IF($BR253&lt;&gt;Constants!$B$8,"",Constants!$B$25*ABS($AD$9-IF($AT253,$AU253,0)))</f>
        <v/>
      </c>
      <c r="BM253" s="136" t="str">
        <f aca="false">IF($BR253&lt;&gt;Constants!$B$8,"",IF(AND($AT253,$AY253,$AW253),Constants!$B$27,0))</f>
        <v/>
      </c>
      <c r="BN253" s="136" t="str">
        <f aca="false">IF($BR253&lt;&gt;Constants!$B$8,"",IF($AT253,($AI253-Constants!$B$29)*Constants!$B$28,0))</f>
        <v/>
      </c>
      <c r="BO253" s="136" t="str">
        <f aca="false">IF($BR253&lt;&gt;Constants!$B$8,"",IF($AS253,0,Constants!$B$15)+IF($AR253,0,Constants!$B$16)+IF($AH253,0,Constants!$B$17))</f>
        <v/>
      </c>
      <c r="BP253" s="137" t="str">
        <f aca="false">IF($BR253&lt;&gt;Constants!$B$8,"",Constants!$B$20+SUM($BK253:$BO253))</f>
        <v/>
      </c>
      <c r="BQ253" s="133" t="str">
        <f aca="false">IF(ISBLANK($C253),"",IF(ISBLANK($D$7),$BQ$5,IF(NOT(ISNUMBER($D$7)),$BQ$6,"")))</f>
        <v/>
      </c>
      <c r="BR253" s="133" t="str">
        <f aca="false">IF(ISBLANK($C253),"",IF($BA253,Constants!$B$11,IF(COUNTA($E253:$AA253)=0,Constants!$B$10,IF(NOT($AG253),Constants!$B$9,IF(OR($BQ253&lt;&gt;"",$BB253,$BJ253),Constants!$B$12,Constants!$B$8)))))</f>
        <v/>
      </c>
      <c r="BS253" s="133" t="str">
        <f aca="false">IF(ISBLANK($C253),"",IF($BR253&lt;&gt;Constants!$B$8,$BR253,Constants!$B$13))</f>
        <v/>
      </c>
      <c r="BT253" s="136" t="str">
        <f aca="false">IF($BR253&lt;&gt;Constants!$B$8,"",IF($BI253="-&gt;",$BP253,$BH253))</f>
        <v/>
      </c>
      <c r="BU253" s="136" t="str">
        <f aca="false">IF($BR253&lt;&gt;Constants!$B$8,"",IF($AF253,0,Constants!$B$18))</f>
        <v/>
      </c>
      <c r="BV253" s="136" t="str">
        <f aca="false">IF($BR253&lt;&gt;Constants!$B$8,"",((Constants!$B$31-$AZ253)-Constants!$B$31)/Constants!$B$32)</f>
        <v/>
      </c>
      <c r="BW253" s="136" t="str">
        <f aca="false">IF(ISBLANK($C253),"",IF($BR253&lt;&gt;Constants!$B$8,$BR253,SUM($BT253:$BV253)))</f>
        <v/>
      </c>
      <c r="BX253" s="133" t="str">
        <f aca="false">IF(ISBLANK($C253),"",IF($BR253&lt;&gt;Constants!$B$8,$BR253,RANK($BW253,$BW$9:$BW$508,1)))</f>
        <v/>
      </c>
      <c r="BY253" s="136" t="str">
        <f aca="false">IF($BR253&lt;&gt;Constants!$B$8,"",IF($BI253="-&gt;",$BK253,$BC253))</f>
        <v/>
      </c>
      <c r="BZ253" s="133" t="str">
        <f aca="false">IF(ISBLANK($C253),"",IF($BR253&lt;&gt;Constants!$B$8,$BR253,IF(ISNUMBER($BY253),RANK($BY253,$BY$9:$BY$508,1),COUNT($BY$9:$BY$508)+1)))</f>
        <v/>
      </c>
      <c r="CA253" s="136" t="str">
        <f aca="false">IF($BR253&lt;&gt;Constants!$B$8,"",IF($BI253="-&gt;",$BL253,$BD253))</f>
        <v/>
      </c>
      <c r="CB253" s="133" t="str">
        <f aca="false">IF(ISBLANK($C253),"",IF($BR253&lt;&gt;Constants!$B$8,$BR253,IF(ISNUMBER($CA253),RANK($CA253,$CA$9:$CA$508,1),COUNT($CA$9:$CA$508)+1)))</f>
        <v/>
      </c>
      <c r="CC253" s="136" t="str">
        <f aca="false">IF($BR253&lt;&gt;Constants!$B$8,"",IF($BI253="-&gt;",IF($AT253,$AV253,""),IF($AL253,$AN253,"")))</f>
        <v/>
      </c>
      <c r="CD253" s="133" t="str">
        <f aca="false">IF(ISBLANK($C253),"",IF($BR253&lt;&gt;Constants!$B$8,$BR253,IF(ISNUMBER($CC253),RANK($CC253,$CC$9:$CC$508,1),COUNT($CC$9:$CC$508)+1)))</f>
        <v/>
      </c>
      <c r="CE253" s="136" t="str">
        <f aca="false">IF($BR253&lt;&gt;Constants!$B$8,"",IF(AND(NOT($AL253),NOT($AT253),$AJ253,$AK253,$AR253,$AS253),"",$AI253))</f>
        <v/>
      </c>
      <c r="CF253" s="133" t="str">
        <f aca="false">IF(ISBLANK($C253),"",IF($BR253&lt;&gt;Constants!$B$8,$BR253,IF(ISNUMBER($CE253),RANK($CE253,$CE$9:$CE$508,1),COUNT($CE$9:$CE$508)+1)))</f>
        <v/>
      </c>
      <c r="CG253" s="133" t="str">
        <f aca="false">IF(ISBLANK($C253),"",IF($BR253&lt;&gt;Constants!$B$8,$BR253,COUNTIFS($BX$9:$BX$508,"&lt;"&amp;$BX253)+COUNTIFS($BX$9:$BX$508,$BX253,$BZ$9:$BZ$508,"&lt;"&amp;$BZ253)+COUNTIFS($BX$9:$BX$508,$BX253,$BZ$9:$BZ$508,$BZ253,$CB$9:$CB$508,"&lt;"&amp;$CB253)+COUNTIFS($BX$9:$BX$508,$BX253,$BZ$9:$BZ$508,$BZ253,$CB$9:$CB$508,$CB253,$CD$9:$CD$508,"&lt;"&amp;$CD253)+COUNTIFS($BX$9:$BX$508,$BX253,$BZ$9:$BZ$508,$BZ253,$CB$9:$CB$508,$CB253,$CD$9:$CD$508,$CD253,$CF$9:$CF$508,"&lt;"&amp;$CF253)+1))</f>
        <v/>
      </c>
      <c r="CH253" s="133" t="str">
        <f aca="false">IF(ISBLANK($C253),"",IF($BR253&lt;&gt;Constants!$B$8,$BR253,$BX253-$CG253))</f>
        <v/>
      </c>
      <c r="CI253" s="138"/>
      <c r="CJ253" s="139"/>
      <c r="CK253" s="140" t="str">
        <f aca="false">IF(ISBLANK($C253),"",IF($BR253=Constants!$B$12,$BQ253,""))</f>
        <v/>
      </c>
      <c r="CL253" s="139" t="str">
        <f aca="false">IF(ISBLANK($C253),"",IF($BR253&lt;&gt;Constants!$B$8,"",IF($BI253="-&gt;",2,1)))</f>
        <v/>
      </c>
      <c r="CM253" s="141" t="str">
        <f aca="false">IF(ISBLANK($C253),"",IF($BR253&lt;&gt;Constants!$B$8,"",IF($BI253="-&gt;",$BK253,$BC253)))</f>
        <v/>
      </c>
      <c r="CN253" s="141" t="str">
        <f aca="false">IF(ISBLANK($C253),"",IF($BR253&lt;&gt;Constants!$B$8,"",IF($BI253="-&gt;",$BL253,$BD253)))</f>
        <v/>
      </c>
      <c r="CO253" s="141" t="str">
        <f aca="false">IF(ISBLANK($C253),"",IF($BR253&lt;&gt;Constants!$B$8,"",IF($BI253="-&gt;",$BM253+$BN253,$BE253+$BF253)+$BV253))</f>
        <v/>
      </c>
      <c r="CP253" s="141" t="str">
        <f aca="false">IF(ISBLANK($C253),"",IF($BR253&lt;&gt;Constants!$B$8,"",IF($BI253="-&gt;",$BO253,$BG253)+$BU253))</f>
        <v/>
      </c>
      <c r="CQ253" s="142" t="str">
        <f aca="false">IF(ISBLANK($C253),"",IF($BR253&lt;&gt;Constants!$B$8,$BR253,$BW253))</f>
        <v/>
      </c>
      <c r="CR253" s="143" t="str">
        <f aca="false">IF(ISBLANK($C253),"",$BS253)</f>
        <v/>
      </c>
      <c r="CS253" s="144" t="str">
        <f aca="false">IF(ISBLANK($C253),"",$CH253)</f>
        <v/>
      </c>
      <c r="CT253" s="144" t="str">
        <f aca="false">IF(ISBLANK($C253),"",$CG253)</f>
        <v/>
      </c>
      <c r="CU253" s="145" t="str">
        <f aca="false">IF(ISBLANK($C253),"",IFERROR(_xlfn.SWITCH($CT253,Constants!$B$11,COUNTA($C$9:$C$508)+2,Constants!$B$10,COUNTA($C$9:$C$508)+1,Constants!$B$9,COUNTA($C$9:$C$508)),$CT253))</f>
        <v/>
      </c>
      <c r="CV253" s="9"/>
      <c r="CW253" s="146" t="n">
        <f aca="false">IF(OR(ISNUMBER($CT253),$CT253=Constants!$B$11,$CT253=Constants!$B$9,$CT253=Constants!$B$10),1,0)</f>
        <v>0</v>
      </c>
      <c r="CX253" s="146" t="n">
        <v>245</v>
      </c>
      <c r="CY253" s="146" t="str">
        <f aca="false">IF(ISBLANK($C253),"",IF(ISNUMBER($CU253),$CU253+ROW($B253)/1000,""))</f>
        <v/>
      </c>
      <c r="CZ253" s="146" t="str">
        <f aca="false">IF(ISNUMBER($CY253),RANK($CY253,$CY$9:$CY$508,1),"")</f>
        <v/>
      </c>
      <c r="DA253" s="146" t="str">
        <f aca="false">IF(ISBLANK($C253),"",$B253)</f>
        <v/>
      </c>
      <c r="DB253" s="146" t="str">
        <f aca="false">IF(ISBLANK($C253),"",$C253)</f>
        <v/>
      </c>
      <c r="DC253" s="146" t="str">
        <f aca="false">IF(ISBLANK($C253),"",$D253)</f>
        <v/>
      </c>
      <c r="DD253" s="147" t="str">
        <f aca="false">$CR253</f>
        <v/>
      </c>
      <c r="DE253" s="148" t="str">
        <f aca="false">$CQ253</f>
        <v/>
      </c>
      <c r="DF253" s="146" t="str">
        <f aca="false">IF(ISBLANK($C253),"",$CT253)</f>
        <v/>
      </c>
      <c r="DG253" s="149" t="str">
        <f aca="false">IF($CX253&gt;$CW$8,"",VLOOKUP($CX253,$CZ$9:$DF$508,7,FALSE()))</f>
        <v/>
      </c>
      <c r="DH253" s="150" t="str">
        <f aca="false">IF($CX253&gt;$CW$8,"",VLOOKUP($CX253,$CZ$9:$DF$508,2,FALSE()))</f>
        <v/>
      </c>
      <c r="DI253" s="150" t="str">
        <f aca="false">IF($CX253&gt;$CW$8,"",VLOOKUP($CX253,$CZ$9:$DF$508,3,FALSE()))</f>
        <v/>
      </c>
      <c r="DJ253" s="150" t="str">
        <f aca="false">IF($CX253&gt;$CW$8,"",VLOOKUP($CX253,$CZ$9:$DF$508,4,FALSE()))</f>
        <v/>
      </c>
      <c r="DK253" s="150" t="str">
        <f aca="false">IF($CX253&gt;$CW$8,"",VLOOKUP($CX253,$CZ$9:$DF$508,5,FALSE()))</f>
        <v/>
      </c>
      <c r="DL253" s="151" t="str">
        <f aca="false">IF($CX253&gt;$CW$8,"",VLOOKUP($CX253,$CZ$9:$DF$508,6,FALSE()))</f>
        <v/>
      </c>
      <c r="DM253" s="75"/>
    </row>
    <row r="254" customFormat="false" ht="15.75" hidden="false" customHeight="false" outlineLevel="0" collapsed="false">
      <c r="A254" s="9"/>
      <c r="B254" s="157"/>
      <c r="C254" s="158"/>
      <c r="D254" s="159"/>
      <c r="E254" s="177"/>
      <c r="F254" s="161"/>
      <c r="G254" s="162"/>
      <c r="H254" s="162"/>
      <c r="I254" s="178"/>
      <c r="J254" s="165"/>
      <c r="K254" s="126"/>
      <c r="L254" s="127"/>
      <c r="M254" s="128"/>
      <c r="N254" s="165"/>
      <c r="O254" s="165"/>
      <c r="P254" s="177"/>
      <c r="Q254" s="165"/>
      <c r="R254" s="165"/>
      <c r="S254" s="126"/>
      <c r="T254" s="128"/>
      <c r="U254" s="128"/>
      <c r="V254" s="165"/>
      <c r="W254" s="165"/>
      <c r="X254" s="177"/>
      <c r="Y254" s="165"/>
      <c r="Z254" s="166"/>
      <c r="AA254" s="165"/>
      <c r="AB254" s="132"/>
      <c r="AC254" s="133"/>
      <c r="AD254" s="133"/>
      <c r="AE254" s="133"/>
      <c r="AF254" s="133" t="str">
        <f aca="false">IF(ISBLANK($C254),"",IF(E254=Constants!$B$3,TRUE(),IF(E254=Constants!$B$4,FALSE(),TRUE())))</f>
        <v/>
      </c>
      <c r="AG254" s="133" t="str">
        <f aca="false">IF(ISBLANK($C254),"",IF(F254=Constants!$B$3,TRUE(),IF(F254=Constants!$B$4,FALSE(),TRUE())))</f>
        <v/>
      </c>
      <c r="AH254" s="133" t="str">
        <f aca="false">IF(ISBLANK($C254),"",IF(G254=Constants!$B$3,TRUE(),IF(G254=Constants!$B$4,FALSE(),TRUE())))</f>
        <v/>
      </c>
      <c r="AI254" s="133" t="str">
        <f aca="false">IF(ISBLANK($C254),"",IF(AND(ISNUMBER(H254),H254&gt;=0),H254,Constants!$B$29))</f>
        <v/>
      </c>
      <c r="AJ254" s="133" t="str">
        <f aca="false">IF(ISBLANK($C254),"",IF(I254=Constants!$B$3,TRUE(),IF(I254=Constants!$B$4,FALSE(),TRUE())))</f>
        <v/>
      </c>
      <c r="AK254" s="133" t="str">
        <f aca="false">IF(ISBLANK($C254),"",IF(J254=Constants!$B$3,TRUE(),IF(J254=Constants!$B$4,FALSE(),TRUE())))</f>
        <v/>
      </c>
      <c r="AL254" s="133" t="str">
        <f aca="false">IF(ISBLANK($C254),"",IF(K254=Constants!$B$5,TRUE(),IF(K254=Constants!$B$6,FALSE(),COUNTA(L254:P254)&gt;0)))</f>
        <v/>
      </c>
      <c r="AM254" s="134" t="str">
        <f aca="false">IF(ISBLANK($C254),"",IF(ISNUMBER(L254),IF(L254&gt;=0,L254,""),""))</f>
        <v/>
      </c>
      <c r="AN254" s="135" t="str">
        <f aca="false">IF(ISBLANK($C254),"",IF(ISNUMBER(M254),IF(M254&gt;=0,M254,""),""))</f>
        <v/>
      </c>
      <c r="AO254" s="135" t="str">
        <f aca="false">IF(ISBLANK($C254),"",IF(N254=Constants!$B$3,TRUE(),IF(N254=Constants!$B$4,FALSE(),TRUE())))</f>
        <v/>
      </c>
      <c r="AP254" s="133" t="str">
        <f aca="false">IF(ISBLANK($C254),"",IF(ISNUMBER(O254),IF(O254&gt;=0,O254,""),""))</f>
        <v/>
      </c>
      <c r="AQ254" s="133" t="str">
        <f aca="false">IF(ISBLANK($C254),"",IF(P254=Constants!$B$3,TRUE(),IF(P254=Constants!$B$4,FALSE(),FALSE())))</f>
        <v/>
      </c>
      <c r="AR254" s="133" t="str">
        <f aca="false">IF(ISBLANK($C254),"",IF(Q254=Constants!$B$3,TRUE(),IF(Q254=Constants!$B$4,FALSE(),TRUE())))</f>
        <v/>
      </c>
      <c r="AS254" s="133" t="str">
        <f aca="false">IF(ISBLANK($C254),"",IF(R254=Constants!$B$3,TRUE(),IF(R254=Constants!$B$4,FALSE(),TRUE())))</f>
        <v/>
      </c>
      <c r="AT254" s="133" t="str">
        <f aca="false">IF(ISBLANK($C254),"",IF(S254=Constants!$B$5,TRUE(),IF(S254=Constants!$B$6,FALSE(),COUNTA(T254:X254)&gt;0)))</f>
        <v/>
      </c>
      <c r="AU254" s="134" t="str">
        <f aca="false">IF(ISBLANK($C254),"",IF(ISNUMBER(T254),IF(T254&gt;=0,T254,""),""))</f>
        <v/>
      </c>
      <c r="AV254" s="135" t="str">
        <f aca="false">IF(ISBLANK($C254),"",IF(ISNUMBER(U254),IF(U254&gt;=0,U254,""),""))</f>
        <v/>
      </c>
      <c r="AW254" s="135" t="str">
        <f aca="false">IF(ISBLANK($C254),"",IF(V254=Constants!$B$3,TRUE(),IF(V254=Constants!$B$4,FALSE(),TRUE())))</f>
        <v/>
      </c>
      <c r="AX254" s="133" t="str">
        <f aca="false">IF(ISBLANK($C254),"",IF(ISNUMBER(W254),IF(W254&gt;=0,W254,""),""))</f>
        <v/>
      </c>
      <c r="AY254" s="133" t="str">
        <f aca="false">IF(ISBLANK($C254),"",IF(X254=Constants!$B$3,TRUE(),IF(X254=Constants!$B$4,FALSE(),FALSE())))</f>
        <v/>
      </c>
      <c r="AZ254" s="133" t="str">
        <f aca="false">IF(ISBLANK($C254),"",MIN(Constants!$B$31,MAX(0,IF(ISNUMBER(Y254),Y254*60,0)+IF(ISNUMBER(Z254),Z254,0))))</f>
        <v/>
      </c>
      <c r="BA254" s="133" t="str">
        <f aca="false">IF(ISBLANK($C254),"",IF(AA254=Constants!$B$3,TRUE(),IF(AA254=Constants!$B$4,FALSE(),FALSE())))</f>
        <v/>
      </c>
      <c r="BB254" s="132" t="str">
        <f aca="false">IF(ISBLANK($C254),"",AND($AL254,OR($AM254="",$AN254="",AND($AO254,$AP254=""))))</f>
        <v/>
      </c>
      <c r="BC254" s="135" t="str">
        <f aca="false">IF($BR254&lt;&gt;Constants!$B$8,"",IF($AL254,Constants!$B$21*$AN254+Constants!$B$22*IF($AO254,$AP254,Constants!$B$23),Constants!$B$24))</f>
        <v/>
      </c>
      <c r="BD254" s="136" t="str">
        <f aca="false">IF($BR254&lt;&gt;Constants!$B$8,"",Constants!$B$25*ABS($AD$9-IF($AL254,$AM254,0)))</f>
        <v/>
      </c>
      <c r="BE254" s="136" t="str">
        <f aca="false">IF($BR254&lt;&gt;Constants!$B$8,"",IF(AND($AL254,$AQ254,$AO254),Constants!$B$27,0))</f>
        <v/>
      </c>
      <c r="BF254" s="136" t="str">
        <f aca="false">IF($BR254&lt;&gt;Constants!$B$8,"",IF($AL254,($AI254-Constants!$B$29)*Constants!$B$28,0))</f>
        <v/>
      </c>
      <c r="BG254" s="136" t="str">
        <f aca="false">IF($BR254&lt;&gt;Constants!$B$8,"",IF($AK254,0,Constants!$B$15)+IF($AJ254,0,Constants!$B$16)+IF($AH254,0,Constants!$B$17))</f>
        <v/>
      </c>
      <c r="BH254" s="137" t="str">
        <f aca="false">IF($BR254&lt;&gt;Constants!$B$8,"",Constants!$B$20+SUM($BC254:$BG254))</f>
        <v/>
      </c>
      <c r="BI254" s="133" t="str">
        <f aca="false">IF($BR254&lt;&gt;Constants!$B$8,"",IF(OR($BP254&lt;$BH254,AND($BP254=$BH254,OR($BK254&lt;$BC254,AND($BK254=$BC254,OR($BL254&lt;$BD254,AND($BL254=$BD254,$AT254,$AL254,$AV254&lt;$AN254)))))),"-&gt;","&lt;-"))</f>
        <v/>
      </c>
      <c r="BJ254" s="132" t="str">
        <f aca="false">IF(ISBLANK($C254),"",AND($AT254,OR($AU254="",$AV254="",AND($AW254,$AX254=""))))</f>
        <v/>
      </c>
      <c r="BK254" s="135" t="str">
        <f aca="false">IF($BR254&lt;&gt;Constants!$B$8,"",IF($AT254,Constants!$B$21*$AV254+Constants!$B$22*IF($AW254,$AX254,Constants!$B$23),Constants!$B$24))</f>
        <v/>
      </c>
      <c r="BL254" s="136" t="str">
        <f aca="false">IF($BR254&lt;&gt;Constants!$B$8,"",Constants!$B$25*ABS($AD$9-IF($AT254,$AU254,0)))</f>
        <v/>
      </c>
      <c r="BM254" s="136" t="str">
        <f aca="false">IF($BR254&lt;&gt;Constants!$B$8,"",IF(AND($AT254,$AY254,$AW254),Constants!$B$27,0))</f>
        <v/>
      </c>
      <c r="BN254" s="136" t="str">
        <f aca="false">IF($BR254&lt;&gt;Constants!$B$8,"",IF($AT254,($AI254-Constants!$B$29)*Constants!$B$28,0))</f>
        <v/>
      </c>
      <c r="BO254" s="136" t="str">
        <f aca="false">IF($BR254&lt;&gt;Constants!$B$8,"",IF($AS254,0,Constants!$B$15)+IF($AR254,0,Constants!$B$16)+IF($AH254,0,Constants!$B$17))</f>
        <v/>
      </c>
      <c r="BP254" s="137" t="str">
        <f aca="false">IF($BR254&lt;&gt;Constants!$B$8,"",Constants!$B$20+SUM($BK254:$BO254))</f>
        <v/>
      </c>
      <c r="BQ254" s="133" t="str">
        <f aca="false">IF(ISBLANK($C254),"",IF(ISBLANK($D$7),$BQ$5,IF(NOT(ISNUMBER($D$7)),$BQ$6,"")))</f>
        <v/>
      </c>
      <c r="BR254" s="133" t="str">
        <f aca="false">IF(ISBLANK($C254),"",IF($BA254,Constants!$B$11,IF(COUNTA($E254:$AA254)=0,Constants!$B$10,IF(NOT($AG254),Constants!$B$9,IF(OR($BQ254&lt;&gt;"",$BB254,$BJ254),Constants!$B$12,Constants!$B$8)))))</f>
        <v/>
      </c>
      <c r="BS254" s="133" t="str">
        <f aca="false">IF(ISBLANK($C254),"",IF($BR254&lt;&gt;Constants!$B$8,$BR254,Constants!$B$13))</f>
        <v/>
      </c>
      <c r="BT254" s="136" t="str">
        <f aca="false">IF($BR254&lt;&gt;Constants!$B$8,"",IF($BI254="-&gt;",$BP254,$BH254))</f>
        <v/>
      </c>
      <c r="BU254" s="136" t="str">
        <f aca="false">IF($BR254&lt;&gt;Constants!$B$8,"",IF($AF254,0,Constants!$B$18))</f>
        <v/>
      </c>
      <c r="BV254" s="136" t="str">
        <f aca="false">IF($BR254&lt;&gt;Constants!$B$8,"",((Constants!$B$31-$AZ254)-Constants!$B$31)/Constants!$B$32)</f>
        <v/>
      </c>
      <c r="BW254" s="136" t="str">
        <f aca="false">IF(ISBLANK($C254),"",IF($BR254&lt;&gt;Constants!$B$8,$BR254,SUM($BT254:$BV254)))</f>
        <v/>
      </c>
      <c r="BX254" s="133" t="str">
        <f aca="false">IF(ISBLANK($C254),"",IF($BR254&lt;&gt;Constants!$B$8,$BR254,RANK($BW254,$BW$9:$BW$508,1)))</f>
        <v/>
      </c>
      <c r="BY254" s="136" t="str">
        <f aca="false">IF($BR254&lt;&gt;Constants!$B$8,"",IF($BI254="-&gt;",$BK254,$BC254))</f>
        <v/>
      </c>
      <c r="BZ254" s="133" t="str">
        <f aca="false">IF(ISBLANK($C254),"",IF($BR254&lt;&gt;Constants!$B$8,$BR254,IF(ISNUMBER($BY254),RANK($BY254,$BY$9:$BY$508,1),COUNT($BY$9:$BY$508)+1)))</f>
        <v/>
      </c>
      <c r="CA254" s="136" t="str">
        <f aca="false">IF($BR254&lt;&gt;Constants!$B$8,"",IF($BI254="-&gt;",$BL254,$BD254))</f>
        <v/>
      </c>
      <c r="CB254" s="133" t="str">
        <f aca="false">IF(ISBLANK($C254),"",IF($BR254&lt;&gt;Constants!$B$8,$BR254,IF(ISNUMBER($CA254),RANK($CA254,$CA$9:$CA$508,1),COUNT($CA$9:$CA$508)+1)))</f>
        <v/>
      </c>
      <c r="CC254" s="136" t="str">
        <f aca="false">IF($BR254&lt;&gt;Constants!$B$8,"",IF($BI254="-&gt;",IF($AT254,$AV254,""),IF($AL254,$AN254,"")))</f>
        <v/>
      </c>
      <c r="CD254" s="133" t="str">
        <f aca="false">IF(ISBLANK($C254),"",IF($BR254&lt;&gt;Constants!$B$8,$BR254,IF(ISNUMBER($CC254),RANK($CC254,$CC$9:$CC$508,1),COUNT($CC$9:$CC$508)+1)))</f>
        <v/>
      </c>
      <c r="CE254" s="136" t="str">
        <f aca="false">IF($BR254&lt;&gt;Constants!$B$8,"",IF(AND(NOT($AL254),NOT($AT254),$AJ254,$AK254,$AR254,$AS254),"",$AI254))</f>
        <v/>
      </c>
      <c r="CF254" s="133" t="str">
        <f aca="false">IF(ISBLANK($C254),"",IF($BR254&lt;&gt;Constants!$B$8,$BR254,IF(ISNUMBER($CE254),RANK($CE254,$CE$9:$CE$508,1),COUNT($CE$9:$CE$508)+1)))</f>
        <v/>
      </c>
      <c r="CG254" s="133" t="str">
        <f aca="false">IF(ISBLANK($C254),"",IF($BR254&lt;&gt;Constants!$B$8,$BR254,COUNTIFS($BX$9:$BX$508,"&lt;"&amp;$BX254)+COUNTIFS($BX$9:$BX$508,$BX254,$BZ$9:$BZ$508,"&lt;"&amp;$BZ254)+COUNTIFS($BX$9:$BX$508,$BX254,$BZ$9:$BZ$508,$BZ254,$CB$9:$CB$508,"&lt;"&amp;$CB254)+COUNTIFS($BX$9:$BX$508,$BX254,$BZ$9:$BZ$508,$BZ254,$CB$9:$CB$508,$CB254,$CD$9:$CD$508,"&lt;"&amp;$CD254)+COUNTIFS($BX$9:$BX$508,$BX254,$BZ$9:$BZ$508,$BZ254,$CB$9:$CB$508,$CB254,$CD$9:$CD$508,$CD254,$CF$9:$CF$508,"&lt;"&amp;$CF254)+1))</f>
        <v/>
      </c>
      <c r="CH254" s="133" t="str">
        <f aca="false">IF(ISBLANK($C254),"",IF($BR254&lt;&gt;Constants!$B$8,$BR254,$BX254-$CG254))</f>
        <v/>
      </c>
      <c r="CI254" s="138"/>
      <c r="CJ254" s="139"/>
      <c r="CK254" s="140" t="str">
        <f aca="false">IF(ISBLANK($C254),"",IF($BR254=Constants!$B$12,$BQ254,""))</f>
        <v/>
      </c>
      <c r="CL254" s="139" t="str">
        <f aca="false">IF(ISBLANK($C254),"",IF($BR254&lt;&gt;Constants!$B$8,"",IF($BI254="-&gt;",2,1)))</f>
        <v/>
      </c>
      <c r="CM254" s="141" t="str">
        <f aca="false">IF(ISBLANK($C254),"",IF($BR254&lt;&gt;Constants!$B$8,"",IF($BI254="-&gt;",$BK254,$BC254)))</f>
        <v/>
      </c>
      <c r="CN254" s="141" t="str">
        <f aca="false">IF(ISBLANK($C254),"",IF($BR254&lt;&gt;Constants!$B$8,"",IF($BI254="-&gt;",$BL254,$BD254)))</f>
        <v/>
      </c>
      <c r="CO254" s="141" t="str">
        <f aca="false">IF(ISBLANK($C254),"",IF($BR254&lt;&gt;Constants!$B$8,"",IF($BI254="-&gt;",$BM254+$BN254,$BE254+$BF254)+$BV254))</f>
        <v/>
      </c>
      <c r="CP254" s="141" t="str">
        <f aca="false">IF(ISBLANK($C254),"",IF($BR254&lt;&gt;Constants!$B$8,"",IF($BI254="-&gt;",$BO254,$BG254)+$BU254))</f>
        <v/>
      </c>
      <c r="CQ254" s="142" t="str">
        <f aca="false">IF(ISBLANK($C254),"",IF($BR254&lt;&gt;Constants!$B$8,$BR254,$BW254))</f>
        <v/>
      </c>
      <c r="CR254" s="143" t="str">
        <f aca="false">IF(ISBLANK($C254),"",$BS254)</f>
        <v/>
      </c>
      <c r="CS254" s="144" t="str">
        <f aca="false">IF(ISBLANK($C254),"",$CH254)</f>
        <v/>
      </c>
      <c r="CT254" s="144" t="str">
        <f aca="false">IF(ISBLANK($C254),"",$CG254)</f>
        <v/>
      </c>
      <c r="CU254" s="145" t="str">
        <f aca="false">IF(ISBLANK($C254),"",IFERROR(_xlfn.SWITCH($CT254,Constants!$B$11,COUNTA($C$9:$C$508)+2,Constants!$B$10,COUNTA($C$9:$C$508)+1,Constants!$B$9,COUNTA($C$9:$C$508)),$CT254))</f>
        <v/>
      </c>
      <c r="CV254" s="9"/>
      <c r="CW254" s="146" t="n">
        <f aca="false">IF(OR(ISNUMBER($CT254),$CT254=Constants!$B$11,$CT254=Constants!$B$9,$CT254=Constants!$B$10),1,0)</f>
        <v>0</v>
      </c>
      <c r="CX254" s="146" t="n">
        <v>246</v>
      </c>
      <c r="CY254" s="146" t="str">
        <f aca="false">IF(ISBLANK($C254),"",IF(ISNUMBER($CU254),$CU254+ROW($B254)/1000,""))</f>
        <v/>
      </c>
      <c r="CZ254" s="146" t="str">
        <f aca="false">IF(ISNUMBER($CY254),RANK($CY254,$CY$9:$CY$508,1),"")</f>
        <v/>
      </c>
      <c r="DA254" s="146" t="str">
        <f aca="false">IF(ISBLANK($C254),"",$B254)</f>
        <v/>
      </c>
      <c r="DB254" s="146" t="str">
        <f aca="false">IF(ISBLANK($C254),"",$C254)</f>
        <v/>
      </c>
      <c r="DC254" s="146" t="str">
        <f aca="false">IF(ISBLANK($C254),"",$D254)</f>
        <v/>
      </c>
      <c r="DD254" s="147" t="str">
        <f aca="false">$CR254</f>
        <v/>
      </c>
      <c r="DE254" s="148" t="str">
        <f aca="false">$CQ254</f>
        <v/>
      </c>
      <c r="DF254" s="146" t="str">
        <f aca="false">IF(ISBLANK($C254),"",$CT254)</f>
        <v/>
      </c>
      <c r="DG254" s="149" t="str">
        <f aca="false">IF($CX254&gt;$CW$8,"",VLOOKUP($CX254,$CZ$9:$DF$508,7,FALSE()))</f>
        <v/>
      </c>
      <c r="DH254" s="150" t="str">
        <f aca="false">IF($CX254&gt;$CW$8,"",VLOOKUP($CX254,$CZ$9:$DF$508,2,FALSE()))</f>
        <v/>
      </c>
      <c r="DI254" s="150" t="str">
        <f aca="false">IF($CX254&gt;$CW$8,"",VLOOKUP($CX254,$CZ$9:$DF$508,3,FALSE()))</f>
        <v/>
      </c>
      <c r="DJ254" s="150" t="str">
        <f aca="false">IF($CX254&gt;$CW$8,"",VLOOKUP($CX254,$CZ$9:$DF$508,4,FALSE()))</f>
        <v/>
      </c>
      <c r="DK254" s="150" t="str">
        <f aca="false">IF($CX254&gt;$CW$8,"",VLOOKUP($CX254,$CZ$9:$DF$508,5,FALSE()))</f>
        <v/>
      </c>
      <c r="DL254" s="151" t="str">
        <f aca="false">IF($CX254&gt;$CW$8,"",VLOOKUP($CX254,$CZ$9:$DF$508,6,FALSE()))</f>
        <v/>
      </c>
      <c r="DM254" s="75"/>
    </row>
    <row r="255" customFormat="false" ht="15.75" hidden="false" customHeight="false" outlineLevel="0" collapsed="false">
      <c r="A255" s="9"/>
      <c r="B255" s="77"/>
      <c r="C255" s="78"/>
      <c r="D255" s="167"/>
      <c r="E255" s="175"/>
      <c r="F255" s="169"/>
      <c r="G255" s="170"/>
      <c r="H255" s="170"/>
      <c r="I255" s="176"/>
      <c r="J255" s="173"/>
      <c r="K255" s="85"/>
      <c r="L255" s="86"/>
      <c r="M255" s="87"/>
      <c r="N255" s="173"/>
      <c r="O255" s="173"/>
      <c r="P255" s="175"/>
      <c r="Q255" s="173"/>
      <c r="R255" s="173"/>
      <c r="S255" s="85"/>
      <c r="T255" s="87"/>
      <c r="U255" s="87"/>
      <c r="V255" s="173"/>
      <c r="W255" s="173"/>
      <c r="X255" s="175"/>
      <c r="Y255" s="173"/>
      <c r="Z255" s="174"/>
      <c r="AA255" s="173"/>
      <c r="AB255" s="91"/>
      <c r="AC255" s="92"/>
      <c r="AD255" s="92"/>
      <c r="AE255" s="92"/>
      <c r="AF255" s="92" t="str">
        <f aca="false">IF(ISBLANK($C255),"",IF(E255=Constants!$B$3,TRUE(),IF(E255=Constants!$B$4,FALSE(),TRUE())))</f>
        <v/>
      </c>
      <c r="AG255" s="92" t="str">
        <f aca="false">IF(ISBLANK($C255),"",IF(F255=Constants!$B$3,TRUE(),IF(F255=Constants!$B$4,FALSE(),TRUE())))</f>
        <v/>
      </c>
      <c r="AH255" s="92" t="str">
        <f aca="false">IF(ISBLANK($C255),"",IF(G255=Constants!$B$3,TRUE(),IF(G255=Constants!$B$4,FALSE(),TRUE())))</f>
        <v/>
      </c>
      <c r="AI255" s="92" t="str">
        <f aca="false">IF(ISBLANK($C255),"",IF(AND(ISNUMBER(H255),H255&gt;=0),H255,Constants!$B$29))</f>
        <v/>
      </c>
      <c r="AJ255" s="92" t="str">
        <f aca="false">IF(ISBLANK($C255),"",IF(I255=Constants!$B$3,TRUE(),IF(I255=Constants!$B$4,FALSE(),TRUE())))</f>
        <v/>
      </c>
      <c r="AK255" s="92" t="str">
        <f aca="false">IF(ISBLANK($C255),"",IF(J255=Constants!$B$3,TRUE(),IF(J255=Constants!$B$4,FALSE(),TRUE())))</f>
        <v/>
      </c>
      <c r="AL255" s="92" t="str">
        <f aca="false">IF(ISBLANK($C255),"",IF(K255=Constants!$B$5,TRUE(),IF(K255=Constants!$B$6,FALSE(),COUNTA(L255:P255)&gt;0)))</f>
        <v/>
      </c>
      <c r="AM255" s="94" t="str">
        <f aca="false">IF(ISBLANK($C255),"",IF(ISNUMBER(L255),IF(L255&gt;=0,L255,""),""))</f>
        <v/>
      </c>
      <c r="AN255" s="93" t="str">
        <f aca="false">IF(ISBLANK($C255),"",IF(ISNUMBER(M255),IF(M255&gt;=0,M255,""),""))</f>
        <v/>
      </c>
      <c r="AO255" s="93" t="str">
        <f aca="false">IF(ISBLANK($C255),"",IF(N255=Constants!$B$3,TRUE(),IF(N255=Constants!$B$4,FALSE(),TRUE())))</f>
        <v/>
      </c>
      <c r="AP255" s="92" t="str">
        <f aca="false">IF(ISBLANK($C255),"",IF(ISNUMBER(O255),IF(O255&gt;=0,O255,""),""))</f>
        <v/>
      </c>
      <c r="AQ255" s="92" t="str">
        <f aca="false">IF(ISBLANK($C255),"",IF(P255=Constants!$B$3,TRUE(),IF(P255=Constants!$B$4,FALSE(),FALSE())))</f>
        <v/>
      </c>
      <c r="AR255" s="92" t="str">
        <f aca="false">IF(ISBLANK($C255),"",IF(Q255=Constants!$B$3,TRUE(),IF(Q255=Constants!$B$4,FALSE(),TRUE())))</f>
        <v/>
      </c>
      <c r="AS255" s="92" t="str">
        <f aca="false">IF(ISBLANK($C255),"",IF(R255=Constants!$B$3,TRUE(),IF(R255=Constants!$B$4,FALSE(),TRUE())))</f>
        <v/>
      </c>
      <c r="AT255" s="92" t="str">
        <f aca="false">IF(ISBLANK($C255),"",IF(S255=Constants!$B$5,TRUE(),IF(S255=Constants!$B$6,FALSE(),COUNTA(T255:X255)&gt;0)))</f>
        <v/>
      </c>
      <c r="AU255" s="94" t="str">
        <f aca="false">IF(ISBLANK($C255),"",IF(ISNUMBER(T255),IF(T255&gt;=0,T255,""),""))</f>
        <v/>
      </c>
      <c r="AV255" s="93" t="str">
        <f aca="false">IF(ISBLANK($C255),"",IF(ISNUMBER(U255),IF(U255&gt;=0,U255,""),""))</f>
        <v/>
      </c>
      <c r="AW255" s="93" t="str">
        <f aca="false">IF(ISBLANK($C255),"",IF(V255=Constants!$B$3,TRUE(),IF(V255=Constants!$B$4,FALSE(),TRUE())))</f>
        <v/>
      </c>
      <c r="AX255" s="92" t="str">
        <f aca="false">IF(ISBLANK($C255),"",IF(ISNUMBER(W255),IF(W255&gt;=0,W255,""),""))</f>
        <v/>
      </c>
      <c r="AY255" s="92" t="str">
        <f aca="false">IF(ISBLANK($C255),"",IF(X255=Constants!$B$3,TRUE(),IF(X255=Constants!$B$4,FALSE(),FALSE())))</f>
        <v/>
      </c>
      <c r="AZ255" s="92" t="str">
        <f aca="false">IF(ISBLANK($C255),"",MIN(Constants!$B$31,MAX(0,IF(ISNUMBER(Y255),Y255*60,0)+IF(ISNUMBER(Z255),Z255,0))))</f>
        <v/>
      </c>
      <c r="BA255" s="92" t="str">
        <f aca="false">IF(ISBLANK($C255),"",IF(AA255=Constants!$B$3,TRUE(),IF(AA255=Constants!$B$4,FALSE(),FALSE())))</f>
        <v/>
      </c>
      <c r="BB255" s="91" t="str">
        <f aca="false">IF(ISBLANK($C255),"",AND($AL255,OR($AM255="",$AN255="",AND($AO255,$AP255=""))))</f>
        <v/>
      </c>
      <c r="BC255" s="93" t="str">
        <f aca="false">IF($BR255&lt;&gt;Constants!$B$8,"",IF($AL255,Constants!$B$21*$AN255+Constants!$B$22*IF($AO255,$AP255,Constants!$B$23),Constants!$B$24))</f>
        <v/>
      </c>
      <c r="BD255" s="96" t="str">
        <f aca="false">IF($BR255&lt;&gt;Constants!$B$8,"",Constants!$B$25*ABS($AD$9-IF($AL255,$AM255,0)))</f>
        <v/>
      </c>
      <c r="BE255" s="96" t="str">
        <f aca="false">IF($BR255&lt;&gt;Constants!$B$8,"",IF(AND($AL255,$AQ255,$AO255),Constants!$B$27,0))</f>
        <v/>
      </c>
      <c r="BF255" s="96" t="str">
        <f aca="false">IF($BR255&lt;&gt;Constants!$B$8,"",IF($AL255,($AI255-Constants!$B$29)*Constants!$B$28,0))</f>
        <v/>
      </c>
      <c r="BG255" s="96" t="str">
        <f aca="false">IF($BR255&lt;&gt;Constants!$B$8,"",IF($AK255,0,Constants!$B$15)+IF($AJ255,0,Constants!$B$16)+IF($AH255,0,Constants!$B$17))</f>
        <v/>
      </c>
      <c r="BH255" s="97" t="str">
        <f aca="false">IF($BR255&lt;&gt;Constants!$B$8,"",Constants!$B$20+SUM($BC255:$BG255))</f>
        <v/>
      </c>
      <c r="BI255" s="92" t="str">
        <f aca="false">IF($BR255&lt;&gt;Constants!$B$8,"",IF(OR($BP255&lt;$BH255,AND($BP255=$BH255,OR($BK255&lt;$BC255,AND($BK255=$BC255,OR($BL255&lt;$BD255,AND($BL255=$BD255,$AT255,$AL255,$AV255&lt;$AN255)))))),"-&gt;","&lt;-"))</f>
        <v/>
      </c>
      <c r="BJ255" s="91" t="str">
        <f aca="false">IF(ISBLANK($C255),"",AND($AT255,OR($AU255="",$AV255="",AND($AW255,$AX255=""))))</f>
        <v/>
      </c>
      <c r="BK255" s="93" t="str">
        <f aca="false">IF($BR255&lt;&gt;Constants!$B$8,"",IF($AT255,Constants!$B$21*$AV255+Constants!$B$22*IF($AW255,$AX255,Constants!$B$23),Constants!$B$24))</f>
        <v/>
      </c>
      <c r="BL255" s="96" t="str">
        <f aca="false">IF($BR255&lt;&gt;Constants!$B$8,"",Constants!$B$25*ABS($AD$9-IF($AT255,$AU255,0)))</f>
        <v/>
      </c>
      <c r="BM255" s="96" t="str">
        <f aca="false">IF($BR255&lt;&gt;Constants!$B$8,"",IF(AND($AT255,$AY255,$AW255),Constants!$B$27,0))</f>
        <v/>
      </c>
      <c r="BN255" s="96" t="str">
        <f aca="false">IF($BR255&lt;&gt;Constants!$B$8,"",IF($AT255,($AI255-Constants!$B$29)*Constants!$B$28,0))</f>
        <v/>
      </c>
      <c r="BO255" s="96" t="str">
        <f aca="false">IF($BR255&lt;&gt;Constants!$B$8,"",IF($AS255,0,Constants!$B$15)+IF($AR255,0,Constants!$B$16)+IF($AH255,0,Constants!$B$17))</f>
        <v/>
      </c>
      <c r="BP255" s="97" t="str">
        <f aca="false">IF($BR255&lt;&gt;Constants!$B$8,"",Constants!$B$20+SUM($BK255:$BO255))</f>
        <v/>
      </c>
      <c r="BQ255" s="92" t="str">
        <f aca="false">IF(ISBLANK($C255),"",IF(ISBLANK($D$7),$BQ$5,IF(NOT(ISNUMBER($D$7)),$BQ$6,"")))</f>
        <v/>
      </c>
      <c r="BR255" s="92" t="str">
        <f aca="false">IF(ISBLANK($C255),"",IF($BA255,Constants!$B$11,IF(COUNTA($E255:$AA255)=0,Constants!$B$10,IF(NOT($AG255),Constants!$B$9,IF(OR($BQ255&lt;&gt;"",$BB255,$BJ255),Constants!$B$12,Constants!$B$8)))))</f>
        <v/>
      </c>
      <c r="BS255" s="92" t="str">
        <f aca="false">IF(ISBLANK($C255),"",IF($BR255&lt;&gt;Constants!$B$8,$BR255,Constants!$B$13))</f>
        <v/>
      </c>
      <c r="BT255" s="96" t="str">
        <f aca="false">IF($BR255&lt;&gt;Constants!$B$8,"",IF($BI255="-&gt;",$BP255,$BH255))</f>
        <v/>
      </c>
      <c r="BU255" s="96" t="str">
        <f aca="false">IF($BR255&lt;&gt;Constants!$B$8,"",IF($AF255,0,Constants!$B$18))</f>
        <v/>
      </c>
      <c r="BV255" s="96" t="str">
        <f aca="false">IF($BR255&lt;&gt;Constants!$B$8,"",((Constants!$B$31-$AZ255)-Constants!$B$31)/Constants!$B$32)</f>
        <v/>
      </c>
      <c r="BW255" s="96" t="str">
        <f aca="false">IF(ISBLANK($C255),"",IF($BR255&lt;&gt;Constants!$B$8,$BR255,SUM($BT255:$BV255)))</f>
        <v/>
      </c>
      <c r="BX255" s="92" t="str">
        <f aca="false">IF(ISBLANK($C255),"",IF($BR255&lt;&gt;Constants!$B$8,$BR255,RANK($BW255,$BW$9:$BW$508,1)))</f>
        <v/>
      </c>
      <c r="BY255" s="96" t="str">
        <f aca="false">IF($BR255&lt;&gt;Constants!$B$8,"",IF($BI255="-&gt;",$BK255,$BC255))</f>
        <v/>
      </c>
      <c r="BZ255" s="92" t="str">
        <f aca="false">IF(ISBLANK($C255),"",IF($BR255&lt;&gt;Constants!$B$8,$BR255,IF(ISNUMBER($BY255),RANK($BY255,$BY$9:$BY$508,1),COUNT($BY$9:$BY$508)+1)))</f>
        <v/>
      </c>
      <c r="CA255" s="96" t="str">
        <f aca="false">IF($BR255&lt;&gt;Constants!$B$8,"",IF($BI255="-&gt;",$BL255,$BD255))</f>
        <v/>
      </c>
      <c r="CB255" s="92" t="str">
        <f aca="false">IF(ISBLANK($C255),"",IF($BR255&lt;&gt;Constants!$B$8,$BR255,IF(ISNUMBER($CA255),RANK($CA255,$CA$9:$CA$508,1),COUNT($CA$9:$CA$508)+1)))</f>
        <v/>
      </c>
      <c r="CC255" s="96" t="str">
        <f aca="false">IF($BR255&lt;&gt;Constants!$B$8,"",IF($BI255="-&gt;",IF($AT255,$AV255,""),IF($AL255,$AN255,"")))</f>
        <v/>
      </c>
      <c r="CD255" s="92" t="str">
        <f aca="false">IF(ISBLANK($C255),"",IF($BR255&lt;&gt;Constants!$B$8,$BR255,IF(ISNUMBER($CC255),RANK($CC255,$CC$9:$CC$508,1),COUNT($CC$9:$CC$508)+1)))</f>
        <v/>
      </c>
      <c r="CE255" s="96" t="str">
        <f aca="false">IF($BR255&lt;&gt;Constants!$B$8,"",IF(AND(NOT($AL255),NOT($AT255),$AJ255,$AK255,$AR255,$AS255),"",$AI255))</f>
        <v/>
      </c>
      <c r="CF255" s="92" t="str">
        <f aca="false">IF(ISBLANK($C255),"",IF($BR255&lt;&gt;Constants!$B$8,$BR255,IF(ISNUMBER($CE255),RANK($CE255,$CE$9:$CE$508,1),COUNT($CE$9:$CE$508)+1)))</f>
        <v/>
      </c>
      <c r="CG255" s="92" t="str">
        <f aca="false">IF(ISBLANK($C255),"",IF($BR255&lt;&gt;Constants!$B$8,$BR255,COUNTIFS($BX$9:$BX$508,"&lt;"&amp;$BX255)+COUNTIFS($BX$9:$BX$508,$BX255,$BZ$9:$BZ$508,"&lt;"&amp;$BZ255)+COUNTIFS($BX$9:$BX$508,$BX255,$BZ$9:$BZ$508,$BZ255,$CB$9:$CB$508,"&lt;"&amp;$CB255)+COUNTIFS($BX$9:$BX$508,$BX255,$BZ$9:$BZ$508,$BZ255,$CB$9:$CB$508,$CB255,$CD$9:$CD$508,"&lt;"&amp;$CD255)+COUNTIFS($BX$9:$BX$508,$BX255,$BZ$9:$BZ$508,$BZ255,$CB$9:$CB$508,$CB255,$CD$9:$CD$508,$CD255,$CF$9:$CF$508,"&lt;"&amp;$CF255)+1))</f>
        <v/>
      </c>
      <c r="CH255" s="92" t="str">
        <f aca="false">IF(ISBLANK($C255),"",IF($BR255&lt;&gt;Constants!$B$8,$BR255,$BX255-$CG255))</f>
        <v/>
      </c>
      <c r="CI255" s="98"/>
      <c r="CJ255" s="99"/>
      <c r="CK255" s="100" t="str">
        <f aca="false">IF(ISBLANK($C255),"",IF($BR255=Constants!$B$12,$BQ255,""))</f>
        <v/>
      </c>
      <c r="CL255" s="99" t="str">
        <f aca="false">IF(ISBLANK($C255),"",IF($BR255&lt;&gt;Constants!$B$8,"",IF($BI255="-&gt;",2,1)))</f>
        <v/>
      </c>
      <c r="CM255" s="101" t="str">
        <f aca="false">IF(ISBLANK($C255),"",IF($BR255&lt;&gt;Constants!$B$8,"",IF($BI255="-&gt;",$BK255,$BC255)))</f>
        <v/>
      </c>
      <c r="CN255" s="101" t="str">
        <f aca="false">IF(ISBLANK($C255),"",IF($BR255&lt;&gt;Constants!$B$8,"",IF($BI255="-&gt;",$BL255,$BD255)))</f>
        <v/>
      </c>
      <c r="CO255" s="101" t="str">
        <f aca="false">IF(ISBLANK($C255),"",IF($BR255&lt;&gt;Constants!$B$8,"",IF($BI255="-&gt;",$BM255+$BN255,$BE255+$BF255)+$BV255))</f>
        <v/>
      </c>
      <c r="CP255" s="101" t="str">
        <f aca="false">IF(ISBLANK($C255),"",IF($BR255&lt;&gt;Constants!$B$8,"",IF($BI255="-&gt;",$BO255,$BG255)+$BU255))</f>
        <v/>
      </c>
      <c r="CQ255" s="102" t="str">
        <f aca="false">IF(ISBLANK($C255),"",IF($BR255&lt;&gt;Constants!$B$8,$BR255,$BW255))</f>
        <v/>
      </c>
      <c r="CR255" s="103" t="str">
        <f aca="false">IF(ISBLANK($C255),"",$BS255)</f>
        <v/>
      </c>
      <c r="CS255" s="104" t="str">
        <f aca="false">IF(ISBLANK($C255),"",$CH255)</f>
        <v/>
      </c>
      <c r="CT255" s="104" t="str">
        <f aca="false">IF(ISBLANK($C255),"",$CG255)</f>
        <v/>
      </c>
      <c r="CU255" s="105" t="str">
        <f aca="false">IF(ISBLANK($C255),"",IFERROR(_xlfn.SWITCH($CT255,Constants!$B$11,COUNTA($C$9:$C$508)+2,Constants!$B$10,COUNTA($C$9:$C$508)+1,Constants!$B$9,COUNTA($C$9:$C$508)),$CT255))</f>
        <v/>
      </c>
      <c r="CV255" s="9"/>
      <c r="CW255" s="106" t="n">
        <f aca="false">IF(OR(ISNUMBER($CT255),$CT255=Constants!$B$11,$CT255=Constants!$B$9,$CT255=Constants!$B$10),1,0)</f>
        <v>0</v>
      </c>
      <c r="CX255" s="106" t="n">
        <v>247</v>
      </c>
      <c r="CY255" s="106" t="str">
        <f aca="false">IF(ISBLANK($C255),"",IF(ISNUMBER($CU255),$CU255+ROW($B255)/1000,""))</f>
        <v/>
      </c>
      <c r="CZ255" s="106" t="str">
        <f aca="false">IF(ISNUMBER($CY255),RANK($CY255,$CY$9:$CY$508,1),"")</f>
        <v/>
      </c>
      <c r="DA255" s="106" t="str">
        <f aca="false">IF(ISBLANK($C255),"",$B255)</f>
        <v/>
      </c>
      <c r="DB255" s="106" t="str">
        <f aca="false">IF(ISBLANK($C255),"",$C255)</f>
        <v/>
      </c>
      <c r="DC255" s="106" t="str">
        <f aca="false">IF(ISBLANK($C255),"",$D255)</f>
        <v/>
      </c>
      <c r="DD255" s="107" t="str">
        <f aca="false">$CR255</f>
        <v/>
      </c>
      <c r="DE255" s="108" t="str">
        <f aca="false">$CQ255</f>
        <v/>
      </c>
      <c r="DF255" s="106" t="str">
        <f aca="false">IF(ISBLANK($C255),"",$CT255)</f>
        <v/>
      </c>
      <c r="DG255" s="109" t="str">
        <f aca="false">IF($CX255&gt;$CW$8,"",VLOOKUP($CX255,$CZ$9:$DF$508,7,FALSE()))</f>
        <v/>
      </c>
      <c r="DH255" s="110" t="str">
        <f aca="false">IF($CX255&gt;$CW$8,"",VLOOKUP($CX255,$CZ$9:$DF$508,2,FALSE()))</f>
        <v/>
      </c>
      <c r="DI255" s="110" t="str">
        <f aca="false">IF($CX255&gt;$CW$8,"",VLOOKUP($CX255,$CZ$9:$DF$508,3,FALSE()))</f>
        <v/>
      </c>
      <c r="DJ255" s="110" t="str">
        <f aca="false">IF($CX255&gt;$CW$8,"",VLOOKUP($CX255,$CZ$9:$DF$508,4,FALSE()))</f>
        <v/>
      </c>
      <c r="DK255" s="110" t="str">
        <f aca="false">IF($CX255&gt;$CW$8,"",VLOOKUP($CX255,$CZ$9:$DF$508,5,FALSE()))</f>
        <v/>
      </c>
      <c r="DL255" s="111" t="str">
        <f aca="false">IF($CX255&gt;$CW$8,"",VLOOKUP($CX255,$CZ$9:$DF$508,6,FALSE()))</f>
        <v/>
      </c>
      <c r="DM255" s="75"/>
    </row>
    <row r="256" customFormat="false" ht="15.75" hidden="false" customHeight="false" outlineLevel="0" collapsed="false">
      <c r="A256" s="9"/>
      <c r="B256" s="77"/>
      <c r="C256" s="78"/>
      <c r="D256" s="167"/>
      <c r="E256" s="175"/>
      <c r="F256" s="169"/>
      <c r="G256" s="170"/>
      <c r="H256" s="170"/>
      <c r="I256" s="176"/>
      <c r="J256" s="173"/>
      <c r="K256" s="85"/>
      <c r="L256" s="86"/>
      <c r="M256" s="87"/>
      <c r="N256" s="173"/>
      <c r="O256" s="173"/>
      <c r="P256" s="175"/>
      <c r="Q256" s="173"/>
      <c r="R256" s="173"/>
      <c r="S256" s="85"/>
      <c r="T256" s="87"/>
      <c r="U256" s="87"/>
      <c r="V256" s="173"/>
      <c r="W256" s="173"/>
      <c r="X256" s="175"/>
      <c r="Y256" s="173"/>
      <c r="Z256" s="174"/>
      <c r="AA256" s="173"/>
      <c r="AB256" s="91"/>
      <c r="AC256" s="92"/>
      <c r="AD256" s="92"/>
      <c r="AE256" s="92"/>
      <c r="AF256" s="92" t="str">
        <f aca="false">IF(ISBLANK($C256),"",IF(E256=Constants!$B$3,TRUE(),IF(E256=Constants!$B$4,FALSE(),TRUE())))</f>
        <v/>
      </c>
      <c r="AG256" s="92" t="str">
        <f aca="false">IF(ISBLANK($C256),"",IF(F256=Constants!$B$3,TRUE(),IF(F256=Constants!$B$4,FALSE(),TRUE())))</f>
        <v/>
      </c>
      <c r="AH256" s="92" t="str">
        <f aca="false">IF(ISBLANK($C256),"",IF(G256=Constants!$B$3,TRUE(),IF(G256=Constants!$B$4,FALSE(),TRUE())))</f>
        <v/>
      </c>
      <c r="AI256" s="92" t="str">
        <f aca="false">IF(ISBLANK($C256),"",IF(AND(ISNUMBER(H256),H256&gt;=0),H256,Constants!$B$29))</f>
        <v/>
      </c>
      <c r="AJ256" s="92" t="str">
        <f aca="false">IF(ISBLANK($C256),"",IF(I256=Constants!$B$3,TRUE(),IF(I256=Constants!$B$4,FALSE(),TRUE())))</f>
        <v/>
      </c>
      <c r="AK256" s="92" t="str">
        <f aca="false">IF(ISBLANK($C256),"",IF(J256=Constants!$B$3,TRUE(),IF(J256=Constants!$B$4,FALSE(),TRUE())))</f>
        <v/>
      </c>
      <c r="AL256" s="92" t="str">
        <f aca="false">IF(ISBLANK($C256),"",IF(K256=Constants!$B$5,TRUE(),IF(K256=Constants!$B$6,FALSE(),COUNTA(L256:P256)&gt;0)))</f>
        <v/>
      </c>
      <c r="AM256" s="94" t="str">
        <f aca="false">IF(ISBLANK($C256),"",IF(ISNUMBER(L256),IF(L256&gt;=0,L256,""),""))</f>
        <v/>
      </c>
      <c r="AN256" s="93" t="str">
        <f aca="false">IF(ISBLANK($C256),"",IF(ISNUMBER(M256),IF(M256&gt;=0,M256,""),""))</f>
        <v/>
      </c>
      <c r="AO256" s="93" t="str">
        <f aca="false">IF(ISBLANK($C256),"",IF(N256=Constants!$B$3,TRUE(),IF(N256=Constants!$B$4,FALSE(),TRUE())))</f>
        <v/>
      </c>
      <c r="AP256" s="92" t="str">
        <f aca="false">IF(ISBLANK($C256),"",IF(ISNUMBER(O256),IF(O256&gt;=0,O256,""),""))</f>
        <v/>
      </c>
      <c r="AQ256" s="92" t="str">
        <f aca="false">IF(ISBLANK($C256),"",IF(P256=Constants!$B$3,TRUE(),IF(P256=Constants!$B$4,FALSE(),FALSE())))</f>
        <v/>
      </c>
      <c r="AR256" s="92" t="str">
        <f aca="false">IF(ISBLANK($C256),"",IF(Q256=Constants!$B$3,TRUE(),IF(Q256=Constants!$B$4,FALSE(),TRUE())))</f>
        <v/>
      </c>
      <c r="AS256" s="92" t="str">
        <f aca="false">IF(ISBLANK($C256),"",IF(R256=Constants!$B$3,TRUE(),IF(R256=Constants!$B$4,FALSE(),TRUE())))</f>
        <v/>
      </c>
      <c r="AT256" s="92" t="str">
        <f aca="false">IF(ISBLANK($C256),"",IF(S256=Constants!$B$5,TRUE(),IF(S256=Constants!$B$6,FALSE(),COUNTA(T256:X256)&gt;0)))</f>
        <v/>
      </c>
      <c r="AU256" s="94" t="str">
        <f aca="false">IF(ISBLANK($C256),"",IF(ISNUMBER(T256),IF(T256&gt;=0,T256,""),""))</f>
        <v/>
      </c>
      <c r="AV256" s="93" t="str">
        <f aca="false">IF(ISBLANK($C256),"",IF(ISNUMBER(U256),IF(U256&gt;=0,U256,""),""))</f>
        <v/>
      </c>
      <c r="AW256" s="93" t="str">
        <f aca="false">IF(ISBLANK($C256),"",IF(V256=Constants!$B$3,TRUE(),IF(V256=Constants!$B$4,FALSE(),TRUE())))</f>
        <v/>
      </c>
      <c r="AX256" s="92" t="str">
        <f aca="false">IF(ISBLANK($C256),"",IF(ISNUMBER(W256),IF(W256&gt;=0,W256,""),""))</f>
        <v/>
      </c>
      <c r="AY256" s="92" t="str">
        <f aca="false">IF(ISBLANK($C256),"",IF(X256=Constants!$B$3,TRUE(),IF(X256=Constants!$B$4,FALSE(),FALSE())))</f>
        <v/>
      </c>
      <c r="AZ256" s="92" t="str">
        <f aca="false">IF(ISBLANK($C256),"",MIN(Constants!$B$31,MAX(0,IF(ISNUMBER(Y256),Y256*60,0)+IF(ISNUMBER(Z256),Z256,0))))</f>
        <v/>
      </c>
      <c r="BA256" s="92" t="str">
        <f aca="false">IF(ISBLANK($C256),"",IF(AA256=Constants!$B$3,TRUE(),IF(AA256=Constants!$B$4,FALSE(),FALSE())))</f>
        <v/>
      </c>
      <c r="BB256" s="91" t="str">
        <f aca="false">IF(ISBLANK($C256),"",AND($AL256,OR($AM256="",$AN256="",AND($AO256,$AP256=""))))</f>
        <v/>
      </c>
      <c r="BC256" s="93" t="str">
        <f aca="false">IF($BR256&lt;&gt;Constants!$B$8,"",IF($AL256,Constants!$B$21*$AN256+Constants!$B$22*IF($AO256,$AP256,Constants!$B$23),Constants!$B$24))</f>
        <v/>
      </c>
      <c r="BD256" s="96" t="str">
        <f aca="false">IF($BR256&lt;&gt;Constants!$B$8,"",Constants!$B$25*ABS($AD$9-IF($AL256,$AM256,0)))</f>
        <v/>
      </c>
      <c r="BE256" s="96" t="str">
        <f aca="false">IF($BR256&lt;&gt;Constants!$B$8,"",IF(AND($AL256,$AQ256,$AO256),Constants!$B$27,0))</f>
        <v/>
      </c>
      <c r="BF256" s="96" t="str">
        <f aca="false">IF($BR256&lt;&gt;Constants!$B$8,"",IF($AL256,($AI256-Constants!$B$29)*Constants!$B$28,0))</f>
        <v/>
      </c>
      <c r="BG256" s="96" t="str">
        <f aca="false">IF($BR256&lt;&gt;Constants!$B$8,"",IF($AK256,0,Constants!$B$15)+IF($AJ256,0,Constants!$B$16)+IF($AH256,0,Constants!$B$17))</f>
        <v/>
      </c>
      <c r="BH256" s="97" t="str">
        <f aca="false">IF($BR256&lt;&gt;Constants!$B$8,"",Constants!$B$20+SUM($BC256:$BG256))</f>
        <v/>
      </c>
      <c r="BI256" s="92" t="str">
        <f aca="false">IF($BR256&lt;&gt;Constants!$B$8,"",IF(OR($BP256&lt;$BH256,AND($BP256=$BH256,OR($BK256&lt;$BC256,AND($BK256=$BC256,OR($BL256&lt;$BD256,AND($BL256=$BD256,$AT256,$AL256,$AV256&lt;$AN256)))))),"-&gt;","&lt;-"))</f>
        <v/>
      </c>
      <c r="BJ256" s="91" t="str">
        <f aca="false">IF(ISBLANK($C256),"",AND($AT256,OR($AU256="",$AV256="",AND($AW256,$AX256=""))))</f>
        <v/>
      </c>
      <c r="BK256" s="93" t="str">
        <f aca="false">IF($BR256&lt;&gt;Constants!$B$8,"",IF($AT256,Constants!$B$21*$AV256+Constants!$B$22*IF($AW256,$AX256,Constants!$B$23),Constants!$B$24))</f>
        <v/>
      </c>
      <c r="BL256" s="96" t="str">
        <f aca="false">IF($BR256&lt;&gt;Constants!$B$8,"",Constants!$B$25*ABS($AD$9-IF($AT256,$AU256,0)))</f>
        <v/>
      </c>
      <c r="BM256" s="96" t="str">
        <f aca="false">IF($BR256&lt;&gt;Constants!$B$8,"",IF(AND($AT256,$AY256,$AW256),Constants!$B$27,0))</f>
        <v/>
      </c>
      <c r="BN256" s="96" t="str">
        <f aca="false">IF($BR256&lt;&gt;Constants!$B$8,"",IF($AT256,($AI256-Constants!$B$29)*Constants!$B$28,0))</f>
        <v/>
      </c>
      <c r="BO256" s="96" t="str">
        <f aca="false">IF($BR256&lt;&gt;Constants!$B$8,"",IF($AS256,0,Constants!$B$15)+IF($AR256,0,Constants!$B$16)+IF($AH256,0,Constants!$B$17))</f>
        <v/>
      </c>
      <c r="BP256" s="97" t="str">
        <f aca="false">IF($BR256&lt;&gt;Constants!$B$8,"",Constants!$B$20+SUM($BK256:$BO256))</f>
        <v/>
      </c>
      <c r="BQ256" s="92" t="str">
        <f aca="false">IF(ISBLANK($C256),"",IF(ISBLANK($D$7),$BQ$5,IF(NOT(ISNUMBER($D$7)),$BQ$6,"")))</f>
        <v/>
      </c>
      <c r="BR256" s="92" t="str">
        <f aca="false">IF(ISBLANK($C256),"",IF($BA256,Constants!$B$11,IF(COUNTA($E256:$AA256)=0,Constants!$B$10,IF(NOT($AG256),Constants!$B$9,IF(OR($BQ256&lt;&gt;"",$BB256,$BJ256),Constants!$B$12,Constants!$B$8)))))</f>
        <v/>
      </c>
      <c r="BS256" s="92" t="str">
        <f aca="false">IF(ISBLANK($C256),"",IF($BR256&lt;&gt;Constants!$B$8,$BR256,Constants!$B$13))</f>
        <v/>
      </c>
      <c r="BT256" s="96" t="str">
        <f aca="false">IF($BR256&lt;&gt;Constants!$B$8,"",IF($BI256="-&gt;",$BP256,$BH256))</f>
        <v/>
      </c>
      <c r="BU256" s="96" t="str">
        <f aca="false">IF($BR256&lt;&gt;Constants!$B$8,"",IF($AF256,0,Constants!$B$18))</f>
        <v/>
      </c>
      <c r="BV256" s="96" t="str">
        <f aca="false">IF($BR256&lt;&gt;Constants!$B$8,"",((Constants!$B$31-$AZ256)-Constants!$B$31)/Constants!$B$32)</f>
        <v/>
      </c>
      <c r="BW256" s="96" t="str">
        <f aca="false">IF(ISBLANK($C256),"",IF($BR256&lt;&gt;Constants!$B$8,$BR256,SUM($BT256:$BV256)))</f>
        <v/>
      </c>
      <c r="BX256" s="92" t="str">
        <f aca="false">IF(ISBLANK($C256),"",IF($BR256&lt;&gt;Constants!$B$8,$BR256,RANK($BW256,$BW$9:$BW$508,1)))</f>
        <v/>
      </c>
      <c r="BY256" s="96" t="str">
        <f aca="false">IF($BR256&lt;&gt;Constants!$B$8,"",IF($BI256="-&gt;",$BK256,$BC256))</f>
        <v/>
      </c>
      <c r="BZ256" s="92" t="str">
        <f aca="false">IF(ISBLANK($C256),"",IF($BR256&lt;&gt;Constants!$B$8,$BR256,IF(ISNUMBER($BY256),RANK($BY256,$BY$9:$BY$508,1),COUNT($BY$9:$BY$508)+1)))</f>
        <v/>
      </c>
      <c r="CA256" s="96" t="str">
        <f aca="false">IF($BR256&lt;&gt;Constants!$B$8,"",IF($BI256="-&gt;",$BL256,$BD256))</f>
        <v/>
      </c>
      <c r="CB256" s="92" t="str">
        <f aca="false">IF(ISBLANK($C256),"",IF($BR256&lt;&gt;Constants!$B$8,$BR256,IF(ISNUMBER($CA256),RANK($CA256,$CA$9:$CA$508,1),COUNT($CA$9:$CA$508)+1)))</f>
        <v/>
      </c>
      <c r="CC256" s="96" t="str">
        <f aca="false">IF($BR256&lt;&gt;Constants!$B$8,"",IF($BI256="-&gt;",IF($AT256,$AV256,""),IF($AL256,$AN256,"")))</f>
        <v/>
      </c>
      <c r="CD256" s="92" t="str">
        <f aca="false">IF(ISBLANK($C256),"",IF($BR256&lt;&gt;Constants!$B$8,$BR256,IF(ISNUMBER($CC256),RANK($CC256,$CC$9:$CC$508,1),COUNT($CC$9:$CC$508)+1)))</f>
        <v/>
      </c>
      <c r="CE256" s="96" t="str">
        <f aca="false">IF($BR256&lt;&gt;Constants!$B$8,"",IF(AND(NOT($AL256),NOT($AT256),$AJ256,$AK256,$AR256,$AS256),"",$AI256))</f>
        <v/>
      </c>
      <c r="CF256" s="92" t="str">
        <f aca="false">IF(ISBLANK($C256),"",IF($BR256&lt;&gt;Constants!$B$8,$BR256,IF(ISNUMBER($CE256),RANK($CE256,$CE$9:$CE$508,1),COUNT($CE$9:$CE$508)+1)))</f>
        <v/>
      </c>
      <c r="CG256" s="92" t="str">
        <f aca="false">IF(ISBLANK($C256),"",IF($BR256&lt;&gt;Constants!$B$8,$BR256,COUNTIFS($BX$9:$BX$508,"&lt;"&amp;$BX256)+COUNTIFS($BX$9:$BX$508,$BX256,$BZ$9:$BZ$508,"&lt;"&amp;$BZ256)+COUNTIFS($BX$9:$BX$508,$BX256,$BZ$9:$BZ$508,$BZ256,$CB$9:$CB$508,"&lt;"&amp;$CB256)+COUNTIFS($BX$9:$BX$508,$BX256,$BZ$9:$BZ$508,$BZ256,$CB$9:$CB$508,$CB256,$CD$9:$CD$508,"&lt;"&amp;$CD256)+COUNTIFS($BX$9:$BX$508,$BX256,$BZ$9:$BZ$508,$BZ256,$CB$9:$CB$508,$CB256,$CD$9:$CD$508,$CD256,$CF$9:$CF$508,"&lt;"&amp;$CF256)+1))</f>
        <v/>
      </c>
      <c r="CH256" s="92" t="str">
        <f aca="false">IF(ISBLANK($C256),"",IF($BR256&lt;&gt;Constants!$B$8,$BR256,$BX256-$CG256))</f>
        <v/>
      </c>
      <c r="CI256" s="98"/>
      <c r="CJ256" s="99"/>
      <c r="CK256" s="100" t="str">
        <f aca="false">IF(ISBLANK($C256),"",IF($BR256=Constants!$B$12,$BQ256,""))</f>
        <v/>
      </c>
      <c r="CL256" s="99" t="str">
        <f aca="false">IF(ISBLANK($C256),"",IF($BR256&lt;&gt;Constants!$B$8,"",IF($BI256="-&gt;",2,1)))</f>
        <v/>
      </c>
      <c r="CM256" s="101" t="str">
        <f aca="false">IF(ISBLANK($C256),"",IF($BR256&lt;&gt;Constants!$B$8,"",IF($BI256="-&gt;",$BK256,$BC256)))</f>
        <v/>
      </c>
      <c r="CN256" s="101" t="str">
        <f aca="false">IF(ISBLANK($C256),"",IF($BR256&lt;&gt;Constants!$B$8,"",IF($BI256="-&gt;",$BL256,$BD256)))</f>
        <v/>
      </c>
      <c r="CO256" s="101" t="str">
        <f aca="false">IF(ISBLANK($C256),"",IF($BR256&lt;&gt;Constants!$B$8,"",IF($BI256="-&gt;",$BM256+$BN256,$BE256+$BF256)+$BV256))</f>
        <v/>
      </c>
      <c r="CP256" s="101" t="str">
        <f aca="false">IF(ISBLANK($C256),"",IF($BR256&lt;&gt;Constants!$B$8,"",IF($BI256="-&gt;",$BO256,$BG256)+$BU256))</f>
        <v/>
      </c>
      <c r="CQ256" s="102" t="str">
        <f aca="false">IF(ISBLANK($C256),"",IF($BR256&lt;&gt;Constants!$B$8,$BR256,$BW256))</f>
        <v/>
      </c>
      <c r="CR256" s="103" t="str">
        <f aca="false">IF(ISBLANK($C256),"",$BS256)</f>
        <v/>
      </c>
      <c r="CS256" s="104" t="str">
        <f aca="false">IF(ISBLANK($C256),"",$CH256)</f>
        <v/>
      </c>
      <c r="CT256" s="104" t="str">
        <f aca="false">IF(ISBLANK($C256),"",$CG256)</f>
        <v/>
      </c>
      <c r="CU256" s="105" t="str">
        <f aca="false">IF(ISBLANK($C256),"",IFERROR(_xlfn.SWITCH($CT256,Constants!$B$11,COUNTA($C$9:$C$508)+2,Constants!$B$10,COUNTA($C$9:$C$508)+1,Constants!$B$9,COUNTA($C$9:$C$508)),$CT256))</f>
        <v/>
      </c>
      <c r="CV256" s="9"/>
      <c r="CW256" s="106" t="n">
        <f aca="false">IF(OR(ISNUMBER($CT256),$CT256=Constants!$B$11,$CT256=Constants!$B$9,$CT256=Constants!$B$10),1,0)</f>
        <v>0</v>
      </c>
      <c r="CX256" s="106" t="n">
        <v>248</v>
      </c>
      <c r="CY256" s="106" t="str">
        <f aca="false">IF(ISBLANK($C256),"",IF(ISNUMBER($CU256),$CU256+ROW($B256)/1000,""))</f>
        <v/>
      </c>
      <c r="CZ256" s="106" t="str">
        <f aca="false">IF(ISNUMBER($CY256),RANK($CY256,$CY$9:$CY$508,1),"")</f>
        <v/>
      </c>
      <c r="DA256" s="106" t="str">
        <f aca="false">IF(ISBLANK($C256),"",$B256)</f>
        <v/>
      </c>
      <c r="DB256" s="106" t="str">
        <f aca="false">IF(ISBLANK($C256),"",$C256)</f>
        <v/>
      </c>
      <c r="DC256" s="106" t="str">
        <f aca="false">IF(ISBLANK($C256),"",$D256)</f>
        <v/>
      </c>
      <c r="DD256" s="107" t="str">
        <f aca="false">$CR256</f>
        <v/>
      </c>
      <c r="DE256" s="108" t="str">
        <f aca="false">$CQ256</f>
        <v/>
      </c>
      <c r="DF256" s="106" t="str">
        <f aca="false">IF(ISBLANK($C256),"",$CT256)</f>
        <v/>
      </c>
      <c r="DG256" s="109" t="str">
        <f aca="false">IF($CX256&gt;$CW$8,"",VLOOKUP($CX256,$CZ$9:$DF$508,7,FALSE()))</f>
        <v/>
      </c>
      <c r="DH256" s="110" t="str">
        <f aca="false">IF($CX256&gt;$CW$8,"",VLOOKUP($CX256,$CZ$9:$DF$508,2,FALSE()))</f>
        <v/>
      </c>
      <c r="DI256" s="110" t="str">
        <f aca="false">IF($CX256&gt;$CW$8,"",VLOOKUP($CX256,$CZ$9:$DF$508,3,FALSE()))</f>
        <v/>
      </c>
      <c r="DJ256" s="110" t="str">
        <f aca="false">IF($CX256&gt;$CW$8,"",VLOOKUP($CX256,$CZ$9:$DF$508,4,FALSE()))</f>
        <v/>
      </c>
      <c r="DK256" s="110" t="str">
        <f aca="false">IF($CX256&gt;$CW$8,"",VLOOKUP($CX256,$CZ$9:$DF$508,5,FALSE()))</f>
        <v/>
      </c>
      <c r="DL256" s="111" t="str">
        <f aca="false">IF($CX256&gt;$CW$8,"",VLOOKUP($CX256,$CZ$9:$DF$508,6,FALSE()))</f>
        <v/>
      </c>
      <c r="DM256" s="75"/>
    </row>
    <row r="257" customFormat="false" ht="15.75" hidden="false" customHeight="false" outlineLevel="0" collapsed="false">
      <c r="A257" s="9"/>
      <c r="B257" s="77"/>
      <c r="C257" s="78"/>
      <c r="D257" s="167"/>
      <c r="E257" s="175"/>
      <c r="F257" s="169"/>
      <c r="G257" s="170"/>
      <c r="H257" s="170"/>
      <c r="I257" s="176"/>
      <c r="J257" s="173"/>
      <c r="K257" s="85"/>
      <c r="L257" s="86"/>
      <c r="M257" s="87"/>
      <c r="N257" s="173"/>
      <c r="O257" s="173"/>
      <c r="P257" s="175"/>
      <c r="Q257" s="173"/>
      <c r="R257" s="173"/>
      <c r="S257" s="85"/>
      <c r="T257" s="87"/>
      <c r="U257" s="87"/>
      <c r="V257" s="173"/>
      <c r="W257" s="173"/>
      <c r="X257" s="175"/>
      <c r="Y257" s="173"/>
      <c r="Z257" s="174"/>
      <c r="AA257" s="173"/>
      <c r="AB257" s="91"/>
      <c r="AC257" s="92"/>
      <c r="AD257" s="92"/>
      <c r="AE257" s="92"/>
      <c r="AF257" s="92" t="str">
        <f aca="false">IF(ISBLANK($C257),"",IF(E257=Constants!$B$3,TRUE(),IF(E257=Constants!$B$4,FALSE(),TRUE())))</f>
        <v/>
      </c>
      <c r="AG257" s="92" t="str">
        <f aca="false">IF(ISBLANK($C257),"",IF(F257=Constants!$B$3,TRUE(),IF(F257=Constants!$B$4,FALSE(),TRUE())))</f>
        <v/>
      </c>
      <c r="AH257" s="92" t="str">
        <f aca="false">IF(ISBLANK($C257),"",IF(G257=Constants!$B$3,TRUE(),IF(G257=Constants!$B$4,FALSE(),TRUE())))</f>
        <v/>
      </c>
      <c r="AI257" s="92" t="str">
        <f aca="false">IF(ISBLANK($C257),"",IF(AND(ISNUMBER(H257),H257&gt;=0),H257,Constants!$B$29))</f>
        <v/>
      </c>
      <c r="AJ257" s="92" t="str">
        <f aca="false">IF(ISBLANK($C257),"",IF(I257=Constants!$B$3,TRUE(),IF(I257=Constants!$B$4,FALSE(),TRUE())))</f>
        <v/>
      </c>
      <c r="AK257" s="92" t="str">
        <f aca="false">IF(ISBLANK($C257),"",IF(J257=Constants!$B$3,TRUE(),IF(J257=Constants!$B$4,FALSE(),TRUE())))</f>
        <v/>
      </c>
      <c r="AL257" s="92" t="str">
        <f aca="false">IF(ISBLANK($C257),"",IF(K257=Constants!$B$5,TRUE(),IF(K257=Constants!$B$6,FALSE(),COUNTA(L257:P257)&gt;0)))</f>
        <v/>
      </c>
      <c r="AM257" s="94" t="str">
        <f aca="false">IF(ISBLANK($C257),"",IF(ISNUMBER(L257),IF(L257&gt;=0,L257,""),""))</f>
        <v/>
      </c>
      <c r="AN257" s="93" t="str">
        <f aca="false">IF(ISBLANK($C257),"",IF(ISNUMBER(M257),IF(M257&gt;=0,M257,""),""))</f>
        <v/>
      </c>
      <c r="AO257" s="93" t="str">
        <f aca="false">IF(ISBLANK($C257),"",IF(N257=Constants!$B$3,TRUE(),IF(N257=Constants!$B$4,FALSE(),TRUE())))</f>
        <v/>
      </c>
      <c r="AP257" s="92" t="str">
        <f aca="false">IF(ISBLANK($C257),"",IF(ISNUMBER(O257),IF(O257&gt;=0,O257,""),""))</f>
        <v/>
      </c>
      <c r="AQ257" s="92" t="str">
        <f aca="false">IF(ISBLANK($C257),"",IF(P257=Constants!$B$3,TRUE(),IF(P257=Constants!$B$4,FALSE(),FALSE())))</f>
        <v/>
      </c>
      <c r="AR257" s="92" t="str">
        <f aca="false">IF(ISBLANK($C257),"",IF(Q257=Constants!$B$3,TRUE(),IF(Q257=Constants!$B$4,FALSE(),TRUE())))</f>
        <v/>
      </c>
      <c r="AS257" s="92" t="str">
        <f aca="false">IF(ISBLANK($C257),"",IF(R257=Constants!$B$3,TRUE(),IF(R257=Constants!$B$4,FALSE(),TRUE())))</f>
        <v/>
      </c>
      <c r="AT257" s="92" t="str">
        <f aca="false">IF(ISBLANK($C257),"",IF(S257=Constants!$B$5,TRUE(),IF(S257=Constants!$B$6,FALSE(),COUNTA(T257:X257)&gt;0)))</f>
        <v/>
      </c>
      <c r="AU257" s="94" t="str">
        <f aca="false">IF(ISBLANK($C257),"",IF(ISNUMBER(T257),IF(T257&gt;=0,T257,""),""))</f>
        <v/>
      </c>
      <c r="AV257" s="93" t="str">
        <f aca="false">IF(ISBLANK($C257),"",IF(ISNUMBER(U257),IF(U257&gt;=0,U257,""),""))</f>
        <v/>
      </c>
      <c r="AW257" s="93" t="str">
        <f aca="false">IF(ISBLANK($C257),"",IF(V257=Constants!$B$3,TRUE(),IF(V257=Constants!$B$4,FALSE(),TRUE())))</f>
        <v/>
      </c>
      <c r="AX257" s="92" t="str">
        <f aca="false">IF(ISBLANK($C257),"",IF(ISNUMBER(W257),IF(W257&gt;=0,W257,""),""))</f>
        <v/>
      </c>
      <c r="AY257" s="92" t="str">
        <f aca="false">IF(ISBLANK($C257),"",IF(X257=Constants!$B$3,TRUE(),IF(X257=Constants!$B$4,FALSE(),FALSE())))</f>
        <v/>
      </c>
      <c r="AZ257" s="92" t="str">
        <f aca="false">IF(ISBLANK($C257),"",MIN(Constants!$B$31,MAX(0,IF(ISNUMBER(Y257),Y257*60,0)+IF(ISNUMBER(Z257),Z257,0))))</f>
        <v/>
      </c>
      <c r="BA257" s="92" t="str">
        <f aca="false">IF(ISBLANK($C257),"",IF(AA257=Constants!$B$3,TRUE(),IF(AA257=Constants!$B$4,FALSE(),FALSE())))</f>
        <v/>
      </c>
      <c r="BB257" s="91" t="str">
        <f aca="false">IF(ISBLANK($C257),"",AND($AL257,OR($AM257="",$AN257="",AND($AO257,$AP257=""))))</f>
        <v/>
      </c>
      <c r="BC257" s="93" t="str">
        <f aca="false">IF($BR257&lt;&gt;Constants!$B$8,"",IF($AL257,Constants!$B$21*$AN257+Constants!$B$22*IF($AO257,$AP257,Constants!$B$23),Constants!$B$24))</f>
        <v/>
      </c>
      <c r="BD257" s="96" t="str">
        <f aca="false">IF($BR257&lt;&gt;Constants!$B$8,"",Constants!$B$25*ABS($AD$9-IF($AL257,$AM257,0)))</f>
        <v/>
      </c>
      <c r="BE257" s="96" t="str">
        <f aca="false">IF($BR257&lt;&gt;Constants!$B$8,"",IF(AND($AL257,$AQ257,$AO257),Constants!$B$27,0))</f>
        <v/>
      </c>
      <c r="BF257" s="96" t="str">
        <f aca="false">IF($BR257&lt;&gt;Constants!$B$8,"",IF($AL257,($AI257-Constants!$B$29)*Constants!$B$28,0))</f>
        <v/>
      </c>
      <c r="BG257" s="96" t="str">
        <f aca="false">IF($BR257&lt;&gt;Constants!$B$8,"",IF($AK257,0,Constants!$B$15)+IF($AJ257,0,Constants!$B$16)+IF($AH257,0,Constants!$B$17))</f>
        <v/>
      </c>
      <c r="BH257" s="97" t="str">
        <f aca="false">IF($BR257&lt;&gt;Constants!$B$8,"",Constants!$B$20+SUM($BC257:$BG257))</f>
        <v/>
      </c>
      <c r="BI257" s="92" t="str">
        <f aca="false">IF($BR257&lt;&gt;Constants!$B$8,"",IF(OR($BP257&lt;$BH257,AND($BP257=$BH257,OR($BK257&lt;$BC257,AND($BK257=$BC257,OR($BL257&lt;$BD257,AND($BL257=$BD257,$AT257,$AL257,$AV257&lt;$AN257)))))),"-&gt;","&lt;-"))</f>
        <v/>
      </c>
      <c r="BJ257" s="91" t="str">
        <f aca="false">IF(ISBLANK($C257),"",AND($AT257,OR($AU257="",$AV257="",AND($AW257,$AX257=""))))</f>
        <v/>
      </c>
      <c r="BK257" s="93" t="str">
        <f aca="false">IF($BR257&lt;&gt;Constants!$B$8,"",IF($AT257,Constants!$B$21*$AV257+Constants!$B$22*IF($AW257,$AX257,Constants!$B$23),Constants!$B$24))</f>
        <v/>
      </c>
      <c r="BL257" s="96" t="str">
        <f aca="false">IF($BR257&lt;&gt;Constants!$B$8,"",Constants!$B$25*ABS($AD$9-IF($AT257,$AU257,0)))</f>
        <v/>
      </c>
      <c r="BM257" s="96" t="str">
        <f aca="false">IF($BR257&lt;&gt;Constants!$B$8,"",IF(AND($AT257,$AY257,$AW257),Constants!$B$27,0))</f>
        <v/>
      </c>
      <c r="BN257" s="96" t="str">
        <f aca="false">IF($BR257&lt;&gt;Constants!$B$8,"",IF($AT257,($AI257-Constants!$B$29)*Constants!$B$28,0))</f>
        <v/>
      </c>
      <c r="BO257" s="96" t="str">
        <f aca="false">IF($BR257&lt;&gt;Constants!$B$8,"",IF($AS257,0,Constants!$B$15)+IF($AR257,0,Constants!$B$16)+IF($AH257,0,Constants!$B$17))</f>
        <v/>
      </c>
      <c r="BP257" s="97" t="str">
        <f aca="false">IF($BR257&lt;&gt;Constants!$B$8,"",Constants!$B$20+SUM($BK257:$BO257))</f>
        <v/>
      </c>
      <c r="BQ257" s="92" t="str">
        <f aca="false">IF(ISBLANK($C257),"",IF(ISBLANK($D$7),$BQ$5,IF(NOT(ISNUMBER($D$7)),$BQ$6,"")))</f>
        <v/>
      </c>
      <c r="BR257" s="92" t="str">
        <f aca="false">IF(ISBLANK($C257),"",IF($BA257,Constants!$B$11,IF(COUNTA($E257:$AA257)=0,Constants!$B$10,IF(NOT($AG257),Constants!$B$9,IF(OR($BQ257&lt;&gt;"",$BB257,$BJ257),Constants!$B$12,Constants!$B$8)))))</f>
        <v/>
      </c>
      <c r="BS257" s="92" t="str">
        <f aca="false">IF(ISBLANK($C257),"",IF($BR257&lt;&gt;Constants!$B$8,$BR257,Constants!$B$13))</f>
        <v/>
      </c>
      <c r="BT257" s="96" t="str">
        <f aca="false">IF($BR257&lt;&gt;Constants!$B$8,"",IF($BI257="-&gt;",$BP257,$BH257))</f>
        <v/>
      </c>
      <c r="BU257" s="96" t="str">
        <f aca="false">IF($BR257&lt;&gt;Constants!$B$8,"",IF($AF257,0,Constants!$B$18))</f>
        <v/>
      </c>
      <c r="BV257" s="96" t="str">
        <f aca="false">IF($BR257&lt;&gt;Constants!$B$8,"",((Constants!$B$31-$AZ257)-Constants!$B$31)/Constants!$B$32)</f>
        <v/>
      </c>
      <c r="BW257" s="96" t="str">
        <f aca="false">IF(ISBLANK($C257),"",IF($BR257&lt;&gt;Constants!$B$8,$BR257,SUM($BT257:$BV257)))</f>
        <v/>
      </c>
      <c r="BX257" s="92" t="str">
        <f aca="false">IF(ISBLANK($C257),"",IF($BR257&lt;&gt;Constants!$B$8,$BR257,RANK($BW257,$BW$9:$BW$508,1)))</f>
        <v/>
      </c>
      <c r="BY257" s="96" t="str">
        <f aca="false">IF($BR257&lt;&gt;Constants!$B$8,"",IF($BI257="-&gt;",$BK257,$BC257))</f>
        <v/>
      </c>
      <c r="BZ257" s="92" t="str">
        <f aca="false">IF(ISBLANK($C257),"",IF($BR257&lt;&gt;Constants!$B$8,$BR257,IF(ISNUMBER($BY257),RANK($BY257,$BY$9:$BY$508,1),COUNT($BY$9:$BY$508)+1)))</f>
        <v/>
      </c>
      <c r="CA257" s="96" t="str">
        <f aca="false">IF($BR257&lt;&gt;Constants!$B$8,"",IF($BI257="-&gt;",$BL257,$BD257))</f>
        <v/>
      </c>
      <c r="CB257" s="92" t="str">
        <f aca="false">IF(ISBLANK($C257),"",IF($BR257&lt;&gt;Constants!$B$8,$BR257,IF(ISNUMBER($CA257),RANK($CA257,$CA$9:$CA$508,1),COUNT($CA$9:$CA$508)+1)))</f>
        <v/>
      </c>
      <c r="CC257" s="96" t="str">
        <f aca="false">IF($BR257&lt;&gt;Constants!$B$8,"",IF($BI257="-&gt;",IF($AT257,$AV257,""),IF($AL257,$AN257,"")))</f>
        <v/>
      </c>
      <c r="CD257" s="92" t="str">
        <f aca="false">IF(ISBLANK($C257),"",IF($BR257&lt;&gt;Constants!$B$8,$BR257,IF(ISNUMBER($CC257),RANK($CC257,$CC$9:$CC$508,1),COUNT($CC$9:$CC$508)+1)))</f>
        <v/>
      </c>
      <c r="CE257" s="96" t="str">
        <f aca="false">IF($BR257&lt;&gt;Constants!$B$8,"",IF(AND(NOT($AL257),NOT($AT257),$AJ257,$AK257,$AR257,$AS257),"",$AI257))</f>
        <v/>
      </c>
      <c r="CF257" s="92" t="str">
        <f aca="false">IF(ISBLANK($C257),"",IF($BR257&lt;&gt;Constants!$B$8,$BR257,IF(ISNUMBER($CE257),RANK($CE257,$CE$9:$CE$508,1),COUNT($CE$9:$CE$508)+1)))</f>
        <v/>
      </c>
      <c r="CG257" s="92" t="str">
        <f aca="false">IF(ISBLANK($C257),"",IF($BR257&lt;&gt;Constants!$B$8,$BR257,COUNTIFS($BX$9:$BX$508,"&lt;"&amp;$BX257)+COUNTIFS($BX$9:$BX$508,$BX257,$BZ$9:$BZ$508,"&lt;"&amp;$BZ257)+COUNTIFS($BX$9:$BX$508,$BX257,$BZ$9:$BZ$508,$BZ257,$CB$9:$CB$508,"&lt;"&amp;$CB257)+COUNTIFS($BX$9:$BX$508,$BX257,$BZ$9:$BZ$508,$BZ257,$CB$9:$CB$508,$CB257,$CD$9:$CD$508,"&lt;"&amp;$CD257)+COUNTIFS($BX$9:$BX$508,$BX257,$BZ$9:$BZ$508,$BZ257,$CB$9:$CB$508,$CB257,$CD$9:$CD$508,$CD257,$CF$9:$CF$508,"&lt;"&amp;$CF257)+1))</f>
        <v/>
      </c>
      <c r="CH257" s="92" t="str">
        <f aca="false">IF(ISBLANK($C257),"",IF($BR257&lt;&gt;Constants!$B$8,$BR257,$BX257-$CG257))</f>
        <v/>
      </c>
      <c r="CI257" s="98"/>
      <c r="CJ257" s="99"/>
      <c r="CK257" s="100" t="str">
        <f aca="false">IF(ISBLANK($C257),"",IF($BR257=Constants!$B$12,$BQ257,""))</f>
        <v/>
      </c>
      <c r="CL257" s="99" t="str">
        <f aca="false">IF(ISBLANK($C257),"",IF($BR257&lt;&gt;Constants!$B$8,"",IF($BI257="-&gt;",2,1)))</f>
        <v/>
      </c>
      <c r="CM257" s="101" t="str">
        <f aca="false">IF(ISBLANK($C257),"",IF($BR257&lt;&gt;Constants!$B$8,"",IF($BI257="-&gt;",$BK257,$BC257)))</f>
        <v/>
      </c>
      <c r="CN257" s="101" t="str">
        <f aca="false">IF(ISBLANK($C257),"",IF($BR257&lt;&gt;Constants!$B$8,"",IF($BI257="-&gt;",$BL257,$BD257)))</f>
        <v/>
      </c>
      <c r="CO257" s="101" t="str">
        <f aca="false">IF(ISBLANK($C257),"",IF($BR257&lt;&gt;Constants!$B$8,"",IF($BI257="-&gt;",$BM257+$BN257,$BE257+$BF257)+$BV257))</f>
        <v/>
      </c>
      <c r="CP257" s="101" t="str">
        <f aca="false">IF(ISBLANK($C257),"",IF($BR257&lt;&gt;Constants!$B$8,"",IF($BI257="-&gt;",$BO257,$BG257)+$BU257))</f>
        <v/>
      </c>
      <c r="CQ257" s="102" t="str">
        <f aca="false">IF(ISBLANK($C257),"",IF($BR257&lt;&gt;Constants!$B$8,$BR257,$BW257))</f>
        <v/>
      </c>
      <c r="CR257" s="103" t="str">
        <f aca="false">IF(ISBLANK($C257),"",$BS257)</f>
        <v/>
      </c>
      <c r="CS257" s="104" t="str">
        <f aca="false">IF(ISBLANK($C257),"",$CH257)</f>
        <v/>
      </c>
      <c r="CT257" s="104" t="str">
        <f aca="false">IF(ISBLANK($C257),"",$CG257)</f>
        <v/>
      </c>
      <c r="CU257" s="105" t="str">
        <f aca="false">IF(ISBLANK($C257),"",IFERROR(_xlfn.SWITCH($CT257,Constants!$B$11,COUNTA($C$9:$C$508)+2,Constants!$B$10,COUNTA($C$9:$C$508)+1,Constants!$B$9,COUNTA($C$9:$C$508)),$CT257))</f>
        <v/>
      </c>
      <c r="CV257" s="9"/>
      <c r="CW257" s="106" t="n">
        <f aca="false">IF(OR(ISNUMBER($CT257),$CT257=Constants!$B$11,$CT257=Constants!$B$9,$CT257=Constants!$B$10),1,0)</f>
        <v>0</v>
      </c>
      <c r="CX257" s="106" t="n">
        <v>249</v>
      </c>
      <c r="CY257" s="106" t="str">
        <f aca="false">IF(ISBLANK($C257),"",IF(ISNUMBER($CU257),$CU257+ROW($B257)/1000,""))</f>
        <v/>
      </c>
      <c r="CZ257" s="106" t="str">
        <f aca="false">IF(ISNUMBER($CY257),RANK($CY257,$CY$9:$CY$508,1),"")</f>
        <v/>
      </c>
      <c r="DA257" s="106" t="str">
        <f aca="false">IF(ISBLANK($C257),"",$B257)</f>
        <v/>
      </c>
      <c r="DB257" s="106" t="str">
        <f aca="false">IF(ISBLANK($C257),"",$C257)</f>
        <v/>
      </c>
      <c r="DC257" s="106" t="str">
        <f aca="false">IF(ISBLANK($C257),"",$D257)</f>
        <v/>
      </c>
      <c r="DD257" s="107" t="str">
        <f aca="false">$CR257</f>
        <v/>
      </c>
      <c r="DE257" s="108" t="str">
        <f aca="false">$CQ257</f>
        <v/>
      </c>
      <c r="DF257" s="106" t="str">
        <f aca="false">IF(ISBLANK($C257),"",$CT257)</f>
        <v/>
      </c>
      <c r="DG257" s="109" t="str">
        <f aca="false">IF($CX257&gt;$CW$8,"",VLOOKUP($CX257,$CZ$9:$DF$508,7,FALSE()))</f>
        <v/>
      </c>
      <c r="DH257" s="110" t="str">
        <f aca="false">IF($CX257&gt;$CW$8,"",VLOOKUP($CX257,$CZ$9:$DF$508,2,FALSE()))</f>
        <v/>
      </c>
      <c r="DI257" s="110" t="str">
        <f aca="false">IF($CX257&gt;$CW$8,"",VLOOKUP($CX257,$CZ$9:$DF$508,3,FALSE()))</f>
        <v/>
      </c>
      <c r="DJ257" s="110" t="str">
        <f aca="false">IF($CX257&gt;$CW$8,"",VLOOKUP($CX257,$CZ$9:$DF$508,4,FALSE()))</f>
        <v/>
      </c>
      <c r="DK257" s="110" t="str">
        <f aca="false">IF($CX257&gt;$CW$8,"",VLOOKUP($CX257,$CZ$9:$DF$508,5,FALSE()))</f>
        <v/>
      </c>
      <c r="DL257" s="111" t="str">
        <f aca="false">IF($CX257&gt;$CW$8,"",VLOOKUP($CX257,$CZ$9:$DF$508,6,FALSE()))</f>
        <v/>
      </c>
      <c r="DM257" s="75"/>
    </row>
    <row r="258" customFormat="false" ht="15.75" hidden="false" customHeight="false" outlineLevel="0" collapsed="false">
      <c r="A258" s="9"/>
      <c r="B258" s="157"/>
      <c r="C258" s="158"/>
      <c r="D258" s="159"/>
      <c r="E258" s="177"/>
      <c r="F258" s="161"/>
      <c r="G258" s="162"/>
      <c r="H258" s="162"/>
      <c r="I258" s="178"/>
      <c r="J258" s="165"/>
      <c r="K258" s="126"/>
      <c r="L258" s="127"/>
      <c r="M258" s="128"/>
      <c r="N258" s="165"/>
      <c r="O258" s="165"/>
      <c r="P258" s="177"/>
      <c r="Q258" s="165"/>
      <c r="R258" s="165"/>
      <c r="S258" s="126"/>
      <c r="T258" s="128"/>
      <c r="U258" s="128"/>
      <c r="V258" s="165"/>
      <c r="W258" s="165"/>
      <c r="X258" s="177"/>
      <c r="Y258" s="165"/>
      <c r="Z258" s="166"/>
      <c r="AA258" s="165"/>
      <c r="AB258" s="132"/>
      <c r="AC258" s="133"/>
      <c r="AD258" s="133"/>
      <c r="AE258" s="133"/>
      <c r="AF258" s="133" t="str">
        <f aca="false">IF(ISBLANK($C258),"",IF(E258=Constants!$B$3,TRUE(),IF(E258=Constants!$B$4,FALSE(),TRUE())))</f>
        <v/>
      </c>
      <c r="AG258" s="133" t="str">
        <f aca="false">IF(ISBLANK($C258),"",IF(F258=Constants!$B$3,TRUE(),IF(F258=Constants!$B$4,FALSE(),TRUE())))</f>
        <v/>
      </c>
      <c r="AH258" s="133" t="str">
        <f aca="false">IF(ISBLANK($C258),"",IF(G258=Constants!$B$3,TRUE(),IF(G258=Constants!$B$4,FALSE(),TRUE())))</f>
        <v/>
      </c>
      <c r="AI258" s="133" t="str">
        <f aca="false">IF(ISBLANK($C258),"",IF(AND(ISNUMBER(H258),H258&gt;=0),H258,Constants!$B$29))</f>
        <v/>
      </c>
      <c r="AJ258" s="133" t="str">
        <f aca="false">IF(ISBLANK($C258),"",IF(I258=Constants!$B$3,TRUE(),IF(I258=Constants!$B$4,FALSE(),TRUE())))</f>
        <v/>
      </c>
      <c r="AK258" s="133" t="str">
        <f aca="false">IF(ISBLANK($C258),"",IF(J258=Constants!$B$3,TRUE(),IF(J258=Constants!$B$4,FALSE(),TRUE())))</f>
        <v/>
      </c>
      <c r="AL258" s="133" t="str">
        <f aca="false">IF(ISBLANK($C258),"",IF(K258=Constants!$B$5,TRUE(),IF(K258=Constants!$B$6,FALSE(),COUNTA(L258:P258)&gt;0)))</f>
        <v/>
      </c>
      <c r="AM258" s="134" t="str">
        <f aca="false">IF(ISBLANK($C258),"",IF(ISNUMBER(L258),IF(L258&gt;=0,L258,""),""))</f>
        <v/>
      </c>
      <c r="AN258" s="135" t="str">
        <f aca="false">IF(ISBLANK($C258),"",IF(ISNUMBER(M258),IF(M258&gt;=0,M258,""),""))</f>
        <v/>
      </c>
      <c r="AO258" s="135" t="str">
        <f aca="false">IF(ISBLANK($C258),"",IF(N258=Constants!$B$3,TRUE(),IF(N258=Constants!$B$4,FALSE(),TRUE())))</f>
        <v/>
      </c>
      <c r="AP258" s="133" t="str">
        <f aca="false">IF(ISBLANK($C258),"",IF(ISNUMBER(O258),IF(O258&gt;=0,O258,""),""))</f>
        <v/>
      </c>
      <c r="AQ258" s="133" t="str">
        <f aca="false">IF(ISBLANK($C258),"",IF(P258=Constants!$B$3,TRUE(),IF(P258=Constants!$B$4,FALSE(),FALSE())))</f>
        <v/>
      </c>
      <c r="AR258" s="133" t="str">
        <f aca="false">IF(ISBLANK($C258),"",IF(Q258=Constants!$B$3,TRUE(),IF(Q258=Constants!$B$4,FALSE(),TRUE())))</f>
        <v/>
      </c>
      <c r="AS258" s="133" t="str">
        <f aca="false">IF(ISBLANK($C258),"",IF(R258=Constants!$B$3,TRUE(),IF(R258=Constants!$B$4,FALSE(),TRUE())))</f>
        <v/>
      </c>
      <c r="AT258" s="133" t="str">
        <f aca="false">IF(ISBLANK($C258),"",IF(S258=Constants!$B$5,TRUE(),IF(S258=Constants!$B$6,FALSE(),COUNTA(T258:X258)&gt;0)))</f>
        <v/>
      </c>
      <c r="AU258" s="134" t="str">
        <f aca="false">IF(ISBLANK($C258),"",IF(ISNUMBER(T258),IF(T258&gt;=0,T258,""),""))</f>
        <v/>
      </c>
      <c r="AV258" s="135" t="str">
        <f aca="false">IF(ISBLANK($C258),"",IF(ISNUMBER(U258),IF(U258&gt;=0,U258,""),""))</f>
        <v/>
      </c>
      <c r="AW258" s="135" t="str">
        <f aca="false">IF(ISBLANK($C258),"",IF(V258=Constants!$B$3,TRUE(),IF(V258=Constants!$B$4,FALSE(),TRUE())))</f>
        <v/>
      </c>
      <c r="AX258" s="133" t="str">
        <f aca="false">IF(ISBLANK($C258),"",IF(ISNUMBER(W258),IF(W258&gt;=0,W258,""),""))</f>
        <v/>
      </c>
      <c r="AY258" s="133" t="str">
        <f aca="false">IF(ISBLANK($C258),"",IF(X258=Constants!$B$3,TRUE(),IF(X258=Constants!$B$4,FALSE(),FALSE())))</f>
        <v/>
      </c>
      <c r="AZ258" s="133" t="str">
        <f aca="false">IF(ISBLANK($C258),"",MIN(Constants!$B$31,MAX(0,IF(ISNUMBER(Y258),Y258*60,0)+IF(ISNUMBER(Z258),Z258,0))))</f>
        <v/>
      </c>
      <c r="BA258" s="133" t="str">
        <f aca="false">IF(ISBLANK($C258),"",IF(AA258=Constants!$B$3,TRUE(),IF(AA258=Constants!$B$4,FALSE(),FALSE())))</f>
        <v/>
      </c>
      <c r="BB258" s="132" t="str">
        <f aca="false">IF(ISBLANK($C258),"",AND($AL258,OR($AM258="",$AN258="",AND($AO258,$AP258=""))))</f>
        <v/>
      </c>
      <c r="BC258" s="135" t="str">
        <f aca="false">IF($BR258&lt;&gt;Constants!$B$8,"",IF($AL258,Constants!$B$21*$AN258+Constants!$B$22*IF($AO258,$AP258,Constants!$B$23),Constants!$B$24))</f>
        <v/>
      </c>
      <c r="BD258" s="136" t="str">
        <f aca="false">IF($BR258&lt;&gt;Constants!$B$8,"",Constants!$B$25*ABS($AD$9-IF($AL258,$AM258,0)))</f>
        <v/>
      </c>
      <c r="BE258" s="136" t="str">
        <f aca="false">IF($BR258&lt;&gt;Constants!$B$8,"",IF(AND($AL258,$AQ258,$AO258),Constants!$B$27,0))</f>
        <v/>
      </c>
      <c r="BF258" s="136" t="str">
        <f aca="false">IF($BR258&lt;&gt;Constants!$B$8,"",IF($AL258,($AI258-Constants!$B$29)*Constants!$B$28,0))</f>
        <v/>
      </c>
      <c r="BG258" s="136" t="str">
        <f aca="false">IF($BR258&lt;&gt;Constants!$B$8,"",IF($AK258,0,Constants!$B$15)+IF($AJ258,0,Constants!$B$16)+IF($AH258,0,Constants!$B$17))</f>
        <v/>
      </c>
      <c r="BH258" s="137" t="str">
        <f aca="false">IF($BR258&lt;&gt;Constants!$B$8,"",Constants!$B$20+SUM($BC258:$BG258))</f>
        <v/>
      </c>
      <c r="BI258" s="133" t="str">
        <f aca="false">IF($BR258&lt;&gt;Constants!$B$8,"",IF(OR($BP258&lt;$BH258,AND($BP258=$BH258,OR($BK258&lt;$BC258,AND($BK258=$BC258,OR($BL258&lt;$BD258,AND($BL258=$BD258,$AT258,$AL258,$AV258&lt;$AN258)))))),"-&gt;","&lt;-"))</f>
        <v/>
      </c>
      <c r="BJ258" s="132" t="str">
        <f aca="false">IF(ISBLANK($C258),"",AND($AT258,OR($AU258="",$AV258="",AND($AW258,$AX258=""))))</f>
        <v/>
      </c>
      <c r="BK258" s="135" t="str">
        <f aca="false">IF($BR258&lt;&gt;Constants!$B$8,"",IF($AT258,Constants!$B$21*$AV258+Constants!$B$22*IF($AW258,$AX258,Constants!$B$23),Constants!$B$24))</f>
        <v/>
      </c>
      <c r="BL258" s="136" t="str">
        <f aca="false">IF($BR258&lt;&gt;Constants!$B$8,"",Constants!$B$25*ABS($AD$9-IF($AT258,$AU258,0)))</f>
        <v/>
      </c>
      <c r="BM258" s="136" t="str">
        <f aca="false">IF($BR258&lt;&gt;Constants!$B$8,"",IF(AND($AT258,$AY258,$AW258),Constants!$B$27,0))</f>
        <v/>
      </c>
      <c r="BN258" s="136" t="str">
        <f aca="false">IF($BR258&lt;&gt;Constants!$B$8,"",IF($AT258,($AI258-Constants!$B$29)*Constants!$B$28,0))</f>
        <v/>
      </c>
      <c r="BO258" s="136" t="str">
        <f aca="false">IF($BR258&lt;&gt;Constants!$B$8,"",IF($AS258,0,Constants!$B$15)+IF($AR258,0,Constants!$B$16)+IF($AH258,0,Constants!$B$17))</f>
        <v/>
      </c>
      <c r="BP258" s="137" t="str">
        <f aca="false">IF($BR258&lt;&gt;Constants!$B$8,"",Constants!$B$20+SUM($BK258:$BO258))</f>
        <v/>
      </c>
      <c r="BQ258" s="133" t="str">
        <f aca="false">IF(ISBLANK($C258),"",IF(ISBLANK($D$7),$BQ$5,IF(NOT(ISNUMBER($D$7)),$BQ$6,"")))</f>
        <v/>
      </c>
      <c r="BR258" s="133" t="str">
        <f aca="false">IF(ISBLANK($C258),"",IF($BA258,Constants!$B$11,IF(COUNTA($E258:$AA258)=0,Constants!$B$10,IF(NOT($AG258),Constants!$B$9,IF(OR($BQ258&lt;&gt;"",$BB258,$BJ258),Constants!$B$12,Constants!$B$8)))))</f>
        <v/>
      </c>
      <c r="BS258" s="133" t="str">
        <f aca="false">IF(ISBLANK($C258),"",IF($BR258&lt;&gt;Constants!$B$8,$BR258,Constants!$B$13))</f>
        <v/>
      </c>
      <c r="BT258" s="136" t="str">
        <f aca="false">IF($BR258&lt;&gt;Constants!$B$8,"",IF($BI258="-&gt;",$BP258,$BH258))</f>
        <v/>
      </c>
      <c r="BU258" s="136" t="str">
        <f aca="false">IF($BR258&lt;&gt;Constants!$B$8,"",IF($AF258,0,Constants!$B$18))</f>
        <v/>
      </c>
      <c r="BV258" s="136" t="str">
        <f aca="false">IF($BR258&lt;&gt;Constants!$B$8,"",((Constants!$B$31-$AZ258)-Constants!$B$31)/Constants!$B$32)</f>
        <v/>
      </c>
      <c r="BW258" s="136" t="str">
        <f aca="false">IF(ISBLANK($C258),"",IF($BR258&lt;&gt;Constants!$B$8,$BR258,SUM($BT258:$BV258)))</f>
        <v/>
      </c>
      <c r="BX258" s="133" t="str">
        <f aca="false">IF(ISBLANK($C258),"",IF($BR258&lt;&gt;Constants!$B$8,$BR258,RANK($BW258,$BW$9:$BW$508,1)))</f>
        <v/>
      </c>
      <c r="BY258" s="136" t="str">
        <f aca="false">IF($BR258&lt;&gt;Constants!$B$8,"",IF($BI258="-&gt;",$BK258,$BC258))</f>
        <v/>
      </c>
      <c r="BZ258" s="133" t="str">
        <f aca="false">IF(ISBLANK($C258),"",IF($BR258&lt;&gt;Constants!$B$8,$BR258,IF(ISNUMBER($BY258),RANK($BY258,$BY$9:$BY$508,1),COUNT($BY$9:$BY$508)+1)))</f>
        <v/>
      </c>
      <c r="CA258" s="136" t="str">
        <f aca="false">IF($BR258&lt;&gt;Constants!$B$8,"",IF($BI258="-&gt;",$BL258,$BD258))</f>
        <v/>
      </c>
      <c r="CB258" s="133" t="str">
        <f aca="false">IF(ISBLANK($C258),"",IF($BR258&lt;&gt;Constants!$B$8,$BR258,IF(ISNUMBER($CA258),RANK($CA258,$CA$9:$CA$508,1),COUNT($CA$9:$CA$508)+1)))</f>
        <v/>
      </c>
      <c r="CC258" s="136" t="str">
        <f aca="false">IF($BR258&lt;&gt;Constants!$B$8,"",IF($BI258="-&gt;",IF($AT258,$AV258,""),IF($AL258,$AN258,"")))</f>
        <v/>
      </c>
      <c r="CD258" s="133" t="str">
        <f aca="false">IF(ISBLANK($C258),"",IF($BR258&lt;&gt;Constants!$B$8,$BR258,IF(ISNUMBER($CC258),RANK($CC258,$CC$9:$CC$508,1),COUNT($CC$9:$CC$508)+1)))</f>
        <v/>
      </c>
      <c r="CE258" s="136" t="str">
        <f aca="false">IF($BR258&lt;&gt;Constants!$B$8,"",IF(AND(NOT($AL258),NOT($AT258),$AJ258,$AK258,$AR258,$AS258),"",$AI258))</f>
        <v/>
      </c>
      <c r="CF258" s="133" t="str">
        <f aca="false">IF(ISBLANK($C258),"",IF($BR258&lt;&gt;Constants!$B$8,$BR258,IF(ISNUMBER($CE258),RANK($CE258,$CE$9:$CE$508,1),COUNT($CE$9:$CE$508)+1)))</f>
        <v/>
      </c>
      <c r="CG258" s="133" t="str">
        <f aca="false">IF(ISBLANK($C258),"",IF($BR258&lt;&gt;Constants!$B$8,$BR258,COUNTIFS($BX$9:$BX$508,"&lt;"&amp;$BX258)+COUNTIFS($BX$9:$BX$508,$BX258,$BZ$9:$BZ$508,"&lt;"&amp;$BZ258)+COUNTIFS($BX$9:$BX$508,$BX258,$BZ$9:$BZ$508,$BZ258,$CB$9:$CB$508,"&lt;"&amp;$CB258)+COUNTIFS($BX$9:$BX$508,$BX258,$BZ$9:$BZ$508,$BZ258,$CB$9:$CB$508,$CB258,$CD$9:$CD$508,"&lt;"&amp;$CD258)+COUNTIFS($BX$9:$BX$508,$BX258,$BZ$9:$BZ$508,$BZ258,$CB$9:$CB$508,$CB258,$CD$9:$CD$508,$CD258,$CF$9:$CF$508,"&lt;"&amp;$CF258)+1))</f>
        <v/>
      </c>
      <c r="CH258" s="133" t="str">
        <f aca="false">IF(ISBLANK($C258),"",IF($BR258&lt;&gt;Constants!$B$8,$BR258,$BX258-$CG258))</f>
        <v/>
      </c>
      <c r="CI258" s="138"/>
      <c r="CJ258" s="139"/>
      <c r="CK258" s="140" t="str">
        <f aca="false">IF(ISBLANK($C258),"",IF($BR258=Constants!$B$12,$BQ258,""))</f>
        <v/>
      </c>
      <c r="CL258" s="139" t="str">
        <f aca="false">IF(ISBLANK($C258),"",IF($BR258&lt;&gt;Constants!$B$8,"",IF($BI258="-&gt;",2,1)))</f>
        <v/>
      </c>
      <c r="CM258" s="141" t="str">
        <f aca="false">IF(ISBLANK($C258),"",IF($BR258&lt;&gt;Constants!$B$8,"",IF($BI258="-&gt;",$BK258,$BC258)))</f>
        <v/>
      </c>
      <c r="CN258" s="141" t="str">
        <f aca="false">IF(ISBLANK($C258),"",IF($BR258&lt;&gt;Constants!$B$8,"",IF($BI258="-&gt;",$BL258,$BD258)))</f>
        <v/>
      </c>
      <c r="CO258" s="141" t="str">
        <f aca="false">IF(ISBLANK($C258),"",IF($BR258&lt;&gt;Constants!$B$8,"",IF($BI258="-&gt;",$BM258+$BN258,$BE258+$BF258)+$BV258))</f>
        <v/>
      </c>
      <c r="CP258" s="141" t="str">
        <f aca="false">IF(ISBLANK($C258),"",IF($BR258&lt;&gt;Constants!$B$8,"",IF($BI258="-&gt;",$BO258,$BG258)+$BU258))</f>
        <v/>
      </c>
      <c r="CQ258" s="142" t="str">
        <f aca="false">IF(ISBLANK($C258),"",IF($BR258&lt;&gt;Constants!$B$8,$BR258,$BW258))</f>
        <v/>
      </c>
      <c r="CR258" s="143" t="str">
        <f aca="false">IF(ISBLANK($C258),"",$BS258)</f>
        <v/>
      </c>
      <c r="CS258" s="144" t="str">
        <f aca="false">IF(ISBLANK($C258),"",$CH258)</f>
        <v/>
      </c>
      <c r="CT258" s="144" t="str">
        <f aca="false">IF(ISBLANK($C258),"",$CG258)</f>
        <v/>
      </c>
      <c r="CU258" s="145" t="str">
        <f aca="false">IF(ISBLANK($C258),"",IFERROR(_xlfn.SWITCH($CT258,Constants!$B$11,COUNTA($C$9:$C$508)+2,Constants!$B$10,COUNTA($C$9:$C$508)+1,Constants!$B$9,COUNTA($C$9:$C$508)),$CT258))</f>
        <v/>
      </c>
      <c r="CV258" s="9"/>
      <c r="CW258" s="146" t="n">
        <f aca="false">IF(OR(ISNUMBER($CT258),$CT258=Constants!$B$11,$CT258=Constants!$B$9,$CT258=Constants!$B$10),1,0)</f>
        <v>0</v>
      </c>
      <c r="CX258" s="146" t="n">
        <v>250</v>
      </c>
      <c r="CY258" s="146" t="str">
        <f aca="false">IF(ISBLANK($C258),"",IF(ISNUMBER($CU258),$CU258+ROW($B258)/1000,""))</f>
        <v/>
      </c>
      <c r="CZ258" s="146" t="str">
        <f aca="false">IF(ISNUMBER($CY258),RANK($CY258,$CY$9:$CY$508,1),"")</f>
        <v/>
      </c>
      <c r="DA258" s="146" t="str">
        <f aca="false">IF(ISBLANK($C258),"",$B258)</f>
        <v/>
      </c>
      <c r="DB258" s="146" t="str">
        <f aca="false">IF(ISBLANK($C258),"",$C258)</f>
        <v/>
      </c>
      <c r="DC258" s="146" t="str">
        <f aca="false">IF(ISBLANK($C258),"",$D258)</f>
        <v/>
      </c>
      <c r="DD258" s="147" t="str">
        <f aca="false">$CR258</f>
        <v/>
      </c>
      <c r="DE258" s="148" t="str">
        <f aca="false">$CQ258</f>
        <v/>
      </c>
      <c r="DF258" s="146" t="str">
        <f aca="false">IF(ISBLANK($C258),"",$CT258)</f>
        <v/>
      </c>
      <c r="DG258" s="149" t="str">
        <f aca="false">IF($CX258&gt;$CW$8,"",VLOOKUP($CX258,$CZ$9:$DF$508,7,FALSE()))</f>
        <v/>
      </c>
      <c r="DH258" s="150" t="str">
        <f aca="false">IF($CX258&gt;$CW$8,"",VLOOKUP($CX258,$CZ$9:$DF$508,2,FALSE()))</f>
        <v/>
      </c>
      <c r="DI258" s="150" t="str">
        <f aca="false">IF($CX258&gt;$CW$8,"",VLOOKUP($CX258,$CZ$9:$DF$508,3,FALSE()))</f>
        <v/>
      </c>
      <c r="DJ258" s="150" t="str">
        <f aca="false">IF($CX258&gt;$CW$8,"",VLOOKUP($CX258,$CZ$9:$DF$508,4,FALSE()))</f>
        <v/>
      </c>
      <c r="DK258" s="150" t="str">
        <f aca="false">IF($CX258&gt;$CW$8,"",VLOOKUP($CX258,$CZ$9:$DF$508,5,FALSE()))</f>
        <v/>
      </c>
      <c r="DL258" s="151" t="str">
        <f aca="false">IF($CX258&gt;$CW$8,"",VLOOKUP($CX258,$CZ$9:$DF$508,6,FALSE()))</f>
        <v/>
      </c>
      <c r="DM258" s="75"/>
    </row>
    <row r="259" customFormat="false" ht="15.75" hidden="false" customHeight="false" outlineLevel="0" collapsed="false">
      <c r="A259" s="9"/>
      <c r="B259" s="157"/>
      <c r="C259" s="158"/>
      <c r="D259" s="159"/>
      <c r="E259" s="177"/>
      <c r="F259" s="161"/>
      <c r="G259" s="162"/>
      <c r="H259" s="162"/>
      <c r="I259" s="178"/>
      <c r="J259" s="165"/>
      <c r="K259" s="126"/>
      <c r="L259" s="127"/>
      <c r="M259" s="128"/>
      <c r="N259" s="165"/>
      <c r="O259" s="165"/>
      <c r="P259" s="177"/>
      <c r="Q259" s="165"/>
      <c r="R259" s="165"/>
      <c r="S259" s="126"/>
      <c r="T259" s="128"/>
      <c r="U259" s="128"/>
      <c r="V259" s="165"/>
      <c r="W259" s="165"/>
      <c r="X259" s="177"/>
      <c r="Y259" s="165"/>
      <c r="Z259" s="166"/>
      <c r="AA259" s="165"/>
      <c r="AB259" s="132"/>
      <c r="AC259" s="133"/>
      <c r="AD259" s="133"/>
      <c r="AE259" s="133"/>
      <c r="AF259" s="133" t="str">
        <f aca="false">IF(ISBLANK($C259),"",IF(E259=Constants!$B$3,TRUE(),IF(E259=Constants!$B$4,FALSE(),TRUE())))</f>
        <v/>
      </c>
      <c r="AG259" s="133" t="str">
        <f aca="false">IF(ISBLANK($C259),"",IF(F259=Constants!$B$3,TRUE(),IF(F259=Constants!$B$4,FALSE(),TRUE())))</f>
        <v/>
      </c>
      <c r="AH259" s="133" t="str">
        <f aca="false">IF(ISBLANK($C259),"",IF(G259=Constants!$B$3,TRUE(),IF(G259=Constants!$B$4,FALSE(),TRUE())))</f>
        <v/>
      </c>
      <c r="AI259" s="133" t="str">
        <f aca="false">IF(ISBLANK($C259),"",IF(AND(ISNUMBER(H259),H259&gt;=0),H259,Constants!$B$29))</f>
        <v/>
      </c>
      <c r="AJ259" s="133" t="str">
        <f aca="false">IF(ISBLANK($C259),"",IF(I259=Constants!$B$3,TRUE(),IF(I259=Constants!$B$4,FALSE(),TRUE())))</f>
        <v/>
      </c>
      <c r="AK259" s="133" t="str">
        <f aca="false">IF(ISBLANK($C259),"",IF(J259=Constants!$B$3,TRUE(),IF(J259=Constants!$B$4,FALSE(),TRUE())))</f>
        <v/>
      </c>
      <c r="AL259" s="133" t="str">
        <f aca="false">IF(ISBLANK($C259),"",IF(K259=Constants!$B$5,TRUE(),IF(K259=Constants!$B$6,FALSE(),COUNTA(L259:P259)&gt;0)))</f>
        <v/>
      </c>
      <c r="AM259" s="134" t="str">
        <f aca="false">IF(ISBLANK($C259),"",IF(ISNUMBER(L259),IF(L259&gt;=0,L259,""),""))</f>
        <v/>
      </c>
      <c r="AN259" s="135" t="str">
        <f aca="false">IF(ISBLANK($C259),"",IF(ISNUMBER(M259),IF(M259&gt;=0,M259,""),""))</f>
        <v/>
      </c>
      <c r="AO259" s="135" t="str">
        <f aca="false">IF(ISBLANK($C259),"",IF(N259=Constants!$B$3,TRUE(),IF(N259=Constants!$B$4,FALSE(),TRUE())))</f>
        <v/>
      </c>
      <c r="AP259" s="133" t="str">
        <f aca="false">IF(ISBLANK($C259),"",IF(ISNUMBER(O259),IF(O259&gt;=0,O259,""),""))</f>
        <v/>
      </c>
      <c r="AQ259" s="133" t="str">
        <f aca="false">IF(ISBLANK($C259),"",IF(P259=Constants!$B$3,TRUE(),IF(P259=Constants!$B$4,FALSE(),FALSE())))</f>
        <v/>
      </c>
      <c r="AR259" s="133" t="str">
        <f aca="false">IF(ISBLANK($C259),"",IF(Q259=Constants!$B$3,TRUE(),IF(Q259=Constants!$B$4,FALSE(),TRUE())))</f>
        <v/>
      </c>
      <c r="AS259" s="133" t="str">
        <f aca="false">IF(ISBLANK($C259),"",IF(R259=Constants!$B$3,TRUE(),IF(R259=Constants!$B$4,FALSE(),TRUE())))</f>
        <v/>
      </c>
      <c r="AT259" s="133" t="str">
        <f aca="false">IF(ISBLANK($C259),"",IF(S259=Constants!$B$5,TRUE(),IF(S259=Constants!$B$6,FALSE(),COUNTA(T259:X259)&gt;0)))</f>
        <v/>
      </c>
      <c r="AU259" s="134" t="str">
        <f aca="false">IF(ISBLANK($C259),"",IF(ISNUMBER(T259),IF(T259&gt;=0,T259,""),""))</f>
        <v/>
      </c>
      <c r="AV259" s="135" t="str">
        <f aca="false">IF(ISBLANK($C259),"",IF(ISNUMBER(U259),IF(U259&gt;=0,U259,""),""))</f>
        <v/>
      </c>
      <c r="AW259" s="135" t="str">
        <f aca="false">IF(ISBLANK($C259),"",IF(V259=Constants!$B$3,TRUE(),IF(V259=Constants!$B$4,FALSE(),TRUE())))</f>
        <v/>
      </c>
      <c r="AX259" s="133" t="str">
        <f aca="false">IF(ISBLANK($C259),"",IF(ISNUMBER(W259),IF(W259&gt;=0,W259,""),""))</f>
        <v/>
      </c>
      <c r="AY259" s="133" t="str">
        <f aca="false">IF(ISBLANK($C259),"",IF(X259=Constants!$B$3,TRUE(),IF(X259=Constants!$B$4,FALSE(),FALSE())))</f>
        <v/>
      </c>
      <c r="AZ259" s="133" t="str">
        <f aca="false">IF(ISBLANK($C259),"",MIN(Constants!$B$31,MAX(0,IF(ISNUMBER(Y259),Y259*60,0)+IF(ISNUMBER(Z259),Z259,0))))</f>
        <v/>
      </c>
      <c r="BA259" s="133" t="str">
        <f aca="false">IF(ISBLANK($C259),"",IF(AA259=Constants!$B$3,TRUE(),IF(AA259=Constants!$B$4,FALSE(),FALSE())))</f>
        <v/>
      </c>
      <c r="BB259" s="132" t="str">
        <f aca="false">IF(ISBLANK($C259),"",AND($AL259,OR($AM259="",$AN259="",AND($AO259,$AP259=""))))</f>
        <v/>
      </c>
      <c r="BC259" s="135" t="str">
        <f aca="false">IF($BR259&lt;&gt;Constants!$B$8,"",IF($AL259,Constants!$B$21*$AN259+Constants!$B$22*IF($AO259,$AP259,Constants!$B$23),Constants!$B$24))</f>
        <v/>
      </c>
      <c r="BD259" s="136" t="str">
        <f aca="false">IF($BR259&lt;&gt;Constants!$B$8,"",Constants!$B$25*ABS($AD$9-IF($AL259,$AM259,0)))</f>
        <v/>
      </c>
      <c r="BE259" s="136" t="str">
        <f aca="false">IF($BR259&lt;&gt;Constants!$B$8,"",IF(AND($AL259,$AQ259,$AO259),Constants!$B$27,0))</f>
        <v/>
      </c>
      <c r="BF259" s="136" t="str">
        <f aca="false">IF($BR259&lt;&gt;Constants!$B$8,"",IF($AL259,($AI259-Constants!$B$29)*Constants!$B$28,0))</f>
        <v/>
      </c>
      <c r="BG259" s="136" t="str">
        <f aca="false">IF($BR259&lt;&gt;Constants!$B$8,"",IF($AK259,0,Constants!$B$15)+IF($AJ259,0,Constants!$B$16)+IF($AH259,0,Constants!$B$17))</f>
        <v/>
      </c>
      <c r="BH259" s="137" t="str">
        <f aca="false">IF($BR259&lt;&gt;Constants!$B$8,"",Constants!$B$20+SUM($BC259:$BG259))</f>
        <v/>
      </c>
      <c r="BI259" s="133" t="str">
        <f aca="false">IF($BR259&lt;&gt;Constants!$B$8,"",IF(OR($BP259&lt;$BH259,AND($BP259=$BH259,OR($BK259&lt;$BC259,AND($BK259=$BC259,OR($BL259&lt;$BD259,AND($BL259=$BD259,$AT259,$AL259,$AV259&lt;$AN259)))))),"-&gt;","&lt;-"))</f>
        <v/>
      </c>
      <c r="BJ259" s="132" t="str">
        <f aca="false">IF(ISBLANK($C259),"",AND($AT259,OR($AU259="",$AV259="",AND($AW259,$AX259=""))))</f>
        <v/>
      </c>
      <c r="BK259" s="135" t="str">
        <f aca="false">IF($BR259&lt;&gt;Constants!$B$8,"",IF($AT259,Constants!$B$21*$AV259+Constants!$B$22*IF($AW259,$AX259,Constants!$B$23),Constants!$B$24))</f>
        <v/>
      </c>
      <c r="BL259" s="136" t="str">
        <f aca="false">IF($BR259&lt;&gt;Constants!$B$8,"",Constants!$B$25*ABS($AD$9-IF($AT259,$AU259,0)))</f>
        <v/>
      </c>
      <c r="BM259" s="136" t="str">
        <f aca="false">IF($BR259&lt;&gt;Constants!$B$8,"",IF(AND($AT259,$AY259,$AW259),Constants!$B$27,0))</f>
        <v/>
      </c>
      <c r="BN259" s="136" t="str">
        <f aca="false">IF($BR259&lt;&gt;Constants!$B$8,"",IF($AT259,($AI259-Constants!$B$29)*Constants!$B$28,0))</f>
        <v/>
      </c>
      <c r="BO259" s="136" t="str">
        <f aca="false">IF($BR259&lt;&gt;Constants!$B$8,"",IF($AS259,0,Constants!$B$15)+IF($AR259,0,Constants!$B$16)+IF($AH259,0,Constants!$B$17))</f>
        <v/>
      </c>
      <c r="BP259" s="137" t="str">
        <f aca="false">IF($BR259&lt;&gt;Constants!$B$8,"",Constants!$B$20+SUM($BK259:$BO259))</f>
        <v/>
      </c>
      <c r="BQ259" s="133" t="str">
        <f aca="false">IF(ISBLANK($C259),"",IF(ISBLANK($D$7),$BQ$5,IF(NOT(ISNUMBER($D$7)),$BQ$6,"")))</f>
        <v/>
      </c>
      <c r="BR259" s="133" t="str">
        <f aca="false">IF(ISBLANK($C259),"",IF($BA259,Constants!$B$11,IF(COUNTA($E259:$AA259)=0,Constants!$B$10,IF(NOT($AG259),Constants!$B$9,IF(OR($BQ259&lt;&gt;"",$BB259,$BJ259),Constants!$B$12,Constants!$B$8)))))</f>
        <v/>
      </c>
      <c r="BS259" s="133" t="str">
        <f aca="false">IF(ISBLANK($C259),"",IF($BR259&lt;&gt;Constants!$B$8,$BR259,Constants!$B$13))</f>
        <v/>
      </c>
      <c r="BT259" s="136" t="str">
        <f aca="false">IF($BR259&lt;&gt;Constants!$B$8,"",IF($BI259="-&gt;",$BP259,$BH259))</f>
        <v/>
      </c>
      <c r="BU259" s="136" t="str">
        <f aca="false">IF($BR259&lt;&gt;Constants!$B$8,"",IF($AF259,0,Constants!$B$18))</f>
        <v/>
      </c>
      <c r="BV259" s="136" t="str">
        <f aca="false">IF($BR259&lt;&gt;Constants!$B$8,"",((Constants!$B$31-$AZ259)-Constants!$B$31)/Constants!$B$32)</f>
        <v/>
      </c>
      <c r="BW259" s="136" t="str">
        <f aca="false">IF(ISBLANK($C259),"",IF($BR259&lt;&gt;Constants!$B$8,$BR259,SUM($BT259:$BV259)))</f>
        <v/>
      </c>
      <c r="BX259" s="133" t="str">
        <f aca="false">IF(ISBLANK($C259),"",IF($BR259&lt;&gt;Constants!$B$8,$BR259,RANK($BW259,$BW$9:$BW$508,1)))</f>
        <v/>
      </c>
      <c r="BY259" s="136" t="str">
        <f aca="false">IF($BR259&lt;&gt;Constants!$B$8,"",IF($BI259="-&gt;",$BK259,$BC259))</f>
        <v/>
      </c>
      <c r="BZ259" s="133" t="str">
        <f aca="false">IF(ISBLANK($C259),"",IF($BR259&lt;&gt;Constants!$B$8,$BR259,IF(ISNUMBER($BY259),RANK($BY259,$BY$9:$BY$508,1),COUNT($BY$9:$BY$508)+1)))</f>
        <v/>
      </c>
      <c r="CA259" s="136" t="str">
        <f aca="false">IF($BR259&lt;&gt;Constants!$B$8,"",IF($BI259="-&gt;",$BL259,$BD259))</f>
        <v/>
      </c>
      <c r="CB259" s="133" t="str">
        <f aca="false">IF(ISBLANK($C259),"",IF($BR259&lt;&gt;Constants!$B$8,$BR259,IF(ISNUMBER($CA259),RANK($CA259,$CA$9:$CA$508,1),COUNT($CA$9:$CA$508)+1)))</f>
        <v/>
      </c>
      <c r="CC259" s="136" t="str">
        <f aca="false">IF($BR259&lt;&gt;Constants!$B$8,"",IF($BI259="-&gt;",IF($AT259,$AV259,""),IF($AL259,$AN259,"")))</f>
        <v/>
      </c>
      <c r="CD259" s="133" t="str">
        <f aca="false">IF(ISBLANK($C259),"",IF($BR259&lt;&gt;Constants!$B$8,$BR259,IF(ISNUMBER($CC259),RANK($CC259,$CC$9:$CC$508,1),COUNT($CC$9:$CC$508)+1)))</f>
        <v/>
      </c>
      <c r="CE259" s="136" t="str">
        <f aca="false">IF($BR259&lt;&gt;Constants!$B$8,"",IF(AND(NOT($AL259),NOT($AT259),$AJ259,$AK259,$AR259,$AS259),"",$AI259))</f>
        <v/>
      </c>
      <c r="CF259" s="133" t="str">
        <f aca="false">IF(ISBLANK($C259),"",IF($BR259&lt;&gt;Constants!$B$8,$BR259,IF(ISNUMBER($CE259),RANK($CE259,$CE$9:$CE$508,1),COUNT($CE$9:$CE$508)+1)))</f>
        <v/>
      </c>
      <c r="CG259" s="133" t="str">
        <f aca="false">IF(ISBLANK($C259),"",IF($BR259&lt;&gt;Constants!$B$8,$BR259,COUNTIFS($BX$9:$BX$508,"&lt;"&amp;$BX259)+COUNTIFS($BX$9:$BX$508,$BX259,$BZ$9:$BZ$508,"&lt;"&amp;$BZ259)+COUNTIFS($BX$9:$BX$508,$BX259,$BZ$9:$BZ$508,$BZ259,$CB$9:$CB$508,"&lt;"&amp;$CB259)+COUNTIFS($BX$9:$BX$508,$BX259,$BZ$9:$BZ$508,$BZ259,$CB$9:$CB$508,$CB259,$CD$9:$CD$508,"&lt;"&amp;$CD259)+COUNTIFS($BX$9:$BX$508,$BX259,$BZ$9:$BZ$508,$BZ259,$CB$9:$CB$508,$CB259,$CD$9:$CD$508,$CD259,$CF$9:$CF$508,"&lt;"&amp;$CF259)+1))</f>
        <v/>
      </c>
      <c r="CH259" s="133" t="str">
        <f aca="false">IF(ISBLANK($C259),"",IF($BR259&lt;&gt;Constants!$B$8,$BR259,$BX259-$CG259))</f>
        <v/>
      </c>
      <c r="CI259" s="138"/>
      <c r="CJ259" s="139"/>
      <c r="CK259" s="140" t="str">
        <f aca="false">IF(ISBLANK($C259),"",IF($BR259=Constants!$B$12,$BQ259,""))</f>
        <v/>
      </c>
      <c r="CL259" s="139" t="str">
        <f aca="false">IF(ISBLANK($C259),"",IF($BR259&lt;&gt;Constants!$B$8,"",IF($BI259="-&gt;",2,1)))</f>
        <v/>
      </c>
      <c r="CM259" s="141" t="str">
        <f aca="false">IF(ISBLANK($C259),"",IF($BR259&lt;&gt;Constants!$B$8,"",IF($BI259="-&gt;",$BK259,$BC259)))</f>
        <v/>
      </c>
      <c r="CN259" s="141" t="str">
        <f aca="false">IF(ISBLANK($C259),"",IF($BR259&lt;&gt;Constants!$B$8,"",IF($BI259="-&gt;",$BL259,$BD259)))</f>
        <v/>
      </c>
      <c r="CO259" s="141" t="str">
        <f aca="false">IF(ISBLANK($C259),"",IF($BR259&lt;&gt;Constants!$B$8,"",IF($BI259="-&gt;",$BM259+$BN259,$BE259+$BF259)+$BV259))</f>
        <v/>
      </c>
      <c r="CP259" s="141" t="str">
        <f aca="false">IF(ISBLANK($C259),"",IF($BR259&lt;&gt;Constants!$B$8,"",IF($BI259="-&gt;",$BO259,$BG259)+$BU259))</f>
        <v/>
      </c>
      <c r="CQ259" s="142" t="str">
        <f aca="false">IF(ISBLANK($C259),"",IF($BR259&lt;&gt;Constants!$B$8,$BR259,$BW259))</f>
        <v/>
      </c>
      <c r="CR259" s="143" t="str">
        <f aca="false">IF(ISBLANK($C259),"",$BS259)</f>
        <v/>
      </c>
      <c r="CS259" s="144" t="str">
        <f aca="false">IF(ISBLANK($C259),"",$CH259)</f>
        <v/>
      </c>
      <c r="CT259" s="144" t="str">
        <f aca="false">IF(ISBLANK($C259),"",$CG259)</f>
        <v/>
      </c>
      <c r="CU259" s="145" t="str">
        <f aca="false">IF(ISBLANK($C259),"",IFERROR(_xlfn.SWITCH($CT259,Constants!$B$11,COUNTA($C$9:$C$508)+2,Constants!$B$10,COUNTA($C$9:$C$508)+1,Constants!$B$9,COUNTA($C$9:$C$508)),$CT259))</f>
        <v/>
      </c>
      <c r="CV259" s="9"/>
      <c r="CW259" s="146" t="n">
        <f aca="false">IF(OR(ISNUMBER($CT259),$CT259=Constants!$B$11,$CT259=Constants!$B$9,$CT259=Constants!$B$10),1,0)</f>
        <v>0</v>
      </c>
      <c r="CX259" s="146" t="n">
        <v>251</v>
      </c>
      <c r="CY259" s="146" t="str">
        <f aca="false">IF(ISBLANK($C259),"",IF(ISNUMBER($CU259),$CU259+ROW($B259)/1000,""))</f>
        <v/>
      </c>
      <c r="CZ259" s="146" t="str">
        <f aca="false">IF(ISNUMBER($CY259),RANK($CY259,$CY$9:$CY$508,1),"")</f>
        <v/>
      </c>
      <c r="DA259" s="146" t="str">
        <f aca="false">IF(ISBLANK($C259),"",$B259)</f>
        <v/>
      </c>
      <c r="DB259" s="146" t="str">
        <f aca="false">IF(ISBLANK($C259),"",$C259)</f>
        <v/>
      </c>
      <c r="DC259" s="146" t="str">
        <f aca="false">IF(ISBLANK($C259),"",$D259)</f>
        <v/>
      </c>
      <c r="DD259" s="147" t="str">
        <f aca="false">$CR259</f>
        <v/>
      </c>
      <c r="DE259" s="148" t="str">
        <f aca="false">$CQ259</f>
        <v/>
      </c>
      <c r="DF259" s="146" t="str">
        <f aca="false">IF(ISBLANK($C259),"",$CT259)</f>
        <v/>
      </c>
      <c r="DG259" s="149" t="str">
        <f aca="false">IF($CX259&gt;$CW$8,"",VLOOKUP($CX259,$CZ$9:$DF$508,7,FALSE()))</f>
        <v/>
      </c>
      <c r="DH259" s="150" t="str">
        <f aca="false">IF($CX259&gt;$CW$8,"",VLOOKUP($CX259,$CZ$9:$DF$508,2,FALSE()))</f>
        <v/>
      </c>
      <c r="DI259" s="150" t="str">
        <f aca="false">IF($CX259&gt;$CW$8,"",VLOOKUP($CX259,$CZ$9:$DF$508,3,FALSE()))</f>
        <v/>
      </c>
      <c r="DJ259" s="150" t="str">
        <f aca="false">IF($CX259&gt;$CW$8,"",VLOOKUP($CX259,$CZ$9:$DF$508,4,FALSE()))</f>
        <v/>
      </c>
      <c r="DK259" s="150" t="str">
        <f aca="false">IF($CX259&gt;$CW$8,"",VLOOKUP($CX259,$CZ$9:$DF$508,5,FALSE()))</f>
        <v/>
      </c>
      <c r="DL259" s="151" t="str">
        <f aca="false">IF($CX259&gt;$CW$8,"",VLOOKUP($CX259,$CZ$9:$DF$508,6,FALSE()))</f>
        <v/>
      </c>
      <c r="DM259" s="75"/>
    </row>
    <row r="260" customFormat="false" ht="15.75" hidden="false" customHeight="false" outlineLevel="0" collapsed="false">
      <c r="A260" s="9"/>
      <c r="B260" s="157"/>
      <c r="C260" s="158"/>
      <c r="D260" s="159"/>
      <c r="E260" s="177"/>
      <c r="F260" s="161"/>
      <c r="G260" s="162"/>
      <c r="H260" s="162"/>
      <c r="I260" s="178"/>
      <c r="J260" s="165"/>
      <c r="K260" s="126"/>
      <c r="L260" s="127"/>
      <c r="M260" s="128"/>
      <c r="N260" s="165"/>
      <c r="O260" s="165"/>
      <c r="P260" s="177"/>
      <c r="Q260" s="165"/>
      <c r="R260" s="165"/>
      <c r="S260" s="126"/>
      <c r="T260" s="128"/>
      <c r="U260" s="128"/>
      <c r="V260" s="165"/>
      <c r="W260" s="165"/>
      <c r="X260" s="177"/>
      <c r="Y260" s="165"/>
      <c r="Z260" s="166"/>
      <c r="AA260" s="165"/>
      <c r="AB260" s="132"/>
      <c r="AC260" s="133"/>
      <c r="AD260" s="133"/>
      <c r="AE260" s="133"/>
      <c r="AF260" s="133" t="str">
        <f aca="false">IF(ISBLANK($C260),"",IF(E260=Constants!$B$3,TRUE(),IF(E260=Constants!$B$4,FALSE(),TRUE())))</f>
        <v/>
      </c>
      <c r="AG260" s="133" t="str">
        <f aca="false">IF(ISBLANK($C260),"",IF(F260=Constants!$B$3,TRUE(),IF(F260=Constants!$B$4,FALSE(),TRUE())))</f>
        <v/>
      </c>
      <c r="AH260" s="133" t="str">
        <f aca="false">IF(ISBLANK($C260),"",IF(G260=Constants!$B$3,TRUE(),IF(G260=Constants!$B$4,FALSE(),TRUE())))</f>
        <v/>
      </c>
      <c r="AI260" s="133" t="str">
        <f aca="false">IF(ISBLANK($C260),"",IF(AND(ISNUMBER(H260),H260&gt;=0),H260,Constants!$B$29))</f>
        <v/>
      </c>
      <c r="AJ260" s="133" t="str">
        <f aca="false">IF(ISBLANK($C260),"",IF(I260=Constants!$B$3,TRUE(),IF(I260=Constants!$B$4,FALSE(),TRUE())))</f>
        <v/>
      </c>
      <c r="AK260" s="133" t="str">
        <f aca="false">IF(ISBLANK($C260),"",IF(J260=Constants!$B$3,TRUE(),IF(J260=Constants!$B$4,FALSE(),TRUE())))</f>
        <v/>
      </c>
      <c r="AL260" s="133" t="str">
        <f aca="false">IF(ISBLANK($C260),"",IF(K260=Constants!$B$5,TRUE(),IF(K260=Constants!$B$6,FALSE(),COUNTA(L260:P260)&gt;0)))</f>
        <v/>
      </c>
      <c r="AM260" s="134" t="str">
        <f aca="false">IF(ISBLANK($C260),"",IF(ISNUMBER(L260),IF(L260&gt;=0,L260,""),""))</f>
        <v/>
      </c>
      <c r="AN260" s="135" t="str">
        <f aca="false">IF(ISBLANK($C260),"",IF(ISNUMBER(M260),IF(M260&gt;=0,M260,""),""))</f>
        <v/>
      </c>
      <c r="AO260" s="135" t="str">
        <f aca="false">IF(ISBLANK($C260),"",IF(N260=Constants!$B$3,TRUE(),IF(N260=Constants!$B$4,FALSE(),TRUE())))</f>
        <v/>
      </c>
      <c r="AP260" s="133" t="str">
        <f aca="false">IF(ISBLANK($C260),"",IF(ISNUMBER(O260),IF(O260&gt;=0,O260,""),""))</f>
        <v/>
      </c>
      <c r="AQ260" s="133" t="str">
        <f aca="false">IF(ISBLANK($C260),"",IF(P260=Constants!$B$3,TRUE(),IF(P260=Constants!$B$4,FALSE(),FALSE())))</f>
        <v/>
      </c>
      <c r="AR260" s="133" t="str">
        <f aca="false">IF(ISBLANK($C260),"",IF(Q260=Constants!$B$3,TRUE(),IF(Q260=Constants!$B$4,FALSE(),TRUE())))</f>
        <v/>
      </c>
      <c r="AS260" s="133" t="str">
        <f aca="false">IF(ISBLANK($C260),"",IF(R260=Constants!$B$3,TRUE(),IF(R260=Constants!$B$4,FALSE(),TRUE())))</f>
        <v/>
      </c>
      <c r="AT260" s="133" t="str">
        <f aca="false">IF(ISBLANK($C260),"",IF(S260=Constants!$B$5,TRUE(),IF(S260=Constants!$B$6,FALSE(),COUNTA(T260:X260)&gt;0)))</f>
        <v/>
      </c>
      <c r="AU260" s="134" t="str">
        <f aca="false">IF(ISBLANK($C260),"",IF(ISNUMBER(T260),IF(T260&gt;=0,T260,""),""))</f>
        <v/>
      </c>
      <c r="AV260" s="135" t="str">
        <f aca="false">IF(ISBLANK($C260),"",IF(ISNUMBER(U260),IF(U260&gt;=0,U260,""),""))</f>
        <v/>
      </c>
      <c r="AW260" s="135" t="str">
        <f aca="false">IF(ISBLANK($C260),"",IF(V260=Constants!$B$3,TRUE(),IF(V260=Constants!$B$4,FALSE(),TRUE())))</f>
        <v/>
      </c>
      <c r="AX260" s="133" t="str">
        <f aca="false">IF(ISBLANK($C260),"",IF(ISNUMBER(W260),IF(W260&gt;=0,W260,""),""))</f>
        <v/>
      </c>
      <c r="AY260" s="133" t="str">
        <f aca="false">IF(ISBLANK($C260),"",IF(X260=Constants!$B$3,TRUE(),IF(X260=Constants!$B$4,FALSE(),FALSE())))</f>
        <v/>
      </c>
      <c r="AZ260" s="133" t="str">
        <f aca="false">IF(ISBLANK($C260),"",MIN(Constants!$B$31,MAX(0,IF(ISNUMBER(Y260),Y260*60,0)+IF(ISNUMBER(Z260),Z260,0))))</f>
        <v/>
      </c>
      <c r="BA260" s="133" t="str">
        <f aca="false">IF(ISBLANK($C260),"",IF(AA260=Constants!$B$3,TRUE(),IF(AA260=Constants!$B$4,FALSE(),FALSE())))</f>
        <v/>
      </c>
      <c r="BB260" s="132" t="str">
        <f aca="false">IF(ISBLANK($C260),"",AND($AL260,OR($AM260="",$AN260="",AND($AO260,$AP260=""))))</f>
        <v/>
      </c>
      <c r="BC260" s="135" t="str">
        <f aca="false">IF($BR260&lt;&gt;Constants!$B$8,"",IF($AL260,Constants!$B$21*$AN260+Constants!$B$22*IF($AO260,$AP260,Constants!$B$23),Constants!$B$24))</f>
        <v/>
      </c>
      <c r="BD260" s="136" t="str">
        <f aca="false">IF($BR260&lt;&gt;Constants!$B$8,"",Constants!$B$25*ABS($AD$9-IF($AL260,$AM260,0)))</f>
        <v/>
      </c>
      <c r="BE260" s="136" t="str">
        <f aca="false">IF($BR260&lt;&gt;Constants!$B$8,"",IF(AND($AL260,$AQ260,$AO260),Constants!$B$27,0))</f>
        <v/>
      </c>
      <c r="BF260" s="136" t="str">
        <f aca="false">IF($BR260&lt;&gt;Constants!$B$8,"",IF($AL260,($AI260-Constants!$B$29)*Constants!$B$28,0))</f>
        <v/>
      </c>
      <c r="BG260" s="136" t="str">
        <f aca="false">IF($BR260&lt;&gt;Constants!$B$8,"",IF($AK260,0,Constants!$B$15)+IF($AJ260,0,Constants!$B$16)+IF($AH260,0,Constants!$B$17))</f>
        <v/>
      </c>
      <c r="BH260" s="137" t="str">
        <f aca="false">IF($BR260&lt;&gt;Constants!$B$8,"",Constants!$B$20+SUM($BC260:$BG260))</f>
        <v/>
      </c>
      <c r="BI260" s="133" t="str">
        <f aca="false">IF($BR260&lt;&gt;Constants!$B$8,"",IF(OR($BP260&lt;$BH260,AND($BP260=$BH260,OR($BK260&lt;$BC260,AND($BK260=$BC260,OR($BL260&lt;$BD260,AND($BL260=$BD260,$AT260,$AL260,$AV260&lt;$AN260)))))),"-&gt;","&lt;-"))</f>
        <v/>
      </c>
      <c r="BJ260" s="132" t="str">
        <f aca="false">IF(ISBLANK($C260),"",AND($AT260,OR($AU260="",$AV260="",AND($AW260,$AX260=""))))</f>
        <v/>
      </c>
      <c r="BK260" s="135" t="str">
        <f aca="false">IF($BR260&lt;&gt;Constants!$B$8,"",IF($AT260,Constants!$B$21*$AV260+Constants!$B$22*IF($AW260,$AX260,Constants!$B$23),Constants!$B$24))</f>
        <v/>
      </c>
      <c r="BL260" s="136" t="str">
        <f aca="false">IF($BR260&lt;&gt;Constants!$B$8,"",Constants!$B$25*ABS($AD$9-IF($AT260,$AU260,0)))</f>
        <v/>
      </c>
      <c r="BM260" s="136" t="str">
        <f aca="false">IF($BR260&lt;&gt;Constants!$B$8,"",IF(AND($AT260,$AY260,$AW260),Constants!$B$27,0))</f>
        <v/>
      </c>
      <c r="BN260" s="136" t="str">
        <f aca="false">IF($BR260&lt;&gt;Constants!$B$8,"",IF($AT260,($AI260-Constants!$B$29)*Constants!$B$28,0))</f>
        <v/>
      </c>
      <c r="BO260" s="136" t="str">
        <f aca="false">IF($BR260&lt;&gt;Constants!$B$8,"",IF($AS260,0,Constants!$B$15)+IF($AR260,0,Constants!$B$16)+IF($AH260,0,Constants!$B$17))</f>
        <v/>
      </c>
      <c r="BP260" s="137" t="str">
        <f aca="false">IF($BR260&lt;&gt;Constants!$B$8,"",Constants!$B$20+SUM($BK260:$BO260))</f>
        <v/>
      </c>
      <c r="BQ260" s="133" t="str">
        <f aca="false">IF(ISBLANK($C260),"",IF(ISBLANK($D$7),$BQ$5,IF(NOT(ISNUMBER($D$7)),$BQ$6,"")))</f>
        <v/>
      </c>
      <c r="BR260" s="133" t="str">
        <f aca="false">IF(ISBLANK($C260),"",IF($BA260,Constants!$B$11,IF(COUNTA($E260:$AA260)=0,Constants!$B$10,IF(NOT($AG260),Constants!$B$9,IF(OR($BQ260&lt;&gt;"",$BB260,$BJ260),Constants!$B$12,Constants!$B$8)))))</f>
        <v/>
      </c>
      <c r="BS260" s="133" t="str">
        <f aca="false">IF(ISBLANK($C260),"",IF($BR260&lt;&gt;Constants!$B$8,$BR260,Constants!$B$13))</f>
        <v/>
      </c>
      <c r="BT260" s="136" t="str">
        <f aca="false">IF($BR260&lt;&gt;Constants!$B$8,"",IF($BI260="-&gt;",$BP260,$BH260))</f>
        <v/>
      </c>
      <c r="BU260" s="136" t="str">
        <f aca="false">IF($BR260&lt;&gt;Constants!$B$8,"",IF($AF260,0,Constants!$B$18))</f>
        <v/>
      </c>
      <c r="BV260" s="136" t="str">
        <f aca="false">IF($BR260&lt;&gt;Constants!$B$8,"",((Constants!$B$31-$AZ260)-Constants!$B$31)/Constants!$B$32)</f>
        <v/>
      </c>
      <c r="BW260" s="136" t="str">
        <f aca="false">IF(ISBLANK($C260),"",IF($BR260&lt;&gt;Constants!$B$8,$BR260,SUM($BT260:$BV260)))</f>
        <v/>
      </c>
      <c r="BX260" s="133" t="str">
        <f aca="false">IF(ISBLANK($C260),"",IF($BR260&lt;&gt;Constants!$B$8,$BR260,RANK($BW260,$BW$9:$BW$508,1)))</f>
        <v/>
      </c>
      <c r="BY260" s="136" t="str">
        <f aca="false">IF($BR260&lt;&gt;Constants!$B$8,"",IF($BI260="-&gt;",$BK260,$BC260))</f>
        <v/>
      </c>
      <c r="BZ260" s="133" t="str">
        <f aca="false">IF(ISBLANK($C260),"",IF($BR260&lt;&gt;Constants!$B$8,$BR260,IF(ISNUMBER($BY260),RANK($BY260,$BY$9:$BY$508,1),COUNT($BY$9:$BY$508)+1)))</f>
        <v/>
      </c>
      <c r="CA260" s="136" t="str">
        <f aca="false">IF($BR260&lt;&gt;Constants!$B$8,"",IF($BI260="-&gt;",$BL260,$BD260))</f>
        <v/>
      </c>
      <c r="CB260" s="133" t="str">
        <f aca="false">IF(ISBLANK($C260),"",IF($BR260&lt;&gt;Constants!$B$8,$BR260,IF(ISNUMBER($CA260),RANK($CA260,$CA$9:$CA$508,1),COUNT($CA$9:$CA$508)+1)))</f>
        <v/>
      </c>
      <c r="CC260" s="136" t="str">
        <f aca="false">IF($BR260&lt;&gt;Constants!$B$8,"",IF($BI260="-&gt;",IF($AT260,$AV260,""),IF($AL260,$AN260,"")))</f>
        <v/>
      </c>
      <c r="CD260" s="133" t="str">
        <f aca="false">IF(ISBLANK($C260),"",IF($BR260&lt;&gt;Constants!$B$8,$BR260,IF(ISNUMBER($CC260),RANK($CC260,$CC$9:$CC$508,1),COUNT($CC$9:$CC$508)+1)))</f>
        <v/>
      </c>
      <c r="CE260" s="136" t="str">
        <f aca="false">IF($BR260&lt;&gt;Constants!$B$8,"",IF(AND(NOT($AL260),NOT($AT260),$AJ260,$AK260,$AR260,$AS260),"",$AI260))</f>
        <v/>
      </c>
      <c r="CF260" s="133" t="str">
        <f aca="false">IF(ISBLANK($C260),"",IF($BR260&lt;&gt;Constants!$B$8,$BR260,IF(ISNUMBER($CE260),RANK($CE260,$CE$9:$CE$508,1),COUNT($CE$9:$CE$508)+1)))</f>
        <v/>
      </c>
      <c r="CG260" s="133" t="str">
        <f aca="false">IF(ISBLANK($C260),"",IF($BR260&lt;&gt;Constants!$B$8,$BR260,COUNTIFS($BX$9:$BX$508,"&lt;"&amp;$BX260)+COUNTIFS($BX$9:$BX$508,$BX260,$BZ$9:$BZ$508,"&lt;"&amp;$BZ260)+COUNTIFS($BX$9:$BX$508,$BX260,$BZ$9:$BZ$508,$BZ260,$CB$9:$CB$508,"&lt;"&amp;$CB260)+COUNTIFS($BX$9:$BX$508,$BX260,$BZ$9:$BZ$508,$BZ260,$CB$9:$CB$508,$CB260,$CD$9:$CD$508,"&lt;"&amp;$CD260)+COUNTIFS($BX$9:$BX$508,$BX260,$BZ$9:$BZ$508,$BZ260,$CB$9:$CB$508,$CB260,$CD$9:$CD$508,$CD260,$CF$9:$CF$508,"&lt;"&amp;$CF260)+1))</f>
        <v/>
      </c>
      <c r="CH260" s="133" t="str">
        <f aca="false">IF(ISBLANK($C260),"",IF($BR260&lt;&gt;Constants!$B$8,$BR260,$BX260-$CG260))</f>
        <v/>
      </c>
      <c r="CI260" s="138"/>
      <c r="CJ260" s="139"/>
      <c r="CK260" s="140" t="str">
        <f aca="false">IF(ISBLANK($C260),"",IF($BR260=Constants!$B$12,$BQ260,""))</f>
        <v/>
      </c>
      <c r="CL260" s="139" t="str">
        <f aca="false">IF(ISBLANK($C260),"",IF($BR260&lt;&gt;Constants!$B$8,"",IF($BI260="-&gt;",2,1)))</f>
        <v/>
      </c>
      <c r="CM260" s="141" t="str">
        <f aca="false">IF(ISBLANK($C260),"",IF($BR260&lt;&gt;Constants!$B$8,"",IF($BI260="-&gt;",$BK260,$BC260)))</f>
        <v/>
      </c>
      <c r="CN260" s="141" t="str">
        <f aca="false">IF(ISBLANK($C260),"",IF($BR260&lt;&gt;Constants!$B$8,"",IF($BI260="-&gt;",$BL260,$BD260)))</f>
        <v/>
      </c>
      <c r="CO260" s="141" t="str">
        <f aca="false">IF(ISBLANK($C260),"",IF($BR260&lt;&gt;Constants!$B$8,"",IF($BI260="-&gt;",$BM260+$BN260,$BE260+$BF260)+$BV260))</f>
        <v/>
      </c>
      <c r="CP260" s="141" t="str">
        <f aca="false">IF(ISBLANK($C260),"",IF($BR260&lt;&gt;Constants!$B$8,"",IF($BI260="-&gt;",$BO260,$BG260)+$BU260))</f>
        <v/>
      </c>
      <c r="CQ260" s="142" t="str">
        <f aca="false">IF(ISBLANK($C260),"",IF($BR260&lt;&gt;Constants!$B$8,$BR260,$BW260))</f>
        <v/>
      </c>
      <c r="CR260" s="143" t="str">
        <f aca="false">IF(ISBLANK($C260),"",$BS260)</f>
        <v/>
      </c>
      <c r="CS260" s="144" t="str">
        <f aca="false">IF(ISBLANK($C260),"",$CH260)</f>
        <v/>
      </c>
      <c r="CT260" s="144" t="str">
        <f aca="false">IF(ISBLANK($C260),"",$CG260)</f>
        <v/>
      </c>
      <c r="CU260" s="145" t="str">
        <f aca="false">IF(ISBLANK($C260),"",IFERROR(_xlfn.SWITCH($CT260,Constants!$B$11,COUNTA($C$9:$C$508)+2,Constants!$B$10,COUNTA($C$9:$C$508)+1,Constants!$B$9,COUNTA($C$9:$C$508)),$CT260))</f>
        <v/>
      </c>
      <c r="CV260" s="9"/>
      <c r="CW260" s="146" t="n">
        <f aca="false">IF(OR(ISNUMBER($CT260),$CT260=Constants!$B$11,$CT260=Constants!$B$9,$CT260=Constants!$B$10),1,0)</f>
        <v>0</v>
      </c>
      <c r="CX260" s="146" t="n">
        <v>252</v>
      </c>
      <c r="CY260" s="146" t="str">
        <f aca="false">IF(ISBLANK($C260),"",IF(ISNUMBER($CU260),$CU260+ROW($B260)/1000,""))</f>
        <v/>
      </c>
      <c r="CZ260" s="146" t="str">
        <f aca="false">IF(ISNUMBER($CY260),RANK($CY260,$CY$9:$CY$508,1),"")</f>
        <v/>
      </c>
      <c r="DA260" s="146" t="str">
        <f aca="false">IF(ISBLANK($C260),"",$B260)</f>
        <v/>
      </c>
      <c r="DB260" s="146" t="str">
        <f aca="false">IF(ISBLANK($C260),"",$C260)</f>
        <v/>
      </c>
      <c r="DC260" s="146" t="str">
        <f aca="false">IF(ISBLANK($C260),"",$D260)</f>
        <v/>
      </c>
      <c r="DD260" s="147" t="str">
        <f aca="false">$CR260</f>
        <v/>
      </c>
      <c r="DE260" s="148" t="str">
        <f aca="false">$CQ260</f>
        <v/>
      </c>
      <c r="DF260" s="146" t="str">
        <f aca="false">IF(ISBLANK($C260),"",$CT260)</f>
        <v/>
      </c>
      <c r="DG260" s="149" t="str">
        <f aca="false">IF($CX260&gt;$CW$8,"",VLOOKUP($CX260,$CZ$9:$DF$508,7,FALSE()))</f>
        <v/>
      </c>
      <c r="DH260" s="150" t="str">
        <f aca="false">IF($CX260&gt;$CW$8,"",VLOOKUP($CX260,$CZ$9:$DF$508,2,FALSE()))</f>
        <v/>
      </c>
      <c r="DI260" s="150" t="str">
        <f aca="false">IF($CX260&gt;$CW$8,"",VLOOKUP($CX260,$CZ$9:$DF$508,3,FALSE()))</f>
        <v/>
      </c>
      <c r="DJ260" s="150" t="str">
        <f aca="false">IF($CX260&gt;$CW$8,"",VLOOKUP($CX260,$CZ$9:$DF$508,4,FALSE()))</f>
        <v/>
      </c>
      <c r="DK260" s="150" t="str">
        <f aca="false">IF($CX260&gt;$CW$8,"",VLOOKUP($CX260,$CZ$9:$DF$508,5,FALSE()))</f>
        <v/>
      </c>
      <c r="DL260" s="151" t="str">
        <f aca="false">IF($CX260&gt;$CW$8,"",VLOOKUP($CX260,$CZ$9:$DF$508,6,FALSE()))</f>
        <v/>
      </c>
      <c r="DM260" s="75"/>
    </row>
    <row r="261" customFormat="false" ht="15.75" hidden="false" customHeight="false" outlineLevel="0" collapsed="false">
      <c r="A261" s="9"/>
      <c r="B261" s="77"/>
      <c r="C261" s="78"/>
      <c r="D261" s="167"/>
      <c r="E261" s="175"/>
      <c r="F261" s="169"/>
      <c r="G261" s="170"/>
      <c r="H261" s="170"/>
      <c r="I261" s="176"/>
      <c r="J261" s="173"/>
      <c r="K261" s="85"/>
      <c r="L261" s="86"/>
      <c r="M261" s="87"/>
      <c r="N261" s="173"/>
      <c r="O261" s="173"/>
      <c r="P261" s="175"/>
      <c r="Q261" s="173"/>
      <c r="R261" s="173"/>
      <c r="S261" s="85"/>
      <c r="T261" s="87"/>
      <c r="U261" s="87"/>
      <c r="V261" s="173"/>
      <c r="W261" s="173"/>
      <c r="X261" s="175"/>
      <c r="Y261" s="173"/>
      <c r="Z261" s="174"/>
      <c r="AA261" s="173"/>
      <c r="AB261" s="91"/>
      <c r="AC261" s="92"/>
      <c r="AD261" s="92"/>
      <c r="AE261" s="92"/>
      <c r="AF261" s="92" t="str">
        <f aca="false">IF(ISBLANK($C261),"",IF(E261=Constants!$B$3,TRUE(),IF(E261=Constants!$B$4,FALSE(),TRUE())))</f>
        <v/>
      </c>
      <c r="AG261" s="92" t="str">
        <f aca="false">IF(ISBLANK($C261),"",IF(F261=Constants!$B$3,TRUE(),IF(F261=Constants!$B$4,FALSE(),TRUE())))</f>
        <v/>
      </c>
      <c r="AH261" s="92" t="str">
        <f aca="false">IF(ISBLANK($C261),"",IF(G261=Constants!$B$3,TRUE(),IF(G261=Constants!$B$4,FALSE(),TRUE())))</f>
        <v/>
      </c>
      <c r="AI261" s="92" t="str">
        <f aca="false">IF(ISBLANK($C261),"",IF(AND(ISNUMBER(H261),H261&gt;=0),H261,Constants!$B$29))</f>
        <v/>
      </c>
      <c r="AJ261" s="92" t="str">
        <f aca="false">IF(ISBLANK($C261),"",IF(I261=Constants!$B$3,TRUE(),IF(I261=Constants!$B$4,FALSE(),TRUE())))</f>
        <v/>
      </c>
      <c r="AK261" s="92" t="str">
        <f aca="false">IF(ISBLANK($C261),"",IF(J261=Constants!$B$3,TRUE(),IF(J261=Constants!$B$4,FALSE(),TRUE())))</f>
        <v/>
      </c>
      <c r="AL261" s="92" t="str">
        <f aca="false">IF(ISBLANK($C261),"",IF(K261=Constants!$B$5,TRUE(),IF(K261=Constants!$B$6,FALSE(),COUNTA(L261:P261)&gt;0)))</f>
        <v/>
      </c>
      <c r="AM261" s="94" t="str">
        <f aca="false">IF(ISBLANK($C261),"",IF(ISNUMBER(L261),IF(L261&gt;=0,L261,""),""))</f>
        <v/>
      </c>
      <c r="AN261" s="93" t="str">
        <f aca="false">IF(ISBLANK($C261),"",IF(ISNUMBER(M261),IF(M261&gt;=0,M261,""),""))</f>
        <v/>
      </c>
      <c r="AO261" s="93" t="str">
        <f aca="false">IF(ISBLANK($C261),"",IF(N261=Constants!$B$3,TRUE(),IF(N261=Constants!$B$4,FALSE(),TRUE())))</f>
        <v/>
      </c>
      <c r="AP261" s="92" t="str">
        <f aca="false">IF(ISBLANK($C261),"",IF(ISNUMBER(O261),IF(O261&gt;=0,O261,""),""))</f>
        <v/>
      </c>
      <c r="AQ261" s="92" t="str">
        <f aca="false">IF(ISBLANK($C261),"",IF(P261=Constants!$B$3,TRUE(),IF(P261=Constants!$B$4,FALSE(),FALSE())))</f>
        <v/>
      </c>
      <c r="AR261" s="92" t="str">
        <f aca="false">IF(ISBLANK($C261),"",IF(Q261=Constants!$B$3,TRUE(),IF(Q261=Constants!$B$4,FALSE(),TRUE())))</f>
        <v/>
      </c>
      <c r="AS261" s="92" t="str">
        <f aca="false">IF(ISBLANK($C261),"",IF(R261=Constants!$B$3,TRUE(),IF(R261=Constants!$B$4,FALSE(),TRUE())))</f>
        <v/>
      </c>
      <c r="AT261" s="92" t="str">
        <f aca="false">IF(ISBLANK($C261),"",IF(S261=Constants!$B$5,TRUE(),IF(S261=Constants!$B$6,FALSE(),COUNTA(T261:X261)&gt;0)))</f>
        <v/>
      </c>
      <c r="AU261" s="94" t="str">
        <f aca="false">IF(ISBLANK($C261),"",IF(ISNUMBER(T261),IF(T261&gt;=0,T261,""),""))</f>
        <v/>
      </c>
      <c r="AV261" s="93" t="str">
        <f aca="false">IF(ISBLANK($C261),"",IF(ISNUMBER(U261),IF(U261&gt;=0,U261,""),""))</f>
        <v/>
      </c>
      <c r="AW261" s="93" t="str">
        <f aca="false">IF(ISBLANK($C261),"",IF(V261=Constants!$B$3,TRUE(),IF(V261=Constants!$B$4,FALSE(),TRUE())))</f>
        <v/>
      </c>
      <c r="AX261" s="92" t="str">
        <f aca="false">IF(ISBLANK($C261),"",IF(ISNUMBER(W261),IF(W261&gt;=0,W261,""),""))</f>
        <v/>
      </c>
      <c r="AY261" s="92" t="str">
        <f aca="false">IF(ISBLANK($C261),"",IF(X261=Constants!$B$3,TRUE(),IF(X261=Constants!$B$4,FALSE(),FALSE())))</f>
        <v/>
      </c>
      <c r="AZ261" s="92" t="str">
        <f aca="false">IF(ISBLANK($C261),"",MIN(Constants!$B$31,MAX(0,IF(ISNUMBER(Y261),Y261*60,0)+IF(ISNUMBER(Z261),Z261,0))))</f>
        <v/>
      </c>
      <c r="BA261" s="92" t="str">
        <f aca="false">IF(ISBLANK($C261),"",IF(AA261=Constants!$B$3,TRUE(),IF(AA261=Constants!$B$4,FALSE(),FALSE())))</f>
        <v/>
      </c>
      <c r="BB261" s="91" t="str">
        <f aca="false">IF(ISBLANK($C261),"",AND($AL261,OR($AM261="",$AN261="",AND($AO261,$AP261=""))))</f>
        <v/>
      </c>
      <c r="BC261" s="93" t="str">
        <f aca="false">IF($BR261&lt;&gt;Constants!$B$8,"",IF($AL261,Constants!$B$21*$AN261+Constants!$B$22*IF($AO261,$AP261,Constants!$B$23),Constants!$B$24))</f>
        <v/>
      </c>
      <c r="BD261" s="96" t="str">
        <f aca="false">IF($BR261&lt;&gt;Constants!$B$8,"",Constants!$B$25*ABS($AD$9-IF($AL261,$AM261,0)))</f>
        <v/>
      </c>
      <c r="BE261" s="96" t="str">
        <f aca="false">IF($BR261&lt;&gt;Constants!$B$8,"",IF(AND($AL261,$AQ261,$AO261),Constants!$B$27,0))</f>
        <v/>
      </c>
      <c r="BF261" s="96" t="str">
        <f aca="false">IF($BR261&lt;&gt;Constants!$B$8,"",IF($AL261,($AI261-Constants!$B$29)*Constants!$B$28,0))</f>
        <v/>
      </c>
      <c r="BG261" s="96" t="str">
        <f aca="false">IF($BR261&lt;&gt;Constants!$B$8,"",IF($AK261,0,Constants!$B$15)+IF($AJ261,0,Constants!$B$16)+IF($AH261,0,Constants!$B$17))</f>
        <v/>
      </c>
      <c r="BH261" s="97" t="str">
        <f aca="false">IF($BR261&lt;&gt;Constants!$B$8,"",Constants!$B$20+SUM($BC261:$BG261))</f>
        <v/>
      </c>
      <c r="BI261" s="92" t="str">
        <f aca="false">IF($BR261&lt;&gt;Constants!$B$8,"",IF(OR($BP261&lt;$BH261,AND($BP261=$BH261,OR($BK261&lt;$BC261,AND($BK261=$BC261,OR($BL261&lt;$BD261,AND($BL261=$BD261,$AT261,$AL261,$AV261&lt;$AN261)))))),"-&gt;","&lt;-"))</f>
        <v/>
      </c>
      <c r="BJ261" s="91" t="str">
        <f aca="false">IF(ISBLANK($C261),"",AND($AT261,OR($AU261="",$AV261="",AND($AW261,$AX261=""))))</f>
        <v/>
      </c>
      <c r="BK261" s="93" t="str">
        <f aca="false">IF($BR261&lt;&gt;Constants!$B$8,"",IF($AT261,Constants!$B$21*$AV261+Constants!$B$22*IF($AW261,$AX261,Constants!$B$23),Constants!$B$24))</f>
        <v/>
      </c>
      <c r="BL261" s="96" t="str">
        <f aca="false">IF($BR261&lt;&gt;Constants!$B$8,"",Constants!$B$25*ABS($AD$9-IF($AT261,$AU261,0)))</f>
        <v/>
      </c>
      <c r="BM261" s="96" t="str">
        <f aca="false">IF($BR261&lt;&gt;Constants!$B$8,"",IF(AND($AT261,$AY261,$AW261),Constants!$B$27,0))</f>
        <v/>
      </c>
      <c r="BN261" s="96" t="str">
        <f aca="false">IF($BR261&lt;&gt;Constants!$B$8,"",IF($AT261,($AI261-Constants!$B$29)*Constants!$B$28,0))</f>
        <v/>
      </c>
      <c r="BO261" s="96" t="str">
        <f aca="false">IF($BR261&lt;&gt;Constants!$B$8,"",IF($AS261,0,Constants!$B$15)+IF($AR261,0,Constants!$B$16)+IF($AH261,0,Constants!$B$17))</f>
        <v/>
      </c>
      <c r="BP261" s="97" t="str">
        <f aca="false">IF($BR261&lt;&gt;Constants!$B$8,"",Constants!$B$20+SUM($BK261:$BO261))</f>
        <v/>
      </c>
      <c r="BQ261" s="92" t="str">
        <f aca="false">IF(ISBLANK($C261),"",IF(ISBLANK($D$7),$BQ$5,IF(NOT(ISNUMBER($D$7)),$BQ$6,"")))</f>
        <v/>
      </c>
      <c r="BR261" s="92" t="str">
        <f aca="false">IF(ISBLANK($C261),"",IF($BA261,Constants!$B$11,IF(COUNTA($E261:$AA261)=0,Constants!$B$10,IF(NOT($AG261),Constants!$B$9,IF(OR($BQ261&lt;&gt;"",$BB261,$BJ261),Constants!$B$12,Constants!$B$8)))))</f>
        <v/>
      </c>
      <c r="BS261" s="92" t="str">
        <f aca="false">IF(ISBLANK($C261),"",IF($BR261&lt;&gt;Constants!$B$8,$BR261,Constants!$B$13))</f>
        <v/>
      </c>
      <c r="BT261" s="96" t="str">
        <f aca="false">IF($BR261&lt;&gt;Constants!$B$8,"",IF($BI261="-&gt;",$BP261,$BH261))</f>
        <v/>
      </c>
      <c r="BU261" s="96" t="str">
        <f aca="false">IF($BR261&lt;&gt;Constants!$B$8,"",IF($AF261,0,Constants!$B$18))</f>
        <v/>
      </c>
      <c r="BV261" s="96" t="str">
        <f aca="false">IF($BR261&lt;&gt;Constants!$B$8,"",((Constants!$B$31-$AZ261)-Constants!$B$31)/Constants!$B$32)</f>
        <v/>
      </c>
      <c r="BW261" s="96" t="str">
        <f aca="false">IF(ISBLANK($C261),"",IF($BR261&lt;&gt;Constants!$B$8,$BR261,SUM($BT261:$BV261)))</f>
        <v/>
      </c>
      <c r="BX261" s="92" t="str">
        <f aca="false">IF(ISBLANK($C261),"",IF($BR261&lt;&gt;Constants!$B$8,$BR261,RANK($BW261,$BW$9:$BW$508,1)))</f>
        <v/>
      </c>
      <c r="BY261" s="96" t="str">
        <f aca="false">IF($BR261&lt;&gt;Constants!$B$8,"",IF($BI261="-&gt;",$BK261,$BC261))</f>
        <v/>
      </c>
      <c r="BZ261" s="92" t="str">
        <f aca="false">IF(ISBLANK($C261),"",IF($BR261&lt;&gt;Constants!$B$8,$BR261,IF(ISNUMBER($BY261),RANK($BY261,$BY$9:$BY$508,1),COUNT($BY$9:$BY$508)+1)))</f>
        <v/>
      </c>
      <c r="CA261" s="96" t="str">
        <f aca="false">IF($BR261&lt;&gt;Constants!$B$8,"",IF($BI261="-&gt;",$BL261,$BD261))</f>
        <v/>
      </c>
      <c r="CB261" s="92" t="str">
        <f aca="false">IF(ISBLANK($C261),"",IF($BR261&lt;&gt;Constants!$B$8,$BR261,IF(ISNUMBER($CA261),RANK($CA261,$CA$9:$CA$508,1),COUNT($CA$9:$CA$508)+1)))</f>
        <v/>
      </c>
      <c r="CC261" s="96" t="str">
        <f aca="false">IF($BR261&lt;&gt;Constants!$B$8,"",IF($BI261="-&gt;",IF($AT261,$AV261,""),IF($AL261,$AN261,"")))</f>
        <v/>
      </c>
      <c r="CD261" s="92" t="str">
        <f aca="false">IF(ISBLANK($C261),"",IF($BR261&lt;&gt;Constants!$B$8,$BR261,IF(ISNUMBER($CC261),RANK($CC261,$CC$9:$CC$508,1),COUNT($CC$9:$CC$508)+1)))</f>
        <v/>
      </c>
      <c r="CE261" s="96" t="str">
        <f aca="false">IF($BR261&lt;&gt;Constants!$B$8,"",IF(AND(NOT($AL261),NOT($AT261),$AJ261,$AK261,$AR261,$AS261),"",$AI261))</f>
        <v/>
      </c>
      <c r="CF261" s="92" t="str">
        <f aca="false">IF(ISBLANK($C261),"",IF($BR261&lt;&gt;Constants!$B$8,$BR261,IF(ISNUMBER($CE261),RANK($CE261,$CE$9:$CE$508,1),COUNT($CE$9:$CE$508)+1)))</f>
        <v/>
      </c>
      <c r="CG261" s="92" t="str">
        <f aca="false">IF(ISBLANK($C261),"",IF($BR261&lt;&gt;Constants!$B$8,$BR261,COUNTIFS($BX$9:$BX$508,"&lt;"&amp;$BX261)+COUNTIFS($BX$9:$BX$508,$BX261,$BZ$9:$BZ$508,"&lt;"&amp;$BZ261)+COUNTIFS($BX$9:$BX$508,$BX261,$BZ$9:$BZ$508,$BZ261,$CB$9:$CB$508,"&lt;"&amp;$CB261)+COUNTIFS($BX$9:$BX$508,$BX261,$BZ$9:$BZ$508,$BZ261,$CB$9:$CB$508,$CB261,$CD$9:$CD$508,"&lt;"&amp;$CD261)+COUNTIFS($BX$9:$BX$508,$BX261,$BZ$9:$BZ$508,$BZ261,$CB$9:$CB$508,$CB261,$CD$9:$CD$508,$CD261,$CF$9:$CF$508,"&lt;"&amp;$CF261)+1))</f>
        <v/>
      </c>
      <c r="CH261" s="92" t="str">
        <f aca="false">IF(ISBLANK($C261),"",IF($BR261&lt;&gt;Constants!$B$8,$BR261,$BX261-$CG261))</f>
        <v/>
      </c>
      <c r="CI261" s="98"/>
      <c r="CJ261" s="99"/>
      <c r="CK261" s="100" t="str">
        <f aca="false">IF(ISBLANK($C261),"",IF($BR261=Constants!$B$12,$BQ261,""))</f>
        <v/>
      </c>
      <c r="CL261" s="99" t="str">
        <f aca="false">IF(ISBLANK($C261),"",IF($BR261&lt;&gt;Constants!$B$8,"",IF($BI261="-&gt;",2,1)))</f>
        <v/>
      </c>
      <c r="CM261" s="101" t="str">
        <f aca="false">IF(ISBLANK($C261),"",IF($BR261&lt;&gt;Constants!$B$8,"",IF($BI261="-&gt;",$BK261,$BC261)))</f>
        <v/>
      </c>
      <c r="CN261" s="101" t="str">
        <f aca="false">IF(ISBLANK($C261),"",IF($BR261&lt;&gt;Constants!$B$8,"",IF($BI261="-&gt;",$BL261,$BD261)))</f>
        <v/>
      </c>
      <c r="CO261" s="101" t="str">
        <f aca="false">IF(ISBLANK($C261),"",IF($BR261&lt;&gt;Constants!$B$8,"",IF($BI261="-&gt;",$BM261+$BN261,$BE261+$BF261)+$BV261))</f>
        <v/>
      </c>
      <c r="CP261" s="101" t="str">
        <f aca="false">IF(ISBLANK($C261),"",IF($BR261&lt;&gt;Constants!$B$8,"",IF($BI261="-&gt;",$BO261,$BG261)+$BU261))</f>
        <v/>
      </c>
      <c r="CQ261" s="102" t="str">
        <f aca="false">IF(ISBLANK($C261),"",IF($BR261&lt;&gt;Constants!$B$8,$BR261,$BW261))</f>
        <v/>
      </c>
      <c r="CR261" s="103" t="str">
        <f aca="false">IF(ISBLANK($C261),"",$BS261)</f>
        <v/>
      </c>
      <c r="CS261" s="104" t="str">
        <f aca="false">IF(ISBLANK($C261),"",$CH261)</f>
        <v/>
      </c>
      <c r="CT261" s="104" t="str">
        <f aca="false">IF(ISBLANK($C261),"",$CG261)</f>
        <v/>
      </c>
      <c r="CU261" s="105" t="str">
        <f aca="false">IF(ISBLANK($C261),"",IFERROR(_xlfn.SWITCH($CT261,Constants!$B$11,COUNTA($C$9:$C$508)+2,Constants!$B$10,COUNTA($C$9:$C$508)+1,Constants!$B$9,COUNTA($C$9:$C$508)),$CT261))</f>
        <v/>
      </c>
      <c r="CV261" s="9"/>
      <c r="CW261" s="106" t="n">
        <f aca="false">IF(OR(ISNUMBER($CT261),$CT261=Constants!$B$11,$CT261=Constants!$B$9,$CT261=Constants!$B$10),1,0)</f>
        <v>0</v>
      </c>
      <c r="CX261" s="106" t="n">
        <v>253</v>
      </c>
      <c r="CY261" s="106" t="str">
        <f aca="false">IF(ISBLANK($C261),"",IF(ISNUMBER($CU261),$CU261+ROW($B261)/1000,""))</f>
        <v/>
      </c>
      <c r="CZ261" s="106" t="str">
        <f aca="false">IF(ISNUMBER($CY261),RANK($CY261,$CY$9:$CY$508,1),"")</f>
        <v/>
      </c>
      <c r="DA261" s="106" t="str">
        <f aca="false">IF(ISBLANK($C261),"",$B261)</f>
        <v/>
      </c>
      <c r="DB261" s="106" t="str">
        <f aca="false">IF(ISBLANK($C261),"",$C261)</f>
        <v/>
      </c>
      <c r="DC261" s="106" t="str">
        <f aca="false">IF(ISBLANK($C261),"",$D261)</f>
        <v/>
      </c>
      <c r="DD261" s="107" t="str">
        <f aca="false">$CR261</f>
        <v/>
      </c>
      <c r="DE261" s="108" t="str">
        <f aca="false">$CQ261</f>
        <v/>
      </c>
      <c r="DF261" s="106" t="str">
        <f aca="false">IF(ISBLANK($C261),"",$CT261)</f>
        <v/>
      </c>
      <c r="DG261" s="109" t="str">
        <f aca="false">IF($CX261&gt;$CW$8,"",VLOOKUP($CX261,$CZ$9:$DF$508,7,FALSE()))</f>
        <v/>
      </c>
      <c r="DH261" s="110" t="str">
        <f aca="false">IF($CX261&gt;$CW$8,"",VLOOKUP($CX261,$CZ$9:$DF$508,2,FALSE()))</f>
        <v/>
      </c>
      <c r="DI261" s="110" t="str">
        <f aca="false">IF($CX261&gt;$CW$8,"",VLOOKUP($CX261,$CZ$9:$DF$508,3,FALSE()))</f>
        <v/>
      </c>
      <c r="DJ261" s="110" t="str">
        <f aca="false">IF($CX261&gt;$CW$8,"",VLOOKUP($CX261,$CZ$9:$DF$508,4,FALSE()))</f>
        <v/>
      </c>
      <c r="DK261" s="110" t="str">
        <f aca="false">IF($CX261&gt;$CW$8,"",VLOOKUP($CX261,$CZ$9:$DF$508,5,FALSE()))</f>
        <v/>
      </c>
      <c r="DL261" s="111" t="str">
        <f aca="false">IF($CX261&gt;$CW$8,"",VLOOKUP($CX261,$CZ$9:$DF$508,6,FALSE()))</f>
        <v/>
      </c>
      <c r="DM261" s="75"/>
    </row>
    <row r="262" customFormat="false" ht="15.75" hidden="false" customHeight="false" outlineLevel="0" collapsed="false">
      <c r="A262" s="9"/>
      <c r="B262" s="77"/>
      <c r="C262" s="78"/>
      <c r="D262" s="167"/>
      <c r="E262" s="175"/>
      <c r="F262" s="169"/>
      <c r="G262" s="170"/>
      <c r="H262" s="170"/>
      <c r="I262" s="176"/>
      <c r="J262" s="173"/>
      <c r="K262" s="85"/>
      <c r="L262" s="86"/>
      <c r="M262" s="87"/>
      <c r="N262" s="173"/>
      <c r="O262" s="173"/>
      <c r="P262" s="175"/>
      <c r="Q262" s="173"/>
      <c r="R262" s="173"/>
      <c r="S262" s="85"/>
      <c r="T262" s="87"/>
      <c r="U262" s="87"/>
      <c r="V262" s="173"/>
      <c r="W262" s="173"/>
      <c r="X262" s="175"/>
      <c r="Y262" s="173"/>
      <c r="Z262" s="174"/>
      <c r="AA262" s="173"/>
      <c r="AB262" s="91"/>
      <c r="AC262" s="92"/>
      <c r="AD262" s="92"/>
      <c r="AE262" s="92"/>
      <c r="AF262" s="92" t="str">
        <f aca="false">IF(ISBLANK($C262),"",IF(E262=Constants!$B$3,TRUE(),IF(E262=Constants!$B$4,FALSE(),TRUE())))</f>
        <v/>
      </c>
      <c r="AG262" s="92" t="str">
        <f aca="false">IF(ISBLANK($C262),"",IF(F262=Constants!$B$3,TRUE(),IF(F262=Constants!$B$4,FALSE(),TRUE())))</f>
        <v/>
      </c>
      <c r="AH262" s="92" t="str">
        <f aca="false">IF(ISBLANK($C262),"",IF(G262=Constants!$B$3,TRUE(),IF(G262=Constants!$B$4,FALSE(),TRUE())))</f>
        <v/>
      </c>
      <c r="AI262" s="92" t="str">
        <f aca="false">IF(ISBLANK($C262),"",IF(AND(ISNUMBER(H262),H262&gt;=0),H262,Constants!$B$29))</f>
        <v/>
      </c>
      <c r="AJ262" s="92" t="str">
        <f aca="false">IF(ISBLANK($C262),"",IF(I262=Constants!$B$3,TRUE(),IF(I262=Constants!$B$4,FALSE(),TRUE())))</f>
        <v/>
      </c>
      <c r="AK262" s="92" t="str">
        <f aca="false">IF(ISBLANK($C262),"",IF(J262=Constants!$B$3,TRUE(),IF(J262=Constants!$B$4,FALSE(),TRUE())))</f>
        <v/>
      </c>
      <c r="AL262" s="92" t="str">
        <f aca="false">IF(ISBLANK($C262),"",IF(K262=Constants!$B$5,TRUE(),IF(K262=Constants!$B$6,FALSE(),COUNTA(L262:P262)&gt;0)))</f>
        <v/>
      </c>
      <c r="AM262" s="94" t="str">
        <f aca="false">IF(ISBLANK($C262),"",IF(ISNUMBER(L262),IF(L262&gt;=0,L262,""),""))</f>
        <v/>
      </c>
      <c r="AN262" s="93" t="str">
        <f aca="false">IF(ISBLANK($C262),"",IF(ISNUMBER(M262),IF(M262&gt;=0,M262,""),""))</f>
        <v/>
      </c>
      <c r="AO262" s="93" t="str">
        <f aca="false">IF(ISBLANK($C262),"",IF(N262=Constants!$B$3,TRUE(),IF(N262=Constants!$B$4,FALSE(),TRUE())))</f>
        <v/>
      </c>
      <c r="AP262" s="92" t="str">
        <f aca="false">IF(ISBLANK($C262),"",IF(ISNUMBER(O262),IF(O262&gt;=0,O262,""),""))</f>
        <v/>
      </c>
      <c r="AQ262" s="92" t="str">
        <f aca="false">IF(ISBLANK($C262),"",IF(P262=Constants!$B$3,TRUE(),IF(P262=Constants!$B$4,FALSE(),FALSE())))</f>
        <v/>
      </c>
      <c r="AR262" s="92" t="str">
        <f aca="false">IF(ISBLANK($C262),"",IF(Q262=Constants!$B$3,TRUE(),IF(Q262=Constants!$B$4,FALSE(),TRUE())))</f>
        <v/>
      </c>
      <c r="AS262" s="92" t="str">
        <f aca="false">IF(ISBLANK($C262),"",IF(R262=Constants!$B$3,TRUE(),IF(R262=Constants!$B$4,FALSE(),TRUE())))</f>
        <v/>
      </c>
      <c r="AT262" s="92" t="str">
        <f aca="false">IF(ISBLANK($C262),"",IF(S262=Constants!$B$5,TRUE(),IF(S262=Constants!$B$6,FALSE(),COUNTA(T262:X262)&gt;0)))</f>
        <v/>
      </c>
      <c r="AU262" s="94" t="str">
        <f aca="false">IF(ISBLANK($C262),"",IF(ISNUMBER(T262),IF(T262&gt;=0,T262,""),""))</f>
        <v/>
      </c>
      <c r="AV262" s="93" t="str">
        <f aca="false">IF(ISBLANK($C262),"",IF(ISNUMBER(U262),IF(U262&gt;=0,U262,""),""))</f>
        <v/>
      </c>
      <c r="AW262" s="93" t="str">
        <f aca="false">IF(ISBLANK($C262),"",IF(V262=Constants!$B$3,TRUE(),IF(V262=Constants!$B$4,FALSE(),TRUE())))</f>
        <v/>
      </c>
      <c r="AX262" s="92" t="str">
        <f aca="false">IF(ISBLANK($C262),"",IF(ISNUMBER(W262),IF(W262&gt;=0,W262,""),""))</f>
        <v/>
      </c>
      <c r="AY262" s="92" t="str">
        <f aca="false">IF(ISBLANK($C262),"",IF(X262=Constants!$B$3,TRUE(),IF(X262=Constants!$B$4,FALSE(),FALSE())))</f>
        <v/>
      </c>
      <c r="AZ262" s="92" t="str">
        <f aca="false">IF(ISBLANK($C262),"",MIN(Constants!$B$31,MAX(0,IF(ISNUMBER(Y262),Y262*60,0)+IF(ISNUMBER(Z262),Z262,0))))</f>
        <v/>
      </c>
      <c r="BA262" s="92" t="str">
        <f aca="false">IF(ISBLANK($C262),"",IF(AA262=Constants!$B$3,TRUE(),IF(AA262=Constants!$B$4,FALSE(),FALSE())))</f>
        <v/>
      </c>
      <c r="BB262" s="91" t="str">
        <f aca="false">IF(ISBLANK($C262),"",AND($AL262,OR($AM262="",$AN262="",AND($AO262,$AP262=""))))</f>
        <v/>
      </c>
      <c r="BC262" s="93" t="str">
        <f aca="false">IF($BR262&lt;&gt;Constants!$B$8,"",IF($AL262,Constants!$B$21*$AN262+Constants!$B$22*IF($AO262,$AP262,Constants!$B$23),Constants!$B$24))</f>
        <v/>
      </c>
      <c r="BD262" s="96" t="str">
        <f aca="false">IF($BR262&lt;&gt;Constants!$B$8,"",Constants!$B$25*ABS($AD$9-IF($AL262,$AM262,0)))</f>
        <v/>
      </c>
      <c r="BE262" s="96" t="str">
        <f aca="false">IF($BR262&lt;&gt;Constants!$B$8,"",IF(AND($AL262,$AQ262,$AO262),Constants!$B$27,0))</f>
        <v/>
      </c>
      <c r="BF262" s="96" t="str">
        <f aca="false">IF($BR262&lt;&gt;Constants!$B$8,"",IF($AL262,($AI262-Constants!$B$29)*Constants!$B$28,0))</f>
        <v/>
      </c>
      <c r="BG262" s="96" t="str">
        <f aca="false">IF($BR262&lt;&gt;Constants!$B$8,"",IF($AK262,0,Constants!$B$15)+IF($AJ262,0,Constants!$B$16)+IF($AH262,0,Constants!$B$17))</f>
        <v/>
      </c>
      <c r="BH262" s="97" t="str">
        <f aca="false">IF($BR262&lt;&gt;Constants!$B$8,"",Constants!$B$20+SUM($BC262:$BG262))</f>
        <v/>
      </c>
      <c r="BI262" s="92" t="str">
        <f aca="false">IF($BR262&lt;&gt;Constants!$B$8,"",IF(OR($BP262&lt;$BH262,AND($BP262=$BH262,OR($BK262&lt;$BC262,AND($BK262=$BC262,OR($BL262&lt;$BD262,AND($BL262=$BD262,$AT262,$AL262,$AV262&lt;$AN262)))))),"-&gt;","&lt;-"))</f>
        <v/>
      </c>
      <c r="BJ262" s="91" t="str">
        <f aca="false">IF(ISBLANK($C262),"",AND($AT262,OR($AU262="",$AV262="",AND($AW262,$AX262=""))))</f>
        <v/>
      </c>
      <c r="BK262" s="93" t="str">
        <f aca="false">IF($BR262&lt;&gt;Constants!$B$8,"",IF($AT262,Constants!$B$21*$AV262+Constants!$B$22*IF($AW262,$AX262,Constants!$B$23),Constants!$B$24))</f>
        <v/>
      </c>
      <c r="BL262" s="96" t="str">
        <f aca="false">IF($BR262&lt;&gt;Constants!$B$8,"",Constants!$B$25*ABS($AD$9-IF($AT262,$AU262,0)))</f>
        <v/>
      </c>
      <c r="BM262" s="96" t="str">
        <f aca="false">IF($BR262&lt;&gt;Constants!$B$8,"",IF(AND($AT262,$AY262,$AW262),Constants!$B$27,0))</f>
        <v/>
      </c>
      <c r="BN262" s="96" t="str">
        <f aca="false">IF($BR262&lt;&gt;Constants!$B$8,"",IF($AT262,($AI262-Constants!$B$29)*Constants!$B$28,0))</f>
        <v/>
      </c>
      <c r="BO262" s="96" t="str">
        <f aca="false">IF($BR262&lt;&gt;Constants!$B$8,"",IF($AS262,0,Constants!$B$15)+IF($AR262,0,Constants!$B$16)+IF($AH262,0,Constants!$B$17))</f>
        <v/>
      </c>
      <c r="BP262" s="97" t="str">
        <f aca="false">IF($BR262&lt;&gt;Constants!$B$8,"",Constants!$B$20+SUM($BK262:$BO262))</f>
        <v/>
      </c>
      <c r="BQ262" s="92" t="str">
        <f aca="false">IF(ISBLANK($C262),"",IF(ISBLANK($D$7),$BQ$5,IF(NOT(ISNUMBER($D$7)),$BQ$6,"")))</f>
        <v/>
      </c>
      <c r="BR262" s="92" t="str">
        <f aca="false">IF(ISBLANK($C262),"",IF($BA262,Constants!$B$11,IF(COUNTA($E262:$AA262)=0,Constants!$B$10,IF(NOT($AG262),Constants!$B$9,IF(OR($BQ262&lt;&gt;"",$BB262,$BJ262),Constants!$B$12,Constants!$B$8)))))</f>
        <v/>
      </c>
      <c r="BS262" s="92" t="str">
        <f aca="false">IF(ISBLANK($C262),"",IF($BR262&lt;&gt;Constants!$B$8,$BR262,Constants!$B$13))</f>
        <v/>
      </c>
      <c r="BT262" s="96" t="str">
        <f aca="false">IF($BR262&lt;&gt;Constants!$B$8,"",IF($BI262="-&gt;",$BP262,$BH262))</f>
        <v/>
      </c>
      <c r="BU262" s="96" t="str">
        <f aca="false">IF($BR262&lt;&gt;Constants!$B$8,"",IF($AF262,0,Constants!$B$18))</f>
        <v/>
      </c>
      <c r="BV262" s="96" t="str">
        <f aca="false">IF($BR262&lt;&gt;Constants!$B$8,"",((Constants!$B$31-$AZ262)-Constants!$B$31)/Constants!$B$32)</f>
        <v/>
      </c>
      <c r="BW262" s="96" t="str">
        <f aca="false">IF(ISBLANK($C262),"",IF($BR262&lt;&gt;Constants!$B$8,$BR262,SUM($BT262:$BV262)))</f>
        <v/>
      </c>
      <c r="BX262" s="92" t="str">
        <f aca="false">IF(ISBLANK($C262),"",IF($BR262&lt;&gt;Constants!$B$8,$BR262,RANK($BW262,$BW$9:$BW$508,1)))</f>
        <v/>
      </c>
      <c r="BY262" s="96" t="str">
        <f aca="false">IF($BR262&lt;&gt;Constants!$B$8,"",IF($BI262="-&gt;",$BK262,$BC262))</f>
        <v/>
      </c>
      <c r="BZ262" s="92" t="str">
        <f aca="false">IF(ISBLANK($C262),"",IF($BR262&lt;&gt;Constants!$B$8,$BR262,IF(ISNUMBER($BY262),RANK($BY262,$BY$9:$BY$508,1),COUNT($BY$9:$BY$508)+1)))</f>
        <v/>
      </c>
      <c r="CA262" s="96" t="str">
        <f aca="false">IF($BR262&lt;&gt;Constants!$B$8,"",IF($BI262="-&gt;",$BL262,$BD262))</f>
        <v/>
      </c>
      <c r="CB262" s="92" t="str">
        <f aca="false">IF(ISBLANK($C262),"",IF($BR262&lt;&gt;Constants!$B$8,$BR262,IF(ISNUMBER($CA262),RANK($CA262,$CA$9:$CA$508,1),COUNT($CA$9:$CA$508)+1)))</f>
        <v/>
      </c>
      <c r="CC262" s="96" t="str">
        <f aca="false">IF($BR262&lt;&gt;Constants!$B$8,"",IF($BI262="-&gt;",IF($AT262,$AV262,""),IF($AL262,$AN262,"")))</f>
        <v/>
      </c>
      <c r="CD262" s="92" t="str">
        <f aca="false">IF(ISBLANK($C262),"",IF($BR262&lt;&gt;Constants!$B$8,$BR262,IF(ISNUMBER($CC262),RANK($CC262,$CC$9:$CC$508,1),COUNT($CC$9:$CC$508)+1)))</f>
        <v/>
      </c>
      <c r="CE262" s="96" t="str">
        <f aca="false">IF($BR262&lt;&gt;Constants!$B$8,"",IF(AND(NOT($AL262),NOT($AT262),$AJ262,$AK262,$AR262,$AS262),"",$AI262))</f>
        <v/>
      </c>
      <c r="CF262" s="92" t="str">
        <f aca="false">IF(ISBLANK($C262),"",IF($BR262&lt;&gt;Constants!$B$8,$BR262,IF(ISNUMBER($CE262),RANK($CE262,$CE$9:$CE$508,1),COUNT($CE$9:$CE$508)+1)))</f>
        <v/>
      </c>
      <c r="CG262" s="92" t="str">
        <f aca="false">IF(ISBLANK($C262),"",IF($BR262&lt;&gt;Constants!$B$8,$BR262,COUNTIFS($BX$9:$BX$508,"&lt;"&amp;$BX262)+COUNTIFS($BX$9:$BX$508,$BX262,$BZ$9:$BZ$508,"&lt;"&amp;$BZ262)+COUNTIFS($BX$9:$BX$508,$BX262,$BZ$9:$BZ$508,$BZ262,$CB$9:$CB$508,"&lt;"&amp;$CB262)+COUNTIFS($BX$9:$BX$508,$BX262,$BZ$9:$BZ$508,$BZ262,$CB$9:$CB$508,$CB262,$CD$9:$CD$508,"&lt;"&amp;$CD262)+COUNTIFS($BX$9:$BX$508,$BX262,$BZ$9:$BZ$508,$BZ262,$CB$9:$CB$508,$CB262,$CD$9:$CD$508,$CD262,$CF$9:$CF$508,"&lt;"&amp;$CF262)+1))</f>
        <v/>
      </c>
      <c r="CH262" s="92" t="str">
        <f aca="false">IF(ISBLANK($C262),"",IF($BR262&lt;&gt;Constants!$B$8,$BR262,$BX262-$CG262))</f>
        <v/>
      </c>
      <c r="CI262" s="98"/>
      <c r="CJ262" s="99"/>
      <c r="CK262" s="100" t="str">
        <f aca="false">IF(ISBLANK($C262),"",IF($BR262=Constants!$B$12,$BQ262,""))</f>
        <v/>
      </c>
      <c r="CL262" s="99" t="str">
        <f aca="false">IF(ISBLANK($C262),"",IF($BR262&lt;&gt;Constants!$B$8,"",IF($BI262="-&gt;",2,1)))</f>
        <v/>
      </c>
      <c r="CM262" s="101" t="str">
        <f aca="false">IF(ISBLANK($C262),"",IF($BR262&lt;&gt;Constants!$B$8,"",IF($BI262="-&gt;",$BK262,$BC262)))</f>
        <v/>
      </c>
      <c r="CN262" s="101" t="str">
        <f aca="false">IF(ISBLANK($C262),"",IF($BR262&lt;&gt;Constants!$B$8,"",IF($BI262="-&gt;",$BL262,$BD262)))</f>
        <v/>
      </c>
      <c r="CO262" s="101" t="str">
        <f aca="false">IF(ISBLANK($C262),"",IF($BR262&lt;&gt;Constants!$B$8,"",IF($BI262="-&gt;",$BM262+$BN262,$BE262+$BF262)+$BV262))</f>
        <v/>
      </c>
      <c r="CP262" s="101" t="str">
        <f aca="false">IF(ISBLANK($C262),"",IF($BR262&lt;&gt;Constants!$B$8,"",IF($BI262="-&gt;",$BO262,$BG262)+$BU262))</f>
        <v/>
      </c>
      <c r="CQ262" s="102" t="str">
        <f aca="false">IF(ISBLANK($C262),"",IF($BR262&lt;&gt;Constants!$B$8,$BR262,$BW262))</f>
        <v/>
      </c>
      <c r="CR262" s="103" t="str">
        <f aca="false">IF(ISBLANK($C262),"",$BS262)</f>
        <v/>
      </c>
      <c r="CS262" s="104" t="str">
        <f aca="false">IF(ISBLANK($C262),"",$CH262)</f>
        <v/>
      </c>
      <c r="CT262" s="104" t="str">
        <f aca="false">IF(ISBLANK($C262),"",$CG262)</f>
        <v/>
      </c>
      <c r="CU262" s="105" t="str">
        <f aca="false">IF(ISBLANK($C262),"",IFERROR(_xlfn.SWITCH($CT262,Constants!$B$11,COUNTA($C$9:$C$508)+2,Constants!$B$10,COUNTA($C$9:$C$508)+1,Constants!$B$9,COUNTA($C$9:$C$508)),$CT262))</f>
        <v/>
      </c>
      <c r="CV262" s="9"/>
      <c r="CW262" s="106" t="n">
        <f aca="false">IF(OR(ISNUMBER($CT262),$CT262=Constants!$B$11,$CT262=Constants!$B$9,$CT262=Constants!$B$10),1,0)</f>
        <v>0</v>
      </c>
      <c r="CX262" s="106" t="n">
        <v>254</v>
      </c>
      <c r="CY262" s="106" t="str">
        <f aca="false">IF(ISBLANK($C262),"",IF(ISNUMBER($CU262),$CU262+ROW($B262)/1000,""))</f>
        <v/>
      </c>
      <c r="CZ262" s="106" t="str">
        <f aca="false">IF(ISNUMBER($CY262),RANK($CY262,$CY$9:$CY$508,1),"")</f>
        <v/>
      </c>
      <c r="DA262" s="106" t="str">
        <f aca="false">IF(ISBLANK($C262),"",$B262)</f>
        <v/>
      </c>
      <c r="DB262" s="106" t="str">
        <f aca="false">IF(ISBLANK($C262),"",$C262)</f>
        <v/>
      </c>
      <c r="DC262" s="106" t="str">
        <f aca="false">IF(ISBLANK($C262),"",$D262)</f>
        <v/>
      </c>
      <c r="DD262" s="107" t="str">
        <f aca="false">$CR262</f>
        <v/>
      </c>
      <c r="DE262" s="108" t="str">
        <f aca="false">$CQ262</f>
        <v/>
      </c>
      <c r="DF262" s="106" t="str">
        <f aca="false">IF(ISBLANK($C262),"",$CT262)</f>
        <v/>
      </c>
      <c r="DG262" s="109" t="str">
        <f aca="false">IF($CX262&gt;$CW$8,"",VLOOKUP($CX262,$CZ$9:$DF$508,7,FALSE()))</f>
        <v/>
      </c>
      <c r="DH262" s="110" t="str">
        <f aca="false">IF($CX262&gt;$CW$8,"",VLOOKUP($CX262,$CZ$9:$DF$508,2,FALSE()))</f>
        <v/>
      </c>
      <c r="DI262" s="110" t="str">
        <f aca="false">IF($CX262&gt;$CW$8,"",VLOOKUP($CX262,$CZ$9:$DF$508,3,FALSE()))</f>
        <v/>
      </c>
      <c r="DJ262" s="110" t="str">
        <f aca="false">IF($CX262&gt;$CW$8,"",VLOOKUP($CX262,$CZ$9:$DF$508,4,FALSE()))</f>
        <v/>
      </c>
      <c r="DK262" s="110" t="str">
        <f aca="false">IF($CX262&gt;$CW$8,"",VLOOKUP($CX262,$CZ$9:$DF$508,5,FALSE()))</f>
        <v/>
      </c>
      <c r="DL262" s="111" t="str">
        <f aca="false">IF($CX262&gt;$CW$8,"",VLOOKUP($CX262,$CZ$9:$DF$508,6,FALSE()))</f>
        <v/>
      </c>
      <c r="DM262" s="75"/>
    </row>
    <row r="263" customFormat="false" ht="15.75" hidden="false" customHeight="false" outlineLevel="0" collapsed="false">
      <c r="A263" s="9"/>
      <c r="B263" s="77"/>
      <c r="C263" s="78"/>
      <c r="D263" s="167"/>
      <c r="E263" s="175"/>
      <c r="F263" s="169"/>
      <c r="G263" s="170"/>
      <c r="H263" s="170"/>
      <c r="I263" s="176"/>
      <c r="J263" s="173"/>
      <c r="K263" s="85"/>
      <c r="L263" s="86"/>
      <c r="M263" s="87"/>
      <c r="N263" s="173"/>
      <c r="O263" s="173"/>
      <c r="P263" s="175"/>
      <c r="Q263" s="173"/>
      <c r="R263" s="173"/>
      <c r="S263" s="85"/>
      <c r="T263" s="87"/>
      <c r="U263" s="87"/>
      <c r="V263" s="173"/>
      <c r="W263" s="173"/>
      <c r="X263" s="175"/>
      <c r="Y263" s="173"/>
      <c r="Z263" s="174"/>
      <c r="AA263" s="173"/>
      <c r="AB263" s="91"/>
      <c r="AC263" s="92"/>
      <c r="AD263" s="92"/>
      <c r="AE263" s="92"/>
      <c r="AF263" s="92" t="str">
        <f aca="false">IF(ISBLANK($C263),"",IF(E263=Constants!$B$3,TRUE(),IF(E263=Constants!$B$4,FALSE(),TRUE())))</f>
        <v/>
      </c>
      <c r="AG263" s="92" t="str">
        <f aca="false">IF(ISBLANK($C263),"",IF(F263=Constants!$B$3,TRUE(),IF(F263=Constants!$B$4,FALSE(),TRUE())))</f>
        <v/>
      </c>
      <c r="AH263" s="92" t="str">
        <f aca="false">IF(ISBLANK($C263),"",IF(G263=Constants!$B$3,TRUE(),IF(G263=Constants!$B$4,FALSE(),TRUE())))</f>
        <v/>
      </c>
      <c r="AI263" s="92" t="str">
        <f aca="false">IF(ISBLANK($C263),"",IF(AND(ISNUMBER(H263),H263&gt;=0),H263,Constants!$B$29))</f>
        <v/>
      </c>
      <c r="AJ263" s="92" t="str">
        <f aca="false">IF(ISBLANK($C263),"",IF(I263=Constants!$B$3,TRUE(),IF(I263=Constants!$B$4,FALSE(),TRUE())))</f>
        <v/>
      </c>
      <c r="AK263" s="92" t="str">
        <f aca="false">IF(ISBLANK($C263),"",IF(J263=Constants!$B$3,TRUE(),IF(J263=Constants!$B$4,FALSE(),TRUE())))</f>
        <v/>
      </c>
      <c r="AL263" s="92" t="str">
        <f aca="false">IF(ISBLANK($C263),"",IF(K263=Constants!$B$5,TRUE(),IF(K263=Constants!$B$6,FALSE(),COUNTA(L263:P263)&gt;0)))</f>
        <v/>
      </c>
      <c r="AM263" s="94" t="str">
        <f aca="false">IF(ISBLANK($C263),"",IF(ISNUMBER(L263),IF(L263&gt;=0,L263,""),""))</f>
        <v/>
      </c>
      <c r="AN263" s="93" t="str">
        <f aca="false">IF(ISBLANK($C263),"",IF(ISNUMBER(M263),IF(M263&gt;=0,M263,""),""))</f>
        <v/>
      </c>
      <c r="AO263" s="93" t="str">
        <f aca="false">IF(ISBLANK($C263),"",IF(N263=Constants!$B$3,TRUE(),IF(N263=Constants!$B$4,FALSE(),TRUE())))</f>
        <v/>
      </c>
      <c r="AP263" s="92" t="str">
        <f aca="false">IF(ISBLANK($C263),"",IF(ISNUMBER(O263),IF(O263&gt;=0,O263,""),""))</f>
        <v/>
      </c>
      <c r="AQ263" s="92" t="str">
        <f aca="false">IF(ISBLANK($C263),"",IF(P263=Constants!$B$3,TRUE(),IF(P263=Constants!$B$4,FALSE(),FALSE())))</f>
        <v/>
      </c>
      <c r="AR263" s="92" t="str">
        <f aca="false">IF(ISBLANK($C263),"",IF(Q263=Constants!$B$3,TRUE(),IF(Q263=Constants!$B$4,FALSE(),TRUE())))</f>
        <v/>
      </c>
      <c r="AS263" s="92" t="str">
        <f aca="false">IF(ISBLANK($C263),"",IF(R263=Constants!$B$3,TRUE(),IF(R263=Constants!$B$4,FALSE(),TRUE())))</f>
        <v/>
      </c>
      <c r="AT263" s="92" t="str">
        <f aca="false">IF(ISBLANK($C263),"",IF(S263=Constants!$B$5,TRUE(),IF(S263=Constants!$B$6,FALSE(),COUNTA(T263:X263)&gt;0)))</f>
        <v/>
      </c>
      <c r="AU263" s="94" t="str">
        <f aca="false">IF(ISBLANK($C263),"",IF(ISNUMBER(T263),IF(T263&gt;=0,T263,""),""))</f>
        <v/>
      </c>
      <c r="AV263" s="93" t="str">
        <f aca="false">IF(ISBLANK($C263),"",IF(ISNUMBER(U263),IF(U263&gt;=0,U263,""),""))</f>
        <v/>
      </c>
      <c r="AW263" s="93" t="str">
        <f aca="false">IF(ISBLANK($C263),"",IF(V263=Constants!$B$3,TRUE(),IF(V263=Constants!$B$4,FALSE(),TRUE())))</f>
        <v/>
      </c>
      <c r="AX263" s="92" t="str">
        <f aca="false">IF(ISBLANK($C263),"",IF(ISNUMBER(W263),IF(W263&gt;=0,W263,""),""))</f>
        <v/>
      </c>
      <c r="AY263" s="92" t="str">
        <f aca="false">IF(ISBLANK($C263),"",IF(X263=Constants!$B$3,TRUE(),IF(X263=Constants!$B$4,FALSE(),FALSE())))</f>
        <v/>
      </c>
      <c r="AZ263" s="92" t="str">
        <f aca="false">IF(ISBLANK($C263),"",MIN(Constants!$B$31,MAX(0,IF(ISNUMBER(Y263),Y263*60,0)+IF(ISNUMBER(Z263),Z263,0))))</f>
        <v/>
      </c>
      <c r="BA263" s="92" t="str">
        <f aca="false">IF(ISBLANK($C263),"",IF(AA263=Constants!$B$3,TRUE(),IF(AA263=Constants!$B$4,FALSE(),FALSE())))</f>
        <v/>
      </c>
      <c r="BB263" s="91" t="str">
        <f aca="false">IF(ISBLANK($C263),"",AND($AL263,OR($AM263="",$AN263="",AND($AO263,$AP263=""))))</f>
        <v/>
      </c>
      <c r="BC263" s="93" t="str">
        <f aca="false">IF($BR263&lt;&gt;Constants!$B$8,"",IF($AL263,Constants!$B$21*$AN263+Constants!$B$22*IF($AO263,$AP263,Constants!$B$23),Constants!$B$24))</f>
        <v/>
      </c>
      <c r="BD263" s="96" t="str">
        <f aca="false">IF($BR263&lt;&gt;Constants!$B$8,"",Constants!$B$25*ABS($AD$9-IF($AL263,$AM263,0)))</f>
        <v/>
      </c>
      <c r="BE263" s="96" t="str">
        <f aca="false">IF($BR263&lt;&gt;Constants!$B$8,"",IF(AND($AL263,$AQ263,$AO263),Constants!$B$27,0))</f>
        <v/>
      </c>
      <c r="BF263" s="96" t="str">
        <f aca="false">IF($BR263&lt;&gt;Constants!$B$8,"",IF($AL263,($AI263-Constants!$B$29)*Constants!$B$28,0))</f>
        <v/>
      </c>
      <c r="BG263" s="96" t="str">
        <f aca="false">IF($BR263&lt;&gt;Constants!$B$8,"",IF($AK263,0,Constants!$B$15)+IF($AJ263,0,Constants!$B$16)+IF($AH263,0,Constants!$B$17))</f>
        <v/>
      </c>
      <c r="BH263" s="97" t="str">
        <f aca="false">IF($BR263&lt;&gt;Constants!$B$8,"",Constants!$B$20+SUM($BC263:$BG263))</f>
        <v/>
      </c>
      <c r="BI263" s="92" t="str">
        <f aca="false">IF($BR263&lt;&gt;Constants!$B$8,"",IF(OR($BP263&lt;$BH263,AND($BP263=$BH263,OR($BK263&lt;$BC263,AND($BK263=$BC263,OR($BL263&lt;$BD263,AND($BL263=$BD263,$AT263,$AL263,$AV263&lt;$AN263)))))),"-&gt;","&lt;-"))</f>
        <v/>
      </c>
      <c r="BJ263" s="91" t="str">
        <f aca="false">IF(ISBLANK($C263),"",AND($AT263,OR($AU263="",$AV263="",AND($AW263,$AX263=""))))</f>
        <v/>
      </c>
      <c r="BK263" s="93" t="str">
        <f aca="false">IF($BR263&lt;&gt;Constants!$B$8,"",IF($AT263,Constants!$B$21*$AV263+Constants!$B$22*IF($AW263,$AX263,Constants!$B$23),Constants!$B$24))</f>
        <v/>
      </c>
      <c r="BL263" s="96" t="str">
        <f aca="false">IF($BR263&lt;&gt;Constants!$B$8,"",Constants!$B$25*ABS($AD$9-IF($AT263,$AU263,0)))</f>
        <v/>
      </c>
      <c r="BM263" s="96" t="str">
        <f aca="false">IF($BR263&lt;&gt;Constants!$B$8,"",IF(AND($AT263,$AY263,$AW263),Constants!$B$27,0))</f>
        <v/>
      </c>
      <c r="BN263" s="96" t="str">
        <f aca="false">IF($BR263&lt;&gt;Constants!$B$8,"",IF($AT263,($AI263-Constants!$B$29)*Constants!$B$28,0))</f>
        <v/>
      </c>
      <c r="BO263" s="96" t="str">
        <f aca="false">IF($BR263&lt;&gt;Constants!$B$8,"",IF($AS263,0,Constants!$B$15)+IF($AR263,0,Constants!$B$16)+IF($AH263,0,Constants!$B$17))</f>
        <v/>
      </c>
      <c r="BP263" s="97" t="str">
        <f aca="false">IF($BR263&lt;&gt;Constants!$B$8,"",Constants!$B$20+SUM($BK263:$BO263))</f>
        <v/>
      </c>
      <c r="BQ263" s="92" t="str">
        <f aca="false">IF(ISBLANK($C263),"",IF(ISBLANK($D$7),$BQ$5,IF(NOT(ISNUMBER($D$7)),$BQ$6,"")))</f>
        <v/>
      </c>
      <c r="BR263" s="92" t="str">
        <f aca="false">IF(ISBLANK($C263),"",IF($BA263,Constants!$B$11,IF(COUNTA($E263:$AA263)=0,Constants!$B$10,IF(NOT($AG263),Constants!$B$9,IF(OR($BQ263&lt;&gt;"",$BB263,$BJ263),Constants!$B$12,Constants!$B$8)))))</f>
        <v/>
      </c>
      <c r="BS263" s="92" t="str">
        <f aca="false">IF(ISBLANK($C263),"",IF($BR263&lt;&gt;Constants!$B$8,$BR263,Constants!$B$13))</f>
        <v/>
      </c>
      <c r="BT263" s="96" t="str">
        <f aca="false">IF($BR263&lt;&gt;Constants!$B$8,"",IF($BI263="-&gt;",$BP263,$BH263))</f>
        <v/>
      </c>
      <c r="BU263" s="96" t="str">
        <f aca="false">IF($BR263&lt;&gt;Constants!$B$8,"",IF($AF263,0,Constants!$B$18))</f>
        <v/>
      </c>
      <c r="BV263" s="96" t="str">
        <f aca="false">IF($BR263&lt;&gt;Constants!$B$8,"",((Constants!$B$31-$AZ263)-Constants!$B$31)/Constants!$B$32)</f>
        <v/>
      </c>
      <c r="BW263" s="96" t="str">
        <f aca="false">IF(ISBLANK($C263),"",IF($BR263&lt;&gt;Constants!$B$8,$BR263,SUM($BT263:$BV263)))</f>
        <v/>
      </c>
      <c r="BX263" s="92" t="str">
        <f aca="false">IF(ISBLANK($C263),"",IF($BR263&lt;&gt;Constants!$B$8,$BR263,RANK($BW263,$BW$9:$BW$508,1)))</f>
        <v/>
      </c>
      <c r="BY263" s="96" t="str">
        <f aca="false">IF($BR263&lt;&gt;Constants!$B$8,"",IF($BI263="-&gt;",$BK263,$BC263))</f>
        <v/>
      </c>
      <c r="BZ263" s="92" t="str">
        <f aca="false">IF(ISBLANK($C263),"",IF($BR263&lt;&gt;Constants!$B$8,$BR263,IF(ISNUMBER($BY263),RANK($BY263,$BY$9:$BY$508,1),COUNT($BY$9:$BY$508)+1)))</f>
        <v/>
      </c>
      <c r="CA263" s="96" t="str">
        <f aca="false">IF($BR263&lt;&gt;Constants!$B$8,"",IF($BI263="-&gt;",$BL263,$BD263))</f>
        <v/>
      </c>
      <c r="CB263" s="92" t="str">
        <f aca="false">IF(ISBLANK($C263),"",IF($BR263&lt;&gt;Constants!$B$8,$BR263,IF(ISNUMBER($CA263),RANK($CA263,$CA$9:$CA$508,1),COUNT($CA$9:$CA$508)+1)))</f>
        <v/>
      </c>
      <c r="CC263" s="96" t="str">
        <f aca="false">IF($BR263&lt;&gt;Constants!$B$8,"",IF($BI263="-&gt;",IF($AT263,$AV263,""),IF($AL263,$AN263,"")))</f>
        <v/>
      </c>
      <c r="CD263" s="92" t="str">
        <f aca="false">IF(ISBLANK($C263),"",IF($BR263&lt;&gt;Constants!$B$8,$BR263,IF(ISNUMBER($CC263),RANK($CC263,$CC$9:$CC$508,1),COUNT($CC$9:$CC$508)+1)))</f>
        <v/>
      </c>
      <c r="CE263" s="96" t="str">
        <f aca="false">IF($BR263&lt;&gt;Constants!$B$8,"",IF(AND(NOT($AL263),NOT($AT263),$AJ263,$AK263,$AR263,$AS263),"",$AI263))</f>
        <v/>
      </c>
      <c r="CF263" s="92" t="str">
        <f aca="false">IF(ISBLANK($C263),"",IF($BR263&lt;&gt;Constants!$B$8,$BR263,IF(ISNUMBER($CE263),RANK($CE263,$CE$9:$CE$508,1),COUNT($CE$9:$CE$508)+1)))</f>
        <v/>
      </c>
      <c r="CG263" s="92" t="str">
        <f aca="false">IF(ISBLANK($C263),"",IF($BR263&lt;&gt;Constants!$B$8,$BR263,COUNTIFS($BX$9:$BX$508,"&lt;"&amp;$BX263)+COUNTIFS($BX$9:$BX$508,$BX263,$BZ$9:$BZ$508,"&lt;"&amp;$BZ263)+COUNTIFS($BX$9:$BX$508,$BX263,$BZ$9:$BZ$508,$BZ263,$CB$9:$CB$508,"&lt;"&amp;$CB263)+COUNTIFS($BX$9:$BX$508,$BX263,$BZ$9:$BZ$508,$BZ263,$CB$9:$CB$508,$CB263,$CD$9:$CD$508,"&lt;"&amp;$CD263)+COUNTIFS($BX$9:$BX$508,$BX263,$BZ$9:$BZ$508,$BZ263,$CB$9:$CB$508,$CB263,$CD$9:$CD$508,$CD263,$CF$9:$CF$508,"&lt;"&amp;$CF263)+1))</f>
        <v/>
      </c>
      <c r="CH263" s="92" t="str">
        <f aca="false">IF(ISBLANK($C263),"",IF($BR263&lt;&gt;Constants!$B$8,$BR263,$BX263-$CG263))</f>
        <v/>
      </c>
      <c r="CI263" s="98"/>
      <c r="CJ263" s="99"/>
      <c r="CK263" s="100" t="str">
        <f aca="false">IF(ISBLANK($C263),"",IF($BR263=Constants!$B$12,$BQ263,""))</f>
        <v/>
      </c>
      <c r="CL263" s="99" t="str">
        <f aca="false">IF(ISBLANK($C263),"",IF($BR263&lt;&gt;Constants!$B$8,"",IF($BI263="-&gt;",2,1)))</f>
        <v/>
      </c>
      <c r="CM263" s="101" t="str">
        <f aca="false">IF(ISBLANK($C263),"",IF($BR263&lt;&gt;Constants!$B$8,"",IF($BI263="-&gt;",$BK263,$BC263)))</f>
        <v/>
      </c>
      <c r="CN263" s="101" t="str">
        <f aca="false">IF(ISBLANK($C263),"",IF($BR263&lt;&gt;Constants!$B$8,"",IF($BI263="-&gt;",$BL263,$BD263)))</f>
        <v/>
      </c>
      <c r="CO263" s="101" t="str">
        <f aca="false">IF(ISBLANK($C263),"",IF($BR263&lt;&gt;Constants!$B$8,"",IF($BI263="-&gt;",$BM263+$BN263,$BE263+$BF263)+$BV263))</f>
        <v/>
      </c>
      <c r="CP263" s="101" t="str">
        <f aca="false">IF(ISBLANK($C263),"",IF($BR263&lt;&gt;Constants!$B$8,"",IF($BI263="-&gt;",$BO263,$BG263)+$BU263))</f>
        <v/>
      </c>
      <c r="CQ263" s="102" t="str">
        <f aca="false">IF(ISBLANK($C263),"",IF($BR263&lt;&gt;Constants!$B$8,$BR263,$BW263))</f>
        <v/>
      </c>
      <c r="CR263" s="103" t="str">
        <f aca="false">IF(ISBLANK($C263),"",$BS263)</f>
        <v/>
      </c>
      <c r="CS263" s="104" t="str">
        <f aca="false">IF(ISBLANK($C263),"",$CH263)</f>
        <v/>
      </c>
      <c r="CT263" s="104" t="str">
        <f aca="false">IF(ISBLANK($C263),"",$CG263)</f>
        <v/>
      </c>
      <c r="CU263" s="105" t="str">
        <f aca="false">IF(ISBLANK($C263),"",IFERROR(_xlfn.SWITCH($CT263,Constants!$B$11,COUNTA($C$9:$C$508)+2,Constants!$B$10,COUNTA($C$9:$C$508)+1,Constants!$B$9,COUNTA($C$9:$C$508)),$CT263))</f>
        <v/>
      </c>
      <c r="CV263" s="9"/>
      <c r="CW263" s="106" t="n">
        <f aca="false">IF(OR(ISNUMBER($CT263),$CT263=Constants!$B$11,$CT263=Constants!$B$9,$CT263=Constants!$B$10),1,0)</f>
        <v>0</v>
      </c>
      <c r="CX263" s="106" t="n">
        <v>255</v>
      </c>
      <c r="CY263" s="106" t="str">
        <f aca="false">IF(ISBLANK($C263),"",IF(ISNUMBER($CU263),$CU263+ROW($B263)/1000,""))</f>
        <v/>
      </c>
      <c r="CZ263" s="106" t="str">
        <f aca="false">IF(ISNUMBER($CY263),RANK($CY263,$CY$9:$CY$508,1),"")</f>
        <v/>
      </c>
      <c r="DA263" s="106" t="str">
        <f aca="false">IF(ISBLANK($C263),"",$B263)</f>
        <v/>
      </c>
      <c r="DB263" s="106" t="str">
        <f aca="false">IF(ISBLANK($C263),"",$C263)</f>
        <v/>
      </c>
      <c r="DC263" s="106" t="str">
        <f aca="false">IF(ISBLANK($C263),"",$D263)</f>
        <v/>
      </c>
      <c r="DD263" s="107" t="str">
        <f aca="false">$CR263</f>
        <v/>
      </c>
      <c r="DE263" s="108" t="str">
        <f aca="false">$CQ263</f>
        <v/>
      </c>
      <c r="DF263" s="106" t="str">
        <f aca="false">IF(ISBLANK($C263),"",$CT263)</f>
        <v/>
      </c>
      <c r="DG263" s="109" t="str">
        <f aca="false">IF($CX263&gt;$CW$8,"",VLOOKUP($CX263,$CZ$9:$DF$508,7,FALSE()))</f>
        <v/>
      </c>
      <c r="DH263" s="110" t="str">
        <f aca="false">IF($CX263&gt;$CW$8,"",VLOOKUP($CX263,$CZ$9:$DF$508,2,FALSE()))</f>
        <v/>
      </c>
      <c r="DI263" s="110" t="str">
        <f aca="false">IF($CX263&gt;$CW$8,"",VLOOKUP($CX263,$CZ$9:$DF$508,3,FALSE()))</f>
        <v/>
      </c>
      <c r="DJ263" s="110" t="str">
        <f aca="false">IF($CX263&gt;$CW$8,"",VLOOKUP($CX263,$CZ$9:$DF$508,4,FALSE()))</f>
        <v/>
      </c>
      <c r="DK263" s="110" t="str">
        <f aca="false">IF($CX263&gt;$CW$8,"",VLOOKUP($CX263,$CZ$9:$DF$508,5,FALSE()))</f>
        <v/>
      </c>
      <c r="DL263" s="111" t="str">
        <f aca="false">IF($CX263&gt;$CW$8,"",VLOOKUP($CX263,$CZ$9:$DF$508,6,FALSE()))</f>
        <v/>
      </c>
      <c r="DM263" s="75"/>
    </row>
    <row r="264" customFormat="false" ht="15.75" hidden="false" customHeight="false" outlineLevel="0" collapsed="false">
      <c r="A264" s="9"/>
      <c r="B264" s="157"/>
      <c r="C264" s="158"/>
      <c r="D264" s="159"/>
      <c r="E264" s="177"/>
      <c r="F264" s="161"/>
      <c r="G264" s="162"/>
      <c r="H264" s="162"/>
      <c r="I264" s="178"/>
      <c r="J264" s="165"/>
      <c r="K264" s="126"/>
      <c r="L264" s="127"/>
      <c r="M264" s="128"/>
      <c r="N264" s="165"/>
      <c r="O264" s="165"/>
      <c r="P264" s="177"/>
      <c r="Q264" s="165"/>
      <c r="R264" s="165"/>
      <c r="S264" s="126"/>
      <c r="T264" s="128"/>
      <c r="U264" s="128"/>
      <c r="V264" s="165"/>
      <c r="W264" s="165"/>
      <c r="X264" s="177"/>
      <c r="Y264" s="165"/>
      <c r="Z264" s="166"/>
      <c r="AA264" s="165"/>
      <c r="AB264" s="132"/>
      <c r="AC264" s="133"/>
      <c r="AD264" s="133"/>
      <c r="AE264" s="133"/>
      <c r="AF264" s="133" t="str">
        <f aca="false">IF(ISBLANK($C264),"",IF(E264=Constants!$B$3,TRUE(),IF(E264=Constants!$B$4,FALSE(),TRUE())))</f>
        <v/>
      </c>
      <c r="AG264" s="133" t="str">
        <f aca="false">IF(ISBLANK($C264),"",IF(F264=Constants!$B$3,TRUE(),IF(F264=Constants!$B$4,FALSE(),TRUE())))</f>
        <v/>
      </c>
      <c r="AH264" s="133" t="str">
        <f aca="false">IF(ISBLANK($C264),"",IF(G264=Constants!$B$3,TRUE(),IF(G264=Constants!$B$4,FALSE(),TRUE())))</f>
        <v/>
      </c>
      <c r="AI264" s="133" t="str">
        <f aca="false">IF(ISBLANK($C264),"",IF(AND(ISNUMBER(H264),H264&gt;=0),H264,Constants!$B$29))</f>
        <v/>
      </c>
      <c r="AJ264" s="133" t="str">
        <f aca="false">IF(ISBLANK($C264),"",IF(I264=Constants!$B$3,TRUE(),IF(I264=Constants!$B$4,FALSE(),TRUE())))</f>
        <v/>
      </c>
      <c r="AK264" s="133" t="str">
        <f aca="false">IF(ISBLANK($C264),"",IF(J264=Constants!$B$3,TRUE(),IF(J264=Constants!$B$4,FALSE(),TRUE())))</f>
        <v/>
      </c>
      <c r="AL264" s="133" t="str">
        <f aca="false">IF(ISBLANK($C264),"",IF(K264=Constants!$B$5,TRUE(),IF(K264=Constants!$B$6,FALSE(),COUNTA(L264:P264)&gt;0)))</f>
        <v/>
      </c>
      <c r="AM264" s="134" t="str">
        <f aca="false">IF(ISBLANK($C264),"",IF(ISNUMBER(L264),IF(L264&gt;=0,L264,""),""))</f>
        <v/>
      </c>
      <c r="AN264" s="135" t="str">
        <f aca="false">IF(ISBLANK($C264),"",IF(ISNUMBER(M264),IF(M264&gt;=0,M264,""),""))</f>
        <v/>
      </c>
      <c r="AO264" s="135" t="str">
        <f aca="false">IF(ISBLANK($C264),"",IF(N264=Constants!$B$3,TRUE(),IF(N264=Constants!$B$4,FALSE(),TRUE())))</f>
        <v/>
      </c>
      <c r="AP264" s="133" t="str">
        <f aca="false">IF(ISBLANK($C264),"",IF(ISNUMBER(O264),IF(O264&gt;=0,O264,""),""))</f>
        <v/>
      </c>
      <c r="AQ264" s="133" t="str">
        <f aca="false">IF(ISBLANK($C264),"",IF(P264=Constants!$B$3,TRUE(),IF(P264=Constants!$B$4,FALSE(),FALSE())))</f>
        <v/>
      </c>
      <c r="AR264" s="133" t="str">
        <f aca="false">IF(ISBLANK($C264),"",IF(Q264=Constants!$B$3,TRUE(),IF(Q264=Constants!$B$4,FALSE(),TRUE())))</f>
        <v/>
      </c>
      <c r="AS264" s="133" t="str">
        <f aca="false">IF(ISBLANK($C264),"",IF(R264=Constants!$B$3,TRUE(),IF(R264=Constants!$B$4,FALSE(),TRUE())))</f>
        <v/>
      </c>
      <c r="AT264" s="133" t="str">
        <f aca="false">IF(ISBLANK($C264),"",IF(S264=Constants!$B$5,TRUE(),IF(S264=Constants!$B$6,FALSE(),COUNTA(T264:X264)&gt;0)))</f>
        <v/>
      </c>
      <c r="AU264" s="134" t="str">
        <f aca="false">IF(ISBLANK($C264),"",IF(ISNUMBER(T264),IF(T264&gt;=0,T264,""),""))</f>
        <v/>
      </c>
      <c r="AV264" s="135" t="str">
        <f aca="false">IF(ISBLANK($C264),"",IF(ISNUMBER(U264),IF(U264&gt;=0,U264,""),""))</f>
        <v/>
      </c>
      <c r="AW264" s="135" t="str">
        <f aca="false">IF(ISBLANK($C264),"",IF(V264=Constants!$B$3,TRUE(),IF(V264=Constants!$B$4,FALSE(),TRUE())))</f>
        <v/>
      </c>
      <c r="AX264" s="133" t="str">
        <f aca="false">IF(ISBLANK($C264),"",IF(ISNUMBER(W264),IF(W264&gt;=0,W264,""),""))</f>
        <v/>
      </c>
      <c r="AY264" s="133" t="str">
        <f aca="false">IF(ISBLANK($C264),"",IF(X264=Constants!$B$3,TRUE(),IF(X264=Constants!$B$4,FALSE(),FALSE())))</f>
        <v/>
      </c>
      <c r="AZ264" s="133" t="str">
        <f aca="false">IF(ISBLANK($C264),"",MIN(Constants!$B$31,MAX(0,IF(ISNUMBER(Y264),Y264*60,0)+IF(ISNUMBER(Z264),Z264,0))))</f>
        <v/>
      </c>
      <c r="BA264" s="133" t="str">
        <f aca="false">IF(ISBLANK($C264),"",IF(AA264=Constants!$B$3,TRUE(),IF(AA264=Constants!$B$4,FALSE(),FALSE())))</f>
        <v/>
      </c>
      <c r="BB264" s="132" t="str">
        <f aca="false">IF(ISBLANK($C264),"",AND($AL264,OR($AM264="",$AN264="",AND($AO264,$AP264=""))))</f>
        <v/>
      </c>
      <c r="BC264" s="135" t="str">
        <f aca="false">IF($BR264&lt;&gt;Constants!$B$8,"",IF($AL264,Constants!$B$21*$AN264+Constants!$B$22*IF($AO264,$AP264,Constants!$B$23),Constants!$B$24))</f>
        <v/>
      </c>
      <c r="BD264" s="136" t="str">
        <f aca="false">IF($BR264&lt;&gt;Constants!$B$8,"",Constants!$B$25*ABS($AD$9-IF($AL264,$AM264,0)))</f>
        <v/>
      </c>
      <c r="BE264" s="136" t="str">
        <f aca="false">IF($BR264&lt;&gt;Constants!$B$8,"",IF(AND($AL264,$AQ264,$AO264),Constants!$B$27,0))</f>
        <v/>
      </c>
      <c r="BF264" s="136" t="str">
        <f aca="false">IF($BR264&lt;&gt;Constants!$B$8,"",IF($AL264,($AI264-Constants!$B$29)*Constants!$B$28,0))</f>
        <v/>
      </c>
      <c r="BG264" s="136" t="str">
        <f aca="false">IF($BR264&lt;&gt;Constants!$B$8,"",IF($AK264,0,Constants!$B$15)+IF($AJ264,0,Constants!$B$16)+IF($AH264,0,Constants!$B$17))</f>
        <v/>
      </c>
      <c r="BH264" s="137" t="str">
        <f aca="false">IF($BR264&lt;&gt;Constants!$B$8,"",Constants!$B$20+SUM($BC264:$BG264))</f>
        <v/>
      </c>
      <c r="BI264" s="133" t="str">
        <f aca="false">IF($BR264&lt;&gt;Constants!$B$8,"",IF(OR($BP264&lt;$BH264,AND($BP264=$BH264,OR($BK264&lt;$BC264,AND($BK264=$BC264,OR($BL264&lt;$BD264,AND($BL264=$BD264,$AT264,$AL264,$AV264&lt;$AN264)))))),"-&gt;","&lt;-"))</f>
        <v/>
      </c>
      <c r="BJ264" s="132" t="str">
        <f aca="false">IF(ISBLANK($C264),"",AND($AT264,OR($AU264="",$AV264="",AND($AW264,$AX264=""))))</f>
        <v/>
      </c>
      <c r="BK264" s="135" t="str">
        <f aca="false">IF($BR264&lt;&gt;Constants!$B$8,"",IF($AT264,Constants!$B$21*$AV264+Constants!$B$22*IF($AW264,$AX264,Constants!$B$23),Constants!$B$24))</f>
        <v/>
      </c>
      <c r="BL264" s="136" t="str">
        <f aca="false">IF($BR264&lt;&gt;Constants!$B$8,"",Constants!$B$25*ABS($AD$9-IF($AT264,$AU264,0)))</f>
        <v/>
      </c>
      <c r="BM264" s="136" t="str">
        <f aca="false">IF($BR264&lt;&gt;Constants!$B$8,"",IF(AND($AT264,$AY264,$AW264),Constants!$B$27,0))</f>
        <v/>
      </c>
      <c r="BN264" s="136" t="str">
        <f aca="false">IF($BR264&lt;&gt;Constants!$B$8,"",IF($AT264,($AI264-Constants!$B$29)*Constants!$B$28,0))</f>
        <v/>
      </c>
      <c r="BO264" s="136" t="str">
        <f aca="false">IF($BR264&lt;&gt;Constants!$B$8,"",IF($AS264,0,Constants!$B$15)+IF($AR264,0,Constants!$B$16)+IF($AH264,0,Constants!$B$17))</f>
        <v/>
      </c>
      <c r="BP264" s="137" t="str">
        <f aca="false">IF($BR264&lt;&gt;Constants!$B$8,"",Constants!$B$20+SUM($BK264:$BO264))</f>
        <v/>
      </c>
      <c r="BQ264" s="133" t="str">
        <f aca="false">IF(ISBLANK($C264),"",IF(ISBLANK($D$7),$BQ$5,IF(NOT(ISNUMBER($D$7)),$BQ$6,"")))</f>
        <v/>
      </c>
      <c r="BR264" s="133" t="str">
        <f aca="false">IF(ISBLANK($C264),"",IF($BA264,Constants!$B$11,IF(COUNTA($E264:$AA264)=0,Constants!$B$10,IF(NOT($AG264),Constants!$B$9,IF(OR($BQ264&lt;&gt;"",$BB264,$BJ264),Constants!$B$12,Constants!$B$8)))))</f>
        <v/>
      </c>
      <c r="BS264" s="133" t="str">
        <f aca="false">IF(ISBLANK($C264),"",IF($BR264&lt;&gt;Constants!$B$8,$BR264,Constants!$B$13))</f>
        <v/>
      </c>
      <c r="BT264" s="136" t="str">
        <f aca="false">IF($BR264&lt;&gt;Constants!$B$8,"",IF($BI264="-&gt;",$BP264,$BH264))</f>
        <v/>
      </c>
      <c r="BU264" s="136" t="str">
        <f aca="false">IF($BR264&lt;&gt;Constants!$B$8,"",IF($AF264,0,Constants!$B$18))</f>
        <v/>
      </c>
      <c r="BV264" s="136" t="str">
        <f aca="false">IF($BR264&lt;&gt;Constants!$B$8,"",((Constants!$B$31-$AZ264)-Constants!$B$31)/Constants!$B$32)</f>
        <v/>
      </c>
      <c r="BW264" s="136" t="str">
        <f aca="false">IF(ISBLANK($C264),"",IF($BR264&lt;&gt;Constants!$B$8,$BR264,SUM($BT264:$BV264)))</f>
        <v/>
      </c>
      <c r="BX264" s="133" t="str">
        <f aca="false">IF(ISBLANK($C264),"",IF($BR264&lt;&gt;Constants!$B$8,$BR264,RANK($BW264,$BW$9:$BW$508,1)))</f>
        <v/>
      </c>
      <c r="BY264" s="136" t="str">
        <f aca="false">IF($BR264&lt;&gt;Constants!$B$8,"",IF($BI264="-&gt;",$BK264,$BC264))</f>
        <v/>
      </c>
      <c r="BZ264" s="133" t="str">
        <f aca="false">IF(ISBLANK($C264),"",IF($BR264&lt;&gt;Constants!$B$8,$BR264,IF(ISNUMBER($BY264),RANK($BY264,$BY$9:$BY$508,1),COUNT($BY$9:$BY$508)+1)))</f>
        <v/>
      </c>
      <c r="CA264" s="136" t="str">
        <f aca="false">IF($BR264&lt;&gt;Constants!$B$8,"",IF($BI264="-&gt;",$BL264,$BD264))</f>
        <v/>
      </c>
      <c r="CB264" s="133" t="str">
        <f aca="false">IF(ISBLANK($C264),"",IF($BR264&lt;&gt;Constants!$B$8,$BR264,IF(ISNUMBER($CA264),RANK($CA264,$CA$9:$CA$508,1),COUNT($CA$9:$CA$508)+1)))</f>
        <v/>
      </c>
      <c r="CC264" s="136" t="str">
        <f aca="false">IF($BR264&lt;&gt;Constants!$B$8,"",IF($BI264="-&gt;",IF($AT264,$AV264,""),IF($AL264,$AN264,"")))</f>
        <v/>
      </c>
      <c r="CD264" s="133" t="str">
        <f aca="false">IF(ISBLANK($C264),"",IF($BR264&lt;&gt;Constants!$B$8,$BR264,IF(ISNUMBER($CC264),RANK($CC264,$CC$9:$CC$508,1),COUNT($CC$9:$CC$508)+1)))</f>
        <v/>
      </c>
      <c r="CE264" s="136" t="str">
        <f aca="false">IF($BR264&lt;&gt;Constants!$B$8,"",IF(AND(NOT($AL264),NOT($AT264),$AJ264,$AK264,$AR264,$AS264),"",$AI264))</f>
        <v/>
      </c>
      <c r="CF264" s="133" t="str">
        <f aca="false">IF(ISBLANK($C264),"",IF($BR264&lt;&gt;Constants!$B$8,$BR264,IF(ISNUMBER($CE264),RANK($CE264,$CE$9:$CE$508,1),COUNT($CE$9:$CE$508)+1)))</f>
        <v/>
      </c>
      <c r="CG264" s="133" t="str">
        <f aca="false">IF(ISBLANK($C264),"",IF($BR264&lt;&gt;Constants!$B$8,$BR264,COUNTIFS($BX$9:$BX$508,"&lt;"&amp;$BX264)+COUNTIFS($BX$9:$BX$508,$BX264,$BZ$9:$BZ$508,"&lt;"&amp;$BZ264)+COUNTIFS($BX$9:$BX$508,$BX264,$BZ$9:$BZ$508,$BZ264,$CB$9:$CB$508,"&lt;"&amp;$CB264)+COUNTIFS($BX$9:$BX$508,$BX264,$BZ$9:$BZ$508,$BZ264,$CB$9:$CB$508,$CB264,$CD$9:$CD$508,"&lt;"&amp;$CD264)+COUNTIFS($BX$9:$BX$508,$BX264,$BZ$9:$BZ$508,$BZ264,$CB$9:$CB$508,$CB264,$CD$9:$CD$508,$CD264,$CF$9:$CF$508,"&lt;"&amp;$CF264)+1))</f>
        <v/>
      </c>
      <c r="CH264" s="133" t="str">
        <f aca="false">IF(ISBLANK($C264),"",IF($BR264&lt;&gt;Constants!$B$8,$BR264,$BX264-$CG264))</f>
        <v/>
      </c>
      <c r="CI264" s="138"/>
      <c r="CJ264" s="139"/>
      <c r="CK264" s="140" t="str">
        <f aca="false">IF(ISBLANK($C264),"",IF($BR264=Constants!$B$12,$BQ264,""))</f>
        <v/>
      </c>
      <c r="CL264" s="139" t="str">
        <f aca="false">IF(ISBLANK($C264),"",IF($BR264&lt;&gt;Constants!$B$8,"",IF($BI264="-&gt;",2,1)))</f>
        <v/>
      </c>
      <c r="CM264" s="141" t="str">
        <f aca="false">IF(ISBLANK($C264),"",IF($BR264&lt;&gt;Constants!$B$8,"",IF($BI264="-&gt;",$BK264,$BC264)))</f>
        <v/>
      </c>
      <c r="CN264" s="141" t="str">
        <f aca="false">IF(ISBLANK($C264),"",IF($BR264&lt;&gt;Constants!$B$8,"",IF($BI264="-&gt;",$BL264,$BD264)))</f>
        <v/>
      </c>
      <c r="CO264" s="141" t="str">
        <f aca="false">IF(ISBLANK($C264),"",IF($BR264&lt;&gt;Constants!$B$8,"",IF($BI264="-&gt;",$BM264+$BN264,$BE264+$BF264)+$BV264))</f>
        <v/>
      </c>
      <c r="CP264" s="141" t="str">
        <f aca="false">IF(ISBLANK($C264),"",IF($BR264&lt;&gt;Constants!$B$8,"",IF($BI264="-&gt;",$BO264,$BG264)+$BU264))</f>
        <v/>
      </c>
      <c r="CQ264" s="142" t="str">
        <f aca="false">IF(ISBLANK($C264),"",IF($BR264&lt;&gt;Constants!$B$8,$BR264,$BW264))</f>
        <v/>
      </c>
      <c r="CR264" s="143" t="str">
        <f aca="false">IF(ISBLANK($C264),"",$BS264)</f>
        <v/>
      </c>
      <c r="CS264" s="144" t="str">
        <f aca="false">IF(ISBLANK($C264),"",$CH264)</f>
        <v/>
      </c>
      <c r="CT264" s="144" t="str">
        <f aca="false">IF(ISBLANK($C264),"",$CG264)</f>
        <v/>
      </c>
      <c r="CU264" s="145" t="str">
        <f aca="false">IF(ISBLANK($C264),"",IFERROR(_xlfn.SWITCH($CT264,Constants!$B$11,COUNTA($C$9:$C$508)+2,Constants!$B$10,COUNTA($C$9:$C$508)+1,Constants!$B$9,COUNTA($C$9:$C$508)),$CT264))</f>
        <v/>
      </c>
      <c r="CV264" s="9"/>
      <c r="CW264" s="146" t="n">
        <f aca="false">IF(OR(ISNUMBER($CT264),$CT264=Constants!$B$11,$CT264=Constants!$B$9,$CT264=Constants!$B$10),1,0)</f>
        <v>0</v>
      </c>
      <c r="CX264" s="146" t="n">
        <v>256</v>
      </c>
      <c r="CY264" s="146" t="str">
        <f aca="false">IF(ISBLANK($C264),"",IF(ISNUMBER($CU264),$CU264+ROW($B264)/1000,""))</f>
        <v/>
      </c>
      <c r="CZ264" s="146" t="str">
        <f aca="false">IF(ISNUMBER($CY264),RANK($CY264,$CY$9:$CY$508,1),"")</f>
        <v/>
      </c>
      <c r="DA264" s="146" t="str">
        <f aca="false">IF(ISBLANK($C264),"",$B264)</f>
        <v/>
      </c>
      <c r="DB264" s="146" t="str">
        <f aca="false">IF(ISBLANK($C264),"",$C264)</f>
        <v/>
      </c>
      <c r="DC264" s="146" t="str">
        <f aca="false">IF(ISBLANK($C264),"",$D264)</f>
        <v/>
      </c>
      <c r="DD264" s="147" t="str">
        <f aca="false">$CR264</f>
        <v/>
      </c>
      <c r="DE264" s="148" t="str">
        <f aca="false">$CQ264</f>
        <v/>
      </c>
      <c r="DF264" s="146" t="str">
        <f aca="false">IF(ISBLANK($C264),"",$CT264)</f>
        <v/>
      </c>
      <c r="DG264" s="149" t="str">
        <f aca="false">IF($CX264&gt;$CW$8,"",VLOOKUP($CX264,$CZ$9:$DF$508,7,FALSE()))</f>
        <v/>
      </c>
      <c r="DH264" s="150" t="str">
        <f aca="false">IF($CX264&gt;$CW$8,"",VLOOKUP($CX264,$CZ$9:$DF$508,2,FALSE()))</f>
        <v/>
      </c>
      <c r="DI264" s="150" t="str">
        <f aca="false">IF($CX264&gt;$CW$8,"",VLOOKUP($CX264,$CZ$9:$DF$508,3,FALSE()))</f>
        <v/>
      </c>
      <c r="DJ264" s="150" t="str">
        <f aca="false">IF($CX264&gt;$CW$8,"",VLOOKUP($CX264,$CZ$9:$DF$508,4,FALSE()))</f>
        <v/>
      </c>
      <c r="DK264" s="150" t="str">
        <f aca="false">IF($CX264&gt;$CW$8,"",VLOOKUP($CX264,$CZ$9:$DF$508,5,FALSE()))</f>
        <v/>
      </c>
      <c r="DL264" s="151" t="str">
        <f aca="false">IF($CX264&gt;$CW$8,"",VLOOKUP($CX264,$CZ$9:$DF$508,6,FALSE()))</f>
        <v/>
      </c>
      <c r="DM264" s="75"/>
    </row>
    <row r="265" customFormat="false" ht="15.75" hidden="false" customHeight="false" outlineLevel="0" collapsed="false">
      <c r="A265" s="9"/>
      <c r="B265" s="157"/>
      <c r="C265" s="158"/>
      <c r="D265" s="159"/>
      <c r="E265" s="177"/>
      <c r="F265" s="161"/>
      <c r="G265" s="162"/>
      <c r="H265" s="162"/>
      <c r="I265" s="178"/>
      <c r="J265" s="165"/>
      <c r="K265" s="126"/>
      <c r="L265" s="127"/>
      <c r="M265" s="128"/>
      <c r="N265" s="165"/>
      <c r="O265" s="165"/>
      <c r="P265" s="177"/>
      <c r="Q265" s="165"/>
      <c r="R265" s="165"/>
      <c r="S265" s="126"/>
      <c r="T265" s="128"/>
      <c r="U265" s="128"/>
      <c r="V265" s="165"/>
      <c r="W265" s="165"/>
      <c r="X265" s="177"/>
      <c r="Y265" s="165"/>
      <c r="Z265" s="166"/>
      <c r="AA265" s="165"/>
      <c r="AB265" s="132"/>
      <c r="AC265" s="133"/>
      <c r="AD265" s="133"/>
      <c r="AE265" s="133"/>
      <c r="AF265" s="133" t="str">
        <f aca="false">IF(ISBLANK($C265),"",IF(E265=Constants!$B$3,TRUE(),IF(E265=Constants!$B$4,FALSE(),TRUE())))</f>
        <v/>
      </c>
      <c r="AG265" s="133" t="str">
        <f aca="false">IF(ISBLANK($C265),"",IF(F265=Constants!$B$3,TRUE(),IF(F265=Constants!$B$4,FALSE(),TRUE())))</f>
        <v/>
      </c>
      <c r="AH265" s="133" t="str">
        <f aca="false">IF(ISBLANK($C265),"",IF(G265=Constants!$B$3,TRUE(),IF(G265=Constants!$B$4,FALSE(),TRUE())))</f>
        <v/>
      </c>
      <c r="AI265" s="133" t="str">
        <f aca="false">IF(ISBLANK($C265),"",IF(AND(ISNUMBER(H265),H265&gt;=0),H265,Constants!$B$29))</f>
        <v/>
      </c>
      <c r="AJ265" s="133" t="str">
        <f aca="false">IF(ISBLANK($C265),"",IF(I265=Constants!$B$3,TRUE(),IF(I265=Constants!$B$4,FALSE(),TRUE())))</f>
        <v/>
      </c>
      <c r="AK265" s="133" t="str">
        <f aca="false">IF(ISBLANK($C265),"",IF(J265=Constants!$B$3,TRUE(),IF(J265=Constants!$B$4,FALSE(),TRUE())))</f>
        <v/>
      </c>
      <c r="AL265" s="133" t="str">
        <f aca="false">IF(ISBLANK($C265),"",IF(K265=Constants!$B$5,TRUE(),IF(K265=Constants!$B$6,FALSE(),COUNTA(L265:P265)&gt;0)))</f>
        <v/>
      </c>
      <c r="AM265" s="134" t="str">
        <f aca="false">IF(ISBLANK($C265),"",IF(ISNUMBER(L265),IF(L265&gt;=0,L265,""),""))</f>
        <v/>
      </c>
      <c r="AN265" s="135" t="str">
        <f aca="false">IF(ISBLANK($C265),"",IF(ISNUMBER(M265),IF(M265&gt;=0,M265,""),""))</f>
        <v/>
      </c>
      <c r="AO265" s="135" t="str">
        <f aca="false">IF(ISBLANK($C265),"",IF(N265=Constants!$B$3,TRUE(),IF(N265=Constants!$B$4,FALSE(),TRUE())))</f>
        <v/>
      </c>
      <c r="AP265" s="133" t="str">
        <f aca="false">IF(ISBLANK($C265),"",IF(ISNUMBER(O265),IF(O265&gt;=0,O265,""),""))</f>
        <v/>
      </c>
      <c r="AQ265" s="133" t="str">
        <f aca="false">IF(ISBLANK($C265),"",IF(P265=Constants!$B$3,TRUE(),IF(P265=Constants!$B$4,FALSE(),FALSE())))</f>
        <v/>
      </c>
      <c r="AR265" s="133" t="str">
        <f aca="false">IF(ISBLANK($C265),"",IF(Q265=Constants!$B$3,TRUE(),IF(Q265=Constants!$B$4,FALSE(),TRUE())))</f>
        <v/>
      </c>
      <c r="AS265" s="133" t="str">
        <f aca="false">IF(ISBLANK($C265),"",IF(R265=Constants!$B$3,TRUE(),IF(R265=Constants!$B$4,FALSE(),TRUE())))</f>
        <v/>
      </c>
      <c r="AT265" s="133" t="str">
        <f aca="false">IF(ISBLANK($C265),"",IF(S265=Constants!$B$5,TRUE(),IF(S265=Constants!$B$6,FALSE(),COUNTA(T265:X265)&gt;0)))</f>
        <v/>
      </c>
      <c r="AU265" s="134" t="str">
        <f aca="false">IF(ISBLANK($C265),"",IF(ISNUMBER(T265),IF(T265&gt;=0,T265,""),""))</f>
        <v/>
      </c>
      <c r="AV265" s="135" t="str">
        <f aca="false">IF(ISBLANK($C265),"",IF(ISNUMBER(U265),IF(U265&gt;=0,U265,""),""))</f>
        <v/>
      </c>
      <c r="AW265" s="135" t="str">
        <f aca="false">IF(ISBLANK($C265),"",IF(V265=Constants!$B$3,TRUE(),IF(V265=Constants!$B$4,FALSE(),TRUE())))</f>
        <v/>
      </c>
      <c r="AX265" s="133" t="str">
        <f aca="false">IF(ISBLANK($C265),"",IF(ISNUMBER(W265),IF(W265&gt;=0,W265,""),""))</f>
        <v/>
      </c>
      <c r="AY265" s="133" t="str">
        <f aca="false">IF(ISBLANK($C265),"",IF(X265=Constants!$B$3,TRUE(),IF(X265=Constants!$B$4,FALSE(),FALSE())))</f>
        <v/>
      </c>
      <c r="AZ265" s="133" t="str">
        <f aca="false">IF(ISBLANK($C265),"",MIN(Constants!$B$31,MAX(0,IF(ISNUMBER(Y265),Y265*60,0)+IF(ISNUMBER(Z265),Z265,0))))</f>
        <v/>
      </c>
      <c r="BA265" s="133" t="str">
        <f aca="false">IF(ISBLANK($C265),"",IF(AA265=Constants!$B$3,TRUE(),IF(AA265=Constants!$B$4,FALSE(),FALSE())))</f>
        <v/>
      </c>
      <c r="BB265" s="132" t="str">
        <f aca="false">IF(ISBLANK($C265),"",AND($AL265,OR($AM265="",$AN265="",AND($AO265,$AP265=""))))</f>
        <v/>
      </c>
      <c r="BC265" s="135" t="str">
        <f aca="false">IF($BR265&lt;&gt;Constants!$B$8,"",IF($AL265,Constants!$B$21*$AN265+Constants!$B$22*IF($AO265,$AP265,Constants!$B$23),Constants!$B$24))</f>
        <v/>
      </c>
      <c r="BD265" s="136" t="str">
        <f aca="false">IF($BR265&lt;&gt;Constants!$B$8,"",Constants!$B$25*ABS($AD$9-IF($AL265,$AM265,0)))</f>
        <v/>
      </c>
      <c r="BE265" s="136" t="str">
        <f aca="false">IF($BR265&lt;&gt;Constants!$B$8,"",IF(AND($AL265,$AQ265,$AO265),Constants!$B$27,0))</f>
        <v/>
      </c>
      <c r="BF265" s="136" t="str">
        <f aca="false">IF($BR265&lt;&gt;Constants!$B$8,"",IF($AL265,($AI265-Constants!$B$29)*Constants!$B$28,0))</f>
        <v/>
      </c>
      <c r="BG265" s="136" t="str">
        <f aca="false">IF($BR265&lt;&gt;Constants!$B$8,"",IF($AK265,0,Constants!$B$15)+IF($AJ265,0,Constants!$B$16)+IF($AH265,0,Constants!$B$17))</f>
        <v/>
      </c>
      <c r="BH265" s="137" t="str">
        <f aca="false">IF($BR265&lt;&gt;Constants!$B$8,"",Constants!$B$20+SUM($BC265:$BG265))</f>
        <v/>
      </c>
      <c r="BI265" s="133" t="str">
        <f aca="false">IF($BR265&lt;&gt;Constants!$B$8,"",IF(OR($BP265&lt;$BH265,AND($BP265=$BH265,OR($BK265&lt;$BC265,AND($BK265=$BC265,OR($BL265&lt;$BD265,AND($BL265=$BD265,$AT265,$AL265,$AV265&lt;$AN265)))))),"-&gt;","&lt;-"))</f>
        <v/>
      </c>
      <c r="BJ265" s="132" t="str">
        <f aca="false">IF(ISBLANK($C265),"",AND($AT265,OR($AU265="",$AV265="",AND($AW265,$AX265=""))))</f>
        <v/>
      </c>
      <c r="BK265" s="135" t="str">
        <f aca="false">IF($BR265&lt;&gt;Constants!$B$8,"",IF($AT265,Constants!$B$21*$AV265+Constants!$B$22*IF($AW265,$AX265,Constants!$B$23),Constants!$B$24))</f>
        <v/>
      </c>
      <c r="BL265" s="136" t="str">
        <f aca="false">IF($BR265&lt;&gt;Constants!$B$8,"",Constants!$B$25*ABS($AD$9-IF($AT265,$AU265,0)))</f>
        <v/>
      </c>
      <c r="BM265" s="136" t="str">
        <f aca="false">IF($BR265&lt;&gt;Constants!$B$8,"",IF(AND($AT265,$AY265,$AW265),Constants!$B$27,0))</f>
        <v/>
      </c>
      <c r="BN265" s="136" t="str">
        <f aca="false">IF($BR265&lt;&gt;Constants!$B$8,"",IF($AT265,($AI265-Constants!$B$29)*Constants!$B$28,0))</f>
        <v/>
      </c>
      <c r="BO265" s="136" t="str">
        <f aca="false">IF($BR265&lt;&gt;Constants!$B$8,"",IF($AS265,0,Constants!$B$15)+IF($AR265,0,Constants!$B$16)+IF($AH265,0,Constants!$B$17))</f>
        <v/>
      </c>
      <c r="BP265" s="137" t="str">
        <f aca="false">IF($BR265&lt;&gt;Constants!$B$8,"",Constants!$B$20+SUM($BK265:$BO265))</f>
        <v/>
      </c>
      <c r="BQ265" s="133" t="str">
        <f aca="false">IF(ISBLANK($C265),"",IF(ISBLANK($D$7),$BQ$5,IF(NOT(ISNUMBER($D$7)),$BQ$6,"")))</f>
        <v/>
      </c>
      <c r="BR265" s="133" t="str">
        <f aca="false">IF(ISBLANK($C265),"",IF($BA265,Constants!$B$11,IF(COUNTA($E265:$AA265)=0,Constants!$B$10,IF(NOT($AG265),Constants!$B$9,IF(OR($BQ265&lt;&gt;"",$BB265,$BJ265),Constants!$B$12,Constants!$B$8)))))</f>
        <v/>
      </c>
      <c r="BS265" s="133" t="str">
        <f aca="false">IF(ISBLANK($C265),"",IF($BR265&lt;&gt;Constants!$B$8,$BR265,Constants!$B$13))</f>
        <v/>
      </c>
      <c r="BT265" s="136" t="str">
        <f aca="false">IF($BR265&lt;&gt;Constants!$B$8,"",IF($BI265="-&gt;",$BP265,$BH265))</f>
        <v/>
      </c>
      <c r="BU265" s="136" t="str">
        <f aca="false">IF($BR265&lt;&gt;Constants!$B$8,"",IF($AF265,0,Constants!$B$18))</f>
        <v/>
      </c>
      <c r="BV265" s="136" t="str">
        <f aca="false">IF($BR265&lt;&gt;Constants!$B$8,"",((Constants!$B$31-$AZ265)-Constants!$B$31)/Constants!$B$32)</f>
        <v/>
      </c>
      <c r="BW265" s="136" t="str">
        <f aca="false">IF(ISBLANK($C265),"",IF($BR265&lt;&gt;Constants!$B$8,$BR265,SUM($BT265:$BV265)))</f>
        <v/>
      </c>
      <c r="BX265" s="133" t="str">
        <f aca="false">IF(ISBLANK($C265),"",IF($BR265&lt;&gt;Constants!$B$8,$BR265,RANK($BW265,$BW$9:$BW$508,1)))</f>
        <v/>
      </c>
      <c r="BY265" s="136" t="str">
        <f aca="false">IF($BR265&lt;&gt;Constants!$B$8,"",IF($BI265="-&gt;",$BK265,$BC265))</f>
        <v/>
      </c>
      <c r="BZ265" s="133" t="str">
        <f aca="false">IF(ISBLANK($C265),"",IF($BR265&lt;&gt;Constants!$B$8,$BR265,IF(ISNUMBER($BY265),RANK($BY265,$BY$9:$BY$508,1),COUNT($BY$9:$BY$508)+1)))</f>
        <v/>
      </c>
      <c r="CA265" s="136" t="str">
        <f aca="false">IF($BR265&lt;&gt;Constants!$B$8,"",IF($BI265="-&gt;",$BL265,$BD265))</f>
        <v/>
      </c>
      <c r="CB265" s="133" t="str">
        <f aca="false">IF(ISBLANK($C265),"",IF($BR265&lt;&gt;Constants!$B$8,$BR265,IF(ISNUMBER($CA265),RANK($CA265,$CA$9:$CA$508,1),COUNT($CA$9:$CA$508)+1)))</f>
        <v/>
      </c>
      <c r="CC265" s="136" t="str">
        <f aca="false">IF($BR265&lt;&gt;Constants!$B$8,"",IF($BI265="-&gt;",IF($AT265,$AV265,""),IF($AL265,$AN265,"")))</f>
        <v/>
      </c>
      <c r="CD265" s="133" t="str">
        <f aca="false">IF(ISBLANK($C265),"",IF($BR265&lt;&gt;Constants!$B$8,$BR265,IF(ISNUMBER($CC265),RANK($CC265,$CC$9:$CC$508,1),COUNT($CC$9:$CC$508)+1)))</f>
        <v/>
      </c>
      <c r="CE265" s="136" t="str">
        <f aca="false">IF($BR265&lt;&gt;Constants!$B$8,"",IF(AND(NOT($AL265),NOT($AT265),$AJ265,$AK265,$AR265,$AS265),"",$AI265))</f>
        <v/>
      </c>
      <c r="CF265" s="133" t="str">
        <f aca="false">IF(ISBLANK($C265),"",IF($BR265&lt;&gt;Constants!$B$8,$BR265,IF(ISNUMBER($CE265),RANK($CE265,$CE$9:$CE$508,1),COUNT($CE$9:$CE$508)+1)))</f>
        <v/>
      </c>
      <c r="CG265" s="133" t="str">
        <f aca="false">IF(ISBLANK($C265),"",IF($BR265&lt;&gt;Constants!$B$8,$BR265,COUNTIFS($BX$9:$BX$508,"&lt;"&amp;$BX265)+COUNTIFS($BX$9:$BX$508,$BX265,$BZ$9:$BZ$508,"&lt;"&amp;$BZ265)+COUNTIFS($BX$9:$BX$508,$BX265,$BZ$9:$BZ$508,$BZ265,$CB$9:$CB$508,"&lt;"&amp;$CB265)+COUNTIFS($BX$9:$BX$508,$BX265,$BZ$9:$BZ$508,$BZ265,$CB$9:$CB$508,$CB265,$CD$9:$CD$508,"&lt;"&amp;$CD265)+COUNTIFS($BX$9:$BX$508,$BX265,$BZ$9:$BZ$508,$BZ265,$CB$9:$CB$508,$CB265,$CD$9:$CD$508,$CD265,$CF$9:$CF$508,"&lt;"&amp;$CF265)+1))</f>
        <v/>
      </c>
      <c r="CH265" s="133" t="str">
        <f aca="false">IF(ISBLANK($C265),"",IF($BR265&lt;&gt;Constants!$B$8,$BR265,$BX265-$CG265))</f>
        <v/>
      </c>
      <c r="CI265" s="138"/>
      <c r="CJ265" s="139"/>
      <c r="CK265" s="140" t="str">
        <f aca="false">IF(ISBLANK($C265),"",IF($BR265=Constants!$B$12,$BQ265,""))</f>
        <v/>
      </c>
      <c r="CL265" s="139" t="str">
        <f aca="false">IF(ISBLANK($C265),"",IF($BR265&lt;&gt;Constants!$B$8,"",IF($BI265="-&gt;",2,1)))</f>
        <v/>
      </c>
      <c r="CM265" s="141" t="str">
        <f aca="false">IF(ISBLANK($C265),"",IF($BR265&lt;&gt;Constants!$B$8,"",IF($BI265="-&gt;",$BK265,$BC265)))</f>
        <v/>
      </c>
      <c r="CN265" s="141" t="str">
        <f aca="false">IF(ISBLANK($C265),"",IF($BR265&lt;&gt;Constants!$B$8,"",IF($BI265="-&gt;",$BL265,$BD265)))</f>
        <v/>
      </c>
      <c r="CO265" s="141" t="str">
        <f aca="false">IF(ISBLANK($C265),"",IF($BR265&lt;&gt;Constants!$B$8,"",IF($BI265="-&gt;",$BM265+$BN265,$BE265+$BF265)+$BV265))</f>
        <v/>
      </c>
      <c r="CP265" s="141" t="str">
        <f aca="false">IF(ISBLANK($C265),"",IF($BR265&lt;&gt;Constants!$B$8,"",IF($BI265="-&gt;",$BO265,$BG265)+$BU265))</f>
        <v/>
      </c>
      <c r="CQ265" s="142" t="str">
        <f aca="false">IF(ISBLANK($C265),"",IF($BR265&lt;&gt;Constants!$B$8,$BR265,$BW265))</f>
        <v/>
      </c>
      <c r="CR265" s="143" t="str">
        <f aca="false">IF(ISBLANK($C265),"",$BS265)</f>
        <v/>
      </c>
      <c r="CS265" s="144" t="str">
        <f aca="false">IF(ISBLANK($C265),"",$CH265)</f>
        <v/>
      </c>
      <c r="CT265" s="144" t="str">
        <f aca="false">IF(ISBLANK($C265),"",$CG265)</f>
        <v/>
      </c>
      <c r="CU265" s="145" t="str">
        <f aca="false">IF(ISBLANK($C265),"",IFERROR(_xlfn.SWITCH($CT265,Constants!$B$11,COUNTA($C$9:$C$508)+2,Constants!$B$10,COUNTA($C$9:$C$508)+1,Constants!$B$9,COUNTA($C$9:$C$508)),$CT265))</f>
        <v/>
      </c>
      <c r="CV265" s="9"/>
      <c r="CW265" s="146" t="n">
        <f aca="false">IF(OR(ISNUMBER($CT265),$CT265=Constants!$B$11,$CT265=Constants!$B$9,$CT265=Constants!$B$10),1,0)</f>
        <v>0</v>
      </c>
      <c r="CX265" s="146" t="n">
        <v>257</v>
      </c>
      <c r="CY265" s="146" t="str">
        <f aca="false">IF(ISBLANK($C265),"",IF(ISNUMBER($CU265),$CU265+ROW($B265)/1000,""))</f>
        <v/>
      </c>
      <c r="CZ265" s="146" t="str">
        <f aca="false">IF(ISNUMBER($CY265),RANK($CY265,$CY$9:$CY$508,1),"")</f>
        <v/>
      </c>
      <c r="DA265" s="146" t="str">
        <f aca="false">IF(ISBLANK($C265),"",$B265)</f>
        <v/>
      </c>
      <c r="DB265" s="146" t="str">
        <f aca="false">IF(ISBLANK($C265),"",$C265)</f>
        <v/>
      </c>
      <c r="DC265" s="146" t="str">
        <f aca="false">IF(ISBLANK($C265),"",$D265)</f>
        <v/>
      </c>
      <c r="DD265" s="147" t="str">
        <f aca="false">$CR265</f>
        <v/>
      </c>
      <c r="DE265" s="148" t="str">
        <f aca="false">$CQ265</f>
        <v/>
      </c>
      <c r="DF265" s="146" t="str">
        <f aca="false">IF(ISBLANK($C265),"",$CT265)</f>
        <v/>
      </c>
      <c r="DG265" s="149" t="str">
        <f aca="false">IF($CX265&gt;$CW$8,"",VLOOKUP($CX265,$CZ$9:$DF$508,7,FALSE()))</f>
        <v/>
      </c>
      <c r="DH265" s="150" t="str">
        <f aca="false">IF($CX265&gt;$CW$8,"",VLOOKUP($CX265,$CZ$9:$DF$508,2,FALSE()))</f>
        <v/>
      </c>
      <c r="DI265" s="150" t="str">
        <f aca="false">IF($CX265&gt;$CW$8,"",VLOOKUP($CX265,$CZ$9:$DF$508,3,FALSE()))</f>
        <v/>
      </c>
      <c r="DJ265" s="150" t="str">
        <f aca="false">IF($CX265&gt;$CW$8,"",VLOOKUP($CX265,$CZ$9:$DF$508,4,FALSE()))</f>
        <v/>
      </c>
      <c r="DK265" s="150" t="str">
        <f aca="false">IF($CX265&gt;$CW$8,"",VLOOKUP($CX265,$CZ$9:$DF$508,5,FALSE()))</f>
        <v/>
      </c>
      <c r="DL265" s="151" t="str">
        <f aca="false">IF($CX265&gt;$CW$8,"",VLOOKUP($CX265,$CZ$9:$DF$508,6,FALSE()))</f>
        <v/>
      </c>
      <c r="DM265" s="75"/>
    </row>
    <row r="266" customFormat="false" ht="15.75" hidden="false" customHeight="false" outlineLevel="0" collapsed="false">
      <c r="A266" s="9"/>
      <c r="B266" s="157"/>
      <c r="C266" s="158"/>
      <c r="D266" s="159"/>
      <c r="E266" s="177"/>
      <c r="F266" s="161"/>
      <c r="G266" s="162"/>
      <c r="H266" s="162"/>
      <c r="I266" s="178"/>
      <c r="J266" s="165"/>
      <c r="K266" s="126"/>
      <c r="L266" s="127"/>
      <c r="M266" s="128"/>
      <c r="N266" s="165"/>
      <c r="O266" s="165"/>
      <c r="P266" s="177"/>
      <c r="Q266" s="165"/>
      <c r="R266" s="165"/>
      <c r="S266" s="126"/>
      <c r="T266" s="128"/>
      <c r="U266" s="128"/>
      <c r="V266" s="165"/>
      <c r="W266" s="165"/>
      <c r="X266" s="177"/>
      <c r="Y266" s="165"/>
      <c r="Z266" s="166"/>
      <c r="AA266" s="165"/>
      <c r="AB266" s="132"/>
      <c r="AC266" s="133"/>
      <c r="AD266" s="133"/>
      <c r="AE266" s="133"/>
      <c r="AF266" s="133" t="str">
        <f aca="false">IF(ISBLANK($C266),"",IF(E266=Constants!$B$3,TRUE(),IF(E266=Constants!$B$4,FALSE(),TRUE())))</f>
        <v/>
      </c>
      <c r="AG266" s="133" t="str">
        <f aca="false">IF(ISBLANK($C266),"",IF(F266=Constants!$B$3,TRUE(),IF(F266=Constants!$B$4,FALSE(),TRUE())))</f>
        <v/>
      </c>
      <c r="AH266" s="133" t="str">
        <f aca="false">IF(ISBLANK($C266),"",IF(G266=Constants!$B$3,TRUE(),IF(G266=Constants!$B$4,FALSE(),TRUE())))</f>
        <v/>
      </c>
      <c r="AI266" s="133" t="str">
        <f aca="false">IF(ISBLANK($C266),"",IF(AND(ISNUMBER(H266),H266&gt;=0),H266,Constants!$B$29))</f>
        <v/>
      </c>
      <c r="AJ266" s="133" t="str">
        <f aca="false">IF(ISBLANK($C266),"",IF(I266=Constants!$B$3,TRUE(),IF(I266=Constants!$B$4,FALSE(),TRUE())))</f>
        <v/>
      </c>
      <c r="AK266" s="133" t="str">
        <f aca="false">IF(ISBLANK($C266),"",IF(J266=Constants!$B$3,TRUE(),IF(J266=Constants!$B$4,FALSE(),TRUE())))</f>
        <v/>
      </c>
      <c r="AL266" s="133" t="str">
        <f aca="false">IF(ISBLANK($C266),"",IF(K266=Constants!$B$5,TRUE(),IF(K266=Constants!$B$6,FALSE(),COUNTA(L266:P266)&gt;0)))</f>
        <v/>
      </c>
      <c r="AM266" s="134" t="str">
        <f aca="false">IF(ISBLANK($C266),"",IF(ISNUMBER(L266),IF(L266&gt;=0,L266,""),""))</f>
        <v/>
      </c>
      <c r="AN266" s="135" t="str">
        <f aca="false">IF(ISBLANK($C266),"",IF(ISNUMBER(M266),IF(M266&gt;=0,M266,""),""))</f>
        <v/>
      </c>
      <c r="AO266" s="135" t="str">
        <f aca="false">IF(ISBLANK($C266),"",IF(N266=Constants!$B$3,TRUE(),IF(N266=Constants!$B$4,FALSE(),TRUE())))</f>
        <v/>
      </c>
      <c r="AP266" s="133" t="str">
        <f aca="false">IF(ISBLANK($C266),"",IF(ISNUMBER(O266),IF(O266&gt;=0,O266,""),""))</f>
        <v/>
      </c>
      <c r="AQ266" s="133" t="str">
        <f aca="false">IF(ISBLANK($C266),"",IF(P266=Constants!$B$3,TRUE(),IF(P266=Constants!$B$4,FALSE(),FALSE())))</f>
        <v/>
      </c>
      <c r="AR266" s="133" t="str">
        <f aca="false">IF(ISBLANK($C266),"",IF(Q266=Constants!$B$3,TRUE(),IF(Q266=Constants!$B$4,FALSE(),TRUE())))</f>
        <v/>
      </c>
      <c r="AS266" s="133" t="str">
        <f aca="false">IF(ISBLANK($C266),"",IF(R266=Constants!$B$3,TRUE(),IF(R266=Constants!$B$4,FALSE(),TRUE())))</f>
        <v/>
      </c>
      <c r="AT266" s="133" t="str">
        <f aca="false">IF(ISBLANK($C266),"",IF(S266=Constants!$B$5,TRUE(),IF(S266=Constants!$B$6,FALSE(),COUNTA(T266:X266)&gt;0)))</f>
        <v/>
      </c>
      <c r="AU266" s="134" t="str">
        <f aca="false">IF(ISBLANK($C266),"",IF(ISNUMBER(T266),IF(T266&gt;=0,T266,""),""))</f>
        <v/>
      </c>
      <c r="AV266" s="135" t="str">
        <f aca="false">IF(ISBLANK($C266),"",IF(ISNUMBER(U266),IF(U266&gt;=0,U266,""),""))</f>
        <v/>
      </c>
      <c r="AW266" s="135" t="str">
        <f aca="false">IF(ISBLANK($C266),"",IF(V266=Constants!$B$3,TRUE(),IF(V266=Constants!$B$4,FALSE(),TRUE())))</f>
        <v/>
      </c>
      <c r="AX266" s="133" t="str">
        <f aca="false">IF(ISBLANK($C266),"",IF(ISNUMBER(W266),IF(W266&gt;=0,W266,""),""))</f>
        <v/>
      </c>
      <c r="AY266" s="133" t="str">
        <f aca="false">IF(ISBLANK($C266),"",IF(X266=Constants!$B$3,TRUE(),IF(X266=Constants!$B$4,FALSE(),FALSE())))</f>
        <v/>
      </c>
      <c r="AZ266" s="133" t="str">
        <f aca="false">IF(ISBLANK($C266),"",MIN(Constants!$B$31,MAX(0,IF(ISNUMBER(Y266),Y266*60,0)+IF(ISNUMBER(Z266),Z266,0))))</f>
        <v/>
      </c>
      <c r="BA266" s="133" t="str">
        <f aca="false">IF(ISBLANK($C266),"",IF(AA266=Constants!$B$3,TRUE(),IF(AA266=Constants!$B$4,FALSE(),FALSE())))</f>
        <v/>
      </c>
      <c r="BB266" s="132" t="str">
        <f aca="false">IF(ISBLANK($C266),"",AND($AL266,OR($AM266="",$AN266="",AND($AO266,$AP266=""))))</f>
        <v/>
      </c>
      <c r="BC266" s="135" t="str">
        <f aca="false">IF($BR266&lt;&gt;Constants!$B$8,"",IF($AL266,Constants!$B$21*$AN266+Constants!$B$22*IF($AO266,$AP266,Constants!$B$23),Constants!$B$24))</f>
        <v/>
      </c>
      <c r="BD266" s="136" t="str">
        <f aca="false">IF($BR266&lt;&gt;Constants!$B$8,"",Constants!$B$25*ABS($AD$9-IF($AL266,$AM266,0)))</f>
        <v/>
      </c>
      <c r="BE266" s="136" t="str">
        <f aca="false">IF($BR266&lt;&gt;Constants!$B$8,"",IF(AND($AL266,$AQ266,$AO266),Constants!$B$27,0))</f>
        <v/>
      </c>
      <c r="BF266" s="136" t="str">
        <f aca="false">IF($BR266&lt;&gt;Constants!$B$8,"",IF($AL266,($AI266-Constants!$B$29)*Constants!$B$28,0))</f>
        <v/>
      </c>
      <c r="BG266" s="136" t="str">
        <f aca="false">IF($BR266&lt;&gt;Constants!$B$8,"",IF($AK266,0,Constants!$B$15)+IF($AJ266,0,Constants!$B$16)+IF($AH266,0,Constants!$B$17))</f>
        <v/>
      </c>
      <c r="BH266" s="137" t="str">
        <f aca="false">IF($BR266&lt;&gt;Constants!$B$8,"",Constants!$B$20+SUM($BC266:$BG266))</f>
        <v/>
      </c>
      <c r="BI266" s="133" t="str">
        <f aca="false">IF($BR266&lt;&gt;Constants!$B$8,"",IF(OR($BP266&lt;$BH266,AND($BP266=$BH266,OR($BK266&lt;$BC266,AND($BK266=$BC266,OR($BL266&lt;$BD266,AND($BL266=$BD266,$AT266,$AL266,$AV266&lt;$AN266)))))),"-&gt;","&lt;-"))</f>
        <v/>
      </c>
      <c r="BJ266" s="132" t="str">
        <f aca="false">IF(ISBLANK($C266),"",AND($AT266,OR($AU266="",$AV266="",AND($AW266,$AX266=""))))</f>
        <v/>
      </c>
      <c r="BK266" s="135" t="str">
        <f aca="false">IF($BR266&lt;&gt;Constants!$B$8,"",IF($AT266,Constants!$B$21*$AV266+Constants!$B$22*IF($AW266,$AX266,Constants!$B$23),Constants!$B$24))</f>
        <v/>
      </c>
      <c r="BL266" s="136" t="str">
        <f aca="false">IF($BR266&lt;&gt;Constants!$B$8,"",Constants!$B$25*ABS($AD$9-IF($AT266,$AU266,0)))</f>
        <v/>
      </c>
      <c r="BM266" s="136" t="str">
        <f aca="false">IF($BR266&lt;&gt;Constants!$B$8,"",IF(AND($AT266,$AY266,$AW266),Constants!$B$27,0))</f>
        <v/>
      </c>
      <c r="BN266" s="136" t="str">
        <f aca="false">IF($BR266&lt;&gt;Constants!$B$8,"",IF($AT266,($AI266-Constants!$B$29)*Constants!$B$28,0))</f>
        <v/>
      </c>
      <c r="BO266" s="136" t="str">
        <f aca="false">IF($BR266&lt;&gt;Constants!$B$8,"",IF($AS266,0,Constants!$B$15)+IF($AR266,0,Constants!$B$16)+IF($AH266,0,Constants!$B$17))</f>
        <v/>
      </c>
      <c r="BP266" s="137" t="str">
        <f aca="false">IF($BR266&lt;&gt;Constants!$B$8,"",Constants!$B$20+SUM($BK266:$BO266))</f>
        <v/>
      </c>
      <c r="BQ266" s="133" t="str">
        <f aca="false">IF(ISBLANK($C266),"",IF(ISBLANK($D$7),$BQ$5,IF(NOT(ISNUMBER($D$7)),$BQ$6,"")))</f>
        <v/>
      </c>
      <c r="BR266" s="133" t="str">
        <f aca="false">IF(ISBLANK($C266),"",IF($BA266,Constants!$B$11,IF(COUNTA($E266:$AA266)=0,Constants!$B$10,IF(NOT($AG266),Constants!$B$9,IF(OR($BQ266&lt;&gt;"",$BB266,$BJ266),Constants!$B$12,Constants!$B$8)))))</f>
        <v/>
      </c>
      <c r="BS266" s="133" t="str">
        <f aca="false">IF(ISBLANK($C266),"",IF($BR266&lt;&gt;Constants!$B$8,$BR266,Constants!$B$13))</f>
        <v/>
      </c>
      <c r="BT266" s="136" t="str">
        <f aca="false">IF($BR266&lt;&gt;Constants!$B$8,"",IF($BI266="-&gt;",$BP266,$BH266))</f>
        <v/>
      </c>
      <c r="BU266" s="136" t="str">
        <f aca="false">IF($BR266&lt;&gt;Constants!$B$8,"",IF($AF266,0,Constants!$B$18))</f>
        <v/>
      </c>
      <c r="BV266" s="136" t="str">
        <f aca="false">IF($BR266&lt;&gt;Constants!$B$8,"",((Constants!$B$31-$AZ266)-Constants!$B$31)/Constants!$B$32)</f>
        <v/>
      </c>
      <c r="BW266" s="136" t="str">
        <f aca="false">IF(ISBLANK($C266),"",IF($BR266&lt;&gt;Constants!$B$8,$BR266,SUM($BT266:$BV266)))</f>
        <v/>
      </c>
      <c r="BX266" s="133" t="str">
        <f aca="false">IF(ISBLANK($C266),"",IF($BR266&lt;&gt;Constants!$B$8,$BR266,RANK($BW266,$BW$9:$BW$508,1)))</f>
        <v/>
      </c>
      <c r="BY266" s="136" t="str">
        <f aca="false">IF($BR266&lt;&gt;Constants!$B$8,"",IF($BI266="-&gt;",$BK266,$BC266))</f>
        <v/>
      </c>
      <c r="BZ266" s="133" t="str">
        <f aca="false">IF(ISBLANK($C266),"",IF($BR266&lt;&gt;Constants!$B$8,$BR266,IF(ISNUMBER($BY266),RANK($BY266,$BY$9:$BY$508,1),COUNT($BY$9:$BY$508)+1)))</f>
        <v/>
      </c>
      <c r="CA266" s="136" t="str">
        <f aca="false">IF($BR266&lt;&gt;Constants!$B$8,"",IF($BI266="-&gt;",$BL266,$BD266))</f>
        <v/>
      </c>
      <c r="CB266" s="133" t="str">
        <f aca="false">IF(ISBLANK($C266),"",IF($BR266&lt;&gt;Constants!$B$8,$BR266,IF(ISNUMBER($CA266),RANK($CA266,$CA$9:$CA$508,1),COUNT($CA$9:$CA$508)+1)))</f>
        <v/>
      </c>
      <c r="CC266" s="136" t="str">
        <f aca="false">IF($BR266&lt;&gt;Constants!$B$8,"",IF($BI266="-&gt;",IF($AT266,$AV266,""),IF($AL266,$AN266,"")))</f>
        <v/>
      </c>
      <c r="CD266" s="133" t="str">
        <f aca="false">IF(ISBLANK($C266),"",IF($BR266&lt;&gt;Constants!$B$8,$BR266,IF(ISNUMBER($CC266),RANK($CC266,$CC$9:$CC$508,1),COUNT($CC$9:$CC$508)+1)))</f>
        <v/>
      </c>
      <c r="CE266" s="136" t="str">
        <f aca="false">IF($BR266&lt;&gt;Constants!$B$8,"",IF(AND(NOT($AL266),NOT($AT266),$AJ266,$AK266,$AR266,$AS266),"",$AI266))</f>
        <v/>
      </c>
      <c r="CF266" s="133" t="str">
        <f aca="false">IF(ISBLANK($C266),"",IF($BR266&lt;&gt;Constants!$B$8,$BR266,IF(ISNUMBER($CE266),RANK($CE266,$CE$9:$CE$508,1),COUNT($CE$9:$CE$508)+1)))</f>
        <v/>
      </c>
      <c r="CG266" s="133" t="str">
        <f aca="false">IF(ISBLANK($C266),"",IF($BR266&lt;&gt;Constants!$B$8,$BR266,COUNTIFS($BX$9:$BX$508,"&lt;"&amp;$BX266)+COUNTIFS($BX$9:$BX$508,$BX266,$BZ$9:$BZ$508,"&lt;"&amp;$BZ266)+COUNTIFS($BX$9:$BX$508,$BX266,$BZ$9:$BZ$508,$BZ266,$CB$9:$CB$508,"&lt;"&amp;$CB266)+COUNTIFS($BX$9:$BX$508,$BX266,$BZ$9:$BZ$508,$BZ266,$CB$9:$CB$508,$CB266,$CD$9:$CD$508,"&lt;"&amp;$CD266)+COUNTIFS($BX$9:$BX$508,$BX266,$BZ$9:$BZ$508,$BZ266,$CB$9:$CB$508,$CB266,$CD$9:$CD$508,$CD266,$CF$9:$CF$508,"&lt;"&amp;$CF266)+1))</f>
        <v/>
      </c>
      <c r="CH266" s="133" t="str">
        <f aca="false">IF(ISBLANK($C266),"",IF($BR266&lt;&gt;Constants!$B$8,$BR266,$BX266-$CG266))</f>
        <v/>
      </c>
      <c r="CI266" s="138"/>
      <c r="CJ266" s="139"/>
      <c r="CK266" s="140" t="str">
        <f aca="false">IF(ISBLANK($C266),"",IF($BR266=Constants!$B$12,$BQ266,""))</f>
        <v/>
      </c>
      <c r="CL266" s="139" t="str">
        <f aca="false">IF(ISBLANK($C266),"",IF($BR266&lt;&gt;Constants!$B$8,"",IF($BI266="-&gt;",2,1)))</f>
        <v/>
      </c>
      <c r="CM266" s="141" t="str">
        <f aca="false">IF(ISBLANK($C266),"",IF($BR266&lt;&gt;Constants!$B$8,"",IF($BI266="-&gt;",$BK266,$BC266)))</f>
        <v/>
      </c>
      <c r="CN266" s="141" t="str">
        <f aca="false">IF(ISBLANK($C266),"",IF($BR266&lt;&gt;Constants!$B$8,"",IF($BI266="-&gt;",$BL266,$BD266)))</f>
        <v/>
      </c>
      <c r="CO266" s="141" t="str">
        <f aca="false">IF(ISBLANK($C266),"",IF($BR266&lt;&gt;Constants!$B$8,"",IF($BI266="-&gt;",$BM266+$BN266,$BE266+$BF266)+$BV266))</f>
        <v/>
      </c>
      <c r="CP266" s="141" t="str">
        <f aca="false">IF(ISBLANK($C266),"",IF($BR266&lt;&gt;Constants!$B$8,"",IF($BI266="-&gt;",$BO266,$BG266)+$BU266))</f>
        <v/>
      </c>
      <c r="CQ266" s="142" t="str">
        <f aca="false">IF(ISBLANK($C266),"",IF($BR266&lt;&gt;Constants!$B$8,$BR266,$BW266))</f>
        <v/>
      </c>
      <c r="CR266" s="143" t="str">
        <f aca="false">IF(ISBLANK($C266),"",$BS266)</f>
        <v/>
      </c>
      <c r="CS266" s="144" t="str">
        <f aca="false">IF(ISBLANK($C266),"",$CH266)</f>
        <v/>
      </c>
      <c r="CT266" s="144" t="str">
        <f aca="false">IF(ISBLANK($C266),"",$CG266)</f>
        <v/>
      </c>
      <c r="CU266" s="145" t="str">
        <f aca="false">IF(ISBLANK($C266),"",IFERROR(_xlfn.SWITCH($CT266,Constants!$B$11,COUNTA($C$9:$C$508)+2,Constants!$B$10,COUNTA($C$9:$C$508)+1,Constants!$B$9,COUNTA($C$9:$C$508)),$CT266))</f>
        <v/>
      </c>
      <c r="CV266" s="9"/>
      <c r="CW266" s="146" t="n">
        <f aca="false">IF(OR(ISNUMBER($CT266),$CT266=Constants!$B$11,$CT266=Constants!$B$9,$CT266=Constants!$B$10),1,0)</f>
        <v>0</v>
      </c>
      <c r="CX266" s="146" t="n">
        <v>258</v>
      </c>
      <c r="CY266" s="146" t="str">
        <f aca="false">IF(ISBLANK($C266),"",IF(ISNUMBER($CU266),$CU266+ROW($B266)/1000,""))</f>
        <v/>
      </c>
      <c r="CZ266" s="146" t="str">
        <f aca="false">IF(ISNUMBER($CY266),RANK($CY266,$CY$9:$CY$508,1),"")</f>
        <v/>
      </c>
      <c r="DA266" s="146" t="str">
        <f aca="false">IF(ISBLANK($C266),"",$B266)</f>
        <v/>
      </c>
      <c r="DB266" s="146" t="str">
        <f aca="false">IF(ISBLANK($C266),"",$C266)</f>
        <v/>
      </c>
      <c r="DC266" s="146" t="str">
        <f aca="false">IF(ISBLANK($C266),"",$D266)</f>
        <v/>
      </c>
      <c r="DD266" s="147" t="str">
        <f aca="false">$CR266</f>
        <v/>
      </c>
      <c r="DE266" s="148" t="str">
        <f aca="false">$CQ266</f>
        <v/>
      </c>
      <c r="DF266" s="146" t="str">
        <f aca="false">IF(ISBLANK($C266),"",$CT266)</f>
        <v/>
      </c>
      <c r="DG266" s="149" t="str">
        <f aca="false">IF($CX266&gt;$CW$8,"",VLOOKUP($CX266,$CZ$9:$DF$508,7,FALSE()))</f>
        <v/>
      </c>
      <c r="DH266" s="150" t="str">
        <f aca="false">IF($CX266&gt;$CW$8,"",VLOOKUP($CX266,$CZ$9:$DF$508,2,FALSE()))</f>
        <v/>
      </c>
      <c r="DI266" s="150" t="str">
        <f aca="false">IF($CX266&gt;$CW$8,"",VLOOKUP($CX266,$CZ$9:$DF$508,3,FALSE()))</f>
        <v/>
      </c>
      <c r="DJ266" s="150" t="str">
        <f aca="false">IF($CX266&gt;$CW$8,"",VLOOKUP($CX266,$CZ$9:$DF$508,4,FALSE()))</f>
        <v/>
      </c>
      <c r="DK266" s="150" t="str">
        <f aca="false">IF($CX266&gt;$CW$8,"",VLOOKUP($CX266,$CZ$9:$DF$508,5,FALSE()))</f>
        <v/>
      </c>
      <c r="DL266" s="151" t="str">
        <f aca="false">IF($CX266&gt;$CW$8,"",VLOOKUP($CX266,$CZ$9:$DF$508,6,FALSE()))</f>
        <v/>
      </c>
      <c r="DM266" s="75"/>
    </row>
    <row r="267" customFormat="false" ht="15.75" hidden="false" customHeight="false" outlineLevel="0" collapsed="false">
      <c r="A267" s="9"/>
      <c r="B267" s="77"/>
      <c r="C267" s="78"/>
      <c r="D267" s="167"/>
      <c r="E267" s="175"/>
      <c r="F267" s="169"/>
      <c r="G267" s="170"/>
      <c r="H267" s="170"/>
      <c r="I267" s="176"/>
      <c r="J267" s="173"/>
      <c r="K267" s="85"/>
      <c r="L267" s="86"/>
      <c r="M267" s="87"/>
      <c r="N267" s="173"/>
      <c r="O267" s="173"/>
      <c r="P267" s="175"/>
      <c r="Q267" s="173"/>
      <c r="R267" s="173"/>
      <c r="S267" s="85"/>
      <c r="T267" s="87"/>
      <c r="U267" s="87"/>
      <c r="V267" s="173"/>
      <c r="W267" s="173"/>
      <c r="X267" s="175"/>
      <c r="Y267" s="173"/>
      <c r="Z267" s="174"/>
      <c r="AA267" s="173"/>
      <c r="AB267" s="91"/>
      <c r="AC267" s="92"/>
      <c r="AD267" s="92"/>
      <c r="AE267" s="92"/>
      <c r="AF267" s="92" t="str">
        <f aca="false">IF(ISBLANK($C267),"",IF(E267=Constants!$B$3,TRUE(),IF(E267=Constants!$B$4,FALSE(),TRUE())))</f>
        <v/>
      </c>
      <c r="AG267" s="92" t="str">
        <f aca="false">IF(ISBLANK($C267),"",IF(F267=Constants!$B$3,TRUE(),IF(F267=Constants!$B$4,FALSE(),TRUE())))</f>
        <v/>
      </c>
      <c r="AH267" s="92" t="str">
        <f aca="false">IF(ISBLANK($C267),"",IF(G267=Constants!$B$3,TRUE(),IF(G267=Constants!$B$4,FALSE(),TRUE())))</f>
        <v/>
      </c>
      <c r="AI267" s="92" t="str">
        <f aca="false">IF(ISBLANK($C267),"",IF(AND(ISNUMBER(H267),H267&gt;=0),H267,Constants!$B$29))</f>
        <v/>
      </c>
      <c r="AJ267" s="92" t="str">
        <f aca="false">IF(ISBLANK($C267),"",IF(I267=Constants!$B$3,TRUE(),IF(I267=Constants!$B$4,FALSE(),TRUE())))</f>
        <v/>
      </c>
      <c r="AK267" s="92" t="str">
        <f aca="false">IF(ISBLANK($C267),"",IF(J267=Constants!$B$3,TRUE(),IF(J267=Constants!$B$4,FALSE(),TRUE())))</f>
        <v/>
      </c>
      <c r="AL267" s="92" t="str">
        <f aca="false">IF(ISBLANK($C267),"",IF(K267=Constants!$B$5,TRUE(),IF(K267=Constants!$B$6,FALSE(),COUNTA(L267:P267)&gt;0)))</f>
        <v/>
      </c>
      <c r="AM267" s="94" t="str">
        <f aca="false">IF(ISBLANK($C267),"",IF(ISNUMBER(L267),IF(L267&gt;=0,L267,""),""))</f>
        <v/>
      </c>
      <c r="AN267" s="93" t="str">
        <f aca="false">IF(ISBLANK($C267),"",IF(ISNUMBER(M267),IF(M267&gt;=0,M267,""),""))</f>
        <v/>
      </c>
      <c r="AO267" s="93" t="str">
        <f aca="false">IF(ISBLANK($C267),"",IF(N267=Constants!$B$3,TRUE(),IF(N267=Constants!$B$4,FALSE(),TRUE())))</f>
        <v/>
      </c>
      <c r="AP267" s="92" t="str">
        <f aca="false">IF(ISBLANK($C267),"",IF(ISNUMBER(O267),IF(O267&gt;=0,O267,""),""))</f>
        <v/>
      </c>
      <c r="AQ267" s="92" t="str">
        <f aca="false">IF(ISBLANK($C267),"",IF(P267=Constants!$B$3,TRUE(),IF(P267=Constants!$B$4,FALSE(),FALSE())))</f>
        <v/>
      </c>
      <c r="AR267" s="92" t="str">
        <f aca="false">IF(ISBLANK($C267),"",IF(Q267=Constants!$B$3,TRUE(),IF(Q267=Constants!$B$4,FALSE(),TRUE())))</f>
        <v/>
      </c>
      <c r="AS267" s="92" t="str">
        <f aca="false">IF(ISBLANK($C267),"",IF(R267=Constants!$B$3,TRUE(),IF(R267=Constants!$B$4,FALSE(),TRUE())))</f>
        <v/>
      </c>
      <c r="AT267" s="92" t="str">
        <f aca="false">IF(ISBLANK($C267),"",IF(S267=Constants!$B$5,TRUE(),IF(S267=Constants!$B$6,FALSE(),COUNTA(T267:X267)&gt;0)))</f>
        <v/>
      </c>
      <c r="AU267" s="94" t="str">
        <f aca="false">IF(ISBLANK($C267),"",IF(ISNUMBER(T267),IF(T267&gt;=0,T267,""),""))</f>
        <v/>
      </c>
      <c r="AV267" s="93" t="str">
        <f aca="false">IF(ISBLANK($C267),"",IF(ISNUMBER(U267),IF(U267&gt;=0,U267,""),""))</f>
        <v/>
      </c>
      <c r="AW267" s="93" t="str">
        <f aca="false">IF(ISBLANK($C267),"",IF(V267=Constants!$B$3,TRUE(),IF(V267=Constants!$B$4,FALSE(),TRUE())))</f>
        <v/>
      </c>
      <c r="AX267" s="92" t="str">
        <f aca="false">IF(ISBLANK($C267),"",IF(ISNUMBER(W267),IF(W267&gt;=0,W267,""),""))</f>
        <v/>
      </c>
      <c r="AY267" s="92" t="str">
        <f aca="false">IF(ISBLANK($C267),"",IF(X267=Constants!$B$3,TRUE(),IF(X267=Constants!$B$4,FALSE(),FALSE())))</f>
        <v/>
      </c>
      <c r="AZ267" s="92" t="str">
        <f aca="false">IF(ISBLANK($C267),"",MIN(Constants!$B$31,MAX(0,IF(ISNUMBER(Y267),Y267*60,0)+IF(ISNUMBER(Z267),Z267,0))))</f>
        <v/>
      </c>
      <c r="BA267" s="92" t="str">
        <f aca="false">IF(ISBLANK($C267),"",IF(AA267=Constants!$B$3,TRUE(),IF(AA267=Constants!$B$4,FALSE(),FALSE())))</f>
        <v/>
      </c>
      <c r="BB267" s="91" t="str">
        <f aca="false">IF(ISBLANK($C267),"",AND($AL267,OR($AM267="",$AN267="",AND($AO267,$AP267=""))))</f>
        <v/>
      </c>
      <c r="BC267" s="93" t="str">
        <f aca="false">IF($BR267&lt;&gt;Constants!$B$8,"",IF($AL267,Constants!$B$21*$AN267+Constants!$B$22*IF($AO267,$AP267,Constants!$B$23),Constants!$B$24))</f>
        <v/>
      </c>
      <c r="BD267" s="96" t="str">
        <f aca="false">IF($BR267&lt;&gt;Constants!$B$8,"",Constants!$B$25*ABS($AD$9-IF($AL267,$AM267,0)))</f>
        <v/>
      </c>
      <c r="BE267" s="96" t="str">
        <f aca="false">IF($BR267&lt;&gt;Constants!$B$8,"",IF(AND($AL267,$AQ267,$AO267),Constants!$B$27,0))</f>
        <v/>
      </c>
      <c r="BF267" s="96" t="str">
        <f aca="false">IF($BR267&lt;&gt;Constants!$B$8,"",IF($AL267,($AI267-Constants!$B$29)*Constants!$B$28,0))</f>
        <v/>
      </c>
      <c r="BG267" s="96" t="str">
        <f aca="false">IF($BR267&lt;&gt;Constants!$B$8,"",IF($AK267,0,Constants!$B$15)+IF($AJ267,0,Constants!$B$16)+IF($AH267,0,Constants!$B$17))</f>
        <v/>
      </c>
      <c r="BH267" s="97" t="str">
        <f aca="false">IF($BR267&lt;&gt;Constants!$B$8,"",Constants!$B$20+SUM($BC267:$BG267))</f>
        <v/>
      </c>
      <c r="BI267" s="92" t="str">
        <f aca="false">IF($BR267&lt;&gt;Constants!$B$8,"",IF(OR($BP267&lt;$BH267,AND($BP267=$BH267,OR($BK267&lt;$BC267,AND($BK267=$BC267,OR($BL267&lt;$BD267,AND($BL267=$BD267,$AT267,$AL267,$AV267&lt;$AN267)))))),"-&gt;","&lt;-"))</f>
        <v/>
      </c>
      <c r="BJ267" s="91" t="str">
        <f aca="false">IF(ISBLANK($C267),"",AND($AT267,OR($AU267="",$AV267="",AND($AW267,$AX267=""))))</f>
        <v/>
      </c>
      <c r="BK267" s="93" t="str">
        <f aca="false">IF($BR267&lt;&gt;Constants!$B$8,"",IF($AT267,Constants!$B$21*$AV267+Constants!$B$22*IF($AW267,$AX267,Constants!$B$23),Constants!$B$24))</f>
        <v/>
      </c>
      <c r="BL267" s="96" t="str">
        <f aca="false">IF($BR267&lt;&gt;Constants!$B$8,"",Constants!$B$25*ABS($AD$9-IF($AT267,$AU267,0)))</f>
        <v/>
      </c>
      <c r="BM267" s="96" t="str">
        <f aca="false">IF($BR267&lt;&gt;Constants!$B$8,"",IF(AND($AT267,$AY267,$AW267),Constants!$B$27,0))</f>
        <v/>
      </c>
      <c r="BN267" s="96" t="str">
        <f aca="false">IF($BR267&lt;&gt;Constants!$B$8,"",IF($AT267,($AI267-Constants!$B$29)*Constants!$B$28,0))</f>
        <v/>
      </c>
      <c r="BO267" s="96" t="str">
        <f aca="false">IF($BR267&lt;&gt;Constants!$B$8,"",IF($AS267,0,Constants!$B$15)+IF($AR267,0,Constants!$B$16)+IF($AH267,0,Constants!$B$17))</f>
        <v/>
      </c>
      <c r="BP267" s="97" t="str">
        <f aca="false">IF($BR267&lt;&gt;Constants!$B$8,"",Constants!$B$20+SUM($BK267:$BO267))</f>
        <v/>
      </c>
      <c r="BQ267" s="92" t="str">
        <f aca="false">IF(ISBLANK($C267),"",IF(ISBLANK($D$7),$BQ$5,IF(NOT(ISNUMBER($D$7)),$BQ$6,"")))</f>
        <v/>
      </c>
      <c r="BR267" s="92" t="str">
        <f aca="false">IF(ISBLANK($C267),"",IF($BA267,Constants!$B$11,IF(COUNTA($E267:$AA267)=0,Constants!$B$10,IF(NOT($AG267),Constants!$B$9,IF(OR($BQ267&lt;&gt;"",$BB267,$BJ267),Constants!$B$12,Constants!$B$8)))))</f>
        <v/>
      </c>
      <c r="BS267" s="92" t="str">
        <f aca="false">IF(ISBLANK($C267),"",IF($BR267&lt;&gt;Constants!$B$8,$BR267,Constants!$B$13))</f>
        <v/>
      </c>
      <c r="BT267" s="96" t="str">
        <f aca="false">IF($BR267&lt;&gt;Constants!$B$8,"",IF($BI267="-&gt;",$BP267,$BH267))</f>
        <v/>
      </c>
      <c r="BU267" s="96" t="str">
        <f aca="false">IF($BR267&lt;&gt;Constants!$B$8,"",IF($AF267,0,Constants!$B$18))</f>
        <v/>
      </c>
      <c r="BV267" s="96" t="str">
        <f aca="false">IF($BR267&lt;&gt;Constants!$B$8,"",((Constants!$B$31-$AZ267)-Constants!$B$31)/Constants!$B$32)</f>
        <v/>
      </c>
      <c r="BW267" s="96" t="str">
        <f aca="false">IF(ISBLANK($C267),"",IF($BR267&lt;&gt;Constants!$B$8,$BR267,SUM($BT267:$BV267)))</f>
        <v/>
      </c>
      <c r="BX267" s="92" t="str">
        <f aca="false">IF(ISBLANK($C267),"",IF($BR267&lt;&gt;Constants!$B$8,$BR267,RANK($BW267,$BW$9:$BW$508,1)))</f>
        <v/>
      </c>
      <c r="BY267" s="96" t="str">
        <f aca="false">IF($BR267&lt;&gt;Constants!$B$8,"",IF($BI267="-&gt;",$BK267,$BC267))</f>
        <v/>
      </c>
      <c r="BZ267" s="92" t="str">
        <f aca="false">IF(ISBLANK($C267),"",IF($BR267&lt;&gt;Constants!$B$8,$BR267,IF(ISNUMBER($BY267),RANK($BY267,$BY$9:$BY$508,1),COUNT($BY$9:$BY$508)+1)))</f>
        <v/>
      </c>
      <c r="CA267" s="96" t="str">
        <f aca="false">IF($BR267&lt;&gt;Constants!$B$8,"",IF($BI267="-&gt;",$BL267,$BD267))</f>
        <v/>
      </c>
      <c r="CB267" s="92" t="str">
        <f aca="false">IF(ISBLANK($C267),"",IF($BR267&lt;&gt;Constants!$B$8,$BR267,IF(ISNUMBER($CA267),RANK($CA267,$CA$9:$CA$508,1),COUNT($CA$9:$CA$508)+1)))</f>
        <v/>
      </c>
      <c r="CC267" s="96" t="str">
        <f aca="false">IF($BR267&lt;&gt;Constants!$B$8,"",IF($BI267="-&gt;",IF($AT267,$AV267,""),IF($AL267,$AN267,"")))</f>
        <v/>
      </c>
      <c r="CD267" s="92" t="str">
        <f aca="false">IF(ISBLANK($C267),"",IF($BR267&lt;&gt;Constants!$B$8,$BR267,IF(ISNUMBER($CC267),RANK($CC267,$CC$9:$CC$508,1),COUNT($CC$9:$CC$508)+1)))</f>
        <v/>
      </c>
      <c r="CE267" s="96" t="str">
        <f aca="false">IF($BR267&lt;&gt;Constants!$B$8,"",IF(AND(NOT($AL267),NOT($AT267),$AJ267,$AK267,$AR267,$AS267),"",$AI267))</f>
        <v/>
      </c>
      <c r="CF267" s="92" t="str">
        <f aca="false">IF(ISBLANK($C267),"",IF($BR267&lt;&gt;Constants!$B$8,$BR267,IF(ISNUMBER($CE267),RANK($CE267,$CE$9:$CE$508,1),COUNT($CE$9:$CE$508)+1)))</f>
        <v/>
      </c>
      <c r="CG267" s="92" t="str">
        <f aca="false">IF(ISBLANK($C267),"",IF($BR267&lt;&gt;Constants!$B$8,$BR267,COUNTIFS($BX$9:$BX$508,"&lt;"&amp;$BX267)+COUNTIFS($BX$9:$BX$508,$BX267,$BZ$9:$BZ$508,"&lt;"&amp;$BZ267)+COUNTIFS($BX$9:$BX$508,$BX267,$BZ$9:$BZ$508,$BZ267,$CB$9:$CB$508,"&lt;"&amp;$CB267)+COUNTIFS($BX$9:$BX$508,$BX267,$BZ$9:$BZ$508,$BZ267,$CB$9:$CB$508,$CB267,$CD$9:$CD$508,"&lt;"&amp;$CD267)+COUNTIFS($BX$9:$BX$508,$BX267,$BZ$9:$BZ$508,$BZ267,$CB$9:$CB$508,$CB267,$CD$9:$CD$508,$CD267,$CF$9:$CF$508,"&lt;"&amp;$CF267)+1))</f>
        <v/>
      </c>
      <c r="CH267" s="92" t="str">
        <f aca="false">IF(ISBLANK($C267),"",IF($BR267&lt;&gt;Constants!$B$8,$BR267,$BX267-$CG267))</f>
        <v/>
      </c>
      <c r="CI267" s="98"/>
      <c r="CJ267" s="99"/>
      <c r="CK267" s="100" t="str">
        <f aca="false">IF(ISBLANK($C267),"",IF($BR267=Constants!$B$12,$BQ267,""))</f>
        <v/>
      </c>
      <c r="CL267" s="99" t="str">
        <f aca="false">IF(ISBLANK($C267),"",IF($BR267&lt;&gt;Constants!$B$8,"",IF($BI267="-&gt;",2,1)))</f>
        <v/>
      </c>
      <c r="CM267" s="101" t="str">
        <f aca="false">IF(ISBLANK($C267),"",IF($BR267&lt;&gt;Constants!$B$8,"",IF($BI267="-&gt;",$BK267,$BC267)))</f>
        <v/>
      </c>
      <c r="CN267" s="101" t="str">
        <f aca="false">IF(ISBLANK($C267),"",IF($BR267&lt;&gt;Constants!$B$8,"",IF($BI267="-&gt;",$BL267,$BD267)))</f>
        <v/>
      </c>
      <c r="CO267" s="101" t="str">
        <f aca="false">IF(ISBLANK($C267),"",IF($BR267&lt;&gt;Constants!$B$8,"",IF($BI267="-&gt;",$BM267+$BN267,$BE267+$BF267)+$BV267))</f>
        <v/>
      </c>
      <c r="CP267" s="101" t="str">
        <f aca="false">IF(ISBLANK($C267),"",IF($BR267&lt;&gt;Constants!$B$8,"",IF($BI267="-&gt;",$BO267,$BG267)+$BU267))</f>
        <v/>
      </c>
      <c r="CQ267" s="102" t="str">
        <f aca="false">IF(ISBLANK($C267),"",IF($BR267&lt;&gt;Constants!$B$8,$BR267,$BW267))</f>
        <v/>
      </c>
      <c r="CR267" s="103" t="str">
        <f aca="false">IF(ISBLANK($C267),"",$BS267)</f>
        <v/>
      </c>
      <c r="CS267" s="104" t="str">
        <f aca="false">IF(ISBLANK($C267),"",$CH267)</f>
        <v/>
      </c>
      <c r="CT267" s="104" t="str">
        <f aca="false">IF(ISBLANK($C267),"",$CG267)</f>
        <v/>
      </c>
      <c r="CU267" s="105" t="str">
        <f aca="false">IF(ISBLANK($C267),"",IFERROR(_xlfn.SWITCH($CT267,Constants!$B$11,COUNTA($C$9:$C$508)+2,Constants!$B$10,COUNTA($C$9:$C$508)+1,Constants!$B$9,COUNTA($C$9:$C$508)),$CT267))</f>
        <v/>
      </c>
      <c r="CV267" s="9"/>
      <c r="CW267" s="106" t="n">
        <f aca="false">IF(OR(ISNUMBER($CT267),$CT267=Constants!$B$11,$CT267=Constants!$B$9,$CT267=Constants!$B$10),1,0)</f>
        <v>0</v>
      </c>
      <c r="CX267" s="106" t="n">
        <v>259</v>
      </c>
      <c r="CY267" s="106" t="str">
        <f aca="false">IF(ISBLANK($C267),"",IF(ISNUMBER($CU267),$CU267+ROW($B267)/1000,""))</f>
        <v/>
      </c>
      <c r="CZ267" s="106" t="str">
        <f aca="false">IF(ISNUMBER($CY267),RANK($CY267,$CY$9:$CY$508,1),"")</f>
        <v/>
      </c>
      <c r="DA267" s="106" t="str">
        <f aca="false">IF(ISBLANK($C267),"",$B267)</f>
        <v/>
      </c>
      <c r="DB267" s="106" t="str">
        <f aca="false">IF(ISBLANK($C267),"",$C267)</f>
        <v/>
      </c>
      <c r="DC267" s="106" t="str">
        <f aca="false">IF(ISBLANK($C267),"",$D267)</f>
        <v/>
      </c>
      <c r="DD267" s="107" t="str">
        <f aca="false">$CR267</f>
        <v/>
      </c>
      <c r="DE267" s="108" t="str">
        <f aca="false">$CQ267</f>
        <v/>
      </c>
      <c r="DF267" s="106" t="str">
        <f aca="false">IF(ISBLANK($C267),"",$CT267)</f>
        <v/>
      </c>
      <c r="DG267" s="109" t="str">
        <f aca="false">IF($CX267&gt;$CW$8,"",VLOOKUP($CX267,$CZ$9:$DF$508,7,FALSE()))</f>
        <v/>
      </c>
      <c r="DH267" s="110" t="str">
        <f aca="false">IF($CX267&gt;$CW$8,"",VLOOKUP($CX267,$CZ$9:$DF$508,2,FALSE()))</f>
        <v/>
      </c>
      <c r="DI267" s="110" t="str">
        <f aca="false">IF($CX267&gt;$CW$8,"",VLOOKUP($CX267,$CZ$9:$DF$508,3,FALSE()))</f>
        <v/>
      </c>
      <c r="DJ267" s="110" t="str">
        <f aca="false">IF($CX267&gt;$CW$8,"",VLOOKUP($CX267,$CZ$9:$DF$508,4,FALSE()))</f>
        <v/>
      </c>
      <c r="DK267" s="110" t="str">
        <f aca="false">IF($CX267&gt;$CW$8,"",VLOOKUP($CX267,$CZ$9:$DF$508,5,FALSE()))</f>
        <v/>
      </c>
      <c r="DL267" s="111" t="str">
        <f aca="false">IF($CX267&gt;$CW$8,"",VLOOKUP($CX267,$CZ$9:$DF$508,6,FALSE()))</f>
        <v/>
      </c>
      <c r="DM267" s="75"/>
    </row>
    <row r="268" customFormat="false" ht="15.75" hidden="false" customHeight="false" outlineLevel="0" collapsed="false">
      <c r="A268" s="9"/>
      <c r="B268" s="77"/>
      <c r="C268" s="78"/>
      <c r="D268" s="167"/>
      <c r="E268" s="175"/>
      <c r="F268" s="169"/>
      <c r="G268" s="170"/>
      <c r="H268" s="170"/>
      <c r="I268" s="176"/>
      <c r="J268" s="173"/>
      <c r="K268" s="85"/>
      <c r="L268" s="86"/>
      <c r="M268" s="87"/>
      <c r="N268" s="173"/>
      <c r="O268" s="173"/>
      <c r="P268" s="175"/>
      <c r="Q268" s="173"/>
      <c r="R268" s="173"/>
      <c r="S268" s="85"/>
      <c r="T268" s="87"/>
      <c r="U268" s="87"/>
      <c r="V268" s="173"/>
      <c r="W268" s="173"/>
      <c r="X268" s="175"/>
      <c r="Y268" s="173"/>
      <c r="Z268" s="174"/>
      <c r="AA268" s="173"/>
      <c r="AB268" s="91"/>
      <c r="AC268" s="92"/>
      <c r="AD268" s="92"/>
      <c r="AE268" s="92"/>
      <c r="AF268" s="92" t="str">
        <f aca="false">IF(ISBLANK($C268),"",IF(E268=Constants!$B$3,TRUE(),IF(E268=Constants!$B$4,FALSE(),TRUE())))</f>
        <v/>
      </c>
      <c r="AG268" s="92" t="str">
        <f aca="false">IF(ISBLANK($C268),"",IF(F268=Constants!$B$3,TRUE(),IF(F268=Constants!$B$4,FALSE(),TRUE())))</f>
        <v/>
      </c>
      <c r="AH268" s="92" t="str">
        <f aca="false">IF(ISBLANK($C268),"",IF(G268=Constants!$B$3,TRUE(),IF(G268=Constants!$B$4,FALSE(),TRUE())))</f>
        <v/>
      </c>
      <c r="AI268" s="92" t="str">
        <f aca="false">IF(ISBLANK($C268),"",IF(AND(ISNUMBER(H268),H268&gt;=0),H268,Constants!$B$29))</f>
        <v/>
      </c>
      <c r="AJ268" s="92" t="str">
        <f aca="false">IF(ISBLANK($C268),"",IF(I268=Constants!$B$3,TRUE(),IF(I268=Constants!$B$4,FALSE(),TRUE())))</f>
        <v/>
      </c>
      <c r="AK268" s="92" t="str">
        <f aca="false">IF(ISBLANK($C268),"",IF(J268=Constants!$B$3,TRUE(),IF(J268=Constants!$B$4,FALSE(),TRUE())))</f>
        <v/>
      </c>
      <c r="AL268" s="92" t="str">
        <f aca="false">IF(ISBLANK($C268),"",IF(K268=Constants!$B$5,TRUE(),IF(K268=Constants!$B$6,FALSE(),COUNTA(L268:P268)&gt;0)))</f>
        <v/>
      </c>
      <c r="AM268" s="94" t="str">
        <f aca="false">IF(ISBLANK($C268),"",IF(ISNUMBER(L268),IF(L268&gt;=0,L268,""),""))</f>
        <v/>
      </c>
      <c r="AN268" s="93" t="str">
        <f aca="false">IF(ISBLANK($C268),"",IF(ISNUMBER(M268),IF(M268&gt;=0,M268,""),""))</f>
        <v/>
      </c>
      <c r="AO268" s="93" t="str">
        <f aca="false">IF(ISBLANK($C268),"",IF(N268=Constants!$B$3,TRUE(),IF(N268=Constants!$B$4,FALSE(),TRUE())))</f>
        <v/>
      </c>
      <c r="AP268" s="92" t="str">
        <f aca="false">IF(ISBLANK($C268),"",IF(ISNUMBER(O268),IF(O268&gt;=0,O268,""),""))</f>
        <v/>
      </c>
      <c r="AQ268" s="92" t="str">
        <f aca="false">IF(ISBLANK($C268),"",IF(P268=Constants!$B$3,TRUE(),IF(P268=Constants!$B$4,FALSE(),FALSE())))</f>
        <v/>
      </c>
      <c r="AR268" s="92" t="str">
        <f aca="false">IF(ISBLANK($C268),"",IF(Q268=Constants!$B$3,TRUE(),IF(Q268=Constants!$B$4,FALSE(),TRUE())))</f>
        <v/>
      </c>
      <c r="AS268" s="92" t="str">
        <f aca="false">IF(ISBLANK($C268),"",IF(R268=Constants!$B$3,TRUE(),IF(R268=Constants!$B$4,FALSE(),TRUE())))</f>
        <v/>
      </c>
      <c r="AT268" s="92" t="str">
        <f aca="false">IF(ISBLANK($C268),"",IF(S268=Constants!$B$5,TRUE(),IF(S268=Constants!$B$6,FALSE(),COUNTA(T268:X268)&gt;0)))</f>
        <v/>
      </c>
      <c r="AU268" s="94" t="str">
        <f aca="false">IF(ISBLANK($C268),"",IF(ISNUMBER(T268),IF(T268&gt;=0,T268,""),""))</f>
        <v/>
      </c>
      <c r="AV268" s="93" t="str">
        <f aca="false">IF(ISBLANK($C268),"",IF(ISNUMBER(U268),IF(U268&gt;=0,U268,""),""))</f>
        <v/>
      </c>
      <c r="AW268" s="93" t="str">
        <f aca="false">IF(ISBLANK($C268),"",IF(V268=Constants!$B$3,TRUE(),IF(V268=Constants!$B$4,FALSE(),TRUE())))</f>
        <v/>
      </c>
      <c r="AX268" s="92" t="str">
        <f aca="false">IF(ISBLANK($C268),"",IF(ISNUMBER(W268),IF(W268&gt;=0,W268,""),""))</f>
        <v/>
      </c>
      <c r="AY268" s="92" t="str">
        <f aca="false">IF(ISBLANK($C268),"",IF(X268=Constants!$B$3,TRUE(),IF(X268=Constants!$B$4,FALSE(),FALSE())))</f>
        <v/>
      </c>
      <c r="AZ268" s="92" t="str">
        <f aca="false">IF(ISBLANK($C268),"",MIN(Constants!$B$31,MAX(0,IF(ISNUMBER(Y268),Y268*60,0)+IF(ISNUMBER(Z268),Z268,0))))</f>
        <v/>
      </c>
      <c r="BA268" s="92" t="str">
        <f aca="false">IF(ISBLANK($C268),"",IF(AA268=Constants!$B$3,TRUE(),IF(AA268=Constants!$B$4,FALSE(),FALSE())))</f>
        <v/>
      </c>
      <c r="BB268" s="91" t="str">
        <f aca="false">IF(ISBLANK($C268),"",AND($AL268,OR($AM268="",$AN268="",AND($AO268,$AP268=""))))</f>
        <v/>
      </c>
      <c r="BC268" s="93" t="str">
        <f aca="false">IF($BR268&lt;&gt;Constants!$B$8,"",IF($AL268,Constants!$B$21*$AN268+Constants!$B$22*IF($AO268,$AP268,Constants!$B$23),Constants!$B$24))</f>
        <v/>
      </c>
      <c r="BD268" s="96" t="str">
        <f aca="false">IF($BR268&lt;&gt;Constants!$B$8,"",Constants!$B$25*ABS($AD$9-IF($AL268,$AM268,0)))</f>
        <v/>
      </c>
      <c r="BE268" s="96" t="str">
        <f aca="false">IF($BR268&lt;&gt;Constants!$B$8,"",IF(AND($AL268,$AQ268,$AO268),Constants!$B$27,0))</f>
        <v/>
      </c>
      <c r="BF268" s="96" t="str">
        <f aca="false">IF($BR268&lt;&gt;Constants!$B$8,"",IF($AL268,($AI268-Constants!$B$29)*Constants!$B$28,0))</f>
        <v/>
      </c>
      <c r="BG268" s="96" t="str">
        <f aca="false">IF($BR268&lt;&gt;Constants!$B$8,"",IF($AK268,0,Constants!$B$15)+IF($AJ268,0,Constants!$B$16)+IF($AH268,0,Constants!$B$17))</f>
        <v/>
      </c>
      <c r="BH268" s="97" t="str">
        <f aca="false">IF($BR268&lt;&gt;Constants!$B$8,"",Constants!$B$20+SUM($BC268:$BG268))</f>
        <v/>
      </c>
      <c r="BI268" s="92" t="str">
        <f aca="false">IF($BR268&lt;&gt;Constants!$B$8,"",IF(OR($BP268&lt;$BH268,AND($BP268=$BH268,OR($BK268&lt;$BC268,AND($BK268=$BC268,OR($BL268&lt;$BD268,AND($BL268=$BD268,$AT268,$AL268,$AV268&lt;$AN268)))))),"-&gt;","&lt;-"))</f>
        <v/>
      </c>
      <c r="BJ268" s="91" t="str">
        <f aca="false">IF(ISBLANK($C268),"",AND($AT268,OR($AU268="",$AV268="",AND($AW268,$AX268=""))))</f>
        <v/>
      </c>
      <c r="BK268" s="93" t="str">
        <f aca="false">IF($BR268&lt;&gt;Constants!$B$8,"",IF($AT268,Constants!$B$21*$AV268+Constants!$B$22*IF($AW268,$AX268,Constants!$B$23),Constants!$B$24))</f>
        <v/>
      </c>
      <c r="BL268" s="96" t="str">
        <f aca="false">IF($BR268&lt;&gt;Constants!$B$8,"",Constants!$B$25*ABS($AD$9-IF($AT268,$AU268,0)))</f>
        <v/>
      </c>
      <c r="BM268" s="96" t="str">
        <f aca="false">IF($BR268&lt;&gt;Constants!$B$8,"",IF(AND($AT268,$AY268,$AW268),Constants!$B$27,0))</f>
        <v/>
      </c>
      <c r="BN268" s="96" t="str">
        <f aca="false">IF($BR268&lt;&gt;Constants!$B$8,"",IF($AT268,($AI268-Constants!$B$29)*Constants!$B$28,0))</f>
        <v/>
      </c>
      <c r="BO268" s="96" t="str">
        <f aca="false">IF($BR268&lt;&gt;Constants!$B$8,"",IF($AS268,0,Constants!$B$15)+IF($AR268,0,Constants!$B$16)+IF($AH268,0,Constants!$B$17))</f>
        <v/>
      </c>
      <c r="BP268" s="97" t="str">
        <f aca="false">IF($BR268&lt;&gt;Constants!$B$8,"",Constants!$B$20+SUM($BK268:$BO268))</f>
        <v/>
      </c>
      <c r="BQ268" s="92" t="str">
        <f aca="false">IF(ISBLANK($C268),"",IF(ISBLANK($D$7),$BQ$5,IF(NOT(ISNUMBER($D$7)),$BQ$6,"")))</f>
        <v/>
      </c>
      <c r="BR268" s="92" t="str">
        <f aca="false">IF(ISBLANK($C268),"",IF($BA268,Constants!$B$11,IF(COUNTA($E268:$AA268)=0,Constants!$B$10,IF(NOT($AG268),Constants!$B$9,IF(OR($BQ268&lt;&gt;"",$BB268,$BJ268),Constants!$B$12,Constants!$B$8)))))</f>
        <v/>
      </c>
      <c r="BS268" s="92" t="str">
        <f aca="false">IF(ISBLANK($C268),"",IF($BR268&lt;&gt;Constants!$B$8,$BR268,Constants!$B$13))</f>
        <v/>
      </c>
      <c r="BT268" s="96" t="str">
        <f aca="false">IF($BR268&lt;&gt;Constants!$B$8,"",IF($BI268="-&gt;",$BP268,$BH268))</f>
        <v/>
      </c>
      <c r="BU268" s="96" t="str">
        <f aca="false">IF($BR268&lt;&gt;Constants!$B$8,"",IF($AF268,0,Constants!$B$18))</f>
        <v/>
      </c>
      <c r="BV268" s="96" t="str">
        <f aca="false">IF($BR268&lt;&gt;Constants!$B$8,"",((Constants!$B$31-$AZ268)-Constants!$B$31)/Constants!$B$32)</f>
        <v/>
      </c>
      <c r="BW268" s="96" t="str">
        <f aca="false">IF(ISBLANK($C268),"",IF($BR268&lt;&gt;Constants!$B$8,$BR268,SUM($BT268:$BV268)))</f>
        <v/>
      </c>
      <c r="BX268" s="92" t="str">
        <f aca="false">IF(ISBLANK($C268),"",IF($BR268&lt;&gt;Constants!$B$8,$BR268,RANK($BW268,$BW$9:$BW$508,1)))</f>
        <v/>
      </c>
      <c r="BY268" s="96" t="str">
        <f aca="false">IF($BR268&lt;&gt;Constants!$B$8,"",IF($BI268="-&gt;",$BK268,$BC268))</f>
        <v/>
      </c>
      <c r="BZ268" s="92" t="str">
        <f aca="false">IF(ISBLANK($C268),"",IF($BR268&lt;&gt;Constants!$B$8,$BR268,IF(ISNUMBER($BY268),RANK($BY268,$BY$9:$BY$508,1),COUNT($BY$9:$BY$508)+1)))</f>
        <v/>
      </c>
      <c r="CA268" s="96" t="str">
        <f aca="false">IF($BR268&lt;&gt;Constants!$B$8,"",IF($BI268="-&gt;",$BL268,$BD268))</f>
        <v/>
      </c>
      <c r="CB268" s="92" t="str">
        <f aca="false">IF(ISBLANK($C268),"",IF($BR268&lt;&gt;Constants!$B$8,$BR268,IF(ISNUMBER($CA268),RANK($CA268,$CA$9:$CA$508,1),COUNT($CA$9:$CA$508)+1)))</f>
        <v/>
      </c>
      <c r="CC268" s="96" t="str">
        <f aca="false">IF($BR268&lt;&gt;Constants!$B$8,"",IF($BI268="-&gt;",IF($AT268,$AV268,""),IF($AL268,$AN268,"")))</f>
        <v/>
      </c>
      <c r="CD268" s="92" t="str">
        <f aca="false">IF(ISBLANK($C268),"",IF($BR268&lt;&gt;Constants!$B$8,$BR268,IF(ISNUMBER($CC268),RANK($CC268,$CC$9:$CC$508,1),COUNT($CC$9:$CC$508)+1)))</f>
        <v/>
      </c>
      <c r="CE268" s="96" t="str">
        <f aca="false">IF($BR268&lt;&gt;Constants!$B$8,"",IF(AND(NOT($AL268),NOT($AT268),$AJ268,$AK268,$AR268,$AS268),"",$AI268))</f>
        <v/>
      </c>
      <c r="CF268" s="92" t="str">
        <f aca="false">IF(ISBLANK($C268),"",IF($BR268&lt;&gt;Constants!$B$8,$BR268,IF(ISNUMBER($CE268),RANK($CE268,$CE$9:$CE$508,1),COUNT($CE$9:$CE$508)+1)))</f>
        <v/>
      </c>
      <c r="CG268" s="92" t="str">
        <f aca="false">IF(ISBLANK($C268),"",IF($BR268&lt;&gt;Constants!$B$8,$BR268,COUNTIFS($BX$9:$BX$508,"&lt;"&amp;$BX268)+COUNTIFS($BX$9:$BX$508,$BX268,$BZ$9:$BZ$508,"&lt;"&amp;$BZ268)+COUNTIFS($BX$9:$BX$508,$BX268,$BZ$9:$BZ$508,$BZ268,$CB$9:$CB$508,"&lt;"&amp;$CB268)+COUNTIFS($BX$9:$BX$508,$BX268,$BZ$9:$BZ$508,$BZ268,$CB$9:$CB$508,$CB268,$CD$9:$CD$508,"&lt;"&amp;$CD268)+COUNTIFS($BX$9:$BX$508,$BX268,$BZ$9:$BZ$508,$BZ268,$CB$9:$CB$508,$CB268,$CD$9:$CD$508,$CD268,$CF$9:$CF$508,"&lt;"&amp;$CF268)+1))</f>
        <v/>
      </c>
      <c r="CH268" s="92" t="str">
        <f aca="false">IF(ISBLANK($C268),"",IF($BR268&lt;&gt;Constants!$B$8,$BR268,$BX268-$CG268))</f>
        <v/>
      </c>
      <c r="CI268" s="98"/>
      <c r="CJ268" s="99"/>
      <c r="CK268" s="100" t="str">
        <f aca="false">IF(ISBLANK($C268),"",IF($BR268=Constants!$B$12,$BQ268,""))</f>
        <v/>
      </c>
      <c r="CL268" s="99" t="str">
        <f aca="false">IF(ISBLANK($C268),"",IF($BR268&lt;&gt;Constants!$B$8,"",IF($BI268="-&gt;",2,1)))</f>
        <v/>
      </c>
      <c r="CM268" s="101" t="str">
        <f aca="false">IF(ISBLANK($C268),"",IF($BR268&lt;&gt;Constants!$B$8,"",IF($BI268="-&gt;",$BK268,$BC268)))</f>
        <v/>
      </c>
      <c r="CN268" s="101" t="str">
        <f aca="false">IF(ISBLANK($C268),"",IF($BR268&lt;&gt;Constants!$B$8,"",IF($BI268="-&gt;",$BL268,$BD268)))</f>
        <v/>
      </c>
      <c r="CO268" s="101" t="str">
        <f aca="false">IF(ISBLANK($C268),"",IF($BR268&lt;&gt;Constants!$B$8,"",IF($BI268="-&gt;",$BM268+$BN268,$BE268+$BF268)+$BV268))</f>
        <v/>
      </c>
      <c r="CP268" s="101" t="str">
        <f aca="false">IF(ISBLANK($C268),"",IF($BR268&lt;&gt;Constants!$B$8,"",IF($BI268="-&gt;",$BO268,$BG268)+$BU268))</f>
        <v/>
      </c>
      <c r="CQ268" s="102" t="str">
        <f aca="false">IF(ISBLANK($C268),"",IF($BR268&lt;&gt;Constants!$B$8,$BR268,$BW268))</f>
        <v/>
      </c>
      <c r="CR268" s="103" t="str">
        <f aca="false">IF(ISBLANK($C268),"",$BS268)</f>
        <v/>
      </c>
      <c r="CS268" s="104" t="str">
        <f aca="false">IF(ISBLANK($C268),"",$CH268)</f>
        <v/>
      </c>
      <c r="CT268" s="104" t="str">
        <f aca="false">IF(ISBLANK($C268),"",$CG268)</f>
        <v/>
      </c>
      <c r="CU268" s="105" t="str">
        <f aca="false">IF(ISBLANK($C268),"",IFERROR(_xlfn.SWITCH($CT268,Constants!$B$11,COUNTA($C$9:$C$508)+2,Constants!$B$10,COUNTA($C$9:$C$508)+1,Constants!$B$9,COUNTA($C$9:$C$508)),$CT268))</f>
        <v/>
      </c>
      <c r="CV268" s="9"/>
      <c r="CW268" s="106" t="n">
        <f aca="false">IF(OR(ISNUMBER($CT268),$CT268=Constants!$B$11,$CT268=Constants!$B$9,$CT268=Constants!$B$10),1,0)</f>
        <v>0</v>
      </c>
      <c r="CX268" s="106" t="n">
        <v>260</v>
      </c>
      <c r="CY268" s="106" t="str">
        <f aca="false">IF(ISBLANK($C268),"",IF(ISNUMBER($CU268),$CU268+ROW($B268)/1000,""))</f>
        <v/>
      </c>
      <c r="CZ268" s="106" t="str">
        <f aca="false">IF(ISNUMBER($CY268),RANK($CY268,$CY$9:$CY$508,1),"")</f>
        <v/>
      </c>
      <c r="DA268" s="106" t="str">
        <f aca="false">IF(ISBLANK($C268),"",$B268)</f>
        <v/>
      </c>
      <c r="DB268" s="106" t="str">
        <f aca="false">IF(ISBLANK($C268),"",$C268)</f>
        <v/>
      </c>
      <c r="DC268" s="106" t="str">
        <f aca="false">IF(ISBLANK($C268),"",$D268)</f>
        <v/>
      </c>
      <c r="DD268" s="107" t="str">
        <f aca="false">$CR268</f>
        <v/>
      </c>
      <c r="DE268" s="108" t="str">
        <f aca="false">$CQ268</f>
        <v/>
      </c>
      <c r="DF268" s="106" t="str">
        <f aca="false">IF(ISBLANK($C268),"",$CT268)</f>
        <v/>
      </c>
      <c r="DG268" s="109" t="str">
        <f aca="false">IF($CX268&gt;$CW$8,"",VLOOKUP($CX268,$CZ$9:$DF$508,7,FALSE()))</f>
        <v/>
      </c>
      <c r="DH268" s="110" t="str">
        <f aca="false">IF($CX268&gt;$CW$8,"",VLOOKUP($CX268,$CZ$9:$DF$508,2,FALSE()))</f>
        <v/>
      </c>
      <c r="DI268" s="110" t="str">
        <f aca="false">IF($CX268&gt;$CW$8,"",VLOOKUP($CX268,$CZ$9:$DF$508,3,FALSE()))</f>
        <v/>
      </c>
      <c r="DJ268" s="110" t="str">
        <f aca="false">IF($CX268&gt;$CW$8,"",VLOOKUP($CX268,$CZ$9:$DF$508,4,FALSE()))</f>
        <v/>
      </c>
      <c r="DK268" s="110" t="str">
        <f aca="false">IF($CX268&gt;$CW$8,"",VLOOKUP($CX268,$CZ$9:$DF$508,5,FALSE()))</f>
        <v/>
      </c>
      <c r="DL268" s="111" t="str">
        <f aca="false">IF($CX268&gt;$CW$8,"",VLOOKUP($CX268,$CZ$9:$DF$508,6,FALSE()))</f>
        <v/>
      </c>
      <c r="DM268" s="75"/>
    </row>
    <row r="269" customFormat="false" ht="15.75" hidden="false" customHeight="false" outlineLevel="0" collapsed="false">
      <c r="A269" s="9"/>
      <c r="B269" s="77"/>
      <c r="C269" s="78"/>
      <c r="D269" s="167"/>
      <c r="E269" s="175"/>
      <c r="F269" s="169"/>
      <c r="G269" s="170"/>
      <c r="H269" s="170"/>
      <c r="I269" s="176"/>
      <c r="J269" s="173"/>
      <c r="K269" s="85"/>
      <c r="L269" s="86"/>
      <c r="M269" s="87"/>
      <c r="N269" s="173"/>
      <c r="O269" s="173"/>
      <c r="P269" s="175"/>
      <c r="Q269" s="173"/>
      <c r="R269" s="173"/>
      <c r="S269" s="85"/>
      <c r="T269" s="87"/>
      <c r="U269" s="87"/>
      <c r="V269" s="173"/>
      <c r="W269" s="173"/>
      <c r="X269" s="175"/>
      <c r="Y269" s="173"/>
      <c r="Z269" s="174"/>
      <c r="AA269" s="173"/>
      <c r="AB269" s="91"/>
      <c r="AC269" s="92"/>
      <c r="AD269" s="92"/>
      <c r="AE269" s="92"/>
      <c r="AF269" s="92" t="str">
        <f aca="false">IF(ISBLANK($C269),"",IF(E269=Constants!$B$3,TRUE(),IF(E269=Constants!$B$4,FALSE(),TRUE())))</f>
        <v/>
      </c>
      <c r="AG269" s="92" t="str">
        <f aca="false">IF(ISBLANK($C269),"",IF(F269=Constants!$B$3,TRUE(),IF(F269=Constants!$B$4,FALSE(),TRUE())))</f>
        <v/>
      </c>
      <c r="AH269" s="92" t="str">
        <f aca="false">IF(ISBLANK($C269),"",IF(G269=Constants!$B$3,TRUE(),IF(G269=Constants!$B$4,FALSE(),TRUE())))</f>
        <v/>
      </c>
      <c r="AI269" s="92" t="str">
        <f aca="false">IF(ISBLANK($C269),"",IF(AND(ISNUMBER(H269),H269&gt;=0),H269,Constants!$B$29))</f>
        <v/>
      </c>
      <c r="AJ269" s="92" t="str">
        <f aca="false">IF(ISBLANK($C269),"",IF(I269=Constants!$B$3,TRUE(),IF(I269=Constants!$B$4,FALSE(),TRUE())))</f>
        <v/>
      </c>
      <c r="AK269" s="92" t="str">
        <f aca="false">IF(ISBLANK($C269),"",IF(J269=Constants!$B$3,TRUE(),IF(J269=Constants!$B$4,FALSE(),TRUE())))</f>
        <v/>
      </c>
      <c r="AL269" s="92" t="str">
        <f aca="false">IF(ISBLANK($C269),"",IF(K269=Constants!$B$5,TRUE(),IF(K269=Constants!$B$6,FALSE(),COUNTA(L269:P269)&gt;0)))</f>
        <v/>
      </c>
      <c r="AM269" s="94" t="str">
        <f aca="false">IF(ISBLANK($C269),"",IF(ISNUMBER(L269),IF(L269&gt;=0,L269,""),""))</f>
        <v/>
      </c>
      <c r="AN269" s="93" t="str">
        <f aca="false">IF(ISBLANK($C269),"",IF(ISNUMBER(M269),IF(M269&gt;=0,M269,""),""))</f>
        <v/>
      </c>
      <c r="AO269" s="93" t="str">
        <f aca="false">IF(ISBLANK($C269),"",IF(N269=Constants!$B$3,TRUE(),IF(N269=Constants!$B$4,FALSE(),TRUE())))</f>
        <v/>
      </c>
      <c r="AP269" s="92" t="str">
        <f aca="false">IF(ISBLANK($C269),"",IF(ISNUMBER(O269),IF(O269&gt;=0,O269,""),""))</f>
        <v/>
      </c>
      <c r="AQ269" s="92" t="str">
        <f aca="false">IF(ISBLANK($C269),"",IF(P269=Constants!$B$3,TRUE(),IF(P269=Constants!$B$4,FALSE(),FALSE())))</f>
        <v/>
      </c>
      <c r="AR269" s="92" t="str">
        <f aca="false">IF(ISBLANK($C269),"",IF(Q269=Constants!$B$3,TRUE(),IF(Q269=Constants!$B$4,FALSE(),TRUE())))</f>
        <v/>
      </c>
      <c r="AS269" s="92" t="str">
        <f aca="false">IF(ISBLANK($C269),"",IF(R269=Constants!$B$3,TRUE(),IF(R269=Constants!$B$4,FALSE(),TRUE())))</f>
        <v/>
      </c>
      <c r="AT269" s="92" t="str">
        <f aca="false">IF(ISBLANK($C269),"",IF(S269=Constants!$B$5,TRUE(),IF(S269=Constants!$B$6,FALSE(),COUNTA(T269:X269)&gt;0)))</f>
        <v/>
      </c>
      <c r="AU269" s="94" t="str">
        <f aca="false">IF(ISBLANK($C269),"",IF(ISNUMBER(T269),IF(T269&gt;=0,T269,""),""))</f>
        <v/>
      </c>
      <c r="AV269" s="93" t="str">
        <f aca="false">IF(ISBLANK($C269),"",IF(ISNUMBER(U269),IF(U269&gt;=0,U269,""),""))</f>
        <v/>
      </c>
      <c r="AW269" s="93" t="str">
        <f aca="false">IF(ISBLANK($C269),"",IF(V269=Constants!$B$3,TRUE(),IF(V269=Constants!$B$4,FALSE(),TRUE())))</f>
        <v/>
      </c>
      <c r="AX269" s="92" t="str">
        <f aca="false">IF(ISBLANK($C269),"",IF(ISNUMBER(W269),IF(W269&gt;=0,W269,""),""))</f>
        <v/>
      </c>
      <c r="AY269" s="92" t="str">
        <f aca="false">IF(ISBLANK($C269),"",IF(X269=Constants!$B$3,TRUE(),IF(X269=Constants!$B$4,FALSE(),FALSE())))</f>
        <v/>
      </c>
      <c r="AZ269" s="92" t="str">
        <f aca="false">IF(ISBLANK($C269),"",MIN(Constants!$B$31,MAX(0,IF(ISNUMBER(Y269),Y269*60,0)+IF(ISNUMBER(Z269),Z269,0))))</f>
        <v/>
      </c>
      <c r="BA269" s="92" t="str">
        <f aca="false">IF(ISBLANK($C269),"",IF(AA269=Constants!$B$3,TRUE(),IF(AA269=Constants!$B$4,FALSE(),FALSE())))</f>
        <v/>
      </c>
      <c r="BB269" s="91" t="str">
        <f aca="false">IF(ISBLANK($C269),"",AND($AL269,OR($AM269="",$AN269="",AND($AO269,$AP269=""))))</f>
        <v/>
      </c>
      <c r="BC269" s="93" t="str">
        <f aca="false">IF($BR269&lt;&gt;Constants!$B$8,"",IF($AL269,Constants!$B$21*$AN269+Constants!$B$22*IF($AO269,$AP269,Constants!$B$23),Constants!$B$24))</f>
        <v/>
      </c>
      <c r="BD269" s="96" t="str">
        <f aca="false">IF($BR269&lt;&gt;Constants!$B$8,"",Constants!$B$25*ABS($AD$9-IF($AL269,$AM269,0)))</f>
        <v/>
      </c>
      <c r="BE269" s="96" t="str">
        <f aca="false">IF($BR269&lt;&gt;Constants!$B$8,"",IF(AND($AL269,$AQ269,$AO269),Constants!$B$27,0))</f>
        <v/>
      </c>
      <c r="BF269" s="96" t="str">
        <f aca="false">IF($BR269&lt;&gt;Constants!$B$8,"",IF($AL269,($AI269-Constants!$B$29)*Constants!$B$28,0))</f>
        <v/>
      </c>
      <c r="BG269" s="96" t="str">
        <f aca="false">IF($BR269&lt;&gt;Constants!$B$8,"",IF($AK269,0,Constants!$B$15)+IF($AJ269,0,Constants!$B$16)+IF($AH269,0,Constants!$B$17))</f>
        <v/>
      </c>
      <c r="BH269" s="97" t="str">
        <f aca="false">IF($BR269&lt;&gt;Constants!$B$8,"",Constants!$B$20+SUM($BC269:$BG269))</f>
        <v/>
      </c>
      <c r="BI269" s="92" t="str">
        <f aca="false">IF($BR269&lt;&gt;Constants!$B$8,"",IF(OR($BP269&lt;$BH269,AND($BP269=$BH269,OR($BK269&lt;$BC269,AND($BK269=$BC269,OR($BL269&lt;$BD269,AND($BL269=$BD269,$AT269,$AL269,$AV269&lt;$AN269)))))),"-&gt;","&lt;-"))</f>
        <v/>
      </c>
      <c r="BJ269" s="91" t="str">
        <f aca="false">IF(ISBLANK($C269),"",AND($AT269,OR($AU269="",$AV269="",AND($AW269,$AX269=""))))</f>
        <v/>
      </c>
      <c r="BK269" s="93" t="str">
        <f aca="false">IF($BR269&lt;&gt;Constants!$B$8,"",IF($AT269,Constants!$B$21*$AV269+Constants!$B$22*IF($AW269,$AX269,Constants!$B$23),Constants!$B$24))</f>
        <v/>
      </c>
      <c r="BL269" s="96" t="str">
        <f aca="false">IF($BR269&lt;&gt;Constants!$B$8,"",Constants!$B$25*ABS($AD$9-IF($AT269,$AU269,0)))</f>
        <v/>
      </c>
      <c r="BM269" s="96" t="str">
        <f aca="false">IF($BR269&lt;&gt;Constants!$B$8,"",IF(AND($AT269,$AY269,$AW269),Constants!$B$27,0))</f>
        <v/>
      </c>
      <c r="BN269" s="96" t="str">
        <f aca="false">IF($BR269&lt;&gt;Constants!$B$8,"",IF($AT269,($AI269-Constants!$B$29)*Constants!$B$28,0))</f>
        <v/>
      </c>
      <c r="BO269" s="96" t="str">
        <f aca="false">IF($BR269&lt;&gt;Constants!$B$8,"",IF($AS269,0,Constants!$B$15)+IF($AR269,0,Constants!$B$16)+IF($AH269,0,Constants!$B$17))</f>
        <v/>
      </c>
      <c r="BP269" s="97" t="str">
        <f aca="false">IF($BR269&lt;&gt;Constants!$B$8,"",Constants!$B$20+SUM($BK269:$BO269))</f>
        <v/>
      </c>
      <c r="BQ269" s="92" t="str">
        <f aca="false">IF(ISBLANK($C269),"",IF(ISBLANK($D$7),$BQ$5,IF(NOT(ISNUMBER($D$7)),$BQ$6,"")))</f>
        <v/>
      </c>
      <c r="BR269" s="92" t="str">
        <f aca="false">IF(ISBLANK($C269),"",IF($BA269,Constants!$B$11,IF(COUNTA($E269:$AA269)=0,Constants!$B$10,IF(NOT($AG269),Constants!$B$9,IF(OR($BQ269&lt;&gt;"",$BB269,$BJ269),Constants!$B$12,Constants!$B$8)))))</f>
        <v/>
      </c>
      <c r="BS269" s="92" t="str">
        <f aca="false">IF(ISBLANK($C269),"",IF($BR269&lt;&gt;Constants!$B$8,$BR269,Constants!$B$13))</f>
        <v/>
      </c>
      <c r="BT269" s="96" t="str">
        <f aca="false">IF($BR269&lt;&gt;Constants!$B$8,"",IF($BI269="-&gt;",$BP269,$BH269))</f>
        <v/>
      </c>
      <c r="BU269" s="96" t="str">
        <f aca="false">IF($BR269&lt;&gt;Constants!$B$8,"",IF($AF269,0,Constants!$B$18))</f>
        <v/>
      </c>
      <c r="BV269" s="96" t="str">
        <f aca="false">IF($BR269&lt;&gt;Constants!$B$8,"",((Constants!$B$31-$AZ269)-Constants!$B$31)/Constants!$B$32)</f>
        <v/>
      </c>
      <c r="BW269" s="96" t="str">
        <f aca="false">IF(ISBLANK($C269),"",IF($BR269&lt;&gt;Constants!$B$8,$BR269,SUM($BT269:$BV269)))</f>
        <v/>
      </c>
      <c r="BX269" s="92" t="str">
        <f aca="false">IF(ISBLANK($C269),"",IF($BR269&lt;&gt;Constants!$B$8,$BR269,RANK($BW269,$BW$9:$BW$508,1)))</f>
        <v/>
      </c>
      <c r="BY269" s="96" t="str">
        <f aca="false">IF($BR269&lt;&gt;Constants!$B$8,"",IF($BI269="-&gt;",$BK269,$BC269))</f>
        <v/>
      </c>
      <c r="BZ269" s="92" t="str">
        <f aca="false">IF(ISBLANK($C269),"",IF($BR269&lt;&gt;Constants!$B$8,$BR269,IF(ISNUMBER($BY269),RANK($BY269,$BY$9:$BY$508,1),COUNT($BY$9:$BY$508)+1)))</f>
        <v/>
      </c>
      <c r="CA269" s="96" t="str">
        <f aca="false">IF($BR269&lt;&gt;Constants!$B$8,"",IF($BI269="-&gt;",$BL269,$BD269))</f>
        <v/>
      </c>
      <c r="CB269" s="92" t="str">
        <f aca="false">IF(ISBLANK($C269),"",IF($BR269&lt;&gt;Constants!$B$8,$BR269,IF(ISNUMBER($CA269),RANK($CA269,$CA$9:$CA$508,1),COUNT($CA$9:$CA$508)+1)))</f>
        <v/>
      </c>
      <c r="CC269" s="96" t="str">
        <f aca="false">IF($BR269&lt;&gt;Constants!$B$8,"",IF($BI269="-&gt;",IF($AT269,$AV269,""),IF($AL269,$AN269,"")))</f>
        <v/>
      </c>
      <c r="CD269" s="92" t="str">
        <f aca="false">IF(ISBLANK($C269),"",IF($BR269&lt;&gt;Constants!$B$8,$BR269,IF(ISNUMBER($CC269),RANK($CC269,$CC$9:$CC$508,1),COUNT($CC$9:$CC$508)+1)))</f>
        <v/>
      </c>
      <c r="CE269" s="96" t="str">
        <f aca="false">IF($BR269&lt;&gt;Constants!$B$8,"",IF(AND(NOT($AL269),NOT($AT269),$AJ269,$AK269,$AR269,$AS269),"",$AI269))</f>
        <v/>
      </c>
      <c r="CF269" s="92" t="str">
        <f aca="false">IF(ISBLANK($C269),"",IF($BR269&lt;&gt;Constants!$B$8,$BR269,IF(ISNUMBER($CE269),RANK($CE269,$CE$9:$CE$508,1),COUNT($CE$9:$CE$508)+1)))</f>
        <v/>
      </c>
      <c r="CG269" s="92" t="str">
        <f aca="false">IF(ISBLANK($C269),"",IF($BR269&lt;&gt;Constants!$B$8,$BR269,COUNTIFS($BX$9:$BX$508,"&lt;"&amp;$BX269)+COUNTIFS($BX$9:$BX$508,$BX269,$BZ$9:$BZ$508,"&lt;"&amp;$BZ269)+COUNTIFS($BX$9:$BX$508,$BX269,$BZ$9:$BZ$508,$BZ269,$CB$9:$CB$508,"&lt;"&amp;$CB269)+COUNTIFS($BX$9:$BX$508,$BX269,$BZ$9:$BZ$508,$BZ269,$CB$9:$CB$508,$CB269,$CD$9:$CD$508,"&lt;"&amp;$CD269)+COUNTIFS($BX$9:$BX$508,$BX269,$BZ$9:$BZ$508,$BZ269,$CB$9:$CB$508,$CB269,$CD$9:$CD$508,$CD269,$CF$9:$CF$508,"&lt;"&amp;$CF269)+1))</f>
        <v/>
      </c>
      <c r="CH269" s="92" t="str">
        <f aca="false">IF(ISBLANK($C269),"",IF($BR269&lt;&gt;Constants!$B$8,$BR269,$BX269-$CG269))</f>
        <v/>
      </c>
      <c r="CI269" s="98"/>
      <c r="CJ269" s="99"/>
      <c r="CK269" s="100" t="str">
        <f aca="false">IF(ISBLANK($C269),"",IF($BR269=Constants!$B$12,$BQ269,""))</f>
        <v/>
      </c>
      <c r="CL269" s="99" t="str">
        <f aca="false">IF(ISBLANK($C269),"",IF($BR269&lt;&gt;Constants!$B$8,"",IF($BI269="-&gt;",2,1)))</f>
        <v/>
      </c>
      <c r="CM269" s="101" t="str">
        <f aca="false">IF(ISBLANK($C269),"",IF($BR269&lt;&gt;Constants!$B$8,"",IF($BI269="-&gt;",$BK269,$BC269)))</f>
        <v/>
      </c>
      <c r="CN269" s="101" t="str">
        <f aca="false">IF(ISBLANK($C269),"",IF($BR269&lt;&gt;Constants!$B$8,"",IF($BI269="-&gt;",$BL269,$BD269)))</f>
        <v/>
      </c>
      <c r="CO269" s="101" t="str">
        <f aca="false">IF(ISBLANK($C269),"",IF($BR269&lt;&gt;Constants!$B$8,"",IF($BI269="-&gt;",$BM269+$BN269,$BE269+$BF269)+$BV269))</f>
        <v/>
      </c>
      <c r="CP269" s="101" t="str">
        <f aca="false">IF(ISBLANK($C269),"",IF($BR269&lt;&gt;Constants!$B$8,"",IF($BI269="-&gt;",$BO269,$BG269)+$BU269))</f>
        <v/>
      </c>
      <c r="CQ269" s="102" t="str">
        <f aca="false">IF(ISBLANK($C269),"",IF($BR269&lt;&gt;Constants!$B$8,$BR269,$BW269))</f>
        <v/>
      </c>
      <c r="CR269" s="103" t="str">
        <f aca="false">IF(ISBLANK($C269),"",$BS269)</f>
        <v/>
      </c>
      <c r="CS269" s="104" t="str">
        <f aca="false">IF(ISBLANK($C269),"",$CH269)</f>
        <v/>
      </c>
      <c r="CT269" s="104" t="str">
        <f aca="false">IF(ISBLANK($C269),"",$CG269)</f>
        <v/>
      </c>
      <c r="CU269" s="105" t="str">
        <f aca="false">IF(ISBLANK($C269),"",IFERROR(_xlfn.SWITCH($CT269,Constants!$B$11,COUNTA($C$9:$C$508)+2,Constants!$B$10,COUNTA($C$9:$C$508)+1,Constants!$B$9,COUNTA($C$9:$C$508)),$CT269))</f>
        <v/>
      </c>
      <c r="CV269" s="9"/>
      <c r="CW269" s="106" t="n">
        <f aca="false">IF(OR(ISNUMBER($CT269),$CT269=Constants!$B$11,$CT269=Constants!$B$9,$CT269=Constants!$B$10),1,0)</f>
        <v>0</v>
      </c>
      <c r="CX269" s="106" t="n">
        <v>261</v>
      </c>
      <c r="CY269" s="106" t="str">
        <f aca="false">IF(ISBLANK($C269),"",IF(ISNUMBER($CU269),$CU269+ROW($B269)/1000,""))</f>
        <v/>
      </c>
      <c r="CZ269" s="106" t="str">
        <f aca="false">IF(ISNUMBER($CY269),RANK($CY269,$CY$9:$CY$508,1),"")</f>
        <v/>
      </c>
      <c r="DA269" s="106" t="str">
        <f aca="false">IF(ISBLANK($C269),"",$B269)</f>
        <v/>
      </c>
      <c r="DB269" s="106" t="str">
        <f aca="false">IF(ISBLANK($C269),"",$C269)</f>
        <v/>
      </c>
      <c r="DC269" s="106" t="str">
        <f aca="false">IF(ISBLANK($C269),"",$D269)</f>
        <v/>
      </c>
      <c r="DD269" s="107" t="str">
        <f aca="false">$CR269</f>
        <v/>
      </c>
      <c r="DE269" s="108" t="str">
        <f aca="false">$CQ269</f>
        <v/>
      </c>
      <c r="DF269" s="106" t="str">
        <f aca="false">IF(ISBLANK($C269),"",$CT269)</f>
        <v/>
      </c>
      <c r="DG269" s="109" t="str">
        <f aca="false">IF($CX269&gt;$CW$8,"",VLOOKUP($CX269,$CZ$9:$DF$508,7,FALSE()))</f>
        <v/>
      </c>
      <c r="DH269" s="110" t="str">
        <f aca="false">IF($CX269&gt;$CW$8,"",VLOOKUP($CX269,$CZ$9:$DF$508,2,FALSE()))</f>
        <v/>
      </c>
      <c r="DI269" s="110" t="str">
        <f aca="false">IF($CX269&gt;$CW$8,"",VLOOKUP($CX269,$CZ$9:$DF$508,3,FALSE()))</f>
        <v/>
      </c>
      <c r="DJ269" s="110" t="str">
        <f aca="false">IF($CX269&gt;$CW$8,"",VLOOKUP($CX269,$CZ$9:$DF$508,4,FALSE()))</f>
        <v/>
      </c>
      <c r="DK269" s="110" t="str">
        <f aca="false">IF($CX269&gt;$CW$8,"",VLOOKUP($CX269,$CZ$9:$DF$508,5,FALSE()))</f>
        <v/>
      </c>
      <c r="DL269" s="111" t="str">
        <f aca="false">IF($CX269&gt;$CW$8,"",VLOOKUP($CX269,$CZ$9:$DF$508,6,FALSE()))</f>
        <v/>
      </c>
      <c r="DM269" s="75"/>
    </row>
    <row r="270" customFormat="false" ht="15.75" hidden="false" customHeight="false" outlineLevel="0" collapsed="false">
      <c r="A270" s="9"/>
      <c r="B270" s="157"/>
      <c r="C270" s="158"/>
      <c r="D270" s="159"/>
      <c r="E270" s="177"/>
      <c r="F270" s="161"/>
      <c r="G270" s="162"/>
      <c r="H270" s="162"/>
      <c r="I270" s="178"/>
      <c r="J270" s="165"/>
      <c r="K270" s="126"/>
      <c r="L270" s="127"/>
      <c r="M270" s="128"/>
      <c r="N270" s="165"/>
      <c r="O270" s="165"/>
      <c r="P270" s="177"/>
      <c r="Q270" s="165"/>
      <c r="R270" s="165"/>
      <c r="S270" s="126"/>
      <c r="T270" s="128"/>
      <c r="U270" s="128"/>
      <c r="V270" s="165"/>
      <c r="W270" s="165"/>
      <c r="X270" s="177"/>
      <c r="Y270" s="165"/>
      <c r="Z270" s="166"/>
      <c r="AA270" s="165"/>
      <c r="AB270" s="132"/>
      <c r="AC270" s="133"/>
      <c r="AD270" s="133"/>
      <c r="AE270" s="133"/>
      <c r="AF270" s="133" t="str">
        <f aca="false">IF(ISBLANK($C270),"",IF(E270=Constants!$B$3,TRUE(),IF(E270=Constants!$B$4,FALSE(),TRUE())))</f>
        <v/>
      </c>
      <c r="AG270" s="133" t="str">
        <f aca="false">IF(ISBLANK($C270),"",IF(F270=Constants!$B$3,TRUE(),IF(F270=Constants!$B$4,FALSE(),TRUE())))</f>
        <v/>
      </c>
      <c r="AH270" s="133" t="str">
        <f aca="false">IF(ISBLANK($C270),"",IF(G270=Constants!$B$3,TRUE(),IF(G270=Constants!$B$4,FALSE(),TRUE())))</f>
        <v/>
      </c>
      <c r="AI270" s="133" t="str">
        <f aca="false">IF(ISBLANK($C270),"",IF(AND(ISNUMBER(H270),H270&gt;=0),H270,Constants!$B$29))</f>
        <v/>
      </c>
      <c r="AJ270" s="133" t="str">
        <f aca="false">IF(ISBLANK($C270),"",IF(I270=Constants!$B$3,TRUE(),IF(I270=Constants!$B$4,FALSE(),TRUE())))</f>
        <v/>
      </c>
      <c r="AK270" s="133" t="str">
        <f aca="false">IF(ISBLANK($C270),"",IF(J270=Constants!$B$3,TRUE(),IF(J270=Constants!$B$4,FALSE(),TRUE())))</f>
        <v/>
      </c>
      <c r="AL270" s="133" t="str">
        <f aca="false">IF(ISBLANK($C270),"",IF(K270=Constants!$B$5,TRUE(),IF(K270=Constants!$B$6,FALSE(),COUNTA(L270:P270)&gt;0)))</f>
        <v/>
      </c>
      <c r="AM270" s="134" t="str">
        <f aca="false">IF(ISBLANK($C270),"",IF(ISNUMBER(L270),IF(L270&gt;=0,L270,""),""))</f>
        <v/>
      </c>
      <c r="AN270" s="135" t="str">
        <f aca="false">IF(ISBLANK($C270),"",IF(ISNUMBER(M270),IF(M270&gt;=0,M270,""),""))</f>
        <v/>
      </c>
      <c r="AO270" s="135" t="str">
        <f aca="false">IF(ISBLANK($C270),"",IF(N270=Constants!$B$3,TRUE(),IF(N270=Constants!$B$4,FALSE(),TRUE())))</f>
        <v/>
      </c>
      <c r="AP270" s="133" t="str">
        <f aca="false">IF(ISBLANK($C270),"",IF(ISNUMBER(O270),IF(O270&gt;=0,O270,""),""))</f>
        <v/>
      </c>
      <c r="AQ270" s="133" t="str">
        <f aca="false">IF(ISBLANK($C270),"",IF(P270=Constants!$B$3,TRUE(),IF(P270=Constants!$B$4,FALSE(),FALSE())))</f>
        <v/>
      </c>
      <c r="AR270" s="133" t="str">
        <f aca="false">IF(ISBLANK($C270),"",IF(Q270=Constants!$B$3,TRUE(),IF(Q270=Constants!$B$4,FALSE(),TRUE())))</f>
        <v/>
      </c>
      <c r="AS270" s="133" t="str">
        <f aca="false">IF(ISBLANK($C270),"",IF(R270=Constants!$B$3,TRUE(),IF(R270=Constants!$B$4,FALSE(),TRUE())))</f>
        <v/>
      </c>
      <c r="AT270" s="133" t="str">
        <f aca="false">IF(ISBLANK($C270),"",IF(S270=Constants!$B$5,TRUE(),IF(S270=Constants!$B$6,FALSE(),COUNTA(T270:X270)&gt;0)))</f>
        <v/>
      </c>
      <c r="AU270" s="134" t="str">
        <f aca="false">IF(ISBLANK($C270),"",IF(ISNUMBER(T270),IF(T270&gt;=0,T270,""),""))</f>
        <v/>
      </c>
      <c r="AV270" s="135" t="str">
        <f aca="false">IF(ISBLANK($C270),"",IF(ISNUMBER(U270),IF(U270&gt;=0,U270,""),""))</f>
        <v/>
      </c>
      <c r="AW270" s="135" t="str">
        <f aca="false">IF(ISBLANK($C270),"",IF(V270=Constants!$B$3,TRUE(),IF(V270=Constants!$B$4,FALSE(),TRUE())))</f>
        <v/>
      </c>
      <c r="AX270" s="133" t="str">
        <f aca="false">IF(ISBLANK($C270),"",IF(ISNUMBER(W270),IF(W270&gt;=0,W270,""),""))</f>
        <v/>
      </c>
      <c r="AY270" s="133" t="str">
        <f aca="false">IF(ISBLANK($C270),"",IF(X270=Constants!$B$3,TRUE(),IF(X270=Constants!$B$4,FALSE(),FALSE())))</f>
        <v/>
      </c>
      <c r="AZ270" s="133" t="str">
        <f aca="false">IF(ISBLANK($C270),"",MIN(Constants!$B$31,MAX(0,IF(ISNUMBER(Y270),Y270*60,0)+IF(ISNUMBER(Z270),Z270,0))))</f>
        <v/>
      </c>
      <c r="BA270" s="133" t="str">
        <f aca="false">IF(ISBLANK($C270),"",IF(AA270=Constants!$B$3,TRUE(),IF(AA270=Constants!$B$4,FALSE(),FALSE())))</f>
        <v/>
      </c>
      <c r="BB270" s="132" t="str">
        <f aca="false">IF(ISBLANK($C270),"",AND($AL270,OR($AM270="",$AN270="",AND($AO270,$AP270=""))))</f>
        <v/>
      </c>
      <c r="BC270" s="135" t="str">
        <f aca="false">IF($BR270&lt;&gt;Constants!$B$8,"",IF($AL270,Constants!$B$21*$AN270+Constants!$B$22*IF($AO270,$AP270,Constants!$B$23),Constants!$B$24))</f>
        <v/>
      </c>
      <c r="BD270" s="136" t="str">
        <f aca="false">IF($BR270&lt;&gt;Constants!$B$8,"",Constants!$B$25*ABS($AD$9-IF($AL270,$AM270,0)))</f>
        <v/>
      </c>
      <c r="BE270" s="136" t="str">
        <f aca="false">IF($BR270&lt;&gt;Constants!$B$8,"",IF(AND($AL270,$AQ270,$AO270),Constants!$B$27,0))</f>
        <v/>
      </c>
      <c r="BF270" s="136" t="str">
        <f aca="false">IF($BR270&lt;&gt;Constants!$B$8,"",IF($AL270,($AI270-Constants!$B$29)*Constants!$B$28,0))</f>
        <v/>
      </c>
      <c r="BG270" s="136" t="str">
        <f aca="false">IF($BR270&lt;&gt;Constants!$B$8,"",IF($AK270,0,Constants!$B$15)+IF($AJ270,0,Constants!$B$16)+IF($AH270,0,Constants!$B$17))</f>
        <v/>
      </c>
      <c r="BH270" s="137" t="str">
        <f aca="false">IF($BR270&lt;&gt;Constants!$B$8,"",Constants!$B$20+SUM($BC270:$BG270))</f>
        <v/>
      </c>
      <c r="BI270" s="133" t="str">
        <f aca="false">IF($BR270&lt;&gt;Constants!$B$8,"",IF(OR($BP270&lt;$BH270,AND($BP270=$BH270,OR($BK270&lt;$BC270,AND($BK270=$BC270,OR($BL270&lt;$BD270,AND($BL270=$BD270,$AT270,$AL270,$AV270&lt;$AN270)))))),"-&gt;","&lt;-"))</f>
        <v/>
      </c>
      <c r="BJ270" s="132" t="str">
        <f aca="false">IF(ISBLANK($C270),"",AND($AT270,OR($AU270="",$AV270="",AND($AW270,$AX270=""))))</f>
        <v/>
      </c>
      <c r="BK270" s="135" t="str">
        <f aca="false">IF($BR270&lt;&gt;Constants!$B$8,"",IF($AT270,Constants!$B$21*$AV270+Constants!$B$22*IF($AW270,$AX270,Constants!$B$23),Constants!$B$24))</f>
        <v/>
      </c>
      <c r="BL270" s="136" t="str">
        <f aca="false">IF($BR270&lt;&gt;Constants!$B$8,"",Constants!$B$25*ABS($AD$9-IF($AT270,$AU270,0)))</f>
        <v/>
      </c>
      <c r="BM270" s="136" t="str">
        <f aca="false">IF($BR270&lt;&gt;Constants!$B$8,"",IF(AND($AT270,$AY270,$AW270),Constants!$B$27,0))</f>
        <v/>
      </c>
      <c r="BN270" s="136" t="str">
        <f aca="false">IF($BR270&lt;&gt;Constants!$B$8,"",IF($AT270,($AI270-Constants!$B$29)*Constants!$B$28,0))</f>
        <v/>
      </c>
      <c r="BO270" s="136" t="str">
        <f aca="false">IF($BR270&lt;&gt;Constants!$B$8,"",IF($AS270,0,Constants!$B$15)+IF($AR270,0,Constants!$B$16)+IF($AH270,0,Constants!$B$17))</f>
        <v/>
      </c>
      <c r="BP270" s="137" t="str">
        <f aca="false">IF($BR270&lt;&gt;Constants!$B$8,"",Constants!$B$20+SUM($BK270:$BO270))</f>
        <v/>
      </c>
      <c r="BQ270" s="133" t="str">
        <f aca="false">IF(ISBLANK($C270),"",IF(ISBLANK($D$7),$BQ$5,IF(NOT(ISNUMBER($D$7)),$BQ$6,"")))</f>
        <v/>
      </c>
      <c r="BR270" s="133" t="str">
        <f aca="false">IF(ISBLANK($C270),"",IF($BA270,Constants!$B$11,IF(COUNTA($E270:$AA270)=0,Constants!$B$10,IF(NOT($AG270),Constants!$B$9,IF(OR($BQ270&lt;&gt;"",$BB270,$BJ270),Constants!$B$12,Constants!$B$8)))))</f>
        <v/>
      </c>
      <c r="BS270" s="133" t="str">
        <f aca="false">IF(ISBLANK($C270),"",IF($BR270&lt;&gt;Constants!$B$8,$BR270,Constants!$B$13))</f>
        <v/>
      </c>
      <c r="BT270" s="136" t="str">
        <f aca="false">IF($BR270&lt;&gt;Constants!$B$8,"",IF($BI270="-&gt;",$BP270,$BH270))</f>
        <v/>
      </c>
      <c r="BU270" s="136" t="str">
        <f aca="false">IF($BR270&lt;&gt;Constants!$B$8,"",IF($AF270,0,Constants!$B$18))</f>
        <v/>
      </c>
      <c r="BV270" s="136" t="str">
        <f aca="false">IF($BR270&lt;&gt;Constants!$B$8,"",((Constants!$B$31-$AZ270)-Constants!$B$31)/Constants!$B$32)</f>
        <v/>
      </c>
      <c r="BW270" s="136" t="str">
        <f aca="false">IF(ISBLANK($C270),"",IF($BR270&lt;&gt;Constants!$B$8,$BR270,SUM($BT270:$BV270)))</f>
        <v/>
      </c>
      <c r="BX270" s="133" t="str">
        <f aca="false">IF(ISBLANK($C270),"",IF($BR270&lt;&gt;Constants!$B$8,$BR270,RANK($BW270,$BW$9:$BW$508,1)))</f>
        <v/>
      </c>
      <c r="BY270" s="136" t="str">
        <f aca="false">IF($BR270&lt;&gt;Constants!$B$8,"",IF($BI270="-&gt;",$BK270,$BC270))</f>
        <v/>
      </c>
      <c r="BZ270" s="133" t="str">
        <f aca="false">IF(ISBLANK($C270),"",IF($BR270&lt;&gt;Constants!$B$8,$BR270,IF(ISNUMBER($BY270),RANK($BY270,$BY$9:$BY$508,1),COUNT($BY$9:$BY$508)+1)))</f>
        <v/>
      </c>
      <c r="CA270" s="136" t="str">
        <f aca="false">IF($BR270&lt;&gt;Constants!$B$8,"",IF($BI270="-&gt;",$BL270,$BD270))</f>
        <v/>
      </c>
      <c r="CB270" s="133" t="str">
        <f aca="false">IF(ISBLANK($C270),"",IF($BR270&lt;&gt;Constants!$B$8,$BR270,IF(ISNUMBER($CA270),RANK($CA270,$CA$9:$CA$508,1),COUNT($CA$9:$CA$508)+1)))</f>
        <v/>
      </c>
      <c r="CC270" s="136" t="str">
        <f aca="false">IF($BR270&lt;&gt;Constants!$B$8,"",IF($BI270="-&gt;",IF($AT270,$AV270,""),IF($AL270,$AN270,"")))</f>
        <v/>
      </c>
      <c r="CD270" s="133" t="str">
        <f aca="false">IF(ISBLANK($C270),"",IF($BR270&lt;&gt;Constants!$B$8,$BR270,IF(ISNUMBER($CC270),RANK($CC270,$CC$9:$CC$508,1),COUNT($CC$9:$CC$508)+1)))</f>
        <v/>
      </c>
      <c r="CE270" s="136" t="str">
        <f aca="false">IF($BR270&lt;&gt;Constants!$B$8,"",IF(AND(NOT($AL270),NOT($AT270),$AJ270,$AK270,$AR270,$AS270),"",$AI270))</f>
        <v/>
      </c>
      <c r="CF270" s="133" t="str">
        <f aca="false">IF(ISBLANK($C270),"",IF($BR270&lt;&gt;Constants!$B$8,$BR270,IF(ISNUMBER($CE270),RANK($CE270,$CE$9:$CE$508,1),COUNT($CE$9:$CE$508)+1)))</f>
        <v/>
      </c>
      <c r="CG270" s="133" t="str">
        <f aca="false">IF(ISBLANK($C270),"",IF($BR270&lt;&gt;Constants!$B$8,$BR270,COUNTIFS($BX$9:$BX$508,"&lt;"&amp;$BX270)+COUNTIFS($BX$9:$BX$508,$BX270,$BZ$9:$BZ$508,"&lt;"&amp;$BZ270)+COUNTIFS($BX$9:$BX$508,$BX270,$BZ$9:$BZ$508,$BZ270,$CB$9:$CB$508,"&lt;"&amp;$CB270)+COUNTIFS($BX$9:$BX$508,$BX270,$BZ$9:$BZ$508,$BZ270,$CB$9:$CB$508,$CB270,$CD$9:$CD$508,"&lt;"&amp;$CD270)+COUNTIFS($BX$9:$BX$508,$BX270,$BZ$9:$BZ$508,$BZ270,$CB$9:$CB$508,$CB270,$CD$9:$CD$508,$CD270,$CF$9:$CF$508,"&lt;"&amp;$CF270)+1))</f>
        <v/>
      </c>
      <c r="CH270" s="133" t="str">
        <f aca="false">IF(ISBLANK($C270),"",IF($BR270&lt;&gt;Constants!$B$8,$BR270,$BX270-$CG270))</f>
        <v/>
      </c>
      <c r="CI270" s="138"/>
      <c r="CJ270" s="139"/>
      <c r="CK270" s="140" t="str">
        <f aca="false">IF(ISBLANK($C270),"",IF($BR270=Constants!$B$12,$BQ270,""))</f>
        <v/>
      </c>
      <c r="CL270" s="139" t="str">
        <f aca="false">IF(ISBLANK($C270),"",IF($BR270&lt;&gt;Constants!$B$8,"",IF($BI270="-&gt;",2,1)))</f>
        <v/>
      </c>
      <c r="CM270" s="141" t="str">
        <f aca="false">IF(ISBLANK($C270),"",IF($BR270&lt;&gt;Constants!$B$8,"",IF($BI270="-&gt;",$BK270,$BC270)))</f>
        <v/>
      </c>
      <c r="CN270" s="141" t="str">
        <f aca="false">IF(ISBLANK($C270),"",IF($BR270&lt;&gt;Constants!$B$8,"",IF($BI270="-&gt;",$BL270,$BD270)))</f>
        <v/>
      </c>
      <c r="CO270" s="141" t="str">
        <f aca="false">IF(ISBLANK($C270),"",IF($BR270&lt;&gt;Constants!$B$8,"",IF($BI270="-&gt;",$BM270+$BN270,$BE270+$BF270)+$BV270))</f>
        <v/>
      </c>
      <c r="CP270" s="141" t="str">
        <f aca="false">IF(ISBLANK($C270),"",IF($BR270&lt;&gt;Constants!$B$8,"",IF($BI270="-&gt;",$BO270,$BG270)+$BU270))</f>
        <v/>
      </c>
      <c r="CQ270" s="142" t="str">
        <f aca="false">IF(ISBLANK($C270),"",IF($BR270&lt;&gt;Constants!$B$8,$BR270,$BW270))</f>
        <v/>
      </c>
      <c r="CR270" s="143" t="str">
        <f aca="false">IF(ISBLANK($C270),"",$BS270)</f>
        <v/>
      </c>
      <c r="CS270" s="144" t="str">
        <f aca="false">IF(ISBLANK($C270),"",$CH270)</f>
        <v/>
      </c>
      <c r="CT270" s="144" t="str">
        <f aca="false">IF(ISBLANK($C270),"",$CG270)</f>
        <v/>
      </c>
      <c r="CU270" s="145" t="str">
        <f aca="false">IF(ISBLANK($C270),"",IFERROR(_xlfn.SWITCH($CT270,Constants!$B$11,COUNTA($C$9:$C$508)+2,Constants!$B$10,COUNTA($C$9:$C$508)+1,Constants!$B$9,COUNTA($C$9:$C$508)),$CT270))</f>
        <v/>
      </c>
      <c r="CV270" s="9"/>
      <c r="CW270" s="146" t="n">
        <f aca="false">IF(OR(ISNUMBER($CT270),$CT270=Constants!$B$11,$CT270=Constants!$B$9,$CT270=Constants!$B$10),1,0)</f>
        <v>0</v>
      </c>
      <c r="CX270" s="146" t="n">
        <v>262</v>
      </c>
      <c r="CY270" s="146" t="str">
        <f aca="false">IF(ISBLANK($C270),"",IF(ISNUMBER($CU270),$CU270+ROW($B270)/1000,""))</f>
        <v/>
      </c>
      <c r="CZ270" s="146" t="str">
        <f aca="false">IF(ISNUMBER($CY270),RANK($CY270,$CY$9:$CY$508,1),"")</f>
        <v/>
      </c>
      <c r="DA270" s="146" t="str">
        <f aca="false">IF(ISBLANK($C270),"",$B270)</f>
        <v/>
      </c>
      <c r="DB270" s="146" t="str">
        <f aca="false">IF(ISBLANK($C270),"",$C270)</f>
        <v/>
      </c>
      <c r="DC270" s="146" t="str">
        <f aca="false">IF(ISBLANK($C270),"",$D270)</f>
        <v/>
      </c>
      <c r="DD270" s="147" t="str">
        <f aca="false">$CR270</f>
        <v/>
      </c>
      <c r="DE270" s="148" t="str">
        <f aca="false">$CQ270</f>
        <v/>
      </c>
      <c r="DF270" s="146" t="str">
        <f aca="false">IF(ISBLANK($C270),"",$CT270)</f>
        <v/>
      </c>
      <c r="DG270" s="149" t="str">
        <f aca="false">IF($CX270&gt;$CW$8,"",VLOOKUP($CX270,$CZ$9:$DF$508,7,FALSE()))</f>
        <v/>
      </c>
      <c r="DH270" s="150" t="str">
        <f aca="false">IF($CX270&gt;$CW$8,"",VLOOKUP($CX270,$CZ$9:$DF$508,2,FALSE()))</f>
        <v/>
      </c>
      <c r="DI270" s="150" t="str">
        <f aca="false">IF($CX270&gt;$CW$8,"",VLOOKUP($CX270,$CZ$9:$DF$508,3,FALSE()))</f>
        <v/>
      </c>
      <c r="DJ270" s="150" t="str">
        <f aca="false">IF($CX270&gt;$CW$8,"",VLOOKUP($CX270,$CZ$9:$DF$508,4,FALSE()))</f>
        <v/>
      </c>
      <c r="DK270" s="150" t="str">
        <f aca="false">IF($CX270&gt;$CW$8,"",VLOOKUP($CX270,$CZ$9:$DF$508,5,FALSE()))</f>
        <v/>
      </c>
      <c r="DL270" s="151" t="str">
        <f aca="false">IF($CX270&gt;$CW$8,"",VLOOKUP($CX270,$CZ$9:$DF$508,6,FALSE()))</f>
        <v/>
      </c>
      <c r="DM270" s="75"/>
    </row>
    <row r="271" customFormat="false" ht="15.75" hidden="false" customHeight="false" outlineLevel="0" collapsed="false">
      <c r="A271" s="9"/>
      <c r="B271" s="157"/>
      <c r="C271" s="158"/>
      <c r="D271" s="159"/>
      <c r="E271" s="177"/>
      <c r="F271" s="161"/>
      <c r="G271" s="162"/>
      <c r="H271" s="162"/>
      <c r="I271" s="178"/>
      <c r="J271" s="165"/>
      <c r="K271" s="126"/>
      <c r="L271" s="127"/>
      <c r="M271" s="128"/>
      <c r="N271" s="165"/>
      <c r="O271" s="165"/>
      <c r="P271" s="177"/>
      <c r="Q271" s="165"/>
      <c r="R271" s="165"/>
      <c r="S271" s="126"/>
      <c r="T271" s="128"/>
      <c r="U271" s="128"/>
      <c r="V271" s="165"/>
      <c r="W271" s="165"/>
      <c r="X271" s="177"/>
      <c r="Y271" s="165"/>
      <c r="Z271" s="166"/>
      <c r="AA271" s="165"/>
      <c r="AB271" s="132"/>
      <c r="AC271" s="133"/>
      <c r="AD271" s="133"/>
      <c r="AE271" s="133"/>
      <c r="AF271" s="133" t="str">
        <f aca="false">IF(ISBLANK($C271),"",IF(E271=Constants!$B$3,TRUE(),IF(E271=Constants!$B$4,FALSE(),TRUE())))</f>
        <v/>
      </c>
      <c r="AG271" s="133" t="str">
        <f aca="false">IF(ISBLANK($C271),"",IF(F271=Constants!$B$3,TRUE(),IF(F271=Constants!$B$4,FALSE(),TRUE())))</f>
        <v/>
      </c>
      <c r="AH271" s="133" t="str">
        <f aca="false">IF(ISBLANK($C271),"",IF(G271=Constants!$B$3,TRUE(),IF(G271=Constants!$B$4,FALSE(),TRUE())))</f>
        <v/>
      </c>
      <c r="AI271" s="133" t="str">
        <f aca="false">IF(ISBLANK($C271),"",IF(AND(ISNUMBER(H271),H271&gt;=0),H271,Constants!$B$29))</f>
        <v/>
      </c>
      <c r="AJ271" s="133" t="str">
        <f aca="false">IF(ISBLANK($C271),"",IF(I271=Constants!$B$3,TRUE(),IF(I271=Constants!$B$4,FALSE(),TRUE())))</f>
        <v/>
      </c>
      <c r="AK271" s="133" t="str">
        <f aca="false">IF(ISBLANK($C271),"",IF(J271=Constants!$B$3,TRUE(),IF(J271=Constants!$B$4,FALSE(),TRUE())))</f>
        <v/>
      </c>
      <c r="AL271" s="133" t="str">
        <f aca="false">IF(ISBLANK($C271),"",IF(K271=Constants!$B$5,TRUE(),IF(K271=Constants!$B$6,FALSE(),COUNTA(L271:P271)&gt;0)))</f>
        <v/>
      </c>
      <c r="AM271" s="134" t="str">
        <f aca="false">IF(ISBLANK($C271),"",IF(ISNUMBER(L271),IF(L271&gt;=0,L271,""),""))</f>
        <v/>
      </c>
      <c r="AN271" s="135" t="str">
        <f aca="false">IF(ISBLANK($C271),"",IF(ISNUMBER(M271),IF(M271&gt;=0,M271,""),""))</f>
        <v/>
      </c>
      <c r="AO271" s="135" t="str">
        <f aca="false">IF(ISBLANK($C271),"",IF(N271=Constants!$B$3,TRUE(),IF(N271=Constants!$B$4,FALSE(),TRUE())))</f>
        <v/>
      </c>
      <c r="AP271" s="133" t="str">
        <f aca="false">IF(ISBLANK($C271),"",IF(ISNUMBER(O271),IF(O271&gt;=0,O271,""),""))</f>
        <v/>
      </c>
      <c r="AQ271" s="133" t="str">
        <f aca="false">IF(ISBLANK($C271),"",IF(P271=Constants!$B$3,TRUE(),IF(P271=Constants!$B$4,FALSE(),FALSE())))</f>
        <v/>
      </c>
      <c r="AR271" s="133" t="str">
        <f aca="false">IF(ISBLANK($C271),"",IF(Q271=Constants!$B$3,TRUE(),IF(Q271=Constants!$B$4,FALSE(),TRUE())))</f>
        <v/>
      </c>
      <c r="AS271" s="133" t="str">
        <f aca="false">IF(ISBLANK($C271),"",IF(R271=Constants!$B$3,TRUE(),IF(R271=Constants!$B$4,FALSE(),TRUE())))</f>
        <v/>
      </c>
      <c r="AT271" s="133" t="str">
        <f aca="false">IF(ISBLANK($C271),"",IF(S271=Constants!$B$5,TRUE(),IF(S271=Constants!$B$6,FALSE(),COUNTA(T271:X271)&gt;0)))</f>
        <v/>
      </c>
      <c r="AU271" s="134" t="str">
        <f aca="false">IF(ISBLANK($C271),"",IF(ISNUMBER(T271),IF(T271&gt;=0,T271,""),""))</f>
        <v/>
      </c>
      <c r="AV271" s="135" t="str">
        <f aca="false">IF(ISBLANK($C271),"",IF(ISNUMBER(U271),IF(U271&gt;=0,U271,""),""))</f>
        <v/>
      </c>
      <c r="AW271" s="135" t="str">
        <f aca="false">IF(ISBLANK($C271),"",IF(V271=Constants!$B$3,TRUE(),IF(V271=Constants!$B$4,FALSE(),TRUE())))</f>
        <v/>
      </c>
      <c r="AX271" s="133" t="str">
        <f aca="false">IF(ISBLANK($C271),"",IF(ISNUMBER(W271),IF(W271&gt;=0,W271,""),""))</f>
        <v/>
      </c>
      <c r="AY271" s="133" t="str">
        <f aca="false">IF(ISBLANK($C271),"",IF(X271=Constants!$B$3,TRUE(),IF(X271=Constants!$B$4,FALSE(),FALSE())))</f>
        <v/>
      </c>
      <c r="AZ271" s="133" t="str">
        <f aca="false">IF(ISBLANK($C271),"",MIN(Constants!$B$31,MAX(0,IF(ISNUMBER(Y271),Y271*60,0)+IF(ISNUMBER(Z271),Z271,0))))</f>
        <v/>
      </c>
      <c r="BA271" s="133" t="str">
        <f aca="false">IF(ISBLANK($C271),"",IF(AA271=Constants!$B$3,TRUE(),IF(AA271=Constants!$B$4,FALSE(),FALSE())))</f>
        <v/>
      </c>
      <c r="BB271" s="132" t="str">
        <f aca="false">IF(ISBLANK($C271),"",AND($AL271,OR($AM271="",$AN271="",AND($AO271,$AP271=""))))</f>
        <v/>
      </c>
      <c r="BC271" s="135" t="str">
        <f aca="false">IF($BR271&lt;&gt;Constants!$B$8,"",IF($AL271,Constants!$B$21*$AN271+Constants!$B$22*IF($AO271,$AP271,Constants!$B$23),Constants!$B$24))</f>
        <v/>
      </c>
      <c r="BD271" s="136" t="str">
        <f aca="false">IF($BR271&lt;&gt;Constants!$B$8,"",Constants!$B$25*ABS($AD$9-IF($AL271,$AM271,0)))</f>
        <v/>
      </c>
      <c r="BE271" s="136" t="str">
        <f aca="false">IF($BR271&lt;&gt;Constants!$B$8,"",IF(AND($AL271,$AQ271,$AO271),Constants!$B$27,0))</f>
        <v/>
      </c>
      <c r="BF271" s="136" t="str">
        <f aca="false">IF($BR271&lt;&gt;Constants!$B$8,"",IF($AL271,($AI271-Constants!$B$29)*Constants!$B$28,0))</f>
        <v/>
      </c>
      <c r="BG271" s="136" t="str">
        <f aca="false">IF($BR271&lt;&gt;Constants!$B$8,"",IF($AK271,0,Constants!$B$15)+IF($AJ271,0,Constants!$B$16)+IF($AH271,0,Constants!$B$17))</f>
        <v/>
      </c>
      <c r="BH271" s="137" t="str">
        <f aca="false">IF($BR271&lt;&gt;Constants!$B$8,"",Constants!$B$20+SUM($BC271:$BG271))</f>
        <v/>
      </c>
      <c r="BI271" s="133" t="str">
        <f aca="false">IF($BR271&lt;&gt;Constants!$B$8,"",IF(OR($BP271&lt;$BH271,AND($BP271=$BH271,OR($BK271&lt;$BC271,AND($BK271=$BC271,OR($BL271&lt;$BD271,AND($BL271=$BD271,$AT271,$AL271,$AV271&lt;$AN271)))))),"-&gt;","&lt;-"))</f>
        <v/>
      </c>
      <c r="BJ271" s="132" t="str">
        <f aca="false">IF(ISBLANK($C271),"",AND($AT271,OR($AU271="",$AV271="",AND($AW271,$AX271=""))))</f>
        <v/>
      </c>
      <c r="BK271" s="135" t="str">
        <f aca="false">IF($BR271&lt;&gt;Constants!$B$8,"",IF($AT271,Constants!$B$21*$AV271+Constants!$B$22*IF($AW271,$AX271,Constants!$B$23),Constants!$B$24))</f>
        <v/>
      </c>
      <c r="BL271" s="136" t="str">
        <f aca="false">IF($BR271&lt;&gt;Constants!$B$8,"",Constants!$B$25*ABS($AD$9-IF($AT271,$AU271,0)))</f>
        <v/>
      </c>
      <c r="BM271" s="136" t="str">
        <f aca="false">IF($BR271&lt;&gt;Constants!$B$8,"",IF(AND($AT271,$AY271,$AW271),Constants!$B$27,0))</f>
        <v/>
      </c>
      <c r="BN271" s="136" t="str">
        <f aca="false">IF($BR271&lt;&gt;Constants!$B$8,"",IF($AT271,($AI271-Constants!$B$29)*Constants!$B$28,0))</f>
        <v/>
      </c>
      <c r="BO271" s="136" t="str">
        <f aca="false">IF($BR271&lt;&gt;Constants!$B$8,"",IF($AS271,0,Constants!$B$15)+IF($AR271,0,Constants!$B$16)+IF($AH271,0,Constants!$B$17))</f>
        <v/>
      </c>
      <c r="BP271" s="137" t="str">
        <f aca="false">IF($BR271&lt;&gt;Constants!$B$8,"",Constants!$B$20+SUM($BK271:$BO271))</f>
        <v/>
      </c>
      <c r="BQ271" s="133" t="str">
        <f aca="false">IF(ISBLANK($C271),"",IF(ISBLANK($D$7),$BQ$5,IF(NOT(ISNUMBER($D$7)),$BQ$6,"")))</f>
        <v/>
      </c>
      <c r="BR271" s="133" t="str">
        <f aca="false">IF(ISBLANK($C271),"",IF($BA271,Constants!$B$11,IF(COUNTA($E271:$AA271)=0,Constants!$B$10,IF(NOT($AG271),Constants!$B$9,IF(OR($BQ271&lt;&gt;"",$BB271,$BJ271),Constants!$B$12,Constants!$B$8)))))</f>
        <v/>
      </c>
      <c r="BS271" s="133" t="str">
        <f aca="false">IF(ISBLANK($C271),"",IF($BR271&lt;&gt;Constants!$B$8,$BR271,Constants!$B$13))</f>
        <v/>
      </c>
      <c r="BT271" s="136" t="str">
        <f aca="false">IF($BR271&lt;&gt;Constants!$B$8,"",IF($BI271="-&gt;",$BP271,$BH271))</f>
        <v/>
      </c>
      <c r="BU271" s="136" t="str">
        <f aca="false">IF($BR271&lt;&gt;Constants!$B$8,"",IF($AF271,0,Constants!$B$18))</f>
        <v/>
      </c>
      <c r="BV271" s="136" t="str">
        <f aca="false">IF($BR271&lt;&gt;Constants!$B$8,"",((Constants!$B$31-$AZ271)-Constants!$B$31)/Constants!$B$32)</f>
        <v/>
      </c>
      <c r="BW271" s="136" t="str">
        <f aca="false">IF(ISBLANK($C271),"",IF($BR271&lt;&gt;Constants!$B$8,$BR271,SUM($BT271:$BV271)))</f>
        <v/>
      </c>
      <c r="BX271" s="133" t="str">
        <f aca="false">IF(ISBLANK($C271),"",IF($BR271&lt;&gt;Constants!$B$8,$BR271,RANK($BW271,$BW$9:$BW$508,1)))</f>
        <v/>
      </c>
      <c r="BY271" s="136" t="str">
        <f aca="false">IF($BR271&lt;&gt;Constants!$B$8,"",IF($BI271="-&gt;",$BK271,$BC271))</f>
        <v/>
      </c>
      <c r="BZ271" s="133" t="str">
        <f aca="false">IF(ISBLANK($C271),"",IF($BR271&lt;&gt;Constants!$B$8,$BR271,IF(ISNUMBER($BY271),RANK($BY271,$BY$9:$BY$508,1),COUNT($BY$9:$BY$508)+1)))</f>
        <v/>
      </c>
      <c r="CA271" s="136" t="str">
        <f aca="false">IF($BR271&lt;&gt;Constants!$B$8,"",IF($BI271="-&gt;",$BL271,$BD271))</f>
        <v/>
      </c>
      <c r="CB271" s="133" t="str">
        <f aca="false">IF(ISBLANK($C271),"",IF($BR271&lt;&gt;Constants!$B$8,$BR271,IF(ISNUMBER($CA271),RANK($CA271,$CA$9:$CA$508,1),COUNT($CA$9:$CA$508)+1)))</f>
        <v/>
      </c>
      <c r="CC271" s="136" t="str">
        <f aca="false">IF($BR271&lt;&gt;Constants!$B$8,"",IF($BI271="-&gt;",IF($AT271,$AV271,""),IF($AL271,$AN271,"")))</f>
        <v/>
      </c>
      <c r="CD271" s="133" t="str">
        <f aca="false">IF(ISBLANK($C271),"",IF($BR271&lt;&gt;Constants!$B$8,$BR271,IF(ISNUMBER($CC271),RANK($CC271,$CC$9:$CC$508,1),COUNT($CC$9:$CC$508)+1)))</f>
        <v/>
      </c>
      <c r="CE271" s="136" t="str">
        <f aca="false">IF($BR271&lt;&gt;Constants!$B$8,"",IF(AND(NOT($AL271),NOT($AT271),$AJ271,$AK271,$AR271,$AS271),"",$AI271))</f>
        <v/>
      </c>
      <c r="CF271" s="133" t="str">
        <f aca="false">IF(ISBLANK($C271),"",IF($BR271&lt;&gt;Constants!$B$8,$BR271,IF(ISNUMBER($CE271),RANK($CE271,$CE$9:$CE$508,1),COUNT($CE$9:$CE$508)+1)))</f>
        <v/>
      </c>
      <c r="CG271" s="133" t="str">
        <f aca="false">IF(ISBLANK($C271),"",IF($BR271&lt;&gt;Constants!$B$8,$BR271,COUNTIFS($BX$9:$BX$508,"&lt;"&amp;$BX271)+COUNTIFS($BX$9:$BX$508,$BX271,$BZ$9:$BZ$508,"&lt;"&amp;$BZ271)+COUNTIFS($BX$9:$BX$508,$BX271,$BZ$9:$BZ$508,$BZ271,$CB$9:$CB$508,"&lt;"&amp;$CB271)+COUNTIFS($BX$9:$BX$508,$BX271,$BZ$9:$BZ$508,$BZ271,$CB$9:$CB$508,$CB271,$CD$9:$CD$508,"&lt;"&amp;$CD271)+COUNTIFS($BX$9:$BX$508,$BX271,$BZ$9:$BZ$508,$BZ271,$CB$9:$CB$508,$CB271,$CD$9:$CD$508,$CD271,$CF$9:$CF$508,"&lt;"&amp;$CF271)+1))</f>
        <v/>
      </c>
      <c r="CH271" s="133" t="str">
        <f aca="false">IF(ISBLANK($C271),"",IF($BR271&lt;&gt;Constants!$B$8,$BR271,$BX271-$CG271))</f>
        <v/>
      </c>
      <c r="CI271" s="138"/>
      <c r="CJ271" s="139"/>
      <c r="CK271" s="140" t="str">
        <f aca="false">IF(ISBLANK($C271),"",IF($BR271=Constants!$B$12,$BQ271,""))</f>
        <v/>
      </c>
      <c r="CL271" s="139" t="str">
        <f aca="false">IF(ISBLANK($C271),"",IF($BR271&lt;&gt;Constants!$B$8,"",IF($BI271="-&gt;",2,1)))</f>
        <v/>
      </c>
      <c r="CM271" s="141" t="str">
        <f aca="false">IF(ISBLANK($C271),"",IF($BR271&lt;&gt;Constants!$B$8,"",IF($BI271="-&gt;",$BK271,$BC271)))</f>
        <v/>
      </c>
      <c r="CN271" s="141" t="str">
        <f aca="false">IF(ISBLANK($C271),"",IF($BR271&lt;&gt;Constants!$B$8,"",IF($BI271="-&gt;",$BL271,$BD271)))</f>
        <v/>
      </c>
      <c r="CO271" s="141" t="str">
        <f aca="false">IF(ISBLANK($C271),"",IF($BR271&lt;&gt;Constants!$B$8,"",IF($BI271="-&gt;",$BM271+$BN271,$BE271+$BF271)+$BV271))</f>
        <v/>
      </c>
      <c r="CP271" s="141" t="str">
        <f aca="false">IF(ISBLANK($C271),"",IF($BR271&lt;&gt;Constants!$B$8,"",IF($BI271="-&gt;",$BO271,$BG271)+$BU271))</f>
        <v/>
      </c>
      <c r="CQ271" s="142" t="str">
        <f aca="false">IF(ISBLANK($C271),"",IF($BR271&lt;&gt;Constants!$B$8,$BR271,$BW271))</f>
        <v/>
      </c>
      <c r="CR271" s="143" t="str">
        <f aca="false">IF(ISBLANK($C271),"",$BS271)</f>
        <v/>
      </c>
      <c r="CS271" s="144" t="str">
        <f aca="false">IF(ISBLANK($C271),"",$CH271)</f>
        <v/>
      </c>
      <c r="CT271" s="144" t="str">
        <f aca="false">IF(ISBLANK($C271),"",$CG271)</f>
        <v/>
      </c>
      <c r="CU271" s="145" t="str">
        <f aca="false">IF(ISBLANK($C271),"",IFERROR(_xlfn.SWITCH($CT271,Constants!$B$11,COUNTA($C$9:$C$508)+2,Constants!$B$10,COUNTA($C$9:$C$508)+1,Constants!$B$9,COUNTA($C$9:$C$508)),$CT271))</f>
        <v/>
      </c>
      <c r="CV271" s="9"/>
      <c r="CW271" s="146" t="n">
        <f aca="false">IF(OR(ISNUMBER($CT271),$CT271=Constants!$B$11,$CT271=Constants!$B$9,$CT271=Constants!$B$10),1,0)</f>
        <v>0</v>
      </c>
      <c r="CX271" s="146" t="n">
        <v>263</v>
      </c>
      <c r="CY271" s="146" t="str">
        <f aca="false">IF(ISBLANK($C271),"",IF(ISNUMBER($CU271),$CU271+ROW($B271)/1000,""))</f>
        <v/>
      </c>
      <c r="CZ271" s="146" t="str">
        <f aca="false">IF(ISNUMBER($CY271),RANK($CY271,$CY$9:$CY$508,1),"")</f>
        <v/>
      </c>
      <c r="DA271" s="146" t="str">
        <f aca="false">IF(ISBLANK($C271),"",$B271)</f>
        <v/>
      </c>
      <c r="DB271" s="146" t="str">
        <f aca="false">IF(ISBLANK($C271),"",$C271)</f>
        <v/>
      </c>
      <c r="DC271" s="146" t="str">
        <f aca="false">IF(ISBLANK($C271),"",$D271)</f>
        <v/>
      </c>
      <c r="DD271" s="147" t="str">
        <f aca="false">$CR271</f>
        <v/>
      </c>
      <c r="DE271" s="148" t="str">
        <f aca="false">$CQ271</f>
        <v/>
      </c>
      <c r="DF271" s="146" t="str">
        <f aca="false">IF(ISBLANK($C271),"",$CT271)</f>
        <v/>
      </c>
      <c r="DG271" s="149" t="str">
        <f aca="false">IF($CX271&gt;$CW$8,"",VLOOKUP($CX271,$CZ$9:$DF$508,7,FALSE()))</f>
        <v/>
      </c>
      <c r="DH271" s="150" t="str">
        <f aca="false">IF($CX271&gt;$CW$8,"",VLOOKUP($CX271,$CZ$9:$DF$508,2,FALSE()))</f>
        <v/>
      </c>
      <c r="DI271" s="150" t="str">
        <f aca="false">IF($CX271&gt;$CW$8,"",VLOOKUP($CX271,$CZ$9:$DF$508,3,FALSE()))</f>
        <v/>
      </c>
      <c r="DJ271" s="150" t="str">
        <f aca="false">IF($CX271&gt;$CW$8,"",VLOOKUP($CX271,$CZ$9:$DF$508,4,FALSE()))</f>
        <v/>
      </c>
      <c r="DK271" s="150" t="str">
        <f aca="false">IF($CX271&gt;$CW$8,"",VLOOKUP($CX271,$CZ$9:$DF$508,5,FALSE()))</f>
        <v/>
      </c>
      <c r="DL271" s="151" t="str">
        <f aca="false">IF($CX271&gt;$CW$8,"",VLOOKUP($CX271,$CZ$9:$DF$508,6,FALSE()))</f>
        <v/>
      </c>
      <c r="DM271" s="75"/>
    </row>
    <row r="272" customFormat="false" ht="15.75" hidden="false" customHeight="false" outlineLevel="0" collapsed="false">
      <c r="A272" s="9"/>
      <c r="B272" s="157"/>
      <c r="C272" s="158"/>
      <c r="D272" s="159"/>
      <c r="E272" s="177"/>
      <c r="F272" s="161"/>
      <c r="G272" s="162"/>
      <c r="H272" s="162"/>
      <c r="I272" s="178"/>
      <c r="J272" s="165"/>
      <c r="K272" s="126"/>
      <c r="L272" s="127"/>
      <c r="M272" s="128"/>
      <c r="N272" s="165"/>
      <c r="O272" s="165"/>
      <c r="P272" s="177"/>
      <c r="Q272" s="165"/>
      <c r="R272" s="165"/>
      <c r="S272" s="126"/>
      <c r="T272" s="128"/>
      <c r="U272" s="128"/>
      <c r="V272" s="165"/>
      <c r="W272" s="165"/>
      <c r="X272" s="177"/>
      <c r="Y272" s="165"/>
      <c r="Z272" s="166"/>
      <c r="AA272" s="165"/>
      <c r="AB272" s="132"/>
      <c r="AC272" s="133"/>
      <c r="AD272" s="133"/>
      <c r="AE272" s="133"/>
      <c r="AF272" s="133" t="str">
        <f aca="false">IF(ISBLANK($C272),"",IF(E272=Constants!$B$3,TRUE(),IF(E272=Constants!$B$4,FALSE(),TRUE())))</f>
        <v/>
      </c>
      <c r="AG272" s="133" t="str">
        <f aca="false">IF(ISBLANK($C272),"",IF(F272=Constants!$B$3,TRUE(),IF(F272=Constants!$B$4,FALSE(),TRUE())))</f>
        <v/>
      </c>
      <c r="AH272" s="133" t="str">
        <f aca="false">IF(ISBLANK($C272),"",IF(G272=Constants!$B$3,TRUE(),IF(G272=Constants!$B$4,FALSE(),TRUE())))</f>
        <v/>
      </c>
      <c r="AI272" s="133" t="str">
        <f aca="false">IF(ISBLANK($C272),"",IF(AND(ISNUMBER(H272),H272&gt;=0),H272,Constants!$B$29))</f>
        <v/>
      </c>
      <c r="AJ272" s="133" t="str">
        <f aca="false">IF(ISBLANK($C272),"",IF(I272=Constants!$B$3,TRUE(),IF(I272=Constants!$B$4,FALSE(),TRUE())))</f>
        <v/>
      </c>
      <c r="AK272" s="133" t="str">
        <f aca="false">IF(ISBLANK($C272),"",IF(J272=Constants!$B$3,TRUE(),IF(J272=Constants!$B$4,FALSE(),TRUE())))</f>
        <v/>
      </c>
      <c r="AL272" s="133" t="str">
        <f aca="false">IF(ISBLANK($C272),"",IF(K272=Constants!$B$5,TRUE(),IF(K272=Constants!$B$6,FALSE(),COUNTA(L272:P272)&gt;0)))</f>
        <v/>
      </c>
      <c r="AM272" s="134" t="str">
        <f aca="false">IF(ISBLANK($C272),"",IF(ISNUMBER(L272),IF(L272&gt;=0,L272,""),""))</f>
        <v/>
      </c>
      <c r="AN272" s="135" t="str">
        <f aca="false">IF(ISBLANK($C272),"",IF(ISNUMBER(M272),IF(M272&gt;=0,M272,""),""))</f>
        <v/>
      </c>
      <c r="AO272" s="135" t="str">
        <f aca="false">IF(ISBLANK($C272),"",IF(N272=Constants!$B$3,TRUE(),IF(N272=Constants!$B$4,FALSE(),TRUE())))</f>
        <v/>
      </c>
      <c r="AP272" s="133" t="str">
        <f aca="false">IF(ISBLANK($C272),"",IF(ISNUMBER(O272),IF(O272&gt;=0,O272,""),""))</f>
        <v/>
      </c>
      <c r="AQ272" s="133" t="str">
        <f aca="false">IF(ISBLANK($C272),"",IF(P272=Constants!$B$3,TRUE(),IF(P272=Constants!$B$4,FALSE(),FALSE())))</f>
        <v/>
      </c>
      <c r="AR272" s="133" t="str">
        <f aca="false">IF(ISBLANK($C272),"",IF(Q272=Constants!$B$3,TRUE(),IF(Q272=Constants!$B$4,FALSE(),TRUE())))</f>
        <v/>
      </c>
      <c r="AS272" s="133" t="str">
        <f aca="false">IF(ISBLANK($C272),"",IF(R272=Constants!$B$3,TRUE(),IF(R272=Constants!$B$4,FALSE(),TRUE())))</f>
        <v/>
      </c>
      <c r="AT272" s="133" t="str">
        <f aca="false">IF(ISBLANK($C272),"",IF(S272=Constants!$B$5,TRUE(),IF(S272=Constants!$B$6,FALSE(),COUNTA(T272:X272)&gt;0)))</f>
        <v/>
      </c>
      <c r="AU272" s="134" t="str">
        <f aca="false">IF(ISBLANK($C272),"",IF(ISNUMBER(T272),IF(T272&gt;=0,T272,""),""))</f>
        <v/>
      </c>
      <c r="AV272" s="135" t="str">
        <f aca="false">IF(ISBLANK($C272),"",IF(ISNUMBER(U272),IF(U272&gt;=0,U272,""),""))</f>
        <v/>
      </c>
      <c r="AW272" s="135" t="str">
        <f aca="false">IF(ISBLANK($C272),"",IF(V272=Constants!$B$3,TRUE(),IF(V272=Constants!$B$4,FALSE(),TRUE())))</f>
        <v/>
      </c>
      <c r="AX272" s="133" t="str">
        <f aca="false">IF(ISBLANK($C272),"",IF(ISNUMBER(W272),IF(W272&gt;=0,W272,""),""))</f>
        <v/>
      </c>
      <c r="AY272" s="133" t="str">
        <f aca="false">IF(ISBLANK($C272),"",IF(X272=Constants!$B$3,TRUE(),IF(X272=Constants!$B$4,FALSE(),FALSE())))</f>
        <v/>
      </c>
      <c r="AZ272" s="133" t="str">
        <f aca="false">IF(ISBLANK($C272),"",MIN(Constants!$B$31,MAX(0,IF(ISNUMBER(Y272),Y272*60,0)+IF(ISNUMBER(Z272),Z272,0))))</f>
        <v/>
      </c>
      <c r="BA272" s="133" t="str">
        <f aca="false">IF(ISBLANK($C272),"",IF(AA272=Constants!$B$3,TRUE(),IF(AA272=Constants!$B$4,FALSE(),FALSE())))</f>
        <v/>
      </c>
      <c r="BB272" s="132" t="str">
        <f aca="false">IF(ISBLANK($C272),"",AND($AL272,OR($AM272="",$AN272="",AND($AO272,$AP272=""))))</f>
        <v/>
      </c>
      <c r="BC272" s="135" t="str">
        <f aca="false">IF($BR272&lt;&gt;Constants!$B$8,"",IF($AL272,Constants!$B$21*$AN272+Constants!$B$22*IF($AO272,$AP272,Constants!$B$23),Constants!$B$24))</f>
        <v/>
      </c>
      <c r="BD272" s="136" t="str">
        <f aca="false">IF($BR272&lt;&gt;Constants!$B$8,"",Constants!$B$25*ABS($AD$9-IF($AL272,$AM272,0)))</f>
        <v/>
      </c>
      <c r="BE272" s="136" t="str">
        <f aca="false">IF($BR272&lt;&gt;Constants!$B$8,"",IF(AND($AL272,$AQ272,$AO272),Constants!$B$27,0))</f>
        <v/>
      </c>
      <c r="BF272" s="136" t="str">
        <f aca="false">IF($BR272&lt;&gt;Constants!$B$8,"",IF($AL272,($AI272-Constants!$B$29)*Constants!$B$28,0))</f>
        <v/>
      </c>
      <c r="BG272" s="136" t="str">
        <f aca="false">IF($BR272&lt;&gt;Constants!$B$8,"",IF($AK272,0,Constants!$B$15)+IF($AJ272,0,Constants!$B$16)+IF($AH272,0,Constants!$B$17))</f>
        <v/>
      </c>
      <c r="BH272" s="137" t="str">
        <f aca="false">IF($BR272&lt;&gt;Constants!$B$8,"",Constants!$B$20+SUM($BC272:$BG272))</f>
        <v/>
      </c>
      <c r="BI272" s="133" t="str">
        <f aca="false">IF($BR272&lt;&gt;Constants!$B$8,"",IF(OR($BP272&lt;$BH272,AND($BP272=$BH272,OR($BK272&lt;$BC272,AND($BK272=$BC272,OR($BL272&lt;$BD272,AND($BL272=$BD272,$AT272,$AL272,$AV272&lt;$AN272)))))),"-&gt;","&lt;-"))</f>
        <v/>
      </c>
      <c r="BJ272" s="132" t="str">
        <f aca="false">IF(ISBLANK($C272),"",AND($AT272,OR($AU272="",$AV272="",AND($AW272,$AX272=""))))</f>
        <v/>
      </c>
      <c r="BK272" s="135" t="str">
        <f aca="false">IF($BR272&lt;&gt;Constants!$B$8,"",IF($AT272,Constants!$B$21*$AV272+Constants!$B$22*IF($AW272,$AX272,Constants!$B$23),Constants!$B$24))</f>
        <v/>
      </c>
      <c r="BL272" s="136" t="str">
        <f aca="false">IF($BR272&lt;&gt;Constants!$B$8,"",Constants!$B$25*ABS($AD$9-IF($AT272,$AU272,0)))</f>
        <v/>
      </c>
      <c r="BM272" s="136" t="str">
        <f aca="false">IF($BR272&lt;&gt;Constants!$B$8,"",IF(AND($AT272,$AY272,$AW272),Constants!$B$27,0))</f>
        <v/>
      </c>
      <c r="BN272" s="136" t="str">
        <f aca="false">IF($BR272&lt;&gt;Constants!$B$8,"",IF($AT272,($AI272-Constants!$B$29)*Constants!$B$28,0))</f>
        <v/>
      </c>
      <c r="BO272" s="136" t="str">
        <f aca="false">IF($BR272&lt;&gt;Constants!$B$8,"",IF($AS272,0,Constants!$B$15)+IF($AR272,0,Constants!$B$16)+IF($AH272,0,Constants!$B$17))</f>
        <v/>
      </c>
      <c r="BP272" s="137" t="str">
        <f aca="false">IF($BR272&lt;&gt;Constants!$B$8,"",Constants!$B$20+SUM($BK272:$BO272))</f>
        <v/>
      </c>
      <c r="BQ272" s="133" t="str">
        <f aca="false">IF(ISBLANK($C272),"",IF(ISBLANK($D$7),$BQ$5,IF(NOT(ISNUMBER($D$7)),$BQ$6,"")))</f>
        <v/>
      </c>
      <c r="BR272" s="133" t="str">
        <f aca="false">IF(ISBLANK($C272),"",IF($BA272,Constants!$B$11,IF(COUNTA($E272:$AA272)=0,Constants!$B$10,IF(NOT($AG272),Constants!$B$9,IF(OR($BQ272&lt;&gt;"",$BB272,$BJ272),Constants!$B$12,Constants!$B$8)))))</f>
        <v/>
      </c>
      <c r="BS272" s="133" t="str">
        <f aca="false">IF(ISBLANK($C272),"",IF($BR272&lt;&gt;Constants!$B$8,$BR272,Constants!$B$13))</f>
        <v/>
      </c>
      <c r="BT272" s="136" t="str">
        <f aca="false">IF($BR272&lt;&gt;Constants!$B$8,"",IF($BI272="-&gt;",$BP272,$BH272))</f>
        <v/>
      </c>
      <c r="BU272" s="136" t="str">
        <f aca="false">IF($BR272&lt;&gt;Constants!$B$8,"",IF($AF272,0,Constants!$B$18))</f>
        <v/>
      </c>
      <c r="BV272" s="136" t="str">
        <f aca="false">IF($BR272&lt;&gt;Constants!$B$8,"",((Constants!$B$31-$AZ272)-Constants!$B$31)/Constants!$B$32)</f>
        <v/>
      </c>
      <c r="BW272" s="136" t="str">
        <f aca="false">IF(ISBLANK($C272),"",IF($BR272&lt;&gt;Constants!$B$8,$BR272,SUM($BT272:$BV272)))</f>
        <v/>
      </c>
      <c r="BX272" s="133" t="str">
        <f aca="false">IF(ISBLANK($C272),"",IF($BR272&lt;&gt;Constants!$B$8,$BR272,RANK($BW272,$BW$9:$BW$508,1)))</f>
        <v/>
      </c>
      <c r="BY272" s="136" t="str">
        <f aca="false">IF($BR272&lt;&gt;Constants!$B$8,"",IF($BI272="-&gt;",$BK272,$BC272))</f>
        <v/>
      </c>
      <c r="BZ272" s="133" t="str">
        <f aca="false">IF(ISBLANK($C272),"",IF($BR272&lt;&gt;Constants!$B$8,$BR272,IF(ISNUMBER($BY272),RANK($BY272,$BY$9:$BY$508,1),COUNT($BY$9:$BY$508)+1)))</f>
        <v/>
      </c>
      <c r="CA272" s="136" t="str">
        <f aca="false">IF($BR272&lt;&gt;Constants!$B$8,"",IF($BI272="-&gt;",$BL272,$BD272))</f>
        <v/>
      </c>
      <c r="CB272" s="133" t="str">
        <f aca="false">IF(ISBLANK($C272),"",IF($BR272&lt;&gt;Constants!$B$8,$BR272,IF(ISNUMBER($CA272),RANK($CA272,$CA$9:$CA$508,1),COUNT($CA$9:$CA$508)+1)))</f>
        <v/>
      </c>
      <c r="CC272" s="136" t="str">
        <f aca="false">IF($BR272&lt;&gt;Constants!$B$8,"",IF($BI272="-&gt;",IF($AT272,$AV272,""),IF($AL272,$AN272,"")))</f>
        <v/>
      </c>
      <c r="CD272" s="133" t="str">
        <f aca="false">IF(ISBLANK($C272),"",IF($BR272&lt;&gt;Constants!$B$8,$BR272,IF(ISNUMBER($CC272),RANK($CC272,$CC$9:$CC$508,1),COUNT($CC$9:$CC$508)+1)))</f>
        <v/>
      </c>
      <c r="CE272" s="136" t="str">
        <f aca="false">IF($BR272&lt;&gt;Constants!$B$8,"",IF(AND(NOT($AL272),NOT($AT272),$AJ272,$AK272,$AR272,$AS272),"",$AI272))</f>
        <v/>
      </c>
      <c r="CF272" s="133" t="str">
        <f aca="false">IF(ISBLANK($C272),"",IF($BR272&lt;&gt;Constants!$B$8,$BR272,IF(ISNUMBER($CE272),RANK($CE272,$CE$9:$CE$508,1),COUNT($CE$9:$CE$508)+1)))</f>
        <v/>
      </c>
      <c r="CG272" s="133" t="str">
        <f aca="false">IF(ISBLANK($C272),"",IF($BR272&lt;&gt;Constants!$B$8,$BR272,COUNTIFS($BX$9:$BX$508,"&lt;"&amp;$BX272)+COUNTIFS($BX$9:$BX$508,$BX272,$BZ$9:$BZ$508,"&lt;"&amp;$BZ272)+COUNTIFS($BX$9:$BX$508,$BX272,$BZ$9:$BZ$508,$BZ272,$CB$9:$CB$508,"&lt;"&amp;$CB272)+COUNTIFS($BX$9:$BX$508,$BX272,$BZ$9:$BZ$508,$BZ272,$CB$9:$CB$508,$CB272,$CD$9:$CD$508,"&lt;"&amp;$CD272)+COUNTIFS($BX$9:$BX$508,$BX272,$BZ$9:$BZ$508,$BZ272,$CB$9:$CB$508,$CB272,$CD$9:$CD$508,$CD272,$CF$9:$CF$508,"&lt;"&amp;$CF272)+1))</f>
        <v/>
      </c>
      <c r="CH272" s="133" t="str">
        <f aca="false">IF(ISBLANK($C272),"",IF($BR272&lt;&gt;Constants!$B$8,$BR272,$BX272-$CG272))</f>
        <v/>
      </c>
      <c r="CI272" s="138"/>
      <c r="CJ272" s="139"/>
      <c r="CK272" s="140" t="str">
        <f aca="false">IF(ISBLANK($C272),"",IF($BR272=Constants!$B$12,$BQ272,""))</f>
        <v/>
      </c>
      <c r="CL272" s="139" t="str">
        <f aca="false">IF(ISBLANK($C272),"",IF($BR272&lt;&gt;Constants!$B$8,"",IF($BI272="-&gt;",2,1)))</f>
        <v/>
      </c>
      <c r="CM272" s="141" t="str">
        <f aca="false">IF(ISBLANK($C272),"",IF($BR272&lt;&gt;Constants!$B$8,"",IF($BI272="-&gt;",$BK272,$BC272)))</f>
        <v/>
      </c>
      <c r="CN272" s="141" t="str">
        <f aca="false">IF(ISBLANK($C272),"",IF($BR272&lt;&gt;Constants!$B$8,"",IF($BI272="-&gt;",$BL272,$BD272)))</f>
        <v/>
      </c>
      <c r="CO272" s="141" t="str">
        <f aca="false">IF(ISBLANK($C272),"",IF($BR272&lt;&gt;Constants!$B$8,"",IF($BI272="-&gt;",$BM272+$BN272,$BE272+$BF272)+$BV272))</f>
        <v/>
      </c>
      <c r="CP272" s="141" t="str">
        <f aca="false">IF(ISBLANK($C272),"",IF($BR272&lt;&gt;Constants!$B$8,"",IF($BI272="-&gt;",$BO272,$BG272)+$BU272))</f>
        <v/>
      </c>
      <c r="CQ272" s="142" t="str">
        <f aca="false">IF(ISBLANK($C272),"",IF($BR272&lt;&gt;Constants!$B$8,$BR272,$BW272))</f>
        <v/>
      </c>
      <c r="CR272" s="143" t="str">
        <f aca="false">IF(ISBLANK($C272),"",$BS272)</f>
        <v/>
      </c>
      <c r="CS272" s="144" t="str">
        <f aca="false">IF(ISBLANK($C272),"",$CH272)</f>
        <v/>
      </c>
      <c r="CT272" s="144" t="str">
        <f aca="false">IF(ISBLANK($C272),"",$CG272)</f>
        <v/>
      </c>
      <c r="CU272" s="145" t="str">
        <f aca="false">IF(ISBLANK($C272),"",IFERROR(_xlfn.SWITCH($CT272,Constants!$B$11,COUNTA($C$9:$C$508)+2,Constants!$B$10,COUNTA($C$9:$C$508)+1,Constants!$B$9,COUNTA($C$9:$C$508)),$CT272))</f>
        <v/>
      </c>
      <c r="CV272" s="9"/>
      <c r="CW272" s="146" t="n">
        <f aca="false">IF(OR(ISNUMBER($CT272),$CT272=Constants!$B$11,$CT272=Constants!$B$9,$CT272=Constants!$B$10),1,0)</f>
        <v>0</v>
      </c>
      <c r="CX272" s="146" t="n">
        <v>264</v>
      </c>
      <c r="CY272" s="146" t="str">
        <f aca="false">IF(ISBLANK($C272),"",IF(ISNUMBER($CU272),$CU272+ROW($B272)/1000,""))</f>
        <v/>
      </c>
      <c r="CZ272" s="146" t="str">
        <f aca="false">IF(ISNUMBER($CY272),RANK($CY272,$CY$9:$CY$508,1),"")</f>
        <v/>
      </c>
      <c r="DA272" s="146" t="str">
        <f aca="false">IF(ISBLANK($C272),"",$B272)</f>
        <v/>
      </c>
      <c r="DB272" s="146" t="str">
        <f aca="false">IF(ISBLANK($C272),"",$C272)</f>
        <v/>
      </c>
      <c r="DC272" s="146" t="str">
        <f aca="false">IF(ISBLANK($C272),"",$D272)</f>
        <v/>
      </c>
      <c r="DD272" s="147" t="str">
        <f aca="false">$CR272</f>
        <v/>
      </c>
      <c r="DE272" s="148" t="str">
        <f aca="false">$CQ272</f>
        <v/>
      </c>
      <c r="DF272" s="146" t="str">
        <f aca="false">IF(ISBLANK($C272),"",$CT272)</f>
        <v/>
      </c>
      <c r="DG272" s="149" t="str">
        <f aca="false">IF($CX272&gt;$CW$8,"",VLOOKUP($CX272,$CZ$9:$DF$508,7,FALSE()))</f>
        <v/>
      </c>
      <c r="DH272" s="150" t="str">
        <f aca="false">IF($CX272&gt;$CW$8,"",VLOOKUP($CX272,$CZ$9:$DF$508,2,FALSE()))</f>
        <v/>
      </c>
      <c r="DI272" s="150" t="str">
        <f aca="false">IF($CX272&gt;$CW$8,"",VLOOKUP($CX272,$CZ$9:$DF$508,3,FALSE()))</f>
        <v/>
      </c>
      <c r="DJ272" s="150" t="str">
        <f aca="false">IF($CX272&gt;$CW$8,"",VLOOKUP($CX272,$CZ$9:$DF$508,4,FALSE()))</f>
        <v/>
      </c>
      <c r="DK272" s="150" t="str">
        <f aca="false">IF($CX272&gt;$CW$8,"",VLOOKUP($CX272,$CZ$9:$DF$508,5,FALSE()))</f>
        <v/>
      </c>
      <c r="DL272" s="151" t="str">
        <f aca="false">IF($CX272&gt;$CW$8,"",VLOOKUP($CX272,$CZ$9:$DF$508,6,FALSE()))</f>
        <v/>
      </c>
      <c r="DM272" s="75"/>
    </row>
    <row r="273" customFormat="false" ht="15.75" hidden="false" customHeight="false" outlineLevel="0" collapsed="false">
      <c r="A273" s="9"/>
      <c r="B273" s="77"/>
      <c r="C273" s="78"/>
      <c r="D273" s="167"/>
      <c r="E273" s="175"/>
      <c r="F273" s="169"/>
      <c r="G273" s="170"/>
      <c r="H273" s="170"/>
      <c r="I273" s="176"/>
      <c r="J273" s="173"/>
      <c r="K273" s="85"/>
      <c r="L273" s="86"/>
      <c r="M273" s="87"/>
      <c r="N273" s="173"/>
      <c r="O273" s="173"/>
      <c r="P273" s="175"/>
      <c r="Q273" s="173"/>
      <c r="R273" s="173"/>
      <c r="S273" s="85"/>
      <c r="T273" s="87"/>
      <c r="U273" s="87"/>
      <c r="V273" s="173"/>
      <c r="W273" s="173"/>
      <c r="X273" s="175"/>
      <c r="Y273" s="173"/>
      <c r="Z273" s="174"/>
      <c r="AA273" s="173"/>
      <c r="AB273" s="91"/>
      <c r="AC273" s="92"/>
      <c r="AD273" s="92"/>
      <c r="AE273" s="92"/>
      <c r="AF273" s="92" t="str">
        <f aca="false">IF(ISBLANK($C273),"",IF(E273=Constants!$B$3,TRUE(),IF(E273=Constants!$B$4,FALSE(),TRUE())))</f>
        <v/>
      </c>
      <c r="AG273" s="92" t="str">
        <f aca="false">IF(ISBLANK($C273),"",IF(F273=Constants!$B$3,TRUE(),IF(F273=Constants!$B$4,FALSE(),TRUE())))</f>
        <v/>
      </c>
      <c r="AH273" s="92" t="str">
        <f aca="false">IF(ISBLANK($C273),"",IF(G273=Constants!$B$3,TRUE(),IF(G273=Constants!$B$4,FALSE(),TRUE())))</f>
        <v/>
      </c>
      <c r="AI273" s="92" t="str">
        <f aca="false">IF(ISBLANK($C273),"",IF(AND(ISNUMBER(H273),H273&gt;=0),H273,Constants!$B$29))</f>
        <v/>
      </c>
      <c r="AJ273" s="92" t="str">
        <f aca="false">IF(ISBLANK($C273),"",IF(I273=Constants!$B$3,TRUE(),IF(I273=Constants!$B$4,FALSE(),TRUE())))</f>
        <v/>
      </c>
      <c r="AK273" s="92" t="str">
        <f aca="false">IF(ISBLANK($C273),"",IF(J273=Constants!$B$3,TRUE(),IF(J273=Constants!$B$4,FALSE(),TRUE())))</f>
        <v/>
      </c>
      <c r="AL273" s="92" t="str">
        <f aca="false">IF(ISBLANK($C273),"",IF(K273=Constants!$B$5,TRUE(),IF(K273=Constants!$B$6,FALSE(),COUNTA(L273:P273)&gt;0)))</f>
        <v/>
      </c>
      <c r="AM273" s="94" t="str">
        <f aca="false">IF(ISBLANK($C273),"",IF(ISNUMBER(L273),IF(L273&gt;=0,L273,""),""))</f>
        <v/>
      </c>
      <c r="AN273" s="93" t="str">
        <f aca="false">IF(ISBLANK($C273),"",IF(ISNUMBER(M273),IF(M273&gt;=0,M273,""),""))</f>
        <v/>
      </c>
      <c r="AO273" s="93" t="str">
        <f aca="false">IF(ISBLANK($C273),"",IF(N273=Constants!$B$3,TRUE(),IF(N273=Constants!$B$4,FALSE(),TRUE())))</f>
        <v/>
      </c>
      <c r="AP273" s="92" t="str">
        <f aca="false">IF(ISBLANK($C273),"",IF(ISNUMBER(O273),IF(O273&gt;=0,O273,""),""))</f>
        <v/>
      </c>
      <c r="AQ273" s="92" t="str">
        <f aca="false">IF(ISBLANK($C273),"",IF(P273=Constants!$B$3,TRUE(),IF(P273=Constants!$B$4,FALSE(),FALSE())))</f>
        <v/>
      </c>
      <c r="AR273" s="92" t="str">
        <f aca="false">IF(ISBLANK($C273),"",IF(Q273=Constants!$B$3,TRUE(),IF(Q273=Constants!$B$4,FALSE(),TRUE())))</f>
        <v/>
      </c>
      <c r="AS273" s="92" t="str">
        <f aca="false">IF(ISBLANK($C273),"",IF(R273=Constants!$B$3,TRUE(),IF(R273=Constants!$B$4,FALSE(),TRUE())))</f>
        <v/>
      </c>
      <c r="AT273" s="92" t="str">
        <f aca="false">IF(ISBLANK($C273),"",IF(S273=Constants!$B$5,TRUE(),IF(S273=Constants!$B$6,FALSE(),COUNTA(T273:X273)&gt;0)))</f>
        <v/>
      </c>
      <c r="AU273" s="94" t="str">
        <f aca="false">IF(ISBLANK($C273),"",IF(ISNUMBER(T273),IF(T273&gt;=0,T273,""),""))</f>
        <v/>
      </c>
      <c r="AV273" s="93" t="str">
        <f aca="false">IF(ISBLANK($C273),"",IF(ISNUMBER(U273),IF(U273&gt;=0,U273,""),""))</f>
        <v/>
      </c>
      <c r="AW273" s="93" t="str">
        <f aca="false">IF(ISBLANK($C273),"",IF(V273=Constants!$B$3,TRUE(),IF(V273=Constants!$B$4,FALSE(),TRUE())))</f>
        <v/>
      </c>
      <c r="AX273" s="92" t="str">
        <f aca="false">IF(ISBLANK($C273),"",IF(ISNUMBER(W273),IF(W273&gt;=0,W273,""),""))</f>
        <v/>
      </c>
      <c r="AY273" s="92" t="str">
        <f aca="false">IF(ISBLANK($C273),"",IF(X273=Constants!$B$3,TRUE(),IF(X273=Constants!$B$4,FALSE(),FALSE())))</f>
        <v/>
      </c>
      <c r="AZ273" s="92" t="str">
        <f aca="false">IF(ISBLANK($C273),"",MIN(Constants!$B$31,MAX(0,IF(ISNUMBER(Y273),Y273*60,0)+IF(ISNUMBER(Z273),Z273,0))))</f>
        <v/>
      </c>
      <c r="BA273" s="92" t="str">
        <f aca="false">IF(ISBLANK($C273),"",IF(AA273=Constants!$B$3,TRUE(),IF(AA273=Constants!$B$4,FALSE(),FALSE())))</f>
        <v/>
      </c>
      <c r="BB273" s="91" t="str">
        <f aca="false">IF(ISBLANK($C273),"",AND($AL273,OR($AM273="",$AN273="",AND($AO273,$AP273=""))))</f>
        <v/>
      </c>
      <c r="BC273" s="93" t="str">
        <f aca="false">IF($BR273&lt;&gt;Constants!$B$8,"",IF($AL273,Constants!$B$21*$AN273+Constants!$B$22*IF($AO273,$AP273,Constants!$B$23),Constants!$B$24))</f>
        <v/>
      </c>
      <c r="BD273" s="96" t="str">
        <f aca="false">IF($BR273&lt;&gt;Constants!$B$8,"",Constants!$B$25*ABS($AD$9-IF($AL273,$AM273,0)))</f>
        <v/>
      </c>
      <c r="BE273" s="96" t="str">
        <f aca="false">IF($BR273&lt;&gt;Constants!$B$8,"",IF(AND($AL273,$AQ273,$AO273),Constants!$B$27,0))</f>
        <v/>
      </c>
      <c r="BF273" s="96" t="str">
        <f aca="false">IF($BR273&lt;&gt;Constants!$B$8,"",IF($AL273,($AI273-Constants!$B$29)*Constants!$B$28,0))</f>
        <v/>
      </c>
      <c r="BG273" s="96" t="str">
        <f aca="false">IF($BR273&lt;&gt;Constants!$B$8,"",IF($AK273,0,Constants!$B$15)+IF($AJ273,0,Constants!$B$16)+IF($AH273,0,Constants!$B$17))</f>
        <v/>
      </c>
      <c r="BH273" s="97" t="str">
        <f aca="false">IF($BR273&lt;&gt;Constants!$B$8,"",Constants!$B$20+SUM($BC273:$BG273))</f>
        <v/>
      </c>
      <c r="BI273" s="92" t="str">
        <f aca="false">IF($BR273&lt;&gt;Constants!$B$8,"",IF(OR($BP273&lt;$BH273,AND($BP273=$BH273,OR($BK273&lt;$BC273,AND($BK273=$BC273,OR($BL273&lt;$BD273,AND($BL273=$BD273,$AT273,$AL273,$AV273&lt;$AN273)))))),"-&gt;","&lt;-"))</f>
        <v/>
      </c>
      <c r="BJ273" s="91" t="str">
        <f aca="false">IF(ISBLANK($C273),"",AND($AT273,OR($AU273="",$AV273="",AND($AW273,$AX273=""))))</f>
        <v/>
      </c>
      <c r="BK273" s="93" t="str">
        <f aca="false">IF($BR273&lt;&gt;Constants!$B$8,"",IF($AT273,Constants!$B$21*$AV273+Constants!$B$22*IF($AW273,$AX273,Constants!$B$23),Constants!$B$24))</f>
        <v/>
      </c>
      <c r="BL273" s="96" t="str">
        <f aca="false">IF($BR273&lt;&gt;Constants!$B$8,"",Constants!$B$25*ABS($AD$9-IF($AT273,$AU273,0)))</f>
        <v/>
      </c>
      <c r="BM273" s="96" t="str">
        <f aca="false">IF($BR273&lt;&gt;Constants!$B$8,"",IF(AND($AT273,$AY273,$AW273),Constants!$B$27,0))</f>
        <v/>
      </c>
      <c r="BN273" s="96" t="str">
        <f aca="false">IF($BR273&lt;&gt;Constants!$B$8,"",IF($AT273,($AI273-Constants!$B$29)*Constants!$B$28,0))</f>
        <v/>
      </c>
      <c r="BO273" s="96" t="str">
        <f aca="false">IF($BR273&lt;&gt;Constants!$B$8,"",IF($AS273,0,Constants!$B$15)+IF($AR273,0,Constants!$B$16)+IF($AH273,0,Constants!$B$17))</f>
        <v/>
      </c>
      <c r="BP273" s="97" t="str">
        <f aca="false">IF($BR273&lt;&gt;Constants!$B$8,"",Constants!$B$20+SUM($BK273:$BO273))</f>
        <v/>
      </c>
      <c r="BQ273" s="92" t="str">
        <f aca="false">IF(ISBLANK($C273),"",IF(ISBLANK($D$7),$BQ$5,IF(NOT(ISNUMBER($D$7)),$BQ$6,"")))</f>
        <v/>
      </c>
      <c r="BR273" s="92" t="str">
        <f aca="false">IF(ISBLANK($C273),"",IF($BA273,Constants!$B$11,IF(COUNTA($E273:$AA273)=0,Constants!$B$10,IF(NOT($AG273),Constants!$B$9,IF(OR($BQ273&lt;&gt;"",$BB273,$BJ273),Constants!$B$12,Constants!$B$8)))))</f>
        <v/>
      </c>
      <c r="BS273" s="92" t="str">
        <f aca="false">IF(ISBLANK($C273),"",IF($BR273&lt;&gt;Constants!$B$8,$BR273,Constants!$B$13))</f>
        <v/>
      </c>
      <c r="BT273" s="96" t="str">
        <f aca="false">IF($BR273&lt;&gt;Constants!$B$8,"",IF($BI273="-&gt;",$BP273,$BH273))</f>
        <v/>
      </c>
      <c r="BU273" s="96" t="str">
        <f aca="false">IF($BR273&lt;&gt;Constants!$B$8,"",IF($AF273,0,Constants!$B$18))</f>
        <v/>
      </c>
      <c r="BV273" s="96" t="str">
        <f aca="false">IF($BR273&lt;&gt;Constants!$B$8,"",((Constants!$B$31-$AZ273)-Constants!$B$31)/Constants!$B$32)</f>
        <v/>
      </c>
      <c r="BW273" s="96" t="str">
        <f aca="false">IF(ISBLANK($C273),"",IF($BR273&lt;&gt;Constants!$B$8,$BR273,SUM($BT273:$BV273)))</f>
        <v/>
      </c>
      <c r="BX273" s="92" t="str">
        <f aca="false">IF(ISBLANK($C273),"",IF($BR273&lt;&gt;Constants!$B$8,$BR273,RANK($BW273,$BW$9:$BW$508,1)))</f>
        <v/>
      </c>
      <c r="BY273" s="96" t="str">
        <f aca="false">IF($BR273&lt;&gt;Constants!$B$8,"",IF($BI273="-&gt;",$BK273,$BC273))</f>
        <v/>
      </c>
      <c r="BZ273" s="92" t="str">
        <f aca="false">IF(ISBLANK($C273),"",IF($BR273&lt;&gt;Constants!$B$8,$BR273,IF(ISNUMBER($BY273),RANK($BY273,$BY$9:$BY$508,1),COUNT($BY$9:$BY$508)+1)))</f>
        <v/>
      </c>
      <c r="CA273" s="96" t="str">
        <f aca="false">IF($BR273&lt;&gt;Constants!$B$8,"",IF($BI273="-&gt;",$BL273,$BD273))</f>
        <v/>
      </c>
      <c r="CB273" s="92" t="str">
        <f aca="false">IF(ISBLANK($C273),"",IF($BR273&lt;&gt;Constants!$B$8,$BR273,IF(ISNUMBER($CA273),RANK($CA273,$CA$9:$CA$508,1),COUNT($CA$9:$CA$508)+1)))</f>
        <v/>
      </c>
      <c r="CC273" s="96" t="str">
        <f aca="false">IF($BR273&lt;&gt;Constants!$B$8,"",IF($BI273="-&gt;",IF($AT273,$AV273,""),IF($AL273,$AN273,"")))</f>
        <v/>
      </c>
      <c r="CD273" s="92" t="str">
        <f aca="false">IF(ISBLANK($C273),"",IF($BR273&lt;&gt;Constants!$B$8,$BR273,IF(ISNUMBER($CC273),RANK($CC273,$CC$9:$CC$508,1),COUNT($CC$9:$CC$508)+1)))</f>
        <v/>
      </c>
      <c r="CE273" s="96" t="str">
        <f aca="false">IF($BR273&lt;&gt;Constants!$B$8,"",IF(AND(NOT($AL273),NOT($AT273),$AJ273,$AK273,$AR273,$AS273),"",$AI273))</f>
        <v/>
      </c>
      <c r="CF273" s="92" t="str">
        <f aca="false">IF(ISBLANK($C273),"",IF($BR273&lt;&gt;Constants!$B$8,$BR273,IF(ISNUMBER($CE273),RANK($CE273,$CE$9:$CE$508,1),COUNT($CE$9:$CE$508)+1)))</f>
        <v/>
      </c>
      <c r="CG273" s="92" t="str">
        <f aca="false">IF(ISBLANK($C273),"",IF($BR273&lt;&gt;Constants!$B$8,$BR273,COUNTIFS($BX$9:$BX$508,"&lt;"&amp;$BX273)+COUNTIFS($BX$9:$BX$508,$BX273,$BZ$9:$BZ$508,"&lt;"&amp;$BZ273)+COUNTIFS($BX$9:$BX$508,$BX273,$BZ$9:$BZ$508,$BZ273,$CB$9:$CB$508,"&lt;"&amp;$CB273)+COUNTIFS($BX$9:$BX$508,$BX273,$BZ$9:$BZ$508,$BZ273,$CB$9:$CB$508,$CB273,$CD$9:$CD$508,"&lt;"&amp;$CD273)+COUNTIFS($BX$9:$BX$508,$BX273,$BZ$9:$BZ$508,$BZ273,$CB$9:$CB$508,$CB273,$CD$9:$CD$508,$CD273,$CF$9:$CF$508,"&lt;"&amp;$CF273)+1))</f>
        <v/>
      </c>
      <c r="CH273" s="92" t="str">
        <f aca="false">IF(ISBLANK($C273),"",IF($BR273&lt;&gt;Constants!$B$8,$BR273,$BX273-$CG273))</f>
        <v/>
      </c>
      <c r="CI273" s="98"/>
      <c r="CJ273" s="99"/>
      <c r="CK273" s="100" t="str">
        <f aca="false">IF(ISBLANK($C273),"",IF($BR273=Constants!$B$12,$BQ273,""))</f>
        <v/>
      </c>
      <c r="CL273" s="99" t="str">
        <f aca="false">IF(ISBLANK($C273),"",IF($BR273&lt;&gt;Constants!$B$8,"",IF($BI273="-&gt;",2,1)))</f>
        <v/>
      </c>
      <c r="CM273" s="101" t="str">
        <f aca="false">IF(ISBLANK($C273),"",IF($BR273&lt;&gt;Constants!$B$8,"",IF($BI273="-&gt;",$BK273,$BC273)))</f>
        <v/>
      </c>
      <c r="CN273" s="101" t="str">
        <f aca="false">IF(ISBLANK($C273),"",IF($BR273&lt;&gt;Constants!$B$8,"",IF($BI273="-&gt;",$BL273,$BD273)))</f>
        <v/>
      </c>
      <c r="CO273" s="101" t="str">
        <f aca="false">IF(ISBLANK($C273),"",IF($BR273&lt;&gt;Constants!$B$8,"",IF($BI273="-&gt;",$BM273+$BN273,$BE273+$BF273)+$BV273))</f>
        <v/>
      </c>
      <c r="CP273" s="101" t="str">
        <f aca="false">IF(ISBLANK($C273),"",IF($BR273&lt;&gt;Constants!$B$8,"",IF($BI273="-&gt;",$BO273,$BG273)+$BU273))</f>
        <v/>
      </c>
      <c r="CQ273" s="102" t="str">
        <f aca="false">IF(ISBLANK($C273),"",IF($BR273&lt;&gt;Constants!$B$8,$BR273,$BW273))</f>
        <v/>
      </c>
      <c r="CR273" s="103" t="str">
        <f aca="false">IF(ISBLANK($C273),"",$BS273)</f>
        <v/>
      </c>
      <c r="CS273" s="104" t="str">
        <f aca="false">IF(ISBLANK($C273),"",$CH273)</f>
        <v/>
      </c>
      <c r="CT273" s="104" t="str">
        <f aca="false">IF(ISBLANK($C273),"",$CG273)</f>
        <v/>
      </c>
      <c r="CU273" s="105" t="str">
        <f aca="false">IF(ISBLANK($C273),"",IFERROR(_xlfn.SWITCH($CT273,Constants!$B$11,COUNTA($C$9:$C$508)+2,Constants!$B$10,COUNTA($C$9:$C$508)+1,Constants!$B$9,COUNTA($C$9:$C$508)),$CT273))</f>
        <v/>
      </c>
      <c r="CV273" s="9"/>
      <c r="CW273" s="106" t="n">
        <f aca="false">IF(OR(ISNUMBER($CT273),$CT273=Constants!$B$11,$CT273=Constants!$B$9,$CT273=Constants!$B$10),1,0)</f>
        <v>0</v>
      </c>
      <c r="CX273" s="106" t="n">
        <v>265</v>
      </c>
      <c r="CY273" s="106" t="str">
        <f aca="false">IF(ISBLANK($C273),"",IF(ISNUMBER($CU273),$CU273+ROW($B273)/1000,""))</f>
        <v/>
      </c>
      <c r="CZ273" s="106" t="str">
        <f aca="false">IF(ISNUMBER($CY273),RANK($CY273,$CY$9:$CY$508,1),"")</f>
        <v/>
      </c>
      <c r="DA273" s="106" t="str">
        <f aca="false">IF(ISBLANK($C273),"",$B273)</f>
        <v/>
      </c>
      <c r="DB273" s="106" t="str">
        <f aca="false">IF(ISBLANK($C273),"",$C273)</f>
        <v/>
      </c>
      <c r="DC273" s="106" t="str">
        <f aca="false">IF(ISBLANK($C273),"",$D273)</f>
        <v/>
      </c>
      <c r="DD273" s="107" t="str">
        <f aca="false">$CR273</f>
        <v/>
      </c>
      <c r="DE273" s="108" t="str">
        <f aca="false">$CQ273</f>
        <v/>
      </c>
      <c r="DF273" s="106" t="str">
        <f aca="false">IF(ISBLANK($C273),"",$CT273)</f>
        <v/>
      </c>
      <c r="DG273" s="109" t="str">
        <f aca="false">IF($CX273&gt;$CW$8,"",VLOOKUP($CX273,$CZ$9:$DF$508,7,FALSE()))</f>
        <v/>
      </c>
      <c r="DH273" s="110" t="str">
        <f aca="false">IF($CX273&gt;$CW$8,"",VLOOKUP($CX273,$CZ$9:$DF$508,2,FALSE()))</f>
        <v/>
      </c>
      <c r="DI273" s="110" t="str">
        <f aca="false">IF($CX273&gt;$CW$8,"",VLOOKUP($CX273,$CZ$9:$DF$508,3,FALSE()))</f>
        <v/>
      </c>
      <c r="DJ273" s="110" t="str">
        <f aca="false">IF($CX273&gt;$CW$8,"",VLOOKUP($CX273,$CZ$9:$DF$508,4,FALSE()))</f>
        <v/>
      </c>
      <c r="DK273" s="110" t="str">
        <f aca="false">IF($CX273&gt;$CW$8,"",VLOOKUP($CX273,$CZ$9:$DF$508,5,FALSE()))</f>
        <v/>
      </c>
      <c r="DL273" s="111" t="str">
        <f aca="false">IF($CX273&gt;$CW$8,"",VLOOKUP($CX273,$CZ$9:$DF$508,6,FALSE()))</f>
        <v/>
      </c>
      <c r="DM273" s="75"/>
    </row>
    <row r="274" customFormat="false" ht="15.75" hidden="false" customHeight="false" outlineLevel="0" collapsed="false">
      <c r="A274" s="9"/>
      <c r="B274" s="77"/>
      <c r="C274" s="78"/>
      <c r="D274" s="167"/>
      <c r="E274" s="175"/>
      <c r="F274" s="169"/>
      <c r="G274" s="170"/>
      <c r="H274" s="170"/>
      <c r="I274" s="176"/>
      <c r="J274" s="173"/>
      <c r="K274" s="85"/>
      <c r="L274" s="86"/>
      <c r="M274" s="87"/>
      <c r="N274" s="173"/>
      <c r="O274" s="173"/>
      <c r="P274" s="175"/>
      <c r="Q274" s="173"/>
      <c r="R274" s="173"/>
      <c r="S274" s="85"/>
      <c r="T274" s="87"/>
      <c r="U274" s="87"/>
      <c r="V274" s="173"/>
      <c r="W274" s="173"/>
      <c r="X274" s="175"/>
      <c r="Y274" s="173"/>
      <c r="Z274" s="174"/>
      <c r="AA274" s="173"/>
      <c r="AB274" s="91"/>
      <c r="AC274" s="92"/>
      <c r="AD274" s="92"/>
      <c r="AE274" s="92"/>
      <c r="AF274" s="92" t="str">
        <f aca="false">IF(ISBLANK($C274),"",IF(E274=Constants!$B$3,TRUE(),IF(E274=Constants!$B$4,FALSE(),TRUE())))</f>
        <v/>
      </c>
      <c r="AG274" s="92" t="str">
        <f aca="false">IF(ISBLANK($C274),"",IF(F274=Constants!$B$3,TRUE(),IF(F274=Constants!$B$4,FALSE(),TRUE())))</f>
        <v/>
      </c>
      <c r="AH274" s="92" t="str">
        <f aca="false">IF(ISBLANK($C274),"",IF(G274=Constants!$B$3,TRUE(),IF(G274=Constants!$B$4,FALSE(),TRUE())))</f>
        <v/>
      </c>
      <c r="AI274" s="92" t="str">
        <f aca="false">IF(ISBLANK($C274),"",IF(AND(ISNUMBER(H274),H274&gt;=0),H274,Constants!$B$29))</f>
        <v/>
      </c>
      <c r="AJ274" s="92" t="str">
        <f aca="false">IF(ISBLANK($C274),"",IF(I274=Constants!$B$3,TRUE(),IF(I274=Constants!$B$4,FALSE(),TRUE())))</f>
        <v/>
      </c>
      <c r="AK274" s="92" t="str">
        <f aca="false">IF(ISBLANK($C274),"",IF(J274=Constants!$B$3,TRUE(),IF(J274=Constants!$B$4,FALSE(),TRUE())))</f>
        <v/>
      </c>
      <c r="AL274" s="92" t="str">
        <f aca="false">IF(ISBLANK($C274),"",IF(K274=Constants!$B$5,TRUE(),IF(K274=Constants!$B$6,FALSE(),COUNTA(L274:P274)&gt;0)))</f>
        <v/>
      </c>
      <c r="AM274" s="94" t="str">
        <f aca="false">IF(ISBLANK($C274),"",IF(ISNUMBER(L274),IF(L274&gt;=0,L274,""),""))</f>
        <v/>
      </c>
      <c r="AN274" s="93" t="str">
        <f aca="false">IF(ISBLANK($C274),"",IF(ISNUMBER(M274),IF(M274&gt;=0,M274,""),""))</f>
        <v/>
      </c>
      <c r="AO274" s="93" t="str">
        <f aca="false">IF(ISBLANK($C274),"",IF(N274=Constants!$B$3,TRUE(),IF(N274=Constants!$B$4,FALSE(),TRUE())))</f>
        <v/>
      </c>
      <c r="AP274" s="92" t="str">
        <f aca="false">IF(ISBLANK($C274),"",IF(ISNUMBER(O274),IF(O274&gt;=0,O274,""),""))</f>
        <v/>
      </c>
      <c r="AQ274" s="92" t="str">
        <f aca="false">IF(ISBLANK($C274),"",IF(P274=Constants!$B$3,TRUE(),IF(P274=Constants!$B$4,FALSE(),FALSE())))</f>
        <v/>
      </c>
      <c r="AR274" s="92" t="str">
        <f aca="false">IF(ISBLANK($C274),"",IF(Q274=Constants!$B$3,TRUE(),IF(Q274=Constants!$B$4,FALSE(),TRUE())))</f>
        <v/>
      </c>
      <c r="AS274" s="92" t="str">
        <f aca="false">IF(ISBLANK($C274),"",IF(R274=Constants!$B$3,TRUE(),IF(R274=Constants!$B$4,FALSE(),TRUE())))</f>
        <v/>
      </c>
      <c r="AT274" s="92" t="str">
        <f aca="false">IF(ISBLANK($C274),"",IF(S274=Constants!$B$5,TRUE(),IF(S274=Constants!$B$6,FALSE(),COUNTA(T274:X274)&gt;0)))</f>
        <v/>
      </c>
      <c r="AU274" s="94" t="str">
        <f aca="false">IF(ISBLANK($C274),"",IF(ISNUMBER(T274),IF(T274&gt;=0,T274,""),""))</f>
        <v/>
      </c>
      <c r="AV274" s="93" t="str">
        <f aca="false">IF(ISBLANK($C274),"",IF(ISNUMBER(U274),IF(U274&gt;=0,U274,""),""))</f>
        <v/>
      </c>
      <c r="AW274" s="93" t="str">
        <f aca="false">IF(ISBLANK($C274),"",IF(V274=Constants!$B$3,TRUE(),IF(V274=Constants!$B$4,FALSE(),TRUE())))</f>
        <v/>
      </c>
      <c r="AX274" s="92" t="str">
        <f aca="false">IF(ISBLANK($C274),"",IF(ISNUMBER(W274),IF(W274&gt;=0,W274,""),""))</f>
        <v/>
      </c>
      <c r="AY274" s="92" t="str">
        <f aca="false">IF(ISBLANK($C274),"",IF(X274=Constants!$B$3,TRUE(),IF(X274=Constants!$B$4,FALSE(),FALSE())))</f>
        <v/>
      </c>
      <c r="AZ274" s="92" t="str">
        <f aca="false">IF(ISBLANK($C274),"",MIN(Constants!$B$31,MAX(0,IF(ISNUMBER(Y274),Y274*60,0)+IF(ISNUMBER(Z274),Z274,0))))</f>
        <v/>
      </c>
      <c r="BA274" s="92" t="str">
        <f aca="false">IF(ISBLANK($C274),"",IF(AA274=Constants!$B$3,TRUE(),IF(AA274=Constants!$B$4,FALSE(),FALSE())))</f>
        <v/>
      </c>
      <c r="BB274" s="91" t="str">
        <f aca="false">IF(ISBLANK($C274),"",AND($AL274,OR($AM274="",$AN274="",AND($AO274,$AP274=""))))</f>
        <v/>
      </c>
      <c r="BC274" s="93" t="str">
        <f aca="false">IF($BR274&lt;&gt;Constants!$B$8,"",IF($AL274,Constants!$B$21*$AN274+Constants!$B$22*IF($AO274,$AP274,Constants!$B$23),Constants!$B$24))</f>
        <v/>
      </c>
      <c r="BD274" s="96" t="str">
        <f aca="false">IF($BR274&lt;&gt;Constants!$B$8,"",Constants!$B$25*ABS($AD$9-IF($AL274,$AM274,0)))</f>
        <v/>
      </c>
      <c r="BE274" s="96" t="str">
        <f aca="false">IF($BR274&lt;&gt;Constants!$B$8,"",IF(AND($AL274,$AQ274,$AO274),Constants!$B$27,0))</f>
        <v/>
      </c>
      <c r="BF274" s="96" t="str">
        <f aca="false">IF($BR274&lt;&gt;Constants!$B$8,"",IF($AL274,($AI274-Constants!$B$29)*Constants!$B$28,0))</f>
        <v/>
      </c>
      <c r="BG274" s="96" t="str">
        <f aca="false">IF($BR274&lt;&gt;Constants!$B$8,"",IF($AK274,0,Constants!$B$15)+IF($AJ274,0,Constants!$B$16)+IF($AH274,0,Constants!$B$17))</f>
        <v/>
      </c>
      <c r="BH274" s="97" t="str">
        <f aca="false">IF($BR274&lt;&gt;Constants!$B$8,"",Constants!$B$20+SUM($BC274:$BG274))</f>
        <v/>
      </c>
      <c r="BI274" s="92" t="str">
        <f aca="false">IF($BR274&lt;&gt;Constants!$B$8,"",IF(OR($BP274&lt;$BH274,AND($BP274=$BH274,OR($BK274&lt;$BC274,AND($BK274=$BC274,OR($BL274&lt;$BD274,AND($BL274=$BD274,$AT274,$AL274,$AV274&lt;$AN274)))))),"-&gt;","&lt;-"))</f>
        <v/>
      </c>
      <c r="BJ274" s="91" t="str">
        <f aca="false">IF(ISBLANK($C274),"",AND($AT274,OR($AU274="",$AV274="",AND($AW274,$AX274=""))))</f>
        <v/>
      </c>
      <c r="BK274" s="93" t="str">
        <f aca="false">IF($BR274&lt;&gt;Constants!$B$8,"",IF($AT274,Constants!$B$21*$AV274+Constants!$B$22*IF($AW274,$AX274,Constants!$B$23),Constants!$B$24))</f>
        <v/>
      </c>
      <c r="BL274" s="96" t="str">
        <f aca="false">IF($BR274&lt;&gt;Constants!$B$8,"",Constants!$B$25*ABS($AD$9-IF($AT274,$AU274,0)))</f>
        <v/>
      </c>
      <c r="BM274" s="96" t="str">
        <f aca="false">IF($BR274&lt;&gt;Constants!$B$8,"",IF(AND($AT274,$AY274,$AW274),Constants!$B$27,0))</f>
        <v/>
      </c>
      <c r="BN274" s="96" t="str">
        <f aca="false">IF($BR274&lt;&gt;Constants!$B$8,"",IF($AT274,($AI274-Constants!$B$29)*Constants!$B$28,0))</f>
        <v/>
      </c>
      <c r="BO274" s="96" t="str">
        <f aca="false">IF($BR274&lt;&gt;Constants!$B$8,"",IF($AS274,0,Constants!$B$15)+IF($AR274,0,Constants!$B$16)+IF($AH274,0,Constants!$B$17))</f>
        <v/>
      </c>
      <c r="BP274" s="97" t="str">
        <f aca="false">IF($BR274&lt;&gt;Constants!$B$8,"",Constants!$B$20+SUM($BK274:$BO274))</f>
        <v/>
      </c>
      <c r="BQ274" s="92" t="str">
        <f aca="false">IF(ISBLANK($C274),"",IF(ISBLANK($D$7),$BQ$5,IF(NOT(ISNUMBER($D$7)),$BQ$6,"")))</f>
        <v/>
      </c>
      <c r="BR274" s="92" t="str">
        <f aca="false">IF(ISBLANK($C274),"",IF($BA274,Constants!$B$11,IF(COUNTA($E274:$AA274)=0,Constants!$B$10,IF(NOT($AG274),Constants!$B$9,IF(OR($BQ274&lt;&gt;"",$BB274,$BJ274),Constants!$B$12,Constants!$B$8)))))</f>
        <v/>
      </c>
      <c r="BS274" s="92" t="str">
        <f aca="false">IF(ISBLANK($C274),"",IF($BR274&lt;&gt;Constants!$B$8,$BR274,Constants!$B$13))</f>
        <v/>
      </c>
      <c r="BT274" s="96" t="str">
        <f aca="false">IF($BR274&lt;&gt;Constants!$B$8,"",IF($BI274="-&gt;",$BP274,$BH274))</f>
        <v/>
      </c>
      <c r="BU274" s="96" t="str">
        <f aca="false">IF($BR274&lt;&gt;Constants!$B$8,"",IF($AF274,0,Constants!$B$18))</f>
        <v/>
      </c>
      <c r="BV274" s="96" t="str">
        <f aca="false">IF($BR274&lt;&gt;Constants!$B$8,"",((Constants!$B$31-$AZ274)-Constants!$B$31)/Constants!$B$32)</f>
        <v/>
      </c>
      <c r="BW274" s="96" t="str">
        <f aca="false">IF(ISBLANK($C274),"",IF($BR274&lt;&gt;Constants!$B$8,$BR274,SUM($BT274:$BV274)))</f>
        <v/>
      </c>
      <c r="BX274" s="92" t="str">
        <f aca="false">IF(ISBLANK($C274),"",IF($BR274&lt;&gt;Constants!$B$8,$BR274,RANK($BW274,$BW$9:$BW$508,1)))</f>
        <v/>
      </c>
      <c r="BY274" s="96" t="str">
        <f aca="false">IF($BR274&lt;&gt;Constants!$B$8,"",IF($BI274="-&gt;",$BK274,$BC274))</f>
        <v/>
      </c>
      <c r="BZ274" s="92" t="str">
        <f aca="false">IF(ISBLANK($C274),"",IF($BR274&lt;&gt;Constants!$B$8,$BR274,IF(ISNUMBER($BY274),RANK($BY274,$BY$9:$BY$508,1),COUNT($BY$9:$BY$508)+1)))</f>
        <v/>
      </c>
      <c r="CA274" s="96" t="str">
        <f aca="false">IF($BR274&lt;&gt;Constants!$B$8,"",IF($BI274="-&gt;",$BL274,$BD274))</f>
        <v/>
      </c>
      <c r="CB274" s="92" t="str">
        <f aca="false">IF(ISBLANK($C274),"",IF($BR274&lt;&gt;Constants!$B$8,$BR274,IF(ISNUMBER($CA274),RANK($CA274,$CA$9:$CA$508,1),COUNT($CA$9:$CA$508)+1)))</f>
        <v/>
      </c>
      <c r="CC274" s="96" t="str">
        <f aca="false">IF($BR274&lt;&gt;Constants!$B$8,"",IF($BI274="-&gt;",IF($AT274,$AV274,""),IF($AL274,$AN274,"")))</f>
        <v/>
      </c>
      <c r="CD274" s="92" t="str">
        <f aca="false">IF(ISBLANK($C274),"",IF($BR274&lt;&gt;Constants!$B$8,$BR274,IF(ISNUMBER($CC274),RANK($CC274,$CC$9:$CC$508,1),COUNT($CC$9:$CC$508)+1)))</f>
        <v/>
      </c>
      <c r="CE274" s="96" t="str">
        <f aca="false">IF($BR274&lt;&gt;Constants!$B$8,"",IF(AND(NOT($AL274),NOT($AT274),$AJ274,$AK274,$AR274,$AS274),"",$AI274))</f>
        <v/>
      </c>
      <c r="CF274" s="92" t="str">
        <f aca="false">IF(ISBLANK($C274),"",IF($BR274&lt;&gt;Constants!$B$8,$BR274,IF(ISNUMBER($CE274),RANK($CE274,$CE$9:$CE$508,1),COUNT($CE$9:$CE$508)+1)))</f>
        <v/>
      </c>
      <c r="CG274" s="92" t="str">
        <f aca="false">IF(ISBLANK($C274),"",IF($BR274&lt;&gt;Constants!$B$8,$BR274,COUNTIFS($BX$9:$BX$508,"&lt;"&amp;$BX274)+COUNTIFS($BX$9:$BX$508,$BX274,$BZ$9:$BZ$508,"&lt;"&amp;$BZ274)+COUNTIFS($BX$9:$BX$508,$BX274,$BZ$9:$BZ$508,$BZ274,$CB$9:$CB$508,"&lt;"&amp;$CB274)+COUNTIFS($BX$9:$BX$508,$BX274,$BZ$9:$BZ$508,$BZ274,$CB$9:$CB$508,$CB274,$CD$9:$CD$508,"&lt;"&amp;$CD274)+COUNTIFS($BX$9:$BX$508,$BX274,$BZ$9:$BZ$508,$BZ274,$CB$9:$CB$508,$CB274,$CD$9:$CD$508,$CD274,$CF$9:$CF$508,"&lt;"&amp;$CF274)+1))</f>
        <v/>
      </c>
      <c r="CH274" s="92" t="str">
        <f aca="false">IF(ISBLANK($C274),"",IF($BR274&lt;&gt;Constants!$B$8,$BR274,$BX274-$CG274))</f>
        <v/>
      </c>
      <c r="CI274" s="98"/>
      <c r="CJ274" s="99"/>
      <c r="CK274" s="100" t="str">
        <f aca="false">IF(ISBLANK($C274),"",IF($BR274=Constants!$B$12,$BQ274,""))</f>
        <v/>
      </c>
      <c r="CL274" s="99" t="str">
        <f aca="false">IF(ISBLANK($C274),"",IF($BR274&lt;&gt;Constants!$B$8,"",IF($BI274="-&gt;",2,1)))</f>
        <v/>
      </c>
      <c r="CM274" s="101" t="str">
        <f aca="false">IF(ISBLANK($C274),"",IF($BR274&lt;&gt;Constants!$B$8,"",IF($BI274="-&gt;",$BK274,$BC274)))</f>
        <v/>
      </c>
      <c r="CN274" s="101" t="str">
        <f aca="false">IF(ISBLANK($C274),"",IF($BR274&lt;&gt;Constants!$B$8,"",IF($BI274="-&gt;",$BL274,$BD274)))</f>
        <v/>
      </c>
      <c r="CO274" s="101" t="str">
        <f aca="false">IF(ISBLANK($C274),"",IF($BR274&lt;&gt;Constants!$B$8,"",IF($BI274="-&gt;",$BM274+$BN274,$BE274+$BF274)+$BV274))</f>
        <v/>
      </c>
      <c r="CP274" s="101" t="str">
        <f aca="false">IF(ISBLANK($C274),"",IF($BR274&lt;&gt;Constants!$B$8,"",IF($BI274="-&gt;",$BO274,$BG274)+$BU274))</f>
        <v/>
      </c>
      <c r="CQ274" s="102" t="str">
        <f aca="false">IF(ISBLANK($C274),"",IF($BR274&lt;&gt;Constants!$B$8,$BR274,$BW274))</f>
        <v/>
      </c>
      <c r="CR274" s="103" t="str">
        <f aca="false">IF(ISBLANK($C274),"",$BS274)</f>
        <v/>
      </c>
      <c r="CS274" s="104" t="str">
        <f aca="false">IF(ISBLANK($C274),"",$CH274)</f>
        <v/>
      </c>
      <c r="CT274" s="104" t="str">
        <f aca="false">IF(ISBLANK($C274),"",$CG274)</f>
        <v/>
      </c>
      <c r="CU274" s="105" t="str">
        <f aca="false">IF(ISBLANK($C274),"",IFERROR(_xlfn.SWITCH($CT274,Constants!$B$11,COUNTA($C$9:$C$508)+2,Constants!$B$10,COUNTA($C$9:$C$508)+1,Constants!$B$9,COUNTA($C$9:$C$508)),$CT274))</f>
        <v/>
      </c>
      <c r="CV274" s="9"/>
      <c r="CW274" s="106" t="n">
        <f aca="false">IF(OR(ISNUMBER($CT274),$CT274=Constants!$B$11,$CT274=Constants!$B$9,$CT274=Constants!$B$10),1,0)</f>
        <v>0</v>
      </c>
      <c r="CX274" s="106" t="n">
        <v>266</v>
      </c>
      <c r="CY274" s="106" t="str">
        <f aca="false">IF(ISBLANK($C274),"",IF(ISNUMBER($CU274),$CU274+ROW($B274)/1000,""))</f>
        <v/>
      </c>
      <c r="CZ274" s="106" t="str">
        <f aca="false">IF(ISNUMBER($CY274),RANK($CY274,$CY$9:$CY$508,1),"")</f>
        <v/>
      </c>
      <c r="DA274" s="106" t="str">
        <f aca="false">IF(ISBLANK($C274),"",$B274)</f>
        <v/>
      </c>
      <c r="DB274" s="106" t="str">
        <f aca="false">IF(ISBLANK($C274),"",$C274)</f>
        <v/>
      </c>
      <c r="DC274" s="106" t="str">
        <f aca="false">IF(ISBLANK($C274),"",$D274)</f>
        <v/>
      </c>
      <c r="DD274" s="107" t="str">
        <f aca="false">$CR274</f>
        <v/>
      </c>
      <c r="DE274" s="108" t="str">
        <f aca="false">$CQ274</f>
        <v/>
      </c>
      <c r="DF274" s="106" t="str">
        <f aca="false">IF(ISBLANK($C274),"",$CT274)</f>
        <v/>
      </c>
      <c r="DG274" s="109" t="str">
        <f aca="false">IF($CX274&gt;$CW$8,"",VLOOKUP($CX274,$CZ$9:$DF$508,7,FALSE()))</f>
        <v/>
      </c>
      <c r="DH274" s="110" t="str">
        <f aca="false">IF($CX274&gt;$CW$8,"",VLOOKUP($CX274,$CZ$9:$DF$508,2,FALSE()))</f>
        <v/>
      </c>
      <c r="DI274" s="110" t="str">
        <f aca="false">IF($CX274&gt;$CW$8,"",VLOOKUP($CX274,$CZ$9:$DF$508,3,FALSE()))</f>
        <v/>
      </c>
      <c r="DJ274" s="110" t="str">
        <f aca="false">IF($CX274&gt;$CW$8,"",VLOOKUP($CX274,$CZ$9:$DF$508,4,FALSE()))</f>
        <v/>
      </c>
      <c r="DK274" s="110" t="str">
        <f aca="false">IF($CX274&gt;$CW$8,"",VLOOKUP($CX274,$CZ$9:$DF$508,5,FALSE()))</f>
        <v/>
      </c>
      <c r="DL274" s="111" t="str">
        <f aca="false">IF($CX274&gt;$CW$8,"",VLOOKUP($CX274,$CZ$9:$DF$508,6,FALSE()))</f>
        <v/>
      </c>
      <c r="DM274" s="75"/>
    </row>
    <row r="275" customFormat="false" ht="15.75" hidden="false" customHeight="false" outlineLevel="0" collapsed="false">
      <c r="A275" s="9"/>
      <c r="B275" s="77"/>
      <c r="C275" s="78"/>
      <c r="D275" s="167"/>
      <c r="E275" s="175"/>
      <c r="F275" s="169"/>
      <c r="G275" s="170"/>
      <c r="H275" s="170"/>
      <c r="I275" s="176"/>
      <c r="J275" s="173"/>
      <c r="K275" s="85"/>
      <c r="L275" s="86"/>
      <c r="M275" s="87"/>
      <c r="N275" s="173"/>
      <c r="O275" s="173"/>
      <c r="P275" s="175"/>
      <c r="Q275" s="173"/>
      <c r="R275" s="173"/>
      <c r="S275" s="85"/>
      <c r="T275" s="87"/>
      <c r="U275" s="87"/>
      <c r="V275" s="173"/>
      <c r="W275" s="173"/>
      <c r="X275" s="175"/>
      <c r="Y275" s="173"/>
      <c r="Z275" s="174"/>
      <c r="AA275" s="173"/>
      <c r="AB275" s="91"/>
      <c r="AC275" s="92"/>
      <c r="AD275" s="92"/>
      <c r="AE275" s="92"/>
      <c r="AF275" s="92" t="str">
        <f aca="false">IF(ISBLANK($C275),"",IF(E275=Constants!$B$3,TRUE(),IF(E275=Constants!$B$4,FALSE(),TRUE())))</f>
        <v/>
      </c>
      <c r="AG275" s="92" t="str">
        <f aca="false">IF(ISBLANK($C275),"",IF(F275=Constants!$B$3,TRUE(),IF(F275=Constants!$B$4,FALSE(),TRUE())))</f>
        <v/>
      </c>
      <c r="AH275" s="92" t="str">
        <f aca="false">IF(ISBLANK($C275),"",IF(G275=Constants!$B$3,TRUE(),IF(G275=Constants!$B$4,FALSE(),TRUE())))</f>
        <v/>
      </c>
      <c r="AI275" s="92" t="str">
        <f aca="false">IF(ISBLANK($C275),"",IF(AND(ISNUMBER(H275),H275&gt;=0),H275,Constants!$B$29))</f>
        <v/>
      </c>
      <c r="AJ275" s="92" t="str">
        <f aca="false">IF(ISBLANK($C275),"",IF(I275=Constants!$B$3,TRUE(),IF(I275=Constants!$B$4,FALSE(),TRUE())))</f>
        <v/>
      </c>
      <c r="AK275" s="92" t="str">
        <f aca="false">IF(ISBLANK($C275),"",IF(J275=Constants!$B$3,TRUE(),IF(J275=Constants!$B$4,FALSE(),TRUE())))</f>
        <v/>
      </c>
      <c r="AL275" s="92" t="str">
        <f aca="false">IF(ISBLANK($C275),"",IF(K275=Constants!$B$5,TRUE(),IF(K275=Constants!$B$6,FALSE(),COUNTA(L275:P275)&gt;0)))</f>
        <v/>
      </c>
      <c r="AM275" s="94" t="str">
        <f aca="false">IF(ISBLANK($C275),"",IF(ISNUMBER(L275),IF(L275&gt;=0,L275,""),""))</f>
        <v/>
      </c>
      <c r="AN275" s="93" t="str">
        <f aca="false">IF(ISBLANK($C275),"",IF(ISNUMBER(M275),IF(M275&gt;=0,M275,""),""))</f>
        <v/>
      </c>
      <c r="AO275" s="93" t="str">
        <f aca="false">IF(ISBLANK($C275),"",IF(N275=Constants!$B$3,TRUE(),IF(N275=Constants!$B$4,FALSE(),TRUE())))</f>
        <v/>
      </c>
      <c r="AP275" s="92" t="str">
        <f aca="false">IF(ISBLANK($C275),"",IF(ISNUMBER(O275),IF(O275&gt;=0,O275,""),""))</f>
        <v/>
      </c>
      <c r="AQ275" s="92" t="str">
        <f aca="false">IF(ISBLANK($C275),"",IF(P275=Constants!$B$3,TRUE(),IF(P275=Constants!$B$4,FALSE(),FALSE())))</f>
        <v/>
      </c>
      <c r="AR275" s="92" t="str">
        <f aca="false">IF(ISBLANK($C275),"",IF(Q275=Constants!$B$3,TRUE(),IF(Q275=Constants!$B$4,FALSE(),TRUE())))</f>
        <v/>
      </c>
      <c r="AS275" s="92" t="str">
        <f aca="false">IF(ISBLANK($C275),"",IF(R275=Constants!$B$3,TRUE(),IF(R275=Constants!$B$4,FALSE(),TRUE())))</f>
        <v/>
      </c>
      <c r="AT275" s="92" t="str">
        <f aca="false">IF(ISBLANK($C275),"",IF(S275=Constants!$B$5,TRUE(),IF(S275=Constants!$B$6,FALSE(),COUNTA(T275:X275)&gt;0)))</f>
        <v/>
      </c>
      <c r="AU275" s="94" t="str">
        <f aca="false">IF(ISBLANK($C275),"",IF(ISNUMBER(T275),IF(T275&gt;=0,T275,""),""))</f>
        <v/>
      </c>
      <c r="AV275" s="93" t="str">
        <f aca="false">IF(ISBLANK($C275),"",IF(ISNUMBER(U275),IF(U275&gt;=0,U275,""),""))</f>
        <v/>
      </c>
      <c r="AW275" s="93" t="str">
        <f aca="false">IF(ISBLANK($C275),"",IF(V275=Constants!$B$3,TRUE(),IF(V275=Constants!$B$4,FALSE(),TRUE())))</f>
        <v/>
      </c>
      <c r="AX275" s="92" t="str">
        <f aca="false">IF(ISBLANK($C275),"",IF(ISNUMBER(W275),IF(W275&gt;=0,W275,""),""))</f>
        <v/>
      </c>
      <c r="AY275" s="92" t="str">
        <f aca="false">IF(ISBLANK($C275),"",IF(X275=Constants!$B$3,TRUE(),IF(X275=Constants!$B$4,FALSE(),FALSE())))</f>
        <v/>
      </c>
      <c r="AZ275" s="92" t="str">
        <f aca="false">IF(ISBLANK($C275),"",MIN(Constants!$B$31,MAX(0,IF(ISNUMBER(Y275),Y275*60,0)+IF(ISNUMBER(Z275),Z275,0))))</f>
        <v/>
      </c>
      <c r="BA275" s="92" t="str">
        <f aca="false">IF(ISBLANK($C275),"",IF(AA275=Constants!$B$3,TRUE(),IF(AA275=Constants!$B$4,FALSE(),FALSE())))</f>
        <v/>
      </c>
      <c r="BB275" s="91" t="str">
        <f aca="false">IF(ISBLANK($C275),"",AND($AL275,OR($AM275="",$AN275="",AND($AO275,$AP275=""))))</f>
        <v/>
      </c>
      <c r="BC275" s="93" t="str">
        <f aca="false">IF($BR275&lt;&gt;Constants!$B$8,"",IF($AL275,Constants!$B$21*$AN275+Constants!$B$22*IF($AO275,$AP275,Constants!$B$23),Constants!$B$24))</f>
        <v/>
      </c>
      <c r="BD275" s="96" t="str">
        <f aca="false">IF($BR275&lt;&gt;Constants!$B$8,"",Constants!$B$25*ABS($AD$9-IF($AL275,$AM275,0)))</f>
        <v/>
      </c>
      <c r="BE275" s="96" t="str">
        <f aca="false">IF($BR275&lt;&gt;Constants!$B$8,"",IF(AND($AL275,$AQ275,$AO275),Constants!$B$27,0))</f>
        <v/>
      </c>
      <c r="BF275" s="96" t="str">
        <f aca="false">IF($BR275&lt;&gt;Constants!$B$8,"",IF($AL275,($AI275-Constants!$B$29)*Constants!$B$28,0))</f>
        <v/>
      </c>
      <c r="BG275" s="96" t="str">
        <f aca="false">IF($BR275&lt;&gt;Constants!$B$8,"",IF($AK275,0,Constants!$B$15)+IF($AJ275,0,Constants!$B$16)+IF($AH275,0,Constants!$B$17))</f>
        <v/>
      </c>
      <c r="BH275" s="97" t="str">
        <f aca="false">IF($BR275&lt;&gt;Constants!$B$8,"",Constants!$B$20+SUM($BC275:$BG275))</f>
        <v/>
      </c>
      <c r="BI275" s="92" t="str">
        <f aca="false">IF($BR275&lt;&gt;Constants!$B$8,"",IF(OR($BP275&lt;$BH275,AND($BP275=$BH275,OR($BK275&lt;$BC275,AND($BK275=$BC275,OR($BL275&lt;$BD275,AND($BL275=$BD275,$AT275,$AL275,$AV275&lt;$AN275)))))),"-&gt;","&lt;-"))</f>
        <v/>
      </c>
      <c r="BJ275" s="91" t="str">
        <f aca="false">IF(ISBLANK($C275),"",AND($AT275,OR($AU275="",$AV275="",AND($AW275,$AX275=""))))</f>
        <v/>
      </c>
      <c r="BK275" s="93" t="str">
        <f aca="false">IF($BR275&lt;&gt;Constants!$B$8,"",IF($AT275,Constants!$B$21*$AV275+Constants!$B$22*IF($AW275,$AX275,Constants!$B$23),Constants!$B$24))</f>
        <v/>
      </c>
      <c r="BL275" s="96" t="str">
        <f aca="false">IF($BR275&lt;&gt;Constants!$B$8,"",Constants!$B$25*ABS($AD$9-IF($AT275,$AU275,0)))</f>
        <v/>
      </c>
      <c r="BM275" s="96" t="str">
        <f aca="false">IF($BR275&lt;&gt;Constants!$B$8,"",IF(AND($AT275,$AY275,$AW275),Constants!$B$27,0))</f>
        <v/>
      </c>
      <c r="BN275" s="96" t="str">
        <f aca="false">IF($BR275&lt;&gt;Constants!$B$8,"",IF($AT275,($AI275-Constants!$B$29)*Constants!$B$28,0))</f>
        <v/>
      </c>
      <c r="BO275" s="96" t="str">
        <f aca="false">IF($BR275&lt;&gt;Constants!$B$8,"",IF($AS275,0,Constants!$B$15)+IF($AR275,0,Constants!$B$16)+IF($AH275,0,Constants!$B$17))</f>
        <v/>
      </c>
      <c r="BP275" s="97" t="str">
        <f aca="false">IF($BR275&lt;&gt;Constants!$B$8,"",Constants!$B$20+SUM($BK275:$BO275))</f>
        <v/>
      </c>
      <c r="BQ275" s="92" t="str">
        <f aca="false">IF(ISBLANK($C275),"",IF(ISBLANK($D$7),$BQ$5,IF(NOT(ISNUMBER($D$7)),$BQ$6,"")))</f>
        <v/>
      </c>
      <c r="BR275" s="92" t="str">
        <f aca="false">IF(ISBLANK($C275),"",IF($BA275,Constants!$B$11,IF(COUNTA($E275:$AA275)=0,Constants!$B$10,IF(NOT($AG275),Constants!$B$9,IF(OR($BQ275&lt;&gt;"",$BB275,$BJ275),Constants!$B$12,Constants!$B$8)))))</f>
        <v/>
      </c>
      <c r="BS275" s="92" t="str">
        <f aca="false">IF(ISBLANK($C275),"",IF($BR275&lt;&gt;Constants!$B$8,$BR275,Constants!$B$13))</f>
        <v/>
      </c>
      <c r="BT275" s="96" t="str">
        <f aca="false">IF($BR275&lt;&gt;Constants!$B$8,"",IF($BI275="-&gt;",$BP275,$BH275))</f>
        <v/>
      </c>
      <c r="BU275" s="96" t="str">
        <f aca="false">IF($BR275&lt;&gt;Constants!$B$8,"",IF($AF275,0,Constants!$B$18))</f>
        <v/>
      </c>
      <c r="BV275" s="96" t="str">
        <f aca="false">IF($BR275&lt;&gt;Constants!$B$8,"",((Constants!$B$31-$AZ275)-Constants!$B$31)/Constants!$B$32)</f>
        <v/>
      </c>
      <c r="BW275" s="96" t="str">
        <f aca="false">IF(ISBLANK($C275),"",IF($BR275&lt;&gt;Constants!$B$8,$BR275,SUM($BT275:$BV275)))</f>
        <v/>
      </c>
      <c r="BX275" s="92" t="str">
        <f aca="false">IF(ISBLANK($C275),"",IF($BR275&lt;&gt;Constants!$B$8,$BR275,RANK($BW275,$BW$9:$BW$508,1)))</f>
        <v/>
      </c>
      <c r="BY275" s="96" t="str">
        <f aca="false">IF($BR275&lt;&gt;Constants!$B$8,"",IF($BI275="-&gt;",$BK275,$BC275))</f>
        <v/>
      </c>
      <c r="BZ275" s="92" t="str">
        <f aca="false">IF(ISBLANK($C275),"",IF($BR275&lt;&gt;Constants!$B$8,$BR275,IF(ISNUMBER($BY275),RANK($BY275,$BY$9:$BY$508,1),COUNT($BY$9:$BY$508)+1)))</f>
        <v/>
      </c>
      <c r="CA275" s="96" t="str">
        <f aca="false">IF($BR275&lt;&gt;Constants!$B$8,"",IF($BI275="-&gt;",$BL275,$BD275))</f>
        <v/>
      </c>
      <c r="CB275" s="92" t="str">
        <f aca="false">IF(ISBLANK($C275),"",IF($BR275&lt;&gt;Constants!$B$8,$BR275,IF(ISNUMBER($CA275),RANK($CA275,$CA$9:$CA$508,1),COUNT($CA$9:$CA$508)+1)))</f>
        <v/>
      </c>
      <c r="CC275" s="96" t="str">
        <f aca="false">IF($BR275&lt;&gt;Constants!$B$8,"",IF($BI275="-&gt;",IF($AT275,$AV275,""),IF($AL275,$AN275,"")))</f>
        <v/>
      </c>
      <c r="CD275" s="92" t="str">
        <f aca="false">IF(ISBLANK($C275),"",IF($BR275&lt;&gt;Constants!$B$8,$BR275,IF(ISNUMBER($CC275),RANK($CC275,$CC$9:$CC$508,1),COUNT($CC$9:$CC$508)+1)))</f>
        <v/>
      </c>
      <c r="CE275" s="96" t="str">
        <f aca="false">IF($BR275&lt;&gt;Constants!$B$8,"",IF(AND(NOT($AL275),NOT($AT275),$AJ275,$AK275,$AR275,$AS275),"",$AI275))</f>
        <v/>
      </c>
      <c r="CF275" s="92" t="str">
        <f aca="false">IF(ISBLANK($C275),"",IF($BR275&lt;&gt;Constants!$B$8,$BR275,IF(ISNUMBER($CE275),RANK($CE275,$CE$9:$CE$508,1),COUNT($CE$9:$CE$508)+1)))</f>
        <v/>
      </c>
      <c r="CG275" s="92" t="str">
        <f aca="false">IF(ISBLANK($C275),"",IF($BR275&lt;&gt;Constants!$B$8,$BR275,COUNTIFS($BX$9:$BX$508,"&lt;"&amp;$BX275)+COUNTIFS($BX$9:$BX$508,$BX275,$BZ$9:$BZ$508,"&lt;"&amp;$BZ275)+COUNTIFS($BX$9:$BX$508,$BX275,$BZ$9:$BZ$508,$BZ275,$CB$9:$CB$508,"&lt;"&amp;$CB275)+COUNTIFS($BX$9:$BX$508,$BX275,$BZ$9:$BZ$508,$BZ275,$CB$9:$CB$508,$CB275,$CD$9:$CD$508,"&lt;"&amp;$CD275)+COUNTIFS($BX$9:$BX$508,$BX275,$BZ$9:$BZ$508,$BZ275,$CB$9:$CB$508,$CB275,$CD$9:$CD$508,$CD275,$CF$9:$CF$508,"&lt;"&amp;$CF275)+1))</f>
        <v/>
      </c>
      <c r="CH275" s="92" t="str">
        <f aca="false">IF(ISBLANK($C275),"",IF($BR275&lt;&gt;Constants!$B$8,$BR275,$BX275-$CG275))</f>
        <v/>
      </c>
      <c r="CI275" s="98"/>
      <c r="CJ275" s="99"/>
      <c r="CK275" s="100" t="str">
        <f aca="false">IF(ISBLANK($C275),"",IF($BR275=Constants!$B$12,$BQ275,""))</f>
        <v/>
      </c>
      <c r="CL275" s="99" t="str">
        <f aca="false">IF(ISBLANK($C275),"",IF($BR275&lt;&gt;Constants!$B$8,"",IF($BI275="-&gt;",2,1)))</f>
        <v/>
      </c>
      <c r="CM275" s="101" t="str">
        <f aca="false">IF(ISBLANK($C275),"",IF($BR275&lt;&gt;Constants!$B$8,"",IF($BI275="-&gt;",$BK275,$BC275)))</f>
        <v/>
      </c>
      <c r="CN275" s="101" t="str">
        <f aca="false">IF(ISBLANK($C275),"",IF($BR275&lt;&gt;Constants!$B$8,"",IF($BI275="-&gt;",$BL275,$BD275)))</f>
        <v/>
      </c>
      <c r="CO275" s="101" t="str">
        <f aca="false">IF(ISBLANK($C275),"",IF($BR275&lt;&gt;Constants!$B$8,"",IF($BI275="-&gt;",$BM275+$BN275,$BE275+$BF275)+$BV275))</f>
        <v/>
      </c>
      <c r="CP275" s="101" t="str">
        <f aca="false">IF(ISBLANK($C275),"",IF($BR275&lt;&gt;Constants!$B$8,"",IF($BI275="-&gt;",$BO275,$BG275)+$BU275))</f>
        <v/>
      </c>
      <c r="CQ275" s="102" t="str">
        <f aca="false">IF(ISBLANK($C275),"",IF($BR275&lt;&gt;Constants!$B$8,$BR275,$BW275))</f>
        <v/>
      </c>
      <c r="CR275" s="103" t="str">
        <f aca="false">IF(ISBLANK($C275),"",$BS275)</f>
        <v/>
      </c>
      <c r="CS275" s="104" t="str">
        <f aca="false">IF(ISBLANK($C275),"",$CH275)</f>
        <v/>
      </c>
      <c r="CT275" s="104" t="str">
        <f aca="false">IF(ISBLANK($C275),"",$CG275)</f>
        <v/>
      </c>
      <c r="CU275" s="105" t="str">
        <f aca="false">IF(ISBLANK($C275),"",IFERROR(_xlfn.SWITCH($CT275,Constants!$B$11,COUNTA($C$9:$C$508)+2,Constants!$B$10,COUNTA($C$9:$C$508)+1,Constants!$B$9,COUNTA($C$9:$C$508)),$CT275))</f>
        <v/>
      </c>
      <c r="CV275" s="9"/>
      <c r="CW275" s="106" t="n">
        <f aca="false">IF(OR(ISNUMBER($CT275),$CT275=Constants!$B$11,$CT275=Constants!$B$9,$CT275=Constants!$B$10),1,0)</f>
        <v>0</v>
      </c>
      <c r="CX275" s="106" t="n">
        <v>267</v>
      </c>
      <c r="CY275" s="106" t="str">
        <f aca="false">IF(ISBLANK($C275),"",IF(ISNUMBER($CU275),$CU275+ROW($B275)/1000,""))</f>
        <v/>
      </c>
      <c r="CZ275" s="106" t="str">
        <f aca="false">IF(ISNUMBER($CY275),RANK($CY275,$CY$9:$CY$508,1),"")</f>
        <v/>
      </c>
      <c r="DA275" s="106" t="str">
        <f aca="false">IF(ISBLANK($C275),"",$B275)</f>
        <v/>
      </c>
      <c r="DB275" s="106" t="str">
        <f aca="false">IF(ISBLANK($C275),"",$C275)</f>
        <v/>
      </c>
      <c r="DC275" s="106" t="str">
        <f aca="false">IF(ISBLANK($C275),"",$D275)</f>
        <v/>
      </c>
      <c r="DD275" s="107" t="str">
        <f aca="false">$CR275</f>
        <v/>
      </c>
      <c r="DE275" s="108" t="str">
        <f aca="false">$CQ275</f>
        <v/>
      </c>
      <c r="DF275" s="106" t="str">
        <f aca="false">IF(ISBLANK($C275),"",$CT275)</f>
        <v/>
      </c>
      <c r="DG275" s="109" t="str">
        <f aca="false">IF($CX275&gt;$CW$8,"",VLOOKUP($CX275,$CZ$9:$DF$508,7,FALSE()))</f>
        <v/>
      </c>
      <c r="DH275" s="110" t="str">
        <f aca="false">IF($CX275&gt;$CW$8,"",VLOOKUP($CX275,$CZ$9:$DF$508,2,FALSE()))</f>
        <v/>
      </c>
      <c r="DI275" s="110" t="str">
        <f aca="false">IF($CX275&gt;$CW$8,"",VLOOKUP($CX275,$CZ$9:$DF$508,3,FALSE()))</f>
        <v/>
      </c>
      <c r="DJ275" s="110" t="str">
        <f aca="false">IF($CX275&gt;$CW$8,"",VLOOKUP($CX275,$CZ$9:$DF$508,4,FALSE()))</f>
        <v/>
      </c>
      <c r="DK275" s="110" t="str">
        <f aca="false">IF($CX275&gt;$CW$8,"",VLOOKUP($CX275,$CZ$9:$DF$508,5,FALSE()))</f>
        <v/>
      </c>
      <c r="DL275" s="111" t="str">
        <f aca="false">IF($CX275&gt;$CW$8,"",VLOOKUP($CX275,$CZ$9:$DF$508,6,FALSE()))</f>
        <v/>
      </c>
      <c r="DM275" s="75"/>
    </row>
    <row r="276" customFormat="false" ht="15.75" hidden="false" customHeight="false" outlineLevel="0" collapsed="false">
      <c r="A276" s="9"/>
      <c r="B276" s="157"/>
      <c r="C276" s="158"/>
      <c r="D276" s="159"/>
      <c r="E276" s="177"/>
      <c r="F276" s="161"/>
      <c r="G276" s="162"/>
      <c r="H276" s="162"/>
      <c r="I276" s="178"/>
      <c r="J276" s="165"/>
      <c r="K276" s="126"/>
      <c r="L276" s="127"/>
      <c r="M276" s="128"/>
      <c r="N276" s="165"/>
      <c r="O276" s="165"/>
      <c r="P276" s="177"/>
      <c r="Q276" s="165"/>
      <c r="R276" s="165"/>
      <c r="S276" s="126"/>
      <c r="T276" s="128"/>
      <c r="U276" s="128"/>
      <c r="V276" s="165"/>
      <c r="W276" s="165"/>
      <c r="X276" s="177"/>
      <c r="Y276" s="165"/>
      <c r="Z276" s="166"/>
      <c r="AA276" s="165"/>
      <c r="AB276" s="132"/>
      <c r="AC276" s="133"/>
      <c r="AD276" s="133"/>
      <c r="AE276" s="133"/>
      <c r="AF276" s="133" t="str">
        <f aca="false">IF(ISBLANK($C276),"",IF(E276=Constants!$B$3,TRUE(),IF(E276=Constants!$B$4,FALSE(),TRUE())))</f>
        <v/>
      </c>
      <c r="AG276" s="133" t="str">
        <f aca="false">IF(ISBLANK($C276),"",IF(F276=Constants!$B$3,TRUE(),IF(F276=Constants!$B$4,FALSE(),TRUE())))</f>
        <v/>
      </c>
      <c r="AH276" s="133" t="str">
        <f aca="false">IF(ISBLANK($C276),"",IF(G276=Constants!$B$3,TRUE(),IF(G276=Constants!$B$4,FALSE(),TRUE())))</f>
        <v/>
      </c>
      <c r="AI276" s="133" t="str">
        <f aca="false">IF(ISBLANK($C276),"",IF(AND(ISNUMBER(H276),H276&gt;=0),H276,Constants!$B$29))</f>
        <v/>
      </c>
      <c r="AJ276" s="133" t="str">
        <f aca="false">IF(ISBLANK($C276),"",IF(I276=Constants!$B$3,TRUE(),IF(I276=Constants!$B$4,FALSE(),TRUE())))</f>
        <v/>
      </c>
      <c r="AK276" s="133" t="str">
        <f aca="false">IF(ISBLANK($C276),"",IF(J276=Constants!$B$3,TRUE(),IF(J276=Constants!$B$4,FALSE(),TRUE())))</f>
        <v/>
      </c>
      <c r="AL276" s="133" t="str">
        <f aca="false">IF(ISBLANK($C276),"",IF(K276=Constants!$B$5,TRUE(),IF(K276=Constants!$B$6,FALSE(),COUNTA(L276:P276)&gt;0)))</f>
        <v/>
      </c>
      <c r="AM276" s="134" t="str">
        <f aca="false">IF(ISBLANK($C276),"",IF(ISNUMBER(L276),IF(L276&gt;=0,L276,""),""))</f>
        <v/>
      </c>
      <c r="AN276" s="135" t="str">
        <f aca="false">IF(ISBLANK($C276),"",IF(ISNUMBER(M276),IF(M276&gt;=0,M276,""),""))</f>
        <v/>
      </c>
      <c r="AO276" s="135" t="str">
        <f aca="false">IF(ISBLANK($C276),"",IF(N276=Constants!$B$3,TRUE(),IF(N276=Constants!$B$4,FALSE(),TRUE())))</f>
        <v/>
      </c>
      <c r="AP276" s="133" t="str">
        <f aca="false">IF(ISBLANK($C276),"",IF(ISNUMBER(O276),IF(O276&gt;=0,O276,""),""))</f>
        <v/>
      </c>
      <c r="AQ276" s="133" t="str">
        <f aca="false">IF(ISBLANK($C276),"",IF(P276=Constants!$B$3,TRUE(),IF(P276=Constants!$B$4,FALSE(),FALSE())))</f>
        <v/>
      </c>
      <c r="AR276" s="133" t="str">
        <f aca="false">IF(ISBLANK($C276),"",IF(Q276=Constants!$B$3,TRUE(),IF(Q276=Constants!$B$4,FALSE(),TRUE())))</f>
        <v/>
      </c>
      <c r="AS276" s="133" t="str">
        <f aca="false">IF(ISBLANK($C276),"",IF(R276=Constants!$B$3,TRUE(),IF(R276=Constants!$B$4,FALSE(),TRUE())))</f>
        <v/>
      </c>
      <c r="AT276" s="133" t="str">
        <f aca="false">IF(ISBLANK($C276),"",IF(S276=Constants!$B$5,TRUE(),IF(S276=Constants!$B$6,FALSE(),COUNTA(T276:X276)&gt;0)))</f>
        <v/>
      </c>
      <c r="AU276" s="134" t="str">
        <f aca="false">IF(ISBLANK($C276),"",IF(ISNUMBER(T276),IF(T276&gt;=0,T276,""),""))</f>
        <v/>
      </c>
      <c r="AV276" s="135" t="str">
        <f aca="false">IF(ISBLANK($C276),"",IF(ISNUMBER(U276),IF(U276&gt;=0,U276,""),""))</f>
        <v/>
      </c>
      <c r="AW276" s="135" t="str">
        <f aca="false">IF(ISBLANK($C276),"",IF(V276=Constants!$B$3,TRUE(),IF(V276=Constants!$B$4,FALSE(),TRUE())))</f>
        <v/>
      </c>
      <c r="AX276" s="133" t="str">
        <f aca="false">IF(ISBLANK($C276),"",IF(ISNUMBER(W276),IF(W276&gt;=0,W276,""),""))</f>
        <v/>
      </c>
      <c r="AY276" s="133" t="str">
        <f aca="false">IF(ISBLANK($C276),"",IF(X276=Constants!$B$3,TRUE(),IF(X276=Constants!$B$4,FALSE(),FALSE())))</f>
        <v/>
      </c>
      <c r="AZ276" s="133" t="str">
        <f aca="false">IF(ISBLANK($C276),"",MIN(Constants!$B$31,MAX(0,IF(ISNUMBER(Y276),Y276*60,0)+IF(ISNUMBER(Z276),Z276,0))))</f>
        <v/>
      </c>
      <c r="BA276" s="133" t="str">
        <f aca="false">IF(ISBLANK($C276),"",IF(AA276=Constants!$B$3,TRUE(),IF(AA276=Constants!$B$4,FALSE(),FALSE())))</f>
        <v/>
      </c>
      <c r="BB276" s="132" t="str">
        <f aca="false">IF(ISBLANK($C276),"",AND($AL276,OR($AM276="",$AN276="",AND($AO276,$AP276=""))))</f>
        <v/>
      </c>
      <c r="BC276" s="135" t="str">
        <f aca="false">IF($BR276&lt;&gt;Constants!$B$8,"",IF($AL276,Constants!$B$21*$AN276+Constants!$B$22*IF($AO276,$AP276,Constants!$B$23),Constants!$B$24))</f>
        <v/>
      </c>
      <c r="BD276" s="136" t="str">
        <f aca="false">IF($BR276&lt;&gt;Constants!$B$8,"",Constants!$B$25*ABS($AD$9-IF($AL276,$AM276,0)))</f>
        <v/>
      </c>
      <c r="BE276" s="136" t="str">
        <f aca="false">IF($BR276&lt;&gt;Constants!$B$8,"",IF(AND($AL276,$AQ276,$AO276),Constants!$B$27,0))</f>
        <v/>
      </c>
      <c r="BF276" s="136" t="str">
        <f aca="false">IF($BR276&lt;&gt;Constants!$B$8,"",IF($AL276,($AI276-Constants!$B$29)*Constants!$B$28,0))</f>
        <v/>
      </c>
      <c r="BG276" s="136" t="str">
        <f aca="false">IF($BR276&lt;&gt;Constants!$B$8,"",IF($AK276,0,Constants!$B$15)+IF($AJ276,0,Constants!$B$16)+IF($AH276,0,Constants!$B$17))</f>
        <v/>
      </c>
      <c r="BH276" s="137" t="str">
        <f aca="false">IF($BR276&lt;&gt;Constants!$B$8,"",Constants!$B$20+SUM($BC276:$BG276))</f>
        <v/>
      </c>
      <c r="BI276" s="133" t="str">
        <f aca="false">IF($BR276&lt;&gt;Constants!$B$8,"",IF(OR($BP276&lt;$BH276,AND($BP276=$BH276,OR($BK276&lt;$BC276,AND($BK276=$BC276,OR($BL276&lt;$BD276,AND($BL276=$BD276,$AT276,$AL276,$AV276&lt;$AN276)))))),"-&gt;","&lt;-"))</f>
        <v/>
      </c>
      <c r="BJ276" s="132" t="str">
        <f aca="false">IF(ISBLANK($C276),"",AND($AT276,OR($AU276="",$AV276="",AND($AW276,$AX276=""))))</f>
        <v/>
      </c>
      <c r="BK276" s="135" t="str">
        <f aca="false">IF($BR276&lt;&gt;Constants!$B$8,"",IF($AT276,Constants!$B$21*$AV276+Constants!$B$22*IF($AW276,$AX276,Constants!$B$23),Constants!$B$24))</f>
        <v/>
      </c>
      <c r="BL276" s="136" t="str">
        <f aca="false">IF($BR276&lt;&gt;Constants!$B$8,"",Constants!$B$25*ABS($AD$9-IF($AT276,$AU276,0)))</f>
        <v/>
      </c>
      <c r="BM276" s="136" t="str">
        <f aca="false">IF($BR276&lt;&gt;Constants!$B$8,"",IF(AND($AT276,$AY276,$AW276),Constants!$B$27,0))</f>
        <v/>
      </c>
      <c r="BN276" s="136" t="str">
        <f aca="false">IF($BR276&lt;&gt;Constants!$B$8,"",IF($AT276,($AI276-Constants!$B$29)*Constants!$B$28,0))</f>
        <v/>
      </c>
      <c r="BO276" s="136" t="str">
        <f aca="false">IF($BR276&lt;&gt;Constants!$B$8,"",IF($AS276,0,Constants!$B$15)+IF($AR276,0,Constants!$B$16)+IF($AH276,0,Constants!$B$17))</f>
        <v/>
      </c>
      <c r="BP276" s="137" t="str">
        <f aca="false">IF($BR276&lt;&gt;Constants!$B$8,"",Constants!$B$20+SUM($BK276:$BO276))</f>
        <v/>
      </c>
      <c r="BQ276" s="133" t="str">
        <f aca="false">IF(ISBLANK($C276),"",IF(ISBLANK($D$7),$BQ$5,IF(NOT(ISNUMBER($D$7)),$BQ$6,"")))</f>
        <v/>
      </c>
      <c r="BR276" s="133" t="str">
        <f aca="false">IF(ISBLANK($C276),"",IF($BA276,Constants!$B$11,IF(COUNTA($E276:$AA276)=0,Constants!$B$10,IF(NOT($AG276),Constants!$B$9,IF(OR($BQ276&lt;&gt;"",$BB276,$BJ276),Constants!$B$12,Constants!$B$8)))))</f>
        <v/>
      </c>
      <c r="BS276" s="133" t="str">
        <f aca="false">IF(ISBLANK($C276),"",IF($BR276&lt;&gt;Constants!$B$8,$BR276,Constants!$B$13))</f>
        <v/>
      </c>
      <c r="BT276" s="136" t="str">
        <f aca="false">IF($BR276&lt;&gt;Constants!$B$8,"",IF($BI276="-&gt;",$BP276,$BH276))</f>
        <v/>
      </c>
      <c r="BU276" s="136" t="str">
        <f aca="false">IF($BR276&lt;&gt;Constants!$B$8,"",IF($AF276,0,Constants!$B$18))</f>
        <v/>
      </c>
      <c r="BV276" s="136" t="str">
        <f aca="false">IF($BR276&lt;&gt;Constants!$B$8,"",((Constants!$B$31-$AZ276)-Constants!$B$31)/Constants!$B$32)</f>
        <v/>
      </c>
      <c r="BW276" s="136" t="str">
        <f aca="false">IF(ISBLANK($C276),"",IF($BR276&lt;&gt;Constants!$B$8,$BR276,SUM($BT276:$BV276)))</f>
        <v/>
      </c>
      <c r="BX276" s="133" t="str">
        <f aca="false">IF(ISBLANK($C276),"",IF($BR276&lt;&gt;Constants!$B$8,$BR276,RANK($BW276,$BW$9:$BW$508,1)))</f>
        <v/>
      </c>
      <c r="BY276" s="136" t="str">
        <f aca="false">IF($BR276&lt;&gt;Constants!$B$8,"",IF($BI276="-&gt;",$BK276,$BC276))</f>
        <v/>
      </c>
      <c r="BZ276" s="133" t="str">
        <f aca="false">IF(ISBLANK($C276),"",IF($BR276&lt;&gt;Constants!$B$8,$BR276,IF(ISNUMBER($BY276),RANK($BY276,$BY$9:$BY$508,1),COUNT($BY$9:$BY$508)+1)))</f>
        <v/>
      </c>
      <c r="CA276" s="136" t="str">
        <f aca="false">IF($BR276&lt;&gt;Constants!$B$8,"",IF($BI276="-&gt;",$BL276,$BD276))</f>
        <v/>
      </c>
      <c r="CB276" s="133" t="str">
        <f aca="false">IF(ISBLANK($C276),"",IF($BR276&lt;&gt;Constants!$B$8,$BR276,IF(ISNUMBER($CA276),RANK($CA276,$CA$9:$CA$508,1),COUNT($CA$9:$CA$508)+1)))</f>
        <v/>
      </c>
      <c r="CC276" s="136" t="str">
        <f aca="false">IF($BR276&lt;&gt;Constants!$B$8,"",IF($BI276="-&gt;",IF($AT276,$AV276,""),IF($AL276,$AN276,"")))</f>
        <v/>
      </c>
      <c r="CD276" s="133" t="str">
        <f aca="false">IF(ISBLANK($C276),"",IF($BR276&lt;&gt;Constants!$B$8,$BR276,IF(ISNUMBER($CC276),RANK($CC276,$CC$9:$CC$508,1),COUNT($CC$9:$CC$508)+1)))</f>
        <v/>
      </c>
      <c r="CE276" s="136" t="str">
        <f aca="false">IF($BR276&lt;&gt;Constants!$B$8,"",IF(AND(NOT($AL276),NOT($AT276),$AJ276,$AK276,$AR276,$AS276),"",$AI276))</f>
        <v/>
      </c>
      <c r="CF276" s="133" t="str">
        <f aca="false">IF(ISBLANK($C276),"",IF($BR276&lt;&gt;Constants!$B$8,$BR276,IF(ISNUMBER($CE276),RANK($CE276,$CE$9:$CE$508,1),COUNT($CE$9:$CE$508)+1)))</f>
        <v/>
      </c>
      <c r="CG276" s="133" t="str">
        <f aca="false">IF(ISBLANK($C276),"",IF($BR276&lt;&gt;Constants!$B$8,$BR276,COUNTIFS($BX$9:$BX$508,"&lt;"&amp;$BX276)+COUNTIFS($BX$9:$BX$508,$BX276,$BZ$9:$BZ$508,"&lt;"&amp;$BZ276)+COUNTIFS($BX$9:$BX$508,$BX276,$BZ$9:$BZ$508,$BZ276,$CB$9:$CB$508,"&lt;"&amp;$CB276)+COUNTIFS($BX$9:$BX$508,$BX276,$BZ$9:$BZ$508,$BZ276,$CB$9:$CB$508,$CB276,$CD$9:$CD$508,"&lt;"&amp;$CD276)+COUNTIFS($BX$9:$BX$508,$BX276,$BZ$9:$BZ$508,$BZ276,$CB$9:$CB$508,$CB276,$CD$9:$CD$508,$CD276,$CF$9:$CF$508,"&lt;"&amp;$CF276)+1))</f>
        <v/>
      </c>
      <c r="CH276" s="133" t="str">
        <f aca="false">IF(ISBLANK($C276),"",IF($BR276&lt;&gt;Constants!$B$8,$BR276,$BX276-$CG276))</f>
        <v/>
      </c>
      <c r="CI276" s="138"/>
      <c r="CJ276" s="139"/>
      <c r="CK276" s="140" t="str">
        <f aca="false">IF(ISBLANK($C276),"",IF($BR276=Constants!$B$12,$BQ276,""))</f>
        <v/>
      </c>
      <c r="CL276" s="139" t="str">
        <f aca="false">IF(ISBLANK($C276),"",IF($BR276&lt;&gt;Constants!$B$8,"",IF($BI276="-&gt;",2,1)))</f>
        <v/>
      </c>
      <c r="CM276" s="141" t="str">
        <f aca="false">IF(ISBLANK($C276),"",IF($BR276&lt;&gt;Constants!$B$8,"",IF($BI276="-&gt;",$BK276,$BC276)))</f>
        <v/>
      </c>
      <c r="CN276" s="141" t="str">
        <f aca="false">IF(ISBLANK($C276),"",IF($BR276&lt;&gt;Constants!$B$8,"",IF($BI276="-&gt;",$BL276,$BD276)))</f>
        <v/>
      </c>
      <c r="CO276" s="141" t="str">
        <f aca="false">IF(ISBLANK($C276),"",IF($BR276&lt;&gt;Constants!$B$8,"",IF($BI276="-&gt;",$BM276+$BN276,$BE276+$BF276)+$BV276))</f>
        <v/>
      </c>
      <c r="CP276" s="141" t="str">
        <f aca="false">IF(ISBLANK($C276),"",IF($BR276&lt;&gt;Constants!$B$8,"",IF($BI276="-&gt;",$BO276,$BG276)+$BU276))</f>
        <v/>
      </c>
      <c r="CQ276" s="142" t="str">
        <f aca="false">IF(ISBLANK($C276),"",IF($BR276&lt;&gt;Constants!$B$8,$BR276,$BW276))</f>
        <v/>
      </c>
      <c r="CR276" s="143" t="str">
        <f aca="false">IF(ISBLANK($C276),"",$BS276)</f>
        <v/>
      </c>
      <c r="CS276" s="144" t="str">
        <f aca="false">IF(ISBLANK($C276),"",$CH276)</f>
        <v/>
      </c>
      <c r="CT276" s="144" t="str">
        <f aca="false">IF(ISBLANK($C276),"",$CG276)</f>
        <v/>
      </c>
      <c r="CU276" s="145" t="str">
        <f aca="false">IF(ISBLANK($C276),"",IFERROR(_xlfn.SWITCH($CT276,Constants!$B$11,COUNTA($C$9:$C$508)+2,Constants!$B$10,COUNTA($C$9:$C$508)+1,Constants!$B$9,COUNTA($C$9:$C$508)),$CT276))</f>
        <v/>
      </c>
      <c r="CV276" s="9"/>
      <c r="CW276" s="146" t="n">
        <f aca="false">IF(OR(ISNUMBER($CT276),$CT276=Constants!$B$11,$CT276=Constants!$B$9,$CT276=Constants!$B$10),1,0)</f>
        <v>0</v>
      </c>
      <c r="CX276" s="146" t="n">
        <v>268</v>
      </c>
      <c r="CY276" s="146" t="str">
        <f aca="false">IF(ISBLANK($C276),"",IF(ISNUMBER($CU276),$CU276+ROW($B276)/1000,""))</f>
        <v/>
      </c>
      <c r="CZ276" s="146" t="str">
        <f aca="false">IF(ISNUMBER($CY276),RANK($CY276,$CY$9:$CY$508,1),"")</f>
        <v/>
      </c>
      <c r="DA276" s="146" t="str">
        <f aca="false">IF(ISBLANK($C276),"",$B276)</f>
        <v/>
      </c>
      <c r="DB276" s="146" t="str">
        <f aca="false">IF(ISBLANK($C276),"",$C276)</f>
        <v/>
      </c>
      <c r="DC276" s="146" t="str">
        <f aca="false">IF(ISBLANK($C276),"",$D276)</f>
        <v/>
      </c>
      <c r="DD276" s="147" t="str">
        <f aca="false">$CR276</f>
        <v/>
      </c>
      <c r="DE276" s="148" t="str">
        <f aca="false">$CQ276</f>
        <v/>
      </c>
      <c r="DF276" s="146" t="str">
        <f aca="false">IF(ISBLANK($C276),"",$CT276)</f>
        <v/>
      </c>
      <c r="DG276" s="149" t="str">
        <f aca="false">IF($CX276&gt;$CW$8,"",VLOOKUP($CX276,$CZ$9:$DF$508,7,FALSE()))</f>
        <v/>
      </c>
      <c r="DH276" s="150" t="str">
        <f aca="false">IF($CX276&gt;$CW$8,"",VLOOKUP($CX276,$CZ$9:$DF$508,2,FALSE()))</f>
        <v/>
      </c>
      <c r="DI276" s="150" t="str">
        <f aca="false">IF($CX276&gt;$CW$8,"",VLOOKUP($CX276,$CZ$9:$DF$508,3,FALSE()))</f>
        <v/>
      </c>
      <c r="DJ276" s="150" t="str">
        <f aca="false">IF($CX276&gt;$CW$8,"",VLOOKUP($CX276,$CZ$9:$DF$508,4,FALSE()))</f>
        <v/>
      </c>
      <c r="DK276" s="150" t="str">
        <f aca="false">IF($CX276&gt;$CW$8,"",VLOOKUP($CX276,$CZ$9:$DF$508,5,FALSE()))</f>
        <v/>
      </c>
      <c r="DL276" s="151" t="str">
        <f aca="false">IF($CX276&gt;$CW$8,"",VLOOKUP($CX276,$CZ$9:$DF$508,6,FALSE()))</f>
        <v/>
      </c>
      <c r="DM276" s="75"/>
    </row>
    <row r="277" customFormat="false" ht="15.75" hidden="false" customHeight="false" outlineLevel="0" collapsed="false">
      <c r="A277" s="9"/>
      <c r="B277" s="157"/>
      <c r="C277" s="158"/>
      <c r="D277" s="159"/>
      <c r="E277" s="177"/>
      <c r="F277" s="161"/>
      <c r="G277" s="162"/>
      <c r="H277" s="162"/>
      <c r="I277" s="178"/>
      <c r="J277" s="165"/>
      <c r="K277" s="126"/>
      <c r="L277" s="127"/>
      <c r="M277" s="128"/>
      <c r="N277" s="165"/>
      <c r="O277" s="165"/>
      <c r="P277" s="177"/>
      <c r="Q277" s="165"/>
      <c r="R277" s="165"/>
      <c r="S277" s="126"/>
      <c r="T277" s="128"/>
      <c r="U277" s="128"/>
      <c r="V277" s="165"/>
      <c r="W277" s="165"/>
      <c r="X277" s="177"/>
      <c r="Y277" s="165"/>
      <c r="Z277" s="166"/>
      <c r="AA277" s="165"/>
      <c r="AB277" s="132"/>
      <c r="AC277" s="133"/>
      <c r="AD277" s="133"/>
      <c r="AE277" s="133"/>
      <c r="AF277" s="133" t="str">
        <f aca="false">IF(ISBLANK($C277),"",IF(E277=Constants!$B$3,TRUE(),IF(E277=Constants!$B$4,FALSE(),TRUE())))</f>
        <v/>
      </c>
      <c r="AG277" s="133" t="str">
        <f aca="false">IF(ISBLANK($C277),"",IF(F277=Constants!$B$3,TRUE(),IF(F277=Constants!$B$4,FALSE(),TRUE())))</f>
        <v/>
      </c>
      <c r="AH277" s="133" t="str">
        <f aca="false">IF(ISBLANK($C277),"",IF(G277=Constants!$B$3,TRUE(),IF(G277=Constants!$B$4,FALSE(),TRUE())))</f>
        <v/>
      </c>
      <c r="AI277" s="133" t="str">
        <f aca="false">IF(ISBLANK($C277),"",IF(AND(ISNUMBER(H277),H277&gt;=0),H277,Constants!$B$29))</f>
        <v/>
      </c>
      <c r="AJ277" s="133" t="str">
        <f aca="false">IF(ISBLANK($C277),"",IF(I277=Constants!$B$3,TRUE(),IF(I277=Constants!$B$4,FALSE(),TRUE())))</f>
        <v/>
      </c>
      <c r="AK277" s="133" t="str">
        <f aca="false">IF(ISBLANK($C277),"",IF(J277=Constants!$B$3,TRUE(),IF(J277=Constants!$B$4,FALSE(),TRUE())))</f>
        <v/>
      </c>
      <c r="AL277" s="133" t="str">
        <f aca="false">IF(ISBLANK($C277),"",IF(K277=Constants!$B$5,TRUE(),IF(K277=Constants!$B$6,FALSE(),COUNTA(L277:P277)&gt;0)))</f>
        <v/>
      </c>
      <c r="AM277" s="134" t="str">
        <f aca="false">IF(ISBLANK($C277),"",IF(ISNUMBER(L277),IF(L277&gt;=0,L277,""),""))</f>
        <v/>
      </c>
      <c r="AN277" s="135" t="str">
        <f aca="false">IF(ISBLANK($C277),"",IF(ISNUMBER(M277),IF(M277&gt;=0,M277,""),""))</f>
        <v/>
      </c>
      <c r="AO277" s="135" t="str">
        <f aca="false">IF(ISBLANK($C277),"",IF(N277=Constants!$B$3,TRUE(),IF(N277=Constants!$B$4,FALSE(),TRUE())))</f>
        <v/>
      </c>
      <c r="AP277" s="133" t="str">
        <f aca="false">IF(ISBLANK($C277),"",IF(ISNUMBER(O277),IF(O277&gt;=0,O277,""),""))</f>
        <v/>
      </c>
      <c r="AQ277" s="133" t="str">
        <f aca="false">IF(ISBLANK($C277),"",IF(P277=Constants!$B$3,TRUE(),IF(P277=Constants!$B$4,FALSE(),FALSE())))</f>
        <v/>
      </c>
      <c r="AR277" s="133" t="str">
        <f aca="false">IF(ISBLANK($C277),"",IF(Q277=Constants!$B$3,TRUE(),IF(Q277=Constants!$B$4,FALSE(),TRUE())))</f>
        <v/>
      </c>
      <c r="AS277" s="133" t="str">
        <f aca="false">IF(ISBLANK($C277),"",IF(R277=Constants!$B$3,TRUE(),IF(R277=Constants!$B$4,FALSE(),TRUE())))</f>
        <v/>
      </c>
      <c r="AT277" s="133" t="str">
        <f aca="false">IF(ISBLANK($C277),"",IF(S277=Constants!$B$5,TRUE(),IF(S277=Constants!$B$6,FALSE(),COUNTA(T277:X277)&gt;0)))</f>
        <v/>
      </c>
      <c r="AU277" s="134" t="str">
        <f aca="false">IF(ISBLANK($C277),"",IF(ISNUMBER(T277),IF(T277&gt;=0,T277,""),""))</f>
        <v/>
      </c>
      <c r="AV277" s="135" t="str">
        <f aca="false">IF(ISBLANK($C277),"",IF(ISNUMBER(U277),IF(U277&gt;=0,U277,""),""))</f>
        <v/>
      </c>
      <c r="AW277" s="135" t="str">
        <f aca="false">IF(ISBLANK($C277),"",IF(V277=Constants!$B$3,TRUE(),IF(V277=Constants!$B$4,FALSE(),TRUE())))</f>
        <v/>
      </c>
      <c r="AX277" s="133" t="str">
        <f aca="false">IF(ISBLANK($C277),"",IF(ISNUMBER(W277),IF(W277&gt;=0,W277,""),""))</f>
        <v/>
      </c>
      <c r="AY277" s="133" t="str">
        <f aca="false">IF(ISBLANK($C277),"",IF(X277=Constants!$B$3,TRUE(),IF(X277=Constants!$B$4,FALSE(),FALSE())))</f>
        <v/>
      </c>
      <c r="AZ277" s="133" t="str">
        <f aca="false">IF(ISBLANK($C277),"",MIN(Constants!$B$31,MAX(0,IF(ISNUMBER(Y277),Y277*60,0)+IF(ISNUMBER(Z277),Z277,0))))</f>
        <v/>
      </c>
      <c r="BA277" s="133" t="str">
        <f aca="false">IF(ISBLANK($C277),"",IF(AA277=Constants!$B$3,TRUE(),IF(AA277=Constants!$B$4,FALSE(),FALSE())))</f>
        <v/>
      </c>
      <c r="BB277" s="132" t="str">
        <f aca="false">IF(ISBLANK($C277),"",AND($AL277,OR($AM277="",$AN277="",AND($AO277,$AP277=""))))</f>
        <v/>
      </c>
      <c r="BC277" s="135" t="str">
        <f aca="false">IF($BR277&lt;&gt;Constants!$B$8,"",IF($AL277,Constants!$B$21*$AN277+Constants!$B$22*IF($AO277,$AP277,Constants!$B$23),Constants!$B$24))</f>
        <v/>
      </c>
      <c r="BD277" s="136" t="str">
        <f aca="false">IF($BR277&lt;&gt;Constants!$B$8,"",Constants!$B$25*ABS($AD$9-IF($AL277,$AM277,0)))</f>
        <v/>
      </c>
      <c r="BE277" s="136" t="str">
        <f aca="false">IF($BR277&lt;&gt;Constants!$B$8,"",IF(AND($AL277,$AQ277,$AO277),Constants!$B$27,0))</f>
        <v/>
      </c>
      <c r="BF277" s="136" t="str">
        <f aca="false">IF($BR277&lt;&gt;Constants!$B$8,"",IF($AL277,($AI277-Constants!$B$29)*Constants!$B$28,0))</f>
        <v/>
      </c>
      <c r="BG277" s="136" t="str">
        <f aca="false">IF($BR277&lt;&gt;Constants!$B$8,"",IF($AK277,0,Constants!$B$15)+IF($AJ277,0,Constants!$B$16)+IF($AH277,0,Constants!$B$17))</f>
        <v/>
      </c>
      <c r="BH277" s="137" t="str">
        <f aca="false">IF($BR277&lt;&gt;Constants!$B$8,"",Constants!$B$20+SUM($BC277:$BG277))</f>
        <v/>
      </c>
      <c r="BI277" s="133" t="str">
        <f aca="false">IF($BR277&lt;&gt;Constants!$B$8,"",IF(OR($BP277&lt;$BH277,AND($BP277=$BH277,OR($BK277&lt;$BC277,AND($BK277=$BC277,OR($BL277&lt;$BD277,AND($BL277=$BD277,$AT277,$AL277,$AV277&lt;$AN277)))))),"-&gt;","&lt;-"))</f>
        <v/>
      </c>
      <c r="BJ277" s="132" t="str">
        <f aca="false">IF(ISBLANK($C277),"",AND($AT277,OR($AU277="",$AV277="",AND($AW277,$AX277=""))))</f>
        <v/>
      </c>
      <c r="BK277" s="135" t="str">
        <f aca="false">IF($BR277&lt;&gt;Constants!$B$8,"",IF($AT277,Constants!$B$21*$AV277+Constants!$B$22*IF($AW277,$AX277,Constants!$B$23),Constants!$B$24))</f>
        <v/>
      </c>
      <c r="BL277" s="136" t="str">
        <f aca="false">IF($BR277&lt;&gt;Constants!$B$8,"",Constants!$B$25*ABS($AD$9-IF($AT277,$AU277,0)))</f>
        <v/>
      </c>
      <c r="BM277" s="136" t="str">
        <f aca="false">IF($BR277&lt;&gt;Constants!$B$8,"",IF(AND($AT277,$AY277,$AW277),Constants!$B$27,0))</f>
        <v/>
      </c>
      <c r="BN277" s="136" t="str">
        <f aca="false">IF($BR277&lt;&gt;Constants!$B$8,"",IF($AT277,($AI277-Constants!$B$29)*Constants!$B$28,0))</f>
        <v/>
      </c>
      <c r="BO277" s="136" t="str">
        <f aca="false">IF($BR277&lt;&gt;Constants!$B$8,"",IF($AS277,0,Constants!$B$15)+IF($AR277,0,Constants!$B$16)+IF($AH277,0,Constants!$B$17))</f>
        <v/>
      </c>
      <c r="BP277" s="137" t="str">
        <f aca="false">IF($BR277&lt;&gt;Constants!$B$8,"",Constants!$B$20+SUM($BK277:$BO277))</f>
        <v/>
      </c>
      <c r="BQ277" s="133" t="str">
        <f aca="false">IF(ISBLANK($C277),"",IF(ISBLANK($D$7),$BQ$5,IF(NOT(ISNUMBER($D$7)),$BQ$6,"")))</f>
        <v/>
      </c>
      <c r="BR277" s="133" t="str">
        <f aca="false">IF(ISBLANK($C277),"",IF($BA277,Constants!$B$11,IF(COUNTA($E277:$AA277)=0,Constants!$B$10,IF(NOT($AG277),Constants!$B$9,IF(OR($BQ277&lt;&gt;"",$BB277,$BJ277),Constants!$B$12,Constants!$B$8)))))</f>
        <v/>
      </c>
      <c r="BS277" s="133" t="str">
        <f aca="false">IF(ISBLANK($C277),"",IF($BR277&lt;&gt;Constants!$B$8,$BR277,Constants!$B$13))</f>
        <v/>
      </c>
      <c r="BT277" s="136" t="str">
        <f aca="false">IF($BR277&lt;&gt;Constants!$B$8,"",IF($BI277="-&gt;",$BP277,$BH277))</f>
        <v/>
      </c>
      <c r="BU277" s="136" t="str">
        <f aca="false">IF($BR277&lt;&gt;Constants!$B$8,"",IF($AF277,0,Constants!$B$18))</f>
        <v/>
      </c>
      <c r="BV277" s="136" t="str">
        <f aca="false">IF($BR277&lt;&gt;Constants!$B$8,"",((Constants!$B$31-$AZ277)-Constants!$B$31)/Constants!$B$32)</f>
        <v/>
      </c>
      <c r="BW277" s="136" t="str">
        <f aca="false">IF(ISBLANK($C277),"",IF($BR277&lt;&gt;Constants!$B$8,$BR277,SUM($BT277:$BV277)))</f>
        <v/>
      </c>
      <c r="BX277" s="133" t="str">
        <f aca="false">IF(ISBLANK($C277),"",IF($BR277&lt;&gt;Constants!$B$8,$BR277,RANK($BW277,$BW$9:$BW$508,1)))</f>
        <v/>
      </c>
      <c r="BY277" s="136" t="str">
        <f aca="false">IF($BR277&lt;&gt;Constants!$B$8,"",IF($BI277="-&gt;",$BK277,$BC277))</f>
        <v/>
      </c>
      <c r="BZ277" s="133" t="str">
        <f aca="false">IF(ISBLANK($C277),"",IF($BR277&lt;&gt;Constants!$B$8,$BR277,IF(ISNUMBER($BY277),RANK($BY277,$BY$9:$BY$508,1),COUNT($BY$9:$BY$508)+1)))</f>
        <v/>
      </c>
      <c r="CA277" s="136" t="str">
        <f aca="false">IF($BR277&lt;&gt;Constants!$B$8,"",IF($BI277="-&gt;",$BL277,$BD277))</f>
        <v/>
      </c>
      <c r="CB277" s="133" t="str">
        <f aca="false">IF(ISBLANK($C277),"",IF($BR277&lt;&gt;Constants!$B$8,$BR277,IF(ISNUMBER($CA277),RANK($CA277,$CA$9:$CA$508,1),COUNT($CA$9:$CA$508)+1)))</f>
        <v/>
      </c>
      <c r="CC277" s="136" t="str">
        <f aca="false">IF($BR277&lt;&gt;Constants!$B$8,"",IF($BI277="-&gt;",IF($AT277,$AV277,""),IF($AL277,$AN277,"")))</f>
        <v/>
      </c>
      <c r="CD277" s="133" t="str">
        <f aca="false">IF(ISBLANK($C277),"",IF($BR277&lt;&gt;Constants!$B$8,$BR277,IF(ISNUMBER($CC277),RANK($CC277,$CC$9:$CC$508,1),COUNT($CC$9:$CC$508)+1)))</f>
        <v/>
      </c>
      <c r="CE277" s="136" t="str">
        <f aca="false">IF($BR277&lt;&gt;Constants!$B$8,"",IF(AND(NOT($AL277),NOT($AT277),$AJ277,$AK277,$AR277,$AS277),"",$AI277))</f>
        <v/>
      </c>
      <c r="CF277" s="133" t="str">
        <f aca="false">IF(ISBLANK($C277),"",IF($BR277&lt;&gt;Constants!$B$8,$BR277,IF(ISNUMBER($CE277),RANK($CE277,$CE$9:$CE$508,1),COUNT($CE$9:$CE$508)+1)))</f>
        <v/>
      </c>
      <c r="CG277" s="133" t="str">
        <f aca="false">IF(ISBLANK($C277),"",IF($BR277&lt;&gt;Constants!$B$8,$BR277,COUNTIFS($BX$9:$BX$508,"&lt;"&amp;$BX277)+COUNTIFS($BX$9:$BX$508,$BX277,$BZ$9:$BZ$508,"&lt;"&amp;$BZ277)+COUNTIFS($BX$9:$BX$508,$BX277,$BZ$9:$BZ$508,$BZ277,$CB$9:$CB$508,"&lt;"&amp;$CB277)+COUNTIFS($BX$9:$BX$508,$BX277,$BZ$9:$BZ$508,$BZ277,$CB$9:$CB$508,$CB277,$CD$9:$CD$508,"&lt;"&amp;$CD277)+COUNTIFS($BX$9:$BX$508,$BX277,$BZ$9:$BZ$508,$BZ277,$CB$9:$CB$508,$CB277,$CD$9:$CD$508,$CD277,$CF$9:$CF$508,"&lt;"&amp;$CF277)+1))</f>
        <v/>
      </c>
      <c r="CH277" s="133" t="str">
        <f aca="false">IF(ISBLANK($C277),"",IF($BR277&lt;&gt;Constants!$B$8,$BR277,$BX277-$CG277))</f>
        <v/>
      </c>
      <c r="CI277" s="138"/>
      <c r="CJ277" s="139"/>
      <c r="CK277" s="140" t="str">
        <f aca="false">IF(ISBLANK($C277),"",IF($BR277=Constants!$B$12,$BQ277,""))</f>
        <v/>
      </c>
      <c r="CL277" s="139" t="str">
        <f aca="false">IF(ISBLANK($C277),"",IF($BR277&lt;&gt;Constants!$B$8,"",IF($BI277="-&gt;",2,1)))</f>
        <v/>
      </c>
      <c r="CM277" s="141" t="str">
        <f aca="false">IF(ISBLANK($C277),"",IF($BR277&lt;&gt;Constants!$B$8,"",IF($BI277="-&gt;",$BK277,$BC277)))</f>
        <v/>
      </c>
      <c r="CN277" s="141" t="str">
        <f aca="false">IF(ISBLANK($C277),"",IF($BR277&lt;&gt;Constants!$B$8,"",IF($BI277="-&gt;",$BL277,$BD277)))</f>
        <v/>
      </c>
      <c r="CO277" s="141" t="str">
        <f aca="false">IF(ISBLANK($C277),"",IF($BR277&lt;&gt;Constants!$B$8,"",IF($BI277="-&gt;",$BM277+$BN277,$BE277+$BF277)+$BV277))</f>
        <v/>
      </c>
      <c r="CP277" s="141" t="str">
        <f aca="false">IF(ISBLANK($C277),"",IF($BR277&lt;&gt;Constants!$B$8,"",IF($BI277="-&gt;",$BO277,$BG277)+$BU277))</f>
        <v/>
      </c>
      <c r="CQ277" s="142" t="str">
        <f aca="false">IF(ISBLANK($C277),"",IF($BR277&lt;&gt;Constants!$B$8,$BR277,$BW277))</f>
        <v/>
      </c>
      <c r="CR277" s="143" t="str">
        <f aca="false">IF(ISBLANK($C277),"",$BS277)</f>
        <v/>
      </c>
      <c r="CS277" s="144" t="str">
        <f aca="false">IF(ISBLANK($C277),"",$CH277)</f>
        <v/>
      </c>
      <c r="CT277" s="144" t="str">
        <f aca="false">IF(ISBLANK($C277),"",$CG277)</f>
        <v/>
      </c>
      <c r="CU277" s="145" t="str">
        <f aca="false">IF(ISBLANK($C277),"",IFERROR(_xlfn.SWITCH($CT277,Constants!$B$11,COUNTA($C$9:$C$508)+2,Constants!$B$10,COUNTA($C$9:$C$508)+1,Constants!$B$9,COUNTA($C$9:$C$508)),$CT277))</f>
        <v/>
      </c>
      <c r="CV277" s="9"/>
      <c r="CW277" s="146" t="n">
        <f aca="false">IF(OR(ISNUMBER($CT277),$CT277=Constants!$B$11,$CT277=Constants!$B$9,$CT277=Constants!$B$10),1,0)</f>
        <v>0</v>
      </c>
      <c r="CX277" s="146" t="n">
        <v>269</v>
      </c>
      <c r="CY277" s="146" t="str">
        <f aca="false">IF(ISBLANK($C277),"",IF(ISNUMBER($CU277),$CU277+ROW($B277)/1000,""))</f>
        <v/>
      </c>
      <c r="CZ277" s="146" t="str">
        <f aca="false">IF(ISNUMBER($CY277),RANK($CY277,$CY$9:$CY$508,1),"")</f>
        <v/>
      </c>
      <c r="DA277" s="146" t="str">
        <f aca="false">IF(ISBLANK($C277),"",$B277)</f>
        <v/>
      </c>
      <c r="DB277" s="146" t="str">
        <f aca="false">IF(ISBLANK($C277),"",$C277)</f>
        <v/>
      </c>
      <c r="DC277" s="146" t="str">
        <f aca="false">IF(ISBLANK($C277),"",$D277)</f>
        <v/>
      </c>
      <c r="DD277" s="147" t="str">
        <f aca="false">$CR277</f>
        <v/>
      </c>
      <c r="DE277" s="148" t="str">
        <f aca="false">$CQ277</f>
        <v/>
      </c>
      <c r="DF277" s="146" t="str">
        <f aca="false">IF(ISBLANK($C277),"",$CT277)</f>
        <v/>
      </c>
      <c r="DG277" s="149" t="str">
        <f aca="false">IF($CX277&gt;$CW$8,"",VLOOKUP($CX277,$CZ$9:$DF$508,7,FALSE()))</f>
        <v/>
      </c>
      <c r="DH277" s="150" t="str">
        <f aca="false">IF($CX277&gt;$CW$8,"",VLOOKUP($CX277,$CZ$9:$DF$508,2,FALSE()))</f>
        <v/>
      </c>
      <c r="DI277" s="150" t="str">
        <f aca="false">IF($CX277&gt;$CW$8,"",VLOOKUP($CX277,$CZ$9:$DF$508,3,FALSE()))</f>
        <v/>
      </c>
      <c r="DJ277" s="150" t="str">
        <f aca="false">IF($CX277&gt;$CW$8,"",VLOOKUP($CX277,$CZ$9:$DF$508,4,FALSE()))</f>
        <v/>
      </c>
      <c r="DK277" s="150" t="str">
        <f aca="false">IF($CX277&gt;$CW$8,"",VLOOKUP($CX277,$CZ$9:$DF$508,5,FALSE()))</f>
        <v/>
      </c>
      <c r="DL277" s="151" t="str">
        <f aca="false">IF($CX277&gt;$CW$8,"",VLOOKUP($CX277,$CZ$9:$DF$508,6,FALSE()))</f>
        <v/>
      </c>
      <c r="DM277" s="75"/>
    </row>
    <row r="278" customFormat="false" ht="15.75" hidden="false" customHeight="false" outlineLevel="0" collapsed="false">
      <c r="A278" s="9"/>
      <c r="B278" s="157"/>
      <c r="C278" s="158"/>
      <c r="D278" s="159"/>
      <c r="E278" s="177"/>
      <c r="F278" s="161"/>
      <c r="G278" s="162"/>
      <c r="H278" s="162"/>
      <c r="I278" s="178"/>
      <c r="J278" s="165"/>
      <c r="K278" s="126"/>
      <c r="L278" s="127"/>
      <c r="M278" s="128"/>
      <c r="N278" s="165"/>
      <c r="O278" s="165"/>
      <c r="P278" s="177"/>
      <c r="Q278" s="165"/>
      <c r="R278" s="165"/>
      <c r="S278" s="126"/>
      <c r="T278" s="128"/>
      <c r="U278" s="128"/>
      <c r="V278" s="165"/>
      <c r="W278" s="165"/>
      <c r="X278" s="177"/>
      <c r="Y278" s="165"/>
      <c r="Z278" s="166"/>
      <c r="AA278" s="165"/>
      <c r="AB278" s="132"/>
      <c r="AC278" s="133"/>
      <c r="AD278" s="133"/>
      <c r="AE278" s="133"/>
      <c r="AF278" s="133" t="str">
        <f aca="false">IF(ISBLANK($C278),"",IF(E278=Constants!$B$3,TRUE(),IF(E278=Constants!$B$4,FALSE(),TRUE())))</f>
        <v/>
      </c>
      <c r="AG278" s="133" t="str">
        <f aca="false">IF(ISBLANK($C278),"",IF(F278=Constants!$B$3,TRUE(),IF(F278=Constants!$B$4,FALSE(),TRUE())))</f>
        <v/>
      </c>
      <c r="AH278" s="133" t="str">
        <f aca="false">IF(ISBLANK($C278),"",IF(G278=Constants!$B$3,TRUE(),IF(G278=Constants!$B$4,FALSE(),TRUE())))</f>
        <v/>
      </c>
      <c r="AI278" s="133" t="str">
        <f aca="false">IF(ISBLANK($C278),"",IF(AND(ISNUMBER(H278),H278&gt;=0),H278,Constants!$B$29))</f>
        <v/>
      </c>
      <c r="AJ278" s="133" t="str">
        <f aca="false">IF(ISBLANK($C278),"",IF(I278=Constants!$B$3,TRUE(),IF(I278=Constants!$B$4,FALSE(),TRUE())))</f>
        <v/>
      </c>
      <c r="AK278" s="133" t="str">
        <f aca="false">IF(ISBLANK($C278),"",IF(J278=Constants!$B$3,TRUE(),IF(J278=Constants!$B$4,FALSE(),TRUE())))</f>
        <v/>
      </c>
      <c r="AL278" s="133" t="str">
        <f aca="false">IF(ISBLANK($C278),"",IF(K278=Constants!$B$5,TRUE(),IF(K278=Constants!$B$6,FALSE(),COUNTA(L278:P278)&gt;0)))</f>
        <v/>
      </c>
      <c r="AM278" s="134" t="str">
        <f aca="false">IF(ISBLANK($C278),"",IF(ISNUMBER(L278),IF(L278&gt;=0,L278,""),""))</f>
        <v/>
      </c>
      <c r="AN278" s="135" t="str">
        <f aca="false">IF(ISBLANK($C278),"",IF(ISNUMBER(M278),IF(M278&gt;=0,M278,""),""))</f>
        <v/>
      </c>
      <c r="AO278" s="135" t="str">
        <f aca="false">IF(ISBLANK($C278),"",IF(N278=Constants!$B$3,TRUE(),IF(N278=Constants!$B$4,FALSE(),TRUE())))</f>
        <v/>
      </c>
      <c r="AP278" s="133" t="str">
        <f aca="false">IF(ISBLANK($C278),"",IF(ISNUMBER(O278),IF(O278&gt;=0,O278,""),""))</f>
        <v/>
      </c>
      <c r="AQ278" s="133" t="str">
        <f aca="false">IF(ISBLANK($C278),"",IF(P278=Constants!$B$3,TRUE(),IF(P278=Constants!$B$4,FALSE(),FALSE())))</f>
        <v/>
      </c>
      <c r="AR278" s="133" t="str">
        <f aca="false">IF(ISBLANK($C278),"",IF(Q278=Constants!$B$3,TRUE(),IF(Q278=Constants!$B$4,FALSE(),TRUE())))</f>
        <v/>
      </c>
      <c r="AS278" s="133" t="str">
        <f aca="false">IF(ISBLANK($C278),"",IF(R278=Constants!$B$3,TRUE(),IF(R278=Constants!$B$4,FALSE(),TRUE())))</f>
        <v/>
      </c>
      <c r="AT278" s="133" t="str">
        <f aca="false">IF(ISBLANK($C278),"",IF(S278=Constants!$B$5,TRUE(),IF(S278=Constants!$B$6,FALSE(),COUNTA(T278:X278)&gt;0)))</f>
        <v/>
      </c>
      <c r="AU278" s="134" t="str">
        <f aca="false">IF(ISBLANK($C278),"",IF(ISNUMBER(T278),IF(T278&gt;=0,T278,""),""))</f>
        <v/>
      </c>
      <c r="AV278" s="135" t="str">
        <f aca="false">IF(ISBLANK($C278),"",IF(ISNUMBER(U278),IF(U278&gt;=0,U278,""),""))</f>
        <v/>
      </c>
      <c r="AW278" s="135" t="str">
        <f aca="false">IF(ISBLANK($C278),"",IF(V278=Constants!$B$3,TRUE(),IF(V278=Constants!$B$4,FALSE(),TRUE())))</f>
        <v/>
      </c>
      <c r="AX278" s="133" t="str">
        <f aca="false">IF(ISBLANK($C278),"",IF(ISNUMBER(W278),IF(W278&gt;=0,W278,""),""))</f>
        <v/>
      </c>
      <c r="AY278" s="133" t="str">
        <f aca="false">IF(ISBLANK($C278),"",IF(X278=Constants!$B$3,TRUE(),IF(X278=Constants!$B$4,FALSE(),FALSE())))</f>
        <v/>
      </c>
      <c r="AZ278" s="133" t="str">
        <f aca="false">IF(ISBLANK($C278),"",MIN(Constants!$B$31,MAX(0,IF(ISNUMBER(Y278),Y278*60,0)+IF(ISNUMBER(Z278),Z278,0))))</f>
        <v/>
      </c>
      <c r="BA278" s="133" t="str">
        <f aca="false">IF(ISBLANK($C278),"",IF(AA278=Constants!$B$3,TRUE(),IF(AA278=Constants!$B$4,FALSE(),FALSE())))</f>
        <v/>
      </c>
      <c r="BB278" s="132" t="str">
        <f aca="false">IF(ISBLANK($C278),"",AND($AL278,OR($AM278="",$AN278="",AND($AO278,$AP278=""))))</f>
        <v/>
      </c>
      <c r="BC278" s="135" t="str">
        <f aca="false">IF($BR278&lt;&gt;Constants!$B$8,"",IF($AL278,Constants!$B$21*$AN278+Constants!$B$22*IF($AO278,$AP278,Constants!$B$23),Constants!$B$24))</f>
        <v/>
      </c>
      <c r="BD278" s="136" t="str">
        <f aca="false">IF($BR278&lt;&gt;Constants!$B$8,"",Constants!$B$25*ABS($AD$9-IF($AL278,$AM278,0)))</f>
        <v/>
      </c>
      <c r="BE278" s="136" t="str">
        <f aca="false">IF($BR278&lt;&gt;Constants!$B$8,"",IF(AND($AL278,$AQ278,$AO278),Constants!$B$27,0))</f>
        <v/>
      </c>
      <c r="BF278" s="136" t="str">
        <f aca="false">IF($BR278&lt;&gt;Constants!$B$8,"",IF($AL278,($AI278-Constants!$B$29)*Constants!$B$28,0))</f>
        <v/>
      </c>
      <c r="BG278" s="136" t="str">
        <f aca="false">IF($BR278&lt;&gt;Constants!$B$8,"",IF($AK278,0,Constants!$B$15)+IF($AJ278,0,Constants!$B$16)+IF($AH278,0,Constants!$B$17))</f>
        <v/>
      </c>
      <c r="BH278" s="137" t="str">
        <f aca="false">IF($BR278&lt;&gt;Constants!$B$8,"",Constants!$B$20+SUM($BC278:$BG278))</f>
        <v/>
      </c>
      <c r="BI278" s="133" t="str">
        <f aca="false">IF($BR278&lt;&gt;Constants!$B$8,"",IF(OR($BP278&lt;$BH278,AND($BP278=$BH278,OR($BK278&lt;$BC278,AND($BK278=$BC278,OR($BL278&lt;$BD278,AND($BL278=$BD278,$AT278,$AL278,$AV278&lt;$AN278)))))),"-&gt;","&lt;-"))</f>
        <v/>
      </c>
      <c r="BJ278" s="132" t="str">
        <f aca="false">IF(ISBLANK($C278),"",AND($AT278,OR($AU278="",$AV278="",AND($AW278,$AX278=""))))</f>
        <v/>
      </c>
      <c r="BK278" s="135" t="str">
        <f aca="false">IF($BR278&lt;&gt;Constants!$B$8,"",IF($AT278,Constants!$B$21*$AV278+Constants!$B$22*IF($AW278,$AX278,Constants!$B$23),Constants!$B$24))</f>
        <v/>
      </c>
      <c r="BL278" s="136" t="str">
        <f aca="false">IF($BR278&lt;&gt;Constants!$B$8,"",Constants!$B$25*ABS($AD$9-IF($AT278,$AU278,0)))</f>
        <v/>
      </c>
      <c r="BM278" s="136" t="str">
        <f aca="false">IF($BR278&lt;&gt;Constants!$B$8,"",IF(AND($AT278,$AY278,$AW278),Constants!$B$27,0))</f>
        <v/>
      </c>
      <c r="BN278" s="136" t="str">
        <f aca="false">IF($BR278&lt;&gt;Constants!$B$8,"",IF($AT278,($AI278-Constants!$B$29)*Constants!$B$28,0))</f>
        <v/>
      </c>
      <c r="BO278" s="136" t="str">
        <f aca="false">IF($BR278&lt;&gt;Constants!$B$8,"",IF($AS278,0,Constants!$B$15)+IF($AR278,0,Constants!$B$16)+IF($AH278,0,Constants!$B$17))</f>
        <v/>
      </c>
      <c r="BP278" s="137" t="str">
        <f aca="false">IF($BR278&lt;&gt;Constants!$B$8,"",Constants!$B$20+SUM($BK278:$BO278))</f>
        <v/>
      </c>
      <c r="BQ278" s="133" t="str">
        <f aca="false">IF(ISBLANK($C278),"",IF(ISBLANK($D$7),$BQ$5,IF(NOT(ISNUMBER($D$7)),$BQ$6,"")))</f>
        <v/>
      </c>
      <c r="BR278" s="133" t="str">
        <f aca="false">IF(ISBLANK($C278),"",IF($BA278,Constants!$B$11,IF(COUNTA($E278:$AA278)=0,Constants!$B$10,IF(NOT($AG278),Constants!$B$9,IF(OR($BQ278&lt;&gt;"",$BB278,$BJ278),Constants!$B$12,Constants!$B$8)))))</f>
        <v/>
      </c>
      <c r="BS278" s="133" t="str">
        <f aca="false">IF(ISBLANK($C278),"",IF($BR278&lt;&gt;Constants!$B$8,$BR278,Constants!$B$13))</f>
        <v/>
      </c>
      <c r="BT278" s="136" t="str">
        <f aca="false">IF($BR278&lt;&gt;Constants!$B$8,"",IF($BI278="-&gt;",$BP278,$BH278))</f>
        <v/>
      </c>
      <c r="BU278" s="136" t="str">
        <f aca="false">IF($BR278&lt;&gt;Constants!$B$8,"",IF($AF278,0,Constants!$B$18))</f>
        <v/>
      </c>
      <c r="BV278" s="136" t="str">
        <f aca="false">IF($BR278&lt;&gt;Constants!$B$8,"",((Constants!$B$31-$AZ278)-Constants!$B$31)/Constants!$B$32)</f>
        <v/>
      </c>
      <c r="BW278" s="136" t="str">
        <f aca="false">IF(ISBLANK($C278),"",IF($BR278&lt;&gt;Constants!$B$8,$BR278,SUM($BT278:$BV278)))</f>
        <v/>
      </c>
      <c r="BX278" s="133" t="str">
        <f aca="false">IF(ISBLANK($C278),"",IF($BR278&lt;&gt;Constants!$B$8,$BR278,RANK($BW278,$BW$9:$BW$508,1)))</f>
        <v/>
      </c>
      <c r="BY278" s="136" t="str">
        <f aca="false">IF($BR278&lt;&gt;Constants!$B$8,"",IF($BI278="-&gt;",$BK278,$BC278))</f>
        <v/>
      </c>
      <c r="BZ278" s="133" t="str">
        <f aca="false">IF(ISBLANK($C278),"",IF($BR278&lt;&gt;Constants!$B$8,$BR278,IF(ISNUMBER($BY278),RANK($BY278,$BY$9:$BY$508,1),COUNT($BY$9:$BY$508)+1)))</f>
        <v/>
      </c>
      <c r="CA278" s="136" t="str">
        <f aca="false">IF($BR278&lt;&gt;Constants!$B$8,"",IF($BI278="-&gt;",$BL278,$BD278))</f>
        <v/>
      </c>
      <c r="CB278" s="133" t="str">
        <f aca="false">IF(ISBLANK($C278),"",IF($BR278&lt;&gt;Constants!$B$8,$BR278,IF(ISNUMBER($CA278),RANK($CA278,$CA$9:$CA$508,1),COUNT($CA$9:$CA$508)+1)))</f>
        <v/>
      </c>
      <c r="CC278" s="136" t="str">
        <f aca="false">IF($BR278&lt;&gt;Constants!$B$8,"",IF($BI278="-&gt;",IF($AT278,$AV278,""),IF($AL278,$AN278,"")))</f>
        <v/>
      </c>
      <c r="CD278" s="133" t="str">
        <f aca="false">IF(ISBLANK($C278),"",IF($BR278&lt;&gt;Constants!$B$8,$BR278,IF(ISNUMBER($CC278),RANK($CC278,$CC$9:$CC$508,1),COUNT($CC$9:$CC$508)+1)))</f>
        <v/>
      </c>
      <c r="CE278" s="136" t="str">
        <f aca="false">IF($BR278&lt;&gt;Constants!$B$8,"",IF(AND(NOT($AL278),NOT($AT278),$AJ278,$AK278,$AR278,$AS278),"",$AI278))</f>
        <v/>
      </c>
      <c r="CF278" s="133" t="str">
        <f aca="false">IF(ISBLANK($C278),"",IF($BR278&lt;&gt;Constants!$B$8,$BR278,IF(ISNUMBER($CE278),RANK($CE278,$CE$9:$CE$508,1),COUNT($CE$9:$CE$508)+1)))</f>
        <v/>
      </c>
      <c r="CG278" s="133" t="str">
        <f aca="false">IF(ISBLANK($C278),"",IF($BR278&lt;&gt;Constants!$B$8,$BR278,COUNTIFS($BX$9:$BX$508,"&lt;"&amp;$BX278)+COUNTIFS($BX$9:$BX$508,$BX278,$BZ$9:$BZ$508,"&lt;"&amp;$BZ278)+COUNTIFS($BX$9:$BX$508,$BX278,$BZ$9:$BZ$508,$BZ278,$CB$9:$CB$508,"&lt;"&amp;$CB278)+COUNTIFS($BX$9:$BX$508,$BX278,$BZ$9:$BZ$508,$BZ278,$CB$9:$CB$508,$CB278,$CD$9:$CD$508,"&lt;"&amp;$CD278)+COUNTIFS($BX$9:$BX$508,$BX278,$BZ$9:$BZ$508,$BZ278,$CB$9:$CB$508,$CB278,$CD$9:$CD$508,$CD278,$CF$9:$CF$508,"&lt;"&amp;$CF278)+1))</f>
        <v/>
      </c>
      <c r="CH278" s="133" t="str">
        <f aca="false">IF(ISBLANK($C278),"",IF($BR278&lt;&gt;Constants!$B$8,$BR278,$BX278-$CG278))</f>
        <v/>
      </c>
      <c r="CI278" s="138"/>
      <c r="CJ278" s="139"/>
      <c r="CK278" s="140" t="str">
        <f aca="false">IF(ISBLANK($C278),"",IF($BR278=Constants!$B$12,$BQ278,""))</f>
        <v/>
      </c>
      <c r="CL278" s="139" t="str">
        <f aca="false">IF(ISBLANK($C278),"",IF($BR278&lt;&gt;Constants!$B$8,"",IF($BI278="-&gt;",2,1)))</f>
        <v/>
      </c>
      <c r="CM278" s="141" t="str">
        <f aca="false">IF(ISBLANK($C278),"",IF($BR278&lt;&gt;Constants!$B$8,"",IF($BI278="-&gt;",$BK278,$BC278)))</f>
        <v/>
      </c>
      <c r="CN278" s="141" t="str">
        <f aca="false">IF(ISBLANK($C278),"",IF($BR278&lt;&gt;Constants!$B$8,"",IF($BI278="-&gt;",$BL278,$BD278)))</f>
        <v/>
      </c>
      <c r="CO278" s="141" t="str">
        <f aca="false">IF(ISBLANK($C278),"",IF($BR278&lt;&gt;Constants!$B$8,"",IF($BI278="-&gt;",$BM278+$BN278,$BE278+$BF278)+$BV278))</f>
        <v/>
      </c>
      <c r="CP278" s="141" t="str">
        <f aca="false">IF(ISBLANK($C278),"",IF($BR278&lt;&gt;Constants!$B$8,"",IF($BI278="-&gt;",$BO278,$BG278)+$BU278))</f>
        <v/>
      </c>
      <c r="CQ278" s="142" t="str">
        <f aca="false">IF(ISBLANK($C278),"",IF($BR278&lt;&gt;Constants!$B$8,$BR278,$BW278))</f>
        <v/>
      </c>
      <c r="CR278" s="143" t="str">
        <f aca="false">IF(ISBLANK($C278),"",$BS278)</f>
        <v/>
      </c>
      <c r="CS278" s="144" t="str">
        <f aca="false">IF(ISBLANK($C278),"",$CH278)</f>
        <v/>
      </c>
      <c r="CT278" s="144" t="str">
        <f aca="false">IF(ISBLANK($C278),"",$CG278)</f>
        <v/>
      </c>
      <c r="CU278" s="145" t="str">
        <f aca="false">IF(ISBLANK($C278),"",IFERROR(_xlfn.SWITCH($CT278,Constants!$B$11,COUNTA($C$9:$C$508)+2,Constants!$B$10,COUNTA($C$9:$C$508)+1,Constants!$B$9,COUNTA($C$9:$C$508)),$CT278))</f>
        <v/>
      </c>
      <c r="CV278" s="9"/>
      <c r="CW278" s="146" t="n">
        <f aca="false">IF(OR(ISNUMBER($CT278),$CT278=Constants!$B$11,$CT278=Constants!$B$9,$CT278=Constants!$B$10),1,0)</f>
        <v>0</v>
      </c>
      <c r="CX278" s="146" t="n">
        <v>270</v>
      </c>
      <c r="CY278" s="146" t="str">
        <f aca="false">IF(ISBLANK($C278),"",IF(ISNUMBER($CU278),$CU278+ROW($B278)/1000,""))</f>
        <v/>
      </c>
      <c r="CZ278" s="146" t="str">
        <f aca="false">IF(ISNUMBER($CY278),RANK($CY278,$CY$9:$CY$508,1),"")</f>
        <v/>
      </c>
      <c r="DA278" s="146" t="str">
        <f aca="false">IF(ISBLANK($C278),"",$B278)</f>
        <v/>
      </c>
      <c r="DB278" s="146" t="str">
        <f aca="false">IF(ISBLANK($C278),"",$C278)</f>
        <v/>
      </c>
      <c r="DC278" s="146" t="str">
        <f aca="false">IF(ISBLANK($C278),"",$D278)</f>
        <v/>
      </c>
      <c r="DD278" s="147" t="str">
        <f aca="false">$CR278</f>
        <v/>
      </c>
      <c r="DE278" s="148" t="str">
        <f aca="false">$CQ278</f>
        <v/>
      </c>
      <c r="DF278" s="146" t="str">
        <f aca="false">IF(ISBLANK($C278),"",$CT278)</f>
        <v/>
      </c>
      <c r="DG278" s="149" t="str">
        <f aca="false">IF($CX278&gt;$CW$8,"",VLOOKUP($CX278,$CZ$9:$DF$508,7,FALSE()))</f>
        <v/>
      </c>
      <c r="DH278" s="150" t="str">
        <f aca="false">IF($CX278&gt;$CW$8,"",VLOOKUP($CX278,$CZ$9:$DF$508,2,FALSE()))</f>
        <v/>
      </c>
      <c r="DI278" s="150" t="str">
        <f aca="false">IF($CX278&gt;$CW$8,"",VLOOKUP($CX278,$CZ$9:$DF$508,3,FALSE()))</f>
        <v/>
      </c>
      <c r="DJ278" s="150" t="str">
        <f aca="false">IF($CX278&gt;$CW$8,"",VLOOKUP($CX278,$CZ$9:$DF$508,4,FALSE()))</f>
        <v/>
      </c>
      <c r="DK278" s="150" t="str">
        <f aca="false">IF($CX278&gt;$CW$8,"",VLOOKUP($CX278,$CZ$9:$DF$508,5,FALSE()))</f>
        <v/>
      </c>
      <c r="DL278" s="151" t="str">
        <f aca="false">IF($CX278&gt;$CW$8,"",VLOOKUP($CX278,$CZ$9:$DF$508,6,FALSE()))</f>
        <v/>
      </c>
      <c r="DM278" s="75"/>
    </row>
    <row r="279" customFormat="false" ht="15.75" hidden="false" customHeight="false" outlineLevel="0" collapsed="false">
      <c r="A279" s="9"/>
      <c r="B279" s="77"/>
      <c r="C279" s="78"/>
      <c r="D279" s="167"/>
      <c r="E279" s="175"/>
      <c r="F279" s="169"/>
      <c r="G279" s="170"/>
      <c r="H279" s="170"/>
      <c r="I279" s="176"/>
      <c r="J279" s="173"/>
      <c r="K279" s="85"/>
      <c r="L279" s="86"/>
      <c r="M279" s="87"/>
      <c r="N279" s="173"/>
      <c r="O279" s="173"/>
      <c r="P279" s="175"/>
      <c r="Q279" s="173"/>
      <c r="R279" s="173"/>
      <c r="S279" s="85"/>
      <c r="T279" s="87"/>
      <c r="U279" s="87"/>
      <c r="V279" s="173"/>
      <c r="W279" s="173"/>
      <c r="X279" s="175"/>
      <c r="Y279" s="173"/>
      <c r="Z279" s="174"/>
      <c r="AA279" s="173"/>
      <c r="AB279" s="91"/>
      <c r="AC279" s="92"/>
      <c r="AD279" s="92"/>
      <c r="AE279" s="92"/>
      <c r="AF279" s="92" t="str">
        <f aca="false">IF(ISBLANK($C279),"",IF(E279=Constants!$B$3,TRUE(),IF(E279=Constants!$B$4,FALSE(),TRUE())))</f>
        <v/>
      </c>
      <c r="AG279" s="92" t="str">
        <f aca="false">IF(ISBLANK($C279),"",IF(F279=Constants!$B$3,TRUE(),IF(F279=Constants!$B$4,FALSE(),TRUE())))</f>
        <v/>
      </c>
      <c r="AH279" s="92" t="str">
        <f aca="false">IF(ISBLANK($C279),"",IF(G279=Constants!$B$3,TRUE(),IF(G279=Constants!$B$4,FALSE(),TRUE())))</f>
        <v/>
      </c>
      <c r="AI279" s="92" t="str">
        <f aca="false">IF(ISBLANK($C279),"",IF(AND(ISNUMBER(H279),H279&gt;=0),H279,Constants!$B$29))</f>
        <v/>
      </c>
      <c r="AJ279" s="92" t="str">
        <f aca="false">IF(ISBLANK($C279),"",IF(I279=Constants!$B$3,TRUE(),IF(I279=Constants!$B$4,FALSE(),TRUE())))</f>
        <v/>
      </c>
      <c r="AK279" s="92" t="str">
        <f aca="false">IF(ISBLANK($C279),"",IF(J279=Constants!$B$3,TRUE(),IF(J279=Constants!$B$4,FALSE(),TRUE())))</f>
        <v/>
      </c>
      <c r="AL279" s="92" t="str">
        <f aca="false">IF(ISBLANK($C279),"",IF(K279=Constants!$B$5,TRUE(),IF(K279=Constants!$B$6,FALSE(),COUNTA(L279:P279)&gt;0)))</f>
        <v/>
      </c>
      <c r="AM279" s="94" t="str">
        <f aca="false">IF(ISBLANK($C279),"",IF(ISNUMBER(L279),IF(L279&gt;=0,L279,""),""))</f>
        <v/>
      </c>
      <c r="AN279" s="93" t="str">
        <f aca="false">IF(ISBLANK($C279),"",IF(ISNUMBER(M279),IF(M279&gt;=0,M279,""),""))</f>
        <v/>
      </c>
      <c r="AO279" s="93" t="str">
        <f aca="false">IF(ISBLANK($C279),"",IF(N279=Constants!$B$3,TRUE(),IF(N279=Constants!$B$4,FALSE(),TRUE())))</f>
        <v/>
      </c>
      <c r="AP279" s="92" t="str">
        <f aca="false">IF(ISBLANK($C279),"",IF(ISNUMBER(O279),IF(O279&gt;=0,O279,""),""))</f>
        <v/>
      </c>
      <c r="AQ279" s="92" t="str">
        <f aca="false">IF(ISBLANK($C279),"",IF(P279=Constants!$B$3,TRUE(),IF(P279=Constants!$B$4,FALSE(),FALSE())))</f>
        <v/>
      </c>
      <c r="AR279" s="92" t="str">
        <f aca="false">IF(ISBLANK($C279),"",IF(Q279=Constants!$B$3,TRUE(),IF(Q279=Constants!$B$4,FALSE(),TRUE())))</f>
        <v/>
      </c>
      <c r="AS279" s="92" t="str">
        <f aca="false">IF(ISBLANK($C279),"",IF(R279=Constants!$B$3,TRUE(),IF(R279=Constants!$B$4,FALSE(),TRUE())))</f>
        <v/>
      </c>
      <c r="AT279" s="92" t="str">
        <f aca="false">IF(ISBLANK($C279),"",IF(S279=Constants!$B$5,TRUE(),IF(S279=Constants!$B$6,FALSE(),COUNTA(T279:X279)&gt;0)))</f>
        <v/>
      </c>
      <c r="AU279" s="94" t="str">
        <f aca="false">IF(ISBLANK($C279),"",IF(ISNUMBER(T279),IF(T279&gt;=0,T279,""),""))</f>
        <v/>
      </c>
      <c r="AV279" s="93" t="str">
        <f aca="false">IF(ISBLANK($C279),"",IF(ISNUMBER(U279),IF(U279&gt;=0,U279,""),""))</f>
        <v/>
      </c>
      <c r="AW279" s="93" t="str">
        <f aca="false">IF(ISBLANK($C279),"",IF(V279=Constants!$B$3,TRUE(),IF(V279=Constants!$B$4,FALSE(),TRUE())))</f>
        <v/>
      </c>
      <c r="AX279" s="92" t="str">
        <f aca="false">IF(ISBLANK($C279),"",IF(ISNUMBER(W279),IF(W279&gt;=0,W279,""),""))</f>
        <v/>
      </c>
      <c r="AY279" s="92" t="str">
        <f aca="false">IF(ISBLANK($C279),"",IF(X279=Constants!$B$3,TRUE(),IF(X279=Constants!$B$4,FALSE(),FALSE())))</f>
        <v/>
      </c>
      <c r="AZ279" s="92" t="str">
        <f aca="false">IF(ISBLANK($C279),"",MIN(Constants!$B$31,MAX(0,IF(ISNUMBER(Y279),Y279*60,0)+IF(ISNUMBER(Z279),Z279,0))))</f>
        <v/>
      </c>
      <c r="BA279" s="92" t="str">
        <f aca="false">IF(ISBLANK($C279),"",IF(AA279=Constants!$B$3,TRUE(),IF(AA279=Constants!$B$4,FALSE(),FALSE())))</f>
        <v/>
      </c>
      <c r="BB279" s="91" t="str">
        <f aca="false">IF(ISBLANK($C279),"",AND($AL279,OR($AM279="",$AN279="",AND($AO279,$AP279=""))))</f>
        <v/>
      </c>
      <c r="BC279" s="93" t="str">
        <f aca="false">IF($BR279&lt;&gt;Constants!$B$8,"",IF($AL279,Constants!$B$21*$AN279+Constants!$B$22*IF($AO279,$AP279,Constants!$B$23),Constants!$B$24))</f>
        <v/>
      </c>
      <c r="BD279" s="96" t="str">
        <f aca="false">IF($BR279&lt;&gt;Constants!$B$8,"",Constants!$B$25*ABS($AD$9-IF($AL279,$AM279,0)))</f>
        <v/>
      </c>
      <c r="BE279" s="96" t="str">
        <f aca="false">IF($BR279&lt;&gt;Constants!$B$8,"",IF(AND($AL279,$AQ279,$AO279),Constants!$B$27,0))</f>
        <v/>
      </c>
      <c r="BF279" s="96" t="str">
        <f aca="false">IF($BR279&lt;&gt;Constants!$B$8,"",IF($AL279,($AI279-Constants!$B$29)*Constants!$B$28,0))</f>
        <v/>
      </c>
      <c r="BG279" s="96" t="str">
        <f aca="false">IF($BR279&lt;&gt;Constants!$B$8,"",IF($AK279,0,Constants!$B$15)+IF($AJ279,0,Constants!$B$16)+IF($AH279,0,Constants!$B$17))</f>
        <v/>
      </c>
      <c r="BH279" s="97" t="str">
        <f aca="false">IF($BR279&lt;&gt;Constants!$B$8,"",Constants!$B$20+SUM($BC279:$BG279))</f>
        <v/>
      </c>
      <c r="BI279" s="92" t="str">
        <f aca="false">IF($BR279&lt;&gt;Constants!$B$8,"",IF(OR($BP279&lt;$BH279,AND($BP279=$BH279,OR($BK279&lt;$BC279,AND($BK279=$BC279,OR($BL279&lt;$BD279,AND($BL279=$BD279,$AT279,$AL279,$AV279&lt;$AN279)))))),"-&gt;","&lt;-"))</f>
        <v/>
      </c>
      <c r="BJ279" s="91" t="str">
        <f aca="false">IF(ISBLANK($C279),"",AND($AT279,OR($AU279="",$AV279="",AND($AW279,$AX279=""))))</f>
        <v/>
      </c>
      <c r="BK279" s="93" t="str">
        <f aca="false">IF($BR279&lt;&gt;Constants!$B$8,"",IF($AT279,Constants!$B$21*$AV279+Constants!$B$22*IF($AW279,$AX279,Constants!$B$23),Constants!$B$24))</f>
        <v/>
      </c>
      <c r="BL279" s="96" t="str">
        <f aca="false">IF($BR279&lt;&gt;Constants!$B$8,"",Constants!$B$25*ABS($AD$9-IF($AT279,$AU279,0)))</f>
        <v/>
      </c>
      <c r="BM279" s="96" t="str">
        <f aca="false">IF($BR279&lt;&gt;Constants!$B$8,"",IF(AND($AT279,$AY279,$AW279),Constants!$B$27,0))</f>
        <v/>
      </c>
      <c r="BN279" s="96" t="str">
        <f aca="false">IF($BR279&lt;&gt;Constants!$B$8,"",IF($AT279,($AI279-Constants!$B$29)*Constants!$B$28,0))</f>
        <v/>
      </c>
      <c r="BO279" s="96" t="str">
        <f aca="false">IF($BR279&lt;&gt;Constants!$B$8,"",IF($AS279,0,Constants!$B$15)+IF($AR279,0,Constants!$B$16)+IF($AH279,0,Constants!$B$17))</f>
        <v/>
      </c>
      <c r="BP279" s="97" t="str">
        <f aca="false">IF($BR279&lt;&gt;Constants!$B$8,"",Constants!$B$20+SUM($BK279:$BO279))</f>
        <v/>
      </c>
      <c r="BQ279" s="92" t="str">
        <f aca="false">IF(ISBLANK($C279),"",IF(ISBLANK($D$7),$BQ$5,IF(NOT(ISNUMBER($D$7)),$BQ$6,"")))</f>
        <v/>
      </c>
      <c r="BR279" s="92" t="str">
        <f aca="false">IF(ISBLANK($C279),"",IF($BA279,Constants!$B$11,IF(COUNTA($E279:$AA279)=0,Constants!$B$10,IF(NOT($AG279),Constants!$B$9,IF(OR($BQ279&lt;&gt;"",$BB279,$BJ279),Constants!$B$12,Constants!$B$8)))))</f>
        <v/>
      </c>
      <c r="BS279" s="92" t="str">
        <f aca="false">IF(ISBLANK($C279),"",IF($BR279&lt;&gt;Constants!$B$8,$BR279,Constants!$B$13))</f>
        <v/>
      </c>
      <c r="BT279" s="96" t="str">
        <f aca="false">IF($BR279&lt;&gt;Constants!$B$8,"",IF($BI279="-&gt;",$BP279,$BH279))</f>
        <v/>
      </c>
      <c r="BU279" s="96" t="str">
        <f aca="false">IF($BR279&lt;&gt;Constants!$B$8,"",IF($AF279,0,Constants!$B$18))</f>
        <v/>
      </c>
      <c r="BV279" s="96" t="str">
        <f aca="false">IF($BR279&lt;&gt;Constants!$B$8,"",((Constants!$B$31-$AZ279)-Constants!$B$31)/Constants!$B$32)</f>
        <v/>
      </c>
      <c r="BW279" s="96" t="str">
        <f aca="false">IF(ISBLANK($C279),"",IF($BR279&lt;&gt;Constants!$B$8,$BR279,SUM($BT279:$BV279)))</f>
        <v/>
      </c>
      <c r="BX279" s="92" t="str">
        <f aca="false">IF(ISBLANK($C279),"",IF($BR279&lt;&gt;Constants!$B$8,$BR279,RANK($BW279,$BW$9:$BW$508,1)))</f>
        <v/>
      </c>
      <c r="BY279" s="96" t="str">
        <f aca="false">IF($BR279&lt;&gt;Constants!$B$8,"",IF($BI279="-&gt;",$BK279,$BC279))</f>
        <v/>
      </c>
      <c r="BZ279" s="92" t="str">
        <f aca="false">IF(ISBLANK($C279),"",IF($BR279&lt;&gt;Constants!$B$8,$BR279,IF(ISNUMBER($BY279),RANK($BY279,$BY$9:$BY$508,1),COUNT($BY$9:$BY$508)+1)))</f>
        <v/>
      </c>
      <c r="CA279" s="96" t="str">
        <f aca="false">IF($BR279&lt;&gt;Constants!$B$8,"",IF($BI279="-&gt;",$BL279,$BD279))</f>
        <v/>
      </c>
      <c r="CB279" s="92" t="str">
        <f aca="false">IF(ISBLANK($C279),"",IF($BR279&lt;&gt;Constants!$B$8,$BR279,IF(ISNUMBER($CA279),RANK($CA279,$CA$9:$CA$508,1),COUNT($CA$9:$CA$508)+1)))</f>
        <v/>
      </c>
      <c r="CC279" s="96" t="str">
        <f aca="false">IF($BR279&lt;&gt;Constants!$B$8,"",IF($BI279="-&gt;",IF($AT279,$AV279,""),IF($AL279,$AN279,"")))</f>
        <v/>
      </c>
      <c r="CD279" s="92" t="str">
        <f aca="false">IF(ISBLANK($C279),"",IF($BR279&lt;&gt;Constants!$B$8,$BR279,IF(ISNUMBER($CC279),RANK($CC279,$CC$9:$CC$508,1),COUNT($CC$9:$CC$508)+1)))</f>
        <v/>
      </c>
      <c r="CE279" s="96" t="str">
        <f aca="false">IF($BR279&lt;&gt;Constants!$B$8,"",IF(AND(NOT($AL279),NOT($AT279),$AJ279,$AK279,$AR279,$AS279),"",$AI279))</f>
        <v/>
      </c>
      <c r="CF279" s="92" t="str">
        <f aca="false">IF(ISBLANK($C279),"",IF($BR279&lt;&gt;Constants!$B$8,$BR279,IF(ISNUMBER($CE279),RANK($CE279,$CE$9:$CE$508,1),COUNT($CE$9:$CE$508)+1)))</f>
        <v/>
      </c>
      <c r="CG279" s="92" t="str">
        <f aca="false">IF(ISBLANK($C279),"",IF($BR279&lt;&gt;Constants!$B$8,$BR279,COUNTIFS($BX$9:$BX$508,"&lt;"&amp;$BX279)+COUNTIFS($BX$9:$BX$508,$BX279,$BZ$9:$BZ$508,"&lt;"&amp;$BZ279)+COUNTIFS($BX$9:$BX$508,$BX279,$BZ$9:$BZ$508,$BZ279,$CB$9:$CB$508,"&lt;"&amp;$CB279)+COUNTIFS($BX$9:$BX$508,$BX279,$BZ$9:$BZ$508,$BZ279,$CB$9:$CB$508,$CB279,$CD$9:$CD$508,"&lt;"&amp;$CD279)+COUNTIFS($BX$9:$BX$508,$BX279,$BZ$9:$BZ$508,$BZ279,$CB$9:$CB$508,$CB279,$CD$9:$CD$508,$CD279,$CF$9:$CF$508,"&lt;"&amp;$CF279)+1))</f>
        <v/>
      </c>
      <c r="CH279" s="92" t="str">
        <f aca="false">IF(ISBLANK($C279),"",IF($BR279&lt;&gt;Constants!$B$8,$BR279,$BX279-$CG279))</f>
        <v/>
      </c>
      <c r="CI279" s="98"/>
      <c r="CJ279" s="99"/>
      <c r="CK279" s="100" t="str">
        <f aca="false">IF(ISBLANK($C279),"",IF($BR279=Constants!$B$12,$BQ279,""))</f>
        <v/>
      </c>
      <c r="CL279" s="99" t="str">
        <f aca="false">IF(ISBLANK($C279),"",IF($BR279&lt;&gt;Constants!$B$8,"",IF($BI279="-&gt;",2,1)))</f>
        <v/>
      </c>
      <c r="CM279" s="101" t="str">
        <f aca="false">IF(ISBLANK($C279),"",IF($BR279&lt;&gt;Constants!$B$8,"",IF($BI279="-&gt;",$BK279,$BC279)))</f>
        <v/>
      </c>
      <c r="CN279" s="101" t="str">
        <f aca="false">IF(ISBLANK($C279),"",IF($BR279&lt;&gt;Constants!$B$8,"",IF($BI279="-&gt;",$BL279,$BD279)))</f>
        <v/>
      </c>
      <c r="CO279" s="101" t="str">
        <f aca="false">IF(ISBLANK($C279),"",IF($BR279&lt;&gt;Constants!$B$8,"",IF($BI279="-&gt;",$BM279+$BN279,$BE279+$BF279)+$BV279))</f>
        <v/>
      </c>
      <c r="CP279" s="101" t="str">
        <f aca="false">IF(ISBLANK($C279),"",IF($BR279&lt;&gt;Constants!$B$8,"",IF($BI279="-&gt;",$BO279,$BG279)+$BU279))</f>
        <v/>
      </c>
      <c r="CQ279" s="102" t="str">
        <f aca="false">IF(ISBLANK($C279),"",IF($BR279&lt;&gt;Constants!$B$8,$BR279,$BW279))</f>
        <v/>
      </c>
      <c r="CR279" s="103" t="str">
        <f aca="false">IF(ISBLANK($C279),"",$BS279)</f>
        <v/>
      </c>
      <c r="CS279" s="104" t="str">
        <f aca="false">IF(ISBLANK($C279),"",$CH279)</f>
        <v/>
      </c>
      <c r="CT279" s="104" t="str">
        <f aca="false">IF(ISBLANK($C279),"",$CG279)</f>
        <v/>
      </c>
      <c r="CU279" s="105" t="str">
        <f aca="false">IF(ISBLANK($C279),"",IFERROR(_xlfn.SWITCH($CT279,Constants!$B$11,COUNTA($C$9:$C$508)+2,Constants!$B$10,COUNTA($C$9:$C$508)+1,Constants!$B$9,COUNTA($C$9:$C$508)),$CT279))</f>
        <v/>
      </c>
      <c r="CV279" s="9"/>
      <c r="CW279" s="106" t="n">
        <f aca="false">IF(OR(ISNUMBER($CT279),$CT279=Constants!$B$11,$CT279=Constants!$B$9,$CT279=Constants!$B$10),1,0)</f>
        <v>0</v>
      </c>
      <c r="CX279" s="106" t="n">
        <v>271</v>
      </c>
      <c r="CY279" s="106" t="str">
        <f aca="false">IF(ISBLANK($C279),"",IF(ISNUMBER($CU279),$CU279+ROW($B279)/1000,""))</f>
        <v/>
      </c>
      <c r="CZ279" s="106" t="str">
        <f aca="false">IF(ISNUMBER($CY279),RANK($CY279,$CY$9:$CY$508,1),"")</f>
        <v/>
      </c>
      <c r="DA279" s="106" t="str">
        <f aca="false">IF(ISBLANK($C279),"",$B279)</f>
        <v/>
      </c>
      <c r="DB279" s="106" t="str">
        <f aca="false">IF(ISBLANK($C279),"",$C279)</f>
        <v/>
      </c>
      <c r="DC279" s="106" t="str">
        <f aca="false">IF(ISBLANK($C279),"",$D279)</f>
        <v/>
      </c>
      <c r="DD279" s="107" t="str">
        <f aca="false">$CR279</f>
        <v/>
      </c>
      <c r="DE279" s="108" t="str">
        <f aca="false">$CQ279</f>
        <v/>
      </c>
      <c r="DF279" s="106" t="str">
        <f aca="false">IF(ISBLANK($C279),"",$CT279)</f>
        <v/>
      </c>
      <c r="DG279" s="109" t="str">
        <f aca="false">IF($CX279&gt;$CW$8,"",VLOOKUP($CX279,$CZ$9:$DF$508,7,FALSE()))</f>
        <v/>
      </c>
      <c r="DH279" s="110" t="str">
        <f aca="false">IF($CX279&gt;$CW$8,"",VLOOKUP($CX279,$CZ$9:$DF$508,2,FALSE()))</f>
        <v/>
      </c>
      <c r="DI279" s="110" t="str">
        <f aca="false">IF($CX279&gt;$CW$8,"",VLOOKUP($CX279,$CZ$9:$DF$508,3,FALSE()))</f>
        <v/>
      </c>
      <c r="DJ279" s="110" t="str">
        <f aca="false">IF($CX279&gt;$CW$8,"",VLOOKUP($CX279,$CZ$9:$DF$508,4,FALSE()))</f>
        <v/>
      </c>
      <c r="DK279" s="110" t="str">
        <f aca="false">IF($CX279&gt;$CW$8,"",VLOOKUP($CX279,$CZ$9:$DF$508,5,FALSE()))</f>
        <v/>
      </c>
      <c r="DL279" s="111" t="str">
        <f aca="false">IF($CX279&gt;$CW$8,"",VLOOKUP($CX279,$CZ$9:$DF$508,6,FALSE()))</f>
        <v/>
      </c>
      <c r="DM279" s="75"/>
    </row>
    <row r="280" customFormat="false" ht="15.75" hidden="false" customHeight="false" outlineLevel="0" collapsed="false">
      <c r="A280" s="9"/>
      <c r="B280" s="77"/>
      <c r="C280" s="78"/>
      <c r="D280" s="167"/>
      <c r="E280" s="175"/>
      <c r="F280" s="169"/>
      <c r="G280" s="170"/>
      <c r="H280" s="170"/>
      <c r="I280" s="176"/>
      <c r="J280" s="173"/>
      <c r="K280" s="85"/>
      <c r="L280" s="86"/>
      <c r="M280" s="87"/>
      <c r="N280" s="173"/>
      <c r="O280" s="173"/>
      <c r="P280" s="175"/>
      <c r="Q280" s="173"/>
      <c r="R280" s="173"/>
      <c r="S280" s="85"/>
      <c r="T280" s="87"/>
      <c r="U280" s="87"/>
      <c r="V280" s="173"/>
      <c r="W280" s="173"/>
      <c r="X280" s="175"/>
      <c r="Y280" s="173"/>
      <c r="Z280" s="174"/>
      <c r="AA280" s="173"/>
      <c r="AB280" s="91"/>
      <c r="AC280" s="92"/>
      <c r="AD280" s="92"/>
      <c r="AE280" s="92"/>
      <c r="AF280" s="92" t="str">
        <f aca="false">IF(ISBLANK($C280),"",IF(E280=Constants!$B$3,TRUE(),IF(E280=Constants!$B$4,FALSE(),TRUE())))</f>
        <v/>
      </c>
      <c r="AG280" s="92" t="str">
        <f aca="false">IF(ISBLANK($C280),"",IF(F280=Constants!$B$3,TRUE(),IF(F280=Constants!$B$4,FALSE(),TRUE())))</f>
        <v/>
      </c>
      <c r="AH280" s="92" t="str">
        <f aca="false">IF(ISBLANK($C280),"",IF(G280=Constants!$B$3,TRUE(),IF(G280=Constants!$B$4,FALSE(),TRUE())))</f>
        <v/>
      </c>
      <c r="AI280" s="92" t="str">
        <f aca="false">IF(ISBLANK($C280),"",IF(AND(ISNUMBER(H280),H280&gt;=0),H280,Constants!$B$29))</f>
        <v/>
      </c>
      <c r="AJ280" s="92" t="str">
        <f aca="false">IF(ISBLANK($C280),"",IF(I280=Constants!$B$3,TRUE(),IF(I280=Constants!$B$4,FALSE(),TRUE())))</f>
        <v/>
      </c>
      <c r="AK280" s="92" t="str">
        <f aca="false">IF(ISBLANK($C280),"",IF(J280=Constants!$B$3,TRUE(),IF(J280=Constants!$B$4,FALSE(),TRUE())))</f>
        <v/>
      </c>
      <c r="AL280" s="92" t="str">
        <f aca="false">IF(ISBLANK($C280),"",IF(K280=Constants!$B$5,TRUE(),IF(K280=Constants!$B$6,FALSE(),COUNTA(L280:P280)&gt;0)))</f>
        <v/>
      </c>
      <c r="AM280" s="94" t="str">
        <f aca="false">IF(ISBLANK($C280),"",IF(ISNUMBER(L280),IF(L280&gt;=0,L280,""),""))</f>
        <v/>
      </c>
      <c r="AN280" s="93" t="str">
        <f aca="false">IF(ISBLANK($C280),"",IF(ISNUMBER(M280),IF(M280&gt;=0,M280,""),""))</f>
        <v/>
      </c>
      <c r="AO280" s="93" t="str">
        <f aca="false">IF(ISBLANK($C280),"",IF(N280=Constants!$B$3,TRUE(),IF(N280=Constants!$B$4,FALSE(),TRUE())))</f>
        <v/>
      </c>
      <c r="AP280" s="92" t="str">
        <f aca="false">IF(ISBLANK($C280),"",IF(ISNUMBER(O280),IF(O280&gt;=0,O280,""),""))</f>
        <v/>
      </c>
      <c r="AQ280" s="92" t="str">
        <f aca="false">IF(ISBLANK($C280),"",IF(P280=Constants!$B$3,TRUE(),IF(P280=Constants!$B$4,FALSE(),FALSE())))</f>
        <v/>
      </c>
      <c r="AR280" s="92" t="str">
        <f aca="false">IF(ISBLANK($C280),"",IF(Q280=Constants!$B$3,TRUE(),IF(Q280=Constants!$B$4,FALSE(),TRUE())))</f>
        <v/>
      </c>
      <c r="AS280" s="92" t="str">
        <f aca="false">IF(ISBLANK($C280),"",IF(R280=Constants!$B$3,TRUE(),IF(R280=Constants!$B$4,FALSE(),TRUE())))</f>
        <v/>
      </c>
      <c r="AT280" s="92" t="str">
        <f aca="false">IF(ISBLANK($C280),"",IF(S280=Constants!$B$5,TRUE(),IF(S280=Constants!$B$6,FALSE(),COUNTA(T280:X280)&gt;0)))</f>
        <v/>
      </c>
      <c r="AU280" s="94" t="str">
        <f aca="false">IF(ISBLANK($C280),"",IF(ISNUMBER(T280),IF(T280&gt;=0,T280,""),""))</f>
        <v/>
      </c>
      <c r="AV280" s="93" t="str">
        <f aca="false">IF(ISBLANK($C280),"",IF(ISNUMBER(U280),IF(U280&gt;=0,U280,""),""))</f>
        <v/>
      </c>
      <c r="AW280" s="93" t="str">
        <f aca="false">IF(ISBLANK($C280),"",IF(V280=Constants!$B$3,TRUE(),IF(V280=Constants!$B$4,FALSE(),TRUE())))</f>
        <v/>
      </c>
      <c r="AX280" s="92" t="str">
        <f aca="false">IF(ISBLANK($C280),"",IF(ISNUMBER(W280),IF(W280&gt;=0,W280,""),""))</f>
        <v/>
      </c>
      <c r="AY280" s="92" t="str">
        <f aca="false">IF(ISBLANK($C280),"",IF(X280=Constants!$B$3,TRUE(),IF(X280=Constants!$B$4,FALSE(),FALSE())))</f>
        <v/>
      </c>
      <c r="AZ280" s="92" t="str">
        <f aca="false">IF(ISBLANK($C280),"",MIN(Constants!$B$31,MAX(0,IF(ISNUMBER(Y280),Y280*60,0)+IF(ISNUMBER(Z280),Z280,0))))</f>
        <v/>
      </c>
      <c r="BA280" s="92" t="str">
        <f aca="false">IF(ISBLANK($C280),"",IF(AA280=Constants!$B$3,TRUE(),IF(AA280=Constants!$B$4,FALSE(),FALSE())))</f>
        <v/>
      </c>
      <c r="BB280" s="91" t="str">
        <f aca="false">IF(ISBLANK($C280),"",AND($AL280,OR($AM280="",$AN280="",AND($AO280,$AP280=""))))</f>
        <v/>
      </c>
      <c r="BC280" s="93" t="str">
        <f aca="false">IF($BR280&lt;&gt;Constants!$B$8,"",IF($AL280,Constants!$B$21*$AN280+Constants!$B$22*IF($AO280,$AP280,Constants!$B$23),Constants!$B$24))</f>
        <v/>
      </c>
      <c r="BD280" s="96" t="str">
        <f aca="false">IF($BR280&lt;&gt;Constants!$B$8,"",Constants!$B$25*ABS($AD$9-IF($AL280,$AM280,0)))</f>
        <v/>
      </c>
      <c r="BE280" s="96" t="str">
        <f aca="false">IF($BR280&lt;&gt;Constants!$B$8,"",IF(AND($AL280,$AQ280,$AO280),Constants!$B$27,0))</f>
        <v/>
      </c>
      <c r="BF280" s="96" t="str">
        <f aca="false">IF($BR280&lt;&gt;Constants!$B$8,"",IF($AL280,($AI280-Constants!$B$29)*Constants!$B$28,0))</f>
        <v/>
      </c>
      <c r="BG280" s="96" t="str">
        <f aca="false">IF($BR280&lt;&gt;Constants!$B$8,"",IF($AK280,0,Constants!$B$15)+IF($AJ280,0,Constants!$B$16)+IF($AH280,0,Constants!$B$17))</f>
        <v/>
      </c>
      <c r="BH280" s="97" t="str">
        <f aca="false">IF($BR280&lt;&gt;Constants!$B$8,"",Constants!$B$20+SUM($BC280:$BG280))</f>
        <v/>
      </c>
      <c r="BI280" s="92" t="str">
        <f aca="false">IF($BR280&lt;&gt;Constants!$B$8,"",IF(OR($BP280&lt;$BH280,AND($BP280=$BH280,OR($BK280&lt;$BC280,AND($BK280=$BC280,OR($BL280&lt;$BD280,AND($BL280=$BD280,$AT280,$AL280,$AV280&lt;$AN280)))))),"-&gt;","&lt;-"))</f>
        <v/>
      </c>
      <c r="BJ280" s="91" t="str">
        <f aca="false">IF(ISBLANK($C280),"",AND($AT280,OR($AU280="",$AV280="",AND($AW280,$AX280=""))))</f>
        <v/>
      </c>
      <c r="BK280" s="93" t="str">
        <f aca="false">IF($BR280&lt;&gt;Constants!$B$8,"",IF($AT280,Constants!$B$21*$AV280+Constants!$B$22*IF($AW280,$AX280,Constants!$B$23),Constants!$B$24))</f>
        <v/>
      </c>
      <c r="BL280" s="96" t="str">
        <f aca="false">IF($BR280&lt;&gt;Constants!$B$8,"",Constants!$B$25*ABS($AD$9-IF($AT280,$AU280,0)))</f>
        <v/>
      </c>
      <c r="BM280" s="96" t="str">
        <f aca="false">IF($BR280&lt;&gt;Constants!$B$8,"",IF(AND($AT280,$AY280,$AW280),Constants!$B$27,0))</f>
        <v/>
      </c>
      <c r="BN280" s="96" t="str">
        <f aca="false">IF($BR280&lt;&gt;Constants!$B$8,"",IF($AT280,($AI280-Constants!$B$29)*Constants!$B$28,0))</f>
        <v/>
      </c>
      <c r="BO280" s="96" t="str">
        <f aca="false">IF($BR280&lt;&gt;Constants!$B$8,"",IF($AS280,0,Constants!$B$15)+IF($AR280,0,Constants!$B$16)+IF($AH280,0,Constants!$B$17))</f>
        <v/>
      </c>
      <c r="BP280" s="97" t="str">
        <f aca="false">IF($BR280&lt;&gt;Constants!$B$8,"",Constants!$B$20+SUM($BK280:$BO280))</f>
        <v/>
      </c>
      <c r="BQ280" s="92" t="str">
        <f aca="false">IF(ISBLANK($C280),"",IF(ISBLANK($D$7),$BQ$5,IF(NOT(ISNUMBER($D$7)),$BQ$6,"")))</f>
        <v/>
      </c>
      <c r="BR280" s="92" t="str">
        <f aca="false">IF(ISBLANK($C280),"",IF($BA280,Constants!$B$11,IF(COUNTA($E280:$AA280)=0,Constants!$B$10,IF(NOT($AG280),Constants!$B$9,IF(OR($BQ280&lt;&gt;"",$BB280,$BJ280),Constants!$B$12,Constants!$B$8)))))</f>
        <v/>
      </c>
      <c r="BS280" s="92" t="str">
        <f aca="false">IF(ISBLANK($C280),"",IF($BR280&lt;&gt;Constants!$B$8,$BR280,Constants!$B$13))</f>
        <v/>
      </c>
      <c r="BT280" s="96" t="str">
        <f aca="false">IF($BR280&lt;&gt;Constants!$B$8,"",IF($BI280="-&gt;",$BP280,$BH280))</f>
        <v/>
      </c>
      <c r="BU280" s="96" t="str">
        <f aca="false">IF($BR280&lt;&gt;Constants!$B$8,"",IF($AF280,0,Constants!$B$18))</f>
        <v/>
      </c>
      <c r="BV280" s="96" t="str">
        <f aca="false">IF($BR280&lt;&gt;Constants!$B$8,"",((Constants!$B$31-$AZ280)-Constants!$B$31)/Constants!$B$32)</f>
        <v/>
      </c>
      <c r="BW280" s="96" t="str">
        <f aca="false">IF(ISBLANK($C280),"",IF($BR280&lt;&gt;Constants!$B$8,$BR280,SUM($BT280:$BV280)))</f>
        <v/>
      </c>
      <c r="BX280" s="92" t="str">
        <f aca="false">IF(ISBLANK($C280),"",IF($BR280&lt;&gt;Constants!$B$8,$BR280,RANK($BW280,$BW$9:$BW$508,1)))</f>
        <v/>
      </c>
      <c r="BY280" s="96" t="str">
        <f aca="false">IF($BR280&lt;&gt;Constants!$B$8,"",IF($BI280="-&gt;",$BK280,$BC280))</f>
        <v/>
      </c>
      <c r="BZ280" s="92" t="str">
        <f aca="false">IF(ISBLANK($C280),"",IF($BR280&lt;&gt;Constants!$B$8,$BR280,IF(ISNUMBER($BY280),RANK($BY280,$BY$9:$BY$508,1),COUNT($BY$9:$BY$508)+1)))</f>
        <v/>
      </c>
      <c r="CA280" s="96" t="str">
        <f aca="false">IF($BR280&lt;&gt;Constants!$B$8,"",IF($BI280="-&gt;",$BL280,$BD280))</f>
        <v/>
      </c>
      <c r="CB280" s="92" t="str">
        <f aca="false">IF(ISBLANK($C280),"",IF($BR280&lt;&gt;Constants!$B$8,$BR280,IF(ISNUMBER($CA280),RANK($CA280,$CA$9:$CA$508,1),COUNT($CA$9:$CA$508)+1)))</f>
        <v/>
      </c>
      <c r="CC280" s="96" t="str">
        <f aca="false">IF($BR280&lt;&gt;Constants!$B$8,"",IF($BI280="-&gt;",IF($AT280,$AV280,""),IF($AL280,$AN280,"")))</f>
        <v/>
      </c>
      <c r="CD280" s="92" t="str">
        <f aca="false">IF(ISBLANK($C280),"",IF($BR280&lt;&gt;Constants!$B$8,$BR280,IF(ISNUMBER($CC280),RANK($CC280,$CC$9:$CC$508,1),COUNT($CC$9:$CC$508)+1)))</f>
        <v/>
      </c>
      <c r="CE280" s="96" t="str">
        <f aca="false">IF($BR280&lt;&gt;Constants!$B$8,"",IF(AND(NOT($AL280),NOT($AT280),$AJ280,$AK280,$AR280,$AS280),"",$AI280))</f>
        <v/>
      </c>
      <c r="CF280" s="92" t="str">
        <f aca="false">IF(ISBLANK($C280),"",IF($BR280&lt;&gt;Constants!$B$8,$BR280,IF(ISNUMBER($CE280),RANK($CE280,$CE$9:$CE$508,1),COUNT($CE$9:$CE$508)+1)))</f>
        <v/>
      </c>
      <c r="CG280" s="92" t="str">
        <f aca="false">IF(ISBLANK($C280),"",IF($BR280&lt;&gt;Constants!$B$8,$BR280,COUNTIFS($BX$9:$BX$508,"&lt;"&amp;$BX280)+COUNTIFS($BX$9:$BX$508,$BX280,$BZ$9:$BZ$508,"&lt;"&amp;$BZ280)+COUNTIFS($BX$9:$BX$508,$BX280,$BZ$9:$BZ$508,$BZ280,$CB$9:$CB$508,"&lt;"&amp;$CB280)+COUNTIFS($BX$9:$BX$508,$BX280,$BZ$9:$BZ$508,$BZ280,$CB$9:$CB$508,$CB280,$CD$9:$CD$508,"&lt;"&amp;$CD280)+COUNTIFS($BX$9:$BX$508,$BX280,$BZ$9:$BZ$508,$BZ280,$CB$9:$CB$508,$CB280,$CD$9:$CD$508,$CD280,$CF$9:$CF$508,"&lt;"&amp;$CF280)+1))</f>
        <v/>
      </c>
      <c r="CH280" s="92" t="str">
        <f aca="false">IF(ISBLANK($C280),"",IF($BR280&lt;&gt;Constants!$B$8,$BR280,$BX280-$CG280))</f>
        <v/>
      </c>
      <c r="CI280" s="98"/>
      <c r="CJ280" s="99"/>
      <c r="CK280" s="100" t="str">
        <f aca="false">IF(ISBLANK($C280),"",IF($BR280=Constants!$B$12,$BQ280,""))</f>
        <v/>
      </c>
      <c r="CL280" s="99" t="str">
        <f aca="false">IF(ISBLANK($C280),"",IF($BR280&lt;&gt;Constants!$B$8,"",IF($BI280="-&gt;",2,1)))</f>
        <v/>
      </c>
      <c r="CM280" s="101" t="str">
        <f aca="false">IF(ISBLANK($C280),"",IF($BR280&lt;&gt;Constants!$B$8,"",IF($BI280="-&gt;",$BK280,$BC280)))</f>
        <v/>
      </c>
      <c r="CN280" s="101" t="str">
        <f aca="false">IF(ISBLANK($C280),"",IF($BR280&lt;&gt;Constants!$B$8,"",IF($BI280="-&gt;",$BL280,$BD280)))</f>
        <v/>
      </c>
      <c r="CO280" s="101" t="str">
        <f aca="false">IF(ISBLANK($C280),"",IF($BR280&lt;&gt;Constants!$B$8,"",IF($BI280="-&gt;",$BM280+$BN280,$BE280+$BF280)+$BV280))</f>
        <v/>
      </c>
      <c r="CP280" s="101" t="str">
        <f aca="false">IF(ISBLANK($C280),"",IF($BR280&lt;&gt;Constants!$B$8,"",IF($BI280="-&gt;",$BO280,$BG280)+$BU280))</f>
        <v/>
      </c>
      <c r="CQ280" s="102" t="str">
        <f aca="false">IF(ISBLANK($C280),"",IF($BR280&lt;&gt;Constants!$B$8,$BR280,$BW280))</f>
        <v/>
      </c>
      <c r="CR280" s="103" t="str">
        <f aca="false">IF(ISBLANK($C280),"",$BS280)</f>
        <v/>
      </c>
      <c r="CS280" s="104" t="str">
        <f aca="false">IF(ISBLANK($C280),"",$CH280)</f>
        <v/>
      </c>
      <c r="CT280" s="104" t="str">
        <f aca="false">IF(ISBLANK($C280),"",$CG280)</f>
        <v/>
      </c>
      <c r="CU280" s="105" t="str">
        <f aca="false">IF(ISBLANK($C280),"",IFERROR(_xlfn.SWITCH($CT280,Constants!$B$11,COUNTA($C$9:$C$508)+2,Constants!$B$10,COUNTA($C$9:$C$508)+1,Constants!$B$9,COUNTA($C$9:$C$508)),$CT280))</f>
        <v/>
      </c>
      <c r="CV280" s="9"/>
      <c r="CW280" s="106" t="n">
        <f aca="false">IF(OR(ISNUMBER($CT280),$CT280=Constants!$B$11,$CT280=Constants!$B$9,$CT280=Constants!$B$10),1,0)</f>
        <v>0</v>
      </c>
      <c r="CX280" s="106" t="n">
        <v>272</v>
      </c>
      <c r="CY280" s="106" t="str">
        <f aca="false">IF(ISBLANK($C280),"",IF(ISNUMBER($CU280),$CU280+ROW($B280)/1000,""))</f>
        <v/>
      </c>
      <c r="CZ280" s="106" t="str">
        <f aca="false">IF(ISNUMBER($CY280),RANK($CY280,$CY$9:$CY$508,1),"")</f>
        <v/>
      </c>
      <c r="DA280" s="106" t="str">
        <f aca="false">IF(ISBLANK($C280),"",$B280)</f>
        <v/>
      </c>
      <c r="DB280" s="106" t="str">
        <f aca="false">IF(ISBLANK($C280),"",$C280)</f>
        <v/>
      </c>
      <c r="DC280" s="106" t="str">
        <f aca="false">IF(ISBLANK($C280),"",$D280)</f>
        <v/>
      </c>
      <c r="DD280" s="107" t="str">
        <f aca="false">$CR280</f>
        <v/>
      </c>
      <c r="DE280" s="108" t="str">
        <f aca="false">$CQ280</f>
        <v/>
      </c>
      <c r="DF280" s="106" t="str">
        <f aca="false">IF(ISBLANK($C280),"",$CT280)</f>
        <v/>
      </c>
      <c r="DG280" s="109" t="str">
        <f aca="false">IF($CX280&gt;$CW$8,"",VLOOKUP($CX280,$CZ$9:$DF$508,7,FALSE()))</f>
        <v/>
      </c>
      <c r="DH280" s="110" t="str">
        <f aca="false">IF($CX280&gt;$CW$8,"",VLOOKUP($CX280,$CZ$9:$DF$508,2,FALSE()))</f>
        <v/>
      </c>
      <c r="DI280" s="110" t="str">
        <f aca="false">IF($CX280&gt;$CW$8,"",VLOOKUP($CX280,$CZ$9:$DF$508,3,FALSE()))</f>
        <v/>
      </c>
      <c r="DJ280" s="110" t="str">
        <f aca="false">IF($CX280&gt;$CW$8,"",VLOOKUP($CX280,$CZ$9:$DF$508,4,FALSE()))</f>
        <v/>
      </c>
      <c r="DK280" s="110" t="str">
        <f aca="false">IF($CX280&gt;$CW$8,"",VLOOKUP($CX280,$CZ$9:$DF$508,5,FALSE()))</f>
        <v/>
      </c>
      <c r="DL280" s="111" t="str">
        <f aca="false">IF($CX280&gt;$CW$8,"",VLOOKUP($CX280,$CZ$9:$DF$508,6,FALSE()))</f>
        <v/>
      </c>
      <c r="DM280" s="75"/>
    </row>
    <row r="281" customFormat="false" ht="15.75" hidden="false" customHeight="false" outlineLevel="0" collapsed="false">
      <c r="A281" s="9"/>
      <c r="B281" s="77"/>
      <c r="C281" s="78"/>
      <c r="D281" s="167"/>
      <c r="E281" s="175"/>
      <c r="F281" s="169"/>
      <c r="G281" s="170"/>
      <c r="H281" s="170"/>
      <c r="I281" s="176"/>
      <c r="J281" s="173"/>
      <c r="K281" s="85"/>
      <c r="L281" s="86"/>
      <c r="M281" s="87"/>
      <c r="N281" s="173"/>
      <c r="O281" s="173"/>
      <c r="P281" s="175"/>
      <c r="Q281" s="173"/>
      <c r="R281" s="173"/>
      <c r="S281" s="85"/>
      <c r="T281" s="87"/>
      <c r="U281" s="87"/>
      <c r="V281" s="173"/>
      <c r="W281" s="173"/>
      <c r="X281" s="175"/>
      <c r="Y281" s="173"/>
      <c r="Z281" s="174"/>
      <c r="AA281" s="173"/>
      <c r="AB281" s="91"/>
      <c r="AC281" s="92"/>
      <c r="AD281" s="92"/>
      <c r="AE281" s="92"/>
      <c r="AF281" s="92" t="str">
        <f aca="false">IF(ISBLANK($C281),"",IF(E281=Constants!$B$3,TRUE(),IF(E281=Constants!$B$4,FALSE(),TRUE())))</f>
        <v/>
      </c>
      <c r="AG281" s="92" t="str">
        <f aca="false">IF(ISBLANK($C281),"",IF(F281=Constants!$B$3,TRUE(),IF(F281=Constants!$B$4,FALSE(),TRUE())))</f>
        <v/>
      </c>
      <c r="AH281" s="92" t="str">
        <f aca="false">IF(ISBLANK($C281),"",IF(G281=Constants!$B$3,TRUE(),IF(G281=Constants!$B$4,FALSE(),TRUE())))</f>
        <v/>
      </c>
      <c r="AI281" s="92" t="str">
        <f aca="false">IF(ISBLANK($C281),"",IF(AND(ISNUMBER(H281),H281&gt;=0),H281,Constants!$B$29))</f>
        <v/>
      </c>
      <c r="AJ281" s="92" t="str">
        <f aca="false">IF(ISBLANK($C281),"",IF(I281=Constants!$B$3,TRUE(),IF(I281=Constants!$B$4,FALSE(),TRUE())))</f>
        <v/>
      </c>
      <c r="AK281" s="92" t="str">
        <f aca="false">IF(ISBLANK($C281),"",IF(J281=Constants!$B$3,TRUE(),IF(J281=Constants!$B$4,FALSE(),TRUE())))</f>
        <v/>
      </c>
      <c r="AL281" s="92" t="str">
        <f aca="false">IF(ISBLANK($C281),"",IF(K281=Constants!$B$5,TRUE(),IF(K281=Constants!$B$6,FALSE(),COUNTA(L281:P281)&gt;0)))</f>
        <v/>
      </c>
      <c r="AM281" s="94" t="str">
        <f aca="false">IF(ISBLANK($C281),"",IF(ISNUMBER(L281),IF(L281&gt;=0,L281,""),""))</f>
        <v/>
      </c>
      <c r="AN281" s="93" t="str">
        <f aca="false">IF(ISBLANK($C281),"",IF(ISNUMBER(M281),IF(M281&gt;=0,M281,""),""))</f>
        <v/>
      </c>
      <c r="AO281" s="93" t="str">
        <f aca="false">IF(ISBLANK($C281),"",IF(N281=Constants!$B$3,TRUE(),IF(N281=Constants!$B$4,FALSE(),TRUE())))</f>
        <v/>
      </c>
      <c r="AP281" s="92" t="str">
        <f aca="false">IF(ISBLANK($C281),"",IF(ISNUMBER(O281),IF(O281&gt;=0,O281,""),""))</f>
        <v/>
      </c>
      <c r="AQ281" s="92" t="str">
        <f aca="false">IF(ISBLANK($C281),"",IF(P281=Constants!$B$3,TRUE(),IF(P281=Constants!$B$4,FALSE(),FALSE())))</f>
        <v/>
      </c>
      <c r="AR281" s="92" t="str">
        <f aca="false">IF(ISBLANK($C281),"",IF(Q281=Constants!$B$3,TRUE(),IF(Q281=Constants!$B$4,FALSE(),TRUE())))</f>
        <v/>
      </c>
      <c r="AS281" s="92" t="str">
        <f aca="false">IF(ISBLANK($C281),"",IF(R281=Constants!$B$3,TRUE(),IF(R281=Constants!$B$4,FALSE(),TRUE())))</f>
        <v/>
      </c>
      <c r="AT281" s="92" t="str">
        <f aca="false">IF(ISBLANK($C281),"",IF(S281=Constants!$B$5,TRUE(),IF(S281=Constants!$B$6,FALSE(),COUNTA(T281:X281)&gt;0)))</f>
        <v/>
      </c>
      <c r="AU281" s="94" t="str">
        <f aca="false">IF(ISBLANK($C281),"",IF(ISNUMBER(T281),IF(T281&gt;=0,T281,""),""))</f>
        <v/>
      </c>
      <c r="AV281" s="93" t="str">
        <f aca="false">IF(ISBLANK($C281),"",IF(ISNUMBER(U281),IF(U281&gt;=0,U281,""),""))</f>
        <v/>
      </c>
      <c r="AW281" s="93" t="str">
        <f aca="false">IF(ISBLANK($C281),"",IF(V281=Constants!$B$3,TRUE(),IF(V281=Constants!$B$4,FALSE(),TRUE())))</f>
        <v/>
      </c>
      <c r="AX281" s="92" t="str">
        <f aca="false">IF(ISBLANK($C281),"",IF(ISNUMBER(W281),IF(W281&gt;=0,W281,""),""))</f>
        <v/>
      </c>
      <c r="AY281" s="92" t="str">
        <f aca="false">IF(ISBLANK($C281),"",IF(X281=Constants!$B$3,TRUE(),IF(X281=Constants!$B$4,FALSE(),FALSE())))</f>
        <v/>
      </c>
      <c r="AZ281" s="92" t="str">
        <f aca="false">IF(ISBLANK($C281),"",MIN(Constants!$B$31,MAX(0,IF(ISNUMBER(Y281),Y281*60,0)+IF(ISNUMBER(Z281),Z281,0))))</f>
        <v/>
      </c>
      <c r="BA281" s="92" t="str">
        <f aca="false">IF(ISBLANK($C281),"",IF(AA281=Constants!$B$3,TRUE(),IF(AA281=Constants!$B$4,FALSE(),FALSE())))</f>
        <v/>
      </c>
      <c r="BB281" s="91" t="str">
        <f aca="false">IF(ISBLANK($C281),"",AND($AL281,OR($AM281="",$AN281="",AND($AO281,$AP281=""))))</f>
        <v/>
      </c>
      <c r="BC281" s="93" t="str">
        <f aca="false">IF($BR281&lt;&gt;Constants!$B$8,"",IF($AL281,Constants!$B$21*$AN281+Constants!$B$22*IF($AO281,$AP281,Constants!$B$23),Constants!$B$24))</f>
        <v/>
      </c>
      <c r="BD281" s="96" t="str">
        <f aca="false">IF($BR281&lt;&gt;Constants!$B$8,"",Constants!$B$25*ABS($AD$9-IF($AL281,$AM281,0)))</f>
        <v/>
      </c>
      <c r="BE281" s="96" t="str">
        <f aca="false">IF($BR281&lt;&gt;Constants!$B$8,"",IF(AND($AL281,$AQ281,$AO281),Constants!$B$27,0))</f>
        <v/>
      </c>
      <c r="BF281" s="96" t="str">
        <f aca="false">IF($BR281&lt;&gt;Constants!$B$8,"",IF($AL281,($AI281-Constants!$B$29)*Constants!$B$28,0))</f>
        <v/>
      </c>
      <c r="BG281" s="96" t="str">
        <f aca="false">IF($BR281&lt;&gt;Constants!$B$8,"",IF($AK281,0,Constants!$B$15)+IF($AJ281,0,Constants!$B$16)+IF($AH281,0,Constants!$B$17))</f>
        <v/>
      </c>
      <c r="BH281" s="97" t="str">
        <f aca="false">IF($BR281&lt;&gt;Constants!$B$8,"",Constants!$B$20+SUM($BC281:$BG281))</f>
        <v/>
      </c>
      <c r="BI281" s="92" t="str">
        <f aca="false">IF($BR281&lt;&gt;Constants!$B$8,"",IF(OR($BP281&lt;$BH281,AND($BP281=$BH281,OR($BK281&lt;$BC281,AND($BK281=$BC281,OR($BL281&lt;$BD281,AND($BL281=$BD281,$AT281,$AL281,$AV281&lt;$AN281)))))),"-&gt;","&lt;-"))</f>
        <v/>
      </c>
      <c r="BJ281" s="91" t="str">
        <f aca="false">IF(ISBLANK($C281),"",AND($AT281,OR($AU281="",$AV281="",AND($AW281,$AX281=""))))</f>
        <v/>
      </c>
      <c r="BK281" s="93" t="str">
        <f aca="false">IF($BR281&lt;&gt;Constants!$B$8,"",IF($AT281,Constants!$B$21*$AV281+Constants!$B$22*IF($AW281,$AX281,Constants!$B$23),Constants!$B$24))</f>
        <v/>
      </c>
      <c r="BL281" s="96" t="str">
        <f aca="false">IF($BR281&lt;&gt;Constants!$B$8,"",Constants!$B$25*ABS($AD$9-IF($AT281,$AU281,0)))</f>
        <v/>
      </c>
      <c r="BM281" s="96" t="str">
        <f aca="false">IF($BR281&lt;&gt;Constants!$B$8,"",IF(AND($AT281,$AY281,$AW281),Constants!$B$27,0))</f>
        <v/>
      </c>
      <c r="BN281" s="96" t="str">
        <f aca="false">IF($BR281&lt;&gt;Constants!$B$8,"",IF($AT281,($AI281-Constants!$B$29)*Constants!$B$28,0))</f>
        <v/>
      </c>
      <c r="BO281" s="96" t="str">
        <f aca="false">IF($BR281&lt;&gt;Constants!$B$8,"",IF($AS281,0,Constants!$B$15)+IF($AR281,0,Constants!$B$16)+IF($AH281,0,Constants!$B$17))</f>
        <v/>
      </c>
      <c r="BP281" s="97" t="str">
        <f aca="false">IF($BR281&lt;&gt;Constants!$B$8,"",Constants!$B$20+SUM($BK281:$BO281))</f>
        <v/>
      </c>
      <c r="BQ281" s="92" t="str">
        <f aca="false">IF(ISBLANK($C281),"",IF(ISBLANK($D$7),$BQ$5,IF(NOT(ISNUMBER($D$7)),$BQ$6,"")))</f>
        <v/>
      </c>
      <c r="BR281" s="92" t="str">
        <f aca="false">IF(ISBLANK($C281),"",IF($BA281,Constants!$B$11,IF(COUNTA($E281:$AA281)=0,Constants!$B$10,IF(NOT($AG281),Constants!$B$9,IF(OR($BQ281&lt;&gt;"",$BB281,$BJ281),Constants!$B$12,Constants!$B$8)))))</f>
        <v/>
      </c>
      <c r="BS281" s="92" t="str">
        <f aca="false">IF(ISBLANK($C281),"",IF($BR281&lt;&gt;Constants!$B$8,$BR281,Constants!$B$13))</f>
        <v/>
      </c>
      <c r="BT281" s="96" t="str">
        <f aca="false">IF($BR281&lt;&gt;Constants!$B$8,"",IF($BI281="-&gt;",$BP281,$BH281))</f>
        <v/>
      </c>
      <c r="BU281" s="96" t="str">
        <f aca="false">IF($BR281&lt;&gt;Constants!$B$8,"",IF($AF281,0,Constants!$B$18))</f>
        <v/>
      </c>
      <c r="BV281" s="96" t="str">
        <f aca="false">IF($BR281&lt;&gt;Constants!$B$8,"",((Constants!$B$31-$AZ281)-Constants!$B$31)/Constants!$B$32)</f>
        <v/>
      </c>
      <c r="BW281" s="96" t="str">
        <f aca="false">IF(ISBLANK($C281),"",IF($BR281&lt;&gt;Constants!$B$8,$BR281,SUM($BT281:$BV281)))</f>
        <v/>
      </c>
      <c r="BX281" s="92" t="str">
        <f aca="false">IF(ISBLANK($C281),"",IF($BR281&lt;&gt;Constants!$B$8,$BR281,RANK($BW281,$BW$9:$BW$508,1)))</f>
        <v/>
      </c>
      <c r="BY281" s="96" t="str">
        <f aca="false">IF($BR281&lt;&gt;Constants!$B$8,"",IF($BI281="-&gt;",$BK281,$BC281))</f>
        <v/>
      </c>
      <c r="BZ281" s="92" t="str">
        <f aca="false">IF(ISBLANK($C281),"",IF($BR281&lt;&gt;Constants!$B$8,$BR281,IF(ISNUMBER($BY281),RANK($BY281,$BY$9:$BY$508,1),COUNT($BY$9:$BY$508)+1)))</f>
        <v/>
      </c>
      <c r="CA281" s="96" t="str">
        <f aca="false">IF($BR281&lt;&gt;Constants!$B$8,"",IF($BI281="-&gt;",$BL281,$BD281))</f>
        <v/>
      </c>
      <c r="CB281" s="92" t="str">
        <f aca="false">IF(ISBLANK($C281),"",IF($BR281&lt;&gt;Constants!$B$8,$BR281,IF(ISNUMBER($CA281),RANK($CA281,$CA$9:$CA$508,1),COUNT($CA$9:$CA$508)+1)))</f>
        <v/>
      </c>
      <c r="CC281" s="96" t="str">
        <f aca="false">IF($BR281&lt;&gt;Constants!$B$8,"",IF($BI281="-&gt;",IF($AT281,$AV281,""),IF($AL281,$AN281,"")))</f>
        <v/>
      </c>
      <c r="CD281" s="92" t="str">
        <f aca="false">IF(ISBLANK($C281),"",IF($BR281&lt;&gt;Constants!$B$8,$BR281,IF(ISNUMBER($CC281),RANK($CC281,$CC$9:$CC$508,1),COUNT($CC$9:$CC$508)+1)))</f>
        <v/>
      </c>
      <c r="CE281" s="96" t="str">
        <f aca="false">IF($BR281&lt;&gt;Constants!$B$8,"",IF(AND(NOT($AL281),NOT($AT281),$AJ281,$AK281,$AR281,$AS281),"",$AI281))</f>
        <v/>
      </c>
      <c r="CF281" s="92" t="str">
        <f aca="false">IF(ISBLANK($C281),"",IF($BR281&lt;&gt;Constants!$B$8,$BR281,IF(ISNUMBER($CE281),RANK($CE281,$CE$9:$CE$508,1),COUNT($CE$9:$CE$508)+1)))</f>
        <v/>
      </c>
      <c r="CG281" s="92" t="str">
        <f aca="false">IF(ISBLANK($C281),"",IF($BR281&lt;&gt;Constants!$B$8,$BR281,COUNTIFS($BX$9:$BX$508,"&lt;"&amp;$BX281)+COUNTIFS($BX$9:$BX$508,$BX281,$BZ$9:$BZ$508,"&lt;"&amp;$BZ281)+COUNTIFS($BX$9:$BX$508,$BX281,$BZ$9:$BZ$508,$BZ281,$CB$9:$CB$508,"&lt;"&amp;$CB281)+COUNTIFS($BX$9:$BX$508,$BX281,$BZ$9:$BZ$508,$BZ281,$CB$9:$CB$508,$CB281,$CD$9:$CD$508,"&lt;"&amp;$CD281)+COUNTIFS($BX$9:$BX$508,$BX281,$BZ$9:$BZ$508,$BZ281,$CB$9:$CB$508,$CB281,$CD$9:$CD$508,$CD281,$CF$9:$CF$508,"&lt;"&amp;$CF281)+1))</f>
        <v/>
      </c>
      <c r="CH281" s="92" t="str">
        <f aca="false">IF(ISBLANK($C281),"",IF($BR281&lt;&gt;Constants!$B$8,$BR281,$BX281-$CG281))</f>
        <v/>
      </c>
      <c r="CI281" s="98"/>
      <c r="CJ281" s="99"/>
      <c r="CK281" s="100" t="str">
        <f aca="false">IF(ISBLANK($C281),"",IF($BR281=Constants!$B$12,$BQ281,""))</f>
        <v/>
      </c>
      <c r="CL281" s="99" t="str">
        <f aca="false">IF(ISBLANK($C281),"",IF($BR281&lt;&gt;Constants!$B$8,"",IF($BI281="-&gt;",2,1)))</f>
        <v/>
      </c>
      <c r="CM281" s="101" t="str">
        <f aca="false">IF(ISBLANK($C281),"",IF($BR281&lt;&gt;Constants!$B$8,"",IF($BI281="-&gt;",$BK281,$BC281)))</f>
        <v/>
      </c>
      <c r="CN281" s="101" t="str">
        <f aca="false">IF(ISBLANK($C281),"",IF($BR281&lt;&gt;Constants!$B$8,"",IF($BI281="-&gt;",$BL281,$BD281)))</f>
        <v/>
      </c>
      <c r="CO281" s="101" t="str">
        <f aca="false">IF(ISBLANK($C281),"",IF($BR281&lt;&gt;Constants!$B$8,"",IF($BI281="-&gt;",$BM281+$BN281,$BE281+$BF281)+$BV281))</f>
        <v/>
      </c>
      <c r="CP281" s="101" t="str">
        <f aca="false">IF(ISBLANK($C281),"",IF($BR281&lt;&gt;Constants!$B$8,"",IF($BI281="-&gt;",$BO281,$BG281)+$BU281))</f>
        <v/>
      </c>
      <c r="CQ281" s="102" t="str">
        <f aca="false">IF(ISBLANK($C281),"",IF($BR281&lt;&gt;Constants!$B$8,$BR281,$BW281))</f>
        <v/>
      </c>
      <c r="CR281" s="103" t="str">
        <f aca="false">IF(ISBLANK($C281),"",$BS281)</f>
        <v/>
      </c>
      <c r="CS281" s="104" t="str">
        <f aca="false">IF(ISBLANK($C281),"",$CH281)</f>
        <v/>
      </c>
      <c r="CT281" s="104" t="str">
        <f aca="false">IF(ISBLANK($C281),"",$CG281)</f>
        <v/>
      </c>
      <c r="CU281" s="105" t="str">
        <f aca="false">IF(ISBLANK($C281),"",IFERROR(_xlfn.SWITCH($CT281,Constants!$B$11,COUNTA($C$9:$C$508)+2,Constants!$B$10,COUNTA($C$9:$C$508)+1,Constants!$B$9,COUNTA($C$9:$C$508)),$CT281))</f>
        <v/>
      </c>
      <c r="CV281" s="9"/>
      <c r="CW281" s="106" t="n">
        <f aca="false">IF(OR(ISNUMBER($CT281),$CT281=Constants!$B$11,$CT281=Constants!$B$9,$CT281=Constants!$B$10),1,0)</f>
        <v>0</v>
      </c>
      <c r="CX281" s="106" t="n">
        <v>273</v>
      </c>
      <c r="CY281" s="106" t="str">
        <f aca="false">IF(ISBLANK($C281),"",IF(ISNUMBER($CU281),$CU281+ROW($B281)/1000,""))</f>
        <v/>
      </c>
      <c r="CZ281" s="106" t="str">
        <f aca="false">IF(ISNUMBER($CY281),RANK($CY281,$CY$9:$CY$508,1),"")</f>
        <v/>
      </c>
      <c r="DA281" s="106" t="str">
        <f aca="false">IF(ISBLANK($C281),"",$B281)</f>
        <v/>
      </c>
      <c r="DB281" s="106" t="str">
        <f aca="false">IF(ISBLANK($C281),"",$C281)</f>
        <v/>
      </c>
      <c r="DC281" s="106" t="str">
        <f aca="false">IF(ISBLANK($C281),"",$D281)</f>
        <v/>
      </c>
      <c r="DD281" s="107" t="str">
        <f aca="false">$CR281</f>
        <v/>
      </c>
      <c r="DE281" s="108" t="str">
        <f aca="false">$CQ281</f>
        <v/>
      </c>
      <c r="DF281" s="106" t="str">
        <f aca="false">IF(ISBLANK($C281),"",$CT281)</f>
        <v/>
      </c>
      <c r="DG281" s="109" t="str">
        <f aca="false">IF($CX281&gt;$CW$8,"",VLOOKUP($CX281,$CZ$9:$DF$508,7,FALSE()))</f>
        <v/>
      </c>
      <c r="DH281" s="110" t="str">
        <f aca="false">IF($CX281&gt;$CW$8,"",VLOOKUP($CX281,$CZ$9:$DF$508,2,FALSE()))</f>
        <v/>
      </c>
      <c r="DI281" s="110" t="str">
        <f aca="false">IF($CX281&gt;$CW$8,"",VLOOKUP($CX281,$CZ$9:$DF$508,3,FALSE()))</f>
        <v/>
      </c>
      <c r="DJ281" s="110" t="str">
        <f aca="false">IF($CX281&gt;$CW$8,"",VLOOKUP($CX281,$CZ$9:$DF$508,4,FALSE()))</f>
        <v/>
      </c>
      <c r="DK281" s="110" t="str">
        <f aca="false">IF($CX281&gt;$CW$8,"",VLOOKUP($CX281,$CZ$9:$DF$508,5,FALSE()))</f>
        <v/>
      </c>
      <c r="DL281" s="111" t="str">
        <f aca="false">IF($CX281&gt;$CW$8,"",VLOOKUP($CX281,$CZ$9:$DF$508,6,FALSE()))</f>
        <v/>
      </c>
      <c r="DM281" s="75"/>
    </row>
    <row r="282" customFormat="false" ht="15.75" hidden="false" customHeight="false" outlineLevel="0" collapsed="false">
      <c r="A282" s="9"/>
      <c r="B282" s="157"/>
      <c r="C282" s="158"/>
      <c r="D282" s="159"/>
      <c r="E282" s="177"/>
      <c r="F282" s="161"/>
      <c r="G282" s="162"/>
      <c r="H282" s="162"/>
      <c r="I282" s="178"/>
      <c r="J282" s="165"/>
      <c r="K282" s="126"/>
      <c r="L282" s="127"/>
      <c r="M282" s="128"/>
      <c r="N282" s="165"/>
      <c r="O282" s="165"/>
      <c r="P282" s="177"/>
      <c r="Q282" s="165"/>
      <c r="R282" s="165"/>
      <c r="S282" s="126"/>
      <c r="T282" s="128"/>
      <c r="U282" s="128"/>
      <c r="V282" s="165"/>
      <c r="W282" s="165"/>
      <c r="X282" s="177"/>
      <c r="Y282" s="165"/>
      <c r="Z282" s="166"/>
      <c r="AA282" s="165"/>
      <c r="AB282" s="132"/>
      <c r="AC282" s="133"/>
      <c r="AD282" s="133"/>
      <c r="AE282" s="133"/>
      <c r="AF282" s="133" t="str">
        <f aca="false">IF(ISBLANK($C282),"",IF(E282=Constants!$B$3,TRUE(),IF(E282=Constants!$B$4,FALSE(),TRUE())))</f>
        <v/>
      </c>
      <c r="AG282" s="133" t="str">
        <f aca="false">IF(ISBLANK($C282),"",IF(F282=Constants!$B$3,TRUE(),IF(F282=Constants!$B$4,FALSE(),TRUE())))</f>
        <v/>
      </c>
      <c r="AH282" s="133" t="str">
        <f aca="false">IF(ISBLANK($C282),"",IF(G282=Constants!$B$3,TRUE(),IF(G282=Constants!$B$4,FALSE(),TRUE())))</f>
        <v/>
      </c>
      <c r="AI282" s="133" t="str">
        <f aca="false">IF(ISBLANK($C282),"",IF(AND(ISNUMBER(H282),H282&gt;=0),H282,Constants!$B$29))</f>
        <v/>
      </c>
      <c r="AJ282" s="133" t="str">
        <f aca="false">IF(ISBLANK($C282),"",IF(I282=Constants!$B$3,TRUE(),IF(I282=Constants!$B$4,FALSE(),TRUE())))</f>
        <v/>
      </c>
      <c r="AK282" s="133" t="str">
        <f aca="false">IF(ISBLANK($C282),"",IF(J282=Constants!$B$3,TRUE(),IF(J282=Constants!$B$4,FALSE(),TRUE())))</f>
        <v/>
      </c>
      <c r="AL282" s="133" t="str">
        <f aca="false">IF(ISBLANK($C282),"",IF(K282=Constants!$B$5,TRUE(),IF(K282=Constants!$B$6,FALSE(),COUNTA(L282:P282)&gt;0)))</f>
        <v/>
      </c>
      <c r="AM282" s="134" t="str">
        <f aca="false">IF(ISBLANK($C282),"",IF(ISNUMBER(L282),IF(L282&gt;=0,L282,""),""))</f>
        <v/>
      </c>
      <c r="AN282" s="135" t="str">
        <f aca="false">IF(ISBLANK($C282),"",IF(ISNUMBER(M282),IF(M282&gt;=0,M282,""),""))</f>
        <v/>
      </c>
      <c r="AO282" s="135" t="str">
        <f aca="false">IF(ISBLANK($C282),"",IF(N282=Constants!$B$3,TRUE(),IF(N282=Constants!$B$4,FALSE(),TRUE())))</f>
        <v/>
      </c>
      <c r="AP282" s="133" t="str">
        <f aca="false">IF(ISBLANK($C282),"",IF(ISNUMBER(O282),IF(O282&gt;=0,O282,""),""))</f>
        <v/>
      </c>
      <c r="AQ282" s="133" t="str">
        <f aca="false">IF(ISBLANK($C282),"",IF(P282=Constants!$B$3,TRUE(),IF(P282=Constants!$B$4,FALSE(),FALSE())))</f>
        <v/>
      </c>
      <c r="AR282" s="133" t="str">
        <f aca="false">IF(ISBLANK($C282),"",IF(Q282=Constants!$B$3,TRUE(),IF(Q282=Constants!$B$4,FALSE(),TRUE())))</f>
        <v/>
      </c>
      <c r="AS282" s="133" t="str">
        <f aca="false">IF(ISBLANK($C282),"",IF(R282=Constants!$B$3,TRUE(),IF(R282=Constants!$B$4,FALSE(),TRUE())))</f>
        <v/>
      </c>
      <c r="AT282" s="133" t="str">
        <f aca="false">IF(ISBLANK($C282),"",IF(S282=Constants!$B$5,TRUE(),IF(S282=Constants!$B$6,FALSE(),COUNTA(T282:X282)&gt;0)))</f>
        <v/>
      </c>
      <c r="AU282" s="134" t="str">
        <f aca="false">IF(ISBLANK($C282),"",IF(ISNUMBER(T282),IF(T282&gt;=0,T282,""),""))</f>
        <v/>
      </c>
      <c r="AV282" s="135" t="str">
        <f aca="false">IF(ISBLANK($C282),"",IF(ISNUMBER(U282),IF(U282&gt;=0,U282,""),""))</f>
        <v/>
      </c>
      <c r="AW282" s="135" t="str">
        <f aca="false">IF(ISBLANK($C282),"",IF(V282=Constants!$B$3,TRUE(),IF(V282=Constants!$B$4,FALSE(),TRUE())))</f>
        <v/>
      </c>
      <c r="AX282" s="133" t="str">
        <f aca="false">IF(ISBLANK($C282),"",IF(ISNUMBER(W282),IF(W282&gt;=0,W282,""),""))</f>
        <v/>
      </c>
      <c r="AY282" s="133" t="str">
        <f aca="false">IF(ISBLANK($C282),"",IF(X282=Constants!$B$3,TRUE(),IF(X282=Constants!$B$4,FALSE(),FALSE())))</f>
        <v/>
      </c>
      <c r="AZ282" s="133" t="str">
        <f aca="false">IF(ISBLANK($C282),"",MIN(Constants!$B$31,MAX(0,IF(ISNUMBER(Y282),Y282*60,0)+IF(ISNUMBER(Z282),Z282,0))))</f>
        <v/>
      </c>
      <c r="BA282" s="133" t="str">
        <f aca="false">IF(ISBLANK($C282),"",IF(AA282=Constants!$B$3,TRUE(),IF(AA282=Constants!$B$4,FALSE(),FALSE())))</f>
        <v/>
      </c>
      <c r="BB282" s="132" t="str">
        <f aca="false">IF(ISBLANK($C282),"",AND($AL282,OR($AM282="",$AN282="",AND($AO282,$AP282=""))))</f>
        <v/>
      </c>
      <c r="BC282" s="135" t="str">
        <f aca="false">IF($BR282&lt;&gt;Constants!$B$8,"",IF($AL282,Constants!$B$21*$AN282+Constants!$B$22*IF($AO282,$AP282,Constants!$B$23),Constants!$B$24))</f>
        <v/>
      </c>
      <c r="BD282" s="136" t="str">
        <f aca="false">IF($BR282&lt;&gt;Constants!$B$8,"",Constants!$B$25*ABS($AD$9-IF($AL282,$AM282,0)))</f>
        <v/>
      </c>
      <c r="BE282" s="136" t="str">
        <f aca="false">IF($BR282&lt;&gt;Constants!$B$8,"",IF(AND($AL282,$AQ282,$AO282),Constants!$B$27,0))</f>
        <v/>
      </c>
      <c r="BF282" s="136" t="str">
        <f aca="false">IF($BR282&lt;&gt;Constants!$B$8,"",IF($AL282,($AI282-Constants!$B$29)*Constants!$B$28,0))</f>
        <v/>
      </c>
      <c r="BG282" s="136" t="str">
        <f aca="false">IF($BR282&lt;&gt;Constants!$B$8,"",IF($AK282,0,Constants!$B$15)+IF($AJ282,0,Constants!$B$16)+IF($AH282,0,Constants!$B$17))</f>
        <v/>
      </c>
      <c r="BH282" s="137" t="str">
        <f aca="false">IF($BR282&lt;&gt;Constants!$B$8,"",Constants!$B$20+SUM($BC282:$BG282))</f>
        <v/>
      </c>
      <c r="BI282" s="133" t="str">
        <f aca="false">IF($BR282&lt;&gt;Constants!$B$8,"",IF(OR($BP282&lt;$BH282,AND($BP282=$BH282,OR($BK282&lt;$BC282,AND($BK282=$BC282,OR($BL282&lt;$BD282,AND($BL282=$BD282,$AT282,$AL282,$AV282&lt;$AN282)))))),"-&gt;","&lt;-"))</f>
        <v/>
      </c>
      <c r="BJ282" s="132" t="str">
        <f aca="false">IF(ISBLANK($C282),"",AND($AT282,OR($AU282="",$AV282="",AND($AW282,$AX282=""))))</f>
        <v/>
      </c>
      <c r="BK282" s="135" t="str">
        <f aca="false">IF($BR282&lt;&gt;Constants!$B$8,"",IF($AT282,Constants!$B$21*$AV282+Constants!$B$22*IF($AW282,$AX282,Constants!$B$23),Constants!$B$24))</f>
        <v/>
      </c>
      <c r="BL282" s="136" t="str">
        <f aca="false">IF($BR282&lt;&gt;Constants!$B$8,"",Constants!$B$25*ABS($AD$9-IF($AT282,$AU282,0)))</f>
        <v/>
      </c>
      <c r="BM282" s="136" t="str">
        <f aca="false">IF($BR282&lt;&gt;Constants!$B$8,"",IF(AND($AT282,$AY282,$AW282),Constants!$B$27,0))</f>
        <v/>
      </c>
      <c r="BN282" s="136" t="str">
        <f aca="false">IF($BR282&lt;&gt;Constants!$B$8,"",IF($AT282,($AI282-Constants!$B$29)*Constants!$B$28,0))</f>
        <v/>
      </c>
      <c r="BO282" s="136" t="str">
        <f aca="false">IF($BR282&lt;&gt;Constants!$B$8,"",IF($AS282,0,Constants!$B$15)+IF($AR282,0,Constants!$B$16)+IF($AH282,0,Constants!$B$17))</f>
        <v/>
      </c>
      <c r="BP282" s="137" t="str">
        <f aca="false">IF($BR282&lt;&gt;Constants!$B$8,"",Constants!$B$20+SUM($BK282:$BO282))</f>
        <v/>
      </c>
      <c r="BQ282" s="133" t="str">
        <f aca="false">IF(ISBLANK($C282),"",IF(ISBLANK($D$7),$BQ$5,IF(NOT(ISNUMBER($D$7)),$BQ$6,"")))</f>
        <v/>
      </c>
      <c r="BR282" s="133" t="str">
        <f aca="false">IF(ISBLANK($C282),"",IF($BA282,Constants!$B$11,IF(COUNTA($E282:$AA282)=0,Constants!$B$10,IF(NOT($AG282),Constants!$B$9,IF(OR($BQ282&lt;&gt;"",$BB282,$BJ282),Constants!$B$12,Constants!$B$8)))))</f>
        <v/>
      </c>
      <c r="BS282" s="133" t="str">
        <f aca="false">IF(ISBLANK($C282),"",IF($BR282&lt;&gt;Constants!$B$8,$BR282,Constants!$B$13))</f>
        <v/>
      </c>
      <c r="BT282" s="136" t="str">
        <f aca="false">IF($BR282&lt;&gt;Constants!$B$8,"",IF($BI282="-&gt;",$BP282,$BH282))</f>
        <v/>
      </c>
      <c r="BU282" s="136" t="str">
        <f aca="false">IF($BR282&lt;&gt;Constants!$B$8,"",IF($AF282,0,Constants!$B$18))</f>
        <v/>
      </c>
      <c r="BV282" s="136" t="str">
        <f aca="false">IF($BR282&lt;&gt;Constants!$B$8,"",((Constants!$B$31-$AZ282)-Constants!$B$31)/Constants!$B$32)</f>
        <v/>
      </c>
      <c r="BW282" s="136" t="str">
        <f aca="false">IF(ISBLANK($C282),"",IF($BR282&lt;&gt;Constants!$B$8,$BR282,SUM($BT282:$BV282)))</f>
        <v/>
      </c>
      <c r="BX282" s="133" t="str">
        <f aca="false">IF(ISBLANK($C282),"",IF($BR282&lt;&gt;Constants!$B$8,$BR282,RANK($BW282,$BW$9:$BW$508,1)))</f>
        <v/>
      </c>
      <c r="BY282" s="136" t="str">
        <f aca="false">IF($BR282&lt;&gt;Constants!$B$8,"",IF($BI282="-&gt;",$BK282,$BC282))</f>
        <v/>
      </c>
      <c r="BZ282" s="133" t="str">
        <f aca="false">IF(ISBLANK($C282),"",IF($BR282&lt;&gt;Constants!$B$8,$BR282,IF(ISNUMBER($BY282),RANK($BY282,$BY$9:$BY$508,1),COUNT($BY$9:$BY$508)+1)))</f>
        <v/>
      </c>
      <c r="CA282" s="136" t="str">
        <f aca="false">IF($BR282&lt;&gt;Constants!$B$8,"",IF($BI282="-&gt;",$BL282,$BD282))</f>
        <v/>
      </c>
      <c r="CB282" s="133" t="str">
        <f aca="false">IF(ISBLANK($C282),"",IF($BR282&lt;&gt;Constants!$B$8,$BR282,IF(ISNUMBER($CA282),RANK($CA282,$CA$9:$CA$508,1),COUNT($CA$9:$CA$508)+1)))</f>
        <v/>
      </c>
      <c r="CC282" s="136" t="str">
        <f aca="false">IF($BR282&lt;&gt;Constants!$B$8,"",IF($BI282="-&gt;",IF($AT282,$AV282,""),IF($AL282,$AN282,"")))</f>
        <v/>
      </c>
      <c r="CD282" s="133" t="str">
        <f aca="false">IF(ISBLANK($C282),"",IF($BR282&lt;&gt;Constants!$B$8,$BR282,IF(ISNUMBER($CC282),RANK($CC282,$CC$9:$CC$508,1),COUNT($CC$9:$CC$508)+1)))</f>
        <v/>
      </c>
      <c r="CE282" s="136" t="str">
        <f aca="false">IF($BR282&lt;&gt;Constants!$B$8,"",IF(AND(NOT($AL282),NOT($AT282),$AJ282,$AK282,$AR282,$AS282),"",$AI282))</f>
        <v/>
      </c>
      <c r="CF282" s="133" t="str">
        <f aca="false">IF(ISBLANK($C282),"",IF($BR282&lt;&gt;Constants!$B$8,$BR282,IF(ISNUMBER($CE282),RANK($CE282,$CE$9:$CE$508,1),COUNT($CE$9:$CE$508)+1)))</f>
        <v/>
      </c>
      <c r="CG282" s="133" t="str">
        <f aca="false">IF(ISBLANK($C282),"",IF($BR282&lt;&gt;Constants!$B$8,$BR282,COUNTIFS($BX$9:$BX$508,"&lt;"&amp;$BX282)+COUNTIFS($BX$9:$BX$508,$BX282,$BZ$9:$BZ$508,"&lt;"&amp;$BZ282)+COUNTIFS($BX$9:$BX$508,$BX282,$BZ$9:$BZ$508,$BZ282,$CB$9:$CB$508,"&lt;"&amp;$CB282)+COUNTIFS($BX$9:$BX$508,$BX282,$BZ$9:$BZ$508,$BZ282,$CB$9:$CB$508,$CB282,$CD$9:$CD$508,"&lt;"&amp;$CD282)+COUNTIFS($BX$9:$BX$508,$BX282,$BZ$9:$BZ$508,$BZ282,$CB$9:$CB$508,$CB282,$CD$9:$CD$508,$CD282,$CF$9:$CF$508,"&lt;"&amp;$CF282)+1))</f>
        <v/>
      </c>
      <c r="CH282" s="133" t="str">
        <f aca="false">IF(ISBLANK($C282),"",IF($BR282&lt;&gt;Constants!$B$8,$BR282,$BX282-$CG282))</f>
        <v/>
      </c>
      <c r="CI282" s="138"/>
      <c r="CJ282" s="139"/>
      <c r="CK282" s="140" t="str">
        <f aca="false">IF(ISBLANK($C282),"",IF($BR282=Constants!$B$12,$BQ282,""))</f>
        <v/>
      </c>
      <c r="CL282" s="139" t="str">
        <f aca="false">IF(ISBLANK($C282),"",IF($BR282&lt;&gt;Constants!$B$8,"",IF($BI282="-&gt;",2,1)))</f>
        <v/>
      </c>
      <c r="CM282" s="141" t="str">
        <f aca="false">IF(ISBLANK($C282),"",IF($BR282&lt;&gt;Constants!$B$8,"",IF($BI282="-&gt;",$BK282,$BC282)))</f>
        <v/>
      </c>
      <c r="CN282" s="141" t="str">
        <f aca="false">IF(ISBLANK($C282),"",IF($BR282&lt;&gt;Constants!$B$8,"",IF($BI282="-&gt;",$BL282,$BD282)))</f>
        <v/>
      </c>
      <c r="CO282" s="141" t="str">
        <f aca="false">IF(ISBLANK($C282),"",IF($BR282&lt;&gt;Constants!$B$8,"",IF($BI282="-&gt;",$BM282+$BN282,$BE282+$BF282)+$BV282))</f>
        <v/>
      </c>
      <c r="CP282" s="141" t="str">
        <f aca="false">IF(ISBLANK($C282),"",IF($BR282&lt;&gt;Constants!$B$8,"",IF($BI282="-&gt;",$BO282,$BG282)+$BU282))</f>
        <v/>
      </c>
      <c r="CQ282" s="142" t="str">
        <f aca="false">IF(ISBLANK($C282),"",IF($BR282&lt;&gt;Constants!$B$8,$BR282,$BW282))</f>
        <v/>
      </c>
      <c r="CR282" s="143" t="str">
        <f aca="false">IF(ISBLANK($C282),"",$BS282)</f>
        <v/>
      </c>
      <c r="CS282" s="144" t="str">
        <f aca="false">IF(ISBLANK($C282),"",$CH282)</f>
        <v/>
      </c>
      <c r="CT282" s="144" t="str">
        <f aca="false">IF(ISBLANK($C282),"",$CG282)</f>
        <v/>
      </c>
      <c r="CU282" s="145" t="str">
        <f aca="false">IF(ISBLANK($C282),"",IFERROR(_xlfn.SWITCH($CT282,Constants!$B$11,COUNTA($C$9:$C$508)+2,Constants!$B$10,COUNTA($C$9:$C$508)+1,Constants!$B$9,COUNTA($C$9:$C$508)),$CT282))</f>
        <v/>
      </c>
      <c r="CV282" s="9"/>
      <c r="CW282" s="146" t="n">
        <f aca="false">IF(OR(ISNUMBER($CT282),$CT282=Constants!$B$11,$CT282=Constants!$B$9,$CT282=Constants!$B$10),1,0)</f>
        <v>0</v>
      </c>
      <c r="CX282" s="146" t="n">
        <v>274</v>
      </c>
      <c r="CY282" s="146" t="str">
        <f aca="false">IF(ISBLANK($C282),"",IF(ISNUMBER($CU282),$CU282+ROW($B282)/1000,""))</f>
        <v/>
      </c>
      <c r="CZ282" s="146" t="str">
        <f aca="false">IF(ISNUMBER($CY282),RANK($CY282,$CY$9:$CY$508,1),"")</f>
        <v/>
      </c>
      <c r="DA282" s="146" t="str">
        <f aca="false">IF(ISBLANK($C282),"",$B282)</f>
        <v/>
      </c>
      <c r="DB282" s="146" t="str">
        <f aca="false">IF(ISBLANK($C282),"",$C282)</f>
        <v/>
      </c>
      <c r="DC282" s="146" t="str">
        <f aca="false">IF(ISBLANK($C282),"",$D282)</f>
        <v/>
      </c>
      <c r="DD282" s="147" t="str">
        <f aca="false">$CR282</f>
        <v/>
      </c>
      <c r="DE282" s="148" t="str">
        <f aca="false">$CQ282</f>
        <v/>
      </c>
      <c r="DF282" s="146" t="str">
        <f aca="false">IF(ISBLANK($C282),"",$CT282)</f>
        <v/>
      </c>
      <c r="DG282" s="149" t="str">
        <f aca="false">IF($CX282&gt;$CW$8,"",VLOOKUP($CX282,$CZ$9:$DF$508,7,FALSE()))</f>
        <v/>
      </c>
      <c r="DH282" s="150" t="str">
        <f aca="false">IF($CX282&gt;$CW$8,"",VLOOKUP($CX282,$CZ$9:$DF$508,2,FALSE()))</f>
        <v/>
      </c>
      <c r="DI282" s="150" t="str">
        <f aca="false">IF($CX282&gt;$CW$8,"",VLOOKUP($CX282,$CZ$9:$DF$508,3,FALSE()))</f>
        <v/>
      </c>
      <c r="DJ282" s="150" t="str">
        <f aca="false">IF($CX282&gt;$CW$8,"",VLOOKUP($CX282,$CZ$9:$DF$508,4,FALSE()))</f>
        <v/>
      </c>
      <c r="DK282" s="150" t="str">
        <f aca="false">IF($CX282&gt;$CW$8,"",VLOOKUP($CX282,$CZ$9:$DF$508,5,FALSE()))</f>
        <v/>
      </c>
      <c r="DL282" s="151" t="str">
        <f aca="false">IF($CX282&gt;$CW$8,"",VLOOKUP($CX282,$CZ$9:$DF$508,6,FALSE()))</f>
        <v/>
      </c>
      <c r="DM282" s="75"/>
    </row>
    <row r="283" customFormat="false" ht="15.75" hidden="false" customHeight="false" outlineLevel="0" collapsed="false">
      <c r="A283" s="9"/>
      <c r="B283" s="157"/>
      <c r="C283" s="158"/>
      <c r="D283" s="159"/>
      <c r="E283" s="177"/>
      <c r="F283" s="161"/>
      <c r="G283" s="162"/>
      <c r="H283" s="162"/>
      <c r="I283" s="178"/>
      <c r="J283" s="165"/>
      <c r="K283" s="126"/>
      <c r="L283" s="127"/>
      <c r="M283" s="128"/>
      <c r="N283" s="165"/>
      <c r="O283" s="165"/>
      <c r="P283" s="177"/>
      <c r="Q283" s="165"/>
      <c r="R283" s="165"/>
      <c r="S283" s="126"/>
      <c r="T283" s="128"/>
      <c r="U283" s="128"/>
      <c r="V283" s="165"/>
      <c r="W283" s="165"/>
      <c r="X283" s="177"/>
      <c r="Y283" s="165"/>
      <c r="Z283" s="166"/>
      <c r="AA283" s="165"/>
      <c r="AB283" s="132"/>
      <c r="AC283" s="133"/>
      <c r="AD283" s="133"/>
      <c r="AE283" s="133"/>
      <c r="AF283" s="133" t="str">
        <f aca="false">IF(ISBLANK($C283),"",IF(E283=Constants!$B$3,TRUE(),IF(E283=Constants!$B$4,FALSE(),TRUE())))</f>
        <v/>
      </c>
      <c r="AG283" s="133" t="str">
        <f aca="false">IF(ISBLANK($C283),"",IF(F283=Constants!$B$3,TRUE(),IF(F283=Constants!$B$4,FALSE(),TRUE())))</f>
        <v/>
      </c>
      <c r="AH283" s="133" t="str">
        <f aca="false">IF(ISBLANK($C283),"",IF(G283=Constants!$B$3,TRUE(),IF(G283=Constants!$B$4,FALSE(),TRUE())))</f>
        <v/>
      </c>
      <c r="AI283" s="133" t="str">
        <f aca="false">IF(ISBLANK($C283),"",IF(AND(ISNUMBER(H283),H283&gt;=0),H283,Constants!$B$29))</f>
        <v/>
      </c>
      <c r="AJ283" s="133" t="str">
        <f aca="false">IF(ISBLANK($C283),"",IF(I283=Constants!$B$3,TRUE(),IF(I283=Constants!$B$4,FALSE(),TRUE())))</f>
        <v/>
      </c>
      <c r="AK283" s="133" t="str">
        <f aca="false">IF(ISBLANK($C283),"",IF(J283=Constants!$B$3,TRUE(),IF(J283=Constants!$B$4,FALSE(),TRUE())))</f>
        <v/>
      </c>
      <c r="AL283" s="133" t="str">
        <f aca="false">IF(ISBLANK($C283),"",IF(K283=Constants!$B$5,TRUE(),IF(K283=Constants!$B$6,FALSE(),COUNTA(L283:P283)&gt;0)))</f>
        <v/>
      </c>
      <c r="AM283" s="134" t="str">
        <f aca="false">IF(ISBLANK($C283),"",IF(ISNUMBER(L283),IF(L283&gt;=0,L283,""),""))</f>
        <v/>
      </c>
      <c r="AN283" s="135" t="str">
        <f aca="false">IF(ISBLANK($C283),"",IF(ISNUMBER(M283),IF(M283&gt;=0,M283,""),""))</f>
        <v/>
      </c>
      <c r="AO283" s="135" t="str">
        <f aca="false">IF(ISBLANK($C283),"",IF(N283=Constants!$B$3,TRUE(),IF(N283=Constants!$B$4,FALSE(),TRUE())))</f>
        <v/>
      </c>
      <c r="AP283" s="133" t="str">
        <f aca="false">IF(ISBLANK($C283),"",IF(ISNUMBER(O283),IF(O283&gt;=0,O283,""),""))</f>
        <v/>
      </c>
      <c r="AQ283" s="133" t="str">
        <f aca="false">IF(ISBLANK($C283),"",IF(P283=Constants!$B$3,TRUE(),IF(P283=Constants!$B$4,FALSE(),FALSE())))</f>
        <v/>
      </c>
      <c r="AR283" s="133" t="str">
        <f aca="false">IF(ISBLANK($C283),"",IF(Q283=Constants!$B$3,TRUE(),IF(Q283=Constants!$B$4,FALSE(),TRUE())))</f>
        <v/>
      </c>
      <c r="AS283" s="133" t="str">
        <f aca="false">IF(ISBLANK($C283),"",IF(R283=Constants!$B$3,TRUE(),IF(R283=Constants!$B$4,FALSE(),TRUE())))</f>
        <v/>
      </c>
      <c r="AT283" s="133" t="str">
        <f aca="false">IF(ISBLANK($C283),"",IF(S283=Constants!$B$5,TRUE(),IF(S283=Constants!$B$6,FALSE(),COUNTA(T283:X283)&gt;0)))</f>
        <v/>
      </c>
      <c r="AU283" s="134" t="str">
        <f aca="false">IF(ISBLANK($C283),"",IF(ISNUMBER(T283),IF(T283&gt;=0,T283,""),""))</f>
        <v/>
      </c>
      <c r="AV283" s="135" t="str">
        <f aca="false">IF(ISBLANK($C283),"",IF(ISNUMBER(U283),IF(U283&gt;=0,U283,""),""))</f>
        <v/>
      </c>
      <c r="AW283" s="135" t="str">
        <f aca="false">IF(ISBLANK($C283),"",IF(V283=Constants!$B$3,TRUE(),IF(V283=Constants!$B$4,FALSE(),TRUE())))</f>
        <v/>
      </c>
      <c r="AX283" s="133" t="str">
        <f aca="false">IF(ISBLANK($C283),"",IF(ISNUMBER(W283),IF(W283&gt;=0,W283,""),""))</f>
        <v/>
      </c>
      <c r="AY283" s="133" t="str">
        <f aca="false">IF(ISBLANK($C283),"",IF(X283=Constants!$B$3,TRUE(),IF(X283=Constants!$B$4,FALSE(),FALSE())))</f>
        <v/>
      </c>
      <c r="AZ283" s="133" t="str">
        <f aca="false">IF(ISBLANK($C283),"",MIN(Constants!$B$31,MAX(0,IF(ISNUMBER(Y283),Y283*60,0)+IF(ISNUMBER(Z283),Z283,0))))</f>
        <v/>
      </c>
      <c r="BA283" s="133" t="str">
        <f aca="false">IF(ISBLANK($C283),"",IF(AA283=Constants!$B$3,TRUE(),IF(AA283=Constants!$B$4,FALSE(),FALSE())))</f>
        <v/>
      </c>
      <c r="BB283" s="132" t="str">
        <f aca="false">IF(ISBLANK($C283),"",AND($AL283,OR($AM283="",$AN283="",AND($AO283,$AP283=""))))</f>
        <v/>
      </c>
      <c r="BC283" s="135" t="str">
        <f aca="false">IF($BR283&lt;&gt;Constants!$B$8,"",IF($AL283,Constants!$B$21*$AN283+Constants!$B$22*IF($AO283,$AP283,Constants!$B$23),Constants!$B$24))</f>
        <v/>
      </c>
      <c r="BD283" s="136" t="str">
        <f aca="false">IF($BR283&lt;&gt;Constants!$B$8,"",Constants!$B$25*ABS($AD$9-IF($AL283,$AM283,0)))</f>
        <v/>
      </c>
      <c r="BE283" s="136" t="str">
        <f aca="false">IF($BR283&lt;&gt;Constants!$B$8,"",IF(AND($AL283,$AQ283,$AO283),Constants!$B$27,0))</f>
        <v/>
      </c>
      <c r="BF283" s="136" t="str">
        <f aca="false">IF($BR283&lt;&gt;Constants!$B$8,"",IF($AL283,($AI283-Constants!$B$29)*Constants!$B$28,0))</f>
        <v/>
      </c>
      <c r="BG283" s="136" t="str">
        <f aca="false">IF($BR283&lt;&gt;Constants!$B$8,"",IF($AK283,0,Constants!$B$15)+IF($AJ283,0,Constants!$B$16)+IF($AH283,0,Constants!$B$17))</f>
        <v/>
      </c>
      <c r="BH283" s="137" t="str">
        <f aca="false">IF($BR283&lt;&gt;Constants!$B$8,"",Constants!$B$20+SUM($BC283:$BG283))</f>
        <v/>
      </c>
      <c r="BI283" s="133" t="str">
        <f aca="false">IF($BR283&lt;&gt;Constants!$B$8,"",IF(OR($BP283&lt;$BH283,AND($BP283=$BH283,OR($BK283&lt;$BC283,AND($BK283=$BC283,OR($BL283&lt;$BD283,AND($BL283=$BD283,$AT283,$AL283,$AV283&lt;$AN283)))))),"-&gt;","&lt;-"))</f>
        <v/>
      </c>
      <c r="BJ283" s="132" t="str">
        <f aca="false">IF(ISBLANK($C283),"",AND($AT283,OR($AU283="",$AV283="",AND($AW283,$AX283=""))))</f>
        <v/>
      </c>
      <c r="BK283" s="135" t="str">
        <f aca="false">IF($BR283&lt;&gt;Constants!$B$8,"",IF($AT283,Constants!$B$21*$AV283+Constants!$B$22*IF($AW283,$AX283,Constants!$B$23),Constants!$B$24))</f>
        <v/>
      </c>
      <c r="BL283" s="136" t="str">
        <f aca="false">IF($BR283&lt;&gt;Constants!$B$8,"",Constants!$B$25*ABS($AD$9-IF($AT283,$AU283,0)))</f>
        <v/>
      </c>
      <c r="BM283" s="136" t="str">
        <f aca="false">IF($BR283&lt;&gt;Constants!$B$8,"",IF(AND($AT283,$AY283,$AW283),Constants!$B$27,0))</f>
        <v/>
      </c>
      <c r="BN283" s="136" t="str">
        <f aca="false">IF($BR283&lt;&gt;Constants!$B$8,"",IF($AT283,($AI283-Constants!$B$29)*Constants!$B$28,0))</f>
        <v/>
      </c>
      <c r="BO283" s="136" t="str">
        <f aca="false">IF($BR283&lt;&gt;Constants!$B$8,"",IF($AS283,0,Constants!$B$15)+IF($AR283,0,Constants!$B$16)+IF($AH283,0,Constants!$B$17))</f>
        <v/>
      </c>
      <c r="BP283" s="137" t="str">
        <f aca="false">IF($BR283&lt;&gt;Constants!$B$8,"",Constants!$B$20+SUM($BK283:$BO283))</f>
        <v/>
      </c>
      <c r="BQ283" s="133" t="str">
        <f aca="false">IF(ISBLANK($C283),"",IF(ISBLANK($D$7),$BQ$5,IF(NOT(ISNUMBER($D$7)),$BQ$6,"")))</f>
        <v/>
      </c>
      <c r="BR283" s="133" t="str">
        <f aca="false">IF(ISBLANK($C283),"",IF($BA283,Constants!$B$11,IF(COUNTA($E283:$AA283)=0,Constants!$B$10,IF(NOT($AG283),Constants!$B$9,IF(OR($BQ283&lt;&gt;"",$BB283,$BJ283),Constants!$B$12,Constants!$B$8)))))</f>
        <v/>
      </c>
      <c r="BS283" s="133" t="str">
        <f aca="false">IF(ISBLANK($C283),"",IF($BR283&lt;&gt;Constants!$B$8,$BR283,Constants!$B$13))</f>
        <v/>
      </c>
      <c r="BT283" s="136" t="str">
        <f aca="false">IF($BR283&lt;&gt;Constants!$B$8,"",IF($BI283="-&gt;",$BP283,$BH283))</f>
        <v/>
      </c>
      <c r="BU283" s="136" t="str">
        <f aca="false">IF($BR283&lt;&gt;Constants!$B$8,"",IF($AF283,0,Constants!$B$18))</f>
        <v/>
      </c>
      <c r="BV283" s="136" t="str">
        <f aca="false">IF($BR283&lt;&gt;Constants!$B$8,"",((Constants!$B$31-$AZ283)-Constants!$B$31)/Constants!$B$32)</f>
        <v/>
      </c>
      <c r="BW283" s="136" t="str">
        <f aca="false">IF(ISBLANK($C283),"",IF($BR283&lt;&gt;Constants!$B$8,$BR283,SUM($BT283:$BV283)))</f>
        <v/>
      </c>
      <c r="BX283" s="133" t="str">
        <f aca="false">IF(ISBLANK($C283),"",IF($BR283&lt;&gt;Constants!$B$8,$BR283,RANK($BW283,$BW$9:$BW$508,1)))</f>
        <v/>
      </c>
      <c r="BY283" s="136" t="str">
        <f aca="false">IF($BR283&lt;&gt;Constants!$B$8,"",IF($BI283="-&gt;",$BK283,$BC283))</f>
        <v/>
      </c>
      <c r="BZ283" s="133" t="str">
        <f aca="false">IF(ISBLANK($C283),"",IF($BR283&lt;&gt;Constants!$B$8,$BR283,IF(ISNUMBER($BY283),RANK($BY283,$BY$9:$BY$508,1),COUNT($BY$9:$BY$508)+1)))</f>
        <v/>
      </c>
      <c r="CA283" s="136" t="str">
        <f aca="false">IF($BR283&lt;&gt;Constants!$B$8,"",IF($BI283="-&gt;",$BL283,$BD283))</f>
        <v/>
      </c>
      <c r="CB283" s="133" t="str">
        <f aca="false">IF(ISBLANK($C283),"",IF($BR283&lt;&gt;Constants!$B$8,$BR283,IF(ISNUMBER($CA283),RANK($CA283,$CA$9:$CA$508,1),COUNT($CA$9:$CA$508)+1)))</f>
        <v/>
      </c>
      <c r="CC283" s="136" t="str">
        <f aca="false">IF($BR283&lt;&gt;Constants!$B$8,"",IF($BI283="-&gt;",IF($AT283,$AV283,""),IF($AL283,$AN283,"")))</f>
        <v/>
      </c>
      <c r="CD283" s="133" t="str">
        <f aca="false">IF(ISBLANK($C283),"",IF($BR283&lt;&gt;Constants!$B$8,$BR283,IF(ISNUMBER($CC283),RANK($CC283,$CC$9:$CC$508,1),COUNT($CC$9:$CC$508)+1)))</f>
        <v/>
      </c>
      <c r="CE283" s="136" t="str">
        <f aca="false">IF($BR283&lt;&gt;Constants!$B$8,"",IF(AND(NOT($AL283),NOT($AT283),$AJ283,$AK283,$AR283,$AS283),"",$AI283))</f>
        <v/>
      </c>
      <c r="CF283" s="133" t="str">
        <f aca="false">IF(ISBLANK($C283),"",IF($BR283&lt;&gt;Constants!$B$8,$BR283,IF(ISNUMBER($CE283),RANK($CE283,$CE$9:$CE$508,1),COUNT($CE$9:$CE$508)+1)))</f>
        <v/>
      </c>
      <c r="CG283" s="133" t="str">
        <f aca="false">IF(ISBLANK($C283),"",IF($BR283&lt;&gt;Constants!$B$8,$BR283,COUNTIFS($BX$9:$BX$508,"&lt;"&amp;$BX283)+COUNTIFS($BX$9:$BX$508,$BX283,$BZ$9:$BZ$508,"&lt;"&amp;$BZ283)+COUNTIFS($BX$9:$BX$508,$BX283,$BZ$9:$BZ$508,$BZ283,$CB$9:$CB$508,"&lt;"&amp;$CB283)+COUNTIFS($BX$9:$BX$508,$BX283,$BZ$9:$BZ$508,$BZ283,$CB$9:$CB$508,$CB283,$CD$9:$CD$508,"&lt;"&amp;$CD283)+COUNTIFS($BX$9:$BX$508,$BX283,$BZ$9:$BZ$508,$BZ283,$CB$9:$CB$508,$CB283,$CD$9:$CD$508,$CD283,$CF$9:$CF$508,"&lt;"&amp;$CF283)+1))</f>
        <v/>
      </c>
      <c r="CH283" s="133" t="str">
        <f aca="false">IF(ISBLANK($C283),"",IF($BR283&lt;&gt;Constants!$B$8,$BR283,$BX283-$CG283))</f>
        <v/>
      </c>
      <c r="CI283" s="138"/>
      <c r="CJ283" s="139"/>
      <c r="CK283" s="140" t="str">
        <f aca="false">IF(ISBLANK($C283),"",IF($BR283=Constants!$B$12,$BQ283,""))</f>
        <v/>
      </c>
      <c r="CL283" s="139" t="str">
        <f aca="false">IF(ISBLANK($C283),"",IF($BR283&lt;&gt;Constants!$B$8,"",IF($BI283="-&gt;",2,1)))</f>
        <v/>
      </c>
      <c r="CM283" s="141" t="str">
        <f aca="false">IF(ISBLANK($C283),"",IF($BR283&lt;&gt;Constants!$B$8,"",IF($BI283="-&gt;",$BK283,$BC283)))</f>
        <v/>
      </c>
      <c r="CN283" s="141" t="str">
        <f aca="false">IF(ISBLANK($C283),"",IF($BR283&lt;&gt;Constants!$B$8,"",IF($BI283="-&gt;",$BL283,$BD283)))</f>
        <v/>
      </c>
      <c r="CO283" s="141" t="str">
        <f aca="false">IF(ISBLANK($C283),"",IF($BR283&lt;&gt;Constants!$B$8,"",IF($BI283="-&gt;",$BM283+$BN283,$BE283+$BF283)+$BV283))</f>
        <v/>
      </c>
      <c r="CP283" s="141" t="str">
        <f aca="false">IF(ISBLANK($C283),"",IF($BR283&lt;&gt;Constants!$B$8,"",IF($BI283="-&gt;",$BO283,$BG283)+$BU283))</f>
        <v/>
      </c>
      <c r="CQ283" s="142" t="str">
        <f aca="false">IF(ISBLANK($C283),"",IF($BR283&lt;&gt;Constants!$B$8,$BR283,$BW283))</f>
        <v/>
      </c>
      <c r="CR283" s="143" t="str">
        <f aca="false">IF(ISBLANK($C283),"",$BS283)</f>
        <v/>
      </c>
      <c r="CS283" s="144" t="str">
        <f aca="false">IF(ISBLANK($C283),"",$CH283)</f>
        <v/>
      </c>
      <c r="CT283" s="144" t="str">
        <f aca="false">IF(ISBLANK($C283),"",$CG283)</f>
        <v/>
      </c>
      <c r="CU283" s="145" t="str">
        <f aca="false">IF(ISBLANK($C283),"",IFERROR(_xlfn.SWITCH($CT283,Constants!$B$11,COUNTA($C$9:$C$508)+2,Constants!$B$10,COUNTA($C$9:$C$508)+1,Constants!$B$9,COUNTA($C$9:$C$508)),$CT283))</f>
        <v/>
      </c>
      <c r="CV283" s="9"/>
      <c r="CW283" s="146" t="n">
        <f aca="false">IF(OR(ISNUMBER($CT283),$CT283=Constants!$B$11,$CT283=Constants!$B$9,$CT283=Constants!$B$10),1,0)</f>
        <v>0</v>
      </c>
      <c r="CX283" s="146" t="n">
        <v>275</v>
      </c>
      <c r="CY283" s="146" t="str">
        <f aca="false">IF(ISBLANK($C283),"",IF(ISNUMBER($CU283),$CU283+ROW($B283)/1000,""))</f>
        <v/>
      </c>
      <c r="CZ283" s="146" t="str">
        <f aca="false">IF(ISNUMBER($CY283),RANK($CY283,$CY$9:$CY$508,1),"")</f>
        <v/>
      </c>
      <c r="DA283" s="146" t="str">
        <f aca="false">IF(ISBLANK($C283),"",$B283)</f>
        <v/>
      </c>
      <c r="DB283" s="146" t="str">
        <f aca="false">IF(ISBLANK($C283),"",$C283)</f>
        <v/>
      </c>
      <c r="DC283" s="146" t="str">
        <f aca="false">IF(ISBLANK($C283),"",$D283)</f>
        <v/>
      </c>
      <c r="DD283" s="147" t="str">
        <f aca="false">$CR283</f>
        <v/>
      </c>
      <c r="DE283" s="148" t="str">
        <f aca="false">$CQ283</f>
        <v/>
      </c>
      <c r="DF283" s="146" t="str">
        <f aca="false">IF(ISBLANK($C283),"",$CT283)</f>
        <v/>
      </c>
      <c r="DG283" s="149" t="str">
        <f aca="false">IF($CX283&gt;$CW$8,"",VLOOKUP($CX283,$CZ$9:$DF$508,7,FALSE()))</f>
        <v/>
      </c>
      <c r="DH283" s="150" t="str">
        <f aca="false">IF($CX283&gt;$CW$8,"",VLOOKUP($CX283,$CZ$9:$DF$508,2,FALSE()))</f>
        <v/>
      </c>
      <c r="DI283" s="150" t="str">
        <f aca="false">IF($CX283&gt;$CW$8,"",VLOOKUP($CX283,$CZ$9:$DF$508,3,FALSE()))</f>
        <v/>
      </c>
      <c r="DJ283" s="150" t="str">
        <f aca="false">IF($CX283&gt;$CW$8,"",VLOOKUP($CX283,$CZ$9:$DF$508,4,FALSE()))</f>
        <v/>
      </c>
      <c r="DK283" s="150" t="str">
        <f aca="false">IF($CX283&gt;$CW$8,"",VLOOKUP($CX283,$CZ$9:$DF$508,5,FALSE()))</f>
        <v/>
      </c>
      <c r="DL283" s="151" t="str">
        <f aca="false">IF($CX283&gt;$CW$8,"",VLOOKUP($CX283,$CZ$9:$DF$508,6,FALSE()))</f>
        <v/>
      </c>
      <c r="DM283" s="75"/>
    </row>
    <row r="284" customFormat="false" ht="15.75" hidden="false" customHeight="false" outlineLevel="0" collapsed="false">
      <c r="A284" s="9"/>
      <c r="B284" s="157"/>
      <c r="C284" s="158"/>
      <c r="D284" s="159"/>
      <c r="E284" s="177"/>
      <c r="F284" s="161"/>
      <c r="G284" s="162"/>
      <c r="H284" s="162"/>
      <c r="I284" s="178"/>
      <c r="J284" s="165"/>
      <c r="K284" s="126"/>
      <c r="L284" s="127"/>
      <c r="M284" s="128"/>
      <c r="N284" s="165"/>
      <c r="O284" s="165"/>
      <c r="P284" s="177"/>
      <c r="Q284" s="165"/>
      <c r="R284" s="165"/>
      <c r="S284" s="126"/>
      <c r="T284" s="128"/>
      <c r="U284" s="128"/>
      <c r="V284" s="165"/>
      <c r="W284" s="165"/>
      <c r="X284" s="177"/>
      <c r="Y284" s="165"/>
      <c r="Z284" s="166"/>
      <c r="AA284" s="165"/>
      <c r="AB284" s="132"/>
      <c r="AC284" s="133"/>
      <c r="AD284" s="133"/>
      <c r="AE284" s="133"/>
      <c r="AF284" s="133" t="str">
        <f aca="false">IF(ISBLANK($C284),"",IF(E284=Constants!$B$3,TRUE(),IF(E284=Constants!$B$4,FALSE(),TRUE())))</f>
        <v/>
      </c>
      <c r="AG284" s="133" t="str">
        <f aca="false">IF(ISBLANK($C284),"",IF(F284=Constants!$B$3,TRUE(),IF(F284=Constants!$B$4,FALSE(),TRUE())))</f>
        <v/>
      </c>
      <c r="AH284" s="133" t="str">
        <f aca="false">IF(ISBLANK($C284),"",IF(G284=Constants!$B$3,TRUE(),IF(G284=Constants!$B$4,FALSE(),TRUE())))</f>
        <v/>
      </c>
      <c r="AI284" s="133" t="str">
        <f aca="false">IF(ISBLANK($C284),"",IF(AND(ISNUMBER(H284),H284&gt;=0),H284,Constants!$B$29))</f>
        <v/>
      </c>
      <c r="AJ284" s="133" t="str">
        <f aca="false">IF(ISBLANK($C284),"",IF(I284=Constants!$B$3,TRUE(),IF(I284=Constants!$B$4,FALSE(),TRUE())))</f>
        <v/>
      </c>
      <c r="AK284" s="133" t="str">
        <f aca="false">IF(ISBLANK($C284),"",IF(J284=Constants!$B$3,TRUE(),IF(J284=Constants!$B$4,FALSE(),TRUE())))</f>
        <v/>
      </c>
      <c r="AL284" s="133" t="str">
        <f aca="false">IF(ISBLANK($C284),"",IF(K284=Constants!$B$5,TRUE(),IF(K284=Constants!$B$6,FALSE(),COUNTA(L284:P284)&gt;0)))</f>
        <v/>
      </c>
      <c r="AM284" s="134" t="str">
        <f aca="false">IF(ISBLANK($C284),"",IF(ISNUMBER(L284),IF(L284&gt;=0,L284,""),""))</f>
        <v/>
      </c>
      <c r="AN284" s="135" t="str">
        <f aca="false">IF(ISBLANK($C284),"",IF(ISNUMBER(M284),IF(M284&gt;=0,M284,""),""))</f>
        <v/>
      </c>
      <c r="AO284" s="135" t="str">
        <f aca="false">IF(ISBLANK($C284),"",IF(N284=Constants!$B$3,TRUE(),IF(N284=Constants!$B$4,FALSE(),TRUE())))</f>
        <v/>
      </c>
      <c r="AP284" s="133" t="str">
        <f aca="false">IF(ISBLANK($C284),"",IF(ISNUMBER(O284),IF(O284&gt;=0,O284,""),""))</f>
        <v/>
      </c>
      <c r="AQ284" s="133" t="str">
        <f aca="false">IF(ISBLANK($C284),"",IF(P284=Constants!$B$3,TRUE(),IF(P284=Constants!$B$4,FALSE(),FALSE())))</f>
        <v/>
      </c>
      <c r="AR284" s="133" t="str">
        <f aca="false">IF(ISBLANK($C284),"",IF(Q284=Constants!$B$3,TRUE(),IF(Q284=Constants!$B$4,FALSE(),TRUE())))</f>
        <v/>
      </c>
      <c r="AS284" s="133" t="str">
        <f aca="false">IF(ISBLANK($C284),"",IF(R284=Constants!$B$3,TRUE(),IF(R284=Constants!$B$4,FALSE(),TRUE())))</f>
        <v/>
      </c>
      <c r="AT284" s="133" t="str">
        <f aca="false">IF(ISBLANK($C284),"",IF(S284=Constants!$B$5,TRUE(),IF(S284=Constants!$B$6,FALSE(),COUNTA(T284:X284)&gt;0)))</f>
        <v/>
      </c>
      <c r="AU284" s="134" t="str">
        <f aca="false">IF(ISBLANK($C284),"",IF(ISNUMBER(T284),IF(T284&gt;=0,T284,""),""))</f>
        <v/>
      </c>
      <c r="AV284" s="135" t="str">
        <f aca="false">IF(ISBLANK($C284),"",IF(ISNUMBER(U284),IF(U284&gt;=0,U284,""),""))</f>
        <v/>
      </c>
      <c r="AW284" s="135" t="str">
        <f aca="false">IF(ISBLANK($C284),"",IF(V284=Constants!$B$3,TRUE(),IF(V284=Constants!$B$4,FALSE(),TRUE())))</f>
        <v/>
      </c>
      <c r="AX284" s="133" t="str">
        <f aca="false">IF(ISBLANK($C284),"",IF(ISNUMBER(W284),IF(W284&gt;=0,W284,""),""))</f>
        <v/>
      </c>
      <c r="AY284" s="133" t="str">
        <f aca="false">IF(ISBLANK($C284),"",IF(X284=Constants!$B$3,TRUE(),IF(X284=Constants!$B$4,FALSE(),FALSE())))</f>
        <v/>
      </c>
      <c r="AZ284" s="133" t="str">
        <f aca="false">IF(ISBLANK($C284),"",MIN(Constants!$B$31,MAX(0,IF(ISNUMBER(Y284),Y284*60,0)+IF(ISNUMBER(Z284),Z284,0))))</f>
        <v/>
      </c>
      <c r="BA284" s="133" t="str">
        <f aca="false">IF(ISBLANK($C284),"",IF(AA284=Constants!$B$3,TRUE(),IF(AA284=Constants!$B$4,FALSE(),FALSE())))</f>
        <v/>
      </c>
      <c r="BB284" s="132" t="str">
        <f aca="false">IF(ISBLANK($C284),"",AND($AL284,OR($AM284="",$AN284="",AND($AO284,$AP284=""))))</f>
        <v/>
      </c>
      <c r="BC284" s="135" t="str">
        <f aca="false">IF($BR284&lt;&gt;Constants!$B$8,"",IF($AL284,Constants!$B$21*$AN284+Constants!$B$22*IF($AO284,$AP284,Constants!$B$23),Constants!$B$24))</f>
        <v/>
      </c>
      <c r="BD284" s="136" t="str">
        <f aca="false">IF($BR284&lt;&gt;Constants!$B$8,"",Constants!$B$25*ABS($AD$9-IF($AL284,$AM284,0)))</f>
        <v/>
      </c>
      <c r="BE284" s="136" t="str">
        <f aca="false">IF($BR284&lt;&gt;Constants!$B$8,"",IF(AND($AL284,$AQ284,$AO284),Constants!$B$27,0))</f>
        <v/>
      </c>
      <c r="BF284" s="136" t="str">
        <f aca="false">IF($BR284&lt;&gt;Constants!$B$8,"",IF($AL284,($AI284-Constants!$B$29)*Constants!$B$28,0))</f>
        <v/>
      </c>
      <c r="BG284" s="136" t="str">
        <f aca="false">IF($BR284&lt;&gt;Constants!$B$8,"",IF($AK284,0,Constants!$B$15)+IF($AJ284,0,Constants!$B$16)+IF($AH284,0,Constants!$B$17))</f>
        <v/>
      </c>
      <c r="BH284" s="137" t="str">
        <f aca="false">IF($BR284&lt;&gt;Constants!$B$8,"",Constants!$B$20+SUM($BC284:$BG284))</f>
        <v/>
      </c>
      <c r="BI284" s="133" t="str">
        <f aca="false">IF($BR284&lt;&gt;Constants!$B$8,"",IF(OR($BP284&lt;$BH284,AND($BP284=$BH284,OR($BK284&lt;$BC284,AND($BK284=$BC284,OR($BL284&lt;$BD284,AND($BL284=$BD284,$AT284,$AL284,$AV284&lt;$AN284)))))),"-&gt;","&lt;-"))</f>
        <v/>
      </c>
      <c r="BJ284" s="132" t="str">
        <f aca="false">IF(ISBLANK($C284),"",AND($AT284,OR($AU284="",$AV284="",AND($AW284,$AX284=""))))</f>
        <v/>
      </c>
      <c r="BK284" s="135" t="str">
        <f aca="false">IF($BR284&lt;&gt;Constants!$B$8,"",IF($AT284,Constants!$B$21*$AV284+Constants!$B$22*IF($AW284,$AX284,Constants!$B$23),Constants!$B$24))</f>
        <v/>
      </c>
      <c r="BL284" s="136" t="str">
        <f aca="false">IF($BR284&lt;&gt;Constants!$B$8,"",Constants!$B$25*ABS($AD$9-IF($AT284,$AU284,0)))</f>
        <v/>
      </c>
      <c r="BM284" s="136" t="str">
        <f aca="false">IF($BR284&lt;&gt;Constants!$B$8,"",IF(AND($AT284,$AY284,$AW284),Constants!$B$27,0))</f>
        <v/>
      </c>
      <c r="BN284" s="136" t="str">
        <f aca="false">IF($BR284&lt;&gt;Constants!$B$8,"",IF($AT284,($AI284-Constants!$B$29)*Constants!$B$28,0))</f>
        <v/>
      </c>
      <c r="BO284" s="136" t="str">
        <f aca="false">IF($BR284&lt;&gt;Constants!$B$8,"",IF($AS284,0,Constants!$B$15)+IF($AR284,0,Constants!$B$16)+IF($AH284,0,Constants!$B$17))</f>
        <v/>
      </c>
      <c r="BP284" s="137" t="str">
        <f aca="false">IF($BR284&lt;&gt;Constants!$B$8,"",Constants!$B$20+SUM($BK284:$BO284))</f>
        <v/>
      </c>
      <c r="BQ284" s="133" t="str">
        <f aca="false">IF(ISBLANK($C284),"",IF(ISBLANK($D$7),$BQ$5,IF(NOT(ISNUMBER($D$7)),$BQ$6,"")))</f>
        <v/>
      </c>
      <c r="BR284" s="133" t="str">
        <f aca="false">IF(ISBLANK($C284),"",IF($BA284,Constants!$B$11,IF(COUNTA($E284:$AA284)=0,Constants!$B$10,IF(NOT($AG284),Constants!$B$9,IF(OR($BQ284&lt;&gt;"",$BB284,$BJ284),Constants!$B$12,Constants!$B$8)))))</f>
        <v/>
      </c>
      <c r="BS284" s="133" t="str">
        <f aca="false">IF(ISBLANK($C284),"",IF($BR284&lt;&gt;Constants!$B$8,$BR284,Constants!$B$13))</f>
        <v/>
      </c>
      <c r="BT284" s="136" t="str">
        <f aca="false">IF($BR284&lt;&gt;Constants!$B$8,"",IF($BI284="-&gt;",$BP284,$BH284))</f>
        <v/>
      </c>
      <c r="BU284" s="136" t="str">
        <f aca="false">IF($BR284&lt;&gt;Constants!$B$8,"",IF($AF284,0,Constants!$B$18))</f>
        <v/>
      </c>
      <c r="BV284" s="136" t="str">
        <f aca="false">IF($BR284&lt;&gt;Constants!$B$8,"",((Constants!$B$31-$AZ284)-Constants!$B$31)/Constants!$B$32)</f>
        <v/>
      </c>
      <c r="BW284" s="136" t="str">
        <f aca="false">IF(ISBLANK($C284),"",IF($BR284&lt;&gt;Constants!$B$8,$BR284,SUM($BT284:$BV284)))</f>
        <v/>
      </c>
      <c r="BX284" s="133" t="str">
        <f aca="false">IF(ISBLANK($C284),"",IF($BR284&lt;&gt;Constants!$B$8,$BR284,RANK($BW284,$BW$9:$BW$508,1)))</f>
        <v/>
      </c>
      <c r="BY284" s="136" t="str">
        <f aca="false">IF($BR284&lt;&gt;Constants!$B$8,"",IF($BI284="-&gt;",$BK284,$BC284))</f>
        <v/>
      </c>
      <c r="BZ284" s="133" t="str">
        <f aca="false">IF(ISBLANK($C284),"",IF($BR284&lt;&gt;Constants!$B$8,$BR284,IF(ISNUMBER($BY284),RANK($BY284,$BY$9:$BY$508,1),COUNT($BY$9:$BY$508)+1)))</f>
        <v/>
      </c>
      <c r="CA284" s="136" t="str">
        <f aca="false">IF($BR284&lt;&gt;Constants!$B$8,"",IF($BI284="-&gt;",$BL284,$BD284))</f>
        <v/>
      </c>
      <c r="CB284" s="133" t="str">
        <f aca="false">IF(ISBLANK($C284),"",IF($BR284&lt;&gt;Constants!$B$8,$BR284,IF(ISNUMBER($CA284),RANK($CA284,$CA$9:$CA$508,1),COUNT($CA$9:$CA$508)+1)))</f>
        <v/>
      </c>
      <c r="CC284" s="136" t="str">
        <f aca="false">IF($BR284&lt;&gt;Constants!$B$8,"",IF($BI284="-&gt;",IF($AT284,$AV284,""),IF($AL284,$AN284,"")))</f>
        <v/>
      </c>
      <c r="CD284" s="133" t="str">
        <f aca="false">IF(ISBLANK($C284),"",IF($BR284&lt;&gt;Constants!$B$8,$BR284,IF(ISNUMBER($CC284),RANK($CC284,$CC$9:$CC$508,1),COUNT($CC$9:$CC$508)+1)))</f>
        <v/>
      </c>
      <c r="CE284" s="136" t="str">
        <f aca="false">IF($BR284&lt;&gt;Constants!$B$8,"",IF(AND(NOT($AL284),NOT($AT284),$AJ284,$AK284,$AR284,$AS284),"",$AI284))</f>
        <v/>
      </c>
      <c r="CF284" s="133" t="str">
        <f aca="false">IF(ISBLANK($C284),"",IF($BR284&lt;&gt;Constants!$B$8,$BR284,IF(ISNUMBER($CE284),RANK($CE284,$CE$9:$CE$508,1),COUNT($CE$9:$CE$508)+1)))</f>
        <v/>
      </c>
      <c r="CG284" s="133" t="str">
        <f aca="false">IF(ISBLANK($C284),"",IF($BR284&lt;&gt;Constants!$B$8,$BR284,COUNTIFS($BX$9:$BX$508,"&lt;"&amp;$BX284)+COUNTIFS($BX$9:$BX$508,$BX284,$BZ$9:$BZ$508,"&lt;"&amp;$BZ284)+COUNTIFS($BX$9:$BX$508,$BX284,$BZ$9:$BZ$508,$BZ284,$CB$9:$CB$508,"&lt;"&amp;$CB284)+COUNTIFS($BX$9:$BX$508,$BX284,$BZ$9:$BZ$508,$BZ284,$CB$9:$CB$508,$CB284,$CD$9:$CD$508,"&lt;"&amp;$CD284)+COUNTIFS($BX$9:$BX$508,$BX284,$BZ$9:$BZ$508,$BZ284,$CB$9:$CB$508,$CB284,$CD$9:$CD$508,$CD284,$CF$9:$CF$508,"&lt;"&amp;$CF284)+1))</f>
        <v/>
      </c>
      <c r="CH284" s="133" t="str">
        <f aca="false">IF(ISBLANK($C284),"",IF($BR284&lt;&gt;Constants!$B$8,$BR284,$BX284-$CG284))</f>
        <v/>
      </c>
      <c r="CI284" s="138"/>
      <c r="CJ284" s="139"/>
      <c r="CK284" s="140" t="str">
        <f aca="false">IF(ISBLANK($C284),"",IF($BR284=Constants!$B$12,$BQ284,""))</f>
        <v/>
      </c>
      <c r="CL284" s="139" t="str">
        <f aca="false">IF(ISBLANK($C284),"",IF($BR284&lt;&gt;Constants!$B$8,"",IF($BI284="-&gt;",2,1)))</f>
        <v/>
      </c>
      <c r="CM284" s="141" t="str">
        <f aca="false">IF(ISBLANK($C284),"",IF($BR284&lt;&gt;Constants!$B$8,"",IF($BI284="-&gt;",$BK284,$BC284)))</f>
        <v/>
      </c>
      <c r="CN284" s="141" t="str">
        <f aca="false">IF(ISBLANK($C284),"",IF($BR284&lt;&gt;Constants!$B$8,"",IF($BI284="-&gt;",$BL284,$BD284)))</f>
        <v/>
      </c>
      <c r="CO284" s="141" t="str">
        <f aca="false">IF(ISBLANK($C284),"",IF($BR284&lt;&gt;Constants!$B$8,"",IF($BI284="-&gt;",$BM284+$BN284,$BE284+$BF284)+$BV284))</f>
        <v/>
      </c>
      <c r="CP284" s="141" t="str">
        <f aca="false">IF(ISBLANK($C284),"",IF($BR284&lt;&gt;Constants!$B$8,"",IF($BI284="-&gt;",$BO284,$BG284)+$BU284))</f>
        <v/>
      </c>
      <c r="CQ284" s="142" t="str">
        <f aca="false">IF(ISBLANK($C284),"",IF($BR284&lt;&gt;Constants!$B$8,$BR284,$BW284))</f>
        <v/>
      </c>
      <c r="CR284" s="143" t="str">
        <f aca="false">IF(ISBLANK($C284),"",$BS284)</f>
        <v/>
      </c>
      <c r="CS284" s="144" t="str">
        <f aca="false">IF(ISBLANK($C284),"",$CH284)</f>
        <v/>
      </c>
      <c r="CT284" s="144" t="str">
        <f aca="false">IF(ISBLANK($C284),"",$CG284)</f>
        <v/>
      </c>
      <c r="CU284" s="145" t="str">
        <f aca="false">IF(ISBLANK($C284),"",IFERROR(_xlfn.SWITCH($CT284,Constants!$B$11,COUNTA($C$9:$C$508)+2,Constants!$B$10,COUNTA($C$9:$C$508)+1,Constants!$B$9,COUNTA($C$9:$C$508)),$CT284))</f>
        <v/>
      </c>
      <c r="CV284" s="9"/>
      <c r="CW284" s="146" t="n">
        <f aca="false">IF(OR(ISNUMBER($CT284),$CT284=Constants!$B$11,$CT284=Constants!$B$9,$CT284=Constants!$B$10),1,0)</f>
        <v>0</v>
      </c>
      <c r="CX284" s="146" t="n">
        <v>276</v>
      </c>
      <c r="CY284" s="146" t="str">
        <f aca="false">IF(ISBLANK($C284),"",IF(ISNUMBER($CU284),$CU284+ROW($B284)/1000,""))</f>
        <v/>
      </c>
      <c r="CZ284" s="146" t="str">
        <f aca="false">IF(ISNUMBER($CY284),RANK($CY284,$CY$9:$CY$508,1),"")</f>
        <v/>
      </c>
      <c r="DA284" s="146" t="str">
        <f aca="false">IF(ISBLANK($C284),"",$B284)</f>
        <v/>
      </c>
      <c r="DB284" s="146" t="str">
        <f aca="false">IF(ISBLANK($C284),"",$C284)</f>
        <v/>
      </c>
      <c r="DC284" s="146" t="str">
        <f aca="false">IF(ISBLANK($C284),"",$D284)</f>
        <v/>
      </c>
      <c r="DD284" s="147" t="str">
        <f aca="false">$CR284</f>
        <v/>
      </c>
      <c r="DE284" s="148" t="str">
        <f aca="false">$CQ284</f>
        <v/>
      </c>
      <c r="DF284" s="146" t="str">
        <f aca="false">IF(ISBLANK($C284),"",$CT284)</f>
        <v/>
      </c>
      <c r="DG284" s="149" t="str">
        <f aca="false">IF($CX284&gt;$CW$8,"",VLOOKUP($CX284,$CZ$9:$DF$508,7,FALSE()))</f>
        <v/>
      </c>
      <c r="DH284" s="150" t="str">
        <f aca="false">IF($CX284&gt;$CW$8,"",VLOOKUP($CX284,$CZ$9:$DF$508,2,FALSE()))</f>
        <v/>
      </c>
      <c r="DI284" s="150" t="str">
        <f aca="false">IF($CX284&gt;$CW$8,"",VLOOKUP($CX284,$CZ$9:$DF$508,3,FALSE()))</f>
        <v/>
      </c>
      <c r="DJ284" s="150" t="str">
        <f aca="false">IF($CX284&gt;$CW$8,"",VLOOKUP($CX284,$CZ$9:$DF$508,4,FALSE()))</f>
        <v/>
      </c>
      <c r="DK284" s="150" t="str">
        <f aca="false">IF($CX284&gt;$CW$8,"",VLOOKUP($CX284,$CZ$9:$DF$508,5,FALSE()))</f>
        <v/>
      </c>
      <c r="DL284" s="151" t="str">
        <f aca="false">IF($CX284&gt;$CW$8,"",VLOOKUP($CX284,$CZ$9:$DF$508,6,FALSE()))</f>
        <v/>
      </c>
      <c r="DM284" s="75"/>
    </row>
    <row r="285" customFormat="false" ht="15.75" hidden="false" customHeight="false" outlineLevel="0" collapsed="false">
      <c r="A285" s="9"/>
      <c r="B285" s="77"/>
      <c r="C285" s="78"/>
      <c r="D285" s="167"/>
      <c r="E285" s="175"/>
      <c r="F285" s="169"/>
      <c r="G285" s="170"/>
      <c r="H285" s="170"/>
      <c r="I285" s="176"/>
      <c r="J285" s="173"/>
      <c r="K285" s="85"/>
      <c r="L285" s="86"/>
      <c r="M285" s="87"/>
      <c r="N285" s="173"/>
      <c r="O285" s="173"/>
      <c r="P285" s="175"/>
      <c r="Q285" s="173"/>
      <c r="R285" s="173"/>
      <c r="S285" s="85"/>
      <c r="T285" s="87"/>
      <c r="U285" s="87"/>
      <c r="V285" s="173"/>
      <c r="W285" s="173"/>
      <c r="X285" s="175"/>
      <c r="Y285" s="173"/>
      <c r="Z285" s="174"/>
      <c r="AA285" s="173"/>
      <c r="AB285" s="91"/>
      <c r="AC285" s="92"/>
      <c r="AD285" s="92"/>
      <c r="AE285" s="92"/>
      <c r="AF285" s="92" t="str">
        <f aca="false">IF(ISBLANK($C285),"",IF(E285=Constants!$B$3,TRUE(),IF(E285=Constants!$B$4,FALSE(),TRUE())))</f>
        <v/>
      </c>
      <c r="AG285" s="92" t="str">
        <f aca="false">IF(ISBLANK($C285),"",IF(F285=Constants!$B$3,TRUE(),IF(F285=Constants!$B$4,FALSE(),TRUE())))</f>
        <v/>
      </c>
      <c r="AH285" s="92" t="str">
        <f aca="false">IF(ISBLANK($C285),"",IF(G285=Constants!$B$3,TRUE(),IF(G285=Constants!$B$4,FALSE(),TRUE())))</f>
        <v/>
      </c>
      <c r="AI285" s="92" t="str">
        <f aca="false">IF(ISBLANK($C285),"",IF(AND(ISNUMBER(H285),H285&gt;=0),H285,Constants!$B$29))</f>
        <v/>
      </c>
      <c r="AJ285" s="92" t="str">
        <f aca="false">IF(ISBLANK($C285),"",IF(I285=Constants!$B$3,TRUE(),IF(I285=Constants!$B$4,FALSE(),TRUE())))</f>
        <v/>
      </c>
      <c r="AK285" s="92" t="str">
        <f aca="false">IF(ISBLANK($C285),"",IF(J285=Constants!$B$3,TRUE(),IF(J285=Constants!$B$4,FALSE(),TRUE())))</f>
        <v/>
      </c>
      <c r="AL285" s="92" t="str">
        <f aca="false">IF(ISBLANK($C285),"",IF(K285=Constants!$B$5,TRUE(),IF(K285=Constants!$B$6,FALSE(),COUNTA(L285:P285)&gt;0)))</f>
        <v/>
      </c>
      <c r="AM285" s="94" t="str">
        <f aca="false">IF(ISBLANK($C285),"",IF(ISNUMBER(L285),IF(L285&gt;=0,L285,""),""))</f>
        <v/>
      </c>
      <c r="AN285" s="93" t="str">
        <f aca="false">IF(ISBLANK($C285),"",IF(ISNUMBER(M285),IF(M285&gt;=0,M285,""),""))</f>
        <v/>
      </c>
      <c r="AO285" s="93" t="str">
        <f aca="false">IF(ISBLANK($C285),"",IF(N285=Constants!$B$3,TRUE(),IF(N285=Constants!$B$4,FALSE(),TRUE())))</f>
        <v/>
      </c>
      <c r="AP285" s="92" t="str">
        <f aca="false">IF(ISBLANK($C285),"",IF(ISNUMBER(O285),IF(O285&gt;=0,O285,""),""))</f>
        <v/>
      </c>
      <c r="AQ285" s="92" t="str">
        <f aca="false">IF(ISBLANK($C285),"",IF(P285=Constants!$B$3,TRUE(),IF(P285=Constants!$B$4,FALSE(),FALSE())))</f>
        <v/>
      </c>
      <c r="AR285" s="92" t="str">
        <f aca="false">IF(ISBLANK($C285),"",IF(Q285=Constants!$B$3,TRUE(),IF(Q285=Constants!$B$4,FALSE(),TRUE())))</f>
        <v/>
      </c>
      <c r="AS285" s="92" t="str">
        <f aca="false">IF(ISBLANK($C285),"",IF(R285=Constants!$B$3,TRUE(),IF(R285=Constants!$B$4,FALSE(),TRUE())))</f>
        <v/>
      </c>
      <c r="AT285" s="92" t="str">
        <f aca="false">IF(ISBLANK($C285),"",IF(S285=Constants!$B$5,TRUE(),IF(S285=Constants!$B$6,FALSE(),COUNTA(T285:X285)&gt;0)))</f>
        <v/>
      </c>
      <c r="AU285" s="94" t="str">
        <f aca="false">IF(ISBLANK($C285),"",IF(ISNUMBER(T285),IF(T285&gt;=0,T285,""),""))</f>
        <v/>
      </c>
      <c r="AV285" s="93" t="str">
        <f aca="false">IF(ISBLANK($C285),"",IF(ISNUMBER(U285),IF(U285&gt;=0,U285,""),""))</f>
        <v/>
      </c>
      <c r="AW285" s="93" t="str">
        <f aca="false">IF(ISBLANK($C285),"",IF(V285=Constants!$B$3,TRUE(),IF(V285=Constants!$B$4,FALSE(),TRUE())))</f>
        <v/>
      </c>
      <c r="AX285" s="92" t="str">
        <f aca="false">IF(ISBLANK($C285),"",IF(ISNUMBER(W285),IF(W285&gt;=0,W285,""),""))</f>
        <v/>
      </c>
      <c r="AY285" s="92" t="str">
        <f aca="false">IF(ISBLANK($C285),"",IF(X285=Constants!$B$3,TRUE(),IF(X285=Constants!$B$4,FALSE(),FALSE())))</f>
        <v/>
      </c>
      <c r="AZ285" s="92" t="str">
        <f aca="false">IF(ISBLANK($C285),"",MIN(Constants!$B$31,MAX(0,IF(ISNUMBER(Y285),Y285*60,0)+IF(ISNUMBER(Z285),Z285,0))))</f>
        <v/>
      </c>
      <c r="BA285" s="92" t="str">
        <f aca="false">IF(ISBLANK($C285),"",IF(AA285=Constants!$B$3,TRUE(),IF(AA285=Constants!$B$4,FALSE(),FALSE())))</f>
        <v/>
      </c>
      <c r="BB285" s="91" t="str">
        <f aca="false">IF(ISBLANK($C285),"",AND($AL285,OR($AM285="",$AN285="",AND($AO285,$AP285=""))))</f>
        <v/>
      </c>
      <c r="BC285" s="93" t="str">
        <f aca="false">IF($BR285&lt;&gt;Constants!$B$8,"",IF($AL285,Constants!$B$21*$AN285+Constants!$B$22*IF($AO285,$AP285,Constants!$B$23),Constants!$B$24))</f>
        <v/>
      </c>
      <c r="BD285" s="96" t="str">
        <f aca="false">IF($BR285&lt;&gt;Constants!$B$8,"",Constants!$B$25*ABS($AD$9-IF($AL285,$AM285,0)))</f>
        <v/>
      </c>
      <c r="BE285" s="96" t="str">
        <f aca="false">IF($BR285&lt;&gt;Constants!$B$8,"",IF(AND($AL285,$AQ285,$AO285),Constants!$B$27,0))</f>
        <v/>
      </c>
      <c r="BF285" s="96" t="str">
        <f aca="false">IF($BR285&lt;&gt;Constants!$B$8,"",IF($AL285,($AI285-Constants!$B$29)*Constants!$B$28,0))</f>
        <v/>
      </c>
      <c r="BG285" s="96" t="str">
        <f aca="false">IF($BR285&lt;&gt;Constants!$B$8,"",IF($AK285,0,Constants!$B$15)+IF($AJ285,0,Constants!$B$16)+IF($AH285,0,Constants!$B$17))</f>
        <v/>
      </c>
      <c r="BH285" s="97" t="str">
        <f aca="false">IF($BR285&lt;&gt;Constants!$B$8,"",Constants!$B$20+SUM($BC285:$BG285))</f>
        <v/>
      </c>
      <c r="BI285" s="92" t="str">
        <f aca="false">IF($BR285&lt;&gt;Constants!$B$8,"",IF(OR($BP285&lt;$BH285,AND($BP285=$BH285,OR($BK285&lt;$BC285,AND($BK285=$BC285,OR($BL285&lt;$BD285,AND($BL285=$BD285,$AT285,$AL285,$AV285&lt;$AN285)))))),"-&gt;","&lt;-"))</f>
        <v/>
      </c>
      <c r="BJ285" s="91" t="str">
        <f aca="false">IF(ISBLANK($C285),"",AND($AT285,OR($AU285="",$AV285="",AND($AW285,$AX285=""))))</f>
        <v/>
      </c>
      <c r="BK285" s="93" t="str">
        <f aca="false">IF($BR285&lt;&gt;Constants!$B$8,"",IF($AT285,Constants!$B$21*$AV285+Constants!$B$22*IF($AW285,$AX285,Constants!$B$23),Constants!$B$24))</f>
        <v/>
      </c>
      <c r="BL285" s="96" t="str">
        <f aca="false">IF($BR285&lt;&gt;Constants!$B$8,"",Constants!$B$25*ABS($AD$9-IF($AT285,$AU285,0)))</f>
        <v/>
      </c>
      <c r="BM285" s="96" t="str">
        <f aca="false">IF($BR285&lt;&gt;Constants!$B$8,"",IF(AND($AT285,$AY285,$AW285),Constants!$B$27,0))</f>
        <v/>
      </c>
      <c r="BN285" s="96" t="str">
        <f aca="false">IF($BR285&lt;&gt;Constants!$B$8,"",IF($AT285,($AI285-Constants!$B$29)*Constants!$B$28,0))</f>
        <v/>
      </c>
      <c r="BO285" s="96" t="str">
        <f aca="false">IF($BR285&lt;&gt;Constants!$B$8,"",IF($AS285,0,Constants!$B$15)+IF($AR285,0,Constants!$B$16)+IF($AH285,0,Constants!$B$17))</f>
        <v/>
      </c>
      <c r="BP285" s="97" t="str">
        <f aca="false">IF($BR285&lt;&gt;Constants!$B$8,"",Constants!$B$20+SUM($BK285:$BO285))</f>
        <v/>
      </c>
      <c r="BQ285" s="92" t="str">
        <f aca="false">IF(ISBLANK($C285),"",IF(ISBLANK($D$7),$BQ$5,IF(NOT(ISNUMBER($D$7)),$BQ$6,"")))</f>
        <v/>
      </c>
      <c r="BR285" s="92" t="str">
        <f aca="false">IF(ISBLANK($C285),"",IF($BA285,Constants!$B$11,IF(COUNTA($E285:$AA285)=0,Constants!$B$10,IF(NOT($AG285),Constants!$B$9,IF(OR($BQ285&lt;&gt;"",$BB285,$BJ285),Constants!$B$12,Constants!$B$8)))))</f>
        <v/>
      </c>
      <c r="BS285" s="92" t="str">
        <f aca="false">IF(ISBLANK($C285),"",IF($BR285&lt;&gt;Constants!$B$8,$BR285,Constants!$B$13))</f>
        <v/>
      </c>
      <c r="BT285" s="96" t="str">
        <f aca="false">IF($BR285&lt;&gt;Constants!$B$8,"",IF($BI285="-&gt;",$BP285,$BH285))</f>
        <v/>
      </c>
      <c r="BU285" s="96" t="str">
        <f aca="false">IF($BR285&lt;&gt;Constants!$B$8,"",IF($AF285,0,Constants!$B$18))</f>
        <v/>
      </c>
      <c r="BV285" s="96" t="str">
        <f aca="false">IF($BR285&lt;&gt;Constants!$B$8,"",((Constants!$B$31-$AZ285)-Constants!$B$31)/Constants!$B$32)</f>
        <v/>
      </c>
      <c r="BW285" s="96" t="str">
        <f aca="false">IF(ISBLANK($C285),"",IF($BR285&lt;&gt;Constants!$B$8,$BR285,SUM($BT285:$BV285)))</f>
        <v/>
      </c>
      <c r="BX285" s="92" t="str">
        <f aca="false">IF(ISBLANK($C285),"",IF($BR285&lt;&gt;Constants!$B$8,$BR285,RANK($BW285,$BW$9:$BW$508,1)))</f>
        <v/>
      </c>
      <c r="BY285" s="96" t="str">
        <f aca="false">IF($BR285&lt;&gt;Constants!$B$8,"",IF($BI285="-&gt;",$BK285,$BC285))</f>
        <v/>
      </c>
      <c r="BZ285" s="92" t="str">
        <f aca="false">IF(ISBLANK($C285),"",IF($BR285&lt;&gt;Constants!$B$8,$BR285,IF(ISNUMBER($BY285),RANK($BY285,$BY$9:$BY$508,1),COUNT($BY$9:$BY$508)+1)))</f>
        <v/>
      </c>
      <c r="CA285" s="96" t="str">
        <f aca="false">IF($BR285&lt;&gt;Constants!$B$8,"",IF($BI285="-&gt;",$BL285,$BD285))</f>
        <v/>
      </c>
      <c r="CB285" s="92" t="str">
        <f aca="false">IF(ISBLANK($C285),"",IF($BR285&lt;&gt;Constants!$B$8,$BR285,IF(ISNUMBER($CA285),RANK($CA285,$CA$9:$CA$508,1),COUNT($CA$9:$CA$508)+1)))</f>
        <v/>
      </c>
      <c r="CC285" s="96" t="str">
        <f aca="false">IF($BR285&lt;&gt;Constants!$B$8,"",IF($BI285="-&gt;",IF($AT285,$AV285,""),IF($AL285,$AN285,"")))</f>
        <v/>
      </c>
      <c r="CD285" s="92" t="str">
        <f aca="false">IF(ISBLANK($C285),"",IF($BR285&lt;&gt;Constants!$B$8,$BR285,IF(ISNUMBER($CC285),RANK($CC285,$CC$9:$CC$508,1),COUNT($CC$9:$CC$508)+1)))</f>
        <v/>
      </c>
      <c r="CE285" s="96" t="str">
        <f aca="false">IF($BR285&lt;&gt;Constants!$B$8,"",IF(AND(NOT($AL285),NOT($AT285),$AJ285,$AK285,$AR285,$AS285),"",$AI285))</f>
        <v/>
      </c>
      <c r="CF285" s="92" t="str">
        <f aca="false">IF(ISBLANK($C285),"",IF($BR285&lt;&gt;Constants!$B$8,$BR285,IF(ISNUMBER($CE285),RANK($CE285,$CE$9:$CE$508,1),COUNT($CE$9:$CE$508)+1)))</f>
        <v/>
      </c>
      <c r="CG285" s="92" t="str">
        <f aca="false">IF(ISBLANK($C285),"",IF($BR285&lt;&gt;Constants!$B$8,$BR285,COUNTIFS($BX$9:$BX$508,"&lt;"&amp;$BX285)+COUNTIFS($BX$9:$BX$508,$BX285,$BZ$9:$BZ$508,"&lt;"&amp;$BZ285)+COUNTIFS($BX$9:$BX$508,$BX285,$BZ$9:$BZ$508,$BZ285,$CB$9:$CB$508,"&lt;"&amp;$CB285)+COUNTIFS($BX$9:$BX$508,$BX285,$BZ$9:$BZ$508,$BZ285,$CB$9:$CB$508,$CB285,$CD$9:$CD$508,"&lt;"&amp;$CD285)+COUNTIFS($BX$9:$BX$508,$BX285,$BZ$9:$BZ$508,$BZ285,$CB$9:$CB$508,$CB285,$CD$9:$CD$508,$CD285,$CF$9:$CF$508,"&lt;"&amp;$CF285)+1))</f>
        <v/>
      </c>
      <c r="CH285" s="92" t="str">
        <f aca="false">IF(ISBLANK($C285),"",IF($BR285&lt;&gt;Constants!$B$8,$BR285,$BX285-$CG285))</f>
        <v/>
      </c>
      <c r="CI285" s="98"/>
      <c r="CJ285" s="99"/>
      <c r="CK285" s="100" t="str">
        <f aca="false">IF(ISBLANK($C285),"",IF($BR285=Constants!$B$12,$BQ285,""))</f>
        <v/>
      </c>
      <c r="CL285" s="99" t="str">
        <f aca="false">IF(ISBLANK($C285),"",IF($BR285&lt;&gt;Constants!$B$8,"",IF($BI285="-&gt;",2,1)))</f>
        <v/>
      </c>
      <c r="CM285" s="101" t="str">
        <f aca="false">IF(ISBLANK($C285),"",IF($BR285&lt;&gt;Constants!$B$8,"",IF($BI285="-&gt;",$BK285,$BC285)))</f>
        <v/>
      </c>
      <c r="CN285" s="101" t="str">
        <f aca="false">IF(ISBLANK($C285),"",IF($BR285&lt;&gt;Constants!$B$8,"",IF($BI285="-&gt;",$BL285,$BD285)))</f>
        <v/>
      </c>
      <c r="CO285" s="101" t="str">
        <f aca="false">IF(ISBLANK($C285),"",IF($BR285&lt;&gt;Constants!$B$8,"",IF($BI285="-&gt;",$BM285+$BN285,$BE285+$BF285)+$BV285))</f>
        <v/>
      </c>
      <c r="CP285" s="101" t="str">
        <f aca="false">IF(ISBLANK($C285),"",IF($BR285&lt;&gt;Constants!$B$8,"",IF($BI285="-&gt;",$BO285,$BG285)+$BU285))</f>
        <v/>
      </c>
      <c r="CQ285" s="102" t="str">
        <f aca="false">IF(ISBLANK($C285),"",IF($BR285&lt;&gt;Constants!$B$8,$BR285,$BW285))</f>
        <v/>
      </c>
      <c r="CR285" s="103" t="str">
        <f aca="false">IF(ISBLANK($C285),"",$BS285)</f>
        <v/>
      </c>
      <c r="CS285" s="104" t="str">
        <f aca="false">IF(ISBLANK($C285),"",$CH285)</f>
        <v/>
      </c>
      <c r="CT285" s="104" t="str">
        <f aca="false">IF(ISBLANK($C285),"",$CG285)</f>
        <v/>
      </c>
      <c r="CU285" s="105" t="str">
        <f aca="false">IF(ISBLANK($C285),"",IFERROR(_xlfn.SWITCH($CT285,Constants!$B$11,COUNTA($C$9:$C$508)+2,Constants!$B$10,COUNTA($C$9:$C$508)+1,Constants!$B$9,COUNTA($C$9:$C$508)),$CT285))</f>
        <v/>
      </c>
      <c r="CV285" s="9"/>
      <c r="CW285" s="106" t="n">
        <f aca="false">IF(OR(ISNUMBER($CT285),$CT285=Constants!$B$11,$CT285=Constants!$B$9,$CT285=Constants!$B$10),1,0)</f>
        <v>0</v>
      </c>
      <c r="CX285" s="106" t="n">
        <v>277</v>
      </c>
      <c r="CY285" s="106" t="str">
        <f aca="false">IF(ISBLANK($C285),"",IF(ISNUMBER($CU285),$CU285+ROW($B285)/1000,""))</f>
        <v/>
      </c>
      <c r="CZ285" s="106" t="str">
        <f aca="false">IF(ISNUMBER($CY285),RANK($CY285,$CY$9:$CY$508,1),"")</f>
        <v/>
      </c>
      <c r="DA285" s="106" t="str">
        <f aca="false">IF(ISBLANK($C285),"",$B285)</f>
        <v/>
      </c>
      <c r="DB285" s="106" t="str">
        <f aca="false">IF(ISBLANK($C285),"",$C285)</f>
        <v/>
      </c>
      <c r="DC285" s="106" t="str">
        <f aca="false">IF(ISBLANK($C285),"",$D285)</f>
        <v/>
      </c>
      <c r="DD285" s="107" t="str">
        <f aca="false">$CR285</f>
        <v/>
      </c>
      <c r="DE285" s="108" t="str">
        <f aca="false">$CQ285</f>
        <v/>
      </c>
      <c r="DF285" s="106" t="str">
        <f aca="false">IF(ISBLANK($C285),"",$CT285)</f>
        <v/>
      </c>
      <c r="DG285" s="109" t="str">
        <f aca="false">IF($CX285&gt;$CW$8,"",VLOOKUP($CX285,$CZ$9:$DF$508,7,FALSE()))</f>
        <v/>
      </c>
      <c r="DH285" s="110" t="str">
        <f aca="false">IF($CX285&gt;$CW$8,"",VLOOKUP($CX285,$CZ$9:$DF$508,2,FALSE()))</f>
        <v/>
      </c>
      <c r="DI285" s="110" t="str">
        <f aca="false">IF($CX285&gt;$CW$8,"",VLOOKUP($CX285,$CZ$9:$DF$508,3,FALSE()))</f>
        <v/>
      </c>
      <c r="DJ285" s="110" t="str">
        <f aca="false">IF($CX285&gt;$CW$8,"",VLOOKUP($CX285,$CZ$9:$DF$508,4,FALSE()))</f>
        <v/>
      </c>
      <c r="DK285" s="110" t="str">
        <f aca="false">IF($CX285&gt;$CW$8,"",VLOOKUP($CX285,$CZ$9:$DF$508,5,FALSE()))</f>
        <v/>
      </c>
      <c r="DL285" s="111" t="str">
        <f aca="false">IF($CX285&gt;$CW$8,"",VLOOKUP($CX285,$CZ$9:$DF$508,6,FALSE()))</f>
        <v/>
      </c>
      <c r="DM285" s="75"/>
    </row>
    <row r="286" customFormat="false" ht="15.75" hidden="false" customHeight="false" outlineLevel="0" collapsed="false">
      <c r="A286" s="9"/>
      <c r="B286" s="77"/>
      <c r="C286" s="78"/>
      <c r="D286" s="167"/>
      <c r="E286" s="175"/>
      <c r="F286" s="169"/>
      <c r="G286" s="170"/>
      <c r="H286" s="170"/>
      <c r="I286" s="176"/>
      <c r="J286" s="173"/>
      <c r="K286" s="85"/>
      <c r="L286" s="86"/>
      <c r="M286" s="87"/>
      <c r="N286" s="173"/>
      <c r="O286" s="173"/>
      <c r="P286" s="175"/>
      <c r="Q286" s="173"/>
      <c r="R286" s="173"/>
      <c r="S286" s="85"/>
      <c r="T286" s="87"/>
      <c r="U286" s="87"/>
      <c r="V286" s="173"/>
      <c r="W286" s="173"/>
      <c r="X286" s="175"/>
      <c r="Y286" s="173"/>
      <c r="Z286" s="174"/>
      <c r="AA286" s="173"/>
      <c r="AB286" s="91"/>
      <c r="AC286" s="92"/>
      <c r="AD286" s="92"/>
      <c r="AE286" s="92"/>
      <c r="AF286" s="92" t="str">
        <f aca="false">IF(ISBLANK($C286),"",IF(E286=Constants!$B$3,TRUE(),IF(E286=Constants!$B$4,FALSE(),TRUE())))</f>
        <v/>
      </c>
      <c r="AG286" s="92" t="str">
        <f aca="false">IF(ISBLANK($C286),"",IF(F286=Constants!$B$3,TRUE(),IF(F286=Constants!$B$4,FALSE(),TRUE())))</f>
        <v/>
      </c>
      <c r="AH286" s="92" t="str">
        <f aca="false">IF(ISBLANK($C286),"",IF(G286=Constants!$B$3,TRUE(),IF(G286=Constants!$B$4,FALSE(),TRUE())))</f>
        <v/>
      </c>
      <c r="AI286" s="92" t="str">
        <f aca="false">IF(ISBLANK($C286),"",IF(AND(ISNUMBER(H286),H286&gt;=0),H286,Constants!$B$29))</f>
        <v/>
      </c>
      <c r="AJ286" s="92" t="str">
        <f aca="false">IF(ISBLANK($C286),"",IF(I286=Constants!$B$3,TRUE(),IF(I286=Constants!$B$4,FALSE(),TRUE())))</f>
        <v/>
      </c>
      <c r="AK286" s="92" t="str">
        <f aca="false">IF(ISBLANK($C286),"",IF(J286=Constants!$B$3,TRUE(),IF(J286=Constants!$B$4,FALSE(),TRUE())))</f>
        <v/>
      </c>
      <c r="AL286" s="92" t="str">
        <f aca="false">IF(ISBLANK($C286),"",IF(K286=Constants!$B$5,TRUE(),IF(K286=Constants!$B$6,FALSE(),COUNTA(L286:P286)&gt;0)))</f>
        <v/>
      </c>
      <c r="AM286" s="94" t="str">
        <f aca="false">IF(ISBLANK($C286),"",IF(ISNUMBER(L286),IF(L286&gt;=0,L286,""),""))</f>
        <v/>
      </c>
      <c r="AN286" s="93" t="str">
        <f aca="false">IF(ISBLANK($C286),"",IF(ISNUMBER(M286),IF(M286&gt;=0,M286,""),""))</f>
        <v/>
      </c>
      <c r="AO286" s="93" t="str">
        <f aca="false">IF(ISBLANK($C286),"",IF(N286=Constants!$B$3,TRUE(),IF(N286=Constants!$B$4,FALSE(),TRUE())))</f>
        <v/>
      </c>
      <c r="AP286" s="92" t="str">
        <f aca="false">IF(ISBLANK($C286),"",IF(ISNUMBER(O286),IF(O286&gt;=0,O286,""),""))</f>
        <v/>
      </c>
      <c r="AQ286" s="92" t="str">
        <f aca="false">IF(ISBLANK($C286),"",IF(P286=Constants!$B$3,TRUE(),IF(P286=Constants!$B$4,FALSE(),FALSE())))</f>
        <v/>
      </c>
      <c r="AR286" s="92" t="str">
        <f aca="false">IF(ISBLANK($C286),"",IF(Q286=Constants!$B$3,TRUE(),IF(Q286=Constants!$B$4,FALSE(),TRUE())))</f>
        <v/>
      </c>
      <c r="AS286" s="92" t="str">
        <f aca="false">IF(ISBLANK($C286),"",IF(R286=Constants!$B$3,TRUE(),IF(R286=Constants!$B$4,FALSE(),TRUE())))</f>
        <v/>
      </c>
      <c r="AT286" s="92" t="str">
        <f aca="false">IF(ISBLANK($C286),"",IF(S286=Constants!$B$5,TRUE(),IF(S286=Constants!$B$6,FALSE(),COUNTA(T286:X286)&gt;0)))</f>
        <v/>
      </c>
      <c r="AU286" s="94" t="str">
        <f aca="false">IF(ISBLANK($C286),"",IF(ISNUMBER(T286),IF(T286&gt;=0,T286,""),""))</f>
        <v/>
      </c>
      <c r="AV286" s="93" t="str">
        <f aca="false">IF(ISBLANK($C286),"",IF(ISNUMBER(U286),IF(U286&gt;=0,U286,""),""))</f>
        <v/>
      </c>
      <c r="AW286" s="93" t="str">
        <f aca="false">IF(ISBLANK($C286),"",IF(V286=Constants!$B$3,TRUE(),IF(V286=Constants!$B$4,FALSE(),TRUE())))</f>
        <v/>
      </c>
      <c r="AX286" s="92" t="str">
        <f aca="false">IF(ISBLANK($C286),"",IF(ISNUMBER(W286),IF(W286&gt;=0,W286,""),""))</f>
        <v/>
      </c>
      <c r="AY286" s="92" t="str">
        <f aca="false">IF(ISBLANK($C286),"",IF(X286=Constants!$B$3,TRUE(),IF(X286=Constants!$B$4,FALSE(),FALSE())))</f>
        <v/>
      </c>
      <c r="AZ286" s="92" t="str">
        <f aca="false">IF(ISBLANK($C286),"",MIN(Constants!$B$31,MAX(0,IF(ISNUMBER(Y286),Y286*60,0)+IF(ISNUMBER(Z286),Z286,0))))</f>
        <v/>
      </c>
      <c r="BA286" s="92" t="str">
        <f aca="false">IF(ISBLANK($C286),"",IF(AA286=Constants!$B$3,TRUE(),IF(AA286=Constants!$B$4,FALSE(),FALSE())))</f>
        <v/>
      </c>
      <c r="BB286" s="91" t="str">
        <f aca="false">IF(ISBLANK($C286),"",AND($AL286,OR($AM286="",$AN286="",AND($AO286,$AP286=""))))</f>
        <v/>
      </c>
      <c r="BC286" s="93" t="str">
        <f aca="false">IF($BR286&lt;&gt;Constants!$B$8,"",IF($AL286,Constants!$B$21*$AN286+Constants!$B$22*IF($AO286,$AP286,Constants!$B$23),Constants!$B$24))</f>
        <v/>
      </c>
      <c r="BD286" s="96" t="str">
        <f aca="false">IF($BR286&lt;&gt;Constants!$B$8,"",Constants!$B$25*ABS($AD$9-IF($AL286,$AM286,0)))</f>
        <v/>
      </c>
      <c r="BE286" s="96" t="str">
        <f aca="false">IF($BR286&lt;&gt;Constants!$B$8,"",IF(AND($AL286,$AQ286,$AO286),Constants!$B$27,0))</f>
        <v/>
      </c>
      <c r="BF286" s="96" t="str">
        <f aca="false">IF($BR286&lt;&gt;Constants!$B$8,"",IF($AL286,($AI286-Constants!$B$29)*Constants!$B$28,0))</f>
        <v/>
      </c>
      <c r="BG286" s="96" t="str">
        <f aca="false">IF($BR286&lt;&gt;Constants!$B$8,"",IF($AK286,0,Constants!$B$15)+IF($AJ286,0,Constants!$B$16)+IF($AH286,0,Constants!$B$17))</f>
        <v/>
      </c>
      <c r="BH286" s="97" t="str">
        <f aca="false">IF($BR286&lt;&gt;Constants!$B$8,"",Constants!$B$20+SUM($BC286:$BG286))</f>
        <v/>
      </c>
      <c r="BI286" s="92" t="str">
        <f aca="false">IF($BR286&lt;&gt;Constants!$B$8,"",IF(OR($BP286&lt;$BH286,AND($BP286=$BH286,OR($BK286&lt;$BC286,AND($BK286=$BC286,OR($BL286&lt;$BD286,AND($BL286=$BD286,$AT286,$AL286,$AV286&lt;$AN286)))))),"-&gt;","&lt;-"))</f>
        <v/>
      </c>
      <c r="BJ286" s="91" t="str">
        <f aca="false">IF(ISBLANK($C286),"",AND($AT286,OR($AU286="",$AV286="",AND($AW286,$AX286=""))))</f>
        <v/>
      </c>
      <c r="BK286" s="93" t="str">
        <f aca="false">IF($BR286&lt;&gt;Constants!$B$8,"",IF($AT286,Constants!$B$21*$AV286+Constants!$B$22*IF($AW286,$AX286,Constants!$B$23),Constants!$B$24))</f>
        <v/>
      </c>
      <c r="BL286" s="96" t="str">
        <f aca="false">IF($BR286&lt;&gt;Constants!$B$8,"",Constants!$B$25*ABS($AD$9-IF($AT286,$AU286,0)))</f>
        <v/>
      </c>
      <c r="BM286" s="96" t="str">
        <f aca="false">IF($BR286&lt;&gt;Constants!$B$8,"",IF(AND($AT286,$AY286,$AW286),Constants!$B$27,0))</f>
        <v/>
      </c>
      <c r="BN286" s="96" t="str">
        <f aca="false">IF($BR286&lt;&gt;Constants!$B$8,"",IF($AT286,($AI286-Constants!$B$29)*Constants!$B$28,0))</f>
        <v/>
      </c>
      <c r="BO286" s="96" t="str">
        <f aca="false">IF($BR286&lt;&gt;Constants!$B$8,"",IF($AS286,0,Constants!$B$15)+IF($AR286,0,Constants!$B$16)+IF($AH286,0,Constants!$B$17))</f>
        <v/>
      </c>
      <c r="BP286" s="97" t="str">
        <f aca="false">IF($BR286&lt;&gt;Constants!$B$8,"",Constants!$B$20+SUM($BK286:$BO286))</f>
        <v/>
      </c>
      <c r="BQ286" s="92" t="str">
        <f aca="false">IF(ISBLANK($C286),"",IF(ISBLANK($D$7),$BQ$5,IF(NOT(ISNUMBER($D$7)),$BQ$6,"")))</f>
        <v/>
      </c>
      <c r="BR286" s="92" t="str">
        <f aca="false">IF(ISBLANK($C286),"",IF($BA286,Constants!$B$11,IF(COUNTA($E286:$AA286)=0,Constants!$B$10,IF(NOT($AG286),Constants!$B$9,IF(OR($BQ286&lt;&gt;"",$BB286,$BJ286),Constants!$B$12,Constants!$B$8)))))</f>
        <v/>
      </c>
      <c r="BS286" s="92" t="str">
        <f aca="false">IF(ISBLANK($C286),"",IF($BR286&lt;&gt;Constants!$B$8,$BR286,Constants!$B$13))</f>
        <v/>
      </c>
      <c r="BT286" s="96" t="str">
        <f aca="false">IF($BR286&lt;&gt;Constants!$B$8,"",IF($BI286="-&gt;",$BP286,$BH286))</f>
        <v/>
      </c>
      <c r="BU286" s="96" t="str">
        <f aca="false">IF($BR286&lt;&gt;Constants!$B$8,"",IF($AF286,0,Constants!$B$18))</f>
        <v/>
      </c>
      <c r="BV286" s="96" t="str">
        <f aca="false">IF($BR286&lt;&gt;Constants!$B$8,"",((Constants!$B$31-$AZ286)-Constants!$B$31)/Constants!$B$32)</f>
        <v/>
      </c>
      <c r="BW286" s="96" t="str">
        <f aca="false">IF(ISBLANK($C286),"",IF($BR286&lt;&gt;Constants!$B$8,$BR286,SUM($BT286:$BV286)))</f>
        <v/>
      </c>
      <c r="BX286" s="92" t="str">
        <f aca="false">IF(ISBLANK($C286),"",IF($BR286&lt;&gt;Constants!$B$8,$BR286,RANK($BW286,$BW$9:$BW$508,1)))</f>
        <v/>
      </c>
      <c r="BY286" s="96" t="str">
        <f aca="false">IF($BR286&lt;&gt;Constants!$B$8,"",IF($BI286="-&gt;",$BK286,$BC286))</f>
        <v/>
      </c>
      <c r="BZ286" s="92" t="str">
        <f aca="false">IF(ISBLANK($C286),"",IF($BR286&lt;&gt;Constants!$B$8,$BR286,IF(ISNUMBER($BY286),RANK($BY286,$BY$9:$BY$508,1),COUNT($BY$9:$BY$508)+1)))</f>
        <v/>
      </c>
      <c r="CA286" s="96" t="str">
        <f aca="false">IF($BR286&lt;&gt;Constants!$B$8,"",IF($BI286="-&gt;",$BL286,$BD286))</f>
        <v/>
      </c>
      <c r="CB286" s="92" t="str">
        <f aca="false">IF(ISBLANK($C286),"",IF($BR286&lt;&gt;Constants!$B$8,$BR286,IF(ISNUMBER($CA286),RANK($CA286,$CA$9:$CA$508,1),COUNT($CA$9:$CA$508)+1)))</f>
        <v/>
      </c>
      <c r="CC286" s="96" t="str">
        <f aca="false">IF($BR286&lt;&gt;Constants!$B$8,"",IF($BI286="-&gt;",IF($AT286,$AV286,""),IF($AL286,$AN286,"")))</f>
        <v/>
      </c>
      <c r="CD286" s="92" t="str">
        <f aca="false">IF(ISBLANK($C286),"",IF($BR286&lt;&gt;Constants!$B$8,$BR286,IF(ISNUMBER($CC286),RANK($CC286,$CC$9:$CC$508,1),COUNT($CC$9:$CC$508)+1)))</f>
        <v/>
      </c>
      <c r="CE286" s="96" t="str">
        <f aca="false">IF($BR286&lt;&gt;Constants!$B$8,"",IF(AND(NOT($AL286),NOT($AT286),$AJ286,$AK286,$AR286,$AS286),"",$AI286))</f>
        <v/>
      </c>
      <c r="CF286" s="92" t="str">
        <f aca="false">IF(ISBLANK($C286),"",IF($BR286&lt;&gt;Constants!$B$8,$BR286,IF(ISNUMBER($CE286),RANK($CE286,$CE$9:$CE$508,1),COUNT($CE$9:$CE$508)+1)))</f>
        <v/>
      </c>
      <c r="CG286" s="92" t="str">
        <f aca="false">IF(ISBLANK($C286),"",IF($BR286&lt;&gt;Constants!$B$8,$BR286,COUNTIFS($BX$9:$BX$508,"&lt;"&amp;$BX286)+COUNTIFS($BX$9:$BX$508,$BX286,$BZ$9:$BZ$508,"&lt;"&amp;$BZ286)+COUNTIFS($BX$9:$BX$508,$BX286,$BZ$9:$BZ$508,$BZ286,$CB$9:$CB$508,"&lt;"&amp;$CB286)+COUNTIFS($BX$9:$BX$508,$BX286,$BZ$9:$BZ$508,$BZ286,$CB$9:$CB$508,$CB286,$CD$9:$CD$508,"&lt;"&amp;$CD286)+COUNTIFS($BX$9:$BX$508,$BX286,$BZ$9:$BZ$508,$BZ286,$CB$9:$CB$508,$CB286,$CD$9:$CD$508,$CD286,$CF$9:$CF$508,"&lt;"&amp;$CF286)+1))</f>
        <v/>
      </c>
      <c r="CH286" s="92" t="str">
        <f aca="false">IF(ISBLANK($C286),"",IF($BR286&lt;&gt;Constants!$B$8,$BR286,$BX286-$CG286))</f>
        <v/>
      </c>
      <c r="CI286" s="98"/>
      <c r="CJ286" s="99"/>
      <c r="CK286" s="100" t="str">
        <f aca="false">IF(ISBLANK($C286),"",IF($BR286=Constants!$B$12,$BQ286,""))</f>
        <v/>
      </c>
      <c r="CL286" s="99" t="str">
        <f aca="false">IF(ISBLANK($C286),"",IF($BR286&lt;&gt;Constants!$B$8,"",IF($BI286="-&gt;",2,1)))</f>
        <v/>
      </c>
      <c r="CM286" s="101" t="str">
        <f aca="false">IF(ISBLANK($C286),"",IF($BR286&lt;&gt;Constants!$B$8,"",IF($BI286="-&gt;",$BK286,$BC286)))</f>
        <v/>
      </c>
      <c r="CN286" s="101" t="str">
        <f aca="false">IF(ISBLANK($C286),"",IF($BR286&lt;&gt;Constants!$B$8,"",IF($BI286="-&gt;",$BL286,$BD286)))</f>
        <v/>
      </c>
      <c r="CO286" s="101" t="str">
        <f aca="false">IF(ISBLANK($C286),"",IF($BR286&lt;&gt;Constants!$B$8,"",IF($BI286="-&gt;",$BM286+$BN286,$BE286+$BF286)+$BV286))</f>
        <v/>
      </c>
      <c r="CP286" s="101" t="str">
        <f aca="false">IF(ISBLANK($C286),"",IF($BR286&lt;&gt;Constants!$B$8,"",IF($BI286="-&gt;",$BO286,$BG286)+$BU286))</f>
        <v/>
      </c>
      <c r="CQ286" s="102" t="str">
        <f aca="false">IF(ISBLANK($C286),"",IF($BR286&lt;&gt;Constants!$B$8,$BR286,$BW286))</f>
        <v/>
      </c>
      <c r="CR286" s="103" t="str">
        <f aca="false">IF(ISBLANK($C286),"",$BS286)</f>
        <v/>
      </c>
      <c r="CS286" s="104" t="str">
        <f aca="false">IF(ISBLANK($C286),"",$CH286)</f>
        <v/>
      </c>
      <c r="CT286" s="104" t="str">
        <f aca="false">IF(ISBLANK($C286),"",$CG286)</f>
        <v/>
      </c>
      <c r="CU286" s="105" t="str">
        <f aca="false">IF(ISBLANK($C286),"",IFERROR(_xlfn.SWITCH($CT286,Constants!$B$11,COUNTA($C$9:$C$508)+2,Constants!$B$10,COUNTA($C$9:$C$508)+1,Constants!$B$9,COUNTA($C$9:$C$508)),$CT286))</f>
        <v/>
      </c>
      <c r="CV286" s="9"/>
      <c r="CW286" s="106" t="n">
        <f aca="false">IF(OR(ISNUMBER($CT286),$CT286=Constants!$B$11,$CT286=Constants!$B$9,$CT286=Constants!$B$10),1,0)</f>
        <v>0</v>
      </c>
      <c r="CX286" s="106" t="n">
        <v>278</v>
      </c>
      <c r="CY286" s="106" t="str">
        <f aca="false">IF(ISBLANK($C286),"",IF(ISNUMBER($CU286),$CU286+ROW($B286)/1000,""))</f>
        <v/>
      </c>
      <c r="CZ286" s="106" t="str">
        <f aca="false">IF(ISNUMBER($CY286),RANK($CY286,$CY$9:$CY$508,1),"")</f>
        <v/>
      </c>
      <c r="DA286" s="106" t="str">
        <f aca="false">IF(ISBLANK($C286),"",$B286)</f>
        <v/>
      </c>
      <c r="DB286" s="106" t="str">
        <f aca="false">IF(ISBLANK($C286),"",$C286)</f>
        <v/>
      </c>
      <c r="DC286" s="106" t="str">
        <f aca="false">IF(ISBLANK($C286),"",$D286)</f>
        <v/>
      </c>
      <c r="DD286" s="107" t="str">
        <f aca="false">$CR286</f>
        <v/>
      </c>
      <c r="DE286" s="108" t="str">
        <f aca="false">$CQ286</f>
        <v/>
      </c>
      <c r="DF286" s="106" t="str">
        <f aca="false">IF(ISBLANK($C286),"",$CT286)</f>
        <v/>
      </c>
      <c r="DG286" s="109" t="str">
        <f aca="false">IF($CX286&gt;$CW$8,"",VLOOKUP($CX286,$CZ$9:$DF$508,7,FALSE()))</f>
        <v/>
      </c>
      <c r="DH286" s="110" t="str">
        <f aca="false">IF($CX286&gt;$CW$8,"",VLOOKUP($CX286,$CZ$9:$DF$508,2,FALSE()))</f>
        <v/>
      </c>
      <c r="DI286" s="110" t="str">
        <f aca="false">IF($CX286&gt;$CW$8,"",VLOOKUP($CX286,$CZ$9:$DF$508,3,FALSE()))</f>
        <v/>
      </c>
      <c r="DJ286" s="110" t="str">
        <f aca="false">IF($CX286&gt;$CW$8,"",VLOOKUP($CX286,$CZ$9:$DF$508,4,FALSE()))</f>
        <v/>
      </c>
      <c r="DK286" s="110" t="str">
        <f aca="false">IF($CX286&gt;$CW$8,"",VLOOKUP($CX286,$CZ$9:$DF$508,5,FALSE()))</f>
        <v/>
      </c>
      <c r="DL286" s="111" t="str">
        <f aca="false">IF($CX286&gt;$CW$8,"",VLOOKUP($CX286,$CZ$9:$DF$508,6,FALSE()))</f>
        <v/>
      </c>
      <c r="DM286" s="75"/>
    </row>
    <row r="287" customFormat="false" ht="15.75" hidden="false" customHeight="false" outlineLevel="0" collapsed="false">
      <c r="A287" s="9"/>
      <c r="B287" s="77"/>
      <c r="C287" s="78"/>
      <c r="D287" s="167"/>
      <c r="E287" s="175"/>
      <c r="F287" s="169"/>
      <c r="G287" s="170"/>
      <c r="H287" s="170"/>
      <c r="I287" s="176"/>
      <c r="J287" s="173"/>
      <c r="K287" s="85"/>
      <c r="L287" s="86"/>
      <c r="M287" s="87"/>
      <c r="N287" s="173"/>
      <c r="O287" s="173"/>
      <c r="P287" s="175"/>
      <c r="Q287" s="173"/>
      <c r="R287" s="173"/>
      <c r="S287" s="85"/>
      <c r="T287" s="87"/>
      <c r="U287" s="87"/>
      <c r="V287" s="173"/>
      <c r="W287" s="173"/>
      <c r="X287" s="175"/>
      <c r="Y287" s="173"/>
      <c r="Z287" s="174"/>
      <c r="AA287" s="173"/>
      <c r="AB287" s="91"/>
      <c r="AC287" s="92"/>
      <c r="AD287" s="92"/>
      <c r="AE287" s="92"/>
      <c r="AF287" s="92" t="str">
        <f aca="false">IF(ISBLANK($C287),"",IF(E287=Constants!$B$3,TRUE(),IF(E287=Constants!$B$4,FALSE(),TRUE())))</f>
        <v/>
      </c>
      <c r="AG287" s="92" t="str">
        <f aca="false">IF(ISBLANK($C287),"",IF(F287=Constants!$B$3,TRUE(),IF(F287=Constants!$B$4,FALSE(),TRUE())))</f>
        <v/>
      </c>
      <c r="AH287" s="92" t="str">
        <f aca="false">IF(ISBLANK($C287),"",IF(G287=Constants!$B$3,TRUE(),IF(G287=Constants!$B$4,FALSE(),TRUE())))</f>
        <v/>
      </c>
      <c r="AI287" s="92" t="str">
        <f aca="false">IF(ISBLANK($C287),"",IF(AND(ISNUMBER(H287),H287&gt;=0),H287,Constants!$B$29))</f>
        <v/>
      </c>
      <c r="AJ287" s="92" t="str">
        <f aca="false">IF(ISBLANK($C287),"",IF(I287=Constants!$B$3,TRUE(),IF(I287=Constants!$B$4,FALSE(),TRUE())))</f>
        <v/>
      </c>
      <c r="AK287" s="92" t="str">
        <f aca="false">IF(ISBLANK($C287),"",IF(J287=Constants!$B$3,TRUE(),IF(J287=Constants!$B$4,FALSE(),TRUE())))</f>
        <v/>
      </c>
      <c r="AL287" s="92" t="str">
        <f aca="false">IF(ISBLANK($C287),"",IF(K287=Constants!$B$5,TRUE(),IF(K287=Constants!$B$6,FALSE(),COUNTA(L287:P287)&gt;0)))</f>
        <v/>
      </c>
      <c r="AM287" s="94" t="str">
        <f aca="false">IF(ISBLANK($C287),"",IF(ISNUMBER(L287),IF(L287&gt;=0,L287,""),""))</f>
        <v/>
      </c>
      <c r="AN287" s="93" t="str">
        <f aca="false">IF(ISBLANK($C287),"",IF(ISNUMBER(M287),IF(M287&gt;=0,M287,""),""))</f>
        <v/>
      </c>
      <c r="AO287" s="93" t="str">
        <f aca="false">IF(ISBLANK($C287),"",IF(N287=Constants!$B$3,TRUE(),IF(N287=Constants!$B$4,FALSE(),TRUE())))</f>
        <v/>
      </c>
      <c r="AP287" s="92" t="str">
        <f aca="false">IF(ISBLANK($C287),"",IF(ISNUMBER(O287),IF(O287&gt;=0,O287,""),""))</f>
        <v/>
      </c>
      <c r="AQ287" s="92" t="str">
        <f aca="false">IF(ISBLANK($C287),"",IF(P287=Constants!$B$3,TRUE(),IF(P287=Constants!$B$4,FALSE(),FALSE())))</f>
        <v/>
      </c>
      <c r="AR287" s="92" t="str">
        <f aca="false">IF(ISBLANK($C287),"",IF(Q287=Constants!$B$3,TRUE(),IF(Q287=Constants!$B$4,FALSE(),TRUE())))</f>
        <v/>
      </c>
      <c r="AS287" s="92" t="str">
        <f aca="false">IF(ISBLANK($C287),"",IF(R287=Constants!$B$3,TRUE(),IF(R287=Constants!$B$4,FALSE(),TRUE())))</f>
        <v/>
      </c>
      <c r="AT287" s="92" t="str">
        <f aca="false">IF(ISBLANK($C287),"",IF(S287=Constants!$B$5,TRUE(),IF(S287=Constants!$B$6,FALSE(),COUNTA(T287:X287)&gt;0)))</f>
        <v/>
      </c>
      <c r="AU287" s="94" t="str">
        <f aca="false">IF(ISBLANK($C287),"",IF(ISNUMBER(T287),IF(T287&gt;=0,T287,""),""))</f>
        <v/>
      </c>
      <c r="AV287" s="93" t="str">
        <f aca="false">IF(ISBLANK($C287),"",IF(ISNUMBER(U287),IF(U287&gt;=0,U287,""),""))</f>
        <v/>
      </c>
      <c r="AW287" s="93" t="str">
        <f aca="false">IF(ISBLANK($C287),"",IF(V287=Constants!$B$3,TRUE(),IF(V287=Constants!$B$4,FALSE(),TRUE())))</f>
        <v/>
      </c>
      <c r="AX287" s="92" t="str">
        <f aca="false">IF(ISBLANK($C287),"",IF(ISNUMBER(W287),IF(W287&gt;=0,W287,""),""))</f>
        <v/>
      </c>
      <c r="AY287" s="92" t="str">
        <f aca="false">IF(ISBLANK($C287),"",IF(X287=Constants!$B$3,TRUE(),IF(X287=Constants!$B$4,FALSE(),FALSE())))</f>
        <v/>
      </c>
      <c r="AZ287" s="92" t="str">
        <f aca="false">IF(ISBLANK($C287),"",MIN(Constants!$B$31,MAX(0,IF(ISNUMBER(Y287),Y287*60,0)+IF(ISNUMBER(Z287),Z287,0))))</f>
        <v/>
      </c>
      <c r="BA287" s="92" t="str">
        <f aca="false">IF(ISBLANK($C287),"",IF(AA287=Constants!$B$3,TRUE(),IF(AA287=Constants!$B$4,FALSE(),FALSE())))</f>
        <v/>
      </c>
      <c r="BB287" s="91" t="str">
        <f aca="false">IF(ISBLANK($C287),"",AND($AL287,OR($AM287="",$AN287="",AND($AO287,$AP287=""))))</f>
        <v/>
      </c>
      <c r="BC287" s="93" t="str">
        <f aca="false">IF($BR287&lt;&gt;Constants!$B$8,"",IF($AL287,Constants!$B$21*$AN287+Constants!$B$22*IF($AO287,$AP287,Constants!$B$23),Constants!$B$24))</f>
        <v/>
      </c>
      <c r="BD287" s="96" t="str">
        <f aca="false">IF($BR287&lt;&gt;Constants!$B$8,"",Constants!$B$25*ABS($AD$9-IF($AL287,$AM287,0)))</f>
        <v/>
      </c>
      <c r="BE287" s="96" t="str">
        <f aca="false">IF($BR287&lt;&gt;Constants!$B$8,"",IF(AND($AL287,$AQ287,$AO287),Constants!$B$27,0))</f>
        <v/>
      </c>
      <c r="BF287" s="96" t="str">
        <f aca="false">IF($BR287&lt;&gt;Constants!$B$8,"",IF($AL287,($AI287-Constants!$B$29)*Constants!$B$28,0))</f>
        <v/>
      </c>
      <c r="BG287" s="96" t="str">
        <f aca="false">IF($BR287&lt;&gt;Constants!$B$8,"",IF($AK287,0,Constants!$B$15)+IF($AJ287,0,Constants!$B$16)+IF($AH287,0,Constants!$B$17))</f>
        <v/>
      </c>
      <c r="BH287" s="97" t="str">
        <f aca="false">IF($BR287&lt;&gt;Constants!$B$8,"",Constants!$B$20+SUM($BC287:$BG287))</f>
        <v/>
      </c>
      <c r="BI287" s="92" t="str">
        <f aca="false">IF($BR287&lt;&gt;Constants!$B$8,"",IF(OR($BP287&lt;$BH287,AND($BP287=$BH287,OR($BK287&lt;$BC287,AND($BK287=$BC287,OR($BL287&lt;$BD287,AND($BL287=$BD287,$AT287,$AL287,$AV287&lt;$AN287)))))),"-&gt;","&lt;-"))</f>
        <v/>
      </c>
      <c r="BJ287" s="91" t="str">
        <f aca="false">IF(ISBLANK($C287),"",AND($AT287,OR($AU287="",$AV287="",AND($AW287,$AX287=""))))</f>
        <v/>
      </c>
      <c r="BK287" s="93" t="str">
        <f aca="false">IF($BR287&lt;&gt;Constants!$B$8,"",IF($AT287,Constants!$B$21*$AV287+Constants!$B$22*IF($AW287,$AX287,Constants!$B$23),Constants!$B$24))</f>
        <v/>
      </c>
      <c r="BL287" s="96" t="str">
        <f aca="false">IF($BR287&lt;&gt;Constants!$B$8,"",Constants!$B$25*ABS($AD$9-IF($AT287,$AU287,0)))</f>
        <v/>
      </c>
      <c r="BM287" s="96" t="str">
        <f aca="false">IF($BR287&lt;&gt;Constants!$B$8,"",IF(AND($AT287,$AY287,$AW287),Constants!$B$27,0))</f>
        <v/>
      </c>
      <c r="BN287" s="96" t="str">
        <f aca="false">IF($BR287&lt;&gt;Constants!$B$8,"",IF($AT287,($AI287-Constants!$B$29)*Constants!$B$28,0))</f>
        <v/>
      </c>
      <c r="BO287" s="96" t="str">
        <f aca="false">IF($BR287&lt;&gt;Constants!$B$8,"",IF($AS287,0,Constants!$B$15)+IF($AR287,0,Constants!$B$16)+IF($AH287,0,Constants!$B$17))</f>
        <v/>
      </c>
      <c r="BP287" s="97" t="str">
        <f aca="false">IF($BR287&lt;&gt;Constants!$B$8,"",Constants!$B$20+SUM($BK287:$BO287))</f>
        <v/>
      </c>
      <c r="BQ287" s="92" t="str">
        <f aca="false">IF(ISBLANK($C287),"",IF(ISBLANK($D$7),$BQ$5,IF(NOT(ISNUMBER($D$7)),$BQ$6,"")))</f>
        <v/>
      </c>
      <c r="BR287" s="92" t="str">
        <f aca="false">IF(ISBLANK($C287),"",IF($BA287,Constants!$B$11,IF(COUNTA($E287:$AA287)=0,Constants!$B$10,IF(NOT($AG287),Constants!$B$9,IF(OR($BQ287&lt;&gt;"",$BB287,$BJ287),Constants!$B$12,Constants!$B$8)))))</f>
        <v/>
      </c>
      <c r="BS287" s="92" t="str">
        <f aca="false">IF(ISBLANK($C287),"",IF($BR287&lt;&gt;Constants!$B$8,$BR287,Constants!$B$13))</f>
        <v/>
      </c>
      <c r="BT287" s="96" t="str">
        <f aca="false">IF($BR287&lt;&gt;Constants!$B$8,"",IF($BI287="-&gt;",$BP287,$BH287))</f>
        <v/>
      </c>
      <c r="BU287" s="96" t="str">
        <f aca="false">IF($BR287&lt;&gt;Constants!$B$8,"",IF($AF287,0,Constants!$B$18))</f>
        <v/>
      </c>
      <c r="BV287" s="96" t="str">
        <f aca="false">IF($BR287&lt;&gt;Constants!$B$8,"",((Constants!$B$31-$AZ287)-Constants!$B$31)/Constants!$B$32)</f>
        <v/>
      </c>
      <c r="BW287" s="96" t="str">
        <f aca="false">IF(ISBLANK($C287),"",IF($BR287&lt;&gt;Constants!$B$8,$BR287,SUM($BT287:$BV287)))</f>
        <v/>
      </c>
      <c r="BX287" s="92" t="str">
        <f aca="false">IF(ISBLANK($C287),"",IF($BR287&lt;&gt;Constants!$B$8,$BR287,RANK($BW287,$BW$9:$BW$508,1)))</f>
        <v/>
      </c>
      <c r="BY287" s="96" t="str">
        <f aca="false">IF($BR287&lt;&gt;Constants!$B$8,"",IF($BI287="-&gt;",$BK287,$BC287))</f>
        <v/>
      </c>
      <c r="BZ287" s="92" t="str">
        <f aca="false">IF(ISBLANK($C287),"",IF($BR287&lt;&gt;Constants!$B$8,$BR287,IF(ISNUMBER($BY287),RANK($BY287,$BY$9:$BY$508,1),COUNT($BY$9:$BY$508)+1)))</f>
        <v/>
      </c>
      <c r="CA287" s="96" t="str">
        <f aca="false">IF($BR287&lt;&gt;Constants!$B$8,"",IF($BI287="-&gt;",$BL287,$BD287))</f>
        <v/>
      </c>
      <c r="CB287" s="92" t="str">
        <f aca="false">IF(ISBLANK($C287),"",IF($BR287&lt;&gt;Constants!$B$8,$BR287,IF(ISNUMBER($CA287),RANK($CA287,$CA$9:$CA$508,1),COUNT($CA$9:$CA$508)+1)))</f>
        <v/>
      </c>
      <c r="CC287" s="96" t="str">
        <f aca="false">IF($BR287&lt;&gt;Constants!$B$8,"",IF($BI287="-&gt;",IF($AT287,$AV287,""),IF($AL287,$AN287,"")))</f>
        <v/>
      </c>
      <c r="CD287" s="92" t="str">
        <f aca="false">IF(ISBLANK($C287),"",IF($BR287&lt;&gt;Constants!$B$8,$BR287,IF(ISNUMBER($CC287),RANK($CC287,$CC$9:$CC$508,1),COUNT($CC$9:$CC$508)+1)))</f>
        <v/>
      </c>
      <c r="CE287" s="96" t="str">
        <f aca="false">IF($BR287&lt;&gt;Constants!$B$8,"",IF(AND(NOT($AL287),NOT($AT287),$AJ287,$AK287,$AR287,$AS287),"",$AI287))</f>
        <v/>
      </c>
      <c r="CF287" s="92" t="str">
        <f aca="false">IF(ISBLANK($C287),"",IF($BR287&lt;&gt;Constants!$B$8,$BR287,IF(ISNUMBER($CE287),RANK($CE287,$CE$9:$CE$508,1),COUNT($CE$9:$CE$508)+1)))</f>
        <v/>
      </c>
      <c r="CG287" s="92" t="str">
        <f aca="false">IF(ISBLANK($C287),"",IF($BR287&lt;&gt;Constants!$B$8,$BR287,COUNTIFS($BX$9:$BX$508,"&lt;"&amp;$BX287)+COUNTIFS($BX$9:$BX$508,$BX287,$BZ$9:$BZ$508,"&lt;"&amp;$BZ287)+COUNTIFS($BX$9:$BX$508,$BX287,$BZ$9:$BZ$508,$BZ287,$CB$9:$CB$508,"&lt;"&amp;$CB287)+COUNTIFS($BX$9:$BX$508,$BX287,$BZ$9:$BZ$508,$BZ287,$CB$9:$CB$508,$CB287,$CD$9:$CD$508,"&lt;"&amp;$CD287)+COUNTIFS($BX$9:$BX$508,$BX287,$BZ$9:$BZ$508,$BZ287,$CB$9:$CB$508,$CB287,$CD$9:$CD$508,$CD287,$CF$9:$CF$508,"&lt;"&amp;$CF287)+1))</f>
        <v/>
      </c>
      <c r="CH287" s="92" t="str">
        <f aca="false">IF(ISBLANK($C287),"",IF($BR287&lt;&gt;Constants!$B$8,$BR287,$BX287-$CG287))</f>
        <v/>
      </c>
      <c r="CI287" s="98"/>
      <c r="CJ287" s="99"/>
      <c r="CK287" s="100" t="str">
        <f aca="false">IF(ISBLANK($C287),"",IF($BR287=Constants!$B$12,$BQ287,""))</f>
        <v/>
      </c>
      <c r="CL287" s="99" t="str">
        <f aca="false">IF(ISBLANK($C287),"",IF($BR287&lt;&gt;Constants!$B$8,"",IF($BI287="-&gt;",2,1)))</f>
        <v/>
      </c>
      <c r="CM287" s="101" t="str">
        <f aca="false">IF(ISBLANK($C287),"",IF($BR287&lt;&gt;Constants!$B$8,"",IF($BI287="-&gt;",$BK287,$BC287)))</f>
        <v/>
      </c>
      <c r="CN287" s="101" t="str">
        <f aca="false">IF(ISBLANK($C287),"",IF($BR287&lt;&gt;Constants!$B$8,"",IF($BI287="-&gt;",$BL287,$BD287)))</f>
        <v/>
      </c>
      <c r="CO287" s="101" t="str">
        <f aca="false">IF(ISBLANK($C287),"",IF($BR287&lt;&gt;Constants!$B$8,"",IF($BI287="-&gt;",$BM287+$BN287,$BE287+$BF287)+$BV287))</f>
        <v/>
      </c>
      <c r="CP287" s="101" t="str">
        <f aca="false">IF(ISBLANK($C287),"",IF($BR287&lt;&gt;Constants!$B$8,"",IF($BI287="-&gt;",$BO287,$BG287)+$BU287))</f>
        <v/>
      </c>
      <c r="CQ287" s="102" t="str">
        <f aca="false">IF(ISBLANK($C287),"",IF($BR287&lt;&gt;Constants!$B$8,$BR287,$BW287))</f>
        <v/>
      </c>
      <c r="CR287" s="103" t="str">
        <f aca="false">IF(ISBLANK($C287),"",$BS287)</f>
        <v/>
      </c>
      <c r="CS287" s="104" t="str">
        <f aca="false">IF(ISBLANK($C287),"",$CH287)</f>
        <v/>
      </c>
      <c r="CT287" s="104" t="str">
        <f aca="false">IF(ISBLANK($C287),"",$CG287)</f>
        <v/>
      </c>
      <c r="CU287" s="105" t="str">
        <f aca="false">IF(ISBLANK($C287),"",IFERROR(_xlfn.SWITCH($CT287,Constants!$B$11,COUNTA($C$9:$C$508)+2,Constants!$B$10,COUNTA($C$9:$C$508)+1,Constants!$B$9,COUNTA($C$9:$C$508)),$CT287))</f>
        <v/>
      </c>
      <c r="CV287" s="9"/>
      <c r="CW287" s="106" t="n">
        <f aca="false">IF(OR(ISNUMBER($CT287),$CT287=Constants!$B$11,$CT287=Constants!$B$9,$CT287=Constants!$B$10),1,0)</f>
        <v>0</v>
      </c>
      <c r="CX287" s="106" t="n">
        <v>279</v>
      </c>
      <c r="CY287" s="106" t="str">
        <f aca="false">IF(ISBLANK($C287),"",IF(ISNUMBER($CU287),$CU287+ROW($B287)/1000,""))</f>
        <v/>
      </c>
      <c r="CZ287" s="106" t="str">
        <f aca="false">IF(ISNUMBER($CY287),RANK($CY287,$CY$9:$CY$508,1),"")</f>
        <v/>
      </c>
      <c r="DA287" s="106" t="str">
        <f aca="false">IF(ISBLANK($C287),"",$B287)</f>
        <v/>
      </c>
      <c r="DB287" s="106" t="str">
        <f aca="false">IF(ISBLANK($C287),"",$C287)</f>
        <v/>
      </c>
      <c r="DC287" s="106" t="str">
        <f aca="false">IF(ISBLANK($C287),"",$D287)</f>
        <v/>
      </c>
      <c r="DD287" s="107" t="str">
        <f aca="false">$CR287</f>
        <v/>
      </c>
      <c r="DE287" s="108" t="str">
        <f aca="false">$CQ287</f>
        <v/>
      </c>
      <c r="DF287" s="106" t="str">
        <f aca="false">IF(ISBLANK($C287),"",$CT287)</f>
        <v/>
      </c>
      <c r="DG287" s="109" t="str">
        <f aca="false">IF($CX287&gt;$CW$8,"",VLOOKUP($CX287,$CZ$9:$DF$508,7,FALSE()))</f>
        <v/>
      </c>
      <c r="DH287" s="110" t="str">
        <f aca="false">IF($CX287&gt;$CW$8,"",VLOOKUP($CX287,$CZ$9:$DF$508,2,FALSE()))</f>
        <v/>
      </c>
      <c r="DI287" s="110" t="str">
        <f aca="false">IF($CX287&gt;$CW$8,"",VLOOKUP($CX287,$CZ$9:$DF$508,3,FALSE()))</f>
        <v/>
      </c>
      <c r="DJ287" s="110" t="str">
        <f aca="false">IF($CX287&gt;$CW$8,"",VLOOKUP($CX287,$CZ$9:$DF$508,4,FALSE()))</f>
        <v/>
      </c>
      <c r="DK287" s="110" t="str">
        <f aca="false">IF($CX287&gt;$CW$8,"",VLOOKUP($CX287,$CZ$9:$DF$508,5,FALSE()))</f>
        <v/>
      </c>
      <c r="DL287" s="111" t="str">
        <f aca="false">IF($CX287&gt;$CW$8,"",VLOOKUP($CX287,$CZ$9:$DF$508,6,FALSE()))</f>
        <v/>
      </c>
      <c r="DM287" s="75"/>
    </row>
    <row r="288" customFormat="false" ht="15.75" hidden="false" customHeight="false" outlineLevel="0" collapsed="false">
      <c r="A288" s="9"/>
      <c r="B288" s="157"/>
      <c r="C288" s="158"/>
      <c r="D288" s="159"/>
      <c r="E288" s="177"/>
      <c r="F288" s="161"/>
      <c r="G288" s="162"/>
      <c r="H288" s="162"/>
      <c r="I288" s="178"/>
      <c r="J288" s="165"/>
      <c r="K288" s="126"/>
      <c r="L288" s="127"/>
      <c r="M288" s="128"/>
      <c r="N288" s="165"/>
      <c r="O288" s="165"/>
      <c r="P288" s="177"/>
      <c r="Q288" s="165"/>
      <c r="R288" s="165"/>
      <c r="S288" s="126"/>
      <c r="T288" s="128"/>
      <c r="U288" s="128"/>
      <c r="V288" s="165"/>
      <c r="W288" s="165"/>
      <c r="X288" s="177"/>
      <c r="Y288" s="165"/>
      <c r="Z288" s="166"/>
      <c r="AA288" s="165"/>
      <c r="AB288" s="132"/>
      <c r="AC288" s="133"/>
      <c r="AD288" s="133"/>
      <c r="AE288" s="133"/>
      <c r="AF288" s="133" t="str">
        <f aca="false">IF(ISBLANK($C288),"",IF(E288=Constants!$B$3,TRUE(),IF(E288=Constants!$B$4,FALSE(),TRUE())))</f>
        <v/>
      </c>
      <c r="AG288" s="133" t="str">
        <f aca="false">IF(ISBLANK($C288),"",IF(F288=Constants!$B$3,TRUE(),IF(F288=Constants!$B$4,FALSE(),TRUE())))</f>
        <v/>
      </c>
      <c r="AH288" s="133" t="str">
        <f aca="false">IF(ISBLANK($C288),"",IF(G288=Constants!$B$3,TRUE(),IF(G288=Constants!$B$4,FALSE(),TRUE())))</f>
        <v/>
      </c>
      <c r="AI288" s="133" t="str">
        <f aca="false">IF(ISBLANK($C288),"",IF(AND(ISNUMBER(H288),H288&gt;=0),H288,Constants!$B$29))</f>
        <v/>
      </c>
      <c r="AJ288" s="133" t="str">
        <f aca="false">IF(ISBLANK($C288),"",IF(I288=Constants!$B$3,TRUE(),IF(I288=Constants!$B$4,FALSE(),TRUE())))</f>
        <v/>
      </c>
      <c r="AK288" s="133" t="str">
        <f aca="false">IF(ISBLANK($C288),"",IF(J288=Constants!$B$3,TRUE(),IF(J288=Constants!$B$4,FALSE(),TRUE())))</f>
        <v/>
      </c>
      <c r="AL288" s="133" t="str">
        <f aca="false">IF(ISBLANK($C288),"",IF(K288=Constants!$B$5,TRUE(),IF(K288=Constants!$B$6,FALSE(),COUNTA(L288:P288)&gt;0)))</f>
        <v/>
      </c>
      <c r="AM288" s="134" t="str">
        <f aca="false">IF(ISBLANK($C288),"",IF(ISNUMBER(L288),IF(L288&gt;=0,L288,""),""))</f>
        <v/>
      </c>
      <c r="AN288" s="135" t="str">
        <f aca="false">IF(ISBLANK($C288),"",IF(ISNUMBER(M288),IF(M288&gt;=0,M288,""),""))</f>
        <v/>
      </c>
      <c r="AO288" s="135" t="str">
        <f aca="false">IF(ISBLANK($C288),"",IF(N288=Constants!$B$3,TRUE(),IF(N288=Constants!$B$4,FALSE(),TRUE())))</f>
        <v/>
      </c>
      <c r="AP288" s="133" t="str">
        <f aca="false">IF(ISBLANK($C288),"",IF(ISNUMBER(O288),IF(O288&gt;=0,O288,""),""))</f>
        <v/>
      </c>
      <c r="AQ288" s="133" t="str">
        <f aca="false">IF(ISBLANK($C288),"",IF(P288=Constants!$B$3,TRUE(),IF(P288=Constants!$B$4,FALSE(),FALSE())))</f>
        <v/>
      </c>
      <c r="AR288" s="133" t="str">
        <f aca="false">IF(ISBLANK($C288),"",IF(Q288=Constants!$B$3,TRUE(),IF(Q288=Constants!$B$4,FALSE(),TRUE())))</f>
        <v/>
      </c>
      <c r="AS288" s="133" t="str">
        <f aca="false">IF(ISBLANK($C288),"",IF(R288=Constants!$B$3,TRUE(),IF(R288=Constants!$B$4,FALSE(),TRUE())))</f>
        <v/>
      </c>
      <c r="AT288" s="133" t="str">
        <f aca="false">IF(ISBLANK($C288),"",IF(S288=Constants!$B$5,TRUE(),IF(S288=Constants!$B$6,FALSE(),COUNTA(T288:X288)&gt;0)))</f>
        <v/>
      </c>
      <c r="AU288" s="134" t="str">
        <f aca="false">IF(ISBLANK($C288),"",IF(ISNUMBER(T288),IF(T288&gt;=0,T288,""),""))</f>
        <v/>
      </c>
      <c r="AV288" s="135" t="str">
        <f aca="false">IF(ISBLANK($C288),"",IF(ISNUMBER(U288),IF(U288&gt;=0,U288,""),""))</f>
        <v/>
      </c>
      <c r="AW288" s="135" t="str">
        <f aca="false">IF(ISBLANK($C288),"",IF(V288=Constants!$B$3,TRUE(),IF(V288=Constants!$B$4,FALSE(),TRUE())))</f>
        <v/>
      </c>
      <c r="AX288" s="133" t="str">
        <f aca="false">IF(ISBLANK($C288),"",IF(ISNUMBER(W288),IF(W288&gt;=0,W288,""),""))</f>
        <v/>
      </c>
      <c r="AY288" s="133" t="str">
        <f aca="false">IF(ISBLANK($C288),"",IF(X288=Constants!$B$3,TRUE(),IF(X288=Constants!$B$4,FALSE(),FALSE())))</f>
        <v/>
      </c>
      <c r="AZ288" s="133" t="str">
        <f aca="false">IF(ISBLANK($C288),"",MIN(Constants!$B$31,MAX(0,IF(ISNUMBER(Y288),Y288*60,0)+IF(ISNUMBER(Z288),Z288,0))))</f>
        <v/>
      </c>
      <c r="BA288" s="133" t="str">
        <f aca="false">IF(ISBLANK($C288),"",IF(AA288=Constants!$B$3,TRUE(),IF(AA288=Constants!$B$4,FALSE(),FALSE())))</f>
        <v/>
      </c>
      <c r="BB288" s="132" t="str">
        <f aca="false">IF(ISBLANK($C288),"",AND($AL288,OR($AM288="",$AN288="",AND($AO288,$AP288=""))))</f>
        <v/>
      </c>
      <c r="BC288" s="135" t="str">
        <f aca="false">IF($BR288&lt;&gt;Constants!$B$8,"",IF($AL288,Constants!$B$21*$AN288+Constants!$B$22*IF($AO288,$AP288,Constants!$B$23),Constants!$B$24))</f>
        <v/>
      </c>
      <c r="BD288" s="136" t="str">
        <f aca="false">IF($BR288&lt;&gt;Constants!$B$8,"",Constants!$B$25*ABS($AD$9-IF($AL288,$AM288,0)))</f>
        <v/>
      </c>
      <c r="BE288" s="136" t="str">
        <f aca="false">IF($BR288&lt;&gt;Constants!$B$8,"",IF(AND($AL288,$AQ288,$AO288),Constants!$B$27,0))</f>
        <v/>
      </c>
      <c r="BF288" s="136" t="str">
        <f aca="false">IF($BR288&lt;&gt;Constants!$B$8,"",IF($AL288,($AI288-Constants!$B$29)*Constants!$B$28,0))</f>
        <v/>
      </c>
      <c r="BG288" s="136" t="str">
        <f aca="false">IF($BR288&lt;&gt;Constants!$B$8,"",IF($AK288,0,Constants!$B$15)+IF($AJ288,0,Constants!$B$16)+IF($AH288,0,Constants!$B$17))</f>
        <v/>
      </c>
      <c r="BH288" s="137" t="str">
        <f aca="false">IF($BR288&lt;&gt;Constants!$B$8,"",Constants!$B$20+SUM($BC288:$BG288))</f>
        <v/>
      </c>
      <c r="BI288" s="133" t="str">
        <f aca="false">IF($BR288&lt;&gt;Constants!$B$8,"",IF(OR($BP288&lt;$BH288,AND($BP288=$BH288,OR($BK288&lt;$BC288,AND($BK288=$BC288,OR($BL288&lt;$BD288,AND($BL288=$BD288,$AT288,$AL288,$AV288&lt;$AN288)))))),"-&gt;","&lt;-"))</f>
        <v/>
      </c>
      <c r="BJ288" s="132" t="str">
        <f aca="false">IF(ISBLANK($C288),"",AND($AT288,OR($AU288="",$AV288="",AND($AW288,$AX288=""))))</f>
        <v/>
      </c>
      <c r="BK288" s="135" t="str">
        <f aca="false">IF($BR288&lt;&gt;Constants!$B$8,"",IF($AT288,Constants!$B$21*$AV288+Constants!$B$22*IF($AW288,$AX288,Constants!$B$23),Constants!$B$24))</f>
        <v/>
      </c>
      <c r="BL288" s="136" t="str">
        <f aca="false">IF($BR288&lt;&gt;Constants!$B$8,"",Constants!$B$25*ABS($AD$9-IF($AT288,$AU288,0)))</f>
        <v/>
      </c>
      <c r="BM288" s="136" t="str">
        <f aca="false">IF($BR288&lt;&gt;Constants!$B$8,"",IF(AND($AT288,$AY288,$AW288),Constants!$B$27,0))</f>
        <v/>
      </c>
      <c r="BN288" s="136" t="str">
        <f aca="false">IF($BR288&lt;&gt;Constants!$B$8,"",IF($AT288,($AI288-Constants!$B$29)*Constants!$B$28,0))</f>
        <v/>
      </c>
      <c r="BO288" s="136" t="str">
        <f aca="false">IF($BR288&lt;&gt;Constants!$B$8,"",IF($AS288,0,Constants!$B$15)+IF($AR288,0,Constants!$B$16)+IF($AH288,0,Constants!$B$17))</f>
        <v/>
      </c>
      <c r="BP288" s="137" t="str">
        <f aca="false">IF($BR288&lt;&gt;Constants!$B$8,"",Constants!$B$20+SUM($BK288:$BO288))</f>
        <v/>
      </c>
      <c r="BQ288" s="133" t="str">
        <f aca="false">IF(ISBLANK($C288),"",IF(ISBLANK($D$7),$BQ$5,IF(NOT(ISNUMBER($D$7)),$BQ$6,"")))</f>
        <v/>
      </c>
      <c r="BR288" s="133" t="str">
        <f aca="false">IF(ISBLANK($C288),"",IF($BA288,Constants!$B$11,IF(COUNTA($E288:$AA288)=0,Constants!$B$10,IF(NOT($AG288),Constants!$B$9,IF(OR($BQ288&lt;&gt;"",$BB288,$BJ288),Constants!$B$12,Constants!$B$8)))))</f>
        <v/>
      </c>
      <c r="BS288" s="133" t="str">
        <f aca="false">IF(ISBLANK($C288),"",IF($BR288&lt;&gt;Constants!$B$8,$BR288,Constants!$B$13))</f>
        <v/>
      </c>
      <c r="BT288" s="136" t="str">
        <f aca="false">IF($BR288&lt;&gt;Constants!$B$8,"",IF($BI288="-&gt;",$BP288,$BH288))</f>
        <v/>
      </c>
      <c r="BU288" s="136" t="str">
        <f aca="false">IF($BR288&lt;&gt;Constants!$B$8,"",IF($AF288,0,Constants!$B$18))</f>
        <v/>
      </c>
      <c r="BV288" s="136" t="str">
        <f aca="false">IF($BR288&lt;&gt;Constants!$B$8,"",((Constants!$B$31-$AZ288)-Constants!$B$31)/Constants!$B$32)</f>
        <v/>
      </c>
      <c r="BW288" s="136" t="str">
        <f aca="false">IF(ISBLANK($C288),"",IF($BR288&lt;&gt;Constants!$B$8,$BR288,SUM($BT288:$BV288)))</f>
        <v/>
      </c>
      <c r="BX288" s="133" t="str">
        <f aca="false">IF(ISBLANK($C288),"",IF($BR288&lt;&gt;Constants!$B$8,$BR288,RANK($BW288,$BW$9:$BW$508,1)))</f>
        <v/>
      </c>
      <c r="BY288" s="136" t="str">
        <f aca="false">IF($BR288&lt;&gt;Constants!$B$8,"",IF($BI288="-&gt;",$BK288,$BC288))</f>
        <v/>
      </c>
      <c r="BZ288" s="133" t="str">
        <f aca="false">IF(ISBLANK($C288),"",IF($BR288&lt;&gt;Constants!$B$8,$BR288,IF(ISNUMBER($BY288),RANK($BY288,$BY$9:$BY$508,1),COUNT($BY$9:$BY$508)+1)))</f>
        <v/>
      </c>
      <c r="CA288" s="136" t="str">
        <f aca="false">IF($BR288&lt;&gt;Constants!$B$8,"",IF($BI288="-&gt;",$BL288,$BD288))</f>
        <v/>
      </c>
      <c r="CB288" s="133" t="str">
        <f aca="false">IF(ISBLANK($C288),"",IF($BR288&lt;&gt;Constants!$B$8,$BR288,IF(ISNUMBER($CA288),RANK($CA288,$CA$9:$CA$508,1),COUNT($CA$9:$CA$508)+1)))</f>
        <v/>
      </c>
      <c r="CC288" s="136" t="str">
        <f aca="false">IF($BR288&lt;&gt;Constants!$B$8,"",IF($BI288="-&gt;",IF($AT288,$AV288,""),IF($AL288,$AN288,"")))</f>
        <v/>
      </c>
      <c r="CD288" s="133" t="str">
        <f aca="false">IF(ISBLANK($C288),"",IF($BR288&lt;&gt;Constants!$B$8,$BR288,IF(ISNUMBER($CC288),RANK($CC288,$CC$9:$CC$508,1),COUNT($CC$9:$CC$508)+1)))</f>
        <v/>
      </c>
      <c r="CE288" s="136" t="str">
        <f aca="false">IF($BR288&lt;&gt;Constants!$B$8,"",IF(AND(NOT($AL288),NOT($AT288),$AJ288,$AK288,$AR288,$AS288),"",$AI288))</f>
        <v/>
      </c>
      <c r="CF288" s="133" t="str">
        <f aca="false">IF(ISBLANK($C288),"",IF($BR288&lt;&gt;Constants!$B$8,$BR288,IF(ISNUMBER($CE288),RANK($CE288,$CE$9:$CE$508,1),COUNT($CE$9:$CE$508)+1)))</f>
        <v/>
      </c>
      <c r="CG288" s="133" t="str">
        <f aca="false">IF(ISBLANK($C288),"",IF($BR288&lt;&gt;Constants!$B$8,$BR288,COUNTIFS($BX$9:$BX$508,"&lt;"&amp;$BX288)+COUNTIFS($BX$9:$BX$508,$BX288,$BZ$9:$BZ$508,"&lt;"&amp;$BZ288)+COUNTIFS($BX$9:$BX$508,$BX288,$BZ$9:$BZ$508,$BZ288,$CB$9:$CB$508,"&lt;"&amp;$CB288)+COUNTIFS($BX$9:$BX$508,$BX288,$BZ$9:$BZ$508,$BZ288,$CB$9:$CB$508,$CB288,$CD$9:$CD$508,"&lt;"&amp;$CD288)+COUNTIFS($BX$9:$BX$508,$BX288,$BZ$9:$BZ$508,$BZ288,$CB$9:$CB$508,$CB288,$CD$9:$CD$508,$CD288,$CF$9:$CF$508,"&lt;"&amp;$CF288)+1))</f>
        <v/>
      </c>
      <c r="CH288" s="133" t="str">
        <f aca="false">IF(ISBLANK($C288),"",IF($BR288&lt;&gt;Constants!$B$8,$BR288,$BX288-$CG288))</f>
        <v/>
      </c>
      <c r="CI288" s="138"/>
      <c r="CJ288" s="139"/>
      <c r="CK288" s="140" t="str">
        <f aca="false">IF(ISBLANK($C288),"",IF($BR288=Constants!$B$12,$BQ288,""))</f>
        <v/>
      </c>
      <c r="CL288" s="139" t="str">
        <f aca="false">IF(ISBLANK($C288),"",IF($BR288&lt;&gt;Constants!$B$8,"",IF($BI288="-&gt;",2,1)))</f>
        <v/>
      </c>
      <c r="CM288" s="141" t="str">
        <f aca="false">IF(ISBLANK($C288),"",IF($BR288&lt;&gt;Constants!$B$8,"",IF($BI288="-&gt;",$BK288,$BC288)))</f>
        <v/>
      </c>
      <c r="CN288" s="141" t="str">
        <f aca="false">IF(ISBLANK($C288),"",IF($BR288&lt;&gt;Constants!$B$8,"",IF($BI288="-&gt;",$BL288,$BD288)))</f>
        <v/>
      </c>
      <c r="CO288" s="141" t="str">
        <f aca="false">IF(ISBLANK($C288),"",IF($BR288&lt;&gt;Constants!$B$8,"",IF($BI288="-&gt;",$BM288+$BN288,$BE288+$BF288)+$BV288))</f>
        <v/>
      </c>
      <c r="CP288" s="141" t="str">
        <f aca="false">IF(ISBLANK($C288),"",IF($BR288&lt;&gt;Constants!$B$8,"",IF($BI288="-&gt;",$BO288,$BG288)+$BU288))</f>
        <v/>
      </c>
      <c r="CQ288" s="142" t="str">
        <f aca="false">IF(ISBLANK($C288),"",IF($BR288&lt;&gt;Constants!$B$8,$BR288,$BW288))</f>
        <v/>
      </c>
      <c r="CR288" s="143" t="str">
        <f aca="false">IF(ISBLANK($C288),"",$BS288)</f>
        <v/>
      </c>
      <c r="CS288" s="144" t="str">
        <f aca="false">IF(ISBLANK($C288),"",$CH288)</f>
        <v/>
      </c>
      <c r="CT288" s="144" t="str">
        <f aca="false">IF(ISBLANK($C288),"",$CG288)</f>
        <v/>
      </c>
      <c r="CU288" s="145" t="str">
        <f aca="false">IF(ISBLANK($C288),"",IFERROR(_xlfn.SWITCH($CT288,Constants!$B$11,COUNTA($C$9:$C$508)+2,Constants!$B$10,COUNTA($C$9:$C$508)+1,Constants!$B$9,COUNTA($C$9:$C$508)),$CT288))</f>
        <v/>
      </c>
      <c r="CV288" s="9"/>
      <c r="CW288" s="146" t="n">
        <f aca="false">IF(OR(ISNUMBER($CT288),$CT288=Constants!$B$11,$CT288=Constants!$B$9,$CT288=Constants!$B$10),1,0)</f>
        <v>0</v>
      </c>
      <c r="CX288" s="146" t="n">
        <v>280</v>
      </c>
      <c r="CY288" s="146" t="str">
        <f aca="false">IF(ISBLANK($C288),"",IF(ISNUMBER($CU288),$CU288+ROW($B288)/1000,""))</f>
        <v/>
      </c>
      <c r="CZ288" s="146" t="str">
        <f aca="false">IF(ISNUMBER($CY288),RANK($CY288,$CY$9:$CY$508,1),"")</f>
        <v/>
      </c>
      <c r="DA288" s="146" t="str">
        <f aca="false">IF(ISBLANK($C288),"",$B288)</f>
        <v/>
      </c>
      <c r="DB288" s="146" t="str">
        <f aca="false">IF(ISBLANK($C288),"",$C288)</f>
        <v/>
      </c>
      <c r="DC288" s="146" t="str">
        <f aca="false">IF(ISBLANK($C288),"",$D288)</f>
        <v/>
      </c>
      <c r="DD288" s="147" t="str">
        <f aca="false">$CR288</f>
        <v/>
      </c>
      <c r="DE288" s="148" t="str">
        <f aca="false">$CQ288</f>
        <v/>
      </c>
      <c r="DF288" s="146" t="str">
        <f aca="false">IF(ISBLANK($C288),"",$CT288)</f>
        <v/>
      </c>
      <c r="DG288" s="149" t="str">
        <f aca="false">IF($CX288&gt;$CW$8,"",VLOOKUP($CX288,$CZ$9:$DF$508,7,FALSE()))</f>
        <v/>
      </c>
      <c r="DH288" s="150" t="str">
        <f aca="false">IF($CX288&gt;$CW$8,"",VLOOKUP($CX288,$CZ$9:$DF$508,2,FALSE()))</f>
        <v/>
      </c>
      <c r="DI288" s="150" t="str">
        <f aca="false">IF($CX288&gt;$CW$8,"",VLOOKUP($CX288,$CZ$9:$DF$508,3,FALSE()))</f>
        <v/>
      </c>
      <c r="DJ288" s="150" t="str">
        <f aca="false">IF($CX288&gt;$CW$8,"",VLOOKUP($CX288,$CZ$9:$DF$508,4,FALSE()))</f>
        <v/>
      </c>
      <c r="DK288" s="150" t="str">
        <f aca="false">IF($CX288&gt;$CW$8,"",VLOOKUP($CX288,$CZ$9:$DF$508,5,FALSE()))</f>
        <v/>
      </c>
      <c r="DL288" s="151" t="str">
        <f aca="false">IF($CX288&gt;$CW$8,"",VLOOKUP($CX288,$CZ$9:$DF$508,6,FALSE()))</f>
        <v/>
      </c>
      <c r="DM288" s="75"/>
    </row>
    <row r="289" customFormat="false" ht="15.75" hidden="false" customHeight="false" outlineLevel="0" collapsed="false">
      <c r="A289" s="9"/>
      <c r="B289" s="157"/>
      <c r="C289" s="158"/>
      <c r="D289" s="159"/>
      <c r="E289" s="177"/>
      <c r="F289" s="161"/>
      <c r="G289" s="162"/>
      <c r="H289" s="162"/>
      <c r="I289" s="178"/>
      <c r="J289" s="165"/>
      <c r="K289" s="126"/>
      <c r="L289" s="127"/>
      <c r="M289" s="128"/>
      <c r="N289" s="165"/>
      <c r="O289" s="165"/>
      <c r="P289" s="177"/>
      <c r="Q289" s="165"/>
      <c r="R289" s="165"/>
      <c r="S289" s="126"/>
      <c r="T289" s="128"/>
      <c r="U289" s="128"/>
      <c r="V289" s="165"/>
      <c r="W289" s="165"/>
      <c r="X289" s="177"/>
      <c r="Y289" s="165"/>
      <c r="Z289" s="166"/>
      <c r="AA289" s="165"/>
      <c r="AB289" s="132"/>
      <c r="AC289" s="133"/>
      <c r="AD289" s="133"/>
      <c r="AE289" s="133"/>
      <c r="AF289" s="133" t="str">
        <f aca="false">IF(ISBLANK($C289),"",IF(E289=Constants!$B$3,TRUE(),IF(E289=Constants!$B$4,FALSE(),TRUE())))</f>
        <v/>
      </c>
      <c r="AG289" s="133" t="str">
        <f aca="false">IF(ISBLANK($C289),"",IF(F289=Constants!$B$3,TRUE(),IF(F289=Constants!$B$4,FALSE(),TRUE())))</f>
        <v/>
      </c>
      <c r="AH289" s="133" t="str">
        <f aca="false">IF(ISBLANK($C289),"",IF(G289=Constants!$B$3,TRUE(),IF(G289=Constants!$B$4,FALSE(),TRUE())))</f>
        <v/>
      </c>
      <c r="AI289" s="133" t="str">
        <f aca="false">IF(ISBLANK($C289),"",IF(AND(ISNUMBER(H289),H289&gt;=0),H289,Constants!$B$29))</f>
        <v/>
      </c>
      <c r="AJ289" s="133" t="str">
        <f aca="false">IF(ISBLANK($C289),"",IF(I289=Constants!$B$3,TRUE(),IF(I289=Constants!$B$4,FALSE(),TRUE())))</f>
        <v/>
      </c>
      <c r="AK289" s="133" t="str">
        <f aca="false">IF(ISBLANK($C289),"",IF(J289=Constants!$B$3,TRUE(),IF(J289=Constants!$B$4,FALSE(),TRUE())))</f>
        <v/>
      </c>
      <c r="AL289" s="133" t="str">
        <f aca="false">IF(ISBLANK($C289),"",IF(K289=Constants!$B$5,TRUE(),IF(K289=Constants!$B$6,FALSE(),COUNTA(L289:P289)&gt;0)))</f>
        <v/>
      </c>
      <c r="AM289" s="134" t="str">
        <f aca="false">IF(ISBLANK($C289),"",IF(ISNUMBER(L289),IF(L289&gt;=0,L289,""),""))</f>
        <v/>
      </c>
      <c r="AN289" s="135" t="str">
        <f aca="false">IF(ISBLANK($C289),"",IF(ISNUMBER(M289),IF(M289&gt;=0,M289,""),""))</f>
        <v/>
      </c>
      <c r="AO289" s="135" t="str">
        <f aca="false">IF(ISBLANK($C289),"",IF(N289=Constants!$B$3,TRUE(),IF(N289=Constants!$B$4,FALSE(),TRUE())))</f>
        <v/>
      </c>
      <c r="AP289" s="133" t="str">
        <f aca="false">IF(ISBLANK($C289),"",IF(ISNUMBER(O289),IF(O289&gt;=0,O289,""),""))</f>
        <v/>
      </c>
      <c r="AQ289" s="133" t="str">
        <f aca="false">IF(ISBLANK($C289),"",IF(P289=Constants!$B$3,TRUE(),IF(P289=Constants!$B$4,FALSE(),FALSE())))</f>
        <v/>
      </c>
      <c r="AR289" s="133" t="str">
        <f aca="false">IF(ISBLANK($C289),"",IF(Q289=Constants!$B$3,TRUE(),IF(Q289=Constants!$B$4,FALSE(),TRUE())))</f>
        <v/>
      </c>
      <c r="AS289" s="133" t="str">
        <f aca="false">IF(ISBLANK($C289),"",IF(R289=Constants!$B$3,TRUE(),IF(R289=Constants!$B$4,FALSE(),TRUE())))</f>
        <v/>
      </c>
      <c r="AT289" s="133" t="str">
        <f aca="false">IF(ISBLANK($C289),"",IF(S289=Constants!$B$5,TRUE(),IF(S289=Constants!$B$6,FALSE(),COUNTA(T289:X289)&gt;0)))</f>
        <v/>
      </c>
      <c r="AU289" s="134" t="str">
        <f aca="false">IF(ISBLANK($C289),"",IF(ISNUMBER(T289),IF(T289&gt;=0,T289,""),""))</f>
        <v/>
      </c>
      <c r="AV289" s="135" t="str">
        <f aca="false">IF(ISBLANK($C289),"",IF(ISNUMBER(U289),IF(U289&gt;=0,U289,""),""))</f>
        <v/>
      </c>
      <c r="AW289" s="135" t="str">
        <f aca="false">IF(ISBLANK($C289),"",IF(V289=Constants!$B$3,TRUE(),IF(V289=Constants!$B$4,FALSE(),TRUE())))</f>
        <v/>
      </c>
      <c r="AX289" s="133" t="str">
        <f aca="false">IF(ISBLANK($C289),"",IF(ISNUMBER(W289),IF(W289&gt;=0,W289,""),""))</f>
        <v/>
      </c>
      <c r="AY289" s="133" t="str">
        <f aca="false">IF(ISBLANK($C289),"",IF(X289=Constants!$B$3,TRUE(),IF(X289=Constants!$B$4,FALSE(),FALSE())))</f>
        <v/>
      </c>
      <c r="AZ289" s="133" t="str">
        <f aca="false">IF(ISBLANK($C289),"",MIN(Constants!$B$31,MAX(0,IF(ISNUMBER(Y289),Y289*60,0)+IF(ISNUMBER(Z289),Z289,0))))</f>
        <v/>
      </c>
      <c r="BA289" s="133" t="str">
        <f aca="false">IF(ISBLANK($C289),"",IF(AA289=Constants!$B$3,TRUE(),IF(AA289=Constants!$B$4,FALSE(),FALSE())))</f>
        <v/>
      </c>
      <c r="BB289" s="132" t="str">
        <f aca="false">IF(ISBLANK($C289),"",AND($AL289,OR($AM289="",$AN289="",AND($AO289,$AP289=""))))</f>
        <v/>
      </c>
      <c r="BC289" s="135" t="str">
        <f aca="false">IF($BR289&lt;&gt;Constants!$B$8,"",IF($AL289,Constants!$B$21*$AN289+Constants!$B$22*IF($AO289,$AP289,Constants!$B$23),Constants!$B$24))</f>
        <v/>
      </c>
      <c r="BD289" s="136" t="str">
        <f aca="false">IF($BR289&lt;&gt;Constants!$B$8,"",Constants!$B$25*ABS($AD$9-IF($AL289,$AM289,0)))</f>
        <v/>
      </c>
      <c r="BE289" s="136" t="str">
        <f aca="false">IF($BR289&lt;&gt;Constants!$B$8,"",IF(AND($AL289,$AQ289,$AO289),Constants!$B$27,0))</f>
        <v/>
      </c>
      <c r="BF289" s="136" t="str">
        <f aca="false">IF($BR289&lt;&gt;Constants!$B$8,"",IF($AL289,($AI289-Constants!$B$29)*Constants!$B$28,0))</f>
        <v/>
      </c>
      <c r="BG289" s="136" t="str">
        <f aca="false">IF($BR289&lt;&gt;Constants!$B$8,"",IF($AK289,0,Constants!$B$15)+IF($AJ289,0,Constants!$B$16)+IF($AH289,0,Constants!$B$17))</f>
        <v/>
      </c>
      <c r="BH289" s="137" t="str">
        <f aca="false">IF($BR289&lt;&gt;Constants!$B$8,"",Constants!$B$20+SUM($BC289:$BG289))</f>
        <v/>
      </c>
      <c r="BI289" s="133" t="str">
        <f aca="false">IF($BR289&lt;&gt;Constants!$B$8,"",IF(OR($BP289&lt;$BH289,AND($BP289=$BH289,OR($BK289&lt;$BC289,AND($BK289=$BC289,OR($BL289&lt;$BD289,AND($BL289=$BD289,$AT289,$AL289,$AV289&lt;$AN289)))))),"-&gt;","&lt;-"))</f>
        <v/>
      </c>
      <c r="BJ289" s="132" t="str">
        <f aca="false">IF(ISBLANK($C289),"",AND($AT289,OR($AU289="",$AV289="",AND($AW289,$AX289=""))))</f>
        <v/>
      </c>
      <c r="BK289" s="135" t="str">
        <f aca="false">IF($BR289&lt;&gt;Constants!$B$8,"",IF($AT289,Constants!$B$21*$AV289+Constants!$B$22*IF($AW289,$AX289,Constants!$B$23),Constants!$B$24))</f>
        <v/>
      </c>
      <c r="BL289" s="136" t="str">
        <f aca="false">IF($BR289&lt;&gt;Constants!$B$8,"",Constants!$B$25*ABS($AD$9-IF($AT289,$AU289,0)))</f>
        <v/>
      </c>
      <c r="BM289" s="136" t="str">
        <f aca="false">IF($BR289&lt;&gt;Constants!$B$8,"",IF(AND($AT289,$AY289,$AW289),Constants!$B$27,0))</f>
        <v/>
      </c>
      <c r="BN289" s="136" t="str">
        <f aca="false">IF($BR289&lt;&gt;Constants!$B$8,"",IF($AT289,($AI289-Constants!$B$29)*Constants!$B$28,0))</f>
        <v/>
      </c>
      <c r="BO289" s="136" t="str">
        <f aca="false">IF($BR289&lt;&gt;Constants!$B$8,"",IF($AS289,0,Constants!$B$15)+IF($AR289,0,Constants!$B$16)+IF($AH289,0,Constants!$B$17))</f>
        <v/>
      </c>
      <c r="BP289" s="137" t="str">
        <f aca="false">IF($BR289&lt;&gt;Constants!$B$8,"",Constants!$B$20+SUM($BK289:$BO289))</f>
        <v/>
      </c>
      <c r="BQ289" s="133" t="str">
        <f aca="false">IF(ISBLANK($C289),"",IF(ISBLANK($D$7),$BQ$5,IF(NOT(ISNUMBER($D$7)),$BQ$6,"")))</f>
        <v/>
      </c>
      <c r="BR289" s="133" t="str">
        <f aca="false">IF(ISBLANK($C289),"",IF($BA289,Constants!$B$11,IF(COUNTA($E289:$AA289)=0,Constants!$B$10,IF(NOT($AG289),Constants!$B$9,IF(OR($BQ289&lt;&gt;"",$BB289,$BJ289),Constants!$B$12,Constants!$B$8)))))</f>
        <v/>
      </c>
      <c r="BS289" s="133" t="str">
        <f aca="false">IF(ISBLANK($C289),"",IF($BR289&lt;&gt;Constants!$B$8,$BR289,Constants!$B$13))</f>
        <v/>
      </c>
      <c r="BT289" s="136" t="str">
        <f aca="false">IF($BR289&lt;&gt;Constants!$B$8,"",IF($BI289="-&gt;",$BP289,$BH289))</f>
        <v/>
      </c>
      <c r="BU289" s="136" t="str">
        <f aca="false">IF($BR289&lt;&gt;Constants!$B$8,"",IF($AF289,0,Constants!$B$18))</f>
        <v/>
      </c>
      <c r="BV289" s="136" t="str">
        <f aca="false">IF($BR289&lt;&gt;Constants!$B$8,"",((Constants!$B$31-$AZ289)-Constants!$B$31)/Constants!$B$32)</f>
        <v/>
      </c>
      <c r="BW289" s="136" t="str">
        <f aca="false">IF(ISBLANK($C289),"",IF($BR289&lt;&gt;Constants!$B$8,$BR289,SUM($BT289:$BV289)))</f>
        <v/>
      </c>
      <c r="BX289" s="133" t="str">
        <f aca="false">IF(ISBLANK($C289),"",IF($BR289&lt;&gt;Constants!$B$8,$BR289,RANK($BW289,$BW$9:$BW$508,1)))</f>
        <v/>
      </c>
      <c r="BY289" s="136" t="str">
        <f aca="false">IF($BR289&lt;&gt;Constants!$B$8,"",IF($BI289="-&gt;",$BK289,$BC289))</f>
        <v/>
      </c>
      <c r="BZ289" s="133" t="str">
        <f aca="false">IF(ISBLANK($C289),"",IF($BR289&lt;&gt;Constants!$B$8,$BR289,IF(ISNUMBER($BY289),RANK($BY289,$BY$9:$BY$508,1),COUNT($BY$9:$BY$508)+1)))</f>
        <v/>
      </c>
      <c r="CA289" s="136" t="str">
        <f aca="false">IF($BR289&lt;&gt;Constants!$B$8,"",IF($BI289="-&gt;",$BL289,$BD289))</f>
        <v/>
      </c>
      <c r="CB289" s="133" t="str">
        <f aca="false">IF(ISBLANK($C289),"",IF($BR289&lt;&gt;Constants!$B$8,$BR289,IF(ISNUMBER($CA289),RANK($CA289,$CA$9:$CA$508,1),COUNT($CA$9:$CA$508)+1)))</f>
        <v/>
      </c>
      <c r="CC289" s="136" t="str">
        <f aca="false">IF($BR289&lt;&gt;Constants!$B$8,"",IF($BI289="-&gt;",IF($AT289,$AV289,""),IF($AL289,$AN289,"")))</f>
        <v/>
      </c>
      <c r="CD289" s="133" t="str">
        <f aca="false">IF(ISBLANK($C289),"",IF($BR289&lt;&gt;Constants!$B$8,$BR289,IF(ISNUMBER($CC289),RANK($CC289,$CC$9:$CC$508,1),COUNT($CC$9:$CC$508)+1)))</f>
        <v/>
      </c>
      <c r="CE289" s="136" t="str">
        <f aca="false">IF($BR289&lt;&gt;Constants!$B$8,"",IF(AND(NOT($AL289),NOT($AT289),$AJ289,$AK289,$AR289,$AS289),"",$AI289))</f>
        <v/>
      </c>
      <c r="CF289" s="133" t="str">
        <f aca="false">IF(ISBLANK($C289),"",IF($BR289&lt;&gt;Constants!$B$8,$BR289,IF(ISNUMBER($CE289),RANK($CE289,$CE$9:$CE$508,1),COUNT($CE$9:$CE$508)+1)))</f>
        <v/>
      </c>
      <c r="CG289" s="133" t="str">
        <f aca="false">IF(ISBLANK($C289),"",IF($BR289&lt;&gt;Constants!$B$8,$BR289,COUNTIFS($BX$9:$BX$508,"&lt;"&amp;$BX289)+COUNTIFS($BX$9:$BX$508,$BX289,$BZ$9:$BZ$508,"&lt;"&amp;$BZ289)+COUNTIFS($BX$9:$BX$508,$BX289,$BZ$9:$BZ$508,$BZ289,$CB$9:$CB$508,"&lt;"&amp;$CB289)+COUNTIFS($BX$9:$BX$508,$BX289,$BZ$9:$BZ$508,$BZ289,$CB$9:$CB$508,$CB289,$CD$9:$CD$508,"&lt;"&amp;$CD289)+COUNTIFS($BX$9:$BX$508,$BX289,$BZ$9:$BZ$508,$BZ289,$CB$9:$CB$508,$CB289,$CD$9:$CD$508,$CD289,$CF$9:$CF$508,"&lt;"&amp;$CF289)+1))</f>
        <v/>
      </c>
      <c r="CH289" s="133" t="str">
        <f aca="false">IF(ISBLANK($C289),"",IF($BR289&lt;&gt;Constants!$B$8,$BR289,$BX289-$CG289))</f>
        <v/>
      </c>
      <c r="CI289" s="138"/>
      <c r="CJ289" s="139"/>
      <c r="CK289" s="140" t="str">
        <f aca="false">IF(ISBLANK($C289),"",IF($BR289=Constants!$B$12,$BQ289,""))</f>
        <v/>
      </c>
      <c r="CL289" s="139" t="str">
        <f aca="false">IF(ISBLANK($C289),"",IF($BR289&lt;&gt;Constants!$B$8,"",IF($BI289="-&gt;",2,1)))</f>
        <v/>
      </c>
      <c r="CM289" s="141" t="str">
        <f aca="false">IF(ISBLANK($C289),"",IF($BR289&lt;&gt;Constants!$B$8,"",IF($BI289="-&gt;",$BK289,$BC289)))</f>
        <v/>
      </c>
      <c r="CN289" s="141" t="str">
        <f aca="false">IF(ISBLANK($C289),"",IF($BR289&lt;&gt;Constants!$B$8,"",IF($BI289="-&gt;",$BL289,$BD289)))</f>
        <v/>
      </c>
      <c r="CO289" s="141" t="str">
        <f aca="false">IF(ISBLANK($C289),"",IF($BR289&lt;&gt;Constants!$B$8,"",IF($BI289="-&gt;",$BM289+$BN289,$BE289+$BF289)+$BV289))</f>
        <v/>
      </c>
      <c r="CP289" s="141" t="str">
        <f aca="false">IF(ISBLANK($C289),"",IF($BR289&lt;&gt;Constants!$B$8,"",IF($BI289="-&gt;",$BO289,$BG289)+$BU289))</f>
        <v/>
      </c>
      <c r="CQ289" s="142" t="str">
        <f aca="false">IF(ISBLANK($C289),"",IF($BR289&lt;&gt;Constants!$B$8,$BR289,$BW289))</f>
        <v/>
      </c>
      <c r="CR289" s="143" t="str">
        <f aca="false">IF(ISBLANK($C289),"",$BS289)</f>
        <v/>
      </c>
      <c r="CS289" s="144" t="str">
        <f aca="false">IF(ISBLANK($C289),"",$CH289)</f>
        <v/>
      </c>
      <c r="CT289" s="144" t="str">
        <f aca="false">IF(ISBLANK($C289),"",$CG289)</f>
        <v/>
      </c>
      <c r="CU289" s="145" t="str">
        <f aca="false">IF(ISBLANK($C289),"",IFERROR(_xlfn.SWITCH($CT289,Constants!$B$11,COUNTA($C$9:$C$508)+2,Constants!$B$10,COUNTA($C$9:$C$508)+1,Constants!$B$9,COUNTA($C$9:$C$508)),$CT289))</f>
        <v/>
      </c>
      <c r="CV289" s="9"/>
      <c r="CW289" s="146" t="n">
        <f aca="false">IF(OR(ISNUMBER($CT289),$CT289=Constants!$B$11,$CT289=Constants!$B$9,$CT289=Constants!$B$10),1,0)</f>
        <v>0</v>
      </c>
      <c r="CX289" s="146" t="n">
        <v>281</v>
      </c>
      <c r="CY289" s="146" t="str">
        <f aca="false">IF(ISBLANK($C289),"",IF(ISNUMBER($CU289),$CU289+ROW($B289)/1000,""))</f>
        <v/>
      </c>
      <c r="CZ289" s="146" t="str">
        <f aca="false">IF(ISNUMBER($CY289),RANK($CY289,$CY$9:$CY$508,1),"")</f>
        <v/>
      </c>
      <c r="DA289" s="146" t="str">
        <f aca="false">IF(ISBLANK($C289),"",$B289)</f>
        <v/>
      </c>
      <c r="DB289" s="146" t="str">
        <f aca="false">IF(ISBLANK($C289),"",$C289)</f>
        <v/>
      </c>
      <c r="DC289" s="146" t="str">
        <f aca="false">IF(ISBLANK($C289),"",$D289)</f>
        <v/>
      </c>
      <c r="DD289" s="147" t="str">
        <f aca="false">$CR289</f>
        <v/>
      </c>
      <c r="DE289" s="148" t="str">
        <f aca="false">$CQ289</f>
        <v/>
      </c>
      <c r="DF289" s="146" t="str">
        <f aca="false">IF(ISBLANK($C289),"",$CT289)</f>
        <v/>
      </c>
      <c r="DG289" s="149" t="str">
        <f aca="false">IF($CX289&gt;$CW$8,"",VLOOKUP($CX289,$CZ$9:$DF$508,7,FALSE()))</f>
        <v/>
      </c>
      <c r="DH289" s="150" t="str">
        <f aca="false">IF($CX289&gt;$CW$8,"",VLOOKUP($CX289,$CZ$9:$DF$508,2,FALSE()))</f>
        <v/>
      </c>
      <c r="DI289" s="150" t="str">
        <f aca="false">IF($CX289&gt;$CW$8,"",VLOOKUP($CX289,$CZ$9:$DF$508,3,FALSE()))</f>
        <v/>
      </c>
      <c r="DJ289" s="150" t="str">
        <f aca="false">IF($CX289&gt;$CW$8,"",VLOOKUP($CX289,$CZ$9:$DF$508,4,FALSE()))</f>
        <v/>
      </c>
      <c r="DK289" s="150" t="str">
        <f aca="false">IF($CX289&gt;$CW$8,"",VLOOKUP($CX289,$CZ$9:$DF$508,5,FALSE()))</f>
        <v/>
      </c>
      <c r="DL289" s="151" t="str">
        <f aca="false">IF($CX289&gt;$CW$8,"",VLOOKUP($CX289,$CZ$9:$DF$508,6,FALSE()))</f>
        <v/>
      </c>
      <c r="DM289" s="75"/>
    </row>
    <row r="290" customFormat="false" ht="15.75" hidden="false" customHeight="false" outlineLevel="0" collapsed="false">
      <c r="A290" s="9"/>
      <c r="B290" s="157"/>
      <c r="C290" s="158"/>
      <c r="D290" s="159"/>
      <c r="E290" s="177"/>
      <c r="F290" s="161"/>
      <c r="G290" s="162"/>
      <c r="H290" s="162"/>
      <c r="I290" s="178"/>
      <c r="J290" s="165"/>
      <c r="K290" s="126"/>
      <c r="L290" s="127"/>
      <c r="M290" s="128"/>
      <c r="N290" s="165"/>
      <c r="O290" s="165"/>
      <c r="P290" s="177"/>
      <c r="Q290" s="165"/>
      <c r="R290" s="165"/>
      <c r="S290" s="126"/>
      <c r="T290" s="128"/>
      <c r="U290" s="128"/>
      <c r="V290" s="165"/>
      <c r="W290" s="165"/>
      <c r="X290" s="177"/>
      <c r="Y290" s="165"/>
      <c r="Z290" s="166"/>
      <c r="AA290" s="165"/>
      <c r="AB290" s="132"/>
      <c r="AC290" s="133"/>
      <c r="AD290" s="133"/>
      <c r="AE290" s="133"/>
      <c r="AF290" s="133" t="str">
        <f aca="false">IF(ISBLANK($C290),"",IF(E290=Constants!$B$3,TRUE(),IF(E290=Constants!$B$4,FALSE(),TRUE())))</f>
        <v/>
      </c>
      <c r="AG290" s="133" t="str">
        <f aca="false">IF(ISBLANK($C290),"",IF(F290=Constants!$B$3,TRUE(),IF(F290=Constants!$B$4,FALSE(),TRUE())))</f>
        <v/>
      </c>
      <c r="AH290" s="133" t="str">
        <f aca="false">IF(ISBLANK($C290),"",IF(G290=Constants!$B$3,TRUE(),IF(G290=Constants!$B$4,FALSE(),TRUE())))</f>
        <v/>
      </c>
      <c r="AI290" s="133" t="str">
        <f aca="false">IF(ISBLANK($C290),"",IF(AND(ISNUMBER(H290),H290&gt;=0),H290,Constants!$B$29))</f>
        <v/>
      </c>
      <c r="AJ290" s="133" t="str">
        <f aca="false">IF(ISBLANK($C290),"",IF(I290=Constants!$B$3,TRUE(),IF(I290=Constants!$B$4,FALSE(),TRUE())))</f>
        <v/>
      </c>
      <c r="AK290" s="133" t="str">
        <f aca="false">IF(ISBLANK($C290),"",IF(J290=Constants!$B$3,TRUE(),IF(J290=Constants!$B$4,FALSE(),TRUE())))</f>
        <v/>
      </c>
      <c r="AL290" s="133" t="str">
        <f aca="false">IF(ISBLANK($C290),"",IF(K290=Constants!$B$5,TRUE(),IF(K290=Constants!$B$6,FALSE(),COUNTA(L290:P290)&gt;0)))</f>
        <v/>
      </c>
      <c r="AM290" s="134" t="str">
        <f aca="false">IF(ISBLANK($C290),"",IF(ISNUMBER(L290),IF(L290&gt;=0,L290,""),""))</f>
        <v/>
      </c>
      <c r="AN290" s="135" t="str">
        <f aca="false">IF(ISBLANK($C290),"",IF(ISNUMBER(M290),IF(M290&gt;=0,M290,""),""))</f>
        <v/>
      </c>
      <c r="AO290" s="135" t="str">
        <f aca="false">IF(ISBLANK($C290),"",IF(N290=Constants!$B$3,TRUE(),IF(N290=Constants!$B$4,FALSE(),TRUE())))</f>
        <v/>
      </c>
      <c r="AP290" s="133" t="str">
        <f aca="false">IF(ISBLANK($C290),"",IF(ISNUMBER(O290),IF(O290&gt;=0,O290,""),""))</f>
        <v/>
      </c>
      <c r="AQ290" s="133" t="str">
        <f aca="false">IF(ISBLANK($C290),"",IF(P290=Constants!$B$3,TRUE(),IF(P290=Constants!$B$4,FALSE(),FALSE())))</f>
        <v/>
      </c>
      <c r="AR290" s="133" t="str">
        <f aca="false">IF(ISBLANK($C290),"",IF(Q290=Constants!$B$3,TRUE(),IF(Q290=Constants!$B$4,FALSE(),TRUE())))</f>
        <v/>
      </c>
      <c r="AS290" s="133" t="str">
        <f aca="false">IF(ISBLANK($C290),"",IF(R290=Constants!$B$3,TRUE(),IF(R290=Constants!$B$4,FALSE(),TRUE())))</f>
        <v/>
      </c>
      <c r="AT290" s="133" t="str">
        <f aca="false">IF(ISBLANK($C290),"",IF(S290=Constants!$B$5,TRUE(),IF(S290=Constants!$B$6,FALSE(),COUNTA(T290:X290)&gt;0)))</f>
        <v/>
      </c>
      <c r="AU290" s="134" t="str">
        <f aca="false">IF(ISBLANK($C290),"",IF(ISNUMBER(T290),IF(T290&gt;=0,T290,""),""))</f>
        <v/>
      </c>
      <c r="AV290" s="135" t="str">
        <f aca="false">IF(ISBLANK($C290),"",IF(ISNUMBER(U290),IF(U290&gt;=0,U290,""),""))</f>
        <v/>
      </c>
      <c r="AW290" s="135" t="str">
        <f aca="false">IF(ISBLANK($C290),"",IF(V290=Constants!$B$3,TRUE(),IF(V290=Constants!$B$4,FALSE(),TRUE())))</f>
        <v/>
      </c>
      <c r="AX290" s="133" t="str">
        <f aca="false">IF(ISBLANK($C290),"",IF(ISNUMBER(W290),IF(W290&gt;=0,W290,""),""))</f>
        <v/>
      </c>
      <c r="AY290" s="133" t="str">
        <f aca="false">IF(ISBLANK($C290),"",IF(X290=Constants!$B$3,TRUE(),IF(X290=Constants!$B$4,FALSE(),FALSE())))</f>
        <v/>
      </c>
      <c r="AZ290" s="133" t="str">
        <f aca="false">IF(ISBLANK($C290),"",MIN(Constants!$B$31,MAX(0,IF(ISNUMBER(Y290),Y290*60,0)+IF(ISNUMBER(Z290),Z290,0))))</f>
        <v/>
      </c>
      <c r="BA290" s="133" t="str">
        <f aca="false">IF(ISBLANK($C290),"",IF(AA290=Constants!$B$3,TRUE(),IF(AA290=Constants!$B$4,FALSE(),FALSE())))</f>
        <v/>
      </c>
      <c r="BB290" s="132" t="str">
        <f aca="false">IF(ISBLANK($C290),"",AND($AL290,OR($AM290="",$AN290="",AND($AO290,$AP290=""))))</f>
        <v/>
      </c>
      <c r="BC290" s="135" t="str">
        <f aca="false">IF($BR290&lt;&gt;Constants!$B$8,"",IF($AL290,Constants!$B$21*$AN290+Constants!$B$22*IF($AO290,$AP290,Constants!$B$23),Constants!$B$24))</f>
        <v/>
      </c>
      <c r="BD290" s="136" t="str">
        <f aca="false">IF($BR290&lt;&gt;Constants!$B$8,"",Constants!$B$25*ABS($AD$9-IF($AL290,$AM290,0)))</f>
        <v/>
      </c>
      <c r="BE290" s="136" t="str">
        <f aca="false">IF($BR290&lt;&gt;Constants!$B$8,"",IF(AND($AL290,$AQ290,$AO290),Constants!$B$27,0))</f>
        <v/>
      </c>
      <c r="BF290" s="136" t="str">
        <f aca="false">IF($BR290&lt;&gt;Constants!$B$8,"",IF($AL290,($AI290-Constants!$B$29)*Constants!$B$28,0))</f>
        <v/>
      </c>
      <c r="BG290" s="136" t="str">
        <f aca="false">IF($BR290&lt;&gt;Constants!$B$8,"",IF($AK290,0,Constants!$B$15)+IF($AJ290,0,Constants!$B$16)+IF($AH290,0,Constants!$B$17))</f>
        <v/>
      </c>
      <c r="BH290" s="137" t="str">
        <f aca="false">IF($BR290&lt;&gt;Constants!$B$8,"",Constants!$B$20+SUM($BC290:$BG290))</f>
        <v/>
      </c>
      <c r="BI290" s="133" t="str">
        <f aca="false">IF($BR290&lt;&gt;Constants!$B$8,"",IF(OR($BP290&lt;$BH290,AND($BP290=$BH290,OR($BK290&lt;$BC290,AND($BK290=$BC290,OR($BL290&lt;$BD290,AND($BL290=$BD290,$AT290,$AL290,$AV290&lt;$AN290)))))),"-&gt;","&lt;-"))</f>
        <v/>
      </c>
      <c r="BJ290" s="132" t="str">
        <f aca="false">IF(ISBLANK($C290),"",AND($AT290,OR($AU290="",$AV290="",AND($AW290,$AX290=""))))</f>
        <v/>
      </c>
      <c r="BK290" s="135" t="str">
        <f aca="false">IF($BR290&lt;&gt;Constants!$B$8,"",IF($AT290,Constants!$B$21*$AV290+Constants!$B$22*IF($AW290,$AX290,Constants!$B$23),Constants!$B$24))</f>
        <v/>
      </c>
      <c r="BL290" s="136" t="str">
        <f aca="false">IF($BR290&lt;&gt;Constants!$B$8,"",Constants!$B$25*ABS($AD$9-IF($AT290,$AU290,0)))</f>
        <v/>
      </c>
      <c r="BM290" s="136" t="str">
        <f aca="false">IF($BR290&lt;&gt;Constants!$B$8,"",IF(AND($AT290,$AY290,$AW290),Constants!$B$27,0))</f>
        <v/>
      </c>
      <c r="BN290" s="136" t="str">
        <f aca="false">IF($BR290&lt;&gt;Constants!$B$8,"",IF($AT290,($AI290-Constants!$B$29)*Constants!$B$28,0))</f>
        <v/>
      </c>
      <c r="BO290" s="136" t="str">
        <f aca="false">IF($BR290&lt;&gt;Constants!$B$8,"",IF($AS290,0,Constants!$B$15)+IF($AR290,0,Constants!$B$16)+IF($AH290,0,Constants!$B$17))</f>
        <v/>
      </c>
      <c r="BP290" s="137" t="str">
        <f aca="false">IF($BR290&lt;&gt;Constants!$B$8,"",Constants!$B$20+SUM($BK290:$BO290))</f>
        <v/>
      </c>
      <c r="BQ290" s="133" t="str">
        <f aca="false">IF(ISBLANK($C290),"",IF(ISBLANK($D$7),$BQ$5,IF(NOT(ISNUMBER($D$7)),$BQ$6,"")))</f>
        <v/>
      </c>
      <c r="BR290" s="133" t="str">
        <f aca="false">IF(ISBLANK($C290),"",IF($BA290,Constants!$B$11,IF(COUNTA($E290:$AA290)=0,Constants!$B$10,IF(NOT($AG290),Constants!$B$9,IF(OR($BQ290&lt;&gt;"",$BB290,$BJ290),Constants!$B$12,Constants!$B$8)))))</f>
        <v/>
      </c>
      <c r="BS290" s="133" t="str">
        <f aca="false">IF(ISBLANK($C290),"",IF($BR290&lt;&gt;Constants!$B$8,$BR290,Constants!$B$13))</f>
        <v/>
      </c>
      <c r="BT290" s="136" t="str">
        <f aca="false">IF($BR290&lt;&gt;Constants!$B$8,"",IF($BI290="-&gt;",$BP290,$BH290))</f>
        <v/>
      </c>
      <c r="BU290" s="136" t="str">
        <f aca="false">IF($BR290&lt;&gt;Constants!$B$8,"",IF($AF290,0,Constants!$B$18))</f>
        <v/>
      </c>
      <c r="BV290" s="136" t="str">
        <f aca="false">IF($BR290&lt;&gt;Constants!$B$8,"",((Constants!$B$31-$AZ290)-Constants!$B$31)/Constants!$B$32)</f>
        <v/>
      </c>
      <c r="BW290" s="136" t="str">
        <f aca="false">IF(ISBLANK($C290),"",IF($BR290&lt;&gt;Constants!$B$8,$BR290,SUM($BT290:$BV290)))</f>
        <v/>
      </c>
      <c r="BX290" s="133" t="str">
        <f aca="false">IF(ISBLANK($C290),"",IF($BR290&lt;&gt;Constants!$B$8,$BR290,RANK($BW290,$BW$9:$BW$508,1)))</f>
        <v/>
      </c>
      <c r="BY290" s="136" t="str">
        <f aca="false">IF($BR290&lt;&gt;Constants!$B$8,"",IF($BI290="-&gt;",$BK290,$BC290))</f>
        <v/>
      </c>
      <c r="BZ290" s="133" t="str">
        <f aca="false">IF(ISBLANK($C290),"",IF($BR290&lt;&gt;Constants!$B$8,$BR290,IF(ISNUMBER($BY290),RANK($BY290,$BY$9:$BY$508,1),COUNT($BY$9:$BY$508)+1)))</f>
        <v/>
      </c>
      <c r="CA290" s="136" t="str">
        <f aca="false">IF($BR290&lt;&gt;Constants!$B$8,"",IF($BI290="-&gt;",$BL290,$BD290))</f>
        <v/>
      </c>
      <c r="CB290" s="133" t="str">
        <f aca="false">IF(ISBLANK($C290),"",IF($BR290&lt;&gt;Constants!$B$8,$BR290,IF(ISNUMBER($CA290),RANK($CA290,$CA$9:$CA$508,1),COUNT($CA$9:$CA$508)+1)))</f>
        <v/>
      </c>
      <c r="CC290" s="136" t="str">
        <f aca="false">IF($BR290&lt;&gt;Constants!$B$8,"",IF($BI290="-&gt;",IF($AT290,$AV290,""),IF($AL290,$AN290,"")))</f>
        <v/>
      </c>
      <c r="CD290" s="133" t="str">
        <f aca="false">IF(ISBLANK($C290),"",IF($BR290&lt;&gt;Constants!$B$8,$BR290,IF(ISNUMBER($CC290),RANK($CC290,$CC$9:$CC$508,1),COUNT($CC$9:$CC$508)+1)))</f>
        <v/>
      </c>
      <c r="CE290" s="136" t="str">
        <f aca="false">IF($BR290&lt;&gt;Constants!$B$8,"",IF(AND(NOT($AL290),NOT($AT290),$AJ290,$AK290,$AR290,$AS290),"",$AI290))</f>
        <v/>
      </c>
      <c r="CF290" s="133" t="str">
        <f aca="false">IF(ISBLANK($C290),"",IF($BR290&lt;&gt;Constants!$B$8,$BR290,IF(ISNUMBER($CE290),RANK($CE290,$CE$9:$CE$508,1),COUNT($CE$9:$CE$508)+1)))</f>
        <v/>
      </c>
      <c r="CG290" s="133" t="str">
        <f aca="false">IF(ISBLANK($C290),"",IF($BR290&lt;&gt;Constants!$B$8,$BR290,COUNTIFS($BX$9:$BX$508,"&lt;"&amp;$BX290)+COUNTIFS($BX$9:$BX$508,$BX290,$BZ$9:$BZ$508,"&lt;"&amp;$BZ290)+COUNTIFS($BX$9:$BX$508,$BX290,$BZ$9:$BZ$508,$BZ290,$CB$9:$CB$508,"&lt;"&amp;$CB290)+COUNTIFS($BX$9:$BX$508,$BX290,$BZ$9:$BZ$508,$BZ290,$CB$9:$CB$508,$CB290,$CD$9:$CD$508,"&lt;"&amp;$CD290)+COUNTIFS($BX$9:$BX$508,$BX290,$BZ$9:$BZ$508,$BZ290,$CB$9:$CB$508,$CB290,$CD$9:$CD$508,$CD290,$CF$9:$CF$508,"&lt;"&amp;$CF290)+1))</f>
        <v/>
      </c>
      <c r="CH290" s="133" t="str">
        <f aca="false">IF(ISBLANK($C290),"",IF($BR290&lt;&gt;Constants!$B$8,$BR290,$BX290-$CG290))</f>
        <v/>
      </c>
      <c r="CI290" s="138"/>
      <c r="CJ290" s="139"/>
      <c r="CK290" s="140" t="str">
        <f aca="false">IF(ISBLANK($C290),"",IF($BR290=Constants!$B$12,$BQ290,""))</f>
        <v/>
      </c>
      <c r="CL290" s="139" t="str">
        <f aca="false">IF(ISBLANK($C290),"",IF($BR290&lt;&gt;Constants!$B$8,"",IF($BI290="-&gt;",2,1)))</f>
        <v/>
      </c>
      <c r="CM290" s="141" t="str">
        <f aca="false">IF(ISBLANK($C290),"",IF($BR290&lt;&gt;Constants!$B$8,"",IF($BI290="-&gt;",$BK290,$BC290)))</f>
        <v/>
      </c>
      <c r="CN290" s="141" t="str">
        <f aca="false">IF(ISBLANK($C290),"",IF($BR290&lt;&gt;Constants!$B$8,"",IF($BI290="-&gt;",$BL290,$BD290)))</f>
        <v/>
      </c>
      <c r="CO290" s="141" t="str">
        <f aca="false">IF(ISBLANK($C290),"",IF($BR290&lt;&gt;Constants!$B$8,"",IF($BI290="-&gt;",$BM290+$BN290,$BE290+$BF290)+$BV290))</f>
        <v/>
      </c>
      <c r="CP290" s="141" t="str">
        <f aca="false">IF(ISBLANK($C290),"",IF($BR290&lt;&gt;Constants!$B$8,"",IF($BI290="-&gt;",$BO290,$BG290)+$BU290))</f>
        <v/>
      </c>
      <c r="CQ290" s="142" t="str">
        <f aca="false">IF(ISBLANK($C290),"",IF($BR290&lt;&gt;Constants!$B$8,$BR290,$BW290))</f>
        <v/>
      </c>
      <c r="CR290" s="143" t="str">
        <f aca="false">IF(ISBLANK($C290),"",$BS290)</f>
        <v/>
      </c>
      <c r="CS290" s="144" t="str">
        <f aca="false">IF(ISBLANK($C290),"",$CH290)</f>
        <v/>
      </c>
      <c r="CT290" s="144" t="str">
        <f aca="false">IF(ISBLANK($C290),"",$CG290)</f>
        <v/>
      </c>
      <c r="CU290" s="145" t="str">
        <f aca="false">IF(ISBLANK($C290),"",IFERROR(_xlfn.SWITCH($CT290,Constants!$B$11,COUNTA($C$9:$C$508)+2,Constants!$B$10,COUNTA($C$9:$C$508)+1,Constants!$B$9,COUNTA($C$9:$C$508)),$CT290))</f>
        <v/>
      </c>
      <c r="CV290" s="9"/>
      <c r="CW290" s="146" t="n">
        <f aca="false">IF(OR(ISNUMBER($CT290),$CT290=Constants!$B$11,$CT290=Constants!$B$9,$CT290=Constants!$B$10),1,0)</f>
        <v>0</v>
      </c>
      <c r="CX290" s="146" t="n">
        <v>282</v>
      </c>
      <c r="CY290" s="146" t="str">
        <f aca="false">IF(ISBLANK($C290),"",IF(ISNUMBER($CU290),$CU290+ROW($B290)/1000,""))</f>
        <v/>
      </c>
      <c r="CZ290" s="146" t="str">
        <f aca="false">IF(ISNUMBER($CY290),RANK($CY290,$CY$9:$CY$508,1),"")</f>
        <v/>
      </c>
      <c r="DA290" s="146" t="str">
        <f aca="false">IF(ISBLANK($C290),"",$B290)</f>
        <v/>
      </c>
      <c r="DB290" s="146" t="str">
        <f aca="false">IF(ISBLANK($C290),"",$C290)</f>
        <v/>
      </c>
      <c r="DC290" s="146" t="str">
        <f aca="false">IF(ISBLANK($C290),"",$D290)</f>
        <v/>
      </c>
      <c r="DD290" s="147" t="str">
        <f aca="false">$CR290</f>
        <v/>
      </c>
      <c r="DE290" s="148" t="str">
        <f aca="false">$CQ290</f>
        <v/>
      </c>
      <c r="DF290" s="146" t="str">
        <f aca="false">IF(ISBLANK($C290),"",$CT290)</f>
        <v/>
      </c>
      <c r="DG290" s="149" t="str">
        <f aca="false">IF($CX290&gt;$CW$8,"",VLOOKUP($CX290,$CZ$9:$DF$508,7,FALSE()))</f>
        <v/>
      </c>
      <c r="DH290" s="150" t="str">
        <f aca="false">IF($CX290&gt;$CW$8,"",VLOOKUP($CX290,$CZ$9:$DF$508,2,FALSE()))</f>
        <v/>
      </c>
      <c r="DI290" s="150" t="str">
        <f aca="false">IF($CX290&gt;$CW$8,"",VLOOKUP($CX290,$CZ$9:$DF$508,3,FALSE()))</f>
        <v/>
      </c>
      <c r="DJ290" s="150" t="str">
        <f aca="false">IF($CX290&gt;$CW$8,"",VLOOKUP($CX290,$CZ$9:$DF$508,4,FALSE()))</f>
        <v/>
      </c>
      <c r="DK290" s="150" t="str">
        <f aca="false">IF($CX290&gt;$CW$8,"",VLOOKUP($CX290,$CZ$9:$DF$508,5,FALSE()))</f>
        <v/>
      </c>
      <c r="DL290" s="151" t="str">
        <f aca="false">IF($CX290&gt;$CW$8,"",VLOOKUP($CX290,$CZ$9:$DF$508,6,FALSE()))</f>
        <v/>
      </c>
      <c r="DM290" s="75"/>
    </row>
    <row r="291" customFormat="false" ht="15.75" hidden="false" customHeight="false" outlineLevel="0" collapsed="false">
      <c r="A291" s="9"/>
      <c r="B291" s="77"/>
      <c r="C291" s="78"/>
      <c r="D291" s="167"/>
      <c r="E291" s="175"/>
      <c r="F291" s="169"/>
      <c r="G291" s="170"/>
      <c r="H291" s="170"/>
      <c r="I291" s="176"/>
      <c r="J291" s="173"/>
      <c r="K291" s="85"/>
      <c r="L291" s="86"/>
      <c r="M291" s="87"/>
      <c r="N291" s="173"/>
      <c r="O291" s="173"/>
      <c r="P291" s="175"/>
      <c r="Q291" s="173"/>
      <c r="R291" s="173"/>
      <c r="S291" s="85"/>
      <c r="T291" s="87"/>
      <c r="U291" s="87"/>
      <c r="V291" s="173"/>
      <c r="W291" s="173"/>
      <c r="X291" s="175"/>
      <c r="Y291" s="173"/>
      <c r="Z291" s="174"/>
      <c r="AA291" s="173"/>
      <c r="AB291" s="91"/>
      <c r="AC291" s="92"/>
      <c r="AD291" s="92"/>
      <c r="AE291" s="92"/>
      <c r="AF291" s="92" t="str">
        <f aca="false">IF(ISBLANK($C291),"",IF(E291=Constants!$B$3,TRUE(),IF(E291=Constants!$B$4,FALSE(),TRUE())))</f>
        <v/>
      </c>
      <c r="AG291" s="92" t="str">
        <f aca="false">IF(ISBLANK($C291),"",IF(F291=Constants!$B$3,TRUE(),IF(F291=Constants!$B$4,FALSE(),TRUE())))</f>
        <v/>
      </c>
      <c r="AH291" s="92" t="str">
        <f aca="false">IF(ISBLANK($C291),"",IF(G291=Constants!$B$3,TRUE(),IF(G291=Constants!$B$4,FALSE(),TRUE())))</f>
        <v/>
      </c>
      <c r="AI291" s="92" t="str">
        <f aca="false">IF(ISBLANK($C291),"",IF(AND(ISNUMBER(H291),H291&gt;=0),H291,Constants!$B$29))</f>
        <v/>
      </c>
      <c r="AJ291" s="92" t="str">
        <f aca="false">IF(ISBLANK($C291),"",IF(I291=Constants!$B$3,TRUE(),IF(I291=Constants!$B$4,FALSE(),TRUE())))</f>
        <v/>
      </c>
      <c r="AK291" s="92" t="str">
        <f aca="false">IF(ISBLANK($C291),"",IF(J291=Constants!$B$3,TRUE(),IF(J291=Constants!$B$4,FALSE(),TRUE())))</f>
        <v/>
      </c>
      <c r="AL291" s="92" t="str">
        <f aca="false">IF(ISBLANK($C291),"",IF(K291=Constants!$B$5,TRUE(),IF(K291=Constants!$B$6,FALSE(),COUNTA(L291:P291)&gt;0)))</f>
        <v/>
      </c>
      <c r="AM291" s="94" t="str">
        <f aca="false">IF(ISBLANK($C291),"",IF(ISNUMBER(L291),IF(L291&gt;=0,L291,""),""))</f>
        <v/>
      </c>
      <c r="AN291" s="93" t="str">
        <f aca="false">IF(ISBLANK($C291),"",IF(ISNUMBER(M291),IF(M291&gt;=0,M291,""),""))</f>
        <v/>
      </c>
      <c r="AO291" s="93" t="str">
        <f aca="false">IF(ISBLANK($C291),"",IF(N291=Constants!$B$3,TRUE(),IF(N291=Constants!$B$4,FALSE(),TRUE())))</f>
        <v/>
      </c>
      <c r="AP291" s="92" t="str">
        <f aca="false">IF(ISBLANK($C291),"",IF(ISNUMBER(O291),IF(O291&gt;=0,O291,""),""))</f>
        <v/>
      </c>
      <c r="AQ291" s="92" t="str">
        <f aca="false">IF(ISBLANK($C291),"",IF(P291=Constants!$B$3,TRUE(),IF(P291=Constants!$B$4,FALSE(),FALSE())))</f>
        <v/>
      </c>
      <c r="AR291" s="92" t="str">
        <f aca="false">IF(ISBLANK($C291),"",IF(Q291=Constants!$B$3,TRUE(),IF(Q291=Constants!$B$4,FALSE(),TRUE())))</f>
        <v/>
      </c>
      <c r="AS291" s="92" t="str">
        <f aca="false">IF(ISBLANK($C291),"",IF(R291=Constants!$B$3,TRUE(),IF(R291=Constants!$B$4,FALSE(),TRUE())))</f>
        <v/>
      </c>
      <c r="AT291" s="92" t="str">
        <f aca="false">IF(ISBLANK($C291),"",IF(S291=Constants!$B$5,TRUE(),IF(S291=Constants!$B$6,FALSE(),COUNTA(T291:X291)&gt;0)))</f>
        <v/>
      </c>
      <c r="AU291" s="94" t="str">
        <f aca="false">IF(ISBLANK($C291),"",IF(ISNUMBER(T291),IF(T291&gt;=0,T291,""),""))</f>
        <v/>
      </c>
      <c r="AV291" s="93" t="str">
        <f aca="false">IF(ISBLANK($C291),"",IF(ISNUMBER(U291),IF(U291&gt;=0,U291,""),""))</f>
        <v/>
      </c>
      <c r="AW291" s="93" t="str">
        <f aca="false">IF(ISBLANK($C291),"",IF(V291=Constants!$B$3,TRUE(),IF(V291=Constants!$B$4,FALSE(),TRUE())))</f>
        <v/>
      </c>
      <c r="AX291" s="92" t="str">
        <f aca="false">IF(ISBLANK($C291),"",IF(ISNUMBER(W291),IF(W291&gt;=0,W291,""),""))</f>
        <v/>
      </c>
      <c r="AY291" s="92" t="str">
        <f aca="false">IF(ISBLANK($C291),"",IF(X291=Constants!$B$3,TRUE(),IF(X291=Constants!$B$4,FALSE(),FALSE())))</f>
        <v/>
      </c>
      <c r="AZ291" s="92" t="str">
        <f aca="false">IF(ISBLANK($C291),"",MIN(Constants!$B$31,MAX(0,IF(ISNUMBER(Y291),Y291*60,0)+IF(ISNUMBER(Z291),Z291,0))))</f>
        <v/>
      </c>
      <c r="BA291" s="92" t="str">
        <f aca="false">IF(ISBLANK($C291),"",IF(AA291=Constants!$B$3,TRUE(),IF(AA291=Constants!$B$4,FALSE(),FALSE())))</f>
        <v/>
      </c>
      <c r="BB291" s="91" t="str">
        <f aca="false">IF(ISBLANK($C291),"",AND($AL291,OR($AM291="",$AN291="",AND($AO291,$AP291=""))))</f>
        <v/>
      </c>
      <c r="BC291" s="93" t="str">
        <f aca="false">IF($BR291&lt;&gt;Constants!$B$8,"",IF($AL291,Constants!$B$21*$AN291+Constants!$B$22*IF($AO291,$AP291,Constants!$B$23),Constants!$B$24))</f>
        <v/>
      </c>
      <c r="BD291" s="96" t="str">
        <f aca="false">IF($BR291&lt;&gt;Constants!$B$8,"",Constants!$B$25*ABS($AD$9-IF($AL291,$AM291,0)))</f>
        <v/>
      </c>
      <c r="BE291" s="96" t="str">
        <f aca="false">IF($BR291&lt;&gt;Constants!$B$8,"",IF(AND($AL291,$AQ291,$AO291),Constants!$B$27,0))</f>
        <v/>
      </c>
      <c r="BF291" s="96" t="str">
        <f aca="false">IF($BR291&lt;&gt;Constants!$B$8,"",IF($AL291,($AI291-Constants!$B$29)*Constants!$B$28,0))</f>
        <v/>
      </c>
      <c r="BG291" s="96" t="str">
        <f aca="false">IF($BR291&lt;&gt;Constants!$B$8,"",IF($AK291,0,Constants!$B$15)+IF($AJ291,0,Constants!$B$16)+IF($AH291,0,Constants!$B$17))</f>
        <v/>
      </c>
      <c r="BH291" s="97" t="str">
        <f aca="false">IF($BR291&lt;&gt;Constants!$B$8,"",Constants!$B$20+SUM($BC291:$BG291))</f>
        <v/>
      </c>
      <c r="BI291" s="92" t="str">
        <f aca="false">IF($BR291&lt;&gt;Constants!$B$8,"",IF(OR($BP291&lt;$BH291,AND($BP291=$BH291,OR($BK291&lt;$BC291,AND($BK291=$BC291,OR($BL291&lt;$BD291,AND($BL291=$BD291,$AT291,$AL291,$AV291&lt;$AN291)))))),"-&gt;","&lt;-"))</f>
        <v/>
      </c>
      <c r="BJ291" s="91" t="str">
        <f aca="false">IF(ISBLANK($C291),"",AND($AT291,OR($AU291="",$AV291="",AND($AW291,$AX291=""))))</f>
        <v/>
      </c>
      <c r="BK291" s="93" t="str">
        <f aca="false">IF($BR291&lt;&gt;Constants!$B$8,"",IF($AT291,Constants!$B$21*$AV291+Constants!$B$22*IF($AW291,$AX291,Constants!$B$23),Constants!$B$24))</f>
        <v/>
      </c>
      <c r="BL291" s="96" t="str">
        <f aca="false">IF($BR291&lt;&gt;Constants!$B$8,"",Constants!$B$25*ABS($AD$9-IF($AT291,$AU291,0)))</f>
        <v/>
      </c>
      <c r="BM291" s="96" t="str">
        <f aca="false">IF($BR291&lt;&gt;Constants!$B$8,"",IF(AND($AT291,$AY291,$AW291),Constants!$B$27,0))</f>
        <v/>
      </c>
      <c r="BN291" s="96" t="str">
        <f aca="false">IF($BR291&lt;&gt;Constants!$B$8,"",IF($AT291,($AI291-Constants!$B$29)*Constants!$B$28,0))</f>
        <v/>
      </c>
      <c r="BO291" s="96" t="str">
        <f aca="false">IF($BR291&lt;&gt;Constants!$B$8,"",IF($AS291,0,Constants!$B$15)+IF($AR291,0,Constants!$B$16)+IF($AH291,0,Constants!$B$17))</f>
        <v/>
      </c>
      <c r="BP291" s="97" t="str">
        <f aca="false">IF($BR291&lt;&gt;Constants!$B$8,"",Constants!$B$20+SUM($BK291:$BO291))</f>
        <v/>
      </c>
      <c r="BQ291" s="92" t="str">
        <f aca="false">IF(ISBLANK($C291),"",IF(ISBLANK($D$7),$BQ$5,IF(NOT(ISNUMBER($D$7)),$BQ$6,"")))</f>
        <v/>
      </c>
      <c r="BR291" s="92" t="str">
        <f aca="false">IF(ISBLANK($C291),"",IF($BA291,Constants!$B$11,IF(COUNTA($E291:$AA291)=0,Constants!$B$10,IF(NOT($AG291),Constants!$B$9,IF(OR($BQ291&lt;&gt;"",$BB291,$BJ291),Constants!$B$12,Constants!$B$8)))))</f>
        <v/>
      </c>
      <c r="BS291" s="92" t="str">
        <f aca="false">IF(ISBLANK($C291),"",IF($BR291&lt;&gt;Constants!$B$8,$BR291,Constants!$B$13))</f>
        <v/>
      </c>
      <c r="BT291" s="96" t="str">
        <f aca="false">IF($BR291&lt;&gt;Constants!$B$8,"",IF($BI291="-&gt;",$BP291,$BH291))</f>
        <v/>
      </c>
      <c r="BU291" s="96" t="str">
        <f aca="false">IF($BR291&lt;&gt;Constants!$B$8,"",IF($AF291,0,Constants!$B$18))</f>
        <v/>
      </c>
      <c r="BV291" s="96" t="str">
        <f aca="false">IF($BR291&lt;&gt;Constants!$B$8,"",((Constants!$B$31-$AZ291)-Constants!$B$31)/Constants!$B$32)</f>
        <v/>
      </c>
      <c r="BW291" s="96" t="str">
        <f aca="false">IF(ISBLANK($C291),"",IF($BR291&lt;&gt;Constants!$B$8,$BR291,SUM($BT291:$BV291)))</f>
        <v/>
      </c>
      <c r="BX291" s="92" t="str">
        <f aca="false">IF(ISBLANK($C291),"",IF($BR291&lt;&gt;Constants!$B$8,$BR291,RANK($BW291,$BW$9:$BW$508,1)))</f>
        <v/>
      </c>
      <c r="BY291" s="96" t="str">
        <f aca="false">IF($BR291&lt;&gt;Constants!$B$8,"",IF($BI291="-&gt;",$BK291,$BC291))</f>
        <v/>
      </c>
      <c r="BZ291" s="92" t="str">
        <f aca="false">IF(ISBLANK($C291),"",IF($BR291&lt;&gt;Constants!$B$8,$BR291,IF(ISNUMBER($BY291),RANK($BY291,$BY$9:$BY$508,1),COUNT($BY$9:$BY$508)+1)))</f>
        <v/>
      </c>
      <c r="CA291" s="96" t="str">
        <f aca="false">IF($BR291&lt;&gt;Constants!$B$8,"",IF($BI291="-&gt;",$BL291,$BD291))</f>
        <v/>
      </c>
      <c r="CB291" s="92" t="str">
        <f aca="false">IF(ISBLANK($C291),"",IF($BR291&lt;&gt;Constants!$B$8,$BR291,IF(ISNUMBER($CA291),RANK($CA291,$CA$9:$CA$508,1),COUNT($CA$9:$CA$508)+1)))</f>
        <v/>
      </c>
      <c r="CC291" s="96" t="str">
        <f aca="false">IF($BR291&lt;&gt;Constants!$B$8,"",IF($BI291="-&gt;",IF($AT291,$AV291,""),IF($AL291,$AN291,"")))</f>
        <v/>
      </c>
      <c r="CD291" s="92" t="str">
        <f aca="false">IF(ISBLANK($C291),"",IF($BR291&lt;&gt;Constants!$B$8,$BR291,IF(ISNUMBER($CC291),RANK($CC291,$CC$9:$CC$508,1),COUNT($CC$9:$CC$508)+1)))</f>
        <v/>
      </c>
      <c r="CE291" s="96" t="str">
        <f aca="false">IF($BR291&lt;&gt;Constants!$B$8,"",IF(AND(NOT($AL291),NOT($AT291),$AJ291,$AK291,$AR291,$AS291),"",$AI291))</f>
        <v/>
      </c>
      <c r="CF291" s="92" t="str">
        <f aca="false">IF(ISBLANK($C291),"",IF($BR291&lt;&gt;Constants!$B$8,$BR291,IF(ISNUMBER($CE291),RANK($CE291,$CE$9:$CE$508,1),COUNT($CE$9:$CE$508)+1)))</f>
        <v/>
      </c>
      <c r="CG291" s="92" t="str">
        <f aca="false">IF(ISBLANK($C291),"",IF($BR291&lt;&gt;Constants!$B$8,$BR291,COUNTIFS($BX$9:$BX$508,"&lt;"&amp;$BX291)+COUNTIFS($BX$9:$BX$508,$BX291,$BZ$9:$BZ$508,"&lt;"&amp;$BZ291)+COUNTIFS($BX$9:$BX$508,$BX291,$BZ$9:$BZ$508,$BZ291,$CB$9:$CB$508,"&lt;"&amp;$CB291)+COUNTIFS($BX$9:$BX$508,$BX291,$BZ$9:$BZ$508,$BZ291,$CB$9:$CB$508,$CB291,$CD$9:$CD$508,"&lt;"&amp;$CD291)+COUNTIFS($BX$9:$BX$508,$BX291,$BZ$9:$BZ$508,$BZ291,$CB$9:$CB$508,$CB291,$CD$9:$CD$508,$CD291,$CF$9:$CF$508,"&lt;"&amp;$CF291)+1))</f>
        <v/>
      </c>
      <c r="CH291" s="92" t="str">
        <f aca="false">IF(ISBLANK($C291),"",IF($BR291&lt;&gt;Constants!$B$8,$BR291,$BX291-$CG291))</f>
        <v/>
      </c>
      <c r="CI291" s="98"/>
      <c r="CJ291" s="99"/>
      <c r="CK291" s="100" t="str">
        <f aca="false">IF(ISBLANK($C291),"",IF($BR291=Constants!$B$12,$BQ291,""))</f>
        <v/>
      </c>
      <c r="CL291" s="99" t="str">
        <f aca="false">IF(ISBLANK($C291),"",IF($BR291&lt;&gt;Constants!$B$8,"",IF($BI291="-&gt;",2,1)))</f>
        <v/>
      </c>
      <c r="CM291" s="101" t="str">
        <f aca="false">IF(ISBLANK($C291),"",IF($BR291&lt;&gt;Constants!$B$8,"",IF($BI291="-&gt;",$BK291,$BC291)))</f>
        <v/>
      </c>
      <c r="CN291" s="101" t="str">
        <f aca="false">IF(ISBLANK($C291),"",IF($BR291&lt;&gt;Constants!$B$8,"",IF($BI291="-&gt;",$BL291,$BD291)))</f>
        <v/>
      </c>
      <c r="CO291" s="101" t="str">
        <f aca="false">IF(ISBLANK($C291),"",IF($BR291&lt;&gt;Constants!$B$8,"",IF($BI291="-&gt;",$BM291+$BN291,$BE291+$BF291)+$BV291))</f>
        <v/>
      </c>
      <c r="CP291" s="101" t="str">
        <f aca="false">IF(ISBLANK($C291),"",IF($BR291&lt;&gt;Constants!$B$8,"",IF($BI291="-&gt;",$BO291,$BG291)+$BU291))</f>
        <v/>
      </c>
      <c r="CQ291" s="102" t="str">
        <f aca="false">IF(ISBLANK($C291),"",IF($BR291&lt;&gt;Constants!$B$8,$BR291,$BW291))</f>
        <v/>
      </c>
      <c r="CR291" s="103" t="str">
        <f aca="false">IF(ISBLANK($C291),"",$BS291)</f>
        <v/>
      </c>
      <c r="CS291" s="104" t="str">
        <f aca="false">IF(ISBLANK($C291),"",$CH291)</f>
        <v/>
      </c>
      <c r="CT291" s="104" t="str">
        <f aca="false">IF(ISBLANK($C291),"",$CG291)</f>
        <v/>
      </c>
      <c r="CU291" s="105" t="str">
        <f aca="false">IF(ISBLANK($C291),"",IFERROR(_xlfn.SWITCH($CT291,Constants!$B$11,COUNTA($C$9:$C$508)+2,Constants!$B$10,COUNTA($C$9:$C$508)+1,Constants!$B$9,COUNTA($C$9:$C$508)),$CT291))</f>
        <v/>
      </c>
      <c r="CV291" s="9"/>
      <c r="CW291" s="106" t="n">
        <f aca="false">IF(OR(ISNUMBER($CT291),$CT291=Constants!$B$11,$CT291=Constants!$B$9,$CT291=Constants!$B$10),1,0)</f>
        <v>0</v>
      </c>
      <c r="CX291" s="106" t="n">
        <v>283</v>
      </c>
      <c r="CY291" s="106" t="str">
        <f aca="false">IF(ISBLANK($C291),"",IF(ISNUMBER($CU291),$CU291+ROW($B291)/1000,""))</f>
        <v/>
      </c>
      <c r="CZ291" s="106" t="str">
        <f aca="false">IF(ISNUMBER($CY291),RANK($CY291,$CY$9:$CY$508,1),"")</f>
        <v/>
      </c>
      <c r="DA291" s="106" t="str">
        <f aca="false">IF(ISBLANK($C291),"",$B291)</f>
        <v/>
      </c>
      <c r="DB291" s="106" t="str">
        <f aca="false">IF(ISBLANK($C291),"",$C291)</f>
        <v/>
      </c>
      <c r="DC291" s="106" t="str">
        <f aca="false">IF(ISBLANK($C291),"",$D291)</f>
        <v/>
      </c>
      <c r="DD291" s="107" t="str">
        <f aca="false">$CR291</f>
        <v/>
      </c>
      <c r="DE291" s="108" t="str">
        <f aca="false">$CQ291</f>
        <v/>
      </c>
      <c r="DF291" s="106" t="str">
        <f aca="false">IF(ISBLANK($C291),"",$CT291)</f>
        <v/>
      </c>
      <c r="DG291" s="109" t="str">
        <f aca="false">IF($CX291&gt;$CW$8,"",VLOOKUP($CX291,$CZ$9:$DF$508,7,FALSE()))</f>
        <v/>
      </c>
      <c r="DH291" s="110" t="str">
        <f aca="false">IF($CX291&gt;$CW$8,"",VLOOKUP($CX291,$CZ$9:$DF$508,2,FALSE()))</f>
        <v/>
      </c>
      <c r="DI291" s="110" t="str">
        <f aca="false">IF($CX291&gt;$CW$8,"",VLOOKUP($CX291,$CZ$9:$DF$508,3,FALSE()))</f>
        <v/>
      </c>
      <c r="DJ291" s="110" t="str">
        <f aca="false">IF($CX291&gt;$CW$8,"",VLOOKUP($CX291,$CZ$9:$DF$508,4,FALSE()))</f>
        <v/>
      </c>
      <c r="DK291" s="110" t="str">
        <f aca="false">IF($CX291&gt;$CW$8,"",VLOOKUP($CX291,$CZ$9:$DF$508,5,FALSE()))</f>
        <v/>
      </c>
      <c r="DL291" s="111" t="str">
        <f aca="false">IF($CX291&gt;$CW$8,"",VLOOKUP($CX291,$CZ$9:$DF$508,6,FALSE()))</f>
        <v/>
      </c>
      <c r="DM291" s="75"/>
    </row>
    <row r="292" customFormat="false" ht="15.75" hidden="false" customHeight="false" outlineLevel="0" collapsed="false">
      <c r="A292" s="9"/>
      <c r="B292" s="77"/>
      <c r="C292" s="78"/>
      <c r="D292" s="167"/>
      <c r="E292" s="175"/>
      <c r="F292" s="169"/>
      <c r="G292" s="170"/>
      <c r="H292" s="170"/>
      <c r="I292" s="176"/>
      <c r="J292" s="173"/>
      <c r="K292" s="85"/>
      <c r="L292" s="86"/>
      <c r="M292" s="87"/>
      <c r="N292" s="173"/>
      <c r="O292" s="173"/>
      <c r="P292" s="175"/>
      <c r="Q292" s="173"/>
      <c r="R292" s="173"/>
      <c r="S292" s="85"/>
      <c r="T292" s="87"/>
      <c r="U292" s="87"/>
      <c r="V292" s="173"/>
      <c r="W292" s="173"/>
      <c r="X292" s="175"/>
      <c r="Y292" s="173"/>
      <c r="Z292" s="174"/>
      <c r="AA292" s="173"/>
      <c r="AB292" s="91"/>
      <c r="AC292" s="92"/>
      <c r="AD292" s="92"/>
      <c r="AE292" s="92"/>
      <c r="AF292" s="92" t="str">
        <f aca="false">IF(ISBLANK($C292),"",IF(E292=Constants!$B$3,TRUE(),IF(E292=Constants!$B$4,FALSE(),TRUE())))</f>
        <v/>
      </c>
      <c r="AG292" s="92" t="str">
        <f aca="false">IF(ISBLANK($C292),"",IF(F292=Constants!$B$3,TRUE(),IF(F292=Constants!$B$4,FALSE(),TRUE())))</f>
        <v/>
      </c>
      <c r="AH292" s="92" t="str">
        <f aca="false">IF(ISBLANK($C292),"",IF(G292=Constants!$B$3,TRUE(),IF(G292=Constants!$B$4,FALSE(),TRUE())))</f>
        <v/>
      </c>
      <c r="AI292" s="92" t="str">
        <f aca="false">IF(ISBLANK($C292),"",IF(AND(ISNUMBER(H292),H292&gt;=0),H292,Constants!$B$29))</f>
        <v/>
      </c>
      <c r="AJ292" s="92" t="str">
        <f aca="false">IF(ISBLANK($C292),"",IF(I292=Constants!$B$3,TRUE(),IF(I292=Constants!$B$4,FALSE(),TRUE())))</f>
        <v/>
      </c>
      <c r="AK292" s="92" t="str">
        <f aca="false">IF(ISBLANK($C292),"",IF(J292=Constants!$B$3,TRUE(),IF(J292=Constants!$B$4,FALSE(),TRUE())))</f>
        <v/>
      </c>
      <c r="AL292" s="92" t="str">
        <f aca="false">IF(ISBLANK($C292),"",IF(K292=Constants!$B$5,TRUE(),IF(K292=Constants!$B$6,FALSE(),COUNTA(L292:P292)&gt;0)))</f>
        <v/>
      </c>
      <c r="AM292" s="94" t="str">
        <f aca="false">IF(ISBLANK($C292),"",IF(ISNUMBER(L292),IF(L292&gt;=0,L292,""),""))</f>
        <v/>
      </c>
      <c r="AN292" s="93" t="str">
        <f aca="false">IF(ISBLANK($C292),"",IF(ISNUMBER(M292),IF(M292&gt;=0,M292,""),""))</f>
        <v/>
      </c>
      <c r="AO292" s="93" t="str">
        <f aca="false">IF(ISBLANK($C292),"",IF(N292=Constants!$B$3,TRUE(),IF(N292=Constants!$B$4,FALSE(),TRUE())))</f>
        <v/>
      </c>
      <c r="AP292" s="92" t="str">
        <f aca="false">IF(ISBLANK($C292),"",IF(ISNUMBER(O292),IF(O292&gt;=0,O292,""),""))</f>
        <v/>
      </c>
      <c r="AQ292" s="92" t="str">
        <f aca="false">IF(ISBLANK($C292),"",IF(P292=Constants!$B$3,TRUE(),IF(P292=Constants!$B$4,FALSE(),FALSE())))</f>
        <v/>
      </c>
      <c r="AR292" s="92" t="str">
        <f aca="false">IF(ISBLANK($C292),"",IF(Q292=Constants!$B$3,TRUE(),IF(Q292=Constants!$B$4,FALSE(),TRUE())))</f>
        <v/>
      </c>
      <c r="AS292" s="92" t="str">
        <f aca="false">IF(ISBLANK($C292),"",IF(R292=Constants!$B$3,TRUE(),IF(R292=Constants!$B$4,FALSE(),TRUE())))</f>
        <v/>
      </c>
      <c r="AT292" s="92" t="str">
        <f aca="false">IF(ISBLANK($C292),"",IF(S292=Constants!$B$5,TRUE(),IF(S292=Constants!$B$6,FALSE(),COUNTA(T292:X292)&gt;0)))</f>
        <v/>
      </c>
      <c r="AU292" s="94" t="str">
        <f aca="false">IF(ISBLANK($C292),"",IF(ISNUMBER(T292),IF(T292&gt;=0,T292,""),""))</f>
        <v/>
      </c>
      <c r="AV292" s="93" t="str">
        <f aca="false">IF(ISBLANK($C292),"",IF(ISNUMBER(U292),IF(U292&gt;=0,U292,""),""))</f>
        <v/>
      </c>
      <c r="AW292" s="93" t="str">
        <f aca="false">IF(ISBLANK($C292),"",IF(V292=Constants!$B$3,TRUE(),IF(V292=Constants!$B$4,FALSE(),TRUE())))</f>
        <v/>
      </c>
      <c r="AX292" s="92" t="str">
        <f aca="false">IF(ISBLANK($C292),"",IF(ISNUMBER(W292),IF(W292&gt;=0,W292,""),""))</f>
        <v/>
      </c>
      <c r="AY292" s="92" t="str">
        <f aca="false">IF(ISBLANK($C292),"",IF(X292=Constants!$B$3,TRUE(),IF(X292=Constants!$B$4,FALSE(),FALSE())))</f>
        <v/>
      </c>
      <c r="AZ292" s="92" t="str">
        <f aca="false">IF(ISBLANK($C292),"",MIN(Constants!$B$31,MAX(0,IF(ISNUMBER(Y292),Y292*60,0)+IF(ISNUMBER(Z292),Z292,0))))</f>
        <v/>
      </c>
      <c r="BA292" s="92" t="str">
        <f aca="false">IF(ISBLANK($C292),"",IF(AA292=Constants!$B$3,TRUE(),IF(AA292=Constants!$B$4,FALSE(),FALSE())))</f>
        <v/>
      </c>
      <c r="BB292" s="91" t="str">
        <f aca="false">IF(ISBLANK($C292),"",AND($AL292,OR($AM292="",$AN292="",AND($AO292,$AP292=""))))</f>
        <v/>
      </c>
      <c r="BC292" s="93" t="str">
        <f aca="false">IF($BR292&lt;&gt;Constants!$B$8,"",IF($AL292,Constants!$B$21*$AN292+Constants!$B$22*IF($AO292,$AP292,Constants!$B$23),Constants!$B$24))</f>
        <v/>
      </c>
      <c r="BD292" s="96" t="str">
        <f aca="false">IF($BR292&lt;&gt;Constants!$B$8,"",Constants!$B$25*ABS($AD$9-IF($AL292,$AM292,0)))</f>
        <v/>
      </c>
      <c r="BE292" s="96" t="str">
        <f aca="false">IF($BR292&lt;&gt;Constants!$B$8,"",IF(AND($AL292,$AQ292,$AO292),Constants!$B$27,0))</f>
        <v/>
      </c>
      <c r="BF292" s="96" t="str">
        <f aca="false">IF($BR292&lt;&gt;Constants!$B$8,"",IF($AL292,($AI292-Constants!$B$29)*Constants!$B$28,0))</f>
        <v/>
      </c>
      <c r="BG292" s="96" t="str">
        <f aca="false">IF($BR292&lt;&gt;Constants!$B$8,"",IF($AK292,0,Constants!$B$15)+IF($AJ292,0,Constants!$B$16)+IF($AH292,0,Constants!$B$17))</f>
        <v/>
      </c>
      <c r="BH292" s="97" t="str">
        <f aca="false">IF($BR292&lt;&gt;Constants!$B$8,"",Constants!$B$20+SUM($BC292:$BG292))</f>
        <v/>
      </c>
      <c r="BI292" s="92" t="str">
        <f aca="false">IF($BR292&lt;&gt;Constants!$B$8,"",IF(OR($BP292&lt;$BH292,AND($BP292=$BH292,OR($BK292&lt;$BC292,AND($BK292=$BC292,OR($BL292&lt;$BD292,AND($BL292=$BD292,$AT292,$AL292,$AV292&lt;$AN292)))))),"-&gt;","&lt;-"))</f>
        <v/>
      </c>
      <c r="BJ292" s="91" t="str">
        <f aca="false">IF(ISBLANK($C292),"",AND($AT292,OR($AU292="",$AV292="",AND($AW292,$AX292=""))))</f>
        <v/>
      </c>
      <c r="BK292" s="93" t="str">
        <f aca="false">IF($BR292&lt;&gt;Constants!$B$8,"",IF($AT292,Constants!$B$21*$AV292+Constants!$B$22*IF($AW292,$AX292,Constants!$B$23),Constants!$B$24))</f>
        <v/>
      </c>
      <c r="BL292" s="96" t="str">
        <f aca="false">IF($BR292&lt;&gt;Constants!$B$8,"",Constants!$B$25*ABS($AD$9-IF($AT292,$AU292,0)))</f>
        <v/>
      </c>
      <c r="BM292" s="96" t="str">
        <f aca="false">IF($BR292&lt;&gt;Constants!$B$8,"",IF(AND($AT292,$AY292,$AW292),Constants!$B$27,0))</f>
        <v/>
      </c>
      <c r="BN292" s="96" t="str">
        <f aca="false">IF($BR292&lt;&gt;Constants!$B$8,"",IF($AT292,($AI292-Constants!$B$29)*Constants!$B$28,0))</f>
        <v/>
      </c>
      <c r="BO292" s="96" t="str">
        <f aca="false">IF($BR292&lt;&gt;Constants!$B$8,"",IF($AS292,0,Constants!$B$15)+IF($AR292,0,Constants!$B$16)+IF($AH292,0,Constants!$B$17))</f>
        <v/>
      </c>
      <c r="BP292" s="97" t="str">
        <f aca="false">IF($BR292&lt;&gt;Constants!$B$8,"",Constants!$B$20+SUM($BK292:$BO292))</f>
        <v/>
      </c>
      <c r="BQ292" s="92" t="str">
        <f aca="false">IF(ISBLANK($C292),"",IF(ISBLANK($D$7),$BQ$5,IF(NOT(ISNUMBER($D$7)),$BQ$6,"")))</f>
        <v/>
      </c>
      <c r="BR292" s="92" t="str">
        <f aca="false">IF(ISBLANK($C292),"",IF($BA292,Constants!$B$11,IF(COUNTA($E292:$AA292)=0,Constants!$B$10,IF(NOT($AG292),Constants!$B$9,IF(OR($BQ292&lt;&gt;"",$BB292,$BJ292),Constants!$B$12,Constants!$B$8)))))</f>
        <v/>
      </c>
      <c r="BS292" s="92" t="str">
        <f aca="false">IF(ISBLANK($C292),"",IF($BR292&lt;&gt;Constants!$B$8,$BR292,Constants!$B$13))</f>
        <v/>
      </c>
      <c r="BT292" s="96" t="str">
        <f aca="false">IF($BR292&lt;&gt;Constants!$B$8,"",IF($BI292="-&gt;",$BP292,$BH292))</f>
        <v/>
      </c>
      <c r="BU292" s="96" t="str">
        <f aca="false">IF($BR292&lt;&gt;Constants!$B$8,"",IF($AF292,0,Constants!$B$18))</f>
        <v/>
      </c>
      <c r="BV292" s="96" t="str">
        <f aca="false">IF($BR292&lt;&gt;Constants!$B$8,"",((Constants!$B$31-$AZ292)-Constants!$B$31)/Constants!$B$32)</f>
        <v/>
      </c>
      <c r="BW292" s="96" t="str">
        <f aca="false">IF(ISBLANK($C292),"",IF($BR292&lt;&gt;Constants!$B$8,$BR292,SUM($BT292:$BV292)))</f>
        <v/>
      </c>
      <c r="BX292" s="92" t="str">
        <f aca="false">IF(ISBLANK($C292),"",IF($BR292&lt;&gt;Constants!$B$8,$BR292,RANK($BW292,$BW$9:$BW$508,1)))</f>
        <v/>
      </c>
      <c r="BY292" s="96" t="str">
        <f aca="false">IF($BR292&lt;&gt;Constants!$B$8,"",IF($BI292="-&gt;",$BK292,$BC292))</f>
        <v/>
      </c>
      <c r="BZ292" s="92" t="str">
        <f aca="false">IF(ISBLANK($C292),"",IF($BR292&lt;&gt;Constants!$B$8,$BR292,IF(ISNUMBER($BY292),RANK($BY292,$BY$9:$BY$508,1),COUNT($BY$9:$BY$508)+1)))</f>
        <v/>
      </c>
      <c r="CA292" s="96" t="str">
        <f aca="false">IF($BR292&lt;&gt;Constants!$B$8,"",IF($BI292="-&gt;",$BL292,$BD292))</f>
        <v/>
      </c>
      <c r="CB292" s="92" t="str">
        <f aca="false">IF(ISBLANK($C292),"",IF($BR292&lt;&gt;Constants!$B$8,$BR292,IF(ISNUMBER($CA292),RANK($CA292,$CA$9:$CA$508,1),COUNT($CA$9:$CA$508)+1)))</f>
        <v/>
      </c>
      <c r="CC292" s="96" t="str">
        <f aca="false">IF($BR292&lt;&gt;Constants!$B$8,"",IF($BI292="-&gt;",IF($AT292,$AV292,""),IF($AL292,$AN292,"")))</f>
        <v/>
      </c>
      <c r="CD292" s="92" t="str">
        <f aca="false">IF(ISBLANK($C292),"",IF($BR292&lt;&gt;Constants!$B$8,$BR292,IF(ISNUMBER($CC292),RANK($CC292,$CC$9:$CC$508,1),COUNT($CC$9:$CC$508)+1)))</f>
        <v/>
      </c>
      <c r="CE292" s="96" t="str">
        <f aca="false">IF($BR292&lt;&gt;Constants!$B$8,"",IF(AND(NOT($AL292),NOT($AT292),$AJ292,$AK292,$AR292,$AS292),"",$AI292))</f>
        <v/>
      </c>
      <c r="CF292" s="92" t="str">
        <f aca="false">IF(ISBLANK($C292),"",IF($BR292&lt;&gt;Constants!$B$8,$BR292,IF(ISNUMBER($CE292),RANK($CE292,$CE$9:$CE$508,1),COUNT($CE$9:$CE$508)+1)))</f>
        <v/>
      </c>
      <c r="CG292" s="92" t="str">
        <f aca="false">IF(ISBLANK($C292),"",IF($BR292&lt;&gt;Constants!$B$8,$BR292,COUNTIFS($BX$9:$BX$508,"&lt;"&amp;$BX292)+COUNTIFS($BX$9:$BX$508,$BX292,$BZ$9:$BZ$508,"&lt;"&amp;$BZ292)+COUNTIFS($BX$9:$BX$508,$BX292,$BZ$9:$BZ$508,$BZ292,$CB$9:$CB$508,"&lt;"&amp;$CB292)+COUNTIFS($BX$9:$BX$508,$BX292,$BZ$9:$BZ$508,$BZ292,$CB$9:$CB$508,$CB292,$CD$9:$CD$508,"&lt;"&amp;$CD292)+COUNTIFS($BX$9:$BX$508,$BX292,$BZ$9:$BZ$508,$BZ292,$CB$9:$CB$508,$CB292,$CD$9:$CD$508,$CD292,$CF$9:$CF$508,"&lt;"&amp;$CF292)+1))</f>
        <v/>
      </c>
      <c r="CH292" s="92" t="str">
        <f aca="false">IF(ISBLANK($C292),"",IF($BR292&lt;&gt;Constants!$B$8,$BR292,$BX292-$CG292))</f>
        <v/>
      </c>
      <c r="CI292" s="98"/>
      <c r="CJ292" s="99"/>
      <c r="CK292" s="100" t="str">
        <f aca="false">IF(ISBLANK($C292),"",IF($BR292=Constants!$B$12,$BQ292,""))</f>
        <v/>
      </c>
      <c r="CL292" s="99" t="str">
        <f aca="false">IF(ISBLANK($C292),"",IF($BR292&lt;&gt;Constants!$B$8,"",IF($BI292="-&gt;",2,1)))</f>
        <v/>
      </c>
      <c r="CM292" s="101" t="str">
        <f aca="false">IF(ISBLANK($C292),"",IF($BR292&lt;&gt;Constants!$B$8,"",IF($BI292="-&gt;",$BK292,$BC292)))</f>
        <v/>
      </c>
      <c r="CN292" s="101" t="str">
        <f aca="false">IF(ISBLANK($C292),"",IF($BR292&lt;&gt;Constants!$B$8,"",IF($BI292="-&gt;",$BL292,$BD292)))</f>
        <v/>
      </c>
      <c r="CO292" s="101" t="str">
        <f aca="false">IF(ISBLANK($C292),"",IF($BR292&lt;&gt;Constants!$B$8,"",IF($BI292="-&gt;",$BM292+$BN292,$BE292+$BF292)+$BV292))</f>
        <v/>
      </c>
      <c r="CP292" s="101" t="str">
        <f aca="false">IF(ISBLANK($C292),"",IF($BR292&lt;&gt;Constants!$B$8,"",IF($BI292="-&gt;",$BO292,$BG292)+$BU292))</f>
        <v/>
      </c>
      <c r="CQ292" s="102" t="str">
        <f aca="false">IF(ISBLANK($C292),"",IF($BR292&lt;&gt;Constants!$B$8,$BR292,$BW292))</f>
        <v/>
      </c>
      <c r="CR292" s="103" t="str">
        <f aca="false">IF(ISBLANK($C292),"",$BS292)</f>
        <v/>
      </c>
      <c r="CS292" s="104" t="str">
        <f aca="false">IF(ISBLANK($C292),"",$CH292)</f>
        <v/>
      </c>
      <c r="CT292" s="104" t="str">
        <f aca="false">IF(ISBLANK($C292),"",$CG292)</f>
        <v/>
      </c>
      <c r="CU292" s="105" t="str">
        <f aca="false">IF(ISBLANK($C292),"",IFERROR(_xlfn.SWITCH($CT292,Constants!$B$11,COUNTA($C$9:$C$508)+2,Constants!$B$10,COUNTA($C$9:$C$508)+1,Constants!$B$9,COUNTA($C$9:$C$508)),$CT292))</f>
        <v/>
      </c>
      <c r="CV292" s="9"/>
      <c r="CW292" s="106" t="n">
        <f aca="false">IF(OR(ISNUMBER($CT292),$CT292=Constants!$B$11,$CT292=Constants!$B$9,$CT292=Constants!$B$10),1,0)</f>
        <v>0</v>
      </c>
      <c r="CX292" s="106" t="n">
        <v>284</v>
      </c>
      <c r="CY292" s="106" t="str">
        <f aca="false">IF(ISBLANK($C292),"",IF(ISNUMBER($CU292),$CU292+ROW($B292)/1000,""))</f>
        <v/>
      </c>
      <c r="CZ292" s="106" t="str">
        <f aca="false">IF(ISNUMBER($CY292),RANK($CY292,$CY$9:$CY$508,1),"")</f>
        <v/>
      </c>
      <c r="DA292" s="106" t="str">
        <f aca="false">IF(ISBLANK($C292),"",$B292)</f>
        <v/>
      </c>
      <c r="DB292" s="106" t="str">
        <f aca="false">IF(ISBLANK($C292),"",$C292)</f>
        <v/>
      </c>
      <c r="DC292" s="106" t="str">
        <f aca="false">IF(ISBLANK($C292),"",$D292)</f>
        <v/>
      </c>
      <c r="DD292" s="107" t="str">
        <f aca="false">$CR292</f>
        <v/>
      </c>
      <c r="DE292" s="108" t="str">
        <f aca="false">$CQ292</f>
        <v/>
      </c>
      <c r="DF292" s="106" t="str">
        <f aca="false">IF(ISBLANK($C292),"",$CT292)</f>
        <v/>
      </c>
      <c r="DG292" s="109" t="str">
        <f aca="false">IF($CX292&gt;$CW$8,"",VLOOKUP($CX292,$CZ$9:$DF$508,7,FALSE()))</f>
        <v/>
      </c>
      <c r="DH292" s="110" t="str">
        <f aca="false">IF($CX292&gt;$CW$8,"",VLOOKUP($CX292,$CZ$9:$DF$508,2,FALSE()))</f>
        <v/>
      </c>
      <c r="DI292" s="110" t="str">
        <f aca="false">IF($CX292&gt;$CW$8,"",VLOOKUP($CX292,$CZ$9:$DF$508,3,FALSE()))</f>
        <v/>
      </c>
      <c r="DJ292" s="110" t="str">
        <f aca="false">IF($CX292&gt;$CW$8,"",VLOOKUP($CX292,$CZ$9:$DF$508,4,FALSE()))</f>
        <v/>
      </c>
      <c r="DK292" s="110" t="str">
        <f aca="false">IF($CX292&gt;$CW$8,"",VLOOKUP($CX292,$CZ$9:$DF$508,5,FALSE()))</f>
        <v/>
      </c>
      <c r="DL292" s="111" t="str">
        <f aca="false">IF($CX292&gt;$CW$8,"",VLOOKUP($CX292,$CZ$9:$DF$508,6,FALSE()))</f>
        <v/>
      </c>
      <c r="DM292" s="75"/>
    </row>
    <row r="293" customFormat="false" ht="15.75" hidden="false" customHeight="false" outlineLevel="0" collapsed="false">
      <c r="A293" s="9"/>
      <c r="B293" s="77"/>
      <c r="C293" s="78"/>
      <c r="D293" s="167"/>
      <c r="E293" s="175"/>
      <c r="F293" s="169"/>
      <c r="G293" s="170"/>
      <c r="H293" s="170"/>
      <c r="I293" s="176"/>
      <c r="J293" s="173"/>
      <c r="K293" s="85"/>
      <c r="L293" s="86"/>
      <c r="M293" s="87"/>
      <c r="N293" s="173"/>
      <c r="O293" s="173"/>
      <c r="P293" s="175"/>
      <c r="Q293" s="173"/>
      <c r="R293" s="173"/>
      <c r="S293" s="85"/>
      <c r="T293" s="87"/>
      <c r="U293" s="87"/>
      <c r="V293" s="173"/>
      <c r="W293" s="173"/>
      <c r="X293" s="175"/>
      <c r="Y293" s="173"/>
      <c r="Z293" s="174"/>
      <c r="AA293" s="173"/>
      <c r="AB293" s="91"/>
      <c r="AC293" s="92"/>
      <c r="AD293" s="92"/>
      <c r="AE293" s="92"/>
      <c r="AF293" s="92" t="str">
        <f aca="false">IF(ISBLANK($C293),"",IF(E293=Constants!$B$3,TRUE(),IF(E293=Constants!$B$4,FALSE(),TRUE())))</f>
        <v/>
      </c>
      <c r="AG293" s="92" t="str">
        <f aca="false">IF(ISBLANK($C293),"",IF(F293=Constants!$B$3,TRUE(),IF(F293=Constants!$B$4,FALSE(),TRUE())))</f>
        <v/>
      </c>
      <c r="AH293" s="92" t="str">
        <f aca="false">IF(ISBLANK($C293),"",IF(G293=Constants!$B$3,TRUE(),IF(G293=Constants!$B$4,FALSE(),TRUE())))</f>
        <v/>
      </c>
      <c r="AI293" s="92" t="str">
        <f aca="false">IF(ISBLANK($C293),"",IF(AND(ISNUMBER(H293),H293&gt;=0),H293,Constants!$B$29))</f>
        <v/>
      </c>
      <c r="AJ293" s="92" t="str">
        <f aca="false">IF(ISBLANK($C293),"",IF(I293=Constants!$B$3,TRUE(),IF(I293=Constants!$B$4,FALSE(),TRUE())))</f>
        <v/>
      </c>
      <c r="AK293" s="92" t="str">
        <f aca="false">IF(ISBLANK($C293),"",IF(J293=Constants!$B$3,TRUE(),IF(J293=Constants!$B$4,FALSE(),TRUE())))</f>
        <v/>
      </c>
      <c r="AL293" s="92" t="str">
        <f aca="false">IF(ISBLANK($C293),"",IF(K293=Constants!$B$5,TRUE(),IF(K293=Constants!$B$6,FALSE(),COUNTA(L293:P293)&gt;0)))</f>
        <v/>
      </c>
      <c r="AM293" s="94" t="str">
        <f aca="false">IF(ISBLANK($C293),"",IF(ISNUMBER(L293),IF(L293&gt;=0,L293,""),""))</f>
        <v/>
      </c>
      <c r="AN293" s="93" t="str">
        <f aca="false">IF(ISBLANK($C293),"",IF(ISNUMBER(M293),IF(M293&gt;=0,M293,""),""))</f>
        <v/>
      </c>
      <c r="AO293" s="93" t="str">
        <f aca="false">IF(ISBLANK($C293),"",IF(N293=Constants!$B$3,TRUE(),IF(N293=Constants!$B$4,FALSE(),TRUE())))</f>
        <v/>
      </c>
      <c r="AP293" s="92" t="str">
        <f aca="false">IF(ISBLANK($C293),"",IF(ISNUMBER(O293),IF(O293&gt;=0,O293,""),""))</f>
        <v/>
      </c>
      <c r="AQ293" s="92" t="str">
        <f aca="false">IF(ISBLANK($C293),"",IF(P293=Constants!$B$3,TRUE(),IF(P293=Constants!$B$4,FALSE(),FALSE())))</f>
        <v/>
      </c>
      <c r="AR293" s="92" t="str">
        <f aca="false">IF(ISBLANK($C293),"",IF(Q293=Constants!$B$3,TRUE(),IF(Q293=Constants!$B$4,FALSE(),TRUE())))</f>
        <v/>
      </c>
      <c r="AS293" s="92" t="str">
        <f aca="false">IF(ISBLANK($C293),"",IF(R293=Constants!$B$3,TRUE(),IF(R293=Constants!$B$4,FALSE(),TRUE())))</f>
        <v/>
      </c>
      <c r="AT293" s="92" t="str">
        <f aca="false">IF(ISBLANK($C293),"",IF(S293=Constants!$B$5,TRUE(),IF(S293=Constants!$B$6,FALSE(),COUNTA(T293:X293)&gt;0)))</f>
        <v/>
      </c>
      <c r="AU293" s="94" t="str">
        <f aca="false">IF(ISBLANK($C293),"",IF(ISNUMBER(T293),IF(T293&gt;=0,T293,""),""))</f>
        <v/>
      </c>
      <c r="AV293" s="93" t="str">
        <f aca="false">IF(ISBLANK($C293),"",IF(ISNUMBER(U293),IF(U293&gt;=0,U293,""),""))</f>
        <v/>
      </c>
      <c r="AW293" s="93" t="str">
        <f aca="false">IF(ISBLANK($C293),"",IF(V293=Constants!$B$3,TRUE(),IF(V293=Constants!$B$4,FALSE(),TRUE())))</f>
        <v/>
      </c>
      <c r="AX293" s="92" t="str">
        <f aca="false">IF(ISBLANK($C293),"",IF(ISNUMBER(W293),IF(W293&gt;=0,W293,""),""))</f>
        <v/>
      </c>
      <c r="AY293" s="92" t="str">
        <f aca="false">IF(ISBLANK($C293),"",IF(X293=Constants!$B$3,TRUE(),IF(X293=Constants!$B$4,FALSE(),FALSE())))</f>
        <v/>
      </c>
      <c r="AZ293" s="92" t="str">
        <f aca="false">IF(ISBLANK($C293),"",MIN(Constants!$B$31,MAX(0,IF(ISNUMBER(Y293),Y293*60,0)+IF(ISNUMBER(Z293),Z293,0))))</f>
        <v/>
      </c>
      <c r="BA293" s="92" t="str">
        <f aca="false">IF(ISBLANK($C293),"",IF(AA293=Constants!$B$3,TRUE(),IF(AA293=Constants!$B$4,FALSE(),FALSE())))</f>
        <v/>
      </c>
      <c r="BB293" s="91" t="str">
        <f aca="false">IF(ISBLANK($C293),"",AND($AL293,OR($AM293="",$AN293="",AND($AO293,$AP293=""))))</f>
        <v/>
      </c>
      <c r="BC293" s="93" t="str">
        <f aca="false">IF($BR293&lt;&gt;Constants!$B$8,"",IF($AL293,Constants!$B$21*$AN293+Constants!$B$22*IF($AO293,$AP293,Constants!$B$23),Constants!$B$24))</f>
        <v/>
      </c>
      <c r="BD293" s="96" t="str">
        <f aca="false">IF($BR293&lt;&gt;Constants!$B$8,"",Constants!$B$25*ABS($AD$9-IF($AL293,$AM293,0)))</f>
        <v/>
      </c>
      <c r="BE293" s="96" t="str">
        <f aca="false">IF($BR293&lt;&gt;Constants!$B$8,"",IF(AND($AL293,$AQ293,$AO293),Constants!$B$27,0))</f>
        <v/>
      </c>
      <c r="BF293" s="96" t="str">
        <f aca="false">IF($BR293&lt;&gt;Constants!$B$8,"",IF($AL293,($AI293-Constants!$B$29)*Constants!$B$28,0))</f>
        <v/>
      </c>
      <c r="BG293" s="96" t="str">
        <f aca="false">IF($BR293&lt;&gt;Constants!$B$8,"",IF($AK293,0,Constants!$B$15)+IF($AJ293,0,Constants!$B$16)+IF($AH293,0,Constants!$B$17))</f>
        <v/>
      </c>
      <c r="BH293" s="97" t="str">
        <f aca="false">IF($BR293&lt;&gt;Constants!$B$8,"",Constants!$B$20+SUM($BC293:$BG293))</f>
        <v/>
      </c>
      <c r="BI293" s="92" t="str">
        <f aca="false">IF($BR293&lt;&gt;Constants!$B$8,"",IF(OR($BP293&lt;$BH293,AND($BP293=$BH293,OR($BK293&lt;$BC293,AND($BK293=$BC293,OR($BL293&lt;$BD293,AND($BL293=$BD293,$AT293,$AL293,$AV293&lt;$AN293)))))),"-&gt;","&lt;-"))</f>
        <v/>
      </c>
      <c r="BJ293" s="91" t="str">
        <f aca="false">IF(ISBLANK($C293),"",AND($AT293,OR($AU293="",$AV293="",AND($AW293,$AX293=""))))</f>
        <v/>
      </c>
      <c r="BK293" s="93" t="str">
        <f aca="false">IF($BR293&lt;&gt;Constants!$B$8,"",IF($AT293,Constants!$B$21*$AV293+Constants!$B$22*IF($AW293,$AX293,Constants!$B$23),Constants!$B$24))</f>
        <v/>
      </c>
      <c r="BL293" s="96" t="str">
        <f aca="false">IF($BR293&lt;&gt;Constants!$B$8,"",Constants!$B$25*ABS($AD$9-IF($AT293,$AU293,0)))</f>
        <v/>
      </c>
      <c r="BM293" s="96" t="str">
        <f aca="false">IF($BR293&lt;&gt;Constants!$B$8,"",IF(AND($AT293,$AY293,$AW293),Constants!$B$27,0))</f>
        <v/>
      </c>
      <c r="BN293" s="96" t="str">
        <f aca="false">IF($BR293&lt;&gt;Constants!$B$8,"",IF($AT293,($AI293-Constants!$B$29)*Constants!$B$28,0))</f>
        <v/>
      </c>
      <c r="BO293" s="96" t="str">
        <f aca="false">IF($BR293&lt;&gt;Constants!$B$8,"",IF($AS293,0,Constants!$B$15)+IF($AR293,0,Constants!$B$16)+IF($AH293,0,Constants!$B$17))</f>
        <v/>
      </c>
      <c r="BP293" s="97" t="str">
        <f aca="false">IF($BR293&lt;&gt;Constants!$B$8,"",Constants!$B$20+SUM($BK293:$BO293))</f>
        <v/>
      </c>
      <c r="BQ293" s="92" t="str">
        <f aca="false">IF(ISBLANK($C293),"",IF(ISBLANK($D$7),$BQ$5,IF(NOT(ISNUMBER($D$7)),$BQ$6,"")))</f>
        <v/>
      </c>
      <c r="BR293" s="92" t="str">
        <f aca="false">IF(ISBLANK($C293),"",IF($BA293,Constants!$B$11,IF(COUNTA($E293:$AA293)=0,Constants!$B$10,IF(NOT($AG293),Constants!$B$9,IF(OR($BQ293&lt;&gt;"",$BB293,$BJ293),Constants!$B$12,Constants!$B$8)))))</f>
        <v/>
      </c>
      <c r="BS293" s="92" t="str">
        <f aca="false">IF(ISBLANK($C293),"",IF($BR293&lt;&gt;Constants!$B$8,$BR293,Constants!$B$13))</f>
        <v/>
      </c>
      <c r="BT293" s="96" t="str">
        <f aca="false">IF($BR293&lt;&gt;Constants!$B$8,"",IF($BI293="-&gt;",$BP293,$BH293))</f>
        <v/>
      </c>
      <c r="BU293" s="96" t="str">
        <f aca="false">IF($BR293&lt;&gt;Constants!$B$8,"",IF($AF293,0,Constants!$B$18))</f>
        <v/>
      </c>
      <c r="BV293" s="96" t="str">
        <f aca="false">IF($BR293&lt;&gt;Constants!$B$8,"",((Constants!$B$31-$AZ293)-Constants!$B$31)/Constants!$B$32)</f>
        <v/>
      </c>
      <c r="BW293" s="96" t="str">
        <f aca="false">IF(ISBLANK($C293),"",IF($BR293&lt;&gt;Constants!$B$8,$BR293,SUM($BT293:$BV293)))</f>
        <v/>
      </c>
      <c r="BX293" s="92" t="str">
        <f aca="false">IF(ISBLANK($C293),"",IF($BR293&lt;&gt;Constants!$B$8,$BR293,RANK($BW293,$BW$9:$BW$508,1)))</f>
        <v/>
      </c>
      <c r="BY293" s="96" t="str">
        <f aca="false">IF($BR293&lt;&gt;Constants!$B$8,"",IF($BI293="-&gt;",$BK293,$BC293))</f>
        <v/>
      </c>
      <c r="BZ293" s="92" t="str">
        <f aca="false">IF(ISBLANK($C293),"",IF($BR293&lt;&gt;Constants!$B$8,$BR293,IF(ISNUMBER($BY293),RANK($BY293,$BY$9:$BY$508,1),COUNT($BY$9:$BY$508)+1)))</f>
        <v/>
      </c>
      <c r="CA293" s="96" t="str">
        <f aca="false">IF($BR293&lt;&gt;Constants!$B$8,"",IF($BI293="-&gt;",$BL293,$BD293))</f>
        <v/>
      </c>
      <c r="CB293" s="92" t="str">
        <f aca="false">IF(ISBLANK($C293),"",IF($BR293&lt;&gt;Constants!$B$8,$BR293,IF(ISNUMBER($CA293),RANK($CA293,$CA$9:$CA$508,1),COUNT($CA$9:$CA$508)+1)))</f>
        <v/>
      </c>
      <c r="CC293" s="96" t="str">
        <f aca="false">IF($BR293&lt;&gt;Constants!$B$8,"",IF($BI293="-&gt;",IF($AT293,$AV293,""),IF($AL293,$AN293,"")))</f>
        <v/>
      </c>
      <c r="CD293" s="92" t="str">
        <f aca="false">IF(ISBLANK($C293),"",IF($BR293&lt;&gt;Constants!$B$8,$BR293,IF(ISNUMBER($CC293),RANK($CC293,$CC$9:$CC$508,1),COUNT($CC$9:$CC$508)+1)))</f>
        <v/>
      </c>
      <c r="CE293" s="96" t="str">
        <f aca="false">IF($BR293&lt;&gt;Constants!$B$8,"",IF(AND(NOT($AL293),NOT($AT293),$AJ293,$AK293,$AR293,$AS293),"",$AI293))</f>
        <v/>
      </c>
      <c r="CF293" s="92" t="str">
        <f aca="false">IF(ISBLANK($C293),"",IF($BR293&lt;&gt;Constants!$B$8,$BR293,IF(ISNUMBER($CE293),RANK($CE293,$CE$9:$CE$508,1),COUNT($CE$9:$CE$508)+1)))</f>
        <v/>
      </c>
      <c r="CG293" s="92" t="str">
        <f aca="false">IF(ISBLANK($C293),"",IF($BR293&lt;&gt;Constants!$B$8,$BR293,COUNTIFS($BX$9:$BX$508,"&lt;"&amp;$BX293)+COUNTIFS($BX$9:$BX$508,$BX293,$BZ$9:$BZ$508,"&lt;"&amp;$BZ293)+COUNTIFS($BX$9:$BX$508,$BX293,$BZ$9:$BZ$508,$BZ293,$CB$9:$CB$508,"&lt;"&amp;$CB293)+COUNTIFS($BX$9:$BX$508,$BX293,$BZ$9:$BZ$508,$BZ293,$CB$9:$CB$508,$CB293,$CD$9:$CD$508,"&lt;"&amp;$CD293)+COUNTIFS($BX$9:$BX$508,$BX293,$BZ$9:$BZ$508,$BZ293,$CB$9:$CB$508,$CB293,$CD$9:$CD$508,$CD293,$CF$9:$CF$508,"&lt;"&amp;$CF293)+1))</f>
        <v/>
      </c>
      <c r="CH293" s="92" t="str">
        <f aca="false">IF(ISBLANK($C293),"",IF($BR293&lt;&gt;Constants!$B$8,$BR293,$BX293-$CG293))</f>
        <v/>
      </c>
      <c r="CI293" s="98"/>
      <c r="CJ293" s="99"/>
      <c r="CK293" s="100" t="str">
        <f aca="false">IF(ISBLANK($C293),"",IF($BR293=Constants!$B$12,$BQ293,""))</f>
        <v/>
      </c>
      <c r="CL293" s="99" t="str">
        <f aca="false">IF(ISBLANK($C293),"",IF($BR293&lt;&gt;Constants!$B$8,"",IF($BI293="-&gt;",2,1)))</f>
        <v/>
      </c>
      <c r="CM293" s="101" t="str">
        <f aca="false">IF(ISBLANK($C293),"",IF($BR293&lt;&gt;Constants!$B$8,"",IF($BI293="-&gt;",$BK293,$BC293)))</f>
        <v/>
      </c>
      <c r="CN293" s="101" t="str">
        <f aca="false">IF(ISBLANK($C293),"",IF($BR293&lt;&gt;Constants!$B$8,"",IF($BI293="-&gt;",$BL293,$BD293)))</f>
        <v/>
      </c>
      <c r="CO293" s="101" t="str">
        <f aca="false">IF(ISBLANK($C293),"",IF($BR293&lt;&gt;Constants!$B$8,"",IF($BI293="-&gt;",$BM293+$BN293,$BE293+$BF293)+$BV293))</f>
        <v/>
      </c>
      <c r="CP293" s="101" t="str">
        <f aca="false">IF(ISBLANK($C293),"",IF($BR293&lt;&gt;Constants!$B$8,"",IF($BI293="-&gt;",$BO293,$BG293)+$BU293))</f>
        <v/>
      </c>
      <c r="CQ293" s="102" t="str">
        <f aca="false">IF(ISBLANK($C293),"",IF($BR293&lt;&gt;Constants!$B$8,$BR293,$BW293))</f>
        <v/>
      </c>
      <c r="CR293" s="103" t="str">
        <f aca="false">IF(ISBLANK($C293),"",$BS293)</f>
        <v/>
      </c>
      <c r="CS293" s="104" t="str">
        <f aca="false">IF(ISBLANK($C293),"",$CH293)</f>
        <v/>
      </c>
      <c r="CT293" s="104" t="str">
        <f aca="false">IF(ISBLANK($C293),"",$CG293)</f>
        <v/>
      </c>
      <c r="CU293" s="105" t="str">
        <f aca="false">IF(ISBLANK($C293),"",IFERROR(_xlfn.SWITCH($CT293,Constants!$B$11,COUNTA($C$9:$C$508)+2,Constants!$B$10,COUNTA($C$9:$C$508)+1,Constants!$B$9,COUNTA($C$9:$C$508)),$CT293))</f>
        <v/>
      </c>
      <c r="CV293" s="9"/>
      <c r="CW293" s="106" t="n">
        <f aca="false">IF(OR(ISNUMBER($CT293),$CT293=Constants!$B$11,$CT293=Constants!$B$9,$CT293=Constants!$B$10),1,0)</f>
        <v>0</v>
      </c>
      <c r="CX293" s="106" t="n">
        <v>285</v>
      </c>
      <c r="CY293" s="106" t="str">
        <f aca="false">IF(ISBLANK($C293),"",IF(ISNUMBER($CU293),$CU293+ROW($B293)/1000,""))</f>
        <v/>
      </c>
      <c r="CZ293" s="106" t="str">
        <f aca="false">IF(ISNUMBER($CY293),RANK($CY293,$CY$9:$CY$508,1),"")</f>
        <v/>
      </c>
      <c r="DA293" s="106" t="str">
        <f aca="false">IF(ISBLANK($C293),"",$B293)</f>
        <v/>
      </c>
      <c r="DB293" s="106" t="str">
        <f aca="false">IF(ISBLANK($C293),"",$C293)</f>
        <v/>
      </c>
      <c r="DC293" s="106" t="str">
        <f aca="false">IF(ISBLANK($C293),"",$D293)</f>
        <v/>
      </c>
      <c r="DD293" s="107" t="str">
        <f aca="false">$CR293</f>
        <v/>
      </c>
      <c r="DE293" s="108" t="str">
        <f aca="false">$CQ293</f>
        <v/>
      </c>
      <c r="DF293" s="106" t="str">
        <f aca="false">IF(ISBLANK($C293),"",$CT293)</f>
        <v/>
      </c>
      <c r="DG293" s="109" t="str">
        <f aca="false">IF($CX293&gt;$CW$8,"",VLOOKUP($CX293,$CZ$9:$DF$508,7,FALSE()))</f>
        <v/>
      </c>
      <c r="DH293" s="110" t="str">
        <f aca="false">IF($CX293&gt;$CW$8,"",VLOOKUP($CX293,$CZ$9:$DF$508,2,FALSE()))</f>
        <v/>
      </c>
      <c r="DI293" s="110" t="str">
        <f aca="false">IF($CX293&gt;$CW$8,"",VLOOKUP($CX293,$CZ$9:$DF$508,3,FALSE()))</f>
        <v/>
      </c>
      <c r="DJ293" s="110" t="str">
        <f aca="false">IF($CX293&gt;$CW$8,"",VLOOKUP($CX293,$CZ$9:$DF$508,4,FALSE()))</f>
        <v/>
      </c>
      <c r="DK293" s="110" t="str">
        <f aca="false">IF($CX293&gt;$CW$8,"",VLOOKUP($CX293,$CZ$9:$DF$508,5,FALSE()))</f>
        <v/>
      </c>
      <c r="DL293" s="111" t="str">
        <f aca="false">IF($CX293&gt;$CW$8,"",VLOOKUP($CX293,$CZ$9:$DF$508,6,FALSE()))</f>
        <v/>
      </c>
      <c r="DM293" s="75"/>
    </row>
    <row r="294" customFormat="false" ht="15.75" hidden="false" customHeight="false" outlineLevel="0" collapsed="false">
      <c r="A294" s="9"/>
      <c r="B294" s="157"/>
      <c r="C294" s="158"/>
      <c r="D294" s="159"/>
      <c r="E294" s="177"/>
      <c r="F294" s="161"/>
      <c r="G294" s="162"/>
      <c r="H294" s="162"/>
      <c r="I294" s="178"/>
      <c r="J294" s="165"/>
      <c r="K294" s="126"/>
      <c r="L294" s="127"/>
      <c r="M294" s="128"/>
      <c r="N294" s="165"/>
      <c r="O294" s="165"/>
      <c r="P294" s="177"/>
      <c r="Q294" s="165"/>
      <c r="R294" s="165"/>
      <c r="S294" s="126"/>
      <c r="T294" s="128"/>
      <c r="U294" s="128"/>
      <c r="V294" s="165"/>
      <c r="W294" s="165"/>
      <c r="X294" s="177"/>
      <c r="Y294" s="165"/>
      <c r="Z294" s="166"/>
      <c r="AA294" s="165"/>
      <c r="AB294" s="132"/>
      <c r="AC294" s="133"/>
      <c r="AD294" s="133"/>
      <c r="AE294" s="133"/>
      <c r="AF294" s="133" t="str">
        <f aca="false">IF(ISBLANK($C294),"",IF(E294=Constants!$B$3,TRUE(),IF(E294=Constants!$B$4,FALSE(),TRUE())))</f>
        <v/>
      </c>
      <c r="AG294" s="133" t="str">
        <f aca="false">IF(ISBLANK($C294),"",IF(F294=Constants!$B$3,TRUE(),IF(F294=Constants!$B$4,FALSE(),TRUE())))</f>
        <v/>
      </c>
      <c r="AH294" s="133" t="str">
        <f aca="false">IF(ISBLANK($C294),"",IF(G294=Constants!$B$3,TRUE(),IF(G294=Constants!$B$4,FALSE(),TRUE())))</f>
        <v/>
      </c>
      <c r="AI294" s="133" t="str">
        <f aca="false">IF(ISBLANK($C294),"",IF(AND(ISNUMBER(H294),H294&gt;=0),H294,Constants!$B$29))</f>
        <v/>
      </c>
      <c r="AJ294" s="133" t="str">
        <f aca="false">IF(ISBLANK($C294),"",IF(I294=Constants!$B$3,TRUE(),IF(I294=Constants!$B$4,FALSE(),TRUE())))</f>
        <v/>
      </c>
      <c r="AK294" s="133" t="str">
        <f aca="false">IF(ISBLANK($C294),"",IF(J294=Constants!$B$3,TRUE(),IF(J294=Constants!$B$4,FALSE(),TRUE())))</f>
        <v/>
      </c>
      <c r="AL294" s="133" t="str">
        <f aca="false">IF(ISBLANK($C294),"",IF(K294=Constants!$B$5,TRUE(),IF(K294=Constants!$B$6,FALSE(),COUNTA(L294:P294)&gt;0)))</f>
        <v/>
      </c>
      <c r="AM294" s="134" t="str">
        <f aca="false">IF(ISBLANK($C294),"",IF(ISNUMBER(L294),IF(L294&gt;=0,L294,""),""))</f>
        <v/>
      </c>
      <c r="AN294" s="135" t="str">
        <f aca="false">IF(ISBLANK($C294),"",IF(ISNUMBER(M294),IF(M294&gt;=0,M294,""),""))</f>
        <v/>
      </c>
      <c r="AO294" s="135" t="str">
        <f aca="false">IF(ISBLANK($C294),"",IF(N294=Constants!$B$3,TRUE(),IF(N294=Constants!$B$4,FALSE(),TRUE())))</f>
        <v/>
      </c>
      <c r="AP294" s="133" t="str">
        <f aca="false">IF(ISBLANK($C294),"",IF(ISNUMBER(O294),IF(O294&gt;=0,O294,""),""))</f>
        <v/>
      </c>
      <c r="AQ294" s="133" t="str">
        <f aca="false">IF(ISBLANK($C294),"",IF(P294=Constants!$B$3,TRUE(),IF(P294=Constants!$B$4,FALSE(),FALSE())))</f>
        <v/>
      </c>
      <c r="AR294" s="133" t="str">
        <f aca="false">IF(ISBLANK($C294),"",IF(Q294=Constants!$B$3,TRUE(),IF(Q294=Constants!$B$4,FALSE(),TRUE())))</f>
        <v/>
      </c>
      <c r="AS294" s="133" t="str">
        <f aca="false">IF(ISBLANK($C294),"",IF(R294=Constants!$B$3,TRUE(),IF(R294=Constants!$B$4,FALSE(),TRUE())))</f>
        <v/>
      </c>
      <c r="AT294" s="133" t="str">
        <f aca="false">IF(ISBLANK($C294),"",IF(S294=Constants!$B$5,TRUE(),IF(S294=Constants!$B$6,FALSE(),COUNTA(T294:X294)&gt;0)))</f>
        <v/>
      </c>
      <c r="AU294" s="134" t="str">
        <f aca="false">IF(ISBLANK($C294),"",IF(ISNUMBER(T294),IF(T294&gt;=0,T294,""),""))</f>
        <v/>
      </c>
      <c r="AV294" s="135" t="str">
        <f aca="false">IF(ISBLANK($C294),"",IF(ISNUMBER(U294),IF(U294&gt;=0,U294,""),""))</f>
        <v/>
      </c>
      <c r="AW294" s="135" t="str">
        <f aca="false">IF(ISBLANK($C294),"",IF(V294=Constants!$B$3,TRUE(),IF(V294=Constants!$B$4,FALSE(),TRUE())))</f>
        <v/>
      </c>
      <c r="AX294" s="133" t="str">
        <f aca="false">IF(ISBLANK($C294),"",IF(ISNUMBER(W294),IF(W294&gt;=0,W294,""),""))</f>
        <v/>
      </c>
      <c r="AY294" s="133" t="str">
        <f aca="false">IF(ISBLANK($C294),"",IF(X294=Constants!$B$3,TRUE(),IF(X294=Constants!$B$4,FALSE(),FALSE())))</f>
        <v/>
      </c>
      <c r="AZ294" s="133" t="str">
        <f aca="false">IF(ISBLANK($C294),"",MIN(Constants!$B$31,MAX(0,IF(ISNUMBER(Y294),Y294*60,0)+IF(ISNUMBER(Z294),Z294,0))))</f>
        <v/>
      </c>
      <c r="BA294" s="133" t="str">
        <f aca="false">IF(ISBLANK($C294),"",IF(AA294=Constants!$B$3,TRUE(),IF(AA294=Constants!$B$4,FALSE(),FALSE())))</f>
        <v/>
      </c>
      <c r="BB294" s="132" t="str">
        <f aca="false">IF(ISBLANK($C294),"",AND($AL294,OR($AM294="",$AN294="",AND($AO294,$AP294=""))))</f>
        <v/>
      </c>
      <c r="BC294" s="135" t="str">
        <f aca="false">IF($BR294&lt;&gt;Constants!$B$8,"",IF($AL294,Constants!$B$21*$AN294+Constants!$B$22*IF($AO294,$AP294,Constants!$B$23),Constants!$B$24))</f>
        <v/>
      </c>
      <c r="BD294" s="136" t="str">
        <f aca="false">IF($BR294&lt;&gt;Constants!$B$8,"",Constants!$B$25*ABS($AD$9-IF($AL294,$AM294,0)))</f>
        <v/>
      </c>
      <c r="BE294" s="136" t="str">
        <f aca="false">IF($BR294&lt;&gt;Constants!$B$8,"",IF(AND($AL294,$AQ294,$AO294),Constants!$B$27,0))</f>
        <v/>
      </c>
      <c r="BF294" s="136" t="str">
        <f aca="false">IF($BR294&lt;&gt;Constants!$B$8,"",IF($AL294,($AI294-Constants!$B$29)*Constants!$B$28,0))</f>
        <v/>
      </c>
      <c r="BG294" s="136" t="str">
        <f aca="false">IF($BR294&lt;&gt;Constants!$B$8,"",IF($AK294,0,Constants!$B$15)+IF($AJ294,0,Constants!$B$16)+IF($AH294,0,Constants!$B$17))</f>
        <v/>
      </c>
      <c r="BH294" s="137" t="str">
        <f aca="false">IF($BR294&lt;&gt;Constants!$B$8,"",Constants!$B$20+SUM($BC294:$BG294))</f>
        <v/>
      </c>
      <c r="BI294" s="133" t="str">
        <f aca="false">IF($BR294&lt;&gt;Constants!$B$8,"",IF(OR($BP294&lt;$BH294,AND($BP294=$BH294,OR($BK294&lt;$BC294,AND($BK294=$BC294,OR($BL294&lt;$BD294,AND($BL294=$BD294,$AT294,$AL294,$AV294&lt;$AN294)))))),"-&gt;","&lt;-"))</f>
        <v/>
      </c>
      <c r="BJ294" s="132" t="str">
        <f aca="false">IF(ISBLANK($C294),"",AND($AT294,OR($AU294="",$AV294="",AND($AW294,$AX294=""))))</f>
        <v/>
      </c>
      <c r="BK294" s="135" t="str">
        <f aca="false">IF($BR294&lt;&gt;Constants!$B$8,"",IF($AT294,Constants!$B$21*$AV294+Constants!$B$22*IF($AW294,$AX294,Constants!$B$23),Constants!$B$24))</f>
        <v/>
      </c>
      <c r="BL294" s="136" t="str">
        <f aca="false">IF($BR294&lt;&gt;Constants!$B$8,"",Constants!$B$25*ABS($AD$9-IF($AT294,$AU294,0)))</f>
        <v/>
      </c>
      <c r="BM294" s="136" t="str">
        <f aca="false">IF($BR294&lt;&gt;Constants!$B$8,"",IF(AND($AT294,$AY294,$AW294),Constants!$B$27,0))</f>
        <v/>
      </c>
      <c r="BN294" s="136" t="str">
        <f aca="false">IF($BR294&lt;&gt;Constants!$B$8,"",IF($AT294,($AI294-Constants!$B$29)*Constants!$B$28,0))</f>
        <v/>
      </c>
      <c r="BO294" s="136" t="str">
        <f aca="false">IF($BR294&lt;&gt;Constants!$B$8,"",IF($AS294,0,Constants!$B$15)+IF($AR294,0,Constants!$B$16)+IF($AH294,0,Constants!$B$17))</f>
        <v/>
      </c>
      <c r="BP294" s="137" t="str">
        <f aca="false">IF($BR294&lt;&gt;Constants!$B$8,"",Constants!$B$20+SUM($BK294:$BO294))</f>
        <v/>
      </c>
      <c r="BQ294" s="133" t="str">
        <f aca="false">IF(ISBLANK($C294),"",IF(ISBLANK($D$7),$BQ$5,IF(NOT(ISNUMBER($D$7)),$BQ$6,"")))</f>
        <v/>
      </c>
      <c r="BR294" s="133" t="str">
        <f aca="false">IF(ISBLANK($C294),"",IF($BA294,Constants!$B$11,IF(COUNTA($E294:$AA294)=0,Constants!$B$10,IF(NOT($AG294),Constants!$B$9,IF(OR($BQ294&lt;&gt;"",$BB294,$BJ294),Constants!$B$12,Constants!$B$8)))))</f>
        <v/>
      </c>
      <c r="BS294" s="133" t="str">
        <f aca="false">IF(ISBLANK($C294),"",IF($BR294&lt;&gt;Constants!$B$8,$BR294,Constants!$B$13))</f>
        <v/>
      </c>
      <c r="BT294" s="136" t="str">
        <f aca="false">IF($BR294&lt;&gt;Constants!$B$8,"",IF($BI294="-&gt;",$BP294,$BH294))</f>
        <v/>
      </c>
      <c r="BU294" s="136" t="str">
        <f aca="false">IF($BR294&lt;&gt;Constants!$B$8,"",IF($AF294,0,Constants!$B$18))</f>
        <v/>
      </c>
      <c r="BV294" s="136" t="str">
        <f aca="false">IF($BR294&lt;&gt;Constants!$B$8,"",((Constants!$B$31-$AZ294)-Constants!$B$31)/Constants!$B$32)</f>
        <v/>
      </c>
      <c r="BW294" s="136" t="str">
        <f aca="false">IF(ISBLANK($C294),"",IF($BR294&lt;&gt;Constants!$B$8,$BR294,SUM($BT294:$BV294)))</f>
        <v/>
      </c>
      <c r="BX294" s="133" t="str">
        <f aca="false">IF(ISBLANK($C294),"",IF($BR294&lt;&gt;Constants!$B$8,$BR294,RANK($BW294,$BW$9:$BW$508,1)))</f>
        <v/>
      </c>
      <c r="BY294" s="136" t="str">
        <f aca="false">IF($BR294&lt;&gt;Constants!$B$8,"",IF($BI294="-&gt;",$BK294,$BC294))</f>
        <v/>
      </c>
      <c r="BZ294" s="133" t="str">
        <f aca="false">IF(ISBLANK($C294),"",IF($BR294&lt;&gt;Constants!$B$8,$BR294,IF(ISNUMBER($BY294),RANK($BY294,$BY$9:$BY$508,1),COUNT($BY$9:$BY$508)+1)))</f>
        <v/>
      </c>
      <c r="CA294" s="136" t="str">
        <f aca="false">IF($BR294&lt;&gt;Constants!$B$8,"",IF($BI294="-&gt;",$BL294,$BD294))</f>
        <v/>
      </c>
      <c r="CB294" s="133" t="str">
        <f aca="false">IF(ISBLANK($C294),"",IF($BR294&lt;&gt;Constants!$B$8,$BR294,IF(ISNUMBER($CA294),RANK($CA294,$CA$9:$CA$508,1),COUNT($CA$9:$CA$508)+1)))</f>
        <v/>
      </c>
      <c r="CC294" s="136" t="str">
        <f aca="false">IF($BR294&lt;&gt;Constants!$B$8,"",IF($BI294="-&gt;",IF($AT294,$AV294,""),IF($AL294,$AN294,"")))</f>
        <v/>
      </c>
      <c r="CD294" s="133" t="str">
        <f aca="false">IF(ISBLANK($C294),"",IF($BR294&lt;&gt;Constants!$B$8,$BR294,IF(ISNUMBER($CC294),RANK($CC294,$CC$9:$CC$508,1),COUNT($CC$9:$CC$508)+1)))</f>
        <v/>
      </c>
      <c r="CE294" s="136" t="str">
        <f aca="false">IF($BR294&lt;&gt;Constants!$B$8,"",IF(AND(NOT($AL294),NOT($AT294),$AJ294,$AK294,$AR294,$AS294),"",$AI294))</f>
        <v/>
      </c>
      <c r="CF294" s="133" t="str">
        <f aca="false">IF(ISBLANK($C294),"",IF($BR294&lt;&gt;Constants!$B$8,$BR294,IF(ISNUMBER($CE294),RANK($CE294,$CE$9:$CE$508,1),COUNT($CE$9:$CE$508)+1)))</f>
        <v/>
      </c>
      <c r="CG294" s="133" t="str">
        <f aca="false">IF(ISBLANK($C294),"",IF($BR294&lt;&gt;Constants!$B$8,$BR294,COUNTIFS($BX$9:$BX$508,"&lt;"&amp;$BX294)+COUNTIFS($BX$9:$BX$508,$BX294,$BZ$9:$BZ$508,"&lt;"&amp;$BZ294)+COUNTIFS($BX$9:$BX$508,$BX294,$BZ$9:$BZ$508,$BZ294,$CB$9:$CB$508,"&lt;"&amp;$CB294)+COUNTIFS($BX$9:$BX$508,$BX294,$BZ$9:$BZ$508,$BZ294,$CB$9:$CB$508,$CB294,$CD$9:$CD$508,"&lt;"&amp;$CD294)+COUNTIFS($BX$9:$BX$508,$BX294,$BZ$9:$BZ$508,$BZ294,$CB$9:$CB$508,$CB294,$CD$9:$CD$508,$CD294,$CF$9:$CF$508,"&lt;"&amp;$CF294)+1))</f>
        <v/>
      </c>
      <c r="CH294" s="133" t="str">
        <f aca="false">IF(ISBLANK($C294),"",IF($BR294&lt;&gt;Constants!$B$8,$BR294,$BX294-$CG294))</f>
        <v/>
      </c>
      <c r="CI294" s="138"/>
      <c r="CJ294" s="139"/>
      <c r="CK294" s="140" t="str">
        <f aca="false">IF(ISBLANK($C294),"",IF($BR294=Constants!$B$12,$BQ294,""))</f>
        <v/>
      </c>
      <c r="CL294" s="139" t="str">
        <f aca="false">IF(ISBLANK($C294),"",IF($BR294&lt;&gt;Constants!$B$8,"",IF($BI294="-&gt;",2,1)))</f>
        <v/>
      </c>
      <c r="CM294" s="141" t="str">
        <f aca="false">IF(ISBLANK($C294),"",IF($BR294&lt;&gt;Constants!$B$8,"",IF($BI294="-&gt;",$BK294,$BC294)))</f>
        <v/>
      </c>
      <c r="CN294" s="141" t="str">
        <f aca="false">IF(ISBLANK($C294),"",IF($BR294&lt;&gt;Constants!$B$8,"",IF($BI294="-&gt;",$BL294,$BD294)))</f>
        <v/>
      </c>
      <c r="CO294" s="141" t="str">
        <f aca="false">IF(ISBLANK($C294),"",IF($BR294&lt;&gt;Constants!$B$8,"",IF($BI294="-&gt;",$BM294+$BN294,$BE294+$BF294)+$BV294))</f>
        <v/>
      </c>
      <c r="CP294" s="141" t="str">
        <f aca="false">IF(ISBLANK($C294),"",IF($BR294&lt;&gt;Constants!$B$8,"",IF($BI294="-&gt;",$BO294,$BG294)+$BU294))</f>
        <v/>
      </c>
      <c r="CQ294" s="142" t="str">
        <f aca="false">IF(ISBLANK($C294),"",IF($BR294&lt;&gt;Constants!$B$8,$BR294,$BW294))</f>
        <v/>
      </c>
      <c r="CR294" s="143" t="str">
        <f aca="false">IF(ISBLANK($C294),"",$BS294)</f>
        <v/>
      </c>
      <c r="CS294" s="144" t="str">
        <f aca="false">IF(ISBLANK($C294),"",$CH294)</f>
        <v/>
      </c>
      <c r="CT294" s="144" t="str">
        <f aca="false">IF(ISBLANK($C294),"",$CG294)</f>
        <v/>
      </c>
      <c r="CU294" s="145" t="str">
        <f aca="false">IF(ISBLANK($C294),"",IFERROR(_xlfn.SWITCH($CT294,Constants!$B$11,COUNTA($C$9:$C$508)+2,Constants!$B$10,COUNTA($C$9:$C$508)+1,Constants!$B$9,COUNTA($C$9:$C$508)),$CT294))</f>
        <v/>
      </c>
      <c r="CV294" s="9"/>
      <c r="CW294" s="146" t="n">
        <f aca="false">IF(OR(ISNUMBER($CT294),$CT294=Constants!$B$11,$CT294=Constants!$B$9,$CT294=Constants!$B$10),1,0)</f>
        <v>0</v>
      </c>
      <c r="CX294" s="146" t="n">
        <v>286</v>
      </c>
      <c r="CY294" s="146" t="str">
        <f aca="false">IF(ISBLANK($C294),"",IF(ISNUMBER($CU294),$CU294+ROW($B294)/1000,""))</f>
        <v/>
      </c>
      <c r="CZ294" s="146" t="str">
        <f aca="false">IF(ISNUMBER($CY294),RANK($CY294,$CY$9:$CY$508,1),"")</f>
        <v/>
      </c>
      <c r="DA294" s="146" t="str">
        <f aca="false">IF(ISBLANK($C294),"",$B294)</f>
        <v/>
      </c>
      <c r="DB294" s="146" t="str">
        <f aca="false">IF(ISBLANK($C294),"",$C294)</f>
        <v/>
      </c>
      <c r="DC294" s="146" t="str">
        <f aca="false">IF(ISBLANK($C294),"",$D294)</f>
        <v/>
      </c>
      <c r="DD294" s="147" t="str">
        <f aca="false">$CR294</f>
        <v/>
      </c>
      <c r="DE294" s="148" t="str">
        <f aca="false">$CQ294</f>
        <v/>
      </c>
      <c r="DF294" s="146" t="str">
        <f aca="false">IF(ISBLANK($C294),"",$CT294)</f>
        <v/>
      </c>
      <c r="DG294" s="149" t="str">
        <f aca="false">IF($CX294&gt;$CW$8,"",VLOOKUP($CX294,$CZ$9:$DF$508,7,FALSE()))</f>
        <v/>
      </c>
      <c r="DH294" s="150" t="str">
        <f aca="false">IF($CX294&gt;$CW$8,"",VLOOKUP($CX294,$CZ$9:$DF$508,2,FALSE()))</f>
        <v/>
      </c>
      <c r="DI294" s="150" t="str">
        <f aca="false">IF($CX294&gt;$CW$8,"",VLOOKUP($CX294,$CZ$9:$DF$508,3,FALSE()))</f>
        <v/>
      </c>
      <c r="DJ294" s="150" t="str">
        <f aca="false">IF($CX294&gt;$CW$8,"",VLOOKUP($CX294,$CZ$9:$DF$508,4,FALSE()))</f>
        <v/>
      </c>
      <c r="DK294" s="150" t="str">
        <f aca="false">IF($CX294&gt;$CW$8,"",VLOOKUP($CX294,$CZ$9:$DF$508,5,FALSE()))</f>
        <v/>
      </c>
      <c r="DL294" s="151" t="str">
        <f aca="false">IF($CX294&gt;$CW$8,"",VLOOKUP($CX294,$CZ$9:$DF$508,6,FALSE()))</f>
        <v/>
      </c>
      <c r="DM294" s="75"/>
    </row>
    <row r="295" customFormat="false" ht="15.75" hidden="false" customHeight="false" outlineLevel="0" collapsed="false">
      <c r="A295" s="9"/>
      <c r="B295" s="157"/>
      <c r="C295" s="158"/>
      <c r="D295" s="159"/>
      <c r="E295" s="177"/>
      <c r="F295" s="161"/>
      <c r="G295" s="162"/>
      <c r="H295" s="162"/>
      <c r="I295" s="178"/>
      <c r="J295" s="165"/>
      <c r="K295" s="126"/>
      <c r="L295" s="127"/>
      <c r="M295" s="128"/>
      <c r="N295" s="165"/>
      <c r="O295" s="165"/>
      <c r="P295" s="177"/>
      <c r="Q295" s="165"/>
      <c r="R295" s="165"/>
      <c r="S295" s="126"/>
      <c r="T295" s="128"/>
      <c r="U295" s="128"/>
      <c r="V295" s="165"/>
      <c r="W295" s="165"/>
      <c r="X295" s="177"/>
      <c r="Y295" s="165"/>
      <c r="Z295" s="166"/>
      <c r="AA295" s="165"/>
      <c r="AB295" s="132"/>
      <c r="AC295" s="133"/>
      <c r="AD295" s="133"/>
      <c r="AE295" s="133"/>
      <c r="AF295" s="133" t="str">
        <f aca="false">IF(ISBLANK($C295),"",IF(E295=Constants!$B$3,TRUE(),IF(E295=Constants!$B$4,FALSE(),TRUE())))</f>
        <v/>
      </c>
      <c r="AG295" s="133" t="str">
        <f aca="false">IF(ISBLANK($C295),"",IF(F295=Constants!$B$3,TRUE(),IF(F295=Constants!$B$4,FALSE(),TRUE())))</f>
        <v/>
      </c>
      <c r="AH295" s="133" t="str">
        <f aca="false">IF(ISBLANK($C295),"",IF(G295=Constants!$B$3,TRUE(),IF(G295=Constants!$B$4,FALSE(),TRUE())))</f>
        <v/>
      </c>
      <c r="AI295" s="133" t="str">
        <f aca="false">IF(ISBLANK($C295),"",IF(AND(ISNUMBER(H295),H295&gt;=0),H295,Constants!$B$29))</f>
        <v/>
      </c>
      <c r="AJ295" s="133" t="str">
        <f aca="false">IF(ISBLANK($C295),"",IF(I295=Constants!$B$3,TRUE(),IF(I295=Constants!$B$4,FALSE(),TRUE())))</f>
        <v/>
      </c>
      <c r="AK295" s="133" t="str">
        <f aca="false">IF(ISBLANK($C295),"",IF(J295=Constants!$B$3,TRUE(),IF(J295=Constants!$B$4,FALSE(),TRUE())))</f>
        <v/>
      </c>
      <c r="AL295" s="133" t="str">
        <f aca="false">IF(ISBLANK($C295),"",IF(K295=Constants!$B$5,TRUE(),IF(K295=Constants!$B$6,FALSE(),COUNTA(L295:P295)&gt;0)))</f>
        <v/>
      </c>
      <c r="AM295" s="134" t="str">
        <f aca="false">IF(ISBLANK($C295),"",IF(ISNUMBER(L295),IF(L295&gt;=0,L295,""),""))</f>
        <v/>
      </c>
      <c r="AN295" s="135" t="str">
        <f aca="false">IF(ISBLANK($C295),"",IF(ISNUMBER(M295),IF(M295&gt;=0,M295,""),""))</f>
        <v/>
      </c>
      <c r="AO295" s="135" t="str">
        <f aca="false">IF(ISBLANK($C295),"",IF(N295=Constants!$B$3,TRUE(),IF(N295=Constants!$B$4,FALSE(),TRUE())))</f>
        <v/>
      </c>
      <c r="AP295" s="133" t="str">
        <f aca="false">IF(ISBLANK($C295),"",IF(ISNUMBER(O295),IF(O295&gt;=0,O295,""),""))</f>
        <v/>
      </c>
      <c r="AQ295" s="133" t="str">
        <f aca="false">IF(ISBLANK($C295),"",IF(P295=Constants!$B$3,TRUE(),IF(P295=Constants!$B$4,FALSE(),FALSE())))</f>
        <v/>
      </c>
      <c r="AR295" s="133" t="str">
        <f aca="false">IF(ISBLANK($C295),"",IF(Q295=Constants!$B$3,TRUE(),IF(Q295=Constants!$B$4,FALSE(),TRUE())))</f>
        <v/>
      </c>
      <c r="AS295" s="133" t="str">
        <f aca="false">IF(ISBLANK($C295),"",IF(R295=Constants!$B$3,TRUE(),IF(R295=Constants!$B$4,FALSE(),TRUE())))</f>
        <v/>
      </c>
      <c r="AT295" s="133" t="str">
        <f aca="false">IF(ISBLANK($C295),"",IF(S295=Constants!$B$5,TRUE(),IF(S295=Constants!$B$6,FALSE(),COUNTA(T295:X295)&gt;0)))</f>
        <v/>
      </c>
      <c r="AU295" s="134" t="str">
        <f aca="false">IF(ISBLANK($C295),"",IF(ISNUMBER(T295),IF(T295&gt;=0,T295,""),""))</f>
        <v/>
      </c>
      <c r="AV295" s="135" t="str">
        <f aca="false">IF(ISBLANK($C295),"",IF(ISNUMBER(U295),IF(U295&gt;=0,U295,""),""))</f>
        <v/>
      </c>
      <c r="AW295" s="135" t="str">
        <f aca="false">IF(ISBLANK($C295),"",IF(V295=Constants!$B$3,TRUE(),IF(V295=Constants!$B$4,FALSE(),TRUE())))</f>
        <v/>
      </c>
      <c r="AX295" s="133" t="str">
        <f aca="false">IF(ISBLANK($C295),"",IF(ISNUMBER(W295),IF(W295&gt;=0,W295,""),""))</f>
        <v/>
      </c>
      <c r="AY295" s="133" t="str">
        <f aca="false">IF(ISBLANK($C295),"",IF(X295=Constants!$B$3,TRUE(),IF(X295=Constants!$B$4,FALSE(),FALSE())))</f>
        <v/>
      </c>
      <c r="AZ295" s="133" t="str">
        <f aca="false">IF(ISBLANK($C295),"",MIN(Constants!$B$31,MAX(0,IF(ISNUMBER(Y295),Y295*60,0)+IF(ISNUMBER(Z295),Z295,0))))</f>
        <v/>
      </c>
      <c r="BA295" s="133" t="str">
        <f aca="false">IF(ISBLANK($C295),"",IF(AA295=Constants!$B$3,TRUE(),IF(AA295=Constants!$B$4,FALSE(),FALSE())))</f>
        <v/>
      </c>
      <c r="BB295" s="132" t="str">
        <f aca="false">IF(ISBLANK($C295),"",AND($AL295,OR($AM295="",$AN295="",AND($AO295,$AP295=""))))</f>
        <v/>
      </c>
      <c r="BC295" s="135" t="str">
        <f aca="false">IF($BR295&lt;&gt;Constants!$B$8,"",IF($AL295,Constants!$B$21*$AN295+Constants!$B$22*IF($AO295,$AP295,Constants!$B$23),Constants!$B$24))</f>
        <v/>
      </c>
      <c r="BD295" s="136" t="str">
        <f aca="false">IF($BR295&lt;&gt;Constants!$B$8,"",Constants!$B$25*ABS($AD$9-IF($AL295,$AM295,0)))</f>
        <v/>
      </c>
      <c r="BE295" s="136" t="str">
        <f aca="false">IF($BR295&lt;&gt;Constants!$B$8,"",IF(AND($AL295,$AQ295,$AO295),Constants!$B$27,0))</f>
        <v/>
      </c>
      <c r="BF295" s="136" t="str">
        <f aca="false">IF($BR295&lt;&gt;Constants!$B$8,"",IF($AL295,($AI295-Constants!$B$29)*Constants!$B$28,0))</f>
        <v/>
      </c>
      <c r="BG295" s="136" t="str">
        <f aca="false">IF($BR295&lt;&gt;Constants!$B$8,"",IF($AK295,0,Constants!$B$15)+IF($AJ295,0,Constants!$B$16)+IF($AH295,0,Constants!$B$17))</f>
        <v/>
      </c>
      <c r="BH295" s="137" t="str">
        <f aca="false">IF($BR295&lt;&gt;Constants!$B$8,"",Constants!$B$20+SUM($BC295:$BG295))</f>
        <v/>
      </c>
      <c r="BI295" s="133" t="str">
        <f aca="false">IF($BR295&lt;&gt;Constants!$B$8,"",IF(OR($BP295&lt;$BH295,AND($BP295=$BH295,OR($BK295&lt;$BC295,AND($BK295=$BC295,OR($BL295&lt;$BD295,AND($BL295=$BD295,$AT295,$AL295,$AV295&lt;$AN295)))))),"-&gt;","&lt;-"))</f>
        <v/>
      </c>
      <c r="BJ295" s="132" t="str">
        <f aca="false">IF(ISBLANK($C295),"",AND($AT295,OR($AU295="",$AV295="",AND($AW295,$AX295=""))))</f>
        <v/>
      </c>
      <c r="BK295" s="135" t="str">
        <f aca="false">IF($BR295&lt;&gt;Constants!$B$8,"",IF($AT295,Constants!$B$21*$AV295+Constants!$B$22*IF($AW295,$AX295,Constants!$B$23),Constants!$B$24))</f>
        <v/>
      </c>
      <c r="BL295" s="136" t="str">
        <f aca="false">IF($BR295&lt;&gt;Constants!$B$8,"",Constants!$B$25*ABS($AD$9-IF($AT295,$AU295,0)))</f>
        <v/>
      </c>
      <c r="BM295" s="136" t="str">
        <f aca="false">IF($BR295&lt;&gt;Constants!$B$8,"",IF(AND($AT295,$AY295,$AW295),Constants!$B$27,0))</f>
        <v/>
      </c>
      <c r="BN295" s="136" t="str">
        <f aca="false">IF($BR295&lt;&gt;Constants!$B$8,"",IF($AT295,($AI295-Constants!$B$29)*Constants!$B$28,0))</f>
        <v/>
      </c>
      <c r="BO295" s="136" t="str">
        <f aca="false">IF($BR295&lt;&gt;Constants!$B$8,"",IF($AS295,0,Constants!$B$15)+IF($AR295,0,Constants!$B$16)+IF($AH295,0,Constants!$B$17))</f>
        <v/>
      </c>
      <c r="BP295" s="137" t="str">
        <f aca="false">IF($BR295&lt;&gt;Constants!$B$8,"",Constants!$B$20+SUM($BK295:$BO295))</f>
        <v/>
      </c>
      <c r="BQ295" s="133" t="str">
        <f aca="false">IF(ISBLANK($C295),"",IF(ISBLANK($D$7),$BQ$5,IF(NOT(ISNUMBER($D$7)),$BQ$6,"")))</f>
        <v/>
      </c>
      <c r="BR295" s="133" t="str">
        <f aca="false">IF(ISBLANK($C295),"",IF($BA295,Constants!$B$11,IF(COUNTA($E295:$AA295)=0,Constants!$B$10,IF(NOT($AG295),Constants!$B$9,IF(OR($BQ295&lt;&gt;"",$BB295,$BJ295),Constants!$B$12,Constants!$B$8)))))</f>
        <v/>
      </c>
      <c r="BS295" s="133" t="str">
        <f aca="false">IF(ISBLANK($C295),"",IF($BR295&lt;&gt;Constants!$B$8,$BR295,Constants!$B$13))</f>
        <v/>
      </c>
      <c r="BT295" s="136" t="str">
        <f aca="false">IF($BR295&lt;&gt;Constants!$B$8,"",IF($BI295="-&gt;",$BP295,$BH295))</f>
        <v/>
      </c>
      <c r="BU295" s="136" t="str">
        <f aca="false">IF($BR295&lt;&gt;Constants!$B$8,"",IF($AF295,0,Constants!$B$18))</f>
        <v/>
      </c>
      <c r="BV295" s="136" t="str">
        <f aca="false">IF($BR295&lt;&gt;Constants!$B$8,"",((Constants!$B$31-$AZ295)-Constants!$B$31)/Constants!$B$32)</f>
        <v/>
      </c>
      <c r="BW295" s="136" t="str">
        <f aca="false">IF(ISBLANK($C295),"",IF($BR295&lt;&gt;Constants!$B$8,$BR295,SUM($BT295:$BV295)))</f>
        <v/>
      </c>
      <c r="BX295" s="133" t="str">
        <f aca="false">IF(ISBLANK($C295),"",IF($BR295&lt;&gt;Constants!$B$8,$BR295,RANK($BW295,$BW$9:$BW$508,1)))</f>
        <v/>
      </c>
      <c r="BY295" s="136" t="str">
        <f aca="false">IF($BR295&lt;&gt;Constants!$B$8,"",IF($BI295="-&gt;",$BK295,$BC295))</f>
        <v/>
      </c>
      <c r="BZ295" s="133" t="str">
        <f aca="false">IF(ISBLANK($C295),"",IF($BR295&lt;&gt;Constants!$B$8,$BR295,IF(ISNUMBER($BY295),RANK($BY295,$BY$9:$BY$508,1),COUNT($BY$9:$BY$508)+1)))</f>
        <v/>
      </c>
      <c r="CA295" s="136" t="str">
        <f aca="false">IF($BR295&lt;&gt;Constants!$B$8,"",IF($BI295="-&gt;",$BL295,$BD295))</f>
        <v/>
      </c>
      <c r="CB295" s="133" t="str">
        <f aca="false">IF(ISBLANK($C295),"",IF($BR295&lt;&gt;Constants!$B$8,$BR295,IF(ISNUMBER($CA295),RANK($CA295,$CA$9:$CA$508,1),COUNT($CA$9:$CA$508)+1)))</f>
        <v/>
      </c>
      <c r="CC295" s="136" t="str">
        <f aca="false">IF($BR295&lt;&gt;Constants!$B$8,"",IF($BI295="-&gt;",IF($AT295,$AV295,""),IF($AL295,$AN295,"")))</f>
        <v/>
      </c>
      <c r="CD295" s="133" t="str">
        <f aca="false">IF(ISBLANK($C295),"",IF($BR295&lt;&gt;Constants!$B$8,$BR295,IF(ISNUMBER($CC295),RANK($CC295,$CC$9:$CC$508,1),COUNT($CC$9:$CC$508)+1)))</f>
        <v/>
      </c>
      <c r="CE295" s="136" t="str">
        <f aca="false">IF($BR295&lt;&gt;Constants!$B$8,"",IF(AND(NOT($AL295),NOT($AT295),$AJ295,$AK295,$AR295,$AS295),"",$AI295))</f>
        <v/>
      </c>
      <c r="CF295" s="133" t="str">
        <f aca="false">IF(ISBLANK($C295),"",IF($BR295&lt;&gt;Constants!$B$8,$BR295,IF(ISNUMBER($CE295),RANK($CE295,$CE$9:$CE$508,1),COUNT($CE$9:$CE$508)+1)))</f>
        <v/>
      </c>
      <c r="CG295" s="133" t="str">
        <f aca="false">IF(ISBLANK($C295),"",IF($BR295&lt;&gt;Constants!$B$8,$BR295,COUNTIFS($BX$9:$BX$508,"&lt;"&amp;$BX295)+COUNTIFS($BX$9:$BX$508,$BX295,$BZ$9:$BZ$508,"&lt;"&amp;$BZ295)+COUNTIFS($BX$9:$BX$508,$BX295,$BZ$9:$BZ$508,$BZ295,$CB$9:$CB$508,"&lt;"&amp;$CB295)+COUNTIFS($BX$9:$BX$508,$BX295,$BZ$9:$BZ$508,$BZ295,$CB$9:$CB$508,$CB295,$CD$9:$CD$508,"&lt;"&amp;$CD295)+COUNTIFS($BX$9:$BX$508,$BX295,$BZ$9:$BZ$508,$BZ295,$CB$9:$CB$508,$CB295,$CD$9:$CD$508,$CD295,$CF$9:$CF$508,"&lt;"&amp;$CF295)+1))</f>
        <v/>
      </c>
      <c r="CH295" s="133" t="str">
        <f aca="false">IF(ISBLANK($C295),"",IF($BR295&lt;&gt;Constants!$B$8,$BR295,$BX295-$CG295))</f>
        <v/>
      </c>
      <c r="CI295" s="138"/>
      <c r="CJ295" s="139"/>
      <c r="CK295" s="140" t="str">
        <f aca="false">IF(ISBLANK($C295),"",IF($BR295=Constants!$B$12,$BQ295,""))</f>
        <v/>
      </c>
      <c r="CL295" s="139" t="str">
        <f aca="false">IF(ISBLANK($C295),"",IF($BR295&lt;&gt;Constants!$B$8,"",IF($BI295="-&gt;",2,1)))</f>
        <v/>
      </c>
      <c r="CM295" s="141" t="str">
        <f aca="false">IF(ISBLANK($C295),"",IF($BR295&lt;&gt;Constants!$B$8,"",IF($BI295="-&gt;",$BK295,$BC295)))</f>
        <v/>
      </c>
      <c r="CN295" s="141" t="str">
        <f aca="false">IF(ISBLANK($C295),"",IF($BR295&lt;&gt;Constants!$B$8,"",IF($BI295="-&gt;",$BL295,$BD295)))</f>
        <v/>
      </c>
      <c r="CO295" s="141" t="str">
        <f aca="false">IF(ISBLANK($C295),"",IF($BR295&lt;&gt;Constants!$B$8,"",IF($BI295="-&gt;",$BM295+$BN295,$BE295+$BF295)+$BV295))</f>
        <v/>
      </c>
      <c r="CP295" s="141" t="str">
        <f aca="false">IF(ISBLANK($C295),"",IF($BR295&lt;&gt;Constants!$B$8,"",IF($BI295="-&gt;",$BO295,$BG295)+$BU295))</f>
        <v/>
      </c>
      <c r="CQ295" s="142" t="str">
        <f aca="false">IF(ISBLANK($C295),"",IF($BR295&lt;&gt;Constants!$B$8,$BR295,$BW295))</f>
        <v/>
      </c>
      <c r="CR295" s="143" t="str">
        <f aca="false">IF(ISBLANK($C295),"",$BS295)</f>
        <v/>
      </c>
      <c r="CS295" s="144" t="str">
        <f aca="false">IF(ISBLANK($C295),"",$CH295)</f>
        <v/>
      </c>
      <c r="CT295" s="144" t="str">
        <f aca="false">IF(ISBLANK($C295),"",$CG295)</f>
        <v/>
      </c>
      <c r="CU295" s="145" t="str">
        <f aca="false">IF(ISBLANK($C295),"",IFERROR(_xlfn.SWITCH($CT295,Constants!$B$11,COUNTA($C$9:$C$508)+2,Constants!$B$10,COUNTA($C$9:$C$508)+1,Constants!$B$9,COUNTA($C$9:$C$508)),$CT295))</f>
        <v/>
      </c>
      <c r="CV295" s="9"/>
      <c r="CW295" s="146" t="n">
        <f aca="false">IF(OR(ISNUMBER($CT295),$CT295=Constants!$B$11,$CT295=Constants!$B$9,$CT295=Constants!$B$10),1,0)</f>
        <v>0</v>
      </c>
      <c r="CX295" s="146" t="n">
        <v>287</v>
      </c>
      <c r="CY295" s="146" t="str">
        <f aca="false">IF(ISBLANK($C295),"",IF(ISNUMBER($CU295),$CU295+ROW($B295)/1000,""))</f>
        <v/>
      </c>
      <c r="CZ295" s="146" t="str">
        <f aca="false">IF(ISNUMBER($CY295),RANK($CY295,$CY$9:$CY$508,1),"")</f>
        <v/>
      </c>
      <c r="DA295" s="146" t="str">
        <f aca="false">IF(ISBLANK($C295),"",$B295)</f>
        <v/>
      </c>
      <c r="DB295" s="146" t="str">
        <f aca="false">IF(ISBLANK($C295),"",$C295)</f>
        <v/>
      </c>
      <c r="DC295" s="146" t="str">
        <f aca="false">IF(ISBLANK($C295),"",$D295)</f>
        <v/>
      </c>
      <c r="DD295" s="147" t="str">
        <f aca="false">$CR295</f>
        <v/>
      </c>
      <c r="DE295" s="148" t="str">
        <f aca="false">$CQ295</f>
        <v/>
      </c>
      <c r="DF295" s="146" t="str">
        <f aca="false">IF(ISBLANK($C295),"",$CT295)</f>
        <v/>
      </c>
      <c r="DG295" s="149" t="str">
        <f aca="false">IF($CX295&gt;$CW$8,"",VLOOKUP($CX295,$CZ$9:$DF$508,7,FALSE()))</f>
        <v/>
      </c>
      <c r="DH295" s="150" t="str">
        <f aca="false">IF($CX295&gt;$CW$8,"",VLOOKUP($CX295,$CZ$9:$DF$508,2,FALSE()))</f>
        <v/>
      </c>
      <c r="DI295" s="150" t="str">
        <f aca="false">IF($CX295&gt;$CW$8,"",VLOOKUP($CX295,$CZ$9:$DF$508,3,FALSE()))</f>
        <v/>
      </c>
      <c r="DJ295" s="150" t="str">
        <f aca="false">IF($CX295&gt;$CW$8,"",VLOOKUP($CX295,$CZ$9:$DF$508,4,FALSE()))</f>
        <v/>
      </c>
      <c r="DK295" s="150" t="str">
        <f aca="false">IF($CX295&gt;$CW$8,"",VLOOKUP($CX295,$CZ$9:$DF$508,5,FALSE()))</f>
        <v/>
      </c>
      <c r="DL295" s="151" t="str">
        <f aca="false">IF($CX295&gt;$CW$8,"",VLOOKUP($CX295,$CZ$9:$DF$508,6,FALSE()))</f>
        <v/>
      </c>
      <c r="DM295" s="75"/>
    </row>
    <row r="296" customFormat="false" ht="15.75" hidden="false" customHeight="false" outlineLevel="0" collapsed="false">
      <c r="A296" s="9"/>
      <c r="B296" s="157"/>
      <c r="C296" s="158"/>
      <c r="D296" s="159"/>
      <c r="E296" s="177"/>
      <c r="F296" s="161"/>
      <c r="G296" s="162"/>
      <c r="H296" s="162"/>
      <c r="I296" s="178"/>
      <c r="J296" s="165"/>
      <c r="K296" s="126"/>
      <c r="L296" s="127"/>
      <c r="M296" s="128"/>
      <c r="N296" s="165"/>
      <c r="O296" s="165"/>
      <c r="P296" s="177"/>
      <c r="Q296" s="165"/>
      <c r="R296" s="165"/>
      <c r="S296" s="126"/>
      <c r="T296" s="128"/>
      <c r="U296" s="128"/>
      <c r="V296" s="165"/>
      <c r="W296" s="165"/>
      <c r="X296" s="177"/>
      <c r="Y296" s="165"/>
      <c r="Z296" s="166"/>
      <c r="AA296" s="165"/>
      <c r="AB296" s="132"/>
      <c r="AC296" s="133"/>
      <c r="AD296" s="133"/>
      <c r="AE296" s="133"/>
      <c r="AF296" s="133" t="str">
        <f aca="false">IF(ISBLANK($C296),"",IF(E296=Constants!$B$3,TRUE(),IF(E296=Constants!$B$4,FALSE(),TRUE())))</f>
        <v/>
      </c>
      <c r="AG296" s="133" t="str">
        <f aca="false">IF(ISBLANK($C296),"",IF(F296=Constants!$B$3,TRUE(),IF(F296=Constants!$B$4,FALSE(),TRUE())))</f>
        <v/>
      </c>
      <c r="AH296" s="133" t="str">
        <f aca="false">IF(ISBLANK($C296),"",IF(G296=Constants!$B$3,TRUE(),IF(G296=Constants!$B$4,FALSE(),TRUE())))</f>
        <v/>
      </c>
      <c r="AI296" s="133" t="str">
        <f aca="false">IF(ISBLANK($C296),"",IF(AND(ISNUMBER(H296),H296&gt;=0),H296,Constants!$B$29))</f>
        <v/>
      </c>
      <c r="AJ296" s="133" t="str">
        <f aca="false">IF(ISBLANK($C296),"",IF(I296=Constants!$B$3,TRUE(),IF(I296=Constants!$B$4,FALSE(),TRUE())))</f>
        <v/>
      </c>
      <c r="AK296" s="133" t="str">
        <f aca="false">IF(ISBLANK($C296),"",IF(J296=Constants!$B$3,TRUE(),IF(J296=Constants!$B$4,FALSE(),TRUE())))</f>
        <v/>
      </c>
      <c r="AL296" s="133" t="str">
        <f aca="false">IF(ISBLANK($C296),"",IF(K296=Constants!$B$5,TRUE(),IF(K296=Constants!$B$6,FALSE(),COUNTA(L296:P296)&gt;0)))</f>
        <v/>
      </c>
      <c r="AM296" s="134" t="str">
        <f aca="false">IF(ISBLANK($C296),"",IF(ISNUMBER(L296),IF(L296&gt;=0,L296,""),""))</f>
        <v/>
      </c>
      <c r="AN296" s="135" t="str">
        <f aca="false">IF(ISBLANK($C296),"",IF(ISNUMBER(M296),IF(M296&gt;=0,M296,""),""))</f>
        <v/>
      </c>
      <c r="AO296" s="135" t="str">
        <f aca="false">IF(ISBLANK($C296),"",IF(N296=Constants!$B$3,TRUE(),IF(N296=Constants!$B$4,FALSE(),TRUE())))</f>
        <v/>
      </c>
      <c r="AP296" s="133" t="str">
        <f aca="false">IF(ISBLANK($C296),"",IF(ISNUMBER(O296),IF(O296&gt;=0,O296,""),""))</f>
        <v/>
      </c>
      <c r="AQ296" s="133" t="str">
        <f aca="false">IF(ISBLANK($C296),"",IF(P296=Constants!$B$3,TRUE(),IF(P296=Constants!$B$4,FALSE(),FALSE())))</f>
        <v/>
      </c>
      <c r="AR296" s="133" t="str">
        <f aca="false">IF(ISBLANK($C296),"",IF(Q296=Constants!$B$3,TRUE(),IF(Q296=Constants!$B$4,FALSE(),TRUE())))</f>
        <v/>
      </c>
      <c r="AS296" s="133" t="str">
        <f aca="false">IF(ISBLANK($C296),"",IF(R296=Constants!$B$3,TRUE(),IF(R296=Constants!$B$4,FALSE(),TRUE())))</f>
        <v/>
      </c>
      <c r="AT296" s="133" t="str">
        <f aca="false">IF(ISBLANK($C296),"",IF(S296=Constants!$B$5,TRUE(),IF(S296=Constants!$B$6,FALSE(),COUNTA(T296:X296)&gt;0)))</f>
        <v/>
      </c>
      <c r="AU296" s="134" t="str">
        <f aca="false">IF(ISBLANK($C296),"",IF(ISNUMBER(T296),IF(T296&gt;=0,T296,""),""))</f>
        <v/>
      </c>
      <c r="AV296" s="135" t="str">
        <f aca="false">IF(ISBLANK($C296),"",IF(ISNUMBER(U296),IF(U296&gt;=0,U296,""),""))</f>
        <v/>
      </c>
      <c r="AW296" s="135" t="str">
        <f aca="false">IF(ISBLANK($C296),"",IF(V296=Constants!$B$3,TRUE(),IF(V296=Constants!$B$4,FALSE(),TRUE())))</f>
        <v/>
      </c>
      <c r="AX296" s="133" t="str">
        <f aca="false">IF(ISBLANK($C296),"",IF(ISNUMBER(W296),IF(W296&gt;=0,W296,""),""))</f>
        <v/>
      </c>
      <c r="AY296" s="133" t="str">
        <f aca="false">IF(ISBLANK($C296),"",IF(X296=Constants!$B$3,TRUE(),IF(X296=Constants!$B$4,FALSE(),FALSE())))</f>
        <v/>
      </c>
      <c r="AZ296" s="133" t="str">
        <f aca="false">IF(ISBLANK($C296),"",MIN(Constants!$B$31,MAX(0,IF(ISNUMBER(Y296),Y296*60,0)+IF(ISNUMBER(Z296),Z296,0))))</f>
        <v/>
      </c>
      <c r="BA296" s="133" t="str">
        <f aca="false">IF(ISBLANK($C296),"",IF(AA296=Constants!$B$3,TRUE(),IF(AA296=Constants!$B$4,FALSE(),FALSE())))</f>
        <v/>
      </c>
      <c r="BB296" s="132" t="str">
        <f aca="false">IF(ISBLANK($C296),"",AND($AL296,OR($AM296="",$AN296="",AND($AO296,$AP296=""))))</f>
        <v/>
      </c>
      <c r="BC296" s="135" t="str">
        <f aca="false">IF($BR296&lt;&gt;Constants!$B$8,"",IF($AL296,Constants!$B$21*$AN296+Constants!$B$22*IF($AO296,$AP296,Constants!$B$23),Constants!$B$24))</f>
        <v/>
      </c>
      <c r="BD296" s="136" t="str">
        <f aca="false">IF($BR296&lt;&gt;Constants!$B$8,"",Constants!$B$25*ABS($AD$9-IF($AL296,$AM296,0)))</f>
        <v/>
      </c>
      <c r="BE296" s="136" t="str">
        <f aca="false">IF($BR296&lt;&gt;Constants!$B$8,"",IF(AND($AL296,$AQ296,$AO296),Constants!$B$27,0))</f>
        <v/>
      </c>
      <c r="BF296" s="136" t="str">
        <f aca="false">IF($BR296&lt;&gt;Constants!$B$8,"",IF($AL296,($AI296-Constants!$B$29)*Constants!$B$28,0))</f>
        <v/>
      </c>
      <c r="BG296" s="136" t="str">
        <f aca="false">IF($BR296&lt;&gt;Constants!$B$8,"",IF($AK296,0,Constants!$B$15)+IF($AJ296,0,Constants!$B$16)+IF($AH296,0,Constants!$B$17))</f>
        <v/>
      </c>
      <c r="BH296" s="137" t="str">
        <f aca="false">IF($BR296&lt;&gt;Constants!$B$8,"",Constants!$B$20+SUM($BC296:$BG296))</f>
        <v/>
      </c>
      <c r="BI296" s="133" t="str">
        <f aca="false">IF($BR296&lt;&gt;Constants!$B$8,"",IF(OR($BP296&lt;$BH296,AND($BP296=$BH296,OR($BK296&lt;$BC296,AND($BK296=$BC296,OR($BL296&lt;$BD296,AND($BL296=$BD296,$AT296,$AL296,$AV296&lt;$AN296)))))),"-&gt;","&lt;-"))</f>
        <v/>
      </c>
      <c r="BJ296" s="132" t="str">
        <f aca="false">IF(ISBLANK($C296),"",AND($AT296,OR($AU296="",$AV296="",AND($AW296,$AX296=""))))</f>
        <v/>
      </c>
      <c r="BK296" s="135" t="str">
        <f aca="false">IF($BR296&lt;&gt;Constants!$B$8,"",IF($AT296,Constants!$B$21*$AV296+Constants!$B$22*IF($AW296,$AX296,Constants!$B$23),Constants!$B$24))</f>
        <v/>
      </c>
      <c r="BL296" s="136" t="str">
        <f aca="false">IF($BR296&lt;&gt;Constants!$B$8,"",Constants!$B$25*ABS($AD$9-IF($AT296,$AU296,0)))</f>
        <v/>
      </c>
      <c r="BM296" s="136" t="str">
        <f aca="false">IF($BR296&lt;&gt;Constants!$B$8,"",IF(AND($AT296,$AY296,$AW296),Constants!$B$27,0))</f>
        <v/>
      </c>
      <c r="BN296" s="136" t="str">
        <f aca="false">IF($BR296&lt;&gt;Constants!$B$8,"",IF($AT296,($AI296-Constants!$B$29)*Constants!$B$28,0))</f>
        <v/>
      </c>
      <c r="BO296" s="136" t="str">
        <f aca="false">IF($BR296&lt;&gt;Constants!$B$8,"",IF($AS296,0,Constants!$B$15)+IF($AR296,0,Constants!$B$16)+IF($AH296,0,Constants!$B$17))</f>
        <v/>
      </c>
      <c r="BP296" s="137" t="str">
        <f aca="false">IF($BR296&lt;&gt;Constants!$B$8,"",Constants!$B$20+SUM($BK296:$BO296))</f>
        <v/>
      </c>
      <c r="BQ296" s="133" t="str">
        <f aca="false">IF(ISBLANK($C296),"",IF(ISBLANK($D$7),$BQ$5,IF(NOT(ISNUMBER($D$7)),$BQ$6,"")))</f>
        <v/>
      </c>
      <c r="BR296" s="133" t="str">
        <f aca="false">IF(ISBLANK($C296),"",IF($BA296,Constants!$B$11,IF(COUNTA($E296:$AA296)=0,Constants!$B$10,IF(NOT($AG296),Constants!$B$9,IF(OR($BQ296&lt;&gt;"",$BB296,$BJ296),Constants!$B$12,Constants!$B$8)))))</f>
        <v/>
      </c>
      <c r="BS296" s="133" t="str">
        <f aca="false">IF(ISBLANK($C296),"",IF($BR296&lt;&gt;Constants!$B$8,$BR296,Constants!$B$13))</f>
        <v/>
      </c>
      <c r="BT296" s="136" t="str">
        <f aca="false">IF($BR296&lt;&gt;Constants!$B$8,"",IF($BI296="-&gt;",$BP296,$BH296))</f>
        <v/>
      </c>
      <c r="BU296" s="136" t="str">
        <f aca="false">IF($BR296&lt;&gt;Constants!$B$8,"",IF($AF296,0,Constants!$B$18))</f>
        <v/>
      </c>
      <c r="BV296" s="136" t="str">
        <f aca="false">IF($BR296&lt;&gt;Constants!$B$8,"",((Constants!$B$31-$AZ296)-Constants!$B$31)/Constants!$B$32)</f>
        <v/>
      </c>
      <c r="BW296" s="136" t="str">
        <f aca="false">IF(ISBLANK($C296),"",IF($BR296&lt;&gt;Constants!$B$8,$BR296,SUM($BT296:$BV296)))</f>
        <v/>
      </c>
      <c r="BX296" s="133" t="str">
        <f aca="false">IF(ISBLANK($C296),"",IF($BR296&lt;&gt;Constants!$B$8,$BR296,RANK($BW296,$BW$9:$BW$508,1)))</f>
        <v/>
      </c>
      <c r="BY296" s="136" t="str">
        <f aca="false">IF($BR296&lt;&gt;Constants!$B$8,"",IF($BI296="-&gt;",$BK296,$BC296))</f>
        <v/>
      </c>
      <c r="BZ296" s="133" t="str">
        <f aca="false">IF(ISBLANK($C296),"",IF($BR296&lt;&gt;Constants!$B$8,$BR296,IF(ISNUMBER($BY296),RANK($BY296,$BY$9:$BY$508,1),COUNT($BY$9:$BY$508)+1)))</f>
        <v/>
      </c>
      <c r="CA296" s="136" t="str">
        <f aca="false">IF($BR296&lt;&gt;Constants!$B$8,"",IF($BI296="-&gt;",$BL296,$BD296))</f>
        <v/>
      </c>
      <c r="CB296" s="133" t="str">
        <f aca="false">IF(ISBLANK($C296),"",IF($BR296&lt;&gt;Constants!$B$8,$BR296,IF(ISNUMBER($CA296),RANK($CA296,$CA$9:$CA$508,1),COUNT($CA$9:$CA$508)+1)))</f>
        <v/>
      </c>
      <c r="CC296" s="136" t="str">
        <f aca="false">IF($BR296&lt;&gt;Constants!$B$8,"",IF($BI296="-&gt;",IF($AT296,$AV296,""),IF($AL296,$AN296,"")))</f>
        <v/>
      </c>
      <c r="CD296" s="133" t="str">
        <f aca="false">IF(ISBLANK($C296),"",IF($BR296&lt;&gt;Constants!$B$8,$BR296,IF(ISNUMBER($CC296),RANK($CC296,$CC$9:$CC$508,1),COUNT($CC$9:$CC$508)+1)))</f>
        <v/>
      </c>
      <c r="CE296" s="136" t="str">
        <f aca="false">IF($BR296&lt;&gt;Constants!$B$8,"",IF(AND(NOT($AL296),NOT($AT296),$AJ296,$AK296,$AR296,$AS296),"",$AI296))</f>
        <v/>
      </c>
      <c r="CF296" s="133" t="str">
        <f aca="false">IF(ISBLANK($C296),"",IF($BR296&lt;&gt;Constants!$B$8,$BR296,IF(ISNUMBER($CE296),RANK($CE296,$CE$9:$CE$508,1),COUNT($CE$9:$CE$508)+1)))</f>
        <v/>
      </c>
      <c r="CG296" s="133" t="str">
        <f aca="false">IF(ISBLANK($C296),"",IF($BR296&lt;&gt;Constants!$B$8,$BR296,COUNTIFS($BX$9:$BX$508,"&lt;"&amp;$BX296)+COUNTIFS($BX$9:$BX$508,$BX296,$BZ$9:$BZ$508,"&lt;"&amp;$BZ296)+COUNTIFS($BX$9:$BX$508,$BX296,$BZ$9:$BZ$508,$BZ296,$CB$9:$CB$508,"&lt;"&amp;$CB296)+COUNTIFS($BX$9:$BX$508,$BX296,$BZ$9:$BZ$508,$BZ296,$CB$9:$CB$508,$CB296,$CD$9:$CD$508,"&lt;"&amp;$CD296)+COUNTIFS($BX$9:$BX$508,$BX296,$BZ$9:$BZ$508,$BZ296,$CB$9:$CB$508,$CB296,$CD$9:$CD$508,$CD296,$CF$9:$CF$508,"&lt;"&amp;$CF296)+1))</f>
        <v/>
      </c>
      <c r="CH296" s="133" t="str">
        <f aca="false">IF(ISBLANK($C296),"",IF($BR296&lt;&gt;Constants!$B$8,$BR296,$BX296-$CG296))</f>
        <v/>
      </c>
      <c r="CI296" s="138"/>
      <c r="CJ296" s="139"/>
      <c r="CK296" s="140" t="str">
        <f aca="false">IF(ISBLANK($C296),"",IF($BR296=Constants!$B$12,$BQ296,""))</f>
        <v/>
      </c>
      <c r="CL296" s="139" t="str">
        <f aca="false">IF(ISBLANK($C296),"",IF($BR296&lt;&gt;Constants!$B$8,"",IF($BI296="-&gt;",2,1)))</f>
        <v/>
      </c>
      <c r="CM296" s="141" t="str">
        <f aca="false">IF(ISBLANK($C296),"",IF($BR296&lt;&gt;Constants!$B$8,"",IF($BI296="-&gt;",$BK296,$BC296)))</f>
        <v/>
      </c>
      <c r="CN296" s="141" t="str">
        <f aca="false">IF(ISBLANK($C296),"",IF($BR296&lt;&gt;Constants!$B$8,"",IF($BI296="-&gt;",$BL296,$BD296)))</f>
        <v/>
      </c>
      <c r="CO296" s="141" t="str">
        <f aca="false">IF(ISBLANK($C296),"",IF($BR296&lt;&gt;Constants!$B$8,"",IF($BI296="-&gt;",$BM296+$BN296,$BE296+$BF296)+$BV296))</f>
        <v/>
      </c>
      <c r="CP296" s="141" t="str">
        <f aca="false">IF(ISBLANK($C296),"",IF($BR296&lt;&gt;Constants!$B$8,"",IF($BI296="-&gt;",$BO296,$BG296)+$BU296))</f>
        <v/>
      </c>
      <c r="CQ296" s="142" t="str">
        <f aca="false">IF(ISBLANK($C296),"",IF($BR296&lt;&gt;Constants!$B$8,$BR296,$BW296))</f>
        <v/>
      </c>
      <c r="CR296" s="143" t="str">
        <f aca="false">IF(ISBLANK($C296),"",$BS296)</f>
        <v/>
      </c>
      <c r="CS296" s="144" t="str">
        <f aca="false">IF(ISBLANK($C296),"",$CH296)</f>
        <v/>
      </c>
      <c r="CT296" s="144" t="str">
        <f aca="false">IF(ISBLANK($C296),"",$CG296)</f>
        <v/>
      </c>
      <c r="CU296" s="145" t="str">
        <f aca="false">IF(ISBLANK($C296),"",IFERROR(_xlfn.SWITCH($CT296,Constants!$B$11,COUNTA($C$9:$C$508)+2,Constants!$B$10,COUNTA($C$9:$C$508)+1,Constants!$B$9,COUNTA($C$9:$C$508)),$CT296))</f>
        <v/>
      </c>
      <c r="CV296" s="9"/>
      <c r="CW296" s="146" t="n">
        <f aca="false">IF(OR(ISNUMBER($CT296),$CT296=Constants!$B$11,$CT296=Constants!$B$9,$CT296=Constants!$B$10),1,0)</f>
        <v>0</v>
      </c>
      <c r="CX296" s="146" t="n">
        <v>288</v>
      </c>
      <c r="CY296" s="146" t="str">
        <f aca="false">IF(ISBLANK($C296),"",IF(ISNUMBER($CU296),$CU296+ROW($B296)/1000,""))</f>
        <v/>
      </c>
      <c r="CZ296" s="146" t="str">
        <f aca="false">IF(ISNUMBER($CY296),RANK($CY296,$CY$9:$CY$508,1),"")</f>
        <v/>
      </c>
      <c r="DA296" s="146" t="str">
        <f aca="false">IF(ISBLANK($C296),"",$B296)</f>
        <v/>
      </c>
      <c r="DB296" s="146" t="str">
        <f aca="false">IF(ISBLANK($C296),"",$C296)</f>
        <v/>
      </c>
      <c r="DC296" s="146" t="str">
        <f aca="false">IF(ISBLANK($C296),"",$D296)</f>
        <v/>
      </c>
      <c r="DD296" s="147" t="str">
        <f aca="false">$CR296</f>
        <v/>
      </c>
      <c r="DE296" s="148" t="str">
        <f aca="false">$CQ296</f>
        <v/>
      </c>
      <c r="DF296" s="146" t="str">
        <f aca="false">IF(ISBLANK($C296),"",$CT296)</f>
        <v/>
      </c>
      <c r="DG296" s="149" t="str">
        <f aca="false">IF($CX296&gt;$CW$8,"",VLOOKUP($CX296,$CZ$9:$DF$508,7,FALSE()))</f>
        <v/>
      </c>
      <c r="DH296" s="150" t="str">
        <f aca="false">IF($CX296&gt;$CW$8,"",VLOOKUP($CX296,$CZ$9:$DF$508,2,FALSE()))</f>
        <v/>
      </c>
      <c r="DI296" s="150" t="str">
        <f aca="false">IF($CX296&gt;$CW$8,"",VLOOKUP($CX296,$CZ$9:$DF$508,3,FALSE()))</f>
        <v/>
      </c>
      <c r="DJ296" s="150" t="str">
        <f aca="false">IF($CX296&gt;$CW$8,"",VLOOKUP($CX296,$CZ$9:$DF$508,4,FALSE()))</f>
        <v/>
      </c>
      <c r="DK296" s="150" t="str">
        <f aca="false">IF($CX296&gt;$CW$8,"",VLOOKUP($CX296,$CZ$9:$DF$508,5,FALSE()))</f>
        <v/>
      </c>
      <c r="DL296" s="151" t="str">
        <f aca="false">IF($CX296&gt;$CW$8,"",VLOOKUP($CX296,$CZ$9:$DF$508,6,FALSE()))</f>
        <v/>
      </c>
      <c r="DM296" s="75"/>
    </row>
    <row r="297" customFormat="false" ht="15.75" hidden="false" customHeight="false" outlineLevel="0" collapsed="false">
      <c r="A297" s="9"/>
      <c r="B297" s="77"/>
      <c r="C297" s="78"/>
      <c r="D297" s="167"/>
      <c r="E297" s="175"/>
      <c r="F297" s="169"/>
      <c r="G297" s="170"/>
      <c r="H297" s="170"/>
      <c r="I297" s="176"/>
      <c r="J297" s="173"/>
      <c r="K297" s="85"/>
      <c r="L297" s="86"/>
      <c r="M297" s="87"/>
      <c r="N297" s="173"/>
      <c r="O297" s="173"/>
      <c r="P297" s="175"/>
      <c r="Q297" s="173"/>
      <c r="R297" s="173"/>
      <c r="S297" s="85"/>
      <c r="T297" s="87"/>
      <c r="U297" s="87"/>
      <c r="V297" s="173"/>
      <c r="W297" s="173"/>
      <c r="X297" s="175"/>
      <c r="Y297" s="173"/>
      <c r="Z297" s="174"/>
      <c r="AA297" s="173"/>
      <c r="AB297" s="91"/>
      <c r="AC297" s="92"/>
      <c r="AD297" s="92"/>
      <c r="AE297" s="92"/>
      <c r="AF297" s="92" t="str">
        <f aca="false">IF(ISBLANK($C297),"",IF(E297=Constants!$B$3,TRUE(),IF(E297=Constants!$B$4,FALSE(),TRUE())))</f>
        <v/>
      </c>
      <c r="AG297" s="92" t="str">
        <f aca="false">IF(ISBLANK($C297),"",IF(F297=Constants!$B$3,TRUE(),IF(F297=Constants!$B$4,FALSE(),TRUE())))</f>
        <v/>
      </c>
      <c r="AH297" s="92" t="str">
        <f aca="false">IF(ISBLANK($C297),"",IF(G297=Constants!$B$3,TRUE(),IF(G297=Constants!$B$4,FALSE(),TRUE())))</f>
        <v/>
      </c>
      <c r="AI297" s="92" t="str">
        <f aca="false">IF(ISBLANK($C297),"",IF(AND(ISNUMBER(H297),H297&gt;=0),H297,Constants!$B$29))</f>
        <v/>
      </c>
      <c r="AJ297" s="92" t="str">
        <f aca="false">IF(ISBLANK($C297),"",IF(I297=Constants!$B$3,TRUE(),IF(I297=Constants!$B$4,FALSE(),TRUE())))</f>
        <v/>
      </c>
      <c r="AK297" s="92" t="str">
        <f aca="false">IF(ISBLANK($C297),"",IF(J297=Constants!$B$3,TRUE(),IF(J297=Constants!$B$4,FALSE(),TRUE())))</f>
        <v/>
      </c>
      <c r="AL297" s="92" t="str">
        <f aca="false">IF(ISBLANK($C297),"",IF(K297=Constants!$B$5,TRUE(),IF(K297=Constants!$B$6,FALSE(),COUNTA(L297:P297)&gt;0)))</f>
        <v/>
      </c>
      <c r="AM297" s="94" t="str">
        <f aca="false">IF(ISBLANK($C297),"",IF(ISNUMBER(L297),IF(L297&gt;=0,L297,""),""))</f>
        <v/>
      </c>
      <c r="AN297" s="93" t="str">
        <f aca="false">IF(ISBLANK($C297),"",IF(ISNUMBER(M297),IF(M297&gt;=0,M297,""),""))</f>
        <v/>
      </c>
      <c r="AO297" s="93" t="str">
        <f aca="false">IF(ISBLANK($C297),"",IF(N297=Constants!$B$3,TRUE(),IF(N297=Constants!$B$4,FALSE(),TRUE())))</f>
        <v/>
      </c>
      <c r="AP297" s="92" t="str">
        <f aca="false">IF(ISBLANK($C297),"",IF(ISNUMBER(O297),IF(O297&gt;=0,O297,""),""))</f>
        <v/>
      </c>
      <c r="AQ297" s="92" t="str">
        <f aca="false">IF(ISBLANK($C297),"",IF(P297=Constants!$B$3,TRUE(),IF(P297=Constants!$B$4,FALSE(),FALSE())))</f>
        <v/>
      </c>
      <c r="AR297" s="92" t="str">
        <f aca="false">IF(ISBLANK($C297),"",IF(Q297=Constants!$B$3,TRUE(),IF(Q297=Constants!$B$4,FALSE(),TRUE())))</f>
        <v/>
      </c>
      <c r="AS297" s="92" t="str">
        <f aca="false">IF(ISBLANK($C297),"",IF(R297=Constants!$B$3,TRUE(),IF(R297=Constants!$B$4,FALSE(),TRUE())))</f>
        <v/>
      </c>
      <c r="AT297" s="92" t="str">
        <f aca="false">IF(ISBLANK($C297),"",IF(S297=Constants!$B$5,TRUE(),IF(S297=Constants!$B$6,FALSE(),COUNTA(T297:X297)&gt;0)))</f>
        <v/>
      </c>
      <c r="AU297" s="94" t="str">
        <f aca="false">IF(ISBLANK($C297),"",IF(ISNUMBER(T297),IF(T297&gt;=0,T297,""),""))</f>
        <v/>
      </c>
      <c r="AV297" s="93" t="str">
        <f aca="false">IF(ISBLANK($C297),"",IF(ISNUMBER(U297),IF(U297&gt;=0,U297,""),""))</f>
        <v/>
      </c>
      <c r="AW297" s="93" t="str">
        <f aca="false">IF(ISBLANK($C297),"",IF(V297=Constants!$B$3,TRUE(),IF(V297=Constants!$B$4,FALSE(),TRUE())))</f>
        <v/>
      </c>
      <c r="AX297" s="92" t="str">
        <f aca="false">IF(ISBLANK($C297),"",IF(ISNUMBER(W297),IF(W297&gt;=0,W297,""),""))</f>
        <v/>
      </c>
      <c r="AY297" s="92" t="str">
        <f aca="false">IF(ISBLANK($C297),"",IF(X297=Constants!$B$3,TRUE(),IF(X297=Constants!$B$4,FALSE(),FALSE())))</f>
        <v/>
      </c>
      <c r="AZ297" s="92" t="str">
        <f aca="false">IF(ISBLANK($C297),"",MIN(Constants!$B$31,MAX(0,IF(ISNUMBER(Y297),Y297*60,0)+IF(ISNUMBER(Z297),Z297,0))))</f>
        <v/>
      </c>
      <c r="BA297" s="92" t="str">
        <f aca="false">IF(ISBLANK($C297),"",IF(AA297=Constants!$B$3,TRUE(),IF(AA297=Constants!$B$4,FALSE(),FALSE())))</f>
        <v/>
      </c>
      <c r="BB297" s="91" t="str">
        <f aca="false">IF(ISBLANK($C297),"",AND($AL297,OR($AM297="",$AN297="",AND($AO297,$AP297=""))))</f>
        <v/>
      </c>
      <c r="BC297" s="93" t="str">
        <f aca="false">IF($BR297&lt;&gt;Constants!$B$8,"",IF($AL297,Constants!$B$21*$AN297+Constants!$B$22*IF($AO297,$AP297,Constants!$B$23),Constants!$B$24))</f>
        <v/>
      </c>
      <c r="BD297" s="96" t="str">
        <f aca="false">IF($BR297&lt;&gt;Constants!$B$8,"",Constants!$B$25*ABS($AD$9-IF($AL297,$AM297,0)))</f>
        <v/>
      </c>
      <c r="BE297" s="96" t="str">
        <f aca="false">IF($BR297&lt;&gt;Constants!$B$8,"",IF(AND($AL297,$AQ297,$AO297),Constants!$B$27,0))</f>
        <v/>
      </c>
      <c r="BF297" s="96" t="str">
        <f aca="false">IF($BR297&lt;&gt;Constants!$B$8,"",IF($AL297,($AI297-Constants!$B$29)*Constants!$B$28,0))</f>
        <v/>
      </c>
      <c r="BG297" s="96" t="str">
        <f aca="false">IF($BR297&lt;&gt;Constants!$B$8,"",IF($AK297,0,Constants!$B$15)+IF($AJ297,0,Constants!$B$16)+IF($AH297,0,Constants!$B$17))</f>
        <v/>
      </c>
      <c r="BH297" s="97" t="str">
        <f aca="false">IF($BR297&lt;&gt;Constants!$B$8,"",Constants!$B$20+SUM($BC297:$BG297))</f>
        <v/>
      </c>
      <c r="BI297" s="92" t="str">
        <f aca="false">IF($BR297&lt;&gt;Constants!$B$8,"",IF(OR($BP297&lt;$BH297,AND($BP297=$BH297,OR($BK297&lt;$BC297,AND($BK297=$BC297,OR($BL297&lt;$BD297,AND($BL297=$BD297,$AT297,$AL297,$AV297&lt;$AN297)))))),"-&gt;","&lt;-"))</f>
        <v/>
      </c>
      <c r="BJ297" s="91" t="str">
        <f aca="false">IF(ISBLANK($C297),"",AND($AT297,OR($AU297="",$AV297="",AND($AW297,$AX297=""))))</f>
        <v/>
      </c>
      <c r="BK297" s="93" t="str">
        <f aca="false">IF($BR297&lt;&gt;Constants!$B$8,"",IF($AT297,Constants!$B$21*$AV297+Constants!$B$22*IF($AW297,$AX297,Constants!$B$23),Constants!$B$24))</f>
        <v/>
      </c>
      <c r="BL297" s="96" t="str">
        <f aca="false">IF($BR297&lt;&gt;Constants!$B$8,"",Constants!$B$25*ABS($AD$9-IF($AT297,$AU297,0)))</f>
        <v/>
      </c>
      <c r="BM297" s="96" t="str">
        <f aca="false">IF($BR297&lt;&gt;Constants!$B$8,"",IF(AND($AT297,$AY297,$AW297),Constants!$B$27,0))</f>
        <v/>
      </c>
      <c r="BN297" s="96" t="str">
        <f aca="false">IF($BR297&lt;&gt;Constants!$B$8,"",IF($AT297,($AI297-Constants!$B$29)*Constants!$B$28,0))</f>
        <v/>
      </c>
      <c r="BO297" s="96" t="str">
        <f aca="false">IF($BR297&lt;&gt;Constants!$B$8,"",IF($AS297,0,Constants!$B$15)+IF($AR297,0,Constants!$B$16)+IF($AH297,0,Constants!$B$17))</f>
        <v/>
      </c>
      <c r="BP297" s="97" t="str">
        <f aca="false">IF($BR297&lt;&gt;Constants!$B$8,"",Constants!$B$20+SUM($BK297:$BO297))</f>
        <v/>
      </c>
      <c r="BQ297" s="92" t="str">
        <f aca="false">IF(ISBLANK($C297),"",IF(ISBLANK($D$7),$BQ$5,IF(NOT(ISNUMBER($D$7)),$BQ$6,"")))</f>
        <v/>
      </c>
      <c r="BR297" s="92" t="str">
        <f aca="false">IF(ISBLANK($C297),"",IF($BA297,Constants!$B$11,IF(COUNTA($E297:$AA297)=0,Constants!$B$10,IF(NOT($AG297),Constants!$B$9,IF(OR($BQ297&lt;&gt;"",$BB297,$BJ297),Constants!$B$12,Constants!$B$8)))))</f>
        <v/>
      </c>
      <c r="BS297" s="92" t="str">
        <f aca="false">IF(ISBLANK($C297),"",IF($BR297&lt;&gt;Constants!$B$8,$BR297,Constants!$B$13))</f>
        <v/>
      </c>
      <c r="BT297" s="96" t="str">
        <f aca="false">IF($BR297&lt;&gt;Constants!$B$8,"",IF($BI297="-&gt;",$BP297,$BH297))</f>
        <v/>
      </c>
      <c r="BU297" s="96" t="str">
        <f aca="false">IF($BR297&lt;&gt;Constants!$B$8,"",IF($AF297,0,Constants!$B$18))</f>
        <v/>
      </c>
      <c r="BV297" s="96" t="str">
        <f aca="false">IF($BR297&lt;&gt;Constants!$B$8,"",((Constants!$B$31-$AZ297)-Constants!$B$31)/Constants!$B$32)</f>
        <v/>
      </c>
      <c r="BW297" s="96" t="str">
        <f aca="false">IF(ISBLANK($C297),"",IF($BR297&lt;&gt;Constants!$B$8,$BR297,SUM($BT297:$BV297)))</f>
        <v/>
      </c>
      <c r="BX297" s="92" t="str">
        <f aca="false">IF(ISBLANK($C297),"",IF($BR297&lt;&gt;Constants!$B$8,$BR297,RANK($BW297,$BW$9:$BW$508,1)))</f>
        <v/>
      </c>
      <c r="BY297" s="96" t="str">
        <f aca="false">IF($BR297&lt;&gt;Constants!$B$8,"",IF($BI297="-&gt;",$BK297,$BC297))</f>
        <v/>
      </c>
      <c r="BZ297" s="92" t="str">
        <f aca="false">IF(ISBLANK($C297),"",IF($BR297&lt;&gt;Constants!$B$8,$BR297,IF(ISNUMBER($BY297),RANK($BY297,$BY$9:$BY$508,1),COUNT($BY$9:$BY$508)+1)))</f>
        <v/>
      </c>
      <c r="CA297" s="96" t="str">
        <f aca="false">IF($BR297&lt;&gt;Constants!$B$8,"",IF($BI297="-&gt;",$BL297,$BD297))</f>
        <v/>
      </c>
      <c r="CB297" s="92" t="str">
        <f aca="false">IF(ISBLANK($C297),"",IF($BR297&lt;&gt;Constants!$B$8,$BR297,IF(ISNUMBER($CA297),RANK($CA297,$CA$9:$CA$508,1),COUNT($CA$9:$CA$508)+1)))</f>
        <v/>
      </c>
      <c r="CC297" s="96" t="str">
        <f aca="false">IF($BR297&lt;&gt;Constants!$B$8,"",IF($BI297="-&gt;",IF($AT297,$AV297,""),IF($AL297,$AN297,"")))</f>
        <v/>
      </c>
      <c r="CD297" s="92" t="str">
        <f aca="false">IF(ISBLANK($C297),"",IF($BR297&lt;&gt;Constants!$B$8,$BR297,IF(ISNUMBER($CC297),RANK($CC297,$CC$9:$CC$508,1),COUNT($CC$9:$CC$508)+1)))</f>
        <v/>
      </c>
      <c r="CE297" s="96" t="str">
        <f aca="false">IF($BR297&lt;&gt;Constants!$B$8,"",IF(AND(NOT($AL297),NOT($AT297),$AJ297,$AK297,$AR297,$AS297),"",$AI297))</f>
        <v/>
      </c>
      <c r="CF297" s="92" t="str">
        <f aca="false">IF(ISBLANK($C297),"",IF($BR297&lt;&gt;Constants!$B$8,$BR297,IF(ISNUMBER($CE297),RANK($CE297,$CE$9:$CE$508,1),COUNT($CE$9:$CE$508)+1)))</f>
        <v/>
      </c>
      <c r="CG297" s="92" t="str">
        <f aca="false">IF(ISBLANK($C297),"",IF($BR297&lt;&gt;Constants!$B$8,$BR297,COUNTIFS($BX$9:$BX$508,"&lt;"&amp;$BX297)+COUNTIFS($BX$9:$BX$508,$BX297,$BZ$9:$BZ$508,"&lt;"&amp;$BZ297)+COUNTIFS($BX$9:$BX$508,$BX297,$BZ$9:$BZ$508,$BZ297,$CB$9:$CB$508,"&lt;"&amp;$CB297)+COUNTIFS($BX$9:$BX$508,$BX297,$BZ$9:$BZ$508,$BZ297,$CB$9:$CB$508,$CB297,$CD$9:$CD$508,"&lt;"&amp;$CD297)+COUNTIFS($BX$9:$BX$508,$BX297,$BZ$9:$BZ$508,$BZ297,$CB$9:$CB$508,$CB297,$CD$9:$CD$508,$CD297,$CF$9:$CF$508,"&lt;"&amp;$CF297)+1))</f>
        <v/>
      </c>
      <c r="CH297" s="92" t="str">
        <f aca="false">IF(ISBLANK($C297),"",IF($BR297&lt;&gt;Constants!$B$8,$BR297,$BX297-$CG297))</f>
        <v/>
      </c>
      <c r="CI297" s="98"/>
      <c r="CJ297" s="99"/>
      <c r="CK297" s="100" t="str">
        <f aca="false">IF(ISBLANK($C297),"",IF($BR297=Constants!$B$12,$BQ297,""))</f>
        <v/>
      </c>
      <c r="CL297" s="99" t="str">
        <f aca="false">IF(ISBLANK($C297),"",IF($BR297&lt;&gt;Constants!$B$8,"",IF($BI297="-&gt;",2,1)))</f>
        <v/>
      </c>
      <c r="CM297" s="101" t="str">
        <f aca="false">IF(ISBLANK($C297),"",IF($BR297&lt;&gt;Constants!$B$8,"",IF($BI297="-&gt;",$BK297,$BC297)))</f>
        <v/>
      </c>
      <c r="CN297" s="101" t="str">
        <f aca="false">IF(ISBLANK($C297),"",IF($BR297&lt;&gt;Constants!$B$8,"",IF($BI297="-&gt;",$BL297,$BD297)))</f>
        <v/>
      </c>
      <c r="CO297" s="101" t="str">
        <f aca="false">IF(ISBLANK($C297),"",IF($BR297&lt;&gt;Constants!$B$8,"",IF($BI297="-&gt;",$BM297+$BN297,$BE297+$BF297)+$BV297))</f>
        <v/>
      </c>
      <c r="CP297" s="101" t="str">
        <f aca="false">IF(ISBLANK($C297),"",IF($BR297&lt;&gt;Constants!$B$8,"",IF($BI297="-&gt;",$BO297,$BG297)+$BU297))</f>
        <v/>
      </c>
      <c r="CQ297" s="102" t="str">
        <f aca="false">IF(ISBLANK($C297),"",IF($BR297&lt;&gt;Constants!$B$8,$BR297,$BW297))</f>
        <v/>
      </c>
      <c r="CR297" s="103" t="str">
        <f aca="false">IF(ISBLANK($C297),"",$BS297)</f>
        <v/>
      </c>
      <c r="CS297" s="104" t="str">
        <f aca="false">IF(ISBLANK($C297),"",$CH297)</f>
        <v/>
      </c>
      <c r="CT297" s="104" t="str">
        <f aca="false">IF(ISBLANK($C297),"",$CG297)</f>
        <v/>
      </c>
      <c r="CU297" s="105" t="str">
        <f aca="false">IF(ISBLANK($C297),"",IFERROR(_xlfn.SWITCH($CT297,Constants!$B$11,COUNTA($C$9:$C$508)+2,Constants!$B$10,COUNTA($C$9:$C$508)+1,Constants!$B$9,COUNTA($C$9:$C$508)),$CT297))</f>
        <v/>
      </c>
      <c r="CV297" s="9"/>
      <c r="CW297" s="106" t="n">
        <f aca="false">IF(OR(ISNUMBER($CT297),$CT297=Constants!$B$11,$CT297=Constants!$B$9,$CT297=Constants!$B$10),1,0)</f>
        <v>0</v>
      </c>
      <c r="CX297" s="106" t="n">
        <v>289</v>
      </c>
      <c r="CY297" s="106" t="str">
        <f aca="false">IF(ISBLANK($C297),"",IF(ISNUMBER($CU297),$CU297+ROW($B297)/1000,""))</f>
        <v/>
      </c>
      <c r="CZ297" s="106" t="str">
        <f aca="false">IF(ISNUMBER($CY297),RANK($CY297,$CY$9:$CY$508,1),"")</f>
        <v/>
      </c>
      <c r="DA297" s="106" t="str">
        <f aca="false">IF(ISBLANK($C297),"",$B297)</f>
        <v/>
      </c>
      <c r="DB297" s="106" t="str">
        <f aca="false">IF(ISBLANK($C297),"",$C297)</f>
        <v/>
      </c>
      <c r="DC297" s="106" t="str">
        <f aca="false">IF(ISBLANK($C297),"",$D297)</f>
        <v/>
      </c>
      <c r="DD297" s="107" t="str">
        <f aca="false">$CR297</f>
        <v/>
      </c>
      <c r="DE297" s="108" t="str">
        <f aca="false">$CQ297</f>
        <v/>
      </c>
      <c r="DF297" s="106" t="str">
        <f aca="false">IF(ISBLANK($C297),"",$CT297)</f>
        <v/>
      </c>
      <c r="DG297" s="109" t="str">
        <f aca="false">IF($CX297&gt;$CW$8,"",VLOOKUP($CX297,$CZ$9:$DF$508,7,FALSE()))</f>
        <v/>
      </c>
      <c r="DH297" s="110" t="str">
        <f aca="false">IF($CX297&gt;$CW$8,"",VLOOKUP($CX297,$CZ$9:$DF$508,2,FALSE()))</f>
        <v/>
      </c>
      <c r="DI297" s="110" t="str">
        <f aca="false">IF($CX297&gt;$CW$8,"",VLOOKUP($CX297,$CZ$9:$DF$508,3,FALSE()))</f>
        <v/>
      </c>
      <c r="DJ297" s="110" t="str">
        <f aca="false">IF($CX297&gt;$CW$8,"",VLOOKUP($CX297,$CZ$9:$DF$508,4,FALSE()))</f>
        <v/>
      </c>
      <c r="DK297" s="110" t="str">
        <f aca="false">IF($CX297&gt;$CW$8,"",VLOOKUP($CX297,$CZ$9:$DF$508,5,FALSE()))</f>
        <v/>
      </c>
      <c r="DL297" s="111" t="str">
        <f aca="false">IF($CX297&gt;$CW$8,"",VLOOKUP($CX297,$CZ$9:$DF$508,6,FALSE()))</f>
        <v/>
      </c>
      <c r="DM297" s="75"/>
    </row>
    <row r="298" customFormat="false" ht="15.75" hidden="false" customHeight="false" outlineLevel="0" collapsed="false">
      <c r="A298" s="9"/>
      <c r="B298" s="77"/>
      <c r="C298" s="78"/>
      <c r="D298" s="167"/>
      <c r="E298" s="175"/>
      <c r="F298" s="169"/>
      <c r="G298" s="170"/>
      <c r="H298" s="170"/>
      <c r="I298" s="176"/>
      <c r="J298" s="173"/>
      <c r="K298" s="85"/>
      <c r="L298" s="86"/>
      <c r="M298" s="87"/>
      <c r="N298" s="173"/>
      <c r="O298" s="173"/>
      <c r="P298" s="175"/>
      <c r="Q298" s="173"/>
      <c r="R298" s="173"/>
      <c r="S298" s="85"/>
      <c r="T298" s="87"/>
      <c r="U298" s="87"/>
      <c r="V298" s="173"/>
      <c r="W298" s="173"/>
      <c r="X298" s="175"/>
      <c r="Y298" s="173"/>
      <c r="Z298" s="174"/>
      <c r="AA298" s="173"/>
      <c r="AB298" s="91"/>
      <c r="AC298" s="92"/>
      <c r="AD298" s="92"/>
      <c r="AE298" s="92"/>
      <c r="AF298" s="92" t="str">
        <f aca="false">IF(ISBLANK($C298),"",IF(E298=Constants!$B$3,TRUE(),IF(E298=Constants!$B$4,FALSE(),TRUE())))</f>
        <v/>
      </c>
      <c r="AG298" s="92" t="str">
        <f aca="false">IF(ISBLANK($C298),"",IF(F298=Constants!$B$3,TRUE(),IF(F298=Constants!$B$4,FALSE(),TRUE())))</f>
        <v/>
      </c>
      <c r="AH298" s="92" t="str">
        <f aca="false">IF(ISBLANK($C298),"",IF(G298=Constants!$B$3,TRUE(),IF(G298=Constants!$B$4,FALSE(),TRUE())))</f>
        <v/>
      </c>
      <c r="AI298" s="92" t="str">
        <f aca="false">IF(ISBLANK($C298),"",IF(AND(ISNUMBER(H298),H298&gt;=0),H298,Constants!$B$29))</f>
        <v/>
      </c>
      <c r="AJ298" s="92" t="str">
        <f aca="false">IF(ISBLANK($C298),"",IF(I298=Constants!$B$3,TRUE(),IF(I298=Constants!$B$4,FALSE(),TRUE())))</f>
        <v/>
      </c>
      <c r="AK298" s="92" t="str">
        <f aca="false">IF(ISBLANK($C298),"",IF(J298=Constants!$B$3,TRUE(),IF(J298=Constants!$B$4,FALSE(),TRUE())))</f>
        <v/>
      </c>
      <c r="AL298" s="92" t="str">
        <f aca="false">IF(ISBLANK($C298),"",IF(K298=Constants!$B$5,TRUE(),IF(K298=Constants!$B$6,FALSE(),COUNTA(L298:P298)&gt;0)))</f>
        <v/>
      </c>
      <c r="AM298" s="94" t="str">
        <f aca="false">IF(ISBLANK($C298),"",IF(ISNUMBER(L298),IF(L298&gt;=0,L298,""),""))</f>
        <v/>
      </c>
      <c r="AN298" s="93" t="str">
        <f aca="false">IF(ISBLANK($C298),"",IF(ISNUMBER(M298),IF(M298&gt;=0,M298,""),""))</f>
        <v/>
      </c>
      <c r="AO298" s="93" t="str">
        <f aca="false">IF(ISBLANK($C298),"",IF(N298=Constants!$B$3,TRUE(),IF(N298=Constants!$B$4,FALSE(),TRUE())))</f>
        <v/>
      </c>
      <c r="AP298" s="92" t="str">
        <f aca="false">IF(ISBLANK($C298),"",IF(ISNUMBER(O298),IF(O298&gt;=0,O298,""),""))</f>
        <v/>
      </c>
      <c r="AQ298" s="92" t="str">
        <f aca="false">IF(ISBLANK($C298),"",IF(P298=Constants!$B$3,TRUE(),IF(P298=Constants!$B$4,FALSE(),FALSE())))</f>
        <v/>
      </c>
      <c r="AR298" s="92" t="str">
        <f aca="false">IF(ISBLANK($C298),"",IF(Q298=Constants!$B$3,TRUE(),IF(Q298=Constants!$B$4,FALSE(),TRUE())))</f>
        <v/>
      </c>
      <c r="AS298" s="92" t="str">
        <f aca="false">IF(ISBLANK($C298),"",IF(R298=Constants!$B$3,TRUE(),IF(R298=Constants!$B$4,FALSE(),TRUE())))</f>
        <v/>
      </c>
      <c r="AT298" s="92" t="str">
        <f aca="false">IF(ISBLANK($C298),"",IF(S298=Constants!$B$5,TRUE(),IF(S298=Constants!$B$6,FALSE(),COUNTA(T298:X298)&gt;0)))</f>
        <v/>
      </c>
      <c r="AU298" s="94" t="str">
        <f aca="false">IF(ISBLANK($C298),"",IF(ISNUMBER(T298),IF(T298&gt;=0,T298,""),""))</f>
        <v/>
      </c>
      <c r="AV298" s="93" t="str">
        <f aca="false">IF(ISBLANK($C298),"",IF(ISNUMBER(U298),IF(U298&gt;=0,U298,""),""))</f>
        <v/>
      </c>
      <c r="AW298" s="93" t="str">
        <f aca="false">IF(ISBLANK($C298),"",IF(V298=Constants!$B$3,TRUE(),IF(V298=Constants!$B$4,FALSE(),TRUE())))</f>
        <v/>
      </c>
      <c r="AX298" s="92" t="str">
        <f aca="false">IF(ISBLANK($C298),"",IF(ISNUMBER(W298),IF(W298&gt;=0,W298,""),""))</f>
        <v/>
      </c>
      <c r="AY298" s="92" t="str">
        <f aca="false">IF(ISBLANK($C298),"",IF(X298=Constants!$B$3,TRUE(),IF(X298=Constants!$B$4,FALSE(),FALSE())))</f>
        <v/>
      </c>
      <c r="AZ298" s="92" t="str">
        <f aca="false">IF(ISBLANK($C298),"",MIN(Constants!$B$31,MAX(0,IF(ISNUMBER(Y298),Y298*60,0)+IF(ISNUMBER(Z298),Z298,0))))</f>
        <v/>
      </c>
      <c r="BA298" s="92" t="str">
        <f aca="false">IF(ISBLANK($C298),"",IF(AA298=Constants!$B$3,TRUE(),IF(AA298=Constants!$B$4,FALSE(),FALSE())))</f>
        <v/>
      </c>
      <c r="BB298" s="91" t="str">
        <f aca="false">IF(ISBLANK($C298),"",AND($AL298,OR($AM298="",$AN298="",AND($AO298,$AP298=""))))</f>
        <v/>
      </c>
      <c r="BC298" s="93" t="str">
        <f aca="false">IF($BR298&lt;&gt;Constants!$B$8,"",IF($AL298,Constants!$B$21*$AN298+Constants!$B$22*IF($AO298,$AP298,Constants!$B$23),Constants!$B$24))</f>
        <v/>
      </c>
      <c r="BD298" s="96" t="str">
        <f aca="false">IF($BR298&lt;&gt;Constants!$B$8,"",Constants!$B$25*ABS($AD$9-IF($AL298,$AM298,0)))</f>
        <v/>
      </c>
      <c r="BE298" s="96" t="str">
        <f aca="false">IF($BR298&lt;&gt;Constants!$B$8,"",IF(AND($AL298,$AQ298,$AO298),Constants!$B$27,0))</f>
        <v/>
      </c>
      <c r="BF298" s="96" t="str">
        <f aca="false">IF($BR298&lt;&gt;Constants!$B$8,"",IF($AL298,($AI298-Constants!$B$29)*Constants!$B$28,0))</f>
        <v/>
      </c>
      <c r="BG298" s="96" t="str">
        <f aca="false">IF($BR298&lt;&gt;Constants!$B$8,"",IF($AK298,0,Constants!$B$15)+IF($AJ298,0,Constants!$B$16)+IF($AH298,0,Constants!$B$17))</f>
        <v/>
      </c>
      <c r="BH298" s="97" t="str">
        <f aca="false">IF($BR298&lt;&gt;Constants!$B$8,"",Constants!$B$20+SUM($BC298:$BG298))</f>
        <v/>
      </c>
      <c r="BI298" s="92" t="str">
        <f aca="false">IF($BR298&lt;&gt;Constants!$B$8,"",IF(OR($BP298&lt;$BH298,AND($BP298=$BH298,OR($BK298&lt;$BC298,AND($BK298=$BC298,OR($BL298&lt;$BD298,AND($BL298=$BD298,$AT298,$AL298,$AV298&lt;$AN298)))))),"-&gt;","&lt;-"))</f>
        <v/>
      </c>
      <c r="BJ298" s="91" t="str">
        <f aca="false">IF(ISBLANK($C298),"",AND($AT298,OR($AU298="",$AV298="",AND($AW298,$AX298=""))))</f>
        <v/>
      </c>
      <c r="BK298" s="93" t="str">
        <f aca="false">IF($BR298&lt;&gt;Constants!$B$8,"",IF($AT298,Constants!$B$21*$AV298+Constants!$B$22*IF($AW298,$AX298,Constants!$B$23),Constants!$B$24))</f>
        <v/>
      </c>
      <c r="BL298" s="96" t="str">
        <f aca="false">IF($BR298&lt;&gt;Constants!$B$8,"",Constants!$B$25*ABS($AD$9-IF($AT298,$AU298,0)))</f>
        <v/>
      </c>
      <c r="BM298" s="96" t="str">
        <f aca="false">IF($BR298&lt;&gt;Constants!$B$8,"",IF(AND($AT298,$AY298,$AW298),Constants!$B$27,0))</f>
        <v/>
      </c>
      <c r="BN298" s="96" t="str">
        <f aca="false">IF($BR298&lt;&gt;Constants!$B$8,"",IF($AT298,($AI298-Constants!$B$29)*Constants!$B$28,0))</f>
        <v/>
      </c>
      <c r="BO298" s="96" t="str">
        <f aca="false">IF($BR298&lt;&gt;Constants!$B$8,"",IF($AS298,0,Constants!$B$15)+IF($AR298,0,Constants!$B$16)+IF($AH298,0,Constants!$B$17))</f>
        <v/>
      </c>
      <c r="BP298" s="97" t="str">
        <f aca="false">IF($BR298&lt;&gt;Constants!$B$8,"",Constants!$B$20+SUM($BK298:$BO298))</f>
        <v/>
      </c>
      <c r="BQ298" s="92" t="str">
        <f aca="false">IF(ISBLANK($C298),"",IF(ISBLANK($D$7),$BQ$5,IF(NOT(ISNUMBER($D$7)),$BQ$6,"")))</f>
        <v/>
      </c>
      <c r="BR298" s="92" t="str">
        <f aca="false">IF(ISBLANK($C298),"",IF($BA298,Constants!$B$11,IF(COUNTA($E298:$AA298)=0,Constants!$B$10,IF(NOT($AG298),Constants!$B$9,IF(OR($BQ298&lt;&gt;"",$BB298,$BJ298),Constants!$B$12,Constants!$B$8)))))</f>
        <v/>
      </c>
      <c r="BS298" s="92" t="str">
        <f aca="false">IF(ISBLANK($C298),"",IF($BR298&lt;&gt;Constants!$B$8,$BR298,Constants!$B$13))</f>
        <v/>
      </c>
      <c r="BT298" s="96" t="str">
        <f aca="false">IF($BR298&lt;&gt;Constants!$B$8,"",IF($BI298="-&gt;",$BP298,$BH298))</f>
        <v/>
      </c>
      <c r="BU298" s="96" t="str">
        <f aca="false">IF($BR298&lt;&gt;Constants!$B$8,"",IF($AF298,0,Constants!$B$18))</f>
        <v/>
      </c>
      <c r="BV298" s="96" t="str">
        <f aca="false">IF($BR298&lt;&gt;Constants!$B$8,"",((Constants!$B$31-$AZ298)-Constants!$B$31)/Constants!$B$32)</f>
        <v/>
      </c>
      <c r="BW298" s="96" t="str">
        <f aca="false">IF(ISBLANK($C298),"",IF($BR298&lt;&gt;Constants!$B$8,$BR298,SUM($BT298:$BV298)))</f>
        <v/>
      </c>
      <c r="BX298" s="92" t="str">
        <f aca="false">IF(ISBLANK($C298),"",IF($BR298&lt;&gt;Constants!$B$8,$BR298,RANK($BW298,$BW$9:$BW$508,1)))</f>
        <v/>
      </c>
      <c r="BY298" s="96" t="str">
        <f aca="false">IF($BR298&lt;&gt;Constants!$B$8,"",IF($BI298="-&gt;",$BK298,$BC298))</f>
        <v/>
      </c>
      <c r="BZ298" s="92" t="str">
        <f aca="false">IF(ISBLANK($C298),"",IF($BR298&lt;&gt;Constants!$B$8,$BR298,IF(ISNUMBER($BY298),RANK($BY298,$BY$9:$BY$508,1),COUNT($BY$9:$BY$508)+1)))</f>
        <v/>
      </c>
      <c r="CA298" s="96" t="str">
        <f aca="false">IF($BR298&lt;&gt;Constants!$B$8,"",IF($BI298="-&gt;",$BL298,$BD298))</f>
        <v/>
      </c>
      <c r="CB298" s="92" t="str">
        <f aca="false">IF(ISBLANK($C298),"",IF($BR298&lt;&gt;Constants!$B$8,$BR298,IF(ISNUMBER($CA298),RANK($CA298,$CA$9:$CA$508,1),COUNT($CA$9:$CA$508)+1)))</f>
        <v/>
      </c>
      <c r="CC298" s="96" t="str">
        <f aca="false">IF($BR298&lt;&gt;Constants!$B$8,"",IF($BI298="-&gt;",IF($AT298,$AV298,""),IF($AL298,$AN298,"")))</f>
        <v/>
      </c>
      <c r="CD298" s="92" t="str">
        <f aca="false">IF(ISBLANK($C298),"",IF($BR298&lt;&gt;Constants!$B$8,$BR298,IF(ISNUMBER($CC298),RANK($CC298,$CC$9:$CC$508,1),COUNT($CC$9:$CC$508)+1)))</f>
        <v/>
      </c>
      <c r="CE298" s="96" t="str">
        <f aca="false">IF($BR298&lt;&gt;Constants!$B$8,"",IF(AND(NOT($AL298),NOT($AT298),$AJ298,$AK298,$AR298,$AS298),"",$AI298))</f>
        <v/>
      </c>
      <c r="CF298" s="92" t="str">
        <f aca="false">IF(ISBLANK($C298),"",IF($BR298&lt;&gt;Constants!$B$8,$BR298,IF(ISNUMBER($CE298),RANK($CE298,$CE$9:$CE$508,1),COUNT($CE$9:$CE$508)+1)))</f>
        <v/>
      </c>
      <c r="CG298" s="92" t="str">
        <f aca="false">IF(ISBLANK($C298),"",IF($BR298&lt;&gt;Constants!$B$8,$BR298,COUNTIFS($BX$9:$BX$508,"&lt;"&amp;$BX298)+COUNTIFS($BX$9:$BX$508,$BX298,$BZ$9:$BZ$508,"&lt;"&amp;$BZ298)+COUNTIFS($BX$9:$BX$508,$BX298,$BZ$9:$BZ$508,$BZ298,$CB$9:$CB$508,"&lt;"&amp;$CB298)+COUNTIFS($BX$9:$BX$508,$BX298,$BZ$9:$BZ$508,$BZ298,$CB$9:$CB$508,$CB298,$CD$9:$CD$508,"&lt;"&amp;$CD298)+COUNTIFS($BX$9:$BX$508,$BX298,$BZ$9:$BZ$508,$BZ298,$CB$9:$CB$508,$CB298,$CD$9:$CD$508,$CD298,$CF$9:$CF$508,"&lt;"&amp;$CF298)+1))</f>
        <v/>
      </c>
      <c r="CH298" s="92" t="str">
        <f aca="false">IF(ISBLANK($C298),"",IF($BR298&lt;&gt;Constants!$B$8,$BR298,$BX298-$CG298))</f>
        <v/>
      </c>
      <c r="CI298" s="98"/>
      <c r="CJ298" s="99"/>
      <c r="CK298" s="100" t="str">
        <f aca="false">IF(ISBLANK($C298),"",IF($BR298=Constants!$B$12,$BQ298,""))</f>
        <v/>
      </c>
      <c r="CL298" s="99" t="str">
        <f aca="false">IF(ISBLANK($C298),"",IF($BR298&lt;&gt;Constants!$B$8,"",IF($BI298="-&gt;",2,1)))</f>
        <v/>
      </c>
      <c r="CM298" s="101" t="str">
        <f aca="false">IF(ISBLANK($C298),"",IF($BR298&lt;&gt;Constants!$B$8,"",IF($BI298="-&gt;",$BK298,$BC298)))</f>
        <v/>
      </c>
      <c r="CN298" s="101" t="str">
        <f aca="false">IF(ISBLANK($C298),"",IF($BR298&lt;&gt;Constants!$B$8,"",IF($BI298="-&gt;",$BL298,$BD298)))</f>
        <v/>
      </c>
      <c r="CO298" s="101" t="str">
        <f aca="false">IF(ISBLANK($C298),"",IF($BR298&lt;&gt;Constants!$B$8,"",IF($BI298="-&gt;",$BM298+$BN298,$BE298+$BF298)+$BV298))</f>
        <v/>
      </c>
      <c r="CP298" s="101" t="str">
        <f aca="false">IF(ISBLANK($C298),"",IF($BR298&lt;&gt;Constants!$B$8,"",IF($BI298="-&gt;",$BO298,$BG298)+$BU298))</f>
        <v/>
      </c>
      <c r="CQ298" s="102" t="str">
        <f aca="false">IF(ISBLANK($C298),"",IF($BR298&lt;&gt;Constants!$B$8,$BR298,$BW298))</f>
        <v/>
      </c>
      <c r="CR298" s="103" t="str">
        <f aca="false">IF(ISBLANK($C298),"",$BS298)</f>
        <v/>
      </c>
      <c r="CS298" s="104" t="str">
        <f aca="false">IF(ISBLANK($C298),"",$CH298)</f>
        <v/>
      </c>
      <c r="CT298" s="104" t="str">
        <f aca="false">IF(ISBLANK($C298),"",$CG298)</f>
        <v/>
      </c>
      <c r="CU298" s="105" t="str">
        <f aca="false">IF(ISBLANK($C298),"",IFERROR(_xlfn.SWITCH($CT298,Constants!$B$11,COUNTA($C$9:$C$508)+2,Constants!$B$10,COUNTA($C$9:$C$508)+1,Constants!$B$9,COUNTA($C$9:$C$508)),$CT298))</f>
        <v/>
      </c>
      <c r="CV298" s="9"/>
      <c r="CW298" s="106" t="n">
        <f aca="false">IF(OR(ISNUMBER($CT298),$CT298=Constants!$B$11,$CT298=Constants!$B$9,$CT298=Constants!$B$10),1,0)</f>
        <v>0</v>
      </c>
      <c r="CX298" s="106" t="n">
        <v>290</v>
      </c>
      <c r="CY298" s="106" t="str">
        <f aca="false">IF(ISBLANK($C298),"",IF(ISNUMBER($CU298),$CU298+ROW($B298)/1000,""))</f>
        <v/>
      </c>
      <c r="CZ298" s="106" t="str">
        <f aca="false">IF(ISNUMBER($CY298),RANK($CY298,$CY$9:$CY$508,1),"")</f>
        <v/>
      </c>
      <c r="DA298" s="106" t="str">
        <f aca="false">IF(ISBLANK($C298),"",$B298)</f>
        <v/>
      </c>
      <c r="DB298" s="106" t="str">
        <f aca="false">IF(ISBLANK($C298),"",$C298)</f>
        <v/>
      </c>
      <c r="DC298" s="106" t="str">
        <f aca="false">IF(ISBLANK($C298),"",$D298)</f>
        <v/>
      </c>
      <c r="DD298" s="107" t="str">
        <f aca="false">$CR298</f>
        <v/>
      </c>
      <c r="DE298" s="108" t="str">
        <f aca="false">$CQ298</f>
        <v/>
      </c>
      <c r="DF298" s="106" t="str">
        <f aca="false">IF(ISBLANK($C298),"",$CT298)</f>
        <v/>
      </c>
      <c r="DG298" s="109" t="str">
        <f aca="false">IF($CX298&gt;$CW$8,"",VLOOKUP($CX298,$CZ$9:$DF$508,7,FALSE()))</f>
        <v/>
      </c>
      <c r="DH298" s="110" t="str">
        <f aca="false">IF($CX298&gt;$CW$8,"",VLOOKUP($CX298,$CZ$9:$DF$508,2,FALSE()))</f>
        <v/>
      </c>
      <c r="DI298" s="110" t="str">
        <f aca="false">IF($CX298&gt;$CW$8,"",VLOOKUP($CX298,$CZ$9:$DF$508,3,FALSE()))</f>
        <v/>
      </c>
      <c r="DJ298" s="110" t="str">
        <f aca="false">IF($CX298&gt;$CW$8,"",VLOOKUP($CX298,$CZ$9:$DF$508,4,FALSE()))</f>
        <v/>
      </c>
      <c r="DK298" s="110" t="str">
        <f aca="false">IF($CX298&gt;$CW$8,"",VLOOKUP($CX298,$CZ$9:$DF$508,5,FALSE()))</f>
        <v/>
      </c>
      <c r="DL298" s="111" t="str">
        <f aca="false">IF($CX298&gt;$CW$8,"",VLOOKUP($CX298,$CZ$9:$DF$508,6,FALSE()))</f>
        <v/>
      </c>
      <c r="DM298" s="75"/>
    </row>
    <row r="299" customFormat="false" ht="15.75" hidden="false" customHeight="false" outlineLevel="0" collapsed="false">
      <c r="A299" s="9"/>
      <c r="B299" s="77"/>
      <c r="C299" s="78"/>
      <c r="D299" s="167"/>
      <c r="E299" s="175"/>
      <c r="F299" s="169"/>
      <c r="G299" s="170"/>
      <c r="H299" s="170"/>
      <c r="I299" s="176"/>
      <c r="J299" s="173"/>
      <c r="K299" s="85"/>
      <c r="L299" s="86"/>
      <c r="M299" s="87"/>
      <c r="N299" s="173"/>
      <c r="O299" s="173"/>
      <c r="P299" s="175"/>
      <c r="Q299" s="173"/>
      <c r="R299" s="173"/>
      <c r="S299" s="85"/>
      <c r="T299" s="87"/>
      <c r="U299" s="87"/>
      <c r="V299" s="173"/>
      <c r="W299" s="173"/>
      <c r="X299" s="175"/>
      <c r="Y299" s="173"/>
      <c r="Z299" s="174"/>
      <c r="AA299" s="173"/>
      <c r="AB299" s="91"/>
      <c r="AC299" s="92"/>
      <c r="AD299" s="92"/>
      <c r="AE299" s="92"/>
      <c r="AF299" s="92" t="str">
        <f aca="false">IF(ISBLANK($C299),"",IF(E299=Constants!$B$3,TRUE(),IF(E299=Constants!$B$4,FALSE(),TRUE())))</f>
        <v/>
      </c>
      <c r="AG299" s="92" t="str">
        <f aca="false">IF(ISBLANK($C299),"",IF(F299=Constants!$B$3,TRUE(),IF(F299=Constants!$B$4,FALSE(),TRUE())))</f>
        <v/>
      </c>
      <c r="AH299" s="92" t="str">
        <f aca="false">IF(ISBLANK($C299),"",IF(G299=Constants!$B$3,TRUE(),IF(G299=Constants!$B$4,FALSE(),TRUE())))</f>
        <v/>
      </c>
      <c r="AI299" s="92" t="str">
        <f aca="false">IF(ISBLANK($C299),"",IF(AND(ISNUMBER(H299),H299&gt;=0),H299,Constants!$B$29))</f>
        <v/>
      </c>
      <c r="AJ299" s="92" t="str">
        <f aca="false">IF(ISBLANK($C299),"",IF(I299=Constants!$B$3,TRUE(),IF(I299=Constants!$B$4,FALSE(),TRUE())))</f>
        <v/>
      </c>
      <c r="AK299" s="92" t="str">
        <f aca="false">IF(ISBLANK($C299),"",IF(J299=Constants!$B$3,TRUE(),IF(J299=Constants!$B$4,FALSE(),TRUE())))</f>
        <v/>
      </c>
      <c r="AL299" s="92" t="str">
        <f aca="false">IF(ISBLANK($C299),"",IF(K299=Constants!$B$5,TRUE(),IF(K299=Constants!$B$6,FALSE(),COUNTA(L299:P299)&gt;0)))</f>
        <v/>
      </c>
      <c r="AM299" s="94" t="str">
        <f aca="false">IF(ISBLANK($C299),"",IF(ISNUMBER(L299),IF(L299&gt;=0,L299,""),""))</f>
        <v/>
      </c>
      <c r="AN299" s="93" t="str">
        <f aca="false">IF(ISBLANK($C299),"",IF(ISNUMBER(M299),IF(M299&gt;=0,M299,""),""))</f>
        <v/>
      </c>
      <c r="AO299" s="93" t="str">
        <f aca="false">IF(ISBLANK($C299),"",IF(N299=Constants!$B$3,TRUE(),IF(N299=Constants!$B$4,FALSE(),TRUE())))</f>
        <v/>
      </c>
      <c r="AP299" s="92" t="str">
        <f aca="false">IF(ISBLANK($C299),"",IF(ISNUMBER(O299),IF(O299&gt;=0,O299,""),""))</f>
        <v/>
      </c>
      <c r="AQ299" s="92" t="str">
        <f aca="false">IF(ISBLANK($C299),"",IF(P299=Constants!$B$3,TRUE(),IF(P299=Constants!$B$4,FALSE(),FALSE())))</f>
        <v/>
      </c>
      <c r="AR299" s="92" t="str">
        <f aca="false">IF(ISBLANK($C299),"",IF(Q299=Constants!$B$3,TRUE(),IF(Q299=Constants!$B$4,FALSE(),TRUE())))</f>
        <v/>
      </c>
      <c r="AS299" s="92" t="str">
        <f aca="false">IF(ISBLANK($C299),"",IF(R299=Constants!$B$3,TRUE(),IF(R299=Constants!$B$4,FALSE(),TRUE())))</f>
        <v/>
      </c>
      <c r="AT299" s="92" t="str">
        <f aca="false">IF(ISBLANK($C299),"",IF(S299=Constants!$B$5,TRUE(),IF(S299=Constants!$B$6,FALSE(),COUNTA(T299:X299)&gt;0)))</f>
        <v/>
      </c>
      <c r="AU299" s="94" t="str">
        <f aca="false">IF(ISBLANK($C299),"",IF(ISNUMBER(T299),IF(T299&gt;=0,T299,""),""))</f>
        <v/>
      </c>
      <c r="AV299" s="93" t="str">
        <f aca="false">IF(ISBLANK($C299),"",IF(ISNUMBER(U299),IF(U299&gt;=0,U299,""),""))</f>
        <v/>
      </c>
      <c r="AW299" s="93" t="str">
        <f aca="false">IF(ISBLANK($C299),"",IF(V299=Constants!$B$3,TRUE(),IF(V299=Constants!$B$4,FALSE(),TRUE())))</f>
        <v/>
      </c>
      <c r="AX299" s="92" t="str">
        <f aca="false">IF(ISBLANK($C299),"",IF(ISNUMBER(W299),IF(W299&gt;=0,W299,""),""))</f>
        <v/>
      </c>
      <c r="AY299" s="92" t="str">
        <f aca="false">IF(ISBLANK($C299),"",IF(X299=Constants!$B$3,TRUE(),IF(X299=Constants!$B$4,FALSE(),FALSE())))</f>
        <v/>
      </c>
      <c r="AZ299" s="92" t="str">
        <f aca="false">IF(ISBLANK($C299),"",MIN(Constants!$B$31,MAX(0,IF(ISNUMBER(Y299),Y299*60,0)+IF(ISNUMBER(Z299),Z299,0))))</f>
        <v/>
      </c>
      <c r="BA299" s="92" t="str">
        <f aca="false">IF(ISBLANK($C299),"",IF(AA299=Constants!$B$3,TRUE(),IF(AA299=Constants!$B$4,FALSE(),FALSE())))</f>
        <v/>
      </c>
      <c r="BB299" s="91" t="str">
        <f aca="false">IF(ISBLANK($C299),"",AND($AL299,OR($AM299="",$AN299="",AND($AO299,$AP299=""))))</f>
        <v/>
      </c>
      <c r="BC299" s="93" t="str">
        <f aca="false">IF($BR299&lt;&gt;Constants!$B$8,"",IF($AL299,Constants!$B$21*$AN299+Constants!$B$22*IF($AO299,$AP299,Constants!$B$23),Constants!$B$24))</f>
        <v/>
      </c>
      <c r="BD299" s="96" t="str">
        <f aca="false">IF($BR299&lt;&gt;Constants!$B$8,"",Constants!$B$25*ABS($AD$9-IF($AL299,$AM299,0)))</f>
        <v/>
      </c>
      <c r="BE299" s="96" t="str">
        <f aca="false">IF($BR299&lt;&gt;Constants!$B$8,"",IF(AND($AL299,$AQ299,$AO299),Constants!$B$27,0))</f>
        <v/>
      </c>
      <c r="BF299" s="96" t="str">
        <f aca="false">IF($BR299&lt;&gt;Constants!$B$8,"",IF($AL299,($AI299-Constants!$B$29)*Constants!$B$28,0))</f>
        <v/>
      </c>
      <c r="BG299" s="96" t="str">
        <f aca="false">IF($BR299&lt;&gt;Constants!$B$8,"",IF($AK299,0,Constants!$B$15)+IF($AJ299,0,Constants!$B$16)+IF($AH299,0,Constants!$B$17))</f>
        <v/>
      </c>
      <c r="BH299" s="97" t="str">
        <f aca="false">IF($BR299&lt;&gt;Constants!$B$8,"",Constants!$B$20+SUM($BC299:$BG299))</f>
        <v/>
      </c>
      <c r="BI299" s="92" t="str">
        <f aca="false">IF($BR299&lt;&gt;Constants!$B$8,"",IF(OR($BP299&lt;$BH299,AND($BP299=$BH299,OR($BK299&lt;$BC299,AND($BK299=$BC299,OR($BL299&lt;$BD299,AND($BL299=$BD299,$AT299,$AL299,$AV299&lt;$AN299)))))),"-&gt;","&lt;-"))</f>
        <v/>
      </c>
      <c r="BJ299" s="91" t="str">
        <f aca="false">IF(ISBLANK($C299),"",AND($AT299,OR($AU299="",$AV299="",AND($AW299,$AX299=""))))</f>
        <v/>
      </c>
      <c r="BK299" s="93" t="str">
        <f aca="false">IF($BR299&lt;&gt;Constants!$B$8,"",IF($AT299,Constants!$B$21*$AV299+Constants!$B$22*IF($AW299,$AX299,Constants!$B$23),Constants!$B$24))</f>
        <v/>
      </c>
      <c r="BL299" s="96" t="str">
        <f aca="false">IF($BR299&lt;&gt;Constants!$B$8,"",Constants!$B$25*ABS($AD$9-IF($AT299,$AU299,0)))</f>
        <v/>
      </c>
      <c r="BM299" s="96" t="str">
        <f aca="false">IF($BR299&lt;&gt;Constants!$B$8,"",IF(AND($AT299,$AY299,$AW299),Constants!$B$27,0))</f>
        <v/>
      </c>
      <c r="BN299" s="96" t="str">
        <f aca="false">IF($BR299&lt;&gt;Constants!$B$8,"",IF($AT299,($AI299-Constants!$B$29)*Constants!$B$28,0))</f>
        <v/>
      </c>
      <c r="BO299" s="96" t="str">
        <f aca="false">IF($BR299&lt;&gt;Constants!$B$8,"",IF($AS299,0,Constants!$B$15)+IF($AR299,0,Constants!$B$16)+IF($AH299,0,Constants!$B$17))</f>
        <v/>
      </c>
      <c r="BP299" s="97" t="str">
        <f aca="false">IF($BR299&lt;&gt;Constants!$B$8,"",Constants!$B$20+SUM($BK299:$BO299))</f>
        <v/>
      </c>
      <c r="BQ299" s="92" t="str">
        <f aca="false">IF(ISBLANK($C299),"",IF(ISBLANK($D$7),$BQ$5,IF(NOT(ISNUMBER($D$7)),$BQ$6,"")))</f>
        <v/>
      </c>
      <c r="BR299" s="92" t="str">
        <f aca="false">IF(ISBLANK($C299),"",IF($BA299,Constants!$B$11,IF(COUNTA($E299:$AA299)=0,Constants!$B$10,IF(NOT($AG299),Constants!$B$9,IF(OR($BQ299&lt;&gt;"",$BB299,$BJ299),Constants!$B$12,Constants!$B$8)))))</f>
        <v/>
      </c>
      <c r="BS299" s="92" t="str">
        <f aca="false">IF(ISBLANK($C299),"",IF($BR299&lt;&gt;Constants!$B$8,$BR299,Constants!$B$13))</f>
        <v/>
      </c>
      <c r="BT299" s="96" t="str">
        <f aca="false">IF($BR299&lt;&gt;Constants!$B$8,"",IF($BI299="-&gt;",$BP299,$BH299))</f>
        <v/>
      </c>
      <c r="BU299" s="96" t="str">
        <f aca="false">IF($BR299&lt;&gt;Constants!$B$8,"",IF($AF299,0,Constants!$B$18))</f>
        <v/>
      </c>
      <c r="BV299" s="96" t="str">
        <f aca="false">IF($BR299&lt;&gt;Constants!$B$8,"",((Constants!$B$31-$AZ299)-Constants!$B$31)/Constants!$B$32)</f>
        <v/>
      </c>
      <c r="BW299" s="96" t="str">
        <f aca="false">IF(ISBLANK($C299),"",IF($BR299&lt;&gt;Constants!$B$8,$BR299,SUM($BT299:$BV299)))</f>
        <v/>
      </c>
      <c r="BX299" s="92" t="str">
        <f aca="false">IF(ISBLANK($C299),"",IF($BR299&lt;&gt;Constants!$B$8,$BR299,RANK($BW299,$BW$9:$BW$508,1)))</f>
        <v/>
      </c>
      <c r="BY299" s="96" t="str">
        <f aca="false">IF($BR299&lt;&gt;Constants!$B$8,"",IF($BI299="-&gt;",$BK299,$BC299))</f>
        <v/>
      </c>
      <c r="BZ299" s="92" t="str">
        <f aca="false">IF(ISBLANK($C299),"",IF($BR299&lt;&gt;Constants!$B$8,$BR299,IF(ISNUMBER($BY299),RANK($BY299,$BY$9:$BY$508,1),COUNT($BY$9:$BY$508)+1)))</f>
        <v/>
      </c>
      <c r="CA299" s="96" t="str">
        <f aca="false">IF($BR299&lt;&gt;Constants!$B$8,"",IF($BI299="-&gt;",$BL299,$BD299))</f>
        <v/>
      </c>
      <c r="CB299" s="92" t="str">
        <f aca="false">IF(ISBLANK($C299),"",IF($BR299&lt;&gt;Constants!$B$8,$BR299,IF(ISNUMBER($CA299),RANK($CA299,$CA$9:$CA$508,1),COUNT($CA$9:$CA$508)+1)))</f>
        <v/>
      </c>
      <c r="CC299" s="96" t="str">
        <f aca="false">IF($BR299&lt;&gt;Constants!$B$8,"",IF($BI299="-&gt;",IF($AT299,$AV299,""),IF($AL299,$AN299,"")))</f>
        <v/>
      </c>
      <c r="CD299" s="92" t="str">
        <f aca="false">IF(ISBLANK($C299),"",IF($BR299&lt;&gt;Constants!$B$8,$BR299,IF(ISNUMBER($CC299),RANK($CC299,$CC$9:$CC$508,1),COUNT($CC$9:$CC$508)+1)))</f>
        <v/>
      </c>
      <c r="CE299" s="96" t="str">
        <f aca="false">IF($BR299&lt;&gt;Constants!$B$8,"",IF(AND(NOT($AL299),NOT($AT299),$AJ299,$AK299,$AR299,$AS299),"",$AI299))</f>
        <v/>
      </c>
      <c r="CF299" s="92" t="str">
        <f aca="false">IF(ISBLANK($C299),"",IF($BR299&lt;&gt;Constants!$B$8,$BR299,IF(ISNUMBER($CE299),RANK($CE299,$CE$9:$CE$508,1),COUNT($CE$9:$CE$508)+1)))</f>
        <v/>
      </c>
      <c r="CG299" s="92" t="str">
        <f aca="false">IF(ISBLANK($C299),"",IF($BR299&lt;&gt;Constants!$B$8,$BR299,COUNTIFS($BX$9:$BX$508,"&lt;"&amp;$BX299)+COUNTIFS($BX$9:$BX$508,$BX299,$BZ$9:$BZ$508,"&lt;"&amp;$BZ299)+COUNTIFS($BX$9:$BX$508,$BX299,$BZ$9:$BZ$508,$BZ299,$CB$9:$CB$508,"&lt;"&amp;$CB299)+COUNTIFS($BX$9:$BX$508,$BX299,$BZ$9:$BZ$508,$BZ299,$CB$9:$CB$508,$CB299,$CD$9:$CD$508,"&lt;"&amp;$CD299)+COUNTIFS($BX$9:$BX$508,$BX299,$BZ$9:$BZ$508,$BZ299,$CB$9:$CB$508,$CB299,$CD$9:$CD$508,$CD299,$CF$9:$CF$508,"&lt;"&amp;$CF299)+1))</f>
        <v/>
      </c>
      <c r="CH299" s="92" t="str">
        <f aca="false">IF(ISBLANK($C299),"",IF($BR299&lt;&gt;Constants!$B$8,$BR299,$BX299-$CG299))</f>
        <v/>
      </c>
      <c r="CI299" s="98"/>
      <c r="CJ299" s="99"/>
      <c r="CK299" s="100" t="str">
        <f aca="false">IF(ISBLANK($C299),"",IF($BR299=Constants!$B$12,$BQ299,""))</f>
        <v/>
      </c>
      <c r="CL299" s="99" t="str">
        <f aca="false">IF(ISBLANK($C299),"",IF($BR299&lt;&gt;Constants!$B$8,"",IF($BI299="-&gt;",2,1)))</f>
        <v/>
      </c>
      <c r="CM299" s="101" t="str">
        <f aca="false">IF(ISBLANK($C299),"",IF($BR299&lt;&gt;Constants!$B$8,"",IF($BI299="-&gt;",$BK299,$BC299)))</f>
        <v/>
      </c>
      <c r="CN299" s="101" t="str">
        <f aca="false">IF(ISBLANK($C299),"",IF($BR299&lt;&gt;Constants!$B$8,"",IF($BI299="-&gt;",$BL299,$BD299)))</f>
        <v/>
      </c>
      <c r="CO299" s="101" t="str">
        <f aca="false">IF(ISBLANK($C299),"",IF($BR299&lt;&gt;Constants!$B$8,"",IF($BI299="-&gt;",$BM299+$BN299,$BE299+$BF299)+$BV299))</f>
        <v/>
      </c>
      <c r="CP299" s="101" t="str">
        <f aca="false">IF(ISBLANK($C299),"",IF($BR299&lt;&gt;Constants!$B$8,"",IF($BI299="-&gt;",$BO299,$BG299)+$BU299))</f>
        <v/>
      </c>
      <c r="CQ299" s="102" t="str">
        <f aca="false">IF(ISBLANK($C299),"",IF($BR299&lt;&gt;Constants!$B$8,$BR299,$BW299))</f>
        <v/>
      </c>
      <c r="CR299" s="103" t="str">
        <f aca="false">IF(ISBLANK($C299),"",$BS299)</f>
        <v/>
      </c>
      <c r="CS299" s="104" t="str">
        <f aca="false">IF(ISBLANK($C299),"",$CH299)</f>
        <v/>
      </c>
      <c r="CT299" s="104" t="str">
        <f aca="false">IF(ISBLANK($C299),"",$CG299)</f>
        <v/>
      </c>
      <c r="CU299" s="105" t="str">
        <f aca="false">IF(ISBLANK($C299),"",IFERROR(_xlfn.SWITCH($CT299,Constants!$B$11,COUNTA($C$9:$C$508)+2,Constants!$B$10,COUNTA($C$9:$C$508)+1,Constants!$B$9,COUNTA($C$9:$C$508)),$CT299))</f>
        <v/>
      </c>
      <c r="CV299" s="9"/>
      <c r="CW299" s="106" t="n">
        <f aca="false">IF(OR(ISNUMBER($CT299),$CT299=Constants!$B$11,$CT299=Constants!$B$9,$CT299=Constants!$B$10),1,0)</f>
        <v>0</v>
      </c>
      <c r="CX299" s="106" t="n">
        <v>291</v>
      </c>
      <c r="CY299" s="106" t="str">
        <f aca="false">IF(ISBLANK($C299),"",IF(ISNUMBER($CU299),$CU299+ROW($B299)/1000,""))</f>
        <v/>
      </c>
      <c r="CZ299" s="106" t="str">
        <f aca="false">IF(ISNUMBER($CY299),RANK($CY299,$CY$9:$CY$508,1),"")</f>
        <v/>
      </c>
      <c r="DA299" s="106" t="str">
        <f aca="false">IF(ISBLANK($C299),"",$B299)</f>
        <v/>
      </c>
      <c r="DB299" s="106" t="str">
        <f aca="false">IF(ISBLANK($C299),"",$C299)</f>
        <v/>
      </c>
      <c r="DC299" s="106" t="str">
        <f aca="false">IF(ISBLANK($C299),"",$D299)</f>
        <v/>
      </c>
      <c r="DD299" s="107" t="str">
        <f aca="false">$CR299</f>
        <v/>
      </c>
      <c r="DE299" s="108" t="str">
        <f aca="false">$CQ299</f>
        <v/>
      </c>
      <c r="DF299" s="106" t="str">
        <f aca="false">IF(ISBLANK($C299),"",$CT299)</f>
        <v/>
      </c>
      <c r="DG299" s="109" t="str">
        <f aca="false">IF($CX299&gt;$CW$8,"",VLOOKUP($CX299,$CZ$9:$DF$508,7,FALSE()))</f>
        <v/>
      </c>
      <c r="DH299" s="110" t="str">
        <f aca="false">IF($CX299&gt;$CW$8,"",VLOOKUP($CX299,$CZ$9:$DF$508,2,FALSE()))</f>
        <v/>
      </c>
      <c r="DI299" s="110" t="str">
        <f aca="false">IF($CX299&gt;$CW$8,"",VLOOKUP($CX299,$CZ$9:$DF$508,3,FALSE()))</f>
        <v/>
      </c>
      <c r="DJ299" s="110" t="str">
        <f aca="false">IF($CX299&gt;$CW$8,"",VLOOKUP($CX299,$CZ$9:$DF$508,4,FALSE()))</f>
        <v/>
      </c>
      <c r="DK299" s="110" t="str">
        <f aca="false">IF($CX299&gt;$CW$8,"",VLOOKUP($CX299,$CZ$9:$DF$508,5,FALSE()))</f>
        <v/>
      </c>
      <c r="DL299" s="111" t="str">
        <f aca="false">IF($CX299&gt;$CW$8,"",VLOOKUP($CX299,$CZ$9:$DF$508,6,FALSE()))</f>
        <v/>
      </c>
      <c r="DM299" s="75"/>
    </row>
    <row r="300" customFormat="false" ht="15.75" hidden="false" customHeight="false" outlineLevel="0" collapsed="false">
      <c r="A300" s="9"/>
      <c r="B300" s="157"/>
      <c r="C300" s="158"/>
      <c r="D300" s="159"/>
      <c r="E300" s="177"/>
      <c r="F300" s="161"/>
      <c r="G300" s="162"/>
      <c r="H300" s="162"/>
      <c r="I300" s="178"/>
      <c r="J300" s="165"/>
      <c r="K300" s="126"/>
      <c r="L300" s="127"/>
      <c r="M300" s="128"/>
      <c r="N300" s="165"/>
      <c r="O300" s="165"/>
      <c r="P300" s="177"/>
      <c r="Q300" s="165"/>
      <c r="R300" s="165"/>
      <c r="S300" s="126"/>
      <c r="T300" s="128"/>
      <c r="U300" s="128"/>
      <c r="V300" s="165"/>
      <c r="W300" s="165"/>
      <c r="X300" s="177"/>
      <c r="Y300" s="165"/>
      <c r="Z300" s="166"/>
      <c r="AA300" s="165"/>
      <c r="AB300" s="132"/>
      <c r="AC300" s="133"/>
      <c r="AD300" s="133"/>
      <c r="AE300" s="133"/>
      <c r="AF300" s="133" t="str">
        <f aca="false">IF(ISBLANK($C300),"",IF(E300=Constants!$B$3,TRUE(),IF(E300=Constants!$B$4,FALSE(),TRUE())))</f>
        <v/>
      </c>
      <c r="AG300" s="133" t="str">
        <f aca="false">IF(ISBLANK($C300),"",IF(F300=Constants!$B$3,TRUE(),IF(F300=Constants!$B$4,FALSE(),TRUE())))</f>
        <v/>
      </c>
      <c r="AH300" s="133" t="str">
        <f aca="false">IF(ISBLANK($C300),"",IF(G300=Constants!$B$3,TRUE(),IF(G300=Constants!$B$4,FALSE(),TRUE())))</f>
        <v/>
      </c>
      <c r="AI300" s="133" t="str">
        <f aca="false">IF(ISBLANK($C300),"",IF(AND(ISNUMBER(H300),H300&gt;=0),H300,Constants!$B$29))</f>
        <v/>
      </c>
      <c r="AJ300" s="133" t="str">
        <f aca="false">IF(ISBLANK($C300),"",IF(I300=Constants!$B$3,TRUE(),IF(I300=Constants!$B$4,FALSE(),TRUE())))</f>
        <v/>
      </c>
      <c r="AK300" s="133" t="str">
        <f aca="false">IF(ISBLANK($C300),"",IF(J300=Constants!$B$3,TRUE(),IF(J300=Constants!$B$4,FALSE(),TRUE())))</f>
        <v/>
      </c>
      <c r="AL300" s="133" t="str">
        <f aca="false">IF(ISBLANK($C300),"",IF(K300=Constants!$B$5,TRUE(),IF(K300=Constants!$B$6,FALSE(),COUNTA(L300:P300)&gt;0)))</f>
        <v/>
      </c>
      <c r="AM300" s="134" t="str">
        <f aca="false">IF(ISBLANK($C300),"",IF(ISNUMBER(L300),IF(L300&gt;=0,L300,""),""))</f>
        <v/>
      </c>
      <c r="AN300" s="135" t="str">
        <f aca="false">IF(ISBLANK($C300),"",IF(ISNUMBER(M300),IF(M300&gt;=0,M300,""),""))</f>
        <v/>
      </c>
      <c r="AO300" s="135" t="str">
        <f aca="false">IF(ISBLANK($C300),"",IF(N300=Constants!$B$3,TRUE(),IF(N300=Constants!$B$4,FALSE(),TRUE())))</f>
        <v/>
      </c>
      <c r="AP300" s="133" t="str">
        <f aca="false">IF(ISBLANK($C300),"",IF(ISNUMBER(O300),IF(O300&gt;=0,O300,""),""))</f>
        <v/>
      </c>
      <c r="AQ300" s="133" t="str">
        <f aca="false">IF(ISBLANK($C300),"",IF(P300=Constants!$B$3,TRUE(),IF(P300=Constants!$B$4,FALSE(),FALSE())))</f>
        <v/>
      </c>
      <c r="AR300" s="133" t="str">
        <f aca="false">IF(ISBLANK($C300),"",IF(Q300=Constants!$B$3,TRUE(),IF(Q300=Constants!$B$4,FALSE(),TRUE())))</f>
        <v/>
      </c>
      <c r="AS300" s="133" t="str">
        <f aca="false">IF(ISBLANK($C300),"",IF(R300=Constants!$B$3,TRUE(),IF(R300=Constants!$B$4,FALSE(),TRUE())))</f>
        <v/>
      </c>
      <c r="AT300" s="133" t="str">
        <f aca="false">IF(ISBLANK($C300),"",IF(S300=Constants!$B$5,TRUE(),IF(S300=Constants!$B$6,FALSE(),COUNTA(T300:X300)&gt;0)))</f>
        <v/>
      </c>
      <c r="AU300" s="134" t="str">
        <f aca="false">IF(ISBLANK($C300),"",IF(ISNUMBER(T300),IF(T300&gt;=0,T300,""),""))</f>
        <v/>
      </c>
      <c r="AV300" s="135" t="str">
        <f aca="false">IF(ISBLANK($C300),"",IF(ISNUMBER(U300),IF(U300&gt;=0,U300,""),""))</f>
        <v/>
      </c>
      <c r="AW300" s="135" t="str">
        <f aca="false">IF(ISBLANK($C300),"",IF(V300=Constants!$B$3,TRUE(),IF(V300=Constants!$B$4,FALSE(),TRUE())))</f>
        <v/>
      </c>
      <c r="AX300" s="133" t="str">
        <f aca="false">IF(ISBLANK($C300),"",IF(ISNUMBER(W300),IF(W300&gt;=0,W300,""),""))</f>
        <v/>
      </c>
      <c r="AY300" s="133" t="str">
        <f aca="false">IF(ISBLANK($C300),"",IF(X300=Constants!$B$3,TRUE(),IF(X300=Constants!$B$4,FALSE(),FALSE())))</f>
        <v/>
      </c>
      <c r="AZ300" s="133" t="str">
        <f aca="false">IF(ISBLANK($C300),"",MIN(Constants!$B$31,MAX(0,IF(ISNUMBER(Y300),Y300*60,0)+IF(ISNUMBER(Z300),Z300,0))))</f>
        <v/>
      </c>
      <c r="BA300" s="133" t="str">
        <f aca="false">IF(ISBLANK($C300),"",IF(AA300=Constants!$B$3,TRUE(),IF(AA300=Constants!$B$4,FALSE(),FALSE())))</f>
        <v/>
      </c>
      <c r="BB300" s="132" t="str">
        <f aca="false">IF(ISBLANK($C300),"",AND($AL300,OR($AM300="",$AN300="",AND($AO300,$AP300=""))))</f>
        <v/>
      </c>
      <c r="BC300" s="135" t="str">
        <f aca="false">IF($BR300&lt;&gt;Constants!$B$8,"",IF($AL300,Constants!$B$21*$AN300+Constants!$B$22*IF($AO300,$AP300,Constants!$B$23),Constants!$B$24))</f>
        <v/>
      </c>
      <c r="BD300" s="136" t="str">
        <f aca="false">IF($BR300&lt;&gt;Constants!$B$8,"",Constants!$B$25*ABS($AD$9-IF($AL300,$AM300,0)))</f>
        <v/>
      </c>
      <c r="BE300" s="136" t="str">
        <f aca="false">IF($BR300&lt;&gt;Constants!$B$8,"",IF(AND($AL300,$AQ300,$AO300),Constants!$B$27,0))</f>
        <v/>
      </c>
      <c r="BF300" s="136" t="str">
        <f aca="false">IF($BR300&lt;&gt;Constants!$B$8,"",IF($AL300,($AI300-Constants!$B$29)*Constants!$B$28,0))</f>
        <v/>
      </c>
      <c r="BG300" s="136" t="str">
        <f aca="false">IF($BR300&lt;&gt;Constants!$B$8,"",IF($AK300,0,Constants!$B$15)+IF($AJ300,0,Constants!$B$16)+IF($AH300,0,Constants!$B$17))</f>
        <v/>
      </c>
      <c r="BH300" s="137" t="str">
        <f aca="false">IF($BR300&lt;&gt;Constants!$B$8,"",Constants!$B$20+SUM($BC300:$BG300))</f>
        <v/>
      </c>
      <c r="BI300" s="133" t="str">
        <f aca="false">IF($BR300&lt;&gt;Constants!$B$8,"",IF(OR($BP300&lt;$BH300,AND($BP300=$BH300,OR($BK300&lt;$BC300,AND($BK300=$BC300,OR($BL300&lt;$BD300,AND($BL300=$BD300,$AT300,$AL300,$AV300&lt;$AN300)))))),"-&gt;","&lt;-"))</f>
        <v/>
      </c>
      <c r="BJ300" s="132" t="str">
        <f aca="false">IF(ISBLANK($C300),"",AND($AT300,OR($AU300="",$AV300="",AND($AW300,$AX300=""))))</f>
        <v/>
      </c>
      <c r="BK300" s="135" t="str">
        <f aca="false">IF($BR300&lt;&gt;Constants!$B$8,"",IF($AT300,Constants!$B$21*$AV300+Constants!$B$22*IF($AW300,$AX300,Constants!$B$23),Constants!$B$24))</f>
        <v/>
      </c>
      <c r="BL300" s="136" t="str">
        <f aca="false">IF($BR300&lt;&gt;Constants!$B$8,"",Constants!$B$25*ABS($AD$9-IF($AT300,$AU300,0)))</f>
        <v/>
      </c>
      <c r="BM300" s="136" t="str">
        <f aca="false">IF($BR300&lt;&gt;Constants!$B$8,"",IF(AND($AT300,$AY300,$AW300),Constants!$B$27,0))</f>
        <v/>
      </c>
      <c r="BN300" s="136" t="str">
        <f aca="false">IF($BR300&lt;&gt;Constants!$B$8,"",IF($AT300,($AI300-Constants!$B$29)*Constants!$B$28,0))</f>
        <v/>
      </c>
      <c r="BO300" s="136" t="str">
        <f aca="false">IF($BR300&lt;&gt;Constants!$B$8,"",IF($AS300,0,Constants!$B$15)+IF($AR300,0,Constants!$B$16)+IF($AH300,0,Constants!$B$17))</f>
        <v/>
      </c>
      <c r="BP300" s="137" t="str">
        <f aca="false">IF($BR300&lt;&gt;Constants!$B$8,"",Constants!$B$20+SUM($BK300:$BO300))</f>
        <v/>
      </c>
      <c r="BQ300" s="133" t="str">
        <f aca="false">IF(ISBLANK($C300),"",IF(ISBLANK($D$7),$BQ$5,IF(NOT(ISNUMBER($D$7)),$BQ$6,"")))</f>
        <v/>
      </c>
      <c r="BR300" s="133" t="str">
        <f aca="false">IF(ISBLANK($C300),"",IF($BA300,Constants!$B$11,IF(COUNTA($E300:$AA300)=0,Constants!$B$10,IF(NOT($AG300),Constants!$B$9,IF(OR($BQ300&lt;&gt;"",$BB300,$BJ300),Constants!$B$12,Constants!$B$8)))))</f>
        <v/>
      </c>
      <c r="BS300" s="133" t="str">
        <f aca="false">IF(ISBLANK($C300),"",IF($BR300&lt;&gt;Constants!$B$8,$BR300,Constants!$B$13))</f>
        <v/>
      </c>
      <c r="BT300" s="136" t="str">
        <f aca="false">IF($BR300&lt;&gt;Constants!$B$8,"",IF($BI300="-&gt;",$BP300,$BH300))</f>
        <v/>
      </c>
      <c r="BU300" s="136" t="str">
        <f aca="false">IF($BR300&lt;&gt;Constants!$B$8,"",IF($AF300,0,Constants!$B$18))</f>
        <v/>
      </c>
      <c r="BV300" s="136" t="str">
        <f aca="false">IF($BR300&lt;&gt;Constants!$B$8,"",((Constants!$B$31-$AZ300)-Constants!$B$31)/Constants!$B$32)</f>
        <v/>
      </c>
      <c r="BW300" s="136" t="str">
        <f aca="false">IF(ISBLANK($C300),"",IF($BR300&lt;&gt;Constants!$B$8,$BR300,SUM($BT300:$BV300)))</f>
        <v/>
      </c>
      <c r="BX300" s="133" t="str">
        <f aca="false">IF(ISBLANK($C300),"",IF($BR300&lt;&gt;Constants!$B$8,$BR300,RANK($BW300,$BW$9:$BW$508,1)))</f>
        <v/>
      </c>
      <c r="BY300" s="136" t="str">
        <f aca="false">IF($BR300&lt;&gt;Constants!$B$8,"",IF($BI300="-&gt;",$BK300,$BC300))</f>
        <v/>
      </c>
      <c r="BZ300" s="133" t="str">
        <f aca="false">IF(ISBLANK($C300),"",IF($BR300&lt;&gt;Constants!$B$8,$BR300,IF(ISNUMBER($BY300),RANK($BY300,$BY$9:$BY$508,1),COUNT($BY$9:$BY$508)+1)))</f>
        <v/>
      </c>
      <c r="CA300" s="136" t="str">
        <f aca="false">IF($BR300&lt;&gt;Constants!$B$8,"",IF($BI300="-&gt;",$BL300,$BD300))</f>
        <v/>
      </c>
      <c r="CB300" s="133" t="str">
        <f aca="false">IF(ISBLANK($C300),"",IF($BR300&lt;&gt;Constants!$B$8,$BR300,IF(ISNUMBER($CA300),RANK($CA300,$CA$9:$CA$508,1),COUNT($CA$9:$CA$508)+1)))</f>
        <v/>
      </c>
      <c r="CC300" s="136" t="str">
        <f aca="false">IF($BR300&lt;&gt;Constants!$B$8,"",IF($BI300="-&gt;",IF($AT300,$AV300,""),IF($AL300,$AN300,"")))</f>
        <v/>
      </c>
      <c r="CD300" s="133" t="str">
        <f aca="false">IF(ISBLANK($C300),"",IF($BR300&lt;&gt;Constants!$B$8,$BR300,IF(ISNUMBER($CC300),RANK($CC300,$CC$9:$CC$508,1),COUNT($CC$9:$CC$508)+1)))</f>
        <v/>
      </c>
      <c r="CE300" s="136" t="str">
        <f aca="false">IF($BR300&lt;&gt;Constants!$B$8,"",IF(AND(NOT($AL300),NOT($AT300),$AJ300,$AK300,$AR300,$AS300),"",$AI300))</f>
        <v/>
      </c>
      <c r="CF300" s="133" t="str">
        <f aca="false">IF(ISBLANK($C300),"",IF($BR300&lt;&gt;Constants!$B$8,$BR300,IF(ISNUMBER($CE300),RANK($CE300,$CE$9:$CE$508,1),COUNT($CE$9:$CE$508)+1)))</f>
        <v/>
      </c>
      <c r="CG300" s="133" t="str">
        <f aca="false">IF(ISBLANK($C300),"",IF($BR300&lt;&gt;Constants!$B$8,$BR300,COUNTIFS($BX$9:$BX$508,"&lt;"&amp;$BX300)+COUNTIFS($BX$9:$BX$508,$BX300,$BZ$9:$BZ$508,"&lt;"&amp;$BZ300)+COUNTIFS($BX$9:$BX$508,$BX300,$BZ$9:$BZ$508,$BZ300,$CB$9:$CB$508,"&lt;"&amp;$CB300)+COUNTIFS($BX$9:$BX$508,$BX300,$BZ$9:$BZ$508,$BZ300,$CB$9:$CB$508,$CB300,$CD$9:$CD$508,"&lt;"&amp;$CD300)+COUNTIFS($BX$9:$BX$508,$BX300,$BZ$9:$BZ$508,$BZ300,$CB$9:$CB$508,$CB300,$CD$9:$CD$508,$CD300,$CF$9:$CF$508,"&lt;"&amp;$CF300)+1))</f>
        <v/>
      </c>
      <c r="CH300" s="133" t="str">
        <f aca="false">IF(ISBLANK($C300),"",IF($BR300&lt;&gt;Constants!$B$8,$BR300,$BX300-$CG300))</f>
        <v/>
      </c>
      <c r="CI300" s="138"/>
      <c r="CJ300" s="139"/>
      <c r="CK300" s="140" t="str">
        <f aca="false">IF(ISBLANK($C300),"",IF($BR300=Constants!$B$12,$BQ300,""))</f>
        <v/>
      </c>
      <c r="CL300" s="139" t="str">
        <f aca="false">IF(ISBLANK($C300),"",IF($BR300&lt;&gt;Constants!$B$8,"",IF($BI300="-&gt;",2,1)))</f>
        <v/>
      </c>
      <c r="CM300" s="141" t="str">
        <f aca="false">IF(ISBLANK($C300),"",IF($BR300&lt;&gt;Constants!$B$8,"",IF($BI300="-&gt;",$BK300,$BC300)))</f>
        <v/>
      </c>
      <c r="CN300" s="141" t="str">
        <f aca="false">IF(ISBLANK($C300),"",IF($BR300&lt;&gt;Constants!$B$8,"",IF($BI300="-&gt;",$BL300,$BD300)))</f>
        <v/>
      </c>
      <c r="CO300" s="141" t="str">
        <f aca="false">IF(ISBLANK($C300),"",IF($BR300&lt;&gt;Constants!$B$8,"",IF($BI300="-&gt;",$BM300+$BN300,$BE300+$BF300)+$BV300))</f>
        <v/>
      </c>
      <c r="CP300" s="141" t="str">
        <f aca="false">IF(ISBLANK($C300),"",IF($BR300&lt;&gt;Constants!$B$8,"",IF($BI300="-&gt;",$BO300,$BG300)+$BU300))</f>
        <v/>
      </c>
      <c r="CQ300" s="142" t="str">
        <f aca="false">IF(ISBLANK($C300),"",IF($BR300&lt;&gt;Constants!$B$8,$BR300,$BW300))</f>
        <v/>
      </c>
      <c r="CR300" s="143" t="str">
        <f aca="false">IF(ISBLANK($C300),"",$BS300)</f>
        <v/>
      </c>
      <c r="CS300" s="144" t="str">
        <f aca="false">IF(ISBLANK($C300),"",$CH300)</f>
        <v/>
      </c>
      <c r="CT300" s="144" t="str">
        <f aca="false">IF(ISBLANK($C300),"",$CG300)</f>
        <v/>
      </c>
      <c r="CU300" s="145" t="str">
        <f aca="false">IF(ISBLANK($C300),"",IFERROR(_xlfn.SWITCH($CT300,Constants!$B$11,COUNTA($C$9:$C$508)+2,Constants!$B$10,COUNTA($C$9:$C$508)+1,Constants!$B$9,COUNTA($C$9:$C$508)),$CT300))</f>
        <v/>
      </c>
      <c r="CV300" s="9"/>
      <c r="CW300" s="146" t="n">
        <f aca="false">IF(OR(ISNUMBER($CT300),$CT300=Constants!$B$11,$CT300=Constants!$B$9,$CT300=Constants!$B$10),1,0)</f>
        <v>0</v>
      </c>
      <c r="CX300" s="146" t="n">
        <v>292</v>
      </c>
      <c r="CY300" s="146" t="str">
        <f aca="false">IF(ISBLANK($C300),"",IF(ISNUMBER($CU300),$CU300+ROW($B300)/1000,""))</f>
        <v/>
      </c>
      <c r="CZ300" s="146" t="str">
        <f aca="false">IF(ISNUMBER($CY300),RANK($CY300,$CY$9:$CY$508,1),"")</f>
        <v/>
      </c>
      <c r="DA300" s="146" t="str">
        <f aca="false">IF(ISBLANK($C300),"",$B300)</f>
        <v/>
      </c>
      <c r="DB300" s="146" t="str">
        <f aca="false">IF(ISBLANK($C300),"",$C300)</f>
        <v/>
      </c>
      <c r="DC300" s="146" t="str">
        <f aca="false">IF(ISBLANK($C300),"",$D300)</f>
        <v/>
      </c>
      <c r="DD300" s="147" t="str">
        <f aca="false">$CR300</f>
        <v/>
      </c>
      <c r="DE300" s="148" t="str">
        <f aca="false">$CQ300</f>
        <v/>
      </c>
      <c r="DF300" s="146" t="str">
        <f aca="false">IF(ISBLANK($C300),"",$CT300)</f>
        <v/>
      </c>
      <c r="DG300" s="149" t="str">
        <f aca="false">IF($CX300&gt;$CW$8,"",VLOOKUP($CX300,$CZ$9:$DF$508,7,FALSE()))</f>
        <v/>
      </c>
      <c r="DH300" s="150" t="str">
        <f aca="false">IF($CX300&gt;$CW$8,"",VLOOKUP($CX300,$CZ$9:$DF$508,2,FALSE()))</f>
        <v/>
      </c>
      <c r="DI300" s="150" t="str">
        <f aca="false">IF($CX300&gt;$CW$8,"",VLOOKUP($CX300,$CZ$9:$DF$508,3,FALSE()))</f>
        <v/>
      </c>
      <c r="DJ300" s="150" t="str">
        <f aca="false">IF($CX300&gt;$CW$8,"",VLOOKUP($CX300,$CZ$9:$DF$508,4,FALSE()))</f>
        <v/>
      </c>
      <c r="DK300" s="150" t="str">
        <f aca="false">IF($CX300&gt;$CW$8,"",VLOOKUP($CX300,$CZ$9:$DF$508,5,FALSE()))</f>
        <v/>
      </c>
      <c r="DL300" s="151" t="str">
        <f aca="false">IF($CX300&gt;$CW$8,"",VLOOKUP($CX300,$CZ$9:$DF$508,6,FALSE()))</f>
        <v/>
      </c>
      <c r="DM300" s="75"/>
    </row>
    <row r="301" customFormat="false" ht="15.75" hidden="false" customHeight="false" outlineLevel="0" collapsed="false">
      <c r="A301" s="9"/>
      <c r="B301" s="157"/>
      <c r="C301" s="158"/>
      <c r="D301" s="159"/>
      <c r="E301" s="177"/>
      <c r="F301" s="161"/>
      <c r="G301" s="162"/>
      <c r="H301" s="162"/>
      <c r="I301" s="178"/>
      <c r="J301" s="165"/>
      <c r="K301" s="126"/>
      <c r="L301" s="127"/>
      <c r="M301" s="128"/>
      <c r="N301" s="165"/>
      <c r="O301" s="165"/>
      <c r="P301" s="177"/>
      <c r="Q301" s="165"/>
      <c r="R301" s="165"/>
      <c r="S301" s="126"/>
      <c r="T301" s="128"/>
      <c r="U301" s="128"/>
      <c r="V301" s="165"/>
      <c r="W301" s="165"/>
      <c r="X301" s="177"/>
      <c r="Y301" s="165"/>
      <c r="Z301" s="166"/>
      <c r="AA301" s="165"/>
      <c r="AB301" s="132"/>
      <c r="AC301" s="133"/>
      <c r="AD301" s="133"/>
      <c r="AE301" s="133"/>
      <c r="AF301" s="133" t="str">
        <f aca="false">IF(ISBLANK($C301),"",IF(E301=Constants!$B$3,TRUE(),IF(E301=Constants!$B$4,FALSE(),TRUE())))</f>
        <v/>
      </c>
      <c r="AG301" s="133" t="str">
        <f aca="false">IF(ISBLANK($C301),"",IF(F301=Constants!$B$3,TRUE(),IF(F301=Constants!$B$4,FALSE(),TRUE())))</f>
        <v/>
      </c>
      <c r="AH301" s="133" t="str">
        <f aca="false">IF(ISBLANK($C301),"",IF(G301=Constants!$B$3,TRUE(),IF(G301=Constants!$B$4,FALSE(),TRUE())))</f>
        <v/>
      </c>
      <c r="AI301" s="133" t="str">
        <f aca="false">IF(ISBLANK($C301),"",IF(AND(ISNUMBER(H301),H301&gt;=0),H301,Constants!$B$29))</f>
        <v/>
      </c>
      <c r="AJ301" s="133" t="str">
        <f aca="false">IF(ISBLANK($C301),"",IF(I301=Constants!$B$3,TRUE(),IF(I301=Constants!$B$4,FALSE(),TRUE())))</f>
        <v/>
      </c>
      <c r="AK301" s="133" t="str">
        <f aca="false">IF(ISBLANK($C301),"",IF(J301=Constants!$B$3,TRUE(),IF(J301=Constants!$B$4,FALSE(),TRUE())))</f>
        <v/>
      </c>
      <c r="AL301" s="133" t="str">
        <f aca="false">IF(ISBLANK($C301),"",IF(K301=Constants!$B$5,TRUE(),IF(K301=Constants!$B$6,FALSE(),COUNTA(L301:P301)&gt;0)))</f>
        <v/>
      </c>
      <c r="AM301" s="134" t="str">
        <f aca="false">IF(ISBLANK($C301),"",IF(ISNUMBER(L301),IF(L301&gt;=0,L301,""),""))</f>
        <v/>
      </c>
      <c r="AN301" s="135" t="str">
        <f aca="false">IF(ISBLANK($C301),"",IF(ISNUMBER(M301),IF(M301&gt;=0,M301,""),""))</f>
        <v/>
      </c>
      <c r="AO301" s="135" t="str">
        <f aca="false">IF(ISBLANK($C301),"",IF(N301=Constants!$B$3,TRUE(),IF(N301=Constants!$B$4,FALSE(),TRUE())))</f>
        <v/>
      </c>
      <c r="AP301" s="133" t="str">
        <f aca="false">IF(ISBLANK($C301),"",IF(ISNUMBER(O301),IF(O301&gt;=0,O301,""),""))</f>
        <v/>
      </c>
      <c r="AQ301" s="133" t="str">
        <f aca="false">IF(ISBLANK($C301),"",IF(P301=Constants!$B$3,TRUE(),IF(P301=Constants!$B$4,FALSE(),FALSE())))</f>
        <v/>
      </c>
      <c r="AR301" s="133" t="str">
        <f aca="false">IF(ISBLANK($C301),"",IF(Q301=Constants!$B$3,TRUE(),IF(Q301=Constants!$B$4,FALSE(),TRUE())))</f>
        <v/>
      </c>
      <c r="AS301" s="133" t="str">
        <f aca="false">IF(ISBLANK($C301),"",IF(R301=Constants!$B$3,TRUE(),IF(R301=Constants!$B$4,FALSE(),TRUE())))</f>
        <v/>
      </c>
      <c r="AT301" s="133" t="str">
        <f aca="false">IF(ISBLANK($C301),"",IF(S301=Constants!$B$5,TRUE(),IF(S301=Constants!$B$6,FALSE(),COUNTA(T301:X301)&gt;0)))</f>
        <v/>
      </c>
      <c r="AU301" s="134" t="str">
        <f aca="false">IF(ISBLANK($C301),"",IF(ISNUMBER(T301),IF(T301&gt;=0,T301,""),""))</f>
        <v/>
      </c>
      <c r="AV301" s="135" t="str">
        <f aca="false">IF(ISBLANK($C301),"",IF(ISNUMBER(U301),IF(U301&gt;=0,U301,""),""))</f>
        <v/>
      </c>
      <c r="AW301" s="135" t="str">
        <f aca="false">IF(ISBLANK($C301),"",IF(V301=Constants!$B$3,TRUE(),IF(V301=Constants!$B$4,FALSE(),TRUE())))</f>
        <v/>
      </c>
      <c r="AX301" s="133" t="str">
        <f aca="false">IF(ISBLANK($C301),"",IF(ISNUMBER(W301),IF(W301&gt;=0,W301,""),""))</f>
        <v/>
      </c>
      <c r="AY301" s="133" t="str">
        <f aca="false">IF(ISBLANK($C301),"",IF(X301=Constants!$B$3,TRUE(),IF(X301=Constants!$B$4,FALSE(),FALSE())))</f>
        <v/>
      </c>
      <c r="AZ301" s="133" t="str">
        <f aca="false">IF(ISBLANK($C301),"",MIN(Constants!$B$31,MAX(0,IF(ISNUMBER(Y301),Y301*60,0)+IF(ISNUMBER(Z301),Z301,0))))</f>
        <v/>
      </c>
      <c r="BA301" s="133" t="str">
        <f aca="false">IF(ISBLANK($C301),"",IF(AA301=Constants!$B$3,TRUE(),IF(AA301=Constants!$B$4,FALSE(),FALSE())))</f>
        <v/>
      </c>
      <c r="BB301" s="132" t="str">
        <f aca="false">IF(ISBLANK($C301),"",AND($AL301,OR($AM301="",$AN301="",AND($AO301,$AP301=""))))</f>
        <v/>
      </c>
      <c r="BC301" s="135" t="str">
        <f aca="false">IF($BR301&lt;&gt;Constants!$B$8,"",IF($AL301,Constants!$B$21*$AN301+Constants!$B$22*IF($AO301,$AP301,Constants!$B$23),Constants!$B$24))</f>
        <v/>
      </c>
      <c r="BD301" s="136" t="str">
        <f aca="false">IF($BR301&lt;&gt;Constants!$B$8,"",Constants!$B$25*ABS($AD$9-IF($AL301,$AM301,0)))</f>
        <v/>
      </c>
      <c r="BE301" s="136" t="str">
        <f aca="false">IF($BR301&lt;&gt;Constants!$B$8,"",IF(AND($AL301,$AQ301,$AO301),Constants!$B$27,0))</f>
        <v/>
      </c>
      <c r="BF301" s="136" t="str">
        <f aca="false">IF($BR301&lt;&gt;Constants!$B$8,"",IF($AL301,($AI301-Constants!$B$29)*Constants!$B$28,0))</f>
        <v/>
      </c>
      <c r="BG301" s="136" t="str">
        <f aca="false">IF($BR301&lt;&gt;Constants!$B$8,"",IF($AK301,0,Constants!$B$15)+IF($AJ301,0,Constants!$B$16)+IF($AH301,0,Constants!$B$17))</f>
        <v/>
      </c>
      <c r="BH301" s="137" t="str">
        <f aca="false">IF($BR301&lt;&gt;Constants!$B$8,"",Constants!$B$20+SUM($BC301:$BG301))</f>
        <v/>
      </c>
      <c r="BI301" s="133" t="str">
        <f aca="false">IF($BR301&lt;&gt;Constants!$B$8,"",IF(OR($BP301&lt;$BH301,AND($BP301=$BH301,OR($BK301&lt;$BC301,AND($BK301=$BC301,OR($BL301&lt;$BD301,AND($BL301=$BD301,$AT301,$AL301,$AV301&lt;$AN301)))))),"-&gt;","&lt;-"))</f>
        <v/>
      </c>
      <c r="BJ301" s="132" t="str">
        <f aca="false">IF(ISBLANK($C301),"",AND($AT301,OR($AU301="",$AV301="",AND($AW301,$AX301=""))))</f>
        <v/>
      </c>
      <c r="BK301" s="135" t="str">
        <f aca="false">IF($BR301&lt;&gt;Constants!$B$8,"",IF($AT301,Constants!$B$21*$AV301+Constants!$B$22*IF($AW301,$AX301,Constants!$B$23),Constants!$B$24))</f>
        <v/>
      </c>
      <c r="BL301" s="136" t="str">
        <f aca="false">IF($BR301&lt;&gt;Constants!$B$8,"",Constants!$B$25*ABS($AD$9-IF($AT301,$AU301,0)))</f>
        <v/>
      </c>
      <c r="BM301" s="136" t="str">
        <f aca="false">IF($BR301&lt;&gt;Constants!$B$8,"",IF(AND($AT301,$AY301,$AW301),Constants!$B$27,0))</f>
        <v/>
      </c>
      <c r="BN301" s="136" t="str">
        <f aca="false">IF($BR301&lt;&gt;Constants!$B$8,"",IF($AT301,($AI301-Constants!$B$29)*Constants!$B$28,0))</f>
        <v/>
      </c>
      <c r="BO301" s="136" t="str">
        <f aca="false">IF($BR301&lt;&gt;Constants!$B$8,"",IF($AS301,0,Constants!$B$15)+IF($AR301,0,Constants!$B$16)+IF($AH301,0,Constants!$B$17))</f>
        <v/>
      </c>
      <c r="BP301" s="137" t="str">
        <f aca="false">IF($BR301&lt;&gt;Constants!$B$8,"",Constants!$B$20+SUM($BK301:$BO301))</f>
        <v/>
      </c>
      <c r="BQ301" s="133" t="str">
        <f aca="false">IF(ISBLANK($C301),"",IF(ISBLANK($D$7),$BQ$5,IF(NOT(ISNUMBER($D$7)),$BQ$6,"")))</f>
        <v/>
      </c>
      <c r="BR301" s="133" t="str">
        <f aca="false">IF(ISBLANK($C301),"",IF($BA301,Constants!$B$11,IF(COUNTA($E301:$AA301)=0,Constants!$B$10,IF(NOT($AG301),Constants!$B$9,IF(OR($BQ301&lt;&gt;"",$BB301,$BJ301),Constants!$B$12,Constants!$B$8)))))</f>
        <v/>
      </c>
      <c r="BS301" s="133" t="str">
        <f aca="false">IF(ISBLANK($C301),"",IF($BR301&lt;&gt;Constants!$B$8,$BR301,Constants!$B$13))</f>
        <v/>
      </c>
      <c r="BT301" s="136" t="str">
        <f aca="false">IF($BR301&lt;&gt;Constants!$B$8,"",IF($BI301="-&gt;",$BP301,$BH301))</f>
        <v/>
      </c>
      <c r="BU301" s="136" t="str">
        <f aca="false">IF($BR301&lt;&gt;Constants!$B$8,"",IF($AF301,0,Constants!$B$18))</f>
        <v/>
      </c>
      <c r="BV301" s="136" t="str">
        <f aca="false">IF($BR301&lt;&gt;Constants!$B$8,"",((Constants!$B$31-$AZ301)-Constants!$B$31)/Constants!$B$32)</f>
        <v/>
      </c>
      <c r="BW301" s="136" t="str">
        <f aca="false">IF(ISBLANK($C301),"",IF($BR301&lt;&gt;Constants!$B$8,$BR301,SUM($BT301:$BV301)))</f>
        <v/>
      </c>
      <c r="BX301" s="133" t="str">
        <f aca="false">IF(ISBLANK($C301),"",IF($BR301&lt;&gt;Constants!$B$8,$BR301,RANK($BW301,$BW$9:$BW$508,1)))</f>
        <v/>
      </c>
      <c r="BY301" s="136" t="str">
        <f aca="false">IF($BR301&lt;&gt;Constants!$B$8,"",IF($BI301="-&gt;",$BK301,$BC301))</f>
        <v/>
      </c>
      <c r="BZ301" s="133" t="str">
        <f aca="false">IF(ISBLANK($C301),"",IF($BR301&lt;&gt;Constants!$B$8,$BR301,IF(ISNUMBER($BY301),RANK($BY301,$BY$9:$BY$508,1),COUNT($BY$9:$BY$508)+1)))</f>
        <v/>
      </c>
      <c r="CA301" s="136" t="str">
        <f aca="false">IF($BR301&lt;&gt;Constants!$B$8,"",IF($BI301="-&gt;",$BL301,$BD301))</f>
        <v/>
      </c>
      <c r="CB301" s="133" t="str">
        <f aca="false">IF(ISBLANK($C301),"",IF($BR301&lt;&gt;Constants!$B$8,$BR301,IF(ISNUMBER($CA301),RANK($CA301,$CA$9:$CA$508,1),COUNT($CA$9:$CA$508)+1)))</f>
        <v/>
      </c>
      <c r="CC301" s="136" t="str">
        <f aca="false">IF($BR301&lt;&gt;Constants!$B$8,"",IF($BI301="-&gt;",IF($AT301,$AV301,""),IF($AL301,$AN301,"")))</f>
        <v/>
      </c>
      <c r="CD301" s="133" t="str">
        <f aca="false">IF(ISBLANK($C301),"",IF($BR301&lt;&gt;Constants!$B$8,$BR301,IF(ISNUMBER($CC301),RANK($CC301,$CC$9:$CC$508,1),COUNT($CC$9:$CC$508)+1)))</f>
        <v/>
      </c>
      <c r="CE301" s="136" t="str">
        <f aca="false">IF($BR301&lt;&gt;Constants!$B$8,"",IF(AND(NOT($AL301),NOT($AT301),$AJ301,$AK301,$AR301,$AS301),"",$AI301))</f>
        <v/>
      </c>
      <c r="CF301" s="133" t="str">
        <f aca="false">IF(ISBLANK($C301),"",IF($BR301&lt;&gt;Constants!$B$8,$BR301,IF(ISNUMBER($CE301),RANK($CE301,$CE$9:$CE$508,1),COUNT($CE$9:$CE$508)+1)))</f>
        <v/>
      </c>
      <c r="CG301" s="133" t="str">
        <f aca="false">IF(ISBLANK($C301),"",IF($BR301&lt;&gt;Constants!$B$8,$BR301,COUNTIFS($BX$9:$BX$508,"&lt;"&amp;$BX301)+COUNTIFS($BX$9:$BX$508,$BX301,$BZ$9:$BZ$508,"&lt;"&amp;$BZ301)+COUNTIFS($BX$9:$BX$508,$BX301,$BZ$9:$BZ$508,$BZ301,$CB$9:$CB$508,"&lt;"&amp;$CB301)+COUNTIFS($BX$9:$BX$508,$BX301,$BZ$9:$BZ$508,$BZ301,$CB$9:$CB$508,$CB301,$CD$9:$CD$508,"&lt;"&amp;$CD301)+COUNTIFS($BX$9:$BX$508,$BX301,$BZ$9:$BZ$508,$BZ301,$CB$9:$CB$508,$CB301,$CD$9:$CD$508,$CD301,$CF$9:$CF$508,"&lt;"&amp;$CF301)+1))</f>
        <v/>
      </c>
      <c r="CH301" s="133" t="str">
        <f aca="false">IF(ISBLANK($C301),"",IF($BR301&lt;&gt;Constants!$B$8,$BR301,$BX301-$CG301))</f>
        <v/>
      </c>
      <c r="CI301" s="138"/>
      <c r="CJ301" s="139"/>
      <c r="CK301" s="140" t="str">
        <f aca="false">IF(ISBLANK($C301),"",IF($BR301=Constants!$B$12,$BQ301,""))</f>
        <v/>
      </c>
      <c r="CL301" s="139" t="str">
        <f aca="false">IF(ISBLANK($C301),"",IF($BR301&lt;&gt;Constants!$B$8,"",IF($BI301="-&gt;",2,1)))</f>
        <v/>
      </c>
      <c r="CM301" s="141" t="str">
        <f aca="false">IF(ISBLANK($C301),"",IF($BR301&lt;&gt;Constants!$B$8,"",IF($BI301="-&gt;",$BK301,$BC301)))</f>
        <v/>
      </c>
      <c r="CN301" s="141" t="str">
        <f aca="false">IF(ISBLANK($C301),"",IF($BR301&lt;&gt;Constants!$B$8,"",IF($BI301="-&gt;",$BL301,$BD301)))</f>
        <v/>
      </c>
      <c r="CO301" s="141" t="str">
        <f aca="false">IF(ISBLANK($C301),"",IF($BR301&lt;&gt;Constants!$B$8,"",IF($BI301="-&gt;",$BM301+$BN301,$BE301+$BF301)+$BV301))</f>
        <v/>
      </c>
      <c r="CP301" s="141" t="str">
        <f aca="false">IF(ISBLANK($C301),"",IF($BR301&lt;&gt;Constants!$B$8,"",IF($BI301="-&gt;",$BO301,$BG301)+$BU301))</f>
        <v/>
      </c>
      <c r="CQ301" s="142" t="str">
        <f aca="false">IF(ISBLANK($C301),"",IF($BR301&lt;&gt;Constants!$B$8,$BR301,$BW301))</f>
        <v/>
      </c>
      <c r="CR301" s="143" t="str">
        <f aca="false">IF(ISBLANK($C301),"",$BS301)</f>
        <v/>
      </c>
      <c r="CS301" s="144" t="str">
        <f aca="false">IF(ISBLANK($C301),"",$CH301)</f>
        <v/>
      </c>
      <c r="CT301" s="144" t="str">
        <f aca="false">IF(ISBLANK($C301),"",$CG301)</f>
        <v/>
      </c>
      <c r="CU301" s="145" t="str">
        <f aca="false">IF(ISBLANK($C301),"",IFERROR(_xlfn.SWITCH($CT301,Constants!$B$11,COUNTA($C$9:$C$508)+2,Constants!$B$10,COUNTA($C$9:$C$508)+1,Constants!$B$9,COUNTA($C$9:$C$508)),$CT301))</f>
        <v/>
      </c>
      <c r="CV301" s="9"/>
      <c r="CW301" s="146" t="n">
        <f aca="false">IF(OR(ISNUMBER($CT301),$CT301=Constants!$B$11,$CT301=Constants!$B$9,$CT301=Constants!$B$10),1,0)</f>
        <v>0</v>
      </c>
      <c r="CX301" s="146" t="n">
        <v>293</v>
      </c>
      <c r="CY301" s="146" t="str">
        <f aca="false">IF(ISBLANK($C301),"",IF(ISNUMBER($CU301),$CU301+ROW($B301)/1000,""))</f>
        <v/>
      </c>
      <c r="CZ301" s="146" t="str">
        <f aca="false">IF(ISNUMBER($CY301),RANK($CY301,$CY$9:$CY$508,1),"")</f>
        <v/>
      </c>
      <c r="DA301" s="146" t="str">
        <f aca="false">IF(ISBLANK($C301),"",$B301)</f>
        <v/>
      </c>
      <c r="DB301" s="146" t="str">
        <f aca="false">IF(ISBLANK($C301),"",$C301)</f>
        <v/>
      </c>
      <c r="DC301" s="146" t="str">
        <f aca="false">IF(ISBLANK($C301),"",$D301)</f>
        <v/>
      </c>
      <c r="DD301" s="147" t="str">
        <f aca="false">$CR301</f>
        <v/>
      </c>
      <c r="DE301" s="148" t="str">
        <f aca="false">$CQ301</f>
        <v/>
      </c>
      <c r="DF301" s="146" t="str">
        <f aca="false">IF(ISBLANK($C301),"",$CT301)</f>
        <v/>
      </c>
      <c r="DG301" s="149" t="str">
        <f aca="false">IF($CX301&gt;$CW$8,"",VLOOKUP($CX301,$CZ$9:$DF$508,7,FALSE()))</f>
        <v/>
      </c>
      <c r="DH301" s="150" t="str">
        <f aca="false">IF($CX301&gt;$CW$8,"",VLOOKUP($CX301,$CZ$9:$DF$508,2,FALSE()))</f>
        <v/>
      </c>
      <c r="DI301" s="150" t="str">
        <f aca="false">IF($CX301&gt;$CW$8,"",VLOOKUP($CX301,$CZ$9:$DF$508,3,FALSE()))</f>
        <v/>
      </c>
      <c r="DJ301" s="150" t="str">
        <f aca="false">IF($CX301&gt;$CW$8,"",VLOOKUP($CX301,$CZ$9:$DF$508,4,FALSE()))</f>
        <v/>
      </c>
      <c r="DK301" s="150" t="str">
        <f aca="false">IF($CX301&gt;$CW$8,"",VLOOKUP($CX301,$CZ$9:$DF$508,5,FALSE()))</f>
        <v/>
      </c>
      <c r="DL301" s="151" t="str">
        <f aca="false">IF($CX301&gt;$CW$8,"",VLOOKUP($CX301,$CZ$9:$DF$508,6,FALSE()))</f>
        <v/>
      </c>
      <c r="DM301" s="75"/>
    </row>
    <row r="302" customFormat="false" ht="15.75" hidden="false" customHeight="false" outlineLevel="0" collapsed="false">
      <c r="A302" s="9"/>
      <c r="B302" s="157"/>
      <c r="C302" s="158"/>
      <c r="D302" s="159"/>
      <c r="E302" s="177"/>
      <c r="F302" s="161"/>
      <c r="G302" s="162"/>
      <c r="H302" s="162"/>
      <c r="I302" s="178"/>
      <c r="J302" s="165"/>
      <c r="K302" s="126"/>
      <c r="L302" s="127"/>
      <c r="M302" s="128"/>
      <c r="N302" s="165"/>
      <c r="O302" s="165"/>
      <c r="P302" s="177"/>
      <c r="Q302" s="165"/>
      <c r="R302" s="165"/>
      <c r="S302" s="126"/>
      <c r="T302" s="128"/>
      <c r="U302" s="128"/>
      <c r="V302" s="165"/>
      <c r="W302" s="165"/>
      <c r="X302" s="177"/>
      <c r="Y302" s="165"/>
      <c r="Z302" s="166"/>
      <c r="AA302" s="165"/>
      <c r="AB302" s="132"/>
      <c r="AC302" s="133"/>
      <c r="AD302" s="133"/>
      <c r="AE302" s="133"/>
      <c r="AF302" s="133" t="str">
        <f aca="false">IF(ISBLANK($C302),"",IF(E302=Constants!$B$3,TRUE(),IF(E302=Constants!$B$4,FALSE(),TRUE())))</f>
        <v/>
      </c>
      <c r="AG302" s="133" t="str">
        <f aca="false">IF(ISBLANK($C302),"",IF(F302=Constants!$B$3,TRUE(),IF(F302=Constants!$B$4,FALSE(),TRUE())))</f>
        <v/>
      </c>
      <c r="AH302" s="133" t="str">
        <f aca="false">IF(ISBLANK($C302),"",IF(G302=Constants!$B$3,TRUE(),IF(G302=Constants!$B$4,FALSE(),TRUE())))</f>
        <v/>
      </c>
      <c r="AI302" s="133" t="str">
        <f aca="false">IF(ISBLANK($C302),"",IF(AND(ISNUMBER(H302),H302&gt;=0),H302,Constants!$B$29))</f>
        <v/>
      </c>
      <c r="AJ302" s="133" t="str">
        <f aca="false">IF(ISBLANK($C302),"",IF(I302=Constants!$B$3,TRUE(),IF(I302=Constants!$B$4,FALSE(),TRUE())))</f>
        <v/>
      </c>
      <c r="AK302" s="133" t="str">
        <f aca="false">IF(ISBLANK($C302),"",IF(J302=Constants!$B$3,TRUE(),IF(J302=Constants!$B$4,FALSE(),TRUE())))</f>
        <v/>
      </c>
      <c r="AL302" s="133" t="str">
        <f aca="false">IF(ISBLANK($C302),"",IF(K302=Constants!$B$5,TRUE(),IF(K302=Constants!$B$6,FALSE(),COUNTA(L302:P302)&gt;0)))</f>
        <v/>
      </c>
      <c r="AM302" s="134" t="str">
        <f aca="false">IF(ISBLANK($C302),"",IF(ISNUMBER(L302),IF(L302&gt;=0,L302,""),""))</f>
        <v/>
      </c>
      <c r="AN302" s="135" t="str">
        <f aca="false">IF(ISBLANK($C302),"",IF(ISNUMBER(M302),IF(M302&gt;=0,M302,""),""))</f>
        <v/>
      </c>
      <c r="AO302" s="135" t="str">
        <f aca="false">IF(ISBLANK($C302),"",IF(N302=Constants!$B$3,TRUE(),IF(N302=Constants!$B$4,FALSE(),TRUE())))</f>
        <v/>
      </c>
      <c r="AP302" s="133" t="str">
        <f aca="false">IF(ISBLANK($C302),"",IF(ISNUMBER(O302),IF(O302&gt;=0,O302,""),""))</f>
        <v/>
      </c>
      <c r="AQ302" s="133" t="str">
        <f aca="false">IF(ISBLANK($C302),"",IF(P302=Constants!$B$3,TRUE(),IF(P302=Constants!$B$4,FALSE(),FALSE())))</f>
        <v/>
      </c>
      <c r="AR302" s="133" t="str">
        <f aca="false">IF(ISBLANK($C302),"",IF(Q302=Constants!$B$3,TRUE(),IF(Q302=Constants!$B$4,FALSE(),TRUE())))</f>
        <v/>
      </c>
      <c r="AS302" s="133" t="str">
        <f aca="false">IF(ISBLANK($C302),"",IF(R302=Constants!$B$3,TRUE(),IF(R302=Constants!$B$4,FALSE(),TRUE())))</f>
        <v/>
      </c>
      <c r="AT302" s="133" t="str">
        <f aca="false">IF(ISBLANK($C302),"",IF(S302=Constants!$B$5,TRUE(),IF(S302=Constants!$B$6,FALSE(),COUNTA(T302:X302)&gt;0)))</f>
        <v/>
      </c>
      <c r="AU302" s="134" t="str">
        <f aca="false">IF(ISBLANK($C302),"",IF(ISNUMBER(T302),IF(T302&gt;=0,T302,""),""))</f>
        <v/>
      </c>
      <c r="AV302" s="135" t="str">
        <f aca="false">IF(ISBLANK($C302),"",IF(ISNUMBER(U302),IF(U302&gt;=0,U302,""),""))</f>
        <v/>
      </c>
      <c r="AW302" s="135" t="str">
        <f aca="false">IF(ISBLANK($C302),"",IF(V302=Constants!$B$3,TRUE(),IF(V302=Constants!$B$4,FALSE(),TRUE())))</f>
        <v/>
      </c>
      <c r="AX302" s="133" t="str">
        <f aca="false">IF(ISBLANK($C302),"",IF(ISNUMBER(W302),IF(W302&gt;=0,W302,""),""))</f>
        <v/>
      </c>
      <c r="AY302" s="133" t="str">
        <f aca="false">IF(ISBLANK($C302),"",IF(X302=Constants!$B$3,TRUE(),IF(X302=Constants!$B$4,FALSE(),FALSE())))</f>
        <v/>
      </c>
      <c r="AZ302" s="133" t="str">
        <f aca="false">IF(ISBLANK($C302),"",MIN(Constants!$B$31,MAX(0,IF(ISNUMBER(Y302),Y302*60,0)+IF(ISNUMBER(Z302),Z302,0))))</f>
        <v/>
      </c>
      <c r="BA302" s="133" t="str">
        <f aca="false">IF(ISBLANK($C302),"",IF(AA302=Constants!$B$3,TRUE(),IF(AA302=Constants!$B$4,FALSE(),FALSE())))</f>
        <v/>
      </c>
      <c r="BB302" s="132" t="str">
        <f aca="false">IF(ISBLANK($C302),"",AND($AL302,OR($AM302="",$AN302="",AND($AO302,$AP302=""))))</f>
        <v/>
      </c>
      <c r="BC302" s="135" t="str">
        <f aca="false">IF($BR302&lt;&gt;Constants!$B$8,"",IF($AL302,Constants!$B$21*$AN302+Constants!$B$22*IF($AO302,$AP302,Constants!$B$23),Constants!$B$24))</f>
        <v/>
      </c>
      <c r="BD302" s="136" t="str">
        <f aca="false">IF($BR302&lt;&gt;Constants!$B$8,"",Constants!$B$25*ABS($AD$9-IF($AL302,$AM302,0)))</f>
        <v/>
      </c>
      <c r="BE302" s="136" t="str">
        <f aca="false">IF($BR302&lt;&gt;Constants!$B$8,"",IF(AND($AL302,$AQ302,$AO302),Constants!$B$27,0))</f>
        <v/>
      </c>
      <c r="BF302" s="136" t="str">
        <f aca="false">IF($BR302&lt;&gt;Constants!$B$8,"",IF($AL302,($AI302-Constants!$B$29)*Constants!$B$28,0))</f>
        <v/>
      </c>
      <c r="BG302" s="136" t="str">
        <f aca="false">IF($BR302&lt;&gt;Constants!$B$8,"",IF($AK302,0,Constants!$B$15)+IF($AJ302,0,Constants!$B$16)+IF($AH302,0,Constants!$B$17))</f>
        <v/>
      </c>
      <c r="BH302" s="137" t="str">
        <f aca="false">IF($BR302&lt;&gt;Constants!$B$8,"",Constants!$B$20+SUM($BC302:$BG302))</f>
        <v/>
      </c>
      <c r="BI302" s="133" t="str">
        <f aca="false">IF($BR302&lt;&gt;Constants!$B$8,"",IF(OR($BP302&lt;$BH302,AND($BP302=$BH302,OR($BK302&lt;$BC302,AND($BK302=$BC302,OR($BL302&lt;$BD302,AND($BL302=$BD302,$AT302,$AL302,$AV302&lt;$AN302)))))),"-&gt;","&lt;-"))</f>
        <v/>
      </c>
      <c r="BJ302" s="132" t="str">
        <f aca="false">IF(ISBLANK($C302),"",AND($AT302,OR($AU302="",$AV302="",AND($AW302,$AX302=""))))</f>
        <v/>
      </c>
      <c r="BK302" s="135" t="str">
        <f aca="false">IF($BR302&lt;&gt;Constants!$B$8,"",IF($AT302,Constants!$B$21*$AV302+Constants!$B$22*IF($AW302,$AX302,Constants!$B$23),Constants!$B$24))</f>
        <v/>
      </c>
      <c r="BL302" s="136" t="str">
        <f aca="false">IF($BR302&lt;&gt;Constants!$B$8,"",Constants!$B$25*ABS($AD$9-IF($AT302,$AU302,0)))</f>
        <v/>
      </c>
      <c r="BM302" s="136" t="str">
        <f aca="false">IF($BR302&lt;&gt;Constants!$B$8,"",IF(AND($AT302,$AY302,$AW302),Constants!$B$27,0))</f>
        <v/>
      </c>
      <c r="BN302" s="136" t="str">
        <f aca="false">IF($BR302&lt;&gt;Constants!$B$8,"",IF($AT302,($AI302-Constants!$B$29)*Constants!$B$28,0))</f>
        <v/>
      </c>
      <c r="BO302" s="136" t="str">
        <f aca="false">IF($BR302&lt;&gt;Constants!$B$8,"",IF($AS302,0,Constants!$B$15)+IF($AR302,0,Constants!$B$16)+IF($AH302,0,Constants!$B$17))</f>
        <v/>
      </c>
      <c r="BP302" s="137" t="str">
        <f aca="false">IF($BR302&lt;&gt;Constants!$B$8,"",Constants!$B$20+SUM($BK302:$BO302))</f>
        <v/>
      </c>
      <c r="BQ302" s="133" t="str">
        <f aca="false">IF(ISBLANK($C302),"",IF(ISBLANK($D$7),$BQ$5,IF(NOT(ISNUMBER($D$7)),$BQ$6,"")))</f>
        <v/>
      </c>
      <c r="BR302" s="133" t="str">
        <f aca="false">IF(ISBLANK($C302),"",IF($BA302,Constants!$B$11,IF(COUNTA($E302:$AA302)=0,Constants!$B$10,IF(NOT($AG302),Constants!$B$9,IF(OR($BQ302&lt;&gt;"",$BB302,$BJ302),Constants!$B$12,Constants!$B$8)))))</f>
        <v/>
      </c>
      <c r="BS302" s="133" t="str">
        <f aca="false">IF(ISBLANK($C302),"",IF($BR302&lt;&gt;Constants!$B$8,$BR302,Constants!$B$13))</f>
        <v/>
      </c>
      <c r="BT302" s="136" t="str">
        <f aca="false">IF($BR302&lt;&gt;Constants!$B$8,"",IF($BI302="-&gt;",$BP302,$BH302))</f>
        <v/>
      </c>
      <c r="BU302" s="136" t="str">
        <f aca="false">IF($BR302&lt;&gt;Constants!$B$8,"",IF($AF302,0,Constants!$B$18))</f>
        <v/>
      </c>
      <c r="BV302" s="136" t="str">
        <f aca="false">IF($BR302&lt;&gt;Constants!$B$8,"",((Constants!$B$31-$AZ302)-Constants!$B$31)/Constants!$B$32)</f>
        <v/>
      </c>
      <c r="BW302" s="136" t="str">
        <f aca="false">IF(ISBLANK($C302),"",IF($BR302&lt;&gt;Constants!$B$8,$BR302,SUM($BT302:$BV302)))</f>
        <v/>
      </c>
      <c r="BX302" s="133" t="str">
        <f aca="false">IF(ISBLANK($C302),"",IF($BR302&lt;&gt;Constants!$B$8,$BR302,RANK($BW302,$BW$9:$BW$508,1)))</f>
        <v/>
      </c>
      <c r="BY302" s="136" t="str">
        <f aca="false">IF($BR302&lt;&gt;Constants!$B$8,"",IF($BI302="-&gt;",$BK302,$BC302))</f>
        <v/>
      </c>
      <c r="BZ302" s="133" t="str">
        <f aca="false">IF(ISBLANK($C302),"",IF($BR302&lt;&gt;Constants!$B$8,$BR302,IF(ISNUMBER($BY302),RANK($BY302,$BY$9:$BY$508,1),COUNT($BY$9:$BY$508)+1)))</f>
        <v/>
      </c>
      <c r="CA302" s="136" t="str">
        <f aca="false">IF($BR302&lt;&gt;Constants!$B$8,"",IF($BI302="-&gt;",$BL302,$BD302))</f>
        <v/>
      </c>
      <c r="CB302" s="133" t="str">
        <f aca="false">IF(ISBLANK($C302),"",IF($BR302&lt;&gt;Constants!$B$8,$BR302,IF(ISNUMBER($CA302),RANK($CA302,$CA$9:$CA$508,1),COUNT($CA$9:$CA$508)+1)))</f>
        <v/>
      </c>
      <c r="CC302" s="136" t="str">
        <f aca="false">IF($BR302&lt;&gt;Constants!$B$8,"",IF($BI302="-&gt;",IF($AT302,$AV302,""),IF($AL302,$AN302,"")))</f>
        <v/>
      </c>
      <c r="CD302" s="133" t="str">
        <f aca="false">IF(ISBLANK($C302),"",IF($BR302&lt;&gt;Constants!$B$8,$BR302,IF(ISNUMBER($CC302),RANK($CC302,$CC$9:$CC$508,1),COUNT($CC$9:$CC$508)+1)))</f>
        <v/>
      </c>
      <c r="CE302" s="136" t="str">
        <f aca="false">IF($BR302&lt;&gt;Constants!$B$8,"",IF(AND(NOT($AL302),NOT($AT302),$AJ302,$AK302,$AR302,$AS302),"",$AI302))</f>
        <v/>
      </c>
      <c r="CF302" s="133" t="str">
        <f aca="false">IF(ISBLANK($C302),"",IF($BR302&lt;&gt;Constants!$B$8,$BR302,IF(ISNUMBER($CE302),RANK($CE302,$CE$9:$CE$508,1),COUNT($CE$9:$CE$508)+1)))</f>
        <v/>
      </c>
      <c r="CG302" s="133" t="str">
        <f aca="false">IF(ISBLANK($C302),"",IF($BR302&lt;&gt;Constants!$B$8,$BR302,COUNTIFS($BX$9:$BX$508,"&lt;"&amp;$BX302)+COUNTIFS($BX$9:$BX$508,$BX302,$BZ$9:$BZ$508,"&lt;"&amp;$BZ302)+COUNTIFS($BX$9:$BX$508,$BX302,$BZ$9:$BZ$508,$BZ302,$CB$9:$CB$508,"&lt;"&amp;$CB302)+COUNTIFS($BX$9:$BX$508,$BX302,$BZ$9:$BZ$508,$BZ302,$CB$9:$CB$508,$CB302,$CD$9:$CD$508,"&lt;"&amp;$CD302)+COUNTIFS($BX$9:$BX$508,$BX302,$BZ$9:$BZ$508,$BZ302,$CB$9:$CB$508,$CB302,$CD$9:$CD$508,$CD302,$CF$9:$CF$508,"&lt;"&amp;$CF302)+1))</f>
        <v/>
      </c>
      <c r="CH302" s="133" t="str">
        <f aca="false">IF(ISBLANK($C302),"",IF($BR302&lt;&gt;Constants!$B$8,$BR302,$BX302-$CG302))</f>
        <v/>
      </c>
      <c r="CI302" s="138"/>
      <c r="CJ302" s="139"/>
      <c r="CK302" s="140" t="str">
        <f aca="false">IF(ISBLANK($C302),"",IF($BR302=Constants!$B$12,$BQ302,""))</f>
        <v/>
      </c>
      <c r="CL302" s="139" t="str">
        <f aca="false">IF(ISBLANK($C302),"",IF($BR302&lt;&gt;Constants!$B$8,"",IF($BI302="-&gt;",2,1)))</f>
        <v/>
      </c>
      <c r="CM302" s="141" t="str">
        <f aca="false">IF(ISBLANK($C302),"",IF($BR302&lt;&gt;Constants!$B$8,"",IF($BI302="-&gt;",$BK302,$BC302)))</f>
        <v/>
      </c>
      <c r="CN302" s="141" t="str">
        <f aca="false">IF(ISBLANK($C302),"",IF($BR302&lt;&gt;Constants!$B$8,"",IF($BI302="-&gt;",$BL302,$BD302)))</f>
        <v/>
      </c>
      <c r="CO302" s="141" t="str">
        <f aca="false">IF(ISBLANK($C302),"",IF($BR302&lt;&gt;Constants!$B$8,"",IF($BI302="-&gt;",$BM302+$BN302,$BE302+$BF302)+$BV302))</f>
        <v/>
      </c>
      <c r="CP302" s="141" t="str">
        <f aca="false">IF(ISBLANK($C302),"",IF($BR302&lt;&gt;Constants!$B$8,"",IF($BI302="-&gt;",$BO302,$BG302)+$BU302))</f>
        <v/>
      </c>
      <c r="CQ302" s="142" t="str">
        <f aca="false">IF(ISBLANK($C302),"",IF($BR302&lt;&gt;Constants!$B$8,$BR302,$BW302))</f>
        <v/>
      </c>
      <c r="CR302" s="143" t="str">
        <f aca="false">IF(ISBLANK($C302),"",$BS302)</f>
        <v/>
      </c>
      <c r="CS302" s="144" t="str">
        <f aca="false">IF(ISBLANK($C302),"",$CH302)</f>
        <v/>
      </c>
      <c r="CT302" s="144" t="str">
        <f aca="false">IF(ISBLANK($C302),"",$CG302)</f>
        <v/>
      </c>
      <c r="CU302" s="145" t="str">
        <f aca="false">IF(ISBLANK($C302),"",IFERROR(_xlfn.SWITCH($CT302,Constants!$B$11,COUNTA($C$9:$C$508)+2,Constants!$B$10,COUNTA($C$9:$C$508)+1,Constants!$B$9,COUNTA($C$9:$C$508)),$CT302))</f>
        <v/>
      </c>
      <c r="CV302" s="9"/>
      <c r="CW302" s="146" t="n">
        <f aca="false">IF(OR(ISNUMBER($CT302),$CT302=Constants!$B$11,$CT302=Constants!$B$9,$CT302=Constants!$B$10),1,0)</f>
        <v>0</v>
      </c>
      <c r="CX302" s="146" t="n">
        <v>294</v>
      </c>
      <c r="CY302" s="146" t="str">
        <f aca="false">IF(ISBLANK($C302),"",IF(ISNUMBER($CU302),$CU302+ROW($B302)/1000,""))</f>
        <v/>
      </c>
      <c r="CZ302" s="146" t="str">
        <f aca="false">IF(ISNUMBER($CY302),RANK($CY302,$CY$9:$CY$508,1),"")</f>
        <v/>
      </c>
      <c r="DA302" s="146" t="str">
        <f aca="false">IF(ISBLANK($C302),"",$B302)</f>
        <v/>
      </c>
      <c r="DB302" s="146" t="str">
        <f aca="false">IF(ISBLANK($C302),"",$C302)</f>
        <v/>
      </c>
      <c r="DC302" s="146" t="str">
        <f aca="false">IF(ISBLANK($C302),"",$D302)</f>
        <v/>
      </c>
      <c r="DD302" s="147" t="str">
        <f aca="false">$CR302</f>
        <v/>
      </c>
      <c r="DE302" s="148" t="str">
        <f aca="false">$CQ302</f>
        <v/>
      </c>
      <c r="DF302" s="146" t="str">
        <f aca="false">IF(ISBLANK($C302),"",$CT302)</f>
        <v/>
      </c>
      <c r="DG302" s="149" t="str">
        <f aca="false">IF($CX302&gt;$CW$8,"",VLOOKUP($CX302,$CZ$9:$DF$508,7,FALSE()))</f>
        <v/>
      </c>
      <c r="DH302" s="150" t="str">
        <f aca="false">IF($CX302&gt;$CW$8,"",VLOOKUP($CX302,$CZ$9:$DF$508,2,FALSE()))</f>
        <v/>
      </c>
      <c r="DI302" s="150" t="str">
        <f aca="false">IF($CX302&gt;$CW$8,"",VLOOKUP($CX302,$CZ$9:$DF$508,3,FALSE()))</f>
        <v/>
      </c>
      <c r="DJ302" s="150" t="str">
        <f aca="false">IF($CX302&gt;$CW$8,"",VLOOKUP($CX302,$CZ$9:$DF$508,4,FALSE()))</f>
        <v/>
      </c>
      <c r="DK302" s="150" t="str">
        <f aca="false">IF($CX302&gt;$CW$8,"",VLOOKUP($CX302,$CZ$9:$DF$508,5,FALSE()))</f>
        <v/>
      </c>
      <c r="DL302" s="151" t="str">
        <f aca="false">IF($CX302&gt;$CW$8,"",VLOOKUP($CX302,$CZ$9:$DF$508,6,FALSE()))</f>
        <v/>
      </c>
      <c r="DM302" s="75"/>
    </row>
    <row r="303" customFormat="false" ht="15.75" hidden="false" customHeight="false" outlineLevel="0" collapsed="false">
      <c r="A303" s="9"/>
      <c r="B303" s="77"/>
      <c r="C303" s="78"/>
      <c r="D303" s="167"/>
      <c r="E303" s="175"/>
      <c r="F303" s="169"/>
      <c r="G303" s="170"/>
      <c r="H303" s="170"/>
      <c r="I303" s="176"/>
      <c r="J303" s="173"/>
      <c r="K303" s="85"/>
      <c r="L303" s="86"/>
      <c r="M303" s="87"/>
      <c r="N303" s="173"/>
      <c r="O303" s="173"/>
      <c r="P303" s="175"/>
      <c r="Q303" s="173"/>
      <c r="R303" s="173"/>
      <c r="S303" s="85"/>
      <c r="T303" s="87"/>
      <c r="U303" s="87"/>
      <c r="V303" s="173"/>
      <c r="W303" s="173"/>
      <c r="X303" s="175"/>
      <c r="Y303" s="173"/>
      <c r="Z303" s="174"/>
      <c r="AA303" s="173"/>
      <c r="AB303" s="91"/>
      <c r="AC303" s="92"/>
      <c r="AD303" s="92"/>
      <c r="AE303" s="92"/>
      <c r="AF303" s="92" t="str">
        <f aca="false">IF(ISBLANK($C303),"",IF(E303=Constants!$B$3,TRUE(),IF(E303=Constants!$B$4,FALSE(),TRUE())))</f>
        <v/>
      </c>
      <c r="AG303" s="92" t="str">
        <f aca="false">IF(ISBLANK($C303),"",IF(F303=Constants!$B$3,TRUE(),IF(F303=Constants!$B$4,FALSE(),TRUE())))</f>
        <v/>
      </c>
      <c r="AH303" s="92" t="str">
        <f aca="false">IF(ISBLANK($C303),"",IF(G303=Constants!$B$3,TRUE(),IF(G303=Constants!$B$4,FALSE(),TRUE())))</f>
        <v/>
      </c>
      <c r="AI303" s="92" t="str">
        <f aca="false">IF(ISBLANK($C303),"",IF(AND(ISNUMBER(H303),H303&gt;=0),H303,Constants!$B$29))</f>
        <v/>
      </c>
      <c r="AJ303" s="92" t="str">
        <f aca="false">IF(ISBLANK($C303),"",IF(I303=Constants!$B$3,TRUE(),IF(I303=Constants!$B$4,FALSE(),TRUE())))</f>
        <v/>
      </c>
      <c r="AK303" s="92" t="str">
        <f aca="false">IF(ISBLANK($C303),"",IF(J303=Constants!$B$3,TRUE(),IF(J303=Constants!$B$4,FALSE(),TRUE())))</f>
        <v/>
      </c>
      <c r="AL303" s="92" t="str">
        <f aca="false">IF(ISBLANK($C303),"",IF(K303=Constants!$B$5,TRUE(),IF(K303=Constants!$B$6,FALSE(),COUNTA(L303:P303)&gt;0)))</f>
        <v/>
      </c>
      <c r="AM303" s="94" t="str">
        <f aca="false">IF(ISBLANK($C303),"",IF(ISNUMBER(L303),IF(L303&gt;=0,L303,""),""))</f>
        <v/>
      </c>
      <c r="AN303" s="93" t="str">
        <f aca="false">IF(ISBLANK($C303),"",IF(ISNUMBER(M303),IF(M303&gt;=0,M303,""),""))</f>
        <v/>
      </c>
      <c r="AO303" s="93" t="str">
        <f aca="false">IF(ISBLANK($C303),"",IF(N303=Constants!$B$3,TRUE(),IF(N303=Constants!$B$4,FALSE(),TRUE())))</f>
        <v/>
      </c>
      <c r="AP303" s="92" t="str">
        <f aca="false">IF(ISBLANK($C303),"",IF(ISNUMBER(O303),IF(O303&gt;=0,O303,""),""))</f>
        <v/>
      </c>
      <c r="AQ303" s="92" t="str">
        <f aca="false">IF(ISBLANK($C303),"",IF(P303=Constants!$B$3,TRUE(),IF(P303=Constants!$B$4,FALSE(),FALSE())))</f>
        <v/>
      </c>
      <c r="AR303" s="92" t="str">
        <f aca="false">IF(ISBLANK($C303),"",IF(Q303=Constants!$B$3,TRUE(),IF(Q303=Constants!$B$4,FALSE(),TRUE())))</f>
        <v/>
      </c>
      <c r="AS303" s="92" t="str">
        <f aca="false">IF(ISBLANK($C303),"",IF(R303=Constants!$B$3,TRUE(),IF(R303=Constants!$B$4,FALSE(),TRUE())))</f>
        <v/>
      </c>
      <c r="AT303" s="92" t="str">
        <f aca="false">IF(ISBLANK($C303),"",IF(S303=Constants!$B$5,TRUE(),IF(S303=Constants!$B$6,FALSE(),COUNTA(T303:X303)&gt;0)))</f>
        <v/>
      </c>
      <c r="AU303" s="94" t="str">
        <f aca="false">IF(ISBLANK($C303),"",IF(ISNUMBER(T303),IF(T303&gt;=0,T303,""),""))</f>
        <v/>
      </c>
      <c r="AV303" s="93" t="str">
        <f aca="false">IF(ISBLANK($C303),"",IF(ISNUMBER(U303),IF(U303&gt;=0,U303,""),""))</f>
        <v/>
      </c>
      <c r="AW303" s="93" t="str">
        <f aca="false">IF(ISBLANK($C303),"",IF(V303=Constants!$B$3,TRUE(),IF(V303=Constants!$B$4,FALSE(),TRUE())))</f>
        <v/>
      </c>
      <c r="AX303" s="92" t="str">
        <f aca="false">IF(ISBLANK($C303),"",IF(ISNUMBER(W303),IF(W303&gt;=0,W303,""),""))</f>
        <v/>
      </c>
      <c r="AY303" s="92" t="str">
        <f aca="false">IF(ISBLANK($C303),"",IF(X303=Constants!$B$3,TRUE(),IF(X303=Constants!$B$4,FALSE(),FALSE())))</f>
        <v/>
      </c>
      <c r="AZ303" s="92" t="str">
        <f aca="false">IF(ISBLANK($C303),"",MIN(Constants!$B$31,MAX(0,IF(ISNUMBER(Y303),Y303*60,0)+IF(ISNUMBER(Z303),Z303,0))))</f>
        <v/>
      </c>
      <c r="BA303" s="92" t="str">
        <f aca="false">IF(ISBLANK($C303),"",IF(AA303=Constants!$B$3,TRUE(),IF(AA303=Constants!$B$4,FALSE(),FALSE())))</f>
        <v/>
      </c>
      <c r="BB303" s="91" t="str">
        <f aca="false">IF(ISBLANK($C303),"",AND($AL303,OR($AM303="",$AN303="",AND($AO303,$AP303=""))))</f>
        <v/>
      </c>
      <c r="BC303" s="93" t="str">
        <f aca="false">IF($BR303&lt;&gt;Constants!$B$8,"",IF($AL303,Constants!$B$21*$AN303+Constants!$B$22*IF($AO303,$AP303,Constants!$B$23),Constants!$B$24))</f>
        <v/>
      </c>
      <c r="BD303" s="96" t="str">
        <f aca="false">IF($BR303&lt;&gt;Constants!$B$8,"",Constants!$B$25*ABS($AD$9-IF($AL303,$AM303,0)))</f>
        <v/>
      </c>
      <c r="BE303" s="96" t="str">
        <f aca="false">IF($BR303&lt;&gt;Constants!$B$8,"",IF(AND($AL303,$AQ303,$AO303),Constants!$B$27,0))</f>
        <v/>
      </c>
      <c r="BF303" s="96" t="str">
        <f aca="false">IF($BR303&lt;&gt;Constants!$B$8,"",IF($AL303,($AI303-Constants!$B$29)*Constants!$B$28,0))</f>
        <v/>
      </c>
      <c r="BG303" s="96" t="str">
        <f aca="false">IF($BR303&lt;&gt;Constants!$B$8,"",IF($AK303,0,Constants!$B$15)+IF($AJ303,0,Constants!$B$16)+IF($AH303,0,Constants!$B$17))</f>
        <v/>
      </c>
      <c r="BH303" s="97" t="str">
        <f aca="false">IF($BR303&lt;&gt;Constants!$B$8,"",Constants!$B$20+SUM($BC303:$BG303))</f>
        <v/>
      </c>
      <c r="BI303" s="92" t="str">
        <f aca="false">IF($BR303&lt;&gt;Constants!$B$8,"",IF(OR($BP303&lt;$BH303,AND($BP303=$BH303,OR($BK303&lt;$BC303,AND($BK303=$BC303,OR($BL303&lt;$BD303,AND($BL303=$BD303,$AT303,$AL303,$AV303&lt;$AN303)))))),"-&gt;","&lt;-"))</f>
        <v/>
      </c>
      <c r="BJ303" s="91" t="str">
        <f aca="false">IF(ISBLANK($C303),"",AND($AT303,OR($AU303="",$AV303="",AND($AW303,$AX303=""))))</f>
        <v/>
      </c>
      <c r="BK303" s="93" t="str">
        <f aca="false">IF($BR303&lt;&gt;Constants!$B$8,"",IF($AT303,Constants!$B$21*$AV303+Constants!$B$22*IF($AW303,$AX303,Constants!$B$23),Constants!$B$24))</f>
        <v/>
      </c>
      <c r="BL303" s="96" t="str">
        <f aca="false">IF($BR303&lt;&gt;Constants!$B$8,"",Constants!$B$25*ABS($AD$9-IF($AT303,$AU303,0)))</f>
        <v/>
      </c>
      <c r="BM303" s="96" t="str">
        <f aca="false">IF($BR303&lt;&gt;Constants!$B$8,"",IF(AND($AT303,$AY303,$AW303),Constants!$B$27,0))</f>
        <v/>
      </c>
      <c r="BN303" s="96" t="str">
        <f aca="false">IF($BR303&lt;&gt;Constants!$B$8,"",IF($AT303,($AI303-Constants!$B$29)*Constants!$B$28,0))</f>
        <v/>
      </c>
      <c r="BO303" s="96" t="str">
        <f aca="false">IF($BR303&lt;&gt;Constants!$B$8,"",IF($AS303,0,Constants!$B$15)+IF($AR303,0,Constants!$B$16)+IF($AH303,0,Constants!$B$17))</f>
        <v/>
      </c>
      <c r="BP303" s="97" t="str">
        <f aca="false">IF($BR303&lt;&gt;Constants!$B$8,"",Constants!$B$20+SUM($BK303:$BO303))</f>
        <v/>
      </c>
      <c r="BQ303" s="92" t="str">
        <f aca="false">IF(ISBLANK($C303),"",IF(ISBLANK($D$7),$BQ$5,IF(NOT(ISNUMBER($D$7)),$BQ$6,"")))</f>
        <v/>
      </c>
      <c r="BR303" s="92" t="str">
        <f aca="false">IF(ISBLANK($C303),"",IF($BA303,Constants!$B$11,IF(COUNTA($E303:$AA303)=0,Constants!$B$10,IF(NOT($AG303),Constants!$B$9,IF(OR($BQ303&lt;&gt;"",$BB303,$BJ303),Constants!$B$12,Constants!$B$8)))))</f>
        <v/>
      </c>
      <c r="BS303" s="92" t="str">
        <f aca="false">IF(ISBLANK($C303),"",IF($BR303&lt;&gt;Constants!$B$8,$BR303,Constants!$B$13))</f>
        <v/>
      </c>
      <c r="BT303" s="96" t="str">
        <f aca="false">IF($BR303&lt;&gt;Constants!$B$8,"",IF($BI303="-&gt;",$BP303,$BH303))</f>
        <v/>
      </c>
      <c r="BU303" s="96" t="str">
        <f aca="false">IF($BR303&lt;&gt;Constants!$B$8,"",IF($AF303,0,Constants!$B$18))</f>
        <v/>
      </c>
      <c r="BV303" s="96" t="str">
        <f aca="false">IF($BR303&lt;&gt;Constants!$B$8,"",((Constants!$B$31-$AZ303)-Constants!$B$31)/Constants!$B$32)</f>
        <v/>
      </c>
      <c r="BW303" s="96" t="str">
        <f aca="false">IF(ISBLANK($C303),"",IF($BR303&lt;&gt;Constants!$B$8,$BR303,SUM($BT303:$BV303)))</f>
        <v/>
      </c>
      <c r="BX303" s="92" t="str">
        <f aca="false">IF(ISBLANK($C303),"",IF($BR303&lt;&gt;Constants!$B$8,$BR303,RANK($BW303,$BW$9:$BW$508,1)))</f>
        <v/>
      </c>
      <c r="BY303" s="96" t="str">
        <f aca="false">IF($BR303&lt;&gt;Constants!$B$8,"",IF($BI303="-&gt;",$BK303,$BC303))</f>
        <v/>
      </c>
      <c r="BZ303" s="92" t="str">
        <f aca="false">IF(ISBLANK($C303),"",IF($BR303&lt;&gt;Constants!$B$8,$BR303,IF(ISNUMBER($BY303),RANK($BY303,$BY$9:$BY$508,1),COUNT($BY$9:$BY$508)+1)))</f>
        <v/>
      </c>
      <c r="CA303" s="96" t="str">
        <f aca="false">IF($BR303&lt;&gt;Constants!$B$8,"",IF($BI303="-&gt;",$BL303,$BD303))</f>
        <v/>
      </c>
      <c r="CB303" s="92" t="str">
        <f aca="false">IF(ISBLANK($C303),"",IF($BR303&lt;&gt;Constants!$B$8,$BR303,IF(ISNUMBER($CA303),RANK($CA303,$CA$9:$CA$508,1),COUNT($CA$9:$CA$508)+1)))</f>
        <v/>
      </c>
      <c r="CC303" s="96" t="str">
        <f aca="false">IF($BR303&lt;&gt;Constants!$B$8,"",IF($BI303="-&gt;",IF($AT303,$AV303,""),IF($AL303,$AN303,"")))</f>
        <v/>
      </c>
      <c r="CD303" s="92" t="str">
        <f aca="false">IF(ISBLANK($C303),"",IF($BR303&lt;&gt;Constants!$B$8,$BR303,IF(ISNUMBER($CC303),RANK($CC303,$CC$9:$CC$508,1),COUNT($CC$9:$CC$508)+1)))</f>
        <v/>
      </c>
      <c r="CE303" s="96" t="str">
        <f aca="false">IF($BR303&lt;&gt;Constants!$B$8,"",IF(AND(NOT($AL303),NOT($AT303),$AJ303,$AK303,$AR303,$AS303),"",$AI303))</f>
        <v/>
      </c>
      <c r="CF303" s="92" t="str">
        <f aca="false">IF(ISBLANK($C303),"",IF($BR303&lt;&gt;Constants!$B$8,$BR303,IF(ISNUMBER($CE303),RANK($CE303,$CE$9:$CE$508,1),COUNT($CE$9:$CE$508)+1)))</f>
        <v/>
      </c>
      <c r="CG303" s="92" t="str">
        <f aca="false">IF(ISBLANK($C303),"",IF($BR303&lt;&gt;Constants!$B$8,$BR303,COUNTIFS($BX$9:$BX$508,"&lt;"&amp;$BX303)+COUNTIFS($BX$9:$BX$508,$BX303,$BZ$9:$BZ$508,"&lt;"&amp;$BZ303)+COUNTIFS($BX$9:$BX$508,$BX303,$BZ$9:$BZ$508,$BZ303,$CB$9:$CB$508,"&lt;"&amp;$CB303)+COUNTIFS($BX$9:$BX$508,$BX303,$BZ$9:$BZ$508,$BZ303,$CB$9:$CB$508,$CB303,$CD$9:$CD$508,"&lt;"&amp;$CD303)+COUNTIFS($BX$9:$BX$508,$BX303,$BZ$9:$BZ$508,$BZ303,$CB$9:$CB$508,$CB303,$CD$9:$CD$508,$CD303,$CF$9:$CF$508,"&lt;"&amp;$CF303)+1))</f>
        <v/>
      </c>
      <c r="CH303" s="92" t="str">
        <f aca="false">IF(ISBLANK($C303),"",IF($BR303&lt;&gt;Constants!$B$8,$BR303,$BX303-$CG303))</f>
        <v/>
      </c>
      <c r="CI303" s="98"/>
      <c r="CJ303" s="99"/>
      <c r="CK303" s="100" t="str">
        <f aca="false">IF(ISBLANK($C303),"",IF($BR303=Constants!$B$12,$BQ303,""))</f>
        <v/>
      </c>
      <c r="CL303" s="99" t="str">
        <f aca="false">IF(ISBLANK($C303),"",IF($BR303&lt;&gt;Constants!$B$8,"",IF($BI303="-&gt;",2,1)))</f>
        <v/>
      </c>
      <c r="CM303" s="101" t="str">
        <f aca="false">IF(ISBLANK($C303),"",IF($BR303&lt;&gt;Constants!$B$8,"",IF($BI303="-&gt;",$BK303,$BC303)))</f>
        <v/>
      </c>
      <c r="CN303" s="101" t="str">
        <f aca="false">IF(ISBLANK($C303),"",IF($BR303&lt;&gt;Constants!$B$8,"",IF($BI303="-&gt;",$BL303,$BD303)))</f>
        <v/>
      </c>
      <c r="CO303" s="101" t="str">
        <f aca="false">IF(ISBLANK($C303),"",IF($BR303&lt;&gt;Constants!$B$8,"",IF($BI303="-&gt;",$BM303+$BN303,$BE303+$BF303)+$BV303))</f>
        <v/>
      </c>
      <c r="CP303" s="101" t="str">
        <f aca="false">IF(ISBLANK($C303),"",IF($BR303&lt;&gt;Constants!$B$8,"",IF($BI303="-&gt;",$BO303,$BG303)+$BU303))</f>
        <v/>
      </c>
      <c r="CQ303" s="102" t="str">
        <f aca="false">IF(ISBLANK($C303),"",IF($BR303&lt;&gt;Constants!$B$8,$BR303,$BW303))</f>
        <v/>
      </c>
      <c r="CR303" s="103" t="str">
        <f aca="false">IF(ISBLANK($C303),"",$BS303)</f>
        <v/>
      </c>
      <c r="CS303" s="104" t="str">
        <f aca="false">IF(ISBLANK($C303),"",$CH303)</f>
        <v/>
      </c>
      <c r="CT303" s="104" t="str">
        <f aca="false">IF(ISBLANK($C303),"",$CG303)</f>
        <v/>
      </c>
      <c r="CU303" s="105" t="str">
        <f aca="false">IF(ISBLANK($C303),"",IFERROR(_xlfn.SWITCH($CT303,Constants!$B$11,COUNTA($C$9:$C$508)+2,Constants!$B$10,COUNTA($C$9:$C$508)+1,Constants!$B$9,COUNTA($C$9:$C$508)),$CT303))</f>
        <v/>
      </c>
      <c r="CV303" s="9"/>
      <c r="CW303" s="106" t="n">
        <f aca="false">IF(OR(ISNUMBER($CT303),$CT303=Constants!$B$11,$CT303=Constants!$B$9,$CT303=Constants!$B$10),1,0)</f>
        <v>0</v>
      </c>
      <c r="CX303" s="106" t="n">
        <v>295</v>
      </c>
      <c r="CY303" s="106" t="str">
        <f aca="false">IF(ISBLANK($C303),"",IF(ISNUMBER($CU303),$CU303+ROW($B303)/1000,""))</f>
        <v/>
      </c>
      <c r="CZ303" s="106" t="str">
        <f aca="false">IF(ISNUMBER($CY303),RANK($CY303,$CY$9:$CY$508,1),"")</f>
        <v/>
      </c>
      <c r="DA303" s="106" t="str">
        <f aca="false">IF(ISBLANK($C303),"",$B303)</f>
        <v/>
      </c>
      <c r="DB303" s="106" t="str">
        <f aca="false">IF(ISBLANK($C303),"",$C303)</f>
        <v/>
      </c>
      <c r="DC303" s="106" t="str">
        <f aca="false">IF(ISBLANK($C303),"",$D303)</f>
        <v/>
      </c>
      <c r="DD303" s="107" t="str">
        <f aca="false">$CR303</f>
        <v/>
      </c>
      <c r="DE303" s="108" t="str">
        <f aca="false">$CQ303</f>
        <v/>
      </c>
      <c r="DF303" s="106" t="str">
        <f aca="false">IF(ISBLANK($C303),"",$CT303)</f>
        <v/>
      </c>
      <c r="DG303" s="109" t="str">
        <f aca="false">IF($CX303&gt;$CW$8,"",VLOOKUP($CX303,$CZ$9:$DF$508,7,FALSE()))</f>
        <v/>
      </c>
      <c r="DH303" s="110" t="str">
        <f aca="false">IF($CX303&gt;$CW$8,"",VLOOKUP($CX303,$CZ$9:$DF$508,2,FALSE()))</f>
        <v/>
      </c>
      <c r="DI303" s="110" t="str">
        <f aca="false">IF($CX303&gt;$CW$8,"",VLOOKUP($CX303,$CZ$9:$DF$508,3,FALSE()))</f>
        <v/>
      </c>
      <c r="DJ303" s="110" t="str">
        <f aca="false">IF($CX303&gt;$CW$8,"",VLOOKUP($CX303,$CZ$9:$DF$508,4,FALSE()))</f>
        <v/>
      </c>
      <c r="DK303" s="110" t="str">
        <f aca="false">IF($CX303&gt;$CW$8,"",VLOOKUP($CX303,$CZ$9:$DF$508,5,FALSE()))</f>
        <v/>
      </c>
      <c r="DL303" s="111" t="str">
        <f aca="false">IF($CX303&gt;$CW$8,"",VLOOKUP($CX303,$CZ$9:$DF$508,6,FALSE()))</f>
        <v/>
      </c>
      <c r="DM303" s="75"/>
    </row>
    <row r="304" customFormat="false" ht="15.75" hidden="false" customHeight="false" outlineLevel="0" collapsed="false">
      <c r="A304" s="9"/>
      <c r="B304" s="77"/>
      <c r="C304" s="78"/>
      <c r="D304" s="167"/>
      <c r="E304" s="175"/>
      <c r="F304" s="169"/>
      <c r="G304" s="170"/>
      <c r="H304" s="170"/>
      <c r="I304" s="176"/>
      <c r="J304" s="173"/>
      <c r="K304" s="85"/>
      <c r="L304" s="86"/>
      <c r="M304" s="87"/>
      <c r="N304" s="173"/>
      <c r="O304" s="173"/>
      <c r="P304" s="175"/>
      <c r="Q304" s="173"/>
      <c r="R304" s="173"/>
      <c r="S304" s="85"/>
      <c r="T304" s="87"/>
      <c r="U304" s="87"/>
      <c r="V304" s="173"/>
      <c r="W304" s="173"/>
      <c r="X304" s="175"/>
      <c r="Y304" s="173"/>
      <c r="Z304" s="174"/>
      <c r="AA304" s="173"/>
      <c r="AB304" s="91"/>
      <c r="AC304" s="92"/>
      <c r="AD304" s="92"/>
      <c r="AE304" s="92"/>
      <c r="AF304" s="92" t="str">
        <f aca="false">IF(ISBLANK($C304),"",IF(E304=Constants!$B$3,TRUE(),IF(E304=Constants!$B$4,FALSE(),TRUE())))</f>
        <v/>
      </c>
      <c r="AG304" s="92" t="str">
        <f aca="false">IF(ISBLANK($C304),"",IF(F304=Constants!$B$3,TRUE(),IF(F304=Constants!$B$4,FALSE(),TRUE())))</f>
        <v/>
      </c>
      <c r="AH304" s="92" t="str">
        <f aca="false">IF(ISBLANK($C304),"",IF(G304=Constants!$B$3,TRUE(),IF(G304=Constants!$B$4,FALSE(),TRUE())))</f>
        <v/>
      </c>
      <c r="AI304" s="92" t="str">
        <f aca="false">IF(ISBLANK($C304),"",IF(AND(ISNUMBER(H304),H304&gt;=0),H304,Constants!$B$29))</f>
        <v/>
      </c>
      <c r="AJ304" s="92" t="str">
        <f aca="false">IF(ISBLANK($C304),"",IF(I304=Constants!$B$3,TRUE(),IF(I304=Constants!$B$4,FALSE(),TRUE())))</f>
        <v/>
      </c>
      <c r="AK304" s="92" t="str">
        <f aca="false">IF(ISBLANK($C304),"",IF(J304=Constants!$B$3,TRUE(),IF(J304=Constants!$B$4,FALSE(),TRUE())))</f>
        <v/>
      </c>
      <c r="AL304" s="92" t="str">
        <f aca="false">IF(ISBLANK($C304),"",IF(K304=Constants!$B$5,TRUE(),IF(K304=Constants!$B$6,FALSE(),COUNTA(L304:P304)&gt;0)))</f>
        <v/>
      </c>
      <c r="AM304" s="94" t="str">
        <f aca="false">IF(ISBLANK($C304),"",IF(ISNUMBER(L304),IF(L304&gt;=0,L304,""),""))</f>
        <v/>
      </c>
      <c r="AN304" s="93" t="str">
        <f aca="false">IF(ISBLANK($C304),"",IF(ISNUMBER(M304),IF(M304&gt;=0,M304,""),""))</f>
        <v/>
      </c>
      <c r="AO304" s="93" t="str">
        <f aca="false">IF(ISBLANK($C304),"",IF(N304=Constants!$B$3,TRUE(),IF(N304=Constants!$B$4,FALSE(),TRUE())))</f>
        <v/>
      </c>
      <c r="AP304" s="92" t="str">
        <f aca="false">IF(ISBLANK($C304),"",IF(ISNUMBER(O304),IF(O304&gt;=0,O304,""),""))</f>
        <v/>
      </c>
      <c r="AQ304" s="92" t="str">
        <f aca="false">IF(ISBLANK($C304),"",IF(P304=Constants!$B$3,TRUE(),IF(P304=Constants!$B$4,FALSE(),FALSE())))</f>
        <v/>
      </c>
      <c r="AR304" s="92" t="str">
        <f aca="false">IF(ISBLANK($C304),"",IF(Q304=Constants!$B$3,TRUE(),IF(Q304=Constants!$B$4,FALSE(),TRUE())))</f>
        <v/>
      </c>
      <c r="AS304" s="92" t="str">
        <f aca="false">IF(ISBLANK($C304),"",IF(R304=Constants!$B$3,TRUE(),IF(R304=Constants!$B$4,FALSE(),TRUE())))</f>
        <v/>
      </c>
      <c r="AT304" s="92" t="str">
        <f aca="false">IF(ISBLANK($C304),"",IF(S304=Constants!$B$5,TRUE(),IF(S304=Constants!$B$6,FALSE(),COUNTA(T304:X304)&gt;0)))</f>
        <v/>
      </c>
      <c r="AU304" s="94" t="str">
        <f aca="false">IF(ISBLANK($C304),"",IF(ISNUMBER(T304),IF(T304&gt;=0,T304,""),""))</f>
        <v/>
      </c>
      <c r="AV304" s="93" t="str">
        <f aca="false">IF(ISBLANK($C304),"",IF(ISNUMBER(U304),IF(U304&gt;=0,U304,""),""))</f>
        <v/>
      </c>
      <c r="AW304" s="93" t="str">
        <f aca="false">IF(ISBLANK($C304),"",IF(V304=Constants!$B$3,TRUE(),IF(V304=Constants!$B$4,FALSE(),TRUE())))</f>
        <v/>
      </c>
      <c r="AX304" s="92" t="str">
        <f aca="false">IF(ISBLANK($C304),"",IF(ISNUMBER(W304),IF(W304&gt;=0,W304,""),""))</f>
        <v/>
      </c>
      <c r="AY304" s="92" t="str">
        <f aca="false">IF(ISBLANK($C304),"",IF(X304=Constants!$B$3,TRUE(),IF(X304=Constants!$B$4,FALSE(),FALSE())))</f>
        <v/>
      </c>
      <c r="AZ304" s="92" t="str">
        <f aca="false">IF(ISBLANK($C304),"",MIN(Constants!$B$31,MAX(0,IF(ISNUMBER(Y304),Y304*60,0)+IF(ISNUMBER(Z304),Z304,0))))</f>
        <v/>
      </c>
      <c r="BA304" s="92" t="str">
        <f aca="false">IF(ISBLANK($C304),"",IF(AA304=Constants!$B$3,TRUE(),IF(AA304=Constants!$B$4,FALSE(),FALSE())))</f>
        <v/>
      </c>
      <c r="BB304" s="91" t="str">
        <f aca="false">IF(ISBLANK($C304),"",AND($AL304,OR($AM304="",$AN304="",AND($AO304,$AP304=""))))</f>
        <v/>
      </c>
      <c r="BC304" s="93" t="str">
        <f aca="false">IF($BR304&lt;&gt;Constants!$B$8,"",IF($AL304,Constants!$B$21*$AN304+Constants!$B$22*IF($AO304,$AP304,Constants!$B$23),Constants!$B$24))</f>
        <v/>
      </c>
      <c r="BD304" s="96" t="str">
        <f aca="false">IF($BR304&lt;&gt;Constants!$B$8,"",Constants!$B$25*ABS($AD$9-IF($AL304,$AM304,0)))</f>
        <v/>
      </c>
      <c r="BE304" s="96" t="str">
        <f aca="false">IF($BR304&lt;&gt;Constants!$B$8,"",IF(AND($AL304,$AQ304,$AO304),Constants!$B$27,0))</f>
        <v/>
      </c>
      <c r="BF304" s="96" t="str">
        <f aca="false">IF($BR304&lt;&gt;Constants!$B$8,"",IF($AL304,($AI304-Constants!$B$29)*Constants!$B$28,0))</f>
        <v/>
      </c>
      <c r="BG304" s="96" t="str">
        <f aca="false">IF($BR304&lt;&gt;Constants!$B$8,"",IF($AK304,0,Constants!$B$15)+IF($AJ304,0,Constants!$B$16)+IF($AH304,0,Constants!$B$17))</f>
        <v/>
      </c>
      <c r="BH304" s="97" t="str">
        <f aca="false">IF($BR304&lt;&gt;Constants!$B$8,"",Constants!$B$20+SUM($BC304:$BG304))</f>
        <v/>
      </c>
      <c r="BI304" s="92" t="str">
        <f aca="false">IF($BR304&lt;&gt;Constants!$B$8,"",IF(OR($BP304&lt;$BH304,AND($BP304=$BH304,OR($BK304&lt;$BC304,AND($BK304=$BC304,OR($BL304&lt;$BD304,AND($BL304=$BD304,$AT304,$AL304,$AV304&lt;$AN304)))))),"-&gt;","&lt;-"))</f>
        <v/>
      </c>
      <c r="BJ304" s="91" t="str">
        <f aca="false">IF(ISBLANK($C304),"",AND($AT304,OR($AU304="",$AV304="",AND($AW304,$AX304=""))))</f>
        <v/>
      </c>
      <c r="BK304" s="93" t="str">
        <f aca="false">IF($BR304&lt;&gt;Constants!$B$8,"",IF($AT304,Constants!$B$21*$AV304+Constants!$B$22*IF($AW304,$AX304,Constants!$B$23),Constants!$B$24))</f>
        <v/>
      </c>
      <c r="BL304" s="96" t="str">
        <f aca="false">IF($BR304&lt;&gt;Constants!$B$8,"",Constants!$B$25*ABS($AD$9-IF($AT304,$AU304,0)))</f>
        <v/>
      </c>
      <c r="BM304" s="96" t="str">
        <f aca="false">IF($BR304&lt;&gt;Constants!$B$8,"",IF(AND($AT304,$AY304,$AW304),Constants!$B$27,0))</f>
        <v/>
      </c>
      <c r="BN304" s="96" t="str">
        <f aca="false">IF($BR304&lt;&gt;Constants!$B$8,"",IF($AT304,($AI304-Constants!$B$29)*Constants!$B$28,0))</f>
        <v/>
      </c>
      <c r="BO304" s="96" t="str">
        <f aca="false">IF($BR304&lt;&gt;Constants!$B$8,"",IF($AS304,0,Constants!$B$15)+IF($AR304,0,Constants!$B$16)+IF($AH304,0,Constants!$B$17))</f>
        <v/>
      </c>
      <c r="BP304" s="97" t="str">
        <f aca="false">IF($BR304&lt;&gt;Constants!$B$8,"",Constants!$B$20+SUM($BK304:$BO304))</f>
        <v/>
      </c>
      <c r="BQ304" s="92" t="str">
        <f aca="false">IF(ISBLANK($C304),"",IF(ISBLANK($D$7),$BQ$5,IF(NOT(ISNUMBER($D$7)),$BQ$6,"")))</f>
        <v/>
      </c>
      <c r="BR304" s="92" t="str">
        <f aca="false">IF(ISBLANK($C304),"",IF($BA304,Constants!$B$11,IF(COUNTA($E304:$AA304)=0,Constants!$B$10,IF(NOT($AG304),Constants!$B$9,IF(OR($BQ304&lt;&gt;"",$BB304,$BJ304),Constants!$B$12,Constants!$B$8)))))</f>
        <v/>
      </c>
      <c r="BS304" s="92" t="str">
        <f aca="false">IF(ISBLANK($C304),"",IF($BR304&lt;&gt;Constants!$B$8,$BR304,Constants!$B$13))</f>
        <v/>
      </c>
      <c r="BT304" s="96" t="str">
        <f aca="false">IF($BR304&lt;&gt;Constants!$B$8,"",IF($BI304="-&gt;",$BP304,$BH304))</f>
        <v/>
      </c>
      <c r="BU304" s="96" t="str">
        <f aca="false">IF($BR304&lt;&gt;Constants!$B$8,"",IF($AF304,0,Constants!$B$18))</f>
        <v/>
      </c>
      <c r="BV304" s="96" t="str">
        <f aca="false">IF($BR304&lt;&gt;Constants!$B$8,"",((Constants!$B$31-$AZ304)-Constants!$B$31)/Constants!$B$32)</f>
        <v/>
      </c>
      <c r="BW304" s="96" t="str">
        <f aca="false">IF(ISBLANK($C304),"",IF($BR304&lt;&gt;Constants!$B$8,$BR304,SUM($BT304:$BV304)))</f>
        <v/>
      </c>
      <c r="BX304" s="92" t="str">
        <f aca="false">IF(ISBLANK($C304),"",IF($BR304&lt;&gt;Constants!$B$8,$BR304,RANK($BW304,$BW$9:$BW$508,1)))</f>
        <v/>
      </c>
      <c r="BY304" s="96" t="str">
        <f aca="false">IF($BR304&lt;&gt;Constants!$B$8,"",IF($BI304="-&gt;",$BK304,$BC304))</f>
        <v/>
      </c>
      <c r="BZ304" s="92" t="str">
        <f aca="false">IF(ISBLANK($C304),"",IF($BR304&lt;&gt;Constants!$B$8,$BR304,IF(ISNUMBER($BY304),RANK($BY304,$BY$9:$BY$508,1),COUNT($BY$9:$BY$508)+1)))</f>
        <v/>
      </c>
      <c r="CA304" s="96" t="str">
        <f aca="false">IF($BR304&lt;&gt;Constants!$B$8,"",IF($BI304="-&gt;",$BL304,$BD304))</f>
        <v/>
      </c>
      <c r="CB304" s="92" t="str">
        <f aca="false">IF(ISBLANK($C304),"",IF($BR304&lt;&gt;Constants!$B$8,$BR304,IF(ISNUMBER($CA304),RANK($CA304,$CA$9:$CA$508,1),COUNT($CA$9:$CA$508)+1)))</f>
        <v/>
      </c>
      <c r="CC304" s="96" t="str">
        <f aca="false">IF($BR304&lt;&gt;Constants!$B$8,"",IF($BI304="-&gt;",IF($AT304,$AV304,""),IF($AL304,$AN304,"")))</f>
        <v/>
      </c>
      <c r="CD304" s="92" t="str">
        <f aca="false">IF(ISBLANK($C304),"",IF($BR304&lt;&gt;Constants!$B$8,$BR304,IF(ISNUMBER($CC304),RANK($CC304,$CC$9:$CC$508,1),COUNT($CC$9:$CC$508)+1)))</f>
        <v/>
      </c>
      <c r="CE304" s="96" t="str">
        <f aca="false">IF($BR304&lt;&gt;Constants!$B$8,"",IF(AND(NOT($AL304),NOT($AT304),$AJ304,$AK304,$AR304,$AS304),"",$AI304))</f>
        <v/>
      </c>
      <c r="CF304" s="92" t="str">
        <f aca="false">IF(ISBLANK($C304),"",IF($BR304&lt;&gt;Constants!$B$8,$BR304,IF(ISNUMBER($CE304),RANK($CE304,$CE$9:$CE$508,1),COUNT($CE$9:$CE$508)+1)))</f>
        <v/>
      </c>
      <c r="CG304" s="92" t="str">
        <f aca="false">IF(ISBLANK($C304),"",IF($BR304&lt;&gt;Constants!$B$8,$BR304,COUNTIFS($BX$9:$BX$508,"&lt;"&amp;$BX304)+COUNTIFS($BX$9:$BX$508,$BX304,$BZ$9:$BZ$508,"&lt;"&amp;$BZ304)+COUNTIFS($BX$9:$BX$508,$BX304,$BZ$9:$BZ$508,$BZ304,$CB$9:$CB$508,"&lt;"&amp;$CB304)+COUNTIFS($BX$9:$BX$508,$BX304,$BZ$9:$BZ$508,$BZ304,$CB$9:$CB$508,$CB304,$CD$9:$CD$508,"&lt;"&amp;$CD304)+COUNTIFS($BX$9:$BX$508,$BX304,$BZ$9:$BZ$508,$BZ304,$CB$9:$CB$508,$CB304,$CD$9:$CD$508,$CD304,$CF$9:$CF$508,"&lt;"&amp;$CF304)+1))</f>
        <v/>
      </c>
      <c r="CH304" s="92" t="str">
        <f aca="false">IF(ISBLANK($C304),"",IF($BR304&lt;&gt;Constants!$B$8,$BR304,$BX304-$CG304))</f>
        <v/>
      </c>
      <c r="CI304" s="98"/>
      <c r="CJ304" s="99"/>
      <c r="CK304" s="100" t="str">
        <f aca="false">IF(ISBLANK($C304),"",IF($BR304=Constants!$B$12,$BQ304,""))</f>
        <v/>
      </c>
      <c r="CL304" s="99" t="str">
        <f aca="false">IF(ISBLANK($C304),"",IF($BR304&lt;&gt;Constants!$B$8,"",IF($BI304="-&gt;",2,1)))</f>
        <v/>
      </c>
      <c r="CM304" s="101" t="str">
        <f aca="false">IF(ISBLANK($C304),"",IF($BR304&lt;&gt;Constants!$B$8,"",IF($BI304="-&gt;",$BK304,$BC304)))</f>
        <v/>
      </c>
      <c r="CN304" s="101" t="str">
        <f aca="false">IF(ISBLANK($C304),"",IF($BR304&lt;&gt;Constants!$B$8,"",IF($BI304="-&gt;",$BL304,$BD304)))</f>
        <v/>
      </c>
      <c r="CO304" s="101" t="str">
        <f aca="false">IF(ISBLANK($C304),"",IF($BR304&lt;&gt;Constants!$B$8,"",IF($BI304="-&gt;",$BM304+$BN304,$BE304+$BF304)+$BV304))</f>
        <v/>
      </c>
      <c r="CP304" s="101" t="str">
        <f aca="false">IF(ISBLANK($C304),"",IF($BR304&lt;&gt;Constants!$B$8,"",IF($BI304="-&gt;",$BO304,$BG304)+$BU304))</f>
        <v/>
      </c>
      <c r="CQ304" s="102" t="str">
        <f aca="false">IF(ISBLANK($C304),"",IF($BR304&lt;&gt;Constants!$B$8,$BR304,$BW304))</f>
        <v/>
      </c>
      <c r="CR304" s="103" t="str">
        <f aca="false">IF(ISBLANK($C304),"",$BS304)</f>
        <v/>
      </c>
      <c r="CS304" s="104" t="str">
        <f aca="false">IF(ISBLANK($C304),"",$CH304)</f>
        <v/>
      </c>
      <c r="CT304" s="104" t="str">
        <f aca="false">IF(ISBLANK($C304),"",$CG304)</f>
        <v/>
      </c>
      <c r="CU304" s="105" t="str">
        <f aca="false">IF(ISBLANK($C304),"",IFERROR(_xlfn.SWITCH($CT304,Constants!$B$11,COUNTA($C$9:$C$508)+2,Constants!$B$10,COUNTA($C$9:$C$508)+1,Constants!$B$9,COUNTA($C$9:$C$508)),$CT304))</f>
        <v/>
      </c>
      <c r="CV304" s="9"/>
      <c r="CW304" s="106" t="n">
        <f aca="false">IF(OR(ISNUMBER($CT304),$CT304=Constants!$B$11,$CT304=Constants!$B$9,$CT304=Constants!$B$10),1,0)</f>
        <v>0</v>
      </c>
      <c r="CX304" s="106" t="n">
        <v>296</v>
      </c>
      <c r="CY304" s="106" t="str">
        <f aca="false">IF(ISBLANK($C304),"",IF(ISNUMBER($CU304),$CU304+ROW($B304)/1000,""))</f>
        <v/>
      </c>
      <c r="CZ304" s="106" t="str">
        <f aca="false">IF(ISNUMBER($CY304),RANK($CY304,$CY$9:$CY$508,1),"")</f>
        <v/>
      </c>
      <c r="DA304" s="106" t="str">
        <f aca="false">IF(ISBLANK($C304),"",$B304)</f>
        <v/>
      </c>
      <c r="DB304" s="106" t="str">
        <f aca="false">IF(ISBLANK($C304),"",$C304)</f>
        <v/>
      </c>
      <c r="DC304" s="106" t="str">
        <f aca="false">IF(ISBLANK($C304),"",$D304)</f>
        <v/>
      </c>
      <c r="DD304" s="107" t="str">
        <f aca="false">$CR304</f>
        <v/>
      </c>
      <c r="DE304" s="108" t="str">
        <f aca="false">$CQ304</f>
        <v/>
      </c>
      <c r="DF304" s="106" t="str">
        <f aca="false">IF(ISBLANK($C304),"",$CT304)</f>
        <v/>
      </c>
      <c r="DG304" s="109" t="str">
        <f aca="false">IF($CX304&gt;$CW$8,"",VLOOKUP($CX304,$CZ$9:$DF$508,7,FALSE()))</f>
        <v/>
      </c>
      <c r="DH304" s="110" t="str">
        <f aca="false">IF($CX304&gt;$CW$8,"",VLOOKUP($CX304,$CZ$9:$DF$508,2,FALSE()))</f>
        <v/>
      </c>
      <c r="DI304" s="110" t="str">
        <f aca="false">IF($CX304&gt;$CW$8,"",VLOOKUP($CX304,$CZ$9:$DF$508,3,FALSE()))</f>
        <v/>
      </c>
      <c r="DJ304" s="110" t="str">
        <f aca="false">IF($CX304&gt;$CW$8,"",VLOOKUP($CX304,$CZ$9:$DF$508,4,FALSE()))</f>
        <v/>
      </c>
      <c r="DK304" s="110" t="str">
        <f aca="false">IF($CX304&gt;$CW$8,"",VLOOKUP($CX304,$CZ$9:$DF$508,5,FALSE()))</f>
        <v/>
      </c>
      <c r="DL304" s="111" t="str">
        <f aca="false">IF($CX304&gt;$CW$8,"",VLOOKUP($CX304,$CZ$9:$DF$508,6,FALSE()))</f>
        <v/>
      </c>
      <c r="DM304" s="75"/>
    </row>
    <row r="305" customFormat="false" ht="15.75" hidden="false" customHeight="false" outlineLevel="0" collapsed="false">
      <c r="A305" s="9"/>
      <c r="B305" s="77"/>
      <c r="C305" s="78"/>
      <c r="D305" s="167"/>
      <c r="E305" s="175"/>
      <c r="F305" s="169"/>
      <c r="G305" s="170"/>
      <c r="H305" s="170"/>
      <c r="I305" s="176"/>
      <c r="J305" s="173"/>
      <c r="K305" s="85"/>
      <c r="L305" s="86"/>
      <c r="M305" s="87"/>
      <c r="N305" s="173"/>
      <c r="O305" s="173"/>
      <c r="P305" s="175"/>
      <c r="Q305" s="173"/>
      <c r="R305" s="173"/>
      <c r="S305" s="85"/>
      <c r="T305" s="87"/>
      <c r="U305" s="87"/>
      <c r="V305" s="173"/>
      <c r="W305" s="173"/>
      <c r="X305" s="175"/>
      <c r="Y305" s="173"/>
      <c r="Z305" s="174"/>
      <c r="AA305" s="173"/>
      <c r="AB305" s="91"/>
      <c r="AC305" s="92"/>
      <c r="AD305" s="92"/>
      <c r="AE305" s="92"/>
      <c r="AF305" s="92" t="str">
        <f aca="false">IF(ISBLANK($C305),"",IF(E305=Constants!$B$3,TRUE(),IF(E305=Constants!$B$4,FALSE(),TRUE())))</f>
        <v/>
      </c>
      <c r="AG305" s="92" t="str">
        <f aca="false">IF(ISBLANK($C305),"",IF(F305=Constants!$B$3,TRUE(),IF(F305=Constants!$B$4,FALSE(),TRUE())))</f>
        <v/>
      </c>
      <c r="AH305" s="92" t="str">
        <f aca="false">IF(ISBLANK($C305),"",IF(G305=Constants!$B$3,TRUE(),IF(G305=Constants!$B$4,FALSE(),TRUE())))</f>
        <v/>
      </c>
      <c r="AI305" s="92" t="str">
        <f aca="false">IF(ISBLANK($C305),"",IF(AND(ISNUMBER(H305),H305&gt;=0),H305,Constants!$B$29))</f>
        <v/>
      </c>
      <c r="AJ305" s="92" t="str">
        <f aca="false">IF(ISBLANK($C305),"",IF(I305=Constants!$B$3,TRUE(),IF(I305=Constants!$B$4,FALSE(),TRUE())))</f>
        <v/>
      </c>
      <c r="AK305" s="92" t="str">
        <f aca="false">IF(ISBLANK($C305),"",IF(J305=Constants!$B$3,TRUE(),IF(J305=Constants!$B$4,FALSE(),TRUE())))</f>
        <v/>
      </c>
      <c r="AL305" s="92" t="str">
        <f aca="false">IF(ISBLANK($C305),"",IF(K305=Constants!$B$5,TRUE(),IF(K305=Constants!$B$6,FALSE(),COUNTA(L305:P305)&gt;0)))</f>
        <v/>
      </c>
      <c r="AM305" s="94" t="str">
        <f aca="false">IF(ISBLANK($C305),"",IF(ISNUMBER(L305),IF(L305&gt;=0,L305,""),""))</f>
        <v/>
      </c>
      <c r="AN305" s="93" t="str">
        <f aca="false">IF(ISBLANK($C305),"",IF(ISNUMBER(M305),IF(M305&gt;=0,M305,""),""))</f>
        <v/>
      </c>
      <c r="AO305" s="93" t="str">
        <f aca="false">IF(ISBLANK($C305),"",IF(N305=Constants!$B$3,TRUE(),IF(N305=Constants!$B$4,FALSE(),TRUE())))</f>
        <v/>
      </c>
      <c r="AP305" s="92" t="str">
        <f aca="false">IF(ISBLANK($C305),"",IF(ISNUMBER(O305),IF(O305&gt;=0,O305,""),""))</f>
        <v/>
      </c>
      <c r="AQ305" s="92" t="str">
        <f aca="false">IF(ISBLANK($C305),"",IF(P305=Constants!$B$3,TRUE(),IF(P305=Constants!$B$4,FALSE(),FALSE())))</f>
        <v/>
      </c>
      <c r="AR305" s="92" t="str">
        <f aca="false">IF(ISBLANK($C305),"",IF(Q305=Constants!$B$3,TRUE(),IF(Q305=Constants!$B$4,FALSE(),TRUE())))</f>
        <v/>
      </c>
      <c r="AS305" s="92" t="str">
        <f aca="false">IF(ISBLANK($C305),"",IF(R305=Constants!$B$3,TRUE(),IF(R305=Constants!$B$4,FALSE(),TRUE())))</f>
        <v/>
      </c>
      <c r="AT305" s="92" t="str">
        <f aca="false">IF(ISBLANK($C305),"",IF(S305=Constants!$B$5,TRUE(),IF(S305=Constants!$B$6,FALSE(),COUNTA(T305:X305)&gt;0)))</f>
        <v/>
      </c>
      <c r="AU305" s="94" t="str">
        <f aca="false">IF(ISBLANK($C305),"",IF(ISNUMBER(T305),IF(T305&gt;=0,T305,""),""))</f>
        <v/>
      </c>
      <c r="AV305" s="93" t="str">
        <f aca="false">IF(ISBLANK($C305),"",IF(ISNUMBER(U305),IF(U305&gt;=0,U305,""),""))</f>
        <v/>
      </c>
      <c r="AW305" s="93" t="str">
        <f aca="false">IF(ISBLANK($C305),"",IF(V305=Constants!$B$3,TRUE(),IF(V305=Constants!$B$4,FALSE(),TRUE())))</f>
        <v/>
      </c>
      <c r="AX305" s="92" t="str">
        <f aca="false">IF(ISBLANK($C305),"",IF(ISNUMBER(W305),IF(W305&gt;=0,W305,""),""))</f>
        <v/>
      </c>
      <c r="AY305" s="92" t="str">
        <f aca="false">IF(ISBLANK($C305),"",IF(X305=Constants!$B$3,TRUE(),IF(X305=Constants!$B$4,FALSE(),FALSE())))</f>
        <v/>
      </c>
      <c r="AZ305" s="92" t="str">
        <f aca="false">IF(ISBLANK($C305),"",MIN(Constants!$B$31,MAX(0,IF(ISNUMBER(Y305),Y305*60,0)+IF(ISNUMBER(Z305),Z305,0))))</f>
        <v/>
      </c>
      <c r="BA305" s="92" t="str">
        <f aca="false">IF(ISBLANK($C305),"",IF(AA305=Constants!$B$3,TRUE(),IF(AA305=Constants!$B$4,FALSE(),FALSE())))</f>
        <v/>
      </c>
      <c r="BB305" s="91" t="str">
        <f aca="false">IF(ISBLANK($C305),"",AND($AL305,OR($AM305="",$AN305="",AND($AO305,$AP305=""))))</f>
        <v/>
      </c>
      <c r="BC305" s="93" t="str">
        <f aca="false">IF($BR305&lt;&gt;Constants!$B$8,"",IF($AL305,Constants!$B$21*$AN305+Constants!$B$22*IF($AO305,$AP305,Constants!$B$23),Constants!$B$24))</f>
        <v/>
      </c>
      <c r="BD305" s="96" t="str">
        <f aca="false">IF($BR305&lt;&gt;Constants!$B$8,"",Constants!$B$25*ABS($AD$9-IF($AL305,$AM305,0)))</f>
        <v/>
      </c>
      <c r="BE305" s="96" t="str">
        <f aca="false">IF($BR305&lt;&gt;Constants!$B$8,"",IF(AND($AL305,$AQ305,$AO305),Constants!$B$27,0))</f>
        <v/>
      </c>
      <c r="BF305" s="96" t="str">
        <f aca="false">IF($BR305&lt;&gt;Constants!$B$8,"",IF($AL305,($AI305-Constants!$B$29)*Constants!$B$28,0))</f>
        <v/>
      </c>
      <c r="BG305" s="96" t="str">
        <f aca="false">IF($BR305&lt;&gt;Constants!$B$8,"",IF($AK305,0,Constants!$B$15)+IF($AJ305,0,Constants!$B$16)+IF($AH305,0,Constants!$B$17))</f>
        <v/>
      </c>
      <c r="BH305" s="97" t="str">
        <f aca="false">IF($BR305&lt;&gt;Constants!$B$8,"",Constants!$B$20+SUM($BC305:$BG305))</f>
        <v/>
      </c>
      <c r="BI305" s="92" t="str">
        <f aca="false">IF($BR305&lt;&gt;Constants!$B$8,"",IF(OR($BP305&lt;$BH305,AND($BP305=$BH305,OR($BK305&lt;$BC305,AND($BK305=$BC305,OR($BL305&lt;$BD305,AND($BL305=$BD305,$AT305,$AL305,$AV305&lt;$AN305)))))),"-&gt;","&lt;-"))</f>
        <v/>
      </c>
      <c r="BJ305" s="91" t="str">
        <f aca="false">IF(ISBLANK($C305),"",AND($AT305,OR($AU305="",$AV305="",AND($AW305,$AX305=""))))</f>
        <v/>
      </c>
      <c r="BK305" s="93" t="str">
        <f aca="false">IF($BR305&lt;&gt;Constants!$B$8,"",IF($AT305,Constants!$B$21*$AV305+Constants!$B$22*IF($AW305,$AX305,Constants!$B$23),Constants!$B$24))</f>
        <v/>
      </c>
      <c r="BL305" s="96" t="str">
        <f aca="false">IF($BR305&lt;&gt;Constants!$B$8,"",Constants!$B$25*ABS($AD$9-IF($AT305,$AU305,0)))</f>
        <v/>
      </c>
      <c r="BM305" s="96" t="str">
        <f aca="false">IF($BR305&lt;&gt;Constants!$B$8,"",IF(AND($AT305,$AY305,$AW305),Constants!$B$27,0))</f>
        <v/>
      </c>
      <c r="BN305" s="96" t="str">
        <f aca="false">IF($BR305&lt;&gt;Constants!$B$8,"",IF($AT305,($AI305-Constants!$B$29)*Constants!$B$28,0))</f>
        <v/>
      </c>
      <c r="BO305" s="96" t="str">
        <f aca="false">IF($BR305&lt;&gt;Constants!$B$8,"",IF($AS305,0,Constants!$B$15)+IF($AR305,0,Constants!$B$16)+IF($AH305,0,Constants!$B$17))</f>
        <v/>
      </c>
      <c r="BP305" s="97" t="str">
        <f aca="false">IF($BR305&lt;&gt;Constants!$B$8,"",Constants!$B$20+SUM($BK305:$BO305))</f>
        <v/>
      </c>
      <c r="BQ305" s="92" t="str">
        <f aca="false">IF(ISBLANK($C305),"",IF(ISBLANK($D$7),$BQ$5,IF(NOT(ISNUMBER($D$7)),$BQ$6,"")))</f>
        <v/>
      </c>
      <c r="BR305" s="92" t="str">
        <f aca="false">IF(ISBLANK($C305),"",IF($BA305,Constants!$B$11,IF(COUNTA($E305:$AA305)=0,Constants!$B$10,IF(NOT($AG305),Constants!$B$9,IF(OR($BQ305&lt;&gt;"",$BB305,$BJ305),Constants!$B$12,Constants!$B$8)))))</f>
        <v/>
      </c>
      <c r="BS305" s="92" t="str">
        <f aca="false">IF(ISBLANK($C305),"",IF($BR305&lt;&gt;Constants!$B$8,$BR305,Constants!$B$13))</f>
        <v/>
      </c>
      <c r="BT305" s="96" t="str">
        <f aca="false">IF($BR305&lt;&gt;Constants!$B$8,"",IF($BI305="-&gt;",$BP305,$BH305))</f>
        <v/>
      </c>
      <c r="BU305" s="96" t="str">
        <f aca="false">IF($BR305&lt;&gt;Constants!$B$8,"",IF($AF305,0,Constants!$B$18))</f>
        <v/>
      </c>
      <c r="BV305" s="96" t="str">
        <f aca="false">IF($BR305&lt;&gt;Constants!$B$8,"",((Constants!$B$31-$AZ305)-Constants!$B$31)/Constants!$B$32)</f>
        <v/>
      </c>
      <c r="BW305" s="96" t="str">
        <f aca="false">IF(ISBLANK($C305),"",IF($BR305&lt;&gt;Constants!$B$8,$BR305,SUM($BT305:$BV305)))</f>
        <v/>
      </c>
      <c r="BX305" s="92" t="str">
        <f aca="false">IF(ISBLANK($C305),"",IF($BR305&lt;&gt;Constants!$B$8,$BR305,RANK($BW305,$BW$9:$BW$508,1)))</f>
        <v/>
      </c>
      <c r="BY305" s="96" t="str">
        <f aca="false">IF($BR305&lt;&gt;Constants!$B$8,"",IF($BI305="-&gt;",$BK305,$BC305))</f>
        <v/>
      </c>
      <c r="BZ305" s="92" t="str">
        <f aca="false">IF(ISBLANK($C305),"",IF($BR305&lt;&gt;Constants!$B$8,$BR305,IF(ISNUMBER($BY305),RANK($BY305,$BY$9:$BY$508,1),COUNT($BY$9:$BY$508)+1)))</f>
        <v/>
      </c>
      <c r="CA305" s="96" t="str">
        <f aca="false">IF($BR305&lt;&gt;Constants!$B$8,"",IF($BI305="-&gt;",$BL305,$BD305))</f>
        <v/>
      </c>
      <c r="CB305" s="92" t="str">
        <f aca="false">IF(ISBLANK($C305),"",IF($BR305&lt;&gt;Constants!$B$8,$BR305,IF(ISNUMBER($CA305),RANK($CA305,$CA$9:$CA$508,1),COUNT($CA$9:$CA$508)+1)))</f>
        <v/>
      </c>
      <c r="CC305" s="96" t="str">
        <f aca="false">IF($BR305&lt;&gt;Constants!$B$8,"",IF($BI305="-&gt;",IF($AT305,$AV305,""),IF($AL305,$AN305,"")))</f>
        <v/>
      </c>
      <c r="CD305" s="92" t="str">
        <f aca="false">IF(ISBLANK($C305),"",IF($BR305&lt;&gt;Constants!$B$8,$BR305,IF(ISNUMBER($CC305),RANK($CC305,$CC$9:$CC$508,1),COUNT($CC$9:$CC$508)+1)))</f>
        <v/>
      </c>
      <c r="CE305" s="96" t="str">
        <f aca="false">IF($BR305&lt;&gt;Constants!$B$8,"",IF(AND(NOT($AL305),NOT($AT305),$AJ305,$AK305,$AR305,$AS305),"",$AI305))</f>
        <v/>
      </c>
      <c r="CF305" s="92" t="str">
        <f aca="false">IF(ISBLANK($C305),"",IF($BR305&lt;&gt;Constants!$B$8,$BR305,IF(ISNUMBER($CE305),RANK($CE305,$CE$9:$CE$508,1),COUNT($CE$9:$CE$508)+1)))</f>
        <v/>
      </c>
      <c r="CG305" s="92" t="str">
        <f aca="false">IF(ISBLANK($C305),"",IF($BR305&lt;&gt;Constants!$B$8,$BR305,COUNTIFS($BX$9:$BX$508,"&lt;"&amp;$BX305)+COUNTIFS($BX$9:$BX$508,$BX305,$BZ$9:$BZ$508,"&lt;"&amp;$BZ305)+COUNTIFS($BX$9:$BX$508,$BX305,$BZ$9:$BZ$508,$BZ305,$CB$9:$CB$508,"&lt;"&amp;$CB305)+COUNTIFS($BX$9:$BX$508,$BX305,$BZ$9:$BZ$508,$BZ305,$CB$9:$CB$508,$CB305,$CD$9:$CD$508,"&lt;"&amp;$CD305)+COUNTIFS($BX$9:$BX$508,$BX305,$BZ$9:$BZ$508,$BZ305,$CB$9:$CB$508,$CB305,$CD$9:$CD$508,$CD305,$CF$9:$CF$508,"&lt;"&amp;$CF305)+1))</f>
        <v/>
      </c>
      <c r="CH305" s="92" t="str">
        <f aca="false">IF(ISBLANK($C305),"",IF($BR305&lt;&gt;Constants!$B$8,$BR305,$BX305-$CG305))</f>
        <v/>
      </c>
      <c r="CI305" s="98"/>
      <c r="CJ305" s="99"/>
      <c r="CK305" s="100" t="str">
        <f aca="false">IF(ISBLANK($C305),"",IF($BR305=Constants!$B$12,$BQ305,""))</f>
        <v/>
      </c>
      <c r="CL305" s="99" t="str">
        <f aca="false">IF(ISBLANK($C305),"",IF($BR305&lt;&gt;Constants!$B$8,"",IF($BI305="-&gt;",2,1)))</f>
        <v/>
      </c>
      <c r="CM305" s="101" t="str">
        <f aca="false">IF(ISBLANK($C305),"",IF($BR305&lt;&gt;Constants!$B$8,"",IF($BI305="-&gt;",$BK305,$BC305)))</f>
        <v/>
      </c>
      <c r="CN305" s="101" t="str">
        <f aca="false">IF(ISBLANK($C305),"",IF($BR305&lt;&gt;Constants!$B$8,"",IF($BI305="-&gt;",$BL305,$BD305)))</f>
        <v/>
      </c>
      <c r="CO305" s="101" t="str">
        <f aca="false">IF(ISBLANK($C305),"",IF($BR305&lt;&gt;Constants!$B$8,"",IF($BI305="-&gt;",$BM305+$BN305,$BE305+$BF305)+$BV305))</f>
        <v/>
      </c>
      <c r="CP305" s="101" t="str">
        <f aca="false">IF(ISBLANK($C305),"",IF($BR305&lt;&gt;Constants!$B$8,"",IF($BI305="-&gt;",$BO305,$BG305)+$BU305))</f>
        <v/>
      </c>
      <c r="CQ305" s="102" t="str">
        <f aca="false">IF(ISBLANK($C305),"",IF($BR305&lt;&gt;Constants!$B$8,$BR305,$BW305))</f>
        <v/>
      </c>
      <c r="CR305" s="103" t="str">
        <f aca="false">IF(ISBLANK($C305),"",$BS305)</f>
        <v/>
      </c>
      <c r="CS305" s="104" t="str">
        <f aca="false">IF(ISBLANK($C305),"",$CH305)</f>
        <v/>
      </c>
      <c r="CT305" s="104" t="str">
        <f aca="false">IF(ISBLANK($C305),"",$CG305)</f>
        <v/>
      </c>
      <c r="CU305" s="105" t="str">
        <f aca="false">IF(ISBLANK($C305),"",IFERROR(_xlfn.SWITCH($CT305,Constants!$B$11,COUNTA($C$9:$C$508)+2,Constants!$B$10,COUNTA($C$9:$C$508)+1,Constants!$B$9,COUNTA($C$9:$C$508)),$CT305))</f>
        <v/>
      </c>
      <c r="CV305" s="9"/>
      <c r="CW305" s="106" t="n">
        <f aca="false">IF(OR(ISNUMBER($CT305),$CT305=Constants!$B$11,$CT305=Constants!$B$9,$CT305=Constants!$B$10),1,0)</f>
        <v>0</v>
      </c>
      <c r="CX305" s="106" t="n">
        <v>297</v>
      </c>
      <c r="CY305" s="106" t="str">
        <f aca="false">IF(ISBLANK($C305),"",IF(ISNUMBER($CU305),$CU305+ROW($B305)/1000,""))</f>
        <v/>
      </c>
      <c r="CZ305" s="106" t="str">
        <f aca="false">IF(ISNUMBER($CY305),RANK($CY305,$CY$9:$CY$508,1),"")</f>
        <v/>
      </c>
      <c r="DA305" s="106" t="str">
        <f aca="false">IF(ISBLANK($C305),"",$B305)</f>
        <v/>
      </c>
      <c r="DB305" s="106" t="str">
        <f aca="false">IF(ISBLANK($C305),"",$C305)</f>
        <v/>
      </c>
      <c r="DC305" s="106" t="str">
        <f aca="false">IF(ISBLANK($C305),"",$D305)</f>
        <v/>
      </c>
      <c r="DD305" s="107" t="str">
        <f aca="false">$CR305</f>
        <v/>
      </c>
      <c r="DE305" s="108" t="str">
        <f aca="false">$CQ305</f>
        <v/>
      </c>
      <c r="DF305" s="106" t="str">
        <f aca="false">IF(ISBLANK($C305),"",$CT305)</f>
        <v/>
      </c>
      <c r="DG305" s="109" t="str">
        <f aca="false">IF($CX305&gt;$CW$8,"",VLOOKUP($CX305,$CZ$9:$DF$508,7,FALSE()))</f>
        <v/>
      </c>
      <c r="DH305" s="110" t="str">
        <f aca="false">IF($CX305&gt;$CW$8,"",VLOOKUP($CX305,$CZ$9:$DF$508,2,FALSE()))</f>
        <v/>
      </c>
      <c r="DI305" s="110" t="str">
        <f aca="false">IF($CX305&gt;$CW$8,"",VLOOKUP($CX305,$CZ$9:$DF$508,3,FALSE()))</f>
        <v/>
      </c>
      <c r="DJ305" s="110" t="str">
        <f aca="false">IF($CX305&gt;$CW$8,"",VLOOKUP($CX305,$CZ$9:$DF$508,4,FALSE()))</f>
        <v/>
      </c>
      <c r="DK305" s="110" t="str">
        <f aca="false">IF($CX305&gt;$CW$8,"",VLOOKUP($CX305,$CZ$9:$DF$508,5,FALSE()))</f>
        <v/>
      </c>
      <c r="DL305" s="111" t="str">
        <f aca="false">IF($CX305&gt;$CW$8,"",VLOOKUP($CX305,$CZ$9:$DF$508,6,FALSE()))</f>
        <v/>
      </c>
      <c r="DM305" s="75"/>
    </row>
    <row r="306" customFormat="false" ht="15.75" hidden="false" customHeight="false" outlineLevel="0" collapsed="false">
      <c r="A306" s="9"/>
      <c r="B306" s="157"/>
      <c r="C306" s="158"/>
      <c r="D306" s="159"/>
      <c r="E306" s="177"/>
      <c r="F306" s="161"/>
      <c r="G306" s="162"/>
      <c r="H306" s="162"/>
      <c r="I306" s="178"/>
      <c r="J306" s="165"/>
      <c r="K306" s="126"/>
      <c r="L306" s="127"/>
      <c r="M306" s="128"/>
      <c r="N306" s="165"/>
      <c r="O306" s="165"/>
      <c r="P306" s="177"/>
      <c r="Q306" s="165"/>
      <c r="R306" s="165"/>
      <c r="S306" s="126"/>
      <c r="T306" s="128"/>
      <c r="U306" s="128"/>
      <c r="V306" s="165"/>
      <c r="W306" s="165"/>
      <c r="X306" s="177"/>
      <c r="Y306" s="165"/>
      <c r="Z306" s="166"/>
      <c r="AA306" s="165"/>
      <c r="AB306" s="132"/>
      <c r="AC306" s="133"/>
      <c r="AD306" s="133"/>
      <c r="AE306" s="133"/>
      <c r="AF306" s="133" t="str">
        <f aca="false">IF(ISBLANK($C306),"",IF(E306=Constants!$B$3,TRUE(),IF(E306=Constants!$B$4,FALSE(),TRUE())))</f>
        <v/>
      </c>
      <c r="AG306" s="133" t="str">
        <f aca="false">IF(ISBLANK($C306),"",IF(F306=Constants!$B$3,TRUE(),IF(F306=Constants!$B$4,FALSE(),TRUE())))</f>
        <v/>
      </c>
      <c r="AH306" s="133" t="str">
        <f aca="false">IF(ISBLANK($C306),"",IF(G306=Constants!$B$3,TRUE(),IF(G306=Constants!$B$4,FALSE(),TRUE())))</f>
        <v/>
      </c>
      <c r="AI306" s="133" t="str">
        <f aca="false">IF(ISBLANK($C306),"",IF(AND(ISNUMBER(H306),H306&gt;=0),H306,Constants!$B$29))</f>
        <v/>
      </c>
      <c r="AJ306" s="133" t="str">
        <f aca="false">IF(ISBLANK($C306),"",IF(I306=Constants!$B$3,TRUE(),IF(I306=Constants!$B$4,FALSE(),TRUE())))</f>
        <v/>
      </c>
      <c r="AK306" s="133" t="str">
        <f aca="false">IF(ISBLANK($C306),"",IF(J306=Constants!$B$3,TRUE(),IF(J306=Constants!$B$4,FALSE(),TRUE())))</f>
        <v/>
      </c>
      <c r="AL306" s="133" t="str">
        <f aca="false">IF(ISBLANK($C306),"",IF(K306=Constants!$B$5,TRUE(),IF(K306=Constants!$B$6,FALSE(),COUNTA(L306:P306)&gt;0)))</f>
        <v/>
      </c>
      <c r="AM306" s="134" t="str">
        <f aca="false">IF(ISBLANK($C306),"",IF(ISNUMBER(L306),IF(L306&gt;=0,L306,""),""))</f>
        <v/>
      </c>
      <c r="AN306" s="135" t="str">
        <f aca="false">IF(ISBLANK($C306),"",IF(ISNUMBER(M306),IF(M306&gt;=0,M306,""),""))</f>
        <v/>
      </c>
      <c r="AO306" s="135" t="str">
        <f aca="false">IF(ISBLANK($C306),"",IF(N306=Constants!$B$3,TRUE(),IF(N306=Constants!$B$4,FALSE(),TRUE())))</f>
        <v/>
      </c>
      <c r="AP306" s="133" t="str">
        <f aca="false">IF(ISBLANK($C306),"",IF(ISNUMBER(O306),IF(O306&gt;=0,O306,""),""))</f>
        <v/>
      </c>
      <c r="AQ306" s="133" t="str">
        <f aca="false">IF(ISBLANK($C306),"",IF(P306=Constants!$B$3,TRUE(),IF(P306=Constants!$B$4,FALSE(),FALSE())))</f>
        <v/>
      </c>
      <c r="AR306" s="133" t="str">
        <f aca="false">IF(ISBLANK($C306),"",IF(Q306=Constants!$B$3,TRUE(),IF(Q306=Constants!$B$4,FALSE(),TRUE())))</f>
        <v/>
      </c>
      <c r="AS306" s="133" t="str">
        <f aca="false">IF(ISBLANK($C306),"",IF(R306=Constants!$B$3,TRUE(),IF(R306=Constants!$B$4,FALSE(),TRUE())))</f>
        <v/>
      </c>
      <c r="AT306" s="133" t="str">
        <f aca="false">IF(ISBLANK($C306),"",IF(S306=Constants!$B$5,TRUE(),IF(S306=Constants!$B$6,FALSE(),COUNTA(T306:X306)&gt;0)))</f>
        <v/>
      </c>
      <c r="AU306" s="134" t="str">
        <f aca="false">IF(ISBLANK($C306),"",IF(ISNUMBER(T306),IF(T306&gt;=0,T306,""),""))</f>
        <v/>
      </c>
      <c r="AV306" s="135" t="str">
        <f aca="false">IF(ISBLANK($C306),"",IF(ISNUMBER(U306),IF(U306&gt;=0,U306,""),""))</f>
        <v/>
      </c>
      <c r="AW306" s="135" t="str">
        <f aca="false">IF(ISBLANK($C306),"",IF(V306=Constants!$B$3,TRUE(),IF(V306=Constants!$B$4,FALSE(),TRUE())))</f>
        <v/>
      </c>
      <c r="AX306" s="133" t="str">
        <f aca="false">IF(ISBLANK($C306),"",IF(ISNUMBER(W306),IF(W306&gt;=0,W306,""),""))</f>
        <v/>
      </c>
      <c r="AY306" s="133" t="str">
        <f aca="false">IF(ISBLANK($C306),"",IF(X306=Constants!$B$3,TRUE(),IF(X306=Constants!$B$4,FALSE(),FALSE())))</f>
        <v/>
      </c>
      <c r="AZ306" s="133" t="str">
        <f aca="false">IF(ISBLANK($C306),"",MIN(Constants!$B$31,MAX(0,IF(ISNUMBER(Y306),Y306*60,0)+IF(ISNUMBER(Z306),Z306,0))))</f>
        <v/>
      </c>
      <c r="BA306" s="133" t="str">
        <f aca="false">IF(ISBLANK($C306),"",IF(AA306=Constants!$B$3,TRUE(),IF(AA306=Constants!$B$4,FALSE(),FALSE())))</f>
        <v/>
      </c>
      <c r="BB306" s="132" t="str">
        <f aca="false">IF(ISBLANK($C306),"",AND($AL306,OR($AM306="",$AN306="",AND($AO306,$AP306=""))))</f>
        <v/>
      </c>
      <c r="BC306" s="135" t="str">
        <f aca="false">IF($BR306&lt;&gt;Constants!$B$8,"",IF($AL306,Constants!$B$21*$AN306+Constants!$B$22*IF($AO306,$AP306,Constants!$B$23),Constants!$B$24))</f>
        <v/>
      </c>
      <c r="BD306" s="136" t="str">
        <f aca="false">IF($BR306&lt;&gt;Constants!$B$8,"",Constants!$B$25*ABS($AD$9-IF($AL306,$AM306,0)))</f>
        <v/>
      </c>
      <c r="BE306" s="136" t="str">
        <f aca="false">IF($BR306&lt;&gt;Constants!$B$8,"",IF(AND($AL306,$AQ306,$AO306),Constants!$B$27,0))</f>
        <v/>
      </c>
      <c r="BF306" s="136" t="str">
        <f aca="false">IF($BR306&lt;&gt;Constants!$B$8,"",IF($AL306,($AI306-Constants!$B$29)*Constants!$B$28,0))</f>
        <v/>
      </c>
      <c r="BG306" s="136" t="str">
        <f aca="false">IF($BR306&lt;&gt;Constants!$B$8,"",IF($AK306,0,Constants!$B$15)+IF($AJ306,0,Constants!$B$16)+IF($AH306,0,Constants!$B$17))</f>
        <v/>
      </c>
      <c r="BH306" s="137" t="str">
        <f aca="false">IF($BR306&lt;&gt;Constants!$B$8,"",Constants!$B$20+SUM($BC306:$BG306))</f>
        <v/>
      </c>
      <c r="BI306" s="133" t="str">
        <f aca="false">IF($BR306&lt;&gt;Constants!$B$8,"",IF(OR($BP306&lt;$BH306,AND($BP306=$BH306,OR($BK306&lt;$BC306,AND($BK306=$BC306,OR($BL306&lt;$BD306,AND($BL306=$BD306,$AT306,$AL306,$AV306&lt;$AN306)))))),"-&gt;","&lt;-"))</f>
        <v/>
      </c>
      <c r="BJ306" s="132" t="str">
        <f aca="false">IF(ISBLANK($C306),"",AND($AT306,OR($AU306="",$AV306="",AND($AW306,$AX306=""))))</f>
        <v/>
      </c>
      <c r="BK306" s="135" t="str">
        <f aca="false">IF($BR306&lt;&gt;Constants!$B$8,"",IF($AT306,Constants!$B$21*$AV306+Constants!$B$22*IF($AW306,$AX306,Constants!$B$23),Constants!$B$24))</f>
        <v/>
      </c>
      <c r="BL306" s="136" t="str">
        <f aca="false">IF($BR306&lt;&gt;Constants!$B$8,"",Constants!$B$25*ABS($AD$9-IF($AT306,$AU306,0)))</f>
        <v/>
      </c>
      <c r="BM306" s="136" t="str">
        <f aca="false">IF($BR306&lt;&gt;Constants!$B$8,"",IF(AND($AT306,$AY306,$AW306),Constants!$B$27,0))</f>
        <v/>
      </c>
      <c r="BN306" s="136" t="str">
        <f aca="false">IF($BR306&lt;&gt;Constants!$B$8,"",IF($AT306,($AI306-Constants!$B$29)*Constants!$B$28,0))</f>
        <v/>
      </c>
      <c r="BO306" s="136" t="str">
        <f aca="false">IF($BR306&lt;&gt;Constants!$B$8,"",IF($AS306,0,Constants!$B$15)+IF($AR306,0,Constants!$B$16)+IF($AH306,0,Constants!$B$17))</f>
        <v/>
      </c>
      <c r="BP306" s="137" t="str">
        <f aca="false">IF($BR306&lt;&gt;Constants!$B$8,"",Constants!$B$20+SUM($BK306:$BO306))</f>
        <v/>
      </c>
      <c r="BQ306" s="133" t="str">
        <f aca="false">IF(ISBLANK($C306),"",IF(ISBLANK($D$7),$BQ$5,IF(NOT(ISNUMBER($D$7)),$BQ$6,"")))</f>
        <v/>
      </c>
      <c r="BR306" s="133" t="str">
        <f aca="false">IF(ISBLANK($C306),"",IF($BA306,Constants!$B$11,IF(COUNTA($E306:$AA306)=0,Constants!$B$10,IF(NOT($AG306),Constants!$B$9,IF(OR($BQ306&lt;&gt;"",$BB306,$BJ306),Constants!$B$12,Constants!$B$8)))))</f>
        <v/>
      </c>
      <c r="BS306" s="133" t="str">
        <f aca="false">IF(ISBLANK($C306),"",IF($BR306&lt;&gt;Constants!$B$8,$BR306,Constants!$B$13))</f>
        <v/>
      </c>
      <c r="BT306" s="136" t="str">
        <f aca="false">IF($BR306&lt;&gt;Constants!$B$8,"",IF($BI306="-&gt;",$BP306,$BH306))</f>
        <v/>
      </c>
      <c r="BU306" s="136" t="str">
        <f aca="false">IF($BR306&lt;&gt;Constants!$B$8,"",IF($AF306,0,Constants!$B$18))</f>
        <v/>
      </c>
      <c r="BV306" s="136" t="str">
        <f aca="false">IF($BR306&lt;&gt;Constants!$B$8,"",((Constants!$B$31-$AZ306)-Constants!$B$31)/Constants!$B$32)</f>
        <v/>
      </c>
      <c r="BW306" s="136" t="str">
        <f aca="false">IF(ISBLANK($C306),"",IF($BR306&lt;&gt;Constants!$B$8,$BR306,SUM($BT306:$BV306)))</f>
        <v/>
      </c>
      <c r="BX306" s="133" t="str">
        <f aca="false">IF(ISBLANK($C306),"",IF($BR306&lt;&gt;Constants!$B$8,$BR306,RANK($BW306,$BW$9:$BW$508,1)))</f>
        <v/>
      </c>
      <c r="BY306" s="136" t="str">
        <f aca="false">IF($BR306&lt;&gt;Constants!$B$8,"",IF($BI306="-&gt;",$BK306,$BC306))</f>
        <v/>
      </c>
      <c r="BZ306" s="133" t="str">
        <f aca="false">IF(ISBLANK($C306),"",IF($BR306&lt;&gt;Constants!$B$8,$BR306,IF(ISNUMBER($BY306),RANK($BY306,$BY$9:$BY$508,1),COUNT($BY$9:$BY$508)+1)))</f>
        <v/>
      </c>
      <c r="CA306" s="136" t="str">
        <f aca="false">IF($BR306&lt;&gt;Constants!$B$8,"",IF($BI306="-&gt;",$BL306,$BD306))</f>
        <v/>
      </c>
      <c r="CB306" s="133" t="str">
        <f aca="false">IF(ISBLANK($C306),"",IF($BR306&lt;&gt;Constants!$B$8,$BR306,IF(ISNUMBER($CA306),RANK($CA306,$CA$9:$CA$508,1),COUNT($CA$9:$CA$508)+1)))</f>
        <v/>
      </c>
      <c r="CC306" s="136" t="str">
        <f aca="false">IF($BR306&lt;&gt;Constants!$B$8,"",IF($BI306="-&gt;",IF($AT306,$AV306,""),IF($AL306,$AN306,"")))</f>
        <v/>
      </c>
      <c r="CD306" s="133" t="str">
        <f aca="false">IF(ISBLANK($C306),"",IF($BR306&lt;&gt;Constants!$B$8,$BR306,IF(ISNUMBER($CC306),RANK($CC306,$CC$9:$CC$508,1),COUNT($CC$9:$CC$508)+1)))</f>
        <v/>
      </c>
      <c r="CE306" s="136" t="str">
        <f aca="false">IF($BR306&lt;&gt;Constants!$B$8,"",IF(AND(NOT($AL306),NOT($AT306),$AJ306,$AK306,$AR306,$AS306),"",$AI306))</f>
        <v/>
      </c>
      <c r="CF306" s="133" t="str">
        <f aca="false">IF(ISBLANK($C306),"",IF($BR306&lt;&gt;Constants!$B$8,$BR306,IF(ISNUMBER($CE306),RANK($CE306,$CE$9:$CE$508,1),COUNT($CE$9:$CE$508)+1)))</f>
        <v/>
      </c>
      <c r="CG306" s="133" t="str">
        <f aca="false">IF(ISBLANK($C306),"",IF($BR306&lt;&gt;Constants!$B$8,$BR306,COUNTIFS($BX$9:$BX$508,"&lt;"&amp;$BX306)+COUNTIFS($BX$9:$BX$508,$BX306,$BZ$9:$BZ$508,"&lt;"&amp;$BZ306)+COUNTIFS($BX$9:$BX$508,$BX306,$BZ$9:$BZ$508,$BZ306,$CB$9:$CB$508,"&lt;"&amp;$CB306)+COUNTIFS($BX$9:$BX$508,$BX306,$BZ$9:$BZ$508,$BZ306,$CB$9:$CB$508,$CB306,$CD$9:$CD$508,"&lt;"&amp;$CD306)+COUNTIFS($BX$9:$BX$508,$BX306,$BZ$9:$BZ$508,$BZ306,$CB$9:$CB$508,$CB306,$CD$9:$CD$508,$CD306,$CF$9:$CF$508,"&lt;"&amp;$CF306)+1))</f>
        <v/>
      </c>
      <c r="CH306" s="133" t="str">
        <f aca="false">IF(ISBLANK($C306),"",IF($BR306&lt;&gt;Constants!$B$8,$BR306,$BX306-$CG306))</f>
        <v/>
      </c>
      <c r="CI306" s="138"/>
      <c r="CJ306" s="139"/>
      <c r="CK306" s="140" t="str">
        <f aca="false">IF(ISBLANK($C306),"",IF($BR306=Constants!$B$12,$BQ306,""))</f>
        <v/>
      </c>
      <c r="CL306" s="139" t="str">
        <f aca="false">IF(ISBLANK($C306),"",IF($BR306&lt;&gt;Constants!$B$8,"",IF($BI306="-&gt;",2,1)))</f>
        <v/>
      </c>
      <c r="CM306" s="141" t="str">
        <f aca="false">IF(ISBLANK($C306),"",IF($BR306&lt;&gt;Constants!$B$8,"",IF($BI306="-&gt;",$BK306,$BC306)))</f>
        <v/>
      </c>
      <c r="CN306" s="141" t="str">
        <f aca="false">IF(ISBLANK($C306),"",IF($BR306&lt;&gt;Constants!$B$8,"",IF($BI306="-&gt;",$BL306,$BD306)))</f>
        <v/>
      </c>
      <c r="CO306" s="141" t="str">
        <f aca="false">IF(ISBLANK($C306),"",IF($BR306&lt;&gt;Constants!$B$8,"",IF($BI306="-&gt;",$BM306+$BN306,$BE306+$BF306)+$BV306))</f>
        <v/>
      </c>
      <c r="CP306" s="141" t="str">
        <f aca="false">IF(ISBLANK($C306),"",IF($BR306&lt;&gt;Constants!$B$8,"",IF($BI306="-&gt;",$BO306,$BG306)+$BU306))</f>
        <v/>
      </c>
      <c r="CQ306" s="142" t="str">
        <f aca="false">IF(ISBLANK($C306),"",IF($BR306&lt;&gt;Constants!$B$8,$BR306,$BW306))</f>
        <v/>
      </c>
      <c r="CR306" s="143" t="str">
        <f aca="false">IF(ISBLANK($C306),"",$BS306)</f>
        <v/>
      </c>
      <c r="CS306" s="144" t="str">
        <f aca="false">IF(ISBLANK($C306),"",$CH306)</f>
        <v/>
      </c>
      <c r="CT306" s="144" t="str">
        <f aca="false">IF(ISBLANK($C306),"",$CG306)</f>
        <v/>
      </c>
      <c r="CU306" s="145" t="str">
        <f aca="false">IF(ISBLANK($C306),"",IFERROR(_xlfn.SWITCH($CT306,Constants!$B$11,COUNTA($C$9:$C$508)+2,Constants!$B$10,COUNTA($C$9:$C$508)+1,Constants!$B$9,COUNTA($C$9:$C$508)),$CT306))</f>
        <v/>
      </c>
      <c r="CV306" s="9"/>
      <c r="CW306" s="146" t="n">
        <f aca="false">IF(OR(ISNUMBER($CT306),$CT306=Constants!$B$11,$CT306=Constants!$B$9,$CT306=Constants!$B$10),1,0)</f>
        <v>0</v>
      </c>
      <c r="CX306" s="146" t="n">
        <v>298</v>
      </c>
      <c r="CY306" s="146" t="str">
        <f aca="false">IF(ISBLANK($C306),"",IF(ISNUMBER($CU306),$CU306+ROW($B306)/1000,""))</f>
        <v/>
      </c>
      <c r="CZ306" s="146" t="str">
        <f aca="false">IF(ISNUMBER($CY306),RANK($CY306,$CY$9:$CY$508,1),"")</f>
        <v/>
      </c>
      <c r="DA306" s="146" t="str">
        <f aca="false">IF(ISBLANK($C306),"",$B306)</f>
        <v/>
      </c>
      <c r="DB306" s="146" t="str">
        <f aca="false">IF(ISBLANK($C306),"",$C306)</f>
        <v/>
      </c>
      <c r="DC306" s="146" t="str">
        <f aca="false">IF(ISBLANK($C306),"",$D306)</f>
        <v/>
      </c>
      <c r="DD306" s="147" t="str">
        <f aca="false">$CR306</f>
        <v/>
      </c>
      <c r="DE306" s="148" t="str">
        <f aca="false">$CQ306</f>
        <v/>
      </c>
      <c r="DF306" s="146" t="str">
        <f aca="false">IF(ISBLANK($C306),"",$CT306)</f>
        <v/>
      </c>
      <c r="DG306" s="149" t="str">
        <f aca="false">IF($CX306&gt;$CW$8,"",VLOOKUP($CX306,$CZ$9:$DF$508,7,FALSE()))</f>
        <v/>
      </c>
      <c r="DH306" s="150" t="str">
        <f aca="false">IF($CX306&gt;$CW$8,"",VLOOKUP($CX306,$CZ$9:$DF$508,2,FALSE()))</f>
        <v/>
      </c>
      <c r="DI306" s="150" t="str">
        <f aca="false">IF($CX306&gt;$CW$8,"",VLOOKUP($CX306,$CZ$9:$DF$508,3,FALSE()))</f>
        <v/>
      </c>
      <c r="DJ306" s="150" t="str">
        <f aca="false">IF($CX306&gt;$CW$8,"",VLOOKUP($CX306,$CZ$9:$DF$508,4,FALSE()))</f>
        <v/>
      </c>
      <c r="DK306" s="150" t="str">
        <f aca="false">IF($CX306&gt;$CW$8,"",VLOOKUP($CX306,$CZ$9:$DF$508,5,FALSE()))</f>
        <v/>
      </c>
      <c r="DL306" s="151" t="str">
        <f aca="false">IF($CX306&gt;$CW$8,"",VLOOKUP($CX306,$CZ$9:$DF$508,6,FALSE()))</f>
        <v/>
      </c>
      <c r="DM306" s="75"/>
    </row>
    <row r="307" customFormat="false" ht="15.75" hidden="false" customHeight="false" outlineLevel="0" collapsed="false">
      <c r="A307" s="9"/>
      <c r="B307" s="157"/>
      <c r="C307" s="158"/>
      <c r="D307" s="159"/>
      <c r="E307" s="177"/>
      <c r="F307" s="161"/>
      <c r="G307" s="162"/>
      <c r="H307" s="162"/>
      <c r="I307" s="178"/>
      <c r="J307" s="165"/>
      <c r="K307" s="126"/>
      <c r="L307" s="127"/>
      <c r="M307" s="128"/>
      <c r="N307" s="165"/>
      <c r="O307" s="165"/>
      <c r="P307" s="177"/>
      <c r="Q307" s="165"/>
      <c r="R307" s="165"/>
      <c r="S307" s="126"/>
      <c r="T307" s="128"/>
      <c r="U307" s="128"/>
      <c r="V307" s="165"/>
      <c r="W307" s="165"/>
      <c r="X307" s="177"/>
      <c r="Y307" s="165"/>
      <c r="Z307" s="166"/>
      <c r="AA307" s="165"/>
      <c r="AB307" s="132"/>
      <c r="AC307" s="133"/>
      <c r="AD307" s="133"/>
      <c r="AE307" s="133"/>
      <c r="AF307" s="133" t="str">
        <f aca="false">IF(ISBLANK($C307),"",IF(E307=Constants!$B$3,TRUE(),IF(E307=Constants!$B$4,FALSE(),TRUE())))</f>
        <v/>
      </c>
      <c r="AG307" s="133" t="str">
        <f aca="false">IF(ISBLANK($C307),"",IF(F307=Constants!$B$3,TRUE(),IF(F307=Constants!$B$4,FALSE(),TRUE())))</f>
        <v/>
      </c>
      <c r="AH307" s="133" t="str">
        <f aca="false">IF(ISBLANK($C307),"",IF(G307=Constants!$B$3,TRUE(),IF(G307=Constants!$B$4,FALSE(),TRUE())))</f>
        <v/>
      </c>
      <c r="AI307" s="133" t="str">
        <f aca="false">IF(ISBLANK($C307),"",IF(AND(ISNUMBER(H307),H307&gt;=0),H307,Constants!$B$29))</f>
        <v/>
      </c>
      <c r="AJ307" s="133" t="str">
        <f aca="false">IF(ISBLANK($C307),"",IF(I307=Constants!$B$3,TRUE(),IF(I307=Constants!$B$4,FALSE(),TRUE())))</f>
        <v/>
      </c>
      <c r="AK307" s="133" t="str">
        <f aca="false">IF(ISBLANK($C307),"",IF(J307=Constants!$B$3,TRUE(),IF(J307=Constants!$B$4,FALSE(),TRUE())))</f>
        <v/>
      </c>
      <c r="AL307" s="133" t="str">
        <f aca="false">IF(ISBLANK($C307),"",IF(K307=Constants!$B$5,TRUE(),IF(K307=Constants!$B$6,FALSE(),COUNTA(L307:P307)&gt;0)))</f>
        <v/>
      </c>
      <c r="AM307" s="134" t="str">
        <f aca="false">IF(ISBLANK($C307),"",IF(ISNUMBER(L307),IF(L307&gt;=0,L307,""),""))</f>
        <v/>
      </c>
      <c r="AN307" s="135" t="str">
        <f aca="false">IF(ISBLANK($C307),"",IF(ISNUMBER(M307),IF(M307&gt;=0,M307,""),""))</f>
        <v/>
      </c>
      <c r="AO307" s="135" t="str">
        <f aca="false">IF(ISBLANK($C307),"",IF(N307=Constants!$B$3,TRUE(),IF(N307=Constants!$B$4,FALSE(),TRUE())))</f>
        <v/>
      </c>
      <c r="AP307" s="133" t="str">
        <f aca="false">IF(ISBLANK($C307),"",IF(ISNUMBER(O307),IF(O307&gt;=0,O307,""),""))</f>
        <v/>
      </c>
      <c r="AQ307" s="133" t="str">
        <f aca="false">IF(ISBLANK($C307),"",IF(P307=Constants!$B$3,TRUE(),IF(P307=Constants!$B$4,FALSE(),FALSE())))</f>
        <v/>
      </c>
      <c r="AR307" s="133" t="str">
        <f aca="false">IF(ISBLANK($C307),"",IF(Q307=Constants!$B$3,TRUE(),IF(Q307=Constants!$B$4,FALSE(),TRUE())))</f>
        <v/>
      </c>
      <c r="AS307" s="133" t="str">
        <f aca="false">IF(ISBLANK($C307),"",IF(R307=Constants!$B$3,TRUE(),IF(R307=Constants!$B$4,FALSE(),TRUE())))</f>
        <v/>
      </c>
      <c r="AT307" s="133" t="str">
        <f aca="false">IF(ISBLANK($C307),"",IF(S307=Constants!$B$5,TRUE(),IF(S307=Constants!$B$6,FALSE(),COUNTA(T307:X307)&gt;0)))</f>
        <v/>
      </c>
      <c r="AU307" s="134" t="str">
        <f aca="false">IF(ISBLANK($C307),"",IF(ISNUMBER(T307),IF(T307&gt;=0,T307,""),""))</f>
        <v/>
      </c>
      <c r="AV307" s="135" t="str">
        <f aca="false">IF(ISBLANK($C307),"",IF(ISNUMBER(U307),IF(U307&gt;=0,U307,""),""))</f>
        <v/>
      </c>
      <c r="AW307" s="135" t="str">
        <f aca="false">IF(ISBLANK($C307),"",IF(V307=Constants!$B$3,TRUE(),IF(V307=Constants!$B$4,FALSE(),TRUE())))</f>
        <v/>
      </c>
      <c r="AX307" s="133" t="str">
        <f aca="false">IF(ISBLANK($C307),"",IF(ISNUMBER(W307),IF(W307&gt;=0,W307,""),""))</f>
        <v/>
      </c>
      <c r="AY307" s="133" t="str">
        <f aca="false">IF(ISBLANK($C307),"",IF(X307=Constants!$B$3,TRUE(),IF(X307=Constants!$B$4,FALSE(),FALSE())))</f>
        <v/>
      </c>
      <c r="AZ307" s="133" t="str">
        <f aca="false">IF(ISBLANK($C307),"",MIN(Constants!$B$31,MAX(0,IF(ISNUMBER(Y307),Y307*60,0)+IF(ISNUMBER(Z307),Z307,0))))</f>
        <v/>
      </c>
      <c r="BA307" s="133" t="str">
        <f aca="false">IF(ISBLANK($C307),"",IF(AA307=Constants!$B$3,TRUE(),IF(AA307=Constants!$B$4,FALSE(),FALSE())))</f>
        <v/>
      </c>
      <c r="BB307" s="132" t="str">
        <f aca="false">IF(ISBLANK($C307),"",AND($AL307,OR($AM307="",$AN307="",AND($AO307,$AP307=""))))</f>
        <v/>
      </c>
      <c r="BC307" s="135" t="str">
        <f aca="false">IF($BR307&lt;&gt;Constants!$B$8,"",IF($AL307,Constants!$B$21*$AN307+Constants!$B$22*IF($AO307,$AP307,Constants!$B$23),Constants!$B$24))</f>
        <v/>
      </c>
      <c r="BD307" s="136" t="str">
        <f aca="false">IF($BR307&lt;&gt;Constants!$B$8,"",Constants!$B$25*ABS($AD$9-IF($AL307,$AM307,0)))</f>
        <v/>
      </c>
      <c r="BE307" s="136" t="str">
        <f aca="false">IF($BR307&lt;&gt;Constants!$B$8,"",IF(AND($AL307,$AQ307,$AO307),Constants!$B$27,0))</f>
        <v/>
      </c>
      <c r="BF307" s="136" t="str">
        <f aca="false">IF($BR307&lt;&gt;Constants!$B$8,"",IF($AL307,($AI307-Constants!$B$29)*Constants!$B$28,0))</f>
        <v/>
      </c>
      <c r="BG307" s="136" t="str">
        <f aca="false">IF($BR307&lt;&gt;Constants!$B$8,"",IF($AK307,0,Constants!$B$15)+IF($AJ307,0,Constants!$B$16)+IF($AH307,0,Constants!$B$17))</f>
        <v/>
      </c>
      <c r="BH307" s="137" t="str">
        <f aca="false">IF($BR307&lt;&gt;Constants!$B$8,"",Constants!$B$20+SUM($BC307:$BG307))</f>
        <v/>
      </c>
      <c r="BI307" s="133" t="str">
        <f aca="false">IF($BR307&lt;&gt;Constants!$B$8,"",IF(OR($BP307&lt;$BH307,AND($BP307=$BH307,OR($BK307&lt;$BC307,AND($BK307=$BC307,OR($BL307&lt;$BD307,AND($BL307=$BD307,$AT307,$AL307,$AV307&lt;$AN307)))))),"-&gt;","&lt;-"))</f>
        <v/>
      </c>
      <c r="BJ307" s="132" t="str">
        <f aca="false">IF(ISBLANK($C307),"",AND($AT307,OR($AU307="",$AV307="",AND($AW307,$AX307=""))))</f>
        <v/>
      </c>
      <c r="BK307" s="135" t="str">
        <f aca="false">IF($BR307&lt;&gt;Constants!$B$8,"",IF($AT307,Constants!$B$21*$AV307+Constants!$B$22*IF($AW307,$AX307,Constants!$B$23),Constants!$B$24))</f>
        <v/>
      </c>
      <c r="BL307" s="136" t="str">
        <f aca="false">IF($BR307&lt;&gt;Constants!$B$8,"",Constants!$B$25*ABS($AD$9-IF($AT307,$AU307,0)))</f>
        <v/>
      </c>
      <c r="BM307" s="136" t="str">
        <f aca="false">IF($BR307&lt;&gt;Constants!$B$8,"",IF(AND($AT307,$AY307,$AW307),Constants!$B$27,0))</f>
        <v/>
      </c>
      <c r="BN307" s="136" t="str">
        <f aca="false">IF($BR307&lt;&gt;Constants!$B$8,"",IF($AT307,($AI307-Constants!$B$29)*Constants!$B$28,0))</f>
        <v/>
      </c>
      <c r="BO307" s="136" t="str">
        <f aca="false">IF($BR307&lt;&gt;Constants!$B$8,"",IF($AS307,0,Constants!$B$15)+IF($AR307,0,Constants!$B$16)+IF($AH307,0,Constants!$B$17))</f>
        <v/>
      </c>
      <c r="BP307" s="137" t="str">
        <f aca="false">IF($BR307&lt;&gt;Constants!$B$8,"",Constants!$B$20+SUM($BK307:$BO307))</f>
        <v/>
      </c>
      <c r="BQ307" s="133" t="str">
        <f aca="false">IF(ISBLANK($C307),"",IF(ISBLANK($D$7),$BQ$5,IF(NOT(ISNUMBER($D$7)),$BQ$6,"")))</f>
        <v/>
      </c>
      <c r="BR307" s="133" t="str">
        <f aca="false">IF(ISBLANK($C307),"",IF($BA307,Constants!$B$11,IF(COUNTA($E307:$AA307)=0,Constants!$B$10,IF(NOT($AG307),Constants!$B$9,IF(OR($BQ307&lt;&gt;"",$BB307,$BJ307),Constants!$B$12,Constants!$B$8)))))</f>
        <v/>
      </c>
      <c r="BS307" s="133" t="str">
        <f aca="false">IF(ISBLANK($C307),"",IF($BR307&lt;&gt;Constants!$B$8,$BR307,Constants!$B$13))</f>
        <v/>
      </c>
      <c r="BT307" s="136" t="str">
        <f aca="false">IF($BR307&lt;&gt;Constants!$B$8,"",IF($BI307="-&gt;",$BP307,$BH307))</f>
        <v/>
      </c>
      <c r="BU307" s="136" t="str">
        <f aca="false">IF($BR307&lt;&gt;Constants!$B$8,"",IF($AF307,0,Constants!$B$18))</f>
        <v/>
      </c>
      <c r="BV307" s="136" t="str">
        <f aca="false">IF($BR307&lt;&gt;Constants!$B$8,"",((Constants!$B$31-$AZ307)-Constants!$B$31)/Constants!$B$32)</f>
        <v/>
      </c>
      <c r="BW307" s="136" t="str">
        <f aca="false">IF(ISBLANK($C307),"",IF($BR307&lt;&gt;Constants!$B$8,$BR307,SUM($BT307:$BV307)))</f>
        <v/>
      </c>
      <c r="BX307" s="133" t="str">
        <f aca="false">IF(ISBLANK($C307),"",IF($BR307&lt;&gt;Constants!$B$8,$BR307,RANK($BW307,$BW$9:$BW$508,1)))</f>
        <v/>
      </c>
      <c r="BY307" s="136" t="str">
        <f aca="false">IF($BR307&lt;&gt;Constants!$B$8,"",IF($BI307="-&gt;",$BK307,$BC307))</f>
        <v/>
      </c>
      <c r="BZ307" s="133" t="str">
        <f aca="false">IF(ISBLANK($C307),"",IF($BR307&lt;&gt;Constants!$B$8,$BR307,IF(ISNUMBER($BY307),RANK($BY307,$BY$9:$BY$508,1),COUNT($BY$9:$BY$508)+1)))</f>
        <v/>
      </c>
      <c r="CA307" s="136" t="str">
        <f aca="false">IF($BR307&lt;&gt;Constants!$B$8,"",IF($BI307="-&gt;",$BL307,$BD307))</f>
        <v/>
      </c>
      <c r="CB307" s="133" t="str">
        <f aca="false">IF(ISBLANK($C307),"",IF($BR307&lt;&gt;Constants!$B$8,$BR307,IF(ISNUMBER($CA307),RANK($CA307,$CA$9:$CA$508,1),COUNT($CA$9:$CA$508)+1)))</f>
        <v/>
      </c>
      <c r="CC307" s="136" t="str">
        <f aca="false">IF($BR307&lt;&gt;Constants!$B$8,"",IF($BI307="-&gt;",IF($AT307,$AV307,""),IF($AL307,$AN307,"")))</f>
        <v/>
      </c>
      <c r="CD307" s="133" t="str">
        <f aca="false">IF(ISBLANK($C307),"",IF($BR307&lt;&gt;Constants!$B$8,$BR307,IF(ISNUMBER($CC307),RANK($CC307,$CC$9:$CC$508,1),COUNT($CC$9:$CC$508)+1)))</f>
        <v/>
      </c>
      <c r="CE307" s="136" t="str">
        <f aca="false">IF($BR307&lt;&gt;Constants!$B$8,"",IF(AND(NOT($AL307),NOT($AT307),$AJ307,$AK307,$AR307,$AS307),"",$AI307))</f>
        <v/>
      </c>
      <c r="CF307" s="133" t="str">
        <f aca="false">IF(ISBLANK($C307),"",IF($BR307&lt;&gt;Constants!$B$8,$BR307,IF(ISNUMBER($CE307),RANK($CE307,$CE$9:$CE$508,1),COUNT($CE$9:$CE$508)+1)))</f>
        <v/>
      </c>
      <c r="CG307" s="133" t="str">
        <f aca="false">IF(ISBLANK($C307),"",IF($BR307&lt;&gt;Constants!$B$8,$BR307,COUNTIFS($BX$9:$BX$508,"&lt;"&amp;$BX307)+COUNTIFS($BX$9:$BX$508,$BX307,$BZ$9:$BZ$508,"&lt;"&amp;$BZ307)+COUNTIFS($BX$9:$BX$508,$BX307,$BZ$9:$BZ$508,$BZ307,$CB$9:$CB$508,"&lt;"&amp;$CB307)+COUNTIFS($BX$9:$BX$508,$BX307,$BZ$9:$BZ$508,$BZ307,$CB$9:$CB$508,$CB307,$CD$9:$CD$508,"&lt;"&amp;$CD307)+COUNTIFS($BX$9:$BX$508,$BX307,$BZ$9:$BZ$508,$BZ307,$CB$9:$CB$508,$CB307,$CD$9:$CD$508,$CD307,$CF$9:$CF$508,"&lt;"&amp;$CF307)+1))</f>
        <v/>
      </c>
      <c r="CH307" s="133" t="str">
        <f aca="false">IF(ISBLANK($C307),"",IF($BR307&lt;&gt;Constants!$B$8,$BR307,$BX307-$CG307))</f>
        <v/>
      </c>
      <c r="CI307" s="138"/>
      <c r="CJ307" s="139"/>
      <c r="CK307" s="140" t="str">
        <f aca="false">IF(ISBLANK($C307),"",IF($BR307=Constants!$B$12,$BQ307,""))</f>
        <v/>
      </c>
      <c r="CL307" s="139" t="str">
        <f aca="false">IF(ISBLANK($C307),"",IF($BR307&lt;&gt;Constants!$B$8,"",IF($BI307="-&gt;",2,1)))</f>
        <v/>
      </c>
      <c r="CM307" s="141" t="str">
        <f aca="false">IF(ISBLANK($C307),"",IF($BR307&lt;&gt;Constants!$B$8,"",IF($BI307="-&gt;",$BK307,$BC307)))</f>
        <v/>
      </c>
      <c r="CN307" s="141" t="str">
        <f aca="false">IF(ISBLANK($C307),"",IF($BR307&lt;&gt;Constants!$B$8,"",IF($BI307="-&gt;",$BL307,$BD307)))</f>
        <v/>
      </c>
      <c r="CO307" s="141" t="str">
        <f aca="false">IF(ISBLANK($C307),"",IF($BR307&lt;&gt;Constants!$B$8,"",IF($BI307="-&gt;",$BM307+$BN307,$BE307+$BF307)+$BV307))</f>
        <v/>
      </c>
      <c r="CP307" s="141" t="str">
        <f aca="false">IF(ISBLANK($C307),"",IF($BR307&lt;&gt;Constants!$B$8,"",IF($BI307="-&gt;",$BO307,$BG307)+$BU307))</f>
        <v/>
      </c>
      <c r="CQ307" s="142" t="str">
        <f aca="false">IF(ISBLANK($C307),"",IF($BR307&lt;&gt;Constants!$B$8,$BR307,$BW307))</f>
        <v/>
      </c>
      <c r="CR307" s="143" t="str">
        <f aca="false">IF(ISBLANK($C307),"",$BS307)</f>
        <v/>
      </c>
      <c r="CS307" s="144" t="str">
        <f aca="false">IF(ISBLANK($C307),"",$CH307)</f>
        <v/>
      </c>
      <c r="CT307" s="144" t="str">
        <f aca="false">IF(ISBLANK($C307),"",$CG307)</f>
        <v/>
      </c>
      <c r="CU307" s="145" t="str">
        <f aca="false">IF(ISBLANK($C307),"",IFERROR(_xlfn.SWITCH($CT307,Constants!$B$11,COUNTA($C$9:$C$508)+2,Constants!$B$10,COUNTA($C$9:$C$508)+1,Constants!$B$9,COUNTA($C$9:$C$508)),$CT307))</f>
        <v/>
      </c>
      <c r="CV307" s="9"/>
      <c r="CW307" s="146" t="n">
        <f aca="false">IF(OR(ISNUMBER($CT307),$CT307=Constants!$B$11,$CT307=Constants!$B$9,$CT307=Constants!$B$10),1,0)</f>
        <v>0</v>
      </c>
      <c r="CX307" s="146" t="n">
        <v>299</v>
      </c>
      <c r="CY307" s="146" t="str">
        <f aca="false">IF(ISBLANK($C307),"",IF(ISNUMBER($CU307),$CU307+ROW($B307)/1000,""))</f>
        <v/>
      </c>
      <c r="CZ307" s="146" t="str">
        <f aca="false">IF(ISNUMBER($CY307),RANK($CY307,$CY$9:$CY$508,1),"")</f>
        <v/>
      </c>
      <c r="DA307" s="146" t="str">
        <f aca="false">IF(ISBLANK($C307),"",$B307)</f>
        <v/>
      </c>
      <c r="DB307" s="146" t="str">
        <f aca="false">IF(ISBLANK($C307),"",$C307)</f>
        <v/>
      </c>
      <c r="DC307" s="146" t="str">
        <f aca="false">IF(ISBLANK($C307),"",$D307)</f>
        <v/>
      </c>
      <c r="DD307" s="147" t="str">
        <f aca="false">$CR307</f>
        <v/>
      </c>
      <c r="DE307" s="148" t="str">
        <f aca="false">$CQ307</f>
        <v/>
      </c>
      <c r="DF307" s="146" t="str">
        <f aca="false">IF(ISBLANK($C307),"",$CT307)</f>
        <v/>
      </c>
      <c r="DG307" s="149" t="str">
        <f aca="false">IF($CX307&gt;$CW$8,"",VLOOKUP($CX307,$CZ$9:$DF$508,7,FALSE()))</f>
        <v/>
      </c>
      <c r="DH307" s="150" t="str">
        <f aca="false">IF($CX307&gt;$CW$8,"",VLOOKUP($CX307,$CZ$9:$DF$508,2,FALSE()))</f>
        <v/>
      </c>
      <c r="DI307" s="150" t="str">
        <f aca="false">IF($CX307&gt;$CW$8,"",VLOOKUP($CX307,$CZ$9:$DF$508,3,FALSE()))</f>
        <v/>
      </c>
      <c r="DJ307" s="150" t="str">
        <f aca="false">IF($CX307&gt;$CW$8,"",VLOOKUP($CX307,$CZ$9:$DF$508,4,FALSE()))</f>
        <v/>
      </c>
      <c r="DK307" s="150" t="str">
        <f aca="false">IF($CX307&gt;$CW$8,"",VLOOKUP($CX307,$CZ$9:$DF$508,5,FALSE()))</f>
        <v/>
      </c>
      <c r="DL307" s="151" t="str">
        <f aca="false">IF($CX307&gt;$CW$8,"",VLOOKUP($CX307,$CZ$9:$DF$508,6,FALSE()))</f>
        <v/>
      </c>
      <c r="DM307" s="75"/>
    </row>
    <row r="308" customFormat="false" ht="15.75" hidden="false" customHeight="false" outlineLevel="0" collapsed="false">
      <c r="A308" s="9"/>
      <c r="B308" s="157"/>
      <c r="C308" s="158"/>
      <c r="D308" s="159"/>
      <c r="E308" s="177"/>
      <c r="F308" s="161"/>
      <c r="G308" s="162"/>
      <c r="H308" s="162"/>
      <c r="I308" s="178"/>
      <c r="J308" s="165"/>
      <c r="K308" s="126"/>
      <c r="L308" s="127"/>
      <c r="M308" s="128"/>
      <c r="N308" s="165"/>
      <c r="O308" s="165"/>
      <c r="P308" s="177"/>
      <c r="Q308" s="165"/>
      <c r="R308" s="165"/>
      <c r="S308" s="126"/>
      <c r="T308" s="128"/>
      <c r="U308" s="128"/>
      <c r="V308" s="165"/>
      <c r="W308" s="165"/>
      <c r="X308" s="177"/>
      <c r="Y308" s="165"/>
      <c r="Z308" s="166"/>
      <c r="AA308" s="165"/>
      <c r="AB308" s="132"/>
      <c r="AC308" s="133"/>
      <c r="AD308" s="133"/>
      <c r="AE308" s="133"/>
      <c r="AF308" s="133" t="str">
        <f aca="false">IF(ISBLANK($C308),"",IF(E308=Constants!$B$3,TRUE(),IF(E308=Constants!$B$4,FALSE(),TRUE())))</f>
        <v/>
      </c>
      <c r="AG308" s="133" t="str">
        <f aca="false">IF(ISBLANK($C308),"",IF(F308=Constants!$B$3,TRUE(),IF(F308=Constants!$B$4,FALSE(),TRUE())))</f>
        <v/>
      </c>
      <c r="AH308" s="133" t="str">
        <f aca="false">IF(ISBLANK($C308),"",IF(G308=Constants!$B$3,TRUE(),IF(G308=Constants!$B$4,FALSE(),TRUE())))</f>
        <v/>
      </c>
      <c r="AI308" s="133" t="str">
        <f aca="false">IF(ISBLANK($C308),"",IF(AND(ISNUMBER(H308),H308&gt;=0),H308,Constants!$B$29))</f>
        <v/>
      </c>
      <c r="AJ308" s="133" t="str">
        <f aca="false">IF(ISBLANK($C308),"",IF(I308=Constants!$B$3,TRUE(),IF(I308=Constants!$B$4,FALSE(),TRUE())))</f>
        <v/>
      </c>
      <c r="AK308" s="133" t="str">
        <f aca="false">IF(ISBLANK($C308),"",IF(J308=Constants!$B$3,TRUE(),IF(J308=Constants!$B$4,FALSE(),TRUE())))</f>
        <v/>
      </c>
      <c r="AL308" s="133" t="str">
        <f aca="false">IF(ISBLANK($C308),"",IF(K308=Constants!$B$5,TRUE(),IF(K308=Constants!$B$6,FALSE(),COUNTA(L308:P308)&gt;0)))</f>
        <v/>
      </c>
      <c r="AM308" s="134" t="str">
        <f aca="false">IF(ISBLANK($C308),"",IF(ISNUMBER(L308),IF(L308&gt;=0,L308,""),""))</f>
        <v/>
      </c>
      <c r="AN308" s="135" t="str">
        <f aca="false">IF(ISBLANK($C308),"",IF(ISNUMBER(M308),IF(M308&gt;=0,M308,""),""))</f>
        <v/>
      </c>
      <c r="AO308" s="135" t="str">
        <f aca="false">IF(ISBLANK($C308),"",IF(N308=Constants!$B$3,TRUE(),IF(N308=Constants!$B$4,FALSE(),TRUE())))</f>
        <v/>
      </c>
      <c r="AP308" s="133" t="str">
        <f aca="false">IF(ISBLANK($C308),"",IF(ISNUMBER(O308),IF(O308&gt;=0,O308,""),""))</f>
        <v/>
      </c>
      <c r="AQ308" s="133" t="str">
        <f aca="false">IF(ISBLANK($C308),"",IF(P308=Constants!$B$3,TRUE(),IF(P308=Constants!$B$4,FALSE(),FALSE())))</f>
        <v/>
      </c>
      <c r="AR308" s="133" t="str">
        <f aca="false">IF(ISBLANK($C308),"",IF(Q308=Constants!$B$3,TRUE(),IF(Q308=Constants!$B$4,FALSE(),TRUE())))</f>
        <v/>
      </c>
      <c r="AS308" s="133" t="str">
        <f aca="false">IF(ISBLANK($C308),"",IF(R308=Constants!$B$3,TRUE(),IF(R308=Constants!$B$4,FALSE(),TRUE())))</f>
        <v/>
      </c>
      <c r="AT308" s="133" t="str">
        <f aca="false">IF(ISBLANK($C308),"",IF(S308=Constants!$B$5,TRUE(),IF(S308=Constants!$B$6,FALSE(),COUNTA(T308:X308)&gt;0)))</f>
        <v/>
      </c>
      <c r="AU308" s="134" t="str">
        <f aca="false">IF(ISBLANK($C308),"",IF(ISNUMBER(T308),IF(T308&gt;=0,T308,""),""))</f>
        <v/>
      </c>
      <c r="AV308" s="135" t="str">
        <f aca="false">IF(ISBLANK($C308),"",IF(ISNUMBER(U308),IF(U308&gt;=0,U308,""),""))</f>
        <v/>
      </c>
      <c r="AW308" s="135" t="str">
        <f aca="false">IF(ISBLANK($C308),"",IF(V308=Constants!$B$3,TRUE(),IF(V308=Constants!$B$4,FALSE(),TRUE())))</f>
        <v/>
      </c>
      <c r="AX308" s="133" t="str">
        <f aca="false">IF(ISBLANK($C308),"",IF(ISNUMBER(W308),IF(W308&gt;=0,W308,""),""))</f>
        <v/>
      </c>
      <c r="AY308" s="133" t="str">
        <f aca="false">IF(ISBLANK($C308),"",IF(X308=Constants!$B$3,TRUE(),IF(X308=Constants!$B$4,FALSE(),FALSE())))</f>
        <v/>
      </c>
      <c r="AZ308" s="133" t="str">
        <f aca="false">IF(ISBLANK($C308),"",MIN(Constants!$B$31,MAX(0,IF(ISNUMBER(Y308),Y308*60,0)+IF(ISNUMBER(Z308),Z308,0))))</f>
        <v/>
      </c>
      <c r="BA308" s="133" t="str">
        <f aca="false">IF(ISBLANK($C308),"",IF(AA308=Constants!$B$3,TRUE(),IF(AA308=Constants!$B$4,FALSE(),FALSE())))</f>
        <v/>
      </c>
      <c r="BB308" s="132" t="str">
        <f aca="false">IF(ISBLANK($C308),"",AND($AL308,OR($AM308="",$AN308="",AND($AO308,$AP308=""))))</f>
        <v/>
      </c>
      <c r="BC308" s="135" t="str">
        <f aca="false">IF($BR308&lt;&gt;Constants!$B$8,"",IF($AL308,Constants!$B$21*$AN308+Constants!$B$22*IF($AO308,$AP308,Constants!$B$23),Constants!$B$24))</f>
        <v/>
      </c>
      <c r="BD308" s="136" t="str">
        <f aca="false">IF($BR308&lt;&gt;Constants!$B$8,"",Constants!$B$25*ABS($AD$9-IF($AL308,$AM308,0)))</f>
        <v/>
      </c>
      <c r="BE308" s="136" t="str">
        <f aca="false">IF($BR308&lt;&gt;Constants!$B$8,"",IF(AND($AL308,$AQ308,$AO308),Constants!$B$27,0))</f>
        <v/>
      </c>
      <c r="BF308" s="136" t="str">
        <f aca="false">IF($BR308&lt;&gt;Constants!$B$8,"",IF($AL308,($AI308-Constants!$B$29)*Constants!$B$28,0))</f>
        <v/>
      </c>
      <c r="BG308" s="136" t="str">
        <f aca="false">IF($BR308&lt;&gt;Constants!$B$8,"",IF($AK308,0,Constants!$B$15)+IF($AJ308,0,Constants!$B$16)+IF($AH308,0,Constants!$B$17))</f>
        <v/>
      </c>
      <c r="BH308" s="137" t="str">
        <f aca="false">IF($BR308&lt;&gt;Constants!$B$8,"",Constants!$B$20+SUM($BC308:$BG308))</f>
        <v/>
      </c>
      <c r="BI308" s="133" t="str">
        <f aca="false">IF($BR308&lt;&gt;Constants!$B$8,"",IF(OR($BP308&lt;$BH308,AND($BP308=$BH308,OR($BK308&lt;$BC308,AND($BK308=$BC308,OR($BL308&lt;$BD308,AND($BL308=$BD308,$AT308,$AL308,$AV308&lt;$AN308)))))),"-&gt;","&lt;-"))</f>
        <v/>
      </c>
      <c r="BJ308" s="132" t="str">
        <f aca="false">IF(ISBLANK($C308),"",AND($AT308,OR($AU308="",$AV308="",AND($AW308,$AX308=""))))</f>
        <v/>
      </c>
      <c r="BK308" s="135" t="str">
        <f aca="false">IF($BR308&lt;&gt;Constants!$B$8,"",IF($AT308,Constants!$B$21*$AV308+Constants!$B$22*IF($AW308,$AX308,Constants!$B$23),Constants!$B$24))</f>
        <v/>
      </c>
      <c r="BL308" s="136" t="str">
        <f aca="false">IF($BR308&lt;&gt;Constants!$B$8,"",Constants!$B$25*ABS($AD$9-IF($AT308,$AU308,0)))</f>
        <v/>
      </c>
      <c r="BM308" s="136" t="str">
        <f aca="false">IF($BR308&lt;&gt;Constants!$B$8,"",IF(AND($AT308,$AY308,$AW308),Constants!$B$27,0))</f>
        <v/>
      </c>
      <c r="BN308" s="136" t="str">
        <f aca="false">IF($BR308&lt;&gt;Constants!$B$8,"",IF($AT308,($AI308-Constants!$B$29)*Constants!$B$28,0))</f>
        <v/>
      </c>
      <c r="BO308" s="136" t="str">
        <f aca="false">IF($BR308&lt;&gt;Constants!$B$8,"",IF($AS308,0,Constants!$B$15)+IF($AR308,0,Constants!$B$16)+IF($AH308,0,Constants!$B$17))</f>
        <v/>
      </c>
      <c r="BP308" s="137" t="str">
        <f aca="false">IF($BR308&lt;&gt;Constants!$B$8,"",Constants!$B$20+SUM($BK308:$BO308))</f>
        <v/>
      </c>
      <c r="BQ308" s="133" t="str">
        <f aca="false">IF(ISBLANK($C308),"",IF(ISBLANK($D$7),$BQ$5,IF(NOT(ISNUMBER($D$7)),$BQ$6,"")))</f>
        <v/>
      </c>
      <c r="BR308" s="133" t="str">
        <f aca="false">IF(ISBLANK($C308),"",IF($BA308,Constants!$B$11,IF(COUNTA($E308:$AA308)=0,Constants!$B$10,IF(NOT($AG308),Constants!$B$9,IF(OR($BQ308&lt;&gt;"",$BB308,$BJ308),Constants!$B$12,Constants!$B$8)))))</f>
        <v/>
      </c>
      <c r="BS308" s="133" t="str">
        <f aca="false">IF(ISBLANK($C308),"",IF($BR308&lt;&gt;Constants!$B$8,$BR308,Constants!$B$13))</f>
        <v/>
      </c>
      <c r="BT308" s="136" t="str">
        <f aca="false">IF($BR308&lt;&gt;Constants!$B$8,"",IF($BI308="-&gt;",$BP308,$BH308))</f>
        <v/>
      </c>
      <c r="BU308" s="136" t="str">
        <f aca="false">IF($BR308&lt;&gt;Constants!$B$8,"",IF($AF308,0,Constants!$B$18))</f>
        <v/>
      </c>
      <c r="BV308" s="136" t="str">
        <f aca="false">IF($BR308&lt;&gt;Constants!$B$8,"",((Constants!$B$31-$AZ308)-Constants!$B$31)/Constants!$B$32)</f>
        <v/>
      </c>
      <c r="BW308" s="136" t="str">
        <f aca="false">IF(ISBLANK($C308),"",IF($BR308&lt;&gt;Constants!$B$8,$BR308,SUM($BT308:$BV308)))</f>
        <v/>
      </c>
      <c r="BX308" s="133" t="str">
        <f aca="false">IF(ISBLANK($C308),"",IF($BR308&lt;&gt;Constants!$B$8,$BR308,RANK($BW308,$BW$9:$BW$508,1)))</f>
        <v/>
      </c>
      <c r="BY308" s="136" t="str">
        <f aca="false">IF($BR308&lt;&gt;Constants!$B$8,"",IF($BI308="-&gt;",$BK308,$BC308))</f>
        <v/>
      </c>
      <c r="BZ308" s="133" t="str">
        <f aca="false">IF(ISBLANK($C308),"",IF($BR308&lt;&gt;Constants!$B$8,$BR308,IF(ISNUMBER($BY308),RANK($BY308,$BY$9:$BY$508,1),COUNT($BY$9:$BY$508)+1)))</f>
        <v/>
      </c>
      <c r="CA308" s="136" t="str">
        <f aca="false">IF($BR308&lt;&gt;Constants!$B$8,"",IF($BI308="-&gt;",$BL308,$BD308))</f>
        <v/>
      </c>
      <c r="CB308" s="133" t="str">
        <f aca="false">IF(ISBLANK($C308),"",IF($BR308&lt;&gt;Constants!$B$8,$BR308,IF(ISNUMBER($CA308),RANK($CA308,$CA$9:$CA$508,1),COUNT($CA$9:$CA$508)+1)))</f>
        <v/>
      </c>
      <c r="CC308" s="136" t="str">
        <f aca="false">IF($BR308&lt;&gt;Constants!$B$8,"",IF($BI308="-&gt;",IF($AT308,$AV308,""),IF($AL308,$AN308,"")))</f>
        <v/>
      </c>
      <c r="CD308" s="133" t="str">
        <f aca="false">IF(ISBLANK($C308),"",IF($BR308&lt;&gt;Constants!$B$8,$BR308,IF(ISNUMBER($CC308),RANK($CC308,$CC$9:$CC$508,1),COUNT($CC$9:$CC$508)+1)))</f>
        <v/>
      </c>
      <c r="CE308" s="136" t="str">
        <f aca="false">IF($BR308&lt;&gt;Constants!$B$8,"",IF(AND(NOT($AL308),NOT($AT308),$AJ308,$AK308,$AR308,$AS308),"",$AI308))</f>
        <v/>
      </c>
      <c r="CF308" s="133" t="str">
        <f aca="false">IF(ISBLANK($C308),"",IF($BR308&lt;&gt;Constants!$B$8,$BR308,IF(ISNUMBER($CE308),RANK($CE308,$CE$9:$CE$508,1),COUNT($CE$9:$CE$508)+1)))</f>
        <v/>
      </c>
      <c r="CG308" s="133" t="str">
        <f aca="false">IF(ISBLANK($C308),"",IF($BR308&lt;&gt;Constants!$B$8,$BR308,COUNTIFS($BX$9:$BX$508,"&lt;"&amp;$BX308)+COUNTIFS($BX$9:$BX$508,$BX308,$BZ$9:$BZ$508,"&lt;"&amp;$BZ308)+COUNTIFS($BX$9:$BX$508,$BX308,$BZ$9:$BZ$508,$BZ308,$CB$9:$CB$508,"&lt;"&amp;$CB308)+COUNTIFS($BX$9:$BX$508,$BX308,$BZ$9:$BZ$508,$BZ308,$CB$9:$CB$508,$CB308,$CD$9:$CD$508,"&lt;"&amp;$CD308)+COUNTIFS($BX$9:$BX$508,$BX308,$BZ$9:$BZ$508,$BZ308,$CB$9:$CB$508,$CB308,$CD$9:$CD$508,$CD308,$CF$9:$CF$508,"&lt;"&amp;$CF308)+1))</f>
        <v/>
      </c>
      <c r="CH308" s="133" t="str">
        <f aca="false">IF(ISBLANK($C308),"",IF($BR308&lt;&gt;Constants!$B$8,$BR308,$BX308-$CG308))</f>
        <v/>
      </c>
      <c r="CI308" s="138"/>
      <c r="CJ308" s="139"/>
      <c r="CK308" s="140" t="str">
        <f aca="false">IF(ISBLANK($C308),"",IF($BR308=Constants!$B$12,$BQ308,""))</f>
        <v/>
      </c>
      <c r="CL308" s="139" t="str">
        <f aca="false">IF(ISBLANK($C308),"",IF($BR308&lt;&gt;Constants!$B$8,"",IF($BI308="-&gt;",2,1)))</f>
        <v/>
      </c>
      <c r="CM308" s="141" t="str">
        <f aca="false">IF(ISBLANK($C308),"",IF($BR308&lt;&gt;Constants!$B$8,"",IF($BI308="-&gt;",$BK308,$BC308)))</f>
        <v/>
      </c>
      <c r="CN308" s="141" t="str">
        <f aca="false">IF(ISBLANK($C308),"",IF($BR308&lt;&gt;Constants!$B$8,"",IF($BI308="-&gt;",$BL308,$BD308)))</f>
        <v/>
      </c>
      <c r="CO308" s="141" t="str">
        <f aca="false">IF(ISBLANK($C308),"",IF($BR308&lt;&gt;Constants!$B$8,"",IF($BI308="-&gt;",$BM308+$BN308,$BE308+$BF308)+$BV308))</f>
        <v/>
      </c>
      <c r="CP308" s="141" t="str">
        <f aca="false">IF(ISBLANK($C308),"",IF($BR308&lt;&gt;Constants!$B$8,"",IF($BI308="-&gt;",$BO308,$BG308)+$BU308))</f>
        <v/>
      </c>
      <c r="CQ308" s="142" t="str">
        <f aca="false">IF(ISBLANK($C308),"",IF($BR308&lt;&gt;Constants!$B$8,$BR308,$BW308))</f>
        <v/>
      </c>
      <c r="CR308" s="143" t="str">
        <f aca="false">IF(ISBLANK($C308),"",$BS308)</f>
        <v/>
      </c>
      <c r="CS308" s="144" t="str">
        <f aca="false">IF(ISBLANK($C308),"",$CH308)</f>
        <v/>
      </c>
      <c r="CT308" s="144" t="str">
        <f aca="false">IF(ISBLANK($C308),"",$CG308)</f>
        <v/>
      </c>
      <c r="CU308" s="145" t="str">
        <f aca="false">IF(ISBLANK($C308),"",IFERROR(_xlfn.SWITCH($CT308,Constants!$B$11,COUNTA($C$9:$C$508)+2,Constants!$B$10,COUNTA($C$9:$C$508)+1,Constants!$B$9,COUNTA($C$9:$C$508)),$CT308))</f>
        <v/>
      </c>
      <c r="CV308" s="9"/>
      <c r="CW308" s="146" t="n">
        <f aca="false">IF(OR(ISNUMBER($CT308),$CT308=Constants!$B$11,$CT308=Constants!$B$9,$CT308=Constants!$B$10),1,0)</f>
        <v>0</v>
      </c>
      <c r="CX308" s="146" t="n">
        <v>300</v>
      </c>
      <c r="CY308" s="146" t="str">
        <f aca="false">IF(ISBLANK($C308),"",IF(ISNUMBER($CU308),$CU308+ROW($B308)/1000,""))</f>
        <v/>
      </c>
      <c r="CZ308" s="146" t="str">
        <f aca="false">IF(ISNUMBER($CY308),RANK($CY308,$CY$9:$CY$508,1),"")</f>
        <v/>
      </c>
      <c r="DA308" s="146" t="str">
        <f aca="false">IF(ISBLANK($C308),"",$B308)</f>
        <v/>
      </c>
      <c r="DB308" s="146" t="str">
        <f aca="false">IF(ISBLANK($C308),"",$C308)</f>
        <v/>
      </c>
      <c r="DC308" s="146" t="str">
        <f aca="false">IF(ISBLANK($C308),"",$D308)</f>
        <v/>
      </c>
      <c r="DD308" s="147" t="str">
        <f aca="false">$CR308</f>
        <v/>
      </c>
      <c r="DE308" s="148" t="str">
        <f aca="false">$CQ308</f>
        <v/>
      </c>
      <c r="DF308" s="146" t="str">
        <f aca="false">IF(ISBLANK($C308),"",$CT308)</f>
        <v/>
      </c>
      <c r="DG308" s="149" t="str">
        <f aca="false">IF($CX308&gt;$CW$8,"",VLOOKUP($CX308,$CZ$9:$DF$508,7,FALSE()))</f>
        <v/>
      </c>
      <c r="DH308" s="150" t="str">
        <f aca="false">IF($CX308&gt;$CW$8,"",VLOOKUP($CX308,$CZ$9:$DF$508,2,FALSE()))</f>
        <v/>
      </c>
      <c r="DI308" s="150" t="str">
        <f aca="false">IF($CX308&gt;$CW$8,"",VLOOKUP($CX308,$CZ$9:$DF$508,3,FALSE()))</f>
        <v/>
      </c>
      <c r="DJ308" s="150" t="str">
        <f aca="false">IF($CX308&gt;$CW$8,"",VLOOKUP($CX308,$CZ$9:$DF$508,4,FALSE()))</f>
        <v/>
      </c>
      <c r="DK308" s="150" t="str">
        <f aca="false">IF($CX308&gt;$CW$8,"",VLOOKUP($CX308,$CZ$9:$DF$508,5,FALSE()))</f>
        <v/>
      </c>
      <c r="DL308" s="151" t="str">
        <f aca="false">IF($CX308&gt;$CW$8,"",VLOOKUP($CX308,$CZ$9:$DF$508,6,FALSE()))</f>
        <v/>
      </c>
      <c r="DM308" s="75"/>
    </row>
    <row r="309" customFormat="false" ht="15.75" hidden="false" customHeight="false" outlineLevel="0" collapsed="false">
      <c r="A309" s="9"/>
      <c r="B309" s="77"/>
      <c r="C309" s="78"/>
      <c r="D309" s="167"/>
      <c r="E309" s="175"/>
      <c r="F309" s="169"/>
      <c r="G309" s="170"/>
      <c r="H309" s="170"/>
      <c r="I309" s="176"/>
      <c r="J309" s="173"/>
      <c r="K309" s="85"/>
      <c r="L309" s="86"/>
      <c r="M309" s="87"/>
      <c r="N309" s="173"/>
      <c r="O309" s="173"/>
      <c r="P309" s="175"/>
      <c r="Q309" s="173"/>
      <c r="R309" s="173"/>
      <c r="S309" s="85"/>
      <c r="T309" s="87"/>
      <c r="U309" s="87"/>
      <c r="V309" s="173"/>
      <c r="W309" s="173"/>
      <c r="X309" s="175"/>
      <c r="Y309" s="173"/>
      <c r="Z309" s="174"/>
      <c r="AA309" s="173"/>
      <c r="AB309" s="91"/>
      <c r="AC309" s="92"/>
      <c r="AD309" s="92"/>
      <c r="AE309" s="92"/>
      <c r="AF309" s="92" t="str">
        <f aca="false">IF(ISBLANK($C309),"",IF(E309=Constants!$B$3,TRUE(),IF(E309=Constants!$B$4,FALSE(),TRUE())))</f>
        <v/>
      </c>
      <c r="AG309" s="92" t="str">
        <f aca="false">IF(ISBLANK($C309),"",IF(F309=Constants!$B$3,TRUE(),IF(F309=Constants!$B$4,FALSE(),TRUE())))</f>
        <v/>
      </c>
      <c r="AH309" s="92" t="str">
        <f aca="false">IF(ISBLANK($C309),"",IF(G309=Constants!$B$3,TRUE(),IF(G309=Constants!$B$4,FALSE(),TRUE())))</f>
        <v/>
      </c>
      <c r="AI309" s="92" t="str">
        <f aca="false">IF(ISBLANK($C309),"",IF(AND(ISNUMBER(H309),H309&gt;=0),H309,Constants!$B$29))</f>
        <v/>
      </c>
      <c r="AJ309" s="92" t="str">
        <f aca="false">IF(ISBLANK($C309),"",IF(I309=Constants!$B$3,TRUE(),IF(I309=Constants!$B$4,FALSE(),TRUE())))</f>
        <v/>
      </c>
      <c r="AK309" s="92" t="str">
        <f aca="false">IF(ISBLANK($C309),"",IF(J309=Constants!$B$3,TRUE(),IF(J309=Constants!$B$4,FALSE(),TRUE())))</f>
        <v/>
      </c>
      <c r="AL309" s="92" t="str">
        <f aca="false">IF(ISBLANK($C309),"",IF(K309=Constants!$B$5,TRUE(),IF(K309=Constants!$B$6,FALSE(),COUNTA(L309:P309)&gt;0)))</f>
        <v/>
      </c>
      <c r="AM309" s="94" t="str">
        <f aca="false">IF(ISBLANK($C309),"",IF(ISNUMBER(L309),IF(L309&gt;=0,L309,""),""))</f>
        <v/>
      </c>
      <c r="AN309" s="93" t="str">
        <f aca="false">IF(ISBLANK($C309),"",IF(ISNUMBER(M309),IF(M309&gt;=0,M309,""),""))</f>
        <v/>
      </c>
      <c r="AO309" s="93" t="str">
        <f aca="false">IF(ISBLANK($C309),"",IF(N309=Constants!$B$3,TRUE(),IF(N309=Constants!$B$4,FALSE(),TRUE())))</f>
        <v/>
      </c>
      <c r="AP309" s="92" t="str">
        <f aca="false">IF(ISBLANK($C309),"",IF(ISNUMBER(O309),IF(O309&gt;=0,O309,""),""))</f>
        <v/>
      </c>
      <c r="AQ309" s="92" t="str">
        <f aca="false">IF(ISBLANK($C309),"",IF(P309=Constants!$B$3,TRUE(),IF(P309=Constants!$B$4,FALSE(),FALSE())))</f>
        <v/>
      </c>
      <c r="AR309" s="92" t="str">
        <f aca="false">IF(ISBLANK($C309),"",IF(Q309=Constants!$B$3,TRUE(),IF(Q309=Constants!$B$4,FALSE(),TRUE())))</f>
        <v/>
      </c>
      <c r="AS309" s="92" t="str">
        <f aca="false">IF(ISBLANK($C309),"",IF(R309=Constants!$B$3,TRUE(),IF(R309=Constants!$B$4,FALSE(),TRUE())))</f>
        <v/>
      </c>
      <c r="AT309" s="92" t="str">
        <f aca="false">IF(ISBLANK($C309),"",IF(S309=Constants!$B$5,TRUE(),IF(S309=Constants!$B$6,FALSE(),COUNTA(T309:X309)&gt;0)))</f>
        <v/>
      </c>
      <c r="AU309" s="94" t="str">
        <f aca="false">IF(ISBLANK($C309),"",IF(ISNUMBER(T309),IF(T309&gt;=0,T309,""),""))</f>
        <v/>
      </c>
      <c r="AV309" s="93" t="str">
        <f aca="false">IF(ISBLANK($C309),"",IF(ISNUMBER(U309),IF(U309&gt;=0,U309,""),""))</f>
        <v/>
      </c>
      <c r="AW309" s="93" t="str">
        <f aca="false">IF(ISBLANK($C309),"",IF(V309=Constants!$B$3,TRUE(),IF(V309=Constants!$B$4,FALSE(),TRUE())))</f>
        <v/>
      </c>
      <c r="AX309" s="92" t="str">
        <f aca="false">IF(ISBLANK($C309),"",IF(ISNUMBER(W309),IF(W309&gt;=0,W309,""),""))</f>
        <v/>
      </c>
      <c r="AY309" s="92" t="str">
        <f aca="false">IF(ISBLANK($C309),"",IF(X309=Constants!$B$3,TRUE(),IF(X309=Constants!$B$4,FALSE(),FALSE())))</f>
        <v/>
      </c>
      <c r="AZ309" s="92" t="str">
        <f aca="false">IF(ISBLANK($C309),"",MIN(Constants!$B$31,MAX(0,IF(ISNUMBER(Y309),Y309*60,0)+IF(ISNUMBER(Z309),Z309,0))))</f>
        <v/>
      </c>
      <c r="BA309" s="92" t="str">
        <f aca="false">IF(ISBLANK($C309),"",IF(AA309=Constants!$B$3,TRUE(),IF(AA309=Constants!$B$4,FALSE(),FALSE())))</f>
        <v/>
      </c>
      <c r="BB309" s="91" t="str">
        <f aca="false">IF(ISBLANK($C309),"",AND($AL309,OR($AM309="",$AN309="",AND($AO309,$AP309=""))))</f>
        <v/>
      </c>
      <c r="BC309" s="93" t="str">
        <f aca="false">IF($BR309&lt;&gt;Constants!$B$8,"",IF($AL309,Constants!$B$21*$AN309+Constants!$B$22*IF($AO309,$AP309,Constants!$B$23),Constants!$B$24))</f>
        <v/>
      </c>
      <c r="BD309" s="96" t="str">
        <f aca="false">IF($BR309&lt;&gt;Constants!$B$8,"",Constants!$B$25*ABS($AD$9-IF($AL309,$AM309,0)))</f>
        <v/>
      </c>
      <c r="BE309" s="96" t="str">
        <f aca="false">IF($BR309&lt;&gt;Constants!$B$8,"",IF(AND($AL309,$AQ309,$AO309),Constants!$B$27,0))</f>
        <v/>
      </c>
      <c r="BF309" s="96" t="str">
        <f aca="false">IF($BR309&lt;&gt;Constants!$B$8,"",IF($AL309,($AI309-Constants!$B$29)*Constants!$B$28,0))</f>
        <v/>
      </c>
      <c r="BG309" s="96" t="str">
        <f aca="false">IF($BR309&lt;&gt;Constants!$B$8,"",IF($AK309,0,Constants!$B$15)+IF($AJ309,0,Constants!$B$16)+IF($AH309,0,Constants!$B$17))</f>
        <v/>
      </c>
      <c r="BH309" s="97" t="str">
        <f aca="false">IF($BR309&lt;&gt;Constants!$B$8,"",Constants!$B$20+SUM($BC309:$BG309))</f>
        <v/>
      </c>
      <c r="BI309" s="92" t="str">
        <f aca="false">IF($BR309&lt;&gt;Constants!$B$8,"",IF(OR($BP309&lt;$BH309,AND($BP309=$BH309,OR($BK309&lt;$BC309,AND($BK309=$BC309,OR($BL309&lt;$BD309,AND($BL309=$BD309,$AT309,$AL309,$AV309&lt;$AN309)))))),"-&gt;","&lt;-"))</f>
        <v/>
      </c>
      <c r="BJ309" s="91" t="str">
        <f aca="false">IF(ISBLANK($C309),"",AND($AT309,OR($AU309="",$AV309="",AND($AW309,$AX309=""))))</f>
        <v/>
      </c>
      <c r="BK309" s="93" t="str">
        <f aca="false">IF($BR309&lt;&gt;Constants!$B$8,"",IF($AT309,Constants!$B$21*$AV309+Constants!$B$22*IF($AW309,$AX309,Constants!$B$23),Constants!$B$24))</f>
        <v/>
      </c>
      <c r="BL309" s="96" t="str">
        <f aca="false">IF($BR309&lt;&gt;Constants!$B$8,"",Constants!$B$25*ABS($AD$9-IF($AT309,$AU309,0)))</f>
        <v/>
      </c>
      <c r="BM309" s="96" t="str">
        <f aca="false">IF($BR309&lt;&gt;Constants!$B$8,"",IF(AND($AT309,$AY309,$AW309),Constants!$B$27,0))</f>
        <v/>
      </c>
      <c r="BN309" s="96" t="str">
        <f aca="false">IF($BR309&lt;&gt;Constants!$B$8,"",IF($AT309,($AI309-Constants!$B$29)*Constants!$B$28,0))</f>
        <v/>
      </c>
      <c r="BO309" s="96" t="str">
        <f aca="false">IF($BR309&lt;&gt;Constants!$B$8,"",IF($AS309,0,Constants!$B$15)+IF($AR309,0,Constants!$B$16)+IF($AH309,0,Constants!$B$17))</f>
        <v/>
      </c>
      <c r="BP309" s="97" t="str">
        <f aca="false">IF($BR309&lt;&gt;Constants!$B$8,"",Constants!$B$20+SUM($BK309:$BO309))</f>
        <v/>
      </c>
      <c r="BQ309" s="92" t="str">
        <f aca="false">IF(ISBLANK($C309),"",IF(ISBLANK($D$7),$BQ$5,IF(NOT(ISNUMBER($D$7)),$BQ$6,"")))</f>
        <v/>
      </c>
      <c r="BR309" s="92" t="str">
        <f aca="false">IF(ISBLANK($C309),"",IF($BA309,Constants!$B$11,IF(COUNTA($E309:$AA309)=0,Constants!$B$10,IF(NOT($AG309),Constants!$B$9,IF(OR($BQ309&lt;&gt;"",$BB309,$BJ309),Constants!$B$12,Constants!$B$8)))))</f>
        <v/>
      </c>
      <c r="BS309" s="92" t="str">
        <f aca="false">IF(ISBLANK($C309),"",IF($BR309&lt;&gt;Constants!$B$8,$BR309,Constants!$B$13))</f>
        <v/>
      </c>
      <c r="BT309" s="96" t="str">
        <f aca="false">IF($BR309&lt;&gt;Constants!$B$8,"",IF($BI309="-&gt;",$BP309,$BH309))</f>
        <v/>
      </c>
      <c r="BU309" s="96" t="str">
        <f aca="false">IF($BR309&lt;&gt;Constants!$B$8,"",IF($AF309,0,Constants!$B$18))</f>
        <v/>
      </c>
      <c r="BV309" s="96" t="str">
        <f aca="false">IF($BR309&lt;&gt;Constants!$B$8,"",((Constants!$B$31-$AZ309)-Constants!$B$31)/Constants!$B$32)</f>
        <v/>
      </c>
      <c r="BW309" s="96" t="str">
        <f aca="false">IF(ISBLANK($C309),"",IF($BR309&lt;&gt;Constants!$B$8,$BR309,SUM($BT309:$BV309)))</f>
        <v/>
      </c>
      <c r="BX309" s="92" t="str">
        <f aca="false">IF(ISBLANK($C309),"",IF($BR309&lt;&gt;Constants!$B$8,$BR309,RANK($BW309,$BW$9:$BW$508,1)))</f>
        <v/>
      </c>
      <c r="BY309" s="96" t="str">
        <f aca="false">IF($BR309&lt;&gt;Constants!$B$8,"",IF($BI309="-&gt;",$BK309,$BC309))</f>
        <v/>
      </c>
      <c r="BZ309" s="92" t="str">
        <f aca="false">IF(ISBLANK($C309),"",IF($BR309&lt;&gt;Constants!$B$8,$BR309,IF(ISNUMBER($BY309),RANK($BY309,$BY$9:$BY$508,1),COUNT($BY$9:$BY$508)+1)))</f>
        <v/>
      </c>
      <c r="CA309" s="96" t="str">
        <f aca="false">IF($BR309&lt;&gt;Constants!$B$8,"",IF($BI309="-&gt;",$BL309,$BD309))</f>
        <v/>
      </c>
      <c r="CB309" s="92" t="str">
        <f aca="false">IF(ISBLANK($C309),"",IF($BR309&lt;&gt;Constants!$B$8,$BR309,IF(ISNUMBER($CA309),RANK($CA309,$CA$9:$CA$508,1),COUNT($CA$9:$CA$508)+1)))</f>
        <v/>
      </c>
      <c r="CC309" s="96" t="str">
        <f aca="false">IF($BR309&lt;&gt;Constants!$B$8,"",IF($BI309="-&gt;",IF($AT309,$AV309,""),IF($AL309,$AN309,"")))</f>
        <v/>
      </c>
      <c r="CD309" s="92" t="str">
        <f aca="false">IF(ISBLANK($C309),"",IF($BR309&lt;&gt;Constants!$B$8,$BR309,IF(ISNUMBER($CC309),RANK($CC309,$CC$9:$CC$508,1),COUNT($CC$9:$CC$508)+1)))</f>
        <v/>
      </c>
      <c r="CE309" s="96" t="str">
        <f aca="false">IF($BR309&lt;&gt;Constants!$B$8,"",IF(AND(NOT($AL309),NOT($AT309),$AJ309,$AK309,$AR309,$AS309),"",$AI309))</f>
        <v/>
      </c>
      <c r="CF309" s="92" t="str">
        <f aca="false">IF(ISBLANK($C309),"",IF($BR309&lt;&gt;Constants!$B$8,$BR309,IF(ISNUMBER($CE309),RANK($CE309,$CE$9:$CE$508,1),COUNT($CE$9:$CE$508)+1)))</f>
        <v/>
      </c>
      <c r="CG309" s="92" t="str">
        <f aca="false">IF(ISBLANK($C309),"",IF($BR309&lt;&gt;Constants!$B$8,$BR309,COUNTIFS($BX$9:$BX$508,"&lt;"&amp;$BX309)+COUNTIFS($BX$9:$BX$508,$BX309,$BZ$9:$BZ$508,"&lt;"&amp;$BZ309)+COUNTIFS($BX$9:$BX$508,$BX309,$BZ$9:$BZ$508,$BZ309,$CB$9:$CB$508,"&lt;"&amp;$CB309)+COUNTIFS($BX$9:$BX$508,$BX309,$BZ$9:$BZ$508,$BZ309,$CB$9:$CB$508,$CB309,$CD$9:$CD$508,"&lt;"&amp;$CD309)+COUNTIFS($BX$9:$BX$508,$BX309,$BZ$9:$BZ$508,$BZ309,$CB$9:$CB$508,$CB309,$CD$9:$CD$508,$CD309,$CF$9:$CF$508,"&lt;"&amp;$CF309)+1))</f>
        <v/>
      </c>
      <c r="CH309" s="92" t="str">
        <f aca="false">IF(ISBLANK($C309),"",IF($BR309&lt;&gt;Constants!$B$8,$BR309,$BX309-$CG309))</f>
        <v/>
      </c>
      <c r="CI309" s="98"/>
      <c r="CJ309" s="99"/>
      <c r="CK309" s="100" t="str">
        <f aca="false">IF(ISBLANK($C309),"",IF($BR309=Constants!$B$12,$BQ309,""))</f>
        <v/>
      </c>
      <c r="CL309" s="99" t="str">
        <f aca="false">IF(ISBLANK($C309),"",IF($BR309&lt;&gt;Constants!$B$8,"",IF($BI309="-&gt;",2,1)))</f>
        <v/>
      </c>
      <c r="CM309" s="101" t="str">
        <f aca="false">IF(ISBLANK($C309),"",IF($BR309&lt;&gt;Constants!$B$8,"",IF($BI309="-&gt;",$BK309,$BC309)))</f>
        <v/>
      </c>
      <c r="CN309" s="101" t="str">
        <f aca="false">IF(ISBLANK($C309),"",IF($BR309&lt;&gt;Constants!$B$8,"",IF($BI309="-&gt;",$BL309,$BD309)))</f>
        <v/>
      </c>
      <c r="CO309" s="101" t="str">
        <f aca="false">IF(ISBLANK($C309),"",IF($BR309&lt;&gt;Constants!$B$8,"",IF($BI309="-&gt;",$BM309+$BN309,$BE309+$BF309)+$BV309))</f>
        <v/>
      </c>
      <c r="CP309" s="101" t="str">
        <f aca="false">IF(ISBLANK($C309),"",IF($BR309&lt;&gt;Constants!$B$8,"",IF($BI309="-&gt;",$BO309,$BG309)+$BU309))</f>
        <v/>
      </c>
      <c r="CQ309" s="102" t="str">
        <f aca="false">IF(ISBLANK($C309),"",IF($BR309&lt;&gt;Constants!$B$8,$BR309,$BW309))</f>
        <v/>
      </c>
      <c r="CR309" s="103" t="str">
        <f aca="false">IF(ISBLANK($C309),"",$BS309)</f>
        <v/>
      </c>
      <c r="CS309" s="104" t="str">
        <f aca="false">IF(ISBLANK($C309),"",$CH309)</f>
        <v/>
      </c>
      <c r="CT309" s="104" t="str">
        <f aca="false">IF(ISBLANK($C309),"",$CG309)</f>
        <v/>
      </c>
      <c r="CU309" s="105" t="str">
        <f aca="false">IF(ISBLANK($C309),"",IFERROR(_xlfn.SWITCH($CT309,Constants!$B$11,COUNTA($C$9:$C$508)+2,Constants!$B$10,COUNTA($C$9:$C$508)+1,Constants!$B$9,COUNTA($C$9:$C$508)),$CT309))</f>
        <v/>
      </c>
      <c r="CV309" s="9"/>
      <c r="CW309" s="106" t="n">
        <f aca="false">IF(OR(ISNUMBER($CT309),$CT309=Constants!$B$11,$CT309=Constants!$B$9,$CT309=Constants!$B$10),1,0)</f>
        <v>0</v>
      </c>
      <c r="CX309" s="106" t="n">
        <v>301</v>
      </c>
      <c r="CY309" s="106" t="str">
        <f aca="false">IF(ISBLANK($C309),"",IF(ISNUMBER($CU309),$CU309+ROW($B309)/1000,""))</f>
        <v/>
      </c>
      <c r="CZ309" s="106" t="str">
        <f aca="false">IF(ISNUMBER($CY309),RANK($CY309,$CY$9:$CY$508,1),"")</f>
        <v/>
      </c>
      <c r="DA309" s="106" t="str">
        <f aca="false">IF(ISBLANK($C309),"",$B309)</f>
        <v/>
      </c>
      <c r="DB309" s="106" t="str">
        <f aca="false">IF(ISBLANK($C309),"",$C309)</f>
        <v/>
      </c>
      <c r="DC309" s="106" t="str">
        <f aca="false">IF(ISBLANK($C309),"",$D309)</f>
        <v/>
      </c>
      <c r="DD309" s="107" t="str">
        <f aca="false">$CR309</f>
        <v/>
      </c>
      <c r="DE309" s="108" t="str">
        <f aca="false">$CQ309</f>
        <v/>
      </c>
      <c r="DF309" s="106" t="str">
        <f aca="false">IF(ISBLANK($C309),"",$CT309)</f>
        <v/>
      </c>
      <c r="DG309" s="109" t="str">
        <f aca="false">IF($CX309&gt;$CW$8,"",VLOOKUP($CX309,$CZ$9:$DF$508,7,FALSE()))</f>
        <v/>
      </c>
      <c r="DH309" s="110" t="str">
        <f aca="false">IF($CX309&gt;$CW$8,"",VLOOKUP($CX309,$CZ$9:$DF$508,2,FALSE()))</f>
        <v/>
      </c>
      <c r="DI309" s="110" t="str">
        <f aca="false">IF($CX309&gt;$CW$8,"",VLOOKUP($CX309,$CZ$9:$DF$508,3,FALSE()))</f>
        <v/>
      </c>
      <c r="DJ309" s="110" t="str">
        <f aca="false">IF($CX309&gt;$CW$8,"",VLOOKUP($CX309,$CZ$9:$DF$508,4,FALSE()))</f>
        <v/>
      </c>
      <c r="DK309" s="110" t="str">
        <f aca="false">IF($CX309&gt;$CW$8,"",VLOOKUP($CX309,$CZ$9:$DF$508,5,FALSE()))</f>
        <v/>
      </c>
      <c r="DL309" s="111" t="str">
        <f aca="false">IF($CX309&gt;$CW$8,"",VLOOKUP($CX309,$CZ$9:$DF$508,6,FALSE()))</f>
        <v/>
      </c>
      <c r="DM309" s="75"/>
    </row>
    <row r="310" customFormat="false" ht="15.75" hidden="false" customHeight="false" outlineLevel="0" collapsed="false">
      <c r="A310" s="9"/>
      <c r="B310" s="77"/>
      <c r="C310" s="78"/>
      <c r="D310" s="167"/>
      <c r="E310" s="175"/>
      <c r="F310" s="169"/>
      <c r="G310" s="170"/>
      <c r="H310" s="170"/>
      <c r="I310" s="176"/>
      <c r="J310" s="173"/>
      <c r="K310" s="85"/>
      <c r="L310" s="86"/>
      <c r="M310" s="87"/>
      <c r="N310" s="173"/>
      <c r="O310" s="173"/>
      <c r="P310" s="175"/>
      <c r="Q310" s="173"/>
      <c r="R310" s="173"/>
      <c r="S310" s="85"/>
      <c r="T310" s="87"/>
      <c r="U310" s="87"/>
      <c r="V310" s="173"/>
      <c r="W310" s="173"/>
      <c r="X310" s="175"/>
      <c r="Y310" s="173"/>
      <c r="Z310" s="174"/>
      <c r="AA310" s="173"/>
      <c r="AB310" s="91"/>
      <c r="AC310" s="92"/>
      <c r="AD310" s="92"/>
      <c r="AE310" s="92"/>
      <c r="AF310" s="92" t="str">
        <f aca="false">IF(ISBLANK($C310),"",IF(E310=Constants!$B$3,TRUE(),IF(E310=Constants!$B$4,FALSE(),TRUE())))</f>
        <v/>
      </c>
      <c r="AG310" s="92" t="str">
        <f aca="false">IF(ISBLANK($C310),"",IF(F310=Constants!$B$3,TRUE(),IF(F310=Constants!$B$4,FALSE(),TRUE())))</f>
        <v/>
      </c>
      <c r="AH310" s="92" t="str">
        <f aca="false">IF(ISBLANK($C310),"",IF(G310=Constants!$B$3,TRUE(),IF(G310=Constants!$B$4,FALSE(),TRUE())))</f>
        <v/>
      </c>
      <c r="AI310" s="92" t="str">
        <f aca="false">IF(ISBLANK($C310),"",IF(AND(ISNUMBER(H310),H310&gt;=0),H310,Constants!$B$29))</f>
        <v/>
      </c>
      <c r="AJ310" s="92" t="str">
        <f aca="false">IF(ISBLANK($C310),"",IF(I310=Constants!$B$3,TRUE(),IF(I310=Constants!$B$4,FALSE(),TRUE())))</f>
        <v/>
      </c>
      <c r="AK310" s="92" t="str">
        <f aca="false">IF(ISBLANK($C310),"",IF(J310=Constants!$B$3,TRUE(),IF(J310=Constants!$B$4,FALSE(),TRUE())))</f>
        <v/>
      </c>
      <c r="AL310" s="92" t="str">
        <f aca="false">IF(ISBLANK($C310),"",IF(K310=Constants!$B$5,TRUE(),IF(K310=Constants!$B$6,FALSE(),COUNTA(L310:P310)&gt;0)))</f>
        <v/>
      </c>
      <c r="AM310" s="94" t="str">
        <f aca="false">IF(ISBLANK($C310),"",IF(ISNUMBER(L310),IF(L310&gt;=0,L310,""),""))</f>
        <v/>
      </c>
      <c r="AN310" s="93" t="str">
        <f aca="false">IF(ISBLANK($C310),"",IF(ISNUMBER(M310),IF(M310&gt;=0,M310,""),""))</f>
        <v/>
      </c>
      <c r="AO310" s="93" t="str">
        <f aca="false">IF(ISBLANK($C310),"",IF(N310=Constants!$B$3,TRUE(),IF(N310=Constants!$B$4,FALSE(),TRUE())))</f>
        <v/>
      </c>
      <c r="AP310" s="92" t="str">
        <f aca="false">IF(ISBLANK($C310),"",IF(ISNUMBER(O310),IF(O310&gt;=0,O310,""),""))</f>
        <v/>
      </c>
      <c r="AQ310" s="92" t="str">
        <f aca="false">IF(ISBLANK($C310),"",IF(P310=Constants!$B$3,TRUE(),IF(P310=Constants!$B$4,FALSE(),FALSE())))</f>
        <v/>
      </c>
      <c r="AR310" s="92" t="str">
        <f aca="false">IF(ISBLANK($C310),"",IF(Q310=Constants!$B$3,TRUE(),IF(Q310=Constants!$B$4,FALSE(),TRUE())))</f>
        <v/>
      </c>
      <c r="AS310" s="92" t="str">
        <f aca="false">IF(ISBLANK($C310),"",IF(R310=Constants!$B$3,TRUE(),IF(R310=Constants!$B$4,FALSE(),TRUE())))</f>
        <v/>
      </c>
      <c r="AT310" s="92" t="str">
        <f aca="false">IF(ISBLANK($C310),"",IF(S310=Constants!$B$5,TRUE(),IF(S310=Constants!$B$6,FALSE(),COUNTA(T310:X310)&gt;0)))</f>
        <v/>
      </c>
      <c r="AU310" s="94" t="str">
        <f aca="false">IF(ISBLANK($C310),"",IF(ISNUMBER(T310),IF(T310&gt;=0,T310,""),""))</f>
        <v/>
      </c>
      <c r="AV310" s="93" t="str">
        <f aca="false">IF(ISBLANK($C310),"",IF(ISNUMBER(U310),IF(U310&gt;=0,U310,""),""))</f>
        <v/>
      </c>
      <c r="AW310" s="93" t="str">
        <f aca="false">IF(ISBLANK($C310),"",IF(V310=Constants!$B$3,TRUE(),IF(V310=Constants!$B$4,FALSE(),TRUE())))</f>
        <v/>
      </c>
      <c r="AX310" s="92" t="str">
        <f aca="false">IF(ISBLANK($C310),"",IF(ISNUMBER(W310),IF(W310&gt;=0,W310,""),""))</f>
        <v/>
      </c>
      <c r="AY310" s="92" t="str">
        <f aca="false">IF(ISBLANK($C310),"",IF(X310=Constants!$B$3,TRUE(),IF(X310=Constants!$B$4,FALSE(),FALSE())))</f>
        <v/>
      </c>
      <c r="AZ310" s="92" t="str">
        <f aca="false">IF(ISBLANK($C310),"",MIN(Constants!$B$31,MAX(0,IF(ISNUMBER(Y310),Y310*60,0)+IF(ISNUMBER(Z310),Z310,0))))</f>
        <v/>
      </c>
      <c r="BA310" s="92" t="str">
        <f aca="false">IF(ISBLANK($C310),"",IF(AA310=Constants!$B$3,TRUE(),IF(AA310=Constants!$B$4,FALSE(),FALSE())))</f>
        <v/>
      </c>
      <c r="BB310" s="91" t="str">
        <f aca="false">IF(ISBLANK($C310),"",AND($AL310,OR($AM310="",$AN310="",AND($AO310,$AP310=""))))</f>
        <v/>
      </c>
      <c r="BC310" s="93" t="str">
        <f aca="false">IF($BR310&lt;&gt;Constants!$B$8,"",IF($AL310,Constants!$B$21*$AN310+Constants!$B$22*IF($AO310,$AP310,Constants!$B$23),Constants!$B$24))</f>
        <v/>
      </c>
      <c r="BD310" s="96" t="str">
        <f aca="false">IF($BR310&lt;&gt;Constants!$B$8,"",Constants!$B$25*ABS($AD$9-IF($AL310,$AM310,0)))</f>
        <v/>
      </c>
      <c r="BE310" s="96" t="str">
        <f aca="false">IF($BR310&lt;&gt;Constants!$B$8,"",IF(AND($AL310,$AQ310,$AO310),Constants!$B$27,0))</f>
        <v/>
      </c>
      <c r="BF310" s="96" t="str">
        <f aca="false">IF($BR310&lt;&gt;Constants!$B$8,"",IF($AL310,($AI310-Constants!$B$29)*Constants!$B$28,0))</f>
        <v/>
      </c>
      <c r="BG310" s="96" t="str">
        <f aca="false">IF($BR310&lt;&gt;Constants!$B$8,"",IF($AK310,0,Constants!$B$15)+IF($AJ310,0,Constants!$B$16)+IF($AH310,0,Constants!$B$17))</f>
        <v/>
      </c>
      <c r="BH310" s="97" t="str">
        <f aca="false">IF($BR310&lt;&gt;Constants!$B$8,"",Constants!$B$20+SUM($BC310:$BG310))</f>
        <v/>
      </c>
      <c r="BI310" s="92" t="str">
        <f aca="false">IF($BR310&lt;&gt;Constants!$B$8,"",IF(OR($BP310&lt;$BH310,AND($BP310=$BH310,OR($BK310&lt;$BC310,AND($BK310=$BC310,OR($BL310&lt;$BD310,AND($BL310=$BD310,$AT310,$AL310,$AV310&lt;$AN310)))))),"-&gt;","&lt;-"))</f>
        <v/>
      </c>
      <c r="BJ310" s="91" t="str">
        <f aca="false">IF(ISBLANK($C310),"",AND($AT310,OR($AU310="",$AV310="",AND($AW310,$AX310=""))))</f>
        <v/>
      </c>
      <c r="BK310" s="93" t="str">
        <f aca="false">IF($BR310&lt;&gt;Constants!$B$8,"",IF($AT310,Constants!$B$21*$AV310+Constants!$B$22*IF($AW310,$AX310,Constants!$B$23),Constants!$B$24))</f>
        <v/>
      </c>
      <c r="BL310" s="96" t="str">
        <f aca="false">IF($BR310&lt;&gt;Constants!$B$8,"",Constants!$B$25*ABS($AD$9-IF($AT310,$AU310,0)))</f>
        <v/>
      </c>
      <c r="BM310" s="96" t="str">
        <f aca="false">IF($BR310&lt;&gt;Constants!$B$8,"",IF(AND($AT310,$AY310,$AW310),Constants!$B$27,0))</f>
        <v/>
      </c>
      <c r="BN310" s="96" t="str">
        <f aca="false">IF($BR310&lt;&gt;Constants!$B$8,"",IF($AT310,($AI310-Constants!$B$29)*Constants!$B$28,0))</f>
        <v/>
      </c>
      <c r="BO310" s="96" t="str">
        <f aca="false">IF($BR310&lt;&gt;Constants!$B$8,"",IF($AS310,0,Constants!$B$15)+IF($AR310,0,Constants!$B$16)+IF($AH310,0,Constants!$B$17))</f>
        <v/>
      </c>
      <c r="BP310" s="97" t="str">
        <f aca="false">IF($BR310&lt;&gt;Constants!$B$8,"",Constants!$B$20+SUM($BK310:$BO310))</f>
        <v/>
      </c>
      <c r="BQ310" s="92" t="str">
        <f aca="false">IF(ISBLANK($C310),"",IF(ISBLANK($D$7),$BQ$5,IF(NOT(ISNUMBER($D$7)),$BQ$6,"")))</f>
        <v/>
      </c>
      <c r="BR310" s="92" t="str">
        <f aca="false">IF(ISBLANK($C310),"",IF($BA310,Constants!$B$11,IF(COUNTA($E310:$AA310)=0,Constants!$B$10,IF(NOT($AG310),Constants!$B$9,IF(OR($BQ310&lt;&gt;"",$BB310,$BJ310),Constants!$B$12,Constants!$B$8)))))</f>
        <v/>
      </c>
      <c r="BS310" s="92" t="str">
        <f aca="false">IF(ISBLANK($C310),"",IF($BR310&lt;&gt;Constants!$B$8,$BR310,Constants!$B$13))</f>
        <v/>
      </c>
      <c r="BT310" s="96" t="str">
        <f aca="false">IF($BR310&lt;&gt;Constants!$B$8,"",IF($BI310="-&gt;",$BP310,$BH310))</f>
        <v/>
      </c>
      <c r="BU310" s="96" t="str">
        <f aca="false">IF($BR310&lt;&gt;Constants!$B$8,"",IF($AF310,0,Constants!$B$18))</f>
        <v/>
      </c>
      <c r="BV310" s="96" t="str">
        <f aca="false">IF($BR310&lt;&gt;Constants!$B$8,"",((Constants!$B$31-$AZ310)-Constants!$B$31)/Constants!$B$32)</f>
        <v/>
      </c>
      <c r="BW310" s="96" t="str">
        <f aca="false">IF(ISBLANK($C310),"",IF($BR310&lt;&gt;Constants!$B$8,$BR310,SUM($BT310:$BV310)))</f>
        <v/>
      </c>
      <c r="BX310" s="92" t="str">
        <f aca="false">IF(ISBLANK($C310),"",IF($BR310&lt;&gt;Constants!$B$8,$BR310,RANK($BW310,$BW$9:$BW$508,1)))</f>
        <v/>
      </c>
      <c r="BY310" s="96" t="str">
        <f aca="false">IF($BR310&lt;&gt;Constants!$B$8,"",IF($BI310="-&gt;",$BK310,$BC310))</f>
        <v/>
      </c>
      <c r="BZ310" s="92" t="str">
        <f aca="false">IF(ISBLANK($C310),"",IF($BR310&lt;&gt;Constants!$B$8,$BR310,IF(ISNUMBER($BY310),RANK($BY310,$BY$9:$BY$508,1),COUNT($BY$9:$BY$508)+1)))</f>
        <v/>
      </c>
      <c r="CA310" s="96" t="str">
        <f aca="false">IF($BR310&lt;&gt;Constants!$B$8,"",IF($BI310="-&gt;",$BL310,$BD310))</f>
        <v/>
      </c>
      <c r="CB310" s="92" t="str">
        <f aca="false">IF(ISBLANK($C310),"",IF($BR310&lt;&gt;Constants!$B$8,$BR310,IF(ISNUMBER($CA310),RANK($CA310,$CA$9:$CA$508,1),COUNT($CA$9:$CA$508)+1)))</f>
        <v/>
      </c>
      <c r="CC310" s="96" t="str">
        <f aca="false">IF($BR310&lt;&gt;Constants!$B$8,"",IF($BI310="-&gt;",IF($AT310,$AV310,""),IF($AL310,$AN310,"")))</f>
        <v/>
      </c>
      <c r="CD310" s="92" t="str">
        <f aca="false">IF(ISBLANK($C310),"",IF($BR310&lt;&gt;Constants!$B$8,$BR310,IF(ISNUMBER($CC310),RANK($CC310,$CC$9:$CC$508,1),COUNT($CC$9:$CC$508)+1)))</f>
        <v/>
      </c>
      <c r="CE310" s="96" t="str">
        <f aca="false">IF($BR310&lt;&gt;Constants!$B$8,"",IF(AND(NOT($AL310),NOT($AT310),$AJ310,$AK310,$AR310,$AS310),"",$AI310))</f>
        <v/>
      </c>
      <c r="CF310" s="92" t="str">
        <f aca="false">IF(ISBLANK($C310),"",IF($BR310&lt;&gt;Constants!$B$8,$BR310,IF(ISNUMBER($CE310),RANK($CE310,$CE$9:$CE$508,1),COUNT($CE$9:$CE$508)+1)))</f>
        <v/>
      </c>
      <c r="CG310" s="92" t="str">
        <f aca="false">IF(ISBLANK($C310),"",IF($BR310&lt;&gt;Constants!$B$8,$BR310,COUNTIFS($BX$9:$BX$508,"&lt;"&amp;$BX310)+COUNTIFS($BX$9:$BX$508,$BX310,$BZ$9:$BZ$508,"&lt;"&amp;$BZ310)+COUNTIFS($BX$9:$BX$508,$BX310,$BZ$9:$BZ$508,$BZ310,$CB$9:$CB$508,"&lt;"&amp;$CB310)+COUNTIFS($BX$9:$BX$508,$BX310,$BZ$9:$BZ$508,$BZ310,$CB$9:$CB$508,$CB310,$CD$9:$CD$508,"&lt;"&amp;$CD310)+COUNTIFS($BX$9:$BX$508,$BX310,$BZ$9:$BZ$508,$BZ310,$CB$9:$CB$508,$CB310,$CD$9:$CD$508,$CD310,$CF$9:$CF$508,"&lt;"&amp;$CF310)+1))</f>
        <v/>
      </c>
      <c r="CH310" s="92" t="str">
        <f aca="false">IF(ISBLANK($C310),"",IF($BR310&lt;&gt;Constants!$B$8,$BR310,$BX310-$CG310))</f>
        <v/>
      </c>
      <c r="CI310" s="98"/>
      <c r="CJ310" s="99"/>
      <c r="CK310" s="100" t="str">
        <f aca="false">IF(ISBLANK($C310),"",IF($BR310=Constants!$B$12,$BQ310,""))</f>
        <v/>
      </c>
      <c r="CL310" s="99" t="str">
        <f aca="false">IF(ISBLANK($C310),"",IF($BR310&lt;&gt;Constants!$B$8,"",IF($BI310="-&gt;",2,1)))</f>
        <v/>
      </c>
      <c r="CM310" s="101" t="str">
        <f aca="false">IF(ISBLANK($C310),"",IF($BR310&lt;&gt;Constants!$B$8,"",IF($BI310="-&gt;",$BK310,$BC310)))</f>
        <v/>
      </c>
      <c r="CN310" s="101" t="str">
        <f aca="false">IF(ISBLANK($C310),"",IF($BR310&lt;&gt;Constants!$B$8,"",IF($BI310="-&gt;",$BL310,$BD310)))</f>
        <v/>
      </c>
      <c r="CO310" s="101" t="str">
        <f aca="false">IF(ISBLANK($C310),"",IF($BR310&lt;&gt;Constants!$B$8,"",IF($BI310="-&gt;",$BM310+$BN310,$BE310+$BF310)+$BV310))</f>
        <v/>
      </c>
      <c r="CP310" s="101" t="str">
        <f aca="false">IF(ISBLANK($C310),"",IF($BR310&lt;&gt;Constants!$B$8,"",IF($BI310="-&gt;",$BO310,$BG310)+$BU310))</f>
        <v/>
      </c>
      <c r="CQ310" s="102" t="str">
        <f aca="false">IF(ISBLANK($C310),"",IF($BR310&lt;&gt;Constants!$B$8,$BR310,$BW310))</f>
        <v/>
      </c>
      <c r="CR310" s="103" t="str">
        <f aca="false">IF(ISBLANK($C310),"",$BS310)</f>
        <v/>
      </c>
      <c r="CS310" s="104" t="str">
        <f aca="false">IF(ISBLANK($C310),"",$CH310)</f>
        <v/>
      </c>
      <c r="CT310" s="104" t="str">
        <f aca="false">IF(ISBLANK($C310),"",$CG310)</f>
        <v/>
      </c>
      <c r="CU310" s="105" t="str">
        <f aca="false">IF(ISBLANK($C310),"",IFERROR(_xlfn.SWITCH($CT310,Constants!$B$11,COUNTA($C$9:$C$508)+2,Constants!$B$10,COUNTA($C$9:$C$508)+1,Constants!$B$9,COUNTA($C$9:$C$508)),$CT310))</f>
        <v/>
      </c>
      <c r="CV310" s="9"/>
      <c r="CW310" s="106" t="n">
        <f aca="false">IF(OR(ISNUMBER($CT310),$CT310=Constants!$B$11,$CT310=Constants!$B$9,$CT310=Constants!$B$10),1,0)</f>
        <v>0</v>
      </c>
      <c r="CX310" s="106" t="n">
        <v>302</v>
      </c>
      <c r="CY310" s="106" t="str">
        <f aca="false">IF(ISBLANK($C310),"",IF(ISNUMBER($CU310),$CU310+ROW($B310)/1000,""))</f>
        <v/>
      </c>
      <c r="CZ310" s="106" t="str">
        <f aca="false">IF(ISNUMBER($CY310),RANK($CY310,$CY$9:$CY$508,1),"")</f>
        <v/>
      </c>
      <c r="DA310" s="106" t="str">
        <f aca="false">IF(ISBLANK($C310),"",$B310)</f>
        <v/>
      </c>
      <c r="DB310" s="106" t="str">
        <f aca="false">IF(ISBLANK($C310),"",$C310)</f>
        <v/>
      </c>
      <c r="DC310" s="106" t="str">
        <f aca="false">IF(ISBLANK($C310),"",$D310)</f>
        <v/>
      </c>
      <c r="DD310" s="107" t="str">
        <f aca="false">$CR310</f>
        <v/>
      </c>
      <c r="DE310" s="108" t="str">
        <f aca="false">$CQ310</f>
        <v/>
      </c>
      <c r="DF310" s="106" t="str">
        <f aca="false">IF(ISBLANK($C310),"",$CT310)</f>
        <v/>
      </c>
      <c r="DG310" s="109" t="str">
        <f aca="false">IF($CX310&gt;$CW$8,"",VLOOKUP($CX310,$CZ$9:$DF$508,7,FALSE()))</f>
        <v/>
      </c>
      <c r="DH310" s="110" t="str">
        <f aca="false">IF($CX310&gt;$CW$8,"",VLOOKUP($CX310,$CZ$9:$DF$508,2,FALSE()))</f>
        <v/>
      </c>
      <c r="DI310" s="110" t="str">
        <f aca="false">IF($CX310&gt;$CW$8,"",VLOOKUP($CX310,$CZ$9:$DF$508,3,FALSE()))</f>
        <v/>
      </c>
      <c r="DJ310" s="110" t="str">
        <f aca="false">IF($CX310&gt;$CW$8,"",VLOOKUP($CX310,$CZ$9:$DF$508,4,FALSE()))</f>
        <v/>
      </c>
      <c r="DK310" s="110" t="str">
        <f aca="false">IF($CX310&gt;$CW$8,"",VLOOKUP($CX310,$CZ$9:$DF$508,5,FALSE()))</f>
        <v/>
      </c>
      <c r="DL310" s="111" t="str">
        <f aca="false">IF($CX310&gt;$CW$8,"",VLOOKUP($CX310,$CZ$9:$DF$508,6,FALSE()))</f>
        <v/>
      </c>
      <c r="DM310" s="75"/>
    </row>
    <row r="311" customFormat="false" ht="15.75" hidden="false" customHeight="false" outlineLevel="0" collapsed="false">
      <c r="A311" s="9"/>
      <c r="B311" s="77"/>
      <c r="C311" s="78"/>
      <c r="D311" s="167"/>
      <c r="E311" s="175"/>
      <c r="F311" s="169"/>
      <c r="G311" s="170"/>
      <c r="H311" s="170"/>
      <c r="I311" s="176"/>
      <c r="J311" s="173"/>
      <c r="K311" s="85"/>
      <c r="L311" s="86"/>
      <c r="M311" s="87"/>
      <c r="N311" s="173"/>
      <c r="O311" s="173"/>
      <c r="P311" s="175"/>
      <c r="Q311" s="173"/>
      <c r="R311" s="173"/>
      <c r="S311" s="85"/>
      <c r="T311" s="87"/>
      <c r="U311" s="87"/>
      <c r="V311" s="173"/>
      <c r="W311" s="173"/>
      <c r="X311" s="175"/>
      <c r="Y311" s="173"/>
      <c r="Z311" s="174"/>
      <c r="AA311" s="173"/>
      <c r="AB311" s="91"/>
      <c r="AC311" s="92"/>
      <c r="AD311" s="92"/>
      <c r="AE311" s="92"/>
      <c r="AF311" s="92" t="str">
        <f aca="false">IF(ISBLANK($C311),"",IF(E311=Constants!$B$3,TRUE(),IF(E311=Constants!$B$4,FALSE(),TRUE())))</f>
        <v/>
      </c>
      <c r="AG311" s="92" t="str">
        <f aca="false">IF(ISBLANK($C311),"",IF(F311=Constants!$B$3,TRUE(),IF(F311=Constants!$B$4,FALSE(),TRUE())))</f>
        <v/>
      </c>
      <c r="AH311" s="92" t="str">
        <f aca="false">IF(ISBLANK($C311),"",IF(G311=Constants!$B$3,TRUE(),IF(G311=Constants!$B$4,FALSE(),TRUE())))</f>
        <v/>
      </c>
      <c r="AI311" s="92" t="str">
        <f aca="false">IF(ISBLANK($C311),"",IF(AND(ISNUMBER(H311),H311&gt;=0),H311,Constants!$B$29))</f>
        <v/>
      </c>
      <c r="AJ311" s="92" t="str">
        <f aca="false">IF(ISBLANK($C311),"",IF(I311=Constants!$B$3,TRUE(),IF(I311=Constants!$B$4,FALSE(),TRUE())))</f>
        <v/>
      </c>
      <c r="AK311" s="92" t="str">
        <f aca="false">IF(ISBLANK($C311),"",IF(J311=Constants!$B$3,TRUE(),IF(J311=Constants!$B$4,FALSE(),TRUE())))</f>
        <v/>
      </c>
      <c r="AL311" s="92" t="str">
        <f aca="false">IF(ISBLANK($C311),"",IF(K311=Constants!$B$5,TRUE(),IF(K311=Constants!$B$6,FALSE(),COUNTA(L311:P311)&gt;0)))</f>
        <v/>
      </c>
      <c r="AM311" s="94" t="str">
        <f aca="false">IF(ISBLANK($C311),"",IF(ISNUMBER(L311),IF(L311&gt;=0,L311,""),""))</f>
        <v/>
      </c>
      <c r="AN311" s="93" t="str">
        <f aca="false">IF(ISBLANK($C311),"",IF(ISNUMBER(M311),IF(M311&gt;=0,M311,""),""))</f>
        <v/>
      </c>
      <c r="AO311" s="93" t="str">
        <f aca="false">IF(ISBLANK($C311),"",IF(N311=Constants!$B$3,TRUE(),IF(N311=Constants!$B$4,FALSE(),TRUE())))</f>
        <v/>
      </c>
      <c r="AP311" s="92" t="str">
        <f aca="false">IF(ISBLANK($C311),"",IF(ISNUMBER(O311),IF(O311&gt;=0,O311,""),""))</f>
        <v/>
      </c>
      <c r="AQ311" s="92" t="str">
        <f aca="false">IF(ISBLANK($C311),"",IF(P311=Constants!$B$3,TRUE(),IF(P311=Constants!$B$4,FALSE(),FALSE())))</f>
        <v/>
      </c>
      <c r="AR311" s="92" t="str">
        <f aca="false">IF(ISBLANK($C311),"",IF(Q311=Constants!$B$3,TRUE(),IF(Q311=Constants!$B$4,FALSE(),TRUE())))</f>
        <v/>
      </c>
      <c r="AS311" s="92" t="str">
        <f aca="false">IF(ISBLANK($C311),"",IF(R311=Constants!$B$3,TRUE(),IF(R311=Constants!$B$4,FALSE(),TRUE())))</f>
        <v/>
      </c>
      <c r="AT311" s="92" t="str">
        <f aca="false">IF(ISBLANK($C311),"",IF(S311=Constants!$B$5,TRUE(),IF(S311=Constants!$B$6,FALSE(),COUNTA(T311:X311)&gt;0)))</f>
        <v/>
      </c>
      <c r="AU311" s="94" t="str">
        <f aca="false">IF(ISBLANK($C311),"",IF(ISNUMBER(T311),IF(T311&gt;=0,T311,""),""))</f>
        <v/>
      </c>
      <c r="AV311" s="93" t="str">
        <f aca="false">IF(ISBLANK($C311),"",IF(ISNUMBER(U311),IF(U311&gt;=0,U311,""),""))</f>
        <v/>
      </c>
      <c r="AW311" s="93" t="str">
        <f aca="false">IF(ISBLANK($C311),"",IF(V311=Constants!$B$3,TRUE(),IF(V311=Constants!$B$4,FALSE(),TRUE())))</f>
        <v/>
      </c>
      <c r="AX311" s="92" t="str">
        <f aca="false">IF(ISBLANK($C311),"",IF(ISNUMBER(W311),IF(W311&gt;=0,W311,""),""))</f>
        <v/>
      </c>
      <c r="AY311" s="92" t="str">
        <f aca="false">IF(ISBLANK($C311),"",IF(X311=Constants!$B$3,TRUE(),IF(X311=Constants!$B$4,FALSE(),FALSE())))</f>
        <v/>
      </c>
      <c r="AZ311" s="92" t="str">
        <f aca="false">IF(ISBLANK($C311),"",MIN(Constants!$B$31,MAX(0,IF(ISNUMBER(Y311),Y311*60,0)+IF(ISNUMBER(Z311),Z311,0))))</f>
        <v/>
      </c>
      <c r="BA311" s="92" t="str">
        <f aca="false">IF(ISBLANK($C311),"",IF(AA311=Constants!$B$3,TRUE(),IF(AA311=Constants!$B$4,FALSE(),FALSE())))</f>
        <v/>
      </c>
      <c r="BB311" s="91" t="str">
        <f aca="false">IF(ISBLANK($C311),"",AND($AL311,OR($AM311="",$AN311="",AND($AO311,$AP311=""))))</f>
        <v/>
      </c>
      <c r="BC311" s="93" t="str">
        <f aca="false">IF($BR311&lt;&gt;Constants!$B$8,"",IF($AL311,Constants!$B$21*$AN311+Constants!$B$22*IF($AO311,$AP311,Constants!$B$23),Constants!$B$24))</f>
        <v/>
      </c>
      <c r="BD311" s="96" t="str">
        <f aca="false">IF($BR311&lt;&gt;Constants!$B$8,"",Constants!$B$25*ABS($AD$9-IF($AL311,$AM311,0)))</f>
        <v/>
      </c>
      <c r="BE311" s="96" t="str">
        <f aca="false">IF($BR311&lt;&gt;Constants!$B$8,"",IF(AND($AL311,$AQ311,$AO311),Constants!$B$27,0))</f>
        <v/>
      </c>
      <c r="BF311" s="96" t="str">
        <f aca="false">IF($BR311&lt;&gt;Constants!$B$8,"",IF($AL311,($AI311-Constants!$B$29)*Constants!$B$28,0))</f>
        <v/>
      </c>
      <c r="BG311" s="96" t="str">
        <f aca="false">IF($BR311&lt;&gt;Constants!$B$8,"",IF($AK311,0,Constants!$B$15)+IF($AJ311,0,Constants!$B$16)+IF($AH311,0,Constants!$B$17))</f>
        <v/>
      </c>
      <c r="BH311" s="97" t="str">
        <f aca="false">IF($BR311&lt;&gt;Constants!$B$8,"",Constants!$B$20+SUM($BC311:$BG311))</f>
        <v/>
      </c>
      <c r="BI311" s="92" t="str">
        <f aca="false">IF($BR311&lt;&gt;Constants!$B$8,"",IF(OR($BP311&lt;$BH311,AND($BP311=$BH311,OR($BK311&lt;$BC311,AND($BK311=$BC311,OR($BL311&lt;$BD311,AND($BL311=$BD311,$AT311,$AL311,$AV311&lt;$AN311)))))),"-&gt;","&lt;-"))</f>
        <v/>
      </c>
      <c r="BJ311" s="91" t="str">
        <f aca="false">IF(ISBLANK($C311),"",AND($AT311,OR($AU311="",$AV311="",AND($AW311,$AX311=""))))</f>
        <v/>
      </c>
      <c r="BK311" s="93" t="str">
        <f aca="false">IF($BR311&lt;&gt;Constants!$B$8,"",IF($AT311,Constants!$B$21*$AV311+Constants!$B$22*IF($AW311,$AX311,Constants!$B$23),Constants!$B$24))</f>
        <v/>
      </c>
      <c r="BL311" s="96" t="str">
        <f aca="false">IF($BR311&lt;&gt;Constants!$B$8,"",Constants!$B$25*ABS($AD$9-IF($AT311,$AU311,0)))</f>
        <v/>
      </c>
      <c r="BM311" s="96" t="str">
        <f aca="false">IF($BR311&lt;&gt;Constants!$B$8,"",IF(AND($AT311,$AY311,$AW311),Constants!$B$27,0))</f>
        <v/>
      </c>
      <c r="BN311" s="96" t="str">
        <f aca="false">IF($BR311&lt;&gt;Constants!$B$8,"",IF($AT311,($AI311-Constants!$B$29)*Constants!$B$28,0))</f>
        <v/>
      </c>
      <c r="BO311" s="96" t="str">
        <f aca="false">IF($BR311&lt;&gt;Constants!$B$8,"",IF($AS311,0,Constants!$B$15)+IF($AR311,0,Constants!$B$16)+IF($AH311,0,Constants!$B$17))</f>
        <v/>
      </c>
      <c r="BP311" s="97" t="str">
        <f aca="false">IF($BR311&lt;&gt;Constants!$B$8,"",Constants!$B$20+SUM($BK311:$BO311))</f>
        <v/>
      </c>
      <c r="BQ311" s="92" t="str">
        <f aca="false">IF(ISBLANK($C311),"",IF(ISBLANK($D$7),$BQ$5,IF(NOT(ISNUMBER($D$7)),$BQ$6,"")))</f>
        <v/>
      </c>
      <c r="BR311" s="92" t="str">
        <f aca="false">IF(ISBLANK($C311),"",IF($BA311,Constants!$B$11,IF(COUNTA($E311:$AA311)=0,Constants!$B$10,IF(NOT($AG311),Constants!$B$9,IF(OR($BQ311&lt;&gt;"",$BB311,$BJ311),Constants!$B$12,Constants!$B$8)))))</f>
        <v/>
      </c>
      <c r="BS311" s="92" t="str">
        <f aca="false">IF(ISBLANK($C311),"",IF($BR311&lt;&gt;Constants!$B$8,$BR311,Constants!$B$13))</f>
        <v/>
      </c>
      <c r="BT311" s="96" t="str">
        <f aca="false">IF($BR311&lt;&gt;Constants!$B$8,"",IF($BI311="-&gt;",$BP311,$BH311))</f>
        <v/>
      </c>
      <c r="BU311" s="96" t="str">
        <f aca="false">IF($BR311&lt;&gt;Constants!$B$8,"",IF($AF311,0,Constants!$B$18))</f>
        <v/>
      </c>
      <c r="BV311" s="96" t="str">
        <f aca="false">IF($BR311&lt;&gt;Constants!$B$8,"",((Constants!$B$31-$AZ311)-Constants!$B$31)/Constants!$B$32)</f>
        <v/>
      </c>
      <c r="BW311" s="96" t="str">
        <f aca="false">IF(ISBLANK($C311),"",IF($BR311&lt;&gt;Constants!$B$8,$BR311,SUM($BT311:$BV311)))</f>
        <v/>
      </c>
      <c r="BX311" s="92" t="str">
        <f aca="false">IF(ISBLANK($C311),"",IF($BR311&lt;&gt;Constants!$B$8,$BR311,RANK($BW311,$BW$9:$BW$508,1)))</f>
        <v/>
      </c>
      <c r="BY311" s="96" t="str">
        <f aca="false">IF($BR311&lt;&gt;Constants!$B$8,"",IF($BI311="-&gt;",$BK311,$BC311))</f>
        <v/>
      </c>
      <c r="BZ311" s="92" t="str">
        <f aca="false">IF(ISBLANK($C311),"",IF($BR311&lt;&gt;Constants!$B$8,$BR311,IF(ISNUMBER($BY311),RANK($BY311,$BY$9:$BY$508,1),COUNT($BY$9:$BY$508)+1)))</f>
        <v/>
      </c>
      <c r="CA311" s="96" t="str">
        <f aca="false">IF($BR311&lt;&gt;Constants!$B$8,"",IF($BI311="-&gt;",$BL311,$BD311))</f>
        <v/>
      </c>
      <c r="CB311" s="92" t="str">
        <f aca="false">IF(ISBLANK($C311),"",IF($BR311&lt;&gt;Constants!$B$8,$BR311,IF(ISNUMBER($CA311),RANK($CA311,$CA$9:$CA$508,1),COUNT($CA$9:$CA$508)+1)))</f>
        <v/>
      </c>
      <c r="CC311" s="96" t="str">
        <f aca="false">IF($BR311&lt;&gt;Constants!$B$8,"",IF($BI311="-&gt;",IF($AT311,$AV311,""),IF($AL311,$AN311,"")))</f>
        <v/>
      </c>
      <c r="CD311" s="92" t="str">
        <f aca="false">IF(ISBLANK($C311),"",IF($BR311&lt;&gt;Constants!$B$8,$BR311,IF(ISNUMBER($CC311),RANK($CC311,$CC$9:$CC$508,1),COUNT($CC$9:$CC$508)+1)))</f>
        <v/>
      </c>
      <c r="CE311" s="96" t="str">
        <f aca="false">IF($BR311&lt;&gt;Constants!$B$8,"",IF(AND(NOT($AL311),NOT($AT311),$AJ311,$AK311,$AR311,$AS311),"",$AI311))</f>
        <v/>
      </c>
      <c r="CF311" s="92" t="str">
        <f aca="false">IF(ISBLANK($C311),"",IF($BR311&lt;&gt;Constants!$B$8,$BR311,IF(ISNUMBER($CE311),RANK($CE311,$CE$9:$CE$508,1),COUNT($CE$9:$CE$508)+1)))</f>
        <v/>
      </c>
      <c r="CG311" s="92" t="str">
        <f aca="false">IF(ISBLANK($C311),"",IF($BR311&lt;&gt;Constants!$B$8,$BR311,COUNTIFS($BX$9:$BX$508,"&lt;"&amp;$BX311)+COUNTIFS($BX$9:$BX$508,$BX311,$BZ$9:$BZ$508,"&lt;"&amp;$BZ311)+COUNTIFS($BX$9:$BX$508,$BX311,$BZ$9:$BZ$508,$BZ311,$CB$9:$CB$508,"&lt;"&amp;$CB311)+COUNTIFS($BX$9:$BX$508,$BX311,$BZ$9:$BZ$508,$BZ311,$CB$9:$CB$508,$CB311,$CD$9:$CD$508,"&lt;"&amp;$CD311)+COUNTIFS($BX$9:$BX$508,$BX311,$BZ$9:$BZ$508,$BZ311,$CB$9:$CB$508,$CB311,$CD$9:$CD$508,$CD311,$CF$9:$CF$508,"&lt;"&amp;$CF311)+1))</f>
        <v/>
      </c>
      <c r="CH311" s="92" t="str">
        <f aca="false">IF(ISBLANK($C311),"",IF($BR311&lt;&gt;Constants!$B$8,$BR311,$BX311-$CG311))</f>
        <v/>
      </c>
      <c r="CI311" s="98"/>
      <c r="CJ311" s="99"/>
      <c r="CK311" s="100" t="str">
        <f aca="false">IF(ISBLANK($C311),"",IF($BR311=Constants!$B$12,$BQ311,""))</f>
        <v/>
      </c>
      <c r="CL311" s="99" t="str">
        <f aca="false">IF(ISBLANK($C311),"",IF($BR311&lt;&gt;Constants!$B$8,"",IF($BI311="-&gt;",2,1)))</f>
        <v/>
      </c>
      <c r="CM311" s="101" t="str">
        <f aca="false">IF(ISBLANK($C311),"",IF($BR311&lt;&gt;Constants!$B$8,"",IF($BI311="-&gt;",$BK311,$BC311)))</f>
        <v/>
      </c>
      <c r="CN311" s="101" t="str">
        <f aca="false">IF(ISBLANK($C311),"",IF($BR311&lt;&gt;Constants!$B$8,"",IF($BI311="-&gt;",$BL311,$BD311)))</f>
        <v/>
      </c>
      <c r="CO311" s="101" t="str">
        <f aca="false">IF(ISBLANK($C311),"",IF($BR311&lt;&gt;Constants!$B$8,"",IF($BI311="-&gt;",$BM311+$BN311,$BE311+$BF311)+$BV311))</f>
        <v/>
      </c>
      <c r="CP311" s="101" t="str">
        <f aca="false">IF(ISBLANK($C311),"",IF($BR311&lt;&gt;Constants!$B$8,"",IF($BI311="-&gt;",$BO311,$BG311)+$BU311))</f>
        <v/>
      </c>
      <c r="CQ311" s="102" t="str">
        <f aca="false">IF(ISBLANK($C311),"",IF($BR311&lt;&gt;Constants!$B$8,$BR311,$BW311))</f>
        <v/>
      </c>
      <c r="CR311" s="103" t="str">
        <f aca="false">IF(ISBLANK($C311),"",$BS311)</f>
        <v/>
      </c>
      <c r="CS311" s="104" t="str">
        <f aca="false">IF(ISBLANK($C311),"",$CH311)</f>
        <v/>
      </c>
      <c r="CT311" s="104" t="str">
        <f aca="false">IF(ISBLANK($C311),"",$CG311)</f>
        <v/>
      </c>
      <c r="CU311" s="105" t="str">
        <f aca="false">IF(ISBLANK($C311),"",IFERROR(_xlfn.SWITCH($CT311,Constants!$B$11,COUNTA($C$9:$C$508)+2,Constants!$B$10,COUNTA($C$9:$C$508)+1,Constants!$B$9,COUNTA($C$9:$C$508)),$CT311))</f>
        <v/>
      </c>
      <c r="CV311" s="9"/>
      <c r="CW311" s="106" t="n">
        <f aca="false">IF(OR(ISNUMBER($CT311),$CT311=Constants!$B$11,$CT311=Constants!$B$9,$CT311=Constants!$B$10),1,0)</f>
        <v>0</v>
      </c>
      <c r="CX311" s="106" t="n">
        <v>303</v>
      </c>
      <c r="CY311" s="106" t="str">
        <f aca="false">IF(ISBLANK($C311),"",IF(ISNUMBER($CU311),$CU311+ROW($B311)/1000,""))</f>
        <v/>
      </c>
      <c r="CZ311" s="106" t="str">
        <f aca="false">IF(ISNUMBER($CY311),RANK($CY311,$CY$9:$CY$508,1),"")</f>
        <v/>
      </c>
      <c r="DA311" s="106" t="str">
        <f aca="false">IF(ISBLANK($C311),"",$B311)</f>
        <v/>
      </c>
      <c r="DB311" s="106" t="str">
        <f aca="false">IF(ISBLANK($C311),"",$C311)</f>
        <v/>
      </c>
      <c r="DC311" s="106" t="str">
        <f aca="false">IF(ISBLANK($C311),"",$D311)</f>
        <v/>
      </c>
      <c r="DD311" s="107" t="str">
        <f aca="false">$CR311</f>
        <v/>
      </c>
      <c r="DE311" s="108" t="str">
        <f aca="false">$CQ311</f>
        <v/>
      </c>
      <c r="DF311" s="106" t="str">
        <f aca="false">IF(ISBLANK($C311),"",$CT311)</f>
        <v/>
      </c>
      <c r="DG311" s="109" t="str">
        <f aca="false">IF($CX311&gt;$CW$8,"",VLOOKUP($CX311,$CZ$9:$DF$508,7,FALSE()))</f>
        <v/>
      </c>
      <c r="DH311" s="110" t="str">
        <f aca="false">IF($CX311&gt;$CW$8,"",VLOOKUP($CX311,$CZ$9:$DF$508,2,FALSE()))</f>
        <v/>
      </c>
      <c r="DI311" s="110" t="str">
        <f aca="false">IF($CX311&gt;$CW$8,"",VLOOKUP($CX311,$CZ$9:$DF$508,3,FALSE()))</f>
        <v/>
      </c>
      <c r="DJ311" s="110" t="str">
        <f aca="false">IF($CX311&gt;$CW$8,"",VLOOKUP($CX311,$CZ$9:$DF$508,4,FALSE()))</f>
        <v/>
      </c>
      <c r="DK311" s="110" t="str">
        <f aca="false">IF($CX311&gt;$CW$8,"",VLOOKUP($CX311,$CZ$9:$DF$508,5,FALSE()))</f>
        <v/>
      </c>
      <c r="DL311" s="111" t="str">
        <f aca="false">IF($CX311&gt;$CW$8,"",VLOOKUP($CX311,$CZ$9:$DF$508,6,FALSE()))</f>
        <v/>
      </c>
      <c r="DM311" s="75"/>
    </row>
    <row r="312" customFormat="false" ht="15.75" hidden="false" customHeight="false" outlineLevel="0" collapsed="false">
      <c r="A312" s="9"/>
      <c r="B312" s="157"/>
      <c r="C312" s="158"/>
      <c r="D312" s="159"/>
      <c r="E312" s="177"/>
      <c r="F312" s="161"/>
      <c r="G312" s="162"/>
      <c r="H312" s="162"/>
      <c r="I312" s="178"/>
      <c r="J312" s="165"/>
      <c r="K312" s="126"/>
      <c r="L312" s="127"/>
      <c r="M312" s="128"/>
      <c r="N312" s="165"/>
      <c r="O312" s="165"/>
      <c r="P312" s="177"/>
      <c r="Q312" s="165"/>
      <c r="R312" s="165"/>
      <c r="S312" s="126"/>
      <c r="T312" s="128"/>
      <c r="U312" s="128"/>
      <c r="V312" s="165"/>
      <c r="W312" s="165"/>
      <c r="X312" s="177"/>
      <c r="Y312" s="165"/>
      <c r="Z312" s="166"/>
      <c r="AA312" s="165"/>
      <c r="AB312" s="132"/>
      <c r="AC312" s="133"/>
      <c r="AD312" s="133"/>
      <c r="AE312" s="133"/>
      <c r="AF312" s="133" t="str">
        <f aca="false">IF(ISBLANK($C312),"",IF(E312=Constants!$B$3,TRUE(),IF(E312=Constants!$B$4,FALSE(),TRUE())))</f>
        <v/>
      </c>
      <c r="AG312" s="133" t="str">
        <f aca="false">IF(ISBLANK($C312),"",IF(F312=Constants!$B$3,TRUE(),IF(F312=Constants!$B$4,FALSE(),TRUE())))</f>
        <v/>
      </c>
      <c r="AH312" s="133" t="str">
        <f aca="false">IF(ISBLANK($C312),"",IF(G312=Constants!$B$3,TRUE(),IF(G312=Constants!$B$4,FALSE(),TRUE())))</f>
        <v/>
      </c>
      <c r="AI312" s="133" t="str">
        <f aca="false">IF(ISBLANK($C312),"",IF(AND(ISNUMBER(H312),H312&gt;=0),H312,Constants!$B$29))</f>
        <v/>
      </c>
      <c r="AJ312" s="133" t="str">
        <f aca="false">IF(ISBLANK($C312),"",IF(I312=Constants!$B$3,TRUE(),IF(I312=Constants!$B$4,FALSE(),TRUE())))</f>
        <v/>
      </c>
      <c r="AK312" s="133" t="str">
        <f aca="false">IF(ISBLANK($C312),"",IF(J312=Constants!$B$3,TRUE(),IF(J312=Constants!$B$4,FALSE(),TRUE())))</f>
        <v/>
      </c>
      <c r="AL312" s="133" t="str">
        <f aca="false">IF(ISBLANK($C312),"",IF(K312=Constants!$B$5,TRUE(),IF(K312=Constants!$B$6,FALSE(),COUNTA(L312:P312)&gt;0)))</f>
        <v/>
      </c>
      <c r="AM312" s="134" t="str">
        <f aca="false">IF(ISBLANK($C312),"",IF(ISNUMBER(L312),IF(L312&gt;=0,L312,""),""))</f>
        <v/>
      </c>
      <c r="AN312" s="135" t="str">
        <f aca="false">IF(ISBLANK($C312),"",IF(ISNUMBER(M312),IF(M312&gt;=0,M312,""),""))</f>
        <v/>
      </c>
      <c r="AO312" s="135" t="str">
        <f aca="false">IF(ISBLANK($C312),"",IF(N312=Constants!$B$3,TRUE(),IF(N312=Constants!$B$4,FALSE(),TRUE())))</f>
        <v/>
      </c>
      <c r="AP312" s="133" t="str">
        <f aca="false">IF(ISBLANK($C312),"",IF(ISNUMBER(O312),IF(O312&gt;=0,O312,""),""))</f>
        <v/>
      </c>
      <c r="AQ312" s="133" t="str">
        <f aca="false">IF(ISBLANK($C312),"",IF(P312=Constants!$B$3,TRUE(),IF(P312=Constants!$B$4,FALSE(),FALSE())))</f>
        <v/>
      </c>
      <c r="AR312" s="133" t="str">
        <f aca="false">IF(ISBLANK($C312),"",IF(Q312=Constants!$B$3,TRUE(),IF(Q312=Constants!$B$4,FALSE(),TRUE())))</f>
        <v/>
      </c>
      <c r="AS312" s="133" t="str">
        <f aca="false">IF(ISBLANK($C312),"",IF(R312=Constants!$B$3,TRUE(),IF(R312=Constants!$B$4,FALSE(),TRUE())))</f>
        <v/>
      </c>
      <c r="AT312" s="133" t="str">
        <f aca="false">IF(ISBLANK($C312),"",IF(S312=Constants!$B$5,TRUE(),IF(S312=Constants!$B$6,FALSE(),COUNTA(T312:X312)&gt;0)))</f>
        <v/>
      </c>
      <c r="AU312" s="134" t="str">
        <f aca="false">IF(ISBLANK($C312),"",IF(ISNUMBER(T312),IF(T312&gt;=0,T312,""),""))</f>
        <v/>
      </c>
      <c r="AV312" s="135" t="str">
        <f aca="false">IF(ISBLANK($C312),"",IF(ISNUMBER(U312),IF(U312&gt;=0,U312,""),""))</f>
        <v/>
      </c>
      <c r="AW312" s="135" t="str">
        <f aca="false">IF(ISBLANK($C312),"",IF(V312=Constants!$B$3,TRUE(),IF(V312=Constants!$B$4,FALSE(),TRUE())))</f>
        <v/>
      </c>
      <c r="AX312" s="133" t="str">
        <f aca="false">IF(ISBLANK($C312),"",IF(ISNUMBER(W312),IF(W312&gt;=0,W312,""),""))</f>
        <v/>
      </c>
      <c r="AY312" s="133" t="str">
        <f aca="false">IF(ISBLANK($C312),"",IF(X312=Constants!$B$3,TRUE(),IF(X312=Constants!$B$4,FALSE(),FALSE())))</f>
        <v/>
      </c>
      <c r="AZ312" s="133" t="str">
        <f aca="false">IF(ISBLANK($C312),"",MIN(Constants!$B$31,MAX(0,IF(ISNUMBER(Y312),Y312*60,0)+IF(ISNUMBER(Z312),Z312,0))))</f>
        <v/>
      </c>
      <c r="BA312" s="133" t="str">
        <f aca="false">IF(ISBLANK($C312),"",IF(AA312=Constants!$B$3,TRUE(),IF(AA312=Constants!$B$4,FALSE(),FALSE())))</f>
        <v/>
      </c>
      <c r="BB312" s="132" t="str">
        <f aca="false">IF(ISBLANK($C312),"",AND($AL312,OR($AM312="",$AN312="",AND($AO312,$AP312=""))))</f>
        <v/>
      </c>
      <c r="BC312" s="135" t="str">
        <f aca="false">IF($BR312&lt;&gt;Constants!$B$8,"",IF($AL312,Constants!$B$21*$AN312+Constants!$B$22*IF($AO312,$AP312,Constants!$B$23),Constants!$B$24))</f>
        <v/>
      </c>
      <c r="BD312" s="136" t="str">
        <f aca="false">IF($BR312&lt;&gt;Constants!$B$8,"",Constants!$B$25*ABS($AD$9-IF($AL312,$AM312,0)))</f>
        <v/>
      </c>
      <c r="BE312" s="136" t="str">
        <f aca="false">IF($BR312&lt;&gt;Constants!$B$8,"",IF(AND($AL312,$AQ312,$AO312),Constants!$B$27,0))</f>
        <v/>
      </c>
      <c r="BF312" s="136" t="str">
        <f aca="false">IF($BR312&lt;&gt;Constants!$B$8,"",IF($AL312,($AI312-Constants!$B$29)*Constants!$B$28,0))</f>
        <v/>
      </c>
      <c r="BG312" s="136" t="str">
        <f aca="false">IF($BR312&lt;&gt;Constants!$B$8,"",IF($AK312,0,Constants!$B$15)+IF($AJ312,0,Constants!$B$16)+IF($AH312,0,Constants!$B$17))</f>
        <v/>
      </c>
      <c r="BH312" s="137" t="str">
        <f aca="false">IF($BR312&lt;&gt;Constants!$B$8,"",Constants!$B$20+SUM($BC312:$BG312))</f>
        <v/>
      </c>
      <c r="BI312" s="133" t="str">
        <f aca="false">IF($BR312&lt;&gt;Constants!$B$8,"",IF(OR($BP312&lt;$BH312,AND($BP312=$BH312,OR($BK312&lt;$BC312,AND($BK312=$BC312,OR($BL312&lt;$BD312,AND($BL312=$BD312,$AT312,$AL312,$AV312&lt;$AN312)))))),"-&gt;","&lt;-"))</f>
        <v/>
      </c>
      <c r="BJ312" s="132" t="str">
        <f aca="false">IF(ISBLANK($C312),"",AND($AT312,OR($AU312="",$AV312="",AND($AW312,$AX312=""))))</f>
        <v/>
      </c>
      <c r="BK312" s="135" t="str">
        <f aca="false">IF($BR312&lt;&gt;Constants!$B$8,"",IF($AT312,Constants!$B$21*$AV312+Constants!$B$22*IF($AW312,$AX312,Constants!$B$23),Constants!$B$24))</f>
        <v/>
      </c>
      <c r="BL312" s="136" t="str">
        <f aca="false">IF($BR312&lt;&gt;Constants!$B$8,"",Constants!$B$25*ABS($AD$9-IF($AT312,$AU312,0)))</f>
        <v/>
      </c>
      <c r="BM312" s="136" t="str">
        <f aca="false">IF($BR312&lt;&gt;Constants!$B$8,"",IF(AND($AT312,$AY312,$AW312),Constants!$B$27,0))</f>
        <v/>
      </c>
      <c r="BN312" s="136" t="str">
        <f aca="false">IF($BR312&lt;&gt;Constants!$B$8,"",IF($AT312,($AI312-Constants!$B$29)*Constants!$B$28,0))</f>
        <v/>
      </c>
      <c r="BO312" s="136" t="str">
        <f aca="false">IF($BR312&lt;&gt;Constants!$B$8,"",IF($AS312,0,Constants!$B$15)+IF($AR312,0,Constants!$B$16)+IF($AH312,0,Constants!$B$17))</f>
        <v/>
      </c>
      <c r="BP312" s="137" t="str">
        <f aca="false">IF($BR312&lt;&gt;Constants!$B$8,"",Constants!$B$20+SUM($BK312:$BO312))</f>
        <v/>
      </c>
      <c r="BQ312" s="133" t="str">
        <f aca="false">IF(ISBLANK($C312),"",IF(ISBLANK($D$7),$BQ$5,IF(NOT(ISNUMBER($D$7)),$BQ$6,"")))</f>
        <v/>
      </c>
      <c r="BR312" s="133" t="str">
        <f aca="false">IF(ISBLANK($C312),"",IF($BA312,Constants!$B$11,IF(COUNTA($E312:$AA312)=0,Constants!$B$10,IF(NOT($AG312),Constants!$B$9,IF(OR($BQ312&lt;&gt;"",$BB312,$BJ312),Constants!$B$12,Constants!$B$8)))))</f>
        <v/>
      </c>
      <c r="BS312" s="133" t="str">
        <f aca="false">IF(ISBLANK($C312),"",IF($BR312&lt;&gt;Constants!$B$8,$BR312,Constants!$B$13))</f>
        <v/>
      </c>
      <c r="BT312" s="136" t="str">
        <f aca="false">IF($BR312&lt;&gt;Constants!$B$8,"",IF($BI312="-&gt;",$BP312,$BH312))</f>
        <v/>
      </c>
      <c r="BU312" s="136" t="str">
        <f aca="false">IF($BR312&lt;&gt;Constants!$B$8,"",IF($AF312,0,Constants!$B$18))</f>
        <v/>
      </c>
      <c r="BV312" s="136" t="str">
        <f aca="false">IF($BR312&lt;&gt;Constants!$B$8,"",((Constants!$B$31-$AZ312)-Constants!$B$31)/Constants!$B$32)</f>
        <v/>
      </c>
      <c r="BW312" s="136" t="str">
        <f aca="false">IF(ISBLANK($C312),"",IF($BR312&lt;&gt;Constants!$B$8,$BR312,SUM($BT312:$BV312)))</f>
        <v/>
      </c>
      <c r="BX312" s="133" t="str">
        <f aca="false">IF(ISBLANK($C312),"",IF($BR312&lt;&gt;Constants!$B$8,$BR312,RANK($BW312,$BW$9:$BW$508,1)))</f>
        <v/>
      </c>
      <c r="BY312" s="136" t="str">
        <f aca="false">IF($BR312&lt;&gt;Constants!$B$8,"",IF($BI312="-&gt;",$BK312,$BC312))</f>
        <v/>
      </c>
      <c r="BZ312" s="133" t="str">
        <f aca="false">IF(ISBLANK($C312),"",IF($BR312&lt;&gt;Constants!$B$8,$BR312,IF(ISNUMBER($BY312),RANK($BY312,$BY$9:$BY$508,1),COUNT($BY$9:$BY$508)+1)))</f>
        <v/>
      </c>
      <c r="CA312" s="136" t="str">
        <f aca="false">IF($BR312&lt;&gt;Constants!$B$8,"",IF($BI312="-&gt;",$BL312,$BD312))</f>
        <v/>
      </c>
      <c r="CB312" s="133" t="str">
        <f aca="false">IF(ISBLANK($C312),"",IF($BR312&lt;&gt;Constants!$B$8,$BR312,IF(ISNUMBER($CA312),RANK($CA312,$CA$9:$CA$508,1),COUNT($CA$9:$CA$508)+1)))</f>
        <v/>
      </c>
      <c r="CC312" s="136" t="str">
        <f aca="false">IF($BR312&lt;&gt;Constants!$B$8,"",IF($BI312="-&gt;",IF($AT312,$AV312,""),IF($AL312,$AN312,"")))</f>
        <v/>
      </c>
      <c r="CD312" s="133" t="str">
        <f aca="false">IF(ISBLANK($C312),"",IF($BR312&lt;&gt;Constants!$B$8,$BR312,IF(ISNUMBER($CC312),RANK($CC312,$CC$9:$CC$508,1),COUNT($CC$9:$CC$508)+1)))</f>
        <v/>
      </c>
      <c r="CE312" s="136" t="str">
        <f aca="false">IF($BR312&lt;&gt;Constants!$B$8,"",IF(AND(NOT($AL312),NOT($AT312),$AJ312,$AK312,$AR312,$AS312),"",$AI312))</f>
        <v/>
      </c>
      <c r="CF312" s="133" t="str">
        <f aca="false">IF(ISBLANK($C312),"",IF($BR312&lt;&gt;Constants!$B$8,$BR312,IF(ISNUMBER($CE312),RANK($CE312,$CE$9:$CE$508,1),COUNT($CE$9:$CE$508)+1)))</f>
        <v/>
      </c>
      <c r="CG312" s="133" t="str">
        <f aca="false">IF(ISBLANK($C312),"",IF($BR312&lt;&gt;Constants!$B$8,$BR312,COUNTIFS($BX$9:$BX$508,"&lt;"&amp;$BX312)+COUNTIFS($BX$9:$BX$508,$BX312,$BZ$9:$BZ$508,"&lt;"&amp;$BZ312)+COUNTIFS($BX$9:$BX$508,$BX312,$BZ$9:$BZ$508,$BZ312,$CB$9:$CB$508,"&lt;"&amp;$CB312)+COUNTIFS($BX$9:$BX$508,$BX312,$BZ$9:$BZ$508,$BZ312,$CB$9:$CB$508,$CB312,$CD$9:$CD$508,"&lt;"&amp;$CD312)+COUNTIFS($BX$9:$BX$508,$BX312,$BZ$9:$BZ$508,$BZ312,$CB$9:$CB$508,$CB312,$CD$9:$CD$508,$CD312,$CF$9:$CF$508,"&lt;"&amp;$CF312)+1))</f>
        <v/>
      </c>
      <c r="CH312" s="133" t="str">
        <f aca="false">IF(ISBLANK($C312),"",IF($BR312&lt;&gt;Constants!$B$8,$BR312,$BX312-$CG312))</f>
        <v/>
      </c>
      <c r="CI312" s="138"/>
      <c r="CJ312" s="139"/>
      <c r="CK312" s="140" t="str">
        <f aca="false">IF(ISBLANK($C312),"",IF($BR312=Constants!$B$12,$BQ312,""))</f>
        <v/>
      </c>
      <c r="CL312" s="139" t="str">
        <f aca="false">IF(ISBLANK($C312),"",IF($BR312&lt;&gt;Constants!$B$8,"",IF($BI312="-&gt;",2,1)))</f>
        <v/>
      </c>
      <c r="CM312" s="141" t="str">
        <f aca="false">IF(ISBLANK($C312),"",IF($BR312&lt;&gt;Constants!$B$8,"",IF($BI312="-&gt;",$BK312,$BC312)))</f>
        <v/>
      </c>
      <c r="CN312" s="141" t="str">
        <f aca="false">IF(ISBLANK($C312),"",IF($BR312&lt;&gt;Constants!$B$8,"",IF($BI312="-&gt;",$BL312,$BD312)))</f>
        <v/>
      </c>
      <c r="CO312" s="141" t="str">
        <f aca="false">IF(ISBLANK($C312),"",IF($BR312&lt;&gt;Constants!$B$8,"",IF($BI312="-&gt;",$BM312+$BN312,$BE312+$BF312)+$BV312))</f>
        <v/>
      </c>
      <c r="CP312" s="141" t="str">
        <f aca="false">IF(ISBLANK($C312),"",IF($BR312&lt;&gt;Constants!$B$8,"",IF($BI312="-&gt;",$BO312,$BG312)+$BU312))</f>
        <v/>
      </c>
      <c r="CQ312" s="142" t="str">
        <f aca="false">IF(ISBLANK($C312),"",IF($BR312&lt;&gt;Constants!$B$8,$BR312,$BW312))</f>
        <v/>
      </c>
      <c r="CR312" s="143" t="str">
        <f aca="false">IF(ISBLANK($C312),"",$BS312)</f>
        <v/>
      </c>
      <c r="CS312" s="144" t="str">
        <f aca="false">IF(ISBLANK($C312),"",$CH312)</f>
        <v/>
      </c>
      <c r="CT312" s="144" t="str">
        <f aca="false">IF(ISBLANK($C312),"",$CG312)</f>
        <v/>
      </c>
      <c r="CU312" s="145" t="str">
        <f aca="false">IF(ISBLANK($C312),"",IFERROR(_xlfn.SWITCH($CT312,Constants!$B$11,COUNTA($C$9:$C$508)+2,Constants!$B$10,COUNTA($C$9:$C$508)+1,Constants!$B$9,COUNTA($C$9:$C$508)),$CT312))</f>
        <v/>
      </c>
      <c r="CV312" s="9"/>
      <c r="CW312" s="146" t="n">
        <f aca="false">IF(OR(ISNUMBER($CT312),$CT312=Constants!$B$11,$CT312=Constants!$B$9,$CT312=Constants!$B$10),1,0)</f>
        <v>0</v>
      </c>
      <c r="CX312" s="146" t="n">
        <v>304</v>
      </c>
      <c r="CY312" s="146" t="str">
        <f aca="false">IF(ISBLANK($C312),"",IF(ISNUMBER($CU312),$CU312+ROW($B312)/1000,""))</f>
        <v/>
      </c>
      <c r="CZ312" s="146" t="str">
        <f aca="false">IF(ISNUMBER($CY312),RANK($CY312,$CY$9:$CY$508,1),"")</f>
        <v/>
      </c>
      <c r="DA312" s="146" t="str">
        <f aca="false">IF(ISBLANK($C312),"",$B312)</f>
        <v/>
      </c>
      <c r="DB312" s="146" t="str">
        <f aca="false">IF(ISBLANK($C312),"",$C312)</f>
        <v/>
      </c>
      <c r="DC312" s="146" t="str">
        <f aca="false">IF(ISBLANK($C312),"",$D312)</f>
        <v/>
      </c>
      <c r="DD312" s="147" t="str">
        <f aca="false">$CR312</f>
        <v/>
      </c>
      <c r="DE312" s="148" t="str">
        <f aca="false">$CQ312</f>
        <v/>
      </c>
      <c r="DF312" s="146" t="str">
        <f aca="false">IF(ISBLANK($C312),"",$CT312)</f>
        <v/>
      </c>
      <c r="DG312" s="149" t="str">
        <f aca="false">IF($CX312&gt;$CW$8,"",VLOOKUP($CX312,$CZ$9:$DF$508,7,FALSE()))</f>
        <v/>
      </c>
      <c r="DH312" s="150" t="str">
        <f aca="false">IF($CX312&gt;$CW$8,"",VLOOKUP($CX312,$CZ$9:$DF$508,2,FALSE()))</f>
        <v/>
      </c>
      <c r="DI312" s="150" t="str">
        <f aca="false">IF($CX312&gt;$CW$8,"",VLOOKUP($CX312,$CZ$9:$DF$508,3,FALSE()))</f>
        <v/>
      </c>
      <c r="DJ312" s="150" t="str">
        <f aca="false">IF($CX312&gt;$CW$8,"",VLOOKUP($CX312,$CZ$9:$DF$508,4,FALSE()))</f>
        <v/>
      </c>
      <c r="DK312" s="150" t="str">
        <f aca="false">IF($CX312&gt;$CW$8,"",VLOOKUP($CX312,$CZ$9:$DF$508,5,FALSE()))</f>
        <v/>
      </c>
      <c r="DL312" s="151" t="str">
        <f aca="false">IF($CX312&gt;$CW$8,"",VLOOKUP($CX312,$CZ$9:$DF$508,6,FALSE()))</f>
        <v/>
      </c>
      <c r="DM312" s="75"/>
    </row>
    <row r="313" customFormat="false" ht="15.75" hidden="false" customHeight="false" outlineLevel="0" collapsed="false">
      <c r="A313" s="9"/>
      <c r="B313" s="157"/>
      <c r="C313" s="158"/>
      <c r="D313" s="159"/>
      <c r="E313" s="177"/>
      <c r="F313" s="161"/>
      <c r="G313" s="162"/>
      <c r="H313" s="162"/>
      <c r="I313" s="178"/>
      <c r="J313" s="165"/>
      <c r="K313" s="126"/>
      <c r="L313" s="127"/>
      <c r="M313" s="128"/>
      <c r="N313" s="165"/>
      <c r="O313" s="165"/>
      <c r="P313" s="177"/>
      <c r="Q313" s="165"/>
      <c r="R313" s="165"/>
      <c r="S313" s="126"/>
      <c r="T313" s="128"/>
      <c r="U313" s="128"/>
      <c r="V313" s="165"/>
      <c r="W313" s="165"/>
      <c r="X313" s="177"/>
      <c r="Y313" s="165"/>
      <c r="Z313" s="166"/>
      <c r="AA313" s="165"/>
      <c r="AB313" s="132"/>
      <c r="AC313" s="133"/>
      <c r="AD313" s="133"/>
      <c r="AE313" s="133"/>
      <c r="AF313" s="133" t="str">
        <f aca="false">IF(ISBLANK($C313),"",IF(E313=Constants!$B$3,TRUE(),IF(E313=Constants!$B$4,FALSE(),TRUE())))</f>
        <v/>
      </c>
      <c r="AG313" s="133" t="str">
        <f aca="false">IF(ISBLANK($C313),"",IF(F313=Constants!$B$3,TRUE(),IF(F313=Constants!$B$4,FALSE(),TRUE())))</f>
        <v/>
      </c>
      <c r="AH313" s="133" t="str">
        <f aca="false">IF(ISBLANK($C313),"",IF(G313=Constants!$B$3,TRUE(),IF(G313=Constants!$B$4,FALSE(),TRUE())))</f>
        <v/>
      </c>
      <c r="AI313" s="133" t="str">
        <f aca="false">IF(ISBLANK($C313),"",IF(AND(ISNUMBER(H313),H313&gt;=0),H313,Constants!$B$29))</f>
        <v/>
      </c>
      <c r="AJ313" s="133" t="str">
        <f aca="false">IF(ISBLANK($C313),"",IF(I313=Constants!$B$3,TRUE(),IF(I313=Constants!$B$4,FALSE(),TRUE())))</f>
        <v/>
      </c>
      <c r="AK313" s="133" t="str">
        <f aca="false">IF(ISBLANK($C313),"",IF(J313=Constants!$B$3,TRUE(),IF(J313=Constants!$B$4,FALSE(),TRUE())))</f>
        <v/>
      </c>
      <c r="AL313" s="133" t="str">
        <f aca="false">IF(ISBLANK($C313),"",IF(K313=Constants!$B$5,TRUE(),IF(K313=Constants!$B$6,FALSE(),COUNTA(L313:P313)&gt;0)))</f>
        <v/>
      </c>
      <c r="AM313" s="134" t="str">
        <f aca="false">IF(ISBLANK($C313),"",IF(ISNUMBER(L313),IF(L313&gt;=0,L313,""),""))</f>
        <v/>
      </c>
      <c r="AN313" s="135" t="str">
        <f aca="false">IF(ISBLANK($C313),"",IF(ISNUMBER(M313),IF(M313&gt;=0,M313,""),""))</f>
        <v/>
      </c>
      <c r="AO313" s="135" t="str">
        <f aca="false">IF(ISBLANK($C313),"",IF(N313=Constants!$B$3,TRUE(),IF(N313=Constants!$B$4,FALSE(),TRUE())))</f>
        <v/>
      </c>
      <c r="AP313" s="133" t="str">
        <f aca="false">IF(ISBLANK($C313),"",IF(ISNUMBER(O313),IF(O313&gt;=0,O313,""),""))</f>
        <v/>
      </c>
      <c r="AQ313" s="133" t="str">
        <f aca="false">IF(ISBLANK($C313),"",IF(P313=Constants!$B$3,TRUE(),IF(P313=Constants!$B$4,FALSE(),FALSE())))</f>
        <v/>
      </c>
      <c r="AR313" s="133" t="str">
        <f aca="false">IF(ISBLANK($C313),"",IF(Q313=Constants!$B$3,TRUE(),IF(Q313=Constants!$B$4,FALSE(),TRUE())))</f>
        <v/>
      </c>
      <c r="AS313" s="133" t="str">
        <f aca="false">IF(ISBLANK($C313),"",IF(R313=Constants!$B$3,TRUE(),IF(R313=Constants!$B$4,FALSE(),TRUE())))</f>
        <v/>
      </c>
      <c r="AT313" s="133" t="str">
        <f aca="false">IF(ISBLANK($C313),"",IF(S313=Constants!$B$5,TRUE(),IF(S313=Constants!$B$6,FALSE(),COUNTA(T313:X313)&gt;0)))</f>
        <v/>
      </c>
      <c r="AU313" s="134" t="str">
        <f aca="false">IF(ISBLANK($C313),"",IF(ISNUMBER(T313),IF(T313&gt;=0,T313,""),""))</f>
        <v/>
      </c>
      <c r="AV313" s="135" t="str">
        <f aca="false">IF(ISBLANK($C313),"",IF(ISNUMBER(U313),IF(U313&gt;=0,U313,""),""))</f>
        <v/>
      </c>
      <c r="AW313" s="135" t="str">
        <f aca="false">IF(ISBLANK($C313),"",IF(V313=Constants!$B$3,TRUE(),IF(V313=Constants!$B$4,FALSE(),TRUE())))</f>
        <v/>
      </c>
      <c r="AX313" s="133" t="str">
        <f aca="false">IF(ISBLANK($C313),"",IF(ISNUMBER(W313),IF(W313&gt;=0,W313,""),""))</f>
        <v/>
      </c>
      <c r="AY313" s="133" t="str">
        <f aca="false">IF(ISBLANK($C313),"",IF(X313=Constants!$B$3,TRUE(),IF(X313=Constants!$B$4,FALSE(),FALSE())))</f>
        <v/>
      </c>
      <c r="AZ313" s="133" t="str">
        <f aca="false">IF(ISBLANK($C313),"",MIN(Constants!$B$31,MAX(0,IF(ISNUMBER(Y313),Y313*60,0)+IF(ISNUMBER(Z313),Z313,0))))</f>
        <v/>
      </c>
      <c r="BA313" s="133" t="str">
        <f aca="false">IF(ISBLANK($C313),"",IF(AA313=Constants!$B$3,TRUE(),IF(AA313=Constants!$B$4,FALSE(),FALSE())))</f>
        <v/>
      </c>
      <c r="BB313" s="132" t="str">
        <f aca="false">IF(ISBLANK($C313),"",AND($AL313,OR($AM313="",$AN313="",AND($AO313,$AP313=""))))</f>
        <v/>
      </c>
      <c r="BC313" s="135" t="str">
        <f aca="false">IF($BR313&lt;&gt;Constants!$B$8,"",IF($AL313,Constants!$B$21*$AN313+Constants!$B$22*IF($AO313,$AP313,Constants!$B$23),Constants!$B$24))</f>
        <v/>
      </c>
      <c r="BD313" s="136" t="str">
        <f aca="false">IF($BR313&lt;&gt;Constants!$B$8,"",Constants!$B$25*ABS($AD$9-IF($AL313,$AM313,0)))</f>
        <v/>
      </c>
      <c r="BE313" s="136" t="str">
        <f aca="false">IF($BR313&lt;&gt;Constants!$B$8,"",IF(AND($AL313,$AQ313,$AO313),Constants!$B$27,0))</f>
        <v/>
      </c>
      <c r="BF313" s="136" t="str">
        <f aca="false">IF($BR313&lt;&gt;Constants!$B$8,"",IF($AL313,($AI313-Constants!$B$29)*Constants!$B$28,0))</f>
        <v/>
      </c>
      <c r="BG313" s="136" t="str">
        <f aca="false">IF($BR313&lt;&gt;Constants!$B$8,"",IF($AK313,0,Constants!$B$15)+IF($AJ313,0,Constants!$B$16)+IF($AH313,0,Constants!$B$17))</f>
        <v/>
      </c>
      <c r="BH313" s="137" t="str">
        <f aca="false">IF($BR313&lt;&gt;Constants!$B$8,"",Constants!$B$20+SUM($BC313:$BG313))</f>
        <v/>
      </c>
      <c r="BI313" s="133" t="str">
        <f aca="false">IF($BR313&lt;&gt;Constants!$B$8,"",IF(OR($BP313&lt;$BH313,AND($BP313=$BH313,OR($BK313&lt;$BC313,AND($BK313=$BC313,OR($BL313&lt;$BD313,AND($BL313=$BD313,$AT313,$AL313,$AV313&lt;$AN313)))))),"-&gt;","&lt;-"))</f>
        <v/>
      </c>
      <c r="BJ313" s="132" t="str">
        <f aca="false">IF(ISBLANK($C313),"",AND($AT313,OR($AU313="",$AV313="",AND($AW313,$AX313=""))))</f>
        <v/>
      </c>
      <c r="BK313" s="135" t="str">
        <f aca="false">IF($BR313&lt;&gt;Constants!$B$8,"",IF($AT313,Constants!$B$21*$AV313+Constants!$B$22*IF($AW313,$AX313,Constants!$B$23),Constants!$B$24))</f>
        <v/>
      </c>
      <c r="BL313" s="136" t="str">
        <f aca="false">IF($BR313&lt;&gt;Constants!$B$8,"",Constants!$B$25*ABS($AD$9-IF($AT313,$AU313,0)))</f>
        <v/>
      </c>
      <c r="BM313" s="136" t="str">
        <f aca="false">IF($BR313&lt;&gt;Constants!$B$8,"",IF(AND($AT313,$AY313,$AW313),Constants!$B$27,0))</f>
        <v/>
      </c>
      <c r="BN313" s="136" t="str">
        <f aca="false">IF($BR313&lt;&gt;Constants!$B$8,"",IF($AT313,($AI313-Constants!$B$29)*Constants!$B$28,0))</f>
        <v/>
      </c>
      <c r="BO313" s="136" t="str">
        <f aca="false">IF($BR313&lt;&gt;Constants!$B$8,"",IF($AS313,0,Constants!$B$15)+IF($AR313,0,Constants!$B$16)+IF($AH313,0,Constants!$B$17))</f>
        <v/>
      </c>
      <c r="BP313" s="137" t="str">
        <f aca="false">IF($BR313&lt;&gt;Constants!$B$8,"",Constants!$B$20+SUM($BK313:$BO313))</f>
        <v/>
      </c>
      <c r="BQ313" s="133" t="str">
        <f aca="false">IF(ISBLANK($C313),"",IF(ISBLANK($D$7),$BQ$5,IF(NOT(ISNUMBER($D$7)),$BQ$6,"")))</f>
        <v/>
      </c>
      <c r="BR313" s="133" t="str">
        <f aca="false">IF(ISBLANK($C313),"",IF($BA313,Constants!$B$11,IF(COUNTA($E313:$AA313)=0,Constants!$B$10,IF(NOT($AG313),Constants!$B$9,IF(OR($BQ313&lt;&gt;"",$BB313,$BJ313),Constants!$B$12,Constants!$B$8)))))</f>
        <v/>
      </c>
      <c r="BS313" s="133" t="str">
        <f aca="false">IF(ISBLANK($C313),"",IF($BR313&lt;&gt;Constants!$B$8,$BR313,Constants!$B$13))</f>
        <v/>
      </c>
      <c r="BT313" s="136" t="str">
        <f aca="false">IF($BR313&lt;&gt;Constants!$B$8,"",IF($BI313="-&gt;",$BP313,$BH313))</f>
        <v/>
      </c>
      <c r="BU313" s="136" t="str">
        <f aca="false">IF($BR313&lt;&gt;Constants!$B$8,"",IF($AF313,0,Constants!$B$18))</f>
        <v/>
      </c>
      <c r="BV313" s="136" t="str">
        <f aca="false">IF($BR313&lt;&gt;Constants!$B$8,"",((Constants!$B$31-$AZ313)-Constants!$B$31)/Constants!$B$32)</f>
        <v/>
      </c>
      <c r="BW313" s="136" t="str">
        <f aca="false">IF(ISBLANK($C313),"",IF($BR313&lt;&gt;Constants!$B$8,$BR313,SUM($BT313:$BV313)))</f>
        <v/>
      </c>
      <c r="BX313" s="133" t="str">
        <f aca="false">IF(ISBLANK($C313),"",IF($BR313&lt;&gt;Constants!$B$8,$BR313,RANK($BW313,$BW$9:$BW$508,1)))</f>
        <v/>
      </c>
      <c r="BY313" s="136" t="str">
        <f aca="false">IF($BR313&lt;&gt;Constants!$B$8,"",IF($BI313="-&gt;",$BK313,$BC313))</f>
        <v/>
      </c>
      <c r="BZ313" s="133" t="str">
        <f aca="false">IF(ISBLANK($C313),"",IF($BR313&lt;&gt;Constants!$B$8,$BR313,IF(ISNUMBER($BY313),RANK($BY313,$BY$9:$BY$508,1),COUNT($BY$9:$BY$508)+1)))</f>
        <v/>
      </c>
      <c r="CA313" s="136" t="str">
        <f aca="false">IF($BR313&lt;&gt;Constants!$B$8,"",IF($BI313="-&gt;",$BL313,$BD313))</f>
        <v/>
      </c>
      <c r="CB313" s="133" t="str">
        <f aca="false">IF(ISBLANK($C313),"",IF($BR313&lt;&gt;Constants!$B$8,$BR313,IF(ISNUMBER($CA313),RANK($CA313,$CA$9:$CA$508,1),COUNT($CA$9:$CA$508)+1)))</f>
        <v/>
      </c>
      <c r="CC313" s="136" t="str">
        <f aca="false">IF($BR313&lt;&gt;Constants!$B$8,"",IF($BI313="-&gt;",IF($AT313,$AV313,""),IF($AL313,$AN313,"")))</f>
        <v/>
      </c>
      <c r="CD313" s="133" t="str">
        <f aca="false">IF(ISBLANK($C313),"",IF($BR313&lt;&gt;Constants!$B$8,$BR313,IF(ISNUMBER($CC313),RANK($CC313,$CC$9:$CC$508,1),COUNT($CC$9:$CC$508)+1)))</f>
        <v/>
      </c>
      <c r="CE313" s="136" t="str">
        <f aca="false">IF($BR313&lt;&gt;Constants!$B$8,"",IF(AND(NOT($AL313),NOT($AT313),$AJ313,$AK313,$AR313,$AS313),"",$AI313))</f>
        <v/>
      </c>
      <c r="CF313" s="133" t="str">
        <f aca="false">IF(ISBLANK($C313),"",IF($BR313&lt;&gt;Constants!$B$8,$BR313,IF(ISNUMBER($CE313),RANK($CE313,$CE$9:$CE$508,1),COUNT($CE$9:$CE$508)+1)))</f>
        <v/>
      </c>
      <c r="CG313" s="133" t="str">
        <f aca="false">IF(ISBLANK($C313),"",IF($BR313&lt;&gt;Constants!$B$8,$BR313,COUNTIFS($BX$9:$BX$508,"&lt;"&amp;$BX313)+COUNTIFS($BX$9:$BX$508,$BX313,$BZ$9:$BZ$508,"&lt;"&amp;$BZ313)+COUNTIFS($BX$9:$BX$508,$BX313,$BZ$9:$BZ$508,$BZ313,$CB$9:$CB$508,"&lt;"&amp;$CB313)+COUNTIFS($BX$9:$BX$508,$BX313,$BZ$9:$BZ$508,$BZ313,$CB$9:$CB$508,$CB313,$CD$9:$CD$508,"&lt;"&amp;$CD313)+COUNTIFS($BX$9:$BX$508,$BX313,$BZ$9:$BZ$508,$BZ313,$CB$9:$CB$508,$CB313,$CD$9:$CD$508,$CD313,$CF$9:$CF$508,"&lt;"&amp;$CF313)+1))</f>
        <v/>
      </c>
      <c r="CH313" s="133" t="str">
        <f aca="false">IF(ISBLANK($C313),"",IF($BR313&lt;&gt;Constants!$B$8,$BR313,$BX313-$CG313))</f>
        <v/>
      </c>
      <c r="CI313" s="138"/>
      <c r="CJ313" s="139"/>
      <c r="CK313" s="140" t="str">
        <f aca="false">IF(ISBLANK($C313),"",IF($BR313=Constants!$B$12,$BQ313,""))</f>
        <v/>
      </c>
      <c r="CL313" s="139" t="str">
        <f aca="false">IF(ISBLANK($C313),"",IF($BR313&lt;&gt;Constants!$B$8,"",IF($BI313="-&gt;",2,1)))</f>
        <v/>
      </c>
      <c r="CM313" s="141" t="str">
        <f aca="false">IF(ISBLANK($C313),"",IF($BR313&lt;&gt;Constants!$B$8,"",IF($BI313="-&gt;",$BK313,$BC313)))</f>
        <v/>
      </c>
      <c r="CN313" s="141" t="str">
        <f aca="false">IF(ISBLANK($C313),"",IF($BR313&lt;&gt;Constants!$B$8,"",IF($BI313="-&gt;",$BL313,$BD313)))</f>
        <v/>
      </c>
      <c r="CO313" s="141" t="str">
        <f aca="false">IF(ISBLANK($C313),"",IF($BR313&lt;&gt;Constants!$B$8,"",IF($BI313="-&gt;",$BM313+$BN313,$BE313+$BF313)+$BV313))</f>
        <v/>
      </c>
      <c r="CP313" s="141" t="str">
        <f aca="false">IF(ISBLANK($C313),"",IF($BR313&lt;&gt;Constants!$B$8,"",IF($BI313="-&gt;",$BO313,$BG313)+$BU313))</f>
        <v/>
      </c>
      <c r="CQ313" s="142" t="str">
        <f aca="false">IF(ISBLANK($C313),"",IF($BR313&lt;&gt;Constants!$B$8,$BR313,$BW313))</f>
        <v/>
      </c>
      <c r="CR313" s="143" t="str">
        <f aca="false">IF(ISBLANK($C313),"",$BS313)</f>
        <v/>
      </c>
      <c r="CS313" s="144" t="str">
        <f aca="false">IF(ISBLANK($C313),"",$CH313)</f>
        <v/>
      </c>
      <c r="CT313" s="144" t="str">
        <f aca="false">IF(ISBLANK($C313),"",$CG313)</f>
        <v/>
      </c>
      <c r="CU313" s="145" t="str">
        <f aca="false">IF(ISBLANK($C313),"",IFERROR(_xlfn.SWITCH($CT313,Constants!$B$11,COUNTA($C$9:$C$508)+2,Constants!$B$10,COUNTA($C$9:$C$508)+1,Constants!$B$9,COUNTA($C$9:$C$508)),$CT313))</f>
        <v/>
      </c>
      <c r="CV313" s="9"/>
      <c r="CW313" s="146" t="n">
        <f aca="false">IF(OR(ISNUMBER($CT313),$CT313=Constants!$B$11,$CT313=Constants!$B$9,$CT313=Constants!$B$10),1,0)</f>
        <v>0</v>
      </c>
      <c r="CX313" s="146" t="n">
        <v>305</v>
      </c>
      <c r="CY313" s="146" t="str">
        <f aca="false">IF(ISBLANK($C313),"",IF(ISNUMBER($CU313),$CU313+ROW($B313)/1000,""))</f>
        <v/>
      </c>
      <c r="CZ313" s="146" t="str">
        <f aca="false">IF(ISNUMBER($CY313),RANK($CY313,$CY$9:$CY$508,1),"")</f>
        <v/>
      </c>
      <c r="DA313" s="146" t="str">
        <f aca="false">IF(ISBLANK($C313),"",$B313)</f>
        <v/>
      </c>
      <c r="DB313" s="146" t="str">
        <f aca="false">IF(ISBLANK($C313),"",$C313)</f>
        <v/>
      </c>
      <c r="DC313" s="146" t="str">
        <f aca="false">IF(ISBLANK($C313),"",$D313)</f>
        <v/>
      </c>
      <c r="DD313" s="147" t="str">
        <f aca="false">$CR313</f>
        <v/>
      </c>
      <c r="DE313" s="148" t="str">
        <f aca="false">$CQ313</f>
        <v/>
      </c>
      <c r="DF313" s="146" t="str">
        <f aca="false">IF(ISBLANK($C313),"",$CT313)</f>
        <v/>
      </c>
      <c r="DG313" s="149" t="str">
        <f aca="false">IF($CX313&gt;$CW$8,"",VLOOKUP($CX313,$CZ$9:$DF$508,7,FALSE()))</f>
        <v/>
      </c>
      <c r="DH313" s="150" t="str">
        <f aca="false">IF($CX313&gt;$CW$8,"",VLOOKUP($CX313,$CZ$9:$DF$508,2,FALSE()))</f>
        <v/>
      </c>
      <c r="DI313" s="150" t="str">
        <f aca="false">IF($CX313&gt;$CW$8,"",VLOOKUP($CX313,$CZ$9:$DF$508,3,FALSE()))</f>
        <v/>
      </c>
      <c r="DJ313" s="150" t="str">
        <f aca="false">IF($CX313&gt;$CW$8,"",VLOOKUP($CX313,$CZ$9:$DF$508,4,FALSE()))</f>
        <v/>
      </c>
      <c r="DK313" s="150" t="str">
        <f aca="false">IF($CX313&gt;$CW$8,"",VLOOKUP($CX313,$CZ$9:$DF$508,5,FALSE()))</f>
        <v/>
      </c>
      <c r="DL313" s="151" t="str">
        <f aca="false">IF($CX313&gt;$CW$8,"",VLOOKUP($CX313,$CZ$9:$DF$508,6,FALSE()))</f>
        <v/>
      </c>
      <c r="DM313" s="75"/>
    </row>
    <row r="314" customFormat="false" ht="15.75" hidden="false" customHeight="false" outlineLevel="0" collapsed="false">
      <c r="A314" s="9"/>
      <c r="B314" s="157"/>
      <c r="C314" s="158"/>
      <c r="D314" s="159"/>
      <c r="E314" s="177"/>
      <c r="F314" s="161"/>
      <c r="G314" s="162"/>
      <c r="H314" s="162"/>
      <c r="I314" s="178"/>
      <c r="J314" s="165"/>
      <c r="K314" s="126"/>
      <c r="L314" s="127"/>
      <c r="M314" s="128"/>
      <c r="N314" s="165"/>
      <c r="O314" s="165"/>
      <c r="P314" s="177"/>
      <c r="Q314" s="165"/>
      <c r="R314" s="165"/>
      <c r="S314" s="126"/>
      <c r="T314" s="128"/>
      <c r="U314" s="128"/>
      <c r="V314" s="165"/>
      <c r="W314" s="165"/>
      <c r="X314" s="177"/>
      <c r="Y314" s="165"/>
      <c r="Z314" s="166"/>
      <c r="AA314" s="165"/>
      <c r="AB314" s="132"/>
      <c r="AC314" s="133"/>
      <c r="AD314" s="133"/>
      <c r="AE314" s="133"/>
      <c r="AF314" s="133" t="str">
        <f aca="false">IF(ISBLANK($C314),"",IF(E314=Constants!$B$3,TRUE(),IF(E314=Constants!$B$4,FALSE(),TRUE())))</f>
        <v/>
      </c>
      <c r="AG314" s="133" t="str">
        <f aca="false">IF(ISBLANK($C314),"",IF(F314=Constants!$B$3,TRUE(),IF(F314=Constants!$B$4,FALSE(),TRUE())))</f>
        <v/>
      </c>
      <c r="AH314" s="133" t="str">
        <f aca="false">IF(ISBLANK($C314),"",IF(G314=Constants!$B$3,TRUE(),IF(G314=Constants!$B$4,FALSE(),TRUE())))</f>
        <v/>
      </c>
      <c r="AI314" s="133" t="str">
        <f aca="false">IF(ISBLANK($C314),"",IF(AND(ISNUMBER(H314),H314&gt;=0),H314,Constants!$B$29))</f>
        <v/>
      </c>
      <c r="AJ314" s="133" t="str">
        <f aca="false">IF(ISBLANK($C314),"",IF(I314=Constants!$B$3,TRUE(),IF(I314=Constants!$B$4,FALSE(),TRUE())))</f>
        <v/>
      </c>
      <c r="AK314" s="133" t="str">
        <f aca="false">IF(ISBLANK($C314),"",IF(J314=Constants!$B$3,TRUE(),IF(J314=Constants!$B$4,FALSE(),TRUE())))</f>
        <v/>
      </c>
      <c r="AL314" s="133" t="str">
        <f aca="false">IF(ISBLANK($C314),"",IF(K314=Constants!$B$5,TRUE(),IF(K314=Constants!$B$6,FALSE(),COUNTA(L314:P314)&gt;0)))</f>
        <v/>
      </c>
      <c r="AM314" s="134" t="str">
        <f aca="false">IF(ISBLANK($C314),"",IF(ISNUMBER(L314),IF(L314&gt;=0,L314,""),""))</f>
        <v/>
      </c>
      <c r="AN314" s="135" t="str">
        <f aca="false">IF(ISBLANK($C314),"",IF(ISNUMBER(M314),IF(M314&gt;=0,M314,""),""))</f>
        <v/>
      </c>
      <c r="AO314" s="135" t="str">
        <f aca="false">IF(ISBLANK($C314),"",IF(N314=Constants!$B$3,TRUE(),IF(N314=Constants!$B$4,FALSE(),TRUE())))</f>
        <v/>
      </c>
      <c r="AP314" s="133" t="str">
        <f aca="false">IF(ISBLANK($C314),"",IF(ISNUMBER(O314),IF(O314&gt;=0,O314,""),""))</f>
        <v/>
      </c>
      <c r="AQ314" s="133" t="str">
        <f aca="false">IF(ISBLANK($C314),"",IF(P314=Constants!$B$3,TRUE(),IF(P314=Constants!$B$4,FALSE(),FALSE())))</f>
        <v/>
      </c>
      <c r="AR314" s="133" t="str">
        <f aca="false">IF(ISBLANK($C314),"",IF(Q314=Constants!$B$3,TRUE(),IF(Q314=Constants!$B$4,FALSE(),TRUE())))</f>
        <v/>
      </c>
      <c r="AS314" s="133" t="str">
        <f aca="false">IF(ISBLANK($C314),"",IF(R314=Constants!$B$3,TRUE(),IF(R314=Constants!$B$4,FALSE(),TRUE())))</f>
        <v/>
      </c>
      <c r="AT314" s="133" t="str">
        <f aca="false">IF(ISBLANK($C314),"",IF(S314=Constants!$B$5,TRUE(),IF(S314=Constants!$B$6,FALSE(),COUNTA(T314:X314)&gt;0)))</f>
        <v/>
      </c>
      <c r="AU314" s="134" t="str">
        <f aca="false">IF(ISBLANK($C314),"",IF(ISNUMBER(T314),IF(T314&gt;=0,T314,""),""))</f>
        <v/>
      </c>
      <c r="AV314" s="135" t="str">
        <f aca="false">IF(ISBLANK($C314),"",IF(ISNUMBER(U314),IF(U314&gt;=0,U314,""),""))</f>
        <v/>
      </c>
      <c r="AW314" s="135" t="str">
        <f aca="false">IF(ISBLANK($C314),"",IF(V314=Constants!$B$3,TRUE(),IF(V314=Constants!$B$4,FALSE(),TRUE())))</f>
        <v/>
      </c>
      <c r="AX314" s="133" t="str">
        <f aca="false">IF(ISBLANK($C314),"",IF(ISNUMBER(W314),IF(W314&gt;=0,W314,""),""))</f>
        <v/>
      </c>
      <c r="AY314" s="133" t="str">
        <f aca="false">IF(ISBLANK($C314),"",IF(X314=Constants!$B$3,TRUE(),IF(X314=Constants!$B$4,FALSE(),FALSE())))</f>
        <v/>
      </c>
      <c r="AZ314" s="133" t="str">
        <f aca="false">IF(ISBLANK($C314),"",MIN(Constants!$B$31,MAX(0,IF(ISNUMBER(Y314),Y314*60,0)+IF(ISNUMBER(Z314),Z314,0))))</f>
        <v/>
      </c>
      <c r="BA314" s="133" t="str">
        <f aca="false">IF(ISBLANK($C314),"",IF(AA314=Constants!$B$3,TRUE(),IF(AA314=Constants!$B$4,FALSE(),FALSE())))</f>
        <v/>
      </c>
      <c r="BB314" s="132" t="str">
        <f aca="false">IF(ISBLANK($C314),"",AND($AL314,OR($AM314="",$AN314="",AND($AO314,$AP314=""))))</f>
        <v/>
      </c>
      <c r="BC314" s="135" t="str">
        <f aca="false">IF($BR314&lt;&gt;Constants!$B$8,"",IF($AL314,Constants!$B$21*$AN314+Constants!$B$22*IF($AO314,$AP314,Constants!$B$23),Constants!$B$24))</f>
        <v/>
      </c>
      <c r="BD314" s="136" t="str">
        <f aca="false">IF($BR314&lt;&gt;Constants!$B$8,"",Constants!$B$25*ABS($AD$9-IF($AL314,$AM314,0)))</f>
        <v/>
      </c>
      <c r="BE314" s="136" t="str">
        <f aca="false">IF($BR314&lt;&gt;Constants!$B$8,"",IF(AND($AL314,$AQ314,$AO314),Constants!$B$27,0))</f>
        <v/>
      </c>
      <c r="BF314" s="136" t="str">
        <f aca="false">IF($BR314&lt;&gt;Constants!$B$8,"",IF($AL314,($AI314-Constants!$B$29)*Constants!$B$28,0))</f>
        <v/>
      </c>
      <c r="BG314" s="136" t="str">
        <f aca="false">IF($BR314&lt;&gt;Constants!$B$8,"",IF($AK314,0,Constants!$B$15)+IF($AJ314,0,Constants!$B$16)+IF($AH314,0,Constants!$B$17))</f>
        <v/>
      </c>
      <c r="BH314" s="137" t="str">
        <f aca="false">IF($BR314&lt;&gt;Constants!$B$8,"",Constants!$B$20+SUM($BC314:$BG314))</f>
        <v/>
      </c>
      <c r="BI314" s="133" t="str">
        <f aca="false">IF($BR314&lt;&gt;Constants!$B$8,"",IF(OR($BP314&lt;$BH314,AND($BP314=$BH314,OR($BK314&lt;$BC314,AND($BK314=$BC314,OR($BL314&lt;$BD314,AND($BL314=$BD314,$AT314,$AL314,$AV314&lt;$AN314)))))),"-&gt;","&lt;-"))</f>
        <v/>
      </c>
      <c r="BJ314" s="132" t="str">
        <f aca="false">IF(ISBLANK($C314),"",AND($AT314,OR($AU314="",$AV314="",AND($AW314,$AX314=""))))</f>
        <v/>
      </c>
      <c r="BK314" s="135" t="str">
        <f aca="false">IF($BR314&lt;&gt;Constants!$B$8,"",IF($AT314,Constants!$B$21*$AV314+Constants!$B$22*IF($AW314,$AX314,Constants!$B$23),Constants!$B$24))</f>
        <v/>
      </c>
      <c r="BL314" s="136" t="str">
        <f aca="false">IF($BR314&lt;&gt;Constants!$B$8,"",Constants!$B$25*ABS($AD$9-IF($AT314,$AU314,0)))</f>
        <v/>
      </c>
      <c r="BM314" s="136" t="str">
        <f aca="false">IF($BR314&lt;&gt;Constants!$B$8,"",IF(AND($AT314,$AY314,$AW314),Constants!$B$27,0))</f>
        <v/>
      </c>
      <c r="BN314" s="136" t="str">
        <f aca="false">IF($BR314&lt;&gt;Constants!$B$8,"",IF($AT314,($AI314-Constants!$B$29)*Constants!$B$28,0))</f>
        <v/>
      </c>
      <c r="BO314" s="136" t="str">
        <f aca="false">IF($BR314&lt;&gt;Constants!$B$8,"",IF($AS314,0,Constants!$B$15)+IF($AR314,0,Constants!$B$16)+IF($AH314,0,Constants!$B$17))</f>
        <v/>
      </c>
      <c r="BP314" s="137" t="str">
        <f aca="false">IF($BR314&lt;&gt;Constants!$B$8,"",Constants!$B$20+SUM($BK314:$BO314))</f>
        <v/>
      </c>
      <c r="BQ314" s="133" t="str">
        <f aca="false">IF(ISBLANK($C314),"",IF(ISBLANK($D$7),$BQ$5,IF(NOT(ISNUMBER($D$7)),$BQ$6,"")))</f>
        <v/>
      </c>
      <c r="BR314" s="133" t="str">
        <f aca="false">IF(ISBLANK($C314),"",IF($BA314,Constants!$B$11,IF(COUNTA($E314:$AA314)=0,Constants!$B$10,IF(NOT($AG314),Constants!$B$9,IF(OR($BQ314&lt;&gt;"",$BB314,$BJ314),Constants!$B$12,Constants!$B$8)))))</f>
        <v/>
      </c>
      <c r="BS314" s="133" t="str">
        <f aca="false">IF(ISBLANK($C314),"",IF($BR314&lt;&gt;Constants!$B$8,$BR314,Constants!$B$13))</f>
        <v/>
      </c>
      <c r="BT314" s="136" t="str">
        <f aca="false">IF($BR314&lt;&gt;Constants!$B$8,"",IF($BI314="-&gt;",$BP314,$BH314))</f>
        <v/>
      </c>
      <c r="BU314" s="136" t="str">
        <f aca="false">IF($BR314&lt;&gt;Constants!$B$8,"",IF($AF314,0,Constants!$B$18))</f>
        <v/>
      </c>
      <c r="BV314" s="136" t="str">
        <f aca="false">IF($BR314&lt;&gt;Constants!$B$8,"",((Constants!$B$31-$AZ314)-Constants!$B$31)/Constants!$B$32)</f>
        <v/>
      </c>
      <c r="BW314" s="136" t="str">
        <f aca="false">IF(ISBLANK($C314),"",IF($BR314&lt;&gt;Constants!$B$8,$BR314,SUM($BT314:$BV314)))</f>
        <v/>
      </c>
      <c r="BX314" s="133" t="str">
        <f aca="false">IF(ISBLANK($C314),"",IF($BR314&lt;&gt;Constants!$B$8,$BR314,RANK($BW314,$BW$9:$BW$508,1)))</f>
        <v/>
      </c>
      <c r="BY314" s="136" t="str">
        <f aca="false">IF($BR314&lt;&gt;Constants!$B$8,"",IF($BI314="-&gt;",$BK314,$BC314))</f>
        <v/>
      </c>
      <c r="BZ314" s="133" t="str">
        <f aca="false">IF(ISBLANK($C314),"",IF($BR314&lt;&gt;Constants!$B$8,$BR314,IF(ISNUMBER($BY314),RANK($BY314,$BY$9:$BY$508,1),COUNT($BY$9:$BY$508)+1)))</f>
        <v/>
      </c>
      <c r="CA314" s="136" t="str">
        <f aca="false">IF($BR314&lt;&gt;Constants!$B$8,"",IF($BI314="-&gt;",$BL314,$BD314))</f>
        <v/>
      </c>
      <c r="CB314" s="133" t="str">
        <f aca="false">IF(ISBLANK($C314),"",IF($BR314&lt;&gt;Constants!$B$8,$BR314,IF(ISNUMBER($CA314),RANK($CA314,$CA$9:$CA$508,1),COUNT($CA$9:$CA$508)+1)))</f>
        <v/>
      </c>
      <c r="CC314" s="136" t="str">
        <f aca="false">IF($BR314&lt;&gt;Constants!$B$8,"",IF($BI314="-&gt;",IF($AT314,$AV314,""),IF($AL314,$AN314,"")))</f>
        <v/>
      </c>
      <c r="CD314" s="133" t="str">
        <f aca="false">IF(ISBLANK($C314),"",IF($BR314&lt;&gt;Constants!$B$8,$BR314,IF(ISNUMBER($CC314),RANK($CC314,$CC$9:$CC$508,1),COUNT($CC$9:$CC$508)+1)))</f>
        <v/>
      </c>
      <c r="CE314" s="136" t="str">
        <f aca="false">IF($BR314&lt;&gt;Constants!$B$8,"",IF(AND(NOT($AL314),NOT($AT314),$AJ314,$AK314,$AR314,$AS314),"",$AI314))</f>
        <v/>
      </c>
      <c r="CF314" s="133" t="str">
        <f aca="false">IF(ISBLANK($C314),"",IF($BR314&lt;&gt;Constants!$B$8,$BR314,IF(ISNUMBER($CE314),RANK($CE314,$CE$9:$CE$508,1),COUNT($CE$9:$CE$508)+1)))</f>
        <v/>
      </c>
      <c r="CG314" s="133" t="str">
        <f aca="false">IF(ISBLANK($C314),"",IF($BR314&lt;&gt;Constants!$B$8,$BR314,COUNTIFS($BX$9:$BX$508,"&lt;"&amp;$BX314)+COUNTIFS($BX$9:$BX$508,$BX314,$BZ$9:$BZ$508,"&lt;"&amp;$BZ314)+COUNTIFS($BX$9:$BX$508,$BX314,$BZ$9:$BZ$508,$BZ314,$CB$9:$CB$508,"&lt;"&amp;$CB314)+COUNTIFS($BX$9:$BX$508,$BX314,$BZ$9:$BZ$508,$BZ314,$CB$9:$CB$508,$CB314,$CD$9:$CD$508,"&lt;"&amp;$CD314)+COUNTIFS($BX$9:$BX$508,$BX314,$BZ$9:$BZ$508,$BZ314,$CB$9:$CB$508,$CB314,$CD$9:$CD$508,$CD314,$CF$9:$CF$508,"&lt;"&amp;$CF314)+1))</f>
        <v/>
      </c>
      <c r="CH314" s="133" t="str">
        <f aca="false">IF(ISBLANK($C314),"",IF($BR314&lt;&gt;Constants!$B$8,$BR314,$BX314-$CG314))</f>
        <v/>
      </c>
      <c r="CI314" s="138"/>
      <c r="CJ314" s="139"/>
      <c r="CK314" s="140" t="str">
        <f aca="false">IF(ISBLANK($C314),"",IF($BR314=Constants!$B$12,$BQ314,""))</f>
        <v/>
      </c>
      <c r="CL314" s="139" t="str">
        <f aca="false">IF(ISBLANK($C314),"",IF($BR314&lt;&gt;Constants!$B$8,"",IF($BI314="-&gt;",2,1)))</f>
        <v/>
      </c>
      <c r="CM314" s="141" t="str">
        <f aca="false">IF(ISBLANK($C314),"",IF($BR314&lt;&gt;Constants!$B$8,"",IF($BI314="-&gt;",$BK314,$BC314)))</f>
        <v/>
      </c>
      <c r="CN314" s="141" t="str">
        <f aca="false">IF(ISBLANK($C314),"",IF($BR314&lt;&gt;Constants!$B$8,"",IF($BI314="-&gt;",$BL314,$BD314)))</f>
        <v/>
      </c>
      <c r="CO314" s="141" t="str">
        <f aca="false">IF(ISBLANK($C314),"",IF($BR314&lt;&gt;Constants!$B$8,"",IF($BI314="-&gt;",$BM314+$BN314,$BE314+$BF314)+$BV314))</f>
        <v/>
      </c>
      <c r="CP314" s="141" t="str">
        <f aca="false">IF(ISBLANK($C314),"",IF($BR314&lt;&gt;Constants!$B$8,"",IF($BI314="-&gt;",$BO314,$BG314)+$BU314))</f>
        <v/>
      </c>
      <c r="CQ314" s="142" t="str">
        <f aca="false">IF(ISBLANK($C314),"",IF($BR314&lt;&gt;Constants!$B$8,$BR314,$BW314))</f>
        <v/>
      </c>
      <c r="CR314" s="143" t="str">
        <f aca="false">IF(ISBLANK($C314),"",$BS314)</f>
        <v/>
      </c>
      <c r="CS314" s="144" t="str">
        <f aca="false">IF(ISBLANK($C314),"",$CH314)</f>
        <v/>
      </c>
      <c r="CT314" s="144" t="str">
        <f aca="false">IF(ISBLANK($C314),"",$CG314)</f>
        <v/>
      </c>
      <c r="CU314" s="145" t="str">
        <f aca="false">IF(ISBLANK($C314),"",IFERROR(_xlfn.SWITCH($CT314,Constants!$B$11,COUNTA($C$9:$C$508)+2,Constants!$B$10,COUNTA($C$9:$C$508)+1,Constants!$B$9,COUNTA($C$9:$C$508)),$CT314))</f>
        <v/>
      </c>
      <c r="CV314" s="9"/>
      <c r="CW314" s="146" t="n">
        <f aca="false">IF(OR(ISNUMBER($CT314),$CT314=Constants!$B$11,$CT314=Constants!$B$9,$CT314=Constants!$B$10),1,0)</f>
        <v>0</v>
      </c>
      <c r="CX314" s="146" t="n">
        <v>306</v>
      </c>
      <c r="CY314" s="146" t="str">
        <f aca="false">IF(ISBLANK($C314),"",IF(ISNUMBER($CU314),$CU314+ROW($B314)/1000,""))</f>
        <v/>
      </c>
      <c r="CZ314" s="146" t="str">
        <f aca="false">IF(ISNUMBER($CY314),RANK($CY314,$CY$9:$CY$508,1),"")</f>
        <v/>
      </c>
      <c r="DA314" s="146" t="str">
        <f aca="false">IF(ISBLANK($C314),"",$B314)</f>
        <v/>
      </c>
      <c r="DB314" s="146" t="str">
        <f aca="false">IF(ISBLANK($C314),"",$C314)</f>
        <v/>
      </c>
      <c r="DC314" s="146" t="str">
        <f aca="false">IF(ISBLANK($C314),"",$D314)</f>
        <v/>
      </c>
      <c r="DD314" s="147" t="str">
        <f aca="false">$CR314</f>
        <v/>
      </c>
      <c r="DE314" s="148" t="str">
        <f aca="false">$CQ314</f>
        <v/>
      </c>
      <c r="DF314" s="146" t="str">
        <f aca="false">IF(ISBLANK($C314),"",$CT314)</f>
        <v/>
      </c>
      <c r="DG314" s="149" t="str">
        <f aca="false">IF($CX314&gt;$CW$8,"",VLOOKUP($CX314,$CZ$9:$DF$508,7,FALSE()))</f>
        <v/>
      </c>
      <c r="DH314" s="150" t="str">
        <f aca="false">IF($CX314&gt;$CW$8,"",VLOOKUP($CX314,$CZ$9:$DF$508,2,FALSE()))</f>
        <v/>
      </c>
      <c r="DI314" s="150" t="str">
        <f aca="false">IF($CX314&gt;$CW$8,"",VLOOKUP($CX314,$CZ$9:$DF$508,3,FALSE()))</f>
        <v/>
      </c>
      <c r="DJ314" s="150" t="str">
        <f aca="false">IF($CX314&gt;$CW$8,"",VLOOKUP($CX314,$CZ$9:$DF$508,4,FALSE()))</f>
        <v/>
      </c>
      <c r="DK314" s="150" t="str">
        <f aca="false">IF($CX314&gt;$CW$8,"",VLOOKUP($CX314,$CZ$9:$DF$508,5,FALSE()))</f>
        <v/>
      </c>
      <c r="DL314" s="151" t="str">
        <f aca="false">IF($CX314&gt;$CW$8,"",VLOOKUP($CX314,$CZ$9:$DF$508,6,FALSE()))</f>
        <v/>
      </c>
      <c r="DM314" s="75"/>
    </row>
    <row r="315" customFormat="false" ht="15.75" hidden="false" customHeight="false" outlineLevel="0" collapsed="false">
      <c r="A315" s="9"/>
      <c r="B315" s="77"/>
      <c r="C315" s="78"/>
      <c r="D315" s="167"/>
      <c r="E315" s="175"/>
      <c r="F315" s="169"/>
      <c r="G315" s="170"/>
      <c r="H315" s="170"/>
      <c r="I315" s="176"/>
      <c r="J315" s="173"/>
      <c r="K315" s="85"/>
      <c r="L315" s="86"/>
      <c r="M315" s="87"/>
      <c r="N315" s="173"/>
      <c r="O315" s="173"/>
      <c r="P315" s="175"/>
      <c r="Q315" s="173"/>
      <c r="R315" s="173"/>
      <c r="S315" s="85"/>
      <c r="T315" s="87"/>
      <c r="U315" s="87"/>
      <c r="V315" s="173"/>
      <c r="W315" s="173"/>
      <c r="X315" s="175"/>
      <c r="Y315" s="173"/>
      <c r="Z315" s="174"/>
      <c r="AA315" s="173"/>
      <c r="AB315" s="91"/>
      <c r="AC315" s="92"/>
      <c r="AD315" s="92"/>
      <c r="AE315" s="92"/>
      <c r="AF315" s="92" t="str">
        <f aca="false">IF(ISBLANK($C315),"",IF(E315=Constants!$B$3,TRUE(),IF(E315=Constants!$B$4,FALSE(),TRUE())))</f>
        <v/>
      </c>
      <c r="AG315" s="92" t="str">
        <f aca="false">IF(ISBLANK($C315),"",IF(F315=Constants!$B$3,TRUE(),IF(F315=Constants!$B$4,FALSE(),TRUE())))</f>
        <v/>
      </c>
      <c r="AH315" s="92" t="str">
        <f aca="false">IF(ISBLANK($C315),"",IF(G315=Constants!$B$3,TRUE(),IF(G315=Constants!$B$4,FALSE(),TRUE())))</f>
        <v/>
      </c>
      <c r="AI315" s="92" t="str">
        <f aca="false">IF(ISBLANK($C315),"",IF(AND(ISNUMBER(H315),H315&gt;=0),H315,Constants!$B$29))</f>
        <v/>
      </c>
      <c r="AJ315" s="92" t="str">
        <f aca="false">IF(ISBLANK($C315),"",IF(I315=Constants!$B$3,TRUE(),IF(I315=Constants!$B$4,FALSE(),TRUE())))</f>
        <v/>
      </c>
      <c r="AK315" s="92" t="str">
        <f aca="false">IF(ISBLANK($C315),"",IF(J315=Constants!$B$3,TRUE(),IF(J315=Constants!$B$4,FALSE(),TRUE())))</f>
        <v/>
      </c>
      <c r="AL315" s="92" t="str">
        <f aca="false">IF(ISBLANK($C315),"",IF(K315=Constants!$B$5,TRUE(),IF(K315=Constants!$B$6,FALSE(),COUNTA(L315:P315)&gt;0)))</f>
        <v/>
      </c>
      <c r="AM315" s="94" t="str">
        <f aca="false">IF(ISBLANK($C315),"",IF(ISNUMBER(L315),IF(L315&gt;=0,L315,""),""))</f>
        <v/>
      </c>
      <c r="AN315" s="93" t="str">
        <f aca="false">IF(ISBLANK($C315),"",IF(ISNUMBER(M315),IF(M315&gt;=0,M315,""),""))</f>
        <v/>
      </c>
      <c r="AO315" s="93" t="str">
        <f aca="false">IF(ISBLANK($C315),"",IF(N315=Constants!$B$3,TRUE(),IF(N315=Constants!$B$4,FALSE(),TRUE())))</f>
        <v/>
      </c>
      <c r="AP315" s="92" t="str">
        <f aca="false">IF(ISBLANK($C315),"",IF(ISNUMBER(O315),IF(O315&gt;=0,O315,""),""))</f>
        <v/>
      </c>
      <c r="AQ315" s="92" t="str">
        <f aca="false">IF(ISBLANK($C315),"",IF(P315=Constants!$B$3,TRUE(),IF(P315=Constants!$B$4,FALSE(),FALSE())))</f>
        <v/>
      </c>
      <c r="AR315" s="92" t="str">
        <f aca="false">IF(ISBLANK($C315),"",IF(Q315=Constants!$B$3,TRUE(),IF(Q315=Constants!$B$4,FALSE(),TRUE())))</f>
        <v/>
      </c>
      <c r="AS315" s="92" t="str">
        <f aca="false">IF(ISBLANK($C315),"",IF(R315=Constants!$B$3,TRUE(),IF(R315=Constants!$B$4,FALSE(),TRUE())))</f>
        <v/>
      </c>
      <c r="AT315" s="92" t="str">
        <f aca="false">IF(ISBLANK($C315),"",IF(S315=Constants!$B$5,TRUE(),IF(S315=Constants!$B$6,FALSE(),COUNTA(T315:X315)&gt;0)))</f>
        <v/>
      </c>
      <c r="AU315" s="94" t="str">
        <f aca="false">IF(ISBLANK($C315),"",IF(ISNUMBER(T315),IF(T315&gt;=0,T315,""),""))</f>
        <v/>
      </c>
      <c r="AV315" s="93" t="str">
        <f aca="false">IF(ISBLANK($C315),"",IF(ISNUMBER(U315),IF(U315&gt;=0,U315,""),""))</f>
        <v/>
      </c>
      <c r="AW315" s="93" t="str">
        <f aca="false">IF(ISBLANK($C315),"",IF(V315=Constants!$B$3,TRUE(),IF(V315=Constants!$B$4,FALSE(),TRUE())))</f>
        <v/>
      </c>
      <c r="AX315" s="92" t="str">
        <f aca="false">IF(ISBLANK($C315),"",IF(ISNUMBER(W315),IF(W315&gt;=0,W315,""),""))</f>
        <v/>
      </c>
      <c r="AY315" s="92" t="str">
        <f aca="false">IF(ISBLANK($C315),"",IF(X315=Constants!$B$3,TRUE(),IF(X315=Constants!$B$4,FALSE(),FALSE())))</f>
        <v/>
      </c>
      <c r="AZ315" s="92" t="str">
        <f aca="false">IF(ISBLANK($C315),"",MIN(Constants!$B$31,MAX(0,IF(ISNUMBER(Y315),Y315*60,0)+IF(ISNUMBER(Z315),Z315,0))))</f>
        <v/>
      </c>
      <c r="BA315" s="92" t="str">
        <f aca="false">IF(ISBLANK($C315),"",IF(AA315=Constants!$B$3,TRUE(),IF(AA315=Constants!$B$4,FALSE(),FALSE())))</f>
        <v/>
      </c>
      <c r="BB315" s="91" t="str">
        <f aca="false">IF(ISBLANK($C315),"",AND($AL315,OR($AM315="",$AN315="",AND($AO315,$AP315=""))))</f>
        <v/>
      </c>
      <c r="BC315" s="93" t="str">
        <f aca="false">IF($BR315&lt;&gt;Constants!$B$8,"",IF($AL315,Constants!$B$21*$AN315+Constants!$B$22*IF($AO315,$AP315,Constants!$B$23),Constants!$B$24))</f>
        <v/>
      </c>
      <c r="BD315" s="96" t="str">
        <f aca="false">IF($BR315&lt;&gt;Constants!$B$8,"",Constants!$B$25*ABS($AD$9-IF($AL315,$AM315,0)))</f>
        <v/>
      </c>
      <c r="BE315" s="96" t="str">
        <f aca="false">IF($BR315&lt;&gt;Constants!$B$8,"",IF(AND($AL315,$AQ315,$AO315),Constants!$B$27,0))</f>
        <v/>
      </c>
      <c r="BF315" s="96" t="str">
        <f aca="false">IF($BR315&lt;&gt;Constants!$B$8,"",IF($AL315,($AI315-Constants!$B$29)*Constants!$B$28,0))</f>
        <v/>
      </c>
      <c r="BG315" s="96" t="str">
        <f aca="false">IF($BR315&lt;&gt;Constants!$B$8,"",IF($AK315,0,Constants!$B$15)+IF($AJ315,0,Constants!$B$16)+IF($AH315,0,Constants!$B$17))</f>
        <v/>
      </c>
      <c r="BH315" s="97" t="str">
        <f aca="false">IF($BR315&lt;&gt;Constants!$B$8,"",Constants!$B$20+SUM($BC315:$BG315))</f>
        <v/>
      </c>
      <c r="BI315" s="92" t="str">
        <f aca="false">IF($BR315&lt;&gt;Constants!$B$8,"",IF(OR($BP315&lt;$BH315,AND($BP315=$BH315,OR($BK315&lt;$BC315,AND($BK315=$BC315,OR($BL315&lt;$BD315,AND($BL315=$BD315,$AT315,$AL315,$AV315&lt;$AN315)))))),"-&gt;","&lt;-"))</f>
        <v/>
      </c>
      <c r="BJ315" s="91" t="str">
        <f aca="false">IF(ISBLANK($C315),"",AND($AT315,OR($AU315="",$AV315="",AND($AW315,$AX315=""))))</f>
        <v/>
      </c>
      <c r="BK315" s="93" t="str">
        <f aca="false">IF($BR315&lt;&gt;Constants!$B$8,"",IF($AT315,Constants!$B$21*$AV315+Constants!$B$22*IF($AW315,$AX315,Constants!$B$23),Constants!$B$24))</f>
        <v/>
      </c>
      <c r="BL315" s="96" t="str">
        <f aca="false">IF($BR315&lt;&gt;Constants!$B$8,"",Constants!$B$25*ABS($AD$9-IF($AT315,$AU315,0)))</f>
        <v/>
      </c>
      <c r="BM315" s="96" t="str">
        <f aca="false">IF($BR315&lt;&gt;Constants!$B$8,"",IF(AND($AT315,$AY315,$AW315),Constants!$B$27,0))</f>
        <v/>
      </c>
      <c r="BN315" s="96" t="str">
        <f aca="false">IF($BR315&lt;&gt;Constants!$B$8,"",IF($AT315,($AI315-Constants!$B$29)*Constants!$B$28,0))</f>
        <v/>
      </c>
      <c r="BO315" s="96" t="str">
        <f aca="false">IF($BR315&lt;&gt;Constants!$B$8,"",IF($AS315,0,Constants!$B$15)+IF($AR315,0,Constants!$B$16)+IF($AH315,0,Constants!$B$17))</f>
        <v/>
      </c>
      <c r="BP315" s="97" t="str">
        <f aca="false">IF($BR315&lt;&gt;Constants!$B$8,"",Constants!$B$20+SUM($BK315:$BO315))</f>
        <v/>
      </c>
      <c r="BQ315" s="92" t="str">
        <f aca="false">IF(ISBLANK($C315),"",IF(ISBLANK($D$7),$BQ$5,IF(NOT(ISNUMBER($D$7)),$BQ$6,"")))</f>
        <v/>
      </c>
      <c r="BR315" s="92" t="str">
        <f aca="false">IF(ISBLANK($C315),"",IF($BA315,Constants!$B$11,IF(COUNTA($E315:$AA315)=0,Constants!$B$10,IF(NOT($AG315),Constants!$B$9,IF(OR($BQ315&lt;&gt;"",$BB315,$BJ315),Constants!$B$12,Constants!$B$8)))))</f>
        <v/>
      </c>
      <c r="BS315" s="92" t="str">
        <f aca="false">IF(ISBLANK($C315),"",IF($BR315&lt;&gt;Constants!$B$8,$BR315,Constants!$B$13))</f>
        <v/>
      </c>
      <c r="BT315" s="96" t="str">
        <f aca="false">IF($BR315&lt;&gt;Constants!$B$8,"",IF($BI315="-&gt;",$BP315,$BH315))</f>
        <v/>
      </c>
      <c r="BU315" s="96" t="str">
        <f aca="false">IF($BR315&lt;&gt;Constants!$B$8,"",IF($AF315,0,Constants!$B$18))</f>
        <v/>
      </c>
      <c r="BV315" s="96" t="str">
        <f aca="false">IF($BR315&lt;&gt;Constants!$B$8,"",((Constants!$B$31-$AZ315)-Constants!$B$31)/Constants!$B$32)</f>
        <v/>
      </c>
      <c r="BW315" s="96" t="str">
        <f aca="false">IF(ISBLANK($C315),"",IF($BR315&lt;&gt;Constants!$B$8,$BR315,SUM($BT315:$BV315)))</f>
        <v/>
      </c>
      <c r="BX315" s="92" t="str">
        <f aca="false">IF(ISBLANK($C315),"",IF($BR315&lt;&gt;Constants!$B$8,$BR315,RANK($BW315,$BW$9:$BW$508,1)))</f>
        <v/>
      </c>
      <c r="BY315" s="96" t="str">
        <f aca="false">IF($BR315&lt;&gt;Constants!$B$8,"",IF($BI315="-&gt;",$BK315,$BC315))</f>
        <v/>
      </c>
      <c r="BZ315" s="92" t="str">
        <f aca="false">IF(ISBLANK($C315),"",IF($BR315&lt;&gt;Constants!$B$8,$BR315,IF(ISNUMBER($BY315),RANK($BY315,$BY$9:$BY$508,1),COUNT($BY$9:$BY$508)+1)))</f>
        <v/>
      </c>
      <c r="CA315" s="96" t="str">
        <f aca="false">IF($BR315&lt;&gt;Constants!$B$8,"",IF($BI315="-&gt;",$BL315,$BD315))</f>
        <v/>
      </c>
      <c r="CB315" s="92" t="str">
        <f aca="false">IF(ISBLANK($C315),"",IF($BR315&lt;&gt;Constants!$B$8,$BR315,IF(ISNUMBER($CA315),RANK($CA315,$CA$9:$CA$508,1),COUNT($CA$9:$CA$508)+1)))</f>
        <v/>
      </c>
      <c r="CC315" s="96" t="str">
        <f aca="false">IF($BR315&lt;&gt;Constants!$B$8,"",IF($BI315="-&gt;",IF($AT315,$AV315,""),IF($AL315,$AN315,"")))</f>
        <v/>
      </c>
      <c r="CD315" s="92" t="str">
        <f aca="false">IF(ISBLANK($C315),"",IF($BR315&lt;&gt;Constants!$B$8,$BR315,IF(ISNUMBER($CC315),RANK($CC315,$CC$9:$CC$508,1),COUNT($CC$9:$CC$508)+1)))</f>
        <v/>
      </c>
      <c r="CE315" s="96" t="str">
        <f aca="false">IF($BR315&lt;&gt;Constants!$B$8,"",IF(AND(NOT($AL315),NOT($AT315),$AJ315,$AK315,$AR315,$AS315),"",$AI315))</f>
        <v/>
      </c>
      <c r="CF315" s="92" t="str">
        <f aca="false">IF(ISBLANK($C315),"",IF($BR315&lt;&gt;Constants!$B$8,$BR315,IF(ISNUMBER($CE315),RANK($CE315,$CE$9:$CE$508,1),COUNT($CE$9:$CE$508)+1)))</f>
        <v/>
      </c>
      <c r="CG315" s="92" t="str">
        <f aca="false">IF(ISBLANK($C315),"",IF($BR315&lt;&gt;Constants!$B$8,$BR315,COUNTIFS($BX$9:$BX$508,"&lt;"&amp;$BX315)+COUNTIFS($BX$9:$BX$508,$BX315,$BZ$9:$BZ$508,"&lt;"&amp;$BZ315)+COUNTIFS($BX$9:$BX$508,$BX315,$BZ$9:$BZ$508,$BZ315,$CB$9:$CB$508,"&lt;"&amp;$CB315)+COUNTIFS($BX$9:$BX$508,$BX315,$BZ$9:$BZ$508,$BZ315,$CB$9:$CB$508,$CB315,$CD$9:$CD$508,"&lt;"&amp;$CD315)+COUNTIFS($BX$9:$BX$508,$BX315,$BZ$9:$BZ$508,$BZ315,$CB$9:$CB$508,$CB315,$CD$9:$CD$508,$CD315,$CF$9:$CF$508,"&lt;"&amp;$CF315)+1))</f>
        <v/>
      </c>
      <c r="CH315" s="92" t="str">
        <f aca="false">IF(ISBLANK($C315),"",IF($BR315&lt;&gt;Constants!$B$8,$BR315,$BX315-$CG315))</f>
        <v/>
      </c>
      <c r="CI315" s="98"/>
      <c r="CJ315" s="99"/>
      <c r="CK315" s="100" t="str">
        <f aca="false">IF(ISBLANK($C315),"",IF($BR315=Constants!$B$12,$BQ315,""))</f>
        <v/>
      </c>
      <c r="CL315" s="99" t="str">
        <f aca="false">IF(ISBLANK($C315),"",IF($BR315&lt;&gt;Constants!$B$8,"",IF($BI315="-&gt;",2,1)))</f>
        <v/>
      </c>
      <c r="CM315" s="101" t="str">
        <f aca="false">IF(ISBLANK($C315),"",IF($BR315&lt;&gt;Constants!$B$8,"",IF($BI315="-&gt;",$BK315,$BC315)))</f>
        <v/>
      </c>
      <c r="CN315" s="101" t="str">
        <f aca="false">IF(ISBLANK($C315),"",IF($BR315&lt;&gt;Constants!$B$8,"",IF($BI315="-&gt;",$BL315,$BD315)))</f>
        <v/>
      </c>
      <c r="CO315" s="101" t="str">
        <f aca="false">IF(ISBLANK($C315),"",IF($BR315&lt;&gt;Constants!$B$8,"",IF($BI315="-&gt;",$BM315+$BN315,$BE315+$BF315)+$BV315))</f>
        <v/>
      </c>
      <c r="CP315" s="101" t="str">
        <f aca="false">IF(ISBLANK($C315),"",IF($BR315&lt;&gt;Constants!$B$8,"",IF($BI315="-&gt;",$BO315,$BG315)+$BU315))</f>
        <v/>
      </c>
      <c r="CQ315" s="102" t="str">
        <f aca="false">IF(ISBLANK($C315),"",IF($BR315&lt;&gt;Constants!$B$8,$BR315,$BW315))</f>
        <v/>
      </c>
      <c r="CR315" s="103" t="str">
        <f aca="false">IF(ISBLANK($C315),"",$BS315)</f>
        <v/>
      </c>
      <c r="CS315" s="104" t="str">
        <f aca="false">IF(ISBLANK($C315),"",$CH315)</f>
        <v/>
      </c>
      <c r="CT315" s="104" t="str">
        <f aca="false">IF(ISBLANK($C315),"",$CG315)</f>
        <v/>
      </c>
      <c r="CU315" s="105" t="str">
        <f aca="false">IF(ISBLANK($C315),"",IFERROR(_xlfn.SWITCH($CT315,Constants!$B$11,COUNTA($C$9:$C$508)+2,Constants!$B$10,COUNTA($C$9:$C$508)+1,Constants!$B$9,COUNTA($C$9:$C$508)),$CT315))</f>
        <v/>
      </c>
      <c r="CV315" s="9"/>
      <c r="CW315" s="106" t="n">
        <f aca="false">IF(OR(ISNUMBER($CT315),$CT315=Constants!$B$11,$CT315=Constants!$B$9,$CT315=Constants!$B$10),1,0)</f>
        <v>0</v>
      </c>
      <c r="CX315" s="106" t="n">
        <v>307</v>
      </c>
      <c r="CY315" s="106" t="str">
        <f aca="false">IF(ISBLANK($C315),"",IF(ISNUMBER($CU315),$CU315+ROW($B315)/1000,""))</f>
        <v/>
      </c>
      <c r="CZ315" s="106" t="str">
        <f aca="false">IF(ISNUMBER($CY315),RANK($CY315,$CY$9:$CY$508,1),"")</f>
        <v/>
      </c>
      <c r="DA315" s="106" t="str">
        <f aca="false">IF(ISBLANK($C315),"",$B315)</f>
        <v/>
      </c>
      <c r="DB315" s="106" t="str">
        <f aca="false">IF(ISBLANK($C315),"",$C315)</f>
        <v/>
      </c>
      <c r="DC315" s="106" t="str">
        <f aca="false">IF(ISBLANK($C315),"",$D315)</f>
        <v/>
      </c>
      <c r="DD315" s="107" t="str">
        <f aca="false">$CR315</f>
        <v/>
      </c>
      <c r="DE315" s="108" t="str">
        <f aca="false">$CQ315</f>
        <v/>
      </c>
      <c r="DF315" s="106" t="str">
        <f aca="false">IF(ISBLANK($C315),"",$CT315)</f>
        <v/>
      </c>
      <c r="DG315" s="109" t="str">
        <f aca="false">IF($CX315&gt;$CW$8,"",VLOOKUP($CX315,$CZ$9:$DF$508,7,FALSE()))</f>
        <v/>
      </c>
      <c r="DH315" s="110" t="str">
        <f aca="false">IF($CX315&gt;$CW$8,"",VLOOKUP($CX315,$CZ$9:$DF$508,2,FALSE()))</f>
        <v/>
      </c>
      <c r="DI315" s="110" t="str">
        <f aca="false">IF($CX315&gt;$CW$8,"",VLOOKUP($CX315,$CZ$9:$DF$508,3,FALSE()))</f>
        <v/>
      </c>
      <c r="DJ315" s="110" t="str">
        <f aca="false">IF($CX315&gt;$CW$8,"",VLOOKUP($CX315,$CZ$9:$DF$508,4,FALSE()))</f>
        <v/>
      </c>
      <c r="DK315" s="110" t="str">
        <f aca="false">IF($CX315&gt;$CW$8,"",VLOOKUP($CX315,$CZ$9:$DF$508,5,FALSE()))</f>
        <v/>
      </c>
      <c r="DL315" s="111" t="str">
        <f aca="false">IF($CX315&gt;$CW$8,"",VLOOKUP($CX315,$CZ$9:$DF$508,6,FALSE()))</f>
        <v/>
      </c>
      <c r="DM315" s="75"/>
    </row>
    <row r="316" customFormat="false" ht="15.75" hidden="false" customHeight="false" outlineLevel="0" collapsed="false">
      <c r="A316" s="9"/>
      <c r="B316" s="77"/>
      <c r="C316" s="78"/>
      <c r="D316" s="167"/>
      <c r="E316" s="175"/>
      <c r="F316" s="169"/>
      <c r="G316" s="170"/>
      <c r="H316" s="170"/>
      <c r="I316" s="176"/>
      <c r="J316" s="173"/>
      <c r="K316" s="85"/>
      <c r="L316" s="86"/>
      <c r="M316" s="87"/>
      <c r="N316" s="173"/>
      <c r="O316" s="173"/>
      <c r="P316" s="175"/>
      <c r="Q316" s="173"/>
      <c r="R316" s="173"/>
      <c r="S316" s="85"/>
      <c r="T316" s="87"/>
      <c r="U316" s="87"/>
      <c r="V316" s="173"/>
      <c r="W316" s="173"/>
      <c r="X316" s="175"/>
      <c r="Y316" s="173"/>
      <c r="Z316" s="174"/>
      <c r="AA316" s="173"/>
      <c r="AB316" s="91"/>
      <c r="AC316" s="92"/>
      <c r="AD316" s="92"/>
      <c r="AE316" s="92"/>
      <c r="AF316" s="92" t="str">
        <f aca="false">IF(ISBLANK($C316),"",IF(E316=Constants!$B$3,TRUE(),IF(E316=Constants!$B$4,FALSE(),TRUE())))</f>
        <v/>
      </c>
      <c r="AG316" s="92" t="str">
        <f aca="false">IF(ISBLANK($C316),"",IF(F316=Constants!$B$3,TRUE(),IF(F316=Constants!$B$4,FALSE(),TRUE())))</f>
        <v/>
      </c>
      <c r="AH316" s="92" t="str">
        <f aca="false">IF(ISBLANK($C316),"",IF(G316=Constants!$B$3,TRUE(),IF(G316=Constants!$B$4,FALSE(),TRUE())))</f>
        <v/>
      </c>
      <c r="AI316" s="92" t="str">
        <f aca="false">IF(ISBLANK($C316),"",IF(AND(ISNUMBER(H316),H316&gt;=0),H316,Constants!$B$29))</f>
        <v/>
      </c>
      <c r="AJ316" s="92" t="str">
        <f aca="false">IF(ISBLANK($C316),"",IF(I316=Constants!$B$3,TRUE(),IF(I316=Constants!$B$4,FALSE(),TRUE())))</f>
        <v/>
      </c>
      <c r="AK316" s="92" t="str">
        <f aca="false">IF(ISBLANK($C316),"",IF(J316=Constants!$B$3,TRUE(),IF(J316=Constants!$B$4,FALSE(),TRUE())))</f>
        <v/>
      </c>
      <c r="AL316" s="92" t="str">
        <f aca="false">IF(ISBLANK($C316),"",IF(K316=Constants!$B$5,TRUE(),IF(K316=Constants!$B$6,FALSE(),COUNTA(L316:P316)&gt;0)))</f>
        <v/>
      </c>
      <c r="AM316" s="94" t="str">
        <f aca="false">IF(ISBLANK($C316),"",IF(ISNUMBER(L316),IF(L316&gt;=0,L316,""),""))</f>
        <v/>
      </c>
      <c r="AN316" s="93" t="str">
        <f aca="false">IF(ISBLANK($C316),"",IF(ISNUMBER(M316),IF(M316&gt;=0,M316,""),""))</f>
        <v/>
      </c>
      <c r="AO316" s="93" t="str">
        <f aca="false">IF(ISBLANK($C316),"",IF(N316=Constants!$B$3,TRUE(),IF(N316=Constants!$B$4,FALSE(),TRUE())))</f>
        <v/>
      </c>
      <c r="AP316" s="92" t="str">
        <f aca="false">IF(ISBLANK($C316),"",IF(ISNUMBER(O316),IF(O316&gt;=0,O316,""),""))</f>
        <v/>
      </c>
      <c r="AQ316" s="92" t="str">
        <f aca="false">IF(ISBLANK($C316),"",IF(P316=Constants!$B$3,TRUE(),IF(P316=Constants!$B$4,FALSE(),FALSE())))</f>
        <v/>
      </c>
      <c r="AR316" s="92" t="str">
        <f aca="false">IF(ISBLANK($C316),"",IF(Q316=Constants!$B$3,TRUE(),IF(Q316=Constants!$B$4,FALSE(),TRUE())))</f>
        <v/>
      </c>
      <c r="AS316" s="92" t="str">
        <f aca="false">IF(ISBLANK($C316),"",IF(R316=Constants!$B$3,TRUE(),IF(R316=Constants!$B$4,FALSE(),TRUE())))</f>
        <v/>
      </c>
      <c r="AT316" s="92" t="str">
        <f aca="false">IF(ISBLANK($C316),"",IF(S316=Constants!$B$5,TRUE(),IF(S316=Constants!$B$6,FALSE(),COUNTA(T316:X316)&gt;0)))</f>
        <v/>
      </c>
      <c r="AU316" s="94" t="str">
        <f aca="false">IF(ISBLANK($C316),"",IF(ISNUMBER(T316),IF(T316&gt;=0,T316,""),""))</f>
        <v/>
      </c>
      <c r="AV316" s="93" t="str">
        <f aca="false">IF(ISBLANK($C316),"",IF(ISNUMBER(U316),IF(U316&gt;=0,U316,""),""))</f>
        <v/>
      </c>
      <c r="AW316" s="93" t="str">
        <f aca="false">IF(ISBLANK($C316),"",IF(V316=Constants!$B$3,TRUE(),IF(V316=Constants!$B$4,FALSE(),TRUE())))</f>
        <v/>
      </c>
      <c r="AX316" s="92" t="str">
        <f aca="false">IF(ISBLANK($C316),"",IF(ISNUMBER(W316),IF(W316&gt;=0,W316,""),""))</f>
        <v/>
      </c>
      <c r="AY316" s="92" t="str">
        <f aca="false">IF(ISBLANK($C316),"",IF(X316=Constants!$B$3,TRUE(),IF(X316=Constants!$B$4,FALSE(),FALSE())))</f>
        <v/>
      </c>
      <c r="AZ316" s="92" t="str">
        <f aca="false">IF(ISBLANK($C316),"",MIN(Constants!$B$31,MAX(0,IF(ISNUMBER(Y316),Y316*60,0)+IF(ISNUMBER(Z316),Z316,0))))</f>
        <v/>
      </c>
      <c r="BA316" s="92" t="str">
        <f aca="false">IF(ISBLANK($C316),"",IF(AA316=Constants!$B$3,TRUE(),IF(AA316=Constants!$B$4,FALSE(),FALSE())))</f>
        <v/>
      </c>
      <c r="BB316" s="91" t="str">
        <f aca="false">IF(ISBLANK($C316),"",AND($AL316,OR($AM316="",$AN316="",AND($AO316,$AP316=""))))</f>
        <v/>
      </c>
      <c r="BC316" s="93" t="str">
        <f aca="false">IF($BR316&lt;&gt;Constants!$B$8,"",IF($AL316,Constants!$B$21*$AN316+Constants!$B$22*IF($AO316,$AP316,Constants!$B$23),Constants!$B$24))</f>
        <v/>
      </c>
      <c r="BD316" s="96" t="str">
        <f aca="false">IF($BR316&lt;&gt;Constants!$B$8,"",Constants!$B$25*ABS($AD$9-IF($AL316,$AM316,0)))</f>
        <v/>
      </c>
      <c r="BE316" s="96" t="str">
        <f aca="false">IF($BR316&lt;&gt;Constants!$B$8,"",IF(AND($AL316,$AQ316,$AO316),Constants!$B$27,0))</f>
        <v/>
      </c>
      <c r="BF316" s="96" t="str">
        <f aca="false">IF($BR316&lt;&gt;Constants!$B$8,"",IF($AL316,($AI316-Constants!$B$29)*Constants!$B$28,0))</f>
        <v/>
      </c>
      <c r="BG316" s="96" t="str">
        <f aca="false">IF($BR316&lt;&gt;Constants!$B$8,"",IF($AK316,0,Constants!$B$15)+IF($AJ316,0,Constants!$B$16)+IF($AH316,0,Constants!$B$17))</f>
        <v/>
      </c>
      <c r="BH316" s="97" t="str">
        <f aca="false">IF($BR316&lt;&gt;Constants!$B$8,"",Constants!$B$20+SUM($BC316:$BG316))</f>
        <v/>
      </c>
      <c r="BI316" s="92" t="str">
        <f aca="false">IF($BR316&lt;&gt;Constants!$B$8,"",IF(OR($BP316&lt;$BH316,AND($BP316=$BH316,OR($BK316&lt;$BC316,AND($BK316=$BC316,OR($BL316&lt;$BD316,AND($BL316=$BD316,$AT316,$AL316,$AV316&lt;$AN316)))))),"-&gt;","&lt;-"))</f>
        <v/>
      </c>
      <c r="BJ316" s="91" t="str">
        <f aca="false">IF(ISBLANK($C316),"",AND($AT316,OR($AU316="",$AV316="",AND($AW316,$AX316=""))))</f>
        <v/>
      </c>
      <c r="BK316" s="93" t="str">
        <f aca="false">IF($BR316&lt;&gt;Constants!$B$8,"",IF($AT316,Constants!$B$21*$AV316+Constants!$B$22*IF($AW316,$AX316,Constants!$B$23),Constants!$B$24))</f>
        <v/>
      </c>
      <c r="BL316" s="96" t="str">
        <f aca="false">IF($BR316&lt;&gt;Constants!$B$8,"",Constants!$B$25*ABS($AD$9-IF($AT316,$AU316,0)))</f>
        <v/>
      </c>
      <c r="BM316" s="96" t="str">
        <f aca="false">IF($BR316&lt;&gt;Constants!$B$8,"",IF(AND($AT316,$AY316,$AW316),Constants!$B$27,0))</f>
        <v/>
      </c>
      <c r="BN316" s="96" t="str">
        <f aca="false">IF($BR316&lt;&gt;Constants!$B$8,"",IF($AT316,($AI316-Constants!$B$29)*Constants!$B$28,0))</f>
        <v/>
      </c>
      <c r="BO316" s="96" t="str">
        <f aca="false">IF($BR316&lt;&gt;Constants!$B$8,"",IF($AS316,0,Constants!$B$15)+IF($AR316,0,Constants!$B$16)+IF($AH316,0,Constants!$B$17))</f>
        <v/>
      </c>
      <c r="BP316" s="97" t="str">
        <f aca="false">IF($BR316&lt;&gt;Constants!$B$8,"",Constants!$B$20+SUM($BK316:$BO316))</f>
        <v/>
      </c>
      <c r="BQ316" s="92" t="str">
        <f aca="false">IF(ISBLANK($C316),"",IF(ISBLANK($D$7),$BQ$5,IF(NOT(ISNUMBER($D$7)),$BQ$6,"")))</f>
        <v/>
      </c>
      <c r="BR316" s="92" t="str">
        <f aca="false">IF(ISBLANK($C316),"",IF($BA316,Constants!$B$11,IF(COUNTA($E316:$AA316)=0,Constants!$B$10,IF(NOT($AG316),Constants!$B$9,IF(OR($BQ316&lt;&gt;"",$BB316,$BJ316),Constants!$B$12,Constants!$B$8)))))</f>
        <v/>
      </c>
      <c r="BS316" s="92" t="str">
        <f aca="false">IF(ISBLANK($C316),"",IF($BR316&lt;&gt;Constants!$B$8,$BR316,Constants!$B$13))</f>
        <v/>
      </c>
      <c r="BT316" s="96" t="str">
        <f aca="false">IF($BR316&lt;&gt;Constants!$B$8,"",IF($BI316="-&gt;",$BP316,$BH316))</f>
        <v/>
      </c>
      <c r="BU316" s="96" t="str">
        <f aca="false">IF($BR316&lt;&gt;Constants!$B$8,"",IF($AF316,0,Constants!$B$18))</f>
        <v/>
      </c>
      <c r="BV316" s="96" t="str">
        <f aca="false">IF($BR316&lt;&gt;Constants!$B$8,"",((Constants!$B$31-$AZ316)-Constants!$B$31)/Constants!$B$32)</f>
        <v/>
      </c>
      <c r="BW316" s="96" t="str">
        <f aca="false">IF(ISBLANK($C316),"",IF($BR316&lt;&gt;Constants!$B$8,$BR316,SUM($BT316:$BV316)))</f>
        <v/>
      </c>
      <c r="BX316" s="92" t="str">
        <f aca="false">IF(ISBLANK($C316),"",IF($BR316&lt;&gt;Constants!$B$8,$BR316,RANK($BW316,$BW$9:$BW$508,1)))</f>
        <v/>
      </c>
      <c r="BY316" s="96" t="str">
        <f aca="false">IF($BR316&lt;&gt;Constants!$B$8,"",IF($BI316="-&gt;",$BK316,$BC316))</f>
        <v/>
      </c>
      <c r="BZ316" s="92" t="str">
        <f aca="false">IF(ISBLANK($C316),"",IF($BR316&lt;&gt;Constants!$B$8,$BR316,IF(ISNUMBER($BY316),RANK($BY316,$BY$9:$BY$508,1),COUNT($BY$9:$BY$508)+1)))</f>
        <v/>
      </c>
      <c r="CA316" s="96" t="str">
        <f aca="false">IF($BR316&lt;&gt;Constants!$B$8,"",IF($BI316="-&gt;",$BL316,$BD316))</f>
        <v/>
      </c>
      <c r="CB316" s="92" t="str">
        <f aca="false">IF(ISBLANK($C316),"",IF($BR316&lt;&gt;Constants!$B$8,$BR316,IF(ISNUMBER($CA316),RANK($CA316,$CA$9:$CA$508,1),COUNT($CA$9:$CA$508)+1)))</f>
        <v/>
      </c>
      <c r="CC316" s="96" t="str">
        <f aca="false">IF($BR316&lt;&gt;Constants!$B$8,"",IF($BI316="-&gt;",IF($AT316,$AV316,""),IF($AL316,$AN316,"")))</f>
        <v/>
      </c>
      <c r="CD316" s="92" t="str">
        <f aca="false">IF(ISBLANK($C316),"",IF($BR316&lt;&gt;Constants!$B$8,$BR316,IF(ISNUMBER($CC316),RANK($CC316,$CC$9:$CC$508,1),COUNT($CC$9:$CC$508)+1)))</f>
        <v/>
      </c>
      <c r="CE316" s="96" t="str">
        <f aca="false">IF($BR316&lt;&gt;Constants!$B$8,"",IF(AND(NOT($AL316),NOT($AT316),$AJ316,$AK316,$AR316,$AS316),"",$AI316))</f>
        <v/>
      </c>
      <c r="CF316" s="92" t="str">
        <f aca="false">IF(ISBLANK($C316),"",IF($BR316&lt;&gt;Constants!$B$8,$BR316,IF(ISNUMBER($CE316),RANK($CE316,$CE$9:$CE$508,1),COUNT($CE$9:$CE$508)+1)))</f>
        <v/>
      </c>
      <c r="CG316" s="92" t="str">
        <f aca="false">IF(ISBLANK($C316),"",IF($BR316&lt;&gt;Constants!$B$8,$BR316,COUNTIFS($BX$9:$BX$508,"&lt;"&amp;$BX316)+COUNTIFS($BX$9:$BX$508,$BX316,$BZ$9:$BZ$508,"&lt;"&amp;$BZ316)+COUNTIFS($BX$9:$BX$508,$BX316,$BZ$9:$BZ$508,$BZ316,$CB$9:$CB$508,"&lt;"&amp;$CB316)+COUNTIFS($BX$9:$BX$508,$BX316,$BZ$9:$BZ$508,$BZ316,$CB$9:$CB$508,$CB316,$CD$9:$CD$508,"&lt;"&amp;$CD316)+COUNTIFS($BX$9:$BX$508,$BX316,$BZ$9:$BZ$508,$BZ316,$CB$9:$CB$508,$CB316,$CD$9:$CD$508,$CD316,$CF$9:$CF$508,"&lt;"&amp;$CF316)+1))</f>
        <v/>
      </c>
      <c r="CH316" s="92" t="str">
        <f aca="false">IF(ISBLANK($C316),"",IF($BR316&lt;&gt;Constants!$B$8,$BR316,$BX316-$CG316))</f>
        <v/>
      </c>
      <c r="CI316" s="98"/>
      <c r="CJ316" s="99"/>
      <c r="CK316" s="100" t="str">
        <f aca="false">IF(ISBLANK($C316),"",IF($BR316=Constants!$B$12,$BQ316,""))</f>
        <v/>
      </c>
      <c r="CL316" s="99" t="str">
        <f aca="false">IF(ISBLANK($C316),"",IF($BR316&lt;&gt;Constants!$B$8,"",IF($BI316="-&gt;",2,1)))</f>
        <v/>
      </c>
      <c r="CM316" s="101" t="str">
        <f aca="false">IF(ISBLANK($C316),"",IF($BR316&lt;&gt;Constants!$B$8,"",IF($BI316="-&gt;",$BK316,$BC316)))</f>
        <v/>
      </c>
      <c r="CN316" s="101" t="str">
        <f aca="false">IF(ISBLANK($C316),"",IF($BR316&lt;&gt;Constants!$B$8,"",IF($BI316="-&gt;",$BL316,$BD316)))</f>
        <v/>
      </c>
      <c r="CO316" s="101" t="str">
        <f aca="false">IF(ISBLANK($C316),"",IF($BR316&lt;&gt;Constants!$B$8,"",IF($BI316="-&gt;",$BM316+$BN316,$BE316+$BF316)+$BV316))</f>
        <v/>
      </c>
      <c r="CP316" s="101" t="str">
        <f aca="false">IF(ISBLANK($C316),"",IF($BR316&lt;&gt;Constants!$B$8,"",IF($BI316="-&gt;",$BO316,$BG316)+$BU316))</f>
        <v/>
      </c>
      <c r="CQ316" s="102" t="str">
        <f aca="false">IF(ISBLANK($C316),"",IF($BR316&lt;&gt;Constants!$B$8,$BR316,$BW316))</f>
        <v/>
      </c>
      <c r="CR316" s="103" t="str">
        <f aca="false">IF(ISBLANK($C316),"",$BS316)</f>
        <v/>
      </c>
      <c r="CS316" s="104" t="str">
        <f aca="false">IF(ISBLANK($C316),"",$CH316)</f>
        <v/>
      </c>
      <c r="CT316" s="104" t="str">
        <f aca="false">IF(ISBLANK($C316),"",$CG316)</f>
        <v/>
      </c>
      <c r="CU316" s="105" t="str">
        <f aca="false">IF(ISBLANK($C316),"",IFERROR(_xlfn.SWITCH($CT316,Constants!$B$11,COUNTA($C$9:$C$508)+2,Constants!$B$10,COUNTA($C$9:$C$508)+1,Constants!$B$9,COUNTA($C$9:$C$508)),$CT316))</f>
        <v/>
      </c>
      <c r="CV316" s="9"/>
      <c r="CW316" s="106" t="n">
        <f aca="false">IF(OR(ISNUMBER($CT316),$CT316=Constants!$B$11,$CT316=Constants!$B$9,$CT316=Constants!$B$10),1,0)</f>
        <v>0</v>
      </c>
      <c r="CX316" s="106" t="n">
        <v>308</v>
      </c>
      <c r="CY316" s="106" t="str">
        <f aca="false">IF(ISBLANK($C316),"",IF(ISNUMBER($CU316),$CU316+ROW($B316)/1000,""))</f>
        <v/>
      </c>
      <c r="CZ316" s="106" t="str">
        <f aca="false">IF(ISNUMBER($CY316),RANK($CY316,$CY$9:$CY$508,1),"")</f>
        <v/>
      </c>
      <c r="DA316" s="106" t="str">
        <f aca="false">IF(ISBLANK($C316),"",$B316)</f>
        <v/>
      </c>
      <c r="DB316" s="106" t="str">
        <f aca="false">IF(ISBLANK($C316),"",$C316)</f>
        <v/>
      </c>
      <c r="DC316" s="106" t="str">
        <f aca="false">IF(ISBLANK($C316),"",$D316)</f>
        <v/>
      </c>
      <c r="DD316" s="107" t="str">
        <f aca="false">$CR316</f>
        <v/>
      </c>
      <c r="DE316" s="108" t="str">
        <f aca="false">$CQ316</f>
        <v/>
      </c>
      <c r="DF316" s="106" t="str">
        <f aca="false">IF(ISBLANK($C316),"",$CT316)</f>
        <v/>
      </c>
      <c r="DG316" s="109" t="str">
        <f aca="false">IF($CX316&gt;$CW$8,"",VLOOKUP($CX316,$CZ$9:$DF$508,7,FALSE()))</f>
        <v/>
      </c>
      <c r="DH316" s="110" t="str">
        <f aca="false">IF($CX316&gt;$CW$8,"",VLOOKUP($CX316,$CZ$9:$DF$508,2,FALSE()))</f>
        <v/>
      </c>
      <c r="DI316" s="110" t="str">
        <f aca="false">IF($CX316&gt;$CW$8,"",VLOOKUP($CX316,$CZ$9:$DF$508,3,FALSE()))</f>
        <v/>
      </c>
      <c r="DJ316" s="110" t="str">
        <f aca="false">IF($CX316&gt;$CW$8,"",VLOOKUP($CX316,$CZ$9:$DF$508,4,FALSE()))</f>
        <v/>
      </c>
      <c r="DK316" s="110" t="str">
        <f aca="false">IF($CX316&gt;$CW$8,"",VLOOKUP($CX316,$CZ$9:$DF$508,5,FALSE()))</f>
        <v/>
      </c>
      <c r="DL316" s="111" t="str">
        <f aca="false">IF($CX316&gt;$CW$8,"",VLOOKUP($CX316,$CZ$9:$DF$508,6,FALSE()))</f>
        <v/>
      </c>
      <c r="DM316" s="75"/>
    </row>
    <row r="317" customFormat="false" ht="15.75" hidden="false" customHeight="false" outlineLevel="0" collapsed="false">
      <c r="A317" s="9"/>
      <c r="B317" s="77"/>
      <c r="C317" s="78"/>
      <c r="D317" s="167"/>
      <c r="E317" s="175"/>
      <c r="F317" s="169"/>
      <c r="G317" s="170"/>
      <c r="H317" s="170"/>
      <c r="I317" s="176"/>
      <c r="J317" s="173"/>
      <c r="K317" s="85"/>
      <c r="L317" s="86"/>
      <c r="M317" s="87"/>
      <c r="N317" s="173"/>
      <c r="O317" s="173"/>
      <c r="P317" s="175"/>
      <c r="Q317" s="173"/>
      <c r="R317" s="173"/>
      <c r="S317" s="85"/>
      <c r="T317" s="87"/>
      <c r="U317" s="87"/>
      <c r="V317" s="173"/>
      <c r="W317" s="173"/>
      <c r="X317" s="175"/>
      <c r="Y317" s="173"/>
      <c r="Z317" s="174"/>
      <c r="AA317" s="173"/>
      <c r="AB317" s="91"/>
      <c r="AC317" s="92"/>
      <c r="AD317" s="92"/>
      <c r="AE317" s="92"/>
      <c r="AF317" s="92" t="str">
        <f aca="false">IF(ISBLANK($C317),"",IF(E317=Constants!$B$3,TRUE(),IF(E317=Constants!$B$4,FALSE(),TRUE())))</f>
        <v/>
      </c>
      <c r="AG317" s="92" t="str">
        <f aca="false">IF(ISBLANK($C317),"",IF(F317=Constants!$B$3,TRUE(),IF(F317=Constants!$B$4,FALSE(),TRUE())))</f>
        <v/>
      </c>
      <c r="AH317" s="92" t="str">
        <f aca="false">IF(ISBLANK($C317),"",IF(G317=Constants!$B$3,TRUE(),IF(G317=Constants!$B$4,FALSE(),TRUE())))</f>
        <v/>
      </c>
      <c r="AI317" s="92" t="str">
        <f aca="false">IF(ISBLANK($C317),"",IF(AND(ISNUMBER(H317),H317&gt;=0),H317,Constants!$B$29))</f>
        <v/>
      </c>
      <c r="AJ317" s="92" t="str">
        <f aca="false">IF(ISBLANK($C317),"",IF(I317=Constants!$B$3,TRUE(),IF(I317=Constants!$B$4,FALSE(),TRUE())))</f>
        <v/>
      </c>
      <c r="AK317" s="92" t="str">
        <f aca="false">IF(ISBLANK($C317),"",IF(J317=Constants!$B$3,TRUE(),IF(J317=Constants!$B$4,FALSE(),TRUE())))</f>
        <v/>
      </c>
      <c r="AL317" s="92" t="str">
        <f aca="false">IF(ISBLANK($C317),"",IF(K317=Constants!$B$5,TRUE(),IF(K317=Constants!$B$6,FALSE(),COUNTA(L317:P317)&gt;0)))</f>
        <v/>
      </c>
      <c r="AM317" s="94" t="str">
        <f aca="false">IF(ISBLANK($C317),"",IF(ISNUMBER(L317),IF(L317&gt;=0,L317,""),""))</f>
        <v/>
      </c>
      <c r="AN317" s="93" t="str">
        <f aca="false">IF(ISBLANK($C317),"",IF(ISNUMBER(M317),IF(M317&gt;=0,M317,""),""))</f>
        <v/>
      </c>
      <c r="AO317" s="93" t="str">
        <f aca="false">IF(ISBLANK($C317),"",IF(N317=Constants!$B$3,TRUE(),IF(N317=Constants!$B$4,FALSE(),TRUE())))</f>
        <v/>
      </c>
      <c r="AP317" s="92" t="str">
        <f aca="false">IF(ISBLANK($C317),"",IF(ISNUMBER(O317),IF(O317&gt;=0,O317,""),""))</f>
        <v/>
      </c>
      <c r="AQ317" s="92" t="str">
        <f aca="false">IF(ISBLANK($C317),"",IF(P317=Constants!$B$3,TRUE(),IF(P317=Constants!$B$4,FALSE(),FALSE())))</f>
        <v/>
      </c>
      <c r="AR317" s="92" t="str">
        <f aca="false">IF(ISBLANK($C317),"",IF(Q317=Constants!$B$3,TRUE(),IF(Q317=Constants!$B$4,FALSE(),TRUE())))</f>
        <v/>
      </c>
      <c r="AS317" s="92" t="str">
        <f aca="false">IF(ISBLANK($C317),"",IF(R317=Constants!$B$3,TRUE(),IF(R317=Constants!$B$4,FALSE(),TRUE())))</f>
        <v/>
      </c>
      <c r="AT317" s="92" t="str">
        <f aca="false">IF(ISBLANK($C317),"",IF(S317=Constants!$B$5,TRUE(),IF(S317=Constants!$B$6,FALSE(),COUNTA(T317:X317)&gt;0)))</f>
        <v/>
      </c>
      <c r="AU317" s="94" t="str">
        <f aca="false">IF(ISBLANK($C317),"",IF(ISNUMBER(T317),IF(T317&gt;=0,T317,""),""))</f>
        <v/>
      </c>
      <c r="AV317" s="93" t="str">
        <f aca="false">IF(ISBLANK($C317),"",IF(ISNUMBER(U317),IF(U317&gt;=0,U317,""),""))</f>
        <v/>
      </c>
      <c r="AW317" s="93" t="str">
        <f aca="false">IF(ISBLANK($C317),"",IF(V317=Constants!$B$3,TRUE(),IF(V317=Constants!$B$4,FALSE(),TRUE())))</f>
        <v/>
      </c>
      <c r="AX317" s="92" t="str">
        <f aca="false">IF(ISBLANK($C317),"",IF(ISNUMBER(W317),IF(W317&gt;=0,W317,""),""))</f>
        <v/>
      </c>
      <c r="AY317" s="92" t="str">
        <f aca="false">IF(ISBLANK($C317),"",IF(X317=Constants!$B$3,TRUE(),IF(X317=Constants!$B$4,FALSE(),FALSE())))</f>
        <v/>
      </c>
      <c r="AZ317" s="92" t="str">
        <f aca="false">IF(ISBLANK($C317),"",MIN(Constants!$B$31,MAX(0,IF(ISNUMBER(Y317),Y317*60,0)+IF(ISNUMBER(Z317),Z317,0))))</f>
        <v/>
      </c>
      <c r="BA317" s="92" t="str">
        <f aca="false">IF(ISBLANK($C317),"",IF(AA317=Constants!$B$3,TRUE(),IF(AA317=Constants!$B$4,FALSE(),FALSE())))</f>
        <v/>
      </c>
      <c r="BB317" s="91" t="str">
        <f aca="false">IF(ISBLANK($C317),"",AND($AL317,OR($AM317="",$AN317="",AND($AO317,$AP317=""))))</f>
        <v/>
      </c>
      <c r="BC317" s="93" t="str">
        <f aca="false">IF($BR317&lt;&gt;Constants!$B$8,"",IF($AL317,Constants!$B$21*$AN317+Constants!$B$22*IF($AO317,$AP317,Constants!$B$23),Constants!$B$24))</f>
        <v/>
      </c>
      <c r="BD317" s="96" t="str">
        <f aca="false">IF($BR317&lt;&gt;Constants!$B$8,"",Constants!$B$25*ABS($AD$9-IF($AL317,$AM317,0)))</f>
        <v/>
      </c>
      <c r="BE317" s="96" t="str">
        <f aca="false">IF($BR317&lt;&gt;Constants!$B$8,"",IF(AND($AL317,$AQ317,$AO317),Constants!$B$27,0))</f>
        <v/>
      </c>
      <c r="BF317" s="96" t="str">
        <f aca="false">IF($BR317&lt;&gt;Constants!$B$8,"",IF($AL317,($AI317-Constants!$B$29)*Constants!$B$28,0))</f>
        <v/>
      </c>
      <c r="BG317" s="96" t="str">
        <f aca="false">IF($BR317&lt;&gt;Constants!$B$8,"",IF($AK317,0,Constants!$B$15)+IF($AJ317,0,Constants!$B$16)+IF($AH317,0,Constants!$B$17))</f>
        <v/>
      </c>
      <c r="BH317" s="97" t="str">
        <f aca="false">IF($BR317&lt;&gt;Constants!$B$8,"",Constants!$B$20+SUM($BC317:$BG317))</f>
        <v/>
      </c>
      <c r="BI317" s="92" t="str">
        <f aca="false">IF($BR317&lt;&gt;Constants!$B$8,"",IF(OR($BP317&lt;$BH317,AND($BP317=$BH317,OR($BK317&lt;$BC317,AND($BK317=$BC317,OR($BL317&lt;$BD317,AND($BL317=$BD317,$AT317,$AL317,$AV317&lt;$AN317)))))),"-&gt;","&lt;-"))</f>
        <v/>
      </c>
      <c r="BJ317" s="91" t="str">
        <f aca="false">IF(ISBLANK($C317),"",AND($AT317,OR($AU317="",$AV317="",AND($AW317,$AX317=""))))</f>
        <v/>
      </c>
      <c r="BK317" s="93" t="str">
        <f aca="false">IF($BR317&lt;&gt;Constants!$B$8,"",IF($AT317,Constants!$B$21*$AV317+Constants!$B$22*IF($AW317,$AX317,Constants!$B$23),Constants!$B$24))</f>
        <v/>
      </c>
      <c r="BL317" s="96" t="str">
        <f aca="false">IF($BR317&lt;&gt;Constants!$B$8,"",Constants!$B$25*ABS($AD$9-IF($AT317,$AU317,0)))</f>
        <v/>
      </c>
      <c r="BM317" s="96" t="str">
        <f aca="false">IF($BR317&lt;&gt;Constants!$B$8,"",IF(AND($AT317,$AY317,$AW317),Constants!$B$27,0))</f>
        <v/>
      </c>
      <c r="BN317" s="96" t="str">
        <f aca="false">IF($BR317&lt;&gt;Constants!$B$8,"",IF($AT317,($AI317-Constants!$B$29)*Constants!$B$28,0))</f>
        <v/>
      </c>
      <c r="BO317" s="96" t="str">
        <f aca="false">IF($BR317&lt;&gt;Constants!$B$8,"",IF($AS317,0,Constants!$B$15)+IF($AR317,0,Constants!$B$16)+IF($AH317,0,Constants!$B$17))</f>
        <v/>
      </c>
      <c r="BP317" s="97" t="str">
        <f aca="false">IF($BR317&lt;&gt;Constants!$B$8,"",Constants!$B$20+SUM($BK317:$BO317))</f>
        <v/>
      </c>
      <c r="BQ317" s="92" t="str">
        <f aca="false">IF(ISBLANK($C317),"",IF(ISBLANK($D$7),$BQ$5,IF(NOT(ISNUMBER($D$7)),$BQ$6,"")))</f>
        <v/>
      </c>
      <c r="BR317" s="92" t="str">
        <f aca="false">IF(ISBLANK($C317),"",IF($BA317,Constants!$B$11,IF(COUNTA($E317:$AA317)=0,Constants!$B$10,IF(NOT($AG317),Constants!$B$9,IF(OR($BQ317&lt;&gt;"",$BB317,$BJ317),Constants!$B$12,Constants!$B$8)))))</f>
        <v/>
      </c>
      <c r="BS317" s="92" t="str">
        <f aca="false">IF(ISBLANK($C317),"",IF($BR317&lt;&gt;Constants!$B$8,$BR317,Constants!$B$13))</f>
        <v/>
      </c>
      <c r="BT317" s="96" t="str">
        <f aca="false">IF($BR317&lt;&gt;Constants!$B$8,"",IF($BI317="-&gt;",$BP317,$BH317))</f>
        <v/>
      </c>
      <c r="BU317" s="96" t="str">
        <f aca="false">IF($BR317&lt;&gt;Constants!$B$8,"",IF($AF317,0,Constants!$B$18))</f>
        <v/>
      </c>
      <c r="BV317" s="96" t="str">
        <f aca="false">IF($BR317&lt;&gt;Constants!$B$8,"",((Constants!$B$31-$AZ317)-Constants!$B$31)/Constants!$B$32)</f>
        <v/>
      </c>
      <c r="BW317" s="96" t="str">
        <f aca="false">IF(ISBLANK($C317),"",IF($BR317&lt;&gt;Constants!$B$8,$BR317,SUM($BT317:$BV317)))</f>
        <v/>
      </c>
      <c r="BX317" s="92" t="str">
        <f aca="false">IF(ISBLANK($C317),"",IF($BR317&lt;&gt;Constants!$B$8,$BR317,RANK($BW317,$BW$9:$BW$508,1)))</f>
        <v/>
      </c>
      <c r="BY317" s="96" t="str">
        <f aca="false">IF($BR317&lt;&gt;Constants!$B$8,"",IF($BI317="-&gt;",$BK317,$BC317))</f>
        <v/>
      </c>
      <c r="BZ317" s="92" t="str">
        <f aca="false">IF(ISBLANK($C317),"",IF($BR317&lt;&gt;Constants!$B$8,$BR317,IF(ISNUMBER($BY317),RANK($BY317,$BY$9:$BY$508,1),COUNT($BY$9:$BY$508)+1)))</f>
        <v/>
      </c>
      <c r="CA317" s="96" t="str">
        <f aca="false">IF($BR317&lt;&gt;Constants!$B$8,"",IF($BI317="-&gt;",$BL317,$BD317))</f>
        <v/>
      </c>
      <c r="CB317" s="92" t="str">
        <f aca="false">IF(ISBLANK($C317),"",IF($BR317&lt;&gt;Constants!$B$8,$BR317,IF(ISNUMBER($CA317),RANK($CA317,$CA$9:$CA$508,1),COUNT($CA$9:$CA$508)+1)))</f>
        <v/>
      </c>
      <c r="CC317" s="96" t="str">
        <f aca="false">IF($BR317&lt;&gt;Constants!$B$8,"",IF($BI317="-&gt;",IF($AT317,$AV317,""),IF($AL317,$AN317,"")))</f>
        <v/>
      </c>
      <c r="CD317" s="92" t="str">
        <f aca="false">IF(ISBLANK($C317),"",IF($BR317&lt;&gt;Constants!$B$8,$BR317,IF(ISNUMBER($CC317),RANK($CC317,$CC$9:$CC$508,1),COUNT($CC$9:$CC$508)+1)))</f>
        <v/>
      </c>
      <c r="CE317" s="96" t="str">
        <f aca="false">IF($BR317&lt;&gt;Constants!$B$8,"",IF(AND(NOT($AL317),NOT($AT317),$AJ317,$AK317,$AR317,$AS317),"",$AI317))</f>
        <v/>
      </c>
      <c r="CF317" s="92" t="str">
        <f aca="false">IF(ISBLANK($C317),"",IF($BR317&lt;&gt;Constants!$B$8,$BR317,IF(ISNUMBER($CE317),RANK($CE317,$CE$9:$CE$508,1),COUNT($CE$9:$CE$508)+1)))</f>
        <v/>
      </c>
      <c r="CG317" s="92" t="str">
        <f aca="false">IF(ISBLANK($C317),"",IF($BR317&lt;&gt;Constants!$B$8,$BR317,COUNTIFS($BX$9:$BX$508,"&lt;"&amp;$BX317)+COUNTIFS($BX$9:$BX$508,$BX317,$BZ$9:$BZ$508,"&lt;"&amp;$BZ317)+COUNTIFS($BX$9:$BX$508,$BX317,$BZ$9:$BZ$508,$BZ317,$CB$9:$CB$508,"&lt;"&amp;$CB317)+COUNTIFS($BX$9:$BX$508,$BX317,$BZ$9:$BZ$508,$BZ317,$CB$9:$CB$508,$CB317,$CD$9:$CD$508,"&lt;"&amp;$CD317)+COUNTIFS($BX$9:$BX$508,$BX317,$BZ$9:$BZ$508,$BZ317,$CB$9:$CB$508,$CB317,$CD$9:$CD$508,$CD317,$CF$9:$CF$508,"&lt;"&amp;$CF317)+1))</f>
        <v/>
      </c>
      <c r="CH317" s="92" t="str">
        <f aca="false">IF(ISBLANK($C317),"",IF($BR317&lt;&gt;Constants!$B$8,$BR317,$BX317-$CG317))</f>
        <v/>
      </c>
      <c r="CI317" s="98"/>
      <c r="CJ317" s="99"/>
      <c r="CK317" s="100" t="str">
        <f aca="false">IF(ISBLANK($C317),"",IF($BR317=Constants!$B$12,$BQ317,""))</f>
        <v/>
      </c>
      <c r="CL317" s="99" t="str">
        <f aca="false">IF(ISBLANK($C317),"",IF($BR317&lt;&gt;Constants!$B$8,"",IF($BI317="-&gt;",2,1)))</f>
        <v/>
      </c>
      <c r="CM317" s="101" t="str">
        <f aca="false">IF(ISBLANK($C317),"",IF($BR317&lt;&gt;Constants!$B$8,"",IF($BI317="-&gt;",$BK317,$BC317)))</f>
        <v/>
      </c>
      <c r="CN317" s="101" t="str">
        <f aca="false">IF(ISBLANK($C317),"",IF($BR317&lt;&gt;Constants!$B$8,"",IF($BI317="-&gt;",$BL317,$BD317)))</f>
        <v/>
      </c>
      <c r="CO317" s="101" t="str">
        <f aca="false">IF(ISBLANK($C317),"",IF($BR317&lt;&gt;Constants!$B$8,"",IF($BI317="-&gt;",$BM317+$BN317,$BE317+$BF317)+$BV317))</f>
        <v/>
      </c>
      <c r="CP317" s="101" t="str">
        <f aca="false">IF(ISBLANK($C317),"",IF($BR317&lt;&gt;Constants!$B$8,"",IF($BI317="-&gt;",$BO317,$BG317)+$BU317))</f>
        <v/>
      </c>
      <c r="CQ317" s="102" t="str">
        <f aca="false">IF(ISBLANK($C317),"",IF($BR317&lt;&gt;Constants!$B$8,$BR317,$BW317))</f>
        <v/>
      </c>
      <c r="CR317" s="103" t="str">
        <f aca="false">IF(ISBLANK($C317),"",$BS317)</f>
        <v/>
      </c>
      <c r="CS317" s="104" t="str">
        <f aca="false">IF(ISBLANK($C317),"",$CH317)</f>
        <v/>
      </c>
      <c r="CT317" s="104" t="str">
        <f aca="false">IF(ISBLANK($C317),"",$CG317)</f>
        <v/>
      </c>
      <c r="CU317" s="105" t="str">
        <f aca="false">IF(ISBLANK($C317),"",IFERROR(_xlfn.SWITCH($CT317,Constants!$B$11,COUNTA($C$9:$C$508)+2,Constants!$B$10,COUNTA($C$9:$C$508)+1,Constants!$B$9,COUNTA($C$9:$C$508)),$CT317))</f>
        <v/>
      </c>
      <c r="CV317" s="9"/>
      <c r="CW317" s="106" t="n">
        <f aca="false">IF(OR(ISNUMBER($CT317),$CT317=Constants!$B$11,$CT317=Constants!$B$9,$CT317=Constants!$B$10),1,0)</f>
        <v>0</v>
      </c>
      <c r="CX317" s="106" t="n">
        <v>309</v>
      </c>
      <c r="CY317" s="106" t="str">
        <f aca="false">IF(ISBLANK($C317),"",IF(ISNUMBER($CU317),$CU317+ROW($B317)/1000,""))</f>
        <v/>
      </c>
      <c r="CZ317" s="106" t="str">
        <f aca="false">IF(ISNUMBER($CY317),RANK($CY317,$CY$9:$CY$508,1),"")</f>
        <v/>
      </c>
      <c r="DA317" s="106" t="str">
        <f aca="false">IF(ISBLANK($C317),"",$B317)</f>
        <v/>
      </c>
      <c r="DB317" s="106" t="str">
        <f aca="false">IF(ISBLANK($C317),"",$C317)</f>
        <v/>
      </c>
      <c r="DC317" s="106" t="str">
        <f aca="false">IF(ISBLANK($C317),"",$D317)</f>
        <v/>
      </c>
      <c r="DD317" s="107" t="str">
        <f aca="false">$CR317</f>
        <v/>
      </c>
      <c r="DE317" s="108" t="str">
        <f aca="false">$CQ317</f>
        <v/>
      </c>
      <c r="DF317" s="106" t="str">
        <f aca="false">IF(ISBLANK($C317),"",$CT317)</f>
        <v/>
      </c>
      <c r="DG317" s="109" t="str">
        <f aca="false">IF($CX317&gt;$CW$8,"",VLOOKUP($CX317,$CZ$9:$DF$508,7,FALSE()))</f>
        <v/>
      </c>
      <c r="DH317" s="110" t="str">
        <f aca="false">IF($CX317&gt;$CW$8,"",VLOOKUP($CX317,$CZ$9:$DF$508,2,FALSE()))</f>
        <v/>
      </c>
      <c r="DI317" s="110" t="str">
        <f aca="false">IF($CX317&gt;$CW$8,"",VLOOKUP($CX317,$CZ$9:$DF$508,3,FALSE()))</f>
        <v/>
      </c>
      <c r="DJ317" s="110" t="str">
        <f aca="false">IF($CX317&gt;$CW$8,"",VLOOKUP($CX317,$CZ$9:$DF$508,4,FALSE()))</f>
        <v/>
      </c>
      <c r="DK317" s="110" t="str">
        <f aca="false">IF($CX317&gt;$CW$8,"",VLOOKUP($CX317,$CZ$9:$DF$508,5,FALSE()))</f>
        <v/>
      </c>
      <c r="DL317" s="111" t="str">
        <f aca="false">IF($CX317&gt;$CW$8,"",VLOOKUP($CX317,$CZ$9:$DF$508,6,FALSE()))</f>
        <v/>
      </c>
      <c r="DM317" s="75"/>
    </row>
    <row r="318" customFormat="false" ht="15.75" hidden="false" customHeight="false" outlineLevel="0" collapsed="false">
      <c r="A318" s="9"/>
      <c r="B318" s="157"/>
      <c r="C318" s="158"/>
      <c r="D318" s="159"/>
      <c r="E318" s="177"/>
      <c r="F318" s="161"/>
      <c r="G318" s="162"/>
      <c r="H318" s="162"/>
      <c r="I318" s="178"/>
      <c r="J318" s="165"/>
      <c r="K318" s="126"/>
      <c r="L318" s="127"/>
      <c r="M318" s="128"/>
      <c r="N318" s="165"/>
      <c r="O318" s="165"/>
      <c r="P318" s="177"/>
      <c r="Q318" s="165"/>
      <c r="R318" s="165"/>
      <c r="S318" s="126"/>
      <c r="T318" s="128"/>
      <c r="U318" s="128"/>
      <c r="V318" s="165"/>
      <c r="W318" s="165"/>
      <c r="X318" s="177"/>
      <c r="Y318" s="165"/>
      <c r="Z318" s="166"/>
      <c r="AA318" s="165"/>
      <c r="AB318" s="132"/>
      <c r="AC318" s="133"/>
      <c r="AD318" s="133"/>
      <c r="AE318" s="133"/>
      <c r="AF318" s="133" t="str">
        <f aca="false">IF(ISBLANK($C318),"",IF(E318=Constants!$B$3,TRUE(),IF(E318=Constants!$B$4,FALSE(),TRUE())))</f>
        <v/>
      </c>
      <c r="AG318" s="133" t="str">
        <f aca="false">IF(ISBLANK($C318),"",IF(F318=Constants!$B$3,TRUE(),IF(F318=Constants!$B$4,FALSE(),TRUE())))</f>
        <v/>
      </c>
      <c r="AH318" s="133" t="str">
        <f aca="false">IF(ISBLANK($C318),"",IF(G318=Constants!$B$3,TRUE(),IF(G318=Constants!$B$4,FALSE(),TRUE())))</f>
        <v/>
      </c>
      <c r="AI318" s="133" t="str">
        <f aca="false">IF(ISBLANK($C318),"",IF(AND(ISNUMBER(H318),H318&gt;=0),H318,Constants!$B$29))</f>
        <v/>
      </c>
      <c r="AJ318" s="133" t="str">
        <f aca="false">IF(ISBLANK($C318),"",IF(I318=Constants!$B$3,TRUE(),IF(I318=Constants!$B$4,FALSE(),TRUE())))</f>
        <v/>
      </c>
      <c r="AK318" s="133" t="str">
        <f aca="false">IF(ISBLANK($C318),"",IF(J318=Constants!$B$3,TRUE(),IF(J318=Constants!$B$4,FALSE(),TRUE())))</f>
        <v/>
      </c>
      <c r="AL318" s="133" t="str">
        <f aca="false">IF(ISBLANK($C318),"",IF(K318=Constants!$B$5,TRUE(),IF(K318=Constants!$B$6,FALSE(),COUNTA(L318:P318)&gt;0)))</f>
        <v/>
      </c>
      <c r="AM318" s="134" t="str">
        <f aca="false">IF(ISBLANK($C318),"",IF(ISNUMBER(L318),IF(L318&gt;=0,L318,""),""))</f>
        <v/>
      </c>
      <c r="AN318" s="135" t="str">
        <f aca="false">IF(ISBLANK($C318),"",IF(ISNUMBER(M318),IF(M318&gt;=0,M318,""),""))</f>
        <v/>
      </c>
      <c r="AO318" s="135" t="str">
        <f aca="false">IF(ISBLANK($C318),"",IF(N318=Constants!$B$3,TRUE(),IF(N318=Constants!$B$4,FALSE(),TRUE())))</f>
        <v/>
      </c>
      <c r="AP318" s="133" t="str">
        <f aca="false">IF(ISBLANK($C318),"",IF(ISNUMBER(O318),IF(O318&gt;=0,O318,""),""))</f>
        <v/>
      </c>
      <c r="AQ318" s="133" t="str">
        <f aca="false">IF(ISBLANK($C318),"",IF(P318=Constants!$B$3,TRUE(),IF(P318=Constants!$B$4,FALSE(),FALSE())))</f>
        <v/>
      </c>
      <c r="AR318" s="133" t="str">
        <f aca="false">IF(ISBLANK($C318),"",IF(Q318=Constants!$B$3,TRUE(),IF(Q318=Constants!$B$4,FALSE(),TRUE())))</f>
        <v/>
      </c>
      <c r="AS318" s="133" t="str">
        <f aca="false">IF(ISBLANK($C318),"",IF(R318=Constants!$B$3,TRUE(),IF(R318=Constants!$B$4,FALSE(),TRUE())))</f>
        <v/>
      </c>
      <c r="AT318" s="133" t="str">
        <f aca="false">IF(ISBLANK($C318),"",IF(S318=Constants!$B$5,TRUE(),IF(S318=Constants!$B$6,FALSE(),COUNTA(T318:X318)&gt;0)))</f>
        <v/>
      </c>
      <c r="AU318" s="134" t="str">
        <f aca="false">IF(ISBLANK($C318),"",IF(ISNUMBER(T318),IF(T318&gt;=0,T318,""),""))</f>
        <v/>
      </c>
      <c r="AV318" s="135" t="str">
        <f aca="false">IF(ISBLANK($C318),"",IF(ISNUMBER(U318),IF(U318&gt;=0,U318,""),""))</f>
        <v/>
      </c>
      <c r="AW318" s="135" t="str">
        <f aca="false">IF(ISBLANK($C318),"",IF(V318=Constants!$B$3,TRUE(),IF(V318=Constants!$B$4,FALSE(),TRUE())))</f>
        <v/>
      </c>
      <c r="AX318" s="133" t="str">
        <f aca="false">IF(ISBLANK($C318),"",IF(ISNUMBER(W318),IF(W318&gt;=0,W318,""),""))</f>
        <v/>
      </c>
      <c r="AY318" s="133" t="str">
        <f aca="false">IF(ISBLANK($C318),"",IF(X318=Constants!$B$3,TRUE(),IF(X318=Constants!$B$4,FALSE(),FALSE())))</f>
        <v/>
      </c>
      <c r="AZ318" s="133" t="str">
        <f aca="false">IF(ISBLANK($C318),"",MIN(Constants!$B$31,MAX(0,IF(ISNUMBER(Y318),Y318*60,0)+IF(ISNUMBER(Z318),Z318,0))))</f>
        <v/>
      </c>
      <c r="BA318" s="133" t="str">
        <f aca="false">IF(ISBLANK($C318),"",IF(AA318=Constants!$B$3,TRUE(),IF(AA318=Constants!$B$4,FALSE(),FALSE())))</f>
        <v/>
      </c>
      <c r="BB318" s="132" t="str">
        <f aca="false">IF(ISBLANK($C318),"",AND($AL318,OR($AM318="",$AN318="",AND($AO318,$AP318=""))))</f>
        <v/>
      </c>
      <c r="BC318" s="135" t="str">
        <f aca="false">IF($BR318&lt;&gt;Constants!$B$8,"",IF($AL318,Constants!$B$21*$AN318+Constants!$B$22*IF($AO318,$AP318,Constants!$B$23),Constants!$B$24))</f>
        <v/>
      </c>
      <c r="BD318" s="136" t="str">
        <f aca="false">IF($BR318&lt;&gt;Constants!$B$8,"",Constants!$B$25*ABS($AD$9-IF($AL318,$AM318,0)))</f>
        <v/>
      </c>
      <c r="BE318" s="136" t="str">
        <f aca="false">IF($BR318&lt;&gt;Constants!$B$8,"",IF(AND($AL318,$AQ318,$AO318),Constants!$B$27,0))</f>
        <v/>
      </c>
      <c r="BF318" s="136" t="str">
        <f aca="false">IF($BR318&lt;&gt;Constants!$B$8,"",IF($AL318,($AI318-Constants!$B$29)*Constants!$B$28,0))</f>
        <v/>
      </c>
      <c r="BG318" s="136" t="str">
        <f aca="false">IF($BR318&lt;&gt;Constants!$B$8,"",IF($AK318,0,Constants!$B$15)+IF($AJ318,0,Constants!$B$16)+IF($AH318,0,Constants!$B$17))</f>
        <v/>
      </c>
      <c r="BH318" s="137" t="str">
        <f aca="false">IF($BR318&lt;&gt;Constants!$B$8,"",Constants!$B$20+SUM($BC318:$BG318))</f>
        <v/>
      </c>
      <c r="BI318" s="133" t="str">
        <f aca="false">IF($BR318&lt;&gt;Constants!$B$8,"",IF(OR($BP318&lt;$BH318,AND($BP318=$BH318,OR($BK318&lt;$BC318,AND($BK318=$BC318,OR($BL318&lt;$BD318,AND($BL318=$BD318,$AT318,$AL318,$AV318&lt;$AN318)))))),"-&gt;","&lt;-"))</f>
        <v/>
      </c>
      <c r="BJ318" s="132" t="str">
        <f aca="false">IF(ISBLANK($C318),"",AND($AT318,OR($AU318="",$AV318="",AND($AW318,$AX318=""))))</f>
        <v/>
      </c>
      <c r="BK318" s="135" t="str">
        <f aca="false">IF($BR318&lt;&gt;Constants!$B$8,"",IF($AT318,Constants!$B$21*$AV318+Constants!$B$22*IF($AW318,$AX318,Constants!$B$23),Constants!$B$24))</f>
        <v/>
      </c>
      <c r="BL318" s="136" t="str">
        <f aca="false">IF($BR318&lt;&gt;Constants!$B$8,"",Constants!$B$25*ABS($AD$9-IF($AT318,$AU318,0)))</f>
        <v/>
      </c>
      <c r="BM318" s="136" t="str">
        <f aca="false">IF($BR318&lt;&gt;Constants!$B$8,"",IF(AND($AT318,$AY318,$AW318),Constants!$B$27,0))</f>
        <v/>
      </c>
      <c r="BN318" s="136" t="str">
        <f aca="false">IF($BR318&lt;&gt;Constants!$B$8,"",IF($AT318,($AI318-Constants!$B$29)*Constants!$B$28,0))</f>
        <v/>
      </c>
      <c r="BO318" s="136" t="str">
        <f aca="false">IF($BR318&lt;&gt;Constants!$B$8,"",IF($AS318,0,Constants!$B$15)+IF($AR318,0,Constants!$B$16)+IF($AH318,0,Constants!$B$17))</f>
        <v/>
      </c>
      <c r="BP318" s="137" t="str">
        <f aca="false">IF($BR318&lt;&gt;Constants!$B$8,"",Constants!$B$20+SUM($BK318:$BO318))</f>
        <v/>
      </c>
      <c r="BQ318" s="133" t="str">
        <f aca="false">IF(ISBLANK($C318),"",IF(ISBLANK($D$7),$BQ$5,IF(NOT(ISNUMBER($D$7)),$BQ$6,"")))</f>
        <v/>
      </c>
      <c r="BR318" s="133" t="str">
        <f aca="false">IF(ISBLANK($C318),"",IF($BA318,Constants!$B$11,IF(COUNTA($E318:$AA318)=0,Constants!$B$10,IF(NOT($AG318),Constants!$B$9,IF(OR($BQ318&lt;&gt;"",$BB318,$BJ318),Constants!$B$12,Constants!$B$8)))))</f>
        <v/>
      </c>
      <c r="BS318" s="133" t="str">
        <f aca="false">IF(ISBLANK($C318),"",IF($BR318&lt;&gt;Constants!$B$8,$BR318,Constants!$B$13))</f>
        <v/>
      </c>
      <c r="BT318" s="136" t="str">
        <f aca="false">IF($BR318&lt;&gt;Constants!$B$8,"",IF($BI318="-&gt;",$BP318,$BH318))</f>
        <v/>
      </c>
      <c r="BU318" s="136" t="str">
        <f aca="false">IF($BR318&lt;&gt;Constants!$B$8,"",IF($AF318,0,Constants!$B$18))</f>
        <v/>
      </c>
      <c r="BV318" s="136" t="str">
        <f aca="false">IF($BR318&lt;&gt;Constants!$B$8,"",((Constants!$B$31-$AZ318)-Constants!$B$31)/Constants!$B$32)</f>
        <v/>
      </c>
      <c r="BW318" s="136" t="str">
        <f aca="false">IF(ISBLANK($C318),"",IF($BR318&lt;&gt;Constants!$B$8,$BR318,SUM($BT318:$BV318)))</f>
        <v/>
      </c>
      <c r="BX318" s="133" t="str">
        <f aca="false">IF(ISBLANK($C318),"",IF($BR318&lt;&gt;Constants!$B$8,$BR318,RANK($BW318,$BW$9:$BW$508,1)))</f>
        <v/>
      </c>
      <c r="BY318" s="136" t="str">
        <f aca="false">IF($BR318&lt;&gt;Constants!$B$8,"",IF($BI318="-&gt;",$BK318,$BC318))</f>
        <v/>
      </c>
      <c r="BZ318" s="133" t="str">
        <f aca="false">IF(ISBLANK($C318),"",IF($BR318&lt;&gt;Constants!$B$8,$BR318,IF(ISNUMBER($BY318),RANK($BY318,$BY$9:$BY$508,1),COUNT($BY$9:$BY$508)+1)))</f>
        <v/>
      </c>
      <c r="CA318" s="136" t="str">
        <f aca="false">IF($BR318&lt;&gt;Constants!$B$8,"",IF($BI318="-&gt;",$BL318,$BD318))</f>
        <v/>
      </c>
      <c r="CB318" s="133" t="str">
        <f aca="false">IF(ISBLANK($C318),"",IF($BR318&lt;&gt;Constants!$B$8,$BR318,IF(ISNUMBER($CA318),RANK($CA318,$CA$9:$CA$508,1),COUNT($CA$9:$CA$508)+1)))</f>
        <v/>
      </c>
      <c r="CC318" s="136" t="str">
        <f aca="false">IF($BR318&lt;&gt;Constants!$B$8,"",IF($BI318="-&gt;",IF($AT318,$AV318,""),IF($AL318,$AN318,"")))</f>
        <v/>
      </c>
      <c r="CD318" s="133" t="str">
        <f aca="false">IF(ISBLANK($C318),"",IF($BR318&lt;&gt;Constants!$B$8,$BR318,IF(ISNUMBER($CC318),RANK($CC318,$CC$9:$CC$508,1),COUNT($CC$9:$CC$508)+1)))</f>
        <v/>
      </c>
      <c r="CE318" s="136" t="str">
        <f aca="false">IF($BR318&lt;&gt;Constants!$B$8,"",IF(AND(NOT($AL318),NOT($AT318),$AJ318,$AK318,$AR318,$AS318),"",$AI318))</f>
        <v/>
      </c>
      <c r="CF318" s="133" t="str">
        <f aca="false">IF(ISBLANK($C318),"",IF($BR318&lt;&gt;Constants!$B$8,$BR318,IF(ISNUMBER($CE318),RANK($CE318,$CE$9:$CE$508,1),COUNT($CE$9:$CE$508)+1)))</f>
        <v/>
      </c>
      <c r="CG318" s="133" t="str">
        <f aca="false">IF(ISBLANK($C318),"",IF($BR318&lt;&gt;Constants!$B$8,$BR318,COUNTIFS($BX$9:$BX$508,"&lt;"&amp;$BX318)+COUNTIFS($BX$9:$BX$508,$BX318,$BZ$9:$BZ$508,"&lt;"&amp;$BZ318)+COUNTIFS($BX$9:$BX$508,$BX318,$BZ$9:$BZ$508,$BZ318,$CB$9:$CB$508,"&lt;"&amp;$CB318)+COUNTIFS($BX$9:$BX$508,$BX318,$BZ$9:$BZ$508,$BZ318,$CB$9:$CB$508,$CB318,$CD$9:$CD$508,"&lt;"&amp;$CD318)+COUNTIFS($BX$9:$BX$508,$BX318,$BZ$9:$BZ$508,$BZ318,$CB$9:$CB$508,$CB318,$CD$9:$CD$508,$CD318,$CF$9:$CF$508,"&lt;"&amp;$CF318)+1))</f>
        <v/>
      </c>
      <c r="CH318" s="133" t="str">
        <f aca="false">IF(ISBLANK($C318),"",IF($BR318&lt;&gt;Constants!$B$8,$BR318,$BX318-$CG318))</f>
        <v/>
      </c>
      <c r="CI318" s="138"/>
      <c r="CJ318" s="139"/>
      <c r="CK318" s="140" t="str">
        <f aca="false">IF(ISBLANK($C318),"",IF($BR318=Constants!$B$12,$BQ318,""))</f>
        <v/>
      </c>
      <c r="CL318" s="139" t="str">
        <f aca="false">IF(ISBLANK($C318),"",IF($BR318&lt;&gt;Constants!$B$8,"",IF($BI318="-&gt;",2,1)))</f>
        <v/>
      </c>
      <c r="CM318" s="141" t="str">
        <f aca="false">IF(ISBLANK($C318),"",IF($BR318&lt;&gt;Constants!$B$8,"",IF($BI318="-&gt;",$BK318,$BC318)))</f>
        <v/>
      </c>
      <c r="CN318" s="141" t="str">
        <f aca="false">IF(ISBLANK($C318),"",IF($BR318&lt;&gt;Constants!$B$8,"",IF($BI318="-&gt;",$BL318,$BD318)))</f>
        <v/>
      </c>
      <c r="CO318" s="141" t="str">
        <f aca="false">IF(ISBLANK($C318),"",IF($BR318&lt;&gt;Constants!$B$8,"",IF($BI318="-&gt;",$BM318+$BN318,$BE318+$BF318)+$BV318))</f>
        <v/>
      </c>
      <c r="CP318" s="141" t="str">
        <f aca="false">IF(ISBLANK($C318),"",IF($BR318&lt;&gt;Constants!$B$8,"",IF($BI318="-&gt;",$BO318,$BG318)+$BU318))</f>
        <v/>
      </c>
      <c r="CQ318" s="142" t="str">
        <f aca="false">IF(ISBLANK($C318),"",IF($BR318&lt;&gt;Constants!$B$8,$BR318,$BW318))</f>
        <v/>
      </c>
      <c r="CR318" s="143" t="str">
        <f aca="false">IF(ISBLANK($C318),"",$BS318)</f>
        <v/>
      </c>
      <c r="CS318" s="144" t="str">
        <f aca="false">IF(ISBLANK($C318),"",$CH318)</f>
        <v/>
      </c>
      <c r="CT318" s="144" t="str">
        <f aca="false">IF(ISBLANK($C318),"",$CG318)</f>
        <v/>
      </c>
      <c r="CU318" s="145" t="str">
        <f aca="false">IF(ISBLANK($C318),"",IFERROR(_xlfn.SWITCH($CT318,Constants!$B$11,COUNTA($C$9:$C$508)+2,Constants!$B$10,COUNTA($C$9:$C$508)+1,Constants!$B$9,COUNTA($C$9:$C$508)),$CT318))</f>
        <v/>
      </c>
      <c r="CV318" s="9"/>
      <c r="CW318" s="146" t="n">
        <f aca="false">IF(OR(ISNUMBER($CT318),$CT318=Constants!$B$11,$CT318=Constants!$B$9,$CT318=Constants!$B$10),1,0)</f>
        <v>0</v>
      </c>
      <c r="CX318" s="146" t="n">
        <v>310</v>
      </c>
      <c r="CY318" s="146" t="str">
        <f aca="false">IF(ISBLANK($C318),"",IF(ISNUMBER($CU318),$CU318+ROW($B318)/1000,""))</f>
        <v/>
      </c>
      <c r="CZ318" s="146" t="str">
        <f aca="false">IF(ISNUMBER($CY318),RANK($CY318,$CY$9:$CY$508,1),"")</f>
        <v/>
      </c>
      <c r="DA318" s="146" t="str">
        <f aca="false">IF(ISBLANK($C318),"",$B318)</f>
        <v/>
      </c>
      <c r="DB318" s="146" t="str">
        <f aca="false">IF(ISBLANK($C318),"",$C318)</f>
        <v/>
      </c>
      <c r="DC318" s="146" t="str">
        <f aca="false">IF(ISBLANK($C318),"",$D318)</f>
        <v/>
      </c>
      <c r="DD318" s="147" t="str">
        <f aca="false">$CR318</f>
        <v/>
      </c>
      <c r="DE318" s="148" t="str">
        <f aca="false">$CQ318</f>
        <v/>
      </c>
      <c r="DF318" s="146" t="str">
        <f aca="false">IF(ISBLANK($C318),"",$CT318)</f>
        <v/>
      </c>
      <c r="DG318" s="149" t="str">
        <f aca="false">IF($CX318&gt;$CW$8,"",VLOOKUP($CX318,$CZ$9:$DF$508,7,FALSE()))</f>
        <v/>
      </c>
      <c r="DH318" s="150" t="str">
        <f aca="false">IF($CX318&gt;$CW$8,"",VLOOKUP($CX318,$CZ$9:$DF$508,2,FALSE()))</f>
        <v/>
      </c>
      <c r="DI318" s="150" t="str">
        <f aca="false">IF($CX318&gt;$CW$8,"",VLOOKUP($CX318,$CZ$9:$DF$508,3,FALSE()))</f>
        <v/>
      </c>
      <c r="DJ318" s="150" t="str">
        <f aca="false">IF($CX318&gt;$CW$8,"",VLOOKUP($CX318,$CZ$9:$DF$508,4,FALSE()))</f>
        <v/>
      </c>
      <c r="DK318" s="150" t="str">
        <f aca="false">IF($CX318&gt;$CW$8,"",VLOOKUP($CX318,$CZ$9:$DF$508,5,FALSE()))</f>
        <v/>
      </c>
      <c r="DL318" s="151" t="str">
        <f aca="false">IF($CX318&gt;$CW$8,"",VLOOKUP($CX318,$CZ$9:$DF$508,6,FALSE()))</f>
        <v/>
      </c>
      <c r="DM318" s="75"/>
    </row>
    <row r="319" customFormat="false" ht="15.75" hidden="false" customHeight="false" outlineLevel="0" collapsed="false">
      <c r="A319" s="9"/>
      <c r="B319" s="157"/>
      <c r="C319" s="158"/>
      <c r="D319" s="159"/>
      <c r="E319" s="177"/>
      <c r="F319" s="161"/>
      <c r="G319" s="162"/>
      <c r="H319" s="162"/>
      <c r="I319" s="178"/>
      <c r="J319" s="165"/>
      <c r="K319" s="126"/>
      <c r="L319" s="127"/>
      <c r="M319" s="128"/>
      <c r="N319" s="165"/>
      <c r="O319" s="165"/>
      <c r="P319" s="177"/>
      <c r="Q319" s="165"/>
      <c r="R319" s="165"/>
      <c r="S319" s="126"/>
      <c r="T319" s="128"/>
      <c r="U319" s="128"/>
      <c r="V319" s="165"/>
      <c r="W319" s="165"/>
      <c r="X319" s="177"/>
      <c r="Y319" s="165"/>
      <c r="Z319" s="166"/>
      <c r="AA319" s="165"/>
      <c r="AB319" s="132"/>
      <c r="AC319" s="133"/>
      <c r="AD319" s="133"/>
      <c r="AE319" s="133"/>
      <c r="AF319" s="133" t="str">
        <f aca="false">IF(ISBLANK($C319),"",IF(E319=Constants!$B$3,TRUE(),IF(E319=Constants!$B$4,FALSE(),TRUE())))</f>
        <v/>
      </c>
      <c r="AG319" s="133" t="str">
        <f aca="false">IF(ISBLANK($C319),"",IF(F319=Constants!$B$3,TRUE(),IF(F319=Constants!$B$4,FALSE(),TRUE())))</f>
        <v/>
      </c>
      <c r="AH319" s="133" t="str">
        <f aca="false">IF(ISBLANK($C319),"",IF(G319=Constants!$B$3,TRUE(),IF(G319=Constants!$B$4,FALSE(),TRUE())))</f>
        <v/>
      </c>
      <c r="AI319" s="133" t="str">
        <f aca="false">IF(ISBLANK($C319),"",IF(AND(ISNUMBER(H319),H319&gt;=0),H319,Constants!$B$29))</f>
        <v/>
      </c>
      <c r="AJ319" s="133" t="str">
        <f aca="false">IF(ISBLANK($C319),"",IF(I319=Constants!$B$3,TRUE(),IF(I319=Constants!$B$4,FALSE(),TRUE())))</f>
        <v/>
      </c>
      <c r="AK319" s="133" t="str">
        <f aca="false">IF(ISBLANK($C319),"",IF(J319=Constants!$B$3,TRUE(),IF(J319=Constants!$B$4,FALSE(),TRUE())))</f>
        <v/>
      </c>
      <c r="AL319" s="133" t="str">
        <f aca="false">IF(ISBLANK($C319),"",IF(K319=Constants!$B$5,TRUE(),IF(K319=Constants!$B$6,FALSE(),COUNTA(L319:P319)&gt;0)))</f>
        <v/>
      </c>
      <c r="AM319" s="134" t="str">
        <f aca="false">IF(ISBLANK($C319),"",IF(ISNUMBER(L319),IF(L319&gt;=0,L319,""),""))</f>
        <v/>
      </c>
      <c r="AN319" s="135" t="str">
        <f aca="false">IF(ISBLANK($C319),"",IF(ISNUMBER(M319),IF(M319&gt;=0,M319,""),""))</f>
        <v/>
      </c>
      <c r="AO319" s="135" t="str">
        <f aca="false">IF(ISBLANK($C319),"",IF(N319=Constants!$B$3,TRUE(),IF(N319=Constants!$B$4,FALSE(),TRUE())))</f>
        <v/>
      </c>
      <c r="AP319" s="133" t="str">
        <f aca="false">IF(ISBLANK($C319),"",IF(ISNUMBER(O319),IF(O319&gt;=0,O319,""),""))</f>
        <v/>
      </c>
      <c r="AQ319" s="133" t="str">
        <f aca="false">IF(ISBLANK($C319),"",IF(P319=Constants!$B$3,TRUE(),IF(P319=Constants!$B$4,FALSE(),FALSE())))</f>
        <v/>
      </c>
      <c r="AR319" s="133" t="str">
        <f aca="false">IF(ISBLANK($C319),"",IF(Q319=Constants!$B$3,TRUE(),IF(Q319=Constants!$B$4,FALSE(),TRUE())))</f>
        <v/>
      </c>
      <c r="AS319" s="133" t="str">
        <f aca="false">IF(ISBLANK($C319),"",IF(R319=Constants!$B$3,TRUE(),IF(R319=Constants!$B$4,FALSE(),TRUE())))</f>
        <v/>
      </c>
      <c r="AT319" s="133" t="str">
        <f aca="false">IF(ISBLANK($C319),"",IF(S319=Constants!$B$5,TRUE(),IF(S319=Constants!$B$6,FALSE(),COUNTA(T319:X319)&gt;0)))</f>
        <v/>
      </c>
      <c r="AU319" s="134" t="str">
        <f aca="false">IF(ISBLANK($C319),"",IF(ISNUMBER(T319),IF(T319&gt;=0,T319,""),""))</f>
        <v/>
      </c>
      <c r="AV319" s="135" t="str">
        <f aca="false">IF(ISBLANK($C319),"",IF(ISNUMBER(U319),IF(U319&gt;=0,U319,""),""))</f>
        <v/>
      </c>
      <c r="AW319" s="135" t="str">
        <f aca="false">IF(ISBLANK($C319),"",IF(V319=Constants!$B$3,TRUE(),IF(V319=Constants!$B$4,FALSE(),TRUE())))</f>
        <v/>
      </c>
      <c r="AX319" s="133" t="str">
        <f aca="false">IF(ISBLANK($C319),"",IF(ISNUMBER(W319),IF(W319&gt;=0,W319,""),""))</f>
        <v/>
      </c>
      <c r="AY319" s="133" t="str">
        <f aca="false">IF(ISBLANK($C319),"",IF(X319=Constants!$B$3,TRUE(),IF(X319=Constants!$B$4,FALSE(),FALSE())))</f>
        <v/>
      </c>
      <c r="AZ319" s="133" t="str">
        <f aca="false">IF(ISBLANK($C319),"",MIN(Constants!$B$31,MAX(0,IF(ISNUMBER(Y319),Y319*60,0)+IF(ISNUMBER(Z319),Z319,0))))</f>
        <v/>
      </c>
      <c r="BA319" s="133" t="str">
        <f aca="false">IF(ISBLANK($C319),"",IF(AA319=Constants!$B$3,TRUE(),IF(AA319=Constants!$B$4,FALSE(),FALSE())))</f>
        <v/>
      </c>
      <c r="BB319" s="132" t="str">
        <f aca="false">IF(ISBLANK($C319),"",AND($AL319,OR($AM319="",$AN319="",AND($AO319,$AP319=""))))</f>
        <v/>
      </c>
      <c r="BC319" s="135" t="str">
        <f aca="false">IF($BR319&lt;&gt;Constants!$B$8,"",IF($AL319,Constants!$B$21*$AN319+Constants!$B$22*IF($AO319,$AP319,Constants!$B$23),Constants!$B$24))</f>
        <v/>
      </c>
      <c r="BD319" s="136" t="str">
        <f aca="false">IF($BR319&lt;&gt;Constants!$B$8,"",Constants!$B$25*ABS($AD$9-IF($AL319,$AM319,0)))</f>
        <v/>
      </c>
      <c r="BE319" s="136" t="str">
        <f aca="false">IF($BR319&lt;&gt;Constants!$B$8,"",IF(AND($AL319,$AQ319,$AO319),Constants!$B$27,0))</f>
        <v/>
      </c>
      <c r="BF319" s="136" t="str">
        <f aca="false">IF($BR319&lt;&gt;Constants!$B$8,"",IF($AL319,($AI319-Constants!$B$29)*Constants!$B$28,0))</f>
        <v/>
      </c>
      <c r="BG319" s="136" t="str">
        <f aca="false">IF($BR319&lt;&gt;Constants!$B$8,"",IF($AK319,0,Constants!$B$15)+IF($AJ319,0,Constants!$B$16)+IF($AH319,0,Constants!$B$17))</f>
        <v/>
      </c>
      <c r="BH319" s="137" t="str">
        <f aca="false">IF($BR319&lt;&gt;Constants!$B$8,"",Constants!$B$20+SUM($BC319:$BG319))</f>
        <v/>
      </c>
      <c r="BI319" s="133" t="str">
        <f aca="false">IF($BR319&lt;&gt;Constants!$B$8,"",IF(OR($BP319&lt;$BH319,AND($BP319=$BH319,OR($BK319&lt;$BC319,AND($BK319=$BC319,OR($BL319&lt;$BD319,AND($BL319=$BD319,$AT319,$AL319,$AV319&lt;$AN319)))))),"-&gt;","&lt;-"))</f>
        <v/>
      </c>
      <c r="BJ319" s="132" t="str">
        <f aca="false">IF(ISBLANK($C319),"",AND($AT319,OR($AU319="",$AV319="",AND($AW319,$AX319=""))))</f>
        <v/>
      </c>
      <c r="BK319" s="135" t="str">
        <f aca="false">IF($BR319&lt;&gt;Constants!$B$8,"",IF($AT319,Constants!$B$21*$AV319+Constants!$B$22*IF($AW319,$AX319,Constants!$B$23),Constants!$B$24))</f>
        <v/>
      </c>
      <c r="BL319" s="136" t="str">
        <f aca="false">IF($BR319&lt;&gt;Constants!$B$8,"",Constants!$B$25*ABS($AD$9-IF($AT319,$AU319,0)))</f>
        <v/>
      </c>
      <c r="BM319" s="136" t="str">
        <f aca="false">IF($BR319&lt;&gt;Constants!$B$8,"",IF(AND($AT319,$AY319,$AW319),Constants!$B$27,0))</f>
        <v/>
      </c>
      <c r="BN319" s="136" t="str">
        <f aca="false">IF($BR319&lt;&gt;Constants!$B$8,"",IF($AT319,($AI319-Constants!$B$29)*Constants!$B$28,0))</f>
        <v/>
      </c>
      <c r="BO319" s="136" t="str">
        <f aca="false">IF($BR319&lt;&gt;Constants!$B$8,"",IF($AS319,0,Constants!$B$15)+IF($AR319,0,Constants!$B$16)+IF($AH319,0,Constants!$B$17))</f>
        <v/>
      </c>
      <c r="BP319" s="137" t="str">
        <f aca="false">IF($BR319&lt;&gt;Constants!$B$8,"",Constants!$B$20+SUM($BK319:$BO319))</f>
        <v/>
      </c>
      <c r="BQ319" s="133" t="str">
        <f aca="false">IF(ISBLANK($C319),"",IF(ISBLANK($D$7),$BQ$5,IF(NOT(ISNUMBER($D$7)),$BQ$6,"")))</f>
        <v/>
      </c>
      <c r="BR319" s="133" t="str">
        <f aca="false">IF(ISBLANK($C319),"",IF($BA319,Constants!$B$11,IF(COUNTA($E319:$AA319)=0,Constants!$B$10,IF(NOT($AG319),Constants!$B$9,IF(OR($BQ319&lt;&gt;"",$BB319,$BJ319),Constants!$B$12,Constants!$B$8)))))</f>
        <v/>
      </c>
      <c r="BS319" s="133" t="str">
        <f aca="false">IF(ISBLANK($C319),"",IF($BR319&lt;&gt;Constants!$B$8,$BR319,Constants!$B$13))</f>
        <v/>
      </c>
      <c r="BT319" s="136" t="str">
        <f aca="false">IF($BR319&lt;&gt;Constants!$B$8,"",IF($BI319="-&gt;",$BP319,$BH319))</f>
        <v/>
      </c>
      <c r="BU319" s="136" t="str">
        <f aca="false">IF($BR319&lt;&gt;Constants!$B$8,"",IF($AF319,0,Constants!$B$18))</f>
        <v/>
      </c>
      <c r="BV319" s="136" t="str">
        <f aca="false">IF($BR319&lt;&gt;Constants!$B$8,"",((Constants!$B$31-$AZ319)-Constants!$B$31)/Constants!$B$32)</f>
        <v/>
      </c>
      <c r="BW319" s="136" t="str">
        <f aca="false">IF(ISBLANK($C319),"",IF($BR319&lt;&gt;Constants!$B$8,$BR319,SUM($BT319:$BV319)))</f>
        <v/>
      </c>
      <c r="BX319" s="133" t="str">
        <f aca="false">IF(ISBLANK($C319),"",IF($BR319&lt;&gt;Constants!$B$8,$BR319,RANK($BW319,$BW$9:$BW$508,1)))</f>
        <v/>
      </c>
      <c r="BY319" s="136" t="str">
        <f aca="false">IF($BR319&lt;&gt;Constants!$B$8,"",IF($BI319="-&gt;",$BK319,$BC319))</f>
        <v/>
      </c>
      <c r="BZ319" s="133" t="str">
        <f aca="false">IF(ISBLANK($C319),"",IF($BR319&lt;&gt;Constants!$B$8,$BR319,IF(ISNUMBER($BY319),RANK($BY319,$BY$9:$BY$508,1),COUNT($BY$9:$BY$508)+1)))</f>
        <v/>
      </c>
      <c r="CA319" s="136" t="str">
        <f aca="false">IF($BR319&lt;&gt;Constants!$B$8,"",IF($BI319="-&gt;",$BL319,$BD319))</f>
        <v/>
      </c>
      <c r="CB319" s="133" t="str">
        <f aca="false">IF(ISBLANK($C319),"",IF($BR319&lt;&gt;Constants!$B$8,$BR319,IF(ISNUMBER($CA319),RANK($CA319,$CA$9:$CA$508,1),COUNT($CA$9:$CA$508)+1)))</f>
        <v/>
      </c>
      <c r="CC319" s="136" t="str">
        <f aca="false">IF($BR319&lt;&gt;Constants!$B$8,"",IF($BI319="-&gt;",IF($AT319,$AV319,""),IF($AL319,$AN319,"")))</f>
        <v/>
      </c>
      <c r="CD319" s="133" t="str">
        <f aca="false">IF(ISBLANK($C319),"",IF($BR319&lt;&gt;Constants!$B$8,$BR319,IF(ISNUMBER($CC319),RANK($CC319,$CC$9:$CC$508,1),COUNT($CC$9:$CC$508)+1)))</f>
        <v/>
      </c>
      <c r="CE319" s="136" t="str">
        <f aca="false">IF($BR319&lt;&gt;Constants!$B$8,"",IF(AND(NOT($AL319),NOT($AT319),$AJ319,$AK319,$AR319,$AS319),"",$AI319))</f>
        <v/>
      </c>
      <c r="CF319" s="133" t="str">
        <f aca="false">IF(ISBLANK($C319),"",IF($BR319&lt;&gt;Constants!$B$8,$BR319,IF(ISNUMBER($CE319),RANK($CE319,$CE$9:$CE$508,1),COUNT($CE$9:$CE$508)+1)))</f>
        <v/>
      </c>
      <c r="CG319" s="133" t="str">
        <f aca="false">IF(ISBLANK($C319),"",IF($BR319&lt;&gt;Constants!$B$8,$BR319,COUNTIFS($BX$9:$BX$508,"&lt;"&amp;$BX319)+COUNTIFS($BX$9:$BX$508,$BX319,$BZ$9:$BZ$508,"&lt;"&amp;$BZ319)+COUNTIFS($BX$9:$BX$508,$BX319,$BZ$9:$BZ$508,$BZ319,$CB$9:$CB$508,"&lt;"&amp;$CB319)+COUNTIFS($BX$9:$BX$508,$BX319,$BZ$9:$BZ$508,$BZ319,$CB$9:$CB$508,$CB319,$CD$9:$CD$508,"&lt;"&amp;$CD319)+COUNTIFS($BX$9:$BX$508,$BX319,$BZ$9:$BZ$508,$BZ319,$CB$9:$CB$508,$CB319,$CD$9:$CD$508,$CD319,$CF$9:$CF$508,"&lt;"&amp;$CF319)+1))</f>
        <v/>
      </c>
      <c r="CH319" s="133" t="str">
        <f aca="false">IF(ISBLANK($C319),"",IF($BR319&lt;&gt;Constants!$B$8,$BR319,$BX319-$CG319))</f>
        <v/>
      </c>
      <c r="CI319" s="138"/>
      <c r="CJ319" s="139"/>
      <c r="CK319" s="140" t="str">
        <f aca="false">IF(ISBLANK($C319),"",IF($BR319=Constants!$B$12,$BQ319,""))</f>
        <v/>
      </c>
      <c r="CL319" s="139" t="str">
        <f aca="false">IF(ISBLANK($C319),"",IF($BR319&lt;&gt;Constants!$B$8,"",IF($BI319="-&gt;",2,1)))</f>
        <v/>
      </c>
      <c r="CM319" s="141" t="str">
        <f aca="false">IF(ISBLANK($C319),"",IF($BR319&lt;&gt;Constants!$B$8,"",IF($BI319="-&gt;",$BK319,$BC319)))</f>
        <v/>
      </c>
      <c r="CN319" s="141" t="str">
        <f aca="false">IF(ISBLANK($C319),"",IF($BR319&lt;&gt;Constants!$B$8,"",IF($BI319="-&gt;",$BL319,$BD319)))</f>
        <v/>
      </c>
      <c r="CO319" s="141" t="str">
        <f aca="false">IF(ISBLANK($C319),"",IF($BR319&lt;&gt;Constants!$B$8,"",IF($BI319="-&gt;",$BM319+$BN319,$BE319+$BF319)+$BV319))</f>
        <v/>
      </c>
      <c r="CP319" s="141" t="str">
        <f aca="false">IF(ISBLANK($C319),"",IF($BR319&lt;&gt;Constants!$B$8,"",IF($BI319="-&gt;",$BO319,$BG319)+$BU319))</f>
        <v/>
      </c>
      <c r="CQ319" s="142" t="str">
        <f aca="false">IF(ISBLANK($C319),"",IF($BR319&lt;&gt;Constants!$B$8,$BR319,$BW319))</f>
        <v/>
      </c>
      <c r="CR319" s="143" t="str">
        <f aca="false">IF(ISBLANK($C319),"",$BS319)</f>
        <v/>
      </c>
      <c r="CS319" s="144" t="str">
        <f aca="false">IF(ISBLANK($C319),"",$CH319)</f>
        <v/>
      </c>
      <c r="CT319" s="144" t="str">
        <f aca="false">IF(ISBLANK($C319),"",$CG319)</f>
        <v/>
      </c>
      <c r="CU319" s="145" t="str">
        <f aca="false">IF(ISBLANK($C319),"",IFERROR(_xlfn.SWITCH($CT319,Constants!$B$11,COUNTA($C$9:$C$508)+2,Constants!$B$10,COUNTA($C$9:$C$508)+1,Constants!$B$9,COUNTA($C$9:$C$508)),$CT319))</f>
        <v/>
      </c>
      <c r="CV319" s="9"/>
      <c r="CW319" s="146" t="n">
        <f aca="false">IF(OR(ISNUMBER($CT319),$CT319=Constants!$B$11,$CT319=Constants!$B$9,$CT319=Constants!$B$10),1,0)</f>
        <v>0</v>
      </c>
      <c r="CX319" s="146" t="n">
        <v>311</v>
      </c>
      <c r="CY319" s="146" t="str">
        <f aca="false">IF(ISBLANK($C319),"",IF(ISNUMBER($CU319),$CU319+ROW($B319)/1000,""))</f>
        <v/>
      </c>
      <c r="CZ319" s="146" t="str">
        <f aca="false">IF(ISNUMBER($CY319),RANK($CY319,$CY$9:$CY$508,1),"")</f>
        <v/>
      </c>
      <c r="DA319" s="146" t="str">
        <f aca="false">IF(ISBLANK($C319),"",$B319)</f>
        <v/>
      </c>
      <c r="DB319" s="146" t="str">
        <f aca="false">IF(ISBLANK($C319),"",$C319)</f>
        <v/>
      </c>
      <c r="DC319" s="146" t="str">
        <f aca="false">IF(ISBLANK($C319),"",$D319)</f>
        <v/>
      </c>
      <c r="DD319" s="147" t="str">
        <f aca="false">$CR319</f>
        <v/>
      </c>
      <c r="DE319" s="148" t="str">
        <f aca="false">$CQ319</f>
        <v/>
      </c>
      <c r="DF319" s="146" t="str">
        <f aca="false">IF(ISBLANK($C319),"",$CT319)</f>
        <v/>
      </c>
      <c r="DG319" s="149" t="str">
        <f aca="false">IF($CX319&gt;$CW$8,"",VLOOKUP($CX319,$CZ$9:$DF$508,7,FALSE()))</f>
        <v/>
      </c>
      <c r="DH319" s="150" t="str">
        <f aca="false">IF($CX319&gt;$CW$8,"",VLOOKUP($CX319,$CZ$9:$DF$508,2,FALSE()))</f>
        <v/>
      </c>
      <c r="DI319" s="150" t="str">
        <f aca="false">IF($CX319&gt;$CW$8,"",VLOOKUP($CX319,$CZ$9:$DF$508,3,FALSE()))</f>
        <v/>
      </c>
      <c r="DJ319" s="150" t="str">
        <f aca="false">IF($CX319&gt;$CW$8,"",VLOOKUP($CX319,$CZ$9:$DF$508,4,FALSE()))</f>
        <v/>
      </c>
      <c r="DK319" s="150" t="str">
        <f aca="false">IF($CX319&gt;$CW$8,"",VLOOKUP($CX319,$CZ$9:$DF$508,5,FALSE()))</f>
        <v/>
      </c>
      <c r="DL319" s="151" t="str">
        <f aca="false">IF($CX319&gt;$CW$8,"",VLOOKUP($CX319,$CZ$9:$DF$508,6,FALSE()))</f>
        <v/>
      </c>
      <c r="DM319" s="75"/>
    </row>
    <row r="320" customFormat="false" ht="15.75" hidden="false" customHeight="false" outlineLevel="0" collapsed="false">
      <c r="A320" s="9"/>
      <c r="B320" s="157"/>
      <c r="C320" s="158"/>
      <c r="D320" s="159"/>
      <c r="E320" s="177"/>
      <c r="F320" s="161"/>
      <c r="G320" s="162"/>
      <c r="H320" s="162"/>
      <c r="I320" s="178"/>
      <c r="J320" s="165"/>
      <c r="K320" s="126"/>
      <c r="L320" s="127"/>
      <c r="M320" s="128"/>
      <c r="N320" s="165"/>
      <c r="O320" s="165"/>
      <c r="P320" s="177"/>
      <c r="Q320" s="165"/>
      <c r="R320" s="165"/>
      <c r="S320" s="126"/>
      <c r="T320" s="128"/>
      <c r="U320" s="128"/>
      <c r="V320" s="165"/>
      <c r="W320" s="165"/>
      <c r="X320" s="177"/>
      <c r="Y320" s="165"/>
      <c r="Z320" s="166"/>
      <c r="AA320" s="165"/>
      <c r="AB320" s="132"/>
      <c r="AC320" s="133"/>
      <c r="AD320" s="133"/>
      <c r="AE320" s="133"/>
      <c r="AF320" s="133" t="str">
        <f aca="false">IF(ISBLANK($C320),"",IF(E320=Constants!$B$3,TRUE(),IF(E320=Constants!$B$4,FALSE(),TRUE())))</f>
        <v/>
      </c>
      <c r="AG320" s="133" t="str">
        <f aca="false">IF(ISBLANK($C320),"",IF(F320=Constants!$B$3,TRUE(),IF(F320=Constants!$B$4,FALSE(),TRUE())))</f>
        <v/>
      </c>
      <c r="AH320" s="133" t="str">
        <f aca="false">IF(ISBLANK($C320),"",IF(G320=Constants!$B$3,TRUE(),IF(G320=Constants!$B$4,FALSE(),TRUE())))</f>
        <v/>
      </c>
      <c r="AI320" s="133" t="str">
        <f aca="false">IF(ISBLANK($C320),"",IF(AND(ISNUMBER(H320),H320&gt;=0),H320,Constants!$B$29))</f>
        <v/>
      </c>
      <c r="AJ320" s="133" t="str">
        <f aca="false">IF(ISBLANK($C320),"",IF(I320=Constants!$B$3,TRUE(),IF(I320=Constants!$B$4,FALSE(),TRUE())))</f>
        <v/>
      </c>
      <c r="AK320" s="133" t="str">
        <f aca="false">IF(ISBLANK($C320),"",IF(J320=Constants!$B$3,TRUE(),IF(J320=Constants!$B$4,FALSE(),TRUE())))</f>
        <v/>
      </c>
      <c r="AL320" s="133" t="str">
        <f aca="false">IF(ISBLANK($C320),"",IF(K320=Constants!$B$5,TRUE(),IF(K320=Constants!$B$6,FALSE(),COUNTA(L320:P320)&gt;0)))</f>
        <v/>
      </c>
      <c r="AM320" s="134" t="str">
        <f aca="false">IF(ISBLANK($C320),"",IF(ISNUMBER(L320),IF(L320&gt;=0,L320,""),""))</f>
        <v/>
      </c>
      <c r="AN320" s="135" t="str">
        <f aca="false">IF(ISBLANK($C320),"",IF(ISNUMBER(M320),IF(M320&gt;=0,M320,""),""))</f>
        <v/>
      </c>
      <c r="AO320" s="135" t="str">
        <f aca="false">IF(ISBLANK($C320),"",IF(N320=Constants!$B$3,TRUE(),IF(N320=Constants!$B$4,FALSE(),TRUE())))</f>
        <v/>
      </c>
      <c r="AP320" s="133" t="str">
        <f aca="false">IF(ISBLANK($C320),"",IF(ISNUMBER(O320),IF(O320&gt;=0,O320,""),""))</f>
        <v/>
      </c>
      <c r="AQ320" s="133" t="str">
        <f aca="false">IF(ISBLANK($C320),"",IF(P320=Constants!$B$3,TRUE(),IF(P320=Constants!$B$4,FALSE(),FALSE())))</f>
        <v/>
      </c>
      <c r="AR320" s="133" t="str">
        <f aca="false">IF(ISBLANK($C320),"",IF(Q320=Constants!$B$3,TRUE(),IF(Q320=Constants!$B$4,FALSE(),TRUE())))</f>
        <v/>
      </c>
      <c r="AS320" s="133" t="str">
        <f aca="false">IF(ISBLANK($C320),"",IF(R320=Constants!$B$3,TRUE(),IF(R320=Constants!$B$4,FALSE(),TRUE())))</f>
        <v/>
      </c>
      <c r="AT320" s="133" t="str">
        <f aca="false">IF(ISBLANK($C320),"",IF(S320=Constants!$B$5,TRUE(),IF(S320=Constants!$B$6,FALSE(),COUNTA(T320:X320)&gt;0)))</f>
        <v/>
      </c>
      <c r="AU320" s="134" t="str">
        <f aca="false">IF(ISBLANK($C320),"",IF(ISNUMBER(T320),IF(T320&gt;=0,T320,""),""))</f>
        <v/>
      </c>
      <c r="AV320" s="135" t="str">
        <f aca="false">IF(ISBLANK($C320),"",IF(ISNUMBER(U320),IF(U320&gt;=0,U320,""),""))</f>
        <v/>
      </c>
      <c r="AW320" s="135" t="str">
        <f aca="false">IF(ISBLANK($C320),"",IF(V320=Constants!$B$3,TRUE(),IF(V320=Constants!$B$4,FALSE(),TRUE())))</f>
        <v/>
      </c>
      <c r="AX320" s="133" t="str">
        <f aca="false">IF(ISBLANK($C320),"",IF(ISNUMBER(W320),IF(W320&gt;=0,W320,""),""))</f>
        <v/>
      </c>
      <c r="AY320" s="133" t="str">
        <f aca="false">IF(ISBLANK($C320),"",IF(X320=Constants!$B$3,TRUE(),IF(X320=Constants!$B$4,FALSE(),FALSE())))</f>
        <v/>
      </c>
      <c r="AZ320" s="133" t="str">
        <f aca="false">IF(ISBLANK($C320),"",MIN(Constants!$B$31,MAX(0,IF(ISNUMBER(Y320),Y320*60,0)+IF(ISNUMBER(Z320),Z320,0))))</f>
        <v/>
      </c>
      <c r="BA320" s="133" t="str">
        <f aca="false">IF(ISBLANK($C320),"",IF(AA320=Constants!$B$3,TRUE(),IF(AA320=Constants!$B$4,FALSE(),FALSE())))</f>
        <v/>
      </c>
      <c r="BB320" s="132" t="str">
        <f aca="false">IF(ISBLANK($C320),"",AND($AL320,OR($AM320="",$AN320="",AND($AO320,$AP320=""))))</f>
        <v/>
      </c>
      <c r="BC320" s="135" t="str">
        <f aca="false">IF($BR320&lt;&gt;Constants!$B$8,"",IF($AL320,Constants!$B$21*$AN320+Constants!$B$22*IF($AO320,$AP320,Constants!$B$23),Constants!$B$24))</f>
        <v/>
      </c>
      <c r="BD320" s="136" t="str">
        <f aca="false">IF($BR320&lt;&gt;Constants!$B$8,"",Constants!$B$25*ABS($AD$9-IF($AL320,$AM320,0)))</f>
        <v/>
      </c>
      <c r="BE320" s="136" t="str">
        <f aca="false">IF($BR320&lt;&gt;Constants!$B$8,"",IF(AND($AL320,$AQ320,$AO320),Constants!$B$27,0))</f>
        <v/>
      </c>
      <c r="BF320" s="136" t="str">
        <f aca="false">IF($BR320&lt;&gt;Constants!$B$8,"",IF($AL320,($AI320-Constants!$B$29)*Constants!$B$28,0))</f>
        <v/>
      </c>
      <c r="BG320" s="136" t="str">
        <f aca="false">IF($BR320&lt;&gt;Constants!$B$8,"",IF($AK320,0,Constants!$B$15)+IF($AJ320,0,Constants!$B$16)+IF($AH320,0,Constants!$B$17))</f>
        <v/>
      </c>
      <c r="BH320" s="137" t="str">
        <f aca="false">IF($BR320&lt;&gt;Constants!$B$8,"",Constants!$B$20+SUM($BC320:$BG320))</f>
        <v/>
      </c>
      <c r="BI320" s="133" t="str">
        <f aca="false">IF($BR320&lt;&gt;Constants!$B$8,"",IF(OR($BP320&lt;$BH320,AND($BP320=$BH320,OR($BK320&lt;$BC320,AND($BK320=$BC320,OR($BL320&lt;$BD320,AND($BL320=$BD320,$AT320,$AL320,$AV320&lt;$AN320)))))),"-&gt;","&lt;-"))</f>
        <v/>
      </c>
      <c r="BJ320" s="132" t="str">
        <f aca="false">IF(ISBLANK($C320),"",AND($AT320,OR($AU320="",$AV320="",AND($AW320,$AX320=""))))</f>
        <v/>
      </c>
      <c r="BK320" s="135" t="str">
        <f aca="false">IF($BR320&lt;&gt;Constants!$B$8,"",IF($AT320,Constants!$B$21*$AV320+Constants!$B$22*IF($AW320,$AX320,Constants!$B$23),Constants!$B$24))</f>
        <v/>
      </c>
      <c r="BL320" s="136" t="str">
        <f aca="false">IF($BR320&lt;&gt;Constants!$B$8,"",Constants!$B$25*ABS($AD$9-IF($AT320,$AU320,0)))</f>
        <v/>
      </c>
      <c r="BM320" s="136" t="str">
        <f aca="false">IF($BR320&lt;&gt;Constants!$B$8,"",IF(AND($AT320,$AY320,$AW320),Constants!$B$27,0))</f>
        <v/>
      </c>
      <c r="BN320" s="136" t="str">
        <f aca="false">IF($BR320&lt;&gt;Constants!$B$8,"",IF($AT320,($AI320-Constants!$B$29)*Constants!$B$28,0))</f>
        <v/>
      </c>
      <c r="BO320" s="136" t="str">
        <f aca="false">IF($BR320&lt;&gt;Constants!$B$8,"",IF($AS320,0,Constants!$B$15)+IF($AR320,0,Constants!$B$16)+IF($AH320,0,Constants!$B$17))</f>
        <v/>
      </c>
      <c r="BP320" s="137" t="str">
        <f aca="false">IF($BR320&lt;&gt;Constants!$B$8,"",Constants!$B$20+SUM($BK320:$BO320))</f>
        <v/>
      </c>
      <c r="BQ320" s="133" t="str">
        <f aca="false">IF(ISBLANK($C320),"",IF(ISBLANK($D$7),$BQ$5,IF(NOT(ISNUMBER($D$7)),$BQ$6,"")))</f>
        <v/>
      </c>
      <c r="BR320" s="133" t="str">
        <f aca="false">IF(ISBLANK($C320),"",IF($BA320,Constants!$B$11,IF(COUNTA($E320:$AA320)=0,Constants!$B$10,IF(NOT($AG320),Constants!$B$9,IF(OR($BQ320&lt;&gt;"",$BB320,$BJ320),Constants!$B$12,Constants!$B$8)))))</f>
        <v/>
      </c>
      <c r="BS320" s="133" t="str">
        <f aca="false">IF(ISBLANK($C320),"",IF($BR320&lt;&gt;Constants!$B$8,$BR320,Constants!$B$13))</f>
        <v/>
      </c>
      <c r="BT320" s="136" t="str">
        <f aca="false">IF($BR320&lt;&gt;Constants!$B$8,"",IF($BI320="-&gt;",$BP320,$BH320))</f>
        <v/>
      </c>
      <c r="BU320" s="136" t="str">
        <f aca="false">IF($BR320&lt;&gt;Constants!$B$8,"",IF($AF320,0,Constants!$B$18))</f>
        <v/>
      </c>
      <c r="BV320" s="136" t="str">
        <f aca="false">IF($BR320&lt;&gt;Constants!$B$8,"",((Constants!$B$31-$AZ320)-Constants!$B$31)/Constants!$B$32)</f>
        <v/>
      </c>
      <c r="BW320" s="136" t="str">
        <f aca="false">IF(ISBLANK($C320),"",IF($BR320&lt;&gt;Constants!$B$8,$BR320,SUM($BT320:$BV320)))</f>
        <v/>
      </c>
      <c r="BX320" s="133" t="str">
        <f aca="false">IF(ISBLANK($C320),"",IF($BR320&lt;&gt;Constants!$B$8,$BR320,RANK($BW320,$BW$9:$BW$508,1)))</f>
        <v/>
      </c>
      <c r="BY320" s="136" t="str">
        <f aca="false">IF($BR320&lt;&gt;Constants!$B$8,"",IF($BI320="-&gt;",$BK320,$BC320))</f>
        <v/>
      </c>
      <c r="BZ320" s="133" t="str">
        <f aca="false">IF(ISBLANK($C320),"",IF($BR320&lt;&gt;Constants!$B$8,$BR320,IF(ISNUMBER($BY320),RANK($BY320,$BY$9:$BY$508,1),COUNT($BY$9:$BY$508)+1)))</f>
        <v/>
      </c>
      <c r="CA320" s="136" t="str">
        <f aca="false">IF($BR320&lt;&gt;Constants!$B$8,"",IF($BI320="-&gt;",$BL320,$BD320))</f>
        <v/>
      </c>
      <c r="CB320" s="133" t="str">
        <f aca="false">IF(ISBLANK($C320),"",IF($BR320&lt;&gt;Constants!$B$8,$BR320,IF(ISNUMBER($CA320),RANK($CA320,$CA$9:$CA$508,1),COUNT($CA$9:$CA$508)+1)))</f>
        <v/>
      </c>
      <c r="CC320" s="136" t="str">
        <f aca="false">IF($BR320&lt;&gt;Constants!$B$8,"",IF($BI320="-&gt;",IF($AT320,$AV320,""),IF($AL320,$AN320,"")))</f>
        <v/>
      </c>
      <c r="CD320" s="133" t="str">
        <f aca="false">IF(ISBLANK($C320),"",IF($BR320&lt;&gt;Constants!$B$8,$BR320,IF(ISNUMBER($CC320),RANK($CC320,$CC$9:$CC$508,1),COUNT($CC$9:$CC$508)+1)))</f>
        <v/>
      </c>
      <c r="CE320" s="136" t="str">
        <f aca="false">IF($BR320&lt;&gt;Constants!$B$8,"",IF(AND(NOT($AL320),NOT($AT320),$AJ320,$AK320,$AR320,$AS320),"",$AI320))</f>
        <v/>
      </c>
      <c r="CF320" s="133" t="str">
        <f aca="false">IF(ISBLANK($C320),"",IF($BR320&lt;&gt;Constants!$B$8,$BR320,IF(ISNUMBER($CE320),RANK($CE320,$CE$9:$CE$508,1),COUNT($CE$9:$CE$508)+1)))</f>
        <v/>
      </c>
      <c r="CG320" s="133" t="str">
        <f aca="false">IF(ISBLANK($C320),"",IF($BR320&lt;&gt;Constants!$B$8,$BR320,COUNTIFS($BX$9:$BX$508,"&lt;"&amp;$BX320)+COUNTIFS($BX$9:$BX$508,$BX320,$BZ$9:$BZ$508,"&lt;"&amp;$BZ320)+COUNTIFS($BX$9:$BX$508,$BX320,$BZ$9:$BZ$508,$BZ320,$CB$9:$CB$508,"&lt;"&amp;$CB320)+COUNTIFS($BX$9:$BX$508,$BX320,$BZ$9:$BZ$508,$BZ320,$CB$9:$CB$508,$CB320,$CD$9:$CD$508,"&lt;"&amp;$CD320)+COUNTIFS($BX$9:$BX$508,$BX320,$BZ$9:$BZ$508,$BZ320,$CB$9:$CB$508,$CB320,$CD$9:$CD$508,$CD320,$CF$9:$CF$508,"&lt;"&amp;$CF320)+1))</f>
        <v/>
      </c>
      <c r="CH320" s="133" t="str">
        <f aca="false">IF(ISBLANK($C320),"",IF($BR320&lt;&gt;Constants!$B$8,$BR320,$BX320-$CG320))</f>
        <v/>
      </c>
      <c r="CI320" s="138"/>
      <c r="CJ320" s="139"/>
      <c r="CK320" s="140" t="str">
        <f aca="false">IF(ISBLANK($C320),"",IF($BR320=Constants!$B$12,$BQ320,""))</f>
        <v/>
      </c>
      <c r="CL320" s="139" t="str">
        <f aca="false">IF(ISBLANK($C320),"",IF($BR320&lt;&gt;Constants!$B$8,"",IF($BI320="-&gt;",2,1)))</f>
        <v/>
      </c>
      <c r="CM320" s="141" t="str">
        <f aca="false">IF(ISBLANK($C320),"",IF($BR320&lt;&gt;Constants!$B$8,"",IF($BI320="-&gt;",$BK320,$BC320)))</f>
        <v/>
      </c>
      <c r="CN320" s="141" t="str">
        <f aca="false">IF(ISBLANK($C320),"",IF($BR320&lt;&gt;Constants!$B$8,"",IF($BI320="-&gt;",$BL320,$BD320)))</f>
        <v/>
      </c>
      <c r="CO320" s="141" t="str">
        <f aca="false">IF(ISBLANK($C320),"",IF($BR320&lt;&gt;Constants!$B$8,"",IF($BI320="-&gt;",$BM320+$BN320,$BE320+$BF320)+$BV320))</f>
        <v/>
      </c>
      <c r="CP320" s="141" t="str">
        <f aca="false">IF(ISBLANK($C320),"",IF($BR320&lt;&gt;Constants!$B$8,"",IF($BI320="-&gt;",$BO320,$BG320)+$BU320))</f>
        <v/>
      </c>
      <c r="CQ320" s="142" t="str">
        <f aca="false">IF(ISBLANK($C320),"",IF($BR320&lt;&gt;Constants!$B$8,$BR320,$BW320))</f>
        <v/>
      </c>
      <c r="CR320" s="143" t="str">
        <f aca="false">IF(ISBLANK($C320),"",$BS320)</f>
        <v/>
      </c>
      <c r="CS320" s="144" t="str">
        <f aca="false">IF(ISBLANK($C320),"",$CH320)</f>
        <v/>
      </c>
      <c r="CT320" s="144" t="str">
        <f aca="false">IF(ISBLANK($C320),"",$CG320)</f>
        <v/>
      </c>
      <c r="CU320" s="145" t="str">
        <f aca="false">IF(ISBLANK($C320),"",IFERROR(_xlfn.SWITCH($CT320,Constants!$B$11,COUNTA($C$9:$C$508)+2,Constants!$B$10,COUNTA($C$9:$C$508)+1,Constants!$B$9,COUNTA($C$9:$C$508)),$CT320))</f>
        <v/>
      </c>
      <c r="CV320" s="9"/>
      <c r="CW320" s="146" t="n">
        <f aca="false">IF(OR(ISNUMBER($CT320),$CT320=Constants!$B$11,$CT320=Constants!$B$9,$CT320=Constants!$B$10),1,0)</f>
        <v>0</v>
      </c>
      <c r="CX320" s="146" t="n">
        <v>312</v>
      </c>
      <c r="CY320" s="146" t="str">
        <f aca="false">IF(ISBLANK($C320),"",IF(ISNUMBER($CU320),$CU320+ROW($B320)/1000,""))</f>
        <v/>
      </c>
      <c r="CZ320" s="146" t="str">
        <f aca="false">IF(ISNUMBER($CY320),RANK($CY320,$CY$9:$CY$508,1),"")</f>
        <v/>
      </c>
      <c r="DA320" s="146" t="str">
        <f aca="false">IF(ISBLANK($C320),"",$B320)</f>
        <v/>
      </c>
      <c r="DB320" s="146" t="str">
        <f aca="false">IF(ISBLANK($C320),"",$C320)</f>
        <v/>
      </c>
      <c r="DC320" s="146" t="str">
        <f aca="false">IF(ISBLANK($C320),"",$D320)</f>
        <v/>
      </c>
      <c r="DD320" s="147" t="str">
        <f aca="false">$CR320</f>
        <v/>
      </c>
      <c r="DE320" s="148" t="str">
        <f aca="false">$CQ320</f>
        <v/>
      </c>
      <c r="DF320" s="146" t="str">
        <f aca="false">IF(ISBLANK($C320),"",$CT320)</f>
        <v/>
      </c>
      <c r="DG320" s="149" t="str">
        <f aca="false">IF($CX320&gt;$CW$8,"",VLOOKUP($CX320,$CZ$9:$DF$508,7,FALSE()))</f>
        <v/>
      </c>
      <c r="DH320" s="150" t="str">
        <f aca="false">IF($CX320&gt;$CW$8,"",VLOOKUP($CX320,$CZ$9:$DF$508,2,FALSE()))</f>
        <v/>
      </c>
      <c r="DI320" s="150" t="str">
        <f aca="false">IF($CX320&gt;$CW$8,"",VLOOKUP($CX320,$CZ$9:$DF$508,3,FALSE()))</f>
        <v/>
      </c>
      <c r="DJ320" s="150" t="str">
        <f aca="false">IF($CX320&gt;$CW$8,"",VLOOKUP($CX320,$CZ$9:$DF$508,4,FALSE()))</f>
        <v/>
      </c>
      <c r="DK320" s="150" t="str">
        <f aca="false">IF($CX320&gt;$CW$8,"",VLOOKUP($CX320,$CZ$9:$DF$508,5,FALSE()))</f>
        <v/>
      </c>
      <c r="DL320" s="151" t="str">
        <f aca="false">IF($CX320&gt;$CW$8,"",VLOOKUP($CX320,$CZ$9:$DF$508,6,FALSE()))</f>
        <v/>
      </c>
      <c r="DM320" s="75"/>
    </row>
    <row r="321" customFormat="false" ht="15.75" hidden="false" customHeight="false" outlineLevel="0" collapsed="false">
      <c r="A321" s="9"/>
      <c r="B321" s="77"/>
      <c r="C321" s="78"/>
      <c r="D321" s="167"/>
      <c r="E321" s="175"/>
      <c r="F321" s="169"/>
      <c r="G321" s="170"/>
      <c r="H321" s="170"/>
      <c r="I321" s="176"/>
      <c r="J321" s="173"/>
      <c r="K321" s="85"/>
      <c r="L321" s="86"/>
      <c r="M321" s="87"/>
      <c r="N321" s="173"/>
      <c r="O321" s="173"/>
      <c r="P321" s="175"/>
      <c r="Q321" s="173"/>
      <c r="R321" s="173"/>
      <c r="S321" s="85"/>
      <c r="T321" s="87"/>
      <c r="U321" s="87"/>
      <c r="V321" s="173"/>
      <c r="W321" s="173"/>
      <c r="X321" s="175"/>
      <c r="Y321" s="173"/>
      <c r="Z321" s="174"/>
      <c r="AA321" s="173"/>
      <c r="AB321" s="91"/>
      <c r="AC321" s="92"/>
      <c r="AD321" s="92"/>
      <c r="AE321" s="92"/>
      <c r="AF321" s="92" t="str">
        <f aca="false">IF(ISBLANK($C321),"",IF(E321=Constants!$B$3,TRUE(),IF(E321=Constants!$B$4,FALSE(),TRUE())))</f>
        <v/>
      </c>
      <c r="AG321" s="92" t="str">
        <f aca="false">IF(ISBLANK($C321),"",IF(F321=Constants!$B$3,TRUE(),IF(F321=Constants!$B$4,FALSE(),TRUE())))</f>
        <v/>
      </c>
      <c r="AH321" s="92" t="str">
        <f aca="false">IF(ISBLANK($C321),"",IF(G321=Constants!$B$3,TRUE(),IF(G321=Constants!$B$4,FALSE(),TRUE())))</f>
        <v/>
      </c>
      <c r="AI321" s="92" t="str">
        <f aca="false">IF(ISBLANK($C321),"",IF(AND(ISNUMBER(H321),H321&gt;=0),H321,Constants!$B$29))</f>
        <v/>
      </c>
      <c r="AJ321" s="92" t="str">
        <f aca="false">IF(ISBLANK($C321),"",IF(I321=Constants!$B$3,TRUE(),IF(I321=Constants!$B$4,FALSE(),TRUE())))</f>
        <v/>
      </c>
      <c r="AK321" s="92" t="str">
        <f aca="false">IF(ISBLANK($C321),"",IF(J321=Constants!$B$3,TRUE(),IF(J321=Constants!$B$4,FALSE(),TRUE())))</f>
        <v/>
      </c>
      <c r="AL321" s="92" t="str">
        <f aca="false">IF(ISBLANK($C321),"",IF(K321=Constants!$B$5,TRUE(),IF(K321=Constants!$B$6,FALSE(),COUNTA(L321:P321)&gt;0)))</f>
        <v/>
      </c>
      <c r="AM321" s="94" t="str">
        <f aca="false">IF(ISBLANK($C321),"",IF(ISNUMBER(L321),IF(L321&gt;=0,L321,""),""))</f>
        <v/>
      </c>
      <c r="AN321" s="93" t="str">
        <f aca="false">IF(ISBLANK($C321),"",IF(ISNUMBER(M321),IF(M321&gt;=0,M321,""),""))</f>
        <v/>
      </c>
      <c r="AO321" s="93" t="str">
        <f aca="false">IF(ISBLANK($C321),"",IF(N321=Constants!$B$3,TRUE(),IF(N321=Constants!$B$4,FALSE(),TRUE())))</f>
        <v/>
      </c>
      <c r="AP321" s="92" t="str">
        <f aca="false">IF(ISBLANK($C321),"",IF(ISNUMBER(O321),IF(O321&gt;=0,O321,""),""))</f>
        <v/>
      </c>
      <c r="AQ321" s="92" t="str">
        <f aca="false">IF(ISBLANK($C321),"",IF(P321=Constants!$B$3,TRUE(),IF(P321=Constants!$B$4,FALSE(),FALSE())))</f>
        <v/>
      </c>
      <c r="AR321" s="92" t="str">
        <f aca="false">IF(ISBLANK($C321),"",IF(Q321=Constants!$B$3,TRUE(),IF(Q321=Constants!$B$4,FALSE(),TRUE())))</f>
        <v/>
      </c>
      <c r="AS321" s="92" t="str">
        <f aca="false">IF(ISBLANK($C321),"",IF(R321=Constants!$B$3,TRUE(),IF(R321=Constants!$B$4,FALSE(),TRUE())))</f>
        <v/>
      </c>
      <c r="AT321" s="92" t="str">
        <f aca="false">IF(ISBLANK($C321),"",IF(S321=Constants!$B$5,TRUE(),IF(S321=Constants!$B$6,FALSE(),COUNTA(T321:X321)&gt;0)))</f>
        <v/>
      </c>
      <c r="AU321" s="94" t="str">
        <f aca="false">IF(ISBLANK($C321),"",IF(ISNUMBER(T321),IF(T321&gt;=0,T321,""),""))</f>
        <v/>
      </c>
      <c r="AV321" s="93" t="str">
        <f aca="false">IF(ISBLANK($C321),"",IF(ISNUMBER(U321),IF(U321&gt;=0,U321,""),""))</f>
        <v/>
      </c>
      <c r="AW321" s="93" t="str">
        <f aca="false">IF(ISBLANK($C321),"",IF(V321=Constants!$B$3,TRUE(),IF(V321=Constants!$B$4,FALSE(),TRUE())))</f>
        <v/>
      </c>
      <c r="AX321" s="92" t="str">
        <f aca="false">IF(ISBLANK($C321),"",IF(ISNUMBER(W321),IF(W321&gt;=0,W321,""),""))</f>
        <v/>
      </c>
      <c r="AY321" s="92" t="str">
        <f aca="false">IF(ISBLANK($C321),"",IF(X321=Constants!$B$3,TRUE(),IF(X321=Constants!$B$4,FALSE(),FALSE())))</f>
        <v/>
      </c>
      <c r="AZ321" s="92" t="str">
        <f aca="false">IF(ISBLANK($C321),"",MIN(Constants!$B$31,MAX(0,IF(ISNUMBER(Y321),Y321*60,0)+IF(ISNUMBER(Z321),Z321,0))))</f>
        <v/>
      </c>
      <c r="BA321" s="92" t="str">
        <f aca="false">IF(ISBLANK($C321),"",IF(AA321=Constants!$B$3,TRUE(),IF(AA321=Constants!$B$4,FALSE(),FALSE())))</f>
        <v/>
      </c>
      <c r="BB321" s="91" t="str">
        <f aca="false">IF(ISBLANK($C321),"",AND($AL321,OR($AM321="",$AN321="",AND($AO321,$AP321=""))))</f>
        <v/>
      </c>
      <c r="BC321" s="93" t="str">
        <f aca="false">IF($BR321&lt;&gt;Constants!$B$8,"",IF($AL321,Constants!$B$21*$AN321+Constants!$B$22*IF($AO321,$AP321,Constants!$B$23),Constants!$B$24))</f>
        <v/>
      </c>
      <c r="BD321" s="96" t="str">
        <f aca="false">IF($BR321&lt;&gt;Constants!$B$8,"",Constants!$B$25*ABS($AD$9-IF($AL321,$AM321,0)))</f>
        <v/>
      </c>
      <c r="BE321" s="96" t="str">
        <f aca="false">IF($BR321&lt;&gt;Constants!$B$8,"",IF(AND($AL321,$AQ321,$AO321),Constants!$B$27,0))</f>
        <v/>
      </c>
      <c r="BF321" s="96" t="str">
        <f aca="false">IF($BR321&lt;&gt;Constants!$B$8,"",IF($AL321,($AI321-Constants!$B$29)*Constants!$B$28,0))</f>
        <v/>
      </c>
      <c r="BG321" s="96" t="str">
        <f aca="false">IF($BR321&lt;&gt;Constants!$B$8,"",IF($AK321,0,Constants!$B$15)+IF($AJ321,0,Constants!$B$16)+IF($AH321,0,Constants!$B$17))</f>
        <v/>
      </c>
      <c r="BH321" s="97" t="str">
        <f aca="false">IF($BR321&lt;&gt;Constants!$B$8,"",Constants!$B$20+SUM($BC321:$BG321))</f>
        <v/>
      </c>
      <c r="BI321" s="92" t="str">
        <f aca="false">IF($BR321&lt;&gt;Constants!$B$8,"",IF(OR($BP321&lt;$BH321,AND($BP321=$BH321,OR($BK321&lt;$BC321,AND($BK321=$BC321,OR($BL321&lt;$BD321,AND($BL321=$BD321,$AT321,$AL321,$AV321&lt;$AN321)))))),"-&gt;","&lt;-"))</f>
        <v/>
      </c>
      <c r="BJ321" s="91" t="str">
        <f aca="false">IF(ISBLANK($C321),"",AND($AT321,OR($AU321="",$AV321="",AND($AW321,$AX321=""))))</f>
        <v/>
      </c>
      <c r="BK321" s="93" t="str">
        <f aca="false">IF($BR321&lt;&gt;Constants!$B$8,"",IF($AT321,Constants!$B$21*$AV321+Constants!$B$22*IF($AW321,$AX321,Constants!$B$23),Constants!$B$24))</f>
        <v/>
      </c>
      <c r="BL321" s="96" t="str">
        <f aca="false">IF($BR321&lt;&gt;Constants!$B$8,"",Constants!$B$25*ABS($AD$9-IF($AT321,$AU321,0)))</f>
        <v/>
      </c>
      <c r="BM321" s="96" t="str">
        <f aca="false">IF($BR321&lt;&gt;Constants!$B$8,"",IF(AND($AT321,$AY321,$AW321),Constants!$B$27,0))</f>
        <v/>
      </c>
      <c r="BN321" s="96" t="str">
        <f aca="false">IF($BR321&lt;&gt;Constants!$B$8,"",IF($AT321,($AI321-Constants!$B$29)*Constants!$B$28,0))</f>
        <v/>
      </c>
      <c r="BO321" s="96" t="str">
        <f aca="false">IF($BR321&lt;&gt;Constants!$B$8,"",IF($AS321,0,Constants!$B$15)+IF($AR321,0,Constants!$B$16)+IF($AH321,0,Constants!$B$17))</f>
        <v/>
      </c>
      <c r="BP321" s="97" t="str">
        <f aca="false">IF($BR321&lt;&gt;Constants!$B$8,"",Constants!$B$20+SUM($BK321:$BO321))</f>
        <v/>
      </c>
      <c r="BQ321" s="92" t="str">
        <f aca="false">IF(ISBLANK($C321),"",IF(ISBLANK($D$7),$BQ$5,IF(NOT(ISNUMBER($D$7)),$BQ$6,"")))</f>
        <v/>
      </c>
      <c r="BR321" s="92" t="str">
        <f aca="false">IF(ISBLANK($C321),"",IF($BA321,Constants!$B$11,IF(COUNTA($E321:$AA321)=0,Constants!$B$10,IF(NOT($AG321),Constants!$B$9,IF(OR($BQ321&lt;&gt;"",$BB321,$BJ321),Constants!$B$12,Constants!$B$8)))))</f>
        <v/>
      </c>
      <c r="BS321" s="92" t="str">
        <f aca="false">IF(ISBLANK($C321),"",IF($BR321&lt;&gt;Constants!$B$8,$BR321,Constants!$B$13))</f>
        <v/>
      </c>
      <c r="BT321" s="96" t="str">
        <f aca="false">IF($BR321&lt;&gt;Constants!$B$8,"",IF($BI321="-&gt;",$BP321,$BH321))</f>
        <v/>
      </c>
      <c r="BU321" s="96" t="str">
        <f aca="false">IF($BR321&lt;&gt;Constants!$B$8,"",IF($AF321,0,Constants!$B$18))</f>
        <v/>
      </c>
      <c r="BV321" s="96" t="str">
        <f aca="false">IF($BR321&lt;&gt;Constants!$B$8,"",((Constants!$B$31-$AZ321)-Constants!$B$31)/Constants!$B$32)</f>
        <v/>
      </c>
      <c r="BW321" s="96" t="str">
        <f aca="false">IF(ISBLANK($C321),"",IF($BR321&lt;&gt;Constants!$B$8,$BR321,SUM($BT321:$BV321)))</f>
        <v/>
      </c>
      <c r="BX321" s="92" t="str">
        <f aca="false">IF(ISBLANK($C321),"",IF($BR321&lt;&gt;Constants!$B$8,$BR321,RANK($BW321,$BW$9:$BW$508,1)))</f>
        <v/>
      </c>
      <c r="BY321" s="96" t="str">
        <f aca="false">IF($BR321&lt;&gt;Constants!$B$8,"",IF($BI321="-&gt;",$BK321,$BC321))</f>
        <v/>
      </c>
      <c r="BZ321" s="92" t="str">
        <f aca="false">IF(ISBLANK($C321),"",IF($BR321&lt;&gt;Constants!$B$8,$BR321,IF(ISNUMBER($BY321),RANK($BY321,$BY$9:$BY$508,1),COUNT($BY$9:$BY$508)+1)))</f>
        <v/>
      </c>
      <c r="CA321" s="96" t="str">
        <f aca="false">IF($BR321&lt;&gt;Constants!$B$8,"",IF($BI321="-&gt;",$BL321,$BD321))</f>
        <v/>
      </c>
      <c r="CB321" s="92" t="str">
        <f aca="false">IF(ISBLANK($C321),"",IF($BR321&lt;&gt;Constants!$B$8,$BR321,IF(ISNUMBER($CA321),RANK($CA321,$CA$9:$CA$508,1),COUNT($CA$9:$CA$508)+1)))</f>
        <v/>
      </c>
      <c r="CC321" s="96" t="str">
        <f aca="false">IF($BR321&lt;&gt;Constants!$B$8,"",IF($BI321="-&gt;",IF($AT321,$AV321,""),IF($AL321,$AN321,"")))</f>
        <v/>
      </c>
      <c r="CD321" s="92" t="str">
        <f aca="false">IF(ISBLANK($C321),"",IF($BR321&lt;&gt;Constants!$B$8,$BR321,IF(ISNUMBER($CC321),RANK($CC321,$CC$9:$CC$508,1),COUNT($CC$9:$CC$508)+1)))</f>
        <v/>
      </c>
      <c r="CE321" s="96" t="str">
        <f aca="false">IF($BR321&lt;&gt;Constants!$B$8,"",IF(AND(NOT($AL321),NOT($AT321),$AJ321,$AK321,$AR321,$AS321),"",$AI321))</f>
        <v/>
      </c>
      <c r="CF321" s="92" t="str">
        <f aca="false">IF(ISBLANK($C321),"",IF($BR321&lt;&gt;Constants!$B$8,$BR321,IF(ISNUMBER($CE321),RANK($CE321,$CE$9:$CE$508,1),COUNT($CE$9:$CE$508)+1)))</f>
        <v/>
      </c>
      <c r="CG321" s="92" t="str">
        <f aca="false">IF(ISBLANK($C321),"",IF($BR321&lt;&gt;Constants!$B$8,$BR321,COUNTIFS($BX$9:$BX$508,"&lt;"&amp;$BX321)+COUNTIFS($BX$9:$BX$508,$BX321,$BZ$9:$BZ$508,"&lt;"&amp;$BZ321)+COUNTIFS($BX$9:$BX$508,$BX321,$BZ$9:$BZ$508,$BZ321,$CB$9:$CB$508,"&lt;"&amp;$CB321)+COUNTIFS($BX$9:$BX$508,$BX321,$BZ$9:$BZ$508,$BZ321,$CB$9:$CB$508,$CB321,$CD$9:$CD$508,"&lt;"&amp;$CD321)+COUNTIFS($BX$9:$BX$508,$BX321,$BZ$9:$BZ$508,$BZ321,$CB$9:$CB$508,$CB321,$CD$9:$CD$508,$CD321,$CF$9:$CF$508,"&lt;"&amp;$CF321)+1))</f>
        <v/>
      </c>
      <c r="CH321" s="92" t="str">
        <f aca="false">IF(ISBLANK($C321),"",IF($BR321&lt;&gt;Constants!$B$8,$BR321,$BX321-$CG321))</f>
        <v/>
      </c>
      <c r="CI321" s="98"/>
      <c r="CJ321" s="99"/>
      <c r="CK321" s="100" t="str">
        <f aca="false">IF(ISBLANK($C321),"",IF($BR321=Constants!$B$12,$BQ321,""))</f>
        <v/>
      </c>
      <c r="CL321" s="99" t="str">
        <f aca="false">IF(ISBLANK($C321),"",IF($BR321&lt;&gt;Constants!$B$8,"",IF($BI321="-&gt;",2,1)))</f>
        <v/>
      </c>
      <c r="CM321" s="101" t="str">
        <f aca="false">IF(ISBLANK($C321),"",IF($BR321&lt;&gt;Constants!$B$8,"",IF($BI321="-&gt;",$BK321,$BC321)))</f>
        <v/>
      </c>
      <c r="CN321" s="101" t="str">
        <f aca="false">IF(ISBLANK($C321),"",IF($BR321&lt;&gt;Constants!$B$8,"",IF($BI321="-&gt;",$BL321,$BD321)))</f>
        <v/>
      </c>
      <c r="CO321" s="101" t="str">
        <f aca="false">IF(ISBLANK($C321),"",IF($BR321&lt;&gt;Constants!$B$8,"",IF($BI321="-&gt;",$BM321+$BN321,$BE321+$BF321)+$BV321))</f>
        <v/>
      </c>
      <c r="CP321" s="101" t="str">
        <f aca="false">IF(ISBLANK($C321),"",IF($BR321&lt;&gt;Constants!$B$8,"",IF($BI321="-&gt;",$BO321,$BG321)+$BU321))</f>
        <v/>
      </c>
      <c r="CQ321" s="102" t="str">
        <f aca="false">IF(ISBLANK($C321),"",IF($BR321&lt;&gt;Constants!$B$8,$BR321,$BW321))</f>
        <v/>
      </c>
      <c r="CR321" s="103" t="str">
        <f aca="false">IF(ISBLANK($C321),"",$BS321)</f>
        <v/>
      </c>
      <c r="CS321" s="104" t="str">
        <f aca="false">IF(ISBLANK($C321),"",$CH321)</f>
        <v/>
      </c>
      <c r="CT321" s="104" t="str">
        <f aca="false">IF(ISBLANK($C321),"",$CG321)</f>
        <v/>
      </c>
      <c r="CU321" s="105" t="str">
        <f aca="false">IF(ISBLANK($C321),"",IFERROR(_xlfn.SWITCH($CT321,Constants!$B$11,COUNTA($C$9:$C$508)+2,Constants!$B$10,COUNTA($C$9:$C$508)+1,Constants!$B$9,COUNTA($C$9:$C$508)),$CT321))</f>
        <v/>
      </c>
      <c r="CV321" s="9"/>
      <c r="CW321" s="106" t="n">
        <f aca="false">IF(OR(ISNUMBER($CT321),$CT321=Constants!$B$11,$CT321=Constants!$B$9,$CT321=Constants!$B$10),1,0)</f>
        <v>0</v>
      </c>
      <c r="CX321" s="106" t="n">
        <v>313</v>
      </c>
      <c r="CY321" s="106" t="str">
        <f aca="false">IF(ISBLANK($C321),"",IF(ISNUMBER($CU321),$CU321+ROW($B321)/1000,""))</f>
        <v/>
      </c>
      <c r="CZ321" s="106" t="str">
        <f aca="false">IF(ISNUMBER($CY321),RANK($CY321,$CY$9:$CY$508,1),"")</f>
        <v/>
      </c>
      <c r="DA321" s="106" t="str">
        <f aca="false">IF(ISBLANK($C321),"",$B321)</f>
        <v/>
      </c>
      <c r="DB321" s="106" t="str">
        <f aca="false">IF(ISBLANK($C321),"",$C321)</f>
        <v/>
      </c>
      <c r="DC321" s="106" t="str">
        <f aca="false">IF(ISBLANK($C321),"",$D321)</f>
        <v/>
      </c>
      <c r="DD321" s="107" t="str">
        <f aca="false">$CR321</f>
        <v/>
      </c>
      <c r="DE321" s="108" t="str">
        <f aca="false">$CQ321</f>
        <v/>
      </c>
      <c r="DF321" s="106" t="str">
        <f aca="false">IF(ISBLANK($C321),"",$CT321)</f>
        <v/>
      </c>
      <c r="DG321" s="109" t="str">
        <f aca="false">IF($CX321&gt;$CW$8,"",VLOOKUP($CX321,$CZ$9:$DF$508,7,FALSE()))</f>
        <v/>
      </c>
      <c r="DH321" s="110" t="str">
        <f aca="false">IF($CX321&gt;$CW$8,"",VLOOKUP($CX321,$CZ$9:$DF$508,2,FALSE()))</f>
        <v/>
      </c>
      <c r="DI321" s="110" t="str">
        <f aca="false">IF($CX321&gt;$CW$8,"",VLOOKUP($CX321,$CZ$9:$DF$508,3,FALSE()))</f>
        <v/>
      </c>
      <c r="DJ321" s="110" t="str">
        <f aca="false">IF($CX321&gt;$CW$8,"",VLOOKUP($CX321,$CZ$9:$DF$508,4,FALSE()))</f>
        <v/>
      </c>
      <c r="DK321" s="110" t="str">
        <f aca="false">IF($CX321&gt;$CW$8,"",VLOOKUP($CX321,$CZ$9:$DF$508,5,FALSE()))</f>
        <v/>
      </c>
      <c r="DL321" s="111" t="str">
        <f aca="false">IF($CX321&gt;$CW$8,"",VLOOKUP($CX321,$CZ$9:$DF$508,6,FALSE()))</f>
        <v/>
      </c>
      <c r="DM321" s="75"/>
    </row>
    <row r="322" customFormat="false" ht="15.75" hidden="false" customHeight="false" outlineLevel="0" collapsed="false">
      <c r="A322" s="9"/>
      <c r="B322" s="77"/>
      <c r="C322" s="78"/>
      <c r="D322" s="167"/>
      <c r="E322" s="175"/>
      <c r="F322" s="169"/>
      <c r="G322" s="170"/>
      <c r="H322" s="170"/>
      <c r="I322" s="176"/>
      <c r="J322" s="173"/>
      <c r="K322" s="85"/>
      <c r="L322" s="86"/>
      <c r="M322" s="87"/>
      <c r="N322" s="173"/>
      <c r="O322" s="173"/>
      <c r="P322" s="175"/>
      <c r="Q322" s="173"/>
      <c r="R322" s="173"/>
      <c r="S322" s="85"/>
      <c r="T322" s="87"/>
      <c r="U322" s="87"/>
      <c r="V322" s="173"/>
      <c r="W322" s="173"/>
      <c r="X322" s="175"/>
      <c r="Y322" s="173"/>
      <c r="Z322" s="174"/>
      <c r="AA322" s="173"/>
      <c r="AB322" s="91"/>
      <c r="AC322" s="92"/>
      <c r="AD322" s="92"/>
      <c r="AE322" s="92"/>
      <c r="AF322" s="92" t="str">
        <f aca="false">IF(ISBLANK($C322),"",IF(E322=Constants!$B$3,TRUE(),IF(E322=Constants!$B$4,FALSE(),TRUE())))</f>
        <v/>
      </c>
      <c r="AG322" s="92" t="str">
        <f aca="false">IF(ISBLANK($C322),"",IF(F322=Constants!$B$3,TRUE(),IF(F322=Constants!$B$4,FALSE(),TRUE())))</f>
        <v/>
      </c>
      <c r="AH322" s="92" t="str">
        <f aca="false">IF(ISBLANK($C322),"",IF(G322=Constants!$B$3,TRUE(),IF(G322=Constants!$B$4,FALSE(),TRUE())))</f>
        <v/>
      </c>
      <c r="AI322" s="92" t="str">
        <f aca="false">IF(ISBLANK($C322),"",IF(AND(ISNUMBER(H322),H322&gt;=0),H322,Constants!$B$29))</f>
        <v/>
      </c>
      <c r="AJ322" s="92" t="str">
        <f aca="false">IF(ISBLANK($C322),"",IF(I322=Constants!$B$3,TRUE(),IF(I322=Constants!$B$4,FALSE(),TRUE())))</f>
        <v/>
      </c>
      <c r="AK322" s="92" t="str">
        <f aca="false">IF(ISBLANK($C322),"",IF(J322=Constants!$B$3,TRUE(),IF(J322=Constants!$B$4,FALSE(),TRUE())))</f>
        <v/>
      </c>
      <c r="AL322" s="92" t="str">
        <f aca="false">IF(ISBLANK($C322),"",IF(K322=Constants!$B$5,TRUE(),IF(K322=Constants!$B$6,FALSE(),COUNTA(L322:P322)&gt;0)))</f>
        <v/>
      </c>
      <c r="AM322" s="94" t="str">
        <f aca="false">IF(ISBLANK($C322),"",IF(ISNUMBER(L322),IF(L322&gt;=0,L322,""),""))</f>
        <v/>
      </c>
      <c r="AN322" s="93" t="str">
        <f aca="false">IF(ISBLANK($C322),"",IF(ISNUMBER(M322),IF(M322&gt;=0,M322,""),""))</f>
        <v/>
      </c>
      <c r="AO322" s="93" t="str">
        <f aca="false">IF(ISBLANK($C322),"",IF(N322=Constants!$B$3,TRUE(),IF(N322=Constants!$B$4,FALSE(),TRUE())))</f>
        <v/>
      </c>
      <c r="AP322" s="92" t="str">
        <f aca="false">IF(ISBLANK($C322),"",IF(ISNUMBER(O322),IF(O322&gt;=0,O322,""),""))</f>
        <v/>
      </c>
      <c r="AQ322" s="92" t="str">
        <f aca="false">IF(ISBLANK($C322),"",IF(P322=Constants!$B$3,TRUE(),IF(P322=Constants!$B$4,FALSE(),FALSE())))</f>
        <v/>
      </c>
      <c r="AR322" s="92" t="str">
        <f aca="false">IF(ISBLANK($C322),"",IF(Q322=Constants!$B$3,TRUE(),IF(Q322=Constants!$B$4,FALSE(),TRUE())))</f>
        <v/>
      </c>
      <c r="AS322" s="92" t="str">
        <f aca="false">IF(ISBLANK($C322),"",IF(R322=Constants!$B$3,TRUE(),IF(R322=Constants!$B$4,FALSE(),TRUE())))</f>
        <v/>
      </c>
      <c r="AT322" s="92" t="str">
        <f aca="false">IF(ISBLANK($C322),"",IF(S322=Constants!$B$5,TRUE(),IF(S322=Constants!$B$6,FALSE(),COUNTA(T322:X322)&gt;0)))</f>
        <v/>
      </c>
      <c r="AU322" s="94" t="str">
        <f aca="false">IF(ISBLANK($C322),"",IF(ISNUMBER(T322),IF(T322&gt;=0,T322,""),""))</f>
        <v/>
      </c>
      <c r="AV322" s="93" t="str">
        <f aca="false">IF(ISBLANK($C322),"",IF(ISNUMBER(U322),IF(U322&gt;=0,U322,""),""))</f>
        <v/>
      </c>
      <c r="AW322" s="93" t="str">
        <f aca="false">IF(ISBLANK($C322),"",IF(V322=Constants!$B$3,TRUE(),IF(V322=Constants!$B$4,FALSE(),TRUE())))</f>
        <v/>
      </c>
      <c r="AX322" s="92" t="str">
        <f aca="false">IF(ISBLANK($C322),"",IF(ISNUMBER(W322),IF(W322&gt;=0,W322,""),""))</f>
        <v/>
      </c>
      <c r="AY322" s="92" t="str">
        <f aca="false">IF(ISBLANK($C322),"",IF(X322=Constants!$B$3,TRUE(),IF(X322=Constants!$B$4,FALSE(),FALSE())))</f>
        <v/>
      </c>
      <c r="AZ322" s="92" t="str">
        <f aca="false">IF(ISBLANK($C322),"",MIN(Constants!$B$31,MAX(0,IF(ISNUMBER(Y322),Y322*60,0)+IF(ISNUMBER(Z322),Z322,0))))</f>
        <v/>
      </c>
      <c r="BA322" s="92" t="str">
        <f aca="false">IF(ISBLANK($C322),"",IF(AA322=Constants!$B$3,TRUE(),IF(AA322=Constants!$B$4,FALSE(),FALSE())))</f>
        <v/>
      </c>
      <c r="BB322" s="91" t="str">
        <f aca="false">IF(ISBLANK($C322),"",AND($AL322,OR($AM322="",$AN322="",AND($AO322,$AP322=""))))</f>
        <v/>
      </c>
      <c r="BC322" s="93" t="str">
        <f aca="false">IF($BR322&lt;&gt;Constants!$B$8,"",IF($AL322,Constants!$B$21*$AN322+Constants!$B$22*IF($AO322,$AP322,Constants!$B$23),Constants!$B$24))</f>
        <v/>
      </c>
      <c r="BD322" s="96" t="str">
        <f aca="false">IF($BR322&lt;&gt;Constants!$B$8,"",Constants!$B$25*ABS($AD$9-IF($AL322,$AM322,0)))</f>
        <v/>
      </c>
      <c r="BE322" s="96" t="str">
        <f aca="false">IF($BR322&lt;&gt;Constants!$B$8,"",IF(AND($AL322,$AQ322,$AO322),Constants!$B$27,0))</f>
        <v/>
      </c>
      <c r="BF322" s="96" t="str">
        <f aca="false">IF($BR322&lt;&gt;Constants!$B$8,"",IF($AL322,($AI322-Constants!$B$29)*Constants!$B$28,0))</f>
        <v/>
      </c>
      <c r="BG322" s="96" t="str">
        <f aca="false">IF($BR322&lt;&gt;Constants!$B$8,"",IF($AK322,0,Constants!$B$15)+IF($AJ322,0,Constants!$B$16)+IF($AH322,0,Constants!$B$17))</f>
        <v/>
      </c>
      <c r="BH322" s="97" t="str">
        <f aca="false">IF($BR322&lt;&gt;Constants!$B$8,"",Constants!$B$20+SUM($BC322:$BG322))</f>
        <v/>
      </c>
      <c r="BI322" s="92" t="str">
        <f aca="false">IF($BR322&lt;&gt;Constants!$B$8,"",IF(OR($BP322&lt;$BH322,AND($BP322=$BH322,OR($BK322&lt;$BC322,AND($BK322=$BC322,OR($BL322&lt;$BD322,AND($BL322=$BD322,$AT322,$AL322,$AV322&lt;$AN322)))))),"-&gt;","&lt;-"))</f>
        <v/>
      </c>
      <c r="BJ322" s="91" t="str">
        <f aca="false">IF(ISBLANK($C322),"",AND($AT322,OR($AU322="",$AV322="",AND($AW322,$AX322=""))))</f>
        <v/>
      </c>
      <c r="BK322" s="93" t="str">
        <f aca="false">IF($BR322&lt;&gt;Constants!$B$8,"",IF($AT322,Constants!$B$21*$AV322+Constants!$B$22*IF($AW322,$AX322,Constants!$B$23),Constants!$B$24))</f>
        <v/>
      </c>
      <c r="BL322" s="96" t="str">
        <f aca="false">IF($BR322&lt;&gt;Constants!$B$8,"",Constants!$B$25*ABS($AD$9-IF($AT322,$AU322,0)))</f>
        <v/>
      </c>
      <c r="BM322" s="96" t="str">
        <f aca="false">IF($BR322&lt;&gt;Constants!$B$8,"",IF(AND($AT322,$AY322,$AW322),Constants!$B$27,0))</f>
        <v/>
      </c>
      <c r="BN322" s="96" t="str">
        <f aca="false">IF($BR322&lt;&gt;Constants!$B$8,"",IF($AT322,($AI322-Constants!$B$29)*Constants!$B$28,0))</f>
        <v/>
      </c>
      <c r="BO322" s="96" t="str">
        <f aca="false">IF($BR322&lt;&gt;Constants!$B$8,"",IF($AS322,0,Constants!$B$15)+IF($AR322,0,Constants!$B$16)+IF($AH322,0,Constants!$B$17))</f>
        <v/>
      </c>
      <c r="BP322" s="97" t="str">
        <f aca="false">IF($BR322&lt;&gt;Constants!$B$8,"",Constants!$B$20+SUM($BK322:$BO322))</f>
        <v/>
      </c>
      <c r="BQ322" s="92" t="str">
        <f aca="false">IF(ISBLANK($C322),"",IF(ISBLANK($D$7),$BQ$5,IF(NOT(ISNUMBER($D$7)),$BQ$6,"")))</f>
        <v/>
      </c>
      <c r="BR322" s="92" t="str">
        <f aca="false">IF(ISBLANK($C322),"",IF($BA322,Constants!$B$11,IF(COUNTA($E322:$AA322)=0,Constants!$B$10,IF(NOT($AG322),Constants!$B$9,IF(OR($BQ322&lt;&gt;"",$BB322,$BJ322),Constants!$B$12,Constants!$B$8)))))</f>
        <v/>
      </c>
      <c r="BS322" s="92" t="str">
        <f aca="false">IF(ISBLANK($C322),"",IF($BR322&lt;&gt;Constants!$B$8,$BR322,Constants!$B$13))</f>
        <v/>
      </c>
      <c r="BT322" s="96" t="str">
        <f aca="false">IF($BR322&lt;&gt;Constants!$B$8,"",IF($BI322="-&gt;",$BP322,$BH322))</f>
        <v/>
      </c>
      <c r="BU322" s="96" t="str">
        <f aca="false">IF($BR322&lt;&gt;Constants!$B$8,"",IF($AF322,0,Constants!$B$18))</f>
        <v/>
      </c>
      <c r="BV322" s="96" t="str">
        <f aca="false">IF($BR322&lt;&gt;Constants!$B$8,"",((Constants!$B$31-$AZ322)-Constants!$B$31)/Constants!$B$32)</f>
        <v/>
      </c>
      <c r="BW322" s="96" t="str">
        <f aca="false">IF(ISBLANK($C322),"",IF($BR322&lt;&gt;Constants!$B$8,$BR322,SUM($BT322:$BV322)))</f>
        <v/>
      </c>
      <c r="BX322" s="92" t="str">
        <f aca="false">IF(ISBLANK($C322),"",IF($BR322&lt;&gt;Constants!$B$8,$BR322,RANK($BW322,$BW$9:$BW$508,1)))</f>
        <v/>
      </c>
      <c r="BY322" s="96" t="str">
        <f aca="false">IF($BR322&lt;&gt;Constants!$B$8,"",IF($BI322="-&gt;",$BK322,$BC322))</f>
        <v/>
      </c>
      <c r="BZ322" s="92" t="str">
        <f aca="false">IF(ISBLANK($C322),"",IF($BR322&lt;&gt;Constants!$B$8,$BR322,IF(ISNUMBER($BY322),RANK($BY322,$BY$9:$BY$508,1),COUNT($BY$9:$BY$508)+1)))</f>
        <v/>
      </c>
      <c r="CA322" s="96" t="str">
        <f aca="false">IF($BR322&lt;&gt;Constants!$B$8,"",IF($BI322="-&gt;",$BL322,$BD322))</f>
        <v/>
      </c>
      <c r="CB322" s="92" t="str">
        <f aca="false">IF(ISBLANK($C322),"",IF($BR322&lt;&gt;Constants!$B$8,$BR322,IF(ISNUMBER($CA322),RANK($CA322,$CA$9:$CA$508,1),COUNT($CA$9:$CA$508)+1)))</f>
        <v/>
      </c>
      <c r="CC322" s="96" t="str">
        <f aca="false">IF($BR322&lt;&gt;Constants!$B$8,"",IF($BI322="-&gt;",IF($AT322,$AV322,""),IF($AL322,$AN322,"")))</f>
        <v/>
      </c>
      <c r="CD322" s="92" t="str">
        <f aca="false">IF(ISBLANK($C322),"",IF($BR322&lt;&gt;Constants!$B$8,$BR322,IF(ISNUMBER($CC322),RANK($CC322,$CC$9:$CC$508,1),COUNT($CC$9:$CC$508)+1)))</f>
        <v/>
      </c>
      <c r="CE322" s="96" t="str">
        <f aca="false">IF($BR322&lt;&gt;Constants!$B$8,"",IF(AND(NOT($AL322),NOT($AT322),$AJ322,$AK322,$AR322,$AS322),"",$AI322))</f>
        <v/>
      </c>
      <c r="CF322" s="92" t="str">
        <f aca="false">IF(ISBLANK($C322),"",IF($BR322&lt;&gt;Constants!$B$8,$BR322,IF(ISNUMBER($CE322),RANK($CE322,$CE$9:$CE$508,1),COUNT($CE$9:$CE$508)+1)))</f>
        <v/>
      </c>
      <c r="CG322" s="92" t="str">
        <f aca="false">IF(ISBLANK($C322),"",IF($BR322&lt;&gt;Constants!$B$8,$BR322,COUNTIFS($BX$9:$BX$508,"&lt;"&amp;$BX322)+COUNTIFS($BX$9:$BX$508,$BX322,$BZ$9:$BZ$508,"&lt;"&amp;$BZ322)+COUNTIFS($BX$9:$BX$508,$BX322,$BZ$9:$BZ$508,$BZ322,$CB$9:$CB$508,"&lt;"&amp;$CB322)+COUNTIFS($BX$9:$BX$508,$BX322,$BZ$9:$BZ$508,$BZ322,$CB$9:$CB$508,$CB322,$CD$9:$CD$508,"&lt;"&amp;$CD322)+COUNTIFS($BX$9:$BX$508,$BX322,$BZ$9:$BZ$508,$BZ322,$CB$9:$CB$508,$CB322,$CD$9:$CD$508,$CD322,$CF$9:$CF$508,"&lt;"&amp;$CF322)+1))</f>
        <v/>
      </c>
      <c r="CH322" s="92" t="str">
        <f aca="false">IF(ISBLANK($C322),"",IF($BR322&lt;&gt;Constants!$B$8,$BR322,$BX322-$CG322))</f>
        <v/>
      </c>
      <c r="CI322" s="98"/>
      <c r="CJ322" s="99"/>
      <c r="CK322" s="100" t="str">
        <f aca="false">IF(ISBLANK($C322),"",IF($BR322=Constants!$B$12,$BQ322,""))</f>
        <v/>
      </c>
      <c r="CL322" s="99" t="str">
        <f aca="false">IF(ISBLANK($C322),"",IF($BR322&lt;&gt;Constants!$B$8,"",IF($BI322="-&gt;",2,1)))</f>
        <v/>
      </c>
      <c r="CM322" s="101" t="str">
        <f aca="false">IF(ISBLANK($C322),"",IF($BR322&lt;&gt;Constants!$B$8,"",IF($BI322="-&gt;",$BK322,$BC322)))</f>
        <v/>
      </c>
      <c r="CN322" s="101" t="str">
        <f aca="false">IF(ISBLANK($C322),"",IF($BR322&lt;&gt;Constants!$B$8,"",IF($BI322="-&gt;",$BL322,$BD322)))</f>
        <v/>
      </c>
      <c r="CO322" s="101" t="str">
        <f aca="false">IF(ISBLANK($C322),"",IF($BR322&lt;&gt;Constants!$B$8,"",IF($BI322="-&gt;",$BM322+$BN322,$BE322+$BF322)+$BV322))</f>
        <v/>
      </c>
      <c r="CP322" s="101" t="str">
        <f aca="false">IF(ISBLANK($C322),"",IF($BR322&lt;&gt;Constants!$B$8,"",IF($BI322="-&gt;",$BO322,$BG322)+$BU322))</f>
        <v/>
      </c>
      <c r="CQ322" s="102" t="str">
        <f aca="false">IF(ISBLANK($C322),"",IF($BR322&lt;&gt;Constants!$B$8,$BR322,$BW322))</f>
        <v/>
      </c>
      <c r="CR322" s="103" t="str">
        <f aca="false">IF(ISBLANK($C322),"",$BS322)</f>
        <v/>
      </c>
      <c r="CS322" s="104" t="str">
        <f aca="false">IF(ISBLANK($C322),"",$CH322)</f>
        <v/>
      </c>
      <c r="CT322" s="104" t="str">
        <f aca="false">IF(ISBLANK($C322),"",$CG322)</f>
        <v/>
      </c>
      <c r="CU322" s="105" t="str">
        <f aca="false">IF(ISBLANK($C322),"",IFERROR(_xlfn.SWITCH($CT322,Constants!$B$11,COUNTA($C$9:$C$508)+2,Constants!$B$10,COUNTA($C$9:$C$508)+1,Constants!$B$9,COUNTA($C$9:$C$508)),$CT322))</f>
        <v/>
      </c>
      <c r="CV322" s="9"/>
      <c r="CW322" s="106" t="n">
        <f aca="false">IF(OR(ISNUMBER($CT322),$CT322=Constants!$B$11,$CT322=Constants!$B$9,$CT322=Constants!$B$10),1,0)</f>
        <v>0</v>
      </c>
      <c r="CX322" s="106" t="n">
        <v>314</v>
      </c>
      <c r="CY322" s="106" t="str">
        <f aca="false">IF(ISBLANK($C322),"",IF(ISNUMBER($CU322),$CU322+ROW($B322)/1000,""))</f>
        <v/>
      </c>
      <c r="CZ322" s="106" t="str">
        <f aca="false">IF(ISNUMBER($CY322),RANK($CY322,$CY$9:$CY$508,1),"")</f>
        <v/>
      </c>
      <c r="DA322" s="106" t="str">
        <f aca="false">IF(ISBLANK($C322),"",$B322)</f>
        <v/>
      </c>
      <c r="DB322" s="106" t="str">
        <f aca="false">IF(ISBLANK($C322),"",$C322)</f>
        <v/>
      </c>
      <c r="DC322" s="106" t="str">
        <f aca="false">IF(ISBLANK($C322),"",$D322)</f>
        <v/>
      </c>
      <c r="DD322" s="107" t="str">
        <f aca="false">$CR322</f>
        <v/>
      </c>
      <c r="DE322" s="108" t="str">
        <f aca="false">$CQ322</f>
        <v/>
      </c>
      <c r="DF322" s="106" t="str">
        <f aca="false">IF(ISBLANK($C322),"",$CT322)</f>
        <v/>
      </c>
      <c r="DG322" s="109" t="str">
        <f aca="false">IF($CX322&gt;$CW$8,"",VLOOKUP($CX322,$CZ$9:$DF$508,7,FALSE()))</f>
        <v/>
      </c>
      <c r="DH322" s="110" t="str">
        <f aca="false">IF($CX322&gt;$CW$8,"",VLOOKUP($CX322,$CZ$9:$DF$508,2,FALSE()))</f>
        <v/>
      </c>
      <c r="DI322" s="110" t="str">
        <f aca="false">IF($CX322&gt;$CW$8,"",VLOOKUP($CX322,$CZ$9:$DF$508,3,FALSE()))</f>
        <v/>
      </c>
      <c r="DJ322" s="110" t="str">
        <f aca="false">IF($CX322&gt;$CW$8,"",VLOOKUP($CX322,$CZ$9:$DF$508,4,FALSE()))</f>
        <v/>
      </c>
      <c r="DK322" s="110" t="str">
        <f aca="false">IF($CX322&gt;$CW$8,"",VLOOKUP($CX322,$CZ$9:$DF$508,5,FALSE()))</f>
        <v/>
      </c>
      <c r="DL322" s="111" t="str">
        <f aca="false">IF($CX322&gt;$CW$8,"",VLOOKUP($CX322,$CZ$9:$DF$508,6,FALSE()))</f>
        <v/>
      </c>
      <c r="DM322" s="75"/>
    </row>
    <row r="323" customFormat="false" ht="15.75" hidden="false" customHeight="false" outlineLevel="0" collapsed="false">
      <c r="A323" s="9"/>
      <c r="B323" s="77"/>
      <c r="C323" s="78"/>
      <c r="D323" s="167"/>
      <c r="E323" s="175"/>
      <c r="F323" s="169"/>
      <c r="G323" s="170"/>
      <c r="H323" s="170"/>
      <c r="I323" s="176"/>
      <c r="J323" s="173"/>
      <c r="K323" s="85"/>
      <c r="L323" s="86"/>
      <c r="M323" s="87"/>
      <c r="N323" s="173"/>
      <c r="O323" s="173"/>
      <c r="P323" s="175"/>
      <c r="Q323" s="173"/>
      <c r="R323" s="173"/>
      <c r="S323" s="85"/>
      <c r="T323" s="87"/>
      <c r="U323" s="87"/>
      <c r="V323" s="173"/>
      <c r="W323" s="173"/>
      <c r="X323" s="175"/>
      <c r="Y323" s="173"/>
      <c r="Z323" s="174"/>
      <c r="AA323" s="173"/>
      <c r="AB323" s="91"/>
      <c r="AC323" s="92"/>
      <c r="AD323" s="92"/>
      <c r="AE323" s="92"/>
      <c r="AF323" s="92" t="str">
        <f aca="false">IF(ISBLANK($C323),"",IF(E323=Constants!$B$3,TRUE(),IF(E323=Constants!$B$4,FALSE(),TRUE())))</f>
        <v/>
      </c>
      <c r="AG323" s="92" t="str">
        <f aca="false">IF(ISBLANK($C323),"",IF(F323=Constants!$B$3,TRUE(),IF(F323=Constants!$B$4,FALSE(),TRUE())))</f>
        <v/>
      </c>
      <c r="AH323" s="92" t="str">
        <f aca="false">IF(ISBLANK($C323),"",IF(G323=Constants!$B$3,TRUE(),IF(G323=Constants!$B$4,FALSE(),TRUE())))</f>
        <v/>
      </c>
      <c r="AI323" s="92" t="str">
        <f aca="false">IF(ISBLANK($C323),"",IF(AND(ISNUMBER(H323),H323&gt;=0),H323,Constants!$B$29))</f>
        <v/>
      </c>
      <c r="AJ323" s="92" t="str">
        <f aca="false">IF(ISBLANK($C323),"",IF(I323=Constants!$B$3,TRUE(),IF(I323=Constants!$B$4,FALSE(),TRUE())))</f>
        <v/>
      </c>
      <c r="AK323" s="92" t="str">
        <f aca="false">IF(ISBLANK($C323),"",IF(J323=Constants!$B$3,TRUE(),IF(J323=Constants!$B$4,FALSE(),TRUE())))</f>
        <v/>
      </c>
      <c r="AL323" s="92" t="str">
        <f aca="false">IF(ISBLANK($C323),"",IF(K323=Constants!$B$5,TRUE(),IF(K323=Constants!$B$6,FALSE(),COUNTA(L323:P323)&gt;0)))</f>
        <v/>
      </c>
      <c r="AM323" s="94" t="str">
        <f aca="false">IF(ISBLANK($C323),"",IF(ISNUMBER(L323),IF(L323&gt;=0,L323,""),""))</f>
        <v/>
      </c>
      <c r="AN323" s="93" t="str">
        <f aca="false">IF(ISBLANK($C323),"",IF(ISNUMBER(M323),IF(M323&gt;=0,M323,""),""))</f>
        <v/>
      </c>
      <c r="AO323" s="93" t="str">
        <f aca="false">IF(ISBLANK($C323),"",IF(N323=Constants!$B$3,TRUE(),IF(N323=Constants!$B$4,FALSE(),TRUE())))</f>
        <v/>
      </c>
      <c r="AP323" s="92" t="str">
        <f aca="false">IF(ISBLANK($C323),"",IF(ISNUMBER(O323),IF(O323&gt;=0,O323,""),""))</f>
        <v/>
      </c>
      <c r="AQ323" s="92" t="str">
        <f aca="false">IF(ISBLANK($C323),"",IF(P323=Constants!$B$3,TRUE(),IF(P323=Constants!$B$4,FALSE(),FALSE())))</f>
        <v/>
      </c>
      <c r="AR323" s="92" t="str">
        <f aca="false">IF(ISBLANK($C323),"",IF(Q323=Constants!$B$3,TRUE(),IF(Q323=Constants!$B$4,FALSE(),TRUE())))</f>
        <v/>
      </c>
      <c r="AS323" s="92" t="str">
        <f aca="false">IF(ISBLANK($C323),"",IF(R323=Constants!$B$3,TRUE(),IF(R323=Constants!$B$4,FALSE(),TRUE())))</f>
        <v/>
      </c>
      <c r="AT323" s="92" t="str">
        <f aca="false">IF(ISBLANK($C323),"",IF(S323=Constants!$B$5,TRUE(),IF(S323=Constants!$B$6,FALSE(),COUNTA(T323:X323)&gt;0)))</f>
        <v/>
      </c>
      <c r="AU323" s="94" t="str">
        <f aca="false">IF(ISBLANK($C323),"",IF(ISNUMBER(T323),IF(T323&gt;=0,T323,""),""))</f>
        <v/>
      </c>
      <c r="AV323" s="93" t="str">
        <f aca="false">IF(ISBLANK($C323),"",IF(ISNUMBER(U323),IF(U323&gt;=0,U323,""),""))</f>
        <v/>
      </c>
      <c r="AW323" s="93" t="str">
        <f aca="false">IF(ISBLANK($C323),"",IF(V323=Constants!$B$3,TRUE(),IF(V323=Constants!$B$4,FALSE(),TRUE())))</f>
        <v/>
      </c>
      <c r="AX323" s="92" t="str">
        <f aca="false">IF(ISBLANK($C323),"",IF(ISNUMBER(W323),IF(W323&gt;=0,W323,""),""))</f>
        <v/>
      </c>
      <c r="AY323" s="92" t="str">
        <f aca="false">IF(ISBLANK($C323),"",IF(X323=Constants!$B$3,TRUE(),IF(X323=Constants!$B$4,FALSE(),FALSE())))</f>
        <v/>
      </c>
      <c r="AZ323" s="92" t="str">
        <f aca="false">IF(ISBLANK($C323),"",MIN(Constants!$B$31,MAX(0,IF(ISNUMBER(Y323),Y323*60,0)+IF(ISNUMBER(Z323),Z323,0))))</f>
        <v/>
      </c>
      <c r="BA323" s="92" t="str">
        <f aca="false">IF(ISBLANK($C323),"",IF(AA323=Constants!$B$3,TRUE(),IF(AA323=Constants!$B$4,FALSE(),FALSE())))</f>
        <v/>
      </c>
      <c r="BB323" s="91" t="str">
        <f aca="false">IF(ISBLANK($C323),"",AND($AL323,OR($AM323="",$AN323="",AND($AO323,$AP323=""))))</f>
        <v/>
      </c>
      <c r="BC323" s="93" t="str">
        <f aca="false">IF($BR323&lt;&gt;Constants!$B$8,"",IF($AL323,Constants!$B$21*$AN323+Constants!$B$22*IF($AO323,$AP323,Constants!$B$23),Constants!$B$24))</f>
        <v/>
      </c>
      <c r="BD323" s="96" t="str">
        <f aca="false">IF($BR323&lt;&gt;Constants!$B$8,"",Constants!$B$25*ABS($AD$9-IF($AL323,$AM323,0)))</f>
        <v/>
      </c>
      <c r="BE323" s="96" t="str">
        <f aca="false">IF($BR323&lt;&gt;Constants!$B$8,"",IF(AND($AL323,$AQ323,$AO323),Constants!$B$27,0))</f>
        <v/>
      </c>
      <c r="BF323" s="96" t="str">
        <f aca="false">IF($BR323&lt;&gt;Constants!$B$8,"",IF($AL323,($AI323-Constants!$B$29)*Constants!$B$28,0))</f>
        <v/>
      </c>
      <c r="BG323" s="96" t="str">
        <f aca="false">IF($BR323&lt;&gt;Constants!$B$8,"",IF($AK323,0,Constants!$B$15)+IF($AJ323,0,Constants!$B$16)+IF($AH323,0,Constants!$B$17))</f>
        <v/>
      </c>
      <c r="BH323" s="97" t="str">
        <f aca="false">IF($BR323&lt;&gt;Constants!$B$8,"",Constants!$B$20+SUM($BC323:$BG323))</f>
        <v/>
      </c>
      <c r="BI323" s="92" t="str">
        <f aca="false">IF($BR323&lt;&gt;Constants!$B$8,"",IF(OR($BP323&lt;$BH323,AND($BP323=$BH323,OR($BK323&lt;$BC323,AND($BK323=$BC323,OR($BL323&lt;$BD323,AND($BL323=$BD323,$AT323,$AL323,$AV323&lt;$AN323)))))),"-&gt;","&lt;-"))</f>
        <v/>
      </c>
      <c r="BJ323" s="91" t="str">
        <f aca="false">IF(ISBLANK($C323),"",AND($AT323,OR($AU323="",$AV323="",AND($AW323,$AX323=""))))</f>
        <v/>
      </c>
      <c r="BK323" s="93" t="str">
        <f aca="false">IF($BR323&lt;&gt;Constants!$B$8,"",IF($AT323,Constants!$B$21*$AV323+Constants!$B$22*IF($AW323,$AX323,Constants!$B$23),Constants!$B$24))</f>
        <v/>
      </c>
      <c r="BL323" s="96" t="str">
        <f aca="false">IF($BR323&lt;&gt;Constants!$B$8,"",Constants!$B$25*ABS($AD$9-IF($AT323,$AU323,0)))</f>
        <v/>
      </c>
      <c r="BM323" s="96" t="str">
        <f aca="false">IF($BR323&lt;&gt;Constants!$B$8,"",IF(AND($AT323,$AY323,$AW323),Constants!$B$27,0))</f>
        <v/>
      </c>
      <c r="BN323" s="96" t="str">
        <f aca="false">IF($BR323&lt;&gt;Constants!$B$8,"",IF($AT323,($AI323-Constants!$B$29)*Constants!$B$28,0))</f>
        <v/>
      </c>
      <c r="BO323" s="96" t="str">
        <f aca="false">IF($BR323&lt;&gt;Constants!$B$8,"",IF($AS323,0,Constants!$B$15)+IF($AR323,0,Constants!$B$16)+IF($AH323,0,Constants!$B$17))</f>
        <v/>
      </c>
      <c r="BP323" s="97" t="str">
        <f aca="false">IF($BR323&lt;&gt;Constants!$B$8,"",Constants!$B$20+SUM($BK323:$BO323))</f>
        <v/>
      </c>
      <c r="BQ323" s="92" t="str">
        <f aca="false">IF(ISBLANK($C323),"",IF(ISBLANK($D$7),$BQ$5,IF(NOT(ISNUMBER($D$7)),$BQ$6,"")))</f>
        <v/>
      </c>
      <c r="BR323" s="92" t="str">
        <f aca="false">IF(ISBLANK($C323),"",IF($BA323,Constants!$B$11,IF(COUNTA($E323:$AA323)=0,Constants!$B$10,IF(NOT($AG323),Constants!$B$9,IF(OR($BQ323&lt;&gt;"",$BB323,$BJ323),Constants!$B$12,Constants!$B$8)))))</f>
        <v/>
      </c>
      <c r="BS323" s="92" t="str">
        <f aca="false">IF(ISBLANK($C323),"",IF($BR323&lt;&gt;Constants!$B$8,$BR323,Constants!$B$13))</f>
        <v/>
      </c>
      <c r="BT323" s="96" t="str">
        <f aca="false">IF($BR323&lt;&gt;Constants!$B$8,"",IF($BI323="-&gt;",$BP323,$BH323))</f>
        <v/>
      </c>
      <c r="BU323" s="96" t="str">
        <f aca="false">IF($BR323&lt;&gt;Constants!$B$8,"",IF($AF323,0,Constants!$B$18))</f>
        <v/>
      </c>
      <c r="BV323" s="96" t="str">
        <f aca="false">IF($BR323&lt;&gt;Constants!$B$8,"",((Constants!$B$31-$AZ323)-Constants!$B$31)/Constants!$B$32)</f>
        <v/>
      </c>
      <c r="BW323" s="96" t="str">
        <f aca="false">IF(ISBLANK($C323),"",IF($BR323&lt;&gt;Constants!$B$8,$BR323,SUM($BT323:$BV323)))</f>
        <v/>
      </c>
      <c r="BX323" s="92" t="str">
        <f aca="false">IF(ISBLANK($C323),"",IF($BR323&lt;&gt;Constants!$B$8,$BR323,RANK($BW323,$BW$9:$BW$508,1)))</f>
        <v/>
      </c>
      <c r="BY323" s="96" t="str">
        <f aca="false">IF($BR323&lt;&gt;Constants!$B$8,"",IF($BI323="-&gt;",$BK323,$BC323))</f>
        <v/>
      </c>
      <c r="BZ323" s="92" t="str">
        <f aca="false">IF(ISBLANK($C323),"",IF($BR323&lt;&gt;Constants!$B$8,$BR323,IF(ISNUMBER($BY323),RANK($BY323,$BY$9:$BY$508,1),COUNT($BY$9:$BY$508)+1)))</f>
        <v/>
      </c>
      <c r="CA323" s="96" t="str">
        <f aca="false">IF($BR323&lt;&gt;Constants!$B$8,"",IF($BI323="-&gt;",$BL323,$BD323))</f>
        <v/>
      </c>
      <c r="CB323" s="92" t="str">
        <f aca="false">IF(ISBLANK($C323),"",IF($BR323&lt;&gt;Constants!$B$8,$BR323,IF(ISNUMBER($CA323),RANK($CA323,$CA$9:$CA$508,1),COUNT($CA$9:$CA$508)+1)))</f>
        <v/>
      </c>
      <c r="CC323" s="96" t="str">
        <f aca="false">IF($BR323&lt;&gt;Constants!$B$8,"",IF($BI323="-&gt;",IF($AT323,$AV323,""),IF($AL323,$AN323,"")))</f>
        <v/>
      </c>
      <c r="CD323" s="92" t="str">
        <f aca="false">IF(ISBLANK($C323),"",IF($BR323&lt;&gt;Constants!$B$8,$BR323,IF(ISNUMBER($CC323),RANK($CC323,$CC$9:$CC$508,1),COUNT($CC$9:$CC$508)+1)))</f>
        <v/>
      </c>
      <c r="CE323" s="96" t="str">
        <f aca="false">IF($BR323&lt;&gt;Constants!$B$8,"",IF(AND(NOT($AL323),NOT($AT323),$AJ323,$AK323,$AR323,$AS323),"",$AI323))</f>
        <v/>
      </c>
      <c r="CF323" s="92" t="str">
        <f aca="false">IF(ISBLANK($C323),"",IF($BR323&lt;&gt;Constants!$B$8,$BR323,IF(ISNUMBER($CE323),RANK($CE323,$CE$9:$CE$508,1),COUNT($CE$9:$CE$508)+1)))</f>
        <v/>
      </c>
      <c r="CG323" s="92" t="str">
        <f aca="false">IF(ISBLANK($C323),"",IF($BR323&lt;&gt;Constants!$B$8,$BR323,COUNTIFS($BX$9:$BX$508,"&lt;"&amp;$BX323)+COUNTIFS($BX$9:$BX$508,$BX323,$BZ$9:$BZ$508,"&lt;"&amp;$BZ323)+COUNTIFS($BX$9:$BX$508,$BX323,$BZ$9:$BZ$508,$BZ323,$CB$9:$CB$508,"&lt;"&amp;$CB323)+COUNTIFS($BX$9:$BX$508,$BX323,$BZ$9:$BZ$508,$BZ323,$CB$9:$CB$508,$CB323,$CD$9:$CD$508,"&lt;"&amp;$CD323)+COUNTIFS($BX$9:$BX$508,$BX323,$BZ$9:$BZ$508,$BZ323,$CB$9:$CB$508,$CB323,$CD$9:$CD$508,$CD323,$CF$9:$CF$508,"&lt;"&amp;$CF323)+1))</f>
        <v/>
      </c>
      <c r="CH323" s="92" t="str">
        <f aca="false">IF(ISBLANK($C323),"",IF($BR323&lt;&gt;Constants!$B$8,$BR323,$BX323-$CG323))</f>
        <v/>
      </c>
      <c r="CI323" s="98"/>
      <c r="CJ323" s="99"/>
      <c r="CK323" s="100" t="str">
        <f aca="false">IF(ISBLANK($C323),"",IF($BR323=Constants!$B$12,$BQ323,""))</f>
        <v/>
      </c>
      <c r="CL323" s="99" t="str">
        <f aca="false">IF(ISBLANK($C323),"",IF($BR323&lt;&gt;Constants!$B$8,"",IF($BI323="-&gt;",2,1)))</f>
        <v/>
      </c>
      <c r="CM323" s="101" t="str">
        <f aca="false">IF(ISBLANK($C323),"",IF($BR323&lt;&gt;Constants!$B$8,"",IF($BI323="-&gt;",$BK323,$BC323)))</f>
        <v/>
      </c>
      <c r="CN323" s="101" t="str">
        <f aca="false">IF(ISBLANK($C323),"",IF($BR323&lt;&gt;Constants!$B$8,"",IF($BI323="-&gt;",$BL323,$BD323)))</f>
        <v/>
      </c>
      <c r="CO323" s="101" t="str">
        <f aca="false">IF(ISBLANK($C323),"",IF($BR323&lt;&gt;Constants!$B$8,"",IF($BI323="-&gt;",$BM323+$BN323,$BE323+$BF323)+$BV323))</f>
        <v/>
      </c>
      <c r="CP323" s="101" t="str">
        <f aca="false">IF(ISBLANK($C323),"",IF($BR323&lt;&gt;Constants!$B$8,"",IF($BI323="-&gt;",$BO323,$BG323)+$BU323))</f>
        <v/>
      </c>
      <c r="CQ323" s="102" t="str">
        <f aca="false">IF(ISBLANK($C323),"",IF($BR323&lt;&gt;Constants!$B$8,$BR323,$BW323))</f>
        <v/>
      </c>
      <c r="CR323" s="103" t="str">
        <f aca="false">IF(ISBLANK($C323),"",$BS323)</f>
        <v/>
      </c>
      <c r="CS323" s="104" t="str">
        <f aca="false">IF(ISBLANK($C323),"",$CH323)</f>
        <v/>
      </c>
      <c r="CT323" s="104" t="str">
        <f aca="false">IF(ISBLANK($C323),"",$CG323)</f>
        <v/>
      </c>
      <c r="CU323" s="105" t="str">
        <f aca="false">IF(ISBLANK($C323),"",IFERROR(_xlfn.SWITCH($CT323,Constants!$B$11,COUNTA($C$9:$C$508)+2,Constants!$B$10,COUNTA($C$9:$C$508)+1,Constants!$B$9,COUNTA($C$9:$C$508)),$CT323))</f>
        <v/>
      </c>
      <c r="CV323" s="9"/>
      <c r="CW323" s="106" t="n">
        <f aca="false">IF(OR(ISNUMBER($CT323),$CT323=Constants!$B$11,$CT323=Constants!$B$9,$CT323=Constants!$B$10),1,0)</f>
        <v>0</v>
      </c>
      <c r="CX323" s="106" t="n">
        <v>315</v>
      </c>
      <c r="CY323" s="106" t="str">
        <f aca="false">IF(ISBLANK($C323),"",IF(ISNUMBER($CU323),$CU323+ROW($B323)/1000,""))</f>
        <v/>
      </c>
      <c r="CZ323" s="106" t="str">
        <f aca="false">IF(ISNUMBER($CY323),RANK($CY323,$CY$9:$CY$508,1),"")</f>
        <v/>
      </c>
      <c r="DA323" s="106" t="str">
        <f aca="false">IF(ISBLANK($C323),"",$B323)</f>
        <v/>
      </c>
      <c r="DB323" s="106" t="str">
        <f aca="false">IF(ISBLANK($C323),"",$C323)</f>
        <v/>
      </c>
      <c r="DC323" s="106" t="str">
        <f aca="false">IF(ISBLANK($C323),"",$D323)</f>
        <v/>
      </c>
      <c r="DD323" s="107" t="str">
        <f aca="false">$CR323</f>
        <v/>
      </c>
      <c r="DE323" s="108" t="str">
        <f aca="false">$CQ323</f>
        <v/>
      </c>
      <c r="DF323" s="106" t="str">
        <f aca="false">IF(ISBLANK($C323),"",$CT323)</f>
        <v/>
      </c>
      <c r="DG323" s="109" t="str">
        <f aca="false">IF($CX323&gt;$CW$8,"",VLOOKUP($CX323,$CZ$9:$DF$508,7,FALSE()))</f>
        <v/>
      </c>
      <c r="DH323" s="110" t="str">
        <f aca="false">IF($CX323&gt;$CW$8,"",VLOOKUP($CX323,$CZ$9:$DF$508,2,FALSE()))</f>
        <v/>
      </c>
      <c r="DI323" s="110" t="str">
        <f aca="false">IF($CX323&gt;$CW$8,"",VLOOKUP($CX323,$CZ$9:$DF$508,3,FALSE()))</f>
        <v/>
      </c>
      <c r="DJ323" s="110" t="str">
        <f aca="false">IF($CX323&gt;$CW$8,"",VLOOKUP($CX323,$CZ$9:$DF$508,4,FALSE()))</f>
        <v/>
      </c>
      <c r="DK323" s="110" t="str">
        <f aca="false">IF($CX323&gt;$CW$8,"",VLOOKUP($CX323,$CZ$9:$DF$508,5,FALSE()))</f>
        <v/>
      </c>
      <c r="DL323" s="111" t="str">
        <f aca="false">IF($CX323&gt;$CW$8,"",VLOOKUP($CX323,$CZ$9:$DF$508,6,FALSE()))</f>
        <v/>
      </c>
      <c r="DM323" s="75"/>
    </row>
    <row r="324" customFormat="false" ht="15.75" hidden="false" customHeight="false" outlineLevel="0" collapsed="false">
      <c r="A324" s="9"/>
      <c r="B324" s="157"/>
      <c r="C324" s="158"/>
      <c r="D324" s="159"/>
      <c r="E324" s="177"/>
      <c r="F324" s="161"/>
      <c r="G324" s="162"/>
      <c r="H324" s="162"/>
      <c r="I324" s="178"/>
      <c r="J324" s="165"/>
      <c r="K324" s="126"/>
      <c r="L324" s="127"/>
      <c r="M324" s="128"/>
      <c r="N324" s="165"/>
      <c r="O324" s="165"/>
      <c r="P324" s="177"/>
      <c r="Q324" s="165"/>
      <c r="R324" s="165"/>
      <c r="S324" s="126"/>
      <c r="T324" s="128"/>
      <c r="U324" s="128"/>
      <c r="V324" s="165"/>
      <c r="W324" s="165"/>
      <c r="X324" s="177"/>
      <c r="Y324" s="165"/>
      <c r="Z324" s="166"/>
      <c r="AA324" s="165"/>
      <c r="AB324" s="132"/>
      <c r="AC324" s="133"/>
      <c r="AD324" s="133"/>
      <c r="AE324" s="133"/>
      <c r="AF324" s="133" t="str">
        <f aca="false">IF(ISBLANK($C324),"",IF(E324=Constants!$B$3,TRUE(),IF(E324=Constants!$B$4,FALSE(),TRUE())))</f>
        <v/>
      </c>
      <c r="AG324" s="133" t="str">
        <f aca="false">IF(ISBLANK($C324),"",IF(F324=Constants!$B$3,TRUE(),IF(F324=Constants!$B$4,FALSE(),TRUE())))</f>
        <v/>
      </c>
      <c r="AH324" s="133" t="str">
        <f aca="false">IF(ISBLANK($C324),"",IF(G324=Constants!$B$3,TRUE(),IF(G324=Constants!$B$4,FALSE(),TRUE())))</f>
        <v/>
      </c>
      <c r="AI324" s="133" t="str">
        <f aca="false">IF(ISBLANK($C324),"",IF(AND(ISNUMBER(H324),H324&gt;=0),H324,Constants!$B$29))</f>
        <v/>
      </c>
      <c r="AJ324" s="133" t="str">
        <f aca="false">IF(ISBLANK($C324),"",IF(I324=Constants!$B$3,TRUE(),IF(I324=Constants!$B$4,FALSE(),TRUE())))</f>
        <v/>
      </c>
      <c r="AK324" s="133" t="str">
        <f aca="false">IF(ISBLANK($C324),"",IF(J324=Constants!$B$3,TRUE(),IF(J324=Constants!$B$4,FALSE(),TRUE())))</f>
        <v/>
      </c>
      <c r="AL324" s="133" t="str">
        <f aca="false">IF(ISBLANK($C324),"",IF(K324=Constants!$B$5,TRUE(),IF(K324=Constants!$B$6,FALSE(),COUNTA(L324:P324)&gt;0)))</f>
        <v/>
      </c>
      <c r="AM324" s="134" t="str">
        <f aca="false">IF(ISBLANK($C324),"",IF(ISNUMBER(L324),IF(L324&gt;=0,L324,""),""))</f>
        <v/>
      </c>
      <c r="AN324" s="135" t="str">
        <f aca="false">IF(ISBLANK($C324),"",IF(ISNUMBER(M324),IF(M324&gt;=0,M324,""),""))</f>
        <v/>
      </c>
      <c r="AO324" s="135" t="str">
        <f aca="false">IF(ISBLANK($C324),"",IF(N324=Constants!$B$3,TRUE(),IF(N324=Constants!$B$4,FALSE(),TRUE())))</f>
        <v/>
      </c>
      <c r="AP324" s="133" t="str">
        <f aca="false">IF(ISBLANK($C324),"",IF(ISNUMBER(O324),IF(O324&gt;=0,O324,""),""))</f>
        <v/>
      </c>
      <c r="AQ324" s="133" t="str">
        <f aca="false">IF(ISBLANK($C324),"",IF(P324=Constants!$B$3,TRUE(),IF(P324=Constants!$B$4,FALSE(),FALSE())))</f>
        <v/>
      </c>
      <c r="AR324" s="133" t="str">
        <f aca="false">IF(ISBLANK($C324),"",IF(Q324=Constants!$B$3,TRUE(),IF(Q324=Constants!$B$4,FALSE(),TRUE())))</f>
        <v/>
      </c>
      <c r="AS324" s="133" t="str">
        <f aca="false">IF(ISBLANK($C324),"",IF(R324=Constants!$B$3,TRUE(),IF(R324=Constants!$B$4,FALSE(),TRUE())))</f>
        <v/>
      </c>
      <c r="AT324" s="133" t="str">
        <f aca="false">IF(ISBLANK($C324),"",IF(S324=Constants!$B$5,TRUE(),IF(S324=Constants!$B$6,FALSE(),COUNTA(T324:X324)&gt;0)))</f>
        <v/>
      </c>
      <c r="AU324" s="134" t="str">
        <f aca="false">IF(ISBLANK($C324),"",IF(ISNUMBER(T324),IF(T324&gt;=0,T324,""),""))</f>
        <v/>
      </c>
      <c r="AV324" s="135" t="str">
        <f aca="false">IF(ISBLANK($C324),"",IF(ISNUMBER(U324),IF(U324&gt;=0,U324,""),""))</f>
        <v/>
      </c>
      <c r="AW324" s="135" t="str">
        <f aca="false">IF(ISBLANK($C324),"",IF(V324=Constants!$B$3,TRUE(),IF(V324=Constants!$B$4,FALSE(),TRUE())))</f>
        <v/>
      </c>
      <c r="AX324" s="133" t="str">
        <f aca="false">IF(ISBLANK($C324),"",IF(ISNUMBER(W324),IF(W324&gt;=0,W324,""),""))</f>
        <v/>
      </c>
      <c r="AY324" s="133" t="str">
        <f aca="false">IF(ISBLANK($C324),"",IF(X324=Constants!$B$3,TRUE(),IF(X324=Constants!$B$4,FALSE(),FALSE())))</f>
        <v/>
      </c>
      <c r="AZ324" s="133" t="str">
        <f aca="false">IF(ISBLANK($C324),"",MIN(Constants!$B$31,MAX(0,IF(ISNUMBER(Y324),Y324*60,0)+IF(ISNUMBER(Z324),Z324,0))))</f>
        <v/>
      </c>
      <c r="BA324" s="133" t="str">
        <f aca="false">IF(ISBLANK($C324),"",IF(AA324=Constants!$B$3,TRUE(),IF(AA324=Constants!$B$4,FALSE(),FALSE())))</f>
        <v/>
      </c>
      <c r="BB324" s="132" t="str">
        <f aca="false">IF(ISBLANK($C324),"",AND($AL324,OR($AM324="",$AN324="",AND($AO324,$AP324=""))))</f>
        <v/>
      </c>
      <c r="BC324" s="135" t="str">
        <f aca="false">IF($BR324&lt;&gt;Constants!$B$8,"",IF($AL324,Constants!$B$21*$AN324+Constants!$B$22*IF($AO324,$AP324,Constants!$B$23),Constants!$B$24))</f>
        <v/>
      </c>
      <c r="BD324" s="136" t="str">
        <f aca="false">IF($BR324&lt;&gt;Constants!$B$8,"",Constants!$B$25*ABS($AD$9-IF($AL324,$AM324,0)))</f>
        <v/>
      </c>
      <c r="BE324" s="136" t="str">
        <f aca="false">IF($BR324&lt;&gt;Constants!$B$8,"",IF(AND($AL324,$AQ324,$AO324),Constants!$B$27,0))</f>
        <v/>
      </c>
      <c r="BF324" s="136" t="str">
        <f aca="false">IF($BR324&lt;&gt;Constants!$B$8,"",IF($AL324,($AI324-Constants!$B$29)*Constants!$B$28,0))</f>
        <v/>
      </c>
      <c r="BG324" s="136" t="str">
        <f aca="false">IF($BR324&lt;&gt;Constants!$B$8,"",IF($AK324,0,Constants!$B$15)+IF($AJ324,0,Constants!$B$16)+IF($AH324,0,Constants!$B$17))</f>
        <v/>
      </c>
      <c r="BH324" s="137" t="str">
        <f aca="false">IF($BR324&lt;&gt;Constants!$B$8,"",Constants!$B$20+SUM($BC324:$BG324))</f>
        <v/>
      </c>
      <c r="BI324" s="133" t="str">
        <f aca="false">IF($BR324&lt;&gt;Constants!$B$8,"",IF(OR($BP324&lt;$BH324,AND($BP324=$BH324,OR($BK324&lt;$BC324,AND($BK324=$BC324,OR($BL324&lt;$BD324,AND($BL324=$BD324,$AT324,$AL324,$AV324&lt;$AN324)))))),"-&gt;","&lt;-"))</f>
        <v/>
      </c>
      <c r="BJ324" s="132" t="str">
        <f aca="false">IF(ISBLANK($C324),"",AND($AT324,OR($AU324="",$AV324="",AND($AW324,$AX324=""))))</f>
        <v/>
      </c>
      <c r="BK324" s="135" t="str">
        <f aca="false">IF($BR324&lt;&gt;Constants!$B$8,"",IF($AT324,Constants!$B$21*$AV324+Constants!$B$22*IF($AW324,$AX324,Constants!$B$23),Constants!$B$24))</f>
        <v/>
      </c>
      <c r="BL324" s="136" t="str">
        <f aca="false">IF($BR324&lt;&gt;Constants!$B$8,"",Constants!$B$25*ABS($AD$9-IF($AT324,$AU324,0)))</f>
        <v/>
      </c>
      <c r="BM324" s="136" t="str">
        <f aca="false">IF($BR324&lt;&gt;Constants!$B$8,"",IF(AND($AT324,$AY324,$AW324),Constants!$B$27,0))</f>
        <v/>
      </c>
      <c r="BN324" s="136" t="str">
        <f aca="false">IF($BR324&lt;&gt;Constants!$B$8,"",IF($AT324,($AI324-Constants!$B$29)*Constants!$B$28,0))</f>
        <v/>
      </c>
      <c r="BO324" s="136" t="str">
        <f aca="false">IF($BR324&lt;&gt;Constants!$B$8,"",IF($AS324,0,Constants!$B$15)+IF($AR324,0,Constants!$B$16)+IF($AH324,0,Constants!$B$17))</f>
        <v/>
      </c>
      <c r="BP324" s="137" t="str">
        <f aca="false">IF($BR324&lt;&gt;Constants!$B$8,"",Constants!$B$20+SUM($BK324:$BO324))</f>
        <v/>
      </c>
      <c r="BQ324" s="133" t="str">
        <f aca="false">IF(ISBLANK($C324),"",IF(ISBLANK($D$7),$BQ$5,IF(NOT(ISNUMBER($D$7)),$BQ$6,"")))</f>
        <v/>
      </c>
      <c r="BR324" s="133" t="str">
        <f aca="false">IF(ISBLANK($C324),"",IF($BA324,Constants!$B$11,IF(COUNTA($E324:$AA324)=0,Constants!$B$10,IF(NOT($AG324),Constants!$B$9,IF(OR($BQ324&lt;&gt;"",$BB324,$BJ324),Constants!$B$12,Constants!$B$8)))))</f>
        <v/>
      </c>
      <c r="BS324" s="133" t="str">
        <f aca="false">IF(ISBLANK($C324),"",IF($BR324&lt;&gt;Constants!$B$8,$BR324,Constants!$B$13))</f>
        <v/>
      </c>
      <c r="BT324" s="136" t="str">
        <f aca="false">IF($BR324&lt;&gt;Constants!$B$8,"",IF($BI324="-&gt;",$BP324,$BH324))</f>
        <v/>
      </c>
      <c r="BU324" s="136" t="str">
        <f aca="false">IF($BR324&lt;&gt;Constants!$B$8,"",IF($AF324,0,Constants!$B$18))</f>
        <v/>
      </c>
      <c r="BV324" s="136" t="str">
        <f aca="false">IF($BR324&lt;&gt;Constants!$B$8,"",((Constants!$B$31-$AZ324)-Constants!$B$31)/Constants!$B$32)</f>
        <v/>
      </c>
      <c r="BW324" s="136" t="str">
        <f aca="false">IF(ISBLANK($C324),"",IF($BR324&lt;&gt;Constants!$B$8,$BR324,SUM($BT324:$BV324)))</f>
        <v/>
      </c>
      <c r="BX324" s="133" t="str">
        <f aca="false">IF(ISBLANK($C324),"",IF($BR324&lt;&gt;Constants!$B$8,$BR324,RANK($BW324,$BW$9:$BW$508,1)))</f>
        <v/>
      </c>
      <c r="BY324" s="136" t="str">
        <f aca="false">IF($BR324&lt;&gt;Constants!$B$8,"",IF($BI324="-&gt;",$BK324,$BC324))</f>
        <v/>
      </c>
      <c r="BZ324" s="133" t="str">
        <f aca="false">IF(ISBLANK($C324),"",IF($BR324&lt;&gt;Constants!$B$8,$BR324,IF(ISNUMBER($BY324),RANK($BY324,$BY$9:$BY$508,1),COUNT($BY$9:$BY$508)+1)))</f>
        <v/>
      </c>
      <c r="CA324" s="136" t="str">
        <f aca="false">IF($BR324&lt;&gt;Constants!$B$8,"",IF($BI324="-&gt;",$BL324,$BD324))</f>
        <v/>
      </c>
      <c r="CB324" s="133" t="str">
        <f aca="false">IF(ISBLANK($C324),"",IF($BR324&lt;&gt;Constants!$B$8,$BR324,IF(ISNUMBER($CA324),RANK($CA324,$CA$9:$CA$508,1),COUNT($CA$9:$CA$508)+1)))</f>
        <v/>
      </c>
      <c r="CC324" s="136" t="str">
        <f aca="false">IF($BR324&lt;&gt;Constants!$B$8,"",IF($BI324="-&gt;",IF($AT324,$AV324,""),IF($AL324,$AN324,"")))</f>
        <v/>
      </c>
      <c r="CD324" s="133" t="str">
        <f aca="false">IF(ISBLANK($C324),"",IF($BR324&lt;&gt;Constants!$B$8,$BR324,IF(ISNUMBER($CC324),RANK($CC324,$CC$9:$CC$508,1),COUNT($CC$9:$CC$508)+1)))</f>
        <v/>
      </c>
      <c r="CE324" s="136" t="str">
        <f aca="false">IF($BR324&lt;&gt;Constants!$B$8,"",IF(AND(NOT($AL324),NOT($AT324),$AJ324,$AK324,$AR324,$AS324),"",$AI324))</f>
        <v/>
      </c>
      <c r="CF324" s="133" t="str">
        <f aca="false">IF(ISBLANK($C324),"",IF($BR324&lt;&gt;Constants!$B$8,$BR324,IF(ISNUMBER($CE324),RANK($CE324,$CE$9:$CE$508,1),COUNT($CE$9:$CE$508)+1)))</f>
        <v/>
      </c>
      <c r="CG324" s="133" t="str">
        <f aca="false">IF(ISBLANK($C324),"",IF($BR324&lt;&gt;Constants!$B$8,$BR324,COUNTIFS($BX$9:$BX$508,"&lt;"&amp;$BX324)+COUNTIFS($BX$9:$BX$508,$BX324,$BZ$9:$BZ$508,"&lt;"&amp;$BZ324)+COUNTIFS($BX$9:$BX$508,$BX324,$BZ$9:$BZ$508,$BZ324,$CB$9:$CB$508,"&lt;"&amp;$CB324)+COUNTIFS($BX$9:$BX$508,$BX324,$BZ$9:$BZ$508,$BZ324,$CB$9:$CB$508,$CB324,$CD$9:$CD$508,"&lt;"&amp;$CD324)+COUNTIFS($BX$9:$BX$508,$BX324,$BZ$9:$BZ$508,$BZ324,$CB$9:$CB$508,$CB324,$CD$9:$CD$508,$CD324,$CF$9:$CF$508,"&lt;"&amp;$CF324)+1))</f>
        <v/>
      </c>
      <c r="CH324" s="133" t="str">
        <f aca="false">IF(ISBLANK($C324),"",IF($BR324&lt;&gt;Constants!$B$8,$BR324,$BX324-$CG324))</f>
        <v/>
      </c>
      <c r="CI324" s="138"/>
      <c r="CJ324" s="139"/>
      <c r="CK324" s="140" t="str">
        <f aca="false">IF(ISBLANK($C324),"",IF($BR324=Constants!$B$12,$BQ324,""))</f>
        <v/>
      </c>
      <c r="CL324" s="139" t="str">
        <f aca="false">IF(ISBLANK($C324),"",IF($BR324&lt;&gt;Constants!$B$8,"",IF($BI324="-&gt;",2,1)))</f>
        <v/>
      </c>
      <c r="CM324" s="141" t="str">
        <f aca="false">IF(ISBLANK($C324),"",IF($BR324&lt;&gt;Constants!$B$8,"",IF($BI324="-&gt;",$BK324,$BC324)))</f>
        <v/>
      </c>
      <c r="CN324" s="141" t="str">
        <f aca="false">IF(ISBLANK($C324),"",IF($BR324&lt;&gt;Constants!$B$8,"",IF($BI324="-&gt;",$BL324,$BD324)))</f>
        <v/>
      </c>
      <c r="CO324" s="141" t="str">
        <f aca="false">IF(ISBLANK($C324),"",IF($BR324&lt;&gt;Constants!$B$8,"",IF($BI324="-&gt;",$BM324+$BN324,$BE324+$BF324)+$BV324))</f>
        <v/>
      </c>
      <c r="CP324" s="141" t="str">
        <f aca="false">IF(ISBLANK($C324),"",IF($BR324&lt;&gt;Constants!$B$8,"",IF($BI324="-&gt;",$BO324,$BG324)+$BU324))</f>
        <v/>
      </c>
      <c r="CQ324" s="142" t="str">
        <f aca="false">IF(ISBLANK($C324),"",IF($BR324&lt;&gt;Constants!$B$8,$BR324,$BW324))</f>
        <v/>
      </c>
      <c r="CR324" s="143" t="str">
        <f aca="false">IF(ISBLANK($C324),"",$BS324)</f>
        <v/>
      </c>
      <c r="CS324" s="144" t="str">
        <f aca="false">IF(ISBLANK($C324),"",$CH324)</f>
        <v/>
      </c>
      <c r="CT324" s="144" t="str">
        <f aca="false">IF(ISBLANK($C324),"",$CG324)</f>
        <v/>
      </c>
      <c r="CU324" s="145" t="str">
        <f aca="false">IF(ISBLANK($C324),"",IFERROR(_xlfn.SWITCH($CT324,Constants!$B$11,COUNTA($C$9:$C$508)+2,Constants!$B$10,COUNTA($C$9:$C$508)+1,Constants!$B$9,COUNTA($C$9:$C$508)),$CT324))</f>
        <v/>
      </c>
      <c r="CV324" s="9"/>
      <c r="CW324" s="146" t="n">
        <f aca="false">IF(OR(ISNUMBER($CT324),$CT324=Constants!$B$11,$CT324=Constants!$B$9,$CT324=Constants!$B$10),1,0)</f>
        <v>0</v>
      </c>
      <c r="CX324" s="146" t="n">
        <v>316</v>
      </c>
      <c r="CY324" s="146" t="str">
        <f aca="false">IF(ISBLANK($C324),"",IF(ISNUMBER($CU324),$CU324+ROW($B324)/1000,""))</f>
        <v/>
      </c>
      <c r="CZ324" s="146" t="str">
        <f aca="false">IF(ISNUMBER($CY324),RANK($CY324,$CY$9:$CY$508,1),"")</f>
        <v/>
      </c>
      <c r="DA324" s="146" t="str">
        <f aca="false">IF(ISBLANK($C324),"",$B324)</f>
        <v/>
      </c>
      <c r="DB324" s="146" t="str">
        <f aca="false">IF(ISBLANK($C324),"",$C324)</f>
        <v/>
      </c>
      <c r="DC324" s="146" t="str">
        <f aca="false">IF(ISBLANK($C324),"",$D324)</f>
        <v/>
      </c>
      <c r="DD324" s="147" t="str">
        <f aca="false">$CR324</f>
        <v/>
      </c>
      <c r="DE324" s="148" t="str">
        <f aca="false">$CQ324</f>
        <v/>
      </c>
      <c r="DF324" s="146" t="str">
        <f aca="false">IF(ISBLANK($C324),"",$CT324)</f>
        <v/>
      </c>
      <c r="DG324" s="149" t="str">
        <f aca="false">IF($CX324&gt;$CW$8,"",VLOOKUP($CX324,$CZ$9:$DF$508,7,FALSE()))</f>
        <v/>
      </c>
      <c r="DH324" s="150" t="str">
        <f aca="false">IF($CX324&gt;$CW$8,"",VLOOKUP($CX324,$CZ$9:$DF$508,2,FALSE()))</f>
        <v/>
      </c>
      <c r="DI324" s="150" t="str">
        <f aca="false">IF($CX324&gt;$CW$8,"",VLOOKUP($CX324,$CZ$9:$DF$508,3,FALSE()))</f>
        <v/>
      </c>
      <c r="DJ324" s="150" t="str">
        <f aca="false">IF($CX324&gt;$CW$8,"",VLOOKUP($CX324,$CZ$9:$DF$508,4,FALSE()))</f>
        <v/>
      </c>
      <c r="DK324" s="150" t="str">
        <f aca="false">IF($CX324&gt;$CW$8,"",VLOOKUP($CX324,$CZ$9:$DF$508,5,FALSE()))</f>
        <v/>
      </c>
      <c r="DL324" s="151" t="str">
        <f aca="false">IF($CX324&gt;$CW$8,"",VLOOKUP($CX324,$CZ$9:$DF$508,6,FALSE()))</f>
        <v/>
      </c>
      <c r="DM324" s="75"/>
    </row>
    <row r="325" customFormat="false" ht="15.75" hidden="false" customHeight="false" outlineLevel="0" collapsed="false">
      <c r="A325" s="9"/>
      <c r="B325" s="157"/>
      <c r="C325" s="158"/>
      <c r="D325" s="159"/>
      <c r="E325" s="177"/>
      <c r="F325" s="161"/>
      <c r="G325" s="162"/>
      <c r="H325" s="162"/>
      <c r="I325" s="178"/>
      <c r="J325" s="165"/>
      <c r="K325" s="126"/>
      <c r="L325" s="127"/>
      <c r="M325" s="128"/>
      <c r="N325" s="165"/>
      <c r="O325" s="165"/>
      <c r="P325" s="177"/>
      <c r="Q325" s="165"/>
      <c r="R325" s="165"/>
      <c r="S325" s="126"/>
      <c r="T325" s="128"/>
      <c r="U325" s="128"/>
      <c r="V325" s="165"/>
      <c r="W325" s="165"/>
      <c r="X325" s="177"/>
      <c r="Y325" s="165"/>
      <c r="Z325" s="166"/>
      <c r="AA325" s="165"/>
      <c r="AB325" s="132"/>
      <c r="AC325" s="133"/>
      <c r="AD325" s="133"/>
      <c r="AE325" s="133"/>
      <c r="AF325" s="133" t="str">
        <f aca="false">IF(ISBLANK($C325),"",IF(E325=Constants!$B$3,TRUE(),IF(E325=Constants!$B$4,FALSE(),TRUE())))</f>
        <v/>
      </c>
      <c r="AG325" s="133" t="str">
        <f aca="false">IF(ISBLANK($C325),"",IF(F325=Constants!$B$3,TRUE(),IF(F325=Constants!$B$4,FALSE(),TRUE())))</f>
        <v/>
      </c>
      <c r="AH325" s="133" t="str">
        <f aca="false">IF(ISBLANK($C325),"",IF(G325=Constants!$B$3,TRUE(),IF(G325=Constants!$B$4,FALSE(),TRUE())))</f>
        <v/>
      </c>
      <c r="AI325" s="133" t="str">
        <f aca="false">IF(ISBLANK($C325),"",IF(AND(ISNUMBER(H325),H325&gt;=0),H325,Constants!$B$29))</f>
        <v/>
      </c>
      <c r="AJ325" s="133" t="str">
        <f aca="false">IF(ISBLANK($C325),"",IF(I325=Constants!$B$3,TRUE(),IF(I325=Constants!$B$4,FALSE(),TRUE())))</f>
        <v/>
      </c>
      <c r="AK325" s="133" t="str">
        <f aca="false">IF(ISBLANK($C325),"",IF(J325=Constants!$B$3,TRUE(),IF(J325=Constants!$B$4,FALSE(),TRUE())))</f>
        <v/>
      </c>
      <c r="AL325" s="133" t="str">
        <f aca="false">IF(ISBLANK($C325),"",IF(K325=Constants!$B$5,TRUE(),IF(K325=Constants!$B$6,FALSE(),COUNTA(L325:P325)&gt;0)))</f>
        <v/>
      </c>
      <c r="AM325" s="134" t="str">
        <f aca="false">IF(ISBLANK($C325),"",IF(ISNUMBER(L325),IF(L325&gt;=0,L325,""),""))</f>
        <v/>
      </c>
      <c r="AN325" s="135" t="str">
        <f aca="false">IF(ISBLANK($C325),"",IF(ISNUMBER(M325),IF(M325&gt;=0,M325,""),""))</f>
        <v/>
      </c>
      <c r="AO325" s="135" t="str">
        <f aca="false">IF(ISBLANK($C325),"",IF(N325=Constants!$B$3,TRUE(),IF(N325=Constants!$B$4,FALSE(),TRUE())))</f>
        <v/>
      </c>
      <c r="AP325" s="133" t="str">
        <f aca="false">IF(ISBLANK($C325),"",IF(ISNUMBER(O325),IF(O325&gt;=0,O325,""),""))</f>
        <v/>
      </c>
      <c r="AQ325" s="133" t="str">
        <f aca="false">IF(ISBLANK($C325),"",IF(P325=Constants!$B$3,TRUE(),IF(P325=Constants!$B$4,FALSE(),FALSE())))</f>
        <v/>
      </c>
      <c r="AR325" s="133" t="str">
        <f aca="false">IF(ISBLANK($C325),"",IF(Q325=Constants!$B$3,TRUE(),IF(Q325=Constants!$B$4,FALSE(),TRUE())))</f>
        <v/>
      </c>
      <c r="AS325" s="133" t="str">
        <f aca="false">IF(ISBLANK($C325),"",IF(R325=Constants!$B$3,TRUE(),IF(R325=Constants!$B$4,FALSE(),TRUE())))</f>
        <v/>
      </c>
      <c r="AT325" s="133" t="str">
        <f aca="false">IF(ISBLANK($C325),"",IF(S325=Constants!$B$5,TRUE(),IF(S325=Constants!$B$6,FALSE(),COUNTA(T325:X325)&gt;0)))</f>
        <v/>
      </c>
      <c r="AU325" s="134" t="str">
        <f aca="false">IF(ISBLANK($C325),"",IF(ISNUMBER(T325),IF(T325&gt;=0,T325,""),""))</f>
        <v/>
      </c>
      <c r="AV325" s="135" t="str">
        <f aca="false">IF(ISBLANK($C325),"",IF(ISNUMBER(U325),IF(U325&gt;=0,U325,""),""))</f>
        <v/>
      </c>
      <c r="AW325" s="135" t="str">
        <f aca="false">IF(ISBLANK($C325),"",IF(V325=Constants!$B$3,TRUE(),IF(V325=Constants!$B$4,FALSE(),TRUE())))</f>
        <v/>
      </c>
      <c r="AX325" s="133" t="str">
        <f aca="false">IF(ISBLANK($C325),"",IF(ISNUMBER(W325),IF(W325&gt;=0,W325,""),""))</f>
        <v/>
      </c>
      <c r="AY325" s="133" t="str">
        <f aca="false">IF(ISBLANK($C325),"",IF(X325=Constants!$B$3,TRUE(),IF(X325=Constants!$B$4,FALSE(),FALSE())))</f>
        <v/>
      </c>
      <c r="AZ325" s="133" t="str">
        <f aca="false">IF(ISBLANK($C325),"",MIN(Constants!$B$31,MAX(0,IF(ISNUMBER(Y325),Y325*60,0)+IF(ISNUMBER(Z325),Z325,0))))</f>
        <v/>
      </c>
      <c r="BA325" s="133" t="str">
        <f aca="false">IF(ISBLANK($C325),"",IF(AA325=Constants!$B$3,TRUE(),IF(AA325=Constants!$B$4,FALSE(),FALSE())))</f>
        <v/>
      </c>
      <c r="BB325" s="132" t="str">
        <f aca="false">IF(ISBLANK($C325),"",AND($AL325,OR($AM325="",$AN325="",AND($AO325,$AP325=""))))</f>
        <v/>
      </c>
      <c r="BC325" s="135" t="str">
        <f aca="false">IF($BR325&lt;&gt;Constants!$B$8,"",IF($AL325,Constants!$B$21*$AN325+Constants!$B$22*IF($AO325,$AP325,Constants!$B$23),Constants!$B$24))</f>
        <v/>
      </c>
      <c r="BD325" s="136" t="str">
        <f aca="false">IF($BR325&lt;&gt;Constants!$B$8,"",Constants!$B$25*ABS($AD$9-IF($AL325,$AM325,0)))</f>
        <v/>
      </c>
      <c r="BE325" s="136" t="str">
        <f aca="false">IF($BR325&lt;&gt;Constants!$B$8,"",IF(AND($AL325,$AQ325,$AO325),Constants!$B$27,0))</f>
        <v/>
      </c>
      <c r="BF325" s="136" t="str">
        <f aca="false">IF($BR325&lt;&gt;Constants!$B$8,"",IF($AL325,($AI325-Constants!$B$29)*Constants!$B$28,0))</f>
        <v/>
      </c>
      <c r="BG325" s="136" t="str">
        <f aca="false">IF($BR325&lt;&gt;Constants!$B$8,"",IF($AK325,0,Constants!$B$15)+IF($AJ325,0,Constants!$B$16)+IF($AH325,0,Constants!$B$17))</f>
        <v/>
      </c>
      <c r="BH325" s="137" t="str">
        <f aca="false">IF($BR325&lt;&gt;Constants!$B$8,"",Constants!$B$20+SUM($BC325:$BG325))</f>
        <v/>
      </c>
      <c r="BI325" s="133" t="str">
        <f aca="false">IF($BR325&lt;&gt;Constants!$B$8,"",IF(OR($BP325&lt;$BH325,AND($BP325=$BH325,OR($BK325&lt;$BC325,AND($BK325=$BC325,OR($BL325&lt;$BD325,AND($BL325=$BD325,$AT325,$AL325,$AV325&lt;$AN325)))))),"-&gt;","&lt;-"))</f>
        <v/>
      </c>
      <c r="BJ325" s="132" t="str">
        <f aca="false">IF(ISBLANK($C325),"",AND($AT325,OR($AU325="",$AV325="",AND($AW325,$AX325=""))))</f>
        <v/>
      </c>
      <c r="BK325" s="135" t="str">
        <f aca="false">IF($BR325&lt;&gt;Constants!$B$8,"",IF($AT325,Constants!$B$21*$AV325+Constants!$B$22*IF($AW325,$AX325,Constants!$B$23),Constants!$B$24))</f>
        <v/>
      </c>
      <c r="BL325" s="136" t="str">
        <f aca="false">IF($BR325&lt;&gt;Constants!$B$8,"",Constants!$B$25*ABS($AD$9-IF($AT325,$AU325,0)))</f>
        <v/>
      </c>
      <c r="BM325" s="136" t="str">
        <f aca="false">IF($BR325&lt;&gt;Constants!$B$8,"",IF(AND($AT325,$AY325,$AW325),Constants!$B$27,0))</f>
        <v/>
      </c>
      <c r="BN325" s="136" t="str">
        <f aca="false">IF($BR325&lt;&gt;Constants!$B$8,"",IF($AT325,($AI325-Constants!$B$29)*Constants!$B$28,0))</f>
        <v/>
      </c>
      <c r="BO325" s="136" t="str">
        <f aca="false">IF($BR325&lt;&gt;Constants!$B$8,"",IF($AS325,0,Constants!$B$15)+IF($AR325,0,Constants!$B$16)+IF($AH325,0,Constants!$B$17))</f>
        <v/>
      </c>
      <c r="BP325" s="137" t="str">
        <f aca="false">IF($BR325&lt;&gt;Constants!$B$8,"",Constants!$B$20+SUM($BK325:$BO325))</f>
        <v/>
      </c>
      <c r="BQ325" s="133" t="str">
        <f aca="false">IF(ISBLANK($C325),"",IF(ISBLANK($D$7),$BQ$5,IF(NOT(ISNUMBER($D$7)),$BQ$6,"")))</f>
        <v/>
      </c>
      <c r="BR325" s="133" t="str">
        <f aca="false">IF(ISBLANK($C325),"",IF($BA325,Constants!$B$11,IF(COUNTA($E325:$AA325)=0,Constants!$B$10,IF(NOT($AG325),Constants!$B$9,IF(OR($BQ325&lt;&gt;"",$BB325,$BJ325),Constants!$B$12,Constants!$B$8)))))</f>
        <v/>
      </c>
      <c r="BS325" s="133" t="str">
        <f aca="false">IF(ISBLANK($C325),"",IF($BR325&lt;&gt;Constants!$B$8,$BR325,Constants!$B$13))</f>
        <v/>
      </c>
      <c r="BT325" s="136" t="str">
        <f aca="false">IF($BR325&lt;&gt;Constants!$B$8,"",IF($BI325="-&gt;",$BP325,$BH325))</f>
        <v/>
      </c>
      <c r="BU325" s="136" t="str">
        <f aca="false">IF($BR325&lt;&gt;Constants!$B$8,"",IF($AF325,0,Constants!$B$18))</f>
        <v/>
      </c>
      <c r="BV325" s="136" t="str">
        <f aca="false">IF($BR325&lt;&gt;Constants!$B$8,"",((Constants!$B$31-$AZ325)-Constants!$B$31)/Constants!$B$32)</f>
        <v/>
      </c>
      <c r="BW325" s="136" t="str">
        <f aca="false">IF(ISBLANK($C325),"",IF($BR325&lt;&gt;Constants!$B$8,$BR325,SUM($BT325:$BV325)))</f>
        <v/>
      </c>
      <c r="BX325" s="133" t="str">
        <f aca="false">IF(ISBLANK($C325),"",IF($BR325&lt;&gt;Constants!$B$8,$BR325,RANK($BW325,$BW$9:$BW$508,1)))</f>
        <v/>
      </c>
      <c r="BY325" s="136" t="str">
        <f aca="false">IF($BR325&lt;&gt;Constants!$B$8,"",IF($BI325="-&gt;",$BK325,$BC325))</f>
        <v/>
      </c>
      <c r="BZ325" s="133" t="str">
        <f aca="false">IF(ISBLANK($C325),"",IF($BR325&lt;&gt;Constants!$B$8,$BR325,IF(ISNUMBER($BY325),RANK($BY325,$BY$9:$BY$508,1),COUNT($BY$9:$BY$508)+1)))</f>
        <v/>
      </c>
      <c r="CA325" s="136" t="str">
        <f aca="false">IF($BR325&lt;&gt;Constants!$B$8,"",IF($BI325="-&gt;",$BL325,$BD325))</f>
        <v/>
      </c>
      <c r="CB325" s="133" t="str">
        <f aca="false">IF(ISBLANK($C325),"",IF($BR325&lt;&gt;Constants!$B$8,$BR325,IF(ISNUMBER($CA325),RANK($CA325,$CA$9:$CA$508,1),COUNT($CA$9:$CA$508)+1)))</f>
        <v/>
      </c>
      <c r="CC325" s="136" t="str">
        <f aca="false">IF($BR325&lt;&gt;Constants!$B$8,"",IF($BI325="-&gt;",IF($AT325,$AV325,""),IF($AL325,$AN325,"")))</f>
        <v/>
      </c>
      <c r="CD325" s="133" t="str">
        <f aca="false">IF(ISBLANK($C325),"",IF($BR325&lt;&gt;Constants!$B$8,$BR325,IF(ISNUMBER($CC325),RANK($CC325,$CC$9:$CC$508,1),COUNT($CC$9:$CC$508)+1)))</f>
        <v/>
      </c>
      <c r="CE325" s="136" t="str">
        <f aca="false">IF($BR325&lt;&gt;Constants!$B$8,"",IF(AND(NOT($AL325),NOT($AT325),$AJ325,$AK325,$AR325,$AS325),"",$AI325))</f>
        <v/>
      </c>
      <c r="CF325" s="133" t="str">
        <f aca="false">IF(ISBLANK($C325),"",IF($BR325&lt;&gt;Constants!$B$8,$BR325,IF(ISNUMBER($CE325),RANK($CE325,$CE$9:$CE$508,1),COUNT($CE$9:$CE$508)+1)))</f>
        <v/>
      </c>
      <c r="CG325" s="133" t="str">
        <f aca="false">IF(ISBLANK($C325),"",IF($BR325&lt;&gt;Constants!$B$8,$BR325,COUNTIFS($BX$9:$BX$508,"&lt;"&amp;$BX325)+COUNTIFS($BX$9:$BX$508,$BX325,$BZ$9:$BZ$508,"&lt;"&amp;$BZ325)+COUNTIFS($BX$9:$BX$508,$BX325,$BZ$9:$BZ$508,$BZ325,$CB$9:$CB$508,"&lt;"&amp;$CB325)+COUNTIFS($BX$9:$BX$508,$BX325,$BZ$9:$BZ$508,$BZ325,$CB$9:$CB$508,$CB325,$CD$9:$CD$508,"&lt;"&amp;$CD325)+COUNTIFS($BX$9:$BX$508,$BX325,$BZ$9:$BZ$508,$BZ325,$CB$9:$CB$508,$CB325,$CD$9:$CD$508,$CD325,$CF$9:$CF$508,"&lt;"&amp;$CF325)+1))</f>
        <v/>
      </c>
      <c r="CH325" s="133" t="str">
        <f aca="false">IF(ISBLANK($C325),"",IF($BR325&lt;&gt;Constants!$B$8,$BR325,$BX325-$CG325))</f>
        <v/>
      </c>
      <c r="CI325" s="138"/>
      <c r="CJ325" s="139"/>
      <c r="CK325" s="140" t="str">
        <f aca="false">IF(ISBLANK($C325),"",IF($BR325=Constants!$B$12,$BQ325,""))</f>
        <v/>
      </c>
      <c r="CL325" s="139" t="str">
        <f aca="false">IF(ISBLANK($C325),"",IF($BR325&lt;&gt;Constants!$B$8,"",IF($BI325="-&gt;",2,1)))</f>
        <v/>
      </c>
      <c r="CM325" s="141" t="str">
        <f aca="false">IF(ISBLANK($C325),"",IF($BR325&lt;&gt;Constants!$B$8,"",IF($BI325="-&gt;",$BK325,$BC325)))</f>
        <v/>
      </c>
      <c r="CN325" s="141" t="str">
        <f aca="false">IF(ISBLANK($C325),"",IF($BR325&lt;&gt;Constants!$B$8,"",IF($BI325="-&gt;",$BL325,$BD325)))</f>
        <v/>
      </c>
      <c r="CO325" s="141" t="str">
        <f aca="false">IF(ISBLANK($C325),"",IF($BR325&lt;&gt;Constants!$B$8,"",IF($BI325="-&gt;",$BM325+$BN325,$BE325+$BF325)+$BV325))</f>
        <v/>
      </c>
      <c r="CP325" s="141" t="str">
        <f aca="false">IF(ISBLANK($C325),"",IF($BR325&lt;&gt;Constants!$B$8,"",IF($BI325="-&gt;",$BO325,$BG325)+$BU325))</f>
        <v/>
      </c>
      <c r="CQ325" s="142" t="str">
        <f aca="false">IF(ISBLANK($C325),"",IF($BR325&lt;&gt;Constants!$B$8,$BR325,$BW325))</f>
        <v/>
      </c>
      <c r="CR325" s="143" t="str">
        <f aca="false">IF(ISBLANK($C325),"",$BS325)</f>
        <v/>
      </c>
      <c r="CS325" s="144" t="str">
        <f aca="false">IF(ISBLANK($C325),"",$CH325)</f>
        <v/>
      </c>
      <c r="CT325" s="144" t="str">
        <f aca="false">IF(ISBLANK($C325),"",$CG325)</f>
        <v/>
      </c>
      <c r="CU325" s="145" t="str">
        <f aca="false">IF(ISBLANK($C325),"",IFERROR(_xlfn.SWITCH($CT325,Constants!$B$11,COUNTA($C$9:$C$508)+2,Constants!$B$10,COUNTA($C$9:$C$508)+1,Constants!$B$9,COUNTA($C$9:$C$508)),$CT325))</f>
        <v/>
      </c>
      <c r="CV325" s="9"/>
      <c r="CW325" s="146" t="n">
        <f aca="false">IF(OR(ISNUMBER($CT325),$CT325=Constants!$B$11,$CT325=Constants!$B$9,$CT325=Constants!$B$10),1,0)</f>
        <v>0</v>
      </c>
      <c r="CX325" s="146" t="n">
        <v>317</v>
      </c>
      <c r="CY325" s="146" t="str">
        <f aca="false">IF(ISBLANK($C325),"",IF(ISNUMBER($CU325),$CU325+ROW($B325)/1000,""))</f>
        <v/>
      </c>
      <c r="CZ325" s="146" t="str">
        <f aca="false">IF(ISNUMBER($CY325),RANK($CY325,$CY$9:$CY$508,1),"")</f>
        <v/>
      </c>
      <c r="DA325" s="146" t="str">
        <f aca="false">IF(ISBLANK($C325),"",$B325)</f>
        <v/>
      </c>
      <c r="DB325" s="146" t="str">
        <f aca="false">IF(ISBLANK($C325),"",$C325)</f>
        <v/>
      </c>
      <c r="DC325" s="146" t="str">
        <f aca="false">IF(ISBLANK($C325),"",$D325)</f>
        <v/>
      </c>
      <c r="DD325" s="147" t="str">
        <f aca="false">$CR325</f>
        <v/>
      </c>
      <c r="DE325" s="148" t="str">
        <f aca="false">$CQ325</f>
        <v/>
      </c>
      <c r="DF325" s="146" t="str">
        <f aca="false">IF(ISBLANK($C325),"",$CT325)</f>
        <v/>
      </c>
      <c r="DG325" s="149" t="str">
        <f aca="false">IF($CX325&gt;$CW$8,"",VLOOKUP($CX325,$CZ$9:$DF$508,7,FALSE()))</f>
        <v/>
      </c>
      <c r="DH325" s="150" t="str">
        <f aca="false">IF($CX325&gt;$CW$8,"",VLOOKUP($CX325,$CZ$9:$DF$508,2,FALSE()))</f>
        <v/>
      </c>
      <c r="DI325" s="150" t="str">
        <f aca="false">IF($CX325&gt;$CW$8,"",VLOOKUP($CX325,$CZ$9:$DF$508,3,FALSE()))</f>
        <v/>
      </c>
      <c r="DJ325" s="150" t="str">
        <f aca="false">IF($CX325&gt;$CW$8,"",VLOOKUP($CX325,$CZ$9:$DF$508,4,FALSE()))</f>
        <v/>
      </c>
      <c r="DK325" s="150" t="str">
        <f aca="false">IF($CX325&gt;$CW$8,"",VLOOKUP($CX325,$CZ$9:$DF$508,5,FALSE()))</f>
        <v/>
      </c>
      <c r="DL325" s="151" t="str">
        <f aca="false">IF($CX325&gt;$CW$8,"",VLOOKUP($CX325,$CZ$9:$DF$508,6,FALSE()))</f>
        <v/>
      </c>
      <c r="DM325" s="75"/>
    </row>
    <row r="326" customFormat="false" ht="15.75" hidden="false" customHeight="false" outlineLevel="0" collapsed="false">
      <c r="A326" s="9"/>
      <c r="B326" s="157"/>
      <c r="C326" s="158"/>
      <c r="D326" s="159"/>
      <c r="E326" s="177"/>
      <c r="F326" s="161"/>
      <c r="G326" s="162"/>
      <c r="H326" s="162"/>
      <c r="I326" s="178"/>
      <c r="J326" s="165"/>
      <c r="K326" s="126"/>
      <c r="L326" s="127"/>
      <c r="M326" s="128"/>
      <c r="N326" s="165"/>
      <c r="O326" s="165"/>
      <c r="P326" s="177"/>
      <c r="Q326" s="165"/>
      <c r="R326" s="165"/>
      <c r="S326" s="126"/>
      <c r="T326" s="128"/>
      <c r="U326" s="128"/>
      <c r="V326" s="165"/>
      <c r="W326" s="165"/>
      <c r="X326" s="177"/>
      <c r="Y326" s="165"/>
      <c r="Z326" s="166"/>
      <c r="AA326" s="165"/>
      <c r="AB326" s="132"/>
      <c r="AC326" s="133"/>
      <c r="AD326" s="133"/>
      <c r="AE326" s="133"/>
      <c r="AF326" s="133" t="str">
        <f aca="false">IF(ISBLANK($C326),"",IF(E326=Constants!$B$3,TRUE(),IF(E326=Constants!$B$4,FALSE(),TRUE())))</f>
        <v/>
      </c>
      <c r="AG326" s="133" t="str">
        <f aca="false">IF(ISBLANK($C326),"",IF(F326=Constants!$B$3,TRUE(),IF(F326=Constants!$B$4,FALSE(),TRUE())))</f>
        <v/>
      </c>
      <c r="AH326" s="133" t="str">
        <f aca="false">IF(ISBLANK($C326),"",IF(G326=Constants!$B$3,TRUE(),IF(G326=Constants!$B$4,FALSE(),TRUE())))</f>
        <v/>
      </c>
      <c r="AI326" s="133" t="str">
        <f aca="false">IF(ISBLANK($C326),"",IF(AND(ISNUMBER(H326),H326&gt;=0),H326,Constants!$B$29))</f>
        <v/>
      </c>
      <c r="AJ326" s="133" t="str">
        <f aca="false">IF(ISBLANK($C326),"",IF(I326=Constants!$B$3,TRUE(),IF(I326=Constants!$B$4,FALSE(),TRUE())))</f>
        <v/>
      </c>
      <c r="AK326" s="133" t="str">
        <f aca="false">IF(ISBLANK($C326),"",IF(J326=Constants!$B$3,TRUE(),IF(J326=Constants!$B$4,FALSE(),TRUE())))</f>
        <v/>
      </c>
      <c r="AL326" s="133" t="str">
        <f aca="false">IF(ISBLANK($C326),"",IF(K326=Constants!$B$5,TRUE(),IF(K326=Constants!$B$6,FALSE(),COUNTA(L326:P326)&gt;0)))</f>
        <v/>
      </c>
      <c r="AM326" s="134" t="str">
        <f aca="false">IF(ISBLANK($C326),"",IF(ISNUMBER(L326),IF(L326&gt;=0,L326,""),""))</f>
        <v/>
      </c>
      <c r="AN326" s="135" t="str">
        <f aca="false">IF(ISBLANK($C326),"",IF(ISNUMBER(M326),IF(M326&gt;=0,M326,""),""))</f>
        <v/>
      </c>
      <c r="AO326" s="135" t="str">
        <f aca="false">IF(ISBLANK($C326),"",IF(N326=Constants!$B$3,TRUE(),IF(N326=Constants!$B$4,FALSE(),TRUE())))</f>
        <v/>
      </c>
      <c r="AP326" s="133" t="str">
        <f aca="false">IF(ISBLANK($C326),"",IF(ISNUMBER(O326),IF(O326&gt;=0,O326,""),""))</f>
        <v/>
      </c>
      <c r="AQ326" s="133" t="str">
        <f aca="false">IF(ISBLANK($C326),"",IF(P326=Constants!$B$3,TRUE(),IF(P326=Constants!$B$4,FALSE(),FALSE())))</f>
        <v/>
      </c>
      <c r="AR326" s="133" t="str">
        <f aca="false">IF(ISBLANK($C326),"",IF(Q326=Constants!$B$3,TRUE(),IF(Q326=Constants!$B$4,FALSE(),TRUE())))</f>
        <v/>
      </c>
      <c r="AS326" s="133" t="str">
        <f aca="false">IF(ISBLANK($C326),"",IF(R326=Constants!$B$3,TRUE(),IF(R326=Constants!$B$4,FALSE(),TRUE())))</f>
        <v/>
      </c>
      <c r="AT326" s="133" t="str">
        <f aca="false">IF(ISBLANK($C326),"",IF(S326=Constants!$B$5,TRUE(),IF(S326=Constants!$B$6,FALSE(),COUNTA(T326:X326)&gt;0)))</f>
        <v/>
      </c>
      <c r="AU326" s="134" t="str">
        <f aca="false">IF(ISBLANK($C326),"",IF(ISNUMBER(T326),IF(T326&gt;=0,T326,""),""))</f>
        <v/>
      </c>
      <c r="AV326" s="135" t="str">
        <f aca="false">IF(ISBLANK($C326),"",IF(ISNUMBER(U326),IF(U326&gt;=0,U326,""),""))</f>
        <v/>
      </c>
      <c r="AW326" s="135" t="str">
        <f aca="false">IF(ISBLANK($C326),"",IF(V326=Constants!$B$3,TRUE(),IF(V326=Constants!$B$4,FALSE(),TRUE())))</f>
        <v/>
      </c>
      <c r="AX326" s="133" t="str">
        <f aca="false">IF(ISBLANK($C326),"",IF(ISNUMBER(W326),IF(W326&gt;=0,W326,""),""))</f>
        <v/>
      </c>
      <c r="AY326" s="133" t="str">
        <f aca="false">IF(ISBLANK($C326),"",IF(X326=Constants!$B$3,TRUE(),IF(X326=Constants!$B$4,FALSE(),FALSE())))</f>
        <v/>
      </c>
      <c r="AZ326" s="133" t="str">
        <f aca="false">IF(ISBLANK($C326),"",MIN(Constants!$B$31,MAX(0,IF(ISNUMBER(Y326),Y326*60,0)+IF(ISNUMBER(Z326),Z326,0))))</f>
        <v/>
      </c>
      <c r="BA326" s="133" t="str">
        <f aca="false">IF(ISBLANK($C326),"",IF(AA326=Constants!$B$3,TRUE(),IF(AA326=Constants!$B$4,FALSE(),FALSE())))</f>
        <v/>
      </c>
      <c r="BB326" s="132" t="str">
        <f aca="false">IF(ISBLANK($C326),"",AND($AL326,OR($AM326="",$AN326="",AND($AO326,$AP326=""))))</f>
        <v/>
      </c>
      <c r="BC326" s="135" t="str">
        <f aca="false">IF($BR326&lt;&gt;Constants!$B$8,"",IF($AL326,Constants!$B$21*$AN326+Constants!$B$22*IF($AO326,$AP326,Constants!$B$23),Constants!$B$24))</f>
        <v/>
      </c>
      <c r="BD326" s="136" t="str">
        <f aca="false">IF($BR326&lt;&gt;Constants!$B$8,"",Constants!$B$25*ABS($AD$9-IF($AL326,$AM326,0)))</f>
        <v/>
      </c>
      <c r="BE326" s="136" t="str">
        <f aca="false">IF($BR326&lt;&gt;Constants!$B$8,"",IF(AND($AL326,$AQ326,$AO326),Constants!$B$27,0))</f>
        <v/>
      </c>
      <c r="BF326" s="136" t="str">
        <f aca="false">IF($BR326&lt;&gt;Constants!$B$8,"",IF($AL326,($AI326-Constants!$B$29)*Constants!$B$28,0))</f>
        <v/>
      </c>
      <c r="BG326" s="136" t="str">
        <f aca="false">IF($BR326&lt;&gt;Constants!$B$8,"",IF($AK326,0,Constants!$B$15)+IF($AJ326,0,Constants!$B$16)+IF($AH326,0,Constants!$B$17))</f>
        <v/>
      </c>
      <c r="BH326" s="137" t="str">
        <f aca="false">IF($BR326&lt;&gt;Constants!$B$8,"",Constants!$B$20+SUM($BC326:$BG326))</f>
        <v/>
      </c>
      <c r="BI326" s="133" t="str">
        <f aca="false">IF($BR326&lt;&gt;Constants!$B$8,"",IF(OR($BP326&lt;$BH326,AND($BP326=$BH326,OR($BK326&lt;$BC326,AND($BK326=$BC326,OR($BL326&lt;$BD326,AND($BL326=$BD326,$AT326,$AL326,$AV326&lt;$AN326)))))),"-&gt;","&lt;-"))</f>
        <v/>
      </c>
      <c r="BJ326" s="132" t="str">
        <f aca="false">IF(ISBLANK($C326),"",AND($AT326,OR($AU326="",$AV326="",AND($AW326,$AX326=""))))</f>
        <v/>
      </c>
      <c r="BK326" s="135" t="str">
        <f aca="false">IF($BR326&lt;&gt;Constants!$B$8,"",IF($AT326,Constants!$B$21*$AV326+Constants!$B$22*IF($AW326,$AX326,Constants!$B$23),Constants!$B$24))</f>
        <v/>
      </c>
      <c r="BL326" s="136" t="str">
        <f aca="false">IF($BR326&lt;&gt;Constants!$B$8,"",Constants!$B$25*ABS($AD$9-IF($AT326,$AU326,0)))</f>
        <v/>
      </c>
      <c r="BM326" s="136" t="str">
        <f aca="false">IF($BR326&lt;&gt;Constants!$B$8,"",IF(AND($AT326,$AY326,$AW326),Constants!$B$27,0))</f>
        <v/>
      </c>
      <c r="BN326" s="136" t="str">
        <f aca="false">IF($BR326&lt;&gt;Constants!$B$8,"",IF($AT326,($AI326-Constants!$B$29)*Constants!$B$28,0))</f>
        <v/>
      </c>
      <c r="BO326" s="136" t="str">
        <f aca="false">IF($BR326&lt;&gt;Constants!$B$8,"",IF($AS326,0,Constants!$B$15)+IF($AR326,0,Constants!$B$16)+IF($AH326,0,Constants!$B$17))</f>
        <v/>
      </c>
      <c r="BP326" s="137" t="str">
        <f aca="false">IF($BR326&lt;&gt;Constants!$B$8,"",Constants!$B$20+SUM($BK326:$BO326))</f>
        <v/>
      </c>
      <c r="BQ326" s="133" t="str">
        <f aca="false">IF(ISBLANK($C326),"",IF(ISBLANK($D$7),$BQ$5,IF(NOT(ISNUMBER($D$7)),$BQ$6,"")))</f>
        <v/>
      </c>
      <c r="BR326" s="133" t="str">
        <f aca="false">IF(ISBLANK($C326),"",IF($BA326,Constants!$B$11,IF(COUNTA($E326:$AA326)=0,Constants!$B$10,IF(NOT($AG326),Constants!$B$9,IF(OR($BQ326&lt;&gt;"",$BB326,$BJ326),Constants!$B$12,Constants!$B$8)))))</f>
        <v/>
      </c>
      <c r="BS326" s="133" t="str">
        <f aca="false">IF(ISBLANK($C326),"",IF($BR326&lt;&gt;Constants!$B$8,$BR326,Constants!$B$13))</f>
        <v/>
      </c>
      <c r="BT326" s="136" t="str">
        <f aca="false">IF($BR326&lt;&gt;Constants!$B$8,"",IF($BI326="-&gt;",$BP326,$BH326))</f>
        <v/>
      </c>
      <c r="BU326" s="136" t="str">
        <f aca="false">IF($BR326&lt;&gt;Constants!$B$8,"",IF($AF326,0,Constants!$B$18))</f>
        <v/>
      </c>
      <c r="BV326" s="136" t="str">
        <f aca="false">IF($BR326&lt;&gt;Constants!$B$8,"",((Constants!$B$31-$AZ326)-Constants!$B$31)/Constants!$B$32)</f>
        <v/>
      </c>
      <c r="BW326" s="136" t="str">
        <f aca="false">IF(ISBLANK($C326),"",IF($BR326&lt;&gt;Constants!$B$8,$BR326,SUM($BT326:$BV326)))</f>
        <v/>
      </c>
      <c r="BX326" s="133" t="str">
        <f aca="false">IF(ISBLANK($C326),"",IF($BR326&lt;&gt;Constants!$B$8,$BR326,RANK($BW326,$BW$9:$BW$508,1)))</f>
        <v/>
      </c>
      <c r="BY326" s="136" t="str">
        <f aca="false">IF($BR326&lt;&gt;Constants!$B$8,"",IF($BI326="-&gt;",$BK326,$BC326))</f>
        <v/>
      </c>
      <c r="BZ326" s="133" t="str">
        <f aca="false">IF(ISBLANK($C326),"",IF($BR326&lt;&gt;Constants!$B$8,$BR326,IF(ISNUMBER($BY326),RANK($BY326,$BY$9:$BY$508,1),COUNT($BY$9:$BY$508)+1)))</f>
        <v/>
      </c>
      <c r="CA326" s="136" t="str">
        <f aca="false">IF($BR326&lt;&gt;Constants!$B$8,"",IF($BI326="-&gt;",$BL326,$BD326))</f>
        <v/>
      </c>
      <c r="CB326" s="133" t="str">
        <f aca="false">IF(ISBLANK($C326),"",IF($BR326&lt;&gt;Constants!$B$8,$BR326,IF(ISNUMBER($CA326),RANK($CA326,$CA$9:$CA$508,1),COUNT($CA$9:$CA$508)+1)))</f>
        <v/>
      </c>
      <c r="CC326" s="136" t="str">
        <f aca="false">IF($BR326&lt;&gt;Constants!$B$8,"",IF($BI326="-&gt;",IF($AT326,$AV326,""),IF($AL326,$AN326,"")))</f>
        <v/>
      </c>
      <c r="CD326" s="133" t="str">
        <f aca="false">IF(ISBLANK($C326),"",IF($BR326&lt;&gt;Constants!$B$8,$BR326,IF(ISNUMBER($CC326),RANK($CC326,$CC$9:$CC$508,1),COUNT($CC$9:$CC$508)+1)))</f>
        <v/>
      </c>
      <c r="CE326" s="136" t="str">
        <f aca="false">IF($BR326&lt;&gt;Constants!$B$8,"",IF(AND(NOT($AL326),NOT($AT326),$AJ326,$AK326,$AR326,$AS326),"",$AI326))</f>
        <v/>
      </c>
      <c r="CF326" s="133" t="str">
        <f aca="false">IF(ISBLANK($C326),"",IF($BR326&lt;&gt;Constants!$B$8,$BR326,IF(ISNUMBER($CE326),RANK($CE326,$CE$9:$CE$508,1),COUNT($CE$9:$CE$508)+1)))</f>
        <v/>
      </c>
      <c r="CG326" s="133" t="str">
        <f aca="false">IF(ISBLANK($C326),"",IF($BR326&lt;&gt;Constants!$B$8,$BR326,COUNTIFS($BX$9:$BX$508,"&lt;"&amp;$BX326)+COUNTIFS($BX$9:$BX$508,$BX326,$BZ$9:$BZ$508,"&lt;"&amp;$BZ326)+COUNTIFS($BX$9:$BX$508,$BX326,$BZ$9:$BZ$508,$BZ326,$CB$9:$CB$508,"&lt;"&amp;$CB326)+COUNTIFS($BX$9:$BX$508,$BX326,$BZ$9:$BZ$508,$BZ326,$CB$9:$CB$508,$CB326,$CD$9:$CD$508,"&lt;"&amp;$CD326)+COUNTIFS($BX$9:$BX$508,$BX326,$BZ$9:$BZ$508,$BZ326,$CB$9:$CB$508,$CB326,$CD$9:$CD$508,$CD326,$CF$9:$CF$508,"&lt;"&amp;$CF326)+1))</f>
        <v/>
      </c>
      <c r="CH326" s="133" t="str">
        <f aca="false">IF(ISBLANK($C326),"",IF($BR326&lt;&gt;Constants!$B$8,$BR326,$BX326-$CG326))</f>
        <v/>
      </c>
      <c r="CI326" s="138"/>
      <c r="CJ326" s="139"/>
      <c r="CK326" s="140" t="str">
        <f aca="false">IF(ISBLANK($C326),"",IF($BR326=Constants!$B$12,$BQ326,""))</f>
        <v/>
      </c>
      <c r="CL326" s="139" t="str">
        <f aca="false">IF(ISBLANK($C326),"",IF($BR326&lt;&gt;Constants!$B$8,"",IF($BI326="-&gt;",2,1)))</f>
        <v/>
      </c>
      <c r="CM326" s="141" t="str">
        <f aca="false">IF(ISBLANK($C326),"",IF($BR326&lt;&gt;Constants!$B$8,"",IF($BI326="-&gt;",$BK326,$BC326)))</f>
        <v/>
      </c>
      <c r="CN326" s="141" t="str">
        <f aca="false">IF(ISBLANK($C326),"",IF($BR326&lt;&gt;Constants!$B$8,"",IF($BI326="-&gt;",$BL326,$BD326)))</f>
        <v/>
      </c>
      <c r="CO326" s="141" t="str">
        <f aca="false">IF(ISBLANK($C326),"",IF($BR326&lt;&gt;Constants!$B$8,"",IF($BI326="-&gt;",$BM326+$BN326,$BE326+$BF326)+$BV326))</f>
        <v/>
      </c>
      <c r="CP326" s="141" t="str">
        <f aca="false">IF(ISBLANK($C326),"",IF($BR326&lt;&gt;Constants!$B$8,"",IF($BI326="-&gt;",$BO326,$BG326)+$BU326))</f>
        <v/>
      </c>
      <c r="CQ326" s="142" t="str">
        <f aca="false">IF(ISBLANK($C326),"",IF($BR326&lt;&gt;Constants!$B$8,$BR326,$BW326))</f>
        <v/>
      </c>
      <c r="CR326" s="143" t="str">
        <f aca="false">IF(ISBLANK($C326),"",$BS326)</f>
        <v/>
      </c>
      <c r="CS326" s="144" t="str">
        <f aca="false">IF(ISBLANK($C326),"",$CH326)</f>
        <v/>
      </c>
      <c r="CT326" s="144" t="str">
        <f aca="false">IF(ISBLANK($C326),"",$CG326)</f>
        <v/>
      </c>
      <c r="CU326" s="145" t="str">
        <f aca="false">IF(ISBLANK($C326),"",IFERROR(_xlfn.SWITCH($CT326,Constants!$B$11,COUNTA($C$9:$C$508)+2,Constants!$B$10,COUNTA($C$9:$C$508)+1,Constants!$B$9,COUNTA($C$9:$C$508)),$CT326))</f>
        <v/>
      </c>
      <c r="CV326" s="9"/>
      <c r="CW326" s="146" t="n">
        <f aca="false">IF(OR(ISNUMBER($CT326),$CT326=Constants!$B$11,$CT326=Constants!$B$9,$CT326=Constants!$B$10),1,0)</f>
        <v>0</v>
      </c>
      <c r="CX326" s="146" t="n">
        <v>318</v>
      </c>
      <c r="CY326" s="146" t="str">
        <f aca="false">IF(ISBLANK($C326),"",IF(ISNUMBER($CU326),$CU326+ROW($B326)/1000,""))</f>
        <v/>
      </c>
      <c r="CZ326" s="146" t="str">
        <f aca="false">IF(ISNUMBER($CY326),RANK($CY326,$CY$9:$CY$508,1),"")</f>
        <v/>
      </c>
      <c r="DA326" s="146" t="str">
        <f aca="false">IF(ISBLANK($C326),"",$B326)</f>
        <v/>
      </c>
      <c r="DB326" s="146" t="str">
        <f aca="false">IF(ISBLANK($C326),"",$C326)</f>
        <v/>
      </c>
      <c r="DC326" s="146" t="str">
        <f aca="false">IF(ISBLANK($C326),"",$D326)</f>
        <v/>
      </c>
      <c r="DD326" s="147" t="str">
        <f aca="false">$CR326</f>
        <v/>
      </c>
      <c r="DE326" s="148" t="str">
        <f aca="false">$CQ326</f>
        <v/>
      </c>
      <c r="DF326" s="146" t="str">
        <f aca="false">IF(ISBLANK($C326),"",$CT326)</f>
        <v/>
      </c>
      <c r="DG326" s="149" t="str">
        <f aca="false">IF($CX326&gt;$CW$8,"",VLOOKUP($CX326,$CZ$9:$DF$508,7,FALSE()))</f>
        <v/>
      </c>
      <c r="DH326" s="150" t="str">
        <f aca="false">IF($CX326&gt;$CW$8,"",VLOOKUP($CX326,$CZ$9:$DF$508,2,FALSE()))</f>
        <v/>
      </c>
      <c r="DI326" s="150" t="str">
        <f aca="false">IF($CX326&gt;$CW$8,"",VLOOKUP($CX326,$CZ$9:$DF$508,3,FALSE()))</f>
        <v/>
      </c>
      <c r="DJ326" s="150" t="str">
        <f aca="false">IF($CX326&gt;$CW$8,"",VLOOKUP($CX326,$CZ$9:$DF$508,4,FALSE()))</f>
        <v/>
      </c>
      <c r="DK326" s="150" t="str">
        <f aca="false">IF($CX326&gt;$CW$8,"",VLOOKUP($CX326,$CZ$9:$DF$508,5,FALSE()))</f>
        <v/>
      </c>
      <c r="DL326" s="151" t="str">
        <f aca="false">IF($CX326&gt;$CW$8,"",VLOOKUP($CX326,$CZ$9:$DF$508,6,FALSE()))</f>
        <v/>
      </c>
      <c r="DM326" s="75"/>
    </row>
    <row r="327" customFormat="false" ht="15.75" hidden="false" customHeight="false" outlineLevel="0" collapsed="false">
      <c r="A327" s="9"/>
      <c r="B327" s="77"/>
      <c r="C327" s="78"/>
      <c r="D327" s="167"/>
      <c r="E327" s="175"/>
      <c r="F327" s="169"/>
      <c r="G327" s="170"/>
      <c r="H327" s="170"/>
      <c r="I327" s="176"/>
      <c r="J327" s="173"/>
      <c r="K327" s="85"/>
      <c r="L327" s="86"/>
      <c r="M327" s="87"/>
      <c r="N327" s="173"/>
      <c r="O327" s="173"/>
      <c r="P327" s="175"/>
      <c r="Q327" s="173"/>
      <c r="R327" s="173"/>
      <c r="S327" s="85"/>
      <c r="T327" s="87"/>
      <c r="U327" s="87"/>
      <c r="V327" s="173"/>
      <c r="W327" s="173"/>
      <c r="X327" s="175"/>
      <c r="Y327" s="173"/>
      <c r="Z327" s="174"/>
      <c r="AA327" s="173"/>
      <c r="AB327" s="91"/>
      <c r="AC327" s="92"/>
      <c r="AD327" s="92"/>
      <c r="AE327" s="92"/>
      <c r="AF327" s="92" t="str">
        <f aca="false">IF(ISBLANK($C327),"",IF(E327=Constants!$B$3,TRUE(),IF(E327=Constants!$B$4,FALSE(),TRUE())))</f>
        <v/>
      </c>
      <c r="AG327" s="92" t="str">
        <f aca="false">IF(ISBLANK($C327),"",IF(F327=Constants!$B$3,TRUE(),IF(F327=Constants!$B$4,FALSE(),TRUE())))</f>
        <v/>
      </c>
      <c r="AH327" s="92" t="str">
        <f aca="false">IF(ISBLANK($C327),"",IF(G327=Constants!$B$3,TRUE(),IF(G327=Constants!$B$4,FALSE(),TRUE())))</f>
        <v/>
      </c>
      <c r="AI327" s="92" t="str">
        <f aca="false">IF(ISBLANK($C327),"",IF(AND(ISNUMBER(H327),H327&gt;=0),H327,Constants!$B$29))</f>
        <v/>
      </c>
      <c r="AJ327" s="92" t="str">
        <f aca="false">IF(ISBLANK($C327),"",IF(I327=Constants!$B$3,TRUE(),IF(I327=Constants!$B$4,FALSE(),TRUE())))</f>
        <v/>
      </c>
      <c r="AK327" s="92" t="str">
        <f aca="false">IF(ISBLANK($C327),"",IF(J327=Constants!$B$3,TRUE(),IF(J327=Constants!$B$4,FALSE(),TRUE())))</f>
        <v/>
      </c>
      <c r="AL327" s="92" t="str">
        <f aca="false">IF(ISBLANK($C327),"",IF(K327=Constants!$B$5,TRUE(),IF(K327=Constants!$B$6,FALSE(),COUNTA(L327:P327)&gt;0)))</f>
        <v/>
      </c>
      <c r="AM327" s="94" t="str">
        <f aca="false">IF(ISBLANK($C327),"",IF(ISNUMBER(L327),IF(L327&gt;=0,L327,""),""))</f>
        <v/>
      </c>
      <c r="AN327" s="93" t="str">
        <f aca="false">IF(ISBLANK($C327),"",IF(ISNUMBER(M327),IF(M327&gt;=0,M327,""),""))</f>
        <v/>
      </c>
      <c r="AO327" s="93" t="str">
        <f aca="false">IF(ISBLANK($C327),"",IF(N327=Constants!$B$3,TRUE(),IF(N327=Constants!$B$4,FALSE(),TRUE())))</f>
        <v/>
      </c>
      <c r="AP327" s="92" t="str">
        <f aca="false">IF(ISBLANK($C327),"",IF(ISNUMBER(O327),IF(O327&gt;=0,O327,""),""))</f>
        <v/>
      </c>
      <c r="AQ327" s="92" t="str">
        <f aca="false">IF(ISBLANK($C327),"",IF(P327=Constants!$B$3,TRUE(),IF(P327=Constants!$B$4,FALSE(),FALSE())))</f>
        <v/>
      </c>
      <c r="AR327" s="92" t="str">
        <f aca="false">IF(ISBLANK($C327),"",IF(Q327=Constants!$B$3,TRUE(),IF(Q327=Constants!$B$4,FALSE(),TRUE())))</f>
        <v/>
      </c>
      <c r="AS327" s="92" t="str">
        <f aca="false">IF(ISBLANK($C327),"",IF(R327=Constants!$B$3,TRUE(),IF(R327=Constants!$B$4,FALSE(),TRUE())))</f>
        <v/>
      </c>
      <c r="AT327" s="92" t="str">
        <f aca="false">IF(ISBLANK($C327),"",IF(S327=Constants!$B$5,TRUE(),IF(S327=Constants!$B$6,FALSE(),COUNTA(T327:X327)&gt;0)))</f>
        <v/>
      </c>
      <c r="AU327" s="94" t="str">
        <f aca="false">IF(ISBLANK($C327),"",IF(ISNUMBER(T327),IF(T327&gt;=0,T327,""),""))</f>
        <v/>
      </c>
      <c r="AV327" s="93" t="str">
        <f aca="false">IF(ISBLANK($C327),"",IF(ISNUMBER(U327),IF(U327&gt;=0,U327,""),""))</f>
        <v/>
      </c>
      <c r="AW327" s="93" t="str">
        <f aca="false">IF(ISBLANK($C327),"",IF(V327=Constants!$B$3,TRUE(),IF(V327=Constants!$B$4,FALSE(),TRUE())))</f>
        <v/>
      </c>
      <c r="AX327" s="92" t="str">
        <f aca="false">IF(ISBLANK($C327),"",IF(ISNUMBER(W327),IF(W327&gt;=0,W327,""),""))</f>
        <v/>
      </c>
      <c r="AY327" s="92" t="str">
        <f aca="false">IF(ISBLANK($C327),"",IF(X327=Constants!$B$3,TRUE(),IF(X327=Constants!$B$4,FALSE(),FALSE())))</f>
        <v/>
      </c>
      <c r="AZ327" s="92" t="str">
        <f aca="false">IF(ISBLANK($C327),"",MIN(Constants!$B$31,MAX(0,IF(ISNUMBER(Y327),Y327*60,0)+IF(ISNUMBER(Z327),Z327,0))))</f>
        <v/>
      </c>
      <c r="BA327" s="92" t="str">
        <f aca="false">IF(ISBLANK($C327),"",IF(AA327=Constants!$B$3,TRUE(),IF(AA327=Constants!$B$4,FALSE(),FALSE())))</f>
        <v/>
      </c>
      <c r="BB327" s="91" t="str">
        <f aca="false">IF(ISBLANK($C327),"",AND($AL327,OR($AM327="",$AN327="",AND($AO327,$AP327=""))))</f>
        <v/>
      </c>
      <c r="BC327" s="93" t="str">
        <f aca="false">IF($BR327&lt;&gt;Constants!$B$8,"",IF($AL327,Constants!$B$21*$AN327+Constants!$B$22*IF($AO327,$AP327,Constants!$B$23),Constants!$B$24))</f>
        <v/>
      </c>
      <c r="BD327" s="96" t="str">
        <f aca="false">IF($BR327&lt;&gt;Constants!$B$8,"",Constants!$B$25*ABS($AD$9-IF($AL327,$AM327,0)))</f>
        <v/>
      </c>
      <c r="BE327" s="96" t="str">
        <f aca="false">IF($BR327&lt;&gt;Constants!$B$8,"",IF(AND($AL327,$AQ327,$AO327),Constants!$B$27,0))</f>
        <v/>
      </c>
      <c r="BF327" s="96" t="str">
        <f aca="false">IF($BR327&lt;&gt;Constants!$B$8,"",IF($AL327,($AI327-Constants!$B$29)*Constants!$B$28,0))</f>
        <v/>
      </c>
      <c r="BG327" s="96" t="str">
        <f aca="false">IF($BR327&lt;&gt;Constants!$B$8,"",IF($AK327,0,Constants!$B$15)+IF($AJ327,0,Constants!$B$16)+IF($AH327,0,Constants!$B$17))</f>
        <v/>
      </c>
      <c r="BH327" s="97" t="str">
        <f aca="false">IF($BR327&lt;&gt;Constants!$B$8,"",Constants!$B$20+SUM($BC327:$BG327))</f>
        <v/>
      </c>
      <c r="BI327" s="92" t="str">
        <f aca="false">IF($BR327&lt;&gt;Constants!$B$8,"",IF(OR($BP327&lt;$BH327,AND($BP327=$BH327,OR($BK327&lt;$BC327,AND($BK327=$BC327,OR($BL327&lt;$BD327,AND($BL327=$BD327,$AT327,$AL327,$AV327&lt;$AN327)))))),"-&gt;","&lt;-"))</f>
        <v/>
      </c>
      <c r="BJ327" s="91" t="str">
        <f aca="false">IF(ISBLANK($C327),"",AND($AT327,OR($AU327="",$AV327="",AND($AW327,$AX327=""))))</f>
        <v/>
      </c>
      <c r="BK327" s="93" t="str">
        <f aca="false">IF($BR327&lt;&gt;Constants!$B$8,"",IF($AT327,Constants!$B$21*$AV327+Constants!$B$22*IF($AW327,$AX327,Constants!$B$23),Constants!$B$24))</f>
        <v/>
      </c>
      <c r="BL327" s="96" t="str">
        <f aca="false">IF($BR327&lt;&gt;Constants!$B$8,"",Constants!$B$25*ABS($AD$9-IF($AT327,$AU327,0)))</f>
        <v/>
      </c>
      <c r="BM327" s="96" t="str">
        <f aca="false">IF($BR327&lt;&gt;Constants!$B$8,"",IF(AND($AT327,$AY327,$AW327),Constants!$B$27,0))</f>
        <v/>
      </c>
      <c r="BN327" s="96" t="str">
        <f aca="false">IF($BR327&lt;&gt;Constants!$B$8,"",IF($AT327,($AI327-Constants!$B$29)*Constants!$B$28,0))</f>
        <v/>
      </c>
      <c r="BO327" s="96" t="str">
        <f aca="false">IF($BR327&lt;&gt;Constants!$B$8,"",IF($AS327,0,Constants!$B$15)+IF($AR327,0,Constants!$B$16)+IF($AH327,0,Constants!$B$17))</f>
        <v/>
      </c>
      <c r="BP327" s="97" t="str">
        <f aca="false">IF($BR327&lt;&gt;Constants!$B$8,"",Constants!$B$20+SUM($BK327:$BO327))</f>
        <v/>
      </c>
      <c r="BQ327" s="92" t="str">
        <f aca="false">IF(ISBLANK($C327),"",IF(ISBLANK($D$7),$BQ$5,IF(NOT(ISNUMBER($D$7)),$BQ$6,"")))</f>
        <v/>
      </c>
      <c r="BR327" s="92" t="str">
        <f aca="false">IF(ISBLANK($C327),"",IF($BA327,Constants!$B$11,IF(COUNTA($E327:$AA327)=0,Constants!$B$10,IF(NOT($AG327),Constants!$B$9,IF(OR($BQ327&lt;&gt;"",$BB327,$BJ327),Constants!$B$12,Constants!$B$8)))))</f>
        <v/>
      </c>
      <c r="BS327" s="92" t="str">
        <f aca="false">IF(ISBLANK($C327),"",IF($BR327&lt;&gt;Constants!$B$8,$BR327,Constants!$B$13))</f>
        <v/>
      </c>
      <c r="BT327" s="96" t="str">
        <f aca="false">IF($BR327&lt;&gt;Constants!$B$8,"",IF($BI327="-&gt;",$BP327,$BH327))</f>
        <v/>
      </c>
      <c r="BU327" s="96" t="str">
        <f aca="false">IF($BR327&lt;&gt;Constants!$B$8,"",IF($AF327,0,Constants!$B$18))</f>
        <v/>
      </c>
      <c r="BV327" s="96" t="str">
        <f aca="false">IF($BR327&lt;&gt;Constants!$B$8,"",((Constants!$B$31-$AZ327)-Constants!$B$31)/Constants!$B$32)</f>
        <v/>
      </c>
      <c r="BW327" s="96" t="str">
        <f aca="false">IF(ISBLANK($C327),"",IF($BR327&lt;&gt;Constants!$B$8,$BR327,SUM($BT327:$BV327)))</f>
        <v/>
      </c>
      <c r="BX327" s="92" t="str">
        <f aca="false">IF(ISBLANK($C327),"",IF($BR327&lt;&gt;Constants!$B$8,$BR327,RANK($BW327,$BW$9:$BW$508,1)))</f>
        <v/>
      </c>
      <c r="BY327" s="96" t="str">
        <f aca="false">IF($BR327&lt;&gt;Constants!$B$8,"",IF($BI327="-&gt;",$BK327,$BC327))</f>
        <v/>
      </c>
      <c r="BZ327" s="92" t="str">
        <f aca="false">IF(ISBLANK($C327),"",IF($BR327&lt;&gt;Constants!$B$8,$BR327,IF(ISNUMBER($BY327),RANK($BY327,$BY$9:$BY$508,1),COUNT($BY$9:$BY$508)+1)))</f>
        <v/>
      </c>
      <c r="CA327" s="96" t="str">
        <f aca="false">IF($BR327&lt;&gt;Constants!$B$8,"",IF($BI327="-&gt;",$BL327,$BD327))</f>
        <v/>
      </c>
      <c r="CB327" s="92" t="str">
        <f aca="false">IF(ISBLANK($C327),"",IF($BR327&lt;&gt;Constants!$B$8,$BR327,IF(ISNUMBER($CA327),RANK($CA327,$CA$9:$CA$508,1),COUNT($CA$9:$CA$508)+1)))</f>
        <v/>
      </c>
      <c r="CC327" s="96" t="str">
        <f aca="false">IF($BR327&lt;&gt;Constants!$B$8,"",IF($BI327="-&gt;",IF($AT327,$AV327,""),IF($AL327,$AN327,"")))</f>
        <v/>
      </c>
      <c r="CD327" s="92" t="str">
        <f aca="false">IF(ISBLANK($C327),"",IF($BR327&lt;&gt;Constants!$B$8,$BR327,IF(ISNUMBER($CC327),RANK($CC327,$CC$9:$CC$508,1),COUNT($CC$9:$CC$508)+1)))</f>
        <v/>
      </c>
      <c r="CE327" s="96" t="str">
        <f aca="false">IF($BR327&lt;&gt;Constants!$B$8,"",IF(AND(NOT($AL327),NOT($AT327),$AJ327,$AK327,$AR327,$AS327),"",$AI327))</f>
        <v/>
      </c>
      <c r="CF327" s="92" t="str">
        <f aca="false">IF(ISBLANK($C327),"",IF($BR327&lt;&gt;Constants!$B$8,$BR327,IF(ISNUMBER($CE327),RANK($CE327,$CE$9:$CE$508,1),COUNT($CE$9:$CE$508)+1)))</f>
        <v/>
      </c>
      <c r="CG327" s="92" t="str">
        <f aca="false">IF(ISBLANK($C327),"",IF($BR327&lt;&gt;Constants!$B$8,$BR327,COUNTIFS($BX$9:$BX$508,"&lt;"&amp;$BX327)+COUNTIFS($BX$9:$BX$508,$BX327,$BZ$9:$BZ$508,"&lt;"&amp;$BZ327)+COUNTIFS($BX$9:$BX$508,$BX327,$BZ$9:$BZ$508,$BZ327,$CB$9:$CB$508,"&lt;"&amp;$CB327)+COUNTIFS($BX$9:$BX$508,$BX327,$BZ$9:$BZ$508,$BZ327,$CB$9:$CB$508,$CB327,$CD$9:$CD$508,"&lt;"&amp;$CD327)+COUNTIFS($BX$9:$BX$508,$BX327,$BZ$9:$BZ$508,$BZ327,$CB$9:$CB$508,$CB327,$CD$9:$CD$508,$CD327,$CF$9:$CF$508,"&lt;"&amp;$CF327)+1))</f>
        <v/>
      </c>
      <c r="CH327" s="92" t="str">
        <f aca="false">IF(ISBLANK($C327),"",IF($BR327&lt;&gt;Constants!$B$8,$BR327,$BX327-$CG327))</f>
        <v/>
      </c>
      <c r="CI327" s="98"/>
      <c r="CJ327" s="99"/>
      <c r="CK327" s="100" t="str">
        <f aca="false">IF(ISBLANK($C327),"",IF($BR327=Constants!$B$12,$BQ327,""))</f>
        <v/>
      </c>
      <c r="CL327" s="99" t="str">
        <f aca="false">IF(ISBLANK($C327),"",IF($BR327&lt;&gt;Constants!$B$8,"",IF($BI327="-&gt;",2,1)))</f>
        <v/>
      </c>
      <c r="CM327" s="101" t="str">
        <f aca="false">IF(ISBLANK($C327),"",IF($BR327&lt;&gt;Constants!$B$8,"",IF($BI327="-&gt;",$BK327,$BC327)))</f>
        <v/>
      </c>
      <c r="CN327" s="101" t="str">
        <f aca="false">IF(ISBLANK($C327),"",IF($BR327&lt;&gt;Constants!$B$8,"",IF($BI327="-&gt;",$BL327,$BD327)))</f>
        <v/>
      </c>
      <c r="CO327" s="101" t="str">
        <f aca="false">IF(ISBLANK($C327),"",IF($BR327&lt;&gt;Constants!$B$8,"",IF($BI327="-&gt;",$BM327+$BN327,$BE327+$BF327)+$BV327))</f>
        <v/>
      </c>
      <c r="CP327" s="101" t="str">
        <f aca="false">IF(ISBLANK($C327),"",IF($BR327&lt;&gt;Constants!$B$8,"",IF($BI327="-&gt;",$BO327,$BG327)+$BU327))</f>
        <v/>
      </c>
      <c r="CQ327" s="102" t="str">
        <f aca="false">IF(ISBLANK($C327),"",IF($BR327&lt;&gt;Constants!$B$8,$BR327,$BW327))</f>
        <v/>
      </c>
      <c r="CR327" s="103" t="str">
        <f aca="false">IF(ISBLANK($C327),"",$BS327)</f>
        <v/>
      </c>
      <c r="CS327" s="104" t="str">
        <f aca="false">IF(ISBLANK($C327),"",$CH327)</f>
        <v/>
      </c>
      <c r="CT327" s="104" t="str">
        <f aca="false">IF(ISBLANK($C327),"",$CG327)</f>
        <v/>
      </c>
      <c r="CU327" s="105" t="str">
        <f aca="false">IF(ISBLANK($C327),"",IFERROR(_xlfn.SWITCH($CT327,Constants!$B$11,COUNTA($C$9:$C$508)+2,Constants!$B$10,COUNTA($C$9:$C$508)+1,Constants!$B$9,COUNTA($C$9:$C$508)),$CT327))</f>
        <v/>
      </c>
      <c r="CV327" s="9"/>
      <c r="CW327" s="106" t="n">
        <f aca="false">IF(OR(ISNUMBER($CT327),$CT327=Constants!$B$11,$CT327=Constants!$B$9,$CT327=Constants!$B$10),1,0)</f>
        <v>0</v>
      </c>
      <c r="CX327" s="106" t="n">
        <v>319</v>
      </c>
      <c r="CY327" s="106" t="str">
        <f aca="false">IF(ISBLANK($C327),"",IF(ISNUMBER($CU327),$CU327+ROW($B327)/1000,""))</f>
        <v/>
      </c>
      <c r="CZ327" s="106" t="str">
        <f aca="false">IF(ISNUMBER($CY327),RANK($CY327,$CY$9:$CY$508,1),"")</f>
        <v/>
      </c>
      <c r="DA327" s="106" t="str">
        <f aca="false">IF(ISBLANK($C327),"",$B327)</f>
        <v/>
      </c>
      <c r="DB327" s="106" t="str">
        <f aca="false">IF(ISBLANK($C327),"",$C327)</f>
        <v/>
      </c>
      <c r="DC327" s="106" t="str">
        <f aca="false">IF(ISBLANK($C327),"",$D327)</f>
        <v/>
      </c>
      <c r="DD327" s="107" t="str">
        <f aca="false">$CR327</f>
        <v/>
      </c>
      <c r="DE327" s="108" t="str">
        <f aca="false">$CQ327</f>
        <v/>
      </c>
      <c r="DF327" s="106" t="str">
        <f aca="false">IF(ISBLANK($C327),"",$CT327)</f>
        <v/>
      </c>
      <c r="DG327" s="109" t="str">
        <f aca="false">IF($CX327&gt;$CW$8,"",VLOOKUP($CX327,$CZ$9:$DF$508,7,FALSE()))</f>
        <v/>
      </c>
      <c r="DH327" s="110" t="str">
        <f aca="false">IF($CX327&gt;$CW$8,"",VLOOKUP($CX327,$CZ$9:$DF$508,2,FALSE()))</f>
        <v/>
      </c>
      <c r="DI327" s="110" t="str">
        <f aca="false">IF($CX327&gt;$CW$8,"",VLOOKUP($CX327,$CZ$9:$DF$508,3,FALSE()))</f>
        <v/>
      </c>
      <c r="DJ327" s="110" t="str">
        <f aca="false">IF($CX327&gt;$CW$8,"",VLOOKUP($CX327,$CZ$9:$DF$508,4,FALSE()))</f>
        <v/>
      </c>
      <c r="DK327" s="110" t="str">
        <f aca="false">IF($CX327&gt;$CW$8,"",VLOOKUP($CX327,$CZ$9:$DF$508,5,FALSE()))</f>
        <v/>
      </c>
      <c r="DL327" s="111" t="str">
        <f aca="false">IF($CX327&gt;$CW$8,"",VLOOKUP($CX327,$CZ$9:$DF$508,6,FALSE()))</f>
        <v/>
      </c>
      <c r="DM327" s="75"/>
    </row>
    <row r="328" customFormat="false" ht="15.75" hidden="false" customHeight="false" outlineLevel="0" collapsed="false">
      <c r="A328" s="9"/>
      <c r="B328" s="77"/>
      <c r="C328" s="78"/>
      <c r="D328" s="167"/>
      <c r="E328" s="175"/>
      <c r="F328" s="169"/>
      <c r="G328" s="170"/>
      <c r="H328" s="170"/>
      <c r="I328" s="176"/>
      <c r="J328" s="173"/>
      <c r="K328" s="85"/>
      <c r="L328" s="86"/>
      <c r="M328" s="87"/>
      <c r="N328" s="173"/>
      <c r="O328" s="173"/>
      <c r="P328" s="175"/>
      <c r="Q328" s="173"/>
      <c r="R328" s="173"/>
      <c r="S328" s="85"/>
      <c r="T328" s="87"/>
      <c r="U328" s="87"/>
      <c r="V328" s="173"/>
      <c r="W328" s="173"/>
      <c r="X328" s="175"/>
      <c r="Y328" s="173"/>
      <c r="Z328" s="174"/>
      <c r="AA328" s="173"/>
      <c r="AB328" s="91"/>
      <c r="AC328" s="92"/>
      <c r="AD328" s="92"/>
      <c r="AE328" s="92"/>
      <c r="AF328" s="92" t="str">
        <f aca="false">IF(ISBLANK($C328),"",IF(E328=Constants!$B$3,TRUE(),IF(E328=Constants!$B$4,FALSE(),TRUE())))</f>
        <v/>
      </c>
      <c r="AG328" s="92" t="str">
        <f aca="false">IF(ISBLANK($C328),"",IF(F328=Constants!$B$3,TRUE(),IF(F328=Constants!$B$4,FALSE(),TRUE())))</f>
        <v/>
      </c>
      <c r="AH328" s="92" t="str">
        <f aca="false">IF(ISBLANK($C328),"",IF(G328=Constants!$B$3,TRUE(),IF(G328=Constants!$B$4,FALSE(),TRUE())))</f>
        <v/>
      </c>
      <c r="AI328" s="92" t="str">
        <f aca="false">IF(ISBLANK($C328),"",IF(AND(ISNUMBER(H328),H328&gt;=0),H328,Constants!$B$29))</f>
        <v/>
      </c>
      <c r="AJ328" s="92" t="str">
        <f aca="false">IF(ISBLANK($C328),"",IF(I328=Constants!$B$3,TRUE(),IF(I328=Constants!$B$4,FALSE(),TRUE())))</f>
        <v/>
      </c>
      <c r="AK328" s="92" t="str">
        <f aca="false">IF(ISBLANK($C328),"",IF(J328=Constants!$B$3,TRUE(),IF(J328=Constants!$B$4,FALSE(),TRUE())))</f>
        <v/>
      </c>
      <c r="AL328" s="92" t="str">
        <f aca="false">IF(ISBLANK($C328),"",IF(K328=Constants!$B$5,TRUE(),IF(K328=Constants!$B$6,FALSE(),COUNTA(L328:P328)&gt;0)))</f>
        <v/>
      </c>
      <c r="AM328" s="94" t="str">
        <f aca="false">IF(ISBLANK($C328),"",IF(ISNUMBER(L328),IF(L328&gt;=0,L328,""),""))</f>
        <v/>
      </c>
      <c r="AN328" s="93" t="str">
        <f aca="false">IF(ISBLANK($C328),"",IF(ISNUMBER(M328),IF(M328&gt;=0,M328,""),""))</f>
        <v/>
      </c>
      <c r="AO328" s="93" t="str">
        <f aca="false">IF(ISBLANK($C328),"",IF(N328=Constants!$B$3,TRUE(),IF(N328=Constants!$B$4,FALSE(),TRUE())))</f>
        <v/>
      </c>
      <c r="AP328" s="92" t="str">
        <f aca="false">IF(ISBLANK($C328),"",IF(ISNUMBER(O328),IF(O328&gt;=0,O328,""),""))</f>
        <v/>
      </c>
      <c r="AQ328" s="92" t="str">
        <f aca="false">IF(ISBLANK($C328),"",IF(P328=Constants!$B$3,TRUE(),IF(P328=Constants!$B$4,FALSE(),FALSE())))</f>
        <v/>
      </c>
      <c r="AR328" s="92" t="str">
        <f aca="false">IF(ISBLANK($C328),"",IF(Q328=Constants!$B$3,TRUE(),IF(Q328=Constants!$B$4,FALSE(),TRUE())))</f>
        <v/>
      </c>
      <c r="AS328" s="92" t="str">
        <f aca="false">IF(ISBLANK($C328),"",IF(R328=Constants!$B$3,TRUE(),IF(R328=Constants!$B$4,FALSE(),TRUE())))</f>
        <v/>
      </c>
      <c r="AT328" s="92" t="str">
        <f aca="false">IF(ISBLANK($C328),"",IF(S328=Constants!$B$5,TRUE(),IF(S328=Constants!$B$6,FALSE(),COUNTA(T328:X328)&gt;0)))</f>
        <v/>
      </c>
      <c r="AU328" s="94" t="str">
        <f aca="false">IF(ISBLANK($C328),"",IF(ISNUMBER(T328),IF(T328&gt;=0,T328,""),""))</f>
        <v/>
      </c>
      <c r="AV328" s="93" t="str">
        <f aca="false">IF(ISBLANK($C328),"",IF(ISNUMBER(U328),IF(U328&gt;=0,U328,""),""))</f>
        <v/>
      </c>
      <c r="AW328" s="93" t="str">
        <f aca="false">IF(ISBLANK($C328),"",IF(V328=Constants!$B$3,TRUE(),IF(V328=Constants!$B$4,FALSE(),TRUE())))</f>
        <v/>
      </c>
      <c r="AX328" s="92" t="str">
        <f aca="false">IF(ISBLANK($C328),"",IF(ISNUMBER(W328),IF(W328&gt;=0,W328,""),""))</f>
        <v/>
      </c>
      <c r="AY328" s="92" t="str">
        <f aca="false">IF(ISBLANK($C328),"",IF(X328=Constants!$B$3,TRUE(),IF(X328=Constants!$B$4,FALSE(),FALSE())))</f>
        <v/>
      </c>
      <c r="AZ328" s="92" t="str">
        <f aca="false">IF(ISBLANK($C328),"",MIN(Constants!$B$31,MAX(0,IF(ISNUMBER(Y328),Y328*60,0)+IF(ISNUMBER(Z328),Z328,0))))</f>
        <v/>
      </c>
      <c r="BA328" s="92" t="str">
        <f aca="false">IF(ISBLANK($C328),"",IF(AA328=Constants!$B$3,TRUE(),IF(AA328=Constants!$B$4,FALSE(),FALSE())))</f>
        <v/>
      </c>
      <c r="BB328" s="91" t="str">
        <f aca="false">IF(ISBLANK($C328),"",AND($AL328,OR($AM328="",$AN328="",AND($AO328,$AP328=""))))</f>
        <v/>
      </c>
      <c r="BC328" s="93" t="str">
        <f aca="false">IF($BR328&lt;&gt;Constants!$B$8,"",IF($AL328,Constants!$B$21*$AN328+Constants!$B$22*IF($AO328,$AP328,Constants!$B$23),Constants!$B$24))</f>
        <v/>
      </c>
      <c r="BD328" s="96" t="str">
        <f aca="false">IF($BR328&lt;&gt;Constants!$B$8,"",Constants!$B$25*ABS($AD$9-IF($AL328,$AM328,0)))</f>
        <v/>
      </c>
      <c r="BE328" s="96" t="str">
        <f aca="false">IF($BR328&lt;&gt;Constants!$B$8,"",IF(AND($AL328,$AQ328,$AO328),Constants!$B$27,0))</f>
        <v/>
      </c>
      <c r="BF328" s="96" t="str">
        <f aca="false">IF($BR328&lt;&gt;Constants!$B$8,"",IF($AL328,($AI328-Constants!$B$29)*Constants!$B$28,0))</f>
        <v/>
      </c>
      <c r="BG328" s="96" t="str">
        <f aca="false">IF($BR328&lt;&gt;Constants!$B$8,"",IF($AK328,0,Constants!$B$15)+IF($AJ328,0,Constants!$B$16)+IF($AH328,0,Constants!$B$17))</f>
        <v/>
      </c>
      <c r="BH328" s="97" t="str">
        <f aca="false">IF($BR328&lt;&gt;Constants!$B$8,"",Constants!$B$20+SUM($BC328:$BG328))</f>
        <v/>
      </c>
      <c r="BI328" s="92" t="str">
        <f aca="false">IF($BR328&lt;&gt;Constants!$B$8,"",IF(OR($BP328&lt;$BH328,AND($BP328=$BH328,OR($BK328&lt;$BC328,AND($BK328=$BC328,OR($BL328&lt;$BD328,AND($BL328=$BD328,$AT328,$AL328,$AV328&lt;$AN328)))))),"-&gt;","&lt;-"))</f>
        <v/>
      </c>
      <c r="BJ328" s="91" t="str">
        <f aca="false">IF(ISBLANK($C328),"",AND($AT328,OR($AU328="",$AV328="",AND($AW328,$AX328=""))))</f>
        <v/>
      </c>
      <c r="BK328" s="93" t="str">
        <f aca="false">IF($BR328&lt;&gt;Constants!$B$8,"",IF($AT328,Constants!$B$21*$AV328+Constants!$B$22*IF($AW328,$AX328,Constants!$B$23),Constants!$B$24))</f>
        <v/>
      </c>
      <c r="BL328" s="96" t="str">
        <f aca="false">IF($BR328&lt;&gt;Constants!$B$8,"",Constants!$B$25*ABS($AD$9-IF($AT328,$AU328,0)))</f>
        <v/>
      </c>
      <c r="BM328" s="96" t="str">
        <f aca="false">IF($BR328&lt;&gt;Constants!$B$8,"",IF(AND($AT328,$AY328,$AW328),Constants!$B$27,0))</f>
        <v/>
      </c>
      <c r="BN328" s="96" t="str">
        <f aca="false">IF($BR328&lt;&gt;Constants!$B$8,"",IF($AT328,($AI328-Constants!$B$29)*Constants!$B$28,0))</f>
        <v/>
      </c>
      <c r="BO328" s="96" t="str">
        <f aca="false">IF($BR328&lt;&gt;Constants!$B$8,"",IF($AS328,0,Constants!$B$15)+IF($AR328,0,Constants!$B$16)+IF($AH328,0,Constants!$B$17))</f>
        <v/>
      </c>
      <c r="BP328" s="97" t="str">
        <f aca="false">IF($BR328&lt;&gt;Constants!$B$8,"",Constants!$B$20+SUM($BK328:$BO328))</f>
        <v/>
      </c>
      <c r="BQ328" s="92" t="str">
        <f aca="false">IF(ISBLANK($C328),"",IF(ISBLANK($D$7),$BQ$5,IF(NOT(ISNUMBER($D$7)),$BQ$6,"")))</f>
        <v/>
      </c>
      <c r="BR328" s="92" t="str">
        <f aca="false">IF(ISBLANK($C328),"",IF($BA328,Constants!$B$11,IF(COUNTA($E328:$AA328)=0,Constants!$B$10,IF(NOT($AG328),Constants!$B$9,IF(OR($BQ328&lt;&gt;"",$BB328,$BJ328),Constants!$B$12,Constants!$B$8)))))</f>
        <v/>
      </c>
      <c r="BS328" s="92" t="str">
        <f aca="false">IF(ISBLANK($C328),"",IF($BR328&lt;&gt;Constants!$B$8,$BR328,Constants!$B$13))</f>
        <v/>
      </c>
      <c r="BT328" s="96" t="str">
        <f aca="false">IF($BR328&lt;&gt;Constants!$B$8,"",IF($BI328="-&gt;",$BP328,$BH328))</f>
        <v/>
      </c>
      <c r="BU328" s="96" t="str">
        <f aca="false">IF($BR328&lt;&gt;Constants!$B$8,"",IF($AF328,0,Constants!$B$18))</f>
        <v/>
      </c>
      <c r="BV328" s="96" t="str">
        <f aca="false">IF($BR328&lt;&gt;Constants!$B$8,"",((Constants!$B$31-$AZ328)-Constants!$B$31)/Constants!$B$32)</f>
        <v/>
      </c>
      <c r="BW328" s="96" t="str">
        <f aca="false">IF(ISBLANK($C328),"",IF($BR328&lt;&gt;Constants!$B$8,$BR328,SUM($BT328:$BV328)))</f>
        <v/>
      </c>
      <c r="BX328" s="92" t="str">
        <f aca="false">IF(ISBLANK($C328),"",IF($BR328&lt;&gt;Constants!$B$8,$BR328,RANK($BW328,$BW$9:$BW$508,1)))</f>
        <v/>
      </c>
      <c r="BY328" s="96" t="str">
        <f aca="false">IF($BR328&lt;&gt;Constants!$B$8,"",IF($BI328="-&gt;",$BK328,$BC328))</f>
        <v/>
      </c>
      <c r="BZ328" s="92" t="str">
        <f aca="false">IF(ISBLANK($C328),"",IF($BR328&lt;&gt;Constants!$B$8,$BR328,IF(ISNUMBER($BY328),RANK($BY328,$BY$9:$BY$508,1),COUNT($BY$9:$BY$508)+1)))</f>
        <v/>
      </c>
      <c r="CA328" s="96" t="str">
        <f aca="false">IF($BR328&lt;&gt;Constants!$B$8,"",IF($BI328="-&gt;",$BL328,$BD328))</f>
        <v/>
      </c>
      <c r="CB328" s="92" t="str">
        <f aca="false">IF(ISBLANK($C328),"",IF($BR328&lt;&gt;Constants!$B$8,$BR328,IF(ISNUMBER($CA328),RANK($CA328,$CA$9:$CA$508,1),COUNT($CA$9:$CA$508)+1)))</f>
        <v/>
      </c>
      <c r="CC328" s="96" t="str">
        <f aca="false">IF($BR328&lt;&gt;Constants!$B$8,"",IF($BI328="-&gt;",IF($AT328,$AV328,""),IF($AL328,$AN328,"")))</f>
        <v/>
      </c>
      <c r="CD328" s="92" t="str">
        <f aca="false">IF(ISBLANK($C328),"",IF($BR328&lt;&gt;Constants!$B$8,$BR328,IF(ISNUMBER($CC328),RANK($CC328,$CC$9:$CC$508,1),COUNT($CC$9:$CC$508)+1)))</f>
        <v/>
      </c>
      <c r="CE328" s="96" t="str">
        <f aca="false">IF($BR328&lt;&gt;Constants!$B$8,"",IF(AND(NOT($AL328),NOT($AT328),$AJ328,$AK328,$AR328,$AS328),"",$AI328))</f>
        <v/>
      </c>
      <c r="CF328" s="92" t="str">
        <f aca="false">IF(ISBLANK($C328),"",IF($BR328&lt;&gt;Constants!$B$8,$BR328,IF(ISNUMBER($CE328),RANK($CE328,$CE$9:$CE$508,1),COUNT($CE$9:$CE$508)+1)))</f>
        <v/>
      </c>
      <c r="CG328" s="92" t="str">
        <f aca="false">IF(ISBLANK($C328),"",IF($BR328&lt;&gt;Constants!$B$8,$BR328,COUNTIFS($BX$9:$BX$508,"&lt;"&amp;$BX328)+COUNTIFS($BX$9:$BX$508,$BX328,$BZ$9:$BZ$508,"&lt;"&amp;$BZ328)+COUNTIFS($BX$9:$BX$508,$BX328,$BZ$9:$BZ$508,$BZ328,$CB$9:$CB$508,"&lt;"&amp;$CB328)+COUNTIFS($BX$9:$BX$508,$BX328,$BZ$9:$BZ$508,$BZ328,$CB$9:$CB$508,$CB328,$CD$9:$CD$508,"&lt;"&amp;$CD328)+COUNTIFS($BX$9:$BX$508,$BX328,$BZ$9:$BZ$508,$BZ328,$CB$9:$CB$508,$CB328,$CD$9:$CD$508,$CD328,$CF$9:$CF$508,"&lt;"&amp;$CF328)+1))</f>
        <v/>
      </c>
      <c r="CH328" s="92" t="str">
        <f aca="false">IF(ISBLANK($C328),"",IF($BR328&lt;&gt;Constants!$B$8,$BR328,$BX328-$CG328))</f>
        <v/>
      </c>
      <c r="CI328" s="98"/>
      <c r="CJ328" s="99"/>
      <c r="CK328" s="100" t="str">
        <f aca="false">IF(ISBLANK($C328),"",IF($BR328=Constants!$B$12,$BQ328,""))</f>
        <v/>
      </c>
      <c r="CL328" s="99" t="str">
        <f aca="false">IF(ISBLANK($C328),"",IF($BR328&lt;&gt;Constants!$B$8,"",IF($BI328="-&gt;",2,1)))</f>
        <v/>
      </c>
      <c r="CM328" s="101" t="str">
        <f aca="false">IF(ISBLANK($C328),"",IF($BR328&lt;&gt;Constants!$B$8,"",IF($BI328="-&gt;",$BK328,$BC328)))</f>
        <v/>
      </c>
      <c r="CN328" s="101" t="str">
        <f aca="false">IF(ISBLANK($C328),"",IF($BR328&lt;&gt;Constants!$B$8,"",IF($BI328="-&gt;",$BL328,$BD328)))</f>
        <v/>
      </c>
      <c r="CO328" s="101" t="str">
        <f aca="false">IF(ISBLANK($C328),"",IF($BR328&lt;&gt;Constants!$B$8,"",IF($BI328="-&gt;",$BM328+$BN328,$BE328+$BF328)+$BV328))</f>
        <v/>
      </c>
      <c r="CP328" s="101" t="str">
        <f aca="false">IF(ISBLANK($C328),"",IF($BR328&lt;&gt;Constants!$B$8,"",IF($BI328="-&gt;",$BO328,$BG328)+$BU328))</f>
        <v/>
      </c>
      <c r="CQ328" s="102" t="str">
        <f aca="false">IF(ISBLANK($C328),"",IF($BR328&lt;&gt;Constants!$B$8,$BR328,$BW328))</f>
        <v/>
      </c>
      <c r="CR328" s="103" t="str">
        <f aca="false">IF(ISBLANK($C328),"",$BS328)</f>
        <v/>
      </c>
      <c r="CS328" s="104" t="str">
        <f aca="false">IF(ISBLANK($C328),"",$CH328)</f>
        <v/>
      </c>
      <c r="CT328" s="104" t="str">
        <f aca="false">IF(ISBLANK($C328),"",$CG328)</f>
        <v/>
      </c>
      <c r="CU328" s="105" t="str">
        <f aca="false">IF(ISBLANK($C328),"",IFERROR(_xlfn.SWITCH($CT328,Constants!$B$11,COUNTA($C$9:$C$508)+2,Constants!$B$10,COUNTA($C$9:$C$508)+1,Constants!$B$9,COUNTA($C$9:$C$508)),$CT328))</f>
        <v/>
      </c>
      <c r="CV328" s="9"/>
      <c r="CW328" s="106" t="n">
        <f aca="false">IF(OR(ISNUMBER($CT328),$CT328=Constants!$B$11,$CT328=Constants!$B$9,$CT328=Constants!$B$10),1,0)</f>
        <v>0</v>
      </c>
      <c r="CX328" s="106" t="n">
        <v>320</v>
      </c>
      <c r="CY328" s="106" t="str">
        <f aca="false">IF(ISBLANK($C328),"",IF(ISNUMBER($CU328),$CU328+ROW($B328)/1000,""))</f>
        <v/>
      </c>
      <c r="CZ328" s="106" t="str">
        <f aca="false">IF(ISNUMBER($CY328),RANK($CY328,$CY$9:$CY$508,1),"")</f>
        <v/>
      </c>
      <c r="DA328" s="106" t="str">
        <f aca="false">IF(ISBLANK($C328),"",$B328)</f>
        <v/>
      </c>
      <c r="DB328" s="106" t="str">
        <f aca="false">IF(ISBLANK($C328),"",$C328)</f>
        <v/>
      </c>
      <c r="DC328" s="106" t="str">
        <f aca="false">IF(ISBLANK($C328),"",$D328)</f>
        <v/>
      </c>
      <c r="DD328" s="107" t="str">
        <f aca="false">$CR328</f>
        <v/>
      </c>
      <c r="DE328" s="108" t="str">
        <f aca="false">$CQ328</f>
        <v/>
      </c>
      <c r="DF328" s="106" t="str">
        <f aca="false">IF(ISBLANK($C328),"",$CT328)</f>
        <v/>
      </c>
      <c r="DG328" s="109" t="str">
        <f aca="false">IF($CX328&gt;$CW$8,"",VLOOKUP($CX328,$CZ$9:$DF$508,7,FALSE()))</f>
        <v/>
      </c>
      <c r="DH328" s="110" t="str">
        <f aca="false">IF($CX328&gt;$CW$8,"",VLOOKUP($CX328,$CZ$9:$DF$508,2,FALSE()))</f>
        <v/>
      </c>
      <c r="DI328" s="110" t="str">
        <f aca="false">IF($CX328&gt;$CW$8,"",VLOOKUP($CX328,$CZ$9:$DF$508,3,FALSE()))</f>
        <v/>
      </c>
      <c r="DJ328" s="110" t="str">
        <f aca="false">IF($CX328&gt;$CW$8,"",VLOOKUP($CX328,$CZ$9:$DF$508,4,FALSE()))</f>
        <v/>
      </c>
      <c r="DK328" s="110" t="str">
        <f aca="false">IF($CX328&gt;$CW$8,"",VLOOKUP($CX328,$CZ$9:$DF$508,5,FALSE()))</f>
        <v/>
      </c>
      <c r="DL328" s="111" t="str">
        <f aca="false">IF($CX328&gt;$CW$8,"",VLOOKUP($CX328,$CZ$9:$DF$508,6,FALSE()))</f>
        <v/>
      </c>
      <c r="DM328" s="75"/>
    </row>
    <row r="329" customFormat="false" ht="15.75" hidden="false" customHeight="false" outlineLevel="0" collapsed="false">
      <c r="A329" s="9"/>
      <c r="B329" s="77"/>
      <c r="C329" s="78"/>
      <c r="D329" s="167"/>
      <c r="E329" s="175"/>
      <c r="F329" s="169"/>
      <c r="G329" s="170"/>
      <c r="H329" s="170"/>
      <c r="I329" s="176"/>
      <c r="J329" s="173"/>
      <c r="K329" s="85"/>
      <c r="L329" s="86"/>
      <c r="M329" s="87"/>
      <c r="N329" s="173"/>
      <c r="O329" s="173"/>
      <c r="P329" s="175"/>
      <c r="Q329" s="173"/>
      <c r="R329" s="173"/>
      <c r="S329" s="85"/>
      <c r="T329" s="87"/>
      <c r="U329" s="87"/>
      <c r="V329" s="173"/>
      <c r="W329" s="173"/>
      <c r="X329" s="175"/>
      <c r="Y329" s="173"/>
      <c r="Z329" s="174"/>
      <c r="AA329" s="173"/>
      <c r="AB329" s="91"/>
      <c r="AC329" s="92"/>
      <c r="AD329" s="92"/>
      <c r="AE329" s="92"/>
      <c r="AF329" s="92" t="str">
        <f aca="false">IF(ISBLANK($C329),"",IF(E329=Constants!$B$3,TRUE(),IF(E329=Constants!$B$4,FALSE(),TRUE())))</f>
        <v/>
      </c>
      <c r="AG329" s="92" t="str">
        <f aca="false">IF(ISBLANK($C329),"",IF(F329=Constants!$B$3,TRUE(),IF(F329=Constants!$B$4,FALSE(),TRUE())))</f>
        <v/>
      </c>
      <c r="AH329" s="92" t="str">
        <f aca="false">IF(ISBLANK($C329),"",IF(G329=Constants!$B$3,TRUE(),IF(G329=Constants!$B$4,FALSE(),TRUE())))</f>
        <v/>
      </c>
      <c r="AI329" s="92" t="str">
        <f aca="false">IF(ISBLANK($C329),"",IF(AND(ISNUMBER(H329),H329&gt;=0),H329,Constants!$B$29))</f>
        <v/>
      </c>
      <c r="AJ329" s="92" t="str">
        <f aca="false">IF(ISBLANK($C329),"",IF(I329=Constants!$B$3,TRUE(),IF(I329=Constants!$B$4,FALSE(),TRUE())))</f>
        <v/>
      </c>
      <c r="AK329" s="92" t="str">
        <f aca="false">IF(ISBLANK($C329),"",IF(J329=Constants!$B$3,TRUE(),IF(J329=Constants!$B$4,FALSE(),TRUE())))</f>
        <v/>
      </c>
      <c r="AL329" s="92" t="str">
        <f aca="false">IF(ISBLANK($C329),"",IF(K329=Constants!$B$5,TRUE(),IF(K329=Constants!$B$6,FALSE(),COUNTA(L329:P329)&gt;0)))</f>
        <v/>
      </c>
      <c r="AM329" s="94" t="str">
        <f aca="false">IF(ISBLANK($C329),"",IF(ISNUMBER(L329),IF(L329&gt;=0,L329,""),""))</f>
        <v/>
      </c>
      <c r="AN329" s="93" t="str">
        <f aca="false">IF(ISBLANK($C329),"",IF(ISNUMBER(M329),IF(M329&gt;=0,M329,""),""))</f>
        <v/>
      </c>
      <c r="AO329" s="93" t="str">
        <f aca="false">IF(ISBLANK($C329),"",IF(N329=Constants!$B$3,TRUE(),IF(N329=Constants!$B$4,FALSE(),TRUE())))</f>
        <v/>
      </c>
      <c r="AP329" s="92" t="str">
        <f aca="false">IF(ISBLANK($C329),"",IF(ISNUMBER(O329),IF(O329&gt;=0,O329,""),""))</f>
        <v/>
      </c>
      <c r="AQ329" s="92" t="str">
        <f aca="false">IF(ISBLANK($C329),"",IF(P329=Constants!$B$3,TRUE(),IF(P329=Constants!$B$4,FALSE(),FALSE())))</f>
        <v/>
      </c>
      <c r="AR329" s="92" t="str">
        <f aca="false">IF(ISBLANK($C329),"",IF(Q329=Constants!$B$3,TRUE(),IF(Q329=Constants!$B$4,FALSE(),TRUE())))</f>
        <v/>
      </c>
      <c r="AS329" s="92" t="str">
        <f aca="false">IF(ISBLANK($C329),"",IF(R329=Constants!$B$3,TRUE(),IF(R329=Constants!$B$4,FALSE(),TRUE())))</f>
        <v/>
      </c>
      <c r="AT329" s="92" t="str">
        <f aca="false">IF(ISBLANK($C329),"",IF(S329=Constants!$B$5,TRUE(),IF(S329=Constants!$B$6,FALSE(),COUNTA(T329:X329)&gt;0)))</f>
        <v/>
      </c>
      <c r="AU329" s="94" t="str">
        <f aca="false">IF(ISBLANK($C329),"",IF(ISNUMBER(T329),IF(T329&gt;=0,T329,""),""))</f>
        <v/>
      </c>
      <c r="AV329" s="93" t="str">
        <f aca="false">IF(ISBLANK($C329),"",IF(ISNUMBER(U329),IF(U329&gt;=0,U329,""),""))</f>
        <v/>
      </c>
      <c r="AW329" s="93" t="str">
        <f aca="false">IF(ISBLANK($C329),"",IF(V329=Constants!$B$3,TRUE(),IF(V329=Constants!$B$4,FALSE(),TRUE())))</f>
        <v/>
      </c>
      <c r="AX329" s="92" t="str">
        <f aca="false">IF(ISBLANK($C329),"",IF(ISNUMBER(W329),IF(W329&gt;=0,W329,""),""))</f>
        <v/>
      </c>
      <c r="AY329" s="92" t="str">
        <f aca="false">IF(ISBLANK($C329),"",IF(X329=Constants!$B$3,TRUE(),IF(X329=Constants!$B$4,FALSE(),FALSE())))</f>
        <v/>
      </c>
      <c r="AZ329" s="92" t="str">
        <f aca="false">IF(ISBLANK($C329),"",MIN(Constants!$B$31,MAX(0,IF(ISNUMBER(Y329),Y329*60,0)+IF(ISNUMBER(Z329),Z329,0))))</f>
        <v/>
      </c>
      <c r="BA329" s="92" t="str">
        <f aca="false">IF(ISBLANK($C329),"",IF(AA329=Constants!$B$3,TRUE(),IF(AA329=Constants!$B$4,FALSE(),FALSE())))</f>
        <v/>
      </c>
      <c r="BB329" s="91" t="str">
        <f aca="false">IF(ISBLANK($C329),"",AND($AL329,OR($AM329="",$AN329="",AND($AO329,$AP329=""))))</f>
        <v/>
      </c>
      <c r="BC329" s="93" t="str">
        <f aca="false">IF($BR329&lt;&gt;Constants!$B$8,"",IF($AL329,Constants!$B$21*$AN329+Constants!$B$22*IF($AO329,$AP329,Constants!$B$23),Constants!$B$24))</f>
        <v/>
      </c>
      <c r="BD329" s="96" t="str">
        <f aca="false">IF($BR329&lt;&gt;Constants!$B$8,"",Constants!$B$25*ABS($AD$9-IF($AL329,$AM329,0)))</f>
        <v/>
      </c>
      <c r="BE329" s="96" t="str">
        <f aca="false">IF($BR329&lt;&gt;Constants!$B$8,"",IF(AND($AL329,$AQ329,$AO329),Constants!$B$27,0))</f>
        <v/>
      </c>
      <c r="BF329" s="96" t="str">
        <f aca="false">IF($BR329&lt;&gt;Constants!$B$8,"",IF($AL329,($AI329-Constants!$B$29)*Constants!$B$28,0))</f>
        <v/>
      </c>
      <c r="BG329" s="96" t="str">
        <f aca="false">IF($BR329&lt;&gt;Constants!$B$8,"",IF($AK329,0,Constants!$B$15)+IF($AJ329,0,Constants!$B$16)+IF($AH329,0,Constants!$B$17))</f>
        <v/>
      </c>
      <c r="BH329" s="97" t="str">
        <f aca="false">IF($BR329&lt;&gt;Constants!$B$8,"",Constants!$B$20+SUM($BC329:$BG329))</f>
        <v/>
      </c>
      <c r="BI329" s="92" t="str">
        <f aca="false">IF($BR329&lt;&gt;Constants!$B$8,"",IF(OR($BP329&lt;$BH329,AND($BP329=$BH329,OR($BK329&lt;$BC329,AND($BK329=$BC329,OR($BL329&lt;$BD329,AND($BL329=$BD329,$AT329,$AL329,$AV329&lt;$AN329)))))),"-&gt;","&lt;-"))</f>
        <v/>
      </c>
      <c r="BJ329" s="91" t="str">
        <f aca="false">IF(ISBLANK($C329),"",AND($AT329,OR($AU329="",$AV329="",AND($AW329,$AX329=""))))</f>
        <v/>
      </c>
      <c r="BK329" s="93" t="str">
        <f aca="false">IF($BR329&lt;&gt;Constants!$B$8,"",IF($AT329,Constants!$B$21*$AV329+Constants!$B$22*IF($AW329,$AX329,Constants!$B$23),Constants!$B$24))</f>
        <v/>
      </c>
      <c r="BL329" s="96" t="str">
        <f aca="false">IF($BR329&lt;&gt;Constants!$B$8,"",Constants!$B$25*ABS($AD$9-IF($AT329,$AU329,0)))</f>
        <v/>
      </c>
      <c r="BM329" s="96" t="str">
        <f aca="false">IF($BR329&lt;&gt;Constants!$B$8,"",IF(AND($AT329,$AY329,$AW329),Constants!$B$27,0))</f>
        <v/>
      </c>
      <c r="BN329" s="96" t="str">
        <f aca="false">IF($BR329&lt;&gt;Constants!$B$8,"",IF($AT329,($AI329-Constants!$B$29)*Constants!$B$28,0))</f>
        <v/>
      </c>
      <c r="BO329" s="96" t="str">
        <f aca="false">IF($BR329&lt;&gt;Constants!$B$8,"",IF($AS329,0,Constants!$B$15)+IF($AR329,0,Constants!$B$16)+IF($AH329,0,Constants!$B$17))</f>
        <v/>
      </c>
      <c r="BP329" s="97" t="str">
        <f aca="false">IF($BR329&lt;&gt;Constants!$B$8,"",Constants!$B$20+SUM($BK329:$BO329))</f>
        <v/>
      </c>
      <c r="BQ329" s="92" t="str">
        <f aca="false">IF(ISBLANK($C329),"",IF(ISBLANK($D$7),$BQ$5,IF(NOT(ISNUMBER($D$7)),$BQ$6,"")))</f>
        <v/>
      </c>
      <c r="BR329" s="92" t="str">
        <f aca="false">IF(ISBLANK($C329),"",IF($BA329,Constants!$B$11,IF(COUNTA($E329:$AA329)=0,Constants!$B$10,IF(NOT($AG329),Constants!$B$9,IF(OR($BQ329&lt;&gt;"",$BB329,$BJ329),Constants!$B$12,Constants!$B$8)))))</f>
        <v/>
      </c>
      <c r="BS329" s="92" t="str">
        <f aca="false">IF(ISBLANK($C329),"",IF($BR329&lt;&gt;Constants!$B$8,$BR329,Constants!$B$13))</f>
        <v/>
      </c>
      <c r="BT329" s="96" t="str">
        <f aca="false">IF($BR329&lt;&gt;Constants!$B$8,"",IF($BI329="-&gt;",$BP329,$BH329))</f>
        <v/>
      </c>
      <c r="BU329" s="96" t="str">
        <f aca="false">IF($BR329&lt;&gt;Constants!$B$8,"",IF($AF329,0,Constants!$B$18))</f>
        <v/>
      </c>
      <c r="BV329" s="96" t="str">
        <f aca="false">IF($BR329&lt;&gt;Constants!$B$8,"",((Constants!$B$31-$AZ329)-Constants!$B$31)/Constants!$B$32)</f>
        <v/>
      </c>
      <c r="BW329" s="96" t="str">
        <f aca="false">IF(ISBLANK($C329),"",IF($BR329&lt;&gt;Constants!$B$8,$BR329,SUM($BT329:$BV329)))</f>
        <v/>
      </c>
      <c r="BX329" s="92" t="str">
        <f aca="false">IF(ISBLANK($C329),"",IF($BR329&lt;&gt;Constants!$B$8,$BR329,RANK($BW329,$BW$9:$BW$508,1)))</f>
        <v/>
      </c>
      <c r="BY329" s="96" t="str">
        <f aca="false">IF($BR329&lt;&gt;Constants!$B$8,"",IF($BI329="-&gt;",$BK329,$BC329))</f>
        <v/>
      </c>
      <c r="BZ329" s="92" t="str">
        <f aca="false">IF(ISBLANK($C329),"",IF($BR329&lt;&gt;Constants!$B$8,$BR329,IF(ISNUMBER($BY329),RANK($BY329,$BY$9:$BY$508,1),COUNT($BY$9:$BY$508)+1)))</f>
        <v/>
      </c>
      <c r="CA329" s="96" t="str">
        <f aca="false">IF($BR329&lt;&gt;Constants!$B$8,"",IF($BI329="-&gt;",$BL329,$BD329))</f>
        <v/>
      </c>
      <c r="CB329" s="92" t="str">
        <f aca="false">IF(ISBLANK($C329),"",IF($BR329&lt;&gt;Constants!$B$8,$BR329,IF(ISNUMBER($CA329),RANK($CA329,$CA$9:$CA$508,1),COUNT($CA$9:$CA$508)+1)))</f>
        <v/>
      </c>
      <c r="CC329" s="96" t="str">
        <f aca="false">IF($BR329&lt;&gt;Constants!$B$8,"",IF($BI329="-&gt;",IF($AT329,$AV329,""),IF($AL329,$AN329,"")))</f>
        <v/>
      </c>
      <c r="CD329" s="92" t="str">
        <f aca="false">IF(ISBLANK($C329),"",IF($BR329&lt;&gt;Constants!$B$8,$BR329,IF(ISNUMBER($CC329),RANK($CC329,$CC$9:$CC$508,1),COUNT($CC$9:$CC$508)+1)))</f>
        <v/>
      </c>
      <c r="CE329" s="96" t="str">
        <f aca="false">IF($BR329&lt;&gt;Constants!$B$8,"",IF(AND(NOT($AL329),NOT($AT329),$AJ329,$AK329,$AR329,$AS329),"",$AI329))</f>
        <v/>
      </c>
      <c r="CF329" s="92" t="str">
        <f aca="false">IF(ISBLANK($C329),"",IF($BR329&lt;&gt;Constants!$B$8,$BR329,IF(ISNUMBER($CE329),RANK($CE329,$CE$9:$CE$508,1),COUNT($CE$9:$CE$508)+1)))</f>
        <v/>
      </c>
      <c r="CG329" s="92" t="str">
        <f aca="false">IF(ISBLANK($C329),"",IF($BR329&lt;&gt;Constants!$B$8,$BR329,COUNTIFS($BX$9:$BX$508,"&lt;"&amp;$BX329)+COUNTIFS($BX$9:$BX$508,$BX329,$BZ$9:$BZ$508,"&lt;"&amp;$BZ329)+COUNTIFS($BX$9:$BX$508,$BX329,$BZ$9:$BZ$508,$BZ329,$CB$9:$CB$508,"&lt;"&amp;$CB329)+COUNTIFS($BX$9:$BX$508,$BX329,$BZ$9:$BZ$508,$BZ329,$CB$9:$CB$508,$CB329,$CD$9:$CD$508,"&lt;"&amp;$CD329)+COUNTIFS($BX$9:$BX$508,$BX329,$BZ$9:$BZ$508,$BZ329,$CB$9:$CB$508,$CB329,$CD$9:$CD$508,$CD329,$CF$9:$CF$508,"&lt;"&amp;$CF329)+1))</f>
        <v/>
      </c>
      <c r="CH329" s="92" t="str">
        <f aca="false">IF(ISBLANK($C329),"",IF($BR329&lt;&gt;Constants!$B$8,$BR329,$BX329-$CG329))</f>
        <v/>
      </c>
      <c r="CI329" s="98"/>
      <c r="CJ329" s="99"/>
      <c r="CK329" s="100" t="str">
        <f aca="false">IF(ISBLANK($C329),"",IF($BR329=Constants!$B$12,$BQ329,""))</f>
        <v/>
      </c>
      <c r="CL329" s="99" t="str">
        <f aca="false">IF(ISBLANK($C329),"",IF($BR329&lt;&gt;Constants!$B$8,"",IF($BI329="-&gt;",2,1)))</f>
        <v/>
      </c>
      <c r="CM329" s="101" t="str">
        <f aca="false">IF(ISBLANK($C329),"",IF($BR329&lt;&gt;Constants!$B$8,"",IF($BI329="-&gt;",$BK329,$BC329)))</f>
        <v/>
      </c>
      <c r="CN329" s="101" t="str">
        <f aca="false">IF(ISBLANK($C329),"",IF($BR329&lt;&gt;Constants!$B$8,"",IF($BI329="-&gt;",$BL329,$BD329)))</f>
        <v/>
      </c>
      <c r="CO329" s="101" t="str">
        <f aca="false">IF(ISBLANK($C329),"",IF($BR329&lt;&gt;Constants!$B$8,"",IF($BI329="-&gt;",$BM329+$BN329,$BE329+$BF329)+$BV329))</f>
        <v/>
      </c>
      <c r="CP329" s="101" t="str">
        <f aca="false">IF(ISBLANK($C329),"",IF($BR329&lt;&gt;Constants!$B$8,"",IF($BI329="-&gt;",$BO329,$BG329)+$BU329))</f>
        <v/>
      </c>
      <c r="CQ329" s="102" t="str">
        <f aca="false">IF(ISBLANK($C329),"",IF($BR329&lt;&gt;Constants!$B$8,$BR329,$BW329))</f>
        <v/>
      </c>
      <c r="CR329" s="103" t="str">
        <f aca="false">IF(ISBLANK($C329),"",$BS329)</f>
        <v/>
      </c>
      <c r="CS329" s="104" t="str">
        <f aca="false">IF(ISBLANK($C329),"",$CH329)</f>
        <v/>
      </c>
      <c r="CT329" s="104" t="str">
        <f aca="false">IF(ISBLANK($C329),"",$CG329)</f>
        <v/>
      </c>
      <c r="CU329" s="105" t="str">
        <f aca="false">IF(ISBLANK($C329),"",IFERROR(_xlfn.SWITCH($CT329,Constants!$B$11,COUNTA($C$9:$C$508)+2,Constants!$B$10,COUNTA($C$9:$C$508)+1,Constants!$B$9,COUNTA($C$9:$C$508)),$CT329))</f>
        <v/>
      </c>
      <c r="CV329" s="9"/>
      <c r="CW329" s="106" t="n">
        <f aca="false">IF(OR(ISNUMBER($CT329),$CT329=Constants!$B$11,$CT329=Constants!$B$9,$CT329=Constants!$B$10),1,0)</f>
        <v>0</v>
      </c>
      <c r="CX329" s="106" t="n">
        <v>321</v>
      </c>
      <c r="CY329" s="106" t="str">
        <f aca="false">IF(ISBLANK($C329),"",IF(ISNUMBER($CU329),$CU329+ROW($B329)/1000,""))</f>
        <v/>
      </c>
      <c r="CZ329" s="106" t="str">
        <f aca="false">IF(ISNUMBER($CY329),RANK($CY329,$CY$9:$CY$508,1),"")</f>
        <v/>
      </c>
      <c r="DA329" s="106" t="str">
        <f aca="false">IF(ISBLANK($C329),"",$B329)</f>
        <v/>
      </c>
      <c r="DB329" s="106" t="str">
        <f aca="false">IF(ISBLANK($C329),"",$C329)</f>
        <v/>
      </c>
      <c r="DC329" s="106" t="str">
        <f aca="false">IF(ISBLANK($C329),"",$D329)</f>
        <v/>
      </c>
      <c r="DD329" s="107" t="str">
        <f aca="false">$CR329</f>
        <v/>
      </c>
      <c r="DE329" s="108" t="str">
        <f aca="false">$CQ329</f>
        <v/>
      </c>
      <c r="DF329" s="106" t="str">
        <f aca="false">IF(ISBLANK($C329),"",$CT329)</f>
        <v/>
      </c>
      <c r="DG329" s="109" t="str">
        <f aca="false">IF($CX329&gt;$CW$8,"",VLOOKUP($CX329,$CZ$9:$DF$508,7,FALSE()))</f>
        <v/>
      </c>
      <c r="DH329" s="110" t="str">
        <f aca="false">IF($CX329&gt;$CW$8,"",VLOOKUP($CX329,$CZ$9:$DF$508,2,FALSE()))</f>
        <v/>
      </c>
      <c r="DI329" s="110" t="str">
        <f aca="false">IF($CX329&gt;$CW$8,"",VLOOKUP($CX329,$CZ$9:$DF$508,3,FALSE()))</f>
        <v/>
      </c>
      <c r="DJ329" s="110" t="str">
        <f aca="false">IF($CX329&gt;$CW$8,"",VLOOKUP($CX329,$CZ$9:$DF$508,4,FALSE()))</f>
        <v/>
      </c>
      <c r="DK329" s="110" t="str">
        <f aca="false">IF($CX329&gt;$CW$8,"",VLOOKUP($CX329,$CZ$9:$DF$508,5,FALSE()))</f>
        <v/>
      </c>
      <c r="DL329" s="111" t="str">
        <f aca="false">IF($CX329&gt;$CW$8,"",VLOOKUP($CX329,$CZ$9:$DF$508,6,FALSE()))</f>
        <v/>
      </c>
      <c r="DM329" s="75"/>
    </row>
    <row r="330" customFormat="false" ht="15.75" hidden="false" customHeight="false" outlineLevel="0" collapsed="false">
      <c r="A330" s="9"/>
      <c r="B330" s="157"/>
      <c r="C330" s="158"/>
      <c r="D330" s="159"/>
      <c r="E330" s="177"/>
      <c r="F330" s="161"/>
      <c r="G330" s="162"/>
      <c r="H330" s="162"/>
      <c r="I330" s="178"/>
      <c r="J330" s="165"/>
      <c r="K330" s="126"/>
      <c r="L330" s="127"/>
      <c r="M330" s="128"/>
      <c r="N330" s="165"/>
      <c r="O330" s="165"/>
      <c r="P330" s="177"/>
      <c r="Q330" s="165"/>
      <c r="R330" s="165"/>
      <c r="S330" s="126"/>
      <c r="T330" s="128"/>
      <c r="U330" s="128"/>
      <c r="V330" s="165"/>
      <c r="W330" s="165"/>
      <c r="X330" s="177"/>
      <c r="Y330" s="165"/>
      <c r="Z330" s="166"/>
      <c r="AA330" s="165"/>
      <c r="AB330" s="132"/>
      <c r="AC330" s="133"/>
      <c r="AD330" s="133"/>
      <c r="AE330" s="133"/>
      <c r="AF330" s="133" t="str">
        <f aca="false">IF(ISBLANK($C330),"",IF(E330=Constants!$B$3,TRUE(),IF(E330=Constants!$B$4,FALSE(),TRUE())))</f>
        <v/>
      </c>
      <c r="AG330" s="133" t="str">
        <f aca="false">IF(ISBLANK($C330),"",IF(F330=Constants!$B$3,TRUE(),IF(F330=Constants!$B$4,FALSE(),TRUE())))</f>
        <v/>
      </c>
      <c r="AH330" s="133" t="str">
        <f aca="false">IF(ISBLANK($C330),"",IF(G330=Constants!$B$3,TRUE(),IF(G330=Constants!$B$4,FALSE(),TRUE())))</f>
        <v/>
      </c>
      <c r="AI330" s="133" t="str">
        <f aca="false">IF(ISBLANK($C330),"",IF(AND(ISNUMBER(H330),H330&gt;=0),H330,Constants!$B$29))</f>
        <v/>
      </c>
      <c r="AJ330" s="133" t="str">
        <f aca="false">IF(ISBLANK($C330),"",IF(I330=Constants!$B$3,TRUE(),IF(I330=Constants!$B$4,FALSE(),TRUE())))</f>
        <v/>
      </c>
      <c r="AK330" s="133" t="str">
        <f aca="false">IF(ISBLANK($C330),"",IF(J330=Constants!$B$3,TRUE(),IF(J330=Constants!$B$4,FALSE(),TRUE())))</f>
        <v/>
      </c>
      <c r="AL330" s="133" t="str">
        <f aca="false">IF(ISBLANK($C330),"",IF(K330=Constants!$B$5,TRUE(),IF(K330=Constants!$B$6,FALSE(),COUNTA(L330:P330)&gt;0)))</f>
        <v/>
      </c>
      <c r="AM330" s="134" t="str">
        <f aca="false">IF(ISBLANK($C330),"",IF(ISNUMBER(L330),IF(L330&gt;=0,L330,""),""))</f>
        <v/>
      </c>
      <c r="AN330" s="135" t="str">
        <f aca="false">IF(ISBLANK($C330),"",IF(ISNUMBER(M330),IF(M330&gt;=0,M330,""),""))</f>
        <v/>
      </c>
      <c r="AO330" s="135" t="str">
        <f aca="false">IF(ISBLANK($C330),"",IF(N330=Constants!$B$3,TRUE(),IF(N330=Constants!$B$4,FALSE(),TRUE())))</f>
        <v/>
      </c>
      <c r="AP330" s="133" t="str">
        <f aca="false">IF(ISBLANK($C330),"",IF(ISNUMBER(O330),IF(O330&gt;=0,O330,""),""))</f>
        <v/>
      </c>
      <c r="AQ330" s="133" t="str">
        <f aca="false">IF(ISBLANK($C330),"",IF(P330=Constants!$B$3,TRUE(),IF(P330=Constants!$B$4,FALSE(),FALSE())))</f>
        <v/>
      </c>
      <c r="AR330" s="133" t="str">
        <f aca="false">IF(ISBLANK($C330),"",IF(Q330=Constants!$B$3,TRUE(),IF(Q330=Constants!$B$4,FALSE(),TRUE())))</f>
        <v/>
      </c>
      <c r="AS330" s="133" t="str">
        <f aca="false">IF(ISBLANK($C330),"",IF(R330=Constants!$B$3,TRUE(),IF(R330=Constants!$B$4,FALSE(),TRUE())))</f>
        <v/>
      </c>
      <c r="AT330" s="133" t="str">
        <f aca="false">IF(ISBLANK($C330),"",IF(S330=Constants!$B$5,TRUE(),IF(S330=Constants!$B$6,FALSE(),COUNTA(T330:X330)&gt;0)))</f>
        <v/>
      </c>
      <c r="AU330" s="134" t="str">
        <f aca="false">IF(ISBLANK($C330),"",IF(ISNUMBER(T330),IF(T330&gt;=0,T330,""),""))</f>
        <v/>
      </c>
      <c r="AV330" s="135" t="str">
        <f aca="false">IF(ISBLANK($C330),"",IF(ISNUMBER(U330),IF(U330&gt;=0,U330,""),""))</f>
        <v/>
      </c>
      <c r="AW330" s="135" t="str">
        <f aca="false">IF(ISBLANK($C330),"",IF(V330=Constants!$B$3,TRUE(),IF(V330=Constants!$B$4,FALSE(),TRUE())))</f>
        <v/>
      </c>
      <c r="AX330" s="133" t="str">
        <f aca="false">IF(ISBLANK($C330),"",IF(ISNUMBER(W330),IF(W330&gt;=0,W330,""),""))</f>
        <v/>
      </c>
      <c r="AY330" s="133" t="str">
        <f aca="false">IF(ISBLANK($C330),"",IF(X330=Constants!$B$3,TRUE(),IF(X330=Constants!$B$4,FALSE(),FALSE())))</f>
        <v/>
      </c>
      <c r="AZ330" s="133" t="str">
        <f aca="false">IF(ISBLANK($C330),"",MIN(Constants!$B$31,MAX(0,IF(ISNUMBER(Y330),Y330*60,0)+IF(ISNUMBER(Z330),Z330,0))))</f>
        <v/>
      </c>
      <c r="BA330" s="133" t="str">
        <f aca="false">IF(ISBLANK($C330),"",IF(AA330=Constants!$B$3,TRUE(),IF(AA330=Constants!$B$4,FALSE(),FALSE())))</f>
        <v/>
      </c>
      <c r="BB330" s="132" t="str">
        <f aca="false">IF(ISBLANK($C330),"",AND($AL330,OR($AM330="",$AN330="",AND($AO330,$AP330=""))))</f>
        <v/>
      </c>
      <c r="BC330" s="135" t="str">
        <f aca="false">IF($BR330&lt;&gt;Constants!$B$8,"",IF($AL330,Constants!$B$21*$AN330+Constants!$B$22*IF($AO330,$AP330,Constants!$B$23),Constants!$B$24))</f>
        <v/>
      </c>
      <c r="BD330" s="136" t="str">
        <f aca="false">IF($BR330&lt;&gt;Constants!$B$8,"",Constants!$B$25*ABS($AD$9-IF($AL330,$AM330,0)))</f>
        <v/>
      </c>
      <c r="BE330" s="136" t="str">
        <f aca="false">IF($BR330&lt;&gt;Constants!$B$8,"",IF(AND($AL330,$AQ330,$AO330),Constants!$B$27,0))</f>
        <v/>
      </c>
      <c r="BF330" s="136" t="str">
        <f aca="false">IF($BR330&lt;&gt;Constants!$B$8,"",IF($AL330,($AI330-Constants!$B$29)*Constants!$B$28,0))</f>
        <v/>
      </c>
      <c r="BG330" s="136" t="str">
        <f aca="false">IF($BR330&lt;&gt;Constants!$B$8,"",IF($AK330,0,Constants!$B$15)+IF($AJ330,0,Constants!$B$16)+IF($AH330,0,Constants!$B$17))</f>
        <v/>
      </c>
      <c r="BH330" s="137" t="str">
        <f aca="false">IF($BR330&lt;&gt;Constants!$B$8,"",Constants!$B$20+SUM($BC330:$BG330))</f>
        <v/>
      </c>
      <c r="BI330" s="133" t="str">
        <f aca="false">IF($BR330&lt;&gt;Constants!$B$8,"",IF(OR($BP330&lt;$BH330,AND($BP330=$BH330,OR($BK330&lt;$BC330,AND($BK330=$BC330,OR($BL330&lt;$BD330,AND($BL330=$BD330,$AT330,$AL330,$AV330&lt;$AN330)))))),"-&gt;","&lt;-"))</f>
        <v/>
      </c>
      <c r="BJ330" s="132" t="str">
        <f aca="false">IF(ISBLANK($C330),"",AND($AT330,OR($AU330="",$AV330="",AND($AW330,$AX330=""))))</f>
        <v/>
      </c>
      <c r="BK330" s="135" t="str">
        <f aca="false">IF($BR330&lt;&gt;Constants!$B$8,"",IF($AT330,Constants!$B$21*$AV330+Constants!$B$22*IF($AW330,$AX330,Constants!$B$23),Constants!$B$24))</f>
        <v/>
      </c>
      <c r="BL330" s="136" t="str">
        <f aca="false">IF($BR330&lt;&gt;Constants!$B$8,"",Constants!$B$25*ABS($AD$9-IF($AT330,$AU330,0)))</f>
        <v/>
      </c>
      <c r="BM330" s="136" t="str">
        <f aca="false">IF($BR330&lt;&gt;Constants!$B$8,"",IF(AND($AT330,$AY330,$AW330),Constants!$B$27,0))</f>
        <v/>
      </c>
      <c r="BN330" s="136" t="str">
        <f aca="false">IF($BR330&lt;&gt;Constants!$B$8,"",IF($AT330,($AI330-Constants!$B$29)*Constants!$B$28,0))</f>
        <v/>
      </c>
      <c r="BO330" s="136" t="str">
        <f aca="false">IF($BR330&lt;&gt;Constants!$B$8,"",IF($AS330,0,Constants!$B$15)+IF($AR330,0,Constants!$B$16)+IF($AH330,0,Constants!$B$17))</f>
        <v/>
      </c>
      <c r="BP330" s="137" t="str">
        <f aca="false">IF($BR330&lt;&gt;Constants!$B$8,"",Constants!$B$20+SUM($BK330:$BO330))</f>
        <v/>
      </c>
      <c r="BQ330" s="133" t="str">
        <f aca="false">IF(ISBLANK($C330),"",IF(ISBLANK($D$7),$BQ$5,IF(NOT(ISNUMBER($D$7)),$BQ$6,"")))</f>
        <v/>
      </c>
      <c r="BR330" s="133" t="str">
        <f aca="false">IF(ISBLANK($C330),"",IF($BA330,Constants!$B$11,IF(COUNTA($E330:$AA330)=0,Constants!$B$10,IF(NOT($AG330),Constants!$B$9,IF(OR($BQ330&lt;&gt;"",$BB330,$BJ330),Constants!$B$12,Constants!$B$8)))))</f>
        <v/>
      </c>
      <c r="BS330" s="133" t="str">
        <f aca="false">IF(ISBLANK($C330),"",IF($BR330&lt;&gt;Constants!$B$8,$BR330,Constants!$B$13))</f>
        <v/>
      </c>
      <c r="BT330" s="136" t="str">
        <f aca="false">IF($BR330&lt;&gt;Constants!$B$8,"",IF($BI330="-&gt;",$BP330,$BH330))</f>
        <v/>
      </c>
      <c r="BU330" s="136" t="str">
        <f aca="false">IF($BR330&lt;&gt;Constants!$B$8,"",IF($AF330,0,Constants!$B$18))</f>
        <v/>
      </c>
      <c r="BV330" s="136" t="str">
        <f aca="false">IF($BR330&lt;&gt;Constants!$B$8,"",((Constants!$B$31-$AZ330)-Constants!$B$31)/Constants!$B$32)</f>
        <v/>
      </c>
      <c r="BW330" s="136" t="str">
        <f aca="false">IF(ISBLANK($C330),"",IF($BR330&lt;&gt;Constants!$B$8,$BR330,SUM($BT330:$BV330)))</f>
        <v/>
      </c>
      <c r="BX330" s="133" t="str">
        <f aca="false">IF(ISBLANK($C330),"",IF($BR330&lt;&gt;Constants!$B$8,$BR330,RANK($BW330,$BW$9:$BW$508,1)))</f>
        <v/>
      </c>
      <c r="BY330" s="136" t="str">
        <f aca="false">IF($BR330&lt;&gt;Constants!$B$8,"",IF($BI330="-&gt;",$BK330,$BC330))</f>
        <v/>
      </c>
      <c r="BZ330" s="133" t="str">
        <f aca="false">IF(ISBLANK($C330),"",IF($BR330&lt;&gt;Constants!$B$8,$BR330,IF(ISNUMBER($BY330),RANK($BY330,$BY$9:$BY$508,1),COUNT($BY$9:$BY$508)+1)))</f>
        <v/>
      </c>
      <c r="CA330" s="136" t="str">
        <f aca="false">IF($BR330&lt;&gt;Constants!$B$8,"",IF($BI330="-&gt;",$BL330,$BD330))</f>
        <v/>
      </c>
      <c r="CB330" s="133" t="str">
        <f aca="false">IF(ISBLANK($C330),"",IF($BR330&lt;&gt;Constants!$B$8,$BR330,IF(ISNUMBER($CA330),RANK($CA330,$CA$9:$CA$508,1),COUNT($CA$9:$CA$508)+1)))</f>
        <v/>
      </c>
      <c r="CC330" s="136" t="str">
        <f aca="false">IF($BR330&lt;&gt;Constants!$B$8,"",IF($BI330="-&gt;",IF($AT330,$AV330,""),IF($AL330,$AN330,"")))</f>
        <v/>
      </c>
      <c r="CD330" s="133" t="str">
        <f aca="false">IF(ISBLANK($C330),"",IF($BR330&lt;&gt;Constants!$B$8,$BR330,IF(ISNUMBER($CC330),RANK($CC330,$CC$9:$CC$508,1),COUNT($CC$9:$CC$508)+1)))</f>
        <v/>
      </c>
      <c r="CE330" s="136" t="str">
        <f aca="false">IF($BR330&lt;&gt;Constants!$B$8,"",IF(AND(NOT($AL330),NOT($AT330),$AJ330,$AK330,$AR330,$AS330),"",$AI330))</f>
        <v/>
      </c>
      <c r="CF330" s="133" t="str">
        <f aca="false">IF(ISBLANK($C330),"",IF($BR330&lt;&gt;Constants!$B$8,$BR330,IF(ISNUMBER($CE330),RANK($CE330,$CE$9:$CE$508,1),COUNT($CE$9:$CE$508)+1)))</f>
        <v/>
      </c>
      <c r="CG330" s="133" t="str">
        <f aca="false">IF(ISBLANK($C330),"",IF($BR330&lt;&gt;Constants!$B$8,$BR330,COUNTIFS($BX$9:$BX$508,"&lt;"&amp;$BX330)+COUNTIFS($BX$9:$BX$508,$BX330,$BZ$9:$BZ$508,"&lt;"&amp;$BZ330)+COUNTIFS($BX$9:$BX$508,$BX330,$BZ$9:$BZ$508,$BZ330,$CB$9:$CB$508,"&lt;"&amp;$CB330)+COUNTIFS($BX$9:$BX$508,$BX330,$BZ$9:$BZ$508,$BZ330,$CB$9:$CB$508,$CB330,$CD$9:$CD$508,"&lt;"&amp;$CD330)+COUNTIFS($BX$9:$BX$508,$BX330,$BZ$9:$BZ$508,$BZ330,$CB$9:$CB$508,$CB330,$CD$9:$CD$508,$CD330,$CF$9:$CF$508,"&lt;"&amp;$CF330)+1))</f>
        <v/>
      </c>
      <c r="CH330" s="133" t="str">
        <f aca="false">IF(ISBLANK($C330),"",IF($BR330&lt;&gt;Constants!$B$8,$BR330,$BX330-$CG330))</f>
        <v/>
      </c>
      <c r="CI330" s="138"/>
      <c r="CJ330" s="139"/>
      <c r="CK330" s="140" t="str">
        <f aca="false">IF(ISBLANK($C330),"",IF($BR330=Constants!$B$12,$BQ330,""))</f>
        <v/>
      </c>
      <c r="CL330" s="139" t="str">
        <f aca="false">IF(ISBLANK($C330),"",IF($BR330&lt;&gt;Constants!$B$8,"",IF($BI330="-&gt;",2,1)))</f>
        <v/>
      </c>
      <c r="CM330" s="141" t="str">
        <f aca="false">IF(ISBLANK($C330),"",IF($BR330&lt;&gt;Constants!$B$8,"",IF($BI330="-&gt;",$BK330,$BC330)))</f>
        <v/>
      </c>
      <c r="CN330" s="141" t="str">
        <f aca="false">IF(ISBLANK($C330),"",IF($BR330&lt;&gt;Constants!$B$8,"",IF($BI330="-&gt;",$BL330,$BD330)))</f>
        <v/>
      </c>
      <c r="CO330" s="141" t="str">
        <f aca="false">IF(ISBLANK($C330),"",IF($BR330&lt;&gt;Constants!$B$8,"",IF($BI330="-&gt;",$BM330+$BN330,$BE330+$BF330)+$BV330))</f>
        <v/>
      </c>
      <c r="CP330" s="141" t="str">
        <f aca="false">IF(ISBLANK($C330),"",IF($BR330&lt;&gt;Constants!$B$8,"",IF($BI330="-&gt;",$BO330,$BG330)+$BU330))</f>
        <v/>
      </c>
      <c r="CQ330" s="142" t="str">
        <f aca="false">IF(ISBLANK($C330),"",IF($BR330&lt;&gt;Constants!$B$8,$BR330,$BW330))</f>
        <v/>
      </c>
      <c r="CR330" s="143" t="str">
        <f aca="false">IF(ISBLANK($C330),"",$BS330)</f>
        <v/>
      </c>
      <c r="CS330" s="144" t="str">
        <f aca="false">IF(ISBLANK($C330),"",$CH330)</f>
        <v/>
      </c>
      <c r="CT330" s="144" t="str">
        <f aca="false">IF(ISBLANK($C330),"",$CG330)</f>
        <v/>
      </c>
      <c r="CU330" s="145" t="str">
        <f aca="false">IF(ISBLANK($C330),"",IFERROR(_xlfn.SWITCH($CT330,Constants!$B$11,COUNTA($C$9:$C$508)+2,Constants!$B$10,COUNTA($C$9:$C$508)+1,Constants!$B$9,COUNTA($C$9:$C$508)),$CT330))</f>
        <v/>
      </c>
      <c r="CV330" s="9"/>
      <c r="CW330" s="146" t="n">
        <f aca="false">IF(OR(ISNUMBER($CT330),$CT330=Constants!$B$11,$CT330=Constants!$B$9,$CT330=Constants!$B$10),1,0)</f>
        <v>0</v>
      </c>
      <c r="CX330" s="146" t="n">
        <v>322</v>
      </c>
      <c r="CY330" s="146" t="str">
        <f aca="false">IF(ISBLANK($C330),"",IF(ISNUMBER($CU330),$CU330+ROW($B330)/1000,""))</f>
        <v/>
      </c>
      <c r="CZ330" s="146" t="str">
        <f aca="false">IF(ISNUMBER($CY330),RANK($CY330,$CY$9:$CY$508,1),"")</f>
        <v/>
      </c>
      <c r="DA330" s="146" t="str">
        <f aca="false">IF(ISBLANK($C330),"",$B330)</f>
        <v/>
      </c>
      <c r="DB330" s="146" t="str">
        <f aca="false">IF(ISBLANK($C330),"",$C330)</f>
        <v/>
      </c>
      <c r="DC330" s="146" t="str">
        <f aca="false">IF(ISBLANK($C330),"",$D330)</f>
        <v/>
      </c>
      <c r="DD330" s="147" t="str">
        <f aca="false">$CR330</f>
        <v/>
      </c>
      <c r="DE330" s="148" t="str">
        <f aca="false">$CQ330</f>
        <v/>
      </c>
      <c r="DF330" s="146" t="str">
        <f aca="false">IF(ISBLANK($C330),"",$CT330)</f>
        <v/>
      </c>
      <c r="DG330" s="149" t="str">
        <f aca="false">IF($CX330&gt;$CW$8,"",VLOOKUP($CX330,$CZ$9:$DF$508,7,FALSE()))</f>
        <v/>
      </c>
      <c r="DH330" s="150" t="str">
        <f aca="false">IF($CX330&gt;$CW$8,"",VLOOKUP($CX330,$CZ$9:$DF$508,2,FALSE()))</f>
        <v/>
      </c>
      <c r="DI330" s="150" t="str">
        <f aca="false">IF($CX330&gt;$CW$8,"",VLOOKUP($CX330,$CZ$9:$DF$508,3,FALSE()))</f>
        <v/>
      </c>
      <c r="DJ330" s="150" t="str">
        <f aca="false">IF($CX330&gt;$CW$8,"",VLOOKUP($CX330,$CZ$9:$DF$508,4,FALSE()))</f>
        <v/>
      </c>
      <c r="DK330" s="150" t="str">
        <f aca="false">IF($CX330&gt;$CW$8,"",VLOOKUP($CX330,$CZ$9:$DF$508,5,FALSE()))</f>
        <v/>
      </c>
      <c r="DL330" s="151" t="str">
        <f aca="false">IF($CX330&gt;$CW$8,"",VLOOKUP($CX330,$CZ$9:$DF$508,6,FALSE()))</f>
        <v/>
      </c>
      <c r="DM330" s="75"/>
    </row>
    <row r="331" customFormat="false" ht="15.75" hidden="false" customHeight="false" outlineLevel="0" collapsed="false">
      <c r="A331" s="9"/>
      <c r="B331" s="157"/>
      <c r="C331" s="158"/>
      <c r="D331" s="159"/>
      <c r="E331" s="177"/>
      <c r="F331" s="161"/>
      <c r="G331" s="162"/>
      <c r="H331" s="162"/>
      <c r="I331" s="178"/>
      <c r="J331" s="165"/>
      <c r="K331" s="126"/>
      <c r="L331" s="127"/>
      <c r="M331" s="128"/>
      <c r="N331" s="165"/>
      <c r="O331" s="165"/>
      <c r="P331" s="177"/>
      <c r="Q331" s="165"/>
      <c r="R331" s="165"/>
      <c r="S331" s="126"/>
      <c r="T331" s="128"/>
      <c r="U331" s="128"/>
      <c r="V331" s="165"/>
      <c r="W331" s="165"/>
      <c r="X331" s="177"/>
      <c r="Y331" s="165"/>
      <c r="Z331" s="166"/>
      <c r="AA331" s="165"/>
      <c r="AB331" s="132"/>
      <c r="AC331" s="133"/>
      <c r="AD331" s="133"/>
      <c r="AE331" s="133"/>
      <c r="AF331" s="133" t="str">
        <f aca="false">IF(ISBLANK($C331),"",IF(E331=Constants!$B$3,TRUE(),IF(E331=Constants!$B$4,FALSE(),TRUE())))</f>
        <v/>
      </c>
      <c r="AG331" s="133" t="str">
        <f aca="false">IF(ISBLANK($C331),"",IF(F331=Constants!$B$3,TRUE(),IF(F331=Constants!$B$4,FALSE(),TRUE())))</f>
        <v/>
      </c>
      <c r="AH331" s="133" t="str">
        <f aca="false">IF(ISBLANK($C331),"",IF(G331=Constants!$B$3,TRUE(),IF(G331=Constants!$B$4,FALSE(),TRUE())))</f>
        <v/>
      </c>
      <c r="AI331" s="133" t="str">
        <f aca="false">IF(ISBLANK($C331),"",IF(AND(ISNUMBER(H331),H331&gt;=0),H331,Constants!$B$29))</f>
        <v/>
      </c>
      <c r="AJ331" s="133" t="str">
        <f aca="false">IF(ISBLANK($C331),"",IF(I331=Constants!$B$3,TRUE(),IF(I331=Constants!$B$4,FALSE(),TRUE())))</f>
        <v/>
      </c>
      <c r="AK331" s="133" t="str">
        <f aca="false">IF(ISBLANK($C331),"",IF(J331=Constants!$B$3,TRUE(),IF(J331=Constants!$B$4,FALSE(),TRUE())))</f>
        <v/>
      </c>
      <c r="AL331" s="133" t="str">
        <f aca="false">IF(ISBLANK($C331),"",IF(K331=Constants!$B$5,TRUE(),IF(K331=Constants!$B$6,FALSE(),COUNTA(L331:P331)&gt;0)))</f>
        <v/>
      </c>
      <c r="AM331" s="134" t="str">
        <f aca="false">IF(ISBLANK($C331),"",IF(ISNUMBER(L331),IF(L331&gt;=0,L331,""),""))</f>
        <v/>
      </c>
      <c r="AN331" s="135" t="str">
        <f aca="false">IF(ISBLANK($C331),"",IF(ISNUMBER(M331),IF(M331&gt;=0,M331,""),""))</f>
        <v/>
      </c>
      <c r="AO331" s="135" t="str">
        <f aca="false">IF(ISBLANK($C331),"",IF(N331=Constants!$B$3,TRUE(),IF(N331=Constants!$B$4,FALSE(),TRUE())))</f>
        <v/>
      </c>
      <c r="AP331" s="133" t="str">
        <f aca="false">IF(ISBLANK($C331),"",IF(ISNUMBER(O331),IF(O331&gt;=0,O331,""),""))</f>
        <v/>
      </c>
      <c r="AQ331" s="133" t="str">
        <f aca="false">IF(ISBLANK($C331),"",IF(P331=Constants!$B$3,TRUE(),IF(P331=Constants!$B$4,FALSE(),FALSE())))</f>
        <v/>
      </c>
      <c r="AR331" s="133" t="str">
        <f aca="false">IF(ISBLANK($C331),"",IF(Q331=Constants!$B$3,TRUE(),IF(Q331=Constants!$B$4,FALSE(),TRUE())))</f>
        <v/>
      </c>
      <c r="AS331" s="133" t="str">
        <f aca="false">IF(ISBLANK($C331),"",IF(R331=Constants!$B$3,TRUE(),IF(R331=Constants!$B$4,FALSE(),TRUE())))</f>
        <v/>
      </c>
      <c r="AT331" s="133" t="str">
        <f aca="false">IF(ISBLANK($C331),"",IF(S331=Constants!$B$5,TRUE(),IF(S331=Constants!$B$6,FALSE(),COUNTA(T331:X331)&gt;0)))</f>
        <v/>
      </c>
      <c r="AU331" s="134" t="str">
        <f aca="false">IF(ISBLANK($C331),"",IF(ISNUMBER(T331),IF(T331&gt;=0,T331,""),""))</f>
        <v/>
      </c>
      <c r="AV331" s="135" t="str">
        <f aca="false">IF(ISBLANK($C331),"",IF(ISNUMBER(U331),IF(U331&gt;=0,U331,""),""))</f>
        <v/>
      </c>
      <c r="AW331" s="135" t="str">
        <f aca="false">IF(ISBLANK($C331),"",IF(V331=Constants!$B$3,TRUE(),IF(V331=Constants!$B$4,FALSE(),TRUE())))</f>
        <v/>
      </c>
      <c r="AX331" s="133" t="str">
        <f aca="false">IF(ISBLANK($C331),"",IF(ISNUMBER(W331),IF(W331&gt;=0,W331,""),""))</f>
        <v/>
      </c>
      <c r="AY331" s="133" t="str">
        <f aca="false">IF(ISBLANK($C331),"",IF(X331=Constants!$B$3,TRUE(),IF(X331=Constants!$B$4,FALSE(),FALSE())))</f>
        <v/>
      </c>
      <c r="AZ331" s="133" t="str">
        <f aca="false">IF(ISBLANK($C331),"",MIN(Constants!$B$31,MAX(0,IF(ISNUMBER(Y331),Y331*60,0)+IF(ISNUMBER(Z331),Z331,0))))</f>
        <v/>
      </c>
      <c r="BA331" s="133" t="str">
        <f aca="false">IF(ISBLANK($C331),"",IF(AA331=Constants!$B$3,TRUE(),IF(AA331=Constants!$B$4,FALSE(),FALSE())))</f>
        <v/>
      </c>
      <c r="BB331" s="132" t="str">
        <f aca="false">IF(ISBLANK($C331),"",AND($AL331,OR($AM331="",$AN331="",AND($AO331,$AP331=""))))</f>
        <v/>
      </c>
      <c r="BC331" s="135" t="str">
        <f aca="false">IF($BR331&lt;&gt;Constants!$B$8,"",IF($AL331,Constants!$B$21*$AN331+Constants!$B$22*IF($AO331,$AP331,Constants!$B$23),Constants!$B$24))</f>
        <v/>
      </c>
      <c r="BD331" s="136" t="str">
        <f aca="false">IF($BR331&lt;&gt;Constants!$B$8,"",Constants!$B$25*ABS($AD$9-IF($AL331,$AM331,0)))</f>
        <v/>
      </c>
      <c r="BE331" s="136" t="str">
        <f aca="false">IF($BR331&lt;&gt;Constants!$B$8,"",IF(AND($AL331,$AQ331,$AO331),Constants!$B$27,0))</f>
        <v/>
      </c>
      <c r="BF331" s="136" t="str">
        <f aca="false">IF($BR331&lt;&gt;Constants!$B$8,"",IF($AL331,($AI331-Constants!$B$29)*Constants!$B$28,0))</f>
        <v/>
      </c>
      <c r="BG331" s="136" t="str">
        <f aca="false">IF($BR331&lt;&gt;Constants!$B$8,"",IF($AK331,0,Constants!$B$15)+IF($AJ331,0,Constants!$B$16)+IF($AH331,0,Constants!$B$17))</f>
        <v/>
      </c>
      <c r="BH331" s="137" t="str">
        <f aca="false">IF($BR331&lt;&gt;Constants!$B$8,"",Constants!$B$20+SUM($BC331:$BG331))</f>
        <v/>
      </c>
      <c r="BI331" s="133" t="str">
        <f aca="false">IF($BR331&lt;&gt;Constants!$B$8,"",IF(OR($BP331&lt;$BH331,AND($BP331=$BH331,OR($BK331&lt;$BC331,AND($BK331=$BC331,OR($BL331&lt;$BD331,AND($BL331=$BD331,$AT331,$AL331,$AV331&lt;$AN331)))))),"-&gt;","&lt;-"))</f>
        <v/>
      </c>
      <c r="BJ331" s="132" t="str">
        <f aca="false">IF(ISBLANK($C331),"",AND($AT331,OR($AU331="",$AV331="",AND($AW331,$AX331=""))))</f>
        <v/>
      </c>
      <c r="BK331" s="135" t="str">
        <f aca="false">IF($BR331&lt;&gt;Constants!$B$8,"",IF($AT331,Constants!$B$21*$AV331+Constants!$B$22*IF($AW331,$AX331,Constants!$B$23),Constants!$B$24))</f>
        <v/>
      </c>
      <c r="BL331" s="136" t="str">
        <f aca="false">IF($BR331&lt;&gt;Constants!$B$8,"",Constants!$B$25*ABS($AD$9-IF($AT331,$AU331,0)))</f>
        <v/>
      </c>
      <c r="BM331" s="136" t="str">
        <f aca="false">IF($BR331&lt;&gt;Constants!$B$8,"",IF(AND($AT331,$AY331,$AW331),Constants!$B$27,0))</f>
        <v/>
      </c>
      <c r="BN331" s="136" t="str">
        <f aca="false">IF($BR331&lt;&gt;Constants!$B$8,"",IF($AT331,($AI331-Constants!$B$29)*Constants!$B$28,0))</f>
        <v/>
      </c>
      <c r="BO331" s="136" t="str">
        <f aca="false">IF($BR331&lt;&gt;Constants!$B$8,"",IF($AS331,0,Constants!$B$15)+IF($AR331,0,Constants!$B$16)+IF($AH331,0,Constants!$B$17))</f>
        <v/>
      </c>
      <c r="BP331" s="137" t="str">
        <f aca="false">IF($BR331&lt;&gt;Constants!$B$8,"",Constants!$B$20+SUM($BK331:$BO331))</f>
        <v/>
      </c>
      <c r="BQ331" s="133" t="str">
        <f aca="false">IF(ISBLANK($C331),"",IF(ISBLANK($D$7),$BQ$5,IF(NOT(ISNUMBER($D$7)),$BQ$6,"")))</f>
        <v/>
      </c>
      <c r="BR331" s="133" t="str">
        <f aca="false">IF(ISBLANK($C331),"",IF($BA331,Constants!$B$11,IF(COUNTA($E331:$AA331)=0,Constants!$B$10,IF(NOT($AG331),Constants!$B$9,IF(OR($BQ331&lt;&gt;"",$BB331,$BJ331),Constants!$B$12,Constants!$B$8)))))</f>
        <v/>
      </c>
      <c r="BS331" s="133" t="str">
        <f aca="false">IF(ISBLANK($C331),"",IF($BR331&lt;&gt;Constants!$B$8,$BR331,Constants!$B$13))</f>
        <v/>
      </c>
      <c r="BT331" s="136" t="str">
        <f aca="false">IF($BR331&lt;&gt;Constants!$B$8,"",IF($BI331="-&gt;",$BP331,$BH331))</f>
        <v/>
      </c>
      <c r="BU331" s="136" t="str">
        <f aca="false">IF($BR331&lt;&gt;Constants!$B$8,"",IF($AF331,0,Constants!$B$18))</f>
        <v/>
      </c>
      <c r="BV331" s="136" t="str">
        <f aca="false">IF($BR331&lt;&gt;Constants!$B$8,"",((Constants!$B$31-$AZ331)-Constants!$B$31)/Constants!$B$32)</f>
        <v/>
      </c>
      <c r="BW331" s="136" t="str">
        <f aca="false">IF(ISBLANK($C331),"",IF($BR331&lt;&gt;Constants!$B$8,$BR331,SUM($BT331:$BV331)))</f>
        <v/>
      </c>
      <c r="BX331" s="133" t="str">
        <f aca="false">IF(ISBLANK($C331),"",IF($BR331&lt;&gt;Constants!$B$8,$BR331,RANK($BW331,$BW$9:$BW$508,1)))</f>
        <v/>
      </c>
      <c r="BY331" s="136" t="str">
        <f aca="false">IF($BR331&lt;&gt;Constants!$B$8,"",IF($BI331="-&gt;",$BK331,$BC331))</f>
        <v/>
      </c>
      <c r="BZ331" s="133" t="str">
        <f aca="false">IF(ISBLANK($C331),"",IF($BR331&lt;&gt;Constants!$B$8,$BR331,IF(ISNUMBER($BY331),RANK($BY331,$BY$9:$BY$508,1),COUNT($BY$9:$BY$508)+1)))</f>
        <v/>
      </c>
      <c r="CA331" s="136" t="str">
        <f aca="false">IF($BR331&lt;&gt;Constants!$B$8,"",IF($BI331="-&gt;",$BL331,$BD331))</f>
        <v/>
      </c>
      <c r="CB331" s="133" t="str">
        <f aca="false">IF(ISBLANK($C331),"",IF($BR331&lt;&gt;Constants!$B$8,$BR331,IF(ISNUMBER($CA331),RANK($CA331,$CA$9:$CA$508,1),COUNT($CA$9:$CA$508)+1)))</f>
        <v/>
      </c>
      <c r="CC331" s="136" t="str">
        <f aca="false">IF($BR331&lt;&gt;Constants!$B$8,"",IF($BI331="-&gt;",IF($AT331,$AV331,""),IF($AL331,$AN331,"")))</f>
        <v/>
      </c>
      <c r="CD331" s="133" t="str">
        <f aca="false">IF(ISBLANK($C331),"",IF($BR331&lt;&gt;Constants!$B$8,$BR331,IF(ISNUMBER($CC331),RANK($CC331,$CC$9:$CC$508,1),COUNT($CC$9:$CC$508)+1)))</f>
        <v/>
      </c>
      <c r="CE331" s="136" t="str">
        <f aca="false">IF($BR331&lt;&gt;Constants!$B$8,"",IF(AND(NOT($AL331),NOT($AT331),$AJ331,$AK331,$AR331,$AS331),"",$AI331))</f>
        <v/>
      </c>
      <c r="CF331" s="133" t="str">
        <f aca="false">IF(ISBLANK($C331),"",IF($BR331&lt;&gt;Constants!$B$8,$BR331,IF(ISNUMBER($CE331),RANK($CE331,$CE$9:$CE$508,1),COUNT($CE$9:$CE$508)+1)))</f>
        <v/>
      </c>
      <c r="CG331" s="133" t="str">
        <f aca="false">IF(ISBLANK($C331),"",IF($BR331&lt;&gt;Constants!$B$8,$BR331,COUNTIFS($BX$9:$BX$508,"&lt;"&amp;$BX331)+COUNTIFS($BX$9:$BX$508,$BX331,$BZ$9:$BZ$508,"&lt;"&amp;$BZ331)+COUNTIFS($BX$9:$BX$508,$BX331,$BZ$9:$BZ$508,$BZ331,$CB$9:$CB$508,"&lt;"&amp;$CB331)+COUNTIFS($BX$9:$BX$508,$BX331,$BZ$9:$BZ$508,$BZ331,$CB$9:$CB$508,$CB331,$CD$9:$CD$508,"&lt;"&amp;$CD331)+COUNTIFS($BX$9:$BX$508,$BX331,$BZ$9:$BZ$508,$BZ331,$CB$9:$CB$508,$CB331,$CD$9:$CD$508,$CD331,$CF$9:$CF$508,"&lt;"&amp;$CF331)+1))</f>
        <v/>
      </c>
      <c r="CH331" s="133" t="str">
        <f aca="false">IF(ISBLANK($C331),"",IF($BR331&lt;&gt;Constants!$B$8,$BR331,$BX331-$CG331))</f>
        <v/>
      </c>
      <c r="CI331" s="138"/>
      <c r="CJ331" s="139"/>
      <c r="CK331" s="140" t="str">
        <f aca="false">IF(ISBLANK($C331),"",IF($BR331=Constants!$B$12,$BQ331,""))</f>
        <v/>
      </c>
      <c r="CL331" s="139" t="str">
        <f aca="false">IF(ISBLANK($C331),"",IF($BR331&lt;&gt;Constants!$B$8,"",IF($BI331="-&gt;",2,1)))</f>
        <v/>
      </c>
      <c r="CM331" s="141" t="str">
        <f aca="false">IF(ISBLANK($C331),"",IF($BR331&lt;&gt;Constants!$B$8,"",IF($BI331="-&gt;",$BK331,$BC331)))</f>
        <v/>
      </c>
      <c r="CN331" s="141" t="str">
        <f aca="false">IF(ISBLANK($C331),"",IF($BR331&lt;&gt;Constants!$B$8,"",IF($BI331="-&gt;",$BL331,$BD331)))</f>
        <v/>
      </c>
      <c r="CO331" s="141" t="str">
        <f aca="false">IF(ISBLANK($C331),"",IF($BR331&lt;&gt;Constants!$B$8,"",IF($BI331="-&gt;",$BM331+$BN331,$BE331+$BF331)+$BV331))</f>
        <v/>
      </c>
      <c r="CP331" s="141" t="str">
        <f aca="false">IF(ISBLANK($C331),"",IF($BR331&lt;&gt;Constants!$B$8,"",IF($BI331="-&gt;",$BO331,$BG331)+$BU331))</f>
        <v/>
      </c>
      <c r="CQ331" s="142" t="str">
        <f aca="false">IF(ISBLANK($C331),"",IF($BR331&lt;&gt;Constants!$B$8,$BR331,$BW331))</f>
        <v/>
      </c>
      <c r="CR331" s="143" t="str">
        <f aca="false">IF(ISBLANK($C331),"",$BS331)</f>
        <v/>
      </c>
      <c r="CS331" s="144" t="str">
        <f aca="false">IF(ISBLANK($C331),"",$CH331)</f>
        <v/>
      </c>
      <c r="CT331" s="144" t="str">
        <f aca="false">IF(ISBLANK($C331),"",$CG331)</f>
        <v/>
      </c>
      <c r="CU331" s="145" t="str">
        <f aca="false">IF(ISBLANK($C331),"",IFERROR(_xlfn.SWITCH($CT331,Constants!$B$11,COUNTA($C$9:$C$508)+2,Constants!$B$10,COUNTA($C$9:$C$508)+1,Constants!$B$9,COUNTA($C$9:$C$508)),$CT331))</f>
        <v/>
      </c>
      <c r="CV331" s="9"/>
      <c r="CW331" s="146" t="n">
        <f aca="false">IF(OR(ISNUMBER($CT331),$CT331=Constants!$B$11,$CT331=Constants!$B$9,$CT331=Constants!$B$10),1,0)</f>
        <v>0</v>
      </c>
      <c r="CX331" s="146" t="n">
        <v>323</v>
      </c>
      <c r="CY331" s="146" t="str">
        <f aca="false">IF(ISBLANK($C331),"",IF(ISNUMBER($CU331),$CU331+ROW($B331)/1000,""))</f>
        <v/>
      </c>
      <c r="CZ331" s="146" t="str">
        <f aca="false">IF(ISNUMBER($CY331),RANK($CY331,$CY$9:$CY$508,1),"")</f>
        <v/>
      </c>
      <c r="DA331" s="146" t="str">
        <f aca="false">IF(ISBLANK($C331),"",$B331)</f>
        <v/>
      </c>
      <c r="DB331" s="146" t="str">
        <f aca="false">IF(ISBLANK($C331),"",$C331)</f>
        <v/>
      </c>
      <c r="DC331" s="146" t="str">
        <f aca="false">IF(ISBLANK($C331),"",$D331)</f>
        <v/>
      </c>
      <c r="DD331" s="147" t="str">
        <f aca="false">$CR331</f>
        <v/>
      </c>
      <c r="DE331" s="148" t="str">
        <f aca="false">$CQ331</f>
        <v/>
      </c>
      <c r="DF331" s="146" t="str">
        <f aca="false">IF(ISBLANK($C331),"",$CT331)</f>
        <v/>
      </c>
      <c r="DG331" s="149" t="str">
        <f aca="false">IF($CX331&gt;$CW$8,"",VLOOKUP($CX331,$CZ$9:$DF$508,7,FALSE()))</f>
        <v/>
      </c>
      <c r="DH331" s="150" t="str">
        <f aca="false">IF($CX331&gt;$CW$8,"",VLOOKUP($CX331,$CZ$9:$DF$508,2,FALSE()))</f>
        <v/>
      </c>
      <c r="DI331" s="150" t="str">
        <f aca="false">IF($CX331&gt;$CW$8,"",VLOOKUP($CX331,$CZ$9:$DF$508,3,FALSE()))</f>
        <v/>
      </c>
      <c r="DJ331" s="150" t="str">
        <f aca="false">IF($CX331&gt;$CW$8,"",VLOOKUP($CX331,$CZ$9:$DF$508,4,FALSE()))</f>
        <v/>
      </c>
      <c r="DK331" s="150" t="str">
        <f aca="false">IF($CX331&gt;$CW$8,"",VLOOKUP($CX331,$CZ$9:$DF$508,5,FALSE()))</f>
        <v/>
      </c>
      <c r="DL331" s="151" t="str">
        <f aca="false">IF($CX331&gt;$CW$8,"",VLOOKUP($CX331,$CZ$9:$DF$508,6,FALSE()))</f>
        <v/>
      </c>
      <c r="DM331" s="75"/>
    </row>
    <row r="332" customFormat="false" ht="15.75" hidden="false" customHeight="false" outlineLevel="0" collapsed="false">
      <c r="A332" s="9"/>
      <c r="B332" s="157"/>
      <c r="C332" s="158"/>
      <c r="D332" s="159"/>
      <c r="E332" s="177"/>
      <c r="F332" s="161"/>
      <c r="G332" s="162"/>
      <c r="H332" s="162"/>
      <c r="I332" s="178"/>
      <c r="J332" s="165"/>
      <c r="K332" s="126"/>
      <c r="L332" s="127"/>
      <c r="M332" s="128"/>
      <c r="N332" s="165"/>
      <c r="O332" s="165"/>
      <c r="P332" s="177"/>
      <c r="Q332" s="165"/>
      <c r="R332" s="165"/>
      <c r="S332" s="126"/>
      <c r="T332" s="128"/>
      <c r="U332" s="128"/>
      <c r="V332" s="165"/>
      <c r="W332" s="165"/>
      <c r="X332" s="177"/>
      <c r="Y332" s="165"/>
      <c r="Z332" s="166"/>
      <c r="AA332" s="165"/>
      <c r="AB332" s="132"/>
      <c r="AC332" s="133"/>
      <c r="AD332" s="133"/>
      <c r="AE332" s="133"/>
      <c r="AF332" s="133" t="str">
        <f aca="false">IF(ISBLANK($C332),"",IF(E332=Constants!$B$3,TRUE(),IF(E332=Constants!$B$4,FALSE(),TRUE())))</f>
        <v/>
      </c>
      <c r="AG332" s="133" t="str">
        <f aca="false">IF(ISBLANK($C332),"",IF(F332=Constants!$B$3,TRUE(),IF(F332=Constants!$B$4,FALSE(),TRUE())))</f>
        <v/>
      </c>
      <c r="AH332" s="133" t="str">
        <f aca="false">IF(ISBLANK($C332),"",IF(G332=Constants!$B$3,TRUE(),IF(G332=Constants!$B$4,FALSE(),TRUE())))</f>
        <v/>
      </c>
      <c r="AI332" s="133" t="str">
        <f aca="false">IF(ISBLANK($C332),"",IF(AND(ISNUMBER(H332),H332&gt;=0),H332,Constants!$B$29))</f>
        <v/>
      </c>
      <c r="AJ332" s="133" t="str">
        <f aca="false">IF(ISBLANK($C332),"",IF(I332=Constants!$B$3,TRUE(),IF(I332=Constants!$B$4,FALSE(),TRUE())))</f>
        <v/>
      </c>
      <c r="AK332" s="133" t="str">
        <f aca="false">IF(ISBLANK($C332),"",IF(J332=Constants!$B$3,TRUE(),IF(J332=Constants!$B$4,FALSE(),TRUE())))</f>
        <v/>
      </c>
      <c r="AL332" s="133" t="str">
        <f aca="false">IF(ISBLANK($C332),"",IF(K332=Constants!$B$5,TRUE(),IF(K332=Constants!$B$6,FALSE(),COUNTA(L332:P332)&gt;0)))</f>
        <v/>
      </c>
      <c r="AM332" s="134" t="str">
        <f aca="false">IF(ISBLANK($C332),"",IF(ISNUMBER(L332),IF(L332&gt;=0,L332,""),""))</f>
        <v/>
      </c>
      <c r="AN332" s="135" t="str">
        <f aca="false">IF(ISBLANK($C332),"",IF(ISNUMBER(M332),IF(M332&gt;=0,M332,""),""))</f>
        <v/>
      </c>
      <c r="AO332" s="135" t="str">
        <f aca="false">IF(ISBLANK($C332),"",IF(N332=Constants!$B$3,TRUE(),IF(N332=Constants!$B$4,FALSE(),TRUE())))</f>
        <v/>
      </c>
      <c r="AP332" s="133" t="str">
        <f aca="false">IF(ISBLANK($C332),"",IF(ISNUMBER(O332),IF(O332&gt;=0,O332,""),""))</f>
        <v/>
      </c>
      <c r="AQ332" s="133" t="str">
        <f aca="false">IF(ISBLANK($C332),"",IF(P332=Constants!$B$3,TRUE(),IF(P332=Constants!$B$4,FALSE(),FALSE())))</f>
        <v/>
      </c>
      <c r="AR332" s="133" t="str">
        <f aca="false">IF(ISBLANK($C332),"",IF(Q332=Constants!$B$3,TRUE(),IF(Q332=Constants!$B$4,FALSE(),TRUE())))</f>
        <v/>
      </c>
      <c r="AS332" s="133" t="str">
        <f aca="false">IF(ISBLANK($C332),"",IF(R332=Constants!$B$3,TRUE(),IF(R332=Constants!$B$4,FALSE(),TRUE())))</f>
        <v/>
      </c>
      <c r="AT332" s="133" t="str">
        <f aca="false">IF(ISBLANK($C332),"",IF(S332=Constants!$B$5,TRUE(),IF(S332=Constants!$B$6,FALSE(),COUNTA(T332:X332)&gt;0)))</f>
        <v/>
      </c>
      <c r="AU332" s="134" t="str">
        <f aca="false">IF(ISBLANK($C332),"",IF(ISNUMBER(T332),IF(T332&gt;=0,T332,""),""))</f>
        <v/>
      </c>
      <c r="AV332" s="135" t="str">
        <f aca="false">IF(ISBLANK($C332),"",IF(ISNUMBER(U332),IF(U332&gt;=0,U332,""),""))</f>
        <v/>
      </c>
      <c r="AW332" s="135" t="str">
        <f aca="false">IF(ISBLANK($C332),"",IF(V332=Constants!$B$3,TRUE(),IF(V332=Constants!$B$4,FALSE(),TRUE())))</f>
        <v/>
      </c>
      <c r="AX332" s="133" t="str">
        <f aca="false">IF(ISBLANK($C332),"",IF(ISNUMBER(W332),IF(W332&gt;=0,W332,""),""))</f>
        <v/>
      </c>
      <c r="AY332" s="133" t="str">
        <f aca="false">IF(ISBLANK($C332),"",IF(X332=Constants!$B$3,TRUE(),IF(X332=Constants!$B$4,FALSE(),FALSE())))</f>
        <v/>
      </c>
      <c r="AZ332" s="133" t="str">
        <f aca="false">IF(ISBLANK($C332),"",MIN(Constants!$B$31,MAX(0,IF(ISNUMBER(Y332),Y332*60,0)+IF(ISNUMBER(Z332),Z332,0))))</f>
        <v/>
      </c>
      <c r="BA332" s="133" t="str">
        <f aca="false">IF(ISBLANK($C332),"",IF(AA332=Constants!$B$3,TRUE(),IF(AA332=Constants!$B$4,FALSE(),FALSE())))</f>
        <v/>
      </c>
      <c r="BB332" s="132" t="str">
        <f aca="false">IF(ISBLANK($C332),"",AND($AL332,OR($AM332="",$AN332="",AND($AO332,$AP332=""))))</f>
        <v/>
      </c>
      <c r="BC332" s="135" t="str">
        <f aca="false">IF($BR332&lt;&gt;Constants!$B$8,"",IF($AL332,Constants!$B$21*$AN332+Constants!$B$22*IF($AO332,$AP332,Constants!$B$23),Constants!$B$24))</f>
        <v/>
      </c>
      <c r="BD332" s="136" t="str">
        <f aca="false">IF($BR332&lt;&gt;Constants!$B$8,"",Constants!$B$25*ABS($AD$9-IF($AL332,$AM332,0)))</f>
        <v/>
      </c>
      <c r="BE332" s="136" t="str">
        <f aca="false">IF($BR332&lt;&gt;Constants!$B$8,"",IF(AND($AL332,$AQ332,$AO332),Constants!$B$27,0))</f>
        <v/>
      </c>
      <c r="BF332" s="136" t="str">
        <f aca="false">IF($BR332&lt;&gt;Constants!$B$8,"",IF($AL332,($AI332-Constants!$B$29)*Constants!$B$28,0))</f>
        <v/>
      </c>
      <c r="BG332" s="136" t="str">
        <f aca="false">IF($BR332&lt;&gt;Constants!$B$8,"",IF($AK332,0,Constants!$B$15)+IF($AJ332,0,Constants!$B$16)+IF($AH332,0,Constants!$B$17))</f>
        <v/>
      </c>
      <c r="BH332" s="137" t="str">
        <f aca="false">IF($BR332&lt;&gt;Constants!$B$8,"",Constants!$B$20+SUM($BC332:$BG332))</f>
        <v/>
      </c>
      <c r="BI332" s="133" t="str">
        <f aca="false">IF($BR332&lt;&gt;Constants!$B$8,"",IF(OR($BP332&lt;$BH332,AND($BP332=$BH332,OR($BK332&lt;$BC332,AND($BK332=$BC332,OR($BL332&lt;$BD332,AND($BL332=$BD332,$AT332,$AL332,$AV332&lt;$AN332)))))),"-&gt;","&lt;-"))</f>
        <v/>
      </c>
      <c r="BJ332" s="132" t="str">
        <f aca="false">IF(ISBLANK($C332),"",AND($AT332,OR($AU332="",$AV332="",AND($AW332,$AX332=""))))</f>
        <v/>
      </c>
      <c r="BK332" s="135" t="str">
        <f aca="false">IF($BR332&lt;&gt;Constants!$B$8,"",IF($AT332,Constants!$B$21*$AV332+Constants!$B$22*IF($AW332,$AX332,Constants!$B$23),Constants!$B$24))</f>
        <v/>
      </c>
      <c r="BL332" s="136" t="str">
        <f aca="false">IF($BR332&lt;&gt;Constants!$B$8,"",Constants!$B$25*ABS($AD$9-IF($AT332,$AU332,0)))</f>
        <v/>
      </c>
      <c r="BM332" s="136" t="str">
        <f aca="false">IF($BR332&lt;&gt;Constants!$B$8,"",IF(AND($AT332,$AY332,$AW332),Constants!$B$27,0))</f>
        <v/>
      </c>
      <c r="BN332" s="136" t="str">
        <f aca="false">IF($BR332&lt;&gt;Constants!$B$8,"",IF($AT332,($AI332-Constants!$B$29)*Constants!$B$28,0))</f>
        <v/>
      </c>
      <c r="BO332" s="136" t="str">
        <f aca="false">IF($BR332&lt;&gt;Constants!$B$8,"",IF($AS332,0,Constants!$B$15)+IF($AR332,0,Constants!$B$16)+IF($AH332,0,Constants!$B$17))</f>
        <v/>
      </c>
      <c r="BP332" s="137" t="str">
        <f aca="false">IF($BR332&lt;&gt;Constants!$B$8,"",Constants!$B$20+SUM($BK332:$BO332))</f>
        <v/>
      </c>
      <c r="BQ332" s="133" t="str">
        <f aca="false">IF(ISBLANK($C332),"",IF(ISBLANK($D$7),$BQ$5,IF(NOT(ISNUMBER($D$7)),$BQ$6,"")))</f>
        <v/>
      </c>
      <c r="BR332" s="133" t="str">
        <f aca="false">IF(ISBLANK($C332),"",IF($BA332,Constants!$B$11,IF(COUNTA($E332:$AA332)=0,Constants!$B$10,IF(NOT($AG332),Constants!$B$9,IF(OR($BQ332&lt;&gt;"",$BB332,$BJ332),Constants!$B$12,Constants!$B$8)))))</f>
        <v/>
      </c>
      <c r="BS332" s="133" t="str">
        <f aca="false">IF(ISBLANK($C332),"",IF($BR332&lt;&gt;Constants!$B$8,$BR332,Constants!$B$13))</f>
        <v/>
      </c>
      <c r="BT332" s="136" t="str">
        <f aca="false">IF($BR332&lt;&gt;Constants!$B$8,"",IF($BI332="-&gt;",$BP332,$BH332))</f>
        <v/>
      </c>
      <c r="BU332" s="136" t="str">
        <f aca="false">IF($BR332&lt;&gt;Constants!$B$8,"",IF($AF332,0,Constants!$B$18))</f>
        <v/>
      </c>
      <c r="BV332" s="136" t="str">
        <f aca="false">IF($BR332&lt;&gt;Constants!$B$8,"",((Constants!$B$31-$AZ332)-Constants!$B$31)/Constants!$B$32)</f>
        <v/>
      </c>
      <c r="BW332" s="136" t="str">
        <f aca="false">IF(ISBLANK($C332),"",IF($BR332&lt;&gt;Constants!$B$8,$BR332,SUM($BT332:$BV332)))</f>
        <v/>
      </c>
      <c r="BX332" s="133" t="str">
        <f aca="false">IF(ISBLANK($C332),"",IF($BR332&lt;&gt;Constants!$B$8,$BR332,RANK($BW332,$BW$9:$BW$508,1)))</f>
        <v/>
      </c>
      <c r="BY332" s="136" t="str">
        <f aca="false">IF($BR332&lt;&gt;Constants!$B$8,"",IF($BI332="-&gt;",$BK332,$BC332))</f>
        <v/>
      </c>
      <c r="BZ332" s="133" t="str">
        <f aca="false">IF(ISBLANK($C332),"",IF($BR332&lt;&gt;Constants!$B$8,$BR332,IF(ISNUMBER($BY332),RANK($BY332,$BY$9:$BY$508,1),COUNT($BY$9:$BY$508)+1)))</f>
        <v/>
      </c>
      <c r="CA332" s="136" t="str">
        <f aca="false">IF($BR332&lt;&gt;Constants!$B$8,"",IF($BI332="-&gt;",$BL332,$BD332))</f>
        <v/>
      </c>
      <c r="CB332" s="133" t="str">
        <f aca="false">IF(ISBLANK($C332),"",IF($BR332&lt;&gt;Constants!$B$8,$BR332,IF(ISNUMBER($CA332),RANK($CA332,$CA$9:$CA$508,1),COUNT($CA$9:$CA$508)+1)))</f>
        <v/>
      </c>
      <c r="CC332" s="136" t="str">
        <f aca="false">IF($BR332&lt;&gt;Constants!$B$8,"",IF($BI332="-&gt;",IF($AT332,$AV332,""),IF($AL332,$AN332,"")))</f>
        <v/>
      </c>
      <c r="CD332" s="133" t="str">
        <f aca="false">IF(ISBLANK($C332),"",IF($BR332&lt;&gt;Constants!$B$8,$BR332,IF(ISNUMBER($CC332),RANK($CC332,$CC$9:$CC$508,1),COUNT($CC$9:$CC$508)+1)))</f>
        <v/>
      </c>
      <c r="CE332" s="136" t="str">
        <f aca="false">IF($BR332&lt;&gt;Constants!$B$8,"",IF(AND(NOT($AL332),NOT($AT332),$AJ332,$AK332,$AR332,$AS332),"",$AI332))</f>
        <v/>
      </c>
      <c r="CF332" s="133" t="str">
        <f aca="false">IF(ISBLANK($C332),"",IF($BR332&lt;&gt;Constants!$B$8,$BR332,IF(ISNUMBER($CE332),RANK($CE332,$CE$9:$CE$508,1),COUNT($CE$9:$CE$508)+1)))</f>
        <v/>
      </c>
      <c r="CG332" s="133" t="str">
        <f aca="false">IF(ISBLANK($C332),"",IF($BR332&lt;&gt;Constants!$B$8,$BR332,COUNTIFS($BX$9:$BX$508,"&lt;"&amp;$BX332)+COUNTIFS($BX$9:$BX$508,$BX332,$BZ$9:$BZ$508,"&lt;"&amp;$BZ332)+COUNTIFS($BX$9:$BX$508,$BX332,$BZ$9:$BZ$508,$BZ332,$CB$9:$CB$508,"&lt;"&amp;$CB332)+COUNTIFS($BX$9:$BX$508,$BX332,$BZ$9:$BZ$508,$BZ332,$CB$9:$CB$508,$CB332,$CD$9:$CD$508,"&lt;"&amp;$CD332)+COUNTIFS($BX$9:$BX$508,$BX332,$BZ$9:$BZ$508,$BZ332,$CB$9:$CB$508,$CB332,$CD$9:$CD$508,$CD332,$CF$9:$CF$508,"&lt;"&amp;$CF332)+1))</f>
        <v/>
      </c>
      <c r="CH332" s="133" t="str">
        <f aca="false">IF(ISBLANK($C332),"",IF($BR332&lt;&gt;Constants!$B$8,$BR332,$BX332-$CG332))</f>
        <v/>
      </c>
      <c r="CI332" s="138"/>
      <c r="CJ332" s="139"/>
      <c r="CK332" s="140" t="str">
        <f aca="false">IF(ISBLANK($C332),"",IF($BR332=Constants!$B$12,$BQ332,""))</f>
        <v/>
      </c>
      <c r="CL332" s="139" t="str">
        <f aca="false">IF(ISBLANK($C332),"",IF($BR332&lt;&gt;Constants!$B$8,"",IF($BI332="-&gt;",2,1)))</f>
        <v/>
      </c>
      <c r="CM332" s="141" t="str">
        <f aca="false">IF(ISBLANK($C332),"",IF($BR332&lt;&gt;Constants!$B$8,"",IF($BI332="-&gt;",$BK332,$BC332)))</f>
        <v/>
      </c>
      <c r="CN332" s="141" t="str">
        <f aca="false">IF(ISBLANK($C332),"",IF($BR332&lt;&gt;Constants!$B$8,"",IF($BI332="-&gt;",$BL332,$BD332)))</f>
        <v/>
      </c>
      <c r="CO332" s="141" t="str">
        <f aca="false">IF(ISBLANK($C332),"",IF($BR332&lt;&gt;Constants!$B$8,"",IF($BI332="-&gt;",$BM332+$BN332,$BE332+$BF332)+$BV332))</f>
        <v/>
      </c>
      <c r="CP332" s="141" t="str">
        <f aca="false">IF(ISBLANK($C332),"",IF($BR332&lt;&gt;Constants!$B$8,"",IF($BI332="-&gt;",$BO332,$BG332)+$BU332))</f>
        <v/>
      </c>
      <c r="CQ332" s="142" t="str">
        <f aca="false">IF(ISBLANK($C332),"",IF($BR332&lt;&gt;Constants!$B$8,$BR332,$BW332))</f>
        <v/>
      </c>
      <c r="CR332" s="143" t="str">
        <f aca="false">IF(ISBLANK($C332),"",$BS332)</f>
        <v/>
      </c>
      <c r="CS332" s="144" t="str">
        <f aca="false">IF(ISBLANK($C332),"",$CH332)</f>
        <v/>
      </c>
      <c r="CT332" s="144" t="str">
        <f aca="false">IF(ISBLANK($C332),"",$CG332)</f>
        <v/>
      </c>
      <c r="CU332" s="145" t="str">
        <f aca="false">IF(ISBLANK($C332),"",IFERROR(_xlfn.SWITCH($CT332,Constants!$B$11,COUNTA($C$9:$C$508)+2,Constants!$B$10,COUNTA($C$9:$C$508)+1,Constants!$B$9,COUNTA($C$9:$C$508)),$CT332))</f>
        <v/>
      </c>
      <c r="CV332" s="9"/>
      <c r="CW332" s="146" t="n">
        <f aca="false">IF(OR(ISNUMBER($CT332),$CT332=Constants!$B$11,$CT332=Constants!$B$9,$CT332=Constants!$B$10),1,0)</f>
        <v>0</v>
      </c>
      <c r="CX332" s="146" t="n">
        <v>324</v>
      </c>
      <c r="CY332" s="146" t="str">
        <f aca="false">IF(ISBLANK($C332),"",IF(ISNUMBER($CU332),$CU332+ROW($B332)/1000,""))</f>
        <v/>
      </c>
      <c r="CZ332" s="146" t="str">
        <f aca="false">IF(ISNUMBER($CY332),RANK($CY332,$CY$9:$CY$508,1),"")</f>
        <v/>
      </c>
      <c r="DA332" s="146" t="str">
        <f aca="false">IF(ISBLANK($C332),"",$B332)</f>
        <v/>
      </c>
      <c r="DB332" s="146" t="str">
        <f aca="false">IF(ISBLANK($C332),"",$C332)</f>
        <v/>
      </c>
      <c r="DC332" s="146" t="str">
        <f aca="false">IF(ISBLANK($C332),"",$D332)</f>
        <v/>
      </c>
      <c r="DD332" s="147" t="str">
        <f aca="false">$CR332</f>
        <v/>
      </c>
      <c r="DE332" s="148" t="str">
        <f aca="false">$CQ332</f>
        <v/>
      </c>
      <c r="DF332" s="146" t="str">
        <f aca="false">IF(ISBLANK($C332),"",$CT332)</f>
        <v/>
      </c>
      <c r="DG332" s="149" t="str">
        <f aca="false">IF($CX332&gt;$CW$8,"",VLOOKUP($CX332,$CZ$9:$DF$508,7,FALSE()))</f>
        <v/>
      </c>
      <c r="DH332" s="150" t="str">
        <f aca="false">IF($CX332&gt;$CW$8,"",VLOOKUP($CX332,$CZ$9:$DF$508,2,FALSE()))</f>
        <v/>
      </c>
      <c r="DI332" s="150" t="str">
        <f aca="false">IF($CX332&gt;$CW$8,"",VLOOKUP($CX332,$CZ$9:$DF$508,3,FALSE()))</f>
        <v/>
      </c>
      <c r="DJ332" s="150" t="str">
        <f aca="false">IF($CX332&gt;$CW$8,"",VLOOKUP($CX332,$CZ$9:$DF$508,4,FALSE()))</f>
        <v/>
      </c>
      <c r="DK332" s="150" t="str">
        <f aca="false">IF($CX332&gt;$CW$8,"",VLOOKUP($CX332,$CZ$9:$DF$508,5,FALSE()))</f>
        <v/>
      </c>
      <c r="DL332" s="151" t="str">
        <f aca="false">IF($CX332&gt;$CW$8,"",VLOOKUP($CX332,$CZ$9:$DF$508,6,FALSE()))</f>
        <v/>
      </c>
      <c r="DM332" s="75"/>
    </row>
    <row r="333" customFormat="false" ht="15.75" hidden="false" customHeight="false" outlineLevel="0" collapsed="false">
      <c r="A333" s="9"/>
      <c r="B333" s="77"/>
      <c r="C333" s="78"/>
      <c r="D333" s="167"/>
      <c r="E333" s="175"/>
      <c r="F333" s="169"/>
      <c r="G333" s="170"/>
      <c r="H333" s="170"/>
      <c r="I333" s="176"/>
      <c r="J333" s="173"/>
      <c r="K333" s="85"/>
      <c r="L333" s="86"/>
      <c r="M333" s="87"/>
      <c r="N333" s="173"/>
      <c r="O333" s="173"/>
      <c r="P333" s="175"/>
      <c r="Q333" s="173"/>
      <c r="R333" s="173"/>
      <c r="S333" s="85"/>
      <c r="T333" s="87"/>
      <c r="U333" s="87"/>
      <c r="V333" s="173"/>
      <c r="W333" s="173"/>
      <c r="X333" s="175"/>
      <c r="Y333" s="173"/>
      <c r="Z333" s="174"/>
      <c r="AA333" s="173"/>
      <c r="AB333" s="91"/>
      <c r="AC333" s="92"/>
      <c r="AD333" s="92"/>
      <c r="AE333" s="92"/>
      <c r="AF333" s="92" t="str">
        <f aca="false">IF(ISBLANK($C333),"",IF(E333=Constants!$B$3,TRUE(),IF(E333=Constants!$B$4,FALSE(),TRUE())))</f>
        <v/>
      </c>
      <c r="AG333" s="92" t="str">
        <f aca="false">IF(ISBLANK($C333),"",IF(F333=Constants!$B$3,TRUE(),IF(F333=Constants!$B$4,FALSE(),TRUE())))</f>
        <v/>
      </c>
      <c r="AH333" s="92" t="str">
        <f aca="false">IF(ISBLANK($C333),"",IF(G333=Constants!$B$3,TRUE(),IF(G333=Constants!$B$4,FALSE(),TRUE())))</f>
        <v/>
      </c>
      <c r="AI333" s="92" t="str">
        <f aca="false">IF(ISBLANK($C333),"",IF(AND(ISNUMBER(H333),H333&gt;=0),H333,Constants!$B$29))</f>
        <v/>
      </c>
      <c r="AJ333" s="92" t="str">
        <f aca="false">IF(ISBLANK($C333),"",IF(I333=Constants!$B$3,TRUE(),IF(I333=Constants!$B$4,FALSE(),TRUE())))</f>
        <v/>
      </c>
      <c r="AK333" s="92" t="str">
        <f aca="false">IF(ISBLANK($C333),"",IF(J333=Constants!$B$3,TRUE(),IF(J333=Constants!$B$4,FALSE(),TRUE())))</f>
        <v/>
      </c>
      <c r="AL333" s="92" t="str">
        <f aca="false">IF(ISBLANK($C333),"",IF(K333=Constants!$B$5,TRUE(),IF(K333=Constants!$B$6,FALSE(),COUNTA(L333:P333)&gt;0)))</f>
        <v/>
      </c>
      <c r="AM333" s="94" t="str">
        <f aca="false">IF(ISBLANK($C333),"",IF(ISNUMBER(L333),IF(L333&gt;=0,L333,""),""))</f>
        <v/>
      </c>
      <c r="AN333" s="93" t="str">
        <f aca="false">IF(ISBLANK($C333),"",IF(ISNUMBER(M333),IF(M333&gt;=0,M333,""),""))</f>
        <v/>
      </c>
      <c r="AO333" s="93" t="str">
        <f aca="false">IF(ISBLANK($C333),"",IF(N333=Constants!$B$3,TRUE(),IF(N333=Constants!$B$4,FALSE(),TRUE())))</f>
        <v/>
      </c>
      <c r="AP333" s="92" t="str">
        <f aca="false">IF(ISBLANK($C333),"",IF(ISNUMBER(O333),IF(O333&gt;=0,O333,""),""))</f>
        <v/>
      </c>
      <c r="AQ333" s="92" t="str">
        <f aca="false">IF(ISBLANK($C333),"",IF(P333=Constants!$B$3,TRUE(),IF(P333=Constants!$B$4,FALSE(),FALSE())))</f>
        <v/>
      </c>
      <c r="AR333" s="92" t="str">
        <f aca="false">IF(ISBLANK($C333),"",IF(Q333=Constants!$B$3,TRUE(),IF(Q333=Constants!$B$4,FALSE(),TRUE())))</f>
        <v/>
      </c>
      <c r="AS333" s="92" t="str">
        <f aca="false">IF(ISBLANK($C333),"",IF(R333=Constants!$B$3,TRUE(),IF(R333=Constants!$B$4,FALSE(),TRUE())))</f>
        <v/>
      </c>
      <c r="AT333" s="92" t="str">
        <f aca="false">IF(ISBLANK($C333),"",IF(S333=Constants!$B$5,TRUE(),IF(S333=Constants!$B$6,FALSE(),COUNTA(T333:X333)&gt;0)))</f>
        <v/>
      </c>
      <c r="AU333" s="94" t="str">
        <f aca="false">IF(ISBLANK($C333),"",IF(ISNUMBER(T333),IF(T333&gt;=0,T333,""),""))</f>
        <v/>
      </c>
      <c r="AV333" s="93" t="str">
        <f aca="false">IF(ISBLANK($C333),"",IF(ISNUMBER(U333),IF(U333&gt;=0,U333,""),""))</f>
        <v/>
      </c>
      <c r="AW333" s="93" t="str">
        <f aca="false">IF(ISBLANK($C333),"",IF(V333=Constants!$B$3,TRUE(),IF(V333=Constants!$B$4,FALSE(),TRUE())))</f>
        <v/>
      </c>
      <c r="AX333" s="92" t="str">
        <f aca="false">IF(ISBLANK($C333),"",IF(ISNUMBER(W333),IF(W333&gt;=0,W333,""),""))</f>
        <v/>
      </c>
      <c r="AY333" s="92" t="str">
        <f aca="false">IF(ISBLANK($C333),"",IF(X333=Constants!$B$3,TRUE(),IF(X333=Constants!$B$4,FALSE(),FALSE())))</f>
        <v/>
      </c>
      <c r="AZ333" s="92" t="str">
        <f aca="false">IF(ISBLANK($C333),"",MIN(Constants!$B$31,MAX(0,IF(ISNUMBER(Y333),Y333*60,0)+IF(ISNUMBER(Z333),Z333,0))))</f>
        <v/>
      </c>
      <c r="BA333" s="92" t="str">
        <f aca="false">IF(ISBLANK($C333),"",IF(AA333=Constants!$B$3,TRUE(),IF(AA333=Constants!$B$4,FALSE(),FALSE())))</f>
        <v/>
      </c>
      <c r="BB333" s="91" t="str">
        <f aca="false">IF(ISBLANK($C333),"",AND($AL333,OR($AM333="",$AN333="",AND($AO333,$AP333=""))))</f>
        <v/>
      </c>
      <c r="BC333" s="93" t="str">
        <f aca="false">IF($BR333&lt;&gt;Constants!$B$8,"",IF($AL333,Constants!$B$21*$AN333+Constants!$B$22*IF($AO333,$AP333,Constants!$B$23),Constants!$B$24))</f>
        <v/>
      </c>
      <c r="BD333" s="96" t="str">
        <f aca="false">IF($BR333&lt;&gt;Constants!$B$8,"",Constants!$B$25*ABS($AD$9-IF($AL333,$AM333,0)))</f>
        <v/>
      </c>
      <c r="BE333" s="96" t="str">
        <f aca="false">IF($BR333&lt;&gt;Constants!$B$8,"",IF(AND($AL333,$AQ333,$AO333),Constants!$B$27,0))</f>
        <v/>
      </c>
      <c r="BF333" s="96" t="str">
        <f aca="false">IF($BR333&lt;&gt;Constants!$B$8,"",IF($AL333,($AI333-Constants!$B$29)*Constants!$B$28,0))</f>
        <v/>
      </c>
      <c r="BG333" s="96" t="str">
        <f aca="false">IF($BR333&lt;&gt;Constants!$B$8,"",IF($AK333,0,Constants!$B$15)+IF($AJ333,0,Constants!$B$16)+IF($AH333,0,Constants!$B$17))</f>
        <v/>
      </c>
      <c r="BH333" s="97" t="str">
        <f aca="false">IF($BR333&lt;&gt;Constants!$B$8,"",Constants!$B$20+SUM($BC333:$BG333))</f>
        <v/>
      </c>
      <c r="BI333" s="92" t="str">
        <f aca="false">IF($BR333&lt;&gt;Constants!$B$8,"",IF(OR($BP333&lt;$BH333,AND($BP333=$BH333,OR($BK333&lt;$BC333,AND($BK333=$BC333,OR($BL333&lt;$BD333,AND($BL333=$BD333,$AT333,$AL333,$AV333&lt;$AN333)))))),"-&gt;","&lt;-"))</f>
        <v/>
      </c>
      <c r="BJ333" s="91" t="str">
        <f aca="false">IF(ISBLANK($C333),"",AND($AT333,OR($AU333="",$AV333="",AND($AW333,$AX333=""))))</f>
        <v/>
      </c>
      <c r="BK333" s="93" t="str">
        <f aca="false">IF($BR333&lt;&gt;Constants!$B$8,"",IF($AT333,Constants!$B$21*$AV333+Constants!$B$22*IF($AW333,$AX333,Constants!$B$23),Constants!$B$24))</f>
        <v/>
      </c>
      <c r="BL333" s="96" t="str">
        <f aca="false">IF($BR333&lt;&gt;Constants!$B$8,"",Constants!$B$25*ABS($AD$9-IF($AT333,$AU333,0)))</f>
        <v/>
      </c>
      <c r="BM333" s="96" t="str">
        <f aca="false">IF($BR333&lt;&gt;Constants!$B$8,"",IF(AND($AT333,$AY333,$AW333),Constants!$B$27,0))</f>
        <v/>
      </c>
      <c r="BN333" s="96" t="str">
        <f aca="false">IF($BR333&lt;&gt;Constants!$B$8,"",IF($AT333,($AI333-Constants!$B$29)*Constants!$B$28,0))</f>
        <v/>
      </c>
      <c r="BO333" s="96" t="str">
        <f aca="false">IF($BR333&lt;&gt;Constants!$B$8,"",IF($AS333,0,Constants!$B$15)+IF($AR333,0,Constants!$B$16)+IF($AH333,0,Constants!$B$17))</f>
        <v/>
      </c>
      <c r="BP333" s="97" t="str">
        <f aca="false">IF($BR333&lt;&gt;Constants!$B$8,"",Constants!$B$20+SUM($BK333:$BO333))</f>
        <v/>
      </c>
      <c r="BQ333" s="92" t="str">
        <f aca="false">IF(ISBLANK($C333),"",IF(ISBLANK($D$7),$BQ$5,IF(NOT(ISNUMBER($D$7)),$BQ$6,"")))</f>
        <v/>
      </c>
      <c r="BR333" s="92" t="str">
        <f aca="false">IF(ISBLANK($C333),"",IF($BA333,Constants!$B$11,IF(COUNTA($E333:$AA333)=0,Constants!$B$10,IF(NOT($AG333),Constants!$B$9,IF(OR($BQ333&lt;&gt;"",$BB333,$BJ333),Constants!$B$12,Constants!$B$8)))))</f>
        <v/>
      </c>
      <c r="BS333" s="92" t="str">
        <f aca="false">IF(ISBLANK($C333),"",IF($BR333&lt;&gt;Constants!$B$8,$BR333,Constants!$B$13))</f>
        <v/>
      </c>
      <c r="BT333" s="96" t="str">
        <f aca="false">IF($BR333&lt;&gt;Constants!$B$8,"",IF($BI333="-&gt;",$BP333,$BH333))</f>
        <v/>
      </c>
      <c r="BU333" s="96" t="str">
        <f aca="false">IF($BR333&lt;&gt;Constants!$B$8,"",IF($AF333,0,Constants!$B$18))</f>
        <v/>
      </c>
      <c r="BV333" s="96" t="str">
        <f aca="false">IF($BR333&lt;&gt;Constants!$B$8,"",((Constants!$B$31-$AZ333)-Constants!$B$31)/Constants!$B$32)</f>
        <v/>
      </c>
      <c r="BW333" s="96" t="str">
        <f aca="false">IF(ISBLANK($C333),"",IF($BR333&lt;&gt;Constants!$B$8,$BR333,SUM($BT333:$BV333)))</f>
        <v/>
      </c>
      <c r="BX333" s="92" t="str">
        <f aca="false">IF(ISBLANK($C333),"",IF($BR333&lt;&gt;Constants!$B$8,$BR333,RANK($BW333,$BW$9:$BW$508,1)))</f>
        <v/>
      </c>
      <c r="BY333" s="96" t="str">
        <f aca="false">IF($BR333&lt;&gt;Constants!$B$8,"",IF($BI333="-&gt;",$BK333,$BC333))</f>
        <v/>
      </c>
      <c r="BZ333" s="92" t="str">
        <f aca="false">IF(ISBLANK($C333),"",IF($BR333&lt;&gt;Constants!$B$8,$BR333,IF(ISNUMBER($BY333),RANK($BY333,$BY$9:$BY$508,1),COUNT($BY$9:$BY$508)+1)))</f>
        <v/>
      </c>
      <c r="CA333" s="96" t="str">
        <f aca="false">IF($BR333&lt;&gt;Constants!$B$8,"",IF($BI333="-&gt;",$BL333,$BD333))</f>
        <v/>
      </c>
      <c r="CB333" s="92" t="str">
        <f aca="false">IF(ISBLANK($C333),"",IF($BR333&lt;&gt;Constants!$B$8,$BR333,IF(ISNUMBER($CA333),RANK($CA333,$CA$9:$CA$508,1),COUNT($CA$9:$CA$508)+1)))</f>
        <v/>
      </c>
      <c r="CC333" s="96" t="str">
        <f aca="false">IF($BR333&lt;&gt;Constants!$B$8,"",IF($BI333="-&gt;",IF($AT333,$AV333,""),IF($AL333,$AN333,"")))</f>
        <v/>
      </c>
      <c r="CD333" s="92" t="str">
        <f aca="false">IF(ISBLANK($C333),"",IF($BR333&lt;&gt;Constants!$B$8,$BR333,IF(ISNUMBER($CC333),RANK($CC333,$CC$9:$CC$508,1),COUNT($CC$9:$CC$508)+1)))</f>
        <v/>
      </c>
      <c r="CE333" s="96" t="str">
        <f aca="false">IF($BR333&lt;&gt;Constants!$B$8,"",IF(AND(NOT($AL333),NOT($AT333),$AJ333,$AK333,$AR333,$AS333),"",$AI333))</f>
        <v/>
      </c>
      <c r="CF333" s="92" t="str">
        <f aca="false">IF(ISBLANK($C333),"",IF($BR333&lt;&gt;Constants!$B$8,$BR333,IF(ISNUMBER($CE333),RANK($CE333,$CE$9:$CE$508,1),COUNT($CE$9:$CE$508)+1)))</f>
        <v/>
      </c>
      <c r="CG333" s="92" t="str">
        <f aca="false">IF(ISBLANK($C333),"",IF($BR333&lt;&gt;Constants!$B$8,$BR333,COUNTIFS($BX$9:$BX$508,"&lt;"&amp;$BX333)+COUNTIFS($BX$9:$BX$508,$BX333,$BZ$9:$BZ$508,"&lt;"&amp;$BZ333)+COUNTIFS($BX$9:$BX$508,$BX333,$BZ$9:$BZ$508,$BZ333,$CB$9:$CB$508,"&lt;"&amp;$CB333)+COUNTIFS($BX$9:$BX$508,$BX333,$BZ$9:$BZ$508,$BZ333,$CB$9:$CB$508,$CB333,$CD$9:$CD$508,"&lt;"&amp;$CD333)+COUNTIFS($BX$9:$BX$508,$BX333,$BZ$9:$BZ$508,$BZ333,$CB$9:$CB$508,$CB333,$CD$9:$CD$508,$CD333,$CF$9:$CF$508,"&lt;"&amp;$CF333)+1))</f>
        <v/>
      </c>
      <c r="CH333" s="92" t="str">
        <f aca="false">IF(ISBLANK($C333),"",IF($BR333&lt;&gt;Constants!$B$8,$BR333,$BX333-$CG333))</f>
        <v/>
      </c>
      <c r="CI333" s="98"/>
      <c r="CJ333" s="99"/>
      <c r="CK333" s="100" t="str">
        <f aca="false">IF(ISBLANK($C333),"",IF($BR333=Constants!$B$12,$BQ333,""))</f>
        <v/>
      </c>
      <c r="CL333" s="99" t="str">
        <f aca="false">IF(ISBLANK($C333),"",IF($BR333&lt;&gt;Constants!$B$8,"",IF($BI333="-&gt;",2,1)))</f>
        <v/>
      </c>
      <c r="CM333" s="101" t="str">
        <f aca="false">IF(ISBLANK($C333),"",IF($BR333&lt;&gt;Constants!$B$8,"",IF($BI333="-&gt;",$BK333,$BC333)))</f>
        <v/>
      </c>
      <c r="CN333" s="101" t="str">
        <f aca="false">IF(ISBLANK($C333),"",IF($BR333&lt;&gt;Constants!$B$8,"",IF($BI333="-&gt;",$BL333,$BD333)))</f>
        <v/>
      </c>
      <c r="CO333" s="101" t="str">
        <f aca="false">IF(ISBLANK($C333),"",IF($BR333&lt;&gt;Constants!$B$8,"",IF($BI333="-&gt;",$BM333+$BN333,$BE333+$BF333)+$BV333))</f>
        <v/>
      </c>
      <c r="CP333" s="101" t="str">
        <f aca="false">IF(ISBLANK($C333),"",IF($BR333&lt;&gt;Constants!$B$8,"",IF($BI333="-&gt;",$BO333,$BG333)+$BU333))</f>
        <v/>
      </c>
      <c r="CQ333" s="102" t="str">
        <f aca="false">IF(ISBLANK($C333),"",IF($BR333&lt;&gt;Constants!$B$8,$BR333,$BW333))</f>
        <v/>
      </c>
      <c r="CR333" s="103" t="str">
        <f aca="false">IF(ISBLANK($C333),"",$BS333)</f>
        <v/>
      </c>
      <c r="CS333" s="104" t="str">
        <f aca="false">IF(ISBLANK($C333),"",$CH333)</f>
        <v/>
      </c>
      <c r="CT333" s="104" t="str">
        <f aca="false">IF(ISBLANK($C333),"",$CG333)</f>
        <v/>
      </c>
      <c r="CU333" s="105" t="str">
        <f aca="false">IF(ISBLANK($C333),"",IFERROR(_xlfn.SWITCH($CT333,Constants!$B$11,COUNTA($C$9:$C$508)+2,Constants!$B$10,COUNTA($C$9:$C$508)+1,Constants!$B$9,COUNTA($C$9:$C$508)),$CT333))</f>
        <v/>
      </c>
      <c r="CV333" s="9"/>
      <c r="CW333" s="106" t="n">
        <f aca="false">IF(OR(ISNUMBER($CT333),$CT333=Constants!$B$11,$CT333=Constants!$B$9,$CT333=Constants!$B$10),1,0)</f>
        <v>0</v>
      </c>
      <c r="CX333" s="106" t="n">
        <v>325</v>
      </c>
      <c r="CY333" s="106" t="str">
        <f aca="false">IF(ISBLANK($C333),"",IF(ISNUMBER($CU333),$CU333+ROW($B333)/1000,""))</f>
        <v/>
      </c>
      <c r="CZ333" s="106" t="str">
        <f aca="false">IF(ISNUMBER($CY333),RANK($CY333,$CY$9:$CY$508,1),"")</f>
        <v/>
      </c>
      <c r="DA333" s="106" t="str">
        <f aca="false">IF(ISBLANK($C333),"",$B333)</f>
        <v/>
      </c>
      <c r="DB333" s="106" t="str">
        <f aca="false">IF(ISBLANK($C333),"",$C333)</f>
        <v/>
      </c>
      <c r="DC333" s="106" t="str">
        <f aca="false">IF(ISBLANK($C333),"",$D333)</f>
        <v/>
      </c>
      <c r="DD333" s="107" t="str">
        <f aca="false">$CR333</f>
        <v/>
      </c>
      <c r="DE333" s="108" t="str">
        <f aca="false">$CQ333</f>
        <v/>
      </c>
      <c r="DF333" s="106" t="str">
        <f aca="false">IF(ISBLANK($C333),"",$CT333)</f>
        <v/>
      </c>
      <c r="DG333" s="109" t="str">
        <f aca="false">IF($CX333&gt;$CW$8,"",VLOOKUP($CX333,$CZ$9:$DF$508,7,FALSE()))</f>
        <v/>
      </c>
      <c r="DH333" s="110" t="str">
        <f aca="false">IF($CX333&gt;$CW$8,"",VLOOKUP($CX333,$CZ$9:$DF$508,2,FALSE()))</f>
        <v/>
      </c>
      <c r="DI333" s="110" t="str">
        <f aca="false">IF($CX333&gt;$CW$8,"",VLOOKUP($CX333,$CZ$9:$DF$508,3,FALSE()))</f>
        <v/>
      </c>
      <c r="DJ333" s="110" t="str">
        <f aca="false">IF($CX333&gt;$CW$8,"",VLOOKUP($CX333,$CZ$9:$DF$508,4,FALSE()))</f>
        <v/>
      </c>
      <c r="DK333" s="110" t="str">
        <f aca="false">IF($CX333&gt;$CW$8,"",VLOOKUP($CX333,$CZ$9:$DF$508,5,FALSE()))</f>
        <v/>
      </c>
      <c r="DL333" s="111" t="str">
        <f aca="false">IF($CX333&gt;$CW$8,"",VLOOKUP($CX333,$CZ$9:$DF$508,6,FALSE()))</f>
        <v/>
      </c>
      <c r="DM333" s="75"/>
    </row>
    <row r="334" customFormat="false" ht="15.75" hidden="false" customHeight="false" outlineLevel="0" collapsed="false">
      <c r="A334" s="9"/>
      <c r="B334" s="77"/>
      <c r="C334" s="78"/>
      <c r="D334" s="167"/>
      <c r="E334" s="175"/>
      <c r="F334" s="169"/>
      <c r="G334" s="170"/>
      <c r="H334" s="170"/>
      <c r="I334" s="176"/>
      <c r="J334" s="173"/>
      <c r="K334" s="85"/>
      <c r="L334" s="86"/>
      <c r="M334" s="87"/>
      <c r="N334" s="173"/>
      <c r="O334" s="173"/>
      <c r="P334" s="175"/>
      <c r="Q334" s="173"/>
      <c r="R334" s="173"/>
      <c r="S334" s="85"/>
      <c r="T334" s="87"/>
      <c r="U334" s="87"/>
      <c r="V334" s="173"/>
      <c r="W334" s="173"/>
      <c r="X334" s="175"/>
      <c r="Y334" s="173"/>
      <c r="Z334" s="174"/>
      <c r="AA334" s="173"/>
      <c r="AB334" s="91"/>
      <c r="AC334" s="92"/>
      <c r="AD334" s="92"/>
      <c r="AE334" s="92"/>
      <c r="AF334" s="92" t="str">
        <f aca="false">IF(ISBLANK($C334),"",IF(E334=Constants!$B$3,TRUE(),IF(E334=Constants!$B$4,FALSE(),TRUE())))</f>
        <v/>
      </c>
      <c r="AG334" s="92" t="str">
        <f aca="false">IF(ISBLANK($C334),"",IF(F334=Constants!$B$3,TRUE(),IF(F334=Constants!$B$4,FALSE(),TRUE())))</f>
        <v/>
      </c>
      <c r="AH334" s="92" t="str">
        <f aca="false">IF(ISBLANK($C334),"",IF(G334=Constants!$B$3,TRUE(),IF(G334=Constants!$B$4,FALSE(),TRUE())))</f>
        <v/>
      </c>
      <c r="AI334" s="92" t="str">
        <f aca="false">IF(ISBLANK($C334),"",IF(AND(ISNUMBER(H334),H334&gt;=0),H334,Constants!$B$29))</f>
        <v/>
      </c>
      <c r="AJ334" s="92" t="str">
        <f aca="false">IF(ISBLANK($C334),"",IF(I334=Constants!$B$3,TRUE(),IF(I334=Constants!$B$4,FALSE(),TRUE())))</f>
        <v/>
      </c>
      <c r="AK334" s="92" t="str">
        <f aca="false">IF(ISBLANK($C334),"",IF(J334=Constants!$B$3,TRUE(),IF(J334=Constants!$B$4,FALSE(),TRUE())))</f>
        <v/>
      </c>
      <c r="AL334" s="92" t="str">
        <f aca="false">IF(ISBLANK($C334),"",IF(K334=Constants!$B$5,TRUE(),IF(K334=Constants!$B$6,FALSE(),COUNTA(L334:P334)&gt;0)))</f>
        <v/>
      </c>
      <c r="AM334" s="94" t="str">
        <f aca="false">IF(ISBLANK($C334),"",IF(ISNUMBER(L334),IF(L334&gt;=0,L334,""),""))</f>
        <v/>
      </c>
      <c r="AN334" s="93" t="str">
        <f aca="false">IF(ISBLANK($C334),"",IF(ISNUMBER(M334),IF(M334&gt;=0,M334,""),""))</f>
        <v/>
      </c>
      <c r="AO334" s="93" t="str">
        <f aca="false">IF(ISBLANK($C334),"",IF(N334=Constants!$B$3,TRUE(),IF(N334=Constants!$B$4,FALSE(),TRUE())))</f>
        <v/>
      </c>
      <c r="AP334" s="92" t="str">
        <f aca="false">IF(ISBLANK($C334),"",IF(ISNUMBER(O334),IF(O334&gt;=0,O334,""),""))</f>
        <v/>
      </c>
      <c r="AQ334" s="92" t="str">
        <f aca="false">IF(ISBLANK($C334),"",IF(P334=Constants!$B$3,TRUE(),IF(P334=Constants!$B$4,FALSE(),FALSE())))</f>
        <v/>
      </c>
      <c r="AR334" s="92" t="str">
        <f aca="false">IF(ISBLANK($C334),"",IF(Q334=Constants!$B$3,TRUE(),IF(Q334=Constants!$B$4,FALSE(),TRUE())))</f>
        <v/>
      </c>
      <c r="AS334" s="92" t="str">
        <f aca="false">IF(ISBLANK($C334),"",IF(R334=Constants!$B$3,TRUE(),IF(R334=Constants!$B$4,FALSE(),TRUE())))</f>
        <v/>
      </c>
      <c r="AT334" s="92" t="str">
        <f aca="false">IF(ISBLANK($C334),"",IF(S334=Constants!$B$5,TRUE(),IF(S334=Constants!$B$6,FALSE(),COUNTA(T334:X334)&gt;0)))</f>
        <v/>
      </c>
      <c r="AU334" s="94" t="str">
        <f aca="false">IF(ISBLANK($C334),"",IF(ISNUMBER(T334),IF(T334&gt;=0,T334,""),""))</f>
        <v/>
      </c>
      <c r="AV334" s="93" t="str">
        <f aca="false">IF(ISBLANK($C334),"",IF(ISNUMBER(U334),IF(U334&gt;=0,U334,""),""))</f>
        <v/>
      </c>
      <c r="AW334" s="93" t="str">
        <f aca="false">IF(ISBLANK($C334),"",IF(V334=Constants!$B$3,TRUE(),IF(V334=Constants!$B$4,FALSE(),TRUE())))</f>
        <v/>
      </c>
      <c r="AX334" s="92" t="str">
        <f aca="false">IF(ISBLANK($C334),"",IF(ISNUMBER(W334),IF(W334&gt;=0,W334,""),""))</f>
        <v/>
      </c>
      <c r="AY334" s="92" t="str">
        <f aca="false">IF(ISBLANK($C334),"",IF(X334=Constants!$B$3,TRUE(),IF(X334=Constants!$B$4,FALSE(),FALSE())))</f>
        <v/>
      </c>
      <c r="AZ334" s="92" t="str">
        <f aca="false">IF(ISBLANK($C334),"",MIN(Constants!$B$31,MAX(0,IF(ISNUMBER(Y334),Y334*60,0)+IF(ISNUMBER(Z334),Z334,0))))</f>
        <v/>
      </c>
      <c r="BA334" s="92" t="str">
        <f aca="false">IF(ISBLANK($C334),"",IF(AA334=Constants!$B$3,TRUE(),IF(AA334=Constants!$B$4,FALSE(),FALSE())))</f>
        <v/>
      </c>
      <c r="BB334" s="91" t="str">
        <f aca="false">IF(ISBLANK($C334),"",AND($AL334,OR($AM334="",$AN334="",AND($AO334,$AP334=""))))</f>
        <v/>
      </c>
      <c r="BC334" s="93" t="str">
        <f aca="false">IF($BR334&lt;&gt;Constants!$B$8,"",IF($AL334,Constants!$B$21*$AN334+Constants!$B$22*IF($AO334,$AP334,Constants!$B$23),Constants!$B$24))</f>
        <v/>
      </c>
      <c r="BD334" s="96" t="str">
        <f aca="false">IF($BR334&lt;&gt;Constants!$B$8,"",Constants!$B$25*ABS($AD$9-IF($AL334,$AM334,0)))</f>
        <v/>
      </c>
      <c r="BE334" s="96" t="str">
        <f aca="false">IF($BR334&lt;&gt;Constants!$B$8,"",IF(AND($AL334,$AQ334,$AO334),Constants!$B$27,0))</f>
        <v/>
      </c>
      <c r="BF334" s="96" t="str">
        <f aca="false">IF($BR334&lt;&gt;Constants!$B$8,"",IF($AL334,($AI334-Constants!$B$29)*Constants!$B$28,0))</f>
        <v/>
      </c>
      <c r="BG334" s="96" t="str">
        <f aca="false">IF($BR334&lt;&gt;Constants!$B$8,"",IF($AK334,0,Constants!$B$15)+IF($AJ334,0,Constants!$B$16)+IF($AH334,0,Constants!$B$17))</f>
        <v/>
      </c>
      <c r="BH334" s="97" t="str">
        <f aca="false">IF($BR334&lt;&gt;Constants!$B$8,"",Constants!$B$20+SUM($BC334:$BG334))</f>
        <v/>
      </c>
      <c r="BI334" s="92" t="str">
        <f aca="false">IF($BR334&lt;&gt;Constants!$B$8,"",IF(OR($BP334&lt;$BH334,AND($BP334=$BH334,OR($BK334&lt;$BC334,AND($BK334=$BC334,OR($BL334&lt;$BD334,AND($BL334=$BD334,$AT334,$AL334,$AV334&lt;$AN334)))))),"-&gt;","&lt;-"))</f>
        <v/>
      </c>
      <c r="BJ334" s="91" t="str">
        <f aca="false">IF(ISBLANK($C334),"",AND($AT334,OR($AU334="",$AV334="",AND($AW334,$AX334=""))))</f>
        <v/>
      </c>
      <c r="BK334" s="93" t="str">
        <f aca="false">IF($BR334&lt;&gt;Constants!$B$8,"",IF($AT334,Constants!$B$21*$AV334+Constants!$B$22*IF($AW334,$AX334,Constants!$B$23),Constants!$B$24))</f>
        <v/>
      </c>
      <c r="BL334" s="96" t="str">
        <f aca="false">IF($BR334&lt;&gt;Constants!$B$8,"",Constants!$B$25*ABS($AD$9-IF($AT334,$AU334,0)))</f>
        <v/>
      </c>
      <c r="BM334" s="96" t="str">
        <f aca="false">IF($BR334&lt;&gt;Constants!$B$8,"",IF(AND($AT334,$AY334,$AW334),Constants!$B$27,0))</f>
        <v/>
      </c>
      <c r="BN334" s="96" t="str">
        <f aca="false">IF($BR334&lt;&gt;Constants!$B$8,"",IF($AT334,($AI334-Constants!$B$29)*Constants!$B$28,0))</f>
        <v/>
      </c>
      <c r="BO334" s="96" t="str">
        <f aca="false">IF($BR334&lt;&gt;Constants!$B$8,"",IF($AS334,0,Constants!$B$15)+IF($AR334,0,Constants!$B$16)+IF($AH334,0,Constants!$B$17))</f>
        <v/>
      </c>
      <c r="BP334" s="97" t="str">
        <f aca="false">IF($BR334&lt;&gt;Constants!$B$8,"",Constants!$B$20+SUM($BK334:$BO334))</f>
        <v/>
      </c>
      <c r="BQ334" s="92" t="str">
        <f aca="false">IF(ISBLANK($C334),"",IF(ISBLANK($D$7),$BQ$5,IF(NOT(ISNUMBER($D$7)),$BQ$6,"")))</f>
        <v/>
      </c>
      <c r="BR334" s="92" t="str">
        <f aca="false">IF(ISBLANK($C334),"",IF($BA334,Constants!$B$11,IF(COUNTA($E334:$AA334)=0,Constants!$B$10,IF(NOT($AG334),Constants!$B$9,IF(OR($BQ334&lt;&gt;"",$BB334,$BJ334),Constants!$B$12,Constants!$B$8)))))</f>
        <v/>
      </c>
      <c r="BS334" s="92" t="str">
        <f aca="false">IF(ISBLANK($C334),"",IF($BR334&lt;&gt;Constants!$B$8,$BR334,Constants!$B$13))</f>
        <v/>
      </c>
      <c r="BT334" s="96" t="str">
        <f aca="false">IF($BR334&lt;&gt;Constants!$B$8,"",IF($BI334="-&gt;",$BP334,$BH334))</f>
        <v/>
      </c>
      <c r="BU334" s="96" t="str">
        <f aca="false">IF($BR334&lt;&gt;Constants!$B$8,"",IF($AF334,0,Constants!$B$18))</f>
        <v/>
      </c>
      <c r="BV334" s="96" t="str">
        <f aca="false">IF($BR334&lt;&gt;Constants!$B$8,"",((Constants!$B$31-$AZ334)-Constants!$B$31)/Constants!$B$32)</f>
        <v/>
      </c>
      <c r="BW334" s="96" t="str">
        <f aca="false">IF(ISBLANK($C334),"",IF($BR334&lt;&gt;Constants!$B$8,$BR334,SUM($BT334:$BV334)))</f>
        <v/>
      </c>
      <c r="BX334" s="92" t="str">
        <f aca="false">IF(ISBLANK($C334),"",IF($BR334&lt;&gt;Constants!$B$8,$BR334,RANK($BW334,$BW$9:$BW$508,1)))</f>
        <v/>
      </c>
      <c r="BY334" s="96" t="str">
        <f aca="false">IF($BR334&lt;&gt;Constants!$B$8,"",IF($BI334="-&gt;",$BK334,$BC334))</f>
        <v/>
      </c>
      <c r="BZ334" s="92" t="str">
        <f aca="false">IF(ISBLANK($C334),"",IF($BR334&lt;&gt;Constants!$B$8,$BR334,IF(ISNUMBER($BY334),RANK($BY334,$BY$9:$BY$508,1),COUNT($BY$9:$BY$508)+1)))</f>
        <v/>
      </c>
      <c r="CA334" s="96" t="str">
        <f aca="false">IF($BR334&lt;&gt;Constants!$B$8,"",IF($BI334="-&gt;",$BL334,$BD334))</f>
        <v/>
      </c>
      <c r="CB334" s="92" t="str">
        <f aca="false">IF(ISBLANK($C334),"",IF($BR334&lt;&gt;Constants!$B$8,$BR334,IF(ISNUMBER($CA334),RANK($CA334,$CA$9:$CA$508,1),COUNT($CA$9:$CA$508)+1)))</f>
        <v/>
      </c>
      <c r="CC334" s="96" t="str">
        <f aca="false">IF($BR334&lt;&gt;Constants!$B$8,"",IF($BI334="-&gt;",IF($AT334,$AV334,""),IF($AL334,$AN334,"")))</f>
        <v/>
      </c>
      <c r="CD334" s="92" t="str">
        <f aca="false">IF(ISBLANK($C334),"",IF($BR334&lt;&gt;Constants!$B$8,$BR334,IF(ISNUMBER($CC334),RANK($CC334,$CC$9:$CC$508,1),COUNT($CC$9:$CC$508)+1)))</f>
        <v/>
      </c>
      <c r="CE334" s="96" t="str">
        <f aca="false">IF($BR334&lt;&gt;Constants!$B$8,"",IF(AND(NOT($AL334),NOT($AT334),$AJ334,$AK334,$AR334,$AS334),"",$AI334))</f>
        <v/>
      </c>
      <c r="CF334" s="92" t="str">
        <f aca="false">IF(ISBLANK($C334),"",IF($BR334&lt;&gt;Constants!$B$8,$BR334,IF(ISNUMBER($CE334),RANK($CE334,$CE$9:$CE$508,1),COUNT($CE$9:$CE$508)+1)))</f>
        <v/>
      </c>
      <c r="CG334" s="92" t="str">
        <f aca="false">IF(ISBLANK($C334),"",IF($BR334&lt;&gt;Constants!$B$8,$BR334,COUNTIFS($BX$9:$BX$508,"&lt;"&amp;$BX334)+COUNTIFS($BX$9:$BX$508,$BX334,$BZ$9:$BZ$508,"&lt;"&amp;$BZ334)+COUNTIFS($BX$9:$BX$508,$BX334,$BZ$9:$BZ$508,$BZ334,$CB$9:$CB$508,"&lt;"&amp;$CB334)+COUNTIFS($BX$9:$BX$508,$BX334,$BZ$9:$BZ$508,$BZ334,$CB$9:$CB$508,$CB334,$CD$9:$CD$508,"&lt;"&amp;$CD334)+COUNTIFS($BX$9:$BX$508,$BX334,$BZ$9:$BZ$508,$BZ334,$CB$9:$CB$508,$CB334,$CD$9:$CD$508,$CD334,$CF$9:$CF$508,"&lt;"&amp;$CF334)+1))</f>
        <v/>
      </c>
      <c r="CH334" s="92" t="str">
        <f aca="false">IF(ISBLANK($C334),"",IF($BR334&lt;&gt;Constants!$B$8,$BR334,$BX334-$CG334))</f>
        <v/>
      </c>
      <c r="CI334" s="98"/>
      <c r="CJ334" s="99"/>
      <c r="CK334" s="100" t="str">
        <f aca="false">IF(ISBLANK($C334),"",IF($BR334=Constants!$B$12,$BQ334,""))</f>
        <v/>
      </c>
      <c r="CL334" s="99" t="str">
        <f aca="false">IF(ISBLANK($C334),"",IF($BR334&lt;&gt;Constants!$B$8,"",IF($BI334="-&gt;",2,1)))</f>
        <v/>
      </c>
      <c r="CM334" s="101" t="str">
        <f aca="false">IF(ISBLANK($C334),"",IF($BR334&lt;&gt;Constants!$B$8,"",IF($BI334="-&gt;",$BK334,$BC334)))</f>
        <v/>
      </c>
      <c r="CN334" s="101" t="str">
        <f aca="false">IF(ISBLANK($C334),"",IF($BR334&lt;&gt;Constants!$B$8,"",IF($BI334="-&gt;",$BL334,$BD334)))</f>
        <v/>
      </c>
      <c r="CO334" s="101" t="str">
        <f aca="false">IF(ISBLANK($C334),"",IF($BR334&lt;&gt;Constants!$B$8,"",IF($BI334="-&gt;",$BM334+$BN334,$BE334+$BF334)+$BV334))</f>
        <v/>
      </c>
      <c r="CP334" s="101" t="str">
        <f aca="false">IF(ISBLANK($C334),"",IF($BR334&lt;&gt;Constants!$B$8,"",IF($BI334="-&gt;",$BO334,$BG334)+$BU334))</f>
        <v/>
      </c>
      <c r="CQ334" s="102" t="str">
        <f aca="false">IF(ISBLANK($C334),"",IF($BR334&lt;&gt;Constants!$B$8,$BR334,$BW334))</f>
        <v/>
      </c>
      <c r="CR334" s="103" t="str">
        <f aca="false">IF(ISBLANK($C334),"",$BS334)</f>
        <v/>
      </c>
      <c r="CS334" s="104" t="str">
        <f aca="false">IF(ISBLANK($C334),"",$CH334)</f>
        <v/>
      </c>
      <c r="CT334" s="104" t="str">
        <f aca="false">IF(ISBLANK($C334),"",$CG334)</f>
        <v/>
      </c>
      <c r="CU334" s="105" t="str">
        <f aca="false">IF(ISBLANK($C334),"",IFERROR(_xlfn.SWITCH($CT334,Constants!$B$11,COUNTA($C$9:$C$508)+2,Constants!$B$10,COUNTA($C$9:$C$508)+1,Constants!$B$9,COUNTA($C$9:$C$508)),$CT334))</f>
        <v/>
      </c>
      <c r="CV334" s="9"/>
      <c r="CW334" s="106" t="n">
        <f aca="false">IF(OR(ISNUMBER($CT334),$CT334=Constants!$B$11,$CT334=Constants!$B$9,$CT334=Constants!$B$10),1,0)</f>
        <v>0</v>
      </c>
      <c r="CX334" s="106" t="n">
        <v>326</v>
      </c>
      <c r="CY334" s="106" t="str">
        <f aca="false">IF(ISBLANK($C334),"",IF(ISNUMBER($CU334),$CU334+ROW($B334)/1000,""))</f>
        <v/>
      </c>
      <c r="CZ334" s="106" t="str">
        <f aca="false">IF(ISNUMBER($CY334),RANK($CY334,$CY$9:$CY$508,1),"")</f>
        <v/>
      </c>
      <c r="DA334" s="106" t="str">
        <f aca="false">IF(ISBLANK($C334),"",$B334)</f>
        <v/>
      </c>
      <c r="DB334" s="106" t="str">
        <f aca="false">IF(ISBLANK($C334),"",$C334)</f>
        <v/>
      </c>
      <c r="DC334" s="106" t="str">
        <f aca="false">IF(ISBLANK($C334),"",$D334)</f>
        <v/>
      </c>
      <c r="DD334" s="107" t="str">
        <f aca="false">$CR334</f>
        <v/>
      </c>
      <c r="DE334" s="108" t="str">
        <f aca="false">$CQ334</f>
        <v/>
      </c>
      <c r="DF334" s="106" t="str">
        <f aca="false">IF(ISBLANK($C334),"",$CT334)</f>
        <v/>
      </c>
      <c r="DG334" s="109" t="str">
        <f aca="false">IF($CX334&gt;$CW$8,"",VLOOKUP($CX334,$CZ$9:$DF$508,7,FALSE()))</f>
        <v/>
      </c>
      <c r="DH334" s="110" t="str">
        <f aca="false">IF($CX334&gt;$CW$8,"",VLOOKUP($CX334,$CZ$9:$DF$508,2,FALSE()))</f>
        <v/>
      </c>
      <c r="DI334" s="110" t="str">
        <f aca="false">IF($CX334&gt;$CW$8,"",VLOOKUP($CX334,$CZ$9:$DF$508,3,FALSE()))</f>
        <v/>
      </c>
      <c r="DJ334" s="110" t="str">
        <f aca="false">IF($CX334&gt;$CW$8,"",VLOOKUP($CX334,$CZ$9:$DF$508,4,FALSE()))</f>
        <v/>
      </c>
      <c r="DK334" s="110" t="str">
        <f aca="false">IF($CX334&gt;$CW$8,"",VLOOKUP($CX334,$CZ$9:$DF$508,5,FALSE()))</f>
        <v/>
      </c>
      <c r="DL334" s="111" t="str">
        <f aca="false">IF($CX334&gt;$CW$8,"",VLOOKUP($CX334,$CZ$9:$DF$508,6,FALSE()))</f>
        <v/>
      </c>
      <c r="DM334" s="75"/>
    </row>
    <row r="335" customFormat="false" ht="15.75" hidden="false" customHeight="false" outlineLevel="0" collapsed="false">
      <c r="A335" s="9"/>
      <c r="B335" s="77"/>
      <c r="C335" s="78"/>
      <c r="D335" s="167"/>
      <c r="E335" s="175"/>
      <c r="F335" s="169"/>
      <c r="G335" s="170"/>
      <c r="H335" s="170"/>
      <c r="I335" s="176"/>
      <c r="J335" s="173"/>
      <c r="K335" s="85"/>
      <c r="L335" s="86"/>
      <c r="M335" s="87"/>
      <c r="N335" s="173"/>
      <c r="O335" s="173"/>
      <c r="P335" s="175"/>
      <c r="Q335" s="173"/>
      <c r="R335" s="173"/>
      <c r="S335" s="85"/>
      <c r="T335" s="87"/>
      <c r="U335" s="87"/>
      <c r="V335" s="173"/>
      <c r="W335" s="173"/>
      <c r="X335" s="175"/>
      <c r="Y335" s="173"/>
      <c r="Z335" s="174"/>
      <c r="AA335" s="173"/>
      <c r="AB335" s="91"/>
      <c r="AC335" s="92"/>
      <c r="AD335" s="92"/>
      <c r="AE335" s="92"/>
      <c r="AF335" s="92" t="str">
        <f aca="false">IF(ISBLANK($C335),"",IF(E335=Constants!$B$3,TRUE(),IF(E335=Constants!$B$4,FALSE(),TRUE())))</f>
        <v/>
      </c>
      <c r="AG335" s="92" t="str">
        <f aca="false">IF(ISBLANK($C335),"",IF(F335=Constants!$B$3,TRUE(),IF(F335=Constants!$B$4,FALSE(),TRUE())))</f>
        <v/>
      </c>
      <c r="AH335" s="92" t="str">
        <f aca="false">IF(ISBLANK($C335),"",IF(G335=Constants!$B$3,TRUE(),IF(G335=Constants!$B$4,FALSE(),TRUE())))</f>
        <v/>
      </c>
      <c r="AI335" s="92" t="str">
        <f aca="false">IF(ISBLANK($C335),"",IF(AND(ISNUMBER(H335),H335&gt;=0),H335,Constants!$B$29))</f>
        <v/>
      </c>
      <c r="AJ335" s="92" t="str">
        <f aca="false">IF(ISBLANK($C335),"",IF(I335=Constants!$B$3,TRUE(),IF(I335=Constants!$B$4,FALSE(),TRUE())))</f>
        <v/>
      </c>
      <c r="AK335" s="92" t="str">
        <f aca="false">IF(ISBLANK($C335),"",IF(J335=Constants!$B$3,TRUE(),IF(J335=Constants!$B$4,FALSE(),TRUE())))</f>
        <v/>
      </c>
      <c r="AL335" s="92" t="str">
        <f aca="false">IF(ISBLANK($C335),"",IF(K335=Constants!$B$5,TRUE(),IF(K335=Constants!$B$6,FALSE(),COUNTA(L335:P335)&gt;0)))</f>
        <v/>
      </c>
      <c r="AM335" s="94" t="str">
        <f aca="false">IF(ISBLANK($C335),"",IF(ISNUMBER(L335),IF(L335&gt;=0,L335,""),""))</f>
        <v/>
      </c>
      <c r="AN335" s="93" t="str">
        <f aca="false">IF(ISBLANK($C335),"",IF(ISNUMBER(M335),IF(M335&gt;=0,M335,""),""))</f>
        <v/>
      </c>
      <c r="AO335" s="93" t="str">
        <f aca="false">IF(ISBLANK($C335),"",IF(N335=Constants!$B$3,TRUE(),IF(N335=Constants!$B$4,FALSE(),TRUE())))</f>
        <v/>
      </c>
      <c r="AP335" s="92" t="str">
        <f aca="false">IF(ISBLANK($C335),"",IF(ISNUMBER(O335),IF(O335&gt;=0,O335,""),""))</f>
        <v/>
      </c>
      <c r="AQ335" s="92" t="str">
        <f aca="false">IF(ISBLANK($C335),"",IF(P335=Constants!$B$3,TRUE(),IF(P335=Constants!$B$4,FALSE(),FALSE())))</f>
        <v/>
      </c>
      <c r="AR335" s="92" t="str">
        <f aca="false">IF(ISBLANK($C335),"",IF(Q335=Constants!$B$3,TRUE(),IF(Q335=Constants!$B$4,FALSE(),TRUE())))</f>
        <v/>
      </c>
      <c r="AS335" s="92" t="str">
        <f aca="false">IF(ISBLANK($C335),"",IF(R335=Constants!$B$3,TRUE(),IF(R335=Constants!$B$4,FALSE(),TRUE())))</f>
        <v/>
      </c>
      <c r="AT335" s="92" t="str">
        <f aca="false">IF(ISBLANK($C335),"",IF(S335=Constants!$B$5,TRUE(),IF(S335=Constants!$B$6,FALSE(),COUNTA(T335:X335)&gt;0)))</f>
        <v/>
      </c>
      <c r="AU335" s="94" t="str">
        <f aca="false">IF(ISBLANK($C335),"",IF(ISNUMBER(T335),IF(T335&gt;=0,T335,""),""))</f>
        <v/>
      </c>
      <c r="AV335" s="93" t="str">
        <f aca="false">IF(ISBLANK($C335),"",IF(ISNUMBER(U335),IF(U335&gt;=0,U335,""),""))</f>
        <v/>
      </c>
      <c r="AW335" s="93" t="str">
        <f aca="false">IF(ISBLANK($C335),"",IF(V335=Constants!$B$3,TRUE(),IF(V335=Constants!$B$4,FALSE(),TRUE())))</f>
        <v/>
      </c>
      <c r="AX335" s="92" t="str">
        <f aca="false">IF(ISBLANK($C335),"",IF(ISNUMBER(W335),IF(W335&gt;=0,W335,""),""))</f>
        <v/>
      </c>
      <c r="AY335" s="92" t="str">
        <f aca="false">IF(ISBLANK($C335),"",IF(X335=Constants!$B$3,TRUE(),IF(X335=Constants!$B$4,FALSE(),FALSE())))</f>
        <v/>
      </c>
      <c r="AZ335" s="92" t="str">
        <f aca="false">IF(ISBLANK($C335),"",MIN(Constants!$B$31,MAX(0,IF(ISNUMBER(Y335),Y335*60,0)+IF(ISNUMBER(Z335),Z335,0))))</f>
        <v/>
      </c>
      <c r="BA335" s="92" t="str">
        <f aca="false">IF(ISBLANK($C335),"",IF(AA335=Constants!$B$3,TRUE(),IF(AA335=Constants!$B$4,FALSE(),FALSE())))</f>
        <v/>
      </c>
      <c r="BB335" s="91" t="str">
        <f aca="false">IF(ISBLANK($C335),"",AND($AL335,OR($AM335="",$AN335="",AND($AO335,$AP335=""))))</f>
        <v/>
      </c>
      <c r="BC335" s="93" t="str">
        <f aca="false">IF($BR335&lt;&gt;Constants!$B$8,"",IF($AL335,Constants!$B$21*$AN335+Constants!$B$22*IF($AO335,$AP335,Constants!$B$23),Constants!$B$24))</f>
        <v/>
      </c>
      <c r="BD335" s="96" t="str">
        <f aca="false">IF($BR335&lt;&gt;Constants!$B$8,"",Constants!$B$25*ABS($AD$9-IF($AL335,$AM335,0)))</f>
        <v/>
      </c>
      <c r="BE335" s="96" t="str">
        <f aca="false">IF($BR335&lt;&gt;Constants!$B$8,"",IF(AND($AL335,$AQ335,$AO335),Constants!$B$27,0))</f>
        <v/>
      </c>
      <c r="BF335" s="96" t="str">
        <f aca="false">IF($BR335&lt;&gt;Constants!$B$8,"",IF($AL335,($AI335-Constants!$B$29)*Constants!$B$28,0))</f>
        <v/>
      </c>
      <c r="BG335" s="96" t="str">
        <f aca="false">IF($BR335&lt;&gt;Constants!$B$8,"",IF($AK335,0,Constants!$B$15)+IF($AJ335,0,Constants!$B$16)+IF($AH335,0,Constants!$B$17))</f>
        <v/>
      </c>
      <c r="BH335" s="97" t="str">
        <f aca="false">IF($BR335&lt;&gt;Constants!$B$8,"",Constants!$B$20+SUM($BC335:$BG335))</f>
        <v/>
      </c>
      <c r="BI335" s="92" t="str">
        <f aca="false">IF($BR335&lt;&gt;Constants!$B$8,"",IF(OR($BP335&lt;$BH335,AND($BP335=$BH335,OR($BK335&lt;$BC335,AND($BK335=$BC335,OR($BL335&lt;$BD335,AND($BL335=$BD335,$AT335,$AL335,$AV335&lt;$AN335)))))),"-&gt;","&lt;-"))</f>
        <v/>
      </c>
      <c r="BJ335" s="91" t="str">
        <f aca="false">IF(ISBLANK($C335),"",AND($AT335,OR($AU335="",$AV335="",AND($AW335,$AX335=""))))</f>
        <v/>
      </c>
      <c r="BK335" s="93" t="str">
        <f aca="false">IF($BR335&lt;&gt;Constants!$B$8,"",IF($AT335,Constants!$B$21*$AV335+Constants!$B$22*IF($AW335,$AX335,Constants!$B$23),Constants!$B$24))</f>
        <v/>
      </c>
      <c r="BL335" s="96" t="str">
        <f aca="false">IF($BR335&lt;&gt;Constants!$B$8,"",Constants!$B$25*ABS($AD$9-IF($AT335,$AU335,0)))</f>
        <v/>
      </c>
      <c r="BM335" s="96" t="str">
        <f aca="false">IF($BR335&lt;&gt;Constants!$B$8,"",IF(AND($AT335,$AY335,$AW335),Constants!$B$27,0))</f>
        <v/>
      </c>
      <c r="BN335" s="96" t="str">
        <f aca="false">IF($BR335&lt;&gt;Constants!$B$8,"",IF($AT335,($AI335-Constants!$B$29)*Constants!$B$28,0))</f>
        <v/>
      </c>
      <c r="BO335" s="96" t="str">
        <f aca="false">IF($BR335&lt;&gt;Constants!$B$8,"",IF($AS335,0,Constants!$B$15)+IF($AR335,0,Constants!$B$16)+IF($AH335,0,Constants!$B$17))</f>
        <v/>
      </c>
      <c r="BP335" s="97" t="str">
        <f aca="false">IF($BR335&lt;&gt;Constants!$B$8,"",Constants!$B$20+SUM($BK335:$BO335))</f>
        <v/>
      </c>
      <c r="BQ335" s="92" t="str">
        <f aca="false">IF(ISBLANK($C335),"",IF(ISBLANK($D$7),$BQ$5,IF(NOT(ISNUMBER($D$7)),$BQ$6,"")))</f>
        <v/>
      </c>
      <c r="BR335" s="92" t="str">
        <f aca="false">IF(ISBLANK($C335),"",IF($BA335,Constants!$B$11,IF(COUNTA($E335:$AA335)=0,Constants!$B$10,IF(NOT($AG335),Constants!$B$9,IF(OR($BQ335&lt;&gt;"",$BB335,$BJ335),Constants!$B$12,Constants!$B$8)))))</f>
        <v/>
      </c>
      <c r="BS335" s="92" t="str">
        <f aca="false">IF(ISBLANK($C335),"",IF($BR335&lt;&gt;Constants!$B$8,$BR335,Constants!$B$13))</f>
        <v/>
      </c>
      <c r="BT335" s="96" t="str">
        <f aca="false">IF($BR335&lt;&gt;Constants!$B$8,"",IF($BI335="-&gt;",$BP335,$BH335))</f>
        <v/>
      </c>
      <c r="BU335" s="96" t="str">
        <f aca="false">IF($BR335&lt;&gt;Constants!$B$8,"",IF($AF335,0,Constants!$B$18))</f>
        <v/>
      </c>
      <c r="BV335" s="96" t="str">
        <f aca="false">IF($BR335&lt;&gt;Constants!$B$8,"",((Constants!$B$31-$AZ335)-Constants!$B$31)/Constants!$B$32)</f>
        <v/>
      </c>
      <c r="BW335" s="96" t="str">
        <f aca="false">IF(ISBLANK($C335),"",IF($BR335&lt;&gt;Constants!$B$8,$BR335,SUM($BT335:$BV335)))</f>
        <v/>
      </c>
      <c r="BX335" s="92" t="str">
        <f aca="false">IF(ISBLANK($C335),"",IF($BR335&lt;&gt;Constants!$B$8,$BR335,RANK($BW335,$BW$9:$BW$508,1)))</f>
        <v/>
      </c>
      <c r="BY335" s="96" t="str">
        <f aca="false">IF($BR335&lt;&gt;Constants!$B$8,"",IF($BI335="-&gt;",$BK335,$BC335))</f>
        <v/>
      </c>
      <c r="BZ335" s="92" t="str">
        <f aca="false">IF(ISBLANK($C335),"",IF($BR335&lt;&gt;Constants!$B$8,$BR335,IF(ISNUMBER($BY335),RANK($BY335,$BY$9:$BY$508,1),COUNT($BY$9:$BY$508)+1)))</f>
        <v/>
      </c>
      <c r="CA335" s="96" t="str">
        <f aca="false">IF($BR335&lt;&gt;Constants!$B$8,"",IF($BI335="-&gt;",$BL335,$BD335))</f>
        <v/>
      </c>
      <c r="CB335" s="92" t="str">
        <f aca="false">IF(ISBLANK($C335),"",IF($BR335&lt;&gt;Constants!$B$8,$BR335,IF(ISNUMBER($CA335),RANK($CA335,$CA$9:$CA$508,1),COUNT($CA$9:$CA$508)+1)))</f>
        <v/>
      </c>
      <c r="CC335" s="96" t="str">
        <f aca="false">IF($BR335&lt;&gt;Constants!$B$8,"",IF($BI335="-&gt;",IF($AT335,$AV335,""),IF($AL335,$AN335,"")))</f>
        <v/>
      </c>
      <c r="CD335" s="92" t="str">
        <f aca="false">IF(ISBLANK($C335),"",IF($BR335&lt;&gt;Constants!$B$8,$BR335,IF(ISNUMBER($CC335),RANK($CC335,$CC$9:$CC$508,1),COUNT($CC$9:$CC$508)+1)))</f>
        <v/>
      </c>
      <c r="CE335" s="96" t="str">
        <f aca="false">IF($BR335&lt;&gt;Constants!$B$8,"",IF(AND(NOT($AL335),NOT($AT335),$AJ335,$AK335,$AR335,$AS335),"",$AI335))</f>
        <v/>
      </c>
      <c r="CF335" s="92" t="str">
        <f aca="false">IF(ISBLANK($C335),"",IF($BR335&lt;&gt;Constants!$B$8,$BR335,IF(ISNUMBER($CE335),RANK($CE335,$CE$9:$CE$508,1),COUNT($CE$9:$CE$508)+1)))</f>
        <v/>
      </c>
      <c r="CG335" s="92" t="str">
        <f aca="false">IF(ISBLANK($C335),"",IF($BR335&lt;&gt;Constants!$B$8,$BR335,COUNTIFS($BX$9:$BX$508,"&lt;"&amp;$BX335)+COUNTIFS($BX$9:$BX$508,$BX335,$BZ$9:$BZ$508,"&lt;"&amp;$BZ335)+COUNTIFS($BX$9:$BX$508,$BX335,$BZ$9:$BZ$508,$BZ335,$CB$9:$CB$508,"&lt;"&amp;$CB335)+COUNTIFS($BX$9:$BX$508,$BX335,$BZ$9:$BZ$508,$BZ335,$CB$9:$CB$508,$CB335,$CD$9:$CD$508,"&lt;"&amp;$CD335)+COUNTIFS($BX$9:$BX$508,$BX335,$BZ$9:$BZ$508,$BZ335,$CB$9:$CB$508,$CB335,$CD$9:$CD$508,$CD335,$CF$9:$CF$508,"&lt;"&amp;$CF335)+1))</f>
        <v/>
      </c>
      <c r="CH335" s="92" t="str">
        <f aca="false">IF(ISBLANK($C335),"",IF($BR335&lt;&gt;Constants!$B$8,$BR335,$BX335-$CG335))</f>
        <v/>
      </c>
      <c r="CI335" s="98"/>
      <c r="CJ335" s="99"/>
      <c r="CK335" s="100" t="str">
        <f aca="false">IF(ISBLANK($C335),"",IF($BR335=Constants!$B$12,$BQ335,""))</f>
        <v/>
      </c>
      <c r="CL335" s="99" t="str">
        <f aca="false">IF(ISBLANK($C335),"",IF($BR335&lt;&gt;Constants!$B$8,"",IF($BI335="-&gt;",2,1)))</f>
        <v/>
      </c>
      <c r="CM335" s="101" t="str">
        <f aca="false">IF(ISBLANK($C335),"",IF($BR335&lt;&gt;Constants!$B$8,"",IF($BI335="-&gt;",$BK335,$BC335)))</f>
        <v/>
      </c>
      <c r="CN335" s="101" t="str">
        <f aca="false">IF(ISBLANK($C335),"",IF($BR335&lt;&gt;Constants!$B$8,"",IF($BI335="-&gt;",$BL335,$BD335)))</f>
        <v/>
      </c>
      <c r="CO335" s="101" t="str">
        <f aca="false">IF(ISBLANK($C335),"",IF($BR335&lt;&gt;Constants!$B$8,"",IF($BI335="-&gt;",$BM335+$BN335,$BE335+$BF335)+$BV335))</f>
        <v/>
      </c>
      <c r="CP335" s="101" t="str">
        <f aca="false">IF(ISBLANK($C335),"",IF($BR335&lt;&gt;Constants!$B$8,"",IF($BI335="-&gt;",$BO335,$BG335)+$BU335))</f>
        <v/>
      </c>
      <c r="CQ335" s="102" t="str">
        <f aca="false">IF(ISBLANK($C335),"",IF($BR335&lt;&gt;Constants!$B$8,$BR335,$BW335))</f>
        <v/>
      </c>
      <c r="CR335" s="103" t="str">
        <f aca="false">IF(ISBLANK($C335),"",$BS335)</f>
        <v/>
      </c>
      <c r="CS335" s="104" t="str">
        <f aca="false">IF(ISBLANK($C335),"",$CH335)</f>
        <v/>
      </c>
      <c r="CT335" s="104" t="str">
        <f aca="false">IF(ISBLANK($C335),"",$CG335)</f>
        <v/>
      </c>
      <c r="CU335" s="105" t="str">
        <f aca="false">IF(ISBLANK($C335),"",IFERROR(_xlfn.SWITCH($CT335,Constants!$B$11,COUNTA($C$9:$C$508)+2,Constants!$B$10,COUNTA($C$9:$C$508)+1,Constants!$B$9,COUNTA($C$9:$C$508)),$CT335))</f>
        <v/>
      </c>
      <c r="CV335" s="9"/>
      <c r="CW335" s="106" t="n">
        <f aca="false">IF(OR(ISNUMBER($CT335),$CT335=Constants!$B$11,$CT335=Constants!$B$9,$CT335=Constants!$B$10),1,0)</f>
        <v>0</v>
      </c>
      <c r="CX335" s="106" t="n">
        <v>327</v>
      </c>
      <c r="CY335" s="106" t="str">
        <f aca="false">IF(ISBLANK($C335),"",IF(ISNUMBER($CU335),$CU335+ROW($B335)/1000,""))</f>
        <v/>
      </c>
      <c r="CZ335" s="106" t="str">
        <f aca="false">IF(ISNUMBER($CY335),RANK($CY335,$CY$9:$CY$508,1),"")</f>
        <v/>
      </c>
      <c r="DA335" s="106" t="str">
        <f aca="false">IF(ISBLANK($C335),"",$B335)</f>
        <v/>
      </c>
      <c r="DB335" s="106" t="str">
        <f aca="false">IF(ISBLANK($C335),"",$C335)</f>
        <v/>
      </c>
      <c r="DC335" s="106" t="str">
        <f aca="false">IF(ISBLANK($C335),"",$D335)</f>
        <v/>
      </c>
      <c r="DD335" s="107" t="str">
        <f aca="false">$CR335</f>
        <v/>
      </c>
      <c r="DE335" s="108" t="str">
        <f aca="false">$CQ335</f>
        <v/>
      </c>
      <c r="DF335" s="106" t="str">
        <f aca="false">IF(ISBLANK($C335),"",$CT335)</f>
        <v/>
      </c>
      <c r="DG335" s="109" t="str">
        <f aca="false">IF($CX335&gt;$CW$8,"",VLOOKUP($CX335,$CZ$9:$DF$508,7,FALSE()))</f>
        <v/>
      </c>
      <c r="DH335" s="110" t="str">
        <f aca="false">IF($CX335&gt;$CW$8,"",VLOOKUP($CX335,$CZ$9:$DF$508,2,FALSE()))</f>
        <v/>
      </c>
      <c r="DI335" s="110" t="str">
        <f aca="false">IF($CX335&gt;$CW$8,"",VLOOKUP($CX335,$CZ$9:$DF$508,3,FALSE()))</f>
        <v/>
      </c>
      <c r="DJ335" s="110" t="str">
        <f aca="false">IF($CX335&gt;$CW$8,"",VLOOKUP($CX335,$CZ$9:$DF$508,4,FALSE()))</f>
        <v/>
      </c>
      <c r="DK335" s="110" t="str">
        <f aca="false">IF($CX335&gt;$CW$8,"",VLOOKUP($CX335,$CZ$9:$DF$508,5,FALSE()))</f>
        <v/>
      </c>
      <c r="DL335" s="111" t="str">
        <f aca="false">IF($CX335&gt;$CW$8,"",VLOOKUP($CX335,$CZ$9:$DF$508,6,FALSE()))</f>
        <v/>
      </c>
      <c r="DM335" s="75"/>
    </row>
    <row r="336" customFormat="false" ht="15.75" hidden="false" customHeight="false" outlineLevel="0" collapsed="false">
      <c r="A336" s="9"/>
      <c r="B336" s="157"/>
      <c r="C336" s="158"/>
      <c r="D336" s="159"/>
      <c r="E336" s="177"/>
      <c r="F336" s="161"/>
      <c r="G336" s="162"/>
      <c r="H336" s="162"/>
      <c r="I336" s="178"/>
      <c r="J336" s="165"/>
      <c r="K336" s="126"/>
      <c r="L336" s="127"/>
      <c r="M336" s="128"/>
      <c r="N336" s="165"/>
      <c r="O336" s="165"/>
      <c r="P336" s="177"/>
      <c r="Q336" s="165"/>
      <c r="R336" s="165"/>
      <c r="S336" s="126"/>
      <c r="T336" s="128"/>
      <c r="U336" s="128"/>
      <c r="V336" s="165"/>
      <c r="W336" s="165"/>
      <c r="X336" s="177"/>
      <c r="Y336" s="165"/>
      <c r="Z336" s="166"/>
      <c r="AA336" s="165"/>
      <c r="AB336" s="132"/>
      <c r="AC336" s="133"/>
      <c r="AD336" s="133"/>
      <c r="AE336" s="133"/>
      <c r="AF336" s="133" t="str">
        <f aca="false">IF(ISBLANK($C336),"",IF(E336=Constants!$B$3,TRUE(),IF(E336=Constants!$B$4,FALSE(),TRUE())))</f>
        <v/>
      </c>
      <c r="AG336" s="133" t="str">
        <f aca="false">IF(ISBLANK($C336),"",IF(F336=Constants!$B$3,TRUE(),IF(F336=Constants!$B$4,FALSE(),TRUE())))</f>
        <v/>
      </c>
      <c r="AH336" s="133" t="str">
        <f aca="false">IF(ISBLANK($C336),"",IF(G336=Constants!$B$3,TRUE(),IF(G336=Constants!$B$4,FALSE(),TRUE())))</f>
        <v/>
      </c>
      <c r="AI336" s="133" t="str">
        <f aca="false">IF(ISBLANK($C336),"",IF(AND(ISNUMBER(H336),H336&gt;=0),H336,Constants!$B$29))</f>
        <v/>
      </c>
      <c r="AJ336" s="133" t="str">
        <f aca="false">IF(ISBLANK($C336),"",IF(I336=Constants!$B$3,TRUE(),IF(I336=Constants!$B$4,FALSE(),TRUE())))</f>
        <v/>
      </c>
      <c r="AK336" s="133" t="str">
        <f aca="false">IF(ISBLANK($C336),"",IF(J336=Constants!$B$3,TRUE(),IF(J336=Constants!$B$4,FALSE(),TRUE())))</f>
        <v/>
      </c>
      <c r="AL336" s="133" t="str">
        <f aca="false">IF(ISBLANK($C336),"",IF(K336=Constants!$B$5,TRUE(),IF(K336=Constants!$B$6,FALSE(),COUNTA(L336:P336)&gt;0)))</f>
        <v/>
      </c>
      <c r="AM336" s="134" t="str">
        <f aca="false">IF(ISBLANK($C336),"",IF(ISNUMBER(L336),IF(L336&gt;=0,L336,""),""))</f>
        <v/>
      </c>
      <c r="AN336" s="135" t="str">
        <f aca="false">IF(ISBLANK($C336),"",IF(ISNUMBER(M336),IF(M336&gt;=0,M336,""),""))</f>
        <v/>
      </c>
      <c r="AO336" s="135" t="str">
        <f aca="false">IF(ISBLANK($C336),"",IF(N336=Constants!$B$3,TRUE(),IF(N336=Constants!$B$4,FALSE(),TRUE())))</f>
        <v/>
      </c>
      <c r="AP336" s="133" t="str">
        <f aca="false">IF(ISBLANK($C336),"",IF(ISNUMBER(O336),IF(O336&gt;=0,O336,""),""))</f>
        <v/>
      </c>
      <c r="AQ336" s="133" t="str">
        <f aca="false">IF(ISBLANK($C336),"",IF(P336=Constants!$B$3,TRUE(),IF(P336=Constants!$B$4,FALSE(),FALSE())))</f>
        <v/>
      </c>
      <c r="AR336" s="133" t="str">
        <f aca="false">IF(ISBLANK($C336),"",IF(Q336=Constants!$B$3,TRUE(),IF(Q336=Constants!$B$4,FALSE(),TRUE())))</f>
        <v/>
      </c>
      <c r="AS336" s="133" t="str">
        <f aca="false">IF(ISBLANK($C336),"",IF(R336=Constants!$B$3,TRUE(),IF(R336=Constants!$B$4,FALSE(),TRUE())))</f>
        <v/>
      </c>
      <c r="AT336" s="133" t="str">
        <f aca="false">IF(ISBLANK($C336),"",IF(S336=Constants!$B$5,TRUE(),IF(S336=Constants!$B$6,FALSE(),COUNTA(T336:X336)&gt;0)))</f>
        <v/>
      </c>
      <c r="AU336" s="134" t="str">
        <f aca="false">IF(ISBLANK($C336),"",IF(ISNUMBER(T336),IF(T336&gt;=0,T336,""),""))</f>
        <v/>
      </c>
      <c r="AV336" s="135" t="str">
        <f aca="false">IF(ISBLANK($C336),"",IF(ISNUMBER(U336),IF(U336&gt;=0,U336,""),""))</f>
        <v/>
      </c>
      <c r="AW336" s="135" t="str">
        <f aca="false">IF(ISBLANK($C336),"",IF(V336=Constants!$B$3,TRUE(),IF(V336=Constants!$B$4,FALSE(),TRUE())))</f>
        <v/>
      </c>
      <c r="AX336" s="133" t="str">
        <f aca="false">IF(ISBLANK($C336),"",IF(ISNUMBER(W336),IF(W336&gt;=0,W336,""),""))</f>
        <v/>
      </c>
      <c r="AY336" s="133" t="str">
        <f aca="false">IF(ISBLANK($C336),"",IF(X336=Constants!$B$3,TRUE(),IF(X336=Constants!$B$4,FALSE(),FALSE())))</f>
        <v/>
      </c>
      <c r="AZ336" s="133" t="str">
        <f aca="false">IF(ISBLANK($C336),"",MIN(Constants!$B$31,MAX(0,IF(ISNUMBER(Y336),Y336*60,0)+IF(ISNUMBER(Z336),Z336,0))))</f>
        <v/>
      </c>
      <c r="BA336" s="133" t="str">
        <f aca="false">IF(ISBLANK($C336),"",IF(AA336=Constants!$B$3,TRUE(),IF(AA336=Constants!$B$4,FALSE(),FALSE())))</f>
        <v/>
      </c>
      <c r="BB336" s="132" t="str">
        <f aca="false">IF(ISBLANK($C336),"",AND($AL336,OR($AM336="",$AN336="",AND($AO336,$AP336=""))))</f>
        <v/>
      </c>
      <c r="BC336" s="135" t="str">
        <f aca="false">IF($BR336&lt;&gt;Constants!$B$8,"",IF($AL336,Constants!$B$21*$AN336+Constants!$B$22*IF($AO336,$AP336,Constants!$B$23),Constants!$B$24))</f>
        <v/>
      </c>
      <c r="BD336" s="136" t="str">
        <f aca="false">IF($BR336&lt;&gt;Constants!$B$8,"",Constants!$B$25*ABS($AD$9-IF($AL336,$AM336,0)))</f>
        <v/>
      </c>
      <c r="BE336" s="136" t="str">
        <f aca="false">IF($BR336&lt;&gt;Constants!$B$8,"",IF(AND($AL336,$AQ336,$AO336),Constants!$B$27,0))</f>
        <v/>
      </c>
      <c r="BF336" s="136" t="str">
        <f aca="false">IF($BR336&lt;&gt;Constants!$B$8,"",IF($AL336,($AI336-Constants!$B$29)*Constants!$B$28,0))</f>
        <v/>
      </c>
      <c r="BG336" s="136" t="str">
        <f aca="false">IF($BR336&lt;&gt;Constants!$B$8,"",IF($AK336,0,Constants!$B$15)+IF($AJ336,0,Constants!$B$16)+IF($AH336,0,Constants!$B$17))</f>
        <v/>
      </c>
      <c r="BH336" s="137" t="str">
        <f aca="false">IF($BR336&lt;&gt;Constants!$B$8,"",Constants!$B$20+SUM($BC336:$BG336))</f>
        <v/>
      </c>
      <c r="BI336" s="133" t="str">
        <f aca="false">IF($BR336&lt;&gt;Constants!$B$8,"",IF(OR($BP336&lt;$BH336,AND($BP336=$BH336,OR($BK336&lt;$BC336,AND($BK336=$BC336,OR($BL336&lt;$BD336,AND($BL336=$BD336,$AT336,$AL336,$AV336&lt;$AN336)))))),"-&gt;","&lt;-"))</f>
        <v/>
      </c>
      <c r="BJ336" s="132" t="str">
        <f aca="false">IF(ISBLANK($C336),"",AND($AT336,OR($AU336="",$AV336="",AND($AW336,$AX336=""))))</f>
        <v/>
      </c>
      <c r="BK336" s="135" t="str">
        <f aca="false">IF($BR336&lt;&gt;Constants!$B$8,"",IF($AT336,Constants!$B$21*$AV336+Constants!$B$22*IF($AW336,$AX336,Constants!$B$23),Constants!$B$24))</f>
        <v/>
      </c>
      <c r="BL336" s="136" t="str">
        <f aca="false">IF($BR336&lt;&gt;Constants!$B$8,"",Constants!$B$25*ABS($AD$9-IF($AT336,$AU336,0)))</f>
        <v/>
      </c>
      <c r="BM336" s="136" t="str">
        <f aca="false">IF($BR336&lt;&gt;Constants!$B$8,"",IF(AND($AT336,$AY336,$AW336),Constants!$B$27,0))</f>
        <v/>
      </c>
      <c r="BN336" s="136" t="str">
        <f aca="false">IF($BR336&lt;&gt;Constants!$B$8,"",IF($AT336,($AI336-Constants!$B$29)*Constants!$B$28,0))</f>
        <v/>
      </c>
      <c r="BO336" s="136" t="str">
        <f aca="false">IF($BR336&lt;&gt;Constants!$B$8,"",IF($AS336,0,Constants!$B$15)+IF($AR336,0,Constants!$B$16)+IF($AH336,0,Constants!$B$17))</f>
        <v/>
      </c>
      <c r="BP336" s="137" t="str">
        <f aca="false">IF($BR336&lt;&gt;Constants!$B$8,"",Constants!$B$20+SUM($BK336:$BO336))</f>
        <v/>
      </c>
      <c r="BQ336" s="133" t="str">
        <f aca="false">IF(ISBLANK($C336),"",IF(ISBLANK($D$7),$BQ$5,IF(NOT(ISNUMBER($D$7)),$BQ$6,"")))</f>
        <v/>
      </c>
      <c r="BR336" s="133" t="str">
        <f aca="false">IF(ISBLANK($C336),"",IF($BA336,Constants!$B$11,IF(COUNTA($E336:$AA336)=0,Constants!$B$10,IF(NOT($AG336),Constants!$B$9,IF(OR($BQ336&lt;&gt;"",$BB336,$BJ336),Constants!$B$12,Constants!$B$8)))))</f>
        <v/>
      </c>
      <c r="BS336" s="133" t="str">
        <f aca="false">IF(ISBLANK($C336),"",IF($BR336&lt;&gt;Constants!$B$8,$BR336,Constants!$B$13))</f>
        <v/>
      </c>
      <c r="BT336" s="136" t="str">
        <f aca="false">IF($BR336&lt;&gt;Constants!$B$8,"",IF($BI336="-&gt;",$BP336,$BH336))</f>
        <v/>
      </c>
      <c r="BU336" s="136" t="str">
        <f aca="false">IF($BR336&lt;&gt;Constants!$B$8,"",IF($AF336,0,Constants!$B$18))</f>
        <v/>
      </c>
      <c r="BV336" s="136" t="str">
        <f aca="false">IF($BR336&lt;&gt;Constants!$B$8,"",((Constants!$B$31-$AZ336)-Constants!$B$31)/Constants!$B$32)</f>
        <v/>
      </c>
      <c r="BW336" s="136" t="str">
        <f aca="false">IF(ISBLANK($C336),"",IF($BR336&lt;&gt;Constants!$B$8,$BR336,SUM($BT336:$BV336)))</f>
        <v/>
      </c>
      <c r="BX336" s="133" t="str">
        <f aca="false">IF(ISBLANK($C336),"",IF($BR336&lt;&gt;Constants!$B$8,$BR336,RANK($BW336,$BW$9:$BW$508,1)))</f>
        <v/>
      </c>
      <c r="BY336" s="136" t="str">
        <f aca="false">IF($BR336&lt;&gt;Constants!$B$8,"",IF($BI336="-&gt;",$BK336,$BC336))</f>
        <v/>
      </c>
      <c r="BZ336" s="133" t="str">
        <f aca="false">IF(ISBLANK($C336),"",IF($BR336&lt;&gt;Constants!$B$8,$BR336,IF(ISNUMBER($BY336),RANK($BY336,$BY$9:$BY$508,1),COUNT($BY$9:$BY$508)+1)))</f>
        <v/>
      </c>
      <c r="CA336" s="136" t="str">
        <f aca="false">IF($BR336&lt;&gt;Constants!$B$8,"",IF($BI336="-&gt;",$BL336,$BD336))</f>
        <v/>
      </c>
      <c r="CB336" s="133" t="str">
        <f aca="false">IF(ISBLANK($C336),"",IF($BR336&lt;&gt;Constants!$B$8,$BR336,IF(ISNUMBER($CA336),RANK($CA336,$CA$9:$CA$508,1),COUNT($CA$9:$CA$508)+1)))</f>
        <v/>
      </c>
      <c r="CC336" s="136" t="str">
        <f aca="false">IF($BR336&lt;&gt;Constants!$B$8,"",IF($BI336="-&gt;",IF($AT336,$AV336,""),IF($AL336,$AN336,"")))</f>
        <v/>
      </c>
      <c r="CD336" s="133" t="str">
        <f aca="false">IF(ISBLANK($C336),"",IF($BR336&lt;&gt;Constants!$B$8,$BR336,IF(ISNUMBER($CC336),RANK($CC336,$CC$9:$CC$508,1),COUNT($CC$9:$CC$508)+1)))</f>
        <v/>
      </c>
      <c r="CE336" s="136" t="str">
        <f aca="false">IF($BR336&lt;&gt;Constants!$B$8,"",IF(AND(NOT($AL336),NOT($AT336),$AJ336,$AK336,$AR336,$AS336),"",$AI336))</f>
        <v/>
      </c>
      <c r="CF336" s="133" t="str">
        <f aca="false">IF(ISBLANK($C336),"",IF($BR336&lt;&gt;Constants!$B$8,$BR336,IF(ISNUMBER($CE336),RANK($CE336,$CE$9:$CE$508,1),COUNT($CE$9:$CE$508)+1)))</f>
        <v/>
      </c>
      <c r="CG336" s="133" t="str">
        <f aca="false">IF(ISBLANK($C336),"",IF($BR336&lt;&gt;Constants!$B$8,$BR336,COUNTIFS($BX$9:$BX$508,"&lt;"&amp;$BX336)+COUNTIFS($BX$9:$BX$508,$BX336,$BZ$9:$BZ$508,"&lt;"&amp;$BZ336)+COUNTIFS($BX$9:$BX$508,$BX336,$BZ$9:$BZ$508,$BZ336,$CB$9:$CB$508,"&lt;"&amp;$CB336)+COUNTIFS($BX$9:$BX$508,$BX336,$BZ$9:$BZ$508,$BZ336,$CB$9:$CB$508,$CB336,$CD$9:$CD$508,"&lt;"&amp;$CD336)+COUNTIFS($BX$9:$BX$508,$BX336,$BZ$9:$BZ$508,$BZ336,$CB$9:$CB$508,$CB336,$CD$9:$CD$508,$CD336,$CF$9:$CF$508,"&lt;"&amp;$CF336)+1))</f>
        <v/>
      </c>
      <c r="CH336" s="133" t="str">
        <f aca="false">IF(ISBLANK($C336),"",IF($BR336&lt;&gt;Constants!$B$8,$BR336,$BX336-$CG336))</f>
        <v/>
      </c>
      <c r="CI336" s="138"/>
      <c r="CJ336" s="139"/>
      <c r="CK336" s="140" t="str">
        <f aca="false">IF(ISBLANK($C336),"",IF($BR336=Constants!$B$12,$BQ336,""))</f>
        <v/>
      </c>
      <c r="CL336" s="139" t="str">
        <f aca="false">IF(ISBLANK($C336),"",IF($BR336&lt;&gt;Constants!$B$8,"",IF($BI336="-&gt;",2,1)))</f>
        <v/>
      </c>
      <c r="CM336" s="141" t="str">
        <f aca="false">IF(ISBLANK($C336),"",IF($BR336&lt;&gt;Constants!$B$8,"",IF($BI336="-&gt;",$BK336,$BC336)))</f>
        <v/>
      </c>
      <c r="CN336" s="141" t="str">
        <f aca="false">IF(ISBLANK($C336),"",IF($BR336&lt;&gt;Constants!$B$8,"",IF($BI336="-&gt;",$BL336,$BD336)))</f>
        <v/>
      </c>
      <c r="CO336" s="141" t="str">
        <f aca="false">IF(ISBLANK($C336),"",IF($BR336&lt;&gt;Constants!$B$8,"",IF($BI336="-&gt;",$BM336+$BN336,$BE336+$BF336)+$BV336))</f>
        <v/>
      </c>
      <c r="CP336" s="141" t="str">
        <f aca="false">IF(ISBLANK($C336),"",IF($BR336&lt;&gt;Constants!$B$8,"",IF($BI336="-&gt;",$BO336,$BG336)+$BU336))</f>
        <v/>
      </c>
      <c r="CQ336" s="142" t="str">
        <f aca="false">IF(ISBLANK($C336),"",IF($BR336&lt;&gt;Constants!$B$8,$BR336,$BW336))</f>
        <v/>
      </c>
      <c r="CR336" s="143" t="str">
        <f aca="false">IF(ISBLANK($C336),"",$BS336)</f>
        <v/>
      </c>
      <c r="CS336" s="144" t="str">
        <f aca="false">IF(ISBLANK($C336),"",$CH336)</f>
        <v/>
      </c>
      <c r="CT336" s="144" t="str">
        <f aca="false">IF(ISBLANK($C336),"",$CG336)</f>
        <v/>
      </c>
      <c r="CU336" s="145" t="str">
        <f aca="false">IF(ISBLANK($C336),"",IFERROR(_xlfn.SWITCH($CT336,Constants!$B$11,COUNTA($C$9:$C$508)+2,Constants!$B$10,COUNTA($C$9:$C$508)+1,Constants!$B$9,COUNTA($C$9:$C$508)),$CT336))</f>
        <v/>
      </c>
      <c r="CV336" s="9"/>
      <c r="CW336" s="146" t="n">
        <f aca="false">IF(OR(ISNUMBER($CT336),$CT336=Constants!$B$11,$CT336=Constants!$B$9,$CT336=Constants!$B$10),1,0)</f>
        <v>0</v>
      </c>
      <c r="CX336" s="146" t="n">
        <v>328</v>
      </c>
      <c r="CY336" s="146" t="str">
        <f aca="false">IF(ISBLANK($C336),"",IF(ISNUMBER($CU336),$CU336+ROW($B336)/1000,""))</f>
        <v/>
      </c>
      <c r="CZ336" s="146" t="str">
        <f aca="false">IF(ISNUMBER($CY336),RANK($CY336,$CY$9:$CY$508,1),"")</f>
        <v/>
      </c>
      <c r="DA336" s="146" t="str">
        <f aca="false">IF(ISBLANK($C336),"",$B336)</f>
        <v/>
      </c>
      <c r="DB336" s="146" t="str">
        <f aca="false">IF(ISBLANK($C336),"",$C336)</f>
        <v/>
      </c>
      <c r="DC336" s="146" t="str">
        <f aca="false">IF(ISBLANK($C336),"",$D336)</f>
        <v/>
      </c>
      <c r="DD336" s="147" t="str">
        <f aca="false">$CR336</f>
        <v/>
      </c>
      <c r="DE336" s="148" t="str">
        <f aca="false">$CQ336</f>
        <v/>
      </c>
      <c r="DF336" s="146" t="str">
        <f aca="false">IF(ISBLANK($C336),"",$CT336)</f>
        <v/>
      </c>
      <c r="DG336" s="149" t="str">
        <f aca="false">IF($CX336&gt;$CW$8,"",VLOOKUP($CX336,$CZ$9:$DF$508,7,FALSE()))</f>
        <v/>
      </c>
      <c r="DH336" s="150" t="str">
        <f aca="false">IF($CX336&gt;$CW$8,"",VLOOKUP($CX336,$CZ$9:$DF$508,2,FALSE()))</f>
        <v/>
      </c>
      <c r="DI336" s="150" t="str">
        <f aca="false">IF($CX336&gt;$CW$8,"",VLOOKUP($CX336,$CZ$9:$DF$508,3,FALSE()))</f>
        <v/>
      </c>
      <c r="DJ336" s="150" t="str">
        <f aca="false">IF($CX336&gt;$CW$8,"",VLOOKUP($CX336,$CZ$9:$DF$508,4,FALSE()))</f>
        <v/>
      </c>
      <c r="DK336" s="150" t="str">
        <f aca="false">IF($CX336&gt;$CW$8,"",VLOOKUP($CX336,$CZ$9:$DF$508,5,FALSE()))</f>
        <v/>
      </c>
      <c r="DL336" s="151" t="str">
        <f aca="false">IF($CX336&gt;$CW$8,"",VLOOKUP($CX336,$CZ$9:$DF$508,6,FALSE()))</f>
        <v/>
      </c>
      <c r="DM336" s="75"/>
    </row>
    <row r="337" customFormat="false" ht="15.75" hidden="false" customHeight="false" outlineLevel="0" collapsed="false">
      <c r="A337" s="9"/>
      <c r="B337" s="157"/>
      <c r="C337" s="158"/>
      <c r="D337" s="159"/>
      <c r="E337" s="177"/>
      <c r="F337" s="161"/>
      <c r="G337" s="162"/>
      <c r="H337" s="162"/>
      <c r="I337" s="178"/>
      <c r="J337" s="165"/>
      <c r="K337" s="126"/>
      <c r="L337" s="127"/>
      <c r="M337" s="128"/>
      <c r="N337" s="165"/>
      <c r="O337" s="165"/>
      <c r="P337" s="177"/>
      <c r="Q337" s="165"/>
      <c r="R337" s="165"/>
      <c r="S337" s="126"/>
      <c r="T337" s="128"/>
      <c r="U337" s="128"/>
      <c r="V337" s="165"/>
      <c r="W337" s="165"/>
      <c r="X337" s="177"/>
      <c r="Y337" s="165"/>
      <c r="Z337" s="166"/>
      <c r="AA337" s="165"/>
      <c r="AB337" s="132"/>
      <c r="AC337" s="133"/>
      <c r="AD337" s="133"/>
      <c r="AE337" s="133"/>
      <c r="AF337" s="133" t="str">
        <f aca="false">IF(ISBLANK($C337),"",IF(E337=Constants!$B$3,TRUE(),IF(E337=Constants!$B$4,FALSE(),TRUE())))</f>
        <v/>
      </c>
      <c r="AG337" s="133" t="str">
        <f aca="false">IF(ISBLANK($C337),"",IF(F337=Constants!$B$3,TRUE(),IF(F337=Constants!$B$4,FALSE(),TRUE())))</f>
        <v/>
      </c>
      <c r="AH337" s="133" t="str">
        <f aca="false">IF(ISBLANK($C337),"",IF(G337=Constants!$B$3,TRUE(),IF(G337=Constants!$B$4,FALSE(),TRUE())))</f>
        <v/>
      </c>
      <c r="AI337" s="133" t="str">
        <f aca="false">IF(ISBLANK($C337),"",IF(AND(ISNUMBER(H337),H337&gt;=0),H337,Constants!$B$29))</f>
        <v/>
      </c>
      <c r="AJ337" s="133" t="str">
        <f aca="false">IF(ISBLANK($C337),"",IF(I337=Constants!$B$3,TRUE(),IF(I337=Constants!$B$4,FALSE(),TRUE())))</f>
        <v/>
      </c>
      <c r="AK337" s="133" t="str">
        <f aca="false">IF(ISBLANK($C337),"",IF(J337=Constants!$B$3,TRUE(),IF(J337=Constants!$B$4,FALSE(),TRUE())))</f>
        <v/>
      </c>
      <c r="AL337" s="133" t="str">
        <f aca="false">IF(ISBLANK($C337),"",IF(K337=Constants!$B$5,TRUE(),IF(K337=Constants!$B$6,FALSE(),COUNTA(L337:P337)&gt;0)))</f>
        <v/>
      </c>
      <c r="AM337" s="134" t="str">
        <f aca="false">IF(ISBLANK($C337),"",IF(ISNUMBER(L337),IF(L337&gt;=0,L337,""),""))</f>
        <v/>
      </c>
      <c r="AN337" s="135" t="str">
        <f aca="false">IF(ISBLANK($C337),"",IF(ISNUMBER(M337),IF(M337&gt;=0,M337,""),""))</f>
        <v/>
      </c>
      <c r="AO337" s="135" t="str">
        <f aca="false">IF(ISBLANK($C337),"",IF(N337=Constants!$B$3,TRUE(),IF(N337=Constants!$B$4,FALSE(),TRUE())))</f>
        <v/>
      </c>
      <c r="AP337" s="133" t="str">
        <f aca="false">IF(ISBLANK($C337),"",IF(ISNUMBER(O337),IF(O337&gt;=0,O337,""),""))</f>
        <v/>
      </c>
      <c r="AQ337" s="133" t="str">
        <f aca="false">IF(ISBLANK($C337),"",IF(P337=Constants!$B$3,TRUE(),IF(P337=Constants!$B$4,FALSE(),FALSE())))</f>
        <v/>
      </c>
      <c r="AR337" s="133" t="str">
        <f aca="false">IF(ISBLANK($C337),"",IF(Q337=Constants!$B$3,TRUE(),IF(Q337=Constants!$B$4,FALSE(),TRUE())))</f>
        <v/>
      </c>
      <c r="AS337" s="133" t="str">
        <f aca="false">IF(ISBLANK($C337),"",IF(R337=Constants!$B$3,TRUE(),IF(R337=Constants!$B$4,FALSE(),TRUE())))</f>
        <v/>
      </c>
      <c r="AT337" s="133" t="str">
        <f aca="false">IF(ISBLANK($C337),"",IF(S337=Constants!$B$5,TRUE(),IF(S337=Constants!$B$6,FALSE(),COUNTA(T337:X337)&gt;0)))</f>
        <v/>
      </c>
      <c r="AU337" s="134" t="str">
        <f aca="false">IF(ISBLANK($C337),"",IF(ISNUMBER(T337),IF(T337&gt;=0,T337,""),""))</f>
        <v/>
      </c>
      <c r="AV337" s="135" t="str">
        <f aca="false">IF(ISBLANK($C337),"",IF(ISNUMBER(U337),IF(U337&gt;=0,U337,""),""))</f>
        <v/>
      </c>
      <c r="AW337" s="135" t="str">
        <f aca="false">IF(ISBLANK($C337),"",IF(V337=Constants!$B$3,TRUE(),IF(V337=Constants!$B$4,FALSE(),TRUE())))</f>
        <v/>
      </c>
      <c r="AX337" s="133" t="str">
        <f aca="false">IF(ISBLANK($C337),"",IF(ISNUMBER(W337),IF(W337&gt;=0,W337,""),""))</f>
        <v/>
      </c>
      <c r="AY337" s="133" t="str">
        <f aca="false">IF(ISBLANK($C337),"",IF(X337=Constants!$B$3,TRUE(),IF(X337=Constants!$B$4,FALSE(),FALSE())))</f>
        <v/>
      </c>
      <c r="AZ337" s="133" t="str">
        <f aca="false">IF(ISBLANK($C337),"",MIN(Constants!$B$31,MAX(0,IF(ISNUMBER(Y337),Y337*60,0)+IF(ISNUMBER(Z337),Z337,0))))</f>
        <v/>
      </c>
      <c r="BA337" s="133" t="str">
        <f aca="false">IF(ISBLANK($C337),"",IF(AA337=Constants!$B$3,TRUE(),IF(AA337=Constants!$B$4,FALSE(),FALSE())))</f>
        <v/>
      </c>
      <c r="BB337" s="132" t="str">
        <f aca="false">IF(ISBLANK($C337),"",AND($AL337,OR($AM337="",$AN337="",AND($AO337,$AP337=""))))</f>
        <v/>
      </c>
      <c r="BC337" s="135" t="str">
        <f aca="false">IF($BR337&lt;&gt;Constants!$B$8,"",IF($AL337,Constants!$B$21*$AN337+Constants!$B$22*IF($AO337,$AP337,Constants!$B$23),Constants!$B$24))</f>
        <v/>
      </c>
      <c r="BD337" s="136" t="str">
        <f aca="false">IF($BR337&lt;&gt;Constants!$B$8,"",Constants!$B$25*ABS($AD$9-IF($AL337,$AM337,0)))</f>
        <v/>
      </c>
      <c r="BE337" s="136" t="str">
        <f aca="false">IF($BR337&lt;&gt;Constants!$B$8,"",IF(AND($AL337,$AQ337,$AO337),Constants!$B$27,0))</f>
        <v/>
      </c>
      <c r="BF337" s="136" t="str">
        <f aca="false">IF($BR337&lt;&gt;Constants!$B$8,"",IF($AL337,($AI337-Constants!$B$29)*Constants!$B$28,0))</f>
        <v/>
      </c>
      <c r="BG337" s="136" t="str">
        <f aca="false">IF($BR337&lt;&gt;Constants!$B$8,"",IF($AK337,0,Constants!$B$15)+IF($AJ337,0,Constants!$B$16)+IF($AH337,0,Constants!$B$17))</f>
        <v/>
      </c>
      <c r="BH337" s="137" t="str">
        <f aca="false">IF($BR337&lt;&gt;Constants!$B$8,"",Constants!$B$20+SUM($BC337:$BG337))</f>
        <v/>
      </c>
      <c r="BI337" s="133" t="str">
        <f aca="false">IF($BR337&lt;&gt;Constants!$B$8,"",IF(OR($BP337&lt;$BH337,AND($BP337=$BH337,OR($BK337&lt;$BC337,AND($BK337=$BC337,OR($BL337&lt;$BD337,AND($BL337=$BD337,$AT337,$AL337,$AV337&lt;$AN337)))))),"-&gt;","&lt;-"))</f>
        <v/>
      </c>
      <c r="BJ337" s="132" t="str">
        <f aca="false">IF(ISBLANK($C337),"",AND($AT337,OR($AU337="",$AV337="",AND($AW337,$AX337=""))))</f>
        <v/>
      </c>
      <c r="BK337" s="135" t="str">
        <f aca="false">IF($BR337&lt;&gt;Constants!$B$8,"",IF($AT337,Constants!$B$21*$AV337+Constants!$B$22*IF($AW337,$AX337,Constants!$B$23),Constants!$B$24))</f>
        <v/>
      </c>
      <c r="BL337" s="136" t="str">
        <f aca="false">IF($BR337&lt;&gt;Constants!$B$8,"",Constants!$B$25*ABS($AD$9-IF($AT337,$AU337,0)))</f>
        <v/>
      </c>
      <c r="BM337" s="136" t="str">
        <f aca="false">IF($BR337&lt;&gt;Constants!$B$8,"",IF(AND($AT337,$AY337,$AW337),Constants!$B$27,0))</f>
        <v/>
      </c>
      <c r="BN337" s="136" t="str">
        <f aca="false">IF($BR337&lt;&gt;Constants!$B$8,"",IF($AT337,($AI337-Constants!$B$29)*Constants!$B$28,0))</f>
        <v/>
      </c>
      <c r="BO337" s="136" t="str">
        <f aca="false">IF($BR337&lt;&gt;Constants!$B$8,"",IF($AS337,0,Constants!$B$15)+IF($AR337,0,Constants!$B$16)+IF($AH337,0,Constants!$B$17))</f>
        <v/>
      </c>
      <c r="BP337" s="137" t="str">
        <f aca="false">IF($BR337&lt;&gt;Constants!$B$8,"",Constants!$B$20+SUM($BK337:$BO337))</f>
        <v/>
      </c>
      <c r="BQ337" s="133" t="str">
        <f aca="false">IF(ISBLANK($C337),"",IF(ISBLANK($D$7),$BQ$5,IF(NOT(ISNUMBER($D$7)),$BQ$6,"")))</f>
        <v/>
      </c>
      <c r="BR337" s="133" t="str">
        <f aca="false">IF(ISBLANK($C337),"",IF($BA337,Constants!$B$11,IF(COUNTA($E337:$AA337)=0,Constants!$B$10,IF(NOT($AG337),Constants!$B$9,IF(OR($BQ337&lt;&gt;"",$BB337,$BJ337),Constants!$B$12,Constants!$B$8)))))</f>
        <v/>
      </c>
      <c r="BS337" s="133" t="str">
        <f aca="false">IF(ISBLANK($C337),"",IF($BR337&lt;&gt;Constants!$B$8,$BR337,Constants!$B$13))</f>
        <v/>
      </c>
      <c r="BT337" s="136" t="str">
        <f aca="false">IF($BR337&lt;&gt;Constants!$B$8,"",IF($BI337="-&gt;",$BP337,$BH337))</f>
        <v/>
      </c>
      <c r="BU337" s="136" t="str">
        <f aca="false">IF($BR337&lt;&gt;Constants!$B$8,"",IF($AF337,0,Constants!$B$18))</f>
        <v/>
      </c>
      <c r="BV337" s="136" t="str">
        <f aca="false">IF($BR337&lt;&gt;Constants!$B$8,"",((Constants!$B$31-$AZ337)-Constants!$B$31)/Constants!$B$32)</f>
        <v/>
      </c>
      <c r="BW337" s="136" t="str">
        <f aca="false">IF(ISBLANK($C337),"",IF($BR337&lt;&gt;Constants!$B$8,$BR337,SUM($BT337:$BV337)))</f>
        <v/>
      </c>
      <c r="BX337" s="133" t="str">
        <f aca="false">IF(ISBLANK($C337),"",IF($BR337&lt;&gt;Constants!$B$8,$BR337,RANK($BW337,$BW$9:$BW$508,1)))</f>
        <v/>
      </c>
      <c r="BY337" s="136" t="str">
        <f aca="false">IF($BR337&lt;&gt;Constants!$B$8,"",IF($BI337="-&gt;",$BK337,$BC337))</f>
        <v/>
      </c>
      <c r="BZ337" s="133" t="str">
        <f aca="false">IF(ISBLANK($C337),"",IF($BR337&lt;&gt;Constants!$B$8,$BR337,IF(ISNUMBER($BY337),RANK($BY337,$BY$9:$BY$508,1),COUNT($BY$9:$BY$508)+1)))</f>
        <v/>
      </c>
      <c r="CA337" s="136" t="str">
        <f aca="false">IF($BR337&lt;&gt;Constants!$B$8,"",IF($BI337="-&gt;",$BL337,$BD337))</f>
        <v/>
      </c>
      <c r="CB337" s="133" t="str">
        <f aca="false">IF(ISBLANK($C337),"",IF($BR337&lt;&gt;Constants!$B$8,$BR337,IF(ISNUMBER($CA337),RANK($CA337,$CA$9:$CA$508,1),COUNT($CA$9:$CA$508)+1)))</f>
        <v/>
      </c>
      <c r="CC337" s="136" t="str">
        <f aca="false">IF($BR337&lt;&gt;Constants!$B$8,"",IF($BI337="-&gt;",IF($AT337,$AV337,""),IF($AL337,$AN337,"")))</f>
        <v/>
      </c>
      <c r="CD337" s="133" t="str">
        <f aca="false">IF(ISBLANK($C337),"",IF($BR337&lt;&gt;Constants!$B$8,$BR337,IF(ISNUMBER($CC337),RANK($CC337,$CC$9:$CC$508,1),COUNT($CC$9:$CC$508)+1)))</f>
        <v/>
      </c>
      <c r="CE337" s="136" t="str">
        <f aca="false">IF($BR337&lt;&gt;Constants!$B$8,"",IF(AND(NOT($AL337),NOT($AT337),$AJ337,$AK337,$AR337,$AS337),"",$AI337))</f>
        <v/>
      </c>
      <c r="CF337" s="133" t="str">
        <f aca="false">IF(ISBLANK($C337),"",IF($BR337&lt;&gt;Constants!$B$8,$BR337,IF(ISNUMBER($CE337),RANK($CE337,$CE$9:$CE$508,1),COUNT($CE$9:$CE$508)+1)))</f>
        <v/>
      </c>
      <c r="CG337" s="133" t="str">
        <f aca="false">IF(ISBLANK($C337),"",IF($BR337&lt;&gt;Constants!$B$8,$BR337,COUNTIFS($BX$9:$BX$508,"&lt;"&amp;$BX337)+COUNTIFS($BX$9:$BX$508,$BX337,$BZ$9:$BZ$508,"&lt;"&amp;$BZ337)+COUNTIFS($BX$9:$BX$508,$BX337,$BZ$9:$BZ$508,$BZ337,$CB$9:$CB$508,"&lt;"&amp;$CB337)+COUNTIFS($BX$9:$BX$508,$BX337,$BZ$9:$BZ$508,$BZ337,$CB$9:$CB$508,$CB337,$CD$9:$CD$508,"&lt;"&amp;$CD337)+COUNTIFS($BX$9:$BX$508,$BX337,$BZ$9:$BZ$508,$BZ337,$CB$9:$CB$508,$CB337,$CD$9:$CD$508,$CD337,$CF$9:$CF$508,"&lt;"&amp;$CF337)+1))</f>
        <v/>
      </c>
      <c r="CH337" s="133" t="str">
        <f aca="false">IF(ISBLANK($C337),"",IF($BR337&lt;&gt;Constants!$B$8,$BR337,$BX337-$CG337))</f>
        <v/>
      </c>
      <c r="CI337" s="138"/>
      <c r="CJ337" s="139"/>
      <c r="CK337" s="140" t="str">
        <f aca="false">IF(ISBLANK($C337),"",IF($BR337=Constants!$B$12,$BQ337,""))</f>
        <v/>
      </c>
      <c r="CL337" s="139" t="str">
        <f aca="false">IF(ISBLANK($C337),"",IF($BR337&lt;&gt;Constants!$B$8,"",IF($BI337="-&gt;",2,1)))</f>
        <v/>
      </c>
      <c r="CM337" s="141" t="str">
        <f aca="false">IF(ISBLANK($C337),"",IF($BR337&lt;&gt;Constants!$B$8,"",IF($BI337="-&gt;",$BK337,$BC337)))</f>
        <v/>
      </c>
      <c r="CN337" s="141" t="str">
        <f aca="false">IF(ISBLANK($C337),"",IF($BR337&lt;&gt;Constants!$B$8,"",IF($BI337="-&gt;",$BL337,$BD337)))</f>
        <v/>
      </c>
      <c r="CO337" s="141" t="str">
        <f aca="false">IF(ISBLANK($C337),"",IF($BR337&lt;&gt;Constants!$B$8,"",IF($BI337="-&gt;",$BM337+$BN337,$BE337+$BF337)+$BV337))</f>
        <v/>
      </c>
      <c r="CP337" s="141" t="str">
        <f aca="false">IF(ISBLANK($C337),"",IF($BR337&lt;&gt;Constants!$B$8,"",IF($BI337="-&gt;",$BO337,$BG337)+$BU337))</f>
        <v/>
      </c>
      <c r="CQ337" s="142" t="str">
        <f aca="false">IF(ISBLANK($C337),"",IF($BR337&lt;&gt;Constants!$B$8,$BR337,$BW337))</f>
        <v/>
      </c>
      <c r="CR337" s="143" t="str">
        <f aca="false">IF(ISBLANK($C337),"",$BS337)</f>
        <v/>
      </c>
      <c r="CS337" s="144" t="str">
        <f aca="false">IF(ISBLANK($C337),"",$CH337)</f>
        <v/>
      </c>
      <c r="CT337" s="144" t="str">
        <f aca="false">IF(ISBLANK($C337),"",$CG337)</f>
        <v/>
      </c>
      <c r="CU337" s="145" t="str">
        <f aca="false">IF(ISBLANK($C337),"",IFERROR(_xlfn.SWITCH($CT337,Constants!$B$11,COUNTA($C$9:$C$508)+2,Constants!$B$10,COUNTA($C$9:$C$508)+1,Constants!$B$9,COUNTA($C$9:$C$508)),$CT337))</f>
        <v/>
      </c>
      <c r="CV337" s="9"/>
      <c r="CW337" s="146" t="n">
        <f aca="false">IF(OR(ISNUMBER($CT337),$CT337=Constants!$B$11,$CT337=Constants!$B$9,$CT337=Constants!$B$10),1,0)</f>
        <v>0</v>
      </c>
      <c r="CX337" s="146" t="n">
        <v>329</v>
      </c>
      <c r="CY337" s="146" t="str">
        <f aca="false">IF(ISBLANK($C337),"",IF(ISNUMBER($CU337),$CU337+ROW($B337)/1000,""))</f>
        <v/>
      </c>
      <c r="CZ337" s="146" t="str">
        <f aca="false">IF(ISNUMBER($CY337),RANK($CY337,$CY$9:$CY$508,1),"")</f>
        <v/>
      </c>
      <c r="DA337" s="146" t="str">
        <f aca="false">IF(ISBLANK($C337),"",$B337)</f>
        <v/>
      </c>
      <c r="DB337" s="146" t="str">
        <f aca="false">IF(ISBLANK($C337),"",$C337)</f>
        <v/>
      </c>
      <c r="DC337" s="146" t="str">
        <f aca="false">IF(ISBLANK($C337),"",$D337)</f>
        <v/>
      </c>
      <c r="DD337" s="147" t="str">
        <f aca="false">$CR337</f>
        <v/>
      </c>
      <c r="DE337" s="148" t="str">
        <f aca="false">$CQ337</f>
        <v/>
      </c>
      <c r="DF337" s="146" t="str">
        <f aca="false">IF(ISBLANK($C337),"",$CT337)</f>
        <v/>
      </c>
      <c r="DG337" s="149" t="str">
        <f aca="false">IF($CX337&gt;$CW$8,"",VLOOKUP($CX337,$CZ$9:$DF$508,7,FALSE()))</f>
        <v/>
      </c>
      <c r="DH337" s="150" t="str">
        <f aca="false">IF($CX337&gt;$CW$8,"",VLOOKUP($CX337,$CZ$9:$DF$508,2,FALSE()))</f>
        <v/>
      </c>
      <c r="DI337" s="150" t="str">
        <f aca="false">IF($CX337&gt;$CW$8,"",VLOOKUP($CX337,$CZ$9:$DF$508,3,FALSE()))</f>
        <v/>
      </c>
      <c r="DJ337" s="150" t="str">
        <f aca="false">IF($CX337&gt;$CW$8,"",VLOOKUP($CX337,$CZ$9:$DF$508,4,FALSE()))</f>
        <v/>
      </c>
      <c r="DK337" s="150" t="str">
        <f aca="false">IF($CX337&gt;$CW$8,"",VLOOKUP($CX337,$CZ$9:$DF$508,5,FALSE()))</f>
        <v/>
      </c>
      <c r="DL337" s="151" t="str">
        <f aca="false">IF($CX337&gt;$CW$8,"",VLOOKUP($CX337,$CZ$9:$DF$508,6,FALSE()))</f>
        <v/>
      </c>
      <c r="DM337" s="75"/>
    </row>
    <row r="338" customFormat="false" ht="15.75" hidden="false" customHeight="false" outlineLevel="0" collapsed="false">
      <c r="A338" s="9"/>
      <c r="B338" s="157"/>
      <c r="C338" s="158"/>
      <c r="D338" s="159"/>
      <c r="E338" s="177"/>
      <c r="F338" s="161"/>
      <c r="G338" s="162"/>
      <c r="H338" s="162"/>
      <c r="I338" s="178"/>
      <c r="J338" s="165"/>
      <c r="K338" s="126"/>
      <c r="L338" s="127"/>
      <c r="M338" s="128"/>
      <c r="N338" s="165"/>
      <c r="O338" s="165"/>
      <c r="P338" s="177"/>
      <c r="Q338" s="165"/>
      <c r="R338" s="165"/>
      <c r="S338" s="126"/>
      <c r="T338" s="128"/>
      <c r="U338" s="128"/>
      <c r="V338" s="165"/>
      <c r="W338" s="165"/>
      <c r="X338" s="177"/>
      <c r="Y338" s="165"/>
      <c r="Z338" s="166"/>
      <c r="AA338" s="165"/>
      <c r="AB338" s="132"/>
      <c r="AC338" s="133"/>
      <c r="AD338" s="133"/>
      <c r="AE338" s="133"/>
      <c r="AF338" s="133" t="str">
        <f aca="false">IF(ISBLANK($C338),"",IF(E338=Constants!$B$3,TRUE(),IF(E338=Constants!$B$4,FALSE(),TRUE())))</f>
        <v/>
      </c>
      <c r="AG338" s="133" t="str">
        <f aca="false">IF(ISBLANK($C338),"",IF(F338=Constants!$B$3,TRUE(),IF(F338=Constants!$B$4,FALSE(),TRUE())))</f>
        <v/>
      </c>
      <c r="AH338" s="133" t="str">
        <f aca="false">IF(ISBLANK($C338),"",IF(G338=Constants!$B$3,TRUE(),IF(G338=Constants!$B$4,FALSE(),TRUE())))</f>
        <v/>
      </c>
      <c r="AI338" s="133" t="str">
        <f aca="false">IF(ISBLANK($C338),"",IF(AND(ISNUMBER(H338),H338&gt;=0),H338,Constants!$B$29))</f>
        <v/>
      </c>
      <c r="AJ338" s="133" t="str">
        <f aca="false">IF(ISBLANK($C338),"",IF(I338=Constants!$B$3,TRUE(),IF(I338=Constants!$B$4,FALSE(),TRUE())))</f>
        <v/>
      </c>
      <c r="AK338" s="133" t="str">
        <f aca="false">IF(ISBLANK($C338),"",IF(J338=Constants!$B$3,TRUE(),IF(J338=Constants!$B$4,FALSE(),TRUE())))</f>
        <v/>
      </c>
      <c r="AL338" s="133" t="str">
        <f aca="false">IF(ISBLANK($C338),"",IF(K338=Constants!$B$5,TRUE(),IF(K338=Constants!$B$6,FALSE(),COUNTA(L338:P338)&gt;0)))</f>
        <v/>
      </c>
      <c r="AM338" s="134" t="str">
        <f aca="false">IF(ISBLANK($C338),"",IF(ISNUMBER(L338),IF(L338&gt;=0,L338,""),""))</f>
        <v/>
      </c>
      <c r="AN338" s="135" t="str">
        <f aca="false">IF(ISBLANK($C338),"",IF(ISNUMBER(M338),IF(M338&gt;=0,M338,""),""))</f>
        <v/>
      </c>
      <c r="AO338" s="135" t="str">
        <f aca="false">IF(ISBLANK($C338),"",IF(N338=Constants!$B$3,TRUE(),IF(N338=Constants!$B$4,FALSE(),TRUE())))</f>
        <v/>
      </c>
      <c r="AP338" s="133" t="str">
        <f aca="false">IF(ISBLANK($C338),"",IF(ISNUMBER(O338),IF(O338&gt;=0,O338,""),""))</f>
        <v/>
      </c>
      <c r="AQ338" s="133" t="str">
        <f aca="false">IF(ISBLANK($C338),"",IF(P338=Constants!$B$3,TRUE(),IF(P338=Constants!$B$4,FALSE(),FALSE())))</f>
        <v/>
      </c>
      <c r="AR338" s="133" t="str">
        <f aca="false">IF(ISBLANK($C338),"",IF(Q338=Constants!$B$3,TRUE(),IF(Q338=Constants!$B$4,FALSE(),TRUE())))</f>
        <v/>
      </c>
      <c r="AS338" s="133" t="str">
        <f aca="false">IF(ISBLANK($C338),"",IF(R338=Constants!$B$3,TRUE(),IF(R338=Constants!$B$4,FALSE(),TRUE())))</f>
        <v/>
      </c>
      <c r="AT338" s="133" t="str">
        <f aca="false">IF(ISBLANK($C338),"",IF(S338=Constants!$B$5,TRUE(),IF(S338=Constants!$B$6,FALSE(),COUNTA(T338:X338)&gt;0)))</f>
        <v/>
      </c>
      <c r="AU338" s="134" t="str">
        <f aca="false">IF(ISBLANK($C338),"",IF(ISNUMBER(T338),IF(T338&gt;=0,T338,""),""))</f>
        <v/>
      </c>
      <c r="AV338" s="135" t="str">
        <f aca="false">IF(ISBLANK($C338),"",IF(ISNUMBER(U338),IF(U338&gt;=0,U338,""),""))</f>
        <v/>
      </c>
      <c r="AW338" s="135" t="str">
        <f aca="false">IF(ISBLANK($C338),"",IF(V338=Constants!$B$3,TRUE(),IF(V338=Constants!$B$4,FALSE(),TRUE())))</f>
        <v/>
      </c>
      <c r="AX338" s="133" t="str">
        <f aca="false">IF(ISBLANK($C338),"",IF(ISNUMBER(W338),IF(W338&gt;=0,W338,""),""))</f>
        <v/>
      </c>
      <c r="AY338" s="133" t="str">
        <f aca="false">IF(ISBLANK($C338),"",IF(X338=Constants!$B$3,TRUE(),IF(X338=Constants!$B$4,FALSE(),FALSE())))</f>
        <v/>
      </c>
      <c r="AZ338" s="133" t="str">
        <f aca="false">IF(ISBLANK($C338),"",MIN(Constants!$B$31,MAX(0,IF(ISNUMBER(Y338),Y338*60,0)+IF(ISNUMBER(Z338),Z338,0))))</f>
        <v/>
      </c>
      <c r="BA338" s="133" t="str">
        <f aca="false">IF(ISBLANK($C338),"",IF(AA338=Constants!$B$3,TRUE(),IF(AA338=Constants!$B$4,FALSE(),FALSE())))</f>
        <v/>
      </c>
      <c r="BB338" s="132" t="str">
        <f aca="false">IF(ISBLANK($C338),"",AND($AL338,OR($AM338="",$AN338="",AND($AO338,$AP338=""))))</f>
        <v/>
      </c>
      <c r="BC338" s="135" t="str">
        <f aca="false">IF($BR338&lt;&gt;Constants!$B$8,"",IF($AL338,Constants!$B$21*$AN338+Constants!$B$22*IF($AO338,$AP338,Constants!$B$23),Constants!$B$24))</f>
        <v/>
      </c>
      <c r="BD338" s="136" t="str">
        <f aca="false">IF($BR338&lt;&gt;Constants!$B$8,"",Constants!$B$25*ABS($AD$9-IF($AL338,$AM338,0)))</f>
        <v/>
      </c>
      <c r="BE338" s="136" t="str">
        <f aca="false">IF($BR338&lt;&gt;Constants!$B$8,"",IF(AND($AL338,$AQ338,$AO338),Constants!$B$27,0))</f>
        <v/>
      </c>
      <c r="BF338" s="136" t="str">
        <f aca="false">IF($BR338&lt;&gt;Constants!$B$8,"",IF($AL338,($AI338-Constants!$B$29)*Constants!$B$28,0))</f>
        <v/>
      </c>
      <c r="BG338" s="136" t="str">
        <f aca="false">IF($BR338&lt;&gt;Constants!$B$8,"",IF($AK338,0,Constants!$B$15)+IF($AJ338,0,Constants!$B$16)+IF($AH338,0,Constants!$B$17))</f>
        <v/>
      </c>
      <c r="BH338" s="137" t="str">
        <f aca="false">IF($BR338&lt;&gt;Constants!$B$8,"",Constants!$B$20+SUM($BC338:$BG338))</f>
        <v/>
      </c>
      <c r="BI338" s="133" t="str">
        <f aca="false">IF($BR338&lt;&gt;Constants!$B$8,"",IF(OR($BP338&lt;$BH338,AND($BP338=$BH338,OR($BK338&lt;$BC338,AND($BK338=$BC338,OR($BL338&lt;$BD338,AND($BL338=$BD338,$AT338,$AL338,$AV338&lt;$AN338)))))),"-&gt;","&lt;-"))</f>
        <v/>
      </c>
      <c r="BJ338" s="132" t="str">
        <f aca="false">IF(ISBLANK($C338),"",AND($AT338,OR($AU338="",$AV338="",AND($AW338,$AX338=""))))</f>
        <v/>
      </c>
      <c r="BK338" s="135" t="str">
        <f aca="false">IF($BR338&lt;&gt;Constants!$B$8,"",IF($AT338,Constants!$B$21*$AV338+Constants!$B$22*IF($AW338,$AX338,Constants!$B$23),Constants!$B$24))</f>
        <v/>
      </c>
      <c r="BL338" s="136" t="str">
        <f aca="false">IF($BR338&lt;&gt;Constants!$B$8,"",Constants!$B$25*ABS($AD$9-IF($AT338,$AU338,0)))</f>
        <v/>
      </c>
      <c r="BM338" s="136" t="str">
        <f aca="false">IF($BR338&lt;&gt;Constants!$B$8,"",IF(AND($AT338,$AY338,$AW338),Constants!$B$27,0))</f>
        <v/>
      </c>
      <c r="BN338" s="136" t="str">
        <f aca="false">IF($BR338&lt;&gt;Constants!$B$8,"",IF($AT338,($AI338-Constants!$B$29)*Constants!$B$28,0))</f>
        <v/>
      </c>
      <c r="BO338" s="136" t="str">
        <f aca="false">IF($BR338&lt;&gt;Constants!$B$8,"",IF($AS338,0,Constants!$B$15)+IF($AR338,0,Constants!$B$16)+IF($AH338,0,Constants!$B$17))</f>
        <v/>
      </c>
      <c r="BP338" s="137" t="str">
        <f aca="false">IF($BR338&lt;&gt;Constants!$B$8,"",Constants!$B$20+SUM($BK338:$BO338))</f>
        <v/>
      </c>
      <c r="BQ338" s="133" t="str">
        <f aca="false">IF(ISBLANK($C338),"",IF(ISBLANK($D$7),$BQ$5,IF(NOT(ISNUMBER($D$7)),$BQ$6,"")))</f>
        <v/>
      </c>
      <c r="BR338" s="133" t="str">
        <f aca="false">IF(ISBLANK($C338),"",IF($BA338,Constants!$B$11,IF(COUNTA($E338:$AA338)=0,Constants!$B$10,IF(NOT($AG338),Constants!$B$9,IF(OR($BQ338&lt;&gt;"",$BB338,$BJ338),Constants!$B$12,Constants!$B$8)))))</f>
        <v/>
      </c>
      <c r="BS338" s="133" t="str">
        <f aca="false">IF(ISBLANK($C338),"",IF($BR338&lt;&gt;Constants!$B$8,$BR338,Constants!$B$13))</f>
        <v/>
      </c>
      <c r="BT338" s="136" t="str">
        <f aca="false">IF($BR338&lt;&gt;Constants!$B$8,"",IF($BI338="-&gt;",$BP338,$BH338))</f>
        <v/>
      </c>
      <c r="BU338" s="136" t="str">
        <f aca="false">IF($BR338&lt;&gt;Constants!$B$8,"",IF($AF338,0,Constants!$B$18))</f>
        <v/>
      </c>
      <c r="BV338" s="136" t="str">
        <f aca="false">IF($BR338&lt;&gt;Constants!$B$8,"",((Constants!$B$31-$AZ338)-Constants!$B$31)/Constants!$B$32)</f>
        <v/>
      </c>
      <c r="BW338" s="136" t="str">
        <f aca="false">IF(ISBLANK($C338),"",IF($BR338&lt;&gt;Constants!$B$8,$BR338,SUM($BT338:$BV338)))</f>
        <v/>
      </c>
      <c r="BX338" s="133" t="str">
        <f aca="false">IF(ISBLANK($C338),"",IF($BR338&lt;&gt;Constants!$B$8,$BR338,RANK($BW338,$BW$9:$BW$508,1)))</f>
        <v/>
      </c>
      <c r="BY338" s="136" t="str">
        <f aca="false">IF($BR338&lt;&gt;Constants!$B$8,"",IF($BI338="-&gt;",$BK338,$BC338))</f>
        <v/>
      </c>
      <c r="BZ338" s="133" t="str">
        <f aca="false">IF(ISBLANK($C338),"",IF($BR338&lt;&gt;Constants!$B$8,$BR338,IF(ISNUMBER($BY338),RANK($BY338,$BY$9:$BY$508,1),COUNT($BY$9:$BY$508)+1)))</f>
        <v/>
      </c>
      <c r="CA338" s="136" t="str">
        <f aca="false">IF($BR338&lt;&gt;Constants!$B$8,"",IF($BI338="-&gt;",$BL338,$BD338))</f>
        <v/>
      </c>
      <c r="CB338" s="133" t="str">
        <f aca="false">IF(ISBLANK($C338),"",IF($BR338&lt;&gt;Constants!$B$8,$BR338,IF(ISNUMBER($CA338),RANK($CA338,$CA$9:$CA$508,1),COUNT($CA$9:$CA$508)+1)))</f>
        <v/>
      </c>
      <c r="CC338" s="136" t="str">
        <f aca="false">IF($BR338&lt;&gt;Constants!$B$8,"",IF($BI338="-&gt;",IF($AT338,$AV338,""),IF($AL338,$AN338,"")))</f>
        <v/>
      </c>
      <c r="CD338" s="133" t="str">
        <f aca="false">IF(ISBLANK($C338),"",IF($BR338&lt;&gt;Constants!$B$8,$BR338,IF(ISNUMBER($CC338),RANK($CC338,$CC$9:$CC$508,1),COUNT($CC$9:$CC$508)+1)))</f>
        <v/>
      </c>
      <c r="CE338" s="136" t="str">
        <f aca="false">IF($BR338&lt;&gt;Constants!$B$8,"",IF(AND(NOT($AL338),NOT($AT338),$AJ338,$AK338,$AR338,$AS338),"",$AI338))</f>
        <v/>
      </c>
      <c r="CF338" s="133" t="str">
        <f aca="false">IF(ISBLANK($C338),"",IF($BR338&lt;&gt;Constants!$B$8,$BR338,IF(ISNUMBER($CE338),RANK($CE338,$CE$9:$CE$508,1),COUNT($CE$9:$CE$508)+1)))</f>
        <v/>
      </c>
      <c r="CG338" s="133" t="str">
        <f aca="false">IF(ISBLANK($C338),"",IF($BR338&lt;&gt;Constants!$B$8,$BR338,COUNTIFS($BX$9:$BX$508,"&lt;"&amp;$BX338)+COUNTIFS($BX$9:$BX$508,$BX338,$BZ$9:$BZ$508,"&lt;"&amp;$BZ338)+COUNTIFS($BX$9:$BX$508,$BX338,$BZ$9:$BZ$508,$BZ338,$CB$9:$CB$508,"&lt;"&amp;$CB338)+COUNTIFS($BX$9:$BX$508,$BX338,$BZ$9:$BZ$508,$BZ338,$CB$9:$CB$508,$CB338,$CD$9:$CD$508,"&lt;"&amp;$CD338)+COUNTIFS($BX$9:$BX$508,$BX338,$BZ$9:$BZ$508,$BZ338,$CB$9:$CB$508,$CB338,$CD$9:$CD$508,$CD338,$CF$9:$CF$508,"&lt;"&amp;$CF338)+1))</f>
        <v/>
      </c>
      <c r="CH338" s="133" t="str">
        <f aca="false">IF(ISBLANK($C338),"",IF($BR338&lt;&gt;Constants!$B$8,$BR338,$BX338-$CG338))</f>
        <v/>
      </c>
      <c r="CI338" s="138"/>
      <c r="CJ338" s="139"/>
      <c r="CK338" s="140" t="str">
        <f aca="false">IF(ISBLANK($C338),"",IF($BR338=Constants!$B$12,$BQ338,""))</f>
        <v/>
      </c>
      <c r="CL338" s="139" t="str">
        <f aca="false">IF(ISBLANK($C338),"",IF($BR338&lt;&gt;Constants!$B$8,"",IF($BI338="-&gt;",2,1)))</f>
        <v/>
      </c>
      <c r="CM338" s="141" t="str">
        <f aca="false">IF(ISBLANK($C338),"",IF($BR338&lt;&gt;Constants!$B$8,"",IF($BI338="-&gt;",$BK338,$BC338)))</f>
        <v/>
      </c>
      <c r="CN338" s="141" t="str">
        <f aca="false">IF(ISBLANK($C338),"",IF($BR338&lt;&gt;Constants!$B$8,"",IF($BI338="-&gt;",$BL338,$BD338)))</f>
        <v/>
      </c>
      <c r="CO338" s="141" t="str">
        <f aca="false">IF(ISBLANK($C338),"",IF($BR338&lt;&gt;Constants!$B$8,"",IF($BI338="-&gt;",$BM338+$BN338,$BE338+$BF338)+$BV338))</f>
        <v/>
      </c>
      <c r="CP338" s="141" t="str">
        <f aca="false">IF(ISBLANK($C338),"",IF($BR338&lt;&gt;Constants!$B$8,"",IF($BI338="-&gt;",$BO338,$BG338)+$BU338))</f>
        <v/>
      </c>
      <c r="CQ338" s="142" t="str">
        <f aca="false">IF(ISBLANK($C338),"",IF($BR338&lt;&gt;Constants!$B$8,$BR338,$BW338))</f>
        <v/>
      </c>
      <c r="CR338" s="143" t="str">
        <f aca="false">IF(ISBLANK($C338),"",$BS338)</f>
        <v/>
      </c>
      <c r="CS338" s="144" t="str">
        <f aca="false">IF(ISBLANK($C338),"",$CH338)</f>
        <v/>
      </c>
      <c r="CT338" s="144" t="str">
        <f aca="false">IF(ISBLANK($C338),"",$CG338)</f>
        <v/>
      </c>
      <c r="CU338" s="145" t="str">
        <f aca="false">IF(ISBLANK($C338),"",IFERROR(_xlfn.SWITCH($CT338,Constants!$B$11,COUNTA($C$9:$C$508)+2,Constants!$B$10,COUNTA($C$9:$C$508)+1,Constants!$B$9,COUNTA($C$9:$C$508)),$CT338))</f>
        <v/>
      </c>
      <c r="CV338" s="9"/>
      <c r="CW338" s="146" t="n">
        <f aca="false">IF(OR(ISNUMBER($CT338),$CT338=Constants!$B$11,$CT338=Constants!$B$9,$CT338=Constants!$B$10),1,0)</f>
        <v>0</v>
      </c>
      <c r="CX338" s="146" t="n">
        <v>330</v>
      </c>
      <c r="CY338" s="146" t="str">
        <f aca="false">IF(ISBLANK($C338),"",IF(ISNUMBER($CU338),$CU338+ROW($B338)/1000,""))</f>
        <v/>
      </c>
      <c r="CZ338" s="146" t="str">
        <f aca="false">IF(ISNUMBER($CY338),RANK($CY338,$CY$9:$CY$508,1),"")</f>
        <v/>
      </c>
      <c r="DA338" s="146" t="str">
        <f aca="false">IF(ISBLANK($C338),"",$B338)</f>
        <v/>
      </c>
      <c r="DB338" s="146" t="str">
        <f aca="false">IF(ISBLANK($C338),"",$C338)</f>
        <v/>
      </c>
      <c r="DC338" s="146" t="str">
        <f aca="false">IF(ISBLANK($C338),"",$D338)</f>
        <v/>
      </c>
      <c r="DD338" s="147" t="str">
        <f aca="false">$CR338</f>
        <v/>
      </c>
      <c r="DE338" s="148" t="str">
        <f aca="false">$CQ338</f>
        <v/>
      </c>
      <c r="DF338" s="146" t="str">
        <f aca="false">IF(ISBLANK($C338),"",$CT338)</f>
        <v/>
      </c>
      <c r="DG338" s="149" t="str">
        <f aca="false">IF($CX338&gt;$CW$8,"",VLOOKUP($CX338,$CZ$9:$DF$508,7,FALSE()))</f>
        <v/>
      </c>
      <c r="DH338" s="150" t="str">
        <f aca="false">IF($CX338&gt;$CW$8,"",VLOOKUP($CX338,$CZ$9:$DF$508,2,FALSE()))</f>
        <v/>
      </c>
      <c r="DI338" s="150" t="str">
        <f aca="false">IF($CX338&gt;$CW$8,"",VLOOKUP($CX338,$CZ$9:$DF$508,3,FALSE()))</f>
        <v/>
      </c>
      <c r="DJ338" s="150" t="str">
        <f aca="false">IF($CX338&gt;$CW$8,"",VLOOKUP($CX338,$CZ$9:$DF$508,4,FALSE()))</f>
        <v/>
      </c>
      <c r="DK338" s="150" t="str">
        <f aca="false">IF($CX338&gt;$CW$8,"",VLOOKUP($CX338,$CZ$9:$DF$508,5,FALSE()))</f>
        <v/>
      </c>
      <c r="DL338" s="151" t="str">
        <f aca="false">IF($CX338&gt;$CW$8,"",VLOOKUP($CX338,$CZ$9:$DF$508,6,FALSE()))</f>
        <v/>
      </c>
      <c r="DM338" s="75"/>
    </row>
    <row r="339" customFormat="false" ht="15.75" hidden="false" customHeight="false" outlineLevel="0" collapsed="false">
      <c r="A339" s="9"/>
      <c r="B339" s="77"/>
      <c r="C339" s="78"/>
      <c r="D339" s="167"/>
      <c r="E339" s="175"/>
      <c r="F339" s="169"/>
      <c r="G339" s="170"/>
      <c r="H339" s="170"/>
      <c r="I339" s="176"/>
      <c r="J339" s="173"/>
      <c r="K339" s="85"/>
      <c r="L339" s="86"/>
      <c r="M339" s="87"/>
      <c r="N339" s="173"/>
      <c r="O339" s="173"/>
      <c r="P339" s="175"/>
      <c r="Q339" s="173"/>
      <c r="R339" s="173"/>
      <c r="S339" s="85"/>
      <c r="T339" s="87"/>
      <c r="U339" s="87"/>
      <c r="V339" s="173"/>
      <c r="W339" s="173"/>
      <c r="X339" s="175"/>
      <c r="Y339" s="173"/>
      <c r="Z339" s="174"/>
      <c r="AA339" s="173"/>
      <c r="AB339" s="91"/>
      <c r="AC339" s="92"/>
      <c r="AD339" s="92"/>
      <c r="AE339" s="92"/>
      <c r="AF339" s="92" t="str">
        <f aca="false">IF(ISBLANK($C339),"",IF(E339=Constants!$B$3,TRUE(),IF(E339=Constants!$B$4,FALSE(),TRUE())))</f>
        <v/>
      </c>
      <c r="AG339" s="92" t="str">
        <f aca="false">IF(ISBLANK($C339),"",IF(F339=Constants!$B$3,TRUE(),IF(F339=Constants!$B$4,FALSE(),TRUE())))</f>
        <v/>
      </c>
      <c r="AH339" s="92" t="str">
        <f aca="false">IF(ISBLANK($C339),"",IF(G339=Constants!$B$3,TRUE(),IF(G339=Constants!$B$4,FALSE(),TRUE())))</f>
        <v/>
      </c>
      <c r="AI339" s="92" t="str">
        <f aca="false">IF(ISBLANK($C339),"",IF(AND(ISNUMBER(H339),H339&gt;=0),H339,Constants!$B$29))</f>
        <v/>
      </c>
      <c r="AJ339" s="92" t="str">
        <f aca="false">IF(ISBLANK($C339),"",IF(I339=Constants!$B$3,TRUE(),IF(I339=Constants!$B$4,FALSE(),TRUE())))</f>
        <v/>
      </c>
      <c r="AK339" s="92" t="str">
        <f aca="false">IF(ISBLANK($C339),"",IF(J339=Constants!$B$3,TRUE(),IF(J339=Constants!$B$4,FALSE(),TRUE())))</f>
        <v/>
      </c>
      <c r="AL339" s="92" t="str">
        <f aca="false">IF(ISBLANK($C339),"",IF(K339=Constants!$B$5,TRUE(),IF(K339=Constants!$B$6,FALSE(),COUNTA(L339:P339)&gt;0)))</f>
        <v/>
      </c>
      <c r="AM339" s="94" t="str">
        <f aca="false">IF(ISBLANK($C339),"",IF(ISNUMBER(L339),IF(L339&gt;=0,L339,""),""))</f>
        <v/>
      </c>
      <c r="AN339" s="93" t="str">
        <f aca="false">IF(ISBLANK($C339),"",IF(ISNUMBER(M339),IF(M339&gt;=0,M339,""),""))</f>
        <v/>
      </c>
      <c r="AO339" s="93" t="str">
        <f aca="false">IF(ISBLANK($C339),"",IF(N339=Constants!$B$3,TRUE(),IF(N339=Constants!$B$4,FALSE(),TRUE())))</f>
        <v/>
      </c>
      <c r="AP339" s="92" t="str">
        <f aca="false">IF(ISBLANK($C339),"",IF(ISNUMBER(O339),IF(O339&gt;=0,O339,""),""))</f>
        <v/>
      </c>
      <c r="AQ339" s="92" t="str">
        <f aca="false">IF(ISBLANK($C339),"",IF(P339=Constants!$B$3,TRUE(),IF(P339=Constants!$B$4,FALSE(),FALSE())))</f>
        <v/>
      </c>
      <c r="AR339" s="92" t="str">
        <f aca="false">IF(ISBLANK($C339),"",IF(Q339=Constants!$B$3,TRUE(),IF(Q339=Constants!$B$4,FALSE(),TRUE())))</f>
        <v/>
      </c>
      <c r="AS339" s="92" t="str">
        <f aca="false">IF(ISBLANK($C339),"",IF(R339=Constants!$B$3,TRUE(),IF(R339=Constants!$B$4,FALSE(),TRUE())))</f>
        <v/>
      </c>
      <c r="AT339" s="92" t="str">
        <f aca="false">IF(ISBLANK($C339),"",IF(S339=Constants!$B$5,TRUE(),IF(S339=Constants!$B$6,FALSE(),COUNTA(T339:X339)&gt;0)))</f>
        <v/>
      </c>
      <c r="AU339" s="94" t="str">
        <f aca="false">IF(ISBLANK($C339),"",IF(ISNUMBER(T339),IF(T339&gt;=0,T339,""),""))</f>
        <v/>
      </c>
      <c r="AV339" s="93" t="str">
        <f aca="false">IF(ISBLANK($C339),"",IF(ISNUMBER(U339),IF(U339&gt;=0,U339,""),""))</f>
        <v/>
      </c>
      <c r="AW339" s="93" t="str">
        <f aca="false">IF(ISBLANK($C339),"",IF(V339=Constants!$B$3,TRUE(),IF(V339=Constants!$B$4,FALSE(),TRUE())))</f>
        <v/>
      </c>
      <c r="AX339" s="92" t="str">
        <f aca="false">IF(ISBLANK($C339),"",IF(ISNUMBER(W339),IF(W339&gt;=0,W339,""),""))</f>
        <v/>
      </c>
      <c r="AY339" s="92" t="str">
        <f aca="false">IF(ISBLANK($C339),"",IF(X339=Constants!$B$3,TRUE(),IF(X339=Constants!$B$4,FALSE(),FALSE())))</f>
        <v/>
      </c>
      <c r="AZ339" s="92" t="str">
        <f aca="false">IF(ISBLANK($C339),"",MIN(Constants!$B$31,MAX(0,IF(ISNUMBER(Y339),Y339*60,0)+IF(ISNUMBER(Z339),Z339,0))))</f>
        <v/>
      </c>
      <c r="BA339" s="92" t="str">
        <f aca="false">IF(ISBLANK($C339),"",IF(AA339=Constants!$B$3,TRUE(),IF(AA339=Constants!$B$4,FALSE(),FALSE())))</f>
        <v/>
      </c>
      <c r="BB339" s="91" t="str">
        <f aca="false">IF(ISBLANK($C339),"",AND($AL339,OR($AM339="",$AN339="",AND($AO339,$AP339=""))))</f>
        <v/>
      </c>
      <c r="BC339" s="93" t="str">
        <f aca="false">IF($BR339&lt;&gt;Constants!$B$8,"",IF($AL339,Constants!$B$21*$AN339+Constants!$B$22*IF($AO339,$AP339,Constants!$B$23),Constants!$B$24))</f>
        <v/>
      </c>
      <c r="BD339" s="96" t="str">
        <f aca="false">IF($BR339&lt;&gt;Constants!$B$8,"",Constants!$B$25*ABS($AD$9-IF($AL339,$AM339,0)))</f>
        <v/>
      </c>
      <c r="BE339" s="96" t="str">
        <f aca="false">IF($BR339&lt;&gt;Constants!$B$8,"",IF(AND($AL339,$AQ339,$AO339),Constants!$B$27,0))</f>
        <v/>
      </c>
      <c r="BF339" s="96" t="str">
        <f aca="false">IF($BR339&lt;&gt;Constants!$B$8,"",IF($AL339,($AI339-Constants!$B$29)*Constants!$B$28,0))</f>
        <v/>
      </c>
      <c r="BG339" s="96" t="str">
        <f aca="false">IF($BR339&lt;&gt;Constants!$B$8,"",IF($AK339,0,Constants!$B$15)+IF($AJ339,0,Constants!$B$16)+IF($AH339,0,Constants!$B$17))</f>
        <v/>
      </c>
      <c r="BH339" s="97" t="str">
        <f aca="false">IF($BR339&lt;&gt;Constants!$B$8,"",Constants!$B$20+SUM($BC339:$BG339))</f>
        <v/>
      </c>
      <c r="BI339" s="92" t="str">
        <f aca="false">IF($BR339&lt;&gt;Constants!$B$8,"",IF(OR($BP339&lt;$BH339,AND($BP339=$BH339,OR($BK339&lt;$BC339,AND($BK339=$BC339,OR($BL339&lt;$BD339,AND($BL339=$BD339,$AT339,$AL339,$AV339&lt;$AN339)))))),"-&gt;","&lt;-"))</f>
        <v/>
      </c>
      <c r="BJ339" s="91" t="str">
        <f aca="false">IF(ISBLANK($C339),"",AND($AT339,OR($AU339="",$AV339="",AND($AW339,$AX339=""))))</f>
        <v/>
      </c>
      <c r="BK339" s="93" t="str">
        <f aca="false">IF($BR339&lt;&gt;Constants!$B$8,"",IF($AT339,Constants!$B$21*$AV339+Constants!$B$22*IF($AW339,$AX339,Constants!$B$23),Constants!$B$24))</f>
        <v/>
      </c>
      <c r="BL339" s="96" t="str">
        <f aca="false">IF($BR339&lt;&gt;Constants!$B$8,"",Constants!$B$25*ABS($AD$9-IF($AT339,$AU339,0)))</f>
        <v/>
      </c>
      <c r="BM339" s="96" t="str">
        <f aca="false">IF($BR339&lt;&gt;Constants!$B$8,"",IF(AND($AT339,$AY339,$AW339),Constants!$B$27,0))</f>
        <v/>
      </c>
      <c r="BN339" s="96" t="str">
        <f aca="false">IF($BR339&lt;&gt;Constants!$B$8,"",IF($AT339,($AI339-Constants!$B$29)*Constants!$B$28,0))</f>
        <v/>
      </c>
      <c r="BO339" s="96" t="str">
        <f aca="false">IF($BR339&lt;&gt;Constants!$B$8,"",IF($AS339,0,Constants!$B$15)+IF($AR339,0,Constants!$B$16)+IF($AH339,0,Constants!$B$17))</f>
        <v/>
      </c>
      <c r="BP339" s="97" t="str">
        <f aca="false">IF($BR339&lt;&gt;Constants!$B$8,"",Constants!$B$20+SUM($BK339:$BO339))</f>
        <v/>
      </c>
      <c r="BQ339" s="92" t="str">
        <f aca="false">IF(ISBLANK($C339),"",IF(ISBLANK($D$7),$BQ$5,IF(NOT(ISNUMBER($D$7)),$BQ$6,"")))</f>
        <v/>
      </c>
      <c r="BR339" s="92" t="str">
        <f aca="false">IF(ISBLANK($C339),"",IF($BA339,Constants!$B$11,IF(COUNTA($E339:$AA339)=0,Constants!$B$10,IF(NOT($AG339),Constants!$B$9,IF(OR($BQ339&lt;&gt;"",$BB339,$BJ339),Constants!$B$12,Constants!$B$8)))))</f>
        <v/>
      </c>
      <c r="BS339" s="92" t="str">
        <f aca="false">IF(ISBLANK($C339),"",IF($BR339&lt;&gt;Constants!$B$8,$BR339,Constants!$B$13))</f>
        <v/>
      </c>
      <c r="BT339" s="96" t="str">
        <f aca="false">IF($BR339&lt;&gt;Constants!$B$8,"",IF($BI339="-&gt;",$BP339,$BH339))</f>
        <v/>
      </c>
      <c r="BU339" s="96" t="str">
        <f aca="false">IF($BR339&lt;&gt;Constants!$B$8,"",IF($AF339,0,Constants!$B$18))</f>
        <v/>
      </c>
      <c r="BV339" s="96" t="str">
        <f aca="false">IF($BR339&lt;&gt;Constants!$B$8,"",((Constants!$B$31-$AZ339)-Constants!$B$31)/Constants!$B$32)</f>
        <v/>
      </c>
      <c r="BW339" s="96" t="str">
        <f aca="false">IF(ISBLANK($C339),"",IF($BR339&lt;&gt;Constants!$B$8,$BR339,SUM($BT339:$BV339)))</f>
        <v/>
      </c>
      <c r="BX339" s="92" t="str">
        <f aca="false">IF(ISBLANK($C339),"",IF($BR339&lt;&gt;Constants!$B$8,$BR339,RANK($BW339,$BW$9:$BW$508,1)))</f>
        <v/>
      </c>
      <c r="BY339" s="96" t="str">
        <f aca="false">IF($BR339&lt;&gt;Constants!$B$8,"",IF($BI339="-&gt;",$BK339,$BC339))</f>
        <v/>
      </c>
      <c r="BZ339" s="92" t="str">
        <f aca="false">IF(ISBLANK($C339),"",IF($BR339&lt;&gt;Constants!$B$8,$BR339,IF(ISNUMBER($BY339),RANK($BY339,$BY$9:$BY$508,1),COUNT($BY$9:$BY$508)+1)))</f>
        <v/>
      </c>
      <c r="CA339" s="96" t="str">
        <f aca="false">IF($BR339&lt;&gt;Constants!$B$8,"",IF($BI339="-&gt;",$BL339,$BD339))</f>
        <v/>
      </c>
      <c r="CB339" s="92" t="str">
        <f aca="false">IF(ISBLANK($C339),"",IF($BR339&lt;&gt;Constants!$B$8,$BR339,IF(ISNUMBER($CA339),RANK($CA339,$CA$9:$CA$508,1),COUNT($CA$9:$CA$508)+1)))</f>
        <v/>
      </c>
      <c r="CC339" s="96" t="str">
        <f aca="false">IF($BR339&lt;&gt;Constants!$B$8,"",IF($BI339="-&gt;",IF($AT339,$AV339,""),IF($AL339,$AN339,"")))</f>
        <v/>
      </c>
      <c r="CD339" s="92" t="str">
        <f aca="false">IF(ISBLANK($C339),"",IF($BR339&lt;&gt;Constants!$B$8,$BR339,IF(ISNUMBER($CC339),RANK($CC339,$CC$9:$CC$508,1),COUNT($CC$9:$CC$508)+1)))</f>
        <v/>
      </c>
      <c r="CE339" s="96" t="str">
        <f aca="false">IF($BR339&lt;&gt;Constants!$B$8,"",IF(AND(NOT($AL339),NOT($AT339),$AJ339,$AK339,$AR339,$AS339),"",$AI339))</f>
        <v/>
      </c>
      <c r="CF339" s="92" t="str">
        <f aca="false">IF(ISBLANK($C339),"",IF($BR339&lt;&gt;Constants!$B$8,$BR339,IF(ISNUMBER($CE339),RANK($CE339,$CE$9:$CE$508,1),COUNT($CE$9:$CE$508)+1)))</f>
        <v/>
      </c>
      <c r="CG339" s="92" t="str">
        <f aca="false">IF(ISBLANK($C339),"",IF($BR339&lt;&gt;Constants!$B$8,$BR339,COUNTIFS($BX$9:$BX$508,"&lt;"&amp;$BX339)+COUNTIFS($BX$9:$BX$508,$BX339,$BZ$9:$BZ$508,"&lt;"&amp;$BZ339)+COUNTIFS($BX$9:$BX$508,$BX339,$BZ$9:$BZ$508,$BZ339,$CB$9:$CB$508,"&lt;"&amp;$CB339)+COUNTIFS($BX$9:$BX$508,$BX339,$BZ$9:$BZ$508,$BZ339,$CB$9:$CB$508,$CB339,$CD$9:$CD$508,"&lt;"&amp;$CD339)+COUNTIFS($BX$9:$BX$508,$BX339,$BZ$9:$BZ$508,$BZ339,$CB$9:$CB$508,$CB339,$CD$9:$CD$508,$CD339,$CF$9:$CF$508,"&lt;"&amp;$CF339)+1))</f>
        <v/>
      </c>
      <c r="CH339" s="92" t="str">
        <f aca="false">IF(ISBLANK($C339),"",IF($BR339&lt;&gt;Constants!$B$8,$BR339,$BX339-$CG339))</f>
        <v/>
      </c>
      <c r="CI339" s="98"/>
      <c r="CJ339" s="99"/>
      <c r="CK339" s="100" t="str">
        <f aca="false">IF(ISBLANK($C339),"",IF($BR339=Constants!$B$12,$BQ339,""))</f>
        <v/>
      </c>
      <c r="CL339" s="99" t="str">
        <f aca="false">IF(ISBLANK($C339),"",IF($BR339&lt;&gt;Constants!$B$8,"",IF($BI339="-&gt;",2,1)))</f>
        <v/>
      </c>
      <c r="CM339" s="101" t="str">
        <f aca="false">IF(ISBLANK($C339),"",IF($BR339&lt;&gt;Constants!$B$8,"",IF($BI339="-&gt;",$BK339,$BC339)))</f>
        <v/>
      </c>
      <c r="CN339" s="101" t="str">
        <f aca="false">IF(ISBLANK($C339),"",IF($BR339&lt;&gt;Constants!$B$8,"",IF($BI339="-&gt;",$BL339,$BD339)))</f>
        <v/>
      </c>
      <c r="CO339" s="101" t="str">
        <f aca="false">IF(ISBLANK($C339),"",IF($BR339&lt;&gt;Constants!$B$8,"",IF($BI339="-&gt;",$BM339+$BN339,$BE339+$BF339)+$BV339))</f>
        <v/>
      </c>
      <c r="CP339" s="101" t="str">
        <f aca="false">IF(ISBLANK($C339),"",IF($BR339&lt;&gt;Constants!$B$8,"",IF($BI339="-&gt;",$BO339,$BG339)+$BU339))</f>
        <v/>
      </c>
      <c r="CQ339" s="102" t="str">
        <f aca="false">IF(ISBLANK($C339),"",IF($BR339&lt;&gt;Constants!$B$8,$BR339,$BW339))</f>
        <v/>
      </c>
      <c r="CR339" s="103" t="str">
        <f aca="false">IF(ISBLANK($C339),"",$BS339)</f>
        <v/>
      </c>
      <c r="CS339" s="104" t="str">
        <f aca="false">IF(ISBLANK($C339),"",$CH339)</f>
        <v/>
      </c>
      <c r="CT339" s="104" t="str">
        <f aca="false">IF(ISBLANK($C339),"",$CG339)</f>
        <v/>
      </c>
      <c r="CU339" s="105" t="str">
        <f aca="false">IF(ISBLANK($C339),"",IFERROR(_xlfn.SWITCH($CT339,Constants!$B$11,COUNTA($C$9:$C$508)+2,Constants!$B$10,COUNTA($C$9:$C$508)+1,Constants!$B$9,COUNTA($C$9:$C$508)),$CT339))</f>
        <v/>
      </c>
      <c r="CV339" s="9"/>
      <c r="CW339" s="106" t="n">
        <f aca="false">IF(OR(ISNUMBER($CT339),$CT339=Constants!$B$11,$CT339=Constants!$B$9,$CT339=Constants!$B$10),1,0)</f>
        <v>0</v>
      </c>
      <c r="CX339" s="106" t="n">
        <v>331</v>
      </c>
      <c r="CY339" s="106" t="str">
        <f aca="false">IF(ISBLANK($C339),"",IF(ISNUMBER($CU339),$CU339+ROW($B339)/1000,""))</f>
        <v/>
      </c>
      <c r="CZ339" s="106" t="str">
        <f aca="false">IF(ISNUMBER($CY339),RANK($CY339,$CY$9:$CY$508,1),"")</f>
        <v/>
      </c>
      <c r="DA339" s="106" t="str">
        <f aca="false">IF(ISBLANK($C339),"",$B339)</f>
        <v/>
      </c>
      <c r="DB339" s="106" t="str">
        <f aca="false">IF(ISBLANK($C339),"",$C339)</f>
        <v/>
      </c>
      <c r="DC339" s="106" t="str">
        <f aca="false">IF(ISBLANK($C339),"",$D339)</f>
        <v/>
      </c>
      <c r="DD339" s="107" t="str">
        <f aca="false">$CR339</f>
        <v/>
      </c>
      <c r="DE339" s="108" t="str">
        <f aca="false">$CQ339</f>
        <v/>
      </c>
      <c r="DF339" s="106" t="str">
        <f aca="false">IF(ISBLANK($C339),"",$CT339)</f>
        <v/>
      </c>
      <c r="DG339" s="109" t="str">
        <f aca="false">IF($CX339&gt;$CW$8,"",VLOOKUP($CX339,$CZ$9:$DF$508,7,FALSE()))</f>
        <v/>
      </c>
      <c r="DH339" s="110" t="str">
        <f aca="false">IF($CX339&gt;$CW$8,"",VLOOKUP($CX339,$CZ$9:$DF$508,2,FALSE()))</f>
        <v/>
      </c>
      <c r="DI339" s="110" t="str">
        <f aca="false">IF($CX339&gt;$CW$8,"",VLOOKUP($CX339,$CZ$9:$DF$508,3,FALSE()))</f>
        <v/>
      </c>
      <c r="DJ339" s="110" t="str">
        <f aca="false">IF($CX339&gt;$CW$8,"",VLOOKUP($CX339,$CZ$9:$DF$508,4,FALSE()))</f>
        <v/>
      </c>
      <c r="DK339" s="110" t="str">
        <f aca="false">IF($CX339&gt;$CW$8,"",VLOOKUP($CX339,$CZ$9:$DF$508,5,FALSE()))</f>
        <v/>
      </c>
      <c r="DL339" s="111" t="str">
        <f aca="false">IF($CX339&gt;$CW$8,"",VLOOKUP($CX339,$CZ$9:$DF$508,6,FALSE()))</f>
        <v/>
      </c>
      <c r="DM339" s="75"/>
    </row>
    <row r="340" customFormat="false" ht="15.75" hidden="false" customHeight="false" outlineLevel="0" collapsed="false">
      <c r="A340" s="9"/>
      <c r="B340" s="77"/>
      <c r="C340" s="78"/>
      <c r="D340" s="167"/>
      <c r="E340" s="175"/>
      <c r="F340" s="169"/>
      <c r="G340" s="170"/>
      <c r="H340" s="170"/>
      <c r="I340" s="176"/>
      <c r="J340" s="173"/>
      <c r="K340" s="85"/>
      <c r="L340" s="86"/>
      <c r="M340" s="87"/>
      <c r="N340" s="173"/>
      <c r="O340" s="173"/>
      <c r="P340" s="175"/>
      <c r="Q340" s="173"/>
      <c r="R340" s="173"/>
      <c r="S340" s="85"/>
      <c r="T340" s="87"/>
      <c r="U340" s="87"/>
      <c r="V340" s="173"/>
      <c r="W340" s="173"/>
      <c r="X340" s="175"/>
      <c r="Y340" s="173"/>
      <c r="Z340" s="174"/>
      <c r="AA340" s="173"/>
      <c r="AB340" s="91"/>
      <c r="AC340" s="92"/>
      <c r="AD340" s="92"/>
      <c r="AE340" s="92"/>
      <c r="AF340" s="92" t="str">
        <f aca="false">IF(ISBLANK($C340),"",IF(E340=Constants!$B$3,TRUE(),IF(E340=Constants!$B$4,FALSE(),TRUE())))</f>
        <v/>
      </c>
      <c r="AG340" s="92" t="str">
        <f aca="false">IF(ISBLANK($C340),"",IF(F340=Constants!$B$3,TRUE(),IF(F340=Constants!$B$4,FALSE(),TRUE())))</f>
        <v/>
      </c>
      <c r="AH340" s="92" t="str">
        <f aca="false">IF(ISBLANK($C340),"",IF(G340=Constants!$B$3,TRUE(),IF(G340=Constants!$B$4,FALSE(),TRUE())))</f>
        <v/>
      </c>
      <c r="AI340" s="92" t="str">
        <f aca="false">IF(ISBLANK($C340),"",IF(AND(ISNUMBER(H340),H340&gt;=0),H340,Constants!$B$29))</f>
        <v/>
      </c>
      <c r="AJ340" s="92" t="str">
        <f aca="false">IF(ISBLANK($C340),"",IF(I340=Constants!$B$3,TRUE(),IF(I340=Constants!$B$4,FALSE(),TRUE())))</f>
        <v/>
      </c>
      <c r="AK340" s="92" t="str">
        <f aca="false">IF(ISBLANK($C340),"",IF(J340=Constants!$B$3,TRUE(),IF(J340=Constants!$B$4,FALSE(),TRUE())))</f>
        <v/>
      </c>
      <c r="AL340" s="92" t="str">
        <f aca="false">IF(ISBLANK($C340),"",IF(K340=Constants!$B$5,TRUE(),IF(K340=Constants!$B$6,FALSE(),COUNTA(L340:P340)&gt;0)))</f>
        <v/>
      </c>
      <c r="AM340" s="94" t="str">
        <f aca="false">IF(ISBLANK($C340),"",IF(ISNUMBER(L340),IF(L340&gt;=0,L340,""),""))</f>
        <v/>
      </c>
      <c r="AN340" s="93" t="str">
        <f aca="false">IF(ISBLANK($C340),"",IF(ISNUMBER(M340),IF(M340&gt;=0,M340,""),""))</f>
        <v/>
      </c>
      <c r="AO340" s="93" t="str">
        <f aca="false">IF(ISBLANK($C340),"",IF(N340=Constants!$B$3,TRUE(),IF(N340=Constants!$B$4,FALSE(),TRUE())))</f>
        <v/>
      </c>
      <c r="AP340" s="92" t="str">
        <f aca="false">IF(ISBLANK($C340),"",IF(ISNUMBER(O340),IF(O340&gt;=0,O340,""),""))</f>
        <v/>
      </c>
      <c r="AQ340" s="92" t="str">
        <f aca="false">IF(ISBLANK($C340),"",IF(P340=Constants!$B$3,TRUE(),IF(P340=Constants!$B$4,FALSE(),FALSE())))</f>
        <v/>
      </c>
      <c r="AR340" s="92" t="str">
        <f aca="false">IF(ISBLANK($C340),"",IF(Q340=Constants!$B$3,TRUE(),IF(Q340=Constants!$B$4,FALSE(),TRUE())))</f>
        <v/>
      </c>
      <c r="AS340" s="92" t="str">
        <f aca="false">IF(ISBLANK($C340),"",IF(R340=Constants!$B$3,TRUE(),IF(R340=Constants!$B$4,FALSE(),TRUE())))</f>
        <v/>
      </c>
      <c r="AT340" s="92" t="str">
        <f aca="false">IF(ISBLANK($C340),"",IF(S340=Constants!$B$5,TRUE(),IF(S340=Constants!$B$6,FALSE(),COUNTA(T340:X340)&gt;0)))</f>
        <v/>
      </c>
      <c r="AU340" s="94" t="str">
        <f aca="false">IF(ISBLANK($C340),"",IF(ISNUMBER(T340),IF(T340&gt;=0,T340,""),""))</f>
        <v/>
      </c>
      <c r="AV340" s="93" t="str">
        <f aca="false">IF(ISBLANK($C340),"",IF(ISNUMBER(U340),IF(U340&gt;=0,U340,""),""))</f>
        <v/>
      </c>
      <c r="AW340" s="93" t="str">
        <f aca="false">IF(ISBLANK($C340),"",IF(V340=Constants!$B$3,TRUE(),IF(V340=Constants!$B$4,FALSE(),TRUE())))</f>
        <v/>
      </c>
      <c r="AX340" s="92" t="str">
        <f aca="false">IF(ISBLANK($C340),"",IF(ISNUMBER(W340),IF(W340&gt;=0,W340,""),""))</f>
        <v/>
      </c>
      <c r="AY340" s="92" t="str">
        <f aca="false">IF(ISBLANK($C340),"",IF(X340=Constants!$B$3,TRUE(),IF(X340=Constants!$B$4,FALSE(),FALSE())))</f>
        <v/>
      </c>
      <c r="AZ340" s="92" t="str">
        <f aca="false">IF(ISBLANK($C340),"",MIN(Constants!$B$31,MAX(0,IF(ISNUMBER(Y340),Y340*60,0)+IF(ISNUMBER(Z340),Z340,0))))</f>
        <v/>
      </c>
      <c r="BA340" s="92" t="str">
        <f aca="false">IF(ISBLANK($C340),"",IF(AA340=Constants!$B$3,TRUE(),IF(AA340=Constants!$B$4,FALSE(),FALSE())))</f>
        <v/>
      </c>
      <c r="BB340" s="91" t="str">
        <f aca="false">IF(ISBLANK($C340),"",AND($AL340,OR($AM340="",$AN340="",AND($AO340,$AP340=""))))</f>
        <v/>
      </c>
      <c r="BC340" s="93" t="str">
        <f aca="false">IF($BR340&lt;&gt;Constants!$B$8,"",IF($AL340,Constants!$B$21*$AN340+Constants!$B$22*IF($AO340,$AP340,Constants!$B$23),Constants!$B$24))</f>
        <v/>
      </c>
      <c r="BD340" s="96" t="str">
        <f aca="false">IF($BR340&lt;&gt;Constants!$B$8,"",Constants!$B$25*ABS($AD$9-IF($AL340,$AM340,0)))</f>
        <v/>
      </c>
      <c r="BE340" s="96" t="str">
        <f aca="false">IF($BR340&lt;&gt;Constants!$B$8,"",IF(AND($AL340,$AQ340,$AO340),Constants!$B$27,0))</f>
        <v/>
      </c>
      <c r="BF340" s="96" t="str">
        <f aca="false">IF($BR340&lt;&gt;Constants!$B$8,"",IF($AL340,($AI340-Constants!$B$29)*Constants!$B$28,0))</f>
        <v/>
      </c>
      <c r="BG340" s="96" t="str">
        <f aca="false">IF($BR340&lt;&gt;Constants!$B$8,"",IF($AK340,0,Constants!$B$15)+IF($AJ340,0,Constants!$B$16)+IF($AH340,0,Constants!$B$17))</f>
        <v/>
      </c>
      <c r="BH340" s="97" t="str">
        <f aca="false">IF($BR340&lt;&gt;Constants!$B$8,"",Constants!$B$20+SUM($BC340:$BG340))</f>
        <v/>
      </c>
      <c r="BI340" s="92" t="str">
        <f aca="false">IF($BR340&lt;&gt;Constants!$B$8,"",IF(OR($BP340&lt;$BH340,AND($BP340=$BH340,OR($BK340&lt;$BC340,AND($BK340=$BC340,OR($BL340&lt;$BD340,AND($BL340=$BD340,$AT340,$AL340,$AV340&lt;$AN340)))))),"-&gt;","&lt;-"))</f>
        <v/>
      </c>
      <c r="BJ340" s="91" t="str">
        <f aca="false">IF(ISBLANK($C340),"",AND($AT340,OR($AU340="",$AV340="",AND($AW340,$AX340=""))))</f>
        <v/>
      </c>
      <c r="BK340" s="93" t="str">
        <f aca="false">IF($BR340&lt;&gt;Constants!$B$8,"",IF($AT340,Constants!$B$21*$AV340+Constants!$B$22*IF($AW340,$AX340,Constants!$B$23),Constants!$B$24))</f>
        <v/>
      </c>
      <c r="BL340" s="96" t="str">
        <f aca="false">IF($BR340&lt;&gt;Constants!$B$8,"",Constants!$B$25*ABS($AD$9-IF($AT340,$AU340,0)))</f>
        <v/>
      </c>
      <c r="BM340" s="96" t="str">
        <f aca="false">IF($BR340&lt;&gt;Constants!$B$8,"",IF(AND($AT340,$AY340,$AW340),Constants!$B$27,0))</f>
        <v/>
      </c>
      <c r="BN340" s="96" t="str">
        <f aca="false">IF($BR340&lt;&gt;Constants!$B$8,"",IF($AT340,($AI340-Constants!$B$29)*Constants!$B$28,0))</f>
        <v/>
      </c>
      <c r="BO340" s="96" t="str">
        <f aca="false">IF($BR340&lt;&gt;Constants!$B$8,"",IF($AS340,0,Constants!$B$15)+IF($AR340,0,Constants!$B$16)+IF($AH340,0,Constants!$B$17))</f>
        <v/>
      </c>
      <c r="BP340" s="97" t="str">
        <f aca="false">IF($BR340&lt;&gt;Constants!$B$8,"",Constants!$B$20+SUM($BK340:$BO340))</f>
        <v/>
      </c>
      <c r="BQ340" s="92" t="str">
        <f aca="false">IF(ISBLANK($C340),"",IF(ISBLANK($D$7),$BQ$5,IF(NOT(ISNUMBER($D$7)),$BQ$6,"")))</f>
        <v/>
      </c>
      <c r="BR340" s="92" t="str">
        <f aca="false">IF(ISBLANK($C340),"",IF($BA340,Constants!$B$11,IF(COUNTA($E340:$AA340)=0,Constants!$B$10,IF(NOT($AG340),Constants!$B$9,IF(OR($BQ340&lt;&gt;"",$BB340,$BJ340),Constants!$B$12,Constants!$B$8)))))</f>
        <v/>
      </c>
      <c r="BS340" s="92" t="str">
        <f aca="false">IF(ISBLANK($C340),"",IF($BR340&lt;&gt;Constants!$B$8,$BR340,Constants!$B$13))</f>
        <v/>
      </c>
      <c r="BT340" s="96" t="str">
        <f aca="false">IF($BR340&lt;&gt;Constants!$B$8,"",IF($BI340="-&gt;",$BP340,$BH340))</f>
        <v/>
      </c>
      <c r="BU340" s="96" t="str">
        <f aca="false">IF($BR340&lt;&gt;Constants!$B$8,"",IF($AF340,0,Constants!$B$18))</f>
        <v/>
      </c>
      <c r="BV340" s="96" t="str">
        <f aca="false">IF($BR340&lt;&gt;Constants!$B$8,"",((Constants!$B$31-$AZ340)-Constants!$B$31)/Constants!$B$32)</f>
        <v/>
      </c>
      <c r="BW340" s="96" t="str">
        <f aca="false">IF(ISBLANK($C340),"",IF($BR340&lt;&gt;Constants!$B$8,$BR340,SUM($BT340:$BV340)))</f>
        <v/>
      </c>
      <c r="BX340" s="92" t="str">
        <f aca="false">IF(ISBLANK($C340),"",IF($BR340&lt;&gt;Constants!$B$8,$BR340,RANK($BW340,$BW$9:$BW$508,1)))</f>
        <v/>
      </c>
      <c r="BY340" s="96" t="str">
        <f aca="false">IF($BR340&lt;&gt;Constants!$B$8,"",IF($BI340="-&gt;",$BK340,$BC340))</f>
        <v/>
      </c>
      <c r="BZ340" s="92" t="str">
        <f aca="false">IF(ISBLANK($C340),"",IF($BR340&lt;&gt;Constants!$B$8,$BR340,IF(ISNUMBER($BY340),RANK($BY340,$BY$9:$BY$508,1),COUNT($BY$9:$BY$508)+1)))</f>
        <v/>
      </c>
      <c r="CA340" s="96" t="str">
        <f aca="false">IF($BR340&lt;&gt;Constants!$B$8,"",IF($BI340="-&gt;",$BL340,$BD340))</f>
        <v/>
      </c>
      <c r="CB340" s="92" t="str">
        <f aca="false">IF(ISBLANK($C340),"",IF($BR340&lt;&gt;Constants!$B$8,$BR340,IF(ISNUMBER($CA340),RANK($CA340,$CA$9:$CA$508,1),COUNT($CA$9:$CA$508)+1)))</f>
        <v/>
      </c>
      <c r="CC340" s="96" t="str">
        <f aca="false">IF($BR340&lt;&gt;Constants!$B$8,"",IF($BI340="-&gt;",IF($AT340,$AV340,""),IF($AL340,$AN340,"")))</f>
        <v/>
      </c>
      <c r="CD340" s="92" t="str">
        <f aca="false">IF(ISBLANK($C340),"",IF($BR340&lt;&gt;Constants!$B$8,$BR340,IF(ISNUMBER($CC340),RANK($CC340,$CC$9:$CC$508,1),COUNT($CC$9:$CC$508)+1)))</f>
        <v/>
      </c>
      <c r="CE340" s="96" t="str">
        <f aca="false">IF($BR340&lt;&gt;Constants!$B$8,"",IF(AND(NOT($AL340),NOT($AT340),$AJ340,$AK340,$AR340,$AS340),"",$AI340))</f>
        <v/>
      </c>
      <c r="CF340" s="92" t="str">
        <f aca="false">IF(ISBLANK($C340),"",IF($BR340&lt;&gt;Constants!$B$8,$BR340,IF(ISNUMBER($CE340),RANK($CE340,$CE$9:$CE$508,1),COUNT($CE$9:$CE$508)+1)))</f>
        <v/>
      </c>
      <c r="CG340" s="92" t="str">
        <f aca="false">IF(ISBLANK($C340),"",IF($BR340&lt;&gt;Constants!$B$8,$BR340,COUNTIFS($BX$9:$BX$508,"&lt;"&amp;$BX340)+COUNTIFS($BX$9:$BX$508,$BX340,$BZ$9:$BZ$508,"&lt;"&amp;$BZ340)+COUNTIFS($BX$9:$BX$508,$BX340,$BZ$9:$BZ$508,$BZ340,$CB$9:$CB$508,"&lt;"&amp;$CB340)+COUNTIFS($BX$9:$BX$508,$BX340,$BZ$9:$BZ$508,$BZ340,$CB$9:$CB$508,$CB340,$CD$9:$CD$508,"&lt;"&amp;$CD340)+COUNTIFS($BX$9:$BX$508,$BX340,$BZ$9:$BZ$508,$BZ340,$CB$9:$CB$508,$CB340,$CD$9:$CD$508,$CD340,$CF$9:$CF$508,"&lt;"&amp;$CF340)+1))</f>
        <v/>
      </c>
      <c r="CH340" s="92" t="str">
        <f aca="false">IF(ISBLANK($C340),"",IF($BR340&lt;&gt;Constants!$B$8,$BR340,$BX340-$CG340))</f>
        <v/>
      </c>
      <c r="CI340" s="98"/>
      <c r="CJ340" s="99"/>
      <c r="CK340" s="100" t="str">
        <f aca="false">IF(ISBLANK($C340),"",IF($BR340=Constants!$B$12,$BQ340,""))</f>
        <v/>
      </c>
      <c r="CL340" s="99" t="str">
        <f aca="false">IF(ISBLANK($C340),"",IF($BR340&lt;&gt;Constants!$B$8,"",IF($BI340="-&gt;",2,1)))</f>
        <v/>
      </c>
      <c r="CM340" s="101" t="str">
        <f aca="false">IF(ISBLANK($C340),"",IF($BR340&lt;&gt;Constants!$B$8,"",IF($BI340="-&gt;",$BK340,$BC340)))</f>
        <v/>
      </c>
      <c r="CN340" s="101" t="str">
        <f aca="false">IF(ISBLANK($C340),"",IF($BR340&lt;&gt;Constants!$B$8,"",IF($BI340="-&gt;",$BL340,$BD340)))</f>
        <v/>
      </c>
      <c r="CO340" s="101" t="str">
        <f aca="false">IF(ISBLANK($C340),"",IF($BR340&lt;&gt;Constants!$B$8,"",IF($BI340="-&gt;",$BM340+$BN340,$BE340+$BF340)+$BV340))</f>
        <v/>
      </c>
      <c r="CP340" s="101" t="str">
        <f aca="false">IF(ISBLANK($C340),"",IF($BR340&lt;&gt;Constants!$B$8,"",IF($BI340="-&gt;",$BO340,$BG340)+$BU340))</f>
        <v/>
      </c>
      <c r="CQ340" s="102" t="str">
        <f aca="false">IF(ISBLANK($C340),"",IF($BR340&lt;&gt;Constants!$B$8,$BR340,$BW340))</f>
        <v/>
      </c>
      <c r="CR340" s="103" t="str">
        <f aca="false">IF(ISBLANK($C340),"",$BS340)</f>
        <v/>
      </c>
      <c r="CS340" s="104" t="str">
        <f aca="false">IF(ISBLANK($C340),"",$CH340)</f>
        <v/>
      </c>
      <c r="CT340" s="104" t="str">
        <f aca="false">IF(ISBLANK($C340),"",$CG340)</f>
        <v/>
      </c>
      <c r="CU340" s="105" t="str">
        <f aca="false">IF(ISBLANK($C340),"",IFERROR(_xlfn.SWITCH($CT340,Constants!$B$11,COUNTA($C$9:$C$508)+2,Constants!$B$10,COUNTA($C$9:$C$508)+1,Constants!$B$9,COUNTA($C$9:$C$508)),$CT340))</f>
        <v/>
      </c>
      <c r="CV340" s="9"/>
      <c r="CW340" s="106" t="n">
        <f aca="false">IF(OR(ISNUMBER($CT340),$CT340=Constants!$B$11,$CT340=Constants!$B$9,$CT340=Constants!$B$10),1,0)</f>
        <v>0</v>
      </c>
      <c r="CX340" s="106" t="n">
        <v>332</v>
      </c>
      <c r="CY340" s="106" t="str">
        <f aca="false">IF(ISBLANK($C340),"",IF(ISNUMBER($CU340),$CU340+ROW($B340)/1000,""))</f>
        <v/>
      </c>
      <c r="CZ340" s="106" t="str">
        <f aca="false">IF(ISNUMBER($CY340),RANK($CY340,$CY$9:$CY$508,1),"")</f>
        <v/>
      </c>
      <c r="DA340" s="106" t="str">
        <f aca="false">IF(ISBLANK($C340),"",$B340)</f>
        <v/>
      </c>
      <c r="DB340" s="106" t="str">
        <f aca="false">IF(ISBLANK($C340),"",$C340)</f>
        <v/>
      </c>
      <c r="DC340" s="106" t="str">
        <f aca="false">IF(ISBLANK($C340),"",$D340)</f>
        <v/>
      </c>
      <c r="DD340" s="107" t="str">
        <f aca="false">$CR340</f>
        <v/>
      </c>
      <c r="DE340" s="108" t="str">
        <f aca="false">$CQ340</f>
        <v/>
      </c>
      <c r="DF340" s="106" t="str">
        <f aca="false">IF(ISBLANK($C340),"",$CT340)</f>
        <v/>
      </c>
      <c r="DG340" s="109" t="str">
        <f aca="false">IF($CX340&gt;$CW$8,"",VLOOKUP($CX340,$CZ$9:$DF$508,7,FALSE()))</f>
        <v/>
      </c>
      <c r="DH340" s="110" t="str">
        <f aca="false">IF($CX340&gt;$CW$8,"",VLOOKUP($CX340,$CZ$9:$DF$508,2,FALSE()))</f>
        <v/>
      </c>
      <c r="DI340" s="110" t="str">
        <f aca="false">IF($CX340&gt;$CW$8,"",VLOOKUP($CX340,$CZ$9:$DF$508,3,FALSE()))</f>
        <v/>
      </c>
      <c r="DJ340" s="110" t="str">
        <f aca="false">IF($CX340&gt;$CW$8,"",VLOOKUP($CX340,$CZ$9:$DF$508,4,FALSE()))</f>
        <v/>
      </c>
      <c r="DK340" s="110" t="str">
        <f aca="false">IF($CX340&gt;$CW$8,"",VLOOKUP($CX340,$CZ$9:$DF$508,5,FALSE()))</f>
        <v/>
      </c>
      <c r="DL340" s="111" t="str">
        <f aca="false">IF($CX340&gt;$CW$8,"",VLOOKUP($CX340,$CZ$9:$DF$508,6,FALSE()))</f>
        <v/>
      </c>
      <c r="DM340" s="75"/>
    </row>
    <row r="341" customFormat="false" ht="15.75" hidden="false" customHeight="false" outlineLevel="0" collapsed="false">
      <c r="A341" s="9"/>
      <c r="B341" s="77"/>
      <c r="C341" s="78"/>
      <c r="D341" s="167"/>
      <c r="E341" s="175"/>
      <c r="F341" s="169"/>
      <c r="G341" s="170"/>
      <c r="H341" s="170"/>
      <c r="I341" s="176"/>
      <c r="J341" s="173"/>
      <c r="K341" s="85"/>
      <c r="L341" s="86"/>
      <c r="M341" s="87"/>
      <c r="N341" s="173"/>
      <c r="O341" s="173"/>
      <c r="P341" s="175"/>
      <c r="Q341" s="173"/>
      <c r="R341" s="173"/>
      <c r="S341" s="85"/>
      <c r="T341" s="87"/>
      <c r="U341" s="87"/>
      <c r="V341" s="173"/>
      <c r="W341" s="173"/>
      <c r="X341" s="175"/>
      <c r="Y341" s="173"/>
      <c r="Z341" s="174"/>
      <c r="AA341" s="173"/>
      <c r="AB341" s="91"/>
      <c r="AC341" s="92"/>
      <c r="AD341" s="92"/>
      <c r="AE341" s="92"/>
      <c r="AF341" s="92" t="str">
        <f aca="false">IF(ISBLANK($C341),"",IF(E341=Constants!$B$3,TRUE(),IF(E341=Constants!$B$4,FALSE(),TRUE())))</f>
        <v/>
      </c>
      <c r="AG341" s="92" t="str">
        <f aca="false">IF(ISBLANK($C341),"",IF(F341=Constants!$B$3,TRUE(),IF(F341=Constants!$B$4,FALSE(),TRUE())))</f>
        <v/>
      </c>
      <c r="AH341" s="92" t="str">
        <f aca="false">IF(ISBLANK($C341),"",IF(G341=Constants!$B$3,TRUE(),IF(G341=Constants!$B$4,FALSE(),TRUE())))</f>
        <v/>
      </c>
      <c r="AI341" s="92" t="str">
        <f aca="false">IF(ISBLANK($C341),"",IF(AND(ISNUMBER(H341),H341&gt;=0),H341,Constants!$B$29))</f>
        <v/>
      </c>
      <c r="AJ341" s="92" t="str">
        <f aca="false">IF(ISBLANK($C341),"",IF(I341=Constants!$B$3,TRUE(),IF(I341=Constants!$B$4,FALSE(),TRUE())))</f>
        <v/>
      </c>
      <c r="AK341" s="92" t="str">
        <f aca="false">IF(ISBLANK($C341),"",IF(J341=Constants!$B$3,TRUE(),IF(J341=Constants!$B$4,FALSE(),TRUE())))</f>
        <v/>
      </c>
      <c r="AL341" s="92" t="str">
        <f aca="false">IF(ISBLANK($C341),"",IF(K341=Constants!$B$5,TRUE(),IF(K341=Constants!$B$6,FALSE(),COUNTA(L341:P341)&gt;0)))</f>
        <v/>
      </c>
      <c r="AM341" s="94" t="str">
        <f aca="false">IF(ISBLANK($C341),"",IF(ISNUMBER(L341),IF(L341&gt;=0,L341,""),""))</f>
        <v/>
      </c>
      <c r="AN341" s="93" t="str">
        <f aca="false">IF(ISBLANK($C341),"",IF(ISNUMBER(M341),IF(M341&gt;=0,M341,""),""))</f>
        <v/>
      </c>
      <c r="AO341" s="93" t="str">
        <f aca="false">IF(ISBLANK($C341),"",IF(N341=Constants!$B$3,TRUE(),IF(N341=Constants!$B$4,FALSE(),TRUE())))</f>
        <v/>
      </c>
      <c r="AP341" s="92" t="str">
        <f aca="false">IF(ISBLANK($C341),"",IF(ISNUMBER(O341),IF(O341&gt;=0,O341,""),""))</f>
        <v/>
      </c>
      <c r="AQ341" s="92" t="str">
        <f aca="false">IF(ISBLANK($C341),"",IF(P341=Constants!$B$3,TRUE(),IF(P341=Constants!$B$4,FALSE(),FALSE())))</f>
        <v/>
      </c>
      <c r="AR341" s="92" t="str">
        <f aca="false">IF(ISBLANK($C341),"",IF(Q341=Constants!$B$3,TRUE(),IF(Q341=Constants!$B$4,FALSE(),TRUE())))</f>
        <v/>
      </c>
      <c r="AS341" s="92" t="str">
        <f aca="false">IF(ISBLANK($C341),"",IF(R341=Constants!$B$3,TRUE(),IF(R341=Constants!$B$4,FALSE(),TRUE())))</f>
        <v/>
      </c>
      <c r="AT341" s="92" t="str">
        <f aca="false">IF(ISBLANK($C341),"",IF(S341=Constants!$B$5,TRUE(),IF(S341=Constants!$B$6,FALSE(),COUNTA(T341:X341)&gt;0)))</f>
        <v/>
      </c>
      <c r="AU341" s="94" t="str">
        <f aca="false">IF(ISBLANK($C341),"",IF(ISNUMBER(T341),IF(T341&gt;=0,T341,""),""))</f>
        <v/>
      </c>
      <c r="AV341" s="93" t="str">
        <f aca="false">IF(ISBLANK($C341),"",IF(ISNUMBER(U341),IF(U341&gt;=0,U341,""),""))</f>
        <v/>
      </c>
      <c r="AW341" s="93" t="str">
        <f aca="false">IF(ISBLANK($C341),"",IF(V341=Constants!$B$3,TRUE(),IF(V341=Constants!$B$4,FALSE(),TRUE())))</f>
        <v/>
      </c>
      <c r="AX341" s="92" t="str">
        <f aca="false">IF(ISBLANK($C341),"",IF(ISNUMBER(W341),IF(W341&gt;=0,W341,""),""))</f>
        <v/>
      </c>
      <c r="AY341" s="92" t="str">
        <f aca="false">IF(ISBLANK($C341),"",IF(X341=Constants!$B$3,TRUE(),IF(X341=Constants!$B$4,FALSE(),FALSE())))</f>
        <v/>
      </c>
      <c r="AZ341" s="92" t="str">
        <f aca="false">IF(ISBLANK($C341),"",MIN(Constants!$B$31,MAX(0,IF(ISNUMBER(Y341),Y341*60,0)+IF(ISNUMBER(Z341),Z341,0))))</f>
        <v/>
      </c>
      <c r="BA341" s="92" t="str">
        <f aca="false">IF(ISBLANK($C341),"",IF(AA341=Constants!$B$3,TRUE(),IF(AA341=Constants!$B$4,FALSE(),FALSE())))</f>
        <v/>
      </c>
      <c r="BB341" s="91" t="str">
        <f aca="false">IF(ISBLANK($C341),"",AND($AL341,OR($AM341="",$AN341="",AND($AO341,$AP341=""))))</f>
        <v/>
      </c>
      <c r="BC341" s="93" t="str">
        <f aca="false">IF($BR341&lt;&gt;Constants!$B$8,"",IF($AL341,Constants!$B$21*$AN341+Constants!$B$22*IF($AO341,$AP341,Constants!$B$23),Constants!$B$24))</f>
        <v/>
      </c>
      <c r="BD341" s="96" t="str">
        <f aca="false">IF($BR341&lt;&gt;Constants!$B$8,"",Constants!$B$25*ABS($AD$9-IF($AL341,$AM341,0)))</f>
        <v/>
      </c>
      <c r="BE341" s="96" t="str">
        <f aca="false">IF($BR341&lt;&gt;Constants!$B$8,"",IF(AND($AL341,$AQ341,$AO341),Constants!$B$27,0))</f>
        <v/>
      </c>
      <c r="BF341" s="96" t="str">
        <f aca="false">IF($BR341&lt;&gt;Constants!$B$8,"",IF($AL341,($AI341-Constants!$B$29)*Constants!$B$28,0))</f>
        <v/>
      </c>
      <c r="BG341" s="96" t="str">
        <f aca="false">IF($BR341&lt;&gt;Constants!$B$8,"",IF($AK341,0,Constants!$B$15)+IF($AJ341,0,Constants!$B$16)+IF($AH341,0,Constants!$B$17))</f>
        <v/>
      </c>
      <c r="BH341" s="97" t="str">
        <f aca="false">IF($BR341&lt;&gt;Constants!$B$8,"",Constants!$B$20+SUM($BC341:$BG341))</f>
        <v/>
      </c>
      <c r="BI341" s="92" t="str">
        <f aca="false">IF($BR341&lt;&gt;Constants!$B$8,"",IF(OR($BP341&lt;$BH341,AND($BP341=$BH341,OR($BK341&lt;$BC341,AND($BK341=$BC341,OR($BL341&lt;$BD341,AND($BL341=$BD341,$AT341,$AL341,$AV341&lt;$AN341)))))),"-&gt;","&lt;-"))</f>
        <v/>
      </c>
      <c r="BJ341" s="91" t="str">
        <f aca="false">IF(ISBLANK($C341),"",AND($AT341,OR($AU341="",$AV341="",AND($AW341,$AX341=""))))</f>
        <v/>
      </c>
      <c r="BK341" s="93" t="str">
        <f aca="false">IF($BR341&lt;&gt;Constants!$B$8,"",IF($AT341,Constants!$B$21*$AV341+Constants!$B$22*IF($AW341,$AX341,Constants!$B$23),Constants!$B$24))</f>
        <v/>
      </c>
      <c r="BL341" s="96" t="str">
        <f aca="false">IF($BR341&lt;&gt;Constants!$B$8,"",Constants!$B$25*ABS($AD$9-IF($AT341,$AU341,0)))</f>
        <v/>
      </c>
      <c r="BM341" s="96" t="str">
        <f aca="false">IF($BR341&lt;&gt;Constants!$B$8,"",IF(AND($AT341,$AY341,$AW341),Constants!$B$27,0))</f>
        <v/>
      </c>
      <c r="BN341" s="96" t="str">
        <f aca="false">IF($BR341&lt;&gt;Constants!$B$8,"",IF($AT341,($AI341-Constants!$B$29)*Constants!$B$28,0))</f>
        <v/>
      </c>
      <c r="BO341" s="96" t="str">
        <f aca="false">IF($BR341&lt;&gt;Constants!$B$8,"",IF($AS341,0,Constants!$B$15)+IF($AR341,0,Constants!$B$16)+IF($AH341,0,Constants!$B$17))</f>
        <v/>
      </c>
      <c r="BP341" s="97" t="str">
        <f aca="false">IF($BR341&lt;&gt;Constants!$B$8,"",Constants!$B$20+SUM($BK341:$BO341))</f>
        <v/>
      </c>
      <c r="BQ341" s="92" t="str">
        <f aca="false">IF(ISBLANK($C341),"",IF(ISBLANK($D$7),$BQ$5,IF(NOT(ISNUMBER($D$7)),$BQ$6,"")))</f>
        <v/>
      </c>
      <c r="BR341" s="92" t="str">
        <f aca="false">IF(ISBLANK($C341),"",IF($BA341,Constants!$B$11,IF(COUNTA($E341:$AA341)=0,Constants!$B$10,IF(NOT($AG341),Constants!$B$9,IF(OR($BQ341&lt;&gt;"",$BB341,$BJ341),Constants!$B$12,Constants!$B$8)))))</f>
        <v/>
      </c>
      <c r="BS341" s="92" t="str">
        <f aca="false">IF(ISBLANK($C341),"",IF($BR341&lt;&gt;Constants!$B$8,$BR341,Constants!$B$13))</f>
        <v/>
      </c>
      <c r="BT341" s="96" t="str">
        <f aca="false">IF($BR341&lt;&gt;Constants!$B$8,"",IF($BI341="-&gt;",$BP341,$BH341))</f>
        <v/>
      </c>
      <c r="BU341" s="96" t="str">
        <f aca="false">IF($BR341&lt;&gt;Constants!$B$8,"",IF($AF341,0,Constants!$B$18))</f>
        <v/>
      </c>
      <c r="BV341" s="96" t="str">
        <f aca="false">IF($BR341&lt;&gt;Constants!$B$8,"",((Constants!$B$31-$AZ341)-Constants!$B$31)/Constants!$B$32)</f>
        <v/>
      </c>
      <c r="BW341" s="96" t="str">
        <f aca="false">IF(ISBLANK($C341),"",IF($BR341&lt;&gt;Constants!$B$8,$BR341,SUM($BT341:$BV341)))</f>
        <v/>
      </c>
      <c r="BX341" s="92" t="str">
        <f aca="false">IF(ISBLANK($C341),"",IF($BR341&lt;&gt;Constants!$B$8,$BR341,RANK($BW341,$BW$9:$BW$508,1)))</f>
        <v/>
      </c>
      <c r="BY341" s="96" t="str">
        <f aca="false">IF($BR341&lt;&gt;Constants!$B$8,"",IF($BI341="-&gt;",$BK341,$BC341))</f>
        <v/>
      </c>
      <c r="BZ341" s="92" t="str">
        <f aca="false">IF(ISBLANK($C341),"",IF($BR341&lt;&gt;Constants!$B$8,$BR341,IF(ISNUMBER($BY341),RANK($BY341,$BY$9:$BY$508,1),COUNT($BY$9:$BY$508)+1)))</f>
        <v/>
      </c>
      <c r="CA341" s="96" t="str">
        <f aca="false">IF($BR341&lt;&gt;Constants!$B$8,"",IF($BI341="-&gt;",$BL341,$BD341))</f>
        <v/>
      </c>
      <c r="CB341" s="92" t="str">
        <f aca="false">IF(ISBLANK($C341),"",IF($BR341&lt;&gt;Constants!$B$8,$BR341,IF(ISNUMBER($CA341),RANK($CA341,$CA$9:$CA$508,1),COUNT($CA$9:$CA$508)+1)))</f>
        <v/>
      </c>
      <c r="CC341" s="96" t="str">
        <f aca="false">IF($BR341&lt;&gt;Constants!$B$8,"",IF($BI341="-&gt;",IF($AT341,$AV341,""),IF($AL341,$AN341,"")))</f>
        <v/>
      </c>
      <c r="CD341" s="92" t="str">
        <f aca="false">IF(ISBLANK($C341),"",IF($BR341&lt;&gt;Constants!$B$8,$BR341,IF(ISNUMBER($CC341),RANK($CC341,$CC$9:$CC$508,1),COUNT($CC$9:$CC$508)+1)))</f>
        <v/>
      </c>
      <c r="CE341" s="96" t="str">
        <f aca="false">IF($BR341&lt;&gt;Constants!$B$8,"",IF(AND(NOT($AL341),NOT($AT341),$AJ341,$AK341,$AR341,$AS341),"",$AI341))</f>
        <v/>
      </c>
      <c r="CF341" s="92" t="str">
        <f aca="false">IF(ISBLANK($C341),"",IF($BR341&lt;&gt;Constants!$B$8,$BR341,IF(ISNUMBER($CE341),RANK($CE341,$CE$9:$CE$508,1),COUNT($CE$9:$CE$508)+1)))</f>
        <v/>
      </c>
      <c r="CG341" s="92" t="str">
        <f aca="false">IF(ISBLANK($C341),"",IF($BR341&lt;&gt;Constants!$B$8,$BR341,COUNTIFS($BX$9:$BX$508,"&lt;"&amp;$BX341)+COUNTIFS($BX$9:$BX$508,$BX341,$BZ$9:$BZ$508,"&lt;"&amp;$BZ341)+COUNTIFS($BX$9:$BX$508,$BX341,$BZ$9:$BZ$508,$BZ341,$CB$9:$CB$508,"&lt;"&amp;$CB341)+COUNTIFS($BX$9:$BX$508,$BX341,$BZ$9:$BZ$508,$BZ341,$CB$9:$CB$508,$CB341,$CD$9:$CD$508,"&lt;"&amp;$CD341)+COUNTIFS($BX$9:$BX$508,$BX341,$BZ$9:$BZ$508,$BZ341,$CB$9:$CB$508,$CB341,$CD$9:$CD$508,$CD341,$CF$9:$CF$508,"&lt;"&amp;$CF341)+1))</f>
        <v/>
      </c>
      <c r="CH341" s="92" t="str">
        <f aca="false">IF(ISBLANK($C341),"",IF($BR341&lt;&gt;Constants!$B$8,$BR341,$BX341-$CG341))</f>
        <v/>
      </c>
      <c r="CI341" s="98"/>
      <c r="CJ341" s="99"/>
      <c r="CK341" s="100" t="str">
        <f aca="false">IF(ISBLANK($C341),"",IF($BR341=Constants!$B$12,$BQ341,""))</f>
        <v/>
      </c>
      <c r="CL341" s="99" t="str">
        <f aca="false">IF(ISBLANK($C341),"",IF($BR341&lt;&gt;Constants!$B$8,"",IF($BI341="-&gt;",2,1)))</f>
        <v/>
      </c>
      <c r="CM341" s="101" t="str">
        <f aca="false">IF(ISBLANK($C341),"",IF($BR341&lt;&gt;Constants!$B$8,"",IF($BI341="-&gt;",$BK341,$BC341)))</f>
        <v/>
      </c>
      <c r="CN341" s="101" t="str">
        <f aca="false">IF(ISBLANK($C341),"",IF($BR341&lt;&gt;Constants!$B$8,"",IF($BI341="-&gt;",$BL341,$BD341)))</f>
        <v/>
      </c>
      <c r="CO341" s="101" t="str">
        <f aca="false">IF(ISBLANK($C341),"",IF($BR341&lt;&gt;Constants!$B$8,"",IF($BI341="-&gt;",$BM341+$BN341,$BE341+$BF341)+$BV341))</f>
        <v/>
      </c>
      <c r="CP341" s="101" t="str">
        <f aca="false">IF(ISBLANK($C341),"",IF($BR341&lt;&gt;Constants!$B$8,"",IF($BI341="-&gt;",$BO341,$BG341)+$BU341))</f>
        <v/>
      </c>
      <c r="CQ341" s="102" t="str">
        <f aca="false">IF(ISBLANK($C341),"",IF($BR341&lt;&gt;Constants!$B$8,$BR341,$BW341))</f>
        <v/>
      </c>
      <c r="CR341" s="103" t="str">
        <f aca="false">IF(ISBLANK($C341),"",$BS341)</f>
        <v/>
      </c>
      <c r="CS341" s="104" t="str">
        <f aca="false">IF(ISBLANK($C341),"",$CH341)</f>
        <v/>
      </c>
      <c r="CT341" s="104" t="str">
        <f aca="false">IF(ISBLANK($C341),"",$CG341)</f>
        <v/>
      </c>
      <c r="CU341" s="105" t="str">
        <f aca="false">IF(ISBLANK($C341),"",IFERROR(_xlfn.SWITCH($CT341,Constants!$B$11,COUNTA($C$9:$C$508)+2,Constants!$B$10,COUNTA($C$9:$C$508)+1,Constants!$B$9,COUNTA($C$9:$C$508)),$CT341))</f>
        <v/>
      </c>
      <c r="CV341" s="9"/>
      <c r="CW341" s="106" t="n">
        <f aca="false">IF(OR(ISNUMBER($CT341),$CT341=Constants!$B$11,$CT341=Constants!$B$9,$CT341=Constants!$B$10),1,0)</f>
        <v>0</v>
      </c>
      <c r="CX341" s="106" t="n">
        <v>333</v>
      </c>
      <c r="CY341" s="106" t="str">
        <f aca="false">IF(ISBLANK($C341),"",IF(ISNUMBER($CU341),$CU341+ROW($B341)/1000,""))</f>
        <v/>
      </c>
      <c r="CZ341" s="106" t="str">
        <f aca="false">IF(ISNUMBER($CY341),RANK($CY341,$CY$9:$CY$508,1),"")</f>
        <v/>
      </c>
      <c r="DA341" s="106" t="str">
        <f aca="false">IF(ISBLANK($C341),"",$B341)</f>
        <v/>
      </c>
      <c r="DB341" s="106" t="str">
        <f aca="false">IF(ISBLANK($C341),"",$C341)</f>
        <v/>
      </c>
      <c r="DC341" s="106" t="str">
        <f aca="false">IF(ISBLANK($C341),"",$D341)</f>
        <v/>
      </c>
      <c r="DD341" s="107" t="str">
        <f aca="false">$CR341</f>
        <v/>
      </c>
      <c r="DE341" s="108" t="str">
        <f aca="false">$CQ341</f>
        <v/>
      </c>
      <c r="DF341" s="106" t="str">
        <f aca="false">IF(ISBLANK($C341),"",$CT341)</f>
        <v/>
      </c>
      <c r="DG341" s="109" t="str">
        <f aca="false">IF($CX341&gt;$CW$8,"",VLOOKUP($CX341,$CZ$9:$DF$508,7,FALSE()))</f>
        <v/>
      </c>
      <c r="DH341" s="110" t="str">
        <f aca="false">IF($CX341&gt;$CW$8,"",VLOOKUP($CX341,$CZ$9:$DF$508,2,FALSE()))</f>
        <v/>
      </c>
      <c r="DI341" s="110" t="str">
        <f aca="false">IF($CX341&gt;$CW$8,"",VLOOKUP($CX341,$CZ$9:$DF$508,3,FALSE()))</f>
        <v/>
      </c>
      <c r="DJ341" s="110" t="str">
        <f aca="false">IF($CX341&gt;$CW$8,"",VLOOKUP($CX341,$CZ$9:$DF$508,4,FALSE()))</f>
        <v/>
      </c>
      <c r="DK341" s="110" t="str">
        <f aca="false">IF($CX341&gt;$CW$8,"",VLOOKUP($CX341,$CZ$9:$DF$508,5,FALSE()))</f>
        <v/>
      </c>
      <c r="DL341" s="111" t="str">
        <f aca="false">IF($CX341&gt;$CW$8,"",VLOOKUP($CX341,$CZ$9:$DF$508,6,FALSE()))</f>
        <v/>
      </c>
      <c r="DM341" s="75"/>
    </row>
    <row r="342" customFormat="false" ht="15.75" hidden="false" customHeight="false" outlineLevel="0" collapsed="false">
      <c r="A342" s="9"/>
      <c r="B342" s="157"/>
      <c r="C342" s="158"/>
      <c r="D342" s="159"/>
      <c r="E342" s="177"/>
      <c r="F342" s="161"/>
      <c r="G342" s="162"/>
      <c r="H342" s="162"/>
      <c r="I342" s="178"/>
      <c r="J342" s="165"/>
      <c r="K342" s="126"/>
      <c r="L342" s="127"/>
      <c r="M342" s="128"/>
      <c r="N342" s="165"/>
      <c r="O342" s="165"/>
      <c r="P342" s="177"/>
      <c r="Q342" s="165"/>
      <c r="R342" s="165"/>
      <c r="S342" s="126"/>
      <c r="T342" s="128"/>
      <c r="U342" s="128"/>
      <c r="V342" s="165"/>
      <c r="W342" s="165"/>
      <c r="X342" s="177"/>
      <c r="Y342" s="165"/>
      <c r="Z342" s="166"/>
      <c r="AA342" s="165"/>
      <c r="AB342" s="132"/>
      <c r="AC342" s="133"/>
      <c r="AD342" s="133"/>
      <c r="AE342" s="133"/>
      <c r="AF342" s="133" t="str">
        <f aca="false">IF(ISBLANK($C342),"",IF(E342=Constants!$B$3,TRUE(),IF(E342=Constants!$B$4,FALSE(),TRUE())))</f>
        <v/>
      </c>
      <c r="AG342" s="133" t="str">
        <f aca="false">IF(ISBLANK($C342),"",IF(F342=Constants!$B$3,TRUE(),IF(F342=Constants!$B$4,FALSE(),TRUE())))</f>
        <v/>
      </c>
      <c r="AH342" s="133" t="str">
        <f aca="false">IF(ISBLANK($C342),"",IF(G342=Constants!$B$3,TRUE(),IF(G342=Constants!$B$4,FALSE(),TRUE())))</f>
        <v/>
      </c>
      <c r="AI342" s="133" t="str">
        <f aca="false">IF(ISBLANK($C342),"",IF(AND(ISNUMBER(H342),H342&gt;=0),H342,Constants!$B$29))</f>
        <v/>
      </c>
      <c r="AJ342" s="133" t="str">
        <f aca="false">IF(ISBLANK($C342),"",IF(I342=Constants!$B$3,TRUE(),IF(I342=Constants!$B$4,FALSE(),TRUE())))</f>
        <v/>
      </c>
      <c r="AK342" s="133" t="str">
        <f aca="false">IF(ISBLANK($C342),"",IF(J342=Constants!$B$3,TRUE(),IF(J342=Constants!$B$4,FALSE(),TRUE())))</f>
        <v/>
      </c>
      <c r="AL342" s="133" t="str">
        <f aca="false">IF(ISBLANK($C342),"",IF(K342=Constants!$B$5,TRUE(),IF(K342=Constants!$B$6,FALSE(),COUNTA(L342:P342)&gt;0)))</f>
        <v/>
      </c>
      <c r="AM342" s="134" t="str">
        <f aca="false">IF(ISBLANK($C342),"",IF(ISNUMBER(L342),IF(L342&gt;=0,L342,""),""))</f>
        <v/>
      </c>
      <c r="AN342" s="135" t="str">
        <f aca="false">IF(ISBLANK($C342),"",IF(ISNUMBER(M342),IF(M342&gt;=0,M342,""),""))</f>
        <v/>
      </c>
      <c r="AO342" s="135" t="str">
        <f aca="false">IF(ISBLANK($C342),"",IF(N342=Constants!$B$3,TRUE(),IF(N342=Constants!$B$4,FALSE(),TRUE())))</f>
        <v/>
      </c>
      <c r="AP342" s="133" t="str">
        <f aca="false">IF(ISBLANK($C342),"",IF(ISNUMBER(O342),IF(O342&gt;=0,O342,""),""))</f>
        <v/>
      </c>
      <c r="AQ342" s="133" t="str">
        <f aca="false">IF(ISBLANK($C342),"",IF(P342=Constants!$B$3,TRUE(),IF(P342=Constants!$B$4,FALSE(),FALSE())))</f>
        <v/>
      </c>
      <c r="AR342" s="133" t="str">
        <f aca="false">IF(ISBLANK($C342),"",IF(Q342=Constants!$B$3,TRUE(),IF(Q342=Constants!$B$4,FALSE(),TRUE())))</f>
        <v/>
      </c>
      <c r="AS342" s="133" t="str">
        <f aca="false">IF(ISBLANK($C342),"",IF(R342=Constants!$B$3,TRUE(),IF(R342=Constants!$B$4,FALSE(),TRUE())))</f>
        <v/>
      </c>
      <c r="AT342" s="133" t="str">
        <f aca="false">IF(ISBLANK($C342),"",IF(S342=Constants!$B$5,TRUE(),IF(S342=Constants!$B$6,FALSE(),COUNTA(T342:X342)&gt;0)))</f>
        <v/>
      </c>
      <c r="AU342" s="134" t="str">
        <f aca="false">IF(ISBLANK($C342),"",IF(ISNUMBER(T342),IF(T342&gt;=0,T342,""),""))</f>
        <v/>
      </c>
      <c r="AV342" s="135" t="str">
        <f aca="false">IF(ISBLANK($C342),"",IF(ISNUMBER(U342),IF(U342&gt;=0,U342,""),""))</f>
        <v/>
      </c>
      <c r="AW342" s="135" t="str">
        <f aca="false">IF(ISBLANK($C342),"",IF(V342=Constants!$B$3,TRUE(),IF(V342=Constants!$B$4,FALSE(),TRUE())))</f>
        <v/>
      </c>
      <c r="AX342" s="133" t="str">
        <f aca="false">IF(ISBLANK($C342),"",IF(ISNUMBER(W342),IF(W342&gt;=0,W342,""),""))</f>
        <v/>
      </c>
      <c r="AY342" s="133" t="str">
        <f aca="false">IF(ISBLANK($C342),"",IF(X342=Constants!$B$3,TRUE(),IF(X342=Constants!$B$4,FALSE(),FALSE())))</f>
        <v/>
      </c>
      <c r="AZ342" s="133" t="str">
        <f aca="false">IF(ISBLANK($C342),"",MIN(Constants!$B$31,MAX(0,IF(ISNUMBER(Y342),Y342*60,0)+IF(ISNUMBER(Z342),Z342,0))))</f>
        <v/>
      </c>
      <c r="BA342" s="133" t="str">
        <f aca="false">IF(ISBLANK($C342),"",IF(AA342=Constants!$B$3,TRUE(),IF(AA342=Constants!$B$4,FALSE(),FALSE())))</f>
        <v/>
      </c>
      <c r="BB342" s="132" t="str">
        <f aca="false">IF(ISBLANK($C342),"",AND($AL342,OR($AM342="",$AN342="",AND($AO342,$AP342=""))))</f>
        <v/>
      </c>
      <c r="BC342" s="135" t="str">
        <f aca="false">IF($BR342&lt;&gt;Constants!$B$8,"",IF($AL342,Constants!$B$21*$AN342+Constants!$B$22*IF($AO342,$AP342,Constants!$B$23),Constants!$B$24))</f>
        <v/>
      </c>
      <c r="BD342" s="136" t="str">
        <f aca="false">IF($BR342&lt;&gt;Constants!$B$8,"",Constants!$B$25*ABS($AD$9-IF($AL342,$AM342,0)))</f>
        <v/>
      </c>
      <c r="BE342" s="136" t="str">
        <f aca="false">IF($BR342&lt;&gt;Constants!$B$8,"",IF(AND($AL342,$AQ342,$AO342),Constants!$B$27,0))</f>
        <v/>
      </c>
      <c r="BF342" s="136" t="str">
        <f aca="false">IF($BR342&lt;&gt;Constants!$B$8,"",IF($AL342,($AI342-Constants!$B$29)*Constants!$B$28,0))</f>
        <v/>
      </c>
      <c r="BG342" s="136" t="str">
        <f aca="false">IF($BR342&lt;&gt;Constants!$B$8,"",IF($AK342,0,Constants!$B$15)+IF($AJ342,0,Constants!$B$16)+IF($AH342,0,Constants!$B$17))</f>
        <v/>
      </c>
      <c r="BH342" s="137" t="str">
        <f aca="false">IF($BR342&lt;&gt;Constants!$B$8,"",Constants!$B$20+SUM($BC342:$BG342))</f>
        <v/>
      </c>
      <c r="BI342" s="133" t="str">
        <f aca="false">IF($BR342&lt;&gt;Constants!$B$8,"",IF(OR($BP342&lt;$BH342,AND($BP342=$BH342,OR($BK342&lt;$BC342,AND($BK342=$BC342,OR($BL342&lt;$BD342,AND($BL342=$BD342,$AT342,$AL342,$AV342&lt;$AN342)))))),"-&gt;","&lt;-"))</f>
        <v/>
      </c>
      <c r="BJ342" s="132" t="str">
        <f aca="false">IF(ISBLANK($C342),"",AND($AT342,OR($AU342="",$AV342="",AND($AW342,$AX342=""))))</f>
        <v/>
      </c>
      <c r="BK342" s="135" t="str">
        <f aca="false">IF($BR342&lt;&gt;Constants!$B$8,"",IF($AT342,Constants!$B$21*$AV342+Constants!$B$22*IF($AW342,$AX342,Constants!$B$23),Constants!$B$24))</f>
        <v/>
      </c>
      <c r="BL342" s="136" t="str">
        <f aca="false">IF($BR342&lt;&gt;Constants!$B$8,"",Constants!$B$25*ABS($AD$9-IF($AT342,$AU342,0)))</f>
        <v/>
      </c>
      <c r="BM342" s="136" t="str">
        <f aca="false">IF($BR342&lt;&gt;Constants!$B$8,"",IF(AND($AT342,$AY342,$AW342),Constants!$B$27,0))</f>
        <v/>
      </c>
      <c r="BN342" s="136" t="str">
        <f aca="false">IF($BR342&lt;&gt;Constants!$B$8,"",IF($AT342,($AI342-Constants!$B$29)*Constants!$B$28,0))</f>
        <v/>
      </c>
      <c r="BO342" s="136" t="str">
        <f aca="false">IF($BR342&lt;&gt;Constants!$B$8,"",IF($AS342,0,Constants!$B$15)+IF($AR342,0,Constants!$B$16)+IF($AH342,0,Constants!$B$17))</f>
        <v/>
      </c>
      <c r="BP342" s="137" t="str">
        <f aca="false">IF($BR342&lt;&gt;Constants!$B$8,"",Constants!$B$20+SUM($BK342:$BO342))</f>
        <v/>
      </c>
      <c r="BQ342" s="133" t="str">
        <f aca="false">IF(ISBLANK($C342),"",IF(ISBLANK($D$7),$BQ$5,IF(NOT(ISNUMBER($D$7)),$BQ$6,"")))</f>
        <v/>
      </c>
      <c r="BR342" s="133" t="str">
        <f aca="false">IF(ISBLANK($C342),"",IF($BA342,Constants!$B$11,IF(COUNTA($E342:$AA342)=0,Constants!$B$10,IF(NOT($AG342),Constants!$B$9,IF(OR($BQ342&lt;&gt;"",$BB342,$BJ342),Constants!$B$12,Constants!$B$8)))))</f>
        <v/>
      </c>
      <c r="BS342" s="133" t="str">
        <f aca="false">IF(ISBLANK($C342),"",IF($BR342&lt;&gt;Constants!$B$8,$BR342,Constants!$B$13))</f>
        <v/>
      </c>
      <c r="BT342" s="136" t="str">
        <f aca="false">IF($BR342&lt;&gt;Constants!$B$8,"",IF($BI342="-&gt;",$BP342,$BH342))</f>
        <v/>
      </c>
      <c r="BU342" s="136" t="str">
        <f aca="false">IF($BR342&lt;&gt;Constants!$B$8,"",IF($AF342,0,Constants!$B$18))</f>
        <v/>
      </c>
      <c r="BV342" s="136" t="str">
        <f aca="false">IF($BR342&lt;&gt;Constants!$B$8,"",((Constants!$B$31-$AZ342)-Constants!$B$31)/Constants!$B$32)</f>
        <v/>
      </c>
      <c r="BW342" s="136" t="str">
        <f aca="false">IF(ISBLANK($C342),"",IF($BR342&lt;&gt;Constants!$B$8,$BR342,SUM($BT342:$BV342)))</f>
        <v/>
      </c>
      <c r="BX342" s="133" t="str">
        <f aca="false">IF(ISBLANK($C342),"",IF($BR342&lt;&gt;Constants!$B$8,$BR342,RANK($BW342,$BW$9:$BW$508,1)))</f>
        <v/>
      </c>
      <c r="BY342" s="136" t="str">
        <f aca="false">IF($BR342&lt;&gt;Constants!$B$8,"",IF($BI342="-&gt;",$BK342,$BC342))</f>
        <v/>
      </c>
      <c r="BZ342" s="133" t="str">
        <f aca="false">IF(ISBLANK($C342),"",IF($BR342&lt;&gt;Constants!$B$8,$BR342,IF(ISNUMBER($BY342),RANK($BY342,$BY$9:$BY$508,1),COUNT($BY$9:$BY$508)+1)))</f>
        <v/>
      </c>
      <c r="CA342" s="136" t="str">
        <f aca="false">IF($BR342&lt;&gt;Constants!$B$8,"",IF($BI342="-&gt;",$BL342,$BD342))</f>
        <v/>
      </c>
      <c r="CB342" s="133" t="str">
        <f aca="false">IF(ISBLANK($C342),"",IF($BR342&lt;&gt;Constants!$B$8,$BR342,IF(ISNUMBER($CA342),RANK($CA342,$CA$9:$CA$508,1),COUNT($CA$9:$CA$508)+1)))</f>
        <v/>
      </c>
      <c r="CC342" s="136" t="str">
        <f aca="false">IF($BR342&lt;&gt;Constants!$B$8,"",IF($BI342="-&gt;",IF($AT342,$AV342,""),IF($AL342,$AN342,"")))</f>
        <v/>
      </c>
      <c r="CD342" s="133" t="str">
        <f aca="false">IF(ISBLANK($C342),"",IF($BR342&lt;&gt;Constants!$B$8,$BR342,IF(ISNUMBER($CC342),RANK($CC342,$CC$9:$CC$508,1),COUNT($CC$9:$CC$508)+1)))</f>
        <v/>
      </c>
      <c r="CE342" s="136" t="str">
        <f aca="false">IF($BR342&lt;&gt;Constants!$B$8,"",IF(AND(NOT($AL342),NOT($AT342),$AJ342,$AK342,$AR342,$AS342),"",$AI342))</f>
        <v/>
      </c>
      <c r="CF342" s="133" t="str">
        <f aca="false">IF(ISBLANK($C342),"",IF($BR342&lt;&gt;Constants!$B$8,$BR342,IF(ISNUMBER($CE342),RANK($CE342,$CE$9:$CE$508,1),COUNT($CE$9:$CE$508)+1)))</f>
        <v/>
      </c>
      <c r="CG342" s="133" t="str">
        <f aca="false">IF(ISBLANK($C342),"",IF($BR342&lt;&gt;Constants!$B$8,$BR342,COUNTIFS($BX$9:$BX$508,"&lt;"&amp;$BX342)+COUNTIFS($BX$9:$BX$508,$BX342,$BZ$9:$BZ$508,"&lt;"&amp;$BZ342)+COUNTIFS($BX$9:$BX$508,$BX342,$BZ$9:$BZ$508,$BZ342,$CB$9:$CB$508,"&lt;"&amp;$CB342)+COUNTIFS($BX$9:$BX$508,$BX342,$BZ$9:$BZ$508,$BZ342,$CB$9:$CB$508,$CB342,$CD$9:$CD$508,"&lt;"&amp;$CD342)+COUNTIFS($BX$9:$BX$508,$BX342,$BZ$9:$BZ$508,$BZ342,$CB$9:$CB$508,$CB342,$CD$9:$CD$508,$CD342,$CF$9:$CF$508,"&lt;"&amp;$CF342)+1))</f>
        <v/>
      </c>
      <c r="CH342" s="133" t="str">
        <f aca="false">IF(ISBLANK($C342),"",IF($BR342&lt;&gt;Constants!$B$8,$BR342,$BX342-$CG342))</f>
        <v/>
      </c>
      <c r="CI342" s="138"/>
      <c r="CJ342" s="139"/>
      <c r="CK342" s="140" t="str">
        <f aca="false">IF(ISBLANK($C342),"",IF($BR342=Constants!$B$12,$BQ342,""))</f>
        <v/>
      </c>
      <c r="CL342" s="139" t="str">
        <f aca="false">IF(ISBLANK($C342),"",IF($BR342&lt;&gt;Constants!$B$8,"",IF($BI342="-&gt;",2,1)))</f>
        <v/>
      </c>
      <c r="CM342" s="141" t="str">
        <f aca="false">IF(ISBLANK($C342),"",IF($BR342&lt;&gt;Constants!$B$8,"",IF($BI342="-&gt;",$BK342,$BC342)))</f>
        <v/>
      </c>
      <c r="CN342" s="141" t="str">
        <f aca="false">IF(ISBLANK($C342),"",IF($BR342&lt;&gt;Constants!$B$8,"",IF($BI342="-&gt;",$BL342,$BD342)))</f>
        <v/>
      </c>
      <c r="CO342" s="141" t="str">
        <f aca="false">IF(ISBLANK($C342),"",IF($BR342&lt;&gt;Constants!$B$8,"",IF($BI342="-&gt;",$BM342+$BN342,$BE342+$BF342)+$BV342))</f>
        <v/>
      </c>
      <c r="CP342" s="141" t="str">
        <f aca="false">IF(ISBLANK($C342),"",IF($BR342&lt;&gt;Constants!$B$8,"",IF($BI342="-&gt;",$BO342,$BG342)+$BU342))</f>
        <v/>
      </c>
      <c r="CQ342" s="142" t="str">
        <f aca="false">IF(ISBLANK($C342),"",IF($BR342&lt;&gt;Constants!$B$8,$BR342,$BW342))</f>
        <v/>
      </c>
      <c r="CR342" s="143" t="str">
        <f aca="false">IF(ISBLANK($C342),"",$BS342)</f>
        <v/>
      </c>
      <c r="CS342" s="144" t="str">
        <f aca="false">IF(ISBLANK($C342),"",$CH342)</f>
        <v/>
      </c>
      <c r="CT342" s="144" t="str">
        <f aca="false">IF(ISBLANK($C342),"",$CG342)</f>
        <v/>
      </c>
      <c r="CU342" s="145" t="str">
        <f aca="false">IF(ISBLANK($C342),"",IFERROR(_xlfn.SWITCH($CT342,Constants!$B$11,COUNTA($C$9:$C$508)+2,Constants!$B$10,COUNTA($C$9:$C$508)+1,Constants!$B$9,COUNTA($C$9:$C$508)),$CT342))</f>
        <v/>
      </c>
      <c r="CV342" s="9"/>
      <c r="CW342" s="146" t="n">
        <f aca="false">IF(OR(ISNUMBER($CT342),$CT342=Constants!$B$11,$CT342=Constants!$B$9,$CT342=Constants!$B$10),1,0)</f>
        <v>0</v>
      </c>
      <c r="CX342" s="146" t="n">
        <v>334</v>
      </c>
      <c r="CY342" s="146" t="str">
        <f aca="false">IF(ISBLANK($C342),"",IF(ISNUMBER($CU342),$CU342+ROW($B342)/1000,""))</f>
        <v/>
      </c>
      <c r="CZ342" s="146" t="str">
        <f aca="false">IF(ISNUMBER($CY342),RANK($CY342,$CY$9:$CY$508,1),"")</f>
        <v/>
      </c>
      <c r="DA342" s="146" t="str">
        <f aca="false">IF(ISBLANK($C342),"",$B342)</f>
        <v/>
      </c>
      <c r="DB342" s="146" t="str">
        <f aca="false">IF(ISBLANK($C342),"",$C342)</f>
        <v/>
      </c>
      <c r="DC342" s="146" t="str">
        <f aca="false">IF(ISBLANK($C342),"",$D342)</f>
        <v/>
      </c>
      <c r="DD342" s="147" t="str">
        <f aca="false">$CR342</f>
        <v/>
      </c>
      <c r="DE342" s="148" t="str">
        <f aca="false">$CQ342</f>
        <v/>
      </c>
      <c r="DF342" s="146" t="str">
        <f aca="false">IF(ISBLANK($C342),"",$CT342)</f>
        <v/>
      </c>
      <c r="DG342" s="149" t="str">
        <f aca="false">IF($CX342&gt;$CW$8,"",VLOOKUP($CX342,$CZ$9:$DF$508,7,FALSE()))</f>
        <v/>
      </c>
      <c r="DH342" s="150" t="str">
        <f aca="false">IF($CX342&gt;$CW$8,"",VLOOKUP($CX342,$CZ$9:$DF$508,2,FALSE()))</f>
        <v/>
      </c>
      <c r="DI342" s="150" t="str">
        <f aca="false">IF($CX342&gt;$CW$8,"",VLOOKUP($CX342,$CZ$9:$DF$508,3,FALSE()))</f>
        <v/>
      </c>
      <c r="DJ342" s="150" t="str">
        <f aca="false">IF($CX342&gt;$CW$8,"",VLOOKUP($CX342,$CZ$9:$DF$508,4,FALSE()))</f>
        <v/>
      </c>
      <c r="DK342" s="150" t="str">
        <f aca="false">IF($CX342&gt;$CW$8,"",VLOOKUP($CX342,$CZ$9:$DF$508,5,FALSE()))</f>
        <v/>
      </c>
      <c r="DL342" s="151" t="str">
        <f aca="false">IF($CX342&gt;$CW$8,"",VLOOKUP($CX342,$CZ$9:$DF$508,6,FALSE()))</f>
        <v/>
      </c>
      <c r="DM342" s="75"/>
    </row>
    <row r="343" customFormat="false" ht="15.75" hidden="false" customHeight="false" outlineLevel="0" collapsed="false">
      <c r="A343" s="9"/>
      <c r="B343" s="157"/>
      <c r="C343" s="158"/>
      <c r="D343" s="159"/>
      <c r="E343" s="177"/>
      <c r="F343" s="161"/>
      <c r="G343" s="162"/>
      <c r="H343" s="162"/>
      <c r="I343" s="178"/>
      <c r="J343" s="165"/>
      <c r="K343" s="126"/>
      <c r="L343" s="127"/>
      <c r="M343" s="128"/>
      <c r="N343" s="165"/>
      <c r="O343" s="165"/>
      <c r="P343" s="177"/>
      <c r="Q343" s="165"/>
      <c r="R343" s="165"/>
      <c r="S343" s="126"/>
      <c r="T343" s="128"/>
      <c r="U343" s="128"/>
      <c r="V343" s="165"/>
      <c r="W343" s="165"/>
      <c r="X343" s="177"/>
      <c r="Y343" s="165"/>
      <c r="Z343" s="166"/>
      <c r="AA343" s="165"/>
      <c r="AB343" s="132"/>
      <c r="AC343" s="133"/>
      <c r="AD343" s="133"/>
      <c r="AE343" s="133"/>
      <c r="AF343" s="133" t="str">
        <f aca="false">IF(ISBLANK($C343),"",IF(E343=Constants!$B$3,TRUE(),IF(E343=Constants!$B$4,FALSE(),TRUE())))</f>
        <v/>
      </c>
      <c r="AG343" s="133" t="str">
        <f aca="false">IF(ISBLANK($C343),"",IF(F343=Constants!$B$3,TRUE(),IF(F343=Constants!$B$4,FALSE(),TRUE())))</f>
        <v/>
      </c>
      <c r="AH343" s="133" t="str">
        <f aca="false">IF(ISBLANK($C343),"",IF(G343=Constants!$B$3,TRUE(),IF(G343=Constants!$B$4,FALSE(),TRUE())))</f>
        <v/>
      </c>
      <c r="AI343" s="133" t="str">
        <f aca="false">IF(ISBLANK($C343),"",IF(AND(ISNUMBER(H343),H343&gt;=0),H343,Constants!$B$29))</f>
        <v/>
      </c>
      <c r="AJ343" s="133" t="str">
        <f aca="false">IF(ISBLANK($C343),"",IF(I343=Constants!$B$3,TRUE(),IF(I343=Constants!$B$4,FALSE(),TRUE())))</f>
        <v/>
      </c>
      <c r="AK343" s="133" t="str">
        <f aca="false">IF(ISBLANK($C343),"",IF(J343=Constants!$B$3,TRUE(),IF(J343=Constants!$B$4,FALSE(),TRUE())))</f>
        <v/>
      </c>
      <c r="AL343" s="133" t="str">
        <f aca="false">IF(ISBLANK($C343),"",IF(K343=Constants!$B$5,TRUE(),IF(K343=Constants!$B$6,FALSE(),COUNTA(L343:P343)&gt;0)))</f>
        <v/>
      </c>
      <c r="AM343" s="134" t="str">
        <f aca="false">IF(ISBLANK($C343),"",IF(ISNUMBER(L343),IF(L343&gt;=0,L343,""),""))</f>
        <v/>
      </c>
      <c r="AN343" s="135" t="str">
        <f aca="false">IF(ISBLANK($C343),"",IF(ISNUMBER(M343),IF(M343&gt;=0,M343,""),""))</f>
        <v/>
      </c>
      <c r="AO343" s="135" t="str">
        <f aca="false">IF(ISBLANK($C343),"",IF(N343=Constants!$B$3,TRUE(),IF(N343=Constants!$B$4,FALSE(),TRUE())))</f>
        <v/>
      </c>
      <c r="AP343" s="133" t="str">
        <f aca="false">IF(ISBLANK($C343),"",IF(ISNUMBER(O343),IF(O343&gt;=0,O343,""),""))</f>
        <v/>
      </c>
      <c r="AQ343" s="133" t="str">
        <f aca="false">IF(ISBLANK($C343),"",IF(P343=Constants!$B$3,TRUE(),IF(P343=Constants!$B$4,FALSE(),FALSE())))</f>
        <v/>
      </c>
      <c r="AR343" s="133" t="str">
        <f aca="false">IF(ISBLANK($C343),"",IF(Q343=Constants!$B$3,TRUE(),IF(Q343=Constants!$B$4,FALSE(),TRUE())))</f>
        <v/>
      </c>
      <c r="AS343" s="133" t="str">
        <f aca="false">IF(ISBLANK($C343),"",IF(R343=Constants!$B$3,TRUE(),IF(R343=Constants!$B$4,FALSE(),TRUE())))</f>
        <v/>
      </c>
      <c r="AT343" s="133" t="str">
        <f aca="false">IF(ISBLANK($C343),"",IF(S343=Constants!$B$5,TRUE(),IF(S343=Constants!$B$6,FALSE(),COUNTA(T343:X343)&gt;0)))</f>
        <v/>
      </c>
      <c r="AU343" s="134" t="str">
        <f aca="false">IF(ISBLANK($C343),"",IF(ISNUMBER(T343),IF(T343&gt;=0,T343,""),""))</f>
        <v/>
      </c>
      <c r="AV343" s="135" t="str">
        <f aca="false">IF(ISBLANK($C343),"",IF(ISNUMBER(U343),IF(U343&gt;=0,U343,""),""))</f>
        <v/>
      </c>
      <c r="AW343" s="135" t="str">
        <f aca="false">IF(ISBLANK($C343),"",IF(V343=Constants!$B$3,TRUE(),IF(V343=Constants!$B$4,FALSE(),TRUE())))</f>
        <v/>
      </c>
      <c r="AX343" s="133" t="str">
        <f aca="false">IF(ISBLANK($C343),"",IF(ISNUMBER(W343),IF(W343&gt;=0,W343,""),""))</f>
        <v/>
      </c>
      <c r="AY343" s="133" t="str">
        <f aca="false">IF(ISBLANK($C343),"",IF(X343=Constants!$B$3,TRUE(),IF(X343=Constants!$B$4,FALSE(),FALSE())))</f>
        <v/>
      </c>
      <c r="AZ343" s="133" t="str">
        <f aca="false">IF(ISBLANK($C343),"",MIN(Constants!$B$31,MAX(0,IF(ISNUMBER(Y343),Y343*60,0)+IF(ISNUMBER(Z343),Z343,0))))</f>
        <v/>
      </c>
      <c r="BA343" s="133" t="str">
        <f aca="false">IF(ISBLANK($C343),"",IF(AA343=Constants!$B$3,TRUE(),IF(AA343=Constants!$B$4,FALSE(),FALSE())))</f>
        <v/>
      </c>
      <c r="BB343" s="132" t="str">
        <f aca="false">IF(ISBLANK($C343),"",AND($AL343,OR($AM343="",$AN343="",AND($AO343,$AP343=""))))</f>
        <v/>
      </c>
      <c r="BC343" s="135" t="str">
        <f aca="false">IF($BR343&lt;&gt;Constants!$B$8,"",IF($AL343,Constants!$B$21*$AN343+Constants!$B$22*IF($AO343,$AP343,Constants!$B$23),Constants!$B$24))</f>
        <v/>
      </c>
      <c r="BD343" s="136" t="str">
        <f aca="false">IF($BR343&lt;&gt;Constants!$B$8,"",Constants!$B$25*ABS($AD$9-IF($AL343,$AM343,0)))</f>
        <v/>
      </c>
      <c r="BE343" s="136" t="str">
        <f aca="false">IF($BR343&lt;&gt;Constants!$B$8,"",IF(AND($AL343,$AQ343,$AO343),Constants!$B$27,0))</f>
        <v/>
      </c>
      <c r="BF343" s="136" t="str">
        <f aca="false">IF($BR343&lt;&gt;Constants!$B$8,"",IF($AL343,($AI343-Constants!$B$29)*Constants!$B$28,0))</f>
        <v/>
      </c>
      <c r="BG343" s="136" t="str">
        <f aca="false">IF($BR343&lt;&gt;Constants!$B$8,"",IF($AK343,0,Constants!$B$15)+IF($AJ343,0,Constants!$B$16)+IF($AH343,0,Constants!$B$17))</f>
        <v/>
      </c>
      <c r="BH343" s="137" t="str">
        <f aca="false">IF($BR343&lt;&gt;Constants!$B$8,"",Constants!$B$20+SUM($BC343:$BG343))</f>
        <v/>
      </c>
      <c r="BI343" s="133" t="str">
        <f aca="false">IF($BR343&lt;&gt;Constants!$B$8,"",IF(OR($BP343&lt;$BH343,AND($BP343=$BH343,OR($BK343&lt;$BC343,AND($BK343=$BC343,OR($BL343&lt;$BD343,AND($BL343=$BD343,$AT343,$AL343,$AV343&lt;$AN343)))))),"-&gt;","&lt;-"))</f>
        <v/>
      </c>
      <c r="BJ343" s="132" t="str">
        <f aca="false">IF(ISBLANK($C343),"",AND($AT343,OR($AU343="",$AV343="",AND($AW343,$AX343=""))))</f>
        <v/>
      </c>
      <c r="BK343" s="135" t="str">
        <f aca="false">IF($BR343&lt;&gt;Constants!$B$8,"",IF($AT343,Constants!$B$21*$AV343+Constants!$B$22*IF($AW343,$AX343,Constants!$B$23),Constants!$B$24))</f>
        <v/>
      </c>
      <c r="BL343" s="136" t="str">
        <f aca="false">IF($BR343&lt;&gt;Constants!$B$8,"",Constants!$B$25*ABS($AD$9-IF($AT343,$AU343,0)))</f>
        <v/>
      </c>
      <c r="BM343" s="136" t="str">
        <f aca="false">IF($BR343&lt;&gt;Constants!$B$8,"",IF(AND($AT343,$AY343,$AW343),Constants!$B$27,0))</f>
        <v/>
      </c>
      <c r="BN343" s="136" t="str">
        <f aca="false">IF($BR343&lt;&gt;Constants!$B$8,"",IF($AT343,($AI343-Constants!$B$29)*Constants!$B$28,0))</f>
        <v/>
      </c>
      <c r="BO343" s="136" t="str">
        <f aca="false">IF($BR343&lt;&gt;Constants!$B$8,"",IF($AS343,0,Constants!$B$15)+IF($AR343,0,Constants!$B$16)+IF($AH343,0,Constants!$B$17))</f>
        <v/>
      </c>
      <c r="BP343" s="137" t="str">
        <f aca="false">IF($BR343&lt;&gt;Constants!$B$8,"",Constants!$B$20+SUM($BK343:$BO343))</f>
        <v/>
      </c>
      <c r="BQ343" s="133" t="str">
        <f aca="false">IF(ISBLANK($C343),"",IF(ISBLANK($D$7),$BQ$5,IF(NOT(ISNUMBER($D$7)),$BQ$6,"")))</f>
        <v/>
      </c>
      <c r="BR343" s="133" t="str">
        <f aca="false">IF(ISBLANK($C343),"",IF($BA343,Constants!$B$11,IF(COUNTA($E343:$AA343)=0,Constants!$B$10,IF(NOT($AG343),Constants!$B$9,IF(OR($BQ343&lt;&gt;"",$BB343,$BJ343),Constants!$B$12,Constants!$B$8)))))</f>
        <v/>
      </c>
      <c r="BS343" s="133" t="str">
        <f aca="false">IF(ISBLANK($C343),"",IF($BR343&lt;&gt;Constants!$B$8,$BR343,Constants!$B$13))</f>
        <v/>
      </c>
      <c r="BT343" s="136" t="str">
        <f aca="false">IF($BR343&lt;&gt;Constants!$B$8,"",IF($BI343="-&gt;",$BP343,$BH343))</f>
        <v/>
      </c>
      <c r="BU343" s="136" t="str">
        <f aca="false">IF($BR343&lt;&gt;Constants!$B$8,"",IF($AF343,0,Constants!$B$18))</f>
        <v/>
      </c>
      <c r="BV343" s="136" t="str">
        <f aca="false">IF($BR343&lt;&gt;Constants!$B$8,"",((Constants!$B$31-$AZ343)-Constants!$B$31)/Constants!$B$32)</f>
        <v/>
      </c>
      <c r="BW343" s="136" t="str">
        <f aca="false">IF(ISBLANK($C343),"",IF($BR343&lt;&gt;Constants!$B$8,$BR343,SUM($BT343:$BV343)))</f>
        <v/>
      </c>
      <c r="BX343" s="133" t="str">
        <f aca="false">IF(ISBLANK($C343),"",IF($BR343&lt;&gt;Constants!$B$8,$BR343,RANK($BW343,$BW$9:$BW$508,1)))</f>
        <v/>
      </c>
      <c r="BY343" s="136" t="str">
        <f aca="false">IF($BR343&lt;&gt;Constants!$B$8,"",IF($BI343="-&gt;",$BK343,$BC343))</f>
        <v/>
      </c>
      <c r="BZ343" s="133" t="str">
        <f aca="false">IF(ISBLANK($C343),"",IF($BR343&lt;&gt;Constants!$B$8,$BR343,IF(ISNUMBER($BY343),RANK($BY343,$BY$9:$BY$508,1),COUNT($BY$9:$BY$508)+1)))</f>
        <v/>
      </c>
      <c r="CA343" s="136" t="str">
        <f aca="false">IF($BR343&lt;&gt;Constants!$B$8,"",IF($BI343="-&gt;",$BL343,$BD343))</f>
        <v/>
      </c>
      <c r="CB343" s="133" t="str">
        <f aca="false">IF(ISBLANK($C343),"",IF($BR343&lt;&gt;Constants!$B$8,$BR343,IF(ISNUMBER($CA343),RANK($CA343,$CA$9:$CA$508,1),COUNT($CA$9:$CA$508)+1)))</f>
        <v/>
      </c>
      <c r="CC343" s="136" t="str">
        <f aca="false">IF($BR343&lt;&gt;Constants!$B$8,"",IF($BI343="-&gt;",IF($AT343,$AV343,""),IF($AL343,$AN343,"")))</f>
        <v/>
      </c>
      <c r="CD343" s="133" t="str">
        <f aca="false">IF(ISBLANK($C343),"",IF($BR343&lt;&gt;Constants!$B$8,$BR343,IF(ISNUMBER($CC343),RANK($CC343,$CC$9:$CC$508,1),COUNT($CC$9:$CC$508)+1)))</f>
        <v/>
      </c>
      <c r="CE343" s="136" t="str">
        <f aca="false">IF($BR343&lt;&gt;Constants!$B$8,"",IF(AND(NOT($AL343),NOT($AT343),$AJ343,$AK343,$AR343,$AS343),"",$AI343))</f>
        <v/>
      </c>
      <c r="CF343" s="133" t="str">
        <f aca="false">IF(ISBLANK($C343),"",IF($BR343&lt;&gt;Constants!$B$8,$BR343,IF(ISNUMBER($CE343),RANK($CE343,$CE$9:$CE$508,1),COUNT($CE$9:$CE$508)+1)))</f>
        <v/>
      </c>
      <c r="CG343" s="133" t="str">
        <f aca="false">IF(ISBLANK($C343),"",IF($BR343&lt;&gt;Constants!$B$8,$BR343,COUNTIFS($BX$9:$BX$508,"&lt;"&amp;$BX343)+COUNTIFS($BX$9:$BX$508,$BX343,$BZ$9:$BZ$508,"&lt;"&amp;$BZ343)+COUNTIFS($BX$9:$BX$508,$BX343,$BZ$9:$BZ$508,$BZ343,$CB$9:$CB$508,"&lt;"&amp;$CB343)+COUNTIFS($BX$9:$BX$508,$BX343,$BZ$9:$BZ$508,$BZ343,$CB$9:$CB$508,$CB343,$CD$9:$CD$508,"&lt;"&amp;$CD343)+COUNTIFS($BX$9:$BX$508,$BX343,$BZ$9:$BZ$508,$BZ343,$CB$9:$CB$508,$CB343,$CD$9:$CD$508,$CD343,$CF$9:$CF$508,"&lt;"&amp;$CF343)+1))</f>
        <v/>
      </c>
      <c r="CH343" s="133" t="str">
        <f aca="false">IF(ISBLANK($C343),"",IF($BR343&lt;&gt;Constants!$B$8,$BR343,$BX343-$CG343))</f>
        <v/>
      </c>
      <c r="CI343" s="138"/>
      <c r="CJ343" s="139"/>
      <c r="CK343" s="140" t="str">
        <f aca="false">IF(ISBLANK($C343),"",IF($BR343=Constants!$B$12,$BQ343,""))</f>
        <v/>
      </c>
      <c r="CL343" s="139" t="str">
        <f aca="false">IF(ISBLANK($C343),"",IF($BR343&lt;&gt;Constants!$B$8,"",IF($BI343="-&gt;",2,1)))</f>
        <v/>
      </c>
      <c r="CM343" s="141" t="str">
        <f aca="false">IF(ISBLANK($C343),"",IF($BR343&lt;&gt;Constants!$B$8,"",IF($BI343="-&gt;",$BK343,$BC343)))</f>
        <v/>
      </c>
      <c r="CN343" s="141" t="str">
        <f aca="false">IF(ISBLANK($C343),"",IF($BR343&lt;&gt;Constants!$B$8,"",IF($BI343="-&gt;",$BL343,$BD343)))</f>
        <v/>
      </c>
      <c r="CO343" s="141" t="str">
        <f aca="false">IF(ISBLANK($C343),"",IF($BR343&lt;&gt;Constants!$B$8,"",IF($BI343="-&gt;",$BM343+$BN343,$BE343+$BF343)+$BV343))</f>
        <v/>
      </c>
      <c r="CP343" s="141" t="str">
        <f aca="false">IF(ISBLANK($C343),"",IF($BR343&lt;&gt;Constants!$B$8,"",IF($BI343="-&gt;",$BO343,$BG343)+$BU343))</f>
        <v/>
      </c>
      <c r="CQ343" s="142" t="str">
        <f aca="false">IF(ISBLANK($C343),"",IF($BR343&lt;&gt;Constants!$B$8,$BR343,$BW343))</f>
        <v/>
      </c>
      <c r="CR343" s="143" t="str">
        <f aca="false">IF(ISBLANK($C343),"",$BS343)</f>
        <v/>
      </c>
      <c r="CS343" s="144" t="str">
        <f aca="false">IF(ISBLANK($C343),"",$CH343)</f>
        <v/>
      </c>
      <c r="CT343" s="144" t="str">
        <f aca="false">IF(ISBLANK($C343),"",$CG343)</f>
        <v/>
      </c>
      <c r="CU343" s="145" t="str">
        <f aca="false">IF(ISBLANK($C343),"",IFERROR(_xlfn.SWITCH($CT343,Constants!$B$11,COUNTA($C$9:$C$508)+2,Constants!$B$10,COUNTA($C$9:$C$508)+1,Constants!$B$9,COUNTA($C$9:$C$508)),$CT343))</f>
        <v/>
      </c>
      <c r="CV343" s="9"/>
      <c r="CW343" s="146" t="n">
        <f aca="false">IF(OR(ISNUMBER($CT343),$CT343=Constants!$B$11,$CT343=Constants!$B$9,$CT343=Constants!$B$10),1,0)</f>
        <v>0</v>
      </c>
      <c r="CX343" s="146" t="n">
        <v>335</v>
      </c>
      <c r="CY343" s="146" t="str">
        <f aca="false">IF(ISBLANK($C343),"",IF(ISNUMBER($CU343),$CU343+ROW($B343)/1000,""))</f>
        <v/>
      </c>
      <c r="CZ343" s="146" t="str">
        <f aca="false">IF(ISNUMBER($CY343),RANK($CY343,$CY$9:$CY$508,1),"")</f>
        <v/>
      </c>
      <c r="DA343" s="146" t="str">
        <f aca="false">IF(ISBLANK($C343),"",$B343)</f>
        <v/>
      </c>
      <c r="DB343" s="146" t="str">
        <f aca="false">IF(ISBLANK($C343),"",$C343)</f>
        <v/>
      </c>
      <c r="DC343" s="146" t="str">
        <f aca="false">IF(ISBLANK($C343),"",$D343)</f>
        <v/>
      </c>
      <c r="DD343" s="147" t="str">
        <f aca="false">$CR343</f>
        <v/>
      </c>
      <c r="DE343" s="148" t="str">
        <f aca="false">$CQ343</f>
        <v/>
      </c>
      <c r="DF343" s="146" t="str">
        <f aca="false">IF(ISBLANK($C343),"",$CT343)</f>
        <v/>
      </c>
      <c r="DG343" s="149" t="str">
        <f aca="false">IF($CX343&gt;$CW$8,"",VLOOKUP($CX343,$CZ$9:$DF$508,7,FALSE()))</f>
        <v/>
      </c>
      <c r="DH343" s="150" t="str">
        <f aca="false">IF($CX343&gt;$CW$8,"",VLOOKUP($CX343,$CZ$9:$DF$508,2,FALSE()))</f>
        <v/>
      </c>
      <c r="DI343" s="150" t="str">
        <f aca="false">IF($CX343&gt;$CW$8,"",VLOOKUP($CX343,$CZ$9:$DF$508,3,FALSE()))</f>
        <v/>
      </c>
      <c r="DJ343" s="150" t="str">
        <f aca="false">IF($CX343&gt;$CW$8,"",VLOOKUP($CX343,$CZ$9:$DF$508,4,FALSE()))</f>
        <v/>
      </c>
      <c r="DK343" s="150" t="str">
        <f aca="false">IF($CX343&gt;$CW$8,"",VLOOKUP($CX343,$CZ$9:$DF$508,5,FALSE()))</f>
        <v/>
      </c>
      <c r="DL343" s="151" t="str">
        <f aca="false">IF($CX343&gt;$CW$8,"",VLOOKUP($CX343,$CZ$9:$DF$508,6,FALSE()))</f>
        <v/>
      </c>
      <c r="DM343" s="75"/>
    </row>
    <row r="344" customFormat="false" ht="15.75" hidden="false" customHeight="false" outlineLevel="0" collapsed="false">
      <c r="A344" s="9"/>
      <c r="B344" s="157"/>
      <c r="C344" s="158"/>
      <c r="D344" s="159"/>
      <c r="E344" s="177"/>
      <c r="F344" s="161"/>
      <c r="G344" s="162"/>
      <c r="H344" s="162"/>
      <c r="I344" s="178"/>
      <c r="J344" s="165"/>
      <c r="K344" s="126"/>
      <c r="L344" s="127"/>
      <c r="M344" s="128"/>
      <c r="N344" s="165"/>
      <c r="O344" s="165"/>
      <c r="P344" s="177"/>
      <c r="Q344" s="165"/>
      <c r="R344" s="165"/>
      <c r="S344" s="126"/>
      <c r="T344" s="128"/>
      <c r="U344" s="128"/>
      <c r="V344" s="165"/>
      <c r="W344" s="165"/>
      <c r="X344" s="177"/>
      <c r="Y344" s="165"/>
      <c r="Z344" s="166"/>
      <c r="AA344" s="165"/>
      <c r="AB344" s="132"/>
      <c r="AC344" s="133"/>
      <c r="AD344" s="133"/>
      <c r="AE344" s="133"/>
      <c r="AF344" s="133" t="str">
        <f aca="false">IF(ISBLANK($C344),"",IF(E344=Constants!$B$3,TRUE(),IF(E344=Constants!$B$4,FALSE(),TRUE())))</f>
        <v/>
      </c>
      <c r="AG344" s="133" t="str">
        <f aca="false">IF(ISBLANK($C344),"",IF(F344=Constants!$B$3,TRUE(),IF(F344=Constants!$B$4,FALSE(),TRUE())))</f>
        <v/>
      </c>
      <c r="AH344" s="133" t="str">
        <f aca="false">IF(ISBLANK($C344),"",IF(G344=Constants!$B$3,TRUE(),IF(G344=Constants!$B$4,FALSE(),TRUE())))</f>
        <v/>
      </c>
      <c r="AI344" s="133" t="str">
        <f aca="false">IF(ISBLANK($C344),"",IF(AND(ISNUMBER(H344),H344&gt;=0),H344,Constants!$B$29))</f>
        <v/>
      </c>
      <c r="AJ344" s="133" t="str">
        <f aca="false">IF(ISBLANK($C344),"",IF(I344=Constants!$B$3,TRUE(),IF(I344=Constants!$B$4,FALSE(),TRUE())))</f>
        <v/>
      </c>
      <c r="AK344" s="133" t="str">
        <f aca="false">IF(ISBLANK($C344),"",IF(J344=Constants!$B$3,TRUE(),IF(J344=Constants!$B$4,FALSE(),TRUE())))</f>
        <v/>
      </c>
      <c r="AL344" s="133" t="str">
        <f aca="false">IF(ISBLANK($C344),"",IF(K344=Constants!$B$5,TRUE(),IF(K344=Constants!$B$6,FALSE(),COUNTA(L344:P344)&gt;0)))</f>
        <v/>
      </c>
      <c r="AM344" s="134" t="str">
        <f aca="false">IF(ISBLANK($C344),"",IF(ISNUMBER(L344),IF(L344&gt;=0,L344,""),""))</f>
        <v/>
      </c>
      <c r="AN344" s="135" t="str">
        <f aca="false">IF(ISBLANK($C344),"",IF(ISNUMBER(M344),IF(M344&gt;=0,M344,""),""))</f>
        <v/>
      </c>
      <c r="AO344" s="135" t="str">
        <f aca="false">IF(ISBLANK($C344),"",IF(N344=Constants!$B$3,TRUE(),IF(N344=Constants!$B$4,FALSE(),TRUE())))</f>
        <v/>
      </c>
      <c r="AP344" s="133" t="str">
        <f aca="false">IF(ISBLANK($C344),"",IF(ISNUMBER(O344),IF(O344&gt;=0,O344,""),""))</f>
        <v/>
      </c>
      <c r="AQ344" s="133" t="str">
        <f aca="false">IF(ISBLANK($C344),"",IF(P344=Constants!$B$3,TRUE(),IF(P344=Constants!$B$4,FALSE(),FALSE())))</f>
        <v/>
      </c>
      <c r="AR344" s="133" t="str">
        <f aca="false">IF(ISBLANK($C344),"",IF(Q344=Constants!$B$3,TRUE(),IF(Q344=Constants!$B$4,FALSE(),TRUE())))</f>
        <v/>
      </c>
      <c r="AS344" s="133" t="str">
        <f aca="false">IF(ISBLANK($C344),"",IF(R344=Constants!$B$3,TRUE(),IF(R344=Constants!$B$4,FALSE(),TRUE())))</f>
        <v/>
      </c>
      <c r="AT344" s="133" t="str">
        <f aca="false">IF(ISBLANK($C344),"",IF(S344=Constants!$B$5,TRUE(),IF(S344=Constants!$B$6,FALSE(),COUNTA(T344:X344)&gt;0)))</f>
        <v/>
      </c>
      <c r="AU344" s="134" t="str">
        <f aca="false">IF(ISBLANK($C344),"",IF(ISNUMBER(T344),IF(T344&gt;=0,T344,""),""))</f>
        <v/>
      </c>
      <c r="AV344" s="135" t="str">
        <f aca="false">IF(ISBLANK($C344),"",IF(ISNUMBER(U344),IF(U344&gt;=0,U344,""),""))</f>
        <v/>
      </c>
      <c r="AW344" s="135" t="str">
        <f aca="false">IF(ISBLANK($C344),"",IF(V344=Constants!$B$3,TRUE(),IF(V344=Constants!$B$4,FALSE(),TRUE())))</f>
        <v/>
      </c>
      <c r="AX344" s="133" t="str">
        <f aca="false">IF(ISBLANK($C344),"",IF(ISNUMBER(W344),IF(W344&gt;=0,W344,""),""))</f>
        <v/>
      </c>
      <c r="AY344" s="133" t="str">
        <f aca="false">IF(ISBLANK($C344),"",IF(X344=Constants!$B$3,TRUE(),IF(X344=Constants!$B$4,FALSE(),FALSE())))</f>
        <v/>
      </c>
      <c r="AZ344" s="133" t="str">
        <f aca="false">IF(ISBLANK($C344),"",MIN(Constants!$B$31,MAX(0,IF(ISNUMBER(Y344),Y344*60,0)+IF(ISNUMBER(Z344),Z344,0))))</f>
        <v/>
      </c>
      <c r="BA344" s="133" t="str">
        <f aca="false">IF(ISBLANK($C344),"",IF(AA344=Constants!$B$3,TRUE(),IF(AA344=Constants!$B$4,FALSE(),FALSE())))</f>
        <v/>
      </c>
      <c r="BB344" s="132" t="str">
        <f aca="false">IF(ISBLANK($C344),"",AND($AL344,OR($AM344="",$AN344="",AND($AO344,$AP344=""))))</f>
        <v/>
      </c>
      <c r="BC344" s="135" t="str">
        <f aca="false">IF($BR344&lt;&gt;Constants!$B$8,"",IF($AL344,Constants!$B$21*$AN344+Constants!$B$22*IF($AO344,$AP344,Constants!$B$23),Constants!$B$24))</f>
        <v/>
      </c>
      <c r="BD344" s="136" t="str">
        <f aca="false">IF($BR344&lt;&gt;Constants!$B$8,"",Constants!$B$25*ABS($AD$9-IF($AL344,$AM344,0)))</f>
        <v/>
      </c>
      <c r="BE344" s="136" t="str">
        <f aca="false">IF($BR344&lt;&gt;Constants!$B$8,"",IF(AND($AL344,$AQ344,$AO344),Constants!$B$27,0))</f>
        <v/>
      </c>
      <c r="BF344" s="136" t="str">
        <f aca="false">IF($BR344&lt;&gt;Constants!$B$8,"",IF($AL344,($AI344-Constants!$B$29)*Constants!$B$28,0))</f>
        <v/>
      </c>
      <c r="BG344" s="136" t="str">
        <f aca="false">IF($BR344&lt;&gt;Constants!$B$8,"",IF($AK344,0,Constants!$B$15)+IF($AJ344,0,Constants!$B$16)+IF($AH344,0,Constants!$B$17))</f>
        <v/>
      </c>
      <c r="BH344" s="137" t="str">
        <f aca="false">IF($BR344&lt;&gt;Constants!$B$8,"",Constants!$B$20+SUM($BC344:$BG344))</f>
        <v/>
      </c>
      <c r="BI344" s="133" t="str">
        <f aca="false">IF($BR344&lt;&gt;Constants!$B$8,"",IF(OR($BP344&lt;$BH344,AND($BP344=$BH344,OR($BK344&lt;$BC344,AND($BK344=$BC344,OR($BL344&lt;$BD344,AND($BL344=$BD344,$AT344,$AL344,$AV344&lt;$AN344)))))),"-&gt;","&lt;-"))</f>
        <v/>
      </c>
      <c r="BJ344" s="132" t="str">
        <f aca="false">IF(ISBLANK($C344),"",AND($AT344,OR($AU344="",$AV344="",AND($AW344,$AX344=""))))</f>
        <v/>
      </c>
      <c r="BK344" s="135" t="str">
        <f aca="false">IF($BR344&lt;&gt;Constants!$B$8,"",IF($AT344,Constants!$B$21*$AV344+Constants!$B$22*IF($AW344,$AX344,Constants!$B$23),Constants!$B$24))</f>
        <v/>
      </c>
      <c r="BL344" s="136" t="str">
        <f aca="false">IF($BR344&lt;&gt;Constants!$B$8,"",Constants!$B$25*ABS($AD$9-IF($AT344,$AU344,0)))</f>
        <v/>
      </c>
      <c r="BM344" s="136" t="str">
        <f aca="false">IF($BR344&lt;&gt;Constants!$B$8,"",IF(AND($AT344,$AY344,$AW344),Constants!$B$27,0))</f>
        <v/>
      </c>
      <c r="BN344" s="136" t="str">
        <f aca="false">IF($BR344&lt;&gt;Constants!$B$8,"",IF($AT344,($AI344-Constants!$B$29)*Constants!$B$28,0))</f>
        <v/>
      </c>
      <c r="BO344" s="136" t="str">
        <f aca="false">IF($BR344&lt;&gt;Constants!$B$8,"",IF($AS344,0,Constants!$B$15)+IF($AR344,0,Constants!$B$16)+IF($AH344,0,Constants!$B$17))</f>
        <v/>
      </c>
      <c r="BP344" s="137" t="str">
        <f aca="false">IF($BR344&lt;&gt;Constants!$B$8,"",Constants!$B$20+SUM($BK344:$BO344))</f>
        <v/>
      </c>
      <c r="BQ344" s="133" t="str">
        <f aca="false">IF(ISBLANK($C344),"",IF(ISBLANK($D$7),$BQ$5,IF(NOT(ISNUMBER($D$7)),$BQ$6,"")))</f>
        <v/>
      </c>
      <c r="BR344" s="133" t="str">
        <f aca="false">IF(ISBLANK($C344),"",IF($BA344,Constants!$B$11,IF(COUNTA($E344:$AA344)=0,Constants!$B$10,IF(NOT($AG344),Constants!$B$9,IF(OR($BQ344&lt;&gt;"",$BB344,$BJ344),Constants!$B$12,Constants!$B$8)))))</f>
        <v/>
      </c>
      <c r="BS344" s="133" t="str">
        <f aca="false">IF(ISBLANK($C344),"",IF($BR344&lt;&gt;Constants!$B$8,$BR344,Constants!$B$13))</f>
        <v/>
      </c>
      <c r="BT344" s="136" t="str">
        <f aca="false">IF($BR344&lt;&gt;Constants!$B$8,"",IF($BI344="-&gt;",$BP344,$BH344))</f>
        <v/>
      </c>
      <c r="BU344" s="136" t="str">
        <f aca="false">IF($BR344&lt;&gt;Constants!$B$8,"",IF($AF344,0,Constants!$B$18))</f>
        <v/>
      </c>
      <c r="BV344" s="136" t="str">
        <f aca="false">IF($BR344&lt;&gt;Constants!$B$8,"",((Constants!$B$31-$AZ344)-Constants!$B$31)/Constants!$B$32)</f>
        <v/>
      </c>
      <c r="BW344" s="136" t="str">
        <f aca="false">IF(ISBLANK($C344),"",IF($BR344&lt;&gt;Constants!$B$8,$BR344,SUM($BT344:$BV344)))</f>
        <v/>
      </c>
      <c r="BX344" s="133" t="str">
        <f aca="false">IF(ISBLANK($C344),"",IF($BR344&lt;&gt;Constants!$B$8,$BR344,RANK($BW344,$BW$9:$BW$508,1)))</f>
        <v/>
      </c>
      <c r="BY344" s="136" t="str">
        <f aca="false">IF($BR344&lt;&gt;Constants!$B$8,"",IF($BI344="-&gt;",$BK344,$BC344))</f>
        <v/>
      </c>
      <c r="BZ344" s="133" t="str">
        <f aca="false">IF(ISBLANK($C344),"",IF($BR344&lt;&gt;Constants!$B$8,$BR344,IF(ISNUMBER($BY344),RANK($BY344,$BY$9:$BY$508,1),COUNT($BY$9:$BY$508)+1)))</f>
        <v/>
      </c>
      <c r="CA344" s="136" t="str">
        <f aca="false">IF($BR344&lt;&gt;Constants!$B$8,"",IF($BI344="-&gt;",$BL344,$BD344))</f>
        <v/>
      </c>
      <c r="CB344" s="133" t="str">
        <f aca="false">IF(ISBLANK($C344),"",IF($BR344&lt;&gt;Constants!$B$8,$BR344,IF(ISNUMBER($CA344),RANK($CA344,$CA$9:$CA$508,1),COUNT($CA$9:$CA$508)+1)))</f>
        <v/>
      </c>
      <c r="CC344" s="136" t="str">
        <f aca="false">IF($BR344&lt;&gt;Constants!$B$8,"",IF($BI344="-&gt;",IF($AT344,$AV344,""),IF($AL344,$AN344,"")))</f>
        <v/>
      </c>
      <c r="CD344" s="133" t="str">
        <f aca="false">IF(ISBLANK($C344),"",IF($BR344&lt;&gt;Constants!$B$8,$BR344,IF(ISNUMBER($CC344),RANK($CC344,$CC$9:$CC$508,1),COUNT($CC$9:$CC$508)+1)))</f>
        <v/>
      </c>
      <c r="CE344" s="136" t="str">
        <f aca="false">IF($BR344&lt;&gt;Constants!$B$8,"",IF(AND(NOT($AL344),NOT($AT344),$AJ344,$AK344,$AR344,$AS344),"",$AI344))</f>
        <v/>
      </c>
      <c r="CF344" s="133" t="str">
        <f aca="false">IF(ISBLANK($C344),"",IF($BR344&lt;&gt;Constants!$B$8,$BR344,IF(ISNUMBER($CE344),RANK($CE344,$CE$9:$CE$508,1),COUNT($CE$9:$CE$508)+1)))</f>
        <v/>
      </c>
      <c r="CG344" s="133" t="str">
        <f aca="false">IF(ISBLANK($C344),"",IF($BR344&lt;&gt;Constants!$B$8,$BR344,COUNTIFS($BX$9:$BX$508,"&lt;"&amp;$BX344)+COUNTIFS($BX$9:$BX$508,$BX344,$BZ$9:$BZ$508,"&lt;"&amp;$BZ344)+COUNTIFS($BX$9:$BX$508,$BX344,$BZ$9:$BZ$508,$BZ344,$CB$9:$CB$508,"&lt;"&amp;$CB344)+COUNTIFS($BX$9:$BX$508,$BX344,$BZ$9:$BZ$508,$BZ344,$CB$9:$CB$508,$CB344,$CD$9:$CD$508,"&lt;"&amp;$CD344)+COUNTIFS($BX$9:$BX$508,$BX344,$BZ$9:$BZ$508,$BZ344,$CB$9:$CB$508,$CB344,$CD$9:$CD$508,$CD344,$CF$9:$CF$508,"&lt;"&amp;$CF344)+1))</f>
        <v/>
      </c>
      <c r="CH344" s="133" t="str">
        <f aca="false">IF(ISBLANK($C344),"",IF($BR344&lt;&gt;Constants!$B$8,$BR344,$BX344-$CG344))</f>
        <v/>
      </c>
      <c r="CI344" s="138"/>
      <c r="CJ344" s="139"/>
      <c r="CK344" s="140" t="str">
        <f aca="false">IF(ISBLANK($C344),"",IF($BR344=Constants!$B$12,$BQ344,""))</f>
        <v/>
      </c>
      <c r="CL344" s="139" t="str">
        <f aca="false">IF(ISBLANK($C344),"",IF($BR344&lt;&gt;Constants!$B$8,"",IF($BI344="-&gt;",2,1)))</f>
        <v/>
      </c>
      <c r="CM344" s="141" t="str">
        <f aca="false">IF(ISBLANK($C344),"",IF($BR344&lt;&gt;Constants!$B$8,"",IF($BI344="-&gt;",$BK344,$BC344)))</f>
        <v/>
      </c>
      <c r="CN344" s="141" t="str">
        <f aca="false">IF(ISBLANK($C344),"",IF($BR344&lt;&gt;Constants!$B$8,"",IF($BI344="-&gt;",$BL344,$BD344)))</f>
        <v/>
      </c>
      <c r="CO344" s="141" t="str">
        <f aca="false">IF(ISBLANK($C344),"",IF($BR344&lt;&gt;Constants!$B$8,"",IF($BI344="-&gt;",$BM344+$BN344,$BE344+$BF344)+$BV344))</f>
        <v/>
      </c>
      <c r="CP344" s="141" t="str">
        <f aca="false">IF(ISBLANK($C344),"",IF($BR344&lt;&gt;Constants!$B$8,"",IF($BI344="-&gt;",$BO344,$BG344)+$BU344))</f>
        <v/>
      </c>
      <c r="CQ344" s="142" t="str">
        <f aca="false">IF(ISBLANK($C344),"",IF($BR344&lt;&gt;Constants!$B$8,$BR344,$BW344))</f>
        <v/>
      </c>
      <c r="CR344" s="143" t="str">
        <f aca="false">IF(ISBLANK($C344),"",$BS344)</f>
        <v/>
      </c>
      <c r="CS344" s="144" t="str">
        <f aca="false">IF(ISBLANK($C344),"",$CH344)</f>
        <v/>
      </c>
      <c r="CT344" s="144" t="str">
        <f aca="false">IF(ISBLANK($C344),"",$CG344)</f>
        <v/>
      </c>
      <c r="CU344" s="145" t="str">
        <f aca="false">IF(ISBLANK($C344),"",IFERROR(_xlfn.SWITCH($CT344,Constants!$B$11,COUNTA($C$9:$C$508)+2,Constants!$B$10,COUNTA($C$9:$C$508)+1,Constants!$B$9,COUNTA($C$9:$C$508)),$CT344))</f>
        <v/>
      </c>
      <c r="CV344" s="9"/>
      <c r="CW344" s="146" t="n">
        <f aca="false">IF(OR(ISNUMBER($CT344),$CT344=Constants!$B$11,$CT344=Constants!$B$9,$CT344=Constants!$B$10),1,0)</f>
        <v>0</v>
      </c>
      <c r="CX344" s="146" t="n">
        <v>336</v>
      </c>
      <c r="CY344" s="146" t="str">
        <f aca="false">IF(ISBLANK($C344),"",IF(ISNUMBER($CU344),$CU344+ROW($B344)/1000,""))</f>
        <v/>
      </c>
      <c r="CZ344" s="146" t="str">
        <f aca="false">IF(ISNUMBER($CY344),RANK($CY344,$CY$9:$CY$508,1),"")</f>
        <v/>
      </c>
      <c r="DA344" s="146" t="str">
        <f aca="false">IF(ISBLANK($C344),"",$B344)</f>
        <v/>
      </c>
      <c r="DB344" s="146" t="str">
        <f aca="false">IF(ISBLANK($C344),"",$C344)</f>
        <v/>
      </c>
      <c r="DC344" s="146" t="str">
        <f aca="false">IF(ISBLANK($C344),"",$D344)</f>
        <v/>
      </c>
      <c r="DD344" s="147" t="str">
        <f aca="false">$CR344</f>
        <v/>
      </c>
      <c r="DE344" s="148" t="str">
        <f aca="false">$CQ344</f>
        <v/>
      </c>
      <c r="DF344" s="146" t="str">
        <f aca="false">IF(ISBLANK($C344),"",$CT344)</f>
        <v/>
      </c>
      <c r="DG344" s="149" t="str">
        <f aca="false">IF($CX344&gt;$CW$8,"",VLOOKUP($CX344,$CZ$9:$DF$508,7,FALSE()))</f>
        <v/>
      </c>
      <c r="DH344" s="150" t="str">
        <f aca="false">IF($CX344&gt;$CW$8,"",VLOOKUP($CX344,$CZ$9:$DF$508,2,FALSE()))</f>
        <v/>
      </c>
      <c r="DI344" s="150" t="str">
        <f aca="false">IF($CX344&gt;$CW$8,"",VLOOKUP($CX344,$CZ$9:$DF$508,3,FALSE()))</f>
        <v/>
      </c>
      <c r="DJ344" s="150" t="str">
        <f aca="false">IF($CX344&gt;$CW$8,"",VLOOKUP($CX344,$CZ$9:$DF$508,4,FALSE()))</f>
        <v/>
      </c>
      <c r="DK344" s="150" t="str">
        <f aca="false">IF($CX344&gt;$CW$8,"",VLOOKUP($CX344,$CZ$9:$DF$508,5,FALSE()))</f>
        <v/>
      </c>
      <c r="DL344" s="151" t="str">
        <f aca="false">IF($CX344&gt;$CW$8,"",VLOOKUP($CX344,$CZ$9:$DF$508,6,FALSE()))</f>
        <v/>
      </c>
      <c r="DM344" s="75"/>
    </row>
    <row r="345" customFormat="false" ht="15.75" hidden="false" customHeight="false" outlineLevel="0" collapsed="false">
      <c r="A345" s="9"/>
      <c r="B345" s="77"/>
      <c r="C345" s="78"/>
      <c r="D345" s="167"/>
      <c r="E345" s="175"/>
      <c r="F345" s="169"/>
      <c r="G345" s="170"/>
      <c r="H345" s="170"/>
      <c r="I345" s="176"/>
      <c r="J345" s="173"/>
      <c r="K345" s="85"/>
      <c r="L345" s="86"/>
      <c r="M345" s="87"/>
      <c r="N345" s="173"/>
      <c r="O345" s="173"/>
      <c r="P345" s="175"/>
      <c r="Q345" s="173"/>
      <c r="R345" s="173"/>
      <c r="S345" s="85"/>
      <c r="T345" s="87"/>
      <c r="U345" s="87"/>
      <c r="V345" s="173"/>
      <c r="W345" s="173"/>
      <c r="X345" s="175"/>
      <c r="Y345" s="173"/>
      <c r="Z345" s="174"/>
      <c r="AA345" s="173"/>
      <c r="AB345" s="91"/>
      <c r="AC345" s="92"/>
      <c r="AD345" s="92"/>
      <c r="AE345" s="92"/>
      <c r="AF345" s="92" t="str">
        <f aca="false">IF(ISBLANK($C345),"",IF(E345=Constants!$B$3,TRUE(),IF(E345=Constants!$B$4,FALSE(),TRUE())))</f>
        <v/>
      </c>
      <c r="AG345" s="92" t="str">
        <f aca="false">IF(ISBLANK($C345),"",IF(F345=Constants!$B$3,TRUE(),IF(F345=Constants!$B$4,FALSE(),TRUE())))</f>
        <v/>
      </c>
      <c r="AH345" s="92" t="str">
        <f aca="false">IF(ISBLANK($C345),"",IF(G345=Constants!$B$3,TRUE(),IF(G345=Constants!$B$4,FALSE(),TRUE())))</f>
        <v/>
      </c>
      <c r="AI345" s="92" t="str">
        <f aca="false">IF(ISBLANK($C345),"",IF(AND(ISNUMBER(H345),H345&gt;=0),H345,Constants!$B$29))</f>
        <v/>
      </c>
      <c r="AJ345" s="92" t="str">
        <f aca="false">IF(ISBLANK($C345),"",IF(I345=Constants!$B$3,TRUE(),IF(I345=Constants!$B$4,FALSE(),TRUE())))</f>
        <v/>
      </c>
      <c r="AK345" s="92" t="str">
        <f aca="false">IF(ISBLANK($C345),"",IF(J345=Constants!$B$3,TRUE(),IF(J345=Constants!$B$4,FALSE(),TRUE())))</f>
        <v/>
      </c>
      <c r="AL345" s="92" t="str">
        <f aca="false">IF(ISBLANK($C345),"",IF(K345=Constants!$B$5,TRUE(),IF(K345=Constants!$B$6,FALSE(),COUNTA(L345:P345)&gt;0)))</f>
        <v/>
      </c>
      <c r="AM345" s="94" t="str">
        <f aca="false">IF(ISBLANK($C345),"",IF(ISNUMBER(L345),IF(L345&gt;=0,L345,""),""))</f>
        <v/>
      </c>
      <c r="AN345" s="93" t="str">
        <f aca="false">IF(ISBLANK($C345),"",IF(ISNUMBER(M345),IF(M345&gt;=0,M345,""),""))</f>
        <v/>
      </c>
      <c r="AO345" s="93" t="str">
        <f aca="false">IF(ISBLANK($C345),"",IF(N345=Constants!$B$3,TRUE(),IF(N345=Constants!$B$4,FALSE(),TRUE())))</f>
        <v/>
      </c>
      <c r="AP345" s="92" t="str">
        <f aca="false">IF(ISBLANK($C345),"",IF(ISNUMBER(O345),IF(O345&gt;=0,O345,""),""))</f>
        <v/>
      </c>
      <c r="AQ345" s="92" t="str">
        <f aca="false">IF(ISBLANK($C345),"",IF(P345=Constants!$B$3,TRUE(),IF(P345=Constants!$B$4,FALSE(),FALSE())))</f>
        <v/>
      </c>
      <c r="AR345" s="92" t="str">
        <f aca="false">IF(ISBLANK($C345),"",IF(Q345=Constants!$B$3,TRUE(),IF(Q345=Constants!$B$4,FALSE(),TRUE())))</f>
        <v/>
      </c>
      <c r="AS345" s="92" t="str">
        <f aca="false">IF(ISBLANK($C345),"",IF(R345=Constants!$B$3,TRUE(),IF(R345=Constants!$B$4,FALSE(),TRUE())))</f>
        <v/>
      </c>
      <c r="AT345" s="92" t="str">
        <f aca="false">IF(ISBLANK($C345),"",IF(S345=Constants!$B$5,TRUE(),IF(S345=Constants!$B$6,FALSE(),COUNTA(T345:X345)&gt;0)))</f>
        <v/>
      </c>
      <c r="AU345" s="94" t="str">
        <f aca="false">IF(ISBLANK($C345),"",IF(ISNUMBER(T345),IF(T345&gt;=0,T345,""),""))</f>
        <v/>
      </c>
      <c r="AV345" s="93" t="str">
        <f aca="false">IF(ISBLANK($C345),"",IF(ISNUMBER(U345),IF(U345&gt;=0,U345,""),""))</f>
        <v/>
      </c>
      <c r="AW345" s="93" t="str">
        <f aca="false">IF(ISBLANK($C345),"",IF(V345=Constants!$B$3,TRUE(),IF(V345=Constants!$B$4,FALSE(),TRUE())))</f>
        <v/>
      </c>
      <c r="AX345" s="92" t="str">
        <f aca="false">IF(ISBLANK($C345),"",IF(ISNUMBER(W345),IF(W345&gt;=0,W345,""),""))</f>
        <v/>
      </c>
      <c r="AY345" s="92" t="str">
        <f aca="false">IF(ISBLANK($C345),"",IF(X345=Constants!$B$3,TRUE(),IF(X345=Constants!$B$4,FALSE(),FALSE())))</f>
        <v/>
      </c>
      <c r="AZ345" s="92" t="str">
        <f aca="false">IF(ISBLANK($C345),"",MIN(Constants!$B$31,MAX(0,IF(ISNUMBER(Y345),Y345*60,0)+IF(ISNUMBER(Z345),Z345,0))))</f>
        <v/>
      </c>
      <c r="BA345" s="92" t="str">
        <f aca="false">IF(ISBLANK($C345),"",IF(AA345=Constants!$B$3,TRUE(),IF(AA345=Constants!$B$4,FALSE(),FALSE())))</f>
        <v/>
      </c>
      <c r="BB345" s="91" t="str">
        <f aca="false">IF(ISBLANK($C345),"",AND($AL345,OR($AM345="",$AN345="",AND($AO345,$AP345=""))))</f>
        <v/>
      </c>
      <c r="BC345" s="93" t="str">
        <f aca="false">IF($BR345&lt;&gt;Constants!$B$8,"",IF($AL345,Constants!$B$21*$AN345+Constants!$B$22*IF($AO345,$AP345,Constants!$B$23),Constants!$B$24))</f>
        <v/>
      </c>
      <c r="BD345" s="96" t="str">
        <f aca="false">IF($BR345&lt;&gt;Constants!$B$8,"",Constants!$B$25*ABS($AD$9-IF($AL345,$AM345,0)))</f>
        <v/>
      </c>
      <c r="BE345" s="96" t="str">
        <f aca="false">IF($BR345&lt;&gt;Constants!$B$8,"",IF(AND($AL345,$AQ345,$AO345),Constants!$B$27,0))</f>
        <v/>
      </c>
      <c r="BF345" s="96" t="str">
        <f aca="false">IF($BR345&lt;&gt;Constants!$B$8,"",IF($AL345,($AI345-Constants!$B$29)*Constants!$B$28,0))</f>
        <v/>
      </c>
      <c r="BG345" s="96" t="str">
        <f aca="false">IF($BR345&lt;&gt;Constants!$B$8,"",IF($AK345,0,Constants!$B$15)+IF($AJ345,0,Constants!$B$16)+IF($AH345,0,Constants!$B$17))</f>
        <v/>
      </c>
      <c r="BH345" s="97" t="str">
        <f aca="false">IF($BR345&lt;&gt;Constants!$B$8,"",Constants!$B$20+SUM($BC345:$BG345))</f>
        <v/>
      </c>
      <c r="BI345" s="92" t="str">
        <f aca="false">IF($BR345&lt;&gt;Constants!$B$8,"",IF(OR($BP345&lt;$BH345,AND($BP345=$BH345,OR($BK345&lt;$BC345,AND($BK345=$BC345,OR($BL345&lt;$BD345,AND($BL345=$BD345,$AT345,$AL345,$AV345&lt;$AN345)))))),"-&gt;","&lt;-"))</f>
        <v/>
      </c>
      <c r="BJ345" s="91" t="str">
        <f aca="false">IF(ISBLANK($C345),"",AND($AT345,OR($AU345="",$AV345="",AND($AW345,$AX345=""))))</f>
        <v/>
      </c>
      <c r="BK345" s="93" t="str">
        <f aca="false">IF($BR345&lt;&gt;Constants!$B$8,"",IF($AT345,Constants!$B$21*$AV345+Constants!$B$22*IF($AW345,$AX345,Constants!$B$23),Constants!$B$24))</f>
        <v/>
      </c>
      <c r="BL345" s="96" t="str">
        <f aca="false">IF($BR345&lt;&gt;Constants!$B$8,"",Constants!$B$25*ABS($AD$9-IF($AT345,$AU345,0)))</f>
        <v/>
      </c>
      <c r="BM345" s="96" t="str">
        <f aca="false">IF($BR345&lt;&gt;Constants!$B$8,"",IF(AND($AT345,$AY345,$AW345),Constants!$B$27,0))</f>
        <v/>
      </c>
      <c r="BN345" s="96" t="str">
        <f aca="false">IF($BR345&lt;&gt;Constants!$B$8,"",IF($AT345,($AI345-Constants!$B$29)*Constants!$B$28,0))</f>
        <v/>
      </c>
      <c r="BO345" s="96" t="str">
        <f aca="false">IF($BR345&lt;&gt;Constants!$B$8,"",IF($AS345,0,Constants!$B$15)+IF($AR345,0,Constants!$B$16)+IF($AH345,0,Constants!$B$17))</f>
        <v/>
      </c>
      <c r="BP345" s="97" t="str">
        <f aca="false">IF($BR345&lt;&gt;Constants!$B$8,"",Constants!$B$20+SUM($BK345:$BO345))</f>
        <v/>
      </c>
      <c r="BQ345" s="92" t="str">
        <f aca="false">IF(ISBLANK($C345),"",IF(ISBLANK($D$7),$BQ$5,IF(NOT(ISNUMBER($D$7)),$BQ$6,"")))</f>
        <v/>
      </c>
      <c r="BR345" s="92" t="str">
        <f aca="false">IF(ISBLANK($C345),"",IF($BA345,Constants!$B$11,IF(COUNTA($E345:$AA345)=0,Constants!$B$10,IF(NOT($AG345),Constants!$B$9,IF(OR($BQ345&lt;&gt;"",$BB345,$BJ345),Constants!$B$12,Constants!$B$8)))))</f>
        <v/>
      </c>
      <c r="BS345" s="92" t="str">
        <f aca="false">IF(ISBLANK($C345),"",IF($BR345&lt;&gt;Constants!$B$8,$BR345,Constants!$B$13))</f>
        <v/>
      </c>
      <c r="BT345" s="96" t="str">
        <f aca="false">IF($BR345&lt;&gt;Constants!$B$8,"",IF($BI345="-&gt;",$BP345,$BH345))</f>
        <v/>
      </c>
      <c r="BU345" s="96" t="str">
        <f aca="false">IF($BR345&lt;&gt;Constants!$B$8,"",IF($AF345,0,Constants!$B$18))</f>
        <v/>
      </c>
      <c r="BV345" s="96" t="str">
        <f aca="false">IF($BR345&lt;&gt;Constants!$B$8,"",((Constants!$B$31-$AZ345)-Constants!$B$31)/Constants!$B$32)</f>
        <v/>
      </c>
      <c r="BW345" s="96" t="str">
        <f aca="false">IF(ISBLANK($C345),"",IF($BR345&lt;&gt;Constants!$B$8,$BR345,SUM($BT345:$BV345)))</f>
        <v/>
      </c>
      <c r="BX345" s="92" t="str">
        <f aca="false">IF(ISBLANK($C345),"",IF($BR345&lt;&gt;Constants!$B$8,$BR345,RANK($BW345,$BW$9:$BW$508,1)))</f>
        <v/>
      </c>
      <c r="BY345" s="96" t="str">
        <f aca="false">IF($BR345&lt;&gt;Constants!$B$8,"",IF($BI345="-&gt;",$BK345,$BC345))</f>
        <v/>
      </c>
      <c r="BZ345" s="92" t="str">
        <f aca="false">IF(ISBLANK($C345),"",IF($BR345&lt;&gt;Constants!$B$8,$BR345,IF(ISNUMBER($BY345),RANK($BY345,$BY$9:$BY$508,1),COUNT($BY$9:$BY$508)+1)))</f>
        <v/>
      </c>
      <c r="CA345" s="96" t="str">
        <f aca="false">IF($BR345&lt;&gt;Constants!$B$8,"",IF($BI345="-&gt;",$BL345,$BD345))</f>
        <v/>
      </c>
      <c r="CB345" s="92" t="str">
        <f aca="false">IF(ISBLANK($C345),"",IF($BR345&lt;&gt;Constants!$B$8,$BR345,IF(ISNUMBER($CA345),RANK($CA345,$CA$9:$CA$508,1),COUNT($CA$9:$CA$508)+1)))</f>
        <v/>
      </c>
      <c r="CC345" s="96" t="str">
        <f aca="false">IF($BR345&lt;&gt;Constants!$B$8,"",IF($BI345="-&gt;",IF($AT345,$AV345,""),IF($AL345,$AN345,"")))</f>
        <v/>
      </c>
      <c r="CD345" s="92" t="str">
        <f aca="false">IF(ISBLANK($C345),"",IF($BR345&lt;&gt;Constants!$B$8,$BR345,IF(ISNUMBER($CC345),RANK($CC345,$CC$9:$CC$508,1),COUNT($CC$9:$CC$508)+1)))</f>
        <v/>
      </c>
      <c r="CE345" s="96" t="str">
        <f aca="false">IF($BR345&lt;&gt;Constants!$B$8,"",IF(AND(NOT($AL345),NOT($AT345),$AJ345,$AK345,$AR345,$AS345),"",$AI345))</f>
        <v/>
      </c>
      <c r="CF345" s="92" t="str">
        <f aca="false">IF(ISBLANK($C345),"",IF($BR345&lt;&gt;Constants!$B$8,$BR345,IF(ISNUMBER($CE345),RANK($CE345,$CE$9:$CE$508,1),COUNT($CE$9:$CE$508)+1)))</f>
        <v/>
      </c>
      <c r="CG345" s="92" t="str">
        <f aca="false">IF(ISBLANK($C345),"",IF($BR345&lt;&gt;Constants!$B$8,$BR345,COUNTIFS($BX$9:$BX$508,"&lt;"&amp;$BX345)+COUNTIFS($BX$9:$BX$508,$BX345,$BZ$9:$BZ$508,"&lt;"&amp;$BZ345)+COUNTIFS($BX$9:$BX$508,$BX345,$BZ$9:$BZ$508,$BZ345,$CB$9:$CB$508,"&lt;"&amp;$CB345)+COUNTIFS($BX$9:$BX$508,$BX345,$BZ$9:$BZ$508,$BZ345,$CB$9:$CB$508,$CB345,$CD$9:$CD$508,"&lt;"&amp;$CD345)+COUNTIFS($BX$9:$BX$508,$BX345,$BZ$9:$BZ$508,$BZ345,$CB$9:$CB$508,$CB345,$CD$9:$CD$508,$CD345,$CF$9:$CF$508,"&lt;"&amp;$CF345)+1))</f>
        <v/>
      </c>
      <c r="CH345" s="92" t="str">
        <f aca="false">IF(ISBLANK($C345),"",IF($BR345&lt;&gt;Constants!$B$8,$BR345,$BX345-$CG345))</f>
        <v/>
      </c>
      <c r="CI345" s="98"/>
      <c r="CJ345" s="99"/>
      <c r="CK345" s="100" t="str">
        <f aca="false">IF(ISBLANK($C345),"",IF($BR345=Constants!$B$12,$BQ345,""))</f>
        <v/>
      </c>
      <c r="CL345" s="99" t="str">
        <f aca="false">IF(ISBLANK($C345),"",IF($BR345&lt;&gt;Constants!$B$8,"",IF($BI345="-&gt;",2,1)))</f>
        <v/>
      </c>
      <c r="CM345" s="101" t="str">
        <f aca="false">IF(ISBLANK($C345),"",IF($BR345&lt;&gt;Constants!$B$8,"",IF($BI345="-&gt;",$BK345,$BC345)))</f>
        <v/>
      </c>
      <c r="CN345" s="101" t="str">
        <f aca="false">IF(ISBLANK($C345),"",IF($BR345&lt;&gt;Constants!$B$8,"",IF($BI345="-&gt;",$BL345,$BD345)))</f>
        <v/>
      </c>
      <c r="CO345" s="101" t="str">
        <f aca="false">IF(ISBLANK($C345),"",IF($BR345&lt;&gt;Constants!$B$8,"",IF($BI345="-&gt;",$BM345+$BN345,$BE345+$BF345)+$BV345))</f>
        <v/>
      </c>
      <c r="CP345" s="101" t="str">
        <f aca="false">IF(ISBLANK($C345),"",IF($BR345&lt;&gt;Constants!$B$8,"",IF($BI345="-&gt;",$BO345,$BG345)+$BU345))</f>
        <v/>
      </c>
      <c r="CQ345" s="102" t="str">
        <f aca="false">IF(ISBLANK($C345),"",IF($BR345&lt;&gt;Constants!$B$8,$BR345,$BW345))</f>
        <v/>
      </c>
      <c r="CR345" s="103" t="str">
        <f aca="false">IF(ISBLANK($C345),"",$BS345)</f>
        <v/>
      </c>
      <c r="CS345" s="104" t="str">
        <f aca="false">IF(ISBLANK($C345),"",$CH345)</f>
        <v/>
      </c>
      <c r="CT345" s="104" t="str">
        <f aca="false">IF(ISBLANK($C345),"",$CG345)</f>
        <v/>
      </c>
      <c r="CU345" s="105" t="str">
        <f aca="false">IF(ISBLANK($C345),"",IFERROR(_xlfn.SWITCH($CT345,Constants!$B$11,COUNTA($C$9:$C$508)+2,Constants!$B$10,COUNTA($C$9:$C$508)+1,Constants!$B$9,COUNTA($C$9:$C$508)),$CT345))</f>
        <v/>
      </c>
      <c r="CV345" s="9"/>
      <c r="CW345" s="106" t="n">
        <f aca="false">IF(OR(ISNUMBER($CT345),$CT345=Constants!$B$11,$CT345=Constants!$B$9,$CT345=Constants!$B$10),1,0)</f>
        <v>0</v>
      </c>
      <c r="CX345" s="106" t="n">
        <v>337</v>
      </c>
      <c r="CY345" s="106" t="str">
        <f aca="false">IF(ISBLANK($C345),"",IF(ISNUMBER($CU345),$CU345+ROW($B345)/1000,""))</f>
        <v/>
      </c>
      <c r="CZ345" s="106" t="str">
        <f aca="false">IF(ISNUMBER($CY345),RANK($CY345,$CY$9:$CY$508,1),"")</f>
        <v/>
      </c>
      <c r="DA345" s="106" t="str">
        <f aca="false">IF(ISBLANK($C345),"",$B345)</f>
        <v/>
      </c>
      <c r="DB345" s="106" t="str">
        <f aca="false">IF(ISBLANK($C345),"",$C345)</f>
        <v/>
      </c>
      <c r="DC345" s="106" t="str">
        <f aca="false">IF(ISBLANK($C345),"",$D345)</f>
        <v/>
      </c>
      <c r="DD345" s="107" t="str">
        <f aca="false">$CR345</f>
        <v/>
      </c>
      <c r="DE345" s="108" t="str">
        <f aca="false">$CQ345</f>
        <v/>
      </c>
      <c r="DF345" s="106" t="str">
        <f aca="false">IF(ISBLANK($C345),"",$CT345)</f>
        <v/>
      </c>
      <c r="DG345" s="109" t="str">
        <f aca="false">IF($CX345&gt;$CW$8,"",VLOOKUP($CX345,$CZ$9:$DF$508,7,FALSE()))</f>
        <v/>
      </c>
      <c r="DH345" s="110" t="str">
        <f aca="false">IF($CX345&gt;$CW$8,"",VLOOKUP($CX345,$CZ$9:$DF$508,2,FALSE()))</f>
        <v/>
      </c>
      <c r="DI345" s="110" t="str">
        <f aca="false">IF($CX345&gt;$CW$8,"",VLOOKUP($CX345,$CZ$9:$DF$508,3,FALSE()))</f>
        <v/>
      </c>
      <c r="DJ345" s="110" t="str">
        <f aca="false">IF($CX345&gt;$CW$8,"",VLOOKUP($CX345,$CZ$9:$DF$508,4,FALSE()))</f>
        <v/>
      </c>
      <c r="DK345" s="110" t="str">
        <f aca="false">IF($CX345&gt;$CW$8,"",VLOOKUP($CX345,$CZ$9:$DF$508,5,FALSE()))</f>
        <v/>
      </c>
      <c r="DL345" s="111" t="str">
        <f aca="false">IF($CX345&gt;$CW$8,"",VLOOKUP($CX345,$CZ$9:$DF$508,6,FALSE()))</f>
        <v/>
      </c>
      <c r="DM345" s="75"/>
    </row>
    <row r="346" customFormat="false" ht="15.75" hidden="false" customHeight="false" outlineLevel="0" collapsed="false">
      <c r="A346" s="9"/>
      <c r="B346" s="77"/>
      <c r="C346" s="78"/>
      <c r="D346" s="167"/>
      <c r="E346" s="175"/>
      <c r="F346" s="169"/>
      <c r="G346" s="170"/>
      <c r="H346" s="170"/>
      <c r="I346" s="176"/>
      <c r="J346" s="173"/>
      <c r="K346" s="85"/>
      <c r="L346" s="86"/>
      <c r="M346" s="87"/>
      <c r="N346" s="173"/>
      <c r="O346" s="173"/>
      <c r="P346" s="175"/>
      <c r="Q346" s="173"/>
      <c r="R346" s="173"/>
      <c r="S346" s="85"/>
      <c r="T346" s="87"/>
      <c r="U346" s="87"/>
      <c r="V346" s="173"/>
      <c r="W346" s="173"/>
      <c r="X346" s="175"/>
      <c r="Y346" s="173"/>
      <c r="Z346" s="174"/>
      <c r="AA346" s="173"/>
      <c r="AB346" s="91"/>
      <c r="AC346" s="92"/>
      <c r="AD346" s="92"/>
      <c r="AE346" s="92"/>
      <c r="AF346" s="92" t="str">
        <f aca="false">IF(ISBLANK($C346),"",IF(E346=Constants!$B$3,TRUE(),IF(E346=Constants!$B$4,FALSE(),TRUE())))</f>
        <v/>
      </c>
      <c r="AG346" s="92" t="str">
        <f aca="false">IF(ISBLANK($C346),"",IF(F346=Constants!$B$3,TRUE(),IF(F346=Constants!$B$4,FALSE(),TRUE())))</f>
        <v/>
      </c>
      <c r="AH346" s="92" t="str">
        <f aca="false">IF(ISBLANK($C346),"",IF(G346=Constants!$B$3,TRUE(),IF(G346=Constants!$B$4,FALSE(),TRUE())))</f>
        <v/>
      </c>
      <c r="AI346" s="92" t="str">
        <f aca="false">IF(ISBLANK($C346),"",IF(AND(ISNUMBER(H346),H346&gt;=0),H346,Constants!$B$29))</f>
        <v/>
      </c>
      <c r="AJ346" s="92" t="str">
        <f aca="false">IF(ISBLANK($C346),"",IF(I346=Constants!$B$3,TRUE(),IF(I346=Constants!$B$4,FALSE(),TRUE())))</f>
        <v/>
      </c>
      <c r="AK346" s="92" t="str">
        <f aca="false">IF(ISBLANK($C346),"",IF(J346=Constants!$B$3,TRUE(),IF(J346=Constants!$B$4,FALSE(),TRUE())))</f>
        <v/>
      </c>
      <c r="AL346" s="92" t="str">
        <f aca="false">IF(ISBLANK($C346),"",IF(K346=Constants!$B$5,TRUE(),IF(K346=Constants!$B$6,FALSE(),COUNTA(L346:P346)&gt;0)))</f>
        <v/>
      </c>
      <c r="AM346" s="94" t="str">
        <f aca="false">IF(ISBLANK($C346),"",IF(ISNUMBER(L346),IF(L346&gt;=0,L346,""),""))</f>
        <v/>
      </c>
      <c r="AN346" s="93" t="str">
        <f aca="false">IF(ISBLANK($C346),"",IF(ISNUMBER(M346),IF(M346&gt;=0,M346,""),""))</f>
        <v/>
      </c>
      <c r="AO346" s="93" t="str">
        <f aca="false">IF(ISBLANK($C346),"",IF(N346=Constants!$B$3,TRUE(),IF(N346=Constants!$B$4,FALSE(),TRUE())))</f>
        <v/>
      </c>
      <c r="AP346" s="92" t="str">
        <f aca="false">IF(ISBLANK($C346),"",IF(ISNUMBER(O346),IF(O346&gt;=0,O346,""),""))</f>
        <v/>
      </c>
      <c r="AQ346" s="92" t="str">
        <f aca="false">IF(ISBLANK($C346),"",IF(P346=Constants!$B$3,TRUE(),IF(P346=Constants!$B$4,FALSE(),FALSE())))</f>
        <v/>
      </c>
      <c r="AR346" s="92" t="str">
        <f aca="false">IF(ISBLANK($C346),"",IF(Q346=Constants!$B$3,TRUE(),IF(Q346=Constants!$B$4,FALSE(),TRUE())))</f>
        <v/>
      </c>
      <c r="AS346" s="92" t="str">
        <f aca="false">IF(ISBLANK($C346),"",IF(R346=Constants!$B$3,TRUE(),IF(R346=Constants!$B$4,FALSE(),TRUE())))</f>
        <v/>
      </c>
      <c r="AT346" s="92" t="str">
        <f aca="false">IF(ISBLANK($C346),"",IF(S346=Constants!$B$5,TRUE(),IF(S346=Constants!$B$6,FALSE(),COUNTA(T346:X346)&gt;0)))</f>
        <v/>
      </c>
      <c r="AU346" s="94" t="str">
        <f aca="false">IF(ISBLANK($C346),"",IF(ISNUMBER(T346),IF(T346&gt;=0,T346,""),""))</f>
        <v/>
      </c>
      <c r="AV346" s="93" t="str">
        <f aca="false">IF(ISBLANK($C346),"",IF(ISNUMBER(U346),IF(U346&gt;=0,U346,""),""))</f>
        <v/>
      </c>
      <c r="AW346" s="93" t="str">
        <f aca="false">IF(ISBLANK($C346),"",IF(V346=Constants!$B$3,TRUE(),IF(V346=Constants!$B$4,FALSE(),TRUE())))</f>
        <v/>
      </c>
      <c r="AX346" s="92" t="str">
        <f aca="false">IF(ISBLANK($C346),"",IF(ISNUMBER(W346),IF(W346&gt;=0,W346,""),""))</f>
        <v/>
      </c>
      <c r="AY346" s="92" t="str">
        <f aca="false">IF(ISBLANK($C346),"",IF(X346=Constants!$B$3,TRUE(),IF(X346=Constants!$B$4,FALSE(),FALSE())))</f>
        <v/>
      </c>
      <c r="AZ346" s="92" t="str">
        <f aca="false">IF(ISBLANK($C346),"",MIN(Constants!$B$31,MAX(0,IF(ISNUMBER(Y346),Y346*60,0)+IF(ISNUMBER(Z346),Z346,0))))</f>
        <v/>
      </c>
      <c r="BA346" s="92" t="str">
        <f aca="false">IF(ISBLANK($C346),"",IF(AA346=Constants!$B$3,TRUE(),IF(AA346=Constants!$B$4,FALSE(),FALSE())))</f>
        <v/>
      </c>
      <c r="BB346" s="91" t="str">
        <f aca="false">IF(ISBLANK($C346),"",AND($AL346,OR($AM346="",$AN346="",AND($AO346,$AP346=""))))</f>
        <v/>
      </c>
      <c r="BC346" s="93" t="str">
        <f aca="false">IF($BR346&lt;&gt;Constants!$B$8,"",IF($AL346,Constants!$B$21*$AN346+Constants!$B$22*IF($AO346,$AP346,Constants!$B$23),Constants!$B$24))</f>
        <v/>
      </c>
      <c r="BD346" s="96" t="str">
        <f aca="false">IF($BR346&lt;&gt;Constants!$B$8,"",Constants!$B$25*ABS($AD$9-IF($AL346,$AM346,0)))</f>
        <v/>
      </c>
      <c r="BE346" s="96" t="str">
        <f aca="false">IF($BR346&lt;&gt;Constants!$B$8,"",IF(AND($AL346,$AQ346,$AO346),Constants!$B$27,0))</f>
        <v/>
      </c>
      <c r="BF346" s="96" t="str">
        <f aca="false">IF($BR346&lt;&gt;Constants!$B$8,"",IF($AL346,($AI346-Constants!$B$29)*Constants!$B$28,0))</f>
        <v/>
      </c>
      <c r="BG346" s="96" t="str">
        <f aca="false">IF($BR346&lt;&gt;Constants!$B$8,"",IF($AK346,0,Constants!$B$15)+IF($AJ346,0,Constants!$B$16)+IF($AH346,0,Constants!$B$17))</f>
        <v/>
      </c>
      <c r="BH346" s="97" t="str">
        <f aca="false">IF($BR346&lt;&gt;Constants!$B$8,"",Constants!$B$20+SUM($BC346:$BG346))</f>
        <v/>
      </c>
      <c r="BI346" s="92" t="str">
        <f aca="false">IF($BR346&lt;&gt;Constants!$B$8,"",IF(OR($BP346&lt;$BH346,AND($BP346=$BH346,OR($BK346&lt;$BC346,AND($BK346=$BC346,OR($BL346&lt;$BD346,AND($BL346=$BD346,$AT346,$AL346,$AV346&lt;$AN346)))))),"-&gt;","&lt;-"))</f>
        <v/>
      </c>
      <c r="BJ346" s="91" t="str">
        <f aca="false">IF(ISBLANK($C346),"",AND($AT346,OR($AU346="",$AV346="",AND($AW346,$AX346=""))))</f>
        <v/>
      </c>
      <c r="BK346" s="93" t="str">
        <f aca="false">IF($BR346&lt;&gt;Constants!$B$8,"",IF($AT346,Constants!$B$21*$AV346+Constants!$B$22*IF($AW346,$AX346,Constants!$B$23),Constants!$B$24))</f>
        <v/>
      </c>
      <c r="BL346" s="96" t="str">
        <f aca="false">IF($BR346&lt;&gt;Constants!$B$8,"",Constants!$B$25*ABS($AD$9-IF($AT346,$AU346,0)))</f>
        <v/>
      </c>
      <c r="BM346" s="96" t="str">
        <f aca="false">IF($BR346&lt;&gt;Constants!$B$8,"",IF(AND($AT346,$AY346,$AW346),Constants!$B$27,0))</f>
        <v/>
      </c>
      <c r="BN346" s="96" t="str">
        <f aca="false">IF($BR346&lt;&gt;Constants!$B$8,"",IF($AT346,($AI346-Constants!$B$29)*Constants!$B$28,0))</f>
        <v/>
      </c>
      <c r="BO346" s="96" t="str">
        <f aca="false">IF($BR346&lt;&gt;Constants!$B$8,"",IF($AS346,0,Constants!$B$15)+IF($AR346,0,Constants!$B$16)+IF($AH346,0,Constants!$B$17))</f>
        <v/>
      </c>
      <c r="BP346" s="97" t="str">
        <f aca="false">IF($BR346&lt;&gt;Constants!$B$8,"",Constants!$B$20+SUM($BK346:$BO346))</f>
        <v/>
      </c>
      <c r="BQ346" s="92" t="str">
        <f aca="false">IF(ISBLANK($C346),"",IF(ISBLANK($D$7),$BQ$5,IF(NOT(ISNUMBER($D$7)),$BQ$6,"")))</f>
        <v/>
      </c>
      <c r="BR346" s="92" t="str">
        <f aca="false">IF(ISBLANK($C346),"",IF($BA346,Constants!$B$11,IF(COUNTA($E346:$AA346)=0,Constants!$B$10,IF(NOT($AG346),Constants!$B$9,IF(OR($BQ346&lt;&gt;"",$BB346,$BJ346),Constants!$B$12,Constants!$B$8)))))</f>
        <v/>
      </c>
      <c r="BS346" s="92" t="str">
        <f aca="false">IF(ISBLANK($C346),"",IF($BR346&lt;&gt;Constants!$B$8,$BR346,Constants!$B$13))</f>
        <v/>
      </c>
      <c r="BT346" s="96" t="str">
        <f aca="false">IF($BR346&lt;&gt;Constants!$B$8,"",IF($BI346="-&gt;",$BP346,$BH346))</f>
        <v/>
      </c>
      <c r="BU346" s="96" t="str">
        <f aca="false">IF($BR346&lt;&gt;Constants!$B$8,"",IF($AF346,0,Constants!$B$18))</f>
        <v/>
      </c>
      <c r="BV346" s="96" t="str">
        <f aca="false">IF($BR346&lt;&gt;Constants!$B$8,"",((Constants!$B$31-$AZ346)-Constants!$B$31)/Constants!$B$32)</f>
        <v/>
      </c>
      <c r="BW346" s="96" t="str">
        <f aca="false">IF(ISBLANK($C346),"",IF($BR346&lt;&gt;Constants!$B$8,$BR346,SUM($BT346:$BV346)))</f>
        <v/>
      </c>
      <c r="BX346" s="92" t="str">
        <f aca="false">IF(ISBLANK($C346),"",IF($BR346&lt;&gt;Constants!$B$8,$BR346,RANK($BW346,$BW$9:$BW$508,1)))</f>
        <v/>
      </c>
      <c r="BY346" s="96" t="str">
        <f aca="false">IF($BR346&lt;&gt;Constants!$B$8,"",IF($BI346="-&gt;",$BK346,$BC346))</f>
        <v/>
      </c>
      <c r="BZ346" s="92" t="str">
        <f aca="false">IF(ISBLANK($C346),"",IF($BR346&lt;&gt;Constants!$B$8,$BR346,IF(ISNUMBER($BY346),RANK($BY346,$BY$9:$BY$508,1),COUNT($BY$9:$BY$508)+1)))</f>
        <v/>
      </c>
      <c r="CA346" s="96" t="str">
        <f aca="false">IF($BR346&lt;&gt;Constants!$B$8,"",IF($BI346="-&gt;",$BL346,$BD346))</f>
        <v/>
      </c>
      <c r="CB346" s="92" t="str">
        <f aca="false">IF(ISBLANK($C346),"",IF($BR346&lt;&gt;Constants!$B$8,$BR346,IF(ISNUMBER($CA346),RANK($CA346,$CA$9:$CA$508,1),COUNT($CA$9:$CA$508)+1)))</f>
        <v/>
      </c>
      <c r="CC346" s="96" t="str">
        <f aca="false">IF($BR346&lt;&gt;Constants!$B$8,"",IF($BI346="-&gt;",IF($AT346,$AV346,""),IF($AL346,$AN346,"")))</f>
        <v/>
      </c>
      <c r="CD346" s="92" t="str">
        <f aca="false">IF(ISBLANK($C346),"",IF($BR346&lt;&gt;Constants!$B$8,$BR346,IF(ISNUMBER($CC346),RANK($CC346,$CC$9:$CC$508,1),COUNT($CC$9:$CC$508)+1)))</f>
        <v/>
      </c>
      <c r="CE346" s="96" t="str">
        <f aca="false">IF($BR346&lt;&gt;Constants!$B$8,"",IF(AND(NOT($AL346),NOT($AT346),$AJ346,$AK346,$AR346,$AS346),"",$AI346))</f>
        <v/>
      </c>
      <c r="CF346" s="92" t="str">
        <f aca="false">IF(ISBLANK($C346),"",IF($BR346&lt;&gt;Constants!$B$8,$BR346,IF(ISNUMBER($CE346),RANK($CE346,$CE$9:$CE$508,1),COUNT($CE$9:$CE$508)+1)))</f>
        <v/>
      </c>
      <c r="CG346" s="92" t="str">
        <f aca="false">IF(ISBLANK($C346),"",IF($BR346&lt;&gt;Constants!$B$8,$BR346,COUNTIFS($BX$9:$BX$508,"&lt;"&amp;$BX346)+COUNTIFS($BX$9:$BX$508,$BX346,$BZ$9:$BZ$508,"&lt;"&amp;$BZ346)+COUNTIFS($BX$9:$BX$508,$BX346,$BZ$9:$BZ$508,$BZ346,$CB$9:$CB$508,"&lt;"&amp;$CB346)+COUNTIFS($BX$9:$BX$508,$BX346,$BZ$9:$BZ$508,$BZ346,$CB$9:$CB$508,$CB346,$CD$9:$CD$508,"&lt;"&amp;$CD346)+COUNTIFS($BX$9:$BX$508,$BX346,$BZ$9:$BZ$508,$BZ346,$CB$9:$CB$508,$CB346,$CD$9:$CD$508,$CD346,$CF$9:$CF$508,"&lt;"&amp;$CF346)+1))</f>
        <v/>
      </c>
      <c r="CH346" s="92" t="str">
        <f aca="false">IF(ISBLANK($C346),"",IF($BR346&lt;&gt;Constants!$B$8,$BR346,$BX346-$CG346))</f>
        <v/>
      </c>
      <c r="CI346" s="98"/>
      <c r="CJ346" s="99"/>
      <c r="CK346" s="100" t="str">
        <f aca="false">IF(ISBLANK($C346),"",IF($BR346=Constants!$B$12,$BQ346,""))</f>
        <v/>
      </c>
      <c r="CL346" s="99" t="str">
        <f aca="false">IF(ISBLANK($C346),"",IF($BR346&lt;&gt;Constants!$B$8,"",IF($BI346="-&gt;",2,1)))</f>
        <v/>
      </c>
      <c r="CM346" s="101" t="str">
        <f aca="false">IF(ISBLANK($C346),"",IF($BR346&lt;&gt;Constants!$B$8,"",IF($BI346="-&gt;",$BK346,$BC346)))</f>
        <v/>
      </c>
      <c r="CN346" s="101" t="str">
        <f aca="false">IF(ISBLANK($C346),"",IF($BR346&lt;&gt;Constants!$B$8,"",IF($BI346="-&gt;",$BL346,$BD346)))</f>
        <v/>
      </c>
      <c r="CO346" s="101" t="str">
        <f aca="false">IF(ISBLANK($C346),"",IF($BR346&lt;&gt;Constants!$B$8,"",IF($BI346="-&gt;",$BM346+$BN346,$BE346+$BF346)+$BV346))</f>
        <v/>
      </c>
      <c r="CP346" s="101" t="str">
        <f aca="false">IF(ISBLANK($C346),"",IF($BR346&lt;&gt;Constants!$B$8,"",IF($BI346="-&gt;",$BO346,$BG346)+$BU346))</f>
        <v/>
      </c>
      <c r="CQ346" s="102" t="str">
        <f aca="false">IF(ISBLANK($C346),"",IF($BR346&lt;&gt;Constants!$B$8,$BR346,$BW346))</f>
        <v/>
      </c>
      <c r="CR346" s="103" t="str">
        <f aca="false">IF(ISBLANK($C346),"",$BS346)</f>
        <v/>
      </c>
      <c r="CS346" s="104" t="str">
        <f aca="false">IF(ISBLANK($C346),"",$CH346)</f>
        <v/>
      </c>
      <c r="CT346" s="104" t="str">
        <f aca="false">IF(ISBLANK($C346),"",$CG346)</f>
        <v/>
      </c>
      <c r="CU346" s="105" t="str">
        <f aca="false">IF(ISBLANK($C346),"",IFERROR(_xlfn.SWITCH($CT346,Constants!$B$11,COUNTA($C$9:$C$508)+2,Constants!$B$10,COUNTA($C$9:$C$508)+1,Constants!$B$9,COUNTA($C$9:$C$508)),$CT346))</f>
        <v/>
      </c>
      <c r="CV346" s="9"/>
      <c r="CW346" s="106" t="n">
        <f aca="false">IF(OR(ISNUMBER($CT346),$CT346=Constants!$B$11,$CT346=Constants!$B$9,$CT346=Constants!$B$10),1,0)</f>
        <v>0</v>
      </c>
      <c r="CX346" s="106" t="n">
        <v>338</v>
      </c>
      <c r="CY346" s="106" t="str">
        <f aca="false">IF(ISBLANK($C346),"",IF(ISNUMBER($CU346),$CU346+ROW($B346)/1000,""))</f>
        <v/>
      </c>
      <c r="CZ346" s="106" t="str">
        <f aca="false">IF(ISNUMBER($CY346),RANK($CY346,$CY$9:$CY$508,1),"")</f>
        <v/>
      </c>
      <c r="DA346" s="106" t="str">
        <f aca="false">IF(ISBLANK($C346),"",$B346)</f>
        <v/>
      </c>
      <c r="DB346" s="106" t="str">
        <f aca="false">IF(ISBLANK($C346),"",$C346)</f>
        <v/>
      </c>
      <c r="DC346" s="106" t="str">
        <f aca="false">IF(ISBLANK($C346),"",$D346)</f>
        <v/>
      </c>
      <c r="DD346" s="107" t="str">
        <f aca="false">$CR346</f>
        <v/>
      </c>
      <c r="DE346" s="108" t="str">
        <f aca="false">$CQ346</f>
        <v/>
      </c>
      <c r="DF346" s="106" t="str">
        <f aca="false">IF(ISBLANK($C346),"",$CT346)</f>
        <v/>
      </c>
      <c r="DG346" s="109" t="str">
        <f aca="false">IF($CX346&gt;$CW$8,"",VLOOKUP($CX346,$CZ$9:$DF$508,7,FALSE()))</f>
        <v/>
      </c>
      <c r="DH346" s="110" t="str">
        <f aca="false">IF($CX346&gt;$CW$8,"",VLOOKUP($CX346,$CZ$9:$DF$508,2,FALSE()))</f>
        <v/>
      </c>
      <c r="DI346" s="110" t="str">
        <f aca="false">IF($CX346&gt;$CW$8,"",VLOOKUP($CX346,$CZ$9:$DF$508,3,FALSE()))</f>
        <v/>
      </c>
      <c r="DJ346" s="110" t="str">
        <f aca="false">IF($CX346&gt;$CW$8,"",VLOOKUP($CX346,$CZ$9:$DF$508,4,FALSE()))</f>
        <v/>
      </c>
      <c r="DK346" s="110" t="str">
        <f aca="false">IF($CX346&gt;$CW$8,"",VLOOKUP($CX346,$CZ$9:$DF$508,5,FALSE()))</f>
        <v/>
      </c>
      <c r="DL346" s="111" t="str">
        <f aca="false">IF($CX346&gt;$CW$8,"",VLOOKUP($CX346,$CZ$9:$DF$508,6,FALSE()))</f>
        <v/>
      </c>
      <c r="DM346" s="75"/>
    </row>
    <row r="347" customFormat="false" ht="15.75" hidden="false" customHeight="false" outlineLevel="0" collapsed="false">
      <c r="A347" s="9"/>
      <c r="B347" s="77"/>
      <c r="C347" s="78"/>
      <c r="D347" s="167"/>
      <c r="E347" s="175"/>
      <c r="F347" s="169"/>
      <c r="G347" s="170"/>
      <c r="H347" s="170"/>
      <c r="I347" s="176"/>
      <c r="J347" s="173"/>
      <c r="K347" s="85"/>
      <c r="L347" s="86"/>
      <c r="M347" s="87"/>
      <c r="N347" s="173"/>
      <c r="O347" s="173"/>
      <c r="P347" s="175"/>
      <c r="Q347" s="173"/>
      <c r="R347" s="173"/>
      <c r="S347" s="85"/>
      <c r="T347" s="87"/>
      <c r="U347" s="87"/>
      <c r="V347" s="173"/>
      <c r="W347" s="173"/>
      <c r="X347" s="175"/>
      <c r="Y347" s="173"/>
      <c r="Z347" s="174"/>
      <c r="AA347" s="173"/>
      <c r="AB347" s="91"/>
      <c r="AC347" s="92"/>
      <c r="AD347" s="92"/>
      <c r="AE347" s="92"/>
      <c r="AF347" s="92" t="str">
        <f aca="false">IF(ISBLANK($C347),"",IF(E347=Constants!$B$3,TRUE(),IF(E347=Constants!$B$4,FALSE(),TRUE())))</f>
        <v/>
      </c>
      <c r="AG347" s="92" t="str">
        <f aca="false">IF(ISBLANK($C347),"",IF(F347=Constants!$B$3,TRUE(),IF(F347=Constants!$B$4,FALSE(),TRUE())))</f>
        <v/>
      </c>
      <c r="AH347" s="92" t="str">
        <f aca="false">IF(ISBLANK($C347),"",IF(G347=Constants!$B$3,TRUE(),IF(G347=Constants!$B$4,FALSE(),TRUE())))</f>
        <v/>
      </c>
      <c r="AI347" s="92" t="str">
        <f aca="false">IF(ISBLANK($C347),"",IF(AND(ISNUMBER(H347),H347&gt;=0),H347,Constants!$B$29))</f>
        <v/>
      </c>
      <c r="AJ347" s="92" t="str">
        <f aca="false">IF(ISBLANK($C347),"",IF(I347=Constants!$B$3,TRUE(),IF(I347=Constants!$B$4,FALSE(),TRUE())))</f>
        <v/>
      </c>
      <c r="AK347" s="92" t="str">
        <f aca="false">IF(ISBLANK($C347),"",IF(J347=Constants!$B$3,TRUE(),IF(J347=Constants!$B$4,FALSE(),TRUE())))</f>
        <v/>
      </c>
      <c r="AL347" s="92" t="str">
        <f aca="false">IF(ISBLANK($C347),"",IF(K347=Constants!$B$5,TRUE(),IF(K347=Constants!$B$6,FALSE(),COUNTA(L347:P347)&gt;0)))</f>
        <v/>
      </c>
      <c r="AM347" s="94" t="str">
        <f aca="false">IF(ISBLANK($C347),"",IF(ISNUMBER(L347),IF(L347&gt;=0,L347,""),""))</f>
        <v/>
      </c>
      <c r="AN347" s="93" t="str">
        <f aca="false">IF(ISBLANK($C347),"",IF(ISNUMBER(M347),IF(M347&gt;=0,M347,""),""))</f>
        <v/>
      </c>
      <c r="AO347" s="93" t="str">
        <f aca="false">IF(ISBLANK($C347),"",IF(N347=Constants!$B$3,TRUE(),IF(N347=Constants!$B$4,FALSE(),TRUE())))</f>
        <v/>
      </c>
      <c r="AP347" s="92" t="str">
        <f aca="false">IF(ISBLANK($C347),"",IF(ISNUMBER(O347),IF(O347&gt;=0,O347,""),""))</f>
        <v/>
      </c>
      <c r="AQ347" s="92" t="str">
        <f aca="false">IF(ISBLANK($C347),"",IF(P347=Constants!$B$3,TRUE(),IF(P347=Constants!$B$4,FALSE(),FALSE())))</f>
        <v/>
      </c>
      <c r="AR347" s="92" t="str">
        <f aca="false">IF(ISBLANK($C347),"",IF(Q347=Constants!$B$3,TRUE(),IF(Q347=Constants!$B$4,FALSE(),TRUE())))</f>
        <v/>
      </c>
      <c r="AS347" s="92" t="str">
        <f aca="false">IF(ISBLANK($C347),"",IF(R347=Constants!$B$3,TRUE(),IF(R347=Constants!$B$4,FALSE(),TRUE())))</f>
        <v/>
      </c>
      <c r="AT347" s="92" t="str">
        <f aca="false">IF(ISBLANK($C347),"",IF(S347=Constants!$B$5,TRUE(),IF(S347=Constants!$B$6,FALSE(),COUNTA(T347:X347)&gt;0)))</f>
        <v/>
      </c>
      <c r="AU347" s="94" t="str">
        <f aca="false">IF(ISBLANK($C347),"",IF(ISNUMBER(T347),IF(T347&gt;=0,T347,""),""))</f>
        <v/>
      </c>
      <c r="AV347" s="93" t="str">
        <f aca="false">IF(ISBLANK($C347),"",IF(ISNUMBER(U347),IF(U347&gt;=0,U347,""),""))</f>
        <v/>
      </c>
      <c r="AW347" s="93" t="str">
        <f aca="false">IF(ISBLANK($C347),"",IF(V347=Constants!$B$3,TRUE(),IF(V347=Constants!$B$4,FALSE(),TRUE())))</f>
        <v/>
      </c>
      <c r="AX347" s="92" t="str">
        <f aca="false">IF(ISBLANK($C347),"",IF(ISNUMBER(W347),IF(W347&gt;=0,W347,""),""))</f>
        <v/>
      </c>
      <c r="AY347" s="92" t="str">
        <f aca="false">IF(ISBLANK($C347),"",IF(X347=Constants!$B$3,TRUE(),IF(X347=Constants!$B$4,FALSE(),FALSE())))</f>
        <v/>
      </c>
      <c r="AZ347" s="92" t="str">
        <f aca="false">IF(ISBLANK($C347),"",MIN(Constants!$B$31,MAX(0,IF(ISNUMBER(Y347),Y347*60,0)+IF(ISNUMBER(Z347),Z347,0))))</f>
        <v/>
      </c>
      <c r="BA347" s="92" t="str">
        <f aca="false">IF(ISBLANK($C347),"",IF(AA347=Constants!$B$3,TRUE(),IF(AA347=Constants!$B$4,FALSE(),FALSE())))</f>
        <v/>
      </c>
      <c r="BB347" s="91" t="str">
        <f aca="false">IF(ISBLANK($C347),"",AND($AL347,OR($AM347="",$AN347="",AND($AO347,$AP347=""))))</f>
        <v/>
      </c>
      <c r="BC347" s="93" t="str">
        <f aca="false">IF($BR347&lt;&gt;Constants!$B$8,"",IF($AL347,Constants!$B$21*$AN347+Constants!$B$22*IF($AO347,$AP347,Constants!$B$23),Constants!$B$24))</f>
        <v/>
      </c>
      <c r="BD347" s="96" t="str">
        <f aca="false">IF($BR347&lt;&gt;Constants!$B$8,"",Constants!$B$25*ABS($AD$9-IF($AL347,$AM347,0)))</f>
        <v/>
      </c>
      <c r="BE347" s="96" t="str">
        <f aca="false">IF($BR347&lt;&gt;Constants!$B$8,"",IF(AND($AL347,$AQ347,$AO347),Constants!$B$27,0))</f>
        <v/>
      </c>
      <c r="BF347" s="96" t="str">
        <f aca="false">IF($BR347&lt;&gt;Constants!$B$8,"",IF($AL347,($AI347-Constants!$B$29)*Constants!$B$28,0))</f>
        <v/>
      </c>
      <c r="BG347" s="96" t="str">
        <f aca="false">IF($BR347&lt;&gt;Constants!$B$8,"",IF($AK347,0,Constants!$B$15)+IF($AJ347,0,Constants!$B$16)+IF($AH347,0,Constants!$B$17))</f>
        <v/>
      </c>
      <c r="BH347" s="97" t="str">
        <f aca="false">IF($BR347&lt;&gt;Constants!$B$8,"",Constants!$B$20+SUM($BC347:$BG347))</f>
        <v/>
      </c>
      <c r="BI347" s="92" t="str">
        <f aca="false">IF($BR347&lt;&gt;Constants!$B$8,"",IF(OR($BP347&lt;$BH347,AND($BP347=$BH347,OR($BK347&lt;$BC347,AND($BK347=$BC347,OR($BL347&lt;$BD347,AND($BL347=$BD347,$AT347,$AL347,$AV347&lt;$AN347)))))),"-&gt;","&lt;-"))</f>
        <v/>
      </c>
      <c r="BJ347" s="91" t="str">
        <f aca="false">IF(ISBLANK($C347),"",AND($AT347,OR($AU347="",$AV347="",AND($AW347,$AX347=""))))</f>
        <v/>
      </c>
      <c r="BK347" s="93" t="str">
        <f aca="false">IF($BR347&lt;&gt;Constants!$B$8,"",IF($AT347,Constants!$B$21*$AV347+Constants!$B$22*IF($AW347,$AX347,Constants!$B$23),Constants!$B$24))</f>
        <v/>
      </c>
      <c r="BL347" s="96" t="str">
        <f aca="false">IF($BR347&lt;&gt;Constants!$B$8,"",Constants!$B$25*ABS($AD$9-IF($AT347,$AU347,0)))</f>
        <v/>
      </c>
      <c r="BM347" s="96" t="str">
        <f aca="false">IF($BR347&lt;&gt;Constants!$B$8,"",IF(AND($AT347,$AY347,$AW347),Constants!$B$27,0))</f>
        <v/>
      </c>
      <c r="BN347" s="96" t="str">
        <f aca="false">IF($BR347&lt;&gt;Constants!$B$8,"",IF($AT347,($AI347-Constants!$B$29)*Constants!$B$28,0))</f>
        <v/>
      </c>
      <c r="BO347" s="96" t="str">
        <f aca="false">IF($BR347&lt;&gt;Constants!$B$8,"",IF($AS347,0,Constants!$B$15)+IF($AR347,0,Constants!$B$16)+IF($AH347,0,Constants!$B$17))</f>
        <v/>
      </c>
      <c r="BP347" s="97" t="str">
        <f aca="false">IF($BR347&lt;&gt;Constants!$B$8,"",Constants!$B$20+SUM($BK347:$BO347))</f>
        <v/>
      </c>
      <c r="BQ347" s="92" t="str">
        <f aca="false">IF(ISBLANK($C347),"",IF(ISBLANK($D$7),$BQ$5,IF(NOT(ISNUMBER($D$7)),$BQ$6,"")))</f>
        <v/>
      </c>
      <c r="BR347" s="92" t="str">
        <f aca="false">IF(ISBLANK($C347),"",IF($BA347,Constants!$B$11,IF(COUNTA($E347:$AA347)=0,Constants!$B$10,IF(NOT($AG347),Constants!$B$9,IF(OR($BQ347&lt;&gt;"",$BB347,$BJ347),Constants!$B$12,Constants!$B$8)))))</f>
        <v/>
      </c>
      <c r="BS347" s="92" t="str">
        <f aca="false">IF(ISBLANK($C347),"",IF($BR347&lt;&gt;Constants!$B$8,$BR347,Constants!$B$13))</f>
        <v/>
      </c>
      <c r="BT347" s="96" t="str">
        <f aca="false">IF($BR347&lt;&gt;Constants!$B$8,"",IF($BI347="-&gt;",$BP347,$BH347))</f>
        <v/>
      </c>
      <c r="BU347" s="96" t="str">
        <f aca="false">IF($BR347&lt;&gt;Constants!$B$8,"",IF($AF347,0,Constants!$B$18))</f>
        <v/>
      </c>
      <c r="BV347" s="96" t="str">
        <f aca="false">IF($BR347&lt;&gt;Constants!$B$8,"",((Constants!$B$31-$AZ347)-Constants!$B$31)/Constants!$B$32)</f>
        <v/>
      </c>
      <c r="BW347" s="96" t="str">
        <f aca="false">IF(ISBLANK($C347),"",IF($BR347&lt;&gt;Constants!$B$8,$BR347,SUM($BT347:$BV347)))</f>
        <v/>
      </c>
      <c r="BX347" s="92" t="str">
        <f aca="false">IF(ISBLANK($C347),"",IF($BR347&lt;&gt;Constants!$B$8,$BR347,RANK($BW347,$BW$9:$BW$508,1)))</f>
        <v/>
      </c>
      <c r="BY347" s="96" t="str">
        <f aca="false">IF($BR347&lt;&gt;Constants!$B$8,"",IF($BI347="-&gt;",$BK347,$BC347))</f>
        <v/>
      </c>
      <c r="BZ347" s="92" t="str">
        <f aca="false">IF(ISBLANK($C347),"",IF($BR347&lt;&gt;Constants!$B$8,$BR347,IF(ISNUMBER($BY347),RANK($BY347,$BY$9:$BY$508,1),COUNT($BY$9:$BY$508)+1)))</f>
        <v/>
      </c>
      <c r="CA347" s="96" t="str">
        <f aca="false">IF($BR347&lt;&gt;Constants!$B$8,"",IF($BI347="-&gt;",$BL347,$BD347))</f>
        <v/>
      </c>
      <c r="CB347" s="92" t="str">
        <f aca="false">IF(ISBLANK($C347),"",IF($BR347&lt;&gt;Constants!$B$8,$BR347,IF(ISNUMBER($CA347),RANK($CA347,$CA$9:$CA$508,1),COUNT($CA$9:$CA$508)+1)))</f>
        <v/>
      </c>
      <c r="CC347" s="96" t="str">
        <f aca="false">IF($BR347&lt;&gt;Constants!$B$8,"",IF($BI347="-&gt;",IF($AT347,$AV347,""),IF($AL347,$AN347,"")))</f>
        <v/>
      </c>
      <c r="CD347" s="92" t="str">
        <f aca="false">IF(ISBLANK($C347),"",IF($BR347&lt;&gt;Constants!$B$8,$BR347,IF(ISNUMBER($CC347),RANK($CC347,$CC$9:$CC$508,1),COUNT($CC$9:$CC$508)+1)))</f>
        <v/>
      </c>
      <c r="CE347" s="96" t="str">
        <f aca="false">IF($BR347&lt;&gt;Constants!$B$8,"",IF(AND(NOT($AL347),NOT($AT347),$AJ347,$AK347,$AR347,$AS347),"",$AI347))</f>
        <v/>
      </c>
      <c r="CF347" s="92" t="str">
        <f aca="false">IF(ISBLANK($C347),"",IF($BR347&lt;&gt;Constants!$B$8,$BR347,IF(ISNUMBER($CE347),RANK($CE347,$CE$9:$CE$508,1),COUNT($CE$9:$CE$508)+1)))</f>
        <v/>
      </c>
      <c r="CG347" s="92" t="str">
        <f aca="false">IF(ISBLANK($C347),"",IF($BR347&lt;&gt;Constants!$B$8,$BR347,COUNTIFS($BX$9:$BX$508,"&lt;"&amp;$BX347)+COUNTIFS($BX$9:$BX$508,$BX347,$BZ$9:$BZ$508,"&lt;"&amp;$BZ347)+COUNTIFS($BX$9:$BX$508,$BX347,$BZ$9:$BZ$508,$BZ347,$CB$9:$CB$508,"&lt;"&amp;$CB347)+COUNTIFS($BX$9:$BX$508,$BX347,$BZ$9:$BZ$508,$BZ347,$CB$9:$CB$508,$CB347,$CD$9:$CD$508,"&lt;"&amp;$CD347)+COUNTIFS($BX$9:$BX$508,$BX347,$BZ$9:$BZ$508,$BZ347,$CB$9:$CB$508,$CB347,$CD$9:$CD$508,$CD347,$CF$9:$CF$508,"&lt;"&amp;$CF347)+1))</f>
        <v/>
      </c>
      <c r="CH347" s="92" t="str">
        <f aca="false">IF(ISBLANK($C347),"",IF($BR347&lt;&gt;Constants!$B$8,$BR347,$BX347-$CG347))</f>
        <v/>
      </c>
      <c r="CI347" s="98"/>
      <c r="CJ347" s="99"/>
      <c r="CK347" s="100" t="str">
        <f aca="false">IF(ISBLANK($C347),"",IF($BR347=Constants!$B$12,$BQ347,""))</f>
        <v/>
      </c>
      <c r="CL347" s="99" t="str">
        <f aca="false">IF(ISBLANK($C347),"",IF($BR347&lt;&gt;Constants!$B$8,"",IF($BI347="-&gt;",2,1)))</f>
        <v/>
      </c>
      <c r="CM347" s="101" t="str">
        <f aca="false">IF(ISBLANK($C347),"",IF($BR347&lt;&gt;Constants!$B$8,"",IF($BI347="-&gt;",$BK347,$BC347)))</f>
        <v/>
      </c>
      <c r="CN347" s="101" t="str">
        <f aca="false">IF(ISBLANK($C347),"",IF($BR347&lt;&gt;Constants!$B$8,"",IF($BI347="-&gt;",$BL347,$BD347)))</f>
        <v/>
      </c>
      <c r="CO347" s="101" t="str">
        <f aca="false">IF(ISBLANK($C347),"",IF($BR347&lt;&gt;Constants!$B$8,"",IF($BI347="-&gt;",$BM347+$BN347,$BE347+$BF347)+$BV347))</f>
        <v/>
      </c>
      <c r="CP347" s="101" t="str">
        <f aca="false">IF(ISBLANK($C347),"",IF($BR347&lt;&gt;Constants!$B$8,"",IF($BI347="-&gt;",$BO347,$BG347)+$BU347))</f>
        <v/>
      </c>
      <c r="CQ347" s="102" t="str">
        <f aca="false">IF(ISBLANK($C347),"",IF($BR347&lt;&gt;Constants!$B$8,$BR347,$BW347))</f>
        <v/>
      </c>
      <c r="CR347" s="103" t="str">
        <f aca="false">IF(ISBLANK($C347),"",$BS347)</f>
        <v/>
      </c>
      <c r="CS347" s="104" t="str">
        <f aca="false">IF(ISBLANK($C347),"",$CH347)</f>
        <v/>
      </c>
      <c r="CT347" s="104" t="str">
        <f aca="false">IF(ISBLANK($C347),"",$CG347)</f>
        <v/>
      </c>
      <c r="CU347" s="105" t="str">
        <f aca="false">IF(ISBLANK($C347),"",IFERROR(_xlfn.SWITCH($CT347,Constants!$B$11,COUNTA($C$9:$C$508)+2,Constants!$B$10,COUNTA($C$9:$C$508)+1,Constants!$B$9,COUNTA($C$9:$C$508)),$CT347))</f>
        <v/>
      </c>
      <c r="CV347" s="9"/>
      <c r="CW347" s="106" t="n">
        <f aca="false">IF(OR(ISNUMBER($CT347),$CT347=Constants!$B$11,$CT347=Constants!$B$9,$CT347=Constants!$B$10),1,0)</f>
        <v>0</v>
      </c>
      <c r="CX347" s="106" t="n">
        <v>339</v>
      </c>
      <c r="CY347" s="106" t="str">
        <f aca="false">IF(ISBLANK($C347),"",IF(ISNUMBER($CU347),$CU347+ROW($B347)/1000,""))</f>
        <v/>
      </c>
      <c r="CZ347" s="106" t="str">
        <f aca="false">IF(ISNUMBER($CY347),RANK($CY347,$CY$9:$CY$508,1),"")</f>
        <v/>
      </c>
      <c r="DA347" s="106" t="str">
        <f aca="false">IF(ISBLANK($C347),"",$B347)</f>
        <v/>
      </c>
      <c r="DB347" s="106" t="str">
        <f aca="false">IF(ISBLANK($C347),"",$C347)</f>
        <v/>
      </c>
      <c r="DC347" s="106" t="str">
        <f aca="false">IF(ISBLANK($C347),"",$D347)</f>
        <v/>
      </c>
      <c r="DD347" s="107" t="str">
        <f aca="false">$CR347</f>
        <v/>
      </c>
      <c r="DE347" s="108" t="str">
        <f aca="false">$CQ347</f>
        <v/>
      </c>
      <c r="DF347" s="106" t="str">
        <f aca="false">IF(ISBLANK($C347),"",$CT347)</f>
        <v/>
      </c>
      <c r="DG347" s="109" t="str">
        <f aca="false">IF($CX347&gt;$CW$8,"",VLOOKUP($CX347,$CZ$9:$DF$508,7,FALSE()))</f>
        <v/>
      </c>
      <c r="DH347" s="110" t="str">
        <f aca="false">IF($CX347&gt;$CW$8,"",VLOOKUP($CX347,$CZ$9:$DF$508,2,FALSE()))</f>
        <v/>
      </c>
      <c r="DI347" s="110" t="str">
        <f aca="false">IF($CX347&gt;$CW$8,"",VLOOKUP($CX347,$CZ$9:$DF$508,3,FALSE()))</f>
        <v/>
      </c>
      <c r="DJ347" s="110" t="str">
        <f aca="false">IF($CX347&gt;$CW$8,"",VLOOKUP($CX347,$CZ$9:$DF$508,4,FALSE()))</f>
        <v/>
      </c>
      <c r="DK347" s="110" t="str">
        <f aca="false">IF($CX347&gt;$CW$8,"",VLOOKUP($CX347,$CZ$9:$DF$508,5,FALSE()))</f>
        <v/>
      </c>
      <c r="DL347" s="111" t="str">
        <f aca="false">IF($CX347&gt;$CW$8,"",VLOOKUP($CX347,$CZ$9:$DF$508,6,FALSE()))</f>
        <v/>
      </c>
      <c r="DM347" s="75"/>
    </row>
    <row r="348" customFormat="false" ht="15.75" hidden="false" customHeight="false" outlineLevel="0" collapsed="false">
      <c r="A348" s="9"/>
      <c r="B348" s="157"/>
      <c r="C348" s="158"/>
      <c r="D348" s="159"/>
      <c r="E348" s="177"/>
      <c r="F348" s="161"/>
      <c r="G348" s="162"/>
      <c r="H348" s="162"/>
      <c r="I348" s="178"/>
      <c r="J348" s="165"/>
      <c r="K348" s="126"/>
      <c r="L348" s="127"/>
      <c r="M348" s="128"/>
      <c r="N348" s="165"/>
      <c r="O348" s="165"/>
      <c r="P348" s="177"/>
      <c r="Q348" s="165"/>
      <c r="R348" s="165"/>
      <c r="S348" s="126"/>
      <c r="T348" s="128"/>
      <c r="U348" s="128"/>
      <c r="V348" s="165"/>
      <c r="W348" s="165"/>
      <c r="X348" s="177"/>
      <c r="Y348" s="165"/>
      <c r="Z348" s="166"/>
      <c r="AA348" s="165"/>
      <c r="AB348" s="132"/>
      <c r="AC348" s="133"/>
      <c r="AD348" s="133"/>
      <c r="AE348" s="133"/>
      <c r="AF348" s="133" t="str">
        <f aca="false">IF(ISBLANK($C348),"",IF(E348=Constants!$B$3,TRUE(),IF(E348=Constants!$B$4,FALSE(),TRUE())))</f>
        <v/>
      </c>
      <c r="AG348" s="133" t="str">
        <f aca="false">IF(ISBLANK($C348),"",IF(F348=Constants!$B$3,TRUE(),IF(F348=Constants!$B$4,FALSE(),TRUE())))</f>
        <v/>
      </c>
      <c r="AH348" s="133" t="str">
        <f aca="false">IF(ISBLANK($C348),"",IF(G348=Constants!$B$3,TRUE(),IF(G348=Constants!$B$4,FALSE(),TRUE())))</f>
        <v/>
      </c>
      <c r="AI348" s="133" t="str">
        <f aca="false">IF(ISBLANK($C348),"",IF(AND(ISNUMBER(H348),H348&gt;=0),H348,Constants!$B$29))</f>
        <v/>
      </c>
      <c r="AJ348" s="133" t="str">
        <f aca="false">IF(ISBLANK($C348),"",IF(I348=Constants!$B$3,TRUE(),IF(I348=Constants!$B$4,FALSE(),TRUE())))</f>
        <v/>
      </c>
      <c r="AK348" s="133" t="str">
        <f aca="false">IF(ISBLANK($C348),"",IF(J348=Constants!$B$3,TRUE(),IF(J348=Constants!$B$4,FALSE(),TRUE())))</f>
        <v/>
      </c>
      <c r="AL348" s="133" t="str">
        <f aca="false">IF(ISBLANK($C348),"",IF(K348=Constants!$B$5,TRUE(),IF(K348=Constants!$B$6,FALSE(),COUNTA(L348:P348)&gt;0)))</f>
        <v/>
      </c>
      <c r="AM348" s="134" t="str">
        <f aca="false">IF(ISBLANK($C348),"",IF(ISNUMBER(L348),IF(L348&gt;=0,L348,""),""))</f>
        <v/>
      </c>
      <c r="AN348" s="135" t="str">
        <f aca="false">IF(ISBLANK($C348),"",IF(ISNUMBER(M348),IF(M348&gt;=0,M348,""),""))</f>
        <v/>
      </c>
      <c r="AO348" s="135" t="str">
        <f aca="false">IF(ISBLANK($C348),"",IF(N348=Constants!$B$3,TRUE(),IF(N348=Constants!$B$4,FALSE(),TRUE())))</f>
        <v/>
      </c>
      <c r="AP348" s="133" t="str">
        <f aca="false">IF(ISBLANK($C348),"",IF(ISNUMBER(O348),IF(O348&gt;=0,O348,""),""))</f>
        <v/>
      </c>
      <c r="AQ348" s="133" t="str">
        <f aca="false">IF(ISBLANK($C348),"",IF(P348=Constants!$B$3,TRUE(),IF(P348=Constants!$B$4,FALSE(),FALSE())))</f>
        <v/>
      </c>
      <c r="AR348" s="133" t="str">
        <f aca="false">IF(ISBLANK($C348),"",IF(Q348=Constants!$B$3,TRUE(),IF(Q348=Constants!$B$4,FALSE(),TRUE())))</f>
        <v/>
      </c>
      <c r="AS348" s="133" t="str">
        <f aca="false">IF(ISBLANK($C348),"",IF(R348=Constants!$B$3,TRUE(),IF(R348=Constants!$B$4,FALSE(),TRUE())))</f>
        <v/>
      </c>
      <c r="AT348" s="133" t="str">
        <f aca="false">IF(ISBLANK($C348),"",IF(S348=Constants!$B$5,TRUE(),IF(S348=Constants!$B$6,FALSE(),COUNTA(T348:X348)&gt;0)))</f>
        <v/>
      </c>
      <c r="AU348" s="134" t="str">
        <f aca="false">IF(ISBLANK($C348),"",IF(ISNUMBER(T348),IF(T348&gt;=0,T348,""),""))</f>
        <v/>
      </c>
      <c r="AV348" s="135" t="str">
        <f aca="false">IF(ISBLANK($C348),"",IF(ISNUMBER(U348),IF(U348&gt;=0,U348,""),""))</f>
        <v/>
      </c>
      <c r="AW348" s="135" t="str">
        <f aca="false">IF(ISBLANK($C348),"",IF(V348=Constants!$B$3,TRUE(),IF(V348=Constants!$B$4,FALSE(),TRUE())))</f>
        <v/>
      </c>
      <c r="AX348" s="133" t="str">
        <f aca="false">IF(ISBLANK($C348),"",IF(ISNUMBER(W348),IF(W348&gt;=0,W348,""),""))</f>
        <v/>
      </c>
      <c r="AY348" s="133" t="str">
        <f aca="false">IF(ISBLANK($C348),"",IF(X348=Constants!$B$3,TRUE(),IF(X348=Constants!$B$4,FALSE(),FALSE())))</f>
        <v/>
      </c>
      <c r="AZ348" s="133" t="str">
        <f aca="false">IF(ISBLANK($C348),"",MIN(Constants!$B$31,MAX(0,IF(ISNUMBER(Y348),Y348*60,0)+IF(ISNUMBER(Z348),Z348,0))))</f>
        <v/>
      </c>
      <c r="BA348" s="133" t="str">
        <f aca="false">IF(ISBLANK($C348),"",IF(AA348=Constants!$B$3,TRUE(),IF(AA348=Constants!$B$4,FALSE(),FALSE())))</f>
        <v/>
      </c>
      <c r="BB348" s="132" t="str">
        <f aca="false">IF(ISBLANK($C348),"",AND($AL348,OR($AM348="",$AN348="",AND($AO348,$AP348=""))))</f>
        <v/>
      </c>
      <c r="BC348" s="135" t="str">
        <f aca="false">IF($BR348&lt;&gt;Constants!$B$8,"",IF($AL348,Constants!$B$21*$AN348+Constants!$B$22*IF($AO348,$AP348,Constants!$B$23),Constants!$B$24))</f>
        <v/>
      </c>
      <c r="BD348" s="136" t="str">
        <f aca="false">IF($BR348&lt;&gt;Constants!$B$8,"",Constants!$B$25*ABS($AD$9-IF($AL348,$AM348,0)))</f>
        <v/>
      </c>
      <c r="BE348" s="136" t="str">
        <f aca="false">IF($BR348&lt;&gt;Constants!$B$8,"",IF(AND($AL348,$AQ348,$AO348),Constants!$B$27,0))</f>
        <v/>
      </c>
      <c r="BF348" s="136" t="str">
        <f aca="false">IF($BR348&lt;&gt;Constants!$B$8,"",IF($AL348,($AI348-Constants!$B$29)*Constants!$B$28,0))</f>
        <v/>
      </c>
      <c r="BG348" s="136" t="str">
        <f aca="false">IF($BR348&lt;&gt;Constants!$B$8,"",IF($AK348,0,Constants!$B$15)+IF($AJ348,0,Constants!$B$16)+IF($AH348,0,Constants!$B$17))</f>
        <v/>
      </c>
      <c r="BH348" s="137" t="str">
        <f aca="false">IF($BR348&lt;&gt;Constants!$B$8,"",Constants!$B$20+SUM($BC348:$BG348))</f>
        <v/>
      </c>
      <c r="BI348" s="133" t="str">
        <f aca="false">IF($BR348&lt;&gt;Constants!$B$8,"",IF(OR($BP348&lt;$BH348,AND($BP348=$BH348,OR($BK348&lt;$BC348,AND($BK348=$BC348,OR($BL348&lt;$BD348,AND($BL348=$BD348,$AT348,$AL348,$AV348&lt;$AN348)))))),"-&gt;","&lt;-"))</f>
        <v/>
      </c>
      <c r="BJ348" s="132" t="str">
        <f aca="false">IF(ISBLANK($C348),"",AND($AT348,OR($AU348="",$AV348="",AND($AW348,$AX348=""))))</f>
        <v/>
      </c>
      <c r="BK348" s="135" t="str">
        <f aca="false">IF($BR348&lt;&gt;Constants!$B$8,"",IF($AT348,Constants!$B$21*$AV348+Constants!$B$22*IF($AW348,$AX348,Constants!$B$23),Constants!$B$24))</f>
        <v/>
      </c>
      <c r="BL348" s="136" t="str">
        <f aca="false">IF($BR348&lt;&gt;Constants!$B$8,"",Constants!$B$25*ABS($AD$9-IF($AT348,$AU348,0)))</f>
        <v/>
      </c>
      <c r="BM348" s="136" t="str">
        <f aca="false">IF($BR348&lt;&gt;Constants!$B$8,"",IF(AND($AT348,$AY348,$AW348),Constants!$B$27,0))</f>
        <v/>
      </c>
      <c r="BN348" s="136" t="str">
        <f aca="false">IF($BR348&lt;&gt;Constants!$B$8,"",IF($AT348,($AI348-Constants!$B$29)*Constants!$B$28,0))</f>
        <v/>
      </c>
      <c r="BO348" s="136" t="str">
        <f aca="false">IF($BR348&lt;&gt;Constants!$B$8,"",IF($AS348,0,Constants!$B$15)+IF($AR348,0,Constants!$B$16)+IF($AH348,0,Constants!$B$17))</f>
        <v/>
      </c>
      <c r="BP348" s="137" t="str">
        <f aca="false">IF($BR348&lt;&gt;Constants!$B$8,"",Constants!$B$20+SUM($BK348:$BO348))</f>
        <v/>
      </c>
      <c r="BQ348" s="133" t="str">
        <f aca="false">IF(ISBLANK($C348),"",IF(ISBLANK($D$7),$BQ$5,IF(NOT(ISNUMBER($D$7)),$BQ$6,"")))</f>
        <v/>
      </c>
      <c r="BR348" s="133" t="str">
        <f aca="false">IF(ISBLANK($C348),"",IF($BA348,Constants!$B$11,IF(COUNTA($E348:$AA348)=0,Constants!$B$10,IF(NOT($AG348),Constants!$B$9,IF(OR($BQ348&lt;&gt;"",$BB348,$BJ348),Constants!$B$12,Constants!$B$8)))))</f>
        <v/>
      </c>
      <c r="BS348" s="133" t="str">
        <f aca="false">IF(ISBLANK($C348),"",IF($BR348&lt;&gt;Constants!$B$8,$BR348,Constants!$B$13))</f>
        <v/>
      </c>
      <c r="BT348" s="136" t="str">
        <f aca="false">IF($BR348&lt;&gt;Constants!$B$8,"",IF($BI348="-&gt;",$BP348,$BH348))</f>
        <v/>
      </c>
      <c r="BU348" s="136" t="str">
        <f aca="false">IF($BR348&lt;&gt;Constants!$B$8,"",IF($AF348,0,Constants!$B$18))</f>
        <v/>
      </c>
      <c r="BV348" s="136" t="str">
        <f aca="false">IF($BR348&lt;&gt;Constants!$B$8,"",((Constants!$B$31-$AZ348)-Constants!$B$31)/Constants!$B$32)</f>
        <v/>
      </c>
      <c r="BW348" s="136" t="str">
        <f aca="false">IF(ISBLANK($C348),"",IF($BR348&lt;&gt;Constants!$B$8,$BR348,SUM($BT348:$BV348)))</f>
        <v/>
      </c>
      <c r="BX348" s="133" t="str">
        <f aca="false">IF(ISBLANK($C348),"",IF($BR348&lt;&gt;Constants!$B$8,$BR348,RANK($BW348,$BW$9:$BW$508,1)))</f>
        <v/>
      </c>
      <c r="BY348" s="136" t="str">
        <f aca="false">IF($BR348&lt;&gt;Constants!$B$8,"",IF($BI348="-&gt;",$BK348,$BC348))</f>
        <v/>
      </c>
      <c r="BZ348" s="133" t="str">
        <f aca="false">IF(ISBLANK($C348),"",IF($BR348&lt;&gt;Constants!$B$8,$BR348,IF(ISNUMBER($BY348),RANK($BY348,$BY$9:$BY$508,1),COUNT($BY$9:$BY$508)+1)))</f>
        <v/>
      </c>
      <c r="CA348" s="136" t="str">
        <f aca="false">IF($BR348&lt;&gt;Constants!$B$8,"",IF($BI348="-&gt;",$BL348,$BD348))</f>
        <v/>
      </c>
      <c r="CB348" s="133" t="str">
        <f aca="false">IF(ISBLANK($C348),"",IF($BR348&lt;&gt;Constants!$B$8,$BR348,IF(ISNUMBER($CA348),RANK($CA348,$CA$9:$CA$508,1),COUNT($CA$9:$CA$508)+1)))</f>
        <v/>
      </c>
      <c r="CC348" s="136" t="str">
        <f aca="false">IF($BR348&lt;&gt;Constants!$B$8,"",IF($BI348="-&gt;",IF($AT348,$AV348,""),IF($AL348,$AN348,"")))</f>
        <v/>
      </c>
      <c r="CD348" s="133" t="str">
        <f aca="false">IF(ISBLANK($C348),"",IF($BR348&lt;&gt;Constants!$B$8,$BR348,IF(ISNUMBER($CC348),RANK($CC348,$CC$9:$CC$508,1),COUNT($CC$9:$CC$508)+1)))</f>
        <v/>
      </c>
      <c r="CE348" s="136" t="str">
        <f aca="false">IF($BR348&lt;&gt;Constants!$B$8,"",IF(AND(NOT($AL348),NOT($AT348),$AJ348,$AK348,$AR348,$AS348),"",$AI348))</f>
        <v/>
      </c>
      <c r="CF348" s="133" t="str">
        <f aca="false">IF(ISBLANK($C348),"",IF($BR348&lt;&gt;Constants!$B$8,$BR348,IF(ISNUMBER($CE348),RANK($CE348,$CE$9:$CE$508,1),COUNT($CE$9:$CE$508)+1)))</f>
        <v/>
      </c>
      <c r="CG348" s="133" t="str">
        <f aca="false">IF(ISBLANK($C348),"",IF($BR348&lt;&gt;Constants!$B$8,$BR348,COUNTIFS($BX$9:$BX$508,"&lt;"&amp;$BX348)+COUNTIFS($BX$9:$BX$508,$BX348,$BZ$9:$BZ$508,"&lt;"&amp;$BZ348)+COUNTIFS($BX$9:$BX$508,$BX348,$BZ$9:$BZ$508,$BZ348,$CB$9:$CB$508,"&lt;"&amp;$CB348)+COUNTIFS($BX$9:$BX$508,$BX348,$BZ$9:$BZ$508,$BZ348,$CB$9:$CB$508,$CB348,$CD$9:$CD$508,"&lt;"&amp;$CD348)+COUNTIFS($BX$9:$BX$508,$BX348,$BZ$9:$BZ$508,$BZ348,$CB$9:$CB$508,$CB348,$CD$9:$CD$508,$CD348,$CF$9:$CF$508,"&lt;"&amp;$CF348)+1))</f>
        <v/>
      </c>
      <c r="CH348" s="133" t="str">
        <f aca="false">IF(ISBLANK($C348),"",IF($BR348&lt;&gt;Constants!$B$8,$BR348,$BX348-$CG348))</f>
        <v/>
      </c>
      <c r="CI348" s="138"/>
      <c r="CJ348" s="139"/>
      <c r="CK348" s="140" t="str">
        <f aca="false">IF(ISBLANK($C348),"",IF($BR348=Constants!$B$12,$BQ348,""))</f>
        <v/>
      </c>
      <c r="CL348" s="139" t="str">
        <f aca="false">IF(ISBLANK($C348),"",IF($BR348&lt;&gt;Constants!$B$8,"",IF($BI348="-&gt;",2,1)))</f>
        <v/>
      </c>
      <c r="CM348" s="141" t="str">
        <f aca="false">IF(ISBLANK($C348),"",IF($BR348&lt;&gt;Constants!$B$8,"",IF($BI348="-&gt;",$BK348,$BC348)))</f>
        <v/>
      </c>
      <c r="CN348" s="141" t="str">
        <f aca="false">IF(ISBLANK($C348),"",IF($BR348&lt;&gt;Constants!$B$8,"",IF($BI348="-&gt;",$BL348,$BD348)))</f>
        <v/>
      </c>
      <c r="CO348" s="141" t="str">
        <f aca="false">IF(ISBLANK($C348),"",IF($BR348&lt;&gt;Constants!$B$8,"",IF($BI348="-&gt;",$BM348+$BN348,$BE348+$BF348)+$BV348))</f>
        <v/>
      </c>
      <c r="CP348" s="141" t="str">
        <f aca="false">IF(ISBLANK($C348),"",IF($BR348&lt;&gt;Constants!$B$8,"",IF($BI348="-&gt;",$BO348,$BG348)+$BU348))</f>
        <v/>
      </c>
      <c r="CQ348" s="142" t="str">
        <f aca="false">IF(ISBLANK($C348),"",IF($BR348&lt;&gt;Constants!$B$8,$BR348,$BW348))</f>
        <v/>
      </c>
      <c r="CR348" s="143" t="str">
        <f aca="false">IF(ISBLANK($C348),"",$BS348)</f>
        <v/>
      </c>
      <c r="CS348" s="144" t="str">
        <f aca="false">IF(ISBLANK($C348),"",$CH348)</f>
        <v/>
      </c>
      <c r="CT348" s="144" t="str">
        <f aca="false">IF(ISBLANK($C348),"",$CG348)</f>
        <v/>
      </c>
      <c r="CU348" s="145" t="str">
        <f aca="false">IF(ISBLANK($C348),"",IFERROR(_xlfn.SWITCH($CT348,Constants!$B$11,COUNTA($C$9:$C$508)+2,Constants!$B$10,COUNTA($C$9:$C$508)+1,Constants!$B$9,COUNTA($C$9:$C$508)),$CT348))</f>
        <v/>
      </c>
      <c r="CV348" s="9"/>
      <c r="CW348" s="146" t="n">
        <f aca="false">IF(OR(ISNUMBER($CT348),$CT348=Constants!$B$11,$CT348=Constants!$B$9,$CT348=Constants!$B$10),1,0)</f>
        <v>0</v>
      </c>
      <c r="CX348" s="146" t="n">
        <v>340</v>
      </c>
      <c r="CY348" s="146" t="str">
        <f aca="false">IF(ISBLANK($C348),"",IF(ISNUMBER($CU348),$CU348+ROW($B348)/1000,""))</f>
        <v/>
      </c>
      <c r="CZ348" s="146" t="str">
        <f aca="false">IF(ISNUMBER($CY348),RANK($CY348,$CY$9:$CY$508,1),"")</f>
        <v/>
      </c>
      <c r="DA348" s="146" t="str">
        <f aca="false">IF(ISBLANK($C348),"",$B348)</f>
        <v/>
      </c>
      <c r="DB348" s="146" t="str">
        <f aca="false">IF(ISBLANK($C348),"",$C348)</f>
        <v/>
      </c>
      <c r="DC348" s="146" t="str">
        <f aca="false">IF(ISBLANK($C348),"",$D348)</f>
        <v/>
      </c>
      <c r="DD348" s="147" t="str">
        <f aca="false">$CR348</f>
        <v/>
      </c>
      <c r="DE348" s="148" t="str">
        <f aca="false">$CQ348</f>
        <v/>
      </c>
      <c r="DF348" s="146" t="str">
        <f aca="false">IF(ISBLANK($C348),"",$CT348)</f>
        <v/>
      </c>
      <c r="DG348" s="149" t="str">
        <f aca="false">IF($CX348&gt;$CW$8,"",VLOOKUP($CX348,$CZ$9:$DF$508,7,FALSE()))</f>
        <v/>
      </c>
      <c r="DH348" s="150" t="str">
        <f aca="false">IF($CX348&gt;$CW$8,"",VLOOKUP($CX348,$CZ$9:$DF$508,2,FALSE()))</f>
        <v/>
      </c>
      <c r="DI348" s="150" t="str">
        <f aca="false">IF($CX348&gt;$CW$8,"",VLOOKUP($CX348,$CZ$9:$DF$508,3,FALSE()))</f>
        <v/>
      </c>
      <c r="DJ348" s="150" t="str">
        <f aca="false">IF($CX348&gt;$CW$8,"",VLOOKUP($CX348,$CZ$9:$DF$508,4,FALSE()))</f>
        <v/>
      </c>
      <c r="DK348" s="150" t="str">
        <f aca="false">IF($CX348&gt;$CW$8,"",VLOOKUP($CX348,$CZ$9:$DF$508,5,FALSE()))</f>
        <v/>
      </c>
      <c r="DL348" s="151" t="str">
        <f aca="false">IF($CX348&gt;$CW$8,"",VLOOKUP($CX348,$CZ$9:$DF$508,6,FALSE()))</f>
        <v/>
      </c>
      <c r="DM348" s="75"/>
    </row>
    <row r="349" customFormat="false" ht="15.75" hidden="false" customHeight="false" outlineLevel="0" collapsed="false">
      <c r="A349" s="9"/>
      <c r="B349" s="157"/>
      <c r="C349" s="158"/>
      <c r="D349" s="159"/>
      <c r="E349" s="177"/>
      <c r="F349" s="161"/>
      <c r="G349" s="162"/>
      <c r="H349" s="162"/>
      <c r="I349" s="178"/>
      <c r="J349" s="165"/>
      <c r="K349" s="126"/>
      <c r="L349" s="127"/>
      <c r="M349" s="128"/>
      <c r="N349" s="165"/>
      <c r="O349" s="165"/>
      <c r="P349" s="177"/>
      <c r="Q349" s="165"/>
      <c r="R349" s="165"/>
      <c r="S349" s="126"/>
      <c r="T349" s="128"/>
      <c r="U349" s="128"/>
      <c r="V349" s="165"/>
      <c r="W349" s="165"/>
      <c r="X349" s="177"/>
      <c r="Y349" s="165"/>
      <c r="Z349" s="166"/>
      <c r="AA349" s="165"/>
      <c r="AB349" s="132"/>
      <c r="AC349" s="133"/>
      <c r="AD349" s="133"/>
      <c r="AE349" s="133"/>
      <c r="AF349" s="133" t="str">
        <f aca="false">IF(ISBLANK($C349),"",IF(E349=Constants!$B$3,TRUE(),IF(E349=Constants!$B$4,FALSE(),TRUE())))</f>
        <v/>
      </c>
      <c r="AG349" s="133" t="str">
        <f aca="false">IF(ISBLANK($C349),"",IF(F349=Constants!$B$3,TRUE(),IF(F349=Constants!$B$4,FALSE(),TRUE())))</f>
        <v/>
      </c>
      <c r="AH349" s="133" t="str">
        <f aca="false">IF(ISBLANK($C349),"",IF(G349=Constants!$B$3,TRUE(),IF(G349=Constants!$B$4,FALSE(),TRUE())))</f>
        <v/>
      </c>
      <c r="AI349" s="133" t="str">
        <f aca="false">IF(ISBLANK($C349),"",IF(AND(ISNUMBER(H349),H349&gt;=0),H349,Constants!$B$29))</f>
        <v/>
      </c>
      <c r="AJ349" s="133" t="str">
        <f aca="false">IF(ISBLANK($C349),"",IF(I349=Constants!$B$3,TRUE(),IF(I349=Constants!$B$4,FALSE(),TRUE())))</f>
        <v/>
      </c>
      <c r="AK349" s="133" t="str">
        <f aca="false">IF(ISBLANK($C349),"",IF(J349=Constants!$B$3,TRUE(),IF(J349=Constants!$B$4,FALSE(),TRUE())))</f>
        <v/>
      </c>
      <c r="AL349" s="133" t="str">
        <f aca="false">IF(ISBLANK($C349),"",IF(K349=Constants!$B$5,TRUE(),IF(K349=Constants!$B$6,FALSE(),COUNTA(L349:P349)&gt;0)))</f>
        <v/>
      </c>
      <c r="AM349" s="134" t="str">
        <f aca="false">IF(ISBLANK($C349),"",IF(ISNUMBER(L349),IF(L349&gt;=0,L349,""),""))</f>
        <v/>
      </c>
      <c r="AN349" s="135" t="str">
        <f aca="false">IF(ISBLANK($C349),"",IF(ISNUMBER(M349),IF(M349&gt;=0,M349,""),""))</f>
        <v/>
      </c>
      <c r="AO349" s="135" t="str">
        <f aca="false">IF(ISBLANK($C349),"",IF(N349=Constants!$B$3,TRUE(),IF(N349=Constants!$B$4,FALSE(),TRUE())))</f>
        <v/>
      </c>
      <c r="AP349" s="133" t="str">
        <f aca="false">IF(ISBLANK($C349),"",IF(ISNUMBER(O349),IF(O349&gt;=0,O349,""),""))</f>
        <v/>
      </c>
      <c r="AQ349" s="133" t="str">
        <f aca="false">IF(ISBLANK($C349),"",IF(P349=Constants!$B$3,TRUE(),IF(P349=Constants!$B$4,FALSE(),FALSE())))</f>
        <v/>
      </c>
      <c r="AR349" s="133" t="str">
        <f aca="false">IF(ISBLANK($C349),"",IF(Q349=Constants!$B$3,TRUE(),IF(Q349=Constants!$B$4,FALSE(),TRUE())))</f>
        <v/>
      </c>
      <c r="AS349" s="133" t="str">
        <f aca="false">IF(ISBLANK($C349),"",IF(R349=Constants!$B$3,TRUE(),IF(R349=Constants!$B$4,FALSE(),TRUE())))</f>
        <v/>
      </c>
      <c r="AT349" s="133" t="str">
        <f aca="false">IF(ISBLANK($C349),"",IF(S349=Constants!$B$5,TRUE(),IF(S349=Constants!$B$6,FALSE(),COUNTA(T349:X349)&gt;0)))</f>
        <v/>
      </c>
      <c r="AU349" s="134" t="str">
        <f aca="false">IF(ISBLANK($C349),"",IF(ISNUMBER(T349),IF(T349&gt;=0,T349,""),""))</f>
        <v/>
      </c>
      <c r="AV349" s="135" t="str">
        <f aca="false">IF(ISBLANK($C349),"",IF(ISNUMBER(U349),IF(U349&gt;=0,U349,""),""))</f>
        <v/>
      </c>
      <c r="AW349" s="135" t="str">
        <f aca="false">IF(ISBLANK($C349),"",IF(V349=Constants!$B$3,TRUE(),IF(V349=Constants!$B$4,FALSE(),TRUE())))</f>
        <v/>
      </c>
      <c r="AX349" s="133" t="str">
        <f aca="false">IF(ISBLANK($C349),"",IF(ISNUMBER(W349),IF(W349&gt;=0,W349,""),""))</f>
        <v/>
      </c>
      <c r="AY349" s="133" t="str">
        <f aca="false">IF(ISBLANK($C349),"",IF(X349=Constants!$B$3,TRUE(),IF(X349=Constants!$B$4,FALSE(),FALSE())))</f>
        <v/>
      </c>
      <c r="AZ349" s="133" t="str">
        <f aca="false">IF(ISBLANK($C349),"",MIN(Constants!$B$31,MAX(0,IF(ISNUMBER(Y349),Y349*60,0)+IF(ISNUMBER(Z349),Z349,0))))</f>
        <v/>
      </c>
      <c r="BA349" s="133" t="str">
        <f aca="false">IF(ISBLANK($C349),"",IF(AA349=Constants!$B$3,TRUE(),IF(AA349=Constants!$B$4,FALSE(),FALSE())))</f>
        <v/>
      </c>
      <c r="BB349" s="132" t="str">
        <f aca="false">IF(ISBLANK($C349),"",AND($AL349,OR($AM349="",$AN349="",AND($AO349,$AP349=""))))</f>
        <v/>
      </c>
      <c r="BC349" s="135" t="str">
        <f aca="false">IF($BR349&lt;&gt;Constants!$B$8,"",IF($AL349,Constants!$B$21*$AN349+Constants!$B$22*IF($AO349,$AP349,Constants!$B$23),Constants!$B$24))</f>
        <v/>
      </c>
      <c r="BD349" s="136" t="str">
        <f aca="false">IF($BR349&lt;&gt;Constants!$B$8,"",Constants!$B$25*ABS($AD$9-IF($AL349,$AM349,0)))</f>
        <v/>
      </c>
      <c r="BE349" s="136" t="str">
        <f aca="false">IF($BR349&lt;&gt;Constants!$B$8,"",IF(AND($AL349,$AQ349,$AO349),Constants!$B$27,0))</f>
        <v/>
      </c>
      <c r="BF349" s="136" t="str">
        <f aca="false">IF($BR349&lt;&gt;Constants!$B$8,"",IF($AL349,($AI349-Constants!$B$29)*Constants!$B$28,0))</f>
        <v/>
      </c>
      <c r="BG349" s="136" t="str">
        <f aca="false">IF($BR349&lt;&gt;Constants!$B$8,"",IF($AK349,0,Constants!$B$15)+IF($AJ349,0,Constants!$B$16)+IF($AH349,0,Constants!$B$17))</f>
        <v/>
      </c>
      <c r="BH349" s="137" t="str">
        <f aca="false">IF($BR349&lt;&gt;Constants!$B$8,"",Constants!$B$20+SUM($BC349:$BG349))</f>
        <v/>
      </c>
      <c r="BI349" s="133" t="str">
        <f aca="false">IF($BR349&lt;&gt;Constants!$B$8,"",IF(OR($BP349&lt;$BH349,AND($BP349=$BH349,OR($BK349&lt;$BC349,AND($BK349=$BC349,OR($BL349&lt;$BD349,AND($BL349=$BD349,$AT349,$AL349,$AV349&lt;$AN349)))))),"-&gt;","&lt;-"))</f>
        <v/>
      </c>
      <c r="BJ349" s="132" t="str">
        <f aca="false">IF(ISBLANK($C349),"",AND($AT349,OR($AU349="",$AV349="",AND($AW349,$AX349=""))))</f>
        <v/>
      </c>
      <c r="BK349" s="135" t="str">
        <f aca="false">IF($BR349&lt;&gt;Constants!$B$8,"",IF($AT349,Constants!$B$21*$AV349+Constants!$B$22*IF($AW349,$AX349,Constants!$B$23),Constants!$B$24))</f>
        <v/>
      </c>
      <c r="BL349" s="136" t="str">
        <f aca="false">IF($BR349&lt;&gt;Constants!$B$8,"",Constants!$B$25*ABS($AD$9-IF($AT349,$AU349,0)))</f>
        <v/>
      </c>
      <c r="BM349" s="136" t="str">
        <f aca="false">IF($BR349&lt;&gt;Constants!$B$8,"",IF(AND($AT349,$AY349,$AW349),Constants!$B$27,0))</f>
        <v/>
      </c>
      <c r="BN349" s="136" t="str">
        <f aca="false">IF($BR349&lt;&gt;Constants!$B$8,"",IF($AT349,($AI349-Constants!$B$29)*Constants!$B$28,0))</f>
        <v/>
      </c>
      <c r="BO349" s="136" t="str">
        <f aca="false">IF($BR349&lt;&gt;Constants!$B$8,"",IF($AS349,0,Constants!$B$15)+IF($AR349,0,Constants!$B$16)+IF($AH349,0,Constants!$B$17))</f>
        <v/>
      </c>
      <c r="BP349" s="137" t="str">
        <f aca="false">IF($BR349&lt;&gt;Constants!$B$8,"",Constants!$B$20+SUM($BK349:$BO349))</f>
        <v/>
      </c>
      <c r="BQ349" s="133" t="str">
        <f aca="false">IF(ISBLANK($C349),"",IF(ISBLANK($D$7),$BQ$5,IF(NOT(ISNUMBER($D$7)),$BQ$6,"")))</f>
        <v/>
      </c>
      <c r="BR349" s="133" t="str">
        <f aca="false">IF(ISBLANK($C349),"",IF($BA349,Constants!$B$11,IF(COUNTA($E349:$AA349)=0,Constants!$B$10,IF(NOT($AG349),Constants!$B$9,IF(OR($BQ349&lt;&gt;"",$BB349,$BJ349),Constants!$B$12,Constants!$B$8)))))</f>
        <v/>
      </c>
      <c r="BS349" s="133" t="str">
        <f aca="false">IF(ISBLANK($C349),"",IF($BR349&lt;&gt;Constants!$B$8,$BR349,Constants!$B$13))</f>
        <v/>
      </c>
      <c r="BT349" s="136" t="str">
        <f aca="false">IF($BR349&lt;&gt;Constants!$B$8,"",IF($BI349="-&gt;",$BP349,$BH349))</f>
        <v/>
      </c>
      <c r="BU349" s="136" t="str">
        <f aca="false">IF($BR349&lt;&gt;Constants!$B$8,"",IF($AF349,0,Constants!$B$18))</f>
        <v/>
      </c>
      <c r="BV349" s="136" t="str">
        <f aca="false">IF($BR349&lt;&gt;Constants!$B$8,"",((Constants!$B$31-$AZ349)-Constants!$B$31)/Constants!$B$32)</f>
        <v/>
      </c>
      <c r="BW349" s="136" t="str">
        <f aca="false">IF(ISBLANK($C349),"",IF($BR349&lt;&gt;Constants!$B$8,$BR349,SUM($BT349:$BV349)))</f>
        <v/>
      </c>
      <c r="BX349" s="133" t="str">
        <f aca="false">IF(ISBLANK($C349),"",IF($BR349&lt;&gt;Constants!$B$8,$BR349,RANK($BW349,$BW$9:$BW$508,1)))</f>
        <v/>
      </c>
      <c r="BY349" s="136" t="str">
        <f aca="false">IF($BR349&lt;&gt;Constants!$B$8,"",IF($BI349="-&gt;",$BK349,$BC349))</f>
        <v/>
      </c>
      <c r="BZ349" s="133" t="str">
        <f aca="false">IF(ISBLANK($C349),"",IF($BR349&lt;&gt;Constants!$B$8,$BR349,IF(ISNUMBER($BY349),RANK($BY349,$BY$9:$BY$508,1),COUNT($BY$9:$BY$508)+1)))</f>
        <v/>
      </c>
      <c r="CA349" s="136" t="str">
        <f aca="false">IF($BR349&lt;&gt;Constants!$B$8,"",IF($BI349="-&gt;",$BL349,$BD349))</f>
        <v/>
      </c>
      <c r="CB349" s="133" t="str">
        <f aca="false">IF(ISBLANK($C349),"",IF($BR349&lt;&gt;Constants!$B$8,$BR349,IF(ISNUMBER($CA349),RANK($CA349,$CA$9:$CA$508,1),COUNT($CA$9:$CA$508)+1)))</f>
        <v/>
      </c>
      <c r="CC349" s="136" t="str">
        <f aca="false">IF($BR349&lt;&gt;Constants!$B$8,"",IF($BI349="-&gt;",IF($AT349,$AV349,""),IF($AL349,$AN349,"")))</f>
        <v/>
      </c>
      <c r="CD349" s="133" t="str">
        <f aca="false">IF(ISBLANK($C349),"",IF($BR349&lt;&gt;Constants!$B$8,$BR349,IF(ISNUMBER($CC349),RANK($CC349,$CC$9:$CC$508,1),COUNT($CC$9:$CC$508)+1)))</f>
        <v/>
      </c>
      <c r="CE349" s="136" t="str">
        <f aca="false">IF($BR349&lt;&gt;Constants!$B$8,"",IF(AND(NOT($AL349),NOT($AT349),$AJ349,$AK349,$AR349,$AS349),"",$AI349))</f>
        <v/>
      </c>
      <c r="CF349" s="133" t="str">
        <f aca="false">IF(ISBLANK($C349),"",IF($BR349&lt;&gt;Constants!$B$8,$BR349,IF(ISNUMBER($CE349),RANK($CE349,$CE$9:$CE$508,1),COUNT($CE$9:$CE$508)+1)))</f>
        <v/>
      </c>
      <c r="CG349" s="133" t="str">
        <f aca="false">IF(ISBLANK($C349),"",IF($BR349&lt;&gt;Constants!$B$8,$BR349,COUNTIFS($BX$9:$BX$508,"&lt;"&amp;$BX349)+COUNTIFS($BX$9:$BX$508,$BX349,$BZ$9:$BZ$508,"&lt;"&amp;$BZ349)+COUNTIFS($BX$9:$BX$508,$BX349,$BZ$9:$BZ$508,$BZ349,$CB$9:$CB$508,"&lt;"&amp;$CB349)+COUNTIFS($BX$9:$BX$508,$BX349,$BZ$9:$BZ$508,$BZ349,$CB$9:$CB$508,$CB349,$CD$9:$CD$508,"&lt;"&amp;$CD349)+COUNTIFS($BX$9:$BX$508,$BX349,$BZ$9:$BZ$508,$BZ349,$CB$9:$CB$508,$CB349,$CD$9:$CD$508,$CD349,$CF$9:$CF$508,"&lt;"&amp;$CF349)+1))</f>
        <v/>
      </c>
      <c r="CH349" s="133" t="str">
        <f aca="false">IF(ISBLANK($C349),"",IF($BR349&lt;&gt;Constants!$B$8,$BR349,$BX349-$CG349))</f>
        <v/>
      </c>
      <c r="CI349" s="138"/>
      <c r="CJ349" s="139"/>
      <c r="CK349" s="140" t="str">
        <f aca="false">IF(ISBLANK($C349),"",IF($BR349=Constants!$B$12,$BQ349,""))</f>
        <v/>
      </c>
      <c r="CL349" s="139" t="str">
        <f aca="false">IF(ISBLANK($C349),"",IF($BR349&lt;&gt;Constants!$B$8,"",IF($BI349="-&gt;",2,1)))</f>
        <v/>
      </c>
      <c r="CM349" s="141" t="str">
        <f aca="false">IF(ISBLANK($C349),"",IF($BR349&lt;&gt;Constants!$B$8,"",IF($BI349="-&gt;",$BK349,$BC349)))</f>
        <v/>
      </c>
      <c r="CN349" s="141" t="str">
        <f aca="false">IF(ISBLANK($C349),"",IF($BR349&lt;&gt;Constants!$B$8,"",IF($BI349="-&gt;",$BL349,$BD349)))</f>
        <v/>
      </c>
      <c r="CO349" s="141" t="str">
        <f aca="false">IF(ISBLANK($C349),"",IF($BR349&lt;&gt;Constants!$B$8,"",IF($BI349="-&gt;",$BM349+$BN349,$BE349+$BF349)+$BV349))</f>
        <v/>
      </c>
      <c r="CP349" s="141" t="str">
        <f aca="false">IF(ISBLANK($C349),"",IF($BR349&lt;&gt;Constants!$B$8,"",IF($BI349="-&gt;",$BO349,$BG349)+$BU349))</f>
        <v/>
      </c>
      <c r="CQ349" s="142" t="str">
        <f aca="false">IF(ISBLANK($C349),"",IF($BR349&lt;&gt;Constants!$B$8,$BR349,$BW349))</f>
        <v/>
      </c>
      <c r="CR349" s="143" t="str">
        <f aca="false">IF(ISBLANK($C349),"",$BS349)</f>
        <v/>
      </c>
      <c r="CS349" s="144" t="str">
        <f aca="false">IF(ISBLANK($C349),"",$CH349)</f>
        <v/>
      </c>
      <c r="CT349" s="144" t="str">
        <f aca="false">IF(ISBLANK($C349),"",$CG349)</f>
        <v/>
      </c>
      <c r="CU349" s="145" t="str">
        <f aca="false">IF(ISBLANK($C349),"",IFERROR(_xlfn.SWITCH($CT349,Constants!$B$11,COUNTA($C$9:$C$508)+2,Constants!$B$10,COUNTA($C$9:$C$508)+1,Constants!$B$9,COUNTA($C$9:$C$508)),$CT349))</f>
        <v/>
      </c>
      <c r="CV349" s="9"/>
      <c r="CW349" s="146" t="n">
        <f aca="false">IF(OR(ISNUMBER($CT349),$CT349=Constants!$B$11,$CT349=Constants!$B$9,$CT349=Constants!$B$10),1,0)</f>
        <v>0</v>
      </c>
      <c r="CX349" s="146" t="n">
        <v>341</v>
      </c>
      <c r="CY349" s="146" t="str">
        <f aca="false">IF(ISBLANK($C349),"",IF(ISNUMBER($CU349),$CU349+ROW($B349)/1000,""))</f>
        <v/>
      </c>
      <c r="CZ349" s="146" t="str">
        <f aca="false">IF(ISNUMBER($CY349),RANK($CY349,$CY$9:$CY$508,1),"")</f>
        <v/>
      </c>
      <c r="DA349" s="146" t="str">
        <f aca="false">IF(ISBLANK($C349),"",$B349)</f>
        <v/>
      </c>
      <c r="DB349" s="146" t="str">
        <f aca="false">IF(ISBLANK($C349),"",$C349)</f>
        <v/>
      </c>
      <c r="DC349" s="146" t="str">
        <f aca="false">IF(ISBLANK($C349),"",$D349)</f>
        <v/>
      </c>
      <c r="DD349" s="147" t="str">
        <f aca="false">$CR349</f>
        <v/>
      </c>
      <c r="DE349" s="148" t="str">
        <f aca="false">$CQ349</f>
        <v/>
      </c>
      <c r="DF349" s="146" t="str">
        <f aca="false">IF(ISBLANK($C349),"",$CT349)</f>
        <v/>
      </c>
      <c r="DG349" s="149" t="str">
        <f aca="false">IF($CX349&gt;$CW$8,"",VLOOKUP($CX349,$CZ$9:$DF$508,7,FALSE()))</f>
        <v/>
      </c>
      <c r="DH349" s="150" t="str">
        <f aca="false">IF($CX349&gt;$CW$8,"",VLOOKUP($CX349,$CZ$9:$DF$508,2,FALSE()))</f>
        <v/>
      </c>
      <c r="DI349" s="150" t="str">
        <f aca="false">IF($CX349&gt;$CW$8,"",VLOOKUP($CX349,$CZ$9:$DF$508,3,FALSE()))</f>
        <v/>
      </c>
      <c r="DJ349" s="150" t="str">
        <f aca="false">IF($CX349&gt;$CW$8,"",VLOOKUP($CX349,$CZ$9:$DF$508,4,FALSE()))</f>
        <v/>
      </c>
      <c r="DK349" s="150" t="str">
        <f aca="false">IF($CX349&gt;$CW$8,"",VLOOKUP($CX349,$CZ$9:$DF$508,5,FALSE()))</f>
        <v/>
      </c>
      <c r="DL349" s="151" t="str">
        <f aca="false">IF($CX349&gt;$CW$8,"",VLOOKUP($CX349,$CZ$9:$DF$508,6,FALSE()))</f>
        <v/>
      </c>
      <c r="DM349" s="75"/>
    </row>
    <row r="350" customFormat="false" ht="15.75" hidden="false" customHeight="false" outlineLevel="0" collapsed="false">
      <c r="A350" s="9"/>
      <c r="B350" s="157"/>
      <c r="C350" s="158"/>
      <c r="D350" s="159"/>
      <c r="E350" s="177"/>
      <c r="F350" s="161"/>
      <c r="G350" s="162"/>
      <c r="H350" s="162"/>
      <c r="I350" s="178"/>
      <c r="J350" s="165"/>
      <c r="K350" s="126"/>
      <c r="L350" s="127"/>
      <c r="M350" s="128"/>
      <c r="N350" s="165"/>
      <c r="O350" s="165"/>
      <c r="P350" s="177"/>
      <c r="Q350" s="165"/>
      <c r="R350" s="165"/>
      <c r="S350" s="126"/>
      <c r="T350" s="128"/>
      <c r="U350" s="128"/>
      <c r="V350" s="165"/>
      <c r="W350" s="165"/>
      <c r="X350" s="177"/>
      <c r="Y350" s="165"/>
      <c r="Z350" s="166"/>
      <c r="AA350" s="165"/>
      <c r="AB350" s="132"/>
      <c r="AC350" s="133"/>
      <c r="AD350" s="133"/>
      <c r="AE350" s="133"/>
      <c r="AF350" s="133" t="str">
        <f aca="false">IF(ISBLANK($C350),"",IF(E350=Constants!$B$3,TRUE(),IF(E350=Constants!$B$4,FALSE(),TRUE())))</f>
        <v/>
      </c>
      <c r="AG350" s="133" t="str">
        <f aca="false">IF(ISBLANK($C350),"",IF(F350=Constants!$B$3,TRUE(),IF(F350=Constants!$B$4,FALSE(),TRUE())))</f>
        <v/>
      </c>
      <c r="AH350" s="133" t="str">
        <f aca="false">IF(ISBLANK($C350),"",IF(G350=Constants!$B$3,TRUE(),IF(G350=Constants!$B$4,FALSE(),TRUE())))</f>
        <v/>
      </c>
      <c r="AI350" s="133" t="str">
        <f aca="false">IF(ISBLANK($C350),"",IF(AND(ISNUMBER(H350),H350&gt;=0),H350,Constants!$B$29))</f>
        <v/>
      </c>
      <c r="AJ350" s="133" t="str">
        <f aca="false">IF(ISBLANK($C350),"",IF(I350=Constants!$B$3,TRUE(),IF(I350=Constants!$B$4,FALSE(),TRUE())))</f>
        <v/>
      </c>
      <c r="AK350" s="133" t="str">
        <f aca="false">IF(ISBLANK($C350),"",IF(J350=Constants!$B$3,TRUE(),IF(J350=Constants!$B$4,FALSE(),TRUE())))</f>
        <v/>
      </c>
      <c r="AL350" s="133" t="str">
        <f aca="false">IF(ISBLANK($C350),"",IF(K350=Constants!$B$5,TRUE(),IF(K350=Constants!$B$6,FALSE(),COUNTA(L350:P350)&gt;0)))</f>
        <v/>
      </c>
      <c r="AM350" s="134" t="str">
        <f aca="false">IF(ISBLANK($C350),"",IF(ISNUMBER(L350),IF(L350&gt;=0,L350,""),""))</f>
        <v/>
      </c>
      <c r="AN350" s="135" t="str">
        <f aca="false">IF(ISBLANK($C350),"",IF(ISNUMBER(M350),IF(M350&gt;=0,M350,""),""))</f>
        <v/>
      </c>
      <c r="AO350" s="135" t="str">
        <f aca="false">IF(ISBLANK($C350),"",IF(N350=Constants!$B$3,TRUE(),IF(N350=Constants!$B$4,FALSE(),TRUE())))</f>
        <v/>
      </c>
      <c r="AP350" s="133" t="str">
        <f aca="false">IF(ISBLANK($C350),"",IF(ISNUMBER(O350),IF(O350&gt;=0,O350,""),""))</f>
        <v/>
      </c>
      <c r="AQ350" s="133" t="str">
        <f aca="false">IF(ISBLANK($C350),"",IF(P350=Constants!$B$3,TRUE(),IF(P350=Constants!$B$4,FALSE(),FALSE())))</f>
        <v/>
      </c>
      <c r="AR350" s="133" t="str">
        <f aca="false">IF(ISBLANK($C350),"",IF(Q350=Constants!$B$3,TRUE(),IF(Q350=Constants!$B$4,FALSE(),TRUE())))</f>
        <v/>
      </c>
      <c r="AS350" s="133" t="str">
        <f aca="false">IF(ISBLANK($C350),"",IF(R350=Constants!$B$3,TRUE(),IF(R350=Constants!$B$4,FALSE(),TRUE())))</f>
        <v/>
      </c>
      <c r="AT350" s="133" t="str">
        <f aca="false">IF(ISBLANK($C350),"",IF(S350=Constants!$B$5,TRUE(),IF(S350=Constants!$B$6,FALSE(),COUNTA(T350:X350)&gt;0)))</f>
        <v/>
      </c>
      <c r="AU350" s="134" t="str">
        <f aca="false">IF(ISBLANK($C350),"",IF(ISNUMBER(T350),IF(T350&gt;=0,T350,""),""))</f>
        <v/>
      </c>
      <c r="AV350" s="135" t="str">
        <f aca="false">IF(ISBLANK($C350),"",IF(ISNUMBER(U350),IF(U350&gt;=0,U350,""),""))</f>
        <v/>
      </c>
      <c r="AW350" s="135" t="str">
        <f aca="false">IF(ISBLANK($C350),"",IF(V350=Constants!$B$3,TRUE(),IF(V350=Constants!$B$4,FALSE(),TRUE())))</f>
        <v/>
      </c>
      <c r="AX350" s="133" t="str">
        <f aca="false">IF(ISBLANK($C350),"",IF(ISNUMBER(W350),IF(W350&gt;=0,W350,""),""))</f>
        <v/>
      </c>
      <c r="AY350" s="133" t="str">
        <f aca="false">IF(ISBLANK($C350),"",IF(X350=Constants!$B$3,TRUE(),IF(X350=Constants!$B$4,FALSE(),FALSE())))</f>
        <v/>
      </c>
      <c r="AZ350" s="133" t="str">
        <f aca="false">IF(ISBLANK($C350),"",MIN(Constants!$B$31,MAX(0,IF(ISNUMBER(Y350),Y350*60,0)+IF(ISNUMBER(Z350),Z350,0))))</f>
        <v/>
      </c>
      <c r="BA350" s="133" t="str">
        <f aca="false">IF(ISBLANK($C350),"",IF(AA350=Constants!$B$3,TRUE(),IF(AA350=Constants!$B$4,FALSE(),FALSE())))</f>
        <v/>
      </c>
      <c r="BB350" s="132" t="str">
        <f aca="false">IF(ISBLANK($C350),"",AND($AL350,OR($AM350="",$AN350="",AND($AO350,$AP350=""))))</f>
        <v/>
      </c>
      <c r="BC350" s="135" t="str">
        <f aca="false">IF($BR350&lt;&gt;Constants!$B$8,"",IF($AL350,Constants!$B$21*$AN350+Constants!$B$22*IF($AO350,$AP350,Constants!$B$23),Constants!$B$24))</f>
        <v/>
      </c>
      <c r="BD350" s="136" t="str">
        <f aca="false">IF($BR350&lt;&gt;Constants!$B$8,"",Constants!$B$25*ABS($AD$9-IF($AL350,$AM350,0)))</f>
        <v/>
      </c>
      <c r="BE350" s="136" t="str">
        <f aca="false">IF($BR350&lt;&gt;Constants!$B$8,"",IF(AND($AL350,$AQ350,$AO350),Constants!$B$27,0))</f>
        <v/>
      </c>
      <c r="BF350" s="136" t="str">
        <f aca="false">IF($BR350&lt;&gt;Constants!$B$8,"",IF($AL350,($AI350-Constants!$B$29)*Constants!$B$28,0))</f>
        <v/>
      </c>
      <c r="BG350" s="136" t="str">
        <f aca="false">IF($BR350&lt;&gt;Constants!$B$8,"",IF($AK350,0,Constants!$B$15)+IF($AJ350,0,Constants!$B$16)+IF($AH350,0,Constants!$B$17))</f>
        <v/>
      </c>
      <c r="BH350" s="137" t="str">
        <f aca="false">IF($BR350&lt;&gt;Constants!$B$8,"",Constants!$B$20+SUM($BC350:$BG350))</f>
        <v/>
      </c>
      <c r="BI350" s="133" t="str">
        <f aca="false">IF($BR350&lt;&gt;Constants!$B$8,"",IF(OR($BP350&lt;$BH350,AND($BP350=$BH350,OR($BK350&lt;$BC350,AND($BK350=$BC350,OR($BL350&lt;$BD350,AND($BL350=$BD350,$AT350,$AL350,$AV350&lt;$AN350)))))),"-&gt;","&lt;-"))</f>
        <v/>
      </c>
      <c r="BJ350" s="132" t="str">
        <f aca="false">IF(ISBLANK($C350),"",AND($AT350,OR($AU350="",$AV350="",AND($AW350,$AX350=""))))</f>
        <v/>
      </c>
      <c r="BK350" s="135" t="str">
        <f aca="false">IF($BR350&lt;&gt;Constants!$B$8,"",IF($AT350,Constants!$B$21*$AV350+Constants!$B$22*IF($AW350,$AX350,Constants!$B$23),Constants!$B$24))</f>
        <v/>
      </c>
      <c r="BL350" s="136" t="str">
        <f aca="false">IF($BR350&lt;&gt;Constants!$B$8,"",Constants!$B$25*ABS($AD$9-IF($AT350,$AU350,0)))</f>
        <v/>
      </c>
      <c r="BM350" s="136" t="str">
        <f aca="false">IF($BR350&lt;&gt;Constants!$B$8,"",IF(AND($AT350,$AY350,$AW350),Constants!$B$27,0))</f>
        <v/>
      </c>
      <c r="BN350" s="136" t="str">
        <f aca="false">IF($BR350&lt;&gt;Constants!$B$8,"",IF($AT350,($AI350-Constants!$B$29)*Constants!$B$28,0))</f>
        <v/>
      </c>
      <c r="BO350" s="136" t="str">
        <f aca="false">IF($BR350&lt;&gt;Constants!$B$8,"",IF($AS350,0,Constants!$B$15)+IF($AR350,0,Constants!$B$16)+IF($AH350,0,Constants!$B$17))</f>
        <v/>
      </c>
      <c r="BP350" s="137" t="str">
        <f aca="false">IF($BR350&lt;&gt;Constants!$B$8,"",Constants!$B$20+SUM($BK350:$BO350))</f>
        <v/>
      </c>
      <c r="BQ350" s="133" t="str">
        <f aca="false">IF(ISBLANK($C350),"",IF(ISBLANK($D$7),$BQ$5,IF(NOT(ISNUMBER($D$7)),$BQ$6,"")))</f>
        <v/>
      </c>
      <c r="BR350" s="133" t="str">
        <f aca="false">IF(ISBLANK($C350),"",IF($BA350,Constants!$B$11,IF(COUNTA($E350:$AA350)=0,Constants!$B$10,IF(NOT($AG350),Constants!$B$9,IF(OR($BQ350&lt;&gt;"",$BB350,$BJ350),Constants!$B$12,Constants!$B$8)))))</f>
        <v/>
      </c>
      <c r="BS350" s="133" t="str">
        <f aca="false">IF(ISBLANK($C350),"",IF($BR350&lt;&gt;Constants!$B$8,$BR350,Constants!$B$13))</f>
        <v/>
      </c>
      <c r="BT350" s="136" t="str">
        <f aca="false">IF($BR350&lt;&gt;Constants!$B$8,"",IF($BI350="-&gt;",$BP350,$BH350))</f>
        <v/>
      </c>
      <c r="BU350" s="136" t="str">
        <f aca="false">IF($BR350&lt;&gt;Constants!$B$8,"",IF($AF350,0,Constants!$B$18))</f>
        <v/>
      </c>
      <c r="BV350" s="136" t="str">
        <f aca="false">IF($BR350&lt;&gt;Constants!$B$8,"",((Constants!$B$31-$AZ350)-Constants!$B$31)/Constants!$B$32)</f>
        <v/>
      </c>
      <c r="BW350" s="136" t="str">
        <f aca="false">IF(ISBLANK($C350),"",IF($BR350&lt;&gt;Constants!$B$8,$BR350,SUM($BT350:$BV350)))</f>
        <v/>
      </c>
      <c r="BX350" s="133" t="str">
        <f aca="false">IF(ISBLANK($C350),"",IF($BR350&lt;&gt;Constants!$B$8,$BR350,RANK($BW350,$BW$9:$BW$508,1)))</f>
        <v/>
      </c>
      <c r="BY350" s="136" t="str">
        <f aca="false">IF($BR350&lt;&gt;Constants!$B$8,"",IF($BI350="-&gt;",$BK350,$BC350))</f>
        <v/>
      </c>
      <c r="BZ350" s="133" t="str">
        <f aca="false">IF(ISBLANK($C350),"",IF($BR350&lt;&gt;Constants!$B$8,$BR350,IF(ISNUMBER($BY350),RANK($BY350,$BY$9:$BY$508,1),COUNT($BY$9:$BY$508)+1)))</f>
        <v/>
      </c>
      <c r="CA350" s="136" t="str">
        <f aca="false">IF($BR350&lt;&gt;Constants!$B$8,"",IF($BI350="-&gt;",$BL350,$BD350))</f>
        <v/>
      </c>
      <c r="CB350" s="133" t="str">
        <f aca="false">IF(ISBLANK($C350),"",IF($BR350&lt;&gt;Constants!$B$8,$BR350,IF(ISNUMBER($CA350),RANK($CA350,$CA$9:$CA$508,1),COUNT($CA$9:$CA$508)+1)))</f>
        <v/>
      </c>
      <c r="CC350" s="136" t="str">
        <f aca="false">IF($BR350&lt;&gt;Constants!$B$8,"",IF($BI350="-&gt;",IF($AT350,$AV350,""),IF($AL350,$AN350,"")))</f>
        <v/>
      </c>
      <c r="CD350" s="133" t="str">
        <f aca="false">IF(ISBLANK($C350),"",IF($BR350&lt;&gt;Constants!$B$8,$BR350,IF(ISNUMBER($CC350),RANK($CC350,$CC$9:$CC$508,1),COUNT($CC$9:$CC$508)+1)))</f>
        <v/>
      </c>
      <c r="CE350" s="136" t="str">
        <f aca="false">IF($BR350&lt;&gt;Constants!$B$8,"",IF(AND(NOT($AL350),NOT($AT350),$AJ350,$AK350,$AR350,$AS350),"",$AI350))</f>
        <v/>
      </c>
      <c r="CF350" s="133" t="str">
        <f aca="false">IF(ISBLANK($C350),"",IF($BR350&lt;&gt;Constants!$B$8,$BR350,IF(ISNUMBER($CE350),RANK($CE350,$CE$9:$CE$508,1),COUNT($CE$9:$CE$508)+1)))</f>
        <v/>
      </c>
      <c r="CG350" s="133" t="str">
        <f aca="false">IF(ISBLANK($C350),"",IF($BR350&lt;&gt;Constants!$B$8,$BR350,COUNTIFS($BX$9:$BX$508,"&lt;"&amp;$BX350)+COUNTIFS($BX$9:$BX$508,$BX350,$BZ$9:$BZ$508,"&lt;"&amp;$BZ350)+COUNTIFS($BX$9:$BX$508,$BX350,$BZ$9:$BZ$508,$BZ350,$CB$9:$CB$508,"&lt;"&amp;$CB350)+COUNTIFS($BX$9:$BX$508,$BX350,$BZ$9:$BZ$508,$BZ350,$CB$9:$CB$508,$CB350,$CD$9:$CD$508,"&lt;"&amp;$CD350)+COUNTIFS($BX$9:$BX$508,$BX350,$BZ$9:$BZ$508,$BZ350,$CB$9:$CB$508,$CB350,$CD$9:$CD$508,$CD350,$CF$9:$CF$508,"&lt;"&amp;$CF350)+1))</f>
        <v/>
      </c>
      <c r="CH350" s="133" t="str">
        <f aca="false">IF(ISBLANK($C350),"",IF($BR350&lt;&gt;Constants!$B$8,$BR350,$BX350-$CG350))</f>
        <v/>
      </c>
      <c r="CI350" s="138"/>
      <c r="CJ350" s="139"/>
      <c r="CK350" s="140" t="str">
        <f aca="false">IF(ISBLANK($C350),"",IF($BR350=Constants!$B$12,$BQ350,""))</f>
        <v/>
      </c>
      <c r="CL350" s="139" t="str">
        <f aca="false">IF(ISBLANK($C350),"",IF($BR350&lt;&gt;Constants!$B$8,"",IF($BI350="-&gt;",2,1)))</f>
        <v/>
      </c>
      <c r="CM350" s="141" t="str">
        <f aca="false">IF(ISBLANK($C350),"",IF($BR350&lt;&gt;Constants!$B$8,"",IF($BI350="-&gt;",$BK350,$BC350)))</f>
        <v/>
      </c>
      <c r="CN350" s="141" t="str">
        <f aca="false">IF(ISBLANK($C350),"",IF($BR350&lt;&gt;Constants!$B$8,"",IF($BI350="-&gt;",$BL350,$BD350)))</f>
        <v/>
      </c>
      <c r="CO350" s="141" t="str">
        <f aca="false">IF(ISBLANK($C350),"",IF($BR350&lt;&gt;Constants!$B$8,"",IF($BI350="-&gt;",$BM350+$BN350,$BE350+$BF350)+$BV350))</f>
        <v/>
      </c>
      <c r="CP350" s="141" t="str">
        <f aca="false">IF(ISBLANK($C350),"",IF($BR350&lt;&gt;Constants!$B$8,"",IF($BI350="-&gt;",$BO350,$BG350)+$BU350))</f>
        <v/>
      </c>
      <c r="CQ350" s="142" t="str">
        <f aca="false">IF(ISBLANK($C350),"",IF($BR350&lt;&gt;Constants!$B$8,$BR350,$BW350))</f>
        <v/>
      </c>
      <c r="CR350" s="143" t="str">
        <f aca="false">IF(ISBLANK($C350),"",$BS350)</f>
        <v/>
      </c>
      <c r="CS350" s="144" t="str">
        <f aca="false">IF(ISBLANK($C350),"",$CH350)</f>
        <v/>
      </c>
      <c r="CT350" s="144" t="str">
        <f aca="false">IF(ISBLANK($C350),"",$CG350)</f>
        <v/>
      </c>
      <c r="CU350" s="145" t="str">
        <f aca="false">IF(ISBLANK($C350),"",IFERROR(_xlfn.SWITCH($CT350,Constants!$B$11,COUNTA($C$9:$C$508)+2,Constants!$B$10,COUNTA($C$9:$C$508)+1,Constants!$B$9,COUNTA($C$9:$C$508)),$CT350))</f>
        <v/>
      </c>
      <c r="CV350" s="9"/>
      <c r="CW350" s="146" t="n">
        <f aca="false">IF(OR(ISNUMBER($CT350),$CT350=Constants!$B$11,$CT350=Constants!$B$9,$CT350=Constants!$B$10),1,0)</f>
        <v>0</v>
      </c>
      <c r="CX350" s="146" t="n">
        <v>342</v>
      </c>
      <c r="CY350" s="146" t="str">
        <f aca="false">IF(ISBLANK($C350),"",IF(ISNUMBER($CU350),$CU350+ROW($B350)/1000,""))</f>
        <v/>
      </c>
      <c r="CZ350" s="146" t="str">
        <f aca="false">IF(ISNUMBER($CY350),RANK($CY350,$CY$9:$CY$508,1),"")</f>
        <v/>
      </c>
      <c r="DA350" s="146" t="str">
        <f aca="false">IF(ISBLANK($C350),"",$B350)</f>
        <v/>
      </c>
      <c r="DB350" s="146" t="str">
        <f aca="false">IF(ISBLANK($C350),"",$C350)</f>
        <v/>
      </c>
      <c r="DC350" s="146" t="str">
        <f aca="false">IF(ISBLANK($C350),"",$D350)</f>
        <v/>
      </c>
      <c r="DD350" s="147" t="str">
        <f aca="false">$CR350</f>
        <v/>
      </c>
      <c r="DE350" s="148" t="str">
        <f aca="false">$CQ350</f>
        <v/>
      </c>
      <c r="DF350" s="146" t="str">
        <f aca="false">IF(ISBLANK($C350),"",$CT350)</f>
        <v/>
      </c>
      <c r="DG350" s="149" t="str">
        <f aca="false">IF($CX350&gt;$CW$8,"",VLOOKUP($CX350,$CZ$9:$DF$508,7,FALSE()))</f>
        <v/>
      </c>
      <c r="DH350" s="150" t="str">
        <f aca="false">IF($CX350&gt;$CW$8,"",VLOOKUP($CX350,$CZ$9:$DF$508,2,FALSE()))</f>
        <v/>
      </c>
      <c r="DI350" s="150" t="str">
        <f aca="false">IF($CX350&gt;$CW$8,"",VLOOKUP($CX350,$CZ$9:$DF$508,3,FALSE()))</f>
        <v/>
      </c>
      <c r="DJ350" s="150" t="str">
        <f aca="false">IF($CX350&gt;$CW$8,"",VLOOKUP($CX350,$CZ$9:$DF$508,4,FALSE()))</f>
        <v/>
      </c>
      <c r="DK350" s="150" t="str">
        <f aca="false">IF($CX350&gt;$CW$8,"",VLOOKUP($CX350,$CZ$9:$DF$508,5,FALSE()))</f>
        <v/>
      </c>
      <c r="DL350" s="151" t="str">
        <f aca="false">IF($CX350&gt;$CW$8,"",VLOOKUP($CX350,$CZ$9:$DF$508,6,FALSE()))</f>
        <v/>
      </c>
      <c r="DM350" s="75"/>
    </row>
    <row r="351" customFormat="false" ht="15.75" hidden="false" customHeight="false" outlineLevel="0" collapsed="false">
      <c r="A351" s="9"/>
      <c r="B351" s="77"/>
      <c r="C351" s="78"/>
      <c r="D351" s="167"/>
      <c r="E351" s="175"/>
      <c r="F351" s="169"/>
      <c r="G351" s="170"/>
      <c r="H351" s="170"/>
      <c r="I351" s="176"/>
      <c r="J351" s="173"/>
      <c r="K351" s="85"/>
      <c r="L351" s="86"/>
      <c r="M351" s="87"/>
      <c r="N351" s="173"/>
      <c r="O351" s="173"/>
      <c r="P351" s="175"/>
      <c r="Q351" s="173"/>
      <c r="R351" s="173"/>
      <c r="S351" s="85"/>
      <c r="T351" s="87"/>
      <c r="U351" s="87"/>
      <c r="V351" s="173"/>
      <c r="W351" s="173"/>
      <c r="X351" s="175"/>
      <c r="Y351" s="173"/>
      <c r="Z351" s="174"/>
      <c r="AA351" s="173"/>
      <c r="AB351" s="91"/>
      <c r="AC351" s="92"/>
      <c r="AD351" s="92"/>
      <c r="AE351" s="92"/>
      <c r="AF351" s="92" t="str">
        <f aca="false">IF(ISBLANK($C351),"",IF(E351=Constants!$B$3,TRUE(),IF(E351=Constants!$B$4,FALSE(),TRUE())))</f>
        <v/>
      </c>
      <c r="AG351" s="92" t="str">
        <f aca="false">IF(ISBLANK($C351),"",IF(F351=Constants!$B$3,TRUE(),IF(F351=Constants!$B$4,FALSE(),TRUE())))</f>
        <v/>
      </c>
      <c r="AH351" s="92" t="str">
        <f aca="false">IF(ISBLANK($C351),"",IF(G351=Constants!$B$3,TRUE(),IF(G351=Constants!$B$4,FALSE(),TRUE())))</f>
        <v/>
      </c>
      <c r="AI351" s="92" t="str">
        <f aca="false">IF(ISBLANK($C351),"",IF(AND(ISNUMBER(H351),H351&gt;=0),H351,Constants!$B$29))</f>
        <v/>
      </c>
      <c r="AJ351" s="92" t="str">
        <f aca="false">IF(ISBLANK($C351),"",IF(I351=Constants!$B$3,TRUE(),IF(I351=Constants!$B$4,FALSE(),TRUE())))</f>
        <v/>
      </c>
      <c r="AK351" s="92" t="str">
        <f aca="false">IF(ISBLANK($C351),"",IF(J351=Constants!$B$3,TRUE(),IF(J351=Constants!$B$4,FALSE(),TRUE())))</f>
        <v/>
      </c>
      <c r="AL351" s="92" t="str">
        <f aca="false">IF(ISBLANK($C351),"",IF(K351=Constants!$B$5,TRUE(),IF(K351=Constants!$B$6,FALSE(),COUNTA(L351:P351)&gt;0)))</f>
        <v/>
      </c>
      <c r="AM351" s="94" t="str">
        <f aca="false">IF(ISBLANK($C351),"",IF(ISNUMBER(L351),IF(L351&gt;=0,L351,""),""))</f>
        <v/>
      </c>
      <c r="AN351" s="93" t="str">
        <f aca="false">IF(ISBLANK($C351),"",IF(ISNUMBER(M351),IF(M351&gt;=0,M351,""),""))</f>
        <v/>
      </c>
      <c r="AO351" s="93" t="str">
        <f aca="false">IF(ISBLANK($C351),"",IF(N351=Constants!$B$3,TRUE(),IF(N351=Constants!$B$4,FALSE(),TRUE())))</f>
        <v/>
      </c>
      <c r="AP351" s="92" t="str">
        <f aca="false">IF(ISBLANK($C351),"",IF(ISNUMBER(O351),IF(O351&gt;=0,O351,""),""))</f>
        <v/>
      </c>
      <c r="AQ351" s="92" t="str">
        <f aca="false">IF(ISBLANK($C351),"",IF(P351=Constants!$B$3,TRUE(),IF(P351=Constants!$B$4,FALSE(),FALSE())))</f>
        <v/>
      </c>
      <c r="AR351" s="92" t="str">
        <f aca="false">IF(ISBLANK($C351),"",IF(Q351=Constants!$B$3,TRUE(),IF(Q351=Constants!$B$4,FALSE(),TRUE())))</f>
        <v/>
      </c>
      <c r="AS351" s="92" t="str">
        <f aca="false">IF(ISBLANK($C351),"",IF(R351=Constants!$B$3,TRUE(),IF(R351=Constants!$B$4,FALSE(),TRUE())))</f>
        <v/>
      </c>
      <c r="AT351" s="92" t="str">
        <f aca="false">IF(ISBLANK($C351),"",IF(S351=Constants!$B$5,TRUE(),IF(S351=Constants!$B$6,FALSE(),COUNTA(T351:X351)&gt;0)))</f>
        <v/>
      </c>
      <c r="AU351" s="94" t="str">
        <f aca="false">IF(ISBLANK($C351),"",IF(ISNUMBER(T351),IF(T351&gt;=0,T351,""),""))</f>
        <v/>
      </c>
      <c r="AV351" s="93" t="str">
        <f aca="false">IF(ISBLANK($C351),"",IF(ISNUMBER(U351),IF(U351&gt;=0,U351,""),""))</f>
        <v/>
      </c>
      <c r="AW351" s="93" t="str">
        <f aca="false">IF(ISBLANK($C351),"",IF(V351=Constants!$B$3,TRUE(),IF(V351=Constants!$B$4,FALSE(),TRUE())))</f>
        <v/>
      </c>
      <c r="AX351" s="92" t="str">
        <f aca="false">IF(ISBLANK($C351),"",IF(ISNUMBER(W351),IF(W351&gt;=0,W351,""),""))</f>
        <v/>
      </c>
      <c r="AY351" s="92" t="str">
        <f aca="false">IF(ISBLANK($C351),"",IF(X351=Constants!$B$3,TRUE(),IF(X351=Constants!$B$4,FALSE(),FALSE())))</f>
        <v/>
      </c>
      <c r="AZ351" s="92" t="str">
        <f aca="false">IF(ISBLANK($C351),"",MIN(Constants!$B$31,MAX(0,IF(ISNUMBER(Y351),Y351*60,0)+IF(ISNUMBER(Z351),Z351,0))))</f>
        <v/>
      </c>
      <c r="BA351" s="92" t="str">
        <f aca="false">IF(ISBLANK($C351),"",IF(AA351=Constants!$B$3,TRUE(),IF(AA351=Constants!$B$4,FALSE(),FALSE())))</f>
        <v/>
      </c>
      <c r="BB351" s="91" t="str">
        <f aca="false">IF(ISBLANK($C351),"",AND($AL351,OR($AM351="",$AN351="",AND($AO351,$AP351=""))))</f>
        <v/>
      </c>
      <c r="BC351" s="93" t="str">
        <f aca="false">IF($BR351&lt;&gt;Constants!$B$8,"",IF($AL351,Constants!$B$21*$AN351+Constants!$B$22*IF($AO351,$AP351,Constants!$B$23),Constants!$B$24))</f>
        <v/>
      </c>
      <c r="BD351" s="96" t="str">
        <f aca="false">IF($BR351&lt;&gt;Constants!$B$8,"",Constants!$B$25*ABS($AD$9-IF($AL351,$AM351,0)))</f>
        <v/>
      </c>
      <c r="BE351" s="96" t="str">
        <f aca="false">IF($BR351&lt;&gt;Constants!$B$8,"",IF(AND($AL351,$AQ351,$AO351),Constants!$B$27,0))</f>
        <v/>
      </c>
      <c r="BF351" s="96" t="str">
        <f aca="false">IF($BR351&lt;&gt;Constants!$B$8,"",IF($AL351,($AI351-Constants!$B$29)*Constants!$B$28,0))</f>
        <v/>
      </c>
      <c r="BG351" s="96" t="str">
        <f aca="false">IF($BR351&lt;&gt;Constants!$B$8,"",IF($AK351,0,Constants!$B$15)+IF($AJ351,0,Constants!$B$16)+IF($AH351,0,Constants!$B$17))</f>
        <v/>
      </c>
      <c r="BH351" s="97" t="str">
        <f aca="false">IF($BR351&lt;&gt;Constants!$B$8,"",Constants!$B$20+SUM($BC351:$BG351))</f>
        <v/>
      </c>
      <c r="BI351" s="92" t="str">
        <f aca="false">IF($BR351&lt;&gt;Constants!$B$8,"",IF(OR($BP351&lt;$BH351,AND($BP351=$BH351,OR($BK351&lt;$BC351,AND($BK351=$BC351,OR($BL351&lt;$BD351,AND($BL351=$BD351,$AT351,$AL351,$AV351&lt;$AN351)))))),"-&gt;","&lt;-"))</f>
        <v/>
      </c>
      <c r="BJ351" s="91" t="str">
        <f aca="false">IF(ISBLANK($C351),"",AND($AT351,OR($AU351="",$AV351="",AND($AW351,$AX351=""))))</f>
        <v/>
      </c>
      <c r="BK351" s="93" t="str">
        <f aca="false">IF($BR351&lt;&gt;Constants!$B$8,"",IF($AT351,Constants!$B$21*$AV351+Constants!$B$22*IF($AW351,$AX351,Constants!$B$23),Constants!$B$24))</f>
        <v/>
      </c>
      <c r="BL351" s="96" t="str">
        <f aca="false">IF($BR351&lt;&gt;Constants!$B$8,"",Constants!$B$25*ABS($AD$9-IF($AT351,$AU351,0)))</f>
        <v/>
      </c>
      <c r="BM351" s="96" t="str">
        <f aca="false">IF($BR351&lt;&gt;Constants!$B$8,"",IF(AND($AT351,$AY351,$AW351),Constants!$B$27,0))</f>
        <v/>
      </c>
      <c r="BN351" s="96" t="str">
        <f aca="false">IF($BR351&lt;&gt;Constants!$B$8,"",IF($AT351,($AI351-Constants!$B$29)*Constants!$B$28,0))</f>
        <v/>
      </c>
      <c r="BO351" s="96" t="str">
        <f aca="false">IF($BR351&lt;&gt;Constants!$B$8,"",IF($AS351,0,Constants!$B$15)+IF($AR351,0,Constants!$B$16)+IF($AH351,0,Constants!$B$17))</f>
        <v/>
      </c>
      <c r="BP351" s="97" t="str">
        <f aca="false">IF($BR351&lt;&gt;Constants!$B$8,"",Constants!$B$20+SUM($BK351:$BO351))</f>
        <v/>
      </c>
      <c r="BQ351" s="92" t="str">
        <f aca="false">IF(ISBLANK($C351),"",IF(ISBLANK($D$7),$BQ$5,IF(NOT(ISNUMBER($D$7)),$BQ$6,"")))</f>
        <v/>
      </c>
      <c r="BR351" s="92" t="str">
        <f aca="false">IF(ISBLANK($C351),"",IF($BA351,Constants!$B$11,IF(COUNTA($E351:$AA351)=0,Constants!$B$10,IF(NOT($AG351),Constants!$B$9,IF(OR($BQ351&lt;&gt;"",$BB351,$BJ351),Constants!$B$12,Constants!$B$8)))))</f>
        <v/>
      </c>
      <c r="BS351" s="92" t="str">
        <f aca="false">IF(ISBLANK($C351),"",IF($BR351&lt;&gt;Constants!$B$8,$BR351,Constants!$B$13))</f>
        <v/>
      </c>
      <c r="BT351" s="96" t="str">
        <f aca="false">IF($BR351&lt;&gt;Constants!$B$8,"",IF($BI351="-&gt;",$BP351,$BH351))</f>
        <v/>
      </c>
      <c r="BU351" s="96" t="str">
        <f aca="false">IF($BR351&lt;&gt;Constants!$B$8,"",IF($AF351,0,Constants!$B$18))</f>
        <v/>
      </c>
      <c r="BV351" s="96" t="str">
        <f aca="false">IF($BR351&lt;&gt;Constants!$B$8,"",((Constants!$B$31-$AZ351)-Constants!$B$31)/Constants!$B$32)</f>
        <v/>
      </c>
      <c r="BW351" s="96" t="str">
        <f aca="false">IF(ISBLANK($C351),"",IF($BR351&lt;&gt;Constants!$B$8,$BR351,SUM($BT351:$BV351)))</f>
        <v/>
      </c>
      <c r="BX351" s="92" t="str">
        <f aca="false">IF(ISBLANK($C351),"",IF($BR351&lt;&gt;Constants!$B$8,$BR351,RANK($BW351,$BW$9:$BW$508,1)))</f>
        <v/>
      </c>
      <c r="BY351" s="96" t="str">
        <f aca="false">IF($BR351&lt;&gt;Constants!$B$8,"",IF($BI351="-&gt;",$BK351,$BC351))</f>
        <v/>
      </c>
      <c r="BZ351" s="92" t="str">
        <f aca="false">IF(ISBLANK($C351),"",IF($BR351&lt;&gt;Constants!$B$8,$BR351,IF(ISNUMBER($BY351),RANK($BY351,$BY$9:$BY$508,1),COUNT($BY$9:$BY$508)+1)))</f>
        <v/>
      </c>
      <c r="CA351" s="96" t="str">
        <f aca="false">IF($BR351&lt;&gt;Constants!$B$8,"",IF($BI351="-&gt;",$BL351,$BD351))</f>
        <v/>
      </c>
      <c r="CB351" s="92" t="str">
        <f aca="false">IF(ISBLANK($C351),"",IF($BR351&lt;&gt;Constants!$B$8,$BR351,IF(ISNUMBER($CA351),RANK($CA351,$CA$9:$CA$508,1),COUNT($CA$9:$CA$508)+1)))</f>
        <v/>
      </c>
      <c r="CC351" s="96" t="str">
        <f aca="false">IF($BR351&lt;&gt;Constants!$B$8,"",IF($BI351="-&gt;",IF($AT351,$AV351,""),IF($AL351,$AN351,"")))</f>
        <v/>
      </c>
      <c r="CD351" s="92" t="str">
        <f aca="false">IF(ISBLANK($C351),"",IF($BR351&lt;&gt;Constants!$B$8,$BR351,IF(ISNUMBER($CC351),RANK($CC351,$CC$9:$CC$508,1),COUNT($CC$9:$CC$508)+1)))</f>
        <v/>
      </c>
      <c r="CE351" s="96" t="str">
        <f aca="false">IF($BR351&lt;&gt;Constants!$B$8,"",IF(AND(NOT($AL351),NOT($AT351),$AJ351,$AK351,$AR351,$AS351),"",$AI351))</f>
        <v/>
      </c>
      <c r="CF351" s="92" t="str">
        <f aca="false">IF(ISBLANK($C351),"",IF($BR351&lt;&gt;Constants!$B$8,$BR351,IF(ISNUMBER($CE351),RANK($CE351,$CE$9:$CE$508,1),COUNT($CE$9:$CE$508)+1)))</f>
        <v/>
      </c>
      <c r="CG351" s="92" t="str">
        <f aca="false">IF(ISBLANK($C351),"",IF($BR351&lt;&gt;Constants!$B$8,$BR351,COUNTIFS($BX$9:$BX$508,"&lt;"&amp;$BX351)+COUNTIFS($BX$9:$BX$508,$BX351,$BZ$9:$BZ$508,"&lt;"&amp;$BZ351)+COUNTIFS($BX$9:$BX$508,$BX351,$BZ$9:$BZ$508,$BZ351,$CB$9:$CB$508,"&lt;"&amp;$CB351)+COUNTIFS($BX$9:$BX$508,$BX351,$BZ$9:$BZ$508,$BZ351,$CB$9:$CB$508,$CB351,$CD$9:$CD$508,"&lt;"&amp;$CD351)+COUNTIFS($BX$9:$BX$508,$BX351,$BZ$9:$BZ$508,$BZ351,$CB$9:$CB$508,$CB351,$CD$9:$CD$508,$CD351,$CF$9:$CF$508,"&lt;"&amp;$CF351)+1))</f>
        <v/>
      </c>
      <c r="CH351" s="92" t="str">
        <f aca="false">IF(ISBLANK($C351),"",IF($BR351&lt;&gt;Constants!$B$8,$BR351,$BX351-$CG351))</f>
        <v/>
      </c>
      <c r="CI351" s="98"/>
      <c r="CJ351" s="99"/>
      <c r="CK351" s="100" t="str">
        <f aca="false">IF(ISBLANK($C351),"",IF($BR351=Constants!$B$12,$BQ351,""))</f>
        <v/>
      </c>
      <c r="CL351" s="99" t="str">
        <f aca="false">IF(ISBLANK($C351),"",IF($BR351&lt;&gt;Constants!$B$8,"",IF($BI351="-&gt;",2,1)))</f>
        <v/>
      </c>
      <c r="CM351" s="101" t="str">
        <f aca="false">IF(ISBLANK($C351),"",IF($BR351&lt;&gt;Constants!$B$8,"",IF($BI351="-&gt;",$BK351,$BC351)))</f>
        <v/>
      </c>
      <c r="CN351" s="101" t="str">
        <f aca="false">IF(ISBLANK($C351),"",IF($BR351&lt;&gt;Constants!$B$8,"",IF($BI351="-&gt;",$BL351,$BD351)))</f>
        <v/>
      </c>
      <c r="CO351" s="101" t="str">
        <f aca="false">IF(ISBLANK($C351),"",IF($BR351&lt;&gt;Constants!$B$8,"",IF($BI351="-&gt;",$BM351+$BN351,$BE351+$BF351)+$BV351))</f>
        <v/>
      </c>
      <c r="CP351" s="101" t="str">
        <f aca="false">IF(ISBLANK($C351),"",IF($BR351&lt;&gt;Constants!$B$8,"",IF($BI351="-&gt;",$BO351,$BG351)+$BU351))</f>
        <v/>
      </c>
      <c r="CQ351" s="102" t="str">
        <f aca="false">IF(ISBLANK($C351),"",IF($BR351&lt;&gt;Constants!$B$8,$BR351,$BW351))</f>
        <v/>
      </c>
      <c r="CR351" s="103" t="str">
        <f aca="false">IF(ISBLANK($C351),"",$BS351)</f>
        <v/>
      </c>
      <c r="CS351" s="104" t="str">
        <f aca="false">IF(ISBLANK($C351),"",$CH351)</f>
        <v/>
      </c>
      <c r="CT351" s="104" t="str">
        <f aca="false">IF(ISBLANK($C351),"",$CG351)</f>
        <v/>
      </c>
      <c r="CU351" s="105" t="str">
        <f aca="false">IF(ISBLANK($C351),"",IFERROR(_xlfn.SWITCH($CT351,Constants!$B$11,COUNTA($C$9:$C$508)+2,Constants!$B$10,COUNTA($C$9:$C$508)+1,Constants!$B$9,COUNTA($C$9:$C$508)),$CT351))</f>
        <v/>
      </c>
      <c r="CV351" s="9"/>
      <c r="CW351" s="106" t="n">
        <f aca="false">IF(OR(ISNUMBER($CT351),$CT351=Constants!$B$11,$CT351=Constants!$B$9,$CT351=Constants!$B$10),1,0)</f>
        <v>0</v>
      </c>
      <c r="CX351" s="106" t="n">
        <v>343</v>
      </c>
      <c r="CY351" s="106" t="str">
        <f aca="false">IF(ISBLANK($C351),"",IF(ISNUMBER($CU351),$CU351+ROW($B351)/1000,""))</f>
        <v/>
      </c>
      <c r="CZ351" s="106" t="str">
        <f aca="false">IF(ISNUMBER($CY351),RANK($CY351,$CY$9:$CY$508,1),"")</f>
        <v/>
      </c>
      <c r="DA351" s="106" t="str">
        <f aca="false">IF(ISBLANK($C351),"",$B351)</f>
        <v/>
      </c>
      <c r="DB351" s="106" t="str">
        <f aca="false">IF(ISBLANK($C351),"",$C351)</f>
        <v/>
      </c>
      <c r="DC351" s="106" t="str">
        <f aca="false">IF(ISBLANK($C351),"",$D351)</f>
        <v/>
      </c>
      <c r="DD351" s="107" t="str">
        <f aca="false">$CR351</f>
        <v/>
      </c>
      <c r="DE351" s="108" t="str">
        <f aca="false">$CQ351</f>
        <v/>
      </c>
      <c r="DF351" s="106" t="str">
        <f aca="false">IF(ISBLANK($C351),"",$CT351)</f>
        <v/>
      </c>
      <c r="DG351" s="109" t="str">
        <f aca="false">IF($CX351&gt;$CW$8,"",VLOOKUP($CX351,$CZ$9:$DF$508,7,FALSE()))</f>
        <v/>
      </c>
      <c r="DH351" s="110" t="str">
        <f aca="false">IF($CX351&gt;$CW$8,"",VLOOKUP($CX351,$CZ$9:$DF$508,2,FALSE()))</f>
        <v/>
      </c>
      <c r="DI351" s="110" t="str">
        <f aca="false">IF($CX351&gt;$CW$8,"",VLOOKUP($CX351,$CZ$9:$DF$508,3,FALSE()))</f>
        <v/>
      </c>
      <c r="DJ351" s="110" t="str">
        <f aca="false">IF($CX351&gt;$CW$8,"",VLOOKUP($CX351,$CZ$9:$DF$508,4,FALSE()))</f>
        <v/>
      </c>
      <c r="DK351" s="110" t="str">
        <f aca="false">IF($CX351&gt;$CW$8,"",VLOOKUP($CX351,$CZ$9:$DF$508,5,FALSE()))</f>
        <v/>
      </c>
      <c r="DL351" s="111" t="str">
        <f aca="false">IF($CX351&gt;$CW$8,"",VLOOKUP($CX351,$CZ$9:$DF$508,6,FALSE()))</f>
        <v/>
      </c>
      <c r="DM351" s="75"/>
    </row>
    <row r="352" customFormat="false" ht="15.75" hidden="false" customHeight="false" outlineLevel="0" collapsed="false">
      <c r="A352" s="9"/>
      <c r="B352" s="77"/>
      <c r="C352" s="78"/>
      <c r="D352" s="167"/>
      <c r="E352" s="175"/>
      <c r="F352" s="169"/>
      <c r="G352" s="170"/>
      <c r="H352" s="170"/>
      <c r="I352" s="176"/>
      <c r="J352" s="173"/>
      <c r="K352" s="85"/>
      <c r="L352" s="86"/>
      <c r="M352" s="87"/>
      <c r="N352" s="173"/>
      <c r="O352" s="173"/>
      <c r="P352" s="175"/>
      <c r="Q352" s="173"/>
      <c r="R352" s="173"/>
      <c r="S352" s="85"/>
      <c r="T352" s="87"/>
      <c r="U352" s="87"/>
      <c r="V352" s="173"/>
      <c r="W352" s="173"/>
      <c r="X352" s="175"/>
      <c r="Y352" s="173"/>
      <c r="Z352" s="174"/>
      <c r="AA352" s="173"/>
      <c r="AB352" s="91"/>
      <c r="AC352" s="92"/>
      <c r="AD352" s="92"/>
      <c r="AE352" s="92"/>
      <c r="AF352" s="92" t="str">
        <f aca="false">IF(ISBLANK($C352),"",IF(E352=Constants!$B$3,TRUE(),IF(E352=Constants!$B$4,FALSE(),TRUE())))</f>
        <v/>
      </c>
      <c r="AG352" s="92" t="str">
        <f aca="false">IF(ISBLANK($C352),"",IF(F352=Constants!$B$3,TRUE(),IF(F352=Constants!$B$4,FALSE(),TRUE())))</f>
        <v/>
      </c>
      <c r="AH352" s="92" t="str">
        <f aca="false">IF(ISBLANK($C352),"",IF(G352=Constants!$B$3,TRUE(),IF(G352=Constants!$B$4,FALSE(),TRUE())))</f>
        <v/>
      </c>
      <c r="AI352" s="92" t="str">
        <f aca="false">IF(ISBLANK($C352),"",IF(AND(ISNUMBER(H352),H352&gt;=0),H352,Constants!$B$29))</f>
        <v/>
      </c>
      <c r="AJ352" s="92" t="str">
        <f aca="false">IF(ISBLANK($C352),"",IF(I352=Constants!$B$3,TRUE(),IF(I352=Constants!$B$4,FALSE(),TRUE())))</f>
        <v/>
      </c>
      <c r="AK352" s="92" t="str">
        <f aca="false">IF(ISBLANK($C352),"",IF(J352=Constants!$B$3,TRUE(),IF(J352=Constants!$B$4,FALSE(),TRUE())))</f>
        <v/>
      </c>
      <c r="AL352" s="92" t="str">
        <f aca="false">IF(ISBLANK($C352),"",IF(K352=Constants!$B$5,TRUE(),IF(K352=Constants!$B$6,FALSE(),COUNTA(L352:P352)&gt;0)))</f>
        <v/>
      </c>
      <c r="AM352" s="94" t="str">
        <f aca="false">IF(ISBLANK($C352),"",IF(ISNUMBER(L352),IF(L352&gt;=0,L352,""),""))</f>
        <v/>
      </c>
      <c r="AN352" s="93" t="str">
        <f aca="false">IF(ISBLANK($C352),"",IF(ISNUMBER(M352),IF(M352&gt;=0,M352,""),""))</f>
        <v/>
      </c>
      <c r="AO352" s="93" t="str">
        <f aca="false">IF(ISBLANK($C352),"",IF(N352=Constants!$B$3,TRUE(),IF(N352=Constants!$B$4,FALSE(),TRUE())))</f>
        <v/>
      </c>
      <c r="AP352" s="92" t="str">
        <f aca="false">IF(ISBLANK($C352),"",IF(ISNUMBER(O352),IF(O352&gt;=0,O352,""),""))</f>
        <v/>
      </c>
      <c r="AQ352" s="92" t="str">
        <f aca="false">IF(ISBLANK($C352),"",IF(P352=Constants!$B$3,TRUE(),IF(P352=Constants!$B$4,FALSE(),FALSE())))</f>
        <v/>
      </c>
      <c r="AR352" s="92" t="str">
        <f aca="false">IF(ISBLANK($C352),"",IF(Q352=Constants!$B$3,TRUE(),IF(Q352=Constants!$B$4,FALSE(),TRUE())))</f>
        <v/>
      </c>
      <c r="AS352" s="92" t="str">
        <f aca="false">IF(ISBLANK($C352),"",IF(R352=Constants!$B$3,TRUE(),IF(R352=Constants!$B$4,FALSE(),TRUE())))</f>
        <v/>
      </c>
      <c r="AT352" s="92" t="str">
        <f aca="false">IF(ISBLANK($C352),"",IF(S352=Constants!$B$5,TRUE(),IF(S352=Constants!$B$6,FALSE(),COUNTA(T352:X352)&gt;0)))</f>
        <v/>
      </c>
      <c r="AU352" s="94" t="str">
        <f aca="false">IF(ISBLANK($C352),"",IF(ISNUMBER(T352),IF(T352&gt;=0,T352,""),""))</f>
        <v/>
      </c>
      <c r="AV352" s="93" t="str">
        <f aca="false">IF(ISBLANK($C352),"",IF(ISNUMBER(U352),IF(U352&gt;=0,U352,""),""))</f>
        <v/>
      </c>
      <c r="AW352" s="93" t="str">
        <f aca="false">IF(ISBLANK($C352),"",IF(V352=Constants!$B$3,TRUE(),IF(V352=Constants!$B$4,FALSE(),TRUE())))</f>
        <v/>
      </c>
      <c r="AX352" s="92" t="str">
        <f aca="false">IF(ISBLANK($C352),"",IF(ISNUMBER(W352),IF(W352&gt;=0,W352,""),""))</f>
        <v/>
      </c>
      <c r="AY352" s="92" t="str">
        <f aca="false">IF(ISBLANK($C352),"",IF(X352=Constants!$B$3,TRUE(),IF(X352=Constants!$B$4,FALSE(),FALSE())))</f>
        <v/>
      </c>
      <c r="AZ352" s="92" t="str">
        <f aca="false">IF(ISBLANK($C352),"",MIN(Constants!$B$31,MAX(0,IF(ISNUMBER(Y352),Y352*60,0)+IF(ISNUMBER(Z352),Z352,0))))</f>
        <v/>
      </c>
      <c r="BA352" s="92" t="str">
        <f aca="false">IF(ISBLANK($C352),"",IF(AA352=Constants!$B$3,TRUE(),IF(AA352=Constants!$B$4,FALSE(),FALSE())))</f>
        <v/>
      </c>
      <c r="BB352" s="91" t="str">
        <f aca="false">IF(ISBLANK($C352),"",AND($AL352,OR($AM352="",$AN352="",AND($AO352,$AP352=""))))</f>
        <v/>
      </c>
      <c r="BC352" s="93" t="str">
        <f aca="false">IF($BR352&lt;&gt;Constants!$B$8,"",IF($AL352,Constants!$B$21*$AN352+Constants!$B$22*IF($AO352,$AP352,Constants!$B$23),Constants!$B$24))</f>
        <v/>
      </c>
      <c r="BD352" s="96" t="str">
        <f aca="false">IF($BR352&lt;&gt;Constants!$B$8,"",Constants!$B$25*ABS($AD$9-IF($AL352,$AM352,0)))</f>
        <v/>
      </c>
      <c r="BE352" s="96" t="str">
        <f aca="false">IF($BR352&lt;&gt;Constants!$B$8,"",IF(AND($AL352,$AQ352,$AO352),Constants!$B$27,0))</f>
        <v/>
      </c>
      <c r="BF352" s="96" t="str">
        <f aca="false">IF($BR352&lt;&gt;Constants!$B$8,"",IF($AL352,($AI352-Constants!$B$29)*Constants!$B$28,0))</f>
        <v/>
      </c>
      <c r="BG352" s="96" t="str">
        <f aca="false">IF($BR352&lt;&gt;Constants!$B$8,"",IF($AK352,0,Constants!$B$15)+IF($AJ352,0,Constants!$B$16)+IF($AH352,0,Constants!$B$17))</f>
        <v/>
      </c>
      <c r="BH352" s="97" t="str">
        <f aca="false">IF($BR352&lt;&gt;Constants!$B$8,"",Constants!$B$20+SUM($BC352:$BG352))</f>
        <v/>
      </c>
      <c r="BI352" s="92" t="str">
        <f aca="false">IF($BR352&lt;&gt;Constants!$B$8,"",IF(OR($BP352&lt;$BH352,AND($BP352=$BH352,OR($BK352&lt;$BC352,AND($BK352=$BC352,OR($BL352&lt;$BD352,AND($BL352=$BD352,$AT352,$AL352,$AV352&lt;$AN352)))))),"-&gt;","&lt;-"))</f>
        <v/>
      </c>
      <c r="BJ352" s="91" t="str">
        <f aca="false">IF(ISBLANK($C352),"",AND($AT352,OR($AU352="",$AV352="",AND($AW352,$AX352=""))))</f>
        <v/>
      </c>
      <c r="BK352" s="93" t="str">
        <f aca="false">IF($BR352&lt;&gt;Constants!$B$8,"",IF($AT352,Constants!$B$21*$AV352+Constants!$B$22*IF($AW352,$AX352,Constants!$B$23),Constants!$B$24))</f>
        <v/>
      </c>
      <c r="BL352" s="96" t="str">
        <f aca="false">IF($BR352&lt;&gt;Constants!$B$8,"",Constants!$B$25*ABS($AD$9-IF($AT352,$AU352,0)))</f>
        <v/>
      </c>
      <c r="BM352" s="96" t="str">
        <f aca="false">IF($BR352&lt;&gt;Constants!$B$8,"",IF(AND($AT352,$AY352,$AW352),Constants!$B$27,0))</f>
        <v/>
      </c>
      <c r="BN352" s="96" t="str">
        <f aca="false">IF($BR352&lt;&gt;Constants!$B$8,"",IF($AT352,($AI352-Constants!$B$29)*Constants!$B$28,0))</f>
        <v/>
      </c>
      <c r="BO352" s="96" t="str">
        <f aca="false">IF($BR352&lt;&gt;Constants!$B$8,"",IF($AS352,0,Constants!$B$15)+IF($AR352,0,Constants!$B$16)+IF($AH352,0,Constants!$B$17))</f>
        <v/>
      </c>
      <c r="BP352" s="97" t="str">
        <f aca="false">IF($BR352&lt;&gt;Constants!$B$8,"",Constants!$B$20+SUM($BK352:$BO352))</f>
        <v/>
      </c>
      <c r="BQ352" s="92" t="str">
        <f aca="false">IF(ISBLANK($C352),"",IF(ISBLANK($D$7),$BQ$5,IF(NOT(ISNUMBER($D$7)),$BQ$6,"")))</f>
        <v/>
      </c>
      <c r="BR352" s="92" t="str">
        <f aca="false">IF(ISBLANK($C352),"",IF($BA352,Constants!$B$11,IF(COUNTA($E352:$AA352)=0,Constants!$B$10,IF(NOT($AG352),Constants!$B$9,IF(OR($BQ352&lt;&gt;"",$BB352,$BJ352),Constants!$B$12,Constants!$B$8)))))</f>
        <v/>
      </c>
      <c r="BS352" s="92" t="str">
        <f aca="false">IF(ISBLANK($C352),"",IF($BR352&lt;&gt;Constants!$B$8,$BR352,Constants!$B$13))</f>
        <v/>
      </c>
      <c r="BT352" s="96" t="str">
        <f aca="false">IF($BR352&lt;&gt;Constants!$B$8,"",IF($BI352="-&gt;",$BP352,$BH352))</f>
        <v/>
      </c>
      <c r="BU352" s="96" t="str">
        <f aca="false">IF($BR352&lt;&gt;Constants!$B$8,"",IF($AF352,0,Constants!$B$18))</f>
        <v/>
      </c>
      <c r="BV352" s="96" t="str">
        <f aca="false">IF($BR352&lt;&gt;Constants!$B$8,"",((Constants!$B$31-$AZ352)-Constants!$B$31)/Constants!$B$32)</f>
        <v/>
      </c>
      <c r="BW352" s="96" t="str">
        <f aca="false">IF(ISBLANK($C352),"",IF($BR352&lt;&gt;Constants!$B$8,$BR352,SUM($BT352:$BV352)))</f>
        <v/>
      </c>
      <c r="BX352" s="92" t="str">
        <f aca="false">IF(ISBLANK($C352),"",IF($BR352&lt;&gt;Constants!$B$8,$BR352,RANK($BW352,$BW$9:$BW$508,1)))</f>
        <v/>
      </c>
      <c r="BY352" s="96" t="str">
        <f aca="false">IF($BR352&lt;&gt;Constants!$B$8,"",IF($BI352="-&gt;",$BK352,$BC352))</f>
        <v/>
      </c>
      <c r="BZ352" s="92" t="str">
        <f aca="false">IF(ISBLANK($C352),"",IF($BR352&lt;&gt;Constants!$B$8,$BR352,IF(ISNUMBER($BY352),RANK($BY352,$BY$9:$BY$508,1),COUNT($BY$9:$BY$508)+1)))</f>
        <v/>
      </c>
      <c r="CA352" s="96" t="str">
        <f aca="false">IF($BR352&lt;&gt;Constants!$B$8,"",IF($BI352="-&gt;",$BL352,$BD352))</f>
        <v/>
      </c>
      <c r="CB352" s="92" t="str">
        <f aca="false">IF(ISBLANK($C352),"",IF($BR352&lt;&gt;Constants!$B$8,$BR352,IF(ISNUMBER($CA352),RANK($CA352,$CA$9:$CA$508,1),COUNT($CA$9:$CA$508)+1)))</f>
        <v/>
      </c>
      <c r="CC352" s="96" t="str">
        <f aca="false">IF($BR352&lt;&gt;Constants!$B$8,"",IF($BI352="-&gt;",IF($AT352,$AV352,""),IF($AL352,$AN352,"")))</f>
        <v/>
      </c>
      <c r="CD352" s="92" t="str">
        <f aca="false">IF(ISBLANK($C352),"",IF($BR352&lt;&gt;Constants!$B$8,$BR352,IF(ISNUMBER($CC352),RANK($CC352,$CC$9:$CC$508,1),COUNT($CC$9:$CC$508)+1)))</f>
        <v/>
      </c>
      <c r="CE352" s="96" t="str">
        <f aca="false">IF($BR352&lt;&gt;Constants!$B$8,"",IF(AND(NOT($AL352),NOT($AT352),$AJ352,$AK352,$AR352,$AS352),"",$AI352))</f>
        <v/>
      </c>
      <c r="CF352" s="92" t="str">
        <f aca="false">IF(ISBLANK($C352),"",IF($BR352&lt;&gt;Constants!$B$8,$BR352,IF(ISNUMBER($CE352),RANK($CE352,$CE$9:$CE$508,1),COUNT($CE$9:$CE$508)+1)))</f>
        <v/>
      </c>
      <c r="CG352" s="92" t="str">
        <f aca="false">IF(ISBLANK($C352),"",IF($BR352&lt;&gt;Constants!$B$8,$BR352,COUNTIFS($BX$9:$BX$508,"&lt;"&amp;$BX352)+COUNTIFS($BX$9:$BX$508,$BX352,$BZ$9:$BZ$508,"&lt;"&amp;$BZ352)+COUNTIFS($BX$9:$BX$508,$BX352,$BZ$9:$BZ$508,$BZ352,$CB$9:$CB$508,"&lt;"&amp;$CB352)+COUNTIFS($BX$9:$BX$508,$BX352,$BZ$9:$BZ$508,$BZ352,$CB$9:$CB$508,$CB352,$CD$9:$CD$508,"&lt;"&amp;$CD352)+COUNTIFS($BX$9:$BX$508,$BX352,$BZ$9:$BZ$508,$BZ352,$CB$9:$CB$508,$CB352,$CD$9:$CD$508,$CD352,$CF$9:$CF$508,"&lt;"&amp;$CF352)+1))</f>
        <v/>
      </c>
      <c r="CH352" s="92" t="str">
        <f aca="false">IF(ISBLANK($C352),"",IF($BR352&lt;&gt;Constants!$B$8,$BR352,$BX352-$CG352))</f>
        <v/>
      </c>
      <c r="CI352" s="98"/>
      <c r="CJ352" s="99"/>
      <c r="CK352" s="100" t="str">
        <f aca="false">IF(ISBLANK($C352),"",IF($BR352=Constants!$B$12,$BQ352,""))</f>
        <v/>
      </c>
      <c r="CL352" s="99" t="str">
        <f aca="false">IF(ISBLANK($C352),"",IF($BR352&lt;&gt;Constants!$B$8,"",IF($BI352="-&gt;",2,1)))</f>
        <v/>
      </c>
      <c r="CM352" s="101" t="str">
        <f aca="false">IF(ISBLANK($C352),"",IF($BR352&lt;&gt;Constants!$B$8,"",IF($BI352="-&gt;",$BK352,$BC352)))</f>
        <v/>
      </c>
      <c r="CN352" s="101" t="str">
        <f aca="false">IF(ISBLANK($C352),"",IF($BR352&lt;&gt;Constants!$B$8,"",IF($BI352="-&gt;",$BL352,$BD352)))</f>
        <v/>
      </c>
      <c r="CO352" s="101" t="str">
        <f aca="false">IF(ISBLANK($C352),"",IF($BR352&lt;&gt;Constants!$B$8,"",IF($BI352="-&gt;",$BM352+$BN352,$BE352+$BF352)+$BV352))</f>
        <v/>
      </c>
      <c r="CP352" s="101" t="str">
        <f aca="false">IF(ISBLANK($C352),"",IF($BR352&lt;&gt;Constants!$B$8,"",IF($BI352="-&gt;",$BO352,$BG352)+$BU352))</f>
        <v/>
      </c>
      <c r="CQ352" s="102" t="str">
        <f aca="false">IF(ISBLANK($C352),"",IF($BR352&lt;&gt;Constants!$B$8,$BR352,$BW352))</f>
        <v/>
      </c>
      <c r="CR352" s="103" t="str">
        <f aca="false">IF(ISBLANK($C352),"",$BS352)</f>
        <v/>
      </c>
      <c r="CS352" s="104" t="str">
        <f aca="false">IF(ISBLANK($C352),"",$CH352)</f>
        <v/>
      </c>
      <c r="CT352" s="104" t="str">
        <f aca="false">IF(ISBLANK($C352),"",$CG352)</f>
        <v/>
      </c>
      <c r="CU352" s="105" t="str">
        <f aca="false">IF(ISBLANK($C352),"",IFERROR(_xlfn.SWITCH($CT352,Constants!$B$11,COUNTA($C$9:$C$508)+2,Constants!$B$10,COUNTA($C$9:$C$508)+1,Constants!$B$9,COUNTA($C$9:$C$508)),$CT352))</f>
        <v/>
      </c>
      <c r="CV352" s="9"/>
      <c r="CW352" s="106" t="n">
        <f aca="false">IF(OR(ISNUMBER($CT352),$CT352=Constants!$B$11,$CT352=Constants!$B$9,$CT352=Constants!$B$10),1,0)</f>
        <v>0</v>
      </c>
      <c r="CX352" s="106" t="n">
        <v>344</v>
      </c>
      <c r="CY352" s="106" t="str">
        <f aca="false">IF(ISBLANK($C352),"",IF(ISNUMBER($CU352),$CU352+ROW($B352)/1000,""))</f>
        <v/>
      </c>
      <c r="CZ352" s="106" t="str">
        <f aca="false">IF(ISNUMBER($CY352),RANK($CY352,$CY$9:$CY$508,1),"")</f>
        <v/>
      </c>
      <c r="DA352" s="106" t="str">
        <f aca="false">IF(ISBLANK($C352),"",$B352)</f>
        <v/>
      </c>
      <c r="DB352" s="106" t="str">
        <f aca="false">IF(ISBLANK($C352),"",$C352)</f>
        <v/>
      </c>
      <c r="DC352" s="106" t="str">
        <f aca="false">IF(ISBLANK($C352),"",$D352)</f>
        <v/>
      </c>
      <c r="DD352" s="107" t="str">
        <f aca="false">$CR352</f>
        <v/>
      </c>
      <c r="DE352" s="108" t="str">
        <f aca="false">$CQ352</f>
        <v/>
      </c>
      <c r="DF352" s="106" t="str">
        <f aca="false">IF(ISBLANK($C352),"",$CT352)</f>
        <v/>
      </c>
      <c r="DG352" s="109" t="str">
        <f aca="false">IF($CX352&gt;$CW$8,"",VLOOKUP($CX352,$CZ$9:$DF$508,7,FALSE()))</f>
        <v/>
      </c>
      <c r="DH352" s="110" t="str">
        <f aca="false">IF($CX352&gt;$CW$8,"",VLOOKUP($CX352,$CZ$9:$DF$508,2,FALSE()))</f>
        <v/>
      </c>
      <c r="DI352" s="110" t="str">
        <f aca="false">IF($CX352&gt;$CW$8,"",VLOOKUP($CX352,$CZ$9:$DF$508,3,FALSE()))</f>
        <v/>
      </c>
      <c r="DJ352" s="110" t="str">
        <f aca="false">IF($CX352&gt;$CW$8,"",VLOOKUP($CX352,$CZ$9:$DF$508,4,FALSE()))</f>
        <v/>
      </c>
      <c r="DK352" s="110" t="str">
        <f aca="false">IF($CX352&gt;$CW$8,"",VLOOKUP($CX352,$CZ$9:$DF$508,5,FALSE()))</f>
        <v/>
      </c>
      <c r="DL352" s="111" t="str">
        <f aca="false">IF($CX352&gt;$CW$8,"",VLOOKUP($CX352,$CZ$9:$DF$508,6,FALSE()))</f>
        <v/>
      </c>
      <c r="DM352" s="75"/>
    </row>
    <row r="353" customFormat="false" ht="15.75" hidden="false" customHeight="false" outlineLevel="0" collapsed="false">
      <c r="A353" s="9"/>
      <c r="B353" s="77"/>
      <c r="C353" s="78"/>
      <c r="D353" s="167"/>
      <c r="E353" s="175"/>
      <c r="F353" s="169"/>
      <c r="G353" s="170"/>
      <c r="H353" s="170"/>
      <c r="I353" s="176"/>
      <c r="J353" s="173"/>
      <c r="K353" s="85"/>
      <c r="L353" s="86"/>
      <c r="M353" s="87"/>
      <c r="N353" s="173"/>
      <c r="O353" s="173"/>
      <c r="P353" s="175"/>
      <c r="Q353" s="173"/>
      <c r="R353" s="173"/>
      <c r="S353" s="85"/>
      <c r="T353" s="87"/>
      <c r="U353" s="87"/>
      <c r="V353" s="173"/>
      <c r="W353" s="173"/>
      <c r="X353" s="175"/>
      <c r="Y353" s="173"/>
      <c r="Z353" s="174"/>
      <c r="AA353" s="173"/>
      <c r="AB353" s="91"/>
      <c r="AC353" s="92"/>
      <c r="AD353" s="92"/>
      <c r="AE353" s="92"/>
      <c r="AF353" s="92" t="str">
        <f aca="false">IF(ISBLANK($C353),"",IF(E353=Constants!$B$3,TRUE(),IF(E353=Constants!$B$4,FALSE(),TRUE())))</f>
        <v/>
      </c>
      <c r="AG353" s="92" t="str">
        <f aca="false">IF(ISBLANK($C353),"",IF(F353=Constants!$B$3,TRUE(),IF(F353=Constants!$B$4,FALSE(),TRUE())))</f>
        <v/>
      </c>
      <c r="AH353" s="92" t="str">
        <f aca="false">IF(ISBLANK($C353),"",IF(G353=Constants!$B$3,TRUE(),IF(G353=Constants!$B$4,FALSE(),TRUE())))</f>
        <v/>
      </c>
      <c r="AI353" s="92" t="str">
        <f aca="false">IF(ISBLANK($C353),"",IF(AND(ISNUMBER(H353),H353&gt;=0),H353,Constants!$B$29))</f>
        <v/>
      </c>
      <c r="AJ353" s="92" t="str">
        <f aca="false">IF(ISBLANK($C353),"",IF(I353=Constants!$B$3,TRUE(),IF(I353=Constants!$B$4,FALSE(),TRUE())))</f>
        <v/>
      </c>
      <c r="AK353" s="92" t="str">
        <f aca="false">IF(ISBLANK($C353),"",IF(J353=Constants!$B$3,TRUE(),IF(J353=Constants!$B$4,FALSE(),TRUE())))</f>
        <v/>
      </c>
      <c r="AL353" s="92" t="str">
        <f aca="false">IF(ISBLANK($C353),"",IF(K353=Constants!$B$5,TRUE(),IF(K353=Constants!$B$6,FALSE(),COUNTA(L353:P353)&gt;0)))</f>
        <v/>
      </c>
      <c r="AM353" s="94" t="str">
        <f aca="false">IF(ISBLANK($C353),"",IF(ISNUMBER(L353),IF(L353&gt;=0,L353,""),""))</f>
        <v/>
      </c>
      <c r="AN353" s="93" t="str">
        <f aca="false">IF(ISBLANK($C353),"",IF(ISNUMBER(M353),IF(M353&gt;=0,M353,""),""))</f>
        <v/>
      </c>
      <c r="AO353" s="93" t="str">
        <f aca="false">IF(ISBLANK($C353),"",IF(N353=Constants!$B$3,TRUE(),IF(N353=Constants!$B$4,FALSE(),TRUE())))</f>
        <v/>
      </c>
      <c r="AP353" s="92" t="str">
        <f aca="false">IF(ISBLANK($C353),"",IF(ISNUMBER(O353),IF(O353&gt;=0,O353,""),""))</f>
        <v/>
      </c>
      <c r="AQ353" s="92" t="str">
        <f aca="false">IF(ISBLANK($C353),"",IF(P353=Constants!$B$3,TRUE(),IF(P353=Constants!$B$4,FALSE(),FALSE())))</f>
        <v/>
      </c>
      <c r="AR353" s="92" t="str">
        <f aca="false">IF(ISBLANK($C353),"",IF(Q353=Constants!$B$3,TRUE(),IF(Q353=Constants!$B$4,FALSE(),TRUE())))</f>
        <v/>
      </c>
      <c r="AS353" s="92" t="str">
        <f aca="false">IF(ISBLANK($C353),"",IF(R353=Constants!$B$3,TRUE(),IF(R353=Constants!$B$4,FALSE(),TRUE())))</f>
        <v/>
      </c>
      <c r="AT353" s="92" t="str">
        <f aca="false">IF(ISBLANK($C353),"",IF(S353=Constants!$B$5,TRUE(),IF(S353=Constants!$B$6,FALSE(),COUNTA(T353:X353)&gt;0)))</f>
        <v/>
      </c>
      <c r="AU353" s="94" t="str">
        <f aca="false">IF(ISBLANK($C353),"",IF(ISNUMBER(T353),IF(T353&gt;=0,T353,""),""))</f>
        <v/>
      </c>
      <c r="AV353" s="93" t="str">
        <f aca="false">IF(ISBLANK($C353),"",IF(ISNUMBER(U353),IF(U353&gt;=0,U353,""),""))</f>
        <v/>
      </c>
      <c r="AW353" s="93" t="str">
        <f aca="false">IF(ISBLANK($C353),"",IF(V353=Constants!$B$3,TRUE(),IF(V353=Constants!$B$4,FALSE(),TRUE())))</f>
        <v/>
      </c>
      <c r="AX353" s="92" t="str">
        <f aca="false">IF(ISBLANK($C353),"",IF(ISNUMBER(W353),IF(W353&gt;=0,W353,""),""))</f>
        <v/>
      </c>
      <c r="AY353" s="92" t="str">
        <f aca="false">IF(ISBLANK($C353),"",IF(X353=Constants!$B$3,TRUE(),IF(X353=Constants!$B$4,FALSE(),FALSE())))</f>
        <v/>
      </c>
      <c r="AZ353" s="92" t="str">
        <f aca="false">IF(ISBLANK($C353),"",MIN(Constants!$B$31,MAX(0,IF(ISNUMBER(Y353),Y353*60,0)+IF(ISNUMBER(Z353),Z353,0))))</f>
        <v/>
      </c>
      <c r="BA353" s="92" t="str">
        <f aca="false">IF(ISBLANK($C353),"",IF(AA353=Constants!$B$3,TRUE(),IF(AA353=Constants!$B$4,FALSE(),FALSE())))</f>
        <v/>
      </c>
      <c r="BB353" s="91" t="str">
        <f aca="false">IF(ISBLANK($C353),"",AND($AL353,OR($AM353="",$AN353="",AND($AO353,$AP353=""))))</f>
        <v/>
      </c>
      <c r="BC353" s="93" t="str">
        <f aca="false">IF($BR353&lt;&gt;Constants!$B$8,"",IF($AL353,Constants!$B$21*$AN353+Constants!$B$22*IF($AO353,$AP353,Constants!$B$23),Constants!$B$24))</f>
        <v/>
      </c>
      <c r="BD353" s="96" t="str">
        <f aca="false">IF($BR353&lt;&gt;Constants!$B$8,"",Constants!$B$25*ABS($AD$9-IF($AL353,$AM353,0)))</f>
        <v/>
      </c>
      <c r="BE353" s="96" t="str">
        <f aca="false">IF($BR353&lt;&gt;Constants!$B$8,"",IF(AND($AL353,$AQ353,$AO353),Constants!$B$27,0))</f>
        <v/>
      </c>
      <c r="BF353" s="96" t="str">
        <f aca="false">IF($BR353&lt;&gt;Constants!$B$8,"",IF($AL353,($AI353-Constants!$B$29)*Constants!$B$28,0))</f>
        <v/>
      </c>
      <c r="BG353" s="96" t="str">
        <f aca="false">IF($BR353&lt;&gt;Constants!$B$8,"",IF($AK353,0,Constants!$B$15)+IF($AJ353,0,Constants!$B$16)+IF($AH353,0,Constants!$B$17))</f>
        <v/>
      </c>
      <c r="BH353" s="97" t="str">
        <f aca="false">IF($BR353&lt;&gt;Constants!$B$8,"",Constants!$B$20+SUM($BC353:$BG353))</f>
        <v/>
      </c>
      <c r="BI353" s="92" t="str">
        <f aca="false">IF($BR353&lt;&gt;Constants!$B$8,"",IF(OR($BP353&lt;$BH353,AND($BP353=$BH353,OR($BK353&lt;$BC353,AND($BK353=$BC353,OR($BL353&lt;$BD353,AND($BL353=$BD353,$AT353,$AL353,$AV353&lt;$AN353)))))),"-&gt;","&lt;-"))</f>
        <v/>
      </c>
      <c r="BJ353" s="91" t="str">
        <f aca="false">IF(ISBLANK($C353),"",AND($AT353,OR($AU353="",$AV353="",AND($AW353,$AX353=""))))</f>
        <v/>
      </c>
      <c r="BK353" s="93" t="str">
        <f aca="false">IF($BR353&lt;&gt;Constants!$B$8,"",IF($AT353,Constants!$B$21*$AV353+Constants!$B$22*IF($AW353,$AX353,Constants!$B$23),Constants!$B$24))</f>
        <v/>
      </c>
      <c r="BL353" s="96" t="str">
        <f aca="false">IF($BR353&lt;&gt;Constants!$B$8,"",Constants!$B$25*ABS($AD$9-IF($AT353,$AU353,0)))</f>
        <v/>
      </c>
      <c r="BM353" s="96" t="str">
        <f aca="false">IF($BR353&lt;&gt;Constants!$B$8,"",IF(AND($AT353,$AY353,$AW353),Constants!$B$27,0))</f>
        <v/>
      </c>
      <c r="BN353" s="96" t="str">
        <f aca="false">IF($BR353&lt;&gt;Constants!$B$8,"",IF($AT353,($AI353-Constants!$B$29)*Constants!$B$28,0))</f>
        <v/>
      </c>
      <c r="BO353" s="96" t="str">
        <f aca="false">IF($BR353&lt;&gt;Constants!$B$8,"",IF($AS353,0,Constants!$B$15)+IF($AR353,0,Constants!$B$16)+IF($AH353,0,Constants!$B$17))</f>
        <v/>
      </c>
      <c r="BP353" s="97" t="str">
        <f aca="false">IF($BR353&lt;&gt;Constants!$B$8,"",Constants!$B$20+SUM($BK353:$BO353))</f>
        <v/>
      </c>
      <c r="BQ353" s="92" t="str">
        <f aca="false">IF(ISBLANK($C353),"",IF(ISBLANK($D$7),$BQ$5,IF(NOT(ISNUMBER($D$7)),$BQ$6,"")))</f>
        <v/>
      </c>
      <c r="BR353" s="92" t="str">
        <f aca="false">IF(ISBLANK($C353),"",IF($BA353,Constants!$B$11,IF(COUNTA($E353:$AA353)=0,Constants!$B$10,IF(NOT($AG353),Constants!$B$9,IF(OR($BQ353&lt;&gt;"",$BB353,$BJ353),Constants!$B$12,Constants!$B$8)))))</f>
        <v/>
      </c>
      <c r="BS353" s="92" t="str">
        <f aca="false">IF(ISBLANK($C353),"",IF($BR353&lt;&gt;Constants!$B$8,$BR353,Constants!$B$13))</f>
        <v/>
      </c>
      <c r="BT353" s="96" t="str">
        <f aca="false">IF($BR353&lt;&gt;Constants!$B$8,"",IF($BI353="-&gt;",$BP353,$BH353))</f>
        <v/>
      </c>
      <c r="BU353" s="96" t="str">
        <f aca="false">IF($BR353&lt;&gt;Constants!$B$8,"",IF($AF353,0,Constants!$B$18))</f>
        <v/>
      </c>
      <c r="BV353" s="96" t="str">
        <f aca="false">IF($BR353&lt;&gt;Constants!$B$8,"",((Constants!$B$31-$AZ353)-Constants!$B$31)/Constants!$B$32)</f>
        <v/>
      </c>
      <c r="BW353" s="96" t="str">
        <f aca="false">IF(ISBLANK($C353),"",IF($BR353&lt;&gt;Constants!$B$8,$BR353,SUM($BT353:$BV353)))</f>
        <v/>
      </c>
      <c r="BX353" s="92" t="str">
        <f aca="false">IF(ISBLANK($C353),"",IF($BR353&lt;&gt;Constants!$B$8,$BR353,RANK($BW353,$BW$9:$BW$508,1)))</f>
        <v/>
      </c>
      <c r="BY353" s="96" t="str">
        <f aca="false">IF($BR353&lt;&gt;Constants!$B$8,"",IF($BI353="-&gt;",$BK353,$BC353))</f>
        <v/>
      </c>
      <c r="BZ353" s="92" t="str">
        <f aca="false">IF(ISBLANK($C353),"",IF($BR353&lt;&gt;Constants!$B$8,$BR353,IF(ISNUMBER($BY353),RANK($BY353,$BY$9:$BY$508,1),COUNT($BY$9:$BY$508)+1)))</f>
        <v/>
      </c>
      <c r="CA353" s="96" t="str">
        <f aca="false">IF($BR353&lt;&gt;Constants!$B$8,"",IF($BI353="-&gt;",$BL353,$BD353))</f>
        <v/>
      </c>
      <c r="CB353" s="92" t="str">
        <f aca="false">IF(ISBLANK($C353),"",IF($BR353&lt;&gt;Constants!$B$8,$BR353,IF(ISNUMBER($CA353),RANK($CA353,$CA$9:$CA$508,1),COUNT($CA$9:$CA$508)+1)))</f>
        <v/>
      </c>
      <c r="CC353" s="96" t="str">
        <f aca="false">IF($BR353&lt;&gt;Constants!$B$8,"",IF($BI353="-&gt;",IF($AT353,$AV353,""),IF($AL353,$AN353,"")))</f>
        <v/>
      </c>
      <c r="CD353" s="92" t="str">
        <f aca="false">IF(ISBLANK($C353),"",IF($BR353&lt;&gt;Constants!$B$8,$BR353,IF(ISNUMBER($CC353),RANK($CC353,$CC$9:$CC$508,1),COUNT($CC$9:$CC$508)+1)))</f>
        <v/>
      </c>
      <c r="CE353" s="96" t="str">
        <f aca="false">IF($BR353&lt;&gt;Constants!$B$8,"",IF(AND(NOT($AL353),NOT($AT353),$AJ353,$AK353,$AR353,$AS353),"",$AI353))</f>
        <v/>
      </c>
      <c r="CF353" s="92" t="str">
        <f aca="false">IF(ISBLANK($C353),"",IF($BR353&lt;&gt;Constants!$B$8,$BR353,IF(ISNUMBER($CE353),RANK($CE353,$CE$9:$CE$508,1),COUNT($CE$9:$CE$508)+1)))</f>
        <v/>
      </c>
      <c r="CG353" s="92" t="str">
        <f aca="false">IF(ISBLANK($C353),"",IF($BR353&lt;&gt;Constants!$B$8,$BR353,COUNTIFS($BX$9:$BX$508,"&lt;"&amp;$BX353)+COUNTIFS($BX$9:$BX$508,$BX353,$BZ$9:$BZ$508,"&lt;"&amp;$BZ353)+COUNTIFS($BX$9:$BX$508,$BX353,$BZ$9:$BZ$508,$BZ353,$CB$9:$CB$508,"&lt;"&amp;$CB353)+COUNTIFS($BX$9:$BX$508,$BX353,$BZ$9:$BZ$508,$BZ353,$CB$9:$CB$508,$CB353,$CD$9:$CD$508,"&lt;"&amp;$CD353)+COUNTIFS($BX$9:$BX$508,$BX353,$BZ$9:$BZ$508,$BZ353,$CB$9:$CB$508,$CB353,$CD$9:$CD$508,$CD353,$CF$9:$CF$508,"&lt;"&amp;$CF353)+1))</f>
        <v/>
      </c>
      <c r="CH353" s="92" t="str">
        <f aca="false">IF(ISBLANK($C353),"",IF($BR353&lt;&gt;Constants!$B$8,$BR353,$BX353-$CG353))</f>
        <v/>
      </c>
      <c r="CI353" s="98"/>
      <c r="CJ353" s="99"/>
      <c r="CK353" s="100" t="str">
        <f aca="false">IF(ISBLANK($C353),"",IF($BR353=Constants!$B$12,$BQ353,""))</f>
        <v/>
      </c>
      <c r="CL353" s="99" t="str">
        <f aca="false">IF(ISBLANK($C353),"",IF($BR353&lt;&gt;Constants!$B$8,"",IF($BI353="-&gt;",2,1)))</f>
        <v/>
      </c>
      <c r="CM353" s="101" t="str">
        <f aca="false">IF(ISBLANK($C353),"",IF($BR353&lt;&gt;Constants!$B$8,"",IF($BI353="-&gt;",$BK353,$BC353)))</f>
        <v/>
      </c>
      <c r="CN353" s="101" t="str">
        <f aca="false">IF(ISBLANK($C353),"",IF($BR353&lt;&gt;Constants!$B$8,"",IF($BI353="-&gt;",$BL353,$BD353)))</f>
        <v/>
      </c>
      <c r="CO353" s="101" t="str">
        <f aca="false">IF(ISBLANK($C353),"",IF($BR353&lt;&gt;Constants!$B$8,"",IF($BI353="-&gt;",$BM353+$BN353,$BE353+$BF353)+$BV353))</f>
        <v/>
      </c>
      <c r="CP353" s="101" t="str">
        <f aca="false">IF(ISBLANK($C353),"",IF($BR353&lt;&gt;Constants!$B$8,"",IF($BI353="-&gt;",$BO353,$BG353)+$BU353))</f>
        <v/>
      </c>
      <c r="CQ353" s="102" t="str">
        <f aca="false">IF(ISBLANK($C353),"",IF($BR353&lt;&gt;Constants!$B$8,$BR353,$BW353))</f>
        <v/>
      </c>
      <c r="CR353" s="103" t="str">
        <f aca="false">IF(ISBLANK($C353),"",$BS353)</f>
        <v/>
      </c>
      <c r="CS353" s="104" t="str">
        <f aca="false">IF(ISBLANK($C353),"",$CH353)</f>
        <v/>
      </c>
      <c r="CT353" s="104" t="str">
        <f aca="false">IF(ISBLANK($C353),"",$CG353)</f>
        <v/>
      </c>
      <c r="CU353" s="105" t="str">
        <f aca="false">IF(ISBLANK($C353),"",IFERROR(_xlfn.SWITCH($CT353,Constants!$B$11,COUNTA($C$9:$C$508)+2,Constants!$B$10,COUNTA($C$9:$C$508)+1,Constants!$B$9,COUNTA($C$9:$C$508)),$CT353))</f>
        <v/>
      </c>
      <c r="CV353" s="9"/>
      <c r="CW353" s="106" t="n">
        <f aca="false">IF(OR(ISNUMBER($CT353),$CT353=Constants!$B$11,$CT353=Constants!$B$9,$CT353=Constants!$B$10),1,0)</f>
        <v>0</v>
      </c>
      <c r="CX353" s="106" t="n">
        <v>345</v>
      </c>
      <c r="CY353" s="106" t="str">
        <f aca="false">IF(ISBLANK($C353),"",IF(ISNUMBER($CU353),$CU353+ROW($B353)/1000,""))</f>
        <v/>
      </c>
      <c r="CZ353" s="106" t="str">
        <f aca="false">IF(ISNUMBER($CY353),RANK($CY353,$CY$9:$CY$508,1),"")</f>
        <v/>
      </c>
      <c r="DA353" s="106" t="str">
        <f aca="false">IF(ISBLANK($C353),"",$B353)</f>
        <v/>
      </c>
      <c r="DB353" s="106" t="str">
        <f aca="false">IF(ISBLANK($C353),"",$C353)</f>
        <v/>
      </c>
      <c r="DC353" s="106" t="str">
        <f aca="false">IF(ISBLANK($C353),"",$D353)</f>
        <v/>
      </c>
      <c r="DD353" s="107" t="str">
        <f aca="false">$CR353</f>
        <v/>
      </c>
      <c r="DE353" s="108" t="str">
        <f aca="false">$CQ353</f>
        <v/>
      </c>
      <c r="DF353" s="106" t="str">
        <f aca="false">IF(ISBLANK($C353),"",$CT353)</f>
        <v/>
      </c>
      <c r="DG353" s="109" t="str">
        <f aca="false">IF($CX353&gt;$CW$8,"",VLOOKUP($CX353,$CZ$9:$DF$508,7,FALSE()))</f>
        <v/>
      </c>
      <c r="DH353" s="110" t="str">
        <f aca="false">IF($CX353&gt;$CW$8,"",VLOOKUP($CX353,$CZ$9:$DF$508,2,FALSE()))</f>
        <v/>
      </c>
      <c r="DI353" s="110" t="str">
        <f aca="false">IF($CX353&gt;$CW$8,"",VLOOKUP($CX353,$CZ$9:$DF$508,3,FALSE()))</f>
        <v/>
      </c>
      <c r="DJ353" s="110" t="str">
        <f aca="false">IF($CX353&gt;$CW$8,"",VLOOKUP($CX353,$CZ$9:$DF$508,4,FALSE()))</f>
        <v/>
      </c>
      <c r="DK353" s="110" t="str">
        <f aca="false">IF($CX353&gt;$CW$8,"",VLOOKUP($CX353,$CZ$9:$DF$508,5,FALSE()))</f>
        <v/>
      </c>
      <c r="DL353" s="111" t="str">
        <f aca="false">IF($CX353&gt;$CW$8,"",VLOOKUP($CX353,$CZ$9:$DF$508,6,FALSE()))</f>
        <v/>
      </c>
      <c r="DM353" s="75"/>
    </row>
    <row r="354" customFormat="false" ht="15.75" hidden="false" customHeight="false" outlineLevel="0" collapsed="false">
      <c r="A354" s="9"/>
      <c r="B354" s="157"/>
      <c r="C354" s="158"/>
      <c r="D354" s="159"/>
      <c r="E354" s="177"/>
      <c r="F354" s="161"/>
      <c r="G354" s="162"/>
      <c r="H354" s="162"/>
      <c r="I354" s="178"/>
      <c r="J354" s="165"/>
      <c r="K354" s="126"/>
      <c r="L354" s="127"/>
      <c r="M354" s="128"/>
      <c r="N354" s="165"/>
      <c r="O354" s="165"/>
      <c r="P354" s="177"/>
      <c r="Q354" s="165"/>
      <c r="R354" s="165"/>
      <c r="S354" s="126"/>
      <c r="T354" s="128"/>
      <c r="U354" s="128"/>
      <c r="V354" s="165"/>
      <c r="W354" s="165"/>
      <c r="X354" s="177"/>
      <c r="Y354" s="165"/>
      <c r="Z354" s="166"/>
      <c r="AA354" s="165"/>
      <c r="AB354" s="132"/>
      <c r="AC354" s="133"/>
      <c r="AD354" s="133"/>
      <c r="AE354" s="133"/>
      <c r="AF354" s="133" t="str">
        <f aca="false">IF(ISBLANK($C354),"",IF(E354=Constants!$B$3,TRUE(),IF(E354=Constants!$B$4,FALSE(),TRUE())))</f>
        <v/>
      </c>
      <c r="AG354" s="133" t="str">
        <f aca="false">IF(ISBLANK($C354),"",IF(F354=Constants!$B$3,TRUE(),IF(F354=Constants!$B$4,FALSE(),TRUE())))</f>
        <v/>
      </c>
      <c r="AH354" s="133" t="str">
        <f aca="false">IF(ISBLANK($C354),"",IF(G354=Constants!$B$3,TRUE(),IF(G354=Constants!$B$4,FALSE(),TRUE())))</f>
        <v/>
      </c>
      <c r="AI354" s="133" t="str">
        <f aca="false">IF(ISBLANK($C354),"",IF(AND(ISNUMBER(H354),H354&gt;=0),H354,Constants!$B$29))</f>
        <v/>
      </c>
      <c r="AJ354" s="133" t="str">
        <f aca="false">IF(ISBLANK($C354),"",IF(I354=Constants!$B$3,TRUE(),IF(I354=Constants!$B$4,FALSE(),TRUE())))</f>
        <v/>
      </c>
      <c r="AK354" s="133" t="str">
        <f aca="false">IF(ISBLANK($C354),"",IF(J354=Constants!$B$3,TRUE(),IF(J354=Constants!$B$4,FALSE(),TRUE())))</f>
        <v/>
      </c>
      <c r="AL354" s="133" t="str">
        <f aca="false">IF(ISBLANK($C354),"",IF(K354=Constants!$B$5,TRUE(),IF(K354=Constants!$B$6,FALSE(),COUNTA(L354:P354)&gt;0)))</f>
        <v/>
      </c>
      <c r="AM354" s="134" t="str">
        <f aca="false">IF(ISBLANK($C354),"",IF(ISNUMBER(L354),IF(L354&gt;=0,L354,""),""))</f>
        <v/>
      </c>
      <c r="AN354" s="135" t="str">
        <f aca="false">IF(ISBLANK($C354),"",IF(ISNUMBER(M354),IF(M354&gt;=0,M354,""),""))</f>
        <v/>
      </c>
      <c r="AO354" s="135" t="str">
        <f aca="false">IF(ISBLANK($C354),"",IF(N354=Constants!$B$3,TRUE(),IF(N354=Constants!$B$4,FALSE(),TRUE())))</f>
        <v/>
      </c>
      <c r="AP354" s="133" t="str">
        <f aca="false">IF(ISBLANK($C354),"",IF(ISNUMBER(O354),IF(O354&gt;=0,O354,""),""))</f>
        <v/>
      </c>
      <c r="AQ354" s="133" t="str">
        <f aca="false">IF(ISBLANK($C354),"",IF(P354=Constants!$B$3,TRUE(),IF(P354=Constants!$B$4,FALSE(),FALSE())))</f>
        <v/>
      </c>
      <c r="AR354" s="133" t="str">
        <f aca="false">IF(ISBLANK($C354),"",IF(Q354=Constants!$B$3,TRUE(),IF(Q354=Constants!$B$4,FALSE(),TRUE())))</f>
        <v/>
      </c>
      <c r="AS354" s="133" t="str">
        <f aca="false">IF(ISBLANK($C354),"",IF(R354=Constants!$B$3,TRUE(),IF(R354=Constants!$B$4,FALSE(),TRUE())))</f>
        <v/>
      </c>
      <c r="AT354" s="133" t="str">
        <f aca="false">IF(ISBLANK($C354),"",IF(S354=Constants!$B$5,TRUE(),IF(S354=Constants!$B$6,FALSE(),COUNTA(T354:X354)&gt;0)))</f>
        <v/>
      </c>
      <c r="AU354" s="134" t="str">
        <f aca="false">IF(ISBLANK($C354),"",IF(ISNUMBER(T354),IF(T354&gt;=0,T354,""),""))</f>
        <v/>
      </c>
      <c r="AV354" s="135" t="str">
        <f aca="false">IF(ISBLANK($C354),"",IF(ISNUMBER(U354),IF(U354&gt;=0,U354,""),""))</f>
        <v/>
      </c>
      <c r="AW354" s="135" t="str">
        <f aca="false">IF(ISBLANK($C354),"",IF(V354=Constants!$B$3,TRUE(),IF(V354=Constants!$B$4,FALSE(),TRUE())))</f>
        <v/>
      </c>
      <c r="AX354" s="133" t="str">
        <f aca="false">IF(ISBLANK($C354),"",IF(ISNUMBER(W354),IF(W354&gt;=0,W354,""),""))</f>
        <v/>
      </c>
      <c r="AY354" s="133" t="str">
        <f aca="false">IF(ISBLANK($C354),"",IF(X354=Constants!$B$3,TRUE(),IF(X354=Constants!$B$4,FALSE(),FALSE())))</f>
        <v/>
      </c>
      <c r="AZ354" s="133" t="str">
        <f aca="false">IF(ISBLANK($C354),"",MIN(Constants!$B$31,MAX(0,IF(ISNUMBER(Y354),Y354*60,0)+IF(ISNUMBER(Z354),Z354,0))))</f>
        <v/>
      </c>
      <c r="BA354" s="133" t="str">
        <f aca="false">IF(ISBLANK($C354),"",IF(AA354=Constants!$B$3,TRUE(),IF(AA354=Constants!$B$4,FALSE(),FALSE())))</f>
        <v/>
      </c>
      <c r="BB354" s="132" t="str">
        <f aca="false">IF(ISBLANK($C354),"",AND($AL354,OR($AM354="",$AN354="",AND($AO354,$AP354=""))))</f>
        <v/>
      </c>
      <c r="BC354" s="135" t="str">
        <f aca="false">IF($BR354&lt;&gt;Constants!$B$8,"",IF($AL354,Constants!$B$21*$AN354+Constants!$B$22*IF($AO354,$AP354,Constants!$B$23),Constants!$B$24))</f>
        <v/>
      </c>
      <c r="BD354" s="136" t="str">
        <f aca="false">IF($BR354&lt;&gt;Constants!$B$8,"",Constants!$B$25*ABS($AD$9-IF($AL354,$AM354,0)))</f>
        <v/>
      </c>
      <c r="BE354" s="136" t="str">
        <f aca="false">IF($BR354&lt;&gt;Constants!$B$8,"",IF(AND($AL354,$AQ354,$AO354),Constants!$B$27,0))</f>
        <v/>
      </c>
      <c r="BF354" s="136" t="str">
        <f aca="false">IF($BR354&lt;&gt;Constants!$B$8,"",IF($AL354,($AI354-Constants!$B$29)*Constants!$B$28,0))</f>
        <v/>
      </c>
      <c r="BG354" s="136" t="str">
        <f aca="false">IF($BR354&lt;&gt;Constants!$B$8,"",IF($AK354,0,Constants!$B$15)+IF($AJ354,0,Constants!$B$16)+IF($AH354,0,Constants!$B$17))</f>
        <v/>
      </c>
      <c r="BH354" s="137" t="str">
        <f aca="false">IF($BR354&lt;&gt;Constants!$B$8,"",Constants!$B$20+SUM($BC354:$BG354))</f>
        <v/>
      </c>
      <c r="BI354" s="133" t="str">
        <f aca="false">IF($BR354&lt;&gt;Constants!$B$8,"",IF(OR($BP354&lt;$BH354,AND($BP354=$BH354,OR($BK354&lt;$BC354,AND($BK354=$BC354,OR($BL354&lt;$BD354,AND($BL354=$BD354,$AT354,$AL354,$AV354&lt;$AN354)))))),"-&gt;","&lt;-"))</f>
        <v/>
      </c>
      <c r="BJ354" s="132" t="str">
        <f aca="false">IF(ISBLANK($C354),"",AND($AT354,OR($AU354="",$AV354="",AND($AW354,$AX354=""))))</f>
        <v/>
      </c>
      <c r="BK354" s="135" t="str">
        <f aca="false">IF($BR354&lt;&gt;Constants!$B$8,"",IF($AT354,Constants!$B$21*$AV354+Constants!$B$22*IF($AW354,$AX354,Constants!$B$23),Constants!$B$24))</f>
        <v/>
      </c>
      <c r="BL354" s="136" t="str">
        <f aca="false">IF($BR354&lt;&gt;Constants!$B$8,"",Constants!$B$25*ABS($AD$9-IF($AT354,$AU354,0)))</f>
        <v/>
      </c>
      <c r="BM354" s="136" t="str">
        <f aca="false">IF($BR354&lt;&gt;Constants!$B$8,"",IF(AND($AT354,$AY354,$AW354),Constants!$B$27,0))</f>
        <v/>
      </c>
      <c r="BN354" s="136" t="str">
        <f aca="false">IF($BR354&lt;&gt;Constants!$B$8,"",IF($AT354,($AI354-Constants!$B$29)*Constants!$B$28,0))</f>
        <v/>
      </c>
      <c r="BO354" s="136" t="str">
        <f aca="false">IF($BR354&lt;&gt;Constants!$B$8,"",IF($AS354,0,Constants!$B$15)+IF($AR354,0,Constants!$B$16)+IF($AH354,0,Constants!$B$17))</f>
        <v/>
      </c>
      <c r="BP354" s="137" t="str">
        <f aca="false">IF($BR354&lt;&gt;Constants!$B$8,"",Constants!$B$20+SUM($BK354:$BO354))</f>
        <v/>
      </c>
      <c r="BQ354" s="133" t="str">
        <f aca="false">IF(ISBLANK($C354),"",IF(ISBLANK($D$7),$BQ$5,IF(NOT(ISNUMBER($D$7)),$BQ$6,"")))</f>
        <v/>
      </c>
      <c r="BR354" s="133" t="str">
        <f aca="false">IF(ISBLANK($C354),"",IF($BA354,Constants!$B$11,IF(COUNTA($E354:$AA354)=0,Constants!$B$10,IF(NOT($AG354),Constants!$B$9,IF(OR($BQ354&lt;&gt;"",$BB354,$BJ354),Constants!$B$12,Constants!$B$8)))))</f>
        <v/>
      </c>
      <c r="BS354" s="133" t="str">
        <f aca="false">IF(ISBLANK($C354),"",IF($BR354&lt;&gt;Constants!$B$8,$BR354,Constants!$B$13))</f>
        <v/>
      </c>
      <c r="BT354" s="136" t="str">
        <f aca="false">IF($BR354&lt;&gt;Constants!$B$8,"",IF($BI354="-&gt;",$BP354,$BH354))</f>
        <v/>
      </c>
      <c r="BU354" s="136" t="str">
        <f aca="false">IF($BR354&lt;&gt;Constants!$B$8,"",IF($AF354,0,Constants!$B$18))</f>
        <v/>
      </c>
      <c r="BV354" s="136" t="str">
        <f aca="false">IF($BR354&lt;&gt;Constants!$B$8,"",((Constants!$B$31-$AZ354)-Constants!$B$31)/Constants!$B$32)</f>
        <v/>
      </c>
      <c r="BW354" s="136" t="str">
        <f aca="false">IF(ISBLANK($C354),"",IF($BR354&lt;&gt;Constants!$B$8,$BR354,SUM($BT354:$BV354)))</f>
        <v/>
      </c>
      <c r="BX354" s="133" t="str">
        <f aca="false">IF(ISBLANK($C354),"",IF($BR354&lt;&gt;Constants!$B$8,$BR354,RANK($BW354,$BW$9:$BW$508,1)))</f>
        <v/>
      </c>
      <c r="BY354" s="136" t="str">
        <f aca="false">IF($BR354&lt;&gt;Constants!$B$8,"",IF($BI354="-&gt;",$BK354,$BC354))</f>
        <v/>
      </c>
      <c r="BZ354" s="133" t="str">
        <f aca="false">IF(ISBLANK($C354),"",IF($BR354&lt;&gt;Constants!$B$8,$BR354,IF(ISNUMBER($BY354),RANK($BY354,$BY$9:$BY$508,1),COUNT($BY$9:$BY$508)+1)))</f>
        <v/>
      </c>
      <c r="CA354" s="136" t="str">
        <f aca="false">IF($BR354&lt;&gt;Constants!$B$8,"",IF($BI354="-&gt;",$BL354,$BD354))</f>
        <v/>
      </c>
      <c r="CB354" s="133" t="str">
        <f aca="false">IF(ISBLANK($C354),"",IF($BR354&lt;&gt;Constants!$B$8,$BR354,IF(ISNUMBER($CA354),RANK($CA354,$CA$9:$CA$508,1),COUNT($CA$9:$CA$508)+1)))</f>
        <v/>
      </c>
      <c r="CC354" s="136" t="str">
        <f aca="false">IF($BR354&lt;&gt;Constants!$B$8,"",IF($BI354="-&gt;",IF($AT354,$AV354,""),IF($AL354,$AN354,"")))</f>
        <v/>
      </c>
      <c r="CD354" s="133" t="str">
        <f aca="false">IF(ISBLANK($C354),"",IF($BR354&lt;&gt;Constants!$B$8,$BR354,IF(ISNUMBER($CC354),RANK($CC354,$CC$9:$CC$508,1),COUNT($CC$9:$CC$508)+1)))</f>
        <v/>
      </c>
      <c r="CE354" s="136" t="str">
        <f aca="false">IF($BR354&lt;&gt;Constants!$B$8,"",IF(AND(NOT($AL354),NOT($AT354),$AJ354,$AK354,$AR354,$AS354),"",$AI354))</f>
        <v/>
      </c>
      <c r="CF354" s="133" t="str">
        <f aca="false">IF(ISBLANK($C354),"",IF($BR354&lt;&gt;Constants!$B$8,$BR354,IF(ISNUMBER($CE354),RANK($CE354,$CE$9:$CE$508,1),COUNT($CE$9:$CE$508)+1)))</f>
        <v/>
      </c>
      <c r="CG354" s="133" t="str">
        <f aca="false">IF(ISBLANK($C354),"",IF($BR354&lt;&gt;Constants!$B$8,$BR354,COUNTIFS($BX$9:$BX$508,"&lt;"&amp;$BX354)+COUNTIFS($BX$9:$BX$508,$BX354,$BZ$9:$BZ$508,"&lt;"&amp;$BZ354)+COUNTIFS($BX$9:$BX$508,$BX354,$BZ$9:$BZ$508,$BZ354,$CB$9:$CB$508,"&lt;"&amp;$CB354)+COUNTIFS($BX$9:$BX$508,$BX354,$BZ$9:$BZ$508,$BZ354,$CB$9:$CB$508,$CB354,$CD$9:$CD$508,"&lt;"&amp;$CD354)+COUNTIFS($BX$9:$BX$508,$BX354,$BZ$9:$BZ$508,$BZ354,$CB$9:$CB$508,$CB354,$CD$9:$CD$508,$CD354,$CF$9:$CF$508,"&lt;"&amp;$CF354)+1))</f>
        <v/>
      </c>
      <c r="CH354" s="133" t="str">
        <f aca="false">IF(ISBLANK($C354),"",IF($BR354&lt;&gt;Constants!$B$8,$BR354,$BX354-$CG354))</f>
        <v/>
      </c>
      <c r="CI354" s="138"/>
      <c r="CJ354" s="139"/>
      <c r="CK354" s="140" t="str">
        <f aca="false">IF(ISBLANK($C354),"",IF($BR354=Constants!$B$12,$BQ354,""))</f>
        <v/>
      </c>
      <c r="CL354" s="139" t="str">
        <f aca="false">IF(ISBLANK($C354),"",IF($BR354&lt;&gt;Constants!$B$8,"",IF($BI354="-&gt;",2,1)))</f>
        <v/>
      </c>
      <c r="CM354" s="141" t="str">
        <f aca="false">IF(ISBLANK($C354),"",IF($BR354&lt;&gt;Constants!$B$8,"",IF($BI354="-&gt;",$BK354,$BC354)))</f>
        <v/>
      </c>
      <c r="CN354" s="141" t="str">
        <f aca="false">IF(ISBLANK($C354),"",IF($BR354&lt;&gt;Constants!$B$8,"",IF($BI354="-&gt;",$BL354,$BD354)))</f>
        <v/>
      </c>
      <c r="CO354" s="141" t="str">
        <f aca="false">IF(ISBLANK($C354),"",IF($BR354&lt;&gt;Constants!$B$8,"",IF($BI354="-&gt;",$BM354+$BN354,$BE354+$BF354)+$BV354))</f>
        <v/>
      </c>
      <c r="CP354" s="141" t="str">
        <f aca="false">IF(ISBLANK($C354),"",IF($BR354&lt;&gt;Constants!$B$8,"",IF($BI354="-&gt;",$BO354,$BG354)+$BU354))</f>
        <v/>
      </c>
      <c r="CQ354" s="142" t="str">
        <f aca="false">IF(ISBLANK($C354),"",IF($BR354&lt;&gt;Constants!$B$8,$BR354,$BW354))</f>
        <v/>
      </c>
      <c r="CR354" s="143" t="str">
        <f aca="false">IF(ISBLANK($C354),"",$BS354)</f>
        <v/>
      </c>
      <c r="CS354" s="144" t="str">
        <f aca="false">IF(ISBLANK($C354),"",$CH354)</f>
        <v/>
      </c>
      <c r="CT354" s="144" t="str">
        <f aca="false">IF(ISBLANK($C354),"",$CG354)</f>
        <v/>
      </c>
      <c r="CU354" s="145" t="str">
        <f aca="false">IF(ISBLANK($C354),"",IFERROR(_xlfn.SWITCH($CT354,Constants!$B$11,COUNTA($C$9:$C$508)+2,Constants!$B$10,COUNTA($C$9:$C$508)+1,Constants!$B$9,COUNTA($C$9:$C$508)),$CT354))</f>
        <v/>
      </c>
      <c r="CV354" s="9"/>
      <c r="CW354" s="146" t="n">
        <f aca="false">IF(OR(ISNUMBER($CT354),$CT354=Constants!$B$11,$CT354=Constants!$B$9,$CT354=Constants!$B$10),1,0)</f>
        <v>0</v>
      </c>
      <c r="CX354" s="146" t="n">
        <v>346</v>
      </c>
      <c r="CY354" s="146" t="str">
        <f aca="false">IF(ISBLANK($C354),"",IF(ISNUMBER($CU354),$CU354+ROW($B354)/1000,""))</f>
        <v/>
      </c>
      <c r="CZ354" s="146" t="str">
        <f aca="false">IF(ISNUMBER($CY354),RANK($CY354,$CY$9:$CY$508,1),"")</f>
        <v/>
      </c>
      <c r="DA354" s="146" t="str">
        <f aca="false">IF(ISBLANK($C354),"",$B354)</f>
        <v/>
      </c>
      <c r="DB354" s="146" t="str">
        <f aca="false">IF(ISBLANK($C354),"",$C354)</f>
        <v/>
      </c>
      <c r="DC354" s="146" t="str">
        <f aca="false">IF(ISBLANK($C354),"",$D354)</f>
        <v/>
      </c>
      <c r="DD354" s="147" t="str">
        <f aca="false">$CR354</f>
        <v/>
      </c>
      <c r="DE354" s="148" t="str">
        <f aca="false">$CQ354</f>
        <v/>
      </c>
      <c r="DF354" s="146" t="str">
        <f aca="false">IF(ISBLANK($C354),"",$CT354)</f>
        <v/>
      </c>
      <c r="DG354" s="149" t="str">
        <f aca="false">IF($CX354&gt;$CW$8,"",VLOOKUP($CX354,$CZ$9:$DF$508,7,FALSE()))</f>
        <v/>
      </c>
      <c r="DH354" s="150" t="str">
        <f aca="false">IF($CX354&gt;$CW$8,"",VLOOKUP($CX354,$CZ$9:$DF$508,2,FALSE()))</f>
        <v/>
      </c>
      <c r="DI354" s="150" t="str">
        <f aca="false">IF($CX354&gt;$CW$8,"",VLOOKUP($CX354,$CZ$9:$DF$508,3,FALSE()))</f>
        <v/>
      </c>
      <c r="DJ354" s="150" t="str">
        <f aca="false">IF($CX354&gt;$CW$8,"",VLOOKUP($CX354,$CZ$9:$DF$508,4,FALSE()))</f>
        <v/>
      </c>
      <c r="DK354" s="150" t="str">
        <f aca="false">IF($CX354&gt;$CW$8,"",VLOOKUP($CX354,$CZ$9:$DF$508,5,FALSE()))</f>
        <v/>
      </c>
      <c r="DL354" s="151" t="str">
        <f aca="false">IF($CX354&gt;$CW$8,"",VLOOKUP($CX354,$CZ$9:$DF$508,6,FALSE()))</f>
        <v/>
      </c>
      <c r="DM354" s="75"/>
    </row>
    <row r="355" customFormat="false" ht="15.75" hidden="false" customHeight="false" outlineLevel="0" collapsed="false">
      <c r="A355" s="9"/>
      <c r="B355" s="157"/>
      <c r="C355" s="158"/>
      <c r="D355" s="159"/>
      <c r="E355" s="177"/>
      <c r="F355" s="161"/>
      <c r="G355" s="162"/>
      <c r="H355" s="162"/>
      <c r="I355" s="178"/>
      <c r="J355" s="165"/>
      <c r="K355" s="126"/>
      <c r="L355" s="127"/>
      <c r="M355" s="128"/>
      <c r="N355" s="165"/>
      <c r="O355" s="165"/>
      <c r="P355" s="177"/>
      <c r="Q355" s="165"/>
      <c r="R355" s="165"/>
      <c r="S355" s="126"/>
      <c r="T355" s="128"/>
      <c r="U355" s="128"/>
      <c r="V355" s="165"/>
      <c r="W355" s="165"/>
      <c r="X355" s="177"/>
      <c r="Y355" s="165"/>
      <c r="Z355" s="166"/>
      <c r="AA355" s="165"/>
      <c r="AB355" s="132"/>
      <c r="AC355" s="133"/>
      <c r="AD355" s="133"/>
      <c r="AE355" s="133"/>
      <c r="AF355" s="133" t="str">
        <f aca="false">IF(ISBLANK($C355),"",IF(E355=Constants!$B$3,TRUE(),IF(E355=Constants!$B$4,FALSE(),TRUE())))</f>
        <v/>
      </c>
      <c r="AG355" s="133" t="str">
        <f aca="false">IF(ISBLANK($C355),"",IF(F355=Constants!$B$3,TRUE(),IF(F355=Constants!$B$4,FALSE(),TRUE())))</f>
        <v/>
      </c>
      <c r="AH355" s="133" t="str">
        <f aca="false">IF(ISBLANK($C355),"",IF(G355=Constants!$B$3,TRUE(),IF(G355=Constants!$B$4,FALSE(),TRUE())))</f>
        <v/>
      </c>
      <c r="AI355" s="133" t="str">
        <f aca="false">IF(ISBLANK($C355),"",IF(AND(ISNUMBER(H355),H355&gt;=0),H355,Constants!$B$29))</f>
        <v/>
      </c>
      <c r="AJ355" s="133" t="str">
        <f aca="false">IF(ISBLANK($C355),"",IF(I355=Constants!$B$3,TRUE(),IF(I355=Constants!$B$4,FALSE(),TRUE())))</f>
        <v/>
      </c>
      <c r="AK355" s="133" t="str">
        <f aca="false">IF(ISBLANK($C355),"",IF(J355=Constants!$B$3,TRUE(),IF(J355=Constants!$B$4,FALSE(),TRUE())))</f>
        <v/>
      </c>
      <c r="AL355" s="133" t="str">
        <f aca="false">IF(ISBLANK($C355),"",IF(K355=Constants!$B$5,TRUE(),IF(K355=Constants!$B$6,FALSE(),COUNTA(L355:P355)&gt;0)))</f>
        <v/>
      </c>
      <c r="AM355" s="134" t="str">
        <f aca="false">IF(ISBLANK($C355),"",IF(ISNUMBER(L355),IF(L355&gt;=0,L355,""),""))</f>
        <v/>
      </c>
      <c r="AN355" s="135" t="str">
        <f aca="false">IF(ISBLANK($C355),"",IF(ISNUMBER(M355),IF(M355&gt;=0,M355,""),""))</f>
        <v/>
      </c>
      <c r="AO355" s="135" t="str">
        <f aca="false">IF(ISBLANK($C355),"",IF(N355=Constants!$B$3,TRUE(),IF(N355=Constants!$B$4,FALSE(),TRUE())))</f>
        <v/>
      </c>
      <c r="AP355" s="133" t="str">
        <f aca="false">IF(ISBLANK($C355),"",IF(ISNUMBER(O355),IF(O355&gt;=0,O355,""),""))</f>
        <v/>
      </c>
      <c r="AQ355" s="133" t="str">
        <f aca="false">IF(ISBLANK($C355),"",IF(P355=Constants!$B$3,TRUE(),IF(P355=Constants!$B$4,FALSE(),FALSE())))</f>
        <v/>
      </c>
      <c r="AR355" s="133" t="str">
        <f aca="false">IF(ISBLANK($C355),"",IF(Q355=Constants!$B$3,TRUE(),IF(Q355=Constants!$B$4,FALSE(),TRUE())))</f>
        <v/>
      </c>
      <c r="AS355" s="133" t="str">
        <f aca="false">IF(ISBLANK($C355),"",IF(R355=Constants!$B$3,TRUE(),IF(R355=Constants!$B$4,FALSE(),TRUE())))</f>
        <v/>
      </c>
      <c r="AT355" s="133" t="str">
        <f aca="false">IF(ISBLANK($C355),"",IF(S355=Constants!$B$5,TRUE(),IF(S355=Constants!$B$6,FALSE(),COUNTA(T355:X355)&gt;0)))</f>
        <v/>
      </c>
      <c r="AU355" s="134" t="str">
        <f aca="false">IF(ISBLANK($C355),"",IF(ISNUMBER(T355),IF(T355&gt;=0,T355,""),""))</f>
        <v/>
      </c>
      <c r="AV355" s="135" t="str">
        <f aca="false">IF(ISBLANK($C355),"",IF(ISNUMBER(U355),IF(U355&gt;=0,U355,""),""))</f>
        <v/>
      </c>
      <c r="AW355" s="135" t="str">
        <f aca="false">IF(ISBLANK($C355),"",IF(V355=Constants!$B$3,TRUE(),IF(V355=Constants!$B$4,FALSE(),TRUE())))</f>
        <v/>
      </c>
      <c r="AX355" s="133" t="str">
        <f aca="false">IF(ISBLANK($C355),"",IF(ISNUMBER(W355),IF(W355&gt;=0,W355,""),""))</f>
        <v/>
      </c>
      <c r="AY355" s="133" t="str">
        <f aca="false">IF(ISBLANK($C355),"",IF(X355=Constants!$B$3,TRUE(),IF(X355=Constants!$B$4,FALSE(),FALSE())))</f>
        <v/>
      </c>
      <c r="AZ355" s="133" t="str">
        <f aca="false">IF(ISBLANK($C355),"",MIN(Constants!$B$31,MAX(0,IF(ISNUMBER(Y355),Y355*60,0)+IF(ISNUMBER(Z355),Z355,0))))</f>
        <v/>
      </c>
      <c r="BA355" s="133" t="str">
        <f aca="false">IF(ISBLANK($C355),"",IF(AA355=Constants!$B$3,TRUE(),IF(AA355=Constants!$B$4,FALSE(),FALSE())))</f>
        <v/>
      </c>
      <c r="BB355" s="132" t="str">
        <f aca="false">IF(ISBLANK($C355),"",AND($AL355,OR($AM355="",$AN355="",AND($AO355,$AP355=""))))</f>
        <v/>
      </c>
      <c r="BC355" s="135" t="str">
        <f aca="false">IF($BR355&lt;&gt;Constants!$B$8,"",IF($AL355,Constants!$B$21*$AN355+Constants!$B$22*IF($AO355,$AP355,Constants!$B$23),Constants!$B$24))</f>
        <v/>
      </c>
      <c r="BD355" s="136" t="str">
        <f aca="false">IF($BR355&lt;&gt;Constants!$B$8,"",Constants!$B$25*ABS($AD$9-IF($AL355,$AM355,0)))</f>
        <v/>
      </c>
      <c r="BE355" s="136" t="str">
        <f aca="false">IF($BR355&lt;&gt;Constants!$B$8,"",IF(AND($AL355,$AQ355,$AO355),Constants!$B$27,0))</f>
        <v/>
      </c>
      <c r="BF355" s="136" t="str">
        <f aca="false">IF($BR355&lt;&gt;Constants!$B$8,"",IF($AL355,($AI355-Constants!$B$29)*Constants!$B$28,0))</f>
        <v/>
      </c>
      <c r="BG355" s="136" t="str">
        <f aca="false">IF($BR355&lt;&gt;Constants!$B$8,"",IF($AK355,0,Constants!$B$15)+IF($AJ355,0,Constants!$B$16)+IF($AH355,0,Constants!$B$17))</f>
        <v/>
      </c>
      <c r="BH355" s="137" t="str">
        <f aca="false">IF($BR355&lt;&gt;Constants!$B$8,"",Constants!$B$20+SUM($BC355:$BG355))</f>
        <v/>
      </c>
      <c r="BI355" s="133" t="str">
        <f aca="false">IF($BR355&lt;&gt;Constants!$B$8,"",IF(OR($BP355&lt;$BH355,AND($BP355=$BH355,OR($BK355&lt;$BC355,AND($BK355=$BC355,OR($BL355&lt;$BD355,AND($BL355=$BD355,$AT355,$AL355,$AV355&lt;$AN355)))))),"-&gt;","&lt;-"))</f>
        <v/>
      </c>
      <c r="BJ355" s="132" t="str">
        <f aca="false">IF(ISBLANK($C355),"",AND($AT355,OR($AU355="",$AV355="",AND($AW355,$AX355=""))))</f>
        <v/>
      </c>
      <c r="BK355" s="135" t="str">
        <f aca="false">IF($BR355&lt;&gt;Constants!$B$8,"",IF($AT355,Constants!$B$21*$AV355+Constants!$B$22*IF($AW355,$AX355,Constants!$B$23),Constants!$B$24))</f>
        <v/>
      </c>
      <c r="BL355" s="136" t="str">
        <f aca="false">IF($BR355&lt;&gt;Constants!$B$8,"",Constants!$B$25*ABS($AD$9-IF($AT355,$AU355,0)))</f>
        <v/>
      </c>
      <c r="BM355" s="136" t="str">
        <f aca="false">IF($BR355&lt;&gt;Constants!$B$8,"",IF(AND($AT355,$AY355,$AW355),Constants!$B$27,0))</f>
        <v/>
      </c>
      <c r="BN355" s="136" t="str">
        <f aca="false">IF($BR355&lt;&gt;Constants!$B$8,"",IF($AT355,($AI355-Constants!$B$29)*Constants!$B$28,0))</f>
        <v/>
      </c>
      <c r="BO355" s="136" t="str">
        <f aca="false">IF($BR355&lt;&gt;Constants!$B$8,"",IF($AS355,0,Constants!$B$15)+IF($AR355,0,Constants!$B$16)+IF($AH355,0,Constants!$B$17))</f>
        <v/>
      </c>
      <c r="BP355" s="137" t="str">
        <f aca="false">IF($BR355&lt;&gt;Constants!$B$8,"",Constants!$B$20+SUM($BK355:$BO355))</f>
        <v/>
      </c>
      <c r="BQ355" s="133" t="str">
        <f aca="false">IF(ISBLANK($C355),"",IF(ISBLANK($D$7),$BQ$5,IF(NOT(ISNUMBER($D$7)),$BQ$6,"")))</f>
        <v/>
      </c>
      <c r="BR355" s="133" t="str">
        <f aca="false">IF(ISBLANK($C355),"",IF($BA355,Constants!$B$11,IF(COUNTA($E355:$AA355)=0,Constants!$B$10,IF(NOT($AG355),Constants!$B$9,IF(OR($BQ355&lt;&gt;"",$BB355,$BJ355),Constants!$B$12,Constants!$B$8)))))</f>
        <v/>
      </c>
      <c r="BS355" s="133" t="str">
        <f aca="false">IF(ISBLANK($C355),"",IF($BR355&lt;&gt;Constants!$B$8,$BR355,Constants!$B$13))</f>
        <v/>
      </c>
      <c r="BT355" s="136" t="str">
        <f aca="false">IF($BR355&lt;&gt;Constants!$B$8,"",IF($BI355="-&gt;",$BP355,$BH355))</f>
        <v/>
      </c>
      <c r="BU355" s="136" t="str">
        <f aca="false">IF($BR355&lt;&gt;Constants!$B$8,"",IF($AF355,0,Constants!$B$18))</f>
        <v/>
      </c>
      <c r="BV355" s="136" t="str">
        <f aca="false">IF($BR355&lt;&gt;Constants!$B$8,"",((Constants!$B$31-$AZ355)-Constants!$B$31)/Constants!$B$32)</f>
        <v/>
      </c>
      <c r="BW355" s="136" t="str">
        <f aca="false">IF(ISBLANK($C355),"",IF($BR355&lt;&gt;Constants!$B$8,$BR355,SUM($BT355:$BV355)))</f>
        <v/>
      </c>
      <c r="BX355" s="133" t="str">
        <f aca="false">IF(ISBLANK($C355),"",IF($BR355&lt;&gt;Constants!$B$8,$BR355,RANK($BW355,$BW$9:$BW$508,1)))</f>
        <v/>
      </c>
      <c r="BY355" s="136" t="str">
        <f aca="false">IF($BR355&lt;&gt;Constants!$B$8,"",IF($BI355="-&gt;",$BK355,$BC355))</f>
        <v/>
      </c>
      <c r="BZ355" s="133" t="str">
        <f aca="false">IF(ISBLANK($C355),"",IF($BR355&lt;&gt;Constants!$B$8,$BR355,IF(ISNUMBER($BY355),RANK($BY355,$BY$9:$BY$508,1),COUNT($BY$9:$BY$508)+1)))</f>
        <v/>
      </c>
      <c r="CA355" s="136" t="str">
        <f aca="false">IF($BR355&lt;&gt;Constants!$B$8,"",IF($BI355="-&gt;",$BL355,$BD355))</f>
        <v/>
      </c>
      <c r="CB355" s="133" t="str">
        <f aca="false">IF(ISBLANK($C355),"",IF($BR355&lt;&gt;Constants!$B$8,$BR355,IF(ISNUMBER($CA355),RANK($CA355,$CA$9:$CA$508,1),COUNT($CA$9:$CA$508)+1)))</f>
        <v/>
      </c>
      <c r="CC355" s="136" t="str">
        <f aca="false">IF($BR355&lt;&gt;Constants!$B$8,"",IF($BI355="-&gt;",IF($AT355,$AV355,""),IF($AL355,$AN355,"")))</f>
        <v/>
      </c>
      <c r="CD355" s="133" t="str">
        <f aca="false">IF(ISBLANK($C355),"",IF($BR355&lt;&gt;Constants!$B$8,$BR355,IF(ISNUMBER($CC355),RANK($CC355,$CC$9:$CC$508,1),COUNT($CC$9:$CC$508)+1)))</f>
        <v/>
      </c>
      <c r="CE355" s="136" t="str">
        <f aca="false">IF($BR355&lt;&gt;Constants!$B$8,"",IF(AND(NOT($AL355),NOT($AT355),$AJ355,$AK355,$AR355,$AS355),"",$AI355))</f>
        <v/>
      </c>
      <c r="CF355" s="133" t="str">
        <f aca="false">IF(ISBLANK($C355),"",IF($BR355&lt;&gt;Constants!$B$8,$BR355,IF(ISNUMBER($CE355),RANK($CE355,$CE$9:$CE$508,1),COUNT($CE$9:$CE$508)+1)))</f>
        <v/>
      </c>
      <c r="CG355" s="133" t="str">
        <f aca="false">IF(ISBLANK($C355),"",IF($BR355&lt;&gt;Constants!$B$8,$BR355,COUNTIFS($BX$9:$BX$508,"&lt;"&amp;$BX355)+COUNTIFS($BX$9:$BX$508,$BX355,$BZ$9:$BZ$508,"&lt;"&amp;$BZ355)+COUNTIFS($BX$9:$BX$508,$BX355,$BZ$9:$BZ$508,$BZ355,$CB$9:$CB$508,"&lt;"&amp;$CB355)+COUNTIFS($BX$9:$BX$508,$BX355,$BZ$9:$BZ$508,$BZ355,$CB$9:$CB$508,$CB355,$CD$9:$CD$508,"&lt;"&amp;$CD355)+COUNTIFS($BX$9:$BX$508,$BX355,$BZ$9:$BZ$508,$BZ355,$CB$9:$CB$508,$CB355,$CD$9:$CD$508,$CD355,$CF$9:$CF$508,"&lt;"&amp;$CF355)+1))</f>
        <v/>
      </c>
      <c r="CH355" s="133" t="str">
        <f aca="false">IF(ISBLANK($C355),"",IF($BR355&lt;&gt;Constants!$B$8,$BR355,$BX355-$CG355))</f>
        <v/>
      </c>
      <c r="CI355" s="138"/>
      <c r="CJ355" s="139"/>
      <c r="CK355" s="140" t="str">
        <f aca="false">IF(ISBLANK($C355),"",IF($BR355=Constants!$B$12,$BQ355,""))</f>
        <v/>
      </c>
      <c r="CL355" s="139" t="str">
        <f aca="false">IF(ISBLANK($C355),"",IF($BR355&lt;&gt;Constants!$B$8,"",IF($BI355="-&gt;",2,1)))</f>
        <v/>
      </c>
      <c r="CM355" s="141" t="str">
        <f aca="false">IF(ISBLANK($C355),"",IF($BR355&lt;&gt;Constants!$B$8,"",IF($BI355="-&gt;",$BK355,$BC355)))</f>
        <v/>
      </c>
      <c r="CN355" s="141" t="str">
        <f aca="false">IF(ISBLANK($C355),"",IF($BR355&lt;&gt;Constants!$B$8,"",IF($BI355="-&gt;",$BL355,$BD355)))</f>
        <v/>
      </c>
      <c r="CO355" s="141" t="str">
        <f aca="false">IF(ISBLANK($C355),"",IF($BR355&lt;&gt;Constants!$B$8,"",IF($BI355="-&gt;",$BM355+$BN355,$BE355+$BF355)+$BV355))</f>
        <v/>
      </c>
      <c r="CP355" s="141" t="str">
        <f aca="false">IF(ISBLANK($C355),"",IF($BR355&lt;&gt;Constants!$B$8,"",IF($BI355="-&gt;",$BO355,$BG355)+$BU355))</f>
        <v/>
      </c>
      <c r="CQ355" s="142" t="str">
        <f aca="false">IF(ISBLANK($C355),"",IF($BR355&lt;&gt;Constants!$B$8,$BR355,$BW355))</f>
        <v/>
      </c>
      <c r="CR355" s="143" t="str">
        <f aca="false">IF(ISBLANK($C355),"",$BS355)</f>
        <v/>
      </c>
      <c r="CS355" s="144" t="str">
        <f aca="false">IF(ISBLANK($C355),"",$CH355)</f>
        <v/>
      </c>
      <c r="CT355" s="144" t="str">
        <f aca="false">IF(ISBLANK($C355),"",$CG355)</f>
        <v/>
      </c>
      <c r="CU355" s="145" t="str">
        <f aca="false">IF(ISBLANK($C355),"",IFERROR(_xlfn.SWITCH($CT355,Constants!$B$11,COUNTA($C$9:$C$508)+2,Constants!$B$10,COUNTA($C$9:$C$508)+1,Constants!$B$9,COUNTA($C$9:$C$508)),$CT355))</f>
        <v/>
      </c>
      <c r="CV355" s="9"/>
      <c r="CW355" s="146" t="n">
        <f aca="false">IF(OR(ISNUMBER($CT355),$CT355=Constants!$B$11,$CT355=Constants!$B$9,$CT355=Constants!$B$10),1,0)</f>
        <v>0</v>
      </c>
      <c r="CX355" s="146" t="n">
        <v>347</v>
      </c>
      <c r="CY355" s="146" t="str">
        <f aca="false">IF(ISBLANK($C355),"",IF(ISNUMBER($CU355),$CU355+ROW($B355)/1000,""))</f>
        <v/>
      </c>
      <c r="CZ355" s="146" t="str">
        <f aca="false">IF(ISNUMBER($CY355),RANK($CY355,$CY$9:$CY$508,1),"")</f>
        <v/>
      </c>
      <c r="DA355" s="146" t="str">
        <f aca="false">IF(ISBLANK($C355),"",$B355)</f>
        <v/>
      </c>
      <c r="DB355" s="146" t="str">
        <f aca="false">IF(ISBLANK($C355),"",$C355)</f>
        <v/>
      </c>
      <c r="DC355" s="146" t="str">
        <f aca="false">IF(ISBLANK($C355),"",$D355)</f>
        <v/>
      </c>
      <c r="DD355" s="147" t="str">
        <f aca="false">$CR355</f>
        <v/>
      </c>
      <c r="DE355" s="148" t="str">
        <f aca="false">$CQ355</f>
        <v/>
      </c>
      <c r="DF355" s="146" t="str">
        <f aca="false">IF(ISBLANK($C355),"",$CT355)</f>
        <v/>
      </c>
      <c r="DG355" s="149" t="str">
        <f aca="false">IF($CX355&gt;$CW$8,"",VLOOKUP($CX355,$CZ$9:$DF$508,7,FALSE()))</f>
        <v/>
      </c>
      <c r="DH355" s="150" t="str">
        <f aca="false">IF($CX355&gt;$CW$8,"",VLOOKUP($CX355,$CZ$9:$DF$508,2,FALSE()))</f>
        <v/>
      </c>
      <c r="DI355" s="150" t="str">
        <f aca="false">IF($CX355&gt;$CW$8,"",VLOOKUP($CX355,$CZ$9:$DF$508,3,FALSE()))</f>
        <v/>
      </c>
      <c r="DJ355" s="150" t="str">
        <f aca="false">IF($CX355&gt;$CW$8,"",VLOOKUP($CX355,$CZ$9:$DF$508,4,FALSE()))</f>
        <v/>
      </c>
      <c r="DK355" s="150" t="str">
        <f aca="false">IF($CX355&gt;$CW$8,"",VLOOKUP($CX355,$CZ$9:$DF$508,5,FALSE()))</f>
        <v/>
      </c>
      <c r="DL355" s="151" t="str">
        <f aca="false">IF($CX355&gt;$CW$8,"",VLOOKUP($CX355,$CZ$9:$DF$508,6,FALSE()))</f>
        <v/>
      </c>
      <c r="DM355" s="75"/>
    </row>
    <row r="356" customFormat="false" ht="15.75" hidden="false" customHeight="false" outlineLevel="0" collapsed="false">
      <c r="A356" s="9"/>
      <c r="B356" s="157"/>
      <c r="C356" s="158"/>
      <c r="D356" s="159"/>
      <c r="E356" s="177"/>
      <c r="F356" s="161"/>
      <c r="G356" s="162"/>
      <c r="H356" s="162"/>
      <c r="I356" s="178"/>
      <c r="J356" s="165"/>
      <c r="K356" s="126"/>
      <c r="L356" s="127"/>
      <c r="M356" s="128"/>
      <c r="N356" s="165"/>
      <c r="O356" s="165"/>
      <c r="P356" s="177"/>
      <c r="Q356" s="165"/>
      <c r="R356" s="165"/>
      <c r="S356" s="126"/>
      <c r="T356" s="128"/>
      <c r="U356" s="128"/>
      <c r="V356" s="165"/>
      <c r="W356" s="165"/>
      <c r="X356" s="177"/>
      <c r="Y356" s="165"/>
      <c r="Z356" s="166"/>
      <c r="AA356" s="165"/>
      <c r="AB356" s="132"/>
      <c r="AC356" s="133"/>
      <c r="AD356" s="133"/>
      <c r="AE356" s="133"/>
      <c r="AF356" s="133" t="str">
        <f aca="false">IF(ISBLANK($C356),"",IF(E356=Constants!$B$3,TRUE(),IF(E356=Constants!$B$4,FALSE(),TRUE())))</f>
        <v/>
      </c>
      <c r="AG356" s="133" t="str">
        <f aca="false">IF(ISBLANK($C356),"",IF(F356=Constants!$B$3,TRUE(),IF(F356=Constants!$B$4,FALSE(),TRUE())))</f>
        <v/>
      </c>
      <c r="AH356" s="133" t="str">
        <f aca="false">IF(ISBLANK($C356),"",IF(G356=Constants!$B$3,TRUE(),IF(G356=Constants!$B$4,FALSE(),TRUE())))</f>
        <v/>
      </c>
      <c r="AI356" s="133" t="str">
        <f aca="false">IF(ISBLANK($C356),"",IF(AND(ISNUMBER(H356),H356&gt;=0),H356,Constants!$B$29))</f>
        <v/>
      </c>
      <c r="AJ356" s="133" t="str">
        <f aca="false">IF(ISBLANK($C356),"",IF(I356=Constants!$B$3,TRUE(),IF(I356=Constants!$B$4,FALSE(),TRUE())))</f>
        <v/>
      </c>
      <c r="AK356" s="133" t="str">
        <f aca="false">IF(ISBLANK($C356),"",IF(J356=Constants!$B$3,TRUE(),IF(J356=Constants!$B$4,FALSE(),TRUE())))</f>
        <v/>
      </c>
      <c r="AL356" s="133" t="str">
        <f aca="false">IF(ISBLANK($C356),"",IF(K356=Constants!$B$5,TRUE(),IF(K356=Constants!$B$6,FALSE(),COUNTA(L356:P356)&gt;0)))</f>
        <v/>
      </c>
      <c r="AM356" s="134" t="str">
        <f aca="false">IF(ISBLANK($C356),"",IF(ISNUMBER(L356),IF(L356&gt;=0,L356,""),""))</f>
        <v/>
      </c>
      <c r="AN356" s="135" t="str">
        <f aca="false">IF(ISBLANK($C356),"",IF(ISNUMBER(M356),IF(M356&gt;=0,M356,""),""))</f>
        <v/>
      </c>
      <c r="AO356" s="135" t="str">
        <f aca="false">IF(ISBLANK($C356),"",IF(N356=Constants!$B$3,TRUE(),IF(N356=Constants!$B$4,FALSE(),TRUE())))</f>
        <v/>
      </c>
      <c r="AP356" s="133" t="str">
        <f aca="false">IF(ISBLANK($C356),"",IF(ISNUMBER(O356),IF(O356&gt;=0,O356,""),""))</f>
        <v/>
      </c>
      <c r="AQ356" s="133" t="str">
        <f aca="false">IF(ISBLANK($C356),"",IF(P356=Constants!$B$3,TRUE(),IF(P356=Constants!$B$4,FALSE(),FALSE())))</f>
        <v/>
      </c>
      <c r="AR356" s="133" t="str">
        <f aca="false">IF(ISBLANK($C356),"",IF(Q356=Constants!$B$3,TRUE(),IF(Q356=Constants!$B$4,FALSE(),TRUE())))</f>
        <v/>
      </c>
      <c r="AS356" s="133" t="str">
        <f aca="false">IF(ISBLANK($C356),"",IF(R356=Constants!$B$3,TRUE(),IF(R356=Constants!$B$4,FALSE(),TRUE())))</f>
        <v/>
      </c>
      <c r="AT356" s="133" t="str">
        <f aca="false">IF(ISBLANK($C356),"",IF(S356=Constants!$B$5,TRUE(),IF(S356=Constants!$B$6,FALSE(),COUNTA(T356:X356)&gt;0)))</f>
        <v/>
      </c>
      <c r="AU356" s="134" t="str">
        <f aca="false">IF(ISBLANK($C356),"",IF(ISNUMBER(T356),IF(T356&gt;=0,T356,""),""))</f>
        <v/>
      </c>
      <c r="AV356" s="135" t="str">
        <f aca="false">IF(ISBLANK($C356),"",IF(ISNUMBER(U356),IF(U356&gt;=0,U356,""),""))</f>
        <v/>
      </c>
      <c r="AW356" s="135" t="str">
        <f aca="false">IF(ISBLANK($C356),"",IF(V356=Constants!$B$3,TRUE(),IF(V356=Constants!$B$4,FALSE(),TRUE())))</f>
        <v/>
      </c>
      <c r="AX356" s="133" t="str">
        <f aca="false">IF(ISBLANK($C356),"",IF(ISNUMBER(W356),IF(W356&gt;=0,W356,""),""))</f>
        <v/>
      </c>
      <c r="AY356" s="133" t="str">
        <f aca="false">IF(ISBLANK($C356),"",IF(X356=Constants!$B$3,TRUE(),IF(X356=Constants!$B$4,FALSE(),FALSE())))</f>
        <v/>
      </c>
      <c r="AZ356" s="133" t="str">
        <f aca="false">IF(ISBLANK($C356),"",MIN(Constants!$B$31,MAX(0,IF(ISNUMBER(Y356),Y356*60,0)+IF(ISNUMBER(Z356),Z356,0))))</f>
        <v/>
      </c>
      <c r="BA356" s="133" t="str">
        <f aca="false">IF(ISBLANK($C356),"",IF(AA356=Constants!$B$3,TRUE(),IF(AA356=Constants!$B$4,FALSE(),FALSE())))</f>
        <v/>
      </c>
      <c r="BB356" s="132" t="str">
        <f aca="false">IF(ISBLANK($C356),"",AND($AL356,OR($AM356="",$AN356="",AND($AO356,$AP356=""))))</f>
        <v/>
      </c>
      <c r="BC356" s="135" t="str">
        <f aca="false">IF($BR356&lt;&gt;Constants!$B$8,"",IF($AL356,Constants!$B$21*$AN356+Constants!$B$22*IF($AO356,$AP356,Constants!$B$23),Constants!$B$24))</f>
        <v/>
      </c>
      <c r="BD356" s="136" t="str">
        <f aca="false">IF($BR356&lt;&gt;Constants!$B$8,"",Constants!$B$25*ABS($AD$9-IF($AL356,$AM356,0)))</f>
        <v/>
      </c>
      <c r="BE356" s="136" t="str">
        <f aca="false">IF($BR356&lt;&gt;Constants!$B$8,"",IF(AND($AL356,$AQ356,$AO356),Constants!$B$27,0))</f>
        <v/>
      </c>
      <c r="BF356" s="136" t="str">
        <f aca="false">IF($BR356&lt;&gt;Constants!$B$8,"",IF($AL356,($AI356-Constants!$B$29)*Constants!$B$28,0))</f>
        <v/>
      </c>
      <c r="BG356" s="136" t="str">
        <f aca="false">IF($BR356&lt;&gt;Constants!$B$8,"",IF($AK356,0,Constants!$B$15)+IF($AJ356,0,Constants!$B$16)+IF($AH356,0,Constants!$B$17))</f>
        <v/>
      </c>
      <c r="BH356" s="137" t="str">
        <f aca="false">IF($BR356&lt;&gt;Constants!$B$8,"",Constants!$B$20+SUM($BC356:$BG356))</f>
        <v/>
      </c>
      <c r="BI356" s="133" t="str">
        <f aca="false">IF($BR356&lt;&gt;Constants!$B$8,"",IF(OR($BP356&lt;$BH356,AND($BP356=$BH356,OR($BK356&lt;$BC356,AND($BK356=$BC356,OR($BL356&lt;$BD356,AND($BL356=$BD356,$AT356,$AL356,$AV356&lt;$AN356)))))),"-&gt;","&lt;-"))</f>
        <v/>
      </c>
      <c r="BJ356" s="132" t="str">
        <f aca="false">IF(ISBLANK($C356),"",AND($AT356,OR($AU356="",$AV356="",AND($AW356,$AX356=""))))</f>
        <v/>
      </c>
      <c r="BK356" s="135" t="str">
        <f aca="false">IF($BR356&lt;&gt;Constants!$B$8,"",IF($AT356,Constants!$B$21*$AV356+Constants!$B$22*IF($AW356,$AX356,Constants!$B$23),Constants!$B$24))</f>
        <v/>
      </c>
      <c r="BL356" s="136" t="str">
        <f aca="false">IF($BR356&lt;&gt;Constants!$B$8,"",Constants!$B$25*ABS($AD$9-IF($AT356,$AU356,0)))</f>
        <v/>
      </c>
      <c r="BM356" s="136" t="str">
        <f aca="false">IF($BR356&lt;&gt;Constants!$B$8,"",IF(AND($AT356,$AY356,$AW356),Constants!$B$27,0))</f>
        <v/>
      </c>
      <c r="BN356" s="136" t="str">
        <f aca="false">IF($BR356&lt;&gt;Constants!$B$8,"",IF($AT356,($AI356-Constants!$B$29)*Constants!$B$28,0))</f>
        <v/>
      </c>
      <c r="BO356" s="136" t="str">
        <f aca="false">IF($BR356&lt;&gt;Constants!$B$8,"",IF($AS356,0,Constants!$B$15)+IF($AR356,0,Constants!$B$16)+IF($AH356,0,Constants!$B$17))</f>
        <v/>
      </c>
      <c r="BP356" s="137" t="str">
        <f aca="false">IF($BR356&lt;&gt;Constants!$B$8,"",Constants!$B$20+SUM($BK356:$BO356))</f>
        <v/>
      </c>
      <c r="BQ356" s="133" t="str">
        <f aca="false">IF(ISBLANK($C356),"",IF(ISBLANK($D$7),$BQ$5,IF(NOT(ISNUMBER($D$7)),$BQ$6,"")))</f>
        <v/>
      </c>
      <c r="BR356" s="133" t="str">
        <f aca="false">IF(ISBLANK($C356),"",IF($BA356,Constants!$B$11,IF(COUNTA($E356:$AA356)=0,Constants!$B$10,IF(NOT($AG356),Constants!$B$9,IF(OR($BQ356&lt;&gt;"",$BB356,$BJ356),Constants!$B$12,Constants!$B$8)))))</f>
        <v/>
      </c>
      <c r="BS356" s="133" t="str">
        <f aca="false">IF(ISBLANK($C356),"",IF($BR356&lt;&gt;Constants!$B$8,$BR356,Constants!$B$13))</f>
        <v/>
      </c>
      <c r="BT356" s="136" t="str">
        <f aca="false">IF($BR356&lt;&gt;Constants!$B$8,"",IF($BI356="-&gt;",$BP356,$BH356))</f>
        <v/>
      </c>
      <c r="BU356" s="136" t="str">
        <f aca="false">IF($BR356&lt;&gt;Constants!$B$8,"",IF($AF356,0,Constants!$B$18))</f>
        <v/>
      </c>
      <c r="BV356" s="136" t="str">
        <f aca="false">IF($BR356&lt;&gt;Constants!$B$8,"",((Constants!$B$31-$AZ356)-Constants!$B$31)/Constants!$B$32)</f>
        <v/>
      </c>
      <c r="BW356" s="136" t="str">
        <f aca="false">IF(ISBLANK($C356),"",IF($BR356&lt;&gt;Constants!$B$8,$BR356,SUM($BT356:$BV356)))</f>
        <v/>
      </c>
      <c r="BX356" s="133" t="str">
        <f aca="false">IF(ISBLANK($C356),"",IF($BR356&lt;&gt;Constants!$B$8,$BR356,RANK($BW356,$BW$9:$BW$508,1)))</f>
        <v/>
      </c>
      <c r="BY356" s="136" t="str">
        <f aca="false">IF($BR356&lt;&gt;Constants!$B$8,"",IF($BI356="-&gt;",$BK356,$BC356))</f>
        <v/>
      </c>
      <c r="BZ356" s="133" t="str">
        <f aca="false">IF(ISBLANK($C356),"",IF($BR356&lt;&gt;Constants!$B$8,$BR356,IF(ISNUMBER($BY356),RANK($BY356,$BY$9:$BY$508,1),COUNT($BY$9:$BY$508)+1)))</f>
        <v/>
      </c>
      <c r="CA356" s="136" t="str">
        <f aca="false">IF($BR356&lt;&gt;Constants!$B$8,"",IF($BI356="-&gt;",$BL356,$BD356))</f>
        <v/>
      </c>
      <c r="CB356" s="133" t="str">
        <f aca="false">IF(ISBLANK($C356),"",IF($BR356&lt;&gt;Constants!$B$8,$BR356,IF(ISNUMBER($CA356),RANK($CA356,$CA$9:$CA$508,1),COUNT($CA$9:$CA$508)+1)))</f>
        <v/>
      </c>
      <c r="CC356" s="136" t="str">
        <f aca="false">IF($BR356&lt;&gt;Constants!$B$8,"",IF($BI356="-&gt;",IF($AT356,$AV356,""),IF($AL356,$AN356,"")))</f>
        <v/>
      </c>
      <c r="CD356" s="133" t="str">
        <f aca="false">IF(ISBLANK($C356),"",IF($BR356&lt;&gt;Constants!$B$8,$BR356,IF(ISNUMBER($CC356),RANK($CC356,$CC$9:$CC$508,1),COUNT($CC$9:$CC$508)+1)))</f>
        <v/>
      </c>
      <c r="CE356" s="136" t="str">
        <f aca="false">IF($BR356&lt;&gt;Constants!$B$8,"",IF(AND(NOT($AL356),NOT($AT356),$AJ356,$AK356,$AR356,$AS356),"",$AI356))</f>
        <v/>
      </c>
      <c r="CF356" s="133" t="str">
        <f aca="false">IF(ISBLANK($C356),"",IF($BR356&lt;&gt;Constants!$B$8,$BR356,IF(ISNUMBER($CE356),RANK($CE356,$CE$9:$CE$508,1),COUNT($CE$9:$CE$508)+1)))</f>
        <v/>
      </c>
      <c r="CG356" s="133" t="str">
        <f aca="false">IF(ISBLANK($C356),"",IF($BR356&lt;&gt;Constants!$B$8,$BR356,COUNTIFS($BX$9:$BX$508,"&lt;"&amp;$BX356)+COUNTIFS($BX$9:$BX$508,$BX356,$BZ$9:$BZ$508,"&lt;"&amp;$BZ356)+COUNTIFS($BX$9:$BX$508,$BX356,$BZ$9:$BZ$508,$BZ356,$CB$9:$CB$508,"&lt;"&amp;$CB356)+COUNTIFS($BX$9:$BX$508,$BX356,$BZ$9:$BZ$508,$BZ356,$CB$9:$CB$508,$CB356,$CD$9:$CD$508,"&lt;"&amp;$CD356)+COUNTIFS($BX$9:$BX$508,$BX356,$BZ$9:$BZ$508,$BZ356,$CB$9:$CB$508,$CB356,$CD$9:$CD$508,$CD356,$CF$9:$CF$508,"&lt;"&amp;$CF356)+1))</f>
        <v/>
      </c>
      <c r="CH356" s="133" t="str">
        <f aca="false">IF(ISBLANK($C356),"",IF($BR356&lt;&gt;Constants!$B$8,$BR356,$BX356-$CG356))</f>
        <v/>
      </c>
      <c r="CI356" s="138"/>
      <c r="CJ356" s="139"/>
      <c r="CK356" s="140" t="str">
        <f aca="false">IF(ISBLANK($C356),"",IF($BR356=Constants!$B$12,$BQ356,""))</f>
        <v/>
      </c>
      <c r="CL356" s="139" t="str">
        <f aca="false">IF(ISBLANK($C356),"",IF($BR356&lt;&gt;Constants!$B$8,"",IF($BI356="-&gt;",2,1)))</f>
        <v/>
      </c>
      <c r="CM356" s="141" t="str">
        <f aca="false">IF(ISBLANK($C356),"",IF($BR356&lt;&gt;Constants!$B$8,"",IF($BI356="-&gt;",$BK356,$BC356)))</f>
        <v/>
      </c>
      <c r="CN356" s="141" t="str">
        <f aca="false">IF(ISBLANK($C356),"",IF($BR356&lt;&gt;Constants!$B$8,"",IF($BI356="-&gt;",$BL356,$BD356)))</f>
        <v/>
      </c>
      <c r="CO356" s="141" t="str">
        <f aca="false">IF(ISBLANK($C356),"",IF($BR356&lt;&gt;Constants!$B$8,"",IF($BI356="-&gt;",$BM356+$BN356,$BE356+$BF356)+$BV356))</f>
        <v/>
      </c>
      <c r="CP356" s="141" t="str">
        <f aca="false">IF(ISBLANK($C356),"",IF($BR356&lt;&gt;Constants!$B$8,"",IF($BI356="-&gt;",$BO356,$BG356)+$BU356))</f>
        <v/>
      </c>
      <c r="CQ356" s="142" t="str">
        <f aca="false">IF(ISBLANK($C356),"",IF($BR356&lt;&gt;Constants!$B$8,$BR356,$BW356))</f>
        <v/>
      </c>
      <c r="CR356" s="143" t="str">
        <f aca="false">IF(ISBLANK($C356),"",$BS356)</f>
        <v/>
      </c>
      <c r="CS356" s="144" t="str">
        <f aca="false">IF(ISBLANK($C356),"",$CH356)</f>
        <v/>
      </c>
      <c r="CT356" s="144" t="str">
        <f aca="false">IF(ISBLANK($C356),"",$CG356)</f>
        <v/>
      </c>
      <c r="CU356" s="145" t="str">
        <f aca="false">IF(ISBLANK($C356),"",IFERROR(_xlfn.SWITCH($CT356,Constants!$B$11,COUNTA($C$9:$C$508)+2,Constants!$B$10,COUNTA($C$9:$C$508)+1,Constants!$B$9,COUNTA($C$9:$C$508)),$CT356))</f>
        <v/>
      </c>
      <c r="CV356" s="9"/>
      <c r="CW356" s="146" t="n">
        <f aca="false">IF(OR(ISNUMBER($CT356),$CT356=Constants!$B$11,$CT356=Constants!$B$9,$CT356=Constants!$B$10),1,0)</f>
        <v>0</v>
      </c>
      <c r="CX356" s="146" t="n">
        <v>348</v>
      </c>
      <c r="CY356" s="146" t="str">
        <f aca="false">IF(ISBLANK($C356),"",IF(ISNUMBER($CU356),$CU356+ROW($B356)/1000,""))</f>
        <v/>
      </c>
      <c r="CZ356" s="146" t="str">
        <f aca="false">IF(ISNUMBER($CY356),RANK($CY356,$CY$9:$CY$508,1),"")</f>
        <v/>
      </c>
      <c r="DA356" s="146" t="str">
        <f aca="false">IF(ISBLANK($C356),"",$B356)</f>
        <v/>
      </c>
      <c r="DB356" s="146" t="str">
        <f aca="false">IF(ISBLANK($C356),"",$C356)</f>
        <v/>
      </c>
      <c r="DC356" s="146" t="str">
        <f aca="false">IF(ISBLANK($C356),"",$D356)</f>
        <v/>
      </c>
      <c r="DD356" s="147" t="str">
        <f aca="false">$CR356</f>
        <v/>
      </c>
      <c r="DE356" s="148" t="str">
        <f aca="false">$CQ356</f>
        <v/>
      </c>
      <c r="DF356" s="146" t="str">
        <f aca="false">IF(ISBLANK($C356),"",$CT356)</f>
        <v/>
      </c>
      <c r="DG356" s="149" t="str">
        <f aca="false">IF($CX356&gt;$CW$8,"",VLOOKUP($CX356,$CZ$9:$DF$508,7,FALSE()))</f>
        <v/>
      </c>
      <c r="DH356" s="150" t="str">
        <f aca="false">IF($CX356&gt;$CW$8,"",VLOOKUP($CX356,$CZ$9:$DF$508,2,FALSE()))</f>
        <v/>
      </c>
      <c r="DI356" s="150" t="str">
        <f aca="false">IF($CX356&gt;$CW$8,"",VLOOKUP($CX356,$CZ$9:$DF$508,3,FALSE()))</f>
        <v/>
      </c>
      <c r="DJ356" s="150" t="str">
        <f aca="false">IF($CX356&gt;$CW$8,"",VLOOKUP($CX356,$CZ$9:$DF$508,4,FALSE()))</f>
        <v/>
      </c>
      <c r="DK356" s="150" t="str">
        <f aca="false">IF($CX356&gt;$CW$8,"",VLOOKUP($CX356,$CZ$9:$DF$508,5,FALSE()))</f>
        <v/>
      </c>
      <c r="DL356" s="151" t="str">
        <f aca="false">IF($CX356&gt;$CW$8,"",VLOOKUP($CX356,$CZ$9:$DF$508,6,FALSE()))</f>
        <v/>
      </c>
      <c r="DM356" s="75"/>
    </row>
    <row r="357" customFormat="false" ht="15.75" hidden="false" customHeight="false" outlineLevel="0" collapsed="false">
      <c r="A357" s="9"/>
      <c r="B357" s="77"/>
      <c r="C357" s="78"/>
      <c r="D357" s="167"/>
      <c r="E357" s="175"/>
      <c r="F357" s="169"/>
      <c r="G357" s="170"/>
      <c r="H357" s="170"/>
      <c r="I357" s="176"/>
      <c r="J357" s="173"/>
      <c r="K357" s="85"/>
      <c r="L357" s="86"/>
      <c r="M357" s="87"/>
      <c r="N357" s="173"/>
      <c r="O357" s="173"/>
      <c r="P357" s="175"/>
      <c r="Q357" s="173"/>
      <c r="R357" s="173"/>
      <c r="S357" s="85"/>
      <c r="T357" s="87"/>
      <c r="U357" s="87"/>
      <c r="V357" s="173"/>
      <c r="W357" s="173"/>
      <c r="X357" s="175"/>
      <c r="Y357" s="173"/>
      <c r="Z357" s="174"/>
      <c r="AA357" s="173"/>
      <c r="AB357" s="91"/>
      <c r="AC357" s="92"/>
      <c r="AD357" s="92"/>
      <c r="AE357" s="92"/>
      <c r="AF357" s="92" t="str">
        <f aca="false">IF(ISBLANK($C357),"",IF(E357=Constants!$B$3,TRUE(),IF(E357=Constants!$B$4,FALSE(),TRUE())))</f>
        <v/>
      </c>
      <c r="AG357" s="92" t="str">
        <f aca="false">IF(ISBLANK($C357),"",IF(F357=Constants!$B$3,TRUE(),IF(F357=Constants!$B$4,FALSE(),TRUE())))</f>
        <v/>
      </c>
      <c r="AH357" s="92" t="str">
        <f aca="false">IF(ISBLANK($C357),"",IF(G357=Constants!$B$3,TRUE(),IF(G357=Constants!$B$4,FALSE(),TRUE())))</f>
        <v/>
      </c>
      <c r="AI357" s="92" t="str">
        <f aca="false">IF(ISBLANK($C357),"",IF(AND(ISNUMBER(H357),H357&gt;=0),H357,Constants!$B$29))</f>
        <v/>
      </c>
      <c r="AJ357" s="92" t="str">
        <f aca="false">IF(ISBLANK($C357),"",IF(I357=Constants!$B$3,TRUE(),IF(I357=Constants!$B$4,FALSE(),TRUE())))</f>
        <v/>
      </c>
      <c r="AK357" s="92" t="str">
        <f aca="false">IF(ISBLANK($C357),"",IF(J357=Constants!$B$3,TRUE(),IF(J357=Constants!$B$4,FALSE(),TRUE())))</f>
        <v/>
      </c>
      <c r="AL357" s="92" t="str">
        <f aca="false">IF(ISBLANK($C357),"",IF(K357=Constants!$B$5,TRUE(),IF(K357=Constants!$B$6,FALSE(),COUNTA(L357:P357)&gt;0)))</f>
        <v/>
      </c>
      <c r="AM357" s="94" t="str">
        <f aca="false">IF(ISBLANK($C357),"",IF(ISNUMBER(L357),IF(L357&gt;=0,L357,""),""))</f>
        <v/>
      </c>
      <c r="AN357" s="93" t="str">
        <f aca="false">IF(ISBLANK($C357),"",IF(ISNUMBER(M357),IF(M357&gt;=0,M357,""),""))</f>
        <v/>
      </c>
      <c r="AO357" s="93" t="str">
        <f aca="false">IF(ISBLANK($C357),"",IF(N357=Constants!$B$3,TRUE(),IF(N357=Constants!$B$4,FALSE(),TRUE())))</f>
        <v/>
      </c>
      <c r="AP357" s="92" t="str">
        <f aca="false">IF(ISBLANK($C357),"",IF(ISNUMBER(O357),IF(O357&gt;=0,O357,""),""))</f>
        <v/>
      </c>
      <c r="AQ357" s="92" t="str">
        <f aca="false">IF(ISBLANK($C357),"",IF(P357=Constants!$B$3,TRUE(),IF(P357=Constants!$B$4,FALSE(),FALSE())))</f>
        <v/>
      </c>
      <c r="AR357" s="92" t="str">
        <f aca="false">IF(ISBLANK($C357),"",IF(Q357=Constants!$B$3,TRUE(),IF(Q357=Constants!$B$4,FALSE(),TRUE())))</f>
        <v/>
      </c>
      <c r="AS357" s="92" t="str">
        <f aca="false">IF(ISBLANK($C357),"",IF(R357=Constants!$B$3,TRUE(),IF(R357=Constants!$B$4,FALSE(),TRUE())))</f>
        <v/>
      </c>
      <c r="AT357" s="92" t="str">
        <f aca="false">IF(ISBLANK($C357),"",IF(S357=Constants!$B$5,TRUE(),IF(S357=Constants!$B$6,FALSE(),COUNTA(T357:X357)&gt;0)))</f>
        <v/>
      </c>
      <c r="AU357" s="94" t="str">
        <f aca="false">IF(ISBLANK($C357),"",IF(ISNUMBER(T357),IF(T357&gt;=0,T357,""),""))</f>
        <v/>
      </c>
      <c r="AV357" s="93" t="str">
        <f aca="false">IF(ISBLANK($C357),"",IF(ISNUMBER(U357),IF(U357&gt;=0,U357,""),""))</f>
        <v/>
      </c>
      <c r="AW357" s="93" t="str">
        <f aca="false">IF(ISBLANK($C357),"",IF(V357=Constants!$B$3,TRUE(),IF(V357=Constants!$B$4,FALSE(),TRUE())))</f>
        <v/>
      </c>
      <c r="AX357" s="92" t="str">
        <f aca="false">IF(ISBLANK($C357),"",IF(ISNUMBER(W357),IF(W357&gt;=0,W357,""),""))</f>
        <v/>
      </c>
      <c r="AY357" s="92" t="str">
        <f aca="false">IF(ISBLANK($C357),"",IF(X357=Constants!$B$3,TRUE(),IF(X357=Constants!$B$4,FALSE(),FALSE())))</f>
        <v/>
      </c>
      <c r="AZ357" s="92" t="str">
        <f aca="false">IF(ISBLANK($C357),"",MIN(Constants!$B$31,MAX(0,IF(ISNUMBER(Y357),Y357*60,0)+IF(ISNUMBER(Z357),Z357,0))))</f>
        <v/>
      </c>
      <c r="BA357" s="92" t="str">
        <f aca="false">IF(ISBLANK($C357),"",IF(AA357=Constants!$B$3,TRUE(),IF(AA357=Constants!$B$4,FALSE(),FALSE())))</f>
        <v/>
      </c>
      <c r="BB357" s="91" t="str">
        <f aca="false">IF(ISBLANK($C357),"",AND($AL357,OR($AM357="",$AN357="",AND($AO357,$AP357=""))))</f>
        <v/>
      </c>
      <c r="BC357" s="93" t="str">
        <f aca="false">IF($BR357&lt;&gt;Constants!$B$8,"",IF($AL357,Constants!$B$21*$AN357+Constants!$B$22*IF($AO357,$AP357,Constants!$B$23),Constants!$B$24))</f>
        <v/>
      </c>
      <c r="BD357" s="96" t="str">
        <f aca="false">IF($BR357&lt;&gt;Constants!$B$8,"",Constants!$B$25*ABS($AD$9-IF($AL357,$AM357,0)))</f>
        <v/>
      </c>
      <c r="BE357" s="96" t="str">
        <f aca="false">IF($BR357&lt;&gt;Constants!$B$8,"",IF(AND($AL357,$AQ357,$AO357),Constants!$B$27,0))</f>
        <v/>
      </c>
      <c r="BF357" s="96" t="str">
        <f aca="false">IF($BR357&lt;&gt;Constants!$B$8,"",IF($AL357,($AI357-Constants!$B$29)*Constants!$B$28,0))</f>
        <v/>
      </c>
      <c r="BG357" s="96" t="str">
        <f aca="false">IF($BR357&lt;&gt;Constants!$B$8,"",IF($AK357,0,Constants!$B$15)+IF($AJ357,0,Constants!$B$16)+IF($AH357,0,Constants!$B$17))</f>
        <v/>
      </c>
      <c r="BH357" s="97" t="str">
        <f aca="false">IF($BR357&lt;&gt;Constants!$B$8,"",Constants!$B$20+SUM($BC357:$BG357))</f>
        <v/>
      </c>
      <c r="BI357" s="92" t="str">
        <f aca="false">IF($BR357&lt;&gt;Constants!$B$8,"",IF(OR($BP357&lt;$BH357,AND($BP357=$BH357,OR($BK357&lt;$BC357,AND($BK357=$BC357,OR($BL357&lt;$BD357,AND($BL357=$BD357,$AT357,$AL357,$AV357&lt;$AN357)))))),"-&gt;","&lt;-"))</f>
        <v/>
      </c>
      <c r="BJ357" s="91" t="str">
        <f aca="false">IF(ISBLANK($C357),"",AND($AT357,OR($AU357="",$AV357="",AND($AW357,$AX357=""))))</f>
        <v/>
      </c>
      <c r="BK357" s="93" t="str">
        <f aca="false">IF($BR357&lt;&gt;Constants!$B$8,"",IF($AT357,Constants!$B$21*$AV357+Constants!$B$22*IF($AW357,$AX357,Constants!$B$23),Constants!$B$24))</f>
        <v/>
      </c>
      <c r="BL357" s="96" t="str">
        <f aca="false">IF($BR357&lt;&gt;Constants!$B$8,"",Constants!$B$25*ABS($AD$9-IF($AT357,$AU357,0)))</f>
        <v/>
      </c>
      <c r="BM357" s="96" t="str">
        <f aca="false">IF($BR357&lt;&gt;Constants!$B$8,"",IF(AND($AT357,$AY357,$AW357),Constants!$B$27,0))</f>
        <v/>
      </c>
      <c r="BN357" s="96" t="str">
        <f aca="false">IF($BR357&lt;&gt;Constants!$B$8,"",IF($AT357,($AI357-Constants!$B$29)*Constants!$B$28,0))</f>
        <v/>
      </c>
      <c r="BO357" s="96" t="str">
        <f aca="false">IF($BR357&lt;&gt;Constants!$B$8,"",IF($AS357,0,Constants!$B$15)+IF($AR357,0,Constants!$B$16)+IF($AH357,0,Constants!$B$17))</f>
        <v/>
      </c>
      <c r="BP357" s="97" t="str">
        <f aca="false">IF($BR357&lt;&gt;Constants!$B$8,"",Constants!$B$20+SUM($BK357:$BO357))</f>
        <v/>
      </c>
      <c r="BQ357" s="92" t="str">
        <f aca="false">IF(ISBLANK($C357),"",IF(ISBLANK($D$7),$BQ$5,IF(NOT(ISNUMBER($D$7)),$BQ$6,"")))</f>
        <v/>
      </c>
      <c r="BR357" s="92" t="str">
        <f aca="false">IF(ISBLANK($C357),"",IF($BA357,Constants!$B$11,IF(COUNTA($E357:$AA357)=0,Constants!$B$10,IF(NOT($AG357),Constants!$B$9,IF(OR($BQ357&lt;&gt;"",$BB357,$BJ357),Constants!$B$12,Constants!$B$8)))))</f>
        <v/>
      </c>
      <c r="BS357" s="92" t="str">
        <f aca="false">IF(ISBLANK($C357),"",IF($BR357&lt;&gt;Constants!$B$8,$BR357,Constants!$B$13))</f>
        <v/>
      </c>
      <c r="BT357" s="96" t="str">
        <f aca="false">IF($BR357&lt;&gt;Constants!$B$8,"",IF($BI357="-&gt;",$BP357,$BH357))</f>
        <v/>
      </c>
      <c r="BU357" s="96" t="str">
        <f aca="false">IF($BR357&lt;&gt;Constants!$B$8,"",IF($AF357,0,Constants!$B$18))</f>
        <v/>
      </c>
      <c r="BV357" s="96" t="str">
        <f aca="false">IF($BR357&lt;&gt;Constants!$B$8,"",((Constants!$B$31-$AZ357)-Constants!$B$31)/Constants!$B$32)</f>
        <v/>
      </c>
      <c r="BW357" s="96" t="str">
        <f aca="false">IF(ISBLANK($C357),"",IF($BR357&lt;&gt;Constants!$B$8,$BR357,SUM($BT357:$BV357)))</f>
        <v/>
      </c>
      <c r="BX357" s="92" t="str">
        <f aca="false">IF(ISBLANK($C357),"",IF($BR357&lt;&gt;Constants!$B$8,$BR357,RANK($BW357,$BW$9:$BW$508,1)))</f>
        <v/>
      </c>
      <c r="BY357" s="96" t="str">
        <f aca="false">IF($BR357&lt;&gt;Constants!$B$8,"",IF($BI357="-&gt;",$BK357,$BC357))</f>
        <v/>
      </c>
      <c r="BZ357" s="92" t="str">
        <f aca="false">IF(ISBLANK($C357),"",IF($BR357&lt;&gt;Constants!$B$8,$BR357,IF(ISNUMBER($BY357),RANK($BY357,$BY$9:$BY$508,1),COUNT($BY$9:$BY$508)+1)))</f>
        <v/>
      </c>
      <c r="CA357" s="96" t="str">
        <f aca="false">IF($BR357&lt;&gt;Constants!$B$8,"",IF($BI357="-&gt;",$BL357,$BD357))</f>
        <v/>
      </c>
      <c r="CB357" s="92" t="str">
        <f aca="false">IF(ISBLANK($C357),"",IF($BR357&lt;&gt;Constants!$B$8,$BR357,IF(ISNUMBER($CA357),RANK($CA357,$CA$9:$CA$508,1),COUNT($CA$9:$CA$508)+1)))</f>
        <v/>
      </c>
      <c r="CC357" s="96" t="str">
        <f aca="false">IF($BR357&lt;&gt;Constants!$B$8,"",IF($BI357="-&gt;",IF($AT357,$AV357,""),IF($AL357,$AN357,"")))</f>
        <v/>
      </c>
      <c r="CD357" s="92" t="str">
        <f aca="false">IF(ISBLANK($C357),"",IF($BR357&lt;&gt;Constants!$B$8,$BR357,IF(ISNUMBER($CC357),RANK($CC357,$CC$9:$CC$508,1),COUNT($CC$9:$CC$508)+1)))</f>
        <v/>
      </c>
      <c r="CE357" s="96" t="str">
        <f aca="false">IF($BR357&lt;&gt;Constants!$B$8,"",IF(AND(NOT($AL357),NOT($AT357),$AJ357,$AK357,$AR357,$AS357),"",$AI357))</f>
        <v/>
      </c>
      <c r="CF357" s="92" t="str">
        <f aca="false">IF(ISBLANK($C357),"",IF($BR357&lt;&gt;Constants!$B$8,$BR357,IF(ISNUMBER($CE357),RANK($CE357,$CE$9:$CE$508,1),COUNT($CE$9:$CE$508)+1)))</f>
        <v/>
      </c>
      <c r="CG357" s="92" t="str">
        <f aca="false">IF(ISBLANK($C357),"",IF($BR357&lt;&gt;Constants!$B$8,$BR357,COUNTIFS($BX$9:$BX$508,"&lt;"&amp;$BX357)+COUNTIFS($BX$9:$BX$508,$BX357,$BZ$9:$BZ$508,"&lt;"&amp;$BZ357)+COUNTIFS($BX$9:$BX$508,$BX357,$BZ$9:$BZ$508,$BZ357,$CB$9:$CB$508,"&lt;"&amp;$CB357)+COUNTIFS($BX$9:$BX$508,$BX357,$BZ$9:$BZ$508,$BZ357,$CB$9:$CB$508,$CB357,$CD$9:$CD$508,"&lt;"&amp;$CD357)+COUNTIFS($BX$9:$BX$508,$BX357,$BZ$9:$BZ$508,$BZ357,$CB$9:$CB$508,$CB357,$CD$9:$CD$508,$CD357,$CF$9:$CF$508,"&lt;"&amp;$CF357)+1))</f>
        <v/>
      </c>
      <c r="CH357" s="92" t="str">
        <f aca="false">IF(ISBLANK($C357),"",IF($BR357&lt;&gt;Constants!$B$8,$BR357,$BX357-$CG357))</f>
        <v/>
      </c>
      <c r="CI357" s="98"/>
      <c r="CJ357" s="99"/>
      <c r="CK357" s="100" t="str">
        <f aca="false">IF(ISBLANK($C357),"",IF($BR357=Constants!$B$12,$BQ357,""))</f>
        <v/>
      </c>
      <c r="CL357" s="99" t="str">
        <f aca="false">IF(ISBLANK($C357),"",IF($BR357&lt;&gt;Constants!$B$8,"",IF($BI357="-&gt;",2,1)))</f>
        <v/>
      </c>
      <c r="CM357" s="101" t="str">
        <f aca="false">IF(ISBLANK($C357),"",IF($BR357&lt;&gt;Constants!$B$8,"",IF($BI357="-&gt;",$BK357,$BC357)))</f>
        <v/>
      </c>
      <c r="CN357" s="101" t="str">
        <f aca="false">IF(ISBLANK($C357),"",IF($BR357&lt;&gt;Constants!$B$8,"",IF($BI357="-&gt;",$BL357,$BD357)))</f>
        <v/>
      </c>
      <c r="CO357" s="101" t="str">
        <f aca="false">IF(ISBLANK($C357),"",IF($BR357&lt;&gt;Constants!$B$8,"",IF($BI357="-&gt;",$BM357+$BN357,$BE357+$BF357)+$BV357))</f>
        <v/>
      </c>
      <c r="CP357" s="101" t="str">
        <f aca="false">IF(ISBLANK($C357),"",IF($BR357&lt;&gt;Constants!$B$8,"",IF($BI357="-&gt;",$BO357,$BG357)+$BU357))</f>
        <v/>
      </c>
      <c r="CQ357" s="102" t="str">
        <f aca="false">IF(ISBLANK($C357),"",IF($BR357&lt;&gt;Constants!$B$8,$BR357,$BW357))</f>
        <v/>
      </c>
      <c r="CR357" s="103" t="str">
        <f aca="false">IF(ISBLANK($C357),"",$BS357)</f>
        <v/>
      </c>
      <c r="CS357" s="104" t="str">
        <f aca="false">IF(ISBLANK($C357),"",$CH357)</f>
        <v/>
      </c>
      <c r="CT357" s="104" t="str">
        <f aca="false">IF(ISBLANK($C357),"",$CG357)</f>
        <v/>
      </c>
      <c r="CU357" s="105" t="str">
        <f aca="false">IF(ISBLANK($C357),"",IFERROR(_xlfn.SWITCH($CT357,Constants!$B$11,COUNTA($C$9:$C$508)+2,Constants!$B$10,COUNTA($C$9:$C$508)+1,Constants!$B$9,COUNTA($C$9:$C$508)),$CT357))</f>
        <v/>
      </c>
      <c r="CV357" s="9"/>
      <c r="CW357" s="106" t="n">
        <f aca="false">IF(OR(ISNUMBER($CT357),$CT357=Constants!$B$11,$CT357=Constants!$B$9,$CT357=Constants!$B$10),1,0)</f>
        <v>0</v>
      </c>
      <c r="CX357" s="106" t="n">
        <v>349</v>
      </c>
      <c r="CY357" s="106" t="str">
        <f aca="false">IF(ISBLANK($C357),"",IF(ISNUMBER($CU357),$CU357+ROW($B357)/1000,""))</f>
        <v/>
      </c>
      <c r="CZ357" s="106" t="str">
        <f aca="false">IF(ISNUMBER($CY357),RANK($CY357,$CY$9:$CY$508,1),"")</f>
        <v/>
      </c>
      <c r="DA357" s="106" t="str">
        <f aca="false">IF(ISBLANK($C357),"",$B357)</f>
        <v/>
      </c>
      <c r="DB357" s="106" t="str">
        <f aca="false">IF(ISBLANK($C357),"",$C357)</f>
        <v/>
      </c>
      <c r="DC357" s="106" t="str">
        <f aca="false">IF(ISBLANK($C357),"",$D357)</f>
        <v/>
      </c>
      <c r="DD357" s="107" t="str">
        <f aca="false">$CR357</f>
        <v/>
      </c>
      <c r="DE357" s="108" t="str">
        <f aca="false">$CQ357</f>
        <v/>
      </c>
      <c r="DF357" s="106" t="str">
        <f aca="false">IF(ISBLANK($C357),"",$CT357)</f>
        <v/>
      </c>
      <c r="DG357" s="109" t="str">
        <f aca="false">IF($CX357&gt;$CW$8,"",VLOOKUP($CX357,$CZ$9:$DF$508,7,FALSE()))</f>
        <v/>
      </c>
      <c r="DH357" s="110" t="str">
        <f aca="false">IF($CX357&gt;$CW$8,"",VLOOKUP($CX357,$CZ$9:$DF$508,2,FALSE()))</f>
        <v/>
      </c>
      <c r="DI357" s="110" t="str">
        <f aca="false">IF($CX357&gt;$CW$8,"",VLOOKUP($CX357,$CZ$9:$DF$508,3,FALSE()))</f>
        <v/>
      </c>
      <c r="DJ357" s="110" t="str">
        <f aca="false">IF($CX357&gt;$CW$8,"",VLOOKUP($CX357,$CZ$9:$DF$508,4,FALSE()))</f>
        <v/>
      </c>
      <c r="DK357" s="110" t="str">
        <f aca="false">IF($CX357&gt;$CW$8,"",VLOOKUP($CX357,$CZ$9:$DF$508,5,FALSE()))</f>
        <v/>
      </c>
      <c r="DL357" s="111" t="str">
        <f aca="false">IF($CX357&gt;$CW$8,"",VLOOKUP($CX357,$CZ$9:$DF$508,6,FALSE()))</f>
        <v/>
      </c>
      <c r="DM357" s="75"/>
    </row>
    <row r="358" customFormat="false" ht="15.75" hidden="false" customHeight="false" outlineLevel="0" collapsed="false">
      <c r="A358" s="9"/>
      <c r="B358" s="77"/>
      <c r="C358" s="78"/>
      <c r="D358" s="167"/>
      <c r="E358" s="175"/>
      <c r="F358" s="169"/>
      <c r="G358" s="170"/>
      <c r="H358" s="170"/>
      <c r="I358" s="176"/>
      <c r="J358" s="173"/>
      <c r="K358" s="85"/>
      <c r="L358" s="86"/>
      <c r="M358" s="87"/>
      <c r="N358" s="173"/>
      <c r="O358" s="173"/>
      <c r="P358" s="175"/>
      <c r="Q358" s="173"/>
      <c r="R358" s="173"/>
      <c r="S358" s="85"/>
      <c r="T358" s="87"/>
      <c r="U358" s="87"/>
      <c r="V358" s="173"/>
      <c r="W358" s="173"/>
      <c r="X358" s="175"/>
      <c r="Y358" s="173"/>
      <c r="Z358" s="174"/>
      <c r="AA358" s="173"/>
      <c r="AB358" s="91"/>
      <c r="AC358" s="92"/>
      <c r="AD358" s="92"/>
      <c r="AE358" s="92"/>
      <c r="AF358" s="92" t="str">
        <f aca="false">IF(ISBLANK($C358),"",IF(E358=Constants!$B$3,TRUE(),IF(E358=Constants!$B$4,FALSE(),TRUE())))</f>
        <v/>
      </c>
      <c r="AG358" s="92" t="str">
        <f aca="false">IF(ISBLANK($C358),"",IF(F358=Constants!$B$3,TRUE(),IF(F358=Constants!$B$4,FALSE(),TRUE())))</f>
        <v/>
      </c>
      <c r="AH358" s="92" t="str">
        <f aca="false">IF(ISBLANK($C358),"",IF(G358=Constants!$B$3,TRUE(),IF(G358=Constants!$B$4,FALSE(),TRUE())))</f>
        <v/>
      </c>
      <c r="AI358" s="92" t="str">
        <f aca="false">IF(ISBLANK($C358),"",IF(AND(ISNUMBER(H358),H358&gt;=0),H358,Constants!$B$29))</f>
        <v/>
      </c>
      <c r="AJ358" s="92" t="str">
        <f aca="false">IF(ISBLANK($C358),"",IF(I358=Constants!$B$3,TRUE(),IF(I358=Constants!$B$4,FALSE(),TRUE())))</f>
        <v/>
      </c>
      <c r="AK358" s="92" t="str">
        <f aca="false">IF(ISBLANK($C358),"",IF(J358=Constants!$B$3,TRUE(),IF(J358=Constants!$B$4,FALSE(),TRUE())))</f>
        <v/>
      </c>
      <c r="AL358" s="92" t="str">
        <f aca="false">IF(ISBLANK($C358),"",IF(K358=Constants!$B$5,TRUE(),IF(K358=Constants!$B$6,FALSE(),COUNTA(L358:P358)&gt;0)))</f>
        <v/>
      </c>
      <c r="AM358" s="94" t="str">
        <f aca="false">IF(ISBLANK($C358),"",IF(ISNUMBER(L358),IF(L358&gt;=0,L358,""),""))</f>
        <v/>
      </c>
      <c r="AN358" s="93" t="str">
        <f aca="false">IF(ISBLANK($C358),"",IF(ISNUMBER(M358),IF(M358&gt;=0,M358,""),""))</f>
        <v/>
      </c>
      <c r="AO358" s="93" t="str">
        <f aca="false">IF(ISBLANK($C358),"",IF(N358=Constants!$B$3,TRUE(),IF(N358=Constants!$B$4,FALSE(),TRUE())))</f>
        <v/>
      </c>
      <c r="AP358" s="92" t="str">
        <f aca="false">IF(ISBLANK($C358),"",IF(ISNUMBER(O358),IF(O358&gt;=0,O358,""),""))</f>
        <v/>
      </c>
      <c r="AQ358" s="92" t="str">
        <f aca="false">IF(ISBLANK($C358),"",IF(P358=Constants!$B$3,TRUE(),IF(P358=Constants!$B$4,FALSE(),FALSE())))</f>
        <v/>
      </c>
      <c r="AR358" s="92" t="str">
        <f aca="false">IF(ISBLANK($C358),"",IF(Q358=Constants!$B$3,TRUE(),IF(Q358=Constants!$B$4,FALSE(),TRUE())))</f>
        <v/>
      </c>
      <c r="AS358" s="92" t="str">
        <f aca="false">IF(ISBLANK($C358),"",IF(R358=Constants!$B$3,TRUE(),IF(R358=Constants!$B$4,FALSE(),TRUE())))</f>
        <v/>
      </c>
      <c r="AT358" s="92" t="str">
        <f aca="false">IF(ISBLANK($C358),"",IF(S358=Constants!$B$5,TRUE(),IF(S358=Constants!$B$6,FALSE(),COUNTA(T358:X358)&gt;0)))</f>
        <v/>
      </c>
      <c r="AU358" s="94" t="str">
        <f aca="false">IF(ISBLANK($C358),"",IF(ISNUMBER(T358),IF(T358&gt;=0,T358,""),""))</f>
        <v/>
      </c>
      <c r="AV358" s="93" t="str">
        <f aca="false">IF(ISBLANK($C358),"",IF(ISNUMBER(U358),IF(U358&gt;=0,U358,""),""))</f>
        <v/>
      </c>
      <c r="AW358" s="93" t="str">
        <f aca="false">IF(ISBLANK($C358),"",IF(V358=Constants!$B$3,TRUE(),IF(V358=Constants!$B$4,FALSE(),TRUE())))</f>
        <v/>
      </c>
      <c r="AX358" s="92" t="str">
        <f aca="false">IF(ISBLANK($C358),"",IF(ISNUMBER(W358),IF(W358&gt;=0,W358,""),""))</f>
        <v/>
      </c>
      <c r="AY358" s="92" t="str">
        <f aca="false">IF(ISBLANK($C358),"",IF(X358=Constants!$B$3,TRUE(),IF(X358=Constants!$B$4,FALSE(),FALSE())))</f>
        <v/>
      </c>
      <c r="AZ358" s="92" t="str">
        <f aca="false">IF(ISBLANK($C358),"",MIN(Constants!$B$31,MAX(0,IF(ISNUMBER(Y358),Y358*60,0)+IF(ISNUMBER(Z358),Z358,0))))</f>
        <v/>
      </c>
      <c r="BA358" s="92" t="str">
        <f aca="false">IF(ISBLANK($C358),"",IF(AA358=Constants!$B$3,TRUE(),IF(AA358=Constants!$B$4,FALSE(),FALSE())))</f>
        <v/>
      </c>
      <c r="BB358" s="91" t="str">
        <f aca="false">IF(ISBLANK($C358),"",AND($AL358,OR($AM358="",$AN358="",AND($AO358,$AP358=""))))</f>
        <v/>
      </c>
      <c r="BC358" s="93" t="str">
        <f aca="false">IF($BR358&lt;&gt;Constants!$B$8,"",IF($AL358,Constants!$B$21*$AN358+Constants!$B$22*IF($AO358,$AP358,Constants!$B$23),Constants!$B$24))</f>
        <v/>
      </c>
      <c r="BD358" s="96" t="str">
        <f aca="false">IF($BR358&lt;&gt;Constants!$B$8,"",Constants!$B$25*ABS($AD$9-IF($AL358,$AM358,0)))</f>
        <v/>
      </c>
      <c r="BE358" s="96" t="str">
        <f aca="false">IF($BR358&lt;&gt;Constants!$B$8,"",IF(AND($AL358,$AQ358,$AO358),Constants!$B$27,0))</f>
        <v/>
      </c>
      <c r="BF358" s="96" t="str">
        <f aca="false">IF($BR358&lt;&gt;Constants!$B$8,"",IF($AL358,($AI358-Constants!$B$29)*Constants!$B$28,0))</f>
        <v/>
      </c>
      <c r="BG358" s="96" t="str">
        <f aca="false">IF($BR358&lt;&gt;Constants!$B$8,"",IF($AK358,0,Constants!$B$15)+IF($AJ358,0,Constants!$B$16)+IF($AH358,0,Constants!$B$17))</f>
        <v/>
      </c>
      <c r="BH358" s="97" t="str">
        <f aca="false">IF($BR358&lt;&gt;Constants!$B$8,"",Constants!$B$20+SUM($BC358:$BG358))</f>
        <v/>
      </c>
      <c r="BI358" s="92" t="str">
        <f aca="false">IF($BR358&lt;&gt;Constants!$B$8,"",IF(OR($BP358&lt;$BH358,AND($BP358=$BH358,OR($BK358&lt;$BC358,AND($BK358=$BC358,OR($BL358&lt;$BD358,AND($BL358=$BD358,$AT358,$AL358,$AV358&lt;$AN358)))))),"-&gt;","&lt;-"))</f>
        <v/>
      </c>
      <c r="BJ358" s="91" t="str">
        <f aca="false">IF(ISBLANK($C358),"",AND($AT358,OR($AU358="",$AV358="",AND($AW358,$AX358=""))))</f>
        <v/>
      </c>
      <c r="BK358" s="93" t="str">
        <f aca="false">IF($BR358&lt;&gt;Constants!$B$8,"",IF($AT358,Constants!$B$21*$AV358+Constants!$B$22*IF($AW358,$AX358,Constants!$B$23),Constants!$B$24))</f>
        <v/>
      </c>
      <c r="BL358" s="96" t="str">
        <f aca="false">IF($BR358&lt;&gt;Constants!$B$8,"",Constants!$B$25*ABS($AD$9-IF($AT358,$AU358,0)))</f>
        <v/>
      </c>
      <c r="BM358" s="96" t="str">
        <f aca="false">IF($BR358&lt;&gt;Constants!$B$8,"",IF(AND($AT358,$AY358,$AW358),Constants!$B$27,0))</f>
        <v/>
      </c>
      <c r="BN358" s="96" t="str">
        <f aca="false">IF($BR358&lt;&gt;Constants!$B$8,"",IF($AT358,($AI358-Constants!$B$29)*Constants!$B$28,0))</f>
        <v/>
      </c>
      <c r="BO358" s="96" t="str">
        <f aca="false">IF($BR358&lt;&gt;Constants!$B$8,"",IF($AS358,0,Constants!$B$15)+IF($AR358,0,Constants!$B$16)+IF($AH358,0,Constants!$B$17))</f>
        <v/>
      </c>
      <c r="BP358" s="97" t="str">
        <f aca="false">IF($BR358&lt;&gt;Constants!$B$8,"",Constants!$B$20+SUM($BK358:$BO358))</f>
        <v/>
      </c>
      <c r="BQ358" s="92" t="str">
        <f aca="false">IF(ISBLANK($C358),"",IF(ISBLANK($D$7),$BQ$5,IF(NOT(ISNUMBER($D$7)),$BQ$6,"")))</f>
        <v/>
      </c>
      <c r="BR358" s="92" t="str">
        <f aca="false">IF(ISBLANK($C358),"",IF($BA358,Constants!$B$11,IF(COUNTA($E358:$AA358)=0,Constants!$B$10,IF(NOT($AG358),Constants!$B$9,IF(OR($BQ358&lt;&gt;"",$BB358,$BJ358),Constants!$B$12,Constants!$B$8)))))</f>
        <v/>
      </c>
      <c r="BS358" s="92" t="str">
        <f aca="false">IF(ISBLANK($C358),"",IF($BR358&lt;&gt;Constants!$B$8,$BR358,Constants!$B$13))</f>
        <v/>
      </c>
      <c r="BT358" s="96" t="str">
        <f aca="false">IF($BR358&lt;&gt;Constants!$B$8,"",IF($BI358="-&gt;",$BP358,$BH358))</f>
        <v/>
      </c>
      <c r="BU358" s="96" t="str">
        <f aca="false">IF($BR358&lt;&gt;Constants!$B$8,"",IF($AF358,0,Constants!$B$18))</f>
        <v/>
      </c>
      <c r="BV358" s="96" t="str">
        <f aca="false">IF($BR358&lt;&gt;Constants!$B$8,"",((Constants!$B$31-$AZ358)-Constants!$B$31)/Constants!$B$32)</f>
        <v/>
      </c>
      <c r="BW358" s="96" t="str">
        <f aca="false">IF(ISBLANK($C358),"",IF($BR358&lt;&gt;Constants!$B$8,$BR358,SUM($BT358:$BV358)))</f>
        <v/>
      </c>
      <c r="BX358" s="92" t="str">
        <f aca="false">IF(ISBLANK($C358),"",IF($BR358&lt;&gt;Constants!$B$8,$BR358,RANK($BW358,$BW$9:$BW$508,1)))</f>
        <v/>
      </c>
      <c r="BY358" s="96" t="str">
        <f aca="false">IF($BR358&lt;&gt;Constants!$B$8,"",IF($BI358="-&gt;",$BK358,$BC358))</f>
        <v/>
      </c>
      <c r="BZ358" s="92" t="str">
        <f aca="false">IF(ISBLANK($C358),"",IF($BR358&lt;&gt;Constants!$B$8,$BR358,IF(ISNUMBER($BY358),RANK($BY358,$BY$9:$BY$508,1),COUNT($BY$9:$BY$508)+1)))</f>
        <v/>
      </c>
      <c r="CA358" s="96" t="str">
        <f aca="false">IF($BR358&lt;&gt;Constants!$B$8,"",IF($BI358="-&gt;",$BL358,$BD358))</f>
        <v/>
      </c>
      <c r="CB358" s="92" t="str">
        <f aca="false">IF(ISBLANK($C358),"",IF($BR358&lt;&gt;Constants!$B$8,$BR358,IF(ISNUMBER($CA358),RANK($CA358,$CA$9:$CA$508,1),COUNT($CA$9:$CA$508)+1)))</f>
        <v/>
      </c>
      <c r="CC358" s="96" t="str">
        <f aca="false">IF($BR358&lt;&gt;Constants!$B$8,"",IF($BI358="-&gt;",IF($AT358,$AV358,""),IF($AL358,$AN358,"")))</f>
        <v/>
      </c>
      <c r="CD358" s="92" t="str">
        <f aca="false">IF(ISBLANK($C358),"",IF($BR358&lt;&gt;Constants!$B$8,$BR358,IF(ISNUMBER($CC358),RANK($CC358,$CC$9:$CC$508,1),COUNT($CC$9:$CC$508)+1)))</f>
        <v/>
      </c>
      <c r="CE358" s="96" t="str">
        <f aca="false">IF($BR358&lt;&gt;Constants!$B$8,"",IF(AND(NOT($AL358),NOT($AT358),$AJ358,$AK358,$AR358,$AS358),"",$AI358))</f>
        <v/>
      </c>
      <c r="CF358" s="92" t="str">
        <f aca="false">IF(ISBLANK($C358),"",IF($BR358&lt;&gt;Constants!$B$8,$BR358,IF(ISNUMBER($CE358),RANK($CE358,$CE$9:$CE$508,1),COUNT($CE$9:$CE$508)+1)))</f>
        <v/>
      </c>
      <c r="CG358" s="92" t="str">
        <f aca="false">IF(ISBLANK($C358),"",IF($BR358&lt;&gt;Constants!$B$8,$BR358,COUNTIFS($BX$9:$BX$508,"&lt;"&amp;$BX358)+COUNTIFS($BX$9:$BX$508,$BX358,$BZ$9:$BZ$508,"&lt;"&amp;$BZ358)+COUNTIFS($BX$9:$BX$508,$BX358,$BZ$9:$BZ$508,$BZ358,$CB$9:$CB$508,"&lt;"&amp;$CB358)+COUNTIFS($BX$9:$BX$508,$BX358,$BZ$9:$BZ$508,$BZ358,$CB$9:$CB$508,$CB358,$CD$9:$CD$508,"&lt;"&amp;$CD358)+COUNTIFS($BX$9:$BX$508,$BX358,$BZ$9:$BZ$508,$BZ358,$CB$9:$CB$508,$CB358,$CD$9:$CD$508,$CD358,$CF$9:$CF$508,"&lt;"&amp;$CF358)+1))</f>
        <v/>
      </c>
      <c r="CH358" s="92" t="str">
        <f aca="false">IF(ISBLANK($C358),"",IF($BR358&lt;&gt;Constants!$B$8,$BR358,$BX358-$CG358))</f>
        <v/>
      </c>
      <c r="CI358" s="98"/>
      <c r="CJ358" s="99"/>
      <c r="CK358" s="100" t="str">
        <f aca="false">IF(ISBLANK($C358),"",IF($BR358=Constants!$B$12,$BQ358,""))</f>
        <v/>
      </c>
      <c r="CL358" s="99" t="str">
        <f aca="false">IF(ISBLANK($C358),"",IF($BR358&lt;&gt;Constants!$B$8,"",IF($BI358="-&gt;",2,1)))</f>
        <v/>
      </c>
      <c r="CM358" s="101" t="str">
        <f aca="false">IF(ISBLANK($C358),"",IF($BR358&lt;&gt;Constants!$B$8,"",IF($BI358="-&gt;",$BK358,$BC358)))</f>
        <v/>
      </c>
      <c r="CN358" s="101" t="str">
        <f aca="false">IF(ISBLANK($C358),"",IF($BR358&lt;&gt;Constants!$B$8,"",IF($BI358="-&gt;",$BL358,$BD358)))</f>
        <v/>
      </c>
      <c r="CO358" s="101" t="str">
        <f aca="false">IF(ISBLANK($C358),"",IF($BR358&lt;&gt;Constants!$B$8,"",IF($BI358="-&gt;",$BM358+$BN358,$BE358+$BF358)+$BV358))</f>
        <v/>
      </c>
      <c r="CP358" s="101" t="str">
        <f aca="false">IF(ISBLANK($C358),"",IF($BR358&lt;&gt;Constants!$B$8,"",IF($BI358="-&gt;",$BO358,$BG358)+$BU358))</f>
        <v/>
      </c>
      <c r="CQ358" s="102" t="str">
        <f aca="false">IF(ISBLANK($C358),"",IF($BR358&lt;&gt;Constants!$B$8,$BR358,$BW358))</f>
        <v/>
      </c>
      <c r="CR358" s="103" t="str">
        <f aca="false">IF(ISBLANK($C358),"",$BS358)</f>
        <v/>
      </c>
      <c r="CS358" s="104" t="str">
        <f aca="false">IF(ISBLANK($C358),"",$CH358)</f>
        <v/>
      </c>
      <c r="CT358" s="104" t="str">
        <f aca="false">IF(ISBLANK($C358),"",$CG358)</f>
        <v/>
      </c>
      <c r="CU358" s="105" t="str">
        <f aca="false">IF(ISBLANK($C358),"",IFERROR(_xlfn.SWITCH($CT358,Constants!$B$11,COUNTA($C$9:$C$508)+2,Constants!$B$10,COUNTA($C$9:$C$508)+1,Constants!$B$9,COUNTA($C$9:$C$508)),$CT358))</f>
        <v/>
      </c>
      <c r="CV358" s="9"/>
      <c r="CW358" s="106" t="n">
        <f aca="false">IF(OR(ISNUMBER($CT358),$CT358=Constants!$B$11,$CT358=Constants!$B$9,$CT358=Constants!$B$10),1,0)</f>
        <v>0</v>
      </c>
      <c r="CX358" s="106" t="n">
        <v>350</v>
      </c>
      <c r="CY358" s="106" t="str">
        <f aca="false">IF(ISBLANK($C358),"",IF(ISNUMBER($CU358),$CU358+ROW($B358)/1000,""))</f>
        <v/>
      </c>
      <c r="CZ358" s="106" t="str">
        <f aca="false">IF(ISNUMBER($CY358),RANK($CY358,$CY$9:$CY$508,1),"")</f>
        <v/>
      </c>
      <c r="DA358" s="106" t="str">
        <f aca="false">IF(ISBLANK($C358),"",$B358)</f>
        <v/>
      </c>
      <c r="DB358" s="106" t="str">
        <f aca="false">IF(ISBLANK($C358),"",$C358)</f>
        <v/>
      </c>
      <c r="DC358" s="106" t="str">
        <f aca="false">IF(ISBLANK($C358),"",$D358)</f>
        <v/>
      </c>
      <c r="DD358" s="107" t="str">
        <f aca="false">$CR358</f>
        <v/>
      </c>
      <c r="DE358" s="108" t="str">
        <f aca="false">$CQ358</f>
        <v/>
      </c>
      <c r="DF358" s="106" t="str">
        <f aca="false">IF(ISBLANK($C358),"",$CT358)</f>
        <v/>
      </c>
      <c r="DG358" s="109" t="str">
        <f aca="false">IF($CX358&gt;$CW$8,"",VLOOKUP($CX358,$CZ$9:$DF$508,7,FALSE()))</f>
        <v/>
      </c>
      <c r="DH358" s="110" t="str">
        <f aca="false">IF($CX358&gt;$CW$8,"",VLOOKUP($CX358,$CZ$9:$DF$508,2,FALSE()))</f>
        <v/>
      </c>
      <c r="DI358" s="110" t="str">
        <f aca="false">IF($CX358&gt;$CW$8,"",VLOOKUP($CX358,$CZ$9:$DF$508,3,FALSE()))</f>
        <v/>
      </c>
      <c r="DJ358" s="110" t="str">
        <f aca="false">IF($CX358&gt;$CW$8,"",VLOOKUP($CX358,$CZ$9:$DF$508,4,FALSE()))</f>
        <v/>
      </c>
      <c r="DK358" s="110" t="str">
        <f aca="false">IF($CX358&gt;$CW$8,"",VLOOKUP($CX358,$CZ$9:$DF$508,5,FALSE()))</f>
        <v/>
      </c>
      <c r="DL358" s="111" t="str">
        <f aca="false">IF($CX358&gt;$CW$8,"",VLOOKUP($CX358,$CZ$9:$DF$508,6,FALSE()))</f>
        <v/>
      </c>
      <c r="DM358" s="75"/>
    </row>
    <row r="359" customFormat="false" ht="15.75" hidden="false" customHeight="false" outlineLevel="0" collapsed="false">
      <c r="A359" s="9"/>
      <c r="B359" s="77"/>
      <c r="C359" s="78"/>
      <c r="D359" s="167"/>
      <c r="E359" s="175"/>
      <c r="F359" s="169"/>
      <c r="G359" s="170"/>
      <c r="H359" s="170"/>
      <c r="I359" s="176"/>
      <c r="J359" s="173"/>
      <c r="K359" s="85"/>
      <c r="L359" s="86"/>
      <c r="M359" s="87"/>
      <c r="N359" s="173"/>
      <c r="O359" s="173"/>
      <c r="P359" s="175"/>
      <c r="Q359" s="173"/>
      <c r="R359" s="173"/>
      <c r="S359" s="85"/>
      <c r="T359" s="87"/>
      <c r="U359" s="87"/>
      <c r="V359" s="173"/>
      <c r="W359" s="173"/>
      <c r="X359" s="175"/>
      <c r="Y359" s="173"/>
      <c r="Z359" s="174"/>
      <c r="AA359" s="173"/>
      <c r="AB359" s="91"/>
      <c r="AC359" s="92"/>
      <c r="AD359" s="92"/>
      <c r="AE359" s="92"/>
      <c r="AF359" s="92" t="str">
        <f aca="false">IF(ISBLANK($C359),"",IF(E359=Constants!$B$3,TRUE(),IF(E359=Constants!$B$4,FALSE(),TRUE())))</f>
        <v/>
      </c>
      <c r="AG359" s="92" t="str">
        <f aca="false">IF(ISBLANK($C359),"",IF(F359=Constants!$B$3,TRUE(),IF(F359=Constants!$B$4,FALSE(),TRUE())))</f>
        <v/>
      </c>
      <c r="AH359" s="92" t="str">
        <f aca="false">IF(ISBLANK($C359),"",IF(G359=Constants!$B$3,TRUE(),IF(G359=Constants!$B$4,FALSE(),TRUE())))</f>
        <v/>
      </c>
      <c r="AI359" s="92" t="str">
        <f aca="false">IF(ISBLANK($C359),"",IF(AND(ISNUMBER(H359),H359&gt;=0),H359,Constants!$B$29))</f>
        <v/>
      </c>
      <c r="AJ359" s="92" t="str">
        <f aca="false">IF(ISBLANK($C359),"",IF(I359=Constants!$B$3,TRUE(),IF(I359=Constants!$B$4,FALSE(),TRUE())))</f>
        <v/>
      </c>
      <c r="AK359" s="92" t="str">
        <f aca="false">IF(ISBLANK($C359),"",IF(J359=Constants!$B$3,TRUE(),IF(J359=Constants!$B$4,FALSE(),TRUE())))</f>
        <v/>
      </c>
      <c r="AL359" s="92" t="str">
        <f aca="false">IF(ISBLANK($C359),"",IF(K359=Constants!$B$5,TRUE(),IF(K359=Constants!$B$6,FALSE(),COUNTA(L359:P359)&gt;0)))</f>
        <v/>
      </c>
      <c r="AM359" s="94" t="str">
        <f aca="false">IF(ISBLANK($C359),"",IF(ISNUMBER(L359),IF(L359&gt;=0,L359,""),""))</f>
        <v/>
      </c>
      <c r="AN359" s="93" t="str">
        <f aca="false">IF(ISBLANK($C359),"",IF(ISNUMBER(M359),IF(M359&gt;=0,M359,""),""))</f>
        <v/>
      </c>
      <c r="AO359" s="93" t="str">
        <f aca="false">IF(ISBLANK($C359),"",IF(N359=Constants!$B$3,TRUE(),IF(N359=Constants!$B$4,FALSE(),TRUE())))</f>
        <v/>
      </c>
      <c r="AP359" s="92" t="str">
        <f aca="false">IF(ISBLANK($C359),"",IF(ISNUMBER(O359),IF(O359&gt;=0,O359,""),""))</f>
        <v/>
      </c>
      <c r="AQ359" s="92" t="str">
        <f aca="false">IF(ISBLANK($C359),"",IF(P359=Constants!$B$3,TRUE(),IF(P359=Constants!$B$4,FALSE(),FALSE())))</f>
        <v/>
      </c>
      <c r="AR359" s="92" t="str">
        <f aca="false">IF(ISBLANK($C359),"",IF(Q359=Constants!$B$3,TRUE(),IF(Q359=Constants!$B$4,FALSE(),TRUE())))</f>
        <v/>
      </c>
      <c r="AS359" s="92" t="str">
        <f aca="false">IF(ISBLANK($C359),"",IF(R359=Constants!$B$3,TRUE(),IF(R359=Constants!$B$4,FALSE(),TRUE())))</f>
        <v/>
      </c>
      <c r="AT359" s="92" t="str">
        <f aca="false">IF(ISBLANK($C359),"",IF(S359=Constants!$B$5,TRUE(),IF(S359=Constants!$B$6,FALSE(),COUNTA(T359:X359)&gt;0)))</f>
        <v/>
      </c>
      <c r="AU359" s="94" t="str">
        <f aca="false">IF(ISBLANK($C359),"",IF(ISNUMBER(T359),IF(T359&gt;=0,T359,""),""))</f>
        <v/>
      </c>
      <c r="AV359" s="93" t="str">
        <f aca="false">IF(ISBLANK($C359),"",IF(ISNUMBER(U359),IF(U359&gt;=0,U359,""),""))</f>
        <v/>
      </c>
      <c r="AW359" s="93" t="str">
        <f aca="false">IF(ISBLANK($C359),"",IF(V359=Constants!$B$3,TRUE(),IF(V359=Constants!$B$4,FALSE(),TRUE())))</f>
        <v/>
      </c>
      <c r="AX359" s="92" t="str">
        <f aca="false">IF(ISBLANK($C359),"",IF(ISNUMBER(W359),IF(W359&gt;=0,W359,""),""))</f>
        <v/>
      </c>
      <c r="AY359" s="92" t="str">
        <f aca="false">IF(ISBLANK($C359),"",IF(X359=Constants!$B$3,TRUE(),IF(X359=Constants!$B$4,FALSE(),FALSE())))</f>
        <v/>
      </c>
      <c r="AZ359" s="92" t="str">
        <f aca="false">IF(ISBLANK($C359),"",MIN(Constants!$B$31,MAX(0,IF(ISNUMBER(Y359),Y359*60,0)+IF(ISNUMBER(Z359),Z359,0))))</f>
        <v/>
      </c>
      <c r="BA359" s="92" t="str">
        <f aca="false">IF(ISBLANK($C359),"",IF(AA359=Constants!$B$3,TRUE(),IF(AA359=Constants!$B$4,FALSE(),FALSE())))</f>
        <v/>
      </c>
      <c r="BB359" s="91" t="str">
        <f aca="false">IF(ISBLANK($C359),"",AND($AL359,OR($AM359="",$AN359="",AND($AO359,$AP359=""))))</f>
        <v/>
      </c>
      <c r="BC359" s="93" t="str">
        <f aca="false">IF($BR359&lt;&gt;Constants!$B$8,"",IF($AL359,Constants!$B$21*$AN359+Constants!$B$22*IF($AO359,$AP359,Constants!$B$23),Constants!$B$24))</f>
        <v/>
      </c>
      <c r="BD359" s="96" t="str">
        <f aca="false">IF($BR359&lt;&gt;Constants!$B$8,"",Constants!$B$25*ABS($AD$9-IF($AL359,$AM359,0)))</f>
        <v/>
      </c>
      <c r="BE359" s="96" t="str">
        <f aca="false">IF($BR359&lt;&gt;Constants!$B$8,"",IF(AND($AL359,$AQ359,$AO359),Constants!$B$27,0))</f>
        <v/>
      </c>
      <c r="BF359" s="96" t="str">
        <f aca="false">IF($BR359&lt;&gt;Constants!$B$8,"",IF($AL359,($AI359-Constants!$B$29)*Constants!$B$28,0))</f>
        <v/>
      </c>
      <c r="BG359" s="96" t="str">
        <f aca="false">IF($BR359&lt;&gt;Constants!$B$8,"",IF($AK359,0,Constants!$B$15)+IF($AJ359,0,Constants!$B$16)+IF($AH359,0,Constants!$B$17))</f>
        <v/>
      </c>
      <c r="BH359" s="97" t="str">
        <f aca="false">IF($BR359&lt;&gt;Constants!$B$8,"",Constants!$B$20+SUM($BC359:$BG359))</f>
        <v/>
      </c>
      <c r="BI359" s="92" t="str">
        <f aca="false">IF($BR359&lt;&gt;Constants!$B$8,"",IF(OR($BP359&lt;$BH359,AND($BP359=$BH359,OR($BK359&lt;$BC359,AND($BK359=$BC359,OR($BL359&lt;$BD359,AND($BL359=$BD359,$AT359,$AL359,$AV359&lt;$AN359)))))),"-&gt;","&lt;-"))</f>
        <v/>
      </c>
      <c r="BJ359" s="91" t="str">
        <f aca="false">IF(ISBLANK($C359),"",AND($AT359,OR($AU359="",$AV359="",AND($AW359,$AX359=""))))</f>
        <v/>
      </c>
      <c r="BK359" s="93" t="str">
        <f aca="false">IF($BR359&lt;&gt;Constants!$B$8,"",IF($AT359,Constants!$B$21*$AV359+Constants!$B$22*IF($AW359,$AX359,Constants!$B$23),Constants!$B$24))</f>
        <v/>
      </c>
      <c r="BL359" s="96" t="str">
        <f aca="false">IF($BR359&lt;&gt;Constants!$B$8,"",Constants!$B$25*ABS($AD$9-IF($AT359,$AU359,0)))</f>
        <v/>
      </c>
      <c r="BM359" s="96" t="str">
        <f aca="false">IF($BR359&lt;&gt;Constants!$B$8,"",IF(AND($AT359,$AY359,$AW359),Constants!$B$27,0))</f>
        <v/>
      </c>
      <c r="BN359" s="96" t="str">
        <f aca="false">IF($BR359&lt;&gt;Constants!$B$8,"",IF($AT359,($AI359-Constants!$B$29)*Constants!$B$28,0))</f>
        <v/>
      </c>
      <c r="BO359" s="96" t="str">
        <f aca="false">IF($BR359&lt;&gt;Constants!$B$8,"",IF($AS359,0,Constants!$B$15)+IF($AR359,0,Constants!$B$16)+IF($AH359,0,Constants!$B$17))</f>
        <v/>
      </c>
      <c r="BP359" s="97" t="str">
        <f aca="false">IF($BR359&lt;&gt;Constants!$B$8,"",Constants!$B$20+SUM($BK359:$BO359))</f>
        <v/>
      </c>
      <c r="BQ359" s="92" t="str">
        <f aca="false">IF(ISBLANK($C359),"",IF(ISBLANK($D$7),$BQ$5,IF(NOT(ISNUMBER($D$7)),$BQ$6,"")))</f>
        <v/>
      </c>
      <c r="BR359" s="92" t="str">
        <f aca="false">IF(ISBLANK($C359),"",IF($BA359,Constants!$B$11,IF(COUNTA($E359:$AA359)=0,Constants!$B$10,IF(NOT($AG359),Constants!$B$9,IF(OR($BQ359&lt;&gt;"",$BB359,$BJ359),Constants!$B$12,Constants!$B$8)))))</f>
        <v/>
      </c>
      <c r="BS359" s="92" t="str">
        <f aca="false">IF(ISBLANK($C359),"",IF($BR359&lt;&gt;Constants!$B$8,$BR359,Constants!$B$13))</f>
        <v/>
      </c>
      <c r="BT359" s="96" t="str">
        <f aca="false">IF($BR359&lt;&gt;Constants!$B$8,"",IF($BI359="-&gt;",$BP359,$BH359))</f>
        <v/>
      </c>
      <c r="BU359" s="96" t="str">
        <f aca="false">IF($BR359&lt;&gt;Constants!$B$8,"",IF($AF359,0,Constants!$B$18))</f>
        <v/>
      </c>
      <c r="BV359" s="96" t="str">
        <f aca="false">IF($BR359&lt;&gt;Constants!$B$8,"",((Constants!$B$31-$AZ359)-Constants!$B$31)/Constants!$B$32)</f>
        <v/>
      </c>
      <c r="BW359" s="96" t="str">
        <f aca="false">IF(ISBLANK($C359),"",IF($BR359&lt;&gt;Constants!$B$8,$BR359,SUM($BT359:$BV359)))</f>
        <v/>
      </c>
      <c r="BX359" s="92" t="str">
        <f aca="false">IF(ISBLANK($C359),"",IF($BR359&lt;&gt;Constants!$B$8,$BR359,RANK($BW359,$BW$9:$BW$508,1)))</f>
        <v/>
      </c>
      <c r="BY359" s="96" t="str">
        <f aca="false">IF($BR359&lt;&gt;Constants!$B$8,"",IF($BI359="-&gt;",$BK359,$BC359))</f>
        <v/>
      </c>
      <c r="BZ359" s="92" t="str">
        <f aca="false">IF(ISBLANK($C359),"",IF($BR359&lt;&gt;Constants!$B$8,$BR359,IF(ISNUMBER($BY359),RANK($BY359,$BY$9:$BY$508,1),COUNT($BY$9:$BY$508)+1)))</f>
        <v/>
      </c>
      <c r="CA359" s="96" t="str">
        <f aca="false">IF($BR359&lt;&gt;Constants!$B$8,"",IF($BI359="-&gt;",$BL359,$BD359))</f>
        <v/>
      </c>
      <c r="CB359" s="92" t="str">
        <f aca="false">IF(ISBLANK($C359),"",IF($BR359&lt;&gt;Constants!$B$8,$BR359,IF(ISNUMBER($CA359),RANK($CA359,$CA$9:$CA$508,1),COUNT($CA$9:$CA$508)+1)))</f>
        <v/>
      </c>
      <c r="CC359" s="96" t="str">
        <f aca="false">IF($BR359&lt;&gt;Constants!$B$8,"",IF($BI359="-&gt;",IF($AT359,$AV359,""),IF($AL359,$AN359,"")))</f>
        <v/>
      </c>
      <c r="CD359" s="92" t="str">
        <f aca="false">IF(ISBLANK($C359),"",IF($BR359&lt;&gt;Constants!$B$8,$BR359,IF(ISNUMBER($CC359),RANK($CC359,$CC$9:$CC$508,1),COUNT($CC$9:$CC$508)+1)))</f>
        <v/>
      </c>
      <c r="CE359" s="96" t="str">
        <f aca="false">IF($BR359&lt;&gt;Constants!$B$8,"",IF(AND(NOT($AL359),NOT($AT359),$AJ359,$AK359,$AR359,$AS359),"",$AI359))</f>
        <v/>
      </c>
      <c r="CF359" s="92" t="str">
        <f aca="false">IF(ISBLANK($C359),"",IF($BR359&lt;&gt;Constants!$B$8,$BR359,IF(ISNUMBER($CE359),RANK($CE359,$CE$9:$CE$508,1),COUNT($CE$9:$CE$508)+1)))</f>
        <v/>
      </c>
      <c r="CG359" s="92" t="str">
        <f aca="false">IF(ISBLANK($C359),"",IF($BR359&lt;&gt;Constants!$B$8,$BR359,COUNTIFS($BX$9:$BX$508,"&lt;"&amp;$BX359)+COUNTIFS($BX$9:$BX$508,$BX359,$BZ$9:$BZ$508,"&lt;"&amp;$BZ359)+COUNTIFS($BX$9:$BX$508,$BX359,$BZ$9:$BZ$508,$BZ359,$CB$9:$CB$508,"&lt;"&amp;$CB359)+COUNTIFS($BX$9:$BX$508,$BX359,$BZ$9:$BZ$508,$BZ359,$CB$9:$CB$508,$CB359,$CD$9:$CD$508,"&lt;"&amp;$CD359)+COUNTIFS($BX$9:$BX$508,$BX359,$BZ$9:$BZ$508,$BZ359,$CB$9:$CB$508,$CB359,$CD$9:$CD$508,$CD359,$CF$9:$CF$508,"&lt;"&amp;$CF359)+1))</f>
        <v/>
      </c>
      <c r="CH359" s="92" t="str">
        <f aca="false">IF(ISBLANK($C359),"",IF($BR359&lt;&gt;Constants!$B$8,$BR359,$BX359-$CG359))</f>
        <v/>
      </c>
      <c r="CI359" s="98"/>
      <c r="CJ359" s="99"/>
      <c r="CK359" s="100" t="str">
        <f aca="false">IF(ISBLANK($C359),"",IF($BR359=Constants!$B$12,$BQ359,""))</f>
        <v/>
      </c>
      <c r="CL359" s="99" t="str">
        <f aca="false">IF(ISBLANK($C359),"",IF($BR359&lt;&gt;Constants!$B$8,"",IF($BI359="-&gt;",2,1)))</f>
        <v/>
      </c>
      <c r="CM359" s="101" t="str">
        <f aca="false">IF(ISBLANK($C359),"",IF($BR359&lt;&gt;Constants!$B$8,"",IF($BI359="-&gt;",$BK359,$BC359)))</f>
        <v/>
      </c>
      <c r="CN359" s="101" t="str">
        <f aca="false">IF(ISBLANK($C359),"",IF($BR359&lt;&gt;Constants!$B$8,"",IF($BI359="-&gt;",$BL359,$BD359)))</f>
        <v/>
      </c>
      <c r="CO359" s="101" t="str">
        <f aca="false">IF(ISBLANK($C359),"",IF($BR359&lt;&gt;Constants!$B$8,"",IF($BI359="-&gt;",$BM359+$BN359,$BE359+$BF359)+$BV359))</f>
        <v/>
      </c>
      <c r="CP359" s="101" t="str">
        <f aca="false">IF(ISBLANK($C359),"",IF($BR359&lt;&gt;Constants!$B$8,"",IF($BI359="-&gt;",$BO359,$BG359)+$BU359))</f>
        <v/>
      </c>
      <c r="CQ359" s="102" t="str">
        <f aca="false">IF(ISBLANK($C359),"",IF($BR359&lt;&gt;Constants!$B$8,$BR359,$BW359))</f>
        <v/>
      </c>
      <c r="CR359" s="103" t="str">
        <f aca="false">IF(ISBLANK($C359),"",$BS359)</f>
        <v/>
      </c>
      <c r="CS359" s="104" t="str">
        <f aca="false">IF(ISBLANK($C359),"",$CH359)</f>
        <v/>
      </c>
      <c r="CT359" s="104" t="str">
        <f aca="false">IF(ISBLANK($C359),"",$CG359)</f>
        <v/>
      </c>
      <c r="CU359" s="105" t="str">
        <f aca="false">IF(ISBLANK($C359),"",IFERROR(_xlfn.SWITCH($CT359,Constants!$B$11,COUNTA($C$9:$C$508)+2,Constants!$B$10,COUNTA($C$9:$C$508)+1,Constants!$B$9,COUNTA($C$9:$C$508)),$CT359))</f>
        <v/>
      </c>
      <c r="CV359" s="9"/>
      <c r="CW359" s="106" t="n">
        <f aca="false">IF(OR(ISNUMBER($CT359),$CT359=Constants!$B$11,$CT359=Constants!$B$9,$CT359=Constants!$B$10),1,0)</f>
        <v>0</v>
      </c>
      <c r="CX359" s="106" t="n">
        <v>351</v>
      </c>
      <c r="CY359" s="106" t="str">
        <f aca="false">IF(ISBLANK($C359),"",IF(ISNUMBER($CU359),$CU359+ROW($B359)/1000,""))</f>
        <v/>
      </c>
      <c r="CZ359" s="106" t="str">
        <f aca="false">IF(ISNUMBER($CY359),RANK($CY359,$CY$9:$CY$508,1),"")</f>
        <v/>
      </c>
      <c r="DA359" s="106" t="str">
        <f aca="false">IF(ISBLANK($C359),"",$B359)</f>
        <v/>
      </c>
      <c r="DB359" s="106" t="str">
        <f aca="false">IF(ISBLANK($C359),"",$C359)</f>
        <v/>
      </c>
      <c r="DC359" s="106" t="str">
        <f aca="false">IF(ISBLANK($C359),"",$D359)</f>
        <v/>
      </c>
      <c r="DD359" s="107" t="str">
        <f aca="false">$CR359</f>
        <v/>
      </c>
      <c r="DE359" s="108" t="str">
        <f aca="false">$CQ359</f>
        <v/>
      </c>
      <c r="DF359" s="106" t="str">
        <f aca="false">IF(ISBLANK($C359),"",$CT359)</f>
        <v/>
      </c>
      <c r="DG359" s="109" t="str">
        <f aca="false">IF($CX359&gt;$CW$8,"",VLOOKUP($CX359,$CZ$9:$DF$508,7,FALSE()))</f>
        <v/>
      </c>
      <c r="DH359" s="110" t="str">
        <f aca="false">IF($CX359&gt;$CW$8,"",VLOOKUP($CX359,$CZ$9:$DF$508,2,FALSE()))</f>
        <v/>
      </c>
      <c r="DI359" s="110" t="str">
        <f aca="false">IF($CX359&gt;$CW$8,"",VLOOKUP($CX359,$CZ$9:$DF$508,3,FALSE()))</f>
        <v/>
      </c>
      <c r="DJ359" s="110" t="str">
        <f aca="false">IF($CX359&gt;$CW$8,"",VLOOKUP($CX359,$CZ$9:$DF$508,4,FALSE()))</f>
        <v/>
      </c>
      <c r="DK359" s="110" t="str">
        <f aca="false">IF($CX359&gt;$CW$8,"",VLOOKUP($CX359,$CZ$9:$DF$508,5,FALSE()))</f>
        <v/>
      </c>
      <c r="DL359" s="111" t="str">
        <f aca="false">IF($CX359&gt;$CW$8,"",VLOOKUP($CX359,$CZ$9:$DF$508,6,FALSE()))</f>
        <v/>
      </c>
      <c r="DM359" s="75"/>
    </row>
    <row r="360" customFormat="false" ht="15.75" hidden="false" customHeight="false" outlineLevel="0" collapsed="false">
      <c r="A360" s="9"/>
      <c r="B360" s="157"/>
      <c r="C360" s="158"/>
      <c r="D360" s="159"/>
      <c r="E360" s="177"/>
      <c r="F360" s="161"/>
      <c r="G360" s="162"/>
      <c r="H360" s="162"/>
      <c r="I360" s="178"/>
      <c r="J360" s="165"/>
      <c r="K360" s="126"/>
      <c r="L360" s="127"/>
      <c r="M360" s="128"/>
      <c r="N360" s="165"/>
      <c r="O360" s="165"/>
      <c r="P360" s="177"/>
      <c r="Q360" s="165"/>
      <c r="R360" s="165"/>
      <c r="S360" s="126"/>
      <c r="T360" s="128"/>
      <c r="U360" s="128"/>
      <c r="V360" s="165"/>
      <c r="W360" s="165"/>
      <c r="X360" s="177"/>
      <c r="Y360" s="165"/>
      <c r="Z360" s="166"/>
      <c r="AA360" s="165"/>
      <c r="AB360" s="132"/>
      <c r="AC360" s="133"/>
      <c r="AD360" s="133"/>
      <c r="AE360" s="133"/>
      <c r="AF360" s="133" t="str">
        <f aca="false">IF(ISBLANK($C360),"",IF(E360=Constants!$B$3,TRUE(),IF(E360=Constants!$B$4,FALSE(),TRUE())))</f>
        <v/>
      </c>
      <c r="AG360" s="133" t="str">
        <f aca="false">IF(ISBLANK($C360),"",IF(F360=Constants!$B$3,TRUE(),IF(F360=Constants!$B$4,FALSE(),TRUE())))</f>
        <v/>
      </c>
      <c r="AH360" s="133" t="str">
        <f aca="false">IF(ISBLANK($C360),"",IF(G360=Constants!$B$3,TRUE(),IF(G360=Constants!$B$4,FALSE(),TRUE())))</f>
        <v/>
      </c>
      <c r="AI360" s="133" t="str">
        <f aca="false">IF(ISBLANK($C360),"",IF(AND(ISNUMBER(H360),H360&gt;=0),H360,Constants!$B$29))</f>
        <v/>
      </c>
      <c r="AJ360" s="133" t="str">
        <f aca="false">IF(ISBLANK($C360),"",IF(I360=Constants!$B$3,TRUE(),IF(I360=Constants!$B$4,FALSE(),TRUE())))</f>
        <v/>
      </c>
      <c r="AK360" s="133" t="str">
        <f aca="false">IF(ISBLANK($C360),"",IF(J360=Constants!$B$3,TRUE(),IF(J360=Constants!$B$4,FALSE(),TRUE())))</f>
        <v/>
      </c>
      <c r="AL360" s="133" t="str">
        <f aca="false">IF(ISBLANK($C360),"",IF(K360=Constants!$B$5,TRUE(),IF(K360=Constants!$B$6,FALSE(),COUNTA(L360:P360)&gt;0)))</f>
        <v/>
      </c>
      <c r="AM360" s="134" t="str">
        <f aca="false">IF(ISBLANK($C360),"",IF(ISNUMBER(L360),IF(L360&gt;=0,L360,""),""))</f>
        <v/>
      </c>
      <c r="AN360" s="135" t="str">
        <f aca="false">IF(ISBLANK($C360),"",IF(ISNUMBER(M360),IF(M360&gt;=0,M360,""),""))</f>
        <v/>
      </c>
      <c r="AO360" s="135" t="str">
        <f aca="false">IF(ISBLANK($C360),"",IF(N360=Constants!$B$3,TRUE(),IF(N360=Constants!$B$4,FALSE(),TRUE())))</f>
        <v/>
      </c>
      <c r="AP360" s="133" t="str">
        <f aca="false">IF(ISBLANK($C360),"",IF(ISNUMBER(O360),IF(O360&gt;=0,O360,""),""))</f>
        <v/>
      </c>
      <c r="AQ360" s="133" t="str">
        <f aca="false">IF(ISBLANK($C360),"",IF(P360=Constants!$B$3,TRUE(),IF(P360=Constants!$B$4,FALSE(),FALSE())))</f>
        <v/>
      </c>
      <c r="AR360" s="133" t="str">
        <f aca="false">IF(ISBLANK($C360),"",IF(Q360=Constants!$B$3,TRUE(),IF(Q360=Constants!$B$4,FALSE(),TRUE())))</f>
        <v/>
      </c>
      <c r="AS360" s="133" t="str">
        <f aca="false">IF(ISBLANK($C360),"",IF(R360=Constants!$B$3,TRUE(),IF(R360=Constants!$B$4,FALSE(),TRUE())))</f>
        <v/>
      </c>
      <c r="AT360" s="133" t="str">
        <f aca="false">IF(ISBLANK($C360),"",IF(S360=Constants!$B$5,TRUE(),IF(S360=Constants!$B$6,FALSE(),COUNTA(T360:X360)&gt;0)))</f>
        <v/>
      </c>
      <c r="AU360" s="134" t="str">
        <f aca="false">IF(ISBLANK($C360),"",IF(ISNUMBER(T360),IF(T360&gt;=0,T360,""),""))</f>
        <v/>
      </c>
      <c r="AV360" s="135" t="str">
        <f aca="false">IF(ISBLANK($C360),"",IF(ISNUMBER(U360),IF(U360&gt;=0,U360,""),""))</f>
        <v/>
      </c>
      <c r="AW360" s="135" t="str">
        <f aca="false">IF(ISBLANK($C360),"",IF(V360=Constants!$B$3,TRUE(),IF(V360=Constants!$B$4,FALSE(),TRUE())))</f>
        <v/>
      </c>
      <c r="AX360" s="133" t="str">
        <f aca="false">IF(ISBLANK($C360),"",IF(ISNUMBER(W360),IF(W360&gt;=0,W360,""),""))</f>
        <v/>
      </c>
      <c r="AY360" s="133" t="str">
        <f aca="false">IF(ISBLANK($C360),"",IF(X360=Constants!$B$3,TRUE(),IF(X360=Constants!$B$4,FALSE(),FALSE())))</f>
        <v/>
      </c>
      <c r="AZ360" s="133" t="str">
        <f aca="false">IF(ISBLANK($C360),"",MIN(Constants!$B$31,MAX(0,IF(ISNUMBER(Y360),Y360*60,0)+IF(ISNUMBER(Z360),Z360,0))))</f>
        <v/>
      </c>
      <c r="BA360" s="133" t="str">
        <f aca="false">IF(ISBLANK($C360),"",IF(AA360=Constants!$B$3,TRUE(),IF(AA360=Constants!$B$4,FALSE(),FALSE())))</f>
        <v/>
      </c>
      <c r="BB360" s="132" t="str">
        <f aca="false">IF(ISBLANK($C360),"",AND($AL360,OR($AM360="",$AN360="",AND($AO360,$AP360=""))))</f>
        <v/>
      </c>
      <c r="BC360" s="135" t="str">
        <f aca="false">IF($BR360&lt;&gt;Constants!$B$8,"",IF($AL360,Constants!$B$21*$AN360+Constants!$B$22*IF($AO360,$AP360,Constants!$B$23),Constants!$B$24))</f>
        <v/>
      </c>
      <c r="BD360" s="136" t="str">
        <f aca="false">IF($BR360&lt;&gt;Constants!$B$8,"",Constants!$B$25*ABS($AD$9-IF($AL360,$AM360,0)))</f>
        <v/>
      </c>
      <c r="BE360" s="136" t="str">
        <f aca="false">IF($BR360&lt;&gt;Constants!$B$8,"",IF(AND($AL360,$AQ360,$AO360),Constants!$B$27,0))</f>
        <v/>
      </c>
      <c r="BF360" s="136" t="str">
        <f aca="false">IF($BR360&lt;&gt;Constants!$B$8,"",IF($AL360,($AI360-Constants!$B$29)*Constants!$B$28,0))</f>
        <v/>
      </c>
      <c r="BG360" s="136" t="str">
        <f aca="false">IF($BR360&lt;&gt;Constants!$B$8,"",IF($AK360,0,Constants!$B$15)+IF($AJ360,0,Constants!$B$16)+IF($AH360,0,Constants!$B$17))</f>
        <v/>
      </c>
      <c r="BH360" s="137" t="str">
        <f aca="false">IF($BR360&lt;&gt;Constants!$B$8,"",Constants!$B$20+SUM($BC360:$BG360))</f>
        <v/>
      </c>
      <c r="BI360" s="133" t="str">
        <f aca="false">IF($BR360&lt;&gt;Constants!$B$8,"",IF(OR($BP360&lt;$BH360,AND($BP360=$BH360,OR($BK360&lt;$BC360,AND($BK360=$BC360,OR($BL360&lt;$BD360,AND($BL360=$BD360,$AT360,$AL360,$AV360&lt;$AN360)))))),"-&gt;","&lt;-"))</f>
        <v/>
      </c>
      <c r="BJ360" s="132" t="str">
        <f aca="false">IF(ISBLANK($C360),"",AND($AT360,OR($AU360="",$AV360="",AND($AW360,$AX360=""))))</f>
        <v/>
      </c>
      <c r="BK360" s="135" t="str">
        <f aca="false">IF($BR360&lt;&gt;Constants!$B$8,"",IF($AT360,Constants!$B$21*$AV360+Constants!$B$22*IF($AW360,$AX360,Constants!$B$23),Constants!$B$24))</f>
        <v/>
      </c>
      <c r="BL360" s="136" t="str">
        <f aca="false">IF($BR360&lt;&gt;Constants!$B$8,"",Constants!$B$25*ABS($AD$9-IF($AT360,$AU360,0)))</f>
        <v/>
      </c>
      <c r="BM360" s="136" t="str">
        <f aca="false">IF($BR360&lt;&gt;Constants!$B$8,"",IF(AND($AT360,$AY360,$AW360),Constants!$B$27,0))</f>
        <v/>
      </c>
      <c r="BN360" s="136" t="str">
        <f aca="false">IF($BR360&lt;&gt;Constants!$B$8,"",IF($AT360,($AI360-Constants!$B$29)*Constants!$B$28,0))</f>
        <v/>
      </c>
      <c r="BO360" s="136" t="str">
        <f aca="false">IF($BR360&lt;&gt;Constants!$B$8,"",IF($AS360,0,Constants!$B$15)+IF($AR360,0,Constants!$B$16)+IF($AH360,0,Constants!$B$17))</f>
        <v/>
      </c>
      <c r="BP360" s="137" t="str">
        <f aca="false">IF($BR360&lt;&gt;Constants!$B$8,"",Constants!$B$20+SUM($BK360:$BO360))</f>
        <v/>
      </c>
      <c r="BQ360" s="133" t="str">
        <f aca="false">IF(ISBLANK($C360),"",IF(ISBLANK($D$7),$BQ$5,IF(NOT(ISNUMBER($D$7)),$BQ$6,"")))</f>
        <v/>
      </c>
      <c r="BR360" s="133" t="str">
        <f aca="false">IF(ISBLANK($C360),"",IF($BA360,Constants!$B$11,IF(COUNTA($E360:$AA360)=0,Constants!$B$10,IF(NOT($AG360),Constants!$B$9,IF(OR($BQ360&lt;&gt;"",$BB360,$BJ360),Constants!$B$12,Constants!$B$8)))))</f>
        <v/>
      </c>
      <c r="BS360" s="133" t="str">
        <f aca="false">IF(ISBLANK($C360),"",IF($BR360&lt;&gt;Constants!$B$8,$BR360,Constants!$B$13))</f>
        <v/>
      </c>
      <c r="BT360" s="136" t="str">
        <f aca="false">IF($BR360&lt;&gt;Constants!$B$8,"",IF($BI360="-&gt;",$BP360,$BH360))</f>
        <v/>
      </c>
      <c r="BU360" s="136" t="str">
        <f aca="false">IF($BR360&lt;&gt;Constants!$B$8,"",IF($AF360,0,Constants!$B$18))</f>
        <v/>
      </c>
      <c r="BV360" s="136" t="str">
        <f aca="false">IF($BR360&lt;&gt;Constants!$B$8,"",((Constants!$B$31-$AZ360)-Constants!$B$31)/Constants!$B$32)</f>
        <v/>
      </c>
      <c r="BW360" s="136" t="str">
        <f aca="false">IF(ISBLANK($C360),"",IF($BR360&lt;&gt;Constants!$B$8,$BR360,SUM($BT360:$BV360)))</f>
        <v/>
      </c>
      <c r="BX360" s="133" t="str">
        <f aca="false">IF(ISBLANK($C360),"",IF($BR360&lt;&gt;Constants!$B$8,$BR360,RANK($BW360,$BW$9:$BW$508,1)))</f>
        <v/>
      </c>
      <c r="BY360" s="136" t="str">
        <f aca="false">IF($BR360&lt;&gt;Constants!$B$8,"",IF($BI360="-&gt;",$BK360,$BC360))</f>
        <v/>
      </c>
      <c r="BZ360" s="133" t="str">
        <f aca="false">IF(ISBLANK($C360),"",IF($BR360&lt;&gt;Constants!$B$8,$BR360,IF(ISNUMBER($BY360),RANK($BY360,$BY$9:$BY$508,1),COUNT($BY$9:$BY$508)+1)))</f>
        <v/>
      </c>
      <c r="CA360" s="136" t="str">
        <f aca="false">IF($BR360&lt;&gt;Constants!$B$8,"",IF($BI360="-&gt;",$BL360,$BD360))</f>
        <v/>
      </c>
      <c r="CB360" s="133" t="str">
        <f aca="false">IF(ISBLANK($C360),"",IF($BR360&lt;&gt;Constants!$B$8,$BR360,IF(ISNUMBER($CA360),RANK($CA360,$CA$9:$CA$508,1),COUNT($CA$9:$CA$508)+1)))</f>
        <v/>
      </c>
      <c r="CC360" s="136" t="str">
        <f aca="false">IF($BR360&lt;&gt;Constants!$B$8,"",IF($BI360="-&gt;",IF($AT360,$AV360,""),IF($AL360,$AN360,"")))</f>
        <v/>
      </c>
      <c r="CD360" s="133" t="str">
        <f aca="false">IF(ISBLANK($C360),"",IF($BR360&lt;&gt;Constants!$B$8,$BR360,IF(ISNUMBER($CC360),RANK($CC360,$CC$9:$CC$508,1),COUNT($CC$9:$CC$508)+1)))</f>
        <v/>
      </c>
      <c r="CE360" s="136" t="str">
        <f aca="false">IF($BR360&lt;&gt;Constants!$B$8,"",IF(AND(NOT($AL360),NOT($AT360),$AJ360,$AK360,$AR360,$AS360),"",$AI360))</f>
        <v/>
      </c>
      <c r="CF360" s="133" t="str">
        <f aca="false">IF(ISBLANK($C360),"",IF($BR360&lt;&gt;Constants!$B$8,$BR360,IF(ISNUMBER($CE360),RANK($CE360,$CE$9:$CE$508,1),COUNT($CE$9:$CE$508)+1)))</f>
        <v/>
      </c>
      <c r="CG360" s="133" t="str">
        <f aca="false">IF(ISBLANK($C360),"",IF($BR360&lt;&gt;Constants!$B$8,$BR360,COUNTIFS($BX$9:$BX$508,"&lt;"&amp;$BX360)+COUNTIFS($BX$9:$BX$508,$BX360,$BZ$9:$BZ$508,"&lt;"&amp;$BZ360)+COUNTIFS($BX$9:$BX$508,$BX360,$BZ$9:$BZ$508,$BZ360,$CB$9:$CB$508,"&lt;"&amp;$CB360)+COUNTIFS($BX$9:$BX$508,$BX360,$BZ$9:$BZ$508,$BZ360,$CB$9:$CB$508,$CB360,$CD$9:$CD$508,"&lt;"&amp;$CD360)+COUNTIFS($BX$9:$BX$508,$BX360,$BZ$9:$BZ$508,$BZ360,$CB$9:$CB$508,$CB360,$CD$9:$CD$508,$CD360,$CF$9:$CF$508,"&lt;"&amp;$CF360)+1))</f>
        <v/>
      </c>
      <c r="CH360" s="133" t="str">
        <f aca="false">IF(ISBLANK($C360),"",IF($BR360&lt;&gt;Constants!$B$8,$BR360,$BX360-$CG360))</f>
        <v/>
      </c>
      <c r="CI360" s="138"/>
      <c r="CJ360" s="139"/>
      <c r="CK360" s="140" t="str">
        <f aca="false">IF(ISBLANK($C360),"",IF($BR360=Constants!$B$12,$BQ360,""))</f>
        <v/>
      </c>
      <c r="CL360" s="139" t="str">
        <f aca="false">IF(ISBLANK($C360),"",IF($BR360&lt;&gt;Constants!$B$8,"",IF($BI360="-&gt;",2,1)))</f>
        <v/>
      </c>
      <c r="CM360" s="141" t="str">
        <f aca="false">IF(ISBLANK($C360),"",IF($BR360&lt;&gt;Constants!$B$8,"",IF($BI360="-&gt;",$BK360,$BC360)))</f>
        <v/>
      </c>
      <c r="CN360" s="141" t="str">
        <f aca="false">IF(ISBLANK($C360),"",IF($BR360&lt;&gt;Constants!$B$8,"",IF($BI360="-&gt;",$BL360,$BD360)))</f>
        <v/>
      </c>
      <c r="CO360" s="141" t="str">
        <f aca="false">IF(ISBLANK($C360),"",IF($BR360&lt;&gt;Constants!$B$8,"",IF($BI360="-&gt;",$BM360+$BN360,$BE360+$BF360)+$BV360))</f>
        <v/>
      </c>
      <c r="CP360" s="141" t="str">
        <f aca="false">IF(ISBLANK($C360),"",IF($BR360&lt;&gt;Constants!$B$8,"",IF($BI360="-&gt;",$BO360,$BG360)+$BU360))</f>
        <v/>
      </c>
      <c r="CQ360" s="142" t="str">
        <f aca="false">IF(ISBLANK($C360),"",IF($BR360&lt;&gt;Constants!$B$8,$BR360,$BW360))</f>
        <v/>
      </c>
      <c r="CR360" s="143" t="str">
        <f aca="false">IF(ISBLANK($C360),"",$BS360)</f>
        <v/>
      </c>
      <c r="CS360" s="144" t="str">
        <f aca="false">IF(ISBLANK($C360),"",$CH360)</f>
        <v/>
      </c>
      <c r="CT360" s="144" t="str">
        <f aca="false">IF(ISBLANK($C360),"",$CG360)</f>
        <v/>
      </c>
      <c r="CU360" s="145" t="str">
        <f aca="false">IF(ISBLANK($C360),"",IFERROR(_xlfn.SWITCH($CT360,Constants!$B$11,COUNTA($C$9:$C$508)+2,Constants!$B$10,COUNTA($C$9:$C$508)+1,Constants!$B$9,COUNTA($C$9:$C$508)),$CT360))</f>
        <v/>
      </c>
      <c r="CV360" s="9"/>
      <c r="CW360" s="146" t="n">
        <f aca="false">IF(OR(ISNUMBER($CT360),$CT360=Constants!$B$11,$CT360=Constants!$B$9,$CT360=Constants!$B$10),1,0)</f>
        <v>0</v>
      </c>
      <c r="CX360" s="146" t="n">
        <v>352</v>
      </c>
      <c r="CY360" s="146" t="str">
        <f aca="false">IF(ISBLANK($C360),"",IF(ISNUMBER($CU360),$CU360+ROW($B360)/1000,""))</f>
        <v/>
      </c>
      <c r="CZ360" s="146" t="str">
        <f aca="false">IF(ISNUMBER($CY360),RANK($CY360,$CY$9:$CY$508,1),"")</f>
        <v/>
      </c>
      <c r="DA360" s="146" t="str">
        <f aca="false">IF(ISBLANK($C360),"",$B360)</f>
        <v/>
      </c>
      <c r="DB360" s="146" t="str">
        <f aca="false">IF(ISBLANK($C360),"",$C360)</f>
        <v/>
      </c>
      <c r="DC360" s="146" t="str">
        <f aca="false">IF(ISBLANK($C360),"",$D360)</f>
        <v/>
      </c>
      <c r="DD360" s="147" t="str">
        <f aca="false">$CR360</f>
        <v/>
      </c>
      <c r="DE360" s="148" t="str">
        <f aca="false">$CQ360</f>
        <v/>
      </c>
      <c r="DF360" s="146" t="str">
        <f aca="false">IF(ISBLANK($C360),"",$CT360)</f>
        <v/>
      </c>
      <c r="DG360" s="149" t="str">
        <f aca="false">IF($CX360&gt;$CW$8,"",VLOOKUP($CX360,$CZ$9:$DF$508,7,FALSE()))</f>
        <v/>
      </c>
      <c r="DH360" s="150" t="str">
        <f aca="false">IF($CX360&gt;$CW$8,"",VLOOKUP($CX360,$CZ$9:$DF$508,2,FALSE()))</f>
        <v/>
      </c>
      <c r="DI360" s="150" t="str">
        <f aca="false">IF($CX360&gt;$CW$8,"",VLOOKUP($CX360,$CZ$9:$DF$508,3,FALSE()))</f>
        <v/>
      </c>
      <c r="DJ360" s="150" t="str">
        <f aca="false">IF($CX360&gt;$CW$8,"",VLOOKUP($CX360,$CZ$9:$DF$508,4,FALSE()))</f>
        <v/>
      </c>
      <c r="DK360" s="150" t="str">
        <f aca="false">IF($CX360&gt;$CW$8,"",VLOOKUP($CX360,$CZ$9:$DF$508,5,FALSE()))</f>
        <v/>
      </c>
      <c r="DL360" s="151" t="str">
        <f aca="false">IF($CX360&gt;$CW$8,"",VLOOKUP($CX360,$CZ$9:$DF$508,6,FALSE()))</f>
        <v/>
      </c>
      <c r="DM360" s="75"/>
    </row>
    <row r="361" customFormat="false" ht="15.75" hidden="false" customHeight="false" outlineLevel="0" collapsed="false">
      <c r="A361" s="9"/>
      <c r="B361" s="157"/>
      <c r="C361" s="158"/>
      <c r="D361" s="159"/>
      <c r="E361" s="177"/>
      <c r="F361" s="161"/>
      <c r="G361" s="162"/>
      <c r="H361" s="162"/>
      <c r="I361" s="178"/>
      <c r="J361" s="165"/>
      <c r="K361" s="126"/>
      <c r="L361" s="127"/>
      <c r="M361" s="128"/>
      <c r="N361" s="165"/>
      <c r="O361" s="165"/>
      <c r="P361" s="177"/>
      <c r="Q361" s="165"/>
      <c r="R361" s="165"/>
      <c r="S361" s="126"/>
      <c r="T361" s="128"/>
      <c r="U361" s="128"/>
      <c r="V361" s="165"/>
      <c r="W361" s="165"/>
      <c r="X361" s="177"/>
      <c r="Y361" s="165"/>
      <c r="Z361" s="166"/>
      <c r="AA361" s="165"/>
      <c r="AB361" s="132"/>
      <c r="AC361" s="133"/>
      <c r="AD361" s="133"/>
      <c r="AE361" s="133"/>
      <c r="AF361" s="133" t="str">
        <f aca="false">IF(ISBLANK($C361),"",IF(E361=Constants!$B$3,TRUE(),IF(E361=Constants!$B$4,FALSE(),TRUE())))</f>
        <v/>
      </c>
      <c r="AG361" s="133" t="str">
        <f aca="false">IF(ISBLANK($C361),"",IF(F361=Constants!$B$3,TRUE(),IF(F361=Constants!$B$4,FALSE(),TRUE())))</f>
        <v/>
      </c>
      <c r="AH361" s="133" t="str">
        <f aca="false">IF(ISBLANK($C361),"",IF(G361=Constants!$B$3,TRUE(),IF(G361=Constants!$B$4,FALSE(),TRUE())))</f>
        <v/>
      </c>
      <c r="AI361" s="133" t="str">
        <f aca="false">IF(ISBLANK($C361),"",IF(AND(ISNUMBER(H361),H361&gt;=0),H361,Constants!$B$29))</f>
        <v/>
      </c>
      <c r="AJ361" s="133" t="str">
        <f aca="false">IF(ISBLANK($C361),"",IF(I361=Constants!$B$3,TRUE(),IF(I361=Constants!$B$4,FALSE(),TRUE())))</f>
        <v/>
      </c>
      <c r="AK361" s="133" t="str">
        <f aca="false">IF(ISBLANK($C361),"",IF(J361=Constants!$B$3,TRUE(),IF(J361=Constants!$B$4,FALSE(),TRUE())))</f>
        <v/>
      </c>
      <c r="AL361" s="133" t="str">
        <f aca="false">IF(ISBLANK($C361),"",IF(K361=Constants!$B$5,TRUE(),IF(K361=Constants!$B$6,FALSE(),COUNTA(L361:P361)&gt;0)))</f>
        <v/>
      </c>
      <c r="AM361" s="134" t="str">
        <f aca="false">IF(ISBLANK($C361),"",IF(ISNUMBER(L361),IF(L361&gt;=0,L361,""),""))</f>
        <v/>
      </c>
      <c r="AN361" s="135" t="str">
        <f aca="false">IF(ISBLANK($C361),"",IF(ISNUMBER(M361),IF(M361&gt;=0,M361,""),""))</f>
        <v/>
      </c>
      <c r="AO361" s="135" t="str">
        <f aca="false">IF(ISBLANK($C361),"",IF(N361=Constants!$B$3,TRUE(),IF(N361=Constants!$B$4,FALSE(),TRUE())))</f>
        <v/>
      </c>
      <c r="AP361" s="133" t="str">
        <f aca="false">IF(ISBLANK($C361),"",IF(ISNUMBER(O361),IF(O361&gt;=0,O361,""),""))</f>
        <v/>
      </c>
      <c r="AQ361" s="133" t="str">
        <f aca="false">IF(ISBLANK($C361),"",IF(P361=Constants!$B$3,TRUE(),IF(P361=Constants!$B$4,FALSE(),FALSE())))</f>
        <v/>
      </c>
      <c r="AR361" s="133" t="str">
        <f aca="false">IF(ISBLANK($C361),"",IF(Q361=Constants!$B$3,TRUE(),IF(Q361=Constants!$B$4,FALSE(),TRUE())))</f>
        <v/>
      </c>
      <c r="AS361" s="133" t="str">
        <f aca="false">IF(ISBLANK($C361),"",IF(R361=Constants!$B$3,TRUE(),IF(R361=Constants!$B$4,FALSE(),TRUE())))</f>
        <v/>
      </c>
      <c r="AT361" s="133" t="str">
        <f aca="false">IF(ISBLANK($C361),"",IF(S361=Constants!$B$5,TRUE(),IF(S361=Constants!$B$6,FALSE(),COUNTA(T361:X361)&gt;0)))</f>
        <v/>
      </c>
      <c r="AU361" s="134" t="str">
        <f aca="false">IF(ISBLANK($C361),"",IF(ISNUMBER(T361),IF(T361&gt;=0,T361,""),""))</f>
        <v/>
      </c>
      <c r="AV361" s="135" t="str">
        <f aca="false">IF(ISBLANK($C361),"",IF(ISNUMBER(U361),IF(U361&gt;=0,U361,""),""))</f>
        <v/>
      </c>
      <c r="AW361" s="135" t="str">
        <f aca="false">IF(ISBLANK($C361),"",IF(V361=Constants!$B$3,TRUE(),IF(V361=Constants!$B$4,FALSE(),TRUE())))</f>
        <v/>
      </c>
      <c r="AX361" s="133" t="str">
        <f aca="false">IF(ISBLANK($C361),"",IF(ISNUMBER(W361),IF(W361&gt;=0,W361,""),""))</f>
        <v/>
      </c>
      <c r="AY361" s="133" t="str">
        <f aca="false">IF(ISBLANK($C361),"",IF(X361=Constants!$B$3,TRUE(),IF(X361=Constants!$B$4,FALSE(),FALSE())))</f>
        <v/>
      </c>
      <c r="AZ361" s="133" t="str">
        <f aca="false">IF(ISBLANK($C361),"",MIN(Constants!$B$31,MAX(0,IF(ISNUMBER(Y361),Y361*60,0)+IF(ISNUMBER(Z361),Z361,0))))</f>
        <v/>
      </c>
      <c r="BA361" s="133" t="str">
        <f aca="false">IF(ISBLANK($C361),"",IF(AA361=Constants!$B$3,TRUE(),IF(AA361=Constants!$B$4,FALSE(),FALSE())))</f>
        <v/>
      </c>
      <c r="BB361" s="132" t="str">
        <f aca="false">IF(ISBLANK($C361),"",AND($AL361,OR($AM361="",$AN361="",AND($AO361,$AP361=""))))</f>
        <v/>
      </c>
      <c r="BC361" s="135" t="str">
        <f aca="false">IF($BR361&lt;&gt;Constants!$B$8,"",IF($AL361,Constants!$B$21*$AN361+Constants!$B$22*IF($AO361,$AP361,Constants!$B$23),Constants!$B$24))</f>
        <v/>
      </c>
      <c r="BD361" s="136" t="str">
        <f aca="false">IF($BR361&lt;&gt;Constants!$B$8,"",Constants!$B$25*ABS($AD$9-IF($AL361,$AM361,0)))</f>
        <v/>
      </c>
      <c r="BE361" s="136" t="str">
        <f aca="false">IF($BR361&lt;&gt;Constants!$B$8,"",IF(AND($AL361,$AQ361,$AO361),Constants!$B$27,0))</f>
        <v/>
      </c>
      <c r="BF361" s="136" t="str">
        <f aca="false">IF($BR361&lt;&gt;Constants!$B$8,"",IF($AL361,($AI361-Constants!$B$29)*Constants!$B$28,0))</f>
        <v/>
      </c>
      <c r="BG361" s="136" t="str">
        <f aca="false">IF($BR361&lt;&gt;Constants!$B$8,"",IF($AK361,0,Constants!$B$15)+IF($AJ361,0,Constants!$B$16)+IF($AH361,0,Constants!$B$17))</f>
        <v/>
      </c>
      <c r="BH361" s="137" t="str">
        <f aca="false">IF($BR361&lt;&gt;Constants!$B$8,"",Constants!$B$20+SUM($BC361:$BG361))</f>
        <v/>
      </c>
      <c r="BI361" s="133" t="str">
        <f aca="false">IF($BR361&lt;&gt;Constants!$B$8,"",IF(OR($BP361&lt;$BH361,AND($BP361=$BH361,OR($BK361&lt;$BC361,AND($BK361=$BC361,OR($BL361&lt;$BD361,AND($BL361=$BD361,$AT361,$AL361,$AV361&lt;$AN361)))))),"-&gt;","&lt;-"))</f>
        <v/>
      </c>
      <c r="BJ361" s="132" t="str">
        <f aca="false">IF(ISBLANK($C361),"",AND($AT361,OR($AU361="",$AV361="",AND($AW361,$AX361=""))))</f>
        <v/>
      </c>
      <c r="BK361" s="135" t="str">
        <f aca="false">IF($BR361&lt;&gt;Constants!$B$8,"",IF($AT361,Constants!$B$21*$AV361+Constants!$B$22*IF($AW361,$AX361,Constants!$B$23),Constants!$B$24))</f>
        <v/>
      </c>
      <c r="BL361" s="136" t="str">
        <f aca="false">IF($BR361&lt;&gt;Constants!$B$8,"",Constants!$B$25*ABS($AD$9-IF($AT361,$AU361,0)))</f>
        <v/>
      </c>
      <c r="BM361" s="136" t="str">
        <f aca="false">IF($BR361&lt;&gt;Constants!$B$8,"",IF(AND($AT361,$AY361,$AW361),Constants!$B$27,0))</f>
        <v/>
      </c>
      <c r="BN361" s="136" t="str">
        <f aca="false">IF($BR361&lt;&gt;Constants!$B$8,"",IF($AT361,($AI361-Constants!$B$29)*Constants!$B$28,0))</f>
        <v/>
      </c>
      <c r="BO361" s="136" t="str">
        <f aca="false">IF($BR361&lt;&gt;Constants!$B$8,"",IF($AS361,0,Constants!$B$15)+IF($AR361,0,Constants!$B$16)+IF($AH361,0,Constants!$B$17))</f>
        <v/>
      </c>
      <c r="BP361" s="137" t="str">
        <f aca="false">IF($BR361&lt;&gt;Constants!$B$8,"",Constants!$B$20+SUM($BK361:$BO361))</f>
        <v/>
      </c>
      <c r="BQ361" s="133" t="str">
        <f aca="false">IF(ISBLANK($C361),"",IF(ISBLANK($D$7),$BQ$5,IF(NOT(ISNUMBER($D$7)),$BQ$6,"")))</f>
        <v/>
      </c>
      <c r="BR361" s="133" t="str">
        <f aca="false">IF(ISBLANK($C361),"",IF($BA361,Constants!$B$11,IF(COUNTA($E361:$AA361)=0,Constants!$B$10,IF(NOT($AG361),Constants!$B$9,IF(OR($BQ361&lt;&gt;"",$BB361,$BJ361),Constants!$B$12,Constants!$B$8)))))</f>
        <v/>
      </c>
      <c r="BS361" s="133" t="str">
        <f aca="false">IF(ISBLANK($C361),"",IF($BR361&lt;&gt;Constants!$B$8,$BR361,Constants!$B$13))</f>
        <v/>
      </c>
      <c r="BT361" s="136" t="str">
        <f aca="false">IF($BR361&lt;&gt;Constants!$B$8,"",IF($BI361="-&gt;",$BP361,$BH361))</f>
        <v/>
      </c>
      <c r="BU361" s="136" t="str">
        <f aca="false">IF($BR361&lt;&gt;Constants!$B$8,"",IF($AF361,0,Constants!$B$18))</f>
        <v/>
      </c>
      <c r="BV361" s="136" t="str">
        <f aca="false">IF($BR361&lt;&gt;Constants!$B$8,"",((Constants!$B$31-$AZ361)-Constants!$B$31)/Constants!$B$32)</f>
        <v/>
      </c>
      <c r="BW361" s="136" t="str">
        <f aca="false">IF(ISBLANK($C361),"",IF($BR361&lt;&gt;Constants!$B$8,$BR361,SUM($BT361:$BV361)))</f>
        <v/>
      </c>
      <c r="BX361" s="133" t="str">
        <f aca="false">IF(ISBLANK($C361),"",IF($BR361&lt;&gt;Constants!$B$8,$BR361,RANK($BW361,$BW$9:$BW$508,1)))</f>
        <v/>
      </c>
      <c r="BY361" s="136" t="str">
        <f aca="false">IF($BR361&lt;&gt;Constants!$B$8,"",IF($BI361="-&gt;",$BK361,$BC361))</f>
        <v/>
      </c>
      <c r="BZ361" s="133" t="str">
        <f aca="false">IF(ISBLANK($C361),"",IF($BR361&lt;&gt;Constants!$B$8,$BR361,IF(ISNUMBER($BY361),RANK($BY361,$BY$9:$BY$508,1),COUNT($BY$9:$BY$508)+1)))</f>
        <v/>
      </c>
      <c r="CA361" s="136" t="str">
        <f aca="false">IF($BR361&lt;&gt;Constants!$B$8,"",IF($BI361="-&gt;",$BL361,$BD361))</f>
        <v/>
      </c>
      <c r="CB361" s="133" t="str">
        <f aca="false">IF(ISBLANK($C361),"",IF($BR361&lt;&gt;Constants!$B$8,$BR361,IF(ISNUMBER($CA361),RANK($CA361,$CA$9:$CA$508,1),COUNT($CA$9:$CA$508)+1)))</f>
        <v/>
      </c>
      <c r="CC361" s="136" t="str">
        <f aca="false">IF($BR361&lt;&gt;Constants!$B$8,"",IF($BI361="-&gt;",IF($AT361,$AV361,""),IF($AL361,$AN361,"")))</f>
        <v/>
      </c>
      <c r="CD361" s="133" t="str">
        <f aca="false">IF(ISBLANK($C361),"",IF($BR361&lt;&gt;Constants!$B$8,$BR361,IF(ISNUMBER($CC361),RANK($CC361,$CC$9:$CC$508,1),COUNT($CC$9:$CC$508)+1)))</f>
        <v/>
      </c>
      <c r="CE361" s="136" t="str">
        <f aca="false">IF($BR361&lt;&gt;Constants!$B$8,"",IF(AND(NOT($AL361),NOT($AT361),$AJ361,$AK361,$AR361,$AS361),"",$AI361))</f>
        <v/>
      </c>
      <c r="CF361" s="133" t="str">
        <f aca="false">IF(ISBLANK($C361),"",IF($BR361&lt;&gt;Constants!$B$8,$BR361,IF(ISNUMBER($CE361),RANK($CE361,$CE$9:$CE$508,1),COUNT($CE$9:$CE$508)+1)))</f>
        <v/>
      </c>
      <c r="CG361" s="133" t="str">
        <f aca="false">IF(ISBLANK($C361),"",IF($BR361&lt;&gt;Constants!$B$8,$BR361,COUNTIFS($BX$9:$BX$508,"&lt;"&amp;$BX361)+COUNTIFS($BX$9:$BX$508,$BX361,$BZ$9:$BZ$508,"&lt;"&amp;$BZ361)+COUNTIFS($BX$9:$BX$508,$BX361,$BZ$9:$BZ$508,$BZ361,$CB$9:$CB$508,"&lt;"&amp;$CB361)+COUNTIFS($BX$9:$BX$508,$BX361,$BZ$9:$BZ$508,$BZ361,$CB$9:$CB$508,$CB361,$CD$9:$CD$508,"&lt;"&amp;$CD361)+COUNTIFS($BX$9:$BX$508,$BX361,$BZ$9:$BZ$508,$BZ361,$CB$9:$CB$508,$CB361,$CD$9:$CD$508,$CD361,$CF$9:$CF$508,"&lt;"&amp;$CF361)+1))</f>
        <v/>
      </c>
      <c r="CH361" s="133" t="str">
        <f aca="false">IF(ISBLANK($C361),"",IF($BR361&lt;&gt;Constants!$B$8,$BR361,$BX361-$CG361))</f>
        <v/>
      </c>
      <c r="CI361" s="138"/>
      <c r="CJ361" s="139"/>
      <c r="CK361" s="140" t="str">
        <f aca="false">IF(ISBLANK($C361),"",IF($BR361=Constants!$B$12,$BQ361,""))</f>
        <v/>
      </c>
      <c r="CL361" s="139" t="str">
        <f aca="false">IF(ISBLANK($C361),"",IF($BR361&lt;&gt;Constants!$B$8,"",IF($BI361="-&gt;",2,1)))</f>
        <v/>
      </c>
      <c r="CM361" s="141" t="str">
        <f aca="false">IF(ISBLANK($C361),"",IF($BR361&lt;&gt;Constants!$B$8,"",IF($BI361="-&gt;",$BK361,$BC361)))</f>
        <v/>
      </c>
      <c r="CN361" s="141" t="str">
        <f aca="false">IF(ISBLANK($C361),"",IF($BR361&lt;&gt;Constants!$B$8,"",IF($BI361="-&gt;",$BL361,$BD361)))</f>
        <v/>
      </c>
      <c r="CO361" s="141" t="str">
        <f aca="false">IF(ISBLANK($C361),"",IF($BR361&lt;&gt;Constants!$B$8,"",IF($BI361="-&gt;",$BM361+$BN361,$BE361+$BF361)+$BV361))</f>
        <v/>
      </c>
      <c r="CP361" s="141" t="str">
        <f aca="false">IF(ISBLANK($C361),"",IF($BR361&lt;&gt;Constants!$B$8,"",IF($BI361="-&gt;",$BO361,$BG361)+$BU361))</f>
        <v/>
      </c>
      <c r="CQ361" s="142" t="str">
        <f aca="false">IF(ISBLANK($C361),"",IF($BR361&lt;&gt;Constants!$B$8,$BR361,$BW361))</f>
        <v/>
      </c>
      <c r="CR361" s="143" t="str">
        <f aca="false">IF(ISBLANK($C361),"",$BS361)</f>
        <v/>
      </c>
      <c r="CS361" s="144" t="str">
        <f aca="false">IF(ISBLANK($C361),"",$CH361)</f>
        <v/>
      </c>
      <c r="CT361" s="144" t="str">
        <f aca="false">IF(ISBLANK($C361),"",$CG361)</f>
        <v/>
      </c>
      <c r="CU361" s="145" t="str">
        <f aca="false">IF(ISBLANK($C361),"",IFERROR(_xlfn.SWITCH($CT361,Constants!$B$11,COUNTA($C$9:$C$508)+2,Constants!$B$10,COUNTA($C$9:$C$508)+1,Constants!$B$9,COUNTA($C$9:$C$508)),$CT361))</f>
        <v/>
      </c>
      <c r="CV361" s="9"/>
      <c r="CW361" s="146" t="n">
        <f aca="false">IF(OR(ISNUMBER($CT361),$CT361=Constants!$B$11,$CT361=Constants!$B$9,$CT361=Constants!$B$10),1,0)</f>
        <v>0</v>
      </c>
      <c r="CX361" s="146" t="n">
        <v>353</v>
      </c>
      <c r="CY361" s="146" t="str">
        <f aca="false">IF(ISBLANK($C361),"",IF(ISNUMBER($CU361),$CU361+ROW($B361)/1000,""))</f>
        <v/>
      </c>
      <c r="CZ361" s="146" t="str">
        <f aca="false">IF(ISNUMBER($CY361),RANK($CY361,$CY$9:$CY$508,1),"")</f>
        <v/>
      </c>
      <c r="DA361" s="146" t="str">
        <f aca="false">IF(ISBLANK($C361),"",$B361)</f>
        <v/>
      </c>
      <c r="DB361" s="146" t="str">
        <f aca="false">IF(ISBLANK($C361),"",$C361)</f>
        <v/>
      </c>
      <c r="DC361" s="146" t="str">
        <f aca="false">IF(ISBLANK($C361),"",$D361)</f>
        <v/>
      </c>
      <c r="DD361" s="147" t="str">
        <f aca="false">$CR361</f>
        <v/>
      </c>
      <c r="DE361" s="148" t="str">
        <f aca="false">$CQ361</f>
        <v/>
      </c>
      <c r="DF361" s="146" t="str">
        <f aca="false">IF(ISBLANK($C361),"",$CT361)</f>
        <v/>
      </c>
      <c r="DG361" s="149" t="str">
        <f aca="false">IF($CX361&gt;$CW$8,"",VLOOKUP($CX361,$CZ$9:$DF$508,7,FALSE()))</f>
        <v/>
      </c>
      <c r="DH361" s="150" t="str">
        <f aca="false">IF($CX361&gt;$CW$8,"",VLOOKUP($CX361,$CZ$9:$DF$508,2,FALSE()))</f>
        <v/>
      </c>
      <c r="DI361" s="150" t="str">
        <f aca="false">IF($CX361&gt;$CW$8,"",VLOOKUP($CX361,$CZ$9:$DF$508,3,FALSE()))</f>
        <v/>
      </c>
      <c r="DJ361" s="150" t="str">
        <f aca="false">IF($CX361&gt;$CW$8,"",VLOOKUP($CX361,$CZ$9:$DF$508,4,FALSE()))</f>
        <v/>
      </c>
      <c r="DK361" s="150" t="str">
        <f aca="false">IF($CX361&gt;$CW$8,"",VLOOKUP($CX361,$CZ$9:$DF$508,5,FALSE()))</f>
        <v/>
      </c>
      <c r="DL361" s="151" t="str">
        <f aca="false">IF($CX361&gt;$CW$8,"",VLOOKUP($CX361,$CZ$9:$DF$508,6,FALSE()))</f>
        <v/>
      </c>
      <c r="DM361" s="75"/>
    </row>
    <row r="362" customFormat="false" ht="15.75" hidden="false" customHeight="false" outlineLevel="0" collapsed="false">
      <c r="A362" s="9"/>
      <c r="B362" s="157"/>
      <c r="C362" s="158"/>
      <c r="D362" s="159"/>
      <c r="E362" s="177"/>
      <c r="F362" s="161"/>
      <c r="G362" s="162"/>
      <c r="H362" s="162"/>
      <c r="I362" s="178"/>
      <c r="J362" s="165"/>
      <c r="K362" s="126"/>
      <c r="L362" s="127"/>
      <c r="M362" s="128"/>
      <c r="N362" s="165"/>
      <c r="O362" s="165"/>
      <c r="P362" s="177"/>
      <c r="Q362" s="165"/>
      <c r="R362" s="165"/>
      <c r="S362" s="126"/>
      <c r="T362" s="128"/>
      <c r="U362" s="128"/>
      <c r="V362" s="165"/>
      <c r="W362" s="165"/>
      <c r="X362" s="177"/>
      <c r="Y362" s="165"/>
      <c r="Z362" s="166"/>
      <c r="AA362" s="165"/>
      <c r="AB362" s="132"/>
      <c r="AC362" s="133"/>
      <c r="AD362" s="133"/>
      <c r="AE362" s="133"/>
      <c r="AF362" s="133" t="str">
        <f aca="false">IF(ISBLANK($C362),"",IF(E362=Constants!$B$3,TRUE(),IF(E362=Constants!$B$4,FALSE(),TRUE())))</f>
        <v/>
      </c>
      <c r="AG362" s="133" t="str">
        <f aca="false">IF(ISBLANK($C362),"",IF(F362=Constants!$B$3,TRUE(),IF(F362=Constants!$B$4,FALSE(),TRUE())))</f>
        <v/>
      </c>
      <c r="AH362" s="133" t="str">
        <f aca="false">IF(ISBLANK($C362),"",IF(G362=Constants!$B$3,TRUE(),IF(G362=Constants!$B$4,FALSE(),TRUE())))</f>
        <v/>
      </c>
      <c r="AI362" s="133" t="str">
        <f aca="false">IF(ISBLANK($C362),"",IF(AND(ISNUMBER(H362),H362&gt;=0),H362,Constants!$B$29))</f>
        <v/>
      </c>
      <c r="AJ362" s="133" t="str">
        <f aca="false">IF(ISBLANK($C362),"",IF(I362=Constants!$B$3,TRUE(),IF(I362=Constants!$B$4,FALSE(),TRUE())))</f>
        <v/>
      </c>
      <c r="AK362" s="133" t="str">
        <f aca="false">IF(ISBLANK($C362),"",IF(J362=Constants!$B$3,TRUE(),IF(J362=Constants!$B$4,FALSE(),TRUE())))</f>
        <v/>
      </c>
      <c r="AL362" s="133" t="str">
        <f aca="false">IF(ISBLANK($C362),"",IF(K362=Constants!$B$5,TRUE(),IF(K362=Constants!$B$6,FALSE(),COUNTA(L362:P362)&gt;0)))</f>
        <v/>
      </c>
      <c r="AM362" s="134" t="str">
        <f aca="false">IF(ISBLANK($C362),"",IF(ISNUMBER(L362),IF(L362&gt;=0,L362,""),""))</f>
        <v/>
      </c>
      <c r="AN362" s="135" t="str">
        <f aca="false">IF(ISBLANK($C362),"",IF(ISNUMBER(M362),IF(M362&gt;=0,M362,""),""))</f>
        <v/>
      </c>
      <c r="AO362" s="135" t="str">
        <f aca="false">IF(ISBLANK($C362),"",IF(N362=Constants!$B$3,TRUE(),IF(N362=Constants!$B$4,FALSE(),TRUE())))</f>
        <v/>
      </c>
      <c r="AP362" s="133" t="str">
        <f aca="false">IF(ISBLANK($C362),"",IF(ISNUMBER(O362),IF(O362&gt;=0,O362,""),""))</f>
        <v/>
      </c>
      <c r="AQ362" s="133" t="str">
        <f aca="false">IF(ISBLANK($C362),"",IF(P362=Constants!$B$3,TRUE(),IF(P362=Constants!$B$4,FALSE(),FALSE())))</f>
        <v/>
      </c>
      <c r="AR362" s="133" t="str">
        <f aca="false">IF(ISBLANK($C362),"",IF(Q362=Constants!$B$3,TRUE(),IF(Q362=Constants!$B$4,FALSE(),TRUE())))</f>
        <v/>
      </c>
      <c r="AS362" s="133" t="str">
        <f aca="false">IF(ISBLANK($C362),"",IF(R362=Constants!$B$3,TRUE(),IF(R362=Constants!$B$4,FALSE(),TRUE())))</f>
        <v/>
      </c>
      <c r="AT362" s="133" t="str">
        <f aca="false">IF(ISBLANK($C362),"",IF(S362=Constants!$B$5,TRUE(),IF(S362=Constants!$B$6,FALSE(),COUNTA(T362:X362)&gt;0)))</f>
        <v/>
      </c>
      <c r="AU362" s="134" t="str">
        <f aca="false">IF(ISBLANK($C362),"",IF(ISNUMBER(T362),IF(T362&gt;=0,T362,""),""))</f>
        <v/>
      </c>
      <c r="AV362" s="135" t="str">
        <f aca="false">IF(ISBLANK($C362),"",IF(ISNUMBER(U362),IF(U362&gt;=0,U362,""),""))</f>
        <v/>
      </c>
      <c r="AW362" s="135" t="str">
        <f aca="false">IF(ISBLANK($C362),"",IF(V362=Constants!$B$3,TRUE(),IF(V362=Constants!$B$4,FALSE(),TRUE())))</f>
        <v/>
      </c>
      <c r="AX362" s="133" t="str">
        <f aca="false">IF(ISBLANK($C362),"",IF(ISNUMBER(W362),IF(W362&gt;=0,W362,""),""))</f>
        <v/>
      </c>
      <c r="AY362" s="133" t="str">
        <f aca="false">IF(ISBLANK($C362),"",IF(X362=Constants!$B$3,TRUE(),IF(X362=Constants!$B$4,FALSE(),FALSE())))</f>
        <v/>
      </c>
      <c r="AZ362" s="133" t="str">
        <f aca="false">IF(ISBLANK($C362),"",MIN(Constants!$B$31,MAX(0,IF(ISNUMBER(Y362),Y362*60,0)+IF(ISNUMBER(Z362),Z362,0))))</f>
        <v/>
      </c>
      <c r="BA362" s="133" t="str">
        <f aca="false">IF(ISBLANK($C362),"",IF(AA362=Constants!$B$3,TRUE(),IF(AA362=Constants!$B$4,FALSE(),FALSE())))</f>
        <v/>
      </c>
      <c r="BB362" s="132" t="str">
        <f aca="false">IF(ISBLANK($C362),"",AND($AL362,OR($AM362="",$AN362="",AND($AO362,$AP362=""))))</f>
        <v/>
      </c>
      <c r="BC362" s="135" t="str">
        <f aca="false">IF($BR362&lt;&gt;Constants!$B$8,"",IF($AL362,Constants!$B$21*$AN362+Constants!$B$22*IF($AO362,$AP362,Constants!$B$23),Constants!$B$24))</f>
        <v/>
      </c>
      <c r="BD362" s="136" t="str">
        <f aca="false">IF($BR362&lt;&gt;Constants!$B$8,"",Constants!$B$25*ABS($AD$9-IF($AL362,$AM362,0)))</f>
        <v/>
      </c>
      <c r="BE362" s="136" t="str">
        <f aca="false">IF($BR362&lt;&gt;Constants!$B$8,"",IF(AND($AL362,$AQ362,$AO362),Constants!$B$27,0))</f>
        <v/>
      </c>
      <c r="BF362" s="136" t="str">
        <f aca="false">IF($BR362&lt;&gt;Constants!$B$8,"",IF($AL362,($AI362-Constants!$B$29)*Constants!$B$28,0))</f>
        <v/>
      </c>
      <c r="BG362" s="136" t="str">
        <f aca="false">IF($BR362&lt;&gt;Constants!$B$8,"",IF($AK362,0,Constants!$B$15)+IF($AJ362,0,Constants!$B$16)+IF($AH362,0,Constants!$B$17))</f>
        <v/>
      </c>
      <c r="BH362" s="137" t="str">
        <f aca="false">IF($BR362&lt;&gt;Constants!$B$8,"",Constants!$B$20+SUM($BC362:$BG362))</f>
        <v/>
      </c>
      <c r="BI362" s="133" t="str">
        <f aca="false">IF($BR362&lt;&gt;Constants!$B$8,"",IF(OR($BP362&lt;$BH362,AND($BP362=$BH362,OR($BK362&lt;$BC362,AND($BK362=$BC362,OR($BL362&lt;$BD362,AND($BL362=$BD362,$AT362,$AL362,$AV362&lt;$AN362)))))),"-&gt;","&lt;-"))</f>
        <v/>
      </c>
      <c r="BJ362" s="132" t="str">
        <f aca="false">IF(ISBLANK($C362),"",AND($AT362,OR($AU362="",$AV362="",AND($AW362,$AX362=""))))</f>
        <v/>
      </c>
      <c r="BK362" s="135" t="str">
        <f aca="false">IF($BR362&lt;&gt;Constants!$B$8,"",IF($AT362,Constants!$B$21*$AV362+Constants!$B$22*IF($AW362,$AX362,Constants!$B$23),Constants!$B$24))</f>
        <v/>
      </c>
      <c r="BL362" s="136" t="str">
        <f aca="false">IF($BR362&lt;&gt;Constants!$B$8,"",Constants!$B$25*ABS($AD$9-IF($AT362,$AU362,0)))</f>
        <v/>
      </c>
      <c r="BM362" s="136" t="str">
        <f aca="false">IF($BR362&lt;&gt;Constants!$B$8,"",IF(AND($AT362,$AY362,$AW362),Constants!$B$27,0))</f>
        <v/>
      </c>
      <c r="BN362" s="136" t="str">
        <f aca="false">IF($BR362&lt;&gt;Constants!$B$8,"",IF($AT362,($AI362-Constants!$B$29)*Constants!$B$28,0))</f>
        <v/>
      </c>
      <c r="BO362" s="136" t="str">
        <f aca="false">IF($BR362&lt;&gt;Constants!$B$8,"",IF($AS362,0,Constants!$B$15)+IF($AR362,0,Constants!$B$16)+IF($AH362,0,Constants!$B$17))</f>
        <v/>
      </c>
      <c r="BP362" s="137" t="str">
        <f aca="false">IF($BR362&lt;&gt;Constants!$B$8,"",Constants!$B$20+SUM($BK362:$BO362))</f>
        <v/>
      </c>
      <c r="BQ362" s="133" t="str">
        <f aca="false">IF(ISBLANK($C362),"",IF(ISBLANK($D$7),$BQ$5,IF(NOT(ISNUMBER($D$7)),$BQ$6,"")))</f>
        <v/>
      </c>
      <c r="BR362" s="133" t="str">
        <f aca="false">IF(ISBLANK($C362),"",IF($BA362,Constants!$B$11,IF(COUNTA($E362:$AA362)=0,Constants!$B$10,IF(NOT($AG362),Constants!$B$9,IF(OR($BQ362&lt;&gt;"",$BB362,$BJ362),Constants!$B$12,Constants!$B$8)))))</f>
        <v/>
      </c>
      <c r="BS362" s="133" t="str">
        <f aca="false">IF(ISBLANK($C362),"",IF($BR362&lt;&gt;Constants!$B$8,$BR362,Constants!$B$13))</f>
        <v/>
      </c>
      <c r="BT362" s="136" t="str">
        <f aca="false">IF($BR362&lt;&gt;Constants!$B$8,"",IF($BI362="-&gt;",$BP362,$BH362))</f>
        <v/>
      </c>
      <c r="BU362" s="136" t="str">
        <f aca="false">IF($BR362&lt;&gt;Constants!$B$8,"",IF($AF362,0,Constants!$B$18))</f>
        <v/>
      </c>
      <c r="BV362" s="136" t="str">
        <f aca="false">IF($BR362&lt;&gt;Constants!$B$8,"",((Constants!$B$31-$AZ362)-Constants!$B$31)/Constants!$B$32)</f>
        <v/>
      </c>
      <c r="BW362" s="136" t="str">
        <f aca="false">IF(ISBLANK($C362),"",IF($BR362&lt;&gt;Constants!$B$8,$BR362,SUM($BT362:$BV362)))</f>
        <v/>
      </c>
      <c r="BX362" s="133" t="str">
        <f aca="false">IF(ISBLANK($C362),"",IF($BR362&lt;&gt;Constants!$B$8,$BR362,RANK($BW362,$BW$9:$BW$508,1)))</f>
        <v/>
      </c>
      <c r="BY362" s="136" t="str">
        <f aca="false">IF($BR362&lt;&gt;Constants!$B$8,"",IF($BI362="-&gt;",$BK362,$BC362))</f>
        <v/>
      </c>
      <c r="BZ362" s="133" t="str">
        <f aca="false">IF(ISBLANK($C362),"",IF($BR362&lt;&gt;Constants!$B$8,$BR362,IF(ISNUMBER($BY362),RANK($BY362,$BY$9:$BY$508,1),COUNT($BY$9:$BY$508)+1)))</f>
        <v/>
      </c>
      <c r="CA362" s="136" t="str">
        <f aca="false">IF($BR362&lt;&gt;Constants!$B$8,"",IF($BI362="-&gt;",$BL362,$BD362))</f>
        <v/>
      </c>
      <c r="CB362" s="133" t="str">
        <f aca="false">IF(ISBLANK($C362),"",IF($BR362&lt;&gt;Constants!$B$8,$BR362,IF(ISNUMBER($CA362),RANK($CA362,$CA$9:$CA$508,1),COUNT($CA$9:$CA$508)+1)))</f>
        <v/>
      </c>
      <c r="CC362" s="136" t="str">
        <f aca="false">IF($BR362&lt;&gt;Constants!$B$8,"",IF($BI362="-&gt;",IF($AT362,$AV362,""),IF($AL362,$AN362,"")))</f>
        <v/>
      </c>
      <c r="CD362" s="133" t="str">
        <f aca="false">IF(ISBLANK($C362),"",IF($BR362&lt;&gt;Constants!$B$8,$BR362,IF(ISNUMBER($CC362),RANK($CC362,$CC$9:$CC$508,1),COUNT($CC$9:$CC$508)+1)))</f>
        <v/>
      </c>
      <c r="CE362" s="136" t="str">
        <f aca="false">IF($BR362&lt;&gt;Constants!$B$8,"",IF(AND(NOT($AL362),NOT($AT362),$AJ362,$AK362,$AR362,$AS362),"",$AI362))</f>
        <v/>
      </c>
      <c r="CF362" s="133" t="str">
        <f aca="false">IF(ISBLANK($C362),"",IF($BR362&lt;&gt;Constants!$B$8,$BR362,IF(ISNUMBER($CE362),RANK($CE362,$CE$9:$CE$508,1),COUNT($CE$9:$CE$508)+1)))</f>
        <v/>
      </c>
      <c r="CG362" s="133" t="str">
        <f aca="false">IF(ISBLANK($C362),"",IF($BR362&lt;&gt;Constants!$B$8,$BR362,COUNTIFS($BX$9:$BX$508,"&lt;"&amp;$BX362)+COUNTIFS($BX$9:$BX$508,$BX362,$BZ$9:$BZ$508,"&lt;"&amp;$BZ362)+COUNTIFS($BX$9:$BX$508,$BX362,$BZ$9:$BZ$508,$BZ362,$CB$9:$CB$508,"&lt;"&amp;$CB362)+COUNTIFS($BX$9:$BX$508,$BX362,$BZ$9:$BZ$508,$BZ362,$CB$9:$CB$508,$CB362,$CD$9:$CD$508,"&lt;"&amp;$CD362)+COUNTIFS($BX$9:$BX$508,$BX362,$BZ$9:$BZ$508,$BZ362,$CB$9:$CB$508,$CB362,$CD$9:$CD$508,$CD362,$CF$9:$CF$508,"&lt;"&amp;$CF362)+1))</f>
        <v/>
      </c>
      <c r="CH362" s="133" t="str">
        <f aca="false">IF(ISBLANK($C362),"",IF($BR362&lt;&gt;Constants!$B$8,$BR362,$BX362-$CG362))</f>
        <v/>
      </c>
      <c r="CI362" s="138"/>
      <c r="CJ362" s="139"/>
      <c r="CK362" s="140" t="str">
        <f aca="false">IF(ISBLANK($C362),"",IF($BR362=Constants!$B$12,$BQ362,""))</f>
        <v/>
      </c>
      <c r="CL362" s="139" t="str">
        <f aca="false">IF(ISBLANK($C362),"",IF($BR362&lt;&gt;Constants!$B$8,"",IF($BI362="-&gt;",2,1)))</f>
        <v/>
      </c>
      <c r="CM362" s="141" t="str">
        <f aca="false">IF(ISBLANK($C362),"",IF($BR362&lt;&gt;Constants!$B$8,"",IF($BI362="-&gt;",$BK362,$BC362)))</f>
        <v/>
      </c>
      <c r="CN362" s="141" t="str">
        <f aca="false">IF(ISBLANK($C362),"",IF($BR362&lt;&gt;Constants!$B$8,"",IF($BI362="-&gt;",$BL362,$BD362)))</f>
        <v/>
      </c>
      <c r="CO362" s="141" t="str">
        <f aca="false">IF(ISBLANK($C362),"",IF($BR362&lt;&gt;Constants!$B$8,"",IF($BI362="-&gt;",$BM362+$BN362,$BE362+$BF362)+$BV362))</f>
        <v/>
      </c>
      <c r="CP362" s="141" t="str">
        <f aca="false">IF(ISBLANK($C362),"",IF($BR362&lt;&gt;Constants!$B$8,"",IF($BI362="-&gt;",$BO362,$BG362)+$BU362))</f>
        <v/>
      </c>
      <c r="CQ362" s="142" t="str">
        <f aca="false">IF(ISBLANK($C362),"",IF($BR362&lt;&gt;Constants!$B$8,$BR362,$BW362))</f>
        <v/>
      </c>
      <c r="CR362" s="143" t="str">
        <f aca="false">IF(ISBLANK($C362),"",$BS362)</f>
        <v/>
      </c>
      <c r="CS362" s="144" t="str">
        <f aca="false">IF(ISBLANK($C362),"",$CH362)</f>
        <v/>
      </c>
      <c r="CT362" s="144" t="str">
        <f aca="false">IF(ISBLANK($C362),"",$CG362)</f>
        <v/>
      </c>
      <c r="CU362" s="145" t="str">
        <f aca="false">IF(ISBLANK($C362),"",IFERROR(_xlfn.SWITCH($CT362,Constants!$B$11,COUNTA($C$9:$C$508)+2,Constants!$B$10,COUNTA($C$9:$C$508)+1,Constants!$B$9,COUNTA($C$9:$C$508)),$CT362))</f>
        <v/>
      </c>
      <c r="CV362" s="9"/>
      <c r="CW362" s="146" t="n">
        <f aca="false">IF(OR(ISNUMBER($CT362),$CT362=Constants!$B$11,$CT362=Constants!$B$9,$CT362=Constants!$B$10),1,0)</f>
        <v>0</v>
      </c>
      <c r="CX362" s="146" t="n">
        <v>354</v>
      </c>
      <c r="CY362" s="146" t="str">
        <f aca="false">IF(ISBLANK($C362),"",IF(ISNUMBER($CU362),$CU362+ROW($B362)/1000,""))</f>
        <v/>
      </c>
      <c r="CZ362" s="146" t="str">
        <f aca="false">IF(ISNUMBER($CY362),RANK($CY362,$CY$9:$CY$508,1),"")</f>
        <v/>
      </c>
      <c r="DA362" s="146" t="str">
        <f aca="false">IF(ISBLANK($C362),"",$B362)</f>
        <v/>
      </c>
      <c r="DB362" s="146" t="str">
        <f aca="false">IF(ISBLANK($C362),"",$C362)</f>
        <v/>
      </c>
      <c r="DC362" s="146" t="str">
        <f aca="false">IF(ISBLANK($C362),"",$D362)</f>
        <v/>
      </c>
      <c r="DD362" s="147" t="str">
        <f aca="false">$CR362</f>
        <v/>
      </c>
      <c r="DE362" s="148" t="str">
        <f aca="false">$CQ362</f>
        <v/>
      </c>
      <c r="DF362" s="146" t="str">
        <f aca="false">IF(ISBLANK($C362),"",$CT362)</f>
        <v/>
      </c>
      <c r="DG362" s="149" t="str">
        <f aca="false">IF($CX362&gt;$CW$8,"",VLOOKUP($CX362,$CZ$9:$DF$508,7,FALSE()))</f>
        <v/>
      </c>
      <c r="DH362" s="150" t="str">
        <f aca="false">IF($CX362&gt;$CW$8,"",VLOOKUP($CX362,$CZ$9:$DF$508,2,FALSE()))</f>
        <v/>
      </c>
      <c r="DI362" s="150" t="str">
        <f aca="false">IF($CX362&gt;$CW$8,"",VLOOKUP($CX362,$CZ$9:$DF$508,3,FALSE()))</f>
        <v/>
      </c>
      <c r="DJ362" s="150" t="str">
        <f aca="false">IF($CX362&gt;$CW$8,"",VLOOKUP($CX362,$CZ$9:$DF$508,4,FALSE()))</f>
        <v/>
      </c>
      <c r="DK362" s="150" t="str">
        <f aca="false">IF($CX362&gt;$CW$8,"",VLOOKUP($CX362,$CZ$9:$DF$508,5,FALSE()))</f>
        <v/>
      </c>
      <c r="DL362" s="151" t="str">
        <f aca="false">IF($CX362&gt;$CW$8,"",VLOOKUP($CX362,$CZ$9:$DF$508,6,FALSE()))</f>
        <v/>
      </c>
      <c r="DM362" s="75"/>
    </row>
    <row r="363" customFormat="false" ht="15.75" hidden="false" customHeight="false" outlineLevel="0" collapsed="false">
      <c r="A363" s="9"/>
      <c r="B363" s="77"/>
      <c r="C363" s="78"/>
      <c r="D363" s="167"/>
      <c r="E363" s="175"/>
      <c r="F363" s="169"/>
      <c r="G363" s="170"/>
      <c r="H363" s="170"/>
      <c r="I363" s="176"/>
      <c r="J363" s="173"/>
      <c r="K363" s="85"/>
      <c r="L363" s="86"/>
      <c r="M363" s="87"/>
      <c r="N363" s="173"/>
      <c r="O363" s="173"/>
      <c r="P363" s="175"/>
      <c r="Q363" s="173"/>
      <c r="R363" s="173"/>
      <c r="S363" s="85"/>
      <c r="T363" s="87"/>
      <c r="U363" s="87"/>
      <c r="V363" s="173"/>
      <c r="W363" s="173"/>
      <c r="X363" s="175"/>
      <c r="Y363" s="173"/>
      <c r="Z363" s="174"/>
      <c r="AA363" s="173"/>
      <c r="AB363" s="91"/>
      <c r="AC363" s="92"/>
      <c r="AD363" s="92"/>
      <c r="AE363" s="92"/>
      <c r="AF363" s="92" t="str">
        <f aca="false">IF(ISBLANK($C363),"",IF(E363=Constants!$B$3,TRUE(),IF(E363=Constants!$B$4,FALSE(),TRUE())))</f>
        <v/>
      </c>
      <c r="AG363" s="92" t="str">
        <f aca="false">IF(ISBLANK($C363),"",IF(F363=Constants!$B$3,TRUE(),IF(F363=Constants!$B$4,FALSE(),TRUE())))</f>
        <v/>
      </c>
      <c r="AH363" s="92" t="str">
        <f aca="false">IF(ISBLANK($C363),"",IF(G363=Constants!$B$3,TRUE(),IF(G363=Constants!$B$4,FALSE(),TRUE())))</f>
        <v/>
      </c>
      <c r="AI363" s="92" t="str">
        <f aca="false">IF(ISBLANK($C363),"",IF(AND(ISNUMBER(H363),H363&gt;=0),H363,Constants!$B$29))</f>
        <v/>
      </c>
      <c r="AJ363" s="92" t="str">
        <f aca="false">IF(ISBLANK($C363),"",IF(I363=Constants!$B$3,TRUE(),IF(I363=Constants!$B$4,FALSE(),TRUE())))</f>
        <v/>
      </c>
      <c r="AK363" s="92" t="str">
        <f aca="false">IF(ISBLANK($C363),"",IF(J363=Constants!$B$3,TRUE(),IF(J363=Constants!$B$4,FALSE(),TRUE())))</f>
        <v/>
      </c>
      <c r="AL363" s="92" t="str">
        <f aca="false">IF(ISBLANK($C363),"",IF(K363=Constants!$B$5,TRUE(),IF(K363=Constants!$B$6,FALSE(),COUNTA(L363:P363)&gt;0)))</f>
        <v/>
      </c>
      <c r="AM363" s="94" t="str">
        <f aca="false">IF(ISBLANK($C363),"",IF(ISNUMBER(L363),IF(L363&gt;=0,L363,""),""))</f>
        <v/>
      </c>
      <c r="AN363" s="93" t="str">
        <f aca="false">IF(ISBLANK($C363),"",IF(ISNUMBER(M363),IF(M363&gt;=0,M363,""),""))</f>
        <v/>
      </c>
      <c r="AO363" s="93" t="str">
        <f aca="false">IF(ISBLANK($C363),"",IF(N363=Constants!$B$3,TRUE(),IF(N363=Constants!$B$4,FALSE(),TRUE())))</f>
        <v/>
      </c>
      <c r="AP363" s="92" t="str">
        <f aca="false">IF(ISBLANK($C363),"",IF(ISNUMBER(O363),IF(O363&gt;=0,O363,""),""))</f>
        <v/>
      </c>
      <c r="AQ363" s="92" t="str">
        <f aca="false">IF(ISBLANK($C363),"",IF(P363=Constants!$B$3,TRUE(),IF(P363=Constants!$B$4,FALSE(),FALSE())))</f>
        <v/>
      </c>
      <c r="AR363" s="92" t="str">
        <f aca="false">IF(ISBLANK($C363),"",IF(Q363=Constants!$B$3,TRUE(),IF(Q363=Constants!$B$4,FALSE(),TRUE())))</f>
        <v/>
      </c>
      <c r="AS363" s="92" t="str">
        <f aca="false">IF(ISBLANK($C363),"",IF(R363=Constants!$B$3,TRUE(),IF(R363=Constants!$B$4,FALSE(),TRUE())))</f>
        <v/>
      </c>
      <c r="AT363" s="92" t="str">
        <f aca="false">IF(ISBLANK($C363),"",IF(S363=Constants!$B$5,TRUE(),IF(S363=Constants!$B$6,FALSE(),COUNTA(T363:X363)&gt;0)))</f>
        <v/>
      </c>
      <c r="AU363" s="94" t="str">
        <f aca="false">IF(ISBLANK($C363),"",IF(ISNUMBER(T363),IF(T363&gt;=0,T363,""),""))</f>
        <v/>
      </c>
      <c r="AV363" s="93" t="str">
        <f aca="false">IF(ISBLANK($C363),"",IF(ISNUMBER(U363),IF(U363&gt;=0,U363,""),""))</f>
        <v/>
      </c>
      <c r="AW363" s="93" t="str">
        <f aca="false">IF(ISBLANK($C363),"",IF(V363=Constants!$B$3,TRUE(),IF(V363=Constants!$B$4,FALSE(),TRUE())))</f>
        <v/>
      </c>
      <c r="AX363" s="92" t="str">
        <f aca="false">IF(ISBLANK($C363),"",IF(ISNUMBER(W363),IF(W363&gt;=0,W363,""),""))</f>
        <v/>
      </c>
      <c r="AY363" s="92" t="str">
        <f aca="false">IF(ISBLANK($C363),"",IF(X363=Constants!$B$3,TRUE(),IF(X363=Constants!$B$4,FALSE(),FALSE())))</f>
        <v/>
      </c>
      <c r="AZ363" s="92" t="str">
        <f aca="false">IF(ISBLANK($C363),"",MIN(Constants!$B$31,MAX(0,IF(ISNUMBER(Y363),Y363*60,0)+IF(ISNUMBER(Z363),Z363,0))))</f>
        <v/>
      </c>
      <c r="BA363" s="92" t="str">
        <f aca="false">IF(ISBLANK($C363),"",IF(AA363=Constants!$B$3,TRUE(),IF(AA363=Constants!$B$4,FALSE(),FALSE())))</f>
        <v/>
      </c>
      <c r="BB363" s="91" t="str">
        <f aca="false">IF(ISBLANK($C363),"",AND($AL363,OR($AM363="",$AN363="",AND($AO363,$AP363=""))))</f>
        <v/>
      </c>
      <c r="BC363" s="93" t="str">
        <f aca="false">IF($BR363&lt;&gt;Constants!$B$8,"",IF($AL363,Constants!$B$21*$AN363+Constants!$B$22*IF($AO363,$AP363,Constants!$B$23),Constants!$B$24))</f>
        <v/>
      </c>
      <c r="BD363" s="96" t="str">
        <f aca="false">IF($BR363&lt;&gt;Constants!$B$8,"",Constants!$B$25*ABS($AD$9-IF($AL363,$AM363,0)))</f>
        <v/>
      </c>
      <c r="BE363" s="96" t="str">
        <f aca="false">IF($BR363&lt;&gt;Constants!$B$8,"",IF(AND($AL363,$AQ363,$AO363),Constants!$B$27,0))</f>
        <v/>
      </c>
      <c r="BF363" s="96" t="str">
        <f aca="false">IF($BR363&lt;&gt;Constants!$B$8,"",IF($AL363,($AI363-Constants!$B$29)*Constants!$B$28,0))</f>
        <v/>
      </c>
      <c r="BG363" s="96" t="str">
        <f aca="false">IF($BR363&lt;&gt;Constants!$B$8,"",IF($AK363,0,Constants!$B$15)+IF($AJ363,0,Constants!$B$16)+IF($AH363,0,Constants!$B$17))</f>
        <v/>
      </c>
      <c r="BH363" s="97" t="str">
        <f aca="false">IF($BR363&lt;&gt;Constants!$B$8,"",Constants!$B$20+SUM($BC363:$BG363))</f>
        <v/>
      </c>
      <c r="BI363" s="92" t="str">
        <f aca="false">IF($BR363&lt;&gt;Constants!$B$8,"",IF(OR($BP363&lt;$BH363,AND($BP363=$BH363,OR($BK363&lt;$BC363,AND($BK363=$BC363,OR($BL363&lt;$BD363,AND($BL363=$BD363,$AT363,$AL363,$AV363&lt;$AN363)))))),"-&gt;","&lt;-"))</f>
        <v/>
      </c>
      <c r="BJ363" s="91" t="str">
        <f aca="false">IF(ISBLANK($C363),"",AND($AT363,OR($AU363="",$AV363="",AND($AW363,$AX363=""))))</f>
        <v/>
      </c>
      <c r="BK363" s="93" t="str">
        <f aca="false">IF($BR363&lt;&gt;Constants!$B$8,"",IF($AT363,Constants!$B$21*$AV363+Constants!$B$22*IF($AW363,$AX363,Constants!$B$23),Constants!$B$24))</f>
        <v/>
      </c>
      <c r="BL363" s="96" t="str">
        <f aca="false">IF($BR363&lt;&gt;Constants!$B$8,"",Constants!$B$25*ABS($AD$9-IF($AT363,$AU363,0)))</f>
        <v/>
      </c>
      <c r="BM363" s="96" t="str">
        <f aca="false">IF($BR363&lt;&gt;Constants!$B$8,"",IF(AND($AT363,$AY363,$AW363),Constants!$B$27,0))</f>
        <v/>
      </c>
      <c r="BN363" s="96" t="str">
        <f aca="false">IF($BR363&lt;&gt;Constants!$B$8,"",IF($AT363,($AI363-Constants!$B$29)*Constants!$B$28,0))</f>
        <v/>
      </c>
      <c r="BO363" s="96" t="str">
        <f aca="false">IF($BR363&lt;&gt;Constants!$B$8,"",IF($AS363,0,Constants!$B$15)+IF($AR363,0,Constants!$B$16)+IF($AH363,0,Constants!$B$17))</f>
        <v/>
      </c>
      <c r="BP363" s="97" t="str">
        <f aca="false">IF($BR363&lt;&gt;Constants!$B$8,"",Constants!$B$20+SUM($BK363:$BO363))</f>
        <v/>
      </c>
      <c r="BQ363" s="92" t="str">
        <f aca="false">IF(ISBLANK($C363),"",IF(ISBLANK($D$7),$BQ$5,IF(NOT(ISNUMBER($D$7)),$BQ$6,"")))</f>
        <v/>
      </c>
      <c r="BR363" s="92" t="str">
        <f aca="false">IF(ISBLANK($C363),"",IF($BA363,Constants!$B$11,IF(COUNTA($E363:$AA363)=0,Constants!$B$10,IF(NOT($AG363),Constants!$B$9,IF(OR($BQ363&lt;&gt;"",$BB363,$BJ363),Constants!$B$12,Constants!$B$8)))))</f>
        <v/>
      </c>
      <c r="BS363" s="92" t="str">
        <f aca="false">IF(ISBLANK($C363),"",IF($BR363&lt;&gt;Constants!$B$8,$BR363,Constants!$B$13))</f>
        <v/>
      </c>
      <c r="BT363" s="96" t="str">
        <f aca="false">IF($BR363&lt;&gt;Constants!$B$8,"",IF($BI363="-&gt;",$BP363,$BH363))</f>
        <v/>
      </c>
      <c r="BU363" s="96" t="str">
        <f aca="false">IF($BR363&lt;&gt;Constants!$B$8,"",IF($AF363,0,Constants!$B$18))</f>
        <v/>
      </c>
      <c r="BV363" s="96" t="str">
        <f aca="false">IF($BR363&lt;&gt;Constants!$B$8,"",((Constants!$B$31-$AZ363)-Constants!$B$31)/Constants!$B$32)</f>
        <v/>
      </c>
      <c r="BW363" s="96" t="str">
        <f aca="false">IF(ISBLANK($C363),"",IF($BR363&lt;&gt;Constants!$B$8,$BR363,SUM($BT363:$BV363)))</f>
        <v/>
      </c>
      <c r="BX363" s="92" t="str">
        <f aca="false">IF(ISBLANK($C363),"",IF($BR363&lt;&gt;Constants!$B$8,$BR363,RANK($BW363,$BW$9:$BW$508,1)))</f>
        <v/>
      </c>
      <c r="BY363" s="96" t="str">
        <f aca="false">IF($BR363&lt;&gt;Constants!$B$8,"",IF($BI363="-&gt;",$BK363,$BC363))</f>
        <v/>
      </c>
      <c r="BZ363" s="92" t="str">
        <f aca="false">IF(ISBLANK($C363),"",IF($BR363&lt;&gt;Constants!$B$8,$BR363,IF(ISNUMBER($BY363),RANK($BY363,$BY$9:$BY$508,1),COUNT($BY$9:$BY$508)+1)))</f>
        <v/>
      </c>
      <c r="CA363" s="96" t="str">
        <f aca="false">IF($BR363&lt;&gt;Constants!$B$8,"",IF($BI363="-&gt;",$BL363,$BD363))</f>
        <v/>
      </c>
      <c r="CB363" s="92" t="str">
        <f aca="false">IF(ISBLANK($C363),"",IF($BR363&lt;&gt;Constants!$B$8,$BR363,IF(ISNUMBER($CA363),RANK($CA363,$CA$9:$CA$508,1),COUNT($CA$9:$CA$508)+1)))</f>
        <v/>
      </c>
      <c r="CC363" s="96" t="str">
        <f aca="false">IF($BR363&lt;&gt;Constants!$B$8,"",IF($BI363="-&gt;",IF($AT363,$AV363,""),IF($AL363,$AN363,"")))</f>
        <v/>
      </c>
      <c r="CD363" s="92" t="str">
        <f aca="false">IF(ISBLANK($C363),"",IF($BR363&lt;&gt;Constants!$B$8,$BR363,IF(ISNUMBER($CC363),RANK($CC363,$CC$9:$CC$508,1),COUNT($CC$9:$CC$508)+1)))</f>
        <v/>
      </c>
      <c r="CE363" s="96" t="str">
        <f aca="false">IF($BR363&lt;&gt;Constants!$B$8,"",IF(AND(NOT($AL363),NOT($AT363),$AJ363,$AK363,$AR363,$AS363),"",$AI363))</f>
        <v/>
      </c>
      <c r="CF363" s="92" t="str">
        <f aca="false">IF(ISBLANK($C363),"",IF($BR363&lt;&gt;Constants!$B$8,$BR363,IF(ISNUMBER($CE363),RANK($CE363,$CE$9:$CE$508,1),COUNT($CE$9:$CE$508)+1)))</f>
        <v/>
      </c>
      <c r="CG363" s="92" t="str">
        <f aca="false">IF(ISBLANK($C363),"",IF($BR363&lt;&gt;Constants!$B$8,$BR363,COUNTIFS($BX$9:$BX$508,"&lt;"&amp;$BX363)+COUNTIFS($BX$9:$BX$508,$BX363,$BZ$9:$BZ$508,"&lt;"&amp;$BZ363)+COUNTIFS($BX$9:$BX$508,$BX363,$BZ$9:$BZ$508,$BZ363,$CB$9:$CB$508,"&lt;"&amp;$CB363)+COUNTIFS($BX$9:$BX$508,$BX363,$BZ$9:$BZ$508,$BZ363,$CB$9:$CB$508,$CB363,$CD$9:$CD$508,"&lt;"&amp;$CD363)+COUNTIFS($BX$9:$BX$508,$BX363,$BZ$9:$BZ$508,$BZ363,$CB$9:$CB$508,$CB363,$CD$9:$CD$508,$CD363,$CF$9:$CF$508,"&lt;"&amp;$CF363)+1))</f>
        <v/>
      </c>
      <c r="CH363" s="92" t="str">
        <f aca="false">IF(ISBLANK($C363),"",IF($BR363&lt;&gt;Constants!$B$8,$BR363,$BX363-$CG363))</f>
        <v/>
      </c>
      <c r="CI363" s="98"/>
      <c r="CJ363" s="99"/>
      <c r="CK363" s="100" t="str">
        <f aca="false">IF(ISBLANK($C363),"",IF($BR363=Constants!$B$12,$BQ363,""))</f>
        <v/>
      </c>
      <c r="CL363" s="99" t="str">
        <f aca="false">IF(ISBLANK($C363),"",IF($BR363&lt;&gt;Constants!$B$8,"",IF($BI363="-&gt;",2,1)))</f>
        <v/>
      </c>
      <c r="CM363" s="101" t="str">
        <f aca="false">IF(ISBLANK($C363),"",IF($BR363&lt;&gt;Constants!$B$8,"",IF($BI363="-&gt;",$BK363,$BC363)))</f>
        <v/>
      </c>
      <c r="CN363" s="101" t="str">
        <f aca="false">IF(ISBLANK($C363),"",IF($BR363&lt;&gt;Constants!$B$8,"",IF($BI363="-&gt;",$BL363,$BD363)))</f>
        <v/>
      </c>
      <c r="CO363" s="101" t="str">
        <f aca="false">IF(ISBLANK($C363),"",IF($BR363&lt;&gt;Constants!$B$8,"",IF($BI363="-&gt;",$BM363+$BN363,$BE363+$BF363)+$BV363))</f>
        <v/>
      </c>
      <c r="CP363" s="101" t="str">
        <f aca="false">IF(ISBLANK($C363),"",IF($BR363&lt;&gt;Constants!$B$8,"",IF($BI363="-&gt;",$BO363,$BG363)+$BU363))</f>
        <v/>
      </c>
      <c r="CQ363" s="102" t="str">
        <f aca="false">IF(ISBLANK($C363),"",IF($BR363&lt;&gt;Constants!$B$8,$BR363,$BW363))</f>
        <v/>
      </c>
      <c r="CR363" s="103" t="str">
        <f aca="false">IF(ISBLANK($C363),"",$BS363)</f>
        <v/>
      </c>
      <c r="CS363" s="104" t="str">
        <f aca="false">IF(ISBLANK($C363),"",$CH363)</f>
        <v/>
      </c>
      <c r="CT363" s="104" t="str">
        <f aca="false">IF(ISBLANK($C363),"",$CG363)</f>
        <v/>
      </c>
      <c r="CU363" s="105" t="str">
        <f aca="false">IF(ISBLANK($C363),"",IFERROR(_xlfn.SWITCH($CT363,Constants!$B$11,COUNTA($C$9:$C$508)+2,Constants!$B$10,COUNTA($C$9:$C$508)+1,Constants!$B$9,COUNTA($C$9:$C$508)),$CT363))</f>
        <v/>
      </c>
      <c r="CV363" s="9"/>
      <c r="CW363" s="106" t="n">
        <f aca="false">IF(OR(ISNUMBER($CT363),$CT363=Constants!$B$11,$CT363=Constants!$B$9,$CT363=Constants!$B$10),1,0)</f>
        <v>0</v>
      </c>
      <c r="CX363" s="106" t="n">
        <v>355</v>
      </c>
      <c r="CY363" s="106" t="str">
        <f aca="false">IF(ISBLANK($C363),"",IF(ISNUMBER($CU363),$CU363+ROW($B363)/1000,""))</f>
        <v/>
      </c>
      <c r="CZ363" s="106" t="str">
        <f aca="false">IF(ISNUMBER($CY363),RANK($CY363,$CY$9:$CY$508,1),"")</f>
        <v/>
      </c>
      <c r="DA363" s="106" t="str">
        <f aca="false">IF(ISBLANK($C363),"",$B363)</f>
        <v/>
      </c>
      <c r="DB363" s="106" t="str">
        <f aca="false">IF(ISBLANK($C363),"",$C363)</f>
        <v/>
      </c>
      <c r="DC363" s="106" t="str">
        <f aca="false">IF(ISBLANK($C363),"",$D363)</f>
        <v/>
      </c>
      <c r="DD363" s="107" t="str">
        <f aca="false">$CR363</f>
        <v/>
      </c>
      <c r="DE363" s="108" t="str">
        <f aca="false">$CQ363</f>
        <v/>
      </c>
      <c r="DF363" s="106" t="str">
        <f aca="false">IF(ISBLANK($C363),"",$CT363)</f>
        <v/>
      </c>
      <c r="DG363" s="109" t="str">
        <f aca="false">IF($CX363&gt;$CW$8,"",VLOOKUP($CX363,$CZ$9:$DF$508,7,FALSE()))</f>
        <v/>
      </c>
      <c r="DH363" s="110" t="str">
        <f aca="false">IF($CX363&gt;$CW$8,"",VLOOKUP($CX363,$CZ$9:$DF$508,2,FALSE()))</f>
        <v/>
      </c>
      <c r="DI363" s="110" t="str">
        <f aca="false">IF($CX363&gt;$CW$8,"",VLOOKUP($CX363,$CZ$9:$DF$508,3,FALSE()))</f>
        <v/>
      </c>
      <c r="DJ363" s="110" t="str">
        <f aca="false">IF($CX363&gt;$CW$8,"",VLOOKUP($CX363,$CZ$9:$DF$508,4,FALSE()))</f>
        <v/>
      </c>
      <c r="DK363" s="110" t="str">
        <f aca="false">IF($CX363&gt;$CW$8,"",VLOOKUP($CX363,$CZ$9:$DF$508,5,FALSE()))</f>
        <v/>
      </c>
      <c r="DL363" s="111" t="str">
        <f aca="false">IF($CX363&gt;$CW$8,"",VLOOKUP($CX363,$CZ$9:$DF$508,6,FALSE()))</f>
        <v/>
      </c>
      <c r="DM363" s="75"/>
    </row>
    <row r="364" customFormat="false" ht="15.75" hidden="false" customHeight="false" outlineLevel="0" collapsed="false">
      <c r="A364" s="9"/>
      <c r="B364" s="77"/>
      <c r="C364" s="78"/>
      <c r="D364" s="167"/>
      <c r="E364" s="175"/>
      <c r="F364" s="169"/>
      <c r="G364" s="170"/>
      <c r="H364" s="170"/>
      <c r="I364" s="176"/>
      <c r="J364" s="173"/>
      <c r="K364" s="85"/>
      <c r="L364" s="86"/>
      <c r="M364" s="87"/>
      <c r="N364" s="173"/>
      <c r="O364" s="173"/>
      <c r="P364" s="175"/>
      <c r="Q364" s="173"/>
      <c r="R364" s="173"/>
      <c r="S364" s="85"/>
      <c r="T364" s="87"/>
      <c r="U364" s="87"/>
      <c r="V364" s="173"/>
      <c r="W364" s="173"/>
      <c r="X364" s="175"/>
      <c r="Y364" s="173"/>
      <c r="Z364" s="174"/>
      <c r="AA364" s="173"/>
      <c r="AB364" s="91"/>
      <c r="AC364" s="92"/>
      <c r="AD364" s="92"/>
      <c r="AE364" s="92"/>
      <c r="AF364" s="92" t="str">
        <f aca="false">IF(ISBLANK($C364),"",IF(E364=Constants!$B$3,TRUE(),IF(E364=Constants!$B$4,FALSE(),TRUE())))</f>
        <v/>
      </c>
      <c r="AG364" s="92" t="str">
        <f aca="false">IF(ISBLANK($C364),"",IF(F364=Constants!$B$3,TRUE(),IF(F364=Constants!$B$4,FALSE(),TRUE())))</f>
        <v/>
      </c>
      <c r="AH364" s="92" t="str">
        <f aca="false">IF(ISBLANK($C364),"",IF(G364=Constants!$B$3,TRUE(),IF(G364=Constants!$B$4,FALSE(),TRUE())))</f>
        <v/>
      </c>
      <c r="AI364" s="92" t="str">
        <f aca="false">IF(ISBLANK($C364),"",IF(AND(ISNUMBER(H364),H364&gt;=0),H364,Constants!$B$29))</f>
        <v/>
      </c>
      <c r="AJ364" s="92" t="str">
        <f aca="false">IF(ISBLANK($C364),"",IF(I364=Constants!$B$3,TRUE(),IF(I364=Constants!$B$4,FALSE(),TRUE())))</f>
        <v/>
      </c>
      <c r="AK364" s="92" t="str">
        <f aca="false">IF(ISBLANK($C364),"",IF(J364=Constants!$B$3,TRUE(),IF(J364=Constants!$B$4,FALSE(),TRUE())))</f>
        <v/>
      </c>
      <c r="AL364" s="92" t="str">
        <f aca="false">IF(ISBLANK($C364),"",IF(K364=Constants!$B$5,TRUE(),IF(K364=Constants!$B$6,FALSE(),COUNTA(L364:P364)&gt;0)))</f>
        <v/>
      </c>
      <c r="AM364" s="94" t="str">
        <f aca="false">IF(ISBLANK($C364),"",IF(ISNUMBER(L364),IF(L364&gt;=0,L364,""),""))</f>
        <v/>
      </c>
      <c r="AN364" s="93" t="str">
        <f aca="false">IF(ISBLANK($C364),"",IF(ISNUMBER(M364),IF(M364&gt;=0,M364,""),""))</f>
        <v/>
      </c>
      <c r="AO364" s="93" t="str">
        <f aca="false">IF(ISBLANK($C364),"",IF(N364=Constants!$B$3,TRUE(),IF(N364=Constants!$B$4,FALSE(),TRUE())))</f>
        <v/>
      </c>
      <c r="AP364" s="92" t="str">
        <f aca="false">IF(ISBLANK($C364),"",IF(ISNUMBER(O364),IF(O364&gt;=0,O364,""),""))</f>
        <v/>
      </c>
      <c r="AQ364" s="92" t="str">
        <f aca="false">IF(ISBLANK($C364),"",IF(P364=Constants!$B$3,TRUE(),IF(P364=Constants!$B$4,FALSE(),FALSE())))</f>
        <v/>
      </c>
      <c r="AR364" s="92" t="str">
        <f aca="false">IF(ISBLANK($C364),"",IF(Q364=Constants!$B$3,TRUE(),IF(Q364=Constants!$B$4,FALSE(),TRUE())))</f>
        <v/>
      </c>
      <c r="AS364" s="92" t="str">
        <f aca="false">IF(ISBLANK($C364),"",IF(R364=Constants!$B$3,TRUE(),IF(R364=Constants!$B$4,FALSE(),TRUE())))</f>
        <v/>
      </c>
      <c r="AT364" s="92" t="str">
        <f aca="false">IF(ISBLANK($C364),"",IF(S364=Constants!$B$5,TRUE(),IF(S364=Constants!$B$6,FALSE(),COUNTA(T364:X364)&gt;0)))</f>
        <v/>
      </c>
      <c r="AU364" s="94" t="str">
        <f aca="false">IF(ISBLANK($C364),"",IF(ISNUMBER(T364),IF(T364&gt;=0,T364,""),""))</f>
        <v/>
      </c>
      <c r="AV364" s="93" t="str">
        <f aca="false">IF(ISBLANK($C364),"",IF(ISNUMBER(U364),IF(U364&gt;=0,U364,""),""))</f>
        <v/>
      </c>
      <c r="AW364" s="93" t="str">
        <f aca="false">IF(ISBLANK($C364),"",IF(V364=Constants!$B$3,TRUE(),IF(V364=Constants!$B$4,FALSE(),TRUE())))</f>
        <v/>
      </c>
      <c r="AX364" s="92" t="str">
        <f aca="false">IF(ISBLANK($C364),"",IF(ISNUMBER(W364),IF(W364&gt;=0,W364,""),""))</f>
        <v/>
      </c>
      <c r="AY364" s="92" t="str">
        <f aca="false">IF(ISBLANK($C364),"",IF(X364=Constants!$B$3,TRUE(),IF(X364=Constants!$B$4,FALSE(),FALSE())))</f>
        <v/>
      </c>
      <c r="AZ364" s="92" t="str">
        <f aca="false">IF(ISBLANK($C364),"",MIN(Constants!$B$31,MAX(0,IF(ISNUMBER(Y364),Y364*60,0)+IF(ISNUMBER(Z364),Z364,0))))</f>
        <v/>
      </c>
      <c r="BA364" s="92" t="str">
        <f aca="false">IF(ISBLANK($C364),"",IF(AA364=Constants!$B$3,TRUE(),IF(AA364=Constants!$B$4,FALSE(),FALSE())))</f>
        <v/>
      </c>
      <c r="BB364" s="91" t="str">
        <f aca="false">IF(ISBLANK($C364),"",AND($AL364,OR($AM364="",$AN364="",AND($AO364,$AP364=""))))</f>
        <v/>
      </c>
      <c r="BC364" s="93" t="str">
        <f aca="false">IF($BR364&lt;&gt;Constants!$B$8,"",IF($AL364,Constants!$B$21*$AN364+Constants!$B$22*IF($AO364,$AP364,Constants!$B$23),Constants!$B$24))</f>
        <v/>
      </c>
      <c r="BD364" s="96" t="str">
        <f aca="false">IF($BR364&lt;&gt;Constants!$B$8,"",Constants!$B$25*ABS($AD$9-IF($AL364,$AM364,0)))</f>
        <v/>
      </c>
      <c r="BE364" s="96" t="str">
        <f aca="false">IF($BR364&lt;&gt;Constants!$B$8,"",IF(AND($AL364,$AQ364,$AO364),Constants!$B$27,0))</f>
        <v/>
      </c>
      <c r="BF364" s="96" t="str">
        <f aca="false">IF($BR364&lt;&gt;Constants!$B$8,"",IF($AL364,($AI364-Constants!$B$29)*Constants!$B$28,0))</f>
        <v/>
      </c>
      <c r="BG364" s="96" t="str">
        <f aca="false">IF($BR364&lt;&gt;Constants!$B$8,"",IF($AK364,0,Constants!$B$15)+IF($AJ364,0,Constants!$B$16)+IF($AH364,0,Constants!$B$17))</f>
        <v/>
      </c>
      <c r="BH364" s="97" t="str">
        <f aca="false">IF($BR364&lt;&gt;Constants!$B$8,"",Constants!$B$20+SUM($BC364:$BG364))</f>
        <v/>
      </c>
      <c r="BI364" s="92" t="str">
        <f aca="false">IF($BR364&lt;&gt;Constants!$B$8,"",IF(OR($BP364&lt;$BH364,AND($BP364=$BH364,OR($BK364&lt;$BC364,AND($BK364=$BC364,OR($BL364&lt;$BD364,AND($BL364=$BD364,$AT364,$AL364,$AV364&lt;$AN364)))))),"-&gt;","&lt;-"))</f>
        <v/>
      </c>
      <c r="BJ364" s="91" t="str">
        <f aca="false">IF(ISBLANK($C364),"",AND($AT364,OR($AU364="",$AV364="",AND($AW364,$AX364=""))))</f>
        <v/>
      </c>
      <c r="BK364" s="93" t="str">
        <f aca="false">IF($BR364&lt;&gt;Constants!$B$8,"",IF($AT364,Constants!$B$21*$AV364+Constants!$B$22*IF($AW364,$AX364,Constants!$B$23),Constants!$B$24))</f>
        <v/>
      </c>
      <c r="BL364" s="96" t="str">
        <f aca="false">IF($BR364&lt;&gt;Constants!$B$8,"",Constants!$B$25*ABS($AD$9-IF($AT364,$AU364,0)))</f>
        <v/>
      </c>
      <c r="BM364" s="96" t="str">
        <f aca="false">IF($BR364&lt;&gt;Constants!$B$8,"",IF(AND($AT364,$AY364,$AW364),Constants!$B$27,0))</f>
        <v/>
      </c>
      <c r="BN364" s="96" t="str">
        <f aca="false">IF($BR364&lt;&gt;Constants!$B$8,"",IF($AT364,($AI364-Constants!$B$29)*Constants!$B$28,0))</f>
        <v/>
      </c>
      <c r="BO364" s="96" t="str">
        <f aca="false">IF($BR364&lt;&gt;Constants!$B$8,"",IF($AS364,0,Constants!$B$15)+IF($AR364,0,Constants!$B$16)+IF($AH364,0,Constants!$B$17))</f>
        <v/>
      </c>
      <c r="BP364" s="97" t="str">
        <f aca="false">IF($BR364&lt;&gt;Constants!$B$8,"",Constants!$B$20+SUM($BK364:$BO364))</f>
        <v/>
      </c>
      <c r="BQ364" s="92" t="str">
        <f aca="false">IF(ISBLANK($C364),"",IF(ISBLANK($D$7),$BQ$5,IF(NOT(ISNUMBER($D$7)),$BQ$6,"")))</f>
        <v/>
      </c>
      <c r="BR364" s="92" t="str">
        <f aca="false">IF(ISBLANK($C364),"",IF($BA364,Constants!$B$11,IF(COUNTA($E364:$AA364)=0,Constants!$B$10,IF(NOT($AG364),Constants!$B$9,IF(OR($BQ364&lt;&gt;"",$BB364,$BJ364),Constants!$B$12,Constants!$B$8)))))</f>
        <v/>
      </c>
      <c r="BS364" s="92" t="str">
        <f aca="false">IF(ISBLANK($C364),"",IF($BR364&lt;&gt;Constants!$B$8,$BR364,Constants!$B$13))</f>
        <v/>
      </c>
      <c r="BT364" s="96" t="str">
        <f aca="false">IF($BR364&lt;&gt;Constants!$B$8,"",IF($BI364="-&gt;",$BP364,$BH364))</f>
        <v/>
      </c>
      <c r="BU364" s="96" t="str">
        <f aca="false">IF($BR364&lt;&gt;Constants!$B$8,"",IF($AF364,0,Constants!$B$18))</f>
        <v/>
      </c>
      <c r="BV364" s="96" t="str">
        <f aca="false">IF($BR364&lt;&gt;Constants!$B$8,"",((Constants!$B$31-$AZ364)-Constants!$B$31)/Constants!$B$32)</f>
        <v/>
      </c>
      <c r="BW364" s="96" t="str">
        <f aca="false">IF(ISBLANK($C364),"",IF($BR364&lt;&gt;Constants!$B$8,$BR364,SUM($BT364:$BV364)))</f>
        <v/>
      </c>
      <c r="BX364" s="92" t="str">
        <f aca="false">IF(ISBLANK($C364),"",IF($BR364&lt;&gt;Constants!$B$8,$BR364,RANK($BW364,$BW$9:$BW$508,1)))</f>
        <v/>
      </c>
      <c r="BY364" s="96" t="str">
        <f aca="false">IF($BR364&lt;&gt;Constants!$B$8,"",IF($BI364="-&gt;",$BK364,$BC364))</f>
        <v/>
      </c>
      <c r="BZ364" s="92" t="str">
        <f aca="false">IF(ISBLANK($C364),"",IF($BR364&lt;&gt;Constants!$B$8,$BR364,IF(ISNUMBER($BY364),RANK($BY364,$BY$9:$BY$508,1),COUNT($BY$9:$BY$508)+1)))</f>
        <v/>
      </c>
      <c r="CA364" s="96" t="str">
        <f aca="false">IF($BR364&lt;&gt;Constants!$B$8,"",IF($BI364="-&gt;",$BL364,$BD364))</f>
        <v/>
      </c>
      <c r="CB364" s="92" t="str">
        <f aca="false">IF(ISBLANK($C364),"",IF($BR364&lt;&gt;Constants!$B$8,$BR364,IF(ISNUMBER($CA364),RANK($CA364,$CA$9:$CA$508,1),COUNT($CA$9:$CA$508)+1)))</f>
        <v/>
      </c>
      <c r="CC364" s="96" t="str">
        <f aca="false">IF($BR364&lt;&gt;Constants!$B$8,"",IF($BI364="-&gt;",IF($AT364,$AV364,""),IF($AL364,$AN364,"")))</f>
        <v/>
      </c>
      <c r="CD364" s="92" t="str">
        <f aca="false">IF(ISBLANK($C364),"",IF($BR364&lt;&gt;Constants!$B$8,$BR364,IF(ISNUMBER($CC364),RANK($CC364,$CC$9:$CC$508,1),COUNT($CC$9:$CC$508)+1)))</f>
        <v/>
      </c>
      <c r="CE364" s="96" t="str">
        <f aca="false">IF($BR364&lt;&gt;Constants!$B$8,"",IF(AND(NOT($AL364),NOT($AT364),$AJ364,$AK364,$AR364,$AS364),"",$AI364))</f>
        <v/>
      </c>
      <c r="CF364" s="92" t="str">
        <f aca="false">IF(ISBLANK($C364),"",IF($BR364&lt;&gt;Constants!$B$8,$BR364,IF(ISNUMBER($CE364),RANK($CE364,$CE$9:$CE$508,1),COUNT($CE$9:$CE$508)+1)))</f>
        <v/>
      </c>
      <c r="CG364" s="92" t="str">
        <f aca="false">IF(ISBLANK($C364),"",IF($BR364&lt;&gt;Constants!$B$8,$BR364,COUNTIFS($BX$9:$BX$508,"&lt;"&amp;$BX364)+COUNTIFS($BX$9:$BX$508,$BX364,$BZ$9:$BZ$508,"&lt;"&amp;$BZ364)+COUNTIFS($BX$9:$BX$508,$BX364,$BZ$9:$BZ$508,$BZ364,$CB$9:$CB$508,"&lt;"&amp;$CB364)+COUNTIFS($BX$9:$BX$508,$BX364,$BZ$9:$BZ$508,$BZ364,$CB$9:$CB$508,$CB364,$CD$9:$CD$508,"&lt;"&amp;$CD364)+COUNTIFS($BX$9:$BX$508,$BX364,$BZ$9:$BZ$508,$BZ364,$CB$9:$CB$508,$CB364,$CD$9:$CD$508,$CD364,$CF$9:$CF$508,"&lt;"&amp;$CF364)+1))</f>
        <v/>
      </c>
      <c r="CH364" s="92" t="str">
        <f aca="false">IF(ISBLANK($C364),"",IF($BR364&lt;&gt;Constants!$B$8,$BR364,$BX364-$CG364))</f>
        <v/>
      </c>
      <c r="CI364" s="98"/>
      <c r="CJ364" s="99"/>
      <c r="CK364" s="100" t="str">
        <f aca="false">IF(ISBLANK($C364),"",IF($BR364=Constants!$B$12,$BQ364,""))</f>
        <v/>
      </c>
      <c r="CL364" s="99" t="str">
        <f aca="false">IF(ISBLANK($C364),"",IF($BR364&lt;&gt;Constants!$B$8,"",IF($BI364="-&gt;",2,1)))</f>
        <v/>
      </c>
      <c r="CM364" s="101" t="str">
        <f aca="false">IF(ISBLANK($C364),"",IF($BR364&lt;&gt;Constants!$B$8,"",IF($BI364="-&gt;",$BK364,$BC364)))</f>
        <v/>
      </c>
      <c r="CN364" s="101" t="str">
        <f aca="false">IF(ISBLANK($C364),"",IF($BR364&lt;&gt;Constants!$B$8,"",IF($BI364="-&gt;",$BL364,$BD364)))</f>
        <v/>
      </c>
      <c r="CO364" s="101" t="str">
        <f aca="false">IF(ISBLANK($C364),"",IF($BR364&lt;&gt;Constants!$B$8,"",IF($BI364="-&gt;",$BM364+$BN364,$BE364+$BF364)+$BV364))</f>
        <v/>
      </c>
      <c r="CP364" s="101" t="str">
        <f aca="false">IF(ISBLANK($C364),"",IF($BR364&lt;&gt;Constants!$B$8,"",IF($BI364="-&gt;",$BO364,$BG364)+$BU364))</f>
        <v/>
      </c>
      <c r="CQ364" s="102" t="str">
        <f aca="false">IF(ISBLANK($C364),"",IF($BR364&lt;&gt;Constants!$B$8,$BR364,$BW364))</f>
        <v/>
      </c>
      <c r="CR364" s="103" t="str">
        <f aca="false">IF(ISBLANK($C364),"",$BS364)</f>
        <v/>
      </c>
      <c r="CS364" s="104" t="str">
        <f aca="false">IF(ISBLANK($C364),"",$CH364)</f>
        <v/>
      </c>
      <c r="CT364" s="104" t="str">
        <f aca="false">IF(ISBLANK($C364),"",$CG364)</f>
        <v/>
      </c>
      <c r="CU364" s="105" t="str">
        <f aca="false">IF(ISBLANK($C364),"",IFERROR(_xlfn.SWITCH($CT364,Constants!$B$11,COUNTA($C$9:$C$508)+2,Constants!$B$10,COUNTA($C$9:$C$508)+1,Constants!$B$9,COUNTA($C$9:$C$508)),$CT364))</f>
        <v/>
      </c>
      <c r="CV364" s="9"/>
      <c r="CW364" s="106" t="n">
        <f aca="false">IF(OR(ISNUMBER($CT364),$CT364=Constants!$B$11,$CT364=Constants!$B$9,$CT364=Constants!$B$10),1,0)</f>
        <v>0</v>
      </c>
      <c r="CX364" s="106" t="n">
        <v>356</v>
      </c>
      <c r="CY364" s="106" t="str">
        <f aca="false">IF(ISBLANK($C364),"",IF(ISNUMBER($CU364),$CU364+ROW($B364)/1000,""))</f>
        <v/>
      </c>
      <c r="CZ364" s="106" t="str">
        <f aca="false">IF(ISNUMBER($CY364),RANK($CY364,$CY$9:$CY$508,1),"")</f>
        <v/>
      </c>
      <c r="DA364" s="106" t="str">
        <f aca="false">IF(ISBLANK($C364),"",$B364)</f>
        <v/>
      </c>
      <c r="DB364" s="106" t="str">
        <f aca="false">IF(ISBLANK($C364),"",$C364)</f>
        <v/>
      </c>
      <c r="DC364" s="106" t="str">
        <f aca="false">IF(ISBLANK($C364),"",$D364)</f>
        <v/>
      </c>
      <c r="DD364" s="107" t="str">
        <f aca="false">$CR364</f>
        <v/>
      </c>
      <c r="DE364" s="108" t="str">
        <f aca="false">$CQ364</f>
        <v/>
      </c>
      <c r="DF364" s="106" t="str">
        <f aca="false">IF(ISBLANK($C364),"",$CT364)</f>
        <v/>
      </c>
      <c r="DG364" s="109" t="str">
        <f aca="false">IF($CX364&gt;$CW$8,"",VLOOKUP($CX364,$CZ$9:$DF$508,7,FALSE()))</f>
        <v/>
      </c>
      <c r="DH364" s="110" t="str">
        <f aca="false">IF($CX364&gt;$CW$8,"",VLOOKUP($CX364,$CZ$9:$DF$508,2,FALSE()))</f>
        <v/>
      </c>
      <c r="DI364" s="110" t="str">
        <f aca="false">IF($CX364&gt;$CW$8,"",VLOOKUP($CX364,$CZ$9:$DF$508,3,FALSE()))</f>
        <v/>
      </c>
      <c r="DJ364" s="110" t="str">
        <f aca="false">IF($CX364&gt;$CW$8,"",VLOOKUP($CX364,$CZ$9:$DF$508,4,FALSE()))</f>
        <v/>
      </c>
      <c r="DK364" s="110" t="str">
        <f aca="false">IF($CX364&gt;$CW$8,"",VLOOKUP($CX364,$CZ$9:$DF$508,5,FALSE()))</f>
        <v/>
      </c>
      <c r="DL364" s="111" t="str">
        <f aca="false">IF($CX364&gt;$CW$8,"",VLOOKUP($CX364,$CZ$9:$DF$508,6,FALSE()))</f>
        <v/>
      </c>
      <c r="DM364" s="75"/>
    </row>
    <row r="365" customFormat="false" ht="15.75" hidden="false" customHeight="false" outlineLevel="0" collapsed="false">
      <c r="A365" s="9"/>
      <c r="B365" s="77"/>
      <c r="C365" s="78"/>
      <c r="D365" s="167"/>
      <c r="E365" s="175"/>
      <c r="F365" s="169"/>
      <c r="G365" s="170"/>
      <c r="H365" s="170"/>
      <c r="I365" s="176"/>
      <c r="J365" s="173"/>
      <c r="K365" s="85"/>
      <c r="L365" s="86"/>
      <c r="M365" s="87"/>
      <c r="N365" s="173"/>
      <c r="O365" s="173"/>
      <c r="P365" s="175"/>
      <c r="Q365" s="173"/>
      <c r="R365" s="173"/>
      <c r="S365" s="85"/>
      <c r="T365" s="87"/>
      <c r="U365" s="87"/>
      <c r="V365" s="173"/>
      <c r="W365" s="173"/>
      <c r="X365" s="175"/>
      <c r="Y365" s="173"/>
      <c r="Z365" s="174"/>
      <c r="AA365" s="173"/>
      <c r="AB365" s="91"/>
      <c r="AC365" s="92"/>
      <c r="AD365" s="92"/>
      <c r="AE365" s="92"/>
      <c r="AF365" s="92" t="str">
        <f aca="false">IF(ISBLANK($C365),"",IF(E365=Constants!$B$3,TRUE(),IF(E365=Constants!$B$4,FALSE(),TRUE())))</f>
        <v/>
      </c>
      <c r="AG365" s="92" t="str">
        <f aca="false">IF(ISBLANK($C365),"",IF(F365=Constants!$B$3,TRUE(),IF(F365=Constants!$B$4,FALSE(),TRUE())))</f>
        <v/>
      </c>
      <c r="AH365" s="92" t="str">
        <f aca="false">IF(ISBLANK($C365),"",IF(G365=Constants!$B$3,TRUE(),IF(G365=Constants!$B$4,FALSE(),TRUE())))</f>
        <v/>
      </c>
      <c r="AI365" s="92" t="str">
        <f aca="false">IF(ISBLANK($C365),"",IF(AND(ISNUMBER(H365),H365&gt;=0),H365,Constants!$B$29))</f>
        <v/>
      </c>
      <c r="AJ365" s="92" t="str">
        <f aca="false">IF(ISBLANK($C365),"",IF(I365=Constants!$B$3,TRUE(),IF(I365=Constants!$B$4,FALSE(),TRUE())))</f>
        <v/>
      </c>
      <c r="AK365" s="92" t="str">
        <f aca="false">IF(ISBLANK($C365),"",IF(J365=Constants!$B$3,TRUE(),IF(J365=Constants!$B$4,FALSE(),TRUE())))</f>
        <v/>
      </c>
      <c r="AL365" s="92" t="str">
        <f aca="false">IF(ISBLANK($C365),"",IF(K365=Constants!$B$5,TRUE(),IF(K365=Constants!$B$6,FALSE(),COUNTA(L365:P365)&gt;0)))</f>
        <v/>
      </c>
      <c r="AM365" s="94" t="str">
        <f aca="false">IF(ISBLANK($C365),"",IF(ISNUMBER(L365),IF(L365&gt;=0,L365,""),""))</f>
        <v/>
      </c>
      <c r="AN365" s="93" t="str">
        <f aca="false">IF(ISBLANK($C365),"",IF(ISNUMBER(M365),IF(M365&gt;=0,M365,""),""))</f>
        <v/>
      </c>
      <c r="AO365" s="93" t="str">
        <f aca="false">IF(ISBLANK($C365),"",IF(N365=Constants!$B$3,TRUE(),IF(N365=Constants!$B$4,FALSE(),TRUE())))</f>
        <v/>
      </c>
      <c r="AP365" s="92" t="str">
        <f aca="false">IF(ISBLANK($C365),"",IF(ISNUMBER(O365),IF(O365&gt;=0,O365,""),""))</f>
        <v/>
      </c>
      <c r="AQ365" s="92" t="str">
        <f aca="false">IF(ISBLANK($C365),"",IF(P365=Constants!$B$3,TRUE(),IF(P365=Constants!$B$4,FALSE(),FALSE())))</f>
        <v/>
      </c>
      <c r="AR365" s="92" t="str">
        <f aca="false">IF(ISBLANK($C365),"",IF(Q365=Constants!$B$3,TRUE(),IF(Q365=Constants!$B$4,FALSE(),TRUE())))</f>
        <v/>
      </c>
      <c r="AS365" s="92" t="str">
        <f aca="false">IF(ISBLANK($C365),"",IF(R365=Constants!$B$3,TRUE(),IF(R365=Constants!$B$4,FALSE(),TRUE())))</f>
        <v/>
      </c>
      <c r="AT365" s="92" t="str">
        <f aca="false">IF(ISBLANK($C365),"",IF(S365=Constants!$B$5,TRUE(),IF(S365=Constants!$B$6,FALSE(),COUNTA(T365:X365)&gt;0)))</f>
        <v/>
      </c>
      <c r="AU365" s="94" t="str">
        <f aca="false">IF(ISBLANK($C365),"",IF(ISNUMBER(T365),IF(T365&gt;=0,T365,""),""))</f>
        <v/>
      </c>
      <c r="AV365" s="93" t="str">
        <f aca="false">IF(ISBLANK($C365),"",IF(ISNUMBER(U365),IF(U365&gt;=0,U365,""),""))</f>
        <v/>
      </c>
      <c r="AW365" s="93" t="str">
        <f aca="false">IF(ISBLANK($C365),"",IF(V365=Constants!$B$3,TRUE(),IF(V365=Constants!$B$4,FALSE(),TRUE())))</f>
        <v/>
      </c>
      <c r="AX365" s="92" t="str">
        <f aca="false">IF(ISBLANK($C365),"",IF(ISNUMBER(W365),IF(W365&gt;=0,W365,""),""))</f>
        <v/>
      </c>
      <c r="AY365" s="92" t="str">
        <f aca="false">IF(ISBLANK($C365),"",IF(X365=Constants!$B$3,TRUE(),IF(X365=Constants!$B$4,FALSE(),FALSE())))</f>
        <v/>
      </c>
      <c r="AZ365" s="92" t="str">
        <f aca="false">IF(ISBLANK($C365),"",MIN(Constants!$B$31,MAX(0,IF(ISNUMBER(Y365),Y365*60,0)+IF(ISNUMBER(Z365),Z365,0))))</f>
        <v/>
      </c>
      <c r="BA365" s="92" t="str">
        <f aca="false">IF(ISBLANK($C365),"",IF(AA365=Constants!$B$3,TRUE(),IF(AA365=Constants!$B$4,FALSE(),FALSE())))</f>
        <v/>
      </c>
      <c r="BB365" s="91" t="str">
        <f aca="false">IF(ISBLANK($C365),"",AND($AL365,OR($AM365="",$AN365="",AND($AO365,$AP365=""))))</f>
        <v/>
      </c>
      <c r="BC365" s="93" t="str">
        <f aca="false">IF($BR365&lt;&gt;Constants!$B$8,"",IF($AL365,Constants!$B$21*$AN365+Constants!$B$22*IF($AO365,$AP365,Constants!$B$23),Constants!$B$24))</f>
        <v/>
      </c>
      <c r="BD365" s="96" t="str">
        <f aca="false">IF($BR365&lt;&gt;Constants!$B$8,"",Constants!$B$25*ABS($AD$9-IF($AL365,$AM365,0)))</f>
        <v/>
      </c>
      <c r="BE365" s="96" t="str">
        <f aca="false">IF($BR365&lt;&gt;Constants!$B$8,"",IF(AND($AL365,$AQ365,$AO365),Constants!$B$27,0))</f>
        <v/>
      </c>
      <c r="BF365" s="96" t="str">
        <f aca="false">IF($BR365&lt;&gt;Constants!$B$8,"",IF($AL365,($AI365-Constants!$B$29)*Constants!$B$28,0))</f>
        <v/>
      </c>
      <c r="BG365" s="96" t="str">
        <f aca="false">IF($BR365&lt;&gt;Constants!$B$8,"",IF($AK365,0,Constants!$B$15)+IF($AJ365,0,Constants!$B$16)+IF($AH365,0,Constants!$B$17))</f>
        <v/>
      </c>
      <c r="BH365" s="97" t="str">
        <f aca="false">IF($BR365&lt;&gt;Constants!$B$8,"",Constants!$B$20+SUM($BC365:$BG365))</f>
        <v/>
      </c>
      <c r="BI365" s="92" t="str">
        <f aca="false">IF($BR365&lt;&gt;Constants!$B$8,"",IF(OR($BP365&lt;$BH365,AND($BP365=$BH365,OR($BK365&lt;$BC365,AND($BK365=$BC365,OR($BL365&lt;$BD365,AND($BL365=$BD365,$AT365,$AL365,$AV365&lt;$AN365)))))),"-&gt;","&lt;-"))</f>
        <v/>
      </c>
      <c r="BJ365" s="91" t="str">
        <f aca="false">IF(ISBLANK($C365),"",AND($AT365,OR($AU365="",$AV365="",AND($AW365,$AX365=""))))</f>
        <v/>
      </c>
      <c r="BK365" s="93" t="str">
        <f aca="false">IF($BR365&lt;&gt;Constants!$B$8,"",IF($AT365,Constants!$B$21*$AV365+Constants!$B$22*IF($AW365,$AX365,Constants!$B$23),Constants!$B$24))</f>
        <v/>
      </c>
      <c r="BL365" s="96" t="str">
        <f aca="false">IF($BR365&lt;&gt;Constants!$B$8,"",Constants!$B$25*ABS($AD$9-IF($AT365,$AU365,0)))</f>
        <v/>
      </c>
      <c r="BM365" s="96" t="str">
        <f aca="false">IF($BR365&lt;&gt;Constants!$B$8,"",IF(AND($AT365,$AY365,$AW365),Constants!$B$27,0))</f>
        <v/>
      </c>
      <c r="BN365" s="96" t="str">
        <f aca="false">IF($BR365&lt;&gt;Constants!$B$8,"",IF($AT365,($AI365-Constants!$B$29)*Constants!$B$28,0))</f>
        <v/>
      </c>
      <c r="BO365" s="96" t="str">
        <f aca="false">IF($BR365&lt;&gt;Constants!$B$8,"",IF($AS365,0,Constants!$B$15)+IF($AR365,0,Constants!$B$16)+IF($AH365,0,Constants!$B$17))</f>
        <v/>
      </c>
      <c r="BP365" s="97" t="str">
        <f aca="false">IF($BR365&lt;&gt;Constants!$B$8,"",Constants!$B$20+SUM($BK365:$BO365))</f>
        <v/>
      </c>
      <c r="BQ365" s="92" t="str">
        <f aca="false">IF(ISBLANK($C365),"",IF(ISBLANK($D$7),$BQ$5,IF(NOT(ISNUMBER($D$7)),$BQ$6,"")))</f>
        <v/>
      </c>
      <c r="BR365" s="92" t="str">
        <f aca="false">IF(ISBLANK($C365),"",IF($BA365,Constants!$B$11,IF(COUNTA($E365:$AA365)=0,Constants!$B$10,IF(NOT($AG365),Constants!$B$9,IF(OR($BQ365&lt;&gt;"",$BB365,$BJ365),Constants!$B$12,Constants!$B$8)))))</f>
        <v/>
      </c>
      <c r="BS365" s="92" t="str">
        <f aca="false">IF(ISBLANK($C365),"",IF($BR365&lt;&gt;Constants!$B$8,$BR365,Constants!$B$13))</f>
        <v/>
      </c>
      <c r="BT365" s="96" t="str">
        <f aca="false">IF($BR365&lt;&gt;Constants!$B$8,"",IF($BI365="-&gt;",$BP365,$BH365))</f>
        <v/>
      </c>
      <c r="BU365" s="96" t="str">
        <f aca="false">IF($BR365&lt;&gt;Constants!$B$8,"",IF($AF365,0,Constants!$B$18))</f>
        <v/>
      </c>
      <c r="BV365" s="96" t="str">
        <f aca="false">IF($BR365&lt;&gt;Constants!$B$8,"",((Constants!$B$31-$AZ365)-Constants!$B$31)/Constants!$B$32)</f>
        <v/>
      </c>
      <c r="BW365" s="96" t="str">
        <f aca="false">IF(ISBLANK($C365),"",IF($BR365&lt;&gt;Constants!$B$8,$BR365,SUM($BT365:$BV365)))</f>
        <v/>
      </c>
      <c r="BX365" s="92" t="str">
        <f aca="false">IF(ISBLANK($C365),"",IF($BR365&lt;&gt;Constants!$B$8,$BR365,RANK($BW365,$BW$9:$BW$508,1)))</f>
        <v/>
      </c>
      <c r="BY365" s="96" t="str">
        <f aca="false">IF($BR365&lt;&gt;Constants!$B$8,"",IF($BI365="-&gt;",$BK365,$BC365))</f>
        <v/>
      </c>
      <c r="BZ365" s="92" t="str">
        <f aca="false">IF(ISBLANK($C365),"",IF($BR365&lt;&gt;Constants!$B$8,$BR365,IF(ISNUMBER($BY365),RANK($BY365,$BY$9:$BY$508,1),COUNT($BY$9:$BY$508)+1)))</f>
        <v/>
      </c>
      <c r="CA365" s="96" t="str">
        <f aca="false">IF($BR365&lt;&gt;Constants!$B$8,"",IF($BI365="-&gt;",$BL365,$BD365))</f>
        <v/>
      </c>
      <c r="CB365" s="92" t="str">
        <f aca="false">IF(ISBLANK($C365),"",IF($BR365&lt;&gt;Constants!$B$8,$BR365,IF(ISNUMBER($CA365),RANK($CA365,$CA$9:$CA$508,1),COUNT($CA$9:$CA$508)+1)))</f>
        <v/>
      </c>
      <c r="CC365" s="96" t="str">
        <f aca="false">IF($BR365&lt;&gt;Constants!$B$8,"",IF($BI365="-&gt;",IF($AT365,$AV365,""),IF($AL365,$AN365,"")))</f>
        <v/>
      </c>
      <c r="CD365" s="92" t="str">
        <f aca="false">IF(ISBLANK($C365),"",IF($BR365&lt;&gt;Constants!$B$8,$BR365,IF(ISNUMBER($CC365),RANK($CC365,$CC$9:$CC$508,1),COUNT($CC$9:$CC$508)+1)))</f>
        <v/>
      </c>
      <c r="CE365" s="96" t="str">
        <f aca="false">IF($BR365&lt;&gt;Constants!$B$8,"",IF(AND(NOT($AL365),NOT($AT365),$AJ365,$AK365,$AR365,$AS365),"",$AI365))</f>
        <v/>
      </c>
      <c r="CF365" s="92" t="str">
        <f aca="false">IF(ISBLANK($C365),"",IF($BR365&lt;&gt;Constants!$B$8,$BR365,IF(ISNUMBER($CE365),RANK($CE365,$CE$9:$CE$508,1),COUNT($CE$9:$CE$508)+1)))</f>
        <v/>
      </c>
      <c r="CG365" s="92" t="str">
        <f aca="false">IF(ISBLANK($C365),"",IF($BR365&lt;&gt;Constants!$B$8,$BR365,COUNTIFS($BX$9:$BX$508,"&lt;"&amp;$BX365)+COUNTIFS($BX$9:$BX$508,$BX365,$BZ$9:$BZ$508,"&lt;"&amp;$BZ365)+COUNTIFS($BX$9:$BX$508,$BX365,$BZ$9:$BZ$508,$BZ365,$CB$9:$CB$508,"&lt;"&amp;$CB365)+COUNTIFS($BX$9:$BX$508,$BX365,$BZ$9:$BZ$508,$BZ365,$CB$9:$CB$508,$CB365,$CD$9:$CD$508,"&lt;"&amp;$CD365)+COUNTIFS($BX$9:$BX$508,$BX365,$BZ$9:$BZ$508,$BZ365,$CB$9:$CB$508,$CB365,$CD$9:$CD$508,$CD365,$CF$9:$CF$508,"&lt;"&amp;$CF365)+1))</f>
        <v/>
      </c>
      <c r="CH365" s="92" t="str">
        <f aca="false">IF(ISBLANK($C365),"",IF($BR365&lt;&gt;Constants!$B$8,$BR365,$BX365-$CG365))</f>
        <v/>
      </c>
      <c r="CI365" s="98"/>
      <c r="CJ365" s="99"/>
      <c r="CK365" s="100" t="str">
        <f aca="false">IF(ISBLANK($C365),"",IF($BR365=Constants!$B$12,$BQ365,""))</f>
        <v/>
      </c>
      <c r="CL365" s="99" t="str">
        <f aca="false">IF(ISBLANK($C365),"",IF($BR365&lt;&gt;Constants!$B$8,"",IF($BI365="-&gt;",2,1)))</f>
        <v/>
      </c>
      <c r="CM365" s="101" t="str">
        <f aca="false">IF(ISBLANK($C365),"",IF($BR365&lt;&gt;Constants!$B$8,"",IF($BI365="-&gt;",$BK365,$BC365)))</f>
        <v/>
      </c>
      <c r="CN365" s="101" t="str">
        <f aca="false">IF(ISBLANK($C365),"",IF($BR365&lt;&gt;Constants!$B$8,"",IF($BI365="-&gt;",$BL365,$BD365)))</f>
        <v/>
      </c>
      <c r="CO365" s="101" t="str">
        <f aca="false">IF(ISBLANK($C365),"",IF($BR365&lt;&gt;Constants!$B$8,"",IF($BI365="-&gt;",$BM365+$BN365,$BE365+$BF365)+$BV365))</f>
        <v/>
      </c>
      <c r="CP365" s="101" t="str">
        <f aca="false">IF(ISBLANK($C365),"",IF($BR365&lt;&gt;Constants!$B$8,"",IF($BI365="-&gt;",$BO365,$BG365)+$BU365))</f>
        <v/>
      </c>
      <c r="CQ365" s="102" t="str">
        <f aca="false">IF(ISBLANK($C365),"",IF($BR365&lt;&gt;Constants!$B$8,$BR365,$BW365))</f>
        <v/>
      </c>
      <c r="CR365" s="103" t="str">
        <f aca="false">IF(ISBLANK($C365),"",$BS365)</f>
        <v/>
      </c>
      <c r="CS365" s="104" t="str">
        <f aca="false">IF(ISBLANK($C365),"",$CH365)</f>
        <v/>
      </c>
      <c r="CT365" s="104" t="str">
        <f aca="false">IF(ISBLANK($C365),"",$CG365)</f>
        <v/>
      </c>
      <c r="CU365" s="105" t="str">
        <f aca="false">IF(ISBLANK($C365),"",IFERROR(_xlfn.SWITCH($CT365,Constants!$B$11,COUNTA($C$9:$C$508)+2,Constants!$B$10,COUNTA($C$9:$C$508)+1,Constants!$B$9,COUNTA($C$9:$C$508)),$CT365))</f>
        <v/>
      </c>
      <c r="CV365" s="9"/>
      <c r="CW365" s="106" t="n">
        <f aca="false">IF(OR(ISNUMBER($CT365),$CT365=Constants!$B$11,$CT365=Constants!$B$9,$CT365=Constants!$B$10),1,0)</f>
        <v>0</v>
      </c>
      <c r="CX365" s="106" t="n">
        <v>357</v>
      </c>
      <c r="CY365" s="106" t="str">
        <f aca="false">IF(ISBLANK($C365),"",IF(ISNUMBER($CU365),$CU365+ROW($B365)/1000,""))</f>
        <v/>
      </c>
      <c r="CZ365" s="106" t="str">
        <f aca="false">IF(ISNUMBER($CY365),RANK($CY365,$CY$9:$CY$508,1),"")</f>
        <v/>
      </c>
      <c r="DA365" s="106" t="str">
        <f aca="false">IF(ISBLANK($C365),"",$B365)</f>
        <v/>
      </c>
      <c r="DB365" s="106" t="str">
        <f aca="false">IF(ISBLANK($C365),"",$C365)</f>
        <v/>
      </c>
      <c r="DC365" s="106" t="str">
        <f aca="false">IF(ISBLANK($C365),"",$D365)</f>
        <v/>
      </c>
      <c r="DD365" s="107" t="str">
        <f aca="false">$CR365</f>
        <v/>
      </c>
      <c r="DE365" s="108" t="str">
        <f aca="false">$CQ365</f>
        <v/>
      </c>
      <c r="DF365" s="106" t="str">
        <f aca="false">IF(ISBLANK($C365),"",$CT365)</f>
        <v/>
      </c>
      <c r="DG365" s="109" t="str">
        <f aca="false">IF($CX365&gt;$CW$8,"",VLOOKUP($CX365,$CZ$9:$DF$508,7,FALSE()))</f>
        <v/>
      </c>
      <c r="DH365" s="110" t="str">
        <f aca="false">IF($CX365&gt;$CW$8,"",VLOOKUP($CX365,$CZ$9:$DF$508,2,FALSE()))</f>
        <v/>
      </c>
      <c r="DI365" s="110" t="str">
        <f aca="false">IF($CX365&gt;$CW$8,"",VLOOKUP($CX365,$CZ$9:$DF$508,3,FALSE()))</f>
        <v/>
      </c>
      <c r="DJ365" s="110" t="str">
        <f aca="false">IF($CX365&gt;$CW$8,"",VLOOKUP($CX365,$CZ$9:$DF$508,4,FALSE()))</f>
        <v/>
      </c>
      <c r="DK365" s="110" t="str">
        <f aca="false">IF($CX365&gt;$CW$8,"",VLOOKUP($CX365,$CZ$9:$DF$508,5,FALSE()))</f>
        <v/>
      </c>
      <c r="DL365" s="111" t="str">
        <f aca="false">IF($CX365&gt;$CW$8,"",VLOOKUP($CX365,$CZ$9:$DF$508,6,FALSE()))</f>
        <v/>
      </c>
      <c r="DM365" s="75"/>
    </row>
    <row r="366" customFormat="false" ht="15.75" hidden="false" customHeight="false" outlineLevel="0" collapsed="false">
      <c r="A366" s="9"/>
      <c r="B366" s="157"/>
      <c r="C366" s="158"/>
      <c r="D366" s="159"/>
      <c r="E366" s="177"/>
      <c r="F366" s="161"/>
      <c r="G366" s="162"/>
      <c r="H366" s="162"/>
      <c r="I366" s="178"/>
      <c r="J366" s="165"/>
      <c r="K366" s="126"/>
      <c r="L366" s="127"/>
      <c r="M366" s="128"/>
      <c r="N366" s="165"/>
      <c r="O366" s="165"/>
      <c r="P366" s="177"/>
      <c r="Q366" s="165"/>
      <c r="R366" s="165"/>
      <c r="S366" s="126"/>
      <c r="T366" s="128"/>
      <c r="U366" s="128"/>
      <c r="V366" s="165"/>
      <c r="W366" s="165"/>
      <c r="X366" s="177"/>
      <c r="Y366" s="165"/>
      <c r="Z366" s="166"/>
      <c r="AA366" s="165"/>
      <c r="AB366" s="132"/>
      <c r="AC366" s="133"/>
      <c r="AD366" s="133"/>
      <c r="AE366" s="133"/>
      <c r="AF366" s="133" t="str">
        <f aca="false">IF(ISBLANK($C366),"",IF(E366=Constants!$B$3,TRUE(),IF(E366=Constants!$B$4,FALSE(),TRUE())))</f>
        <v/>
      </c>
      <c r="AG366" s="133" t="str">
        <f aca="false">IF(ISBLANK($C366),"",IF(F366=Constants!$B$3,TRUE(),IF(F366=Constants!$B$4,FALSE(),TRUE())))</f>
        <v/>
      </c>
      <c r="AH366" s="133" t="str">
        <f aca="false">IF(ISBLANK($C366),"",IF(G366=Constants!$B$3,TRUE(),IF(G366=Constants!$B$4,FALSE(),TRUE())))</f>
        <v/>
      </c>
      <c r="AI366" s="133" t="str">
        <f aca="false">IF(ISBLANK($C366),"",IF(AND(ISNUMBER(H366),H366&gt;=0),H366,Constants!$B$29))</f>
        <v/>
      </c>
      <c r="AJ366" s="133" t="str">
        <f aca="false">IF(ISBLANK($C366),"",IF(I366=Constants!$B$3,TRUE(),IF(I366=Constants!$B$4,FALSE(),TRUE())))</f>
        <v/>
      </c>
      <c r="AK366" s="133" t="str">
        <f aca="false">IF(ISBLANK($C366),"",IF(J366=Constants!$B$3,TRUE(),IF(J366=Constants!$B$4,FALSE(),TRUE())))</f>
        <v/>
      </c>
      <c r="AL366" s="133" t="str">
        <f aca="false">IF(ISBLANK($C366),"",IF(K366=Constants!$B$5,TRUE(),IF(K366=Constants!$B$6,FALSE(),COUNTA(L366:P366)&gt;0)))</f>
        <v/>
      </c>
      <c r="AM366" s="134" t="str">
        <f aca="false">IF(ISBLANK($C366),"",IF(ISNUMBER(L366),IF(L366&gt;=0,L366,""),""))</f>
        <v/>
      </c>
      <c r="AN366" s="135" t="str">
        <f aca="false">IF(ISBLANK($C366),"",IF(ISNUMBER(M366),IF(M366&gt;=0,M366,""),""))</f>
        <v/>
      </c>
      <c r="AO366" s="135" t="str">
        <f aca="false">IF(ISBLANK($C366),"",IF(N366=Constants!$B$3,TRUE(),IF(N366=Constants!$B$4,FALSE(),TRUE())))</f>
        <v/>
      </c>
      <c r="AP366" s="133" t="str">
        <f aca="false">IF(ISBLANK($C366),"",IF(ISNUMBER(O366),IF(O366&gt;=0,O366,""),""))</f>
        <v/>
      </c>
      <c r="AQ366" s="133" t="str">
        <f aca="false">IF(ISBLANK($C366),"",IF(P366=Constants!$B$3,TRUE(),IF(P366=Constants!$B$4,FALSE(),FALSE())))</f>
        <v/>
      </c>
      <c r="AR366" s="133" t="str">
        <f aca="false">IF(ISBLANK($C366),"",IF(Q366=Constants!$B$3,TRUE(),IF(Q366=Constants!$B$4,FALSE(),TRUE())))</f>
        <v/>
      </c>
      <c r="AS366" s="133" t="str">
        <f aca="false">IF(ISBLANK($C366),"",IF(R366=Constants!$B$3,TRUE(),IF(R366=Constants!$B$4,FALSE(),TRUE())))</f>
        <v/>
      </c>
      <c r="AT366" s="133" t="str">
        <f aca="false">IF(ISBLANK($C366),"",IF(S366=Constants!$B$5,TRUE(),IF(S366=Constants!$B$6,FALSE(),COUNTA(T366:X366)&gt;0)))</f>
        <v/>
      </c>
      <c r="AU366" s="134" t="str">
        <f aca="false">IF(ISBLANK($C366),"",IF(ISNUMBER(T366),IF(T366&gt;=0,T366,""),""))</f>
        <v/>
      </c>
      <c r="AV366" s="135" t="str">
        <f aca="false">IF(ISBLANK($C366),"",IF(ISNUMBER(U366),IF(U366&gt;=0,U366,""),""))</f>
        <v/>
      </c>
      <c r="AW366" s="135" t="str">
        <f aca="false">IF(ISBLANK($C366),"",IF(V366=Constants!$B$3,TRUE(),IF(V366=Constants!$B$4,FALSE(),TRUE())))</f>
        <v/>
      </c>
      <c r="AX366" s="133" t="str">
        <f aca="false">IF(ISBLANK($C366),"",IF(ISNUMBER(W366),IF(W366&gt;=0,W366,""),""))</f>
        <v/>
      </c>
      <c r="AY366" s="133" t="str">
        <f aca="false">IF(ISBLANK($C366),"",IF(X366=Constants!$B$3,TRUE(),IF(X366=Constants!$B$4,FALSE(),FALSE())))</f>
        <v/>
      </c>
      <c r="AZ366" s="133" t="str">
        <f aca="false">IF(ISBLANK($C366),"",MIN(Constants!$B$31,MAX(0,IF(ISNUMBER(Y366),Y366*60,0)+IF(ISNUMBER(Z366),Z366,0))))</f>
        <v/>
      </c>
      <c r="BA366" s="133" t="str">
        <f aca="false">IF(ISBLANK($C366),"",IF(AA366=Constants!$B$3,TRUE(),IF(AA366=Constants!$B$4,FALSE(),FALSE())))</f>
        <v/>
      </c>
      <c r="BB366" s="132" t="str">
        <f aca="false">IF(ISBLANK($C366),"",AND($AL366,OR($AM366="",$AN366="",AND($AO366,$AP366=""))))</f>
        <v/>
      </c>
      <c r="BC366" s="135" t="str">
        <f aca="false">IF($BR366&lt;&gt;Constants!$B$8,"",IF($AL366,Constants!$B$21*$AN366+Constants!$B$22*IF($AO366,$AP366,Constants!$B$23),Constants!$B$24))</f>
        <v/>
      </c>
      <c r="BD366" s="136" t="str">
        <f aca="false">IF($BR366&lt;&gt;Constants!$B$8,"",Constants!$B$25*ABS($AD$9-IF($AL366,$AM366,0)))</f>
        <v/>
      </c>
      <c r="BE366" s="136" t="str">
        <f aca="false">IF($BR366&lt;&gt;Constants!$B$8,"",IF(AND($AL366,$AQ366,$AO366),Constants!$B$27,0))</f>
        <v/>
      </c>
      <c r="BF366" s="136" t="str">
        <f aca="false">IF($BR366&lt;&gt;Constants!$B$8,"",IF($AL366,($AI366-Constants!$B$29)*Constants!$B$28,0))</f>
        <v/>
      </c>
      <c r="BG366" s="136" t="str">
        <f aca="false">IF($BR366&lt;&gt;Constants!$B$8,"",IF($AK366,0,Constants!$B$15)+IF($AJ366,0,Constants!$B$16)+IF($AH366,0,Constants!$B$17))</f>
        <v/>
      </c>
      <c r="BH366" s="137" t="str">
        <f aca="false">IF($BR366&lt;&gt;Constants!$B$8,"",Constants!$B$20+SUM($BC366:$BG366))</f>
        <v/>
      </c>
      <c r="BI366" s="133" t="str">
        <f aca="false">IF($BR366&lt;&gt;Constants!$B$8,"",IF(OR($BP366&lt;$BH366,AND($BP366=$BH366,OR($BK366&lt;$BC366,AND($BK366=$BC366,OR($BL366&lt;$BD366,AND($BL366=$BD366,$AT366,$AL366,$AV366&lt;$AN366)))))),"-&gt;","&lt;-"))</f>
        <v/>
      </c>
      <c r="BJ366" s="132" t="str">
        <f aca="false">IF(ISBLANK($C366),"",AND($AT366,OR($AU366="",$AV366="",AND($AW366,$AX366=""))))</f>
        <v/>
      </c>
      <c r="BK366" s="135" t="str">
        <f aca="false">IF($BR366&lt;&gt;Constants!$B$8,"",IF($AT366,Constants!$B$21*$AV366+Constants!$B$22*IF($AW366,$AX366,Constants!$B$23),Constants!$B$24))</f>
        <v/>
      </c>
      <c r="BL366" s="136" t="str">
        <f aca="false">IF($BR366&lt;&gt;Constants!$B$8,"",Constants!$B$25*ABS($AD$9-IF($AT366,$AU366,0)))</f>
        <v/>
      </c>
      <c r="BM366" s="136" t="str">
        <f aca="false">IF($BR366&lt;&gt;Constants!$B$8,"",IF(AND($AT366,$AY366,$AW366),Constants!$B$27,0))</f>
        <v/>
      </c>
      <c r="BN366" s="136" t="str">
        <f aca="false">IF($BR366&lt;&gt;Constants!$B$8,"",IF($AT366,($AI366-Constants!$B$29)*Constants!$B$28,0))</f>
        <v/>
      </c>
      <c r="BO366" s="136" t="str">
        <f aca="false">IF($BR366&lt;&gt;Constants!$B$8,"",IF($AS366,0,Constants!$B$15)+IF($AR366,0,Constants!$B$16)+IF($AH366,0,Constants!$B$17))</f>
        <v/>
      </c>
      <c r="BP366" s="137" t="str">
        <f aca="false">IF($BR366&lt;&gt;Constants!$B$8,"",Constants!$B$20+SUM($BK366:$BO366))</f>
        <v/>
      </c>
      <c r="BQ366" s="133" t="str">
        <f aca="false">IF(ISBLANK($C366),"",IF(ISBLANK($D$7),$BQ$5,IF(NOT(ISNUMBER($D$7)),$BQ$6,"")))</f>
        <v/>
      </c>
      <c r="BR366" s="133" t="str">
        <f aca="false">IF(ISBLANK($C366),"",IF($BA366,Constants!$B$11,IF(COUNTA($E366:$AA366)=0,Constants!$B$10,IF(NOT($AG366),Constants!$B$9,IF(OR($BQ366&lt;&gt;"",$BB366,$BJ366),Constants!$B$12,Constants!$B$8)))))</f>
        <v/>
      </c>
      <c r="BS366" s="133" t="str">
        <f aca="false">IF(ISBLANK($C366),"",IF($BR366&lt;&gt;Constants!$B$8,$BR366,Constants!$B$13))</f>
        <v/>
      </c>
      <c r="BT366" s="136" t="str">
        <f aca="false">IF($BR366&lt;&gt;Constants!$B$8,"",IF($BI366="-&gt;",$BP366,$BH366))</f>
        <v/>
      </c>
      <c r="BU366" s="136" t="str">
        <f aca="false">IF($BR366&lt;&gt;Constants!$B$8,"",IF($AF366,0,Constants!$B$18))</f>
        <v/>
      </c>
      <c r="BV366" s="136" t="str">
        <f aca="false">IF($BR366&lt;&gt;Constants!$B$8,"",((Constants!$B$31-$AZ366)-Constants!$B$31)/Constants!$B$32)</f>
        <v/>
      </c>
      <c r="BW366" s="136" t="str">
        <f aca="false">IF(ISBLANK($C366),"",IF($BR366&lt;&gt;Constants!$B$8,$BR366,SUM($BT366:$BV366)))</f>
        <v/>
      </c>
      <c r="BX366" s="133" t="str">
        <f aca="false">IF(ISBLANK($C366),"",IF($BR366&lt;&gt;Constants!$B$8,$BR366,RANK($BW366,$BW$9:$BW$508,1)))</f>
        <v/>
      </c>
      <c r="BY366" s="136" t="str">
        <f aca="false">IF($BR366&lt;&gt;Constants!$B$8,"",IF($BI366="-&gt;",$BK366,$BC366))</f>
        <v/>
      </c>
      <c r="BZ366" s="133" t="str">
        <f aca="false">IF(ISBLANK($C366),"",IF($BR366&lt;&gt;Constants!$B$8,$BR366,IF(ISNUMBER($BY366),RANK($BY366,$BY$9:$BY$508,1),COUNT($BY$9:$BY$508)+1)))</f>
        <v/>
      </c>
      <c r="CA366" s="136" t="str">
        <f aca="false">IF($BR366&lt;&gt;Constants!$B$8,"",IF($BI366="-&gt;",$BL366,$BD366))</f>
        <v/>
      </c>
      <c r="CB366" s="133" t="str">
        <f aca="false">IF(ISBLANK($C366),"",IF($BR366&lt;&gt;Constants!$B$8,$BR366,IF(ISNUMBER($CA366),RANK($CA366,$CA$9:$CA$508,1),COUNT($CA$9:$CA$508)+1)))</f>
        <v/>
      </c>
      <c r="CC366" s="136" t="str">
        <f aca="false">IF($BR366&lt;&gt;Constants!$B$8,"",IF($BI366="-&gt;",IF($AT366,$AV366,""),IF($AL366,$AN366,"")))</f>
        <v/>
      </c>
      <c r="CD366" s="133" t="str">
        <f aca="false">IF(ISBLANK($C366),"",IF($BR366&lt;&gt;Constants!$B$8,$BR366,IF(ISNUMBER($CC366),RANK($CC366,$CC$9:$CC$508,1),COUNT($CC$9:$CC$508)+1)))</f>
        <v/>
      </c>
      <c r="CE366" s="136" t="str">
        <f aca="false">IF($BR366&lt;&gt;Constants!$B$8,"",IF(AND(NOT($AL366),NOT($AT366),$AJ366,$AK366,$AR366,$AS366),"",$AI366))</f>
        <v/>
      </c>
      <c r="CF366" s="133" t="str">
        <f aca="false">IF(ISBLANK($C366),"",IF($BR366&lt;&gt;Constants!$B$8,$BR366,IF(ISNUMBER($CE366),RANK($CE366,$CE$9:$CE$508,1),COUNT($CE$9:$CE$508)+1)))</f>
        <v/>
      </c>
      <c r="CG366" s="133" t="str">
        <f aca="false">IF(ISBLANK($C366),"",IF($BR366&lt;&gt;Constants!$B$8,$BR366,COUNTIFS($BX$9:$BX$508,"&lt;"&amp;$BX366)+COUNTIFS($BX$9:$BX$508,$BX366,$BZ$9:$BZ$508,"&lt;"&amp;$BZ366)+COUNTIFS($BX$9:$BX$508,$BX366,$BZ$9:$BZ$508,$BZ366,$CB$9:$CB$508,"&lt;"&amp;$CB366)+COUNTIFS($BX$9:$BX$508,$BX366,$BZ$9:$BZ$508,$BZ366,$CB$9:$CB$508,$CB366,$CD$9:$CD$508,"&lt;"&amp;$CD366)+COUNTIFS($BX$9:$BX$508,$BX366,$BZ$9:$BZ$508,$BZ366,$CB$9:$CB$508,$CB366,$CD$9:$CD$508,$CD366,$CF$9:$CF$508,"&lt;"&amp;$CF366)+1))</f>
        <v/>
      </c>
      <c r="CH366" s="133" t="str">
        <f aca="false">IF(ISBLANK($C366),"",IF($BR366&lt;&gt;Constants!$B$8,$BR366,$BX366-$CG366))</f>
        <v/>
      </c>
      <c r="CI366" s="138"/>
      <c r="CJ366" s="139"/>
      <c r="CK366" s="140" t="str">
        <f aca="false">IF(ISBLANK($C366),"",IF($BR366=Constants!$B$12,$BQ366,""))</f>
        <v/>
      </c>
      <c r="CL366" s="139" t="str">
        <f aca="false">IF(ISBLANK($C366),"",IF($BR366&lt;&gt;Constants!$B$8,"",IF($BI366="-&gt;",2,1)))</f>
        <v/>
      </c>
      <c r="CM366" s="141" t="str">
        <f aca="false">IF(ISBLANK($C366),"",IF($BR366&lt;&gt;Constants!$B$8,"",IF($BI366="-&gt;",$BK366,$BC366)))</f>
        <v/>
      </c>
      <c r="CN366" s="141" t="str">
        <f aca="false">IF(ISBLANK($C366),"",IF($BR366&lt;&gt;Constants!$B$8,"",IF($BI366="-&gt;",$BL366,$BD366)))</f>
        <v/>
      </c>
      <c r="CO366" s="141" t="str">
        <f aca="false">IF(ISBLANK($C366),"",IF($BR366&lt;&gt;Constants!$B$8,"",IF($BI366="-&gt;",$BM366+$BN366,$BE366+$BF366)+$BV366))</f>
        <v/>
      </c>
      <c r="CP366" s="141" t="str">
        <f aca="false">IF(ISBLANK($C366),"",IF($BR366&lt;&gt;Constants!$B$8,"",IF($BI366="-&gt;",$BO366,$BG366)+$BU366))</f>
        <v/>
      </c>
      <c r="CQ366" s="142" t="str">
        <f aca="false">IF(ISBLANK($C366),"",IF($BR366&lt;&gt;Constants!$B$8,$BR366,$BW366))</f>
        <v/>
      </c>
      <c r="CR366" s="143" t="str">
        <f aca="false">IF(ISBLANK($C366),"",$BS366)</f>
        <v/>
      </c>
      <c r="CS366" s="144" t="str">
        <f aca="false">IF(ISBLANK($C366),"",$CH366)</f>
        <v/>
      </c>
      <c r="CT366" s="144" t="str">
        <f aca="false">IF(ISBLANK($C366),"",$CG366)</f>
        <v/>
      </c>
      <c r="CU366" s="145" t="str">
        <f aca="false">IF(ISBLANK($C366),"",IFERROR(_xlfn.SWITCH($CT366,Constants!$B$11,COUNTA($C$9:$C$508)+2,Constants!$B$10,COUNTA($C$9:$C$508)+1,Constants!$B$9,COUNTA($C$9:$C$508)),$CT366))</f>
        <v/>
      </c>
      <c r="CV366" s="9"/>
      <c r="CW366" s="146" t="n">
        <f aca="false">IF(OR(ISNUMBER($CT366),$CT366=Constants!$B$11,$CT366=Constants!$B$9,$CT366=Constants!$B$10),1,0)</f>
        <v>0</v>
      </c>
      <c r="CX366" s="146" t="n">
        <v>358</v>
      </c>
      <c r="CY366" s="146" t="str">
        <f aca="false">IF(ISBLANK($C366),"",IF(ISNUMBER($CU366),$CU366+ROW($B366)/1000,""))</f>
        <v/>
      </c>
      <c r="CZ366" s="146" t="str">
        <f aca="false">IF(ISNUMBER($CY366),RANK($CY366,$CY$9:$CY$508,1),"")</f>
        <v/>
      </c>
      <c r="DA366" s="146" t="str">
        <f aca="false">IF(ISBLANK($C366),"",$B366)</f>
        <v/>
      </c>
      <c r="DB366" s="146" t="str">
        <f aca="false">IF(ISBLANK($C366),"",$C366)</f>
        <v/>
      </c>
      <c r="DC366" s="146" t="str">
        <f aca="false">IF(ISBLANK($C366),"",$D366)</f>
        <v/>
      </c>
      <c r="DD366" s="147" t="str">
        <f aca="false">$CR366</f>
        <v/>
      </c>
      <c r="DE366" s="148" t="str">
        <f aca="false">$CQ366</f>
        <v/>
      </c>
      <c r="DF366" s="146" t="str">
        <f aca="false">IF(ISBLANK($C366),"",$CT366)</f>
        <v/>
      </c>
      <c r="DG366" s="149" t="str">
        <f aca="false">IF($CX366&gt;$CW$8,"",VLOOKUP($CX366,$CZ$9:$DF$508,7,FALSE()))</f>
        <v/>
      </c>
      <c r="DH366" s="150" t="str">
        <f aca="false">IF($CX366&gt;$CW$8,"",VLOOKUP($CX366,$CZ$9:$DF$508,2,FALSE()))</f>
        <v/>
      </c>
      <c r="DI366" s="150" t="str">
        <f aca="false">IF($CX366&gt;$CW$8,"",VLOOKUP($CX366,$CZ$9:$DF$508,3,FALSE()))</f>
        <v/>
      </c>
      <c r="DJ366" s="150" t="str">
        <f aca="false">IF($CX366&gt;$CW$8,"",VLOOKUP($CX366,$CZ$9:$DF$508,4,FALSE()))</f>
        <v/>
      </c>
      <c r="DK366" s="150" t="str">
        <f aca="false">IF($CX366&gt;$CW$8,"",VLOOKUP($CX366,$CZ$9:$DF$508,5,FALSE()))</f>
        <v/>
      </c>
      <c r="DL366" s="151" t="str">
        <f aca="false">IF($CX366&gt;$CW$8,"",VLOOKUP($CX366,$CZ$9:$DF$508,6,FALSE()))</f>
        <v/>
      </c>
      <c r="DM366" s="75"/>
    </row>
    <row r="367" customFormat="false" ht="15.75" hidden="false" customHeight="false" outlineLevel="0" collapsed="false">
      <c r="A367" s="9"/>
      <c r="B367" s="157"/>
      <c r="C367" s="158"/>
      <c r="D367" s="159"/>
      <c r="E367" s="177"/>
      <c r="F367" s="161"/>
      <c r="G367" s="162"/>
      <c r="H367" s="162"/>
      <c r="I367" s="178"/>
      <c r="J367" s="165"/>
      <c r="K367" s="126"/>
      <c r="L367" s="127"/>
      <c r="M367" s="128"/>
      <c r="N367" s="165"/>
      <c r="O367" s="165"/>
      <c r="P367" s="177"/>
      <c r="Q367" s="165"/>
      <c r="R367" s="165"/>
      <c r="S367" s="126"/>
      <c r="T367" s="128"/>
      <c r="U367" s="128"/>
      <c r="V367" s="165"/>
      <c r="W367" s="165"/>
      <c r="X367" s="177"/>
      <c r="Y367" s="165"/>
      <c r="Z367" s="166"/>
      <c r="AA367" s="165"/>
      <c r="AB367" s="132"/>
      <c r="AC367" s="133"/>
      <c r="AD367" s="133"/>
      <c r="AE367" s="133"/>
      <c r="AF367" s="133" t="str">
        <f aca="false">IF(ISBLANK($C367),"",IF(E367=Constants!$B$3,TRUE(),IF(E367=Constants!$B$4,FALSE(),TRUE())))</f>
        <v/>
      </c>
      <c r="AG367" s="133" t="str">
        <f aca="false">IF(ISBLANK($C367),"",IF(F367=Constants!$B$3,TRUE(),IF(F367=Constants!$B$4,FALSE(),TRUE())))</f>
        <v/>
      </c>
      <c r="AH367" s="133" t="str">
        <f aca="false">IF(ISBLANK($C367),"",IF(G367=Constants!$B$3,TRUE(),IF(G367=Constants!$B$4,FALSE(),TRUE())))</f>
        <v/>
      </c>
      <c r="AI367" s="133" t="str">
        <f aca="false">IF(ISBLANK($C367),"",IF(AND(ISNUMBER(H367),H367&gt;=0),H367,Constants!$B$29))</f>
        <v/>
      </c>
      <c r="AJ367" s="133" t="str">
        <f aca="false">IF(ISBLANK($C367),"",IF(I367=Constants!$B$3,TRUE(),IF(I367=Constants!$B$4,FALSE(),TRUE())))</f>
        <v/>
      </c>
      <c r="AK367" s="133" t="str">
        <f aca="false">IF(ISBLANK($C367),"",IF(J367=Constants!$B$3,TRUE(),IF(J367=Constants!$B$4,FALSE(),TRUE())))</f>
        <v/>
      </c>
      <c r="AL367" s="133" t="str">
        <f aca="false">IF(ISBLANK($C367),"",IF(K367=Constants!$B$5,TRUE(),IF(K367=Constants!$B$6,FALSE(),COUNTA(L367:P367)&gt;0)))</f>
        <v/>
      </c>
      <c r="AM367" s="134" t="str">
        <f aca="false">IF(ISBLANK($C367),"",IF(ISNUMBER(L367),IF(L367&gt;=0,L367,""),""))</f>
        <v/>
      </c>
      <c r="AN367" s="135" t="str">
        <f aca="false">IF(ISBLANK($C367),"",IF(ISNUMBER(M367),IF(M367&gt;=0,M367,""),""))</f>
        <v/>
      </c>
      <c r="AO367" s="135" t="str">
        <f aca="false">IF(ISBLANK($C367),"",IF(N367=Constants!$B$3,TRUE(),IF(N367=Constants!$B$4,FALSE(),TRUE())))</f>
        <v/>
      </c>
      <c r="AP367" s="133" t="str">
        <f aca="false">IF(ISBLANK($C367),"",IF(ISNUMBER(O367),IF(O367&gt;=0,O367,""),""))</f>
        <v/>
      </c>
      <c r="AQ367" s="133" t="str">
        <f aca="false">IF(ISBLANK($C367),"",IF(P367=Constants!$B$3,TRUE(),IF(P367=Constants!$B$4,FALSE(),FALSE())))</f>
        <v/>
      </c>
      <c r="AR367" s="133" t="str">
        <f aca="false">IF(ISBLANK($C367),"",IF(Q367=Constants!$B$3,TRUE(),IF(Q367=Constants!$B$4,FALSE(),TRUE())))</f>
        <v/>
      </c>
      <c r="AS367" s="133" t="str">
        <f aca="false">IF(ISBLANK($C367),"",IF(R367=Constants!$B$3,TRUE(),IF(R367=Constants!$B$4,FALSE(),TRUE())))</f>
        <v/>
      </c>
      <c r="AT367" s="133" t="str">
        <f aca="false">IF(ISBLANK($C367),"",IF(S367=Constants!$B$5,TRUE(),IF(S367=Constants!$B$6,FALSE(),COUNTA(T367:X367)&gt;0)))</f>
        <v/>
      </c>
      <c r="AU367" s="134" t="str">
        <f aca="false">IF(ISBLANK($C367),"",IF(ISNUMBER(T367),IF(T367&gt;=0,T367,""),""))</f>
        <v/>
      </c>
      <c r="AV367" s="135" t="str">
        <f aca="false">IF(ISBLANK($C367),"",IF(ISNUMBER(U367),IF(U367&gt;=0,U367,""),""))</f>
        <v/>
      </c>
      <c r="AW367" s="135" t="str">
        <f aca="false">IF(ISBLANK($C367),"",IF(V367=Constants!$B$3,TRUE(),IF(V367=Constants!$B$4,FALSE(),TRUE())))</f>
        <v/>
      </c>
      <c r="AX367" s="133" t="str">
        <f aca="false">IF(ISBLANK($C367),"",IF(ISNUMBER(W367),IF(W367&gt;=0,W367,""),""))</f>
        <v/>
      </c>
      <c r="AY367" s="133" t="str">
        <f aca="false">IF(ISBLANK($C367),"",IF(X367=Constants!$B$3,TRUE(),IF(X367=Constants!$B$4,FALSE(),FALSE())))</f>
        <v/>
      </c>
      <c r="AZ367" s="133" t="str">
        <f aca="false">IF(ISBLANK($C367),"",MIN(Constants!$B$31,MAX(0,IF(ISNUMBER(Y367),Y367*60,0)+IF(ISNUMBER(Z367),Z367,0))))</f>
        <v/>
      </c>
      <c r="BA367" s="133" t="str">
        <f aca="false">IF(ISBLANK($C367),"",IF(AA367=Constants!$B$3,TRUE(),IF(AA367=Constants!$B$4,FALSE(),FALSE())))</f>
        <v/>
      </c>
      <c r="BB367" s="132" t="str">
        <f aca="false">IF(ISBLANK($C367),"",AND($AL367,OR($AM367="",$AN367="",AND($AO367,$AP367=""))))</f>
        <v/>
      </c>
      <c r="BC367" s="135" t="str">
        <f aca="false">IF($BR367&lt;&gt;Constants!$B$8,"",IF($AL367,Constants!$B$21*$AN367+Constants!$B$22*IF($AO367,$AP367,Constants!$B$23),Constants!$B$24))</f>
        <v/>
      </c>
      <c r="BD367" s="136" t="str">
        <f aca="false">IF($BR367&lt;&gt;Constants!$B$8,"",Constants!$B$25*ABS($AD$9-IF($AL367,$AM367,0)))</f>
        <v/>
      </c>
      <c r="BE367" s="136" t="str">
        <f aca="false">IF($BR367&lt;&gt;Constants!$B$8,"",IF(AND($AL367,$AQ367,$AO367),Constants!$B$27,0))</f>
        <v/>
      </c>
      <c r="BF367" s="136" t="str">
        <f aca="false">IF($BR367&lt;&gt;Constants!$B$8,"",IF($AL367,($AI367-Constants!$B$29)*Constants!$B$28,0))</f>
        <v/>
      </c>
      <c r="BG367" s="136" t="str">
        <f aca="false">IF($BR367&lt;&gt;Constants!$B$8,"",IF($AK367,0,Constants!$B$15)+IF($AJ367,0,Constants!$B$16)+IF($AH367,0,Constants!$B$17))</f>
        <v/>
      </c>
      <c r="BH367" s="137" t="str">
        <f aca="false">IF($BR367&lt;&gt;Constants!$B$8,"",Constants!$B$20+SUM($BC367:$BG367))</f>
        <v/>
      </c>
      <c r="BI367" s="133" t="str">
        <f aca="false">IF($BR367&lt;&gt;Constants!$B$8,"",IF(OR($BP367&lt;$BH367,AND($BP367=$BH367,OR($BK367&lt;$BC367,AND($BK367=$BC367,OR($BL367&lt;$BD367,AND($BL367=$BD367,$AT367,$AL367,$AV367&lt;$AN367)))))),"-&gt;","&lt;-"))</f>
        <v/>
      </c>
      <c r="BJ367" s="132" t="str">
        <f aca="false">IF(ISBLANK($C367),"",AND($AT367,OR($AU367="",$AV367="",AND($AW367,$AX367=""))))</f>
        <v/>
      </c>
      <c r="BK367" s="135" t="str">
        <f aca="false">IF($BR367&lt;&gt;Constants!$B$8,"",IF($AT367,Constants!$B$21*$AV367+Constants!$B$22*IF($AW367,$AX367,Constants!$B$23),Constants!$B$24))</f>
        <v/>
      </c>
      <c r="BL367" s="136" t="str">
        <f aca="false">IF($BR367&lt;&gt;Constants!$B$8,"",Constants!$B$25*ABS($AD$9-IF($AT367,$AU367,0)))</f>
        <v/>
      </c>
      <c r="BM367" s="136" t="str">
        <f aca="false">IF($BR367&lt;&gt;Constants!$B$8,"",IF(AND($AT367,$AY367,$AW367),Constants!$B$27,0))</f>
        <v/>
      </c>
      <c r="BN367" s="136" t="str">
        <f aca="false">IF($BR367&lt;&gt;Constants!$B$8,"",IF($AT367,($AI367-Constants!$B$29)*Constants!$B$28,0))</f>
        <v/>
      </c>
      <c r="BO367" s="136" t="str">
        <f aca="false">IF($BR367&lt;&gt;Constants!$B$8,"",IF($AS367,0,Constants!$B$15)+IF($AR367,0,Constants!$B$16)+IF($AH367,0,Constants!$B$17))</f>
        <v/>
      </c>
      <c r="BP367" s="137" t="str">
        <f aca="false">IF($BR367&lt;&gt;Constants!$B$8,"",Constants!$B$20+SUM($BK367:$BO367))</f>
        <v/>
      </c>
      <c r="BQ367" s="133" t="str">
        <f aca="false">IF(ISBLANK($C367),"",IF(ISBLANK($D$7),$BQ$5,IF(NOT(ISNUMBER($D$7)),$BQ$6,"")))</f>
        <v/>
      </c>
      <c r="BR367" s="133" t="str">
        <f aca="false">IF(ISBLANK($C367),"",IF($BA367,Constants!$B$11,IF(COUNTA($E367:$AA367)=0,Constants!$B$10,IF(NOT($AG367),Constants!$B$9,IF(OR($BQ367&lt;&gt;"",$BB367,$BJ367),Constants!$B$12,Constants!$B$8)))))</f>
        <v/>
      </c>
      <c r="BS367" s="133" t="str">
        <f aca="false">IF(ISBLANK($C367),"",IF($BR367&lt;&gt;Constants!$B$8,$BR367,Constants!$B$13))</f>
        <v/>
      </c>
      <c r="BT367" s="136" t="str">
        <f aca="false">IF($BR367&lt;&gt;Constants!$B$8,"",IF($BI367="-&gt;",$BP367,$BH367))</f>
        <v/>
      </c>
      <c r="BU367" s="136" t="str">
        <f aca="false">IF($BR367&lt;&gt;Constants!$B$8,"",IF($AF367,0,Constants!$B$18))</f>
        <v/>
      </c>
      <c r="BV367" s="136" t="str">
        <f aca="false">IF($BR367&lt;&gt;Constants!$B$8,"",((Constants!$B$31-$AZ367)-Constants!$B$31)/Constants!$B$32)</f>
        <v/>
      </c>
      <c r="BW367" s="136" t="str">
        <f aca="false">IF(ISBLANK($C367),"",IF($BR367&lt;&gt;Constants!$B$8,$BR367,SUM($BT367:$BV367)))</f>
        <v/>
      </c>
      <c r="BX367" s="133" t="str">
        <f aca="false">IF(ISBLANK($C367),"",IF($BR367&lt;&gt;Constants!$B$8,$BR367,RANK($BW367,$BW$9:$BW$508,1)))</f>
        <v/>
      </c>
      <c r="BY367" s="136" t="str">
        <f aca="false">IF($BR367&lt;&gt;Constants!$B$8,"",IF($BI367="-&gt;",$BK367,$BC367))</f>
        <v/>
      </c>
      <c r="BZ367" s="133" t="str">
        <f aca="false">IF(ISBLANK($C367),"",IF($BR367&lt;&gt;Constants!$B$8,$BR367,IF(ISNUMBER($BY367),RANK($BY367,$BY$9:$BY$508,1),COUNT($BY$9:$BY$508)+1)))</f>
        <v/>
      </c>
      <c r="CA367" s="136" t="str">
        <f aca="false">IF($BR367&lt;&gt;Constants!$B$8,"",IF($BI367="-&gt;",$BL367,$BD367))</f>
        <v/>
      </c>
      <c r="CB367" s="133" t="str">
        <f aca="false">IF(ISBLANK($C367),"",IF($BR367&lt;&gt;Constants!$B$8,$BR367,IF(ISNUMBER($CA367),RANK($CA367,$CA$9:$CA$508,1),COUNT($CA$9:$CA$508)+1)))</f>
        <v/>
      </c>
      <c r="CC367" s="136" t="str">
        <f aca="false">IF($BR367&lt;&gt;Constants!$B$8,"",IF($BI367="-&gt;",IF($AT367,$AV367,""),IF($AL367,$AN367,"")))</f>
        <v/>
      </c>
      <c r="CD367" s="133" t="str">
        <f aca="false">IF(ISBLANK($C367),"",IF($BR367&lt;&gt;Constants!$B$8,$BR367,IF(ISNUMBER($CC367),RANK($CC367,$CC$9:$CC$508,1),COUNT($CC$9:$CC$508)+1)))</f>
        <v/>
      </c>
      <c r="CE367" s="136" t="str">
        <f aca="false">IF($BR367&lt;&gt;Constants!$B$8,"",IF(AND(NOT($AL367),NOT($AT367),$AJ367,$AK367,$AR367,$AS367),"",$AI367))</f>
        <v/>
      </c>
      <c r="CF367" s="133" t="str">
        <f aca="false">IF(ISBLANK($C367),"",IF($BR367&lt;&gt;Constants!$B$8,$BR367,IF(ISNUMBER($CE367),RANK($CE367,$CE$9:$CE$508,1),COUNT($CE$9:$CE$508)+1)))</f>
        <v/>
      </c>
      <c r="CG367" s="133" t="str">
        <f aca="false">IF(ISBLANK($C367),"",IF($BR367&lt;&gt;Constants!$B$8,$BR367,COUNTIFS($BX$9:$BX$508,"&lt;"&amp;$BX367)+COUNTIFS($BX$9:$BX$508,$BX367,$BZ$9:$BZ$508,"&lt;"&amp;$BZ367)+COUNTIFS($BX$9:$BX$508,$BX367,$BZ$9:$BZ$508,$BZ367,$CB$9:$CB$508,"&lt;"&amp;$CB367)+COUNTIFS($BX$9:$BX$508,$BX367,$BZ$9:$BZ$508,$BZ367,$CB$9:$CB$508,$CB367,$CD$9:$CD$508,"&lt;"&amp;$CD367)+COUNTIFS($BX$9:$BX$508,$BX367,$BZ$9:$BZ$508,$BZ367,$CB$9:$CB$508,$CB367,$CD$9:$CD$508,$CD367,$CF$9:$CF$508,"&lt;"&amp;$CF367)+1))</f>
        <v/>
      </c>
      <c r="CH367" s="133" t="str">
        <f aca="false">IF(ISBLANK($C367),"",IF($BR367&lt;&gt;Constants!$B$8,$BR367,$BX367-$CG367))</f>
        <v/>
      </c>
      <c r="CI367" s="138"/>
      <c r="CJ367" s="139"/>
      <c r="CK367" s="140" t="str">
        <f aca="false">IF(ISBLANK($C367),"",IF($BR367=Constants!$B$12,$BQ367,""))</f>
        <v/>
      </c>
      <c r="CL367" s="139" t="str">
        <f aca="false">IF(ISBLANK($C367),"",IF($BR367&lt;&gt;Constants!$B$8,"",IF($BI367="-&gt;",2,1)))</f>
        <v/>
      </c>
      <c r="CM367" s="141" t="str">
        <f aca="false">IF(ISBLANK($C367),"",IF($BR367&lt;&gt;Constants!$B$8,"",IF($BI367="-&gt;",$BK367,$BC367)))</f>
        <v/>
      </c>
      <c r="CN367" s="141" t="str">
        <f aca="false">IF(ISBLANK($C367),"",IF($BR367&lt;&gt;Constants!$B$8,"",IF($BI367="-&gt;",$BL367,$BD367)))</f>
        <v/>
      </c>
      <c r="CO367" s="141" t="str">
        <f aca="false">IF(ISBLANK($C367),"",IF($BR367&lt;&gt;Constants!$B$8,"",IF($BI367="-&gt;",$BM367+$BN367,$BE367+$BF367)+$BV367))</f>
        <v/>
      </c>
      <c r="CP367" s="141" t="str">
        <f aca="false">IF(ISBLANK($C367),"",IF($BR367&lt;&gt;Constants!$B$8,"",IF($BI367="-&gt;",$BO367,$BG367)+$BU367))</f>
        <v/>
      </c>
      <c r="CQ367" s="142" t="str">
        <f aca="false">IF(ISBLANK($C367),"",IF($BR367&lt;&gt;Constants!$B$8,$BR367,$BW367))</f>
        <v/>
      </c>
      <c r="CR367" s="143" t="str">
        <f aca="false">IF(ISBLANK($C367),"",$BS367)</f>
        <v/>
      </c>
      <c r="CS367" s="144" t="str">
        <f aca="false">IF(ISBLANK($C367),"",$CH367)</f>
        <v/>
      </c>
      <c r="CT367" s="144" t="str">
        <f aca="false">IF(ISBLANK($C367),"",$CG367)</f>
        <v/>
      </c>
      <c r="CU367" s="145" t="str">
        <f aca="false">IF(ISBLANK($C367),"",IFERROR(_xlfn.SWITCH($CT367,Constants!$B$11,COUNTA($C$9:$C$508)+2,Constants!$B$10,COUNTA($C$9:$C$508)+1,Constants!$B$9,COUNTA($C$9:$C$508)),$CT367))</f>
        <v/>
      </c>
      <c r="CV367" s="9"/>
      <c r="CW367" s="146" t="n">
        <f aca="false">IF(OR(ISNUMBER($CT367),$CT367=Constants!$B$11,$CT367=Constants!$B$9,$CT367=Constants!$B$10),1,0)</f>
        <v>0</v>
      </c>
      <c r="CX367" s="146" t="n">
        <v>359</v>
      </c>
      <c r="CY367" s="146" t="str">
        <f aca="false">IF(ISBLANK($C367),"",IF(ISNUMBER($CU367),$CU367+ROW($B367)/1000,""))</f>
        <v/>
      </c>
      <c r="CZ367" s="146" t="str">
        <f aca="false">IF(ISNUMBER($CY367),RANK($CY367,$CY$9:$CY$508,1),"")</f>
        <v/>
      </c>
      <c r="DA367" s="146" t="str">
        <f aca="false">IF(ISBLANK($C367),"",$B367)</f>
        <v/>
      </c>
      <c r="DB367" s="146" t="str">
        <f aca="false">IF(ISBLANK($C367),"",$C367)</f>
        <v/>
      </c>
      <c r="DC367" s="146" t="str">
        <f aca="false">IF(ISBLANK($C367),"",$D367)</f>
        <v/>
      </c>
      <c r="DD367" s="147" t="str">
        <f aca="false">$CR367</f>
        <v/>
      </c>
      <c r="DE367" s="148" t="str">
        <f aca="false">$CQ367</f>
        <v/>
      </c>
      <c r="DF367" s="146" t="str">
        <f aca="false">IF(ISBLANK($C367),"",$CT367)</f>
        <v/>
      </c>
      <c r="DG367" s="149" t="str">
        <f aca="false">IF($CX367&gt;$CW$8,"",VLOOKUP($CX367,$CZ$9:$DF$508,7,FALSE()))</f>
        <v/>
      </c>
      <c r="DH367" s="150" t="str">
        <f aca="false">IF($CX367&gt;$CW$8,"",VLOOKUP($CX367,$CZ$9:$DF$508,2,FALSE()))</f>
        <v/>
      </c>
      <c r="DI367" s="150" t="str">
        <f aca="false">IF($CX367&gt;$CW$8,"",VLOOKUP($CX367,$CZ$9:$DF$508,3,FALSE()))</f>
        <v/>
      </c>
      <c r="DJ367" s="150" t="str">
        <f aca="false">IF($CX367&gt;$CW$8,"",VLOOKUP($CX367,$CZ$9:$DF$508,4,FALSE()))</f>
        <v/>
      </c>
      <c r="DK367" s="150" t="str">
        <f aca="false">IF($CX367&gt;$CW$8,"",VLOOKUP($CX367,$CZ$9:$DF$508,5,FALSE()))</f>
        <v/>
      </c>
      <c r="DL367" s="151" t="str">
        <f aca="false">IF($CX367&gt;$CW$8,"",VLOOKUP($CX367,$CZ$9:$DF$508,6,FALSE()))</f>
        <v/>
      </c>
      <c r="DM367" s="75"/>
    </row>
    <row r="368" customFormat="false" ht="15.75" hidden="false" customHeight="false" outlineLevel="0" collapsed="false">
      <c r="A368" s="9"/>
      <c r="B368" s="157"/>
      <c r="C368" s="158"/>
      <c r="D368" s="159"/>
      <c r="E368" s="177"/>
      <c r="F368" s="161"/>
      <c r="G368" s="162"/>
      <c r="H368" s="162"/>
      <c r="I368" s="178"/>
      <c r="J368" s="165"/>
      <c r="K368" s="126"/>
      <c r="L368" s="127"/>
      <c r="M368" s="128"/>
      <c r="N368" s="165"/>
      <c r="O368" s="165"/>
      <c r="P368" s="177"/>
      <c r="Q368" s="165"/>
      <c r="R368" s="165"/>
      <c r="S368" s="126"/>
      <c r="T368" s="128"/>
      <c r="U368" s="128"/>
      <c r="V368" s="165"/>
      <c r="W368" s="165"/>
      <c r="X368" s="177"/>
      <c r="Y368" s="165"/>
      <c r="Z368" s="166"/>
      <c r="AA368" s="165"/>
      <c r="AB368" s="132"/>
      <c r="AC368" s="133"/>
      <c r="AD368" s="133"/>
      <c r="AE368" s="133"/>
      <c r="AF368" s="133" t="str">
        <f aca="false">IF(ISBLANK($C368),"",IF(E368=Constants!$B$3,TRUE(),IF(E368=Constants!$B$4,FALSE(),TRUE())))</f>
        <v/>
      </c>
      <c r="AG368" s="133" t="str">
        <f aca="false">IF(ISBLANK($C368),"",IF(F368=Constants!$B$3,TRUE(),IF(F368=Constants!$B$4,FALSE(),TRUE())))</f>
        <v/>
      </c>
      <c r="AH368" s="133" t="str">
        <f aca="false">IF(ISBLANK($C368),"",IF(G368=Constants!$B$3,TRUE(),IF(G368=Constants!$B$4,FALSE(),TRUE())))</f>
        <v/>
      </c>
      <c r="AI368" s="133" t="str">
        <f aca="false">IF(ISBLANK($C368),"",IF(AND(ISNUMBER(H368),H368&gt;=0),H368,Constants!$B$29))</f>
        <v/>
      </c>
      <c r="AJ368" s="133" t="str">
        <f aca="false">IF(ISBLANK($C368),"",IF(I368=Constants!$B$3,TRUE(),IF(I368=Constants!$B$4,FALSE(),TRUE())))</f>
        <v/>
      </c>
      <c r="AK368" s="133" t="str">
        <f aca="false">IF(ISBLANK($C368),"",IF(J368=Constants!$B$3,TRUE(),IF(J368=Constants!$B$4,FALSE(),TRUE())))</f>
        <v/>
      </c>
      <c r="AL368" s="133" t="str">
        <f aca="false">IF(ISBLANK($C368),"",IF(K368=Constants!$B$5,TRUE(),IF(K368=Constants!$B$6,FALSE(),COUNTA(L368:P368)&gt;0)))</f>
        <v/>
      </c>
      <c r="AM368" s="134" t="str">
        <f aca="false">IF(ISBLANK($C368),"",IF(ISNUMBER(L368),IF(L368&gt;=0,L368,""),""))</f>
        <v/>
      </c>
      <c r="AN368" s="135" t="str">
        <f aca="false">IF(ISBLANK($C368),"",IF(ISNUMBER(M368),IF(M368&gt;=0,M368,""),""))</f>
        <v/>
      </c>
      <c r="AO368" s="135" t="str">
        <f aca="false">IF(ISBLANK($C368),"",IF(N368=Constants!$B$3,TRUE(),IF(N368=Constants!$B$4,FALSE(),TRUE())))</f>
        <v/>
      </c>
      <c r="AP368" s="133" t="str">
        <f aca="false">IF(ISBLANK($C368),"",IF(ISNUMBER(O368),IF(O368&gt;=0,O368,""),""))</f>
        <v/>
      </c>
      <c r="AQ368" s="133" t="str">
        <f aca="false">IF(ISBLANK($C368),"",IF(P368=Constants!$B$3,TRUE(),IF(P368=Constants!$B$4,FALSE(),FALSE())))</f>
        <v/>
      </c>
      <c r="AR368" s="133" t="str">
        <f aca="false">IF(ISBLANK($C368),"",IF(Q368=Constants!$B$3,TRUE(),IF(Q368=Constants!$B$4,FALSE(),TRUE())))</f>
        <v/>
      </c>
      <c r="AS368" s="133" t="str">
        <f aca="false">IF(ISBLANK($C368),"",IF(R368=Constants!$B$3,TRUE(),IF(R368=Constants!$B$4,FALSE(),TRUE())))</f>
        <v/>
      </c>
      <c r="AT368" s="133" t="str">
        <f aca="false">IF(ISBLANK($C368),"",IF(S368=Constants!$B$5,TRUE(),IF(S368=Constants!$B$6,FALSE(),COUNTA(T368:X368)&gt;0)))</f>
        <v/>
      </c>
      <c r="AU368" s="134" t="str">
        <f aca="false">IF(ISBLANK($C368),"",IF(ISNUMBER(T368),IF(T368&gt;=0,T368,""),""))</f>
        <v/>
      </c>
      <c r="AV368" s="135" t="str">
        <f aca="false">IF(ISBLANK($C368),"",IF(ISNUMBER(U368),IF(U368&gt;=0,U368,""),""))</f>
        <v/>
      </c>
      <c r="AW368" s="135" t="str">
        <f aca="false">IF(ISBLANK($C368),"",IF(V368=Constants!$B$3,TRUE(),IF(V368=Constants!$B$4,FALSE(),TRUE())))</f>
        <v/>
      </c>
      <c r="AX368" s="133" t="str">
        <f aca="false">IF(ISBLANK($C368),"",IF(ISNUMBER(W368),IF(W368&gt;=0,W368,""),""))</f>
        <v/>
      </c>
      <c r="AY368" s="133" t="str">
        <f aca="false">IF(ISBLANK($C368),"",IF(X368=Constants!$B$3,TRUE(),IF(X368=Constants!$B$4,FALSE(),FALSE())))</f>
        <v/>
      </c>
      <c r="AZ368" s="133" t="str">
        <f aca="false">IF(ISBLANK($C368),"",MIN(Constants!$B$31,MAX(0,IF(ISNUMBER(Y368),Y368*60,0)+IF(ISNUMBER(Z368),Z368,0))))</f>
        <v/>
      </c>
      <c r="BA368" s="133" t="str">
        <f aca="false">IF(ISBLANK($C368),"",IF(AA368=Constants!$B$3,TRUE(),IF(AA368=Constants!$B$4,FALSE(),FALSE())))</f>
        <v/>
      </c>
      <c r="BB368" s="132" t="str">
        <f aca="false">IF(ISBLANK($C368),"",AND($AL368,OR($AM368="",$AN368="",AND($AO368,$AP368=""))))</f>
        <v/>
      </c>
      <c r="BC368" s="135" t="str">
        <f aca="false">IF($BR368&lt;&gt;Constants!$B$8,"",IF($AL368,Constants!$B$21*$AN368+Constants!$B$22*IF($AO368,$AP368,Constants!$B$23),Constants!$B$24))</f>
        <v/>
      </c>
      <c r="BD368" s="136" t="str">
        <f aca="false">IF($BR368&lt;&gt;Constants!$B$8,"",Constants!$B$25*ABS($AD$9-IF($AL368,$AM368,0)))</f>
        <v/>
      </c>
      <c r="BE368" s="136" t="str">
        <f aca="false">IF($BR368&lt;&gt;Constants!$B$8,"",IF(AND($AL368,$AQ368,$AO368),Constants!$B$27,0))</f>
        <v/>
      </c>
      <c r="BF368" s="136" t="str">
        <f aca="false">IF($BR368&lt;&gt;Constants!$B$8,"",IF($AL368,($AI368-Constants!$B$29)*Constants!$B$28,0))</f>
        <v/>
      </c>
      <c r="BG368" s="136" t="str">
        <f aca="false">IF($BR368&lt;&gt;Constants!$B$8,"",IF($AK368,0,Constants!$B$15)+IF($AJ368,0,Constants!$B$16)+IF($AH368,0,Constants!$B$17))</f>
        <v/>
      </c>
      <c r="BH368" s="137" t="str">
        <f aca="false">IF($BR368&lt;&gt;Constants!$B$8,"",Constants!$B$20+SUM($BC368:$BG368))</f>
        <v/>
      </c>
      <c r="BI368" s="133" t="str">
        <f aca="false">IF($BR368&lt;&gt;Constants!$B$8,"",IF(OR($BP368&lt;$BH368,AND($BP368=$BH368,OR($BK368&lt;$BC368,AND($BK368=$BC368,OR($BL368&lt;$BD368,AND($BL368=$BD368,$AT368,$AL368,$AV368&lt;$AN368)))))),"-&gt;","&lt;-"))</f>
        <v/>
      </c>
      <c r="BJ368" s="132" t="str">
        <f aca="false">IF(ISBLANK($C368),"",AND($AT368,OR($AU368="",$AV368="",AND($AW368,$AX368=""))))</f>
        <v/>
      </c>
      <c r="BK368" s="135" t="str">
        <f aca="false">IF($BR368&lt;&gt;Constants!$B$8,"",IF($AT368,Constants!$B$21*$AV368+Constants!$B$22*IF($AW368,$AX368,Constants!$B$23),Constants!$B$24))</f>
        <v/>
      </c>
      <c r="BL368" s="136" t="str">
        <f aca="false">IF($BR368&lt;&gt;Constants!$B$8,"",Constants!$B$25*ABS($AD$9-IF($AT368,$AU368,0)))</f>
        <v/>
      </c>
      <c r="BM368" s="136" t="str">
        <f aca="false">IF($BR368&lt;&gt;Constants!$B$8,"",IF(AND($AT368,$AY368,$AW368),Constants!$B$27,0))</f>
        <v/>
      </c>
      <c r="BN368" s="136" t="str">
        <f aca="false">IF($BR368&lt;&gt;Constants!$B$8,"",IF($AT368,($AI368-Constants!$B$29)*Constants!$B$28,0))</f>
        <v/>
      </c>
      <c r="BO368" s="136" t="str">
        <f aca="false">IF($BR368&lt;&gt;Constants!$B$8,"",IF($AS368,0,Constants!$B$15)+IF($AR368,0,Constants!$B$16)+IF($AH368,0,Constants!$B$17))</f>
        <v/>
      </c>
      <c r="BP368" s="137" t="str">
        <f aca="false">IF($BR368&lt;&gt;Constants!$B$8,"",Constants!$B$20+SUM($BK368:$BO368))</f>
        <v/>
      </c>
      <c r="BQ368" s="133" t="str">
        <f aca="false">IF(ISBLANK($C368),"",IF(ISBLANK($D$7),$BQ$5,IF(NOT(ISNUMBER($D$7)),$BQ$6,"")))</f>
        <v/>
      </c>
      <c r="BR368" s="133" t="str">
        <f aca="false">IF(ISBLANK($C368),"",IF($BA368,Constants!$B$11,IF(COUNTA($E368:$AA368)=0,Constants!$B$10,IF(NOT($AG368),Constants!$B$9,IF(OR($BQ368&lt;&gt;"",$BB368,$BJ368),Constants!$B$12,Constants!$B$8)))))</f>
        <v/>
      </c>
      <c r="BS368" s="133" t="str">
        <f aca="false">IF(ISBLANK($C368),"",IF($BR368&lt;&gt;Constants!$B$8,$BR368,Constants!$B$13))</f>
        <v/>
      </c>
      <c r="BT368" s="136" t="str">
        <f aca="false">IF($BR368&lt;&gt;Constants!$B$8,"",IF($BI368="-&gt;",$BP368,$BH368))</f>
        <v/>
      </c>
      <c r="BU368" s="136" t="str">
        <f aca="false">IF($BR368&lt;&gt;Constants!$B$8,"",IF($AF368,0,Constants!$B$18))</f>
        <v/>
      </c>
      <c r="BV368" s="136" t="str">
        <f aca="false">IF($BR368&lt;&gt;Constants!$B$8,"",((Constants!$B$31-$AZ368)-Constants!$B$31)/Constants!$B$32)</f>
        <v/>
      </c>
      <c r="BW368" s="136" t="str">
        <f aca="false">IF(ISBLANK($C368),"",IF($BR368&lt;&gt;Constants!$B$8,$BR368,SUM($BT368:$BV368)))</f>
        <v/>
      </c>
      <c r="BX368" s="133" t="str">
        <f aca="false">IF(ISBLANK($C368),"",IF($BR368&lt;&gt;Constants!$B$8,$BR368,RANK($BW368,$BW$9:$BW$508,1)))</f>
        <v/>
      </c>
      <c r="BY368" s="136" t="str">
        <f aca="false">IF($BR368&lt;&gt;Constants!$B$8,"",IF($BI368="-&gt;",$BK368,$BC368))</f>
        <v/>
      </c>
      <c r="BZ368" s="133" t="str">
        <f aca="false">IF(ISBLANK($C368),"",IF($BR368&lt;&gt;Constants!$B$8,$BR368,IF(ISNUMBER($BY368),RANK($BY368,$BY$9:$BY$508,1),COUNT($BY$9:$BY$508)+1)))</f>
        <v/>
      </c>
      <c r="CA368" s="136" t="str">
        <f aca="false">IF($BR368&lt;&gt;Constants!$B$8,"",IF($BI368="-&gt;",$BL368,$BD368))</f>
        <v/>
      </c>
      <c r="CB368" s="133" t="str">
        <f aca="false">IF(ISBLANK($C368),"",IF($BR368&lt;&gt;Constants!$B$8,$BR368,IF(ISNUMBER($CA368),RANK($CA368,$CA$9:$CA$508,1),COUNT($CA$9:$CA$508)+1)))</f>
        <v/>
      </c>
      <c r="CC368" s="136" t="str">
        <f aca="false">IF($BR368&lt;&gt;Constants!$B$8,"",IF($BI368="-&gt;",IF($AT368,$AV368,""),IF($AL368,$AN368,"")))</f>
        <v/>
      </c>
      <c r="CD368" s="133" t="str">
        <f aca="false">IF(ISBLANK($C368),"",IF($BR368&lt;&gt;Constants!$B$8,$BR368,IF(ISNUMBER($CC368),RANK($CC368,$CC$9:$CC$508,1),COUNT($CC$9:$CC$508)+1)))</f>
        <v/>
      </c>
      <c r="CE368" s="136" t="str">
        <f aca="false">IF($BR368&lt;&gt;Constants!$B$8,"",IF(AND(NOT($AL368),NOT($AT368),$AJ368,$AK368,$AR368,$AS368),"",$AI368))</f>
        <v/>
      </c>
      <c r="CF368" s="133" t="str">
        <f aca="false">IF(ISBLANK($C368),"",IF($BR368&lt;&gt;Constants!$B$8,$BR368,IF(ISNUMBER($CE368),RANK($CE368,$CE$9:$CE$508,1),COUNT($CE$9:$CE$508)+1)))</f>
        <v/>
      </c>
      <c r="CG368" s="133" t="str">
        <f aca="false">IF(ISBLANK($C368),"",IF($BR368&lt;&gt;Constants!$B$8,$BR368,COUNTIFS($BX$9:$BX$508,"&lt;"&amp;$BX368)+COUNTIFS($BX$9:$BX$508,$BX368,$BZ$9:$BZ$508,"&lt;"&amp;$BZ368)+COUNTIFS($BX$9:$BX$508,$BX368,$BZ$9:$BZ$508,$BZ368,$CB$9:$CB$508,"&lt;"&amp;$CB368)+COUNTIFS($BX$9:$BX$508,$BX368,$BZ$9:$BZ$508,$BZ368,$CB$9:$CB$508,$CB368,$CD$9:$CD$508,"&lt;"&amp;$CD368)+COUNTIFS($BX$9:$BX$508,$BX368,$BZ$9:$BZ$508,$BZ368,$CB$9:$CB$508,$CB368,$CD$9:$CD$508,$CD368,$CF$9:$CF$508,"&lt;"&amp;$CF368)+1))</f>
        <v/>
      </c>
      <c r="CH368" s="133" t="str">
        <f aca="false">IF(ISBLANK($C368),"",IF($BR368&lt;&gt;Constants!$B$8,$BR368,$BX368-$CG368))</f>
        <v/>
      </c>
      <c r="CI368" s="138"/>
      <c r="CJ368" s="139"/>
      <c r="CK368" s="140" t="str">
        <f aca="false">IF(ISBLANK($C368),"",IF($BR368=Constants!$B$12,$BQ368,""))</f>
        <v/>
      </c>
      <c r="CL368" s="139" t="str">
        <f aca="false">IF(ISBLANK($C368),"",IF($BR368&lt;&gt;Constants!$B$8,"",IF($BI368="-&gt;",2,1)))</f>
        <v/>
      </c>
      <c r="CM368" s="141" t="str">
        <f aca="false">IF(ISBLANK($C368),"",IF($BR368&lt;&gt;Constants!$B$8,"",IF($BI368="-&gt;",$BK368,$BC368)))</f>
        <v/>
      </c>
      <c r="CN368" s="141" t="str">
        <f aca="false">IF(ISBLANK($C368),"",IF($BR368&lt;&gt;Constants!$B$8,"",IF($BI368="-&gt;",$BL368,$BD368)))</f>
        <v/>
      </c>
      <c r="CO368" s="141" t="str">
        <f aca="false">IF(ISBLANK($C368),"",IF($BR368&lt;&gt;Constants!$B$8,"",IF($BI368="-&gt;",$BM368+$BN368,$BE368+$BF368)+$BV368))</f>
        <v/>
      </c>
      <c r="CP368" s="141" t="str">
        <f aca="false">IF(ISBLANK($C368),"",IF($BR368&lt;&gt;Constants!$B$8,"",IF($BI368="-&gt;",$BO368,$BG368)+$BU368))</f>
        <v/>
      </c>
      <c r="CQ368" s="142" t="str">
        <f aca="false">IF(ISBLANK($C368),"",IF($BR368&lt;&gt;Constants!$B$8,$BR368,$BW368))</f>
        <v/>
      </c>
      <c r="CR368" s="143" t="str">
        <f aca="false">IF(ISBLANK($C368),"",$BS368)</f>
        <v/>
      </c>
      <c r="CS368" s="144" t="str">
        <f aca="false">IF(ISBLANK($C368),"",$CH368)</f>
        <v/>
      </c>
      <c r="CT368" s="144" t="str">
        <f aca="false">IF(ISBLANK($C368),"",$CG368)</f>
        <v/>
      </c>
      <c r="CU368" s="145" t="str">
        <f aca="false">IF(ISBLANK($C368),"",IFERROR(_xlfn.SWITCH($CT368,Constants!$B$11,COUNTA($C$9:$C$508)+2,Constants!$B$10,COUNTA($C$9:$C$508)+1,Constants!$B$9,COUNTA($C$9:$C$508)),$CT368))</f>
        <v/>
      </c>
      <c r="CV368" s="9"/>
      <c r="CW368" s="146" t="n">
        <f aca="false">IF(OR(ISNUMBER($CT368),$CT368=Constants!$B$11,$CT368=Constants!$B$9,$CT368=Constants!$B$10),1,0)</f>
        <v>0</v>
      </c>
      <c r="CX368" s="146" t="n">
        <v>360</v>
      </c>
      <c r="CY368" s="146" t="str">
        <f aca="false">IF(ISBLANK($C368),"",IF(ISNUMBER($CU368),$CU368+ROW($B368)/1000,""))</f>
        <v/>
      </c>
      <c r="CZ368" s="146" t="str">
        <f aca="false">IF(ISNUMBER($CY368),RANK($CY368,$CY$9:$CY$508,1),"")</f>
        <v/>
      </c>
      <c r="DA368" s="146" t="str">
        <f aca="false">IF(ISBLANK($C368),"",$B368)</f>
        <v/>
      </c>
      <c r="DB368" s="146" t="str">
        <f aca="false">IF(ISBLANK($C368),"",$C368)</f>
        <v/>
      </c>
      <c r="DC368" s="146" t="str">
        <f aca="false">IF(ISBLANK($C368),"",$D368)</f>
        <v/>
      </c>
      <c r="DD368" s="147" t="str">
        <f aca="false">$CR368</f>
        <v/>
      </c>
      <c r="DE368" s="148" t="str">
        <f aca="false">$CQ368</f>
        <v/>
      </c>
      <c r="DF368" s="146" t="str">
        <f aca="false">IF(ISBLANK($C368),"",$CT368)</f>
        <v/>
      </c>
      <c r="DG368" s="149" t="str">
        <f aca="false">IF($CX368&gt;$CW$8,"",VLOOKUP($CX368,$CZ$9:$DF$508,7,FALSE()))</f>
        <v/>
      </c>
      <c r="DH368" s="150" t="str">
        <f aca="false">IF($CX368&gt;$CW$8,"",VLOOKUP($CX368,$CZ$9:$DF$508,2,FALSE()))</f>
        <v/>
      </c>
      <c r="DI368" s="150" t="str">
        <f aca="false">IF($CX368&gt;$CW$8,"",VLOOKUP($CX368,$CZ$9:$DF$508,3,FALSE()))</f>
        <v/>
      </c>
      <c r="DJ368" s="150" t="str">
        <f aca="false">IF($CX368&gt;$CW$8,"",VLOOKUP($CX368,$CZ$9:$DF$508,4,FALSE()))</f>
        <v/>
      </c>
      <c r="DK368" s="150" t="str">
        <f aca="false">IF($CX368&gt;$CW$8,"",VLOOKUP($CX368,$CZ$9:$DF$508,5,FALSE()))</f>
        <v/>
      </c>
      <c r="DL368" s="151" t="str">
        <f aca="false">IF($CX368&gt;$CW$8,"",VLOOKUP($CX368,$CZ$9:$DF$508,6,FALSE()))</f>
        <v/>
      </c>
      <c r="DM368" s="75"/>
    </row>
    <row r="369" customFormat="false" ht="15.75" hidden="false" customHeight="false" outlineLevel="0" collapsed="false">
      <c r="A369" s="9"/>
      <c r="B369" s="77"/>
      <c r="C369" s="78"/>
      <c r="D369" s="167"/>
      <c r="E369" s="175"/>
      <c r="F369" s="169"/>
      <c r="G369" s="170"/>
      <c r="H369" s="170"/>
      <c r="I369" s="176"/>
      <c r="J369" s="173"/>
      <c r="K369" s="85"/>
      <c r="L369" s="86"/>
      <c r="M369" s="87"/>
      <c r="N369" s="173"/>
      <c r="O369" s="173"/>
      <c r="P369" s="175"/>
      <c r="Q369" s="173"/>
      <c r="R369" s="173"/>
      <c r="S369" s="85"/>
      <c r="T369" s="87"/>
      <c r="U369" s="87"/>
      <c r="V369" s="173"/>
      <c r="W369" s="173"/>
      <c r="X369" s="175"/>
      <c r="Y369" s="173"/>
      <c r="Z369" s="174"/>
      <c r="AA369" s="173"/>
      <c r="AB369" s="91"/>
      <c r="AC369" s="92"/>
      <c r="AD369" s="92"/>
      <c r="AE369" s="92"/>
      <c r="AF369" s="92" t="str">
        <f aca="false">IF(ISBLANK($C369),"",IF(E369=Constants!$B$3,TRUE(),IF(E369=Constants!$B$4,FALSE(),TRUE())))</f>
        <v/>
      </c>
      <c r="AG369" s="92" t="str">
        <f aca="false">IF(ISBLANK($C369),"",IF(F369=Constants!$B$3,TRUE(),IF(F369=Constants!$B$4,FALSE(),TRUE())))</f>
        <v/>
      </c>
      <c r="AH369" s="92" t="str">
        <f aca="false">IF(ISBLANK($C369),"",IF(G369=Constants!$B$3,TRUE(),IF(G369=Constants!$B$4,FALSE(),TRUE())))</f>
        <v/>
      </c>
      <c r="AI369" s="92" t="str">
        <f aca="false">IF(ISBLANK($C369),"",IF(AND(ISNUMBER(H369),H369&gt;=0),H369,Constants!$B$29))</f>
        <v/>
      </c>
      <c r="AJ369" s="92" t="str">
        <f aca="false">IF(ISBLANK($C369),"",IF(I369=Constants!$B$3,TRUE(),IF(I369=Constants!$B$4,FALSE(),TRUE())))</f>
        <v/>
      </c>
      <c r="AK369" s="92" t="str">
        <f aca="false">IF(ISBLANK($C369),"",IF(J369=Constants!$B$3,TRUE(),IF(J369=Constants!$B$4,FALSE(),TRUE())))</f>
        <v/>
      </c>
      <c r="AL369" s="92" t="str">
        <f aca="false">IF(ISBLANK($C369),"",IF(K369=Constants!$B$5,TRUE(),IF(K369=Constants!$B$6,FALSE(),COUNTA(L369:P369)&gt;0)))</f>
        <v/>
      </c>
      <c r="AM369" s="94" t="str">
        <f aca="false">IF(ISBLANK($C369),"",IF(ISNUMBER(L369),IF(L369&gt;=0,L369,""),""))</f>
        <v/>
      </c>
      <c r="AN369" s="93" t="str">
        <f aca="false">IF(ISBLANK($C369),"",IF(ISNUMBER(M369),IF(M369&gt;=0,M369,""),""))</f>
        <v/>
      </c>
      <c r="AO369" s="93" t="str">
        <f aca="false">IF(ISBLANK($C369),"",IF(N369=Constants!$B$3,TRUE(),IF(N369=Constants!$B$4,FALSE(),TRUE())))</f>
        <v/>
      </c>
      <c r="AP369" s="92" t="str">
        <f aca="false">IF(ISBLANK($C369),"",IF(ISNUMBER(O369),IF(O369&gt;=0,O369,""),""))</f>
        <v/>
      </c>
      <c r="AQ369" s="92" t="str">
        <f aca="false">IF(ISBLANK($C369),"",IF(P369=Constants!$B$3,TRUE(),IF(P369=Constants!$B$4,FALSE(),FALSE())))</f>
        <v/>
      </c>
      <c r="AR369" s="92" t="str">
        <f aca="false">IF(ISBLANK($C369),"",IF(Q369=Constants!$B$3,TRUE(),IF(Q369=Constants!$B$4,FALSE(),TRUE())))</f>
        <v/>
      </c>
      <c r="AS369" s="92" t="str">
        <f aca="false">IF(ISBLANK($C369),"",IF(R369=Constants!$B$3,TRUE(),IF(R369=Constants!$B$4,FALSE(),TRUE())))</f>
        <v/>
      </c>
      <c r="AT369" s="92" t="str">
        <f aca="false">IF(ISBLANK($C369),"",IF(S369=Constants!$B$5,TRUE(),IF(S369=Constants!$B$6,FALSE(),COUNTA(T369:X369)&gt;0)))</f>
        <v/>
      </c>
      <c r="AU369" s="94" t="str">
        <f aca="false">IF(ISBLANK($C369),"",IF(ISNUMBER(T369),IF(T369&gt;=0,T369,""),""))</f>
        <v/>
      </c>
      <c r="AV369" s="93" t="str">
        <f aca="false">IF(ISBLANK($C369),"",IF(ISNUMBER(U369),IF(U369&gt;=0,U369,""),""))</f>
        <v/>
      </c>
      <c r="AW369" s="93" t="str">
        <f aca="false">IF(ISBLANK($C369),"",IF(V369=Constants!$B$3,TRUE(),IF(V369=Constants!$B$4,FALSE(),TRUE())))</f>
        <v/>
      </c>
      <c r="AX369" s="92" t="str">
        <f aca="false">IF(ISBLANK($C369),"",IF(ISNUMBER(W369),IF(W369&gt;=0,W369,""),""))</f>
        <v/>
      </c>
      <c r="AY369" s="92" t="str">
        <f aca="false">IF(ISBLANK($C369),"",IF(X369=Constants!$B$3,TRUE(),IF(X369=Constants!$B$4,FALSE(),FALSE())))</f>
        <v/>
      </c>
      <c r="AZ369" s="92" t="str">
        <f aca="false">IF(ISBLANK($C369),"",MIN(Constants!$B$31,MAX(0,IF(ISNUMBER(Y369),Y369*60,0)+IF(ISNUMBER(Z369),Z369,0))))</f>
        <v/>
      </c>
      <c r="BA369" s="92" t="str">
        <f aca="false">IF(ISBLANK($C369),"",IF(AA369=Constants!$B$3,TRUE(),IF(AA369=Constants!$B$4,FALSE(),FALSE())))</f>
        <v/>
      </c>
      <c r="BB369" s="91" t="str">
        <f aca="false">IF(ISBLANK($C369),"",AND($AL369,OR($AM369="",$AN369="",AND($AO369,$AP369=""))))</f>
        <v/>
      </c>
      <c r="BC369" s="93" t="str">
        <f aca="false">IF($BR369&lt;&gt;Constants!$B$8,"",IF($AL369,Constants!$B$21*$AN369+Constants!$B$22*IF($AO369,$AP369,Constants!$B$23),Constants!$B$24))</f>
        <v/>
      </c>
      <c r="BD369" s="96" t="str">
        <f aca="false">IF($BR369&lt;&gt;Constants!$B$8,"",Constants!$B$25*ABS($AD$9-IF($AL369,$AM369,0)))</f>
        <v/>
      </c>
      <c r="BE369" s="96" t="str">
        <f aca="false">IF($BR369&lt;&gt;Constants!$B$8,"",IF(AND($AL369,$AQ369,$AO369),Constants!$B$27,0))</f>
        <v/>
      </c>
      <c r="BF369" s="96" t="str">
        <f aca="false">IF($BR369&lt;&gt;Constants!$B$8,"",IF($AL369,($AI369-Constants!$B$29)*Constants!$B$28,0))</f>
        <v/>
      </c>
      <c r="BG369" s="96" t="str">
        <f aca="false">IF($BR369&lt;&gt;Constants!$B$8,"",IF($AK369,0,Constants!$B$15)+IF($AJ369,0,Constants!$B$16)+IF($AH369,0,Constants!$B$17))</f>
        <v/>
      </c>
      <c r="BH369" s="97" t="str">
        <f aca="false">IF($BR369&lt;&gt;Constants!$B$8,"",Constants!$B$20+SUM($BC369:$BG369))</f>
        <v/>
      </c>
      <c r="BI369" s="92" t="str">
        <f aca="false">IF($BR369&lt;&gt;Constants!$B$8,"",IF(OR($BP369&lt;$BH369,AND($BP369=$BH369,OR($BK369&lt;$BC369,AND($BK369=$BC369,OR($BL369&lt;$BD369,AND($BL369=$BD369,$AT369,$AL369,$AV369&lt;$AN369)))))),"-&gt;","&lt;-"))</f>
        <v/>
      </c>
      <c r="BJ369" s="91" t="str">
        <f aca="false">IF(ISBLANK($C369),"",AND($AT369,OR($AU369="",$AV369="",AND($AW369,$AX369=""))))</f>
        <v/>
      </c>
      <c r="BK369" s="93" t="str">
        <f aca="false">IF($BR369&lt;&gt;Constants!$B$8,"",IF($AT369,Constants!$B$21*$AV369+Constants!$B$22*IF($AW369,$AX369,Constants!$B$23),Constants!$B$24))</f>
        <v/>
      </c>
      <c r="BL369" s="96" t="str">
        <f aca="false">IF($BR369&lt;&gt;Constants!$B$8,"",Constants!$B$25*ABS($AD$9-IF($AT369,$AU369,0)))</f>
        <v/>
      </c>
      <c r="BM369" s="96" t="str">
        <f aca="false">IF($BR369&lt;&gt;Constants!$B$8,"",IF(AND($AT369,$AY369,$AW369),Constants!$B$27,0))</f>
        <v/>
      </c>
      <c r="BN369" s="96" t="str">
        <f aca="false">IF($BR369&lt;&gt;Constants!$B$8,"",IF($AT369,($AI369-Constants!$B$29)*Constants!$B$28,0))</f>
        <v/>
      </c>
      <c r="BO369" s="96" t="str">
        <f aca="false">IF($BR369&lt;&gt;Constants!$B$8,"",IF($AS369,0,Constants!$B$15)+IF($AR369,0,Constants!$B$16)+IF($AH369,0,Constants!$B$17))</f>
        <v/>
      </c>
      <c r="BP369" s="97" t="str">
        <f aca="false">IF($BR369&lt;&gt;Constants!$B$8,"",Constants!$B$20+SUM($BK369:$BO369))</f>
        <v/>
      </c>
      <c r="BQ369" s="92" t="str">
        <f aca="false">IF(ISBLANK($C369),"",IF(ISBLANK($D$7),$BQ$5,IF(NOT(ISNUMBER($D$7)),$BQ$6,"")))</f>
        <v/>
      </c>
      <c r="BR369" s="92" t="str">
        <f aca="false">IF(ISBLANK($C369),"",IF($BA369,Constants!$B$11,IF(COUNTA($E369:$AA369)=0,Constants!$B$10,IF(NOT($AG369),Constants!$B$9,IF(OR($BQ369&lt;&gt;"",$BB369,$BJ369),Constants!$B$12,Constants!$B$8)))))</f>
        <v/>
      </c>
      <c r="BS369" s="92" t="str">
        <f aca="false">IF(ISBLANK($C369),"",IF($BR369&lt;&gt;Constants!$B$8,$BR369,Constants!$B$13))</f>
        <v/>
      </c>
      <c r="BT369" s="96" t="str">
        <f aca="false">IF($BR369&lt;&gt;Constants!$B$8,"",IF($BI369="-&gt;",$BP369,$BH369))</f>
        <v/>
      </c>
      <c r="BU369" s="96" t="str">
        <f aca="false">IF($BR369&lt;&gt;Constants!$B$8,"",IF($AF369,0,Constants!$B$18))</f>
        <v/>
      </c>
      <c r="BV369" s="96" t="str">
        <f aca="false">IF($BR369&lt;&gt;Constants!$B$8,"",((Constants!$B$31-$AZ369)-Constants!$B$31)/Constants!$B$32)</f>
        <v/>
      </c>
      <c r="BW369" s="96" t="str">
        <f aca="false">IF(ISBLANK($C369),"",IF($BR369&lt;&gt;Constants!$B$8,$BR369,SUM($BT369:$BV369)))</f>
        <v/>
      </c>
      <c r="BX369" s="92" t="str">
        <f aca="false">IF(ISBLANK($C369),"",IF($BR369&lt;&gt;Constants!$B$8,$BR369,RANK($BW369,$BW$9:$BW$508,1)))</f>
        <v/>
      </c>
      <c r="BY369" s="96" t="str">
        <f aca="false">IF($BR369&lt;&gt;Constants!$B$8,"",IF($BI369="-&gt;",$BK369,$BC369))</f>
        <v/>
      </c>
      <c r="BZ369" s="92" t="str">
        <f aca="false">IF(ISBLANK($C369),"",IF($BR369&lt;&gt;Constants!$B$8,$BR369,IF(ISNUMBER($BY369),RANK($BY369,$BY$9:$BY$508,1),COUNT($BY$9:$BY$508)+1)))</f>
        <v/>
      </c>
      <c r="CA369" s="96" t="str">
        <f aca="false">IF($BR369&lt;&gt;Constants!$B$8,"",IF($BI369="-&gt;",$BL369,$BD369))</f>
        <v/>
      </c>
      <c r="CB369" s="92" t="str">
        <f aca="false">IF(ISBLANK($C369),"",IF($BR369&lt;&gt;Constants!$B$8,$BR369,IF(ISNUMBER($CA369),RANK($CA369,$CA$9:$CA$508,1),COUNT($CA$9:$CA$508)+1)))</f>
        <v/>
      </c>
      <c r="CC369" s="96" t="str">
        <f aca="false">IF($BR369&lt;&gt;Constants!$B$8,"",IF($BI369="-&gt;",IF($AT369,$AV369,""),IF($AL369,$AN369,"")))</f>
        <v/>
      </c>
      <c r="CD369" s="92" t="str">
        <f aca="false">IF(ISBLANK($C369),"",IF($BR369&lt;&gt;Constants!$B$8,$BR369,IF(ISNUMBER($CC369),RANK($CC369,$CC$9:$CC$508,1),COUNT($CC$9:$CC$508)+1)))</f>
        <v/>
      </c>
      <c r="CE369" s="96" t="str">
        <f aca="false">IF($BR369&lt;&gt;Constants!$B$8,"",IF(AND(NOT($AL369),NOT($AT369),$AJ369,$AK369,$AR369,$AS369),"",$AI369))</f>
        <v/>
      </c>
      <c r="CF369" s="92" t="str">
        <f aca="false">IF(ISBLANK($C369),"",IF($BR369&lt;&gt;Constants!$B$8,$BR369,IF(ISNUMBER($CE369),RANK($CE369,$CE$9:$CE$508,1),COUNT($CE$9:$CE$508)+1)))</f>
        <v/>
      </c>
      <c r="CG369" s="92" t="str">
        <f aca="false">IF(ISBLANK($C369),"",IF($BR369&lt;&gt;Constants!$B$8,$BR369,COUNTIFS($BX$9:$BX$508,"&lt;"&amp;$BX369)+COUNTIFS($BX$9:$BX$508,$BX369,$BZ$9:$BZ$508,"&lt;"&amp;$BZ369)+COUNTIFS($BX$9:$BX$508,$BX369,$BZ$9:$BZ$508,$BZ369,$CB$9:$CB$508,"&lt;"&amp;$CB369)+COUNTIFS($BX$9:$BX$508,$BX369,$BZ$9:$BZ$508,$BZ369,$CB$9:$CB$508,$CB369,$CD$9:$CD$508,"&lt;"&amp;$CD369)+COUNTIFS($BX$9:$BX$508,$BX369,$BZ$9:$BZ$508,$BZ369,$CB$9:$CB$508,$CB369,$CD$9:$CD$508,$CD369,$CF$9:$CF$508,"&lt;"&amp;$CF369)+1))</f>
        <v/>
      </c>
      <c r="CH369" s="92" t="str">
        <f aca="false">IF(ISBLANK($C369),"",IF($BR369&lt;&gt;Constants!$B$8,$BR369,$BX369-$CG369))</f>
        <v/>
      </c>
      <c r="CI369" s="98"/>
      <c r="CJ369" s="99"/>
      <c r="CK369" s="100" t="str">
        <f aca="false">IF(ISBLANK($C369),"",IF($BR369=Constants!$B$12,$BQ369,""))</f>
        <v/>
      </c>
      <c r="CL369" s="99" t="str">
        <f aca="false">IF(ISBLANK($C369),"",IF($BR369&lt;&gt;Constants!$B$8,"",IF($BI369="-&gt;",2,1)))</f>
        <v/>
      </c>
      <c r="CM369" s="101" t="str">
        <f aca="false">IF(ISBLANK($C369),"",IF($BR369&lt;&gt;Constants!$B$8,"",IF($BI369="-&gt;",$BK369,$BC369)))</f>
        <v/>
      </c>
      <c r="CN369" s="101" t="str">
        <f aca="false">IF(ISBLANK($C369),"",IF($BR369&lt;&gt;Constants!$B$8,"",IF($BI369="-&gt;",$BL369,$BD369)))</f>
        <v/>
      </c>
      <c r="CO369" s="101" t="str">
        <f aca="false">IF(ISBLANK($C369),"",IF($BR369&lt;&gt;Constants!$B$8,"",IF($BI369="-&gt;",$BM369+$BN369,$BE369+$BF369)+$BV369))</f>
        <v/>
      </c>
      <c r="CP369" s="101" t="str">
        <f aca="false">IF(ISBLANK($C369),"",IF($BR369&lt;&gt;Constants!$B$8,"",IF($BI369="-&gt;",$BO369,$BG369)+$BU369))</f>
        <v/>
      </c>
      <c r="CQ369" s="102" t="str">
        <f aca="false">IF(ISBLANK($C369),"",IF($BR369&lt;&gt;Constants!$B$8,$BR369,$BW369))</f>
        <v/>
      </c>
      <c r="CR369" s="103" t="str">
        <f aca="false">IF(ISBLANK($C369),"",$BS369)</f>
        <v/>
      </c>
      <c r="CS369" s="104" t="str">
        <f aca="false">IF(ISBLANK($C369),"",$CH369)</f>
        <v/>
      </c>
      <c r="CT369" s="104" t="str">
        <f aca="false">IF(ISBLANK($C369),"",$CG369)</f>
        <v/>
      </c>
      <c r="CU369" s="105" t="str">
        <f aca="false">IF(ISBLANK($C369),"",IFERROR(_xlfn.SWITCH($CT369,Constants!$B$11,COUNTA($C$9:$C$508)+2,Constants!$B$10,COUNTA($C$9:$C$508)+1,Constants!$B$9,COUNTA($C$9:$C$508)),$CT369))</f>
        <v/>
      </c>
      <c r="CV369" s="9"/>
      <c r="CW369" s="106" t="n">
        <f aca="false">IF(OR(ISNUMBER($CT369),$CT369=Constants!$B$11,$CT369=Constants!$B$9,$CT369=Constants!$B$10),1,0)</f>
        <v>0</v>
      </c>
      <c r="CX369" s="106" t="n">
        <v>361</v>
      </c>
      <c r="CY369" s="106" t="str">
        <f aca="false">IF(ISBLANK($C369),"",IF(ISNUMBER($CU369),$CU369+ROW($B369)/1000,""))</f>
        <v/>
      </c>
      <c r="CZ369" s="106" t="str">
        <f aca="false">IF(ISNUMBER($CY369),RANK($CY369,$CY$9:$CY$508,1),"")</f>
        <v/>
      </c>
      <c r="DA369" s="106" t="str">
        <f aca="false">IF(ISBLANK($C369),"",$B369)</f>
        <v/>
      </c>
      <c r="DB369" s="106" t="str">
        <f aca="false">IF(ISBLANK($C369),"",$C369)</f>
        <v/>
      </c>
      <c r="DC369" s="106" t="str">
        <f aca="false">IF(ISBLANK($C369),"",$D369)</f>
        <v/>
      </c>
      <c r="DD369" s="107" t="str">
        <f aca="false">$CR369</f>
        <v/>
      </c>
      <c r="DE369" s="108" t="str">
        <f aca="false">$CQ369</f>
        <v/>
      </c>
      <c r="DF369" s="106" t="str">
        <f aca="false">IF(ISBLANK($C369),"",$CT369)</f>
        <v/>
      </c>
      <c r="DG369" s="109" t="str">
        <f aca="false">IF($CX369&gt;$CW$8,"",VLOOKUP($CX369,$CZ$9:$DF$508,7,FALSE()))</f>
        <v/>
      </c>
      <c r="DH369" s="110" t="str">
        <f aca="false">IF($CX369&gt;$CW$8,"",VLOOKUP($CX369,$CZ$9:$DF$508,2,FALSE()))</f>
        <v/>
      </c>
      <c r="DI369" s="110" t="str">
        <f aca="false">IF($CX369&gt;$CW$8,"",VLOOKUP($CX369,$CZ$9:$DF$508,3,FALSE()))</f>
        <v/>
      </c>
      <c r="DJ369" s="110" t="str">
        <f aca="false">IF($CX369&gt;$CW$8,"",VLOOKUP($CX369,$CZ$9:$DF$508,4,FALSE()))</f>
        <v/>
      </c>
      <c r="DK369" s="110" t="str">
        <f aca="false">IF($CX369&gt;$CW$8,"",VLOOKUP($CX369,$CZ$9:$DF$508,5,FALSE()))</f>
        <v/>
      </c>
      <c r="DL369" s="111" t="str">
        <f aca="false">IF($CX369&gt;$CW$8,"",VLOOKUP($CX369,$CZ$9:$DF$508,6,FALSE()))</f>
        <v/>
      </c>
      <c r="DM369" s="75"/>
    </row>
    <row r="370" customFormat="false" ht="15.75" hidden="false" customHeight="false" outlineLevel="0" collapsed="false">
      <c r="A370" s="9"/>
      <c r="B370" s="77"/>
      <c r="C370" s="78"/>
      <c r="D370" s="167"/>
      <c r="E370" s="175"/>
      <c r="F370" s="169"/>
      <c r="G370" s="170"/>
      <c r="H370" s="170"/>
      <c r="I370" s="176"/>
      <c r="J370" s="173"/>
      <c r="K370" s="85"/>
      <c r="L370" s="86"/>
      <c r="M370" s="87"/>
      <c r="N370" s="173"/>
      <c r="O370" s="173"/>
      <c r="P370" s="175"/>
      <c r="Q370" s="173"/>
      <c r="R370" s="173"/>
      <c r="S370" s="85"/>
      <c r="T370" s="87"/>
      <c r="U370" s="87"/>
      <c r="V370" s="173"/>
      <c r="W370" s="173"/>
      <c r="X370" s="175"/>
      <c r="Y370" s="173"/>
      <c r="Z370" s="174"/>
      <c r="AA370" s="173"/>
      <c r="AB370" s="91"/>
      <c r="AC370" s="92"/>
      <c r="AD370" s="92"/>
      <c r="AE370" s="92"/>
      <c r="AF370" s="92" t="str">
        <f aca="false">IF(ISBLANK($C370),"",IF(E370=Constants!$B$3,TRUE(),IF(E370=Constants!$B$4,FALSE(),TRUE())))</f>
        <v/>
      </c>
      <c r="AG370" s="92" t="str">
        <f aca="false">IF(ISBLANK($C370),"",IF(F370=Constants!$B$3,TRUE(),IF(F370=Constants!$B$4,FALSE(),TRUE())))</f>
        <v/>
      </c>
      <c r="AH370" s="92" t="str">
        <f aca="false">IF(ISBLANK($C370),"",IF(G370=Constants!$B$3,TRUE(),IF(G370=Constants!$B$4,FALSE(),TRUE())))</f>
        <v/>
      </c>
      <c r="AI370" s="92" t="str">
        <f aca="false">IF(ISBLANK($C370),"",IF(AND(ISNUMBER(H370),H370&gt;=0),H370,Constants!$B$29))</f>
        <v/>
      </c>
      <c r="AJ370" s="92" t="str">
        <f aca="false">IF(ISBLANK($C370),"",IF(I370=Constants!$B$3,TRUE(),IF(I370=Constants!$B$4,FALSE(),TRUE())))</f>
        <v/>
      </c>
      <c r="AK370" s="92" t="str">
        <f aca="false">IF(ISBLANK($C370),"",IF(J370=Constants!$B$3,TRUE(),IF(J370=Constants!$B$4,FALSE(),TRUE())))</f>
        <v/>
      </c>
      <c r="AL370" s="92" t="str">
        <f aca="false">IF(ISBLANK($C370),"",IF(K370=Constants!$B$5,TRUE(),IF(K370=Constants!$B$6,FALSE(),COUNTA(L370:P370)&gt;0)))</f>
        <v/>
      </c>
      <c r="AM370" s="94" t="str">
        <f aca="false">IF(ISBLANK($C370),"",IF(ISNUMBER(L370),IF(L370&gt;=0,L370,""),""))</f>
        <v/>
      </c>
      <c r="AN370" s="93" t="str">
        <f aca="false">IF(ISBLANK($C370),"",IF(ISNUMBER(M370),IF(M370&gt;=0,M370,""),""))</f>
        <v/>
      </c>
      <c r="AO370" s="93" t="str">
        <f aca="false">IF(ISBLANK($C370),"",IF(N370=Constants!$B$3,TRUE(),IF(N370=Constants!$B$4,FALSE(),TRUE())))</f>
        <v/>
      </c>
      <c r="AP370" s="92" t="str">
        <f aca="false">IF(ISBLANK($C370),"",IF(ISNUMBER(O370),IF(O370&gt;=0,O370,""),""))</f>
        <v/>
      </c>
      <c r="AQ370" s="92" t="str">
        <f aca="false">IF(ISBLANK($C370),"",IF(P370=Constants!$B$3,TRUE(),IF(P370=Constants!$B$4,FALSE(),FALSE())))</f>
        <v/>
      </c>
      <c r="AR370" s="92" t="str">
        <f aca="false">IF(ISBLANK($C370),"",IF(Q370=Constants!$B$3,TRUE(),IF(Q370=Constants!$B$4,FALSE(),TRUE())))</f>
        <v/>
      </c>
      <c r="AS370" s="92" t="str">
        <f aca="false">IF(ISBLANK($C370),"",IF(R370=Constants!$B$3,TRUE(),IF(R370=Constants!$B$4,FALSE(),TRUE())))</f>
        <v/>
      </c>
      <c r="AT370" s="92" t="str">
        <f aca="false">IF(ISBLANK($C370),"",IF(S370=Constants!$B$5,TRUE(),IF(S370=Constants!$B$6,FALSE(),COUNTA(T370:X370)&gt;0)))</f>
        <v/>
      </c>
      <c r="AU370" s="94" t="str">
        <f aca="false">IF(ISBLANK($C370),"",IF(ISNUMBER(T370),IF(T370&gt;=0,T370,""),""))</f>
        <v/>
      </c>
      <c r="AV370" s="93" t="str">
        <f aca="false">IF(ISBLANK($C370),"",IF(ISNUMBER(U370),IF(U370&gt;=0,U370,""),""))</f>
        <v/>
      </c>
      <c r="AW370" s="93" t="str">
        <f aca="false">IF(ISBLANK($C370),"",IF(V370=Constants!$B$3,TRUE(),IF(V370=Constants!$B$4,FALSE(),TRUE())))</f>
        <v/>
      </c>
      <c r="AX370" s="92" t="str">
        <f aca="false">IF(ISBLANK($C370),"",IF(ISNUMBER(W370),IF(W370&gt;=0,W370,""),""))</f>
        <v/>
      </c>
      <c r="AY370" s="92" t="str">
        <f aca="false">IF(ISBLANK($C370),"",IF(X370=Constants!$B$3,TRUE(),IF(X370=Constants!$B$4,FALSE(),FALSE())))</f>
        <v/>
      </c>
      <c r="AZ370" s="92" t="str">
        <f aca="false">IF(ISBLANK($C370),"",MIN(Constants!$B$31,MAX(0,IF(ISNUMBER(Y370),Y370*60,0)+IF(ISNUMBER(Z370),Z370,0))))</f>
        <v/>
      </c>
      <c r="BA370" s="92" t="str">
        <f aca="false">IF(ISBLANK($C370),"",IF(AA370=Constants!$B$3,TRUE(),IF(AA370=Constants!$B$4,FALSE(),FALSE())))</f>
        <v/>
      </c>
      <c r="BB370" s="91" t="str">
        <f aca="false">IF(ISBLANK($C370),"",AND($AL370,OR($AM370="",$AN370="",AND($AO370,$AP370=""))))</f>
        <v/>
      </c>
      <c r="BC370" s="93" t="str">
        <f aca="false">IF($BR370&lt;&gt;Constants!$B$8,"",IF($AL370,Constants!$B$21*$AN370+Constants!$B$22*IF($AO370,$AP370,Constants!$B$23),Constants!$B$24))</f>
        <v/>
      </c>
      <c r="BD370" s="96" t="str">
        <f aca="false">IF($BR370&lt;&gt;Constants!$B$8,"",Constants!$B$25*ABS($AD$9-IF($AL370,$AM370,0)))</f>
        <v/>
      </c>
      <c r="BE370" s="96" t="str">
        <f aca="false">IF($BR370&lt;&gt;Constants!$B$8,"",IF(AND($AL370,$AQ370,$AO370),Constants!$B$27,0))</f>
        <v/>
      </c>
      <c r="BF370" s="96" t="str">
        <f aca="false">IF($BR370&lt;&gt;Constants!$B$8,"",IF($AL370,($AI370-Constants!$B$29)*Constants!$B$28,0))</f>
        <v/>
      </c>
      <c r="BG370" s="96" t="str">
        <f aca="false">IF($BR370&lt;&gt;Constants!$B$8,"",IF($AK370,0,Constants!$B$15)+IF($AJ370,0,Constants!$B$16)+IF($AH370,0,Constants!$B$17))</f>
        <v/>
      </c>
      <c r="BH370" s="97" t="str">
        <f aca="false">IF($BR370&lt;&gt;Constants!$B$8,"",Constants!$B$20+SUM($BC370:$BG370))</f>
        <v/>
      </c>
      <c r="BI370" s="92" t="str">
        <f aca="false">IF($BR370&lt;&gt;Constants!$B$8,"",IF(OR($BP370&lt;$BH370,AND($BP370=$BH370,OR($BK370&lt;$BC370,AND($BK370=$BC370,OR($BL370&lt;$BD370,AND($BL370=$BD370,$AT370,$AL370,$AV370&lt;$AN370)))))),"-&gt;","&lt;-"))</f>
        <v/>
      </c>
      <c r="BJ370" s="91" t="str">
        <f aca="false">IF(ISBLANK($C370),"",AND($AT370,OR($AU370="",$AV370="",AND($AW370,$AX370=""))))</f>
        <v/>
      </c>
      <c r="BK370" s="93" t="str">
        <f aca="false">IF($BR370&lt;&gt;Constants!$B$8,"",IF($AT370,Constants!$B$21*$AV370+Constants!$B$22*IF($AW370,$AX370,Constants!$B$23),Constants!$B$24))</f>
        <v/>
      </c>
      <c r="BL370" s="96" t="str">
        <f aca="false">IF($BR370&lt;&gt;Constants!$B$8,"",Constants!$B$25*ABS($AD$9-IF($AT370,$AU370,0)))</f>
        <v/>
      </c>
      <c r="BM370" s="96" t="str">
        <f aca="false">IF($BR370&lt;&gt;Constants!$B$8,"",IF(AND($AT370,$AY370,$AW370),Constants!$B$27,0))</f>
        <v/>
      </c>
      <c r="BN370" s="96" t="str">
        <f aca="false">IF($BR370&lt;&gt;Constants!$B$8,"",IF($AT370,($AI370-Constants!$B$29)*Constants!$B$28,0))</f>
        <v/>
      </c>
      <c r="BO370" s="96" t="str">
        <f aca="false">IF($BR370&lt;&gt;Constants!$B$8,"",IF($AS370,0,Constants!$B$15)+IF($AR370,0,Constants!$B$16)+IF($AH370,0,Constants!$B$17))</f>
        <v/>
      </c>
      <c r="BP370" s="97" t="str">
        <f aca="false">IF($BR370&lt;&gt;Constants!$B$8,"",Constants!$B$20+SUM($BK370:$BO370))</f>
        <v/>
      </c>
      <c r="BQ370" s="92" t="str">
        <f aca="false">IF(ISBLANK($C370),"",IF(ISBLANK($D$7),$BQ$5,IF(NOT(ISNUMBER($D$7)),$BQ$6,"")))</f>
        <v/>
      </c>
      <c r="BR370" s="92" t="str">
        <f aca="false">IF(ISBLANK($C370),"",IF($BA370,Constants!$B$11,IF(COUNTA($E370:$AA370)=0,Constants!$B$10,IF(NOT($AG370),Constants!$B$9,IF(OR($BQ370&lt;&gt;"",$BB370,$BJ370),Constants!$B$12,Constants!$B$8)))))</f>
        <v/>
      </c>
      <c r="BS370" s="92" t="str">
        <f aca="false">IF(ISBLANK($C370),"",IF($BR370&lt;&gt;Constants!$B$8,$BR370,Constants!$B$13))</f>
        <v/>
      </c>
      <c r="BT370" s="96" t="str">
        <f aca="false">IF($BR370&lt;&gt;Constants!$B$8,"",IF($BI370="-&gt;",$BP370,$BH370))</f>
        <v/>
      </c>
      <c r="BU370" s="96" t="str">
        <f aca="false">IF($BR370&lt;&gt;Constants!$B$8,"",IF($AF370,0,Constants!$B$18))</f>
        <v/>
      </c>
      <c r="BV370" s="96" t="str">
        <f aca="false">IF($BR370&lt;&gt;Constants!$B$8,"",((Constants!$B$31-$AZ370)-Constants!$B$31)/Constants!$B$32)</f>
        <v/>
      </c>
      <c r="BW370" s="96" t="str">
        <f aca="false">IF(ISBLANK($C370),"",IF($BR370&lt;&gt;Constants!$B$8,$BR370,SUM($BT370:$BV370)))</f>
        <v/>
      </c>
      <c r="BX370" s="92" t="str">
        <f aca="false">IF(ISBLANK($C370),"",IF($BR370&lt;&gt;Constants!$B$8,$BR370,RANK($BW370,$BW$9:$BW$508,1)))</f>
        <v/>
      </c>
      <c r="BY370" s="96" t="str">
        <f aca="false">IF($BR370&lt;&gt;Constants!$B$8,"",IF($BI370="-&gt;",$BK370,$BC370))</f>
        <v/>
      </c>
      <c r="BZ370" s="92" t="str">
        <f aca="false">IF(ISBLANK($C370),"",IF($BR370&lt;&gt;Constants!$B$8,$BR370,IF(ISNUMBER($BY370),RANK($BY370,$BY$9:$BY$508,1),COUNT($BY$9:$BY$508)+1)))</f>
        <v/>
      </c>
      <c r="CA370" s="96" t="str">
        <f aca="false">IF($BR370&lt;&gt;Constants!$B$8,"",IF($BI370="-&gt;",$BL370,$BD370))</f>
        <v/>
      </c>
      <c r="CB370" s="92" t="str">
        <f aca="false">IF(ISBLANK($C370),"",IF($BR370&lt;&gt;Constants!$B$8,$BR370,IF(ISNUMBER($CA370),RANK($CA370,$CA$9:$CA$508,1),COUNT($CA$9:$CA$508)+1)))</f>
        <v/>
      </c>
      <c r="CC370" s="96" t="str">
        <f aca="false">IF($BR370&lt;&gt;Constants!$B$8,"",IF($BI370="-&gt;",IF($AT370,$AV370,""),IF($AL370,$AN370,"")))</f>
        <v/>
      </c>
      <c r="CD370" s="92" t="str">
        <f aca="false">IF(ISBLANK($C370),"",IF($BR370&lt;&gt;Constants!$B$8,$BR370,IF(ISNUMBER($CC370),RANK($CC370,$CC$9:$CC$508,1),COUNT($CC$9:$CC$508)+1)))</f>
        <v/>
      </c>
      <c r="CE370" s="96" t="str">
        <f aca="false">IF($BR370&lt;&gt;Constants!$B$8,"",IF(AND(NOT($AL370),NOT($AT370),$AJ370,$AK370,$AR370,$AS370),"",$AI370))</f>
        <v/>
      </c>
      <c r="CF370" s="92" t="str">
        <f aca="false">IF(ISBLANK($C370),"",IF($BR370&lt;&gt;Constants!$B$8,$BR370,IF(ISNUMBER($CE370),RANK($CE370,$CE$9:$CE$508,1),COUNT($CE$9:$CE$508)+1)))</f>
        <v/>
      </c>
      <c r="CG370" s="92" t="str">
        <f aca="false">IF(ISBLANK($C370),"",IF($BR370&lt;&gt;Constants!$B$8,$BR370,COUNTIFS($BX$9:$BX$508,"&lt;"&amp;$BX370)+COUNTIFS($BX$9:$BX$508,$BX370,$BZ$9:$BZ$508,"&lt;"&amp;$BZ370)+COUNTIFS($BX$9:$BX$508,$BX370,$BZ$9:$BZ$508,$BZ370,$CB$9:$CB$508,"&lt;"&amp;$CB370)+COUNTIFS($BX$9:$BX$508,$BX370,$BZ$9:$BZ$508,$BZ370,$CB$9:$CB$508,$CB370,$CD$9:$CD$508,"&lt;"&amp;$CD370)+COUNTIFS($BX$9:$BX$508,$BX370,$BZ$9:$BZ$508,$BZ370,$CB$9:$CB$508,$CB370,$CD$9:$CD$508,$CD370,$CF$9:$CF$508,"&lt;"&amp;$CF370)+1))</f>
        <v/>
      </c>
      <c r="CH370" s="92" t="str">
        <f aca="false">IF(ISBLANK($C370),"",IF($BR370&lt;&gt;Constants!$B$8,$BR370,$BX370-$CG370))</f>
        <v/>
      </c>
      <c r="CI370" s="98"/>
      <c r="CJ370" s="99"/>
      <c r="CK370" s="100" t="str">
        <f aca="false">IF(ISBLANK($C370),"",IF($BR370=Constants!$B$12,$BQ370,""))</f>
        <v/>
      </c>
      <c r="CL370" s="99" t="str">
        <f aca="false">IF(ISBLANK($C370),"",IF($BR370&lt;&gt;Constants!$B$8,"",IF($BI370="-&gt;",2,1)))</f>
        <v/>
      </c>
      <c r="CM370" s="101" t="str">
        <f aca="false">IF(ISBLANK($C370),"",IF($BR370&lt;&gt;Constants!$B$8,"",IF($BI370="-&gt;",$BK370,$BC370)))</f>
        <v/>
      </c>
      <c r="CN370" s="101" t="str">
        <f aca="false">IF(ISBLANK($C370),"",IF($BR370&lt;&gt;Constants!$B$8,"",IF($BI370="-&gt;",$BL370,$BD370)))</f>
        <v/>
      </c>
      <c r="CO370" s="101" t="str">
        <f aca="false">IF(ISBLANK($C370),"",IF($BR370&lt;&gt;Constants!$B$8,"",IF($BI370="-&gt;",$BM370+$BN370,$BE370+$BF370)+$BV370))</f>
        <v/>
      </c>
      <c r="CP370" s="101" t="str">
        <f aca="false">IF(ISBLANK($C370),"",IF($BR370&lt;&gt;Constants!$B$8,"",IF($BI370="-&gt;",$BO370,$BG370)+$BU370))</f>
        <v/>
      </c>
      <c r="CQ370" s="102" t="str">
        <f aca="false">IF(ISBLANK($C370),"",IF($BR370&lt;&gt;Constants!$B$8,$BR370,$BW370))</f>
        <v/>
      </c>
      <c r="CR370" s="103" t="str">
        <f aca="false">IF(ISBLANK($C370),"",$BS370)</f>
        <v/>
      </c>
      <c r="CS370" s="104" t="str">
        <f aca="false">IF(ISBLANK($C370),"",$CH370)</f>
        <v/>
      </c>
      <c r="CT370" s="104" t="str">
        <f aca="false">IF(ISBLANK($C370),"",$CG370)</f>
        <v/>
      </c>
      <c r="CU370" s="105" t="str">
        <f aca="false">IF(ISBLANK($C370),"",IFERROR(_xlfn.SWITCH($CT370,Constants!$B$11,COUNTA($C$9:$C$508)+2,Constants!$B$10,COUNTA($C$9:$C$508)+1,Constants!$B$9,COUNTA($C$9:$C$508)),$CT370))</f>
        <v/>
      </c>
      <c r="CV370" s="9"/>
      <c r="CW370" s="106" t="n">
        <f aca="false">IF(OR(ISNUMBER($CT370),$CT370=Constants!$B$11,$CT370=Constants!$B$9,$CT370=Constants!$B$10),1,0)</f>
        <v>0</v>
      </c>
      <c r="CX370" s="106" t="n">
        <v>362</v>
      </c>
      <c r="CY370" s="106" t="str">
        <f aca="false">IF(ISBLANK($C370),"",IF(ISNUMBER($CU370),$CU370+ROW($B370)/1000,""))</f>
        <v/>
      </c>
      <c r="CZ370" s="106" t="str">
        <f aca="false">IF(ISNUMBER($CY370),RANK($CY370,$CY$9:$CY$508,1),"")</f>
        <v/>
      </c>
      <c r="DA370" s="106" t="str">
        <f aca="false">IF(ISBLANK($C370),"",$B370)</f>
        <v/>
      </c>
      <c r="DB370" s="106" t="str">
        <f aca="false">IF(ISBLANK($C370),"",$C370)</f>
        <v/>
      </c>
      <c r="DC370" s="106" t="str">
        <f aca="false">IF(ISBLANK($C370),"",$D370)</f>
        <v/>
      </c>
      <c r="DD370" s="107" t="str">
        <f aca="false">$CR370</f>
        <v/>
      </c>
      <c r="DE370" s="108" t="str">
        <f aca="false">$CQ370</f>
        <v/>
      </c>
      <c r="DF370" s="106" t="str">
        <f aca="false">IF(ISBLANK($C370),"",$CT370)</f>
        <v/>
      </c>
      <c r="DG370" s="109" t="str">
        <f aca="false">IF($CX370&gt;$CW$8,"",VLOOKUP($CX370,$CZ$9:$DF$508,7,FALSE()))</f>
        <v/>
      </c>
      <c r="DH370" s="110" t="str">
        <f aca="false">IF($CX370&gt;$CW$8,"",VLOOKUP($CX370,$CZ$9:$DF$508,2,FALSE()))</f>
        <v/>
      </c>
      <c r="DI370" s="110" t="str">
        <f aca="false">IF($CX370&gt;$CW$8,"",VLOOKUP($CX370,$CZ$9:$DF$508,3,FALSE()))</f>
        <v/>
      </c>
      <c r="DJ370" s="110" t="str">
        <f aca="false">IF($CX370&gt;$CW$8,"",VLOOKUP($CX370,$CZ$9:$DF$508,4,FALSE()))</f>
        <v/>
      </c>
      <c r="DK370" s="110" t="str">
        <f aca="false">IF($CX370&gt;$CW$8,"",VLOOKUP($CX370,$CZ$9:$DF$508,5,FALSE()))</f>
        <v/>
      </c>
      <c r="DL370" s="111" t="str">
        <f aca="false">IF($CX370&gt;$CW$8,"",VLOOKUP($CX370,$CZ$9:$DF$508,6,FALSE()))</f>
        <v/>
      </c>
      <c r="DM370" s="75"/>
    </row>
    <row r="371" customFormat="false" ht="15.75" hidden="false" customHeight="false" outlineLevel="0" collapsed="false">
      <c r="A371" s="9"/>
      <c r="B371" s="77"/>
      <c r="C371" s="78"/>
      <c r="D371" s="167"/>
      <c r="E371" s="175"/>
      <c r="F371" s="169"/>
      <c r="G371" s="170"/>
      <c r="H371" s="170"/>
      <c r="I371" s="176"/>
      <c r="J371" s="173"/>
      <c r="K371" s="85"/>
      <c r="L371" s="86"/>
      <c r="M371" s="87"/>
      <c r="N371" s="173"/>
      <c r="O371" s="173"/>
      <c r="P371" s="175"/>
      <c r="Q371" s="173"/>
      <c r="R371" s="173"/>
      <c r="S371" s="85"/>
      <c r="T371" s="87"/>
      <c r="U371" s="87"/>
      <c r="V371" s="173"/>
      <c r="W371" s="173"/>
      <c r="X371" s="175"/>
      <c r="Y371" s="173"/>
      <c r="Z371" s="174"/>
      <c r="AA371" s="173"/>
      <c r="AB371" s="91"/>
      <c r="AC371" s="92"/>
      <c r="AD371" s="92"/>
      <c r="AE371" s="92"/>
      <c r="AF371" s="92" t="str">
        <f aca="false">IF(ISBLANK($C371),"",IF(E371=Constants!$B$3,TRUE(),IF(E371=Constants!$B$4,FALSE(),TRUE())))</f>
        <v/>
      </c>
      <c r="AG371" s="92" t="str">
        <f aca="false">IF(ISBLANK($C371),"",IF(F371=Constants!$B$3,TRUE(),IF(F371=Constants!$B$4,FALSE(),TRUE())))</f>
        <v/>
      </c>
      <c r="AH371" s="92" t="str">
        <f aca="false">IF(ISBLANK($C371),"",IF(G371=Constants!$B$3,TRUE(),IF(G371=Constants!$B$4,FALSE(),TRUE())))</f>
        <v/>
      </c>
      <c r="AI371" s="92" t="str">
        <f aca="false">IF(ISBLANK($C371),"",IF(AND(ISNUMBER(H371),H371&gt;=0),H371,Constants!$B$29))</f>
        <v/>
      </c>
      <c r="AJ371" s="92" t="str">
        <f aca="false">IF(ISBLANK($C371),"",IF(I371=Constants!$B$3,TRUE(),IF(I371=Constants!$B$4,FALSE(),TRUE())))</f>
        <v/>
      </c>
      <c r="AK371" s="92" t="str">
        <f aca="false">IF(ISBLANK($C371),"",IF(J371=Constants!$B$3,TRUE(),IF(J371=Constants!$B$4,FALSE(),TRUE())))</f>
        <v/>
      </c>
      <c r="AL371" s="92" t="str">
        <f aca="false">IF(ISBLANK($C371),"",IF(K371=Constants!$B$5,TRUE(),IF(K371=Constants!$B$6,FALSE(),COUNTA(L371:P371)&gt;0)))</f>
        <v/>
      </c>
      <c r="AM371" s="94" t="str">
        <f aca="false">IF(ISBLANK($C371),"",IF(ISNUMBER(L371),IF(L371&gt;=0,L371,""),""))</f>
        <v/>
      </c>
      <c r="AN371" s="93" t="str">
        <f aca="false">IF(ISBLANK($C371),"",IF(ISNUMBER(M371),IF(M371&gt;=0,M371,""),""))</f>
        <v/>
      </c>
      <c r="AO371" s="93" t="str">
        <f aca="false">IF(ISBLANK($C371),"",IF(N371=Constants!$B$3,TRUE(),IF(N371=Constants!$B$4,FALSE(),TRUE())))</f>
        <v/>
      </c>
      <c r="AP371" s="92" t="str">
        <f aca="false">IF(ISBLANK($C371),"",IF(ISNUMBER(O371),IF(O371&gt;=0,O371,""),""))</f>
        <v/>
      </c>
      <c r="AQ371" s="92" t="str">
        <f aca="false">IF(ISBLANK($C371),"",IF(P371=Constants!$B$3,TRUE(),IF(P371=Constants!$B$4,FALSE(),FALSE())))</f>
        <v/>
      </c>
      <c r="AR371" s="92" t="str">
        <f aca="false">IF(ISBLANK($C371),"",IF(Q371=Constants!$B$3,TRUE(),IF(Q371=Constants!$B$4,FALSE(),TRUE())))</f>
        <v/>
      </c>
      <c r="AS371" s="92" t="str">
        <f aca="false">IF(ISBLANK($C371),"",IF(R371=Constants!$B$3,TRUE(),IF(R371=Constants!$B$4,FALSE(),TRUE())))</f>
        <v/>
      </c>
      <c r="AT371" s="92" t="str">
        <f aca="false">IF(ISBLANK($C371),"",IF(S371=Constants!$B$5,TRUE(),IF(S371=Constants!$B$6,FALSE(),COUNTA(T371:X371)&gt;0)))</f>
        <v/>
      </c>
      <c r="AU371" s="94" t="str">
        <f aca="false">IF(ISBLANK($C371),"",IF(ISNUMBER(T371),IF(T371&gt;=0,T371,""),""))</f>
        <v/>
      </c>
      <c r="AV371" s="93" t="str">
        <f aca="false">IF(ISBLANK($C371),"",IF(ISNUMBER(U371),IF(U371&gt;=0,U371,""),""))</f>
        <v/>
      </c>
      <c r="AW371" s="93" t="str">
        <f aca="false">IF(ISBLANK($C371),"",IF(V371=Constants!$B$3,TRUE(),IF(V371=Constants!$B$4,FALSE(),TRUE())))</f>
        <v/>
      </c>
      <c r="AX371" s="92" t="str">
        <f aca="false">IF(ISBLANK($C371),"",IF(ISNUMBER(W371),IF(W371&gt;=0,W371,""),""))</f>
        <v/>
      </c>
      <c r="AY371" s="92" t="str">
        <f aca="false">IF(ISBLANK($C371),"",IF(X371=Constants!$B$3,TRUE(),IF(X371=Constants!$B$4,FALSE(),FALSE())))</f>
        <v/>
      </c>
      <c r="AZ371" s="92" t="str">
        <f aca="false">IF(ISBLANK($C371),"",MIN(Constants!$B$31,MAX(0,IF(ISNUMBER(Y371),Y371*60,0)+IF(ISNUMBER(Z371),Z371,0))))</f>
        <v/>
      </c>
      <c r="BA371" s="92" t="str">
        <f aca="false">IF(ISBLANK($C371),"",IF(AA371=Constants!$B$3,TRUE(),IF(AA371=Constants!$B$4,FALSE(),FALSE())))</f>
        <v/>
      </c>
      <c r="BB371" s="91" t="str">
        <f aca="false">IF(ISBLANK($C371),"",AND($AL371,OR($AM371="",$AN371="",AND($AO371,$AP371=""))))</f>
        <v/>
      </c>
      <c r="BC371" s="93" t="str">
        <f aca="false">IF($BR371&lt;&gt;Constants!$B$8,"",IF($AL371,Constants!$B$21*$AN371+Constants!$B$22*IF($AO371,$AP371,Constants!$B$23),Constants!$B$24))</f>
        <v/>
      </c>
      <c r="BD371" s="96" t="str">
        <f aca="false">IF($BR371&lt;&gt;Constants!$B$8,"",Constants!$B$25*ABS($AD$9-IF($AL371,$AM371,0)))</f>
        <v/>
      </c>
      <c r="BE371" s="96" t="str">
        <f aca="false">IF($BR371&lt;&gt;Constants!$B$8,"",IF(AND($AL371,$AQ371,$AO371),Constants!$B$27,0))</f>
        <v/>
      </c>
      <c r="BF371" s="96" t="str">
        <f aca="false">IF($BR371&lt;&gt;Constants!$B$8,"",IF($AL371,($AI371-Constants!$B$29)*Constants!$B$28,0))</f>
        <v/>
      </c>
      <c r="BG371" s="96" t="str">
        <f aca="false">IF($BR371&lt;&gt;Constants!$B$8,"",IF($AK371,0,Constants!$B$15)+IF($AJ371,0,Constants!$B$16)+IF($AH371,0,Constants!$B$17))</f>
        <v/>
      </c>
      <c r="BH371" s="97" t="str">
        <f aca="false">IF($BR371&lt;&gt;Constants!$B$8,"",Constants!$B$20+SUM($BC371:$BG371))</f>
        <v/>
      </c>
      <c r="BI371" s="92" t="str">
        <f aca="false">IF($BR371&lt;&gt;Constants!$B$8,"",IF(OR($BP371&lt;$BH371,AND($BP371=$BH371,OR($BK371&lt;$BC371,AND($BK371=$BC371,OR($BL371&lt;$BD371,AND($BL371=$BD371,$AT371,$AL371,$AV371&lt;$AN371)))))),"-&gt;","&lt;-"))</f>
        <v/>
      </c>
      <c r="BJ371" s="91" t="str">
        <f aca="false">IF(ISBLANK($C371),"",AND($AT371,OR($AU371="",$AV371="",AND($AW371,$AX371=""))))</f>
        <v/>
      </c>
      <c r="BK371" s="93" t="str">
        <f aca="false">IF($BR371&lt;&gt;Constants!$B$8,"",IF($AT371,Constants!$B$21*$AV371+Constants!$B$22*IF($AW371,$AX371,Constants!$B$23),Constants!$B$24))</f>
        <v/>
      </c>
      <c r="BL371" s="96" t="str">
        <f aca="false">IF($BR371&lt;&gt;Constants!$B$8,"",Constants!$B$25*ABS($AD$9-IF($AT371,$AU371,0)))</f>
        <v/>
      </c>
      <c r="BM371" s="96" t="str">
        <f aca="false">IF($BR371&lt;&gt;Constants!$B$8,"",IF(AND($AT371,$AY371,$AW371),Constants!$B$27,0))</f>
        <v/>
      </c>
      <c r="BN371" s="96" t="str">
        <f aca="false">IF($BR371&lt;&gt;Constants!$B$8,"",IF($AT371,($AI371-Constants!$B$29)*Constants!$B$28,0))</f>
        <v/>
      </c>
      <c r="BO371" s="96" t="str">
        <f aca="false">IF($BR371&lt;&gt;Constants!$B$8,"",IF($AS371,0,Constants!$B$15)+IF($AR371,0,Constants!$B$16)+IF($AH371,0,Constants!$B$17))</f>
        <v/>
      </c>
      <c r="BP371" s="97" t="str">
        <f aca="false">IF($BR371&lt;&gt;Constants!$B$8,"",Constants!$B$20+SUM($BK371:$BO371))</f>
        <v/>
      </c>
      <c r="BQ371" s="92" t="str">
        <f aca="false">IF(ISBLANK($C371),"",IF(ISBLANK($D$7),$BQ$5,IF(NOT(ISNUMBER($D$7)),$BQ$6,"")))</f>
        <v/>
      </c>
      <c r="BR371" s="92" t="str">
        <f aca="false">IF(ISBLANK($C371),"",IF($BA371,Constants!$B$11,IF(COUNTA($E371:$AA371)=0,Constants!$B$10,IF(NOT($AG371),Constants!$B$9,IF(OR($BQ371&lt;&gt;"",$BB371,$BJ371),Constants!$B$12,Constants!$B$8)))))</f>
        <v/>
      </c>
      <c r="BS371" s="92" t="str">
        <f aca="false">IF(ISBLANK($C371),"",IF($BR371&lt;&gt;Constants!$B$8,$BR371,Constants!$B$13))</f>
        <v/>
      </c>
      <c r="BT371" s="96" t="str">
        <f aca="false">IF($BR371&lt;&gt;Constants!$B$8,"",IF($BI371="-&gt;",$BP371,$BH371))</f>
        <v/>
      </c>
      <c r="BU371" s="96" t="str">
        <f aca="false">IF($BR371&lt;&gt;Constants!$B$8,"",IF($AF371,0,Constants!$B$18))</f>
        <v/>
      </c>
      <c r="BV371" s="96" t="str">
        <f aca="false">IF($BR371&lt;&gt;Constants!$B$8,"",((Constants!$B$31-$AZ371)-Constants!$B$31)/Constants!$B$32)</f>
        <v/>
      </c>
      <c r="BW371" s="96" t="str">
        <f aca="false">IF(ISBLANK($C371),"",IF($BR371&lt;&gt;Constants!$B$8,$BR371,SUM($BT371:$BV371)))</f>
        <v/>
      </c>
      <c r="BX371" s="92" t="str">
        <f aca="false">IF(ISBLANK($C371),"",IF($BR371&lt;&gt;Constants!$B$8,$BR371,RANK($BW371,$BW$9:$BW$508,1)))</f>
        <v/>
      </c>
      <c r="BY371" s="96" t="str">
        <f aca="false">IF($BR371&lt;&gt;Constants!$B$8,"",IF($BI371="-&gt;",$BK371,$BC371))</f>
        <v/>
      </c>
      <c r="BZ371" s="92" t="str">
        <f aca="false">IF(ISBLANK($C371),"",IF($BR371&lt;&gt;Constants!$B$8,$BR371,IF(ISNUMBER($BY371),RANK($BY371,$BY$9:$BY$508,1),COUNT($BY$9:$BY$508)+1)))</f>
        <v/>
      </c>
      <c r="CA371" s="96" t="str">
        <f aca="false">IF($BR371&lt;&gt;Constants!$B$8,"",IF($BI371="-&gt;",$BL371,$BD371))</f>
        <v/>
      </c>
      <c r="CB371" s="92" t="str">
        <f aca="false">IF(ISBLANK($C371),"",IF($BR371&lt;&gt;Constants!$B$8,$BR371,IF(ISNUMBER($CA371),RANK($CA371,$CA$9:$CA$508,1),COUNT($CA$9:$CA$508)+1)))</f>
        <v/>
      </c>
      <c r="CC371" s="96" t="str">
        <f aca="false">IF($BR371&lt;&gt;Constants!$B$8,"",IF($BI371="-&gt;",IF($AT371,$AV371,""),IF($AL371,$AN371,"")))</f>
        <v/>
      </c>
      <c r="CD371" s="92" t="str">
        <f aca="false">IF(ISBLANK($C371),"",IF($BR371&lt;&gt;Constants!$B$8,$BR371,IF(ISNUMBER($CC371),RANK($CC371,$CC$9:$CC$508,1),COUNT($CC$9:$CC$508)+1)))</f>
        <v/>
      </c>
      <c r="CE371" s="96" t="str">
        <f aca="false">IF($BR371&lt;&gt;Constants!$B$8,"",IF(AND(NOT($AL371),NOT($AT371),$AJ371,$AK371,$AR371,$AS371),"",$AI371))</f>
        <v/>
      </c>
      <c r="CF371" s="92" t="str">
        <f aca="false">IF(ISBLANK($C371),"",IF($BR371&lt;&gt;Constants!$B$8,$BR371,IF(ISNUMBER($CE371),RANK($CE371,$CE$9:$CE$508,1),COUNT($CE$9:$CE$508)+1)))</f>
        <v/>
      </c>
      <c r="CG371" s="92" t="str">
        <f aca="false">IF(ISBLANK($C371),"",IF($BR371&lt;&gt;Constants!$B$8,$BR371,COUNTIFS($BX$9:$BX$508,"&lt;"&amp;$BX371)+COUNTIFS($BX$9:$BX$508,$BX371,$BZ$9:$BZ$508,"&lt;"&amp;$BZ371)+COUNTIFS($BX$9:$BX$508,$BX371,$BZ$9:$BZ$508,$BZ371,$CB$9:$CB$508,"&lt;"&amp;$CB371)+COUNTIFS($BX$9:$BX$508,$BX371,$BZ$9:$BZ$508,$BZ371,$CB$9:$CB$508,$CB371,$CD$9:$CD$508,"&lt;"&amp;$CD371)+COUNTIFS($BX$9:$BX$508,$BX371,$BZ$9:$BZ$508,$BZ371,$CB$9:$CB$508,$CB371,$CD$9:$CD$508,$CD371,$CF$9:$CF$508,"&lt;"&amp;$CF371)+1))</f>
        <v/>
      </c>
      <c r="CH371" s="92" t="str">
        <f aca="false">IF(ISBLANK($C371),"",IF($BR371&lt;&gt;Constants!$B$8,$BR371,$BX371-$CG371))</f>
        <v/>
      </c>
      <c r="CI371" s="98"/>
      <c r="CJ371" s="99"/>
      <c r="CK371" s="100" t="str">
        <f aca="false">IF(ISBLANK($C371),"",IF($BR371=Constants!$B$12,$BQ371,""))</f>
        <v/>
      </c>
      <c r="CL371" s="99" t="str">
        <f aca="false">IF(ISBLANK($C371),"",IF($BR371&lt;&gt;Constants!$B$8,"",IF($BI371="-&gt;",2,1)))</f>
        <v/>
      </c>
      <c r="CM371" s="101" t="str">
        <f aca="false">IF(ISBLANK($C371),"",IF($BR371&lt;&gt;Constants!$B$8,"",IF($BI371="-&gt;",$BK371,$BC371)))</f>
        <v/>
      </c>
      <c r="CN371" s="101" t="str">
        <f aca="false">IF(ISBLANK($C371),"",IF($BR371&lt;&gt;Constants!$B$8,"",IF($BI371="-&gt;",$BL371,$BD371)))</f>
        <v/>
      </c>
      <c r="CO371" s="101" t="str">
        <f aca="false">IF(ISBLANK($C371),"",IF($BR371&lt;&gt;Constants!$B$8,"",IF($BI371="-&gt;",$BM371+$BN371,$BE371+$BF371)+$BV371))</f>
        <v/>
      </c>
      <c r="CP371" s="101" t="str">
        <f aca="false">IF(ISBLANK($C371),"",IF($BR371&lt;&gt;Constants!$B$8,"",IF($BI371="-&gt;",$BO371,$BG371)+$BU371))</f>
        <v/>
      </c>
      <c r="CQ371" s="102" t="str">
        <f aca="false">IF(ISBLANK($C371),"",IF($BR371&lt;&gt;Constants!$B$8,$BR371,$BW371))</f>
        <v/>
      </c>
      <c r="CR371" s="103" t="str">
        <f aca="false">IF(ISBLANK($C371),"",$BS371)</f>
        <v/>
      </c>
      <c r="CS371" s="104" t="str">
        <f aca="false">IF(ISBLANK($C371),"",$CH371)</f>
        <v/>
      </c>
      <c r="CT371" s="104" t="str">
        <f aca="false">IF(ISBLANK($C371),"",$CG371)</f>
        <v/>
      </c>
      <c r="CU371" s="105" t="str">
        <f aca="false">IF(ISBLANK($C371),"",IFERROR(_xlfn.SWITCH($CT371,Constants!$B$11,COUNTA($C$9:$C$508)+2,Constants!$B$10,COUNTA($C$9:$C$508)+1,Constants!$B$9,COUNTA($C$9:$C$508)),$CT371))</f>
        <v/>
      </c>
      <c r="CV371" s="9"/>
      <c r="CW371" s="106" t="n">
        <f aca="false">IF(OR(ISNUMBER($CT371),$CT371=Constants!$B$11,$CT371=Constants!$B$9,$CT371=Constants!$B$10),1,0)</f>
        <v>0</v>
      </c>
      <c r="CX371" s="106" t="n">
        <v>363</v>
      </c>
      <c r="CY371" s="106" t="str">
        <f aca="false">IF(ISBLANK($C371),"",IF(ISNUMBER($CU371),$CU371+ROW($B371)/1000,""))</f>
        <v/>
      </c>
      <c r="CZ371" s="106" t="str">
        <f aca="false">IF(ISNUMBER($CY371),RANK($CY371,$CY$9:$CY$508,1),"")</f>
        <v/>
      </c>
      <c r="DA371" s="106" t="str">
        <f aca="false">IF(ISBLANK($C371),"",$B371)</f>
        <v/>
      </c>
      <c r="DB371" s="106" t="str">
        <f aca="false">IF(ISBLANK($C371),"",$C371)</f>
        <v/>
      </c>
      <c r="DC371" s="106" t="str">
        <f aca="false">IF(ISBLANK($C371),"",$D371)</f>
        <v/>
      </c>
      <c r="DD371" s="107" t="str">
        <f aca="false">$CR371</f>
        <v/>
      </c>
      <c r="DE371" s="108" t="str">
        <f aca="false">$CQ371</f>
        <v/>
      </c>
      <c r="DF371" s="106" t="str">
        <f aca="false">IF(ISBLANK($C371),"",$CT371)</f>
        <v/>
      </c>
      <c r="DG371" s="109" t="str">
        <f aca="false">IF($CX371&gt;$CW$8,"",VLOOKUP($CX371,$CZ$9:$DF$508,7,FALSE()))</f>
        <v/>
      </c>
      <c r="DH371" s="110" t="str">
        <f aca="false">IF($CX371&gt;$CW$8,"",VLOOKUP($CX371,$CZ$9:$DF$508,2,FALSE()))</f>
        <v/>
      </c>
      <c r="DI371" s="110" t="str">
        <f aca="false">IF($CX371&gt;$CW$8,"",VLOOKUP($CX371,$CZ$9:$DF$508,3,FALSE()))</f>
        <v/>
      </c>
      <c r="DJ371" s="110" t="str">
        <f aca="false">IF($CX371&gt;$CW$8,"",VLOOKUP($CX371,$CZ$9:$DF$508,4,FALSE()))</f>
        <v/>
      </c>
      <c r="DK371" s="110" t="str">
        <f aca="false">IF($CX371&gt;$CW$8,"",VLOOKUP($CX371,$CZ$9:$DF$508,5,FALSE()))</f>
        <v/>
      </c>
      <c r="DL371" s="111" t="str">
        <f aca="false">IF($CX371&gt;$CW$8,"",VLOOKUP($CX371,$CZ$9:$DF$508,6,FALSE()))</f>
        <v/>
      </c>
      <c r="DM371" s="75"/>
    </row>
    <row r="372" customFormat="false" ht="15.75" hidden="false" customHeight="false" outlineLevel="0" collapsed="false">
      <c r="A372" s="9"/>
      <c r="B372" s="157"/>
      <c r="C372" s="158"/>
      <c r="D372" s="159"/>
      <c r="E372" s="177"/>
      <c r="F372" s="161"/>
      <c r="G372" s="162"/>
      <c r="H372" s="162"/>
      <c r="I372" s="178"/>
      <c r="J372" s="165"/>
      <c r="K372" s="126"/>
      <c r="L372" s="127"/>
      <c r="M372" s="128"/>
      <c r="N372" s="165"/>
      <c r="O372" s="165"/>
      <c r="P372" s="177"/>
      <c r="Q372" s="165"/>
      <c r="R372" s="165"/>
      <c r="S372" s="126"/>
      <c r="T372" s="128"/>
      <c r="U372" s="128"/>
      <c r="V372" s="165"/>
      <c r="W372" s="165"/>
      <c r="X372" s="177"/>
      <c r="Y372" s="165"/>
      <c r="Z372" s="166"/>
      <c r="AA372" s="165"/>
      <c r="AB372" s="132"/>
      <c r="AC372" s="133"/>
      <c r="AD372" s="133"/>
      <c r="AE372" s="133"/>
      <c r="AF372" s="133" t="str">
        <f aca="false">IF(ISBLANK($C372),"",IF(E372=Constants!$B$3,TRUE(),IF(E372=Constants!$B$4,FALSE(),TRUE())))</f>
        <v/>
      </c>
      <c r="AG372" s="133" t="str">
        <f aca="false">IF(ISBLANK($C372),"",IF(F372=Constants!$B$3,TRUE(),IF(F372=Constants!$B$4,FALSE(),TRUE())))</f>
        <v/>
      </c>
      <c r="AH372" s="133" t="str">
        <f aca="false">IF(ISBLANK($C372),"",IF(G372=Constants!$B$3,TRUE(),IF(G372=Constants!$B$4,FALSE(),TRUE())))</f>
        <v/>
      </c>
      <c r="AI372" s="133" t="str">
        <f aca="false">IF(ISBLANK($C372),"",IF(AND(ISNUMBER(H372),H372&gt;=0),H372,Constants!$B$29))</f>
        <v/>
      </c>
      <c r="AJ372" s="133" t="str">
        <f aca="false">IF(ISBLANK($C372),"",IF(I372=Constants!$B$3,TRUE(),IF(I372=Constants!$B$4,FALSE(),TRUE())))</f>
        <v/>
      </c>
      <c r="AK372" s="133" t="str">
        <f aca="false">IF(ISBLANK($C372),"",IF(J372=Constants!$B$3,TRUE(),IF(J372=Constants!$B$4,FALSE(),TRUE())))</f>
        <v/>
      </c>
      <c r="AL372" s="133" t="str">
        <f aca="false">IF(ISBLANK($C372),"",IF(K372=Constants!$B$5,TRUE(),IF(K372=Constants!$B$6,FALSE(),COUNTA(L372:P372)&gt;0)))</f>
        <v/>
      </c>
      <c r="AM372" s="134" t="str">
        <f aca="false">IF(ISBLANK($C372),"",IF(ISNUMBER(L372),IF(L372&gt;=0,L372,""),""))</f>
        <v/>
      </c>
      <c r="AN372" s="135" t="str">
        <f aca="false">IF(ISBLANK($C372),"",IF(ISNUMBER(M372),IF(M372&gt;=0,M372,""),""))</f>
        <v/>
      </c>
      <c r="AO372" s="135" t="str">
        <f aca="false">IF(ISBLANK($C372),"",IF(N372=Constants!$B$3,TRUE(),IF(N372=Constants!$B$4,FALSE(),TRUE())))</f>
        <v/>
      </c>
      <c r="AP372" s="133" t="str">
        <f aca="false">IF(ISBLANK($C372),"",IF(ISNUMBER(O372),IF(O372&gt;=0,O372,""),""))</f>
        <v/>
      </c>
      <c r="AQ372" s="133" t="str">
        <f aca="false">IF(ISBLANK($C372),"",IF(P372=Constants!$B$3,TRUE(),IF(P372=Constants!$B$4,FALSE(),FALSE())))</f>
        <v/>
      </c>
      <c r="AR372" s="133" t="str">
        <f aca="false">IF(ISBLANK($C372),"",IF(Q372=Constants!$B$3,TRUE(),IF(Q372=Constants!$B$4,FALSE(),TRUE())))</f>
        <v/>
      </c>
      <c r="AS372" s="133" t="str">
        <f aca="false">IF(ISBLANK($C372),"",IF(R372=Constants!$B$3,TRUE(),IF(R372=Constants!$B$4,FALSE(),TRUE())))</f>
        <v/>
      </c>
      <c r="AT372" s="133" t="str">
        <f aca="false">IF(ISBLANK($C372),"",IF(S372=Constants!$B$5,TRUE(),IF(S372=Constants!$B$6,FALSE(),COUNTA(T372:X372)&gt;0)))</f>
        <v/>
      </c>
      <c r="AU372" s="134" t="str">
        <f aca="false">IF(ISBLANK($C372),"",IF(ISNUMBER(T372),IF(T372&gt;=0,T372,""),""))</f>
        <v/>
      </c>
      <c r="AV372" s="135" t="str">
        <f aca="false">IF(ISBLANK($C372),"",IF(ISNUMBER(U372),IF(U372&gt;=0,U372,""),""))</f>
        <v/>
      </c>
      <c r="AW372" s="135" t="str">
        <f aca="false">IF(ISBLANK($C372),"",IF(V372=Constants!$B$3,TRUE(),IF(V372=Constants!$B$4,FALSE(),TRUE())))</f>
        <v/>
      </c>
      <c r="AX372" s="133" t="str">
        <f aca="false">IF(ISBLANK($C372),"",IF(ISNUMBER(W372),IF(W372&gt;=0,W372,""),""))</f>
        <v/>
      </c>
      <c r="AY372" s="133" t="str">
        <f aca="false">IF(ISBLANK($C372),"",IF(X372=Constants!$B$3,TRUE(),IF(X372=Constants!$B$4,FALSE(),FALSE())))</f>
        <v/>
      </c>
      <c r="AZ372" s="133" t="str">
        <f aca="false">IF(ISBLANK($C372),"",MIN(Constants!$B$31,MAX(0,IF(ISNUMBER(Y372),Y372*60,0)+IF(ISNUMBER(Z372),Z372,0))))</f>
        <v/>
      </c>
      <c r="BA372" s="133" t="str">
        <f aca="false">IF(ISBLANK($C372),"",IF(AA372=Constants!$B$3,TRUE(),IF(AA372=Constants!$B$4,FALSE(),FALSE())))</f>
        <v/>
      </c>
      <c r="BB372" s="132" t="str">
        <f aca="false">IF(ISBLANK($C372),"",AND($AL372,OR($AM372="",$AN372="",AND($AO372,$AP372=""))))</f>
        <v/>
      </c>
      <c r="BC372" s="135" t="str">
        <f aca="false">IF($BR372&lt;&gt;Constants!$B$8,"",IF($AL372,Constants!$B$21*$AN372+Constants!$B$22*IF($AO372,$AP372,Constants!$B$23),Constants!$B$24))</f>
        <v/>
      </c>
      <c r="BD372" s="136" t="str">
        <f aca="false">IF($BR372&lt;&gt;Constants!$B$8,"",Constants!$B$25*ABS($AD$9-IF($AL372,$AM372,0)))</f>
        <v/>
      </c>
      <c r="BE372" s="136" t="str">
        <f aca="false">IF($BR372&lt;&gt;Constants!$B$8,"",IF(AND($AL372,$AQ372,$AO372),Constants!$B$27,0))</f>
        <v/>
      </c>
      <c r="BF372" s="136" t="str">
        <f aca="false">IF($BR372&lt;&gt;Constants!$B$8,"",IF($AL372,($AI372-Constants!$B$29)*Constants!$B$28,0))</f>
        <v/>
      </c>
      <c r="BG372" s="136" t="str">
        <f aca="false">IF($BR372&lt;&gt;Constants!$B$8,"",IF($AK372,0,Constants!$B$15)+IF($AJ372,0,Constants!$B$16)+IF($AH372,0,Constants!$B$17))</f>
        <v/>
      </c>
      <c r="BH372" s="137" t="str">
        <f aca="false">IF($BR372&lt;&gt;Constants!$B$8,"",Constants!$B$20+SUM($BC372:$BG372))</f>
        <v/>
      </c>
      <c r="BI372" s="133" t="str">
        <f aca="false">IF($BR372&lt;&gt;Constants!$B$8,"",IF(OR($BP372&lt;$BH372,AND($BP372=$BH372,OR($BK372&lt;$BC372,AND($BK372=$BC372,OR($BL372&lt;$BD372,AND($BL372=$BD372,$AT372,$AL372,$AV372&lt;$AN372)))))),"-&gt;","&lt;-"))</f>
        <v/>
      </c>
      <c r="BJ372" s="132" t="str">
        <f aca="false">IF(ISBLANK($C372),"",AND($AT372,OR($AU372="",$AV372="",AND($AW372,$AX372=""))))</f>
        <v/>
      </c>
      <c r="BK372" s="135" t="str">
        <f aca="false">IF($BR372&lt;&gt;Constants!$B$8,"",IF($AT372,Constants!$B$21*$AV372+Constants!$B$22*IF($AW372,$AX372,Constants!$B$23),Constants!$B$24))</f>
        <v/>
      </c>
      <c r="BL372" s="136" t="str">
        <f aca="false">IF($BR372&lt;&gt;Constants!$B$8,"",Constants!$B$25*ABS($AD$9-IF($AT372,$AU372,0)))</f>
        <v/>
      </c>
      <c r="BM372" s="136" t="str">
        <f aca="false">IF($BR372&lt;&gt;Constants!$B$8,"",IF(AND($AT372,$AY372,$AW372),Constants!$B$27,0))</f>
        <v/>
      </c>
      <c r="BN372" s="136" t="str">
        <f aca="false">IF($BR372&lt;&gt;Constants!$B$8,"",IF($AT372,($AI372-Constants!$B$29)*Constants!$B$28,0))</f>
        <v/>
      </c>
      <c r="BO372" s="136" t="str">
        <f aca="false">IF($BR372&lt;&gt;Constants!$B$8,"",IF($AS372,0,Constants!$B$15)+IF($AR372,0,Constants!$B$16)+IF($AH372,0,Constants!$B$17))</f>
        <v/>
      </c>
      <c r="BP372" s="137" t="str">
        <f aca="false">IF($BR372&lt;&gt;Constants!$B$8,"",Constants!$B$20+SUM($BK372:$BO372))</f>
        <v/>
      </c>
      <c r="BQ372" s="133" t="str">
        <f aca="false">IF(ISBLANK($C372),"",IF(ISBLANK($D$7),$BQ$5,IF(NOT(ISNUMBER($D$7)),$BQ$6,"")))</f>
        <v/>
      </c>
      <c r="BR372" s="133" t="str">
        <f aca="false">IF(ISBLANK($C372),"",IF($BA372,Constants!$B$11,IF(COUNTA($E372:$AA372)=0,Constants!$B$10,IF(NOT($AG372),Constants!$B$9,IF(OR($BQ372&lt;&gt;"",$BB372,$BJ372),Constants!$B$12,Constants!$B$8)))))</f>
        <v/>
      </c>
      <c r="BS372" s="133" t="str">
        <f aca="false">IF(ISBLANK($C372),"",IF($BR372&lt;&gt;Constants!$B$8,$BR372,Constants!$B$13))</f>
        <v/>
      </c>
      <c r="BT372" s="136" t="str">
        <f aca="false">IF($BR372&lt;&gt;Constants!$B$8,"",IF($BI372="-&gt;",$BP372,$BH372))</f>
        <v/>
      </c>
      <c r="BU372" s="136" t="str">
        <f aca="false">IF($BR372&lt;&gt;Constants!$B$8,"",IF($AF372,0,Constants!$B$18))</f>
        <v/>
      </c>
      <c r="BV372" s="136" t="str">
        <f aca="false">IF($BR372&lt;&gt;Constants!$B$8,"",((Constants!$B$31-$AZ372)-Constants!$B$31)/Constants!$B$32)</f>
        <v/>
      </c>
      <c r="BW372" s="136" t="str">
        <f aca="false">IF(ISBLANK($C372),"",IF($BR372&lt;&gt;Constants!$B$8,$BR372,SUM($BT372:$BV372)))</f>
        <v/>
      </c>
      <c r="BX372" s="133" t="str">
        <f aca="false">IF(ISBLANK($C372),"",IF($BR372&lt;&gt;Constants!$B$8,$BR372,RANK($BW372,$BW$9:$BW$508,1)))</f>
        <v/>
      </c>
      <c r="BY372" s="136" t="str">
        <f aca="false">IF($BR372&lt;&gt;Constants!$B$8,"",IF($BI372="-&gt;",$BK372,$BC372))</f>
        <v/>
      </c>
      <c r="BZ372" s="133" t="str">
        <f aca="false">IF(ISBLANK($C372),"",IF($BR372&lt;&gt;Constants!$B$8,$BR372,IF(ISNUMBER($BY372),RANK($BY372,$BY$9:$BY$508,1),COUNT($BY$9:$BY$508)+1)))</f>
        <v/>
      </c>
      <c r="CA372" s="136" t="str">
        <f aca="false">IF($BR372&lt;&gt;Constants!$B$8,"",IF($BI372="-&gt;",$BL372,$BD372))</f>
        <v/>
      </c>
      <c r="CB372" s="133" t="str">
        <f aca="false">IF(ISBLANK($C372),"",IF($BR372&lt;&gt;Constants!$B$8,$BR372,IF(ISNUMBER($CA372),RANK($CA372,$CA$9:$CA$508,1),COUNT($CA$9:$CA$508)+1)))</f>
        <v/>
      </c>
      <c r="CC372" s="136" t="str">
        <f aca="false">IF($BR372&lt;&gt;Constants!$B$8,"",IF($BI372="-&gt;",IF($AT372,$AV372,""),IF($AL372,$AN372,"")))</f>
        <v/>
      </c>
      <c r="CD372" s="133" t="str">
        <f aca="false">IF(ISBLANK($C372),"",IF($BR372&lt;&gt;Constants!$B$8,$BR372,IF(ISNUMBER($CC372),RANK($CC372,$CC$9:$CC$508,1),COUNT($CC$9:$CC$508)+1)))</f>
        <v/>
      </c>
      <c r="CE372" s="136" t="str">
        <f aca="false">IF($BR372&lt;&gt;Constants!$B$8,"",IF(AND(NOT($AL372),NOT($AT372),$AJ372,$AK372,$AR372,$AS372),"",$AI372))</f>
        <v/>
      </c>
      <c r="CF372" s="133" t="str">
        <f aca="false">IF(ISBLANK($C372),"",IF($BR372&lt;&gt;Constants!$B$8,$BR372,IF(ISNUMBER($CE372),RANK($CE372,$CE$9:$CE$508,1),COUNT($CE$9:$CE$508)+1)))</f>
        <v/>
      </c>
      <c r="CG372" s="133" t="str">
        <f aca="false">IF(ISBLANK($C372),"",IF($BR372&lt;&gt;Constants!$B$8,$BR372,COUNTIFS($BX$9:$BX$508,"&lt;"&amp;$BX372)+COUNTIFS($BX$9:$BX$508,$BX372,$BZ$9:$BZ$508,"&lt;"&amp;$BZ372)+COUNTIFS($BX$9:$BX$508,$BX372,$BZ$9:$BZ$508,$BZ372,$CB$9:$CB$508,"&lt;"&amp;$CB372)+COUNTIFS($BX$9:$BX$508,$BX372,$BZ$9:$BZ$508,$BZ372,$CB$9:$CB$508,$CB372,$CD$9:$CD$508,"&lt;"&amp;$CD372)+COUNTIFS($BX$9:$BX$508,$BX372,$BZ$9:$BZ$508,$BZ372,$CB$9:$CB$508,$CB372,$CD$9:$CD$508,$CD372,$CF$9:$CF$508,"&lt;"&amp;$CF372)+1))</f>
        <v/>
      </c>
      <c r="CH372" s="133" t="str">
        <f aca="false">IF(ISBLANK($C372),"",IF($BR372&lt;&gt;Constants!$B$8,$BR372,$BX372-$CG372))</f>
        <v/>
      </c>
      <c r="CI372" s="138"/>
      <c r="CJ372" s="139"/>
      <c r="CK372" s="140" t="str">
        <f aca="false">IF(ISBLANK($C372),"",IF($BR372=Constants!$B$12,$BQ372,""))</f>
        <v/>
      </c>
      <c r="CL372" s="139" t="str">
        <f aca="false">IF(ISBLANK($C372),"",IF($BR372&lt;&gt;Constants!$B$8,"",IF($BI372="-&gt;",2,1)))</f>
        <v/>
      </c>
      <c r="CM372" s="141" t="str">
        <f aca="false">IF(ISBLANK($C372),"",IF($BR372&lt;&gt;Constants!$B$8,"",IF($BI372="-&gt;",$BK372,$BC372)))</f>
        <v/>
      </c>
      <c r="CN372" s="141" t="str">
        <f aca="false">IF(ISBLANK($C372),"",IF($BR372&lt;&gt;Constants!$B$8,"",IF($BI372="-&gt;",$BL372,$BD372)))</f>
        <v/>
      </c>
      <c r="CO372" s="141" t="str">
        <f aca="false">IF(ISBLANK($C372),"",IF($BR372&lt;&gt;Constants!$B$8,"",IF($BI372="-&gt;",$BM372+$BN372,$BE372+$BF372)+$BV372))</f>
        <v/>
      </c>
      <c r="CP372" s="141" t="str">
        <f aca="false">IF(ISBLANK($C372),"",IF($BR372&lt;&gt;Constants!$B$8,"",IF($BI372="-&gt;",$BO372,$BG372)+$BU372))</f>
        <v/>
      </c>
      <c r="CQ372" s="142" t="str">
        <f aca="false">IF(ISBLANK($C372),"",IF($BR372&lt;&gt;Constants!$B$8,$BR372,$BW372))</f>
        <v/>
      </c>
      <c r="CR372" s="143" t="str">
        <f aca="false">IF(ISBLANK($C372),"",$BS372)</f>
        <v/>
      </c>
      <c r="CS372" s="144" t="str">
        <f aca="false">IF(ISBLANK($C372),"",$CH372)</f>
        <v/>
      </c>
      <c r="CT372" s="144" t="str">
        <f aca="false">IF(ISBLANK($C372),"",$CG372)</f>
        <v/>
      </c>
      <c r="CU372" s="145" t="str">
        <f aca="false">IF(ISBLANK($C372),"",IFERROR(_xlfn.SWITCH($CT372,Constants!$B$11,COUNTA($C$9:$C$508)+2,Constants!$B$10,COUNTA($C$9:$C$508)+1,Constants!$B$9,COUNTA($C$9:$C$508)),$CT372))</f>
        <v/>
      </c>
      <c r="CV372" s="9"/>
      <c r="CW372" s="146" t="n">
        <f aca="false">IF(OR(ISNUMBER($CT372),$CT372=Constants!$B$11,$CT372=Constants!$B$9,$CT372=Constants!$B$10),1,0)</f>
        <v>0</v>
      </c>
      <c r="CX372" s="146" t="n">
        <v>364</v>
      </c>
      <c r="CY372" s="146" t="str">
        <f aca="false">IF(ISBLANK($C372),"",IF(ISNUMBER($CU372),$CU372+ROW($B372)/1000,""))</f>
        <v/>
      </c>
      <c r="CZ372" s="146" t="str">
        <f aca="false">IF(ISNUMBER($CY372),RANK($CY372,$CY$9:$CY$508,1),"")</f>
        <v/>
      </c>
      <c r="DA372" s="146" t="str">
        <f aca="false">IF(ISBLANK($C372),"",$B372)</f>
        <v/>
      </c>
      <c r="DB372" s="146" t="str">
        <f aca="false">IF(ISBLANK($C372),"",$C372)</f>
        <v/>
      </c>
      <c r="DC372" s="146" t="str">
        <f aca="false">IF(ISBLANK($C372),"",$D372)</f>
        <v/>
      </c>
      <c r="DD372" s="147" t="str">
        <f aca="false">$CR372</f>
        <v/>
      </c>
      <c r="DE372" s="148" t="str">
        <f aca="false">$CQ372</f>
        <v/>
      </c>
      <c r="DF372" s="146" t="str">
        <f aca="false">IF(ISBLANK($C372),"",$CT372)</f>
        <v/>
      </c>
      <c r="DG372" s="149" t="str">
        <f aca="false">IF($CX372&gt;$CW$8,"",VLOOKUP($CX372,$CZ$9:$DF$508,7,FALSE()))</f>
        <v/>
      </c>
      <c r="DH372" s="150" t="str">
        <f aca="false">IF($CX372&gt;$CW$8,"",VLOOKUP($CX372,$CZ$9:$DF$508,2,FALSE()))</f>
        <v/>
      </c>
      <c r="DI372" s="150" t="str">
        <f aca="false">IF($CX372&gt;$CW$8,"",VLOOKUP($CX372,$CZ$9:$DF$508,3,FALSE()))</f>
        <v/>
      </c>
      <c r="DJ372" s="150" t="str">
        <f aca="false">IF($CX372&gt;$CW$8,"",VLOOKUP($CX372,$CZ$9:$DF$508,4,FALSE()))</f>
        <v/>
      </c>
      <c r="DK372" s="150" t="str">
        <f aca="false">IF($CX372&gt;$CW$8,"",VLOOKUP($CX372,$CZ$9:$DF$508,5,FALSE()))</f>
        <v/>
      </c>
      <c r="DL372" s="151" t="str">
        <f aca="false">IF($CX372&gt;$CW$8,"",VLOOKUP($CX372,$CZ$9:$DF$508,6,FALSE()))</f>
        <v/>
      </c>
      <c r="DM372" s="75"/>
    </row>
    <row r="373" customFormat="false" ht="15.75" hidden="false" customHeight="false" outlineLevel="0" collapsed="false">
      <c r="A373" s="9"/>
      <c r="B373" s="157"/>
      <c r="C373" s="158"/>
      <c r="D373" s="159"/>
      <c r="E373" s="177"/>
      <c r="F373" s="161"/>
      <c r="G373" s="162"/>
      <c r="H373" s="162"/>
      <c r="I373" s="178"/>
      <c r="J373" s="165"/>
      <c r="K373" s="126"/>
      <c r="L373" s="127"/>
      <c r="M373" s="128"/>
      <c r="N373" s="165"/>
      <c r="O373" s="165"/>
      <c r="P373" s="177"/>
      <c r="Q373" s="165"/>
      <c r="R373" s="165"/>
      <c r="S373" s="126"/>
      <c r="T373" s="128"/>
      <c r="U373" s="128"/>
      <c r="V373" s="165"/>
      <c r="W373" s="165"/>
      <c r="X373" s="177"/>
      <c r="Y373" s="165"/>
      <c r="Z373" s="166"/>
      <c r="AA373" s="165"/>
      <c r="AB373" s="132"/>
      <c r="AC373" s="133"/>
      <c r="AD373" s="133"/>
      <c r="AE373" s="133"/>
      <c r="AF373" s="133" t="str">
        <f aca="false">IF(ISBLANK($C373),"",IF(E373=Constants!$B$3,TRUE(),IF(E373=Constants!$B$4,FALSE(),TRUE())))</f>
        <v/>
      </c>
      <c r="AG373" s="133" t="str">
        <f aca="false">IF(ISBLANK($C373),"",IF(F373=Constants!$B$3,TRUE(),IF(F373=Constants!$B$4,FALSE(),TRUE())))</f>
        <v/>
      </c>
      <c r="AH373" s="133" t="str">
        <f aca="false">IF(ISBLANK($C373),"",IF(G373=Constants!$B$3,TRUE(),IF(G373=Constants!$B$4,FALSE(),TRUE())))</f>
        <v/>
      </c>
      <c r="AI373" s="133" t="str">
        <f aca="false">IF(ISBLANK($C373),"",IF(AND(ISNUMBER(H373),H373&gt;=0),H373,Constants!$B$29))</f>
        <v/>
      </c>
      <c r="AJ373" s="133" t="str">
        <f aca="false">IF(ISBLANK($C373),"",IF(I373=Constants!$B$3,TRUE(),IF(I373=Constants!$B$4,FALSE(),TRUE())))</f>
        <v/>
      </c>
      <c r="AK373" s="133" t="str">
        <f aca="false">IF(ISBLANK($C373),"",IF(J373=Constants!$B$3,TRUE(),IF(J373=Constants!$B$4,FALSE(),TRUE())))</f>
        <v/>
      </c>
      <c r="AL373" s="133" t="str">
        <f aca="false">IF(ISBLANK($C373),"",IF(K373=Constants!$B$5,TRUE(),IF(K373=Constants!$B$6,FALSE(),COUNTA(L373:P373)&gt;0)))</f>
        <v/>
      </c>
      <c r="AM373" s="134" t="str">
        <f aca="false">IF(ISBLANK($C373),"",IF(ISNUMBER(L373),IF(L373&gt;=0,L373,""),""))</f>
        <v/>
      </c>
      <c r="AN373" s="135" t="str">
        <f aca="false">IF(ISBLANK($C373),"",IF(ISNUMBER(M373),IF(M373&gt;=0,M373,""),""))</f>
        <v/>
      </c>
      <c r="AO373" s="135" t="str">
        <f aca="false">IF(ISBLANK($C373),"",IF(N373=Constants!$B$3,TRUE(),IF(N373=Constants!$B$4,FALSE(),TRUE())))</f>
        <v/>
      </c>
      <c r="AP373" s="133" t="str">
        <f aca="false">IF(ISBLANK($C373),"",IF(ISNUMBER(O373),IF(O373&gt;=0,O373,""),""))</f>
        <v/>
      </c>
      <c r="AQ373" s="133" t="str">
        <f aca="false">IF(ISBLANK($C373),"",IF(P373=Constants!$B$3,TRUE(),IF(P373=Constants!$B$4,FALSE(),FALSE())))</f>
        <v/>
      </c>
      <c r="AR373" s="133" t="str">
        <f aca="false">IF(ISBLANK($C373),"",IF(Q373=Constants!$B$3,TRUE(),IF(Q373=Constants!$B$4,FALSE(),TRUE())))</f>
        <v/>
      </c>
      <c r="AS373" s="133" t="str">
        <f aca="false">IF(ISBLANK($C373),"",IF(R373=Constants!$B$3,TRUE(),IF(R373=Constants!$B$4,FALSE(),TRUE())))</f>
        <v/>
      </c>
      <c r="AT373" s="133" t="str">
        <f aca="false">IF(ISBLANK($C373),"",IF(S373=Constants!$B$5,TRUE(),IF(S373=Constants!$B$6,FALSE(),COUNTA(T373:X373)&gt;0)))</f>
        <v/>
      </c>
      <c r="AU373" s="134" t="str">
        <f aca="false">IF(ISBLANK($C373),"",IF(ISNUMBER(T373),IF(T373&gt;=0,T373,""),""))</f>
        <v/>
      </c>
      <c r="AV373" s="135" t="str">
        <f aca="false">IF(ISBLANK($C373),"",IF(ISNUMBER(U373),IF(U373&gt;=0,U373,""),""))</f>
        <v/>
      </c>
      <c r="AW373" s="135" t="str">
        <f aca="false">IF(ISBLANK($C373),"",IF(V373=Constants!$B$3,TRUE(),IF(V373=Constants!$B$4,FALSE(),TRUE())))</f>
        <v/>
      </c>
      <c r="AX373" s="133" t="str">
        <f aca="false">IF(ISBLANK($C373),"",IF(ISNUMBER(W373),IF(W373&gt;=0,W373,""),""))</f>
        <v/>
      </c>
      <c r="AY373" s="133" t="str">
        <f aca="false">IF(ISBLANK($C373),"",IF(X373=Constants!$B$3,TRUE(),IF(X373=Constants!$B$4,FALSE(),FALSE())))</f>
        <v/>
      </c>
      <c r="AZ373" s="133" t="str">
        <f aca="false">IF(ISBLANK($C373),"",MIN(Constants!$B$31,MAX(0,IF(ISNUMBER(Y373),Y373*60,0)+IF(ISNUMBER(Z373),Z373,0))))</f>
        <v/>
      </c>
      <c r="BA373" s="133" t="str">
        <f aca="false">IF(ISBLANK($C373),"",IF(AA373=Constants!$B$3,TRUE(),IF(AA373=Constants!$B$4,FALSE(),FALSE())))</f>
        <v/>
      </c>
      <c r="BB373" s="132" t="str">
        <f aca="false">IF(ISBLANK($C373),"",AND($AL373,OR($AM373="",$AN373="",AND($AO373,$AP373=""))))</f>
        <v/>
      </c>
      <c r="BC373" s="135" t="str">
        <f aca="false">IF($BR373&lt;&gt;Constants!$B$8,"",IF($AL373,Constants!$B$21*$AN373+Constants!$B$22*IF($AO373,$AP373,Constants!$B$23),Constants!$B$24))</f>
        <v/>
      </c>
      <c r="BD373" s="136" t="str">
        <f aca="false">IF($BR373&lt;&gt;Constants!$B$8,"",Constants!$B$25*ABS($AD$9-IF($AL373,$AM373,0)))</f>
        <v/>
      </c>
      <c r="BE373" s="136" t="str">
        <f aca="false">IF($BR373&lt;&gt;Constants!$B$8,"",IF(AND($AL373,$AQ373,$AO373),Constants!$B$27,0))</f>
        <v/>
      </c>
      <c r="BF373" s="136" t="str">
        <f aca="false">IF($BR373&lt;&gt;Constants!$B$8,"",IF($AL373,($AI373-Constants!$B$29)*Constants!$B$28,0))</f>
        <v/>
      </c>
      <c r="BG373" s="136" t="str">
        <f aca="false">IF($BR373&lt;&gt;Constants!$B$8,"",IF($AK373,0,Constants!$B$15)+IF($AJ373,0,Constants!$B$16)+IF($AH373,0,Constants!$B$17))</f>
        <v/>
      </c>
      <c r="BH373" s="137" t="str">
        <f aca="false">IF($BR373&lt;&gt;Constants!$B$8,"",Constants!$B$20+SUM($BC373:$BG373))</f>
        <v/>
      </c>
      <c r="BI373" s="133" t="str">
        <f aca="false">IF($BR373&lt;&gt;Constants!$B$8,"",IF(OR($BP373&lt;$BH373,AND($BP373=$BH373,OR($BK373&lt;$BC373,AND($BK373=$BC373,OR($BL373&lt;$BD373,AND($BL373=$BD373,$AT373,$AL373,$AV373&lt;$AN373)))))),"-&gt;","&lt;-"))</f>
        <v/>
      </c>
      <c r="BJ373" s="132" t="str">
        <f aca="false">IF(ISBLANK($C373),"",AND($AT373,OR($AU373="",$AV373="",AND($AW373,$AX373=""))))</f>
        <v/>
      </c>
      <c r="BK373" s="135" t="str">
        <f aca="false">IF($BR373&lt;&gt;Constants!$B$8,"",IF($AT373,Constants!$B$21*$AV373+Constants!$B$22*IF($AW373,$AX373,Constants!$B$23),Constants!$B$24))</f>
        <v/>
      </c>
      <c r="BL373" s="136" t="str">
        <f aca="false">IF($BR373&lt;&gt;Constants!$B$8,"",Constants!$B$25*ABS($AD$9-IF($AT373,$AU373,0)))</f>
        <v/>
      </c>
      <c r="BM373" s="136" t="str">
        <f aca="false">IF($BR373&lt;&gt;Constants!$B$8,"",IF(AND($AT373,$AY373,$AW373),Constants!$B$27,0))</f>
        <v/>
      </c>
      <c r="BN373" s="136" t="str">
        <f aca="false">IF($BR373&lt;&gt;Constants!$B$8,"",IF($AT373,($AI373-Constants!$B$29)*Constants!$B$28,0))</f>
        <v/>
      </c>
      <c r="BO373" s="136" t="str">
        <f aca="false">IF($BR373&lt;&gt;Constants!$B$8,"",IF($AS373,0,Constants!$B$15)+IF($AR373,0,Constants!$B$16)+IF($AH373,0,Constants!$B$17))</f>
        <v/>
      </c>
      <c r="BP373" s="137" t="str">
        <f aca="false">IF($BR373&lt;&gt;Constants!$B$8,"",Constants!$B$20+SUM($BK373:$BO373))</f>
        <v/>
      </c>
      <c r="BQ373" s="133" t="str">
        <f aca="false">IF(ISBLANK($C373),"",IF(ISBLANK($D$7),$BQ$5,IF(NOT(ISNUMBER($D$7)),$BQ$6,"")))</f>
        <v/>
      </c>
      <c r="BR373" s="133" t="str">
        <f aca="false">IF(ISBLANK($C373),"",IF($BA373,Constants!$B$11,IF(COUNTA($E373:$AA373)=0,Constants!$B$10,IF(NOT($AG373),Constants!$B$9,IF(OR($BQ373&lt;&gt;"",$BB373,$BJ373),Constants!$B$12,Constants!$B$8)))))</f>
        <v/>
      </c>
      <c r="BS373" s="133" t="str">
        <f aca="false">IF(ISBLANK($C373),"",IF($BR373&lt;&gt;Constants!$B$8,$BR373,Constants!$B$13))</f>
        <v/>
      </c>
      <c r="BT373" s="136" t="str">
        <f aca="false">IF($BR373&lt;&gt;Constants!$B$8,"",IF($BI373="-&gt;",$BP373,$BH373))</f>
        <v/>
      </c>
      <c r="BU373" s="136" t="str">
        <f aca="false">IF($BR373&lt;&gt;Constants!$B$8,"",IF($AF373,0,Constants!$B$18))</f>
        <v/>
      </c>
      <c r="BV373" s="136" t="str">
        <f aca="false">IF($BR373&lt;&gt;Constants!$B$8,"",((Constants!$B$31-$AZ373)-Constants!$B$31)/Constants!$B$32)</f>
        <v/>
      </c>
      <c r="BW373" s="136" t="str">
        <f aca="false">IF(ISBLANK($C373),"",IF($BR373&lt;&gt;Constants!$B$8,$BR373,SUM($BT373:$BV373)))</f>
        <v/>
      </c>
      <c r="BX373" s="133" t="str">
        <f aca="false">IF(ISBLANK($C373),"",IF($BR373&lt;&gt;Constants!$B$8,$BR373,RANK($BW373,$BW$9:$BW$508,1)))</f>
        <v/>
      </c>
      <c r="BY373" s="136" t="str">
        <f aca="false">IF($BR373&lt;&gt;Constants!$B$8,"",IF($BI373="-&gt;",$BK373,$BC373))</f>
        <v/>
      </c>
      <c r="BZ373" s="133" t="str">
        <f aca="false">IF(ISBLANK($C373),"",IF($BR373&lt;&gt;Constants!$B$8,$BR373,IF(ISNUMBER($BY373),RANK($BY373,$BY$9:$BY$508,1),COUNT($BY$9:$BY$508)+1)))</f>
        <v/>
      </c>
      <c r="CA373" s="136" t="str">
        <f aca="false">IF($BR373&lt;&gt;Constants!$B$8,"",IF($BI373="-&gt;",$BL373,$BD373))</f>
        <v/>
      </c>
      <c r="CB373" s="133" t="str">
        <f aca="false">IF(ISBLANK($C373),"",IF($BR373&lt;&gt;Constants!$B$8,$BR373,IF(ISNUMBER($CA373),RANK($CA373,$CA$9:$CA$508,1),COUNT($CA$9:$CA$508)+1)))</f>
        <v/>
      </c>
      <c r="CC373" s="136" t="str">
        <f aca="false">IF($BR373&lt;&gt;Constants!$B$8,"",IF($BI373="-&gt;",IF($AT373,$AV373,""),IF($AL373,$AN373,"")))</f>
        <v/>
      </c>
      <c r="CD373" s="133" t="str">
        <f aca="false">IF(ISBLANK($C373),"",IF($BR373&lt;&gt;Constants!$B$8,$BR373,IF(ISNUMBER($CC373),RANK($CC373,$CC$9:$CC$508,1),COUNT($CC$9:$CC$508)+1)))</f>
        <v/>
      </c>
      <c r="CE373" s="136" t="str">
        <f aca="false">IF($BR373&lt;&gt;Constants!$B$8,"",IF(AND(NOT($AL373),NOT($AT373),$AJ373,$AK373,$AR373,$AS373),"",$AI373))</f>
        <v/>
      </c>
      <c r="CF373" s="133" t="str">
        <f aca="false">IF(ISBLANK($C373),"",IF($BR373&lt;&gt;Constants!$B$8,$BR373,IF(ISNUMBER($CE373),RANK($CE373,$CE$9:$CE$508,1),COUNT($CE$9:$CE$508)+1)))</f>
        <v/>
      </c>
      <c r="CG373" s="133" t="str">
        <f aca="false">IF(ISBLANK($C373),"",IF($BR373&lt;&gt;Constants!$B$8,$BR373,COUNTIFS($BX$9:$BX$508,"&lt;"&amp;$BX373)+COUNTIFS($BX$9:$BX$508,$BX373,$BZ$9:$BZ$508,"&lt;"&amp;$BZ373)+COUNTIFS($BX$9:$BX$508,$BX373,$BZ$9:$BZ$508,$BZ373,$CB$9:$CB$508,"&lt;"&amp;$CB373)+COUNTIFS($BX$9:$BX$508,$BX373,$BZ$9:$BZ$508,$BZ373,$CB$9:$CB$508,$CB373,$CD$9:$CD$508,"&lt;"&amp;$CD373)+COUNTIFS($BX$9:$BX$508,$BX373,$BZ$9:$BZ$508,$BZ373,$CB$9:$CB$508,$CB373,$CD$9:$CD$508,$CD373,$CF$9:$CF$508,"&lt;"&amp;$CF373)+1))</f>
        <v/>
      </c>
      <c r="CH373" s="133" t="str">
        <f aca="false">IF(ISBLANK($C373),"",IF($BR373&lt;&gt;Constants!$B$8,$BR373,$BX373-$CG373))</f>
        <v/>
      </c>
      <c r="CI373" s="138"/>
      <c r="CJ373" s="139"/>
      <c r="CK373" s="140" t="str">
        <f aca="false">IF(ISBLANK($C373),"",IF($BR373=Constants!$B$12,$BQ373,""))</f>
        <v/>
      </c>
      <c r="CL373" s="139" t="str">
        <f aca="false">IF(ISBLANK($C373),"",IF($BR373&lt;&gt;Constants!$B$8,"",IF($BI373="-&gt;",2,1)))</f>
        <v/>
      </c>
      <c r="CM373" s="141" t="str">
        <f aca="false">IF(ISBLANK($C373),"",IF($BR373&lt;&gt;Constants!$B$8,"",IF($BI373="-&gt;",$BK373,$BC373)))</f>
        <v/>
      </c>
      <c r="CN373" s="141" t="str">
        <f aca="false">IF(ISBLANK($C373),"",IF($BR373&lt;&gt;Constants!$B$8,"",IF($BI373="-&gt;",$BL373,$BD373)))</f>
        <v/>
      </c>
      <c r="CO373" s="141" t="str">
        <f aca="false">IF(ISBLANK($C373),"",IF($BR373&lt;&gt;Constants!$B$8,"",IF($BI373="-&gt;",$BM373+$BN373,$BE373+$BF373)+$BV373))</f>
        <v/>
      </c>
      <c r="CP373" s="141" t="str">
        <f aca="false">IF(ISBLANK($C373),"",IF($BR373&lt;&gt;Constants!$B$8,"",IF($BI373="-&gt;",$BO373,$BG373)+$BU373))</f>
        <v/>
      </c>
      <c r="CQ373" s="142" t="str">
        <f aca="false">IF(ISBLANK($C373),"",IF($BR373&lt;&gt;Constants!$B$8,$BR373,$BW373))</f>
        <v/>
      </c>
      <c r="CR373" s="143" t="str">
        <f aca="false">IF(ISBLANK($C373),"",$BS373)</f>
        <v/>
      </c>
      <c r="CS373" s="144" t="str">
        <f aca="false">IF(ISBLANK($C373),"",$CH373)</f>
        <v/>
      </c>
      <c r="CT373" s="144" t="str">
        <f aca="false">IF(ISBLANK($C373),"",$CG373)</f>
        <v/>
      </c>
      <c r="CU373" s="145" t="str">
        <f aca="false">IF(ISBLANK($C373),"",IFERROR(_xlfn.SWITCH($CT373,Constants!$B$11,COUNTA($C$9:$C$508)+2,Constants!$B$10,COUNTA($C$9:$C$508)+1,Constants!$B$9,COUNTA($C$9:$C$508)),$CT373))</f>
        <v/>
      </c>
      <c r="CV373" s="9"/>
      <c r="CW373" s="146" t="n">
        <f aca="false">IF(OR(ISNUMBER($CT373),$CT373=Constants!$B$11,$CT373=Constants!$B$9,$CT373=Constants!$B$10),1,0)</f>
        <v>0</v>
      </c>
      <c r="CX373" s="146" t="n">
        <v>365</v>
      </c>
      <c r="CY373" s="146" t="str">
        <f aca="false">IF(ISBLANK($C373),"",IF(ISNUMBER($CU373),$CU373+ROW($B373)/1000,""))</f>
        <v/>
      </c>
      <c r="CZ373" s="146" t="str">
        <f aca="false">IF(ISNUMBER($CY373),RANK($CY373,$CY$9:$CY$508,1),"")</f>
        <v/>
      </c>
      <c r="DA373" s="146" t="str">
        <f aca="false">IF(ISBLANK($C373),"",$B373)</f>
        <v/>
      </c>
      <c r="DB373" s="146" t="str">
        <f aca="false">IF(ISBLANK($C373),"",$C373)</f>
        <v/>
      </c>
      <c r="DC373" s="146" t="str">
        <f aca="false">IF(ISBLANK($C373),"",$D373)</f>
        <v/>
      </c>
      <c r="DD373" s="147" t="str">
        <f aca="false">$CR373</f>
        <v/>
      </c>
      <c r="DE373" s="148" t="str">
        <f aca="false">$CQ373</f>
        <v/>
      </c>
      <c r="DF373" s="146" t="str">
        <f aca="false">IF(ISBLANK($C373),"",$CT373)</f>
        <v/>
      </c>
      <c r="DG373" s="149" t="str">
        <f aca="false">IF($CX373&gt;$CW$8,"",VLOOKUP($CX373,$CZ$9:$DF$508,7,FALSE()))</f>
        <v/>
      </c>
      <c r="DH373" s="150" t="str">
        <f aca="false">IF($CX373&gt;$CW$8,"",VLOOKUP($CX373,$CZ$9:$DF$508,2,FALSE()))</f>
        <v/>
      </c>
      <c r="DI373" s="150" t="str">
        <f aca="false">IF($CX373&gt;$CW$8,"",VLOOKUP($CX373,$CZ$9:$DF$508,3,FALSE()))</f>
        <v/>
      </c>
      <c r="DJ373" s="150" t="str">
        <f aca="false">IF($CX373&gt;$CW$8,"",VLOOKUP($CX373,$CZ$9:$DF$508,4,FALSE()))</f>
        <v/>
      </c>
      <c r="DK373" s="150" t="str">
        <f aca="false">IF($CX373&gt;$CW$8,"",VLOOKUP($CX373,$CZ$9:$DF$508,5,FALSE()))</f>
        <v/>
      </c>
      <c r="DL373" s="151" t="str">
        <f aca="false">IF($CX373&gt;$CW$8,"",VLOOKUP($CX373,$CZ$9:$DF$508,6,FALSE()))</f>
        <v/>
      </c>
      <c r="DM373" s="75"/>
    </row>
    <row r="374" customFormat="false" ht="15.75" hidden="false" customHeight="false" outlineLevel="0" collapsed="false">
      <c r="A374" s="9"/>
      <c r="B374" s="157"/>
      <c r="C374" s="158"/>
      <c r="D374" s="159"/>
      <c r="E374" s="177"/>
      <c r="F374" s="161"/>
      <c r="G374" s="162"/>
      <c r="H374" s="162"/>
      <c r="I374" s="178"/>
      <c r="J374" s="165"/>
      <c r="K374" s="126"/>
      <c r="L374" s="127"/>
      <c r="M374" s="128"/>
      <c r="N374" s="165"/>
      <c r="O374" s="165"/>
      <c r="P374" s="177"/>
      <c r="Q374" s="165"/>
      <c r="R374" s="165"/>
      <c r="S374" s="126"/>
      <c r="T374" s="128"/>
      <c r="U374" s="128"/>
      <c r="V374" s="165"/>
      <c r="W374" s="165"/>
      <c r="X374" s="177"/>
      <c r="Y374" s="165"/>
      <c r="Z374" s="166"/>
      <c r="AA374" s="165"/>
      <c r="AB374" s="132"/>
      <c r="AC374" s="133"/>
      <c r="AD374" s="133"/>
      <c r="AE374" s="133"/>
      <c r="AF374" s="133" t="str">
        <f aca="false">IF(ISBLANK($C374),"",IF(E374=Constants!$B$3,TRUE(),IF(E374=Constants!$B$4,FALSE(),TRUE())))</f>
        <v/>
      </c>
      <c r="AG374" s="133" t="str">
        <f aca="false">IF(ISBLANK($C374),"",IF(F374=Constants!$B$3,TRUE(),IF(F374=Constants!$B$4,FALSE(),TRUE())))</f>
        <v/>
      </c>
      <c r="AH374" s="133" t="str">
        <f aca="false">IF(ISBLANK($C374),"",IF(G374=Constants!$B$3,TRUE(),IF(G374=Constants!$B$4,FALSE(),TRUE())))</f>
        <v/>
      </c>
      <c r="AI374" s="133" t="str">
        <f aca="false">IF(ISBLANK($C374),"",IF(AND(ISNUMBER(H374),H374&gt;=0),H374,Constants!$B$29))</f>
        <v/>
      </c>
      <c r="AJ374" s="133" t="str">
        <f aca="false">IF(ISBLANK($C374),"",IF(I374=Constants!$B$3,TRUE(),IF(I374=Constants!$B$4,FALSE(),TRUE())))</f>
        <v/>
      </c>
      <c r="AK374" s="133" t="str">
        <f aca="false">IF(ISBLANK($C374),"",IF(J374=Constants!$B$3,TRUE(),IF(J374=Constants!$B$4,FALSE(),TRUE())))</f>
        <v/>
      </c>
      <c r="AL374" s="133" t="str">
        <f aca="false">IF(ISBLANK($C374),"",IF(K374=Constants!$B$5,TRUE(),IF(K374=Constants!$B$6,FALSE(),COUNTA(L374:P374)&gt;0)))</f>
        <v/>
      </c>
      <c r="AM374" s="134" t="str">
        <f aca="false">IF(ISBLANK($C374),"",IF(ISNUMBER(L374),IF(L374&gt;=0,L374,""),""))</f>
        <v/>
      </c>
      <c r="AN374" s="135" t="str">
        <f aca="false">IF(ISBLANK($C374),"",IF(ISNUMBER(M374),IF(M374&gt;=0,M374,""),""))</f>
        <v/>
      </c>
      <c r="AO374" s="135" t="str">
        <f aca="false">IF(ISBLANK($C374),"",IF(N374=Constants!$B$3,TRUE(),IF(N374=Constants!$B$4,FALSE(),TRUE())))</f>
        <v/>
      </c>
      <c r="AP374" s="133" t="str">
        <f aca="false">IF(ISBLANK($C374),"",IF(ISNUMBER(O374),IF(O374&gt;=0,O374,""),""))</f>
        <v/>
      </c>
      <c r="AQ374" s="133" t="str">
        <f aca="false">IF(ISBLANK($C374),"",IF(P374=Constants!$B$3,TRUE(),IF(P374=Constants!$B$4,FALSE(),FALSE())))</f>
        <v/>
      </c>
      <c r="AR374" s="133" t="str">
        <f aca="false">IF(ISBLANK($C374),"",IF(Q374=Constants!$B$3,TRUE(),IF(Q374=Constants!$B$4,FALSE(),TRUE())))</f>
        <v/>
      </c>
      <c r="AS374" s="133" t="str">
        <f aca="false">IF(ISBLANK($C374),"",IF(R374=Constants!$B$3,TRUE(),IF(R374=Constants!$B$4,FALSE(),TRUE())))</f>
        <v/>
      </c>
      <c r="AT374" s="133" t="str">
        <f aca="false">IF(ISBLANK($C374),"",IF(S374=Constants!$B$5,TRUE(),IF(S374=Constants!$B$6,FALSE(),COUNTA(T374:X374)&gt;0)))</f>
        <v/>
      </c>
      <c r="AU374" s="134" t="str">
        <f aca="false">IF(ISBLANK($C374),"",IF(ISNUMBER(T374),IF(T374&gt;=0,T374,""),""))</f>
        <v/>
      </c>
      <c r="AV374" s="135" t="str">
        <f aca="false">IF(ISBLANK($C374),"",IF(ISNUMBER(U374),IF(U374&gt;=0,U374,""),""))</f>
        <v/>
      </c>
      <c r="AW374" s="135" t="str">
        <f aca="false">IF(ISBLANK($C374),"",IF(V374=Constants!$B$3,TRUE(),IF(V374=Constants!$B$4,FALSE(),TRUE())))</f>
        <v/>
      </c>
      <c r="AX374" s="133" t="str">
        <f aca="false">IF(ISBLANK($C374),"",IF(ISNUMBER(W374),IF(W374&gt;=0,W374,""),""))</f>
        <v/>
      </c>
      <c r="AY374" s="133" t="str">
        <f aca="false">IF(ISBLANK($C374),"",IF(X374=Constants!$B$3,TRUE(),IF(X374=Constants!$B$4,FALSE(),FALSE())))</f>
        <v/>
      </c>
      <c r="AZ374" s="133" t="str">
        <f aca="false">IF(ISBLANK($C374),"",MIN(Constants!$B$31,MAX(0,IF(ISNUMBER(Y374),Y374*60,0)+IF(ISNUMBER(Z374),Z374,0))))</f>
        <v/>
      </c>
      <c r="BA374" s="133" t="str">
        <f aca="false">IF(ISBLANK($C374),"",IF(AA374=Constants!$B$3,TRUE(),IF(AA374=Constants!$B$4,FALSE(),FALSE())))</f>
        <v/>
      </c>
      <c r="BB374" s="132" t="str">
        <f aca="false">IF(ISBLANK($C374),"",AND($AL374,OR($AM374="",$AN374="",AND($AO374,$AP374=""))))</f>
        <v/>
      </c>
      <c r="BC374" s="135" t="str">
        <f aca="false">IF($BR374&lt;&gt;Constants!$B$8,"",IF($AL374,Constants!$B$21*$AN374+Constants!$B$22*IF($AO374,$AP374,Constants!$B$23),Constants!$B$24))</f>
        <v/>
      </c>
      <c r="BD374" s="136" t="str">
        <f aca="false">IF($BR374&lt;&gt;Constants!$B$8,"",Constants!$B$25*ABS($AD$9-IF($AL374,$AM374,0)))</f>
        <v/>
      </c>
      <c r="BE374" s="136" t="str">
        <f aca="false">IF($BR374&lt;&gt;Constants!$B$8,"",IF(AND($AL374,$AQ374,$AO374),Constants!$B$27,0))</f>
        <v/>
      </c>
      <c r="BF374" s="136" t="str">
        <f aca="false">IF($BR374&lt;&gt;Constants!$B$8,"",IF($AL374,($AI374-Constants!$B$29)*Constants!$B$28,0))</f>
        <v/>
      </c>
      <c r="BG374" s="136" t="str">
        <f aca="false">IF($BR374&lt;&gt;Constants!$B$8,"",IF($AK374,0,Constants!$B$15)+IF($AJ374,0,Constants!$B$16)+IF($AH374,0,Constants!$B$17))</f>
        <v/>
      </c>
      <c r="BH374" s="137" t="str">
        <f aca="false">IF($BR374&lt;&gt;Constants!$B$8,"",Constants!$B$20+SUM($BC374:$BG374))</f>
        <v/>
      </c>
      <c r="BI374" s="133" t="str">
        <f aca="false">IF($BR374&lt;&gt;Constants!$B$8,"",IF(OR($BP374&lt;$BH374,AND($BP374=$BH374,OR($BK374&lt;$BC374,AND($BK374=$BC374,OR($BL374&lt;$BD374,AND($BL374=$BD374,$AT374,$AL374,$AV374&lt;$AN374)))))),"-&gt;","&lt;-"))</f>
        <v/>
      </c>
      <c r="BJ374" s="132" t="str">
        <f aca="false">IF(ISBLANK($C374),"",AND($AT374,OR($AU374="",$AV374="",AND($AW374,$AX374=""))))</f>
        <v/>
      </c>
      <c r="BK374" s="135" t="str">
        <f aca="false">IF($BR374&lt;&gt;Constants!$B$8,"",IF($AT374,Constants!$B$21*$AV374+Constants!$B$22*IF($AW374,$AX374,Constants!$B$23),Constants!$B$24))</f>
        <v/>
      </c>
      <c r="BL374" s="136" t="str">
        <f aca="false">IF($BR374&lt;&gt;Constants!$B$8,"",Constants!$B$25*ABS($AD$9-IF($AT374,$AU374,0)))</f>
        <v/>
      </c>
      <c r="BM374" s="136" t="str">
        <f aca="false">IF($BR374&lt;&gt;Constants!$B$8,"",IF(AND($AT374,$AY374,$AW374),Constants!$B$27,0))</f>
        <v/>
      </c>
      <c r="BN374" s="136" t="str">
        <f aca="false">IF($BR374&lt;&gt;Constants!$B$8,"",IF($AT374,($AI374-Constants!$B$29)*Constants!$B$28,0))</f>
        <v/>
      </c>
      <c r="BO374" s="136" t="str">
        <f aca="false">IF($BR374&lt;&gt;Constants!$B$8,"",IF($AS374,0,Constants!$B$15)+IF($AR374,0,Constants!$B$16)+IF($AH374,0,Constants!$B$17))</f>
        <v/>
      </c>
      <c r="BP374" s="137" t="str">
        <f aca="false">IF($BR374&lt;&gt;Constants!$B$8,"",Constants!$B$20+SUM($BK374:$BO374))</f>
        <v/>
      </c>
      <c r="BQ374" s="133" t="str">
        <f aca="false">IF(ISBLANK($C374),"",IF(ISBLANK($D$7),$BQ$5,IF(NOT(ISNUMBER($D$7)),$BQ$6,"")))</f>
        <v/>
      </c>
      <c r="BR374" s="133" t="str">
        <f aca="false">IF(ISBLANK($C374),"",IF($BA374,Constants!$B$11,IF(COUNTA($E374:$AA374)=0,Constants!$B$10,IF(NOT($AG374),Constants!$B$9,IF(OR($BQ374&lt;&gt;"",$BB374,$BJ374),Constants!$B$12,Constants!$B$8)))))</f>
        <v/>
      </c>
      <c r="BS374" s="133" t="str">
        <f aca="false">IF(ISBLANK($C374),"",IF($BR374&lt;&gt;Constants!$B$8,$BR374,Constants!$B$13))</f>
        <v/>
      </c>
      <c r="BT374" s="136" t="str">
        <f aca="false">IF($BR374&lt;&gt;Constants!$B$8,"",IF($BI374="-&gt;",$BP374,$BH374))</f>
        <v/>
      </c>
      <c r="BU374" s="136" t="str">
        <f aca="false">IF($BR374&lt;&gt;Constants!$B$8,"",IF($AF374,0,Constants!$B$18))</f>
        <v/>
      </c>
      <c r="BV374" s="136" t="str">
        <f aca="false">IF($BR374&lt;&gt;Constants!$B$8,"",((Constants!$B$31-$AZ374)-Constants!$B$31)/Constants!$B$32)</f>
        <v/>
      </c>
      <c r="BW374" s="136" t="str">
        <f aca="false">IF(ISBLANK($C374),"",IF($BR374&lt;&gt;Constants!$B$8,$BR374,SUM($BT374:$BV374)))</f>
        <v/>
      </c>
      <c r="BX374" s="133" t="str">
        <f aca="false">IF(ISBLANK($C374),"",IF($BR374&lt;&gt;Constants!$B$8,$BR374,RANK($BW374,$BW$9:$BW$508,1)))</f>
        <v/>
      </c>
      <c r="BY374" s="136" t="str">
        <f aca="false">IF($BR374&lt;&gt;Constants!$B$8,"",IF($BI374="-&gt;",$BK374,$BC374))</f>
        <v/>
      </c>
      <c r="BZ374" s="133" t="str">
        <f aca="false">IF(ISBLANK($C374),"",IF($BR374&lt;&gt;Constants!$B$8,$BR374,IF(ISNUMBER($BY374),RANK($BY374,$BY$9:$BY$508,1),COUNT($BY$9:$BY$508)+1)))</f>
        <v/>
      </c>
      <c r="CA374" s="136" t="str">
        <f aca="false">IF($BR374&lt;&gt;Constants!$B$8,"",IF($BI374="-&gt;",$BL374,$BD374))</f>
        <v/>
      </c>
      <c r="CB374" s="133" t="str">
        <f aca="false">IF(ISBLANK($C374),"",IF($BR374&lt;&gt;Constants!$B$8,$BR374,IF(ISNUMBER($CA374),RANK($CA374,$CA$9:$CA$508,1),COUNT($CA$9:$CA$508)+1)))</f>
        <v/>
      </c>
      <c r="CC374" s="136" t="str">
        <f aca="false">IF($BR374&lt;&gt;Constants!$B$8,"",IF($BI374="-&gt;",IF($AT374,$AV374,""),IF($AL374,$AN374,"")))</f>
        <v/>
      </c>
      <c r="CD374" s="133" t="str">
        <f aca="false">IF(ISBLANK($C374),"",IF($BR374&lt;&gt;Constants!$B$8,$BR374,IF(ISNUMBER($CC374),RANK($CC374,$CC$9:$CC$508,1),COUNT($CC$9:$CC$508)+1)))</f>
        <v/>
      </c>
      <c r="CE374" s="136" t="str">
        <f aca="false">IF($BR374&lt;&gt;Constants!$B$8,"",IF(AND(NOT($AL374),NOT($AT374),$AJ374,$AK374,$AR374,$AS374),"",$AI374))</f>
        <v/>
      </c>
      <c r="CF374" s="133" t="str">
        <f aca="false">IF(ISBLANK($C374),"",IF($BR374&lt;&gt;Constants!$B$8,$BR374,IF(ISNUMBER($CE374),RANK($CE374,$CE$9:$CE$508,1),COUNT($CE$9:$CE$508)+1)))</f>
        <v/>
      </c>
      <c r="CG374" s="133" t="str">
        <f aca="false">IF(ISBLANK($C374),"",IF($BR374&lt;&gt;Constants!$B$8,$BR374,COUNTIFS($BX$9:$BX$508,"&lt;"&amp;$BX374)+COUNTIFS($BX$9:$BX$508,$BX374,$BZ$9:$BZ$508,"&lt;"&amp;$BZ374)+COUNTIFS($BX$9:$BX$508,$BX374,$BZ$9:$BZ$508,$BZ374,$CB$9:$CB$508,"&lt;"&amp;$CB374)+COUNTIFS($BX$9:$BX$508,$BX374,$BZ$9:$BZ$508,$BZ374,$CB$9:$CB$508,$CB374,$CD$9:$CD$508,"&lt;"&amp;$CD374)+COUNTIFS($BX$9:$BX$508,$BX374,$BZ$9:$BZ$508,$BZ374,$CB$9:$CB$508,$CB374,$CD$9:$CD$508,$CD374,$CF$9:$CF$508,"&lt;"&amp;$CF374)+1))</f>
        <v/>
      </c>
      <c r="CH374" s="133" t="str">
        <f aca="false">IF(ISBLANK($C374),"",IF($BR374&lt;&gt;Constants!$B$8,$BR374,$BX374-$CG374))</f>
        <v/>
      </c>
      <c r="CI374" s="138"/>
      <c r="CJ374" s="139"/>
      <c r="CK374" s="140" t="str">
        <f aca="false">IF(ISBLANK($C374),"",IF($BR374=Constants!$B$12,$BQ374,""))</f>
        <v/>
      </c>
      <c r="CL374" s="139" t="str">
        <f aca="false">IF(ISBLANK($C374),"",IF($BR374&lt;&gt;Constants!$B$8,"",IF($BI374="-&gt;",2,1)))</f>
        <v/>
      </c>
      <c r="CM374" s="141" t="str">
        <f aca="false">IF(ISBLANK($C374),"",IF($BR374&lt;&gt;Constants!$B$8,"",IF($BI374="-&gt;",$BK374,$BC374)))</f>
        <v/>
      </c>
      <c r="CN374" s="141" t="str">
        <f aca="false">IF(ISBLANK($C374),"",IF($BR374&lt;&gt;Constants!$B$8,"",IF($BI374="-&gt;",$BL374,$BD374)))</f>
        <v/>
      </c>
      <c r="CO374" s="141" t="str">
        <f aca="false">IF(ISBLANK($C374),"",IF($BR374&lt;&gt;Constants!$B$8,"",IF($BI374="-&gt;",$BM374+$BN374,$BE374+$BF374)+$BV374))</f>
        <v/>
      </c>
      <c r="CP374" s="141" t="str">
        <f aca="false">IF(ISBLANK($C374),"",IF($BR374&lt;&gt;Constants!$B$8,"",IF($BI374="-&gt;",$BO374,$BG374)+$BU374))</f>
        <v/>
      </c>
      <c r="CQ374" s="142" t="str">
        <f aca="false">IF(ISBLANK($C374),"",IF($BR374&lt;&gt;Constants!$B$8,$BR374,$BW374))</f>
        <v/>
      </c>
      <c r="CR374" s="143" t="str">
        <f aca="false">IF(ISBLANK($C374),"",$BS374)</f>
        <v/>
      </c>
      <c r="CS374" s="144" t="str">
        <f aca="false">IF(ISBLANK($C374),"",$CH374)</f>
        <v/>
      </c>
      <c r="CT374" s="144" t="str">
        <f aca="false">IF(ISBLANK($C374),"",$CG374)</f>
        <v/>
      </c>
      <c r="CU374" s="145" t="str">
        <f aca="false">IF(ISBLANK($C374),"",IFERROR(_xlfn.SWITCH($CT374,Constants!$B$11,COUNTA($C$9:$C$508)+2,Constants!$B$10,COUNTA($C$9:$C$508)+1,Constants!$B$9,COUNTA($C$9:$C$508)),$CT374))</f>
        <v/>
      </c>
      <c r="CV374" s="9"/>
      <c r="CW374" s="146" t="n">
        <f aca="false">IF(OR(ISNUMBER($CT374),$CT374=Constants!$B$11,$CT374=Constants!$B$9,$CT374=Constants!$B$10),1,0)</f>
        <v>0</v>
      </c>
      <c r="CX374" s="146" t="n">
        <v>366</v>
      </c>
      <c r="CY374" s="146" t="str">
        <f aca="false">IF(ISBLANK($C374),"",IF(ISNUMBER($CU374),$CU374+ROW($B374)/1000,""))</f>
        <v/>
      </c>
      <c r="CZ374" s="146" t="str">
        <f aca="false">IF(ISNUMBER($CY374),RANK($CY374,$CY$9:$CY$508,1),"")</f>
        <v/>
      </c>
      <c r="DA374" s="146" t="str">
        <f aca="false">IF(ISBLANK($C374),"",$B374)</f>
        <v/>
      </c>
      <c r="DB374" s="146" t="str">
        <f aca="false">IF(ISBLANK($C374),"",$C374)</f>
        <v/>
      </c>
      <c r="DC374" s="146" t="str">
        <f aca="false">IF(ISBLANK($C374),"",$D374)</f>
        <v/>
      </c>
      <c r="DD374" s="147" t="str">
        <f aca="false">$CR374</f>
        <v/>
      </c>
      <c r="DE374" s="148" t="str">
        <f aca="false">$CQ374</f>
        <v/>
      </c>
      <c r="DF374" s="146" t="str">
        <f aca="false">IF(ISBLANK($C374),"",$CT374)</f>
        <v/>
      </c>
      <c r="DG374" s="149" t="str">
        <f aca="false">IF($CX374&gt;$CW$8,"",VLOOKUP($CX374,$CZ$9:$DF$508,7,FALSE()))</f>
        <v/>
      </c>
      <c r="DH374" s="150" t="str">
        <f aca="false">IF($CX374&gt;$CW$8,"",VLOOKUP($CX374,$CZ$9:$DF$508,2,FALSE()))</f>
        <v/>
      </c>
      <c r="DI374" s="150" t="str">
        <f aca="false">IF($CX374&gt;$CW$8,"",VLOOKUP($CX374,$CZ$9:$DF$508,3,FALSE()))</f>
        <v/>
      </c>
      <c r="DJ374" s="150" t="str">
        <f aca="false">IF($CX374&gt;$CW$8,"",VLOOKUP($CX374,$CZ$9:$DF$508,4,FALSE()))</f>
        <v/>
      </c>
      <c r="DK374" s="150" t="str">
        <f aca="false">IF($CX374&gt;$CW$8,"",VLOOKUP($CX374,$CZ$9:$DF$508,5,FALSE()))</f>
        <v/>
      </c>
      <c r="DL374" s="151" t="str">
        <f aca="false">IF($CX374&gt;$CW$8,"",VLOOKUP($CX374,$CZ$9:$DF$508,6,FALSE()))</f>
        <v/>
      </c>
      <c r="DM374" s="75"/>
    </row>
    <row r="375" customFormat="false" ht="15.75" hidden="false" customHeight="false" outlineLevel="0" collapsed="false">
      <c r="A375" s="9"/>
      <c r="B375" s="77"/>
      <c r="C375" s="78"/>
      <c r="D375" s="167"/>
      <c r="E375" s="175"/>
      <c r="F375" s="169"/>
      <c r="G375" s="170"/>
      <c r="H375" s="170"/>
      <c r="I375" s="176"/>
      <c r="J375" s="173"/>
      <c r="K375" s="85"/>
      <c r="L375" s="86"/>
      <c r="M375" s="87"/>
      <c r="N375" s="173"/>
      <c r="O375" s="173"/>
      <c r="P375" s="175"/>
      <c r="Q375" s="173"/>
      <c r="R375" s="173"/>
      <c r="S375" s="85"/>
      <c r="T375" s="87"/>
      <c r="U375" s="87"/>
      <c r="V375" s="173"/>
      <c r="W375" s="173"/>
      <c r="X375" s="175"/>
      <c r="Y375" s="173"/>
      <c r="Z375" s="174"/>
      <c r="AA375" s="173"/>
      <c r="AB375" s="91"/>
      <c r="AC375" s="92"/>
      <c r="AD375" s="92"/>
      <c r="AE375" s="92"/>
      <c r="AF375" s="92" t="str">
        <f aca="false">IF(ISBLANK($C375),"",IF(E375=Constants!$B$3,TRUE(),IF(E375=Constants!$B$4,FALSE(),TRUE())))</f>
        <v/>
      </c>
      <c r="AG375" s="92" t="str">
        <f aca="false">IF(ISBLANK($C375),"",IF(F375=Constants!$B$3,TRUE(),IF(F375=Constants!$B$4,FALSE(),TRUE())))</f>
        <v/>
      </c>
      <c r="AH375" s="92" t="str">
        <f aca="false">IF(ISBLANK($C375),"",IF(G375=Constants!$B$3,TRUE(),IF(G375=Constants!$B$4,FALSE(),TRUE())))</f>
        <v/>
      </c>
      <c r="AI375" s="92" t="str">
        <f aca="false">IF(ISBLANK($C375),"",IF(AND(ISNUMBER(H375),H375&gt;=0),H375,Constants!$B$29))</f>
        <v/>
      </c>
      <c r="AJ375" s="92" t="str">
        <f aca="false">IF(ISBLANK($C375),"",IF(I375=Constants!$B$3,TRUE(),IF(I375=Constants!$B$4,FALSE(),TRUE())))</f>
        <v/>
      </c>
      <c r="AK375" s="92" t="str">
        <f aca="false">IF(ISBLANK($C375),"",IF(J375=Constants!$B$3,TRUE(),IF(J375=Constants!$B$4,FALSE(),TRUE())))</f>
        <v/>
      </c>
      <c r="AL375" s="92" t="str">
        <f aca="false">IF(ISBLANK($C375),"",IF(K375=Constants!$B$5,TRUE(),IF(K375=Constants!$B$6,FALSE(),COUNTA(L375:P375)&gt;0)))</f>
        <v/>
      </c>
      <c r="AM375" s="94" t="str">
        <f aca="false">IF(ISBLANK($C375),"",IF(ISNUMBER(L375),IF(L375&gt;=0,L375,""),""))</f>
        <v/>
      </c>
      <c r="AN375" s="93" t="str">
        <f aca="false">IF(ISBLANK($C375),"",IF(ISNUMBER(M375),IF(M375&gt;=0,M375,""),""))</f>
        <v/>
      </c>
      <c r="AO375" s="93" t="str">
        <f aca="false">IF(ISBLANK($C375),"",IF(N375=Constants!$B$3,TRUE(),IF(N375=Constants!$B$4,FALSE(),TRUE())))</f>
        <v/>
      </c>
      <c r="AP375" s="92" t="str">
        <f aca="false">IF(ISBLANK($C375),"",IF(ISNUMBER(O375),IF(O375&gt;=0,O375,""),""))</f>
        <v/>
      </c>
      <c r="AQ375" s="92" t="str">
        <f aca="false">IF(ISBLANK($C375),"",IF(P375=Constants!$B$3,TRUE(),IF(P375=Constants!$B$4,FALSE(),FALSE())))</f>
        <v/>
      </c>
      <c r="AR375" s="92" t="str">
        <f aca="false">IF(ISBLANK($C375),"",IF(Q375=Constants!$B$3,TRUE(),IF(Q375=Constants!$B$4,FALSE(),TRUE())))</f>
        <v/>
      </c>
      <c r="AS375" s="92" t="str">
        <f aca="false">IF(ISBLANK($C375),"",IF(R375=Constants!$B$3,TRUE(),IF(R375=Constants!$B$4,FALSE(),TRUE())))</f>
        <v/>
      </c>
      <c r="AT375" s="92" t="str">
        <f aca="false">IF(ISBLANK($C375),"",IF(S375=Constants!$B$5,TRUE(),IF(S375=Constants!$B$6,FALSE(),COUNTA(T375:X375)&gt;0)))</f>
        <v/>
      </c>
      <c r="AU375" s="94" t="str">
        <f aca="false">IF(ISBLANK($C375),"",IF(ISNUMBER(T375),IF(T375&gt;=0,T375,""),""))</f>
        <v/>
      </c>
      <c r="AV375" s="93" t="str">
        <f aca="false">IF(ISBLANK($C375),"",IF(ISNUMBER(U375),IF(U375&gt;=0,U375,""),""))</f>
        <v/>
      </c>
      <c r="AW375" s="93" t="str">
        <f aca="false">IF(ISBLANK($C375),"",IF(V375=Constants!$B$3,TRUE(),IF(V375=Constants!$B$4,FALSE(),TRUE())))</f>
        <v/>
      </c>
      <c r="AX375" s="92" t="str">
        <f aca="false">IF(ISBLANK($C375),"",IF(ISNUMBER(W375),IF(W375&gt;=0,W375,""),""))</f>
        <v/>
      </c>
      <c r="AY375" s="92" t="str">
        <f aca="false">IF(ISBLANK($C375),"",IF(X375=Constants!$B$3,TRUE(),IF(X375=Constants!$B$4,FALSE(),FALSE())))</f>
        <v/>
      </c>
      <c r="AZ375" s="92" t="str">
        <f aca="false">IF(ISBLANK($C375),"",MIN(Constants!$B$31,MAX(0,IF(ISNUMBER(Y375),Y375*60,0)+IF(ISNUMBER(Z375),Z375,0))))</f>
        <v/>
      </c>
      <c r="BA375" s="92" t="str">
        <f aca="false">IF(ISBLANK($C375),"",IF(AA375=Constants!$B$3,TRUE(),IF(AA375=Constants!$B$4,FALSE(),FALSE())))</f>
        <v/>
      </c>
      <c r="BB375" s="91" t="str">
        <f aca="false">IF(ISBLANK($C375),"",AND($AL375,OR($AM375="",$AN375="",AND($AO375,$AP375=""))))</f>
        <v/>
      </c>
      <c r="BC375" s="93" t="str">
        <f aca="false">IF($BR375&lt;&gt;Constants!$B$8,"",IF($AL375,Constants!$B$21*$AN375+Constants!$B$22*IF($AO375,$AP375,Constants!$B$23),Constants!$B$24))</f>
        <v/>
      </c>
      <c r="BD375" s="96" t="str">
        <f aca="false">IF($BR375&lt;&gt;Constants!$B$8,"",Constants!$B$25*ABS($AD$9-IF($AL375,$AM375,0)))</f>
        <v/>
      </c>
      <c r="BE375" s="96" t="str">
        <f aca="false">IF($BR375&lt;&gt;Constants!$B$8,"",IF(AND($AL375,$AQ375,$AO375),Constants!$B$27,0))</f>
        <v/>
      </c>
      <c r="BF375" s="96" t="str">
        <f aca="false">IF($BR375&lt;&gt;Constants!$B$8,"",IF($AL375,($AI375-Constants!$B$29)*Constants!$B$28,0))</f>
        <v/>
      </c>
      <c r="BG375" s="96" t="str">
        <f aca="false">IF($BR375&lt;&gt;Constants!$B$8,"",IF($AK375,0,Constants!$B$15)+IF($AJ375,0,Constants!$B$16)+IF($AH375,0,Constants!$B$17))</f>
        <v/>
      </c>
      <c r="BH375" s="97" t="str">
        <f aca="false">IF($BR375&lt;&gt;Constants!$B$8,"",Constants!$B$20+SUM($BC375:$BG375))</f>
        <v/>
      </c>
      <c r="BI375" s="92" t="str">
        <f aca="false">IF($BR375&lt;&gt;Constants!$B$8,"",IF(OR($BP375&lt;$BH375,AND($BP375=$BH375,OR($BK375&lt;$BC375,AND($BK375=$BC375,OR($BL375&lt;$BD375,AND($BL375=$BD375,$AT375,$AL375,$AV375&lt;$AN375)))))),"-&gt;","&lt;-"))</f>
        <v/>
      </c>
      <c r="BJ375" s="91" t="str">
        <f aca="false">IF(ISBLANK($C375),"",AND($AT375,OR($AU375="",$AV375="",AND($AW375,$AX375=""))))</f>
        <v/>
      </c>
      <c r="BK375" s="93" t="str">
        <f aca="false">IF($BR375&lt;&gt;Constants!$B$8,"",IF($AT375,Constants!$B$21*$AV375+Constants!$B$22*IF($AW375,$AX375,Constants!$B$23),Constants!$B$24))</f>
        <v/>
      </c>
      <c r="BL375" s="96" t="str">
        <f aca="false">IF($BR375&lt;&gt;Constants!$B$8,"",Constants!$B$25*ABS($AD$9-IF($AT375,$AU375,0)))</f>
        <v/>
      </c>
      <c r="BM375" s="96" t="str">
        <f aca="false">IF($BR375&lt;&gt;Constants!$B$8,"",IF(AND($AT375,$AY375,$AW375),Constants!$B$27,0))</f>
        <v/>
      </c>
      <c r="BN375" s="96" t="str">
        <f aca="false">IF($BR375&lt;&gt;Constants!$B$8,"",IF($AT375,($AI375-Constants!$B$29)*Constants!$B$28,0))</f>
        <v/>
      </c>
      <c r="BO375" s="96" t="str">
        <f aca="false">IF($BR375&lt;&gt;Constants!$B$8,"",IF($AS375,0,Constants!$B$15)+IF($AR375,0,Constants!$B$16)+IF($AH375,0,Constants!$B$17))</f>
        <v/>
      </c>
      <c r="BP375" s="97" t="str">
        <f aca="false">IF($BR375&lt;&gt;Constants!$B$8,"",Constants!$B$20+SUM($BK375:$BO375))</f>
        <v/>
      </c>
      <c r="BQ375" s="92" t="str">
        <f aca="false">IF(ISBLANK($C375),"",IF(ISBLANK($D$7),$BQ$5,IF(NOT(ISNUMBER($D$7)),$BQ$6,"")))</f>
        <v/>
      </c>
      <c r="BR375" s="92" t="str">
        <f aca="false">IF(ISBLANK($C375),"",IF($BA375,Constants!$B$11,IF(COUNTA($E375:$AA375)=0,Constants!$B$10,IF(NOT($AG375),Constants!$B$9,IF(OR($BQ375&lt;&gt;"",$BB375,$BJ375),Constants!$B$12,Constants!$B$8)))))</f>
        <v/>
      </c>
      <c r="BS375" s="92" t="str">
        <f aca="false">IF(ISBLANK($C375),"",IF($BR375&lt;&gt;Constants!$B$8,$BR375,Constants!$B$13))</f>
        <v/>
      </c>
      <c r="BT375" s="96" t="str">
        <f aca="false">IF($BR375&lt;&gt;Constants!$B$8,"",IF($BI375="-&gt;",$BP375,$BH375))</f>
        <v/>
      </c>
      <c r="BU375" s="96" t="str">
        <f aca="false">IF($BR375&lt;&gt;Constants!$B$8,"",IF($AF375,0,Constants!$B$18))</f>
        <v/>
      </c>
      <c r="BV375" s="96" t="str">
        <f aca="false">IF($BR375&lt;&gt;Constants!$B$8,"",((Constants!$B$31-$AZ375)-Constants!$B$31)/Constants!$B$32)</f>
        <v/>
      </c>
      <c r="BW375" s="96" t="str">
        <f aca="false">IF(ISBLANK($C375),"",IF($BR375&lt;&gt;Constants!$B$8,$BR375,SUM($BT375:$BV375)))</f>
        <v/>
      </c>
      <c r="BX375" s="92" t="str">
        <f aca="false">IF(ISBLANK($C375),"",IF($BR375&lt;&gt;Constants!$B$8,$BR375,RANK($BW375,$BW$9:$BW$508,1)))</f>
        <v/>
      </c>
      <c r="BY375" s="96" t="str">
        <f aca="false">IF($BR375&lt;&gt;Constants!$B$8,"",IF($BI375="-&gt;",$BK375,$BC375))</f>
        <v/>
      </c>
      <c r="BZ375" s="92" t="str">
        <f aca="false">IF(ISBLANK($C375),"",IF($BR375&lt;&gt;Constants!$B$8,$BR375,IF(ISNUMBER($BY375),RANK($BY375,$BY$9:$BY$508,1),COUNT($BY$9:$BY$508)+1)))</f>
        <v/>
      </c>
      <c r="CA375" s="96" t="str">
        <f aca="false">IF($BR375&lt;&gt;Constants!$B$8,"",IF($BI375="-&gt;",$BL375,$BD375))</f>
        <v/>
      </c>
      <c r="CB375" s="92" t="str">
        <f aca="false">IF(ISBLANK($C375),"",IF($BR375&lt;&gt;Constants!$B$8,$BR375,IF(ISNUMBER($CA375),RANK($CA375,$CA$9:$CA$508,1),COUNT($CA$9:$CA$508)+1)))</f>
        <v/>
      </c>
      <c r="CC375" s="96" t="str">
        <f aca="false">IF($BR375&lt;&gt;Constants!$B$8,"",IF($BI375="-&gt;",IF($AT375,$AV375,""),IF($AL375,$AN375,"")))</f>
        <v/>
      </c>
      <c r="CD375" s="92" t="str">
        <f aca="false">IF(ISBLANK($C375),"",IF($BR375&lt;&gt;Constants!$B$8,$BR375,IF(ISNUMBER($CC375),RANK($CC375,$CC$9:$CC$508,1),COUNT($CC$9:$CC$508)+1)))</f>
        <v/>
      </c>
      <c r="CE375" s="96" t="str">
        <f aca="false">IF($BR375&lt;&gt;Constants!$B$8,"",IF(AND(NOT($AL375),NOT($AT375),$AJ375,$AK375,$AR375,$AS375),"",$AI375))</f>
        <v/>
      </c>
      <c r="CF375" s="92" t="str">
        <f aca="false">IF(ISBLANK($C375),"",IF($BR375&lt;&gt;Constants!$B$8,$BR375,IF(ISNUMBER($CE375),RANK($CE375,$CE$9:$CE$508,1),COUNT($CE$9:$CE$508)+1)))</f>
        <v/>
      </c>
      <c r="CG375" s="92" t="str">
        <f aca="false">IF(ISBLANK($C375),"",IF($BR375&lt;&gt;Constants!$B$8,$BR375,COUNTIFS($BX$9:$BX$508,"&lt;"&amp;$BX375)+COUNTIFS($BX$9:$BX$508,$BX375,$BZ$9:$BZ$508,"&lt;"&amp;$BZ375)+COUNTIFS($BX$9:$BX$508,$BX375,$BZ$9:$BZ$508,$BZ375,$CB$9:$CB$508,"&lt;"&amp;$CB375)+COUNTIFS($BX$9:$BX$508,$BX375,$BZ$9:$BZ$508,$BZ375,$CB$9:$CB$508,$CB375,$CD$9:$CD$508,"&lt;"&amp;$CD375)+COUNTIFS($BX$9:$BX$508,$BX375,$BZ$9:$BZ$508,$BZ375,$CB$9:$CB$508,$CB375,$CD$9:$CD$508,$CD375,$CF$9:$CF$508,"&lt;"&amp;$CF375)+1))</f>
        <v/>
      </c>
      <c r="CH375" s="92" t="str">
        <f aca="false">IF(ISBLANK($C375),"",IF($BR375&lt;&gt;Constants!$B$8,$BR375,$BX375-$CG375))</f>
        <v/>
      </c>
      <c r="CI375" s="98"/>
      <c r="CJ375" s="99"/>
      <c r="CK375" s="100" t="str">
        <f aca="false">IF(ISBLANK($C375),"",IF($BR375=Constants!$B$12,$BQ375,""))</f>
        <v/>
      </c>
      <c r="CL375" s="99" t="str">
        <f aca="false">IF(ISBLANK($C375),"",IF($BR375&lt;&gt;Constants!$B$8,"",IF($BI375="-&gt;",2,1)))</f>
        <v/>
      </c>
      <c r="CM375" s="101" t="str">
        <f aca="false">IF(ISBLANK($C375),"",IF($BR375&lt;&gt;Constants!$B$8,"",IF($BI375="-&gt;",$BK375,$BC375)))</f>
        <v/>
      </c>
      <c r="CN375" s="101" t="str">
        <f aca="false">IF(ISBLANK($C375),"",IF($BR375&lt;&gt;Constants!$B$8,"",IF($BI375="-&gt;",$BL375,$BD375)))</f>
        <v/>
      </c>
      <c r="CO375" s="101" t="str">
        <f aca="false">IF(ISBLANK($C375),"",IF($BR375&lt;&gt;Constants!$B$8,"",IF($BI375="-&gt;",$BM375+$BN375,$BE375+$BF375)+$BV375))</f>
        <v/>
      </c>
      <c r="CP375" s="101" t="str">
        <f aca="false">IF(ISBLANK($C375),"",IF($BR375&lt;&gt;Constants!$B$8,"",IF($BI375="-&gt;",$BO375,$BG375)+$BU375))</f>
        <v/>
      </c>
      <c r="CQ375" s="102" t="str">
        <f aca="false">IF(ISBLANK($C375),"",IF($BR375&lt;&gt;Constants!$B$8,$BR375,$BW375))</f>
        <v/>
      </c>
      <c r="CR375" s="103" t="str">
        <f aca="false">IF(ISBLANK($C375),"",$BS375)</f>
        <v/>
      </c>
      <c r="CS375" s="104" t="str">
        <f aca="false">IF(ISBLANK($C375),"",$CH375)</f>
        <v/>
      </c>
      <c r="CT375" s="104" t="str">
        <f aca="false">IF(ISBLANK($C375),"",$CG375)</f>
        <v/>
      </c>
      <c r="CU375" s="105" t="str">
        <f aca="false">IF(ISBLANK($C375),"",IFERROR(_xlfn.SWITCH($CT375,Constants!$B$11,COUNTA($C$9:$C$508)+2,Constants!$B$10,COUNTA($C$9:$C$508)+1,Constants!$B$9,COUNTA($C$9:$C$508)),$CT375))</f>
        <v/>
      </c>
      <c r="CV375" s="9"/>
      <c r="CW375" s="106" t="n">
        <f aca="false">IF(OR(ISNUMBER($CT375),$CT375=Constants!$B$11,$CT375=Constants!$B$9,$CT375=Constants!$B$10),1,0)</f>
        <v>0</v>
      </c>
      <c r="CX375" s="106" t="n">
        <v>367</v>
      </c>
      <c r="CY375" s="106" t="str">
        <f aca="false">IF(ISBLANK($C375),"",IF(ISNUMBER($CU375),$CU375+ROW($B375)/1000,""))</f>
        <v/>
      </c>
      <c r="CZ375" s="106" t="str">
        <f aca="false">IF(ISNUMBER($CY375),RANK($CY375,$CY$9:$CY$508,1),"")</f>
        <v/>
      </c>
      <c r="DA375" s="106" t="str">
        <f aca="false">IF(ISBLANK($C375),"",$B375)</f>
        <v/>
      </c>
      <c r="DB375" s="106" t="str">
        <f aca="false">IF(ISBLANK($C375),"",$C375)</f>
        <v/>
      </c>
      <c r="DC375" s="106" t="str">
        <f aca="false">IF(ISBLANK($C375),"",$D375)</f>
        <v/>
      </c>
      <c r="DD375" s="107" t="str">
        <f aca="false">$CR375</f>
        <v/>
      </c>
      <c r="DE375" s="108" t="str">
        <f aca="false">$CQ375</f>
        <v/>
      </c>
      <c r="DF375" s="106" t="str">
        <f aca="false">IF(ISBLANK($C375),"",$CT375)</f>
        <v/>
      </c>
      <c r="DG375" s="109" t="str">
        <f aca="false">IF($CX375&gt;$CW$8,"",VLOOKUP($CX375,$CZ$9:$DF$508,7,FALSE()))</f>
        <v/>
      </c>
      <c r="DH375" s="110" t="str">
        <f aca="false">IF($CX375&gt;$CW$8,"",VLOOKUP($CX375,$CZ$9:$DF$508,2,FALSE()))</f>
        <v/>
      </c>
      <c r="DI375" s="110" t="str">
        <f aca="false">IF($CX375&gt;$CW$8,"",VLOOKUP($CX375,$CZ$9:$DF$508,3,FALSE()))</f>
        <v/>
      </c>
      <c r="DJ375" s="110" t="str">
        <f aca="false">IF($CX375&gt;$CW$8,"",VLOOKUP($CX375,$CZ$9:$DF$508,4,FALSE()))</f>
        <v/>
      </c>
      <c r="DK375" s="110" t="str">
        <f aca="false">IF($CX375&gt;$CW$8,"",VLOOKUP($CX375,$CZ$9:$DF$508,5,FALSE()))</f>
        <v/>
      </c>
      <c r="DL375" s="111" t="str">
        <f aca="false">IF($CX375&gt;$CW$8,"",VLOOKUP($CX375,$CZ$9:$DF$508,6,FALSE()))</f>
        <v/>
      </c>
      <c r="DM375" s="75"/>
    </row>
    <row r="376" customFormat="false" ht="15.75" hidden="false" customHeight="false" outlineLevel="0" collapsed="false">
      <c r="A376" s="9"/>
      <c r="B376" s="77"/>
      <c r="C376" s="78"/>
      <c r="D376" s="167"/>
      <c r="E376" s="175"/>
      <c r="F376" s="169"/>
      <c r="G376" s="170"/>
      <c r="H376" s="170"/>
      <c r="I376" s="176"/>
      <c r="J376" s="173"/>
      <c r="K376" s="85"/>
      <c r="L376" s="86"/>
      <c r="M376" s="87"/>
      <c r="N376" s="173"/>
      <c r="O376" s="173"/>
      <c r="P376" s="175"/>
      <c r="Q376" s="173"/>
      <c r="R376" s="173"/>
      <c r="S376" s="85"/>
      <c r="T376" s="87"/>
      <c r="U376" s="87"/>
      <c r="V376" s="173"/>
      <c r="W376" s="173"/>
      <c r="X376" s="175"/>
      <c r="Y376" s="173"/>
      <c r="Z376" s="174"/>
      <c r="AA376" s="173"/>
      <c r="AB376" s="91"/>
      <c r="AC376" s="92"/>
      <c r="AD376" s="92"/>
      <c r="AE376" s="92"/>
      <c r="AF376" s="92" t="str">
        <f aca="false">IF(ISBLANK($C376),"",IF(E376=Constants!$B$3,TRUE(),IF(E376=Constants!$B$4,FALSE(),TRUE())))</f>
        <v/>
      </c>
      <c r="AG376" s="92" t="str">
        <f aca="false">IF(ISBLANK($C376),"",IF(F376=Constants!$B$3,TRUE(),IF(F376=Constants!$B$4,FALSE(),TRUE())))</f>
        <v/>
      </c>
      <c r="AH376" s="92" t="str">
        <f aca="false">IF(ISBLANK($C376),"",IF(G376=Constants!$B$3,TRUE(),IF(G376=Constants!$B$4,FALSE(),TRUE())))</f>
        <v/>
      </c>
      <c r="AI376" s="92" t="str">
        <f aca="false">IF(ISBLANK($C376),"",IF(AND(ISNUMBER(H376),H376&gt;=0),H376,Constants!$B$29))</f>
        <v/>
      </c>
      <c r="AJ376" s="92" t="str">
        <f aca="false">IF(ISBLANK($C376),"",IF(I376=Constants!$B$3,TRUE(),IF(I376=Constants!$B$4,FALSE(),TRUE())))</f>
        <v/>
      </c>
      <c r="AK376" s="92" t="str">
        <f aca="false">IF(ISBLANK($C376),"",IF(J376=Constants!$B$3,TRUE(),IF(J376=Constants!$B$4,FALSE(),TRUE())))</f>
        <v/>
      </c>
      <c r="AL376" s="92" t="str">
        <f aca="false">IF(ISBLANK($C376),"",IF(K376=Constants!$B$5,TRUE(),IF(K376=Constants!$B$6,FALSE(),COUNTA(L376:P376)&gt;0)))</f>
        <v/>
      </c>
      <c r="AM376" s="94" t="str">
        <f aca="false">IF(ISBLANK($C376),"",IF(ISNUMBER(L376),IF(L376&gt;=0,L376,""),""))</f>
        <v/>
      </c>
      <c r="AN376" s="93" t="str">
        <f aca="false">IF(ISBLANK($C376),"",IF(ISNUMBER(M376),IF(M376&gt;=0,M376,""),""))</f>
        <v/>
      </c>
      <c r="AO376" s="93" t="str">
        <f aca="false">IF(ISBLANK($C376),"",IF(N376=Constants!$B$3,TRUE(),IF(N376=Constants!$B$4,FALSE(),TRUE())))</f>
        <v/>
      </c>
      <c r="AP376" s="92" t="str">
        <f aca="false">IF(ISBLANK($C376),"",IF(ISNUMBER(O376),IF(O376&gt;=0,O376,""),""))</f>
        <v/>
      </c>
      <c r="AQ376" s="92" t="str">
        <f aca="false">IF(ISBLANK($C376),"",IF(P376=Constants!$B$3,TRUE(),IF(P376=Constants!$B$4,FALSE(),FALSE())))</f>
        <v/>
      </c>
      <c r="AR376" s="92" t="str">
        <f aca="false">IF(ISBLANK($C376),"",IF(Q376=Constants!$B$3,TRUE(),IF(Q376=Constants!$B$4,FALSE(),TRUE())))</f>
        <v/>
      </c>
      <c r="AS376" s="92" t="str">
        <f aca="false">IF(ISBLANK($C376),"",IF(R376=Constants!$B$3,TRUE(),IF(R376=Constants!$B$4,FALSE(),TRUE())))</f>
        <v/>
      </c>
      <c r="AT376" s="92" t="str">
        <f aca="false">IF(ISBLANK($C376),"",IF(S376=Constants!$B$5,TRUE(),IF(S376=Constants!$B$6,FALSE(),COUNTA(T376:X376)&gt;0)))</f>
        <v/>
      </c>
      <c r="AU376" s="94" t="str">
        <f aca="false">IF(ISBLANK($C376),"",IF(ISNUMBER(T376),IF(T376&gt;=0,T376,""),""))</f>
        <v/>
      </c>
      <c r="AV376" s="93" t="str">
        <f aca="false">IF(ISBLANK($C376),"",IF(ISNUMBER(U376),IF(U376&gt;=0,U376,""),""))</f>
        <v/>
      </c>
      <c r="AW376" s="93" t="str">
        <f aca="false">IF(ISBLANK($C376),"",IF(V376=Constants!$B$3,TRUE(),IF(V376=Constants!$B$4,FALSE(),TRUE())))</f>
        <v/>
      </c>
      <c r="AX376" s="92" t="str">
        <f aca="false">IF(ISBLANK($C376),"",IF(ISNUMBER(W376),IF(W376&gt;=0,W376,""),""))</f>
        <v/>
      </c>
      <c r="AY376" s="92" t="str">
        <f aca="false">IF(ISBLANK($C376),"",IF(X376=Constants!$B$3,TRUE(),IF(X376=Constants!$B$4,FALSE(),FALSE())))</f>
        <v/>
      </c>
      <c r="AZ376" s="92" t="str">
        <f aca="false">IF(ISBLANK($C376),"",MIN(Constants!$B$31,MAX(0,IF(ISNUMBER(Y376),Y376*60,0)+IF(ISNUMBER(Z376),Z376,0))))</f>
        <v/>
      </c>
      <c r="BA376" s="92" t="str">
        <f aca="false">IF(ISBLANK($C376),"",IF(AA376=Constants!$B$3,TRUE(),IF(AA376=Constants!$B$4,FALSE(),FALSE())))</f>
        <v/>
      </c>
      <c r="BB376" s="91" t="str">
        <f aca="false">IF(ISBLANK($C376),"",AND($AL376,OR($AM376="",$AN376="",AND($AO376,$AP376=""))))</f>
        <v/>
      </c>
      <c r="BC376" s="93" t="str">
        <f aca="false">IF($BR376&lt;&gt;Constants!$B$8,"",IF($AL376,Constants!$B$21*$AN376+Constants!$B$22*IF($AO376,$AP376,Constants!$B$23),Constants!$B$24))</f>
        <v/>
      </c>
      <c r="BD376" s="96" t="str">
        <f aca="false">IF($BR376&lt;&gt;Constants!$B$8,"",Constants!$B$25*ABS($AD$9-IF($AL376,$AM376,0)))</f>
        <v/>
      </c>
      <c r="BE376" s="96" t="str">
        <f aca="false">IF($BR376&lt;&gt;Constants!$B$8,"",IF(AND($AL376,$AQ376,$AO376),Constants!$B$27,0))</f>
        <v/>
      </c>
      <c r="BF376" s="96" t="str">
        <f aca="false">IF($BR376&lt;&gt;Constants!$B$8,"",IF($AL376,($AI376-Constants!$B$29)*Constants!$B$28,0))</f>
        <v/>
      </c>
      <c r="BG376" s="96" t="str">
        <f aca="false">IF($BR376&lt;&gt;Constants!$B$8,"",IF($AK376,0,Constants!$B$15)+IF($AJ376,0,Constants!$B$16)+IF($AH376,0,Constants!$B$17))</f>
        <v/>
      </c>
      <c r="BH376" s="97" t="str">
        <f aca="false">IF($BR376&lt;&gt;Constants!$B$8,"",Constants!$B$20+SUM($BC376:$BG376))</f>
        <v/>
      </c>
      <c r="BI376" s="92" t="str">
        <f aca="false">IF($BR376&lt;&gt;Constants!$B$8,"",IF(OR($BP376&lt;$BH376,AND($BP376=$BH376,OR($BK376&lt;$BC376,AND($BK376=$BC376,OR($BL376&lt;$BD376,AND($BL376=$BD376,$AT376,$AL376,$AV376&lt;$AN376)))))),"-&gt;","&lt;-"))</f>
        <v/>
      </c>
      <c r="BJ376" s="91" t="str">
        <f aca="false">IF(ISBLANK($C376),"",AND($AT376,OR($AU376="",$AV376="",AND($AW376,$AX376=""))))</f>
        <v/>
      </c>
      <c r="BK376" s="93" t="str">
        <f aca="false">IF($BR376&lt;&gt;Constants!$B$8,"",IF($AT376,Constants!$B$21*$AV376+Constants!$B$22*IF($AW376,$AX376,Constants!$B$23),Constants!$B$24))</f>
        <v/>
      </c>
      <c r="BL376" s="96" t="str">
        <f aca="false">IF($BR376&lt;&gt;Constants!$B$8,"",Constants!$B$25*ABS($AD$9-IF($AT376,$AU376,0)))</f>
        <v/>
      </c>
      <c r="BM376" s="96" t="str">
        <f aca="false">IF($BR376&lt;&gt;Constants!$B$8,"",IF(AND($AT376,$AY376,$AW376),Constants!$B$27,0))</f>
        <v/>
      </c>
      <c r="BN376" s="96" t="str">
        <f aca="false">IF($BR376&lt;&gt;Constants!$B$8,"",IF($AT376,($AI376-Constants!$B$29)*Constants!$B$28,0))</f>
        <v/>
      </c>
      <c r="BO376" s="96" t="str">
        <f aca="false">IF($BR376&lt;&gt;Constants!$B$8,"",IF($AS376,0,Constants!$B$15)+IF($AR376,0,Constants!$B$16)+IF($AH376,0,Constants!$B$17))</f>
        <v/>
      </c>
      <c r="BP376" s="97" t="str">
        <f aca="false">IF($BR376&lt;&gt;Constants!$B$8,"",Constants!$B$20+SUM($BK376:$BO376))</f>
        <v/>
      </c>
      <c r="BQ376" s="92" t="str">
        <f aca="false">IF(ISBLANK($C376),"",IF(ISBLANK($D$7),$BQ$5,IF(NOT(ISNUMBER($D$7)),$BQ$6,"")))</f>
        <v/>
      </c>
      <c r="BR376" s="92" t="str">
        <f aca="false">IF(ISBLANK($C376),"",IF($BA376,Constants!$B$11,IF(COUNTA($E376:$AA376)=0,Constants!$B$10,IF(NOT($AG376),Constants!$B$9,IF(OR($BQ376&lt;&gt;"",$BB376,$BJ376),Constants!$B$12,Constants!$B$8)))))</f>
        <v/>
      </c>
      <c r="BS376" s="92" t="str">
        <f aca="false">IF(ISBLANK($C376),"",IF($BR376&lt;&gt;Constants!$B$8,$BR376,Constants!$B$13))</f>
        <v/>
      </c>
      <c r="BT376" s="96" t="str">
        <f aca="false">IF($BR376&lt;&gt;Constants!$B$8,"",IF($BI376="-&gt;",$BP376,$BH376))</f>
        <v/>
      </c>
      <c r="BU376" s="96" t="str">
        <f aca="false">IF($BR376&lt;&gt;Constants!$B$8,"",IF($AF376,0,Constants!$B$18))</f>
        <v/>
      </c>
      <c r="BV376" s="96" t="str">
        <f aca="false">IF($BR376&lt;&gt;Constants!$B$8,"",((Constants!$B$31-$AZ376)-Constants!$B$31)/Constants!$B$32)</f>
        <v/>
      </c>
      <c r="BW376" s="96" t="str">
        <f aca="false">IF(ISBLANK($C376),"",IF($BR376&lt;&gt;Constants!$B$8,$BR376,SUM($BT376:$BV376)))</f>
        <v/>
      </c>
      <c r="BX376" s="92" t="str">
        <f aca="false">IF(ISBLANK($C376),"",IF($BR376&lt;&gt;Constants!$B$8,$BR376,RANK($BW376,$BW$9:$BW$508,1)))</f>
        <v/>
      </c>
      <c r="BY376" s="96" t="str">
        <f aca="false">IF($BR376&lt;&gt;Constants!$B$8,"",IF($BI376="-&gt;",$BK376,$BC376))</f>
        <v/>
      </c>
      <c r="BZ376" s="92" t="str">
        <f aca="false">IF(ISBLANK($C376),"",IF($BR376&lt;&gt;Constants!$B$8,$BR376,IF(ISNUMBER($BY376),RANK($BY376,$BY$9:$BY$508,1),COUNT($BY$9:$BY$508)+1)))</f>
        <v/>
      </c>
      <c r="CA376" s="96" t="str">
        <f aca="false">IF($BR376&lt;&gt;Constants!$B$8,"",IF($BI376="-&gt;",$BL376,$BD376))</f>
        <v/>
      </c>
      <c r="CB376" s="92" t="str">
        <f aca="false">IF(ISBLANK($C376),"",IF($BR376&lt;&gt;Constants!$B$8,$BR376,IF(ISNUMBER($CA376),RANK($CA376,$CA$9:$CA$508,1),COUNT($CA$9:$CA$508)+1)))</f>
        <v/>
      </c>
      <c r="CC376" s="96" t="str">
        <f aca="false">IF($BR376&lt;&gt;Constants!$B$8,"",IF($BI376="-&gt;",IF($AT376,$AV376,""),IF($AL376,$AN376,"")))</f>
        <v/>
      </c>
      <c r="CD376" s="92" t="str">
        <f aca="false">IF(ISBLANK($C376),"",IF($BR376&lt;&gt;Constants!$B$8,$BR376,IF(ISNUMBER($CC376),RANK($CC376,$CC$9:$CC$508,1),COUNT($CC$9:$CC$508)+1)))</f>
        <v/>
      </c>
      <c r="CE376" s="96" t="str">
        <f aca="false">IF($BR376&lt;&gt;Constants!$B$8,"",IF(AND(NOT($AL376),NOT($AT376),$AJ376,$AK376,$AR376,$AS376),"",$AI376))</f>
        <v/>
      </c>
      <c r="CF376" s="92" t="str">
        <f aca="false">IF(ISBLANK($C376),"",IF($BR376&lt;&gt;Constants!$B$8,$BR376,IF(ISNUMBER($CE376),RANK($CE376,$CE$9:$CE$508,1),COUNT($CE$9:$CE$508)+1)))</f>
        <v/>
      </c>
      <c r="CG376" s="92" t="str">
        <f aca="false">IF(ISBLANK($C376),"",IF($BR376&lt;&gt;Constants!$B$8,$BR376,COUNTIFS($BX$9:$BX$508,"&lt;"&amp;$BX376)+COUNTIFS($BX$9:$BX$508,$BX376,$BZ$9:$BZ$508,"&lt;"&amp;$BZ376)+COUNTIFS($BX$9:$BX$508,$BX376,$BZ$9:$BZ$508,$BZ376,$CB$9:$CB$508,"&lt;"&amp;$CB376)+COUNTIFS($BX$9:$BX$508,$BX376,$BZ$9:$BZ$508,$BZ376,$CB$9:$CB$508,$CB376,$CD$9:$CD$508,"&lt;"&amp;$CD376)+COUNTIFS($BX$9:$BX$508,$BX376,$BZ$9:$BZ$508,$BZ376,$CB$9:$CB$508,$CB376,$CD$9:$CD$508,$CD376,$CF$9:$CF$508,"&lt;"&amp;$CF376)+1))</f>
        <v/>
      </c>
      <c r="CH376" s="92" t="str">
        <f aca="false">IF(ISBLANK($C376),"",IF($BR376&lt;&gt;Constants!$B$8,$BR376,$BX376-$CG376))</f>
        <v/>
      </c>
      <c r="CI376" s="98"/>
      <c r="CJ376" s="99"/>
      <c r="CK376" s="100" t="str">
        <f aca="false">IF(ISBLANK($C376),"",IF($BR376=Constants!$B$12,$BQ376,""))</f>
        <v/>
      </c>
      <c r="CL376" s="99" t="str">
        <f aca="false">IF(ISBLANK($C376),"",IF($BR376&lt;&gt;Constants!$B$8,"",IF($BI376="-&gt;",2,1)))</f>
        <v/>
      </c>
      <c r="CM376" s="101" t="str">
        <f aca="false">IF(ISBLANK($C376),"",IF($BR376&lt;&gt;Constants!$B$8,"",IF($BI376="-&gt;",$BK376,$BC376)))</f>
        <v/>
      </c>
      <c r="CN376" s="101" t="str">
        <f aca="false">IF(ISBLANK($C376),"",IF($BR376&lt;&gt;Constants!$B$8,"",IF($BI376="-&gt;",$BL376,$BD376)))</f>
        <v/>
      </c>
      <c r="CO376" s="101" t="str">
        <f aca="false">IF(ISBLANK($C376),"",IF($BR376&lt;&gt;Constants!$B$8,"",IF($BI376="-&gt;",$BM376+$BN376,$BE376+$BF376)+$BV376))</f>
        <v/>
      </c>
      <c r="CP376" s="101" t="str">
        <f aca="false">IF(ISBLANK($C376),"",IF($BR376&lt;&gt;Constants!$B$8,"",IF($BI376="-&gt;",$BO376,$BG376)+$BU376))</f>
        <v/>
      </c>
      <c r="CQ376" s="102" t="str">
        <f aca="false">IF(ISBLANK($C376),"",IF($BR376&lt;&gt;Constants!$B$8,$BR376,$BW376))</f>
        <v/>
      </c>
      <c r="CR376" s="103" t="str">
        <f aca="false">IF(ISBLANK($C376),"",$BS376)</f>
        <v/>
      </c>
      <c r="CS376" s="104" t="str">
        <f aca="false">IF(ISBLANK($C376),"",$CH376)</f>
        <v/>
      </c>
      <c r="CT376" s="104" t="str">
        <f aca="false">IF(ISBLANK($C376),"",$CG376)</f>
        <v/>
      </c>
      <c r="CU376" s="105" t="str">
        <f aca="false">IF(ISBLANK($C376),"",IFERROR(_xlfn.SWITCH($CT376,Constants!$B$11,COUNTA($C$9:$C$508)+2,Constants!$B$10,COUNTA($C$9:$C$508)+1,Constants!$B$9,COUNTA($C$9:$C$508)),$CT376))</f>
        <v/>
      </c>
      <c r="CV376" s="9"/>
      <c r="CW376" s="106" t="n">
        <f aca="false">IF(OR(ISNUMBER($CT376),$CT376=Constants!$B$11,$CT376=Constants!$B$9,$CT376=Constants!$B$10),1,0)</f>
        <v>0</v>
      </c>
      <c r="CX376" s="106" t="n">
        <v>368</v>
      </c>
      <c r="CY376" s="106" t="str">
        <f aca="false">IF(ISBLANK($C376),"",IF(ISNUMBER($CU376),$CU376+ROW($B376)/1000,""))</f>
        <v/>
      </c>
      <c r="CZ376" s="106" t="str">
        <f aca="false">IF(ISNUMBER($CY376),RANK($CY376,$CY$9:$CY$508,1),"")</f>
        <v/>
      </c>
      <c r="DA376" s="106" t="str">
        <f aca="false">IF(ISBLANK($C376),"",$B376)</f>
        <v/>
      </c>
      <c r="DB376" s="106" t="str">
        <f aca="false">IF(ISBLANK($C376),"",$C376)</f>
        <v/>
      </c>
      <c r="DC376" s="106" t="str">
        <f aca="false">IF(ISBLANK($C376),"",$D376)</f>
        <v/>
      </c>
      <c r="DD376" s="107" t="str">
        <f aca="false">$CR376</f>
        <v/>
      </c>
      <c r="DE376" s="108" t="str">
        <f aca="false">$CQ376</f>
        <v/>
      </c>
      <c r="DF376" s="106" t="str">
        <f aca="false">IF(ISBLANK($C376),"",$CT376)</f>
        <v/>
      </c>
      <c r="DG376" s="109" t="str">
        <f aca="false">IF($CX376&gt;$CW$8,"",VLOOKUP($CX376,$CZ$9:$DF$508,7,FALSE()))</f>
        <v/>
      </c>
      <c r="DH376" s="110" t="str">
        <f aca="false">IF($CX376&gt;$CW$8,"",VLOOKUP($CX376,$CZ$9:$DF$508,2,FALSE()))</f>
        <v/>
      </c>
      <c r="DI376" s="110" t="str">
        <f aca="false">IF($CX376&gt;$CW$8,"",VLOOKUP($CX376,$CZ$9:$DF$508,3,FALSE()))</f>
        <v/>
      </c>
      <c r="DJ376" s="110" t="str">
        <f aca="false">IF($CX376&gt;$CW$8,"",VLOOKUP($CX376,$CZ$9:$DF$508,4,FALSE()))</f>
        <v/>
      </c>
      <c r="DK376" s="110" t="str">
        <f aca="false">IF($CX376&gt;$CW$8,"",VLOOKUP($CX376,$CZ$9:$DF$508,5,FALSE()))</f>
        <v/>
      </c>
      <c r="DL376" s="111" t="str">
        <f aca="false">IF($CX376&gt;$CW$8,"",VLOOKUP($CX376,$CZ$9:$DF$508,6,FALSE()))</f>
        <v/>
      </c>
      <c r="DM376" s="75"/>
    </row>
    <row r="377" customFormat="false" ht="15.75" hidden="false" customHeight="false" outlineLevel="0" collapsed="false">
      <c r="A377" s="9"/>
      <c r="B377" s="77"/>
      <c r="C377" s="78"/>
      <c r="D377" s="167"/>
      <c r="E377" s="175"/>
      <c r="F377" s="169"/>
      <c r="G377" s="170"/>
      <c r="H377" s="170"/>
      <c r="I377" s="176"/>
      <c r="J377" s="173"/>
      <c r="K377" s="85"/>
      <c r="L377" s="86"/>
      <c r="M377" s="87"/>
      <c r="N377" s="173"/>
      <c r="O377" s="173"/>
      <c r="P377" s="175"/>
      <c r="Q377" s="173"/>
      <c r="R377" s="173"/>
      <c r="S377" s="85"/>
      <c r="T377" s="87"/>
      <c r="U377" s="87"/>
      <c r="V377" s="173"/>
      <c r="W377" s="173"/>
      <c r="X377" s="175"/>
      <c r="Y377" s="173"/>
      <c r="Z377" s="174"/>
      <c r="AA377" s="173"/>
      <c r="AB377" s="91"/>
      <c r="AC377" s="92"/>
      <c r="AD377" s="92"/>
      <c r="AE377" s="92"/>
      <c r="AF377" s="92" t="str">
        <f aca="false">IF(ISBLANK($C377),"",IF(E377=Constants!$B$3,TRUE(),IF(E377=Constants!$B$4,FALSE(),TRUE())))</f>
        <v/>
      </c>
      <c r="AG377" s="92" t="str">
        <f aca="false">IF(ISBLANK($C377),"",IF(F377=Constants!$B$3,TRUE(),IF(F377=Constants!$B$4,FALSE(),TRUE())))</f>
        <v/>
      </c>
      <c r="AH377" s="92" t="str">
        <f aca="false">IF(ISBLANK($C377),"",IF(G377=Constants!$B$3,TRUE(),IF(G377=Constants!$B$4,FALSE(),TRUE())))</f>
        <v/>
      </c>
      <c r="AI377" s="92" t="str">
        <f aca="false">IF(ISBLANK($C377),"",IF(AND(ISNUMBER(H377),H377&gt;=0),H377,Constants!$B$29))</f>
        <v/>
      </c>
      <c r="AJ377" s="92" t="str">
        <f aca="false">IF(ISBLANK($C377),"",IF(I377=Constants!$B$3,TRUE(),IF(I377=Constants!$B$4,FALSE(),TRUE())))</f>
        <v/>
      </c>
      <c r="AK377" s="92" t="str">
        <f aca="false">IF(ISBLANK($C377),"",IF(J377=Constants!$B$3,TRUE(),IF(J377=Constants!$B$4,FALSE(),TRUE())))</f>
        <v/>
      </c>
      <c r="AL377" s="92" t="str">
        <f aca="false">IF(ISBLANK($C377),"",IF(K377=Constants!$B$5,TRUE(),IF(K377=Constants!$B$6,FALSE(),COUNTA(L377:P377)&gt;0)))</f>
        <v/>
      </c>
      <c r="AM377" s="94" t="str">
        <f aca="false">IF(ISBLANK($C377),"",IF(ISNUMBER(L377),IF(L377&gt;=0,L377,""),""))</f>
        <v/>
      </c>
      <c r="AN377" s="93" t="str">
        <f aca="false">IF(ISBLANK($C377),"",IF(ISNUMBER(M377),IF(M377&gt;=0,M377,""),""))</f>
        <v/>
      </c>
      <c r="AO377" s="93" t="str">
        <f aca="false">IF(ISBLANK($C377),"",IF(N377=Constants!$B$3,TRUE(),IF(N377=Constants!$B$4,FALSE(),TRUE())))</f>
        <v/>
      </c>
      <c r="AP377" s="92" t="str">
        <f aca="false">IF(ISBLANK($C377),"",IF(ISNUMBER(O377),IF(O377&gt;=0,O377,""),""))</f>
        <v/>
      </c>
      <c r="AQ377" s="92" t="str">
        <f aca="false">IF(ISBLANK($C377),"",IF(P377=Constants!$B$3,TRUE(),IF(P377=Constants!$B$4,FALSE(),FALSE())))</f>
        <v/>
      </c>
      <c r="AR377" s="92" t="str">
        <f aca="false">IF(ISBLANK($C377),"",IF(Q377=Constants!$B$3,TRUE(),IF(Q377=Constants!$B$4,FALSE(),TRUE())))</f>
        <v/>
      </c>
      <c r="AS377" s="92" t="str">
        <f aca="false">IF(ISBLANK($C377),"",IF(R377=Constants!$B$3,TRUE(),IF(R377=Constants!$B$4,FALSE(),TRUE())))</f>
        <v/>
      </c>
      <c r="AT377" s="92" t="str">
        <f aca="false">IF(ISBLANK($C377),"",IF(S377=Constants!$B$5,TRUE(),IF(S377=Constants!$B$6,FALSE(),COUNTA(T377:X377)&gt;0)))</f>
        <v/>
      </c>
      <c r="AU377" s="94" t="str">
        <f aca="false">IF(ISBLANK($C377),"",IF(ISNUMBER(T377),IF(T377&gt;=0,T377,""),""))</f>
        <v/>
      </c>
      <c r="AV377" s="93" t="str">
        <f aca="false">IF(ISBLANK($C377),"",IF(ISNUMBER(U377),IF(U377&gt;=0,U377,""),""))</f>
        <v/>
      </c>
      <c r="AW377" s="93" t="str">
        <f aca="false">IF(ISBLANK($C377),"",IF(V377=Constants!$B$3,TRUE(),IF(V377=Constants!$B$4,FALSE(),TRUE())))</f>
        <v/>
      </c>
      <c r="AX377" s="92" t="str">
        <f aca="false">IF(ISBLANK($C377),"",IF(ISNUMBER(W377),IF(W377&gt;=0,W377,""),""))</f>
        <v/>
      </c>
      <c r="AY377" s="92" t="str">
        <f aca="false">IF(ISBLANK($C377),"",IF(X377=Constants!$B$3,TRUE(),IF(X377=Constants!$B$4,FALSE(),FALSE())))</f>
        <v/>
      </c>
      <c r="AZ377" s="92" t="str">
        <f aca="false">IF(ISBLANK($C377),"",MIN(Constants!$B$31,MAX(0,IF(ISNUMBER(Y377),Y377*60,0)+IF(ISNUMBER(Z377),Z377,0))))</f>
        <v/>
      </c>
      <c r="BA377" s="92" t="str">
        <f aca="false">IF(ISBLANK($C377),"",IF(AA377=Constants!$B$3,TRUE(),IF(AA377=Constants!$B$4,FALSE(),FALSE())))</f>
        <v/>
      </c>
      <c r="BB377" s="91" t="str">
        <f aca="false">IF(ISBLANK($C377),"",AND($AL377,OR($AM377="",$AN377="",AND($AO377,$AP377=""))))</f>
        <v/>
      </c>
      <c r="BC377" s="93" t="str">
        <f aca="false">IF($BR377&lt;&gt;Constants!$B$8,"",IF($AL377,Constants!$B$21*$AN377+Constants!$B$22*IF($AO377,$AP377,Constants!$B$23),Constants!$B$24))</f>
        <v/>
      </c>
      <c r="BD377" s="96" t="str">
        <f aca="false">IF($BR377&lt;&gt;Constants!$B$8,"",Constants!$B$25*ABS($AD$9-IF($AL377,$AM377,0)))</f>
        <v/>
      </c>
      <c r="BE377" s="96" t="str">
        <f aca="false">IF($BR377&lt;&gt;Constants!$B$8,"",IF(AND($AL377,$AQ377,$AO377),Constants!$B$27,0))</f>
        <v/>
      </c>
      <c r="BF377" s="96" t="str">
        <f aca="false">IF($BR377&lt;&gt;Constants!$B$8,"",IF($AL377,($AI377-Constants!$B$29)*Constants!$B$28,0))</f>
        <v/>
      </c>
      <c r="BG377" s="96" t="str">
        <f aca="false">IF($BR377&lt;&gt;Constants!$B$8,"",IF($AK377,0,Constants!$B$15)+IF($AJ377,0,Constants!$B$16)+IF($AH377,0,Constants!$B$17))</f>
        <v/>
      </c>
      <c r="BH377" s="97" t="str">
        <f aca="false">IF($BR377&lt;&gt;Constants!$B$8,"",Constants!$B$20+SUM($BC377:$BG377))</f>
        <v/>
      </c>
      <c r="BI377" s="92" t="str">
        <f aca="false">IF($BR377&lt;&gt;Constants!$B$8,"",IF(OR($BP377&lt;$BH377,AND($BP377=$BH377,OR($BK377&lt;$BC377,AND($BK377=$BC377,OR($BL377&lt;$BD377,AND($BL377=$BD377,$AT377,$AL377,$AV377&lt;$AN377)))))),"-&gt;","&lt;-"))</f>
        <v/>
      </c>
      <c r="BJ377" s="91" t="str">
        <f aca="false">IF(ISBLANK($C377),"",AND($AT377,OR($AU377="",$AV377="",AND($AW377,$AX377=""))))</f>
        <v/>
      </c>
      <c r="BK377" s="93" t="str">
        <f aca="false">IF($BR377&lt;&gt;Constants!$B$8,"",IF($AT377,Constants!$B$21*$AV377+Constants!$B$22*IF($AW377,$AX377,Constants!$B$23),Constants!$B$24))</f>
        <v/>
      </c>
      <c r="BL377" s="96" t="str">
        <f aca="false">IF($BR377&lt;&gt;Constants!$B$8,"",Constants!$B$25*ABS($AD$9-IF($AT377,$AU377,0)))</f>
        <v/>
      </c>
      <c r="BM377" s="96" t="str">
        <f aca="false">IF($BR377&lt;&gt;Constants!$B$8,"",IF(AND($AT377,$AY377,$AW377),Constants!$B$27,0))</f>
        <v/>
      </c>
      <c r="BN377" s="96" t="str">
        <f aca="false">IF($BR377&lt;&gt;Constants!$B$8,"",IF($AT377,($AI377-Constants!$B$29)*Constants!$B$28,0))</f>
        <v/>
      </c>
      <c r="BO377" s="96" t="str">
        <f aca="false">IF($BR377&lt;&gt;Constants!$B$8,"",IF($AS377,0,Constants!$B$15)+IF($AR377,0,Constants!$B$16)+IF($AH377,0,Constants!$B$17))</f>
        <v/>
      </c>
      <c r="BP377" s="97" t="str">
        <f aca="false">IF($BR377&lt;&gt;Constants!$B$8,"",Constants!$B$20+SUM($BK377:$BO377))</f>
        <v/>
      </c>
      <c r="BQ377" s="92" t="str">
        <f aca="false">IF(ISBLANK($C377),"",IF(ISBLANK($D$7),$BQ$5,IF(NOT(ISNUMBER($D$7)),$BQ$6,"")))</f>
        <v/>
      </c>
      <c r="BR377" s="92" t="str">
        <f aca="false">IF(ISBLANK($C377),"",IF($BA377,Constants!$B$11,IF(COUNTA($E377:$AA377)=0,Constants!$B$10,IF(NOT($AG377),Constants!$B$9,IF(OR($BQ377&lt;&gt;"",$BB377,$BJ377),Constants!$B$12,Constants!$B$8)))))</f>
        <v/>
      </c>
      <c r="BS377" s="92" t="str">
        <f aca="false">IF(ISBLANK($C377),"",IF($BR377&lt;&gt;Constants!$B$8,$BR377,Constants!$B$13))</f>
        <v/>
      </c>
      <c r="BT377" s="96" t="str">
        <f aca="false">IF($BR377&lt;&gt;Constants!$B$8,"",IF($BI377="-&gt;",$BP377,$BH377))</f>
        <v/>
      </c>
      <c r="BU377" s="96" t="str">
        <f aca="false">IF($BR377&lt;&gt;Constants!$B$8,"",IF($AF377,0,Constants!$B$18))</f>
        <v/>
      </c>
      <c r="BV377" s="96" t="str">
        <f aca="false">IF($BR377&lt;&gt;Constants!$B$8,"",((Constants!$B$31-$AZ377)-Constants!$B$31)/Constants!$B$32)</f>
        <v/>
      </c>
      <c r="BW377" s="96" t="str">
        <f aca="false">IF(ISBLANK($C377),"",IF($BR377&lt;&gt;Constants!$B$8,$BR377,SUM($BT377:$BV377)))</f>
        <v/>
      </c>
      <c r="BX377" s="92" t="str">
        <f aca="false">IF(ISBLANK($C377),"",IF($BR377&lt;&gt;Constants!$B$8,$BR377,RANK($BW377,$BW$9:$BW$508,1)))</f>
        <v/>
      </c>
      <c r="BY377" s="96" t="str">
        <f aca="false">IF($BR377&lt;&gt;Constants!$B$8,"",IF($BI377="-&gt;",$BK377,$BC377))</f>
        <v/>
      </c>
      <c r="BZ377" s="92" t="str">
        <f aca="false">IF(ISBLANK($C377),"",IF($BR377&lt;&gt;Constants!$B$8,$BR377,IF(ISNUMBER($BY377),RANK($BY377,$BY$9:$BY$508,1),COUNT($BY$9:$BY$508)+1)))</f>
        <v/>
      </c>
      <c r="CA377" s="96" t="str">
        <f aca="false">IF($BR377&lt;&gt;Constants!$B$8,"",IF($BI377="-&gt;",$BL377,$BD377))</f>
        <v/>
      </c>
      <c r="CB377" s="92" t="str">
        <f aca="false">IF(ISBLANK($C377),"",IF($BR377&lt;&gt;Constants!$B$8,$BR377,IF(ISNUMBER($CA377),RANK($CA377,$CA$9:$CA$508,1),COUNT($CA$9:$CA$508)+1)))</f>
        <v/>
      </c>
      <c r="CC377" s="96" t="str">
        <f aca="false">IF($BR377&lt;&gt;Constants!$B$8,"",IF($BI377="-&gt;",IF($AT377,$AV377,""),IF($AL377,$AN377,"")))</f>
        <v/>
      </c>
      <c r="CD377" s="92" t="str">
        <f aca="false">IF(ISBLANK($C377),"",IF($BR377&lt;&gt;Constants!$B$8,$BR377,IF(ISNUMBER($CC377),RANK($CC377,$CC$9:$CC$508,1),COUNT($CC$9:$CC$508)+1)))</f>
        <v/>
      </c>
      <c r="CE377" s="96" t="str">
        <f aca="false">IF($BR377&lt;&gt;Constants!$B$8,"",IF(AND(NOT($AL377),NOT($AT377),$AJ377,$AK377,$AR377,$AS377),"",$AI377))</f>
        <v/>
      </c>
      <c r="CF377" s="92" t="str">
        <f aca="false">IF(ISBLANK($C377),"",IF($BR377&lt;&gt;Constants!$B$8,$BR377,IF(ISNUMBER($CE377),RANK($CE377,$CE$9:$CE$508,1),COUNT($CE$9:$CE$508)+1)))</f>
        <v/>
      </c>
      <c r="CG377" s="92" t="str">
        <f aca="false">IF(ISBLANK($C377),"",IF($BR377&lt;&gt;Constants!$B$8,$BR377,COUNTIFS($BX$9:$BX$508,"&lt;"&amp;$BX377)+COUNTIFS($BX$9:$BX$508,$BX377,$BZ$9:$BZ$508,"&lt;"&amp;$BZ377)+COUNTIFS($BX$9:$BX$508,$BX377,$BZ$9:$BZ$508,$BZ377,$CB$9:$CB$508,"&lt;"&amp;$CB377)+COUNTIFS($BX$9:$BX$508,$BX377,$BZ$9:$BZ$508,$BZ377,$CB$9:$CB$508,$CB377,$CD$9:$CD$508,"&lt;"&amp;$CD377)+COUNTIFS($BX$9:$BX$508,$BX377,$BZ$9:$BZ$508,$BZ377,$CB$9:$CB$508,$CB377,$CD$9:$CD$508,$CD377,$CF$9:$CF$508,"&lt;"&amp;$CF377)+1))</f>
        <v/>
      </c>
      <c r="CH377" s="92" t="str">
        <f aca="false">IF(ISBLANK($C377),"",IF($BR377&lt;&gt;Constants!$B$8,$BR377,$BX377-$CG377))</f>
        <v/>
      </c>
      <c r="CI377" s="98"/>
      <c r="CJ377" s="99"/>
      <c r="CK377" s="100" t="str">
        <f aca="false">IF(ISBLANK($C377),"",IF($BR377=Constants!$B$12,$BQ377,""))</f>
        <v/>
      </c>
      <c r="CL377" s="99" t="str">
        <f aca="false">IF(ISBLANK($C377),"",IF($BR377&lt;&gt;Constants!$B$8,"",IF($BI377="-&gt;",2,1)))</f>
        <v/>
      </c>
      <c r="CM377" s="101" t="str">
        <f aca="false">IF(ISBLANK($C377),"",IF($BR377&lt;&gt;Constants!$B$8,"",IF($BI377="-&gt;",$BK377,$BC377)))</f>
        <v/>
      </c>
      <c r="CN377" s="101" t="str">
        <f aca="false">IF(ISBLANK($C377),"",IF($BR377&lt;&gt;Constants!$B$8,"",IF($BI377="-&gt;",$BL377,$BD377)))</f>
        <v/>
      </c>
      <c r="CO377" s="101" t="str">
        <f aca="false">IF(ISBLANK($C377),"",IF($BR377&lt;&gt;Constants!$B$8,"",IF($BI377="-&gt;",$BM377+$BN377,$BE377+$BF377)+$BV377))</f>
        <v/>
      </c>
      <c r="CP377" s="101" t="str">
        <f aca="false">IF(ISBLANK($C377),"",IF($BR377&lt;&gt;Constants!$B$8,"",IF($BI377="-&gt;",$BO377,$BG377)+$BU377))</f>
        <v/>
      </c>
      <c r="CQ377" s="102" t="str">
        <f aca="false">IF(ISBLANK($C377),"",IF($BR377&lt;&gt;Constants!$B$8,$BR377,$BW377))</f>
        <v/>
      </c>
      <c r="CR377" s="103" t="str">
        <f aca="false">IF(ISBLANK($C377),"",$BS377)</f>
        <v/>
      </c>
      <c r="CS377" s="104" t="str">
        <f aca="false">IF(ISBLANK($C377),"",$CH377)</f>
        <v/>
      </c>
      <c r="CT377" s="104" t="str">
        <f aca="false">IF(ISBLANK($C377),"",$CG377)</f>
        <v/>
      </c>
      <c r="CU377" s="105" t="str">
        <f aca="false">IF(ISBLANK($C377),"",IFERROR(_xlfn.SWITCH($CT377,Constants!$B$11,COUNTA($C$9:$C$508)+2,Constants!$B$10,COUNTA($C$9:$C$508)+1,Constants!$B$9,COUNTA($C$9:$C$508)),$CT377))</f>
        <v/>
      </c>
      <c r="CV377" s="9"/>
      <c r="CW377" s="106" t="n">
        <f aca="false">IF(OR(ISNUMBER($CT377),$CT377=Constants!$B$11,$CT377=Constants!$B$9,$CT377=Constants!$B$10),1,0)</f>
        <v>0</v>
      </c>
      <c r="CX377" s="106" t="n">
        <v>369</v>
      </c>
      <c r="CY377" s="106" t="str">
        <f aca="false">IF(ISBLANK($C377),"",IF(ISNUMBER($CU377),$CU377+ROW($B377)/1000,""))</f>
        <v/>
      </c>
      <c r="CZ377" s="106" t="str">
        <f aca="false">IF(ISNUMBER($CY377),RANK($CY377,$CY$9:$CY$508,1),"")</f>
        <v/>
      </c>
      <c r="DA377" s="106" t="str">
        <f aca="false">IF(ISBLANK($C377),"",$B377)</f>
        <v/>
      </c>
      <c r="DB377" s="106" t="str">
        <f aca="false">IF(ISBLANK($C377),"",$C377)</f>
        <v/>
      </c>
      <c r="DC377" s="106" t="str">
        <f aca="false">IF(ISBLANK($C377),"",$D377)</f>
        <v/>
      </c>
      <c r="DD377" s="107" t="str">
        <f aca="false">$CR377</f>
        <v/>
      </c>
      <c r="DE377" s="108" t="str">
        <f aca="false">$CQ377</f>
        <v/>
      </c>
      <c r="DF377" s="106" t="str">
        <f aca="false">IF(ISBLANK($C377),"",$CT377)</f>
        <v/>
      </c>
      <c r="DG377" s="109" t="str">
        <f aca="false">IF($CX377&gt;$CW$8,"",VLOOKUP($CX377,$CZ$9:$DF$508,7,FALSE()))</f>
        <v/>
      </c>
      <c r="DH377" s="110" t="str">
        <f aca="false">IF($CX377&gt;$CW$8,"",VLOOKUP($CX377,$CZ$9:$DF$508,2,FALSE()))</f>
        <v/>
      </c>
      <c r="DI377" s="110" t="str">
        <f aca="false">IF($CX377&gt;$CW$8,"",VLOOKUP($CX377,$CZ$9:$DF$508,3,FALSE()))</f>
        <v/>
      </c>
      <c r="DJ377" s="110" t="str">
        <f aca="false">IF($CX377&gt;$CW$8,"",VLOOKUP($CX377,$CZ$9:$DF$508,4,FALSE()))</f>
        <v/>
      </c>
      <c r="DK377" s="110" t="str">
        <f aca="false">IF($CX377&gt;$CW$8,"",VLOOKUP($CX377,$CZ$9:$DF$508,5,FALSE()))</f>
        <v/>
      </c>
      <c r="DL377" s="111" t="str">
        <f aca="false">IF($CX377&gt;$CW$8,"",VLOOKUP($CX377,$CZ$9:$DF$508,6,FALSE()))</f>
        <v/>
      </c>
      <c r="DM377" s="75"/>
    </row>
    <row r="378" customFormat="false" ht="15.75" hidden="false" customHeight="false" outlineLevel="0" collapsed="false">
      <c r="A378" s="9"/>
      <c r="B378" s="157"/>
      <c r="C378" s="158"/>
      <c r="D378" s="159"/>
      <c r="E378" s="177"/>
      <c r="F378" s="161"/>
      <c r="G378" s="162"/>
      <c r="H378" s="162"/>
      <c r="I378" s="178"/>
      <c r="J378" s="165"/>
      <c r="K378" s="126"/>
      <c r="L378" s="127"/>
      <c r="M378" s="128"/>
      <c r="N378" s="165"/>
      <c r="O378" s="165"/>
      <c r="P378" s="177"/>
      <c r="Q378" s="165"/>
      <c r="R378" s="165"/>
      <c r="S378" s="126"/>
      <c r="T378" s="128"/>
      <c r="U378" s="128"/>
      <c r="V378" s="165"/>
      <c r="W378" s="165"/>
      <c r="X378" s="177"/>
      <c r="Y378" s="165"/>
      <c r="Z378" s="166"/>
      <c r="AA378" s="165"/>
      <c r="AB378" s="132"/>
      <c r="AC378" s="133"/>
      <c r="AD378" s="133"/>
      <c r="AE378" s="133"/>
      <c r="AF378" s="133" t="str">
        <f aca="false">IF(ISBLANK($C378),"",IF(E378=Constants!$B$3,TRUE(),IF(E378=Constants!$B$4,FALSE(),TRUE())))</f>
        <v/>
      </c>
      <c r="AG378" s="133" t="str">
        <f aca="false">IF(ISBLANK($C378),"",IF(F378=Constants!$B$3,TRUE(),IF(F378=Constants!$B$4,FALSE(),TRUE())))</f>
        <v/>
      </c>
      <c r="AH378" s="133" t="str">
        <f aca="false">IF(ISBLANK($C378),"",IF(G378=Constants!$B$3,TRUE(),IF(G378=Constants!$B$4,FALSE(),TRUE())))</f>
        <v/>
      </c>
      <c r="AI378" s="133" t="str">
        <f aca="false">IF(ISBLANK($C378),"",IF(AND(ISNUMBER(H378),H378&gt;=0),H378,Constants!$B$29))</f>
        <v/>
      </c>
      <c r="AJ378" s="133" t="str">
        <f aca="false">IF(ISBLANK($C378),"",IF(I378=Constants!$B$3,TRUE(),IF(I378=Constants!$B$4,FALSE(),TRUE())))</f>
        <v/>
      </c>
      <c r="AK378" s="133" t="str">
        <f aca="false">IF(ISBLANK($C378),"",IF(J378=Constants!$B$3,TRUE(),IF(J378=Constants!$B$4,FALSE(),TRUE())))</f>
        <v/>
      </c>
      <c r="AL378" s="133" t="str">
        <f aca="false">IF(ISBLANK($C378),"",IF(K378=Constants!$B$5,TRUE(),IF(K378=Constants!$B$6,FALSE(),COUNTA(L378:P378)&gt;0)))</f>
        <v/>
      </c>
      <c r="AM378" s="134" t="str">
        <f aca="false">IF(ISBLANK($C378),"",IF(ISNUMBER(L378),IF(L378&gt;=0,L378,""),""))</f>
        <v/>
      </c>
      <c r="AN378" s="135" t="str">
        <f aca="false">IF(ISBLANK($C378),"",IF(ISNUMBER(M378),IF(M378&gt;=0,M378,""),""))</f>
        <v/>
      </c>
      <c r="AO378" s="135" t="str">
        <f aca="false">IF(ISBLANK($C378),"",IF(N378=Constants!$B$3,TRUE(),IF(N378=Constants!$B$4,FALSE(),TRUE())))</f>
        <v/>
      </c>
      <c r="AP378" s="133" t="str">
        <f aca="false">IF(ISBLANK($C378),"",IF(ISNUMBER(O378),IF(O378&gt;=0,O378,""),""))</f>
        <v/>
      </c>
      <c r="AQ378" s="133" t="str">
        <f aca="false">IF(ISBLANK($C378),"",IF(P378=Constants!$B$3,TRUE(),IF(P378=Constants!$B$4,FALSE(),FALSE())))</f>
        <v/>
      </c>
      <c r="AR378" s="133" t="str">
        <f aca="false">IF(ISBLANK($C378),"",IF(Q378=Constants!$B$3,TRUE(),IF(Q378=Constants!$B$4,FALSE(),TRUE())))</f>
        <v/>
      </c>
      <c r="AS378" s="133" t="str">
        <f aca="false">IF(ISBLANK($C378),"",IF(R378=Constants!$B$3,TRUE(),IF(R378=Constants!$B$4,FALSE(),TRUE())))</f>
        <v/>
      </c>
      <c r="AT378" s="133" t="str">
        <f aca="false">IF(ISBLANK($C378),"",IF(S378=Constants!$B$5,TRUE(),IF(S378=Constants!$B$6,FALSE(),COUNTA(T378:X378)&gt;0)))</f>
        <v/>
      </c>
      <c r="AU378" s="134" t="str">
        <f aca="false">IF(ISBLANK($C378),"",IF(ISNUMBER(T378),IF(T378&gt;=0,T378,""),""))</f>
        <v/>
      </c>
      <c r="AV378" s="135" t="str">
        <f aca="false">IF(ISBLANK($C378),"",IF(ISNUMBER(U378),IF(U378&gt;=0,U378,""),""))</f>
        <v/>
      </c>
      <c r="AW378" s="135" t="str">
        <f aca="false">IF(ISBLANK($C378),"",IF(V378=Constants!$B$3,TRUE(),IF(V378=Constants!$B$4,FALSE(),TRUE())))</f>
        <v/>
      </c>
      <c r="AX378" s="133" t="str">
        <f aca="false">IF(ISBLANK($C378),"",IF(ISNUMBER(W378),IF(W378&gt;=0,W378,""),""))</f>
        <v/>
      </c>
      <c r="AY378" s="133" t="str">
        <f aca="false">IF(ISBLANK($C378),"",IF(X378=Constants!$B$3,TRUE(),IF(X378=Constants!$B$4,FALSE(),FALSE())))</f>
        <v/>
      </c>
      <c r="AZ378" s="133" t="str">
        <f aca="false">IF(ISBLANK($C378),"",MIN(Constants!$B$31,MAX(0,IF(ISNUMBER(Y378),Y378*60,0)+IF(ISNUMBER(Z378),Z378,0))))</f>
        <v/>
      </c>
      <c r="BA378" s="133" t="str">
        <f aca="false">IF(ISBLANK($C378),"",IF(AA378=Constants!$B$3,TRUE(),IF(AA378=Constants!$B$4,FALSE(),FALSE())))</f>
        <v/>
      </c>
      <c r="BB378" s="132" t="str">
        <f aca="false">IF(ISBLANK($C378),"",AND($AL378,OR($AM378="",$AN378="",AND($AO378,$AP378=""))))</f>
        <v/>
      </c>
      <c r="BC378" s="135" t="str">
        <f aca="false">IF($BR378&lt;&gt;Constants!$B$8,"",IF($AL378,Constants!$B$21*$AN378+Constants!$B$22*IF($AO378,$AP378,Constants!$B$23),Constants!$B$24))</f>
        <v/>
      </c>
      <c r="BD378" s="136" t="str">
        <f aca="false">IF($BR378&lt;&gt;Constants!$B$8,"",Constants!$B$25*ABS($AD$9-IF($AL378,$AM378,0)))</f>
        <v/>
      </c>
      <c r="BE378" s="136" t="str">
        <f aca="false">IF($BR378&lt;&gt;Constants!$B$8,"",IF(AND($AL378,$AQ378,$AO378),Constants!$B$27,0))</f>
        <v/>
      </c>
      <c r="BF378" s="136" t="str">
        <f aca="false">IF($BR378&lt;&gt;Constants!$B$8,"",IF($AL378,($AI378-Constants!$B$29)*Constants!$B$28,0))</f>
        <v/>
      </c>
      <c r="BG378" s="136" t="str">
        <f aca="false">IF($BR378&lt;&gt;Constants!$B$8,"",IF($AK378,0,Constants!$B$15)+IF($AJ378,0,Constants!$B$16)+IF($AH378,0,Constants!$B$17))</f>
        <v/>
      </c>
      <c r="BH378" s="137" t="str">
        <f aca="false">IF($BR378&lt;&gt;Constants!$B$8,"",Constants!$B$20+SUM($BC378:$BG378))</f>
        <v/>
      </c>
      <c r="BI378" s="133" t="str">
        <f aca="false">IF($BR378&lt;&gt;Constants!$B$8,"",IF(OR($BP378&lt;$BH378,AND($BP378=$BH378,OR($BK378&lt;$BC378,AND($BK378=$BC378,OR($BL378&lt;$BD378,AND($BL378=$BD378,$AT378,$AL378,$AV378&lt;$AN378)))))),"-&gt;","&lt;-"))</f>
        <v/>
      </c>
      <c r="BJ378" s="132" t="str">
        <f aca="false">IF(ISBLANK($C378),"",AND($AT378,OR($AU378="",$AV378="",AND($AW378,$AX378=""))))</f>
        <v/>
      </c>
      <c r="BK378" s="135" t="str">
        <f aca="false">IF($BR378&lt;&gt;Constants!$B$8,"",IF($AT378,Constants!$B$21*$AV378+Constants!$B$22*IF($AW378,$AX378,Constants!$B$23),Constants!$B$24))</f>
        <v/>
      </c>
      <c r="BL378" s="136" t="str">
        <f aca="false">IF($BR378&lt;&gt;Constants!$B$8,"",Constants!$B$25*ABS($AD$9-IF($AT378,$AU378,0)))</f>
        <v/>
      </c>
      <c r="BM378" s="136" t="str">
        <f aca="false">IF($BR378&lt;&gt;Constants!$B$8,"",IF(AND($AT378,$AY378,$AW378),Constants!$B$27,0))</f>
        <v/>
      </c>
      <c r="BN378" s="136" t="str">
        <f aca="false">IF($BR378&lt;&gt;Constants!$B$8,"",IF($AT378,($AI378-Constants!$B$29)*Constants!$B$28,0))</f>
        <v/>
      </c>
      <c r="BO378" s="136" t="str">
        <f aca="false">IF($BR378&lt;&gt;Constants!$B$8,"",IF($AS378,0,Constants!$B$15)+IF($AR378,0,Constants!$B$16)+IF($AH378,0,Constants!$B$17))</f>
        <v/>
      </c>
      <c r="BP378" s="137" t="str">
        <f aca="false">IF($BR378&lt;&gt;Constants!$B$8,"",Constants!$B$20+SUM($BK378:$BO378))</f>
        <v/>
      </c>
      <c r="BQ378" s="133" t="str">
        <f aca="false">IF(ISBLANK($C378),"",IF(ISBLANK($D$7),$BQ$5,IF(NOT(ISNUMBER($D$7)),$BQ$6,"")))</f>
        <v/>
      </c>
      <c r="BR378" s="133" t="str">
        <f aca="false">IF(ISBLANK($C378),"",IF($BA378,Constants!$B$11,IF(COUNTA($E378:$AA378)=0,Constants!$B$10,IF(NOT($AG378),Constants!$B$9,IF(OR($BQ378&lt;&gt;"",$BB378,$BJ378),Constants!$B$12,Constants!$B$8)))))</f>
        <v/>
      </c>
      <c r="BS378" s="133" t="str">
        <f aca="false">IF(ISBLANK($C378),"",IF($BR378&lt;&gt;Constants!$B$8,$BR378,Constants!$B$13))</f>
        <v/>
      </c>
      <c r="BT378" s="136" t="str">
        <f aca="false">IF($BR378&lt;&gt;Constants!$B$8,"",IF($BI378="-&gt;",$BP378,$BH378))</f>
        <v/>
      </c>
      <c r="BU378" s="136" t="str">
        <f aca="false">IF($BR378&lt;&gt;Constants!$B$8,"",IF($AF378,0,Constants!$B$18))</f>
        <v/>
      </c>
      <c r="BV378" s="136" t="str">
        <f aca="false">IF($BR378&lt;&gt;Constants!$B$8,"",((Constants!$B$31-$AZ378)-Constants!$B$31)/Constants!$B$32)</f>
        <v/>
      </c>
      <c r="BW378" s="136" t="str">
        <f aca="false">IF(ISBLANK($C378),"",IF($BR378&lt;&gt;Constants!$B$8,$BR378,SUM($BT378:$BV378)))</f>
        <v/>
      </c>
      <c r="BX378" s="133" t="str">
        <f aca="false">IF(ISBLANK($C378),"",IF($BR378&lt;&gt;Constants!$B$8,$BR378,RANK($BW378,$BW$9:$BW$508,1)))</f>
        <v/>
      </c>
      <c r="BY378" s="136" t="str">
        <f aca="false">IF($BR378&lt;&gt;Constants!$B$8,"",IF($BI378="-&gt;",$BK378,$BC378))</f>
        <v/>
      </c>
      <c r="BZ378" s="133" t="str">
        <f aca="false">IF(ISBLANK($C378),"",IF($BR378&lt;&gt;Constants!$B$8,$BR378,IF(ISNUMBER($BY378),RANK($BY378,$BY$9:$BY$508,1),COUNT($BY$9:$BY$508)+1)))</f>
        <v/>
      </c>
      <c r="CA378" s="136" t="str">
        <f aca="false">IF($BR378&lt;&gt;Constants!$B$8,"",IF($BI378="-&gt;",$BL378,$BD378))</f>
        <v/>
      </c>
      <c r="CB378" s="133" t="str">
        <f aca="false">IF(ISBLANK($C378),"",IF($BR378&lt;&gt;Constants!$B$8,$BR378,IF(ISNUMBER($CA378),RANK($CA378,$CA$9:$CA$508,1),COUNT($CA$9:$CA$508)+1)))</f>
        <v/>
      </c>
      <c r="CC378" s="136" t="str">
        <f aca="false">IF($BR378&lt;&gt;Constants!$B$8,"",IF($BI378="-&gt;",IF($AT378,$AV378,""),IF($AL378,$AN378,"")))</f>
        <v/>
      </c>
      <c r="CD378" s="133" t="str">
        <f aca="false">IF(ISBLANK($C378),"",IF($BR378&lt;&gt;Constants!$B$8,$BR378,IF(ISNUMBER($CC378),RANK($CC378,$CC$9:$CC$508,1),COUNT($CC$9:$CC$508)+1)))</f>
        <v/>
      </c>
      <c r="CE378" s="136" t="str">
        <f aca="false">IF($BR378&lt;&gt;Constants!$B$8,"",IF(AND(NOT($AL378),NOT($AT378),$AJ378,$AK378,$AR378,$AS378),"",$AI378))</f>
        <v/>
      </c>
      <c r="CF378" s="133" t="str">
        <f aca="false">IF(ISBLANK($C378),"",IF($BR378&lt;&gt;Constants!$B$8,$BR378,IF(ISNUMBER($CE378),RANK($CE378,$CE$9:$CE$508,1),COUNT($CE$9:$CE$508)+1)))</f>
        <v/>
      </c>
      <c r="CG378" s="133" t="str">
        <f aca="false">IF(ISBLANK($C378),"",IF($BR378&lt;&gt;Constants!$B$8,$BR378,COUNTIFS($BX$9:$BX$508,"&lt;"&amp;$BX378)+COUNTIFS($BX$9:$BX$508,$BX378,$BZ$9:$BZ$508,"&lt;"&amp;$BZ378)+COUNTIFS($BX$9:$BX$508,$BX378,$BZ$9:$BZ$508,$BZ378,$CB$9:$CB$508,"&lt;"&amp;$CB378)+COUNTIFS($BX$9:$BX$508,$BX378,$BZ$9:$BZ$508,$BZ378,$CB$9:$CB$508,$CB378,$CD$9:$CD$508,"&lt;"&amp;$CD378)+COUNTIFS($BX$9:$BX$508,$BX378,$BZ$9:$BZ$508,$BZ378,$CB$9:$CB$508,$CB378,$CD$9:$CD$508,$CD378,$CF$9:$CF$508,"&lt;"&amp;$CF378)+1))</f>
        <v/>
      </c>
      <c r="CH378" s="133" t="str">
        <f aca="false">IF(ISBLANK($C378),"",IF($BR378&lt;&gt;Constants!$B$8,$BR378,$BX378-$CG378))</f>
        <v/>
      </c>
      <c r="CI378" s="138"/>
      <c r="CJ378" s="139"/>
      <c r="CK378" s="140" t="str">
        <f aca="false">IF(ISBLANK($C378),"",IF($BR378=Constants!$B$12,$BQ378,""))</f>
        <v/>
      </c>
      <c r="CL378" s="139" t="str">
        <f aca="false">IF(ISBLANK($C378),"",IF($BR378&lt;&gt;Constants!$B$8,"",IF($BI378="-&gt;",2,1)))</f>
        <v/>
      </c>
      <c r="CM378" s="141" t="str">
        <f aca="false">IF(ISBLANK($C378),"",IF($BR378&lt;&gt;Constants!$B$8,"",IF($BI378="-&gt;",$BK378,$BC378)))</f>
        <v/>
      </c>
      <c r="CN378" s="141" t="str">
        <f aca="false">IF(ISBLANK($C378),"",IF($BR378&lt;&gt;Constants!$B$8,"",IF($BI378="-&gt;",$BL378,$BD378)))</f>
        <v/>
      </c>
      <c r="CO378" s="141" t="str">
        <f aca="false">IF(ISBLANK($C378),"",IF($BR378&lt;&gt;Constants!$B$8,"",IF($BI378="-&gt;",$BM378+$BN378,$BE378+$BF378)+$BV378))</f>
        <v/>
      </c>
      <c r="CP378" s="141" t="str">
        <f aca="false">IF(ISBLANK($C378),"",IF($BR378&lt;&gt;Constants!$B$8,"",IF($BI378="-&gt;",$BO378,$BG378)+$BU378))</f>
        <v/>
      </c>
      <c r="CQ378" s="142" t="str">
        <f aca="false">IF(ISBLANK($C378),"",IF($BR378&lt;&gt;Constants!$B$8,$BR378,$BW378))</f>
        <v/>
      </c>
      <c r="CR378" s="143" t="str">
        <f aca="false">IF(ISBLANK($C378),"",$BS378)</f>
        <v/>
      </c>
      <c r="CS378" s="144" t="str">
        <f aca="false">IF(ISBLANK($C378),"",$CH378)</f>
        <v/>
      </c>
      <c r="CT378" s="144" t="str">
        <f aca="false">IF(ISBLANK($C378),"",$CG378)</f>
        <v/>
      </c>
      <c r="CU378" s="145" t="str">
        <f aca="false">IF(ISBLANK($C378),"",IFERROR(_xlfn.SWITCH($CT378,Constants!$B$11,COUNTA($C$9:$C$508)+2,Constants!$B$10,COUNTA($C$9:$C$508)+1,Constants!$B$9,COUNTA($C$9:$C$508)),$CT378))</f>
        <v/>
      </c>
      <c r="CV378" s="9"/>
      <c r="CW378" s="146" t="n">
        <f aca="false">IF(OR(ISNUMBER($CT378),$CT378=Constants!$B$11,$CT378=Constants!$B$9,$CT378=Constants!$B$10),1,0)</f>
        <v>0</v>
      </c>
      <c r="CX378" s="146" t="n">
        <v>370</v>
      </c>
      <c r="CY378" s="146" t="str">
        <f aca="false">IF(ISBLANK($C378),"",IF(ISNUMBER($CU378),$CU378+ROW($B378)/1000,""))</f>
        <v/>
      </c>
      <c r="CZ378" s="146" t="str">
        <f aca="false">IF(ISNUMBER($CY378),RANK($CY378,$CY$9:$CY$508,1),"")</f>
        <v/>
      </c>
      <c r="DA378" s="146" t="str">
        <f aca="false">IF(ISBLANK($C378),"",$B378)</f>
        <v/>
      </c>
      <c r="DB378" s="146" t="str">
        <f aca="false">IF(ISBLANK($C378),"",$C378)</f>
        <v/>
      </c>
      <c r="DC378" s="146" t="str">
        <f aca="false">IF(ISBLANK($C378),"",$D378)</f>
        <v/>
      </c>
      <c r="DD378" s="147" t="str">
        <f aca="false">$CR378</f>
        <v/>
      </c>
      <c r="DE378" s="148" t="str">
        <f aca="false">$CQ378</f>
        <v/>
      </c>
      <c r="DF378" s="146" t="str">
        <f aca="false">IF(ISBLANK($C378),"",$CT378)</f>
        <v/>
      </c>
      <c r="DG378" s="149" t="str">
        <f aca="false">IF($CX378&gt;$CW$8,"",VLOOKUP($CX378,$CZ$9:$DF$508,7,FALSE()))</f>
        <v/>
      </c>
      <c r="DH378" s="150" t="str">
        <f aca="false">IF($CX378&gt;$CW$8,"",VLOOKUP($CX378,$CZ$9:$DF$508,2,FALSE()))</f>
        <v/>
      </c>
      <c r="DI378" s="150" t="str">
        <f aca="false">IF($CX378&gt;$CW$8,"",VLOOKUP($CX378,$CZ$9:$DF$508,3,FALSE()))</f>
        <v/>
      </c>
      <c r="DJ378" s="150" t="str">
        <f aca="false">IF($CX378&gt;$CW$8,"",VLOOKUP($CX378,$CZ$9:$DF$508,4,FALSE()))</f>
        <v/>
      </c>
      <c r="DK378" s="150" t="str">
        <f aca="false">IF($CX378&gt;$CW$8,"",VLOOKUP($CX378,$CZ$9:$DF$508,5,FALSE()))</f>
        <v/>
      </c>
      <c r="DL378" s="151" t="str">
        <f aca="false">IF($CX378&gt;$CW$8,"",VLOOKUP($CX378,$CZ$9:$DF$508,6,FALSE()))</f>
        <v/>
      </c>
      <c r="DM378" s="75"/>
    </row>
    <row r="379" customFormat="false" ht="15.75" hidden="false" customHeight="false" outlineLevel="0" collapsed="false">
      <c r="A379" s="9"/>
      <c r="B379" s="157"/>
      <c r="C379" s="158"/>
      <c r="D379" s="159"/>
      <c r="E379" s="177"/>
      <c r="F379" s="161"/>
      <c r="G379" s="162"/>
      <c r="H379" s="162"/>
      <c r="I379" s="178"/>
      <c r="J379" s="165"/>
      <c r="K379" s="126"/>
      <c r="L379" s="127"/>
      <c r="M379" s="128"/>
      <c r="N379" s="165"/>
      <c r="O379" s="165"/>
      <c r="P379" s="177"/>
      <c r="Q379" s="165"/>
      <c r="R379" s="165"/>
      <c r="S379" s="126"/>
      <c r="T379" s="128"/>
      <c r="U379" s="128"/>
      <c r="V379" s="165"/>
      <c r="W379" s="165"/>
      <c r="X379" s="177"/>
      <c r="Y379" s="165"/>
      <c r="Z379" s="166"/>
      <c r="AA379" s="165"/>
      <c r="AB379" s="132"/>
      <c r="AC379" s="133"/>
      <c r="AD379" s="133"/>
      <c r="AE379" s="133"/>
      <c r="AF379" s="133" t="str">
        <f aca="false">IF(ISBLANK($C379),"",IF(E379=Constants!$B$3,TRUE(),IF(E379=Constants!$B$4,FALSE(),TRUE())))</f>
        <v/>
      </c>
      <c r="AG379" s="133" t="str">
        <f aca="false">IF(ISBLANK($C379),"",IF(F379=Constants!$B$3,TRUE(),IF(F379=Constants!$B$4,FALSE(),TRUE())))</f>
        <v/>
      </c>
      <c r="AH379" s="133" t="str">
        <f aca="false">IF(ISBLANK($C379),"",IF(G379=Constants!$B$3,TRUE(),IF(G379=Constants!$B$4,FALSE(),TRUE())))</f>
        <v/>
      </c>
      <c r="AI379" s="133" t="str">
        <f aca="false">IF(ISBLANK($C379),"",IF(AND(ISNUMBER(H379),H379&gt;=0),H379,Constants!$B$29))</f>
        <v/>
      </c>
      <c r="AJ379" s="133" t="str">
        <f aca="false">IF(ISBLANK($C379),"",IF(I379=Constants!$B$3,TRUE(),IF(I379=Constants!$B$4,FALSE(),TRUE())))</f>
        <v/>
      </c>
      <c r="AK379" s="133" t="str">
        <f aca="false">IF(ISBLANK($C379),"",IF(J379=Constants!$B$3,TRUE(),IF(J379=Constants!$B$4,FALSE(),TRUE())))</f>
        <v/>
      </c>
      <c r="AL379" s="133" t="str">
        <f aca="false">IF(ISBLANK($C379),"",IF(K379=Constants!$B$5,TRUE(),IF(K379=Constants!$B$6,FALSE(),COUNTA(L379:P379)&gt;0)))</f>
        <v/>
      </c>
      <c r="AM379" s="134" t="str">
        <f aca="false">IF(ISBLANK($C379),"",IF(ISNUMBER(L379),IF(L379&gt;=0,L379,""),""))</f>
        <v/>
      </c>
      <c r="AN379" s="135" t="str">
        <f aca="false">IF(ISBLANK($C379),"",IF(ISNUMBER(M379),IF(M379&gt;=0,M379,""),""))</f>
        <v/>
      </c>
      <c r="AO379" s="135" t="str">
        <f aca="false">IF(ISBLANK($C379),"",IF(N379=Constants!$B$3,TRUE(),IF(N379=Constants!$B$4,FALSE(),TRUE())))</f>
        <v/>
      </c>
      <c r="AP379" s="133" t="str">
        <f aca="false">IF(ISBLANK($C379),"",IF(ISNUMBER(O379),IF(O379&gt;=0,O379,""),""))</f>
        <v/>
      </c>
      <c r="AQ379" s="133" t="str">
        <f aca="false">IF(ISBLANK($C379),"",IF(P379=Constants!$B$3,TRUE(),IF(P379=Constants!$B$4,FALSE(),FALSE())))</f>
        <v/>
      </c>
      <c r="AR379" s="133" t="str">
        <f aca="false">IF(ISBLANK($C379),"",IF(Q379=Constants!$B$3,TRUE(),IF(Q379=Constants!$B$4,FALSE(),TRUE())))</f>
        <v/>
      </c>
      <c r="AS379" s="133" t="str">
        <f aca="false">IF(ISBLANK($C379),"",IF(R379=Constants!$B$3,TRUE(),IF(R379=Constants!$B$4,FALSE(),TRUE())))</f>
        <v/>
      </c>
      <c r="AT379" s="133" t="str">
        <f aca="false">IF(ISBLANK($C379),"",IF(S379=Constants!$B$5,TRUE(),IF(S379=Constants!$B$6,FALSE(),COUNTA(T379:X379)&gt;0)))</f>
        <v/>
      </c>
      <c r="AU379" s="134" t="str">
        <f aca="false">IF(ISBLANK($C379),"",IF(ISNUMBER(T379),IF(T379&gt;=0,T379,""),""))</f>
        <v/>
      </c>
      <c r="AV379" s="135" t="str">
        <f aca="false">IF(ISBLANK($C379),"",IF(ISNUMBER(U379),IF(U379&gt;=0,U379,""),""))</f>
        <v/>
      </c>
      <c r="AW379" s="135" t="str">
        <f aca="false">IF(ISBLANK($C379),"",IF(V379=Constants!$B$3,TRUE(),IF(V379=Constants!$B$4,FALSE(),TRUE())))</f>
        <v/>
      </c>
      <c r="AX379" s="133" t="str">
        <f aca="false">IF(ISBLANK($C379),"",IF(ISNUMBER(W379),IF(W379&gt;=0,W379,""),""))</f>
        <v/>
      </c>
      <c r="AY379" s="133" t="str">
        <f aca="false">IF(ISBLANK($C379),"",IF(X379=Constants!$B$3,TRUE(),IF(X379=Constants!$B$4,FALSE(),FALSE())))</f>
        <v/>
      </c>
      <c r="AZ379" s="133" t="str">
        <f aca="false">IF(ISBLANK($C379),"",MIN(Constants!$B$31,MAX(0,IF(ISNUMBER(Y379),Y379*60,0)+IF(ISNUMBER(Z379),Z379,0))))</f>
        <v/>
      </c>
      <c r="BA379" s="133" t="str">
        <f aca="false">IF(ISBLANK($C379),"",IF(AA379=Constants!$B$3,TRUE(),IF(AA379=Constants!$B$4,FALSE(),FALSE())))</f>
        <v/>
      </c>
      <c r="BB379" s="132" t="str">
        <f aca="false">IF(ISBLANK($C379),"",AND($AL379,OR($AM379="",$AN379="",AND($AO379,$AP379=""))))</f>
        <v/>
      </c>
      <c r="BC379" s="135" t="str">
        <f aca="false">IF($BR379&lt;&gt;Constants!$B$8,"",IF($AL379,Constants!$B$21*$AN379+Constants!$B$22*IF($AO379,$AP379,Constants!$B$23),Constants!$B$24))</f>
        <v/>
      </c>
      <c r="BD379" s="136" t="str">
        <f aca="false">IF($BR379&lt;&gt;Constants!$B$8,"",Constants!$B$25*ABS($AD$9-IF($AL379,$AM379,0)))</f>
        <v/>
      </c>
      <c r="BE379" s="136" t="str">
        <f aca="false">IF($BR379&lt;&gt;Constants!$B$8,"",IF(AND($AL379,$AQ379,$AO379),Constants!$B$27,0))</f>
        <v/>
      </c>
      <c r="BF379" s="136" t="str">
        <f aca="false">IF($BR379&lt;&gt;Constants!$B$8,"",IF($AL379,($AI379-Constants!$B$29)*Constants!$B$28,0))</f>
        <v/>
      </c>
      <c r="BG379" s="136" t="str">
        <f aca="false">IF($BR379&lt;&gt;Constants!$B$8,"",IF($AK379,0,Constants!$B$15)+IF($AJ379,0,Constants!$B$16)+IF($AH379,0,Constants!$B$17))</f>
        <v/>
      </c>
      <c r="BH379" s="137" t="str">
        <f aca="false">IF($BR379&lt;&gt;Constants!$B$8,"",Constants!$B$20+SUM($BC379:$BG379))</f>
        <v/>
      </c>
      <c r="BI379" s="133" t="str">
        <f aca="false">IF($BR379&lt;&gt;Constants!$B$8,"",IF(OR($BP379&lt;$BH379,AND($BP379=$BH379,OR($BK379&lt;$BC379,AND($BK379=$BC379,OR($BL379&lt;$BD379,AND($BL379=$BD379,$AT379,$AL379,$AV379&lt;$AN379)))))),"-&gt;","&lt;-"))</f>
        <v/>
      </c>
      <c r="BJ379" s="132" t="str">
        <f aca="false">IF(ISBLANK($C379),"",AND($AT379,OR($AU379="",$AV379="",AND($AW379,$AX379=""))))</f>
        <v/>
      </c>
      <c r="BK379" s="135" t="str">
        <f aca="false">IF($BR379&lt;&gt;Constants!$B$8,"",IF($AT379,Constants!$B$21*$AV379+Constants!$B$22*IF($AW379,$AX379,Constants!$B$23),Constants!$B$24))</f>
        <v/>
      </c>
      <c r="BL379" s="136" t="str">
        <f aca="false">IF($BR379&lt;&gt;Constants!$B$8,"",Constants!$B$25*ABS($AD$9-IF($AT379,$AU379,0)))</f>
        <v/>
      </c>
      <c r="BM379" s="136" t="str">
        <f aca="false">IF($BR379&lt;&gt;Constants!$B$8,"",IF(AND($AT379,$AY379,$AW379),Constants!$B$27,0))</f>
        <v/>
      </c>
      <c r="BN379" s="136" t="str">
        <f aca="false">IF($BR379&lt;&gt;Constants!$B$8,"",IF($AT379,($AI379-Constants!$B$29)*Constants!$B$28,0))</f>
        <v/>
      </c>
      <c r="BO379" s="136" t="str">
        <f aca="false">IF($BR379&lt;&gt;Constants!$B$8,"",IF($AS379,0,Constants!$B$15)+IF($AR379,0,Constants!$B$16)+IF($AH379,0,Constants!$B$17))</f>
        <v/>
      </c>
      <c r="BP379" s="137" t="str">
        <f aca="false">IF($BR379&lt;&gt;Constants!$B$8,"",Constants!$B$20+SUM($BK379:$BO379))</f>
        <v/>
      </c>
      <c r="BQ379" s="133" t="str">
        <f aca="false">IF(ISBLANK($C379),"",IF(ISBLANK($D$7),$BQ$5,IF(NOT(ISNUMBER($D$7)),$BQ$6,"")))</f>
        <v/>
      </c>
      <c r="BR379" s="133" t="str">
        <f aca="false">IF(ISBLANK($C379),"",IF($BA379,Constants!$B$11,IF(COUNTA($E379:$AA379)=0,Constants!$B$10,IF(NOT($AG379),Constants!$B$9,IF(OR($BQ379&lt;&gt;"",$BB379,$BJ379),Constants!$B$12,Constants!$B$8)))))</f>
        <v/>
      </c>
      <c r="BS379" s="133" t="str">
        <f aca="false">IF(ISBLANK($C379),"",IF($BR379&lt;&gt;Constants!$B$8,$BR379,Constants!$B$13))</f>
        <v/>
      </c>
      <c r="BT379" s="136" t="str">
        <f aca="false">IF($BR379&lt;&gt;Constants!$B$8,"",IF($BI379="-&gt;",$BP379,$BH379))</f>
        <v/>
      </c>
      <c r="BU379" s="136" t="str">
        <f aca="false">IF($BR379&lt;&gt;Constants!$B$8,"",IF($AF379,0,Constants!$B$18))</f>
        <v/>
      </c>
      <c r="BV379" s="136" t="str">
        <f aca="false">IF($BR379&lt;&gt;Constants!$B$8,"",((Constants!$B$31-$AZ379)-Constants!$B$31)/Constants!$B$32)</f>
        <v/>
      </c>
      <c r="BW379" s="136" t="str">
        <f aca="false">IF(ISBLANK($C379),"",IF($BR379&lt;&gt;Constants!$B$8,$BR379,SUM($BT379:$BV379)))</f>
        <v/>
      </c>
      <c r="BX379" s="133" t="str">
        <f aca="false">IF(ISBLANK($C379),"",IF($BR379&lt;&gt;Constants!$B$8,$BR379,RANK($BW379,$BW$9:$BW$508,1)))</f>
        <v/>
      </c>
      <c r="BY379" s="136" t="str">
        <f aca="false">IF($BR379&lt;&gt;Constants!$B$8,"",IF($BI379="-&gt;",$BK379,$BC379))</f>
        <v/>
      </c>
      <c r="BZ379" s="133" t="str">
        <f aca="false">IF(ISBLANK($C379),"",IF($BR379&lt;&gt;Constants!$B$8,$BR379,IF(ISNUMBER($BY379),RANK($BY379,$BY$9:$BY$508,1),COUNT($BY$9:$BY$508)+1)))</f>
        <v/>
      </c>
      <c r="CA379" s="136" t="str">
        <f aca="false">IF($BR379&lt;&gt;Constants!$B$8,"",IF($BI379="-&gt;",$BL379,$BD379))</f>
        <v/>
      </c>
      <c r="CB379" s="133" t="str">
        <f aca="false">IF(ISBLANK($C379),"",IF($BR379&lt;&gt;Constants!$B$8,$BR379,IF(ISNUMBER($CA379),RANK($CA379,$CA$9:$CA$508,1),COUNT($CA$9:$CA$508)+1)))</f>
        <v/>
      </c>
      <c r="CC379" s="136" t="str">
        <f aca="false">IF($BR379&lt;&gt;Constants!$B$8,"",IF($BI379="-&gt;",IF($AT379,$AV379,""),IF($AL379,$AN379,"")))</f>
        <v/>
      </c>
      <c r="CD379" s="133" t="str">
        <f aca="false">IF(ISBLANK($C379),"",IF($BR379&lt;&gt;Constants!$B$8,$BR379,IF(ISNUMBER($CC379),RANK($CC379,$CC$9:$CC$508,1),COUNT($CC$9:$CC$508)+1)))</f>
        <v/>
      </c>
      <c r="CE379" s="136" t="str">
        <f aca="false">IF($BR379&lt;&gt;Constants!$B$8,"",IF(AND(NOT($AL379),NOT($AT379),$AJ379,$AK379,$AR379,$AS379),"",$AI379))</f>
        <v/>
      </c>
      <c r="CF379" s="133" t="str">
        <f aca="false">IF(ISBLANK($C379),"",IF($BR379&lt;&gt;Constants!$B$8,$BR379,IF(ISNUMBER($CE379),RANK($CE379,$CE$9:$CE$508,1),COUNT($CE$9:$CE$508)+1)))</f>
        <v/>
      </c>
      <c r="CG379" s="133" t="str">
        <f aca="false">IF(ISBLANK($C379),"",IF($BR379&lt;&gt;Constants!$B$8,$BR379,COUNTIFS($BX$9:$BX$508,"&lt;"&amp;$BX379)+COUNTIFS($BX$9:$BX$508,$BX379,$BZ$9:$BZ$508,"&lt;"&amp;$BZ379)+COUNTIFS($BX$9:$BX$508,$BX379,$BZ$9:$BZ$508,$BZ379,$CB$9:$CB$508,"&lt;"&amp;$CB379)+COUNTIFS($BX$9:$BX$508,$BX379,$BZ$9:$BZ$508,$BZ379,$CB$9:$CB$508,$CB379,$CD$9:$CD$508,"&lt;"&amp;$CD379)+COUNTIFS($BX$9:$BX$508,$BX379,$BZ$9:$BZ$508,$BZ379,$CB$9:$CB$508,$CB379,$CD$9:$CD$508,$CD379,$CF$9:$CF$508,"&lt;"&amp;$CF379)+1))</f>
        <v/>
      </c>
      <c r="CH379" s="133" t="str">
        <f aca="false">IF(ISBLANK($C379),"",IF($BR379&lt;&gt;Constants!$B$8,$BR379,$BX379-$CG379))</f>
        <v/>
      </c>
      <c r="CI379" s="138"/>
      <c r="CJ379" s="139"/>
      <c r="CK379" s="140" t="str">
        <f aca="false">IF(ISBLANK($C379),"",IF($BR379=Constants!$B$12,$BQ379,""))</f>
        <v/>
      </c>
      <c r="CL379" s="139" t="str">
        <f aca="false">IF(ISBLANK($C379),"",IF($BR379&lt;&gt;Constants!$B$8,"",IF($BI379="-&gt;",2,1)))</f>
        <v/>
      </c>
      <c r="CM379" s="141" t="str">
        <f aca="false">IF(ISBLANK($C379),"",IF($BR379&lt;&gt;Constants!$B$8,"",IF($BI379="-&gt;",$BK379,$BC379)))</f>
        <v/>
      </c>
      <c r="CN379" s="141" t="str">
        <f aca="false">IF(ISBLANK($C379),"",IF($BR379&lt;&gt;Constants!$B$8,"",IF($BI379="-&gt;",$BL379,$BD379)))</f>
        <v/>
      </c>
      <c r="CO379" s="141" t="str">
        <f aca="false">IF(ISBLANK($C379),"",IF($BR379&lt;&gt;Constants!$B$8,"",IF($BI379="-&gt;",$BM379+$BN379,$BE379+$BF379)+$BV379))</f>
        <v/>
      </c>
      <c r="CP379" s="141" t="str">
        <f aca="false">IF(ISBLANK($C379),"",IF($BR379&lt;&gt;Constants!$B$8,"",IF($BI379="-&gt;",$BO379,$BG379)+$BU379))</f>
        <v/>
      </c>
      <c r="CQ379" s="142" t="str">
        <f aca="false">IF(ISBLANK($C379),"",IF($BR379&lt;&gt;Constants!$B$8,$BR379,$BW379))</f>
        <v/>
      </c>
      <c r="CR379" s="143" t="str">
        <f aca="false">IF(ISBLANK($C379),"",$BS379)</f>
        <v/>
      </c>
      <c r="CS379" s="144" t="str">
        <f aca="false">IF(ISBLANK($C379),"",$CH379)</f>
        <v/>
      </c>
      <c r="CT379" s="144" t="str">
        <f aca="false">IF(ISBLANK($C379),"",$CG379)</f>
        <v/>
      </c>
      <c r="CU379" s="145" t="str">
        <f aca="false">IF(ISBLANK($C379),"",IFERROR(_xlfn.SWITCH($CT379,Constants!$B$11,COUNTA($C$9:$C$508)+2,Constants!$B$10,COUNTA($C$9:$C$508)+1,Constants!$B$9,COUNTA($C$9:$C$508)),$CT379))</f>
        <v/>
      </c>
      <c r="CV379" s="9"/>
      <c r="CW379" s="146" t="n">
        <f aca="false">IF(OR(ISNUMBER($CT379),$CT379=Constants!$B$11,$CT379=Constants!$B$9,$CT379=Constants!$B$10),1,0)</f>
        <v>0</v>
      </c>
      <c r="CX379" s="146" t="n">
        <v>371</v>
      </c>
      <c r="CY379" s="146" t="str">
        <f aca="false">IF(ISBLANK($C379),"",IF(ISNUMBER($CU379),$CU379+ROW($B379)/1000,""))</f>
        <v/>
      </c>
      <c r="CZ379" s="146" t="str">
        <f aca="false">IF(ISNUMBER($CY379),RANK($CY379,$CY$9:$CY$508,1),"")</f>
        <v/>
      </c>
      <c r="DA379" s="146" t="str">
        <f aca="false">IF(ISBLANK($C379),"",$B379)</f>
        <v/>
      </c>
      <c r="DB379" s="146" t="str">
        <f aca="false">IF(ISBLANK($C379),"",$C379)</f>
        <v/>
      </c>
      <c r="DC379" s="146" t="str">
        <f aca="false">IF(ISBLANK($C379),"",$D379)</f>
        <v/>
      </c>
      <c r="DD379" s="147" t="str">
        <f aca="false">$CR379</f>
        <v/>
      </c>
      <c r="DE379" s="148" t="str">
        <f aca="false">$CQ379</f>
        <v/>
      </c>
      <c r="DF379" s="146" t="str">
        <f aca="false">IF(ISBLANK($C379),"",$CT379)</f>
        <v/>
      </c>
      <c r="DG379" s="149" t="str">
        <f aca="false">IF($CX379&gt;$CW$8,"",VLOOKUP($CX379,$CZ$9:$DF$508,7,FALSE()))</f>
        <v/>
      </c>
      <c r="DH379" s="150" t="str">
        <f aca="false">IF($CX379&gt;$CW$8,"",VLOOKUP($CX379,$CZ$9:$DF$508,2,FALSE()))</f>
        <v/>
      </c>
      <c r="DI379" s="150" t="str">
        <f aca="false">IF($CX379&gt;$CW$8,"",VLOOKUP($CX379,$CZ$9:$DF$508,3,FALSE()))</f>
        <v/>
      </c>
      <c r="DJ379" s="150" t="str">
        <f aca="false">IF($CX379&gt;$CW$8,"",VLOOKUP($CX379,$CZ$9:$DF$508,4,FALSE()))</f>
        <v/>
      </c>
      <c r="DK379" s="150" t="str">
        <f aca="false">IF($CX379&gt;$CW$8,"",VLOOKUP($CX379,$CZ$9:$DF$508,5,FALSE()))</f>
        <v/>
      </c>
      <c r="DL379" s="151" t="str">
        <f aca="false">IF($CX379&gt;$CW$8,"",VLOOKUP($CX379,$CZ$9:$DF$508,6,FALSE()))</f>
        <v/>
      </c>
      <c r="DM379" s="75"/>
    </row>
    <row r="380" customFormat="false" ht="15.75" hidden="false" customHeight="false" outlineLevel="0" collapsed="false">
      <c r="A380" s="9"/>
      <c r="B380" s="157"/>
      <c r="C380" s="158"/>
      <c r="D380" s="159"/>
      <c r="E380" s="177"/>
      <c r="F380" s="161"/>
      <c r="G380" s="162"/>
      <c r="H380" s="162"/>
      <c r="I380" s="178"/>
      <c r="J380" s="165"/>
      <c r="K380" s="126"/>
      <c r="L380" s="127"/>
      <c r="M380" s="128"/>
      <c r="N380" s="165"/>
      <c r="O380" s="165"/>
      <c r="P380" s="177"/>
      <c r="Q380" s="165"/>
      <c r="R380" s="165"/>
      <c r="S380" s="126"/>
      <c r="T380" s="128"/>
      <c r="U380" s="128"/>
      <c r="V380" s="165"/>
      <c r="W380" s="165"/>
      <c r="X380" s="177"/>
      <c r="Y380" s="165"/>
      <c r="Z380" s="166"/>
      <c r="AA380" s="165"/>
      <c r="AB380" s="132"/>
      <c r="AC380" s="133"/>
      <c r="AD380" s="133"/>
      <c r="AE380" s="133"/>
      <c r="AF380" s="133" t="str">
        <f aca="false">IF(ISBLANK($C380),"",IF(E380=Constants!$B$3,TRUE(),IF(E380=Constants!$B$4,FALSE(),TRUE())))</f>
        <v/>
      </c>
      <c r="AG380" s="133" t="str">
        <f aca="false">IF(ISBLANK($C380),"",IF(F380=Constants!$B$3,TRUE(),IF(F380=Constants!$B$4,FALSE(),TRUE())))</f>
        <v/>
      </c>
      <c r="AH380" s="133" t="str">
        <f aca="false">IF(ISBLANK($C380),"",IF(G380=Constants!$B$3,TRUE(),IF(G380=Constants!$B$4,FALSE(),TRUE())))</f>
        <v/>
      </c>
      <c r="AI380" s="133" t="str">
        <f aca="false">IF(ISBLANK($C380),"",IF(AND(ISNUMBER(H380),H380&gt;=0),H380,Constants!$B$29))</f>
        <v/>
      </c>
      <c r="AJ380" s="133" t="str">
        <f aca="false">IF(ISBLANK($C380),"",IF(I380=Constants!$B$3,TRUE(),IF(I380=Constants!$B$4,FALSE(),TRUE())))</f>
        <v/>
      </c>
      <c r="AK380" s="133" t="str">
        <f aca="false">IF(ISBLANK($C380),"",IF(J380=Constants!$B$3,TRUE(),IF(J380=Constants!$B$4,FALSE(),TRUE())))</f>
        <v/>
      </c>
      <c r="AL380" s="133" t="str">
        <f aca="false">IF(ISBLANK($C380),"",IF(K380=Constants!$B$5,TRUE(),IF(K380=Constants!$B$6,FALSE(),COUNTA(L380:P380)&gt;0)))</f>
        <v/>
      </c>
      <c r="AM380" s="134" t="str">
        <f aca="false">IF(ISBLANK($C380),"",IF(ISNUMBER(L380),IF(L380&gt;=0,L380,""),""))</f>
        <v/>
      </c>
      <c r="AN380" s="135" t="str">
        <f aca="false">IF(ISBLANK($C380),"",IF(ISNUMBER(M380),IF(M380&gt;=0,M380,""),""))</f>
        <v/>
      </c>
      <c r="AO380" s="135" t="str">
        <f aca="false">IF(ISBLANK($C380),"",IF(N380=Constants!$B$3,TRUE(),IF(N380=Constants!$B$4,FALSE(),TRUE())))</f>
        <v/>
      </c>
      <c r="AP380" s="133" t="str">
        <f aca="false">IF(ISBLANK($C380),"",IF(ISNUMBER(O380),IF(O380&gt;=0,O380,""),""))</f>
        <v/>
      </c>
      <c r="AQ380" s="133" t="str">
        <f aca="false">IF(ISBLANK($C380),"",IF(P380=Constants!$B$3,TRUE(),IF(P380=Constants!$B$4,FALSE(),FALSE())))</f>
        <v/>
      </c>
      <c r="AR380" s="133" t="str">
        <f aca="false">IF(ISBLANK($C380),"",IF(Q380=Constants!$B$3,TRUE(),IF(Q380=Constants!$B$4,FALSE(),TRUE())))</f>
        <v/>
      </c>
      <c r="AS380" s="133" t="str">
        <f aca="false">IF(ISBLANK($C380),"",IF(R380=Constants!$B$3,TRUE(),IF(R380=Constants!$B$4,FALSE(),TRUE())))</f>
        <v/>
      </c>
      <c r="AT380" s="133" t="str">
        <f aca="false">IF(ISBLANK($C380),"",IF(S380=Constants!$B$5,TRUE(),IF(S380=Constants!$B$6,FALSE(),COUNTA(T380:X380)&gt;0)))</f>
        <v/>
      </c>
      <c r="AU380" s="134" t="str">
        <f aca="false">IF(ISBLANK($C380),"",IF(ISNUMBER(T380),IF(T380&gt;=0,T380,""),""))</f>
        <v/>
      </c>
      <c r="AV380" s="135" t="str">
        <f aca="false">IF(ISBLANK($C380),"",IF(ISNUMBER(U380),IF(U380&gt;=0,U380,""),""))</f>
        <v/>
      </c>
      <c r="AW380" s="135" t="str">
        <f aca="false">IF(ISBLANK($C380),"",IF(V380=Constants!$B$3,TRUE(),IF(V380=Constants!$B$4,FALSE(),TRUE())))</f>
        <v/>
      </c>
      <c r="AX380" s="133" t="str">
        <f aca="false">IF(ISBLANK($C380),"",IF(ISNUMBER(W380),IF(W380&gt;=0,W380,""),""))</f>
        <v/>
      </c>
      <c r="AY380" s="133" t="str">
        <f aca="false">IF(ISBLANK($C380),"",IF(X380=Constants!$B$3,TRUE(),IF(X380=Constants!$B$4,FALSE(),FALSE())))</f>
        <v/>
      </c>
      <c r="AZ380" s="133" t="str">
        <f aca="false">IF(ISBLANK($C380),"",MIN(Constants!$B$31,MAX(0,IF(ISNUMBER(Y380),Y380*60,0)+IF(ISNUMBER(Z380),Z380,0))))</f>
        <v/>
      </c>
      <c r="BA380" s="133" t="str">
        <f aca="false">IF(ISBLANK($C380),"",IF(AA380=Constants!$B$3,TRUE(),IF(AA380=Constants!$B$4,FALSE(),FALSE())))</f>
        <v/>
      </c>
      <c r="BB380" s="132" t="str">
        <f aca="false">IF(ISBLANK($C380),"",AND($AL380,OR($AM380="",$AN380="",AND($AO380,$AP380=""))))</f>
        <v/>
      </c>
      <c r="BC380" s="135" t="str">
        <f aca="false">IF($BR380&lt;&gt;Constants!$B$8,"",IF($AL380,Constants!$B$21*$AN380+Constants!$B$22*IF($AO380,$AP380,Constants!$B$23),Constants!$B$24))</f>
        <v/>
      </c>
      <c r="BD380" s="136" t="str">
        <f aca="false">IF($BR380&lt;&gt;Constants!$B$8,"",Constants!$B$25*ABS($AD$9-IF($AL380,$AM380,0)))</f>
        <v/>
      </c>
      <c r="BE380" s="136" t="str">
        <f aca="false">IF($BR380&lt;&gt;Constants!$B$8,"",IF(AND($AL380,$AQ380,$AO380),Constants!$B$27,0))</f>
        <v/>
      </c>
      <c r="BF380" s="136" t="str">
        <f aca="false">IF($BR380&lt;&gt;Constants!$B$8,"",IF($AL380,($AI380-Constants!$B$29)*Constants!$B$28,0))</f>
        <v/>
      </c>
      <c r="BG380" s="136" t="str">
        <f aca="false">IF($BR380&lt;&gt;Constants!$B$8,"",IF($AK380,0,Constants!$B$15)+IF($AJ380,0,Constants!$B$16)+IF($AH380,0,Constants!$B$17))</f>
        <v/>
      </c>
      <c r="BH380" s="137" t="str">
        <f aca="false">IF($BR380&lt;&gt;Constants!$B$8,"",Constants!$B$20+SUM($BC380:$BG380))</f>
        <v/>
      </c>
      <c r="BI380" s="133" t="str">
        <f aca="false">IF($BR380&lt;&gt;Constants!$B$8,"",IF(OR($BP380&lt;$BH380,AND($BP380=$BH380,OR($BK380&lt;$BC380,AND($BK380=$BC380,OR($BL380&lt;$BD380,AND($BL380=$BD380,$AT380,$AL380,$AV380&lt;$AN380)))))),"-&gt;","&lt;-"))</f>
        <v/>
      </c>
      <c r="BJ380" s="132" t="str">
        <f aca="false">IF(ISBLANK($C380),"",AND($AT380,OR($AU380="",$AV380="",AND($AW380,$AX380=""))))</f>
        <v/>
      </c>
      <c r="BK380" s="135" t="str">
        <f aca="false">IF($BR380&lt;&gt;Constants!$B$8,"",IF($AT380,Constants!$B$21*$AV380+Constants!$B$22*IF($AW380,$AX380,Constants!$B$23),Constants!$B$24))</f>
        <v/>
      </c>
      <c r="BL380" s="136" t="str">
        <f aca="false">IF($BR380&lt;&gt;Constants!$B$8,"",Constants!$B$25*ABS($AD$9-IF($AT380,$AU380,0)))</f>
        <v/>
      </c>
      <c r="BM380" s="136" t="str">
        <f aca="false">IF($BR380&lt;&gt;Constants!$B$8,"",IF(AND($AT380,$AY380,$AW380),Constants!$B$27,0))</f>
        <v/>
      </c>
      <c r="BN380" s="136" t="str">
        <f aca="false">IF($BR380&lt;&gt;Constants!$B$8,"",IF($AT380,($AI380-Constants!$B$29)*Constants!$B$28,0))</f>
        <v/>
      </c>
      <c r="BO380" s="136" t="str">
        <f aca="false">IF($BR380&lt;&gt;Constants!$B$8,"",IF($AS380,0,Constants!$B$15)+IF($AR380,0,Constants!$B$16)+IF($AH380,0,Constants!$B$17))</f>
        <v/>
      </c>
      <c r="BP380" s="137" t="str">
        <f aca="false">IF($BR380&lt;&gt;Constants!$B$8,"",Constants!$B$20+SUM($BK380:$BO380))</f>
        <v/>
      </c>
      <c r="BQ380" s="133" t="str">
        <f aca="false">IF(ISBLANK($C380),"",IF(ISBLANK($D$7),$BQ$5,IF(NOT(ISNUMBER($D$7)),$BQ$6,"")))</f>
        <v/>
      </c>
      <c r="BR380" s="133" t="str">
        <f aca="false">IF(ISBLANK($C380),"",IF($BA380,Constants!$B$11,IF(COUNTA($E380:$AA380)=0,Constants!$B$10,IF(NOT($AG380),Constants!$B$9,IF(OR($BQ380&lt;&gt;"",$BB380,$BJ380),Constants!$B$12,Constants!$B$8)))))</f>
        <v/>
      </c>
      <c r="BS380" s="133" t="str">
        <f aca="false">IF(ISBLANK($C380),"",IF($BR380&lt;&gt;Constants!$B$8,$BR380,Constants!$B$13))</f>
        <v/>
      </c>
      <c r="BT380" s="136" t="str">
        <f aca="false">IF($BR380&lt;&gt;Constants!$B$8,"",IF($BI380="-&gt;",$BP380,$BH380))</f>
        <v/>
      </c>
      <c r="BU380" s="136" t="str">
        <f aca="false">IF($BR380&lt;&gt;Constants!$B$8,"",IF($AF380,0,Constants!$B$18))</f>
        <v/>
      </c>
      <c r="BV380" s="136" t="str">
        <f aca="false">IF($BR380&lt;&gt;Constants!$B$8,"",((Constants!$B$31-$AZ380)-Constants!$B$31)/Constants!$B$32)</f>
        <v/>
      </c>
      <c r="BW380" s="136" t="str">
        <f aca="false">IF(ISBLANK($C380),"",IF($BR380&lt;&gt;Constants!$B$8,$BR380,SUM($BT380:$BV380)))</f>
        <v/>
      </c>
      <c r="BX380" s="133" t="str">
        <f aca="false">IF(ISBLANK($C380),"",IF($BR380&lt;&gt;Constants!$B$8,$BR380,RANK($BW380,$BW$9:$BW$508,1)))</f>
        <v/>
      </c>
      <c r="BY380" s="136" t="str">
        <f aca="false">IF($BR380&lt;&gt;Constants!$B$8,"",IF($BI380="-&gt;",$BK380,$BC380))</f>
        <v/>
      </c>
      <c r="BZ380" s="133" t="str">
        <f aca="false">IF(ISBLANK($C380),"",IF($BR380&lt;&gt;Constants!$B$8,$BR380,IF(ISNUMBER($BY380),RANK($BY380,$BY$9:$BY$508,1),COUNT($BY$9:$BY$508)+1)))</f>
        <v/>
      </c>
      <c r="CA380" s="136" t="str">
        <f aca="false">IF($BR380&lt;&gt;Constants!$B$8,"",IF($BI380="-&gt;",$BL380,$BD380))</f>
        <v/>
      </c>
      <c r="CB380" s="133" t="str">
        <f aca="false">IF(ISBLANK($C380),"",IF($BR380&lt;&gt;Constants!$B$8,$BR380,IF(ISNUMBER($CA380),RANK($CA380,$CA$9:$CA$508,1),COUNT($CA$9:$CA$508)+1)))</f>
        <v/>
      </c>
      <c r="CC380" s="136" t="str">
        <f aca="false">IF($BR380&lt;&gt;Constants!$B$8,"",IF($BI380="-&gt;",IF($AT380,$AV380,""),IF($AL380,$AN380,"")))</f>
        <v/>
      </c>
      <c r="CD380" s="133" t="str">
        <f aca="false">IF(ISBLANK($C380),"",IF($BR380&lt;&gt;Constants!$B$8,$BR380,IF(ISNUMBER($CC380),RANK($CC380,$CC$9:$CC$508,1),COUNT($CC$9:$CC$508)+1)))</f>
        <v/>
      </c>
      <c r="CE380" s="136" t="str">
        <f aca="false">IF($BR380&lt;&gt;Constants!$B$8,"",IF(AND(NOT($AL380),NOT($AT380),$AJ380,$AK380,$AR380,$AS380),"",$AI380))</f>
        <v/>
      </c>
      <c r="CF380" s="133" t="str">
        <f aca="false">IF(ISBLANK($C380),"",IF($BR380&lt;&gt;Constants!$B$8,$BR380,IF(ISNUMBER($CE380),RANK($CE380,$CE$9:$CE$508,1),COUNT($CE$9:$CE$508)+1)))</f>
        <v/>
      </c>
      <c r="CG380" s="133" t="str">
        <f aca="false">IF(ISBLANK($C380),"",IF($BR380&lt;&gt;Constants!$B$8,$BR380,COUNTIFS($BX$9:$BX$508,"&lt;"&amp;$BX380)+COUNTIFS($BX$9:$BX$508,$BX380,$BZ$9:$BZ$508,"&lt;"&amp;$BZ380)+COUNTIFS($BX$9:$BX$508,$BX380,$BZ$9:$BZ$508,$BZ380,$CB$9:$CB$508,"&lt;"&amp;$CB380)+COUNTIFS($BX$9:$BX$508,$BX380,$BZ$9:$BZ$508,$BZ380,$CB$9:$CB$508,$CB380,$CD$9:$CD$508,"&lt;"&amp;$CD380)+COUNTIFS($BX$9:$BX$508,$BX380,$BZ$9:$BZ$508,$BZ380,$CB$9:$CB$508,$CB380,$CD$9:$CD$508,$CD380,$CF$9:$CF$508,"&lt;"&amp;$CF380)+1))</f>
        <v/>
      </c>
      <c r="CH380" s="133" t="str">
        <f aca="false">IF(ISBLANK($C380),"",IF($BR380&lt;&gt;Constants!$B$8,$BR380,$BX380-$CG380))</f>
        <v/>
      </c>
      <c r="CI380" s="138"/>
      <c r="CJ380" s="139"/>
      <c r="CK380" s="140" t="str">
        <f aca="false">IF(ISBLANK($C380),"",IF($BR380=Constants!$B$12,$BQ380,""))</f>
        <v/>
      </c>
      <c r="CL380" s="139" t="str">
        <f aca="false">IF(ISBLANK($C380),"",IF($BR380&lt;&gt;Constants!$B$8,"",IF($BI380="-&gt;",2,1)))</f>
        <v/>
      </c>
      <c r="CM380" s="141" t="str">
        <f aca="false">IF(ISBLANK($C380),"",IF($BR380&lt;&gt;Constants!$B$8,"",IF($BI380="-&gt;",$BK380,$BC380)))</f>
        <v/>
      </c>
      <c r="CN380" s="141" t="str">
        <f aca="false">IF(ISBLANK($C380),"",IF($BR380&lt;&gt;Constants!$B$8,"",IF($BI380="-&gt;",$BL380,$BD380)))</f>
        <v/>
      </c>
      <c r="CO380" s="141" t="str">
        <f aca="false">IF(ISBLANK($C380),"",IF($BR380&lt;&gt;Constants!$B$8,"",IF($BI380="-&gt;",$BM380+$BN380,$BE380+$BF380)+$BV380))</f>
        <v/>
      </c>
      <c r="CP380" s="141" t="str">
        <f aca="false">IF(ISBLANK($C380),"",IF($BR380&lt;&gt;Constants!$B$8,"",IF($BI380="-&gt;",$BO380,$BG380)+$BU380))</f>
        <v/>
      </c>
      <c r="CQ380" s="142" t="str">
        <f aca="false">IF(ISBLANK($C380),"",IF($BR380&lt;&gt;Constants!$B$8,$BR380,$BW380))</f>
        <v/>
      </c>
      <c r="CR380" s="143" t="str">
        <f aca="false">IF(ISBLANK($C380),"",$BS380)</f>
        <v/>
      </c>
      <c r="CS380" s="144" t="str">
        <f aca="false">IF(ISBLANK($C380),"",$CH380)</f>
        <v/>
      </c>
      <c r="CT380" s="144" t="str">
        <f aca="false">IF(ISBLANK($C380),"",$CG380)</f>
        <v/>
      </c>
      <c r="CU380" s="145" t="str">
        <f aca="false">IF(ISBLANK($C380),"",IFERROR(_xlfn.SWITCH($CT380,Constants!$B$11,COUNTA($C$9:$C$508)+2,Constants!$B$10,COUNTA($C$9:$C$508)+1,Constants!$B$9,COUNTA($C$9:$C$508)),$CT380))</f>
        <v/>
      </c>
      <c r="CV380" s="9"/>
      <c r="CW380" s="146" t="n">
        <f aca="false">IF(OR(ISNUMBER($CT380),$CT380=Constants!$B$11,$CT380=Constants!$B$9,$CT380=Constants!$B$10),1,0)</f>
        <v>0</v>
      </c>
      <c r="CX380" s="146" t="n">
        <v>372</v>
      </c>
      <c r="CY380" s="146" t="str">
        <f aca="false">IF(ISBLANK($C380),"",IF(ISNUMBER($CU380),$CU380+ROW($B380)/1000,""))</f>
        <v/>
      </c>
      <c r="CZ380" s="146" t="str">
        <f aca="false">IF(ISNUMBER($CY380),RANK($CY380,$CY$9:$CY$508,1),"")</f>
        <v/>
      </c>
      <c r="DA380" s="146" t="str">
        <f aca="false">IF(ISBLANK($C380),"",$B380)</f>
        <v/>
      </c>
      <c r="DB380" s="146" t="str">
        <f aca="false">IF(ISBLANK($C380),"",$C380)</f>
        <v/>
      </c>
      <c r="DC380" s="146" t="str">
        <f aca="false">IF(ISBLANK($C380),"",$D380)</f>
        <v/>
      </c>
      <c r="DD380" s="147" t="str">
        <f aca="false">$CR380</f>
        <v/>
      </c>
      <c r="DE380" s="148" t="str">
        <f aca="false">$CQ380</f>
        <v/>
      </c>
      <c r="DF380" s="146" t="str">
        <f aca="false">IF(ISBLANK($C380),"",$CT380)</f>
        <v/>
      </c>
      <c r="DG380" s="149" t="str">
        <f aca="false">IF($CX380&gt;$CW$8,"",VLOOKUP($CX380,$CZ$9:$DF$508,7,FALSE()))</f>
        <v/>
      </c>
      <c r="DH380" s="150" t="str">
        <f aca="false">IF($CX380&gt;$CW$8,"",VLOOKUP($CX380,$CZ$9:$DF$508,2,FALSE()))</f>
        <v/>
      </c>
      <c r="DI380" s="150" t="str">
        <f aca="false">IF($CX380&gt;$CW$8,"",VLOOKUP($CX380,$CZ$9:$DF$508,3,FALSE()))</f>
        <v/>
      </c>
      <c r="DJ380" s="150" t="str">
        <f aca="false">IF($CX380&gt;$CW$8,"",VLOOKUP($CX380,$CZ$9:$DF$508,4,FALSE()))</f>
        <v/>
      </c>
      <c r="DK380" s="150" t="str">
        <f aca="false">IF($CX380&gt;$CW$8,"",VLOOKUP($CX380,$CZ$9:$DF$508,5,FALSE()))</f>
        <v/>
      </c>
      <c r="DL380" s="151" t="str">
        <f aca="false">IF($CX380&gt;$CW$8,"",VLOOKUP($CX380,$CZ$9:$DF$508,6,FALSE()))</f>
        <v/>
      </c>
      <c r="DM380" s="75"/>
    </row>
    <row r="381" customFormat="false" ht="15.75" hidden="false" customHeight="false" outlineLevel="0" collapsed="false">
      <c r="A381" s="9"/>
      <c r="B381" s="77"/>
      <c r="C381" s="78"/>
      <c r="D381" s="167"/>
      <c r="E381" s="175"/>
      <c r="F381" s="169"/>
      <c r="G381" s="170"/>
      <c r="H381" s="170"/>
      <c r="I381" s="176"/>
      <c r="J381" s="173"/>
      <c r="K381" s="85"/>
      <c r="L381" s="86"/>
      <c r="M381" s="87"/>
      <c r="N381" s="173"/>
      <c r="O381" s="173"/>
      <c r="P381" s="175"/>
      <c r="Q381" s="173"/>
      <c r="R381" s="173"/>
      <c r="S381" s="85"/>
      <c r="T381" s="87"/>
      <c r="U381" s="87"/>
      <c r="V381" s="173"/>
      <c r="W381" s="173"/>
      <c r="X381" s="175"/>
      <c r="Y381" s="173"/>
      <c r="Z381" s="174"/>
      <c r="AA381" s="173"/>
      <c r="AB381" s="91"/>
      <c r="AC381" s="92"/>
      <c r="AD381" s="92"/>
      <c r="AE381" s="92"/>
      <c r="AF381" s="92" t="str">
        <f aca="false">IF(ISBLANK($C381),"",IF(E381=Constants!$B$3,TRUE(),IF(E381=Constants!$B$4,FALSE(),TRUE())))</f>
        <v/>
      </c>
      <c r="AG381" s="92" t="str">
        <f aca="false">IF(ISBLANK($C381),"",IF(F381=Constants!$B$3,TRUE(),IF(F381=Constants!$B$4,FALSE(),TRUE())))</f>
        <v/>
      </c>
      <c r="AH381" s="92" t="str">
        <f aca="false">IF(ISBLANK($C381),"",IF(G381=Constants!$B$3,TRUE(),IF(G381=Constants!$B$4,FALSE(),TRUE())))</f>
        <v/>
      </c>
      <c r="AI381" s="92" t="str">
        <f aca="false">IF(ISBLANK($C381),"",IF(AND(ISNUMBER(H381),H381&gt;=0),H381,Constants!$B$29))</f>
        <v/>
      </c>
      <c r="AJ381" s="92" t="str">
        <f aca="false">IF(ISBLANK($C381),"",IF(I381=Constants!$B$3,TRUE(),IF(I381=Constants!$B$4,FALSE(),TRUE())))</f>
        <v/>
      </c>
      <c r="AK381" s="92" t="str">
        <f aca="false">IF(ISBLANK($C381),"",IF(J381=Constants!$B$3,TRUE(),IF(J381=Constants!$B$4,FALSE(),TRUE())))</f>
        <v/>
      </c>
      <c r="AL381" s="92" t="str">
        <f aca="false">IF(ISBLANK($C381),"",IF(K381=Constants!$B$5,TRUE(),IF(K381=Constants!$B$6,FALSE(),COUNTA(L381:P381)&gt;0)))</f>
        <v/>
      </c>
      <c r="AM381" s="94" t="str">
        <f aca="false">IF(ISBLANK($C381),"",IF(ISNUMBER(L381),IF(L381&gt;=0,L381,""),""))</f>
        <v/>
      </c>
      <c r="AN381" s="93" t="str">
        <f aca="false">IF(ISBLANK($C381),"",IF(ISNUMBER(M381),IF(M381&gt;=0,M381,""),""))</f>
        <v/>
      </c>
      <c r="AO381" s="93" t="str">
        <f aca="false">IF(ISBLANK($C381),"",IF(N381=Constants!$B$3,TRUE(),IF(N381=Constants!$B$4,FALSE(),TRUE())))</f>
        <v/>
      </c>
      <c r="AP381" s="92" t="str">
        <f aca="false">IF(ISBLANK($C381),"",IF(ISNUMBER(O381),IF(O381&gt;=0,O381,""),""))</f>
        <v/>
      </c>
      <c r="AQ381" s="92" t="str">
        <f aca="false">IF(ISBLANK($C381),"",IF(P381=Constants!$B$3,TRUE(),IF(P381=Constants!$B$4,FALSE(),FALSE())))</f>
        <v/>
      </c>
      <c r="AR381" s="92" t="str">
        <f aca="false">IF(ISBLANK($C381),"",IF(Q381=Constants!$B$3,TRUE(),IF(Q381=Constants!$B$4,FALSE(),TRUE())))</f>
        <v/>
      </c>
      <c r="AS381" s="92" t="str">
        <f aca="false">IF(ISBLANK($C381),"",IF(R381=Constants!$B$3,TRUE(),IF(R381=Constants!$B$4,FALSE(),TRUE())))</f>
        <v/>
      </c>
      <c r="AT381" s="92" t="str">
        <f aca="false">IF(ISBLANK($C381),"",IF(S381=Constants!$B$5,TRUE(),IF(S381=Constants!$B$6,FALSE(),COUNTA(T381:X381)&gt;0)))</f>
        <v/>
      </c>
      <c r="AU381" s="94" t="str">
        <f aca="false">IF(ISBLANK($C381),"",IF(ISNUMBER(T381),IF(T381&gt;=0,T381,""),""))</f>
        <v/>
      </c>
      <c r="AV381" s="93" t="str">
        <f aca="false">IF(ISBLANK($C381),"",IF(ISNUMBER(U381),IF(U381&gt;=0,U381,""),""))</f>
        <v/>
      </c>
      <c r="AW381" s="93" t="str">
        <f aca="false">IF(ISBLANK($C381),"",IF(V381=Constants!$B$3,TRUE(),IF(V381=Constants!$B$4,FALSE(),TRUE())))</f>
        <v/>
      </c>
      <c r="AX381" s="92" t="str">
        <f aca="false">IF(ISBLANK($C381),"",IF(ISNUMBER(W381),IF(W381&gt;=0,W381,""),""))</f>
        <v/>
      </c>
      <c r="AY381" s="92" t="str">
        <f aca="false">IF(ISBLANK($C381),"",IF(X381=Constants!$B$3,TRUE(),IF(X381=Constants!$B$4,FALSE(),FALSE())))</f>
        <v/>
      </c>
      <c r="AZ381" s="92" t="str">
        <f aca="false">IF(ISBLANK($C381),"",MIN(Constants!$B$31,MAX(0,IF(ISNUMBER(Y381),Y381*60,0)+IF(ISNUMBER(Z381),Z381,0))))</f>
        <v/>
      </c>
      <c r="BA381" s="92" t="str">
        <f aca="false">IF(ISBLANK($C381),"",IF(AA381=Constants!$B$3,TRUE(),IF(AA381=Constants!$B$4,FALSE(),FALSE())))</f>
        <v/>
      </c>
      <c r="BB381" s="91" t="str">
        <f aca="false">IF(ISBLANK($C381),"",AND($AL381,OR($AM381="",$AN381="",AND($AO381,$AP381=""))))</f>
        <v/>
      </c>
      <c r="BC381" s="93" t="str">
        <f aca="false">IF($BR381&lt;&gt;Constants!$B$8,"",IF($AL381,Constants!$B$21*$AN381+Constants!$B$22*IF($AO381,$AP381,Constants!$B$23),Constants!$B$24))</f>
        <v/>
      </c>
      <c r="BD381" s="96" t="str">
        <f aca="false">IF($BR381&lt;&gt;Constants!$B$8,"",Constants!$B$25*ABS($AD$9-IF($AL381,$AM381,0)))</f>
        <v/>
      </c>
      <c r="BE381" s="96" t="str">
        <f aca="false">IF($BR381&lt;&gt;Constants!$B$8,"",IF(AND($AL381,$AQ381,$AO381),Constants!$B$27,0))</f>
        <v/>
      </c>
      <c r="BF381" s="96" t="str">
        <f aca="false">IF($BR381&lt;&gt;Constants!$B$8,"",IF($AL381,($AI381-Constants!$B$29)*Constants!$B$28,0))</f>
        <v/>
      </c>
      <c r="BG381" s="96" t="str">
        <f aca="false">IF($BR381&lt;&gt;Constants!$B$8,"",IF($AK381,0,Constants!$B$15)+IF($AJ381,0,Constants!$B$16)+IF($AH381,0,Constants!$B$17))</f>
        <v/>
      </c>
      <c r="BH381" s="97" t="str">
        <f aca="false">IF($BR381&lt;&gt;Constants!$B$8,"",Constants!$B$20+SUM($BC381:$BG381))</f>
        <v/>
      </c>
      <c r="BI381" s="92" t="str">
        <f aca="false">IF($BR381&lt;&gt;Constants!$B$8,"",IF(OR($BP381&lt;$BH381,AND($BP381=$BH381,OR($BK381&lt;$BC381,AND($BK381=$BC381,OR($BL381&lt;$BD381,AND($BL381=$BD381,$AT381,$AL381,$AV381&lt;$AN381)))))),"-&gt;","&lt;-"))</f>
        <v/>
      </c>
      <c r="BJ381" s="91" t="str">
        <f aca="false">IF(ISBLANK($C381),"",AND($AT381,OR($AU381="",$AV381="",AND($AW381,$AX381=""))))</f>
        <v/>
      </c>
      <c r="BK381" s="93" t="str">
        <f aca="false">IF($BR381&lt;&gt;Constants!$B$8,"",IF($AT381,Constants!$B$21*$AV381+Constants!$B$22*IF($AW381,$AX381,Constants!$B$23),Constants!$B$24))</f>
        <v/>
      </c>
      <c r="BL381" s="96" t="str">
        <f aca="false">IF($BR381&lt;&gt;Constants!$B$8,"",Constants!$B$25*ABS($AD$9-IF($AT381,$AU381,0)))</f>
        <v/>
      </c>
      <c r="BM381" s="96" t="str">
        <f aca="false">IF($BR381&lt;&gt;Constants!$B$8,"",IF(AND($AT381,$AY381,$AW381),Constants!$B$27,0))</f>
        <v/>
      </c>
      <c r="BN381" s="96" t="str">
        <f aca="false">IF($BR381&lt;&gt;Constants!$B$8,"",IF($AT381,($AI381-Constants!$B$29)*Constants!$B$28,0))</f>
        <v/>
      </c>
      <c r="BO381" s="96" t="str">
        <f aca="false">IF($BR381&lt;&gt;Constants!$B$8,"",IF($AS381,0,Constants!$B$15)+IF($AR381,0,Constants!$B$16)+IF($AH381,0,Constants!$B$17))</f>
        <v/>
      </c>
      <c r="BP381" s="97" t="str">
        <f aca="false">IF($BR381&lt;&gt;Constants!$B$8,"",Constants!$B$20+SUM($BK381:$BO381))</f>
        <v/>
      </c>
      <c r="BQ381" s="92" t="str">
        <f aca="false">IF(ISBLANK($C381),"",IF(ISBLANK($D$7),$BQ$5,IF(NOT(ISNUMBER($D$7)),$BQ$6,"")))</f>
        <v/>
      </c>
      <c r="BR381" s="92" t="str">
        <f aca="false">IF(ISBLANK($C381),"",IF($BA381,Constants!$B$11,IF(COUNTA($E381:$AA381)=0,Constants!$B$10,IF(NOT($AG381),Constants!$B$9,IF(OR($BQ381&lt;&gt;"",$BB381,$BJ381),Constants!$B$12,Constants!$B$8)))))</f>
        <v/>
      </c>
      <c r="BS381" s="92" t="str">
        <f aca="false">IF(ISBLANK($C381),"",IF($BR381&lt;&gt;Constants!$B$8,$BR381,Constants!$B$13))</f>
        <v/>
      </c>
      <c r="BT381" s="96" t="str">
        <f aca="false">IF($BR381&lt;&gt;Constants!$B$8,"",IF($BI381="-&gt;",$BP381,$BH381))</f>
        <v/>
      </c>
      <c r="BU381" s="96" t="str">
        <f aca="false">IF($BR381&lt;&gt;Constants!$B$8,"",IF($AF381,0,Constants!$B$18))</f>
        <v/>
      </c>
      <c r="BV381" s="96" t="str">
        <f aca="false">IF($BR381&lt;&gt;Constants!$B$8,"",((Constants!$B$31-$AZ381)-Constants!$B$31)/Constants!$B$32)</f>
        <v/>
      </c>
      <c r="BW381" s="96" t="str">
        <f aca="false">IF(ISBLANK($C381),"",IF($BR381&lt;&gt;Constants!$B$8,$BR381,SUM($BT381:$BV381)))</f>
        <v/>
      </c>
      <c r="BX381" s="92" t="str">
        <f aca="false">IF(ISBLANK($C381),"",IF($BR381&lt;&gt;Constants!$B$8,$BR381,RANK($BW381,$BW$9:$BW$508,1)))</f>
        <v/>
      </c>
      <c r="BY381" s="96" t="str">
        <f aca="false">IF($BR381&lt;&gt;Constants!$B$8,"",IF($BI381="-&gt;",$BK381,$BC381))</f>
        <v/>
      </c>
      <c r="BZ381" s="92" t="str">
        <f aca="false">IF(ISBLANK($C381),"",IF($BR381&lt;&gt;Constants!$B$8,$BR381,IF(ISNUMBER($BY381),RANK($BY381,$BY$9:$BY$508,1),COUNT($BY$9:$BY$508)+1)))</f>
        <v/>
      </c>
      <c r="CA381" s="96" t="str">
        <f aca="false">IF($BR381&lt;&gt;Constants!$B$8,"",IF($BI381="-&gt;",$BL381,$BD381))</f>
        <v/>
      </c>
      <c r="CB381" s="92" t="str">
        <f aca="false">IF(ISBLANK($C381),"",IF($BR381&lt;&gt;Constants!$B$8,$BR381,IF(ISNUMBER($CA381),RANK($CA381,$CA$9:$CA$508,1),COUNT($CA$9:$CA$508)+1)))</f>
        <v/>
      </c>
      <c r="CC381" s="96" t="str">
        <f aca="false">IF($BR381&lt;&gt;Constants!$B$8,"",IF($BI381="-&gt;",IF($AT381,$AV381,""),IF($AL381,$AN381,"")))</f>
        <v/>
      </c>
      <c r="CD381" s="92" t="str">
        <f aca="false">IF(ISBLANK($C381),"",IF($BR381&lt;&gt;Constants!$B$8,$BR381,IF(ISNUMBER($CC381),RANK($CC381,$CC$9:$CC$508,1),COUNT($CC$9:$CC$508)+1)))</f>
        <v/>
      </c>
      <c r="CE381" s="96" t="str">
        <f aca="false">IF($BR381&lt;&gt;Constants!$B$8,"",IF(AND(NOT($AL381),NOT($AT381),$AJ381,$AK381,$AR381,$AS381),"",$AI381))</f>
        <v/>
      </c>
      <c r="CF381" s="92" t="str">
        <f aca="false">IF(ISBLANK($C381),"",IF($BR381&lt;&gt;Constants!$B$8,$BR381,IF(ISNUMBER($CE381),RANK($CE381,$CE$9:$CE$508,1),COUNT($CE$9:$CE$508)+1)))</f>
        <v/>
      </c>
      <c r="CG381" s="92" t="str">
        <f aca="false">IF(ISBLANK($C381),"",IF($BR381&lt;&gt;Constants!$B$8,$BR381,COUNTIFS($BX$9:$BX$508,"&lt;"&amp;$BX381)+COUNTIFS($BX$9:$BX$508,$BX381,$BZ$9:$BZ$508,"&lt;"&amp;$BZ381)+COUNTIFS($BX$9:$BX$508,$BX381,$BZ$9:$BZ$508,$BZ381,$CB$9:$CB$508,"&lt;"&amp;$CB381)+COUNTIFS($BX$9:$BX$508,$BX381,$BZ$9:$BZ$508,$BZ381,$CB$9:$CB$508,$CB381,$CD$9:$CD$508,"&lt;"&amp;$CD381)+COUNTIFS($BX$9:$BX$508,$BX381,$BZ$9:$BZ$508,$BZ381,$CB$9:$CB$508,$CB381,$CD$9:$CD$508,$CD381,$CF$9:$CF$508,"&lt;"&amp;$CF381)+1))</f>
        <v/>
      </c>
      <c r="CH381" s="92" t="str">
        <f aca="false">IF(ISBLANK($C381),"",IF($BR381&lt;&gt;Constants!$B$8,$BR381,$BX381-$CG381))</f>
        <v/>
      </c>
      <c r="CI381" s="98"/>
      <c r="CJ381" s="99"/>
      <c r="CK381" s="100" t="str">
        <f aca="false">IF(ISBLANK($C381),"",IF($BR381=Constants!$B$12,$BQ381,""))</f>
        <v/>
      </c>
      <c r="CL381" s="99" t="str">
        <f aca="false">IF(ISBLANK($C381),"",IF($BR381&lt;&gt;Constants!$B$8,"",IF($BI381="-&gt;",2,1)))</f>
        <v/>
      </c>
      <c r="CM381" s="101" t="str">
        <f aca="false">IF(ISBLANK($C381),"",IF($BR381&lt;&gt;Constants!$B$8,"",IF($BI381="-&gt;",$BK381,$BC381)))</f>
        <v/>
      </c>
      <c r="CN381" s="101" t="str">
        <f aca="false">IF(ISBLANK($C381),"",IF($BR381&lt;&gt;Constants!$B$8,"",IF($BI381="-&gt;",$BL381,$BD381)))</f>
        <v/>
      </c>
      <c r="CO381" s="101" t="str">
        <f aca="false">IF(ISBLANK($C381),"",IF($BR381&lt;&gt;Constants!$B$8,"",IF($BI381="-&gt;",$BM381+$BN381,$BE381+$BF381)+$BV381))</f>
        <v/>
      </c>
      <c r="CP381" s="101" t="str">
        <f aca="false">IF(ISBLANK($C381),"",IF($BR381&lt;&gt;Constants!$B$8,"",IF($BI381="-&gt;",$BO381,$BG381)+$BU381))</f>
        <v/>
      </c>
      <c r="CQ381" s="102" t="str">
        <f aca="false">IF(ISBLANK($C381),"",IF($BR381&lt;&gt;Constants!$B$8,$BR381,$BW381))</f>
        <v/>
      </c>
      <c r="CR381" s="103" t="str">
        <f aca="false">IF(ISBLANK($C381),"",$BS381)</f>
        <v/>
      </c>
      <c r="CS381" s="104" t="str">
        <f aca="false">IF(ISBLANK($C381),"",$CH381)</f>
        <v/>
      </c>
      <c r="CT381" s="104" t="str">
        <f aca="false">IF(ISBLANK($C381),"",$CG381)</f>
        <v/>
      </c>
      <c r="CU381" s="105" t="str">
        <f aca="false">IF(ISBLANK($C381),"",IFERROR(_xlfn.SWITCH($CT381,Constants!$B$11,COUNTA($C$9:$C$508)+2,Constants!$B$10,COUNTA($C$9:$C$508)+1,Constants!$B$9,COUNTA($C$9:$C$508)),$CT381))</f>
        <v/>
      </c>
      <c r="CV381" s="9"/>
      <c r="CW381" s="106" t="n">
        <f aca="false">IF(OR(ISNUMBER($CT381),$CT381=Constants!$B$11,$CT381=Constants!$B$9,$CT381=Constants!$B$10),1,0)</f>
        <v>0</v>
      </c>
      <c r="CX381" s="106" t="n">
        <v>373</v>
      </c>
      <c r="CY381" s="106" t="str">
        <f aca="false">IF(ISBLANK($C381),"",IF(ISNUMBER($CU381),$CU381+ROW($B381)/1000,""))</f>
        <v/>
      </c>
      <c r="CZ381" s="106" t="str">
        <f aca="false">IF(ISNUMBER($CY381),RANK($CY381,$CY$9:$CY$508,1),"")</f>
        <v/>
      </c>
      <c r="DA381" s="106" t="str">
        <f aca="false">IF(ISBLANK($C381),"",$B381)</f>
        <v/>
      </c>
      <c r="DB381" s="106" t="str">
        <f aca="false">IF(ISBLANK($C381),"",$C381)</f>
        <v/>
      </c>
      <c r="DC381" s="106" t="str">
        <f aca="false">IF(ISBLANK($C381),"",$D381)</f>
        <v/>
      </c>
      <c r="DD381" s="107" t="str">
        <f aca="false">$CR381</f>
        <v/>
      </c>
      <c r="DE381" s="108" t="str">
        <f aca="false">$CQ381</f>
        <v/>
      </c>
      <c r="DF381" s="106" t="str">
        <f aca="false">IF(ISBLANK($C381),"",$CT381)</f>
        <v/>
      </c>
      <c r="DG381" s="109" t="str">
        <f aca="false">IF($CX381&gt;$CW$8,"",VLOOKUP($CX381,$CZ$9:$DF$508,7,FALSE()))</f>
        <v/>
      </c>
      <c r="DH381" s="110" t="str">
        <f aca="false">IF($CX381&gt;$CW$8,"",VLOOKUP($CX381,$CZ$9:$DF$508,2,FALSE()))</f>
        <v/>
      </c>
      <c r="DI381" s="110" t="str">
        <f aca="false">IF($CX381&gt;$CW$8,"",VLOOKUP($CX381,$CZ$9:$DF$508,3,FALSE()))</f>
        <v/>
      </c>
      <c r="DJ381" s="110" t="str">
        <f aca="false">IF($CX381&gt;$CW$8,"",VLOOKUP($CX381,$CZ$9:$DF$508,4,FALSE()))</f>
        <v/>
      </c>
      <c r="DK381" s="110" t="str">
        <f aca="false">IF($CX381&gt;$CW$8,"",VLOOKUP($CX381,$CZ$9:$DF$508,5,FALSE()))</f>
        <v/>
      </c>
      <c r="DL381" s="111" t="str">
        <f aca="false">IF($CX381&gt;$CW$8,"",VLOOKUP($CX381,$CZ$9:$DF$508,6,FALSE()))</f>
        <v/>
      </c>
      <c r="DM381" s="75"/>
    </row>
    <row r="382" customFormat="false" ht="15.75" hidden="false" customHeight="false" outlineLevel="0" collapsed="false">
      <c r="A382" s="9"/>
      <c r="B382" s="77"/>
      <c r="C382" s="78"/>
      <c r="D382" s="167"/>
      <c r="E382" s="175"/>
      <c r="F382" s="169"/>
      <c r="G382" s="170"/>
      <c r="H382" s="170"/>
      <c r="I382" s="176"/>
      <c r="J382" s="173"/>
      <c r="K382" s="85"/>
      <c r="L382" s="86"/>
      <c r="M382" s="87"/>
      <c r="N382" s="173"/>
      <c r="O382" s="173"/>
      <c r="P382" s="175"/>
      <c r="Q382" s="173"/>
      <c r="R382" s="173"/>
      <c r="S382" s="85"/>
      <c r="T382" s="87"/>
      <c r="U382" s="87"/>
      <c r="V382" s="173"/>
      <c r="W382" s="173"/>
      <c r="X382" s="175"/>
      <c r="Y382" s="173"/>
      <c r="Z382" s="174"/>
      <c r="AA382" s="173"/>
      <c r="AB382" s="91"/>
      <c r="AC382" s="92"/>
      <c r="AD382" s="92"/>
      <c r="AE382" s="92"/>
      <c r="AF382" s="92" t="str">
        <f aca="false">IF(ISBLANK($C382),"",IF(E382=Constants!$B$3,TRUE(),IF(E382=Constants!$B$4,FALSE(),TRUE())))</f>
        <v/>
      </c>
      <c r="AG382" s="92" t="str">
        <f aca="false">IF(ISBLANK($C382),"",IF(F382=Constants!$B$3,TRUE(),IF(F382=Constants!$B$4,FALSE(),TRUE())))</f>
        <v/>
      </c>
      <c r="AH382" s="92" t="str">
        <f aca="false">IF(ISBLANK($C382),"",IF(G382=Constants!$B$3,TRUE(),IF(G382=Constants!$B$4,FALSE(),TRUE())))</f>
        <v/>
      </c>
      <c r="AI382" s="92" t="str">
        <f aca="false">IF(ISBLANK($C382),"",IF(AND(ISNUMBER(H382),H382&gt;=0),H382,Constants!$B$29))</f>
        <v/>
      </c>
      <c r="AJ382" s="92" t="str">
        <f aca="false">IF(ISBLANK($C382),"",IF(I382=Constants!$B$3,TRUE(),IF(I382=Constants!$B$4,FALSE(),TRUE())))</f>
        <v/>
      </c>
      <c r="AK382" s="92" t="str">
        <f aca="false">IF(ISBLANK($C382),"",IF(J382=Constants!$B$3,TRUE(),IF(J382=Constants!$B$4,FALSE(),TRUE())))</f>
        <v/>
      </c>
      <c r="AL382" s="92" t="str">
        <f aca="false">IF(ISBLANK($C382),"",IF(K382=Constants!$B$5,TRUE(),IF(K382=Constants!$B$6,FALSE(),COUNTA(L382:P382)&gt;0)))</f>
        <v/>
      </c>
      <c r="AM382" s="94" t="str">
        <f aca="false">IF(ISBLANK($C382),"",IF(ISNUMBER(L382),IF(L382&gt;=0,L382,""),""))</f>
        <v/>
      </c>
      <c r="AN382" s="93" t="str">
        <f aca="false">IF(ISBLANK($C382),"",IF(ISNUMBER(M382),IF(M382&gt;=0,M382,""),""))</f>
        <v/>
      </c>
      <c r="AO382" s="93" t="str">
        <f aca="false">IF(ISBLANK($C382),"",IF(N382=Constants!$B$3,TRUE(),IF(N382=Constants!$B$4,FALSE(),TRUE())))</f>
        <v/>
      </c>
      <c r="AP382" s="92" t="str">
        <f aca="false">IF(ISBLANK($C382),"",IF(ISNUMBER(O382),IF(O382&gt;=0,O382,""),""))</f>
        <v/>
      </c>
      <c r="AQ382" s="92" t="str">
        <f aca="false">IF(ISBLANK($C382),"",IF(P382=Constants!$B$3,TRUE(),IF(P382=Constants!$B$4,FALSE(),FALSE())))</f>
        <v/>
      </c>
      <c r="AR382" s="92" t="str">
        <f aca="false">IF(ISBLANK($C382),"",IF(Q382=Constants!$B$3,TRUE(),IF(Q382=Constants!$B$4,FALSE(),TRUE())))</f>
        <v/>
      </c>
      <c r="AS382" s="92" t="str">
        <f aca="false">IF(ISBLANK($C382),"",IF(R382=Constants!$B$3,TRUE(),IF(R382=Constants!$B$4,FALSE(),TRUE())))</f>
        <v/>
      </c>
      <c r="AT382" s="92" t="str">
        <f aca="false">IF(ISBLANK($C382),"",IF(S382=Constants!$B$5,TRUE(),IF(S382=Constants!$B$6,FALSE(),COUNTA(T382:X382)&gt;0)))</f>
        <v/>
      </c>
      <c r="AU382" s="94" t="str">
        <f aca="false">IF(ISBLANK($C382),"",IF(ISNUMBER(T382),IF(T382&gt;=0,T382,""),""))</f>
        <v/>
      </c>
      <c r="AV382" s="93" t="str">
        <f aca="false">IF(ISBLANK($C382),"",IF(ISNUMBER(U382),IF(U382&gt;=0,U382,""),""))</f>
        <v/>
      </c>
      <c r="AW382" s="93" t="str">
        <f aca="false">IF(ISBLANK($C382),"",IF(V382=Constants!$B$3,TRUE(),IF(V382=Constants!$B$4,FALSE(),TRUE())))</f>
        <v/>
      </c>
      <c r="AX382" s="92" t="str">
        <f aca="false">IF(ISBLANK($C382),"",IF(ISNUMBER(W382),IF(W382&gt;=0,W382,""),""))</f>
        <v/>
      </c>
      <c r="AY382" s="92" t="str">
        <f aca="false">IF(ISBLANK($C382),"",IF(X382=Constants!$B$3,TRUE(),IF(X382=Constants!$B$4,FALSE(),FALSE())))</f>
        <v/>
      </c>
      <c r="AZ382" s="92" t="str">
        <f aca="false">IF(ISBLANK($C382),"",MIN(Constants!$B$31,MAX(0,IF(ISNUMBER(Y382),Y382*60,0)+IF(ISNUMBER(Z382),Z382,0))))</f>
        <v/>
      </c>
      <c r="BA382" s="92" t="str">
        <f aca="false">IF(ISBLANK($C382),"",IF(AA382=Constants!$B$3,TRUE(),IF(AA382=Constants!$B$4,FALSE(),FALSE())))</f>
        <v/>
      </c>
      <c r="BB382" s="91" t="str">
        <f aca="false">IF(ISBLANK($C382),"",AND($AL382,OR($AM382="",$AN382="",AND($AO382,$AP382=""))))</f>
        <v/>
      </c>
      <c r="BC382" s="93" t="str">
        <f aca="false">IF($BR382&lt;&gt;Constants!$B$8,"",IF($AL382,Constants!$B$21*$AN382+Constants!$B$22*IF($AO382,$AP382,Constants!$B$23),Constants!$B$24))</f>
        <v/>
      </c>
      <c r="BD382" s="96" t="str">
        <f aca="false">IF($BR382&lt;&gt;Constants!$B$8,"",Constants!$B$25*ABS($AD$9-IF($AL382,$AM382,0)))</f>
        <v/>
      </c>
      <c r="BE382" s="96" t="str">
        <f aca="false">IF($BR382&lt;&gt;Constants!$B$8,"",IF(AND($AL382,$AQ382,$AO382),Constants!$B$27,0))</f>
        <v/>
      </c>
      <c r="BF382" s="96" t="str">
        <f aca="false">IF($BR382&lt;&gt;Constants!$B$8,"",IF($AL382,($AI382-Constants!$B$29)*Constants!$B$28,0))</f>
        <v/>
      </c>
      <c r="BG382" s="96" t="str">
        <f aca="false">IF($BR382&lt;&gt;Constants!$B$8,"",IF($AK382,0,Constants!$B$15)+IF($AJ382,0,Constants!$B$16)+IF($AH382,0,Constants!$B$17))</f>
        <v/>
      </c>
      <c r="BH382" s="97" t="str">
        <f aca="false">IF($BR382&lt;&gt;Constants!$B$8,"",Constants!$B$20+SUM($BC382:$BG382))</f>
        <v/>
      </c>
      <c r="BI382" s="92" t="str">
        <f aca="false">IF($BR382&lt;&gt;Constants!$B$8,"",IF(OR($BP382&lt;$BH382,AND($BP382=$BH382,OR($BK382&lt;$BC382,AND($BK382=$BC382,OR($BL382&lt;$BD382,AND($BL382=$BD382,$AT382,$AL382,$AV382&lt;$AN382)))))),"-&gt;","&lt;-"))</f>
        <v/>
      </c>
      <c r="BJ382" s="91" t="str">
        <f aca="false">IF(ISBLANK($C382),"",AND($AT382,OR($AU382="",$AV382="",AND($AW382,$AX382=""))))</f>
        <v/>
      </c>
      <c r="BK382" s="93" t="str">
        <f aca="false">IF($BR382&lt;&gt;Constants!$B$8,"",IF($AT382,Constants!$B$21*$AV382+Constants!$B$22*IF($AW382,$AX382,Constants!$B$23),Constants!$B$24))</f>
        <v/>
      </c>
      <c r="BL382" s="96" t="str">
        <f aca="false">IF($BR382&lt;&gt;Constants!$B$8,"",Constants!$B$25*ABS($AD$9-IF($AT382,$AU382,0)))</f>
        <v/>
      </c>
      <c r="BM382" s="96" t="str">
        <f aca="false">IF($BR382&lt;&gt;Constants!$B$8,"",IF(AND($AT382,$AY382,$AW382),Constants!$B$27,0))</f>
        <v/>
      </c>
      <c r="BN382" s="96" t="str">
        <f aca="false">IF($BR382&lt;&gt;Constants!$B$8,"",IF($AT382,($AI382-Constants!$B$29)*Constants!$B$28,0))</f>
        <v/>
      </c>
      <c r="BO382" s="96" t="str">
        <f aca="false">IF($BR382&lt;&gt;Constants!$B$8,"",IF($AS382,0,Constants!$B$15)+IF($AR382,0,Constants!$B$16)+IF($AH382,0,Constants!$B$17))</f>
        <v/>
      </c>
      <c r="BP382" s="97" t="str">
        <f aca="false">IF($BR382&lt;&gt;Constants!$B$8,"",Constants!$B$20+SUM($BK382:$BO382))</f>
        <v/>
      </c>
      <c r="BQ382" s="92" t="str">
        <f aca="false">IF(ISBLANK($C382),"",IF(ISBLANK($D$7),$BQ$5,IF(NOT(ISNUMBER($D$7)),$BQ$6,"")))</f>
        <v/>
      </c>
      <c r="BR382" s="92" t="str">
        <f aca="false">IF(ISBLANK($C382),"",IF($BA382,Constants!$B$11,IF(COUNTA($E382:$AA382)=0,Constants!$B$10,IF(NOT($AG382),Constants!$B$9,IF(OR($BQ382&lt;&gt;"",$BB382,$BJ382),Constants!$B$12,Constants!$B$8)))))</f>
        <v/>
      </c>
      <c r="BS382" s="92" t="str">
        <f aca="false">IF(ISBLANK($C382),"",IF($BR382&lt;&gt;Constants!$B$8,$BR382,Constants!$B$13))</f>
        <v/>
      </c>
      <c r="BT382" s="96" t="str">
        <f aca="false">IF($BR382&lt;&gt;Constants!$B$8,"",IF($BI382="-&gt;",$BP382,$BH382))</f>
        <v/>
      </c>
      <c r="BU382" s="96" t="str">
        <f aca="false">IF($BR382&lt;&gt;Constants!$B$8,"",IF($AF382,0,Constants!$B$18))</f>
        <v/>
      </c>
      <c r="BV382" s="96" t="str">
        <f aca="false">IF($BR382&lt;&gt;Constants!$B$8,"",((Constants!$B$31-$AZ382)-Constants!$B$31)/Constants!$B$32)</f>
        <v/>
      </c>
      <c r="BW382" s="96" t="str">
        <f aca="false">IF(ISBLANK($C382),"",IF($BR382&lt;&gt;Constants!$B$8,$BR382,SUM($BT382:$BV382)))</f>
        <v/>
      </c>
      <c r="BX382" s="92" t="str">
        <f aca="false">IF(ISBLANK($C382),"",IF($BR382&lt;&gt;Constants!$B$8,$BR382,RANK($BW382,$BW$9:$BW$508,1)))</f>
        <v/>
      </c>
      <c r="BY382" s="96" t="str">
        <f aca="false">IF($BR382&lt;&gt;Constants!$B$8,"",IF($BI382="-&gt;",$BK382,$BC382))</f>
        <v/>
      </c>
      <c r="BZ382" s="92" t="str">
        <f aca="false">IF(ISBLANK($C382),"",IF($BR382&lt;&gt;Constants!$B$8,$BR382,IF(ISNUMBER($BY382),RANK($BY382,$BY$9:$BY$508,1),COUNT($BY$9:$BY$508)+1)))</f>
        <v/>
      </c>
      <c r="CA382" s="96" t="str">
        <f aca="false">IF($BR382&lt;&gt;Constants!$B$8,"",IF($BI382="-&gt;",$BL382,$BD382))</f>
        <v/>
      </c>
      <c r="CB382" s="92" t="str">
        <f aca="false">IF(ISBLANK($C382),"",IF($BR382&lt;&gt;Constants!$B$8,$BR382,IF(ISNUMBER($CA382),RANK($CA382,$CA$9:$CA$508,1),COUNT($CA$9:$CA$508)+1)))</f>
        <v/>
      </c>
      <c r="CC382" s="96" t="str">
        <f aca="false">IF($BR382&lt;&gt;Constants!$B$8,"",IF($BI382="-&gt;",IF($AT382,$AV382,""),IF($AL382,$AN382,"")))</f>
        <v/>
      </c>
      <c r="CD382" s="92" t="str">
        <f aca="false">IF(ISBLANK($C382),"",IF($BR382&lt;&gt;Constants!$B$8,$BR382,IF(ISNUMBER($CC382),RANK($CC382,$CC$9:$CC$508,1),COUNT($CC$9:$CC$508)+1)))</f>
        <v/>
      </c>
      <c r="CE382" s="96" t="str">
        <f aca="false">IF($BR382&lt;&gt;Constants!$B$8,"",IF(AND(NOT($AL382),NOT($AT382),$AJ382,$AK382,$AR382,$AS382),"",$AI382))</f>
        <v/>
      </c>
      <c r="CF382" s="92" t="str">
        <f aca="false">IF(ISBLANK($C382),"",IF($BR382&lt;&gt;Constants!$B$8,$BR382,IF(ISNUMBER($CE382),RANK($CE382,$CE$9:$CE$508,1),COUNT($CE$9:$CE$508)+1)))</f>
        <v/>
      </c>
      <c r="CG382" s="92" t="str">
        <f aca="false">IF(ISBLANK($C382),"",IF($BR382&lt;&gt;Constants!$B$8,$BR382,COUNTIFS($BX$9:$BX$508,"&lt;"&amp;$BX382)+COUNTIFS($BX$9:$BX$508,$BX382,$BZ$9:$BZ$508,"&lt;"&amp;$BZ382)+COUNTIFS($BX$9:$BX$508,$BX382,$BZ$9:$BZ$508,$BZ382,$CB$9:$CB$508,"&lt;"&amp;$CB382)+COUNTIFS($BX$9:$BX$508,$BX382,$BZ$9:$BZ$508,$BZ382,$CB$9:$CB$508,$CB382,$CD$9:$CD$508,"&lt;"&amp;$CD382)+COUNTIFS($BX$9:$BX$508,$BX382,$BZ$9:$BZ$508,$BZ382,$CB$9:$CB$508,$CB382,$CD$9:$CD$508,$CD382,$CF$9:$CF$508,"&lt;"&amp;$CF382)+1))</f>
        <v/>
      </c>
      <c r="CH382" s="92" t="str">
        <f aca="false">IF(ISBLANK($C382),"",IF($BR382&lt;&gt;Constants!$B$8,$BR382,$BX382-$CG382))</f>
        <v/>
      </c>
      <c r="CI382" s="98"/>
      <c r="CJ382" s="99"/>
      <c r="CK382" s="100" t="str">
        <f aca="false">IF(ISBLANK($C382),"",IF($BR382=Constants!$B$12,$BQ382,""))</f>
        <v/>
      </c>
      <c r="CL382" s="99" t="str">
        <f aca="false">IF(ISBLANK($C382),"",IF($BR382&lt;&gt;Constants!$B$8,"",IF($BI382="-&gt;",2,1)))</f>
        <v/>
      </c>
      <c r="CM382" s="101" t="str">
        <f aca="false">IF(ISBLANK($C382),"",IF($BR382&lt;&gt;Constants!$B$8,"",IF($BI382="-&gt;",$BK382,$BC382)))</f>
        <v/>
      </c>
      <c r="CN382" s="101" t="str">
        <f aca="false">IF(ISBLANK($C382),"",IF($BR382&lt;&gt;Constants!$B$8,"",IF($BI382="-&gt;",$BL382,$BD382)))</f>
        <v/>
      </c>
      <c r="CO382" s="101" t="str">
        <f aca="false">IF(ISBLANK($C382),"",IF($BR382&lt;&gt;Constants!$B$8,"",IF($BI382="-&gt;",$BM382+$BN382,$BE382+$BF382)+$BV382))</f>
        <v/>
      </c>
      <c r="CP382" s="101" t="str">
        <f aca="false">IF(ISBLANK($C382),"",IF($BR382&lt;&gt;Constants!$B$8,"",IF($BI382="-&gt;",$BO382,$BG382)+$BU382))</f>
        <v/>
      </c>
      <c r="CQ382" s="102" t="str">
        <f aca="false">IF(ISBLANK($C382),"",IF($BR382&lt;&gt;Constants!$B$8,$BR382,$BW382))</f>
        <v/>
      </c>
      <c r="CR382" s="103" t="str">
        <f aca="false">IF(ISBLANK($C382),"",$BS382)</f>
        <v/>
      </c>
      <c r="CS382" s="104" t="str">
        <f aca="false">IF(ISBLANK($C382),"",$CH382)</f>
        <v/>
      </c>
      <c r="CT382" s="104" t="str">
        <f aca="false">IF(ISBLANK($C382),"",$CG382)</f>
        <v/>
      </c>
      <c r="CU382" s="105" t="str">
        <f aca="false">IF(ISBLANK($C382),"",IFERROR(_xlfn.SWITCH($CT382,Constants!$B$11,COUNTA($C$9:$C$508)+2,Constants!$B$10,COUNTA($C$9:$C$508)+1,Constants!$B$9,COUNTA($C$9:$C$508)),$CT382))</f>
        <v/>
      </c>
      <c r="CV382" s="9"/>
      <c r="CW382" s="106" t="n">
        <f aca="false">IF(OR(ISNUMBER($CT382),$CT382=Constants!$B$11,$CT382=Constants!$B$9,$CT382=Constants!$B$10),1,0)</f>
        <v>0</v>
      </c>
      <c r="CX382" s="106" t="n">
        <v>374</v>
      </c>
      <c r="CY382" s="106" t="str">
        <f aca="false">IF(ISBLANK($C382),"",IF(ISNUMBER($CU382),$CU382+ROW($B382)/1000,""))</f>
        <v/>
      </c>
      <c r="CZ382" s="106" t="str">
        <f aca="false">IF(ISNUMBER($CY382),RANK($CY382,$CY$9:$CY$508,1),"")</f>
        <v/>
      </c>
      <c r="DA382" s="106" t="str">
        <f aca="false">IF(ISBLANK($C382),"",$B382)</f>
        <v/>
      </c>
      <c r="DB382" s="106" t="str">
        <f aca="false">IF(ISBLANK($C382),"",$C382)</f>
        <v/>
      </c>
      <c r="DC382" s="106" t="str">
        <f aca="false">IF(ISBLANK($C382),"",$D382)</f>
        <v/>
      </c>
      <c r="DD382" s="107" t="str">
        <f aca="false">$CR382</f>
        <v/>
      </c>
      <c r="DE382" s="108" t="str">
        <f aca="false">$CQ382</f>
        <v/>
      </c>
      <c r="DF382" s="106" t="str">
        <f aca="false">IF(ISBLANK($C382),"",$CT382)</f>
        <v/>
      </c>
      <c r="DG382" s="109" t="str">
        <f aca="false">IF($CX382&gt;$CW$8,"",VLOOKUP($CX382,$CZ$9:$DF$508,7,FALSE()))</f>
        <v/>
      </c>
      <c r="DH382" s="110" t="str">
        <f aca="false">IF($CX382&gt;$CW$8,"",VLOOKUP($CX382,$CZ$9:$DF$508,2,FALSE()))</f>
        <v/>
      </c>
      <c r="DI382" s="110" t="str">
        <f aca="false">IF($CX382&gt;$CW$8,"",VLOOKUP($CX382,$CZ$9:$DF$508,3,FALSE()))</f>
        <v/>
      </c>
      <c r="DJ382" s="110" t="str">
        <f aca="false">IF($CX382&gt;$CW$8,"",VLOOKUP($CX382,$CZ$9:$DF$508,4,FALSE()))</f>
        <v/>
      </c>
      <c r="DK382" s="110" t="str">
        <f aca="false">IF($CX382&gt;$CW$8,"",VLOOKUP($CX382,$CZ$9:$DF$508,5,FALSE()))</f>
        <v/>
      </c>
      <c r="DL382" s="111" t="str">
        <f aca="false">IF($CX382&gt;$CW$8,"",VLOOKUP($CX382,$CZ$9:$DF$508,6,FALSE()))</f>
        <v/>
      </c>
      <c r="DM382" s="75"/>
    </row>
    <row r="383" customFormat="false" ht="15.75" hidden="false" customHeight="false" outlineLevel="0" collapsed="false">
      <c r="A383" s="9"/>
      <c r="B383" s="77"/>
      <c r="C383" s="78"/>
      <c r="D383" s="167"/>
      <c r="E383" s="175"/>
      <c r="F383" s="169"/>
      <c r="G383" s="170"/>
      <c r="H383" s="170"/>
      <c r="I383" s="176"/>
      <c r="J383" s="173"/>
      <c r="K383" s="85"/>
      <c r="L383" s="86"/>
      <c r="M383" s="87"/>
      <c r="N383" s="173"/>
      <c r="O383" s="173"/>
      <c r="P383" s="175"/>
      <c r="Q383" s="173"/>
      <c r="R383" s="173"/>
      <c r="S383" s="85"/>
      <c r="T383" s="87"/>
      <c r="U383" s="87"/>
      <c r="V383" s="173"/>
      <c r="W383" s="173"/>
      <c r="X383" s="175"/>
      <c r="Y383" s="173"/>
      <c r="Z383" s="174"/>
      <c r="AA383" s="173"/>
      <c r="AB383" s="91"/>
      <c r="AC383" s="92"/>
      <c r="AD383" s="92"/>
      <c r="AE383" s="92"/>
      <c r="AF383" s="92" t="str">
        <f aca="false">IF(ISBLANK($C383),"",IF(E383=Constants!$B$3,TRUE(),IF(E383=Constants!$B$4,FALSE(),TRUE())))</f>
        <v/>
      </c>
      <c r="AG383" s="92" t="str">
        <f aca="false">IF(ISBLANK($C383),"",IF(F383=Constants!$B$3,TRUE(),IF(F383=Constants!$B$4,FALSE(),TRUE())))</f>
        <v/>
      </c>
      <c r="AH383" s="92" t="str">
        <f aca="false">IF(ISBLANK($C383),"",IF(G383=Constants!$B$3,TRUE(),IF(G383=Constants!$B$4,FALSE(),TRUE())))</f>
        <v/>
      </c>
      <c r="AI383" s="92" t="str">
        <f aca="false">IF(ISBLANK($C383),"",IF(AND(ISNUMBER(H383),H383&gt;=0),H383,Constants!$B$29))</f>
        <v/>
      </c>
      <c r="AJ383" s="92" t="str">
        <f aca="false">IF(ISBLANK($C383),"",IF(I383=Constants!$B$3,TRUE(),IF(I383=Constants!$B$4,FALSE(),TRUE())))</f>
        <v/>
      </c>
      <c r="AK383" s="92" t="str">
        <f aca="false">IF(ISBLANK($C383),"",IF(J383=Constants!$B$3,TRUE(),IF(J383=Constants!$B$4,FALSE(),TRUE())))</f>
        <v/>
      </c>
      <c r="AL383" s="92" t="str">
        <f aca="false">IF(ISBLANK($C383),"",IF(K383=Constants!$B$5,TRUE(),IF(K383=Constants!$B$6,FALSE(),COUNTA(L383:P383)&gt;0)))</f>
        <v/>
      </c>
      <c r="AM383" s="94" t="str">
        <f aca="false">IF(ISBLANK($C383),"",IF(ISNUMBER(L383),IF(L383&gt;=0,L383,""),""))</f>
        <v/>
      </c>
      <c r="AN383" s="93" t="str">
        <f aca="false">IF(ISBLANK($C383),"",IF(ISNUMBER(M383),IF(M383&gt;=0,M383,""),""))</f>
        <v/>
      </c>
      <c r="AO383" s="93" t="str">
        <f aca="false">IF(ISBLANK($C383),"",IF(N383=Constants!$B$3,TRUE(),IF(N383=Constants!$B$4,FALSE(),TRUE())))</f>
        <v/>
      </c>
      <c r="AP383" s="92" t="str">
        <f aca="false">IF(ISBLANK($C383),"",IF(ISNUMBER(O383),IF(O383&gt;=0,O383,""),""))</f>
        <v/>
      </c>
      <c r="AQ383" s="92" t="str">
        <f aca="false">IF(ISBLANK($C383),"",IF(P383=Constants!$B$3,TRUE(),IF(P383=Constants!$B$4,FALSE(),FALSE())))</f>
        <v/>
      </c>
      <c r="AR383" s="92" t="str">
        <f aca="false">IF(ISBLANK($C383),"",IF(Q383=Constants!$B$3,TRUE(),IF(Q383=Constants!$B$4,FALSE(),TRUE())))</f>
        <v/>
      </c>
      <c r="AS383" s="92" t="str">
        <f aca="false">IF(ISBLANK($C383),"",IF(R383=Constants!$B$3,TRUE(),IF(R383=Constants!$B$4,FALSE(),TRUE())))</f>
        <v/>
      </c>
      <c r="AT383" s="92" t="str">
        <f aca="false">IF(ISBLANK($C383),"",IF(S383=Constants!$B$5,TRUE(),IF(S383=Constants!$B$6,FALSE(),COUNTA(T383:X383)&gt;0)))</f>
        <v/>
      </c>
      <c r="AU383" s="94" t="str">
        <f aca="false">IF(ISBLANK($C383),"",IF(ISNUMBER(T383),IF(T383&gt;=0,T383,""),""))</f>
        <v/>
      </c>
      <c r="AV383" s="93" t="str">
        <f aca="false">IF(ISBLANK($C383),"",IF(ISNUMBER(U383),IF(U383&gt;=0,U383,""),""))</f>
        <v/>
      </c>
      <c r="AW383" s="93" t="str">
        <f aca="false">IF(ISBLANK($C383),"",IF(V383=Constants!$B$3,TRUE(),IF(V383=Constants!$B$4,FALSE(),TRUE())))</f>
        <v/>
      </c>
      <c r="AX383" s="92" t="str">
        <f aca="false">IF(ISBLANK($C383),"",IF(ISNUMBER(W383),IF(W383&gt;=0,W383,""),""))</f>
        <v/>
      </c>
      <c r="AY383" s="92" t="str">
        <f aca="false">IF(ISBLANK($C383),"",IF(X383=Constants!$B$3,TRUE(),IF(X383=Constants!$B$4,FALSE(),FALSE())))</f>
        <v/>
      </c>
      <c r="AZ383" s="92" t="str">
        <f aca="false">IF(ISBLANK($C383),"",MIN(Constants!$B$31,MAX(0,IF(ISNUMBER(Y383),Y383*60,0)+IF(ISNUMBER(Z383),Z383,0))))</f>
        <v/>
      </c>
      <c r="BA383" s="92" t="str">
        <f aca="false">IF(ISBLANK($C383),"",IF(AA383=Constants!$B$3,TRUE(),IF(AA383=Constants!$B$4,FALSE(),FALSE())))</f>
        <v/>
      </c>
      <c r="BB383" s="91" t="str">
        <f aca="false">IF(ISBLANK($C383),"",AND($AL383,OR($AM383="",$AN383="",AND($AO383,$AP383=""))))</f>
        <v/>
      </c>
      <c r="BC383" s="93" t="str">
        <f aca="false">IF($BR383&lt;&gt;Constants!$B$8,"",IF($AL383,Constants!$B$21*$AN383+Constants!$B$22*IF($AO383,$AP383,Constants!$B$23),Constants!$B$24))</f>
        <v/>
      </c>
      <c r="BD383" s="96" t="str">
        <f aca="false">IF($BR383&lt;&gt;Constants!$B$8,"",Constants!$B$25*ABS($AD$9-IF($AL383,$AM383,0)))</f>
        <v/>
      </c>
      <c r="BE383" s="96" t="str">
        <f aca="false">IF($BR383&lt;&gt;Constants!$B$8,"",IF(AND($AL383,$AQ383,$AO383),Constants!$B$27,0))</f>
        <v/>
      </c>
      <c r="BF383" s="96" t="str">
        <f aca="false">IF($BR383&lt;&gt;Constants!$B$8,"",IF($AL383,($AI383-Constants!$B$29)*Constants!$B$28,0))</f>
        <v/>
      </c>
      <c r="BG383" s="96" t="str">
        <f aca="false">IF($BR383&lt;&gt;Constants!$B$8,"",IF($AK383,0,Constants!$B$15)+IF($AJ383,0,Constants!$B$16)+IF($AH383,0,Constants!$B$17))</f>
        <v/>
      </c>
      <c r="BH383" s="97" t="str">
        <f aca="false">IF($BR383&lt;&gt;Constants!$B$8,"",Constants!$B$20+SUM($BC383:$BG383))</f>
        <v/>
      </c>
      <c r="BI383" s="92" t="str">
        <f aca="false">IF($BR383&lt;&gt;Constants!$B$8,"",IF(OR($BP383&lt;$BH383,AND($BP383=$BH383,OR($BK383&lt;$BC383,AND($BK383=$BC383,OR($BL383&lt;$BD383,AND($BL383=$BD383,$AT383,$AL383,$AV383&lt;$AN383)))))),"-&gt;","&lt;-"))</f>
        <v/>
      </c>
      <c r="BJ383" s="91" t="str">
        <f aca="false">IF(ISBLANK($C383),"",AND($AT383,OR($AU383="",$AV383="",AND($AW383,$AX383=""))))</f>
        <v/>
      </c>
      <c r="BK383" s="93" t="str">
        <f aca="false">IF($BR383&lt;&gt;Constants!$B$8,"",IF($AT383,Constants!$B$21*$AV383+Constants!$B$22*IF($AW383,$AX383,Constants!$B$23),Constants!$B$24))</f>
        <v/>
      </c>
      <c r="BL383" s="96" t="str">
        <f aca="false">IF($BR383&lt;&gt;Constants!$B$8,"",Constants!$B$25*ABS($AD$9-IF($AT383,$AU383,0)))</f>
        <v/>
      </c>
      <c r="BM383" s="96" t="str">
        <f aca="false">IF($BR383&lt;&gt;Constants!$B$8,"",IF(AND($AT383,$AY383,$AW383),Constants!$B$27,0))</f>
        <v/>
      </c>
      <c r="BN383" s="96" t="str">
        <f aca="false">IF($BR383&lt;&gt;Constants!$B$8,"",IF($AT383,($AI383-Constants!$B$29)*Constants!$B$28,0))</f>
        <v/>
      </c>
      <c r="BO383" s="96" t="str">
        <f aca="false">IF($BR383&lt;&gt;Constants!$B$8,"",IF($AS383,0,Constants!$B$15)+IF($AR383,0,Constants!$B$16)+IF($AH383,0,Constants!$B$17))</f>
        <v/>
      </c>
      <c r="BP383" s="97" t="str">
        <f aca="false">IF($BR383&lt;&gt;Constants!$B$8,"",Constants!$B$20+SUM($BK383:$BO383))</f>
        <v/>
      </c>
      <c r="BQ383" s="92" t="str">
        <f aca="false">IF(ISBLANK($C383),"",IF(ISBLANK($D$7),$BQ$5,IF(NOT(ISNUMBER($D$7)),$BQ$6,"")))</f>
        <v/>
      </c>
      <c r="BR383" s="92" t="str">
        <f aca="false">IF(ISBLANK($C383),"",IF($BA383,Constants!$B$11,IF(COUNTA($E383:$AA383)=0,Constants!$B$10,IF(NOT($AG383),Constants!$B$9,IF(OR($BQ383&lt;&gt;"",$BB383,$BJ383),Constants!$B$12,Constants!$B$8)))))</f>
        <v/>
      </c>
      <c r="BS383" s="92" t="str">
        <f aca="false">IF(ISBLANK($C383),"",IF($BR383&lt;&gt;Constants!$B$8,$BR383,Constants!$B$13))</f>
        <v/>
      </c>
      <c r="BT383" s="96" t="str">
        <f aca="false">IF($BR383&lt;&gt;Constants!$B$8,"",IF($BI383="-&gt;",$BP383,$BH383))</f>
        <v/>
      </c>
      <c r="BU383" s="96" t="str">
        <f aca="false">IF($BR383&lt;&gt;Constants!$B$8,"",IF($AF383,0,Constants!$B$18))</f>
        <v/>
      </c>
      <c r="BV383" s="96" t="str">
        <f aca="false">IF($BR383&lt;&gt;Constants!$B$8,"",((Constants!$B$31-$AZ383)-Constants!$B$31)/Constants!$B$32)</f>
        <v/>
      </c>
      <c r="BW383" s="96" t="str">
        <f aca="false">IF(ISBLANK($C383),"",IF($BR383&lt;&gt;Constants!$B$8,$BR383,SUM($BT383:$BV383)))</f>
        <v/>
      </c>
      <c r="BX383" s="92" t="str">
        <f aca="false">IF(ISBLANK($C383),"",IF($BR383&lt;&gt;Constants!$B$8,$BR383,RANK($BW383,$BW$9:$BW$508,1)))</f>
        <v/>
      </c>
      <c r="BY383" s="96" t="str">
        <f aca="false">IF($BR383&lt;&gt;Constants!$B$8,"",IF($BI383="-&gt;",$BK383,$BC383))</f>
        <v/>
      </c>
      <c r="BZ383" s="92" t="str">
        <f aca="false">IF(ISBLANK($C383),"",IF($BR383&lt;&gt;Constants!$B$8,$BR383,IF(ISNUMBER($BY383),RANK($BY383,$BY$9:$BY$508,1),COUNT($BY$9:$BY$508)+1)))</f>
        <v/>
      </c>
      <c r="CA383" s="96" t="str">
        <f aca="false">IF($BR383&lt;&gt;Constants!$B$8,"",IF($BI383="-&gt;",$BL383,$BD383))</f>
        <v/>
      </c>
      <c r="CB383" s="92" t="str">
        <f aca="false">IF(ISBLANK($C383),"",IF($BR383&lt;&gt;Constants!$B$8,$BR383,IF(ISNUMBER($CA383),RANK($CA383,$CA$9:$CA$508,1),COUNT($CA$9:$CA$508)+1)))</f>
        <v/>
      </c>
      <c r="CC383" s="96" t="str">
        <f aca="false">IF($BR383&lt;&gt;Constants!$B$8,"",IF($BI383="-&gt;",IF($AT383,$AV383,""),IF($AL383,$AN383,"")))</f>
        <v/>
      </c>
      <c r="CD383" s="92" t="str">
        <f aca="false">IF(ISBLANK($C383),"",IF($BR383&lt;&gt;Constants!$B$8,$BR383,IF(ISNUMBER($CC383),RANK($CC383,$CC$9:$CC$508,1),COUNT($CC$9:$CC$508)+1)))</f>
        <v/>
      </c>
      <c r="CE383" s="96" t="str">
        <f aca="false">IF($BR383&lt;&gt;Constants!$B$8,"",IF(AND(NOT($AL383),NOT($AT383),$AJ383,$AK383,$AR383,$AS383),"",$AI383))</f>
        <v/>
      </c>
      <c r="CF383" s="92" t="str">
        <f aca="false">IF(ISBLANK($C383),"",IF($BR383&lt;&gt;Constants!$B$8,$BR383,IF(ISNUMBER($CE383),RANK($CE383,$CE$9:$CE$508,1),COUNT($CE$9:$CE$508)+1)))</f>
        <v/>
      </c>
      <c r="CG383" s="92" t="str">
        <f aca="false">IF(ISBLANK($C383),"",IF($BR383&lt;&gt;Constants!$B$8,$BR383,COUNTIFS($BX$9:$BX$508,"&lt;"&amp;$BX383)+COUNTIFS($BX$9:$BX$508,$BX383,$BZ$9:$BZ$508,"&lt;"&amp;$BZ383)+COUNTIFS($BX$9:$BX$508,$BX383,$BZ$9:$BZ$508,$BZ383,$CB$9:$CB$508,"&lt;"&amp;$CB383)+COUNTIFS($BX$9:$BX$508,$BX383,$BZ$9:$BZ$508,$BZ383,$CB$9:$CB$508,$CB383,$CD$9:$CD$508,"&lt;"&amp;$CD383)+COUNTIFS($BX$9:$BX$508,$BX383,$BZ$9:$BZ$508,$BZ383,$CB$9:$CB$508,$CB383,$CD$9:$CD$508,$CD383,$CF$9:$CF$508,"&lt;"&amp;$CF383)+1))</f>
        <v/>
      </c>
      <c r="CH383" s="92" t="str">
        <f aca="false">IF(ISBLANK($C383),"",IF($BR383&lt;&gt;Constants!$B$8,$BR383,$BX383-$CG383))</f>
        <v/>
      </c>
      <c r="CI383" s="98"/>
      <c r="CJ383" s="99"/>
      <c r="CK383" s="100" t="str">
        <f aca="false">IF(ISBLANK($C383),"",IF($BR383=Constants!$B$12,$BQ383,""))</f>
        <v/>
      </c>
      <c r="CL383" s="99" t="str">
        <f aca="false">IF(ISBLANK($C383),"",IF($BR383&lt;&gt;Constants!$B$8,"",IF($BI383="-&gt;",2,1)))</f>
        <v/>
      </c>
      <c r="CM383" s="101" t="str">
        <f aca="false">IF(ISBLANK($C383),"",IF($BR383&lt;&gt;Constants!$B$8,"",IF($BI383="-&gt;",$BK383,$BC383)))</f>
        <v/>
      </c>
      <c r="CN383" s="101" t="str">
        <f aca="false">IF(ISBLANK($C383),"",IF($BR383&lt;&gt;Constants!$B$8,"",IF($BI383="-&gt;",$BL383,$BD383)))</f>
        <v/>
      </c>
      <c r="CO383" s="101" t="str">
        <f aca="false">IF(ISBLANK($C383),"",IF($BR383&lt;&gt;Constants!$B$8,"",IF($BI383="-&gt;",$BM383+$BN383,$BE383+$BF383)+$BV383))</f>
        <v/>
      </c>
      <c r="CP383" s="101" t="str">
        <f aca="false">IF(ISBLANK($C383),"",IF($BR383&lt;&gt;Constants!$B$8,"",IF($BI383="-&gt;",$BO383,$BG383)+$BU383))</f>
        <v/>
      </c>
      <c r="CQ383" s="102" t="str">
        <f aca="false">IF(ISBLANK($C383),"",IF($BR383&lt;&gt;Constants!$B$8,$BR383,$BW383))</f>
        <v/>
      </c>
      <c r="CR383" s="103" t="str">
        <f aca="false">IF(ISBLANK($C383),"",$BS383)</f>
        <v/>
      </c>
      <c r="CS383" s="104" t="str">
        <f aca="false">IF(ISBLANK($C383),"",$CH383)</f>
        <v/>
      </c>
      <c r="CT383" s="104" t="str">
        <f aca="false">IF(ISBLANK($C383),"",$CG383)</f>
        <v/>
      </c>
      <c r="CU383" s="105" t="str">
        <f aca="false">IF(ISBLANK($C383),"",IFERROR(_xlfn.SWITCH($CT383,Constants!$B$11,COUNTA($C$9:$C$508)+2,Constants!$B$10,COUNTA($C$9:$C$508)+1,Constants!$B$9,COUNTA($C$9:$C$508)),$CT383))</f>
        <v/>
      </c>
      <c r="CV383" s="9"/>
      <c r="CW383" s="106" t="n">
        <f aca="false">IF(OR(ISNUMBER($CT383),$CT383=Constants!$B$11,$CT383=Constants!$B$9,$CT383=Constants!$B$10),1,0)</f>
        <v>0</v>
      </c>
      <c r="CX383" s="106" t="n">
        <v>375</v>
      </c>
      <c r="CY383" s="106" t="str">
        <f aca="false">IF(ISBLANK($C383),"",IF(ISNUMBER($CU383),$CU383+ROW($B383)/1000,""))</f>
        <v/>
      </c>
      <c r="CZ383" s="106" t="str">
        <f aca="false">IF(ISNUMBER($CY383),RANK($CY383,$CY$9:$CY$508,1),"")</f>
        <v/>
      </c>
      <c r="DA383" s="106" t="str">
        <f aca="false">IF(ISBLANK($C383),"",$B383)</f>
        <v/>
      </c>
      <c r="DB383" s="106" t="str">
        <f aca="false">IF(ISBLANK($C383),"",$C383)</f>
        <v/>
      </c>
      <c r="DC383" s="106" t="str">
        <f aca="false">IF(ISBLANK($C383),"",$D383)</f>
        <v/>
      </c>
      <c r="DD383" s="107" t="str">
        <f aca="false">$CR383</f>
        <v/>
      </c>
      <c r="DE383" s="108" t="str">
        <f aca="false">$CQ383</f>
        <v/>
      </c>
      <c r="DF383" s="106" t="str">
        <f aca="false">IF(ISBLANK($C383),"",$CT383)</f>
        <v/>
      </c>
      <c r="DG383" s="109" t="str">
        <f aca="false">IF($CX383&gt;$CW$8,"",VLOOKUP($CX383,$CZ$9:$DF$508,7,FALSE()))</f>
        <v/>
      </c>
      <c r="DH383" s="110" t="str">
        <f aca="false">IF($CX383&gt;$CW$8,"",VLOOKUP($CX383,$CZ$9:$DF$508,2,FALSE()))</f>
        <v/>
      </c>
      <c r="DI383" s="110" t="str">
        <f aca="false">IF($CX383&gt;$CW$8,"",VLOOKUP($CX383,$CZ$9:$DF$508,3,FALSE()))</f>
        <v/>
      </c>
      <c r="DJ383" s="110" t="str">
        <f aca="false">IF($CX383&gt;$CW$8,"",VLOOKUP($CX383,$CZ$9:$DF$508,4,FALSE()))</f>
        <v/>
      </c>
      <c r="DK383" s="110" t="str">
        <f aca="false">IF($CX383&gt;$CW$8,"",VLOOKUP($CX383,$CZ$9:$DF$508,5,FALSE()))</f>
        <v/>
      </c>
      <c r="DL383" s="111" t="str">
        <f aca="false">IF($CX383&gt;$CW$8,"",VLOOKUP($CX383,$CZ$9:$DF$508,6,FALSE()))</f>
        <v/>
      </c>
      <c r="DM383" s="75"/>
    </row>
    <row r="384" customFormat="false" ht="15.75" hidden="false" customHeight="false" outlineLevel="0" collapsed="false">
      <c r="A384" s="9"/>
      <c r="B384" s="157"/>
      <c r="C384" s="158"/>
      <c r="D384" s="159"/>
      <c r="E384" s="177"/>
      <c r="F384" s="161"/>
      <c r="G384" s="162"/>
      <c r="H384" s="162"/>
      <c r="I384" s="178"/>
      <c r="J384" s="165"/>
      <c r="K384" s="126"/>
      <c r="L384" s="127"/>
      <c r="M384" s="128"/>
      <c r="N384" s="165"/>
      <c r="O384" s="165"/>
      <c r="P384" s="177"/>
      <c r="Q384" s="165"/>
      <c r="R384" s="165"/>
      <c r="S384" s="126"/>
      <c r="T384" s="128"/>
      <c r="U384" s="128"/>
      <c r="V384" s="165"/>
      <c r="W384" s="165"/>
      <c r="X384" s="177"/>
      <c r="Y384" s="165"/>
      <c r="Z384" s="166"/>
      <c r="AA384" s="165"/>
      <c r="AB384" s="132"/>
      <c r="AC384" s="133"/>
      <c r="AD384" s="133"/>
      <c r="AE384" s="133"/>
      <c r="AF384" s="133" t="str">
        <f aca="false">IF(ISBLANK($C384),"",IF(E384=Constants!$B$3,TRUE(),IF(E384=Constants!$B$4,FALSE(),TRUE())))</f>
        <v/>
      </c>
      <c r="AG384" s="133" t="str">
        <f aca="false">IF(ISBLANK($C384),"",IF(F384=Constants!$B$3,TRUE(),IF(F384=Constants!$B$4,FALSE(),TRUE())))</f>
        <v/>
      </c>
      <c r="AH384" s="133" t="str">
        <f aca="false">IF(ISBLANK($C384),"",IF(G384=Constants!$B$3,TRUE(),IF(G384=Constants!$B$4,FALSE(),TRUE())))</f>
        <v/>
      </c>
      <c r="AI384" s="133" t="str">
        <f aca="false">IF(ISBLANK($C384),"",IF(AND(ISNUMBER(H384),H384&gt;=0),H384,Constants!$B$29))</f>
        <v/>
      </c>
      <c r="AJ384" s="133" t="str">
        <f aca="false">IF(ISBLANK($C384),"",IF(I384=Constants!$B$3,TRUE(),IF(I384=Constants!$B$4,FALSE(),TRUE())))</f>
        <v/>
      </c>
      <c r="AK384" s="133" t="str">
        <f aca="false">IF(ISBLANK($C384),"",IF(J384=Constants!$B$3,TRUE(),IF(J384=Constants!$B$4,FALSE(),TRUE())))</f>
        <v/>
      </c>
      <c r="AL384" s="133" t="str">
        <f aca="false">IF(ISBLANK($C384),"",IF(K384=Constants!$B$5,TRUE(),IF(K384=Constants!$B$6,FALSE(),COUNTA(L384:P384)&gt;0)))</f>
        <v/>
      </c>
      <c r="AM384" s="134" t="str">
        <f aca="false">IF(ISBLANK($C384),"",IF(ISNUMBER(L384),IF(L384&gt;=0,L384,""),""))</f>
        <v/>
      </c>
      <c r="AN384" s="135" t="str">
        <f aca="false">IF(ISBLANK($C384),"",IF(ISNUMBER(M384),IF(M384&gt;=0,M384,""),""))</f>
        <v/>
      </c>
      <c r="AO384" s="135" t="str">
        <f aca="false">IF(ISBLANK($C384),"",IF(N384=Constants!$B$3,TRUE(),IF(N384=Constants!$B$4,FALSE(),TRUE())))</f>
        <v/>
      </c>
      <c r="AP384" s="133" t="str">
        <f aca="false">IF(ISBLANK($C384),"",IF(ISNUMBER(O384),IF(O384&gt;=0,O384,""),""))</f>
        <v/>
      </c>
      <c r="AQ384" s="133" t="str">
        <f aca="false">IF(ISBLANK($C384),"",IF(P384=Constants!$B$3,TRUE(),IF(P384=Constants!$B$4,FALSE(),FALSE())))</f>
        <v/>
      </c>
      <c r="AR384" s="133" t="str">
        <f aca="false">IF(ISBLANK($C384),"",IF(Q384=Constants!$B$3,TRUE(),IF(Q384=Constants!$B$4,FALSE(),TRUE())))</f>
        <v/>
      </c>
      <c r="AS384" s="133" t="str">
        <f aca="false">IF(ISBLANK($C384),"",IF(R384=Constants!$B$3,TRUE(),IF(R384=Constants!$B$4,FALSE(),TRUE())))</f>
        <v/>
      </c>
      <c r="AT384" s="133" t="str">
        <f aca="false">IF(ISBLANK($C384),"",IF(S384=Constants!$B$5,TRUE(),IF(S384=Constants!$B$6,FALSE(),COUNTA(T384:X384)&gt;0)))</f>
        <v/>
      </c>
      <c r="AU384" s="134" t="str">
        <f aca="false">IF(ISBLANK($C384),"",IF(ISNUMBER(T384),IF(T384&gt;=0,T384,""),""))</f>
        <v/>
      </c>
      <c r="AV384" s="135" t="str">
        <f aca="false">IF(ISBLANK($C384),"",IF(ISNUMBER(U384),IF(U384&gt;=0,U384,""),""))</f>
        <v/>
      </c>
      <c r="AW384" s="135" t="str">
        <f aca="false">IF(ISBLANK($C384),"",IF(V384=Constants!$B$3,TRUE(),IF(V384=Constants!$B$4,FALSE(),TRUE())))</f>
        <v/>
      </c>
      <c r="AX384" s="133" t="str">
        <f aca="false">IF(ISBLANK($C384),"",IF(ISNUMBER(W384),IF(W384&gt;=0,W384,""),""))</f>
        <v/>
      </c>
      <c r="AY384" s="133" t="str">
        <f aca="false">IF(ISBLANK($C384),"",IF(X384=Constants!$B$3,TRUE(),IF(X384=Constants!$B$4,FALSE(),FALSE())))</f>
        <v/>
      </c>
      <c r="AZ384" s="133" t="str">
        <f aca="false">IF(ISBLANK($C384),"",MIN(Constants!$B$31,MAX(0,IF(ISNUMBER(Y384),Y384*60,0)+IF(ISNUMBER(Z384),Z384,0))))</f>
        <v/>
      </c>
      <c r="BA384" s="133" t="str">
        <f aca="false">IF(ISBLANK($C384),"",IF(AA384=Constants!$B$3,TRUE(),IF(AA384=Constants!$B$4,FALSE(),FALSE())))</f>
        <v/>
      </c>
      <c r="BB384" s="132" t="str">
        <f aca="false">IF(ISBLANK($C384),"",AND($AL384,OR($AM384="",$AN384="",AND($AO384,$AP384=""))))</f>
        <v/>
      </c>
      <c r="BC384" s="135" t="str">
        <f aca="false">IF($BR384&lt;&gt;Constants!$B$8,"",IF($AL384,Constants!$B$21*$AN384+Constants!$B$22*IF($AO384,$AP384,Constants!$B$23),Constants!$B$24))</f>
        <v/>
      </c>
      <c r="BD384" s="136" t="str">
        <f aca="false">IF($BR384&lt;&gt;Constants!$B$8,"",Constants!$B$25*ABS($AD$9-IF($AL384,$AM384,0)))</f>
        <v/>
      </c>
      <c r="BE384" s="136" t="str">
        <f aca="false">IF($BR384&lt;&gt;Constants!$B$8,"",IF(AND($AL384,$AQ384,$AO384),Constants!$B$27,0))</f>
        <v/>
      </c>
      <c r="BF384" s="136" t="str">
        <f aca="false">IF($BR384&lt;&gt;Constants!$B$8,"",IF($AL384,($AI384-Constants!$B$29)*Constants!$B$28,0))</f>
        <v/>
      </c>
      <c r="BG384" s="136" t="str">
        <f aca="false">IF($BR384&lt;&gt;Constants!$B$8,"",IF($AK384,0,Constants!$B$15)+IF($AJ384,0,Constants!$B$16)+IF($AH384,0,Constants!$B$17))</f>
        <v/>
      </c>
      <c r="BH384" s="137" t="str">
        <f aca="false">IF($BR384&lt;&gt;Constants!$B$8,"",Constants!$B$20+SUM($BC384:$BG384))</f>
        <v/>
      </c>
      <c r="BI384" s="133" t="str">
        <f aca="false">IF($BR384&lt;&gt;Constants!$B$8,"",IF(OR($BP384&lt;$BH384,AND($BP384=$BH384,OR($BK384&lt;$BC384,AND($BK384=$BC384,OR($BL384&lt;$BD384,AND($BL384=$BD384,$AT384,$AL384,$AV384&lt;$AN384)))))),"-&gt;","&lt;-"))</f>
        <v/>
      </c>
      <c r="BJ384" s="132" t="str">
        <f aca="false">IF(ISBLANK($C384),"",AND($AT384,OR($AU384="",$AV384="",AND($AW384,$AX384=""))))</f>
        <v/>
      </c>
      <c r="BK384" s="135" t="str">
        <f aca="false">IF($BR384&lt;&gt;Constants!$B$8,"",IF($AT384,Constants!$B$21*$AV384+Constants!$B$22*IF($AW384,$AX384,Constants!$B$23),Constants!$B$24))</f>
        <v/>
      </c>
      <c r="BL384" s="136" t="str">
        <f aca="false">IF($BR384&lt;&gt;Constants!$B$8,"",Constants!$B$25*ABS($AD$9-IF($AT384,$AU384,0)))</f>
        <v/>
      </c>
      <c r="BM384" s="136" t="str">
        <f aca="false">IF($BR384&lt;&gt;Constants!$B$8,"",IF(AND($AT384,$AY384,$AW384),Constants!$B$27,0))</f>
        <v/>
      </c>
      <c r="BN384" s="136" t="str">
        <f aca="false">IF($BR384&lt;&gt;Constants!$B$8,"",IF($AT384,($AI384-Constants!$B$29)*Constants!$B$28,0))</f>
        <v/>
      </c>
      <c r="BO384" s="136" t="str">
        <f aca="false">IF($BR384&lt;&gt;Constants!$B$8,"",IF($AS384,0,Constants!$B$15)+IF($AR384,0,Constants!$B$16)+IF($AH384,0,Constants!$B$17))</f>
        <v/>
      </c>
      <c r="BP384" s="137" t="str">
        <f aca="false">IF($BR384&lt;&gt;Constants!$B$8,"",Constants!$B$20+SUM($BK384:$BO384))</f>
        <v/>
      </c>
      <c r="BQ384" s="133" t="str">
        <f aca="false">IF(ISBLANK($C384),"",IF(ISBLANK($D$7),$BQ$5,IF(NOT(ISNUMBER($D$7)),$BQ$6,"")))</f>
        <v/>
      </c>
      <c r="BR384" s="133" t="str">
        <f aca="false">IF(ISBLANK($C384),"",IF($BA384,Constants!$B$11,IF(COUNTA($E384:$AA384)=0,Constants!$B$10,IF(NOT($AG384),Constants!$B$9,IF(OR($BQ384&lt;&gt;"",$BB384,$BJ384),Constants!$B$12,Constants!$B$8)))))</f>
        <v/>
      </c>
      <c r="BS384" s="133" t="str">
        <f aca="false">IF(ISBLANK($C384),"",IF($BR384&lt;&gt;Constants!$B$8,$BR384,Constants!$B$13))</f>
        <v/>
      </c>
      <c r="BT384" s="136" t="str">
        <f aca="false">IF($BR384&lt;&gt;Constants!$B$8,"",IF($BI384="-&gt;",$BP384,$BH384))</f>
        <v/>
      </c>
      <c r="BU384" s="136" t="str">
        <f aca="false">IF($BR384&lt;&gt;Constants!$B$8,"",IF($AF384,0,Constants!$B$18))</f>
        <v/>
      </c>
      <c r="BV384" s="136" t="str">
        <f aca="false">IF($BR384&lt;&gt;Constants!$B$8,"",((Constants!$B$31-$AZ384)-Constants!$B$31)/Constants!$B$32)</f>
        <v/>
      </c>
      <c r="BW384" s="136" t="str">
        <f aca="false">IF(ISBLANK($C384),"",IF($BR384&lt;&gt;Constants!$B$8,$BR384,SUM($BT384:$BV384)))</f>
        <v/>
      </c>
      <c r="BX384" s="133" t="str">
        <f aca="false">IF(ISBLANK($C384),"",IF($BR384&lt;&gt;Constants!$B$8,$BR384,RANK($BW384,$BW$9:$BW$508,1)))</f>
        <v/>
      </c>
      <c r="BY384" s="136" t="str">
        <f aca="false">IF($BR384&lt;&gt;Constants!$B$8,"",IF($BI384="-&gt;",$BK384,$BC384))</f>
        <v/>
      </c>
      <c r="BZ384" s="133" t="str">
        <f aca="false">IF(ISBLANK($C384),"",IF($BR384&lt;&gt;Constants!$B$8,$BR384,IF(ISNUMBER($BY384),RANK($BY384,$BY$9:$BY$508,1),COUNT($BY$9:$BY$508)+1)))</f>
        <v/>
      </c>
      <c r="CA384" s="136" t="str">
        <f aca="false">IF($BR384&lt;&gt;Constants!$B$8,"",IF($BI384="-&gt;",$BL384,$BD384))</f>
        <v/>
      </c>
      <c r="CB384" s="133" t="str">
        <f aca="false">IF(ISBLANK($C384),"",IF($BR384&lt;&gt;Constants!$B$8,$BR384,IF(ISNUMBER($CA384),RANK($CA384,$CA$9:$CA$508,1),COUNT($CA$9:$CA$508)+1)))</f>
        <v/>
      </c>
      <c r="CC384" s="136" t="str">
        <f aca="false">IF($BR384&lt;&gt;Constants!$B$8,"",IF($BI384="-&gt;",IF($AT384,$AV384,""),IF($AL384,$AN384,"")))</f>
        <v/>
      </c>
      <c r="CD384" s="133" t="str">
        <f aca="false">IF(ISBLANK($C384),"",IF($BR384&lt;&gt;Constants!$B$8,$BR384,IF(ISNUMBER($CC384),RANK($CC384,$CC$9:$CC$508,1),COUNT($CC$9:$CC$508)+1)))</f>
        <v/>
      </c>
      <c r="CE384" s="136" t="str">
        <f aca="false">IF($BR384&lt;&gt;Constants!$B$8,"",IF(AND(NOT($AL384),NOT($AT384),$AJ384,$AK384,$AR384,$AS384),"",$AI384))</f>
        <v/>
      </c>
      <c r="CF384" s="133" t="str">
        <f aca="false">IF(ISBLANK($C384),"",IF($BR384&lt;&gt;Constants!$B$8,$BR384,IF(ISNUMBER($CE384),RANK($CE384,$CE$9:$CE$508,1),COUNT($CE$9:$CE$508)+1)))</f>
        <v/>
      </c>
      <c r="CG384" s="133" t="str">
        <f aca="false">IF(ISBLANK($C384),"",IF($BR384&lt;&gt;Constants!$B$8,$BR384,COUNTIFS($BX$9:$BX$508,"&lt;"&amp;$BX384)+COUNTIFS($BX$9:$BX$508,$BX384,$BZ$9:$BZ$508,"&lt;"&amp;$BZ384)+COUNTIFS($BX$9:$BX$508,$BX384,$BZ$9:$BZ$508,$BZ384,$CB$9:$CB$508,"&lt;"&amp;$CB384)+COUNTIFS($BX$9:$BX$508,$BX384,$BZ$9:$BZ$508,$BZ384,$CB$9:$CB$508,$CB384,$CD$9:$CD$508,"&lt;"&amp;$CD384)+COUNTIFS($BX$9:$BX$508,$BX384,$BZ$9:$BZ$508,$BZ384,$CB$9:$CB$508,$CB384,$CD$9:$CD$508,$CD384,$CF$9:$CF$508,"&lt;"&amp;$CF384)+1))</f>
        <v/>
      </c>
      <c r="CH384" s="133" t="str">
        <f aca="false">IF(ISBLANK($C384),"",IF($BR384&lt;&gt;Constants!$B$8,$BR384,$BX384-$CG384))</f>
        <v/>
      </c>
      <c r="CI384" s="138"/>
      <c r="CJ384" s="139"/>
      <c r="CK384" s="140" t="str">
        <f aca="false">IF(ISBLANK($C384),"",IF($BR384=Constants!$B$12,$BQ384,""))</f>
        <v/>
      </c>
      <c r="CL384" s="139" t="str">
        <f aca="false">IF(ISBLANK($C384),"",IF($BR384&lt;&gt;Constants!$B$8,"",IF($BI384="-&gt;",2,1)))</f>
        <v/>
      </c>
      <c r="CM384" s="141" t="str">
        <f aca="false">IF(ISBLANK($C384),"",IF($BR384&lt;&gt;Constants!$B$8,"",IF($BI384="-&gt;",$BK384,$BC384)))</f>
        <v/>
      </c>
      <c r="CN384" s="141" t="str">
        <f aca="false">IF(ISBLANK($C384),"",IF($BR384&lt;&gt;Constants!$B$8,"",IF($BI384="-&gt;",$BL384,$BD384)))</f>
        <v/>
      </c>
      <c r="CO384" s="141" t="str">
        <f aca="false">IF(ISBLANK($C384),"",IF($BR384&lt;&gt;Constants!$B$8,"",IF($BI384="-&gt;",$BM384+$BN384,$BE384+$BF384)+$BV384))</f>
        <v/>
      </c>
      <c r="CP384" s="141" t="str">
        <f aca="false">IF(ISBLANK($C384),"",IF($BR384&lt;&gt;Constants!$B$8,"",IF($BI384="-&gt;",$BO384,$BG384)+$BU384))</f>
        <v/>
      </c>
      <c r="CQ384" s="142" t="str">
        <f aca="false">IF(ISBLANK($C384),"",IF($BR384&lt;&gt;Constants!$B$8,$BR384,$BW384))</f>
        <v/>
      </c>
      <c r="CR384" s="143" t="str">
        <f aca="false">IF(ISBLANK($C384),"",$BS384)</f>
        <v/>
      </c>
      <c r="CS384" s="144" t="str">
        <f aca="false">IF(ISBLANK($C384),"",$CH384)</f>
        <v/>
      </c>
      <c r="CT384" s="144" t="str">
        <f aca="false">IF(ISBLANK($C384),"",$CG384)</f>
        <v/>
      </c>
      <c r="CU384" s="145" t="str">
        <f aca="false">IF(ISBLANK($C384),"",IFERROR(_xlfn.SWITCH($CT384,Constants!$B$11,COUNTA($C$9:$C$508)+2,Constants!$B$10,COUNTA($C$9:$C$508)+1,Constants!$B$9,COUNTA($C$9:$C$508)),$CT384))</f>
        <v/>
      </c>
      <c r="CV384" s="9"/>
      <c r="CW384" s="146" t="n">
        <f aca="false">IF(OR(ISNUMBER($CT384),$CT384=Constants!$B$11,$CT384=Constants!$B$9,$CT384=Constants!$B$10),1,0)</f>
        <v>0</v>
      </c>
      <c r="CX384" s="146" t="n">
        <v>376</v>
      </c>
      <c r="CY384" s="146" t="str">
        <f aca="false">IF(ISBLANK($C384),"",IF(ISNUMBER($CU384),$CU384+ROW($B384)/1000,""))</f>
        <v/>
      </c>
      <c r="CZ384" s="146" t="str">
        <f aca="false">IF(ISNUMBER($CY384),RANK($CY384,$CY$9:$CY$508,1),"")</f>
        <v/>
      </c>
      <c r="DA384" s="146" t="str">
        <f aca="false">IF(ISBLANK($C384),"",$B384)</f>
        <v/>
      </c>
      <c r="DB384" s="146" t="str">
        <f aca="false">IF(ISBLANK($C384),"",$C384)</f>
        <v/>
      </c>
      <c r="DC384" s="146" t="str">
        <f aca="false">IF(ISBLANK($C384),"",$D384)</f>
        <v/>
      </c>
      <c r="DD384" s="147" t="str">
        <f aca="false">$CR384</f>
        <v/>
      </c>
      <c r="DE384" s="148" t="str">
        <f aca="false">$CQ384</f>
        <v/>
      </c>
      <c r="DF384" s="146" t="str">
        <f aca="false">IF(ISBLANK($C384),"",$CT384)</f>
        <v/>
      </c>
      <c r="DG384" s="149" t="str">
        <f aca="false">IF($CX384&gt;$CW$8,"",VLOOKUP($CX384,$CZ$9:$DF$508,7,FALSE()))</f>
        <v/>
      </c>
      <c r="DH384" s="150" t="str">
        <f aca="false">IF($CX384&gt;$CW$8,"",VLOOKUP($CX384,$CZ$9:$DF$508,2,FALSE()))</f>
        <v/>
      </c>
      <c r="DI384" s="150" t="str">
        <f aca="false">IF($CX384&gt;$CW$8,"",VLOOKUP($CX384,$CZ$9:$DF$508,3,FALSE()))</f>
        <v/>
      </c>
      <c r="DJ384" s="150" t="str">
        <f aca="false">IF($CX384&gt;$CW$8,"",VLOOKUP($CX384,$CZ$9:$DF$508,4,FALSE()))</f>
        <v/>
      </c>
      <c r="DK384" s="150" t="str">
        <f aca="false">IF($CX384&gt;$CW$8,"",VLOOKUP($CX384,$CZ$9:$DF$508,5,FALSE()))</f>
        <v/>
      </c>
      <c r="DL384" s="151" t="str">
        <f aca="false">IF($CX384&gt;$CW$8,"",VLOOKUP($CX384,$CZ$9:$DF$508,6,FALSE()))</f>
        <v/>
      </c>
      <c r="DM384" s="75"/>
    </row>
    <row r="385" customFormat="false" ht="15.75" hidden="false" customHeight="false" outlineLevel="0" collapsed="false">
      <c r="A385" s="9"/>
      <c r="B385" s="157"/>
      <c r="C385" s="158"/>
      <c r="D385" s="159"/>
      <c r="E385" s="177"/>
      <c r="F385" s="161"/>
      <c r="G385" s="162"/>
      <c r="H385" s="162"/>
      <c r="I385" s="178"/>
      <c r="J385" s="165"/>
      <c r="K385" s="126"/>
      <c r="L385" s="127"/>
      <c r="M385" s="128"/>
      <c r="N385" s="165"/>
      <c r="O385" s="165"/>
      <c r="P385" s="177"/>
      <c r="Q385" s="165"/>
      <c r="R385" s="165"/>
      <c r="S385" s="126"/>
      <c r="T385" s="128"/>
      <c r="U385" s="128"/>
      <c r="V385" s="165"/>
      <c r="W385" s="165"/>
      <c r="X385" s="177"/>
      <c r="Y385" s="165"/>
      <c r="Z385" s="166"/>
      <c r="AA385" s="165"/>
      <c r="AB385" s="132"/>
      <c r="AC385" s="133"/>
      <c r="AD385" s="133"/>
      <c r="AE385" s="133"/>
      <c r="AF385" s="133" t="str">
        <f aca="false">IF(ISBLANK($C385),"",IF(E385=Constants!$B$3,TRUE(),IF(E385=Constants!$B$4,FALSE(),TRUE())))</f>
        <v/>
      </c>
      <c r="AG385" s="133" t="str">
        <f aca="false">IF(ISBLANK($C385),"",IF(F385=Constants!$B$3,TRUE(),IF(F385=Constants!$B$4,FALSE(),TRUE())))</f>
        <v/>
      </c>
      <c r="AH385" s="133" t="str">
        <f aca="false">IF(ISBLANK($C385),"",IF(G385=Constants!$B$3,TRUE(),IF(G385=Constants!$B$4,FALSE(),TRUE())))</f>
        <v/>
      </c>
      <c r="AI385" s="133" t="str">
        <f aca="false">IF(ISBLANK($C385),"",IF(AND(ISNUMBER(H385),H385&gt;=0),H385,Constants!$B$29))</f>
        <v/>
      </c>
      <c r="AJ385" s="133" t="str">
        <f aca="false">IF(ISBLANK($C385),"",IF(I385=Constants!$B$3,TRUE(),IF(I385=Constants!$B$4,FALSE(),TRUE())))</f>
        <v/>
      </c>
      <c r="AK385" s="133" t="str">
        <f aca="false">IF(ISBLANK($C385),"",IF(J385=Constants!$B$3,TRUE(),IF(J385=Constants!$B$4,FALSE(),TRUE())))</f>
        <v/>
      </c>
      <c r="AL385" s="133" t="str">
        <f aca="false">IF(ISBLANK($C385),"",IF(K385=Constants!$B$5,TRUE(),IF(K385=Constants!$B$6,FALSE(),COUNTA(L385:P385)&gt;0)))</f>
        <v/>
      </c>
      <c r="AM385" s="134" t="str">
        <f aca="false">IF(ISBLANK($C385),"",IF(ISNUMBER(L385),IF(L385&gt;=0,L385,""),""))</f>
        <v/>
      </c>
      <c r="AN385" s="135" t="str">
        <f aca="false">IF(ISBLANK($C385),"",IF(ISNUMBER(M385),IF(M385&gt;=0,M385,""),""))</f>
        <v/>
      </c>
      <c r="AO385" s="135" t="str">
        <f aca="false">IF(ISBLANK($C385),"",IF(N385=Constants!$B$3,TRUE(),IF(N385=Constants!$B$4,FALSE(),TRUE())))</f>
        <v/>
      </c>
      <c r="AP385" s="133" t="str">
        <f aca="false">IF(ISBLANK($C385),"",IF(ISNUMBER(O385),IF(O385&gt;=0,O385,""),""))</f>
        <v/>
      </c>
      <c r="AQ385" s="133" t="str">
        <f aca="false">IF(ISBLANK($C385),"",IF(P385=Constants!$B$3,TRUE(),IF(P385=Constants!$B$4,FALSE(),FALSE())))</f>
        <v/>
      </c>
      <c r="AR385" s="133" t="str">
        <f aca="false">IF(ISBLANK($C385),"",IF(Q385=Constants!$B$3,TRUE(),IF(Q385=Constants!$B$4,FALSE(),TRUE())))</f>
        <v/>
      </c>
      <c r="AS385" s="133" t="str">
        <f aca="false">IF(ISBLANK($C385),"",IF(R385=Constants!$B$3,TRUE(),IF(R385=Constants!$B$4,FALSE(),TRUE())))</f>
        <v/>
      </c>
      <c r="AT385" s="133" t="str">
        <f aca="false">IF(ISBLANK($C385),"",IF(S385=Constants!$B$5,TRUE(),IF(S385=Constants!$B$6,FALSE(),COUNTA(T385:X385)&gt;0)))</f>
        <v/>
      </c>
      <c r="AU385" s="134" t="str">
        <f aca="false">IF(ISBLANK($C385),"",IF(ISNUMBER(T385),IF(T385&gt;=0,T385,""),""))</f>
        <v/>
      </c>
      <c r="AV385" s="135" t="str">
        <f aca="false">IF(ISBLANK($C385),"",IF(ISNUMBER(U385),IF(U385&gt;=0,U385,""),""))</f>
        <v/>
      </c>
      <c r="AW385" s="135" t="str">
        <f aca="false">IF(ISBLANK($C385),"",IF(V385=Constants!$B$3,TRUE(),IF(V385=Constants!$B$4,FALSE(),TRUE())))</f>
        <v/>
      </c>
      <c r="AX385" s="133" t="str">
        <f aca="false">IF(ISBLANK($C385),"",IF(ISNUMBER(W385),IF(W385&gt;=0,W385,""),""))</f>
        <v/>
      </c>
      <c r="AY385" s="133" t="str">
        <f aca="false">IF(ISBLANK($C385),"",IF(X385=Constants!$B$3,TRUE(),IF(X385=Constants!$B$4,FALSE(),FALSE())))</f>
        <v/>
      </c>
      <c r="AZ385" s="133" t="str">
        <f aca="false">IF(ISBLANK($C385),"",MIN(Constants!$B$31,MAX(0,IF(ISNUMBER(Y385),Y385*60,0)+IF(ISNUMBER(Z385),Z385,0))))</f>
        <v/>
      </c>
      <c r="BA385" s="133" t="str">
        <f aca="false">IF(ISBLANK($C385),"",IF(AA385=Constants!$B$3,TRUE(),IF(AA385=Constants!$B$4,FALSE(),FALSE())))</f>
        <v/>
      </c>
      <c r="BB385" s="132" t="str">
        <f aca="false">IF(ISBLANK($C385),"",AND($AL385,OR($AM385="",$AN385="",AND($AO385,$AP385=""))))</f>
        <v/>
      </c>
      <c r="BC385" s="135" t="str">
        <f aca="false">IF($BR385&lt;&gt;Constants!$B$8,"",IF($AL385,Constants!$B$21*$AN385+Constants!$B$22*IF($AO385,$AP385,Constants!$B$23),Constants!$B$24))</f>
        <v/>
      </c>
      <c r="BD385" s="136" t="str">
        <f aca="false">IF($BR385&lt;&gt;Constants!$B$8,"",Constants!$B$25*ABS($AD$9-IF($AL385,$AM385,0)))</f>
        <v/>
      </c>
      <c r="BE385" s="136" t="str">
        <f aca="false">IF($BR385&lt;&gt;Constants!$B$8,"",IF(AND($AL385,$AQ385,$AO385),Constants!$B$27,0))</f>
        <v/>
      </c>
      <c r="BF385" s="136" t="str">
        <f aca="false">IF($BR385&lt;&gt;Constants!$B$8,"",IF($AL385,($AI385-Constants!$B$29)*Constants!$B$28,0))</f>
        <v/>
      </c>
      <c r="BG385" s="136" t="str">
        <f aca="false">IF($BR385&lt;&gt;Constants!$B$8,"",IF($AK385,0,Constants!$B$15)+IF($AJ385,0,Constants!$B$16)+IF($AH385,0,Constants!$B$17))</f>
        <v/>
      </c>
      <c r="BH385" s="137" t="str">
        <f aca="false">IF($BR385&lt;&gt;Constants!$B$8,"",Constants!$B$20+SUM($BC385:$BG385))</f>
        <v/>
      </c>
      <c r="BI385" s="133" t="str">
        <f aca="false">IF($BR385&lt;&gt;Constants!$B$8,"",IF(OR($BP385&lt;$BH385,AND($BP385=$BH385,OR($BK385&lt;$BC385,AND($BK385=$BC385,OR($BL385&lt;$BD385,AND($BL385=$BD385,$AT385,$AL385,$AV385&lt;$AN385)))))),"-&gt;","&lt;-"))</f>
        <v/>
      </c>
      <c r="BJ385" s="132" t="str">
        <f aca="false">IF(ISBLANK($C385),"",AND($AT385,OR($AU385="",$AV385="",AND($AW385,$AX385=""))))</f>
        <v/>
      </c>
      <c r="BK385" s="135" t="str">
        <f aca="false">IF($BR385&lt;&gt;Constants!$B$8,"",IF($AT385,Constants!$B$21*$AV385+Constants!$B$22*IF($AW385,$AX385,Constants!$B$23),Constants!$B$24))</f>
        <v/>
      </c>
      <c r="BL385" s="136" t="str">
        <f aca="false">IF($BR385&lt;&gt;Constants!$B$8,"",Constants!$B$25*ABS($AD$9-IF($AT385,$AU385,0)))</f>
        <v/>
      </c>
      <c r="BM385" s="136" t="str">
        <f aca="false">IF($BR385&lt;&gt;Constants!$B$8,"",IF(AND($AT385,$AY385,$AW385),Constants!$B$27,0))</f>
        <v/>
      </c>
      <c r="BN385" s="136" t="str">
        <f aca="false">IF($BR385&lt;&gt;Constants!$B$8,"",IF($AT385,($AI385-Constants!$B$29)*Constants!$B$28,0))</f>
        <v/>
      </c>
      <c r="BO385" s="136" t="str">
        <f aca="false">IF($BR385&lt;&gt;Constants!$B$8,"",IF($AS385,0,Constants!$B$15)+IF($AR385,0,Constants!$B$16)+IF($AH385,0,Constants!$B$17))</f>
        <v/>
      </c>
      <c r="BP385" s="137" t="str">
        <f aca="false">IF($BR385&lt;&gt;Constants!$B$8,"",Constants!$B$20+SUM($BK385:$BO385))</f>
        <v/>
      </c>
      <c r="BQ385" s="133" t="str">
        <f aca="false">IF(ISBLANK($C385),"",IF(ISBLANK($D$7),$BQ$5,IF(NOT(ISNUMBER($D$7)),$BQ$6,"")))</f>
        <v/>
      </c>
      <c r="BR385" s="133" t="str">
        <f aca="false">IF(ISBLANK($C385),"",IF($BA385,Constants!$B$11,IF(COUNTA($E385:$AA385)=0,Constants!$B$10,IF(NOT($AG385),Constants!$B$9,IF(OR($BQ385&lt;&gt;"",$BB385,$BJ385),Constants!$B$12,Constants!$B$8)))))</f>
        <v/>
      </c>
      <c r="BS385" s="133" t="str">
        <f aca="false">IF(ISBLANK($C385),"",IF($BR385&lt;&gt;Constants!$B$8,$BR385,Constants!$B$13))</f>
        <v/>
      </c>
      <c r="BT385" s="136" t="str">
        <f aca="false">IF($BR385&lt;&gt;Constants!$B$8,"",IF($BI385="-&gt;",$BP385,$BH385))</f>
        <v/>
      </c>
      <c r="BU385" s="136" t="str">
        <f aca="false">IF($BR385&lt;&gt;Constants!$B$8,"",IF($AF385,0,Constants!$B$18))</f>
        <v/>
      </c>
      <c r="BV385" s="136" t="str">
        <f aca="false">IF($BR385&lt;&gt;Constants!$B$8,"",((Constants!$B$31-$AZ385)-Constants!$B$31)/Constants!$B$32)</f>
        <v/>
      </c>
      <c r="BW385" s="136" t="str">
        <f aca="false">IF(ISBLANK($C385),"",IF($BR385&lt;&gt;Constants!$B$8,$BR385,SUM($BT385:$BV385)))</f>
        <v/>
      </c>
      <c r="BX385" s="133" t="str">
        <f aca="false">IF(ISBLANK($C385),"",IF($BR385&lt;&gt;Constants!$B$8,$BR385,RANK($BW385,$BW$9:$BW$508,1)))</f>
        <v/>
      </c>
      <c r="BY385" s="136" t="str">
        <f aca="false">IF($BR385&lt;&gt;Constants!$B$8,"",IF($BI385="-&gt;",$BK385,$BC385))</f>
        <v/>
      </c>
      <c r="BZ385" s="133" t="str">
        <f aca="false">IF(ISBLANK($C385),"",IF($BR385&lt;&gt;Constants!$B$8,$BR385,IF(ISNUMBER($BY385),RANK($BY385,$BY$9:$BY$508,1),COUNT($BY$9:$BY$508)+1)))</f>
        <v/>
      </c>
      <c r="CA385" s="136" t="str">
        <f aca="false">IF($BR385&lt;&gt;Constants!$B$8,"",IF($BI385="-&gt;",$BL385,$BD385))</f>
        <v/>
      </c>
      <c r="CB385" s="133" t="str">
        <f aca="false">IF(ISBLANK($C385),"",IF($BR385&lt;&gt;Constants!$B$8,$BR385,IF(ISNUMBER($CA385),RANK($CA385,$CA$9:$CA$508,1),COUNT($CA$9:$CA$508)+1)))</f>
        <v/>
      </c>
      <c r="CC385" s="136" t="str">
        <f aca="false">IF($BR385&lt;&gt;Constants!$B$8,"",IF($BI385="-&gt;",IF($AT385,$AV385,""),IF($AL385,$AN385,"")))</f>
        <v/>
      </c>
      <c r="CD385" s="133" t="str">
        <f aca="false">IF(ISBLANK($C385),"",IF($BR385&lt;&gt;Constants!$B$8,$BR385,IF(ISNUMBER($CC385),RANK($CC385,$CC$9:$CC$508,1),COUNT($CC$9:$CC$508)+1)))</f>
        <v/>
      </c>
      <c r="CE385" s="136" t="str">
        <f aca="false">IF($BR385&lt;&gt;Constants!$B$8,"",IF(AND(NOT($AL385),NOT($AT385),$AJ385,$AK385,$AR385,$AS385),"",$AI385))</f>
        <v/>
      </c>
      <c r="CF385" s="133" t="str">
        <f aca="false">IF(ISBLANK($C385),"",IF($BR385&lt;&gt;Constants!$B$8,$BR385,IF(ISNUMBER($CE385),RANK($CE385,$CE$9:$CE$508,1),COUNT($CE$9:$CE$508)+1)))</f>
        <v/>
      </c>
      <c r="CG385" s="133" t="str">
        <f aca="false">IF(ISBLANK($C385),"",IF($BR385&lt;&gt;Constants!$B$8,$BR385,COUNTIFS($BX$9:$BX$508,"&lt;"&amp;$BX385)+COUNTIFS($BX$9:$BX$508,$BX385,$BZ$9:$BZ$508,"&lt;"&amp;$BZ385)+COUNTIFS($BX$9:$BX$508,$BX385,$BZ$9:$BZ$508,$BZ385,$CB$9:$CB$508,"&lt;"&amp;$CB385)+COUNTIFS($BX$9:$BX$508,$BX385,$BZ$9:$BZ$508,$BZ385,$CB$9:$CB$508,$CB385,$CD$9:$CD$508,"&lt;"&amp;$CD385)+COUNTIFS($BX$9:$BX$508,$BX385,$BZ$9:$BZ$508,$BZ385,$CB$9:$CB$508,$CB385,$CD$9:$CD$508,$CD385,$CF$9:$CF$508,"&lt;"&amp;$CF385)+1))</f>
        <v/>
      </c>
      <c r="CH385" s="133" t="str">
        <f aca="false">IF(ISBLANK($C385),"",IF($BR385&lt;&gt;Constants!$B$8,$BR385,$BX385-$CG385))</f>
        <v/>
      </c>
      <c r="CI385" s="138"/>
      <c r="CJ385" s="139"/>
      <c r="CK385" s="140" t="str">
        <f aca="false">IF(ISBLANK($C385),"",IF($BR385=Constants!$B$12,$BQ385,""))</f>
        <v/>
      </c>
      <c r="CL385" s="139" t="str">
        <f aca="false">IF(ISBLANK($C385),"",IF($BR385&lt;&gt;Constants!$B$8,"",IF($BI385="-&gt;",2,1)))</f>
        <v/>
      </c>
      <c r="CM385" s="141" t="str">
        <f aca="false">IF(ISBLANK($C385),"",IF($BR385&lt;&gt;Constants!$B$8,"",IF($BI385="-&gt;",$BK385,$BC385)))</f>
        <v/>
      </c>
      <c r="CN385" s="141" t="str">
        <f aca="false">IF(ISBLANK($C385),"",IF($BR385&lt;&gt;Constants!$B$8,"",IF($BI385="-&gt;",$BL385,$BD385)))</f>
        <v/>
      </c>
      <c r="CO385" s="141" t="str">
        <f aca="false">IF(ISBLANK($C385),"",IF($BR385&lt;&gt;Constants!$B$8,"",IF($BI385="-&gt;",$BM385+$BN385,$BE385+$BF385)+$BV385))</f>
        <v/>
      </c>
      <c r="CP385" s="141" t="str">
        <f aca="false">IF(ISBLANK($C385),"",IF($BR385&lt;&gt;Constants!$B$8,"",IF($BI385="-&gt;",$BO385,$BG385)+$BU385))</f>
        <v/>
      </c>
      <c r="CQ385" s="142" t="str">
        <f aca="false">IF(ISBLANK($C385),"",IF($BR385&lt;&gt;Constants!$B$8,$BR385,$BW385))</f>
        <v/>
      </c>
      <c r="CR385" s="143" t="str">
        <f aca="false">IF(ISBLANK($C385),"",$BS385)</f>
        <v/>
      </c>
      <c r="CS385" s="144" t="str">
        <f aca="false">IF(ISBLANK($C385),"",$CH385)</f>
        <v/>
      </c>
      <c r="CT385" s="144" t="str">
        <f aca="false">IF(ISBLANK($C385),"",$CG385)</f>
        <v/>
      </c>
      <c r="CU385" s="145" t="str">
        <f aca="false">IF(ISBLANK($C385),"",IFERROR(_xlfn.SWITCH($CT385,Constants!$B$11,COUNTA($C$9:$C$508)+2,Constants!$B$10,COUNTA($C$9:$C$508)+1,Constants!$B$9,COUNTA($C$9:$C$508)),$CT385))</f>
        <v/>
      </c>
      <c r="CV385" s="9"/>
      <c r="CW385" s="146" t="n">
        <f aca="false">IF(OR(ISNUMBER($CT385),$CT385=Constants!$B$11,$CT385=Constants!$B$9,$CT385=Constants!$B$10),1,0)</f>
        <v>0</v>
      </c>
      <c r="CX385" s="146" t="n">
        <v>377</v>
      </c>
      <c r="CY385" s="146" t="str">
        <f aca="false">IF(ISBLANK($C385),"",IF(ISNUMBER($CU385),$CU385+ROW($B385)/1000,""))</f>
        <v/>
      </c>
      <c r="CZ385" s="146" t="str">
        <f aca="false">IF(ISNUMBER($CY385),RANK($CY385,$CY$9:$CY$508,1),"")</f>
        <v/>
      </c>
      <c r="DA385" s="146" t="str">
        <f aca="false">IF(ISBLANK($C385),"",$B385)</f>
        <v/>
      </c>
      <c r="DB385" s="146" t="str">
        <f aca="false">IF(ISBLANK($C385),"",$C385)</f>
        <v/>
      </c>
      <c r="DC385" s="146" t="str">
        <f aca="false">IF(ISBLANK($C385),"",$D385)</f>
        <v/>
      </c>
      <c r="DD385" s="147" t="str">
        <f aca="false">$CR385</f>
        <v/>
      </c>
      <c r="DE385" s="148" t="str">
        <f aca="false">$CQ385</f>
        <v/>
      </c>
      <c r="DF385" s="146" t="str">
        <f aca="false">IF(ISBLANK($C385),"",$CT385)</f>
        <v/>
      </c>
      <c r="DG385" s="149" t="str">
        <f aca="false">IF($CX385&gt;$CW$8,"",VLOOKUP($CX385,$CZ$9:$DF$508,7,FALSE()))</f>
        <v/>
      </c>
      <c r="DH385" s="150" t="str">
        <f aca="false">IF($CX385&gt;$CW$8,"",VLOOKUP($CX385,$CZ$9:$DF$508,2,FALSE()))</f>
        <v/>
      </c>
      <c r="DI385" s="150" t="str">
        <f aca="false">IF($CX385&gt;$CW$8,"",VLOOKUP($CX385,$CZ$9:$DF$508,3,FALSE()))</f>
        <v/>
      </c>
      <c r="DJ385" s="150" t="str">
        <f aca="false">IF($CX385&gt;$CW$8,"",VLOOKUP($CX385,$CZ$9:$DF$508,4,FALSE()))</f>
        <v/>
      </c>
      <c r="DK385" s="150" t="str">
        <f aca="false">IF($CX385&gt;$CW$8,"",VLOOKUP($CX385,$CZ$9:$DF$508,5,FALSE()))</f>
        <v/>
      </c>
      <c r="DL385" s="151" t="str">
        <f aca="false">IF($CX385&gt;$CW$8,"",VLOOKUP($CX385,$CZ$9:$DF$508,6,FALSE()))</f>
        <v/>
      </c>
      <c r="DM385" s="75"/>
    </row>
    <row r="386" customFormat="false" ht="15.75" hidden="false" customHeight="false" outlineLevel="0" collapsed="false">
      <c r="A386" s="9"/>
      <c r="B386" s="157"/>
      <c r="C386" s="158"/>
      <c r="D386" s="159"/>
      <c r="E386" s="177"/>
      <c r="F386" s="161"/>
      <c r="G386" s="162"/>
      <c r="H386" s="162"/>
      <c r="I386" s="178"/>
      <c r="J386" s="165"/>
      <c r="K386" s="126"/>
      <c r="L386" s="127"/>
      <c r="M386" s="128"/>
      <c r="N386" s="165"/>
      <c r="O386" s="165"/>
      <c r="P386" s="177"/>
      <c r="Q386" s="165"/>
      <c r="R386" s="165"/>
      <c r="S386" s="126"/>
      <c r="T386" s="128"/>
      <c r="U386" s="128"/>
      <c r="V386" s="165"/>
      <c r="W386" s="165"/>
      <c r="X386" s="177"/>
      <c r="Y386" s="165"/>
      <c r="Z386" s="166"/>
      <c r="AA386" s="165"/>
      <c r="AB386" s="132"/>
      <c r="AC386" s="133"/>
      <c r="AD386" s="133"/>
      <c r="AE386" s="133"/>
      <c r="AF386" s="133" t="str">
        <f aca="false">IF(ISBLANK($C386),"",IF(E386=Constants!$B$3,TRUE(),IF(E386=Constants!$B$4,FALSE(),TRUE())))</f>
        <v/>
      </c>
      <c r="AG386" s="133" t="str">
        <f aca="false">IF(ISBLANK($C386),"",IF(F386=Constants!$B$3,TRUE(),IF(F386=Constants!$B$4,FALSE(),TRUE())))</f>
        <v/>
      </c>
      <c r="AH386" s="133" t="str">
        <f aca="false">IF(ISBLANK($C386),"",IF(G386=Constants!$B$3,TRUE(),IF(G386=Constants!$B$4,FALSE(),TRUE())))</f>
        <v/>
      </c>
      <c r="AI386" s="133" t="str">
        <f aca="false">IF(ISBLANK($C386),"",IF(AND(ISNUMBER(H386),H386&gt;=0),H386,Constants!$B$29))</f>
        <v/>
      </c>
      <c r="AJ386" s="133" t="str">
        <f aca="false">IF(ISBLANK($C386),"",IF(I386=Constants!$B$3,TRUE(),IF(I386=Constants!$B$4,FALSE(),TRUE())))</f>
        <v/>
      </c>
      <c r="AK386" s="133" t="str">
        <f aca="false">IF(ISBLANK($C386),"",IF(J386=Constants!$B$3,TRUE(),IF(J386=Constants!$B$4,FALSE(),TRUE())))</f>
        <v/>
      </c>
      <c r="AL386" s="133" t="str">
        <f aca="false">IF(ISBLANK($C386),"",IF(K386=Constants!$B$5,TRUE(),IF(K386=Constants!$B$6,FALSE(),COUNTA(L386:P386)&gt;0)))</f>
        <v/>
      </c>
      <c r="AM386" s="134" t="str">
        <f aca="false">IF(ISBLANK($C386),"",IF(ISNUMBER(L386),IF(L386&gt;=0,L386,""),""))</f>
        <v/>
      </c>
      <c r="AN386" s="135" t="str">
        <f aca="false">IF(ISBLANK($C386),"",IF(ISNUMBER(M386),IF(M386&gt;=0,M386,""),""))</f>
        <v/>
      </c>
      <c r="AO386" s="135" t="str">
        <f aca="false">IF(ISBLANK($C386),"",IF(N386=Constants!$B$3,TRUE(),IF(N386=Constants!$B$4,FALSE(),TRUE())))</f>
        <v/>
      </c>
      <c r="AP386" s="133" t="str">
        <f aca="false">IF(ISBLANK($C386),"",IF(ISNUMBER(O386),IF(O386&gt;=0,O386,""),""))</f>
        <v/>
      </c>
      <c r="AQ386" s="133" t="str">
        <f aca="false">IF(ISBLANK($C386),"",IF(P386=Constants!$B$3,TRUE(),IF(P386=Constants!$B$4,FALSE(),FALSE())))</f>
        <v/>
      </c>
      <c r="AR386" s="133" t="str">
        <f aca="false">IF(ISBLANK($C386),"",IF(Q386=Constants!$B$3,TRUE(),IF(Q386=Constants!$B$4,FALSE(),TRUE())))</f>
        <v/>
      </c>
      <c r="AS386" s="133" t="str">
        <f aca="false">IF(ISBLANK($C386),"",IF(R386=Constants!$B$3,TRUE(),IF(R386=Constants!$B$4,FALSE(),TRUE())))</f>
        <v/>
      </c>
      <c r="AT386" s="133" t="str">
        <f aca="false">IF(ISBLANK($C386),"",IF(S386=Constants!$B$5,TRUE(),IF(S386=Constants!$B$6,FALSE(),COUNTA(T386:X386)&gt;0)))</f>
        <v/>
      </c>
      <c r="AU386" s="134" t="str">
        <f aca="false">IF(ISBLANK($C386),"",IF(ISNUMBER(T386),IF(T386&gt;=0,T386,""),""))</f>
        <v/>
      </c>
      <c r="AV386" s="135" t="str">
        <f aca="false">IF(ISBLANK($C386),"",IF(ISNUMBER(U386),IF(U386&gt;=0,U386,""),""))</f>
        <v/>
      </c>
      <c r="AW386" s="135" t="str">
        <f aca="false">IF(ISBLANK($C386),"",IF(V386=Constants!$B$3,TRUE(),IF(V386=Constants!$B$4,FALSE(),TRUE())))</f>
        <v/>
      </c>
      <c r="AX386" s="133" t="str">
        <f aca="false">IF(ISBLANK($C386),"",IF(ISNUMBER(W386),IF(W386&gt;=0,W386,""),""))</f>
        <v/>
      </c>
      <c r="AY386" s="133" t="str">
        <f aca="false">IF(ISBLANK($C386),"",IF(X386=Constants!$B$3,TRUE(),IF(X386=Constants!$B$4,FALSE(),FALSE())))</f>
        <v/>
      </c>
      <c r="AZ386" s="133" t="str">
        <f aca="false">IF(ISBLANK($C386),"",MIN(Constants!$B$31,MAX(0,IF(ISNUMBER(Y386),Y386*60,0)+IF(ISNUMBER(Z386),Z386,0))))</f>
        <v/>
      </c>
      <c r="BA386" s="133" t="str">
        <f aca="false">IF(ISBLANK($C386),"",IF(AA386=Constants!$B$3,TRUE(),IF(AA386=Constants!$B$4,FALSE(),FALSE())))</f>
        <v/>
      </c>
      <c r="BB386" s="132" t="str">
        <f aca="false">IF(ISBLANK($C386),"",AND($AL386,OR($AM386="",$AN386="",AND($AO386,$AP386=""))))</f>
        <v/>
      </c>
      <c r="BC386" s="135" t="str">
        <f aca="false">IF($BR386&lt;&gt;Constants!$B$8,"",IF($AL386,Constants!$B$21*$AN386+Constants!$B$22*IF($AO386,$AP386,Constants!$B$23),Constants!$B$24))</f>
        <v/>
      </c>
      <c r="BD386" s="136" t="str">
        <f aca="false">IF($BR386&lt;&gt;Constants!$B$8,"",Constants!$B$25*ABS($AD$9-IF($AL386,$AM386,0)))</f>
        <v/>
      </c>
      <c r="BE386" s="136" t="str">
        <f aca="false">IF($BR386&lt;&gt;Constants!$B$8,"",IF(AND($AL386,$AQ386,$AO386),Constants!$B$27,0))</f>
        <v/>
      </c>
      <c r="BF386" s="136" t="str">
        <f aca="false">IF($BR386&lt;&gt;Constants!$B$8,"",IF($AL386,($AI386-Constants!$B$29)*Constants!$B$28,0))</f>
        <v/>
      </c>
      <c r="BG386" s="136" t="str">
        <f aca="false">IF($BR386&lt;&gt;Constants!$B$8,"",IF($AK386,0,Constants!$B$15)+IF($AJ386,0,Constants!$B$16)+IF($AH386,0,Constants!$B$17))</f>
        <v/>
      </c>
      <c r="BH386" s="137" t="str">
        <f aca="false">IF($BR386&lt;&gt;Constants!$B$8,"",Constants!$B$20+SUM($BC386:$BG386))</f>
        <v/>
      </c>
      <c r="BI386" s="133" t="str">
        <f aca="false">IF($BR386&lt;&gt;Constants!$B$8,"",IF(OR($BP386&lt;$BH386,AND($BP386=$BH386,OR($BK386&lt;$BC386,AND($BK386=$BC386,OR($BL386&lt;$BD386,AND($BL386=$BD386,$AT386,$AL386,$AV386&lt;$AN386)))))),"-&gt;","&lt;-"))</f>
        <v/>
      </c>
      <c r="BJ386" s="132" t="str">
        <f aca="false">IF(ISBLANK($C386),"",AND($AT386,OR($AU386="",$AV386="",AND($AW386,$AX386=""))))</f>
        <v/>
      </c>
      <c r="BK386" s="135" t="str">
        <f aca="false">IF($BR386&lt;&gt;Constants!$B$8,"",IF($AT386,Constants!$B$21*$AV386+Constants!$B$22*IF($AW386,$AX386,Constants!$B$23),Constants!$B$24))</f>
        <v/>
      </c>
      <c r="BL386" s="136" t="str">
        <f aca="false">IF($BR386&lt;&gt;Constants!$B$8,"",Constants!$B$25*ABS($AD$9-IF($AT386,$AU386,0)))</f>
        <v/>
      </c>
      <c r="BM386" s="136" t="str">
        <f aca="false">IF($BR386&lt;&gt;Constants!$B$8,"",IF(AND($AT386,$AY386,$AW386),Constants!$B$27,0))</f>
        <v/>
      </c>
      <c r="BN386" s="136" t="str">
        <f aca="false">IF($BR386&lt;&gt;Constants!$B$8,"",IF($AT386,($AI386-Constants!$B$29)*Constants!$B$28,0))</f>
        <v/>
      </c>
      <c r="BO386" s="136" t="str">
        <f aca="false">IF($BR386&lt;&gt;Constants!$B$8,"",IF($AS386,0,Constants!$B$15)+IF($AR386,0,Constants!$B$16)+IF($AH386,0,Constants!$B$17))</f>
        <v/>
      </c>
      <c r="BP386" s="137" t="str">
        <f aca="false">IF($BR386&lt;&gt;Constants!$B$8,"",Constants!$B$20+SUM($BK386:$BO386))</f>
        <v/>
      </c>
      <c r="BQ386" s="133" t="str">
        <f aca="false">IF(ISBLANK($C386),"",IF(ISBLANK($D$7),$BQ$5,IF(NOT(ISNUMBER($D$7)),$BQ$6,"")))</f>
        <v/>
      </c>
      <c r="BR386" s="133" t="str">
        <f aca="false">IF(ISBLANK($C386),"",IF($BA386,Constants!$B$11,IF(COUNTA($E386:$AA386)=0,Constants!$B$10,IF(NOT($AG386),Constants!$B$9,IF(OR($BQ386&lt;&gt;"",$BB386,$BJ386),Constants!$B$12,Constants!$B$8)))))</f>
        <v/>
      </c>
      <c r="BS386" s="133" t="str">
        <f aca="false">IF(ISBLANK($C386),"",IF($BR386&lt;&gt;Constants!$B$8,$BR386,Constants!$B$13))</f>
        <v/>
      </c>
      <c r="BT386" s="136" t="str">
        <f aca="false">IF($BR386&lt;&gt;Constants!$B$8,"",IF($BI386="-&gt;",$BP386,$BH386))</f>
        <v/>
      </c>
      <c r="BU386" s="136" t="str">
        <f aca="false">IF($BR386&lt;&gt;Constants!$B$8,"",IF($AF386,0,Constants!$B$18))</f>
        <v/>
      </c>
      <c r="BV386" s="136" t="str">
        <f aca="false">IF($BR386&lt;&gt;Constants!$B$8,"",((Constants!$B$31-$AZ386)-Constants!$B$31)/Constants!$B$32)</f>
        <v/>
      </c>
      <c r="BW386" s="136" t="str">
        <f aca="false">IF(ISBLANK($C386),"",IF($BR386&lt;&gt;Constants!$B$8,$BR386,SUM($BT386:$BV386)))</f>
        <v/>
      </c>
      <c r="BX386" s="133" t="str">
        <f aca="false">IF(ISBLANK($C386),"",IF($BR386&lt;&gt;Constants!$B$8,$BR386,RANK($BW386,$BW$9:$BW$508,1)))</f>
        <v/>
      </c>
      <c r="BY386" s="136" t="str">
        <f aca="false">IF($BR386&lt;&gt;Constants!$B$8,"",IF($BI386="-&gt;",$BK386,$BC386))</f>
        <v/>
      </c>
      <c r="BZ386" s="133" t="str">
        <f aca="false">IF(ISBLANK($C386),"",IF($BR386&lt;&gt;Constants!$B$8,$BR386,IF(ISNUMBER($BY386),RANK($BY386,$BY$9:$BY$508,1),COUNT($BY$9:$BY$508)+1)))</f>
        <v/>
      </c>
      <c r="CA386" s="136" t="str">
        <f aca="false">IF($BR386&lt;&gt;Constants!$B$8,"",IF($BI386="-&gt;",$BL386,$BD386))</f>
        <v/>
      </c>
      <c r="CB386" s="133" t="str">
        <f aca="false">IF(ISBLANK($C386),"",IF($BR386&lt;&gt;Constants!$B$8,$BR386,IF(ISNUMBER($CA386),RANK($CA386,$CA$9:$CA$508,1),COUNT($CA$9:$CA$508)+1)))</f>
        <v/>
      </c>
      <c r="CC386" s="136" t="str">
        <f aca="false">IF($BR386&lt;&gt;Constants!$B$8,"",IF($BI386="-&gt;",IF($AT386,$AV386,""),IF($AL386,$AN386,"")))</f>
        <v/>
      </c>
      <c r="CD386" s="133" t="str">
        <f aca="false">IF(ISBLANK($C386),"",IF($BR386&lt;&gt;Constants!$B$8,$BR386,IF(ISNUMBER($CC386),RANK($CC386,$CC$9:$CC$508,1),COUNT($CC$9:$CC$508)+1)))</f>
        <v/>
      </c>
      <c r="CE386" s="136" t="str">
        <f aca="false">IF($BR386&lt;&gt;Constants!$B$8,"",IF(AND(NOT($AL386),NOT($AT386),$AJ386,$AK386,$AR386,$AS386),"",$AI386))</f>
        <v/>
      </c>
      <c r="CF386" s="133" t="str">
        <f aca="false">IF(ISBLANK($C386),"",IF($BR386&lt;&gt;Constants!$B$8,$BR386,IF(ISNUMBER($CE386),RANK($CE386,$CE$9:$CE$508,1),COUNT($CE$9:$CE$508)+1)))</f>
        <v/>
      </c>
      <c r="CG386" s="133" t="str">
        <f aca="false">IF(ISBLANK($C386),"",IF($BR386&lt;&gt;Constants!$B$8,$BR386,COUNTIFS($BX$9:$BX$508,"&lt;"&amp;$BX386)+COUNTIFS($BX$9:$BX$508,$BX386,$BZ$9:$BZ$508,"&lt;"&amp;$BZ386)+COUNTIFS($BX$9:$BX$508,$BX386,$BZ$9:$BZ$508,$BZ386,$CB$9:$CB$508,"&lt;"&amp;$CB386)+COUNTIFS($BX$9:$BX$508,$BX386,$BZ$9:$BZ$508,$BZ386,$CB$9:$CB$508,$CB386,$CD$9:$CD$508,"&lt;"&amp;$CD386)+COUNTIFS($BX$9:$BX$508,$BX386,$BZ$9:$BZ$508,$BZ386,$CB$9:$CB$508,$CB386,$CD$9:$CD$508,$CD386,$CF$9:$CF$508,"&lt;"&amp;$CF386)+1))</f>
        <v/>
      </c>
      <c r="CH386" s="133" t="str">
        <f aca="false">IF(ISBLANK($C386),"",IF($BR386&lt;&gt;Constants!$B$8,$BR386,$BX386-$CG386))</f>
        <v/>
      </c>
      <c r="CI386" s="138"/>
      <c r="CJ386" s="139"/>
      <c r="CK386" s="140" t="str">
        <f aca="false">IF(ISBLANK($C386),"",IF($BR386=Constants!$B$12,$BQ386,""))</f>
        <v/>
      </c>
      <c r="CL386" s="139" t="str">
        <f aca="false">IF(ISBLANK($C386),"",IF($BR386&lt;&gt;Constants!$B$8,"",IF($BI386="-&gt;",2,1)))</f>
        <v/>
      </c>
      <c r="CM386" s="141" t="str">
        <f aca="false">IF(ISBLANK($C386),"",IF($BR386&lt;&gt;Constants!$B$8,"",IF($BI386="-&gt;",$BK386,$BC386)))</f>
        <v/>
      </c>
      <c r="CN386" s="141" t="str">
        <f aca="false">IF(ISBLANK($C386),"",IF($BR386&lt;&gt;Constants!$B$8,"",IF($BI386="-&gt;",$BL386,$BD386)))</f>
        <v/>
      </c>
      <c r="CO386" s="141" t="str">
        <f aca="false">IF(ISBLANK($C386),"",IF($BR386&lt;&gt;Constants!$B$8,"",IF($BI386="-&gt;",$BM386+$BN386,$BE386+$BF386)+$BV386))</f>
        <v/>
      </c>
      <c r="CP386" s="141" t="str">
        <f aca="false">IF(ISBLANK($C386),"",IF($BR386&lt;&gt;Constants!$B$8,"",IF($BI386="-&gt;",$BO386,$BG386)+$BU386))</f>
        <v/>
      </c>
      <c r="CQ386" s="142" t="str">
        <f aca="false">IF(ISBLANK($C386),"",IF($BR386&lt;&gt;Constants!$B$8,$BR386,$BW386))</f>
        <v/>
      </c>
      <c r="CR386" s="143" t="str">
        <f aca="false">IF(ISBLANK($C386),"",$BS386)</f>
        <v/>
      </c>
      <c r="CS386" s="144" t="str">
        <f aca="false">IF(ISBLANK($C386),"",$CH386)</f>
        <v/>
      </c>
      <c r="CT386" s="144" t="str">
        <f aca="false">IF(ISBLANK($C386),"",$CG386)</f>
        <v/>
      </c>
      <c r="CU386" s="145" t="str">
        <f aca="false">IF(ISBLANK($C386),"",IFERROR(_xlfn.SWITCH($CT386,Constants!$B$11,COUNTA($C$9:$C$508)+2,Constants!$B$10,COUNTA($C$9:$C$508)+1,Constants!$B$9,COUNTA($C$9:$C$508)),$CT386))</f>
        <v/>
      </c>
      <c r="CV386" s="9"/>
      <c r="CW386" s="146" t="n">
        <f aca="false">IF(OR(ISNUMBER($CT386),$CT386=Constants!$B$11,$CT386=Constants!$B$9,$CT386=Constants!$B$10),1,0)</f>
        <v>0</v>
      </c>
      <c r="CX386" s="146" t="n">
        <v>378</v>
      </c>
      <c r="CY386" s="146" t="str">
        <f aca="false">IF(ISBLANK($C386),"",IF(ISNUMBER($CU386),$CU386+ROW($B386)/1000,""))</f>
        <v/>
      </c>
      <c r="CZ386" s="146" t="str">
        <f aca="false">IF(ISNUMBER($CY386),RANK($CY386,$CY$9:$CY$508,1),"")</f>
        <v/>
      </c>
      <c r="DA386" s="146" t="str">
        <f aca="false">IF(ISBLANK($C386),"",$B386)</f>
        <v/>
      </c>
      <c r="DB386" s="146" t="str">
        <f aca="false">IF(ISBLANK($C386),"",$C386)</f>
        <v/>
      </c>
      <c r="DC386" s="146" t="str">
        <f aca="false">IF(ISBLANK($C386),"",$D386)</f>
        <v/>
      </c>
      <c r="DD386" s="147" t="str">
        <f aca="false">$CR386</f>
        <v/>
      </c>
      <c r="DE386" s="148" t="str">
        <f aca="false">$CQ386</f>
        <v/>
      </c>
      <c r="DF386" s="146" t="str">
        <f aca="false">IF(ISBLANK($C386),"",$CT386)</f>
        <v/>
      </c>
      <c r="DG386" s="149" t="str">
        <f aca="false">IF($CX386&gt;$CW$8,"",VLOOKUP($CX386,$CZ$9:$DF$508,7,FALSE()))</f>
        <v/>
      </c>
      <c r="DH386" s="150" t="str">
        <f aca="false">IF($CX386&gt;$CW$8,"",VLOOKUP($CX386,$CZ$9:$DF$508,2,FALSE()))</f>
        <v/>
      </c>
      <c r="DI386" s="150" t="str">
        <f aca="false">IF($CX386&gt;$CW$8,"",VLOOKUP($CX386,$CZ$9:$DF$508,3,FALSE()))</f>
        <v/>
      </c>
      <c r="DJ386" s="150" t="str">
        <f aca="false">IF($CX386&gt;$CW$8,"",VLOOKUP($CX386,$CZ$9:$DF$508,4,FALSE()))</f>
        <v/>
      </c>
      <c r="DK386" s="150" t="str">
        <f aca="false">IF($CX386&gt;$CW$8,"",VLOOKUP($CX386,$CZ$9:$DF$508,5,FALSE()))</f>
        <v/>
      </c>
      <c r="DL386" s="151" t="str">
        <f aca="false">IF($CX386&gt;$CW$8,"",VLOOKUP($CX386,$CZ$9:$DF$508,6,FALSE()))</f>
        <v/>
      </c>
      <c r="DM386" s="75"/>
    </row>
    <row r="387" customFormat="false" ht="15.75" hidden="false" customHeight="false" outlineLevel="0" collapsed="false">
      <c r="A387" s="9"/>
      <c r="B387" s="77"/>
      <c r="C387" s="78"/>
      <c r="D387" s="167"/>
      <c r="E387" s="175"/>
      <c r="F387" s="169"/>
      <c r="G387" s="170"/>
      <c r="H387" s="170"/>
      <c r="I387" s="176"/>
      <c r="J387" s="173"/>
      <c r="K387" s="85"/>
      <c r="L387" s="86"/>
      <c r="M387" s="87"/>
      <c r="N387" s="173"/>
      <c r="O387" s="173"/>
      <c r="P387" s="175"/>
      <c r="Q387" s="173"/>
      <c r="R387" s="173"/>
      <c r="S387" s="85"/>
      <c r="T387" s="87"/>
      <c r="U387" s="87"/>
      <c r="V387" s="173"/>
      <c r="W387" s="173"/>
      <c r="X387" s="175"/>
      <c r="Y387" s="173"/>
      <c r="Z387" s="174"/>
      <c r="AA387" s="173"/>
      <c r="AB387" s="91"/>
      <c r="AC387" s="92"/>
      <c r="AD387" s="92"/>
      <c r="AE387" s="92"/>
      <c r="AF387" s="92" t="str">
        <f aca="false">IF(ISBLANK($C387),"",IF(E387=Constants!$B$3,TRUE(),IF(E387=Constants!$B$4,FALSE(),TRUE())))</f>
        <v/>
      </c>
      <c r="AG387" s="92" t="str">
        <f aca="false">IF(ISBLANK($C387),"",IF(F387=Constants!$B$3,TRUE(),IF(F387=Constants!$B$4,FALSE(),TRUE())))</f>
        <v/>
      </c>
      <c r="AH387" s="92" t="str">
        <f aca="false">IF(ISBLANK($C387),"",IF(G387=Constants!$B$3,TRUE(),IF(G387=Constants!$B$4,FALSE(),TRUE())))</f>
        <v/>
      </c>
      <c r="AI387" s="92" t="str">
        <f aca="false">IF(ISBLANK($C387),"",IF(AND(ISNUMBER(H387),H387&gt;=0),H387,Constants!$B$29))</f>
        <v/>
      </c>
      <c r="AJ387" s="92" t="str">
        <f aca="false">IF(ISBLANK($C387),"",IF(I387=Constants!$B$3,TRUE(),IF(I387=Constants!$B$4,FALSE(),TRUE())))</f>
        <v/>
      </c>
      <c r="AK387" s="92" t="str">
        <f aca="false">IF(ISBLANK($C387),"",IF(J387=Constants!$B$3,TRUE(),IF(J387=Constants!$B$4,FALSE(),TRUE())))</f>
        <v/>
      </c>
      <c r="AL387" s="92" t="str">
        <f aca="false">IF(ISBLANK($C387),"",IF(K387=Constants!$B$5,TRUE(),IF(K387=Constants!$B$6,FALSE(),COUNTA(L387:P387)&gt;0)))</f>
        <v/>
      </c>
      <c r="AM387" s="94" t="str">
        <f aca="false">IF(ISBLANK($C387),"",IF(ISNUMBER(L387),IF(L387&gt;=0,L387,""),""))</f>
        <v/>
      </c>
      <c r="AN387" s="93" t="str">
        <f aca="false">IF(ISBLANK($C387),"",IF(ISNUMBER(M387),IF(M387&gt;=0,M387,""),""))</f>
        <v/>
      </c>
      <c r="AO387" s="93" t="str">
        <f aca="false">IF(ISBLANK($C387),"",IF(N387=Constants!$B$3,TRUE(),IF(N387=Constants!$B$4,FALSE(),TRUE())))</f>
        <v/>
      </c>
      <c r="AP387" s="92" t="str">
        <f aca="false">IF(ISBLANK($C387),"",IF(ISNUMBER(O387),IF(O387&gt;=0,O387,""),""))</f>
        <v/>
      </c>
      <c r="AQ387" s="92" t="str">
        <f aca="false">IF(ISBLANK($C387),"",IF(P387=Constants!$B$3,TRUE(),IF(P387=Constants!$B$4,FALSE(),FALSE())))</f>
        <v/>
      </c>
      <c r="AR387" s="92" t="str">
        <f aca="false">IF(ISBLANK($C387),"",IF(Q387=Constants!$B$3,TRUE(),IF(Q387=Constants!$B$4,FALSE(),TRUE())))</f>
        <v/>
      </c>
      <c r="AS387" s="92" t="str">
        <f aca="false">IF(ISBLANK($C387),"",IF(R387=Constants!$B$3,TRUE(),IF(R387=Constants!$B$4,FALSE(),TRUE())))</f>
        <v/>
      </c>
      <c r="AT387" s="92" t="str">
        <f aca="false">IF(ISBLANK($C387),"",IF(S387=Constants!$B$5,TRUE(),IF(S387=Constants!$B$6,FALSE(),COUNTA(T387:X387)&gt;0)))</f>
        <v/>
      </c>
      <c r="AU387" s="94" t="str">
        <f aca="false">IF(ISBLANK($C387),"",IF(ISNUMBER(T387),IF(T387&gt;=0,T387,""),""))</f>
        <v/>
      </c>
      <c r="AV387" s="93" t="str">
        <f aca="false">IF(ISBLANK($C387),"",IF(ISNUMBER(U387),IF(U387&gt;=0,U387,""),""))</f>
        <v/>
      </c>
      <c r="AW387" s="93" t="str">
        <f aca="false">IF(ISBLANK($C387),"",IF(V387=Constants!$B$3,TRUE(),IF(V387=Constants!$B$4,FALSE(),TRUE())))</f>
        <v/>
      </c>
      <c r="AX387" s="92" t="str">
        <f aca="false">IF(ISBLANK($C387),"",IF(ISNUMBER(W387),IF(W387&gt;=0,W387,""),""))</f>
        <v/>
      </c>
      <c r="AY387" s="92" t="str">
        <f aca="false">IF(ISBLANK($C387),"",IF(X387=Constants!$B$3,TRUE(),IF(X387=Constants!$B$4,FALSE(),FALSE())))</f>
        <v/>
      </c>
      <c r="AZ387" s="92" t="str">
        <f aca="false">IF(ISBLANK($C387),"",MIN(Constants!$B$31,MAX(0,IF(ISNUMBER(Y387),Y387*60,0)+IF(ISNUMBER(Z387),Z387,0))))</f>
        <v/>
      </c>
      <c r="BA387" s="92" t="str">
        <f aca="false">IF(ISBLANK($C387),"",IF(AA387=Constants!$B$3,TRUE(),IF(AA387=Constants!$B$4,FALSE(),FALSE())))</f>
        <v/>
      </c>
      <c r="BB387" s="91" t="str">
        <f aca="false">IF(ISBLANK($C387),"",AND($AL387,OR($AM387="",$AN387="",AND($AO387,$AP387=""))))</f>
        <v/>
      </c>
      <c r="BC387" s="93" t="str">
        <f aca="false">IF($BR387&lt;&gt;Constants!$B$8,"",IF($AL387,Constants!$B$21*$AN387+Constants!$B$22*IF($AO387,$AP387,Constants!$B$23),Constants!$B$24))</f>
        <v/>
      </c>
      <c r="BD387" s="96" t="str">
        <f aca="false">IF($BR387&lt;&gt;Constants!$B$8,"",Constants!$B$25*ABS($AD$9-IF($AL387,$AM387,0)))</f>
        <v/>
      </c>
      <c r="BE387" s="96" t="str">
        <f aca="false">IF($BR387&lt;&gt;Constants!$B$8,"",IF(AND($AL387,$AQ387,$AO387),Constants!$B$27,0))</f>
        <v/>
      </c>
      <c r="BF387" s="96" t="str">
        <f aca="false">IF($BR387&lt;&gt;Constants!$B$8,"",IF($AL387,($AI387-Constants!$B$29)*Constants!$B$28,0))</f>
        <v/>
      </c>
      <c r="BG387" s="96" t="str">
        <f aca="false">IF($BR387&lt;&gt;Constants!$B$8,"",IF($AK387,0,Constants!$B$15)+IF($AJ387,0,Constants!$B$16)+IF($AH387,0,Constants!$B$17))</f>
        <v/>
      </c>
      <c r="BH387" s="97" t="str">
        <f aca="false">IF($BR387&lt;&gt;Constants!$B$8,"",Constants!$B$20+SUM($BC387:$BG387))</f>
        <v/>
      </c>
      <c r="BI387" s="92" t="str">
        <f aca="false">IF($BR387&lt;&gt;Constants!$B$8,"",IF(OR($BP387&lt;$BH387,AND($BP387=$BH387,OR($BK387&lt;$BC387,AND($BK387=$BC387,OR($BL387&lt;$BD387,AND($BL387=$BD387,$AT387,$AL387,$AV387&lt;$AN387)))))),"-&gt;","&lt;-"))</f>
        <v/>
      </c>
      <c r="BJ387" s="91" t="str">
        <f aca="false">IF(ISBLANK($C387),"",AND($AT387,OR($AU387="",$AV387="",AND($AW387,$AX387=""))))</f>
        <v/>
      </c>
      <c r="BK387" s="93" t="str">
        <f aca="false">IF($BR387&lt;&gt;Constants!$B$8,"",IF($AT387,Constants!$B$21*$AV387+Constants!$B$22*IF($AW387,$AX387,Constants!$B$23),Constants!$B$24))</f>
        <v/>
      </c>
      <c r="BL387" s="96" t="str">
        <f aca="false">IF($BR387&lt;&gt;Constants!$B$8,"",Constants!$B$25*ABS($AD$9-IF($AT387,$AU387,0)))</f>
        <v/>
      </c>
      <c r="BM387" s="96" t="str">
        <f aca="false">IF($BR387&lt;&gt;Constants!$B$8,"",IF(AND($AT387,$AY387,$AW387),Constants!$B$27,0))</f>
        <v/>
      </c>
      <c r="BN387" s="96" t="str">
        <f aca="false">IF($BR387&lt;&gt;Constants!$B$8,"",IF($AT387,($AI387-Constants!$B$29)*Constants!$B$28,0))</f>
        <v/>
      </c>
      <c r="BO387" s="96" t="str">
        <f aca="false">IF($BR387&lt;&gt;Constants!$B$8,"",IF($AS387,0,Constants!$B$15)+IF($AR387,0,Constants!$B$16)+IF($AH387,0,Constants!$B$17))</f>
        <v/>
      </c>
      <c r="BP387" s="97" t="str">
        <f aca="false">IF($BR387&lt;&gt;Constants!$B$8,"",Constants!$B$20+SUM($BK387:$BO387))</f>
        <v/>
      </c>
      <c r="BQ387" s="92" t="str">
        <f aca="false">IF(ISBLANK($C387),"",IF(ISBLANK($D$7),$BQ$5,IF(NOT(ISNUMBER($D$7)),$BQ$6,"")))</f>
        <v/>
      </c>
      <c r="BR387" s="92" t="str">
        <f aca="false">IF(ISBLANK($C387),"",IF($BA387,Constants!$B$11,IF(COUNTA($E387:$AA387)=0,Constants!$B$10,IF(NOT($AG387),Constants!$B$9,IF(OR($BQ387&lt;&gt;"",$BB387,$BJ387),Constants!$B$12,Constants!$B$8)))))</f>
        <v/>
      </c>
      <c r="BS387" s="92" t="str">
        <f aca="false">IF(ISBLANK($C387),"",IF($BR387&lt;&gt;Constants!$B$8,$BR387,Constants!$B$13))</f>
        <v/>
      </c>
      <c r="BT387" s="96" t="str">
        <f aca="false">IF($BR387&lt;&gt;Constants!$B$8,"",IF($BI387="-&gt;",$BP387,$BH387))</f>
        <v/>
      </c>
      <c r="BU387" s="96" t="str">
        <f aca="false">IF($BR387&lt;&gt;Constants!$B$8,"",IF($AF387,0,Constants!$B$18))</f>
        <v/>
      </c>
      <c r="BV387" s="96" t="str">
        <f aca="false">IF($BR387&lt;&gt;Constants!$B$8,"",((Constants!$B$31-$AZ387)-Constants!$B$31)/Constants!$B$32)</f>
        <v/>
      </c>
      <c r="BW387" s="96" t="str">
        <f aca="false">IF(ISBLANK($C387),"",IF($BR387&lt;&gt;Constants!$B$8,$BR387,SUM($BT387:$BV387)))</f>
        <v/>
      </c>
      <c r="BX387" s="92" t="str">
        <f aca="false">IF(ISBLANK($C387),"",IF($BR387&lt;&gt;Constants!$B$8,$BR387,RANK($BW387,$BW$9:$BW$508,1)))</f>
        <v/>
      </c>
      <c r="BY387" s="96" t="str">
        <f aca="false">IF($BR387&lt;&gt;Constants!$B$8,"",IF($BI387="-&gt;",$BK387,$BC387))</f>
        <v/>
      </c>
      <c r="BZ387" s="92" t="str">
        <f aca="false">IF(ISBLANK($C387),"",IF($BR387&lt;&gt;Constants!$B$8,$BR387,IF(ISNUMBER($BY387),RANK($BY387,$BY$9:$BY$508,1),COUNT($BY$9:$BY$508)+1)))</f>
        <v/>
      </c>
      <c r="CA387" s="96" t="str">
        <f aca="false">IF($BR387&lt;&gt;Constants!$B$8,"",IF($BI387="-&gt;",$BL387,$BD387))</f>
        <v/>
      </c>
      <c r="CB387" s="92" t="str">
        <f aca="false">IF(ISBLANK($C387),"",IF($BR387&lt;&gt;Constants!$B$8,$BR387,IF(ISNUMBER($CA387),RANK($CA387,$CA$9:$CA$508,1),COUNT($CA$9:$CA$508)+1)))</f>
        <v/>
      </c>
      <c r="CC387" s="96" t="str">
        <f aca="false">IF($BR387&lt;&gt;Constants!$B$8,"",IF($BI387="-&gt;",IF($AT387,$AV387,""),IF($AL387,$AN387,"")))</f>
        <v/>
      </c>
      <c r="CD387" s="92" t="str">
        <f aca="false">IF(ISBLANK($C387),"",IF($BR387&lt;&gt;Constants!$B$8,$BR387,IF(ISNUMBER($CC387),RANK($CC387,$CC$9:$CC$508,1),COUNT($CC$9:$CC$508)+1)))</f>
        <v/>
      </c>
      <c r="CE387" s="96" t="str">
        <f aca="false">IF($BR387&lt;&gt;Constants!$B$8,"",IF(AND(NOT($AL387),NOT($AT387),$AJ387,$AK387,$AR387,$AS387),"",$AI387))</f>
        <v/>
      </c>
      <c r="CF387" s="92" t="str">
        <f aca="false">IF(ISBLANK($C387),"",IF($BR387&lt;&gt;Constants!$B$8,$BR387,IF(ISNUMBER($CE387),RANK($CE387,$CE$9:$CE$508,1),COUNT($CE$9:$CE$508)+1)))</f>
        <v/>
      </c>
      <c r="CG387" s="92" t="str">
        <f aca="false">IF(ISBLANK($C387),"",IF($BR387&lt;&gt;Constants!$B$8,$BR387,COUNTIFS($BX$9:$BX$508,"&lt;"&amp;$BX387)+COUNTIFS($BX$9:$BX$508,$BX387,$BZ$9:$BZ$508,"&lt;"&amp;$BZ387)+COUNTIFS($BX$9:$BX$508,$BX387,$BZ$9:$BZ$508,$BZ387,$CB$9:$CB$508,"&lt;"&amp;$CB387)+COUNTIFS($BX$9:$BX$508,$BX387,$BZ$9:$BZ$508,$BZ387,$CB$9:$CB$508,$CB387,$CD$9:$CD$508,"&lt;"&amp;$CD387)+COUNTIFS($BX$9:$BX$508,$BX387,$BZ$9:$BZ$508,$BZ387,$CB$9:$CB$508,$CB387,$CD$9:$CD$508,$CD387,$CF$9:$CF$508,"&lt;"&amp;$CF387)+1))</f>
        <v/>
      </c>
      <c r="CH387" s="92" t="str">
        <f aca="false">IF(ISBLANK($C387),"",IF($BR387&lt;&gt;Constants!$B$8,$BR387,$BX387-$CG387))</f>
        <v/>
      </c>
      <c r="CI387" s="98"/>
      <c r="CJ387" s="99"/>
      <c r="CK387" s="100" t="str">
        <f aca="false">IF(ISBLANK($C387),"",IF($BR387=Constants!$B$12,$BQ387,""))</f>
        <v/>
      </c>
      <c r="CL387" s="99" t="str">
        <f aca="false">IF(ISBLANK($C387),"",IF($BR387&lt;&gt;Constants!$B$8,"",IF($BI387="-&gt;",2,1)))</f>
        <v/>
      </c>
      <c r="CM387" s="101" t="str">
        <f aca="false">IF(ISBLANK($C387),"",IF($BR387&lt;&gt;Constants!$B$8,"",IF($BI387="-&gt;",$BK387,$BC387)))</f>
        <v/>
      </c>
      <c r="CN387" s="101" t="str">
        <f aca="false">IF(ISBLANK($C387),"",IF($BR387&lt;&gt;Constants!$B$8,"",IF($BI387="-&gt;",$BL387,$BD387)))</f>
        <v/>
      </c>
      <c r="CO387" s="101" t="str">
        <f aca="false">IF(ISBLANK($C387),"",IF($BR387&lt;&gt;Constants!$B$8,"",IF($BI387="-&gt;",$BM387+$BN387,$BE387+$BF387)+$BV387))</f>
        <v/>
      </c>
      <c r="CP387" s="101" t="str">
        <f aca="false">IF(ISBLANK($C387),"",IF($BR387&lt;&gt;Constants!$B$8,"",IF($BI387="-&gt;",$BO387,$BG387)+$BU387))</f>
        <v/>
      </c>
      <c r="CQ387" s="102" t="str">
        <f aca="false">IF(ISBLANK($C387),"",IF($BR387&lt;&gt;Constants!$B$8,$BR387,$BW387))</f>
        <v/>
      </c>
      <c r="CR387" s="103" t="str">
        <f aca="false">IF(ISBLANK($C387),"",$BS387)</f>
        <v/>
      </c>
      <c r="CS387" s="104" t="str">
        <f aca="false">IF(ISBLANK($C387),"",$CH387)</f>
        <v/>
      </c>
      <c r="CT387" s="104" t="str">
        <f aca="false">IF(ISBLANK($C387),"",$CG387)</f>
        <v/>
      </c>
      <c r="CU387" s="105" t="str">
        <f aca="false">IF(ISBLANK($C387),"",IFERROR(_xlfn.SWITCH($CT387,Constants!$B$11,COUNTA($C$9:$C$508)+2,Constants!$B$10,COUNTA($C$9:$C$508)+1,Constants!$B$9,COUNTA($C$9:$C$508)),$CT387))</f>
        <v/>
      </c>
      <c r="CV387" s="9"/>
      <c r="CW387" s="106" t="n">
        <f aca="false">IF(OR(ISNUMBER($CT387),$CT387=Constants!$B$11,$CT387=Constants!$B$9,$CT387=Constants!$B$10),1,0)</f>
        <v>0</v>
      </c>
      <c r="CX387" s="106" t="n">
        <v>379</v>
      </c>
      <c r="CY387" s="106" t="str">
        <f aca="false">IF(ISBLANK($C387),"",IF(ISNUMBER($CU387),$CU387+ROW($B387)/1000,""))</f>
        <v/>
      </c>
      <c r="CZ387" s="106" t="str">
        <f aca="false">IF(ISNUMBER($CY387),RANK($CY387,$CY$9:$CY$508,1),"")</f>
        <v/>
      </c>
      <c r="DA387" s="106" t="str">
        <f aca="false">IF(ISBLANK($C387),"",$B387)</f>
        <v/>
      </c>
      <c r="DB387" s="106" t="str">
        <f aca="false">IF(ISBLANK($C387),"",$C387)</f>
        <v/>
      </c>
      <c r="DC387" s="106" t="str">
        <f aca="false">IF(ISBLANK($C387),"",$D387)</f>
        <v/>
      </c>
      <c r="DD387" s="107" t="str">
        <f aca="false">$CR387</f>
        <v/>
      </c>
      <c r="DE387" s="108" t="str">
        <f aca="false">$CQ387</f>
        <v/>
      </c>
      <c r="DF387" s="106" t="str">
        <f aca="false">IF(ISBLANK($C387),"",$CT387)</f>
        <v/>
      </c>
      <c r="DG387" s="109" t="str">
        <f aca="false">IF($CX387&gt;$CW$8,"",VLOOKUP($CX387,$CZ$9:$DF$508,7,FALSE()))</f>
        <v/>
      </c>
      <c r="DH387" s="110" t="str">
        <f aca="false">IF($CX387&gt;$CW$8,"",VLOOKUP($CX387,$CZ$9:$DF$508,2,FALSE()))</f>
        <v/>
      </c>
      <c r="DI387" s="110" t="str">
        <f aca="false">IF($CX387&gt;$CW$8,"",VLOOKUP($CX387,$CZ$9:$DF$508,3,FALSE()))</f>
        <v/>
      </c>
      <c r="DJ387" s="110" t="str">
        <f aca="false">IF($CX387&gt;$CW$8,"",VLOOKUP($CX387,$CZ$9:$DF$508,4,FALSE()))</f>
        <v/>
      </c>
      <c r="DK387" s="110" t="str">
        <f aca="false">IF($CX387&gt;$CW$8,"",VLOOKUP($CX387,$CZ$9:$DF$508,5,FALSE()))</f>
        <v/>
      </c>
      <c r="DL387" s="111" t="str">
        <f aca="false">IF($CX387&gt;$CW$8,"",VLOOKUP($CX387,$CZ$9:$DF$508,6,FALSE()))</f>
        <v/>
      </c>
      <c r="DM387" s="75"/>
    </row>
    <row r="388" customFormat="false" ht="15.75" hidden="false" customHeight="false" outlineLevel="0" collapsed="false">
      <c r="A388" s="9"/>
      <c r="B388" s="77"/>
      <c r="C388" s="78"/>
      <c r="D388" s="167"/>
      <c r="E388" s="175"/>
      <c r="F388" s="169"/>
      <c r="G388" s="170"/>
      <c r="H388" s="170"/>
      <c r="I388" s="176"/>
      <c r="J388" s="173"/>
      <c r="K388" s="85"/>
      <c r="L388" s="86"/>
      <c r="M388" s="87"/>
      <c r="N388" s="173"/>
      <c r="O388" s="173"/>
      <c r="P388" s="175"/>
      <c r="Q388" s="173"/>
      <c r="R388" s="173"/>
      <c r="S388" s="85"/>
      <c r="T388" s="87"/>
      <c r="U388" s="87"/>
      <c r="V388" s="173"/>
      <c r="W388" s="173"/>
      <c r="X388" s="175"/>
      <c r="Y388" s="173"/>
      <c r="Z388" s="174"/>
      <c r="AA388" s="173"/>
      <c r="AB388" s="91"/>
      <c r="AC388" s="92"/>
      <c r="AD388" s="92"/>
      <c r="AE388" s="92"/>
      <c r="AF388" s="92" t="str">
        <f aca="false">IF(ISBLANK($C388),"",IF(E388=Constants!$B$3,TRUE(),IF(E388=Constants!$B$4,FALSE(),TRUE())))</f>
        <v/>
      </c>
      <c r="AG388" s="92" t="str">
        <f aca="false">IF(ISBLANK($C388),"",IF(F388=Constants!$B$3,TRUE(),IF(F388=Constants!$B$4,FALSE(),TRUE())))</f>
        <v/>
      </c>
      <c r="AH388" s="92" t="str">
        <f aca="false">IF(ISBLANK($C388),"",IF(G388=Constants!$B$3,TRUE(),IF(G388=Constants!$B$4,FALSE(),TRUE())))</f>
        <v/>
      </c>
      <c r="AI388" s="92" t="str">
        <f aca="false">IF(ISBLANK($C388),"",IF(AND(ISNUMBER(H388),H388&gt;=0),H388,Constants!$B$29))</f>
        <v/>
      </c>
      <c r="AJ388" s="92" t="str">
        <f aca="false">IF(ISBLANK($C388),"",IF(I388=Constants!$B$3,TRUE(),IF(I388=Constants!$B$4,FALSE(),TRUE())))</f>
        <v/>
      </c>
      <c r="AK388" s="92" t="str">
        <f aca="false">IF(ISBLANK($C388),"",IF(J388=Constants!$B$3,TRUE(),IF(J388=Constants!$B$4,FALSE(),TRUE())))</f>
        <v/>
      </c>
      <c r="AL388" s="92" t="str">
        <f aca="false">IF(ISBLANK($C388),"",IF(K388=Constants!$B$5,TRUE(),IF(K388=Constants!$B$6,FALSE(),COUNTA(L388:P388)&gt;0)))</f>
        <v/>
      </c>
      <c r="AM388" s="94" t="str">
        <f aca="false">IF(ISBLANK($C388),"",IF(ISNUMBER(L388),IF(L388&gt;=0,L388,""),""))</f>
        <v/>
      </c>
      <c r="AN388" s="93" t="str">
        <f aca="false">IF(ISBLANK($C388),"",IF(ISNUMBER(M388),IF(M388&gt;=0,M388,""),""))</f>
        <v/>
      </c>
      <c r="AO388" s="93" t="str">
        <f aca="false">IF(ISBLANK($C388),"",IF(N388=Constants!$B$3,TRUE(),IF(N388=Constants!$B$4,FALSE(),TRUE())))</f>
        <v/>
      </c>
      <c r="AP388" s="92" t="str">
        <f aca="false">IF(ISBLANK($C388),"",IF(ISNUMBER(O388),IF(O388&gt;=0,O388,""),""))</f>
        <v/>
      </c>
      <c r="AQ388" s="92" t="str">
        <f aca="false">IF(ISBLANK($C388),"",IF(P388=Constants!$B$3,TRUE(),IF(P388=Constants!$B$4,FALSE(),FALSE())))</f>
        <v/>
      </c>
      <c r="AR388" s="92" t="str">
        <f aca="false">IF(ISBLANK($C388),"",IF(Q388=Constants!$B$3,TRUE(),IF(Q388=Constants!$B$4,FALSE(),TRUE())))</f>
        <v/>
      </c>
      <c r="AS388" s="92" t="str">
        <f aca="false">IF(ISBLANK($C388),"",IF(R388=Constants!$B$3,TRUE(),IF(R388=Constants!$B$4,FALSE(),TRUE())))</f>
        <v/>
      </c>
      <c r="AT388" s="92" t="str">
        <f aca="false">IF(ISBLANK($C388),"",IF(S388=Constants!$B$5,TRUE(),IF(S388=Constants!$B$6,FALSE(),COUNTA(T388:X388)&gt;0)))</f>
        <v/>
      </c>
      <c r="AU388" s="94" t="str">
        <f aca="false">IF(ISBLANK($C388),"",IF(ISNUMBER(T388),IF(T388&gt;=0,T388,""),""))</f>
        <v/>
      </c>
      <c r="AV388" s="93" t="str">
        <f aca="false">IF(ISBLANK($C388),"",IF(ISNUMBER(U388),IF(U388&gt;=0,U388,""),""))</f>
        <v/>
      </c>
      <c r="AW388" s="93" t="str">
        <f aca="false">IF(ISBLANK($C388),"",IF(V388=Constants!$B$3,TRUE(),IF(V388=Constants!$B$4,FALSE(),TRUE())))</f>
        <v/>
      </c>
      <c r="AX388" s="92" t="str">
        <f aca="false">IF(ISBLANK($C388),"",IF(ISNUMBER(W388),IF(W388&gt;=0,W388,""),""))</f>
        <v/>
      </c>
      <c r="AY388" s="92" t="str">
        <f aca="false">IF(ISBLANK($C388),"",IF(X388=Constants!$B$3,TRUE(),IF(X388=Constants!$B$4,FALSE(),FALSE())))</f>
        <v/>
      </c>
      <c r="AZ388" s="92" t="str">
        <f aca="false">IF(ISBLANK($C388),"",MIN(Constants!$B$31,MAX(0,IF(ISNUMBER(Y388),Y388*60,0)+IF(ISNUMBER(Z388),Z388,0))))</f>
        <v/>
      </c>
      <c r="BA388" s="92" t="str">
        <f aca="false">IF(ISBLANK($C388),"",IF(AA388=Constants!$B$3,TRUE(),IF(AA388=Constants!$B$4,FALSE(),FALSE())))</f>
        <v/>
      </c>
      <c r="BB388" s="91" t="str">
        <f aca="false">IF(ISBLANK($C388),"",AND($AL388,OR($AM388="",$AN388="",AND($AO388,$AP388=""))))</f>
        <v/>
      </c>
      <c r="BC388" s="93" t="str">
        <f aca="false">IF($BR388&lt;&gt;Constants!$B$8,"",IF($AL388,Constants!$B$21*$AN388+Constants!$B$22*IF($AO388,$AP388,Constants!$B$23),Constants!$B$24))</f>
        <v/>
      </c>
      <c r="BD388" s="96" t="str">
        <f aca="false">IF($BR388&lt;&gt;Constants!$B$8,"",Constants!$B$25*ABS($AD$9-IF($AL388,$AM388,0)))</f>
        <v/>
      </c>
      <c r="BE388" s="96" t="str">
        <f aca="false">IF($BR388&lt;&gt;Constants!$B$8,"",IF(AND($AL388,$AQ388,$AO388),Constants!$B$27,0))</f>
        <v/>
      </c>
      <c r="BF388" s="96" t="str">
        <f aca="false">IF($BR388&lt;&gt;Constants!$B$8,"",IF($AL388,($AI388-Constants!$B$29)*Constants!$B$28,0))</f>
        <v/>
      </c>
      <c r="BG388" s="96" t="str">
        <f aca="false">IF($BR388&lt;&gt;Constants!$B$8,"",IF($AK388,0,Constants!$B$15)+IF($AJ388,0,Constants!$B$16)+IF($AH388,0,Constants!$B$17))</f>
        <v/>
      </c>
      <c r="BH388" s="97" t="str">
        <f aca="false">IF($BR388&lt;&gt;Constants!$B$8,"",Constants!$B$20+SUM($BC388:$BG388))</f>
        <v/>
      </c>
      <c r="BI388" s="92" t="str">
        <f aca="false">IF($BR388&lt;&gt;Constants!$B$8,"",IF(OR($BP388&lt;$BH388,AND($BP388=$BH388,OR($BK388&lt;$BC388,AND($BK388=$BC388,OR($BL388&lt;$BD388,AND($BL388=$BD388,$AT388,$AL388,$AV388&lt;$AN388)))))),"-&gt;","&lt;-"))</f>
        <v/>
      </c>
      <c r="BJ388" s="91" t="str">
        <f aca="false">IF(ISBLANK($C388),"",AND($AT388,OR($AU388="",$AV388="",AND($AW388,$AX388=""))))</f>
        <v/>
      </c>
      <c r="BK388" s="93" t="str">
        <f aca="false">IF($BR388&lt;&gt;Constants!$B$8,"",IF($AT388,Constants!$B$21*$AV388+Constants!$B$22*IF($AW388,$AX388,Constants!$B$23),Constants!$B$24))</f>
        <v/>
      </c>
      <c r="BL388" s="96" t="str">
        <f aca="false">IF($BR388&lt;&gt;Constants!$B$8,"",Constants!$B$25*ABS($AD$9-IF($AT388,$AU388,0)))</f>
        <v/>
      </c>
      <c r="BM388" s="96" t="str">
        <f aca="false">IF($BR388&lt;&gt;Constants!$B$8,"",IF(AND($AT388,$AY388,$AW388),Constants!$B$27,0))</f>
        <v/>
      </c>
      <c r="BN388" s="96" t="str">
        <f aca="false">IF($BR388&lt;&gt;Constants!$B$8,"",IF($AT388,($AI388-Constants!$B$29)*Constants!$B$28,0))</f>
        <v/>
      </c>
      <c r="BO388" s="96" t="str">
        <f aca="false">IF($BR388&lt;&gt;Constants!$B$8,"",IF($AS388,0,Constants!$B$15)+IF($AR388,0,Constants!$B$16)+IF($AH388,0,Constants!$B$17))</f>
        <v/>
      </c>
      <c r="BP388" s="97" t="str">
        <f aca="false">IF($BR388&lt;&gt;Constants!$B$8,"",Constants!$B$20+SUM($BK388:$BO388))</f>
        <v/>
      </c>
      <c r="BQ388" s="92" t="str">
        <f aca="false">IF(ISBLANK($C388),"",IF(ISBLANK($D$7),$BQ$5,IF(NOT(ISNUMBER($D$7)),$BQ$6,"")))</f>
        <v/>
      </c>
      <c r="BR388" s="92" t="str">
        <f aca="false">IF(ISBLANK($C388),"",IF($BA388,Constants!$B$11,IF(COUNTA($E388:$AA388)=0,Constants!$B$10,IF(NOT($AG388),Constants!$B$9,IF(OR($BQ388&lt;&gt;"",$BB388,$BJ388),Constants!$B$12,Constants!$B$8)))))</f>
        <v/>
      </c>
      <c r="BS388" s="92" t="str">
        <f aca="false">IF(ISBLANK($C388),"",IF($BR388&lt;&gt;Constants!$B$8,$BR388,Constants!$B$13))</f>
        <v/>
      </c>
      <c r="BT388" s="96" t="str">
        <f aca="false">IF($BR388&lt;&gt;Constants!$B$8,"",IF($BI388="-&gt;",$BP388,$BH388))</f>
        <v/>
      </c>
      <c r="BU388" s="96" t="str">
        <f aca="false">IF($BR388&lt;&gt;Constants!$B$8,"",IF($AF388,0,Constants!$B$18))</f>
        <v/>
      </c>
      <c r="BV388" s="96" t="str">
        <f aca="false">IF($BR388&lt;&gt;Constants!$B$8,"",((Constants!$B$31-$AZ388)-Constants!$B$31)/Constants!$B$32)</f>
        <v/>
      </c>
      <c r="BW388" s="96" t="str">
        <f aca="false">IF(ISBLANK($C388),"",IF($BR388&lt;&gt;Constants!$B$8,$BR388,SUM($BT388:$BV388)))</f>
        <v/>
      </c>
      <c r="BX388" s="92" t="str">
        <f aca="false">IF(ISBLANK($C388),"",IF($BR388&lt;&gt;Constants!$B$8,$BR388,RANK($BW388,$BW$9:$BW$508,1)))</f>
        <v/>
      </c>
      <c r="BY388" s="96" t="str">
        <f aca="false">IF($BR388&lt;&gt;Constants!$B$8,"",IF($BI388="-&gt;",$BK388,$BC388))</f>
        <v/>
      </c>
      <c r="BZ388" s="92" t="str">
        <f aca="false">IF(ISBLANK($C388),"",IF($BR388&lt;&gt;Constants!$B$8,$BR388,IF(ISNUMBER($BY388),RANK($BY388,$BY$9:$BY$508,1),COUNT($BY$9:$BY$508)+1)))</f>
        <v/>
      </c>
      <c r="CA388" s="96" t="str">
        <f aca="false">IF($BR388&lt;&gt;Constants!$B$8,"",IF($BI388="-&gt;",$BL388,$BD388))</f>
        <v/>
      </c>
      <c r="CB388" s="92" t="str">
        <f aca="false">IF(ISBLANK($C388),"",IF($BR388&lt;&gt;Constants!$B$8,$BR388,IF(ISNUMBER($CA388),RANK($CA388,$CA$9:$CA$508,1),COUNT($CA$9:$CA$508)+1)))</f>
        <v/>
      </c>
      <c r="CC388" s="96" t="str">
        <f aca="false">IF($BR388&lt;&gt;Constants!$B$8,"",IF($BI388="-&gt;",IF($AT388,$AV388,""),IF($AL388,$AN388,"")))</f>
        <v/>
      </c>
      <c r="CD388" s="92" t="str">
        <f aca="false">IF(ISBLANK($C388),"",IF($BR388&lt;&gt;Constants!$B$8,$BR388,IF(ISNUMBER($CC388),RANK($CC388,$CC$9:$CC$508,1),COUNT($CC$9:$CC$508)+1)))</f>
        <v/>
      </c>
      <c r="CE388" s="96" t="str">
        <f aca="false">IF($BR388&lt;&gt;Constants!$B$8,"",IF(AND(NOT($AL388),NOT($AT388),$AJ388,$AK388,$AR388,$AS388),"",$AI388))</f>
        <v/>
      </c>
      <c r="CF388" s="92" t="str">
        <f aca="false">IF(ISBLANK($C388),"",IF($BR388&lt;&gt;Constants!$B$8,$BR388,IF(ISNUMBER($CE388),RANK($CE388,$CE$9:$CE$508,1),COUNT($CE$9:$CE$508)+1)))</f>
        <v/>
      </c>
      <c r="CG388" s="92" t="str">
        <f aca="false">IF(ISBLANK($C388),"",IF($BR388&lt;&gt;Constants!$B$8,$BR388,COUNTIFS($BX$9:$BX$508,"&lt;"&amp;$BX388)+COUNTIFS($BX$9:$BX$508,$BX388,$BZ$9:$BZ$508,"&lt;"&amp;$BZ388)+COUNTIFS($BX$9:$BX$508,$BX388,$BZ$9:$BZ$508,$BZ388,$CB$9:$CB$508,"&lt;"&amp;$CB388)+COUNTIFS($BX$9:$BX$508,$BX388,$BZ$9:$BZ$508,$BZ388,$CB$9:$CB$508,$CB388,$CD$9:$CD$508,"&lt;"&amp;$CD388)+COUNTIFS($BX$9:$BX$508,$BX388,$BZ$9:$BZ$508,$BZ388,$CB$9:$CB$508,$CB388,$CD$9:$CD$508,$CD388,$CF$9:$CF$508,"&lt;"&amp;$CF388)+1))</f>
        <v/>
      </c>
      <c r="CH388" s="92" t="str">
        <f aca="false">IF(ISBLANK($C388),"",IF($BR388&lt;&gt;Constants!$B$8,$BR388,$BX388-$CG388))</f>
        <v/>
      </c>
      <c r="CI388" s="98"/>
      <c r="CJ388" s="99"/>
      <c r="CK388" s="100" t="str">
        <f aca="false">IF(ISBLANK($C388),"",IF($BR388=Constants!$B$12,$BQ388,""))</f>
        <v/>
      </c>
      <c r="CL388" s="99" t="str">
        <f aca="false">IF(ISBLANK($C388),"",IF($BR388&lt;&gt;Constants!$B$8,"",IF($BI388="-&gt;",2,1)))</f>
        <v/>
      </c>
      <c r="CM388" s="101" t="str">
        <f aca="false">IF(ISBLANK($C388),"",IF($BR388&lt;&gt;Constants!$B$8,"",IF($BI388="-&gt;",$BK388,$BC388)))</f>
        <v/>
      </c>
      <c r="CN388" s="101" t="str">
        <f aca="false">IF(ISBLANK($C388),"",IF($BR388&lt;&gt;Constants!$B$8,"",IF($BI388="-&gt;",$BL388,$BD388)))</f>
        <v/>
      </c>
      <c r="CO388" s="101" t="str">
        <f aca="false">IF(ISBLANK($C388),"",IF($BR388&lt;&gt;Constants!$B$8,"",IF($BI388="-&gt;",$BM388+$BN388,$BE388+$BF388)+$BV388))</f>
        <v/>
      </c>
      <c r="CP388" s="101" t="str">
        <f aca="false">IF(ISBLANK($C388),"",IF($BR388&lt;&gt;Constants!$B$8,"",IF($BI388="-&gt;",$BO388,$BG388)+$BU388))</f>
        <v/>
      </c>
      <c r="CQ388" s="102" t="str">
        <f aca="false">IF(ISBLANK($C388),"",IF($BR388&lt;&gt;Constants!$B$8,$BR388,$BW388))</f>
        <v/>
      </c>
      <c r="CR388" s="103" t="str">
        <f aca="false">IF(ISBLANK($C388),"",$BS388)</f>
        <v/>
      </c>
      <c r="CS388" s="104" t="str">
        <f aca="false">IF(ISBLANK($C388),"",$CH388)</f>
        <v/>
      </c>
      <c r="CT388" s="104" t="str">
        <f aca="false">IF(ISBLANK($C388),"",$CG388)</f>
        <v/>
      </c>
      <c r="CU388" s="105" t="str">
        <f aca="false">IF(ISBLANK($C388),"",IFERROR(_xlfn.SWITCH($CT388,Constants!$B$11,COUNTA($C$9:$C$508)+2,Constants!$B$10,COUNTA($C$9:$C$508)+1,Constants!$B$9,COUNTA($C$9:$C$508)),$CT388))</f>
        <v/>
      </c>
      <c r="CV388" s="9"/>
      <c r="CW388" s="106" t="n">
        <f aca="false">IF(OR(ISNUMBER($CT388),$CT388=Constants!$B$11,$CT388=Constants!$B$9,$CT388=Constants!$B$10),1,0)</f>
        <v>0</v>
      </c>
      <c r="CX388" s="106" t="n">
        <v>380</v>
      </c>
      <c r="CY388" s="106" t="str">
        <f aca="false">IF(ISBLANK($C388),"",IF(ISNUMBER($CU388),$CU388+ROW($B388)/1000,""))</f>
        <v/>
      </c>
      <c r="CZ388" s="106" t="str">
        <f aca="false">IF(ISNUMBER($CY388),RANK($CY388,$CY$9:$CY$508,1),"")</f>
        <v/>
      </c>
      <c r="DA388" s="106" t="str">
        <f aca="false">IF(ISBLANK($C388),"",$B388)</f>
        <v/>
      </c>
      <c r="DB388" s="106" t="str">
        <f aca="false">IF(ISBLANK($C388),"",$C388)</f>
        <v/>
      </c>
      <c r="DC388" s="106" t="str">
        <f aca="false">IF(ISBLANK($C388),"",$D388)</f>
        <v/>
      </c>
      <c r="DD388" s="107" t="str">
        <f aca="false">$CR388</f>
        <v/>
      </c>
      <c r="DE388" s="108" t="str">
        <f aca="false">$CQ388</f>
        <v/>
      </c>
      <c r="DF388" s="106" t="str">
        <f aca="false">IF(ISBLANK($C388),"",$CT388)</f>
        <v/>
      </c>
      <c r="DG388" s="109" t="str">
        <f aca="false">IF($CX388&gt;$CW$8,"",VLOOKUP($CX388,$CZ$9:$DF$508,7,FALSE()))</f>
        <v/>
      </c>
      <c r="DH388" s="110" t="str">
        <f aca="false">IF($CX388&gt;$CW$8,"",VLOOKUP($CX388,$CZ$9:$DF$508,2,FALSE()))</f>
        <v/>
      </c>
      <c r="DI388" s="110" t="str">
        <f aca="false">IF($CX388&gt;$CW$8,"",VLOOKUP($CX388,$CZ$9:$DF$508,3,FALSE()))</f>
        <v/>
      </c>
      <c r="DJ388" s="110" t="str">
        <f aca="false">IF($CX388&gt;$CW$8,"",VLOOKUP($CX388,$CZ$9:$DF$508,4,FALSE()))</f>
        <v/>
      </c>
      <c r="DK388" s="110" t="str">
        <f aca="false">IF($CX388&gt;$CW$8,"",VLOOKUP($CX388,$CZ$9:$DF$508,5,FALSE()))</f>
        <v/>
      </c>
      <c r="DL388" s="111" t="str">
        <f aca="false">IF($CX388&gt;$CW$8,"",VLOOKUP($CX388,$CZ$9:$DF$508,6,FALSE()))</f>
        <v/>
      </c>
      <c r="DM388" s="75"/>
    </row>
    <row r="389" customFormat="false" ht="15.75" hidden="false" customHeight="false" outlineLevel="0" collapsed="false">
      <c r="A389" s="9"/>
      <c r="B389" s="77"/>
      <c r="C389" s="78"/>
      <c r="D389" s="167"/>
      <c r="E389" s="175"/>
      <c r="F389" s="169"/>
      <c r="G389" s="170"/>
      <c r="H389" s="170"/>
      <c r="I389" s="176"/>
      <c r="J389" s="173"/>
      <c r="K389" s="85"/>
      <c r="L389" s="86"/>
      <c r="M389" s="87"/>
      <c r="N389" s="173"/>
      <c r="O389" s="173"/>
      <c r="P389" s="175"/>
      <c r="Q389" s="173"/>
      <c r="R389" s="173"/>
      <c r="S389" s="85"/>
      <c r="T389" s="87"/>
      <c r="U389" s="87"/>
      <c r="V389" s="173"/>
      <c r="W389" s="173"/>
      <c r="X389" s="175"/>
      <c r="Y389" s="173"/>
      <c r="Z389" s="174"/>
      <c r="AA389" s="173"/>
      <c r="AB389" s="91"/>
      <c r="AC389" s="92"/>
      <c r="AD389" s="92"/>
      <c r="AE389" s="92"/>
      <c r="AF389" s="92" t="str">
        <f aca="false">IF(ISBLANK($C389),"",IF(E389=Constants!$B$3,TRUE(),IF(E389=Constants!$B$4,FALSE(),TRUE())))</f>
        <v/>
      </c>
      <c r="AG389" s="92" t="str">
        <f aca="false">IF(ISBLANK($C389),"",IF(F389=Constants!$B$3,TRUE(),IF(F389=Constants!$B$4,FALSE(),TRUE())))</f>
        <v/>
      </c>
      <c r="AH389" s="92" t="str">
        <f aca="false">IF(ISBLANK($C389),"",IF(G389=Constants!$B$3,TRUE(),IF(G389=Constants!$B$4,FALSE(),TRUE())))</f>
        <v/>
      </c>
      <c r="AI389" s="92" t="str">
        <f aca="false">IF(ISBLANK($C389),"",IF(AND(ISNUMBER(H389),H389&gt;=0),H389,Constants!$B$29))</f>
        <v/>
      </c>
      <c r="AJ389" s="92" t="str">
        <f aca="false">IF(ISBLANK($C389),"",IF(I389=Constants!$B$3,TRUE(),IF(I389=Constants!$B$4,FALSE(),TRUE())))</f>
        <v/>
      </c>
      <c r="AK389" s="92" t="str">
        <f aca="false">IF(ISBLANK($C389),"",IF(J389=Constants!$B$3,TRUE(),IF(J389=Constants!$B$4,FALSE(),TRUE())))</f>
        <v/>
      </c>
      <c r="AL389" s="92" t="str">
        <f aca="false">IF(ISBLANK($C389),"",IF(K389=Constants!$B$5,TRUE(),IF(K389=Constants!$B$6,FALSE(),COUNTA(L389:P389)&gt;0)))</f>
        <v/>
      </c>
      <c r="AM389" s="94" t="str">
        <f aca="false">IF(ISBLANK($C389),"",IF(ISNUMBER(L389),IF(L389&gt;=0,L389,""),""))</f>
        <v/>
      </c>
      <c r="AN389" s="93" t="str">
        <f aca="false">IF(ISBLANK($C389),"",IF(ISNUMBER(M389),IF(M389&gt;=0,M389,""),""))</f>
        <v/>
      </c>
      <c r="AO389" s="93" t="str">
        <f aca="false">IF(ISBLANK($C389),"",IF(N389=Constants!$B$3,TRUE(),IF(N389=Constants!$B$4,FALSE(),TRUE())))</f>
        <v/>
      </c>
      <c r="AP389" s="92" t="str">
        <f aca="false">IF(ISBLANK($C389),"",IF(ISNUMBER(O389),IF(O389&gt;=0,O389,""),""))</f>
        <v/>
      </c>
      <c r="AQ389" s="92" t="str">
        <f aca="false">IF(ISBLANK($C389),"",IF(P389=Constants!$B$3,TRUE(),IF(P389=Constants!$B$4,FALSE(),FALSE())))</f>
        <v/>
      </c>
      <c r="AR389" s="92" t="str">
        <f aca="false">IF(ISBLANK($C389),"",IF(Q389=Constants!$B$3,TRUE(),IF(Q389=Constants!$B$4,FALSE(),TRUE())))</f>
        <v/>
      </c>
      <c r="AS389" s="92" t="str">
        <f aca="false">IF(ISBLANK($C389),"",IF(R389=Constants!$B$3,TRUE(),IF(R389=Constants!$B$4,FALSE(),TRUE())))</f>
        <v/>
      </c>
      <c r="AT389" s="92" t="str">
        <f aca="false">IF(ISBLANK($C389),"",IF(S389=Constants!$B$5,TRUE(),IF(S389=Constants!$B$6,FALSE(),COUNTA(T389:X389)&gt;0)))</f>
        <v/>
      </c>
      <c r="AU389" s="94" t="str">
        <f aca="false">IF(ISBLANK($C389),"",IF(ISNUMBER(T389),IF(T389&gt;=0,T389,""),""))</f>
        <v/>
      </c>
      <c r="AV389" s="93" t="str">
        <f aca="false">IF(ISBLANK($C389),"",IF(ISNUMBER(U389),IF(U389&gt;=0,U389,""),""))</f>
        <v/>
      </c>
      <c r="AW389" s="93" t="str">
        <f aca="false">IF(ISBLANK($C389),"",IF(V389=Constants!$B$3,TRUE(),IF(V389=Constants!$B$4,FALSE(),TRUE())))</f>
        <v/>
      </c>
      <c r="AX389" s="92" t="str">
        <f aca="false">IF(ISBLANK($C389),"",IF(ISNUMBER(W389),IF(W389&gt;=0,W389,""),""))</f>
        <v/>
      </c>
      <c r="AY389" s="92" t="str">
        <f aca="false">IF(ISBLANK($C389),"",IF(X389=Constants!$B$3,TRUE(),IF(X389=Constants!$B$4,FALSE(),FALSE())))</f>
        <v/>
      </c>
      <c r="AZ389" s="92" t="str">
        <f aca="false">IF(ISBLANK($C389),"",MIN(Constants!$B$31,MAX(0,IF(ISNUMBER(Y389),Y389*60,0)+IF(ISNUMBER(Z389),Z389,0))))</f>
        <v/>
      </c>
      <c r="BA389" s="92" t="str">
        <f aca="false">IF(ISBLANK($C389),"",IF(AA389=Constants!$B$3,TRUE(),IF(AA389=Constants!$B$4,FALSE(),FALSE())))</f>
        <v/>
      </c>
      <c r="BB389" s="91" t="str">
        <f aca="false">IF(ISBLANK($C389),"",AND($AL389,OR($AM389="",$AN389="",AND($AO389,$AP389=""))))</f>
        <v/>
      </c>
      <c r="BC389" s="93" t="str">
        <f aca="false">IF($BR389&lt;&gt;Constants!$B$8,"",IF($AL389,Constants!$B$21*$AN389+Constants!$B$22*IF($AO389,$AP389,Constants!$B$23),Constants!$B$24))</f>
        <v/>
      </c>
      <c r="BD389" s="96" t="str">
        <f aca="false">IF($BR389&lt;&gt;Constants!$B$8,"",Constants!$B$25*ABS($AD$9-IF($AL389,$AM389,0)))</f>
        <v/>
      </c>
      <c r="BE389" s="96" t="str">
        <f aca="false">IF($BR389&lt;&gt;Constants!$B$8,"",IF(AND($AL389,$AQ389,$AO389),Constants!$B$27,0))</f>
        <v/>
      </c>
      <c r="BF389" s="96" t="str">
        <f aca="false">IF($BR389&lt;&gt;Constants!$B$8,"",IF($AL389,($AI389-Constants!$B$29)*Constants!$B$28,0))</f>
        <v/>
      </c>
      <c r="BG389" s="96" t="str">
        <f aca="false">IF($BR389&lt;&gt;Constants!$B$8,"",IF($AK389,0,Constants!$B$15)+IF($AJ389,0,Constants!$B$16)+IF($AH389,0,Constants!$B$17))</f>
        <v/>
      </c>
      <c r="BH389" s="97" t="str">
        <f aca="false">IF($BR389&lt;&gt;Constants!$B$8,"",Constants!$B$20+SUM($BC389:$BG389))</f>
        <v/>
      </c>
      <c r="BI389" s="92" t="str">
        <f aca="false">IF($BR389&lt;&gt;Constants!$B$8,"",IF(OR($BP389&lt;$BH389,AND($BP389=$BH389,OR($BK389&lt;$BC389,AND($BK389=$BC389,OR($BL389&lt;$BD389,AND($BL389=$BD389,$AT389,$AL389,$AV389&lt;$AN389)))))),"-&gt;","&lt;-"))</f>
        <v/>
      </c>
      <c r="BJ389" s="91" t="str">
        <f aca="false">IF(ISBLANK($C389),"",AND($AT389,OR($AU389="",$AV389="",AND($AW389,$AX389=""))))</f>
        <v/>
      </c>
      <c r="BK389" s="93" t="str">
        <f aca="false">IF($BR389&lt;&gt;Constants!$B$8,"",IF($AT389,Constants!$B$21*$AV389+Constants!$B$22*IF($AW389,$AX389,Constants!$B$23),Constants!$B$24))</f>
        <v/>
      </c>
      <c r="BL389" s="96" t="str">
        <f aca="false">IF($BR389&lt;&gt;Constants!$B$8,"",Constants!$B$25*ABS($AD$9-IF($AT389,$AU389,0)))</f>
        <v/>
      </c>
      <c r="BM389" s="96" t="str">
        <f aca="false">IF($BR389&lt;&gt;Constants!$B$8,"",IF(AND($AT389,$AY389,$AW389),Constants!$B$27,0))</f>
        <v/>
      </c>
      <c r="BN389" s="96" t="str">
        <f aca="false">IF($BR389&lt;&gt;Constants!$B$8,"",IF($AT389,($AI389-Constants!$B$29)*Constants!$B$28,0))</f>
        <v/>
      </c>
      <c r="BO389" s="96" t="str">
        <f aca="false">IF($BR389&lt;&gt;Constants!$B$8,"",IF($AS389,0,Constants!$B$15)+IF($AR389,0,Constants!$B$16)+IF($AH389,0,Constants!$B$17))</f>
        <v/>
      </c>
      <c r="BP389" s="97" t="str">
        <f aca="false">IF($BR389&lt;&gt;Constants!$B$8,"",Constants!$B$20+SUM($BK389:$BO389))</f>
        <v/>
      </c>
      <c r="BQ389" s="92" t="str">
        <f aca="false">IF(ISBLANK($C389),"",IF(ISBLANK($D$7),$BQ$5,IF(NOT(ISNUMBER($D$7)),$BQ$6,"")))</f>
        <v/>
      </c>
      <c r="BR389" s="92" t="str">
        <f aca="false">IF(ISBLANK($C389),"",IF($BA389,Constants!$B$11,IF(COUNTA($E389:$AA389)=0,Constants!$B$10,IF(NOT($AG389),Constants!$B$9,IF(OR($BQ389&lt;&gt;"",$BB389,$BJ389),Constants!$B$12,Constants!$B$8)))))</f>
        <v/>
      </c>
      <c r="BS389" s="92" t="str">
        <f aca="false">IF(ISBLANK($C389),"",IF($BR389&lt;&gt;Constants!$B$8,$BR389,Constants!$B$13))</f>
        <v/>
      </c>
      <c r="BT389" s="96" t="str">
        <f aca="false">IF($BR389&lt;&gt;Constants!$B$8,"",IF($BI389="-&gt;",$BP389,$BH389))</f>
        <v/>
      </c>
      <c r="BU389" s="96" t="str">
        <f aca="false">IF($BR389&lt;&gt;Constants!$B$8,"",IF($AF389,0,Constants!$B$18))</f>
        <v/>
      </c>
      <c r="BV389" s="96" t="str">
        <f aca="false">IF($BR389&lt;&gt;Constants!$B$8,"",((Constants!$B$31-$AZ389)-Constants!$B$31)/Constants!$B$32)</f>
        <v/>
      </c>
      <c r="BW389" s="96" t="str">
        <f aca="false">IF(ISBLANK($C389),"",IF($BR389&lt;&gt;Constants!$B$8,$BR389,SUM($BT389:$BV389)))</f>
        <v/>
      </c>
      <c r="BX389" s="92" t="str">
        <f aca="false">IF(ISBLANK($C389),"",IF($BR389&lt;&gt;Constants!$B$8,$BR389,RANK($BW389,$BW$9:$BW$508,1)))</f>
        <v/>
      </c>
      <c r="BY389" s="96" t="str">
        <f aca="false">IF($BR389&lt;&gt;Constants!$B$8,"",IF($BI389="-&gt;",$BK389,$BC389))</f>
        <v/>
      </c>
      <c r="BZ389" s="92" t="str">
        <f aca="false">IF(ISBLANK($C389),"",IF($BR389&lt;&gt;Constants!$B$8,$BR389,IF(ISNUMBER($BY389),RANK($BY389,$BY$9:$BY$508,1),COUNT($BY$9:$BY$508)+1)))</f>
        <v/>
      </c>
      <c r="CA389" s="96" t="str">
        <f aca="false">IF($BR389&lt;&gt;Constants!$B$8,"",IF($BI389="-&gt;",$BL389,$BD389))</f>
        <v/>
      </c>
      <c r="CB389" s="92" t="str">
        <f aca="false">IF(ISBLANK($C389),"",IF($BR389&lt;&gt;Constants!$B$8,$BR389,IF(ISNUMBER($CA389),RANK($CA389,$CA$9:$CA$508,1),COUNT($CA$9:$CA$508)+1)))</f>
        <v/>
      </c>
      <c r="CC389" s="96" t="str">
        <f aca="false">IF($BR389&lt;&gt;Constants!$B$8,"",IF($BI389="-&gt;",IF($AT389,$AV389,""),IF($AL389,$AN389,"")))</f>
        <v/>
      </c>
      <c r="CD389" s="92" t="str">
        <f aca="false">IF(ISBLANK($C389),"",IF($BR389&lt;&gt;Constants!$B$8,$BR389,IF(ISNUMBER($CC389),RANK($CC389,$CC$9:$CC$508,1),COUNT($CC$9:$CC$508)+1)))</f>
        <v/>
      </c>
      <c r="CE389" s="96" t="str">
        <f aca="false">IF($BR389&lt;&gt;Constants!$B$8,"",IF(AND(NOT($AL389),NOT($AT389),$AJ389,$AK389,$AR389,$AS389),"",$AI389))</f>
        <v/>
      </c>
      <c r="CF389" s="92" t="str">
        <f aca="false">IF(ISBLANK($C389),"",IF($BR389&lt;&gt;Constants!$B$8,$BR389,IF(ISNUMBER($CE389),RANK($CE389,$CE$9:$CE$508,1),COUNT($CE$9:$CE$508)+1)))</f>
        <v/>
      </c>
      <c r="CG389" s="92" t="str">
        <f aca="false">IF(ISBLANK($C389),"",IF($BR389&lt;&gt;Constants!$B$8,$BR389,COUNTIFS($BX$9:$BX$508,"&lt;"&amp;$BX389)+COUNTIFS($BX$9:$BX$508,$BX389,$BZ$9:$BZ$508,"&lt;"&amp;$BZ389)+COUNTIFS($BX$9:$BX$508,$BX389,$BZ$9:$BZ$508,$BZ389,$CB$9:$CB$508,"&lt;"&amp;$CB389)+COUNTIFS($BX$9:$BX$508,$BX389,$BZ$9:$BZ$508,$BZ389,$CB$9:$CB$508,$CB389,$CD$9:$CD$508,"&lt;"&amp;$CD389)+COUNTIFS($BX$9:$BX$508,$BX389,$BZ$9:$BZ$508,$BZ389,$CB$9:$CB$508,$CB389,$CD$9:$CD$508,$CD389,$CF$9:$CF$508,"&lt;"&amp;$CF389)+1))</f>
        <v/>
      </c>
      <c r="CH389" s="92" t="str">
        <f aca="false">IF(ISBLANK($C389),"",IF($BR389&lt;&gt;Constants!$B$8,$BR389,$BX389-$CG389))</f>
        <v/>
      </c>
      <c r="CI389" s="98"/>
      <c r="CJ389" s="99"/>
      <c r="CK389" s="100" t="str">
        <f aca="false">IF(ISBLANK($C389),"",IF($BR389=Constants!$B$12,$BQ389,""))</f>
        <v/>
      </c>
      <c r="CL389" s="99" t="str">
        <f aca="false">IF(ISBLANK($C389),"",IF($BR389&lt;&gt;Constants!$B$8,"",IF($BI389="-&gt;",2,1)))</f>
        <v/>
      </c>
      <c r="CM389" s="101" t="str">
        <f aca="false">IF(ISBLANK($C389),"",IF($BR389&lt;&gt;Constants!$B$8,"",IF($BI389="-&gt;",$BK389,$BC389)))</f>
        <v/>
      </c>
      <c r="CN389" s="101" t="str">
        <f aca="false">IF(ISBLANK($C389),"",IF($BR389&lt;&gt;Constants!$B$8,"",IF($BI389="-&gt;",$BL389,$BD389)))</f>
        <v/>
      </c>
      <c r="CO389" s="101" t="str">
        <f aca="false">IF(ISBLANK($C389),"",IF($BR389&lt;&gt;Constants!$B$8,"",IF($BI389="-&gt;",$BM389+$BN389,$BE389+$BF389)+$BV389))</f>
        <v/>
      </c>
      <c r="CP389" s="101" t="str">
        <f aca="false">IF(ISBLANK($C389),"",IF($BR389&lt;&gt;Constants!$B$8,"",IF($BI389="-&gt;",$BO389,$BG389)+$BU389))</f>
        <v/>
      </c>
      <c r="CQ389" s="102" t="str">
        <f aca="false">IF(ISBLANK($C389),"",IF($BR389&lt;&gt;Constants!$B$8,$BR389,$BW389))</f>
        <v/>
      </c>
      <c r="CR389" s="103" t="str">
        <f aca="false">IF(ISBLANK($C389),"",$BS389)</f>
        <v/>
      </c>
      <c r="CS389" s="104" t="str">
        <f aca="false">IF(ISBLANK($C389),"",$CH389)</f>
        <v/>
      </c>
      <c r="CT389" s="104" t="str">
        <f aca="false">IF(ISBLANK($C389),"",$CG389)</f>
        <v/>
      </c>
      <c r="CU389" s="105" t="str">
        <f aca="false">IF(ISBLANK($C389),"",IFERROR(_xlfn.SWITCH($CT389,Constants!$B$11,COUNTA($C$9:$C$508)+2,Constants!$B$10,COUNTA($C$9:$C$508)+1,Constants!$B$9,COUNTA($C$9:$C$508)),$CT389))</f>
        <v/>
      </c>
      <c r="CV389" s="9"/>
      <c r="CW389" s="106" t="n">
        <f aca="false">IF(OR(ISNUMBER($CT389),$CT389=Constants!$B$11,$CT389=Constants!$B$9,$CT389=Constants!$B$10),1,0)</f>
        <v>0</v>
      </c>
      <c r="CX389" s="106" t="n">
        <v>381</v>
      </c>
      <c r="CY389" s="106" t="str">
        <f aca="false">IF(ISBLANK($C389),"",IF(ISNUMBER($CU389),$CU389+ROW($B389)/1000,""))</f>
        <v/>
      </c>
      <c r="CZ389" s="106" t="str">
        <f aca="false">IF(ISNUMBER($CY389),RANK($CY389,$CY$9:$CY$508,1),"")</f>
        <v/>
      </c>
      <c r="DA389" s="106" t="str">
        <f aca="false">IF(ISBLANK($C389),"",$B389)</f>
        <v/>
      </c>
      <c r="DB389" s="106" t="str">
        <f aca="false">IF(ISBLANK($C389),"",$C389)</f>
        <v/>
      </c>
      <c r="DC389" s="106" t="str">
        <f aca="false">IF(ISBLANK($C389),"",$D389)</f>
        <v/>
      </c>
      <c r="DD389" s="107" t="str">
        <f aca="false">$CR389</f>
        <v/>
      </c>
      <c r="DE389" s="108" t="str">
        <f aca="false">$CQ389</f>
        <v/>
      </c>
      <c r="DF389" s="106" t="str">
        <f aca="false">IF(ISBLANK($C389),"",$CT389)</f>
        <v/>
      </c>
      <c r="DG389" s="109" t="str">
        <f aca="false">IF($CX389&gt;$CW$8,"",VLOOKUP($CX389,$CZ$9:$DF$508,7,FALSE()))</f>
        <v/>
      </c>
      <c r="DH389" s="110" t="str">
        <f aca="false">IF($CX389&gt;$CW$8,"",VLOOKUP($CX389,$CZ$9:$DF$508,2,FALSE()))</f>
        <v/>
      </c>
      <c r="DI389" s="110" t="str">
        <f aca="false">IF($CX389&gt;$CW$8,"",VLOOKUP($CX389,$CZ$9:$DF$508,3,FALSE()))</f>
        <v/>
      </c>
      <c r="DJ389" s="110" t="str">
        <f aca="false">IF($CX389&gt;$CW$8,"",VLOOKUP($CX389,$CZ$9:$DF$508,4,FALSE()))</f>
        <v/>
      </c>
      <c r="DK389" s="110" t="str">
        <f aca="false">IF($CX389&gt;$CW$8,"",VLOOKUP($CX389,$CZ$9:$DF$508,5,FALSE()))</f>
        <v/>
      </c>
      <c r="DL389" s="111" t="str">
        <f aca="false">IF($CX389&gt;$CW$8,"",VLOOKUP($CX389,$CZ$9:$DF$508,6,FALSE()))</f>
        <v/>
      </c>
      <c r="DM389" s="75"/>
    </row>
    <row r="390" customFormat="false" ht="15.75" hidden="false" customHeight="false" outlineLevel="0" collapsed="false">
      <c r="A390" s="9"/>
      <c r="B390" s="157"/>
      <c r="C390" s="158"/>
      <c r="D390" s="159"/>
      <c r="E390" s="177"/>
      <c r="F390" s="161"/>
      <c r="G390" s="162"/>
      <c r="H390" s="162"/>
      <c r="I390" s="178"/>
      <c r="J390" s="165"/>
      <c r="K390" s="126"/>
      <c r="L390" s="127"/>
      <c r="M390" s="128"/>
      <c r="N390" s="165"/>
      <c r="O390" s="165"/>
      <c r="P390" s="177"/>
      <c r="Q390" s="165"/>
      <c r="R390" s="165"/>
      <c r="S390" s="126"/>
      <c r="T390" s="128"/>
      <c r="U390" s="128"/>
      <c r="V390" s="165"/>
      <c r="W390" s="165"/>
      <c r="X390" s="177"/>
      <c r="Y390" s="165"/>
      <c r="Z390" s="166"/>
      <c r="AA390" s="165"/>
      <c r="AB390" s="132"/>
      <c r="AC390" s="133"/>
      <c r="AD390" s="133"/>
      <c r="AE390" s="133"/>
      <c r="AF390" s="133" t="str">
        <f aca="false">IF(ISBLANK($C390),"",IF(E390=Constants!$B$3,TRUE(),IF(E390=Constants!$B$4,FALSE(),TRUE())))</f>
        <v/>
      </c>
      <c r="AG390" s="133" t="str">
        <f aca="false">IF(ISBLANK($C390),"",IF(F390=Constants!$B$3,TRUE(),IF(F390=Constants!$B$4,FALSE(),TRUE())))</f>
        <v/>
      </c>
      <c r="AH390" s="133" t="str">
        <f aca="false">IF(ISBLANK($C390),"",IF(G390=Constants!$B$3,TRUE(),IF(G390=Constants!$B$4,FALSE(),TRUE())))</f>
        <v/>
      </c>
      <c r="AI390" s="133" t="str">
        <f aca="false">IF(ISBLANK($C390),"",IF(AND(ISNUMBER(H390),H390&gt;=0),H390,Constants!$B$29))</f>
        <v/>
      </c>
      <c r="AJ390" s="133" t="str">
        <f aca="false">IF(ISBLANK($C390),"",IF(I390=Constants!$B$3,TRUE(),IF(I390=Constants!$B$4,FALSE(),TRUE())))</f>
        <v/>
      </c>
      <c r="AK390" s="133" t="str">
        <f aca="false">IF(ISBLANK($C390),"",IF(J390=Constants!$B$3,TRUE(),IF(J390=Constants!$B$4,FALSE(),TRUE())))</f>
        <v/>
      </c>
      <c r="AL390" s="133" t="str">
        <f aca="false">IF(ISBLANK($C390),"",IF(K390=Constants!$B$5,TRUE(),IF(K390=Constants!$B$6,FALSE(),COUNTA(L390:P390)&gt;0)))</f>
        <v/>
      </c>
      <c r="AM390" s="134" t="str">
        <f aca="false">IF(ISBLANK($C390),"",IF(ISNUMBER(L390),IF(L390&gt;=0,L390,""),""))</f>
        <v/>
      </c>
      <c r="AN390" s="135" t="str">
        <f aca="false">IF(ISBLANK($C390),"",IF(ISNUMBER(M390),IF(M390&gt;=0,M390,""),""))</f>
        <v/>
      </c>
      <c r="AO390" s="135" t="str">
        <f aca="false">IF(ISBLANK($C390),"",IF(N390=Constants!$B$3,TRUE(),IF(N390=Constants!$B$4,FALSE(),TRUE())))</f>
        <v/>
      </c>
      <c r="AP390" s="133" t="str">
        <f aca="false">IF(ISBLANK($C390),"",IF(ISNUMBER(O390),IF(O390&gt;=0,O390,""),""))</f>
        <v/>
      </c>
      <c r="AQ390" s="133" t="str">
        <f aca="false">IF(ISBLANK($C390),"",IF(P390=Constants!$B$3,TRUE(),IF(P390=Constants!$B$4,FALSE(),FALSE())))</f>
        <v/>
      </c>
      <c r="AR390" s="133" t="str">
        <f aca="false">IF(ISBLANK($C390),"",IF(Q390=Constants!$B$3,TRUE(),IF(Q390=Constants!$B$4,FALSE(),TRUE())))</f>
        <v/>
      </c>
      <c r="AS390" s="133" t="str">
        <f aca="false">IF(ISBLANK($C390),"",IF(R390=Constants!$B$3,TRUE(),IF(R390=Constants!$B$4,FALSE(),TRUE())))</f>
        <v/>
      </c>
      <c r="AT390" s="133" t="str">
        <f aca="false">IF(ISBLANK($C390),"",IF(S390=Constants!$B$5,TRUE(),IF(S390=Constants!$B$6,FALSE(),COUNTA(T390:X390)&gt;0)))</f>
        <v/>
      </c>
      <c r="AU390" s="134" t="str">
        <f aca="false">IF(ISBLANK($C390),"",IF(ISNUMBER(T390),IF(T390&gt;=0,T390,""),""))</f>
        <v/>
      </c>
      <c r="AV390" s="135" t="str">
        <f aca="false">IF(ISBLANK($C390),"",IF(ISNUMBER(U390),IF(U390&gt;=0,U390,""),""))</f>
        <v/>
      </c>
      <c r="AW390" s="135" t="str">
        <f aca="false">IF(ISBLANK($C390),"",IF(V390=Constants!$B$3,TRUE(),IF(V390=Constants!$B$4,FALSE(),TRUE())))</f>
        <v/>
      </c>
      <c r="AX390" s="133" t="str">
        <f aca="false">IF(ISBLANK($C390),"",IF(ISNUMBER(W390),IF(W390&gt;=0,W390,""),""))</f>
        <v/>
      </c>
      <c r="AY390" s="133" t="str">
        <f aca="false">IF(ISBLANK($C390),"",IF(X390=Constants!$B$3,TRUE(),IF(X390=Constants!$B$4,FALSE(),FALSE())))</f>
        <v/>
      </c>
      <c r="AZ390" s="133" t="str">
        <f aca="false">IF(ISBLANK($C390),"",MIN(Constants!$B$31,MAX(0,IF(ISNUMBER(Y390),Y390*60,0)+IF(ISNUMBER(Z390),Z390,0))))</f>
        <v/>
      </c>
      <c r="BA390" s="133" t="str">
        <f aca="false">IF(ISBLANK($C390),"",IF(AA390=Constants!$B$3,TRUE(),IF(AA390=Constants!$B$4,FALSE(),FALSE())))</f>
        <v/>
      </c>
      <c r="BB390" s="132" t="str">
        <f aca="false">IF(ISBLANK($C390),"",AND($AL390,OR($AM390="",$AN390="",AND($AO390,$AP390=""))))</f>
        <v/>
      </c>
      <c r="BC390" s="135" t="str">
        <f aca="false">IF($BR390&lt;&gt;Constants!$B$8,"",IF($AL390,Constants!$B$21*$AN390+Constants!$B$22*IF($AO390,$AP390,Constants!$B$23),Constants!$B$24))</f>
        <v/>
      </c>
      <c r="BD390" s="136" t="str">
        <f aca="false">IF($BR390&lt;&gt;Constants!$B$8,"",Constants!$B$25*ABS($AD$9-IF($AL390,$AM390,0)))</f>
        <v/>
      </c>
      <c r="BE390" s="136" t="str">
        <f aca="false">IF($BR390&lt;&gt;Constants!$B$8,"",IF(AND($AL390,$AQ390,$AO390),Constants!$B$27,0))</f>
        <v/>
      </c>
      <c r="BF390" s="136" t="str">
        <f aca="false">IF($BR390&lt;&gt;Constants!$B$8,"",IF($AL390,($AI390-Constants!$B$29)*Constants!$B$28,0))</f>
        <v/>
      </c>
      <c r="BG390" s="136" t="str">
        <f aca="false">IF($BR390&lt;&gt;Constants!$B$8,"",IF($AK390,0,Constants!$B$15)+IF($AJ390,0,Constants!$B$16)+IF($AH390,0,Constants!$B$17))</f>
        <v/>
      </c>
      <c r="BH390" s="137" t="str">
        <f aca="false">IF($BR390&lt;&gt;Constants!$B$8,"",Constants!$B$20+SUM($BC390:$BG390))</f>
        <v/>
      </c>
      <c r="BI390" s="133" t="str">
        <f aca="false">IF($BR390&lt;&gt;Constants!$B$8,"",IF(OR($BP390&lt;$BH390,AND($BP390=$BH390,OR($BK390&lt;$BC390,AND($BK390=$BC390,OR($BL390&lt;$BD390,AND($BL390=$BD390,$AT390,$AL390,$AV390&lt;$AN390)))))),"-&gt;","&lt;-"))</f>
        <v/>
      </c>
      <c r="BJ390" s="132" t="str">
        <f aca="false">IF(ISBLANK($C390),"",AND($AT390,OR($AU390="",$AV390="",AND($AW390,$AX390=""))))</f>
        <v/>
      </c>
      <c r="BK390" s="135" t="str">
        <f aca="false">IF($BR390&lt;&gt;Constants!$B$8,"",IF($AT390,Constants!$B$21*$AV390+Constants!$B$22*IF($AW390,$AX390,Constants!$B$23),Constants!$B$24))</f>
        <v/>
      </c>
      <c r="BL390" s="136" t="str">
        <f aca="false">IF($BR390&lt;&gt;Constants!$B$8,"",Constants!$B$25*ABS($AD$9-IF($AT390,$AU390,0)))</f>
        <v/>
      </c>
      <c r="BM390" s="136" t="str">
        <f aca="false">IF($BR390&lt;&gt;Constants!$B$8,"",IF(AND($AT390,$AY390,$AW390),Constants!$B$27,0))</f>
        <v/>
      </c>
      <c r="BN390" s="136" t="str">
        <f aca="false">IF($BR390&lt;&gt;Constants!$B$8,"",IF($AT390,($AI390-Constants!$B$29)*Constants!$B$28,0))</f>
        <v/>
      </c>
      <c r="BO390" s="136" t="str">
        <f aca="false">IF($BR390&lt;&gt;Constants!$B$8,"",IF($AS390,0,Constants!$B$15)+IF($AR390,0,Constants!$B$16)+IF($AH390,0,Constants!$B$17))</f>
        <v/>
      </c>
      <c r="BP390" s="137" t="str">
        <f aca="false">IF($BR390&lt;&gt;Constants!$B$8,"",Constants!$B$20+SUM($BK390:$BO390))</f>
        <v/>
      </c>
      <c r="BQ390" s="133" t="str">
        <f aca="false">IF(ISBLANK($C390),"",IF(ISBLANK($D$7),$BQ$5,IF(NOT(ISNUMBER($D$7)),$BQ$6,"")))</f>
        <v/>
      </c>
      <c r="BR390" s="133" t="str">
        <f aca="false">IF(ISBLANK($C390),"",IF($BA390,Constants!$B$11,IF(COUNTA($E390:$AA390)=0,Constants!$B$10,IF(NOT($AG390),Constants!$B$9,IF(OR($BQ390&lt;&gt;"",$BB390,$BJ390),Constants!$B$12,Constants!$B$8)))))</f>
        <v/>
      </c>
      <c r="BS390" s="133" t="str">
        <f aca="false">IF(ISBLANK($C390),"",IF($BR390&lt;&gt;Constants!$B$8,$BR390,Constants!$B$13))</f>
        <v/>
      </c>
      <c r="BT390" s="136" t="str">
        <f aca="false">IF($BR390&lt;&gt;Constants!$B$8,"",IF($BI390="-&gt;",$BP390,$BH390))</f>
        <v/>
      </c>
      <c r="BU390" s="136" t="str">
        <f aca="false">IF($BR390&lt;&gt;Constants!$B$8,"",IF($AF390,0,Constants!$B$18))</f>
        <v/>
      </c>
      <c r="BV390" s="136" t="str">
        <f aca="false">IF($BR390&lt;&gt;Constants!$B$8,"",((Constants!$B$31-$AZ390)-Constants!$B$31)/Constants!$B$32)</f>
        <v/>
      </c>
      <c r="BW390" s="136" t="str">
        <f aca="false">IF(ISBLANK($C390),"",IF($BR390&lt;&gt;Constants!$B$8,$BR390,SUM($BT390:$BV390)))</f>
        <v/>
      </c>
      <c r="BX390" s="133" t="str">
        <f aca="false">IF(ISBLANK($C390),"",IF($BR390&lt;&gt;Constants!$B$8,$BR390,RANK($BW390,$BW$9:$BW$508,1)))</f>
        <v/>
      </c>
      <c r="BY390" s="136" t="str">
        <f aca="false">IF($BR390&lt;&gt;Constants!$B$8,"",IF($BI390="-&gt;",$BK390,$BC390))</f>
        <v/>
      </c>
      <c r="BZ390" s="133" t="str">
        <f aca="false">IF(ISBLANK($C390),"",IF($BR390&lt;&gt;Constants!$B$8,$BR390,IF(ISNUMBER($BY390),RANK($BY390,$BY$9:$BY$508,1),COUNT($BY$9:$BY$508)+1)))</f>
        <v/>
      </c>
      <c r="CA390" s="136" t="str">
        <f aca="false">IF($BR390&lt;&gt;Constants!$B$8,"",IF($BI390="-&gt;",$BL390,$BD390))</f>
        <v/>
      </c>
      <c r="CB390" s="133" t="str">
        <f aca="false">IF(ISBLANK($C390),"",IF($BR390&lt;&gt;Constants!$B$8,$BR390,IF(ISNUMBER($CA390),RANK($CA390,$CA$9:$CA$508,1),COUNT($CA$9:$CA$508)+1)))</f>
        <v/>
      </c>
      <c r="CC390" s="136" t="str">
        <f aca="false">IF($BR390&lt;&gt;Constants!$B$8,"",IF($BI390="-&gt;",IF($AT390,$AV390,""),IF($AL390,$AN390,"")))</f>
        <v/>
      </c>
      <c r="CD390" s="133" t="str">
        <f aca="false">IF(ISBLANK($C390),"",IF($BR390&lt;&gt;Constants!$B$8,$BR390,IF(ISNUMBER($CC390),RANK($CC390,$CC$9:$CC$508,1),COUNT($CC$9:$CC$508)+1)))</f>
        <v/>
      </c>
      <c r="CE390" s="136" t="str">
        <f aca="false">IF($BR390&lt;&gt;Constants!$B$8,"",IF(AND(NOT($AL390),NOT($AT390),$AJ390,$AK390,$AR390,$AS390),"",$AI390))</f>
        <v/>
      </c>
      <c r="CF390" s="133" t="str">
        <f aca="false">IF(ISBLANK($C390),"",IF($BR390&lt;&gt;Constants!$B$8,$BR390,IF(ISNUMBER($CE390),RANK($CE390,$CE$9:$CE$508,1),COUNT($CE$9:$CE$508)+1)))</f>
        <v/>
      </c>
      <c r="CG390" s="133" t="str">
        <f aca="false">IF(ISBLANK($C390),"",IF($BR390&lt;&gt;Constants!$B$8,$BR390,COUNTIFS($BX$9:$BX$508,"&lt;"&amp;$BX390)+COUNTIFS($BX$9:$BX$508,$BX390,$BZ$9:$BZ$508,"&lt;"&amp;$BZ390)+COUNTIFS($BX$9:$BX$508,$BX390,$BZ$9:$BZ$508,$BZ390,$CB$9:$CB$508,"&lt;"&amp;$CB390)+COUNTIFS($BX$9:$BX$508,$BX390,$BZ$9:$BZ$508,$BZ390,$CB$9:$CB$508,$CB390,$CD$9:$CD$508,"&lt;"&amp;$CD390)+COUNTIFS($BX$9:$BX$508,$BX390,$BZ$9:$BZ$508,$BZ390,$CB$9:$CB$508,$CB390,$CD$9:$CD$508,$CD390,$CF$9:$CF$508,"&lt;"&amp;$CF390)+1))</f>
        <v/>
      </c>
      <c r="CH390" s="133" t="str">
        <f aca="false">IF(ISBLANK($C390),"",IF($BR390&lt;&gt;Constants!$B$8,$BR390,$BX390-$CG390))</f>
        <v/>
      </c>
      <c r="CI390" s="138"/>
      <c r="CJ390" s="139"/>
      <c r="CK390" s="140" t="str">
        <f aca="false">IF(ISBLANK($C390),"",IF($BR390=Constants!$B$12,$BQ390,""))</f>
        <v/>
      </c>
      <c r="CL390" s="139" t="str">
        <f aca="false">IF(ISBLANK($C390),"",IF($BR390&lt;&gt;Constants!$B$8,"",IF($BI390="-&gt;",2,1)))</f>
        <v/>
      </c>
      <c r="CM390" s="141" t="str">
        <f aca="false">IF(ISBLANK($C390),"",IF($BR390&lt;&gt;Constants!$B$8,"",IF($BI390="-&gt;",$BK390,$BC390)))</f>
        <v/>
      </c>
      <c r="CN390" s="141" t="str">
        <f aca="false">IF(ISBLANK($C390),"",IF($BR390&lt;&gt;Constants!$B$8,"",IF($BI390="-&gt;",$BL390,$BD390)))</f>
        <v/>
      </c>
      <c r="CO390" s="141" t="str">
        <f aca="false">IF(ISBLANK($C390),"",IF($BR390&lt;&gt;Constants!$B$8,"",IF($BI390="-&gt;",$BM390+$BN390,$BE390+$BF390)+$BV390))</f>
        <v/>
      </c>
      <c r="CP390" s="141" t="str">
        <f aca="false">IF(ISBLANK($C390),"",IF($BR390&lt;&gt;Constants!$B$8,"",IF($BI390="-&gt;",$BO390,$BG390)+$BU390))</f>
        <v/>
      </c>
      <c r="CQ390" s="142" t="str">
        <f aca="false">IF(ISBLANK($C390),"",IF($BR390&lt;&gt;Constants!$B$8,$BR390,$BW390))</f>
        <v/>
      </c>
      <c r="CR390" s="143" t="str">
        <f aca="false">IF(ISBLANK($C390),"",$BS390)</f>
        <v/>
      </c>
      <c r="CS390" s="144" t="str">
        <f aca="false">IF(ISBLANK($C390),"",$CH390)</f>
        <v/>
      </c>
      <c r="CT390" s="144" t="str">
        <f aca="false">IF(ISBLANK($C390),"",$CG390)</f>
        <v/>
      </c>
      <c r="CU390" s="145" t="str">
        <f aca="false">IF(ISBLANK($C390),"",IFERROR(_xlfn.SWITCH($CT390,Constants!$B$11,COUNTA($C$9:$C$508)+2,Constants!$B$10,COUNTA($C$9:$C$508)+1,Constants!$B$9,COUNTA($C$9:$C$508)),$CT390))</f>
        <v/>
      </c>
      <c r="CV390" s="9"/>
      <c r="CW390" s="146" t="n">
        <f aca="false">IF(OR(ISNUMBER($CT390),$CT390=Constants!$B$11,$CT390=Constants!$B$9,$CT390=Constants!$B$10),1,0)</f>
        <v>0</v>
      </c>
      <c r="CX390" s="146" t="n">
        <v>382</v>
      </c>
      <c r="CY390" s="146" t="str">
        <f aca="false">IF(ISBLANK($C390),"",IF(ISNUMBER($CU390),$CU390+ROW($B390)/1000,""))</f>
        <v/>
      </c>
      <c r="CZ390" s="146" t="str">
        <f aca="false">IF(ISNUMBER($CY390),RANK($CY390,$CY$9:$CY$508,1),"")</f>
        <v/>
      </c>
      <c r="DA390" s="146" t="str">
        <f aca="false">IF(ISBLANK($C390),"",$B390)</f>
        <v/>
      </c>
      <c r="DB390" s="146" t="str">
        <f aca="false">IF(ISBLANK($C390),"",$C390)</f>
        <v/>
      </c>
      <c r="DC390" s="146" t="str">
        <f aca="false">IF(ISBLANK($C390),"",$D390)</f>
        <v/>
      </c>
      <c r="DD390" s="147" t="str">
        <f aca="false">$CR390</f>
        <v/>
      </c>
      <c r="DE390" s="148" t="str">
        <f aca="false">$CQ390</f>
        <v/>
      </c>
      <c r="DF390" s="146" t="str">
        <f aca="false">IF(ISBLANK($C390),"",$CT390)</f>
        <v/>
      </c>
      <c r="DG390" s="149" t="str">
        <f aca="false">IF($CX390&gt;$CW$8,"",VLOOKUP($CX390,$CZ$9:$DF$508,7,FALSE()))</f>
        <v/>
      </c>
      <c r="DH390" s="150" t="str">
        <f aca="false">IF($CX390&gt;$CW$8,"",VLOOKUP($CX390,$CZ$9:$DF$508,2,FALSE()))</f>
        <v/>
      </c>
      <c r="DI390" s="150" t="str">
        <f aca="false">IF($CX390&gt;$CW$8,"",VLOOKUP($CX390,$CZ$9:$DF$508,3,FALSE()))</f>
        <v/>
      </c>
      <c r="DJ390" s="150" t="str">
        <f aca="false">IF($CX390&gt;$CW$8,"",VLOOKUP($CX390,$CZ$9:$DF$508,4,FALSE()))</f>
        <v/>
      </c>
      <c r="DK390" s="150" t="str">
        <f aca="false">IF($CX390&gt;$CW$8,"",VLOOKUP($CX390,$CZ$9:$DF$508,5,FALSE()))</f>
        <v/>
      </c>
      <c r="DL390" s="151" t="str">
        <f aca="false">IF($CX390&gt;$CW$8,"",VLOOKUP($CX390,$CZ$9:$DF$508,6,FALSE()))</f>
        <v/>
      </c>
      <c r="DM390" s="75"/>
    </row>
    <row r="391" customFormat="false" ht="15.75" hidden="false" customHeight="false" outlineLevel="0" collapsed="false">
      <c r="A391" s="9"/>
      <c r="B391" s="157"/>
      <c r="C391" s="158"/>
      <c r="D391" s="159"/>
      <c r="E391" s="177"/>
      <c r="F391" s="161"/>
      <c r="G391" s="162"/>
      <c r="H391" s="162"/>
      <c r="I391" s="178"/>
      <c r="J391" s="165"/>
      <c r="K391" s="126"/>
      <c r="L391" s="127"/>
      <c r="M391" s="128"/>
      <c r="N391" s="165"/>
      <c r="O391" s="165"/>
      <c r="P391" s="177"/>
      <c r="Q391" s="165"/>
      <c r="R391" s="165"/>
      <c r="S391" s="126"/>
      <c r="T391" s="128"/>
      <c r="U391" s="128"/>
      <c r="V391" s="165"/>
      <c r="W391" s="165"/>
      <c r="X391" s="177"/>
      <c r="Y391" s="165"/>
      <c r="Z391" s="166"/>
      <c r="AA391" s="165"/>
      <c r="AB391" s="132"/>
      <c r="AC391" s="133"/>
      <c r="AD391" s="133"/>
      <c r="AE391" s="133"/>
      <c r="AF391" s="133" t="str">
        <f aca="false">IF(ISBLANK($C391),"",IF(E391=Constants!$B$3,TRUE(),IF(E391=Constants!$B$4,FALSE(),TRUE())))</f>
        <v/>
      </c>
      <c r="AG391" s="133" t="str">
        <f aca="false">IF(ISBLANK($C391),"",IF(F391=Constants!$B$3,TRUE(),IF(F391=Constants!$B$4,FALSE(),TRUE())))</f>
        <v/>
      </c>
      <c r="AH391" s="133" t="str">
        <f aca="false">IF(ISBLANK($C391),"",IF(G391=Constants!$B$3,TRUE(),IF(G391=Constants!$B$4,FALSE(),TRUE())))</f>
        <v/>
      </c>
      <c r="AI391" s="133" t="str">
        <f aca="false">IF(ISBLANK($C391),"",IF(AND(ISNUMBER(H391),H391&gt;=0),H391,Constants!$B$29))</f>
        <v/>
      </c>
      <c r="AJ391" s="133" t="str">
        <f aca="false">IF(ISBLANK($C391),"",IF(I391=Constants!$B$3,TRUE(),IF(I391=Constants!$B$4,FALSE(),TRUE())))</f>
        <v/>
      </c>
      <c r="AK391" s="133" t="str">
        <f aca="false">IF(ISBLANK($C391),"",IF(J391=Constants!$B$3,TRUE(),IF(J391=Constants!$B$4,FALSE(),TRUE())))</f>
        <v/>
      </c>
      <c r="AL391" s="133" t="str">
        <f aca="false">IF(ISBLANK($C391),"",IF(K391=Constants!$B$5,TRUE(),IF(K391=Constants!$B$6,FALSE(),COUNTA(L391:P391)&gt;0)))</f>
        <v/>
      </c>
      <c r="AM391" s="134" t="str">
        <f aca="false">IF(ISBLANK($C391),"",IF(ISNUMBER(L391),IF(L391&gt;=0,L391,""),""))</f>
        <v/>
      </c>
      <c r="AN391" s="135" t="str">
        <f aca="false">IF(ISBLANK($C391),"",IF(ISNUMBER(M391),IF(M391&gt;=0,M391,""),""))</f>
        <v/>
      </c>
      <c r="AO391" s="135" t="str">
        <f aca="false">IF(ISBLANK($C391),"",IF(N391=Constants!$B$3,TRUE(),IF(N391=Constants!$B$4,FALSE(),TRUE())))</f>
        <v/>
      </c>
      <c r="AP391" s="133" t="str">
        <f aca="false">IF(ISBLANK($C391),"",IF(ISNUMBER(O391),IF(O391&gt;=0,O391,""),""))</f>
        <v/>
      </c>
      <c r="AQ391" s="133" t="str">
        <f aca="false">IF(ISBLANK($C391),"",IF(P391=Constants!$B$3,TRUE(),IF(P391=Constants!$B$4,FALSE(),FALSE())))</f>
        <v/>
      </c>
      <c r="AR391" s="133" t="str">
        <f aca="false">IF(ISBLANK($C391),"",IF(Q391=Constants!$B$3,TRUE(),IF(Q391=Constants!$B$4,FALSE(),TRUE())))</f>
        <v/>
      </c>
      <c r="AS391" s="133" t="str">
        <f aca="false">IF(ISBLANK($C391),"",IF(R391=Constants!$B$3,TRUE(),IF(R391=Constants!$B$4,FALSE(),TRUE())))</f>
        <v/>
      </c>
      <c r="AT391" s="133" t="str">
        <f aca="false">IF(ISBLANK($C391),"",IF(S391=Constants!$B$5,TRUE(),IF(S391=Constants!$B$6,FALSE(),COUNTA(T391:X391)&gt;0)))</f>
        <v/>
      </c>
      <c r="AU391" s="134" t="str">
        <f aca="false">IF(ISBLANK($C391),"",IF(ISNUMBER(T391),IF(T391&gt;=0,T391,""),""))</f>
        <v/>
      </c>
      <c r="AV391" s="135" t="str">
        <f aca="false">IF(ISBLANK($C391),"",IF(ISNUMBER(U391),IF(U391&gt;=0,U391,""),""))</f>
        <v/>
      </c>
      <c r="AW391" s="135" t="str">
        <f aca="false">IF(ISBLANK($C391),"",IF(V391=Constants!$B$3,TRUE(),IF(V391=Constants!$B$4,FALSE(),TRUE())))</f>
        <v/>
      </c>
      <c r="AX391" s="133" t="str">
        <f aca="false">IF(ISBLANK($C391),"",IF(ISNUMBER(W391),IF(W391&gt;=0,W391,""),""))</f>
        <v/>
      </c>
      <c r="AY391" s="133" t="str">
        <f aca="false">IF(ISBLANK($C391),"",IF(X391=Constants!$B$3,TRUE(),IF(X391=Constants!$B$4,FALSE(),FALSE())))</f>
        <v/>
      </c>
      <c r="AZ391" s="133" t="str">
        <f aca="false">IF(ISBLANK($C391),"",MIN(Constants!$B$31,MAX(0,IF(ISNUMBER(Y391),Y391*60,0)+IF(ISNUMBER(Z391),Z391,0))))</f>
        <v/>
      </c>
      <c r="BA391" s="133" t="str">
        <f aca="false">IF(ISBLANK($C391),"",IF(AA391=Constants!$B$3,TRUE(),IF(AA391=Constants!$B$4,FALSE(),FALSE())))</f>
        <v/>
      </c>
      <c r="BB391" s="132" t="str">
        <f aca="false">IF(ISBLANK($C391),"",AND($AL391,OR($AM391="",$AN391="",AND($AO391,$AP391=""))))</f>
        <v/>
      </c>
      <c r="BC391" s="135" t="str">
        <f aca="false">IF($BR391&lt;&gt;Constants!$B$8,"",IF($AL391,Constants!$B$21*$AN391+Constants!$B$22*IF($AO391,$AP391,Constants!$B$23),Constants!$B$24))</f>
        <v/>
      </c>
      <c r="BD391" s="136" t="str">
        <f aca="false">IF($BR391&lt;&gt;Constants!$B$8,"",Constants!$B$25*ABS($AD$9-IF($AL391,$AM391,0)))</f>
        <v/>
      </c>
      <c r="BE391" s="136" t="str">
        <f aca="false">IF($BR391&lt;&gt;Constants!$B$8,"",IF(AND($AL391,$AQ391,$AO391),Constants!$B$27,0))</f>
        <v/>
      </c>
      <c r="BF391" s="136" t="str">
        <f aca="false">IF($BR391&lt;&gt;Constants!$B$8,"",IF($AL391,($AI391-Constants!$B$29)*Constants!$B$28,0))</f>
        <v/>
      </c>
      <c r="BG391" s="136" t="str">
        <f aca="false">IF($BR391&lt;&gt;Constants!$B$8,"",IF($AK391,0,Constants!$B$15)+IF($AJ391,0,Constants!$B$16)+IF($AH391,0,Constants!$B$17))</f>
        <v/>
      </c>
      <c r="BH391" s="137" t="str">
        <f aca="false">IF($BR391&lt;&gt;Constants!$B$8,"",Constants!$B$20+SUM($BC391:$BG391))</f>
        <v/>
      </c>
      <c r="BI391" s="133" t="str">
        <f aca="false">IF($BR391&lt;&gt;Constants!$B$8,"",IF(OR($BP391&lt;$BH391,AND($BP391=$BH391,OR($BK391&lt;$BC391,AND($BK391=$BC391,OR($BL391&lt;$BD391,AND($BL391=$BD391,$AT391,$AL391,$AV391&lt;$AN391)))))),"-&gt;","&lt;-"))</f>
        <v/>
      </c>
      <c r="BJ391" s="132" t="str">
        <f aca="false">IF(ISBLANK($C391),"",AND($AT391,OR($AU391="",$AV391="",AND($AW391,$AX391=""))))</f>
        <v/>
      </c>
      <c r="BK391" s="135" t="str">
        <f aca="false">IF($BR391&lt;&gt;Constants!$B$8,"",IF($AT391,Constants!$B$21*$AV391+Constants!$B$22*IF($AW391,$AX391,Constants!$B$23),Constants!$B$24))</f>
        <v/>
      </c>
      <c r="BL391" s="136" t="str">
        <f aca="false">IF($BR391&lt;&gt;Constants!$B$8,"",Constants!$B$25*ABS($AD$9-IF($AT391,$AU391,0)))</f>
        <v/>
      </c>
      <c r="BM391" s="136" t="str">
        <f aca="false">IF($BR391&lt;&gt;Constants!$B$8,"",IF(AND($AT391,$AY391,$AW391),Constants!$B$27,0))</f>
        <v/>
      </c>
      <c r="BN391" s="136" t="str">
        <f aca="false">IF($BR391&lt;&gt;Constants!$B$8,"",IF($AT391,($AI391-Constants!$B$29)*Constants!$B$28,0))</f>
        <v/>
      </c>
      <c r="BO391" s="136" t="str">
        <f aca="false">IF($BR391&lt;&gt;Constants!$B$8,"",IF($AS391,0,Constants!$B$15)+IF($AR391,0,Constants!$B$16)+IF($AH391,0,Constants!$B$17))</f>
        <v/>
      </c>
      <c r="BP391" s="137" t="str">
        <f aca="false">IF($BR391&lt;&gt;Constants!$B$8,"",Constants!$B$20+SUM($BK391:$BO391))</f>
        <v/>
      </c>
      <c r="BQ391" s="133" t="str">
        <f aca="false">IF(ISBLANK($C391),"",IF(ISBLANK($D$7),$BQ$5,IF(NOT(ISNUMBER($D$7)),$BQ$6,"")))</f>
        <v/>
      </c>
      <c r="BR391" s="133" t="str">
        <f aca="false">IF(ISBLANK($C391),"",IF($BA391,Constants!$B$11,IF(COUNTA($E391:$AA391)=0,Constants!$B$10,IF(NOT($AG391),Constants!$B$9,IF(OR($BQ391&lt;&gt;"",$BB391,$BJ391),Constants!$B$12,Constants!$B$8)))))</f>
        <v/>
      </c>
      <c r="BS391" s="133" t="str">
        <f aca="false">IF(ISBLANK($C391),"",IF($BR391&lt;&gt;Constants!$B$8,$BR391,Constants!$B$13))</f>
        <v/>
      </c>
      <c r="BT391" s="136" t="str">
        <f aca="false">IF($BR391&lt;&gt;Constants!$B$8,"",IF($BI391="-&gt;",$BP391,$BH391))</f>
        <v/>
      </c>
      <c r="BU391" s="136" t="str">
        <f aca="false">IF($BR391&lt;&gt;Constants!$B$8,"",IF($AF391,0,Constants!$B$18))</f>
        <v/>
      </c>
      <c r="BV391" s="136" t="str">
        <f aca="false">IF($BR391&lt;&gt;Constants!$B$8,"",((Constants!$B$31-$AZ391)-Constants!$B$31)/Constants!$B$32)</f>
        <v/>
      </c>
      <c r="BW391" s="136" t="str">
        <f aca="false">IF(ISBLANK($C391),"",IF($BR391&lt;&gt;Constants!$B$8,$BR391,SUM($BT391:$BV391)))</f>
        <v/>
      </c>
      <c r="BX391" s="133" t="str">
        <f aca="false">IF(ISBLANK($C391),"",IF($BR391&lt;&gt;Constants!$B$8,$BR391,RANK($BW391,$BW$9:$BW$508,1)))</f>
        <v/>
      </c>
      <c r="BY391" s="136" t="str">
        <f aca="false">IF($BR391&lt;&gt;Constants!$B$8,"",IF($BI391="-&gt;",$BK391,$BC391))</f>
        <v/>
      </c>
      <c r="BZ391" s="133" t="str">
        <f aca="false">IF(ISBLANK($C391),"",IF($BR391&lt;&gt;Constants!$B$8,$BR391,IF(ISNUMBER($BY391),RANK($BY391,$BY$9:$BY$508,1),COUNT($BY$9:$BY$508)+1)))</f>
        <v/>
      </c>
      <c r="CA391" s="136" t="str">
        <f aca="false">IF($BR391&lt;&gt;Constants!$B$8,"",IF($BI391="-&gt;",$BL391,$BD391))</f>
        <v/>
      </c>
      <c r="CB391" s="133" t="str">
        <f aca="false">IF(ISBLANK($C391),"",IF($BR391&lt;&gt;Constants!$B$8,$BR391,IF(ISNUMBER($CA391),RANK($CA391,$CA$9:$CA$508,1),COUNT($CA$9:$CA$508)+1)))</f>
        <v/>
      </c>
      <c r="CC391" s="136" t="str">
        <f aca="false">IF($BR391&lt;&gt;Constants!$B$8,"",IF($BI391="-&gt;",IF($AT391,$AV391,""),IF($AL391,$AN391,"")))</f>
        <v/>
      </c>
      <c r="CD391" s="133" t="str">
        <f aca="false">IF(ISBLANK($C391),"",IF($BR391&lt;&gt;Constants!$B$8,$BR391,IF(ISNUMBER($CC391),RANK($CC391,$CC$9:$CC$508,1),COUNT($CC$9:$CC$508)+1)))</f>
        <v/>
      </c>
      <c r="CE391" s="136" t="str">
        <f aca="false">IF($BR391&lt;&gt;Constants!$B$8,"",IF(AND(NOT($AL391),NOT($AT391),$AJ391,$AK391,$AR391,$AS391),"",$AI391))</f>
        <v/>
      </c>
      <c r="CF391" s="133" t="str">
        <f aca="false">IF(ISBLANK($C391),"",IF($BR391&lt;&gt;Constants!$B$8,$BR391,IF(ISNUMBER($CE391),RANK($CE391,$CE$9:$CE$508,1),COUNT($CE$9:$CE$508)+1)))</f>
        <v/>
      </c>
      <c r="CG391" s="133" t="str">
        <f aca="false">IF(ISBLANK($C391),"",IF($BR391&lt;&gt;Constants!$B$8,$BR391,COUNTIFS($BX$9:$BX$508,"&lt;"&amp;$BX391)+COUNTIFS($BX$9:$BX$508,$BX391,$BZ$9:$BZ$508,"&lt;"&amp;$BZ391)+COUNTIFS($BX$9:$BX$508,$BX391,$BZ$9:$BZ$508,$BZ391,$CB$9:$CB$508,"&lt;"&amp;$CB391)+COUNTIFS($BX$9:$BX$508,$BX391,$BZ$9:$BZ$508,$BZ391,$CB$9:$CB$508,$CB391,$CD$9:$CD$508,"&lt;"&amp;$CD391)+COUNTIFS($BX$9:$BX$508,$BX391,$BZ$9:$BZ$508,$BZ391,$CB$9:$CB$508,$CB391,$CD$9:$CD$508,$CD391,$CF$9:$CF$508,"&lt;"&amp;$CF391)+1))</f>
        <v/>
      </c>
      <c r="CH391" s="133" t="str">
        <f aca="false">IF(ISBLANK($C391),"",IF($BR391&lt;&gt;Constants!$B$8,$BR391,$BX391-$CG391))</f>
        <v/>
      </c>
      <c r="CI391" s="138"/>
      <c r="CJ391" s="139"/>
      <c r="CK391" s="140" t="str">
        <f aca="false">IF(ISBLANK($C391),"",IF($BR391=Constants!$B$12,$BQ391,""))</f>
        <v/>
      </c>
      <c r="CL391" s="139" t="str">
        <f aca="false">IF(ISBLANK($C391),"",IF($BR391&lt;&gt;Constants!$B$8,"",IF($BI391="-&gt;",2,1)))</f>
        <v/>
      </c>
      <c r="CM391" s="141" t="str">
        <f aca="false">IF(ISBLANK($C391),"",IF($BR391&lt;&gt;Constants!$B$8,"",IF($BI391="-&gt;",$BK391,$BC391)))</f>
        <v/>
      </c>
      <c r="CN391" s="141" t="str">
        <f aca="false">IF(ISBLANK($C391),"",IF($BR391&lt;&gt;Constants!$B$8,"",IF($BI391="-&gt;",$BL391,$BD391)))</f>
        <v/>
      </c>
      <c r="CO391" s="141" t="str">
        <f aca="false">IF(ISBLANK($C391),"",IF($BR391&lt;&gt;Constants!$B$8,"",IF($BI391="-&gt;",$BM391+$BN391,$BE391+$BF391)+$BV391))</f>
        <v/>
      </c>
      <c r="CP391" s="141" t="str">
        <f aca="false">IF(ISBLANK($C391),"",IF($BR391&lt;&gt;Constants!$B$8,"",IF($BI391="-&gt;",$BO391,$BG391)+$BU391))</f>
        <v/>
      </c>
      <c r="CQ391" s="142" t="str">
        <f aca="false">IF(ISBLANK($C391),"",IF($BR391&lt;&gt;Constants!$B$8,$BR391,$BW391))</f>
        <v/>
      </c>
      <c r="CR391" s="143" t="str">
        <f aca="false">IF(ISBLANK($C391),"",$BS391)</f>
        <v/>
      </c>
      <c r="CS391" s="144" t="str">
        <f aca="false">IF(ISBLANK($C391),"",$CH391)</f>
        <v/>
      </c>
      <c r="CT391" s="144" t="str">
        <f aca="false">IF(ISBLANK($C391),"",$CG391)</f>
        <v/>
      </c>
      <c r="CU391" s="145" t="str">
        <f aca="false">IF(ISBLANK($C391),"",IFERROR(_xlfn.SWITCH($CT391,Constants!$B$11,COUNTA($C$9:$C$508)+2,Constants!$B$10,COUNTA($C$9:$C$508)+1,Constants!$B$9,COUNTA($C$9:$C$508)),$CT391))</f>
        <v/>
      </c>
      <c r="CV391" s="9"/>
      <c r="CW391" s="146" t="n">
        <f aca="false">IF(OR(ISNUMBER($CT391),$CT391=Constants!$B$11,$CT391=Constants!$B$9,$CT391=Constants!$B$10),1,0)</f>
        <v>0</v>
      </c>
      <c r="CX391" s="146" t="n">
        <v>383</v>
      </c>
      <c r="CY391" s="146" t="str">
        <f aca="false">IF(ISBLANK($C391),"",IF(ISNUMBER($CU391),$CU391+ROW($B391)/1000,""))</f>
        <v/>
      </c>
      <c r="CZ391" s="146" t="str">
        <f aca="false">IF(ISNUMBER($CY391),RANK($CY391,$CY$9:$CY$508,1),"")</f>
        <v/>
      </c>
      <c r="DA391" s="146" t="str">
        <f aca="false">IF(ISBLANK($C391),"",$B391)</f>
        <v/>
      </c>
      <c r="DB391" s="146" t="str">
        <f aca="false">IF(ISBLANK($C391),"",$C391)</f>
        <v/>
      </c>
      <c r="DC391" s="146" t="str">
        <f aca="false">IF(ISBLANK($C391),"",$D391)</f>
        <v/>
      </c>
      <c r="DD391" s="147" t="str">
        <f aca="false">$CR391</f>
        <v/>
      </c>
      <c r="DE391" s="148" t="str">
        <f aca="false">$CQ391</f>
        <v/>
      </c>
      <c r="DF391" s="146" t="str">
        <f aca="false">IF(ISBLANK($C391),"",$CT391)</f>
        <v/>
      </c>
      <c r="DG391" s="149" t="str">
        <f aca="false">IF($CX391&gt;$CW$8,"",VLOOKUP($CX391,$CZ$9:$DF$508,7,FALSE()))</f>
        <v/>
      </c>
      <c r="DH391" s="150" t="str">
        <f aca="false">IF($CX391&gt;$CW$8,"",VLOOKUP($CX391,$CZ$9:$DF$508,2,FALSE()))</f>
        <v/>
      </c>
      <c r="DI391" s="150" t="str">
        <f aca="false">IF($CX391&gt;$CW$8,"",VLOOKUP($CX391,$CZ$9:$DF$508,3,FALSE()))</f>
        <v/>
      </c>
      <c r="DJ391" s="150" t="str">
        <f aca="false">IF($CX391&gt;$CW$8,"",VLOOKUP($CX391,$CZ$9:$DF$508,4,FALSE()))</f>
        <v/>
      </c>
      <c r="DK391" s="150" t="str">
        <f aca="false">IF($CX391&gt;$CW$8,"",VLOOKUP($CX391,$CZ$9:$DF$508,5,FALSE()))</f>
        <v/>
      </c>
      <c r="DL391" s="151" t="str">
        <f aca="false">IF($CX391&gt;$CW$8,"",VLOOKUP($CX391,$CZ$9:$DF$508,6,FALSE()))</f>
        <v/>
      </c>
      <c r="DM391" s="75"/>
    </row>
    <row r="392" customFormat="false" ht="15.75" hidden="false" customHeight="false" outlineLevel="0" collapsed="false">
      <c r="A392" s="9"/>
      <c r="B392" s="157"/>
      <c r="C392" s="158"/>
      <c r="D392" s="159"/>
      <c r="E392" s="177"/>
      <c r="F392" s="161"/>
      <c r="G392" s="162"/>
      <c r="H392" s="162"/>
      <c r="I392" s="178"/>
      <c r="J392" s="165"/>
      <c r="K392" s="126"/>
      <c r="L392" s="127"/>
      <c r="M392" s="128"/>
      <c r="N392" s="165"/>
      <c r="O392" s="165"/>
      <c r="P392" s="177"/>
      <c r="Q392" s="165"/>
      <c r="R392" s="165"/>
      <c r="S392" s="126"/>
      <c r="T392" s="128"/>
      <c r="U392" s="128"/>
      <c r="V392" s="165"/>
      <c r="W392" s="165"/>
      <c r="X392" s="177"/>
      <c r="Y392" s="165"/>
      <c r="Z392" s="166"/>
      <c r="AA392" s="165"/>
      <c r="AB392" s="132"/>
      <c r="AC392" s="133"/>
      <c r="AD392" s="133"/>
      <c r="AE392" s="133"/>
      <c r="AF392" s="133" t="str">
        <f aca="false">IF(ISBLANK($C392),"",IF(E392=Constants!$B$3,TRUE(),IF(E392=Constants!$B$4,FALSE(),TRUE())))</f>
        <v/>
      </c>
      <c r="AG392" s="133" t="str">
        <f aca="false">IF(ISBLANK($C392),"",IF(F392=Constants!$B$3,TRUE(),IF(F392=Constants!$B$4,FALSE(),TRUE())))</f>
        <v/>
      </c>
      <c r="AH392" s="133" t="str">
        <f aca="false">IF(ISBLANK($C392),"",IF(G392=Constants!$B$3,TRUE(),IF(G392=Constants!$B$4,FALSE(),TRUE())))</f>
        <v/>
      </c>
      <c r="AI392" s="133" t="str">
        <f aca="false">IF(ISBLANK($C392),"",IF(AND(ISNUMBER(H392),H392&gt;=0),H392,Constants!$B$29))</f>
        <v/>
      </c>
      <c r="AJ392" s="133" t="str">
        <f aca="false">IF(ISBLANK($C392),"",IF(I392=Constants!$B$3,TRUE(),IF(I392=Constants!$B$4,FALSE(),TRUE())))</f>
        <v/>
      </c>
      <c r="AK392" s="133" t="str">
        <f aca="false">IF(ISBLANK($C392),"",IF(J392=Constants!$B$3,TRUE(),IF(J392=Constants!$B$4,FALSE(),TRUE())))</f>
        <v/>
      </c>
      <c r="AL392" s="133" t="str">
        <f aca="false">IF(ISBLANK($C392),"",IF(K392=Constants!$B$5,TRUE(),IF(K392=Constants!$B$6,FALSE(),COUNTA(L392:P392)&gt;0)))</f>
        <v/>
      </c>
      <c r="AM392" s="134" t="str">
        <f aca="false">IF(ISBLANK($C392),"",IF(ISNUMBER(L392),IF(L392&gt;=0,L392,""),""))</f>
        <v/>
      </c>
      <c r="AN392" s="135" t="str">
        <f aca="false">IF(ISBLANK($C392),"",IF(ISNUMBER(M392),IF(M392&gt;=0,M392,""),""))</f>
        <v/>
      </c>
      <c r="AO392" s="135" t="str">
        <f aca="false">IF(ISBLANK($C392),"",IF(N392=Constants!$B$3,TRUE(),IF(N392=Constants!$B$4,FALSE(),TRUE())))</f>
        <v/>
      </c>
      <c r="AP392" s="133" t="str">
        <f aca="false">IF(ISBLANK($C392),"",IF(ISNUMBER(O392),IF(O392&gt;=0,O392,""),""))</f>
        <v/>
      </c>
      <c r="AQ392" s="133" t="str">
        <f aca="false">IF(ISBLANK($C392),"",IF(P392=Constants!$B$3,TRUE(),IF(P392=Constants!$B$4,FALSE(),FALSE())))</f>
        <v/>
      </c>
      <c r="AR392" s="133" t="str">
        <f aca="false">IF(ISBLANK($C392),"",IF(Q392=Constants!$B$3,TRUE(),IF(Q392=Constants!$B$4,FALSE(),TRUE())))</f>
        <v/>
      </c>
      <c r="AS392" s="133" t="str">
        <f aca="false">IF(ISBLANK($C392),"",IF(R392=Constants!$B$3,TRUE(),IF(R392=Constants!$B$4,FALSE(),TRUE())))</f>
        <v/>
      </c>
      <c r="AT392" s="133" t="str">
        <f aca="false">IF(ISBLANK($C392),"",IF(S392=Constants!$B$5,TRUE(),IF(S392=Constants!$B$6,FALSE(),COUNTA(T392:X392)&gt;0)))</f>
        <v/>
      </c>
      <c r="AU392" s="134" t="str">
        <f aca="false">IF(ISBLANK($C392),"",IF(ISNUMBER(T392),IF(T392&gt;=0,T392,""),""))</f>
        <v/>
      </c>
      <c r="AV392" s="135" t="str">
        <f aca="false">IF(ISBLANK($C392),"",IF(ISNUMBER(U392),IF(U392&gt;=0,U392,""),""))</f>
        <v/>
      </c>
      <c r="AW392" s="135" t="str">
        <f aca="false">IF(ISBLANK($C392),"",IF(V392=Constants!$B$3,TRUE(),IF(V392=Constants!$B$4,FALSE(),TRUE())))</f>
        <v/>
      </c>
      <c r="AX392" s="133" t="str">
        <f aca="false">IF(ISBLANK($C392),"",IF(ISNUMBER(W392),IF(W392&gt;=0,W392,""),""))</f>
        <v/>
      </c>
      <c r="AY392" s="133" t="str">
        <f aca="false">IF(ISBLANK($C392),"",IF(X392=Constants!$B$3,TRUE(),IF(X392=Constants!$B$4,FALSE(),FALSE())))</f>
        <v/>
      </c>
      <c r="AZ392" s="133" t="str">
        <f aca="false">IF(ISBLANK($C392),"",MIN(Constants!$B$31,MAX(0,IF(ISNUMBER(Y392),Y392*60,0)+IF(ISNUMBER(Z392),Z392,0))))</f>
        <v/>
      </c>
      <c r="BA392" s="133" t="str">
        <f aca="false">IF(ISBLANK($C392),"",IF(AA392=Constants!$B$3,TRUE(),IF(AA392=Constants!$B$4,FALSE(),FALSE())))</f>
        <v/>
      </c>
      <c r="BB392" s="132" t="str">
        <f aca="false">IF(ISBLANK($C392),"",AND($AL392,OR($AM392="",$AN392="",AND($AO392,$AP392=""))))</f>
        <v/>
      </c>
      <c r="BC392" s="135" t="str">
        <f aca="false">IF($BR392&lt;&gt;Constants!$B$8,"",IF($AL392,Constants!$B$21*$AN392+Constants!$B$22*IF($AO392,$AP392,Constants!$B$23),Constants!$B$24))</f>
        <v/>
      </c>
      <c r="BD392" s="136" t="str">
        <f aca="false">IF($BR392&lt;&gt;Constants!$B$8,"",Constants!$B$25*ABS($AD$9-IF($AL392,$AM392,0)))</f>
        <v/>
      </c>
      <c r="BE392" s="136" t="str">
        <f aca="false">IF($BR392&lt;&gt;Constants!$B$8,"",IF(AND($AL392,$AQ392,$AO392),Constants!$B$27,0))</f>
        <v/>
      </c>
      <c r="BF392" s="136" t="str">
        <f aca="false">IF($BR392&lt;&gt;Constants!$B$8,"",IF($AL392,($AI392-Constants!$B$29)*Constants!$B$28,0))</f>
        <v/>
      </c>
      <c r="BG392" s="136" t="str">
        <f aca="false">IF($BR392&lt;&gt;Constants!$B$8,"",IF($AK392,0,Constants!$B$15)+IF($AJ392,0,Constants!$B$16)+IF($AH392,0,Constants!$B$17))</f>
        <v/>
      </c>
      <c r="BH392" s="137" t="str">
        <f aca="false">IF($BR392&lt;&gt;Constants!$B$8,"",Constants!$B$20+SUM($BC392:$BG392))</f>
        <v/>
      </c>
      <c r="BI392" s="133" t="str">
        <f aca="false">IF($BR392&lt;&gt;Constants!$B$8,"",IF(OR($BP392&lt;$BH392,AND($BP392=$BH392,OR($BK392&lt;$BC392,AND($BK392=$BC392,OR($BL392&lt;$BD392,AND($BL392=$BD392,$AT392,$AL392,$AV392&lt;$AN392)))))),"-&gt;","&lt;-"))</f>
        <v/>
      </c>
      <c r="BJ392" s="132" t="str">
        <f aca="false">IF(ISBLANK($C392),"",AND($AT392,OR($AU392="",$AV392="",AND($AW392,$AX392=""))))</f>
        <v/>
      </c>
      <c r="BK392" s="135" t="str">
        <f aca="false">IF($BR392&lt;&gt;Constants!$B$8,"",IF($AT392,Constants!$B$21*$AV392+Constants!$B$22*IF($AW392,$AX392,Constants!$B$23),Constants!$B$24))</f>
        <v/>
      </c>
      <c r="BL392" s="136" t="str">
        <f aca="false">IF($BR392&lt;&gt;Constants!$B$8,"",Constants!$B$25*ABS($AD$9-IF($AT392,$AU392,0)))</f>
        <v/>
      </c>
      <c r="BM392" s="136" t="str">
        <f aca="false">IF($BR392&lt;&gt;Constants!$B$8,"",IF(AND($AT392,$AY392,$AW392),Constants!$B$27,0))</f>
        <v/>
      </c>
      <c r="BN392" s="136" t="str">
        <f aca="false">IF($BR392&lt;&gt;Constants!$B$8,"",IF($AT392,($AI392-Constants!$B$29)*Constants!$B$28,0))</f>
        <v/>
      </c>
      <c r="BO392" s="136" t="str">
        <f aca="false">IF($BR392&lt;&gt;Constants!$B$8,"",IF($AS392,0,Constants!$B$15)+IF($AR392,0,Constants!$B$16)+IF($AH392,0,Constants!$B$17))</f>
        <v/>
      </c>
      <c r="BP392" s="137" t="str">
        <f aca="false">IF($BR392&lt;&gt;Constants!$B$8,"",Constants!$B$20+SUM($BK392:$BO392))</f>
        <v/>
      </c>
      <c r="BQ392" s="133" t="str">
        <f aca="false">IF(ISBLANK($C392),"",IF(ISBLANK($D$7),$BQ$5,IF(NOT(ISNUMBER($D$7)),$BQ$6,"")))</f>
        <v/>
      </c>
      <c r="BR392" s="133" t="str">
        <f aca="false">IF(ISBLANK($C392),"",IF($BA392,Constants!$B$11,IF(COUNTA($E392:$AA392)=0,Constants!$B$10,IF(NOT($AG392),Constants!$B$9,IF(OR($BQ392&lt;&gt;"",$BB392,$BJ392),Constants!$B$12,Constants!$B$8)))))</f>
        <v/>
      </c>
      <c r="BS392" s="133" t="str">
        <f aca="false">IF(ISBLANK($C392),"",IF($BR392&lt;&gt;Constants!$B$8,$BR392,Constants!$B$13))</f>
        <v/>
      </c>
      <c r="BT392" s="136" t="str">
        <f aca="false">IF($BR392&lt;&gt;Constants!$B$8,"",IF($BI392="-&gt;",$BP392,$BH392))</f>
        <v/>
      </c>
      <c r="BU392" s="136" t="str">
        <f aca="false">IF($BR392&lt;&gt;Constants!$B$8,"",IF($AF392,0,Constants!$B$18))</f>
        <v/>
      </c>
      <c r="BV392" s="136" t="str">
        <f aca="false">IF($BR392&lt;&gt;Constants!$B$8,"",((Constants!$B$31-$AZ392)-Constants!$B$31)/Constants!$B$32)</f>
        <v/>
      </c>
      <c r="BW392" s="136" t="str">
        <f aca="false">IF(ISBLANK($C392),"",IF($BR392&lt;&gt;Constants!$B$8,$BR392,SUM($BT392:$BV392)))</f>
        <v/>
      </c>
      <c r="BX392" s="133" t="str">
        <f aca="false">IF(ISBLANK($C392),"",IF($BR392&lt;&gt;Constants!$B$8,$BR392,RANK($BW392,$BW$9:$BW$508,1)))</f>
        <v/>
      </c>
      <c r="BY392" s="136" t="str">
        <f aca="false">IF($BR392&lt;&gt;Constants!$B$8,"",IF($BI392="-&gt;",$BK392,$BC392))</f>
        <v/>
      </c>
      <c r="BZ392" s="133" t="str">
        <f aca="false">IF(ISBLANK($C392),"",IF($BR392&lt;&gt;Constants!$B$8,$BR392,IF(ISNUMBER($BY392),RANK($BY392,$BY$9:$BY$508,1),COUNT($BY$9:$BY$508)+1)))</f>
        <v/>
      </c>
      <c r="CA392" s="136" t="str">
        <f aca="false">IF($BR392&lt;&gt;Constants!$B$8,"",IF($BI392="-&gt;",$BL392,$BD392))</f>
        <v/>
      </c>
      <c r="CB392" s="133" t="str">
        <f aca="false">IF(ISBLANK($C392),"",IF($BR392&lt;&gt;Constants!$B$8,$BR392,IF(ISNUMBER($CA392),RANK($CA392,$CA$9:$CA$508,1),COUNT($CA$9:$CA$508)+1)))</f>
        <v/>
      </c>
      <c r="CC392" s="136" t="str">
        <f aca="false">IF($BR392&lt;&gt;Constants!$B$8,"",IF($BI392="-&gt;",IF($AT392,$AV392,""),IF($AL392,$AN392,"")))</f>
        <v/>
      </c>
      <c r="CD392" s="133" t="str">
        <f aca="false">IF(ISBLANK($C392),"",IF($BR392&lt;&gt;Constants!$B$8,$BR392,IF(ISNUMBER($CC392),RANK($CC392,$CC$9:$CC$508,1),COUNT($CC$9:$CC$508)+1)))</f>
        <v/>
      </c>
      <c r="CE392" s="136" t="str">
        <f aca="false">IF($BR392&lt;&gt;Constants!$B$8,"",IF(AND(NOT($AL392),NOT($AT392),$AJ392,$AK392,$AR392,$AS392),"",$AI392))</f>
        <v/>
      </c>
      <c r="CF392" s="133" t="str">
        <f aca="false">IF(ISBLANK($C392),"",IF($BR392&lt;&gt;Constants!$B$8,$BR392,IF(ISNUMBER($CE392),RANK($CE392,$CE$9:$CE$508,1),COUNT($CE$9:$CE$508)+1)))</f>
        <v/>
      </c>
      <c r="CG392" s="133" t="str">
        <f aca="false">IF(ISBLANK($C392),"",IF($BR392&lt;&gt;Constants!$B$8,$BR392,COUNTIFS($BX$9:$BX$508,"&lt;"&amp;$BX392)+COUNTIFS($BX$9:$BX$508,$BX392,$BZ$9:$BZ$508,"&lt;"&amp;$BZ392)+COUNTIFS($BX$9:$BX$508,$BX392,$BZ$9:$BZ$508,$BZ392,$CB$9:$CB$508,"&lt;"&amp;$CB392)+COUNTIFS($BX$9:$BX$508,$BX392,$BZ$9:$BZ$508,$BZ392,$CB$9:$CB$508,$CB392,$CD$9:$CD$508,"&lt;"&amp;$CD392)+COUNTIFS($BX$9:$BX$508,$BX392,$BZ$9:$BZ$508,$BZ392,$CB$9:$CB$508,$CB392,$CD$9:$CD$508,$CD392,$CF$9:$CF$508,"&lt;"&amp;$CF392)+1))</f>
        <v/>
      </c>
      <c r="CH392" s="133" t="str">
        <f aca="false">IF(ISBLANK($C392),"",IF($BR392&lt;&gt;Constants!$B$8,$BR392,$BX392-$CG392))</f>
        <v/>
      </c>
      <c r="CI392" s="138"/>
      <c r="CJ392" s="139"/>
      <c r="CK392" s="140" t="str">
        <f aca="false">IF(ISBLANK($C392),"",IF($BR392=Constants!$B$12,$BQ392,""))</f>
        <v/>
      </c>
      <c r="CL392" s="139" t="str">
        <f aca="false">IF(ISBLANK($C392),"",IF($BR392&lt;&gt;Constants!$B$8,"",IF($BI392="-&gt;",2,1)))</f>
        <v/>
      </c>
      <c r="CM392" s="141" t="str">
        <f aca="false">IF(ISBLANK($C392),"",IF($BR392&lt;&gt;Constants!$B$8,"",IF($BI392="-&gt;",$BK392,$BC392)))</f>
        <v/>
      </c>
      <c r="CN392" s="141" t="str">
        <f aca="false">IF(ISBLANK($C392),"",IF($BR392&lt;&gt;Constants!$B$8,"",IF($BI392="-&gt;",$BL392,$BD392)))</f>
        <v/>
      </c>
      <c r="CO392" s="141" t="str">
        <f aca="false">IF(ISBLANK($C392),"",IF($BR392&lt;&gt;Constants!$B$8,"",IF($BI392="-&gt;",$BM392+$BN392,$BE392+$BF392)+$BV392))</f>
        <v/>
      </c>
      <c r="CP392" s="141" t="str">
        <f aca="false">IF(ISBLANK($C392),"",IF($BR392&lt;&gt;Constants!$B$8,"",IF($BI392="-&gt;",$BO392,$BG392)+$BU392))</f>
        <v/>
      </c>
      <c r="CQ392" s="142" t="str">
        <f aca="false">IF(ISBLANK($C392),"",IF($BR392&lt;&gt;Constants!$B$8,$BR392,$BW392))</f>
        <v/>
      </c>
      <c r="CR392" s="143" t="str">
        <f aca="false">IF(ISBLANK($C392),"",$BS392)</f>
        <v/>
      </c>
      <c r="CS392" s="144" t="str">
        <f aca="false">IF(ISBLANK($C392),"",$CH392)</f>
        <v/>
      </c>
      <c r="CT392" s="144" t="str">
        <f aca="false">IF(ISBLANK($C392),"",$CG392)</f>
        <v/>
      </c>
      <c r="CU392" s="145" t="str">
        <f aca="false">IF(ISBLANK($C392),"",IFERROR(_xlfn.SWITCH($CT392,Constants!$B$11,COUNTA($C$9:$C$508)+2,Constants!$B$10,COUNTA($C$9:$C$508)+1,Constants!$B$9,COUNTA($C$9:$C$508)),$CT392))</f>
        <v/>
      </c>
      <c r="CV392" s="9"/>
      <c r="CW392" s="146" t="n">
        <f aca="false">IF(OR(ISNUMBER($CT392),$CT392=Constants!$B$11,$CT392=Constants!$B$9,$CT392=Constants!$B$10),1,0)</f>
        <v>0</v>
      </c>
      <c r="CX392" s="146" t="n">
        <v>384</v>
      </c>
      <c r="CY392" s="146" t="str">
        <f aca="false">IF(ISBLANK($C392),"",IF(ISNUMBER($CU392),$CU392+ROW($B392)/1000,""))</f>
        <v/>
      </c>
      <c r="CZ392" s="146" t="str">
        <f aca="false">IF(ISNUMBER($CY392),RANK($CY392,$CY$9:$CY$508,1),"")</f>
        <v/>
      </c>
      <c r="DA392" s="146" t="str">
        <f aca="false">IF(ISBLANK($C392),"",$B392)</f>
        <v/>
      </c>
      <c r="DB392" s="146" t="str">
        <f aca="false">IF(ISBLANK($C392),"",$C392)</f>
        <v/>
      </c>
      <c r="DC392" s="146" t="str">
        <f aca="false">IF(ISBLANK($C392),"",$D392)</f>
        <v/>
      </c>
      <c r="DD392" s="147" t="str">
        <f aca="false">$CR392</f>
        <v/>
      </c>
      <c r="DE392" s="148" t="str">
        <f aca="false">$CQ392</f>
        <v/>
      </c>
      <c r="DF392" s="146" t="str">
        <f aca="false">IF(ISBLANK($C392),"",$CT392)</f>
        <v/>
      </c>
      <c r="DG392" s="149" t="str">
        <f aca="false">IF($CX392&gt;$CW$8,"",VLOOKUP($CX392,$CZ$9:$DF$508,7,FALSE()))</f>
        <v/>
      </c>
      <c r="DH392" s="150" t="str">
        <f aca="false">IF($CX392&gt;$CW$8,"",VLOOKUP($CX392,$CZ$9:$DF$508,2,FALSE()))</f>
        <v/>
      </c>
      <c r="DI392" s="150" t="str">
        <f aca="false">IF($CX392&gt;$CW$8,"",VLOOKUP($CX392,$CZ$9:$DF$508,3,FALSE()))</f>
        <v/>
      </c>
      <c r="DJ392" s="150" t="str">
        <f aca="false">IF($CX392&gt;$CW$8,"",VLOOKUP($CX392,$CZ$9:$DF$508,4,FALSE()))</f>
        <v/>
      </c>
      <c r="DK392" s="150" t="str">
        <f aca="false">IF($CX392&gt;$CW$8,"",VLOOKUP($CX392,$CZ$9:$DF$508,5,FALSE()))</f>
        <v/>
      </c>
      <c r="DL392" s="151" t="str">
        <f aca="false">IF($CX392&gt;$CW$8,"",VLOOKUP($CX392,$CZ$9:$DF$508,6,FALSE()))</f>
        <v/>
      </c>
      <c r="DM392" s="75"/>
    </row>
    <row r="393" customFormat="false" ht="15.75" hidden="false" customHeight="false" outlineLevel="0" collapsed="false">
      <c r="A393" s="9"/>
      <c r="B393" s="77"/>
      <c r="C393" s="78"/>
      <c r="D393" s="167"/>
      <c r="E393" s="175"/>
      <c r="F393" s="169"/>
      <c r="G393" s="170"/>
      <c r="H393" s="170"/>
      <c r="I393" s="176"/>
      <c r="J393" s="173"/>
      <c r="K393" s="85"/>
      <c r="L393" s="86"/>
      <c r="M393" s="87"/>
      <c r="N393" s="173"/>
      <c r="O393" s="173"/>
      <c r="P393" s="175"/>
      <c r="Q393" s="173"/>
      <c r="R393" s="173"/>
      <c r="S393" s="85"/>
      <c r="T393" s="87"/>
      <c r="U393" s="87"/>
      <c r="V393" s="173"/>
      <c r="W393" s="173"/>
      <c r="X393" s="175"/>
      <c r="Y393" s="173"/>
      <c r="Z393" s="174"/>
      <c r="AA393" s="173"/>
      <c r="AB393" s="91"/>
      <c r="AC393" s="92"/>
      <c r="AD393" s="92"/>
      <c r="AE393" s="92"/>
      <c r="AF393" s="92" t="str">
        <f aca="false">IF(ISBLANK($C393),"",IF(E393=Constants!$B$3,TRUE(),IF(E393=Constants!$B$4,FALSE(),TRUE())))</f>
        <v/>
      </c>
      <c r="AG393" s="92" t="str">
        <f aca="false">IF(ISBLANK($C393),"",IF(F393=Constants!$B$3,TRUE(),IF(F393=Constants!$B$4,FALSE(),TRUE())))</f>
        <v/>
      </c>
      <c r="AH393" s="92" t="str">
        <f aca="false">IF(ISBLANK($C393),"",IF(G393=Constants!$B$3,TRUE(),IF(G393=Constants!$B$4,FALSE(),TRUE())))</f>
        <v/>
      </c>
      <c r="AI393" s="92" t="str">
        <f aca="false">IF(ISBLANK($C393),"",IF(AND(ISNUMBER(H393),H393&gt;=0),H393,Constants!$B$29))</f>
        <v/>
      </c>
      <c r="AJ393" s="92" t="str">
        <f aca="false">IF(ISBLANK($C393),"",IF(I393=Constants!$B$3,TRUE(),IF(I393=Constants!$B$4,FALSE(),TRUE())))</f>
        <v/>
      </c>
      <c r="AK393" s="92" t="str">
        <f aca="false">IF(ISBLANK($C393),"",IF(J393=Constants!$B$3,TRUE(),IF(J393=Constants!$B$4,FALSE(),TRUE())))</f>
        <v/>
      </c>
      <c r="AL393" s="92" t="str">
        <f aca="false">IF(ISBLANK($C393),"",IF(K393=Constants!$B$5,TRUE(),IF(K393=Constants!$B$6,FALSE(),COUNTA(L393:P393)&gt;0)))</f>
        <v/>
      </c>
      <c r="AM393" s="94" t="str">
        <f aca="false">IF(ISBLANK($C393),"",IF(ISNUMBER(L393),IF(L393&gt;=0,L393,""),""))</f>
        <v/>
      </c>
      <c r="AN393" s="93" t="str">
        <f aca="false">IF(ISBLANK($C393),"",IF(ISNUMBER(M393),IF(M393&gt;=0,M393,""),""))</f>
        <v/>
      </c>
      <c r="AO393" s="93" t="str">
        <f aca="false">IF(ISBLANK($C393),"",IF(N393=Constants!$B$3,TRUE(),IF(N393=Constants!$B$4,FALSE(),TRUE())))</f>
        <v/>
      </c>
      <c r="AP393" s="92" t="str">
        <f aca="false">IF(ISBLANK($C393),"",IF(ISNUMBER(O393),IF(O393&gt;=0,O393,""),""))</f>
        <v/>
      </c>
      <c r="AQ393" s="92" t="str">
        <f aca="false">IF(ISBLANK($C393),"",IF(P393=Constants!$B$3,TRUE(),IF(P393=Constants!$B$4,FALSE(),FALSE())))</f>
        <v/>
      </c>
      <c r="AR393" s="92" t="str">
        <f aca="false">IF(ISBLANK($C393),"",IF(Q393=Constants!$B$3,TRUE(),IF(Q393=Constants!$B$4,FALSE(),TRUE())))</f>
        <v/>
      </c>
      <c r="AS393" s="92" t="str">
        <f aca="false">IF(ISBLANK($C393),"",IF(R393=Constants!$B$3,TRUE(),IF(R393=Constants!$B$4,FALSE(),TRUE())))</f>
        <v/>
      </c>
      <c r="AT393" s="92" t="str">
        <f aca="false">IF(ISBLANK($C393),"",IF(S393=Constants!$B$5,TRUE(),IF(S393=Constants!$B$6,FALSE(),COUNTA(T393:X393)&gt;0)))</f>
        <v/>
      </c>
      <c r="AU393" s="94" t="str">
        <f aca="false">IF(ISBLANK($C393),"",IF(ISNUMBER(T393),IF(T393&gt;=0,T393,""),""))</f>
        <v/>
      </c>
      <c r="AV393" s="93" t="str">
        <f aca="false">IF(ISBLANK($C393),"",IF(ISNUMBER(U393),IF(U393&gt;=0,U393,""),""))</f>
        <v/>
      </c>
      <c r="AW393" s="93" t="str">
        <f aca="false">IF(ISBLANK($C393),"",IF(V393=Constants!$B$3,TRUE(),IF(V393=Constants!$B$4,FALSE(),TRUE())))</f>
        <v/>
      </c>
      <c r="AX393" s="92" t="str">
        <f aca="false">IF(ISBLANK($C393),"",IF(ISNUMBER(W393),IF(W393&gt;=0,W393,""),""))</f>
        <v/>
      </c>
      <c r="AY393" s="92" t="str">
        <f aca="false">IF(ISBLANK($C393),"",IF(X393=Constants!$B$3,TRUE(),IF(X393=Constants!$B$4,FALSE(),FALSE())))</f>
        <v/>
      </c>
      <c r="AZ393" s="92" t="str">
        <f aca="false">IF(ISBLANK($C393),"",MIN(Constants!$B$31,MAX(0,IF(ISNUMBER(Y393),Y393*60,0)+IF(ISNUMBER(Z393),Z393,0))))</f>
        <v/>
      </c>
      <c r="BA393" s="92" t="str">
        <f aca="false">IF(ISBLANK($C393),"",IF(AA393=Constants!$B$3,TRUE(),IF(AA393=Constants!$B$4,FALSE(),FALSE())))</f>
        <v/>
      </c>
      <c r="BB393" s="91" t="str">
        <f aca="false">IF(ISBLANK($C393),"",AND($AL393,OR($AM393="",$AN393="",AND($AO393,$AP393=""))))</f>
        <v/>
      </c>
      <c r="BC393" s="93" t="str">
        <f aca="false">IF($BR393&lt;&gt;Constants!$B$8,"",IF($AL393,Constants!$B$21*$AN393+Constants!$B$22*IF($AO393,$AP393,Constants!$B$23),Constants!$B$24))</f>
        <v/>
      </c>
      <c r="BD393" s="96" t="str">
        <f aca="false">IF($BR393&lt;&gt;Constants!$B$8,"",Constants!$B$25*ABS($AD$9-IF($AL393,$AM393,0)))</f>
        <v/>
      </c>
      <c r="BE393" s="96" t="str">
        <f aca="false">IF($BR393&lt;&gt;Constants!$B$8,"",IF(AND($AL393,$AQ393,$AO393),Constants!$B$27,0))</f>
        <v/>
      </c>
      <c r="BF393" s="96" t="str">
        <f aca="false">IF($BR393&lt;&gt;Constants!$B$8,"",IF($AL393,($AI393-Constants!$B$29)*Constants!$B$28,0))</f>
        <v/>
      </c>
      <c r="BG393" s="96" t="str">
        <f aca="false">IF($BR393&lt;&gt;Constants!$B$8,"",IF($AK393,0,Constants!$B$15)+IF($AJ393,0,Constants!$B$16)+IF($AH393,0,Constants!$B$17))</f>
        <v/>
      </c>
      <c r="BH393" s="97" t="str">
        <f aca="false">IF($BR393&lt;&gt;Constants!$B$8,"",Constants!$B$20+SUM($BC393:$BG393))</f>
        <v/>
      </c>
      <c r="BI393" s="92" t="str">
        <f aca="false">IF($BR393&lt;&gt;Constants!$B$8,"",IF(OR($BP393&lt;$BH393,AND($BP393=$BH393,OR($BK393&lt;$BC393,AND($BK393=$BC393,OR($BL393&lt;$BD393,AND($BL393=$BD393,$AT393,$AL393,$AV393&lt;$AN393)))))),"-&gt;","&lt;-"))</f>
        <v/>
      </c>
      <c r="BJ393" s="91" t="str">
        <f aca="false">IF(ISBLANK($C393),"",AND($AT393,OR($AU393="",$AV393="",AND($AW393,$AX393=""))))</f>
        <v/>
      </c>
      <c r="BK393" s="93" t="str">
        <f aca="false">IF($BR393&lt;&gt;Constants!$B$8,"",IF($AT393,Constants!$B$21*$AV393+Constants!$B$22*IF($AW393,$AX393,Constants!$B$23),Constants!$B$24))</f>
        <v/>
      </c>
      <c r="BL393" s="96" t="str">
        <f aca="false">IF($BR393&lt;&gt;Constants!$B$8,"",Constants!$B$25*ABS($AD$9-IF($AT393,$AU393,0)))</f>
        <v/>
      </c>
      <c r="BM393" s="96" t="str">
        <f aca="false">IF($BR393&lt;&gt;Constants!$B$8,"",IF(AND($AT393,$AY393,$AW393),Constants!$B$27,0))</f>
        <v/>
      </c>
      <c r="BN393" s="96" t="str">
        <f aca="false">IF($BR393&lt;&gt;Constants!$B$8,"",IF($AT393,($AI393-Constants!$B$29)*Constants!$B$28,0))</f>
        <v/>
      </c>
      <c r="BO393" s="96" t="str">
        <f aca="false">IF($BR393&lt;&gt;Constants!$B$8,"",IF($AS393,0,Constants!$B$15)+IF($AR393,0,Constants!$B$16)+IF($AH393,0,Constants!$B$17))</f>
        <v/>
      </c>
      <c r="BP393" s="97" t="str">
        <f aca="false">IF($BR393&lt;&gt;Constants!$B$8,"",Constants!$B$20+SUM($BK393:$BO393))</f>
        <v/>
      </c>
      <c r="BQ393" s="92" t="str">
        <f aca="false">IF(ISBLANK($C393),"",IF(ISBLANK($D$7),$BQ$5,IF(NOT(ISNUMBER($D$7)),$BQ$6,"")))</f>
        <v/>
      </c>
      <c r="BR393" s="92" t="str">
        <f aca="false">IF(ISBLANK($C393),"",IF($BA393,Constants!$B$11,IF(COUNTA($E393:$AA393)=0,Constants!$B$10,IF(NOT($AG393),Constants!$B$9,IF(OR($BQ393&lt;&gt;"",$BB393,$BJ393),Constants!$B$12,Constants!$B$8)))))</f>
        <v/>
      </c>
      <c r="BS393" s="92" t="str">
        <f aca="false">IF(ISBLANK($C393),"",IF($BR393&lt;&gt;Constants!$B$8,$BR393,Constants!$B$13))</f>
        <v/>
      </c>
      <c r="BT393" s="96" t="str">
        <f aca="false">IF($BR393&lt;&gt;Constants!$B$8,"",IF($BI393="-&gt;",$BP393,$BH393))</f>
        <v/>
      </c>
      <c r="BU393" s="96" t="str">
        <f aca="false">IF($BR393&lt;&gt;Constants!$B$8,"",IF($AF393,0,Constants!$B$18))</f>
        <v/>
      </c>
      <c r="BV393" s="96" t="str">
        <f aca="false">IF($BR393&lt;&gt;Constants!$B$8,"",((Constants!$B$31-$AZ393)-Constants!$B$31)/Constants!$B$32)</f>
        <v/>
      </c>
      <c r="BW393" s="96" t="str">
        <f aca="false">IF(ISBLANK($C393),"",IF($BR393&lt;&gt;Constants!$B$8,$BR393,SUM($BT393:$BV393)))</f>
        <v/>
      </c>
      <c r="BX393" s="92" t="str">
        <f aca="false">IF(ISBLANK($C393),"",IF($BR393&lt;&gt;Constants!$B$8,$BR393,RANK($BW393,$BW$9:$BW$508,1)))</f>
        <v/>
      </c>
      <c r="BY393" s="96" t="str">
        <f aca="false">IF($BR393&lt;&gt;Constants!$B$8,"",IF($BI393="-&gt;",$BK393,$BC393))</f>
        <v/>
      </c>
      <c r="BZ393" s="92" t="str">
        <f aca="false">IF(ISBLANK($C393),"",IF($BR393&lt;&gt;Constants!$B$8,$BR393,IF(ISNUMBER($BY393),RANK($BY393,$BY$9:$BY$508,1),COUNT($BY$9:$BY$508)+1)))</f>
        <v/>
      </c>
      <c r="CA393" s="96" t="str">
        <f aca="false">IF($BR393&lt;&gt;Constants!$B$8,"",IF($BI393="-&gt;",$BL393,$BD393))</f>
        <v/>
      </c>
      <c r="CB393" s="92" t="str">
        <f aca="false">IF(ISBLANK($C393),"",IF($BR393&lt;&gt;Constants!$B$8,$BR393,IF(ISNUMBER($CA393),RANK($CA393,$CA$9:$CA$508,1),COUNT($CA$9:$CA$508)+1)))</f>
        <v/>
      </c>
      <c r="CC393" s="96" t="str">
        <f aca="false">IF($BR393&lt;&gt;Constants!$B$8,"",IF($BI393="-&gt;",IF($AT393,$AV393,""),IF($AL393,$AN393,"")))</f>
        <v/>
      </c>
      <c r="CD393" s="92" t="str">
        <f aca="false">IF(ISBLANK($C393),"",IF($BR393&lt;&gt;Constants!$B$8,$BR393,IF(ISNUMBER($CC393),RANK($CC393,$CC$9:$CC$508,1),COUNT($CC$9:$CC$508)+1)))</f>
        <v/>
      </c>
      <c r="CE393" s="96" t="str">
        <f aca="false">IF($BR393&lt;&gt;Constants!$B$8,"",IF(AND(NOT($AL393),NOT($AT393),$AJ393,$AK393,$AR393,$AS393),"",$AI393))</f>
        <v/>
      </c>
      <c r="CF393" s="92" t="str">
        <f aca="false">IF(ISBLANK($C393),"",IF($BR393&lt;&gt;Constants!$B$8,$BR393,IF(ISNUMBER($CE393),RANK($CE393,$CE$9:$CE$508,1),COUNT($CE$9:$CE$508)+1)))</f>
        <v/>
      </c>
      <c r="CG393" s="92" t="str">
        <f aca="false">IF(ISBLANK($C393),"",IF($BR393&lt;&gt;Constants!$B$8,$BR393,COUNTIFS($BX$9:$BX$508,"&lt;"&amp;$BX393)+COUNTIFS($BX$9:$BX$508,$BX393,$BZ$9:$BZ$508,"&lt;"&amp;$BZ393)+COUNTIFS($BX$9:$BX$508,$BX393,$BZ$9:$BZ$508,$BZ393,$CB$9:$CB$508,"&lt;"&amp;$CB393)+COUNTIFS($BX$9:$BX$508,$BX393,$BZ$9:$BZ$508,$BZ393,$CB$9:$CB$508,$CB393,$CD$9:$CD$508,"&lt;"&amp;$CD393)+COUNTIFS($BX$9:$BX$508,$BX393,$BZ$9:$BZ$508,$BZ393,$CB$9:$CB$508,$CB393,$CD$9:$CD$508,$CD393,$CF$9:$CF$508,"&lt;"&amp;$CF393)+1))</f>
        <v/>
      </c>
      <c r="CH393" s="92" t="str">
        <f aca="false">IF(ISBLANK($C393),"",IF($BR393&lt;&gt;Constants!$B$8,$BR393,$BX393-$CG393))</f>
        <v/>
      </c>
      <c r="CI393" s="98"/>
      <c r="CJ393" s="99"/>
      <c r="CK393" s="100" t="str">
        <f aca="false">IF(ISBLANK($C393),"",IF($BR393=Constants!$B$12,$BQ393,""))</f>
        <v/>
      </c>
      <c r="CL393" s="99" t="str">
        <f aca="false">IF(ISBLANK($C393),"",IF($BR393&lt;&gt;Constants!$B$8,"",IF($BI393="-&gt;",2,1)))</f>
        <v/>
      </c>
      <c r="CM393" s="101" t="str">
        <f aca="false">IF(ISBLANK($C393),"",IF($BR393&lt;&gt;Constants!$B$8,"",IF($BI393="-&gt;",$BK393,$BC393)))</f>
        <v/>
      </c>
      <c r="CN393" s="101" t="str">
        <f aca="false">IF(ISBLANK($C393),"",IF($BR393&lt;&gt;Constants!$B$8,"",IF($BI393="-&gt;",$BL393,$BD393)))</f>
        <v/>
      </c>
      <c r="CO393" s="101" t="str">
        <f aca="false">IF(ISBLANK($C393),"",IF($BR393&lt;&gt;Constants!$B$8,"",IF($BI393="-&gt;",$BM393+$BN393,$BE393+$BF393)+$BV393))</f>
        <v/>
      </c>
      <c r="CP393" s="101" t="str">
        <f aca="false">IF(ISBLANK($C393),"",IF($BR393&lt;&gt;Constants!$B$8,"",IF($BI393="-&gt;",$BO393,$BG393)+$BU393))</f>
        <v/>
      </c>
      <c r="CQ393" s="102" t="str">
        <f aca="false">IF(ISBLANK($C393),"",IF($BR393&lt;&gt;Constants!$B$8,$BR393,$BW393))</f>
        <v/>
      </c>
      <c r="CR393" s="103" t="str">
        <f aca="false">IF(ISBLANK($C393),"",$BS393)</f>
        <v/>
      </c>
      <c r="CS393" s="104" t="str">
        <f aca="false">IF(ISBLANK($C393),"",$CH393)</f>
        <v/>
      </c>
      <c r="CT393" s="104" t="str">
        <f aca="false">IF(ISBLANK($C393),"",$CG393)</f>
        <v/>
      </c>
      <c r="CU393" s="105" t="str">
        <f aca="false">IF(ISBLANK($C393),"",IFERROR(_xlfn.SWITCH($CT393,Constants!$B$11,COUNTA($C$9:$C$508)+2,Constants!$B$10,COUNTA($C$9:$C$508)+1,Constants!$B$9,COUNTA($C$9:$C$508)),$CT393))</f>
        <v/>
      </c>
      <c r="CV393" s="9"/>
      <c r="CW393" s="106" t="n">
        <f aca="false">IF(OR(ISNUMBER($CT393),$CT393=Constants!$B$11,$CT393=Constants!$B$9,$CT393=Constants!$B$10),1,0)</f>
        <v>0</v>
      </c>
      <c r="CX393" s="106" t="n">
        <v>385</v>
      </c>
      <c r="CY393" s="106" t="str">
        <f aca="false">IF(ISBLANK($C393),"",IF(ISNUMBER($CU393),$CU393+ROW($B393)/1000,""))</f>
        <v/>
      </c>
      <c r="CZ393" s="106" t="str">
        <f aca="false">IF(ISNUMBER($CY393),RANK($CY393,$CY$9:$CY$508,1),"")</f>
        <v/>
      </c>
      <c r="DA393" s="106" t="str">
        <f aca="false">IF(ISBLANK($C393),"",$B393)</f>
        <v/>
      </c>
      <c r="DB393" s="106" t="str">
        <f aca="false">IF(ISBLANK($C393),"",$C393)</f>
        <v/>
      </c>
      <c r="DC393" s="106" t="str">
        <f aca="false">IF(ISBLANK($C393),"",$D393)</f>
        <v/>
      </c>
      <c r="DD393" s="107" t="str">
        <f aca="false">$CR393</f>
        <v/>
      </c>
      <c r="DE393" s="108" t="str">
        <f aca="false">$CQ393</f>
        <v/>
      </c>
      <c r="DF393" s="106" t="str">
        <f aca="false">IF(ISBLANK($C393),"",$CT393)</f>
        <v/>
      </c>
      <c r="DG393" s="109" t="str">
        <f aca="false">IF($CX393&gt;$CW$8,"",VLOOKUP($CX393,$CZ$9:$DF$508,7,FALSE()))</f>
        <v/>
      </c>
      <c r="DH393" s="110" t="str">
        <f aca="false">IF($CX393&gt;$CW$8,"",VLOOKUP($CX393,$CZ$9:$DF$508,2,FALSE()))</f>
        <v/>
      </c>
      <c r="DI393" s="110" t="str">
        <f aca="false">IF($CX393&gt;$CW$8,"",VLOOKUP($CX393,$CZ$9:$DF$508,3,FALSE()))</f>
        <v/>
      </c>
      <c r="DJ393" s="110" t="str">
        <f aca="false">IF($CX393&gt;$CW$8,"",VLOOKUP($CX393,$CZ$9:$DF$508,4,FALSE()))</f>
        <v/>
      </c>
      <c r="DK393" s="110" t="str">
        <f aca="false">IF($CX393&gt;$CW$8,"",VLOOKUP($CX393,$CZ$9:$DF$508,5,FALSE()))</f>
        <v/>
      </c>
      <c r="DL393" s="111" t="str">
        <f aca="false">IF($CX393&gt;$CW$8,"",VLOOKUP($CX393,$CZ$9:$DF$508,6,FALSE()))</f>
        <v/>
      </c>
      <c r="DM393" s="75"/>
    </row>
    <row r="394" customFormat="false" ht="15.75" hidden="false" customHeight="false" outlineLevel="0" collapsed="false">
      <c r="A394" s="9"/>
      <c r="B394" s="77"/>
      <c r="C394" s="78"/>
      <c r="D394" s="167"/>
      <c r="E394" s="175"/>
      <c r="F394" s="169"/>
      <c r="G394" s="170"/>
      <c r="H394" s="170"/>
      <c r="I394" s="176"/>
      <c r="J394" s="173"/>
      <c r="K394" s="85"/>
      <c r="L394" s="86"/>
      <c r="M394" s="87"/>
      <c r="N394" s="173"/>
      <c r="O394" s="173"/>
      <c r="P394" s="175"/>
      <c r="Q394" s="173"/>
      <c r="R394" s="173"/>
      <c r="S394" s="85"/>
      <c r="T394" s="87"/>
      <c r="U394" s="87"/>
      <c r="V394" s="173"/>
      <c r="W394" s="173"/>
      <c r="X394" s="175"/>
      <c r="Y394" s="173"/>
      <c r="Z394" s="174"/>
      <c r="AA394" s="173"/>
      <c r="AB394" s="91"/>
      <c r="AC394" s="92"/>
      <c r="AD394" s="92"/>
      <c r="AE394" s="92"/>
      <c r="AF394" s="92" t="str">
        <f aca="false">IF(ISBLANK($C394),"",IF(E394=Constants!$B$3,TRUE(),IF(E394=Constants!$B$4,FALSE(),TRUE())))</f>
        <v/>
      </c>
      <c r="AG394" s="92" t="str">
        <f aca="false">IF(ISBLANK($C394),"",IF(F394=Constants!$B$3,TRUE(),IF(F394=Constants!$B$4,FALSE(),TRUE())))</f>
        <v/>
      </c>
      <c r="AH394" s="92" t="str">
        <f aca="false">IF(ISBLANK($C394),"",IF(G394=Constants!$B$3,TRUE(),IF(G394=Constants!$B$4,FALSE(),TRUE())))</f>
        <v/>
      </c>
      <c r="AI394" s="92" t="str">
        <f aca="false">IF(ISBLANK($C394),"",IF(AND(ISNUMBER(H394),H394&gt;=0),H394,Constants!$B$29))</f>
        <v/>
      </c>
      <c r="AJ394" s="92" t="str">
        <f aca="false">IF(ISBLANK($C394),"",IF(I394=Constants!$B$3,TRUE(),IF(I394=Constants!$B$4,FALSE(),TRUE())))</f>
        <v/>
      </c>
      <c r="AK394" s="92" t="str">
        <f aca="false">IF(ISBLANK($C394),"",IF(J394=Constants!$B$3,TRUE(),IF(J394=Constants!$B$4,FALSE(),TRUE())))</f>
        <v/>
      </c>
      <c r="AL394" s="92" t="str">
        <f aca="false">IF(ISBLANK($C394),"",IF(K394=Constants!$B$5,TRUE(),IF(K394=Constants!$B$6,FALSE(),COUNTA(L394:P394)&gt;0)))</f>
        <v/>
      </c>
      <c r="AM394" s="94" t="str">
        <f aca="false">IF(ISBLANK($C394),"",IF(ISNUMBER(L394),IF(L394&gt;=0,L394,""),""))</f>
        <v/>
      </c>
      <c r="AN394" s="93" t="str">
        <f aca="false">IF(ISBLANK($C394),"",IF(ISNUMBER(M394),IF(M394&gt;=0,M394,""),""))</f>
        <v/>
      </c>
      <c r="AO394" s="93" t="str">
        <f aca="false">IF(ISBLANK($C394),"",IF(N394=Constants!$B$3,TRUE(),IF(N394=Constants!$B$4,FALSE(),TRUE())))</f>
        <v/>
      </c>
      <c r="AP394" s="92" t="str">
        <f aca="false">IF(ISBLANK($C394),"",IF(ISNUMBER(O394),IF(O394&gt;=0,O394,""),""))</f>
        <v/>
      </c>
      <c r="AQ394" s="92" t="str">
        <f aca="false">IF(ISBLANK($C394),"",IF(P394=Constants!$B$3,TRUE(),IF(P394=Constants!$B$4,FALSE(),FALSE())))</f>
        <v/>
      </c>
      <c r="AR394" s="92" t="str">
        <f aca="false">IF(ISBLANK($C394),"",IF(Q394=Constants!$B$3,TRUE(),IF(Q394=Constants!$B$4,FALSE(),TRUE())))</f>
        <v/>
      </c>
      <c r="AS394" s="92" t="str">
        <f aca="false">IF(ISBLANK($C394),"",IF(R394=Constants!$B$3,TRUE(),IF(R394=Constants!$B$4,FALSE(),TRUE())))</f>
        <v/>
      </c>
      <c r="AT394" s="92" t="str">
        <f aca="false">IF(ISBLANK($C394),"",IF(S394=Constants!$B$5,TRUE(),IF(S394=Constants!$B$6,FALSE(),COUNTA(T394:X394)&gt;0)))</f>
        <v/>
      </c>
      <c r="AU394" s="94" t="str">
        <f aca="false">IF(ISBLANK($C394),"",IF(ISNUMBER(T394),IF(T394&gt;=0,T394,""),""))</f>
        <v/>
      </c>
      <c r="AV394" s="93" t="str">
        <f aca="false">IF(ISBLANK($C394),"",IF(ISNUMBER(U394),IF(U394&gt;=0,U394,""),""))</f>
        <v/>
      </c>
      <c r="AW394" s="93" t="str">
        <f aca="false">IF(ISBLANK($C394),"",IF(V394=Constants!$B$3,TRUE(),IF(V394=Constants!$B$4,FALSE(),TRUE())))</f>
        <v/>
      </c>
      <c r="AX394" s="92" t="str">
        <f aca="false">IF(ISBLANK($C394),"",IF(ISNUMBER(W394),IF(W394&gt;=0,W394,""),""))</f>
        <v/>
      </c>
      <c r="AY394" s="92" t="str">
        <f aca="false">IF(ISBLANK($C394),"",IF(X394=Constants!$B$3,TRUE(),IF(X394=Constants!$B$4,FALSE(),FALSE())))</f>
        <v/>
      </c>
      <c r="AZ394" s="92" t="str">
        <f aca="false">IF(ISBLANK($C394),"",MIN(Constants!$B$31,MAX(0,IF(ISNUMBER(Y394),Y394*60,0)+IF(ISNUMBER(Z394),Z394,0))))</f>
        <v/>
      </c>
      <c r="BA394" s="92" t="str">
        <f aca="false">IF(ISBLANK($C394),"",IF(AA394=Constants!$B$3,TRUE(),IF(AA394=Constants!$B$4,FALSE(),FALSE())))</f>
        <v/>
      </c>
      <c r="BB394" s="91" t="str">
        <f aca="false">IF(ISBLANK($C394),"",AND($AL394,OR($AM394="",$AN394="",AND($AO394,$AP394=""))))</f>
        <v/>
      </c>
      <c r="BC394" s="93" t="str">
        <f aca="false">IF($BR394&lt;&gt;Constants!$B$8,"",IF($AL394,Constants!$B$21*$AN394+Constants!$B$22*IF($AO394,$AP394,Constants!$B$23),Constants!$B$24))</f>
        <v/>
      </c>
      <c r="BD394" s="96" t="str">
        <f aca="false">IF($BR394&lt;&gt;Constants!$B$8,"",Constants!$B$25*ABS($AD$9-IF($AL394,$AM394,0)))</f>
        <v/>
      </c>
      <c r="BE394" s="96" t="str">
        <f aca="false">IF($BR394&lt;&gt;Constants!$B$8,"",IF(AND($AL394,$AQ394,$AO394),Constants!$B$27,0))</f>
        <v/>
      </c>
      <c r="BF394" s="96" t="str">
        <f aca="false">IF($BR394&lt;&gt;Constants!$B$8,"",IF($AL394,($AI394-Constants!$B$29)*Constants!$B$28,0))</f>
        <v/>
      </c>
      <c r="BG394" s="96" t="str">
        <f aca="false">IF($BR394&lt;&gt;Constants!$B$8,"",IF($AK394,0,Constants!$B$15)+IF($AJ394,0,Constants!$B$16)+IF($AH394,0,Constants!$B$17))</f>
        <v/>
      </c>
      <c r="BH394" s="97" t="str">
        <f aca="false">IF($BR394&lt;&gt;Constants!$B$8,"",Constants!$B$20+SUM($BC394:$BG394))</f>
        <v/>
      </c>
      <c r="BI394" s="92" t="str">
        <f aca="false">IF($BR394&lt;&gt;Constants!$B$8,"",IF(OR($BP394&lt;$BH394,AND($BP394=$BH394,OR($BK394&lt;$BC394,AND($BK394=$BC394,OR($BL394&lt;$BD394,AND($BL394=$BD394,$AT394,$AL394,$AV394&lt;$AN394)))))),"-&gt;","&lt;-"))</f>
        <v/>
      </c>
      <c r="BJ394" s="91" t="str">
        <f aca="false">IF(ISBLANK($C394),"",AND($AT394,OR($AU394="",$AV394="",AND($AW394,$AX394=""))))</f>
        <v/>
      </c>
      <c r="BK394" s="93" t="str">
        <f aca="false">IF($BR394&lt;&gt;Constants!$B$8,"",IF($AT394,Constants!$B$21*$AV394+Constants!$B$22*IF($AW394,$AX394,Constants!$B$23),Constants!$B$24))</f>
        <v/>
      </c>
      <c r="BL394" s="96" t="str">
        <f aca="false">IF($BR394&lt;&gt;Constants!$B$8,"",Constants!$B$25*ABS($AD$9-IF($AT394,$AU394,0)))</f>
        <v/>
      </c>
      <c r="BM394" s="96" t="str">
        <f aca="false">IF($BR394&lt;&gt;Constants!$B$8,"",IF(AND($AT394,$AY394,$AW394),Constants!$B$27,0))</f>
        <v/>
      </c>
      <c r="BN394" s="96" t="str">
        <f aca="false">IF($BR394&lt;&gt;Constants!$B$8,"",IF($AT394,($AI394-Constants!$B$29)*Constants!$B$28,0))</f>
        <v/>
      </c>
      <c r="BO394" s="96" t="str">
        <f aca="false">IF($BR394&lt;&gt;Constants!$B$8,"",IF($AS394,0,Constants!$B$15)+IF($AR394,0,Constants!$B$16)+IF($AH394,0,Constants!$B$17))</f>
        <v/>
      </c>
      <c r="BP394" s="97" t="str">
        <f aca="false">IF($BR394&lt;&gt;Constants!$B$8,"",Constants!$B$20+SUM($BK394:$BO394))</f>
        <v/>
      </c>
      <c r="BQ394" s="92" t="str">
        <f aca="false">IF(ISBLANK($C394),"",IF(ISBLANK($D$7),$BQ$5,IF(NOT(ISNUMBER($D$7)),$BQ$6,"")))</f>
        <v/>
      </c>
      <c r="BR394" s="92" t="str">
        <f aca="false">IF(ISBLANK($C394),"",IF($BA394,Constants!$B$11,IF(COUNTA($E394:$AA394)=0,Constants!$B$10,IF(NOT($AG394),Constants!$B$9,IF(OR($BQ394&lt;&gt;"",$BB394,$BJ394),Constants!$B$12,Constants!$B$8)))))</f>
        <v/>
      </c>
      <c r="BS394" s="92" t="str">
        <f aca="false">IF(ISBLANK($C394),"",IF($BR394&lt;&gt;Constants!$B$8,$BR394,Constants!$B$13))</f>
        <v/>
      </c>
      <c r="BT394" s="96" t="str">
        <f aca="false">IF($BR394&lt;&gt;Constants!$B$8,"",IF($BI394="-&gt;",$BP394,$BH394))</f>
        <v/>
      </c>
      <c r="BU394" s="96" t="str">
        <f aca="false">IF($BR394&lt;&gt;Constants!$B$8,"",IF($AF394,0,Constants!$B$18))</f>
        <v/>
      </c>
      <c r="BV394" s="96" t="str">
        <f aca="false">IF($BR394&lt;&gt;Constants!$B$8,"",((Constants!$B$31-$AZ394)-Constants!$B$31)/Constants!$B$32)</f>
        <v/>
      </c>
      <c r="BW394" s="96" t="str">
        <f aca="false">IF(ISBLANK($C394),"",IF($BR394&lt;&gt;Constants!$B$8,$BR394,SUM($BT394:$BV394)))</f>
        <v/>
      </c>
      <c r="BX394" s="92" t="str">
        <f aca="false">IF(ISBLANK($C394),"",IF($BR394&lt;&gt;Constants!$B$8,$BR394,RANK($BW394,$BW$9:$BW$508,1)))</f>
        <v/>
      </c>
      <c r="BY394" s="96" t="str">
        <f aca="false">IF($BR394&lt;&gt;Constants!$B$8,"",IF($BI394="-&gt;",$BK394,$BC394))</f>
        <v/>
      </c>
      <c r="BZ394" s="92" t="str">
        <f aca="false">IF(ISBLANK($C394),"",IF($BR394&lt;&gt;Constants!$B$8,$BR394,IF(ISNUMBER($BY394),RANK($BY394,$BY$9:$BY$508,1),COUNT($BY$9:$BY$508)+1)))</f>
        <v/>
      </c>
      <c r="CA394" s="96" t="str">
        <f aca="false">IF($BR394&lt;&gt;Constants!$B$8,"",IF($BI394="-&gt;",$BL394,$BD394))</f>
        <v/>
      </c>
      <c r="CB394" s="92" t="str">
        <f aca="false">IF(ISBLANK($C394),"",IF($BR394&lt;&gt;Constants!$B$8,$BR394,IF(ISNUMBER($CA394),RANK($CA394,$CA$9:$CA$508,1),COUNT($CA$9:$CA$508)+1)))</f>
        <v/>
      </c>
      <c r="CC394" s="96" t="str">
        <f aca="false">IF($BR394&lt;&gt;Constants!$B$8,"",IF($BI394="-&gt;",IF($AT394,$AV394,""),IF($AL394,$AN394,"")))</f>
        <v/>
      </c>
      <c r="CD394" s="92" t="str">
        <f aca="false">IF(ISBLANK($C394),"",IF($BR394&lt;&gt;Constants!$B$8,$BR394,IF(ISNUMBER($CC394),RANK($CC394,$CC$9:$CC$508,1),COUNT($CC$9:$CC$508)+1)))</f>
        <v/>
      </c>
      <c r="CE394" s="96" t="str">
        <f aca="false">IF($BR394&lt;&gt;Constants!$B$8,"",IF(AND(NOT($AL394),NOT($AT394),$AJ394,$AK394,$AR394,$AS394),"",$AI394))</f>
        <v/>
      </c>
      <c r="CF394" s="92" t="str">
        <f aca="false">IF(ISBLANK($C394),"",IF($BR394&lt;&gt;Constants!$B$8,$BR394,IF(ISNUMBER($CE394),RANK($CE394,$CE$9:$CE$508,1),COUNT($CE$9:$CE$508)+1)))</f>
        <v/>
      </c>
      <c r="CG394" s="92" t="str">
        <f aca="false">IF(ISBLANK($C394),"",IF($BR394&lt;&gt;Constants!$B$8,$BR394,COUNTIFS($BX$9:$BX$508,"&lt;"&amp;$BX394)+COUNTIFS($BX$9:$BX$508,$BX394,$BZ$9:$BZ$508,"&lt;"&amp;$BZ394)+COUNTIFS($BX$9:$BX$508,$BX394,$BZ$9:$BZ$508,$BZ394,$CB$9:$CB$508,"&lt;"&amp;$CB394)+COUNTIFS($BX$9:$BX$508,$BX394,$BZ$9:$BZ$508,$BZ394,$CB$9:$CB$508,$CB394,$CD$9:$CD$508,"&lt;"&amp;$CD394)+COUNTIFS($BX$9:$BX$508,$BX394,$BZ$9:$BZ$508,$BZ394,$CB$9:$CB$508,$CB394,$CD$9:$CD$508,$CD394,$CF$9:$CF$508,"&lt;"&amp;$CF394)+1))</f>
        <v/>
      </c>
      <c r="CH394" s="92" t="str">
        <f aca="false">IF(ISBLANK($C394),"",IF($BR394&lt;&gt;Constants!$B$8,$BR394,$BX394-$CG394))</f>
        <v/>
      </c>
      <c r="CI394" s="98"/>
      <c r="CJ394" s="99"/>
      <c r="CK394" s="100" t="str">
        <f aca="false">IF(ISBLANK($C394),"",IF($BR394=Constants!$B$12,$BQ394,""))</f>
        <v/>
      </c>
      <c r="CL394" s="99" t="str">
        <f aca="false">IF(ISBLANK($C394),"",IF($BR394&lt;&gt;Constants!$B$8,"",IF($BI394="-&gt;",2,1)))</f>
        <v/>
      </c>
      <c r="CM394" s="101" t="str">
        <f aca="false">IF(ISBLANK($C394),"",IF($BR394&lt;&gt;Constants!$B$8,"",IF($BI394="-&gt;",$BK394,$BC394)))</f>
        <v/>
      </c>
      <c r="CN394" s="101" t="str">
        <f aca="false">IF(ISBLANK($C394),"",IF($BR394&lt;&gt;Constants!$B$8,"",IF($BI394="-&gt;",$BL394,$BD394)))</f>
        <v/>
      </c>
      <c r="CO394" s="101" t="str">
        <f aca="false">IF(ISBLANK($C394),"",IF($BR394&lt;&gt;Constants!$B$8,"",IF($BI394="-&gt;",$BM394+$BN394,$BE394+$BF394)+$BV394))</f>
        <v/>
      </c>
      <c r="CP394" s="101" t="str">
        <f aca="false">IF(ISBLANK($C394),"",IF($BR394&lt;&gt;Constants!$B$8,"",IF($BI394="-&gt;",$BO394,$BG394)+$BU394))</f>
        <v/>
      </c>
      <c r="CQ394" s="102" t="str">
        <f aca="false">IF(ISBLANK($C394),"",IF($BR394&lt;&gt;Constants!$B$8,$BR394,$BW394))</f>
        <v/>
      </c>
      <c r="CR394" s="103" t="str">
        <f aca="false">IF(ISBLANK($C394),"",$BS394)</f>
        <v/>
      </c>
      <c r="CS394" s="104" t="str">
        <f aca="false">IF(ISBLANK($C394),"",$CH394)</f>
        <v/>
      </c>
      <c r="CT394" s="104" t="str">
        <f aca="false">IF(ISBLANK($C394),"",$CG394)</f>
        <v/>
      </c>
      <c r="CU394" s="105" t="str">
        <f aca="false">IF(ISBLANK($C394),"",IFERROR(_xlfn.SWITCH($CT394,Constants!$B$11,COUNTA($C$9:$C$508)+2,Constants!$B$10,COUNTA($C$9:$C$508)+1,Constants!$B$9,COUNTA($C$9:$C$508)),$CT394))</f>
        <v/>
      </c>
      <c r="CV394" s="9"/>
      <c r="CW394" s="106" t="n">
        <f aca="false">IF(OR(ISNUMBER($CT394),$CT394=Constants!$B$11,$CT394=Constants!$B$9,$CT394=Constants!$B$10),1,0)</f>
        <v>0</v>
      </c>
      <c r="CX394" s="106" t="n">
        <v>386</v>
      </c>
      <c r="CY394" s="106" t="str">
        <f aca="false">IF(ISBLANK($C394),"",IF(ISNUMBER($CU394),$CU394+ROW($B394)/1000,""))</f>
        <v/>
      </c>
      <c r="CZ394" s="106" t="str">
        <f aca="false">IF(ISNUMBER($CY394),RANK($CY394,$CY$9:$CY$508,1),"")</f>
        <v/>
      </c>
      <c r="DA394" s="106" t="str">
        <f aca="false">IF(ISBLANK($C394),"",$B394)</f>
        <v/>
      </c>
      <c r="DB394" s="106" t="str">
        <f aca="false">IF(ISBLANK($C394),"",$C394)</f>
        <v/>
      </c>
      <c r="DC394" s="106" t="str">
        <f aca="false">IF(ISBLANK($C394),"",$D394)</f>
        <v/>
      </c>
      <c r="DD394" s="107" t="str">
        <f aca="false">$CR394</f>
        <v/>
      </c>
      <c r="DE394" s="108" t="str">
        <f aca="false">$CQ394</f>
        <v/>
      </c>
      <c r="DF394" s="106" t="str">
        <f aca="false">IF(ISBLANK($C394),"",$CT394)</f>
        <v/>
      </c>
      <c r="DG394" s="109" t="str">
        <f aca="false">IF($CX394&gt;$CW$8,"",VLOOKUP($CX394,$CZ$9:$DF$508,7,FALSE()))</f>
        <v/>
      </c>
      <c r="DH394" s="110" t="str">
        <f aca="false">IF($CX394&gt;$CW$8,"",VLOOKUP($CX394,$CZ$9:$DF$508,2,FALSE()))</f>
        <v/>
      </c>
      <c r="DI394" s="110" t="str">
        <f aca="false">IF($CX394&gt;$CW$8,"",VLOOKUP($CX394,$CZ$9:$DF$508,3,FALSE()))</f>
        <v/>
      </c>
      <c r="DJ394" s="110" t="str">
        <f aca="false">IF($CX394&gt;$CW$8,"",VLOOKUP($CX394,$CZ$9:$DF$508,4,FALSE()))</f>
        <v/>
      </c>
      <c r="DK394" s="110" t="str">
        <f aca="false">IF($CX394&gt;$CW$8,"",VLOOKUP($CX394,$CZ$9:$DF$508,5,FALSE()))</f>
        <v/>
      </c>
      <c r="DL394" s="111" t="str">
        <f aca="false">IF($CX394&gt;$CW$8,"",VLOOKUP($CX394,$CZ$9:$DF$508,6,FALSE()))</f>
        <v/>
      </c>
      <c r="DM394" s="75"/>
    </row>
    <row r="395" customFormat="false" ht="15.75" hidden="false" customHeight="false" outlineLevel="0" collapsed="false">
      <c r="A395" s="9"/>
      <c r="B395" s="77"/>
      <c r="C395" s="78"/>
      <c r="D395" s="167"/>
      <c r="E395" s="175"/>
      <c r="F395" s="169"/>
      <c r="G395" s="170"/>
      <c r="H395" s="170"/>
      <c r="I395" s="176"/>
      <c r="J395" s="173"/>
      <c r="K395" s="85"/>
      <c r="L395" s="86"/>
      <c r="M395" s="87"/>
      <c r="N395" s="173"/>
      <c r="O395" s="173"/>
      <c r="P395" s="175"/>
      <c r="Q395" s="173"/>
      <c r="R395" s="173"/>
      <c r="S395" s="85"/>
      <c r="T395" s="87"/>
      <c r="U395" s="87"/>
      <c r="V395" s="173"/>
      <c r="W395" s="173"/>
      <c r="X395" s="175"/>
      <c r="Y395" s="173"/>
      <c r="Z395" s="174"/>
      <c r="AA395" s="173"/>
      <c r="AB395" s="91"/>
      <c r="AC395" s="92"/>
      <c r="AD395" s="92"/>
      <c r="AE395" s="92"/>
      <c r="AF395" s="92" t="str">
        <f aca="false">IF(ISBLANK($C395),"",IF(E395=Constants!$B$3,TRUE(),IF(E395=Constants!$B$4,FALSE(),TRUE())))</f>
        <v/>
      </c>
      <c r="AG395" s="92" t="str">
        <f aca="false">IF(ISBLANK($C395),"",IF(F395=Constants!$B$3,TRUE(),IF(F395=Constants!$B$4,FALSE(),TRUE())))</f>
        <v/>
      </c>
      <c r="AH395" s="92" t="str">
        <f aca="false">IF(ISBLANK($C395),"",IF(G395=Constants!$B$3,TRUE(),IF(G395=Constants!$B$4,FALSE(),TRUE())))</f>
        <v/>
      </c>
      <c r="AI395" s="92" t="str">
        <f aca="false">IF(ISBLANK($C395),"",IF(AND(ISNUMBER(H395),H395&gt;=0),H395,Constants!$B$29))</f>
        <v/>
      </c>
      <c r="AJ395" s="92" t="str">
        <f aca="false">IF(ISBLANK($C395),"",IF(I395=Constants!$B$3,TRUE(),IF(I395=Constants!$B$4,FALSE(),TRUE())))</f>
        <v/>
      </c>
      <c r="AK395" s="92" t="str">
        <f aca="false">IF(ISBLANK($C395),"",IF(J395=Constants!$B$3,TRUE(),IF(J395=Constants!$B$4,FALSE(),TRUE())))</f>
        <v/>
      </c>
      <c r="AL395" s="92" t="str">
        <f aca="false">IF(ISBLANK($C395),"",IF(K395=Constants!$B$5,TRUE(),IF(K395=Constants!$B$6,FALSE(),COUNTA(L395:P395)&gt;0)))</f>
        <v/>
      </c>
      <c r="AM395" s="94" t="str">
        <f aca="false">IF(ISBLANK($C395),"",IF(ISNUMBER(L395),IF(L395&gt;=0,L395,""),""))</f>
        <v/>
      </c>
      <c r="AN395" s="93" t="str">
        <f aca="false">IF(ISBLANK($C395),"",IF(ISNUMBER(M395),IF(M395&gt;=0,M395,""),""))</f>
        <v/>
      </c>
      <c r="AO395" s="93" t="str">
        <f aca="false">IF(ISBLANK($C395),"",IF(N395=Constants!$B$3,TRUE(),IF(N395=Constants!$B$4,FALSE(),TRUE())))</f>
        <v/>
      </c>
      <c r="AP395" s="92" t="str">
        <f aca="false">IF(ISBLANK($C395),"",IF(ISNUMBER(O395),IF(O395&gt;=0,O395,""),""))</f>
        <v/>
      </c>
      <c r="AQ395" s="92" t="str">
        <f aca="false">IF(ISBLANK($C395),"",IF(P395=Constants!$B$3,TRUE(),IF(P395=Constants!$B$4,FALSE(),FALSE())))</f>
        <v/>
      </c>
      <c r="AR395" s="92" t="str">
        <f aca="false">IF(ISBLANK($C395),"",IF(Q395=Constants!$B$3,TRUE(),IF(Q395=Constants!$B$4,FALSE(),TRUE())))</f>
        <v/>
      </c>
      <c r="AS395" s="92" t="str">
        <f aca="false">IF(ISBLANK($C395),"",IF(R395=Constants!$B$3,TRUE(),IF(R395=Constants!$B$4,FALSE(),TRUE())))</f>
        <v/>
      </c>
      <c r="AT395" s="92" t="str">
        <f aca="false">IF(ISBLANK($C395),"",IF(S395=Constants!$B$5,TRUE(),IF(S395=Constants!$B$6,FALSE(),COUNTA(T395:X395)&gt;0)))</f>
        <v/>
      </c>
      <c r="AU395" s="94" t="str">
        <f aca="false">IF(ISBLANK($C395),"",IF(ISNUMBER(T395),IF(T395&gt;=0,T395,""),""))</f>
        <v/>
      </c>
      <c r="AV395" s="93" t="str">
        <f aca="false">IF(ISBLANK($C395),"",IF(ISNUMBER(U395),IF(U395&gt;=0,U395,""),""))</f>
        <v/>
      </c>
      <c r="AW395" s="93" t="str">
        <f aca="false">IF(ISBLANK($C395),"",IF(V395=Constants!$B$3,TRUE(),IF(V395=Constants!$B$4,FALSE(),TRUE())))</f>
        <v/>
      </c>
      <c r="AX395" s="92" t="str">
        <f aca="false">IF(ISBLANK($C395),"",IF(ISNUMBER(W395),IF(W395&gt;=0,W395,""),""))</f>
        <v/>
      </c>
      <c r="AY395" s="92" t="str">
        <f aca="false">IF(ISBLANK($C395),"",IF(X395=Constants!$B$3,TRUE(),IF(X395=Constants!$B$4,FALSE(),FALSE())))</f>
        <v/>
      </c>
      <c r="AZ395" s="92" t="str">
        <f aca="false">IF(ISBLANK($C395),"",MIN(Constants!$B$31,MAX(0,IF(ISNUMBER(Y395),Y395*60,0)+IF(ISNUMBER(Z395),Z395,0))))</f>
        <v/>
      </c>
      <c r="BA395" s="92" t="str">
        <f aca="false">IF(ISBLANK($C395),"",IF(AA395=Constants!$B$3,TRUE(),IF(AA395=Constants!$B$4,FALSE(),FALSE())))</f>
        <v/>
      </c>
      <c r="BB395" s="91" t="str">
        <f aca="false">IF(ISBLANK($C395),"",AND($AL395,OR($AM395="",$AN395="",AND($AO395,$AP395=""))))</f>
        <v/>
      </c>
      <c r="BC395" s="93" t="str">
        <f aca="false">IF($BR395&lt;&gt;Constants!$B$8,"",IF($AL395,Constants!$B$21*$AN395+Constants!$B$22*IF($AO395,$AP395,Constants!$B$23),Constants!$B$24))</f>
        <v/>
      </c>
      <c r="BD395" s="96" t="str">
        <f aca="false">IF($BR395&lt;&gt;Constants!$B$8,"",Constants!$B$25*ABS($AD$9-IF($AL395,$AM395,0)))</f>
        <v/>
      </c>
      <c r="BE395" s="96" t="str">
        <f aca="false">IF($BR395&lt;&gt;Constants!$B$8,"",IF(AND($AL395,$AQ395,$AO395),Constants!$B$27,0))</f>
        <v/>
      </c>
      <c r="BF395" s="96" t="str">
        <f aca="false">IF($BR395&lt;&gt;Constants!$B$8,"",IF($AL395,($AI395-Constants!$B$29)*Constants!$B$28,0))</f>
        <v/>
      </c>
      <c r="BG395" s="96" t="str">
        <f aca="false">IF($BR395&lt;&gt;Constants!$B$8,"",IF($AK395,0,Constants!$B$15)+IF($AJ395,0,Constants!$B$16)+IF($AH395,0,Constants!$B$17))</f>
        <v/>
      </c>
      <c r="BH395" s="97" t="str">
        <f aca="false">IF($BR395&lt;&gt;Constants!$B$8,"",Constants!$B$20+SUM($BC395:$BG395))</f>
        <v/>
      </c>
      <c r="BI395" s="92" t="str">
        <f aca="false">IF($BR395&lt;&gt;Constants!$B$8,"",IF(OR($BP395&lt;$BH395,AND($BP395=$BH395,OR($BK395&lt;$BC395,AND($BK395=$BC395,OR($BL395&lt;$BD395,AND($BL395=$BD395,$AT395,$AL395,$AV395&lt;$AN395)))))),"-&gt;","&lt;-"))</f>
        <v/>
      </c>
      <c r="BJ395" s="91" t="str">
        <f aca="false">IF(ISBLANK($C395),"",AND($AT395,OR($AU395="",$AV395="",AND($AW395,$AX395=""))))</f>
        <v/>
      </c>
      <c r="BK395" s="93" t="str">
        <f aca="false">IF($BR395&lt;&gt;Constants!$B$8,"",IF($AT395,Constants!$B$21*$AV395+Constants!$B$22*IF($AW395,$AX395,Constants!$B$23),Constants!$B$24))</f>
        <v/>
      </c>
      <c r="BL395" s="96" t="str">
        <f aca="false">IF($BR395&lt;&gt;Constants!$B$8,"",Constants!$B$25*ABS($AD$9-IF($AT395,$AU395,0)))</f>
        <v/>
      </c>
      <c r="BM395" s="96" t="str">
        <f aca="false">IF($BR395&lt;&gt;Constants!$B$8,"",IF(AND($AT395,$AY395,$AW395),Constants!$B$27,0))</f>
        <v/>
      </c>
      <c r="BN395" s="96" t="str">
        <f aca="false">IF($BR395&lt;&gt;Constants!$B$8,"",IF($AT395,($AI395-Constants!$B$29)*Constants!$B$28,0))</f>
        <v/>
      </c>
      <c r="BO395" s="96" t="str">
        <f aca="false">IF($BR395&lt;&gt;Constants!$B$8,"",IF($AS395,0,Constants!$B$15)+IF($AR395,0,Constants!$B$16)+IF($AH395,0,Constants!$B$17))</f>
        <v/>
      </c>
      <c r="BP395" s="97" t="str">
        <f aca="false">IF($BR395&lt;&gt;Constants!$B$8,"",Constants!$B$20+SUM($BK395:$BO395))</f>
        <v/>
      </c>
      <c r="BQ395" s="92" t="str">
        <f aca="false">IF(ISBLANK($C395),"",IF(ISBLANK($D$7),$BQ$5,IF(NOT(ISNUMBER($D$7)),$BQ$6,"")))</f>
        <v/>
      </c>
      <c r="BR395" s="92" t="str">
        <f aca="false">IF(ISBLANK($C395),"",IF($BA395,Constants!$B$11,IF(COUNTA($E395:$AA395)=0,Constants!$B$10,IF(NOT($AG395),Constants!$B$9,IF(OR($BQ395&lt;&gt;"",$BB395,$BJ395),Constants!$B$12,Constants!$B$8)))))</f>
        <v/>
      </c>
      <c r="BS395" s="92" t="str">
        <f aca="false">IF(ISBLANK($C395),"",IF($BR395&lt;&gt;Constants!$B$8,$BR395,Constants!$B$13))</f>
        <v/>
      </c>
      <c r="BT395" s="96" t="str">
        <f aca="false">IF($BR395&lt;&gt;Constants!$B$8,"",IF($BI395="-&gt;",$BP395,$BH395))</f>
        <v/>
      </c>
      <c r="BU395" s="96" t="str">
        <f aca="false">IF($BR395&lt;&gt;Constants!$B$8,"",IF($AF395,0,Constants!$B$18))</f>
        <v/>
      </c>
      <c r="BV395" s="96" t="str">
        <f aca="false">IF($BR395&lt;&gt;Constants!$B$8,"",((Constants!$B$31-$AZ395)-Constants!$B$31)/Constants!$B$32)</f>
        <v/>
      </c>
      <c r="BW395" s="96" t="str">
        <f aca="false">IF(ISBLANK($C395),"",IF($BR395&lt;&gt;Constants!$B$8,$BR395,SUM($BT395:$BV395)))</f>
        <v/>
      </c>
      <c r="BX395" s="92" t="str">
        <f aca="false">IF(ISBLANK($C395),"",IF($BR395&lt;&gt;Constants!$B$8,$BR395,RANK($BW395,$BW$9:$BW$508,1)))</f>
        <v/>
      </c>
      <c r="BY395" s="96" t="str">
        <f aca="false">IF($BR395&lt;&gt;Constants!$B$8,"",IF($BI395="-&gt;",$BK395,$BC395))</f>
        <v/>
      </c>
      <c r="BZ395" s="92" t="str">
        <f aca="false">IF(ISBLANK($C395),"",IF($BR395&lt;&gt;Constants!$B$8,$BR395,IF(ISNUMBER($BY395),RANK($BY395,$BY$9:$BY$508,1),COUNT($BY$9:$BY$508)+1)))</f>
        <v/>
      </c>
      <c r="CA395" s="96" t="str">
        <f aca="false">IF($BR395&lt;&gt;Constants!$B$8,"",IF($BI395="-&gt;",$BL395,$BD395))</f>
        <v/>
      </c>
      <c r="CB395" s="92" t="str">
        <f aca="false">IF(ISBLANK($C395),"",IF($BR395&lt;&gt;Constants!$B$8,$BR395,IF(ISNUMBER($CA395),RANK($CA395,$CA$9:$CA$508,1),COUNT($CA$9:$CA$508)+1)))</f>
        <v/>
      </c>
      <c r="CC395" s="96" t="str">
        <f aca="false">IF($BR395&lt;&gt;Constants!$B$8,"",IF($BI395="-&gt;",IF($AT395,$AV395,""),IF($AL395,$AN395,"")))</f>
        <v/>
      </c>
      <c r="CD395" s="92" t="str">
        <f aca="false">IF(ISBLANK($C395),"",IF($BR395&lt;&gt;Constants!$B$8,$BR395,IF(ISNUMBER($CC395),RANK($CC395,$CC$9:$CC$508,1),COUNT($CC$9:$CC$508)+1)))</f>
        <v/>
      </c>
      <c r="CE395" s="96" t="str">
        <f aca="false">IF($BR395&lt;&gt;Constants!$B$8,"",IF(AND(NOT($AL395),NOT($AT395),$AJ395,$AK395,$AR395,$AS395),"",$AI395))</f>
        <v/>
      </c>
      <c r="CF395" s="92" t="str">
        <f aca="false">IF(ISBLANK($C395),"",IF($BR395&lt;&gt;Constants!$B$8,$BR395,IF(ISNUMBER($CE395),RANK($CE395,$CE$9:$CE$508,1),COUNT($CE$9:$CE$508)+1)))</f>
        <v/>
      </c>
      <c r="CG395" s="92" t="str">
        <f aca="false">IF(ISBLANK($C395),"",IF($BR395&lt;&gt;Constants!$B$8,$BR395,COUNTIFS($BX$9:$BX$508,"&lt;"&amp;$BX395)+COUNTIFS($BX$9:$BX$508,$BX395,$BZ$9:$BZ$508,"&lt;"&amp;$BZ395)+COUNTIFS($BX$9:$BX$508,$BX395,$BZ$9:$BZ$508,$BZ395,$CB$9:$CB$508,"&lt;"&amp;$CB395)+COUNTIFS($BX$9:$BX$508,$BX395,$BZ$9:$BZ$508,$BZ395,$CB$9:$CB$508,$CB395,$CD$9:$CD$508,"&lt;"&amp;$CD395)+COUNTIFS($BX$9:$BX$508,$BX395,$BZ$9:$BZ$508,$BZ395,$CB$9:$CB$508,$CB395,$CD$9:$CD$508,$CD395,$CF$9:$CF$508,"&lt;"&amp;$CF395)+1))</f>
        <v/>
      </c>
      <c r="CH395" s="92" t="str">
        <f aca="false">IF(ISBLANK($C395),"",IF($BR395&lt;&gt;Constants!$B$8,$BR395,$BX395-$CG395))</f>
        <v/>
      </c>
      <c r="CI395" s="98"/>
      <c r="CJ395" s="99"/>
      <c r="CK395" s="100" t="str">
        <f aca="false">IF(ISBLANK($C395),"",IF($BR395=Constants!$B$12,$BQ395,""))</f>
        <v/>
      </c>
      <c r="CL395" s="99" t="str">
        <f aca="false">IF(ISBLANK($C395),"",IF($BR395&lt;&gt;Constants!$B$8,"",IF($BI395="-&gt;",2,1)))</f>
        <v/>
      </c>
      <c r="CM395" s="101" t="str">
        <f aca="false">IF(ISBLANK($C395),"",IF($BR395&lt;&gt;Constants!$B$8,"",IF($BI395="-&gt;",$BK395,$BC395)))</f>
        <v/>
      </c>
      <c r="CN395" s="101" t="str">
        <f aca="false">IF(ISBLANK($C395),"",IF($BR395&lt;&gt;Constants!$B$8,"",IF($BI395="-&gt;",$BL395,$BD395)))</f>
        <v/>
      </c>
      <c r="CO395" s="101" t="str">
        <f aca="false">IF(ISBLANK($C395),"",IF($BR395&lt;&gt;Constants!$B$8,"",IF($BI395="-&gt;",$BM395+$BN395,$BE395+$BF395)+$BV395))</f>
        <v/>
      </c>
      <c r="CP395" s="101" t="str">
        <f aca="false">IF(ISBLANK($C395),"",IF($BR395&lt;&gt;Constants!$B$8,"",IF($BI395="-&gt;",$BO395,$BG395)+$BU395))</f>
        <v/>
      </c>
      <c r="CQ395" s="102" t="str">
        <f aca="false">IF(ISBLANK($C395),"",IF($BR395&lt;&gt;Constants!$B$8,$BR395,$BW395))</f>
        <v/>
      </c>
      <c r="CR395" s="103" t="str">
        <f aca="false">IF(ISBLANK($C395),"",$BS395)</f>
        <v/>
      </c>
      <c r="CS395" s="104" t="str">
        <f aca="false">IF(ISBLANK($C395),"",$CH395)</f>
        <v/>
      </c>
      <c r="CT395" s="104" t="str">
        <f aca="false">IF(ISBLANK($C395),"",$CG395)</f>
        <v/>
      </c>
      <c r="CU395" s="105" t="str">
        <f aca="false">IF(ISBLANK($C395),"",IFERROR(_xlfn.SWITCH($CT395,Constants!$B$11,COUNTA($C$9:$C$508)+2,Constants!$B$10,COUNTA($C$9:$C$508)+1,Constants!$B$9,COUNTA($C$9:$C$508)),$CT395))</f>
        <v/>
      </c>
      <c r="CV395" s="9"/>
      <c r="CW395" s="106" t="n">
        <f aca="false">IF(OR(ISNUMBER($CT395),$CT395=Constants!$B$11,$CT395=Constants!$B$9,$CT395=Constants!$B$10),1,0)</f>
        <v>0</v>
      </c>
      <c r="CX395" s="106" t="n">
        <v>387</v>
      </c>
      <c r="CY395" s="106" t="str">
        <f aca="false">IF(ISBLANK($C395),"",IF(ISNUMBER($CU395),$CU395+ROW($B395)/1000,""))</f>
        <v/>
      </c>
      <c r="CZ395" s="106" t="str">
        <f aca="false">IF(ISNUMBER($CY395),RANK($CY395,$CY$9:$CY$508,1),"")</f>
        <v/>
      </c>
      <c r="DA395" s="106" t="str">
        <f aca="false">IF(ISBLANK($C395),"",$B395)</f>
        <v/>
      </c>
      <c r="DB395" s="106" t="str">
        <f aca="false">IF(ISBLANK($C395),"",$C395)</f>
        <v/>
      </c>
      <c r="DC395" s="106" t="str">
        <f aca="false">IF(ISBLANK($C395),"",$D395)</f>
        <v/>
      </c>
      <c r="DD395" s="107" t="str">
        <f aca="false">$CR395</f>
        <v/>
      </c>
      <c r="DE395" s="108" t="str">
        <f aca="false">$CQ395</f>
        <v/>
      </c>
      <c r="DF395" s="106" t="str">
        <f aca="false">IF(ISBLANK($C395),"",$CT395)</f>
        <v/>
      </c>
      <c r="DG395" s="109" t="str">
        <f aca="false">IF($CX395&gt;$CW$8,"",VLOOKUP($CX395,$CZ$9:$DF$508,7,FALSE()))</f>
        <v/>
      </c>
      <c r="DH395" s="110" t="str">
        <f aca="false">IF($CX395&gt;$CW$8,"",VLOOKUP($CX395,$CZ$9:$DF$508,2,FALSE()))</f>
        <v/>
      </c>
      <c r="DI395" s="110" t="str">
        <f aca="false">IF($CX395&gt;$CW$8,"",VLOOKUP($CX395,$CZ$9:$DF$508,3,FALSE()))</f>
        <v/>
      </c>
      <c r="DJ395" s="110" t="str">
        <f aca="false">IF($CX395&gt;$CW$8,"",VLOOKUP($CX395,$CZ$9:$DF$508,4,FALSE()))</f>
        <v/>
      </c>
      <c r="DK395" s="110" t="str">
        <f aca="false">IF($CX395&gt;$CW$8,"",VLOOKUP($CX395,$CZ$9:$DF$508,5,FALSE()))</f>
        <v/>
      </c>
      <c r="DL395" s="111" t="str">
        <f aca="false">IF($CX395&gt;$CW$8,"",VLOOKUP($CX395,$CZ$9:$DF$508,6,FALSE()))</f>
        <v/>
      </c>
      <c r="DM395" s="75"/>
    </row>
    <row r="396" customFormat="false" ht="15.75" hidden="false" customHeight="false" outlineLevel="0" collapsed="false">
      <c r="A396" s="9"/>
      <c r="B396" s="157"/>
      <c r="C396" s="158"/>
      <c r="D396" s="159"/>
      <c r="E396" s="177"/>
      <c r="F396" s="161"/>
      <c r="G396" s="162"/>
      <c r="H396" s="162"/>
      <c r="I396" s="178"/>
      <c r="J396" s="165"/>
      <c r="K396" s="126"/>
      <c r="L396" s="127"/>
      <c r="M396" s="128"/>
      <c r="N396" s="165"/>
      <c r="O396" s="165"/>
      <c r="P396" s="177"/>
      <c r="Q396" s="165"/>
      <c r="R396" s="165"/>
      <c r="S396" s="126"/>
      <c r="T396" s="128"/>
      <c r="U396" s="128"/>
      <c r="V396" s="165"/>
      <c r="W396" s="165"/>
      <c r="X396" s="177"/>
      <c r="Y396" s="165"/>
      <c r="Z396" s="166"/>
      <c r="AA396" s="165"/>
      <c r="AB396" s="132"/>
      <c r="AC396" s="133"/>
      <c r="AD396" s="133"/>
      <c r="AE396" s="133"/>
      <c r="AF396" s="133" t="str">
        <f aca="false">IF(ISBLANK($C396),"",IF(E396=Constants!$B$3,TRUE(),IF(E396=Constants!$B$4,FALSE(),TRUE())))</f>
        <v/>
      </c>
      <c r="AG396" s="133" t="str">
        <f aca="false">IF(ISBLANK($C396),"",IF(F396=Constants!$B$3,TRUE(),IF(F396=Constants!$B$4,FALSE(),TRUE())))</f>
        <v/>
      </c>
      <c r="AH396" s="133" t="str">
        <f aca="false">IF(ISBLANK($C396),"",IF(G396=Constants!$B$3,TRUE(),IF(G396=Constants!$B$4,FALSE(),TRUE())))</f>
        <v/>
      </c>
      <c r="AI396" s="133" t="str">
        <f aca="false">IF(ISBLANK($C396),"",IF(AND(ISNUMBER(H396),H396&gt;=0),H396,Constants!$B$29))</f>
        <v/>
      </c>
      <c r="AJ396" s="133" t="str">
        <f aca="false">IF(ISBLANK($C396),"",IF(I396=Constants!$B$3,TRUE(),IF(I396=Constants!$B$4,FALSE(),TRUE())))</f>
        <v/>
      </c>
      <c r="AK396" s="133" t="str">
        <f aca="false">IF(ISBLANK($C396),"",IF(J396=Constants!$B$3,TRUE(),IF(J396=Constants!$B$4,FALSE(),TRUE())))</f>
        <v/>
      </c>
      <c r="AL396" s="133" t="str">
        <f aca="false">IF(ISBLANK($C396),"",IF(K396=Constants!$B$5,TRUE(),IF(K396=Constants!$B$6,FALSE(),COUNTA(L396:P396)&gt;0)))</f>
        <v/>
      </c>
      <c r="AM396" s="134" t="str">
        <f aca="false">IF(ISBLANK($C396),"",IF(ISNUMBER(L396),IF(L396&gt;=0,L396,""),""))</f>
        <v/>
      </c>
      <c r="AN396" s="135" t="str">
        <f aca="false">IF(ISBLANK($C396),"",IF(ISNUMBER(M396),IF(M396&gt;=0,M396,""),""))</f>
        <v/>
      </c>
      <c r="AO396" s="135" t="str">
        <f aca="false">IF(ISBLANK($C396),"",IF(N396=Constants!$B$3,TRUE(),IF(N396=Constants!$B$4,FALSE(),TRUE())))</f>
        <v/>
      </c>
      <c r="AP396" s="133" t="str">
        <f aca="false">IF(ISBLANK($C396),"",IF(ISNUMBER(O396),IF(O396&gt;=0,O396,""),""))</f>
        <v/>
      </c>
      <c r="AQ396" s="133" t="str">
        <f aca="false">IF(ISBLANK($C396),"",IF(P396=Constants!$B$3,TRUE(),IF(P396=Constants!$B$4,FALSE(),FALSE())))</f>
        <v/>
      </c>
      <c r="AR396" s="133" t="str">
        <f aca="false">IF(ISBLANK($C396),"",IF(Q396=Constants!$B$3,TRUE(),IF(Q396=Constants!$B$4,FALSE(),TRUE())))</f>
        <v/>
      </c>
      <c r="AS396" s="133" t="str">
        <f aca="false">IF(ISBLANK($C396),"",IF(R396=Constants!$B$3,TRUE(),IF(R396=Constants!$B$4,FALSE(),TRUE())))</f>
        <v/>
      </c>
      <c r="AT396" s="133" t="str">
        <f aca="false">IF(ISBLANK($C396),"",IF(S396=Constants!$B$5,TRUE(),IF(S396=Constants!$B$6,FALSE(),COUNTA(T396:X396)&gt;0)))</f>
        <v/>
      </c>
      <c r="AU396" s="134" t="str">
        <f aca="false">IF(ISBLANK($C396),"",IF(ISNUMBER(T396),IF(T396&gt;=0,T396,""),""))</f>
        <v/>
      </c>
      <c r="AV396" s="135" t="str">
        <f aca="false">IF(ISBLANK($C396),"",IF(ISNUMBER(U396),IF(U396&gt;=0,U396,""),""))</f>
        <v/>
      </c>
      <c r="AW396" s="135" t="str">
        <f aca="false">IF(ISBLANK($C396),"",IF(V396=Constants!$B$3,TRUE(),IF(V396=Constants!$B$4,FALSE(),TRUE())))</f>
        <v/>
      </c>
      <c r="AX396" s="133" t="str">
        <f aca="false">IF(ISBLANK($C396),"",IF(ISNUMBER(W396),IF(W396&gt;=0,W396,""),""))</f>
        <v/>
      </c>
      <c r="AY396" s="133" t="str">
        <f aca="false">IF(ISBLANK($C396),"",IF(X396=Constants!$B$3,TRUE(),IF(X396=Constants!$B$4,FALSE(),FALSE())))</f>
        <v/>
      </c>
      <c r="AZ396" s="133" t="str">
        <f aca="false">IF(ISBLANK($C396),"",MIN(Constants!$B$31,MAX(0,IF(ISNUMBER(Y396),Y396*60,0)+IF(ISNUMBER(Z396),Z396,0))))</f>
        <v/>
      </c>
      <c r="BA396" s="133" t="str">
        <f aca="false">IF(ISBLANK($C396),"",IF(AA396=Constants!$B$3,TRUE(),IF(AA396=Constants!$B$4,FALSE(),FALSE())))</f>
        <v/>
      </c>
      <c r="BB396" s="132" t="str">
        <f aca="false">IF(ISBLANK($C396),"",AND($AL396,OR($AM396="",$AN396="",AND($AO396,$AP396=""))))</f>
        <v/>
      </c>
      <c r="BC396" s="135" t="str">
        <f aca="false">IF($BR396&lt;&gt;Constants!$B$8,"",IF($AL396,Constants!$B$21*$AN396+Constants!$B$22*IF($AO396,$AP396,Constants!$B$23),Constants!$B$24))</f>
        <v/>
      </c>
      <c r="BD396" s="136" t="str">
        <f aca="false">IF($BR396&lt;&gt;Constants!$B$8,"",Constants!$B$25*ABS($AD$9-IF($AL396,$AM396,0)))</f>
        <v/>
      </c>
      <c r="BE396" s="136" t="str">
        <f aca="false">IF($BR396&lt;&gt;Constants!$B$8,"",IF(AND($AL396,$AQ396,$AO396),Constants!$B$27,0))</f>
        <v/>
      </c>
      <c r="BF396" s="136" t="str">
        <f aca="false">IF($BR396&lt;&gt;Constants!$B$8,"",IF($AL396,($AI396-Constants!$B$29)*Constants!$B$28,0))</f>
        <v/>
      </c>
      <c r="BG396" s="136" t="str">
        <f aca="false">IF($BR396&lt;&gt;Constants!$B$8,"",IF($AK396,0,Constants!$B$15)+IF($AJ396,0,Constants!$B$16)+IF($AH396,0,Constants!$B$17))</f>
        <v/>
      </c>
      <c r="BH396" s="137" t="str">
        <f aca="false">IF($BR396&lt;&gt;Constants!$B$8,"",Constants!$B$20+SUM($BC396:$BG396))</f>
        <v/>
      </c>
      <c r="BI396" s="133" t="str">
        <f aca="false">IF($BR396&lt;&gt;Constants!$B$8,"",IF(OR($BP396&lt;$BH396,AND($BP396=$BH396,OR($BK396&lt;$BC396,AND($BK396=$BC396,OR($BL396&lt;$BD396,AND($BL396=$BD396,$AT396,$AL396,$AV396&lt;$AN396)))))),"-&gt;","&lt;-"))</f>
        <v/>
      </c>
      <c r="BJ396" s="132" t="str">
        <f aca="false">IF(ISBLANK($C396),"",AND($AT396,OR($AU396="",$AV396="",AND($AW396,$AX396=""))))</f>
        <v/>
      </c>
      <c r="BK396" s="135" t="str">
        <f aca="false">IF($BR396&lt;&gt;Constants!$B$8,"",IF($AT396,Constants!$B$21*$AV396+Constants!$B$22*IF($AW396,$AX396,Constants!$B$23),Constants!$B$24))</f>
        <v/>
      </c>
      <c r="BL396" s="136" t="str">
        <f aca="false">IF($BR396&lt;&gt;Constants!$B$8,"",Constants!$B$25*ABS($AD$9-IF($AT396,$AU396,0)))</f>
        <v/>
      </c>
      <c r="BM396" s="136" t="str">
        <f aca="false">IF($BR396&lt;&gt;Constants!$B$8,"",IF(AND($AT396,$AY396,$AW396),Constants!$B$27,0))</f>
        <v/>
      </c>
      <c r="BN396" s="136" t="str">
        <f aca="false">IF($BR396&lt;&gt;Constants!$B$8,"",IF($AT396,($AI396-Constants!$B$29)*Constants!$B$28,0))</f>
        <v/>
      </c>
      <c r="BO396" s="136" t="str">
        <f aca="false">IF($BR396&lt;&gt;Constants!$B$8,"",IF($AS396,0,Constants!$B$15)+IF($AR396,0,Constants!$B$16)+IF($AH396,0,Constants!$B$17))</f>
        <v/>
      </c>
      <c r="BP396" s="137" t="str">
        <f aca="false">IF($BR396&lt;&gt;Constants!$B$8,"",Constants!$B$20+SUM($BK396:$BO396))</f>
        <v/>
      </c>
      <c r="BQ396" s="133" t="str">
        <f aca="false">IF(ISBLANK($C396),"",IF(ISBLANK($D$7),$BQ$5,IF(NOT(ISNUMBER($D$7)),$BQ$6,"")))</f>
        <v/>
      </c>
      <c r="BR396" s="133" t="str">
        <f aca="false">IF(ISBLANK($C396),"",IF($BA396,Constants!$B$11,IF(COUNTA($E396:$AA396)=0,Constants!$B$10,IF(NOT($AG396),Constants!$B$9,IF(OR($BQ396&lt;&gt;"",$BB396,$BJ396),Constants!$B$12,Constants!$B$8)))))</f>
        <v/>
      </c>
      <c r="BS396" s="133" t="str">
        <f aca="false">IF(ISBLANK($C396),"",IF($BR396&lt;&gt;Constants!$B$8,$BR396,Constants!$B$13))</f>
        <v/>
      </c>
      <c r="BT396" s="136" t="str">
        <f aca="false">IF($BR396&lt;&gt;Constants!$B$8,"",IF($BI396="-&gt;",$BP396,$BH396))</f>
        <v/>
      </c>
      <c r="BU396" s="136" t="str">
        <f aca="false">IF($BR396&lt;&gt;Constants!$B$8,"",IF($AF396,0,Constants!$B$18))</f>
        <v/>
      </c>
      <c r="BV396" s="136" t="str">
        <f aca="false">IF($BR396&lt;&gt;Constants!$B$8,"",((Constants!$B$31-$AZ396)-Constants!$B$31)/Constants!$B$32)</f>
        <v/>
      </c>
      <c r="BW396" s="136" t="str">
        <f aca="false">IF(ISBLANK($C396),"",IF($BR396&lt;&gt;Constants!$B$8,$BR396,SUM($BT396:$BV396)))</f>
        <v/>
      </c>
      <c r="BX396" s="133" t="str">
        <f aca="false">IF(ISBLANK($C396),"",IF($BR396&lt;&gt;Constants!$B$8,$BR396,RANK($BW396,$BW$9:$BW$508,1)))</f>
        <v/>
      </c>
      <c r="BY396" s="136" t="str">
        <f aca="false">IF($BR396&lt;&gt;Constants!$B$8,"",IF($BI396="-&gt;",$BK396,$BC396))</f>
        <v/>
      </c>
      <c r="BZ396" s="133" t="str">
        <f aca="false">IF(ISBLANK($C396),"",IF($BR396&lt;&gt;Constants!$B$8,$BR396,IF(ISNUMBER($BY396),RANK($BY396,$BY$9:$BY$508,1),COUNT($BY$9:$BY$508)+1)))</f>
        <v/>
      </c>
      <c r="CA396" s="136" t="str">
        <f aca="false">IF($BR396&lt;&gt;Constants!$B$8,"",IF($BI396="-&gt;",$BL396,$BD396))</f>
        <v/>
      </c>
      <c r="CB396" s="133" t="str">
        <f aca="false">IF(ISBLANK($C396),"",IF($BR396&lt;&gt;Constants!$B$8,$BR396,IF(ISNUMBER($CA396),RANK($CA396,$CA$9:$CA$508,1),COUNT($CA$9:$CA$508)+1)))</f>
        <v/>
      </c>
      <c r="CC396" s="136" t="str">
        <f aca="false">IF($BR396&lt;&gt;Constants!$B$8,"",IF($BI396="-&gt;",IF($AT396,$AV396,""),IF($AL396,$AN396,"")))</f>
        <v/>
      </c>
      <c r="CD396" s="133" t="str">
        <f aca="false">IF(ISBLANK($C396),"",IF($BR396&lt;&gt;Constants!$B$8,$BR396,IF(ISNUMBER($CC396),RANK($CC396,$CC$9:$CC$508,1),COUNT($CC$9:$CC$508)+1)))</f>
        <v/>
      </c>
      <c r="CE396" s="136" t="str">
        <f aca="false">IF($BR396&lt;&gt;Constants!$B$8,"",IF(AND(NOT($AL396),NOT($AT396),$AJ396,$AK396,$AR396,$AS396),"",$AI396))</f>
        <v/>
      </c>
      <c r="CF396" s="133" t="str">
        <f aca="false">IF(ISBLANK($C396),"",IF($BR396&lt;&gt;Constants!$B$8,$BR396,IF(ISNUMBER($CE396),RANK($CE396,$CE$9:$CE$508,1),COUNT($CE$9:$CE$508)+1)))</f>
        <v/>
      </c>
      <c r="CG396" s="133" t="str">
        <f aca="false">IF(ISBLANK($C396),"",IF($BR396&lt;&gt;Constants!$B$8,$BR396,COUNTIFS($BX$9:$BX$508,"&lt;"&amp;$BX396)+COUNTIFS($BX$9:$BX$508,$BX396,$BZ$9:$BZ$508,"&lt;"&amp;$BZ396)+COUNTIFS($BX$9:$BX$508,$BX396,$BZ$9:$BZ$508,$BZ396,$CB$9:$CB$508,"&lt;"&amp;$CB396)+COUNTIFS($BX$9:$BX$508,$BX396,$BZ$9:$BZ$508,$BZ396,$CB$9:$CB$508,$CB396,$CD$9:$CD$508,"&lt;"&amp;$CD396)+COUNTIFS($BX$9:$BX$508,$BX396,$BZ$9:$BZ$508,$BZ396,$CB$9:$CB$508,$CB396,$CD$9:$CD$508,$CD396,$CF$9:$CF$508,"&lt;"&amp;$CF396)+1))</f>
        <v/>
      </c>
      <c r="CH396" s="133" t="str">
        <f aca="false">IF(ISBLANK($C396),"",IF($BR396&lt;&gt;Constants!$B$8,$BR396,$BX396-$CG396))</f>
        <v/>
      </c>
      <c r="CI396" s="138"/>
      <c r="CJ396" s="139"/>
      <c r="CK396" s="140" t="str">
        <f aca="false">IF(ISBLANK($C396),"",IF($BR396=Constants!$B$12,$BQ396,""))</f>
        <v/>
      </c>
      <c r="CL396" s="139" t="str">
        <f aca="false">IF(ISBLANK($C396),"",IF($BR396&lt;&gt;Constants!$B$8,"",IF($BI396="-&gt;",2,1)))</f>
        <v/>
      </c>
      <c r="CM396" s="141" t="str">
        <f aca="false">IF(ISBLANK($C396),"",IF($BR396&lt;&gt;Constants!$B$8,"",IF($BI396="-&gt;",$BK396,$BC396)))</f>
        <v/>
      </c>
      <c r="CN396" s="141" t="str">
        <f aca="false">IF(ISBLANK($C396),"",IF($BR396&lt;&gt;Constants!$B$8,"",IF($BI396="-&gt;",$BL396,$BD396)))</f>
        <v/>
      </c>
      <c r="CO396" s="141" t="str">
        <f aca="false">IF(ISBLANK($C396),"",IF($BR396&lt;&gt;Constants!$B$8,"",IF($BI396="-&gt;",$BM396+$BN396,$BE396+$BF396)+$BV396))</f>
        <v/>
      </c>
      <c r="CP396" s="141" t="str">
        <f aca="false">IF(ISBLANK($C396),"",IF($BR396&lt;&gt;Constants!$B$8,"",IF($BI396="-&gt;",$BO396,$BG396)+$BU396))</f>
        <v/>
      </c>
      <c r="CQ396" s="142" t="str">
        <f aca="false">IF(ISBLANK($C396),"",IF($BR396&lt;&gt;Constants!$B$8,$BR396,$BW396))</f>
        <v/>
      </c>
      <c r="CR396" s="143" t="str">
        <f aca="false">IF(ISBLANK($C396),"",$BS396)</f>
        <v/>
      </c>
      <c r="CS396" s="144" t="str">
        <f aca="false">IF(ISBLANK($C396),"",$CH396)</f>
        <v/>
      </c>
      <c r="CT396" s="144" t="str">
        <f aca="false">IF(ISBLANK($C396),"",$CG396)</f>
        <v/>
      </c>
      <c r="CU396" s="145" t="str">
        <f aca="false">IF(ISBLANK($C396),"",IFERROR(_xlfn.SWITCH($CT396,Constants!$B$11,COUNTA($C$9:$C$508)+2,Constants!$B$10,COUNTA($C$9:$C$508)+1,Constants!$B$9,COUNTA($C$9:$C$508)),$CT396))</f>
        <v/>
      </c>
      <c r="CV396" s="9"/>
      <c r="CW396" s="146" t="n">
        <f aca="false">IF(OR(ISNUMBER($CT396),$CT396=Constants!$B$11,$CT396=Constants!$B$9,$CT396=Constants!$B$10),1,0)</f>
        <v>0</v>
      </c>
      <c r="CX396" s="146" t="n">
        <v>388</v>
      </c>
      <c r="CY396" s="146" t="str">
        <f aca="false">IF(ISBLANK($C396),"",IF(ISNUMBER($CU396),$CU396+ROW($B396)/1000,""))</f>
        <v/>
      </c>
      <c r="CZ396" s="146" t="str">
        <f aca="false">IF(ISNUMBER($CY396),RANK($CY396,$CY$9:$CY$508,1),"")</f>
        <v/>
      </c>
      <c r="DA396" s="146" t="str">
        <f aca="false">IF(ISBLANK($C396),"",$B396)</f>
        <v/>
      </c>
      <c r="DB396" s="146" t="str">
        <f aca="false">IF(ISBLANK($C396),"",$C396)</f>
        <v/>
      </c>
      <c r="DC396" s="146" t="str">
        <f aca="false">IF(ISBLANK($C396),"",$D396)</f>
        <v/>
      </c>
      <c r="DD396" s="147" t="str">
        <f aca="false">$CR396</f>
        <v/>
      </c>
      <c r="DE396" s="148" t="str">
        <f aca="false">$CQ396</f>
        <v/>
      </c>
      <c r="DF396" s="146" t="str">
        <f aca="false">IF(ISBLANK($C396),"",$CT396)</f>
        <v/>
      </c>
      <c r="DG396" s="149" t="str">
        <f aca="false">IF($CX396&gt;$CW$8,"",VLOOKUP($CX396,$CZ$9:$DF$508,7,FALSE()))</f>
        <v/>
      </c>
      <c r="DH396" s="150" t="str">
        <f aca="false">IF($CX396&gt;$CW$8,"",VLOOKUP($CX396,$CZ$9:$DF$508,2,FALSE()))</f>
        <v/>
      </c>
      <c r="DI396" s="150" t="str">
        <f aca="false">IF($CX396&gt;$CW$8,"",VLOOKUP($CX396,$CZ$9:$DF$508,3,FALSE()))</f>
        <v/>
      </c>
      <c r="DJ396" s="150" t="str">
        <f aca="false">IF($CX396&gt;$CW$8,"",VLOOKUP($CX396,$CZ$9:$DF$508,4,FALSE()))</f>
        <v/>
      </c>
      <c r="DK396" s="150" t="str">
        <f aca="false">IF($CX396&gt;$CW$8,"",VLOOKUP($CX396,$CZ$9:$DF$508,5,FALSE()))</f>
        <v/>
      </c>
      <c r="DL396" s="151" t="str">
        <f aca="false">IF($CX396&gt;$CW$8,"",VLOOKUP($CX396,$CZ$9:$DF$508,6,FALSE()))</f>
        <v/>
      </c>
      <c r="DM396" s="75"/>
    </row>
    <row r="397" customFormat="false" ht="15.75" hidden="false" customHeight="false" outlineLevel="0" collapsed="false">
      <c r="A397" s="9"/>
      <c r="B397" s="157"/>
      <c r="C397" s="158"/>
      <c r="D397" s="159"/>
      <c r="E397" s="177"/>
      <c r="F397" s="161"/>
      <c r="G397" s="162"/>
      <c r="H397" s="162"/>
      <c r="I397" s="178"/>
      <c r="J397" s="165"/>
      <c r="K397" s="126"/>
      <c r="L397" s="127"/>
      <c r="M397" s="128"/>
      <c r="N397" s="165"/>
      <c r="O397" s="165"/>
      <c r="P397" s="177"/>
      <c r="Q397" s="165"/>
      <c r="R397" s="165"/>
      <c r="S397" s="126"/>
      <c r="T397" s="128"/>
      <c r="U397" s="128"/>
      <c r="V397" s="165"/>
      <c r="W397" s="165"/>
      <c r="X397" s="177"/>
      <c r="Y397" s="165"/>
      <c r="Z397" s="166"/>
      <c r="AA397" s="165"/>
      <c r="AB397" s="132"/>
      <c r="AC397" s="133"/>
      <c r="AD397" s="133"/>
      <c r="AE397" s="133"/>
      <c r="AF397" s="133" t="str">
        <f aca="false">IF(ISBLANK($C397),"",IF(E397=Constants!$B$3,TRUE(),IF(E397=Constants!$B$4,FALSE(),TRUE())))</f>
        <v/>
      </c>
      <c r="AG397" s="133" t="str">
        <f aca="false">IF(ISBLANK($C397),"",IF(F397=Constants!$B$3,TRUE(),IF(F397=Constants!$B$4,FALSE(),TRUE())))</f>
        <v/>
      </c>
      <c r="AH397" s="133" t="str">
        <f aca="false">IF(ISBLANK($C397),"",IF(G397=Constants!$B$3,TRUE(),IF(G397=Constants!$B$4,FALSE(),TRUE())))</f>
        <v/>
      </c>
      <c r="AI397" s="133" t="str">
        <f aca="false">IF(ISBLANK($C397),"",IF(AND(ISNUMBER(H397),H397&gt;=0),H397,Constants!$B$29))</f>
        <v/>
      </c>
      <c r="AJ397" s="133" t="str">
        <f aca="false">IF(ISBLANK($C397),"",IF(I397=Constants!$B$3,TRUE(),IF(I397=Constants!$B$4,FALSE(),TRUE())))</f>
        <v/>
      </c>
      <c r="AK397" s="133" t="str">
        <f aca="false">IF(ISBLANK($C397),"",IF(J397=Constants!$B$3,TRUE(),IF(J397=Constants!$B$4,FALSE(),TRUE())))</f>
        <v/>
      </c>
      <c r="AL397" s="133" t="str">
        <f aca="false">IF(ISBLANK($C397),"",IF(K397=Constants!$B$5,TRUE(),IF(K397=Constants!$B$6,FALSE(),COUNTA(L397:P397)&gt;0)))</f>
        <v/>
      </c>
      <c r="AM397" s="134" t="str">
        <f aca="false">IF(ISBLANK($C397),"",IF(ISNUMBER(L397),IF(L397&gt;=0,L397,""),""))</f>
        <v/>
      </c>
      <c r="AN397" s="135" t="str">
        <f aca="false">IF(ISBLANK($C397),"",IF(ISNUMBER(M397),IF(M397&gt;=0,M397,""),""))</f>
        <v/>
      </c>
      <c r="AO397" s="135" t="str">
        <f aca="false">IF(ISBLANK($C397),"",IF(N397=Constants!$B$3,TRUE(),IF(N397=Constants!$B$4,FALSE(),TRUE())))</f>
        <v/>
      </c>
      <c r="AP397" s="133" t="str">
        <f aca="false">IF(ISBLANK($C397),"",IF(ISNUMBER(O397),IF(O397&gt;=0,O397,""),""))</f>
        <v/>
      </c>
      <c r="AQ397" s="133" t="str">
        <f aca="false">IF(ISBLANK($C397),"",IF(P397=Constants!$B$3,TRUE(),IF(P397=Constants!$B$4,FALSE(),FALSE())))</f>
        <v/>
      </c>
      <c r="AR397" s="133" t="str">
        <f aca="false">IF(ISBLANK($C397),"",IF(Q397=Constants!$B$3,TRUE(),IF(Q397=Constants!$B$4,FALSE(),TRUE())))</f>
        <v/>
      </c>
      <c r="AS397" s="133" t="str">
        <f aca="false">IF(ISBLANK($C397),"",IF(R397=Constants!$B$3,TRUE(),IF(R397=Constants!$B$4,FALSE(),TRUE())))</f>
        <v/>
      </c>
      <c r="AT397" s="133" t="str">
        <f aca="false">IF(ISBLANK($C397),"",IF(S397=Constants!$B$5,TRUE(),IF(S397=Constants!$B$6,FALSE(),COUNTA(T397:X397)&gt;0)))</f>
        <v/>
      </c>
      <c r="AU397" s="134" t="str">
        <f aca="false">IF(ISBLANK($C397),"",IF(ISNUMBER(T397),IF(T397&gt;=0,T397,""),""))</f>
        <v/>
      </c>
      <c r="AV397" s="135" t="str">
        <f aca="false">IF(ISBLANK($C397),"",IF(ISNUMBER(U397),IF(U397&gt;=0,U397,""),""))</f>
        <v/>
      </c>
      <c r="AW397" s="135" t="str">
        <f aca="false">IF(ISBLANK($C397),"",IF(V397=Constants!$B$3,TRUE(),IF(V397=Constants!$B$4,FALSE(),TRUE())))</f>
        <v/>
      </c>
      <c r="AX397" s="133" t="str">
        <f aca="false">IF(ISBLANK($C397),"",IF(ISNUMBER(W397),IF(W397&gt;=0,W397,""),""))</f>
        <v/>
      </c>
      <c r="AY397" s="133" t="str">
        <f aca="false">IF(ISBLANK($C397),"",IF(X397=Constants!$B$3,TRUE(),IF(X397=Constants!$B$4,FALSE(),FALSE())))</f>
        <v/>
      </c>
      <c r="AZ397" s="133" t="str">
        <f aca="false">IF(ISBLANK($C397),"",MIN(Constants!$B$31,MAX(0,IF(ISNUMBER(Y397),Y397*60,0)+IF(ISNUMBER(Z397),Z397,0))))</f>
        <v/>
      </c>
      <c r="BA397" s="133" t="str">
        <f aca="false">IF(ISBLANK($C397),"",IF(AA397=Constants!$B$3,TRUE(),IF(AA397=Constants!$B$4,FALSE(),FALSE())))</f>
        <v/>
      </c>
      <c r="BB397" s="132" t="str">
        <f aca="false">IF(ISBLANK($C397),"",AND($AL397,OR($AM397="",$AN397="",AND($AO397,$AP397=""))))</f>
        <v/>
      </c>
      <c r="BC397" s="135" t="str">
        <f aca="false">IF($BR397&lt;&gt;Constants!$B$8,"",IF($AL397,Constants!$B$21*$AN397+Constants!$B$22*IF($AO397,$AP397,Constants!$B$23),Constants!$B$24))</f>
        <v/>
      </c>
      <c r="BD397" s="136" t="str">
        <f aca="false">IF($BR397&lt;&gt;Constants!$B$8,"",Constants!$B$25*ABS($AD$9-IF($AL397,$AM397,0)))</f>
        <v/>
      </c>
      <c r="BE397" s="136" t="str">
        <f aca="false">IF($BR397&lt;&gt;Constants!$B$8,"",IF(AND($AL397,$AQ397,$AO397),Constants!$B$27,0))</f>
        <v/>
      </c>
      <c r="BF397" s="136" t="str">
        <f aca="false">IF($BR397&lt;&gt;Constants!$B$8,"",IF($AL397,($AI397-Constants!$B$29)*Constants!$B$28,0))</f>
        <v/>
      </c>
      <c r="BG397" s="136" t="str">
        <f aca="false">IF($BR397&lt;&gt;Constants!$B$8,"",IF($AK397,0,Constants!$B$15)+IF($AJ397,0,Constants!$B$16)+IF($AH397,0,Constants!$B$17))</f>
        <v/>
      </c>
      <c r="BH397" s="137" t="str">
        <f aca="false">IF($BR397&lt;&gt;Constants!$B$8,"",Constants!$B$20+SUM($BC397:$BG397))</f>
        <v/>
      </c>
      <c r="BI397" s="133" t="str">
        <f aca="false">IF($BR397&lt;&gt;Constants!$B$8,"",IF(OR($BP397&lt;$BH397,AND($BP397=$BH397,OR($BK397&lt;$BC397,AND($BK397=$BC397,OR($BL397&lt;$BD397,AND($BL397=$BD397,$AT397,$AL397,$AV397&lt;$AN397)))))),"-&gt;","&lt;-"))</f>
        <v/>
      </c>
      <c r="BJ397" s="132" t="str">
        <f aca="false">IF(ISBLANK($C397),"",AND($AT397,OR($AU397="",$AV397="",AND($AW397,$AX397=""))))</f>
        <v/>
      </c>
      <c r="BK397" s="135" t="str">
        <f aca="false">IF($BR397&lt;&gt;Constants!$B$8,"",IF($AT397,Constants!$B$21*$AV397+Constants!$B$22*IF($AW397,$AX397,Constants!$B$23),Constants!$B$24))</f>
        <v/>
      </c>
      <c r="BL397" s="136" t="str">
        <f aca="false">IF($BR397&lt;&gt;Constants!$B$8,"",Constants!$B$25*ABS($AD$9-IF($AT397,$AU397,0)))</f>
        <v/>
      </c>
      <c r="BM397" s="136" t="str">
        <f aca="false">IF($BR397&lt;&gt;Constants!$B$8,"",IF(AND($AT397,$AY397,$AW397),Constants!$B$27,0))</f>
        <v/>
      </c>
      <c r="BN397" s="136" t="str">
        <f aca="false">IF($BR397&lt;&gt;Constants!$B$8,"",IF($AT397,($AI397-Constants!$B$29)*Constants!$B$28,0))</f>
        <v/>
      </c>
      <c r="BO397" s="136" t="str">
        <f aca="false">IF($BR397&lt;&gt;Constants!$B$8,"",IF($AS397,0,Constants!$B$15)+IF($AR397,0,Constants!$B$16)+IF($AH397,0,Constants!$B$17))</f>
        <v/>
      </c>
      <c r="BP397" s="137" t="str">
        <f aca="false">IF($BR397&lt;&gt;Constants!$B$8,"",Constants!$B$20+SUM($BK397:$BO397))</f>
        <v/>
      </c>
      <c r="BQ397" s="133" t="str">
        <f aca="false">IF(ISBLANK($C397),"",IF(ISBLANK($D$7),$BQ$5,IF(NOT(ISNUMBER($D$7)),$BQ$6,"")))</f>
        <v/>
      </c>
      <c r="BR397" s="133" t="str">
        <f aca="false">IF(ISBLANK($C397),"",IF($BA397,Constants!$B$11,IF(COUNTA($E397:$AA397)=0,Constants!$B$10,IF(NOT($AG397),Constants!$B$9,IF(OR($BQ397&lt;&gt;"",$BB397,$BJ397),Constants!$B$12,Constants!$B$8)))))</f>
        <v/>
      </c>
      <c r="BS397" s="133" t="str">
        <f aca="false">IF(ISBLANK($C397),"",IF($BR397&lt;&gt;Constants!$B$8,$BR397,Constants!$B$13))</f>
        <v/>
      </c>
      <c r="BT397" s="136" t="str">
        <f aca="false">IF($BR397&lt;&gt;Constants!$B$8,"",IF($BI397="-&gt;",$BP397,$BH397))</f>
        <v/>
      </c>
      <c r="BU397" s="136" t="str">
        <f aca="false">IF($BR397&lt;&gt;Constants!$B$8,"",IF($AF397,0,Constants!$B$18))</f>
        <v/>
      </c>
      <c r="BV397" s="136" t="str">
        <f aca="false">IF($BR397&lt;&gt;Constants!$B$8,"",((Constants!$B$31-$AZ397)-Constants!$B$31)/Constants!$B$32)</f>
        <v/>
      </c>
      <c r="BW397" s="136" t="str">
        <f aca="false">IF(ISBLANK($C397),"",IF($BR397&lt;&gt;Constants!$B$8,$BR397,SUM($BT397:$BV397)))</f>
        <v/>
      </c>
      <c r="BX397" s="133" t="str">
        <f aca="false">IF(ISBLANK($C397),"",IF($BR397&lt;&gt;Constants!$B$8,$BR397,RANK($BW397,$BW$9:$BW$508,1)))</f>
        <v/>
      </c>
      <c r="BY397" s="136" t="str">
        <f aca="false">IF($BR397&lt;&gt;Constants!$B$8,"",IF($BI397="-&gt;",$BK397,$BC397))</f>
        <v/>
      </c>
      <c r="BZ397" s="133" t="str">
        <f aca="false">IF(ISBLANK($C397),"",IF($BR397&lt;&gt;Constants!$B$8,$BR397,IF(ISNUMBER($BY397),RANK($BY397,$BY$9:$BY$508,1),COUNT($BY$9:$BY$508)+1)))</f>
        <v/>
      </c>
      <c r="CA397" s="136" t="str">
        <f aca="false">IF($BR397&lt;&gt;Constants!$B$8,"",IF($BI397="-&gt;",$BL397,$BD397))</f>
        <v/>
      </c>
      <c r="CB397" s="133" t="str">
        <f aca="false">IF(ISBLANK($C397),"",IF($BR397&lt;&gt;Constants!$B$8,$BR397,IF(ISNUMBER($CA397),RANK($CA397,$CA$9:$CA$508,1),COUNT($CA$9:$CA$508)+1)))</f>
        <v/>
      </c>
      <c r="CC397" s="136" t="str">
        <f aca="false">IF($BR397&lt;&gt;Constants!$B$8,"",IF($BI397="-&gt;",IF($AT397,$AV397,""),IF($AL397,$AN397,"")))</f>
        <v/>
      </c>
      <c r="CD397" s="133" t="str">
        <f aca="false">IF(ISBLANK($C397),"",IF($BR397&lt;&gt;Constants!$B$8,$BR397,IF(ISNUMBER($CC397),RANK($CC397,$CC$9:$CC$508,1),COUNT($CC$9:$CC$508)+1)))</f>
        <v/>
      </c>
      <c r="CE397" s="136" t="str">
        <f aca="false">IF($BR397&lt;&gt;Constants!$B$8,"",IF(AND(NOT($AL397),NOT($AT397),$AJ397,$AK397,$AR397,$AS397),"",$AI397))</f>
        <v/>
      </c>
      <c r="CF397" s="133" t="str">
        <f aca="false">IF(ISBLANK($C397),"",IF($BR397&lt;&gt;Constants!$B$8,$BR397,IF(ISNUMBER($CE397),RANK($CE397,$CE$9:$CE$508,1),COUNT($CE$9:$CE$508)+1)))</f>
        <v/>
      </c>
      <c r="CG397" s="133" t="str">
        <f aca="false">IF(ISBLANK($C397),"",IF($BR397&lt;&gt;Constants!$B$8,$BR397,COUNTIFS($BX$9:$BX$508,"&lt;"&amp;$BX397)+COUNTIFS($BX$9:$BX$508,$BX397,$BZ$9:$BZ$508,"&lt;"&amp;$BZ397)+COUNTIFS($BX$9:$BX$508,$BX397,$BZ$9:$BZ$508,$BZ397,$CB$9:$CB$508,"&lt;"&amp;$CB397)+COUNTIFS($BX$9:$BX$508,$BX397,$BZ$9:$BZ$508,$BZ397,$CB$9:$CB$508,$CB397,$CD$9:$CD$508,"&lt;"&amp;$CD397)+COUNTIFS($BX$9:$BX$508,$BX397,$BZ$9:$BZ$508,$BZ397,$CB$9:$CB$508,$CB397,$CD$9:$CD$508,$CD397,$CF$9:$CF$508,"&lt;"&amp;$CF397)+1))</f>
        <v/>
      </c>
      <c r="CH397" s="133" t="str">
        <f aca="false">IF(ISBLANK($C397),"",IF($BR397&lt;&gt;Constants!$B$8,$BR397,$BX397-$CG397))</f>
        <v/>
      </c>
      <c r="CI397" s="138"/>
      <c r="CJ397" s="139"/>
      <c r="CK397" s="140" t="str">
        <f aca="false">IF(ISBLANK($C397),"",IF($BR397=Constants!$B$12,$BQ397,""))</f>
        <v/>
      </c>
      <c r="CL397" s="139" t="str">
        <f aca="false">IF(ISBLANK($C397),"",IF($BR397&lt;&gt;Constants!$B$8,"",IF($BI397="-&gt;",2,1)))</f>
        <v/>
      </c>
      <c r="CM397" s="141" t="str">
        <f aca="false">IF(ISBLANK($C397),"",IF($BR397&lt;&gt;Constants!$B$8,"",IF($BI397="-&gt;",$BK397,$BC397)))</f>
        <v/>
      </c>
      <c r="CN397" s="141" t="str">
        <f aca="false">IF(ISBLANK($C397),"",IF($BR397&lt;&gt;Constants!$B$8,"",IF($BI397="-&gt;",$BL397,$BD397)))</f>
        <v/>
      </c>
      <c r="CO397" s="141" t="str">
        <f aca="false">IF(ISBLANK($C397),"",IF($BR397&lt;&gt;Constants!$B$8,"",IF($BI397="-&gt;",$BM397+$BN397,$BE397+$BF397)+$BV397))</f>
        <v/>
      </c>
      <c r="CP397" s="141" t="str">
        <f aca="false">IF(ISBLANK($C397),"",IF($BR397&lt;&gt;Constants!$B$8,"",IF($BI397="-&gt;",$BO397,$BG397)+$BU397))</f>
        <v/>
      </c>
      <c r="CQ397" s="142" t="str">
        <f aca="false">IF(ISBLANK($C397),"",IF($BR397&lt;&gt;Constants!$B$8,$BR397,$BW397))</f>
        <v/>
      </c>
      <c r="CR397" s="143" t="str">
        <f aca="false">IF(ISBLANK($C397),"",$BS397)</f>
        <v/>
      </c>
      <c r="CS397" s="144" t="str">
        <f aca="false">IF(ISBLANK($C397),"",$CH397)</f>
        <v/>
      </c>
      <c r="CT397" s="144" t="str">
        <f aca="false">IF(ISBLANK($C397),"",$CG397)</f>
        <v/>
      </c>
      <c r="CU397" s="145" t="str">
        <f aca="false">IF(ISBLANK($C397),"",IFERROR(_xlfn.SWITCH($CT397,Constants!$B$11,COUNTA($C$9:$C$508)+2,Constants!$B$10,COUNTA($C$9:$C$508)+1,Constants!$B$9,COUNTA($C$9:$C$508)),$CT397))</f>
        <v/>
      </c>
      <c r="CV397" s="9"/>
      <c r="CW397" s="146" t="n">
        <f aca="false">IF(OR(ISNUMBER($CT397),$CT397=Constants!$B$11,$CT397=Constants!$B$9,$CT397=Constants!$B$10),1,0)</f>
        <v>0</v>
      </c>
      <c r="CX397" s="146" t="n">
        <v>389</v>
      </c>
      <c r="CY397" s="146" t="str">
        <f aca="false">IF(ISBLANK($C397),"",IF(ISNUMBER($CU397),$CU397+ROW($B397)/1000,""))</f>
        <v/>
      </c>
      <c r="CZ397" s="146" t="str">
        <f aca="false">IF(ISNUMBER($CY397),RANK($CY397,$CY$9:$CY$508,1),"")</f>
        <v/>
      </c>
      <c r="DA397" s="146" t="str">
        <f aca="false">IF(ISBLANK($C397),"",$B397)</f>
        <v/>
      </c>
      <c r="DB397" s="146" t="str">
        <f aca="false">IF(ISBLANK($C397),"",$C397)</f>
        <v/>
      </c>
      <c r="DC397" s="146" t="str">
        <f aca="false">IF(ISBLANK($C397),"",$D397)</f>
        <v/>
      </c>
      <c r="DD397" s="147" t="str">
        <f aca="false">$CR397</f>
        <v/>
      </c>
      <c r="DE397" s="148" t="str">
        <f aca="false">$CQ397</f>
        <v/>
      </c>
      <c r="DF397" s="146" t="str">
        <f aca="false">IF(ISBLANK($C397),"",$CT397)</f>
        <v/>
      </c>
      <c r="DG397" s="149" t="str">
        <f aca="false">IF($CX397&gt;$CW$8,"",VLOOKUP($CX397,$CZ$9:$DF$508,7,FALSE()))</f>
        <v/>
      </c>
      <c r="DH397" s="150" t="str">
        <f aca="false">IF($CX397&gt;$CW$8,"",VLOOKUP($CX397,$CZ$9:$DF$508,2,FALSE()))</f>
        <v/>
      </c>
      <c r="DI397" s="150" t="str">
        <f aca="false">IF($CX397&gt;$CW$8,"",VLOOKUP($CX397,$CZ$9:$DF$508,3,FALSE()))</f>
        <v/>
      </c>
      <c r="DJ397" s="150" t="str">
        <f aca="false">IF($CX397&gt;$CW$8,"",VLOOKUP($CX397,$CZ$9:$DF$508,4,FALSE()))</f>
        <v/>
      </c>
      <c r="DK397" s="150" t="str">
        <f aca="false">IF($CX397&gt;$CW$8,"",VLOOKUP($CX397,$CZ$9:$DF$508,5,FALSE()))</f>
        <v/>
      </c>
      <c r="DL397" s="151" t="str">
        <f aca="false">IF($CX397&gt;$CW$8,"",VLOOKUP($CX397,$CZ$9:$DF$508,6,FALSE()))</f>
        <v/>
      </c>
      <c r="DM397" s="75"/>
    </row>
    <row r="398" customFormat="false" ht="15.75" hidden="false" customHeight="false" outlineLevel="0" collapsed="false">
      <c r="A398" s="9"/>
      <c r="B398" s="157"/>
      <c r="C398" s="158"/>
      <c r="D398" s="159"/>
      <c r="E398" s="177"/>
      <c r="F398" s="161"/>
      <c r="G398" s="162"/>
      <c r="H398" s="162"/>
      <c r="I398" s="178"/>
      <c r="J398" s="165"/>
      <c r="K398" s="126"/>
      <c r="L398" s="127"/>
      <c r="M398" s="128"/>
      <c r="N398" s="165"/>
      <c r="O398" s="165"/>
      <c r="P398" s="177"/>
      <c r="Q398" s="165"/>
      <c r="R398" s="165"/>
      <c r="S398" s="126"/>
      <c r="T398" s="128"/>
      <c r="U398" s="128"/>
      <c r="V398" s="165"/>
      <c r="W398" s="165"/>
      <c r="X398" s="177"/>
      <c r="Y398" s="165"/>
      <c r="Z398" s="166"/>
      <c r="AA398" s="165"/>
      <c r="AB398" s="132"/>
      <c r="AC398" s="133"/>
      <c r="AD398" s="133"/>
      <c r="AE398" s="133"/>
      <c r="AF398" s="133" t="str">
        <f aca="false">IF(ISBLANK($C398),"",IF(E398=Constants!$B$3,TRUE(),IF(E398=Constants!$B$4,FALSE(),TRUE())))</f>
        <v/>
      </c>
      <c r="AG398" s="133" t="str">
        <f aca="false">IF(ISBLANK($C398),"",IF(F398=Constants!$B$3,TRUE(),IF(F398=Constants!$B$4,FALSE(),TRUE())))</f>
        <v/>
      </c>
      <c r="AH398" s="133" t="str">
        <f aca="false">IF(ISBLANK($C398),"",IF(G398=Constants!$B$3,TRUE(),IF(G398=Constants!$B$4,FALSE(),TRUE())))</f>
        <v/>
      </c>
      <c r="AI398" s="133" t="str">
        <f aca="false">IF(ISBLANK($C398),"",IF(AND(ISNUMBER(H398),H398&gt;=0),H398,Constants!$B$29))</f>
        <v/>
      </c>
      <c r="AJ398" s="133" t="str">
        <f aca="false">IF(ISBLANK($C398),"",IF(I398=Constants!$B$3,TRUE(),IF(I398=Constants!$B$4,FALSE(),TRUE())))</f>
        <v/>
      </c>
      <c r="AK398" s="133" t="str">
        <f aca="false">IF(ISBLANK($C398),"",IF(J398=Constants!$B$3,TRUE(),IF(J398=Constants!$B$4,FALSE(),TRUE())))</f>
        <v/>
      </c>
      <c r="AL398" s="133" t="str">
        <f aca="false">IF(ISBLANK($C398),"",IF(K398=Constants!$B$5,TRUE(),IF(K398=Constants!$B$6,FALSE(),COUNTA(L398:P398)&gt;0)))</f>
        <v/>
      </c>
      <c r="AM398" s="134" t="str">
        <f aca="false">IF(ISBLANK($C398),"",IF(ISNUMBER(L398),IF(L398&gt;=0,L398,""),""))</f>
        <v/>
      </c>
      <c r="AN398" s="135" t="str">
        <f aca="false">IF(ISBLANK($C398),"",IF(ISNUMBER(M398),IF(M398&gt;=0,M398,""),""))</f>
        <v/>
      </c>
      <c r="AO398" s="135" t="str">
        <f aca="false">IF(ISBLANK($C398),"",IF(N398=Constants!$B$3,TRUE(),IF(N398=Constants!$B$4,FALSE(),TRUE())))</f>
        <v/>
      </c>
      <c r="AP398" s="133" t="str">
        <f aca="false">IF(ISBLANK($C398),"",IF(ISNUMBER(O398),IF(O398&gt;=0,O398,""),""))</f>
        <v/>
      </c>
      <c r="AQ398" s="133" t="str">
        <f aca="false">IF(ISBLANK($C398),"",IF(P398=Constants!$B$3,TRUE(),IF(P398=Constants!$B$4,FALSE(),FALSE())))</f>
        <v/>
      </c>
      <c r="AR398" s="133" t="str">
        <f aca="false">IF(ISBLANK($C398),"",IF(Q398=Constants!$B$3,TRUE(),IF(Q398=Constants!$B$4,FALSE(),TRUE())))</f>
        <v/>
      </c>
      <c r="AS398" s="133" t="str">
        <f aca="false">IF(ISBLANK($C398),"",IF(R398=Constants!$B$3,TRUE(),IF(R398=Constants!$B$4,FALSE(),TRUE())))</f>
        <v/>
      </c>
      <c r="AT398" s="133" t="str">
        <f aca="false">IF(ISBLANK($C398),"",IF(S398=Constants!$B$5,TRUE(),IF(S398=Constants!$B$6,FALSE(),COUNTA(T398:X398)&gt;0)))</f>
        <v/>
      </c>
      <c r="AU398" s="134" t="str">
        <f aca="false">IF(ISBLANK($C398),"",IF(ISNUMBER(T398),IF(T398&gt;=0,T398,""),""))</f>
        <v/>
      </c>
      <c r="AV398" s="135" t="str">
        <f aca="false">IF(ISBLANK($C398),"",IF(ISNUMBER(U398),IF(U398&gt;=0,U398,""),""))</f>
        <v/>
      </c>
      <c r="AW398" s="135" t="str">
        <f aca="false">IF(ISBLANK($C398),"",IF(V398=Constants!$B$3,TRUE(),IF(V398=Constants!$B$4,FALSE(),TRUE())))</f>
        <v/>
      </c>
      <c r="AX398" s="133" t="str">
        <f aca="false">IF(ISBLANK($C398),"",IF(ISNUMBER(W398),IF(W398&gt;=0,W398,""),""))</f>
        <v/>
      </c>
      <c r="AY398" s="133" t="str">
        <f aca="false">IF(ISBLANK($C398),"",IF(X398=Constants!$B$3,TRUE(),IF(X398=Constants!$B$4,FALSE(),FALSE())))</f>
        <v/>
      </c>
      <c r="AZ398" s="133" t="str">
        <f aca="false">IF(ISBLANK($C398),"",MIN(Constants!$B$31,MAX(0,IF(ISNUMBER(Y398),Y398*60,0)+IF(ISNUMBER(Z398),Z398,0))))</f>
        <v/>
      </c>
      <c r="BA398" s="133" t="str">
        <f aca="false">IF(ISBLANK($C398),"",IF(AA398=Constants!$B$3,TRUE(),IF(AA398=Constants!$B$4,FALSE(),FALSE())))</f>
        <v/>
      </c>
      <c r="BB398" s="132" t="str">
        <f aca="false">IF(ISBLANK($C398),"",AND($AL398,OR($AM398="",$AN398="",AND($AO398,$AP398=""))))</f>
        <v/>
      </c>
      <c r="BC398" s="135" t="str">
        <f aca="false">IF($BR398&lt;&gt;Constants!$B$8,"",IF($AL398,Constants!$B$21*$AN398+Constants!$B$22*IF($AO398,$AP398,Constants!$B$23),Constants!$B$24))</f>
        <v/>
      </c>
      <c r="BD398" s="136" t="str">
        <f aca="false">IF($BR398&lt;&gt;Constants!$B$8,"",Constants!$B$25*ABS($AD$9-IF($AL398,$AM398,0)))</f>
        <v/>
      </c>
      <c r="BE398" s="136" t="str">
        <f aca="false">IF($BR398&lt;&gt;Constants!$B$8,"",IF(AND($AL398,$AQ398,$AO398),Constants!$B$27,0))</f>
        <v/>
      </c>
      <c r="BF398" s="136" t="str">
        <f aca="false">IF($BR398&lt;&gt;Constants!$B$8,"",IF($AL398,($AI398-Constants!$B$29)*Constants!$B$28,0))</f>
        <v/>
      </c>
      <c r="BG398" s="136" t="str">
        <f aca="false">IF($BR398&lt;&gt;Constants!$B$8,"",IF($AK398,0,Constants!$B$15)+IF($AJ398,0,Constants!$B$16)+IF($AH398,0,Constants!$B$17))</f>
        <v/>
      </c>
      <c r="BH398" s="137" t="str">
        <f aca="false">IF($BR398&lt;&gt;Constants!$B$8,"",Constants!$B$20+SUM($BC398:$BG398))</f>
        <v/>
      </c>
      <c r="BI398" s="133" t="str">
        <f aca="false">IF($BR398&lt;&gt;Constants!$B$8,"",IF(OR($BP398&lt;$BH398,AND($BP398=$BH398,OR($BK398&lt;$BC398,AND($BK398=$BC398,OR($BL398&lt;$BD398,AND($BL398=$BD398,$AT398,$AL398,$AV398&lt;$AN398)))))),"-&gt;","&lt;-"))</f>
        <v/>
      </c>
      <c r="BJ398" s="132" t="str">
        <f aca="false">IF(ISBLANK($C398),"",AND($AT398,OR($AU398="",$AV398="",AND($AW398,$AX398=""))))</f>
        <v/>
      </c>
      <c r="BK398" s="135" t="str">
        <f aca="false">IF($BR398&lt;&gt;Constants!$B$8,"",IF($AT398,Constants!$B$21*$AV398+Constants!$B$22*IF($AW398,$AX398,Constants!$B$23),Constants!$B$24))</f>
        <v/>
      </c>
      <c r="BL398" s="136" t="str">
        <f aca="false">IF($BR398&lt;&gt;Constants!$B$8,"",Constants!$B$25*ABS($AD$9-IF($AT398,$AU398,0)))</f>
        <v/>
      </c>
      <c r="BM398" s="136" t="str">
        <f aca="false">IF($BR398&lt;&gt;Constants!$B$8,"",IF(AND($AT398,$AY398,$AW398),Constants!$B$27,0))</f>
        <v/>
      </c>
      <c r="BN398" s="136" t="str">
        <f aca="false">IF($BR398&lt;&gt;Constants!$B$8,"",IF($AT398,($AI398-Constants!$B$29)*Constants!$B$28,0))</f>
        <v/>
      </c>
      <c r="BO398" s="136" t="str">
        <f aca="false">IF($BR398&lt;&gt;Constants!$B$8,"",IF($AS398,0,Constants!$B$15)+IF($AR398,0,Constants!$B$16)+IF($AH398,0,Constants!$B$17))</f>
        <v/>
      </c>
      <c r="BP398" s="137" t="str">
        <f aca="false">IF($BR398&lt;&gt;Constants!$B$8,"",Constants!$B$20+SUM($BK398:$BO398))</f>
        <v/>
      </c>
      <c r="BQ398" s="133" t="str">
        <f aca="false">IF(ISBLANK($C398),"",IF(ISBLANK($D$7),$BQ$5,IF(NOT(ISNUMBER($D$7)),$BQ$6,"")))</f>
        <v/>
      </c>
      <c r="BR398" s="133" t="str">
        <f aca="false">IF(ISBLANK($C398),"",IF($BA398,Constants!$B$11,IF(COUNTA($E398:$AA398)=0,Constants!$B$10,IF(NOT($AG398),Constants!$B$9,IF(OR($BQ398&lt;&gt;"",$BB398,$BJ398),Constants!$B$12,Constants!$B$8)))))</f>
        <v/>
      </c>
      <c r="BS398" s="133" t="str">
        <f aca="false">IF(ISBLANK($C398),"",IF($BR398&lt;&gt;Constants!$B$8,$BR398,Constants!$B$13))</f>
        <v/>
      </c>
      <c r="BT398" s="136" t="str">
        <f aca="false">IF($BR398&lt;&gt;Constants!$B$8,"",IF($BI398="-&gt;",$BP398,$BH398))</f>
        <v/>
      </c>
      <c r="BU398" s="136" t="str">
        <f aca="false">IF($BR398&lt;&gt;Constants!$B$8,"",IF($AF398,0,Constants!$B$18))</f>
        <v/>
      </c>
      <c r="BV398" s="136" t="str">
        <f aca="false">IF($BR398&lt;&gt;Constants!$B$8,"",((Constants!$B$31-$AZ398)-Constants!$B$31)/Constants!$B$32)</f>
        <v/>
      </c>
      <c r="BW398" s="136" t="str">
        <f aca="false">IF(ISBLANK($C398),"",IF($BR398&lt;&gt;Constants!$B$8,$BR398,SUM($BT398:$BV398)))</f>
        <v/>
      </c>
      <c r="BX398" s="133" t="str">
        <f aca="false">IF(ISBLANK($C398),"",IF($BR398&lt;&gt;Constants!$B$8,$BR398,RANK($BW398,$BW$9:$BW$508,1)))</f>
        <v/>
      </c>
      <c r="BY398" s="136" t="str">
        <f aca="false">IF($BR398&lt;&gt;Constants!$B$8,"",IF($BI398="-&gt;",$BK398,$BC398))</f>
        <v/>
      </c>
      <c r="BZ398" s="133" t="str">
        <f aca="false">IF(ISBLANK($C398),"",IF($BR398&lt;&gt;Constants!$B$8,$BR398,IF(ISNUMBER($BY398),RANK($BY398,$BY$9:$BY$508,1),COUNT($BY$9:$BY$508)+1)))</f>
        <v/>
      </c>
      <c r="CA398" s="136" t="str">
        <f aca="false">IF($BR398&lt;&gt;Constants!$B$8,"",IF($BI398="-&gt;",$BL398,$BD398))</f>
        <v/>
      </c>
      <c r="CB398" s="133" t="str">
        <f aca="false">IF(ISBLANK($C398),"",IF($BR398&lt;&gt;Constants!$B$8,$BR398,IF(ISNUMBER($CA398),RANK($CA398,$CA$9:$CA$508,1),COUNT($CA$9:$CA$508)+1)))</f>
        <v/>
      </c>
      <c r="CC398" s="136" t="str">
        <f aca="false">IF($BR398&lt;&gt;Constants!$B$8,"",IF($BI398="-&gt;",IF($AT398,$AV398,""),IF($AL398,$AN398,"")))</f>
        <v/>
      </c>
      <c r="CD398" s="133" t="str">
        <f aca="false">IF(ISBLANK($C398),"",IF($BR398&lt;&gt;Constants!$B$8,$BR398,IF(ISNUMBER($CC398),RANK($CC398,$CC$9:$CC$508,1),COUNT($CC$9:$CC$508)+1)))</f>
        <v/>
      </c>
      <c r="CE398" s="136" t="str">
        <f aca="false">IF($BR398&lt;&gt;Constants!$B$8,"",IF(AND(NOT($AL398),NOT($AT398),$AJ398,$AK398,$AR398,$AS398),"",$AI398))</f>
        <v/>
      </c>
      <c r="CF398" s="133" t="str">
        <f aca="false">IF(ISBLANK($C398),"",IF($BR398&lt;&gt;Constants!$B$8,$BR398,IF(ISNUMBER($CE398),RANK($CE398,$CE$9:$CE$508,1),COUNT($CE$9:$CE$508)+1)))</f>
        <v/>
      </c>
      <c r="CG398" s="133" t="str">
        <f aca="false">IF(ISBLANK($C398),"",IF($BR398&lt;&gt;Constants!$B$8,$BR398,COUNTIFS($BX$9:$BX$508,"&lt;"&amp;$BX398)+COUNTIFS($BX$9:$BX$508,$BX398,$BZ$9:$BZ$508,"&lt;"&amp;$BZ398)+COUNTIFS($BX$9:$BX$508,$BX398,$BZ$9:$BZ$508,$BZ398,$CB$9:$CB$508,"&lt;"&amp;$CB398)+COUNTIFS($BX$9:$BX$508,$BX398,$BZ$9:$BZ$508,$BZ398,$CB$9:$CB$508,$CB398,$CD$9:$CD$508,"&lt;"&amp;$CD398)+COUNTIFS($BX$9:$BX$508,$BX398,$BZ$9:$BZ$508,$BZ398,$CB$9:$CB$508,$CB398,$CD$9:$CD$508,$CD398,$CF$9:$CF$508,"&lt;"&amp;$CF398)+1))</f>
        <v/>
      </c>
      <c r="CH398" s="133" t="str">
        <f aca="false">IF(ISBLANK($C398),"",IF($BR398&lt;&gt;Constants!$B$8,$BR398,$BX398-$CG398))</f>
        <v/>
      </c>
      <c r="CI398" s="138"/>
      <c r="CJ398" s="139"/>
      <c r="CK398" s="140" t="str">
        <f aca="false">IF(ISBLANK($C398),"",IF($BR398=Constants!$B$12,$BQ398,""))</f>
        <v/>
      </c>
      <c r="CL398" s="139" t="str">
        <f aca="false">IF(ISBLANK($C398),"",IF($BR398&lt;&gt;Constants!$B$8,"",IF($BI398="-&gt;",2,1)))</f>
        <v/>
      </c>
      <c r="CM398" s="141" t="str">
        <f aca="false">IF(ISBLANK($C398),"",IF($BR398&lt;&gt;Constants!$B$8,"",IF($BI398="-&gt;",$BK398,$BC398)))</f>
        <v/>
      </c>
      <c r="CN398" s="141" t="str">
        <f aca="false">IF(ISBLANK($C398),"",IF($BR398&lt;&gt;Constants!$B$8,"",IF($BI398="-&gt;",$BL398,$BD398)))</f>
        <v/>
      </c>
      <c r="CO398" s="141" t="str">
        <f aca="false">IF(ISBLANK($C398),"",IF($BR398&lt;&gt;Constants!$B$8,"",IF($BI398="-&gt;",$BM398+$BN398,$BE398+$BF398)+$BV398))</f>
        <v/>
      </c>
      <c r="CP398" s="141" t="str">
        <f aca="false">IF(ISBLANK($C398),"",IF($BR398&lt;&gt;Constants!$B$8,"",IF($BI398="-&gt;",$BO398,$BG398)+$BU398))</f>
        <v/>
      </c>
      <c r="CQ398" s="142" t="str">
        <f aca="false">IF(ISBLANK($C398),"",IF($BR398&lt;&gt;Constants!$B$8,$BR398,$BW398))</f>
        <v/>
      </c>
      <c r="CR398" s="143" t="str">
        <f aca="false">IF(ISBLANK($C398),"",$BS398)</f>
        <v/>
      </c>
      <c r="CS398" s="144" t="str">
        <f aca="false">IF(ISBLANK($C398),"",$CH398)</f>
        <v/>
      </c>
      <c r="CT398" s="144" t="str">
        <f aca="false">IF(ISBLANK($C398),"",$CG398)</f>
        <v/>
      </c>
      <c r="CU398" s="145" t="str">
        <f aca="false">IF(ISBLANK($C398),"",IFERROR(_xlfn.SWITCH($CT398,Constants!$B$11,COUNTA($C$9:$C$508)+2,Constants!$B$10,COUNTA($C$9:$C$508)+1,Constants!$B$9,COUNTA($C$9:$C$508)),$CT398))</f>
        <v/>
      </c>
      <c r="CV398" s="9"/>
      <c r="CW398" s="146" t="n">
        <f aca="false">IF(OR(ISNUMBER($CT398),$CT398=Constants!$B$11,$CT398=Constants!$B$9,$CT398=Constants!$B$10),1,0)</f>
        <v>0</v>
      </c>
      <c r="CX398" s="146" t="n">
        <v>390</v>
      </c>
      <c r="CY398" s="146" t="str">
        <f aca="false">IF(ISBLANK($C398),"",IF(ISNUMBER($CU398),$CU398+ROW($B398)/1000,""))</f>
        <v/>
      </c>
      <c r="CZ398" s="146" t="str">
        <f aca="false">IF(ISNUMBER($CY398),RANK($CY398,$CY$9:$CY$508,1),"")</f>
        <v/>
      </c>
      <c r="DA398" s="146" t="str">
        <f aca="false">IF(ISBLANK($C398),"",$B398)</f>
        <v/>
      </c>
      <c r="DB398" s="146" t="str">
        <f aca="false">IF(ISBLANK($C398),"",$C398)</f>
        <v/>
      </c>
      <c r="DC398" s="146" t="str">
        <f aca="false">IF(ISBLANK($C398),"",$D398)</f>
        <v/>
      </c>
      <c r="DD398" s="147" t="str">
        <f aca="false">$CR398</f>
        <v/>
      </c>
      <c r="DE398" s="148" t="str">
        <f aca="false">$CQ398</f>
        <v/>
      </c>
      <c r="DF398" s="146" t="str">
        <f aca="false">IF(ISBLANK($C398),"",$CT398)</f>
        <v/>
      </c>
      <c r="DG398" s="149" t="str">
        <f aca="false">IF($CX398&gt;$CW$8,"",VLOOKUP($CX398,$CZ$9:$DF$508,7,FALSE()))</f>
        <v/>
      </c>
      <c r="DH398" s="150" t="str">
        <f aca="false">IF($CX398&gt;$CW$8,"",VLOOKUP($CX398,$CZ$9:$DF$508,2,FALSE()))</f>
        <v/>
      </c>
      <c r="DI398" s="150" t="str">
        <f aca="false">IF($CX398&gt;$CW$8,"",VLOOKUP($CX398,$CZ$9:$DF$508,3,FALSE()))</f>
        <v/>
      </c>
      <c r="DJ398" s="150" t="str">
        <f aca="false">IF($CX398&gt;$CW$8,"",VLOOKUP($CX398,$CZ$9:$DF$508,4,FALSE()))</f>
        <v/>
      </c>
      <c r="DK398" s="150" t="str">
        <f aca="false">IF($CX398&gt;$CW$8,"",VLOOKUP($CX398,$CZ$9:$DF$508,5,FALSE()))</f>
        <v/>
      </c>
      <c r="DL398" s="151" t="str">
        <f aca="false">IF($CX398&gt;$CW$8,"",VLOOKUP($CX398,$CZ$9:$DF$508,6,FALSE()))</f>
        <v/>
      </c>
      <c r="DM398" s="75"/>
    </row>
    <row r="399" customFormat="false" ht="15.75" hidden="false" customHeight="false" outlineLevel="0" collapsed="false">
      <c r="A399" s="9"/>
      <c r="B399" s="77"/>
      <c r="C399" s="78"/>
      <c r="D399" s="167"/>
      <c r="E399" s="175"/>
      <c r="F399" s="169"/>
      <c r="G399" s="170"/>
      <c r="H399" s="170"/>
      <c r="I399" s="176"/>
      <c r="J399" s="173"/>
      <c r="K399" s="85"/>
      <c r="L399" s="86"/>
      <c r="M399" s="87"/>
      <c r="N399" s="173"/>
      <c r="O399" s="173"/>
      <c r="P399" s="175"/>
      <c r="Q399" s="173"/>
      <c r="R399" s="173"/>
      <c r="S399" s="85"/>
      <c r="T399" s="87"/>
      <c r="U399" s="87"/>
      <c r="V399" s="173"/>
      <c r="W399" s="173"/>
      <c r="X399" s="175"/>
      <c r="Y399" s="173"/>
      <c r="Z399" s="174"/>
      <c r="AA399" s="173"/>
      <c r="AB399" s="91"/>
      <c r="AC399" s="92"/>
      <c r="AD399" s="92"/>
      <c r="AE399" s="92"/>
      <c r="AF399" s="92" t="str">
        <f aca="false">IF(ISBLANK($C399),"",IF(E399=Constants!$B$3,TRUE(),IF(E399=Constants!$B$4,FALSE(),TRUE())))</f>
        <v/>
      </c>
      <c r="AG399" s="92" t="str">
        <f aca="false">IF(ISBLANK($C399),"",IF(F399=Constants!$B$3,TRUE(),IF(F399=Constants!$B$4,FALSE(),TRUE())))</f>
        <v/>
      </c>
      <c r="AH399" s="92" t="str">
        <f aca="false">IF(ISBLANK($C399),"",IF(G399=Constants!$B$3,TRUE(),IF(G399=Constants!$B$4,FALSE(),TRUE())))</f>
        <v/>
      </c>
      <c r="AI399" s="92" t="str">
        <f aca="false">IF(ISBLANK($C399),"",IF(AND(ISNUMBER(H399),H399&gt;=0),H399,Constants!$B$29))</f>
        <v/>
      </c>
      <c r="AJ399" s="92" t="str">
        <f aca="false">IF(ISBLANK($C399),"",IF(I399=Constants!$B$3,TRUE(),IF(I399=Constants!$B$4,FALSE(),TRUE())))</f>
        <v/>
      </c>
      <c r="AK399" s="92" t="str">
        <f aca="false">IF(ISBLANK($C399),"",IF(J399=Constants!$B$3,TRUE(),IF(J399=Constants!$B$4,FALSE(),TRUE())))</f>
        <v/>
      </c>
      <c r="AL399" s="92" t="str">
        <f aca="false">IF(ISBLANK($C399),"",IF(K399=Constants!$B$5,TRUE(),IF(K399=Constants!$B$6,FALSE(),COUNTA(L399:P399)&gt;0)))</f>
        <v/>
      </c>
      <c r="AM399" s="94" t="str">
        <f aca="false">IF(ISBLANK($C399),"",IF(ISNUMBER(L399),IF(L399&gt;=0,L399,""),""))</f>
        <v/>
      </c>
      <c r="AN399" s="93" t="str">
        <f aca="false">IF(ISBLANK($C399),"",IF(ISNUMBER(M399),IF(M399&gt;=0,M399,""),""))</f>
        <v/>
      </c>
      <c r="AO399" s="93" t="str">
        <f aca="false">IF(ISBLANK($C399),"",IF(N399=Constants!$B$3,TRUE(),IF(N399=Constants!$B$4,FALSE(),TRUE())))</f>
        <v/>
      </c>
      <c r="AP399" s="92" t="str">
        <f aca="false">IF(ISBLANK($C399),"",IF(ISNUMBER(O399),IF(O399&gt;=0,O399,""),""))</f>
        <v/>
      </c>
      <c r="AQ399" s="92" t="str">
        <f aca="false">IF(ISBLANK($C399),"",IF(P399=Constants!$B$3,TRUE(),IF(P399=Constants!$B$4,FALSE(),FALSE())))</f>
        <v/>
      </c>
      <c r="AR399" s="92" t="str">
        <f aca="false">IF(ISBLANK($C399),"",IF(Q399=Constants!$B$3,TRUE(),IF(Q399=Constants!$B$4,FALSE(),TRUE())))</f>
        <v/>
      </c>
      <c r="AS399" s="92" t="str">
        <f aca="false">IF(ISBLANK($C399),"",IF(R399=Constants!$B$3,TRUE(),IF(R399=Constants!$B$4,FALSE(),TRUE())))</f>
        <v/>
      </c>
      <c r="AT399" s="92" t="str">
        <f aca="false">IF(ISBLANK($C399),"",IF(S399=Constants!$B$5,TRUE(),IF(S399=Constants!$B$6,FALSE(),COUNTA(T399:X399)&gt;0)))</f>
        <v/>
      </c>
      <c r="AU399" s="94" t="str">
        <f aca="false">IF(ISBLANK($C399),"",IF(ISNUMBER(T399),IF(T399&gt;=0,T399,""),""))</f>
        <v/>
      </c>
      <c r="AV399" s="93" t="str">
        <f aca="false">IF(ISBLANK($C399),"",IF(ISNUMBER(U399),IF(U399&gt;=0,U399,""),""))</f>
        <v/>
      </c>
      <c r="AW399" s="93" t="str">
        <f aca="false">IF(ISBLANK($C399),"",IF(V399=Constants!$B$3,TRUE(),IF(V399=Constants!$B$4,FALSE(),TRUE())))</f>
        <v/>
      </c>
      <c r="AX399" s="92" t="str">
        <f aca="false">IF(ISBLANK($C399),"",IF(ISNUMBER(W399),IF(W399&gt;=0,W399,""),""))</f>
        <v/>
      </c>
      <c r="AY399" s="92" t="str">
        <f aca="false">IF(ISBLANK($C399),"",IF(X399=Constants!$B$3,TRUE(),IF(X399=Constants!$B$4,FALSE(),FALSE())))</f>
        <v/>
      </c>
      <c r="AZ399" s="92" t="str">
        <f aca="false">IF(ISBLANK($C399),"",MIN(Constants!$B$31,MAX(0,IF(ISNUMBER(Y399),Y399*60,0)+IF(ISNUMBER(Z399),Z399,0))))</f>
        <v/>
      </c>
      <c r="BA399" s="92" t="str">
        <f aca="false">IF(ISBLANK($C399),"",IF(AA399=Constants!$B$3,TRUE(),IF(AA399=Constants!$B$4,FALSE(),FALSE())))</f>
        <v/>
      </c>
      <c r="BB399" s="91" t="str">
        <f aca="false">IF(ISBLANK($C399),"",AND($AL399,OR($AM399="",$AN399="",AND($AO399,$AP399=""))))</f>
        <v/>
      </c>
      <c r="BC399" s="93" t="str">
        <f aca="false">IF($BR399&lt;&gt;Constants!$B$8,"",IF($AL399,Constants!$B$21*$AN399+Constants!$B$22*IF($AO399,$AP399,Constants!$B$23),Constants!$B$24))</f>
        <v/>
      </c>
      <c r="BD399" s="96" t="str">
        <f aca="false">IF($BR399&lt;&gt;Constants!$B$8,"",Constants!$B$25*ABS($AD$9-IF($AL399,$AM399,0)))</f>
        <v/>
      </c>
      <c r="BE399" s="96" t="str">
        <f aca="false">IF($BR399&lt;&gt;Constants!$B$8,"",IF(AND($AL399,$AQ399,$AO399),Constants!$B$27,0))</f>
        <v/>
      </c>
      <c r="BF399" s="96" t="str">
        <f aca="false">IF($BR399&lt;&gt;Constants!$B$8,"",IF($AL399,($AI399-Constants!$B$29)*Constants!$B$28,0))</f>
        <v/>
      </c>
      <c r="BG399" s="96" t="str">
        <f aca="false">IF($BR399&lt;&gt;Constants!$B$8,"",IF($AK399,0,Constants!$B$15)+IF($AJ399,0,Constants!$B$16)+IF($AH399,0,Constants!$B$17))</f>
        <v/>
      </c>
      <c r="BH399" s="97" t="str">
        <f aca="false">IF($BR399&lt;&gt;Constants!$B$8,"",Constants!$B$20+SUM($BC399:$BG399))</f>
        <v/>
      </c>
      <c r="BI399" s="92" t="str">
        <f aca="false">IF($BR399&lt;&gt;Constants!$B$8,"",IF(OR($BP399&lt;$BH399,AND($BP399=$BH399,OR($BK399&lt;$BC399,AND($BK399=$BC399,OR($BL399&lt;$BD399,AND($BL399=$BD399,$AT399,$AL399,$AV399&lt;$AN399)))))),"-&gt;","&lt;-"))</f>
        <v/>
      </c>
      <c r="BJ399" s="91" t="str">
        <f aca="false">IF(ISBLANK($C399),"",AND($AT399,OR($AU399="",$AV399="",AND($AW399,$AX399=""))))</f>
        <v/>
      </c>
      <c r="BK399" s="93" t="str">
        <f aca="false">IF($BR399&lt;&gt;Constants!$B$8,"",IF($AT399,Constants!$B$21*$AV399+Constants!$B$22*IF($AW399,$AX399,Constants!$B$23),Constants!$B$24))</f>
        <v/>
      </c>
      <c r="BL399" s="96" t="str">
        <f aca="false">IF($BR399&lt;&gt;Constants!$B$8,"",Constants!$B$25*ABS($AD$9-IF($AT399,$AU399,0)))</f>
        <v/>
      </c>
      <c r="BM399" s="96" t="str">
        <f aca="false">IF($BR399&lt;&gt;Constants!$B$8,"",IF(AND($AT399,$AY399,$AW399),Constants!$B$27,0))</f>
        <v/>
      </c>
      <c r="BN399" s="96" t="str">
        <f aca="false">IF($BR399&lt;&gt;Constants!$B$8,"",IF($AT399,($AI399-Constants!$B$29)*Constants!$B$28,0))</f>
        <v/>
      </c>
      <c r="BO399" s="96" t="str">
        <f aca="false">IF($BR399&lt;&gt;Constants!$B$8,"",IF($AS399,0,Constants!$B$15)+IF($AR399,0,Constants!$B$16)+IF($AH399,0,Constants!$B$17))</f>
        <v/>
      </c>
      <c r="BP399" s="97" t="str">
        <f aca="false">IF($BR399&lt;&gt;Constants!$B$8,"",Constants!$B$20+SUM($BK399:$BO399))</f>
        <v/>
      </c>
      <c r="BQ399" s="92" t="str">
        <f aca="false">IF(ISBLANK($C399),"",IF(ISBLANK($D$7),$BQ$5,IF(NOT(ISNUMBER($D$7)),$BQ$6,"")))</f>
        <v/>
      </c>
      <c r="BR399" s="92" t="str">
        <f aca="false">IF(ISBLANK($C399),"",IF($BA399,Constants!$B$11,IF(COUNTA($E399:$AA399)=0,Constants!$B$10,IF(NOT($AG399),Constants!$B$9,IF(OR($BQ399&lt;&gt;"",$BB399,$BJ399),Constants!$B$12,Constants!$B$8)))))</f>
        <v/>
      </c>
      <c r="BS399" s="92" t="str">
        <f aca="false">IF(ISBLANK($C399),"",IF($BR399&lt;&gt;Constants!$B$8,$BR399,Constants!$B$13))</f>
        <v/>
      </c>
      <c r="BT399" s="96" t="str">
        <f aca="false">IF($BR399&lt;&gt;Constants!$B$8,"",IF($BI399="-&gt;",$BP399,$BH399))</f>
        <v/>
      </c>
      <c r="BU399" s="96" t="str">
        <f aca="false">IF($BR399&lt;&gt;Constants!$B$8,"",IF($AF399,0,Constants!$B$18))</f>
        <v/>
      </c>
      <c r="BV399" s="96" t="str">
        <f aca="false">IF($BR399&lt;&gt;Constants!$B$8,"",((Constants!$B$31-$AZ399)-Constants!$B$31)/Constants!$B$32)</f>
        <v/>
      </c>
      <c r="BW399" s="96" t="str">
        <f aca="false">IF(ISBLANK($C399),"",IF($BR399&lt;&gt;Constants!$B$8,$BR399,SUM($BT399:$BV399)))</f>
        <v/>
      </c>
      <c r="BX399" s="92" t="str">
        <f aca="false">IF(ISBLANK($C399),"",IF($BR399&lt;&gt;Constants!$B$8,$BR399,RANK($BW399,$BW$9:$BW$508,1)))</f>
        <v/>
      </c>
      <c r="BY399" s="96" t="str">
        <f aca="false">IF($BR399&lt;&gt;Constants!$B$8,"",IF($BI399="-&gt;",$BK399,$BC399))</f>
        <v/>
      </c>
      <c r="BZ399" s="92" t="str">
        <f aca="false">IF(ISBLANK($C399),"",IF($BR399&lt;&gt;Constants!$B$8,$BR399,IF(ISNUMBER($BY399),RANK($BY399,$BY$9:$BY$508,1),COUNT($BY$9:$BY$508)+1)))</f>
        <v/>
      </c>
      <c r="CA399" s="96" t="str">
        <f aca="false">IF($BR399&lt;&gt;Constants!$B$8,"",IF($BI399="-&gt;",$BL399,$BD399))</f>
        <v/>
      </c>
      <c r="CB399" s="92" t="str">
        <f aca="false">IF(ISBLANK($C399),"",IF($BR399&lt;&gt;Constants!$B$8,$BR399,IF(ISNUMBER($CA399),RANK($CA399,$CA$9:$CA$508,1),COUNT($CA$9:$CA$508)+1)))</f>
        <v/>
      </c>
      <c r="CC399" s="96" t="str">
        <f aca="false">IF($BR399&lt;&gt;Constants!$B$8,"",IF($BI399="-&gt;",IF($AT399,$AV399,""),IF($AL399,$AN399,"")))</f>
        <v/>
      </c>
      <c r="CD399" s="92" t="str">
        <f aca="false">IF(ISBLANK($C399),"",IF($BR399&lt;&gt;Constants!$B$8,$BR399,IF(ISNUMBER($CC399),RANK($CC399,$CC$9:$CC$508,1),COUNT($CC$9:$CC$508)+1)))</f>
        <v/>
      </c>
      <c r="CE399" s="96" t="str">
        <f aca="false">IF($BR399&lt;&gt;Constants!$B$8,"",IF(AND(NOT($AL399),NOT($AT399),$AJ399,$AK399,$AR399,$AS399),"",$AI399))</f>
        <v/>
      </c>
      <c r="CF399" s="92" t="str">
        <f aca="false">IF(ISBLANK($C399),"",IF($BR399&lt;&gt;Constants!$B$8,$BR399,IF(ISNUMBER($CE399),RANK($CE399,$CE$9:$CE$508,1),COUNT($CE$9:$CE$508)+1)))</f>
        <v/>
      </c>
      <c r="CG399" s="92" t="str">
        <f aca="false">IF(ISBLANK($C399),"",IF($BR399&lt;&gt;Constants!$B$8,$BR399,COUNTIFS($BX$9:$BX$508,"&lt;"&amp;$BX399)+COUNTIFS($BX$9:$BX$508,$BX399,$BZ$9:$BZ$508,"&lt;"&amp;$BZ399)+COUNTIFS($BX$9:$BX$508,$BX399,$BZ$9:$BZ$508,$BZ399,$CB$9:$CB$508,"&lt;"&amp;$CB399)+COUNTIFS($BX$9:$BX$508,$BX399,$BZ$9:$BZ$508,$BZ399,$CB$9:$CB$508,$CB399,$CD$9:$CD$508,"&lt;"&amp;$CD399)+COUNTIFS($BX$9:$BX$508,$BX399,$BZ$9:$BZ$508,$BZ399,$CB$9:$CB$508,$CB399,$CD$9:$CD$508,$CD399,$CF$9:$CF$508,"&lt;"&amp;$CF399)+1))</f>
        <v/>
      </c>
      <c r="CH399" s="92" t="str">
        <f aca="false">IF(ISBLANK($C399),"",IF($BR399&lt;&gt;Constants!$B$8,$BR399,$BX399-$CG399))</f>
        <v/>
      </c>
      <c r="CI399" s="98"/>
      <c r="CJ399" s="99"/>
      <c r="CK399" s="100" t="str">
        <f aca="false">IF(ISBLANK($C399),"",IF($BR399=Constants!$B$12,$BQ399,""))</f>
        <v/>
      </c>
      <c r="CL399" s="99" t="str">
        <f aca="false">IF(ISBLANK($C399),"",IF($BR399&lt;&gt;Constants!$B$8,"",IF($BI399="-&gt;",2,1)))</f>
        <v/>
      </c>
      <c r="CM399" s="101" t="str">
        <f aca="false">IF(ISBLANK($C399),"",IF($BR399&lt;&gt;Constants!$B$8,"",IF($BI399="-&gt;",$BK399,$BC399)))</f>
        <v/>
      </c>
      <c r="CN399" s="101" t="str">
        <f aca="false">IF(ISBLANK($C399),"",IF($BR399&lt;&gt;Constants!$B$8,"",IF($BI399="-&gt;",$BL399,$BD399)))</f>
        <v/>
      </c>
      <c r="CO399" s="101" t="str">
        <f aca="false">IF(ISBLANK($C399),"",IF($BR399&lt;&gt;Constants!$B$8,"",IF($BI399="-&gt;",$BM399+$BN399,$BE399+$BF399)+$BV399))</f>
        <v/>
      </c>
      <c r="CP399" s="101" t="str">
        <f aca="false">IF(ISBLANK($C399),"",IF($BR399&lt;&gt;Constants!$B$8,"",IF($BI399="-&gt;",$BO399,$BG399)+$BU399))</f>
        <v/>
      </c>
      <c r="CQ399" s="102" t="str">
        <f aca="false">IF(ISBLANK($C399),"",IF($BR399&lt;&gt;Constants!$B$8,$BR399,$BW399))</f>
        <v/>
      </c>
      <c r="CR399" s="103" t="str">
        <f aca="false">IF(ISBLANK($C399),"",$BS399)</f>
        <v/>
      </c>
      <c r="CS399" s="104" t="str">
        <f aca="false">IF(ISBLANK($C399),"",$CH399)</f>
        <v/>
      </c>
      <c r="CT399" s="104" t="str">
        <f aca="false">IF(ISBLANK($C399),"",$CG399)</f>
        <v/>
      </c>
      <c r="CU399" s="105" t="str">
        <f aca="false">IF(ISBLANK($C399),"",IFERROR(_xlfn.SWITCH($CT399,Constants!$B$11,COUNTA($C$9:$C$508)+2,Constants!$B$10,COUNTA($C$9:$C$508)+1,Constants!$B$9,COUNTA($C$9:$C$508)),$CT399))</f>
        <v/>
      </c>
      <c r="CV399" s="9"/>
      <c r="CW399" s="106" t="n">
        <f aca="false">IF(OR(ISNUMBER($CT399),$CT399=Constants!$B$11,$CT399=Constants!$B$9,$CT399=Constants!$B$10),1,0)</f>
        <v>0</v>
      </c>
      <c r="CX399" s="106" t="n">
        <v>391</v>
      </c>
      <c r="CY399" s="106" t="str">
        <f aca="false">IF(ISBLANK($C399),"",IF(ISNUMBER($CU399),$CU399+ROW($B399)/1000,""))</f>
        <v/>
      </c>
      <c r="CZ399" s="106" t="str">
        <f aca="false">IF(ISNUMBER($CY399),RANK($CY399,$CY$9:$CY$508,1),"")</f>
        <v/>
      </c>
      <c r="DA399" s="106" t="str">
        <f aca="false">IF(ISBLANK($C399),"",$B399)</f>
        <v/>
      </c>
      <c r="DB399" s="106" t="str">
        <f aca="false">IF(ISBLANK($C399),"",$C399)</f>
        <v/>
      </c>
      <c r="DC399" s="106" t="str">
        <f aca="false">IF(ISBLANK($C399),"",$D399)</f>
        <v/>
      </c>
      <c r="DD399" s="107" t="str">
        <f aca="false">$CR399</f>
        <v/>
      </c>
      <c r="DE399" s="108" t="str">
        <f aca="false">$CQ399</f>
        <v/>
      </c>
      <c r="DF399" s="106" t="str">
        <f aca="false">IF(ISBLANK($C399),"",$CT399)</f>
        <v/>
      </c>
      <c r="DG399" s="109" t="str">
        <f aca="false">IF($CX399&gt;$CW$8,"",VLOOKUP($CX399,$CZ$9:$DF$508,7,FALSE()))</f>
        <v/>
      </c>
      <c r="DH399" s="110" t="str">
        <f aca="false">IF($CX399&gt;$CW$8,"",VLOOKUP($CX399,$CZ$9:$DF$508,2,FALSE()))</f>
        <v/>
      </c>
      <c r="DI399" s="110" t="str">
        <f aca="false">IF($CX399&gt;$CW$8,"",VLOOKUP($CX399,$CZ$9:$DF$508,3,FALSE()))</f>
        <v/>
      </c>
      <c r="DJ399" s="110" t="str">
        <f aca="false">IF($CX399&gt;$CW$8,"",VLOOKUP($CX399,$CZ$9:$DF$508,4,FALSE()))</f>
        <v/>
      </c>
      <c r="DK399" s="110" t="str">
        <f aca="false">IF($CX399&gt;$CW$8,"",VLOOKUP($CX399,$CZ$9:$DF$508,5,FALSE()))</f>
        <v/>
      </c>
      <c r="DL399" s="111" t="str">
        <f aca="false">IF($CX399&gt;$CW$8,"",VLOOKUP($CX399,$CZ$9:$DF$508,6,FALSE()))</f>
        <v/>
      </c>
      <c r="DM399" s="75"/>
    </row>
    <row r="400" customFormat="false" ht="15.75" hidden="false" customHeight="false" outlineLevel="0" collapsed="false">
      <c r="A400" s="9"/>
      <c r="B400" s="77"/>
      <c r="C400" s="78"/>
      <c r="D400" s="167"/>
      <c r="E400" s="175"/>
      <c r="F400" s="169"/>
      <c r="G400" s="170"/>
      <c r="H400" s="170"/>
      <c r="I400" s="176"/>
      <c r="J400" s="173"/>
      <c r="K400" s="85"/>
      <c r="L400" s="86"/>
      <c r="M400" s="87"/>
      <c r="N400" s="173"/>
      <c r="O400" s="173"/>
      <c r="P400" s="175"/>
      <c r="Q400" s="173"/>
      <c r="R400" s="173"/>
      <c r="S400" s="85"/>
      <c r="T400" s="87"/>
      <c r="U400" s="87"/>
      <c r="V400" s="173"/>
      <c r="W400" s="173"/>
      <c r="X400" s="175"/>
      <c r="Y400" s="173"/>
      <c r="Z400" s="174"/>
      <c r="AA400" s="173"/>
      <c r="AB400" s="91"/>
      <c r="AC400" s="92"/>
      <c r="AD400" s="92"/>
      <c r="AE400" s="92"/>
      <c r="AF400" s="92" t="str">
        <f aca="false">IF(ISBLANK($C400),"",IF(E400=Constants!$B$3,TRUE(),IF(E400=Constants!$B$4,FALSE(),TRUE())))</f>
        <v/>
      </c>
      <c r="AG400" s="92" t="str">
        <f aca="false">IF(ISBLANK($C400),"",IF(F400=Constants!$B$3,TRUE(),IF(F400=Constants!$B$4,FALSE(),TRUE())))</f>
        <v/>
      </c>
      <c r="AH400" s="92" t="str">
        <f aca="false">IF(ISBLANK($C400),"",IF(G400=Constants!$B$3,TRUE(),IF(G400=Constants!$B$4,FALSE(),TRUE())))</f>
        <v/>
      </c>
      <c r="AI400" s="92" t="str">
        <f aca="false">IF(ISBLANK($C400),"",IF(AND(ISNUMBER(H400),H400&gt;=0),H400,Constants!$B$29))</f>
        <v/>
      </c>
      <c r="AJ400" s="92" t="str">
        <f aca="false">IF(ISBLANK($C400),"",IF(I400=Constants!$B$3,TRUE(),IF(I400=Constants!$B$4,FALSE(),TRUE())))</f>
        <v/>
      </c>
      <c r="AK400" s="92" t="str">
        <f aca="false">IF(ISBLANK($C400),"",IF(J400=Constants!$B$3,TRUE(),IF(J400=Constants!$B$4,FALSE(),TRUE())))</f>
        <v/>
      </c>
      <c r="AL400" s="92" t="str">
        <f aca="false">IF(ISBLANK($C400),"",IF(K400=Constants!$B$5,TRUE(),IF(K400=Constants!$B$6,FALSE(),COUNTA(L400:P400)&gt;0)))</f>
        <v/>
      </c>
      <c r="AM400" s="94" t="str">
        <f aca="false">IF(ISBLANK($C400),"",IF(ISNUMBER(L400),IF(L400&gt;=0,L400,""),""))</f>
        <v/>
      </c>
      <c r="AN400" s="93" t="str">
        <f aca="false">IF(ISBLANK($C400),"",IF(ISNUMBER(M400),IF(M400&gt;=0,M400,""),""))</f>
        <v/>
      </c>
      <c r="AO400" s="93" t="str">
        <f aca="false">IF(ISBLANK($C400),"",IF(N400=Constants!$B$3,TRUE(),IF(N400=Constants!$B$4,FALSE(),TRUE())))</f>
        <v/>
      </c>
      <c r="AP400" s="92" t="str">
        <f aca="false">IF(ISBLANK($C400),"",IF(ISNUMBER(O400),IF(O400&gt;=0,O400,""),""))</f>
        <v/>
      </c>
      <c r="AQ400" s="92" t="str">
        <f aca="false">IF(ISBLANK($C400),"",IF(P400=Constants!$B$3,TRUE(),IF(P400=Constants!$B$4,FALSE(),FALSE())))</f>
        <v/>
      </c>
      <c r="AR400" s="92" t="str">
        <f aca="false">IF(ISBLANK($C400),"",IF(Q400=Constants!$B$3,TRUE(),IF(Q400=Constants!$B$4,FALSE(),TRUE())))</f>
        <v/>
      </c>
      <c r="AS400" s="92" t="str">
        <f aca="false">IF(ISBLANK($C400),"",IF(R400=Constants!$B$3,TRUE(),IF(R400=Constants!$B$4,FALSE(),TRUE())))</f>
        <v/>
      </c>
      <c r="AT400" s="92" t="str">
        <f aca="false">IF(ISBLANK($C400),"",IF(S400=Constants!$B$5,TRUE(),IF(S400=Constants!$B$6,FALSE(),COUNTA(T400:X400)&gt;0)))</f>
        <v/>
      </c>
      <c r="AU400" s="94" t="str">
        <f aca="false">IF(ISBLANK($C400),"",IF(ISNUMBER(T400),IF(T400&gt;=0,T400,""),""))</f>
        <v/>
      </c>
      <c r="AV400" s="93" t="str">
        <f aca="false">IF(ISBLANK($C400),"",IF(ISNUMBER(U400),IF(U400&gt;=0,U400,""),""))</f>
        <v/>
      </c>
      <c r="AW400" s="93" t="str">
        <f aca="false">IF(ISBLANK($C400),"",IF(V400=Constants!$B$3,TRUE(),IF(V400=Constants!$B$4,FALSE(),TRUE())))</f>
        <v/>
      </c>
      <c r="AX400" s="92" t="str">
        <f aca="false">IF(ISBLANK($C400),"",IF(ISNUMBER(W400),IF(W400&gt;=0,W400,""),""))</f>
        <v/>
      </c>
      <c r="AY400" s="92" t="str">
        <f aca="false">IF(ISBLANK($C400),"",IF(X400=Constants!$B$3,TRUE(),IF(X400=Constants!$B$4,FALSE(),FALSE())))</f>
        <v/>
      </c>
      <c r="AZ400" s="92" t="str">
        <f aca="false">IF(ISBLANK($C400),"",MIN(Constants!$B$31,MAX(0,IF(ISNUMBER(Y400),Y400*60,0)+IF(ISNUMBER(Z400),Z400,0))))</f>
        <v/>
      </c>
      <c r="BA400" s="92" t="str">
        <f aca="false">IF(ISBLANK($C400),"",IF(AA400=Constants!$B$3,TRUE(),IF(AA400=Constants!$B$4,FALSE(),FALSE())))</f>
        <v/>
      </c>
      <c r="BB400" s="91" t="str">
        <f aca="false">IF(ISBLANK($C400),"",AND($AL400,OR($AM400="",$AN400="",AND($AO400,$AP400=""))))</f>
        <v/>
      </c>
      <c r="BC400" s="93" t="str">
        <f aca="false">IF($BR400&lt;&gt;Constants!$B$8,"",IF($AL400,Constants!$B$21*$AN400+Constants!$B$22*IF($AO400,$AP400,Constants!$B$23),Constants!$B$24))</f>
        <v/>
      </c>
      <c r="BD400" s="96" t="str">
        <f aca="false">IF($BR400&lt;&gt;Constants!$B$8,"",Constants!$B$25*ABS($AD$9-IF($AL400,$AM400,0)))</f>
        <v/>
      </c>
      <c r="BE400" s="96" t="str">
        <f aca="false">IF($BR400&lt;&gt;Constants!$B$8,"",IF(AND($AL400,$AQ400,$AO400),Constants!$B$27,0))</f>
        <v/>
      </c>
      <c r="BF400" s="96" t="str">
        <f aca="false">IF($BR400&lt;&gt;Constants!$B$8,"",IF($AL400,($AI400-Constants!$B$29)*Constants!$B$28,0))</f>
        <v/>
      </c>
      <c r="BG400" s="96" t="str">
        <f aca="false">IF($BR400&lt;&gt;Constants!$B$8,"",IF($AK400,0,Constants!$B$15)+IF($AJ400,0,Constants!$B$16)+IF($AH400,0,Constants!$B$17))</f>
        <v/>
      </c>
      <c r="BH400" s="97" t="str">
        <f aca="false">IF($BR400&lt;&gt;Constants!$B$8,"",Constants!$B$20+SUM($BC400:$BG400))</f>
        <v/>
      </c>
      <c r="BI400" s="92" t="str">
        <f aca="false">IF($BR400&lt;&gt;Constants!$B$8,"",IF(OR($BP400&lt;$BH400,AND($BP400=$BH400,OR($BK400&lt;$BC400,AND($BK400=$BC400,OR($BL400&lt;$BD400,AND($BL400=$BD400,$AT400,$AL400,$AV400&lt;$AN400)))))),"-&gt;","&lt;-"))</f>
        <v/>
      </c>
      <c r="BJ400" s="91" t="str">
        <f aca="false">IF(ISBLANK($C400),"",AND($AT400,OR($AU400="",$AV400="",AND($AW400,$AX400=""))))</f>
        <v/>
      </c>
      <c r="BK400" s="93" t="str">
        <f aca="false">IF($BR400&lt;&gt;Constants!$B$8,"",IF($AT400,Constants!$B$21*$AV400+Constants!$B$22*IF($AW400,$AX400,Constants!$B$23),Constants!$B$24))</f>
        <v/>
      </c>
      <c r="BL400" s="96" t="str">
        <f aca="false">IF($BR400&lt;&gt;Constants!$B$8,"",Constants!$B$25*ABS($AD$9-IF($AT400,$AU400,0)))</f>
        <v/>
      </c>
      <c r="BM400" s="96" t="str">
        <f aca="false">IF($BR400&lt;&gt;Constants!$B$8,"",IF(AND($AT400,$AY400,$AW400),Constants!$B$27,0))</f>
        <v/>
      </c>
      <c r="BN400" s="96" t="str">
        <f aca="false">IF($BR400&lt;&gt;Constants!$B$8,"",IF($AT400,($AI400-Constants!$B$29)*Constants!$B$28,0))</f>
        <v/>
      </c>
      <c r="BO400" s="96" t="str">
        <f aca="false">IF($BR400&lt;&gt;Constants!$B$8,"",IF($AS400,0,Constants!$B$15)+IF($AR400,0,Constants!$B$16)+IF($AH400,0,Constants!$B$17))</f>
        <v/>
      </c>
      <c r="BP400" s="97" t="str">
        <f aca="false">IF($BR400&lt;&gt;Constants!$B$8,"",Constants!$B$20+SUM($BK400:$BO400))</f>
        <v/>
      </c>
      <c r="BQ400" s="92" t="str">
        <f aca="false">IF(ISBLANK($C400),"",IF(ISBLANK($D$7),$BQ$5,IF(NOT(ISNUMBER($D$7)),$BQ$6,"")))</f>
        <v/>
      </c>
      <c r="BR400" s="92" t="str">
        <f aca="false">IF(ISBLANK($C400),"",IF($BA400,Constants!$B$11,IF(COUNTA($E400:$AA400)=0,Constants!$B$10,IF(NOT($AG400),Constants!$B$9,IF(OR($BQ400&lt;&gt;"",$BB400,$BJ400),Constants!$B$12,Constants!$B$8)))))</f>
        <v/>
      </c>
      <c r="BS400" s="92" t="str">
        <f aca="false">IF(ISBLANK($C400),"",IF($BR400&lt;&gt;Constants!$B$8,$BR400,Constants!$B$13))</f>
        <v/>
      </c>
      <c r="BT400" s="96" t="str">
        <f aca="false">IF($BR400&lt;&gt;Constants!$B$8,"",IF($BI400="-&gt;",$BP400,$BH400))</f>
        <v/>
      </c>
      <c r="BU400" s="96" t="str">
        <f aca="false">IF($BR400&lt;&gt;Constants!$B$8,"",IF($AF400,0,Constants!$B$18))</f>
        <v/>
      </c>
      <c r="BV400" s="96" t="str">
        <f aca="false">IF($BR400&lt;&gt;Constants!$B$8,"",((Constants!$B$31-$AZ400)-Constants!$B$31)/Constants!$B$32)</f>
        <v/>
      </c>
      <c r="BW400" s="96" t="str">
        <f aca="false">IF(ISBLANK($C400),"",IF($BR400&lt;&gt;Constants!$B$8,$BR400,SUM($BT400:$BV400)))</f>
        <v/>
      </c>
      <c r="BX400" s="92" t="str">
        <f aca="false">IF(ISBLANK($C400),"",IF($BR400&lt;&gt;Constants!$B$8,$BR400,RANK($BW400,$BW$9:$BW$508,1)))</f>
        <v/>
      </c>
      <c r="BY400" s="96" t="str">
        <f aca="false">IF($BR400&lt;&gt;Constants!$B$8,"",IF($BI400="-&gt;",$BK400,$BC400))</f>
        <v/>
      </c>
      <c r="BZ400" s="92" t="str">
        <f aca="false">IF(ISBLANK($C400),"",IF($BR400&lt;&gt;Constants!$B$8,$BR400,IF(ISNUMBER($BY400),RANK($BY400,$BY$9:$BY$508,1),COUNT($BY$9:$BY$508)+1)))</f>
        <v/>
      </c>
      <c r="CA400" s="96" t="str">
        <f aca="false">IF($BR400&lt;&gt;Constants!$B$8,"",IF($BI400="-&gt;",$BL400,$BD400))</f>
        <v/>
      </c>
      <c r="CB400" s="92" t="str">
        <f aca="false">IF(ISBLANK($C400),"",IF($BR400&lt;&gt;Constants!$B$8,$BR400,IF(ISNUMBER($CA400),RANK($CA400,$CA$9:$CA$508,1),COUNT($CA$9:$CA$508)+1)))</f>
        <v/>
      </c>
      <c r="CC400" s="96" t="str">
        <f aca="false">IF($BR400&lt;&gt;Constants!$B$8,"",IF($BI400="-&gt;",IF($AT400,$AV400,""),IF($AL400,$AN400,"")))</f>
        <v/>
      </c>
      <c r="CD400" s="92" t="str">
        <f aca="false">IF(ISBLANK($C400),"",IF($BR400&lt;&gt;Constants!$B$8,$BR400,IF(ISNUMBER($CC400),RANK($CC400,$CC$9:$CC$508,1),COUNT($CC$9:$CC$508)+1)))</f>
        <v/>
      </c>
      <c r="CE400" s="96" t="str">
        <f aca="false">IF($BR400&lt;&gt;Constants!$B$8,"",IF(AND(NOT($AL400),NOT($AT400),$AJ400,$AK400,$AR400,$AS400),"",$AI400))</f>
        <v/>
      </c>
      <c r="CF400" s="92" t="str">
        <f aca="false">IF(ISBLANK($C400),"",IF($BR400&lt;&gt;Constants!$B$8,$BR400,IF(ISNUMBER($CE400),RANK($CE400,$CE$9:$CE$508,1),COUNT($CE$9:$CE$508)+1)))</f>
        <v/>
      </c>
      <c r="CG400" s="92" t="str">
        <f aca="false">IF(ISBLANK($C400),"",IF($BR400&lt;&gt;Constants!$B$8,$BR400,COUNTIFS($BX$9:$BX$508,"&lt;"&amp;$BX400)+COUNTIFS($BX$9:$BX$508,$BX400,$BZ$9:$BZ$508,"&lt;"&amp;$BZ400)+COUNTIFS($BX$9:$BX$508,$BX400,$BZ$9:$BZ$508,$BZ400,$CB$9:$CB$508,"&lt;"&amp;$CB400)+COUNTIFS($BX$9:$BX$508,$BX400,$BZ$9:$BZ$508,$BZ400,$CB$9:$CB$508,$CB400,$CD$9:$CD$508,"&lt;"&amp;$CD400)+COUNTIFS($BX$9:$BX$508,$BX400,$BZ$9:$BZ$508,$BZ400,$CB$9:$CB$508,$CB400,$CD$9:$CD$508,$CD400,$CF$9:$CF$508,"&lt;"&amp;$CF400)+1))</f>
        <v/>
      </c>
      <c r="CH400" s="92" t="str">
        <f aca="false">IF(ISBLANK($C400),"",IF($BR400&lt;&gt;Constants!$B$8,$BR400,$BX400-$CG400))</f>
        <v/>
      </c>
      <c r="CI400" s="98"/>
      <c r="CJ400" s="99"/>
      <c r="CK400" s="100" t="str">
        <f aca="false">IF(ISBLANK($C400),"",IF($BR400=Constants!$B$12,$BQ400,""))</f>
        <v/>
      </c>
      <c r="CL400" s="99" t="str">
        <f aca="false">IF(ISBLANK($C400),"",IF($BR400&lt;&gt;Constants!$B$8,"",IF($BI400="-&gt;",2,1)))</f>
        <v/>
      </c>
      <c r="CM400" s="101" t="str">
        <f aca="false">IF(ISBLANK($C400),"",IF($BR400&lt;&gt;Constants!$B$8,"",IF($BI400="-&gt;",$BK400,$BC400)))</f>
        <v/>
      </c>
      <c r="CN400" s="101" t="str">
        <f aca="false">IF(ISBLANK($C400),"",IF($BR400&lt;&gt;Constants!$B$8,"",IF($BI400="-&gt;",$BL400,$BD400)))</f>
        <v/>
      </c>
      <c r="CO400" s="101" t="str">
        <f aca="false">IF(ISBLANK($C400),"",IF($BR400&lt;&gt;Constants!$B$8,"",IF($BI400="-&gt;",$BM400+$BN400,$BE400+$BF400)+$BV400))</f>
        <v/>
      </c>
      <c r="CP400" s="101" t="str">
        <f aca="false">IF(ISBLANK($C400),"",IF($BR400&lt;&gt;Constants!$B$8,"",IF($BI400="-&gt;",$BO400,$BG400)+$BU400))</f>
        <v/>
      </c>
      <c r="CQ400" s="102" t="str">
        <f aca="false">IF(ISBLANK($C400),"",IF($BR400&lt;&gt;Constants!$B$8,$BR400,$BW400))</f>
        <v/>
      </c>
      <c r="CR400" s="103" t="str">
        <f aca="false">IF(ISBLANK($C400),"",$BS400)</f>
        <v/>
      </c>
      <c r="CS400" s="104" t="str">
        <f aca="false">IF(ISBLANK($C400),"",$CH400)</f>
        <v/>
      </c>
      <c r="CT400" s="104" t="str">
        <f aca="false">IF(ISBLANK($C400),"",$CG400)</f>
        <v/>
      </c>
      <c r="CU400" s="105" t="str">
        <f aca="false">IF(ISBLANK($C400),"",IFERROR(_xlfn.SWITCH($CT400,Constants!$B$11,COUNTA($C$9:$C$508)+2,Constants!$B$10,COUNTA($C$9:$C$508)+1,Constants!$B$9,COUNTA($C$9:$C$508)),$CT400))</f>
        <v/>
      </c>
      <c r="CV400" s="9"/>
      <c r="CW400" s="106" t="n">
        <f aca="false">IF(OR(ISNUMBER($CT400),$CT400=Constants!$B$11,$CT400=Constants!$B$9,$CT400=Constants!$B$10),1,0)</f>
        <v>0</v>
      </c>
      <c r="CX400" s="106" t="n">
        <v>392</v>
      </c>
      <c r="CY400" s="106" t="str">
        <f aca="false">IF(ISBLANK($C400),"",IF(ISNUMBER($CU400),$CU400+ROW($B400)/1000,""))</f>
        <v/>
      </c>
      <c r="CZ400" s="106" t="str">
        <f aca="false">IF(ISNUMBER($CY400),RANK($CY400,$CY$9:$CY$508,1),"")</f>
        <v/>
      </c>
      <c r="DA400" s="106" t="str">
        <f aca="false">IF(ISBLANK($C400),"",$B400)</f>
        <v/>
      </c>
      <c r="DB400" s="106" t="str">
        <f aca="false">IF(ISBLANK($C400),"",$C400)</f>
        <v/>
      </c>
      <c r="DC400" s="106" t="str">
        <f aca="false">IF(ISBLANK($C400),"",$D400)</f>
        <v/>
      </c>
      <c r="DD400" s="107" t="str">
        <f aca="false">$CR400</f>
        <v/>
      </c>
      <c r="DE400" s="108" t="str">
        <f aca="false">$CQ400</f>
        <v/>
      </c>
      <c r="DF400" s="106" t="str">
        <f aca="false">IF(ISBLANK($C400),"",$CT400)</f>
        <v/>
      </c>
      <c r="DG400" s="109" t="str">
        <f aca="false">IF($CX400&gt;$CW$8,"",VLOOKUP($CX400,$CZ$9:$DF$508,7,FALSE()))</f>
        <v/>
      </c>
      <c r="DH400" s="110" t="str">
        <f aca="false">IF($CX400&gt;$CW$8,"",VLOOKUP($CX400,$CZ$9:$DF$508,2,FALSE()))</f>
        <v/>
      </c>
      <c r="DI400" s="110" t="str">
        <f aca="false">IF($CX400&gt;$CW$8,"",VLOOKUP($CX400,$CZ$9:$DF$508,3,FALSE()))</f>
        <v/>
      </c>
      <c r="DJ400" s="110" t="str">
        <f aca="false">IF($CX400&gt;$CW$8,"",VLOOKUP($CX400,$CZ$9:$DF$508,4,FALSE()))</f>
        <v/>
      </c>
      <c r="DK400" s="110" t="str">
        <f aca="false">IF($CX400&gt;$CW$8,"",VLOOKUP($CX400,$CZ$9:$DF$508,5,FALSE()))</f>
        <v/>
      </c>
      <c r="DL400" s="111" t="str">
        <f aca="false">IF($CX400&gt;$CW$8,"",VLOOKUP($CX400,$CZ$9:$DF$508,6,FALSE()))</f>
        <v/>
      </c>
      <c r="DM400" s="75"/>
    </row>
    <row r="401" customFormat="false" ht="15.75" hidden="false" customHeight="false" outlineLevel="0" collapsed="false">
      <c r="A401" s="9"/>
      <c r="B401" s="77"/>
      <c r="C401" s="78"/>
      <c r="D401" s="167"/>
      <c r="E401" s="175"/>
      <c r="F401" s="169"/>
      <c r="G401" s="170"/>
      <c r="H401" s="170"/>
      <c r="I401" s="176"/>
      <c r="J401" s="173"/>
      <c r="K401" s="85"/>
      <c r="L401" s="86"/>
      <c r="M401" s="87"/>
      <c r="N401" s="173"/>
      <c r="O401" s="173"/>
      <c r="P401" s="175"/>
      <c r="Q401" s="173"/>
      <c r="R401" s="173"/>
      <c r="S401" s="85"/>
      <c r="T401" s="87"/>
      <c r="U401" s="87"/>
      <c r="V401" s="173"/>
      <c r="W401" s="173"/>
      <c r="X401" s="175"/>
      <c r="Y401" s="173"/>
      <c r="Z401" s="174"/>
      <c r="AA401" s="173"/>
      <c r="AB401" s="91"/>
      <c r="AC401" s="92"/>
      <c r="AD401" s="92"/>
      <c r="AE401" s="92"/>
      <c r="AF401" s="92" t="str">
        <f aca="false">IF(ISBLANK($C401),"",IF(E401=Constants!$B$3,TRUE(),IF(E401=Constants!$B$4,FALSE(),TRUE())))</f>
        <v/>
      </c>
      <c r="AG401" s="92" t="str">
        <f aca="false">IF(ISBLANK($C401),"",IF(F401=Constants!$B$3,TRUE(),IF(F401=Constants!$B$4,FALSE(),TRUE())))</f>
        <v/>
      </c>
      <c r="AH401" s="92" t="str">
        <f aca="false">IF(ISBLANK($C401),"",IF(G401=Constants!$B$3,TRUE(),IF(G401=Constants!$B$4,FALSE(),TRUE())))</f>
        <v/>
      </c>
      <c r="AI401" s="92" t="str">
        <f aca="false">IF(ISBLANK($C401),"",IF(AND(ISNUMBER(H401),H401&gt;=0),H401,Constants!$B$29))</f>
        <v/>
      </c>
      <c r="AJ401" s="92" t="str">
        <f aca="false">IF(ISBLANK($C401),"",IF(I401=Constants!$B$3,TRUE(),IF(I401=Constants!$B$4,FALSE(),TRUE())))</f>
        <v/>
      </c>
      <c r="AK401" s="92" t="str">
        <f aca="false">IF(ISBLANK($C401),"",IF(J401=Constants!$B$3,TRUE(),IF(J401=Constants!$B$4,FALSE(),TRUE())))</f>
        <v/>
      </c>
      <c r="AL401" s="92" t="str">
        <f aca="false">IF(ISBLANK($C401),"",IF(K401=Constants!$B$5,TRUE(),IF(K401=Constants!$B$6,FALSE(),COUNTA(L401:P401)&gt;0)))</f>
        <v/>
      </c>
      <c r="AM401" s="94" t="str">
        <f aca="false">IF(ISBLANK($C401),"",IF(ISNUMBER(L401),IF(L401&gt;=0,L401,""),""))</f>
        <v/>
      </c>
      <c r="AN401" s="93" t="str">
        <f aca="false">IF(ISBLANK($C401),"",IF(ISNUMBER(M401),IF(M401&gt;=0,M401,""),""))</f>
        <v/>
      </c>
      <c r="AO401" s="93" t="str">
        <f aca="false">IF(ISBLANK($C401),"",IF(N401=Constants!$B$3,TRUE(),IF(N401=Constants!$B$4,FALSE(),TRUE())))</f>
        <v/>
      </c>
      <c r="AP401" s="92" t="str">
        <f aca="false">IF(ISBLANK($C401),"",IF(ISNUMBER(O401),IF(O401&gt;=0,O401,""),""))</f>
        <v/>
      </c>
      <c r="AQ401" s="92" t="str">
        <f aca="false">IF(ISBLANK($C401),"",IF(P401=Constants!$B$3,TRUE(),IF(P401=Constants!$B$4,FALSE(),FALSE())))</f>
        <v/>
      </c>
      <c r="AR401" s="92" t="str">
        <f aca="false">IF(ISBLANK($C401),"",IF(Q401=Constants!$B$3,TRUE(),IF(Q401=Constants!$B$4,FALSE(),TRUE())))</f>
        <v/>
      </c>
      <c r="AS401" s="92" t="str">
        <f aca="false">IF(ISBLANK($C401),"",IF(R401=Constants!$B$3,TRUE(),IF(R401=Constants!$B$4,FALSE(),TRUE())))</f>
        <v/>
      </c>
      <c r="AT401" s="92" t="str">
        <f aca="false">IF(ISBLANK($C401),"",IF(S401=Constants!$B$5,TRUE(),IF(S401=Constants!$B$6,FALSE(),COUNTA(T401:X401)&gt;0)))</f>
        <v/>
      </c>
      <c r="AU401" s="94" t="str">
        <f aca="false">IF(ISBLANK($C401),"",IF(ISNUMBER(T401),IF(T401&gt;=0,T401,""),""))</f>
        <v/>
      </c>
      <c r="AV401" s="93" t="str">
        <f aca="false">IF(ISBLANK($C401),"",IF(ISNUMBER(U401),IF(U401&gt;=0,U401,""),""))</f>
        <v/>
      </c>
      <c r="AW401" s="93" t="str">
        <f aca="false">IF(ISBLANK($C401),"",IF(V401=Constants!$B$3,TRUE(),IF(V401=Constants!$B$4,FALSE(),TRUE())))</f>
        <v/>
      </c>
      <c r="AX401" s="92" t="str">
        <f aca="false">IF(ISBLANK($C401),"",IF(ISNUMBER(W401),IF(W401&gt;=0,W401,""),""))</f>
        <v/>
      </c>
      <c r="AY401" s="92" t="str">
        <f aca="false">IF(ISBLANK($C401),"",IF(X401=Constants!$B$3,TRUE(),IF(X401=Constants!$B$4,FALSE(),FALSE())))</f>
        <v/>
      </c>
      <c r="AZ401" s="92" t="str">
        <f aca="false">IF(ISBLANK($C401),"",MIN(Constants!$B$31,MAX(0,IF(ISNUMBER(Y401),Y401*60,0)+IF(ISNUMBER(Z401),Z401,0))))</f>
        <v/>
      </c>
      <c r="BA401" s="92" t="str">
        <f aca="false">IF(ISBLANK($C401),"",IF(AA401=Constants!$B$3,TRUE(),IF(AA401=Constants!$B$4,FALSE(),FALSE())))</f>
        <v/>
      </c>
      <c r="BB401" s="91" t="str">
        <f aca="false">IF(ISBLANK($C401),"",AND($AL401,OR($AM401="",$AN401="",AND($AO401,$AP401=""))))</f>
        <v/>
      </c>
      <c r="BC401" s="93" t="str">
        <f aca="false">IF($BR401&lt;&gt;Constants!$B$8,"",IF($AL401,Constants!$B$21*$AN401+Constants!$B$22*IF($AO401,$AP401,Constants!$B$23),Constants!$B$24))</f>
        <v/>
      </c>
      <c r="BD401" s="96" t="str">
        <f aca="false">IF($BR401&lt;&gt;Constants!$B$8,"",Constants!$B$25*ABS($AD$9-IF($AL401,$AM401,0)))</f>
        <v/>
      </c>
      <c r="BE401" s="96" t="str">
        <f aca="false">IF($BR401&lt;&gt;Constants!$B$8,"",IF(AND($AL401,$AQ401,$AO401),Constants!$B$27,0))</f>
        <v/>
      </c>
      <c r="BF401" s="96" t="str">
        <f aca="false">IF($BR401&lt;&gt;Constants!$B$8,"",IF($AL401,($AI401-Constants!$B$29)*Constants!$B$28,0))</f>
        <v/>
      </c>
      <c r="BG401" s="96" t="str">
        <f aca="false">IF($BR401&lt;&gt;Constants!$B$8,"",IF($AK401,0,Constants!$B$15)+IF($AJ401,0,Constants!$B$16)+IF($AH401,0,Constants!$B$17))</f>
        <v/>
      </c>
      <c r="BH401" s="97" t="str">
        <f aca="false">IF($BR401&lt;&gt;Constants!$B$8,"",Constants!$B$20+SUM($BC401:$BG401))</f>
        <v/>
      </c>
      <c r="BI401" s="92" t="str">
        <f aca="false">IF($BR401&lt;&gt;Constants!$B$8,"",IF(OR($BP401&lt;$BH401,AND($BP401=$BH401,OR($BK401&lt;$BC401,AND($BK401=$BC401,OR($BL401&lt;$BD401,AND($BL401=$BD401,$AT401,$AL401,$AV401&lt;$AN401)))))),"-&gt;","&lt;-"))</f>
        <v/>
      </c>
      <c r="BJ401" s="91" t="str">
        <f aca="false">IF(ISBLANK($C401),"",AND($AT401,OR($AU401="",$AV401="",AND($AW401,$AX401=""))))</f>
        <v/>
      </c>
      <c r="BK401" s="93" t="str">
        <f aca="false">IF($BR401&lt;&gt;Constants!$B$8,"",IF($AT401,Constants!$B$21*$AV401+Constants!$B$22*IF($AW401,$AX401,Constants!$B$23),Constants!$B$24))</f>
        <v/>
      </c>
      <c r="BL401" s="96" t="str">
        <f aca="false">IF($BR401&lt;&gt;Constants!$B$8,"",Constants!$B$25*ABS($AD$9-IF($AT401,$AU401,0)))</f>
        <v/>
      </c>
      <c r="BM401" s="96" t="str">
        <f aca="false">IF($BR401&lt;&gt;Constants!$B$8,"",IF(AND($AT401,$AY401,$AW401),Constants!$B$27,0))</f>
        <v/>
      </c>
      <c r="BN401" s="96" t="str">
        <f aca="false">IF($BR401&lt;&gt;Constants!$B$8,"",IF($AT401,($AI401-Constants!$B$29)*Constants!$B$28,0))</f>
        <v/>
      </c>
      <c r="BO401" s="96" t="str">
        <f aca="false">IF($BR401&lt;&gt;Constants!$B$8,"",IF($AS401,0,Constants!$B$15)+IF($AR401,0,Constants!$B$16)+IF($AH401,0,Constants!$B$17))</f>
        <v/>
      </c>
      <c r="BP401" s="97" t="str">
        <f aca="false">IF($BR401&lt;&gt;Constants!$B$8,"",Constants!$B$20+SUM($BK401:$BO401))</f>
        <v/>
      </c>
      <c r="BQ401" s="92" t="str">
        <f aca="false">IF(ISBLANK($C401),"",IF(ISBLANK($D$7),$BQ$5,IF(NOT(ISNUMBER($D$7)),$BQ$6,"")))</f>
        <v/>
      </c>
      <c r="BR401" s="92" t="str">
        <f aca="false">IF(ISBLANK($C401),"",IF($BA401,Constants!$B$11,IF(COUNTA($E401:$AA401)=0,Constants!$B$10,IF(NOT($AG401),Constants!$B$9,IF(OR($BQ401&lt;&gt;"",$BB401,$BJ401),Constants!$B$12,Constants!$B$8)))))</f>
        <v/>
      </c>
      <c r="BS401" s="92" t="str">
        <f aca="false">IF(ISBLANK($C401),"",IF($BR401&lt;&gt;Constants!$B$8,$BR401,Constants!$B$13))</f>
        <v/>
      </c>
      <c r="BT401" s="96" t="str">
        <f aca="false">IF($BR401&lt;&gt;Constants!$B$8,"",IF($BI401="-&gt;",$BP401,$BH401))</f>
        <v/>
      </c>
      <c r="BU401" s="96" t="str">
        <f aca="false">IF($BR401&lt;&gt;Constants!$B$8,"",IF($AF401,0,Constants!$B$18))</f>
        <v/>
      </c>
      <c r="BV401" s="96" t="str">
        <f aca="false">IF($BR401&lt;&gt;Constants!$B$8,"",((Constants!$B$31-$AZ401)-Constants!$B$31)/Constants!$B$32)</f>
        <v/>
      </c>
      <c r="BW401" s="96" t="str">
        <f aca="false">IF(ISBLANK($C401),"",IF($BR401&lt;&gt;Constants!$B$8,$BR401,SUM($BT401:$BV401)))</f>
        <v/>
      </c>
      <c r="BX401" s="92" t="str">
        <f aca="false">IF(ISBLANK($C401),"",IF($BR401&lt;&gt;Constants!$B$8,$BR401,RANK($BW401,$BW$9:$BW$508,1)))</f>
        <v/>
      </c>
      <c r="BY401" s="96" t="str">
        <f aca="false">IF($BR401&lt;&gt;Constants!$B$8,"",IF($BI401="-&gt;",$BK401,$BC401))</f>
        <v/>
      </c>
      <c r="BZ401" s="92" t="str">
        <f aca="false">IF(ISBLANK($C401),"",IF($BR401&lt;&gt;Constants!$B$8,$BR401,IF(ISNUMBER($BY401),RANK($BY401,$BY$9:$BY$508,1),COUNT($BY$9:$BY$508)+1)))</f>
        <v/>
      </c>
      <c r="CA401" s="96" t="str">
        <f aca="false">IF($BR401&lt;&gt;Constants!$B$8,"",IF($BI401="-&gt;",$BL401,$BD401))</f>
        <v/>
      </c>
      <c r="CB401" s="92" t="str">
        <f aca="false">IF(ISBLANK($C401),"",IF($BR401&lt;&gt;Constants!$B$8,$BR401,IF(ISNUMBER($CA401),RANK($CA401,$CA$9:$CA$508,1),COUNT($CA$9:$CA$508)+1)))</f>
        <v/>
      </c>
      <c r="CC401" s="96" t="str">
        <f aca="false">IF($BR401&lt;&gt;Constants!$B$8,"",IF($BI401="-&gt;",IF($AT401,$AV401,""),IF($AL401,$AN401,"")))</f>
        <v/>
      </c>
      <c r="CD401" s="92" t="str">
        <f aca="false">IF(ISBLANK($C401),"",IF($BR401&lt;&gt;Constants!$B$8,$BR401,IF(ISNUMBER($CC401),RANK($CC401,$CC$9:$CC$508,1),COUNT($CC$9:$CC$508)+1)))</f>
        <v/>
      </c>
      <c r="CE401" s="96" t="str">
        <f aca="false">IF($BR401&lt;&gt;Constants!$B$8,"",IF(AND(NOT($AL401),NOT($AT401),$AJ401,$AK401,$AR401,$AS401),"",$AI401))</f>
        <v/>
      </c>
      <c r="CF401" s="92" t="str">
        <f aca="false">IF(ISBLANK($C401),"",IF($BR401&lt;&gt;Constants!$B$8,$BR401,IF(ISNUMBER($CE401),RANK($CE401,$CE$9:$CE$508,1),COUNT($CE$9:$CE$508)+1)))</f>
        <v/>
      </c>
      <c r="CG401" s="92" t="str">
        <f aca="false">IF(ISBLANK($C401),"",IF($BR401&lt;&gt;Constants!$B$8,$BR401,COUNTIFS($BX$9:$BX$508,"&lt;"&amp;$BX401)+COUNTIFS($BX$9:$BX$508,$BX401,$BZ$9:$BZ$508,"&lt;"&amp;$BZ401)+COUNTIFS($BX$9:$BX$508,$BX401,$BZ$9:$BZ$508,$BZ401,$CB$9:$CB$508,"&lt;"&amp;$CB401)+COUNTIFS($BX$9:$BX$508,$BX401,$BZ$9:$BZ$508,$BZ401,$CB$9:$CB$508,$CB401,$CD$9:$CD$508,"&lt;"&amp;$CD401)+COUNTIFS($BX$9:$BX$508,$BX401,$BZ$9:$BZ$508,$BZ401,$CB$9:$CB$508,$CB401,$CD$9:$CD$508,$CD401,$CF$9:$CF$508,"&lt;"&amp;$CF401)+1))</f>
        <v/>
      </c>
      <c r="CH401" s="92" t="str">
        <f aca="false">IF(ISBLANK($C401),"",IF($BR401&lt;&gt;Constants!$B$8,$BR401,$BX401-$CG401))</f>
        <v/>
      </c>
      <c r="CI401" s="98"/>
      <c r="CJ401" s="99"/>
      <c r="CK401" s="100" t="str">
        <f aca="false">IF(ISBLANK($C401),"",IF($BR401=Constants!$B$12,$BQ401,""))</f>
        <v/>
      </c>
      <c r="CL401" s="99" t="str">
        <f aca="false">IF(ISBLANK($C401),"",IF($BR401&lt;&gt;Constants!$B$8,"",IF($BI401="-&gt;",2,1)))</f>
        <v/>
      </c>
      <c r="CM401" s="101" t="str">
        <f aca="false">IF(ISBLANK($C401),"",IF($BR401&lt;&gt;Constants!$B$8,"",IF($BI401="-&gt;",$BK401,$BC401)))</f>
        <v/>
      </c>
      <c r="CN401" s="101" t="str">
        <f aca="false">IF(ISBLANK($C401),"",IF($BR401&lt;&gt;Constants!$B$8,"",IF($BI401="-&gt;",$BL401,$BD401)))</f>
        <v/>
      </c>
      <c r="CO401" s="101" t="str">
        <f aca="false">IF(ISBLANK($C401),"",IF($BR401&lt;&gt;Constants!$B$8,"",IF($BI401="-&gt;",$BM401+$BN401,$BE401+$BF401)+$BV401))</f>
        <v/>
      </c>
      <c r="CP401" s="101" t="str">
        <f aca="false">IF(ISBLANK($C401),"",IF($BR401&lt;&gt;Constants!$B$8,"",IF($BI401="-&gt;",$BO401,$BG401)+$BU401))</f>
        <v/>
      </c>
      <c r="CQ401" s="102" t="str">
        <f aca="false">IF(ISBLANK($C401),"",IF($BR401&lt;&gt;Constants!$B$8,$BR401,$BW401))</f>
        <v/>
      </c>
      <c r="CR401" s="103" t="str">
        <f aca="false">IF(ISBLANK($C401),"",$BS401)</f>
        <v/>
      </c>
      <c r="CS401" s="104" t="str">
        <f aca="false">IF(ISBLANK($C401),"",$CH401)</f>
        <v/>
      </c>
      <c r="CT401" s="104" t="str">
        <f aca="false">IF(ISBLANK($C401),"",$CG401)</f>
        <v/>
      </c>
      <c r="CU401" s="105" t="str">
        <f aca="false">IF(ISBLANK($C401),"",IFERROR(_xlfn.SWITCH($CT401,Constants!$B$11,COUNTA($C$9:$C$508)+2,Constants!$B$10,COUNTA($C$9:$C$508)+1,Constants!$B$9,COUNTA($C$9:$C$508)),$CT401))</f>
        <v/>
      </c>
      <c r="CV401" s="9"/>
      <c r="CW401" s="106" t="n">
        <f aca="false">IF(OR(ISNUMBER($CT401),$CT401=Constants!$B$11,$CT401=Constants!$B$9,$CT401=Constants!$B$10),1,0)</f>
        <v>0</v>
      </c>
      <c r="CX401" s="106" t="n">
        <v>393</v>
      </c>
      <c r="CY401" s="106" t="str">
        <f aca="false">IF(ISBLANK($C401),"",IF(ISNUMBER($CU401),$CU401+ROW($B401)/1000,""))</f>
        <v/>
      </c>
      <c r="CZ401" s="106" t="str">
        <f aca="false">IF(ISNUMBER($CY401),RANK($CY401,$CY$9:$CY$508,1),"")</f>
        <v/>
      </c>
      <c r="DA401" s="106" t="str">
        <f aca="false">IF(ISBLANK($C401),"",$B401)</f>
        <v/>
      </c>
      <c r="DB401" s="106" t="str">
        <f aca="false">IF(ISBLANK($C401),"",$C401)</f>
        <v/>
      </c>
      <c r="DC401" s="106" t="str">
        <f aca="false">IF(ISBLANK($C401),"",$D401)</f>
        <v/>
      </c>
      <c r="DD401" s="107" t="str">
        <f aca="false">$CR401</f>
        <v/>
      </c>
      <c r="DE401" s="108" t="str">
        <f aca="false">$CQ401</f>
        <v/>
      </c>
      <c r="DF401" s="106" t="str">
        <f aca="false">IF(ISBLANK($C401),"",$CT401)</f>
        <v/>
      </c>
      <c r="DG401" s="109" t="str">
        <f aca="false">IF($CX401&gt;$CW$8,"",VLOOKUP($CX401,$CZ$9:$DF$508,7,FALSE()))</f>
        <v/>
      </c>
      <c r="DH401" s="110" t="str">
        <f aca="false">IF($CX401&gt;$CW$8,"",VLOOKUP($CX401,$CZ$9:$DF$508,2,FALSE()))</f>
        <v/>
      </c>
      <c r="DI401" s="110" t="str">
        <f aca="false">IF($CX401&gt;$CW$8,"",VLOOKUP($CX401,$CZ$9:$DF$508,3,FALSE()))</f>
        <v/>
      </c>
      <c r="DJ401" s="110" t="str">
        <f aca="false">IF($CX401&gt;$CW$8,"",VLOOKUP($CX401,$CZ$9:$DF$508,4,FALSE()))</f>
        <v/>
      </c>
      <c r="DK401" s="110" t="str">
        <f aca="false">IF($CX401&gt;$CW$8,"",VLOOKUP($CX401,$CZ$9:$DF$508,5,FALSE()))</f>
        <v/>
      </c>
      <c r="DL401" s="111" t="str">
        <f aca="false">IF($CX401&gt;$CW$8,"",VLOOKUP($CX401,$CZ$9:$DF$508,6,FALSE()))</f>
        <v/>
      </c>
      <c r="DM401" s="75"/>
    </row>
    <row r="402" customFormat="false" ht="15.75" hidden="false" customHeight="false" outlineLevel="0" collapsed="false">
      <c r="A402" s="9"/>
      <c r="B402" s="157"/>
      <c r="C402" s="158"/>
      <c r="D402" s="159"/>
      <c r="E402" s="177"/>
      <c r="F402" s="161"/>
      <c r="G402" s="162"/>
      <c r="H402" s="162"/>
      <c r="I402" s="178"/>
      <c r="J402" s="165"/>
      <c r="K402" s="126"/>
      <c r="L402" s="127"/>
      <c r="M402" s="128"/>
      <c r="N402" s="165"/>
      <c r="O402" s="165"/>
      <c r="P402" s="177"/>
      <c r="Q402" s="165"/>
      <c r="R402" s="165"/>
      <c r="S402" s="126"/>
      <c r="T402" s="128"/>
      <c r="U402" s="128"/>
      <c r="V402" s="165"/>
      <c r="W402" s="165"/>
      <c r="X402" s="177"/>
      <c r="Y402" s="165"/>
      <c r="Z402" s="166"/>
      <c r="AA402" s="165"/>
      <c r="AB402" s="132"/>
      <c r="AC402" s="133"/>
      <c r="AD402" s="133"/>
      <c r="AE402" s="133"/>
      <c r="AF402" s="133" t="str">
        <f aca="false">IF(ISBLANK($C402),"",IF(E402=Constants!$B$3,TRUE(),IF(E402=Constants!$B$4,FALSE(),TRUE())))</f>
        <v/>
      </c>
      <c r="AG402" s="133" t="str">
        <f aca="false">IF(ISBLANK($C402),"",IF(F402=Constants!$B$3,TRUE(),IF(F402=Constants!$B$4,FALSE(),TRUE())))</f>
        <v/>
      </c>
      <c r="AH402" s="133" t="str">
        <f aca="false">IF(ISBLANK($C402),"",IF(G402=Constants!$B$3,TRUE(),IF(G402=Constants!$B$4,FALSE(),TRUE())))</f>
        <v/>
      </c>
      <c r="AI402" s="133" t="str">
        <f aca="false">IF(ISBLANK($C402),"",IF(AND(ISNUMBER(H402),H402&gt;=0),H402,Constants!$B$29))</f>
        <v/>
      </c>
      <c r="AJ402" s="133" t="str">
        <f aca="false">IF(ISBLANK($C402),"",IF(I402=Constants!$B$3,TRUE(),IF(I402=Constants!$B$4,FALSE(),TRUE())))</f>
        <v/>
      </c>
      <c r="AK402" s="133" t="str">
        <f aca="false">IF(ISBLANK($C402),"",IF(J402=Constants!$B$3,TRUE(),IF(J402=Constants!$B$4,FALSE(),TRUE())))</f>
        <v/>
      </c>
      <c r="AL402" s="133" t="str">
        <f aca="false">IF(ISBLANK($C402),"",IF(K402=Constants!$B$5,TRUE(),IF(K402=Constants!$B$6,FALSE(),COUNTA(L402:P402)&gt;0)))</f>
        <v/>
      </c>
      <c r="AM402" s="134" t="str">
        <f aca="false">IF(ISBLANK($C402),"",IF(ISNUMBER(L402),IF(L402&gt;=0,L402,""),""))</f>
        <v/>
      </c>
      <c r="AN402" s="135" t="str">
        <f aca="false">IF(ISBLANK($C402),"",IF(ISNUMBER(M402),IF(M402&gt;=0,M402,""),""))</f>
        <v/>
      </c>
      <c r="AO402" s="135" t="str">
        <f aca="false">IF(ISBLANK($C402),"",IF(N402=Constants!$B$3,TRUE(),IF(N402=Constants!$B$4,FALSE(),TRUE())))</f>
        <v/>
      </c>
      <c r="AP402" s="133" t="str">
        <f aca="false">IF(ISBLANK($C402),"",IF(ISNUMBER(O402),IF(O402&gt;=0,O402,""),""))</f>
        <v/>
      </c>
      <c r="AQ402" s="133" t="str">
        <f aca="false">IF(ISBLANK($C402),"",IF(P402=Constants!$B$3,TRUE(),IF(P402=Constants!$B$4,FALSE(),FALSE())))</f>
        <v/>
      </c>
      <c r="AR402" s="133" t="str">
        <f aca="false">IF(ISBLANK($C402),"",IF(Q402=Constants!$B$3,TRUE(),IF(Q402=Constants!$B$4,FALSE(),TRUE())))</f>
        <v/>
      </c>
      <c r="AS402" s="133" t="str">
        <f aca="false">IF(ISBLANK($C402),"",IF(R402=Constants!$B$3,TRUE(),IF(R402=Constants!$B$4,FALSE(),TRUE())))</f>
        <v/>
      </c>
      <c r="AT402" s="133" t="str">
        <f aca="false">IF(ISBLANK($C402),"",IF(S402=Constants!$B$5,TRUE(),IF(S402=Constants!$B$6,FALSE(),COUNTA(T402:X402)&gt;0)))</f>
        <v/>
      </c>
      <c r="AU402" s="134" t="str">
        <f aca="false">IF(ISBLANK($C402),"",IF(ISNUMBER(T402),IF(T402&gt;=0,T402,""),""))</f>
        <v/>
      </c>
      <c r="AV402" s="135" t="str">
        <f aca="false">IF(ISBLANK($C402),"",IF(ISNUMBER(U402),IF(U402&gt;=0,U402,""),""))</f>
        <v/>
      </c>
      <c r="AW402" s="135" t="str">
        <f aca="false">IF(ISBLANK($C402),"",IF(V402=Constants!$B$3,TRUE(),IF(V402=Constants!$B$4,FALSE(),TRUE())))</f>
        <v/>
      </c>
      <c r="AX402" s="133" t="str">
        <f aca="false">IF(ISBLANK($C402),"",IF(ISNUMBER(W402),IF(W402&gt;=0,W402,""),""))</f>
        <v/>
      </c>
      <c r="AY402" s="133" t="str">
        <f aca="false">IF(ISBLANK($C402),"",IF(X402=Constants!$B$3,TRUE(),IF(X402=Constants!$B$4,FALSE(),FALSE())))</f>
        <v/>
      </c>
      <c r="AZ402" s="133" t="str">
        <f aca="false">IF(ISBLANK($C402),"",MIN(Constants!$B$31,MAX(0,IF(ISNUMBER(Y402),Y402*60,0)+IF(ISNUMBER(Z402),Z402,0))))</f>
        <v/>
      </c>
      <c r="BA402" s="133" t="str">
        <f aca="false">IF(ISBLANK($C402),"",IF(AA402=Constants!$B$3,TRUE(),IF(AA402=Constants!$B$4,FALSE(),FALSE())))</f>
        <v/>
      </c>
      <c r="BB402" s="132" t="str">
        <f aca="false">IF(ISBLANK($C402),"",AND($AL402,OR($AM402="",$AN402="",AND($AO402,$AP402=""))))</f>
        <v/>
      </c>
      <c r="BC402" s="135" t="str">
        <f aca="false">IF($BR402&lt;&gt;Constants!$B$8,"",IF($AL402,Constants!$B$21*$AN402+Constants!$B$22*IF($AO402,$AP402,Constants!$B$23),Constants!$B$24))</f>
        <v/>
      </c>
      <c r="BD402" s="136" t="str">
        <f aca="false">IF($BR402&lt;&gt;Constants!$B$8,"",Constants!$B$25*ABS($AD$9-IF($AL402,$AM402,0)))</f>
        <v/>
      </c>
      <c r="BE402" s="136" t="str">
        <f aca="false">IF($BR402&lt;&gt;Constants!$B$8,"",IF(AND($AL402,$AQ402,$AO402),Constants!$B$27,0))</f>
        <v/>
      </c>
      <c r="BF402" s="136" t="str">
        <f aca="false">IF($BR402&lt;&gt;Constants!$B$8,"",IF($AL402,($AI402-Constants!$B$29)*Constants!$B$28,0))</f>
        <v/>
      </c>
      <c r="BG402" s="136" t="str">
        <f aca="false">IF($BR402&lt;&gt;Constants!$B$8,"",IF($AK402,0,Constants!$B$15)+IF($AJ402,0,Constants!$B$16)+IF($AH402,0,Constants!$B$17))</f>
        <v/>
      </c>
      <c r="BH402" s="137" t="str">
        <f aca="false">IF($BR402&lt;&gt;Constants!$B$8,"",Constants!$B$20+SUM($BC402:$BG402))</f>
        <v/>
      </c>
      <c r="BI402" s="133" t="str">
        <f aca="false">IF($BR402&lt;&gt;Constants!$B$8,"",IF(OR($BP402&lt;$BH402,AND($BP402=$BH402,OR($BK402&lt;$BC402,AND($BK402=$BC402,OR($BL402&lt;$BD402,AND($BL402=$BD402,$AT402,$AL402,$AV402&lt;$AN402)))))),"-&gt;","&lt;-"))</f>
        <v/>
      </c>
      <c r="BJ402" s="132" t="str">
        <f aca="false">IF(ISBLANK($C402),"",AND($AT402,OR($AU402="",$AV402="",AND($AW402,$AX402=""))))</f>
        <v/>
      </c>
      <c r="BK402" s="135" t="str">
        <f aca="false">IF($BR402&lt;&gt;Constants!$B$8,"",IF($AT402,Constants!$B$21*$AV402+Constants!$B$22*IF($AW402,$AX402,Constants!$B$23),Constants!$B$24))</f>
        <v/>
      </c>
      <c r="BL402" s="136" t="str">
        <f aca="false">IF($BR402&lt;&gt;Constants!$B$8,"",Constants!$B$25*ABS($AD$9-IF($AT402,$AU402,0)))</f>
        <v/>
      </c>
      <c r="BM402" s="136" t="str">
        <f aca="false">IF($BR402&lt;&gt;Constants!$B$8,"",IF(AND($AT402,$AY402,$AW402),Constants!$B$27,0))</f>
        <v/>
      </c>
      <c r="BN402" s="136" t="str">
        <f aca="false">IF($BR402&lt;&gt;Constants!$B$8,"",IF($AT402,($AI402-Constants!$B$29)*Constants!$B$28,0))</f>
        <v/>
      </c>
      <c r="BO402" s="136" t="str">
        <f aca="false">IF($BR402&lt;&gt;Constants!$B$8,"",IF($AS402,0,Constants!$B$15)+IF($AR402,0,Constants!$B$16)+IF($AH402,0,Constants!$B$17))</f>
        <v/>
      </c>
      <c r="BP402" s="137" t="str">
        <f aca="false">IF($BR402&lt;&gt;Constants!$B$8,"",Constants!$B$20+SUM($BK402:$BO402))</f>
        <v/>
      </c>
      <c r="BQ402" s="133" t="str">
        <f aca="false">IF(ISBLANK($C402),"",IF(ISBLANK($D$7),$BQ$5,IF(NOT(ISNUMBER($D$7)),$BQ$6,"")))</f>
        <v/>
      </c>
      <c r="BR402" s="133" t="str">
        <f aca="false">IF(ISBLANK($C402),"",IF($BA402,Constants!$B$11,IF(COUNTA($E402:$AA402)=0,Constants!$B$10,IF(NOT($AG402),Constants!$B$9,IF(OR($BQ402&lt;&gt;"",$BB402,$BJ402),Constants!$B$12,Constants!$B$8)))))</f>
        <v/>
      </c>
      <c r="BS402" s="133" t="str">
        <f aca="false">IF(ISBLANK($C402),"",IF($BR402&lt;&gt;Constants!$B$8,$BR402,Constants!$B$13))</f>
        <v/>
      </c>
      <c r="BT402" s="136" t="str">
        <f aca="false">IF($BR402&lt;&gt;Constants!$B$8,"",IF($BI402="-&gt;",$BP402,$BH402))</f>
        <v/>
      </c>
      <c r="BU402" s="136" t="str">
        <f aca="false">IF($BR402&lt;&gt;Constants!$B$8,"",IF($AF402,0,Constants!$B$18))</f>
        <v/>
      </c>
      <c r="BV402" s="136" t="str">
        <f aca="false">IF($BR402&lt;&gt;Constants!$B$8,"",((Constants!$B$31-$AZ402)-Constants!$B$31)/Constants!$B$32)</f>
        <v/>
      </c>
      <c r="BW402" s="136" t="str">
        <f aca="false">IF(ISBLANK($C402),"",IF($BR402&lt;&gt;Constants!$B$8,$BR402,SUM($BT402:$BV402)))</f>
        <v/>
      </c>
      <c r="BX402" s="133" t="str">
        <f aca="false">IF(ISBLANK($C402),"",IF($BR402&lt;&gt;Constants!$B$8,$BR402,RANK($BW402,$BW$9:$BW$508,1)))</f>
        <v/>
      </c>
      <c r="BY402" s="136" t="str">
        <f aca="false">IF($BR402&lt;&gt;Constants!$B$8,"",IF($BI402="-&gt;",$BK402,$BC402))</f>
        <v/>
      </c>
      <c r="BZ402" s="133" t="str">
        <f aca="false">IF(ISBLANK($C402),"",IF($BR402&lt;&gt;Constants!$B$8,$BR402,IF(ISNUMBER($BY402),RANK($BY402,$BY$9:$BY$508,1),COUNT($BY$9:$BY$508)+1)))</f>
        <v/>
      </c>
      <c r="CA402" s="136" t="str">
        <f aca="false">IF($BR402&lt;&gt;Constants!$B$8,"",IF($BI402="-&gt;",$BL402,$BD402))</f>
        <v/>
      </c>
      <c r="CB402" s="133" t="str">
        <f aca="false">IF(ISBLANK($C402),"",IF($BR402&lt;&gt;Constants!$B$8,$BR402,IF(ISNUMBER($CA402),RANK($CA402,$CA$9:$CA$508,1),COUNT($CA$9:$CA$508)+1)))</f>
        <v/>
      </c>
      <c r="CC402" s="136" t="str">
        <f aca="false">IF($BR402&lt;&gt;Constants!$B$8,"",IF($BI402="-&gt;",IF($AT402,$AV402,""),IF($AL402,$AN402,"")))</f>
        <v/>
      </c>
      <c r="CD402" s="133" t="str">
        <f aca="false">IF(ISBLANK($C402),"",IF($BR402&lt;&gt;Constants!$B$8,$BR402,IF(ISNUMBER($CC402),RANK($CC402,$CC$9:$CC$508,1),COUNT($CC$9:$CC$508)+1)))</f>
        <v/>
      </c>
      <c r="CE402" s="136" t="str">
        <f aca="false">IF($BR402&lt;&gt;Constants!$B$8,"",IF(AND(NOT($AL402),NOT($AT402),$AJ402,$AK402,$AR402,$AS402),"",$AI402))</f>
        <v/>
      </c>
      <c r="CF402" s="133" t="str">
        <f aca="false">IF(ISBLANK($C402),"",IF($BR402&lt;&gt;Constants!$B$8,$BR402,IF(ISNUMBER($CE402),RANK($CE402,$CE$9:$CE$508,1),COUNT($CE$9:$CE$508)+1)))</f>
        <v/>
      </c>
      <c r="CG402" s="133" t="str">
        <f aca="false">IF(ISBLANK($C402),"",IF($BR402&lt;&gt;Constants!$B$8,$BR402,COUNTIFS($BX$9:$BX$508,"&lt;"&amp;$BX402)+COUNTIFS($BX$9:$BX$508,$BX402,$BZ$9:$BZ$508,"&lt;"&amp;$BZ402)+COUNTIFS($BX$9:$BX$508,$BX402,$BZ$9:$BZ$508,$BZ402,$CB$9:$CB$508,"&lt;"&amp;$CB402)+COUNTIFS($BX$9:$BX$508,$BX402,$BZ$9:$BZ$508,$BZ402,$CB$9:$CB$508,$CB402,$CD$9:$CD$508,"&lt;"&amp;$CD402)+COUNTIFS($BX$9:$BX$508,$BX402,$BZ$9:$BZ$508,$BZ402,$CB$9:$CB$508,$CB402,$CD$9:$CD$508,$CD402,$CF$9:$CF$508,"&lt;"&amp;$CF402)+1))</f>
        <v/>
      </c>
      <c r="CH402" s="133" t="str">
        <f aca="false">IF(ISBLANK($C402),"",IF($BR402&lt;&gt;Constants!$B$8,$BR402,$BX402-$CG402))</f>
        <v/>
      </c>
      <c r="CI402" s="138"/>
      <c r="CJ402" s="139"/>
      <c r="CK402" s="140" t="str">
        <f aca="false">IF(ISBLANK($C402),"",IF($BR402=Constants!$B$12,$BQ402,""))</f>
        <v/>
      </c>
      <c r="CL402" s="139" t="str">
        <f aca="false">IF(ISBLANK($C402),"",IF($BR402&lt;&gt;Constants!$B$8,"",IF($BI402="-&gt;",2,1)))</f>
        <v/>
      </c>
      <c r="CM402" s="141" t="str">
        <f aca="false">IF(ISBLANK($C402),"",IF($BR402&lt;&gt;Constants!$B$8,"",IF($BI402="-&gt;",$BK402,$BC402)))</f>
        <v/>
      </c>
      <c r="CN402" s="141" t="str">
        <f aca="false">IF(ISBLANK($C402),"",IF($BR402&lt;&gt;Constants!$B$8,"",IF($BI402="-&gt;",$BL402,$BD402)))</f>
        <v/>
      </c>
      <c r="CO402" s="141" t="str">
        <f aca="false">IF(ISBLANK($C402),"",IF($BR402&lt;&gt;Constants!$B$8,"",IF($BI402="-&gt;",$BM402+$BN402,$BE402+$BF402)+$BV402))</f>
        <v/>
      </c>
      <c r="CP402" s="141" t="str">
        <f aca="false">IF(ISBLANK($C402),"",IF($BR402&lt;&gt;Constants!$B$8,"",IF($BI402="-&gt;",$BO402,$BG402)+$BU402))</f>
        <v/>
      </c>
      <c r="CQ402" s="142" t="str">
        <f aca="false">IF(ISBLANK($C402),"",IF($BR402&lt;&gt;Constants!$B$8,$BR402,$BW402))</f>
        <v/>
      </c>
      <c r="CR402" s="143" t="str">
        <f aca="false">IF(ISBLANK($C402),"",$BS402)</f>
        <v/>
      </c>
      <c r="CS402" s="144" t="str">
        <f aca="false">IF(ISBLANK($C402),"",$CH402)</f>
        <v/>
      </c>
      <c r="CT402" s="144" t="str">
        <f aca="false">IF(ISBLANK($C402),"",$CG402)</f>
        <v/>
      </c>
      <c r="CU402" s="145" t="str">
        <f aca="false">IF(ISBLANK($C402),"",IFERROR(_xlfn.SWITCH($CT402,Constants!$B$11,COUNTA($C$9:$C$508)+2,Constants!$B$10,COUNTA($C$9:$C$508)+1,Constants!$B$9,COUNTA($C$9:$C$508)),$CT402))</f>
        <v/>
      </c>
      <c r="CV402" s="9"/>
      <c r="CW402" s="146" t="n">
        <f aca="false">IF(OR(ISNUMBER($CT402),$CT402=Constants!$B$11,$CT402=Constants!$B$9,$CT402=Constants!$B$10),1,0)</f>
        <v>0</v>
      </c>
      <c r="CX402" s="146" t="n">
        <v>394</v>
      </c>
      <c r="CY402" s="146" t="str">
        <f aca="false">IF(ISBLANK($C402),"",IF(ISNUMBER($CU402),$CU402+ROW($B402)/1000,""))</f>
        <v/>
      </c>
      <c r="CZ402" s="146" t="str">
        <f aca="false">IF(ISNUMBER($CY402),RANK($CY402,$CY$9:$CY$508,1),"")</f>
        <v/>
      </c>
      <c r="DA402" s="146" t="str">
        <f aca="false">IF(ISBLANK($C402),"",$B402)</f>
        <v/>
      </c>
      <c r="DB402" s="146" t="str">
        <f aca="false">IF(ISBLANK($C402),"",$C402)</f>
        <v/>
      </c>
      <c r="DC402" s="146" t="str">
        <f aca="false">IF(ISBLANK($C402),"",$D402)</f>
        <v/>
      </c>
      <c r="DD402" s="147" t="str">
        <f aca="false">$CR402</f>
        <v/>
      </c>
      <c r="DE402" s="148" t="str">
        <f aca="false">$CQ402</f>
        <v/>
      </c>
      <c r="DF402" s="146" t="str">
        <f aca="false">IF(ISBLANK($C402),"",$CT402)</f>
        <v/>
      </c>
      <c r="DG402" s="149" t="str">
        <f aca="false">IF($CX402&gt;$CW$8,"",VLOOKUP($CX402,$CZ$9:$DF$508,7,FALSE()))</f>
        <v/>
      </c>
      <c r="DH402" s="150" t="str">
        <f aca="false">IF($CX402&gt;$CW$8,"",VLOOKUP($CX402,$CZ$9:$DF$508,2,FALSE()))</f>
        <v/>
      </c>
      <c r="DI402" s="150" t="str">
        <f aca="false">IF($CX402&gt;$CW$8,"",VLOOKUP($CX402,$CZ$9:$DF$508,3,FALSE()))</f>
        <v/>
      </c>
      <c r="DJ402" s="150" t="str">
        <f aca="false">IF($CX402&gt;$CW$8,"",VLOOKUP($CX402,$CZ$9:$DF$508,4,FALSE()))</f>
        <v/>
      </c>
      <c r="DK402" s="150" t="str">
        <f aca="false">IF($CX402&gt;$CW$8,"",VLOOKUP($CX402,$CZ$9:$DF$508,5,FALSE()))</f>
        <v/>
      </c>
      <c r="DL402" s="151" t="str">
        <f aca="false">IF($CX402&gt;$CW$8,"",VLOOKUP($CX402,$CZ$9:$DF$508,6,FALSE()))</f>
        <v/>
      </c>
      <c r="DM402" s="75"/>
    </row>
    <row r="403" customFormat="false" ht="15.75" hidden="false" customHeight="false" outlineLevel="0" collapsed="false">
      <c r="A403" s="9"/>
      <c r="B403" s="157"/>
      <c r="C403" s="158"/>
      <c r="D403" s="159"/>
      <c r="E403" s="177"/>
      <c r="F403" s="161"/>
      <c r="G403" s="162"/>
      <c r="H403" s="162"/>
      <c r="I403" s="178"/>
      <c r="J403" s="165"/>
      <c r="K403" s="126"/>
      <c r="L403" s="127"/>
      <c r="M403" s="128"/>
      <c r="N403" s="165"/>
      <c r="O403" s="165"/>
      <c r="P403" s="177"/>
      <c r="Q403" s="165"/>
      <c r="R403" s="165"/>
      <c r="S403" s="126"/>
      <c r="T403" s="128"/>
      <c r="U403" s="128"/>
      <c r="V403" s="165"/>
      <c r="W403" s="165"/>
      <c r="X403" s="177"/>
      <c r="Y403" s="165"/>
      <c r="Z403" s="166"/>
      <c r="AA403" s="165"/>
      <c r="AB403" s="132"/>
      <c r="AC403" s="133"/>
      <c r="AD403" s="133"/>
      <c r="AE403" s="133"/>
      <c r="AF403" s="133" t="str">
        <f aca="false">IF(ISBLANK($C403),"",IF(E403=Constants!$B$3,TRUE(),IF(E403=Constants!$B$4,FALSE(),TRUE())))</f>
        <v/>
      </c>
      <c r="AG403" s="133" t="str">
        <f aca="false">IF(ISBLANK($C403),"",IF(F403=Constants!$B$3,TRUE(),IF(F403=Constants!$B$4,FALSE(),TRUE())))</f>
        <v/>
      </c>
      <c r="AH403" s="133" t="str">
        <f aca="false">IF(ISBLANK($C403),"",IF(G403=Constants!$B$3,TRUE(),IF(G403=Constants!$B$4,FALSE(),TRUE())))</f>
        <v/>
      </c>
      <c r="AI403" s="133" t="str">
        <f aca="false">IF(ISBLANK($C403),"",IF(AND(ISNUMBER(H403),H403&gt;=0),H403,Constants!$B$29))</f>
        <v/>
      </c>
      <c r="AJ403" s="133" t="str">
        <f aca="false">IF(ISBLANK($C403),"",IF(I403=Constants!$B$3,TRUE(),IF(I403=Constants!$B$4,FALSE(),TRUE())))</f>
        <v/>
      </c>
      <c r="AK403" s="133" t="str">
        <f aca="false">IF(ISBLANK($C403),"",IF(J403=Constants!$B$3,TRUE(),IF(J403=Constants!$B$4,FALSE(),TRUE())))</f>
        <v/>
      </c>
      <c r="AL403" s="133" t="str">
        <f aca="false">IF(ISBLANK($C403),"",IF(K403=Constants!$B$5,TRUE(),IF(K403=Constants!$B$6,FALSE(),COUNTA(L403:P403)&gt;0)))</f>
        <v/>
      </c>
      <c r="AM403" s="134" t="str">
        <f aca="false">IF(ISBLANK($C403),"",IF(ISNUMBER(L403),IF(L403&gt;=0,L403,""),""))</f>
        <v/>
      </c>
      <c r="AN403" s="135" t="str">
        <f aca="false">IF(ISBLANK($C403),"",IF(ISNUMBER(M403),IF(M403&gt;=0,M403,""),""))</f>
        <v/>
      </c>
      <c r="AO403" s="135" t="str">
        <f aca="false">IF(ISBLANK($C403),"",IF(N403=Constants!$B$3,TRUE(),IF(N403=Constants!$B$4,FALSE(),TRUE())))</f>
        <v/>
      </c>
      <c r="AP403" s="133" t="str">
        <f aca="false">IF(ISBLANK($C403),"",IF(ISNUMBER(O403),IF(O403&gt;=0,O403,""),""))</f>
        <v/>
      </c>
      <c r="AQ403" s="133" t="str">
        <f aca="false">IF(ISBLANK($C403),"",IF(P403=Constants!$B$3,TRUE(),IF(P403=Constants!$B$4,FALSE(),FALSE())))</f>
        <v/>
      </c>
      <c r="AR403" s="133" t="str">
        <f aca="false">IF(ISBLANK($C403),"",IF(Q403=Constants!$B$3,TRUE(),IF(Q403=Constants!$B$4,FALSE(),TRUE())))</f>
        <v/>
      </c>
      <c r="AS403" s="133" t="str">
        <f aca="false">IF(ISBLANK($C403),"",IF(R403=Constants!$B$3,TRUE(),IF(R403=Constants!$B$4,FALSE(),TRUE())))</f>
        <v/>
      </c>
      <c r="AT403" s="133" t="str">
        <f aca="false">IF(ISBLANK($C403),"",IF(S403=Constants!$B$5,TRUE(),IF(S403=Constants!$B$6,FALSE(),COUNTA(T403:X403)&gt;0)))</f>
        <v/>
      </c>
      <c r="AU403" s="134" t="str">
        <f aca="false">IF(ISBLANK($C403),"",IF(ISNUMBER(T403),IF(T403&gt;=0,T403,""),""))</f>
        <v/>
      </c>
      <c r="AV403" s="135" t="str">
        <f aca="false">IF(ISBLANK($C403),"",IF(ISNUMBER(U403),IF(U403&gt;=0,U403,""),""))</f>
        <v/>
      </c>
      <c r="AW403" s="135" t="str">
        <f aca="false">IF(ISBLANK($C403),"",IF(V403=Constants!$B$3,TRUE(),IF(V403=Constants!$B$4,FALSE(),TRUE())))</f>
        <v/>
      </c>
      <c r="AX403" s="133" t="str">
        <f aca="false">IF(ISBLANK($C403),"",IF(ISNUMBER(W403),IF(W403&gt;=0,W403,""),""))</f>
        <v/>
      </c>
      <c r="AY403" s="133" t="str">
        <f aca="false">IF(ISBLANK($C403),"",IF(X403=Constants!$B$3,TRUE(),IF(X403=Constants!$B$4,FALSE(),FALSE())))</f>
        <v/>
      </c>
      <c r="AZ403" s="133" t="str">
        <f aca="false">IF(ISBLANK($C403),"",MIN(Constants!$B$31,MAX(0,IF(ISNUMBER(Y403),Y403*60,0)+IF(ISNUMBER(Z403),Z403,0))))</f>
        <v/>
      </c>
      <c r="BA403" s="133" t="str">
        <f aca="false">IF(ISBLANK($C403),"",IF(AA403=Constants!$B$3,TRUE(),IF(AA403=Constants!$B$4,FALSE(),FALSE())))</f>
        <v/>
      </c>
      <c r="BB403" s="132" t="str">
        <f aca="false">IF(ISBLANK($C403),"",AND($AL403,OR($AM403="",$AN403="",AND($AO403,$AP403=""))))</f>
        <v/>
      </c>
      <c r="BC403" s="135" t="str">
        <f aca="false">IF($BR403&lt;&gt;Constants!$B$8,"",IF($AL403,Constants!$B$21*$AN403+Constants!$B$22*IF($AO403,$AP403,Constants!$B$23),Constants!$B$24))</f>
        <v/>
      </c>
      <c r="BD403" s="136" t="str">
        <f aca="false">IF($BR403&lt;&gt;Constants!$B$8,"",Constants!$B$25*ABS($AD$9-IF($AL403,$AM403,0)))</f>
        <v/>
      </c>
      <c r="BE403" s="136" t="str">
        <f aca="false">IF($BR403&lt;&gt;Constants!$B$8,"",IF(AND($AL403,$AQ403,$AO403),Constants!$B$27,0))</f>
        <v/>
      </c>
      <c r="BF403" s="136" t="str">
        <f aca="false">IF($BR403&lt;&gt;Constants!$B$8,"",IF($AL403,($AI403-Constants!$B$29)*Constants!$B$28,0))</f>
        <v/>
      </c>
      <c r="BG403" s="136" t="str">
        <f aca="false">IF($BR403&lt;&gt;Constants!$B$8,"",IF($AK403,0,Constants!$B$15)+IF($AJ403,0,Constants!$B$16)+IF($AH403,0,Constants!$B$17))</f>
        <v/>
      </c>
      <c r="BH403" s="137" t="str">
        <f aca="false">IF($BR403&lt;&gt;Constants!$B$8,"",Constants!$B$20+SUM($BC403:$BG403))</f>
        <v/>
      </c>
      <c r="BI403" s="133" t="str">
        <f aca="false">IF($BR403&lt;&gt;Constants!$B$8,"",IF(OR($BP403&lt;$BH403,AND($BP403=$BH403,OR($BK403&lt;$BC403,AND($BK403=$BC403,OR($BL403&lt;$BD403,AND($BL403=$BD403,$AT403,$AL403,$AV403&lt;$AN403)))))),"-&gt;","&lt;-"))</f>
        <v/>
      </c>
      <c r="BJ403" s="132" t="str">
        <f aca="false">IF(ISBLANK($C403),"",AND($AT403,OR($AU403="",$AV403="",AND($AW403,$AX403=""))))</f>
        <v/>
      </c>
      <c r="BK403" s="135" t="str">
        <f aca="false">IF($BR403&lt;&gt;Constants!$B$8,"",IF($AT403,Constants!$B$21*$AV403+Constants!$B$22*IF($AW403,$AX403,Constants!$B$23),Constants!$B$24))</f>
        <v/>
      </c>
      <c r="BL403" s="136" t="str">
        <f aca="false">IF($BR403&lt;&gt;Constants!$B$8,"",Constants!$B$25*ABS($AD$9-IF($AT403,$AU403,0)))</f>
        <v/>
      </c>
      <c r="BM403" s="136" t="str">
        <f aca="false">IF($BR403&lt;&gt;Constants!$B$8,"",IF(AND($AT403,$AY403,$AW403),Constants!$B$27,0))</f>
        <v/>
      </c>
      <c r="BN403" s="136" t="str">
        <f aca="false">IF($BR403&lt;&gt;Constants!$B$8,"",IF($AT403,($AI403-Constants!$B$29)*Constants!$B$28,0))</f>
        <v/>
      </c>
      <c r="BO403" s="136" t="str">
        <f aca="false">IF($BR403&lt;&gt;Constants!$B$8,"",IF($AS403,0,Constants!$B$15)+IF($AR403,0,Constants!$B$16)+IF($AH403,0,Constants!$B$17))</f>
        <v/>
      </c>
      <c r="BP403" s="137" t="str">
        <f aca="false">IF($BR403&lt;&gt;Constants!$B$8,"",Constants!$B$20+SUM($BK403:$BO403))</f>
        <v/>
      </c>
      <c r="BQ403" s="133" t="str">
        <f aca="false">IF(ISBLANK($C403),"",IF(ISBLANK($D$7),$BQ$5,IF(NOT(ISNUMBER($D$7)),$BQ$6,"")))</f>
        <v/>
      </c>
      <c r="BR403" s="133" t="str">
        <f aca="false">IF(ISBLANK($C403),"",IF($BA403,Constants!$B$11,IF(COUNTA($E403:$AA403)=0,Constants!$B$10,IF(NOT($AG403),Constants!$B$9,IF(OR($BQ403&lt;&gt;"",$BB403,$BJ403),Constants!$B$12,Constants!$B$8)))))</f>
        <v/>
      </c>
      <c r="BS403" s="133" t="str">
        <f aca="false">IF(ISBLANK($C403),"",IF($BR403&lt;&gt;Constants!$B$8,$BR403,Constants!$B$13))</f>
        <v/>
      </c>
      <c r="BT403" s="136" t="str">
        <f aca="false">IF($BR403&lt;&gt;Constants!$B$8,"",IF($BI403="-&gt;",$BP403,$BH403))</f>
        <v/>
      </c>
      <c r="BU403" s="136" t="str">
        <f aca="false">IF($BR403&lt;&gt;Constants!$B$8,"",IF($AF403,0,Constants!$B$18))</f>
        <v/>
      </c>
      <c r="BV403" s="136" t="str">
        <f aca="false">IF($BR403&lt;&gt;Constants!$B$8,"",((Constants!$B$31-$AZ403)-Constants!$B$31)/Constants!$B$32)</f>
        <v/>
      </c>
      <c r="BW403" s="136" t="str">
        <f aca="false">IF(ISBLANK($C403),"",IF($BR403&lt;&gt;Constants!$B$8,$BR403,SUM($BT403:$BV403)))</f>
        <v/>
      </c>
      <c r="BX403" s="133" t="str">
        <f aca="false">IF(ISBLANK($C403),"",IF($BR403&lt;&gt;Constants!$B$8,$BR403,RANK($BW403,$BW$9:$BW$508,1)))</f>
        <v/>
      </c>
      <c r="BY403" s="136" t="str">
        <f aca="false">IF($BR403&lt;&gt;Constants!$B$8,"",IF($BI403="-&gt;",$BK403,$BC403))</f>
        <v/>
      </c>
      <c r="BZ403" s="133" t="str">
        <f aca="false">IF(ISBLANK($C403),"",IF($BR403&lt;&gt;Constants!$B$8,$BR403,IF(ISNUMBER($BY403),RANK($BY403,$BY$9:$BY$508,1),COUNT($BY$9:$BY$508)+1)))</f>
        <v/>
      </c>
      <c r="CA403" s="136" t="str">
        <f aca="false">IF($BR403&lt;&gt;Constants!$B$8,"",IF($BI403="-&gt;",$BL403,$BD403))</f>
        <v/>
      </c>
      <c r="CB403" s="133" t="str">
        <f aca="false">IF(ISBLANK($C403),"",IF($BR403&lt;&gt;Constants!$B$8,$BR403,IF(ISNUMBER($CA403),RANK($CA403,$CA$9:$CA$508,1),COUNT($CA$9:$CA$508)+1)))</f>
        <v/>
      </c>
      <c r="CC403" s="136" t="str">
        <f aca="false">IF($BR403&lt;&gt;Constants!$B$8,"",IF($BI403="-&gt;",IF($AT403,$AV403,""),IF($AL403,$AN403,"")))</f>
        <v/>
      </c>
      <c r="CD403" s="133" t="str">
        <f aca="false">IF(ISBLANK($C403),"",IF($BR403&lt;&gt;Constants!$B$8,$BR403,IF(ISNUMBER($CC403),RANK($CC403,$CC$9:$CC$508,1),COUNT($CC$9:$CC$508)+1)))</f>
        <v/>
      </c>
      <c r="CE403" s="136" t="str">
        <f aca="false">IF($BR403&lt;&gt;Constants!$B$8,"",IF(AND(NOT($AL403),NOT($AT403),$AJ403,$AK403,$AR403,$AS403),"",$AI403))</f>
        <v/>
      </c>
      <c r="CF403" s="133" t="str">
        <f aca="false">IF(ISBLANK($C403),"",IF($BR403&lt;&gt;Constants!$B$8,$BR403,IF(ISNUMBER($CE403),RANK($CE403,$CE$9:$CE$508,1),COUNT($CE$9:$CE$508)+1)))</f>
        <v/>
      </c>
      <c r="CG403" s="133" t="str">
        <f aca="false">IF(ISBLANK($C403),"",IF($BR403&lt;&gt;Constants!$B$8,$BR403,COUNTIFS($BX$9:$BX$508,"&lt;"&amp;$BX403)+COUNTIFS($BX$9:$BX$508,$BX403,$BZ$9:$BZ$508,"&lt;"&amp;$BZ403)+COUNTIFS($BX$9:$BX$508,$BX403,$BZ$9:$BZ$508,$BZ403,$CB$9:$CB$508,"&lt;"&amp;$CB403)+COUNTIFS($BX$9:$BX$508,$BX403,$BZ$9:$BZ$508,$BZ403,$CB$9:$CB$508,$CB403,$CD$9:$CD$508,"&lt;"&amp;$CD403)+COUNTIFS($BX$9:$BX$508,$BX403,$BZ$9:$BZ$508,$BZ403,$CB$9:$CB$508,$CB403,$CD$9:$CD$508,$CD403,$CF$9:$CF$508,"&lt;"&amp;$CF403)+1))</f>
        <v/>
      </c>
      <c r="CH403" s="133" t="str">
        <f aca="false">IF(ISBLANK($C403),"",IF($BR403&lt;&gt;Constants!$B$8,$BR403,$BX403-$CG403))</f>
        <v/>
      </c>
      <c r="CI403" s="138"/>
      <c r="CJ403" s="139"/>
      <c r="CK403" s="140" t="str">
        <f aca="false">IF(ISBLANK($C403),"",IF($BR403=Constants!$B$12,$BQ403,""))</f>
        <v/>
      </c>
      <c r="CL403" s="139" t="str">
        <f aca="false">IF(ISBLANK($C403),"",IF($BR403&lt;&gt;Constants!$B$8,"",IF($BI403="-&gt;",2,1)))</f>
        <v/>
      </c>
      <c r="CM403" s="141" t="str">
        <f aca="false">IF(ISBLANK($C403),"",IF($BR403&lt;&gt;Constants!$B$8,"",IF($BI403="-&gt;",$BK403,$BC403)))</f>
        <v/>
      </c>
      <c r="CN403" s="141" t="str">
        <f aca="false">IF(ISBLANK($C403),"",IF($BR403&lt;&gt;Constants!$B$8,"",IF($BI403="-&gt;",$BL403,$BD403)))</f>
        <v/>
      </c>
      <c r="CO403" s="141" t="str">
        <f aca="false">IF(ISBLANK($C403),"",IF($BR403&lt;&gt;Constants!$B$8,"",IF($BI403="-&gt;",$BM403+$BN403,$BE403+$BF403)+$BV403))</f>
        <v/>
      </c>
      <c r="CP403" s="141" t="str">
        <f aca="false">IF(ISBLANK($C403),"",IF($BR403&lt;&gt;Constants!$B$8,"",IF($BI403="-&gt;",$BO403,$BG403)+$BU403))</f>
        <v/>
      </c>
      <c r="CQ403" s="142" t="str">
        <f aca="false">IF(ISBLANK($C403),"",IF($BR403&lt;&gt;Constants!$B$8,$BR403,$BW403))</f>
        <v/>
      </c>
      <c r="CR403" s="143" t="str">
        <f aca="false">IF(ISBLANK($C403),"",$BS403)</f>
        <v/>
      </c>
      <c r="CS403" s="144" t="str">
        <f aca="false">IF(ISBLANK($C403),"",$CH403)</f>
        <v/>
      </c>
      <c r="CT403" s="144" t="str">
        <f aca="false">IF(ISBLANK($C403),"",$CG403)</f>
        <v/>
      </c>
      <c r="CU403" s="145" t="str">
        <f aca="false">IF(ISBLANK($C403),"",IFERROR(_xlfn.SWITCH($CT403,Constants!$B$11,COUNTA($C$9:$C$508)+2,Constants!$B$10,COUNTA($C$9:$C$508)+1,Constants!$B$9,COUNTA($C$9:$C$508)),$CT403))</f>
        <v/>
      </c>
      <c r="CV403" s="9"/>
      <c r="CW403" s="146" t="n">
        <f aca="false">IF(OR(ISNUMBER($CT403),$CT403=Constants!$B$11,$CT403=Constants!$B$9,$CT403=Constants!$B$10),1,0)</f>
        <v>0</v>
      </c>
      <c r="CX403" s="146" t="n">
        <v>395</v>
      </c>
      <c r="CY403" s="146" t="str">
        <f aca="false">IF(ISBLANK($C403),"",IF(ISNUMBER($CU403),$CU403+ROW($B403)/1000,""))</f>
        <v/>
      </c>
      <c r="CZ403" s="146" t="str">
        <f aca="false">IF(ISNUMBER($CY403),RANK($CY403,$CY$9:$CY$508,1),"")</f>
        <v/>
      </c>
      <c r="DA403" s="146" t="str">
        <f aca="false">IF(ISBLANK($C403),"",$B403)</f>
        <v/>
      </c>
      <c r="DB403" s="146" t="str">
        <f aca="false">IF(ISBLANK($C403),"",$C403)</f>
        <v/>
      </c>
      <c r="DC403" s="146" t="str">
        <f aca="false">IF(ISBLANK($C403),"",$D403)</f>
        <v/>
      </c>
      <c r="DD403" s="147" t="str">
        <f aca="false">$CR403</f>
        <v/>
      </c>
      <c r="DE403" s="148" t="str">
        <f aca="false">$CQ403</f>
        <v/>
      </c>
      <c r="DF403" s="146" t="str">
        <f aca="false">IF(ISBLANK($C403),"",$CT403)</f>
        <v/>
      </c>
      <c r="DG403" s="149" t="str">
        <f aca="false">IF($CX403&gt;$CW$8,"",VLOOKUP($CX403,$CZ$9:$DF$508,7,FALSE()))</f>
        <v/>
      </c>
      <c r="DH403" s="150" t="str">
        <f aca="false">IF($CX403&gt;$CW$8,"",VLOOKUP($CX403,$CZ$9:$DF$508,2,FALSE()))</f>
        <v/>
      </c>
      <c r="DI403" s="150" t="str">
        <f aca="false">IF($CX403&gt;$CW$8,"",VLOOKUP($CX403,$CZ$9:$DF$508,3,FALSE()))</f>
        <v/>
      </c>
      <c r="DJ403" s="150" t="str">
        <f aca="false">IF($CX403&gt;$CW$8,"",VLOOKUP($CX403,$CZ$9:$DF$508,4,FALSE()))</f>
        <v/>
      </c>
      <c r="DK403" s="150" t="str">
        <f aca="false">IF($CX403&gt;$CW$8,"",VLOOKUP($CX403,$CZ$9:$DF$508,5,FALSE()))</f>
        <v/>
      </c>
      <c r="DL403" s="151" t="str">
        <f aca="false">IF($CX403&gt;$CW$8,"",VLOOKUP($CX403,$CZ$9:$DF$508,6,FALSE()))</f>
        <v/>
      </c>
      <c r="DM403" s="75"/>
    </row>
    <row r="404" customFormat="false" ht="15.75" hidden="false" customHeight="false" outlineLevel="0" collapsed="false">
      <c r="A404" s="9"/>
      <c r="B404" s="157"/>
      <c r="C404" s="158"/>
      <c r="D404" s="159"/>
      <c r="E404" s="177"/>
      <c r="F404" s="161"/>
      <c r="G404" s="162"/>
      <c r="H404" s="162"/>
      <c r="I404" s="178"/>
      <c r="J404" s="165"/>
      <c r="K404" s="126"/>
      <c r="L404" s="127"/>
      <c r="M404" s="128"/>
      <c r="N404" s="165"/>
      <c r="O404" s="165"/>
      <c r="P404" s="177"/>
      <c r="Q404" s="165"/>
      <c r="R404" s="165"/>
      <c r="S404" s="126"/>
      <c r="T404" s="128"/>
      <c r="U404" s="128"/>
      <c r="V404" s="165"/>
      <c r="W404" s="165"/>
      <c r="X404" s="177"/>
      <c r="Y404" s="165"/>
      <c r="Z404" s="166"/>
      <c r="AA404" s="165"/>
      <c r="AB404" s="132"/>
      <c r="AC404" s="133"/>
      <c r="AD404" s="133"/>
      <c r="AE404" s="133"/>
      <c r="AF404" s="133" t="str">
        <f aca="false">IF(ISBLANK($C404),"",IF(E404=Constants!$B$3,TRUE(),IF(E404=Constants!$B$4,FALSE(),TRUE())))</f>
        <v/>
      </c>
      <c r="AG404" s="133" t="str">
        <f aca="false">IF(ISBLANK($C404),"",IF(F404=Constants!$B$3,TRUE(),IF(F404=Constants!$B$4,FALSE(),TRUE())))</f>
        <v/>
      </c>
      <c r="AH404" s="133" t="str">
        <f aca="false">IF(ISBLANK($C404),"",IF(G404=Constants!$B$3,TRUE(),IF(G404=Constants!$B$4,FALSE(),TRUE())))</f>
        <v/>
      </c>
      <c r="AI404" s="133" t="str">
        <f aca="false">IF(ISBLANK($C404),"",IF(AND(ISNUMBER(H404),H404&gt;=0),H404,Constants!$B$29))</f>
        <v/>
      </c>
      <c r="AJ404" s="133" t="str">
        <f aca="false">IF(ISBLANK($C404),"",IF(I404=Constants!$B$3,TRUE(),IF(I404=Constants!$B$4,FALSE(),TRUE())))</f>
        <v/>
      </c>
      <c r="AK404" s="133" t="str">
        <f aca="false">IF(ISBLANK($C404),"",IF(J404=Constants!$B$3,TRUE(),IF(J404=Constants!$B$4,FALSE(),TRUE())))</f>
        <v/>
      </c>
      <c r="AL404" s="133" t="str">
        <f aca="false">IF(ISBLANK($C404),"",IF(K404=Constants!$B$5,TRUE(),IF(K404=Constants!$B$6,FALSE(),COUNTA(L404:P404)&gt;0)))</f>
        <v/>
      </c>
      <c r="AM404" s="134" t="str">
        <f aca="false">IF(ISBLANK($C404),"",IF(ISNUMBER(L404),IF(L404&gt;=0,L404,""),""))</f>
        <v/>
      </c>
      <c r="AN404" s="135" t="str">
        <f aca="false">IF(ISBLANK($C404),"",IF(ISNUMBER(M404),IF(M404&gt;=0,M404,""),""))</f>
        <v/>
      </c>
      <c r="AO404" s="135" t="str">
        <f aca="false">IF(ISBLANK($C404),"",IF(N404=Constants!$B$3,TRUE(),IF(N404=Constants!$B$4,FALSE(),TRUE())))</f>
        <v/>
      </c>
      <c r="AP404" s="133" t="str">
        <f aca="false">IF(ISBLANK($C404),"",IF(ISNUMBER(O404),IF(O404&gt;=0,O404,""),""))</f>
        <v/>
      </c>
      <c r="AQ404" s="133" t="str">
        <f aca="false">IF(ISBLANK($C404),"",IF(P404=Constants!$B$3,TRUE(),IF(P404=Constants!$B$4,FALSE(),FALSE())))</f>
        <v/>
      </c>
      <c r="AR404" s="133" t="str">
        <f aca="false">IF(ISBLANK($C404),"",IF(Q404=Constants!$B$3,TRUE(),IF(Q404=Constants!$B$4,FALSE(),TRUE())))</f>
        <v/>
      </c>
      <c r="AS404" s="133" t="str">
        <f aca="false">IF(ISBLANK($C404),"",IF(R404=Constants!$B$3,TRUE(),IF(R404=Constants!$B$4,FALSE(),TRUE())))</f>
        <v/>
      </c>
      <c r="AT404" s="133" t="str">
        <f aca="false">IF(ISBLANK($C404),"",IF(S404=Constants!$B$5,TRUE(),IF(S404=Constants!$B$6,FALSE(),COUNTA(T404:X404)&gt;0)))</f>
        <v/>
      </c>
      <c r="AU404" s="134" t="str">
        <f aca="false">IF(ISBLANK($C404),"",IF(ISNUMBER(T404),IF(T404&gt;=0,T404,""),""))</f>
        <v/>
      </c>
      <c r="AV404" s="135" t="str">
        <f aca="false">IF(ISBLANK($C404),"",IF(ISNUMBER(U404),IF(U404&gt;=0,U404,""),""))</f>
        <v/>
      </c>
      <c r="AW404" s="135" t="str">
        <f aca="false">IF(ISBLANK($C404),"",IF(V404=Constants!$B$3,TRUE(),IF(V404=Constants!$B$4,FALSE(),TRUE())))</f>
        <v/>
      </c>
      <c r="AX404" s="133" t="str">
        <f aca="false">IF(ISBLANK($C404),"",IF(ISNUMBER(W404),IF(W404&gt;=0,W404,""),""))</f>
        <v/>
      </c>
      <c r="AY404" s="133" t="str">
        <f aca="false">IF(ISBLANK($C404),"",IF(X404=Constants!$B$3,TRUE(),IF(X404=Constants!$B$4,FALSE(),FALSE())))</f>
        <v/>
      </c>
      <c r="AZ404" s="133" t="str">
        <f aca="false">IF(ISBLANK($C404),"",MIN(Constants!$B$31,MAX(0,IF(ISNUMBER(Y404),Y404*60,0)+IF(ISNUMBER(Z404),Z404,0))))</f>
        <v/>
      </c>
      <c r="BA404" s="133" t="str">
        <f aca="false">IF(ISBLANK($C404),"",IF(AA404=Constants!$B$3,TRUE(),IF(AA404=Constants!$B$4,FALSE(),FALSE())))</f>
        <v/>
      </c>
      <c r="BB404" s="132" t="str">
        <f aca="false">IF(ISBLANK($C404),"",AND($AL404,OR($AM404="",$AN404="",AND($AO404,$AP404=""))))</f>
        <v/>
      </c>
      <c r="BC404" s="135" t="str">
        <f aca="false">IF($BR404&lt;&gt;Constants!$B$8,"",IF($AL404,Constants!$B$21*$AN404+Constants!$B$22*IF($AO404,$AP404,Constants!$B$23),Constants!$B$24))</f>
        <v/>
      </c>
      <c r="BD404" s="136" t="str">
        <f aca="false">IF($BR404&lt;&gt;Constants!$B$8,"",Constants!$B$25*ABS($AD$9-IF($AL404,$AM404,0)))</f>
        <v/>
      </c>
      <c r="BE404" s="136" t="str">
        <f aca="false">IF($BR404&lt;&gt;Constants!$B$8,"",IF(AND($AL404,$AQ404,$AO404),Constants!$B$27,0))</f>
        <v/>
      </c>
      <c r="BF404" s="136" t="str">
        <f aca="false">IF($BR404&lt;&gt;Constants!$B$8,"",IF($AL404,($AI404-Constants!$B$29)*Constants!$B$28,0))</f>
        <v/>
      </c>
      <c r="BG404" s="136" t="str">
        <f aca="false">IF($BR404&lt;&gt;Constants!$B$8,"",IF($AK404,0,Constants!$B$15)+IF($AJ404,0,Constants!$B$16)+IF($AH404,0,Constants!$B$17))</f>
        <v/>
      </c>
      <c r="BH404" s="137" t="str">
        <f aca="false">IF($BR404&lt;&gt;Constants!$B$8,"",Constants!$B$20+SUM($BC404:$BG404))</f>
        <v/>
      </c>
      <c r="BI404" s="133" t="str">
        <f aca="false">IF($BR404&lt;&gt;Constants!$B$8,"",IF(OR($BP404&lt;$BH404,AND($BP404=$BH404,OR($BK404&lt;$BC404,AND($BK404=$BC404,OR($BL404&lt;$BD404,AND($BL404=$BD404,$AT404,$AL404,$AV404&lt;$AN404)))))),"-&gt;","&lt;-"))</f>
        <v/>
      </c>
      <c r="BJ404" s="132" t="str">
        <f aca="false">IF(ISBLANK($C404),"",AND($AT404,OR($AU404="",$AV404="",AND($AW404,$AX404=""))))</f>
        <v/>
      </c>
      <c r="BK404" s="135" t="str">
        <f aca="false">IF($BR404&lt;&gt;Constants!$B$8,"",IF($AT404,Constants!$B$21*$AV404+Constants!$B$22*IF($AW404,$AX404,Constants!$B$23),Constants!$B$24))</f>
        <v/>
      </c>
      <c r="BL404" s="136" t="str">
        <f aca="false">IF($BR404&lt;&gt;Constants!$B$8,"",Constants!$B$25*ABS($AD$9-IF($AT404,$AU404,0)))</f>
        <v/>
      </c>
      <c r="BM404" s="136" t="str">
        <f aca="false">IF($BR404&lt;&gt;Constants!$B$8,"",IF(AND($AT404,$AY404,$AW404),Constants!$B$27,0))</f>
        <v/>
      </c>
      <c r="BN404" s="136" t="str">
        <f aca="false">IF($BR404&lt;&gt;Constants!$B$8,"",IF($AT404,($AI404-Constants!$B$29)*Constants!$B$28,0))</f>
        <v/>
      </c>
      <c r="BO404" s="136" t="str">
        <f aca="false">IF($BR404&lt;&gt;Constants!$B$8,"",IF($AS404,0,Constants!$B$15)+IF($AR404,0,Constants!$B$16)+IF($AH404,0,Constants!$B$17))</f>
        <v/>
      </c>
      <c r="BP404" s="137" t="str">
        <f aca="false">IF($BR404&lt;&gt;Constants!$B$8,"",Constants!$B$20+SUM($BK404:$BO404))</f>
        <v/>
      </c>
      <c r="BQ404" s="133" t="str">
        <f aca="false">IF(ISBLANK($C404),"",IF(ISBLANK($D$7),$BQ$5,IF(NOT(ISNUMBER($D$7)),$BQ$6,"")))</f>
        <v/>
      </c>
      <c r="BR404" s="133" t="str">
        <f aca="false">IF(ISBLANK($C404),"",IF($BA404,Constants!$B$11,IF(COUNTA($E404:$AA404)=0,Constants!$B$10,IF(NOT($AG404),Constants!$B$9,IF(OR($BQ404&lt;&gt;"",$BB404,$BJ404),Constants!$B$12,Constants!$B$8)))))</f>
        <v/>
      </c>
      <c r="BS404" s="133" t="str">
        <f aca="false">IF(ISBLANK($C404),"",IF($BR404&lt;&gt;Constants!$B$8,$BR404,Constants!$B$13))</f>
        <v/>
      </c>
      <c r="BT404" s="136" t="str">
        <f aca="false">IF($BR404&lt;&gt;Constants!$B$8,"",IF($BI404="-&gt;",$BP404,$BH404))</f>
        <v/>
      </c>
      <c r="BU404" s="136" t="str">
        <f aca="false">IF($BR404&lt;&gt;Constants!$B$8,"",IF($AF404,0,Constants!$B$18))</f>
        <v/>
      </c>
      <c r="BV404" s="136" t="str">
        <f aca="false">IF($BR404&lt;&gt;Constants!$B$8,"",((Constants!$B$31-$AZ404)-Constants!$B$31)/Constants!$B$32)</f>
        <v/>
      </c>
      <c r="BW404" s="136" t="str">
        <f aca="false">IF(ISBLANK($C404),"",IF($BR404&lt;&gt;Constants!$B$8,$BR404,SUM($BT404:$BV404)))</f>
        <v/>
      </c>
      <c r="BX404" s="133" t="str">
        <f aca="false">IF(ISBLANK($C404),"",IF($BR404&lt;&gt;Constants!$B$8,$BR404,RANK($BW404,$BW$9:$BW$508,1)))</f>
        <v/>
      </c>
      <c r="BY404" s="136" t="str">
        <f aca="false">IF($BR404&lt;&gt;Constants!$B$8,"",IF($BI404="-&gt;",$BK404,$BC404))</f>
        <v/>
      </c>
      <c r="BZ404" s="133" t="str">
        <f aca="false">IF(ISBLANK($C404),"",IF($BR404&lt;&gt;Constants!$B$8,$BR404,IF(ISNUMBER($BY404),RANK($BY404,$BY$9:$BY$508,1),COUNT($BY$9:$BY$508)+1)))</f>
        <v/>
      </c>
      <c r="CA404" s="136" t="str">
        <f aca="false">IF($BR404&lt;&gt;Constants!$B$8,"",IF($BI404="-&gt;",$BL404,$BD404))</f>
        <v/>
      </c>
      <c r="CB404" s="133" t="str">
        <f aca="false">IF(ISBLANK($C404),"",IF($BR404&lt;&gt;Constants!$B$8,$BR404,IF(ISNUMBER($CA404),RANK($CA404,$CA$9:$CA$508,1),COUNT($CA$9:$CA$508)+1)))</f>
        <v/>
      </c>
      <c r="CC404" s="136" t="str">
        <f aca="false">IF($BR404&lt;&gt;Constants!$B$8,"",IF($BI404="-&gt;",IF($AT404,$AV404,""),IF($AL404,$AN404,"")))</f>
        <v/>
      </c>
      <c r="CD404" s="133" t="str">
        <f aca="false">IF(ISBLANK($C404),"",IF($BR404&lt;&gt;Constants!$B$8,$BR404,IF(ISNUMBER($CC404),RANK($CC404,$CC$9:$CC$508,1),COUNT($CC$9:$CC$508)+1)))</f>
        <v/>
      </c>
      <c r="CE404" s="136" t="str">
        <f aca="false">IF($BR404&lt;&gt;Constants!$B$8,"",IF(AND(NOT($AL404),NOT($AT404),$AJ404,$AK404,$AR404,$AS404),"",$AI404))</f>
        <v/>
      </c>
      <c r="CF404" s="133" t="str">
        <f aca="false">IF(ISBLANK($C404),"",IF($BR404&lt;&gt;Constants!$B$8,$BR404,IF(ISNUMBER($CE404),RANK($CE404,$CE$9:$CE$508,1),COUNT($CE$9:$CE$508)+1)))</f>
        <v/>
      </c>
      <c r="CG404" s="133" t="str">
        <f aca="false">IF(ISBLANK($C404),"",IF($BR404&lt;&gt;Constants!$B$8,$BR404,COUNTIFS($BX$9:$BX$508,"&lt;"&amp;$BX404)+COUNTIFS($BX$9:$BX$508,$BX404,$BZ$9:$BZ$508,"&lt;"&amp;$BZ404)+COUNTIFS($BX$9:$BX$508,$BX404,$BZ$9:$BZ$508,$BZ404,$CB$9:$CB$508,"&lt;"&amp;$CB404)+COUNTIFS($BX$9:$BX$508,$BX404,$BZ$9:$BZ$508,$BZ404,$CB$9:$CB$508,$CB404,$CD$9:$CD$508,"&lt;"&amp;$CD404)+COUNTIFS($BX$9:$BX$508,$BX404,$BZ$9:$BZ$508,$BZ404,$CB$9:$CB$508,$CB404,$CD$9:$CD$508,$CD404,$CF$9:$CF$508,"&lt;"&amp;$CF404)+1))</f>
        <v/>
      </c>
      <c r="CH404" s="133" t="str">
        <f aca="false">IF(ISBLANK($C404),"",IF($BR404&lt;&gt;Constants!$B$8,$BR404,$BX404-$CG404))</f>
        <v/>
      </c>
      <c r="CI404" s="138"/>
      <c r="CJ404" s="139"/>
      <c r="CK404" s="140" t="str">
        <f aca="false">IF(ISBLANK($C404),"",IF($BR404=Constants!$B$12,$BQ404,""))</f>
        <v/>
      </c>
      <c r="CL404" s="139" t="str">
        <f aca="false">IF(ISBLANK($C404),"",IF($BR404&lt;&gt;Constants!$B$8,"",IF($BI404="-&gt;",2,1)))</f>
        <v/>
      </c>
      <c r="CM404" s="141" t="str">
        <f aca="false">IF(ISBLANK($C404),"",IF($BR404&lt;&gt;Constants!$B$8,"",IF($BI404="-&gt;",$BK404,$BC404)))</f>
        <v/>
      </c>
      <c r="CN404" s="141" t="str">
        <f aca="false">IF(ISBLANK($C404),"",IF($BR404&lt;&gt;Constants!$B$8,"",IF($BI404="-&gt;",$BL404,$BD404)))</f>
        <v/>
      </c>
      <c r="CO404" s="141" t="str">
        <f aca="false">IF(ISBLANK($C404),"",IF($BR404&lt;&gt;Constants!$B$8,"",IF($BI404="-&gt;",$BM404+$BN404,$BE404+$BF404)+$BV404))</f>
        <v/>
      </c>
      <c r="CP404" s="141" t="str">
        <f aca="false">IF(ISBLANK($C404),"",IF($BR404&lt;&gt;Constants!$B$8,"",IF($BI404="-&gt;",$BO404,$BG404)+$BU404))</f>
        <v/>
      </c>
      <c r="CQ404" s="142" t="str">
        <f aca="false">IF(ISBLANK($C404),"",IF($BR404&lt;&gt;Constants!$B$8,$BR404,$BW404))</f>
        <v/>
      </c>
      <c r="CR404" s="143" t="str">
        <f aca="false">IF(ISBLANK($C404),"",$BS404)</f>
        <v/>
      </c>
      <c r="CS404" s="144" t="str">
        <f aca="false">IF(ISBLANK($C404),"",$CH404)</f>
        <v/>
      </c>
      <c r="CT404" s="144" t="str">
        <f aca="false">IF(ISBLANK($C404),"",$CG404)</f>
        <v/>
      </c>
      <c r="CU404" s="145" t="str">
        <f aca="false">IF(ISBLANK($C404),"",IFERROR(_xlfn.SWITCH($CT404,Constants!$B$11,COUNTA($C$9:$C$508)+2,Constants!$B$10,COUNTA($C$9:$C$508)+1,Constants!$B$9,COUNTA($C$9:$C$508)),$CT404))</f>
        <v/>
      </c>
      <c r="CV404" s="9"/>
      <c r="CW404" s="146" t="n">
        <f aca="false">IF(OR(ISNUMBER($CT404),$CT404=Constants!$B$11,$CT404=Constants!$B$9,$CT404=Constants!$B$10),1,0)</f>
        <v>0</v>
      </c>
      <c r="CX404" s="146" t="n">
        <v>396</v>
      </c>
      <c r="CY404" s="146" t="str">
        <f aca="false">IF(ISBLANK($C404),"",IF(ISNUMBER($CU404),$CU404+ROW($B404)/1000,""))</f>
        <v/>
      </c>
      <c r="CZ404" s="146" t="str">
        <f aca="false">IF(ISNUMBER($CY404),RANK($CY404,$CY$9:$CY$508,1),"")</f>
        <v/>
      </c>
      <c r="DA404" s="146" t="str">
        <f aca="false">IF(ISBLANK($C404),"",$B404)</f>
        <v/>
      </c>
      <c r="DB404" s="146" t="str">
        <f aca="false">IF(ISBLANK($C404),"",$C404)</f>
        <v/>
      </c>
      <c r="DC404" s="146" t="str">
        <f aca="false">IF(ISBLANK($C404),"",$D404)</f>
        <v/>
      </c>
      <c r="DD404" s="147" t="str">
        <f aca="false">$CR404</f>
        <v/>
      </c>
      <c r="DE404" s="148" t="str">
        <f aca="false">$CQ404</f>
        <v/>
      </c>
      <c r="DF404" s="146" t="str">
        <f aca="false">IF(ISBLANK($C404),"",$CT404)</f>
        <v/>
      </c>
      <c r="DG404" s="149" t="str">
        <f aca="false">IF($CX404&gt;$CW$8,"",VLOOKUP($CX404,$CZ$9:$DF$508,7,FALSE()))</f>
        <v/>
      </c>
      <c r="DH404" s="150" t="str">
        <f aca="false">IF($CX404&gt;$CW$8,"",VLOOKUP($CX404,$CZ$9:$DF$508,2,FALSE()))</f>
        <v/>
      </c>
      <c r="DI404" s="150" t="str">
        <f aca="false">IF($CX404&gt;$CW$8,"",VLOOKUP($CX404,$CZ$9:$DF$508,3,FALSE()))</f>
        <v/>
      </c>
      <c r="DJ404" s="150" t="str">
        <f aca="false">IF($CX404&gt;$CW$8,"",VLOOKUP($CX404,$CZ$9:$DF$508,4,FALSE()))</f>
        <v/>
      </c>
      <c r="DK404" s="150" t="str">
        <f aca="false">IF($CX404&gt;$CW$8,"",VLOOKUP($CX404,$CZ$9:$DF$508,5,FALSE()))</f>
        <v/>
      </c>
      <c r="DL404" s="151" t="str">
        <f aca="false">IF($CX404&gt;$CW$8,"",VLOOKUP($CX404,$CZ$9:$DF$508,6,FALSE()))</f>
        <v/>
      </c>
      <c r="DM404" s="75"/>
    </row>
    <row r="405" customFormat="false" ht="15.75" hidden="false" customHeight="false" outlineLevel="0" collapsed="false">
      <c r="A405" s="9"/>
      <c r="B405" s="77"/>
      <c r="C405" s="78"/>
      <c r="D405" s="167"/>
      <c r="E405" s="175"/>
      <c r="F405" s="169"/>
      <c r="G405" s="170"/>
      <c r="H405" s="170"/>
      <c r="I405" s="176"/>
      <c r="J405" s="173"/>
      <c r="K405" s="85"/>
      <c r="L405" s="86"/>
      <c r="M405" s="87"/>
      <c r="N405" s="173"/>
      <c r="O405" s="173"/>
      <c r="P405" s="175"/>
      <c r="Q405" s="173"/>
      <c r="R405" s="173"/>
      <c r="S405" s="85"/>
      <c r="T405" s="87"/>
      <c r="U405" s="87"/>
      <c r="V405" s="173"/>
      <c r="W405" s="173"/>
      <c r="X405" s="175"/>
      <c r="Y405" s="173"/>
      <c r="Z405" s="174"/>
      <c r="AA405" s="173"/>
      <c r="AB405" s="91"/>
      <c r="AC405" s="92"/>
      <c r="AD405" s="92"/>
      <c r="AE405" s="92"/>
      <c r="AF405" s="92" t="str">
        <f aca="false">IF(ISBLANK($C405),"",IF(E405=Constants!$B$3,TRUE(),IF(E405=Constants!$B$4,FALSE(),TRUE())))</f>
        <v/>
      </c>
      <c r="AG405" s="92" t="str">
        <f aca="false">IF(ISBLANK($C405),"",IF(F405=Constants!$B$3,TRUE(),IF(F405=Constants!$B$4,FALSE(),TRUE())))</f>
        <v/>
      </c>
      <c r="AH405" s="92" t="str">
        <f aca="false">IF(ISBLANK($C405),"",IF(G405=Constants!$B$3,TRUE(),IF(G405=Constants!$B$4,FALSE(),TRUE())))</f>
        <v/>
      </c>
      <c r="AI405" s="92" t="str">
        <f aca="false">IF(ISBLANK($C405),"",IF(AND(ISNUMBER(H405),H405&gt;=0),H405,Constants!$B$29))</f>
        <v/>
      </c>
      <c r="AJ405" s="92" t="str">
        <f aca="false">IF(ISBLANK($C405),"",IF(I405=Constants!$B$3,TRUE(),IF(I405=Constants!$B$4,FALSE(),TRUE())))</f>
        <v/>
      </c>
      <c r="AK405" s="92" t="str">
        <f aca="false">IF(ISBLANK($C405),"",IF(J405=Constants!$B$3,TRUE(),IF(J405=Constants!$B$4,FALSE(),TRUE())))</f>
        <v/>
      </c>
      <c r="AL405" s="92" t="str">
        <f aca="false">IF(ISBLANK($C405),"",IF(K405=Constants!$B$5,TRUE(),IF(K405=Constants!$B$6,FALSE(),COUNTA(L405:P405)&gt;0)))</f>
        <v/>
      </c>
      <c r="AM405" s="94" t="str">
        <f aca="false">IF(ISBLANK($C405),"",IF(ISNUMBER(L405),IF(L405&gt;=0,L405,""),""))</f>
        <v/>
      </c>
      <c r="AN405" s="93" t="str">
        <f aca="false">IF(ISBLANK($C405),"",IF(ISNUMBER(M405),IF(M405&gt;=0,M405,""),""))</f>
        <v/>
      </c>
      <c r="AO405" s="93" t="str">
        <f aca="false">IF(ISBLANK($C405),"",IF(N405=Constants!$B$3,TRUE(),IF(N405=Constants!$B$4,FALSE(),TRUE())))</f>
        <v/>
      </c>
      <c r="AP405" s="92" t="str">
        <f aca="false">IF(ISBLANK($C405),"",IF(ISNUMBER(O405),IF(O405&gt;=0,O405,""),""))</f>
        <v/>
      </c>
      <c r="AQ405" s="92" t="str">
        <f aca="false">IF(ISBLANK($C405),"",IF(P405=Constants!$B$3,TRUE(),IF(P405=Constants!$B$4,FALSE(),FALSE())))</f>
        <v/>
      </c>
      <c r="AR405" s="92" t="str">
        <f aca="false">IF(ISBLANK($C405),"",IF(Q405=Constants!$B$3,TRUE(),IF(Q405=Constants!$B$4,FALSE(),TRUE())))</f>
        <v/>
      </c>
      <c r="AS405" s="92" t="str">
        <f aca="false">IF(ISBLANK($C405),"",IF(R405=Constants!$B$3,TRUE(),IF(R405=Constants!$B$4,FALSE(),TRUE())))</f>
        <v/>
      </c>
      <c r="AT405" s="92" t="str">
        <f aca="false">IF(ISBLANK($C405),"",IF(S405=Constants!$B$5,TRUE(),IF(S405=Constants!$B$6,FALSE(),COUNTA(T405:X405)&gt;0)))</f>
        <v/>
      </c>
      <c r="AU405" s="94" t="str">
        <f aca="false">IF(ISBLANK($C405),"",IF(ISNUMBER(T405),IF(T405&gt;=0,T405,""),""))</f>
        <v/>
      </c>
      <c r="AV405" s="93" t="str">
        <f aca="false">IF(ISBLANK($C405),"",IF(ISNUMBER(U405),IF(U405&gt;=0,U405,""),""))</f>
        <v/>
      </c>
      <c r="AW405" s="93" t="str">
        <f aca="false">IF(ISBLANK($C405),"",IF(V405=Constants!$B$3,TRUE(),IF(V405=Constants!$B$4,FALSE(),TRUE())))</f>
        <v/>
      </c>
      <c r="AX405" s="92" t="str">
        <f aca="false">IF(ISBLANK($C405),"",IF(ISNUMBER(W405),IF(W405&gt;=0,W405,""),""))</f>
        <v/>
      </c>
      <c r="AY405" s="92" t="str">
        <f aca="false">IF(ISBLANK($C405),"",IF(X405=Constants!$B$3,TRUE(),IF(X405=Constants!$B$4,FALSE(),FALSE())))</f>
        <v/>
      </c>
      <c r="AZ405" s="92" t="str">
        <f aca="false">IF(ISBLANK($C405),"",MIN(Constants!$B$31,MAX(0,IF(ISNUMBER(Y405),Y405*60,0)+IF(ISNUMBER(Z405),Z405,0))))</f>
        <v/>
      </c>
      <c r="BA405" s="92" t="str">
        <f aca="false">IF(ISBLANK($C405),"",IF(AA405=Constants!$B$3,TRUE(),IF(AA405=Constants!$B$4,FALSE(),FALSE())))</f>
        <v/>
      </c>
      <c r="BB405" s="91" t="str">
        <f aca="false">IF(ISBLANK($C405),"",AND($AL405,OR($AM405="",$AN405="",AND($AO405,$AP405=""))))</f>
        <v/>
      </c>
      <c r="BC405" s="93" t="str">
        <f aca="false">IF($BR405&lt;&gt;Constants!$B$8,"",IF($AL405,Constants!$B$21*$AN405+Constants!$B$22*IF($AO405,$AP405,Constants!$B$23),Constants!$B$24))</f>
        <v/>
      </c>
      <c r="BD405" s="96" t="str">
        <f aca="false">IF($BR405&lt;&gt;Constants!$B$8,"",Constants!$B$25*ABS($AD$9-IF($AL405,$AM405,0)))</f>
        <v/>
      </c>
      <c r="BE405" s="96" t="str">
        <f aca="false">IF($BR405&lt;&gt;Constants!$B$8,"",IF(AND($AL405,$AQ405,$AO405),Constants!$B$27,0))</f>
        <v/>
      </c>
      <c r="BF405" s="96" t="str">
        <f aca="false">IF($BR405&lt;&gt;Constants!$B$8,"",IF($AL405,($AI405-Constants!$B$29)*Constants!$B$28,0))</f>
        <v/>
      </c>
      <c r="BG405" s="96" t="str">
        <f aca="false">IF($BR405&lt;&gt;Constants!$B$8,"",IF($AK405,0,Constants!$B$15)+IF($AJ405,0,Constants!$B$16)+IF($AH405,0,Constants!$B$17))</f>
        <v/>
      </c>
      <c r="BH405" s="97" t="str">
        <f aca="false">IF($BR405&lt;&gt;Constants!$B$8,"",Constants!$B$20+SUM($BC405:$BG405))</f>
        <v/>
      </c>
      <c r="BI405" s="92" t="str">
        <f aca="false">IF($BR405&lt;&gt;Constants!$B$8,"",IF(OR($BP405&lt;$BH405,AND($BP405=$BH405,OR($BK405&lt;$BC405,AND($BK405=$BC405,OR($BL405&lt;$BD405,AND($BL405=$BD405,$AT405,$AL405,$AV405&lt;$AN405)))))),"-&gt;","&lt;-"))</f>
        <v/>
      </c>
      <c r="BJ405" s="91" t="str">
        <f aca="false">IF(ISBLANK($C405),"",AND($AT405,OR($AU405="",$AV405="",AND($AW405,$AX405=""))))</f>
        <v/>
      </c>
      <c r="BK405" s="93" t="str">
        <f aca="false">IF($BR405&lt;&gt;Constants!$B$8,"",IF($AT405,Constants!$B$21*$AV405+Constants!$B$22*IF($AW405,$AX405,Constants!$B$23),Constants!$B$24))</f>
        <v/>
      </c>
      <c r="BL405" s="96" t="str">
        <f aca="false">IF($BR405&lt;&gt;Constants!$B$8,"",Constants!$B$25*ABS($AD$9-IF($AT405,$AU405,0)))</f>
        <v/>
      </c>
      <c r="BM405" s="96" t="str">
        <f aca="false">IF($BR405&lt;&gt;Constants!$B$8,"",IF(AND($AT405,$AY405,$AW405),Constants!$B$27,0))</f>
        <v/>
      </c>
      <c r="BN405" s="96" t="str">
        <f aca="false">IF($BR405&lt;&gt;Constants!$B$8,"",IF($AT405,($AI405-Constants!$B$29)*Constants!$B$28,0))</f>
        <v/>
      </c>
      <c r="BO405" s="96" t="str">
        <f aca="false">IF($BR405&lt;&gt;Constants!$B$8,"",IF($AS405,0,Constants!$B$15)+IF($AR405,0,Constants!$B$16)+IF($AH405,0,Constants!$B$17))</f>
        <v/>
      </c>
      <c r="BP405" s="97" t="str">
        <f aca="false">IF($BR405&lt;&gt;Constants!$B$8,"",Constants!$B$20+SUM($BK405:$BO405))</f>
        <v/>
      </c>
      <c r="BQ405" s="92" t="str">
        <f aca="false">IF(ISBLANK($C405),"",IF(ISBLANK($D$7),$BQ$5,IF(NOT(ISNUMBER($D$7)),$BQ$6,"")))</f>
        <v/>
      </c>
      <c r="BR405" s="92" t="str">
        <f aca="false">IF(ISBLANK($C405),"",IF($BA405,Constants!$B$11,IF(COUNTA($E405:$AA405)=0,Constants!$B$10,IF(NOT($AG405),Constants!$B$9,IF(OR($BQ405&lt;&gt;"",$BB405,$BJ405),Constants!$B$12,Constants!$B$8)))))</f>
        <v/>
      </c>
      <c r="BS405" s="92" t="str">
        <f aca="false">IF(ISBLANK($C405),"",IF($BR405&lt;&gt;Constants!$B$8,$BR405,Constants!$B$13))</f>
        <v/>
      </c>
      <c r="BT405" s="96" t="str">
        <f aca="false">IF($BR405&lt;&gt;Constants!$B$8,"",IF($BI405="-&gt;",$BP405,$BH405))</f>
        <v/>
      </c>
      <c r="BU405" s="96" t="str">
        <f aca="false">IF($BR405&lt;&gt;Constants!$B$8,"",IF($AF405,0,Constants!$B$18))</f>
        <v/>
      </c>
      <c r="BV405" s="96" t="str">
        <f aca="false">IF($BR405&lt;&gt;Constants!$B$8,"",((Constants!$B$31-$AZ405)-Constants!$B$31)/Constants!$B$32)</f>
        <v/>
      </c>
      <c r="BW405" s="96" t="str">
        <f aca="false">IF(ISBLANK($C405),"",IF($BR405&lt;&gt;Constants!$B$8,$BR405,SUM($BT405:$BV405)))</f>
        <v/>
      </c>
      <c r="BX405" s="92" t="str">
        <f aca="false">IF(ISBLANK($C405),"",IF($BR405&lt;&gt;Constants!$B$8,$BR405,RANK($BW405,$BW$9:$BW$508,1)))</f>
        <v/>
      </c>
      <c r="BY405" s="96" t="str">
        <f aca="false">IF($BR405&lt;&gt;Constants!$B$8,"",IF($BI405="-&gt;",$BK405,$BC405))</f>
        <v/>
      </c>
      <c r="BZ405" s="92" t="str">
        <f aca="false">IF(ISBLANK($C405),"",IF($BR405&lt;&gt;Constants!$B$8,$BR405,IF(ISNUMBER($BY405),RANK($BY405,$BY$9:$BY$508,1),COUNT($BY$9:$BY$508)+1)))</f>
        <v/>
      </c>
      <c r="CA405" s="96" t="str">
        <f aca="false">IF($BR405&lt;&gt;Constants!$B$8,"",IF($BI405="-&gt;",$BL405,$BD405))</f>
        <v/>
      </c>
      <c r="CB405" s="92" t="str">
        <f aca="false">IF(ISBLANK($C405),"",IF($BR405&lt;&gt;Constants!$B$8,$BR405,IF(ISNUMBER($CA405),RANK($CA405,$CA$9:$CA$508,1),COUNT($CA$9:$CA$508)+1)))</f>
        <v/>
      </c>
      <c r="CC405" s="96" t="str">
        <f aca="false">IF($BR405&lt;&gt;Constants!$B$8,"",IF($BI405="-&gt;",IF($AT405,$AV405,""),IF($AL405,$AN405,"")))</f>
        <v/>
      </c>
      <c r="CD405" s="92" t="str">
        <f aca="false">IF(ISBLANK($C405),"",IF($BR405&lt;&gt;Constants!$B$8,$BR405,IF(ISNUMBER($CC405),RANK($CC405,$CC$9:$CC$508,1),COUNT($CC$9:$CC$508)+1)))</f>
        <v/>
      </c>
      <c r="CE405" s="96" t="str">
        <f aca="false">IF($BR405&lt;&gt;Constants!$B$8,"",IF(AND(NOT($AL405),NOT($AT405),$AJ405,$AK405,$AR405,$AS405),"",$AI405))</f>
        <v/>
      </c>
      <c r="CF405" s="92" t="str">
        <f aca="false">IF(ISBLANK($C405),"",IF($BR405&lt;&gt;Constants!$B$8,$BR405,IF(ISNUMBER($CE405),RANK($CE405,$CE$9:$CE$508,1),COUNT($CE$9:$CE$508)+1)))</f>
        <v/>
      </c>
      <c r="CG405" s="92" t="str">
        <f aca="false">IF(ISBLANK($C405),"",IF($BR405&lt;&gt;Constants!$B$8,$BR405,COUNTIFS($BX$9:$BX$508,"&lt;"&amp;$BX405)+COUNTIFS($BX$9:$BX$508,$BX405,$BZ$9:$BZ$508,"&lt;"&amp;$BZ405)+COUNTIFS($BX$9:$BX$508,$BX405,$BZ$9:$BZ$508,$BZ405,$CB$9:$CB$508,"&lt;"&amp;$CB405)+COUNTIFS($BX$9:$BX$508,$BX405,$BZ$9:$BZ$508,$BZ405,$CB$9:$CB$508,$CB405,$CD$9:$CD$508,"&lt;"&amp;$CD405)+COUNTIFS($BX$9:$BX$508,$BX405,$BZ$9:$BZ$508,$BZ405,$CB$9:$CB$508,$CB405,$CD$9:$CD$508,$CD405,$CF$9:$CF$508,"&lt;"&amp;$CF405)+1))</f>
        <v/>
      </c>
      <c r="CH405" s="92" t="str">
        <f aca="false">IF(ISBLANK($C405),"",IF($BR405&lt;&gt;Constants!$B$8,$BR405,$BX405-$CG405))</f>
        <v/>
      </c>
      <c r="CI405" s="98"/>
      <c r="CJ405" s="99"/>
      <c r="CK405" s="100" t="str">
        <f aca="false">IF(ISBLANK($C405),"",IF($BR405=Constants!$B$12,$BQ405,""))</f>
        <v/>
      </c>
      <c r="CL405" s="99" t="str">
        <f aca="false">IF(ISBLANK($C405),"",IF($BR405&lt;&gt;Constants!$B$8,"",IF($BI405="-&gt;",2,1)))</f>
        <v/>
      </c>
      <c r="CM405" s="101" t="str">
        <f aca="false">IF(ISBLANK($C405),"",IF($BR405&lt;&gt;Constants!$B$8,"",IF($BI405="-&gt;",$BK405,$BC405)))</f>
        <v/>
      </c>
      <c r="CN405" s="101" t="str">
        <f aca="false">IF(ISBLANK($C405),"",IF($BR405&lt;&gt;Constants!$B$8,"",IF($BI405="-&gt;",$BL405,$BD405)))</f>
        <v/>
      </c>
      <c r="CO405" s="101" t="str">
        <f aca="false">IF(ISBLANK($C405),"",IF($BR405&lt;&gt;Constants!$B$8,"",IF($BI405="-&gt;",$BM405+$BN405,$BE405+$BF405)+$BV405))</f>
        <v/>
      </c>
      <c r="CP405" s="101" t="str">
        <f aca="false">IF(ISBLANK($C405),"",IF($BR405&lt;&gt;Constants!$B$8,"",IF($BI405="-&gt;",$BO405,$BG405)+$BU405))</f>
        <v/>
      </c>
      <c r="CQ405" s="102" t="str">
        <f aca="false">IF(ISBLANK($C405),"",IF($BR405&lt;&gt;Constants!$B$8,$BR405,$BW405))</f>
        <v/>
      </c>
      <c r="CR405" s="103" t="str">
        <f aca="false">IF(ISBLANK($C405),"",$BS405)</f>
        <v/>
      </c>
      <c r="CS405" s="104" t="str">
        <f aca="false">IF(ISBLANK($C405),"",$CH405)</f>
        <v/>
      </c>
      <c r="CT405" s="104" t="str">
        <f aca="false">IF(ISBLANK($C405),"",$CG405)</f>
        <v/>
      </c>
      <c r="CU405" s="105" t="str">
        <f aca="false">IF(ISBLANK($C405),"",IFERROR(_xlfn.SWITCH($CT405,Constants!$B$11,COUNTA($C$9:$C$508)+2,Constants!$B$10,COUNTA($C$9:$C$508)+1,Constants!$B$9,COUNTA($C$9:$C$508)),$CT405))</f>
        <v/>
      </c>
      <c r="CV405" s="9"/>
      <c r="CW405" s="106" t="n">
        <f aca="false">IF(OR(ISNUMBER($CT405),$CT405=Constants!$B$11,$CT405=Constants!$B$9,$CT405=Constants!$B$10),1,0)</f>
        <v>0</v>
      </c>
      <c r="CX405" s="106" t="n">
        <v>397</v>
      </c>
      <c r="CY405" s="106" t="str">
        <f aca="false">IF(ISBLANK($C405),"",IF(ISNUMBER($CU405),$CU405+ROW($B405)/1000,""))</f>
        <v/>
      </c>
      <c r="CZ405" s="106" t="str">
        <f aca="false">IF(ISNUMBER($CY405),RANK($CY405,$CY$9:$CY$508,1),"")</f>
        <v/>
      </c>
      <c r="DA405" s="106" t="str">
        <f aca="false">IF(ISBLANK($C405),"",$B405)</f>
        <v/>
      </c>
      <c r="DB405" s="106" t="str">
        <f aca="false">IF(ISBLANK($C405),"",$C405)</f>
        <v/>
      </c>
      <c r="DC405" s="106" t="str">
        <f aca="false">IF(ISBLANK($C405),"",$D405)</f>
        <v/>
      </c>
      <c r="DD405" s="107" t="str">
        <f aca="false">$CR405</f>
        <v/>
      </c>
      <c r="DE405" s="108" t="str">
        <f aca="false">$CQ405</f>
        <v/>
      </c>
      <c r="DF405" s="106" t="str">
        <f aca="false">IF(ISBLANK($C405),"",$CT405)</f>
        <v/>
      </c>
      <c r="DG405" s="109" t="str">
        <f aca="false">IF($CX405&gt;$CW$8,"",VLOOKUP($CX405,$CZ$9:$DF$508,7,FALSE()))</f>
        <v/>
      </c>
      <c r="DH405" s="110" t="str">
        <f aca="false">IF($CX405&gt;$CW$8,"",VLOOKUP($CX405,$CZ$9:$DF$508,2,FALSE()))</f>
        <v/>
      </c>
      <c r="DI405" s="110" t="str">
        <f aca="false">IF($CX405&gt;$CW$8,"",VLOOKUP($CX405,$CZ$9:$DF$508,3,FALSE()))</f>
        <v/>
      </c>
      <c r="DJ405" s="110" t="str">
        <f aca="false">IF($CX405&gt;$CW$8,"",VLOOKUP($CX405,$CZ$9:$DF$508,4,FALSE()))</f>
        <v/>
      </c>
      <c r="DK405" s="110" t="str">
        <f aca="false">IF($CX405&gt;$CW$8,"",VLOOKUP($CX405,$CZ$9:$DF$508,5,FALSE()))</f>
        <v/>
      </c>
      <c r="DL405" s="111" t="str">
        <f aca="false">IF($CX405&gt;$CW$8,"",VLOOKUP($CX405,$CZ$9:$DF$508,6,FALSE()))</f>
        <v/>
      </c>
      <c r="DM405" s="75"/>
    </row>
    <row r="406" customFormat="false" ht="15.75" hidden="false" customHeight="false" outlineLevel="0" collapsed="false">
      <c r="A406" s="9"/>
      <c r="B406" s="77"/>
      <c r="C406" s="78"/>
      <c r="D406" s="167"/>
      <c r="E406" s="175"/>
      <c r="F406" s="169"/>
      <c r="G406" s="170"/>
      <c r="H406" s="170"/>
      <c r="I406" s="176"/>
      <c r="J406" s="173"/>
      <c r="K406" s="85"/>
      <c r="L406" s="86"/>
      <c r="M406" s="87"/>
      <c r="N406" s="173"/>
      <c r="O406" s="173"/>
      <c r="P406" s="175"/>
      <c r="Q406" s="173"/>
      <c r="R406" s="173"/>
      <c r="S406" s="85"/>
      <c r="T406" s="87"/>
      <c r="U406" s="87"/>
      <c r="V406" s="173"/>
      <c r="W406" s="173"/>
      <c r="X406" s="175"/>
      <c r="Y406" s="173"/>
      <c r="Z406" s="174"/>
      <c r="AA406" s="173"/>
      <c r="AB406" s="91"/>
      <c r="AC406" s="92"/>
      <c r="AD406" s="92"/>
      <c r="AE406" s="92"/>
      <c r="AF406" s="92" t="str">
        <f aca="false">IF(ISBLANK($C406),"",IF(E406=Constants!$B$3,TRUE(),IF(E406=Constants!$B$4,FALSE(),TRUE())))</f>
        <v/>
      </c>
      <c r="AG406" s="92" t="str">
        <f aca="false">IF(ISBLANK($C406),"",IF(F406=Constants!$B$3,TRUE(),IF(F406=Constants!$B$4,FALSE(),TRUE())))</f>
        <v/>
      </c>
      <c r="AH406" s="92" t="str">
        <f aca="false">IF(ISBLANK($C406),"",IF(G406=Constants!$B$3,TRUE(),IF(G406=Constants!$B$4,FALSE(),TRUE())))</f>
        <v/>
      </c>
      <c r="AI406" s="92" t="str">
        <f aca="false">IF(ISBLANK($C406),"",IF(AND(ISNUMBER(H406),H406&gt;=0),H406,Constants!$B$29))</f>
        <v/>
      </c>
      <c r="AJ406" s="92" t="str">
        <f aca="false">IF(ISBLANK($C406),"",IF(I406=Constants!$B$3,TRUE(),IF(I406=Constants!$B$4,FALSE(),TRUE())))</f>
        <v/>
      </c>
      <c r="AK406" s="92" t="str">
        <f aca="false">IF(ISBLANK($C406),"",IF(J406=Constants!$B$3,TRUE(),IF(J406=Constants!$B$4,FALSE(),TRUE())))</f>
        <v/>
      </c>
      <c r="AL406" s="92" t="str">
        <f aca="false">IF(ISBLANK($C406),"",IF(K406=Constants!$B$5,TRUE(),IF(K406=Constants!$B$6,FALSE(),COUNTA(L406:P406)&gt;0)))</f>
        <v/>
      </c>
      <c r="AM406" s="94" t="str">
        <f aca="false">IF(ISBLANK($C406),"",IF(ISNUMBER(L406),IF(L406&gt;=0,L406,""),""))</f>
        <v/>
      </c>
      <c r="AN406" s="93" t="str">
        <f aca="false">IF(ISBLANK($C406),"",IF(ISNUMBER(M406),IF(M406&gt;=0,M406,""),""))</f>
        <v/>
      </c>
      <c r="AO406" s="93" t="str">
        <f aca="false">IF(ISBLANK($C406),"",IF(N406=Constants!$B$3,TRUE(),IF(N406=Constants!$B$4,FALSE(),TRUE())))</f>
        <v/>
      </c>
      <c r="AP406" s="92" t="str">
        <f aca="false">IF(ISBLANK($C406),"",IF(ISNUMBER(O406),IF(O406&gt;=0,O406,""),""))</f>
        <v/>
      </c>
      <c r="AQ406" s="92" t="str">
        <f aca="false">IF(ISBLANK($C406),"",IF(P406=Constants!$B$3,TRUE(),IF(P406=Constants!$B$4,FALSE(),FALSE())))</f>
        <v/>
      </c>
      <c r="AR406" s="92" t="str">
        <f aca="false">IF(ISBLANK($C406),"",IF(Q406=Constants!$B$3,TRUE(),IF(Q406=Constants!$B$4,FALSE(),TRUE())))</f>
        <v/>
      </c>
      <c r="AS406" s="92" t="str">
        <f aca="false">IF(ISBLANK($C406),"",IF(R406=Constants!$B$3,TRUE(),IF(R406=Constants!$B$4,FALSE(),TRUE())))</f>
        <v/>
      </c>
      <c r="AT406" s="92" t="str">
        <f aca="false">IF(ISBLANK($C406),"",IF(S406=Constants!$B$5,TRUE(),IF(S406=Constants!$B$6,FALSE(),COUNTA(T406:X406)&gt;0)))</f>
        <v/>
      </c>
      <c r="AU406" s="94" t="str">
        <f aca="false">IF(ISBLANK($C406),"",IF(ISNUMBER(T406),IF(T406&gt;=0,T406,""),""))</f>
        <v/>
      </c>
      <c r="AV406" s="93" t="str">
        <f aca="false">IF(ISBLANK($C406),"",IF(ISNUMBER(U406),IF(U406&gt;=0,U406,""),""))</f>
        <v/>
      </c>
      <c r="AW406" s="93" t="str">
        <f aca="false">IF(ISBLANK($C406),"",IF(V406=Constants!$B$3,TRUE(),IF(V406=Constants!$B$4,FALSE(),TRUE())))</f>
        <v/>
      </c>
      <c r="AX406" s="92" t="str">
        <f aca="false">IF(ISBLANK($C406),"",IF(ISNUMBER(W406),IF(W406&gt;=0,W406,""),""))</f>
        <v/>
      </c>
      <c r="AY406" s="92" t="str">
        <f aca="false">IF(ISBLANK($C406),"",IF(X406=Constants!$B$3,TRUE(),IF(X406=Constants!$B$4,FALSE(),FALSE())))</f>
        <v/>
      </c>
      <c r="AZ406" s="92" t="str">
        <f aca="false">IF(ISBLANK($C406),"",MIN(Constants!$B$31,MAX(0,IF(ISNUMBER(Y406),Y406*60,0)+IF(ISNUMBER(Z406),Z406,0))))</f>
        <v/>
      </c>
      <c r="BA406" s="92" t="str">
        <f aca="false">IF(ISBLANK($C406),"",IF(AA406=Constants!$B$3,TRUE(),IF(AA406=Constants!$B$4,FALSE(),FALSE())))</f>
        <v/>
      </c>
      <c r="BB406" s="91" t="str">
        <f aca="false">IF(ISBLANK($C406),"",AND($AL406,OR($AM406="",$AN406="",AND($AO406,$AP406=""))))</f>
        <v/>
      </c>
      <c r="BC406" s="93" t="str">
        <f aca="false">IF($BR406&lt;&gt;Constants!$B$8,"",IF($AL406,Constants!$B$21*$AN406+Constants!$B$22*IF($AO406,$AP406,Constants!$B$23),Constants!$B$24))</f>
        <v/>
      </c>
      <c r="BD406" s="96" t="str">
        <f aca="false">IF($BR406&lt;&gt;Constants!$B$8,"",Constants!$B$25*ABS($AD$9-IF($AL406,$AM406,0)))</f>
        <v/>
      </c>
      <c r="BE406" s="96" t="str">
        <f aca="false">IF($BR406&lt;&gt;Constants!$B$8,"",IF(AND($AL406,$AQ406,$AO406),Constants!$B$27,0))</f>
        <v/>
      </c>
      <c r="BF406" s="96" t="str">
        <f aca="false">IF($BR406&lt;&gt;Constants!$B$8,"",IF($AL406,($AI406-Constants!$B$29)*Constants!$B$28,0))</f>
        <v/>
      </c>
      <c r="BG406" s="96" t="str">
        <f aca="false">IF($BR406&lt;&gt;Constants!$B$8,"",IF($AK406,0,Constants!$B$15)+IF($AJ406,0,Constants!$B$16)+IF($AH406,0,Constants!$B$17))</f>
        <v/>
      </c>
      <c r="BH406" s="97" t="str">
        <f aca="false">IF($BR406&lt;&gt;Constants!$B$8,"",Constants!$B$20+SUM($BC406:$BG406))</f>
        <v/>
      </c>
      <c r="BI406" s="92" t="str">
        <f aca="false">IF($BR406&lt;&gt;Constants!$B$8,"",IF(OR($BP406&lt;$BH406,AND($BP406=$BH406,OR($BK406&lt;$BC406,AND($BK406=$BC406,OR($BL406&lt;$BD406,AND($BL406=$BD406,$AT406,$AL406,$AV406&lt;$AN406)))))),"-&gt;","&lt;-"))</f>
        <v/>
      </c>
      <c r="BJ406" s="91" t="str">
        <f aca="false">IF(ISBLANK($C406),"",AND($AT406,OR($AU406="",$AV406="",AND($AW406,$AX406=""))))</f>
        <v/>
      </c>
      <c r="BK406" s="93" t="str">
        <f aca="false">IF($BR406&lt;&gt;Constants!$B$8,"",IF($AT406,Constants!$B$21*$AV406+Constants!$B$22*IF($AW406,$AX406,Constants!$B$23),Constants!$B$24))</f>
        <v/>
      </c>
      <c r="BL406" s="96" t="str">
        <f aca="false">IF($BR406&lt;&gt;Constants!$B$8,"",Constants!$B$25*ABS($AD$9-IF($AT406,$AU406,0)))</f>
        <v/>
      </c>
      <c r="BM406" s="96" t="str">
        <f aca="false">IF($BR406&lt;&gt;Constants!$B$8,"",IF(AND($AT406,$AY406,$AW406),Constants!$B$27,0))</f>
        <v/>
      </c>
      <c r="BN406" s="96" t="str">
        <f aca="false">IF($BR406&lt;&gt;Constants!$B$8,"",IF($AT406,($AI406-Constants!$B$29)*Constants!$B$28,0))</f>
        <v/>
      </c>
      <c r="BO406" s="96" t="str">
        <f aca="false">IF($BR406&lt;&gt;Constants!$B$8,"",IF($AS406,0,Constants!$B$15)+IF($AR406,0,Constants!$B$16)+IF($AH406,0,Constants!$B$17))</f>
        <v/>
      </c>
      <c r="BP406" s="97" t="str">
        <f aca="false">IF($BR406&lt;&gt;Constants!$B$8,"",Constants!$B$20+SUM($BK406:$BO406))</f>
        <v/>
      </c>
      <c r="BQ406" s="92" t="str">
        <f aca="false">IF(ISBLANK($C406),"",IF(ISBLANK($D$7),$BQ$5,IF(NOT(ISNUMBER($D$7)),$BQ$6,"")))</f>
        <v/>
      </c>
      <c r="BR406" s="92" t="str">
        <f aca="false">IF(ISBLANK($C406),"",IF($BA406,Constants!$B$11,IF(COUNTA($E406:$AA406)=0,Constants!$B$10,IF(NOT($AG406),Constants!$B$9,IF(OR($BQ406&lt;&gt;"",$BB406,$BJ406),Constants!$B$12,Constants!$B$8)))))</f>
        <v/>
      </c>
      <c r="BS406" s="92" t="str">
        <f aca="false">IF(ISBLANK($C406),"",IF($BR406&lt;&gt;Constants!$B$8,$BR406,Constants!$B$13))</f>
        <v/>
      </c>
      <c r="BT406" s="96" t="str">
        <f aca="false">IF($BR406&lt;&gt;Constants!$B$8,"",IF($BI406="-&gt;",$BP406,$BH406))</f>
        <v/>
      </c>
      <c r="BU406" s="96" t="str">
        <f aca="false">IF($BR406&lt;&gt;Constants!$B$8,"",IF($AF406,0,Constants!$B$18))</f>
        <v/>
      </c>
      <c r="BV406" s="96" t="str">
        <f aca="false">IF($BR406&lt;&gt;Constants!$B$8,"",((Constants!$B$31-$AZ406)-Constants!$B$31)/Constants!$B$32)</f>
        <v/>
      </c>
      <c r="BW406" s="96" t="str">
        <f aca="false">IF(ISBLANK($C406),"",IF($BR406&lt;&gt;Constants!$B$8,$BR406,SUM($BT406:$BV406)))</f>
        <v/>
      </c>
      <c r="BX406" s="92" t="str">
        <f aca="false">IF(ISBLANK($C406),"",IF($BR406&lt;&gt;Constants!$B$8,$BR406,RANK($BW406,$BW$9:$BW$508,1)))</f>
        <v/>
      </c>
      <c r="BY406" s="96" t="str">
        <f aca="false">IF($BR406&lt;&gt;Constants!$B$8,"",IF($BI406="-&gt;",$BK406,$BC406))</f>
        <v/>
      </c>
      <c r="BZ406" s="92" t="str">
        <f aca="false">IF(ISBLANK($C406),"",IF($BR406&lt;&gt;Constants!$B$8,$BR406,IF(ISNUMBER($BY406),RANK($BY406,$BY$9:$BY$508,1),COUNT($BY$9:$BY$508)+1)))</f>
        <v/>
      </c>
      <c r="CA406" s="96" t="str">
        <f aca="false">IF($BR406&lt;&gt;Constants!$B$8,"",IF($BI406="-&gt;",$BL406,$BD406))</f>
        <v/>
      </c>
      <c r="CB406" s="92" t="str">
        <f aca="false">IF(ISBLANK($C406),"",IF($BR406&lt;&gt;Constants!$B$8,$BR406,IF(ISNUMBER($CA406),RANK($CA406,$CA$9:$CA$508,1),COUNT($CA$9:$CA$508)+1)))</f>
        <v/>
      </c>
      <c r="CC406" s="96" t="str">
        <f aca="false">IF($BR406&lt;&gt;Constants!$B$8,"",IF($BI406="-&gt;",IF($AT406,$AV406,""),IF($AL406,$AN406,"")))</f>
        <v/>
      </c>
      <c r="CD406" s="92" t="str">
        <f aca="false">IF(ISBLANK($C406),"",IF($BR406&lt;&gt;Constants!$B$8,$BR406,IF(ISNUMBER($CC406),RANK($CC406,$CC$9:$CC$508,1),COUNT($CC$9:$CC$508)+1)))</f>
        <v/>
      </c>
      <c r="CE406" s="96" t="str">
        <f aca="false">IF($BR406&lt;&gt;Constants!$B$8,"",IF(AND(NOT($AL406),NOT($AT406),$AJ406,$AK406,$AR406,$AS406),"",$AI406))</f>
        <v/>
      </c>
      <c r="CF406" s="92" t="str">
        <f aca="false">IF(ISBLANK($C406),"",IF($BR406&lt;&gt;Constants!$B$8,$BR406,IF(ISNUMBER($CE406),RANK($CE406,$CE$9:$CE$508,1),COUNT($CE$9:$CE$508)+1)))</f>
        <v/>
      </c>
      <c r="CG406" s="92" t="str">
        <f aca="false">IF(ISBLANK($C406),"",IF($BR406&lt;&gt;Constants!$B$8,$BR406,COUNTIFS($BX$9:$BX$508,"&lt;"&amp;$BX406)+COUNTIFS($BX$9:$BX$508,$BX406,$BZ$9:$BZ$508,"&lt;"&amp;$BZ406)+COUNTIFS($BX$9:$BX$508,$BX406,$BZ$9:$BZ$508,$BZ406,$CB$9:$CB$508,"&lt;"&amp;$CB406)+COUNTIFS($BX$9:$BX$508,$BX406,$BZ$9:$BZ$508,$BZ406,$CB$9:$CB$508,$CB406,$CD$9:$CD$508,"&lt;"&amp;$CD406)+COUNTIFS($BX$9:$BX$508,$BX406,$BZ$9:$BZ$508,$BZ406,$CB$9:$CB$508,$CB406,$CD$9:$CD$508,$CD406,$CF$9:$CF$508,"&lt;"&amp;$CF406)+1))</f>
        <v/>
      </c>
      <c r="CH406" s="92" t="str">
        <f aca="false">IF(ISBLANK($C406),"",IF($BR406&lt;&gt;Constants!$B$8,$BR406,$BX406-$CG406))</f>
        <v/>
      </c>
      <c r="CI406" s="98"/>
      <c r="CJ406" s="99"/>
      <c r="CK406" s="100" t="str">
        <f aca="false">IF(ISBLANK($C406),"",IF($BR406=Constants!$B$12,$BQ406,""))</f>
        <v/>
      </c>
      <c r="CL406" s="99" t="str">
        <f aca="false">IF(ISBLANK($C406),"",IF($BR406&lt;&gt;Constants!$B$8,"",IF($BI406="-&gt;",2,1)))</f>
        <v/>
      </c>
      <c r="CM406" s="101" t="str">
        <f aca="false">IF(ISBLANK($C406),"",IF($BR406&lt;&gt;Constants!$B$8,"",IF($BI406="-&gt;",$BK406,$BC406)))</f>
        <v/>
      </c>
      <c r="CN406" s="101" t="str">
        <f aca="false">IF(ISBLANK($C406),"",IF($BR406&lt;&gt;Constants!$B$8,"",IF($BI406="-&gt;",$BL406,$BD406)))</f>
        <v/>
      </c>
      <c r="CO406" s="101" t="str">
        <f aca="false">IF(ISBLANK($C406),"",IF($BR406&lt;&gt;Constants!$B$8,"",IF($BI406="-&gt;",$BM406+$BN406,$BE406+$BF406)+$BV406))</f>
        <v/>
      </c>
      <c r="CP406" s="101" t="str">
        <f aca="false">IF(ISBLANK($C406),"",IF($BR406&lt;&gt;Constants!$B$8,"",IF($BI406="-&gt;",$BO406,$BG406)+$BU406))</f>
        <v/>
      </c>
      <c r="CQ406" s="102" t="str">
        <f aca="false">IF(ISBLANK($C406),"",IF($BR406&lt;&gt;Constants!$B$8,$BR406,$BW406))</f>
        <v/>
      </c>
      <c r="CR406" s="103" t="str">
        <f aca="false">IF(ISBLANK($C406),"",$BS406)</f>
        <v/>
      </c>
      <c r="CS406" s="104" t="str">
        <f aca="false">IF(ISBLANK($C406),"",$CH406)</f>
        <v/>
      </c>
      <c r="CT406" s="104" t="str">
        <f aca="false">IF(ISBLANK($C406),"",$CG406)</f>
        <v/>
      </c>
      <c r="CU406" s="105" t="str">
        <f aca="false">IF(ISBLANK($C406),"",IFERROR(_xlfn.SWITCH($CT406,Constants!$B$11,COUNTA($C$9:$C$508)+2,Constants!$B$10,COUNTA($C$9:$C$508)+1,Constants!$B$9,COUNTA($C$9:$C$508)),$CT406))</f>
        <v/>
      </c>
      <c r="CV406" s="9"/>
      <c r="CW406" s="106" t="n">
        <f aca="false">IF(OR(ISNUMBER($CT406),$CT406=Constants!$B$11,$CT406=Constants!$B$9,$CT406=Constants!$B$10),1,0)</f>
        <v>0</v>
      </c>
      <c r="CX406" s="106" t="n">
        <v>398</v>
      </c>
      <c r="CY406" s="106" t="str">
        <f aca="false">IF(ISBLANK($C406),"",IF(ISNUMBER($CU406),$CU406+ROW($B406)/1000,""))</f>
        <v/>
      </c>
      <c r="CZ406" s="106" t="str">
        <f aca="false">IF(ISNUMBER($CY406),RANK($CY406,$CY$9:$CY$508,1),"")</f>
        <v/>
      </c>
      <c r="DA406" s="106" t="str">
        <f aca="false">IF(ISBLANK($C406),"",$B406)</f>
        <v/>
      </c>
      <c r="DB406" s="106" t="str">
        <f aca="false">IF(ISBLANK($C406),"",$C406)</f>
        <v/>
      </c>
      <c r="DC406" s="106" t="str">
        <f aca="false">IF(ISBLANK($C406),"",$D406)</f>
        <v/>
      </c>
      <c r="DD406" s="107" t="str">
        <f aca="false">$CR406</f>
        <v/>
      </c>
      <c r="DE406" s="108" t="str">
        <f aca="false">$CQ406</f>
        <v/>
      </c>
      <c r="DF406" s="106" t="str">
        <f aca="false">IF(ISBLANK($C406),"",$CT406)</f>
        <v/>
      </c>
      <c r="DG406" s="109" t="str">
        <f aca="false">IF($CX406&gt;$CW$8,"",VLOOKUP($CX406,$CZ$9:$DF$508,7,FALSE()))</f>
        <v/>
      </c>
      <c r="DH406" s="110" t="str">
        <f aca="false">IF($CX406&gt;$CW$8,"",VLOOKUP($CX406,$CZ$9:$DF$508,2,FALSE()))</f>
        <v/>
      </c>
      <c r="DI406" s="110" t="str">
        <f aca="false">IF($CX406&gt;$CW$8,"",VLOOKUP($CX406,$CZ$9:$DF$508,3,FALSE()))</f>
        <v/>
      </c>
      <c r="DJ406" s="110" t="str">
        <f aca="false">IF($CX406&gt;$CW$8,"",VLOOKUP($CX406,$CZ$9:$DF$508,4,FALSE()))</f>
        <v/>
      </c>
      <c r="DK406" s="110" t="str">
        <f aca="false">IF($CX406&gt;$CW$8,"",VLOOKUP($CX406,$CZ$9:$DF$508,5,FALSE()))</f>
        <v/>
      </c>
      <c r="DL406" s="111" t="str">
        <f aca="false">IF($CX406&gt;$CW$8,"",VLOOKUP($CX406,$CZ$9:$DF$508,6,FALSE()))</f>
        <v/>
      </c>
      <c r="DM406" s="75"/>
    </row>
    <row r="407" customFormat="false" ht="15.75" hidden="false" customHeight="false" outlineLevel="0" collapsed="false">
      <c r="A407" s="9"/>
      <c r="B407" s="77"/>
      <c r="C407" s="78"/>
      <c r="D407" s="167"/>
      <c r="E407" s="175"/>
      <c r="F407" s="169"/>
      <c r="G407" s="170"/>
      <c r="H407" s="170"/>
      <c r="I407" s="176"/>
      <c r="J407" s="173"/>
      <c r="K407" s="85"/>
      <c r="L407" s="86"/>
      <c r="M407" s="87"/>
      <c r="N407" s="173"/>
      <c r="O407" s="173"/>
      <c r="P407" s="175"/>
      <c r="Q407" s="173"/>
      <c r="R407" s="173"/>
      <c r="S407" s="85"/>
      <c r="T407" s="87"/>
      <c r="U407" s="87"/>
      <c r="V407" s="173"/>
      <c r="W407" s="173"/>
      <c r="X407" s="175"/>
      <c r="Y407" s="173"/>
      <c r="Z407" s="174"/>
      <c r="AA407" s="173"/>
      <c r="AB407" s="91"/>
      <c r="AC407" s="92"/>
      <c r="AD407" s="92"/>
      <c r="AE407" s="92"/>
      <c r="AF407" s="92" t="str">
        <f aca="false">IF(ISBLANK($C407),"",IF(E407=Constants!$B$3,TRUE(),IF(E407=Constants!$B$4,FALSE(),TRUE())))</f>
        <v/>
      </c>
      <c r="AG407" s="92" t="str">
        <f aca="false">IF(ISBLANK($C407),"",IF(F407=Constants!$B$3,TRUE(),IF(F407=Constants!$B$4,FALSE(),TRUE())))</f>
        <v/>
      </c>
      <c r="AH407" s="92" t="str">
        <f aca="false">IF(ISBLANK($C407),"",IF(G407=Constants!$B$3,TRUE(),IF(G407=Constants!$B$4,FALSE(),TRUE())))</f>
        <v/>
      </c>
      <c r="AI407" s="92" t="str">
        <f aca="false">IF(ISBLANK($C407),"",IF(AND(ISNUMBER(H407),H407&gt;=0),H407,Constants!$B$29))</f>
        <v/>
      </c>
      <c r="AJ407" s="92" t="str">
        <f aca="false">IF(ISBLANK($C407),"",IF(I407=Constants!$B$3,TRUE(),IF(I407=Constants!$B$4,FALSE(),TRUE())))</f>
        <v/>
      </c>
      <c r="AK407" s="92" t="str">
        <f aca="false">IF(ISBLANK($C407),"",IF(J407=Constants!$B$3,TRUE(),IF(J407=Constants!$B$4,FALSE(),TRUE())))</f>
        <v/>
      </c>
      <c r="AL407" s="92" t="str">
        <f aca="false">IF(ISBLANK($C407),"",IF(K407=Constants!$B$5,TRUE(),IF(K407=Constants!$B$6,FALSE(),COUNTA(L407:P407)&gt;0)))</f>
        <v/>
      </c>
      <c r="AM407" s="94" t="str">
        <f aca="false">IF(ISBLANK($C407),"",IF(ISNUMBER(L407),IF(L407&gt;=0,L407,""),""))</f>
        <v/>
      </c>
      <c r="AN407" s="93" t="str">
        <f aca="false">IF(ISBLANK($C407),"",IF(ISNUMBER(M407),IF(M407&gt;=0,M407,""),""))</f>
        <v/>
      </c>
      <c r="AO407" s="93" t="str">
        <f aca="false">IF(ISBLANK($C407),"",IF(N407=Constants!$B$3,TRUE(),IF(N407=Constants!$B$4,FALSE(),TRUE())))</f>
        <v/>
      </c>
      <c r="AP407" s="92" t="str">
        <f aca="false">IF(ISBLANK($C407),"",IF(ISNUMBER(O407),IF(O407&gt;=0,O407,""),""))</f>
        <v/>
      </c>
      <c r="AQ407" s="92" t="str">
        <f aca="false">IF(ISBLANK($C407),"",IF(P407=Constants!$B$3,TRUE(),IF(P407=Constants!$B$4,FALSE(),FALSE())))</f>
        <v/>
      </c>
      <c r="AR407" s="92" t="str">
        <f aca="false">IF(ISBLANK($C407),"",IF(Q407=Constants!$B$3,TRUE(),IF(Q407=Constants!$B$4,FALSE(),TRUE())))</f>
        <v/>
      </c>
      <c r="AS407" s="92" t="str">
        <f aca="false">IF(ISBLANK($C407),"",IF(R407=Constants!$B$3,TRUE(),IF(R407=Constants!$B$4,FALSE(),TRUE())))</f>
        <v/>
      </c>
      <c r="AT407" s="92" t="str">
        <f aca="false">IF(ISBLANK($C407),"",IF(S407=Constants!$B$5,TRUE(),IF(S407=Constants!$B$6,FALSE(),COUNTA(T407:X407)&gt;0)))</f>
        <v/>
      </c>
      <c r="AU407" s="94" t="str">
        <f aca="false">IF(ISBLANK($C407),"",IF(ISNUMBER(T407),IF(T407&gt;=0,T407,""),""))</f>
        <v/>
      </c>
      <c r="AV407" s="93" t="str">
        <f aca="false">IF(ISBLANK($C407),"",IF(ISNUMBER(U407),IF(U407&gt;=0,U407,""),""))</f>
        <v/>
      </c>
      <c r="AW407" s="93" t="str">
        <f aca="false">IF(ISBLANK($C407),"",IF(V407=Constants!$B$3,TRUE(),IF(V407=Constants!$B$4,FALSE(),TRUE())))</f>
        <v/>
      </c>
      <c r="AX407" s="92" t="str">
        <f aca="false">IF(ISBLANK($C407),"",IF(ISNUMBER(W407),IF(W407&gt;=0,W407,""),""))</f>
        <v/>
      </c>
      <c r="AY407" s="92" t="str">
        <f aca="false">IF(ISBLANK($C407),"",IF(X407=Constants!$B$3,TRUE(),IF(X407=Constants!$B$4,FALSE(),FALSE())))</f>
        <v/>
      </c>
      <c r="AZ407" s="92" t="str">
        <f aca="false">IF(ISBLANK($C407),"",MIN(Constants!$B$31,MAX(0,IF(ISNUMBER(Y407),Y407*60,0)+IF(ISNUMBER(Z407),Z407,0))))</f>
        <v/>
      </c>
      <c r="BA407" s="92" t="str">
        <f aca="false">IF(ISBLANK($C407),"",IF(AA407=Constants!$B$3,TRUE(),IF(AA407=Constants!$B$4,FALSE(),FALSE())))</f>
        <v/>
      </c>
      <c r="BB407" s="91" t="str">
        <f aca="false">IF(ISBLANK($C407),"",AND($AL407,OR($AM407="",$AN407="",AND($AO407,$AP407=""))))</f>
        <v/>
      </c>
      <c r="BC407" s="93" t="str">
        <f aca="false">IF($BR407&lt;&gt;Constants!$B$8,"",IF($AL407,Constants!$B$21*$AN407+Constants!$B$22*IF($AO407,$AP407,Constants!$B$23),Constants!$B$24))</f>
        <v/>
      </c>
      <c r="BD407" s="96" t="str">
        <f aca="false">IF($BR407&lt;&gt;Constants!$B$8,"",Constants!$B$25*ABS($AD$9-IF($AL407,$AM407,0)))</f>
        <v/>
      </c>
      <c r="BE407" s="96" t="str">
        <f aca="false">IF($BR407&lt;&gt;Constants!$B$8,"",IF(AND($AL407,$AQ407,$AO407),Constants!$B$27,0))</f>
        <v/>
      </c>
      <c r="BF407" s="96" t="str">
        <f aca="false">IF($BR407&lt;&gt;Constants!$B$8,"",IF($AL407,($AI407-Constants!$B$29)*Constants!$B$28,0))</f>
        <v/>
      </c>
      <c r="BG407" s="96" t="str">
        <f aca="false">IF($BR407&lt;&gt;Constants!$B$8,"",IF($AK407,0,Constants!$B$15)+IF($AJ407,0,Constants!$B$16)+IF($AH407,0,Constants!$B$17))</f>
        <v/>
      </c>
      <c r="BH407" s="97" t="str">
        <f aca="false">IF($BR407&lt;&gt;Constants!$B$8,"",Constants!$B$20+SUM($BC407:$BG407))</f>
        <v/>
      </c>
      <c r="BI407" s="92" t="str">
        <f aca="false">IF($BR407&lt;&gt;Constants!$B$8,"",IF(OR($BP407&lt;$BH407,AND($BP407=$BH407,OR($BK407&lt;$BC407,AND($BK407=$BC407,OR($BL407&lt;$BD407,AND($BL407=$BD407,$AT407,$AL407,$AV407&lt;$AN407)))))),"-&gt;","&lt;-"))</f>
        <v/>
      </c>
      <c r="BJ407" s="91" t="str">
        <f aca="false">IF(ISBLANK($C407),"",AND($AT407,OR($AU407="",$AV407="",AND($AW407,$AX407=""))))</f>
        <v/>
      </c>
      <c r="BK407" s="93" t="str">
        <f aca="false">IF($BR407&lt;&gt;Constants!$B$8,"",IF($AT407,Constants!$B$21*$AV407+Constants!$B$22*IF($AW407,$AX407,Constants!$B$23),Constants!$B$24))</f>
        <v/>
      </c>
      <c r="BL407" s="96" t="str">
        <f aca="false">IF($BR407&lt;&gt;Constants!$B$8,"",Constants!$B$25*ABS($AD$9-IF($AT407,$AU407,0)))</f>
        <v/>
      </c>
      <c r="BM407" s="96" t="str">
        <f aca="false">IF($BR407&lt;&gt;Constants!$B$8,"",IF(AND($AT407,$AY407,$AW407),Constants!$B$27,0))</f>
        <v/>
      </c>
      <c r="BN407" s="96" t="str">
        <f aca="false">IF($BR407&lt;&gt;Constants!$B$8,"",IF($AT407,($AI407-Constants!$B$29)*Constants!$B$28,0))</f>
        <v/>
      </c>
      <c r="BO407" s="96" t="str">
        <f aca="false">IF($BR407&lt;&gt;Constants!$B$8,"",IF($AS407,0,Constants!$B$15)+IF($AR407,0,Constants!$B$16)+IF($AH407,0,Constants!$B$17))</f>
        <v/>
      </c>
      <c r="BP407" s="97" t="str">
        <f aca="false">IF($BR407&lt;&gt;Constants!$B$8,"",Constants!$B$20+SUM($BK407:$BO407))</f>
        <v/>
      </c>
      <c r="BQ407" s="92" t="str">
        <f aca="false">IF(ISBLANK($C407),"",IF(ISBLANK($D$7),$BQ$5,IF(NOT(ISNUMBER($D$7)),$BQ$6,"")))</f>
        <v/>
      </c>
      <c r="BR407" s="92" t="str">
        <f aca="false">IF(ISBLANK($C407),"",IF($BA407,Constants!$B$11,IF(COUNTA($E407:$AA407)=0,Constants!$B$10,IF(NOT($AG407),Constants!$B$9,IF(OR($BQ407&lt;&gt;"",$BB407,$BJ407),Constants!$B$12,Constants!$B$8)))))</f>
        <v/>
      </c>
      <c r="BS407" s="92" t="str">
        <f aca="false">IF(ISBLANK($C407),"",IF($BR407&lt;&gt;Constants!$B$8,$BR407,Constants!$B$13))</f>
        <v/>
      </c>
      <c r="BT407" s="96" t="str">
        <f aca="false">IF($BR407&lt;&gt;Constants!$B$8,"",IF($BI407="-&gt;",$BP407,$BH407))</f>
        <v/>
      </c>
      <c r="BU407" s="96" t="str">
        <f aca="false">IF($BR407&lt;&gt;Constants!$B$8,"",IF($AF407,0,Constants!$B$18))</f>
        <v/>
      </c>
      <c r="BV407" s="96" t="str">
        <f aca="false">IF($BR407&lt;&gt;Constants!$B$8,"",((Constants!$B$31-$AZ407)-Constants!$B$31)/Constants!$B$32)</f>
        <v/>
      </c>
      <c r="BW407" s="96" t="str">
        <f aca="false">IF(ISBLANK($C407),"",IF($BR407&lt;&gt;Constants!$B$8,$BR407,SUM($BT407:$BV407)))</f>
        <v/>
      </c>
      <c r="BX407" s="92" t="str">
        <f aca="false">IF(ISBLANK($C407),"",IF($BR407&lt;&gt;Constants!$B$8,$BR407,RANK($BW407,$BW$9:$BW$508,1)))</f>
        <v/>
      </c>
      <c r="BY407" s="96" t="str">
        <f aca="false">IF($BR407&lt;&gt;Constants!$B$8,"",IF($BI407="-&gt;",$BK407,$BC407))</f>
        <v/>
      </c>
      <c r="BZ407" s="92" t="str">
        <f aca="false">IF(ISBLANK($C407),"",IF($BR407&lt;&gt;Constants!$B$8,$BR407,IF(ISNUMBER($BY407),RANK($BY407,$BY$9:$BY$508,1),COUNT($BY$9:$BY$508)+1)))</f>
        <v/>
      </c>
      <c r="CA407" s="96" t="str">
        <f aca="false">IF($BR407&lt;&gt;Constants!$B$8,"",IF($BI407="-&gt;",$BL407,$BD407))</f>
        <v/>
      </c>
      <c r="CB407" s="92" t="str">
        <f aca="false">IF(ISBLANK($C407),"",IF($BR407&lt;&gt;Constants!$B$8,$BR407,IF(ISNUMBER($CA407),RANK($CA407,$CA$9:$CA$508,1),COUNT($CA$9:$CA$508)+1)))</f>
        <v/>
      </c>
      <c r="CC407" s="96" t="str">
        <f aca="false">IF($BR407&lt;&gt;Constants!$B$8,"",IF($BI407="-&gt;",IF($AT407,$AV407,""),IF($AL407,$AN407,"")))</f>
        <v/>
      </c>
      <c r="CD407" s="92" t="str">
        <f aca="false">IF(ISBLANK($C407),"",IF($BR407&lt;&gt;Constants!$B$8,$BR407,IF(ISNUMBER($CC407),RANK($CC407,$CC$9:$CC$508,1),COUNT($CC$9:$CC$508)+1)))</f>
        <v/>
      </c>
      <c r="CE407" s="96" t="str">
        <f aca="false">IF($BR407&lt;&gt;Constants!$B$8,"",IF(AND(NOT($AL407),NOT($AT407),$AJ407,$AK407,$AR407,$AS407),"",$AI407))</f>
        <v/>
      </c>
      <c r="CF407" s="92" t="str">
        <f aca="false">IF(ISBLANK($C407),"",IF($BR407&lt;&gt;Constants!$B$8,$BR407,IF(ISNUMBER($CE407),RANK($CE407,$CE$9:$CE$508,1),COUNT($CE$9:$CE$508)+1)))</f>
        <v/>
      </c>
      <c r="CG407" s="92" t="str">
        <f aca="false">IF(ISBLANK($C407),"",IF($BR407&lt;&gt;Constants!$B$8,$BR407,COUNTIFS($BX$9:$BX$508,"&lt;"&amp;$BX407)+COUNTIFS($BX$9:$BX$508,$BX407,$BZ$9:$BZ$508,"&lt;"&amp;$BZ407)+COUNTIFS($BX$9:$BX$508,$BX407,$BZ$9:$BZ$508,$BZ407,$CB$9:$CB$508,"&lt;"&amp;$CB407)+COUNTIFS($BX$9:$BX$508,$BX407,$BZ$9:$BZ$508,$BZ407,$CB$9:$CB$508,$CB407,$CD$9:$CD$508,"&lt;"&amp;$CD407)+COUNTIFS($BX$9:$BX$508,$BX407,$BZ$9:$BZ$508,$BZ407,$CB$9:$CB$508,$CB407,$CD$9:$CD$508,$CD407,$CF$9:$CF$508,"&lt;"&amp;$CF407)+1))</f>
        <v/>
      </c>
      <c r="CH407" s="92" t="str">
        <f aca="false">IF(ISBLANK($C407),"",IF($BR407&lt;&gt;Constants!$B$8,$BR407,$BX407-$CG407))</f>
        <v/>
      </c>
      <c r="CI407" s="98"/>
      <c r="CJ407" s="99"/>
      <c r="CK407" s="100" t="str">
        <f aca="false">IF(ISBLANK($C407),"",IF($BR407=Constants!$B$12,$BQ407,""))</f>
        <v/>
      </c>
      <c r="CL407" s="99" t="str">
        <f aca="false">IF(ISBLANK($C407),"",IF($BR407&lt;&gt;Constants!$B$8,"",IF($BI407="-&gt;",2,1)))</f>
        <v/>
      </c>
      <c r="CM407" s="101" t="str">
        <f aca="false">IF(ISBLANK($C407),"",IF($BR407&lt;&gt;Constants!$B$8,"",IF($BI407="-&gt;",$BK407,$BC407)))</f>
        <v/>
      </c>
      <c r="CN407" s="101" t="str">
        <f aca="false">IF(ISBLANK($C407),"",IF($BR407&lt;&gt;Constants!$B$8,"",IF($BI407="-&gt;",$BL407,$BD407)))</f>
        <v/>
      </c>
      <c r="CO407" s="101" t="str">
        <f aca="false">IF(ISBLANK($C407),"",IF($BR407&lt;&gt;Constants!$B$8,"",IF($BI407="-&gt;",$BM407+$BN407,$BE407+$BF407)+$BV407))</f>
        <v/>
      </c>
      <c r="CP407" s="101" t="str">
        <f aca="false">IF(ISBLANK($C407),"",IF($BR407&lt;&gt;Constants!$B$8,"",IF($BI407="-&gt;",$BO407,$BG407)+$BU407))</f>
        <v/>
      </c>
      <c r="CQ407" s="102" t="str">
        <f aca="false">IF(ISBLANK($C407),"",IF($BR407&lt;&gt;Constants!$B$8,$BR407,$BW407))</f>
        <v/>
      </c>
      <c r="CR407" s="103" t="str">
        <f aca="false">IF(ISBLANK($C407),"",$BS407)</f>
        <v/>
      </c>
      <c r="CS407" s="104" t="str">
        <f aca="false">IF(ISBLANK($C407),"",$CH407)</f>
        <v/>
      </c>
      <c r="CT407" s="104" t="str">
        <f aca="false">IF(ISBLANK($C407),"",$CG407)</f>
        <v/>
      </c>
      <c r="CU407" s="105" t="str">
        <f aca="false">IF(ISBLANK($C407),"",IFERROR(_xlfn.SWITCH($CT407,Constants!$B$11,COUNTA($C$9:$C$508)+2,Constants!$B$10,COUNTA($C$9:$C$508)+1,Constants!$B$9,COUNTA($C$9:$C$508)),$CT407))</f>
        <v/>
      </c>
      <c r="CV407" s="9"/>
      <c r="CW407" s="106" t="n">
        <f aca="false">IF(OR(ISNUMBER($CT407),$CT407=Constants!$B$11,$CT407=Constants!$B$9,$CT407=Constants!$B$10),1,0)</f>
        <v>0</v>
      </c>
      <c r="CX407" s="106" t="n">
        <v>399</v>
      </c>
      <c r="CY407" s="106" t="str">
        <f aca="false">IF(ISBLANK($C407),"",IF(ISNUMBER($CU407),$CU407+ROW($B407)/1000,""))</f>
        <v/>
      </c>
      <c r="CZ407" s="106" t="str">
        <f aca="false">IF(ISNUMBER($CY407),RANK($CY407,$CY$9:$CY$508,1),"")</f>
        <v/>
      </c>
      <c r="DA407" s="106" t="str">
        <f aca="false">IF(ISBLANK($C407),"",$B407)</f>
        <v/>
      </c>
      <c r="DB407" s="106" t="str">
        <f aca="false">IF(ISBLANK($C407),"",$C407)</f>
        <v/>
      </c>
      <c r="DC407" s="106" t="str">
        <f aca="false">IF(ISBLANK($C407),"",$D407)</f>
        <v/>
      </c>
      <c r="DD407" s="107" t="str">
        <f aca="false">$CR407</f>
        <v/>
      </c>
      <c r="DE407" s="108" t="str">
        <f aca="false">$CQ407</f>
        <v/>
      </c>
      <c r="DF407" s="106" t="str">
        <f aca="false">IF(ISBLANK($C407),"",$CT407)</f>
        <v/>
      </c>
      <c r="DG407" s="109" t="str">
        <f aca="false">IF($CX407&gt;$CW$8,"",VLOOKUP($CX407,$CZ$9:$DF$508,7,FALSE()))</f>
        <v/>
      </c>
      <c r="DH407" s="110" t="str">
        <f aca="false">IF($CX407&gt;$CW$8,"",VLOOKUP($CX407,$CZ$9:$DF$508,2,FALSE()))</f>
        <v/>
      </c>
      <c r="DI407" s="110" t="str">
        <f aca="false">IF($CX407&gt;$CW$8,"",VLOOKUP($CX407,$CZ$9:$DF$508,3,FALSE()))</f>
        <v/>
      </c>
      <c r="DJ407" s="110" t="str">
        <f aca="false">IF($CX407&gt;$CW$8,"",VLOOKUP($CX407,$CZ$9:$DF$508,4,FALSE()))</f>
        <v/>
      </c>
      <c r="DK407" s="110" t="str">
        <f aca="false">IF($CX407&gt;$CW$8,"",VLOOKUP($CX407,$CZ$9:$DF$508,5,FALSE()))</f>
        <v/>
      </c>
      <c r="DL407" s="111" t="str">
        <f aca="false">IF($CX407&gt;$CW$8,"",VLOOKUP($CX407,$CZ$9:$DF$508,6,FALSE()))</f>
        <v/>
      </c>
      <c r="DM407" s="75"/>
    </row>
    <row r="408" customFormat="false" ht="15.75" hidden="false" customHeight="false" outlineLevel="0" collapsed="false">
      <c r="A408" s="9"/>
      <c r="B408" s="157"/>
      <c r="C408" s="158"/>
      <c r="D408" s="159"/>
      <c r="E408" s="177"/>
      <c r="F408" s="161"/>
      <c r="G408" s="162"/>
      <c r="H408" s="162"/>
      <c r="I408" s="178"/>
      <c r="J408" s="165"/>
      <c r="K408" s="126"/>
      <c r="L408" s="127"/>
      <c r="M408" s="128"/>
      <c r="N408" s="165"/>
      <c r="O408" s="165"/>
      <c r="P408" s="177"/>
      <c r="Q408" s="165"/>
      <c r="R408" s="165"/>
      <c r="S408" s="126"/>
      <c r="T408" s="128"/>
      <c r="U408" s="128"/>
      <c r="V408" s="165"/>
      <c r="W408" s="165"/>
      <c r="X408" s="177"/>
      <c r="Y408" s="165"/>
      <c r="Z408" s="166"/>
      <c r="AA408" s="165"/>
      <c r="AB408" s="132"/>
      <c r="AC408" s="133"/>
      <c r="AD408" s="133"/>
      <c r="AE408" s="133"/>
      <c r="AF408" s="133" t="str">
        <f aca="false">IF(ISBLANK($C408),"",IF(E408=Constants!$B$3,TRUE(),IF(E408=Constants!$B$4,FALSE(),TRUE())))</f>
        <v/>
      </c>
      <c r="AG408" s="133" t="str">
        <f aca="false">IF(ISBLANK($C408),"",IF(F408=Constants!$B$3,TRUE(),IF(F408=Constants!$B$4,FALSE(),TRUE())))</f>
        <v/>
      </c>
      <c r="AH408" s="133" t="str">
        <f aca="false">IF(ISBLANK($C408),"",IF(G408=Constants!$B$3,TRUE(),IF(G408=Constants!$B$4,FALSE(),TRUE())))</f>
        <v/>
      </c>
      <c r="AI408" s="133" t="str">
        <f aca="false">IF(ISBLANK($C408),"",IF(AND(ISNUMBER(H408),H408&gt;=0),H408,Constants!$B$29))</f>
        <v/>
      </c>
      <c r="AJ408" s="133" t="str">
        <f aca="false">IF(ISBLANK($C408),"",IF(I408=Constants!$B$3,TRUE(),IF(I408=Constants!$B$4,FALSE(),TRUE())))</f>
        <v/>
      </c>
      <c r="AK408" s="133" t="str">
        <f aca="false">IF(ISBLANK($C408),"",IF(J408=Constants!$B$3,TRUE(),IF(J408=Constants!$B$4,FALSE(),TRUE())))</f>
        <v/>
      </c>
      <c r="AL408" s="133" t="str">
        <f aca="false">IF(ISBLANK($C408),"",IF(K408=Constants!$B$5,TRUE(),IF(K408=Constants!$B$6,FALSE(),COUNTA(L408:P408)&gt;0)))</f>
        <v/>
      </c>
      <c r="AM408" s="134" t="str">
        <f aca="false">IF(ISBLANK($C408),"",IF(ISNUMBER(L408),IF(L408&gt;=0,L408,""),""))</f>
        <v/>
      </c>
      <c r="AN408" s="135" t="str">
        <f aca="false">IF(ISBLANK($C408),"",IF(ISNUMBER(M408),IF(M408&gt;=0,M408,""),""))</f>
        <v/>
      </c>
      <c r="AO408" s="135" t="str">
        <f aca="false">IF(ISBLANK($C408),"",IF(N408=Constants!$B$3,TRUE(),IF(N408=Constants!$B$4,FALSE(),TRUE())))</f>
        <v/>
      </c>
      <c r="AP408" s="133" t="str">
        <f aca="false">IF(ISBLANK($C408),"",IF(ISNUMBER(O408),IF(O408&gt;=0,O408,""),""))</f>
        <v/>
      </c>
      <c r="AQ408" s="133" t="str">
        <f aca="false">IF(ISBLANK($C408),"",IF(P408=Constants!$B$3,TRUE(),IF(P408=Constants!$B$4,FALSE(),FALSE())))</f>
        <v/>
      </c>
      <c r="AR408" s="133" t="str">
        <f aca="false">IF(ISBLANK($C408),"",IF(Q408=Constants!$B$3,TRUE(),IF(Q408=Constants!$B$4,FALSE(),TRUE())))</f>
        <v/>
      </c>
      <c r="AS408" s="133" t="str">
        <f aca="false">IF(ISBLANK($C408),"",IF(R408=Constants!$B$3,TRUE(),IF(R408=Constants!$B$4,FALSE(),TRUE())))</f>
        <v/>
      </c>
      <c r="AT408" s="133" t="str">
        <f aca="false">IF(ISBLANK($C408),"",IF(S408=Constants!$B$5,TRUE(),IF(S408=Constants!$B$6,FALSE(),COUNTA(T408:X408)&gt;0)))</f>
        <v/>
      </c>
      <c r="AU408" s="134" t="str">
        <f aca="false">IF(ISBLANK($C408),"",IF(ISNUMBER(T408),IF(T408&gt;=0,T408,""),""))</f>
        <v/>
      </c>
      <c r="AV408" s="135" t="str">
        <f aca="false">IF(ISBLANK($C408),"",IF(ISNUMBER(U408),IF(U408&gt;=0,U408,""),""))</f>
        <v/>
      </c>
      <c r="AW408" s="135" t="str">
        <f aca="false">IF(ISBLANK($C408),"",IF(V408=Constants!$B$3,TRUE(),IF(V408=Constants!$B$4,FALSE(),TRUE())))</f>
        <v/>
      </c>
      <c r="AX408" s="133" t="str">
        <f aca="false">IF(ISBLANK($C408),"",IF(ISNUMBER(W408),IF(W408&gt;=0,W408,""),""))</f>
        <v/>
      </c>
      <c r="AY408" s="133" t="str">
        <f aca="false">IF(ISBLANK($C408),"",IF(X408=Constants!$B$3,TRUE(),IF(X408=Constants!$B$4,FALSE(),FALSE())))</f>
        <v/>
      </c>
      <c r="AZ408" s="133" t="str">
        <f aca="false">IF(ISBLANK($C408),"",MIN(Constants!$B$31,MAX(0,IF(ISNUMBER(Y408),Y408*60,0)+IF(ISNUMBER(Z408),Z408,0))))</f>
        <v/>
      </c>
      <c r="BA408" s="133" t="str">
        <f aca="false">IF(ISBLANK($C408),"",IF(AA408=Constants!$B$3,TRUE(),IF(AA408=Constants!$B$4,FALSE(),FALSE())))</f>
        <v/>
      </c>
      <c r="BB408" s="132" t="str">
        <f aca="false">IF(ISBLANK($C408),"",AND($AL408,OR($AM408="",$AN408="",AND($AO408,$AP408=""))))</f>
        <v/>
      </c>
      <c r="BC408" s="135" t="str">
        <f aca="false">IF($BR408&lt;&gt;Constants!$B$8,"",IF($AL408,Constants!$B$21*$AN408+Constants!$B$22*IF($AO408,$AP408,Constants!$B$23),Constants!$B$24))</f>
        <v/>
      </c>
      <c r="BD408" s="136" t="str">
        <f aca="false">IF($BR408&lt;&gt;Constants!$B$8,"",Constants!$B$25*ABS($AD$9-IF($AL408,$AM408,0)))</f>
        <v/>
      </c>
      <c r="BE408" s="136" t="str">
        <f aca="false">IF($BR408&lt;&gt;Constants!$B$8,"",IF(AND($AL408,$AQ408,$AO408),Constants!$B$27,0))</f>
        <v/>
      </c>
      <c r="BF408" s="136" t="str">
        <f aca="false">IF($BR408&lt;&gt;Constants!$B$8,"",IF($AL408,($AI408-Constants!$B$29)*Constants!$B$28,0))</f>
        <v/>
      </c>
      <c r="BG408" s="136" t="str">
        <f aca="false">IF($BR408&lt;&gt;Constants!$B$8,"",IF($AK408,0,Constants!$B$15)+IF($AJ408,0,Constants!$B$16)+IF($AH408,0,Constants!$B$17))</f>
        <v/>
      </c>
      <c r="BH408" s="137" t="str">
        <f aca="false">IF($BR408&lt;&gt;Constants!$B$8,"",Constants!$B$20+SUM($BC408:$BG408))</f>
        <v/>
      </c>
      <c r="BI408" s="133" t="str">
        <f aca="false">IF($BR408&lt;&gt;Constants!$B$8,"",IF(OR($BP408&lt;$BH408,AND($BP408=$BH408,OR($BK408&lt;$BC408,AND($BK408=$BC408,OR($BL408&lt;$BD408,AND($BL408=$BD408,$AT408,$AL408,$AV408&lt;$AN408)))))),"-&gt;","&lt;-"))</f>
        <v/>
      </c>
      <c r="BJ408" s="132" t="str">
        <f aca="false">IF(ISBLANK($C408),"",AND($AT408,OR($AU408="",$AV408="",AND($AW408,$AX408=""))))</f>
        <v/>
      </c>
      <c r="BK408" s="135" t="str">
        <f aca="false">IF($BR408&lt;&gt;Constants!$B$8,"",IF($AT408,Constants!$B$21*$AV408+Constants!$B$22*IF($AW408,$AX408,Constants!$B$23),Constants!$B$24))</f>
        <v/>
      </c>
      <c r="BL408" s="136" t="str">
        <f aca="false">IF($BR408&lt;&gt;Constants!$B$8,"",Constants!$B$25*ABS($AD$9-IF($AT408,$AU408,0)))</f>
        <v/>
      </c>
      <c r="BM408" s="136" t="str">
        <f aca="false">IF($BR408&lt;&gt;Constants!$B$8,"",IF(AND($AT408,$AY408,$AW408),Constants!$B$27,0))</f>
        <v/>
      </c>
      <c r="BN408" s="136" t="str">
        <f aca="false">IF($BR408&lt;&gt;Constants!$B$8,"",IF($AT408,($AI408-Constants!$B$29)*Constants!$B$28,0))</f>
        <v/>
      </c>
      <c r="BO408" s="136" t="str">
        <f aca="false">IF($BR408&lt;&gt;Constants!$B$8,"",IF($AS408,0,Constants!$B$15)+IF($AR408,0,Constants!$B$16)+IF($AH408,0,Constants!$B$17))</f>
        <v/>
      </c>
      <c r="BP408" s="137" t="str">
        <f aca="false">IF($BR408&lt;&gt;Constants!$B$8,"",Constants!$B$20+SUM($BK408:$BO408))</f>
        <v/>
      </c>
      <c r="BQ408" s="133" t="str">
        <f aca="false">IF(ISBLANK($C408),"",IF(ISBLANK($D$7),$BQ$5,IF(NOT(ISNUMBER($D$7)),$BQ$6,"")))</f>
        <v/>
      </c>
      <c r="BR408" s="133" t="str">
        <f aca="false">IF(ISBLANK($C408),"",IF($BA408,Constants!$B$11,IF(COUNTA($E408:$AA408)=0,Constants!$B$10,IF(NOT($AG408),Constants!$B$9,IF(OR($BQ408&lt;&gt;"",$BB408,$BJ408),Constants!$B$12,Constants!$B$8)))))</f>
        <v/>
      </c>
      <c r="BS408" s="133" t="str">
        <f aca="false">IF(ISBLANK($C408),"",IF($BR408&lt;&gt;Constants!$B$8,$BR408,Constants!$B$13))</f>
        <v/>
      </c>
      <c r="BT408" s="136" t="str">
        <f aca="false">IF($BR408&lt;&gt;Constants!$B$8,"",IF($BI408="-&gt;",$BP408,$BH408))</f>
        <v/>
      </c>
      <c r="BU408" s="136" t="str">
        <f aca="false">IF($BR408&lt;&gt;Constants!$B$8,"",IF($AF408,0,Constants!$B$18))</f>
        <v/>
      </c>
      <c r="BV408" s="136" t="str">
        <f aca="false">IF($BR408&lt;&gt;Constants!$B$8,"",((Constants!$B$31-$AZ408)-Constants!$B$31)/Constants!$B$32)</f>
        <v/>
      </c>
      <c r="BW408" s="136" t="str">
        <f aca="false">IF(ISBLANK($C408),"",IF($BR408&lt;&gt;Constants!$B$8,$BR408,SUM($BT408:$BV408)))</f>
        <v/>
      </c>
      <c r="BX408" s="133" t="str">
        <f aca="false">IF(ISBLANK($C408),"",IF($BR408&lt;&gt;Constants!$B$8,$BR408,RANK($BW408,$BW$9:$BW$508,1)))</f>
        <v/>
      </c>
      <c r="BY408" s="136" t="str">
        <f aca="false">IF($BR408&lt;&gt;Constants!$B$8,"",IF($BI408="-&gt;",$BK408,$BC408))</f>
        <v/>
      </c>
      <c r="BZ408" s="133" t="str">
        <f aca="false">IF(ISBLANK($C408),"",IF($BR408&lt;&gt;Constants!$B$8,$BR408,IF(ISNUMBER($BY408),RANK($BY408,$BY$9:$BY$508,1),COUNT($BY$9:$BY$508)+1)))</f>
        <v/>
      </c>
      <c r="CA408" s="136" t="str">
        <f aca="false">IF($BR408&lt;&gt;Constants!$B$8,"",IF($BI408="-&gt;",$BL408,$BD408))</f>
        <v/>
      </c>
      <c r="CB408" s="133" t="str">
        <f aca="false">IF(ISBLANK($C408),"",IF($BR408&lt;&gt;Constants!$B$8,$BR408,IF(ISNUMBER($CA408),RANK($CA408,$CA$9:$CA$508,1),COUNT($CA$9:$CA$508)+1)))</f>
        <v/>
      </c>
      <c r="CC408" s="136" t="str">
        <f aca="false">IF($BR408&lt;&gt;Constants!$B$8,"",IF($BI408="-&gt;",IF($AT408,$AV408,""),IF($AL408,$AN408,"")))</f>
        <v/>
      </c>
      <c r="CD408" s="133" t="str">
        <f aca="false">IF(ISBLANK($C408),"",IF($BR408&lt;&gt;Constants!$B$8,$BR408,IF(ISNUMBER($CC408),RANK($CC408,$CC$9:$CC$508,1),COUNT($CC$9:$CC$508)+1)))</f>
        <v/>
      </c>
      <c r="CE408" s="136" t="str">
        <f aca="false">IF($BR408&lt;&gt;Constants!$B$8,"",IF(AND(NOT($AL408),NOT($AT408),$AJ408,$AK408,$AR408,$AS408),"",$AI408))</f>
        <v/>
      </c>
      <c r="CF408" s="133" t="str">
        <f aca="false">IF(ISBLANK($C408),"",IF($BR408&lt;&gt;Constants!$B$8,$BR408,IF(ISNUMBER($CE408),RANK($CE408,$CE$9:$CE$508,1),COUNT($CE$9:$CE$508)+1)))</f>
        <v/>
      </c>
      <c r="CG408" s="133" t="str">
        <f aca="false">IF(ISBLANK($C408),"",IF($BR408&lt;&gt;Constants!$B$8,$BR408,COUNTIFS($BX$9:$BX$508,"&lt;"&amp;$BX408)+COUNTIFS($BX$9:$BX$508,$BX408,$BZ$9:$BZ$508,"&lt;"&amp;$BZ408)+COUNTIFS($BX$9:$BX$508,$BX408,$BZ$9:$BZ$508,$BZ408,$CB$9:$CB$508,"&lt;"&amp;$CB408)+COUNTIFS($BX$9:$BX$508,$BX408,$BZ$9:$BZ$508,$BZ408,$CB$9:$CB$508,$CB408,$CD$9:$CD$508,"&lt;"&amp;$CD408)+COUNTIFS($BX$9:$BX$508,$BX408,$BZ$9:$BZ$508,$BZ408,$CB$9:$CB$508,$CB408,$CD$9:$CD$508,$CD408,$CF$9:$CF$508,"&lt;"&amp;$CF408)+1))</f>
        <v/>
      </c>
      <c r="CH408" s="133" t="str">
        <f aca="false">IF(ISBLANK($C408),"",IF($BR408&lt;&gt;Constants!$B$8,$BR408,$BX408-$CG408))</f>
        <v/>
      </c>
      <c r="CI408" s="138"/>
      <c r="CJ408" s="139"/>
      <c r="CK408" s="140" t="str">
        <f aca="false">IF(ISBLANK($C408),"",IF($BR408=Constants!$B$12,$BQ408,""))</f>
        <v/>
      </c>
      <c r="CL408" s="139" t="str">
        <f aca="false">IF(ISBLANK($C408),"",IF($BR408&lt;&gt;Constants!$B$8,"",IF($BI408="-&gt;",2,1)))</f>
        <v/>
      </c>
      <c r="CM408" s="141" t="str">
        <f aca="false">IF(ISBLANK($C408),"",IF($BR408&lt;&gt;Constants!$B$8,"",IF($BI408="-&gt;",$BK408,$BC408)))</f>
        <v/>
      </c>
      <c r="CN408" s="141" t="str">
        <f aca="false">IF(ISBLANK($C408),"",IF($BR408&lt;&gt;Constants!$B$8,"",IF($BI408="-&gt;",$BL408,$BD408)))</f>
        <v/>
      </c>
      <c r="CO408" s="141" t="str">
        <f aca="false">IF(ISBLANK($C408),"",IF($BR408&lt;&gt;Constants!$B$8,"",IF($BI408="-&gt;",$BM408+$BN408,$BE408+$BF408)+$BV408))</f>
        <v/>
      </c>
      <c r="CP408" s="141" t="str">
        <f aca="false">IF(ISBLANK($C408),"",IF($BR408&lt;&gt;Constants!$B$8,"",IF($BI408="-&gt;",$BO408,$BG408)+$BU408))</f>
        <v/>
      </c>
      <c r="CQ408" s="142" t="str">
        <f aca="false">IF(ISBLANK($C408),"",IF($BR408&lt;&gt;Constants!$B$8,$BR408,$BW408))</f>
        <v/>
      </c>
      <c r="CR408" s="143" t="str">
        <f aca="false">IF(ISBLANK($C408),"",$BS408)</f>
        <v/>
      </c>
      <c r="CS408" s="144" t="str">
        <f aca="false">IF(ISBLANK($C408),"",$CH408)</f>
        <v/>
      </c>
      <c r="CT408" s="144" t="str">
        <f aca="false">IF(ISBLANK($C408),"",$CG408)</f>
        <v/>
      </c>
      <c r="CU408" s="145" t="str">
        <f aca="false">IF(ISBLANK($C408),"",IFERROR(_xlfn.SWITCH($CT408,Constants!$B$11,COUNTA($C$9:$C$508)+2,Constants!$B$10,COUNTA($C$9:$C$508)+1,Constants!$B$9,COUNTA($C$9:$C$508)),$CT408))</f>
        <v/>
      </c>
      <c r="CV408" s="9"/>
      <c r="CW408" s="146" t="n">
        <f aca="false">IF(OR(ISNUMBER($CT408),$CT408=Constants!$B$11,$CT408=Constants!$B$9,$CT408=Constants!$B$10),1,0)</f>
        <v>0</v>
      </c>
      <c r="CX408" s="146" t="n">
        <v>400</v>
      </c>
      <c r="CY408" s="146" t="str">
        <f aca="false">IF(ISBLANK($C408),"",IF(ISNUMBER($CU408),$CU408+ROW($B408)/1000,""))</f>
        <v/>
      </c>
      <c r="CZ408" s="146" t="str">
        <f aca="false">IF(ISNUMBER($CY408),RANK($CY408,$CY$9:$CY$508,1),"")</f>
        <v/>
      </c>
      <c r="DA408" s="146" t="str">
        <f aca="false">IF(ISBLANK($C408),"",$B408)</f>
        <v/>
      </c>
      <c r="DB408" s="146" t="str">
        <f aca="false">IF(ISBLANK($C408),"",$C408)</f>
        <v/>
      </c>
      <c r="DC408" s="146" t="str">
        <f aca="false">IF(ISBLANK($C408),"",$D408)</f>
        <v/>
      </c>
      <c r="DD408" s="147" t="str">
        <f aca="false">$CR408</f>
        <v/>
      </c>
      <c r="DE408" s="148" t="str">
        <f aca="false">$CQ408</f>
        <v/>
      </c>
      <c r="DF408" s="146" t="str">
        <f aca="false">IF(ISBLANK($C408),"",$CT408)</f>
        <v/>
      </c>
      <c r="DG408" s="149" t="str">
        <f aca="false">IF($CX408&gt;$CW$8,"",VLOOKUP($CX408,$CZ$9:$DF$508,7,FALSE()))</f>
        <v/>
      </c>
      <c r="DH408" s="150" t="str">
        <f aca="false">IF($CX408&gt;$CW$8,"",VLOOKUP($CX408,$CZ$9:$DF$508,2,FALSE()))</f>
        <v/>
      </c>
      <c r="DI408" s="150" t="str">
        <f aca="false">IF($CX408&gt;$CW$8,"",VLOOKUP($CX408,$CZ$9:$DF$508,3,FALSE()))</f>
        <v/>
      </c>
      <c r="DJ408" s="150" t="str">
        <f aca="false">IF($CX408&gt;$CW$8,"",VLOOKUP($CX408,$CZ$9:$DF$508,4,FALSE()))</f>
        <v/>
      </c>
      <c r="DK408" s="150" t="str">
        <f aca="false">IF($CX408&gt;$CW$8,"",VLOOKUP($CX408,$CZ$9:$DF$508,5,FALSE()))</f>
        <v/>
      </c>
      <c r="DL408" s="151" t="str">
        <f aca="false">IF($CX408&gt;$CW$8,"",VLOOKUP($CX408,$CZ$9:$DF$508,6,FALSE()))</f>
        <v/>
      </c>
      <c r="DM408" s="75"/>
    </row>
    <row r="409" customFormat="false" ht="15.75" hidden="false" customHeight="false" outlineLevel="0" collapsed="false">
      <c r="A409" s="9"/>
      <c r="B409" s="157"/>
      <c r="C409" s="158"/>
      <c r="D409" s="159"/>
      <c r="E409" s="177"/>
      <c r="F409" s="161"/>
      <c r="G409" s="162"/>
      <c r="H409" s="162"/>
      <c r="I409" s="178"/>
      <c r="J409" s="165"/>
      <c r="K409" s="126"/>
      <c r="L409" s="127"/>
      <c r="M409" s="128"/>
      <c r="N409" s="165"/>
      <c r="O409" s="165"/>
      <c r="P409" s="177"/>
      <c r="Q409" s="165"/>
      <c r="R409" s="165"/>
      <c r="S409" s="126"/>
      <c r="T409" s="128"/>
      <c r="U409" s="128"/>
      <c r="V409" s="165"/>
      <c r="W409" s="165"/>
      <c r="X409" s="177"/>
      <c r="Y409" s="165"/>
      <c r="Z409" s="166"/>
      <c r="AA409" s="165"/>
      <c r="AB409" s="132"/>
      <c r="AC409" s="133"/>
      <c r="AD409" s="133"/>
      <c r="AE409" s="133"/>
      <c r="AF409" s="133" t="str">
        <f aca="false">IF(ISBLANK($C409),"",IF(E409=Constants!$B$3,TRUE(),IF(E409=Constants!$B$4,FALSE(),TRUE())))</f>
        <v/>
      </c>
      <c r="AG409" s="133" t="str">
        <f aca="false">IF(ISBLANK($C409),"",IF(F409=Constants!$B$3,TRUE(),IF(F409=Constants!$B$4,FALSE(),TRUE())))</f>
        <v/>
      </c>
      <c r="AH409" s="133" t="str">
        <f aca="false">IF(ISBLANK($C409),"",IF(G409=Constants!$B$3,TRUE(),IF(G409=Constants!$B$4,FALSE(),TRUE())))</f>
        <v/>
      </c>
      <c r="AI409" s="133" t="str">
        <f aca="false">IF(ISBLANK($C409),"",IF(AND(ISNUMBER(H409),H409&gt;=0),H409,Constants!$B$29))</f>
        <v/>
      </c>
      <c r="AJ409" s="133" t="str">
        <f aca="false">IF(ISBLANK($C409),"",IF(I409=Constants!$B$3,TRUE(),IF(I409=Constants!$B$4,FALSE(),TRUE())))</f>
        <v/>
      </c>
      <c r="AK409" s="133" t="str">
        <f aca="false">IF(ISBLANK($C409),"",IF(J409=Constants!$B$3,TRUE(),IF(J409=Constants!$B$4,FALSE(),TRUE())))</f>
        <v/>
      </c>
      <c r="AL409" s="133" t="str">
        <f aca="false">IF(ISBLANK($C409),"",IF(K409=Constants!$B$5,TRUE(),IF(K409=Constants!$B$6,FALSE(),COUNTA(L409:P409)&gt;0)))</f>
        <v/>
      </c>
      <c r="AM409" s="134" t="str">
        <f aca="false">IF(ISBLANK($C409),"",IF(ISNUMBER(L409),IF(L409&gt;=0,L409,""),""))</f>
        <v/>
      </c>
      <c r="AN409" s="135" t="str">
        <f aca="false">IF(ISBLANK($C409),"",IF(ISNUMBER(M409),IF(M409&gt;=0,M409,""),""))</f>
        <v/>
      </c>
      <c r="AO409" s="135" t="str">
        <f aca="false">IF(ISBLANK($C409),"",IF(N409=Constants!$B$3,TRUE(),IF(N409=Constants!$B$4,FALSE(),TRUE())))</f>
        <v/>
      </c>
      <c r="AP409" s="133" t="str">
        <f aca="false">IF(ISBLANK($C409),"",IF(ISNUMBER(O409),IF(O409&gt;=0,O409,""),""))</f>
        <v/>
      </c>
      <c r="AQ409" s="133" t="str">
        <f aca="false">IF(ISBLANK($C409),"",IF(P409=Constants!$B$3,TRUE(),IF(P409=Constants!$B$4,FALSE(),FALSE())))</f>
        <v/>
      </c>
      <c r="AR409" s="133" t="str">
        <f aca="false">IF(ISBLANK($C409),"",IF(Q409=Constants!$B$3,TRUE(),IF(Q409=Constants!$B$4,FALSE(),TRUE())))</f>
        <v/>
      </c>
      <c r="AS409" s="133" t="str">
        <f aca="false">IF(ISBLANK($C409),"",IF(R409=Constants!$B$3,TRUE(),IF(R409=Constants!$B$4,FALSE(),TRUE())))</f>
        <v/>
      </c>
      <c r="AT409" s="133" t="str">
        <f aca="false">IF(ISBLANK($C409),"",IF(S409=Constants!$B$5,TRUE(),IF(S409=Constants!$B$6,FALSE(),COUNTA(T409:X409)&gt;0)))</f>
        <v/>
      </c>
      <c r="AU409" s="134" t="str">
        <f aca="false">IF(ISBLANK($C409),"",IF(ISNUMBER(T409),IF(T409&gt;=0,T409,""),""))</f>
        <v/>
      </c>
      <c r="AV409" s="135" t="str">
        <f aca="false">IF(ISBLANK($C409),"",IF(ISNUMBER(U409),IF(U409&gt;=0,U409,""),""))</f>
        <v/>
      </c>
      <c r="AW409" s="135" t="str">
        <f aca="false">IF(ISBLANK($C409),"",IF(V409=Constants!$B$3,TRUE(),IF(V409=Constants!$B$4,FALSE(),TRUE())))</f>
        <v/>
      </c>
      <c r="AX409" s="133" t="str">
        <f aca="false">IF(ISBLANK($C409),"",IF(ISNUMBER(W409),IF(W409&gt;=0,W409,""),""))</f>
        <v/>
      </c>
      <c r="AY409" s="133" t="str">
        <f aca="false">IF(ISBLANK($C409),"",IF(X409=Constants!$B$3,TRUE(),IF(X409=Constants!$B$4,FALSE(),FALSE())))</f>
        <v/>
      </c>
      <c r="AZ409" s="133" t="str">
        <f aca="false">IF(ISBLANK($C409),"",MIN(Constants!$B$31,MAX(0,IF(ISNUMBER(Y409),Y409*60,0)+IF(ISNUMBER(Z409),Z409,0))))</f>
        <v/>
      </c>
      <c r="BA409" s="133" t="str">
        <f aca="false">IF(ISBLANK($C409),"",IF(AA409=Constants!$B$3,TRUE(),IF(AA409=Constants!$B$4,FALSE(),FALSE())))</f>
        <v/>
      </c>
      <c r="BB409" s="132" t="str">
        <f aca="false">IF(ISBLANK($C409),"",AND($AL409,OR($AM409="",$AN409="",AND($AO409,$AP409=""))))</f>
        <v/>
      </c>
      <c r="BC409" s="135" t="str">
        <f aca="false">IF($BR409&lt;&gt;Constants!$B$8,"",IF($AL409,Constants!$B$21*$AN409+Constants!$B$22*IF($AO409,$AP409,Constants!$B$23),Constants!$B$24))</f>
        <v/>
      </c>
      <c r="BD409" s="136" t="str">
        <f aca="false">IF($BR409&lt;&gt;Constants!$B$8,"",Constants!$B$25*ABS($AD$9-IF($AL409,$AM409,0)))</f>
        <v/>
      </c>
      <c r="BE409" s="136" t="str">
        <f aca="false">IF($BR409&lt;&gt;Constants!$B$8,"",IF(AND($AL409,$AQ409,$AO409),Constants!$B$27,0))</f>
        <v/>
      </c>
      <c r="BF409" s="136" t="str">
        <f aca="false">IF($BR409&lt;&gt;Constants!$B$8,"",IF($AL409,($AI409-Constants!$B$29)*Constants!$B$28,0))</f>
        <v/>
      </c>
      <c r="BG409" s="136" t="str">
        <f aca="false">IF($BR409&lt;&gt;Constants!$B$8,"",IF($AK409,0,Constants!$B$15)+IF($AJ409,0,Constants!$B$16)+IF($AH409,0,Constants!$B$17))</f>
        <v/>
      </c>
      <c r="BH409" s="137" t="str">
        <f aca="false">IF($BR409&lt;&gt;Constants!$B$8,"",Constants!$B$20+SUM($BC409:$BG409))</f>
        <v/>
      </c>
      <c r="BI409" s="133" t="str">
        <f aca="false">IF($BR409&lt;&gt;Constants!$B$8,"",IF(OR($BP409&lt;$BH409,AND($BP409=$BH409,OR($BK409&lt;$BC409,AND($BK409=$BC409,OR($BL409&lt;$BD409,AND($BL409=$BD409,$AT409,$AL409,$AV409&lt;$AN409)))))),"-&gt;","&lt;-"))</f>
        <v/>
      </c>
      <c r="BJ409" s="132" t="str">
        <f aca="false">IF(ISBLANK($C409),"",AND($AT409,OR($AU409="",$AV409="",AND($AW409,$AX409=""))))</f>
        <v/>
      </c>
      <c r="BK409" s="135" t="str">
        <f aca="false">IF($BR409&lt;&gt;Constants!$B$8,"",IF($AT409,Constants!$B$21*$AV409+Constants!$B$22*IF($AW409,$AX409,Constants!$B$23),Constants!$B$24))</f>
        <v/>
      </c>
      <c r="BL409" s="136" t="str">
        <f aca="false">IF($BR409&lt;&gt;Constants!$B$8,"",Constants!$B$25*ABS($AD$9-IF($AT409,$AU409,0)))</f>
        <v/>
      </c>
      <c r="BM409" s="136" t="str">
        <f aca="false">IF($BR409&lt;&gt;Constants!$B$8,"",IF(AND($AT409,$AY409,$AW409),Constants!$B$27,0))</f>
        <v/>
      </c>
      <c r="BN409" s="136" t="str">
        <f aca="false">IF($BR409&lt;&gt;Constants!$B$8,"",IF($AT409,($AI409-Constants!$B$29)*Constants!$B$28,0))</f>
        <v/>
      </c>
      <c r="BO409" s="136" t="str">
        <f aca="false">IF($BR409&lt;&gt;Constants!$B$8,"",IF($AS409,0,Constants!$B$15)+IF($AR409,0,Constants!$B$16)+IF($AH409,0,Constants!$B$17))</f>
        <v/>
      </c>
      <c r="BP409" s="137" t="str">
        <f aca="false">IF($BR409&lt;&gt;Constants!$B$8,"",Constants!$B$20+SUM($BK409:$BO409))</f>
        <v/>
      </c>
      <c r="BQ409" s="133" t="str">
        <f aca="false">IF(ISBLANK($C409),"",IF(ISBLANK($D$7),$BQ$5,IF(NOT(ISNUMBER($D$7)),$BQ$6,"")))</f>
        <v/>
      </c>
      <c r="BR409" s="133" t="str">
        <f aca="false">IF(ISBLANK($C409),"",IF($BA409,Constants!$B$11,IF(COUNTA($E409:$AA409)=0,Constants!$B$10,IF(NOT($AG409),Constants!$B$9,IF(OR($BQ409&lt;&gt;"",$BB409,$BJ409),Constants!$B$12,Constants!$B$8)))))</f>
        <v/>
      </c>
      <c r="BS409" s="133" t="str">
        <f aca="false">IF(ISBLANK($C409),"",IF($BR409&lt;&gt;Constants!$B$8,$BR409,Constants!$B$13))</f>
        <v/>
      </c>
      <c r="BT409" s="136" t="str">
        <f aca="false">IF($BR409&lt;&gt;Constants!$B$8,"",IF($BI409="-&gt;",$BP409,$BH409))</f>
        <v/>
      </c>
      <c r="BU409" s="136" t="str">
        <f aca="false">IF($BR409&lt;&gt;Constants!$B$8,"",IF($AF409,0,Constants!$B$18))</f>
        <v/>
      </c>
      <c r="BV409" s="136" t="str">
        <f aca="false">IF($BR409&lt;&gt;Constants!$B$8,"",((Constants!$B$31-$AZ409)-Constants!$B$31)/Constants!$B$32)</f>
        <v/>
      </c>
      <c r="BW409" s="136" t="str">
        <f aca="false">IF(ISBLANK($C409),"",IF($BR409&lt;&gt;Constants!$B$8,$BR409,SUM($BT409:$BV409)))</f>
        <v/>
      </c>
      <c r="BX409" s="133" t="str">
        <f aca="false">IF(ISBLANK($C409),"",IF($BR409&lt;&gt;Constants!$B$8,$BR409,RANK($BW409,$BW$9:$BW$508,1)))</f>
        <v/>
      </c>
      <c r="BY409" s="136" t="str">
        <f aca="false">IF($BR409&lt;&gt;Constants!$B$8,"",IF($BI409="-&gt;",$BK409,$BC409))</f>
        <v/>
      </c>
      <c r="BZ409" s="133" t="str">
        <f aca="false">IF(ISBLANK($C409),"",IF($BR409&lt;&gt;Constants!$B$8,$BR409,IF(ISNUMBER($BY409),RANK($BY409,$BY$9:$BY$508,1),COUNT($BY$9:$BY$508)+1)))</f>
        <v/>
      </c>
      <c r="CA409" s="136" t="str">
        <f aca="false">IF($BR409&lt;&gt;Constants!$B$8,"",IF($BI409="-&gt;",$BL409,$BD409))</f>
        <v/>
      </c>
      <c r="CB409" s="133" t="str">
        <f aca="false">IF(ISBLANK($C409),"",IF($BR409&lt;&gt;Constants!$B$8,$BR409,IF(ISNUMBER($CA409),RANK($CA409,$CA$9:$CA$508,1),COUNT($CA$9:$CA$508)+1)))</f>
        <v/>
      </c>
      <c r="CC409" s="136" t="str">
        <f aca="false">IF($BR409&lt;&gt;Constants!$B$8,"",IF($BI409="-&gt;",IF($AT409,$AV409,""),IF($AL409,$AN409,"")))</f>
        <v/>
      </c>
      <c r="CD409" s="133" t="str">
        <f aca="false">IF(ISBLANK($C409),"",IF($BR409&lt;&gt;Constants!$B$8,$BR409,IF(ISNUMBER($CC409),RANK($CC409,$CC$9:$CC$508,1),COUNT($CC$9:$CC$508)+1)))</f>
        <v/>
      </c>
      <c r="CE409" s="136" t="str">
        <f aca="false">IF($BR409&lt;&gt;Constants!$B$8,"",IF(AND(NOT($AL409),NOT($AT409),$AJ409,$AK409,$AR409,$AS409),"",$AI409))</f>
        <v/>
      </c>
      <c r="CF409" s="133" t="str">
        <f aca="false">IF(ISBLANK($C409),"",IF($BR409&lt;&gt;Constants!$B$8,$BR409,IF(ISNUMBER($CE409),RANK($CE409,$CE$9:$CE$508,1),COUNT($CE$9:$CE$508)+1)))</f>
        <v/>
      </c>
      <c r="CG409" s="133" t="str">
        <f aca="false">IF(ISBLANK($C409),"",IF($BR409&lt;&gt;Constants!$B$8,$BR409,COUNTIFS($BX$9:$BX$508,"&lt;"&amp;$BX409)+COUNTIFS($BX$9:$BX$508,$BX409,$BZ$9:$BZ$508,"&lt;"&amp;$BZ409)+COUNTIFS($BX$9:$BX$508,$BX409,$BZ$9:$BZ$508,$BZ409,$CB$9:$CB$508,"&lt;"&amp;$CB409)+COUNTIFS($BX$9:$BX$508,$BX409,$BZ$9:$BZ$508,$BZ409,$CB$9:$CB$508,$CB409,$CD$9:$CD$508,"&lt;"&amp;$CD409)+COUNTIFS($BX$9:$BX$508,$BX409,$BZ$9:$BZ$508,$BZ409,$CB$9:$CB$508,$CB409,$CD$9:$CD$508,$CD409,$CF$9:$CF$508,"&lt;"&amp;$CF409)+1))</f>
        <v/>
      </c>
      <c r="CH409" s="133" t="str">
        <f aca="false">IF(ISBLANK($C409),"",IF($BR409&lt;&gt;Constants!$B$8,$BR409,$BX409-$CG409))</f>
        <v/>
      </c>
      <c r="CI409" s="138"/>
      <c r="CJ409" s="139"/>
      <c r="CK409" s="140" t="str">
        <f aca="false">IF(ISBLANK($C409),"",IF($BR409=Constants!$B$12,$BQ409,""))</f>
        <v/>
      </c>
      <c r="CL409" s="139" t="str">
        <f aca="false">IF(ISBLANK($C409),"",IF($BR409&lt;&gt;Constants!$B$8,"",IF($BI409="-&gt;",2,1)))</f>
        <v/>
      </c>
      <c r="CM409" s="141" t="str">
        <f aca="false">IF(ISBLANK($C409),"",IF($BR409&lt;&gt;Constants!$B$8,"",IF($BI409="-&gt;",$BK409,$BC409)))</f>
        <v/>
      </c>
      <c r="CN409" s="141" t="str">
        <f aca="false">IF(ISBLANK($C409),"",IF($BR409&lt;&gt;Constants!$B$8,"",IF($BI409="-&gt;",$BL409,$BD409)))</f>
        <v/>
      </c>
      <c r="CO409" s="141" t="str">
        <f aca="false">IF(ISBLANK($C409),"",IF($BR409&lt;&gt;Constants!$B$8,"",IF($BI409="-&gt;",$BM409+$BN409,$BE409+$BF409)+$BV409))</f>
        <v/>
      </c>
      <c r="CP409" s="141" t="str">
        <f aca="false">IF(ISBLANK($C409),"",IF($BR409&lt;&gt;Constants!$B$8,"",IF($BI409="-&gt;",$BO409,$BG409)+$BU409))</f>
        <v/>
      </c>
      <c r="CQ409" s="142" t="str">
        <f aca="false">IF(ISBLANK($C409),"",IF($BR409&lt;&gt;Constants!$B$8,$BR409,$BW409))</f>
        <v/>
      </c>
      <c r="CR409" s="143" t="str">
        <f aca="false">IF(ISBLANK($C409),"",$BS409)</f>
        <v/>
      </c>
      <c r="CS409" s="144" t="str">
        <f aca="false">IF(ISBLANK($C409),"",$CH409)</f>
        <v/>
      </c>
      <c r="CT409" s="144" t="str">
        <f aca="false">IF(ISBLANK($C409),"",$CG409)</f>
        <v/>
      </c>
      <c r="CU409" s="145" t="str">
        <f aca="false">IF(ISBLANK($C409),"",IFERROR(_xlfn.SWITCH($CT409,Constants!$B$11,COUNTA($C$9:$C$508)+2,Constants!$B$10,COUNTA($C$9:$C$508)+1,Constants!$B$9,COUNTA($C$9:$C$508)),$CT409))</f>
        <v/>
      </c>
      <c r="CV409" s="9"/>
      <c r="CW409" s="146" t="n">
        <f aca="false">IF(OR(ISNUMBER($CT409),$CT409=Constants!$B$11,$CT409=Constants!$B$9,$CT409=Constants!$B$10),1,0)</f>
        <v>0</v>
      </c>
      <c r="CX409" s="146" t="n">
        <v>401</v>
      </c>
      <c r="CY409" s="146" t="str">
        <f aca="false">IF(ISBLANK($C409),"",IF(ISNUMBER($CU409),$CU409+ROW($B409)/1000,""))</f>
        <v/>
      </c>
      <c r="CZ409" s="146" t="str">
        <f aca="false">IF(ISNUMBER($CY409),RANK($CY409,$CY$9:$CY$508,1),"")</f>
        <v/>
      </c>
      <c r="DA409" s="146" t="str">
        <f aca="false">IF(ISBLANK($C409),"",$B409)</f>
        <v/>
      </c>
      <c r="DB409" s="146" t="str">
        <f aca="false">IF(ISBLANK($C409),"",$C409)</f>
        <v/>
      </c>
      <c r="DC409" s="146" t="str">
        <f aca="false">IF(ISBLANK($C409),"",$D409)</f>
        <v/>
      </c>
      <c r="DD409" s="147" t="str">
        <f aca="false">$CR409</f>
        <v/>
      </c>
      <c r="DE409" s="148" t="str">
        <f aca="false">$CQ409</f>
        <v/>
      </c>
      <c r="DF409" s="146" t="str">
        <f aca="false">IF(ISBLANK($C409),"",$CT409)</f>
        <v/>
      </c>
      <c r="DG409" s="149" t="str">
        <f aca="false">IF($CX409&gt;$CW$8,"",VLOOKUP($CX409,$CZ$9:$DF$508,7,FALSE()))</f>
        <v/>
      </c>
      <c r="DH409" s="150" t="str">
        <f aca="false">IF($CX409&gt;$CW$8,"",VLOOKUP($CX409,$CZ$9:$DF$508,2,FALSE()))</f>
        <v/>
      </c>
      <c r="DI409" s="150" t="str">
        <f aca="false">IF($CX409&gt;$CW$8,"",VLOOKUP($CX409,$CZ$9:$DF$508,3,FALSE()))</f>
        <v/>
      </c>
      <c r="DJ409" s="150" t="str">
        <f aca="false">IF($CX409&gt;$CW$8,"",VLOOKUP($CX409,$CZ$9:$DF$508,4,FALSE()))</f>
        <v/>
      </c>
      <c r="DK409" s="150" t="str">
        <f aca="false">IF($CX409&gt;$CW$8,"",VLOOKUP($CX409,$CZ$9:$DF$508,5,FALSE()))</f>
        <v/>
      </c>
      <c r="DL409" s="151" t="str">
        <f aca="false">IF($CX409&gt;$CW$8,"",VLOOKUP($CX409,$CZ$9:$DF$508,6,FALSE()))</f>
        <v/>
      </c>
      <c r="DM409" s="75"/>
    </row>
    <row r="410" customFormat="false" ht="15.75" hidden="false" customHeight="false" outlineLevel="0" collapsed="false">
      <c r="A410" s="9"/>
      <c r="B410" s="157"/>
      <c r="C410" s="158"/>
      <c r="D410" s="159"/>
      <c r="E410" s="177"/>
      <c r="F410" s="161"/>
      <c r="G410" s="162"/>
      <c r="H410" s="162"/>
      <c r="I410" s="178"/>
      <c r="J410" s="165"/>
      <c r="K410" s="126"/>
      <c r="L410" s="127"/>
      <c r="M410" s="128"/>
      <c r="N410" s="165"/>
      <c r="O410" s="165"/>
      <c r="P410" s="177"/>
      <c r="Q410" s="165"/>
      <c r="R410" s="165"/>
      <c r="S410" s="126"/>
      <c r="T410" s="128"/>
      <c r="U410" s="128"/>
      <c r="V410" s="165"/>
      <c r="W410" s="165"/>
      <c r="X410" s="177"/>
      <c r="Y410" s="165"/>
      <c r="Z410" s="166"/>
      <c r="AA410" s="165"/>
      <c r="AB410" s="132"/>
      <c r="AC410" s="133"/>
      <c r="AD410" s="133"/>
      <c r="AE410" s="133"/>
      <c r="AF410" s="133" t="str">
        <f aca="false">IF(ISBLANK($C410),"",IF(E410=Constants!$B$3,TRUE(),IF(E410=Constants!$B$4,FALSE(),TRUE())))</f>
        <v/>
      </c>
      <c r="AG410" s="133" t="str">
        <f aca="false">IF(ISBLANK($C410),"",IF(F410=Constants!$B$3,TRUE(),IF(F410=Constants!$B$4,FALSE(),TRUE())))</f>
        <v/>
      </c>
      <c r="AH410" s="133" t="str">
        <f aca="false">IF(ISBLANK($C410),"",IF(G410=Constants!$B$3,TRUE(),IF(G410=Constants!$B$4,FALSE(),TRUE())))</f>
        <v/>
      </c>
      <c r="AI410" s="133" t="str">
        <f aca="false">IF(ISBLANK($C410),"",IF(AND(ISNUMBER(H410),H410&gt;=0),H410,Constants!$B$29))</f>
        <v/>
      </c>
      <c r="AJ410" s="133" t="str">
        <f aca="false">IF(ISBLANK($C410),"",IF(I410=Constants!$B$3,TRUE(),IF(I410=Constants!$B$4,FALSE(),TRUE())))</f>
        <v/>
      </c>
      <c r="AK410" s="133" t="str">
        <f aca="false">IF(ISBLANK($C410),"",IF(J410=Constants!$B$3,TRUE(),IF(J410=Constants!$B$4,FALSE(),TRUE())))</f>
        <v/>
      </c>
      <c r="AL410" s="133" t="str">
        <f aca="false">IF(ISBLANK($C410),"",IF(K410=Constants!$B$5,TRUE(),IF(K410=Constants!$B$6,FALSE(),COUNTA(L410:P410)&gt;0)))</f>
        <v/>
      </c>
      <c r="AM410" s="134" t="str">
        <f aca="false">IF(ISBLANK($C410),"",IF(ISNUMBER(L410),IF(L410&gt;=0,L410,""),""))</f>
        <v/>
      </c>
      <c r="AN410" s="135" t="str">
        <f aca="false">IF(ISBLANK($C410),"",IF(ISNUMBER(M410),IF(M410&gt;=0,M410,""),""))</f>
        <v/>
      </c>
      <c r="AO410" s="135" t="str">
        <f aca="false">IF(ISBLANK($C410),"",IF(N410=Constants!$B$3,TRUE(),IF(N410=Constants!$B$4,FALSE(),TRUE())))</f>
        <v/>
      </c>
      <c r="AP410" s="133" t="str">
        <f aca="false">IF(ISBLANK($C410),"",IF(ISNUMBER(O410),IF(O410&gt;=0,O410,""),""))</f>
        <v/>
      </c>
      <c r="AQ410" s="133" t="str">
        <f aca="false">IF(ISBLANK($C410),"",IF(P410=Constants!$B$3,TRUE(),IF(P410=Constants!$B$4,FALSE(),FALSE())))</f>
        <v/>
      </c>
      <c r="AR410" s="133" t="str">
        <f aca="false">IF(ISBLANK($C410),"",IF(Q410=Constants!$B$3,TRUE(),IF(Q410=Constants!$B$4,FALSE(),TRUE())))</f>
        <v/>
      </c>
      <c r="AS410" s="133" t="str">
        <f aca="false">IF(ISBLANK($C410),"",IF(R410=Constants!$B$3,TRUE(),IF(R410=Constants!$B$4,FALSE(),TRUE())))</f>
        <v/>
      </c>
      <c r="AT410" s="133" t="str">
        <f aca="false">IF(ISBLANK($C410),"",IF(S410=Constants!$B$5,TRUE(),IF(S410=Constants!$B$6,FALSE(),COUNTA(T410:X410)&gt;0)))</f>
        <v/>
      </c>
      <c r="AU410" s="134" t="str">
        <f aca="false">IF(ISBLANK($C410),"",IF(ISNUMBER(T410),IF(T410&gt;=0,T410,""),""))</f>
        <v/>
      </c>
      <c r="AV410" s="135" t="str">
        <f aca="false">IF(ISBLANK($C410),"",IF(ISNUMBER(U410),IF(U410&gt;=0,U410,""),""))</f>
        <v/>
      </c>
      <c r="AW410" s="135" t="str">
        <f aca="false">IF(ISBLANK($C410),"",IF(V410=Constants!$B$3,TRUE(),IF(V410=Constants!$B$4,FALSE(),TRUE())))</f>
        <v/>
      </c>
      <c r="AX410" s="133" t="str">
        <f aca="false">IF(ISBLANK($C410),"",IF(ISNUMBER(W410),IF(W410&gt;=0,W410,""),""))</f>
        <v/>
      </c>
      <c r="AY410" s="133" t="str">
        <f aca="false">IF(ISBLANK($C410),"",IF(X410=Constants!$B$3,TRUE(),IF(X410=Constants!$B$4,FALSE(),FALSE())))</f>
        <v/>
      </c>
      <c r="AZ410" s="133" t="str">
        <f aca="false">IF(ISBLANK($C410),"",MIN(Constants!$B$31,MAX(0,IF(ISNUMBER(Y410),Y410*60,0)+IF(ISNUMBER(Z410),Z410,0))))</f>
        <v/>
      </c>
      <c r="BA410" s="133" t="str">
        <f aca="false">IF(ISBLANK($C410),"",IF(AA410=Constants!$B$3,TRUE(),IF(AA410=Constants!$B$4,FALSE(),FALSE())))</f>
        <v/>
      </c>
      <c r="BB410" s="132" t="str">
        <f aca="false">IF(ISBLANK($C410),"",AND($AL410,OR($AM410="",$AN410="",AND($AO410,$AP410=""))))</f>
        <v/>
      </c>
      <c r="BC410" s="135" t="str">
        <f aca="false">IF($BR410&lt;&gt;Constants!$B$8,"",IF($AL410,Constants!$B$21*$AN410+Constants!$B$22*IF($AO410,$AP410,Constants!$B$23),Constants!$B$24))</f>
        <v/>
      </c>
      <c r="BD410" s="136" t="str">
        <f aca="false">IF($BR410&lt;&gt;Constants!$B$8,"",Constants!$B$25*ABS($AD$9-IF($AL410,$AM410,0)))</f>
        <v/>
      </c>
      <c r="BE410" s="136" t="str">
        <f aca="false">IF($BR410&lt;&gt;Constants!$B$8,"",IF(AND($AL410,$AQ410,$AO410),Constants!$B$27,0))</f>
        <v/>
      </c>
      <c r="BF410" s="136" t="str">
        <f aca="false">IF($BR410&lt;&gt;Constants!$B$8,"",IF($AL410,($AI410-Constants!$B$29)*Constants!$B$28,0))</f>
        <v/>
      </c>
      <c r="BG410" s="136" t="str">
        <f aca="false">IF($BR410&lt;&gt;Constants!$B$8,"",IF($AK410,0,Constants!$B$15)+IF($AJ410,0,Constants!$B$16)+IF($AH410,0,Constants!$B$17))</f>
        <v/>
      </c>
      <c r="BH410" s="137" t="str">
        <f aca="false">IF($BR410&lt;&gt;Constants!$B$8,"",Constants!$B$20+SUM($BC410:$BG410))</f>
        <v/>
      </c>
      <c r="BI410" s="133" t="str">
        <f aca="false">IF($BR410&lt;&gt;Constants!$B$8,"",IF(OR($BP410&lt;$BH410,AND($BP410=$BH410,OR($BK410&lt;$BC410,AND($BK410=$BC410,OR($BL410&lt;$BD410,AND($BL410=$BD410,$AT410,$AL410,$AV410&lt;$AN410)))))),"-&gt;","&lt;-"))</f>
        <v/>
      </c>
      <c r="BJ410" s="132" t="str">
        <f aca="false">IF(ISBLANK($C410),"",AND($AT410,OR($AU410="",$AV410="",AND($AW410,$AX410=""))))</f>
        <v/>
      </c>
      <c r="BK410" s="135" t="str">
        <f aca="false">IF($BR410&lt;&gt;Constants!$B$8,"",IF($AT410,Constants!$B$21*$AV410+Constants!$B$22*IF($AW410,$AX410,Constants!$B$23),Constants!$B$24))</f>
        <v/>
      </c>
      <c r="BL410" s="136" t="str">
        <f aca="false">IF($BR410&lt;&gt;Constants!$B$8,"",Constants!$B$25*ABS($AD$9-IF($AT410,$AU410,0)))</f>
        <v/>
      </c>
      <c r="BM410" s="136" t="str">
        <f aca="false">IF($BR410&lt;&gt;Constants!$B$8,"",IF(AND($AT410,$AY410,$AW410),Constants!$B$27,0))</f>
        <v/>
      </c>
      <c r="BN410" s="136" t="str">
        <f aca="false">IF($BR410&lt;&gt;Constants!$B$8,"",IF($AT410,($AI410-Constants!$B$29)*Constants!$B$28,0))</f>
        <v/>
      </c>
      <c r="BO410" s="136" t="str">
        <f aca="false">IF($BR410&lt;&gt;Constants!$B$8,"",IF($AS410,0,Constants!$B$15)+IF($AR410,0,Constants!$B$16)+IF($AH410,0,Constants!$B$17))</f>
        <v/>
      </c>
      <c r="BP410" s="137" t="str">
        <f aca="false">IF($BR410&lt;&gt;Constants!$B$8,"",Constants!$B$20+SUM($BK410:$BO410))</f>
        <v/>
      </c>
      <c r="BQ410" s="133" t="str">
        <f aca="false">IF(ISBLANK($C410),"",IF(ISBLANK($D$7),$BQ$5,IF(NOT(ISNUMBER($D$7)),$BQ$6,"")))</f>
        <v/>
      </c>
      <c r="BR410" s="133" t="str">
        <f aca="false">IF(ISBLANK($C410),"",IF($BA410,Constants!$B$11,IF(COUNTA($E410:$AA410)=0,Constants!$B$10,IF(NOT($AG410),Constants!$B$9,IF(OR($BQ410&lt;&gt;"",$BB410,$BJ410),Constants!$B$12,Constants!$B$8)))))</f>
        <v/>
      </c>
      <c r="BS410" s="133" t="str">
        <f aca="false">IF(ISBLANK($C410),"",IF($BR410&lt;&gt;Constants!$B$8,$BR410,Constants!$B$13))</f>
        <v/>
      </c>
      <c r="BT410" s="136" t="str">
        <f aca="false">IF($BR410&lt;&gt;Constants!$B$8,"",IF($BI410="-&gt;",$BP410,$BH410))</f>
        <v/>
      </c>
      <c r="BU410" s="136" t="str">
        <f aca="false">IF($BR410&lt;&gt;Constants!$B$8,"",IF($AF410,0,Constants!$B$18))</f>
        <v/>
      </c>
      <c r="BV410" s="136" t="str">
        <f aca="false">IF($BR410&lt;&gt;Constants!$B$8,"",((Constants!$B$31-$AZ410)-Constants!$B$31)/Constants!$B$32)</f>
        <v/>
      </c>
      <c r="BW410" s="136" t="str">
        <f aca="false">IF(ISBLANK($C410),"",IF($BR410&lt;&gt;Constants!$B$8,$BR410,SUM($BT410:$BV410)))</f>
        <v/>
      </c>
      <c r="BX410" s="133" t="str">
        <f aca="false">IF(ISBLANK($C410),"",IF($BR410&lt;&gt;Constants!$B$8,$BR410,RANK($BW410,$BW$9:$BW$508,1)))</f>
        <v/>
      </c>
      <c r="BY410" s="136" t="str">
        <f aca="false">IF($BR410&lt;&gt;Constants!$B$8,"",IF($BI410="-&gt;",$BK410,$BC410))</f>
        <v/>
      </c>
      <c r="BZ410" s="133" t="str">
        <f aca="false">IF(ISBLANK($C410),"",IF($BR410&lt;&gt;Constants!$B$8,$BR410,IF(ISNUMBER($BY410),RANK($BY410,$BY$9:$BY$508,1),COUNT($BY$9:$BY$508)+1)))</f>
        <v/>
      </c>
      <c r="CA410" s="136" t="str">
        <f aca="false">IF($BR410&lt;&gt;Constants!$B$8,"",IF($BI410="-&gt;",$BL410,$BD410))</f>
        <v/>
      </c>
      <c r="CB410" s="133" t="str">
        <f aca="false">IF(ISBLANK($C410),"",IF($BR410&lt;&gt;Constants!$B$8,$BR410,IF(ISNUMBER($CA410),RANK($CA410,$CA$9:$CA$508,1),COUNT($CA$9:$CA$508)+1)))</f>
        <v/>
      </c>
      <c r="CC410" s="136" t="str">
        <f aca="false">IF($BR410&lt;&gt;Constants!$B$8,"",IF($BI410="-&gt;",IF($AT410,$AV410,""),IF($AL410,$AN410,"")))</f>
        <v/>
      </c>
      <c r="CD410" s="133" t="str">
        <f aca="false">IF(ISBLANK($C410),"",IF($BR410&lt;&gt;Constants!$B$8,$BR410,IF(ISNUMBER($CC410),RANK($CC410,$CC$9:$CC$508,1),COUNT($CC$9:$CC$508)+1)))</f>
        <v/>
      </c>
      <c r="CE410" s="136" t="str">
        <f aca="false">IF($BR410&lt;&gt;Constants!$B$8,"",IF(AND(NOT($AL410),NOT($AT410),$AJ410,$AK410,$AR410,$AS410),"",$AI410))</f>
        <v/>
      </c>
      <c r="CF410" s="133" t="str">
        <f aca="false">IF(ISBLANK($C410),"",IF($BR410&lt;&gt;Constants!$B$8,$BR410,IF(ISNUMBER($CE410),RANK($CE410,$CE$9:$CE$508,1),COUNT($CE$9:$CE$508)+1)))</f>
        <v/>
      </c>
      <c r="CG410" s="133" t="str">
        <f aca="false">IF(ISBLANK($C410),"",IF($BR410&lt;&gt;Constants!$B$8,$BR410,COUNTIFS($BX$9:$BX$508,"&lt;"&amp;$BX410)+COUNTIFS($BX$9:$BX$508,$BX410,$BZ$9:$BZ$508,"&lt;"&amp;$BZ410)+COUNTIFS($BX$9:$BX$508,$BX410,$BZ$9:$BZ$508,$BZ410,$CB$9:$CB$508,"&lt;"&amp;$CB410)+COUNTIFS($BX$9:$BX$508,$BX410,$BZ$9:$BZ$508,$BZ410,$CB$9:$CB$508,$CB410,$CD$9:$CD$508,"&lt;"&amp;$CD410)+COUNTIFS($BX$9:$BX$508,$BX410,$BZ$9:$BZ$508,$BZ410,$CB$9:$CB$508,$CB410,$CD$9:$CD$508,$CD410,$CF$9:$CF$508,"&lt;"&amp;$CF410)+1))</f>
        <v/>
      </c>
      <c r="CH410" s="133" t="str">
        <f aca="false">IF(ISBLANK($C410),"",IF($BR410&lt;&gt;Constants!$B$8,$BR410,$BX410-$CG410))</f>
        <v/>
      </c>
      <c r="CI410" s="138"/>
      <c r="CJ410" s="139"/>
      <c r="CK410" s="140" t="str">
        <f aca="false">IF(ISBLANK($C410),"",IF($BR410=Constants!$B$12,$BQ410,""))</f>
        <v/>
      </c>
      <c r="CL410" s="139" t="str">
        <f aca="false">IF(ISBLANK($C410),"",IF($BR410&lt;&gt;Constants!$B$8,"",IF($BI410="-&gt;",2,1)))</f>
        <v/>
      </c>
      <c r="CM410" s="141" t="str">
        <f aca="false">IF(ISBLANK($C410),"",IF($BR410&lt;&gt;Constants!$B$8,"",IF($BI410="-&gt;",$BK410,$BC410)))</f>
        <v/>
      </c>
      <c r="CN410" s="141" t="str">
        <f aca="false">IF(ISBLANK($C410),"",IF($BR410&lt;&gt;Constants!$B$8,"",IF($BI410="-&gt;",$BL410,$BD410)))</f>
        <v/>
      </c>
      <c r="CO410" s="141" t="str">
        <f aca="false">IF(ISBLANK($C410),"",IF($BR410&lt;&gt;Constants!$B$8,"",IF($BI410="-&gt;",$BM410+$BN410,$BE410+$BF410)+$BV410))</f>
        <v/>
      </c>
      <c r="CP410" s="141" t="str">
        <f aca="false">IF(ISBLANK($C410),"",IF($BR410&lt;&gt;Constants!$B$8,"",IF($BI410="-&gt;",$BO410,$BG410)+$BU410))</f>
        <v/>
      </c>
      <c r="CQ410" s="142" t="str">
        <f aca="false">IF(ISBLANK($C410),"",IF($BR410&lt;&gt;Constants!$B$8,$BR410,$BW410))</f>
        <v/>
      </c>
      <c r="CR410" s="143" t="str">
        <f aca="false">IF(ISBLANK($C410),"",$BS410)</f>
        <v/>
      </c>
      <c r="CS410" s="144" t="str">
        <f aca="false">IF(ISBLANK($C410),"",$CH410)</f>
        <v/>
      </c>
      <c r="CT410" s="144" t="str">
        <f aca="false">IF(ISBLANK($C410),"",$CG410)</f>
        <v/>
      </c>
      <c r="CU410" s="145" t="str">
        <f aca="false">IF(ISBLANK($C410),"",IFERROR(_xlfn.SWITCH($CT410,Constants!$B$11,COUNTA($C$9:$C$508)+2,Constants!$B$10,COUNTA($C$9:$C$508)+1,Constants!$B$9,COUNTA($C$9:$C$508)),$CT410))</f>
        <v/>
      </c>
      <c r="CV410" s="9"/>
      <c r="CW410" s="146" t="n">
        <f aca="false">IF(OR(ISNUMBER($CT410),$CT410=Constants!$B$11,$CT410=Constants!$B$9,$CT410=Constants!$B$10),1,0)</f>
        <v>0</v>
      </c>
      <c r="CX410" s="146" t="n">
        <v>402</v>
      </c>
      <c r="CY410" s="146" t="str">
        <f aca="false">IF(ISBLANK($C410),"",IF(ISNUMBER($CU410),$CU410+ROW($B410)/1000,""))</f>
        <v/>
      </c>
      <c r="CZ410" s="146" t="str">
        <f aca="false">IF(ISNUMBER($CY410),RANK($CY410,$CY$9:$CY$508,1),"")</f>
        <v/>
      </c>
      <c r="DA410" s="146" t="str">
        <f aca="false">IF(ISBLANK($C410),"",$B410)</f>
        <v/>
      </c>
      <c r="DB410" s="146" t="str">
        <f aca="false">IF(ISBLANK($C410),"",$C410)</f>
        <v/>
      </c>
      <c r="DC410" s="146" t="str">
        <f aca="false">IF(ISBLANK($C410),"",$D410)</f>
        <v/>
      </c>
      <c r="DD410" s="147" t="str">
        <f aca="false">$CR410</f>
        <v/>
      </c>
      <c r="DE410" s="148" t="str">
        <f aca="false">$CQ410</f>
        <v/>
      </c>
      <c r="DF410" s="146" t="str">
        <f aca="false">IF(ISBLANK($C410),"",$CT410)</f>
        <v/>
      </c>
      <c r="DG410" s="149" t="str">
        <f aca="false">IF($CX410&gt;$CW$8,"",VLOOKUP($CX410,$CZ$9:$DF$508,7,FALSE()))</f>
        <v/>
      </c>
      <c r="DH410" s="150" t="str">
        <f aca="false">IF($CX410&gt;$CW$8,"",VLOOKUP($CX410,$CZ$9:$DF$508,2,FALSE()))</f>
        <v/>
      </c>
      <c r="DI410" s="150" t="str">
        <f aca="false">IF($CX410&gt;$CW$8,"",VLOOKUP($CX410,$CZ$9:$DF$508,3,FALSE()))</f>
        <v/>
      </c>
      <c r="DJ410" s="150" t="str">
        <f aca="false">IF($CX410&gt;$CW$8,"",VLOOKUP($CX410,$CZ$9:$DF$508,4,FALSE()))</f>
        <v/>
      </c>
      <c r="DK410" s="150" t="str">
        <f aca="false">IF($CX410&gt;$CW$8,"",VLOOKUP($CX410,$CZ$9:$DF$508,5,FALSE()))</f>
        <v/>
      </c>
      <c r="DL410" s="151" t="str">
        <f aca="false">IF($CX410&gt;$CW$8,"",VLOOKUP($CX410,$CZ$9:$DF$508,6,FALSE()))</f>
        <v/>
      </c>
      <c r="DM410" s="75"/>
    </row>
    <row r="411" customFormat="false" ht="15.75" hidden="false" customHeight="false" outlineLevel="0" collapsed="false">
      <c r="A411" s="9"/>
      <c r="B411" s="77"/>
      <c r="C411" s="78"/>
      <c r="D411" s="167"/>
      <c r="E411" s="175"/>
      <c r="F411" s="169"/>
      <c r="G411" s="170"/>
      <c r="H411" s="170"/>
      <c r="I411" s="176"/>
      <c r="J411" s="173"/>
      <c r="K411" s="85"/>
      <c r="L411" s="86"/>
      <c r="M411" s="87"/>
      <c r="N411" s="173"/>
      <c r="O411" s="173"/>
      <c r="P411" s="175"/>
      <c r="Q411" s="173"/>
      <c r="R411" s="173"/>
      <c r="S411" s="85"/>
      <c r="T411" s="87"/>
      <c r="U411" s="87"/>
      <c r="V411" s="173"/>
      <c r="W411" s="173"/>
      <c r="X411" s="175"/>
      <c r="Y411" s="173"/>
      <c r="Z411" s="174"/>
      <c r="AA411" s="173"/>
      <c r="AB411" s="91"/>
      <c r="AC411" s="92"/>
      <c r="AD411" s="92"/>
      <c r="AE411" s="92"/>
      <c r="AF411" s="92" t="str">
        <f aca="false">IF(ISBLANK($C411),"",IF(E411=Constants!$B$3,TRUE(),IF(E411=Constants!$B$4,FALSE(),TRUE())))</f>
        <v/>
      </c>
      <c r="AG411" s="92" t="str">
        <f aca="false">IF(ISBLANK($C411),"",IF(F411=Constants!$B$3,TRUE(),IF(F411=Constants!$B$4,FALSE(),TRUE())))</f>
        <v/>
      </c>
      <c r="AH411" s="92" t="str">
        <f aca="false">IF(ISBLANK($C411),"",IF(G411=Constants!$B$3,TRUE(),IF(G411=Constants!$B$4,FALSE(),TRUE())))</f>
        <v/>
      </c>
      <c r="AI411" s="92" t="str">
        <f aca="false">IF(ISBLANK($C411),"",IF(AND(ISNUMBER(H411),H411&gt;=0),H411,Constants!$B$29))</f>
        <v/>
      </c>
      <c r="AJ411" s="92" t="str">
        <f aca="false">IF(ISBLANK($C411),"",IF(I411=Constants!$B$3,TRUE(),IF(I411=Constants!$B$4,FALSE(),TRUE())))</f>
        <v/>
      </c>
      <c r="AK411" s="92" t="str">
        <f aca="false">IF(ISBLANK($C411),"",IF(J411=Constants!$B$3,TRUE(),IF(J411=Constants!$B$4,FALSE(),TRUE())))</f>
        <v/>
      </c>
      <c r="AL411" s="92" t="str">
        <f aca="false">IF(ISBLANK($C411),"",IF(K411=Constants!$B$5,TRUE(),IF(K411=Constants!$B$6,FALSE(),COUNTA(L411:P411)&gt;0)))</f>
        <v/>
      </c>
      <c r="AM411" s="94" t="str">
        <f aca="false">IF(ISBLANK($C411),"",IF(ISNUMBER(L411),IF(L411&gt;=0,L411,""),""))</f>
        <v/>
      </c>
      <c r="AN411" s="93" t="str">
        <f aca="false">IF(ISBLANK($C411),"",IF(ISNUMBER(M411),IF(M411&gt;=0,M411,""),""))</f>
        <v/>
      </c>
      <c r="AO411" s="93" t="str">
        <f aca="false">IF(ISBLANK($C411),"",IF(N411=Constants!$B$3,TRUE(),IF(N411=Constants!$B$4,FALSE(),TRUE())))</f>
        <v/>
      </c>
      <c r="AP411" s="92" t="str">
        <f aca="false">IF(ISBLANK($C411),"",IF(ISNUMBER(O411),IF(O411&gt;=0,O411,""),""))</f>
        <v/>
      </c>
      <c r="AQ411" s="92" t="str">
        <f aca="false">IF(ISBLANK($C411),"",IF(P411=Constants!$B$3,TRUE(),IF(P411=Constants!$B$4,FALSE(),FALSE())))</f>
        <v/>
      </c>
      <c r="AR411" s="92" t="str">
        <f aca="false">IF(ISBLANK($C411),"",IF(Q411=Constants!$B$3,TRUE(),IF(Q411=Constants!$B$4,FALSE(),TRUE())))</f>
        <v/>
      </c>
      <c r="AS411" s="92" t="str">
        <f aca="false">IF(ISBLANK($C411),"",IF(R411=Constants!$B$3,TRUE(),IF(R411=Constants!$B$4,FALSE(),TRUE())))</f>
        <v/>
      </c>
      <c r="AT411" s="92" t="str">
        <f aca="false">IF(ISBLANK($C411),"",IF(S411=Constants!$B$5,TRUE(),IF(S411=Constants!$B$6,FALSE(),COUNTA(T411:X411)&gt;0)))</f>
        <v/>
      </c>
      <c r="AU411" s="94" t="str">
        <f aca="false">IF(ISBLANK($C411),"",IF(ISNUMBER(T411),IF(T411&gt;=0,T411,""),""))</f>
        <v/>
      </c>
      <c r="AV411" s="93" t="str">
        <f aca="false">IF(ISBLANK($C411),"",IF(ISNUMBER(U411),IF(U411&gt;=0,U411,""),""))</f>
        <v/>
      </c>
      <c r="AW411" s="93" t="str">
        <f aca="false">IF(ISBLANK($C411),"",IF(V411=Constants!$B$3,TRUE(),IF(V411=Constants!$B$4,FALSE(),TRUE())))</f>
        <v/>
      </c>
      <c r="AX411" s="92" t="str">
        <f aca="false">IF(ISBLANK($C411),"",IF(ISNUMBER(W411),IF(W411&gt;=0,W411,""),""))</f>
        <v/>
      </c>
      <c r="AY411" s="92" t="str">
        <f aca="false">IF(ISBLANK($C411),"",IF(X411=Constants!$B$3,TRUE(),IF(X411=Constants!$B$4,FALSE(),FALSE())))</f>
        <v/>
      </c>
      <c r="AZ411" s="92" t="str">
        <f aca="false">IF(ISBLANK($C411),"",MIN(Constants!$B$31,MAX(0,IF(ISNUMBER(Y411),Y411*60,0)+IF(ISNUMBER(Z411),Z411,0))))</f>
        <v/>
      </c>
      <c r="BA411" s="92" t="str">
        <f aca="false">IF(ISBLANK($C411),"",IF(AA411=Constants!$B$3,TRUE(),IF(AA411=Constants!$B$4,FALSE(),FALSE())))</f>
        <v/>
      </c>
      <c r="BB411" s="91" t="str">
        <f aca="false">IF(ISBLANK($C411),"",AND($AL411,OR($AM411="",$AN411="",AND($AO411,$AP411=""))))</f>
        <v/>
      </c>
      <c r="BC411" s="93" t="str">
        <f aca="false">IF($BR411&lt;&gt;Constants!$B$8,"",IF($AL411,Constants!$B$21*$AN411+Constants!$B$22*IF($AO411,$AP411,Constants!$B$23),Constants!$B$24))</f>
        <v/>
      </c>
      <c r="BD411" s="96" t="str">
        <f aca="false">IF($BR411&lt;&gt;Constants!$B$8,"",Constants!$B$25*ABS($AD$9-IF($AL411,$AM411,0)))</f>
        <v/>
      </c>
      <c r="BE411" s="96" t="str">
        <f aca="false">IF($BR411&lt;&gt;Constants!$B$8,"",IF(AND($AL411,$AQ411,$AO411),Constants!$B$27,0))</f>
        <v/>
      </c>
      <c r="BF411" s="96" t="str">
        <f aca="false">IF($BR411&lt;&gt;Constants!$B$8,"",IF($AL411,($AI411-Constants!$B$29)*Constants!$B$28,0))</f>
        <v/>
      </c>
      <c r="BG411" s="96" t="str">
        <f aca="false">IF($BR411&lt;&gt;Constants!$B$8,"",IF($AK411,0,Constants!$B$15)+IF($AJ411,0,Constants!$B$16)+IF($AH411,0,Constants!$B$17))</f>
        <v/>
      </c>
      <c r="BH411" s="97" t="str">
        <f aca="false">IF($BR411&lt;&gt;Constants!$B$8,"",Constants!$B$20+SUM($BC411:$BG411))</f>
        <v/>
      </c>
      <c r="BI411" s="92" t="str">
        <f aca="false">IF($BR411&lt;&gt;Constants!$B$8,"",IF(OR($BP411&lt;$BH411,AND($BP411=$BH411,OR($BK411&lt;$BC411,AND($BK411=$BC411,OR($BL411&lt;$BD411,AND($BL411=$BD411,$AT411,$AL411,$AV411&lt;$AN411)))))),"-&gt;","&lt;-"))</f>
        <v/>
      </c>
      <c r="BJ411" s="91" t="str">
        <f aca="false">IF(ISBLANK($C411),"",AND($AT411,OR($AU411="",$AV411="",AND($AW411,$AX411=""))))</f>
        <v/>
      </c>
      <c r="BK411" s="93" t="str">
        <f aca="false">IF($BR411&lt;&gt;Constants!$B$8,"",IF($AT411,Constants!$B$21*$AV411+Constants!$B$22*IF($AW411,$AX411,Constants!$B$23),Constants!$B$24))</f>
        <v/>
      </c>
      <c r="BL411" s="96" t="str">
        <f aca="false">IF($BR411&lt;&gt;Constants!$B$8,"",Constants!$B$25*ABS($AD$9-IF($AT411,$AU411,0)))</f>
        <v/>
      </c>
      <c r="BM411" s="96" t="str">
        <f aca="false">IF($BR411&lt;&gt;Constants!$B$8,"",IF(AND($AT411,$AY411,$AW411),Constants!$B$27,0))</f>
        <v/>
      </c>
      <c r="BN411" s="96" t="str">
        <f aca="false">IF($BR411&lt;&gt;Constants!$B$8,"",IF($AT411,($AI411-Constants!$B$29)*Constants!$B$28,0))</f>
        <v/>
      </c>
      <c r="BO411" s="96" t="str">
        <f aca="false">IF($BR411&lt;&gt;Constants!$B$8,"",IF($AS411,0,Constants!$B$15)+IF($AR411,0,Constants!$B$16)+IF($AH411,0,Constants!$B$17))</f>
        <v/>
      </c>
      <c r="BP411" s="97" t="str">
        <f aca="false">IF($BR411&lt;&gt;Constants!$B$8,"",Constants!$B$20+SUM($BK411:$BO411))</f>
        <v/>
      </c>
      <c r="BQ411" s="92" t="str">
        <f aca="false">IF(ISBLANK($C411),"",IF(ISBLANK($D$7),$BQ$5,IF(NOT(ISNUMBER($D$7)),$BQ$6,"")))</f>
        <v/>
      </c>
      <c r="BR411" s="92" t="str">
        <f aca="false">IF(ISBLANK($C411),"",IF($BA411,Constants!$B$11,IF(COUNTA($E411:$AA411)=0,Constants!$B$10,IF(NOT($AG411),Constants!$B$9,IF(OR($BQ411&lt;&gt;"",$BB411,$BJ411),Constants!$B$12,Constants!$B$8)))))</f>
        <v/>
      </c>
      <c r="BS411" s="92" t="str">
        <f aca="false">IF(ISBLANK($C411),"",IF($BR411&lt;&gt;Constants!$B$8,$BR411,Constants!$B$13))</f>
        <v/>
      </c>
      <c r="BT411" s="96" t="str">
        <f aca="false">IF($BR411&lt;&gt;Constants!$B$8,"",IF($BI411="-&gt;",$BP411,$BH411))</f>
        <v/>
      </c>
      <c r="BU411" s="96" t="str">
        <f aca="false">IF($BR411&lt;&gt;Constants!$B$8,"",IF($AF411,0,Constants!$B$18))</f>
        <v/>
      </c>
      <c r="BV411" s="96" t="str">
        <f aca="false">IF($BR411&lt;&gt;Constants!$B$8,"",((Constants!$B$31-$AZ411)-Constants!$B$31)/Constants!$B$32)</f>
        <v/>
      </c>
      <c r="BW411" s="96" t="str">
        <f aca="false">IF(ISBLANK($C411),"",IF($BR411&lt;&gt;Constants!$B$8,$BR411,SUM($BT411:$BV411)))</f>
        <v/>
      </c>
      <c r="BX411" s="92" t="str">
        <f aca="false">IF(ISBLANK($C411),"",IF($BR411&lt;&gt;Constants!$B$8,$BR411,RANK($BW411,$BW$9:$BW$508,1)))</f>
        <v/>
      </c>
      <c r="BY411" s="96" t="str">
        <f aca="false">IF($BR411&lt;&gt;Constants!$B$8,"",IF($BI411="-&gt;",$BK411,$BC411))</f>
        <v/>
      </c>
      <c r="BZ411" s="92" t="str">
        <f aca="false">IF(ISBLANK($C411),"",IF($BR411&lt;&gt;Constants!$B$8,$BR411,IF(ISNUMBER($BY411),RANK($BY411,$BY$9:$BY$508,1),COUNT($BY$9:$BY$508)+1)))</f>
        <v/>
      </c>
      <c r="CA411" s="96" t="str">
        <f aca="false">IF($BR411&lt;&gt;Constants!$B$8,"",IF($BI411="-&gt;",$BL411,$BD411))</f>
        <v/>
      </c>
      <c r="CB411" s="92" t="str">
        <f aca="false">IF(ISBLANK($C411),"",IF($BR411&lt;&gt;Constants!$B$8,$BR411,IF(ISNUMBER($CA411),RANK($CA411,$CA$9:$CA$508,1),COUNT($CA$9:$CA$508)+1)))</f>
        <v/>
      </c>
      <c r="CC411" s="96" t="str">
        <f aca="false">IF($BR411&lt;&gt;Constants!$B$8,"",IF($BI411="-&gt;",IF($AT411,$AV411,""),IF($AL411,$AN411,"")))</f>
        <v/>
      </c>
      <c r="CD411" s="92" t="str">
        <f aca="false">IF(ISBLANK($C411),"",IF($BR411&lt;&gt;Constants!$B$8,$BR411,IF(ISNUMBER($CC411),RANK($CC411,$CC$9:$CC$508,1),COUNT($CC$9:$CC$508)+1)))</f>
        <v/>
      </c>
      <c r="CE411" s="96" t="str">
        <f aca="false">IF($BR411&lt;&gt;Constants!$B$8,"",IF(AND(NOT($AL411),NOT($AT411),$AJ411,$AK411,$AR411,$AS411),"",$AI411))</f>
        <v/>
      </c>
      <c r="CF411" s="92" t="str">
        <f aca="false">IF(ISBLANK($C411),"",IF($BR411&lt;&gt;Constants!$B$8,$BR411,IF(ISNUMBER($CE411),RANK($CE411,$CE$9:$CE$508,1),COUNT($CE$9:$CE$508)+1)))</f>
        <v/>
      </c>
      <c r="CG411" s="92" t="str">
        <f aca="false">IF(ISBLANK($C411),"",IF($BR411&lt;&gt;Constants!$B$8,$BR411,COUNTIFS($BX$9:$BX$508,"&lt;"&amp;$BX411)+COUNTIFS($BX$9:$BX$508,$BX411,$BZ$9:$BZ$508,"&lt;"&amp;$BZ411)+COUNTIFS($BX$9:$BX$508,$BX411,$BZ$9:$BZ$508,$BZ411,$CB$9:$CB$508,"&lt;"&amp;$CB411)+COUNTIFS($BX$9:$BX$508,$BX411,$BZ$9:$BZ$508,$BZ411,$CB$9:$CB$508,$CB411,$CD$9:$CD$508,"&lt;"&amp;$CD411)+COUNTIFS($BX$9:$BX$508,$BX411,$BZ$9:$BZ$508,$BZ411,$CB$9:$CB$508,$CB411,$CD$9:$CD$508,$CD411,$CF$9:$CF$508,"&lt;"&amp;$CF411)+1))</f>
        <v/>
      </c>
      <c r="CH411" s="92" t="str">
        <f aca="false">IF(ISBLANK($C411),"",IF($BR411&lt;&gt;Constants!$B$8,$BR411,$BX411-$CG411))</f>
        <v/>
      </c>
      <c r="CI411" s="98"/>
      <c r="CJ411" s="99"/>
      <c r="CK411" s="100" t="str">
        <f aca="false">IF(ISBLANK($C411),"",IF($BR411=Constants!$B$12,$BQ411,""))</f>
        <v/>
      </c>
      <c r="CL411" s="99" t="str">
        <f aca="false">IF(ISBLANK($C411),"",IF($BR411&lt;&gt;Constants!$B$8,"",IF($BI411="-&gt;",2,1)))</f>
        <v/>
      </c>
      <c r="CM411" s="101" t="str">
        <f aca="false">IF(ISBLANK($C411),"",IF($BR411&lt;&gt;Constants!$B$8,"",IF($BI411="-&gt;",$BK411,$BC411)))</f>
        <v/>
      </c>
      <c r="CN411" s="101" t="str">
        <f aca="false">IF(ISBLANK($C411),"",IF($BR411&lt;&gt;Constants!$B$8,"",IF($BI411="-&gt;",$BL411,$BD411)))</f>
        <v/>
      </c>
      <c r="CO411" s="101" t="str">
        <f aca="false">IF(ISBLANK($C411),"",IF($BR411&lt;&gt;Constants!$B$8,"",IF($BI411="-&gt;",$BM411+$BN411,$BE411+$BF411)+$BV411))</f>
        <v/>
      </c>
      <c r="CP411" s="101" t="str">
        <f aca="false">IF(ISBLANK($C411),"",IF($BR411&lt;&gt;Constants!$B$8,"",IF($BI411="-&gt;",$BO411,$BG411)+$BU411))</f>
        <v/>
      </c>
      <c r="CQ411" s="102" t="str">
        <f aca="false">IF(ISBLANK($C411),"",IF($BR411&lt;&gt;Constants!$B$8,$BR411,$BW411))</f>
        <v/>
      </c>
      <c r="CR411" s="103" t="str">
        <f aca="false">IF(ISBLANK($C411),"",$BS411)</f>
        <v/>
      </c>
      <c r="CS411" s="104" t="str">
        <f aca="false">IF(ISBLANK($C411),"",$CH411)</f>
        <v/>
      </c>
      <c r="CT411" s="104" t="str">
        <f aca="false">IF(ISBLANK($C411),"",$CG411)</f>
        <v/>
      </c>
      <c r="CU411" s="105" t="str">
        <f aca="false">IF(ISBLANK($C411),"",IFERROR(_xlfn.SWITCH($CT411,Constants!$B$11,COUNTA($C$9:$C$508)+2,Constants!$B$10,COUNTA($C$9:$C$508)+1,Constants!$B$9,COUNTA($C$9:$C$508)),$CT411))</f>
        <v/>
      </c>
      <c r="CV411" s="9"/>
      <c r="CW411" s="106" t="n">
        <f aca="false">IF(OR(ISNUMBER($CT411),$CT411=Constants!$B$11,$CT411=Constants!$B$9,$CT411=Constants!$B$10),1,0)</f>
        <v>0</v>
      </c>
      <c r="CX411" s="106" t="n">
        <v>403</v>
      </c>
      <c r="CY411" s="106" t="str">
        <f aca="false">IF(ISBLANK($C411),"",IF(ISNUMBER($CU411),$CU411+ROW($B411)/1000,""))</f>
        <v/>
      </c>
      <c r="CZ411" s="106" t="str">
        <f aca="false">IF(ISNUMBER($CY411),RANK($CY411,$CY$9:$CY$508,1),"")</f>
        <v/>
      </c>
      <c r="DA411" s="106" t="str">
        <f aca="false">IF(ISBLANK($C411),"",$B411)</f>
        <v/>
      </c>
      <c r="DB411" s="106" t="str">
        <f aca="false">IF(ISBLANK($C411),"",$C411)</f>
        <v/>
      </c>
      <c r="DC411" s="106" t="str">
        <f aca="false">IF(ISBLANK($C411),"",$D411)</f>
        <v/>
      </c>
      <c r="DD411" s="107" t="str">
        <f aca="false">$CR411</f>
        <v/>
      </c>
      <c r="DE411" s="108" t="str">
        <f aca="false">$CQ411</f>
        <v/>
      </c>
      <c r="DF411" s="106" t="str">
        <f aca="false">IF(ISBLANK($C411),"",$CT411)</f>
        <v/>
      </c>
      <c r="DG411" s="109" t="str">
        <f aca="false">IF($CX411&gt;$CW$8,"",VLOOKUP($CX411,$CZ$9:$DF$508,7,FALSE()))</f>
        <v/>
      </c>
      <c r="DH411" s="110" t="str">
        <f aca="false">IF($CX411&gt;$CW$8,"",VLOOKUP($CX411,$CZ$9:$DF$508,2,FALSE()))</f>
        <v/>
      </c>
      <c r="DI411" s="110" t="str">
        <f aca="false">IF($CX411&gt;$CW$8,"",VLOOKUP($CX411,$CZ$9:$DF$508,3,FALSE()))</f>
        <v/>
      </c>
      <c r="DJ411" s="110" t="str">
        <f aca="false">IF($CX411&gt;$CW$8,"",VLOOKUP($CX411,$CZ$9:$DF$508,4,FALSE()))</f>
        <v/>
      </c>
      <c r="DK411" s="110" t="str">
        <f aca="false">IF($CX411&gt;$CW$8,"",VLOOKUP($CX411,$CZ$9:$DF$508,5,FALSE()))</f>
        <v/>
      </c>
      <c r="DL411" s="111" t="str">
        <f aca="false">IF($CX411&gt;$CW$8,"",VLOOKUP($CX411,$CZ$9:$DF$508,6,FALSE()))</f>
        <v/>
      </c>
      <c r="DM411" s="75"/>
    </row>
    <row r="412" customFormat="false" ht="15.75" hidden="false" customHeight="false" outlineLevel="0" collapsed="false">
      <c r="A412" s="9"/>
      <c r="B412" s="77"/>
      <c r="C412" s="78"/>
      <c r="D412" s="167"/>
      <c r="E412" s="175"/>
      <c r="F412" s="169"/>
      <c r="G412" s="170"/>
      <c r="H412" s="170"/>
      <c r="I412" s="176"/>
      <c r="J412" s="173"/>
      <c r="K412" s="85"/>
      <c r="L412" s="86"/>
      <c r="M412" s="87"/>
      <c r="N412" s="173"/>
      <c r="O412" s="173"/>
      <c r="P412" s="175"/>
      <c r="Q412" s="173"/>
      <c r="R412" s="173"/>
      <c r="S412" s="85"/>
      <c r="T412" s="87"/>
      <c r="U412" s="87"/>
      <c r="V412" s="173"/>
      <c r="W412" s="173"/>
      <c r="X412" s="175"/>
      <c r="Y412" s="173"/>
      <c r="Z412" s="174"/>
      <c r="AA412" s="173"/>
      <c r="AB412" s="91"/>
      <c r="AC412" s="92"/>
      <c r="AD412" s="92"/>
      <c r="AE412" s="92"/>
      <c r="AF412" s="92" t="str">
        <f aca="false">IF(ISBLANK($C412),"",IF(E412=Constants!$B$3,TRUE(),IF(E412=Constants!$B$4,FALSE(),TRUE())))</f>
        <v/>
      </c>
      <c r="AG412" s="92" t="str">
        <f aca="false">IF(ISBLANK($C412),"",IF(F412=Constants!$B$3,TRUE(),IF(F412=Constants!$B$4,FALSE(),TRUE())))</f>
        <v/>
      </c>
      <c r="AH412" s="92" t="str">
        <f aca="false">IF(ISBLANK($C412),"",IF(G412=Constants!$B$3,TRUE(),IF(G412=Constants!$B$4,FALSE(),TRUE())))</f>
        <v/>
      </c>
      <c r="AI412" s="92" t="str">
        <f aca="false">IF(ISBLANK($C412),"",IF(AND(ISNUMBER(H412),H412&gt;=0),H412,Constants!$B$29))</f>
        <v/>
      </c>
      <c r="AJ412" s="92" t="str">
        <f aca="false">IF(ISBLANK($C412),"",IF(I412=Constants!$B$3,TRUE(),IF(I412=Constants!$B$4,FALSE(),TRUE())))</f>
        <v/>
      </c>
      <c r="AK412" s="92" t="str">
        <f aca="false">IF(ISBLANK($C412),"",IF(J412=Constants!$B$3,TRUE(),IF(J412=Constants!$B$4,FALSE(),TRUE())))</f>
        <v/>
      </c>
      <c r="AL412" s="92" t="str">
        <f aca="false">IF(ISBLANK($C412),"",IF(K412=Constants!$B$5,TRUE(),IF(K412=Constants!$B$6,FALSE(),COUNTA(L412:P412)&gt;0)))</f>
        <v/>
      </c>
      <c r="AM412" s="94" t="str">
        <f aca="false">IF(ISBLANK($C412),"",IF(ISNUMBER(L412),IF(L412&gt;=0,L412,""),""))</f>
        <v/>
      </c>
      <c r="AN412" s="93" t="str">
        <f aca="false">IF(ISBLANK($C412),"",IF(ISNUMBER(M412),IF(M412&gt;=0,M412,""),""))</f>
        <v/>
      </c>
      <c r="AO412" s="93" t="str">
        <f aca="false">IF(ISBLANK($C412),"",IF(N412=Constants!$B$3,TRUE(),IF(N412=Constants!$B$4,FALSE(),TRUE())))</f>
        <v/>
      </c>
      <c r="AP412" s="92" t="str">
        <f aca="false">IF(ISBLANK($C412),"",IF(ISNUMBER(O412),IF(O412&gt;=0,O412,""),""))</f>
        <v/>
      </c>
      <c r="AQ412" s="92" t="str">
        <f aca="false">IF(ISBLANK($C412),"",IF(P412=Constants!$B$3,TRUE(),IF(P412=Constants!$B$4,FALSE(),FALSE())))</f>
        <v/>
      </c>
      <c r="AR412" s="92" t="str">
        <f aca="false">IF(ISBLANK($C412),"",IF(Q412=Constants!$B$3,TRUE(),IF(Q412=Constants!$B$4,FALSE(),TRUE())))</f>
        <v/>
      </c>
      <c r="AS412" s="92" t="str">
        <f aca="false">IF(ISBLANK($C412),"",IF(R412=Constants!$B$3,TRUE(),IF(R412=Constants!$B$4,FALSE(),TRUE())))</f>
        <v/>
      </c>
      <c r="AT412" s="92" t="str">
        <f aca="false">IF(ISBLANK($C412),"",IF(S412=Constants!$B$5,TRUE(),IF(S412=Constants!$B$6,FALSE(),COUNTA(T412:X412)&gt;0)))</f>
        <v/>
      </c>
      <c r="AU412" s="94" t="str">
        <f aca="false">IF(ISBLANK($C412),"",IF(ISNUMBER(T412),IF(T412&gt;=0,T412,""),""))</f>
        <v/>
      </c>
      <c r="AV412" s="93" t="str">
        <f aca="false">IF(ISBLANK($C412),"",IF(ISNUMBER(U412),IF(U412&gt;=0,U412,""),""))</f>
        <v/>
      </c>
      <c r="AW412" s="93" t="str">
        <f aca="false">IF(ISBLANK($C412),"",IF(V412=Constants!$B$3,TRUE(),IF(V412=Constants!$B$4,FALSE(),TRUE())))</f>
        <v/>
      </c>
      <c r="AX412" s="92" t="str">
        <f aca="false">IF(ISBLANK($C412),"",IF(ISNUMBER(W412),IF(W412&gt;=0,W412,""),""))</f>
        <v/>
      </c>
      <c r="AY412" s="92" t="str">
        <f aca="false">IF(ISBLANK($C412),"",IF(X412=Constants!$B$3,TRUE(),IF(X412=Constants!$B$4,FALSE(),FALSE())))</f>
        <v/>
      </c>
      <c r="AZ412" s="92" t="str">
        <f aca="false">IF(ISBLANK($C412),"",MIN(Constants!$B$31,MAX(0,IF(ISNUMBER(Y412),Y412*60,0)+IF(ISNUMBER(Z412),Z412,0))))</f>
        <v/>
      </c>
      <c r="BA412" s="92" t="str">
        <f aca="false">IF(ISBLANK($C412),"",IF(AA412=Constants!$B$3,TRUE(),IF(AA412=Constants!$B$4,FALSE(),FALSE())))</f>
        <v/>
      </c>
      <c r="BB412" s="91" t="str">
        <f aca="false">IF(ISBLANK($C412),"",AND($AL412,OR($AM412="",$AN412="",AND($AO412,$AP412=""))))</f>
        <v/>
      </c>
      <c r="BC412" s="93" t="str">
        <f aca="false">IF($BR412&lt;&gt;Constants!$B$8,"",IF($AL412,Constants!$B$21*$AN412+Constants!$B$22*IF($AO412,$AP412,Constants!$B$23),Constants!$B$24))</f>
        <v/>
      </c>
      <c r="BD412" s="96" t="str">
        <f aca="false">IF($BR412&lt;&gt;Constants!$B$8,"",Constants!$B$25*ABS($AD$9-IF($AL412,$AM412,0)))</f>
        <v/>
      </c>
      <c r="BE412" s="96" t="str">
        <f aca="false">IF($BR412&lt;&gt;Constants!$B$8,"",IF(AND($AL412,$AQ412,$AO412),Constants!$B$27,0))</f>
        <v/>
      </c>
      <c r="BF412" s="96" t="str">
        <f aca="false">IF($BR412&lt;&gt;Constants!$B$8,"",IF($AL412,($AI412-Constants!$B$29)*Constants!$B$28,0))</f>
        <v/>
      </c>
      <c r="BG412" s="96" t="str">
        <f aca="false">IF($BR412&lt;&gt;Constants!$B$8,"",IF($AK412,0,Constants!$B$15)+IF($AJ412,0,Constants!$B$16)+IF($AH412,0,Constants!$B$17))</f>
        <v/>
      </c>
      <c r="BH412" s="97" t="str">
        <f aca="false">IF($BR412&lt;&gt;Constants!$B$8,"",Constants!$B$20+SUM($BC412:$BG412))</f>
        <v/>
      </c>
      <c r="BI412" s="92" t="str">
        <f aca="false">IF($BR412&lt;&gt;Constants!$B$8,"",IF(OR($BP412&lt;$BH412,AND($BP412=$BH412,OR($BK412&lt;$BC412,AND($BK412=$BC412,OR($BL412&lt;$BD412,AND($BL412=$BD412,$AT412,$AL412,$AV412&lt;$AN412)))))),"-&gt;","&lt;-"))</f>
        <v/>
      </c>
      <c r="BJ412" s="91" t="str">
        <f aca="false">IF(ISBLANK($C412),"",AND($AT412,OR($AU412="",$AV412="",AND($AW412,$AX412=""))))</f>
        <v/>
      </c>
      <c r="BK412" s="93" t="str">
        <f aca="false">IF($BR412&lt;&gt;Constants!$B$8,"",IF($AT412,Constants!$B$21*$AV412+Constants!$B$22*IF($AW412,$AX412,Constants!$B$23),Constants!$B$24))</f>
        <v/>
      </c>
      <c r="BL412" s="96" t="str">
        <f aca="false">IF($BR412&lt;&gt;Constants!$B$8,"",Constants!$B$25*ABS($AD$9-IF($AT412,$AU412,0)))</f>
        <v/>
      </c>
      <c r="BM412" s="96" t="str">
        <f aca="false">IF($BR412&lt;&gt;Constants!$B$8,"",IF(AND($AT412,$AY412,$AW412),Constants!$B$27,0))</f>
        <v/>
      </c>
      <c r="BN412" s="96" t="str">
        <f aca="false">IF($BR412&lt;&gt;Constants!$B$8,"",IF($AT412,($AI412-Constants!$B$29)*Constants!$B$28,0))</f>
        <v/>
      </c>
      <c r="BO412" s="96" t="str">
        <f aca="false">IF($BR412&lt;&gt;Constants!$B$8,"",IF($AS412,0,Constants!$B$15)+IF($AR412,0,Constants!$B$16)+IF($AH412,0,Constants!$B$17))</f>
        <v/>
      </c>
      <c r="BP412" s="97" t="str">
        <f aca="false">IF($BR412&lt;&gt;Constants!$B$8,"",Constants!$B$20+SUM($BK412:$BO412))</f>
        <v/>
      </c>
      <c r="BQ412" s="92" t="str">
        <f aca="false">IF(ISBLANK($C412),"",IF(ISBLANK($D$7),$BQ$5,IF(NOT(ISNUMBER($D$7)),$BQ$6,"")))</f>
        <v/>
      </c>
      <c r="BR412" s="92" t="str">
        <f aca="false">IF(ISBLANK($C412),"",IF($BA412,Constants!$B$11,IF(COUNTA($E412:$AA412)=0,Constants!$B$10,IF(NOT($AG412),Constants!$B$9,IF(OR($BQ412&lt;&gt;"",$BB412,$BJ412),Constants!$B$12,Constants!$B$8)))))</f>
        <v/>
      </c>
      <c r="BS412" s="92" t="str">
        <f aca="false">IF(ISBLANK($C412),"",IF($BR412&lt;&gt;Constants!$B$8,$BR412,Constants!$B$13))</f>
        <v/>
      </c>
      <c r="BT412" s="96" t="str">
        <f aca="false">IF($BR412&lt;&gt;Constants!$B$8,"",IF($BI412="-&gt;",$BP412,$BH412))</f>
        <v/>
      </c>
      <c r="BU412" s="96" t="str">
        <f aca="false">IF($BR412&lt;&gt;Constants!$B$8,"",IF($AF412,0,Constants!$B$18))</f>
        <v/>
      </c>
      <c r="BV412" s="96" t="str">
        <f aca="false">IF($BR412&lt;&gt;Constants!$B$8,"",((Constants!$B$31-$AZ412)-Constants!$B$31)/Constants!$B$32)</f>
        <v/>
      </c>
      <c r="BW412" s="96" t="str">
        <f aca="false">IF(ISBLANK($C412),"",IF($BR412&lt;&gt;Constants!$B$8,$BR412,SUM($BT412:$BV412)))</f>
        <v/>
      </c>
      <c r="BX412" s="92" t="str">
        <f aca="false">IF(ISBLANK($C412),"",IF($BR412&lt;&gt;Constants!$B$8,$BR412,RANK($BW412,$BW$9:$BW$508,1)))</f>
        <v/>
      </c>
      <c r="BY412" s="96" t="str">
        <f aca="false">IF($BR412&lt;&gt;Constants!$B$8,"",IF($BI412="-&gt;",$BK412,$BC412))</f>
        <v/>
      </c>
      <c r="BZ412" s="92" t="str">
        <f aca="false">IF(ISBLANK($C412),"",IF($BR412&lt;&gt;Constants!$B$8,$BR412,IF(ISNUMBER($BY412),RANK($BY412,$BY$9:$BY$508,1),COUNT($BY$9:$BY$508)+1)))</f>
        <v/>
      </c>
      <c r="CA412" s="96" t="str">
        <f aca="false">IF($BR412&lt;&gt;Constants!$B$8,"",IF($BI412="-&gt;",$BL412,$BD412))</f>
        <v/>
      </c>
      <c r="CB412" s="92" t="str">
        <f aca="false">IF(ISBLANK($C412),"",IF($BR412&lt;&gt;Constants!$B$8,$BR412,IF(ISNUMBER($CA412),RANK($CA412,$CA$9:$CA$508,1),COUNT($CA$9:$CA$508)+1)))</f>
        <v/>
      </c>
      <c r="CC412" s="96" t="str">
        <f aca="false">IF($BR412&lt;&gt;Constants!$B$8,"",IF($BI412="-&gt;",IF($AT412,$AV412,""),IF($AL412,$AN412,"")))</f>
        <v/>
      </c>
      <c r="CD412" s="92" t="str">
        <f aca="false">IF(ISBLANK($C412),"",IF($BR412&lt;&gt;Constants!$B$8,$BR412,IF(ISNUMBER($CC412),RANK($CC412,$CC$9:$CC$508,1),COUNT($CC$9:$CC$508)+1)))</f>
        <v/>
      </c>
      <c r="CE412" s="96" t="str">
        <f aca="false">IF($BR412&lt;&gt;Constants!$B$8,"",IF(AND(NOT($AL412),NOT($AT412),$AJ412,$AK412,$AR412,$AS412),"",$AI412))</f>
        <v/>
      </c>
      <c r="CF412" s="92" t="str">
        <f aca="false">IF(ISBLANK($C412),"",IF($BR412&lt;&gt;Constants!$B$8,$BR412,IF(ISNUMBER($CE412),RANK($CE412,$CE$9:$CE$508,1),COUNT($CE$9:$CE$508)+1)))</f>
        <v/>
      </c>
      <c r="CG412" s="92" t="str">
        <f aca="false">IF(ISBLANK($C412),"",IF($BR412&lt;&gt;Constants!$B$8,$BR412,COUNTIFS($BX$9:$BX$508,"&lt;"&amp;$BX412)+COUNTIFS($BX$9:$BX$508,$BX412,$BZ$9:$BZ$508,"&lt;"&amp;$BZ412)+COUNTIFS($BX$9:$BX$508,$BX412,$BZ$9:$BZ$508,$BZ412,$CB$9:$CB$508,"&lt;"&amp;$CB412)+COUNTIFS($BX$9:$BX$508,$BX412,$BZ$9:$BZ$508,$BZ412,$CB$9:$CB$508,$CB412,$CD$9:$CD$508,"&lt;"&amp;$CD412)+COUNTIFS($BX$9:$BX$508,$BX412,$BZ$9:$BZ$508,$BZ412,$CB$9:$CB$508,$CB412,$CD$9:$CD$508,$CD412,$CF$9:$CF$508,"&lt;"&amp;$CF412)+1))</f>
        <v/>
      </c>
      <c r="CH412" s="92" t="str">
        <f aca="false">IF(ISBLANK($C412),"",IF($BR412&lt;&gt;Constants!$B$8,$BR412,$BX412-$CG412))</f>
        <v/>
      </c>
      <c r="CI412" s="98"/>
      <c r="CJ412" s="99"/>
      <c r="CK412" s="100" t="str">
        <f aca="false">IF(ISBLANK($C412),"",IF($BR412=Constants!$B$12,$BQ412,""))</f>
        <v/>
      </c>
      <c r="CL412" s="99" t="str">
        <f aca="false">IF(ISBLANK($C412),"",IF($BR412&lt;&gt;Constants!$B$8,"",IF($BI412="-&gt;",2,1)))</f>
        <v/>
      </c>
      <c r="CM412" s="101" t="str">
        <f aca="false">IF(ISBLANK($C412),"",IF($BR412&lt;&gt;Constants!$B$8,"",IF($BI412="-&gt;",$BK412,$BC412)))</f>
        <v/>
      </c>
      <c r="CN412" s="101" t="str">
        <f aca="false">IF(ISBLANK($C412),"",IF($BR412&lt;&gt;Constants!$B$8,"",IF($BI412="-&gt;",$BL412,$BD412)))</f>
        <v/>
      </c>
      <c r="CO412" s="101" t="str">
        <f aca="false">IF(ISBLANK($C412),"",IF($BR412&lt;&gt;Constants!$B$8,"",IF($BI412="-&gt;",$BM412+$BN412,$BE412+$BF412)+$BV412))</f>
        <v/>
      </c>
      <c r="CP412" s="101" t="str">
        <f aca="false">IF(ISBLANK($C412),"",IF($BR412&lt;&gt;Constants!$B$8,"",IF($BI412="-&gt;",$BO412,$BG412)+$BU412))</f>
        <v/>
      </c>
      <c r="CQ412" s="102" t="str">
        <f aca="false">IF(ISBLANK($C412),"",IF($BR412&lt;&gt;Constants!$B$8,$BR412,$BW412))</f>
        <v/>
      </c>
      <c r="CR412" s="103" t="str">
        <f aca="false">IF(ISBLANK($C412),"",$BS412)</f>
        <v/>
      </c>
      <c r="CS412" s="104" t="str">
        <f aca="false">IF(ISBLANK($C412),"",$CH412)</f>
        <v/>
      </c>
      <c r="CT412" s="104" t="str">
        <f aca="false">IF(ISBLANK($C412),"",$CG412)</f>
        <v/>
      </c>
      <c r="CU412" s="105" t="str">
        <f aca="false">IF(ISBLANK($C412),"",IFERROR(_xlfn.SWITCH($CT412,Constants!$B$11,COUNTA($C$9:$C$508)+2,Constants!$B$10,COUNTA($C$9:$C$508)+1,Constants!$B$9,COUNTA($C$9:$C$508)),$CT412))</f>
        <v/>
      </c>
      <c r="CV412" s="9"/>
      <c r="CW412" s="106" t="n">
        <f aca="false">IF(OR(ISNUMBER($CT412),$CT412=Constants!$B$11,$CT412=Constants!$B$9,$CT412=Constants!$B$10),1,0)</f>
        <v>0</v>
      </c>
      <c r="CX412" s="106" t="n">
        <v>404</v>
      </c>
      <c r="CY412" s="106" t="str">
        <f aca="false">IF(ISBLANK($C412),"",IF(ISNUMBER($CU412),$CU412+ROW($B412)/1000,""))</f>
        <v/>
      </c>
      <c r="CZ412" s="106" t="str">
        <f aca="false">IF(ISNUMBER($CY412),RANK($CY412,$CY$9:$CY$508,1),"")</f>
        <v/>
      </c>
      <c r="DA412" s="106" t="str">
        <f aca="false">IF(ISBLANK($C412),"",$B412)</f>
        <v/>
      </c>
      <c r="DB412" s="106" t="str">
        <f aca="false">IF(ISBLANK($C412),"",$C412)</f>
        <v/>
      </c>
      <c r="DC412" s="106" t="str">
        <f aca="false">IF(ISBLANK($C412),"",$D412)</f>
        <v/>
      </c>
      <c r="DD412" s="107" t="str">
        <f aca="false">$CR412</f>
        <v/>
      </c>
      <c r="DE412" s="108" t="str">
        <f aca="false">$CQ412</f>
        <v/>
      </c>
      <c r="DF412" s="106" t="str">
        <f aca="false">IF(ISBLANK($C412),"",$CT412)</f>
        <v/>
      </c>
      <c r="DG412" s="109" t="str">
        <f aca="false">IF($CX412&gt;$CW$8,"",VLOOKUP($CX412,$CZ$9:$DF$508,7,FALSE()))</f>
        <v/>
      </c>
      <c r="DH412" s="110" t="str">
        <f aca="false">IF($CX412&gt;$CW$8,"",VLOOKUP($CX412,$CZ$9:$DF$508,2,FALSE()))</f>
        <v/>
      </c>
      <c r="DI412" s="110" t="str">
        <f aca="false">IF($CX412&gt;$CW$8,"",VLOOKUP($CX412,$CZ$9:$DF$508,3,FALSE()))</f>
        <v/>
      </c>
      <c r="DJ412" s="110" t="str">
        <f aca="false">IF($CX412&gt;$CW$8,"",VLOOKUP($CX412,$CZ$9:$DF$508,4,FALSE()))</f>
        <v/>
      </c>
      <c r="DK412" s="110" t="str">
        <f aca="false">IF($CX412&gt;$CW$8,"",VLOOKUP($CX412,$CZ$9:$DF$508,5,FALSE()))</f>
        <v/>
      </c>
      <c r="DL412" s="111" t="str">
        <f aca="false">IF($CX412&gt;$CW$8,"",VLOOKUP($CX412,$CZ$9:$DF$508,6,FALSE()))</f>
        <v/>
      </c>
      <c r="DM412" s="75"/>
    </row>
    <row r="413" customFormat="false" ht="15.75" hidden="false" customHeight="false" outlineLevel="0" collapsed="false">
      <c r="A413" s="9"/>
      <c r="B413" s="77"/>
      <c r="C413" s="78"/>
      <c r="D413" s="167"/>
      <c r="E413" s="175"/>
      <c r="F413" s="169"/>
      <c r="G413" s="170"/>
      <c r="H413" s="170"/>
      <c r="I413" s="176"/>
      <c r="J413" s="173"/>
      <c r="K413" s="85"/>
      <c r="L413" s="86"/>
      <c r="M413" s="87"/>
      <c r="N413" s="173"/>
      <c r="O413" s="173"/>
      <c r="P413" s="175"/>
      <c r="Q413" s="173"/>
      <c r="R413" s="173"/>
      <c r="S413" s="85"/>
      <c r="T413" s="87"/>
      <c r="U413" s="87"/>
      <c r="V413" s="173"/>
      <c r="W413" s="173"/>
      <c r="X413" s="175"/>
      <c r="Y413" s="173"/>
      <c r="Z413" s="174"/>
      <c r="AA413" s="173"/>
      <c r="AB413" s="91"/>
      <c r="AC413" s="92"/>
      <c r="AD413" s="92"/>
      <c r="AE413" s="92"/>
      <c r="AF413" s="92" t="str">
        <f aca="false">IF(ISBLANK($C413),"",IF(E413=Constants!$B$3,TRUE(),IF(E413=Constants!$B$4,FALSE(),TRUE())))</f>
        <v/>
      </c>
      <c r="AG413" s="92" t="str">
        <f aca="false">IF(ISBLANK($C413),"",IF(F413=Constants!$B$3,TRUE(),IF(F413=Constants!$B$4,FALSE(),TRUE())))</f>
        <v/>
      </c>
      <c r="AH413" s="92" t="str">
        <f aca="false">IF(ISBLANK($C413),"",IF(G413=Constants!$B$3,TRUE(),IF(G413=Constants!$B$4,FALSE(),TRUE())))</f>
        <v/>
      </c>
      <c r="AI413" s="92" t="str">
        <f aca="false">IF(ISBLANK($C413),"",IF(AND(ISNUMBER(H413),H413&gt;=0),H413,Constants!$B$29))</f>
        <v/>
      </c>
      <c r="AJ413" s="92" t="str">
        <f aca="false">IF(ISBLANK($C413),"",IF(I413=Constants!$B$3,TRUE(),IF(I413=Constants!$B$4,FALSE(),TRUE())))</f>
        <v/>
      </c>
      <c r="AK413" s="92" t="str">
        <f aca="false">IF(ISBLANK($C413),"",IF(J413=Constants!$B$3,TRUE(),IF(J413=Constants!$B$4,FALSE(),TRUE())))</f>
        <v/>
      </c>
      <c r="AL413" s="92" t="str">
        <f aca="false">IF(ISBLANK($C413),"",IF(K413=Constants!$B$5,TRUE(),IF(K413=Constants!$B$6,FALSE(),COUNTA(L413:P413)&gt;0)))</f>
        <v/>
      </c>
      <c r="AM413" s="94" t="str">
        <f aca="false">IF(ISBLANK($C413),"",IF(ISNUMBER(L413),IF(L413&gt;=0,L413,""),""))</f>
        <v/>
      </c>
      <c r="AN413" s="93" t="str">
        <f aca="false">IF(ISBLANK($C413),"",IF(ISNUMBER(M413),IF(M413&gt;=0,M413,""),""))</f>
        <v/>
      </c>
      <c r="AO413" s="93" t="str">
        <f aca="false">IF(ISBLANK($C413),"",IF(N413=Constants!$B$3,TRUE(),IF(N413=Constants!$B$4,FALSE(),TRUE())))</f>
        <v/>
      </c>
      <c r="AP413" s="92" t="str">
        <f aca="false">IF(ISBLANK($C413),"",IF(ISNUMBER(O413),IF(O413&gt;=0,O413,""),""))</f>
        <v/>
      </c>
      <c r="AQ413" s="92" t="str">
        <f aca="false">IF(ISBLANK($C413),"",IF(P413=Constants!$B$3,TRUE(),IF(P413=Constants!$B$4,FALSE(),FALSE())))</f>
        <v/>
      </c>
      <c r="AR413" s="92" t="str">
        <f aca="false">IF(ISBLANK($C413),"",IF(Q413=Constants!$B$3,TRUE(),IF(Q413=Constants!$B$4,FALSE(),TRUE())))</f>
        <v/>
      </c>
      <c r="AS413" s="92" t="str">
        <f aca="false">IF(ISBLANK($C413),"",IF(R413=Constants!$B$3,TRUE(),IF(R413=Constants!$B$4,FALSE(),TRUE())))</f>
        <v/>
      </c>
      <c r="AT413" s="92" t="str">
        <f aca="false">IF(ISBLANK($C413),"",IF(S413=Constants!$B$5,TRUE(),IF(S413=Constants!$B$6,FALSE(),COUNTA(T413:X413)&gt;0)))</f>
        <v/>
      </c>
      <c r="AU413" s="94" t="str">
        <f aca="false">IF(ISBLANK($C413),"",IF(ISNUMBER(T413),IF(T413&gt;=0,T413,""),""))</f>
        <v/>
      </c>
      <c r="AV413" s="93" t="str">
        <f aca="false">IF(ISBLANK($C413),"",IF(ISNUMBER(U413),IF(U413&gt;=0,U413,""),""))</f>
        <v/>
      </c>
      <c r="AW413" s="93" t="str">
        <f aca="false">IF(ISBLANK($C413),"",IF(V413=Constants!$B$3,TRUE(),IF(V413=Constants!$B$4,FALSE(),TRUE())))</f>
        <v/>
      </c>
      <c r="AX413" s="92" t="str">
        <f aca="false">IF(ISBLANK($C413),"",IF(ISNUMBER(W413),IF(W413&gt;=0,W413,""),""))</f>
        <v/>
      </c>
      <c r="AY413" s="92" t="str">
        <f aca="false">IF(ISBLANK($C413),"",IF(X413=Constants!$B$3,TRUE(),IF(X413=Constants!$B$4,FALSE(),FALSE())))</f>
        <v/>
      </c>
      <c r="AZ413" s="92" t="str">
        <f aca="false">IF(ISBLANK($C413),"",MIN(Constants!$B$31,MAX(0,IF(ISNUMBER(Y413),Y413*60,0)+IF(ISNUMBER(Z413),Z413,0))))</f>
        <v/>
      </c>
      <c r="BA413" s="92" t="str">
        <f aca="false">IF(ISBLANK($C413),"",IF(AA413=Constants!$B$3,TRUE(),IF(AA413=Constants!$B$4,FALSE(),FALSE())))</f>
        <v/>
      </c>
      <c r="BB413" s="91" t="str">
        <f aca="false">IF(ISBLANK($C413),"",AND($AL413,OR($AM413="",$AN413="",AND($AO413,$AP413=""))))</f>
        <v/>
      </c>
      <c r="BC413" s="93" t="str">
        <f aca="false">IF($BR413&lt;&gt;Constants!$B$8,"",IF($AL413,Constants!$B$21*$AN413+Constants!$B$22*IF($AO413,$AP413,Constants!$B$23),Constants!$B$24))</f>
        <v/>
      </c>
      <c r="BD413" s="96" t="str">
        <f aca="false">IF($BR413&lt;&gt;Constants!$B$8,"",Constants!$B$25*ABS($AD$9-IF($AL413,$AM413,0)))</f>
        <v/>
      </c>
      <c r="BE413" s="96" t="str">
        <f aca="false">IF($BR413&lt;&gt;Constants!$B$8,"",IF(AND($AL413,$AQ413,$AO413),Constants!$B$27,0))</f>
        <v/>
      </c>
      <c r="BF413" s="96" t="str">
        <f aca="false">IF($BR413&lt;&gt;Constants!$B$8,"",IF($AL413,($AI413-Constants!$B$29)*Constants!$B$28,0))</f>
        <v/>
      </c>
      <c r="BG413" s="96" t="str">
        <f aca="false">IF($BR413&lt;&gt;Constants!$B$8,"",IF($AK413,0,Constants!$B$15)+IF($AJ413,0,Constants!$B$16)+IF($AH413,0,Constants!$B$17))</f>
        <v/>
      </c>
      <c r="BH413" s="97" t="str">
        <f aca="false">IF($BR413&lt;&gt;Constants!$B$8,"",Constants!$B$20+SUM($BC413:$BG413))</f>
        <v/>
      </c>
      <c r="BI413" s="92" t="str">
        <f aca="false">IF($BR413&lt;&gt;Constants!$B$8,"",IF(OR($BP413&lt;$BH413,AND($BP413=$BH413,OR($BK413&lt;$BC413,AND($BK413=$BC413,OR($BL413&lt;$BD413,AND($BL413=$BD413,$AT413,$AL413,$AV413&lt;$AN413)))))),"-&gt;","&lt;-"))</f>
        <v/>
      </c>
      <c r="BJ413" s="91" t="str">
        <f aca="false">IF(ISBLANK($C413),"",AND($AT413,OR($AU413="",$AV413="",AND($AW413,$AX413=""))))</f>
        <v/>
      </c>
      <c r="BK413" s="93" t="str">
        <f aca="false">IF($BR413&lt;&gt;Constants!$B$8,"",IF($AT413,Constants!$B$21*$AV413+Constants!$B$22*IF($AW413,$AX413,Constants!$B$23),Constants!$B$24))</f>
        <v/>
      </c>
      <c r="BL413" s="96" t="str">
        <f aca="false">IF($BR413&lt;&gt;Constants!$B$8,"",Constants!$B$25*ABS($AD$9-IF($AT413,$AU413,0)))</f>
        <v/>
      </c>
      <c r="BM413" s="96" t="str">
        <f aca="false">IF($BR413&lt;&gt;Constants!$B$8,"",IF(AND($AT413,$AY413,$AW413),Constants!$B$27,0))</f>
        <v/>
      </c>
      <c r="BN413" s="96" t="str">
        <f aca="false">IF($BR413&lt;&gt;Constants!$B$8,"",IF($AT413,($AI413-Constants!$B$29)*Constants!$B$28,0))</f>
        <v/>
      </c>
      <c r="BO413" s="96" t="str">
        <f aca="false">IF($BR413&lt;&gt;Constants!$B$8,"",IF($AS413,0,Constants!$B$15)+IF($AR413,0,Constants!$B$16)+IF($AH413,0,Constants!$B$17))</f>
        <v/>
      </c>
      <c r="BP413" s="97" t="str">
        <f aca="false">IF($BR413&lt;&gt;Constants!$B$8,"",Constants!$B$20+SUM($BK413:$BO413))</f>
        <v/>
      </c>
      <c r="BQ413" s="92" t="str">
        <f aca="false">IF(ISBLANK($C413),"",IF(ISBLANK($D$7),$BQ$5,IF(NOT(ISNUMBER($D$7)),$BQ$6,"")))</f>
        <v/>
      </c>
      <c r="BR413" s="92" t="str">
        <f aca="false">IF(ISBLANK($C413),"",IF($BA413,Constants!$B$11,IF(COUNTA($E413:$AA413)=0,Constants!$B$10,IF(NOT($AG413),Constants!$B$9,IF(OR($BQ413&lt;&gt;"",$BB413,$BJ413),Constants!$B$12,Constants!$B$8)))))</f>
        <v/>
      </c>
      <c r="BS413" s="92" t="str">
        <f aca="false">IF(ISBLANK($C413),"",IF($BR413&lt;&gt;Constants!$B$8,$BR413,Constants!$B$13))</f>
        <v/>
      </c>
      <c r="BT413" s="96" t="str">
        <f aca="false">IF($BR413&lt;&gt;Constants!$B$8,"",IF($BI413="-&gt;",$BP413,$BH413))</f>
        <v/>
      </c>
      <c r="BU413" s="96" t="str">
        <f aca="false">IF($BR413&lt;&gt;Constants!$B$8,"",IF($AF413,0,Constants!$B$18))</f>
        <v/>
      </c>
      <c r="BV413" s="96" t="str">
        <f aca="false">IF($BR413&lt;&gt;Constants!$B$8,"",((Constants!$B$31-$AZ413)-Constants!$B$31)/Constants!$B$32)</f>
        <v/>
      </c>
      <c r="BW413" s="96" t="str">
        <f aca="false">IF(ISBLANK($C413),"",IF($BR413&lt;&gt;Constants!$B$8,$BR413,SUM($BT413:$BV413)))</f>
        <v/>
      </c>
      <c r="BX413" s="92" t="str">
        <f aca="false">IF(ISBLANK($C413),"",IF($BR413&lt;&gt;Constants!$B$8,$BR413,RANK($BW413,$BW$9:$BW$508,1)))</f>
        <v/>
      </c>
      <c r="BY413" s="96" t="str">
        <f aca="false">IF($BR413&lt;&gt;Constants!$B$8,"",IF($BI413="-&gt;",$BK413,$BC413))</f>
        <v/>
      </c>
      <c r="BZ413" s="92" t="str">
        <f aca="false">IF(ISBLANK($C413),"",IF($BR413&lt;&gt;Constants!$B$8,$BR413,IF(ISNUMBER($BY413),RANK($BY413,$BY$9:$BY$508,1),COUNT($BY$9:$BY$508)+1)))</f>
        <v/>
      </c>
      <c r="CA413" s="96" t="str">
        <f aca="false">IF($BR413&lt;&gt;Constants!$B$8,"",IF($BI413="-&gt;",$BL413,$BD413))</f>
        <v/>
      </c>
      <c r="CB413" s="92" t="str">
        <f aca="false">IF(ISBLANK($C413),"",IF($BR413&lt;&gt;Constants!$B$8,$BR413,IF(ISNUMBER($CA413),RANK($CA413,$CA$9:$CA$508,1),COUNT($CA$9:$CA$508)+1)))</f>
        <v/>
      </c>
      <c r="CC413" s="96" t="str">
        <f aca="false">IF($BR413&lt;&gt;Constants!$B$8,"",IF($BI413="-&gt;",IF($AT413,$AV413,""),IF($AL413,$AN413,"")))</f>
        <v/>
      </c>
      <c r="CD413" s="92" t="str">
        <f aca="false">IF(ISBLANK($C413),"",IF($BR413&lt;&gt;Constants!$B$8,$BR413,IF(ISNUMBER($CC413),RANK($CC413,$CC$9:$CC$508,1),COUNT($CC$9:$CC$508)+1)))</f>
        <v/>
      </c>
      <c r="CE413" s="96" t="str">
        <f aca="false">IF($BR413&lt;&gt;Constants!$B$8,"",IF(AND(NOT($AL413),NOT($AT413),$AJ413,$AK413,$AR413,$AS413),"",$AI413))</f>
        <v/>
      </c>
      <c r="CF413" s="92" t="str">
        <f aca="false">IF(ISBLANK($C413),"",IF($BR413&lt;&gt;Constants!$B$8,$BR413,IF(ISNUMBER($CE413),RANK($CE413,$CE$9:$CE$508,1),COUNT($CE$9:$CE$508)+1)))</f>
        <v/>
      </c>
      <c r="CG413" s="92" t="str">
        <f aca="false">IF(ISBLANK($C413),"",IF($BR413&lt;&gt;Constants!$B$8,$BR413,COUNTIFS($BX$9:$BX$508,"&lt;"&amp;$BX413)+COUNTIFS($BX$9:$BX$508,$BX413,$BZ$9:$BZ$508,"&lt;"&amp;$BZ413)+COUNTIFS($BX$9:$BX$508,$BX413,$BZ$9:$BZ$508,$BZ413,$CB$9:$CB$508,"&lt;"&amp;$CB413)+COUNTIFS($BX$9:$BX$508,$BX413,$BZ$9:$BZ$508,$BZ413,$CB$9:$CB$508,$CB413,$CD$9:$CD$508,"&lt;"&amp;$CD413)+COUNTIFS($BX$9:$BX$508,$BX413,$BZ$9:$BZ$508,$BZ413,$CB$9:$CB$508,$CB413,$CD$9:$CD$508,$CD413,$CF$9:$CF$508,"&lt;"&amp;$CF413)+1))</f>
        <v/>
      </c>
      <c r="CH413" s="92" t="str">
        <f aca="false">IF(ISBLANK($C413),"",IF($BR413&lt;&gt;Constants!$B$8,$BR413,$BX413-$CG413))</f>
        <v/>
      </c>
      <c r="CI413" s="98"/>
      <c r="CJ413" s="99"/>
      <c r="CK413" s="100" t="str">
        <f aca="false">IF(ISBLANK($C413),"",IF($BR413=Constants!$B$12,$BQ413,""))</f>
        <v/>
      </c>
      <c r="CL413" s="99" t="str">
        <f aca="false">IF(ISBLANK($C413),"",IF($BR413&lt;&gt;Constants!$B$8,"",IF($BI413="-&gt;",2,1)))</f>
        <v/>
      </c>
      <c r="CM413" s="101" t="str">
        <f aca="false">IF(ISBLANK($C413),"",IF($BR413&lt;&gt;Constants!$B$8,"",IF($BI413="-&gt;",$BK413,$BC413)))</f>
        <v/>
      </c>
      <c r="CN413" s="101" t="str">
        <f aca="false">IF(ISBLANK($C413),"",IF($BR413&lt;&gt;Constants!$B$8,"",IF($BI413="-&gt;",$BL413,$BD413)))</f>
        <v/>
      </c>
      <c r="CO413" s="101" t="str">
        <f aca="false">IF(ISBLANK($C413),"",IF($BR413&lt;&gt;Constants!$B$8,"",IF($BI413="-&gt;",$BM413+$BN413,$BE413+$BF413)+$BV413))</f>
        <v/>
      </c>
      <c r="CP413" s="101" t="str">
        <f aca="false">IF(ISBLANK($C413),"",IF($BR413&lt;&gt;Constants!$B$8,"",IF($BI413="-&gt;",$BO413,$BG413)+$BU413))</f>
        <v/>
      </c>
      <c r="CQ413" s="102" t="str">
        <f aca="false">IF(ISBLANK($C413),"",IF($BR413&lt;&gt;Constants!$B$8,$BR413,$BW413))</f>
        <v/>
      </c>
      <c r="CR413" s="103" t="str">
        <f aca="false">IF(ISBLANK($C413),"",$BS413)</f>
        <v/>
      </c>
      <c r="CS413" s="104" t="str">
        <f aca="false">IF(ISBLANK($C413),"",$CH413)</f>
        <v/>
      </c>
      <c r="CT413" s="104" t="str">
        <f aca="false">IF(ISBLANK($C413),"",$CG413)</f>
        <v/>
      </c>
      <c r="CU413" s="105" t="str">
        <f aca="false">IF(ISBLANK($C413),"",IFERROR(_xlfn.SWITCH($CT413,Constants!$B$11,COUNTA($C$9:$C$508)+2,Constants!$B$10,COUNTA($C$9:$C$508)+1,Constants!$B$9,COUNTA($C$9:$C$508)),$CT413))</f>
        <v/>
      </c>
      <c r="CV413" s="9"/>
      <c r="CW413" s="106" t="n">
        <f aca="false">IF(OR(ISNUMBER($CT413),$CT413=Constants!$B$11,$CT413=Constants!$B$9,$CT413=Constants!$B$10),1,0)</f>
        <v>0</v>
      </c>
      <c r="CX413" s="106" t="n">
        <v>405</v>
      </c>
      <c r="CY413" s="106" t="str">
        <f aca="false">IF(ISBLANK($C413),"",IF(ISNUMBER($CU413),$CU413+ROW($B413)/1000,""))</f>
        <v/>
      </c>
      <c r="CZ413" s="106" t="str">
        <f aca="false">IF(ISNUMBER($CY413),RANK($CY413,$CY$9:$CY$508,1),"")</f>
        <v/>
      </c>
      <c r="DA413" s="106" t="str">
        <f aca="false">IF(ISBLANK($C413),"",$B413)</f>
        <v/>
      </c>
      <c r="DB413" s="106" t="str">
        <f aca="false">IF(ISBLANK($C413),"",$C413)</f>
        <v/>
      </c>
      <c r="DC413" s="106" t="str">
        <f aca="false">IF(ISBLANK($C413),"",$D413)</f>
        <v/>
      </c>
      <c r="DD413" s="107" t="str">
        <f aca="false">$CR413</f>
        <v/>
      </c>
      <c r="DE413" s="108" t="str">
        <f aca="false">$CQ413</f>
        <v/>
      </c>
      <c r="DF413" s="106" t="str">
        <f aca="false">IF(ISBLANK($C413),"",$CT413)</f>
        <v/>
      </c>
      <c r="DG413" s="109" t="str">
        <f aca="false">IF($CX413&gt;$CW$8,"",VLOOKUP($CX413,$CZ$9:$DF$508,7,FALSE()))</f>
        <v/>
      </c>
      <c r="DH413" s="110" t="str">
        <f aca="false">IF($CX413&gt;$CW$8,"",VLOOKUP($CX413,$CZ$9:$DF$508,2,FALSE()))</f>
        <v/>
      </c>
      <c r="DI413" s="110" t="str">
        <f aca="false">IF($CX413&gt;$CW$8,"",VLOOKUP($CX413,$CZ$9:$DF$508,3,FALSE()))</f>
        <v/>
      </c>
      <c r="DJ413" s="110" t="str">
        <f aca="false">IF($CX413&gt;$CW$8,"",VLOOKUP($CX413,$CZ$9:$DF$508,4,FALSE()))</f>
        <v/>
      </c>
      <c r="DK413" s="110" t="str">
        <f aca="false">IF($CX413&gt;$CW$8,"",VLOOKUP($CX413,$CZ$9:$DF$508,5,FALSE()))</f>
        <v/>
      </c>
      <c r="DL413" s="111" t="str">
        <f aca="false">IF($CX413&gt;$CW$8,"",VLOOKUP($CX413,$CZ$9:$DF$508,6,FALSE()))</f>
        <v/>
      </c>
      <c r="DM413" s="75"/>
    </row>
    <row r="414" customFormat="false" ht="15.75" hidden="false" customHeight="false" outlineLevel="0" collapsed="false">
      <c r="A414" s="9"/>
      <c r="B414" s="157"/>
      <c r="C414" s="158"/>
      <c r="D414" s="159"/>
      <c r="E414" s="177"/>
      <c r="F414" s="161"/>
      <c r="G414" s="162"/>
      <c r="H414" s="162"/>
      <c r="I414" s="178"/>
      <c r="J414" s="165"/>
      <c r="K414" s="126"/>
      <c r="L414" s="127"/>
      <c r="M414" s="128"/>
      <c r="N414" s="165"/>
      <c r="O414" s="165"/>
      <c r="P414" s="177"/>
      <c r="Q414" s="165"/>
      <c r="R414" s="165"/>
      <c r="S414" s="126"/>
      <c r="T414" s="128"/>
      <c r="U414" s="128"/>
      <c r="V414" s="165"/>
      <c r="W414" s="165"/>
      <c r="X414" s="177"/>
      <c r="Y414" s="165"/>
      <c r="Z414" s="166"/>
      <c r="AA414" s="165"/>
      <c r="AB414" s="132"/>
      <c r="AC414" s="133"/>
      <c r="AD414" s="133"/>
      <c r="AE414" s="133"/>
      <c r="AF414" s="133" t="str">
        <f aca="false">IF(ISBLANK($C414),"",IF(E414=Constants!$B$3,TRUE(),IF(E414=Constants!$B$4,FALSE(),TRUE())))</f>
        <v/>
      </c>
      <c r="AG414" s="133" t="str">
        <f aca="false">IF(ISBLANK($C414),"",IF(F414=Constants!$B$3,TRUE(),IF(F414=Constants!$B$4,FALSE(),TRUE())))</f>
        <v/>
      </c>
      <c r="AH414" s="133" t="str">
        <f aca="false">IF(ISBLANK($C414),"",IF(G414=Constants!$B$3,TRUE(),IF(G414=Constants!$B$4,FALSE(),TRUE())))</f>
        <v/>
      </c>
      <c r="AI414" s="133" t="str">
        <f aca="false">IF(ISBLANK($C414),"",IF(AND(ISNUMBER(H414),H414&gt;=0),H414,Constants!$B$29))</f>
        <v/>
      </c>
      <c r="AJ414" s="133" t="str">
        <f aca="false">IF(ISBLANK($C414),"",IF(I414=Constants!$B$3,TRUE(),IF(I414=Constants!$B$4,FALSE(),TRUE())))</f>
        <v/>
      </c>
      <c r="AK414" s="133" t="str">
        <f aca="false">IF(ISBLANK($C414),"",IF(J414=Constants!$B$3,TRUE(),IF(J414=Constants!$B$4,FALSE(),TRUE())))</f>
        <v/>
      </c>
      <c r="AL414" s="133" t="str">
        <f aca="false">IF(ISBLANK($C414),"",IF(K414=Constants!$B$5,TRUE(),IF(K414=Constants!$B$6,FALSE(),COUNTA(L414:P414)&gt;0)))</f>
        <v/>
      </c>
      <c r="AM414" s="134" t="str">
        <f aca="false">IF(ISBLANK($C414),"",IF(ISNUMBER(L414),IF(L414&gt;=0,L414,""),""))</f>
        <v/>
      </c>
      <c r="AN414" s="135" t="str">
        <f aca="false">IF(ISBLANK($C414),"",IF(ISNUMBER(M414),IF(M414&gt;=0,M414,""),""))</f>
        <v/>
      </c>
      <c r="AO414" s="135" t="str">
        <f aca="false">IF(ISBLANK($C414),"",IF(N414=Constants!$B$3,TRUE(),IF(N414=Constants!$B$4,FALSE(),TRUE())))</f>
        <v/>
      </c>
      <c r="AP414" s="133" t="str">
        <f aca="false">IF(ISBLANK($C414),"",IF(ISNUMBER(O414),IF(O414&gt;=0,O414,""),""))</f>
        <v/>
      </c>
      <c r="AQ414" s="133" t="str">
        <f aca="false">IF(ISBLANK($C414),"",IF(P414=Constants!$B$3,TRUE(),IF(P414=Constants!$B$4,FALSE(),FALSE())))</f>
        <v/>
      </c>
      <c r="AR414" s="133" t="str">
        <f aca="false">IF(ISBLANK($C414),"",IF(Q414=Constants!$B$3,TRUE(),IF(Q414=Constants!$B$4,FALSE(),TRUE())))</f>
        <v/>
      </c>
      <c r="AS414" s="133" t="str">
        <f aca="false">IF(ISBLANK($C414),"",IF(R414=Constants!$B$3,TRUE(),IF(R414=Constants!$B$4,FALSE(),TRUE())))</f>
        <v/>
      </c>
      <c r="AT414" s="133" t="str">
        <f aca="false">IF(ISBLANK($C414),"",IF(S414=Constants!$B$5,TRUE(),IF(S414=Constants!$B$6,FALSE(),COUNTA(T414:X414)&gt;0)))</f>
        <v/>
      </c>
      <c r="AU414" s="134" t="str">
        <f aca="false">IF(ISBLANK($C414),"",IF(ISNUMBER(T414),IF(T414&gt;=0,T414,""),""))</f>
        <v/>
      </c>
      <c r="AV414" s="135" t="str">
        <f aca="false">IF(ISBLANK($C414),"",IF(ISNUMBER(U414),IF(U414&gt;=0,U414,""),""))</f>
        <v/>
      </c>
      <c r="AW414" s="135" t="str">
        <f aca="false">IF(ISBLANK($C414),"",IF(V414=Constants!$B$3,TRUE(),IF(V414=Constants!$B$4,FALSE(),TRUE())))</f>
        <v/>
      </c>
      <c r="AX414" s="133" t="str">
        <f aca="false">IF(ISBLANK($C414),"",IF(ISNUMBER(W414),IF(W414&gt;=0,W414,""),""))</f>
        <v/>
      </c>
      <c r="AY414" s="133" t="str">
        <f aca="false">IF(ISBLANK($C414),"",IF(X414=Constants!$B$3,TRUE(),IF(X414=Constants!$B$4,FALSE(),FALSE())))</f>
        <v/>
      </c>
      <c r="AZ414" s="133" t="str">
        <f aca="false">IF(ISBLANK($C414),"",MIN(Constants!$B$31,MAX(0,IF(ISNUMBER(Y414),Y414*60,0)+IF(ISNUMBER(Z414),Z414,0))))</f>
        <v/>
      </c>
      <c r="BA414" s="133" t="str">
        <f aca="false">IF(ISBLANK($C414),"",IF(AA414=Constants!$B$3,TRUE(),IF(AA414=Constants!$B$4,FALSE(),FALSE())))</f>
        <v/>
      </c>
      <c r="BB414" s="132" t="str">
        <f aca="false">IF(ISBLANK($C414),"",AND($AL414,OR($AM414="",$AN414="",AND($AO414,$AP414=""))))</f>
        <v/>
      </c>
      <c r="BC414" s="135" t="str">
        <f aca="false">IF($BR414&lt;&gt;Constants!$B$8,"",IF($AL414,Constants!$B$21*$AN414+Constants!$B$22*IF($AO414,$AP414,Constants!$B$23),Constants!$B$24))</f>
        <v/>
      </c>
      <c r="BD414" s="136" t="str">
        <f aca="false">IF($BR414&lt;&gt;Constants!$B$8,"",Constants!$B$25*ABS($AD$9-IF($AL414,$AM414,0)))</f>
        <v/>
      </c>
      <c r="BE414" s="136" t="str">
        <f aca="false">IF($BR414&lt;&gt;Constants!$B$8,"",IF(AND($AL414,$AQ414,$AO414),Constants!$B$27,0))</f>
        <v/>
      </c>
      <c r="BF414" s="136" t="str">
        <f aca="false">IF($BR414&lt;&gt;Constants!$B$8,"",IF($AL414,($AI414-Constants!$B$29)*Constants!$B$28,0))</f>
        <v/>
      </c>
      <c r="BG414" s="136" t="str">
        <f aca="false">IF($BR414&lt;&gt;Constants!$B$8,"",IF($AK414,0,Constants!$B$15)+IF($AJ414,0,Constants!$B$16)+IF($AH414,0,Constants!$B$17))</f>
        <v/>
      </c>
      <c r="BH414" s="137" t="str">
        <f aca="false">IF($BR414&lt;&gt;Constants!$B$8,"",Constants!$B$20+SUM($BC414:$BG414))</f>
        <v/>
      </c>
      <c r="BI414" s="133" t="str">
        <f aca="false">IF($BR414&lt;&gt;Constants!$B$8,"",IF(OR($BP414&lt;$BH414,AND($BP414=$BH414,OR($BK414&lt;$BC414,AND($BK414=$BC414,OR($BL414&lt;$BD414,AND($BL414=$BD414,$AT414,$AL414,$AV414&lt;$AN414)))))),"-&gt;","&lt;-"))</f>
        <v/>
      </c>
      <c r="BJ414" s="132" t="str">
        <f aca="false">IF(ISBLANK($C414),"",AND($AT414,OR($AU414="",$AV414="",AND($AW414,$AX414=""))))</f>
        <v/>
      </c>
      <c r="BK414" s="135" t="str">
        <f aca="false">IF($BR414&lt;&gt;Constants!$B$8,"",IF($AT414,Constants!$B$21*$AV414+Constants!$B$22*IF($AW414,$AX414,Constants!$B$23),Constants!$B$24))</f>
        <v/>
      </c>
      <c r="BL414" s="136" t="str">
        <f aca="false">IF($BR414&lt;&gt;Constants!$B$8,"",Constants!$B$25*ABS($AD$9-IF($AT414,$AU414,0)))</f>
        <v/>
      </c>
      <c r="BM414" s="136" t="str">
        <f aca="false">IF($BR414&lt;&gt;Constants!$B$8,"",IF(AND($AT414,$AY414,$AW414),Constants!$B$27,0))</f>
        <v/>
      </c>
      <c r="BN414" s="136" t="str">
        <f aca="false">IF($BR414&lt;&gt;Constants!$B$8,"",IF($AT414,($AI414-Constants!$B$29)*Constants!$B$28,0))</f>
        <v/>
      </c>
      <c r="BO414" s="136" t="str">
        <f aca="false">IF($BR414&lt;&gt;Constants!$B$8,"",IF($AS414,0,Constants!$B$15)+IF($AR414,0,Constants!$B$16)+IF($AH414,0,Constants!$B$17))</f>
        <v/>
      </c>
      <c r="BP414" s="137" t="str">
        <f aca="false">IF($BR414&lt;&gt;Constants!$B$8,"",Constants!$B$20+SUM($BK414:$BO414))</f>
        <v/>
      </c>
      <c r="BQ414" s="133" t="str">
        <f aca="false">IF(ISBLANK($C414),"",IF(ISBLANK($D$7),$BQ$5,IF(NOT(ISNUMBER($D$7)),$BQ$6,"")))</f>
        <v/>
      </c>
      <c r="BR414" s="133" t="str">
        <f aca="false">IF(ISBLANK($C414),"",IF($BA414,Constants!$B$11,IF(COUNTA($E414:$AA414)=0,Constants!$B$10,IF(NOT($AG414),Constants!$B$9,IF(OR($BQ414&lt;&gt;"",$BB414,$BJ414),Constants!$B$12,Constants!$B$8)))))</f>
        <v/>
      </c>
      <c r="BS414" s="133" t="str">
        <f aca="false">IF(ISBLANK($C414),"",IF($BR414&lt;&gt;Constants!$B$8,$BR414,Constants!$B$13))</f>
        <v/>
      </c>
      <c r="BT414" s="136" t="str">
        <f aca="false">IF($BR414&lt;&gt;Constants!$B$8,"",IF($BI414="-&gt;",$BP414,$BH414))</f>
        <v/>
      </c>
      <c r="BU414" s="136" t="str">
        <f aca="false">IF($BR414&lt;&gt;Constants!$B$8,"",IF($AF414,0,Constants!$B$18))</f>
        <v/>
      </c>
      <c r="BV414" s="136" t="str">
        <f aca="false">IF($BR414&lt;&gt;Constants!$B$8,"",((Constants!$B$31-$AZ414)-Constants!$B$31)/Constants!$B$32)</f>
        <v/>
      </c>
      <c r="BW414" s="136" t="str">
        <f aca="false">IF(ISBLANK($C414),"",IF($BR414&lt;&gt;Constants!$B$8,$BR414,SUM($BT414:$BV414)))</f>
        <v/>
      </c>
      <c r="BX414" s="133" t="str">
        <f aca="false">IF(ISBLANK($C414),"",IF($BR414&lt;&gt;Constants!$B$8,$BR414,RANK($BW414,$BW$9:$BW$508,1)))</f>
        <v/>
      </c>
      <c r="BY414" s="136" t="str">
        <f aca="false">IF($BR414&lt;&gt;Constants!$B$8,"",IF($BI414="-&gt;",$BK414,$BC414))</f>
        <v/>
      </c>
      <c r="BZ414" s="133" t="str">
        <f aca="false">IF(ISBLANK($C414),"",IF($BR414&lt;&gt;Constants!$B$8,$BR414,IF(ISNUMBER($BY414),RANK($BY414,$BY$9:$BY$508,1),COUNT($BY$9:$BY$508)+1)))</f>
        <v/>
      </c>
      <c r="CA414" s="136" t="str">
        <f aca="false">IF($BR414&lt;&gt;Constants!$B$8,"",IF($BI414="-&gt;",$BL414,$BD414))</f>
        <v/>
      </c>
      <c r="CB414" s="133" t="str">
        <f aca="false">IF(ISBLANK($C414),"",IF($BR414&lt;&gt;Constants!$B$8,$BR414,IF(ISNUMBER($CA414),RANK($CA414,$CA$9:$CA$508,1),COUNT($CA$9:$CA$508)+1)))</f>
        <v/>
      </c>
      <c r="CC414" s="136" t="str">
        <f aca="false">IF($BR414&lt;&gt;Constants!$B$8,"",IF($BI414="-&gt;",IF($AT414,$AV414,""),IF($AL414,$AN414,"")))</f>
        <v/>
      </c>
      <c r="CD414" s="133" t="str">
        <f aca="false">IF(ISBLANK($C414),"",IF($BR414&lt;&gt;Constants!$B$8,$BR414,IF(ISNUMBER($CC414),RANK($CC414,$CC$9:$CC$508,1),COUNT($CC$9:$CC$508)+1)))</f>
        <v/>
      </c>
      <c r="CE414" s="136" t="str">
        <f aca="false">IF($BR414&lt;&gt;Constants!$B$8,"",IF(AND(NOT($AL414),NOT($AT414),$AJ414,$AK414,$AR414,$AS414),"",$AI414))</f>
        <v/>
      </c>
      <c r="CF414" s="133" t="str">
        <f aca="false">IF(ISBLANK($C414),"",IF($BR414&lt;&gt;Constants!$B$8,$BR414,IF(ISNUMBER($CE414),RANK($CE414,$CE$9:$CE$508,1),COUNT($CE$9:$CE$508)+1)))</f>
        <v/>
      </c>
      <c r="CG414" s="133" t="str">
        <f aca="false">IF(ISBLANK($C414),"",IF($BR414&lt;&gt;Constants!$B$8,$BR414,COUNTIFS($BX$9:$BX$508,"&lt;"&amp;$BX414)+COUNTIFS($BX$9:$BX$508,$BX414,$BZ$9:$BZ$508,"&lt;"&amp;$BZ414)+COUNTIFS($BX$9:$BX$508,$BX414,$BZ$9:$BZ$508,$BZ414,$CB$9:$CB$508,"&lt;"&amp;$CB414)+COUNTIFS($BX$9:$BX$508,$BX414,$BZ$9:$BZ$508,$BZ414,$CB$9:$CB$508,$CB414,$CD$9:$CD$508,"&lt;"&amp;$CD414)+COUNTIFS($BX$9:$BX$508,$BX414,$BZ$9:$BZ$508,$BZ414,$CB$9:$CB$508,$CB414,$CD$9:$CD$508,$CD414,$CF$9:$CF$508,"&lt;"&amp;$CF414)+1))</f>
        <v/>
      </c>
      <c r="CH414" s="133" t="str">
        <f aca="false">IF(ISBLANK($C414),"",IF($BR414&lt;&gt;Constants!$B$8,$BR414,$BX414-$CG414))</f>
        <v/>
      </c>
      <c r="CI414" s="138"/>
      <c r="CJ414" s="139"/>
      <c r="CK414" s="140" t="str">
        <f aca="false">IF(ISBLANK($C414),"",IF($BR414=Constants!$B$12,$BQ414,""))</f>
        <v/>
      </c>
      <c r="CL414" s="139" t="str">
        <f aca="false">IF(ISBLANK($C414),"",IF($BR414&lt;&gt;Constants!$B$8,"",IF($BI414="-&gt;",2,1)))</f>
        <v/>
      </c>
      <c r="CM414" s="141" t="str">
        <f aca="false">IF(ISBLANK($C414),"",IF($BR414&lt;&gt;Constants!$B$8,"",IF($BI414="-&gt;",$BK414,$BC414)))</f>
        <v/>
      </c>
      <c r="CN414" s="141" t="str">
        <f aca="false">IF(ISBLANK($C414),"",IF($BR414&lt;&gt;Constants!$B$8,"",IF($BI414="-&gt;",$BL414,$BD414)))</f>
        <v/>
      </c>
      <c r="CO414" s="141" t="str">
        <f aca="false">IF(ISBLANK($C414),"",IF($BR414&lt;&gt;Constants!$B$8,"",IF($BI414="-&gt;",$BM414+$BN414,$BE414+$BF414)+$BV414))</f>
        <v/>
      </c>
      <c r="CP414" s="141" t="str">
        <f aca="false">IF(ISBLANK($C414),"",IF($BR414&lt;&gt;Constants!$B$8,"",IF($BI414="-&gt;",$BO414,$BG414)+$BU414))</f>
        <v/>
      </c>
      <c r="CQ414" s="142" t="str">
        <f aca="false">IF(ISBLANK($C414),"",IF($BR414&lt;&gt;Constants!$B$8,$BR414,$BW414))</f>
        <v/>
      </c>
      <c r="CR414" s="143" t="str">
        <f aca="false">IF(ISBLANK($C414),"",$BS414)</f>
        <v/>
      </c>
      <c r="CS414" s="144" t="str">
        <f aca="false">IF(ISBLANK($C414),"",$CH414)</f>
        <v/>
      </c>
      <c r="CT414" s="144" t="str">
        <f aca="false">IF(ISBLANK($C414),"",$CG414)</f>
        <v/>
      </c>
      <c r="CU414" s="145" t="str">
        <f aca="false">IF(ISBLANK($C414),"",IFERROR(_xlfn.SWITCH($CT414,Constants!$B$11,COUNTA($C$9:$C$508)+2,Constants!$B$10,COUNTA($C$9:$C$508)+1,Constants!$B$9,COUNTA($C$9:$C$508)),$CT414))</f>
        <v/>
      </c>
      <c r="CV414" s="9"/>
      <c r="CW414" s="146" t="n">
        <f aca="false">IF(OR(ISNUMBER($CT414),$CT414=Constants!$B$11,$CT414=Constants!$B$9,$CT414=Constants!$B$10),1,0)</f>
        <v>0</v>
      </c>
      <c r="CX414" s="146" t="n">
        <v>406</v>
      </c>
      <c r="CY414" s="146" t="str">
        <f aca="false">IF(ISBLANK($C414),"",IF(ISNUMBER($CU414),$CU414+ROW($B414)/1000,""))</f>
        <v/>
      </c>
      <c r="CZ414" s="146" t="str">
        <f aca="false">IF(ISNUMBER($CY414),RANK($CY414,$CY$9:$CY$508,1),"")</f>
        <v/>
      </c>
      <c r="DA414" s="146" t="str">
        <f aca="false">IF(ISBLANK($C414),"",$B414)</f>
        <v/>
      </c>
      <c r="DB414" s="146" t="str">
        <f aca="false">IF(ISBLANK($C414),"",$C414)</f>
        <v/>
      </c>
      <c r="DC414" s="146" t="str">
        <f aca="false">IF(ISBLANK($C414),"",$D414)</f>
        <v/>
      </c>
      <c r="DD414" s="147" t="str">
        <f aca="false">$CR414</f>
        <v/>
      </c>
      <c r="DE414" s="148" t="str">
        <f aca="false">$CQ414</f>
        <v/>
      </c>
      <c r="DF414" s="146" t="str">
        <f aca="false">IF(ISBLANK($C414),"",$CT414)</f>
        <v/>
      </c>
      <c r="DG414" s="149" t="str">
        <f aca="false">IF($CX414&gt;$CW$8,"",VLOOKUP($CX414,$CZ$9:$DF$508,7,FALSE()))</f>
        <v/>
      </c>
      <c r="DH414" s="150" t="str">
        <f aca="false">IF($CX414&gt;$CW$8,"",VLOOKUP($CX414,$CZ$9:$DF$508,2,FALSE()))</f>
        <v/>
      </c>
      <c r="DI414" s="150" t="str">
        <f aca="false">IF($CX414&gt;$CW$8,"",VLOOKUP($CX414,$CZ$9:$DF$508,3,FALSE()))</f>
        <v/>
      </c>
      <c r="DJ414" s="150" t="str">
        <f aca="false">IF($CX414&gt;$CW$8,"",VLOOKUP($CX414,$CZ$9:$DF$508,4,FALSE()))</f>
        <v/>
      </c>
      <c r="DK414" s="150" t="str">
        <f aca="false">IF($CX414&gt;$CW$8,"",VLOOKUP($CX414,$CZ$9:$DF$508,5,FALSE()))</f>
        <v/>
      </c>
      <c r="DL414" s="151" t="str">
        <f aca="false">IF($CX414&gt;$CW$8,"",VLOOKUP($CX414,$CZ$9:$DF$508,6,FALSE()))</f>
        <v/>
      </c>
      <c r="DM414" s="75"/>
    </row>
    <row r="415" customFormat="false" ht="15.75" hidden="false" customHeight="false" outlineLevel="0" collapsed="false">
      <c r="A415" s="9"/>
      <c r="B415" s="157"/>
      <c r="C415" s="158"/>
      <c r="D415" s="159"/>
      <c r="E415" s="177"/>
      <c r="F415" s="161"/>
      <c r="G415" s="162"/>
      <c r="H415" s="162"/>
      <c r="I415" s="178"/>
      <c r="J415" s="165"/>
      <c r="K415" s="126"/>
      <c r="L415" s="127"/>
      <c r="M415" s="128"/>
      <c r="N415" s="165"/>
      <c r="O415" s="165"/>
      <c r="P415" s="177"/>
      <c r="Q415" s="165"/>
      <c r="R415" s="165"/>
      <c r="S415" s="126"/>
      <c r="T415" s="128"/>
      <c r="U415" s="128"/>
      <c r="V415" s="165"/>
      <c r="W415" s="165"/>
      <c r="X415" s="177"/>
      <c r="Y415" s="165"/>
      <c r="Z415" s="166"/>
      <c r="AA415" s="165"/>
      <c r="AB415" s="132"/>
      <c r="AC415" s="133"/>
      <c r="AD415" s="133"/>
      <c r="AE415" s="133"/>
      <c r="AF415" s="133" t="str">
        <f aca="false">IF(ISBLANK($C415),"",IF(E415=Constants!$B$3,TRUE(),IF(E415=Constants!$B$4,FALSE(),TRUE())))</f>
        <v/>
      </c>
      <c r="AG415" s="133" t="str">
        <f aca="false">IF(ISBLANK($C415),"",IF(F415=Constants!$B$3,TRUE(),IF(F415=Constants!$B$4,FALSE(),TRUE())))</f>
        <v/>
      </c>
      <c r="AH415" s="133" t="str">
        <f aca="false">IF(ISBLANK($C415),"",IF(G415=Constants!$B$3,TRUE(),IF(G415=Constants!$B$4,FALSE(),TRUE())))</f>
        <v/>
      </c>
      <c r="AI415" s="133" t="str">
        <f aca="false">IF(ISBLANK($C415),"",IF(AND(ISNUMBER(H415),H415&gt;=0),H415,Constants!$B$29))</f>
        <v/>
      </c>
      <c r="AJ415" s="133" t="str">
        <f aca="false">IF(ISBLANK($C415),"",IF(I415=Constants!$B$3,TRUE(),IF(I415=Constants!$B$4,FALSE(),TRUE())))</f>
        <v/>
      </c>
      <c r="AK415" s="133" t="str">
        <f aca="false">IF(ISBLANK($C415),"",IF(J415=Constants!$B$3,TRUE(),IF(J415=Constants!$B$4,FALSE(),TRUE())))</f>
        <v/>
      </c>
      <c r="AL415" s="133" t="str">
        <f aca="false">IF(ISBLANK($C415),"",IF(K415=Constants!$B$5,TRUE(),IF(K415=Constants!$B$6,FALSE(),COUNTA(L415:P415)&gt;0)))</f>
        <v/>
      </c>
      <c r="AM415" s="134" t="str">
        <f aca="false">IF(ISBLANK($C415),"",IF(ISNUMBER(L415),IF(L415&gt;=0,L415,""),""))</f>
        <v/>
      </c>
      <c r="AN415" s="135" t="str">
        <f aca="false">IF(ISBLANK($C415),"",IF(ISNUMBER(M415),IF(M415&gt;=0,M415,""),""))</f>
        <v/>
      </c>
      <c r="AO415" s="135" t="str">
        <f aca="false">IF(ISBLANK($C415),"",IF(N415=Constants!$B$3,TRUE(),IF(N415=Constants!$B$4,FALSE(),TRUE())))</f>
        <v/>
      </c>
      <c r="AP415" s="133" t="str">
        <f aca="false">IF(ISBLANK($C415),"",IF(ISNUMBER(O415),IF(O415&gt;=0,O415,""),""))</f>
        <v/>
      </c>
      <c r="AQ415" s="133" t="str">
        <f aca="false">IF(ISBLANK($C415),"",IF(P415=Constants!$B$3,TRUE(),IF(P415=Constants!$B$4,FALSE(),FALSE())))</f>
        <v/>
      </c>
      <c r="AR415" s="133" t="str">
        <f aca="false">IF(ISBLANK($C415),"",IF(Q415=Constants!$B$3,TRUE(),IF(Q415=Constants!$B$4,FALSE(),TRUE())))</f>
        <v/>
      </c>
      <c r="AS415" s="133" t="str">
        <f aca="false">IF(ISBLANK($C415),"",IF(R415=Constants!$B$3,TRUE(),IF(R415=Constants!$B$4,FALSE(),TRUE())))</f>
        <v/>
      </c>
      <c r="AT415" s="133" t="str">
        <f aca="false">IF(ISBLANK($C415),"",IF(S415=Constants!$B$5,TRUE(),IF(S415=Constants!$B$6,FALSE(),COUNTA(T415:X415)&gt;0)))</f>
        <v/>
      </c>
      <c r="AU415" s="134" t="str">
        <f aca="false">IF(ISBLANK($C415),"",IF(ISNUMBER(T415),IF(T415&gt;=0,T415,""),""))</f>
        <v/>
      </c>
      <c r="AV415" s="135" t="str">
        <f aca="false">IF(ISBLANK($C415),"",IF(ISNUMBER(U415),IF(U415&gt;=0,U415,""),""))</f>
        <v/>
      </c>
      <c r="AW415" s="135" t="str">
        <f aca="false">IF(ISBLANK($C415),"",IF(V415=Constants!$B$3,TRUE(),IF(V415=Constants!$B$4,FALSE(),TRUE())))</f>
        <v/>
      </c>
      <c r="AX415" s="133" t="str">
        <f aca="false">IF(ISBLANK($C415),"",IF(ISNUMBER(W415),IF(W415&gt;=0,W415,""),""))</f>
        <v/>
      </c>
      <c r="AY415" s="133" t="str">
        <f aca="false">IF(ISBLANK($C415),"",IF(X415=Constants!$B$3,TRUE(),IF(X415=Constants!$B$4,FALSE(),FALSE())))</f>
        <v/>
      </c>
      <c r="AZ415" s="133" t="str">
        <f aca="false">IF(ISBLANK($C415),"",MIN(Constants!$B$31,MAX(0,IF(ISNUMBER(Y415),Y415*60,0)+IF(ISNUMBER(Z415),Z415,0))))</f>
        <v/>
      </c>
      <c r="BA415" s="133" t="str">
        <f aca="false">IF(ISBLANK($C415),"",IF(AA415=Constants!$B$3,TRUE(),IF(AA415=Constants!$B$4,FALSE(),FALSE())))</f>
        <v/>
      </c>
      <c r="BB415" s="132" t="str">
        <f aca="false">IF(ISBLANK($C415),"",AND($AL415,OR($AM415="",$AN415="",AND($AO415,$AP415=""))))</f>
        <v/>
      </c>
      <c r="BC415" s="135" t="str">
        <f aca="false">IF($BR415&lt;&gt;Constants!$B$8,"",IF($AL415,Constants!$B$21*$AN415+Constants!$B$22*IF($AO415,$AP415,Constants!$B$23),Constants!$B$24))</f>
        <v/>
      </c>
      <c r="BD415" s="136" t="str">
        <f aca="false">IF($BR415&lt;&gt;Constants!$B$8,"",Constants!$B$25*ABS($AD$9-IF($AL415,$AM415,0)))</f>
        <v/>
      </c>
      <c r="BE415" s="136" t="str">
        <f aca="false">IF($BR415&lt;&gt;Constants!$B$8,"",IF(AND($AL415,$AQ415,$AO415),Constants!$B$27,0))</f>
        <v/>
      </c>
      <c r="BF415" s="136" t="str">
        <f aca="false">IF($BR415&lt;&gt;Constants!$B$8,"",IF($AL415,($AI415-Constants!$B$29)*Constants!$B$28,0))</f>
        <v/>
      </c>
      <c r="BG415" s="136" t="str">
        <f aca="false">IF($BR415&lt;&gt;Constants!$B$8,"",IF($AK415,0,Constants!$B$15)+IF($AJ415,0,Constants!$B$16)+IF($AH415,0,Constants!$B$17))</f>
        <v/>
      </c>
      <c r="BH415" s="137" t="str">
        <f aca="false">IF($BR415&lt;&gt;Constants!$B$8,"",Constants!$B$20+SUM($BC415:$BG415))</f>
        <v/>
      </c>
      <c r="BI415" s="133" t="str">
        <f aca="false">IF($BR415&lt;&gt;Constants!$B$8,"",IF(OR($BP415&lt;$BH415,AND($BP415=$BH415,OR($BK415&lt;$BC415,AND($BK415=$BC415,OR($BL415&lt;$BD415,AND($BL415=$BD415,$AT415,$AL415,$AV415&lt;$AN415)))))),"-&gt;","&lt;-"))</f>
        <v/>
      </c>
      <c r="BJ415" s="132" t="str">
        <f aca="false">IF(ISBLANK($C415),"",AND($AT415,OR($AU415="",$AV415="",AND($AW415,$AX415=""))))</f>
        <v/>
      </c>
      <c r="BK415" s="135" t="str">
        <f aca="false">IF($BR415&lt;&gt;Constants!$B$8,"",IF($AT415,Constants!$B$21*$AV415+Constants!$B$22*IF($AW415,$AX415,Constants!$B$23),Constants!$B$24))</f>
        <v/>
      </c>
      <c r="BL415" s="136" t="str">
        <f aca="false">IF($BR415&lt;&gt;Constants!$B$8,"",Constants!$B$25*ABS($AD$9-IF($AT415,$AU415,0)))</f>
        <v/>
      </c>
      <c r="BM415" s="136" t="str">
        <f aca="false">IF($BR415&lt;&gt;Constants!$B$8,"",IF(AND($AT415,$AY415,$AW415),Constants!$B$27,0))</f>
        <v/>
      </c>
      <c r="BN415" s="136" t="str">
        <f aca="false">IF($BR415&lt;&gt;Constants!$B$8,"",IF($AT415,($AI415-Constants!$B$29)*Constants!$B$28,0))</f>
        <v/>
      </c>
      <c r="BO415" s="136" t="str">
        <f aca="false">IF($BR415&lt;&gt;Constants!$B$8,"",IF($AS415,0,Constants!$B$15)+IF($AR415,0,Constants!$B$16)+IF($AH415,0,Constants!$B$17))</f>
        <v/>
      </c>
      <c r="BP415" s="137" t="str">
        <f aca="false">IF($BR415&lt;&gt;Constants!$B$8,"",Constants!$B$20+SUM($BK415:$BO415))</f>
        <v/>
      </c>
      <c r="BQ415" s="133" t="str">
        <f aca="false">IF(ISBLANK($C415),"",IF(ISBLANK($D$7),$BQ$5,IF(NOT(ISNUMBER($D$7)),$BQ$6,"")))</f>
        <v/>
      </c>
      <c r="BR415" s="133" t="str">
        <f aca="false">IF(ISBLANK($C415),"",IF($BA415,Constants!$B$11,IF(COUNTA($E415:$AA415)=0,Constants!$B$10,IF(NOT($AG415),Constants!$B$9,IF(OR($BQ415&lt;&gt;"",$BB415,$BJ415),Constants!$B$12,Constants!$B$8)))))</f>
        <v/>
      </c>
      <c r="BS415" s="133" t="str">
        <f aca="false">IF(ISBLANK($C415),"",IF($BR415&lt;&gt;Constants!$B$8,$BR415,Constants!$B$13))</f>
        <v/>
      </c>
      <c r="BT415" s="136" t="str">
        <f aca="false">IF($BR415&lt;&gt;Constants!$B$8,"",IF($BI415="-&gt;",$BP415,$BH415))</f>
        <v/>
      </c>
      <c r="BU415" s="136" t="str">
        <f aca="false">IF($BR415&lt;&gt;Constants!$B$8,"",IF($AF415,0,Constants!$B$18))</f>
        <v/>
      </c>
      <c r="BV415" s="136" t="str">
        <f aca="false">IF($BR415&lt;&gt;Constants!$B$8,"",((Constants!$B$31-$AZ415)-Constants!$B$31)/Constants!$B$32)</f>
        <v/>
      </c>
      <c r="BW415" s="136" t="str">
        <f aca="false">IF(ISBLANK($C415),"",IF($BR415&lt;&gt;Constants!$B$8,$BR415,SUM($BT415:$BV415)))</f>
        <v/>
      </c>
      <c r="BX415" s="133" t="str">
        <f aca="false">IF(ISBLANK($C415),"",IF($BR415&lt;&gt;Constants!$B$8,$BR415,RANK($BW415,$BW$9:$BW$508,1)))</f>
        <v/>
      </c>
      <c r="BY415" s="136" t="str">
        <f aca="false">IF($BR415&lt;&gt;Constants!$B$8,"",IF($BI415="-&gt;",$BK415,$BC415))</f>
        <v/>
      </c>
      <c r="BZ415" s="133" t="str">
        <f aca="false">IF(ISBLANK($C415),"",IF($BR415&lt;&gt;Constants!$B$8,$BR415,IF(ISNUMBER($BY415),RANK($BY415,$BY$9:$BY$508,1),COUNT($BY$9:$BY$508)+1)))</f>
        <v/>
      </c>
      <c r="CA415" s="136" t="str">
        <f aca="false">IF($BR415&lt;&gt;Constants!$B$8,"",IF($BI415="-&gt;",$BL415,$BD415))</f>
        <v/>
      </c>
      <c r="CB415" s="133" t="str">
        <f aca="false">IF(ISBLANK($C415),"",IF($BR415&lt;&gt;Constants!$B$8,$BR415,IF(ISNUMBER($CA415),RANK($CA415,$CA$9:$CA$508,1),COUNT($CA$9:$CA$508)+1)))</f>
        <v/>
      </c>
      <c r="CC415" s="136" t="str">
        <f aca="false">IF($BR415&lt;&gt;Constants!$B$8,"",IF($BI415="-&gt;",IF($AT415,$AV415,""),IF($AL415,$AN415,"")))</f>
        <v/>
      </c>
      <c r="CD415" s="133" t="str">
        <f aca="false">IF(ISBLANK($C415),"",IF($BR415&lt;&gt;Constants!$B$8,$BR415,IF(ISNUMBER($CC415),RANK($CC415,$CC$9:$CC$508,1),COUNT($CC$9:$CC$508)+1)))</f>
        <v/>
      </c>
      <c r="CE415" s="136" t="str">
        <f aca="false">IF($BR415&lt;&gt;Constants!$B$8,"",IF(AND(NOT($AL415),NOT($AT415),$AJ415,$AK415,$AR415,$AS415),"",$AI415))</f>
        <v/>
      </c>
      <c r="CF415" s="133" t="str">
        <f aca="false">IF(ISBLANK($C415),"",IF($BR415&lt;&gt;Constants!$B$8,$BR415,IF(ISNUMBER($CE415),RANK($CE415,$CE$9:$CE$508,1),COUNT($CE$9:$CE$508)+1)))</f>
        <v/>
      </c>
      <c r="CG415" s="133" t="str">
        <f aca="false">IF(ISBLANK($C415),"",IF($BR415&lt;&gt;Constants!$B$8,$BR415,COUNTIFS($BX$9:$BX$508,"&lt;"&amp;$BX415)+COUNTIFS($BX$9:$BX$508,$BX415,$BZ$9:$BZ$508,"&lt;"&amp;$BZ415)+COUNTIFS($BX$9:$BX$508,$BX415,$BZ$9:$BZ$508,$BZ415,$CB$9:$CB$508,"&lt;"&amp;$CB415)+COUNTIFS($BX$9:$BX$508,$BX415,$BZ$9:$BZ$508,$BZ415,$CB$9:$CB$508,$CB415,$CD$9:$CD$508,"&lt;"&amp;$CD415)+COUNTIFS($BX$9:$BX$508,$BX415,$BZ$9:$BZ$508,$BZ415,$CB$9:$CB$508,$CB415,$CD$9:$CD$508,$CD415,$CF$9:$CF$508,"&lt;"&amp;$CF415)+1))</f>
        <v/>
      </c>
      <c r="CH415" s="133" t="str">
        <f aca="false">IF(ISBLANK($C415),"",IF($BR415&lt;&gt;Constants!$B$8,$BR415,$BX415-$CG415))</f>
        <v/>
      </c>
      <c r="CI415" s="138"/>
      <c r="CJ415" s="139"/>
      <c r="CK415" s="140" t="str">
        <f aca="false">IF(ISBLANK($C415),"",IF($BR415=Constants!$B$12,$BQ415,""))</f>
        <v/>
      </c>
      <c r="CL415" s="139" t="str">
        <f aca="false">IF(ISBLANK($C415),"",IF($BR415&lt;&gt;Constants!$B$8,"",IF($BI415="-&gt;",2,1)))</f>
        <v/>
      </c>
      <c r="CM415" s="141" t="str">
        <f aca="false">IF(ISBLANK($C415),"",IF($BR415&lt;&gt;Constants!$B$8,"",IF($BI415="-&gt;",$BK415,$BC415)))</f>
        <v/>
      </c>
      <c r="CN415" s="141" t="str">
        <f aca="false">IF(ISBLANK($C415),"",IF($BR415&lt;&gt;Constants!$B$8,"",IF($BI415="-&gt;",$BL415,$BD415)))</f>
        <v/>
      </c>
      <c r="CO415" s="141" t="str">
        <f aca="false">IF(ISBLANK($C415),"",IF($BR415&lt;&gt;Constants!$B$8,"",IF($BI415="-&gt;",$BM415+$BN415,$BE415+$BF415)+$BV415))</f>
        <v/>
      </c>
      <c r="CP415" s="141" t="str">
        <f aca="false">IF(ISBLANK($C415),"",IF($BR415&lt;&gt;Constants!$B$8,"",IF($BI415="-&gt;",$BO415,$BG415)+$BU415))</f>
        <v/>
      </c>
      <c r="CQ415" s="142" t="str">
        <f aca="false">IF(ISBLANK($C415),"",IF($BR415&lt;&gt;Constants!$B$8,$BR415,$BW415))</f>
        <v/>
      </c>
      <c r="CR415" s="143" t="str">
        <f aca="false">IF(ISBLANK($C415),"",$BS415)</f>
        <v/>
      </c>
      <c r="CS415" s="144" t="str">
        <f aca="false">IF(ISBLANK($C415),"",$CH415)</f>
        <v/>
      </c>
      <c r="CT415" s="144" t="str">
        <f aca="false">IF(ISBLANK($C415),"",$CG415)</f>
        <v/>
      </c>
      <c r="CU415" s="145" t="str">
        <f aca="false">IF(ISBLANK($C415),"",IFERROR(_xlfn.SWITCH($CT415,Constants!$B$11,COUNTA($C$9:$C$508)+2,Constants!$B$10,COUNTA($C$9:$C$508)+1,Constants!$B$9,COUNTA($C$9:$C$508)),$CT415))</f>
        <v/>
      </c>
      <c r="CV415" s="9"/>
      <c r="CW415" s="146" t="n">
        <f aca="false">IF(OR(ISNUMBER($CT415),$CT415=Constants!$B$11,$CT415=Constants!$B$9,$CT415=Constants!$B$10),1,0)</f>
        <v>0</v>
      </c>
      <c r="CX415" s="146" t="n">
        <v>407</v>
      </c>
      <c r="CY415" s="146" t="str">
        <f aca="false">IF(ISBLANK($C415),"",IF(ISNUMBER($CU415),$CU415+ROW($B415)/1000,""))</f>
        <v/>
      </c>
      <c r="CZ415" s="146" t="str">
        <f aca="false">IF(ISNUMBER($CY415),RANK($CY415,$CY$9:$CY$508,1),"")</f>
        <v/>
      </c>
      <c r="DA415" s="146" t="str">
        <f aca="false">IF(ISBLANK($C415),"",$B415)</f>
        <v/>
      </c>
      <c r="DB415" s="146" t="str">
        <f aca="false">IF(ISBLANK($C415),"",$C415)</f>
        <v/>
      </c>
      <c r="DC415" s="146" t="str">
        <f aca="false">IF(ISBLANK($C415),"",$D415)</f>
        <v/>
      </c>
      <c r="DD415" s="147" t="str">
        <f aca="false">$CR415</f>
        <v/>
      </c>
      <c r="DE415" s="148" t="str">
        <f aca="false">$CQ415</f>
        <v/>
      </c>
      <c r="DF415" s="146" t="str">
        <f aca="false">IF(ISBLANK($C415),"",$CT415)</f>
        <v/>
      </c>
      <c r="DG415" s="149" t="str">
        <f aca="false">IF($CX415&gt;$CW$8,"",VLOOKUP($CX415,$CZ$9:$DF$508,7,FALSE()))</f>
        <v/>
      </c>
      <c r="DH415" s="150" t="str">
        <f aca="false">IF($CX415&gt;$CW$8,"",VLOOKUP($CX415,$CZ$9:$DF$508,2,FALSE()))</f>
        <v/>
      </c>
      <c r="DI415" s="150" t="str">
        <f aca="false">IF($CX415&gt;$CW$8,"",VLOOKUP($CX415,$CZ$9:$DF$508,3,FALSE()))</f>
        <v/>
      </c>
      <c r="DJ415" s="150" t="str">
        <f aca="false">IF($CX415&gt;$CW$8,"",VLOOKUP($CX415,$CZ$9:$DF$508,4,FALSE()))</f>
        <v/>
      </c>
      <c r="DK415" s="150" t="str">
        <f aca="false">IF($CX415&gt;$CW$8,"",VLOOKUP($CX415,$CZ$9:$DF$508,5,FALSE()))</f>
        <v/>
      </c>
      <c r="DL415" s="151" t="str">
        <f aca="false">IF($CX415&gt;$CW$8,"",VLOOKUP($CX415,$CZ$9:$DF$508,6,FALSE()))</f>
        <v/>
      </c>
      <c r="DM415" s="75"/>
    </row>
    <row r="416" customFormat="false" ht="15.75" hidden="false" customHeight="false" outlineLevel="0" collapsed="false">
      <c r="A416" s="9"/>
      <c r="B416" s="157"/>
      <c r="C416" s="158"/>
      <c r="D416" s="159"/>
      <c r="E416" s="177"/>
      <c r="F416" s="161"/>
      <c r="G416" s="162"/>
      <c r="H416" s="162"/>
      <c r="I416" s="178"/>
      <c r="J416" s="165"/>
      <c r="K416" s="126"/>
      <c r="L416" s="127"/>
      <c r="M416" s="128"/>
      <c r="N416" s="165"/>
      <c r="O416" s="165"/>
      <c r="P416" s="177"/>
      <c r="Q416" s="165"/>
      <c r="R416" s="165"/>
      <c r="S416" s="126"/>
      <c r="T416" s="128"/>
      <c r="U416" s="128"/>
      <c r="V416" s="165"/>
      <c r="W416" s="165"/>
      <c r="X416" s="177"/>
      <c r="Y416" s="165"/>
      <c r="Z416" s="166"/>
      <c r="AA416" s="165"/>
      <c r="AB416" s="132"/>
      <c r="AC416" s="133"/>
      <c r="AD416" s="133"/>
      <c r="AE416" s="133"/>
      <c r="AF416" s="133" t="str">
        <f aca="false">IF(ISBLANK($C416),"",IF(E416=Constants!$B$3,TRUE(),IF(E416=Constants!$B$4,FALSE(),TRUE())))</f>
        <v/>
      </c>
      <c r="AG416" s="133" t="str">
        <f aca="false">IF(ISBLANK($C416),"",IF(F416=Constants!$B$3,TRUE(),IF(F416=Constants!$B$4,FALSE(),TRUE())))</f>
        <v/>
      </c>
      <c r="AH416" s="133" t="str">
        <f aca="false">IF(ISBLANK($C416),"",IF(G416=Constants!$B$3,TRUE(),IF(G416=Constants!$B$4,FALSE(),TRUE())))</f>
        <v/>
      </c>
      <c r="AI416" s="133" t="str">
        <f aca="false">IF(ISBLANK($C416),"",IF(AND(ISNUMBER(H416),H416&gt;=0),H416,Constants!$B$29))</f>
        <v/>
      </c>
      <c r="AJ416" s="133" t="str">
        <f aca="false">IF(ISBLANK($C416),"",IF(I416=Constants!$B$3,TRUE(),IF(I416=Constants!$B$4,FALSE(),TRUE())))</f>
        <v/>
      </c>
      <c r="AK416" s="133" t="str">
        <f aca="false">IF(ISBLANK($C416),"",IF(J416=Constants!$B$3,TRUE(),IF(J416=Constants!$B$4,FALSE(),TRUE())))</f>
        <v/>
      </c>
      <c r="AL416" s="133" t="str">
        <f aca="false">IF(ISBLANK($C416),"",IF(K416=Constants!$B$5,TRUE(),IF(K416=Constants!$B$6,FALSE(),COUNTA(L416:P416)&gt;0)))</f>
        <v/>
      </c>
      <c r="AM416" s="134" t="str">
        <f aca="false">IF(ISBLANK($C416),"",IF(ISNUMBER(L416),IF(L416&gt;=0,L416,""),""))</f>
        <v/>
      </c>
      <c r="AN416" s="135" t="str">
        <f aca="false">IF(ISBLANK($C416),"",IF(ISNUMBER(M416),IF(M416&gt;=0,M416,""),""))</f>
        <v/>
      </c>
      <c r="AO416" s="135" t="str">
        <f aca="false">IF(ISBLANK($C416),"",IF(N416=Constants!$B$3,TRUE(),IF(N416=Constants!$B$4,FALSE(),TRUE())))</f>
        <v/>
      </c>
      <c r="AP416" s="133" t="str">
        <f aca="false">IF(ISBLANK($C416),"",IF(ISNUMBER(O416),IF(O416&gt;=0,O416,""),""))</f>
        <v/>
      </c>
      <c r="AQ416" s="133" t="str">
        <f aca="false">IF(ISBLANK($C416),"",IF(P416=Constants!$B$3,TRUE(),IF(P416=Constants!$B$4,FALSE(),FALSE())))</f>
        <v/>
      </c>
      <c r="AR416" s="133" t="str">
        <f aca="false">IF(ISBLANK($C416),"",IF(Q416=Constants!$B$3,TRUE(),IF(Q416=Constants!$B$4,FALSE(),TRUE())))</f>
        <v/>
      </c>
      <c r="AS416" s="133" t="str">
        <f aca="false">IF(ISBLANK($C416),"",IF(R416=Constants!$B$3,TRUE(),IF(R416=Constants!$B$4,FALSE(),TRUE())))</f>
        <v/>
      </c>
      <c r="AT416" s="133" t="str">
        <f aca="false">IF(ISBLANK($C416),"",IF(S416=Constants!$B$5,TRUE(),IF(S416=Constants!$B$6,FALSE(),COUNTA(T416:X416)&gt;0)))</f>
        <v/>
      </c>
      <c r="AU416" s="134" t="str">
        <f aca="false">IF(ISBLANK($C416),"",IF(ISNUMBER(T416),IF(T416&gt;=0,T416,""),""))</f>
        <v/>
      </c>
      <c r="AV416" s="135" t="str">
        <f aca="false">IF(ISBLANK($C416),"",IF(ISNUMBER(U416),IF(U416&gt;=0,U416,""),""))</f>
        <v/>
      </c>
      <c r="AW416" s="135" t="str">
        <f aca="false">IF(ISBLANK($C416),"",IF(V416=Constants!$B$3,TRUE(),IF(V416=Constants!$B$4,FALSE(),TRUE())))</f>
        <v/>
      </c>
      <c r="AX416" s="133" t="str">
        <f aca="false">IF(ISBLANK($C416),"",IF(ISNUMBER(W416),IF(W416&gt;=0,W416,""),""))</f>
        <v/>
      </c>
      <c r="AY416" s="133" t="str">
        <f aca="false">IF(ISBLANK($C416),"",IF(X416=Constants!$B$3,TRUE(),IF(X416=Constants!$B$4,FALSE(),FALSE())))</f>
        <v/>
      </c>
      <c r="AZ416" s="133" t="str">
        <f aca="false">IF(ISBLANK($C416),"",MIN(Constants!$B$31,MAX(0,IF(ISNUMBER(Y416),Y416*60,0)+IF(ISNUMBER(Z416),Z416,0))))</f>
        <v/>
      </c>
      <c r="BA416" s="133" t="str">
        <f aca="false">IF(ISBLANK($C416),"",IF(AA416=Constants!$B$3,TRUE(),IF(AA416=Constants!$B$4,FALSE(),FALSE())))</f>
        <v/>
      </c>
      <c r="BB416" s="132" t="str">
        <f aca="false">IF(ISBLANK($C416),"",AND($AL416,OR($AM416="",$AN416="",AND($AO416,$AP416=""))))</f>
        <v/>
      </c>
      <c r="BC416" s="135" t="str">
        <f aca="false">IF($BR416&lt;&gt;Constants!$B$8,"",IF($AL416,Constants!$B$21*$AN416+Constants!$B$22*IF($AO416,$AP416,Constants!$B$23),Constants!$B$24))</f>
        <v/>
      </c>
      <c r="BD416" s="136" t="str">
        <f aca="false">IF($BR416&lt;&gt;Constants!$B$8,"",Constants!$B$25*ABS($AD$9-IF($AL416,$AM416,0)))</f>
        <v/>
      </c>
      <c r="BE416" s="136" t="str">
        <f aca="false">IF($BR416&lt;&gt;Constants!$B$8,"",IF(AND($AL416,$AQ416,$AO416),Constants!$B$27,0))</f>
        <v/>
      </c>
      <c r="BF416" s="136" t="str">
        <f aca="false">IF($BR416&lt;&gt;Constants!$B$8,"",IF($AL416,($AI416-Constants!$B$29)*Constants!$B$28,0))</f>
        <v/>
      </c>
      <c r="BG416" s="136" t="str">
        <f aca="false">IF($BR416&lt;&gt;Constants!$B$8,"",IF($AK416,0,Constants!$B$15)+IF($AJ416,0,Constants!$B$16)+IF($AH416,0,Constants!$B$17))</f>
        <v/>
      </c>
      <c r="BH416" s="137" t="str">
        <f aca="false">IF($BR416&lt;&gt;Constants!$B$8,"",Constants!$B$20+SUM($BC416:$BG416))</f>
        <v/>
      </c>
      <c r="BI416" s="133" t="str">
        <f aca="false">IF($BR416&lt;&gt;Constants!$B$8,"",IF(OR($BP416&lt;$BH416,AND($BP416=$BH416,OR($BK416&lt;$BC416,AND($BK416=$BC416,OR($BL416&lt;$BD416,AND($BL416=$BD416,$AT416,$AL416,$AV416&lt;$AN416)))))),"-&gt;","&lt;-"))</f>
        <v/>
      </c>
      <c r="BJ416" s="132" t="str">
        <f aca="false">IF(ISBLANK($C416),"",AND($AT416,OR($AU416="",$AV416="",AND($AW416,$AX416=""))))</f>
        <v/>
      </c>
      <c r="BK416" s="135" t="str">
        <f aca="false">IF($BR416&lt;&gt;Constants!$B$8,"",IF($AT416,Constants!$B$21*$AV416+Constants!$B$22*IF($AW416,$AX416,Constants!$B$23),Constants!$B$24))</f>
        <v/>
      </c>
      <c r="BL416" s="136" t="str">
        <f aca="false">IF($BR416&lt;&gt;Constants!$B$8,"",Constants!$B$25*ABS($AD$9-IF($AT416,$AU416,0)))</f>
        <v/>
      </c>
      <c r="BM416" s="136" t="str">
        <f aca="false">IF($BR416&lt;&gt;Constants!$B$8,"",IF(AND($AT416,$AY416,$AW416),Constants!$B$27,0))</f>
        <v/>
      </c>
      <c r="BN416" s="136" t="str">
        <f aca="false">IF($BR416&lt;&gt;Constants!$B$8,"",IF($AT416,($AI416-Constants!$B$29)*Constants!$B$28,0))</f>
        <v/>
      </c>
      <c r="BO416" s="136" t="str">
        <f aca="false">IF($BR416&lt;&gt;Constants!$B$8,"",IF($AS416,0,Constants!$B$15)+IF($AR416,0,Constants!$B$16)+IF($AH416,0,Constants!$B$17))</f>
        <v/>
      </c>
      <c r="BP416" s="137" t="str">
        <f aca="false">IF($BR416&lt;&gt;Constants!$B$8,"",Constants!$B$20+SUM($BK416:$BO416))</f>
        <v/>
      </c>
      <c r="BQ416" s="133" t="str">
        <f aca="false">IF(ISBLANK($C416),"",IF(ISBLANK($D$7),$BQ$5,IF(NOT(ISNUMBER($D$7)),$BQ$6,"")))</f>
        <v/>
      </c>
      <c r="BR416" s="133" t="str">
        <f aca="false">IF(ISBLANK($C416),"",IF($BA416,Constants!$B$11,IF(COUNTA($E416:$AA416)=0,Constants!$B$10,IF(NOT($AG416),Constants!$B$9,IF(OR($BQ416&lt;&gt;"",$BB416,$BJ416),Constants!$B$12,Constants!$B$8)))))</f>
        <v/>
      </c>
      <c r="BS416" s="133" t="str">
        <f aca="false">IF(ISBLANK($C416),"",IF($BR416&lt;&gt;Constants!$B$8,$BR416,Constants!$B$13))</f>
        <v/>
      </c>
      <c r="BT416" s="136" t="str">
        <f aca="false">IF($BR416&lt;&gt;Constants!$B$8,"",IF($BI416="-&gt;",$BP416,$BH416))</f>
        <v/>
      </c>
      <c r="BU416" s="136" t="str">
        <f aca="false">IF($BR416&lt;&gt;Constants!$B$8,"",IF($AF416,0,Constants!$B$18))</f>
        <v/>
      </c>
      <c r="BV416" s="136" t="str">
        <f aca="false">IF($BR416&lt;&gt;Constants!$B$8,"",((Constants!$B$31-$AZ416)-Constants!$B$31)/Constants!$B$32)</f>
        <v/>
      </c>
      <c r="BW416" s="136" t="str">
        <f aca="false">IF(ISBLANK($C416),"",IF($BR416&lt;&gt;Constants!$B$8,$BR416,SUM($BT416:$BV416)))</f>
        <v/>
      </c>
      <c r="BX416" s="133" t="str">
        <f aca="false">IF(ISBLANK($C416),"",IF($BR416&lt;&gt;Constants!$B$8,$BR416,RANK($BW416,$BW$9:$BW$508,1)))</f>
        <v/>
      </c>
      <c r="BY416" s="136" t="str">
        <f aca="false">IF($BR416&lt;&gt;Constants!$B$8,"",IF($BI416="-&gt;",$BK416,$BC416))</f>
        <v/>
      </c>
      <c r="BZ416" s="133" t="str">
        <f aca="false">IF(ISBLANK($C416),"",IF($BR416&lt;&gt;Constants!$B$8,$BR416,IF(ISNUMBER($BY416),RANK($BY416,$BY$9:$BY$508,1),COUNT($BY$9:$BY$508)+1)))</f>
        <v/>
      </c>
      <c r="CA416" s="136" t="str">
        <f aca="false">IF($BR416&lt;&gt;Constants!$B$8,"",IF($BI416="-&gt;",$BL416,$BD416))</f>
        <v/>
      </c>
      <c r="CB416" s="133" t="str">
        <f aca="false">IF(ISBLANK($C416),"",IF($BR416&lt;&gt;Constants!$B$8,$BR416,IF(ISNUMBER($CA416),RANK($CA416,$CA$9:$CA$508,1),COUNT($CA$9:$CA$508)+1)))</f>
        <v/>
      </c>
      <c r="CC416" s="136" t="str">
        <f aca="false">IF($BR416&lt;&gt;Constants!$B$8,"",IF($BI416="-&gt;",IF($AT416,$AV416,""),IF($AL416,$AN416,"")))</f>
        <v/>
      </c>
      <c r="CD416" s="133" t="str">
        <f aca="false">IF(ISBLANK($C416),"",IF($BR416&lt;&gt;Constants!$B$8,$BR416,IF(ISNUMBER($CC416),RANK($CC416,$CC$9:$CC$508,1),COUNT($CC$9:$CC$508)+1)))</f>
        <v/>
      </c>
      <c r="CE416" s="136" t="str">
        <f aca="false">IF($BR416&lt;&gt;Constants!$B$8,"",IF(AND(NOT($AL416),NOT($AT416),$AJ416,$AK416,$AR416,$AS416),"",$AI416))</f>
        <v/>
      </c>
      <c r="CF416" s="133" t="str">
        <f aca="false">IF(ISBLANK($C416),"",IF($BR416&lt;&gt;Constants!$B$8,$BR416,IF(ISNUMBER($CE416),RANK($CE416,$CE$9:$CE$508,1),COUNT($CE$9:$CE$508)+1)))</f>
        <v/>
      </c>
      <c r="CG416" s="133" t="str">
        <f aca="false">IF(ISBLANK($C416),"",IF($BR416&lt;&gt;Constants!$B$8,$BR416,COUNTIFS($BX$9:$BX$508,"&lt;"&amp;$BX416)+COUNTIFS($BX$9:$BX$508,$BX416,$BZ$9:$BZ$508,"&lt;"&amp;$BZ416)+COUNTIFS($BX$9:$BX$508,$BX416,$BZ$9:$BZ$508,$BZ416,$CB$9:$CB$508,"&lt;"&amp;$CB416)+COUNTIFS($BX$9:$BX$508,$BX416,$BZ$9:$BZ$508,$BZ416,$CB$9:$CB$508,$CB416,$CD$9:$CD$508,"&lt;"&amp;$CD416)+COUNTIFS($BX$9:$BX$508,$BX416,$BZ$9:$BZ$508,$BZ416,$CB$9:$CB$508,$CB416,$CD$9:$CD$508,$CD416,$CF$9:$CF$508,"&lt;"&amp;$CF416)+1))</f>
        <v/>
      </c>
      <c r="CH416" s="133" t="str">
        <f aca="false">IF(ISBLANK($C416),"",IF($BR416&lt;&gt;Constants!$B$8,$BR416,$BX416-$CG416))</f>
        <v/>
      </c>
      <c r="CI416" s="138"/>
      <c r="CJ416" s="139"/>
      <c r="CK416" s="140" t="str">
        <f aca="false">IF(ISBLANK($C416),"",IF($BR416=Constants!$B$12,$BQ416,""))</f>
        <v/>
      </c>
      <c r="CL416" s="139" t="str">
        <f aca="false">IF(ISBLANK($C416),"",IF($BR416&lt;&gt;Constants!$B$8,"",IF($BI416="-&gt;",2,1)))</f>
        <v/>
      </c>
      <c r="CM416" s="141" t="str">
        <f aca="false">IF(ISBLANK($C416),"",IF($BR416&lt;&gt;Constants!$B$8,"",IF($BI416="-&gt;",$BK416,$BC416)))</f>
        <v/>
      </c>
      <c r="CN416" s="141" t="str">
        <f aca="false">IF(ISBLANK($C416),"",IF($BR416&lt;&gt;Constants!$B$8,"",IF($BI416="-&gt;",$BL416,$BD416)))</f>
        <v/>
      </c>
      <c r="CO416" s="141" t="str">
        <f aca="false">IF(ISBLANK($C416),"",IF($BR416&lt;&gt;Constants!$B$8,"",IF($BI416="-&gt;",$BM416+$BN416,$BE416+$BF416)+$BV416))</f>
        <v/>
      </c>
      <c r="CP416" s="141" t="str">
        <f aca="false">IF(ISBLANK($C416),"",IF($BR416&lt;&gt;Constants!$B$8,"",IF($BI416="-&gt;",$BO416,$BG416)+$BU416))</f>
        <v/>
      </c>
      <c r="CQ416" s="142" t="str">
        <f aca="false">IF(ISBLANK($C416),"",IF($BR416&lt;&gt;Constants!$B$8,$BR416,$BW416))</f>
        <v/>
      </c>
      <c r="CR416" s="143" t="str">
        <f aca="false">IF(ISBLANK($C416),"",$BS416)</f>
        <v/>
      </c>
      <c r="CS416" s="144" t="str">
        <f aca="false">IF(ISBLANK($C416),"",$CH416)</f>
        <v/>
      </c>
      <c r="CT416" s="144" t="str">
        <f aca="false">IF(ISBLANK($C416),"",$CG416)</f>
        <v/>
      </c>
      <c r="CU416" s="145" t="str">
        <f aca="false">IF(ISBLANK($C416),"",IFERROR(_xlfn.SWITCH($CT416,Constants!$B$11,COUNTA($C$9:$C$508)+2,Constants!$B$10,COUNTA($C$9:$C$508)+1,Constants!$B$9,COUNTA($C$9:$C$508)),$CT416))</f>
        <v/>
      </c>
      <c r="CV416" s="9"/>
      <c r="CW416" s="146" t="n">
        <f aca="false">IF(OR(ISNUMBER($CT416),$CT416=Constants!$B$11,$CT416=Constants!$B$9,$CT416=Constants!$B$10),1,0)</f>
        <v>0</v>
      </c>
      <c r="CX416" s="146" t="n">
        <v>408</v>
      </c>
      <c r="CY416" s="146" t="str">
        <f aca="false">IF(ISBLANK($C416),"",IF(ISNUMBER($CU416),$CU416+ROW($B416)/1000,""))</f>
        <v/>
      </c>
      <c r="CZ416" s="146" t="str">
        <f aca="false">IF(ISNUMBER($CY416),RANK($CY416,$CY$9:$CY$508,1),"")</f>
        <v/>
      </c>
      <c r="DA416" s="146" t="str">
        <f aca="false">IF(ISBLANK($C416),"",$B416)</f>
        <v/>
      </c>
      <c r="DB416" s="146" t="str">
        <f aca="false">IF(ISBLANK($C416),"",$C416)</f>
        <v/>
      </c>
      <c r="DC416" s="146" t="str">
        <f aca="false">IF(ISBLANK($C416),"",$D416)</f>
        <v/>
      </c>
      <c r="DD416" s="147" t="str">
        <f aca="false">$CR416</f>
        <v/>
      </c>
      <c r="DE416" s="148" t="str">
        <f aca="false">$CQ416</f>
        <v/>
      </c>
      <c r="DF416" s="146" t="str">
        <f aca="false">IF(ISBLANK($C416),"",$CT416)</f>
        <v/>
      </c>
      <c r="DG416" s="149" t="str">
        <f aca="false">IF($CX416&gt;$CW$8,"",VLOOKUP($CX416,$CZ$9:$DF$508,7,FALSE()))</f>
        <v/>
      </c>
      <c r="DH416" s="150" t="str">
        <f aca="false">IF($CX416&gt;$CW$8,"",VLOOKUP($CX416,$CZ$9:$DF$508,2,FALSE()))</f>
        <v/>
      </c>
      <c r="DI416" s="150" t="str">
        <f aca="false">IF($CX416&gt;$CW$8,"",VLOOKUP($CX416,$CZ$9:$DF$508,3,FALSE()))</f>
        <v/>
      </c>
      <c r="DJ416" s="150" t="str">
        <f aca="false">IF($CX416&gt;$CW$8,"",VLOOKUP($CX416,$CZ$9:$DF$508,4,FALSE()))</f>
        <v/>
      </c>
      <c r="DK416" s="150" t="str">
        <f aca="false">IF($CX416&gt;$CW$8,"",VLOOKUP($CX416,$CZ$9:$DF$508,5,FALSE()))</f>
        <v/>
      </c>
      <c r="DL416" s="151" t="str">
        <f aca="false">IF($CX416&gt;$CW$8,"",VLOOKUP($CX416,$CZ$9:$DF$508,6,FALSE()))</f>
        <v/>
      </c>
      <c r="DM416" s="75"/>
    </row>
    <row r="417" customFormat="false" ht="15.75" hidden="false" customHeight="false" outlineLevel="0" collapsed="false">
      <c r="A417" s="9"/>
      <c r="B417" s="77"/>
      <c r="C417" s="78"/>
      <c r="D417" s="167"/>
      <c r="E417" s="175"/>
      <c r="F417" s="169"/>
      <c r="G417" s="170"/>
      <c r="H417" s="170"/>
      <c r="I417" s="176"/>
      <c r="J417" s="173"/>
      <c r="K417" s="85"/>
      <c r="L417" s="86"/>
      <c r="M417" s="87"/>
      <c r="N417" s="173"/>
      <c r="O417" s="173"/>
      <c r="P417" s="175"/>
      <c r="Q417" s="173"/>
      <c r="R417" s="173"/>
      <c r="S417" s="85"/>
      <c r="T417" s="87"/>
      <c r="U417" s="87"/>
      <c r="V417" s="173"/>
      <c r="W417" s="173"/>
      <c r="X417" s="175"/>
      <c r="Y417" s="173"/>
      <c r="Z417" s="174"/>
      <c r="AA417" s="173"/>
      <c r="AB417" s="91"/>
      <c r="AC417" s="92"/>
      <c r="AD417" s="92"/>
      <c r="AE417" s="92"/>
      <c r="AF417" s="92" t="str">
        <f aca="false">IF(ISBLANK($C417),"",IF(E417=Constants!$B$3,TRUE(),IF(E417=Constants!$B$4,FALSE(),TRUE())))</f>
        <v/>
      </c>
      <c r="AG417" s="92" t="str">
        <f aca="false">IF(ISBLANK($C417),"",IF(F417=Constants!$B$3,TRUE(),IF(F417=Constants!$B$4,FALSE(),TRUE())))</f>
        <v/>
      </c>
      <c r="AH417" s="92" t="str">
        <f aca="false">IF(ISBLANK($C417),"",IF(G417=Constants!$B$3,TRUE(),IF(G417=Constants!$B$4,FALSE(),TRUE())))</f>
        <v/>
      </c>
      <c r="AI417" s="92" t="str">
        <f aca="false">IF(ISBLANK($C417),"",IF(AND(ISNUMBER(H417),H417&gt;=0),H417,Constants!$B$29))</f>
        <v/>
      </c>
      <c r="AJ417" s="92" t="str">
        <f aca="false">IF(ISBLANK($C417),"",IF(I417=Constants!$B$3,TRUE(),IF(I417=Constants!$B$4,FALSE(),TRUE())))</f>
        <v/>
      </c>
      <c r="AK417" s="92" t="str">
        <f aca="false">IF(ISBLANK($C417),"",IF(J417=Constants!$B$3,TRUE(),IF(J417=Constants!$B$4,FALSE(),TRUE())))</f>
        <v/>
      </c>
      <c r="AL417" s="92" t="str">
        <f aca="false">IF(ISBLANK($C417),"",IF(K417=Constants!$B$5,TRUE(),IF(K417=Constants!$B$6,FALSE(),COUNTA(L417:P417)&gt;0)))</f>
        <v/>
      </c>
      <c r="AM417" s="94" t="str">
        <f aca="false">IF(ISBLANK($C417),"",IF(ISNUMBER(L417),IF(L417&gt;=0,L417,""),""))</f>
        <v/>
      </c>
      <c r="AN417" s="93" t="str">
        <f aca="false">IF(ISBLANK($C417),"",IF(ISNUMBER(M417),IF(M417&gt;=0,M417,""),""))</f>
        <v/>
      </c>
      <c r="AO417" s="93" t="str">
        <f aca="false">IF(ISBLANK($C417),"",IF(N417=Constants!$B$3,TRUE(),IF(N417=Constants!$B$4,FALSE(),TRUE())))</f>
        <v/>
      </c>
      <c r="AP417" s="92" t="str">
        <f aca="false">IF(ISBLANK($C417),"",IF(ISNUMBER(O417),IF(O417&gt;=0,O417,""),""))</f>
        <v/>
      </c>
      <c r="AQ417" s="92" t="str">
        <f aca="false">IF(ISBLANK($C417),"",IF(P417=Constants!$B$3,TRUE(),IF(P417=Constants!$B$4,FALSE(),FALSE())))</f>
        <v/>
      </c>
      <c r="AR417" s="92" t="str">
        <f aca="false">IF(ISBLANK($C417),"",IF(Q417=Constants!$B$3,TRUE(),IF(Q417=Constants!$B$4,FALSE(),TRUE())))</f>
        <v/>
      </c>
      <c r="AS417" s="92" t="str">
        <f aca="false">IF(ISBLANK($C417),"",IF(R417=Constants!$B$3,TRUE(),IF(R417=Constants!$B$4,FALSE(),TRUE())))</f>
        <v/>
      </c>
      <c r="AT417" s="92" t="str">
        <f aca="false">IF(ISBLANK($C417),"",IF(S417=Constants!$B$5,TRUE(),IF(S417=Constants!$B$6,FALSE(),COUNTA(T417:X417)&gt;0)))</f>
        <v/>
      </c>
      <c r="AU417" s="94" t="str">
        <f aca="false">IF(ISBLANK($C417),"",IF(ISNUMBER(T417),IF(T417&gt;=0,T417,""),""))</f>
        <v/>
      </c>
      <c r="AV417" s="93" t="str">
        <f aca="false">IF(ISBLANK($C417),"",IF(ISNUMBER(U417),IF(U417&gt;=0,U417,""),""))</f>
        <v/>
      </c>
      <c r="AW417" s="93" t="str">
        <f aca="false">IF(ISBLANK($C417),"",IF(V417=Constants!$B$3,TRUE(),IF(V417=Constants!$B$4,FALSE(),TRUE())))</f>
        <v/>
      </c>
      <c r="AX417" s="92" t="str">
        <f aca="false">IF(ISBLANK($C417),"",IF(ISNUMBER(W417),IF(W417&gt;=0,W417,""),""))</f>
        <v/>
      </c>
      <c r="AY417" s="92" t="str">
        <f aca="false">IF(ISBLANK($C417),"",IF(X417=Constants!$B$3,TRUE(),IF(X417=Constants!$B$4,FALSE(),FALSE())))</f>
        <v/>
      </c>
      <c r="AZ417" s="92" t="str">
        <f aca="false">IF(ISBLANK($C417),"",MIN(Constants!$B$31,MAX(0,IF(ISNUMBER(Y417),Y417*60,0)+IF(ISNUMBER(Z417),Z417,0))))</f>
        <v/>
      </c>
      <c r="BA417" s="92" t="str">
        <f aca="false">IF(ISBLANK($C417),"",IF(AA417=Constants!$B$3,TRUE(),IF(AA417=Constants!$B$4,FALSE(),FALSE())))</f>
        <v/>
      </c>
      <c r="BB417" s="91" t="str">
        <f aca="false">IF(ISBLANK($C417),"",AND($AL417,OR($AM417="",$AN417="",AND($AO417,$AP417=""))))</f>
        <v/>
      </c>
      <c r="BC417" s="93" t="str">
        <f aca="false">IF($BR417&lt;&gt;Constants!$B$8,"",IF($AL417,Constants!$B$21*$AN417+Constants!$B$22*IF($AO417,$AP417,Constants!$B$23),Constants!$B$24))</f>
        <v/>
      </c>
      <c r="BD417" s="96" t="str">
        <f aca="false">IF($BR417&lt;&gt;Constants!$B$8,"",Constants!$B$25*ABS($AD$9-IF($AL417,$AM417,0)))</f>
        <v/>
      </c>
      <c r="BE417" s="96" t="str">
        <f aca="false">IF($BR417&lt;&gt;Constants!$B$8,"",IF(AND($AL417,$AQ417,$AO417),Constants!$B$27,0))</f>
        <v/>
      </c>
      <c r="BF417" s="96" t="str">
        <f aca="false">IF($BR417&lt;&gt;Constants!$B$8,"",IF($AL417,($AI417-Constants!$B$29)*Constants!$B$28,0))</f>
        <v/>
      </c>
      <c r="BG417" s="96" t="str">
        <f aca="false">IF($BR417&lt;&gt;Constants!$B$8,"",IF($AK417,0,Constants!$B$15)+IF($AJ417,0,Constants!$B$16)+IF($AH417,0,Constants!$B$17))</f>
        <v/>
      </c>
      <c r="BH417" s="97" t="str">
        <f aca="false">IF($BR417&lt;&gt;Constants!$B$8,"",Constants!$B$20+SUM($BC417:$BG417))</f>
        <v/>
      </c>
      <c r="BI417" s="92" t="str">
        <f aca="false">IF($BR417&lt;&gt;Constants!$B$8,"",IF(OR($BP417&lt;$BH417,AND($BP417=$BH417,OR($BK417&lt;$BC417,AND($BK417=$BC417,OR($BL417&lt;$BD417,AND($BL417=$BD417,$AT417,$AL417,$AV417&lt;$AN417)))))),"-&gt;","&lt;-"))</f>
        <v/>
      </c>
      <c r="BJ417" s="91" t="str">
        <f aca="false">IF(ISBLANK($C417),"",AND($AT417,OR($AU417="",$AV417="",AND($AW417,$AX417=""))))</f>
        <v/>
      </c>
      <c r="BK417" s="93" t="str">
        <f aca="false">IF($BR417&lt;&gt;Constants!$B$8,"",IF($AT417,Constants!$B$21*$AV417+Constants!$B$22*IF($AW417,$AX417,Constants!$B$23),Constants!$B$24))</f>
        <v/>
      </c>
      <c r="BL417" s="96" t="str">
        <f aca="false">IF($BR417&lt;&gt;Constants!$B$8,"",Constants!$B$25*ABS($AD$9-IF($AT417,$AU417,0)))</f>
        <v/>
      </c>
      <c r="BM417" s="96" t="str">
        <f aca="false">IF($BR417&lt;&gt;Constants!$B$8,"",IF(AND($AT417,$AY417,$AW417),Constants!$B$27,0))</f>
        <v/>
      </c>
      <c r="BN417" s="96" t="str">
        <f aca="false">IF($BR417&lt;&gt;Constants!$B$8,"",IF($AT417,($AI417-Constants!$B$29)*Constants!$B$28,0))</f>
        <v/>
      </c>
      <c r="BO417" s="96" t="str">
        <f aca="false">IF($BR417&lt;&gt;Constants!$B$8,"",IF($AS417,0,Constants!$B$15)+IF($AR417,0,Constants!$B$16)+IF($AH417,0,Constants!$B$17))</f>
        <v/>
      </c>
      <c r="BP417" s="97" t="str">
        <f aca="false">IF($BR417&lt;&gt;Constants!$B$8,"",Constants!$B$20+SUM($BK417:$BO417))</f>
        <v/>
      </c>
      <c r="BQ417" s="92" t="str">
        <f aca="false">IF(ISBLANK($C417),"",IF(ISBLANK($D$7),$BQ$5,IF(NOT(ISNUMBER($D$7)),$BQ$6,"")))</f>
        <v/>
      </c>
      <c r="BR417" s="92" t="str">
        <f aca="false">IF(ISBLANK($C417),"",IF($BA417,Constants!$B$11,IF(COUNTA($E417:$AA417)=0,Constants!$B$10,IF(NOT($AG417),Constants!$B$9,IF(OR($BQ417&lt;&gt;"",$BB417,$BJ417),Constants!$B$12,Constants!$B$8)))))</f>
        <v/>
      </c>
      <c r="BS417" s="92" t="str">
        <f aca="false">IF(ISBLANK($C417),"",IF($BR417&lt;&gt;Constants!$B$8,$BR417,Constants!$B$13))</f>
        <v/>
      </c>
      <c r="BT417" s="96" t="str">
        <f aca="false">IF($BR417&lt;&gt;Constants!$B$8,"",IF($BI417="-&gt;",$BP417,$BH417))</f>
        <v/>
      </c>
      <c r="BU417" s="96" t="str">
        <f aca="false">IF($BR417&lt;&gt;Constants!$B$8,"",IF($AF417,0,Constants!$B$18))</f>
        <v/>
      </c>
      <c r="BV417" s="96" t="str">
        <f aca="false">IF($BR417&lt;&gt;Constants!$B$8,"",((Constants!$B$31-$AZ417)-Constants!$B$31)/Constants!$B$32)</f>
        <v/>
      </c>
      <c r="BW417" s="96" t="str">
        <f aca="false">IF(ISBLANK($C417),"",IF($BR417&lt;&gt;Constants!$B$8,$BR417,SUM($BT417:$BV417)))</f>
        <v/>
      </c>
      <c r="BX417" s="92" t="str">
        <f aca="false">IF(ISBLANK($C417),"",IF($BR417&lt;&gt;Constants!$B$8,$BR417,RANK($BW417,$BW$9:$BW$508,1)))</f>
        <v/>
      </c>
      <c r="BY417" s="96" t="str">
        <f aca="false">IF($BR417&lt;&gt;Constants!$B$8,"",IF($BI417="-&gt;",$BK417,$BC417))</f>
        <v/>
      </c>
      <c r="BZ417" s="92" t="str">
        <f aca="false">IF(ISBLANK($C417),"",IF($BR417&lt;&gt;Constants!$B$8,$BR417,IF(ISNUMBER($BY417),RANK($BY417,$BY$9:$BY$508,1),COUNT($BY$9:$BY$508)+1)))</f>
        <v/>
      </c>
      <c r="CA417" s="96" t="str">
        <f aca="false">IF($BR417&lt;&gt;Constants!$B$8,"",IF($BI417="-&gt;",$BL417,$BD417))</f>
        <v/>
      </c>
      <c r="CB417" s="92" t="str">
        <f aca="false">IF(ISBLANK($C417),"",IF($BR417&lt;&gt;Constants!$B$8,$BR417,IF(ISNUMBER($CA417),RANK($CA417,$CA$9:$CA$508,1),COUNT($CA$9:$CA$508)+1)))</f>
        <v/>
      </c>
      <c r="CC417" s="96" t="str">
        <f aca="false">IF($BR417&lt;&gt;Constants!$B$8,"",IF($BI417="-&gt;",IF($AT417,$AV417,""),IF($AL417,$AN417,"")))</f>
        <v/>
      </c>
      <c r="CD417" s="92" t="str">
        <f aca="false">IF(ISBLANK($C417),"",IF($BR417&lt;&gt;Constants!$B$8,$BR417,IF(ISNUMBER($CC417),RANK($CC417,$CC$9:$CC$508,1),COUNT($CC$9:$CC$508)+1)))</f>
        <v/>
      </c>
      <c r="CE417" s="96" t="str">
        <f aca="false">IF($BR417&lt;&gt;Constants!$B$8,"",IF(AND(NOT($AL417),NOT($AT417),$AJ417,$AK417,$AR417,$AS417),"",$AI417))</f>
        <v/>
      </c>
      <c r="CF417" s="92" t="str">
        <f aca="false">IF(ISBLANK($C417),"",IF($BR417&lt;&gt;Constants!$B$8,$BR417,IF(ISNUMBER($CE417),RANK($CE417,$CE$9:$CE$508,1),COUNT($CE$9:$CE$508)+1)))</f>
        <v/>
      </c>
      <c r="CG417" s="92" t="str">
        <f aca="false">IF(ISBLANK($C417),"",IF($BR417&lt;&gt;Constants!$B$8,$BR417,COUNTIFS($BX$9:$BX$508,"&lt;"&amp;$BX417)+COUNTIFS($BX$9:$BX$508,$BX417,$BZ$9:$BZ$508,"&lt;"&amp;$BZ417)+COUNTIFS($BX$9:$BX$508,$BX417,$BZ$9:$BZ$508,$BZ417,$CB$9:$CB$508,"&lt;"&amp;$CB417)+COUNTIFS($BX$9:$BX$508,$BX417,$BZ$9:$BZ$508,$BZ417,$CB$9:$CB$508,$CB417,$CD$9:$CD$508,"&lt;"&amp;$CD417)+COUNTIFS($BX$9:$BX$508,$BX417,$BZ$9:$BZ$508,$BZ417,$CB$9:$CB$508,$CB417,$CD$9:$CD$508,$CD417,$CF$9:$CF$508,"&lt;"&amp;$CF417)+1))</f>
        <v/>
      </c>
      <c r="CH417" s="92" t="str">
        <f aca="false">IF(ISBLANK($C417),"",IF($BR417&lt;&gt;Constants!$B$8,$BR417,$BX417-$CG417))</f>
        <v/>
      </c>
      <c r="CI417" s="98"/>
      <c r="CJ417" s="99"/>
      <c r="CK417" s="100" t="str">
        <f aca="false">IF(ISBLANK($C417),"",IF($BR417=Constants!$B$12,$BQ417,""))</f>
        <v/>
      </c>
      <c r="CL417" s="99" t="str">
        <f aca="false">IF(ISBLANK($C417),"",IF($BR417&lt;&gt;Constants!$B$8,"",IF($BI417="-&gt;",2,1)))</f>
        <v/>
      </c>
      <c r="CM417" s="101" t="str">
        <f aca="false">IF(ISBLANK($C417),"",IF($BR417&lt;&gt;Constants!$B$8,"",IF($BI417="-&gt;",$BK417,$BC417)))</f>
        <v/>
      </c>
      <c r="CN417" s="101" t="str">
        <f aca="false">IF(ISBLANK($C417),"",IF($BR417&lt;&gt;Constants!$B$8,"",IF($BI417="-&gt;",$BL417,$BD417)))</f>
        <v/>
      </c>
      <c r="CO417" s="101" t="str">
        <f aca="false">IF(ISBLANK($C417),"",IF($BR417&lt;&gt;Constants!$B$8,"",IF($BI417="-&gt;",$BM417+$BN417,$BE417+$BF417)+$BV417))</f>
        <v/>
      </c>
      <c r="CP417" s="101" t="str">
        <f aca="false">IF(ISBLANK($C417),"",IF($BR417&lt;&gt;Constants!$B$8,"",IF($BI417="-&gt;",$BO417,$BG417)+$BU417))</f>
        <v/>
      </c>
      <c r="CQ417" s="102" t="str">
        <f aca="false">IF(ISBLANK($C417),"",IF($BR417&lt;&gt;Constants!$B$8,$BR417,$BW417))</f>
        <v/>
      </c>
      <c r="CR417" s="103" t="str">
        <f aca="false">IF(ISBLANK($C417),"",$BS417)</f>
        <v/>
      </c>
      <c r="CS417" s="104" t="str">
        <f aca="false">IF(ISBLANK($C417),"",$CH417)</f>
        <v/>
      </c>
      <c r="CT417" s="104" t="str">
        <f aca="false">IF(ISBLANK($C417),"",$CG417)</f>
        <v/>
      </c>
      <c r="CU417" s="105" t="str">
        <f aca="false">IF(ISBLANK($C417),"",IFERROR(_xlfn.SWITCH($CT417,Constants!$B$11,COUNTA($C$9:$C$508)+2,Constants!$B$10,COUNTA($C$9:$C$508)+1,Constants!$B$9,COUNTA($C$9:$C$508)),$CT417))</f>
        <v/>
      </c>
      <c r="CV417" s="9"/>
      <c r="CW417" s="106" t="n">
        <f aca="false">IF(OR(ISNUMBER($CT417),$CT417=Constants!$B$11,$CT417=Constants!$B$9,$CT417=Constants!$B$10),1,0)</f>
        <v>0</v>
      </c>
      <c r="CX417" s="106" t="n">
        <v>409</v>
      </c>
      <c r="CY417" s="106" t="str">
        <f aca="false">IF(ISBLANK($C417),"",IF(ISNUMBER($CU417),$CU417+ROW($B417)/1000,""))</f>
        <v/>
      </c>
      <c r="CZ417" s="106" t="str">
        <f aca="false">IF(ISNUMBER($CY417),RANK($CY417,$CY$9:$CY$508,1),"")</f>
        <v/>
      </c>
      <c r="DA417" s="106" t="str">
        <f aca="false">IF(ISBLANK($C417),"",$B417)</f>
        <v/>
      </c>
      <c r="DB417" s="106" t="str">
        <f aca="false">IF(ISBLANK($C417),"",$C417)</f>
        <v/>
      </c>
      <c r="DC417" s="106" t="str">
        <f aca="false">IF(ISBLANK($C417),"",$D417)</f>
        <v/>
      </c>
      <c r="DD417" s="107" t="str">
        <f aca="false">$CR417</f>
        <v/>
      </c>
      <c r="DE417" s="108" t="str">
        <f aca="false">$CQ417</f>
        <v/>
      </c>
      <c r="DF417" s="106" t="str">
        <f aca="false">IF(ISBLANK($C417),"",$CT417)</f>
        <v/>
      </c>
      <c r="DG417" s="109" t="str">
        <f aca="false">IF($CX417&gt;$CW$8,"",VLOOKUP($CX417,$CZ$9:$DF$508,7,FALSE()))</f>
        <v/>
      </c>
      <c r="DH417" s="110" t="str">
        <f aca="false">IF($CX417&gt;$CW$8,"",VLOOKUP($CX417,$CZ$9:$DF$508,2,FALSE()))</f>
        <v/>
      </c>
      <c r="DI417" s="110" t="str">
        <f aca="false">IF($CX417&gt;$CW$8,"",VLOOKUP($CX417,$CZ$9:$DF$508,3,FALSE()))</f>
        <v/>
      </c>
      <c r="DJ417" s="110" t="str">
        <f aca="false">IF($CX417&gt;$CW$8,"",VLOOKUP($CX417,$CZ$9:$DF$508,4,FALSE()))</f>
        <v/>
      </c>
      <c r="DK417" s="110" t="str">
        <f aca="false">IF($CX417&gt;$CW$8,"",VLOOKUP($CX417,$CZ$9:$DF$508,5,FALSE()))</f>
        <v/>
      </c>
      <c r="DL417" s="111" t="str">
        <f aca="false">IF($CX417&gt;$CW$8,"",VLOOKUP($CX417,$CZ$9:$DF$508,6,FALSE()))</f>
        <v/>
      </c>
      <c r="DM417" s="75"/>
    </row>
    <row r="418" customFormat="false" ht="15.75" hidden="false" customHeight="false" outlineLevel="0" collapsed="false">
      <c r="A418" s="9"/>
      <c r="B418" s="77"/>
      <c r="C418" s="78"/>
      <c r="D418" s="167"/>
      <c r="E418" s="175"/>
      <c r="F418" s="169"/>
      <c r="G418" s="170"/>
      <c r="H418" s="170"/>
      <c r="I418" s="176"/>
      <c r="J418" s="173"/>
      <c r="K418" s="85"/>
      <c r="L418" s="86"/>
      <c r="M418" s="87"/>
      <c r="N418" s="173"/>
      <c r="O418" s="173"/>
      <c r="P418" s="175"/>
      <c r="Q418" s="173"/>
      <c r="R418" s="173"/>
      <c r="S418" s="85"/>
      <c r="T418" s="87"/>
      <c r="U418" s="87"/>
      <c r="V418" s="173"/>
      <c r="W418" s="173"/>
      <c r="X418" s="175"/>
      <c r="Y418" s="173"/>
      <c r="Z418" s="174"/>
      <c r="AA418" s="173"/>
      <c r="AB418" s="91"/>
      <c r="AC418" s="92"/>
      <c r="AD418" s="92"/>
      <c r="AE418" s="92"/>
      <c r="AF418" s="92" t="str">
        <f aca="false">IF(ISBLANK($C418),"",IF(E418=Constants!$B$3,TRUE(),IF(E418=Constants!$B$4,FALSE(),TRUE())))</f>
        <v/>
      </c>
      <c r="AG418" s="92" t="str">
        <f aca="false">IF(ISBLANK($C418),"",IF(F418=Constants!$B$3,TRUE(),IF(F418=Constants!$B$4,FALSE(),TRUE())))</f>
        <v/>
      </c>
      <c r="AH418" s="92" t="str">
        <f aca="false">IF(ISBLANK($C418),"",IF(G418=Constants!$B$3,TRUE(),IF(G418=Constants!$B$4,FALSE(),TRUE())))</f>
        <v/>
      </c>
      <c r="AI418" s="92" t="str">
        <f aca="false">IF(ISBLANK($C418),"",IF(AND(ISNUMBER(H418),H418&gt;=0),H418,Constants!$B$29))</f>
        <v/>
      </c>
      <c r="AJ418" s="92" t="str">
        <f aca="false">IF(ISBLANK($C418),"",IF(I418=Constants!$B$3,TRUE(),IF(I418=Constants!$B$4,FALSE(),TRUE())))</f>
        <v/>
      </c>
      <c r="AK418" s="92" t="str">
        <f aca="false">IF(ISBLANK($C418),"",IF(J418=Constants!$B$3,TRUE(),IF(J418=Constants!$B$4,FALSE(),TRUE())))</f>
        <v/>
      </c>
      <c r="AL418" s="92" t="str">
        <f aca="false">IF(ISBLANK($C418),"",IF(K418=Constants!$B$5,TRUE(),IF(K418=Constants!$B$6,FALSE(),COUNTA(L418:P418)&gt;0)))</f>
        <v/>
      </c>
      <c r="AM418" s="94" t="str">
        <f aca="false">IF(ISBLANK($C418),"",IF(ISNUMBER(L418),IF(L418&gt;=0,L418,""),""))</f>
        <v/>
      </c>
      <c r="AN418" s="93" t="str">
        <f aca="false">IF(ISBLANK($C418),"",IF(ISNUMBER(M418),IF(M418&gt;=0,M418,""),""))</f>
        <v/>
      </c>
      <c r="AO418" s="93" t="str">
        <f aca="false">IF(ISBLANK($C418),"",IF(N418=Constants!$B$3,TRUE(),IF(N418=Constants!$B$4,FALSE(),TRUE())))</f>
        <v/>
      </c>
      <c r="AP418" s="92" t="str">
        <f aca="false">IF(ISBLANK($C418),"",IF(ISNUMBER(O418),IF(O418&gt;=0,O418,""),""))</f>
        <v/>
      </c>
      <c r="AQ418" s="92" t="str">
        <f aca="false">IF(ISBLANK($C418),"",IF(P418=Constants!$B$3,TRUE(),IF(P418=Constants!$B$4,FALSE(),FALSE())))</f>
        <v/>
      </c>
      <c r="AR418" s="92" t="str">
        <f aca="false">IF(ISBLANK($C418),"",IF(Q418=Constants!$B$3,TRUE(),IF(Q418=Constants!$B$4,FALSE(),TRUE())))</f>
        <v/>
      </c>
      <c r="AS418" s="92" t="str">
        <f aca="false">IF(ISBLANK($C418),"",IF(R418=Constants!$B$3,TRUE(),IF(R418=Constants!$B$4,FALSE(),TRUE())))</f>
        <v/>
      </c>
      <c r="AT418" s="92" t="str">
        <f aca="false">IF(ISBLANK($C418),"",IF(S418=Constants!$B$5,TRUE(),IF(S418=Constants!$B$6,FALSE(),COUNTA(T418:X418)&gt;0)))</f>
        <v/>
      </c>
      <c r="AU418" s="94" t="str">
        <f aca="false">IF(ISBLANK($C418),"",IF(ISNUMBER(T418),IF(T418&gt;=0,T418,""),""))</f>
        <v/>
      </c>
      <c r="AV418" s="93" t="str">
        <f aca="false">IF(ISBLANK($C418),"",IF(ISNUMBER(U418),IF(U418&gt;=0,U418,""),""))</f>
        <v/>
      </c>
      <c r="AW418" s="93" t="str">
        <f aca="false">IF(ISBLANK($C418),"",IF(V418=Constants!$B$3,TRUE(),IF(V418=Constants!$B$4,FALSE(),TRUE())))</f>
        <v/>
      </c>
      <c r="AX418" s="92" t="str">
        <f aca="false">IF(ISBLANK($C418),"",IF(ISNUMBER(W418),IF(W418&gt;=0,W418,""),""))</f>
        <v/>
      </c>
      <c r="AY418" s="92" t="str">
        <f aca="false">IF(ISBLANK($C418),"",IF(X418=Constants!$B$3,TRUE(),IF(X418=Constants!$B$4,FALSE(),FALSE())))</f>
        <v/>
      </c>
      <c r="AZ418" s="92" t="str">
        <f aca="false">IF(ISBLANK($C418),"",MIN(Constants!$B$31,MAX(0,IF(ISNUMBER(Y418),Y418*60,0)+IF(ISNUMBER(Z418),Z418,0))))</f>
        <v/>
      </c>
      <c r="BA418" s="92" t="str">
        <f aca="false">IF(ISBLANK($C418),"",IF(AA418=Constants!$B$3,TRUE(),IF(AA418=Constants!$B$4,FALSE(),FALSE())))</f>
        <v/>
      </c>
      <c r="BB418" s="91" t="str">
        <f aca="false">IF(ISBLANK($C418),"",AND($AL418,OR($AM418="",$AN418="",AND($AO418,$AP418=""))))</f>
        <v/>
      </c>
      <c r="BC418" s="93" t="str">
        <f aca="false">IF($BR418&lt;&gt;Constants!$B$8,"",IF($AL418,Constants!$B$21*$AN418+Constants!$B$22*IF($AO418,$AP418,Constants!$B$23),Constants!$B$24))</f>
        <v/>
      </c>
      <c r="BD418" s="96" t="str">
        <f aca="false">IF($BR418&lt;&gt;Constants!$B$8,"",Constants!$B$25*ABS($AD$9-IF($AL418,$AM418,0)))</f>
        <v/>
      </c>
      <c r="BE418" s="96" t="str">
        <f aca="false">IF($BR418&lt;&gt;Constants!$B$8,"",IF(AND($AL418,$AQ418,$AO418),Constants!$B$27,0))</f>
        <v/>
      </c>
      <c r="BF418" s="96" t="str">
        <f aca="false">IF($BR418&lt;&gt;Constants!$B$8,"",IF($AL418,($AI418-Constants!$B$29)*Constants!$B$28,0))</f>
        <v/>
      </c>
      <c r="BG418" s="96" t="str">
        <f aca="false">IF($BR418&lt;&gt;Constants!$B$8,"",IF($AK418,0,Constants!$B$15)+IF($AJ418,0,Constants!$B$16)+IF($AH418,0,Constants!$B$17))</f>
        <v/>
      </c>
      <c r="BH418" s="97" t="str">
        <f aca="false">IF($BR418&lt;&gt;Constants!$B$8,"",Constants!$B$20+SUM($BC418:$BG418))</f>
        <v/>
      </c>
      <c r="BI418" s="92" t="str">
        <f aca="false">IF($BR418&lt;&gt;Constants!$B$8,"",IF(OR($BP418&lt;$BH418,AND($BP418=$BH418,OR($BK418&lt;$BC418,AND($BK418=$BC418,OR($BL418&lt;$BD418,AND($BL418=$BD418,$AT418,$AL418,$AV418&lt;$AN418)))))),"-&gt;","&lt;-"))</f>
        <v/>
      </c>
      <c r="BJ418" s="91" t="str">
        <f aca="false">IF(ISBLANK($C418),"",AND($AT418,OR($AU418="",$AV418="",AND($AW418,$AX418=""))))</f>
        <v/>
      </c>
      <c r="BK418" s="93" t="str">
        <f aca="false">IF($BR418&lt;&gt;Constants!$B$8,"",IF($AT418,Constants!$B$21*$AV418+Constants!$B$22*IF($AW418,$AX418,Constants!$B$23),Constants!$B$24))</f>
        <v/>
      </c>
      <c r="BL418" s="96" t="str">
        <f aca="false">IF($BR418&lt;&gt;Constants!$B$8,"",Constants!$B$25*ABS($AD$9-IF($AT418,$AU418,0)))</f>
        <v/>
      </c>
      <c r="BM418" s="96" t="str">
        <f aca="false">IF($BR418&lt;&gt;Constants!$B$8,"",IF(AND($AT418,$AY418,$AW418),Constants!$B$27,0))</f>
        <v/>
      </c>
      <c r="BN418" s="96" t="str">
        <f aca="false">IF($BR418&lt;&gt;Constants!$B$8,"",IF($AT418,($AI418-Constants!$B$29)*Constants!$B$28,0))</f>
        <v/>
      </c>
      <c r="BO418" s="96" t="str">
        <f aca="false">IF($BR418&lt;&gt;Constants!$B$8,"",IF($AS418,0,Constants!$B$15)+IF($AR418,0,Constants!$B$16)+IF($AH418,0,Constants!$B$17))</f>
        <v/>
      </c>
      <c r="BP418" s="97" t="str">
        <f aca="false">IF($BR418&lt;&gt;Constants!$B$8,"",Constants!$B$20+SUM($BK418:$BO418))</f>
        <v/>
      </c>
      <c r="BQ418" s="92" t="str">
        <f aca="false">IF(ISBLANK($C418),"",IF(ISBLANK($D$7),$BQ$5,IF(NOT(ISNUMBER($D$7)),$BQ$6,"")))</f>
        <v/>
      </c>
      <c r="BR418" s="92" t="str">
        <f aca="false">IF(ISBLANK($C418),"",IF($BA418,Constants!$B$11,IF(COUNTA($E418:$AA418)=0,Constants!$B$10,IF(NOT($AG418),Constants!$B$9,IF(OR($BQ418&lt;&gt;"",$BB418,$BJ418),Constants!$B$12,Constants!$B$8)))))</f>
        <v/>
      </c>
      <c r="BS418" s="92" t="str">
        <f aca="false">IF(ISBLANK($C418),"",IF($BR418&lt;&gt;Constants!$B$8,$BR418,Constants!$B$13))</f>
        <v/>
      </c>
      <c r="BT418" s="96" t="str">
        <f aca="false">IF($BR418&lt;&gt;Constants!$B$8,"",IF($BI418="-&gt;",$BP418,$BH418))</f>
        <v/>
      </c>
      <c r="BU418" s="96" t="str">
        <f aca="false">IF($BR418&lt;&gt;Constants!$B$8,"",IF($AF418,0,Constants!$B$18))</f>
        <v/>
      </c>
      <c r="BV418" s="96" t="str">
        <f aca="false">IF($BR418&lt;&gt;Constants!$B$8,"",((Constants!$B$31-$AZ418)-Constants!$B$31)/Constants!$B$32)</f>
        <v/>
      </c>
      <c r="BW418" s="96" t="str">
        <f aca="false">IF(ISBLANK($C418),"",IF($BR418&lt;&gt;Constants!$B$8,$BR418,SUM($BT418:$BV418)))</f>
        <v/>
      </c>
      <c r="BX418" s="92" t="str">
        <f aca="false">IF(ISBLANK($C418),"",IF($BR418&lt;&gt;Constants!$B$8,$BR418,RANK($BW418,$BW$9:$BW$508,1)))</f>
        <v/>
      </c>
      <c r="BY418" s="96" t="str">
        <f aca="false">IF($BR418&lt;&gt;Constants!$B$8,"",IF($BI418="-&gt;",$BK418,$BC418))</f>
        <v/>
      </c>
      <c r="BZ418" s="92" t="str">
        <f aca="false">IF(ISBLANK($C418),"",IF($BR418&lt;&gt;Constants!$B$8,$BR418,IF(ISNUMBER($BY418),RANK($BY418,$BY$9:$BY$508,1),COUNT($BY$9:$BY$508)+1)))</f>
        <v/>
      </c>
      <c r="CA418" s="96" t="str">
        <f aca="false">IF($BR418&lt;&gt;Constants!$B$8,"",IF($BI418="-&gt;",$BL418,$BD418))</f>
        <v/>
      </c>
      <c r="CB418" s="92" t="str">
        <f aca="false">IF(ISBLANK($C418),"",IF($BR418&lt;&gt;Constants!$B$8,$BR418,IF(ISNUMBER($CA418),RANK($CA418,$CA$9:$CA$508,1),COUNT($CA$9:$CA$508)+1)))</f>
        <v/>
      </c>
      <c r="CC418" s="96" t="str">
        <f aca="false">IF($BR418&lt;&gt;Constants!$B$8,"",IF($BI418="-&gt;",IF($AT418,$AV418,""),IF($AL418,$AN418,"")))</f>
        <v/>
      </c>
      <c r="CD418" s="92" t="str">
        <f aca="false">IF(ISBLANK($C418),"",IF($BR418&lt;&gt;Constants!$B$8,$BR418,IF(ISNUMBER($CC418),RANK($CC418,$CC$9:$CC$508,1),COUNT($CC$9:$CC$508)+1)))</f>
        <v/>
      </c>
      <c r="CE418" s="96" t="str">
        <f aca="false">IF($BR418&lt;&gt;Constants!$B$8,"",IF(AND(NOT($AL418),NOT($AT418),$AJ418,$AK418,$AR418,$AS418),"",$AI418))</f>
        <v/>
      </c>
      <c r="CF418" s="92" t="str">
        <f aca="false">IF(ISBLANK($C418),"",IF($BR418&lt;&gt;Constants!$B$8,$BR418,IF(ISNUMBER($CE418),RANK($CE418,$CE$9:$CE$508,1),COUNT($CE$9:$CE$508)+1)))</f>
        <v/>
      </c>
      <c r="CG418" s="92" t="str">
        <f aca="false">IF(ISBLANK($C418),"",IF($BR418&lt;&gt;Constants!$B$8,$BR418,COUNTIFS($BX$9:$BX$508,"&lt;"&amp;$BX418)+COUNTIFS($BX$9:$BX$508,$BX418,$BZ$9:$BZ$508,"&lt;"&amp;$BZ418)+COUNTIFS($BX$9:$BX$508,$BX418,$BZ$9:$BZ$508,$BZ418,$CB$9:$CB$508,"&lt;"&amp;$CB418)+COUNTIFS($BX$9:$BX$508,$BX418,$BZ$9:$BZ$508,$BZ418,$CB$9:$CB$508,$CB418,$CD$9:$CD$508,"&lt;"&amp;$CD418)+COUNTIFS($BX$9:$BX$508,$BX418,$BZ$9:$BZ$508,$BZ418,$CB$9:$CB$508,$CB418,$CD$9:$CD$508,$CD418,$CF$9:$CF$508,"&lt;"&amp;$CF418)+1))</f>
        <v/>
      </c>
      <c r="CH418" s="92" t="str">
        <f aca="false">IF(ISBLANK($C418),"",IF($BR418&lt;&gt;Constants!$B$8,$BR418,$BX418-$CG418))</f>
        <v/>
      </c>
      <c r="CI418" s="98"/>
      <c r="CJ418" s="99"/>
      <c r="CK418" s="100" t="str">
        <f aca="false">IF(ISBLANK($C418),"",IF($BR418=Constants!$B$12,$BQ418,""))</f>
        <v/>
      </c>
      <c r="CL418" s="99" t="str">
        <f aca="false">IF(ISBLANK($C418),"",IF($BR418&lt;&gt;Constants!$B$8,"",IF($BI418="-&gt;",2,1)))</f>
        <v/>
      </c>
      <c r="CM418" s="101" t="str">
        <f aca="false">IF(ISBLANK($C418),"",IF($BR418&lt;&gt;Constants!$B$8,"",IF($BI418="-&gt;",$BK418,$BC418)))</f>
        <v/>
      </c>
      <c r="CN418" s="101" t="str">
        <f aca="false">IF(ISBLANK($C418),"",IF($BR418&lt;&gt;Constants!$B$8,"",IF($BI418="-&gt;",$BL418,$BD418)))</f>
        <v/>
      </c>
      <c r="CO418" s="101" t="str">
        <f aca="false">IF(ISBLANK($C418),"",IF($BR418&lt;&gt;Constants!$B$8,"",IF($BI418="-&gt;",$BM418+$BN418,$BE418+$BF418)+$BV418))</f>
        <v/>
      </c>
      <c r="CP418" s="101" t="str">
        <f aca="false">IF(ISBLANK($C418),"",IF($BR418&lt;&gt;Constants!$B$8,"",IF($BI418="-&gt;",$BO418,$BG418)+$BU418))</f>
        <v/>
      </c>
      <c r="CQ418" s="102" t="str">
        <f aca="false">IF(ISBLANK($C418),"",IF($BR418&lt;&gt;Constants!$B$8,$BR418,$BW418))</f>
        <v/>
      </c>
      <c r="CR418" s="103" t="str">
        <f aca="false">IF(ISBLANK($C418),"",$BS418)</f>
        <v/>
      </c>
      <c r="CS418" s="104" t="str">
        <f aca="false">IF(ISBLANK($C418),"",$CH418)</f>
        <v/>
      </c>
      <c r="CT418" s="104" t="str">
        <f aca="false">IF(ISBLANK($C418),"",$CG418)</f>
        <v/>
      </c>
      <c r="CU418" s="105" t="str">
        <f aca="false">IF(ISBLANK($C418),"",IFERROR(_xlfn.SWITCH($CT418,Constants!$B$11,COUNTA($C$9:$C$508)+2,Constants!$B$10,COUNTA($C$9:$C$508)+1,Constants!$B$9,COUNTA($C$9:$C$508)),$CT418))</f>
        <v/>
      </c>
      <c r="CV418" s="9"/>
      <c r="CW418" s="106" t="n">
        <f aca="false">IF(OR(ISNUMBER($CT418),$CT418=Constants!$B$11,$CT418=Constants!$B$9,$CT418=Constants!$B$10),1,0)</f>
        <v>0</v>
      </c>
      <c r="CX418" s="106" t="n">
        <v>410</v>
      </c>
      <c r="CY418" s="106" t="str">
        <f aca="false">IF(ISBLANK($C418),"",IF(ISNUMBER($CU418),$CU418+ROW($B418)/1000,""))</f>
        <v/>
      </c>
      <c r="CZ418" s="106" t="str">
        <f aca="false">IF(ISNUMBER($CY418),RANK($CY418,$CY$9:$CY$508,1),"")</f>
        <v/>
      </c>
      <c r="DA418" s="106" t="str">
        <f aca="false">IF(ISBLANK($C418),"",$B418)</f>
        <v/>
      </c>
      <c r="DB418" s="106" t="str">
        <f aca="false">IF(ISBLANK($C418),"",$C418)</f>
        <v/>
      </c>
      <c r="DC418" s="106" t="str">
        <f aca="false">IF(ISBLANK($C418),"",$D418)</f>
        <v/>
      </c>
      <c r="DD418" s="107" t="str">
        <f aca="false">$CR418</f>
        <v/>
      </c>
      <c r="DE418" s="108" t="str">
        <f aca="false">$CQ418</f>
        <v/>
      </c>
      <c r="DF418" s="106" t="str">
        <f aca="false">IF(ISBLANK($C418),"",$CT418)</f>
        <v/>
      </c>
      <c r="DG418" s="109" t="str">
        <f aca="false">IF($CX418&gt;$CW$8,"",VLOOKUP($CX418,$CZ$9:$DF$508,7,FALSE()))</f>
        <v/>
      </c>
      <c r="DH418" s="110" t="str">
        <f aca="false">IF($CX418&gt;$CW$8,"",VLOOKUP($CX418,$CZ$9:$DF$508,2,FALSE()))</f>
        <v/>
      </c>
      <c r="DI418" s="110" t="str">
        <f aca="false">IF($CX418&gt;$CW$8,"",VLOOKUP($CX418,$CZ$9:$DF$508,3,FALSE()))</f>
        <v/>
      </c>
      <c r="DJ418" s="110" t="str">
        <f aca="false">IF($CX418&gt;$CW$8,"",VLOOKUP($CX418,$CZ$9:$DF$508,4,FALSE()))</f>
        <v/>
      </c>
      <c r="DK418" s="110" t="str">
        <f aca="false">IF($CX418&gt;$CW$8,"",VLOOKUP($CX418,$CZ$9:$DF$508,5,FALSE()))</f>
        <v/>
      </c>
      <c r="DL418" s="111" t="str">
        <f aca="false">IF($CX418&gt;$CW$8,"",VLOOKUP($CX418,$CZ$9:$DF$508,6,FALSE()))</f>
        <v/>
      </c>
      <c r="DM418" s="75"/>
    </row>
    <row r="419" customFormat="false" ht="15.75" hidden="false" customHeight="false" outlineLevel="0" collapsed="false">
      <c r="A419" s="9"/>
      <c r="B419" s="77"/>
      <c r="C419" s="78"/>
      <c r="D419" s="167"/>
      <c r="E419" s="175"/>
      <c r="F419" s="169"/>
      <c r="G419" s="170"/>
      <c r="H419" s="170"/>
      <c r="I419" s="176"/>
      <c r="J419" s="173"/>
      <c r="K419" s="85"/>
      <c r="L419" s="86"/>
      <c r="M419" s="87"/>
      <c r="N419" s="173"/>
      <c r="O419" s="173"/>
      <c r="P419" s="175"/>
      <c r="Q419" s="173"/>
      <c r="R419" s="173"/>
      <c r="S419" s="85"/>
      <c r="T419" s="87"/>
      <c r="U419" s="87"/>
      <c r="V419" s="173"/>
      <c r="W419" s="173"/>
      <c r="X419" s="175"/>
      <c r="Y419" s="173"/>
      <c r="Z419" s="174"/>
      <c r="AA419" s="173"/>
      <c r="AB419" s="91"/>
      <c r="AC419" s="92"/>
      <c r="AD419" s="92"/>
      <c r="AE419" s="92"/>
      <c r="AF419" s="92" t="str">
        <f aca="false">IF(ISBLANK($C419),"",IF(E419=Constants!$B$3,TRUE(),IF(E419=Constants!$B$4,FALSE(),TRUE())))</f>
        <v/>
      </c>
      <c r="AG419" s="92" t="str">
        <f aca="false">IF(ISBLANK($C419),"",IF(F419=Constants!$B$3,TRUE(),IF(F419=Constants!$B$4,FALSE(),TRUE())))</f>
        <v/>
      </c>
      <c r="AH419" s="92" t="str">
        <f aca="false">IF(ISBLANK($C419),"",IF(G419=Constants!$B$3,TRUE(),IF(G419=Constants!$B$4,FALSE(),TRUE())))</f>
        <v/>
      </c>
      <c r="AI419" s="92" t="str">
        <f aca="false">IF(ISBLANK($C419),"",IF(AND(ISNUMBER(H419),H419&gt;=0),H419,Constants!$B$29))</f>
        <v/>
      </c>
      <c r="AJ419" s="92" t="str">
        <f aca="false">IF(ISBLANK($C419),"",IF(I419=Constants!$B$3,TRUE(),IF(I419=Constants!$B$4,FALSE(),TRUE())))</f>
        <v/>
      </c>
      <c r="AK419" s="92" t="str">
        <f aca="false">IF(ISBLANK($C419),"",IF(J419=Constants!$B$3,TRUE(),IF(J419=Constants!$B$4,FALSE(),TRUE())))</f>
        <v/>
      </c>
      <c r="AL419" s="92" t="str">
        <f aca="false">IF(ISBLANK($C419),"",IF(K419=Constants!$B$5,TRUE(),IF(K419=Constants!$B$6,FALSE(),COUNTA(L419:P419)&gt;0)))</f>
        <v/>
      </c>
      <c r="AM419" s="94" t="str">
        <f aca="false">IF(ISBLANK($C419),"",IF(ISNUMBER(L419),IF(L419&gt;=0,L419,""),""))</f>
        <v/>
      </c>
      <c r="AN419" s="93" t="str">
        <f aca="false">IF(ISBLANK($C419),"",IF(ISNUMBER(M419),IF(M419&gt;=0,M419,""),""))</f>
        <v/>
      </c>
      <c r="AO419" s="93" t="str">
        <f aca="false">IF(ISBLANK($C419),"",IF(N419=Constants!$B$3,TRUE(),IF(N419=Constants!$B$4,FALSE(),TRUE())))</f>
        <v/>
      </c>
      <c r="AP419" s="92" t="str">
        <f aca="false">IF(ISBLANK($C419),"",IF(ISNUMBER(O419),IF(O419&gt;=0,O419,""),""))</f>
        <v/>
      </c>
      <c r="AQ419" s="92" t="str">
        <f aca="false">IF(ISBLANK($C419),"",IF(P419=Constants!$B$3,TRUE(),IF(P419=Constants!$B$4,FALSE(),FALSE())))</f>
        <v/>
      </c>
      <c r="AR419" s="92" t="str">
        <f aca="false">IF(ISBLANK($C419),"",IF(Q419=Constants!$B$3,TRUE(),IF(Q419=Constants!$B$4,FALSE(),TRUE())))</f>
        <v/>
      </c>
      <c r="AS419" s="92" t="str">
        <f aca="false">IF(ISBLANK($C419),"",IF(R419=Constants!$B$3,TRUE(),IF(R419=Constants!$B$4,FALSE(),TRUE())))</f>
        <v/>
      </c>
      <c r="AT419" s="92" t="str">
        <f aca="false">IF(ISBLANK($C419),"",IF(S419=Constants!$B$5,TRUE(),IF(S419=Constants!$B$6,FALSE(),COUNTA(T419:X419)&gt;0)))</f>
        <v/>
      </c>
      <c r="AU419" s="94" t="str">
        <f aca="false">IF(ISBLANK($C419),"",IF(ISNUMBER(T419),IF(T419&gt;=0,T419,""),""))</f>
        <v/>
      </c>
      <c r="AV419" s="93" t="str">
        <f aca="false">IF(ISBLANK($C419),"",IF(ISNUMBER(U419),IF(U419&gt;=0,U419,""),""))</f>
        <v/>
      </c>
      <c r="AW419" s="93" t="str">
        <f aca="false">IF(ISBLANK($C419),"",IF(V419=Constants!$B$3,TRUE(),IF(V419=Constants!$B$4,FALSE(),TRUE())))</f>
        <v/>
      </c>
      <c r="AX419" s="92" t="str">
        <f aca="false">IF(ISBLANK($C419),"",IF(ISNUMBER(W419),IF(W419&gt;=0,W419,""),""))</f>
        <v/>
      </c>
      <c r="AY419" s="92" t="str">
        <f aca="false">IF(ISBLANK($C419),"",IF(X419=Constants!$B$3,TRUE(),IF(X419=Constants!$B$4,FALSE(),FALSE())))</f>
        <v/>
      </c>
      <c r="AZ419" s="92" t="str">
        <f aca="false">IF(ISBLANK($C419),"",MIN(Constants!$B$31,MAX(0,IF(ISNUMBER(Y419),Y419*60,0)+IF(ISNUMBER(Z419),Z419,0))))</f>
        <v/>
      </c>
      <c r="BA419" s="92" t="str">
        <f aca="false">IF(ISBLANK($C419),"",IF(AA419=Constants!$B$3,TRUE(),IF(AA419=Constants!$B$4,FALSE(),FALSE())))</f>
        <v/>
      </c>
      <c r="BB419" s="91" t="str">
        <f aca="false">IF(ISBLANK($C419),"",AND($AL419,OR($AM419="",$AN419="",AND($AO419,$AP419=""))))</f>
        <v/>
      </c>
      <c r="BC419" s="93" t="str">
        <f aca="false">IF($BR419&lt;&gt;Constants!$B$8,"",IF($AL419,Constants!$B$21*$AN419+Constants!$B$22*IF($AO419,$AP419,Constants!$B$23),Constants!$B$24))</f>
        <v/>
      </c>
      <c r="BD419" s="96" t="str">
        <f aca="false">IF($BR419&lt;&gt;Constants!$B$8,"",Constants!$B$25*ABS($AD$9-IF($AL419,$AM419,0)))</f>
        <v/>
      </c>
      <c r="BE419" s="96" t="str">
        <f aca="false">IF($BR419&lt;&gt;Constants!$B$8,"",IF(AND($AL419,$AQ419,$AO419),Constants!$B$27,0))</f>
        <v/>
      </c>
      <c r="BF419" s="96" t="str">
        <f aca="false">IF($BR419&lt;&gt;Constants!$B$8,"",IF($AL419,($AI419-Constants!$B$29)*Constants!$B$28,0))</f>
        <v/>
      </c>
      <c r="BG419" s="96" t="str">
        <f aca="false">IF($BR419&lt;&gt;Constants!$B$8,"",IF($AK419,0,Constants!$B$15)+IF($AJ419,0,Constants!$B$16)+IF($AH419,0,Constants!$B$17))</f>
        <v/>
      </c>
      <c r="BH419" s="97" t="str">
        <f aca="false">IF($BR419&lt;&gt;Constants!$B$8,"",Constants!$B$20+SUM($BC419:$BG419))</f>
        <v/>
      </c>
      <c r="BI419" s="92" t="str">
        <f aca="false">IF($BR419&lt;&gt;Constants!$B$8,"",IF(OR($BP419&lt;$BH419,AND($BP419=$BH419,OR($BK419&lt;$BC419,AND($BK419=$BC419,OR($BL419&lt;$BD419,AND($BL419=$BD419,$AT419,$AL419,$AV419&lt;$AN419)))))),"-&gt;","&lt;-"))</f>
        <v/>
      </c>
      <c r="BJ419" s="91" t="str">
        <f aca="false">IF(ISBLANK($C419),"",AND($AT419,OR($AU419="",$AV419="",AND($AW419,$AX419=""))))</f>
        <v/>
      </c>
      <c r="BK419" s="93" t="str">
        <f aca="false">IF($BR419&lt;&gt;Constants!$B$8,"",IF($AT419,Constants!$B$21*$AV419+Constants!$B$22*IF($AW419,$AX419,Constants!$B$23),Constants!$B$24))</f>
        <v/>
      </c>
      <c r="BL419" s="96" t="str">
        <f aca="false">IF($BR419&lt;&gt;Constants!$B$8,"",Constants!$B$25*ABS($AD$9-IF($AT419,$AU419,0)))</f>
        <v/>
      </c>
      <c r="BM419" s="96" t="str">
        <f aca="false">IF($BR419&lt;&gt;Constants!$B$8,"",IF(AND($AT419,$AY419,$AW419),Constants!$B$27,0))</f>
        <v/>
      </c>
      <c r="BN419" s="96" t="str">
        <f aca="false">IF($BR419&lt;&gt;Constants!$B$8,"",IF($AT419,($AI419-Constants!$B$29)*Constants!$B$28,0))</f>
        <v/>
      </c>
      <c r="BO419" s="96" t="str">
        <f aca="false">IF($BR419&lt;&gt;Constants!$B$8,"",IF($AS419,0,Constants!$B$15)+IF($AR419,0,Constants!$B$16)+IF($AH419,0,Constants!$B$17))</f>
        <v/>
      </c>
      <c r="BP419" s="97" t="str">
        <f aca="false">IF($BR419&lt;&gt;Constants!$B$8,"",Constants!$B$20+SUM($BK419:$BO419))</f>
        <v/>
      </c>
      <c r="BQ419" s="92" t="str">
        <f aca="false">IF(ISBLANK($C419),"",IF(ISBLANK($D$7),$BQ$5,IF(NOT(ISNUMBER($D$7)),$BQ$6,"")))</f>
        <v/>
      </c>
      <c r="BR419" s="92" t="str">
        <f aca="false">IF(ISBLANK($C419),"",IF($BA419,Constants!$B$11,IF(COUNTA($E419:$AA419)=0,Constants!$B$10,IF(NOT($AG419),Constants!$B$9,IF(OR($BQ419&lt;&gt;"",$BB419,$BJ419),Constants!$B$12,Constants!$B$8)))))</f>
        <v/>
      </c>
      <c r="BS419" s="92" t="str">
        <f aca="false">IF(ISBLANK($C419),"",IF($BR419&lt;&gt;Constants!$B$8,$BR419,Constants!$B$13))</f>
        <v/>
      </c>
      <c r="BT419" s="96" t="str">
        <f aca="false">IF($BR419&lt;&gt;Constants!$B$8,"",IF($BI419="-&gt;",$BP419,$BH419))</f>
        <v/>
      </c>
      <c r="BU419" s="96" t="str">
        <f aca="false">IF($BR419&lt;&gt;Constants!$B$8,"",IF($AF419,0,Constants!$B$18))</f>
        <v/>
      </c>
      <c r="BV419" s="96" t="str">
        <f aca="false">IF($BR419&lt;&gt;Constants!$B$8,"",((Constants!$B$31-$AZ419)-Constants!$B$31)/Constants!$B$32)</f>
        <v/>
      </c>
      <c r="BW419" s="96" t="str">
        <f aca="false">IF(ISBLANK($C419),"",IF($BR419&lt;&gt;Constants!$B$8,$BR419,SUM($BT419:$BV419)))</f>
        <v/>
      </c>
      <c r="BX419" s="92" t="str">
        <f aca="false">IF(ISBLANK($C419),"",IF($BR419&lt;&gt;Constants!$B$8,$BR419,RANK($BW419,$BW$9:$BW$508,1)))</f>
        <v/>
      </c>
      <c r="BY419" s="96" t="str">
        <f aca="false">IF($BR419&lt;&gt;Constants!$B$8,"",IF($BI419="-&gt;",$BK419,$BC419))</f>
        <v/>
      </c>
      <c r="BZ419" s="92" t="str">
        <f aca="false">IF(ISBLANK($C419),"",IF($BR419&lt;&gt;Constants!$B$8,$BR419,IF(ISNUMBER($BY419),RANK($BY419,$BY$9:$BY$508,1),COUNT($BY$9:$BY$508)+1)))</f>
        <v/>
      </c>
      <c r="CA419" s="96" t="str">
        <f aca="false">IF($BR419&lt;&gt;Constants!$B$8,"",IF($BI419="-&gt;",$BL419,$BD419))</f>
        <v/>
      </c>
      <c r="CB419" s="92" t="str">
        <f aca="false">IF(ISBLANK($C419),"",IF($BR419&lt;&gt;Constants!$B$8,$BR419,IF(ISNUMBER($CA419),RANK($CA419,$CA$9:$CA$508,1),COUNT($CA$9:$CA$508)+1)))</f>
        <v/>
      </c>
      <c r="CC419" s="96" t="str">
        <f aca="false">IF($BR419&lt;&gt;Constants!$B$8,"",IF($BI419="-&gt;",IF($AT419,$AV419,""),IF($AL419,$AN419,"")))</f>
        <v/>
      </c>
      <c r="CD419" s="92" t="str">
        <f aca="false">IF(ISBLANK($C419),"",IF($BR419&lt;&gt;Constants!$B$8,$BR419,IF(ISNUMBER($CC419),RANK($CC419,$CC$9:$CC$508,1),COUNT($CC$9:$CC$508)+1)))</f>
        <v/>
      </c>
      <c r="CE419" s="96" t="str">
        <f aca="false">IF($BR419&lt;&gt;Constants!$B$8,"",IF(AND(NOT($AL419),NOT($AT419),$AJ419,$AK419,$AR419,$AS419),"",$AI419))</f>
        <v/>
      </c>
      <c r="CF419" s="92" t="str">
        <f aca="false">IF(ISBLANK($C419),"",IF($BR419&lt;&gt;Constants!$B$8,$BR419,IF(ISNUMBER($CE419),RANK($CE419,$CE$9:$CE$508,1),COUNT($CE$9:$CE$508)+1)))</f>
        <v/>
      </c>
      <c r="CG419" s="92" t="str">
        <f aca="false">IF(ISBLANK($C419),"",IF($BR419&lt;&gt;Constants!$B$8,$BR419,COUNTIFS($BX$9:$BX$508,"&lt;"&amp;$BX419)+COUNTIFS($BX$9:$BX$508,$BX419,$BZ$9:$BZ$508,"&lt;"&amp;$BZ419)+COUNTIFS($BX$9:$BX$508,$BX419,$BZ$9:$BZ$508,$BZ419,$CB$9:$CB$508,"&lt;"&amp;$CB419)+COUNTIFS($BX$9:$BX$508,$BX419,$BZ$9:$BZ$508,$BZ419,$CB$9:$CB$508,$CB419,$CD$9:$CD$508,"&lt;"&amp;$CD419)+COUNTIFS($BX$9:$BX$508,$BX419,$BZ$9:$BZ$508,$BZ419,$CB$9:$CB$508,$CB419,$CD$9:$CD$508,$CD419,$CF$9:$CF$508,"&lt;"&amp;$CF419)+1))</f>
        <v/>
      </c>
      <c r="CH419" s="92" t="str">
        <f aca="false">IF(ISBLANK($C419),"",IF($BR419&lt;&gt;Constants!$B$8,$BR419,$BX419-$CG419))</f>
        <v/>
      </c>
      <c r="CI419" s="98"/>
      <c r="CJ419" s="99"/>
      <c r="CK419" s="100" t="str">
        <f aca="false">IF(ISBLANK($C419),"",IF($BR419=Constants!$B$12,$BQ419,""))</f>
        <v/>
      </c>
      <c r="CL419" s="99" t="str">
        <f aca="false">IF(ISBLANK($C419),"",IF($BR419&lt;&gt;Constants!$B$8,"",IF($BI419="-&gt;",2,1)))</f>
        <v/>
      </c>
      <c r="CM419" s="101" t="str">
        <f aca="false">IF(ISBLANK($C419),"",IF($BR419&lt;&gt;Constants!$B$8,"",IF($BI419="-&gt;",$BK419,$BC419)))</f>
        <v/>
      </c>
      <c r="CN419" s="101" t="str">
        <f aca="false">IF(ISBLANK($C419),"",IF($BR419&lt;&gt;Constants!$B$8,"",IF($BI419="-&gt;",$BL419,$BD419)))</f>
        <v/>
      </c>
      <c r="CO419" s="101" t="str">
        <f aca="false">IF(ISBLANK($C419),"",IF($BR419&lt;&gt;Constants!$B$8,"",IF($BI419="-&gt;",$BM419+$BN419,$BE419+$BF419)+$BV419))</f>
        <v/>
      </c>
      <c r="CP419" s="101" t="str">
        <f aca="false">IF(ISBLANK($C419),"",IF($BR419&lt;&gt;Constants!$B$8,"",IF($BI419="-&gt;",$BO419,$BG419)+$BU419))</f>
        <v/>
      </c>
      <c r="CQ419" s="102" t="str">
        <f aca="false">IF(ISBLANK($C419),"",IF($BR419&lt;&gt;Constants!$B$8,$BR419,$BW419))</f>
        <v/>
      </c>
      <c r="CR419" s="103" t="str">
        <f aca="false">IF(ISBLANK($C419),"",$BS419)</f>
        <v/>
      </c>
      <c r="CS419" s="104" t="str">
        <f aca="false">IF(ISBLANK($C419),"",$CH419)</f>
        <v/>
      </c>
      <c r="CT419" s="104" t="str">
        <f aca="false">IF(ISBLANK($C419),"",$CG419)</f>
        <v/>
      </c>
      <c r="CU419" s="105" t="str">
        <f aca="false">IF(ISBLANK($C419),"",IFERROR(_xlfn.SWITCH($CT419,Constants!$B$11,COUNTA($C$9:$C$508)+2,Constants!$B$10,COUNTA($C$9:$C$508)+1,Constants!$B$9,COUNTA($C$9:$C$508)),$CT419))</f>
        <v/>
      </c>
      <c r="CV419" s="9"/>
      <c r="CW419" s="106" t="n">
        <f aca="false">IF(OR(ISNUMBER($CT419),$CT419=Constants!$B$11,$CT419=Constants!$B$9,$CT419=Constants!$B$10),1,0)</f>
        <v>0</v>
      </c>
      <c r="CX419" s="106" t="n">
        <v>411</v>
      </c>
      <c r="CY419" s="106" t="str">
        <f aca="false">IF(ISBLANK($C419),"",IF(ISNUMBER($CU419),$CU419+ROW($B419)/1000,""))</f>
        <v/>
      </c>
      <c r="CZ419" s="106" t="str">
        <f aca="false">IF(ISNUMBER($CY419),RANK($CY419,$CY$9:$CY$508,1),"")</f>
        <v/>
      </c>
      <c r="DA419" s="106" t="str">
        <f aca="false">IF(ISBLANK($C419),"",$B419)</f>
        <v/>
      </c>
      <c r="DB419" s="106" t="str">
        <f aca="false">IF(ISBLANK($C419),"",$C419)</f>
        <v/>
      </c>
      <c r="DC419" s="106" t="str">
        <f aca="false">IF(ISBLANK($C419),"",$D419)</f>
        <v/>
      </c>
      <c r="DD419" s="107" t="str">
        <f aca="false">$CR419</f>
        <v/>
      </c>
      <c r="DE419" s="108" t="str">
        <f aca="false">$CQ419</f>
        <v/>
      </c>
      <c r="DF419" s="106" t="str">
        <f aca="false">IF(ISBLANK($C419),"",$CT419)</f>
        <v/>
      </c>
      <c r="DG419" s="109" t="str">
        <f aca="false">IF($CX419&gt;$CW$8,"",VLOOKUP($CX419,$CZ$9:$DF$508,7,FALSE()))</f>
        <v/>
      </c>
      <c r="DH419" s="110" t="str">
        <f aca="false">IF($CX419&gt;$CW$8,"",VLOOKUP($CX419,$CZ$9:$DF$508,2,FALSE()))</f>
        <v/>
      </c>
      <c r="DI419" s="110" t="str">
        <f aca="false">IF($CX419&gt;$CW$8,"",VLOOKUP($CX419,$CZ$9:$DF$508,3,FALSE()))</f>
        <v/>
      </c>
      <c r="DJ419" s="110" t="str">
        <f aca="false">IF($CX419&gt;$CW$8,"",VLOOKUP($CX419,$CZ$9:$DF$508,4,FALSE()))</f>
        <v/>
      </c>
      <c r="DK419" s="110" t="str">
        <f aca="false">IF($CX419&gt;$CW$8,"",VLOOKUP($CX419,$CZ$9:$DF$508,5,FALSE()))</f>
        <v/>
      </c>
      <c r="DL419" s="111" t="str">
        <f aca="false">IF($CX419&gt;$CW$8,"",VLOOKUP($CX419,$CZ$9:$DF$508,6,FALSE()))</f>
        <v/>
      </c>
      <c r="DM419" s="75"/>
    </row>
    <row r="420" customFormat="false" ht="15.75" hidden="false" customHeight="false" outlineLevel="0" collapsed="false">
      <c r="A420" s="9"/>
      <c r="B420" s="157"/>
      <c r="C420" s="158"/>
      <c r="D420" s="159"/>
      <c r="E420" s="177"/>
      <c r="F420" s="161"/>
      <c r="G420" s="162"/>
      <c r="H420" s="162"/>
      <c r="I420" s="178"/>
      <c r="J420" s="165"/>
      <c r="K420" s="126"/>
      <c r="L420" s="127"/>
      <c r="M420" s="128"/>
      <c r="N420" s="165"/>
      <c r="O420" s="165"/>
      <c r="P420" s="177"/>
      <c r="Q420" s="165"/>
      <c r="R420" s="165"/>
      <c r="S420" s="126"/>
      <c r="T420" s="128"/>
      <c r="U420" s="128"/>
      <c r="V420" s="165"/>
      <c r="W420" s="165"/>
      <c r="X420" s="177"/>
      <c r="Y420" s="165"/>
      <c r="Z420" s="166"/>
      <c r="AA420" s="165"/>
      <c r="AB420" s="132"/>
      <c r="AC420" s="133"/>
      <c r="AD420" s="133"/>
      <c r="AE420" s="133"/>
      <c r="AF420" s="133" t="str">
        <f aca="false">IF(ISBLANK($C420),"",IF(E420=Constants!$B$3,TRUE(),IF(E420=Constants!$B$4,FALSE(),TRUE())))</f>
        <v/>
      </c>
      <c r="AG420" s="133" t="str">
        <f aca="false">IF(ISBLANK($C420),"",IF(F420=Constants!$B$3,TRUE(),IF(F420=Constants!$B$4,FALSE(),TRUE())))</f>
        <v/>
      </c>
      <c r="AH420" s="133" t="str">
        <f aca="false">IF(ISBLANK($C420),"",IF(G420=Constants!$B$3,TRUE(),IF(G420=Constants!$B$4,FALSE(),TRUE())))</f>
        <v/>
      </c>
      <c r="AI420" s="133" t="str">
        <f aca="false">IF(ISBLANK($C420),"",IF(AND(ISNUMBER(H420),H420&gt;=0),H420,Constants!$B$29))</f>
        <v/>
      </c>
      <c r="AJ420" s="133" t="str">
        <f aca="false">IF(ISBLANK($C420),"",IF(I420=Constants!$B$3,TRUE(),IF(I420=Constants!$B$4,FALSE(),TRUE())))</f>
        <v/>
      </c>
      <c r="AK420" s="133" t="str">
        <f aca="false">IF(ISBLANK($C420),"",IF(J420=Constants!$B$3,TRUE(),IF(J420=Constants!$B$4,FALSE(),TRUE())))</f>
        <v/>
      </c>
      <c r="AL420" s="133" t="str">
        <f aca="false">IF(ISBLANK($C420),"",IF(K420=Constants!$B$5,TRUE(),IF(K420=Constants!$B$6,FALSE(),COUNTA(L420:P420)&gt;0)))</f>
        <v/>
      </c>
      <c r="AM420" s="134" t="str">
        <f aca="false">IF(ISBLANK($C420),"",IF(ISNUMBER(L420),IF(L420&gt;=0,L420,""),""))</f>
        <v/>
      </c>
      <c r="AN420" s="135" t="str">
        <f aca="false">IF(ISBLANK($C420),"",IF(ISNUMBER(M420),IF(M420&gt;=0,M420,""),""))</f>
        <v/>
      </c>
      <c r="AO420" s="135" t="str">
        <f aca="false">IF(ISBLANK($C420),"",IF(N420=Constants!$B$3,TRUE(),IF(N420=Constants!$B$4,FALSE(),TRUE())))</f>
        <v/>
      </c>
      <c r="AP420" s="133" t="str">
        <f aca="false">IF(ISBLANK($C420),"",IF(ISNUMBER(O420),IF(O420&gt;=0,O420,""),""))</f>
        <v/>
      </c>
      <c r="AQ420" s="133" t="str">
        <f aca="false">IF(ISBLANK($C420),"",IF(P420=Constants!$B$3,TRUE(),IF(P420=Constants!$B$4,FALSE(),FALSE())))</f>
        <v/>
      </c>
      <c r="AR420" s="133" t="str">
        <f aca="false">IF(ISBLANK($C420),"",IF(Q420=Constants!$B$3,TRUE(),IF(Q420=Constants!$B$4,FALSE(),TRUE())))</f>
        <v/>
      </c>
      <c r="AS420" s="133" t="str">
        <f aca="false">IF(ISBLANK($C420),"",IF(R420=Constants!$B$3,TRUE(),IF(R420=Constants!$B$4,FALSE(),TRUE())))</f>
        <v/>
      </c>
      <c r="AT420" s="133" t="str">
        <f aca="false">IF(ISBLANK($C420),"",IF(S420=Constants!$B$5,TRUE(),IF(S420=Constants!$B$6,FALSE(),COUNTA(T420:X420)&gt;0)))</f>
        <v/>
      </c>
      <c r="AU420" s="134" t="str">
        <f aca="false">IF(ISBLANK($C420),"",IF(ISNUMBER(T420),IF(T420&gt;=0,T420,""),""))</f>
        <v/>
      </c>
      <c r="AV420" s="135" t="str">
        <f aca="false">IF(ISBLANK($C420),"",IF(ISNUMBER(U420),IF(U420&gt;=0,U420,""),""))</f>
        <v/>
      </c>
      <c r="AW420" s="135" t="str">
        <f aca="false">IF(ISBLANK($C420),"",IF(V420=Constants!$B$3,TRUE(),IF(V420=Constants!$B$4,FALSE(),TRUE())))</f>
        <v/>
      </c>
      <c r="AX420" s="133" t="str">
        <f aca="false">IF(ISBLANK($C420),"",IF(ISNUMBER(W420),IF(W420&gt;=0,W420,""),""))</f>
        <v/>
      </c>
      <c r="AY420" s="133" t="str">
        <f aca="false">IF(ISBLANK($C420),"",IF(X420=Constants!$B$3,TRUE(),IF(X420=Constants!$B$4,FALSE(),FALSE())))</f>
        <v/>
      </c>
      <c r="AZ420" s="133" t="str">
        <f aca="false">IF(ISBLANK($C420),"",MIN(Constants!$B$31,MAX(0,IF(ISNUMBER(Y420),Y420*60,0)+IF(ISNUMBER(Z420),Z420,0))))</f>
        <v/>
      </c>
      <c r="BA420" s="133" t="str">
        <f aca="false">IF(ISBLANK($C420),"",IF(AA420=Constants!$B$3,TRUE(),IF(AA420=Constants!$B$4,FALSE(),FALSE())))</f>
        <v/>
      </c>
      <c r="BB420" s="132" t="str">
        <f aca="false">IF(ISBLANK($C420),"",AND($AL420,OR($AM420="",$AN420="",AND($AO420,$AP420=""))))</f>
        <v/>
      </c>
      <c r="BC420" s="135" t="str">
        <f aca="false">IF($BR420&lt;&gt;Constants!$B$8,"",IF($AL420,Constants!$B$21*$AN420+Constants!$B$22*IF($AO420,$AP420,Constants!$B$23),Constants!$B$24))</f>
        <v/>
      </c>
      <c r="BD420" s="136" t="str">
        <f aca="false">IF($BR420&lt;&gt;Constants!$B$8,"",Constants!$B$25*ABS($AD$9-IF($AL420,$AM420,0)))</f>
        <v/>
      </c>
      <c r="BE420" s="136" t="str">
        <f aca="false">IF($BR420&lt;&gt;Constants!$B$8,"",IF(AND($AL420,$AQ420,$AO420),Constants!$B$27,0))</f>
        <v/>
      </c>
      <c r="BF420" s="136" t="str">
        <f aca="false">IF($BR420&lt;&gt;Constants!$B$8,"",IF($AL420,($AI420-Constants!$B$29)*Constants!$B$28,0))</f>
        <v/>
      </c>
      <c r="BG420" s="136" t="str">
        <f aca="false">IF($BR420&lt;&gt;Constants!$B$8,"",IF($AK420,0,Constants!$B$15)+IF($AJ420,0,Constants!$B$16)+IF($AH420,0,Constants!$B$17))</f>
        <v/>
      </c>
      <c r="BH420" s="137" t="str">
        <f aca="false">IF($BR420&lt;&gt;Constants!$B$8,"",Constants!$B$20+SUM($BC420:$BG420))</f>
        <v/>
      </c>
      <c r="BI420" s="133" t="str">
        <f aca="false">IF($BR420&lt;&gt;Constants!$B$8,"",IF(OR($BP420&lt;$BH420,AND($BP420=$BH420,OR($BK420&lt;$BC420,AND($BK420=$BC420,OR($BL420&lt;$BD420,AND($BL420=$BD420,$AT420,$AL420,$AV420&lt;$AN420)))))),"-&gt;","&lt;-"))</f>
        <v/>
      </c>
      <c r="BJ420" s="132" t="str">
        <f aca="false">IF(ISBLANK($C420),"",AND($AT420,OR($AU420="",$AV420="",AND($AW420,$AX420=""))))</f>
        <v/>
      </c>
      <c r="BK420" s="135" t="str">
        <f aca="false">IF($BR420&lt;&gt;Constants!$B$8,"",IF($AT420,Constants!$B$21*$AV420+Constants!$B$22*IF($AW420,$AX420,Constants!$B$23),Constants!$B$24))</f>
        <v/>
      </c>
      <c r="BL420" s="136" t="str">
        <f aca="false">IF($BR420&lt;&gt;Constants!$B$8,"",Constants!$B$25*ABS($AD$9-IF($AT420,$AU420,0)))</f>
        <v/>
      </c>
      <c r="BM420" s="136" t="str">
        <f aca="false">IF($BR420&lt;&gt;Constants!$B$8,"",IF(AND($AT420,$AY420,$AW420),Constants!$B$27,0))</f>
        <v/>
      </c>
      <c r="BN420" s="136" t="str">
        <f aca="false">IF($BR420&lt;&gt;Constants!$B$8,"",IF($AT420,($AI420-Constants!$B$29)*Constants!$B$28,0))</f>
        <v/>
      </c>
      <c r="BO420" s="136" t="str">
        <f aca="false">IF($BR420&lt;&gt;Constants!$B$8,"",IF($AS420,0,Constants!$B$15)+IF($AR420,0,Constants!$B$16)+IF($AH420,0,Constants!$B$17))</f>
        <v/>
      </c>
      <c r="BP420" s="137" t="str">
        <f aca="false">IF($BR420&lt;&gt;Constants!$B$8,"",Constants!$B$20+SUM($BK420:$BO420))</f>
        <v/>
      </c>
      <c r="BQ420" s="133" t="str">
        <f aca="false">IF(ISBLANK($C420),"",IF(ISBLANK($D$7),$BQ$5,IF(NOT(ISNUMBER($D$7)),$BQ$6,"")))</f>
        <v/>
      </c>
      <c r="BR420" s="133" t="str">
        <f aca="false">IF(ISBLANK($C420),"",IF($BA420,Constants!$B$11,IF(COUNTA($E420:$AA420)=0,Constants!$B$10,IF(NOT($AG420),Constants!$B$9,IF(OR($BQ420&lt;&gt;"",$BB420,$BJ420),Constants!$B$12,Constants!$B$8)))))</f>
        <v/>
      </c>
      <c r="BS420" s="133" t="str">
        <f aca="false">IF(ISBLANK($C420),"",IF($BR420&lt;&gt;Constants!$B$8,$BR420,Constants!$B$13))</f>
        <v/>
      </c>
      <c r="BT420" s="136" t="str">
        <f aca="false">IF($BR420&lt;&gt;Constants!$B$8,"",IF($BI420="-&gt;",$BP420,$BH420))</f>
        <v/>
      </c>
      <c r="BU420" s="136" t="str">
        <f aca="false">IF($BR420&lt;&gt;Constants!$B$8,"",IF($AF420,0,Constants!$B$18))</f>
        <v/>
      </c>
      <c r="BV420" s="136" t="str">
        <f aca="false">IF($BR420&lt;&gt;Constants!$B$8,"",((Constants!$B$31-$AZ420)-Constants!$B$31)/Constants!$B$32)</f>
        <v/>
      </c>
      <c r="BW420" s="136" t="str">
        <f aca="false">IF(ISBLANK($C420),"",IF($BR420&lt;&gt;Constants!$B$8,$BR420,SUM($BT420:$BV420)))</f>
        <v/>
      </c>
      <c r="BX420" s="133" t="str">
        <f aca="false">IF(ISBLANK($C420),"",IF($BR420&lt;&gt;Constants!$B$8,$BR420,RANK($BW420,$BW$9:$BW$508,1)))</f>
        <v/>
      </c>
      <c r="BY420" s="136" t="str">
        <f aca="false">IF($BR420&lt;&gt;Constants!$B$8,"",IF($BI420="-&gt;",$BK420,$BC420))</f>
        <v/>
      </c>
      <c r="BZ420" s="133" t="str">
        <f aca="false">IF(ISBLANK($C420),"",IF($BR420&lt;&gt;Constants!$B$8,$BR420,IF(ISNUMBER($BY420),RANK($BY420,$BY$9:$BY$508,1),COUNT($BY$9:$BY$508)+1)))</f>
        <v/>
      </c>
      <c r="CA420" s="136" t="str">
        <f aca="false">IF($BR420&lt;&gt;Constants!$B$8,"",IF($BI420="-&gt;",$BL420,$BD420))</f>
        <v/>
      </c>
      <c r="CB420" s="133" t="str">
        <f aca="false">IF(ISBLANK($C420),"",IF($BR420&lt;&gt;Constants!$B$8,$BR420,IF(ISNUMBER($CA420),RANK($CA420,$CA$9:$CA$508,1),COUNT($CA$9:$CA$508)+1)))</f>
        <v/>
      </c>
      <c r="CC420" s="136" t="str">
        <f aca="false">IF($BR420&lt;&gt;Constants!$B$8,"",IF($BI420="-&gt;",IF($AT420,$AV420,""),IF($AL420,$AN420,"")))</f>
        <v/>
      </c>
      <c r="CD420" s="133" t="str">
        <f aca="false">IF(ISBLANK($C420),"",IF($BR420&lt;&gt;Constants!$B$8,$BR420,IF(ISNUMBER($CC420),RANK($CC420,$CC$9:$CC$508,1),COUNT($CC$9:$CC$508)+1)))</f>
        <v/>
      </c>
      <c r="CE420" s="136" t="str">
        <f aca="false">IF($BR420&lt;&gt;Constants!$B$8,"",IF(AND(NOT($AL420),NOT($AT420),$AJ420,$AK420,$AR420,$AS420),"",$AI420))</f>
        <v/>
      </c>
      <c r="CF420" s="133" t="str">
        <f aca="false">IF(ISBLANK($C420),"",IF($BR420&lt;&gt;Constants!$B$8,$BR420,IF(ISNUMBER($CE420),RANK($CE420,$CE$9:$CE$508,1),COUNT($CE$9:$CE$508)+1)))</f>
        <v/>
      </c>
      <c r="CG420" s="133" t="str">
        <f aca="false">IF(ISBLANK($C420),"",IF($BR420&lt;&gt;Constants!$B$8,$BR420,COUNTIFS($BX$9:$BX$508,"&lt;"&amp;$BX420)+COUNTIFS($BX$9:$BX$508,$BX420,$BZ$9:$BZ$508,"&lt;"&amp;$BZ420)+COUNTIFS($BX$9:$BX$508,$BX420,$BZ$9:$BZ$508,$BZ420,$CB$9:$CB$508,"&lt;"&amp;$CB420)+COUNTIFS($BX$9:$BX$508,$BX420,$BZ$9:$BZ$508,$BZ420,$CB$9:$CB$508,$CB420,$CD$9:$CD$508,"&lt;"&amp;$CD420)+COUNTIFS($BX$9:$BX$508,$BX420,$BZ$9:$BZ$508,$BZ420,$CB$9:$CB$508,$CB420,$CD$9:$CD$508,$CD420,$CF$9:$CF$508,"&lt;"&amp;$CF420)+1))</f>
        <v/>
      </c>
      <c r="CH420" s="133" t="str">
        <f aca="false">IF(ISBLANK($C420),"",IF($BR420&lt;&gt;Constants!$B$8,$BR420,$BX420-$CG420))</f>
        <v/>
      </c>
      <c r="CI420" s="138"/>
      <c r="CJ420" s="139"/>
      <c r="CK420" s="140" t="str">
        <f aca="false">IF(ISBLANK($C420),"",IF($BR420=Constants!$B$12,$BQ420,""))</f>
        <v/>
      </c>
      <c r="CL420" s="139" t="str">
        <f aca="false">IF(ISBLANK($C420),"",IF($BR420&lt;&gt;Constants!$B$8,"",IF($BI420="-&gt;",2,1)))</f>
        <v/>
      </c>
      <c r="CM420" s="141" t="str">
        <f aca="false">IF(ISBLANK($C420),"",IF($BR420&lt;&gt;Constants!$B$8,"",IF($BI420="-&gt;",$BK420,$BC420)))</f>
        <v/>
      </c>
      <c r="CN420" s="141" t="str">
        <f aca="false">IF(ISBLANK($C420),"",IF($BR420&lt;&gt;Constants!$B$8,"",IF($BI420="-&gt;",$BL420,$BD420)))</f>
        <v/>
      </c>
      <c r="CO420" s="141" t="str">
        <f aca="false">IF(ISBLANK($C420),"",IF($BR420&lt;&gt;Constants!$B$8,"",IF($BI420="-&gt;",$BM420+$BN420,$BE420+$BF420)+$BV420))</f>
        <v/>
      </c>
      <c r="CP420" s="141" t="str">
        <f aca="false">IF(ISBLANK($C420),"",IF($BR420&lt;&gt;Constants!$B$8,"",IF($BI420="-&gt;",$BO420,$BG420)+$BU420))</f>
        <v/>
      </c>
      <c r="CQ420" s="142" t="str">
        <f aca="false">IF(ISBLANK($C420),"",IF($BR420&lt;&gt;Constants!$B$8,$BR420,$BW420))</f>
        <v/>
      </c>
      <c r="CR420" s="143" t="str">
        <f aca="false">IF(ISBLANK($C420),"",$BS420)</f>
        <v/>
      </c>
      <c r="CS420" s="144" t="str">
        <f aca="false">IF(ISBLANK($C420),"",$CH420)</f>
        <v/>
      </c>
      <c r="CT420" s="144" t="str">
        <f aca="false">IF(ISBLANK($C420),"",$CG420)</f>
        <v/>
      </c>
      <c r="CU420" s="145" t="str">
        <f aca="false">IF(ISBLANK($C420),"",IFERROR(_xlfn.SWITCH($CT420,Constants!$B$11,COUNTA($C$9:$C$508)+2,Constants!$B$10,COUNTA($C$9:$C$508)+1,Constants!$B$9,COUNTA($C$9:$C$508)),$CT420))</f>
        <v/>
      </c>
      <c r="CV420" s="9"/>
      <c r="CW420" s="146" t="n">
        <f aca="false">IF(OR(ISNUMBER($CT420),$CT420=Constants!$B$11,$CT420=Constants!$B$9,$CT420=Constants!$B$10),1,0)</f>
        <v>0</v>
      </c>
      <c r="CX420" s="146" t="n">
        <v>412</v>
      </c>
      <c r="CY420" s="146" t="str">
        <f aca="false">IF(ISBLANK($C420),"",IF(ISNUMBER($CU420),$CU420+ROW($B420)/1000,""))</f>
        <v/>
      </c>
      <c r="CZ420" s="146" t="str">
        <f aca="false">IF(ISNUMBER($CY420),RANK($CY420,$CY$9:$CY$508,1),"")</f>
        <v/>
      </c>
      <c r="DA420" s="146" t="str">
        <f aca="false">IF(ISBLANK($C420),"",$B420)</f>
        <v/>
      </c>
      <c r="DB420" s="146" t="str">
        <f aca="false">IF(ISBLANK($C420),"",$C420)</f>
        <v/>
      </c>
      <c r="DC420" s="146" t="str">
        <f aca="false">IF(ISBLANK($C420),"",$D420)</f>
        <v/>
      </c>
      <c r="DD420" s="147" t="str">
        <f aca="false">$CR420</f>
        <v/>
      </c>
      <c r="DE420" s="148" t="str">
        <f aca="false">$CQ420</f>
        <v/>
      </c>
      <c r="DF420" s="146" t="str">
        <f aca="false">IF(ISBLANK($C420),"",$CT420)</f>
        <v/>
      </c>
      <c r="DG420" s="149" t="str">
        <f aca="false">IF($CX420&gt;$CW$8,"",VLOOKUP($CX420,$CZ$9:$DF$508,7,FALSE()))</f>
        <v/>
      </c>
      <c r="DH420" s="150" t="str">
        <f aca="false">IF($CX420&gt;$CW$8,"",VLOOKUP($CX420,$CZ$9:$DF$508,2,FALSE()))</f>
        <v/>
      </c>
      <c r="DI420" s="150" t="str">
        <f aca="false">IF($CX420&gt;$CW$8,"",VLOOKUP($CX420,$CZ$9:$DF$508,3,FALSE()))</f>
        <v/>
      </c>
      <c r="DJ420" s="150" t="str">
        <f aca="false">IF($CX420&gt;$CW$8,"",VLOOKUP($CX420,$CZ$9:$DF$508,4,FALSE()))</f>
        <v/>
      </c>
      <c r="DK420" s="150" t="str">
        <f aca="false">IF($CX420&gt;$CW$8,"",VLOOKUP($CX420,$CZ$9:$DF$508,5,FALSE()))</f>
        <v/>
      </c>
      <c r="DL420" s="151" t="str">
        <f aca="false">IF($CX420&gt;$CW$8,"",VLOOKUP($CX420,$CZ$9:$DF$508,6,FALSE()))</f>
        <v/>
      </c>
      <c r="DM420" s="75"/>
    </row>
    <row r="421" customFormat="false" ht="15.75" hidden="false" customHeight="false" outlineLevel="0" collapsed="false">
      <c r="A421" s="9"/>
      <c r="B421" s="157"/>
      <c r="C421" s="158"/>
      <c r="D421" s="159"/>
      <c r="E421" s="177"/>
      <c r="F421" s="161"/>
      <c r="G421" s="162"/>
      <c r="H421" s="162"/>
      <c r="I421" s="178"/>
      <c r="J421" s="165"/>
      <c r="K421" s="126"/>
      <c r="L421" s="127"/>
      <c r="M421" s="128"/>
      <c r="N421" s="165"/>
      <c r="O421" s="165"/>
      <c r="P421" s="177"/>
      <c r="Q421" s="165"/>
      <c r="R421" s="165"/>
      <c r="S421" s="126"/>
      <c r="T421" s="128"/>
      <c r="U421" s="128"/>
      <c r="V421" s="165"/>
      <c r="W421" s="165"/>
      <c r="X421" s="177"/>
      <c r="Y421" s="165"/>
      <c r="Z421" s="166"/>
      <c r="AA421" s="165"/>
      <c r="AB421" s="132"/>
      <c r="AC421" s="133"/>
      <c r="AD421" s="133"/>
      <c r="AE421" s="133"/>
      <c r="AF421" s="133" t="str">
        <f aca="false">IF(ISBLANK($C421),"",IF(E421=Constants!$B$3,TRUE(),IF(E421=Constants!$B$4,FALSE(),TRUE())))</f>
        <v/>
      </c>
      <c r="AG421" s="133" t="str">
        <f aca="false">IF(ISBLANK($C421),"",IF(F421=Constants!$B$3,TRUE(),IF(F421=Constants!$B$4,FALSE(),TRUE())))</f>
        <v/>
      </c>
      <c r="AH421" s="133" t="str">
        <f aca="false">IF(ISBLANK($C421),"",IF(G421=Constants!$B$3,TRUE(),IF(G421=Constants!$B$4,FALSE(),TRUE())))</f>
        <v/>
      </c>
      <c r="AI421" s="133" t="str">
        <f aca="false">IF(ISBLANK($C421),"",IF(AND(ISNUMBER(H421),H421&gt;=0),H421,Constants!$B$29))</f>
        <v/>
      </c>
      <c r="AJ421" s="133" t="str">
        <f aca="false">IF(ISBLANK($C421),"",IF(I421=Constants!$B$3,TRUE(),IF(I421=Constants!$B$4,FALSE(),TRUE())))</f>
        <v/>
      </c>
      <c r="AK421" s="133" t="str">
        <f aca="false">IF(ISBLANK($C421),"",IF(J421=Constants!$B$3,TRUE(),IF(J421=Constants!$B$4,FALSE(),TRUE())))</f>
        <v/>
      </c>
      <c r="AL421" s="133" t="str">
        <f aca="false">IF(ISBLANK($C421),"",IF(K421=Constants!$B$5,TRUE(),IF(K421=Constants!$B$6,FALSE(),COUNTA(L421:P421)&gt;0)))</f>
        <v/>
      </c>
      <c r="AM421" s="134" t="str">
        <f aca="false">IF(ISBLANK($C421),"",IF(ISNUMBER(L421),IF(L421&gt;=0,L421,""),""))</f>
        <v/>
      </c>
      <c r="AN421" s="135" t="str">
        <f aca="false">IF(ISBLANK($C421),"",IF(ISNUMBER(M421),IF(M421&gt;=0,M421,""),""))</f>
        <v/>
      </c>
      <c r="AO421" s="135" t="str">
        <f aca="false">IF(ISBLANK($C421),"",IF(N421=Constants!$B$3,TRUE(),IF(N421=Constants!$B$4,FALSE(),TRUE())))</f>
        <v/>
      </c>
      <c r="AP421" s="133" t="str">
        <f aca="false">IF(ISBLANK($C421),"",IF(ISNUMBER(O421),IF(O421&gt;=0,O421,""),""))</f>
        <v/>
      </c>
      <c r="AQ421" s="133" t="str">
        <f aca="false">IF(ISBLANK($C421),"",IF(P421=Constants!$B$3,TRUE(),IF(P421=Constants!$B$4,FALSE(),FALSE())))</f>
        <v/>
      </c>
      <c r="AR421" s="133" t="str">
        <f aca="false">IF(ISBLANK($C421),"",IF(Q421=Constants!$B$3,TRUE(),IF(Q421=Constants!$B$4,FALSE(),TRUE())))</f>
        <v/>
      </c>
      <c r="AS421" s="133" t="str">
        <f aca="false">IF(ISBLANK($C421),"",IF(R421=Constants!$B$3,TRUE(),IF(R421=Constants!$B$4,FALSE(),TRUE())))</f>
        <v/>
      </c>
      <c r="AT421" s="133" t="str">
        <f aca="false">IF(ISBLANK($C421),"",IF(S421=Constants!$B$5,TRUE(),IF(S421=Constants!$B$6,FALSE(),COUNTA(T421:X421)&gt;0)))</f>
        <v/>
      </c>
      <c r="AU421" s="134" t="str">
        <f aca="false">IF(ISBLANK($C421),"",IF(ISNUMBER(T421),IF(T421&gt;=0,T421,""),""))</f>
        <v/>
      </c>
      <c r="AV421" s="135" t="str">
        <f aca="false">IF(ISBLANK($C421),"",IF(ISNUMBER(U421),IF(U421&gt;=0,U421,""),""))</f>
        <v/>
      </c>
      <c r="AW421" s="135" t="str">
        <f aca="false">IF(ISBLANK($C421),"",IF(V421=Constants!$B$3,TRUE(),IF(V421=Constants!$B$4,FALSE(),TRUE())))</f>
        <v/>
      </c>
      <c r="AX421" s="133" t="str">
        <f aca="false">IF(ISBLANK($C421),"",IF(ISNUMBER(W421),IF(W421&gt;=0,W421,""),""))</f>
        <v/>
      </c>
      <c r="AY421" s="133" t="str">
        <f aca="false">IF(ISBLANK($C421),"",IF(X421=Constants!$B$3,TRUE(),IF(X421=Constants!$B$4,FALSE(),FALSE())))</f>
        <v/>
      </c>
      <c r="AZ421" s="133" t="str">
        <f aca="false">IF(ISBLANK($C421),"",MIN(Constants!$B$31,MAX(0,IF(ISNUMBER(Y421),Y421*60,0)+IF(ISNUMBER(Z421),Z421,0))))</f>
        <v/>
      </c>
      <c r="BA421" s="133" t="str">
        <f aca="false">IF(ISBLANK($C421),"",IF(AA421=Constants!$B$3,TRUE(),IF(AA421=Constants!$B$4,FALSE(),FALSE())))</f>
        <v/>
      </c>
      <c r="BB421" s="132" t="str">
        <f aca="false">IF(ISBLANK($C421),"",AND($AL421,OR($AM421="",$AN421="",AND($AO421,$AP421=""))))</f>
        <v/>
      </c>
      <c r="BC421" s="135" t="str">
        <f aca="false">IF($BR421&lt;&gt;Constants!$B$8,"",IF($AL421,Constants!$B$21*$AN421+Constants!$B$22*IF($AO421,$AP421,Constants!$B$23),Constants!$B$24))</f>
        <v/>
      </c>
      <c r="BD421" s="136" t="str">
        <f aca="false">IF($BR421&lt;&gt;Constants!$B$8,"",Constants!$B$25*ABS($AD$9-IF($AL421,$AM421,0)))</f>
        <v/>
      </c>
      <c r="BE421" s="136" t="str">
        <f aca="false">IF($BR421&lt;&gt;Constants!$B$8,"",IF(AND($AL421,$AQ421,$AO421),Constants!$B$27,0))</f>
        <v/>
      </c>
      <c r="BF421" s="136" t="str">
        <f aca="false">IF($BR421&lt;&gt;Constants!$B$8,"",IF($AL421,($AI421-Constants!$B$29)*Constants!$B$28,0))</f>
        <v/>
      </c>
      <c r="BG421" s="136" t="str">
        <f aca="false">IF($BR421&lt;&gt;Constants!$B$8,"",IF($AK421,0,Constants!$B$15)+IF($AJ421,0,Constants!$B$16)+IF($AH421,0,Constants!$B$17))</f>
        <v/>
      </c>
      <c r="BH421" s="137" t="str">
        <f aca="false">IF($BR421&lt;&gt;Constants!$B$8,"",Constants!$B$20+SUM($BC421:$BG421))</f>
        <v/>
      </c>
      <c r="BI421" s="133" t="str">
        <f aca="false">IF($BR421&lt;&gt;Constants!$B$8,"",IF(OR($BP421&lt;$BH421,AND($BP421=$BH421,OR($BK421&lt;$BC421,AND($BK421=$BC421,OR($BL421&lt;$BD421,AND($BL421=$BD421,$AT421,$AL421,$AV421&lt;$AN421)))))),"-&gt;","&lt;-"))</f>
        <v/>
      </c>
      <c r="BJ421" s="132" t="str">
        <f aca="false">IF(ISBLANK($C421),"",AND($AT421,OR($AU421="",$AV421="",AND($AW421,$AX421=""))))</f>
        <v/>
      </c>
      <c r="BK421" s="135" t="str">
        <f aca="false">IF($BR421&lt;&gt;Constants!$B$8,"",IF($AT421,Constants!$B$21*$AV421+Constants!$B$22*IF($AW421,$AX421,Constants!$B$23),Constants!$B$24))</f>
        <v/>
      </c>
      <c r="BL421" s="136" t="str">
        <f aca="false">IF($BR421&lt;&gt;Constants!$B$8,"",Constants!$B$25*ABS($AD$9-IF($AT421,$AU421,0)))</f>
        <v/>
      </c>
      <c r="BM421" s="136" t="str">
        <f aca="false">IF($BR421&lt;&gt;Constants!$B$8,"",IF(AND($AT421,$AY421,$AW421),Constants!$B$27,0))</f>
        <v/>
      </c>
      <c r="BN421" s="136" t="str">
        <f aca="false">IF($BR421&lt;&gt;Constants!$B$8,"",IF($AT421,($AI421-Constants!$B$29)*Constants!$B$28,0))</f>
        <v/>
      </c>
      <c r="BO421" s="136" t="str">
        <f aca="false">IF($BR421&lt;&gt;Constants!$B$8,"",IF($AS421,0,Constants!$B$15)+IF($AR421,0,Constants!$B$16)+IF($AH421,0,Constants!$B$17))</f>
        <v/>
      </c>
      <c r="BP421" s="137" t="str">
        <f aca="false">IF($BR421&lt;&gt;Constants!$B$8,"",Constants!$B$20+SUM($BK421:$BO421))</f>
        <v/>
      </c>
      <c r="BQ421" s="133" t="str">
        <f aca="false">IF(ISBLANK($C421),"",IF(ISBLANK($D$7),$BQ$5,IF(NOT(ISNUMBER($D$7)),$BQ$6,"")))</f>
        <v/>
      </c>
      <c r="BR421" s="133" t="str">
        <f aca="false">IF(ISBLANK($C421),"",IF($BA421,Constants!$B$11,IF(COUNTA($E421:$AA421)=0,Constants!$B$10,IF(NOT($AG421),Constants!$B$9,IF(OR($BQ421&lt;&gt;"",$BB421,$BJ421),Constants!$B$12,Constants!$B$8)))))</f>
        <v/>
      </c>
      <c r="BS421" s="133" t="str">
        <f aca="false">IF(ISBLANK($C421),"",IF($BR421&lt;&gt;Constants!$B$8,$BR421,Constants!$B$13))</f>
        <v/>
      </c>
      <c r="BT421" s="136" t="str">
        <f aca="false">IF($BR421&lt;&gt;Constants!$B$8,"",IF($BI421="-&gt;",$BP421,$BH421))</f>
        <v/>
      </c>
      <c r="BU421" s="136" t="str">
        <f aca="false">IF($BR421&lt;&gt;Constants!$B$8,"",IF($AF421,0,Constants!$B$18))</f>
        <v/>
      </c>
      <c r="BV421" s="136" t="str">
        <f aca="false">IF($BR421&lt;&gt;Constants!$B$8,"",((Constants!$B$31-$AZ421)-Constants!$B$31)/Constants!$B$32)</f>
        <v/>
      </c>
      <c r="BW421" s="136" t="str">
        <f aca="false">IF(ISBLANK($C421),"",IF($BR421&lt;&gt;Constants!$B$8,$BR421,SUM($BT421:$BV421)))</f>
        <v/>
      </c>
      <c r="BX421" s="133" t="str">
        <f aca="false">IF(ISBLANK($C421),"",IF($BR421&lt;&gt;Constants!$B$8,$BR421,RANK($BW421,$BW$9:$BW$508,1)))</f>
        <v/>
      </c>
      <c r="BY421" s="136" t="str">
        <f aca="false">IF($BR421&lt;&gt;Constants!$B$8,"",IF($BI421="-&gt;",$BK421,$BC421))</f>
        <v/>
      </c>
      <c r="BZ421" s="133" t="str">
        <f aca="false">IF(ISBLANK($C421),"",IF($BR421&lt;&gt;Constants!$B$8,$BR421,IF(ISNUMBER($BY421),RANK($BY421,$BY$9:$BY$508,1),COUNT($BY$9:$BY$508)+1)))</f>
        <v/>
      </c>
      <c r="CA421" s="136" t="str">
        <f aca="false">IF($BR421&lt;&gt;Constants!$B$8,"",IF($BI421="-&gt;",$BL421,$BD421))</f>
        <v/>
      </c>
      <c r="CB421" s="133" t="str">
        <f aca="false">IF(ISBLANK($C421),"",IF($BR421&lt;&gt;Constants!$B$8,$BR421,IF(ISNUMBER($CA421),RANK($CA421,$CA$9:$CA$508,1),COUNT($CA$9:$CA$508)+1)))</f>
        <v/>
      </c>
      <c r="CC421" s="136" t="str">
        <f aca="false">IF($BR421&lt;&gt;Constants!$B$8,"",IF($BI421="-&gt;",IF($AT421,$AV421,""),IF($AL421,$AN421,"")))</f>
        <v/>
      </c>
      <c r="CD421" s="133" t="str">
        <f aca="false">IF(ISBLANK($C421),"",IF($BR421&lt;&gt;Constants!$B$8,$BR421,IF(ISNUMBER($CC421),RANK($CC421,$CC$9:$CC$508,1),COUNT($CC$9:$CC$508)+1)))</f>
        <v/>
      </c>
      <c r="CE421" s="136" t="str">
        <f aca="false">IF($BR421&lt;&gt;Constants!$B$8,"",IF(AND(NOT($AL421),NOT($AT421),$AJ421,$AK421,$AR421,$AS421),"",$AI421))</f>
        <v/>
      </c>
      <c r="CF421" s="133" t="str">
        <f aca="false">IF(ISBLANK($C421),"",IF($BR421&lt;&gt;Constants!$B$8,$BR421,IF(ISNUMBER($CE421),RANK($CE421,$CE$9:$CE$508,1),COUNT($CE$9:$CE$508)+1)))</f>
        <v/>
      </c>
      <c r="CG421" s="133" t="str">
        <f aca="false">IF(ISBLANK($C421),"",IF($BR421&lt;&gt;Constants!$B$8,$BR421,COUNTIFS($BX$9:$BX$508,"&lt;"&amp;$BX421)+COUNTIFS($BX$9:$BX$508,$BX421,$BZ$9:$BZ$508,"&lt;"&amp;$BZ421)+COUNTIFS($BX$9:$BX$508,$BX421,$BZ$9:$BZ$508,$BZ421,$CB$9:$CB$508,"&lt;"&amp;$CB421)+COUNTIFS($BX$9:$BX$508,$BX421,$BZ$9:$BZ$508,$BZ421,$CB$9:$CB$508,$CB421,$CD$9:$CD$508,"&lt;"&amp;$CD421)+COUNTIFS($BX$9:$BX$508,$BX421,$BZ$9:$BZ$508,$BZ421,$CB$9:$CB$508,$CB421,$CD$9:$CD$508,$CD421,$CF$9:$CF$508,"&lt;"&amp;$CF421)+1))</f>
        <v/>
      </c>
      <c r="CH421" s="133" t="str">
        <f aca="false">IF(ISBLANK($C421),"",IF($BR421&lt;&gt;Constants!$B$8,$BR421,$BX421-$CG421))</f>
        <v/>
      </c>
      <c r="CI421" s="138"/>
      <c r="CJ421" s="139"/>
      <c r="CK421" s="140" t="str">
        <f aca="false">IF(ISBLANK($C421),"",IF($BR421=Constants!$B$12,$BQ421,""))</f>
        <v/>
      </c>
      <c r="CL421" s="139" t="str">
        <f aca="false">IF(ISBLANK($C421),"",IF($BR421&lt;&gt;Constants!$B$8,"",IF($BI421="-&gt;",2,1)))</f>
        <v/>
      </c>
      <c r="CM421" s="141" t="str">
        <f aca="false">IF(ISBLANK($C421),"",IF($BR421&lt;&gt;Constants!$B$8,"",IF($BI421="-&gt;",$BK421,$BC421)))</f>
        <v/>
      </c>
      <c r="CN421" s="141" t="str">
        <f aca="false">IF(ISBLANK($C421),"",IF($BR421&lt;&gt;Constants!$B$8,"",IF($BI421="-&gt;",$BL421,$BD421)))</f>
        <v/>
      </c>
      <c r="CO421" s="141" t="str">
        <f aca="false">IF(ISBLANK($C421),"",IF($BR421&lt;&gt;Constants!$B$8,"",IF($BI421="-&gt;",$BM421+$BN421,$BE421+$BF421)+$BV421))</f>
        <v/>
      </c>
      <c r="CP421" s="141" t="str">
        <f aca="false">IF(ISBLANK($C421),"",IF($BR421&lt;&gt;Constants!$B$8,"",IF($BI421="-&gt;",$BO421,$BG421)+$BU421))</f>
        <v/>
      </c>
      <c r="CQ421" s="142" t="str">
        <f aca="false">IF(ISBLANK($C421),"",IF($BR421&lt;&gt;Constants!$B$8,$BR421,$BW421))</f>
        <v/>
      </c>
      <c r="CR421" s="143" t="str">
        <f aca="false">IF(ISBLANK($C421),"",$BS421)</f>
        <v/>
      </c>
      <c r="CS421" s="144" t="str">
        <f aca="false">IF(ISBLANK($C421),"",$CH421)</f>
        <v/>
      </c>
      <c r="CT421" s="144" t="str">
        <f aca="false">IF(ISBLANK($C421),"",$CG421)</f>
        <v/>
      </c>
      <c r="CU421" s="145" t="str">
        <f aca="false">IF(ISBLANK($C421),"",IFERROR(_xlfn.SWITCH($CT421,Constants!$B$11,COUNTA($C$9:$C$508)+2,Constants!$B$10,COUNTA($C$9:$C$508)+1,Constants!$B$9,COUNTA($C$9:$C$508)),$CT421))</f>
        <v/>
      </c>
      <c r="CV421" s="9"/>
      <c r="CW421" s="146" t="n">
        <f aca="false">IF(OR(ISNUMBER($CT421),$CT421=Constants!$B$11,$CT421=Constants!$B$9,$CT421=Constants!$B$10),1,0)</f>
        <v>0</v>
      </c>
      <c r="CX421" s="146" t="n">
        <v>413</v>
      </c>
      <c r="CY421" s="146" t="str">
        <f aca="false">IF(ISBLANK($C421),"",IF(ISNUMBER($CU421),$CU421+ROW($B421)/1000,""))</f>
        <v/>
      </c>
      <c r="CZ421" s="146" t="str">
        <f aca="false">IF(ISNUMBER($CY421),RANK($CY421,$CY$9:$CY$508,1),"")</f>
        <v/>
      </c>
      <c r="DA421" s="146" t="str">
        <f aca="false">IF(ISBLANK($C421),"",$B421)</f>
        <v/>
      </c>
      <c r="DB421" s="146" t="str">
        <f aca="false">IF(ISBLANK($C421),"",$C421)</f>
        <v/>
      </c>
      <c r="DC421" s="146" t="str">
        <f aca="false">IF(ISBLANK($C421),"",$D421)</f>
        <v/>
      </c>
      <c r="DD421" s="147" t="str">
        <f aca="false">$CR421</f>
        <v/>
      </c>
      <c r="DE421" s="148" t="str">
        <f aca="false">$CQ421</f>
        <v/>
      </c>
      <c r="DF421" s="146" t="str">
        <f aca="false">IF(ISBLANK($C421),"",$CT421)</f>
        <v/>
      </c>
      <c r="DG421" s="149" t="str">
        <f aca="false">IF($CX421&gt;$CW$8,"",VLOOKUP($CX421,$CZ$9:$DF$508,7,FALSE()))</f>
        <v/>
      </c>
      <c r="DH421" s="150" t="str">
        <f aca="false">IF($CX421&gt;$CW$8,"",VLOOKUP($CX421,$CZ$9:$DF$508,2,FALSE()))</f>
        <v/>
      </c>
      <c r="DI421" s="150" t="str">
        <f aca="false">IF($CX421&gt;$CW$8,"",VLOOKUP($CX421,$CZ$9:$DF$508,3,FALSE()))</f>
        <v/>
      </c>
      <c r="DJ421" s="150" t="str">
        <f aca="false">IF($CX421&gt;$CW$8,"",VLOOKUP($CX421,$CZ$9:$DF$508,4,FALSE()))</f>
        <v/>
      </c>
      <c r="DK421" s="150" t="str">
        <f aca="false">IF($CX421&gt;$CW$8,"",VLOOKUP($CX421,$CZ$9:$DF$508,5,FALSE()))</f>
        <v/>
      </c>
      <c r="DL421" s="151" t="str">
        <f aca="false">IF($CX421&gt;$CW$8,"",VLOOKUP($CX421,$CZ$9:$DF$508,6,FALSE()))</f>
        <v/>
      </c>
      <c r="DM421" s="75"/>
    </row>
    <row r="422" customFormat="false" ht="15.75" hidden="false" customHeight="false" outlineLevel="0" collapsed="false">
      <c r="A422" s="9"/>
      <c r="B422" s="157"/>
      <c r="C422" s="158"/>
      <c r="D422" s="159"/>
      <c r="E422" s="177"/>
      <c r="F422" s="161"/>
      <c r="G422" s="162"/>
      <c r="H422" s="162"/>
      <c r="I422" s="178"/>
      <c r="J422" s="165"/>
      <c r="K422" s="126"/>
      <c r="L422" s="127"/>
      <c r="M422" s="128"/>
      <c r="N422" s="165"/>
      <c r="O422" s="165"/>
      <c r="P422" s="177"/>
      <c r="Q422" s="165"/>
      <c r="R422" s="165"/>
      <c r="S422" s="126"/>
      <c r="T422" s="128"/>
      <c r="U422" s="128"/>
      <c r="V422" s="165"/>
      <c r="W422" s="165"/>
      <c r="X422" s="177"/>
      <c r="Y422" s="165"/>
      <c r="Z422" s="166"/>
      <c r="AA422" s="165"/>
      <c r="AB422" s="132"/>
      <c r="AC422" s="133"/>
      <c r="AD422" s="133"/>
      <c r="AE422" s="133"/>
      <c r="AF422" s="133" t="str">
        <f aca="false">IF(ISBLANK($C422),"",IF(E422=Constants!$B$3,TRUE(),IF(E422=Constants!$B$4,FALSE(),TRUE())))</f>
        <v/>
      </c>
      <c r="AG422" s="133" t="str">
        <f aca="false">IF(ISBLANK($C422),"",IF(F422=Constants!$B$3,TRUE(),IF(F422=Constants!$B$4,FALSE(),TRUE())))</f>
        <v/>
      </c>
      <c r="AH422" s="133" t="str">
        <f aca="false">IF(ISBLANK($C422),"",IF(G422=Constants!$B$3,TRUE(),IF(G422=Constants!$B$4,FALSE(),TRUE())))</f>
        <v/>
      </c>
      <c r="AI422" s="133" t="str">
        <f aca="false">IF(ISBLANK($C422),"",IF(AND(ISNUMBER(H422),H422&gt;=0),H422,Constants!$B$29))</f>
        <v/>
      </c>
      <c r="AJ422" s="133" t="str">
        <f aca="false">IF(ISBLANK($C422),"",IF(I422=Constants!$B$3,TRUE(),IF(I422=Constants!$B$4,FALSE(),TRUE())))</f>
        <v/>
      </c>
      <c r="AK422" s="133" t="str">
        <f aca="false">IF(ISBLANK($C422),"",IF(J422=Constants!$B$3,TRUE(),IF(J422=Constants!$B$4,FALSE(),TRUE())))</f>
        <v/>
      </c>
      <c r="AL422" s="133" t="str">
        <f aca="false">IF(ISBLANK($C422),"",IF(K422=Constants!$B$5,TRUE(),IF(K422=Constants!$B$6,FALSE(),COUNTA(L422:P422)&gt;0)))</f>
        <v/>
      </c>
      <c r="AM422" s="134" t="str">
        <f aca="false">IF(ISBLANK($C422),"",IF(ISNUMBER(L422),IF(L422&gt;=0,L422,""),""))</f>
        <v/>
      </c>
      <c r="AN422" s="135" t="str">
        <f aca="false">IF(ISBLANK($C422),"",IF(ISNUMBER(M422),IF(M422&gt;=0,M422,""),""))</f>
        <v/>
      </c>
      <c r="AO422" s="135" t="str">
        <f aca="false">IF(ISBLANK($C422),"",IF(N422=Constants!$B$3,TRUE(),IF(N422=Constants!$B$4,FALSE(),TRUE())))</f>
        <v/>
      </c>
      <c r="AP422" s="133" t="str">
        <f aca="false">IF(ISBLANK($C422),"",IF(ISNUMBER(O422),IF(O422&gt;=0,O422,""),""))</f>
        <v/>
      </c>
      <c r="AQ422" s="133" t="str">
        <f aca="false">IF(ISBLANK($C422),"",IF(P422=Constants!$B$3,TRUE(),IF(P422=Constants!$B$4,FALSE(),FALSE())))</f>
        <v/>
      </c>
      <c r="AR422" s="133" t="str">
        <f aca="false">IF(ISBLANK($C422),"",IF(Q422=Constants!$B$3,TRUE(),IF(Q422=Constants!$B$4,FALSE(),TRUE())))</f>
        <v/>
      </c>
      <c r="AS422" s="133" t="str">
        <f aca="false">IF(ISBLANK($C422),"",IF(R422=Constants!$B$3,TRUE(),IF(R422=Constants!$B$4,FALSE(),TRUE())))</f>
        <v/>
      </c>
      <c r="AT422" s="133" t="str">
        <f aca="false">IF(ISBLANK($C422),"",IF(S422=Constants!$B$5,TRUE(),IF(S422=Constants!$B$6,FALSE(),COUNTA(T422:X422)&gt;0)))</f>
        <v/>
      </c>
      <c r="AU422" s="134" t="str">
        <f aca="false">IF(ISBLANK($C422),"",IF(ISNUMBER(T422),IF(T422&gt;=0,T422,""),""))</f>
        <v/>
      </c>
      <c r="AV422" s="135" t="str">
        <f aca="false">IF(ISBLANK($C422),"",IF(ISNUMBER(U422),IF(U422&gt;=0,U422,""),""))</f>
        <v/>
      </c>
      <c r="AW422" s="135" t="str">
        <f aca="false">IF(ISBLANK($C422),"",IF(V422=Constants!$B$3,TRUE(),IF(V422=Constants!$B$4,FALSE(),TRUE())))</f>
        <v/>
      </c>
      <c r="AX422" s="133" t="str">
        <f aca="false">IF(ISBLANK($C422),"",IF(ISNUMBER(W422),IF(W422&gt;=0,W422,""),""))</f>
        <v/>
      </c>
      <c r="AY422" s="133" t="str">
        <f aca="false">IF(ISBLANK($C422),"",IF(X422=Constants!$B$3,TRUE(),IF(X422=Constants!$B$4,FALSE(),FALSE())))</f>
        <v/>
      </c>
      <c r="AZ422" s="133" t="str">
        <f aca="false">IF(ISBLANK($C422),"",MIN(Constants!$B$31,MAX(0,IF(ISNUMBER(Y422),Y422*60,0)+IF(ISNUMBER(Z422),Z422,0))))</f>
        <v/>
      </c>
      <c r="BA422" s="133" t="str">
        <f aca="false">IF(ISBLANK($C422),"",IF(AA422=Constants!$B$3,TRUE(),IF(AA422=Constants!$B$4,FALSE(),FALSE())))</f>
        <v/>
      </c>
      <c r="BB422" s="132" t="str">
        <f aca="false">IF(ISBLANK($C422),"",AND($AL422,OR($AM422="",$AN422="",AND($AO422,$AP422=""))))</f>
        <v/>
      </c>
      <c r="BC422" s="135" t="str">
        <f aca="false">IF($BR422&lt;&gt;Constants!$B$8,"",IF($AL422,Constants!$B$21*$AN422+Constants!$B$22*IF($AO422,$AP422,Constants!$B$23),Constants!$B$24))</f>
        <v/>
      </c>
      <c r="BD422" s="136" t="str">
        <f aca="false">IF($BR422&lt;&gt;Constants!$B$8,"",Constants!$B$25*ABS($AD$9-IF($AL422,$AM422,0)))</f>
        <v/>
      </c>
      <c r="BE422" s="136" t="str">
        <f aca="false">IF($BR422&lt;&gt;Constants!$B$8,"",IF(AND($AL422,$AQ422,$AO422),Constants!$B$27,0))</f>
        <v/>
      </c>
      <c r="BF422" s="136" t="str">
        <f aca="false">IF($BR422&lt;&gt;Constants!$B$8,"",IF($AL422,($AI422-Constants!$B$29)*Constants!$B$28,0))</f>
        <v/>
      </c>
      <c r="BG422" s="136" t="str">
        <f aca="false">IF($BR422&lt;&gt;Constants!$B$8,"",IF($AK422,0,Constants!$B$15)+IF($AJ422,0,Constants!$B$16)+IF($AH422,0,Constants!$B$17))</f>
        <v/>
      </c>
      <c r="BH422" s="137" t="str">
        <f aca="false">IF($BR422&lt;&gt;Constants!$B$8,"",Constants!$B$20+SUM($BC422:$BG422))</f>
        <v/>
      </c>
      <c r="BI422" s="133" t="str">
        <f aca="false">IF($BR422&lt;&gt;Constants!$B$8,"",IF(OR($BP422&lt;$BH422,AND($BP422=$BH422,OR($BK422&lt;$BC422,AND($BK422=$BC422,OR($BL422&lt;$BD422,AND($BL422=$BD422,$AT422,$AL422,$AV422&lt;$AN422)))))),"-&gt;","&lt;-"))</f>
        <v/>
      </c>
      <c r="BJ422" s="132" t="str">
        <f aca="false">IF(ISBLANK($C422),"",AND($AT422,OR($AU422="",$AV422="",AND($AW422,$AX422=""))))</f>
        <v/>
      </c>
      <c r="BK422" s="135" t="str">
        <f aca="false">IF($BR422&lt;&gt;Constants!$B$8,"",IF($AT422,Constants!$B$21*$AV422+Constants!$B$22*IF($AW422,$AX422,Constants!$B$23),Constants!$B$24))</f>
        <v/>
      </c>
      <c r="BL422" s="136" t="str">
        <f aca="false">IF($BR422&lt;&gt;Constants!$B$8,"",Constants!$B$25*ABS($AD$9-IF($AT422,$AU422,0)))</f>
        <v/>
      </c>
      <c r="BM422" s="136" t="str">
        <f aca="false">IF($BR422&lt;&gt;Constants!$B$8,"",IF(AND($AT422,$AY422,$AW422),Constants!$B$27,0))</f>
        <v/>
      </c>
      <c r="BN422" s="136" t="str">
        <f aca="false">IF($BR422&lt;&gt;Constants!$B$8,"",IF($AT422,($AI422-Constants!$B$29)*Constants!$B$28,0))</f>
        <v/>
      </c>
      <c r="BO422" s="136" t="str">
        <f aca="false">IF($BR422&lt;&gt;Constants!$B$8,"",IF($AS422,0,Constants!$B$15)+IF($AR422,0,Constants!$B$16)+IF($AH422,0,Constants!$B$17))</f>
        <v/>
      </c>
      <c r="BP422" s="137" t="str">
        <f aca="false">IF($BR422&lt;&gt;Constants!$B$8,"",Constants!$B$20+SUM($BK422:$BO422))</f>
        <v/>
      </c>
      <c r="BQ422" s="133" t="str">
        <f aca="false">IF(ISBLANK($C422),"",IF(ISBLANK($D$7),$BQ$5,IF(NOT(ISNUMBER($D$7)),$BQ$6,"")))</f>
        <v/>
      </c>
      <c r="BR422" s="133" t="str">
        <f aca="false">IF(ISBLANK($C422),"",IF($BA422,Constants!$B$11,IF(COUNTA($E422:$AA422)=0,Constants!$B$10,IF(NOT($AG422),Constants!$B$9,IF(OR($BQ422&lt;&gt;"",$BB422,$BJ422),Constants!$B$12,Constants!$B$8)))))</f>
        <v/>
      </c>
      <c r="BS422" s="133" t="str">
        <f aca="false">IF(ISBLANK($C422),"",IF($BR422&lt;&gt;Constants!$B$8,$BR422,Constants!$B$13))</f>
        <v/>
      </c>
      <c r="BT422" s="136" t="str">
        <f aca="false">IF($BR422&lt;&gt;Constants!$B$8,"",IF($BI422="-&gt;",$BP422,$BH422))</f>
        <v/>
      </c>
      <c r="BU422" s="136" t="str">
        <f aca="false">IF($BR422&lt;&gt;Constants!$B$8,"",IF($AF422,0,Constants!$B$18))</f>
        <v/>
      </c>
      <c r="BV422" s="136" t="str">
        <f aca="false">IF($BR422&lt;&gt;Constants!$B$8,"",((Constants!$B$31-$AZ422)-Constants!$B$31)/Constants!$B$32)</f>
        <v/>
      </c>
      <c r="BW422" s="136" t="str">
        <f aca="false">IF(ISBLANK($C422),"",IF($BR422&lt;&gt;Constants!$B$8,$BR422,SUM($BT422:$BV422)))</f>
        <v/>
      </c>
      <c r="BX422" s="133" t="str">
        <f aca="false">IF(ISBLANK($C422),"",IF($BR422&lt;&gt;Constants!$B$8,$BR422,RANK($BW422,$BW$9:$BW$508,1)))</f>
        <v/>
      </c>
      <c r="BY422" s="136" t="str">
        <f aca="false">IF($BR422&lt;&gt;Constants!$B$8,"",IF($BI422="-&gt;",$BK422,$BC422))</f>
        <v/>
      </c>
      <c r="BZ422" s="133" t="str">
        <f aca="false">IF(ISBLANK($C422),"",IF($BR422&lt;&gt;Constants!$B$8,$BR422,IF(ISNUMBER($BY422),RANK($BY422,$BY$9:$BY$508,1),COUNT($BY$9:$BY$508)+1)))</f>
        <v/>
      </c>
      <c r="CA422" s="136" t="str">
        <f aca="false">IF($BR422&lt;&gt;Constants!$B$8,"",IF($BI422="-&gt;",$BL422,$BD422))</f>
        <v/>
      </c>
      <c r="CB422" s="133" t="str">
        <f aca="false">IF(ISBLANK($C422),"",IF($BR422&lt;&gt;Constants!$B$8,$BR422,IF(ISNUMBER($CA422),RANK($CA422,$CA$9:$CA$508,1),COUNT($CA$9:$CA$508)+1)))</f>
        <v/>
      </c>
      <c r="CC422" s="136" t="str">
        <f aca="false">IF($BR422&lt;&gt;Constants!$B$8,"",IF($BI422="-&gt;",IF($AT422,$AV422,""),IF($AL422,$AN422,"")))</f>
        <v/>
      </c>
      <c r="CD422" s="133" t="str">
        <f aca="false">IF(ISBLANK($C422),"",IF($BR422&lt;&gt;Constants!$B$8,$BR422,IF(ISNUMBER($CC422),RANK($CC422,$CC$9:$CC$508,1),COUNT($CC$9:$CC$508)+1)))</f>
        <v/>
      </c>
      <c r="CE422" s="136" t="str">
        <f aca="false">IF($BR422&lt;&gt;Constants!$B$8,"",IF(AND(NOT($AL422),NOT($AT422),$AJ422,$AK422,$AR422,$AS422),"",$AI422))</f>
        <v/>
      </c>
      <c r="CF422" s="133" t="str">
        <f aca="false">IF(ISBLANK($C422),"",IF($BR422&lt;&gt;Constants!$B$8,$BR422,IF(ISNUMBER($CE422),RANK($CE422,$CE$9:$CE$508,1),COUNT($CE$9:$CE$508)+1)))</f>
        <v/>
      </c>
      <c r="CG422" s="133" t="str">
        <f aca="false">IF(ISBLANK($C422),"",IF($BR422&lt;&gt;Constants!$B$8,$BR422,COUNTIFS($BX$9:$BX$508,"&lt;"&amp;$BX422)+COUNTIFS($BX$9:$BX$508,$BX422,$BZ$9:$BZ$508,"&lt;"&amp;$BZ422)+COUNTIFS($BX$9:$BX$508,$BX422,$BZ$9:$BZ$508,$BZ422,$CB$9:$CB$508,"&lt;"&amp;$CB422)+COUNTIFS($BX$9:$BX$508,$BX422,$BZ$9:$BZ$508,$BZ422,$CB$9:$CB$508,$CB422,$CD$9:$CD$508,"&lt;"&amp;$CD422)+COUNTIFS($BX$9:$BX$508,$BX422,$BZ$9:$BZ$508,$BZ422,$CB$9:$CB$508,$CB422,$CD$9:$CD$508,$CD422,$CF$9:$CF$508,"&lt;"&amp;$CF422)+1))</f>
        <v/>
      </c>
      <c r="CH422" s="133" t="str">
        <f aca="false">IF(ISBLANK($C422),"",IF($BR422&lt;&gt;Constants!$B$8,$BR422,$BX422-$CG422))</f>
        <v/>
      </c>
      <c r="CI422" s="138"/>
      <c r="CJ422" s="139"/>
      <c r="CK422" s="140" t="str">
        <f aca="false">IF(ISBLANK($C422),"",IF($BR422=Constants!$B$12,$BQ422,""))</f>
        <v/>
      </c>
      <c r="CL422" s="139" t="str">
        <f aca="false">IF(ISBLANK($C422),"",IF($BR422&lt;&gt;Constants!$B$8,"",IF($BI422="-&gt;",2,1)))</f>
        <v/>
      </c>
      <c r="CM422" s="141" t="str">
        <f aca="false">IF(ISBLANK($C422),"",IF($BR422&lt;&gt;Constants!$B$8,"",IF($BI422="-&gt;",$BK422,$BC422)))</f>
        <v/>
      </c>
      <c r="CN422" s="141" t="str">
        <f aca="false">IF(ISBLANK($C422),"",IF($BR422&lt;&gt;Constants!$B$8,"",IF($BI422="-&gt;",$BL422,$BD422)))</f>
        <v/>
      </c>
      <c r="CO422" s="141" t="str">
        <f aca="false">IF(ISBLANK($C422),"",IF($BR422&lt;&gt;Constants!$B$8,"",IF($BI422="-&gt;",$BM422+$BN422,$BE422+$BF422)+$BV422))</f>
        <v/>
      </c>
      <c r="CP422" s="141" t="str">
        <f aca="false">IF(ISBLANK($C422),"",IF($BR422&lt;&gt;Constants!$B$8,"",IF($BI422="-&gt;",$BO422,$BG422)+$BU422))</f>
        <v/>
      </c>
      <c r="CQ422" s="142" t="str">
        <f aca="false">IF(ISBLANK($C422),"",IF($BR422&lt;&gt;Constants!$B$8,$BR422,$BW422))</f>
        <v/>
      </c>
      <c r="CR422" s="143" t="str">
        <f aca="false">IF(ISBLANK($C422),"",$BS422)</f>
        <v/>
      </c>
      <c r="CS422" s="144" t="str">
        <f aca="false">IF(ISBLANK($C422),"",$CH422)</f>
        <v/>
      </c>
      <c r="CT422" s="144" t="str">
        <f aca="false">IF(ISBLANK($C422),"",$CG422)</f>
        <v/>
      </c>
      <c r="CU422" s="145" t="str">
        <f aca="false">IF(ISBLANK($C422),"",IFERROR(_xlfn.SWITCH($CT422,Constants!$B$11,COUNTA($C$9:$C$508)+2,Constants!$B$10,COUNTA($C$9:$C$508)+1,Constants!$B$9,COUNTA($C$9:$C$508)),$CT422))</f>
        <v/>
      </c>
      <c r="CV422" s="9"/>
      <c r="CW422" s="146" t="n">
        <f aca="false">IF(OR(ISNUMBER($CT422),$CT422=Constants!$B$11,$CT422=Constants!$B$9,$CT422=Constants!$B$10),1,0)</f>
        <v>0</v>
      </c>
      <c r="CX422" s="146" t="n">
        <v>414</v>
      </c>
      <c r="CY422" s="146" t="str">
        <f aca="false">IF(ISBLANK($C422),"",IF(ISNUMBER($CU422),$CU422+ROW($B422)/1000,""))</f>
        <v/>
      </c>
      <c r="CZ422" s="146" t="str">
        <f aca="false">IF(ISNUMBER($CY422),RANK($CY422,$CY$9:$CY$508,1),"")</f>
        <v/>
      </c>
      <c r="DA422" s="146" t="str">
        <f aca="false">IF(ISBLANK($C422),"",$B422)</f>
        <v/>
      </c>
      <c r="DB422" s="146" t="str">
        <f aca="false">IF(ISBLANK($C422),"",$C422)</f>
        <v/>
      </c>
      <c r="DC422" s="146" t="str">
        <f aca="false">IF(ISBLANK($C422),"",$D422)</f>
        <v/>
      </c>
      <c r="DD422" s="147" t="str">
        <f aca="false">$CR422</f>
        <v/>
      </c>
      <c r="DE422" s="148" t="str">
        <f aca="false">$CQ422</f>
        <v/>
      </c>
      <c r="DF422" s="146" t="str">
        <f aca="false">IF(ISBLANK($C422),"",$CT422)</f>
        <v/>
      </c>
      <c r="DG422" s="149" t="str">
        <f aca="false">IF($CX422&gt;$CW$8,"",VLOOKUP($CX422,$CZ$9:$DF$508,7,FALSE()))</f>
        <v/>
      </c>
      <c r="DH422" s="150" t="str">
        <f aca="false">IF($CX422&gt;$CW$8,"",VLOOKUP($CX422,$CZ$9:$DF$508,2,FALSE()))</f>
        <v/>
      </c>
      <c r="DI422" s="150" t="str">
        <f aca="false">IF($CX422&gt;$CW$8,"",VLOOKUP($CX422,$CZ$9:$DF$508,3,FALSE()))</f>
        <v/>
      </c>
      <c r="DJ422" s="150" t="str">
        <f aca="false">IF($CX422&gt;$CW$8,"",VLOOKUP($CX422,$CZ$9:$DF$508,4,FALSE()))</f>
        <v/>
      </c>
      <c r="DK422" s="150" t="str">
        <f aca="false">IF($CX422&gt;$CW$8,"",VLOOKUP($CX422,$CZ$9:$DF$508,5,FALSE()))</f>
        <v/>
      </c>
      <c r="DL422" s="151" t="str">
        <f aca="false">IF($CX422&gt;$CW$8,"",VLOOKUP($CX422,$CZ$9:$DF$508,6,FALSE()))</f>
        <v/>
      </c>
      <c r="DM422" s="75"/>
    </row>
    <row r="423" customFormat="false" ht="15.75" hidden="false" customHeight="false" outlineLevel="0" collapsed="false">
      <c r="A423" s="9"/>
      <c r="B423" s="77"/>
      <c r="C423" s="78"/>
      <c r="D423" s="167"/>
      <c r="E423" s="175"/>
      <c r="F423" s="169"/>
      <c r="G423" s="170"/>
      <c r="H423" s="170"/>
      <c r="I423" s="176"/>
      <c r="J423" s="173"/>
      <c r="K423" s="85"/>
      <c r="L423" s="86"/>
      <c r="M423" s="87"/>
      <c r="N423" s="173"/>
      <c r="O423" s="173"/>
      <c r="P423" s="175"/>
      <c r="Q423" s="173"/>
      <c r="R423" s="173"/>
      <c r="S423" s="85"/>
      <c r="T423" s="87"/>
      <c r="U423" s="87"/>
      <c r="V423" s="173"/>
      <c r="W423" s="173"/>
      <c r="X423" s="175"/>
      <c r="Y423" s="173"/>
      <c r="Z423" s="174"/>
      <c r="AA423" s="173"/>
      <c r="AB423" s="91"/>
      <c r="AC423" s="92"/>
      <c r="AD423" s="92"/>
      <c r="AE423" s="92"/>
      <c r="AF423" s="92" t="str">
        <f aca="false">IF(ISBLANK($C423),"",IF(E423=Constants!$B$3,TRUE(),IF(E423=Constants!$B$4,FALSE(),TRUE())))</f>
        <v/>
      </c>
      <c r="AG423" s="92" t="str">
        <f aca="false">IF(ISBLANK($C423),"",IF(F423=Constants!$B$3,TRUE(),IF(F423=Constants!$B$4,FALSE(),TRUE())))</f>
        <v/>
      </c>
      <c r="AH423" s="92" t="str">
        <f aca="false">IF(ISBLANK($C423),"",IF(G423=Constants!$B$3,TRUE(),IF(G423=Constants!$B$4,FALSE(),TRUE())))</f>
        <v/>
      </c>
      <c r="AI423" s="92" t="str">
        <f aca="false">IF(ISBLANK($C423),"",IF(AND(ISNUMBER(H423),H423&gt;=0),H423,Constants!$B$29))</f>
        <v/>
      </c>
      <c r="AJ423" s="92" t="str">
        <f aca="false">IF(ISBLANK($C423),"",IF(I423=Constants!$B$3,TRUE(),IF(I423=Constants!$B$4,FALSE(),TRUE())))</f>
        <v/>
      </c>
      <c r="AK423" s="92" t="str">
        <f aca="false">IF(ISBLANK($C423),"",IF(J423=Constants!$B$3,TRUE(),IF(J423=Constants!$B$4,FALSE(),TRUE())))</f>
        <v/>
      </c>
      <c r="AL423" s="92" t="str">
        <f aca="false">IF(ISBLANK($C423),"",IF(K423=Constants!$B$5,TRUE(),IF(K423=Constants!$B$6,FALSE(),COUNTA(L423:P423)&gt;0)))</f>
        <v/>
      </c>
      <c r="AM423" s="94" t="str">
        <f aca="false">IF(ISBLANK($C423),"",IF(ISNUMBER(L423),IF(L423&gt;=0,L423,""),""))</f>
        <v/>
      </c>
      <c r="AN423" s="93" t="str">
        <f aca="false">IF(ISBLANK($C423),"",IF(ISNUMBER(M423),IF(M423&gt;=0,M423,""),""))</f>
        <v/>
      </c>
      <c r="AO423" s="93" t="str">
        <f aca="false">IF(ISBLANK($C423),"",IF(N423=Constants!$B$3,TRUE(),IF(N423=Constants!$B$4,FALSE(),TRUE())))</f>
        <v/>
      </c>
      <c r="AP423" s="92" t="str">
        <f aca="false">IF(ISBLANK($C423),"",IF(ISNUMBER(O423),IF(O423&gt;=0,O423,""),""))</f>
        <v/>
      </c>
      <c r="AQ423" s="92" t="str">
        <f aca="false">IF(ISBLANK($C423),"",IF(P423=Constants!$B$3,TRUE(),IF(P423=Constants!$B$4,FALSE(),FALSE())))</f>
        <v/>
      </c>
      <c r="AR423" s="92" t="str">
        <f aca="false">IF(ISBLANK($C423),"",IF(Q423=Constants!$B$3,TRUE(),IF(Q423=Constants!$B$4,FALSE(),TRUE())))</f>
        <v/>
      </c>
      <c r="AS423" s="92" t="str">
        <f aca="false">IF(ISBLANK($C423),"",IF(R423=Constants!$B$3,TRUE(),IF(R423=Constants!$B$4,FALSE(),TRUE())))</f>
        <v/>
      </c>
      <c r="AT423" s="92" t="str">
        <f aca="false">IF(ISBLANK($C423),"",IF(S423=Constants!$B$5,TRUE(),IF(S423=Constants!$B$6,FALSE(),COUNTA(T423:X423)&gt;0)))</f>
        <v/>
      </c>
      <c r="AU423" s="94" t="str">
        <f aca="false">IF(ISBLANK($C423),"",IF(ISNUMBER(T423),IF(T423&gt;=0,T423,""),""))</f>
        <v/>
      </c>
      <c r="AV423" s="93" t="str">
        <f aca="false">IF(ISBLANK($C423),"",IF(ISNUMBER(U423),IF(U423&gt;=0,U423,""),""))</f>
        <v/>
      </c>
      <c r="AW423" s="93" t="str">
        <f aca="false">IF(ISBLANK($C423),"",IF(V423=Constants!$B$3,TRUE(),IF(V423=Constants!$B$4,FALSE(),TRUE())))</f>
        <v/>
      </c>
      <c r="AX423" s="92" t="str">
        <f aca="false">IF(ISBLANK($C423),"",IF(ISNUMBER(W423),IF(W423&gt;=0,W423,""),""))</f>
        <v/>
      </c>
      <c r="AY423" s="92" t="str">
        <f aca="false">IF(ISBLANK($C423),"",IF(X423=Constants!$B$3,TRUE(),IF(X423=Constants!$B$4,FALSE(),FALSE())))</f>
        <v/>
      </c>
      <c r="AZ423" s="92" t="str">
        <f aca="false">IF(ISBLANK($C423),"",MIN(Constants!$B$31,MAX(0,IF(ISNUMBER(Y423),Y423*60,0)+IF(ISNUMBER(Z423),Z423,0))))</f>
        <v/>
      </c>
      <c r="BA423" s="92" t="str">
        <f aca="false">IF(ISBLANK($C423),"",IF(AA423=Constants!$B$3,TRUE(),IF(AA423=Constants!$B$4,FALSE(),FALSE())))</f>
        <v/>
      </c>
      <c r="BB423" s="91" t="str">
        <f aca="false">IF(ISBLANK($C423),"",AND($AL423,OR($AM423="",$AN423="",AND($AO423,$AP423=""))))</f>
        <v/>
      </c>
      <c r="BC423" s="93" t="str">
        <f aca="false">IF($BR423&lt;&gt;Constants!$B$8,"",IF($AL423,Constants!$B$21*$AN423+Constants!$B$22*IF($AO423,$AP423,Constants!$B$23),Constants!$B$24))</f>
        <v/>
      </c>
      <c r="BD423" s="96" t="str">
        <f aca="false">IF($BR423&lt;&gt;Constants!$B$8,"",Constants!$B$25*ABS($AD$9-IF($AL423,$AM423,0)))</f>
        <v/>
      </c>
      <c r="BE423" s="96" t="str">
        <f aca="false">IF($BR423&lt;&gt;Constants!$B$8,"",IF(AND($AL423,$AQ423,$AO423),Constants!$B$27,0))</f>
        <v/>
      </c>
      <c r="BF423" s="96" t="str">
        <f aca="false">IF($BR423&lt;&gt;Constants!$B$8,"",IF($AL423,($AI423-Constants!$B$29)*Constants!$B$28,0))</f>
        <v/>
      </c>
      <c r="BG423" s="96" t="str">
        <f aca="false">IF($BR423&lt;&gt;Constants!$B$8,"",IF($AK423,0,Constants!$B$15)+IF($AJ423,0,Constants!$B$16)+IF($AH423,0,Constants!$B$17))</f>
        <v/>
      </c>
      <c r="BH423" s="97" t="str">
        <f aca="false">IF($BR423&lt;&gt;Constants!$B$8,"",Constants!$B$20+SUM($BC423:$BG423))</f>
        <v/>
      </c>
      <c r="BI423" s="92" t="str">
        <f aca="false">IF($BR423&lt;&gt;Constants!$B$8,"",IF(OR($BP423&lt;$BH423,AND($BP423=$BH423,OR($BK423&lt;$BC423,AND($BK423=$BC423,OR($BL423&lt;$BD423,AND($BL423=$BD423,$AT423,$AL423,$AV423&lt;$AN423)))))),"-&gt;","&lt;-"))</f>
        <v/>
      </c>
      <c r="BJ423" s="91" t="str">
        <f aca="false">IF(ISBLANK($C423),"",AND($AT423,OR($AU423="",$AV423="",AND($AW423,$AX423=""))))</f>
        <v/>
      </c>
      <c r="BK423" s="93" t="str">
        <f aca="false">IF($BR423&lt;&gt;Constants!$B$8,"",IF($AT423,Constants!$B$21*$AV423+Constants!$B$22*IF($AW423,$AX423,Constants!$B$23),Constants!$B$24))</f>
        <v/>
      </c>
      <c r="BL423" s="96" t="str">
        <f aca="false">IF($BR423&lt;&gt;Constants!$B$8,"",Constants!$B$25*ABS($AD$9-IF($AT423,$AU423,0)))</f>
        <v/>
      </c>
      <c r="BM423" s="96" t="str">
        <f aca="false">IF($BR423&lt;&gt;Constants!$B$8,"",IF(AND($AT423,$AY423,$AW423),Constants!$B$27,0))</f>
        <v/>
      </c>
      <c r="BN423" s="96" t="str">
        <f aca="false">IF($BR423&lt;&gt;Constants!$B$8,"",IF($AT423,($AI423-Constants!$B$29)*Constants!$B$28,0))</f>
        <v/>
      </c>
      <c r="BO423" s="96" t="str">
        <f aca="false">IF($BR423&lt;&gt;Constants!$B$8,"",IF($AS423,0,Constants!$B$15)+IF($AR423,0,Constants!$B$16)+IF($AH423,0,Constants!$B$17))</f>
        <v/>
      </c>
      <c r="BP423" s="97" t="str">
        <f aca="false">IF($BR423&lt;&gt;Constants!$B$8,"",Constants!$B$20+SUM($BK423:$BO423))</f>
        <v/>
      </c>
      <c r="BQ423" s="92" t="str">
        <f aca="false">IF(ISBLANK($C423),"",IF(ISBLANK($D$7),$BQ$5,IF(NOT(ISNUMBER($D$7)),$BQ$6,"")))</f>
        <v/>
      </c>
      <c r="BR423" s="92" t="str">
        <f aca="false">IF(ISBLANK($C423),"",IF($BA423,Constants!$B$11,IF(COUNTA($E423:$AA423)=0,Constants!$B$10,IF(NOT($AG423),Constants!$B$9,IF(OR($BQ423&lt;&gt;"",$BB423,$BJ423),Constants!$B$12,Constants!$B$8)))))</f>
        <v/>
      </c>
      <c r="BS423" s="92" t="str">
        <f aca="false">IF(ISBLANK($C423),"",IF($BR423&lt;&gt;Constants!$B$8,$BR423,Constants!$B$13))</f>
        <v/>
      </c>
      <c r="BT423" s="96" t="str">
        <f aca="false">IF($BR423&lt;&gt;Constants!$B$8,"",IF($BI423="-&gt;",$BP423,$BH423))</f>
        <v/>
      </c>
      <c r="BU423" s="96" t="str">
        <f aca="false">IF($BR423&lt;&gt;Constants!$B$8,"",IF($AF423,0,Constants!$B$18))</f>
        <v/>
      </c>
      <c r="BV423" s="96" t="str">
        <f aca="false">IF($BR423&lt;&gt;Constants!$B$8,"",((Constants!$B$31-$AZ423)-Constants!$B$31)/Constants!$B$32)</f>
        <v/>
      </c>
      <c r="BW423" s="96" t="str">
        <f aca="false">IF(ISBLANK($C423),"",IF($BR423&lt;&gt;Constants!$B$8,$BR423,SUM($BT423:$BV423)))</f>
        <v/>
      </c>
      <c r="BX423" s="92" t="str">
        <f aca="false">IF(ISBLANK($C423),"",IF($BR423&lt;&gt;Constants!$B$8,$BR423,RANK($BW423,$BW$9:$BW$508,1)))</f>
        <v/>
      </c>
      <c r="BY423" s="96" t="str">
        <f aca="false">IF($BR423&lt;&gt;Constants!$B$8,"",IF($BI423="-&gt;",$BK423,$BC423))</f>
        <v/>
      </c>
      <c r="BZ423" s="92" t="str">
        <f aca="false">IF(ISBLANK($C423),"",IF($BR423&lt;&gt;Constants!$B$8,$BR423,IF(ISNUMBER($BY423),RANK($BY423,$BY$9:$BY$508,1),COUNT($BY$9:$BY$508)+1)))</f>
        <v/>
      </c>
      <c r="CA423" s="96" t="str">
        <f aca="false">IF($BR423&lt;&gt;Constants!$B$8,"",IF($BI423="-&gt;",$BL423,$BD423))</f>
        <v/>
      </c>
      <c r="CB423" s="92" t="str">
        <f aca="false">IF(ISBLANK($C423),"",IF($BR423&lt;&gt;Constants!$B$8,$BR423,IF(ISNUMBER($CA423),RANK($CA423,$CA$9:$CA$508,1),COUNT($CA$9:$CA$508)+1)))</f>
        <v/>
      </c>
      <c r="CC423" s="96" t="str">
        <f aca="false">IF($BR423&lt;&gt;Constants!$B$8,"",IF($BI423="-&gt;",IF($AT423,$AV423,""),IF($AL423,$AN423,"")))</f>
        <v/>
      </c>
      <c r="CD423" s="92" t="str">
        <f aca="false">IF(ISBLANK($C423),"",IF($BR423&lt;&gt;Constants!$B$8,$BR423,IF(ISNUMBER($CC423),RANK($CC423,$CC$9:$CC$508,1),COUNT($CC$9:$CC$508)+1)))</f>
        <v/>
      </c>
      <c r="CE423" s="96" t="str">
        <f aca="false">IF($BR423&lt;&gt;Constants!$B$8,"",IF(AND(NOT($AL423),NOT($AT423),$AJ423,$AK423,$AR423,$AS423),"",$AI423))</f>
        <v/>
      </c>
      <c r="CF423" s="92" t="str">
        <f aca="false">IF(ISBLANK($C423),"",IF($BR423&lt;&gt;Constants!$B$8,$BR423,IF(ISNUMBER($CE423),RANK($CE423,$CE$9:$CE$508,1),COUNT($CE$9:$CE$508)+1)))</f>
        <v/>
      </c>
      <c r="CG423" s="92" t="str">
        <f aca="false">IF(ISBLANK($C423),"",IF($BR423&lt;&gt;Constants!$B$8,$BR423,COUNTIFS($BX$9:$BX$508,"&lt;"&amp;$BX423)+COUNTIFS($BX$9:$BX$508,$BX423,$BZ$9:$BZ$508,"&lt;"&amp;$BZ423)+COUNTIFS($BX$9:$BX$508,$BX423,$BZ$9:$BZ$508,$BZ423,$CB$9:$CB$508,"&lt;"&amp;$CB423)+COUNTIFS($BX$9:$BX$508,$BX423,$BZ$9:$BZ$508,$BZ423,$CB$9:$CB$508,$CB423,$CD$9:$CD$508,"&lt;"&amp;$CD423)+COUNTIFS($BX$9:$BX$508,$BX423,$BZ$9:$BZ$508,$BZ423,$CB$9:$CB$508,$CB423,$CD$9:$CD$508,$CD423,$CF$9:$CF$508,"&lt;"&amp;$CF423)+1))</f>
        <v/>
      </c>
      <c r="CH423" s="92" t="str">
        <f aca="false">IF(ISBLANK($C423),"",IF($BR423&lt;&gt;Constants!$B$8,$BR423,$BX423-$CG423))</f>
        <v/>
      </c>
      <c r="CI423" s="98"/>
      <c r="CJ423" s="99"/>
      <c r="CK423" s="100" t="str">
        <f aca="false">IF(ISBLANK($C423),"",IF($BR423=Constants!$B$12,$BQ423,""))</f>
        <v/>
      </c>
      <c r="CL423" s="99" t="str">
        <f aca="false">IF(ISBLANK($C423),"",IF($BR423&lt;&gt;Constants!$B$8,"",IF($BI423="-&gt;",2,1)))</f>
        <v/>
      </c>
      <c r="CM423" s="101" t="str">
        <f aca="false">IF(ISBLANK($C423),"",IF($BR423&lt;&gt;Constants!$B$8,"",IF($BI423="-&gt;",$BK423,$BC423)))</f>
        <v/>
      </c>
      <c r="CN423" s="101" t="str">
        <f aca="false">IF(ISBLANK($C423),"",IF($BR423&lt;&gt;Constants!$B$8,"",IF($BI423="-&gt;",$BL423,$BD423)))</f>
        <v/>
      </c>
      <c r="CO423" s="101" t="str">
        <f aca="false">IF(ISBLANK($C423),"",IF($BR423&lt;&gt;Constants!$B$8,"",IF($BI423="-&gt;",$BM423+$BN423,$BE423+$BF423)+$BV423))</f>
        <v/>
      </c>
      <c r="CP423" s="101" t="str">
        <f aca="false">IF(ISBLANK($C423),"",IF($BR423&lt;&gt;Constants!$B$8,"",IF($BI423="-&gt;",$BO423,$BG423)+$BU423))</f>
        <v/>
      </c>
      <c r="CQ423" s="102" t="str">
        <f aca="false">IF(ISBLANK($C423),"",IF($BR423&lt;&gt;Constants!$B$8,$BR423,$BW423))</f>
        <v/>
      </c>
      <c r="CR423" s="103" t="str">
        <f aca="false">IF(ISBLANK($C423),"",$BS423)</f>
        <v/>
      </c>
      <c r="CS423" s="104" t="str">
        <f aca="false">IF(ISBLANK($C423),"",$CH423)</f>
        <v/>
      </c>
      <c r="CT423" s="104" t="str">
        <f aca="false">IF(ISBLANK($C423),"",$CG423)</f>
        <v/>
      </c>
      <c r="CU423" s="105" t="str">
        <f aca="false">IF(ISBLANK($C423),"",IFERROR(_xlfn.SWITCH($CT423,Constants!$B$11,COUNTA($C$9:$C$508)+2,Constants!$B$10,COUNTA($C$9:$C$508)+1,Constants!$B$9,COUNTA($C$9:$C$508)),$CT423))</f>
        <v/>
      </c>
      <c r="CV423" s="9"/>
      <c r="CW423" s="106" t="n">
        <f aca="false">IF(OR(ISNUMBER($CT423),$CT423=Constants!$B$11,$CT423=Constants!$B$9,$CT423=Constants!$B$10),1,0)</f>
        <v>0</v>
      </c>
      <c r="CX423" s="106" t="n">
        <v>415</v>
      </c>
      <c r="CY423" s="106" t="str">
        <f aca="false">IF(ISBLANK($C423),"",IF(ISNUMBER($CU423),$CU423+ROW($B423)/1000,""))</f>
        <v/>
      </c>
      <c r="CZ423" s="106" t="str">
        <f aca="false">IF(ISNUMBER($CY423),RANK($CY423,$CY$9:$CY$508,1),"")</f>
        <v/>
      </c>
      <c r="DA423" s="106" t="str">
        <f aca="false">IF(ISBLANK($C423),"",$B423)</f>
        <v/>
      </c>
      <c r="DB423" s="106" t="str">
        <f aca="false">IF(ISBLANK($C423),"",$C423)</f>
        <v/>
      </c>
      <c r="DC423" s="106" t="str">
        <f aca="false">IF(ISBLANK($C423),"",$D423)</f>
        <v/>
      </c>
      <c r="DD423" s="107" t="str">
        <f aca="false">$CR423</f>
        <v/>
      </c>
      <c r="DE423" s="108" t="str">
        <f aca="false">$CQ423</f>
        <v/>
      </c>
      <c r="DF423" s="106" t="str">
        <f aca="false">IF(ISBLANK($C423),"",$CT423)</f>
        <v/>
      </c>
      <c r="DG423" s="109" t="str">
        <f aca="false">IF($CX423&gt;$CW$8,"",VLOOKUP($CX423,$CZ$9:$DF$508,7,FALSE()))</f>
        <v/>
      </c>
      <c r="DH423" s="110" t="str">
        <f aca="false">IF($CX423&gt;$CW$8,"",VLOOKUP($CX423,$CZ$9:$DF$508,2,FALSE()))</f>
        <v/>
      </c>
      <c r="DI423" s="110" t="str">
        <f aca="false">IF($CX423&gt;$CW$8,"",VLOOKUP($CX423,$CZ$9:$DF$508,3,FALSE()))</f>
        <v/>
      </c>
      <c r="DJ423" s="110" t="str">
        <f aca="false">IF($CX423&gt;$CW$8,"",VLOOKUP($CX423,$CZ$9:$DF$508,4,FALSE()))</f>
        <v/>
      </c>
      <c r="DK423" s="110" t="str">
        <f aca="false">IF($CX423&gt;$CW$8,"",VLOOKUP($CX423,$CZ$9:$DF$508,5,FALSE()))</f>
        <v/>
      </c>
      <c r="DL423" s="111" t="str">
        <f aca="false">IF($CX423&gt;$CW$8,"",VLOOKUP($CX423,$CZ$9:$DF$508,6,FALSE()))</f>
        <v/>
      </c>
      <c r="DM423" s="75"/>
    </row>
    <row r="424" customFormat="false" ht="15.75" hidden="false" customHeight="false" outlineLevel="0" collapsed="false">
      <c r="A424" s="9"/>
      <c r="B424" s="77"/>
      <c r="C424" s="78"/>
      <c r="D424" s="167"/>
      <c r="E424" s="175"/>
      <c r="F424" s="169"/>
      <c r="G424" s="170"/>
      <c r="H424" s="170"/>
      <c r="I424" s="176"/>
      <c r="J424" s="173"/>
      <c r="K424" s="85"/>
      <c r="L424" s="86"/>
      <c r="M424" s="87"/>
      <c r="N424" s="173"/>
      <c r="O424" s="173"/>
      <c r="P424" s="175"/>
      <c r="Q424" s="173"/>
      <c r="R424" s="173"/>
      <c r="S424" s="85"/>
      <c r="T424" s="87"/>
      <c r="U424" s="87"/>
      <c r="V424" s="173"/>
      <c r="W424" s="173"/>
      <c r="X424" s="175"/>
      <c r="Y424" s="173"/>
      <c r="Z424" s="174"/>
      <c r="AA424" s="173"/>
      <c r="AB424" s="91"/>
      <c r="AC424" s="92"/>
      <c r="AD424" s="92"/>
      <c r="AE424" s="92"/>
      <c r="AF424" s="92" t="str">
        <f aca="false">IF(ISBLANK($C424),"",IF(E424=Constants!$B$3,TRUE(),IF(E424=Constants!$B$4,FALSE(),TRUE())))</f>
        <v/>
      </c>
      <c r="AG424" s="92" t="str">
        <f aca="false">IF(ISBLANK($C424),"",IF(F424=Constants!$B$3,TRUE(),IF(F424=Constants!$B$4,FALSE(),TRUE())))</f>
        <v/>
      </c>
      <c r="AH424" s="92" t="str">
        <f aca="false">IF(ISBLANK($C424),"",IF(G424=Constants!$B$3,TRUE(),IF(G424=Constants!$B$4,FALSE(),TRUE())))</f>
        <v/>
      </c>
      <c r="AI424" s="92" t="str">
        <f aca="false">IF(ISBLANK($C424),"",IF(AND(ISNUMBER(H424),H424&gt;=0),H424,Constants!$B$29))</f>
        <v/>
      </c>
      <c r="AJ424" s="92" t="str">
        <f aca="false">IF(ISBLANK($C424),"",IF(I424=Constants!$B$3,TRUE(),IF(I424=Constants!$B$4,FALSE(),TRUE())))</f>
        <v/>
      </c>
      <c r="AK424" s="92" t="str">
        <f aca="false">IF(ISBLANK($C424),"",IF(J424=Constants!$B$3,TRUE(),IF(J424=Constants!$B$4,FALSE(),TRUE())))</f>
        <v/>
      </c>
      <c r="AL424" s="92" t="str">
        <f aca="false">IF(ISBLANK($C424),"",IF(K424=Constants!$B$5,TRUE(),IF(K424=Constants!$B$6,FALSE(),COUNTA(L424:P424)&gt;0)))</f>
        <v/>
      </c>
      <c r="AM424" s="94" t="str">
        <f aca="false">IF(ISBLANK($C424),"",IF(ISNUMBER(L424),IF(L424&gt;=0,L424,""),""))</f>
        <v/>
      </c>
      <c r="AN424" s="93" t="str">
        <f aca="false">IF(ISBLANK($C424),"",IF(ISNUMBER(M424),IF(M424&gt;=0,M424,""),""))</f>
        <v/>
      </c>
      <c r="AO424" s="93" t="str">
        <f aca="false">IF(ISBLANK($C424),"",IF(N424=Constants!$B$3,TRUE(),IF(N424=Constants!$B$4,FALSE(),TRUE())))</f>
        <v/>
      </c>
      <c r="AP424" s="92" t="str">
        <f aca="false">IF(ISBLANK($C424),"",IF(ISNUMBER(O424),IF(O424&gt;=0,O424,""),""))</f>
        <v/>
      </c>
      <c r="AQ424" s="92" t="str">
        <f aca="false">IF(ISBLANK($C424),"",IF(P424=Constants!$B$3,TRUE(),IF(P424=Constants!$B$4,FALSE(),FALSE())))</f>
        <v/>
      </c>
      <c r="AR424" s="92" t="str">
        <f aca="false">IF(ISBLANK($C424),"",IF(Q424=Constants!$B$3,TRUE(),IF(Q424=Constants!$B$4,FALSE(),TRUE())))</f>
        <v/>
      </c>
      <c r="AS424" s="92" t="str">
        <f aca="false">IF(ISBLANK($C424),"",IF(R424=Constants!$B$3,TRUE(),IF(R424=Constants!$B$4,FALSE(),TRUE())))</f>
        <v/>
      </c>
      <c r="AT424" s="92" t="str">
        <f aca="false">IF(ISBLANK($C424),"",IF(S424=Constants!$B$5,TRUE(),IF(S424=Constants!$B$6,FALSE(),COUNTA(T424:X424)&gt;0)))</f>
        <v/>
      </c>
      <c r="AU424" s="94" t="str">
        <f aca="false">IF(ISBLANK($C424),"",IF(ISNUMBER(T424),IF(T424&gt;=0,T424,""),""))</f>
        <v/>
      </c>
      <c r="AV424" s="93" t="str">
        <f aca="false">IF(ISBLANK($C424),"",IF(ISNUMBER(U424),IF(U424&gt;=0,U424,""),""))</f>
        <v/>
      </c>
      <c r="AW424" s="93" t="str">
        <f aca="false">IF(ISBLANK($C424),"",IF(V424=Constants!$B$3,TRUE(),IF(V424=Constants!$B$4,FALSE(),TRUE())))</f>
        <v/>
      </c>
      <c r="AX424" s="92" t="str">
        <f aca="false">IF(ISBLANK($C424),"",IF(ISNUMBER(W424),IF(W424&gt;=0,W424,""),""))</f>
        <v/>
      </c>
      <c r="AY424" s="92" t="str">
        <f aca="false">IF(ISBLANK($C424),"",IF(X424=Constants!$B$3,TRUE(),IF(X424=Constants!$B$4,FALSE(),FALSE())))</f>
        <v/>
      </c>
      <c r="AZ424" s="92" t="str">
        <f aca="false">IF(ISBLANK($C424),"",MIN(Constants!$B$31,MAX(0,IF(ISNUMBER(Y424),Y424*60,0)+IF(ISNUMBER(Z424),Z424,0))))</f>
        <v/>
      </c>
      <c r="BA424" s="92" t="str">
        <f aca="false">IF(ISBLANK($C424),"",IF(AA424=Constants!$B$3,TRUE(),IF(AA424=Constants!$B$4,FALSE(),FALSE())))</f>
        <v/>
      </c>
      <c r="BB424" s="91" t="str">
        <f aca="false">IF(ISBLANK($C424),"",AND($AL424,OR($AM424="",$AN424="",AND($AO424,$AP424=""))))</f>
        <v/>
      </c>
      <c r="BC424" s="93" t="str">
        <f aca="false">IF($BR424&lt;&gt;Constants!$B$8,"",IF($AL424,Constants!$B$21*$AN424+Constants!$B$22*IF($AO424,$AP424,Constants!$B$23),Constants!$B$24))</f>
        <v/>
      </c>
      <c r="BD424" s="96" t="str">
        <f aca="false">IF($BR424&lt;&gt;Constants!$B$8,"",Constants!$B$25*ABS($AD$9-IF($AL424,$AM424,0)))</f>
        <v/>
      </c>
      <c r="BE424" s="96" t="str">
        <f aca="false">IF($BR424&lt;&gt;Constants!$B$8,"",IF(AND($AL424,$AQ424,$AO424),Constants!$B$27,0))</f>
        <v/>
      </c>
      <c r="BF424" s="96" t="str">
        <f aca="false">IF($BR424&lt;&gt;Constants!$B$8,"",IF($AL424,($AI424-Constants!$B$29)*Constants!$B$28,0))</f>
        <v/>
      </c>
      <c r="BG424" s="96" t="str">
        <f aca="false">IF($BR424&lt;&gt;Constants!$B$8,"",IF($AK424,0,Constants!$B$15)+IF($AJ424,0,Constants!$B$16)+IF($AH424,0,Constants!$B$17))</f>
        <v/>
      </c>
      <c r="BH424" s="97" t="str">
        <f aca="false">IF($BR424&lt;&gt;Constants!$B$8,"",Constants!$B$20+SUM($BC424:$BG424))</f>
        <v/>
      </c>
      <c r="BI424" s="92" t="str">
        <f aca="false">IF($BR424&lt;&gt;Constants!$B$8,"",IF(OR($BP424&lt;$BH424,AND($BP424=$BH424,OR($BK424&lt;$BC424,AND($BK424=$BC424,OR($BL424&lt;$BD424,AND($BL424=$BD424,$AT424,$AL424,$AV424&lt;$AN424)))))),"-&gt;","&lt;-"))</f>
        <v/>
      </c>
      <c r="BJ424" s="91" t="str">
        <f aca="false">IF(ISBLANK($C424),"",AND($AT424,OR($AU424="",$AV424="",AND($AW424,$AX424=""))))</f>
        <v/>
      </c>
      <c r="BK424" s="93" t="str">
        <f aca="false">IF($BR424&lt;&gt;Constants!$B$8,"",IF($AT424,Constants!$B$21*$AV424+Constants!$B$22*IF($AW424,$AX424,Constants!$B$23),Constants!$B$24))</f>
        <v/>
      </c>
      <c r="BL424" s="96" t="str">
        <f aca="false">IF($BR424&lt;&gt;Constants!$B$8,"",Constants!$B$25*ABS($AD$9-IF($AT424,$AU424,0)))</f>
        <v/>
      </c>
      <c r="BM424" s="96" t="str">
        <f aca="false">IF($BR424&lt;&gt;Constants!$B$8,"",IF(AND($AT424,$AY424,$AW424),Constants!$B$27,0))</f>
        <v/>
      </c>
      <c r="BN424" s="96" t="str">
        <f aca="false">IF($BR424&lt;&gt;Constants!$B$8,"",IF($AT424,($AI424-Constants!$B$29)*Constants!$B$28,0))</f>
        <v/>
      </c>
      <c r="BO424" s="96" t="str">
        <f aca="false">IF($BR424&lt;&gt;Constants!$B$8,"",IF($AS424,0,Constants!$B$15)+IF($AR424,0,Constants!$B$16)+IF($AH424,0,Constants!$B$17))</f>
        <v/>
      </c>
      <c r="BP424" s="97" t="str">
        <f aca="false">IF($BR424&lt;&gt;Constants!$B$8,"",Constants!$B$20+SUM($BK424:$BO424))</f>
        <v/>
      </c>
      <c r="BQ424" s="92" t="str">
        <f aca="false">IF(ISBLANK($C424),"",IF(ISBLANK($D$7),$BQ$5,IF(NOT(ISNUMBER($D$7)),$BQ$6,"")))</f>
        <v/>
      </c>
      <c r="BR424" s="92" t="str">
        <f aca="false">IF(ISBLANK($C424),"",IF($BA424,Constants!$B$11,IF(COUNTA($E424:$AA424)=0,Constants!$B$10,IF(NOT($AG424),Constants!$B$9,IF(OR($BQ424&lt;&gt;"",$BB424,$BJ424),Constants!$B$12,Constants!$B$8)))))</f>
        <v/>
      </c>
      <c r="BS424" s="92" t="str">
        <f aca="false">IF(ISBLANK($C424),"",IF($BR424&lt;&gt;Constants!$B$8,$BR424,Constants!$B$13))</f>
        <v/>
      </c>
      <c r="BT424" s="96" t="str">
        <f aca="false">IF($BR424&lt;&gt;Constants!$B$8,"",IF($BI424="-&gt;",$BP424,$BH424))</f>
        <v/>
      </c>
      <c r="BU424" s="96" t="str">
        <f aca="false">IF($BR424&lt;&gt;Constants!$B$8,"",IF($AF424,0,Constants!$B$18))</f>
        <v/>
      </c>
      <c r="BV424" s="96" t="str">
        <f aca="false">IF($BR424&lt;&gt;Constants!$B$8,"",((Constants!$B$31-$AZ424)-Constants!$B$31)/Constants!$B$32)</f>
        <v/>
      </c>
      <c r="BW424" s="96" t="str">
        <f aca="false">IF(ISBLANK($C424),"",IF($BR424&lt;&gt;Constants!$B$8,$BR424,SUM($BT424:$BV424)))</f>
        <v/>
      </c>
      <c r="BX424" s="92" t="str">
        <f aca="false">IF(ISBLANK($C424),"",IF($BR424&lt;&gt;Constants!$B$8,$BR424,RANK($BW424,$BW$9:$BW$508,1)))</f>
        <v/>
      </c>
      <c r="BY424" s="96" t="str">
        <f aca="false">IF($BR424&lt;&gt;Constants!$B$8,"",IF($BI424="-&gt;",$BK424,$BC424))</f>
        <v/>
      </c>
      <c r="BZ424" s="92" t="str">
        <f aca="false">IF(ISBLANK($C424),"",IF($BR424&lt;&gt;Constants!$B$8,$BR424,IF(ISNUMBER($BY424),RANK($BY424,$BY$9:$BY$508,1),COUNT($BY$9:$BY$508)+1)))</f>
        <v/>
      </c>
      <c r="CA424" s="96" t="str">
        <f aca="false">IF($BR424&lt;&gt;Constants!$B$8,"",IF($BI424="-&gt;",$BL424,$BD424))</f>
        <v/>
      </c>
      <c r="CB424" s="92" t="str">
        <f aca="false">IF(ISBLANK($C424),"",IF($BR424&lt;&gt;Constants!$B$8,$BR424,IF(ISNUMBER($CA424),RANK($CA424,$CA$9:$CA$508,1),COUNT($CA$9:$CA$508)+1)))</f>
        <v/>
      </c>
      <c r="CC424" s="96" t="str">
        <f aca="false">IF($BR424&lt;&gt;Constants!$B$8,"",IF($BI424="-&gt;",IF($AT424,$AV424,""),IF($AL424,$AN424,"")))</f>
        <v/>
      </c>
      <c r="CD424" s="92" t="str">
        <f aca="false">IF(ISBLANK($C424),"",IF($BR424&lt;&gt;Constants!$B$8,$BR424,IF(ISNUMBER($CC424),RANK($CC424,$CC$9:$CC$508,1),COUNT($CC$9:$CC$508)+1)))</f>
        <v/>
      </c>
      <c r="CE424" s="96" t="str">
        <f aca="false">IF($BR424&lt;&gt;Constants!$B$8,"",IF(AND(NOT($AL424),NOT($AT424),$AJ424,$AK424,$AR424,$AS424),"",$AI424))</f>
        <v/>
      </c>
      <c r="CF424" s="92" t="str">
        <f aca="false">IF(ISBLANK($C424),"",IF($BR424&lt;&gt;Constants!$B$8,$BR424,IF(ISNUMBER($CE424),RANK($CE424,$CE$9:$CE$508,1),COUNT($CE$9:$CE$508)+1)))</f>
        <v/>
      </c>
      <c r="CG424" s="92" t="str">
        <f aca="false">IF(ISBLANK($C424),"",IF($BR424&lt;&gt;Constants!$B$8,$BR424,COUNTIFS($BX$9:$BX$508,"&lt;"&amp;$BX424)+COUNTIFS($BX$9:$BX$508,$BX424,$BZ$9:$BZ$508,"&lt;"&amp;$BZ424)+COUNTIFS($BX$9:$BX$508,$BX424,$BZ$9:$BZ$508,$BZ424,$CB$9:$CB$508,"&lt;"&amp;$CB424)+COUNTIFS($BX$9:$BX$508,$BX424,$BZ$9:$BZ$508,$BZ424,$CB$9:$CB$508,$CB424,$CD$9:$CD$508,"&lt;"&amp;$CD424)+COUNTIFS($BX$9:$BX$508,$BX424,$BZ$9:$BZ$508,$BZ424,$CB$9:$CB$508,$CB424,$CD$9:$CD$508,$CD424,$CF$9:$CF$508,"&lt;"&amp;$CF424)+1))</f>
        <v/>
      </c>
      <c r="CH424" s="92" t="str">
        <f aca="false">IF(ISBLANK($C424),"",IF($BR424&lt;&gt;Constants!$B$8,$BR424,$BX424-$CG424))</f>
        <v/>
      </c>
      <c r="CI424" s="98"/>
      <c r="CJ424" s="99"/>
      <c r="CK424" s="100" t="str">
        <f aca="false">IF(ISBLANK($C424),"",IF($BR424=Constants!$B$12,$BQ424,""))</f>
        <v/>
      </c>
      <c r="CL424" s="99" t="str">
        <f aca="false">IF(ISBLANK($C424),"",IF($BR424&lt;&gt;Constants!$B$8,"",IF($BI424="-&gt;",2,1)))</f>
        <v/>
      </c>
      <c r="CM424" s="101" t="str">
        <f aca="false">IF(ISBLANK($C424),"",IF($BR424&lt;&gt;Constants!$B$8,"",IF($BI424="-&gt;",$BK424,$BC424)))</f>
        <v/>
      </c>
      <c r="CN424" s="101" t="str">
        <f aca="false">IF(ISBLANK($C424),"",IF($BR424&lt;&gt;Constants!$B$8,"",IF($BI424="-&gt;",$BL424,$BD424)))</f>
        <v/>
      </c>
      <c r="CO424" s="101" t="str">
        <f aca="false">IF(ISBLANK($C424),"",IF($BR424&lt;&gt;Constants!$B$8,"",IF($BI424="-&gt;",$BM424+$BN424,$BE424+$BF424)+$BV424))</f>
        <v/>
      </c>
      <c r="CP424" s="101" t="str">
        <f aca="false">IF(ISBLANK($C424),"",IF($BR424&lt;&gt;Constants!$B$8,"",IF($BI424="-&gt;",$BO424,$BG424)+$BU424))</f>
        <v/>
      </c>
      <c r="CQ424" s="102" t="str">
        <f aca="false">IF(ISBLANK($C424),"",IF($BR424&lt;&gt;Constants!$B$8,$BR424,$BW424))</f>
        <v/>
      </c>
      <c r="CR424" s="103" t="str">
        <f aca="false">IF(ISBLANK($C424),"",$BS424)</f>
        <v/>
      </c>
      <c r="CS424" s="104" t="str">
        <f aca="false">IF(ISBLANK($C424),"",$CH424)</f>
        <v/>
      </c>
      <c r="CT424" s="104" t="str">
        <f aca="false">IF(ISBLANK($C424),"",$CG424)</f>
        <v/>
      </c>
      <c r="CU424" s="105" t="str">
        <f aca="false">IF(ISBLANK($C424),"",IFERROR(_xlfn.SWITCH($CT424,Constants!$B$11,COUNTA($C$9:$C$508)+2,Constants!$B$10,COUNTA($C$9:$C$508)+1,Constants!$B$9,COUNTA($C$9:$C$508)),$CT424))</f>
        <v/>
      </c>
      <c r="CV424" s="9"/>
      <c r="CW424" s="106" t="n">
        <f aca="false">IF(OR(ISNUMBER($CT424),$CT424=Constants!$B$11,$CT424=Constants!$B$9,$CT424=Constants!$B$10),1,0)</f>
        <v>0</v>
      </c>
      <c r="CX424" s="106" t="n">
        <v>416</v>
      </c>
      <c r="CY424" s="106" t="str">
        <f aca="false">IF(ISBLANK($C424),"",IF(ISNUMBER($CU424),$CU424+ROW($B424)/1000,""))</f>
        <v/>
      </c>
      <c r="CZ424" s="106" t="str">
        <f aca="false">IF(ISNUMBER($CY424),RANK($CY424,$CY$9:$CY$508,1),"")</f>
        <v/>
      </c>
      <c r="DA424" s="106" t="str">
        <f aca="false">IF(ISBLANK($C424),"",$B424)</f>
        <v/>
      </c>
      <c r="DB424" s="106" t="str">
        <f aca="false">IF(ISBLANK($C424),"",$C424)</f>
        <v/>
      </c>
      <c r="DC424" s="106" t="str">
        <f aca="false">IF(ISBLANK($C424),"",$D424)</f>
        <v/>
      </c>
      <c r="DD424" s="107" t="str">
        <f aca="false">$CR424</f>
        <v/>
      </c>
      <c r="DE424" s="108" t="str">
        <f aca="false">$CQ424</f>
        <v/>
      </c>
      <c r="DF424" s="106" t="str">
        <f aca="false">IF(ISBLANK($C424),"",$CT424)</f>
        <v/>
      </c>
      <c r="DG424" s="109" t="str">
        <f aca="false">IF($CX424&gt;$CW$8,"",VLOOKUP($CX424,$CZ$9:$DF$508,7,FALSE()))</f>
        <v/>
      </c>
      <c r="DH424" s="110" t="str">
        <f aca="false">IF($CX424&gt;$CW$8,"",VLOOKUP($CX424,$CZ$9:$DF$508,2,FALSE()))</f>
        <v/>
      </c>
      <c r="DI424" s="110" t="str">
        <f aca="false">IF($CX424&gt;$CW$8,"",VLOOKUP($CX424,$CZ$9:$DF$508,3,FALSE()))</f>
        <v/>
      </c>
      <c r="DJ424" s="110" t="str">
        <f aca="false">IF($CX424&gt;$CW$8,"",VLOOKUP($CX424,$CZ$9:$DF$508,4,FALSE()))</f>
        <v/>
      </c>
      <c r="DK424" s="110" t="str">
        <f aca="false">IF($CX424&gt;$CW$8,"",VLOOKUP($CX424,$CZ$9:$DF$508,5,FALSE()))</f>
        <v/>
      </c>
      <c r="DL424" s="111" t="str">
        <f aca="false">IF($CX424&gt;$CW$8,"",VLOOKUP($CX424,$CZ$9:$DF$508,6,FALSE()))</f>
        <v/>
      </c>
      <c r="DM424" s="75"/>
    </row>
    <row r="425" customFormat="false" ht="15.75" hidden="false" customHeight="false" outlineLevel="0" collapsed="false">
      <c r="A425" s="9"/>
      <c r="B425" s="77"/>
      <c r="C425" s="78"/>
      <c r="D425" s="167"/>
      <c r="E425" s="175"/>
      <c r="F425" s="169"/>
      <c r="G425" s="170"/>
      <c r="H425" s="170"/>
      <c r="I425" s="176"/>
      <c r="J425" s="173"/>
      <c r="K425" s="85"/>
      <c r="L425" s="86"/>
      <c r="M425" s="87"/>
      <c r="N425" s="173"/>
      <c r="O425" s="173"/>
      <c r="P425" s="175"/>
      <c r="Q425" s="173"/>
      <c r="R425" s="173"/>
      <c r="S425" s="85"/>
      <c r="T425" s="87"/>
      <c r="U425" s="87"/>
      <c r="V425" s="173"/>
      <c r="W425" s="173"/>
      <c r="X425" s="175"/>
      <c r="Y425" s="173"/>
      <c r="Z425" s="174"/>
      <c r="AA425" s="173"/>
      <c r="AB425" s="91"/>
      <c r="AC425" s="92"/>
      <c r="AD425" s="92"/>
      <c r="AE425" s="92"/>
      <c r="AF425" s="92" t="str">
        <f aca="false">IF(ISBLANK($C425),"",IF(E425=Constants!$B$3,TRUE(),IF(E425=Constants!$B$4,FALSE(),TRUE())))</f>
        <v/>
      </c>
      <c r="AG425" s="92" t="str">
        <f aca="false">IF(ISBLANK($C425),"",IF(F425=Constants!$B$3,TRUE(),IF(F425=Constants!$B$4,FALSE(),TRUE())))</f>
        <v/>
      </c>
      <c r="AH425" s="92" t="str">
        <f aca="false">IF(ISBLANK($C425),"",IF(G425=Constants!$B$3,TRUE(),IF(G425=Constants!$B$4,FALSE(),TRUE())))</f>
        <v/>
      </c>
      <c r="AI425" s="92" t="str">
        <f aca="false">IF(ISBLANK($C425),"",IF(AND(ISNUMBER(H425),H425&gt;=0),H425,Constants!$B$29))</f>
        <v/>
      </c>
      <c r="AJ425" s="92" t="str">
        <f aca="false">IF(ISBLANK($C425),"",IF(I425=Constants!$B$3,TRUE(),IF(I425=Constants!$B$4,FALSE(),TRUE())))</f>
        <v/>
      </c>
      <c r="AK425" s="92" t="str">
        <f aca="false">IF(ISBLANK($C425),"",IF(J425=Constants!$B$3,TRUE(),IF(J425=Constants!$B$4,FALSE(),TRUE())))</f>
        <v/>
      </c>
      <c r="AL425" s="92" t="str">
        <f aca="false">IF(ISBLANK($C425),"",IF(K425=Constants!$B$5,TRUE(),IF(K425=Constants!$B$6,FALSE(),COUNTA(L425:P425)&gt;0)))</f>
        <v/>
      </c>
      <c r="AM425" s="94" t="str">
        <f aca="false">IF(ISBLANK($C425),"",IF(ISNUMBER(L425),IF(L425&gt;=0,L425,""),""))</f>
        <v/>
      </c>
      <c r="AN425" s="93" t="str">
        <f aca="false">IF(ISBLANK($C425),"",IF(ISNUMBER(M425),IF(M425&gt;=0,M425,""),""))</f>
        <v/>
      </c>
      <c r="AO425" s="93" t="str">
        <f aca="false">IF(ISBLANK($C425),"",IF(N425=Constants!$B$3,TRUE(),IF(N425=Constants!$B$4,FALSE(),TRUE())))</f>
        <v/>
      </c>
      <c r="AP425" s="92" t="str">
        <f aca="false">IF(ISBLANK($C425),"",IF(ISNUMBER(O425),IF(O425&gt;=0,O425,""),""))</f>
        <v/>
      </c>
      <c r="AQ425" s="92" t="str">
        <f aca="false">IF(ISBLANK($C425),"",IF(P425=Constants!$B$3,TRUE(),IF(P425=Constants!$B$4,FALSE(),FALSE())))</f>
        <v/>
      </c>
      <c r="AR425" s="92" t="str">
        <f aca="false">IF(ISBLANK($C425),"",IF(Q425=Constants!$B$3,TRUE(),IF(Q425=Constants!$B$4,FALSE(),TRUE())))</f>
        <v/>
      </c>
      <c r="AS425" s="92" t="str">
        <f aca="false">IF(ISBLANK($C425),"",IF(R425=Constants!$B$3,TRUE(),IF(R425=Constants!$B$4,FALSE(),TRUE())))</f>
        <v/>
      </c>
      <c r="AT425" s="92" t="str">
        <f aca="false">IF(ISBLANK($C425),"",IF(S425=Constants!$B$5,TRUE(),IF(S425=Constants!$B$6,FALSE(),COUNTA(T425:X425)&gt;0)))</f>
        <v/>
      </c>
      <c r="AU425" s="94" t="str">
        <f aca="false">IF(ISBLANK($C425),"",IF(ISNUMBER(T425),IF(T425&gt;=0,T425,""),""))</f>
        <v/>
      </c>
      <c r="AV425" s="93" t="str">
        <f aca="false">IF(ISBLANK($C425),"",IF(ISNUMBER(U425),IF(U425&gt;=0,U425,""),""))</f>
        <v/>
      </c>
      <c r="AW425" s="93" t="str">
        <f aca="false">IF(ISBLANK($C425),"",IF(V425=Constants!$B$3,TRUE(),IF(V425=Constants!$B$4,FALSE(),TRUE())))</f>
        <v/>
      </c>
      <c r="AX425" s="92" t="str">
        <f aca="false">IF(ISBLANK($C425),"",IF(ISNUMBER(W425),IF(W425&gt;=0,W425,""),""))</f>
        <v/>
      </c>
      <c r="AY425" s="92" t="str">
        <f aca="false">IF(ISBLANK($C425),"",IF(X425=Constants!$B$3,TRUE(),IF(X425=Constants!$B$4,FALSE(),FALSE())))</f>
        <v/>
      </c>
      <c r="AZ425" s="92" t="str">
        <f aca="false">IF(ISBLANK($C425),"",MIN(Constants!$B$31,MAX(0,IF(ISNUMBER(Y425),Y425*60,0)+IF(ISNUMBER(Z425),Z425,0))))</f>
        <v/>
      </c>
      <c r="BA425" s="92" t="str">
        <f aca="false">IF(ISBLANK($C425),"",IF(AA425=Constants!$B$3,TRUE(),IF(AA425=Constants!$B$4,FALSE(),FALSE())))</f>
        <v/>
      </c>
      <c r="BB425" s="91" t="str">
        <f aca="false">IF(ISBLANK($C425),"",AND($AL425,OR($AM425="",$AN425="",AND($AO425,$AP425=""))))</f>
        <v/>
      </c>
      <c r="BC425" s="93" t="str">
        <f aca="false">IF($BR425&lt;&gt;Constants!$B$8,"",IF($AL425,Constants!$B$21*$AN425+Constants!$B$22*IF($AO425,$AP425,Constants!$B$23),Constants!$B$24))</f>
        <v/>
      </c>
      <c r="BD425" s="96" t="str">
        <f aca="false">IF($BR425&lt;&gt;Constants!$B$8,"",Constants!$B$25*ABS($AD$9-IF($AL425,$AM425,0)))</f>
        <v/>
      </c>
      <c r="BE425" s="96" t="str">
        <f aca="false">IF($BR425&lt;&gt;Constants!$B$8,"",IF(AND($AL425,$AQ425,$AO425),Constants!$B$27,0))</f>
        <v/>
      </c>
      <c r="BF425" s="96" t="str">
        <f aca="false">IF($BR425&lt;&gt;Constants!$B$8,"",IF($AL425,($AI425-Constants!$B$29)*Constants!$B$28,0))</f>
        <v/>
      </c>
      <c r="BG425" s="96" t="str">
        <f aca="false">IF($BR425&lt;&gt;Constants!$B$8,"",IF($AK425,0,Constants!$B$15)+IF($AJ425,0,Constants!$B$16)+IF($AH425,0,Constants!$B$17))</f>
        <v/>
      </c>
      <c r="BH425" s="97" t="str">
        <f aca="false">IF($BR425&lt;&gt;Constants!$B$8,"",Constants!$B$20+SUM($BC425:$BG425))</f>
        <v/>
      </c>
      <c r="BI425" s="92" t="str">
        <f aca="false">IF($BR425&lt;&gt;Constants!$B$8,"",IF(OR($BP425&lt;$BH425,AND($BP425=$BH425,OR($BK425&lt;$BC425,AND($BK425=$BC425,OR($BL425&lt;$BD425,AND($BL425=$BD425,$AT425,$AL425,$AV425&lt;$AN425)))))),"-&gt;","&lt;-"))</f>
        <v/>
      </c>
      <c r="BJ425" s="91" t="str">
        <f aca="false">IF(ISBLANK($C425),"",AND($AT425,OR($AU425="",$AV425="",AND($AW425,$AX425=""))))</f>
        <v/>
      </c>
      <c r="BK425" s="93" t="str">
        <f aca="false">IF($BR425&lt;&gt;Constants!$B$8,"",IF($AT425,Constants!$B$21*$AV425+Constants!$B$22*IF($AW425,$AX425,Constants!$B$23),Constants!$B$24))</f>
        <v/>
      </c>
      <c r="BL425" s="96" t="str">
        <f aca="false">IF($BR425&lt;&gt;Constants!$B$8,"",Constants!$B$25*ABS($AD$9-IF($AT425,$AU425,0)))</f>
        <v/>
      </c>
      <c r="BM425" s="96" t="str">
        <f aca="false">IF($BR425&lt;&gt;Constants!$B$8,"",IF(AND($AT425,$AY425,$AW425),Constants!$B$27,0))</f>
        <v/>
      </c>
      <c r="BN425" s="96" t="str">
        <f aca="false">IF($BR425&lt;&gt;Constants!$B$8,"",IF($AT425,($AI425-Constants!$B$29)*Constants!$B$28,0))</f>
        <v/>
      </c>
      <c r="BO425" s="96" t="str">
        <f aca="false">IF($BR425&lt;&gt;Constants!$B$8,"",IF($AS425,0,Constants!$B$15)+IF($AR425,0,Constants!$B$16)+IF($AH425,0,Constants!$B$17))</f>
        <v/>
      </c>
      <c r="BP425" s="97" t="str">
        <f aca="false">IF($BR425&lt;&gt;Constants!$B$8,"",Constants!$B$20+SUM($BK425:$BO425))</f>
        <v/>
      </c>
      <c r="BQ425" s="92" t="str">
        <f aca="false">IF(ISBLANK($C425),"",IF(ISBLANK($D$7),$BQ$5,IF(NOT(ISNUMBER($D$7)),$BQ$6,"")))</f>
        <v/>
      </c>
      <c r="BR425" s="92" t="str">
        <f aca="false">IF(ISBLANK($C425),"",IF($BA425,Constants!$B$11,IF(COUNTA($E425:$AA425)=0,Constants!$B$10,IF(NOT($AG425),Constants!$B$9,IF(OR($BQ425&lt;&gt;"",$BB425,$BJ425),Constants!$B$12,Constants!$B$8)))))</f>
        <v/>
      </c>
      <c r="BS425" s="92" t="str">
        <f aca="false">IF(ISBLANK($C425),"",IF($BR425&lt;&gt;Constants!$B$8,$BR425,Constants!$B$13))</f>
        <v/>
      </c>
      <c r="BT425" s="96" t="str">
        <f aca="false">IF($BR425&lt;&gt;Constants!$B$8,"",IF($BI425="-&gt;",$BP425,$BH425))</f>
        <v/>
      </c>
      <c r="BU425" s="96" t="str">
        <f aca="false">IF($BR425&lt;&gt;Constants!$B$8,"",IF($AF425,0,Constants!$B$18))</f>
        <v/>
      </c>
      <c r="BV425" s="96" t="str">
        <f aca="false">IF($BR425&lt;&gt;Constants!$B$8,"",((Constants!$B$31-$AZ425)-Constants!$B$31)/Constants!$B$32)</f>
        <v/>
      </c>
      <c r="BW425" s="96" t="str">
        <f aca="false">IF(ISBLANK($C425),"",IF($BR425&lt;&gt;Constants!$B$8,$BR425,SUM($BT425:$BV425)))</f>
        <v/>
      </c>
      <c r="BX425" s="92" t="str">
        <f aca="false">IF(ISBLANK($C425),"",IF($BR425&lt;&gt;Constants!$B$8,$BR425,RANK($BW425,$BW$9:$BW$508,1)))</f>
        <v/>
      </c>
      <c r="BY425" s="96" t="str">
        <f aca="false">IF($BR425&lt;&gt;Constants!$B$8,"",IF($BI425="-&gt;",$BK425,$BC425))</f>
        <v/>
      </c>
      <c r="BZ425" s="92" t="str">
        <f aca="false">IF(ISBLANK($C425),"",IF($BR425&lt;&gt;Constants!$B$8,$BR425,IF(ISNUMBER($BY425),RANK($BY425,$BY$9:$BY$508,1),COUNT($BY$9:$BY$508)+1)))</f>
        <v/>
      </c>
      <c r="CA425" s="96" t="str">
        <f aca="false">IF($BR425&lt;&gt;Constants!$B$8,"",IF($BI425="-&gt;",$BL425,$BD425))</f>
        <v/>
      </c>
      <c r="CB425" s="92" t="str">
        <f aca="false">IF(ISBLANK($C425),"",IF($BR425&lt;&gt;Constants!$B$8,$BR425,IF(ISNUMBER($CA425),RANK($CA425,$CA$9:$CA$508,1),COUNT($CA$9:$CA$508)+1)))</f>
        <v/>
      </c>
      <c r="CC425" s="96" t="str">
        <f aca="false">IF($BR425&lt;&gt;Constants!$B$8,"",IF($BI425="-&gt;",IF($AT425,$AV425,""),IF($AL425,$AN425,"")))</f>
        <v/>
      </c>
      <c r="CD425" s="92" t="str">
        <f aca="false">IF(ISBLANK($C425),"",IF($BR425&lt;&gt;Constants!$B$8,$BR425,IF(ISNUMBER($CC425),RANK($CC425,$CC$9:$CC$508,1),COUNT($CC$9:$CC$508)+1)))</f>
        <v/>
      </c>
      <c r="CE425" s="96" t="str">
        <f aca="false">IF($BR425&lt;&gt;Constants!$B$8,"",IF(AND(NOT($AL425),NOT($AT425),$AJ425,$AK425,$AR425,$AS425),"",$AI425))</f>
        <v/>
      </c>
      <c r="CF425" s="92" t="str">
        <f aca="false">IF(ISBLANK($C425),"",IF($BR425&lt;&gt;Constants!$B$8,$BR425,IF(ISNUMBER($CE425),RANK($CE425,$CE$9:$CE$508,1),COUNT($CE$9:$CE$508)+1)))</f>
        <v/>
      </c>
      <c r="CG425" s="92" t="str">
        <f aca="false">IF(ISBLANK($C425),"",IF($BR425&lt;&gt;Constants!$B$8,$BR425,COUNTIFS($BX$9:$BX$508,"&lt;"&amp;$BX425)+COUNTIFS($BX$9:$BX$508,$BX425,$BZ$9:$BZ$508,"&lt;"&amp;$BZ425)+COUNTIFS($BX$9:$BX$508,$BX425,$BZ$9:$BZ$508,$BZ425,$CB$9:$CB$508,"&lt;"&amp;$CB425)+COUNTIFS($BX$9:$BX$508,$BX425,$BZ$9:$BZ$508,$BZ425,$CB$9:$CB$508,$CB425,$CD$9:$CD$508,"&lt;"&amp;$CD425)+COUNTIFS($BX$9:$BX$508,$BX425,$BZ$9:$BZ$508,$BZ425,$CB$9:$CB$508,$CB425,$CD$9:$CD$508,$CD425,$CF$9:$CF$508,"&lt;"&amp;$CF425)+1))</f>
        <v/>
      </c>
      <c r="CH425" s="92" t="str">
        <f aca="false">IF(ISBLANK($C425),"",IF($BR425&lt;&gt;Constants!$B$8,$BR425,$BX425-$CG425))</f>
        <v/>
      </c>
      <c r="CI425" s="98"/>
      <c r="CJ425" s="99"/>
      <c r="CK425" s="100" t="str">
        <f aca="false">IF(ISBLANK($C425),"",IF($BR425=Constants!$B$12,$BQ425,""))</f>
        <v/>
      </c>
      <c r="CL425" s="99" t="str">
        <f aca="false">IF(ISBLANK($C425),"",IF($BR425&lt;&gt;Constants!$B$8,"",IF($BI425="-&gt;",2,1)))</f>
        <v/>
      </c>
      <c r="CM425" s="101" t="str">
        <f aca="false">IF(ISBLANK($C425),"",IF($BR425&lt;&gt;Constants!$B$8,"",IF($BI425="-&gt;",$BK425,$BC425)))</f>
        <v/>
      </c>
      <c r="CN425" s="101" t="str">
        <f aca="false">IF(ISBLANK($C425),"",IF($BR425&lt;&gt;Constants!$B$8,"",IF($BI425="-&gt;",$BL425,$BD425)))</f>
        <v/>
      </c>
      <c r="CO425" s="101" t="str">
        <f aca="false">IF(ISBLANK($C425),"",IF($BR425&lt;&gt;Constants!$B$8,"",IF($BI425="-&gt;",$BM425+$BN425,$BE425+$BF425)+$BV425))</f>
        <v/>
      </c>
      <c r="CP425" s="101" t="str">
        <f aca="false">IF(ISBLANK($C425),"",IF($BR425&lt;&gt;Constants!$B$8,"",IF($BI425="-&gt;",$BO425,$BG425)+$BU425))</f>
        <v/>
      </c>
      <c r="CQ425" s="102" t="str">
        <f aca="false">IF(ISBLANK($C425),"",IF($BR425&lt;&gt;Constants!$B$8,$BR425,$BW425))</f>
        <v/>
      </c>
      <c r="CR425" s="103" t="str">
        <f aca="false">IF(ISBLANK($C425),"",$BS425)</f>
        <v/>
      </c>
      <c r="CS425" s="104" t="str">
        <f aca="false">IF(ISBLANK($C425),"",$CH425)</f>
        <v/>
      </c>
      <c r="CT425" s="104" t="str">
        <f aca="false">IF(ISBLANK($C425),"",$CG425)</f>
        <v/>
      </c>
      <c r="CU425" s="105" t="str">
        <f aca="false">IF(ISBLANK($C425),"",IFERROR(_xlfn.SWITCH($CT425,Constants!$B$11,COUNTA($C$9:$C$508)+2,Constants!$B$10,COUNTA($C$9:$C$508)+1,Constants!$B$9,COUNTA($C$9:$C$508)),$CT425))</f>
        <v/>
      </c>
      <c r="CV425" s="9"/>
      <c r="CW425" s="106" t="n">
        <f aca="false">IF(OR(ISNUMBER($CT425),$CT425=Constants!$B$11,$CT425=Constants!$B$9,$CT425=Constants!$B$10),1,0)</f>
        <v>0</v>
      </c>
      <c r="CX425" s="106" t="n">
        <v>417</v>
      </c>
      <c r="CY425" s="106" t="str">
        <f aca="false">IF(ISBLANK($C425),"",IF(ISNUMBER($CU425),$CU425+ROW($B425)/1000,""))</f>
        <v/>
      </c>
      <c r="CZ425" s="106" t="str">
        <f aca="false">IF(ISNUMBER($CY425),RANK($CY425,$CY$9:$CY$508,1),"")</f>
        <v/>
      </c>
      <c r="DA425" s="106" t="str">
        <f aca="false">IF(ISBLANK($C425),"",$B425)</f>
        <v/>
      </c>
      <c r="DB425" s="106" t="str">
        <f aca="false">IF(ISBLANK($C425),"",$C425)</f>
        <v/>
      </c>
      <c r="DC425" s="106" t="str">
        <f aca="false">IF(ISBLANK($C425),"",$D425)</f>
        <v/>
      </c>
      <c r="DD425" s="107" t="str">
        <f aca="false">$CR425</f>
        <v/>
      </c>
      <c r="DE425" s="108" t="str">
        <f aca="false">$CQ425</f>
        <v/>
      </c>
      <c r="DF425" s="106" t="str">
        <f aca="false">IF(ISBLANK($C425),"",$CT425)</f>
        <v/>
      </c>
      <c r="DG425" s="109" t="str">
        <f aca="false">IF($CX425&gt;$CW$8,"",VLOOKUP($CX425,$CZ$9:$DF$508,7,FALSE()))</f>
        <v/>
      </c>
      <c r="DH425" s="110" t="str">
        <f aca="false">IF($CX425&gt;$CW$8,"",VLOOKUP($CX425,$CZ$9:$DF$508,2,FALSE()))</f>
        <v/>
      </c>
      <c r="DI425" s="110" t="str">
        <f aca="false">IF($CX425&gt;$CW$8,"",VLOOKUP($CX425,$CZ$9:$DF$508,3,FALSE()))</f>
        <v/>
      </c>
      <c r="DJ425" s="110" t="str">
        <f aca="false">IF($CX425&gt;$CW$8,"",VLOOKUP($CX425,$CZ$9:$DF$508,4,FALSE()))</f>
        <v/>
      </c>
      <c r="DK425" s="110" t="str">
        <f aca="false">IF($CX425&gt;$CW$8,"",VLOOKUP($CX425,$CZ$9:$DF$508,5,FALSE()))</f>
        <v/>
      </c>
      <c r="DL425" s="111" t="str">
        <f aca="false">IF($CX425&gt;$CW$8,"",VLOOKUP($CX425,$CZ$9:$DF$508,6,FALSE()))</f>
        <v/>
      </c>
      <c r="DM425" s="75"/>
    </row>
    <row r="426" customFormat="false" ht="15.75" hidden="false" customHeight="false" outlineLevel="0" collapsed="false">
      <c r="A426" s="9"/>
      <c r="B426" s="157"/>
      <c r="C426" s="158"/>
      <c r="D426" s="159"/>
      <c r="E426" s="177"/>
      <c r="F426" s="161"/>
      <c r="G426" s="162"/>
      <c r="H426" s="162"/>
      <c r="I426" s="178"/>
      <c r="J426" s="165"/>
      <c r="K426" s="126"/>
      <c r="L426" s="127"/>
      <c r="M426" s="128"/>
      <c r="N426" s="165"/>
      <c r="O426" s="165"/>
      <c r="P426" s="177"/>
      <c r="Q426" s="165"/>
      <c r="R426" s="165"/>
      <c r="S426" s="126"/>
      <c r="T426" s="128"/>
      <c r="U426" s="128"/>
      <c r="V426" s="165"/>
      <c r="W426" s="165"/>
      <c r="X426" s="177"/>
      <c r="Y426" s="165"/>
      <c r="Z426" s="166"/>
      <c r="AA426" s="165"/>
      <c r="AB426" s="132"/>
      <c r="AC426" s="133"/>
      <c r="AD426" s="133"/>
      <c r="AE426" s="133"/>
      <c r="AF426" s="133" t="str">
        <f aca="false">IF(ISBLANK($C426),"",IF(E426=Constants!$B$3,TRUE(),IF(E426=Constants!$B$4,FALSE(),TRUE())))</f>
        <v/>
      </c>
      <c r="AG426" s="133" t="str">
        <f aca="false">IF(ISBLANK($C426),"",IF(F426=Constants!$B$3,TRUE(),IF(F426=Constants!$B$4,FALSE(),TRUE())))</f>
        <v/>
      </c>
      <c r="AH426" s="133" t="str">
        <f aca="false">IF(ISBLANK($C426),"",IF(G426=Constants!$B$3,TRUE(),IF(G426=Constants!$B$4,FALSE(),TRUE())))</f>
        <v/>
      </c>
      <c r="AI426" s="133" t="str">
        <f aca="false">IF(ISBLANK($C426),"",IF(AND(ISNUMBER(H426),H426&gt;=0),H426,Constants!$B$29))</f>
        <v/>
      </c>
      <c r="AJ426" s="133" t="str">
        <f aca="false">IF(ISBLANK($C426),"",IF(I426=Constants!$B$3,TRUE(),IF(I426=Constants!$B$4,FALSE(),TRUE())))</f>
        <v/>
      </c>
      <c r="AK426" s="133" t="str">
        <f aca="false">IF(ISBLANK($C426),"",IF(J426=Constants!$B$3,TRUE(),IF(J426=Constants!$B$4,FALSE(),TRUE())))</f>
        <v/>
      </c>
      <c r="AL426" s="133" t="str">
        <f aca="false">IF(ISBLANK($C426),"",IF(K426=Constants!$B$5,TRUE(),IF(K426=Constants!$B$6,FALSE(),COUNTA(L426:P426)&gt;0)))</f>
        <v/>
      </c>
      <c r="AM426" s="134" t="str">
        <f aca="false">IF(ISBLANK($C426),"",IF(ISNUMBER(L426),IF(L426&gt;=0,L426,""),""))</f>
        <v/>
      </c>
      <c r="AN426" s="135" t="str">
        <f aca="false">IF(ISBLANK($C426),"",IF(ISNUMBER(M426),IF(M426&gt;=0,M426,""),""))</f>
        <v/>
      </c>
      <c r="AO426" s="135" t="str">
        <f aca="false">IF(ISBLANK($C426),"",IF(N426=Constants!$B$3,TRUE(),IF(N426=Constants!$B$4,FALSE(),TRUE())))</f>
        <v/>
      </c>
      <c r="AP426" s="133" t="str">
        <f aca="false">IF(ISBLANK($C426),"",IF(ISNUMBER(O426),IF(O426&gt;=0,O426,""),""))</f>
        <v/>
      </c>
      <c r="AQ426" s="133" t="str">
        <f aca="false">IF(ISBLANK($C426),"",IF(P426=Constants!$B$3,TRUE(),IF(P426=Constants!$B$4,FALSE(),FALSE())))</f>
        <v/>
      </c>
      <c r="AR426" s="133" t="str">
        <f aca="false">IF(ISBLANK($C426),"",IF(Q426=Constants!$B$3,TRUE(),IF(Q426=Constants!$B$4,FALSE(),TRUE())))</f>
        <v/>
      </c>
      <c r="AS426" s="133" t="str">
        <f aca="false">IF(ISBLANK($C426),"",IF(R426=Constants!$B$3,TRUE(),IF(R426=Constants!$B$4,FALSE(),TRUE())))</f>
        <v/>
      </c>
      <c r="AT426" s="133" t="str">
        <f aca="false">IF(ISBLANK($C426),"",IF(S426=Constants!$B$5,TRUE(),IF(S426=Constants!$B$6,FALSE(),COUNTA(T426:X426)&gt;0)))</f>
        <v/>
      </c>
      <c r="AU426" s="134" t="str">
        <f aca="false">IF(ISBLANK($C426),"",IF(ISNUMBER(T426),IF(T426&gt;=0,T426,""),""))</f>
        <v/>
      </c>
      <c r="AV426" s="135" t="str">
        <f aca="false">IF(ISBLANK($C426),"",IF(ISNUMBER(U426),IF(U426&gt;=0,U426,""),""))</f>
        <v/>
      </c>
      <c r="AW426" s="135" t="str">
        <f aca="false">IF(ISBLANK($C426),"",IF(V426=Constants!$B$3,TRUE(),IF(V426=Constants!$B$4,FALSE(),TRUE())))</f>
        <v/>
      </c>
      <c r="AX426" s="133" t="str">
        <f aca="false">IF(ISBLANK($C426),"",IF(ISNUMBER(W426),IF(W426&gt;=0,W426,""),""))</f>
        <v/>
      </c>
      <c r="AY426" s="133" t="str">
        <f aca="false">IF(ISBLANK($C426),"",IF(X426=Constants!$B$3,TRUE(),IF(X426=Constants!$B$4,FALSE(),FALSE())))</f>
        <v/>
      </c>
      <c r="AZ426" s="133" t="str">
        <f aca="false">IF(ISBLANK($C426),"",MIN(Constants!$B$31,MAX(0,IF(ISNUMBER(Y426),Y426*60,0)+IF(ISNUMBER(Z426),Z426,0))))</f>
        <v/>
      </c>
      <c r="BA426" s="133" t="str">
        <f aca="false">IF(ISBLANK($C426),"",IF(AA426=Constants!$B$3,TRUE(),IF(AA426=Constants!$B$4,FALSE(),FALSE())))</f>
        <v/>
      </c>
      <c r="BB426" s="132" t="str">
        <f aca="false">IF(ISBLANK($C426),"",AND($AL426,OR($AM426="",$AN426="",AND($AO426,$AP426=""))))</f>
        <v/>
      </c>
      <c r="BC426" s="135" t="str">
        <f aca="false">IF($BR426&lt;&gt;Constants!$B$8,"",IF($AL426,Constants!$B$21*$AN426+Constants!$B$22*IF($AO426,$AP426,Constants!$B$23),Constants!$B$24))</f>
        <v/>
      </c>
      <c r="BD426" s="136" t="str">
        <f aca="false">IF($BR426&lt;&gt;Constants!$B$8,"",Constants!$B$25*ABS($AD$9-IF($AL426,$AM426,0)))</f>
        <v/>
      </c>
      <c r="BE426" s="136" t="str">
        <f aca="false">IF($BR426&lt;&gt;Constants!$B$8,"",IF(AND($AL426,$AQ426,$AO426),Constants!$B$27,0))</f>
        <v/>
      </c>
      <c r="BF426" s="136" t="str">
        <f aca="false">IF($BR426&lt;&gt;Constants!$B$8,"",IF($AL426,($AI426-Constants!$B$29)*Constants!$B$28,0))</f>
        <v/>
      </c>
      <c r="BG426" s="136" t="str">
        <f aca="false">IF($BR426&lt;&gt;Constants!$B$8,"",IF($AK426,0,Constants!$B$15)+IF($AJ426,0,Constants!$B$16)+IF($AH426,0,Constants!$B$17))</f>
        <v/>
      </c>
      <c r="BH426" s="137" t="str">
        <f aca="false">IF($BR426&lt;&gt;Constants!$B$8,"",Constants!$B$20+SUM($BC426:$BG426))</f>
        <v/>
      </c>
      <c r="BI426" s="133" t="str">
        <f aca="false">IF($BR426&lt;&gt;Constants!$B$8,"",IF(OR($BP426&lt;$BH426,AND($BP426=$BH426,OR($BK426&lt;$BC426,AND($BK426=$BC426,OR($BL426&lt;$BD426,AND($BL426=$BD426,$AT426,$AL426,$AV426&lt;$AN426)))))),"-&gt;","&lt;-"))</f>
        <v/>
      </c>
      <c r="BJ426" s="132" t="str">
        <f aca="false">IF(ISBLANK($C426),"",AND($AT426,OR($AU426="",$AV426="",AND($AW426,$AX426=""))))</f>
        <v/>
      </c>
      <c r="BK426" s="135" t="str">
        <f aca="false">IF($BR426&lt;&gt;Constants!$B$8,"",IF($AT426,Constants!$B$21*$AV426+Constants!$B$22*IF($AW426,$AX426,Constants!$B$23),Constants!$B$24))</f>
        <v/>
      </c>
      <c r="BL426" s="136" t="str">
        <f aca="false">IF($BR426&lt;&gt;Constants!$B$8,"",Constants!$B$25*ABS($AD$9-IF($AT426,$AU426,0)))</f>
        <v/>
      </c>
      <c r="BM426" s="136" t="str">
        <f aca="false">IF($BR426&lt;&gt;Constants!$B$8,"",IF(AND($AT426,$AY426,$AW426),Constants!$B$27,0))</f>
        <v/>
      </c>
      <c r="BN426" s="136" t="str">
        <f aca="false">IF($BR426&lt;&gt;Constants!$B$8,"",IF($AT426,($AI426-Constants!$B$29)*Constants!$B$28,0))</f>
        <v/>
      </c>
      <c r="BO426" s="136" t="str">
        <f aca="false">IF($BR426&lt;&gt;Constants!$B$8,"",IF($AS426,0,Constants!$B$15)+IF($AR426,0,Constants!$B$16)+IF($AH426,0,Constants!$B$17))</f>
        <v/>
      </c>
      <c r="BP426" s="137" t="str">
        <f aca="false">IF($BR426&lt;&gt;Constants!$B$8,"",Constants!$B$20+SUM($BK426:$BO426))</f>
        <v/>
      </c>
      <c r="BQ426" s="133" t="str">
        <f aca="false">IF(ISBLANK($C426),"",IF(ISBLANK($D$7),$BQ$5,IF(NOT(ISNUMBER($D$7)),$BQ$6,"")))</f>
        <v/>
      </c>
      <c r="BR426" s="133" t="str">
        <f aca="false">IF(ISBLANK($C426),"",IF($BA426,Constants!$B$11,IF(COUNTA($E426:$AA426)=0,Constants!$B$10,IF(NOT($AG426),Constants!$B$9,IF(OR($BQ426&lt;&gt;"",$BB426,$BJ426),Constants!$B$12,Constants!$B$8)))))</f>
        <v/>
      </c>
      <c r="BS426" s="133" t="str">
        <f aca="false">IF(ISBLANK($C426),"",IF($BR426&lt;&gt;Constants!$B$8,$BR426,Constants!$B$13))</f>
        <v/>
      </c>
      <c r="BT426" s="136" t="str">
        <f aca="false">IF($BR426&lt;&gt;Constants!$B$8,"",IF($BI426="-&gt;",$BP426,$BH426))</f>
        <v/>
      </c>
      <c r="BU426" s="136" t="str">
        <f aca="false">IF($BR426&lt;&gt;Constants!$B$8,"",IF($AF426,0,Constants!$B$18))</f>
        <v/>
      </c>
      <c r="BV426" s="136" t="str">
        <f aca="false">IF($BR426&lt;&gt;Constants!$B$8,"",((Constants!$B$31-$AZ426)-Constants!$B$31)/Constants!$B$32)</f>
        <v/>
      </c>
      <c r="BW426" s="136" t="str">
        <f aca="false">IF(ISBLANK($C426),"",IF($BR426&lt;&gt;Constants!$B$8,$BR426,SUM($BT426:$BV426)))</f>
        <v/>
      </c>
      <c r="BX426" s="133" t="str">
        <f aca="false">IF(ISBLANK($C426),"",IF($BR426&lt;&gt;Constants!$B$8,$BR426,RANK($BW426,$BW$9:$BW$508,1)))</f>
        <v/>
      </c>
      <c r="BY426" s="136" t="str">
        <f aca="false">IF($BR426&lt;&gt;Constants!$B$8,"",IF($BI426="-&gt;",$BK426,$BC426))</f>
        <v/>
      </c>
      <c r="BZ426" s="133" t="str">
        <f aca="false">IF(ISBLANK($C426),"",IF($BR426&lt;&gt;Constants!$B$8,$BR426,IF(ISNUMBER($BY426),RANK($BY426,$BY$9:$BY$508,1),COUNT($BY$9:$BY$508)+1)))</f>
        <v/>
      </c>
      <c r="CA426" s="136" t="str">
        <f aca="false">IF($BR426&lt;&gt;Constants!$B$8,"",IF($BI426="-&gt;",$BL426,$BD426))</f>
        <v/>
      </c>
      <c r="CB426" s="133" t="str">
        <f aca="false">IF(ISBLANK($C426),"",IF($BR426&lt;&gt;Constants!$B$8,$BR426,IF(ISNUMBER($CA426),RANK($CA426,$CA$9:$CA$508,1),COUNT($CA$9:$CA$508)+1)))</f>
        <v/>
      </c>
      <c r="CC426" s="136" t="str">
        <f aca="false">IF($BR426&lt;&gt;Constants!$B$8,"",IF($BI426="-&gt;",IF($AT426,$AV426,""),IF($AL426,$AN426,"")))</f>
        <v/>
      </c>
      <c r="CD426" s="133" t="str">
        <f aca="false">IF(ISBLANK($C426),"",IF($BR426&lt;&gt;Constants!$B$8,$BR426,IF(ISNUMBER($CC426),RANK($CC426,$CC$9:$CC$508,1),COUNT($CC$9:$CC$508)+1)))</f>
        <v/>
      </c>
      <c r="CE426" s="136" t="str">
        <f aca="false">IF($BR426&lt;&gt;Constants!$B$8,"",IF(AND(NOT($AL426),NOT($AT426),$AJ426,$AK426,$AR426,$AS426),"",$AI426))</f>
        <v/>
      </c>
      <c r="CF426" s="133" t="str">
        <f aca="false">IF(ISBLANK($C426),"",IF($BR426&lt;&gt;Constants!$B$8,$BR426,IF(ISNUMBER($CE426),RANK($CE426,$CE$9:$CE$508,1),COUNT($CE$9:$CE$508)+1)))</f>
        <v/>
      </c>
      <c r="CG426" s="133" t="str">
        <f aca="false">IF(ISBLANK($C426),"",IF($BR426&lt;&gt;Constants!$B$8,$BR426,COUNTIFS($BX$9:$BX$508,"&lt;"&amp;$BX426)+COUNTIFS($BX$9:$BX$508,$BX426,$BZ$9:$BZ$508,"&lt;"&amp;$BZ426)+COUNTIFS($BX$9:$BX$508,$BX426,$BZ$9:$BZ$508,$BZ426,$CB$9:$CB$508,"&lt;"&amp;$CB426)+COUNTIFS($BX$9:$BX$508,$BX426,$BZ$9:$BZ$508,$BZ426,$CB$9:$CB$508,$CB426,$CD$9:$CD$508,"&lt;"&amp;$CD426)+COUNTIFS($BX$9:$BX$508,$BX426,$BZ$9:$BZ$508,$BZ426,$CB$9:$CB$508,$CB426,$CD$9:$CD$508,$CD426,$CF$9:$CF$508,"&lt;"&amp;$CF426)+1))</f>
        <v/>
      </c>
      <c r="CH426" s="133" t="str">
        <f aca="false">IF(ISBLANK($C426),"",IF($BR426&lt;&gt;Constants!$B$8,$BR426,$BX426-$CG426))</f>
        <v/>
      </c>
      <c r="CI426" s="138"/>
      <c r="CJ426" s="139"/>
      <c r="CK426" s="140" t="str">
        <f aca="false">IF(ISBLANK($C426),"",IF($BR426=Constants!$B$12,$BQ426,""))</f>
        <v/>
      </c>
      <c r="CL426" s="139" t="str">
        <f aca="false">IF(ISBLANK($C426),"",IF($BR426&lt;&gt;Constants!$B$8,"",IF($BI426="-&gt;",2,1)))</f>
        <v/>
      </c>
      <c r="CM426" s="141" t="str">
        <f aca="false">IF(ISBLANK($C426),"",IF($BR426&lt;&gt;Constants!$B$8,"",IF($BI426="-&gt;",$BK426,$BC426)))</f>
        <v/>
      </c>
      <c r="CN426" s="141" t="str">
        <f aca="false">IF(ISBLANK($C426),"",IF($BR426&lt;&gt;Constants!$B$8,"",IF($BI426="-&gt;",$BL426,$BD426)))</f>
        <v/>
      </c>
      <c r="CO426" s="141" t="str">
        <f aca="false">IF(ISBLANK($C426),"",IF($BR426&lt;&gt;Constants!$B$8,"",IF($BI426="-&gt;",$BM426+$BN426,$BE426+$BF426)+$BV426))</f>
        <v/>
      </c>
      <c r="CP426" s="141" t="str">
        <f aca="false">IF(ISBLANK($C426),"",IF($BR426&lt;&gt;Constants!$B$8,"",IF($BI426="-&gt;",$BO426,$BG426)+$BU426))</f>
        <v/>
      </c>
      <c r="CQ426" s="142" t="str">
        <f aca="false">IF(ISBLANK($C426),"",IF($BR426&lt;&gt;Constants!$B$8,$BR426,$BW426))</f>
        <v/>
      </c>
      <c r="CR426" s="143" t="str">
        <f aca="false">IF(ISBLANK($C426),"",$BS426)</f>
        <v/>
      </c>
      <c r="CS426" s="144" t="str">
        <f aca="false">IF(ISBLANK($C426),"",$CH426)</f>
        <v/>
      </c>
      <c r="CT426" s="144" t="str">
        <f aca="false">IF(ISBLANK($C426),"",$CG426)</f>
        <v/>
      </c>
      <c r="CU426" s="145" t="str">
        <f aca="false">IF(ISBLANK($C426),"",IFERROR(_xlfn.SWITCH($CT426,Constants!$B$11,COUNTA($C$9:$C$508)+2,Constants!$B$10,COUNTA($C$9:$C$508)+1,Constants!$B$9,COUNTA($C$9:$C$508)),$CT426))</f>
        <v/>
      </c>
      <c r="CV426" s="9"/>
      <c r="CW426" s="146" t="n">
        <f aca="false">IF(OR(ISNUMBER($CT426),$CT426=Constants!$B$11,$CT426=Constants!$B$9,$CT426=Constants!$B$10),1,0)</f>
        <v>0</v>
      </c>
      <c r="CX426" s="146" t="n">
        <v>418</v>
      </c>
      <c r="CY426" s="146" t="str">
        <f aca="false">IF(ISBLANK($C426),"",IF(ISNUMBER($CU426),$CU426+ROW($B426)/1000,""))</f>
        <v/>
      </c>
      <c r="CZ426" s="146" t="str">
        <f aca="false">IF(ISNUMBER($CY426),RANK($CY426,$CY$9:$CY$508,1),"")</f>
        <v/>
      </c>
      <c r="DA426" s="146" t="str">
        <f aca="false">IF(ISBLANK($C426),"",$B426)</f>
        <v/>
      </c>
      <c r="DB426" s="146" t="str">
        <f aca="false">IF(ISBLANK($C426),"",$C426)</f>
        <v/>
      </c>
      <c r="DC426" s="146" t="str">
        <f aca="false">IF(ISBLANK($C426),"",$D426)</f>
        <v/>
      </c>
      <c r="DD426" s="147" t="str">
        <f aca="false">$CR426</f>
        <v/>
      </c>
      <c r="DE426" s="148" t="str">
        <f aca="false">$CQ426</f>
        <v/>
      </c>
      <c r="DF426" s="146" t="str">
        <f aca="false">IF(ISBLANK($C426),"",$CT426)</f>
        <v/>
      </c>
      <c r="DG426" s="149" t="str">
        <f aca="false">IF($CX426&gt;$CW$8,"",VLOOKUP($CX426,$CZ$9:$DF$508,7,FALSE()))</f>
        <v/>
      </c>
      <c r="DH426" s="150" t="str">
        <f aca="false">IF($CX426&gt;$CW$8,"",VLOOKUP($CX426,$CZ$9:$DF$508,2,FALSE()))</f>
        <v/>
      </c>
      <c r="DI426" s="150" t="str">
        <f aca="false">IF($CX426&gt;$CW$8,"",VLOOKUP($CX426,$CZ$9:$DF$508,3,FALSE()))</f>
        <v/>
      </c>
      <c r="DJ426" s="150" t="str">
        <f aca="false">IF($CX426&gt;$CW$8,"",VLOOKUP($CX426,$CZ$9:$DF$508,4,FALSE()))</f>
        <v/>
      </c>
      <c r="DK426" s="150" t="str">
        <f aca="false">IF($CX426&gt;$CW$8,"",VLOOKUP($CX426,$CZ$9:$DF$508,5,FALSE()))</f>
        <v/>
      </c>
      <c r="DL426" s="151" t="str">
        <f aca="false">IF($CX426&gt;$CW$8,"",VLOOKUP($CX426,$CZ$9:$DF$508,6,FALSE()))</f>
        <v/>
      </c>
      <c r="DM426" s="75"/>
    </row>
    <row r="427" customFormat="false" ht="15.75" hidden="false" customHeight="false" outlineLevel="0" collapsed="false">
      <c r="A427" s="9"/>
      <c r="B427" s="157"/>
      <c r="C427" s="158"/>
      <c r="D427" s="159"/>
      <c r="E427" s="177"/>
      <c r="F427" s="161"/>
      <c r="G427" s="162"/>
      <c r="H427" s="162"/>
      <c r="I427" s="178"/>
      <c r="J427" s="165"/>
      <c r="K427" s="126"/>
      <c r="L427" s="127"/>
      <c r="M427" s="128"/>
      <c r="N427" s="165"/>
      <c r="O427" s="165"/>
      <c r="P427" s="177"/>
      <c r="Q427" s="165"/>
      <c r="R427" s="165"/>
      <c r="S427" s="126"/>
      <c r="T427" s="128"/>
      <c r="U427" s="128"/>
      <c r="V427" s="165"/>
      <c r="W427" s="165"/>
      <c r="X427" s="177"/>
      <c r="Y427" s="165"/>
      <c r="Z427" s="166"/>
      <c r="AA427" s="165"/>
      <c r="AB427" s="132"/>
      <c r="AC427" s="133"/>
      <c r="AD427" s="133"/>
      <c r="AE427" s="133"/>
      <c r="AF427" s="133" t="str">
        <f aca="false">IF(ISBLANK($C427),"",IF(E427=Constants!$B$3,TRUE(),IF(E427=Constants!$B$4,FALSE(),TRUE())))</f>
        <v/>
      </c>
      <c r="AG427" s="133" t="str">
        <f aca="false">IF(ISBLANK($C427),"",IF(F427=Constants!$B$3,TRUE(),IF(F427=Constants!$B$4,FALSE(),TRUE())))</f>
        <v/>
      </c>
      <c r="AH427" s="133" t="str">
        <f aca="false">IF(ISBLANK($C427),"",IF(G427=Constants!$B$3,TRUE(),IF(G427=Constants!$B$4,FALSE(),TRUE())))</f>
        <v/>
      </c>
      <c r="AI427" s="133" t="str">
        <f aca="false">IF(ISBLANK($C427),"",IF(AND(ISNUMBER(H427),H427&gt;=0),H427,Constants!$B$29))</f>
        <v/>
      </c>
      <c r="AJ427" s="133" t="str">
        <f aca="false">IF(ISBLANK($C427),"",IF(I427=Constants!$B$3,TRUE(),IF(I427=Constants!$B$4,FALSE(),TRUE())))</f>
        <v/>
      </c>
      <c r="AK427" s="133" t="str">
        <f aca="false">IF(ISBLANK($C427),"",IF(J427=Constants!$B$3,TRUE(),IF(J427=Constants!$B$4,FALSE(),TRUE())))</f>
        <v/>
      </c>
      <c r="AL427" s="133" t="str">
        <f aca="false">IF(ISBLANK($C427),"",IF(K427=Constants!$B$5,TRUE(),IF(K427=Constants!$B$6,FALSE(),COUNTA(L427:P427)&gt;0)))</f>
        <v/>
      </c>
      <c r="AM427" s="134" t="str">
        <f aca="false">IF(ISBLANK($C427),"",IF(ISNUMBER(L427),IF(L427&gt;=0,L427,""),""))</f>
        <v/>
      </c>
      <c r="AN427" s="135" t="str">
        <f aca="false">IF(ISBLANK($C427),"",IF(ISNUMBER(M427),IF(M427&gt;=0,M427,""),""))</f>
        <v/>
      </c>
      <c r="AO427" s="135" t="str">
        <f aca="false">IF(ISBLANK($C427),"",IF(N427=Constants!$B$3,TRUE(),IF(N427=Constants!$B$4,FALSE(),TRUE())))</f>
        <v/>
      </c>
      <c r="AP427" s="133" t="str">
        <f aca="false">IF(ISBLANK($C427),"",IF(ISNUMBER(O427),IF(O427&gt;=0,O427,""),""))</f>
        <v/>
      </c>
      <c r="AQ427" s="133" t="str">
        <f aca="false">IF(ISBLANK($C427),"",IF(P427=Constants!$B$3,TRUE(),IF(P427=Constants!$B$4,FALSE(),FALSE())))</f>
        <v/>
      </c>
      <c r="AR427" s="133" t="str">
        <f aca="false">IF(ISBLANK($C427),"",IF(Q427=Constants!$B$3,TRUE(),IF(Q427=Constants!$B$4,FALSE(),TRUE())))</f>
        <v/>
      </c>
      <c r="AS427" s="133" t="str">
        <f aca="false">IF(ISBLANK($C427),"",IF(R427=Constants!$B$3,TRUE(),IF(R427=Constants!$B$4,FALSE(),TRUE())))</f>
        <v/>
      </c>
      <c r="AT427" s="133" t="str">
        <f aca="false">IF(ISBLANK($C427),"",IF(S427=Constants!$B$5,TRUE(),IF(S427=Constants!$B$6,FALSE(),COUNTA(T427:X427)&gt;0)))</f>
        <v/>
      </c>
      <c r="AU427" s="134" t="str">
        <f aca="false">IF(ISBLANK($C427),"",IF(ISNUMBER(T427),IF(T427&gt;=0,T427,""),""))</f>
        <v/>
      </c>
      <c r="AV427" s="135" t="str">
        <f aca="false">IF(ISBLANK($C427),"",IF(ISNUMBER(U427),IF(U427&gt;=0,U427,""),""))</f>
        <v/>
      </c>
      <c r="AW427" s="135" t="str">
        <f aca="false">IF(ISBLANK($C427),"",IF(V427=Constants!$B$3,TRUE(),IF(V427=Constants!$B$4,FALSE(),TRUE())))</f>
        <v/>
      </c>
      <c r="AX427" s="133" t="str">
        <f aca="false">IF(ISBLANK($C427),"",IF(ISNUMBER(W427),IF(W427&gt;=0,W427,""),""))</f>
        <v/>
      </c>
      <c r="AY427" s="133" t="str">
        <f aca="false">IF(ISBLANK($C427),"",IF(X427=Constants!$B$3,TRUE(),IF(X427=Constants!$B$4,FALSE(),FALSE())))</f>
        <v/>
      </c>
      <c r="AZ427" s="133" t="str">
        <f aca="false">IF(ISBLANK($C427),"",MIN(Constants!$B$31,MAX(0,IF(ISNUMBER(Y427),Y427*60,0)+IF(ISNUMBER(Z427),Z427,0))))</f>
        <v/>
      </c>
      <c r="BA427" s="133" t="str">
        <f aca="false">IF(ISBLANK($C427),"",IF(AA427=Constants!$B$3,TRUE(),IF(AA427=Constants!$B$4,FALSE(),FALSE())))</f>
        <v/>
      </c>
      <c r="BB427" s="132" t="str">
        <f aca="false">IF(ISBLANK($C427),"",AND($AL427,OR($AM427="",$AN427="",AND($AO427,$AP427=""))))</f>
        <v/>
      </c>
      <c r="BC427" s="135" t="str">
        <f aca="false">IF($BR427&lt;&gt;Constants!$B$8,"",IF($AL427,Constants!$B$21*$AN427+Constants!$B$22*IF($AO427,$AP427,Constants!$B$23),Constants!$B$24))</f>
        <v/>
      </c>
      <c r="BD427" s="136" t="str">
        <f aca="false">IF($BR427&lt;&gt;Constants!$B$8,"",Constants!$B$25*ABS($AD$9-IF($AL427,$AM427,0)))</f>
        <v/>
      </c>
      <c r="BE427" s="136" t="str">
        <f aca="false">IF($BR427&lt;&gt;Constants!$B$8,"",IF(AND($AL427,$AQ427,$AO427),Constants!$B$27,0))</f>
        <v/>
      </c>
      <c r="BF427" s="136" t="str">
        <f aca="false">IF($BR427&lt;&gt;Constants!$B$8,"",IF($AL427,($AI427-Constants!$B$29)*Constants!$B$28,0))</f>
        <v/>
      </c>
      <c r="BG427" s="136" t="str">
        <f aca="false">IF($BR427&lt;&gt;Constants!$B$8,"",IF($AK427,0,Constants!$B$15)+IF($AJ427,0,Constants!$B$16)+IF($AH427,0,Constants!$B$17))</f>
        <v/>
      </c>
      <c r="BH427" s="137" t="str">
        <f aca="false">IF($BR427&lt;&gt;Constants!$B$8,"",Constants!$B$20+SUM($BC427:$BG427))</f>
        <v/>
      </c>
      <c r="BI427" s="133" t="str">
        <f aca="false">IF($BR427&lt;&gt;Constants!$B$8,"",IF(OR($BP427&lt;$BH427,AND($BP427=$BH427,OR($BK427&lt;$BC427,AND($BK427=$BC427,OR($BL427&lt;$BD427,AND($BL427=$BD427,$AT427,$AL427,$AV427&lt;$AN427)))))),"-&gt;","&lt;-"))</f>
        <v/>
      </c>
      <c r="BJ427" s="132" t="str">
        <f aca="false">IF(ISBLANK($C427),"",AND($AT427,OR($AU427="",$AV427="",AND($AW427,$AX427=""))))</f>
        <v/>
      </c>
      <c r="BK427" s="135" t="str">
        <f aca="false">IF($BR427&lt;&gt;Constants!$B$8,"",IF($AT427,Constants!$B$21*$AV427+Constants!$B$22*IF($AW427,$AX427,Constants!$B$23),Constants!$B$24))</f>
        <v/>
      </c>
      <c r="BL427" s="136" t="str">
        <f aca="false">IF($BR427&lt;&gt;Constants!$B$8,"",Constants!$B$25*ABS($AD$9-IF($AT427,$AU427,0)))</f>
        <v/>
      </c>
      <c r="BM427" s="136" t="str">
        <f aca="false">IF($BR427&lt;&gt;Constants!$B$8,"",IF(AND($AT427,$AY427,$AW427),Constants!$B$27,0))</f>
        <v/>
      </c>
      <c r="BN427" s="136" t="str">
        <f aca="false">IF($BR427&lt;&gt;Constants!$B$8,"",IF($AT427,($AI427-Constants!$B$29)*Constants!$B$28,0))</f>
        <v/>
      </c>
      <c r="BO427" s="136" t="str">
        <f aca="false">IF($BR427&lt;&gt;Constants!$B$8,"",IF($AS427,0,Constants!$B$15)+IF($AR427,0,Constants!$B$16)+IF($AH427,0,Constants!$B$17))</f>
        <v/>
      </c>
      <c r="BP427" s="137" t="str">
        <f aca="false">IF($BR427&lt;&gt;Constants!$B$8,"",Constants!$B$20+SUM($BK427:$BO427))</f>
        <v/>
      </c>
      <c r="BQ427" s="133" t="str">
        <f aca="false">IF(ISBLANK($C427),"",IF(ISBLANK($D$7),$BQ$5,IF(NOT(ISNUMBER($D$7)),$BQ$6,"")))</f>
        <v/>
      </c>
      <c r="BR427" s="133" t="str">
        <f aca="false">IF(ISBLANK($C427),"",IF($BA427,Constants!$B$11,IF(COUNTA($E427:$AA427)=0,Constants!$B$10,IF(NOT($AG427),Constants!$B$9,IF(OR($BQ427&lt;&gt;"",$BB427,$BJ427),Constants!$B$12,Constants!$B$8)))))</f>
        <v/>
      </c>
      <c r="BS427" s="133" t="str">
        <f aca="false">IF(ISBLANK($C427),"",IF($BR427&lt;&gt;Constants!$B$8,$BR427,Constants!$B$13))</f>
        <v/>
      </c>
      <c r="BT427" s="136" t="str">
        <f aca="false">IF($BR427&lt;&gt;Constants!$B$8,"",IF($BI427="-&gt;",$BP427,$BH427))</f>
        <v/>
      </c>
      <c r="BU427" s="136" t="str">
        <f aca="false">IF($BR427&lt;&gt;Constants!$B$8,"",IF($AF427,0,Constants!$B$18))</f>
        <v/>
      </c>
      <c r="BV427" s="136" t="str">
        <f aca="false">IF($BR427&lt;&gt;Constants!$B$8,"",((Constants!$B$31-$AZ427)-Constants!$B$31)/Constants!$B$32)</f>
        <v/>
      </c>
      <c r="BW427" s="136" t="str">
        <f aca="false">IF(ISBLANK($C427),"",IF($BR427&lt;&gt;Constants!$B$8,$BR427,SUM($BT427:$BV427)))</f>
        <v/>
      </c>
      <c r="BX427" s="133" t="str">
        <f aca="false">IF(ISBLANK($C427),"",IF($BR427&lt;&gt;Constants!$B$8,$BR427,RANK($BW427,$BW$9:$BW$508,1)))</f>
        <v/>
      </c>
      <c r="BY427" s="136" t="str">
        <f aca="false">IF($BR427&lt;&gt;Constants!$B$8,"",IF($BI427="-&gt;",$BK427,$BC427))</f>
        <v/>
      </c>
      <c r="BZ427" s="133" t="str">
        <f aca="false">IF(ISBLANK($C427),"",IF($BR427&lt;&gt;Constants!$B$8,$BR427,IF(ISNUMBER($BY427),RANK($BY427,$BY$9:$BY$508,1),COUNT($BY$9:$BY$508)+1)))</f>
        <v/>
      </c>
      <c r="CA427" s="136" t="str">
        <f aca="false">IF($BR427&lt;&gt;Constants!$B$8,"",IF($BI427="-&gt;",$BL427,$BD427))</f>
        <v/>
      </c>
      <c r="CB427" s="133" t="str">
        <f aca="false">IF(ISBLANK($C427),"",IF($BR427&lt;&gt;Constants!$B$8,$BR427,IF(ISNUMBER($CA427),RANK($CA427,$CA$9:$CA$508,1),COUNT($CA$9:$CA$508)+1)))</f>
        <v/>
      </c>
      <c r="CC427" s="136" t="str">
        <f aca="false">IF($BR427&lt;&gt;Constants!$B$8,"",IF($BI427="-&gt;",IF($AT427,$AV427,""),IF($AL427,$AN427,"")))</f>
        <v/>
      </c>
      <c r="CD427" s="133" t="str">
        <f aca="false">IF(ISBLANK($C427),"",IF($BR427&lt;&gt;Constants!$B$8,$BR427,IF(ISNUMBER($CC427),RANK($CC427,$CC$9:$CC$508,1),COUNT($CC$9:$CC$508)+1)))</f>
        <v/>
      </c>
      <c r="CE427" s="136" t="str">
        <f aca="false">IF($BR427&lt;&gt;Constants!$B$8,"",IF(AND(NOT($AL427),NOT($AT427),$AJ427,$AK427,$AR427,$AS427),"",$AI427))</f>
        <v/>
      </c>
      <c r="CF427" s="133" t="str">
        <f aca="false">IF(ISBLANK($C427),"",IF($BR427&lt;&gt;Constants!$B$8,$BR427,IF(ISNUMBER($CE427),RANK($CE427,$CE$9:$CE$508,1),COUNT($CE$9:$CE$508)+1)))</f>
        <v/>
      </c>
      <c r="CG427" s="133" t="str">
        <f aca="false">IF(ISBLANK($C427),"",IF($BR427&lt;&gt;Constants!$B$8,$BR427,COUNTIFS($BX$9:$BX$508,"&lt;"&amp;$BX427)+COUNTIFS($BX$9:$BX$508,$BX427,$BZ$9:$BZ$508,"&lt;"&amp;$BZ427)+COUNTIFS($BX$9:$BX$508,$BX427,$BZ$9:$BZ$508,$BZ427,$CB$9:$CB$508,"&lt;"&amp;$CB427)+COUNTIFS($BX$9:$BX$508,$BX427,$BZ$9:$BZ$508,$BZ427,$CB$9:$CB$508,$CB427,$CD$9:$CD$508,"&lt;"&amp;$CD427)+COUNTIFS($BX$9:$BX$508,$BX427,$BZ$9:$BZ$508,$BZ427,$CB$9:$CB$508,$CB427,$CD$9:$CD$508,$CD427,$CF$9:$CF$508,"&lt;"&amp;$CF427)+1))</f>
        <v/>
      </c>
      <c r="CH427" s="133" t="str">
        <f aca="false">IF(ISBLANK($C427),"",IF($BR427&lt;&gt;Constants!$B$8,$BR427,$BX427-$CG427))</f>
        <v/>
      </c>
      <c r="CI427" s="138"/>
      <c r="CJ427" s="139"/>
      <c r="CK427" s="140" t="str">
        <f aca="false">IF(ISBLANK($C427),"",IF($BR427=Constants!$B$12,$BQ427,""))</f>
        <v/>
      </c>
      <c r="CL427" s="139" t="str">
        <f aca="false">IF(ISBLANK($C427),"",IF($BR427&lt;&gt;Constants!$B$8,"",IF($BI427="-&gt;",2,1)))</f>
        <v/>
      </c>
      <c r="CM427" s="141" t="str">
        <f aca="false">IF(ISBLANK($C427),"",IF($BR427&lt;&gt;Constants!$B$8,"",IF($BI427="-&gt;",$BK427,$BC427)))</f>
        <v/>
      </c>
      <c r="CN427" s="141" t="str">
        <f aca="false">IF(ISBLANK($C427),"",IF($BR427&lt;&gt;Constants!$B$8,"",IF($BI427="-&gt;",$BL427,$BD427)))</f>
        <v/>
      </c>
      <c r="CO427" s="141" t="str">
        <f aca="false">IF(ISBLANK($C427),"",IF($BR427&lt;&gt;Constants!$B$8,"",IF($BI427="-&gt;",$BM427+$BN427,$BE427+$BF427)+$BV427))</f>
        <v/>
      </c>
      <c r="CP427" s="141" t="str">
        <f aca="false">IF(ISBLANK($C427),"",IF($BR427&lt;&gt;Constants!$B$8,"",IF($BI427="-&gt;",$BO427,$BG427)+$BU427))</f>
        <v/>
      </c>
      <c r="CQ427" s="142" t="str">
        <f aca="false">IF(ISBLANK($C427),"",IF($BR427&lt;&gt;Constants!$B$8,$BR427,$BW427))</f>
        <v/>
      </c>
      <c r="CR427" s="143" t="str">
        <f aca="false">IF(ISBLANK($C427),"",$BS427)</f>
        <v/>
      </c>
      <c r="CS427" s="144" t="str">
        <f aca="false">IF(ISBLANK($C427),"",$CH427)</f>
        <v/>
      </c>
      <c r="CT427" s="144" t="str">
        <f aca="false">IF(ISBLANK($C427),"",$CG427)</f>
        <v/>
      </c>
      <c r="CU427" s="145" t="str">
        <f aca="false">IF(ISBLANK($C427),"",IFERROR(_xlfn.SWITCH($CT427,Constants!$B$11,COUNTA($C$9:$C$508)+2,Constants!$B$10,COUNTA($C$9:$C$508)+1,Constants!$B$9,COUNTA($C$9:$C$508)),$CT427))</f>
        <v/>
      </c>
      <c r="CV427" s="9"/>
      <c r="CW427" s="146" t="n">
        <f aca="false">IF(OR(ISNUMBER($CT427),$CT427=Constants!$B$11,$CT427=Constants!$B$9,$CT427=Constants!$B$10),1,0)</f>
        <v>0</v>
      </c>
      <c r="CX427" s="146" t="n">
        <v>419</v>
      </c>
      <c r="CY427" s="146" t="str">
        <f aca="false">IF(ISBLANK($C427),"",IF(ISNUMBER($CU427),$CU427+ROW($B427)/1000,""))</f>
        <v/>
      </c>
      <c r="CZ427" s="146" t="str">
        <f aca="false">IF(ISNUMBER($CY427),RANK($CY427,$CY$9:$CY$508,1),"")</f>
        <v/>
      </c>
      <c r="DA427" s="146" t="str">
        <f aca="false">IF(ISBLANK($C427),"",$B427)</f>
        <v/>
      </c>
      <c r="DB427" s="146" t="str">
        <f aca="false">IF(ISBLANK($C427),"",$C427)</f>
        <v/>
      </c>
      <c r="DC427" s="146" t="str">
        <f aca="false">IF(ISBLANK($C427),"",$D427)</f>
        <v/>
      </c>
      <c r="DD427" s="147" t="str">
        <f aca="false">$CR427</f>
        <v/>
      </c>
      <c r="DE427" s="148" t="str">
        <f aca="false">$CQ427</f>
        <v/>
      </c>
      <c r="DF427" s="146" t="str">
        <f aca="false">IF(ISBLANK($C427),"",$CT427)</f>
        <v/>
      </c>
      <c r="DG427" s="149" t="str">
        <f aca="false">IF($CX427&gt;$CW$8,"",VLOOKUP($CX427,$CZ$9:$DF$508,7,FALSE()))</f>
        <v/>
      </c>
      <c r="DH427" s="150" t="str">
        <f aca="false">IF($CX427&gt;$CW$8,"",VLOOKUP($CX427,$CZ$9:$DF$508,2,FALSE()))</f>
        <v/>
      </c>
      <c r="DI427" s="150" t="str">
        <f aca="false">IF($CX427&gt;$CW$8,"",VLOOKUP($CX427,$CZ$9:$DF$508,3,FALSE()))</f>
        <v/>
      </c>
      <c r="DJ427" s="150" t="str">
        <f aca="false">IF($CX427&gt;$CW$8,"",VLOOKUP($CX427,$CZ$9:$DF$508,4,FALSE()))</f>
        <v/>
      </c>
      <c r="DK427" s="150" t="str">
        <f aca="false">IF($CX427&gt;$CW$8,"",VLOOKUP($CX427,$CZ$9:$DF$508,5,FALSE()))</f>
        <v/>
      </c>
      <c r="DL427" s="151" t="str">
        <f aca="false">IF($CX427&gt;$CW$8,"",VLOOKUP($CX427,$CZ$9:$DF$508,6,FALSE()))</f>
        <v/>
      </c>
      <c r="DM427" s="75"/>
    </row>
    <row r="428" customFormat="false" ht="15.75" hidden="false" customHeight="false" outlineLevel="0" collapsed="false">
      <c r="A428" s="9"/>
      <c r="B428" s="157"/>
      <c r="C428" s="158"/>
      <c r="D428" s="159"/>
      <c r="E428" s="177"/>
      <c r="F428" s="161"/>
      <c r="G428" s="162"/>
      <c r="H428" s="162"/>
      <c r="I428" s="178"/>
      <c r="J428" s="165"/>
      <c r="K428" s="126"/>
      <c r="L428" s="127"/>
      <c r="M428" s="128"/>
      <c r="N428" s="165"/>
      <c r="O428" s="165"/>
      <c r="P428" s="177"/>
      <c r="Q428" s="165"/>
      <c r="R428" s="165"/>
      <c r="S428" s="126"/>
      <c r="T428" s="128"/>
      <c r="U428" s="128"/>
      <c r="V428" s="165"/>
      <c r="W428" s="165"/>
      <c r="X428" s="177"/>
      <c r="Y428" s="165"/>
      <c r="Z428" s="166"/>
      <c r="AA428" s="165"/>
      <c r="AB428" s="132"/>
      <c r="AC428" s="133"/>
      <c r="AD428" s="133"/>
      <c r="AE428" s="133"/>
      <c r="AF428" s="133" t="str">
        <f aca="false">IF(ISBLANK($C428),"",IF(E428=Constants!$B$3,TRUE(),IF(E428=Constants!$B$4,FALSE(),TRUE())))</f>
        <v/>
      </c>
      <c r="AG428" s="133" t="str">
        <f aca="false">IF(ISBLANK($C428),"",IF(F428=Constants!$B$3,TRUE(),IF(F428=Constants!$B$4,FALSE(),TRUE())))</f>
        <v/>
      </c>
      <c r="AH428" s="133" t="str">
        <f aca="false">IF(ISBLANK($C428),"",IF(G428=Constants!$B$3,TRUE(),IF(G428=Constants!$B$4,FALSE(),TRUE())))</f>
        <v/>
      </c>
      <c r="AI428" s="133" t="str">
        <f aca="false">IF(ISBLANK($C428),"",IF(AND(ISNUMBER(H428),H428&gt;=0),H428,Constants!$B$29))</f>
        <v/>
      </c>
      <c r="AJ428" s="133" t="str">
        <f aca="false">IF(ISBLANK($C428),"",IF(I428=Constants!$B$3,TRUE(),IF(I428=Constants!$B$4,FALSE(),TRUE())))</f>
        <v/>
      </c>
      <c r="AK428" s="133" t="str">
        <f aca="false">IF(ISBLANK($C428),"",IF(J428=Constants!$B$3,TRUE(),IF(J428=Constants!$B$4,FALSE(),TRUE())))</f>
        <v/>
      </c>
      <c r="AL428" s="133" t="str">
        <f aca="false">IF(ISBLANK($C428),"",IF(K428=Constants!$B$5,TRUE(),IF(K428=Constants!$B$6,FALSE(),COUNTA(L428:P428)&gt;0)))</f>
        <v/>
      </c>
      <c r="AM428" s="134" t="str">
        <f aca="false">IF(ISBLANK($C428),"",IF(ISNUMBER(L428),IF(L428&gt;=0,L428,""),""))</f>
        <v/>
      </c>
      <c r="AN428" s="135" t="str">
        <f aca="false">IF(ISBLANK($C428),"",IF(ISNUMBER(M428),IF(M428&gt;=0,M428,""),""))</f>
        <v/>
      </c>
      <c r="AO428" s="135" t="str">
        <f aca="false">IF(ISBLANK($C428),"",IF(N428=Constants!$B$3,TRUE(),IF(N428=Constants!$B$4,FALSE(),TRUE())))</f>
        <v/>
      </c>
      <c r="AP428" s="133" t="str">
        <f aca="false">IF(ISBLANK($C428),"",IF(ISNUMBER(O428),IF(O428&gt;=0,O428,""),""))</f>
        <v/>
      </c>
      <c r="AQ428" s="133" t="str">
        <f aca="false">IF(ISBLANK($C428),"",IF(P428=Constants!$B$3,TRUE(),IF(P428=Constants!$B$4,FALSE(),FALSE())))</f>
        <v/>
      </c>
      <c r="AR428" s="133" t="str">
        <f aca="false">IF(ISBLANK($C428),"",IF(Q428=Constants!$B$3,TRUE(),IF(Q428=Constants!$B$4,FALSE(),TRUE())))</f>
        <v/>
      </c>
      <c r="AS428" s="133" t="str">
        <f aca="false">IF(ISBLANK($C428),"",IF(R428=Constants!$B$3,TRUE(),IF(R428=Constants!$B$4,FALSE(),TRUE())))</f>
        <v/>
      </c>
      <c r="AT428" s="133" t="str">
        <f aca="false">IF(ISBLANK($C428),"",IF(S428=Constants!$B$5,TRUE(),IF(S428=Constants!$B$6,FALSE(),COUNTA(T428:X428)&gt;0)))</f>
        <v/>
      </c>
      <c r="AU428" s="134" t="str">
        <f aca="false">IF(ISBLANK($C428),"",IF(ISNUMBER(T428),IF(T428&gt;=0,T428,""),""))</f>
        <v/>
      </c>
      <c r="AV428" s="135" t="str">
        <f aca="false">IF(ISBLANK($C428),"",IF(ISNUMBER(U428),IF(U428&gt;=0,U428,""),""))</f>
        <v/>
      </c>
      <c r="AW428" s="135" t="str">
        <f aca="false">IF(ISBLANK($C428),"",IF(V428=Constants!$B$3,TRUE(),IF(V428=Constants!$B$4,FALSE(),TRUE())))</f>
        <v/>
      </c>
      <c r="AX428" s="133" t="str">
        <f aca="false">IF(ISBLANK($C428),"",IF(ISNUMBER(W428),IF(W428&gt;=0,W428,""),""))</f>
        <v/>
      </c>
      <c r="AY428" s="133" t="str">
        <f aca="false">IF(ISBLANK($C428),"",IF(X428=Constants!$B$3,TRUE(),IF(X428=Constants!$B$4,FALSE(),FALSE())))</f>
        <v/>
      </c>
      <c r="AZ428" s="133" t="str">
        <f aca="false">IF(ISBLANK($C428),"",MIN(Constants!$B$31,MAX(0,IF(ISNUMBER(Y428),Y428*60,0)+IF(ISNUMBER(Z428),Z428,0))))</f>
        <v/>
      </c>
      <c r="BA428" s="133" t="str">
        <f aca="false">IF(ISBLANK($C428),"",IF(AA428=Constants!$B$3,TRUE(),IF(AA428=Constants!$B$4,FALSE(),FALSE())))</f>
        <v/>
      </c>
      <c r="BB428" s="132" t="str">
        <f aca="false">IF(ISBLANK($C428),"",AND($AL428,OR($AM428="",$AN428="",AND($AO428,$AP428=""))))</f>
        <v/>
      </c>
      <c r="BC428" s="135" t="str">
        <f aca="false">IF($BR428&lt;&gt;Constants!$B$8,"",IF($AL428,Constants!$B$21*$AN428+Constants!$B$22*IF($AO428,$AP428,Constants!$B$23),Constants!$B$24))</f>
        <v/>
      </c>
      <c r="BD428" s="136" t="str">
        <f aca="false">IF($BR428&lt;&gt;Constants!$B$8,"",Constants!$B$25*ABS($AD$9-IF($AL428,$AM428,0)))</f>
        <v/>
      </c>
      <c r="BE428" s="136" t="str">
        <f aca="false">IF($BR428&lt;&gt;Constants!$B$8,"",IF(AND($AL428,$AQ428,$AO428),Constants!$B$27,0))</f>
        <v/>
      </c>
      <c r="BF428" s="136" t="str">
        <f aca="false">IF($BR428&lt;&gt;Constants!$B$8,"",IF($AL428,($AI428-Constants!$B$29)*Constants!$B$28,0))</f>
        <v/>
      </c>
      <c r="BG428" s="136" t="str">
        <f aca="false">IF($BR428&lt;&gt;Constants!$B$8,"",IF($AK428,0,Constants!$B$15)+IF($AJ428,0,Constants!$B$16)+IF($AH428,0,Constants!$B$17))</f>
        <v/>
      </c>
      <c r="BH428" s="137" t="str">
        <f aca="false">IF($BR428&lt;&gt;Constants!$B$8,"",Constants!$B$20+SUM($BC428:$BG428))</f>
        <v/>
      </c>
      <c r="BI428" s="133" t="str">
        <f aca="false">IF($BR428&lt;&gt;Constants!$B$8,"",IF(OR($BP428&lt;$BH428,AND($BP428=$BH428,OR($BK428&lt;$BC428,AND($BK428=$BC428,OR($BL428&lt;$BD428,AND($BL428=$BD428,$AT428,$AL428,$AV428&lt;$AN428)))))),"-&gt;","&lt;-"))</f>
        <v/>
      </c>
      <c r="BJ428" s="132" t="str">
        <f aca="false">IF(ISBLANK($C428),"",AND($AT428,OR($AU428="",$AV428="",AND($AW428,$AX428=""))))</f>
        <v/>
      </c>
      <c r="BK428" s="135" t="str">
        <f aca="false">IF($BR428&lt;&gt;Constants!$B$8,"",IF($AT428,Constants!$B$21*$AV428+Constants!$B$22*IF($AW428,$AX428,Constants!$B$23),Constants!$B$24))</f>
        <v/>
      </c>
      <c r="BL428" s="136" t="str">
        <f aca="false">IF($BR428&lt;&gt;Constants!$B$8,"",Constants!$B$25*ABS($AD$9-IF($AT428,$AU428,0)))</f>
        <v/>
      </c>
      <c r="BM428" s="136" t="str">
        <f aca="false">IF($BR428&lt;&gt;Constants!$B$8,"",IF(AND($AT428,$AY428,$AW428),Constants!$B$27,0))</f>
        <v/>
      </c>
      <c r="BN428" s="136" t="str">
        <f aca="false">IF($BR428&lt;&gt;Constants!$B$8,"",IF($AT428,($AI428-Constants!$B$29)*Constants!$B$28,0))</f>
        <v/>
      </c>
      <c r="BO428" s="136" t="str">
        <f aca="false">IF($BR428&lt;&gt;Constants!$B$8,"",IF($AS428,0,Constants!$B$15)+IF($AR428,0,Constants!$B$16)+IF($AH428,0,Constants!$B$17))</f>
        <v/>
      </c>
      <c r="BP428" s="137" t="str">
        <f aca="false">IF($BR428&lt;&gt;Constants!$B$8,"",Constants!$B$20+SUM($BK428:$BO428))</f>
        <v/>
      </c>
      <c r="BQ428" s="133" t="str">
        <f aca="false">IF(ISBLANK($C428),"",IF(ISBLANK($D$7),$BQ$5,IF(NOT(ISNUMBER($D$7)),$BQ$6,"")))</f>
        <v/>
      </c>
      <c r="BR428" s="133" t="str">
        <f aca="false">IF(ISBLANK($C428),"",IF($BA428,Constants!$B$11,IF(COUNTA($E428:$AA428)=0,Constants!$B$10,IF(NOT($AG428),Constants!$B$9,IF(OR($BQ428&lt;&gt;"",$BB428,$BJ428),Constants!$B$12,Constants!$B$8)))))</f>
        <v/>
      </c>
      <c r="BS428" s="133" t="str">
        <f aca="false">IF(ISBLANK($C428),"",IF($BR428&lt;&gt;Constants!$B$8,$BR428,Constants!$B$13))</f>
        <v/>
      </c>
      <c r="BT428" s="136" t="str">
        <f aca="false">IF($BR428&lt;&gt;Constants!$B$8,"",IF($BI428="-&gt;",$BP428,$BH428))</f>
        <v/>
      </c>
      <c r="BU428" s="136" t="str">
        <f aca="false">IF($BR428&lt;&gt;Constants!$B$8,"",IF($AF428,0,Constants!$B$18))</f>
        <v/>
      </c>
      <c r="BV428" s="136" t="str">
        <f aca="false">IF($BR428&lt;&gt;Constants!$B$8,"",((Constants!$B$31-$AZ428)-Constants!$B$31)/Constants!$B$32)</f>
        <v/>
      </c>
      <c r="BW428" s="136" t="str">
        <f aca="false">IF(ISBLANK($C428),"",IF($BR428&lt;&gt;Constants!$B$8,$BR428,SUM($BT428:$BV428)))</f>
        <v/>
      </c>
      <c r="BX428" s="133" t="str">
        <f aca="false">IF(ISBLANK($C428),"",IF($BR428&lt;&gt;Constants!$B$8,$BR428,RANK($BW428,$BW$9:$BW$508,1)))</f>
        <v/>
      </c>
      <c r="BY428" s="136" t="str">
        <f aca="false">IF($BR428&lt;&gt;Constants!$B$8,"",IF($BI428="-&gt;",$BK428,$BC428))</f>
        <v/>
      </c>
      <c r="BZ428" s="133" t="str">
        <f aca="false">IF(ISBLANK($C428),"",IF($BR428&lt;&gt;Constants!$B$8,$BR428,IF(ISNUMBER($BY428),RANK($BY428,$BY$9:$BY$508,1),COUNT($BY$9:$BY$508)+1)))</f>
        <v/>
      </c>
      <c r="CA428" s="136" t="str">
        <f aca="false">IF($BR428&lt;&gt;Constants!$B$8,"",IF($BI428="-&gt;",$BL428,$BD428))</f>
        <v/>
      </c>
      <c r="CB428" s="133" t="str">
        <f aca="false">IF(ISBLANK($C428),"",IF($BR428&lt;&gt;Constants!$B$8,$BR428,IF(ISNUMBER($CA428),RANK($CA428,$CA$9:$CA$508,1),COUNT($CA$9:$CA$508)+1)))</f>
        <v/>
      </c>
      <c r="CC428" s="136" t="str">
        <f aca="false">IF($BR428&lt;&gt;Constants!$B$8,"",IF($BI428="-&gt;",IF($AT428,$AV428,""),IF($AL428,$AN428,"")))</f>
        <v/>
      </c>
      <c r="CD428" s="133" t="str">
        <f aca="false">IF(ISBLANK($C428),"",IF($BR428&lt;&gt;Constants!$B$8,$BR428,IF(ISNUMBER($CC428),RANK($CC428,$CC$9:$CC$508,1),COUNT($CC$9:$CC$508)+1)))</f>
        <v/>
      </c>
      <c r="CE428" s="136" t="str">
        <f aca="false">IF($BR428&lt;&gt;Constants!$B$8,"",IF(AND(NOT($AL428),NOT($AT428),$AJ428,$AK428,$AR428,$AS428),"",$AI428))</f>
        <v/>
      </c>
      <c r="CF428" s="133" t="str">
        <f aca="false">IF(ISBLANK($C428),"",IF($BR428&lt;&gt;Constants!$B$8,$BR428,IF(ISNUMBER($CE428),RANK($CE428,$CE$9:$CE$508,1),COUNT($CE$9:$CE$508)+1)))</f>
        <v/>
      </c>
      <c r="CG428" s="133" t="str">
        <f aca="false">IF(ISBLANK($C428),"",IF($BR428&lt;&gt;Constants!$B$8,$BR428,COUNTIFS($BX$9:$BX$508,"&lt;"&amp;$BX428)+COUNTIFS($BX$9:$BX$508,$BX428,$BZ$9:$BZ$508,"&lt;"&amp;$BZ428)+COUNTIFS($BX$9:$BX$508,$BX428,$BZ$9:$BZ$508,$BZ428,$CB$9:$CB$508,"&lt;"&amp;$CB428)+COUNTIFS($BX$9:$BX$508,$BX428,$BZ$9:$BZ$508,$BZ428,$CB$9:$CB$508,$CB428,$CD$9:$CD$508,"&lt;"&amp;$CD428)+COUNTIFS($BX$9:$BX$508,$BX428,$BZ$9:$BZ$508,$BZ428,$CB$9:$CB$508,$CB428,$CD$9:$CD$508,$CD428,$CF$9:$CF$508,"&lt;"&amp;$CF428)+1))</f>
        <v/>
      </c>
      <c r="CH428" s="133" t="str">
        <f aca="false">IF(ISBLANK($C428),"",IF($BR428&lt;&gt;Constants!$B$8,$BR428,$BX428-$CG428))</f>
        <v/>
      </c>
      <c r="CI428" s="138"/>
      <c r="CJ428" s="139"/>
      <c r="CK428" s="140" t="str">
        <f aca="false">IF(ISBLANK($C428),"",IF($BR428=Constants!$B$12,$BQ428,""))</f>
        <v/>
      </c>
      <c r="CL428" s="139" t="str">
        <f aca="false">IF(ISBLANK($C428),"",IF($BR428&lt;&gt;Constants!$B$8,"",IF($BI428="-&gt;",2,1)))</f>
        <v/>
      </c>
      <c r="CM428" s="141" t="str">
        <f aca="false">IF(ISBLANK($C428),"",IF($BR428&lt;&gt;Constants!$B$8,"",IF($BI428="-&gt;",$BK428,$BC428)))</f>
        <v/>
      </c>
      <c r="CN428" s="141" t="str">
        <f aca="false">IF(ISBLANK($C428),"",IF($BR428&lt;&gt;Constants!$B$8,"",IF($BI428="-&gt;",$BL428,$BD428)))</f>
        <v/>
      </c>
      <c r="CO428" s="141" t="str">
        <f aca="false">IF(ISBLANK($C428),"",IF($BR428&lt;&gt;Constants!$B$8,"",IF($BI428="-&gt;",$BM428+$BN428,$BE428+$BF428)+$BV428))</f>
        <v/>
      </c>
      <c r="CP428" s="141" t="str">
        <f aca="false">IF(ISBLANK($C428),"",IF($BR428&lt;&gt;Constants!$B$8,"",IF($BI428="-&gt;",$BO428,$BG428)+$BU428))</f>
        <v/>
      </c>
      <c r="CQ428" s="142" t="str">
        <f aca="false">IF(ISBLANK($C428),"",IF($BR428&lt;&gt;Constants!$B$8,$BR428,$BW428))</f>
        <v/>
      </c>
      <c r="CR428" s="143" t="str">
        <f aca="false">IF(ISBLANK($C428),"",$BS428)</f>
        <v/>
      </c>
      <c r="CS428" s="144" t="str">
        <f aca="false">IF(ISBLANK($C428),"",$CH428)</f>
        <v/>
      </c>
      <c r="CT428" s="144" t="str">
        <f aca="false">IF(ISBLANK($C428),"",$CG428)</f>
        <v/>
      </c>
      <c r="CU428" s="145" t="str">
        <f aca="false">IF(ISBLANK($C428),"",IFERROR(_xlfn.SWITCH($CT428,Constants!$B$11,COUNTA($C$9:$C$508)+2,Constants!$B$10,COUNTA($C$9:$C$508)+1,Constants!$B$9,COUNTA($C$9:$C$508)),$CT428))</f>
        <v/>
      </c>
      <c r="CV428" s="9"/>
      <c r="CW428" s="146" t="n">
        <f aca="false">IF(OR(ISNUMBER($CT428),$CT428=Constants!$B$11,$CT428=Constants!$B$9,$CT428=Constants!$B$10),1,0)</f>
        <v>0</v>
      </c>
      <c r="CX428" s="146" t="n">
        <v>420</v>
      </c>
      <c r="CY428" s="146" t="str">
        <f aca="false">IF(ISBLANK($C428),"",IF(ISNUMBER($CU428),$CU428+ROW($B428)/1000,""))</f>
        <v/>
      </c>
      <c r="CZ428" s="146" t="str">
        <f aca="false">IF(ISNUMBER($CY428),RANK($CY428,$CY$9:$CY$508,1),"")</f>
        <v/>
      </c>
      <c r="DA428" s="146" t="str">
        <f aca="false">IF(ISBLANK($C428),"",$B428)</f>
        <v/>
      </c>
      <c r="DB428" s="146" t="str">
        <f aca="false">IF(ISBLANK($C428),"",$C428)</f>
        <v/>
      </c>
      <c r="DC428" s="146" t="str">
        <f aca="false">IF(ISBLANK($C428),"",$D428)</f>
        <v/>
      </c>
      <c r="DD428" s="147" t="str">
        <f aca="false">$CR428</f>
        <v/>
      </c>
      <c r="DE428" s="148" t="str">
        <f aca="false">$CQ428</f>
        <v/>
      </c>
      <c r="DF428" s="146" t="str">
        <f aca="false">IF(ISBLANK($C428),"",$CT428)</f>
        <v/>
      </c>
      <c r="DG428" s="149" t="str">
        <f aca="false">IF($CX428&gt;$CW$8,"",VLOOKUP($CX428,$CZ$9:$DF$508,7,FALSE()))</f>
        <v/>
      </c>
      <c r="DH428" s="150" t="str">
        <f aca="false">IF($CX428&gt;$CW$8,"",VLOOKUP($CX428,$CZ$9:$DF$508,2,FALSE()))</f>
        <v/>
      </c>
      <c r="DI428" s="150" t="str">
        <f aca="false">IF($CX428&gt;$CW$8,"",VLOOKUP($CX428,$CZ$9:$DF$508,3,FALSE()))</f>
        <v/>
      </c>
      <c r="DJ428" s="150" t="str">
        <f aca="false">IF($CX428&gt;$CW$8,"",VLOOKUP($CX428,$CZ$9:$DF$508,4,FALSE()))</f>
        <v/>
      </c>
      <c r="DK428" s="150" t="str">
        <f aca="false">IF($CX428&gt;$CW$8,"",VLOOKUP($CX428,$CZ$9:$DF$508,5,FALSE()))</f>
        <v/>
      </c>
      <c r="DL428" s="151" t="str">
        <f aca="false">IF($CX428&gt;$CW$8,"",VLOOKUP($CX428,$CZ$9:$DF$508,6,FALSE()))</f>
        <v/>
      </c>
      <c r="DM428" s="75"/>
    </row>
    <row r="429" customFormat="false" ht="15.75" hidden="false" customHeight="false" outlineLevel="0" collapsed="false">
      <c r="A429" s="9"/>
      <c r="B429" s="77"/>
      <c r="C429" s="78"/>
      <c r="D429" s="167"/>
      <c r="E429" s="175"/>
      <c r="F429" s="169"/>
      <c r="G429" s="170"/>
      <c r="H429" s="170"/>
      <c r="I429" s="176"/>
      <c r="J429" s="173"/>
      <c r="K429" s="85"/>
      <c r="L429" s="86"/>
      <c r="M429" s="87"/>
      <c r="N429" s="173"/>
      <c r="O429" s="173"/>
      <c r="P429" s="175"/>
      <c r="Q429" s="173"/>
      <c r="R429" s="173"/>
      <c r="S429" s="85"/>
      <c r="T429" s="87"/>
      <c r="U429" s="87"/>
      <c r="V429" s="173"/>
      <c r="W429" s="173"/>
      <c r="X429" s="175"/>
      <c r="Y429" s="173"/>
      <c r="Z429" s="174"/>
      <c r="AA429" s="173"/>
      <c r="AB429" s="91"/>
      <c r="AC429" s="92"/>
      <c r="AD429" s="92"/>
      <c r="AE429" s="92"/>
      <c r="AF429" s="92" t="str">
        <f aca="false">IF(ISBLANK($C429),"",IF(E429=Constants!$B$3,TRUE(),IF(E429=Constants!$B$4,FALSE(),TRUE())))</f>
        <v/>
      </c>
      <c r="AG429" s="92" t="str">
        <f aca="false">IF(ISBLANK($C429),"",IF(F429=Constants!$B$3,TRUE(),IF(F429=Constants!$B$4,FALSE(),TRUE())))</f>
        <v/>
      </c>
      <c r="AH429" s="92" t="str">
        <f aca="false">IF(ISBLANK($C429),"",IF(G429=Constants!$B$3,TRUE(),IF(G429=Constants!$B$4,FALSE(),TRUE())))</f>
        <v/>
      </c>
      <c r="AI429" s="92" t="str">
        <f aca="false">IF(ISBLANK($C429),"",IF(AND(ISNUMBER(H429),H429&gt;=0),H429,Constants!$B$29))</f>
        <v/>
      </c>
      <c r="AJ429" s="92" t="str">
        <f aca="false">IF(ISBLANK($C429),"",IF(I429=Constants!$B$3,TRUE(),IF(I429=Constants!$B$4,FALSE(),TRUE())))</f>
        <v/>
      </c>
      <c r="AK429" s="92" t="str">
        <f aca="false">IF(ISBLANK($C429),"",IF(J429=Constants!$B$3,TRUE(),IF(J429=Constants!$B$4,FALSE(),TRUE())))</f>
        <v/>
      </c>
      <c r="AL429" s="92" t="str">
        <f aca="false">IF(ISBLANK($C429),"",IF(K429=Constants!$B$5,TRUE(),IF(K429=Constants!$B$6,FALSE(),COUNTA(L429:P429)&gt;0)))</f>
        <v/>
      </c>
      <c r="AM429" s="94" t="str">
        <f aca="false">IF(ISBLANK($C429),"",IF(ISNUMBER(L429),IF(L429&gt;=0,L429,""),""))</f>
        <v/>
      </c>
      <c r="AN429" s="93" t="str">
        <f aca="false">IF(ISBLANK($C429),"",IF(ISNUMBER(M429),IF(M429&gt;=0,M429,""),""))</f>
        <v/>
      </c>
      <c r="AO429" s="93" t="str">
        <f aca="false">IF(ISBLANK($C429),"",IF(N429=Constants!$B$3,TRUE(),IF(N429=Constants!$B$4,FALSE(),TRUE())))</f>
        <v/>
      </c>
      <c r="AP429" s="92" t="str">
        <f aca="false">IF(ISBLANK($C429),"",IF(ISNUMBER(O429),IF(O429&gt;=0,O429,""),""))</f>
        <v/>
      </c>
      <c r="AQ429" s="92" t="str">
        <f aca="false">IF(ISBLANK($C429),"",IF(P429=Constants!$B$3,TRUE(),IF(P429=Constants!$B$4,FALSE(),FALSE())))</f>
        <v/>
      </c>
      <c r="AR429" s="92" t="str">
        <f aca="false">IF(ISBLANK($C429),"",IF(Q429=Constants!$B$3,TRUE(),IF(Q429=Constants!$B$4,FALSE(),TRUE())))</f>
        <v/>
      </c>
      <c r="AS429" s="92" t="str">
        <f aca="false">IF(ISBLANK($C429),"",IF(R429=Constants!$B$3,TRUE(),IF(R429=Constants!$B$4,FALSE(),TRUE())))</f>
        <v/>
      </c>
      <c r="AT429" s="92" t="str">
        <f aca="false">IF(ISBLANK($C429),"",IF(S429=Constants!$B$5,TRUE(),IF(S429=Constants!$B$6,FALSE(),COUNTA(T429:X429)&gt;0)))</f>
        <v/>
      </c>
      <c r="AU429" s="94" t="str">
        <f aca="false">IF(ISBLANK($C429),"",IF(ISNUMBER(T429),IF(T429&gt;=0,T429,""),""))</f>
        <v/>
      </c>
      <c r="AV429" s="93" t="str">
        <f aca="false">IF(ISBLANK($C429),"",IF(ISNUMBER(U429),IF(U429&gt;=0,U429,""),""))</f>
        <v/>
      </c>
      <c r="AW429" s="93" t="str">
        <f aca="false">IF(ISBLANK($C429),"",IF(V429=Constants!$B$3,TRUE(),IF(V429=Constants!$B$4,FALSE(),TRUE())))</f>
        <v/>
      </c>
      <c r="AX429" s="92" t="str">
        <f aca="false">IF(ISBLANK($C429),"",IF(ISNUMBER(W429),IF(W429&gt;=0,W429,""),""))</f>
        <v/>
      </c>
      <c r="AY429" s="92" t="str">
        <f aca="false">IF(ISBLANK($C429),"",IF(X429=Constants!$B$3,TRUE(),IF(X429=Constants!$B$4,FALSE(),FALSE())))</f>
        <v/>
      </c>
      <c r="AZ429" s="92" t="str">
        <f aca="false">IF(ISBLANK($C429),"",MIN(Constants!$B$31,MAX(0,IF(ISNUMBER(Y429),Y429*60,0)+IF(ISNUMBER(Z429),Z429,0))))</f>
        <v/>
      </c>
      <c r="BA429" s="92" t="str">
        <f aca="false">IF(ISBLANK($C429),"",IF(AA429=Constants!$B$3,TRUE(),IF(AA429=Constants!$B$4,FALSE(),FALSE())))</f>
        <v/>
      </c>
      <c r="BB429" s="91" t="str">
        <f aca="false">IF(ISBLANK($C429),"",AND($AL429,OR($AM429="",$AN429="",AND($AO429,$AP429=""))))</f>
        <v/>
      </c>
      <c r="BC429" s="93" t="str">
        <f aca="false">IF($BR429&lt;&gt;Constants!$B$8,"",IF($AL429,Constants!$B$21*$AN429+Constants!$B$22*IF($AO429,$AP429,Constants!$B$23),Constants!$B$24))</f>
        <v/>
      </c>
      <c r="BD429" s="96" t="str">
        <f aca="false">IF($BR429&lt;&gt;Constants!$B$8,"",Constants!$B$25*ABS($AD$9-IF($AL429,$AM429,0)))</f>
        <v/>
      </c>
      <c r="BE429" s="96" t="str">
        <f aca="false">IF($BR429&lt;&gt;Constants!$B$8,"",IF(AND($AL429,$AQ429,$AO429),Constants!$B$27,0))</f>
        <v/>
      </c>
      <c r="BF429" s="96" t="str">
        <f aca="false">IF($BR429&lt;&gt;Constants!$B$8,"",IF($AL429,($AI429-Constants!$B$29)*Constants!$B$28,0))</f>
        <v/>
      </c>
      <c r="BG429" s="96" t="str">
        <f aca="false">IF($BR429&lt;&gt;Constants!$B$8,"",IF($AK429,0,Constants!$B$15)+IF($AJ429,0,Constants!$B$16)+IF($AH429,0,Constants!$B$17))</f>
        <v/>
      </c>
      <c r="BH429" s="97" t="str">
        <f aca="false">IF($BR429&lt;&gt;Constants!$B$8,"",Constants!$B$20+SUM($BC429:$BG429))</f>
        <v/>
      </c>
      <c r="BI429" s="92" t="str">
        <f aca="false">IF($BR429&lt;&gt;Constants!$B$8,"",IF(OR($BP429&lt;$BH429,AND($BP429=$BH429,OR($BK429&lt;$BC429,AND($BK429=$BC429,OR($BL429&lt;$BD429,AND($BL429=$BD429,$AT429,$AL429,$AV429&lt;$AN429)))))),"-&gt;","&lt;-"))</f>
        <v/>
      </c>
      <c r="BJ429" s="91" t="str">
        <f aca="false">IF(ISBLANK($C429),"",AND($AT429,OR($AU429="",$AV429="",AND($AW429,$AX429=""))))</f>
        <v/>
      </c>
      <c r="BK429" s="93" t="str">
        <f aca="false">IF($BR429&lt;&gt;Constants!$B$8,"",IF($AT429,Constants!$B$21*$AV429+Constants!$B$22*IF($AW429,$AX429,Constants!$B$23),Constants!$B$24))</f>
        <v/>
      </c>
      <c r="BL429" s="96" t="str">
        <f aca="false">IF($BR429&lt;&gt;Constants!$B$8,"",Constants!$B$25*ABS($AD$9-IF($AT429,$AU429,0)))</f>
        <v/>
      </c>
      <c r="BM429" s="96" t="str">
        <f aca="false">IF($BR429&lt;&gt;Constants!$B$8,"",IF(AND($AT429,$AY429,$AW429),Constants!$B$27,0))</f>
        <v/>
      </c>
      <c r="BN429" s="96" t="str">
        <f aca="false">IF($BR429&lt;&gt;Constants!$B$8,"",IF($AT429,($AI429-Constants!$B$29)*Constants!$B$28,0))</f>
        <v/>
      </c>
      <c r="BO429" s="96" t="str">
        <f aca="false">IF($BR429&lt;&gt;Constants!$B$8,"",IF($AS429,0,Constants!$B$15)+IF($AR429,0,Constants!$B$16)+IF($AH429,0,Constants!$B$17))</f>
        <v/>
      </c>
      <c r="BP429" s="97" t="str">
        <f aca="false">IF($BR429&lt;&gt;Constants!$B$8,"",Constants!$B$20+SUM($BK429:$BO429))</f>
        <v/>
      </c>
      <c r="BQ429" s="92" t="str">
        <f aca="false">IF(ISBLANK($C429),"",IF(ISBLANK($D$7),$BQ$5,IF(NOT(ISNUMBER($D$7)),$BQ$6,"")))</f>
        <v/>
      </c>
      <c r="BR429" s="92" t="str">
        <f aca="false">IF(ISBLANK($C429),"",IF($BA429,Constants!$B$11,IF(COUNTA($E429:$AA429)=0,Constants!$B$10,IF(NOT($AG429),Constants!$B$9,IF(OR($BQ429&lt;&gt;"",$BB429,$BJ429),Constants!$B$12,Constants!$B$8)))))</f>
        <v/>
      </c>
      <c r="BS429" s="92" t="str">
        <f aca="false">IF(ISBLANK($C429),"",IF($BR429&lt;&gt;Constants!$B$8,$BR429,Constants!$B$13))</f>
        <v/>
      </c>
      <c r="BT429" s="96" t="str">
        <f aca="false">IF($BR429&lt;&gt;Constants!$B$8,"",IF($BI429="-&gt;",$BP429,$BH429))</f>
        <v/>
      </c>
      <c r="BU429" s="96" t="str">
        <f aca="false">IF($BR429&lt;&gt;Constants!$B$8,"",IF($AF429,0,Constants!$B$18))</f>
        <v/>
      </c>
      <c r="BV429" s="96" t="str">
        <f aca="false">IF($BR429&lt;&gt;Constants!$B$8,"",((Constants!$B$31-$AZ429)-Constants!$B$31)/Constants!$B$32)</f>
        <v/>
      </c>
      <c r="BW429" s="96" t="str">
        <f aca="false">IF(ISBLANK($C429),"",IF($BR429&lt;&gt;Constants!$B$8,$BR429,SUM($BT429:$BV429)))</f>
        <v/>
      </c>
      <c r="BX429" s="92" t="str">
        <f aca="false">IF(ISBLANK($C429),"",IF($BR429&lt;&gt;Constants!$B$8,$BR429,RANK($BW429,$BW$9:$BW$508,1)))</f>
        <v/>
      </c>
      <c r="BY429" s="96" t="str">
        <f aca="false">IF($BR429&lt;&gt;Constants!$B$8,"",IF($BI429="-&gt;",$BK429,$BC429))</f>
        <v/>
      </c>
      <c r="BZ429" s="92" t="str">
        <f aca="false">IF(ISBLANK($C429),"",IF($BR429&lt;&gt;Constants!$B$8,$BR429,IF(ISNUMBER($BY429),RANK($BY429,$BY$9:$BY$508,1),COUNT($BY$9:$BY$508)+1)))</f>
        <v/>
      </c>
      <c r="CA429" s="96" t="str">
        <f aca="false">IF($BR429&lt;&gt;Constants!$B$8,"",IF($BI429="-&gt;",$BL429,$BD429))</f>
        <v/>
      </c>
      <c r="CB429" s="92" t="str">
        <f aca="false">IF(ISBLANK($C429),"",IF($BR429&lt;&gt;Constants!$B$8,$BR429,IF(ISNUMBER($CA429),RANK($CA429,$CA$9:$CA$508,1),COUNT($CA$9:$CA$508)+1)))</f>
        <v/>
      </c>
      <c r="CC429" s="96" t="str">
        <f aca="false">IF($BR429&lt;&gt;Constants!$B$8,"",IF($BI429="-&gt;",IF($AT429,$AV429,""),IF($AL429,$AN429,"")))</f>
        <v/>
      </c>
      <c r="CD429" s="92" t="str">
        <f aca="false">IF(ISBLANK($C429),"",IF($BR429&lt;&gt;Constants!$B$8,$BR429,IF(ISNUMBER($CC429),RANK($CC429,$CC$9:$CC$508,1),COUNT($CC$9:$CC$508)+1)))</f>
        <v/>
      </c>
      <c r="CE429" s="96" t="str">
        <f aca="false">IF($BR429&lt;&gt;Constants!$B$8,"",IF(AND(NOT($AL429),NOT($AT429),$AJ429,$AK429,$AR429,$AS429),"",$AI429))</f>
        <v/>
      </c>
      <c r="CF429" s="92" t="str">
        <f aca="false">IF(ISBLANK($C429),"",IF($BR429&lt;&gt;Constants!$B$8,$BR429,IF(ISNUMBER($CE429),RANK($CE429,$CE$9:$CE$508,1),COUNT($CE$9:$CE$508)+1)))</f>
        <v/>
      </c>
      <c r="CG429" s="92" t="str">
        <f aca="false">IF(ISBLANK($C429),"",IF($BR429&lt;&gt;Constants!$B$8,$BR429,COUNTIFS($BX$9:$BX$508,"&lt;"&amp;$BX429)+COUNTIFS($BX$9:$BX$508,$BX429,$BZ$9:$BZ$508,"&lt;"&amp;$BZ429)+COUNTIFS($BX$9:$BX$508,$BX429,$BZ$9:$BZ$508,$BZ429,$CB$9:$CB$508,"&lt;"&amp;$CB429)+COUNTIFS($BX$9:$BX$508,$BX429,$BZ$9:$BZ$508,$BZ429,$CB$9:$CB$508,$CB429,$CD$9:$CD$508,"&lt;"&amp;$CD429)+COUNTIFS($BX$9:$BX$508,$BX429,$BZ$9:$BZ$508,$BZ429,$CB$9:$CB$508,$CB429,$CD$9:$CD$508,$CD429,$CF$9:$CF$508,"&lt;"&amp;$CF429)+1))</f>
        <v/>
      </c>
      <c r="CH429" s="92" t="str">
        <f aca="false">IF(ISBLANK($C429),"",IF($BR429&lt;&gt;Constants!$B$8,$BR429,$BX429-$CG429))</f>
        <v/>
      </c>
      <c r="CI429" s="98"/>
      <c r="CJ429" s="99"/>
      <c r="CK429" s="100" t="str">
        <f aca="false">IF(ISBLANK($C429),"",IF($BR429=Constants!$B$12,$BQ429,""))</f>
        <v/>
      </c>
      <c r="CL429" s="99" t="str">
        <f aca="false">IF(ISBLANK($C429),"",IF($BR429&lt;&gt;Constants!$B$8,"",IF($BI429="-&gt;",2,1)))</f>
        <v/>
      </c>
      <c r="CM429" s="101" t="str">
        <f aca="false">IF(ISBLANK($C429),"",IF($BR429&lt;&gt;Constants!$B$8,"",IF($BI429="-&gt;",$BK429,$BC429)))</f>
        <v/>
      </c>
      <c r="CN429" s="101" t="str">
        <f aca="false">IF(ISBLANK($C429),"",IF($BR429&lt;&gt;Constants!$B$8,"",IF($BI429="-&gt;",$BL429,$BD429)))</f>
        <v/>
      </c>
      <c r="CO429" s="101" t="str">
        <f aca="false">IF(ISBLANK($C429),"",IF($BR429&lt;&gt;Constants!$B$8,"",IF($BI429="-&gt;",$BM429+$BN429,$BE429+$BF429)+$BV429))</f>
        <v/>
      </c>
      <c r="CP429" s="101" t="str">
        <f aca="false">IF(ISBLANK($C429),"",IF($BR429&lt;&gt;Constants!$B$8,"",IF($BI429="-&gt;",$BO429,$BG429)+$BU429))</f>
        <v/>
      </c>
      <c r="CQ429" s="102" t="str">
        <f aca="false">IF(ISBLANK($C429),"",IF($BR429&lt;&gt;Constants!$B$8,$BR429,$BW429))</f>
        <v/>
      </c>
      <c r="CR429" s="103" t="str">
        <f aca="false">IF(ISBLANK($C429),"",$BS429)</f>
        <v/>
      </c>
      <c r="CS429" s="104" t="str">
        <f aca="false">IF(ISBLANK($C429),"",$CH429)</f>
        <v/>
      </c>
      <c r="CT429" s="104" t="str">
        <f aca="false">IF(ISBLANK($C429),"",$CG429)</f>
        <v/>
      </c>
      <c r="CU429" s="105" t="str">
        <f aca="false">IF(ISBLANK($C429),"",IFERROR(_xlfn.SWITCH($CT429,Constants!$B$11,COUNTA($C$9:$C$508)+2,Constants!$B$10,COUNTA($C$9:$C$508)+1,Constants!$B$9,COUNTA($C$9:$C$508)),$CT429))</f>
        <v/>
      </c>
      <c r="CV429" s="9"/>
      <c r="CW429" s="106" t="n">
        <f aca="false">IF(OR(ISNUMBER($CT429),$CT429=Constants!$B$11,$CT429=Constants!$B$9,$CT429=Constants!$B$10),1,0)</f>
        <v>0</v>
      </c>
      <c r="CX429" s="106" t="n">
        <v>421</v>
      </c>
      <c r="CY429" s="106" t="str">
        <f aca="false">IF(ISBLANK($C429),"",IF(ISNUMBER($CU429),$CU429+ROW($B429)/1000,""))</f>
        <v/>
      </c>
      <c r="CZ429" s="106" t="str">
        <f aca="false">IF(ISNUMBER($CY429),RANK($CY429,$CY$9:$CY$508,1),"")</f>
        <v/>
      </c>
      <c r="DA429" s="106" t="str">
        <f aca="false">IF(ISBLANK($C429),"",$B429)</f>
        <v/>
      </c>
      <c r="DB429" s="106" t="str">
        <f aca="false">IF(ISBLANK($C429),"",$C429)</f>
        <v/>
      </c>
      <c r="DC429" s="106" t="str">
        <f aca="false">IF(ISBLANK($C429),"",$D429)</f>
        <v/>
      </c>
      <c r="DD429" s="107" t="str">
        <f aca="false">$CR429</f>
        <v/>
      </c>
      <c r="DE429" s="108" t="str">
        <f aca="false">$CQ429</f>
        <v/>
      </c>
      <c r="DF429" s="106" t="str">
        <f aca="false">IF(ISBLANK($C429),"",$CT429)</f>
        <v/>
      </c>
      <c r="DG429" s="109" t="str">
        <f aca="false">IF($CX429&gt;$CW$8,"",VLOOKUP($CX429,$CZ$9:$DF$508,7,FALSE()))</f>
        <v/>
      </c>
      <c r="DH429" s="110" t="str">
        <f aca="false">IF($CX429&gt;$CW$8,"",VLOOKUP($CX429,$CZ$9:$DF$508,2,FALSE()))</f>
        <v/>
      </c>
      <c r="DI429" s="110" t="str">
        <f aca="false">IF($CX429&gt;$CW$8,"",VLOOKUP($CX429,$CZ$9:$DF$508,3,FALSE()))</f>
        <v/>
      </c>
      <c r="DJ429" s="110" t="str">
        <f aca="false">IF($CX429&gt;$CW$8,"",VLOOKUP($CX429,$CZ$9:$DF$508,4,FALSE()))</f>
        <v/>
      </c>
      <c r="DK429" s="110" t="str">
        <f aca="false">IF($CX429&gt;$CW$8,"",VLOOKUP($CX429,$CZ$9:$DF$508,5,FALSE()))</f>
        <v/>
      </c>
      <c r="DL429" s="111" t="str">
        <f aca="false">IF($CX429&gt;$CW$8,"",VLOOKUP($CX429,$CZ$9:$DF$508,6,FALSE()))</f>
        <v/>
      </c>
      <c r="DM429" s="75"/>
    </row>
    <row r="430" customFormat="false" ht="15.75" hidden="false" customHeight="false" outlineLevel="0" collapsed="false">
      <c r="A430" s="9"/>
      <c r="B430" s="77"/>
      <c r="C430" s="78"/>
      <c r="D430" s="167"/>
      <c r="E430" s="175"/>
      <c r="F430" s="169"/>
      <c r="G430" s="170"/>
      <c r="H430" s="170"/>
      <c r="I430" s="176"/>
      <c r="J430" s="173"/>
      <c r="K430" s="85"/>
      <c r="L430" s="86"/>
      <c r="M430" s="87"/>
      <c r="N430" s="173"/>
      <c r="O430" s="173"/>
      <c r="P430" s="175"/>
      <c r="Q430" s="173"/>
      <c r="R430" s="173"/>
      <c r="S430" s="85"/>
      <c r="T430" s="87"/>
      <c r="U430" s="87"/>
      <c r="V430" s="173"/>
      <c r="W430" s="173"/>
      <c r="X430" s="175"/>
      <c r="Y430" s="173"/>
      <c r="Z430" s="174"/>
      <c r="AA430" s="173"/>
      <c r="AB430" s="91"/>
      <c r="AC430" s="92"/>
      <c r="AD430" s="92"/>
      <c r="AE430" s="92"/>
      <c r="AF430" s="92" t="str">
        <f aca="false">IF(ISBLANK($C430),"",IF(E430=Constants!$B$3,TRUE(),IF(E430=Constants!$B$4,FALSE(),TRUE())))</f>
        <v/>
      </c>
      <c r="AG430" s="92" t="str">
        <f aca="false">IF(ISBLANK($C430),"",IF(F430=Constants!$B$3,TRUE(),IF(F430=Constants!$B$4,FALSE(),TRUE())))</f>
        <v/>
      </c>
      <c r="AH430" s="92" t="str">
        <f aca="false">IF(ISBLANK($C430),"",IF(G430=Constants!$B$3,TRUE(),IF(G430=Constants!$B$4,FALSE(),TRUE())))</f>
        <v/>
      </c>
      <c r="AI430" s="92" t="str">
        <f aca="false">IF(ISBLANK($C430),"",IF(AND(ISNUMBER(H430),H430&gt;=0),H430,Constants!$B$29))</f>
        <v/>
      </c>
      <c r="AJ430" s="92" t="str">
        <f aca="false">IF(ISBLANK($C430),"",IF(I430=Constants!$B$3,TRUE(),IF(I430=Constants!$B$4,FALSE(),TRUE())))</f>
        <v/>
      </c>
      <c r="AK430" s="92" t="str">
        <f aca="false">IF(ISBLANK($C430),"",IF(J430=Constants!$B$3,TRUE(),IF(J430=Constants!$B$4,FALSE(),TRUE())))</f>
        <v/>
      </c>
      <c r="AL430" s="92" t="str">
        <f aca="false">IF(ISBLANK($C430),"",IF(K430=Constants!$B$5,TRUE(),IF(K430=Constants!$B$6,FALSE(),COUNTA(L430:P430)&gt;0)))</f>
        <v/>
      </c>
      <c r="AM430" s="94" t="str">
        <f aca="false">IF(ISBLANK($C430),"",IF(ISNUMBER(L430),IF(L430&gt;=0,L430,""),""))</f>
        <v/>
      </c>
      <c r="AN430" s="93" t="str">
        <f aca="false">IF(ISBLANK($C430),"",IF(ISNUMBER(M430),IF(M430&gt;=0,M430,""),""))</f>
        <v/>
      </c>
      <c r="AO430" s="93" t="str">
        <f aca="false">IF(ISBLANK($C430),"",IF(N430=Constants!$B$3,TRUE(),IF(N430=Constants!$B$4,FALSE(),TRUE())))</f>
        <v/>
      </c>
      <c r="AP430" s="92" t="str">
        <f aca="false">IF(ISBLANK($C430),"",IF(ISNUMBER(O430),IF(O430&gt;=0,O430,""),""))</f>
        <v/>
      </c>
      <c r="AQ430" s="92" t="str">
        <f aca="false">IF(ISBLANK($C430),"",IF(P430=Constants!$B$3,TRUE(),IF(P430=Constants!$B$4,FALSE(),FALSE())))</f>
        <v/>
      </c>
      <c r="AR430" s="92" t="str">
        <f aca="false">IF(ISBLANK($C430),"",IF(Q430=Constants!$B$3,TRUE(),IF(Q430=Constants!$B$4,FALSE(),TRUE())))</f>
        <v/>
      </c>
      <c r="AS430" s="92" t="str">
        <f aca="false">IF(ISBLANK($C430),"",IF(R430=Constants!$B$3,TRUE(),IF(R430=Constants!$B$4,FALSE(),TRUE())))</f>
        <v/>
      </c>
      <c r="AT430" s="92" t="str">
        <f aca="false">IF(ISBLANK($C430),"",IF(S430=Constants!$B$5,TRUE(),IF(S430=Constants!$B$6,FALSE(),COUNTA(T430:X430)&gt;0)))</f>
        <v/>
      </c>
      <c r="AU430" s="94" t="str">
        <f aca="false">IF(ISBLANK($C430),"",IF(ISNUMBER(T430),IF(T430&gt;=0,T430,""),""))</f>
        <v/>
      </c>
      <c r="AV430" s="93" t="str">
        <f aca="false">IF(ISBLANK($C430),"",IF(ISNUMBER(U430),IF(U430&gt;=0,U430,""),""))</f>
        <v/>
      </c>
      <c r="AW430" s="93" t="str">
        <f aca="false">IF(ISBLANK($C430),"",IF(V430=Constants!$B$3,TRUE(),IF(V430=Constants!$B$4,FALSE(),TRUE())))</f>
        <v/>
      </c>
      <c r="AX430" s="92" t="str">
        <f aca="false">IF(ISBLANK($C430),"",IF(ISNUMBER(W430),IF(W430&gt;=0,W430,""),""))</f>
        <v/>
      </c>
      <c r="AY430" s="92" t="str">
        <f aca="false">IF(ISBLANK($C430),"",IF(X430=Constants!$B$3,TRUE(),IF(X430=Constants!$B$4,FALSE(),FALSE())))</f>
        <v/>
      </c>
      <c r="AZ430" s="92" t="str">
        <f aca="false">IF(ISBLANK($C430),"",MIN(Constants!$B$31,MAX(0,IF(ISNUMBER(Y430),Y430*60,0)+IF(ISNUMBER(Z430),Z430,0))))</f>
        <v/>
      </c>
      <c r="BA430" s="92" t="str">
        <f aca="false">IF(ISBLANK($C430),"",IF(AA430=Constants!$B$3,TRUE(),IF(AA430=Constants!$B$4,FALSE(),FALSE())))</f>
        <v/>
      </c>
      <c r="BB430" s="91" t="str">
        <f aca="false">IF(ISBLANK($C430),"",AND($AL430,OR($AM430="",$AN430="",AND($AO430,$AP430=""))))</f>
        <v/>
      </c>
      <c r="BC430" s="93" t="str">
        <f aca="false">IF($BR430&lt;&gt;Constants!$B$8,"",IF($AL430,Constants!$B$21*$AN430+Constants!$B$22*IF($AO430,$AP430,Constants!$B$23),Constants!$B$24))</f>
        <v/>
      </c>
      <c r="BD430" s="96" t="str">
        <f aca="false">IF($BR430&lt;&gt;Constants!$B$8,"",Constants!$B$25*ABS($AD$9-IF($AL430,$AM430,0)))</f>
        <v/>
      </c>
      <c r="BE430" s="96" t="str">
        <f aca="false">IF($BR430&lt;&gt;Constants!$B$8,"",IF(AND($AL430,$AQ430,$AO430),Constants!$B$27,0))</f>
        <v/>
      </c>
      <c r="BF430" s="96" t="str">
        <f aca="false">IF($BR430&lt;&gt;Constants!$B$8,"",IF($AL430,($AI430-Constants!$B$29)*Constants!$B$28,0))</f>
        <v/>
      </c>
      <c r="BG430" s="96" t="str">
        <f aca="false">IF($BR430&lt;&gt;Constants!$B$8,"",IF($AK430,0,Constants!$B$15)+IF($AJ430,0,Constants!$B$16)+IF($AH430,0,Constants!$B$17))</f>
        <v/>
      </c>
      <c r="BH430" s="97" t="str">
        <f aca="false">IF($BR430&lt;&gt;Constants!$B$8,"",Constants!$B$20+SUM($BC430:$BG430))</f>
        <v/>
      </c>
      <c r="BI430" s="92" t="str">
        <f aca="false">IF($BR430&lt;&gt;Constants!$B$8,"",IF(OR($BP430&lt;$BH430,AND($BP430=$BH430,OR($BK430&lt;$BC430,AND($BK430=$BC430,OR($BL430&lt;$BD430,AND($BL430=$BD430,$AT430,$AL430,$AV430&lt;$AN430)))))),"-&gt;","&lt;-"))</f>
        <v/>
      </c>
      <c r="BJ430" s="91" t="str">
        <f aca="false">IF(ISBLANK($C430),"",AND($AT430,OR($AU430="",$AV430="",AND($AW430,$AX430=""))))</f>
        <v/>
      </c>
      <c r="BK430" s="93" t="str">
        <f aca="false">IF($BR430&lt;&gt;Constants!$B$8,"",IF($AT430,Constants!$B$21*$AV430+Constants!$B$22*IF($AW430,$AX430,Constants!$B$23),Constants!$B$24))</f>
        <v/>
      </c>
      <c r="BL430" s="96" t="str">
        <f aca="false">IF($BR430&lt;&gt;Constants!$B$8,"",Constants!$B$25*ABS($AD$9-IF($AT430,$AU430,0)))</f>
        <v/>
      </c>
      <c r="BM430" s="96" t="str">
        <f aca="false">IF($BR430&lt;&gt;Constants!$B$8,"",IF(AND($AT430,$AY430,$AW430),Constants!$B$27,0))</f>
        <v/>
      </c>
      <c r="BN430" s="96" t="str">
        <f aca="false">IF($BR430&lt;&gt;Constants!$B$8,"",IF($AT430,($AI430-Constants!$B$29)*Constants!$B$28,0))</f>
        <v/>
      </c>
      <c r="BO430" s="96" t="str">
        <f aca="false">IF($BR430&lt;&gt;Constants!$B$8,"",IF($AS430,0,Constants!$B$15)+IF($AR430,0,Constants!$B$16)+IF($AH430,0,Constants!$B$17))</f>
        <v/>
      </c>
      <c r="BP430" s="97" t="str">
        <f aca="false">IF($BR430&lt;&gt;Constants!$B$8,"",Constants!$B$20+SUM($BK430:$BO430))</f>
        <v/>
      </c>
      <c r="BQ430" s="92" t="str">
        <f aca="false">IF(ISBLANK($C430),"",IF(ISBLANK($D$7),$BQ$5,IF(NOT(ISNUMBER($D$7)),$BQ$6,"")))</f>
        <v/>
      </c>
      <c r="BR430" s="92" t="str">
        <f aca="false">IF(ISBLANK($C430),"",IF($BA430,Constants!$B$11,IF(COUNTA($E430:$AA430)=0,Constants!$B$10,IF(NOT($AG430),Constants!$B$9,IF(OR($BQ430&lt;&gt;"",$BB430,$BJ430),Constants!$B$12,Constants!$B$8)))))</f>
        <v/>
      </c>
      <c r="BS430" s="92" t="str">
        <f aca="false">IF(ISBLANK($C430),"",IF($BR430&lt;&gt;Constants!$B$8,$BR430,Constants!$B$13))</f>
        <v/>
      </c>
      <c r="BT430" s="96" t="str">
        <f aca="false">IF($BR430&lt;&gt;Constants!$B$8,"",IF($BI430="-&gt;",$BP430,$BH430))</f>
        <v/>
      </c>
      <c r="BU430" s="96" t="str">
        <f aca="false">IF($BR430&lt;&gt;Constants!$B$8,"",IF($AF430,0,Constants!$B$18))</f>
        <v/>
      </c>
      <c r="BV430" s="96" t="str">
        <f aca="false">IF($BR430&lt;&gt;Constants!$B$8,"",((Constants!$B$31-$AZ430)-Constants!$B$31)/Constants!$B$32)</f>
        <v/>
      </c>
      <c r="BW430" s="96" t="str">
        <f aca="false">IF(ISBLANK($C430),"",IF($BR430&lt;&gt;Constants!$B$8,$BR430,SUM($BT430:$BV430)))</f>
        <v/>
      </c>
      <c r="BX430" s="92" t="str">
        <f aca="false">IF(ISBLANK($C430),"",IF($BR430&lt;&gt;Constants!$B$8,$BR430,RANK($BW430,$BW$9:$BW$508,1)))</f>
        <v/>
      </c>
      <c r="BY430" s="96" t="str">
        <f aca="false">IF($BR430&lt;&gt;Constants!$B$8,"",IF($BI430="-&gt;",$BK430,$BC430))</f>
        <v/>
      </c>
      <c r="BZ430" s="92" t="str">
        <f aca="false">IF(ISBLANK($C430),"",IF($BR430&lt;&gt;Constants!$B$8,$BR430,IF(ISNUMBER($BY430),RANK($BY430,$BY$9:$BY$508,1),COUNT($BY$9:$BY$508)+1)))</f>
        <v/>
      </c>
      <c r="CA430" s="96" t="str">
        <f aca="false">IF($BR430&lt;&gt;Constants!$B$8,"",IF($BI430="-&gt;",$BL430,$BD430))</f>
        <v/>
      </c>
      <c r="CB430" s="92" t="str">
        <f aca="false">IF(ISBLANK($C430),"",IF($BR430&lt;&gt;Constants!$B$8,$BR430,IF(ISNUMBER($CA430),RANK($CA430,$CA$9:$CA$508,1),COUNT($CA$9:$CA$508)+1)))</f>
        <v/>
      </c>
      <c r="CC430" s="96" t="str">
        <f aca="false">IF($BR430&lt;&gt;Constants!$B$8,"",IF($BI430="-&gt;",IF($AT430,$AV430,""),IF($AL430,$AN430,"")))</f>
        <v/>
      </c>
      <c r="CD430" s="92" t="str">
        <f aca="false">IF(ISBLANK($C430),"",IF($BR430&lt;&gt;Constants!$B$8,$BR430,IF(ISNUMBER($CC430),RANK($CC430,$CC$9:$CC$508,1),COUNT($CC$9:$CC$508)+1)))</f>
        <v/>
      </c>
      <c r="CE430" s="96" t="str">
        <f aca="false">IF($BR430&lt;&gt;Constants!$B$8,"",IF(AND(NOT($AL430),NOT($AT430),$AJ430,$AK430,$AR430,$AS430),"",$AI430))</f>
        <v/>
      </c>
      <c r="CF430" s="92" t="str">
        <f aca="false">IF(ISBLANK($C430),"",IF($BR430&lt;&gt;Constants!$B$8,$BR430,IF(ISNUMBER($CE430),RANK($CE430,$CE$9:$CE$508,1),COUNT($CE$9:$CE$508)+1)))</f>
        <v/>
      </c>
      <c r="CG430" s="92" t="str">
        <f aca="false">IF(ISBLANK($C430),"",IF($BR430&lt;&gt;Constants!$B$8,$BR430,COUNTIFS($BX$9:$BX$508,"&lt;"&amp;$BX430)+COUNTIFS($BX$9:$BX$508,$BX430,$BZ$9:$BZ$508,"&lt;"&amp;$BZ430)+COUNTIFS($BX$9:$BX$508,$BX430,$BZ$9:$BZ$508,$BZ430,$CB$9:$CB$508,"&lt;"&amp;$CB430)+COUNTIFS($BX$9:$BX$508,$BX430,$BZ$9:$BZ$508,$BZ430,$CB$9:$CB$508,$CB430,$CD$9:$CD$508,"&lt;"&amp;$CD430)+COUNTIFS($BX$9:$BX$508,$BX430,$BZ$9:$BZ$508,$BZ430,$CB$9:$CB$508,$CB430,$CD$9:$CD$508,$CD430,$CF$9:$CF$508,"&lt;"&amp;$CF430)+1))</f>
        <v/>
      </c>
      <c r="CH430" s="92" t="str">
        <f aca="false">IF(ISBLANK($C430),"",IF($BR430&lt;&gt;Constants!$B$8,$BR430,$BX430-$CG430))</f>
        <v/>
      </c>
      <c r="CI430" s="98"/>
      <c r="CJ430" s="99"/>
      <c r="CK430" s="100" t="str">
        <f aca="false">IF(ISBLANK($C430),"",IF($BR430=Constants!$B$12,$BQ430,""))</f>
        <v/>
      </c>
      <c r="CL430" s="99" t="str">
        <f aca="false">IF(ISBLANK($C430),"",IF($BR430&lt;&gt;Constants!$B$8,"",IF($BI430="-&gt;",2,1)))</f>
        <v/>
      </c>
      <c r="CM430" s="101" t="str">
        <f aca="false">IF(ISBLANK($C430),"",IF($BR430&lt;&gt;Constants!$B$8,"",IF($BI430="-&gt;",$BK430,$BC430)))</f>
        <v/>
      </c>
      <c r="CN430" s="101" t="str">
        <f aca="false">IF(ISBLANK($C430),"",IF($BR430&lt;&gt;Constants!$B$8,"",IF($BI430="-&gt;",$BL430,$BD430)))</f>
        <v/>
      </c>
      <c r="CO430" s="101" t="str">
        <f aca="false">IF(ISBLANK($C430),"",IF($BR430&lt;&gt;Constants!$B$8,"",IF($BI430="-&gt;",$BM430+$BN430,$BE430+$BF430)+$BV430))</f>
        <v/>
      </c>
      <c r="CP430" s="101" t="str">
        <f aca="false">IF(ISBLANK($C430),"",IF($BR430&lt;&gt;Constants!$B$8,"",IF($BI430="-&gt;",$BO430,$BG430)+$BU430))</f>
        <v/>
      </c>
      <c r="CQ430" s="102" t="str">
        <f aca="false">IF(ISBLANK($C430),"",IF($BR430&lt;&gt;Constants!$B$8,$BR430,$BW430))</f>
        <v/>
      </c>
      <c r="CR430" s="103" t="str">
        <f aca="false">IF(ISBLANK($C430),"",$BS430)</f>
        <v/>
      </c>
      <c r="CS430" s="104" t="str">
        <f aca="false">IF(ISBLANK($C430),"",$CH430)</f>
        <v/>
      </c>
      <c r="CT430" s="104" t="str">
        <f aca="false">IF(ISBLANK($C430),"",$CG430)</f>
        <v/>
      </c>
      <c r="CU430" s="105" t="str">
        <f aca="false">IF(ISBLANK($C430),"",IFERROR(_xlfn.SWITCH($CT430,Constants!$B$11,COUNTA($C$9:$C$508)+2,Constants!$B$10,COUNTA($C$9:$C$508)+1,Constants!$B$9,COUNTA($C$9:$C$508)),$CT430))</f>
        <v/>
      </c>
      <c r="CV430" s="9"/>
      <c r="CW430" s="106" t="n">
        <f aca="false">IF(OR(ISNUMBER($CT430),$CT430=Constants!$B$11,$CT430=Constants!$B$9,$CT430=Constants!$B$10),1,0)</f>
        <v>0</v>
      </c>
      <c r="CX430" s="106" t="n">
        <v>422</v>
      </c>
      <c r="CY430" s="106" t="str">
        <f aca="false">IF(ISBLANK($C430),"",IF(ISNUMBER($CU430),$CU430+ROW($B430)/1000,""))</f>
        <v/>
      </c>
      <c r="CZ430" s="106" t="str">
        <f aca="false">IF(ISNUMBER($CY430),RANK($CY430,$CY$9:$CY$508,1),"")</f>
        <v/>
      </c>
      <c r="DA430" s="106" t="str">
        <f aca="false">IF(ISBLANK($C430),"",$B430)</f>
        <v/>
      </c>
      <c r="DB430" s="106" t="str">
        <f aca="false">IF(ISBLANK($C430),"",$C430)</f>
        <v/>
      </c>
      <c r="DC430" s="106" t="str">
        <f aca="false">IF(ISBLANK($C430),"",$D430)</f>
        <v/>
      </c>
      <c r="DD430" s="107" t="str">
        <f aca="false">$CR430</f>
        <v/>
      </c>
      <c r="DE430" s="108" t="str">
        <f aca="false">$CQ430</f>
        <v/>
      </c>
      <c r="DF430" s="106" t="str">
        <f aca="false">IF(ISBLANK($C430),"",$CT430)</f>
        <v/>
      </c>
      <c r="DG430" s="109" t="str">
        <f aca="false">IF($CX430&gt;$CW$8,"",VLOOKUP($CX430,$CZ$9:$DF$508,7,FALSE()))</f>
        <v/>
      </c>
      <c r="DH430" s="110" t="str">
        <f aca="false">IF($CX430&gt;$CW$8,"",VLOOKUP($CX430,$CZ$9:$DF$508,2,FALSE()))</f>
        <v/>
      </c>
      <c r="DI430" s="110" t="str">
        <f aca="false">IF($CX430&gt;$CW$8,"",VLOOKUP($CX430,$CZ$9:$DF$508,3,FALSE()))</f>
        <v/>
      </c>
      <c r="DJ430" s="110" t="str">
        <f aca="false">IF($CX430&gt;$CW$8,"",VLOOKUP($CX430,$CZ$9:$DF$508,4,FALSE()))</f>
        <v/>
      </c>
      <c r="DK430" s="110" t="str">
        <f aca="false">IF($CX430&gt;$CW$8,"",VLOOKUP($CX430,$CZ$9:$DF$508,5,FALSE()))</f>
        <v/>
      </c>
      <c r="DL430" s="111" t="str">
        <f aca="false">IF($CX430&gt;$CW$8,"",VLOOKUP($CX430,$CZ$9:$DF$508,6,FALSE()))</f>
        <v/>
      </c>
      <c r="DM430" s="75"/>
    </row>
    <row r="431" customFormat="false" ht="15.75" hidden="false" customHeight="false" outlineLevel="0" collapsed="false">
      <c r="A431" s="9"/>
      <c r="B431" s="77"/>
      <c r="C431" s="78"/>
      <c r="D431" s="167"/>
      <c r="E431" s="175"/>
      <c r="F431" s="169"/>
      <c r="G431" s="170"/>
      <c r="H431" s="170"/>
      <c r="I431" s="176"/>
      <c r="J431" s="173"/>
      <c r="K431" s="85"/>
      <c r="L431" s="86"/>
      <c r="M431" s="87"/>
      <c r="N431" s="173"/>
      <c r="O431" s="173"/>
      <c r="P431" s="175"/>
      <c r="Q431" s="173"/>
      <c r="R431" s="173"/>
      <c r="S431" s="85"/>
      <c r="T431" s="87"/>
      <c r="U431" s="87"/>
      <c r="V431" s="173"/>
      <c r="W431" s="173"/>
      <c r="X431" s="175"/>
      <c r="Y431" s="173"/>
      <c r="Z431" s="174"/>
      <c r="AA431" s="173"/>
      <c r="AB431" s="91"/>
      <c r="AC431" s="92"/>
      <c r="AD431" s="92"/>
      <c r="AE431" s="92"/>
      <c r="AF431" s="92" t="str">
        <f aca="false">IF(ISBLANK($C431),"",IF(E431=Constants!$B$3,TRUE(),IF(E431=Constants!$B$4,FALSE(),TRUE())))</f>
        <v/>
      </c>
      <c r="AG431" s="92" t="str">
        <f aca="false">IF(ISBLANK($C431),"",IF(F431=Constants!$B$3,TRUE(),IF(F431=Constants!$B$4,FALSE(),TRUE())))</f>
        <v/>
      </c>
      <c r="AH431" s="92" t="str">
        <f aca="false">IF(ISBLANK($C431),"",IF(G431=Constants!$B$3,TRUE(),IF(G431=Constants!$B$4,FALSE(),TRUE())))</f>
        <v/>
      </c>
      <c r="AI431" s="92" t="str">
        <f aca="false">IF(ISBLANK($C431),"",IF(AND(ISNUMBER(H431),H431&gt;=0),H431,Constants!$B$29))</f>
        <v/>
      </c>
      <c r="AJ431" s="92" t="str">
        <f aca="false">IF(ISBLANK($C431),"",IF(I431=Constants!$B$3,TRUE(),IF(I431=Constants!$B$4,FALSE(),TRUE())))</f>
        <v/>
      </c>
      <c r="AK431" s="92" t="str">
        <f aca="false">IF(ISBLANK($C431),"",IF(J431=Constants!$B$3,TRUE(),IF(J431=Constants!$B$4,FALSE(),TRUE())))</f>
        <v/>
      </c>
      <c r="AL431" s="92" t="str">
        <f aca="false">IF(ISBLANK($C431),"",IF(K431=Constants!$B$5,TRUE(),IF(K431=Constants!$B$6,FALSE(),COUNTA(L431:P431)&gt;0)))</f>
        <v/>
      </c>
      <c r="AM431" s="94" t="str">
        <f aca="false">IF(ISBLANK($C431),"",IF(ISNUMBER(L431),IF(L431&gt;=0,L431,""),""))</f>
        <v/>
      </c>
      <c r="AN431" s="93" t="str">
        <f aca="false">IF(ISBLANK($C431),"",IF(ISNUMBER(M431),IF(M431&gt;=0,M431,""),""))</f>
        <v/>
      </c>
      <c r="AO431" s="93" t="str">
        <f aca="false">IF(ISBLANK($C431),"",IF(N431=Constants!$B$3,TRUE(),IF(N431=Constants!$B$4,FALSE(),TRUE())))</f>
        <v/>
      </c>
      <c r="AP431" s="92" t="str">
        <f aca="false">IF(ISBLANK($C431),"",IF(ISNUMBER(O431),IF(O431&gt;=0,O431,""),""))</f>
        <v/>
      </c>
      <c r="AQ431" s="92" t="str">
        <f aca="false">IF(ISBLANK($C431),"",IF(P431=Constants!$B$3,TRUE(),IF(P431=Constants!$B$4,FALSE(),FALSE())))</f>
        <v/>
      </c>
      <c r="AR431" s="92" t="str">
        <f aca="false">IF(ISBLANK($C431),"",IF(Q431=Constants!$B$3,TRUE(),IF(Q431=Constants!$B$4,FALSE(),TRUE())))</f>
        <v/>
      </c>
      <c r="AS431" s="92" t="str">
        <f aca="false">IF(ISBLANK($C431),"",IF(R431=Constants!$B$3,TRUE(),IF(R431=Constants!$B$4,FALSE(),TRUE())))</f>
        <v/>
      </c>
      <c r="AT431" s="92" t="str">
        <f aca="false">IF(ISBLANK($C431),"",IF(S431=Constants!$B$5,TRUE(),IF(S431=Constants!$B$6,FALSE(),COUNTA(T431:X431)&gt;0)))</f>
        <v/>
      </c>
      <c r="AU431" s="94" t="str">
        <f aca="false">IF(ISBLANK($C431),"",IF(ISNUMBER(T431),IF(T431&gt;=0,T431,""),""))</f>
        <v/>
      </c>
      <c r="AV431" s="93" t="str">
        <f aca="false">IF(ISBLANK($C431),"",IF(ISNUMBER(U431),IF(U431&gt;=0,U431,""),""))</f>
        <v/>
      </c>
      <c r="AW431" s="93" t="str">
        <f aca="false">IF(ISBLANK($C431),"",IF(V431=Constants!$B$3,TRUE(),IF(V431=Constants!$B$4,FALSE(),TRUE())))</f>
        <v/>
      </c>
      <c r="AX431" s="92" t="str">
        <f aca="false">IF(ISBLANK($C431),"",IF(ISNUMBER(W431),IF(W431&gt;=0,W431,""),""))</f>
        <v/>
      </c>
      <c r="AY431" s="92" t="str">
        <f aca="false">IF(ISBLANK($C431),"",IF(X431=Constants!$B$3,TRUE(),IF(X431=Constants!$B$4,FALSE(),FALSE())))</f>
        <v/>
      </c>
      <c r="AZ431" s="92" t="str">
        <f aca="false">IF(ISBLANK($C431),"",MIN(Constants!$B$31,MAX(0,IF(ISNUMBER(Y431),Y431*60,0)+IF(ISNUMBER(Z431),Z431,0))))</f>
        <v/>
      </c>
      <c r="BA431" s="92" t="str">
        <f aca="false">IF(ISBLANK($C431),"",IF(AA431=Constants!$B$3,TRUE(),IF(AA431=Constants!$B$4,FALSE(),FALSE())))</f>
        <v/>
      </c>
      <c r="BB431" s="91" t="str">
        <f aca="false">IF(ISBLANK($C431),"",AND($AL431,OR($AM431="",$AN431="",AND($AO431,$AP431=""))))</f>
        <v/>
      </c>
      <c r="BC431" s="93" t="str">
        <f aca="false">IF($BR431&lt;&gt;Constants!$B$8,"",IF($AL431,Constants!$B$21*$AN431+Constants!$B$22*IF($AO431,$AP431,Constants!$B$23),Constants!$B$24))</f>
        <v/>
      </c>
      <c r="BD431" s="96" t="str">
        <f aca="false">IF($BR431&lt;&gt;Constants!$B$8,"",Constants!$B$25*ABS($AD$9-IF($AL431,$AM431,0)))</f>
        <v/>
      </c>
      <c r="BE431" s="96" t="str">
        <f aca="false">IF($BR431&lt;&gt;Constants!$B$8,"",IF(AND($AL431,$AQ431,$AO431),Constants!$B$27,0))</f>
        <v/>
      </c>
      <c r="BF431" s="96" t="str">
        <f aca="false">IF($BR431&lt;&gt;Constants!$B$8,"",IF($AL431,($AI431-Constants!$B$29)*Constants!$B$28,0))</f>
        <v/>
      </c>
      <c r="BG431" s="96" t="str">
        <f aca="false">IF($BR431&lt;&gt;Constants!$B$8,"",IF($AK431,0,Constants!$B$15)+IF($AJ431,0,Constants!$B$16)+IF($AH431,0,Constants!$B$17))</f>
        <v/>
      </c>
      <c r="BH431" s="97" t="str">
        <f aca="false">IF($BR431&lt;&gt;Constants!$B$8,"",Constants!$B$20+SUM($BC431:$BG431))</f>
        <v/>
      </c>
      <c r="BI431" s="92" t="str">
        <f aca="false">IF($BR431&lt;&gt;Constants!$B$8,"",IF(OR($BP431&lt;$BH431,AND($BP431=$BH431,OR($BK431&lt;$BC431,AND($BK431=$BC431,OR($BL431&lt;$BD431,AND($BL431=$BD431,$AT431,$AL431,$AV431&lt;$AN431)))))),"-&gt;","&lt;-"))</f>
        <v/>
      </c>
      <c r="BJ431" s="91" t="str">
        <f aca="false">IF(ISBLANK($C431),"",AND($AT431,OR($AU431="",$AV431="",AND($AW431,$AX431=""))))</f>
        <v/>
      </c>
      <c r="BK431" s="93" t="str">
        <f aca="false">IF($BR431&lt;&gt;Constants!$B$8,"",IF($AT431,Constants!$B$21*$AV431+Constants!$B$22*IF($AW431,$AX431,Constants!$B$23),Constants!$B$24))</f>
        <v/>
      </c>
      <c r="BL431" s="96" t="str">
        <f aca="false">IF($BR431&lt;&gt;Constants!$B$8,"",Constants!$B$25*ABS($AD$9-IF($AT431,$AU431,0)))</f>
        <v/>
      </c>
      <c r="BM431" s="96" t="str">
        <f aca="false">IF($BR431&lt;&gt;Constants!$B$8,"",IF(AND($AT431,$AY431,$AW431),Constants!$B$27,0))</f>
        <v/>
      </c>
      <c r="BN431" s="96" t="str">
        <f aca="false">IF($BR431&lt;&gt;Constants!$B$8,"",IF($AT431,($AI431-Constants!$B$29)*Constants!$B$28,0))</f>
        <v/>
      </c>
      <c r="BO431" s="96" t="str">
        <f aca="false">IF($BR431&lt;&gt;Constants!$B$8,"",IF($AS431,0,Constants!$B$15)+IF($AR431,0,Constants!$B$16)+IF($AH431,0,Constants!$B$17))</f>
        <v/>
      </c>
      <c r="BP431" s="97" t="str">
        <f aca="false">IF($BR431&lt;&gt;Constants!$B$8,"",Constants!$B$20+SUM($BK431:$BO431))</f>
        <v/>
      </c>
      <c r="BQ431" s="92" t="str">
        <f aca="false">IF(ISBLANK($C431),"",IF(ISBLANK($D$7),$BQ$5,IF(NOT(ISNUMBER($D$7)),$BQ$6,"")))</f>
        <v/>
      </c>
      <c r="BR431" s="92" t="str">
        <f aca="false">IF(ISBLANK($C431),"",IF($BA431,Constants!$B$11,IF(COUNTA($E431:$AA431)=0,Constants!$B$10,IF(NOT($AG431),Constants!$B$9,IF(OR($BQ431&lt;&gt;"",$BB431,$BJ431),Constants!$B$12,Constants!$B$8)))))</f>
        <v/>
      </c>
      <c r="BS431" s="92" t="str">
        <f aca="false">IF(ISBLANK($C431),"",IF($BR431&lt;&gt;Constants!$B$8,$BR431,Constants!$B$13))</f>
        <v/>
      </c>
      <c r="BT431" s="96" t="str">
        <f aca="false">IF($BR431&lt;&gt;Constants!$B$8,"",IF($BI431="-&gt;",$BP431,$BH431))</f>
        <v/>
      </c>
      <c r="BU431" s="96" t="str">
        <f aca="false">IF($BR431&lt;&gt;Constants!$B$8,"",IF($AF431,0,Constants!$B$18))</f>
        <v/>
      </c>
      <c r="BV431" s="96" t="str">
        <f aca="false">IF($BR431&lt;&gt;Constants!$B$8,"",((Constants!$B$31-$AZ431)-Constants!$B$31)/Constants!$B$32)</f>
        <v/>
      </c>
      <c r="BW431" s="96" t="str">
        <f aca="false">IF(ISBLANK($C431),"",IF($BR431&lt;&gt;Constants!$B$8,$BR431,SUM($BT431:$BV431)))</f>
        <v/>
      </c>
      <c r="BX431" s="92" t="str">
        <f aca="false">IF(ISBLANK($C431),"",IF($BR431&lt;&gt;Constants!$B$8,$BR431,RANK($BW431,$BW$9:$BW$508,1)))</f>
        <v/>
      </c>
      <c r="BY431" s="96" t="str">
        <f aca="false">IF($BR431&lt;&gt;Constants!$B$8,"",IF($BI431="-&gt;",$BK431,$BC431))</f>
        <v/>
      </c>
      <c r="BZ431" s="92" t="str">
        <f aca="false">IF(ISBLANK($C431),"",IF($BR431&lt;&gt;Constants!$B$8,$BR431,IF(ISNUMBER($BY431),RANK($BY431,$BY$9:$BY$508,1),COUNT($BY$9:$BY$508)+1)))</f>
        <v/>
      </c>
      <c r="CA431" s="96" t="str">
        <f aca="false">IF($BR431&lt;&gt;Constants!$B$8,"",IF($BI431="-&gt;",$BL431,$BD431))</f>
        <v/>
      </c>
      <c r="CB431" s="92" t="str">
        <f aca="false">IF(ISBLANK($C431),"",IF($BR431&lt;&gt;Constants!$B$8,$BR431,IF(ISNUMBER($CA431),RANK($CA431,$CA$9:$CA$508,1),COUNT($CA$9:$CA$508)+1)))</f>
        <v/>
      </c>
      <c r="CC431" s="96" t="str">
        <f aca="false">IF($BR431&lt;&gt;Constants!$B$8,"",IF($BI431="-&gt;",IF($AT431,$AV431,""),IF($AL431,$AN431,"")))</f>
        <v/>
      </c>
      <c r="CD431" s="92" t="str">
        <f aca="false">IF(ISBLANK($C431),"",IF($BR431&lt;&gt;Constants!$B$8,$BR431,IF(ISNUMBER($CC431),RANK($CC431,$CC$9:$CC$508,1),COUNT($CC$9:$CC$508)+1)))</f>
        <v/>
      </c>
      <c r="CE431" s="96" t="str">
        <f aca="false">IF($BR431&lt;&gt;Constants!$B$8,"",IF(AND(NOT($AL431),NOT($AT431),$AJ431,$AK431,$AR431,$AS431),"",$AI431))</f>
        <v/>
      </c>
      <c r="CF431" s="92" t="str">
        <f aca="false">IF(ISBLANK($C431),"",IF($BR431&lt;&gt;Constants!$B$8,$BR431,IF(ISNUMBER($CE431),RANK($CE431,$CE$9:$CE$508,1),COUNT($CE$9:$CE$508)+1)))</f>
        <v/>
      </c>
      <c r="CG431" s="92" t="str">
        <f aca="false">IF(ISBLANK($C431),"",IF($BR431&lt;&gt;Constants!$B$8,$BR431,COUNTIFS($BX$9:$BX$508,"&lt;"&amp;$BX431)+COUNTIFS($BX$9:$BX$508,$BX431,$BZ$9:$BZ$508,"&lt;"&amp;$BZ431)+COUNTIFS($BX$9:$BX$508,$BX431,$BZ$9:$BZ$508,$BZ431,$CB$9:$CB$508,"&lt;"&amp;$CB431)+COUNTIFS($BX$9:$BX$508,$BX431,$BZ$9:$BZ$508,$BZ431,$CB$9:$CB$508,$CB431,$CD$9:$CD$508,"&lt;"&amp;$CD431)+COUNTIFS($BX$9:$BX$508,$BX431,$BZ$9:$BZ$508,$BZ431,$CB$9:$CB$508,$CB431,$CD$9:$CD$508,$CD431,$CF$9:$CF$508,"&lt;"&amp;$CF431)+1))</f>
        <v/>
      </c>
      <c r="CH431" s="92" t="str">
        <f aca="false">IF(ISBLANK($C431),"",IF($BR431&lt;&gt;Constants!$B$8,$BR431,$BX431-$CG431))</f>
        <v/>
      </c>
      <c r="CI431" s="98"/>
      <c r="CJ431" s="99"/>
      <c r="CK431" s="100" t="str">
        <f aca="false">IF(ISBLANK($C431),"",IF($BR431=Constants!$B$12,$BQ431,""))</f>
        <v/>
      </c>
      <c r="CL431" s="99" t="str">
        <f aca="false">IF(ISBLANK($C431),"",IF($BR431&lt;&gt;Constants!$B$8,"",IF($BI431="-&gt;",2,1)))</f>
        <v/>
      </c>
      <c r="CM431" s="101" t="str">
        <f aca="false">IF(ISBLANK($C431),"",IF($BR431&lt;&gt;Constants!$B$8,"",IF($BI431="-&gt;",$BK431,$BC431)))</f>
        <v/>
      </c>
      <c r="CN431" s="101" t="str">
        <f aca="false">IF(ISBLANK($C431),"",IF($BR431&lt;&gt;Constants!$B$8,"",IF($BI431="-&gt;",$BL431,$BD431)))</f>
        <v/>
      </c>
      <c r="CO431" s="101" t="str">
        <f aca="false">IF(ISBLANK($C431),"",IF($BR431&lt;&gt;Constants!$B$8,"",IF($BI431="-&gt;",$BM431+$BN431,$BE431+$BF431)+$BV431))</f>
        <v/>
      </c>
      <c r="CP431" s="101" t="str">
        <f aca="false">IF(ISBLANK($C431),"",IF($BR431&lt;&gt;Constants!$B$8,"",IF($BI431="-&gt;",$BO431,$BG431)+$BU431))</f>
        <v/>
      </c>
      <c r="CQ431" s="102" t="str">
        <f aca="false">IF(ISBLANK($C431),"",IF($BR431&lt;&gt;Constants!$B$8,$BR431,$BW431))</f>
        <v/>
      </c>
      <c r="CR431" s="103" t="str">
        <f aca="false">IF(ISBLANK($C431),"",$BS431)</f>
        <v/>
      </c>
      <c r="CS431" s="104" t="str">
        <f aca="false">IF(ISBLANK($C431),"",$CH431)</f>
        <v/>
      </c>
      <c r="CT431" s="104" t="str">
        <f aca="false">IF(ISBLANK($C431),"",$CG431)</f>
        <v/>
      </c>
      <c r="CU431" s="105" t="str">
        <f aca="false">IF(ISBLANK($C431),"",IFERROR(_xlfn.SWITCH($CT431,Constants!$B$11,COUNTA($C$9:$C$508)+2,Constants!$B$10,COUNTA($C$9:$C$508)+1,Constants!$B$9,COUNTA($C$9:$C$508)),$CT431))</f>
        <v/>
      </c>
      <c r="CV431" s="9"/>
      <c r="CW431" s="106" t="n">
        <f aca="false">IF(OR(ISNUMBER($CT431),$CT431=Constants!$B$11,$CT431=Constants!$B$9,$CT431=Constants!$B$10),1,0)</f>
        <v>0</v>
      </c>
      <c r="CX431" s="106" t="n">
        <v>423</v>
      </c>
      <c r="CY431" s="106" t="str">
        <f aca="false">IF(ISBLANK($C431),"",IF(ISNUMBER($CU431),$CU431+ROW($B431)/1000,""))</f>
        <v/>
      </c>
      <c r="CZ431" s="106" t="str">
        <f aca="false">IF(ISNUMBER($CY431),RANK($CY431,$CY$9:$CY$508,1),"")</f>
        <v/>
      </c>
      <c r="DA431" s="106" t="str">
        <f aca="false">IF(ISBLANK($C431),"",$B431)</f>
        <v/>
      </c>
      <c r="DB431" s="106" t="str">
        <f aca="false">IF(ISBLANK($C431),"",$C431)</f>
        <v/>
      </c>
      <c r="DC431" s="106" t="str">
        <f aca="false">IF(ISBLANK($C431),"",$D431)</f>
        <v/>
      </c>
      <c r="DD431" s="107" t="str">
        <f aca="false">$CR431</f>
        <v/>
      </c>
      <c r="DE431" s="108" t="str">
        <f aca="false">$CQ431</f>
        <v/>
      </c>
      <c r="DF431" s="106" t="str">
        <f aca="false">IF(ISBLANK($C431),"",$CT431)</f>
        <v/>
      </c>
      <c r="DG431" s="109" t="str">
        <f aca="false">IF($CX431&gt;$CW$8,"",VLOOKUP($CX431,$CZ$9:$DF$508,7,FALSE()))</f>
        <v/>
      </c>
      <c r="DH431" s="110" t="str">
        <f aca="false">IF($CX431&gt;$CW$8,"",VLOOKUP($CX431,$CZ$9:$DF$508,2,FALSE()))</f>
        <v/>
      </c>
      <c r="DI431" s="110" t="str">
        <f aca="false">IF($CX431&gt;$CW$8,"",VLOOKUP($CX431,$CZ$9:$DF$508,3,FALSE()))</f>
        <v/>
      </c>
      <c r="DJ431" s="110" t="str">
        <f aca="false">IF($CX431&gt;$CW$8,"",VLOOKUP($CX431,$CZ$9:$DF$508,4,FALSE()))</f>
        <v/>
      </c>
      <c r="DK431" s="110" t="str">
        <f aca="false">IF($CX431&gt;$CW$8,"",VLOOKUP($CX431,$CZ$9:$DF$508,5,FALSE()))</f>
        <v/>
      </c>
      <c r="DL431" s="111" t="str">
        <f aca="false">IF($CX431&gt;$CW$8,"",VLOOKUP($CX431,$CZ$9:$DF$508,6,FALSE()))</f>
        <v/>
      </c>
      <c r="DM431" s="75"/>
    </row>
    <row r="432" customFormat="false" ht="15.75" hidden="false" customHeight="false" outlineLevel="0" collapsed="false">
      <c r="A432" s="9"/>
      <c r="B432" s="157"/>
      <c r="C432" s="158"/>
      <c r="D432" s="159"/>
      <c r="E432" s="177"/>
      <c r="F432" s="161"/>
      <c r="G432" s="162"/>
      <c r="H432" s="162"/>
      <c r="I432" s="178"/>
      <c r="J432" s="165"/>
      <c r="K432" s="126"/>
      <c r="L432" s="127"/>
      <c r="M432" s="128"/>
      <c r="N432" s="165"/>
      <c r="O432" s="165"/>
      <c r="P432" s="177"/>
      <c r="Q432" s="165"/>
      <c r="R432" s="165"/>
      <c r="S432" s="126"/>
      <c r="T432" s="128"/>
      <c r="U432" s="128"/>
      <c r="V432" s="165"/>
      <c r="W432" s="165"/>
      <c r="X432" s="177"/>
      <c r="Y432" s="165"/>
      <c r="Z432" s="166"/>
      <c r="AA432" s="165"/>
      <c r="AB432" s="132"/>
      <c r="AC432" s="133"/>
      <c r="AD432" s="133"/>
      <c r="AE432" s="133"/>
      <c r="AF432" s="133" t="str">
        <f aca="false">IF(ISBLANK($C432),"",IF(E432=Constants!$B$3,TRUE(),IF(E432=Constants!$B$4,FALSE(),TRUE())))</f>
        <v/>
      </c>
      <c r="AG432" s="133" t="str">
        <f aca="false">IF(ISBLANK($C432),"",IF(F432=Constants!$B$3,TRUE(),IF(F432=Constants!$B$4,FALSE(),TRUE())))</f>
        <v/>
      </c>
      <c r="AH432" s="133" t="str">
        <f aca="false">IF(ISBLANK($C432),"",IF(G432=Constants!$B$3,TRUE(),IF(G432=Constants!$B$4,FALSE(),TRUE())))</f>
        <v/>
      </c>
      <c r="AI432" s="133" t="str">
        <f aca="false">IF(ISBLANK($C432),"",IF(AND(ISNUMBER(H432),H432&gt;=0),H432,Constants!$B$29))</f>
        <v/>
      </c>
      <c r="AJ432" s="133" t="str">
        <f aca="false">IF(ISBLANK($C432),"",IF(I432=Constants!$B$3,TRUE(),IF(I432=Constants!$B$4,FALSE(),TRUE())))</f>
        <v/>
      </c>
      <c r="AK432" s="133" t="str">
        <f aca="false">IF(ISBLANK($C432),"",IF(J432=Constants!$B$3,TRUE(),IF(J432=Constants!$B$4,FALSE(),TRUE())))</f>
        <v/>
      </c>
      <c r="AL432" s="133" t="str">
        <f aca="false">IF(ISBLANK($C432),"",IF(K432=Constants!$B$5,TRUE(),IF(K432=Constants!$B$6,FALSE(),COUNTA(L432:P432)&gt;0)))</f>
        <v/>
      </c>
      <c r="AM432" s="134" t="str">
        <f aca="false">IF(ISBLANK($C432),"",IF(ISNUMBER(L432),IF(L432&gt;=0,L432,""),""))</f>
        <v/>
      </c>
      <c r="AN432" s="135" t="str">
        <f aca="false">IF(ISBLANK($C432),"",IF(ISNUMBER(M432),IF(M432&gt;=0,M432,""),""))</f>
        <v/>
      </c>
      <c r="AO432" s="135" t="str">
        <f aca="false">IF(ISBLANK($C432),"",IF(N432=Constants!$B$3,TRUE(),IF(N432=Constants!$B$4,FALSE(),TRUE())))</f>
        <v/>
      </c>
      <c r="AP432" s="133" t="str">
        <f aca="false">IF(ISBLANK($C432),"",IF(ISNUMBER(O432),IF(O432&gt;=0,O432,""),""))</f>
        <v/>
      </c>
      <c r="AQ432" s="133" t="str">
        <f aca="false">IF(ISBLANK($C432),"",IF(P432=Constants!$B$3,TRUE(),IF(P432=Constants!$B$4,FALSE(),FALSE())))</f>
        <v/>
      </c>
      <c r="AR432" s="133" t="str">
        <f aca="false">IF(ISBLANK($C432),"",IF(Q432=Constants!$B$3,TRUE(),IF(Q432=Constants!$B$4,FALSE(),TRUE())))</f>
        <v/>
      </c>
      <c r="AS432" s="133" t="str">
        <f aca="false">IF(ISBLANK($C432),"",IF(R432=Constants!$B$3,TRUE(),IF(R432=Constants!$B$4,FALSE(),TRUE())))</f>
        <v/>
      </c>
      <c r="AT432" s="133" t="str">
        <f aca="false">IF(ISBLANK($C432),"",IF(S432=Constants!$B$5,TRUE(),IF(S432=Constants!$B$6,FALSE(),COUNTA(T432:X432)&gt;0)))</f>
        <v/>
      </c>
      <c r="AU432" s="134" t="str">
        <f aca="false">IF(ISBLANK($C432),"",IF(ISNUMBER(T432),IF(T432&gt;=0,T432,""),""))</f>
        <v/>
      </c>
      <c r="AV432" s="135" t="str">
        <f aca="false">IF(ISBLANK($C432),"",IF(ISNUMBER(U432),IF(U432&gt;=0,U432,""),""))</f>
        <v/>
      </c>
      <c r="AW432" s="135" t="str">
        <f aca="false">IF(ISBLANK($C432),"",IF(V432=Constants!$B$3,TRUE(),IF(V432=Constants!$B$4,FALSE(),TRUE())))</f>
        <v/>
      </c>
      <c r="AX432" s="133" t="str">
        <f aca="false">IF(ISBLANK($C432),"",IF(ISNUMBER(W432),IF(W432&gt;=0,W432,""),""))</f>
        <v/>
      </c>
      <c r="AY432" s="133" t="str">
        <f aca="false">IF(ISBLANK($C432),"",IF(X432=Constants!$B$3,TRUE(),IF(X432=Constants!$B$4,FALSE(),FALSE())))</f>
        <v/>
      </c>
      <c r="AZ432" s="133" t="str">
        <f aca="false">IF(ISBLANK($C432),"",MIN(Constants!$B$31,MAX(0,IF(ISNUMBER(Y432),Y432*60,0)+IF(ISNUMBER(Z432),Z432,0))))</f>
        <v/>
      </c>
      <c r="BA432" s="133" t="str">
        <f aca="false">IF(ISBLANK($C432),"",IF(AA432=Constants!$B$3,TRUE(),IF(AA432=Constants!$B$4,FALSE(),FALSE())))</f>
        <v/>
      </c>
      <c r="BB432" s="132" t="str">
        <f aca="false">IF(ISBLANK($C432),"",AND($AL432,OR($AM432="",$AN432="",AND($AO432,$AP432=""))))</f>
        <v/>
      </c>
      <c r="BC432" s="135" t="str">
        <f aca="false">IF($BR432&lt;&gt;Constants!$B$8,"",IF($AL432,Constants!$B$21*$AN432+Constants!$B$22*IF($AO432,$AP432,Constants!$B$23),Constants!$B$24))</f>
        <v/>
      </c>
      <c r="BD432" s="136" t="str">
        <f aca="false">IF($BR432&lt;&gt;Constants!$B$8,"",Constants!$B$25*ABS($AD$9-IF($AL432,$AM432,0)))</f>
        <v/>
      </c>
      <c r="BE432" s="136" t="str">
        <f aca="false">IF($BR432&lt;&gt;Constants!$B$8,"",IF(AND($AL432,$AQ432,$AO432),Constants!$B$27,0))</f>
        <v/>
      </c>
      <c r="BF432" s="136" t="str">
        <f aca="false">IF($BR432&lt;&gt;Constants!$B$8,"",IF($AL432,($AI432-Constants!$B$29)*Constants!$B$28,0))</f>
        <v/>
      </c>
      <c r="BG432" s="136" t="str">
        <f aca="false">IF($BR432&lt;&gt;Constants!$B$8,"",IF($AK432,0,Constants!$B$15)+IF($AJ432,0,Constants!$B$16)+IF($AH432,0,Constants!$B$17))</f>
        <v/>
      </c>
      <c r="BH432" s="137" t="str">
        <f aca="false">IF($BR432&lt;&gt;Constants!$B$8,"",Constants!$B$20+SUM($BC432:$BG432))</f>
        <v/>
      </c>
      <c r="BI432" s="133" t="str">
        <f aca="false">IF($BR432&lt;&gt;Constants!$B$8,"",IF(OR($BP432&lt;$BH432,AND($BP432=$BH432,OR($BK432&lt;$BC432,AND($BK432=$BC432,OR($BL432&lt;$BD432,AND($BL432=$BD432,$AT432,$AL432,$AV432&lt;$AN432)))))),"-&gt;","&lt;-"))</f>
        <v/>
      </c>
      <c r="BJ432" s="132" t="str">
        <f aca="false">IF(ISBLANK($C432),"",AND($AT432,OR($AU432="",$AV432="",AND($AW432,$AX432=""))))</f>
        <v/>
      </c>
      <c r="BK432" s="135" t="str">
        <f aca="false">IF($BR432&lt;&gt;Constants!$B$8,"",IF($AT432,Constants!$B$21*$AV432+Constants!$B$22*IF($AW432,$AX432,Constants!$B$23),Constants!$B$24))</f>
        <v/>
      </c>
      <c r="BL432" s="136" t="str">
        <f aca="false">IF($BR432&lt;&gt;Constants!$B$8,"",Constants!$B$25*ABS($AD$9-IF($AT432,$AU432,0)))</f>
        <v/>
      </c>
      <c r="BM432" s="136" t="str">
        <f aca="false">IF($BR432&lt;&gt;Constants!$B$8,"",IF(AND($AT432,$AY432,$AW432),Constants!$B$27,0))</f>
        <v/>
      </c>
      <c r="BN432" s="136" t="str">
        <f aca="false">IF($BR432&lt;&gt;Constants!$B$8,"",IF($AT432,($AI432-Constants!$B$29)*Constants!$B$28,0))</f>
        <v/>
      </c>
      <c r="BO432" s="136" t="str">
        <f aca="false">IF($BR432&lt;&gt;Constants!$B$8,"",IF($AS432,0,Constants!$B$15)+IF($AR432,0,Constants!$B$16)+IF($AH432,0,Constants!$B$17))</f>
        <v/>
      </c>
      <c r="BP432" s="137" t="str">
        <f aca="false">IF($BR432&lt;&gt;Constants!$B$8,"",Constants!$B$20+SUM($BK432:$BO432))</f>
        <v/>
      </c>
      <c r="BQ432" s="133" t="str">
        <f aca="false">IF(ISBLANK($C432),"",IF(ISBLANK($D$7),$BQ$5,IF(NOT(ISNUMBER($D$7)),$BQ$6,"")))</f>
        <v/>
      </c>
      <c r="BR432" s="133" t="str">
        <f aca="false">IF(ISBLANK($C432),"",IF($BA432,Constants!$B$11,IF(COUNTA($E432:$AA432)=0,Constants!$B$10,IF(NOT($AG432),Constants!$B$9,IF(OR($BQ432&lt;&gt;"",$BB432,$BJ432),Constants!$B$12,Constants!$B$8)))))</f>
        <v/>
      </c>
      <c r="BS432" s="133" t="str">
        <f aca="false">IF(ISBLANK($C432),"",IF($BR432&lt;&gt;Constants!$B$8,$BR432,Constants!$B$13))</f>
        <v/>
      </c>
      <c r="BT432" s="136" t="str">
        <f aca="false">IF($BR432&lt;&gt;Constants!$B$8,"",IF($BI432="-&gt;",$BP432,$BH432))</f>
        <v/>
      </c>
      <c r="BU432" s="136" t="str">
        <f aca="false">IF($BR432&lt;&gt;Constants!$B$8,"",IF($AF432,0,Constants!$B$18))</f>
        <v/>
      </c>
      <c r="BV432" s="136" t="str">
        <f aca="false">IF($BR432&lt;&gt;Constants!$B$8,"",((Constants!$B$31-$AZ432)-Constants!$B$31)/Constants!$B$32)</f>
        <v/>
      </c>
      <c r="BW432" s="136" t="str">
        <f aca="false">IF(ISBLANK($C432),"",IF($BR432&lt;&gt;Constants!$B$8,$BR432,SUM($BT432:$BV432)))</f>
        <v/>
      </c>
      <c r="BX432" s="133" t="str">
        <f aca="false">IF(ISBLANK($C432),"",IF($BR432&lt;&gt;Constants!$B$8,$BR432,RANK($BW432,$BW$9:$BW$508,1)))</f>
        <v/>
      </c>
      <c r="BY432" s="136" t="str">
        <f aca="false">IF($BR432&lt;&gt;Constants!$B$8,"",IF($BI432="-&gt;",$BK432,$BC432))</f>
        <v/>
      </c>
      <c r="BZ432" s="133" t="str">
        <f aca="false">IF(ISBLANK($C432),"",IF($BR432&lt;&gt;Constants!$B$8,$BR432,IF(ISNUMBER($BY432),RANK($BY432,$BY$9:$BY$508,1),COUNT($BY$9:$BY$508)+1)))</f>
        <v/>
      </c>
      <c r="CA432" s="136" t="str">
        <f aca="false">IF($BR432&lt;&gt;Constants!$B$8,"",IF($BI432="-&gt;",$BL432,$BD432))</f>
        <v/>
      </c>
      <c r="CB432" s="133" t="str">
        <f aca="false">IF(ISBLANK($C432),"",IF($BR432&lt;&gt;Constants!$B$8,$BR432,IF(ISNUMBER($CA432),RANK($CA432,$CA$9:$CA$508,1),COUNT($CA$9:$CA$508)+1)))</f>
        <v/>
      </c>
      <c r="CC432" s="136" t="str">
        <f aca="false">IF($BR432&lt;&gt;Constants!$B$8,"",IF($BI432="-&gt;",IF($AT432,$AV432,""),IF($AL432,$AN432,"")))</f>
        <v/>
      </c>
      <c r="CD432" s="133" t="str">
        <f aca="false">IF(ISBLANK($C432),"",IF($BR432&lt;&gt;Constants!$B$8,$BR432,IF(ISNUMBER($CC432),RANK($CC432,$CC$9:$CC$508,1),COUNT($CC$9:$CC$508)+1)))</f>
        <v/>
      </c>
      <c r="CE432" s="136" t="str">
        <f aca="false">IF($BR432&lt;&gt;Constants!$B$8,"",IF(AND(NOT($AL432),NOT($AT432),$AJ432,$AK432,$AR432,$AS432),"",$AI432))</f>
        <v/>
      </c>
      <c r="CF432" s="133" t="str">
        <f aca="false">IF(ISBLANK($C432),"",IF($BR432&lt;&gt;Constants!$B$8,$BR432,IF(ISNUMBER($CE432),RANK($CE432,$CE$9:$CE$508,1),COUNT($CE$9:$CE$508)+1)))</f>
        <v/>
      </c>
      <c r="CG432" s="133" t="str">
        <f aca="false">IF(ISBLANK($C432),"",IF($BR432&lt;&gt;Constants!$B$8,$BR432,COUNTIFS($BX$9:$BX$508,"&lt;"&amp;$BX432)+COUNTIFS($BX$9:$BX$508,$BX432,$BZ$9:$BZ$508,"&lt;"&amp;$BZ432)+COUNTIFS($BX$9:$BX$508,$BX432,$BZ$9:$BZ$508,$BZ432,$CB$9:$CB$508,"&lt;"&amp;$CB432)+COUNTIFS($BX$9:$BX$508,$BX432,$BZ$9:$BZ$508,$BZ432,$CB$9:$CB$508,$CB432,$CD$9:$CD$508,"&lt;"&amp;$CD432)+COUNTIFS($BX$9:$BX$508,$BX432,$BZ$9:$BZ$508,$BZ432,$CB$9:$CB$508,$CB432,$CD$9:$CD$508,$CD432,$CF$9:$CF$508,"&lt;"&amp;$CF432)+1))</f>
        <v/>
      </c>
      <c r="CH432" s="133" t="str">
        <f aca="false">IF(ISBLANK($C432),"",IF($BR432&lt;&gt;Constants!$B$8,$BR432,$BX432-$CG432))</f>
        <v/>
      </c>
      <c r="CI432" s="138"/>
      <c r="CJ432" s="139"/>
      <c r="CK432" s="140" t="str">
        <f aca="false">IF(ISBLANK($C432),"",IF($BR432=Constants!$B$12,$BQ432,""))</f>
        <v/>
      </c>
      <c r="CL432" s="139" t="str">
        <f aca="false">IF(ISBLANK($C432),"",IF($BR432&lt;&gt;Constants!$B$8,"",IF($BI432="-&gt;",2,1)))</f>
        <v/>
      </c>
      <c r="CM432" s="141" t="str">
        <f aca="false">IF(ISBLANK($C432),"",IF($BR432&lt;&gt;Constants!$B$8,"",IF($BI432="-&gt;",$BK432,$BC432)))</f>
        <v/>
      </c>
      <c r="CN432" s="141" t="str">
        <f aca="false">IF(ISBLANK($C432),"",IF($BR432&lt;&gt;Constants!$B$8,"",IF($BI432="-&gt;",$BL432,$BD432)))</f>
        <v/>
      </c>
      <c r="CO432" s="141" t="str">
        <f aca="false">IF(ISBLANK($C432),"",IF($BR432&lt;&gt;Constants!$B$8,"",IF($BI432="-&gt;",$BM432+$BN432,$BE432+$BF432)+$BV432))</f>
        <v/>
      </c>
      <c r="CP432" s="141" t="str">
        <f aca="false">IF(ISBLANK($C432),"",IF($BR432&lt;&gt;Constants!$B$8,"",IF($BI432="-&gt;",$BO432,$BG432)+$BU432))</f>
        <v/>
      </c>
      <c r="CQ432" s="142" t="str">
        <f aca="false">IF(ISBLANK($C432),"",IF($BR432&lt;&gt;Constants!$B$8,$BR432,$BW432))</f>
        <v/>
      </c>
      <c r="CR432" s="143" t="str">
        <f aca="false">IF(ISBLANK($C432),"",$BS432)</f>
        <v/>
      </c>
      <c r="CS432" s="144" t="str">
        <f aca="false">IF(ISBLANK($C432),"",$CH432)</f>
        <v/>
      </c>
      <c r="CT432" s="144" t="str">
        <f aca="false">IF(ISBLANK($C432),"",$CG432)</f>
        <v/>
      </c>
      <c r="CU432" s="145" t="str">
        <f aca="false">IF(ISBLANK($C432),"",IFERROR(_xlfn.SWITCH($CT432,Constants!$B$11,COUNTA($C$9:$C$508)+2,Constants!$B$10,COUNTA($C$9:$C$508)+1,Constants!$B$9,COUNTA($C$9:$C$508)),$CT432))</f>
        <v/>
      </c>
      <c r="CV432" s="9"/>
      <c r="CW432" s="146" t="n">
        <f aca="false">IF(OR(ISNUMBER($CT432),$CT432=Constants!$B$11,$CT432=Constants!$B$9,$CT432=Constants!$B$10),1,0)</f>
        <v>0</v>
      </c>
      <c r="CX432" s="146" t="n">
        <v>424</v>
      </c>
      <c r="CY432" s="146" t="str">
        <f aca="false">IF(ISBLANK($C432),"",IF(ISNUMBER($CU432),$CU432+ROW($B432)/1000,""))</f>
        <v/>
      </c>
      <c r="CZ432" s="146" t="str">
        <f aca="false">IF(ISNUMBER($CY432),RANK($CY432,$CY$9:$CY$508,1),"")</f>
        <v/>
      </c>
      <c r="DA432" s="146" t="str">
        <f aca="false">IF(ISBLANK($C432),"",$B432)</f>
        <v/>
      </c>
      <c r="DB432" s="146" t="str">
        <f aca="false">IF(ISBLANK($C432),"",$C432)</f>
        <v/>
      </c>
      <c r="DC432" s="146" t="str">
        <f aca="false">IF(ISBLANK($C432),"",$D432)</f>
        <v/>
      </c>
      <c r="DD432" s="147" t="str">
        <f aca="false">$CR432</f>
        <v/>
      </c>
      <c r="DE432" s="148" t="str">
        <f aca="false">$CQ432</f>
        <v/>
      </c>
      <c r="DF432" s="146" t="str">
        <f aca="false">IF(ISBLANK($C432),"",$CT432)</f>
        <v/>
      </c>
      <c r="DG432" s="149" t="str">
        <f aca="false">IF($CX432&gt;$CW$8,"",VLOOKUP($CX432,$CZ$9:$DF$508,7,FALSE()))</f>
        <v/>
      </c>
      <c r="DH432" s="150" t="str">
        <f aca="false">IF($CX432&gt;$CW$8,"",VLOOKUP($CX432,$CZ$9:$DF$508,2,FALSE()))</f>
        <v/>
      </c>
      <c r="DI432" s="150" t="str">
        <f aca="false">IF($CX432&gt;$CW$8,"",VLOOKUP($CX432,$CZ$9:$DF$508,3,FALSE()))</f>
        <v/>
      </c>
      <c r="DJ432" s="150" t="str">
        <f aca="false">IF($CX432&gt;$CW$8,"",VLOOKUP($CX432,$CZ$9:$DF$508,4,FALSE()))</f>
        <v/>
      </c>
      <c r="DK432" s="150" t="str">
        <f aca="false">IF($CX432&gt;$CW$8,"",VLOOKUP($CX432,$CZ$9:$DF$508,5,FALSE()))</f>
        <v/>
      </c>
      <c r="DL432" s="151" t="str">
        <f aca="false">IF($CX432&gt;$CW$8,"",VLOOKUP($CX432,$CZ$9:$DF$508,6,FALSE()))</f>
        <v/>
      </c>
      <c r="DM432" s="75"/>
    </row>
    <row r="433" customFormat="false" ht="15.75" hidden="false" customHeight="false" outlineLevel="0" collapsed="false">
      <c r="A433" s="9"/>
      <c r="B433" s="157"/>
      <c r="C433" s="158"/>
      <c r="D433" s="159"/>
      <c r="E433" s="177"/>
      <c r="F433" s="161"/>
      <c r="G433" s="162"/>
      <c r="H433" s="162"/>
      <c r="I433" s="178"/>
      <c r="J433" s="165"/>
      <c r="K433" s="126"/>
      <c r="L433" s="127"/>
      <c r="M433" s="128"/>
      <c r="N433" s="165"/>
      <c r="O433" s="165"/>
      <c r="P433" s="177"/>
      <c r="Q433" s="165"/>
      <c r="R433" s="165"/>
      <c r="S433" s="126"/>
      <c r="T433" s="128"/>
      <c r="U433" s="128"/>
      <c r="V433" s="165"/>
      <c r="W433" s="165"/>
      <c r="X433" s="177"/>
      <c r="Y433" s="165"/>
      <c r="Z433" s="166"/>
      <c r="AA433" s="165"/>
      <c r="AB433" s="132"/>
      <c r="AC433" s="133"/>
      <c r="AD433" s="133"/>
      <c r="AE433" s="133"/>
      <c r="AF433" s="133" t="str">
        <f aca="false">IF(ISBLANK($C433),"",IF(E433=Constants!$B$3,TRUE(),IF(E433=Constants!$B$4,FALSE(),TRUE())))</f>
        <v/>
      </c>
      <c r="AG433" s="133" t="str">
        <f aca="false">IF(ISBLANK($C433),"",IF(F433=Constants!$B$3,TRUE(),IF(F433=Constants!$B$4,FALSE(),TRUE())))</f>
        <v/>
      </c>
      <c r="AH433" s="133" t="str">
        <f aca="false">IF(ISBLANK($C433),"",IF(G433=Constants!$B$3,TRUE(),IF(G433=Constants!$B$4,FALSE(),TRUE())))</f>
        <v/>
      </c>
      <c r="AI433" s="133" t="str">
        <f aca="false">IF(ISBLANK($C433),"",IF(AND(ISNUMBER(H433),H433&gt;=0),H433,Constants!$B$29))</f>
        <v/>
      </c>
      <c r="AJ433" s="133" t="str">
        <f aca="false">IF(ISBLANK($C433),"",IF(I433=Constants!$B$3,TRUE(),IF(I433=Constants!$B$4,FALSE(),TRUE())))</f>
        <v/>
      </c>
      <c r="AK433" s="133" t="str">
        <f aca="false">IF(ISBLANK($C433),"",IF(J433=Constants!$B$3,TRUE(),IF(J433=Constants!$B$4,FALSE(),TRUE())))</f>
        <v/>
      </c>
      <c r="AL433" s="133" t="str">
        <f aca="false">IF(ISBLANK($C433),"",IF(K433=Constants!$B$5,TRUE(),IF(K433=Constants!$B$6,FALSE(),COUNTA(L433:P433)&gt;0)))</f>
        <v/>
      </c>
      <c r="AM433" s="134" t="str">
        <f aca="false">IF(ISBLANK($C433),"",IF(ISNUMBER(L433),IF(L433&gt;=0,L433,""),""))</f>
        <v/>
      </c>
      <c r="AN433" s="135" t="str">
        <f aca="false">IF(ISBLANK($C433),"",IF(ISNUMBER(M433),IF(M433&gt;=0,M433,""),""))</f>
        <v/>
      </c>
      <c r="AO433" s="135" t="str">
        <f aca="false">IF(ISBLANK($C433),"",IF(N433=Constants!$B$3,TRUE(),IF(N433=Constants!$B$4,FALSE(),TRUE())))</f>
        <v/>
      </c>
      <c r="AP433" s="133" t="str">
        <f aca="false">IF(ISBLANK($C433),"",IF(ISNUMBER(O433),IF(O433&gt;=0,O433,""),""))</f>
        <v/>
      </c>
      <c r="AQ433" s="133" t="str">
        <f aca="false">IF(ISBLANK($C433),"",IF(P433=Constants!$B$3,TRUE(),IF(P433=Constants!$B$4,FALSE(),FALSE())))</f>
        <v/>
      </c>
      <c r="AR433" s="133" t="str">
        <f aca="false">IF(ISBLANK($C433),"",IF(Q433=Constants!$B$3,TRUE(),IF(Q433=Constants!$B$4,FALSE(),TRUE())))</f>
        <v/>
      </c>
      <c r="AS433" s="133" t="str">
        <f aca="false">IF(ISBLANK($C433),"",IF(R433=Constants!$B$3,TRUE(),IF(R433=Constants!$B$4,FALSE(),TRUE())))</f>
        <v/>
      </c>
      <c r="AT433" s="133" t="str">
        <f aca="false">IF(ISBLANK($C433),"",IF(S433=Constants!$B$5,TRUE(),IF(S433=Constants!$B$6,FALSE(),COUNTA(T433:X433)&gt;0)))</f>
        <v/>
      </c>
      <c r="AU433" s="134" t="str">
        <f aca="false">IF(ISBLANK($C433),"",IF(ISNUMBER(T433),IF(T433&gt;=0,T433,""),""))</f>
        <v/>
      </c>
      <c r="AV433" s="135" t="str">
        <f aca="false">IF(ISBLANK($C433),"",IF(ISNUMBER(U433),IF(U433&gt;=0,U433,""),""))</f>
        <v/>
      </c>
      <c r="AW433" s="135" t="str">
        <f aca="false">IF(ISBLANK($C433),"",IF(V433=Constants!$B$3,TRUE(),IF(V433=Constants!$B$4,FALSE(),TRUE())))</f>
        <v/>
      </c>
      <c r="AX433" s="133" t="str">
        <f aca="false">IF(ISBLANK($C433),"",IF(ISNUMBER(W433),IF(W433&gt;=0,W433,""),""))</f>
        <v/>
      </c>
      <c r="AY433" s="133" t="str">
        <f aca="false">IF(ISBLANK($C433),"",IF(X433=Constants!$B$3,TRUE(),IF(X433=Constants!$B$4,FALSE(),FALSE())))</f>
        <v/>
      </c>
      <c r="AZ433" s="133" t="str">
        <f aca="false">IF(ISBLANK($C433),"",MIN(Constants!$B$31,MAX(0,IF(ISNUMBER(Y433),Y433*60,0)+IF(ISNUMBER(Z433),Z433,0))))</f>
        <v/>
      </c>
      <c r="BA433" s="133" t="str">
        <f aca="false">IF(ISBLANK($C433),"",IF(AA433=Constants!$B$3,TRUE(),IF(AA433=Constants!$B$4,FALSE(),FALSE())))</f>
        <v/>
      </c>
      <c r="BB433" s="132" t="str">
        <f aca="false">IF(ISBLANK($C433),"",AND($AL433,OR($AM433="",$AN433="",AND($AO433,$AP433=""))))</f>
        <v/>
      </c>
      <c r="BC433" s="135" t="str">
        <f aca="false">IF($BR433&lt;&gt;Constants!$B$8,"",IF($AL433,Constants!$B$21*$AN433+Constants!$B$22*IF($AO433,$AP433,Constants!$B$23),Constants!$B$24))</f>
        <v/>
      </c>
      <c r="BD433" s="136" t="str">
        <f aca="false">IF($BR433&lt;&gt;Constants!$B$8,"",Constants!$B$25*ABS($AD$9-IF($AL433,$AM433,0)))</f>
        <v/>
      </c>
      <c r="BE433" s="136" t="str">
        <f aca="false">IF($BR433&lt;&gt;Constants!$B$8,"",IF(AND($AL433,$AQ433,$AO433),Constants!$B$27,0))</f>
        <v/>
      </c>
      <c r="BF433" s="136" t="str">
        <f aca="false">IF($BR433&lt;&gt;Constants!$B$8,"",IF($AL433,($AI433-Constants!$B$29)*Constants!$B$28,0))</f>
        <v/>
      </c>
      <c r="BG433" s="136" t="str">
        <f aca="false">IF($BR433&lt;&gt;Constants!$B$8,"",IF($AK433,0,Constants!$B$15)+IF($AJ433,0,Constants!$B$16)+IF($AH433,0,Constants!$B$17))</f>
        <v/>
      </c>
      <c r="BH433" s="137" t="str">
        <f aca="false">IF($BR433&lt;&gt;Constants!$B$8,"",Constants!$B$20+SUM($BC433:$BG433))</f>
        <v/>
      </c>
      <c r="BI433" s="133" t="str">
        <f aca="false">IF($BR433&lt;&gt;Constants!$B$8,"",IF(OR($BP433&lt;$BH433,AND($BP433=$BH433,OR($BK433&lt;$BC433,AND($BK433=$BC433,OR($BL433&lt;$BD433,AND($BL433=$BD433,$AT433,$AL433,$AV433&lt;$AN433)))))),"-&gt;","&lt;-"))</f>
        <v/>
      </c>
      <c r="BJ433" s="132" t="str">
        <f aca="false">IF(ISBLANK($C433),"",AND($AT433,OR($AU433="",$AV433="",AND($AW433,$AX433=""))))</f>
        <v/>
      </c>
      <c r="BK433" s="135" t="str">
        <f aca="false">IF($BR433&lt;&gt;Constants!$B$8,"",IF($AT433,Constants!$B$21*$AV433+Constants!$B$22*IF($AW433,$AX433,Constants!$B$23),Constants!$B$24))</f>
        <v/>
      </c>
      <c r="BL433" s="136" t="str">
        <f aca="false">IF($BR433&lt;&gt;Constants!$B$8,"",Constants!$B$25*ABS($AD$9-IF($AT433,$AU433,0)))</f>
        <v/>
      </c>
      <c r="BM433" s="136" t="str">
        <f aca="false">IF($BR433&lt;&gt;Constants!$B$8,"",IF(AND($AT433,$AY433,$AW433),Constants!$B$27,0))</f>
        <v/>
      </c>
      <c r="BN433" s="136" t="str">
        <f aca="false">IF($BR433&lt;&gt;Constants!$B$8,"",IF($AT433,($AI433-Constants!$B$29)*Constants!$B$28,0))</f>
        <v/>
      </c>
      <c r="BO433" s="136" t="str">
        <f aca="false">IF($BR433&lt;&gt;Constants!$B$8,"",IF($AS433,0,Constants!$B$15)+IF($AR433,0,Constants!$B$16)+IF($AH433,0,Constants!$B$17))</f>
        <v/>
      </c>
      <c r="BP433" s="137" t="str">
        <f aca="false">IF($BR433&lt;&gt;Constants!$B$8,"",Constants!$B$20+SUM($BK433:$BO433))</f>
        <v/>
      </c>
      <c r="BQ433" s="133" t="str">
        <f aca="false">IF(ISBLANK($C433),"",IF(ISBLANK($D$7),$BQ$5,IF(NOT(ISNUMBER($D$7)),$BQ$6,"")))</f>
        <v/>
      </c>
      <c r="BR433" s="133" t="str">
        <f aca="false">IF(ISBLANK($C433),"",IF($BA433,Constants!$B$11,IF(COUNTA($E433:$AA433)=0,Constants!$B$10,IF(NOT($AG433),Constants!$B$9,IF(OR($BQ433&lt;&gt;"",$BB433,$BJ433),Constants!$B$12,Constants!$B$8)))))</f>
        <v/>
      </c>
      <c r="BS433" s="133" t="str">
        <f aca="false">IF(ISBLANK($C433),"",IF($BR433&lt;&gt;Constants!$B$8,$BR433,Constants!$B$13))</f>
        <v/>
      </c>
      <c r="BT433" s="136" t="str">
        <f aca="false">IF($BR433&lt;&gt;Constants!$B$8,"",IF($BI433="-&gt;",$BP433,$BH433))</f>
        <v/>
      </c>
      <c r="BU433" s="136" t="str">
        <f aca="false">IF($BR433&lt;&gt;Constants!$B$8,"",IF($AF433,0,Constants!$B$18))</f>
        <v/>
      </c>
      <c r="BV433" s="136" t="str">
        <f aca="false">IF($BR433&lt;&gt;Constants!$B$8,"",((Constants!$B$31-$AZ433)-Constants!$B$31)/Constants!$B$32)</f>
        <v/>
      </c>
      <c r="BW433" s="136" t="str">
        <f aca="false">IF(ISBLANK($C433),"",IF($BR433&lt;&gt;Constants!$B$8,$BR433,SUM($BT433:$BV433)))</f>
        <v/>
      </c>
      <c r="BX433" s="133" t="str">
        <f aca="false">IF(ISBLANK($C433),"",IF($BR433&lt;&gt;Constants!$B$8,$BR433,RANK($BW433,$BW$9:$BW$508,1)))</f>
        <v/>
      </c>
      <c r="BY433" s="136" t="str">
        <f aca="false">IF($BR433&lt;&gt;Constants!$B$8,"",IF($BI433="-&gt;",$BK433,$BC433))</f>
        <v/>
      </c>
      <c r="BZ433" s="133" t="str">
        <f aca="false">IF(ISBLANK($C433),"",IF($BR433&lt;&gt;Constants!$B$8,$BR433,IF(ISNUMBER($BY433),RANK($BY433,$BY$9:$BY$508,1),COUNT($BY$9:$BY$508)+1)))</f>
        <v/>
      </c>
      <c r="CA433" s="136" t="str">
        <f aca="false">IF($BR433&lt;&gt;Constants!$B$8,"",IF($BI433="-&gt;",$BL433,$BD433))</f>
        <v/>
      </c>
      <c r="CB433" s="133" t="str">
        <f aca="false">IF(ISBLANK($C433),"",IF($BR433&lt;&gt;Constants!$B$8,$BR433,IF(ISNUMBER($CA433),RANK($CA433,$CA$9:$CA$508,1),COUNT($CA$9:$CA$508)+1)))</f>
        <v/>
      </c>
      <c r="CC433" s="136" t="str">
        <f aca="false">IF($BR433&lt;&gt;Constants!$B$8,"",IF($BI433="-&gt;",IF($AT433,$AV433,""),IF($AL433,$AN433,"")))</f>
        <v/>
      </c>
      <c r="CD433" s="133" t="str">
        <f aca="false">IF(ISBLANK($C433),"",IF($BR433&lt;&gt;Constants!$B$8,$BR433,IF(ISNUMBER($CC433),RANK($CC433,$CC$9:$CC$508,1),COUNT($CC$9:$CC$508)+1)))</f>
        <v/>
      </c>
      <c r="CE433" s="136" t="str">
        <f aca="false">IF($BR433&lt;&gt;Constants!$B$8,"",IF(AND(NOT($AL433),NOT($AT433),$AJ433,$AK433,$AR433,$AS433),"",$AI433))</f>
        <v/>
      </c>
      <c r="CF433" s="133" t="str">
        <f aca="false">IF(ISBLANK($C433),"",IF($BR433&lt;&gt;Constants!$B$8,$BR433,IF(ISNUMBER($CE433),RANK($CE433,$CE$9:$CE$508,1),COUNT($CE$9:$CE$508)+1)))</f>
        <v/>
      </c>
      <c r="CG433" s="133" t="str">
        <f aca="false">IF(ISBLANK($C433),"",IF($BR433&lt;&gt;Constants!$B$8,$BR433,COUNTIFS($BX$9:$BX$508,"&lt;"&amp;$BX433)+COUNTIFS($BX$9:$BX$508,$BX433,$BZ$9:$BZ$508,"&lt;"&amp;$BZ433)+COUNTIFS($BX$9:$BX$508,$BX433,$BZ$9:$BZ$508,$BZ433,$CB$9:$CB$508,"&lt;"&amp;$CB433)+COUNTIFS($BX$9:$BX$508,$BX433,$BZ$9:$BZ$508,$BZ433,$CB$9:$CB$508,$CB433,$CD$9:$CD$508,"&lt;"&amp;$CD433)+COUNTIFS($BX$9:$BX$508,$BX433,$BZ$9:$BZ$508,$BZ433,$CB$9:$CB$508,$CB433,$CD$9:$CD$508,$CD433,$CF$9:$CF$508,"&lt;"&amp;$CF433)+1))</f>
        <v/>
      </c>
      <c r="CH433" s="133" t="str">
        <f aca="false">IF(ISBLANK($C433),"",IF($BR433&lt;&gt;Constants!$B$8,$BR433,$BX433-$CG433))</f>
        <v/>
      </c>
      <c r="CI433" s="138"/>
      <c r="CJ433" s="139"/>
      <c r="CK433" s="140" t="str">
        <f aca="false">IF(ISBLANK($C433),"",IF($BR433=Constants!$B$12,$BQ433,""))</f>
        <v/>
      </c>
      <c r="CL433" s="139" t="str">
        <f aca="false">IF(ISBLANK($C433),"",IF($BR433&lt;&gt;Constants!$B$8,"",IF($BI433="-&gt;",2,1)))</f>
        <v/>
      </c>
      <c r="CM433" s="141" t="str">
        <f aca="false">IF(ISBLANK($C433),"",IF($BR433&lt;&gt;Constants!$B$8,"",IF($BI433="-&gt;",$BK433,$BC433)))</f>
        <v/>
      </c>
      <c r="CN433" s="141" t="str">
        <f aca="false">IF(ISBLANK($C433),"",IF($BR433&lt;&gt;Constants!$B$8,"",IF($BI433="-&gt;",$BL433,$BD433)))</f>
        <v/>
      </c>
      <c r="CO433" s="141" t="str">
        <f aca="false">IF(ISBLANK($C433),"",IF($BR433&lt;&gt;Constants!$B$8,"",IF($BI433="-&gt;",$BM433+$BN433,$BE433+$BF433)+$BV433))</f>
        <v/>
      </c>
      <c r="CP433" s="141" t="str">
        <f aca="false">IF(ISBLANK($C433),"",IF($BR433&lt;&gt;Constants!$B$8,"",IF($BI433="-&gt;",$BO433,$BG433)+$BU433))</f>
        <v/>
      </c>
      <c r="CQ433" s="142" t="str">
        <f aca="false">IF(ISBLANK($C433),"",IF($BR433&lt;&gt;Constants!$B$8,$BR433,$BW433))</f>
        <v/>
      </c>
      <c r="CR433" s="143" t="str">
        <f aca="false">IF(ISBLANK($C433),"",$BS433)</f>
        <v/>
      </c>
      <c r="CS433" s="144" t="str">
        <f aca="false">IF(ISBLANK($C433),"",$CH433)</f>
        <v/>
      </c>
      <c r="CT433" s="144" t="str">
        <f aca="false">IF(ISBLANK($C433),"",$CG433)</f>
        <v/>
      </c>
      <c r="CU433" s="145" t="str">
        <f aca="false">IF(ISBLANK($C433),"",IFERROR(_xlfn.SWITCH($CT433,Constants!$B$11,COUNTA($C$9:$C$508)+2,Constants!$B$10,COUNTA($C$9:$C$508)+1,Constants!$B$9,COUNTA($C$9:$C$508)),$CT433))</f>
        <v/>
      </c>
      <c r="CV433" s="9"/>
      <c r="CW433" s="146" t="n">
        <f aca="false">IF(OR(ISNUMBER($CT433),$CT433=Constants!$B$11,$CT433=Constants!$B$9,$CT433=Constants!$B$10),1,0)</f>
        <v>0</v>
      </c>
      <c r="CX433" s="146" t="n">
        <v>425</v>
      </c>
      <c r="CY433" s="146" t="str">
        <f aca="false">IF(ISBLANK($C433),"",IF(ISNUMBER($CU433),$CU433+ROW($B433)/1000,""))</f>
        <v/>
      </c>
      <c r="CZ433" s="146" t="str">
        <f aca="false">IF(ISNUMBER($CY433),RANK($CY433,$CY$9:$CY$508,1),"")</f>
        <v/>
      </c>
      <c r="DA433" s="146" t="str">
        <f aca="false">IF(ISBLANK($C433),"",$B433)</f>
        <v/>
      </c>
      <c r="DB433" s="146" t="str">
        <f aca="false">IF(ISBLANK($C433),"",$C433)</f>
        <v/>
      </c>
      <c r="DC433" s="146" t="str">
        <f aca="false">IF(ISBLANK($C433),"",$D433)</f>
        <v/>
      </c>
      <c r="DD433" s="147" t="str">
        <f aca="false">$CR433</f>
        <v/>
      </c>
      <c r="DE433" s="148" t="str">
        <f aca="false">$CQ433</f>
        <v/>
      </c>
      <c r="DF433" s="146" t="str">
        <f aca="false">IF(ISBLANK($C433),"",$CT433)</f>
        <v/>
      </c>
      <c r="DG433" s="149" t="str">
        <f aca="false">IF($CX433&gt;$CW$8,"",VLOOKUP($CX433,$CZ$9:$DF$508,7,FALSE()))</f>
        <v/>
      </c>
      <c r="DH433" s="150" t="str">
        <f aca="false">IF($CX433&gt;$CW$8,"",VLOOKUP($CX433,$CZ$9:$DF$508,2,FALSE()))</f>
        <v/>
      </c>
      <c r="DI433" s="150" t="str">
        <f aca="false">IF($CX433&gt;$CW$8,"",VLOOKUP($CX433,$CZ$9:$DF$508,3,FALSE()))</f>
        <v/>
      </c>
      <c r="DJ433" s="150" t="str">
        <f aca="false">IF($CX433&gt;$CW$8,"",VLOOKUP($CX433,$CZ$9:$DF$508,4,FALSE()))</f>
        <v/>
      </c>
      <c r="DK433" s="150" t="str">
        <f aca="false">IF($CX433&gt;$CW$8,"",VLOOKUP($CX433,$CZ$9:$DF$508,5,FALSE()))</f>
        <v/>
      </c>
      <c r="DL433" s="151" t="str">
        <f aca="false">IF($CX433&gt;$CW$8,"",VLOOKUP($CX433,$CZ$9:$DF$508,6,FALSE()))</f>
        <v/>
      </c>
      <c r="DM433" s="75"/>
    </row>
    <row r="434" customFormat="false" ht="15.75" hidden="false" customHeight="false" outlineLevel="0" collapsed="false">
      <c r="A434" s="9"/>
      <c r="B434" s="157"/>
      <c r="C434" s="158"/>
      <c r="D434" s="159"/>
      <c r="E434" s="177"/>
      <c r="F434" s="161"/>
      <c r="G434" s="162"/>
      <c r="H434" s="162"/>
      <c r="I434" s="178"/>
      <c r="J434" s="165"/>
      <c r="K434" s="126"/>
      <c r="L434" s="127"/>
      <c r="M434" s="128"/>
      <c r="N434" s="165"/>
      <c r="O434" s="165"/>
      <c r="P434" s="177"/>
      <c r="Q434" s="165"/>
      <c r="R434" s="165"/>
      <c r="S434" s="126"/>
      <c r="T434" s="128"/>
      <c r="U434" s="128"/>
      <c r="V434" s="165"/>
      <c r="W434" s="165"/>
      <c r="X434" s="177"/>
      <c r="Y434" s="165"/>
      <c r="Z434" s="166"/>
      <c r="AA434" s="165"/>
      <c r="AB434" s="132"/>
      <c r="AC434" s="133"/>
      <c r="AD434" s="133"/>
      <c r="AE434" s="133"/>
      <c r="AF434" s="133" t="str">
        <f aca="false">IF(ISBLANK($C434),"",IF(E434=Constants!$B$3,TRUE(),IF(E434=Constants!$B$4,FALSE(),TRUE())))</f>
        <v/>
      </c>
      <c r="AG434" s="133" t="str">
        <f aca="false">IF(ISBLANK($C434),"",IF(F434=Constants!$B$3,TRUE(),IF(F434=Constants!$B$4,FALSE(),TRUE())))</f>
        <v/>
      </c>
      <c r="AH434" s="133" t="str">
        <f aca="false">IF(ISBLANK($C434),"",IF(G434=Constants!$B$3,TRUE(),IF(G434=Constants!$B$4,FALSE(),TRUE())))</f>
        <v/>
      </c>
      <c r="AI434" s="133" t="str">
        <f aca="false">IF(ISBLANK($C434),"",IF(AND(ISNUMBER(H434),H434&gt;=0),H434,Constants!$B$29))</f>
        <v/>
      </c>
      <c r="AJ434" s="133" t="str">
        <f aca="false">IF(ISBLANK($C434),"",IF(I434=Constants!$B$3,TRUE(),IF(I434=Constants!$B$4,FALSE(),TRUE())))</f>
        <v/>
      </c>
      <c r="AK434" s="133" t="str">
        <f aca="false">IF(ISBLANK($C434),"",IF(J434=Constants!$B$3,TRUE(),IF(J434=Constants!$B$4,FALSE(),TRUE())))</f>
        <v/>
      </c>
      <c r="AL434" s="133" t="str">
        <f aca="false">IF(ISBLANK($C434),"",IF(K434=Constants!$B$5,TRUE(),IF(K434=Constants!$B$6,FALSE(),COUNTA(L434:P434)&gt;0)))</f>
        <v/>
      </c>
      <c r="AM434" s="134" t="str">
        <f aca="false">IF(ISBLANK($C434),"",IF(ISNUMBER(L434),IF(L434&gt;=0,L434,""),""))</f>
        <v/>
      </c>
      <c r="AN434" s="135" t="str">
        <f aca="false">IF(ISBLANK($C434),"",IF(ISNUMBER(M434),IF(M434&gt;=0,M434,""),""))</f>
        <v/>
      </c>
      <c r="AO434" s="135" t="str">
        <f aca="false">IF(ISBLANK($C434),"",IF(N434=Constants!$B$3,TRUE(),IF(N434=Constants!$B$4,FALSE(),TRUE())))</f>
        <v/>
      </c>
      <c r="AP434" s="133" t="str">
        <f aca="false">IF(ISBLANK($C434),"",IF(ISNUMBER(O434),IF(O434&gt;=0,O434,""),""))</f>
        <v/>
      </c>
      <c r="AQ434" s="133" t="str">
        <f aca="false">IF(ISBLANK($C434),"",IF(P434=Constants!$B$3,TRUE(),IF(P434=Constants!$B$4,FALSE(),FALSE())))</f>
        <v/>
      </c>
      <c r="AR434" s="133" t="str">
        <f aca="false">IF(ISBLANK($C434),"",IF(Q434=Constants!$B$3,TRUE(),IF(Q434=Constants!$B$4,FALSE(),TRUE())))</f>
        <v/>
      </c>
      <c r="AS434" s="133" t="str">
        <f aca="false">IF(ISBLANK($C434),"",IF(R434=Constants!$B$3,TRUE(),IF(R434=Constants!$B$4,FALSE(),TRUE())))</f>
        <v/>
      </c>
      <c r="AT434" s="133" t="str">
        <f aca="false">IF(ISBLANK($C434),"",IF(S434=Constants!$B$5,TRUE(),IF(S434=Constants!$B$6,FALSE(),COUNTA(T434:X434)&gt;0)))</f>
        <v/>
      </c>
      <c r="AU434" s="134" t="str">
        <f aca="false">IF(ISBLANK($C434),"",IF(ISNUMBER(T434),IF(T434&gt;=0,T434,""),""))</f>
        <v/>
      </c>
      <c r="AV434" s="135" t="str">
        <f aca="false">IF(ISBLANK($C434),"",IF(ISNUMBER(U434),IF(U434&gt;=0,U434,""),""))</f>
        <v/>
      </c>
      <c r="AW434" s="135" t="str">
        <f aca="false">IF(ISBLANK($C434),"",IF(V434=Constants!$B$3,TRUE(),IF(V434=Constants!$B$4,FALSE(),TRUE())))</f>
        <v/>
      </c>
      <c r="AX434" s="133" t="str">
        <f aca="false">IF(ISBLANK($C434),"",IF(ISNUMBER(W434),IF(W434&gt;=0,W434,""),""))</f>
        <v/>
      </c>
      <c r="AY434" s="133" t="str">
        <f aca="false">IF(ISBLANK($C434),"",IF(X434=Constants!$B$3,TRUE(),IF(X434=Constants!$B$4,FALSE(),FALSE())))</f>
        <v/>
      </c>
      <c r="AZ434" s="133" t="str">
        <f aca="false">IF(ISBLANK($C434),"",MIN(Constants!$B$31,MAX(0,IF(ISNUMBER(Y434),Y434*60,0)+IF(ISNUMBER(Z434),Z434,0))))</f>
        <v/>
      </c>
      <c r="BA434" s="133" t="str">
        <f aca="false">IF(ISBLANK($C434),"",IF(AA434=Constants!$B$3,TRUE(),IF(AA434=Constants!$B$4,FALSE(),FALSE())))</f>
        <v/>
      </c>
      <c r="BB434" s="132" t="str">
        <f aca="false">IF(ISBLANK($C434),"",AND($AL434,OR($AM434="",$AN434="",AND($AO434,$AP434=""))))</f>
        <v/>
      </c>
      <c r="BC434" s="135" t="str">
        <f aca="false">IF($BR434&lt;&gt;Constants!$B$8,"",IF($AL434,Constants!$B$21*$AN434+Constants!$B$22*IF($AO434,$AP434,Constants!$B$23),Constants!$B$24))</f>
        <v/>
      </c>
      <c r="BD434" s="136" t="str">
        <f aca="false">IF($BR434&lt;&gt;Constants!$B$8,"",Constants!$B$25*ABS($AD$9-IF($AL434,$AM434,0)))</f>
        <v/>
      </c>
      <c r="BE434" s="136" t="str">
        <f aca="false">IF($BR434&lt;&gt;Constants!$B$8,"",IF(AND($AL434,$AQ434,$AO434),Constants!$B$27,0))</f>
        <v/>
      </c>
      <c r="BF434" s="136" t="str">
        <f aca="false">IF($BR434&lt;&gt;Constants!$B$8,"",IF($AL434,($AI434-Constants!$B$29)*Constants!$B$28,0))</f>
        <v/>
      </c>
      <c r="BG434" s="136" t="str">
        <f aca="false">IF($BR434&lt;&gt;Constants!$B$8,"",IF($AK434,0,Constants!$B$15)+IF($AJ434,0,Constants!$B$16)+IF($AH434,0,Constants!$B$17))</f>
        <v/>
      </c>
      <c r="BH434" s="137" t="str">
        <f aca="false">IF($BR434&lt;&gt;Constants!$B$8,"",Constants!$B$20+SUM($BC434:$BG434))</f>
        <v/>
      </c>
      <c r="BI434" s="133" t="str">
        <f aca="false">IF($BR434&lt;&gt;Constants!$B$8,"",IF(OR($BP434&lt;$BH434,AND($BP434=$BH434,OR($BK434&lt;$BC434,AND($BK434=$BC434,OR($BL434&lt;$BD434,AND($BL434=$BD434,$AT434,$AL434,$AV434&lt;$AN434)))))),"-&gt;","&lt;-"))</f>
        <v/>
      </c>
      <c r="BJ434" s="132" t="str">
        <f aca="false">IF(ISBLANK($C434),"",AND($AT434,OR($AU434="",$AV434="",AND($AW434,$AX434=""))))</f>
        <v/>
      </c>
      <c r="BK434" s="135" t="str">
        <f aca="false">IF($BR434&lt;&gt;Constants!$B$8,"",IF($AT434,Constants!$B$21*$AV434+Constants!$B$22*IF($AW434,$AX434,Constants!$B$23),Constants!$B$24))</f>
        <v/>
      </c>
      <c r="BL434" s="136" t="str">
        <f aca="false">IF($BR434&lt;&gt;Constants!$B$8,"",Constants!$B$25*ABS($AD$9-IF($AT434,$AU434,0)))</f>
        <v/>
      </c>
      <c r="BM434" s="136" t="str">
        <f aca="false">IF($BR434&lt;&gt;Constants!$B$8,"",IF(AND($AT434,$AY434,$AW434),Constants!$B$27,0))</f>
        <v/>
      </c>
      <c r="BN434" s="136" t="str">
        <f aca="false">IF($BR434&lt;&gt;Constants!$B$8,"",IF($AT434,($AI434-Constants!$B$29)*Constants!$B$28,0))</f>
        <v/>
      </c>
      <c r="BO434" s="136" t="str">
        <f aca="false">IF($BR434&lt;&gt;Constants!$B$8,"",IF($AS434,0,Constants!$B$15)+IF($AR434,0,Constants!$B$16)+IF($AH434,0,Constants!$B$17))</f>
        <v/>
      </c>
      <c r="BP434" s="137" t="str">
        <f aca="false">IF($BR434&lt;&gt;Constants!$B$8,"",Constants!$B$20+SUM($BK434:$BO434))</f>
        <v/>
      </c>
      <c r="BQ434" s="133" t="str">
        <f aca="false">IF(ISBLANK($C434),"",IF(ISBLANK($D$7),$BQ$5,IF(NOT(ISNUMBER($D$7)),$BQ$6,"")))</f>
        <v/>
      </c>
      <c r="BR434" s="133" t="str">
        <f aca="false">IF(ISBLANK($C434),"",IF($BA434,Constants!$B$11,IF(COUNTA($E434:$AA434)=0,Constants!$B$10,IF(NOT($AG434),Constants!$B$9,IF(OR($BQ434&lt;&gt;"",$BB434,$BJ434),Constants!$B$12,Constants!$B$8)))))</f>
        <v/>
      </c>
      <c r="BS434" s="133" t="str">
        <f aca="false">IF(ISBLANK($C434),"",IF($BR434&lt;&gt;Constants!$B$8,$BR434,Constants!$B$13))</f>
        <v/>
      </c>
      <c r="BT434" s="136" t="str">
        <f aca="false">IF($BR434&lt;&gt;Constants!$B$8,"",IF($BI434="-&gt;",$BP434,$BH434))</f>
        <v/>
      </c>
      <c r="BU434" s="136" t="str">
        <f aca="false">IF($BR434&lt;&gt;Constants!$B$8,"",IF($AF434,0,Constants!$B$18))</f>
        <v/>
      </c>
      <c r="BV434" s="136" t="str">
        <f aca="false">IF($BR434&lt;&gt;Constants!$B$8,"",((Constants!$B$31-$AZ434)-Constants!$B$31)/Constants!$B$32)</f>
        <v/>
      </c>
      <c r="BW434" s="136" t="str">
        <f aca="false">IF(ISBLANK($C434),"",IF($BR434&lt;&gt;Constants!$B$8,$BR434,SUM($BT434:$BV434)))</f>
        <v/>
      </c>
      <c r="BX434" s="133" t="str">
        <f aca="false">IF(ISBLANK($C434),"",IF($BR434&lt;&gt;Constants!$B$8,$BR434,RANK($BW434,$BW$9:$BW$508,1)))</f>
        <v/>
      </c>
      <c r="BY434" s="136" t="str">
        <f aca="false">IF($BR434&lt;&gt;Constants!$B$8,"",IF($BI434="-&gt;",$BK434,$BC434))</f>
        <v/>
      </c>
      <c r="BZ434" s="133" t="str">
        <f aca="false">IF(ISBLANK($C434),"",IF($BR434&lt;&gt;Constants!$B$8,$BR434,IF(ISNUMBER($BY434),RANK($BY434,$BY$9:$BY$508,1),COUNT($BY$9:$BY$508)+1)))</f>
        <v/>
      </c>
      <c r="CA434" s="136" t="str">
        <f aca="false">IF($BR434&lt;&gt;Constants!$B$8,"",IF($BI434="-&gt;",$BL434,$BD434))</f>
        <v/>
      </c>
      <c r="CB434" s="133" t="str">
        <f aca="false">IF(ISBLANK($C434),"",IF($BR434&lt;&gt;Constants!$B$8,$BR434,IF(ISNUMBER($CA434),RANK($CA434,$CA$9:$CA$508,1),COUNT($CA$9:$CA$508)+1)))</f>
        <v/>
      </c>
      <c r="CC434" s="136" t="str">
        <f aca="false">IF($BR434&lt;&gt;Constants!$B$8,"",IF($BI434="-&gt;",IF($AT434,$AV434,""),IF($AL434,$AN434,"")))</f>
        <v/>
      </c>
      <c r="CD434" s="133" t="str">
        <f aca="false">IF(ISBLANK($C434),"",IF($BR434&lt;&gt;Constants!$B$8,$BR434,IF(ISNUMBER($CC434),RANK($CC434,$CC$9:$CC$508,1),COUNT($CC$9:$CC$508)+1)))</f>
        <v/>
      </c>
      <c r="CE434" s="136" t="str">
        <f aca="false">IF($BR434&lt;&gt;Constants!$B$8,"",IF(AND(NOT($AL434),NOT($AT434),$AJ434,$AK434,$AR434,$AS434),"",$AI434))</f>
        <v/>
      </c>
      <c r="CF434" s="133" t="str">
        <f aca="false">IF(ISBLANK($C434),"",IF($BR434&lt;&gt;Constants!$B$8,$BR434,IF(ISNUMBER($CE434),RANK($CE434,$CE$9:$CE$508,1),COUNT($CE$9:$CE$508)+1)))</f>
        <v/>
      </c>
      <c r="CG434" s="133" t="str">
        <f aca="false">IF(ISBLANK($C434),"",IF($BR434&lt;&gt;Constants!$B$8,$BR434,COUNTIFS($BX$9:$BX$508,"&lt;"&amp;$BX434)+COUNTIFS($BX$9:$BX$508,$BX434,$BZ$9:$BZ$508,"&lt;"&amp;$BZ434)+COUNTIFS($BX$9:$BX$508,$BX434,$BZ$9:$BZ$508,$BZ434,$CB$9:$CB$508,"&lt;"&amp;$CB434)+COUNTIFS($BX$9:$BX$508,$BX434,$BZ$9:$BZ$508,$BZ434,$CB$9:$CB$508,$CB434,$CD$9:$CD$508,"&lt;"&amp;$CD434)+COUNTIFS($BX$9:$BX$508,$BX434,$BZ$9:$BZ$508,$BZ434,$CB$9:$CB$508,$CB434,$CD$9:$CD$508,$CD434,$CF$9:$CF$508,"&lt;"&amp;$CF434)+1))</f>
        <v/>
      </c>
      <c r="CH434" s="133" t="str">
        <f aca="false">IF(ISBLANK($C434),"",IF($BR434&lt;&gt;Constants!$B$8,$BR434,$BX434-$CG434))</f>
        <v/>
      </c>
      <c r="CI434" s="138"/>
      <c r="CJ434" s="139"/>
      <c r="CK434" s="140" t="str">
        <f aca="false">IF(ISBLANK($C434),"",IF($BR434=Constants!$B$12,$BQ434,""))</f>
        <v/>
      </c>
      <c r="CL434" s="139" t="str">
        <f aca="false">IF(ISBLANK($C434),"",IF($BR434&lt;&gt;Constants!$B$8,"",IF($BI434="-&gt;",2,1)))</f>
        <v/>
      </c>
      <c r="CM434" s="141" t="str">
        <f aca="false">IF(ISBLANK($C434),"",IF($BR434&lt;&gt;Constants!$B$8,"",IF($BI434="-&gt;",$BK434,$BC434)))</f>
        <v/>
      </c>
      <c r="CN434" s="141" t="str">
        <f aca="false">IF(ISBLANK($C434),"",IF($BR434&lt;&gt;Constants!$B$8,"",IF($BI434="-&gt;",$BL434,$BD434)))</f>
        <v/>
      </c>
      <c r="CO434" s="141" t="str">
        <f aca="false">IF(ISBLANK($C434),"",IF($BR434&lt;&gt;Constants!$B$8,"",IF($BI434="-&gt;",$BM434+$BN434,$BE434+$BF434)+$BV434))</f>
        <v/>
      </c>
      <c r="CP434" s="141" t="str">
        <f aca="false">IF(ISBLANK($C434),"",IF($BR434&lt;&gt;Constants!$B$8,"",IF($BI434="-&gt;",$BO434,$BG434)+$BU434))</f>
        <v/>
      </c>
      <c r="CQ434" s="142" t="str">
        <f aca="false">IF(ISBLANK($C434),"",IF($BR434&lt;&gt;Constants!$B$8,$BR434,$BW434))</f>
        <v/>
      </c>
      <c r="CR434" s="143" t="str">
        <f aca="false">IF(ISBLANK($C434),"",$BS434)</f>
        <v/>
      </c>
      <c r="CS434" s="144" t="str">
        <f aca="false">IF(ISBLANK($C434),"",$CH434)</f>
        <v/>
      </c>
      <c r="CT434" s="144" t="str">
        <f aca="false">IF(ISBLANK($C434),"",$CG434)</f>
        <v/>
      </c>
      <c r="CU434" s="145" t="str">
        <f aca="false">IF(ISBLANK($C434),"",IFERROR(_xlfn.SWITCH($CT434,Constants!$B$11,COUNTA($C$9:$C$508)+2,Constants!$B$10,COUNTA($C$9:$C$508)+1,Constants!$B$9,COUNTA($C$9:$C$508)),$CT434))</f>
        <v/>
      </c>
      <c r="CV434" s="9"/>
      <c r="CW434" s="146" t="n">
        <f aca="false">IF(OR(ISNUMBER($CT434),$CT434=Constants!$B$11,$CT434=Constants!$B$9,$CT434=Constants!$B$10),1,0)</f>
        <v>0</v>
      </c>
      <c r="CX434" s="146" t="n">
        <v>426</v>
      </c>
      <c r="CY434" s="146" t="str">
        <f aca="false">IF(ISBLANK($C434),"",IF(ISNUMBER($CU434),$CU434+ROW($B434)/1000,""))</f>
        <v/>
      </c>
      <c r="CZ434" s="146" t="str">
        <f aca="false">IF(ISNUMBER($CY434),RANK($CY434,$CY$9:$CY$508,1),"")</f>
        <v/>
      </c>
      <c r="DA434" s="146" t="str">
        <f aca="false">IF(ISBLANK($C434),"",$B434)</f>
        <v/>
      </c>
      <c r="DB434" s="146" t="str">
        <f aca="false">IF(ISBLANK($C434),"",$C434)</f>
        <v/>
      </c>
      <c r="DC434" s="146" t="str">
        <f aca="false">IF(ISBLANK($C434),"",$D434)</f>
        <v/>
      </c>
      <c r="DD434" s="147" t="str">
        <f aca="false">$CR434</f>
        <v/>
      </c>
      <c r="DE434" s="148" t="str">
        <f aca="false">$CQ434</f>
        <v/>
      </c>
      <c r="DF434" s="146" t="str">
        <f aca="false">IF(ISBLANK($C434),"",$CT434)</f>
        <v/>
      </c>
      <c r="DG434" s="149" t="str">
        <f aca="false">IF($CX434&gt;$CW$8,"",VLOOKUP($CX434,$CZ$9:$DF$508,7,FALSE()))</f>
        <v/>
      </c>
      <c r="DH434" s="150" t="str">
        <f aca="false">IF($CX434&gt;$CW$8,"",VLOOKUP($CX434,$CZ$9:$DF$508,2,FALSE()))</f>
        <v/>
      </c>
      <c r="DI434" s="150" t="str">
        <f aca="false">IF($CX434&gt;$CW$8,"",VLOOKUP($CX434,$CZ$9:$DF$508,3,FALSE()))</f>
        <v/>
      </c>
      <c r="DJ434" s="150" t="str">
        <f aca="false">IF($CX434&gt;$CW$8,"",VLOOKUP($CX434,$CZ$9:$DF$508,4,FALSE()))</f>
        <v/>
      </c>
      <c r="DK434" s="150" t="str">
        <f aca="false">IF($CX434&gt;$CW$8,"",VLOOKUP($CX434,$CZ$9:$DF$508,5,FALSE()))</f>
        <v/>
      </c>
      <c r="DL434" s="151" t="str">
        <f aca="false">IF($CX434&gt;$CW$8,"",VLOOKUP($CX434,$CZ$9:$DF$508,6,FALSE()))</f>
        <v/>
      </c>
      <c r="DM434" s="75"/>
    </row>
    <row r="435" customFormat="false" ht="15.75" hidden="false" customHeight="false" outlineLevel="0" collapsed="false">
      <c r="A435" s="9"/>
      <c r="B435" s="77"/>
      <c r="C435" s="78"/>
      <c r="D435" s="167"/>
      <c r="E435" s="175"/>
      <c r="F435" s="169"/>
      <c r="G435" s="170"/>
      <c r="H435" s="170"/>
      <c r="I435" s="176"/>
      <c r="J435" s="173"/>
      <c r="K435" s="85"/>
      <c r="L435" s="86"/>
      <c r="M435" s="87"/>
      <c r="N435" s="173"/>
      <c r="O435" s="173"/>
      <c r="P435" s="175"/>
      <c r="Q435" s="173"/>
      <c r="R435" s="173"/>
      <c r="S435" s="85"/>
      <c r="T435" s="87"/>
      <c r="U435" s="87"/>
      <c r="V435" s="173"/>
      <c r="W435" s="173"/>
      <c r="X435" s="175"/>
      <c r="Y435" s="173"/>
      <c r="Z435" s="174"/>
      <c r="AA435" s="173"/>
      <c r="AB435" s="91"/>
      <c r="AC435" s="92"/>
      <c r="AD435" s="92"/>
      <c r="AE435" s="92"/>
      <c r="AF435" s="92" t="str">
        <f aca="false">IF(ISBLANK($C435),"",IF(E435=Constants!$B$3,TRUE(),IF(E435=Constants!$B$4,FALSE(),TRUE())))</f>
        <v/>
      </c>
      <c r="AG435" s="92" t="str">
        <f aca="false">IF(ISBLANK($C435),"",IF(F435=Constants!$B$3,TRUE(),IF(F435=Constants!$B$4,FALSE(),TRUE())))</f>
        <v/>
      </c>
      <c r="AH435" s="92" t="str">
        <f aca="false">IF(ISBLANK($C435),"",IF(G435=Constants!$B$3,TRUE(),IF(G435=Constants!$B$4,FALSE(),TRUE())))</f>
        <v/>
      </c>
      <c r="AI435" s="92" t="str">
        <f aca="false">IF(ISBLANK($C435),"",IF(AND(ISNUMBER(H435),H435&gt;=0),H435,Constants!$B$29))</f>
        <v/>
      </c>
      <c r="AJ435" s="92" t="str">
        <f aca="false">IF(ISBLANK($C435),"",IF(I435=Constants!$B$3,TRUE(),IF(I435=Constants!$B$4,FALSE(),TRUE())))</f>
        <v/>
      </c>
      <c r="AK435" s="92" t="str">
        <f aca="false">IF(ISBLANK($C435),"",IF(J435=Constants!$B$3,TRUE(),IF(J435=Constants!$B$4,FALSE(),TRUE())))</f>
        <v/>
      </c>
      <c r="AL435" s="92" t="str">
        <f aca="false">IF(ISBLANK($C435),"",IF(K435=Constants!$B$5,TRUE(),IF(K435=Constants!$B$6,FALSE(),COUNTA(L435:P435)&gt;0)))</f>
        <v/>
      </c>
      <c r="AM435" s="94" t="str">
        <f aca="false">IF(ISBLANK($C435),"",IF(ISNUMBER(L435),IF(L435&gt;=0,L435,""),""))</f>
        <v/>
      </c>
      <c r="AN435" s="93" t="str">
        <f aca="false">IF(ISBLANK($C435),"",IF(ISNUMBER(M435),IF(M435&gt;=0,M435,""),""))</f>
        <v/>
      </c>
      <c r="AO435" s="93" t="str">
        <f aca="false">IF(ISBLANK($C435),"",IF(N435=Constants!$B$3,TRUE(),IF(N435=Constants!$B$4,FALSE(),TRUE())))</f>
        <v/>
      </c>
      <c r="AP435" s="92" t="str">
        <f aca="false">IF(ISBLANK($C435),"",IF(ISNUMBER(O435),IF(O435&gt;=0,O435,""),""))</f>
        <v/>
      </c>
      <c r="AQ435" s="92" t="str">
        <f aca="false">IF(ISBLANK($C435),"",IF(P435=Constants!$B$3,TRUE(),IF(P435=Constants!$B$4,FALSE(),FALSE())))</f>
        <v/>
      </c>
      <c r="AR435" s="92" t="str">
        <f aca="false">IF(ISBLANK($C435),"",IF(Q435=Constants!$B$3,TRUE(),IF(Q435=Constants!$B$4,FALSE(),TRUE())))</f>
        <v/>
      </c>
      <c r="AS435" s="92" t="str">
        <f aca="false">IF(ISBLANK($C435),"",IF(R435=Constants!$B$3,TRUE(),IF(R435=Constants!$B$4,FALSE(),TRUE())))</f>
        <v/>
      </c>
      <c r="AT435" s="92" t="str">
        <f aca="false">IF(ISBLANK($C435),"",IF(S435=Constants!$B$5,TRUE(),IF(S435=Constants!$B$6,FALSE(),COUNTA(T435:X435)&gt;0)))</f>
        <v/>
      </c>
      <c r="AU435" s="94" t="str">
        <f aca="false">IF(ISBLANK($C435),"",IF(ISNUMBER(T435),IF(T435&gt;=0,T435,""),""))</f>
        <v/>
      </c>
      <c r="AV435" s="93" t="str">
        <f aca="false">IF(ISBLANK($C435),"",IF(ISNUMBER(U435),IF(U435&gt;=0,U435,""),""))</f>
        <v/>
      </c>
      <c r="AW435" s="93" t="str">
        <f aca="false">IF(ISBLANK($C435),"",IF(V435=Constants!$B$3,TRUE(),IF(V435=Constants!$B$4,FALSE(),TRUE())))</f>
        <v/>
      </c>
      <c r="AX435" s="92" t="str">
        <f aca="false">IF(ISBLANK($C435),"",IF(ISNUMBER(W435),IF(W435&gt;=0,W435,""),""))</f>
        <v/>
      </c>
      <c r="AY435" s="92" t="str">
        <f aca="false">IF(ISBLANK($C435),"",IF(X435=Constants!$B$3,TRUE(),IF(X435=Constants!$B$4,FALSE(),FALSE())))</f>
        <v/>
      </c>
      <c r="AZ435" s="92" t="str">
        <f aca="false">IF(ISBLANK($C435),"",MIN(Constants!$B$31,MAX(0,IF(ISNUMBER(Y435),Y435*60,0)+IF(ISNUMBER(Z435),Z435,0))))</f>
        <v/>
      </c>
      <c r="BA435" s="92" t="str">
        <f aca="false">IF(ISBLANK($C435),"",IF(AA435=Constants!$B$3,TRUE(),IF(AA435=Constants!$B$4,FALSE(),FALSE())))</f>
        <v/>
      </c>
      <c r="BB435" s="91" t="str">
        <f aca="false">IF(ISBLANK($C435),"",AND($AL435,OR($AM435="",$AN435="",AND($AO435,$AP435=""))))</f>
        <v/>
      </c>
      <c r="BC435" s="93" t="str">
        <f aca="false">IF($BR435&lt;&gt;Constants!$B$8,"",IF($AL435,Constants!$B$21*$AN435+Constants!$B$22*IF($AO435,$AP435,Constants!$B$23),Constants!$B$24))</f>
        <v/>
      </c>
      <c r="BD435" s="96" t="str">
        <f aca="false">IF($BR435&lt;&gt;Constants!$B$8,"",Constants!$B$25*ABS($AD$9-IF($AL435,$AM435,0)))</f>
        <v/>
      </c>
      <c r="BE435" s="96" t="str">
        <f aca="false">IF($BR435&lt;&gt;Constants!$B$8,"",IF(AND($AL435,$AQ435,$AO435),Constants!$B$27,0))</f>
        <v/>
      </c>
      <c r="BF435" s="96" t="str">
        <f aca="false">IF($BR435&lt;&gt;Constants!$B$8,"",IF($AL435,($AI435-Constants!$B$29)*Constants!$B$28,0))</f>
        <v/>
      </c>
      <c r="BG435" s="96" t="str">
        <f aca="false">IF($BR435&lt;&gt;Constants!$B$8,"",IF($AK435,0,Constants!$B$15)+IF($AJ435,0,Constants!$B$16)+IF($AH435,0,Constants!$B$17))</f>
        <v/>
      </c>
      <c r="BH435" s="97" t="str">
        <f aca="false">IF($BR435&lt;&gt;Constants!$B$8,"",Constants!$B$20+SUM($BC435:$BG435))</f>
        <v/>
      </c>
      <c r="BI435" s="92" t="str">
        <f aca="false">IF($BR435&lt;&gt;Constants!$B$8,"",IF(OR($BP435&lt;$BH435,AND($BP435=$BH435,OR($BK435&lt;$BC435,AND($BK435=$BC435,OR($BL435&lt;$BD435,AND($BL435=$BD435,$AT435,$AL435,$AV435&lt;$AN435)))))),"-&gt;","&lt;-"))</f>
        <v/>
      </c>
      <c r="BJ435" s="91" t="str">
        <f aca="false">IF(ISBLANK($C435),"",AND($AT435,OR($AU435="",$AV435="",AND($AW435,$AX435=""))))</f>
        <v/>
      </c>
      <c r="BK435" s="93" t="str">
        <f aca="false">IF($BR435&lt;&gt;Constants!$B$8,"",IF($AT435,Constants!$B$21*$AV435+Constants!$B$22*IF($AW435,$AX435,Constants!$B$23),Constants!$B$24))</f>
        <v/>
      </c>
      <c r="BL435" s="96" t="str">
        <f aca="false">IF($BR435&lt;&gt;Constants!$B$8,"",Constants!$B$25*ABS($AD$9-IF($AT435,$AU435,0)))</f>
        <v/>
      </c>
      <c r="BM435" s="96" t="str">
        <f aca="false">IF($BR435&lt;&gt;Constants!$B$8,"",IF(AND($AT435,$AY435,$AW435),Constants!$B$27,0))</f>
        <v/>
      </c>
      <c r="BN435" s="96" t="str">
        <f aca="false">IF($BR435&lt;&gt;Constants!$B$8,"",IF($AT435,($AI435-Constants!$B$29)*Constants!$B$28,0))</f>
        <v/>
      </c>
      <c r="BO435" s="96" t="str">
        <f aca="false">IF($BR435&lt;&gt;Constants!$B$8,"",IF($AS435,0,Constants!$B$15)+IF($AR435,0,Constants!$B$16)+IF($AH435,0,Constants!$B$17))</f>
        <v/>
      </c>
      <c r="BP435" s="97" t="str">
        <f aca="false">IF($BR435&lt;&gt;Constants!$B$8,"",Constants!$B$20+SUM($BK435:$BO435))</f>
        <v/>
      </c>
      <c r="BQ435" s="92" t="str">
        <f aca="false">IF(ISBLANK($C435),"",IF(ISBLANK($D$7),$BQ$5,IF(NOT(ISNUMBER($D$7)),$BQ$6,"")))</f>
        <v/>
      </c>
      <c r="BR435" s="92" t="str">
        <f aca="false">IF(ISBLANK($C435),"",IF($BA435,Constants!$B$11,IF(COUNTA($E435:$AA435)=0,Constants!$B$10,IF(NOT($AG435),Constants!$B$9,IF(OR($BQ435&lt;&gt;"",$BB435,$BJ435),Constants!$B$12,Constants!$B$8)))))</f>
        <v/>
      </c>
      <c r="BS435" s="92" t="str">
        <f aca="false">IF(ISBLANK($C435),"",IF($BR435&lt;&gt;Constants!$B$8,$BR435,Constants!$B$13))</f>
        <v/>
      </c>
      <c r="BT435" s="96" t="str">
        <f aca="false">IF($BR435&lt;&gt;Constants!$B$8,"",IF($BI435="-&gt;",$BP435,$BH435))</f>
        <v/>
      </c>
      <c r="BU435" s="96" t="str">
        <f aca="false">IF($BR435&lt;&gt;Constants!$B$8,"",IF($AF435,0,Constants!$B$18))</f>
        <v/>
      </c>
      <c r="BV435" s="96" t="str">
        <f aca="false">IF($BR435&lt;&gt;Constants!$B$8,"",((Constants!$B$31-$AZ435)-Constants!$B$31)/Constants!$B$32)</f>
        <v/>
      </c>
      <c r="BW435" s="96" t="str">
        <f aca="false">IF(ISBLANK($C435),"",IF($BR435&lt;&gt;Constants!$B$8,$BR435,SUM($BT435:$BV435)))</f>
        <v/>
      </c>
      <c r="BX435" s="92" t="str">
        <f aca="false">IF(ISBLANK($C435),"",IF($BR435&lt;&gt;Constants!$B$8,$BR435,RANK($BW435,$BW$9:$BW$508,1)))</f>
        <v/>
      </c>
      <c r="BY435" s="96" t="str">
        <f aca="false">IF($BR435&lt;&gt;Constants!$B$8,"",IF($BI435="-&gt;",$BK435,$BC435))</f>
        <v/>
      </c>
      <c r="BZ435" s="92" t="str">
        <f aca="false">IF(ISBLANK($C435),"",IF($BR435&lt;&gt;Constants!$B$8,$BR435,IF(ISNUMBER($BY435),RANK($BY435,$BY$9:$BY$508,1),COUNT($BY$9:$BY$508)+1)))</f>
        <v/>
      </c>
      <c r="CA435" s="96" t="str">
        <f aca="false">IF($BR435&lt;&gt;Constants!$B$8,"",IF($BI435="-&gt;",$BL435,$BD435))</f>
        <v/>
      </c>
      <c r="CB435" s="92" t="str">
        <f aca="false">IF(ISBLANK($C435),"",IF($BR435&lt;&gt;Constants!$B$8,$BR435,IF(ISNUMBER($CA435),RANK($CA435,$CA$9:$CA$508,1),COUNT($CA$9:$CA$508)+1)))</f>
        <v/>
      </c>
      <c r="CC435" s="96" t="str">
        <f aca="false">IF($BR435&lt;&gt;Constants!$B$8,"",IF($BI435="-&gt;",IF($AT435,$AV435,""),IF($AL435,$AN435,"")))</f>
        <v/>
      </c>
      <c r="CD435" s="92" t="str">
        <f aca="false">IF(ISBLANK($C435),"",IF($BR435&lt;&gt;Constants!$B$8,$BR435,IF(ISNUMBER($CC435),RANK($CC435,$CC$9:$CC$508,1),COUNT($CC$9:$CC$508)+1)))</f>
        <v/>
      </c>
      <c r="CE435" s="96" t="str">
        <f aca="false">IF($BR435&lt;&gt;Constants!$B$8,"",IF(AND(NOT($AL435),NOT($AT435),$AJ435,$AK435,$AR435,$AS435),"",$AI435))</f>
        <v/>
      </c>
      <c r="CF435" s="92" t="str">
        <f aca="false">IF(ISBLANK($C435),"",IF($BR435&lt;&gt;Constants!$B$8,$BR435,IF(ISNUMBER($CE435),RANK($CE435,$CE$9:$CE$508,1),COUNT($CE$9:$CE$508)+1)))</f>
        <v/>
      </c>
      <c r="CG435" s="92" t="str">
        <f aca="false">IF(ISBLANK($C435),"",IF($BR435&lt;&gt;Constants!$B$8,$BR435,COUNTIFS($BX$9:$BX$508,"&lt;"&amp;$BX435)+COUNTIFS($BX$9:$BX$508,$BX435,$BZ$9:$BZ$508,"&lt;"&amp;$BZ435)+COUNTIFS($BX$9:$BX$508,$BX435,$BZ$9:$BZ$508,$BZ435,$CB$9:$CB$508,"&lt;"&amp;$CB435)+COUNTIFS($BX$9:$BX$508,$BX435,$BZ$9:$BZ$508,$BZ435,$CB$9:$CB$508,$CB435,$CD$9:$CD$508,"&lt;"&amp;$CD435)+COUNTIFS($BX$9:$BX$508,$BX435,$BZ$9:$BZ$508,$BZ435,$CB$9:$CB$508,$CB435,$CD$9:$CD$508,$CD435,$CF$9:$CF$508,"&lt;"&amp;$CF435)+1))</f>
        <v/>
      </c>
      <c r="CH435" s="92" t="str">
        <f aca="false">IF(ISBLANK($C435),"",IF($BR435&lt;&gt;Constants!$B$8,$BR435,$BX435-$CG435))</f>
        <v/>
      </c>
      <c r="CI435" s="98"/>
      <c r="CJ435" s="99"/>
      <c r="CK435" s="100" t="str">
        <f aca="false">IF(ISBLANK($C435),"",IF($BR435=Constants!$B$12,$BQ435,""))</f>
        <v/>
      </c>
      <c r="CL435" s="99" t="str">
        <f aca="false">IF(ISBLANK($C435),"",IF($BR435&lt;&gt;Constants!$B$8,"",IF($BI435="-&gt;",2,1)))</f>
        <v/>
      </c>
      <c r="CM435" s="101" t="str">
        <f aca="false">IF(ISBLANK($C435),"",IF($BR435&lt;&gt;Constants!$B$8,"",IF($BI435="-&gt;",$BK435,$BC435)))</f>
        <v/>
      </c>
      <c r="CN435" s="101" t="str">
        <f aca="false">IF(ISBLANK($C435),"",IF($BR435&lt;&gt;Constants!$B$8,"",IF($BI435="-&gt;",$BL435,$BD435)))</f>
        <v/>
      </c>
      <c r="CO435" s="101" t="str">
        <f aca="false">IF(ISBLANK($C435),"",IF($BR435&lt;&gt;Constants!$B$8,"",IF($BI435="-&gt;",$BM435+$BN435,$BE435+$BF435)+$BV435))</f>
        <v/>
      </c>
      <c r="CP435" s="101" t="str">
        <f aca="false">IF(ISBLANK($C435),"",IF($BR435&lt;&gt;Constants!$B$8,"",IF($BI435="-&gt;",$BO435,$BG435)+$BU435))</f>
        <v/>
      </c>
      <c r="CQ435" s="102" t="str">
        <f aca="false">IF(ISBLANK($C435),"",IF($BR435&lt;&gt;Constants!$B$8,$BR435,$BW435))</f>
        <v/>
      </c>
      <c r="CR435" s="103" t="str">
        <f aca="false">IF(ISBLANK($C435),"",$BS435)</f>
        <v/>
      </c>
      <c r="CS435" s="104" t="str">
        <f aca="false">IF(ISBLANK($C435),"",$CH435)</f>
        <v/>
      </c>
      <c r="CT435" s="104" t="str">
        <f aca="false">IF(ISBLANK($C435),"",$CG435)</f>
        <v/>
      </c>
      <c r="CU435" s="105" t="str">
        <f aca="false">IF(ISBLANK($C435),"",IFERROR(_xlfn.SWITCH($CT435,Constants!$B$11,COUNTA($C$9:$C$508)+2,Constants!$B$10,COUNTA($C$9:$C$508)+1,Constants!$B$9,COUNTA($C$9:$C$508)),$CT435))</f>
        <v/>
      </c>
      <c r="CV435" s="9"/>
      <c r="CW435" s="106" t="n">
        <f aca="false">IF(OR(ISNUMBER($CT435),$CT435=Constants!$B$11,$CT435=Constants!$B$9,$CT435=Constants!$B$10),1,0)</f>
        <v>0</v>
      </c>
      <c r="CX435" s="106" t="n">
        <v>427</v>
      </c>
      <c r="CY435" s="106" t="str">
        <f aca="false">IF(ISBLANK($C435),"",IF(ISNUMBER($CU435),$CU435+ROW($B435)/1000,""))</f>
        <v/>
      </c>
      <c r="CZ435" s="106" t="str">
        <f aca="false">IF(ISNUMBER($CY435),RANK($CY435,$CY$9:$CY$508,1),"")</f>
        <v/>
      </c>
      <c r="DA435" s="106" t="str">
        <f aca="false">IF(ISBLANK($C435),"",$B435)</f>
        <v/>
      </c>
      <c r="DB435" s="106" t="str">
        <f aca="false">IF(ISBLANK($C435),"",$C435)</f>
        <v/>
      </c>
      <c r="DC435" s="106" t="str">
        <f aca="false">IF(ISBLANK($C435),"",$D435)</f>
        <v/>
      </c>
      <c r="DD435" s="107" t="str">
        <f aca="false">$CR435</f>
        <v/>
      </c>
      <c r="DE435" s="108" t="str">
        <f aca="false">$CQ435</f>
        <v/>
      </c>
      <c r="DF435" s="106" t="str">
        <f aca="false">IF(ISBLANK($C435),"",$CT435)</f>
        <v/>
      </c>
      <c r="DG435" s="109" t="str">
        <f aca="false">IF($CX435&gt;$CW$8,"",VLOOKUP($CX435,$CZ$9:$DF$508,7,FALSE()))</f>
        <v/>
      </c>
      <c r="DH435" s="110" t="str">
        <f aca="false">IF($CX435&gt;$CW$8,"",VLOOKUP($CX435,$CZ$9:$DF$508,2,FALSE()))</f>
        <v/>
      </c>
      <c r="DI435" s="110" t="str">
        <f aca="false">IF($CX435&gt;$CW$8,"",VLOOKUP($CX435,$CZ$9:$DF$508,3,FALSE()))</f>
        <v/>
      </c>
      <c r="DJ435" s="110" t="str">
        <f aca="false">IF($CX435&gt;$CW$8,"",VLOOKUP($CX435,$CZ$9:$DF$508,4,FALSE()))</f>
        <v/>
      </c>
      <c r="DK435" s="110" t="str">
        <f aca="false">IF($CX435&gt;$CW$8,"",VLOOKUP($CX435,$CZ$9:$DF$508,5,FALSE()))</f>
        <v/>
      </c>
      <c r="DL435" s="111" t="str">
        <f aca="false">IF($CX435&gt;$CW$8,"",VLOOKUP($CX435,$CZ$9:$DF$508,6,FALSE()))</f>
        <v/>
      </c>
      <c r="DM435" s="75"/>
    </row>
    <row r="436" customFormat="false" ht="15.75" hidden="false" customHeight="false" outlineLevel="0" collapsed="false">
      <c r="A436" s="9"/>
      <c r="B436" s="77"/>
      <c r="C436" s="78"/>
      <c r="D436" s="167"/>
      <c r="E436" s="175"/>
      <c r="F436" s="169"/>
      <c r="G436" s="170"/>
      <c r="H436" s="170"/>
      <c r="I436" s="176"/>
      <c r="J436" s="173"/>
      <c r="K436" s="85"/>
      <c r="L436" s="86"/>
      <c r="M436" s="87"/>
      <c r="N436" s="173"/>
      <c r="O436" s="173"/>
      <c r="P436" s="175"/>
      <c r="Q436" s="173"/>
      <c r="R436" s="173"/>
      <c r="S436" s="85"/>
      <c r="T436" s="87"/>
      <c r="U436" s="87"/>
      <c r="V436" s="173"/>
      <c r="W436" s="173"/>
      <c r="X436" s="175"/>
      <c r="Y436" s="173"/>
      <c r="Z436" s="174"/>
      <c r="AA436" s="173"/>
      <c r="AB436" s="91"/>
      <c r="AC436" s="92"/>
      <c r="AD436" s="92"/>
      <c r="AE436" s="92"/>
      <c r="AF436" s="92" t="str">
        <f aca="false">IF(ISBLANK($C436),"",IF(E436=Constants!$B$3,TRUE(),IF(E436=Constants!$B$4,FALSE(),TRUE())))</f>
        <v/>
      </c>
      <c r="AG436" s="92" t="str">
        <f aca="false">IF(ISBLANK($C436),"",IF(F436=Constants!$B$3,TRUE(),IF(F436=Constants!$B$4,FALSE(),TRUE())))</f>
        <v/>
      </c>
      <c r="AH436" s="92" t="str">
        <f aca="false">IF(ISBLANK($C436),"",IF(G436=Constants!$B$3,TRUE(),IF(G436=Constants!$B$4,FALSE(),TRUE())))</f>
        <v/>
      </c>
      <c r="AI436" s="92" t="str">
        <f aca="false">IF(ISBLANK($C436),"",IF(AND(ISNUMBER(H436),H436&gt;=0),H436,Constants!$B$29))</f>
        <v/>
      </c>
      <c r="AJ436" s="92" t="str">
        <f aca="false">IF(ISBLANK($C436),"",IF(I436=Constants!$B$3,TRUE(),IF(I436=Constants!$B$4,FALSE(),TRUE())))</f>
        <v/>
      </c>
      <c r="AK436" s="92" t="str">
        <f aca="false">IF(ISBLANK($C436),"",IF(J436=Constants!$B$3,TRUE(),IF(J436=Constants!$B$4,FALSE(),TRUE())))</f>
        <v/>
      </c>
      <c r="AL436" s="92" t="str">
        <f aca="false">IF(ISBLANK($C436),"",IF(K436=Constants!$B$5,TRUE(),IF(K436=Constants!$B$6,FALSE(),COUNTA(L436:P436)&gt;0)))</f>
        <v/>
      </c>
      <c r="AM436" s="94" t="str">
        <f aca="false">IF(ISBLANK($C436),"",IF(ISNUMBER(L436),IF(L436&gt;=0,L436,""),""))</f>
        <v/>
      </c>
      <c r="AN436" s="93" t="str">
        <f aca="false">IF(ISBLANK($C436),"",IF(ISNUMBER(M436),IF(M436&gt;=0,M436,""),""))</f>
        <v/>
      </c>
      <c r="AO436" s="93" t="str">
        <f aca="false">IF(ISBLANK($C436),"",IF(N436=Constants!$B$3,TRUE(),IF(N436=Constants!$B$4,FALSE(),TRUE())))</f>
        <v/>
      </c>
      <c r="AP436" s="92" t="str">
        <f aca="false">IF(ISBLANK($C436),"",IF(ISNUMBER(O436),IF(O436&gt;=0,O436,""),""))</f>
        <v/>
      </c>
      <c r="AQ436" s="92" t="str">
        <f aca="false">IF(ISBLANK($C436),"",IF(P436=Constants!$B$3,TRUE(),IF(P436=Constants!$B$4,FALSE(),FALSE())))</f>
        <v/>
      </c>
      <c r="AR436" s="92" t="str">
        <f aca="false">IF(ISBLANK($C436),"",IF(Q436=Constants!$B$3,TRUE(),IF(Q436=Constants!$B$4,FALSE(),TRUE())))</f>
        <v/>
      </c>
      <c r="AS436" s="92" t="str">
        <f aca="false">IF(ISBLANK($C436),"",IF(R436=Constants!$B$3,TRUE(),IF(R436=Constants!$B$4,FALSE(),TRUE())))</f>
        <v/>
      </c>
      <c r="AT436" s="92" t="str">
        <f aca="false">IF(ISBLANK($C436),"",IF(S436=Constants!$B$5,TRUE(),IF(S436=Constants!$B$6,FALSE(),COUNTA(T436:X436)&gt;0)))</f>
        <v/>
      </c>
      <c r="AU436" s="94" t="str">
        <f aca="false">IF(ISBLANK($C436),"",IF(ISNUMBER(T436),IF(T436&gt;=0,T436,""),""))</f>
        <v/>
      </c>
      <c r="AV436" s="93" t="str">
        <f aca="false">IF(ISBLANK($C436),"",IF(ISNUMBER(U436),IF(U436&gt;=0,U436,""),""))</f>
        <v/>
      </c>
      <c r="AW436" s="93" t="str">
        <f aca="false">IF(ISBLANK($C436),"",IF(V436=Constants!$B$3,TRUE(),IF(V436=Constants!$B$4,FALSE(),TRUE())))</f>
        <v/>
      </c>
      <c r="AX436" s="92" t="str">
        <f aca="false">IF(ISBLANK($C436),"",IF(ISNUMBER(W436),IF(W436&gt;=0,W436,""),""))</f>
        <v/>
      </c>
      <c r="AY436" s="92" t="str">
        <f aca="false">IF(ISBLANK($C436),"",IF(X436=Constants!$B$3,TRUE(),IF(X436=Constants!$B$4,FALSE(),FALSE())))</f>
        <v/>
      </c>
      <c r="AZ436" s="92" t="str">
        <f aca="false">IF(ISBLANK($C436),"",MIN(Constants!$B$31,MAX(0,IF(ISNUMBER(Y436),Y436*60,0)+IF(ISNUMBER(Z436),Z436,0))))</f>
        <v/>
      </c>
      <c r="BA436" s="92" t="str">
        <f aca="false">IF(ISBLANK($C436),"",IF(AA436=Constants!$B$3,TRUE(),IF(AA436=Constants!$B$4,FALSE(),FALSE())))</f>
        <v/>
      </c>
      <c r="BB436" s="91" t="str">
        <f aca="false">IF(ISBLANK($C436),"",AND($AL436,OR($AM436="",$AN436="",AND($AO436,$AP436=""))))</f>
        <v/>
      </c>
      <c r="BC436" s="93" t="str">
        <f aca="false">IF($BR436&lt;&gt;Constants!$B$8,"",IF($AL436,Constants!$B$21*$AN436+Constants!$B$22*IF($AO436,$AP436,Constants!$B$23),Constants!$B$24))</f>
        <v/>
      </c>
      <c r="BD436" s="96" t="str">
        <f aca="false">IF($BR436&lt;&gt;Constants!$B$8,"",Constants!$B$25*ABS($AD$9-IF($AL436,$AM436,0)))</f>
        <v/>
      </c>
      <c r="BE436" s="96" t="str">
        <f aca="false">IF($BR436&lt;&gt;Constants!$B$8,"",IF(AND($AL436,$AQ436,$AO436),Constants!$B$27,0))</f>
        <v/>
      </c>
      <c r="BF436" s="96" t="str">
        <f aca="false">IF($BR436&lt;&gt;Constants!$B$8,"",IF($AL436,($AI436-Constants!$B$29)*Constants!$B$28,0))</f>
        <v/>
      </c>
      <c r="BG436" s="96" t="str">
        <f aca="false">IF($BR436&lt;&gt;Constants!$B$8,"",IF($AK436,0,Constants!$B$15)+IF($AJ436,0,Constants!$B$16)+IF($AH436,0,Constants!$B$17))</f>
        <v/>
      </c>
      <c r="BH436" s="97" t="str">
        <f aca="false">IF($BR436&lt;&gt;Constants!$B$8,"",Constants!$B$20+SUM($BC436:$BG436))</f>
        <v/>
      </c>
      <c r="BI436" s="92" t="str">
        <f aca="false">IF($BR436&lt;&gt;Constants!$B$8,"",IF(OR($BP436&lt;$BH436,AND($BP436=$BH436,OR($BK436&lt;$BC436,AND($BK436=$BC436,OR($BL436&lt;$BD436,AND($BL436=$BD436,$AT436,$AL436,$AV436&lt;$AN436)))))),"-&gt;","&lt;-"))</f>
        <v/>
      </c>
      <c r="BJ436" s="91" t="str">
        <f aca="false">IF(ISBLANK($C436),"",AND($AT436,OR($AU436="",$AV436="",AND($AW436,$AX436=""))))</f>
        <v/>
      </c>
      <c r="BK436" s="93" t="str">
        <f aca="false">IF($BR436&lt;&gt;Constants!$B$8,"",IF($AT436,Constants!$B$21*$AV436+Constants!$B$22*IF($AW436,$AX436,Constants!$B$23),Constants!$B$24))</f>
        <v/>
      </c>
      <c r="BL436" s="96" t="str">
        <f aca="false">IF($BR436&lt;&gt;Constants!$B$8,"",Constants!$B$25*ABS($AD$9-IF($AT436,$AU436,0)))</f>
        <v/>
      </c>
      <c r="BM436" s="96" t="str">
        <f aca="false">IF($BR436&lt;&gt;Constants!$B$8,"",IF(AND($AT436,$AY436,$AW436),Constants!$B$27,0))</f>
        <v/>
      </c>
      <c r="BN436" s="96" t="str">
        <f aca="false">IF($BR436&lt;&gt;Constants!$B$8,"",IF($AT436,($AI436-Constants!$B$29)*Constants!$B$28,0))</f>
        <v/>
      </c>
      <c r="BO436" s="96" t="str">
        <f aca="false">IF($BR436&lt;&gt;Constants!$B$8,"",IF($AS436,0,Constants!$B$15)+IF($AR436,0,Constants!$B$16)+IF($AH436,0,Constants!$B$17))</f>
        <v/>
      </c>
      <c r="BP436" s="97" t="str">
        <f aca="false">IF($BR436&lt;&gt;Constants!$B$8,"",Constants!$B$20+SUM($BK436:$BO436))</f>
        <v/>
      </c>
      <c r="BQ436" s="92" t="str">
        <f aca="false">IF(ISBLANK($C436),"",IF(ISBLANK($D$7),$BQ$5,IF(NOT(ISNUMBER($D$7)),$BQ$6,"")))</f>
        <v/>
      </c>
      <c r="BR436" s="92" t="str">
        <f aca="false">IF(ISBLANK($C436),"",IF($BA436,Constants!$B$11,IF(COUNTA($E436:$AA436)=0,Constants!$B$10,IF(NOT($AG436),Constants!$B$9,IF(OR($BQ436&lt;&gt;"",$BB436,$BJ436),Constants!$B$12,Constants!$B$8)))))</f>
        <v/>
      </c>
      <c r="BS436" s="92" t="str">
        <f aca="false">IF(ISBLANK($C436),"",IF($BR436&lt;&gt;Constants!$B$8,$BR436,Constants!$B$13))</f>
        <v/>
      </c>
      <c r="BT436" s="96" t="str">
        <f aca="false">IF($BR436&lt;&gt;Constants!$B$8,"",IF($BI436="-&gt;",$BP436,$BH436))</f>
        <v/>
      </c>
      <c r="BU436" s="96" t="str">
        <f aca="false">IF($BR436&lt;&gt;Constants!$B$8,"",IF($AF436,0,Constants!$B$18))</f>
        <v/>
      </c>
      <c r="BV436" s="96" t="str">
        <f aca="false">IF($BR436&lt;&gt;Constants!$B$8,"",((Constants!$B$31-$AZ436)-Constants!$B$31)/Constants!$B$32)</f>
        <v/>
      </c>
      <c r="BW436" s="96" t="str">
        <f aca="false">IF(ISBLANK($C436),"",IF($BR436&lt;&gt;Constants!$B$8,$BR436,SUM($BT436:$BV436)))</f>
        <v/>
      </c>
      <c r="BX436" s="92" t="str">
        <f aca="false">IF(ISBLANK($C436),"",IF($BR436&lt;&gt;Constants!$B$8,$BR436,RANK($BW436,$BW$9:$BW$508,1)))</f>
        <v/>
      </c>
      <c r="BY436" s="96" t="str">
        <f aca="false">IF($BR436&lt;&gt;Constants!$B$8,"",IF($BI436="-&gt;",$BK436,$BC436))</f>
        <v/>
      </c>
      <c r="BZ436" s="92" t="str">
        <f aca="false">IF(ISBLANK($C436),"",IF($BR436&lt;&gt;Constants!$B$8,$BR436,IF(ISNUMBER($BY436),RANK($BY436,$BY$9:$BY$508,1),COUNT($BY$9:$BY$508)+1)))</f>
        <v/>
      </c>
      <c r="CA436" s="96" t="str">
        <f aca="false">IF($BR436&lt;&gt;Constants!$B$8,"",IF($BI436="-&gt;",$BL436,$BD436))</f>
        <v/>
      </c>
      <c r="CB436" s="92" t="str">
        <f aca="false">IF(ISBLANK($C436),"",IF($BR436&lt;&gt;Constants!$B$8,$BR436,IF(ISNUMBER($CA436),RANK($CA436,$CA$9:$CA$508,1),COUNT($CA$9:$CA$508)+1)))</f>
        <v/>
      </c>
      <c r="CC436" s="96" t="str">
        <f aca="false">IF($BR436&lt;&gt;Constants!$B$8,"",IF($BI436="-&gt;",IF($AT436,$AV436,""),IF($AL436,$AN436,"")))</f>
        <v/>
      </c>
      <c r="CD436" s="92" t="str">
        <f aca="false">IF(ISBLANK($C436),"",IF($BR436&lt;&gt;Constants!$B$8,$BR436,IF(ISNUMBER($CC436),RANK($CC436,$CC$9:$CC$508,1),COUNT($CC$9:$CC$508)+1)))</f>
        <v/>
      </c>
      <c r="CE436" s="96" t="str">
        <f aca="false">IF($BR436&lt;&gt;Constants!$B$8,"",IF(AND(NOT($AL436),NOT($AT436),$AJ436,$AK436,$AR436,$AS436),"",$AI436))</f>
        <v/>
      </c>
      <c r="CF436" s="92" t="str">
        <f aca="false">IF(ISBLANK($C436),"",IF($BR436&lt;&gt;Constants!$B$8,$BR436,IF(ISNUMBER($CE436),RANK($CE436,$CE$9:$CE$508,1),COUNT($CE$9:$CE$508)+1)))</f>
        <v/>
      </c>
      <c r="CG436" s="92" t="str">
        <f aca="false">IF(ISBLANK($C436),"",IF($BR436&lt;&gt;Constants!$B$8,$BR436,COUNTIFS($BX$9:$BX$508,"&lt;"&amp;$BX436)+COUNTIFS($BX$9:$BX$508,$BX436,$BZ$9:$BZ$508,"&lt;"&amp;$BZ436)+COUNTIFS($BX$9:$BX$508,$BX436,$BZ$9:$BZ$508,$BZ436,$CB$9:$CB$508,"&lt;"&amp;$CB436)+COUNTIFS($BX$9:$BX$508,$BX436,$BZ$9:$BZ$508,$BZ436,$CB$9:$CB$508,$CB436,$CD$9:$CD$508,"&lt;"&amp;$CD436)+COUNTIFS($BX$9:$BX$508,$BX436,$BZ$9:$BZ$508,$BZ436,$CB$9:$CB$508,$CB436,$CD$9:$CD$508,$CD436,$CF$9:$CF$508,"&lt;"&amp;$CF436)+1))</f>
        <v/>
      </c>
      <c r="CH436" s="92" t="str">
        <f aca="false">IF(ISBLANK($C436),"",IF($BR436&lt;&gt;Constants!$B$8,$BR436,$BX436-$CG436))</f>
        <v/>
      </c>
      <c r="CI436" s="98"/>
      <c r="CJ436" s="99"/>
      <c r="CK436" s="100" t="str">
        <f aca="false">IF(ISBLANK($C436),"",IF($BR436=Constants!$B$12,$BQ436,""))</f>
        <v/>
      </c>
      <c r="CL436" s="99" t="str">
        <f aca="false">IF(ISBLANK($C436),"",IF($BR436&lt;&gt;Constants!$B$8,"",IF($BI436="-&gt;",2,1)))</f>
        <v/>
      </c>
      <c r="CM436" s="101" t="str">
        <f aca="false">IF(ISBLANK($C436),"",IF($BR436&lt;&gt;Constants!$B$8,"",IF($BI436="-&gt;",$BK436,$BC436)))</f>
        <v/>
      </c>
      <c r="CN436" s="101" t="str">
        <f aca="false">IF(ISBLANK($C436),"",IF($BR436&lt;&gt;Constants!$B$8,"",IF($BI436="-&gt;",$BL436,$BD436)))</f>
        <v/>
      </c>
      <c r="CO436" s="101" t="str">
        <f aca="false">IF(ISBLANK($C436),"",IF($BR436&lt;&gt;Constants!$B$8,"",IF($BI436="-&gt;",$BM436+$BN436,$BE436+$BF436)+$BV436))</f>
        <v/>
      </c>
      <c r="CP436" s="101" t="str">
        <f aca="false">IF(ISBLANK($C436),"",IF($BR436&lt;&gt;Constants!$B$8,"",IF($BI436="-&gt;",$BO436,$BG436)+$BU436))</f>
        <v/>
      </c>
      <c r="CQ436" s="102" t="str">
        <f aca="false">IF(ISBLANK($C436),"",IF($BR436&lt;&gt;Constants!$B$8,$BR436,$BW436))</f>
        <v/>
      </c>
      <c r="CR436" s="103" t="str">
        <f aca="false">IF(ISBLANK($C436),"",$BS436)</f>
        <v/>
      </c>
      <c r="CS436" s="104" t="str">
        <f aca="false">IF(ISBLANK($C436),"",$CH436)</f>
        <v/>
      </c>
      <c r="CT436" s="104" t="str">
        <f aca="false">IF(ISBLANK($C436),"",$CG436)</f>
        <v/>
      </c>
      <c r="CU436" s="105" t="str">
        <f aca="false">IF(ISBLANK($C436),"",IFERROR(_xlfn.SWITCH($CT436,Constants!$B$11,COUNTA($C$9:$C$508)+2,Constants!$B$10,COUNTA($C$9:$C$508)+1,Constants!$B$9,COUNTA($C$9:$C$508)),$CT436))</f>
        <v/>
      </c>
      <c r="CV436" s="9"/>
      <c r="CW436" s="106" t="n">
        <f aca="false">IF(OR(ISNUMBER($CT436),$CT436=Constants!$B$11,$CT436=Constants!$B$9,$CT436=Constants!$B$10),1,0)</f>
        <v>0</v>
      </c>
      <c r="CX436" s="106" t="n">
        <v>428</v>
      </c>
      <c r="CY436" s="106" t="str">
        <f aca="false">IF(ISBLANK($C436),"",IF(ISNUMBER($CU436),$CU436+ROW($B436)/1000,""))</f>
        <v/>
      </c>
      <c r="CZ436" s="106" t="str">
        <f aca="false">IF(ISNUMBER($CY436),RANK($CY436,$CY$9:$CY$508,1),"")</f>
        <v/>
      </c>
      <c r="DA436" s="106" t="str">
        <f aca="false">IF(ISBLANK($C436),"",$B436)</f>
        <v/>
      </c>
      <c r="DB436" s="106" t="str">
        <f aca="false">IF(ISBLANK($C436),"",$C436)</f>
        <v/>
      </c>
      <c r="DC436" s="106" t="str">
        <f aca="false">IF(ISBLANK($C436),"",$D436)</f>
        <v/>
      </c>
      <c r="DD436" s="107" t="str">
        <f aca="false">$CR436</f>
        <v/>
      </c>
      <c r="DE436" s="108" t="str">
        <f aca="false">$CQ436</f>
        <v/>
      </c>
      <c r="DF436" s="106" t="str">
        <f aca="false">IF(ISBLANK($C436),"",$CT436)</f>
        <v/>
      </c>
      <c r="DG436" s="109" t="str">
        <f aca="false">IF($CX436&gt;$CW$8,"",VLOOKUP($CX436,$CZ$9:$DF$508,7,FALSE()))</f>
        <v/>
      </c>
      <c r="DH436" s="110" t="str">
        <f aca="false">IF($CX436&gt;$CW$8,"",VLOOKUP($CX436,$CZ$9:$DF$508,2,FALSE()))</f>
        <v/>
      </c>
      <c r="DI436" s="110" t="str">
        <f aca="false">IF($CX436&gt;$CW$8,"",VLOOKUP($CX436,$CZ$9:$DF$508,3,FALSE()))</f>
        <v/>
      </c>
      <c r="DJ436" s="110" t="str">
        <f aca="false">IF($CX436&gt;$CW$8,"",VLOOKUP($CX436,$CZ$9:$DF$508,4,FALSE()))</f>
        <v/>
      </c>
      <c r="DK436" s="110" t="str">
        <f aca="false">IF($CX436&gt;$CW$8,"",VLOOKUP($CX436,$CZ$9:$DF$508,5,FALSE()))</f>
        <v/>
      </c>
      <c r="DL436" s="111" t="str">
        <f aca="false">IF($CX436&gt;$CW$8,"",VLOOKUP($CX436,$CZ$9:$DF$508,6,FALSE()))</f>
        <v/>
      </c>
      <c r="DM436" s="75"/>
    </row>
    <row r="437" customFormat="false" ht="15.75" hidden="false" customHeight="false" outlineLevel="0" collapsed="false">
      <c r="A437" s="9"/>
      <c r="B437" s="77"/>
      <c r="C437" s="78"/>
      <c r="D437" s="167"/>
      <c r="E437" s="175"/>
      <c r="F437" s="169"/>
      <c r="G437" s="170"/>
      <c r="H437" s="170"/>
      <c r="I437" s="176"/>
      <c r="J437" s="173"/>
      <c r="K437" s="85"/>
      <c r="L437" s="86"/>
      <c r="M437" s="87"/>
      <c r="N437" s="173"/>
      <c r="O437" s="173"/>
      <c r="P437" s="175"/>
      <c r="Q437" s="173"/>
      <c r="R437" s="173"/>
      <c r="S437" s="85"/>
      <c r="T437" s="87"/>
      <c r="U437" s="87"/>
      <c r="V437" s="173"/>
      <c r="W437" s="173"/>
      <c r="X437" s="175"/>
      <c r="Y437" s="173"/>
      <c r="Z437" s="174"/>
      <c r="AA437" s="173"/>
      <c r="AB437" s="91"/>
      <c r="AC437" s="92"/>
      <c r="AD437" s="92"/>
      <c r="AE437" s="92"/>
      <c r="AF437" s="92" t="str">
        <f aca="false">IF(ISBLANK($C437),"",IF(E437=Constants!$B$3,TRUE(),IF(E437=Constants!$B$4,FALSE(),TRUE())))</f>
        <v/>
      </c>
      <c r="AG437" s="92" t="str">
        <f aca="false">IF(ISBLANK($C437),"",IF(F437=Constants!$B$3,TRUE(),IF(F437=Constants!$B$4,FALSE(),TRUE())))</f>
        <v/>
      </c>
      <c r="AH437" s="92" t="str">
        <f aca="false">IF(ISBLANK($C437),"",IF(G437=Constants!$B$3,TRUE(),IF(G437=Constants!$B$4,FALSE(),TRUE())))</f>
        <v/>
      </c>
      <c r="AI437" s="92" t="str">
        <f aca="false">IF(ISBLANK($C437),"",IF(AND(ISNUMBER(H437),H437&gt;=0),H437,Constants!$B$29))</f>
        <v/>
      </c>
      <c r="AJ437" s="92" t="str">
        <f aca="false">IF(ISBLANK($C437),"",IF(I437=Constants!$B$3,TRUE(),IF(I437=Constants!$B$4,FALSE(),TRUE())))</f>
        <v/>
      </c>
      <c r="AK437" s="92" t="str">
        <f aca="false">IF(ISBLANK($C437),"",IF(J437=Constants!$B$3,TRUE(),IF(J437=Constants!$B$4,FALSE(),TRUE())))</f>
        <v/>
      </c>
      <c r="AL437" s="92" t="str">
        <f aca="false">IF(ISBLANK($C437),"",IF(K437=Constants!$B$5,TRUE(),IF(K437=Constants!$B$6,FALSE(),COUNTA(L437:P437)&gt;0)))</f>
        <v/>
      </c>
      <c r="AM437" s="94" t="str">
        <f aca="false">IF(ISBLANK($C437),"",IF(ISNUMBER(L437),IF(L437&gt;=0,L437,""),""))</f>
        <v/>
      </c>
      <c r="AN437" s="93" t="str">
        <f aca="false">IF(ISBLANK($C437),"",IF(ISNUMBER(M437),IF(M437&gt;=0,M437,""),""))</f>
        <v/>
      </c>
      <c r="AO437" s="93" t="str">
        <f aca="false">IF(ISBLANK($C437),"",IF(N437=Constants!$B$3,TRUE(),IF(N437=Constants!$B$4,FALSE(),TRUE())))</f>
        <v/>
      </c>
      <c r="AP437" s="92" t="str">
        <f aca="false">IF(ISBLANK($C437),"",IF(ISNUMBER(O437),IF(O437&gt;=0,O437,""),""))</f>
        <v/>
      </c>
      <c r="AQ437" s="92" t="str">
        <f aca="false">IF(ISBLANK($C437),"",IF(P437=Constants!$B$3,TRUE(),IF(P437=Constants!$B$4,FALSE(),FALSE())))</f>
        <v/>
      </c>
      <c r="AR437" s="92" t="str">
        <f aca="false">IF(ISBLANK($C437),"",IF(Q437=Constants!$B$3,TRUE(),IF(Q437=Constants!$B$4,FALSE(),TRUE())))</f>
        <v/>
      </c>
      <c r="AS437" s="92" t="str">
        <f aca="false">IF(ISBLANK($C437),"",IF(R437=Constants!$B$3,TRUE(),IF(R437=Constants!$B$4,FALSE(),TRUE())))</f>
        <v/>
      </c>
      <c r="AT437" s="92" t="str">
        <f aca="false">IF(ISBLANK($C437),"",IF(S437=Constants!$B$5,TRUE(),IF(S437=Constants!$B$6,FALSE(),COUNTA(T437:X437)&gt;0)))</f>
        <v/>
      </c>
      <c r="AU437" s="94" t="str">
        <f aca="false">IF(ISBLANK($C437),"",IF(ISNUMBER(T437),IF(T437&gt;=0,T437,""),""))</f>
        <v/>
      </c>
      <c r="AV437" s="93" t="str">
        <f aca="false">IF(ISBLANK($C437),"",IF(ISNUMBER(U437),IF(U437&gt;=0,U437,""),""))</f>
        <v/>
      </c>
      <c r="AW437" s="93" t="str">
        <f aca="false">IF(ISBLANK($C437),"",IF(V437=Constants!$B$3,TRUE(),IF(V437=Constants!$B$4,FALSE(),TRUE())))</f>
        <v/>
      </c>
      <c r="AX437" s="92" t="str">
        <f aca="false">IF(ISBLANK($C437),"",IF(ISNUMBER(W437),IF(W437&gt;=0,W437,""),""))</f>
        <v/>
      </c>
      <c r="AY437" s="92" t="str">
        <f aca="false">IF(ISBLANK($C437),"",IF(X437=Constants!$B$3,TRUE(),IF(X437=Constants!$B$4,FALSE(),FALSE())))</f>
        <v/>
      </c>
      <c r="AZ437" s="92" t="str">
        <f aca="false">IF(ISBLANK($C437),"",MIN(Constants!$B$31,MAX(0,IF(ISNUMBER(Y437),Y437*60,0)+IF(ISNUMBER(Z437),Z437,0))))</f>
        <v/>
      </c>
      <c r="BA437" s="92" t="str">
        <f aca="false">IF(ISBLANK($C437),"",IF(AA437=Constants!$B$3,TRUE(),IF(AA437=Constants!$B$4,FALSE(),FALSE())))</f>
        <v/>
      </c>
      <c r="BB437" s="91" t="str">
        <f aca="false">IF(ISBLANK($C437),"",AND($AL437,OR($AM437="",$AN437="",AND($AO437,$AP437=""))))</f>
        <v/>
      </c>
      <c r="BC437" s="93" t="str">
        <f aca="false">IF($BR437&lt;&gt;Constants!$B$8,"",IF($AL437,Constants!$B$21*$AN437+Constants!$B$22*IF($AO437,$AP437,Constants!$B$23),Constants!$B$24))</f>
        <v/>
      </c>
      <c r="BD437" s="96" t="str">
        <f aca="false">IF($BR437&lt;&gt;Constants!$B$8,"",Constants!$B$25*ABS($AD$9-IF($AL437,$AM437,0)))</f>
        <v/>
      </c>
      <c r="BE437" s="96" t="str">
        <f aca="false">IF($BR437&lt;&gt;Constants!$B$8,"",IF(AND($AL437,$AQ437,$AO437),Constants!$B$27,0))</f>
        <v/>
      </c>
      <c r="BF437" s="96" t="str">
        <f aca="false">IF($BR437&lt;&gt;Constants!$B$8,"",IF($AL437,($AI437-Constants!$B$29)*Constants!$B$28,0))</f>
        <v/>
      </c>
      <c r="BG437" s="96" t="str">
        <f aca="false">IF($BR437&lt;&gt;Constants!$B$8,"",IF($AK437,0,Constants!$B$15)+IF($AJ437,0,Constants!$B$16)+IF($AH437,0,Constants!$B$17))</f>
        <v/>
      </c>
      <c r="BH437" s="97" t="str">
        <f aca="false">IF($BR437&lt;&gt;Constants!$B$8,"",Constants!$B$20+SUM($BC437:$BG437))</f>
        <v/>
      </c>
      <c r="BI437" s="92" t="str">
        <f aca="false">IF($BR437&lt;&gt;Constants!$B$8,"",IF(OR($BP437&lt;$BH437,AND($BP437=$BH437,OR($BK437&lt;$BC437,AND($BK437=$BC437,OR($BL437&lt;$BD437,AND($BL437=$BD437,$AT437,$AL437,$AV437&lt;$AN437)))))),"-&gt;","&lt;-"))</f>
        <v/>
      </c>
      <c r="BJ437" s="91" t="str">
        <f aca="false">IF(ISBLANK($C437),"",AND($AT437,OR($AU437="",$AV437="",AND($AW437,$AX437=""))))</f>
        <v/>
      </c>
      <c r="BK437" s="93" t="str">
        <f aca="false">IF($BR437&lt;&gt;Constants!$B$8,"",IF($AT437,Constants!$B$21*$AV437+Constants!$B$22*IF($AW437,$AX437,Constants!$B$23),Constants!$B$24))</f>
        <v/>
      </c>
      <c r="BL437" s="96" t="str">
        <f aca="false">IF($BR437&lt;&gt;Constants!$B$8,"",Constants!$B$25*ABS($AD$9-IF($AT437,$AU437,0)))</f>
        <v/>
      </c>
      <c r="BM437" s="96" t="str">
        <f aca="false">IF($BR437&lt;&gt;Constants!$B$8,"",IF(AND($AT437,$AY437,$AW437),Constants!$B$27,0))</f>
        <v/>
      </c>
      <c r="BN437" s="96" t="str">
        <f aca="false">IF($BR437&lt;&gt;Constants!$B$8,"",IF($AT437,($AI437-Constants!$B$29)*Constants!$B$28,0))</f>
        <v/>
      </c>
      <c r="BO437" s="96" t="str">
        <f aca="false">IF($BR437&lt;&gt;Constants!$B$8,"",IF($AS437,0,Constants!$B$15)+IF($AR437,0,Constants!$B$16)+IF($AH437,0,Constants!$B$17))</f>
        <v/>
      </c>
      <c r="BP437" s="97" t="str">
        <f aca="false">IF($BR437&lt;&gt;Constants!$B$8,"",Constants!$B$20+SUM($BK437:$BO437))</f>
        <v/>
      </c>
      <c r="BQ437" s="92" t="str">
        <f aca="false">IF(ISBLANK($C437),"",IF(ISBLANK($D$7),$BQ$5,IF(NOT(ISNUMBER($D$7)),$BQ$6,"")))</f>
        <v/>
      </c>
      <c r="BR437" s="92" t="str">
        <f aca="false">IF(ISBLANK($C437),"",IF($BA437,Constants!$B$11,IF(COUNTA($E437:$AA437)=0,Constants!$B$10,IF(NOT($AG437),Constants!$B$9,IF(OR($BQ437&lt;&gt;"",$BB437,$BJ437),Constants!$B$12,Constants!$B$8)))))</f>
        <v/>
      </c>
      <c r="BS437" s="92" t="str">
        <f aca="false">IF(ISBLANK($C437),"",IF($BR437&lt;&gt;Constants!$B$8,$BR437,Constants!$B$13))</f>
        <v/>
      </c>
      <c r="BT437" s="96" t="str">
        <f aca="false">IF($BR437&lt;&gt;Constants!$B$8,"",IF($BI437="-&gt;",$BP437,$BH437))</f>
        <v/>
      </c>
      <c r="BU437" s="96" t="str">
        <f aca="false">IF($BR437&lt;&gt;Constants!$B$8,"",IF($AF437,0,Constants!$B$18))</f>
        <v/>
      </c>
      <c r="BV437" s="96" t="str">
        <f aca="false">IF($BR437&lt;&gt;Constants!$B$8,"",((Constants!$B$31-$AZ437)-Constants!$B$31)/Constants!$B$32)</f>
        <v/>
      </c>
      <c r="BW437" s="96" t="str">
        <f aca="false">IF(ISBLANK($C437),"",IF($BR437&lt;&gt;Constants!$B$8,$BR437,SUM($BT437:$BV437)))</f>
        <v/>
      </c>
      <c r="BX437" s="92" t="str">
        <f aca="false">IF(ISBLANK($C437),"",IF($BR437&lt;&gt;Constants!$B$8,$BR437,RANK($BW437,$BW$9:$BW$508,1)))</f>
        <v/>
      </c>
      <c r="BY437" s="96" t="str">
        <f aca="false">IF($BR437&lt;&gt;Constants!$B$8,"",IF($BI437="-&gt;",$BK437,$BC437))</f>
        <v/>
      </c>
      <c r="BZ437" s="92" t="str">
        <f aca="false">IF(ISBLANK($C437),"",IF($BR437&lt;&gt;Constants!$B$8,$BR437,IF(ISNUMBER($BY437),RANK($BY437,$BY$9:$BY$508,1),COUNT($BY$9:$BY$508)+1)))</f>
        <v/>
      </c>
      <c r="CA437" s="96" t="str">
        <f aca="false">IF($BR437&lt;&gt;Constants!$B$8,"",IF($BI437="-&gt;",$BL437,$BD437))</f>
        <v/>
      </c>
      <c r="CB437" s="92" t="str">
        <f aca="false">IF(ISBLANK($C437),"",IF($BR437&lt;&gt;Constants!$B$8,$BR437,IF(ISNUMBER($CA437),RANK($CA437,$CA$9:$CA$508,1),COUNT($CA$9:$CA$508)+1)))</f>
        <v/>
      </c>
      <c r="CC437" s="96" t="str">
        <f aca="false">IF($BR437&lt;&gt;Constants!$B$8,"",IF($BI437="-&gt;",IF($AT437,$AV437,""),IF($AL437,$AN437,"")))</f>
        <v/>
      </c>
      <c r="CD437" s="92" t="str">
        <f aca="false">IF(ISBLANK($C437),"",IF($BR437&lt;&gt;Constants!$B$8,$BR437,IF(ISNUMBER($CC437),RANK($CC437,$CC$9:$CC$508,1),COUNT($CC$9:$CC$508)+1)))</f>
        <v/>
      </c>
      <c r="CE437" s="96" t="str">
        <f aca="false">IF($BR437&lt;&gt;Constants!$B$8,"",IF(AND(NOT($AL437),NOT($AT437),$AJ437,$AK437,$AR437,$AS437),"",$AI437))</f>
        <v/>
      </c>
      <c r="CF437" s="92" t="str">
        <f aca="false">IF(ISBLANK($C437),"",IF($BR437&lt;&gt;Constants!$B$8,$BR437,IF(ISNUMBER($CE437),RANK($CE437,$CE$9:$CE$508,1),COUNT($CE$9:$CE$508)+1)))</f>
        <v/>
      </c>
      <c r="CG437" s="92" t="str">
        <f aca="false">IF(ISBLANK($C437),"",IF($BR437&lt;&gt;Constants!$B$8,$BR437,COUNTIFS($BX$9:$BX$508,"&lt;"&amp;$BX437)+COUNTIFS($BX$9:$BX$508,$BX437,$BZ$9:$BZ$508,"&lt;"&amp;$BZ437)+COUNTIFS($BX$9:$BX$508,$BX437,$BZ$9:$BZ$508,$BZ437,$CB$9:$CB$508,"&lt;"&amp;$CB437)+COUNTIFS($BX$9:$BX$508,$BX437,$BZ$9:$BZ$508,$BZ437,$CB$9:$CB$508,$CB437,$CD$9:$CD$508,"&lt;"&amp;$CD437)+COUNTIFS($BX$9:$BX$508,$BX437,$BZ$9:$BZ$508,$BZ437,$CB$9:$CB$508,$CB437,$CD$9:$CD$508,$CD437,$CF$9:$CF$508,"&lt;"&amp;$CF437)+1))</f>
        <v/>
      </c>
      <c r="CH437" s="92" t="str">
        <f aca="false">IF(ISBLANK($C437),"",IF($BR437&lt;&gt;Constants!$B$8,$BR437,$BX437-$CG437))</f>
        <v/>
      </c>
      <c r="CI437" s="98"/>
      <c r="CJ437" s="99"/>
      <c r="CK437" s="100" t="str">
        <f aca="false">IF(ISBLANK($C437),"",IF($BR437=Constants!$B$12,$BQ437,""))</f>
        <v/>
      </c>
      <c r="CL437" s="99" t="str">
        <f aca="false">IF(ISBLANK($C437),"",IF($BR437&lt;&gt;Constants!$B$8,"",IF($BI437="-&gt;",2,1)))</f>
        <v/>
      </c>
      <c r="CM437" s="101" t="str">
        <f aca="false">IF(ISBLANK($C437),"",IF($BR437&lt;&gt;Constants!$B$8,"",IF($BI437="-&gt;",$BK437,$BC437)))</f>
        <v/>
      </c>
      <c r="CN437" s="101" t="str">
        <f aca="false">IF(ISBLANK($C437),"",IF($BR437&lt;&gt;Constants!$B$8,"",IF($BI437="-&gt;",$BL437,$BD437)))</f>
        <v/>
      </c>
      <c r="CO437" s="101" t="str">
        <f aca="false">IF(ISBLANK($C437),"",IF($BR437&lt;&gt;Constants!$B$8,"",IF($BI437="-&gt;",$BM437+$BN437,$BE437+$BF437)+$BV437))</f>
        <v/>
      </c>
      <c r="CP437" s="101" t="str">
        <f aca="false">IF(ISBLANK($C437),"",IF($BR437&lt;&gt;Constants!$B$8,"",IF($BI437="-&gt;",$BO437,$BG437)+$BU437))</f>
        <v/>
      </c>
      <c r="CQ437" s="102" t="str">
        <f aca="false">IF(ISBLANK($C437),"",IF($BR437&lt;&gt;Constants!$B$8,$BR437,$BW437))</f>
        <v/>
      </c>
      <c r="CR437" s="103" t="str">
        <f aca="false">IF(ISBLANK($C437),"",$BS437)</f>
        <v/>
      </c>
      <c r="CS437" s="104" t="str">
        <f aca="false">IF(ISBLANK($C437),"",$CH437)</f>
        <v/>
      </c>
      <c r="CT437" s="104" t="str">
        <f aca="false">IF(ISBLANK($C437),"",$CG437)</f>
        <v/>
      </c>
      <c r="CU437" s="105" t="str">
        <f aca="false">IF(ISBLANK($C437),"",IFERROR(_xlfn.SWITCH($CT437,Constants!$B$11,COUNTA($C$9:$C$508)+2,Constants!$B$10,COUNTA($C$9:$C$508)+1,Constants!$B$9,COUNTA($C$9:$C$508)),$CT437))</f>
        <v/>
      </c>
      <c r="CV437" s="9"/>
      <c r="CW437" s="106" t="n">
        <f aca="false">IF(OR(ISNUMBER($CT437),$CT437=Constants!$B$11,$CT437=Constants!$B$9,$CT437=Constants!$B$10),1,0)</f>
        <v>0</v>
      </c>
      <c r="CX437" s="106" t="n">
        <v>429</v>
      </c>
      <c r="CY437" s="106" t="str">
        <f aca="false">IF(ISBLANK($C437),"",IF(ISNUMBER($CU437),$CU437+ROW($B437)/1000,""))</f>
        <v/>
      </c>
      <c r="CZ437" s="106" t="str">
        <f aca="false">IF(ISNUMBER($CY437),RANK($CY437,$CY$9:$CY$508,1),"")</f>
        <v/>
      </c>
      <c r="DA437" s="106" t="str">
        <f aca="false">IF(ISBLANK($C437),"",$B437)</f>
        <v/>
      </c>
      <c r="DB437" s="106" t="str">
        <f aca="false">IF(ISBLANK($C437),"",$C437)</f>
        <v/>
      </c>
      <c r="DC437" s="106" t="str">
        <f aca="false">IF(ISBLANK($C437),"",$D437)</f>
        <v/>
      </c>
      <c r="DD437" s="107" t="str">
        <f aca="false">$CR437</f>
        <v/>
      </c>
      <c r="DE437" s="108" t="str">
        <f aca="false">$CQ437</f>
        <v/>
      </c>
      <c r="DF437" s="106" t="str">
        <f aca="false">IF(ISBLANK($C437),"",$CT437)</f>
        <v/>
      </c>
      <c r="DG437" s="109" t="str">
        <f aca="false">IF($CX437&gt;$CW$8,"",VLOOKUP($CX437,$CZ$9:$DF$508,7,FALSE()))</f>
        <v/>
      </c>
      <c r="DH437" s="110" t="str">
        <f aca="false">IF($CX437&gt;$CW$8,"",VLOOKUP($CX437,$CZ$9:$DF$508,2,FALSE()))</f>
        <v/>
      </c>
      <c r="DI437" s="110" t="str">
        <f aca="false">IF($CX437&gt;$CW$8,"",VLOOKUP($CX437,$CZ$9:$DF$508,3,FALSE()))</f>
        <v/>
      </c>
      <c r="DJ437" s="110" t="str">
        <f aca="false">IF($CX437&gt;$CW$8,"",VLOOKUP($CX437,$CZ$9:$DF$508,4,FALSE()))</f>
        <v/>
      </c>
      <c r="DK437" s="110" t="str">
        <f aca="false">IF($CX437&gt;$CW$8,"",VLOOKUP($CX437,$CZ$9:$DF$508,5,FALSE()))</f>
        <v/>
      </c>
      <c r="DL437" s="111" t="str">
        <f aca="false">IF($CX437&gt;$CW$8,"",VLOOKUP($CX437,$CZ$9:$DF$508,6,FALSE()))</f>
        <v/>
      </c>
      <c r="DM437" s="75"/>
    </row>
    <row r="438" customFormat="false" ht="15.75" hidden="false" customHeight="false" outlineLevel="0" collapsed="false">
      <c r="A438" s="9"/>
      <c r="B438" s="157"/>
      <c r="C438" s="158"/>
      <c r="D438" s="159"/>
      <c r="E438" s="177"/>
      <c r="F438" s="161"/>
      <c r="G438" s="162"/>
      <c r="H438" s="162"/>
      <c r="I438" s="178"/>
      <c r="J438" s="165"/>
      <c r="K438" s="126"/>
      <c r="L438" s="127"/>
      <c r="M438" s="128"/>
      <c r="N438" s="165"/>
      <c r="O438" s="165"/>
      <c r="P438" s="177"/>
      <c r="Q438" s="165"/>
      <c r="R438" s="165"/>
      <c r="S438" s="126"/>
      <c r="T438" s="128"/>
      <c r="U438" s="128"/>
      <c r="V438" s="165"/>
      <c r="W438" s="165"/>
      <c r="X438" s="177"/>
      <c r="Y438" s="165"/>
      <c r="Z438" s="166"/>
      <c r="AA438" s="165"/>
      <c r="AB438" s="132"/>
      <c r="AC438" s="133"/>
      <c r="AD438" s="133"/>
      <c r="AE438" s="133"/>
      <c r="AF438" s="133" t="str">
        <f aca="false">IF(ISBLANK($C438),"",IF(E438=Constants!$B$3,TRUE(),IF(E438=Constants!$B$4,FALSE(),TRUE())))</f>
        <v/>
      </c>
      <c r="AG438" s="133" t="str">
        <f aca="false">IF(ISBLANK($C438),"",IF(F438=Constants!$B$3,TRUE(),IF(F438=Constants!$B$4,FALSE(),TRUE())))</f>
        <v/>
      </c>
      <c r="AH438" s="133" t="str">
        <f aca="false">IF(ISBLANK($C438),"",IF(G438=Constants!$B$3,TRUE(),IF(G438=Constants!$B$4,FALSE(),TRUE())))</f>
        <v/>
      </c>
      <c r="AI438" s="133" t="str">
        <f aca="false">IF(ISBLANK($C438),"",IF(AND(ISNUMBER(H438),H438&gt;=0),H438,Constants!$B$29))</f>
        <v/>
      </c>
      <c r="AJ438" s="133" t="str">
        <f aca="false">IF(ISBLANK($C438),"",IF(I438=Constants!$B$3,TRUE(),IF(I438=Constants!$B$4,FALSE(),TRUE())))</f>
        <v/>
      </c>
      <c r="AK438" s="133" t="str">
        <f aca="false">IF(ISBLANK($C438),"",IF(J438=Constants!$B$3,TRUE(),IF(J438=Constants!$B$4,FALSE(),TRUE())))</f>
        <v/>
      </c>
      <c r="AL438" s="133" t="str">
        <f aca="false">IF(ISBLANK($C438),"",IF(K438=Constants!$B$5,TRUE(),IF(K438=Constants!$B$6,FALSE(),COUNTA(L438:P438)&gt;0)))</f>
        <v/>
      </c>
      <c r="AM438" s="134" t="str">
        <f aca="false">IF(ISBLANK($C438),"",IF(ISNUMBER(L438),IF(L438&gt;=0,L438,""),""))</f>
        <v/>
      </c>
      <c r="AN438" s="135" t="str">
        <f aca="false">IF(ISBLANK($C438),"",IF(ISNUMBER(M438),IF(M438&gt;=0,M438,""),""))</f>
        <v/>
      </c>
      <c r="AO438" s="135" t="str">
        <f aca="false">IF(ISBLANK($C438),"",IF(N438=Constants!$B$3,TRUE(),IF(N438=Constants!$B$4,FALSE(),TRUE())))</f>
        <v/>
      </c>
      <c r="AP438" s="133" t="str">
        <f aca="false">IF(ISBLANK($C438),"",IF(ISNUMBER(O438),IF(O438&gt;=0,O438,""),""))</f>
        <v/>
      </c>
      <c r="AQ438" s="133" t="str">
        <f aca="false">IF(ISBLANK($C438),"",IF(P438=Constants!$B$3,TRUE(),IF(P438=Constants!$B$4,FALSE(),FALSE())))</f>
        <v/>
      </c>
      <c r="AR438" s="133" t="str">
        <f aca="false">IF(ISBLANK($C438),"",IF(Q438=Constants!$B$3,TRUE(),IF(Q438=Constants!$B$4,FALSE(),TRUE())))</f>
        <v/>
      </c>
      <c r="AS438" s="133" t="str">
        <f aca="false">IF(ISBLANK($C438),"",IF(R438=Constants!$B$3,TRUE(),IF(R438=Constants!$B$4,FALSE(),TRUE())))</f>
        <v/>
      </c>
      <c r="AT438" s="133" t="str">
        <f aca="false">IF(ISBLANK($C438),"",IF(S438=Constants!$B$5,TRUE(),IF(S438=Constants!$B$6,FALSE(),COUNTA(T438:X438)&gt;0)))</f>
        <v/>
      </c>
      <c r="AU438" s="134" t="str">
        <f aca="false">IF(ISBLANK($C438),"",IF(ISNUMBER(T438),IF(T438&gt;=0,T438,""),""))</f>
        <v/>
      </c>
      <c r="AV438" s="135" t="str">
        <f aca="false">IF(ISBLANK($C438),"",IF(ISNUMBER(U438),IF(U438&gt;=0,U438,""),""))</f>
        <v/>
      </c>
      <c r="AW438" s="135" t="str">
        <f aca="false">IF(ISBLANK($C438),"",IF(V438=Constants!$B$3,TRUE(),IF(V438=Constants!$B$4,FALSE(),TRUE())))</f>
        <v/>
      </c>
      <c r="AX438" s="133" t="str">
        <f aca="false">IF(ISBLANK($C438),"",IF(ISNUMBER(W438),IF(W438&gt;=0,W438,""),""))</f>
        <v/>
      </c>
      <c r="AY438" s="133" t="str">
        <f aca="false">IF(ISBLANK($C438),"",IF(X438=Constants!$B$3,TRUE(),IF(X438=Constants!$B$4,FALSE(),FALSE())))</f>
        <v/>
      </c>
      <c r="AZ438" s="133" t="str">
        <f aca="false">IF(ISBLANK($C438),"",MIN(Constants!$B$31,MAX(0,IF(ISNUMBER(Y438),Y438*60,0)+IF(ISNUMBER(Z438),Z438,0))))</f>
        <v/>
      </c>
      <c r="BA438" s="133" t="str">
        <f aca="false">IF(ISBLANK($C438),"",IF(AA438=Constants!$B$3,TRUE(),IF(AA438=Constants!$B$4,FALSE(),FALSE())))</f>
        <v/>
      </c>
      <c r="BB438" s="132" t="str">
        <f aca="false">IF(ISBLANK($C438),"",AND($AL438,OR($AM438="",$AN438="",AND($AO438,$AP438=""))))</f>
        <v/>
      </c>
      <c r="BC438" s="135" t="str">
        <f aca="false">IF($BR438&lt;&gt;Constants!$B$8,"",IF($AL438,Constants!$B$21*$AN438+Constants!$B$22*IF($AO438,$AP438,Constants!$B$23),Constants!$B$24))</f>
        <v/>
      </c>
      <c r="BD438" s="136" t="str">
        <f aca="false">IF($BR438&lt;&gt;Constants!$B$8,"",Constants!$B$25*ABS($AD$9-IF($AL438,$AM438,0)))</f>
        <v/>
      </c>
      <c r="BE438" s="136" t="str">
        <f aca="false">IF($BR438&lt;&gt;Constants!$B$8,"",IF(AND($AL438,$AQ438,$AO438),Constants!$B$27,0))</f>
        <v/>
      </c>
      <c r="BF438" s="136" t="str">
        <f aca="false">IF($BR438&lt;&gt;Constants!$B$8,"",IF($AL438,($AI438-Constants!$B$29)*Constants!$B$28,0))</f>
        <v/>
      </c>
      <c r="BG438" s="136" t="str">
        <f aca="false">IF($BR438&lt;&gt;Constants!$B$8,"",IF($AK438,0,Constants!$B$15)+IF($AJ438,0,Constants!$B$16)+IF($AH438,0,Constants!$B$17))</f>
        <v/>
      </c>
      <c r="BH438" s="137" t="str">
        <f aca="false">IF($BR438&lt;&gt;Constants!$B$8,"",Constants!$B$20+SUM($BC438:$BG438))</f>
        <v/>
      </c>
      <c r="BI438" s="133" t="str">
        <f aca="false">IF($BR438&lt;&gt;Constants!$B$8,"",IF(OR($BP438&lt;$BH438,AND($BP438=$BH438,OR($BK438&lt;$BC438,AND($BK438=$BC438,OR($BL438&lt;$BD438,AND($BL438=$BD438,$AT438,$AL438,$AV438&lt;$AN438)))))),"-&gt;","&lt;-"))</f>
        <v/>
      </c>
      <c r="BJ438" s="132" t="str">
        <f aca="false">IF(ISBLANK($C438),"",AND($AT438,OR($AU438="",$AV438="",AND($AW438,$AX438=""))))</f>
        <v/>
      </c>
      <c r="BK438" s="135" t="str">
        <f aca="false">IF($BR438&lt;&gt;Constants!$B$8,"",IF($AT438,Constants!$B$21*$AV438+Constants!$B$22*IF($AW438,$AX438,Constants!$B$23),Constants!$B$24))</f>
        <v/>
      </c>
      <c r="BL438" s="136" t="str">
        <f aca="false">IF($BR438&lt;&gt;Constants!$B$8,"",Constants!$B$25*ABS($AD$9-IF($AT438,$AU438,0)))</f>
        <v/>
      </c>
      <c r="BM438" s="136" t="str">
        <f aca="false">IF($BR438&lt;&gt;Constants!$B$8,"",IF(AND($AT438,$AY438,$AW438),Constants!$B$27,0))</f>
        <v/>
      </c>
      <c r="BN438" s="136" t="str">
        <f aca="false">IF($BR438&lt;&gt;Constants!$B$8,"",IF($AT438,($AI438-Constants!$B$29)*Constants!$B$28,0))</f>
        <v/>
      </c>
      <c r="BO438" s="136" t="str">
        <f aca="false">IF($BR438&lt;&gt;Constants!$B$8,"",IF($AS438,0,Constants!$B$15)+IF($AR438,0,Constants!$B$16)+IF($AH438,0,Constants!$B$17))</f>
        <v/>
      </c>
      <c r="BP438" s="137" t="str">
        <f aca="false">IF($BR438&lt;&gt;Constants!$B$8,"",Constants!$B$20+SUM($BK438:$BO438))</f>
        <v/>
      </c>
      <c r="BQ438" s="133" t="str">
        <f aca="false">IF(ISBLANK($C438),"",IF(ISBLANK($D$7),$BQ$5,IF(NOT(ISNUMBER($D$7)),$BQ$6,"")))</f>
        <v/>
      </c>
      <c r="BR438" s="133" t="str">
        <f aca="false">IF(ISBLANK($C438),"",IF($BA438,Constants!$B$11,IF(COUNTA($E438:$AA438)=0,Constants!$B$10,IF(NOT($AG438),Constants!$B$9,IF(OR($BQ438&lt;&gt;"",$BB438,$BJ438),Constants!$B$12,Constants!$B$8)))))</f>
        <v/>
      </c>
      <c r="BS438" s="133" t="str">
        <f aca="false">IF(ISBLANK($C438),"",IF($BR438&lt;&gt;Constants!$B$8,$BR438,Constants!$B$13))</f>
        <v/>
      </c>
      <c r="BT438" s="136" t="str">
        <f aca="false">IF($BR438&lt;&gt;Constants!$B$8,"",IF($BI438="-&gt;",$BP438,$BH438))</f>
        <v/>
      </c>
      <c r="BU438" s="136" t="str">
        <f aca="false">IF($BR438&lt;&gt;Constants!$B$8,"",IF($AF438,0,Constants!$B$18))</f>
        <v/>
      </c>
      <c r="BV438" s="136" t="str">
        <f aca="false">IF($BR438&lt;&gt;Constants!$B$8,"",((Constants!$B$31-$AZ438)-Constants!$B$31)/Constants!$B$32)</f>
        <v/>
      </c>
      <c r="BW438" s="136" t="str">
        <f aca="false">IF(ISBLANK($C438),"",IF($BR438&lt;&gt;Constants!$B$8,$BR438,SUM($BT438:$BV438)))</f>
        <v/>
      </c>
      <c r="BX438" s="133" t="str">
        <f aca="false">IF(ISBLANK($C438),"",IF($BR438&lt;&gt;Constants!$B$8,$BR438,RANK($BW438,$BW$9:$BW$508,1)))</f>
        <v/>
      </c>
      <c r="BY438" s="136" t="str">
        <f aca="false">IF($BR438&lt;&gt;Constants!$B$8,"",IF($BI438="-&gt;",$BK438,$BC438))</f>
        <v/>
      </c>
      <c r="BZ438" s="133" t="str">
        <f aca="false">IF(ISBLANK($C438),"",IF($BR438&lt;&gt;Constants!$B$8,$BR438,IF(ISNUMBER($BY438),RANK($BY438,$BY$9:$BY$508,1),COUNT($BY$9:$BY$508)+1)))</f>
        <v/>
      </c>
      <c r="CA438" s="136" t="str">
        <f aca="false">IF($BR438&lt;&gt;Constants!$B$8,"",IF($BI438="-&gt;",$BL438,$BD438))</f>
        <v/>
      </c>
      <c r="CB438" s="133" t="str">
        <f aca="false">IF(ISBLANK($C438),"",IF($BR438&lt;&gt;Constants!$B$8,$BR438,IF(ISNUMBER($CA438),RANK($CA438,$CA$9:$CA$508,1),COUNT($CA$9:$CA$508)+1)))</f>
        <v/>
      </c>
      <c r="CC438" s="136" t="str">
        <f aca="false">IF($BR438&lt;&gt;Constants!$B$8,"",IF($BI438="-&gt;",IF($AT438,$AV438,""),IF($AL438,$AN438,"")))</f>
        <v/>
      </c>
      <c r="CD438" s="133" t="str">
        <f aca="false">IF(ISBLANK($C438),"",IF($BR438&lt;&gt;Constants!$B$8,$BR438,IF(ISNUMBER($CC438),RANK($CC438,$CC$9:$CC$508,1),COUNT($CC$9:$CC$508)+1)))</f>
        <v/>
      </c>
      <c r="CE438" s="136" t="str">
        <f aca="false">IF($BR438&lt;&gt;Constants!$B$8,"",IF(AND(NOT($AL438),NOT($AT438),$AJ438,$AK438,$AR438,$AS438),"",$AI438))</f>
        <v/>
      </c>
      <c r="CF438" s="133" t="str">
        <f aca="false">IF(ISBLANK($C438),"",IF($BR438&lt;&gt;Constants!$B$8,$BR438,IF(ISNUMBER($CE438),RANK($CE438,$CE$9:$CE$508,1),COUNT($CE$9:$CE$508)+1)))</f>
        <v/>
      </c>
      <c r="CG438" s="133" t="str">
        <f aca="false">IF(ISBLANK($C438),"",IF($BR438&lt;&gt;Constants!$B$8,$BR438,COUNTIFS($BX$9:$BX$508,"&lt;"&amp;$BX438)+COUNTIFS($BX$9:$BX$508,$BX438,$BZ$9:$BZ$508,"&lt;"&amp;$BZ438)+COUNTIFS($BX$9:$BX$508,$BX438,$BZ$9:$BZ$508,$BZ438,$CB$9:$CB$508,"&lt;"&amp;$CB438)+COUNTIFS($BX$9:$BX$508,$BX438,$BZ$9:$BZ$508,$BZ438,$CB$9:$CB$508,$CB438,$CD$9:$CD$508,"&lt;"&amp;$CD438)+COUNTIFS($BX$9:$BX$508,$BX438,$BZ$9:$BZ$508,$BZ438,$CB$9:$CB$508,$CB438,$CD$9:$CD$508,$CD438,$CF$9:$CF$508,"&lt;"&amp;$CF438)+1))</f>
        <v/>
      </c>
      <c r="CH438" s="133" t="str">
        <f aca="false">IF(ISBLANK($C438),"",IF($BR438&lt;&gt;Constants!$B$8,$BR438,$BX438-$CG438))</f>
        <v/>
      </c>
      <c r="CI438" s="138"/>
      <c r="CJ438" s="139"/>
      <c r="CK438" s="140" t="str">
        <f aca="false">IF(ISBLANK($C438),"",IF($BR438=Constants!$B$12,$BQ438,""))</f>
        <v/>
      </c>
      <c r="CL438" s="139" t="str">
        <f aca="false">IF(ISBLANK($C438),"",IF($BR438&lt;&gt;Constants!$B$8,"",IF($BI438="-&gt;",2,1)))</f>
        <v/>
      </c>
      <c r="CM438" s="141" t="str">
        <f aca="false">IF(ISBLANK($C438),"",IF($BR438&lt;&gt;Constants!$B$8,"",IF($BI438="-&gt;",$BK438,$BC438)))</f>
        <v/>
      </c>
      <c r="CN438" s="141" t="str">
        <f aca="false">IF(ISBLANK($C438),"",IF($BR438&lt;&gt;Constants!$B$8,"",IF($BI438="-&gt;",$BL438,$BD438)))</f>
        <v/>
      </c>
      <c r="CO438" s="141" t="str">
        <f aca="false">IF(ISBLANK($C438),"",IF($BR438&lt;&gt;Constants!$B$8,"",IF($BI438="-&gt;",$BM438+$BN438,$BE438+$BF438)+$BV438))</f>
        <v/>
      </c>
      <c r="CP438" s="141" t="str">
        <f aca="false">IF(ISBLANK($C438),"",IF($BR438&lt;&gt;Constants!$B$8,"",IF($BI438="-&gt;",$BO438,$BG438)+$BU438))</f>
        <v/>
      </c>
      <c r="CQ438" s="142" t="str">
        <f aca="false">IF(ISBLANK($C438),"",IF($BR438&lt;&gt;Constants!$B$8,$BR438,$BW438))</f>
        <v/>
      </c>
      <c r="CR438" s="143" t="str">
        <f aca="false">IF(ISBLANK($C438),"",$BS438)</f>
        <v/>
      </c>
      <c r="CS438" s="144" t="str">
        <f aca="false">IF(ISBLANK($C438),"",$CH438)</f>
        <v/>
      </c>
      <c r="CT438" s="144" t="str">
        <f aca="false">IF(ISBLANK($C438),"",$CG438)</f>
        <v/>
      </c>
      <c r="CU438" s="145" t="str">
        <f aca="false">IF(ISBLANK($C438),"",IFERROR(_xlfn.SWITCH($CT438,Constants!$B$11,COUNTA($C$9:$C$508)+2,Constants!$B$10,COUNTA($C$9:$C$508)+1,Constants!$B$9,COUNTA($C$9:$C$508)),$CT438))</f>
        <v/>
      </c>
      <c r="CV438" s="9"/>
      <c r="CW438" s="146" t="n">
        <f aca="false">IF(OR(ISNUMBER($CT438),$CT438=Constants!$B$11,$CT438=Constants!$B$9,$CT438=Constants!$B$10),1,0)</f>
        <v>0</v>
      </c>
      <c r="CX438" s="146" t="n">
        <v>430</v>
      </c>
      <c r="CY438" s="146" t="str">
        <f aca="false">IF(ISBLANK($C438),"",IF(ISNUMBER($CU438),$CU438+ROW($B438)/1000,""))</f>
        <v/>
      </c>
      <c r="CZ438" s="146" t="str">
        <f aca="false">IF(ISNUMBER($CY438),RANK($CY438,$CY$9:$CY$508,1),"")</f>
        <v/>
      </c>
      <c r="DA438" s="146" t="str">
        <f aca="false">IF(ISBLANK($C438),"",$B438)</f>
        <v/>
      </c>
      <c r="DB438" s="146" t="str">
        <f aca="false">IF(ISBLANK($C438),"",$C438)</f>
        <v/>
      </c>
      <c r="DC438" s="146" t="str">
        <f aca="false">IF(ISBLANK($C438),"",$D438)</f>
        <v/>
      </c>
      <c r="DD438" s="147" t="str">
        <f aca="false">$CR438</f>
        <v/>
      </c>
      <c r="DE438" s="148" t="str">
        <f aca="false">$CQ438</f>
        <v/>
      </c>
      <c r="DF438" s="146" t="str">
        <f aca="false">IF(ISBLANK($C438),"",$CT438)</f>
        <v/>
      </c>
      <c r="DG438" s="149" t="str">
        <f aca="false">IF($CX438&gt;$CW$8,"",VLOOKUP($CX438,$CZ$9:$DF$508,7,FALSE()))</f>
        <v/>
      </c>
      <c r="DH438" s="150" t="str">
        <f aca="false">IF($CX438&gt;$CW$8,"",VLOOKUP($CX438,$CZ$9:$DF$508,2,FALSE()))</f>
        <v/>
      </c>
      <c r="DI438" s="150" t="str">
        <f aca="false">IF($CX438&gt;$CW$8,"",VLOOKUP($CX438,$CZ$9:$DF$508,3,FALSE()))</f>
        <v/>
      </c>
      <c r="DJ438" s="150" t="str">
        <f aca="false">IF($CX438&gt;$CW$8,"",VLOOKUP($CX438,$CZ$9:$DF$508,4,FALSE()))</f>
        <v/>
      </c>
      <c r="DK438" s="150" t="str">
        <f aca="false">IF($CX438&gt;$CW$8,"",VLOOKUP($CX438,$CZ$9:$DF$508,5,FALSE()))</f>
        <v/>
      </c>
      <c r="DL438" s="151" t="str">
        <f aca="false">IF($CX438&gt;$CW$8,"",VLOOKUP($CX438,$CZ$9:$DF$508,6,FALSE()))</f>
        <v/>
      </c>
      <c r="DM438" s="75"/>
    </row>
    <row r="439" customFormat="false" ht="15.75" hidden="false" customHeight="false" outlineLevel="0" collapsed="false">
      <c r="A439" s="9"/>
      <c r="B439" s="157"/>
      <c r="C439" s="158"/>
      <c r="D439" s="159"/>
      <c r="E439" s="177"/>
      <c r="F439" s="161"/>
      <c r="G439" s="162"/>
      <c r="H439" s="162"/>
      <c r="I439" s="178"/>
      <c r="J439" s="165"/>
      <c r="K439" s="126"/>
      <c r="L439" s="127"/>
      <c r="M439" s="128"/>
      <c r="N439" s="165"/>
      <c r="O439" s="165"/>
      <c r="P439" s="177"/>
      <c r="Q439" s="165"/>
      <c r="R439" s="165"/>
      <c r="S439" s="126"/>
      <c r="T439" s="128"/>
      <c r="U439" s="128"/>
      <c r="V439" s="165"/>
      <c r="W439" s="165"/>
      <c r="X439" s="177"/>
      <c r="Y439" s="165"/>
      <c r="Z439" s="166"/>
      <c r="AA439" s="165"/>
      <c r="AB439" s="132"/>
      <c r="AC439" s="133"/>
      <c r="AD439" s="133"/>
      <c r="AE439" s="133"/>
      <c r="AF439" s="133" t="str">
        <f aca="false">IF(ISBLANK($C439),"",IF(E439=Constants!$B$3,TRUE(),IF(E439=Constants!$B$4,FALSE(),TRUE())))</f>
        <v/>
      </c>
      <c r="AG439" s="133" t="str">
        <f aca="false">IF(ISBLANK($C439),"",IF(F439=Constants!$B$3,TRUE(),IF(F439=Constants!$B$4,FALSE(),TRUE())))</f>
        <v/>
      </c>
      <c r="AH439" s="133" t="str">
        <f aca="false">IF(ISBLANK($C439),"",IF(G439=Constants!$B$3,TRUE(),IF(G439=Constants!$B$4,FALSE(),TRUE())))</f>
        <v/>
      </c>
      <c r="AI439" s="133" t="str">
        <f aca="false">IF(ISBLANK($C439),"",IF(AND(ISNUMBER(H439),H439&gt;=0),H439,Constants!$B$29))</f>
        <v/>
      </c>
      <c r="AJ439" s="133" t="str">
        <f aca="false">IF(ISBLANK($C439),"",IF(I439=Constants!$B$3,TRUE(),IF(I439=Constants!$B$4,FALSE(),TRUE())))</f>
        <v/>
      </c>
      <c r="AK439" s="133" t="str">
        <f aca="false">IF(ISBLANK($C439),"",IF(J439=Constants!$B$3,TRUE(),IF(J439=Constants!$B$4,FALSE(),TRUE())))</f>
        <v/>
      </c>
      <c r="AL439" s="133" t="str">
        <f aca="false">IF(ISBLANK($C439),"",IF(K439=Constants!$B$5,TRUE(),IF(K439=Constants!$B$6,FALSE(),COUNTA(L439:P439)&gt;0)))</f>
        <v/>
      </c>
      <c r="AM439" s="134" t="str">
        <f aca="false">IF(ISBLANK($C439),"",IF(ISNUMBER(L439),IF(L439&gt;=0,L439,""),""))</f>
        <v/>
      </c>
      <c r="AN439" s="135" t="str">
        <f aca="false">IF(ISBLANK($C439),"",IF(ISNUMBER(M439),IF(M439&gt;=0,M439,""),""))</f>
        <v/>
      </c>
      <c r="AO439" s="135" t="str">
        <f aca="false">IF(ISBLANK($C439),"",IF(N439=Constants!$B$3,TRUE(),IF(N439=Constants!$B$4,FALSE(),TRUE())))</f>
        <v/>
      </c>
      <c r="AP439" s="133" t="str">
        <f aca="false">IF(ISBLANK($C439),"",IF(ISNUMBER(O439),IF(O439&gt;=0,O439,""),""))</f>
        <v/>
      </c>
      <c r="AQ439" s="133" t="str">
        <f aca="false">IF(ISBLANK($C439),"",IF(P439=Constants!$B$3,TRUE(),IF(P439=Constants!$B$4,FALSE(),FALSE())))</f>
        <v/>
      </c>
      <c r="AR439" s="133" t="str">
        <f aca="false">IF(ISBLANK($C439),"",IF(Q439=Constants!$B$3,TRUE(),IF(Q439=Constants!$B$4,FALSE(),TRUE())))</f>
        <v/>
      </c>
      <c r="AS439" s="133" t="str">
        <f aca="false">IF(ISBLANK($C439),"",IF(R439=Constants!$B$3,TRUE(),IF(R439=Constants!$B$4,FALSE(),TRUE())))</f>
        <v/>
      </c>
      <c r="AT439" s="133" t="str">
        <f aca="false">IF(ISBLANK($C439),"",IF(S439=Constants!$B$5,TRUE(),IF(S439=Constants!$B$6,FALSE(),COUNTA(T439:X439)&gt;0)))</f>
        <v/>
      </c>
      <c r="AU439" s="134" t="str">
        <f aca="false">IF(ISBLANK($C439),"",IF(ISNUMBER(T439),IF(T439&gt;=0,T439,""),""))</f>
        <v/>
      </c>
      <c r="AV439" s="135" t="str">
        <f aca="false">IF(ISBLANK($C439),"",IF(ISNUMBER(U439),IF(U439&gt;=0,U439,""),""))</f>
        <v/>
      </c>
      <c r="AW439" s="135" t="str">
        <f aca="false">IF(ISBLANK($C439),"",IF(V439=Constants!$B$3,TRUE(),IF(V439=Constants!$B$4,FALSE(),TRUE())))</f>
        <v/>
      </c>
      <c r="AX439" s="133" t="str">
        <f aca="false">IF(ISBLANK($C439),"",IF(ISNUMBER(W439),IF(W439&gt;=0,W439,""),""))</f>
        <v/>
      </c>
      <c r="AY439" s="133" t="str">
        <f aca="false">IF(ISBLANK($C439),"",IF(X439=Constants!$B$3,TRUE(),IF(X439=Constants!$B$4,FALSE(),FALSE())))</f>
        <v/>
      </c>
      <c r="AZ439" s="133" t="str">
        <f aca="false">IF(ISBLANK($C439),"",MIN(Constants!$B$31,MAX(0,IF(ISNUMBER(Y439),Y439*60,0)+IF(ISNUMBER(Z439),Z439,0))))</f>
        <v/>
      </c>
      <c r="BA439" s="133" t="str">
        <f aca="false">IF(ISBLANK($C439),"",IF(AA439=Constants!$B$3,TRUE(),IF(AA439=Constants!$B$4,FALSE(),FALSE())))</f>
        <v/>
      </c>
      <c r="BB439" s="132" t="str">
        <f aca="false">IF(ISBLANK($C439),"",AND($AL439,OR($AM439="",$AN439="",AND($AO439,$AP439=""))))</f>
        <v/>
      </c>
      <c r="BC439" s="135" t="str">
        <f aca="false">IF($BR439&lt;&gt;Constants!$B$8,"",IF($AL439,Constants!$B$21*$AN439+Constants!$B$22*IF($AO439,$AP439,Constants!$B$23),Constants!$B$24))</f>
        <v/>
      </c>
      <c r="BD439" s="136" t="str">
        <f aca="false">IF($BR439&lt;&gt;Constants!$B$8,"",Constants!$B$25*ABS($AD$9-IF($AL439,$AM439,0)))</f>
        <v/>
      </c>
      <c r="BE439" s="136" t="str">
        <f aca="false">IF($BR439&lt;&gt;Constants!$B$8,"",IF(AND($AL439,$AQ439,$AO439),Constants!$B$27,0))</f>
        <v/>
      </c>
      <c r="BF439" s="136" t="str">
        <f aca="false">IF($BR439&lt;&gt;Constants!$B$8,"",IF($AL439,($AI439-Constants!$B$29)*Constants!$B$28,0))</f>
        <v/>
      </c>
      <c r="BG439" s="136" t="str">
        <f aca="false">IF($BR439&lt;&gt;Constants!$B$8,"",IF($AK439,0,Constants!$B$15)+IF($AJ439,0,Constants!$B$16)+IF($AH439,0,Constants!$B$17))</f>
        <v/>
      </c>
      <c r="BH439" s="137" t="str">
        <f aca="false">IF($BR439&lt;&gt;Constants!$B$8,"",Constants!$B$20+SUM($BC439:$BG439))</f>
        <v/>
      </c>
      <c r="BI439" s="133" t="str">
        <f aca="false">IF($BR439&lt;&gt;Constants!$B$8,"",IF(OR($BP439&lt;$BH439,AND($BP439=$BH439,OR($BK439&lt;$BC439,AND($BK439=$BC439,OR($BL439&lt;$BD439,AND($BL439=$BD439,$AT439,$AL439,$AV439&lt;$AN439)))))),"-&gt;","&lt;-"))</f>
        <v/>
      </c>
      <c r="BJ439" s="132" t="str">
        <f aca="false">IF(ISBLANK($C439),"",AND($AT439,OR($AU439="",$AV439="",AND($AW439,$AX439=""))))</f>
        <v/>
      </c>
      <c r="BK439" s="135" t="str">
        <f aca="false">IF($BR439&lt;&gt;Constants!$B$8,"",IF($AT439,Constants!$B$21*$AV439+Constants!$B$22*IF($AW439,$AX439,Constants!$B$23),Constants!$B$24))</f>
        <v/>
      </c>
      <c r="BL439" s="136" t="str">
        <f aca="false">IF($BR439&lt;&gt;Constants!$B$8,"",Constants!$B$25*ABS($AD$9-IF($AT439,$AU439,0)))</f>
        <v/>
      </c>
      <c r="BM439" s="136" t="str">
        <f aca="false">IF($BR439&lt;&gt;Constants!$B$8,"",IF(AND($AT439,$AY439,$AW439),Constants!$B$27,0))</f>
        <v/>
      </c>
      <c r="BN439" s="136" t="str">
        <f aca="false">IF($BR439&lt;&gt;Constants!$B$8,"",IF($AT439,($AI439-Constants!$B$29)*Constants!$B$28,0))</f>
        <v/>
      </c>
      <c r="BO439" s="136" t="str">
        <f aca="false">IF($BR439&lt;&gt;Constants!$B$8,"",IF($AS439,0,Constants!$B$15)+IF($AR439,0,Constants!$B$16)+IF($AH439,0,Constants!$B$17))</f>
        <v/>
      </c>
      <c r="BP439" s="137" t="str">
        <f aca="false">IF($BR439&lt;&gt;Constants!$B$8,"",Constants!$B$20+SUM($BK439:$BO439))</f>
        <v/>
      </c>
      <c r="BQ439" s="133" t="str">
        <f aca="false">IF(ISBLANK($C439),"",IF(ISBLANK($D$7),$BQ$5,IF(NOT(ISNUMBER($D$7)),$BQ$6,"")))</f>
        <v/>
      </c>
      <c r="BR439" s="133" t="str">
        <f aca="false">IF(ISBLANK($C439),"",IF($BA439,Constants!$B$11,IF(COUNTA($E439:$AA439)=0,Constants!$B$10,IF(NOT($AG439),Constants!$B$9,IF(OR($BQ439&lt;&gt;"",$BB439,$BJ439),Constants!$B$12,Constants!$B$8)))))</f>
        <v/>
      </c>
      <c r="BS439" s="133" t="str">
        <f aca="false">IF(ISBLANK($C439),"",IF($BR439&lt;&gt;Constants!$B$8,$BR439,Constants!$B$13))</f>
        <v/>
      </c>
      <c r="BT439" s="136" t="str">
        <f aca="false">IF($BR439&lt;&gt;Constants!$B$8,"",IF($BI439="-&gt;",$BP439,$BH439))</f>
        <v/>
      </c>
      <c r="BU439" s="136" t="str">
        <f aca="false">IF($BR439&lt;&gt;Constants!$B$8,"",IF($AF439,0,Constants!$B$18))</f>
        <v/>
      </c>
      <c r="BV439" s="136" t="str">
        <f aca="false">IF($BR439&lt;&gt;Constants!$B$8,"",((Constants!$B$31-$AZ439)-Constants!$B$31)/Constants!$B$32)</f>
        <v/>
      </c>
      <c r="BW439" s="136" t="str">
        <f aca="false">IF(ISBLANK($C439),"",IF($BR439&lt;&gt;Constants!$B$8,$BR439,SUM($BT439:$BV439)))</f>
        <v/>
      </c>
      <c r="BX439" s="133" t="str">
        <f aca="false">IF(ISBLANK($C439),"",IF($BR439&lt;&gt;Constants!$B$8,$BR439,RANK($BW439,$BW$9:$BW$508,1)))</f>
        <v/>
      </c>
      <c r="BY439" s="136" t="str">
        <f aca="false">IF($BR439&lt;&gt;Constants!$B$8,"",IF($BI439="-&gt;",$BK439,$BC439))</f>
        <v/>
      </c>
      <c r="BZ439" s="133" t="str">
        <f aca="false">IF(ISBLANK($C439),"",IF($BR439&lt;&gt;Constants!$B$8,$BR439,IF(ISNUMBER($BY439),RANK($BY439,$BY$9:$BY$508,1),COUNT($BY$9:$BY$508)+1)))</f>
        <v/>
      </c>
      <c r="CA439" s="136" t="str">
        <f aca="false">IF($BR439&lt;&gt;Constants!$B$8,"",IF($BI439="-&gt;",$BL439,$BD439))</f>
        <v/>
      </c>
      <c r="CB439" s="133" t="str">
        <f aca="false">IF(ISBLANK($C439),"",IF($BR439&lt;&gt;Constants!$B$8,$BR439,IF(ISNUMBER($CA439),RANK($CA439,$CA$9:$CA$508,1),COUNT($CA$9:$CA$508)+1)))</f>
        <v/>
      </c>
      <c r="CC439" s="136" t="str">
        <f aca="false">IF($BR439&lt;&gt;Constants!$B$8,"",IF($BI439="-&gt;",IF($AT439,$AV439,""),IF($AL439,$AN439,"")))</f>
        <v/>
      </c>
      <c r="CD439" s="133" t="str">
        <f aca="false">IF(ISBLANK($C439),"",IF($BR439&lt;&gt;Constants!$B$8,$BR439,IF(ISNUMBER($CC439),RANK($CC439,$CC$9:$CC$508,1),COUNT($CC$9:$CC$508)+1)))</f>
        <v/>
      </c>
      <c r="CE439" s="136" t="str">
        <f aca="false">IF($BR439&lt;&gt;Constants!$B$8,"",IF(AND(NOT($AL439),NOT($AT439),$AJ439,$AK439,$AR439,$AS439),"",$AI439))</f>
        <v/>
      </c>
      <c r="CF439" s="133" t="str">
        <f aca="false">IF(ISBLANK($C439),"",IF($BR439&lt;&gt;Constants!$B$8,$BR439,IF(ISNUMBER($CE439),RANK($CE439,$CE$9:$CE$508,1),COUNT($CE$9:$CE$508)+1)))</f>
        <v/>
      </c>
      <c r="CG439" s="133" t="str">
        <f aca="false">IF(ISBLANK($C439),"",IF($BR439&lt;&gt;Constants!$B$8,$BR439,COUNTIFS($BX$9:$BX$508,"&lt;"&amp;$BX439)+COUNTIFS($BX$9:$BX$508,$BX439,$BZ$9:$BZ$508,"&lt;"&amp;$BZ439)+COUNTIFS($BX$9:$BX$508,$BX439,$BZ$9:$BZ$508,$BZ439,$CB$9:$CB$508,"&lt;"&amp;$CB439)+COUNTIFS($BX$9:$BX$508,$BX439,$BZ$9:$BZ$508,$BZ439,$CB$9:$CB$508,$CB439,$CD$9:$CD$508,"&lt;"&amp;$CD439)+COUNTIFS($BX$9:$BX$508,$BX439,$BZ$9:$BZ$508,$BZ439,$CB$9:$CB$508,$CB439,$CD$9:$CD$508,$CD439,$CF$9:$CF$508,"&lt;"&amp;$CF439)+1))</f>
        <v/>
      </c>
      <c r="CH439" s="133" t="str">
        <f aca="false">IF(ISBLANK($C439),"",IF($BR439&lt;&gt;Constants!$B$8,$BR439,$BX439-$CG439))</f>
        <v/>
      </c>
      <c r="CI439" s="138"/>
      <c r="CJ439" s="139"/>
      <c r="CK439" s="140" t="str">
        <f aca="false">IF(ISBLANK($C439),"",IF($BR439=Constants!$B$12,$BQ439,""))</f>
        <v/>
      </c>
      <c r="CL439" s="139" t="str">
        <f aca="false">IF(ISBLANK($C439),"",IF($BR439&lt;&gt;Constants!$B$8,"",IF($BI439="-&gt;",2,1)))</f>
        <v/>
      </c>
      <c r="CM439" s="141" t="str">
        <f aca="false">IF(ISBLANK($C439),"",IF($BR439&lt;&gt;Constants!$B$8,"",IF($BI439="-&gt;",$BK439,$BC439)))</f>
        <v/>
      </c>
      <c r="CN439" s="141" t="str">
        <f aca="false">IF(ISBLANK($C439),"",IF($BR439&lt;&gt;Constants!$B$8,"",IF($BI439="-&gt;",$BL439,$BD439)))</f>
        <v/>
      </c>
      <c r="CO439" s="141" t="str">
        <f aca="false">IF(ISBLANK($C439),"",IF($BR439&lt;&gt;Constants!$B$8,"",IF($BI439="-&gt;",$BM439+$BN439,$BE439+$BF439)+$BV439))</f>
        <v/>
      </c>
      <c r="CP439" s="141" t="str">
        <f aca="false">IF(ISBLANK($C439),"",IF($BR439&lt;&gt;Constants!$B$8,"",IF($BI439="-&gt;",$BO439,$BG439)+$BU439))</f>
        <v/>
      </c>
      <c r="CQ439" s="142" t="str">
        <f aca="false">IF(ISBLANK($C439),"",IF($BR439&lt;&gt;Constants!$B$8,$BR439,$BW439))</f>
        <v/>
      </c>
      <c r="CR439" s="143" t="str">
        <f aca="false">IF(ISBLANK($C439),"",$BS439)</f>
        <v/>
      </c>
      <c r="CS439" s="144" t="str">
        <f aca="false">IF(ISBLANK($C439),"",$CH439)</f>
        <v/>
      </c>
      <c r="CT439" s="144" t="str">
        <f aca="false">IF(ISBLANK($C439),"",$CG439)</f>
        <v/>
      </c>
      <c r="CU439" s="145" t="str">
        <f aca="false">IF(ISBLANK($C439),"",IFERROR(_xlfn.SWITCH($CT439,Constants!$B$11,COUNTA($C$9:$C$508)+2,Constants!$B$10,COUNTA($C$9:$C$508)+1,Constants!$B$9,COUNTA($C$9:$C$508)),$CT439))</f>
        <v/>
      </c>
      <c r="CV439" s="9"/>
      <c r="CW439" s="146" t="n">
        <f aca="false">IF(OR(ISNUMBER($CT439),$CT439=Constants!$B$11,$CT439=Constants!$B$9,$CT439=Constants!$B$10),1,0)</f>
        <v>0</v>
      </c>
      <c r="CX439" s="146" t="n">
        <v>431</v>
      </c>
      <c r="CY439" s="146" t="str">
        <f aca="false">IF(ISBLANK($C439),"",IF(ISNUMBER($CU439),$CU439+ROW($B439)/1000,""))</f>
        <v/>
      </c>
      <c r="CZ439" s="146" t="str">
        <f aca="false">IF(ISNUMBER($CY439),RANK($CY439,$CY$9:$CY$508,1),"")</f>
        <v/>
      </c>
      <c r="DA439" s="146" t="str">
        <f aca="false">IF(ISBLANK($C439),"",$B439)</f>
        <v/>
      </c>
      <c r="DB439" s="146" t="str">
        <f aca="false">IF(ISBLANK($C439),"",$C439)</f>
        <v/>
      </c>
      <c r="DC439" s="146" t="str">
        <f aca="false">IF(ISBLANK($C439),"",$D439)</f>
        <v/>
      </c>
      <c r="DD439" s="147" t="str">
        <f aca="false">$CR439</f>
        <v/>
      </c>
      <c r="DE439" s="148" t="str">
        <f aca="false">$CQ439</f>
        <v/>
      </c>
      <c r="DF439" s="146" t="str">
        <f aca="false">IF(ISBLANK($C439),"",$CT439)</f>
        <v/>
      </c>
      <c r="DG439" s="149" t="str">
        <f aca="false">IF($CX439&gt;$CW$8,"",VLOOKUP($CX439,$CZ$9:$DF$508,7,FALSE()))</f>
        <v/>
      </c>
      <c r="DH439" s="150" t="str">
        <f aca="false">IF($CX439&gt;$CW$8,"",VLOOKUP($CX439,$CZ$9:$DF$508,2,FALSE()))</f>
        <v/>
      </c>
      <c r="DI439" s="150" t="str">
        <f aca="false">IF($CX439&gt;$CW$8,"",VLOOKUP($CX439,$CZ$9:$DF$508,3,FALSE()))</f>
        <v/>
      </c>
      <c r="DJ439" s="150" t="str">
        <f aca="false">IF($CX439&gt;$CW$8,"",VLOOKUP($CX439,$CZ$9:$DF$508,4,FALSE()))</f>
        <v/>
      </c>
      <c r="DK439" s="150" t="str">
        <f aca="false">IF($CX439&gt;$CW$8,"",VLOOKUP($CX439,$CZ$9:$DF$508,5,FALSE()))</f>
        <v/>
      </c>
      <c r="DL439" s="151" t="str">
        <f aca="false">IF($CX439&gt;$CW$8,"",VLOOKUP($CX439,$CZ$9:$DF$508,6,FALSE()))</f>
        <v/>
      </c>
      <c r="DM439" s="75"/>
    </row>
    <row r="440" customFormat="false" ht="15.75" hidden="false" customHeight="false" outlineLevel="0" collapsed="false">
      <c r="A440" s="9"/>
      <c r="B440" s="157"/>
      <c r="C440" s="158"/>
      <c r="D440" s="159"/>
      <c r="E440" s="177"/>
      <c r="F440" s="161"/>
      <c r="G440" s="162"/>
      <c r="H440" s="162"/>
      <c r="I440" s="178"/>
      <c r="J440" s="165"/>
      <c r="K440" s="126"/>
      <c r="L440" s="127"/>
      <c r="M440" s="128"/>
      <c r="N440" s="165"/>
      <c r="O440" s="165"/>
      <c r="P440" s="177"/>
      <c r="Q440" s="165"/>
      <c r="R440" s="165"/>
      <c r="S440" s="126"/>
      <c r="T440" s="128"/>
      <c r="U440" s="128"/>
      <c r="V440" s="165"/>
      <c r="W440" s="165"/>
      <c r="X440" s="177"/>
      <c r="Y440" s="165"/>
      <c r="Z440" s="166"/>
      <c r="AA440" s="165"/>
      <c r="AB440" s="132"/>
      <c r="AC440" s="133"/>
      <c r="AD440" s="133"/>
      <c r="AE440" s="133"/>
      <c r="AF440" s="133" t="str">
        <f aca="false">IF(ISBLANK($C440),"",IF(E440=Constants!$B$3,TRUE(),IF(E440=Constants!$B$4,FALSE(),TRUE())))</f>
        <v/>
      </c>
      <c r="AG440" s="133" t="str">
        <f aca="false">IF(ISBLANK($C440),"",IF(F440=Constants!$B$3,TRUE(),IF(F440=Constants!$B$4,FALSE(),TRUE())))</f>
        <v/>
      </c>
      <c r="AH440" s="133" t="str">
        <f aca="false">IF(ISBLANK($C440),"",IF(G440=Constants!$B$3,TRUE(),IF(G440=Constants!$B$4,FALSE(),TRUE())))</f>
        <v/>
      </c>
      <c r="AI440" s="133" t="str">
        <f aca="false">IF(ISBLANK($C440),"",IF(AND(ISNUMBER(H440),H440&gt;=0),H440,Constants!$B$29))</f>
        <v/>
      </c>
      <c r="AJ440" s="133" t="str">
        <f aca="false">IF(ISBLANK($C440),"",IF(I440=Constants!$B$3,TRUE(),IF(I440=Constants!$B$4,FALSE(),TRUE())))</f>
        <v/>
      </c>
      <c r="AK440" s="133" t="str">
        <f aca="false">IF(ISBLANK($C440),"",IF(J440=Constants!$B$3,TRUE(),IF(J440=Constants!$B$4,FALSE(),TRUE())))</f>
        <v/>
      </c>
      <c r="AL440" s="133" t="str">
        <f aca="false">IF(ISBLANK($C440),"",IF(K440=Constants!$B$5,TRUE(),IF(K440=Constants!$B$6,FALSE(),COUNTA(L440:P440)&gt;0)))</f>
        <v/>
      </c>
      <c r="AM440" s="134" t="str">
        <f aca="false">IF(ISBLANK($C440),"",IF(ISNUMBER(L440),IF(L440&gt;=0,L440,""),""))</f>
        <v/>
      </c>
      <c r="AN440" s="135" t="str">
        <f aca="false">IF(ISBLANK($C440),"",IF(ISNUMBER(M440),IF(M440&gt;=0,M440,""),""))</f>
        <v/>
      </c>
      <c r="AO440" s="135" t="str">
        <f aca="false">IF(ISBLANK($C440),"",IF(N440=Constants!$B$3,TRUE(),IF(N440=Constants!$B$4,FALSE(),TRUE())))</f>
        <v/>
      </c>
      <c r="AP440" s="133" t="str">
        <f aca="false">IF(ISBLANK($C440),"",IF(ISNUMBER(O440),IF(O440&gt;=0,O440,""),""))</f>
        <v/>
      </c>
      <c r="AQ440" s="133" t="str">
        <f aca="false">IF(ISBLANK($C440),"",IF(P440=Constants!$B$3,TRUE(),IF(P440=Constants!$B$4,FALSE(),FALSE())))</f>
        <v/>
      </c>
      <c r="AR440" s="133" t="str">
        <f aca="false">IF(ISBLANK($C440),"",IF(Q440=Constants!$B$3,TRUE(),IF(Q440=Constants!$B$4,FALSE(),TRUE())))</f>
        <v/>
      </c>
      <c r="AS440" s="133" t="str">
        <f aca="false">IF(ISBLANK($C440),"",IF(R440=Constants!$B$3,TRUE(),IF(R440=Constants!$B$4,FALSE(),TRUE())))</f>
        <v/>
      </c>
      <c r="AT440" s="133" t="str">
        <f aca="false">IF(ISBLANK($C440),"",IF(S440=Constants!$B$5,TRUE(),IF(S440=Constants!$B$6,FALSE(),COUNTA(T440:X440)&gt;0)))</f>
        <v/>
      </c>
      <c r="AU440" s="134" t="str">
        <f aca="false">IF(ISBLANK($C440),"",IF(ISNUMBER(T440),IF(T440&gt;=0,T440,""),""))</f>
        <v/>
      </c>
      <c r="AV440" s="135" t="str">
        <f aca="false">IF(ISBLANK($C440),"",IF(ISNUMBER(U440),IF(U440&gt;=0,U440,""),""))</f>
        <v/>
      </c>
      <c r="AW440" s="135" t="str">
        <f aca="false">IF(ISBLANK($C440),"",IF(V440=Constants!$B$3,TRUE(),IF(V440=Constants!$B$4,FALSE(),TRUE())))</f>
        <v/>
      </c>
      <c r="AX440" s="133" t="str">
        <f aca="false">IF(ISBLANK($C440),"",IF(ISNUMBER(W440),IF(W440&gt;=0,W440,""),""))</f>
        <v/>
      </c>
      <c r="AY440" s="133" t="str">
        <f aca="false">IF(ISBLANK($C440),"",IF(X440=Constants!$B$3,TRUE(),IF(X440=Constants!$B$4,FALSE(),FALSE())))</f>
        <v/>
      </c>
      <c r="AZ440" s="133" t="str">
        <f aca="false">IF(ISBLANK($C440),"",MIN(Constants!$B$31,MAX(0,IF(ISNUMBER(Y440),Y440*60,0)+IF(ISNUMBER(Z440),Z440,0))))</f>
        <v/>
      </c>
      <c r="BA440" s="133" t="str">
        <f aca="false">IF(ISBLANK($C440),"",IF(AA440=Constants!$B$3,TRUE(),IF(AA440=Constants!$B$4,FALSE(),FALSE())))</f>
        <v/>
      </c>
      <c r="BB440" s="132" t="str">
        <f aca="false">IF(ISBLANK($C440),"",AND($AL440,OR($AM440="",$AN440="",AND($AO440,$AP440=""))))</f>
        <v/>
      </c>
      <c r="BC440" s="135" t="str">
        <f aca="false">IF($BR440&lt;&gt;Constants!$B$8,"",IF($AL440,Constants!$B$21*$AN440+Constants!$B$22*IF($AO440,$AP440,Constants!$B$23),Constants!$B$24))</f>
        <v/>
      </c>
      <c r="BD440" s="136" t="str">
        <f aca="false">IF($BR440&lt;&gt;Constants!$B$8,"",Constants!$B$25*ABS($AD$9-IF($AL440,$AM440,0)))</f>
        <v/>
      </c>
      <c r="BE440" s="136" t="str">
        <f aca="false">IF($BR440&lt;&gt;Constants!$B$8,"",IF(AND($AL440,$AQ440,$AO440),Constants!$B$27,0))</f>
        <v/>
      </c>
      <c r="BF440" s="136" t="str">
        <f aca="false">IF($BR440&lt;&gt;Constants!$B$8,"",IF($AL440,($AI440-Constants!$B$29)*Constants!$B$28,0))</f>
        <v/>
      </c>
      <c r="BG440" s="136" t="str">
        <f aca="false">IF($BR440&lt;&gt;Constants!$B$8,"",IF($AK440,0,Constants!$B$15)+IF($AJ440,0,Constants!$B$16)+IF($AH440,0,Constants!$B$17))</f>
        <v/>
      </c>
      <c r="BH440" s="137" t="str">
        <f aca="false">IF($BR440&lt;&gt;Constants!$B$8,"",Constants!$B$20+SUM($BC440:$BG440))</f>
        <v/>
      </c>
      <c r="BI440" s="133" t="str">
        <f aca="false">IF($BR440&lt;&gt;Constants!$B$8,"",IF(OR($BP440&lt;$BH440,AND($BP440=$BH440,OR($BK440&lt;$BC440,AND($BK440=$BC440,OR($BL440&lt;$BD440,AND($BL440=$BD440,$AT440,$AL440,$AV440&lt;$AN440)))))),"-&gt;","&lt;-"))</f>
        <v/>
      </c>
      <c r="BJ440" s="132" t="str">
        <f aca="false">IF(ISBLANK($C440),"",AND($AT440,OR($AU440="",$AV440="",AND($AW440,$AX440=""))))</f>
        <v/>
      </c>
      <c r="BK440" s="135" t="str">
        <f aca="false">IF($BR440&lt;&gt;Constants!$B$8,"",IF($AT440,Constants!$B$21*$AV440+Constants!$B$22*IF($AW440,$AX440,Constants!$B$23),Constants!$B$24))</f>
        <v/>
      </c>
      <c r="BL440" s="136" t="str">
        <f aca="false">IF($BR440&lt;&gt;Constants!$B$8,"",Constants!$B$25*ABS($AD$9-IF($AT440,$AU440,0)))</f>
        <v/>
      </c>
      <c r="BM440" s="136" t="str">
        <f aca="false">IF($BR440&lt;&gt;Constants!$B$8,"",IF(AND($AT440,$AY440,$AW440),Constants!$B$27,0))</f>
        <v/>
      </c>
      <c r="BN440" s="136" t="str">
        <f aca="false">IF($BR440&lt;&gt;Constants!$B$8,"",IF($AT440,($AI440-Constants!$B$29)*Constants!$B$28,0))</f>
        <v/>
      </c>
      <c r="BO440" s="136" t="str">
        <f aca="false">IF($BR440&lt;&gt;Constants!$B$8,"",IF($AS440,0,Constants!$B$15)+IF($AR440,0,Constants!$B$16)+IF($AH440,0,Constants!$B$17))</f>
        <v/>
      </c>
      <c r="BP440" s="137" t="str">
        <f aca="false">IF($BR440&lt;&gt;Constants!$B$8,"",Constants!$B$20+SUM($BK440:$BO440))</f>
        <v/>
      </c>
      <c r="BQ440" s="133" t="str">
        <f aca="false">IF(ISBLANK($C440),"",IF(ISBLANK($D$7),$BQ$5,IF(NOT(ISNUMBER($D$7)),$BQ$6,"")))</f>
        <v/>
      </c>
      <c r="BR440" s="133" t="str">
        <f aca="false">IF(ISBLANK($C440),"",IF($BA440,Constants!$B$11,IF(COUNTA($E440:$AA440)=0,Constants!$B$10,IF(NOT($AG440),Constants!$B$9,IF(OR($BQ440&lt;&gt;"",$BB440,$BJ440),Constants!$B$12,Constants!$B$8)))))</f>
        <v/>
      </c>
      <c r="BS440" s="133" t="str">
        <f aca="false">IF(ISBLANK($C440),"",IF($BR440&lt;&gt;Constants!$B$8,$BR440,Constants!$B$13))</f>
        <v/>
      </c>
      <c r="BT440" s="136" t="str">
        <f aca="false">IF($BR440&lt;&gt;Constants!$B$8,"",IF($BI440="-&gt;",$BP440,$BH440))</f>
        <v/>
      </c>
      <c r="BU440" s="136" t="str">
        <f aca="false">IF($BR440&lt;&gt;Constants!$B$8,"",IF($AF440,0,Constants!$B$18))</f>
        <v/>
      </c>
      <c r="BV440" s="136" t="str">
        <f aca="false">IF($BR440&lt;&gt;Constants!$B$8,"",((Constants!$B$31-$AZ440)-Constants!$B$31)/Constants!$B$32)</f>
        <v/>
      </c>
      <c r="BW440" s="136" t="str">
        <f aca="false">IF(ISBLANK($C440),"",IF($BR440&lt;&gt;Constants!$B$8,$BR440,SUM($BT440:$BV440)))</f>
        <v/>
      </c>
      <c r="BX440" s="133" t="str">
        <f aca="false">IF(ISBLANK($C440),"",IF($BR440&lt;&gt;Constants!$B$8,$BR440,RANK($BW440,$BW$9:$BW$508,1)))</f>
        <v/>
      </c>
      <c r="BY440" s="136" t="str">
        <f aca="false">IF($BR440&lt;&gt;Constants!$B$8,"",IF($BI440="-&gt;",$BK440,$BC440))</f>
        <v/>
      </c>
      <c r="BZ440" s="133" t="str">
        <f aca="false">IF(ISBLANK($C440),"",IF($BR440&lt;&gt;Constants!$B$8,$BR440,IF(ISNUMBER($BY440),RANK($BY440,$BY$9:$BY$508,1),COUNT($BY$9:$BY$508)+1)))</f>
        <v/>
      </c>
      <c r="CA440" s="136" t="str">
        <f aca="false">IF($BR440&lt;&gt;Constants!$B$8,"",IF($BI440="-&gt;",$BL440,$BD440))</f>
        <v/>
      </c>
      <c r="CB440" s="133" t="str">
        <f aca="false">IF(ISBLANK($C440),"",IF($BR440&lt;&gt;Constants!$B$8,$BR440,IF(ISNUMBER($CA440),RANK($CA440,$CA$9:$CA$508,1),COUNT($CA$9:$CA$508)+1)))</f>
        <v/>
      </c>
      <c r="CC440" s="136" t="str">
        <f aca="false">IF($BR440&lt;&gt;Constants!$B$8,"",IF($BI440="-&gt;",IF($AT440,$AV440,""),IF($AL440,$AN440,"")))</f>
        <v/>
      </c>
      <c r="CD440" s="133" t="str">
        <f aca="false">IF(ISBLANK($C440),"",IF($BR440&lt;&gt;Constants!$B$8,$BR440,IF(ISNUMBER($CC440),RANK($CC440,$CC$9:$CC$508,1),COUNT($CC$9:$CC$508)+1)))</f>
        <v/>
      </c>
      <c r="CE440" s="136" t="str">
        <f aca="false">IF($BR440&lt;&gt;Constants!$B$8,"",IF(AND(NOT($AL440),NOT($AT440),$AJ440,$AK440,$AR440,$AS440),"",$AI440))</f>
        <v/>
      </c>
      <c r="CF440" s="133" t="str">
        <f aca="false">IF(ISBLANK($C440),"",IF($BR440&lt;&gt;Constants!$B$8,$BR440,IF(ISNUMBER($CE440),RANK($CE440,$CE$9:$CE$508,1),COUNT($CE$9:$CE$508)+1)))</f>
        <v/>
      </c>
      <c r="CG440" s="133" t="str">
        <f aca="false">IF(ISBLANK($C440),"",IF($BR440&lt;&gt;Constants!$B$8,$BR440,COUNTIFS($BX$9:$BX$508,"&lt;"&amp;$BX440)+COUNTIFS($BX$9:$BX$508,$BX440,$BZ$9:$BZ$508,"&lt;"&amp;$BZ440)+COUNTIFS($BX$9:$BX$508,$BX440,$BZ$9:$BZ$508,$BZ440,$CB$9:$CB$508,"&lt;"&amp;$CB440)+COUNTIFS($BX$9:$BX$508,$BX440,$BZ$9:$BZ$508,$BZ440,$CB$9:$CB$508,$CB440,$CD$9:$CD$508,"&lt;"&amp;$CD440)+COUNTIFS($BX$9:$BX$508,$BX440,$BZ$9:$BZ$508,$BZ440,$CB$9:$CB$508,$CB440,$CD$9:$CD$508,$CD440,$CF$9:$CF$508,"&lt;"&amp;$CF440)+1))</f>
        <v/>
      </c>
      <c r="CH440" s="133" t="str">
        <f aca="false">IF(ISBLANK($C440),"",IF($BR440&lt;&gt;Constants!$B$8,$BR440,$BX440-$CG440))</f>
        <v/>
      </c>
      <c r="CI440" s="138"/>
      <c r="CJ440" s="139"/>
      <c r="CK440" s="140" t="str">
        <f aca="false">IF(ISBLANK($C440),"",IF($BR440=Constants!$B$12,$BQ440,""))</f>
        <v/>
      </c>
      <c r="CL440" s="139" t="str">
        <f aca="false">IF(ISBLANK($C440),"",IF($BR440&lt;&gt;Constants!$B$8,"",IF($BI440="-&gt;",2,1)))</f>
        <v/>
      </c>
      <c r="CM440" s="141" t="str">
        <f aca="false">IF(ISBLANK($C440),"",IF($BR440&lt;&gt;Constants!$B$8,"",IF($BI440="-&gt;",$BK440,$BC440)))</f>
        <v/>
      </c>
      <c r="CN440" s="141" t="str">
        <f aca="false">IF(ISBLANK($C440),"",IF($BR440&lt;&gt;Constants!$B$8,"",IF($BI440="-&gt;",$BL440,$BD440)))</f>
        <v/>
      </c>
      <c r="CO440" s="141" t="str">
        <f aca="false">IF(ISBLANK($C440),"",IF($BR440&lt;&gt;Constants!$B$8,"",IF($BI440="-&gt;",$BM440+$BN440,$BE440+$BF440)+$BV440))</f>
        <v/>
      </c>
      <c r="CP440" s="141" t="str">
        <f aca="false">IF(ISBLANK($C440),"",IF($BR440&lt;&gt;Constants!$B$8,"",IF($BI440="-&gt;",$BO440,$BG440)+$BU440))</f>
        <v/>
      </c>
      <c r="CQ440" s="142" t="str">
        <f aca="false">IF(ISBLANK($C440),"",IF($BR440&lt;&gt;Constants!$B$8,$BR440,$BW440))</f>
        <v/>
      </c>
      <c r="CR440" s="143" t="str">
        <f aca="false">IF(ISBLANK($C440),"",$BS440)</f>
        <v/>
      </c>
      <c r="CS440" s="144" t="str">
        <f aca="false">IF(ISBLANK($C440),"",$CH440)</f>
        <v/>
      </c>
      <c r="CT440" s="144" t="str">
        <f aca="false">IF(ISBLANK($C440),"",$CG440)</f>
        <v/>
      </c>
      <c r="CU440" s="145" t="str">
        <f aca="false">IF(ISBLANK($C440),"",IFERROR(_xlfn.SWITCH($CT440,Constants!$B$11,COUNTA($C$9:$C$508)+2,Constants!$B$10,COUNTA($C$9:$C$508)+1,Constants!$B$9,COUNTA($C$9:$C$508)),$CT440))</f>
        <v/>
      </c>
      <c r="CV440" s="9"/>
      <c r="CW440" s="146" t="n">
        <f aca="false">IF(OR(ISNUMBER($CT440),$CT440=Constants!$B$11,$CT440=Constants!$B$9,$CT440=Constants!$B$10),1,0)</f>
        <v>0</v>
      </c>
      <c r="CX440" s="146" t="n">
        <v>432</v>
      </c>
      <c r="CY440" s="146" t="str">
        <f aca="false">IF(ISBLANK($C440),"",IF(ISNUMBER($CU440),$CU440+ROW($B440)/1000,""))</f>
        <v/>
      </c>
      <c r="CZ440" s="146" t="str">
        <f aca="false">IF(ISNUMBER($CY440),RANK($CY440,$CY$9:$CY$508,1),"")</f>
        <v/>
      </c>
      <c r="DA440" s="146" t="str">
        <f aca="false">IF(ISBLANK($C440),"",$B440)</f>
        <v/>
      </c>
      <c r="DB440" s="146" t="str">
        <f aca="false">IF(ISBLANK($C440),"",$C440)</f>
        <v/>
      </c>
      <c r="DC440" s="146" t="str">
        <f aca="false">IF(ISBLANK($C440),"",$D440)</f>
        <v/>
      </c>
      <c r="DD440" s="147" t="str">
        <f aca="false">$CR440</f>
        <v/>
      </c>
      <c r="DE440" s="148" t="str">
        <f aca="false">$CQ440</f>
        <v/>
      </c>
      <c r="DF440" s="146" t="str">
        <f aca="false">IF(ISBLANK($C440),"",$CT440)</f>
        <v/>
      </c>
      <c r="DG440" s="149" t="str">
        <f aca="false">IF($CX440&gt;$CW$8,"",VLOOKUP($CX440,$CZ$9:$DF$508,7,FALSE()))</f>
        <v/>
      </c>
      <c r="DH440" s="150" t="str">
        <f aca="false">IF($CX440&gt;$CW$8,"",VLOOKUP($CX440,$CZ$9:$DF$508,2,FALSE()))</f>
        <v/>
      </c>
      <c r="DI440" s="150" t="str">
        <f aca="false">IF($CX440&gt;$CW$8,"",VLOOKUP($CX440,$CZ$9:$DF$508,3,FALSE()))</f>
        <v/>
      </c>
      <c r="DJ440" s="150" t="str">
        <f aca="false">IF($CX440&gt;$CW$8,"",VLOOKUP($CX440,$CZ$9:$DF$508,4,FALSE()))</f>
        <v/>
      </c>
      <c r="DK440" s="150" t="str">
        <f aca="false">IF($CX440&gt;$CW$8,"",VLOOKUP($CX440,$CZ$9:$DF$508,5,FALSE()))</f>
        <v/>
      </c>
      <c r="DL440" s="151" t="str">
        <f aca="false">IF($CX440&gt;$CW$8,"",VLOOKUP($CX440,$CZ$9:$DF$508,6,FALSE()))</f>
        <v/>
      </c>
      <c r="DM440" s="75"/>
    </row>
    <row r="441" customFormat="false" ht="15.75" hidden="false" customHeight="false" outlineLevel="0" collapsed="false">
      <c r="A441" s="9"/>
      <c r="B441" s="77"/>
      <c r="C441" s="78"/>
      <c r="D441" s="167"/>
      <c r="E441" s="175"/>
      <c r="F441" s="169"/>
      <c r="G441" s="170"/>
      <c r="H441" s="170"/>
      <c r="I441" s="176"/>
      <c r="J441" s="173"/>
      <c r="K441" s="85"/>
      <c r="L441" s="86"/>
      <c r="M441" s="87"/>
      <c r="N441" s="173"/>
      <c r="O441" s="173"/>
      <c r="P441" s="175"/>
      <c r="Q441" s="173"/>
      <c r="R441" s="173"/>
      <c r="S441" s="85"/>
      <c r="T441" s="87"/>
      <c r="U441" s="87"/>
      <c r="V441" s="173"/>
      <c r="W441" s="173"/>
      <c r="X441" s="175"/>
      <c r="Y441" s="173"/>
      <c r="Z441" s="174"/>
      <c r="AA441" s="173"/>
      <c r="AB441" s="91"/>
      <c r="AC441" s="92"/>
      <c r="AD441" s="92"/>
      <c r="AE441" s="92"/>
      <c r="AF441" s="92" t="str">
        <f aca="false">IF(ISBLANK($C441),"",IF(E441=Constants!$B$3,TRUE(),IF(E441=Constants!$B$4,FALSE(),TRUE())))</f>
        <v/>
      </c>
      <c r="AG441" s="92" t="str">
        <f aca="false">IF(ISBLANK($C441),"",IF(F441=Constants!$B$3,TRUE(),IF(F441=Constants!$B$4,FALSE(),TRUE())))</f>
        <v/>
      </c>
      <c r="AH441" s="92" t="str">
        <f aca="false">IF(ISBLANK($C441),"",IF(G441=Constants!$B$3,TRUE(),IF(G441=Constants!$B$4,FALSE(),TRUE())))</f>
        <v/>
      </c>
      <c r="AI441" s="92" t="str">
        <f aca="false">IF(ISBLANK($C441),"",IF(AND(ISNUMBER(H441),H441&gt;=0),H441,Constants!$B$29))</f>
        <v/>
      </c>
      <c r="AJ441" s="92" t="str">
        <f aca="false">IF(ISBLANK($C441),"",IF(I441=Constants!$B$3,TRUE(),IF(I441=Constants!$B$4,FALSE(),TRUE())))</f>
        <v/>
      </c>
      <c r="AK441" s="92" t="str">
        <f aca="false">IF(ISBLANK($C441),"",IF(J441=Constants!$B$3,TRUE(),IF(J441=Constants!$B$4,FALSE(),TRUE())))</f>
        <v/>
      </c>
      <c r="AL441" s="92" t="str">
        <f aca="false">IF(ISBLANK($C441),"",IF(K441=Constants!$B$5,TRUE(),IF(K441=Constants!$B$6,FALSE(),COUNTA(L441:P441)&gt;0)))</f>
        <v/>
      </c>
      <c r="AM441" s="94" t="str">
        <f aca="false">IF(ISBLANK($C441),"",IF(ISNUMBER(L441),IF(L441&gt;=0,L441,""),""))</f>
        <v/>
      </c>
      <c r="AN441" s="93" t="str">
        <f aca="false">IF(ISBLANK($C441),"",IF(ISNUMBER(M441),IF(M441&gt;=0,M441,""),""))</f>
        <v/>
      </c>
      <c r="AO441" s="93" t="str">
        <f aca="false">IF(ISBLANK($C441),"",IF(N441=Constants!$B$3,TRUE(),IF(N441=Constants!$B$4,FALSE(),TRUE())))</f>
        <v/>
      </c>
      <c r="AP441" s="92" t="str">
        <f aca="false">IF(ISBLANK($C441),"",IF(ISNUMBER(O441),IF(O441&gt;=0,O441,""),""))</f>
        <v/>
      </c>
      <c r="AQ441" s="92" t="str">
        <f aca="false">IF(ISBLANK($C441),"",IF(P441=Constants!$B$3,TRUE(),IF(P441=Constants!$B$4,FALSE(),FALSE())))</f>
        <v/>
      </c>
      <c r="AR441" s="92" t="str">
        <f aca="false">IF(ISBLANK($C441),"",IF(Q441=Constants!$B$3,TRUE(),IF(Q441=Constants!$B$4,FALSE(),TRUE())))</f>
        <v/>
      </c>
      <c r="AS441" s="92" t="str">
        <f aca="false">IF(ISBLANK($C441),"",IF(R441=Constants!$B$3,TRUE(),IF(R441=Constants!$B$4,FALSE(),TRUE())))</f>
        <v/>
      </c>
      <c r="AT441" s="92" t="str">
        <f aca="false">IF(ISBLANK($C441),"",IF(S441=Constants!$B$5,TRUE(),IF(S441=Constants!$B$6,FALSE(),COUNTA(T441:X441)&gt;0)))</f>
        <v/>
      </c>
      <c r="AU441" s="94" t="str">
        <f aca="false">IF(ISBLANK($C441),"",IF(ISNUMBER(T441),IF(T441&gt;=0,T441,""),""))</f>
        <v/>
      </c>
      <c r="AV441" s="93" t="str">
        <f aca="false">IF(ISBLANK($C441),"",IF(ISNUMBER(U441),IF(U441&gt;=0,U441,""),""))</f>
        <v/>
      </c>
      <c r="AW441" s="93" t="str">
        <f aca="false">IF(ISBLANK($C441),"",IF(V441=Constants!$B$3,TRUE(),IF(V441=Constants!$B$4,FALSE(),TRUE())))</f>
        <v/>
      </c>
      <c r="AX441" s="92" t="str">
        <f aca="false">IF(ISBLANK($C441),"",IF(ISNUMBER(W441),IF(W441&gt;=0,W441,""),""))</f>
        <v/>
      </c>
      <c r="AY441" s="92" t="str">
        <f aca="false">IF(ISBLANK($C441),"",IF(X441=Constants!$B$3,TRUE(),IF(X441=Constants!$B$4,FALSE(),FALSE())))</f>
        <v/>
      </c>
      <c r="AZ441" s="92" t="str">
        <f aca="false">IF(ISBLANK($C441),"",MIN(Constants!$B$31,MAX(0,IF(ISNUMBER(Y441),Y441*60,0)+IF(ISNUMBER(Z441),Z441,0))))</f>
        <v/>
      </c>
      <c r="BA441" s="92" t="str">
        <f aca="false">IF(ISBLANK($C441),"",IF(AA441=Constants!$B$3,TRUE(),IF(AA441=Constants!$B$4,FALSE(),FALSE())))</f>
        <v/>
      </c>
      <c r="BB441" s="91" t="str">
        <f aca="false">IF(ISBLANK($C441),"",AND($AL441,OR($AM441="",$AN441="",AND($AO441,$AP441=""))))</f>
        <v/>
      </c>
      <c r="BC441" s="93" t="str">
        <f aca="false">IF($BR441&lt;&gt;Constants!$B$8,"",IF($AL441,Constants!$B$21*$AN441+Constants!$B$22*IF($AO441,$AP441,Constants!$B$23),Constants!$B$24))</f>
        <v/>
      </c>
      <c r="BD441" s="96" t="str">
        <f aca="false">IF($BR441&lt;&gt;Constants!$B$8,"",Constants!$B$25*ABS($AD$9-IF($AL441,$AM441,0)))</f>
        <v/>
      </c>
      <c r="BE441" s="96" t="str">
        <f aca="false">IF($BR441&lt;&gt;Constants!$B$8,"",IF(AND($AL441,$AQ441,$AO441),Constants!$B$27,0))</f>
        <v/>
      </c>
      <c r="BF441" s="96" t="str">
        <f aca="false">IF($BR441&lt;&gt;Constants!$B$8,"",IF($AL441,($AI441-Constants!$B$29)*Constants!$B$28,0))</f>
        <v/>
      </c>
      <c r="BG441" s="96" t="str">
        <f aca="false">IF($BR441&lt;&gt;Constants!$B$8,"",IF($AK441,0,Constants!$B$15)+IF($AJ441,0,Constants!$B$16)+IF($AH441,0,Constants!$B$17))</f>
        <v/>
      </c>
      <c r="BH441" s="97" t="str">
        <f aca="false">IF($BR441&lt;&gt;Constants!$B$8,"",Constants!$B$20+SUM($BC441:$BG441))</f>
        <v/>
      </c>
      <c r="BI441" s="92" t="str">
        <f aca="false">IF($BR441&lt;&gt;Constants!$B$8,"",IF(OR($BP441&lt;$BH441,AND($BP441=$BH441,OR($BK441&lt;$BC441,AND($BK441=$BC441,OR($BL441&lt;$BD441,AND($BL441=$BD441,$AT441,$AL441,$AV441&lt;$AN441)))))),"-&gt;","&lt;-"))</f>
        <v/>
      </c>
      <c r="BJ441" s="91" t="str">
        <f aca="false">IF(ISBLANK($C441),"",AND($AT441,OR($AU441="",$AV441="",AND($AW441,$AX441=""))))</f>
        <v/>
      </c>
      <c r="BK441" s="93" t="str">
        <f aca="false">IF($BR441&lt;&gt;Constants!$B$8,"",IF($AT441,Constants!$B$21*$AV441+Constants!$B$22*IF($AW441,$AX441,Constants!$B$23),Constants!$B$24))</f>
        <v/>
      </c>
      <c r="BL441" s="96" t="str">
        <f aca="false">IF($BR441&lt;&gt;Constants!$B$8,"",Constants!$B$25*ABS($AD$9-IF($AT441,$AU441,0)))</f>
        <v/>
      </c>
      <c r="BM441" s="96" t="str">
        <f aca="false">IF($BR441&lt;&gt;Constants!$B$8,"",IF(AND($AT441,$AY441,$AW441),Constants!$B$27,0))</f>
        <v/>
      </c>
      <c r="BN441" s="96" t="str">
        <f aca="false">IF($BR441&lt;&gt;Constants!$B$8,"",IF($AT441,($AI441-Constants!$B$29)*Constants!$B$28,0))</f>
        <v/>
      </c>
      <c r="BO441" s="96" t="str">
        <f aca="false">IF($BR441&lt;&gt;Constants!$B$8,"",IF($AS441,0,Constants!$B$15)+IF($AR441,0,Constants!$B$16)+IF($AH441,0,Constants!$B$17))</f>
        <v/>
      </c>
      <c r="BP441" s="97" t="str">
        <f aca="false">IF($BR441&lt;&gt;Constants!$B$8,"",Constants!$B$20+SUM($BK441:$BO441))</f>
        <v/>
      </c>
      <c r="BQ441" s="92" t="str">
        <f aca="false">IF(ISBLANK($C441),"",IF(ISBLANK($D$7),$BQ$5,IF(NOT(ISNUMBER($D$7)),$BQ$6,"")))</f>
        <v/>
      </c>
      <c r="BR441" s="92" t="str">
        <f aca="false">IF(ISBLANK($C441),"",IF($BA441,Constants!$B$11,IF(COUNTA($E441:$AA441)=0,Constants!$B$10,IF(NOT($AG441),Constants!$B$9,IF(OR($BQ441&lt;&gt;"",$BB441,$BJ441),Constants!$B$12,Constants!$B$8)))))</f>
        <v/>
      </c>
      <c r="BS441" s="92" t="str">
        <f aca="false">IF(ISBLANK($C441),"",IF($BR441&lt;&gt;Constants!$B$8,$BR441,Constants!$B$13))</f>
        <v/>
      </c>
      <c r="BT441" s="96" t="str">
        <f aca="false">IF($BR441&lt;&gt;Constants!$B$8,"",IF($BI441="-&gt;",$BP441,$BH441))</f>
        <v/>
      </c>
      <c r="BU441" s="96" t="str">
        <f aca="false">IF($BR441&lt;&gt;Constants!$B$8,"",IF($AF441,0,Constants!$B$18))</f>
        <v/>
      </c>
      <c r="BV441" s="96" t="str">
        <f aca="false">IF($BR441&lt;&gt;Constants!$B$8,"",((Constants!$B$31-$AZ441)-Constants!$B$31)/Constants!$B$32)</f>
        <v/>
      </c>
      <c r="BW441" s="96" t="str">
        <f aca="false">IF(ISBLANK($C441),"",IF($BR441&lt;&gt;Constants!$B$8,$BR441,SUM($BT441:$BV441)))</f>
        <v/>
      </c>
      <c r="BX441" s="92" t="str">
        <f aca="false">IF(ISBLANK($C441),"",IF($BR441&lt;&gt;Constants!$B$8,$BR441,RANK($BW441,$BW$9:$BW$508,1)))</f>
        <v/>
      </c>
      <c r="BY441" s="96" t="str">
        <f aca="false">IF($BR441&lt;&gt;Constants!$B$8,"",IF($BI441="-&gt;",$BK441,$BC441))</f>
        <v/>
      </c>
      <c r="BZ441" s="92" t="str">
        <f aca="false">IF(ISBLANK($C441),"",IF($BR441&lt;&gt;Constants!$B$8,$BR441,IF(ISNUMBER($BY441),RANK($BY441,$BY$9:$BY$508,1),COUNT($BY$9:$BY$508)+1)))</f>
        <v/>
      </c>
      <c r="CA441" s="96" t="str">
        <f aca="false">IF($BR441&lt;&gt;Constants!$B$8,"",IF($BI441="-&gt;",$BL441,$BD441))</f>
        <v/>
      </c>
      <c r="CB441" s="92" t="str">
        <f aca="false">IF(ISBLANK($C441),"",IF($BR441&lt;&gt;Constants!$B$8,$BR441,IF(ISNUMBER($CA441),RANK($CA441,$CA$9:$CA$508,1),COUNT($CA$9:$CA$508)+1)))</f>
        <v/>
      </c>
      <c r="CC441" s="96" t="str">
        <f aca="false">IF($BR441&lt;&gt;Constants!$B$8,"",IF($BI441="-&gt;",IF($AT441,$AV441,""),IF($AL441,$AN441,"")))</f>
        <v/>
      </c>
      <c r="CD441" s="92" t="str">
        <f aca="false">IF(ISBLANK($C441),"",IF($BR441&lt;&gt;Constants!$B$8,$BR441,IF(ISNUMBER($CC441),RANK($CC441,$CC$9:$CC$508,1),COUNT($CC$9:$CC$508)+1)))</f>
        <v/>
      </c>
      <c r="CE441" s="96" t="str">
        <f aca="false">IF($BR441&lt;&gt;Constants!$B$8,"",IF(AND(NOT($AL441),NOT($AT441),$AJ441,$AK441,$AR441,$AS441),"",$AI441))</f>
        <v/>
      </c>
      <c r="CF441" s="92" t="str">
        <f aca="false">IF(ISBLANK($C441),"",IF($BR441&lt;&gt;Constants!$B$8,$BR441,IF(ISNUMBER($CE441),RANK($CE441,$CE$9:$CE$508,1),COUNT($CE$9:$CE$508)+1)))</f>
        <v/>
      </c>
      <c r="CG441" s="92" t="str">
        <f aca="false">IF(ISBLANK($C441),"",IF($BR441&lt;&gt;Constants!$B$8,$BR441,COUNTIFS($BX$9:$BX$508,"&lt;"&amp;$BX441)+COUNTIFS($BX$9:$BX$508,$BX441,$BZ$9:$BZ$508,"&lt;"&amp;$BZ441)+COUNTIFS($BX$9:$BX$508,$BX441,$BZ$9:$BZ$508,$BZ441,$CB$9:$CB$508,"&lt;"&amp;$CB441)+COUNTIFS($BX$9:$BX$508,$BX441,$BZ$9:$BZ$508,$BZ441,$CB$9:$CB$508,$CB441,$CD$9:$CD$508,"&lt;"&amp;$CD441)+COUNTIFS($BX$9:$BX$508,$BX441,$BZ$9:$BZ$508,$BZ441,$CB$9:$CB$508,$CB441,$CD$9:$CD$508,$CD441,$CF$9:$CF$508,"&lt;"&amp;$CF441)+1))</f>
        <v/>
      </c>
      <c r="CH441" s="92" t="str">
        <f aca="false">IF(ISBLANK($C441),"",IF($BR441&lt;&gt;Constants!$B$8,$BR441,$BX441-$CG441))</f>
        <v/>
      </c>
      <c r="CI441" s="98"/>
      <c r="CJ441" s="99"/>
      <c r="CK441" s="100" t="str">
        <f aca="false">IF(ISBLANK($C441),"",IF($BR441=Constants!$B$12,$BQ441,""))</f>
        <v/>
      </c>
      <c r="CL441" s="99" t="str">
        <f aca="false">IF(ISBLANK($C441),"",IF($BR441&lt;&gt;Constants!$B$8,"",IF($BI441="-&gt;",2,1)))</f>
        <v/>
      </c>
      <c r="CM441" s="101" t="str">
        <f aca="false">IF(ISBLANK($C441),"",IF($BR441&lt;&gt;Constants!$B$8,"",IF($BI441="-&gt;",$BK441,$BC441)))</f>
        <v/>
      </c>
      <c r="CN441" s="101" t="str">
        <f aca="false">IF(ISBLANK($C441),"",IF($BR441&lt;&gt;Constants!$B$8,"",IF($BI441="-&gt;",$BL441,$BD441)))</f>
        <v/>
      </c>
      <c r="CO441" s="101" t="str">
        <f aca="false">IF(ISBLANK($C441),"",IF($BR441&lt;&gt;Constants!$B$8,"",IF($BI441="-&gt;",$BM441+$BN441,$BE441+$BF441)+$BV441))</f>
        <v/>
      </c>
      <c r="CP441" s="101" t="str">
        <f aca="false">IF(ISBLANK($C441),"",IF($BR441&lt;&gt;Constants!$B$8,"",IF($BI441="-&gt;",$BO441,$BG441)+$BU441))</f>
        <v/>
      </c>
      <c r="CQ441" s="102" t="str">
        <f aca="false">IF(ISBLANK($C441),"",IF($BR441&lt;&gt;Constants!$B$8,$BR441,$BW441))</f>
        <v/>
      </c>
      <c r="CR441" s="103" t="str">
        <f aca="false">IF(ISBLANK($C441),"",$BS441)</f>
        <v/>
      </c>
      <c r="CS441" s="104" t="str">
        <f aca="false">IF(ISBLANK($C441),"",$CH441)</f>
        <v/>
      </c>
      <c r="CT441" s="104" t="str">
        <f aca="false">IF(ISBLANK($C441),"",$CG441)</f>
        <v/>
      </c>
      <c r="CU441" s="105" t="str">
        <f aca="false">IF(ISBLANK($C441),"",IFERROR(_xlfn.SWITCH($CT441,Constants!$B$11,COUNTA($C$9:$C$508)+2,Constants!$B$10,COUNTA($C$9:$C$508)+1,Constants!$B$9,COUNTA($C$9:$C$508)),$CT441))</f>
        <v/>
      </c>
      <c r="CV441" s="9"/>
      <c r="CW441" s="106" t="n">
        <f aca="false">IF(OR(ISNUMBER($CT441),$CT441=Constants!$B$11,$CT441=Constants!$B$9,$CT441=Constants!$B$10),1,0)</f>
        <v>0</v>
      </c>
      <c r="CX441" s="106" t="n">
        <v>433</v>
      </c>
      <c r="CY441" s="106" t="str">
        <f aca="false">IF(ISBLANK($C441),"",IF(ISNUMBER($CU441),$CU441+ROW($B441)/1000,""))</f>
        <v/>
      </c>
      <c r="CZ441" s="106" t="str">
        <f aca="false">IF(ISNUMBER($CY441),RANK($CY441,$CY$9:$CY$508,1),"")</f>
        <v/>
      </c>
      <c r="DA441" s="106" t="str">
        <f aca="false">IF(ISBLANK($C441),"",$B441)</f>
        <v/>
      </c>
      <c r="DB441" s="106" t="str">
        <f aca="false">IF(ISBLANK($C441),"",$C441)</f>
        <v/>
      </c>
      <c r="DC441" s="106" t="str">
        <f aca="false">IF(ISBLANK($C441),"",$D441)</f>
        <v/>
      </c>
      <c r="DD441" s="107" t="str">
        <f aca="false">$CR441</f>
        <v/>
      </c>
      <c r="DE441" s="108" t="str">
        <f aca="false">$CQ441</f>
        <v/>
      </c>
      <c r="DF441" s="106" t="str">
        <f aca="false">IF(ISBLANK($C441),"",$CT441)</f>
        <v/>
      </c>
      <c r="DG441" s="109" t="str">
        <f aca="false">IF($CX441&gt;$CW$8,"",VLOOKUP($CX441,$CZ$9:$DF$508,7,FALSE()))</f>
        <v/>
      </c>
      <c r="DH441" s="110" t="str">
        <f aca="false">IF($CX441&gt;$CW$8,"",VLOOKUP($CX441,$CZ$9:$DF$508,2,FALSE()))</f>
        <v/>
      </c>
      <c r="DI441" s="110" t="str">
        <f aca="false">IF($CX441&gt;$CW$8,"",VLOOKUP($CX441,$CZ$9:$DF$508,3,FALSE()))</f>
        <v/>
      </c>
      <c r="DJ441" s="110" t="str">
        <f aca="false">IF($CX441&gt;$CW$8,"",VLOOKUP($CX441,$CZ$9:$DF$508,4,FALSE()))</f>
        <v/>
      </c>
      <c r="DK441" s="110" t="str">
        <f aca="false">IF($CX441&gt;$CW$8,"",VLOOKUP($CX441,$CZ$9:$DF$508,5,FALSE()))</f>
        <v/>
      </c>
      <c r="DL441" s="111" t="str">
        <f aca="false">IF($CX441&gt;$CW$8,"",VLOOKUP($CX441,$CZ$9:$DF$508,6,FALSE()))</f>
        <v/>
      </c>
      <c r="DM441" s="75"/>
    </row>
    <row r="442" customFormat="false" ht="15.75" hidden="false" customHeight="false" outlineLevel="0" collapsed="false">
      <c r="A442" s="9"/>
      <c r="B442" s="77"/>
      <c r="C442" s="78"/>
      <c r="D442" s="167"/>
      <c r="E442" s="175"/>
      <c r="F442" s="169"/>
      <c r="G442" s="170"/>
      <c r="H442" s="170"/>
      <c r="I442" s="176"/>
      <c r="J442" s="173"/>
      <c r="K442" s="85"/>
      <c r="L442" s="86"/>
      <c r="M442" s="87"/>
      <c r="N442" s="173"/>
      <c r="O442" s="173"/>
      <c r="P442" s="175"/>
      <c r="Q442" s="173"/>
      <c r="R442" s="173"/>
      <c r="S442" s="85"/>
      <c r="T442" s="87"/>
      <c r="U442" s="87"/>
      <c r="V442" s="173"/>
      <c r="W442" s="173"/>
      <c r="X442" s="175"/>
      <c r="Y442" s="173"/>
      <c r="Z442" s="174"/>
      <c r="AA442" s="173"/>
      <c r="AB442" s="91"/>
      <c r="AC442" s="92"/>
      <c r="AD442" s="92"/>
      <c r="AE442" s="92"/>
      <c r="AF442" s="92" t="str">
        <f aca="false">IF(ISBLANK($C442),"",IF(E442=Constants!$B$3,TRUE(),IF(E442=Constants!$B$4,FALSE(),TRUE())))</f>
        <v/>
      </c>
      <c r="AG442" s="92" t="str">
        <f aca="false">IF(ISBLANK($C442),"",IF(F442=Constants!$B$3,TRUE(),IF(F442=Constants!$B$4,FALSE(),TRUE())))</f>
        <v/>
      </c>
      <c r="AH442" s="92" t="str">
        <f aca="false">IF(ISBLANK($C442),"",IF(G442=Constants!$B$3,TRUE(),IF(G442=Constants!$B$4,FALSE(),TRUE())))</f>
        <v/>
      </c>
      <c r="AI442" s="92" t="str">
        <f aca="false">IF(ISBLANK($C442),"",IF(AND(ISNUMBER(H442),H442&gt;=0),H442,Constants!$B$29))</f>
        <v/>
      </c>
      <c r="AJ442" s="92" t="str">
        <f aca="false">IF(ISBLANK($C442),"",IF(I442=Constants!$B$3,TRUE(),IF(I442=Constants!$B$4,FALSE(),TRUE())))</f>
        <v/>
      </c>
      <c r="AK442" s="92" t="str">
        <f aca="false">IF(ISBLANK($C442),"",IF(J442=Constants!$B$3,TRUE(),IF(J442=Constants!$B$4,FALSE(),TRUE())))</f>
        <v/>
      </c>
      <c r="AL442" s="92" t="str">
        <f aca="false">IF(ISBLANK($C442),"",IF(K442=Constants!$B$5,TRUE(),IF(K442=Constants!$B$6,FALSE(),COUNTA(L442:P442)&gt;0)))</f>
        <v/>
      </c>
      <c r="AM442" s="94" t="str">
        <f aca="false">IF(ISBLANK($C442),"",IF(ISNUMBER(L442),IF(L442&gt;=0,L442,""),""))</f>
        <v/>
      </c>
      <c r="AN442" s="93" t="str">
        <f aca="false">IF(ISBLANK($C442),"",IF(ISNUMBER(M442),IF(M442&gt;=0,M442,""),""))</f>
        <v/>
      </c>
      <c r="AO442" s="93" t="str">
        <f aca="false">IF(ISBLANK($C442),"",IF(N442=Constants!$B$3,TRUE(),IF(N442=Constants!$B$4,FALSE(),TRUE())))</f>
        <v/>
      </c>
      <c r="AP442" s="92" t="str">
        <f aca="false">IF(ISBLANK($C442),"",IF(ISNUMBER(O442),IF(O442&gt;=0,O442,""),""))</f>
        <v/>
      </c>
      <c r="AQ442" s="92" t="str">
        <f aca="false">IF(ISBLANK($C442),"",IF(P442=Constants!$B$3,TRUE(),IF(P442=Constants!$B$4,FALSE(),FALSE())))</f>
        <v/>
      </c>
      <c r="AR442" s="92" t="str">
        <f aca="false">IF(ISBLANK($C442),"",IF(Q442=Constants!$B$3,TRUE(),IF(Q442=Constants!$B$4,FALSE(),TRUE())))</f>
        <v/>
      </c>
      <c r="AS442" s="92" t="str">
        <f aca="false">IF(ISBLANK($C442),"",IF(R442=Constants!$B$3,TRUE(),IF(R442=Constants!$B$4,FALSE(),TRUE())))</f>
        <v/>
      </c>
      <c r="AT442" s="92" t="str">
        <f aca="false">IF(ISBLANK($C442),"",IF(S442=Constants!$B$5,TRUE(),IF(S442=Constants!$B$6,FALSE(),COUNTA(T442:X442)&gt;0)))</f>
        <v/>
      </c>
      <c r="AU442" s="94" t="str">
        <f aca="false">IF(ISBLANK($C442),"",IF(ISNUMBER(T442),IF(T442&gt;=0,T442,""),""))</f>
        <v/>
      </c>
      <c r="AV442" s="93" t="str">
        <f aca="false">IF(ISBLANK($C442),"",IF(ISNUMBER(U442),IF(U442&gt;=0,U442,""),""))</f>
        <v/>
      </c>
      <c r="AW442" s="93" t="str">
        <f aca="false">IF(ISBLANK($C442),"",IF(V442=Constants!$B$3,TRUE(),IF(V442=Constants!$B$4,FALSE(),TRUE())))</f>
        <v/>
      </c>
      <c r="AX442" s="92" t="str">
        <f aca="false">IF(ISBLANK($C442),"",IF(ISNUMBER(W442),IF(W442&gt;=0,W442,""),""))</f>
        <v/>
      </c>
      <c r="AY442" s="92" t="str">
        <f aca="false">IF(ISBLANK($C442),"",IF(X442=Constants!$B$3,TRUE(),IF(X442=Constants!$B$4,FALSE(),FALSE())))</f>
        <v/>
      </c>
      <c r="AZ442" s="92" t="str">
        <f aca="false">IF(ISBLANK($C442),"",MIN(Constants!$B$31,MAX(0,IF(ISNUMBER(Y442),Y442*60,0)+IF(ISNUMBER(Z442),Z442,0))))</f>
        <v/>
      </c>
      <c r="BA442" s="92" t="str">
        <f aca="false">IF(ISBLANK($C442),"",IF(AA442=Constants!$B$3,TRUE(),IF(AA442=Constants!$B$4,FALSE(),FALSE())))</f>
        <v/>
      </c>
      <c r="BB442" s="91" t="str">
        <f aca="false">IF(ISBLANK($C442),"",AND($AL442,OR($AM442="",$AN442="",AND($AO442,$AP442=""))))</f>
        <v/>
      </c>
      <c r="BC442" s="93" t="str">
        <f aca="false">IF($BR442&lt;&gt;Constants!$B$8,"",IF($AL442,Constants!$B$21*$AN442+Constants!$B$22*IF($AO442,$AP442,Constants!$B$23),Constants!$B$24))</f>
        <v/>
      </c>
      <c r="BD442" s="96" t="str">
        <f aca="false">IF($BR442&lt;&gt;Constants!$B$8,"",Constants!$B$25*ABS($AD$9-IF($AL442,$AM442,0)))</f>
        <v/>
      </c>
      <c r="BE442" s="96" t="str">
        <f aca="false">IF($BR442&lt;&gt;Constants!$B$8,"",IF(AND($AL442,$AQ442,$AO442),Constants!$B$27,0))</f>
        <v/>
      </c>
      <c r="BF442" s="96" t="str">
        <f aca="false">IF($BR442&lt;&gt;Constants!$B$8,"",IF($AL442,($AI442-Constants!$B$29)*Constants!$B$28,0))</f>
        <v/>
      </c>
      <c r="BG442" s="96" t="str">
        <f aca="false">IF($BR442&lt;&gt;Constants!$B$8,"",IF($AK442,0,Constants!$B$15)+IF($AJ442,0,Constants!$B$16)+IF($AH442,0,Constants!$B$17))</f>
        <v/>
      </c>
      <c r="BH442" s="97" t="str">
        <f aca="false">IF($BR442&lt;&gt;Constants!$B$8,"",Constants!$B$20+SUM($BC442:$BG442))</f>
        <v/>
      </c>
      <c r="BI442" s="92" t="str">
        <f aca="false">IF($BR442&lt;&gt;Constants!$B$8,"",IF(OR($BP442&lt;$BH442,AND($BP442=$BH442,OR($BK442&lt;$BC442,AND($BK442=$BC442,OR($BL442&lt;$BD442,AND($BL442=$BD442,$AT442,$AL442,$AV442&lt;$AN442)))))),"-&gt;","&lt;-"))</f>
        <v/>
      </c>
      <c r="BJ442" s="91" t="str">
        <f aca="false">IF(ISBLANK($C442),"",AND($AT442,OR($AU442="",$AV442="",AND($AW442,$AX442=""))))</f>
        <v/>
      </c>
      <c r="BK442" s="93" t="str">
        <f aca="false">IF($BR442&lt;&gt;Constants!$B$8,"",IF($AT442,Constants!$B$21*$AV442+Constants!$B$22*IF($AW442,$AX442,Constants!$B$23),Constants!$B$24))</f>
        <v/>
      </c>
      <c r="BL442" s="96" t="str">
        <f aca="false">IF($BR442&lt;&gt;Constants!$B$8,"",Constants!$B$25*ABS($AD$9-IF($AT442,$AU442,0)))</f>
        <v/>
      </c>
      <c r="BM442" s="96" t="str">
        <f aca="false">IF($BR442&lt;&gt;Constants!$B$8,"",IF(AND($AT442,$AY442,$AW442),Constants!$B$27,0))</f>
        <v/>
      </c>
      <c r="BN442" s="96" t="str">
        <f aca="false">IF($BR442&lt;&gt;Constants!$B$8,"",IF($AT442,($AI442-Constants!$B$29)*Constants!$B$28,0))</f>
        <v/>
      </c>
      <c r="BO442" s="96" t="str">
        <f aca="false">IF($BR442&lt;&gt;Constants!$B$8,"",IF($AS442,0,Constants!$B$15)+IF($AR442,0,Constants!$B$16)+IF($AH442,0,Constants!$B$17))</f>
        <v/>
      </c>
      <c r="BP442" s="97" t="str">
        <f aca="false">IF($BR442&lt;&gt;Constants!$B$8,"",Constants!$B$20+SUM($BK442:$BO442))</f>
        <v/>
      </c>
      <c r="BQ442" s="92" t="str">
        <f aca="false">IF(ISBLANK($C442),"",IF(ISBLANK($D$7),$BQ$5,IF(NOT(ISNUMBER($D$7)),$BQ$6,"")))</f>
        <v/>
      </c>
      <c r="BR442" s="92" t="str">
        <f aca="false">IF(ISBLANK($C442),"",IF($BA442,Constants!$B$11,IF(COUNTA($E442:$AA442)=0,Constants!$B$10,IF(NOT($AG442),Constants!$B$9,IF(OR($BQ442&lt;&gt;"",$BB442,$BJ442),Constants!$B$12,Constants!$B$8)))))</f>
        <v/>
      </c>
      <c r="BS442" s="92" t="str">
        <f aca="false">IF(ISBLANK($C442),"",IF($BR442&lt;&gt;Constants!$B$8,$BR442,Constants!$B$13))</f>
        <v/>
      </c>
      <c r="BT442" s="96" t="str">
        <f aca="false">IF($BR442&lt;&gt;Constants!$B$8,"",IF($BI442="-&gt;",$BP442,$BH442))</f>
        <v/>
      </c>
      <c r="BU442" s="96" t="str">
        <f aca="false">IF($BR442&lt;&gt;Constants!$B$8,"",IF($AF442,0,Constants!$B$18))</f>
        <v/>
      </c>
      <c r="BV442" s="96" t="str">
        <f aca="false">IF($BR442&lt;&gt;Constants!$B$8,"",((Constants!$B$31-$AZ442)-Constants!$B$31)/Constants!$B$32)</f>
        <v/>
      </c>
      <c r="BW442" s="96" t="str">
        <f aca="false">IF(ISBLANK($C442),"",IF($BR442&lt;&gt;Constants!$B$8,$BR442,SUM($BT442:$BV442)))</f>
        <v/>
      </c>
      <c r="BX442" s="92" t="str">
        <f aca="false">IF(ISBLANK($C442),"",IF($BR442&lt;&gt;Constants!$B$8,$BR442,RANK($BW442,$BW$9:$BW$508,1)))</f>
        <v/>
      </c>
      <c r="BY442" s="96" t="str">
        <f aca="false">IF($BR442&lt;&gt;Constants!$B$8,"",IF($BI442="-&gt;",$BK442,$BC442))</f>
        <v/>
      </c>
      <c r="BZ442" s="92" t="str">
        <f aca="false">IF(ISBLANK($C442),"",IF($BR442&lt;&gt;Constants!$B$8,$BR442,IF(ISNUMBER($BY442),RANK($BY442,$BY$9:$BY$508,1),COUNT($BY$9:$BY$508)+1)))</f>
        <v/>
      </c>
      <c r="CA442" s="96" t="str">
        <f aca="false">IF($BR442&lt;&gt;Constants!$B$8,"",IF($BI442="-&gt;",$BL442,$BD442))</f>
        <v/>
      </c>
      <c r="CB442" s="92" t="str">
        <f aca="false">IF(ISBLANK($C442),"",IF($BR442&lt;&gt;Constants!$B$8,$BR442,IF(ISNUMBER($CA442),RANK($CA442,$CA$9:$CA$508,1),COUNT($CA$9:$CA$508)+1)))</f>
        <v/>
      </c>
      <c r="CC442" s="96" t="str">
        <f aca="false">IF($BR442&lt;&gt;Constants!$B$8,"",IF($BI442="-&gt;",IF($AT442,$AV442,""),IF($AL442,$AN442,"")))</f>
        <v/>
      </c>
      <c r="CD442" s="92" t="str">
        <f aca="false">IF(ISBLANK($C442),"",IF($BR442&lt;&gt;Constants!$B$8,$BR442,IF(ISNUMBER($CC442),RANK($CC442,$CC$9:$CC$508,1),COUNT($CC$9:$CC$508)+1)))</f>
        <v/>
      </c>
      <c r="CE442" s="96" t="str">
        <f aca="false">IF($BR442&lt;&gt;Constants!$B$8,"",IF(AND(NOT($AL442),NOT($AT442),$AJ442,$AK442,$AR442,$AS442),"",$AI442))</f>
        <v/>
      </c>
      <c r="CF442" s="92" t="str">
        <f aca="false">IF(ISBLANK($C442),"",IF($BR442&lt;&gt;Constants!$B$8,$BR442,IF(ISNUMBER($CE442),RANK($CE442,$CE$9:$CE$508,1),COUNT($CE$9:$CE$508)+1)))</f>
        <v/>
      </c>
      <c r="CG442" s="92" t="str">
        <f aca="false">IF(ISBLANK($C442),"",IF($BR442&lt;&gt;Constants!$B$8,$BR442,COUNTIFS($BX$9:$BX$508,"&lt;"&amp;$BX442)+COUNTIFS($BX$9:$BX$508,$BX442,$BZ$9:$BZ$508,"&lt;"&amp;$BZ442)+COUNTIFS($BX$9:$BX$508,$BX442,$BZ$9:$BZ$508,$BZ442,$CB$9:$CB$508,"&lt;"&amp;$CB442)+COUNTIFS($BX$9:$BX$508,$BX442,$BZ$9:$BZ$508,$BZ442,$CB$9:$CB$508,$CB442,$CD$9:$CD$508,"&lt;"&amp;$CD442)+COUNTIFS($BX$9:$BX$508,$BX442,$BZ$9:$BZ$508,$BZ442,$CB$9:$CB$508,$CB442,$CD$9:$CD$508,$CD442,$CF$9:$CF$508,"&lt;"&amp;$CF442)+1))</f>
        <v/>
      </c>
      <c r="CH442" s="92" t="str">
        <f aca="false">IF(ISBLANK($C442),"",IF($BR442&lt;&gt;Constants!$B$8,$BR442,$BX442-$CG442))</f>
        <v/>
      </c>
      <c r="CI442" s="98"/>
      <c r="CJ442" s="99"/>
      <c r="CK442" s="100" t="str">
        <f aca="false">IF(ISBLANK($C442),"",IF($BR442=Constants!$B$12,$BQ442,""))</f>
        <v/>
      </c>
      <c r="CL442" s="99" t="str">
        <f aca="false">IF(ISBLANK($C442),"",IF($BR442&lt;&gt;Constants!$B$8,"",IF($BI442="-&gt;",2,1)))</f>
        <v/>
      </c>
      <c r="CM442" s="101" t="str">
        <f aca="false">IF(ISBLANK($C442),"",IF($BR442&lt;&gt;Constants!$B$8,"",IF($BI442="-&gt;",$BK442,$BC442)))</f>
        <v/>
      </c>
      <c r="CN442" s="101" t="str">
        <f aca="false">IF(ISBLANK($C442),"",IF($BR442&lt;&gt;Constants!$B$8,"",IF($BI442="-&gt;",$BL442,$BD442)))</f>
        <v/>
      </c>
      <c r="CO442" s="101" t="str">
        <f aca="false">IF(ISBLANK($C442),"",IF($BR442&lt;&gt;Constants!$B$8,"",IF($BI442="-&gt;",$BM442+$BN442,$BE442+$BF442)+$BV442))</f>
        <v/>
      </c>
      <c r="CP442" s="101" t="str">
        <f aca="false">IF(ISBLANK($C442),"",IF($BR442&lt;&gt;Constants!$B$8,"",IF($BI442="-&gt;",$BO442,$BG442)+$BU442))</f>
        <v/>
      </c>
      <c r="CQ442" s="102" t="str">
        <f aca="false">IF(ISBLANK($C442),"",IF($BR442&lt;&gt;Constants!$B$8,$BR442,$BW442))</f>
        <v/>
      </c>
      <c r="CR442" s="103" t="str">
        <f aca="false">IF(ISBLANK($C442),"",$BS442)</f>
        <v/>
      </c>
      <c r="CS442" s="104" t="str">
        <f aca="false">IF(ISBLANK($C442),"",$CH442)</f>
        <v/>
      </c>
      <c r="CT442" s="104" t="str">
        <f aca="false">IF(ISBLANK($C442),"",$CG442)</f>
        <v/>
      </c>
      <c r="CU442" s="105" t="str">
        <f aca="false">IF(ISBLANK($C442),"",IFERROR(_xlfn.SWITCH($CT442,Constants!$B$11,COUNTA($C$9:$C$508)+2,Constants!$B$10,COUNTA($C$9:$C$508)+1,Constants!$B$9,COUNTA($C$9:$C$508)),$CT442))</f>
        <v/>
      </c>
      <c r="CV442" s="9"/>
      <c r="CW442" s="106" t="n">
        <f aca="false">IF(OR(ISNUMBER($CT442),$CT442=Constants!$B$11,$CT442=Constants!$B$9,$CT442=Constants!$B$10),1,0)</f>
        <v>0</v>
      </c>
      <c r="CX442" s="106" t="n">
        <v>434</v>
      </c>
      <c r="CY442" s="106" t="str">
        <f aca="false">IF(ISBLANK($C442),"",IF(ISNUMBER($CU442),$CU442+ROW($B442)/1000,""))</f>
        <v/>
      </c>
      <c r="CZ442" s="106" t="str">
        <f aca="false">IF(ISNUMBER($CY442),RANK($CY442,$CY$9:$CY$508,1),"")</f>
        <v/>
      </c>
      <c r="DA442" s="106" t="str">
        <f aca="false">IF(ISBLANK($C442),"",$B442)</f>
        <v/>
      </c>
      <c r="DB442" s="106" t="str">
        <f aca="false">IF(ISBLANK($C442),"",$C442)</f>
        <v/>
      </c>
      <c r="DC442" s="106" t="str">
        <f aca="false">IF(ISBLANK($C442),"",$D442)</f>
        <v/>
      </c>
      <c r="DD442" s="107" t="str">
        <f aca="false">$CR442</f>
        <v/>
      </c>
      <c r="DE442" s="108" t="str">
        <f aca="false">$CQ442</f>
        <v/>
      </c>
      <c r="DF442" s="106" t="str">
        <f aca="false">IF(ISBLANK($C442),"",$CT442)</f>
        <v/>
      </c>
      <c r="DG442" s="109" t="str">
        <f aca="false">IF($CX442&gt;$CW$8,"",VLOOKUP($CX442,$CZ$9:$DF$508,7,FALSE()))</f>
        <v/>
      </c>
      <c r="DH442" s="110" t="str">
        <f aca="false">IF($CX442&gt;$CW$8,"",VLOOKUP($CX442,$CZ$9:$DF$508,2,FALSE()))</f>
        <v/>
      </c>
      <c r="DI442" s="110" t="str">
        <f aca="false">IF($CX442&gt;$CW$8,"",VLOOKUP($CX442,$CZ$9:$DF$508,3,FALSE()))</f>
        <v/>
      </c>
      <c r="DJ442" s="110" t="str">
        <f aca="false">IF($CX442&gt;$CW$8,"",VLOOKUP($CX442,$CZ$9:$DF$508,4,FALSE()))</f>
        <v/>
      </c>
      <c r="DK442" s="110" t="str">
        <f aca="false">IF($CX442&gt;$CW$8,"",VLOOKUP($CX442,$CZ$9:$DF$508,5,FALSE()))</f>
        <v/>
      </c>
      <c r="DL442" s="111" t="str">
        <f aca="false">IF($CX442&gt;$CW$8,"",VLOOKUP($CX442,$CZ$9:$DF$508,6,FALSE()))</f>
        <v/>
      </c>
      <c r="DM442" s="75"/>
    </row>
    <row r="443" customFormat="false" ht="15.75" hidden="false" customHeight="false" outlineLevel="0" collapsed="false">
      <c r="A443" s="9"/>
      <c r="B443" s="77"/>
      <c r="C443" s="78"/>
      <c r="D443" s="167"/>
      <c r="E443" s="175"/>
      <c r="F443" s="169"/>
      <c r="G443" s="170"/>
      <c r="H443" s="170"/>
      <c r="I443" s="176"/>
      <c r="J443" s="173"/>
      <c r="K443" s="85"/>
      <c r="L443" s="86"/>
      <c r="M443" s="87"/>
      <c r="N443" s="173"/>
      <c r="O443" s="173"/>
      <c r="P443" s="175"/>
      <c r="Q443" s="173"/>
      <c r="R443" s="173"/>
      <c r="S443" s="85"/>
      <c r="T443" s="87"/>
      <c r="U443" s="87"/>
      <c r="V443" s="173"/>
      <c r="W443" s="173"/>
      <c r="X443" s="175"/>
      <c r="Y443" s="173"/>
      <c r="Z443" s="174"/>
      <c r="AA443" s="173"/>
      <c r="AB443" s="91"/>
      <c r="AC443" s="92"/>
      <c r="AD443" s="92"/>
      <c r="AE443" s="92"/>
      <c r="AF443" s="92" t="str">
        <f aca="false">IF(ISBLANK($C443),"",IF(E443=Constants!$B$3,TRUE(),IF(E443=Constants!$B$4,FALSE(),TRUE())))</f>
        <v/>
      </c>
      <c r="AG443" s="92" t="str">
        <f aca="false">IF(ISBLANK($C443),"",IF(F443=Constants!$B$3,TRUE(),IF(F443=Constants!$B$4,FALSE(),TRUE())))</f>
        <v/>
      </c>
      <c r="AH443" s="92" t="str">
        <f aca="false">IF(ISBLANK($C443),"",IF(G443=Constants!$B$3,TRUE(),IF(G443=Constants!$B$4,FALSE(),TRUE())))</f>
        <v/>
      </c>
      <c r="AI443" s="92" t="str">
        <f aca="false">IF(ISBLANK($C443),"",IF(AND(ISNUMBER(H443),H443&gt;=0),H443,Constants!$B$29))</f>
        <v/>
      </c>
      <c r="AJ443" s="92" t="str">
        <f aca="false">IF(ISBLANK($C443),"",IF(I443=Constants!$B$3,TRUE(),IF(I443=Constants!$B$4,FALSE(),TRUE())))</f>
        <v/>
      </c>
      <c r="AK443" s="92" t="str">
        <f aca="false">IF(ISBLANK($C443),"",IF(J443=Constants!$B$3,TRUE(),IF(J443=Constants!$B$4,FALSE(),TRUE())))</f>
        <v/>
      </c>
      <c r="AL443" s="92" t="str">
        <f aca="false">IF(ISBLANK($C443),"",IF(K443=Constants!$B$5,TRUE(),IF(K443=Constants!$B$6,FALSE(),COUNTA(L443:P443)&gt;0)))</f>
        <v/>
      </c>
      <c r="AM443" s="94" t="str">
        <f aca="false">IF(ISBLANK($C443),"",IF(ISNUMBER(L443),IF(L443&gt;=0,L443,""),""))</f>
        <v/>
      </c>
      <c r="AN443" s="93" t="str">
        <f aca="false">IF(ISBLANK($C443),"",IF(ISNUMBER(M443),IF(M443&gt;=0,M443,""),""))</f>
        <v/>
      </c>
      <c r="AO443" s="93" t="str">
        <f aca="false">IF(ISBLANK($C443),"",IF(N443=Constants!$B$3,TRUE(),IF(N443=Constants!$B$4,FALSE(),TRUE())))</f>
        <v/>
      </c>
      <c r="AP443" s="92" t="str">
        <f aca="false">IF(ISBLANK($C443),"",IF(ISNUMBER(O443),IF(O443&gt;=0,O443,""),""))</f>
        <v/>
      </c>
      <c r="AQ443" s="92" t="str">
        <f aca="false">IF(ISBLANK($C443),"",IF(P443=Constants!$B$3,TRUE(),IF(P443=Constants!$B$4,FALSE(),FALSE())))</f>
        <v/>
      </c>
      <c r="AR443" s="92" t="str">
        <f aca="false">IF(ISBLANK($C443),"",IF(Q443=Constants!$B$3,TRUE(),IF(Q443=Constants!$B$4,FALSE(),TRUE())))</f>
        <v/>
      </c>
      <c r="AS443" s="92" t="str">
        <f aca="false">IF(ISBLANK($C443),"",IF(R443=Constants!$B$3,TRUE(),IF(R443=Constants!$B$4,FALSE(),TRUE())))</f>
        <v/>
      </c>
      <c r="AT443" s="92" t="str">
        <f aca="false">IF(ISBLANK($C443),"",IF(S443=Constants!$B$5,TRUE(),IF(S443=Constants!$B$6,FALSE(),COUNTA(T443:X443)&gt;0)))</f>
        <v/>
      </c>
      <c r="AU443" s="94" t="str">
        <f aca="false">IF(ISBLANK($C443),"",IF(ISNUMBER(T443),IF(T443&gt;=0,T443,""),""))</f>
        <v/>
      </c>
      <c r="AV443" s="93" t="str">
        <f aca="false">IF(ISBLANK($C443),"",IF(ISNUMBER(U443),IF(U443&gt;=0,U443,""),""))</f>
        <v/>
      </c>
      <c r="AW443" s="93" t="str">
        <f aca="false">IF(ISBLANK($C443),"",IF(V443=Constants!$B$3,TRUE(),IF(V443=Constants!$B$4,FALSE(),TRUE())))</f>
        <v/>
      </c>
      <c r="AX443" s="92" t="str">
        <f aca="false">IF(ISBLANK($C443),"",IF(ISNUMBER(W443),IF(W443&gt;=0,W443,""),""))</f>
        <v/>
      </c>
      <c r="AY443" s="92" t="str">
        <f aca="false">IF(ISBLANK($C443),"",IF(X443=Constants!$B$3,TRUE(),IF(X443=Constants!$B$4,FALSE(),FALSE())))</f>
        <v/>
      </c>
      <c r="AZ443" s="92" t="str">
        <f aca="false">IF(ISBLANK($C443),"",MIN(Constants!$B$31,MAX(0,IF(ISNUMBER(Y443),Y443*60,0)+IF(ISNUMBER(Z443),Z443,0))))</f>
        <v/>
      </c>
      <c r="BA443" s="92" t="str">
        <f aca="false">IF(ISBLANK($C443),"",IF(AA443=Constants!$B$3,TRUE(),IF(AA443=Constants!$B$4,FALSE(),FALSE())))</f>
        <v/>
      </c>
      <c r="BB443" s="91" t="str">
        <f aca="false">IF(ISBLANK($C443),"",AND($AL443,OR($AM443="",$AN443="",AND($AO443,$AP443=""))))</f>
        <v/>
      </c>
      <c r="BC443" s="93" t="str">
        <f aca="false">IF($BR443&lt;&gt;Constants!$B$8,"",IF($AL443,Constants!$B$21*$AN443+Constants!$B$22*IF($AO443,$AP443,Constants!$B$23),Constants!$B$24))</f>
        <v/>
      </c>
      <c r="BD443" s="96" t="str">
        <f aca="false">IF($BR443&lt;&gt;Constants!$B$8,"",Constants!$B$25*ABS($AD$9-IF($AL443,$AM443,0)))</f>
        <v/>
      </c>
      <c r="BE443" s="96" t="str">
        <f aca="false">IF($BR443&lt;&gt;Constants!$B$8,"",IF(AND($AL443,$AQ443,$AO443),Constants!$B$27,0))</f>
        <v/>
      </c>
      <c r="BF443" s="96" t="str">
        <f aca="false">IF($BR443&lt;&gt;Constants!$B$8,"",IF($AL443,($AI443-Constants!$B$29)*Constants!$B$28,0))</f>
        <v/>
      </c>
      <c r="BG443" s="96" t="str">
        <f aca="false">IF($BR443&lt;&gt;Constants!$B$8,"",IF($AK443,0,Constants!$B$15)+IF($AJ443,0,Constants!$B$16)+IF($AH443,0,Constants!$B$17))</f>
        <v/>
      </c>
      <c r="BH443" s="97" t="str">
        <f aca="false">IF($BR443&lt;&gt;Constants!$B$8,"",Constants!$B$20+SUM($BC443:$BG443))</f>
        <v/>
      </c>
      <c r="BI443" s="92" t="str">
        <f aca="false">IF($BR443&lt;&gt;Constants!$B$8,"",IF(OR($BP443&lt;$BH443,AND($BP443=$BH443,OR($BK443&lt;$BC443,AND($BK443=$BC443,OR($BL443&lt;$BD443,AND($BL443=$BD443,$AT443,$AL443,$AV443&lt;$AN443)))))),"-&gt;","&lt;-"))</f>
        <v/>
      </c>
      <c r="BJ443" s="91" t="str">
        <f aca="false">IF(ISBLANK($C443),"",AND($AT443,OR($AU443="",$AV443="",AND($AW443,$AX443=""))))</f>
        <v/>
      </c>
      <c r="BK443" s="93" t="str">
        <f aca="false">IF($BR443&lt;&gt;Constants!$B$8,"",IF($AT443,Constants!$B$21*$AV443+Constants!$B$22*IF($AW443,$AX443,Constants!$B$23),Constants!$B$24))</f>
        <v/>
      </c>
      <c r="BL443" s="96" t="str">
        <f aca="false">IF($BR443&lt;&gt;Constants!$B$8,"",Constants!$B$25*ABS($AD$9-IF($AT443,$AU443,0)))</f>
        <v/>
      </c>
      <c r="BM443" s="96" t="str">
        <f aca="false">IF($BR443&lt;&gt;Constants!$B$8,"",IF(AND($AT443,$AY443,$AW443),Constants!$B$27,0))</f>
        <v/>
      </c>
      <c r="BN443" s="96" t="str">
        <f aca="false">IF($BR443&lt;&gt;Constants!$B$8,"",IF($AT443,($AI443-Constants!$B$29)*Constants!$B$28,0))</f>
        <v/>
      </c>
      <c r="BO443" s="96" t="str">
        <f aca="false">IF($BR443&lt;&gt;Constants!$B$8,"",IF($AS443,0,Constants!$B$15)+IF($AR443,0,Constants!$B$16)+IF($AH443,0,Constants!$B$17))</f>
        <v/>
      </c>
      <c r="BP443" s="97" t="str">
        <f aca="false">IF($BR443&lt;&gt;Constants!$B$8,"",Constants!$B$20+SUM($BK443:$BO443))</f>
        <v/>
      </c>
      <c r="BQ443" s="92" t="str">
        <f aca="false">IF(ISBLANK($C443),"",IF(ISBLANK($D$7),$BQ$5,IF(NOT(ISNUMBER($D$7)),$BQ$6,"")))</f>
        <v/>
      </c>
      <c r="BR443" s="92" t="str">
        <f aca="false">IF(ISBLANK($C443),"",IF($BA443,Constants!$B$11,IF(COUNTA($E443:$AA443)=0,Constants!$B$10,IF(NOT($AG443),Constants!$B$9,IF(OR($BQ443&lt;&gt;"",$BB443,$BJ443),Constants!$B$12,Constants!$B$8)))))</f>
        <v/>
      </c>
      <c r="BS443" s="92" t="str">
        <f aca="false">IF(ISBLANK($C443),"",IF($BR443&lt;&gt;Constants!$B$8,$BR443,Constants!$B$13))</f>
        <v/>
      </c>
      <c r="BT443" s="96" t="str">
        <f aca="false">IF($BR443&lt;&gt;Constants!$B$8,"",IF($BI443="-&gt;",$BP443,$BH443))</f>
        <v/>
      </c>
      <c r="BU443" s="96" t="str">
        <f aca="false">IF($BR443&lt;&gt;Constants!$B$8,"",IF($AF443,0,Constants!$B$18))</f>
        <v/>
      </c>
      <c r="BV443" s="96" t="str">
        <f aca="false">IF($BR443&lt;&gt;Constants!$B$8,"",((Constants!$B$31-$AZ443)-Constants!$B$31)/Constants!$B$32)</f>
        <v/>
      </c>
      <c r="BW443" s="96" t="str">
        <f aca="false">IF(ISBLANK($C443),"",IF($BR443&lt;&gt;Constants!$B$8,$BR443,SUM($BT443:$BV443)))</f>
        <v/>
      </c>
      <c r="BX443" s="92" t="str">
        <f aca="false">IF(ISBLANK($C443),"",IF($BR443&lt;&gt;Constants!$B$8,$BR443,RANK($BW443,$BW$9:$BW$508,1)))</f>
        <v/>
      </c>
      <c r="BY443" s="96" t="str">
        <f aca="false">IF($BR443&lt;&gt;Constants!$B$8,"",IF($BI443="-&gt;",$BK443,$BC443))</f>
        <v/>
      </c>
      <c r="BZ443" s="92" t="str">
        <f aca="false">IF(ISBLANK($C443),"",IF($BR443&lt;&gt;Constants!$B$8,$BR443,IF(ISNUMBER($BY443),RANK($BY443,$BY$9:$BY$508,1),COUNT($BY$9:$BY$508)+1)))</f>
        <v/>
      </c>
      <c r="CA443" s="96" t="str">
        <f aca="false">IF($BR443&lt;&gt;Constants!$B$8,"",IF($BI443="-&gt;",$BL443,$BD443))</f>
        <v/>
      </c>
      <c r="CB443" s="92" t="str">
        <f aca="false">IF(ISBLANK($C443),"",IF($BR443&lt;&gt;Constants!$B$8,$BR443,IF(ISNUMBER($CA443),RANK($CA443,$CA$9:$CA$508,1),COUNT($CA$9:$CA$508)+1)))</f>
        <v/>
      </c>
      <c r="CC443" s="96" t="str">
        <f aca="false">IF($BR443&lt;&gt;Constants!$B$8,"",IF($BI443="-&gt;",IF($AT443,$AV443,""),IF($AL443,$AN443,"")))</f>
        <v/>
      </c>
      <c r="CD443" s="92" t="str">
        <f aca="false">IF(ISBLANK($C443),"",IF($BR443&lt;&gt;Constants!$B$8,$BR443,IF(ISNUMBER($CC443),RANK($CC443,$CC$9:$CC$508,1),COUNT($CC$9:$CC$508)+1)))</f>
        <v/>
      </c>
      <c r="CE443" s="96" t="str">
        <f aca="false">IF($BR443&lt;&gt;Constants!$B$8,"",IF(AND(NOT($AL443),NOT($AT443),$AJ443,$AK443,$AR443,$AS443),"",$AI443))</f>
        <v/>
      </c>
      <c r="CF443" s="92" t="str">
        <f aca="false">IF(ISBLANK($C443),"",IF($BR443&lt;&gt;Constants!$B$8,$BR443,IF(ISNUMBER($CE443),RANK($CE443,$CE$9:$CE$508,1),COUNT($CE$9:$CE$508)+1)))</f>
        <v/>
      </c>
      <c r="CG443" s="92" t="str">
        <f aca="false">IF(ISBLANK($C443),"",IF($BR443&lt;&gt;Constants!$B$8,$BR443,COUNTIFS($BX$9:$BX$508,"&lt;"&amp;$BX443)+COUNTIFS($BX$9:$BX$508,$BX443,$BZ$9:$BZ$508,"&lt;"&amp;$BZ443)+COUNTIFS($BX$9:$BX$508,$BX443,$BZ$9:$BZ$508,$BZ443,$CB$9:$CB$508,"&lt;"&amp;$CB443)+COUNTIFS($BX$9:$BX$508,$BX443,$BZ$9:$BZ$508,$BZ443,$CB$9:$CB$508,$CB443,$CD$9:$CD$508,"&lt;"&amp;$CD443)+COUNTIFS($BX$9:$BX$508,$BX443,$BZ$9:$BZ$508,$BZ443,$CB$9:$CB$508,$CB443,$CD$9:$CD$508,$CD443,$CF$9:$CF$508,"&lt;"&amp;$CF443)+1))</f>
        <v/>
      </c>
      <c r="CH443" s="92" t="str">
        <f aca="false">IF(ISBLANK($C443),"",IF($BR443&lt;&gt;Constants!$B$8,$BR443,$BX443-$CG443))</f>
        <v/>
      </c>
      <c r="CI443" s="98"/>
      <c r="CJ443" s="99"/>
      <c r="CK443" s="100" t="str">
        <f aca="false">IF(ISBLANK($C443),"",IF($BR443=Constants!$B$12,$BQ443,""))</f>
        <v/>
      </c>
      <c r="CL443" s="99" t="str">
        <f aca="false">IF(ISBLANK($C443),"",IF($BR443&lt;&gt;Constants!$B$8,"",IF($BI443="-&gt;",2,1)))</f>
        <v/>
      </c>
      <c r="CM443" s="101" t="str">
        <f aca="false">IF(ISBLANK($C443),"",IF($BR443&lt;&gt;Constants!$B$8,"",IF($BI443="-&gt;",$BK443,$BC443)))</f>
        <v/>
      </c>
      <c r="CN443" s="101" t="str">
        <f aca="false">IF(ISBLANK($C443),"",IF($BR443&lt;&gt;Constants!$B$8,"",IF($BI443="-&gt;",$BL443,$BD443)))</f>
        <v/>
      </c>
      <c r="CO443" s="101" t="str">
        <f aca="false">IF(ISBLANK($C443),"",IF($BR443&lt;&gt;Constants!$B$8,"",IF($BI443="-&gt;",$BM443+$BN443,$BE443+$BF443)+$BV443))</f>
        <v/>
      </c>
      <c r="CP443" s="101" t="str">
        <f aca="false">IF(ISBLANK($C443),"",IF($BR443&lt;&gt;Constants!$B$8,"",IF($BI443="-&gt;",$BO443,$BG443)+$BU443))</f>
        <v/>
      </c>
      <c r="CQ443" s="102" t="str">
        <f aca="false">IF(ISBLANK($C443),"",IF($BR443&lt;&gt;Constants!$B$8,$BR443,$BW443))</f>
        <v/>
      </c>
      <c r="CR443" s="103" t="str">
        <f aca="false">IF(ISBLANK($C443),"",$BS443)</f>
        <v/>
      </c>
      <c r="CS443" s="104" t="str">
        <f aca="false">IF(ISBLANK($C443),"",$CH443)</f>
        <v/>
      </c>
      <c r="CT443" s="104" t="str">
        <f aca="false">IF(ISBLANK($C443),"",$CG443)</f>
        <v/>
      </c>
      <c r="CU443" s="105" t="str">
        <f aca="false">IF(ISBLANK($C443),"",IFERROR(_xlfn.SWITCH($CT443,Constants!$B$11,COUNTA($C$9:$C$508)+2,Constants!$B$10,COUNTA($C$9:$C$508)+1,Constants!$B$9,COUNTA($C$9:$C$508)),$CT443))</f>
        <v/>
      </c>
      <c r="CV443" s="9"/>
      <c r="CW443" s="106" t="n">
        <f aca="false">IF(OR(ISNUMBER($CT443),$CT443=Constants!$B$11,$CT443=Constants!$B$9,$CT443=Constants!$B$10),1,0)</f>
        <v>0</v>
      </c>
      <c r="CX443" s="106" t="n">
        <v>435</v>
      </c>
      <c r="CY443" s="106" t="str">
        <f aca="false">IF(ISBLANK($C443),"",IF(ISNUMBER($CU443),$CU443+ROW($B443)/1000,""))</f>
        <v/>
      </c>
      <c r="CZ443" s="106" t="str">
        <f aca="false">IF(ISNUMBER($CY443),RANK($CY443,$CY$9:$CY$508,1),"")</f>
        <v/>
      </c>
      <c r="DA443" s="106" t="str">
        <f aca="false">IF(ISBLANK($C443),"",$B443)</f>
        <v/>
      </c>
      <c r="DB443" s="106" t="str">
        <f aca="false">IF(ISBLANK($C443),"",$C443)</f>
        <v/>
      </c>
      <c r="DC443" s="106" t="str">
        <f aca="false">IF(ISBLANK($C443),"",$D443)</f>
        <v/>
      </c>
      <c r="DD443" s="107" t="str">
        <f aca="false">$CR443</f>
        <v/>
      </c>
      <c r="DE443" s="108" t="str">
        <f aca="false">$CQ443</f>
        <v/>
      </c>
      <c r="DF443" s="106" t="str">
        <f aca="false">IF(ISBLANK($C443),"",$CT443)</f>
        <v/>
      </c>
      <c r="DG443" s="109" t="str">
        <f aca="false">IF($CX443&gt;$CW$8,"",VLOOKUP($CX443,$CZ$9:$DF$508,7,FALSE()))</f>
        <v/>
      </c>
      <c r="DH443" s="110" t="str">
        <f aca="false">IF($CX443&gt;$CW$8,"",VLOOKUP($CX443,$CZ$9:$DF$508,2,FALSE()))</f>
        <v/>
      </c>
      <c r="DI443" s="110" t="str">
        <f aca="false">IF($CX443&gt;$CW$8,"",VLOOKUP($CX443,$CZ$9:$DF$508,3,FALSE()))</f>
        <v/>
      </c>
      <c r="DJ443" s="110" t="str">
        <f aca="false">IF($CX443&gt;$CW$8,"",VLOOKUP($CX443,$CZ$9:$DF$508,4,FALSE()))</f>
        <v/>
      </c>
      <c r="DK443" s="110" t="str">
        <f aca="false">IF($CX443&gt;$CW$8,"",VLOOKUP($CX443,$CZ$9:$DF$508,5,FALSE()))</f>
        <v/>
      </c>
      <c r="DL443" s="111" t="str">
        <f aca="false">IF($CX443&gt;$CW$8,"",VLOOKUP($CX443,$CZ$9:$DF$508,6,FALSE()))</f>
        <v/>
      </c>
      <c r="DM443" s="75"/>
    </row>
    <row r="444" customFormat="false" ht="15.75" hidden="false" customHeight="false" outlineLevel="0" collapsed="false">
      <c r="A444" s="9"/>
      <c r="B444" s="157"/>
      <c r="C444" s="158"/>
      <c r="D444" s="159"/>
      <c r="E444" s="177"/>
      <c r="F444" s="161"/>
      <c r="G444" s="162"/>
      <c r="H444" s="162"/>
      <c r="I444" s="178"/>
      <c r="J444" s="165"/>
      <c r="K444" s="126"/>
      <c r="L444" s="127"/>
      <c r="M444" s="128"/>
      <c r="N444" s="165"/>
      <c r="O444" s="165"/>
      <c r="P444" s="177"/>
      <c r="Q444" s="165"/>
      <c r="R444" s="165"/>
      <c r="S444" s="126"/>
      <c r="T444" s="128"/>
      <c r="U444" s="128"/>
      <c r="V444" s="165"/>
      <c r="W444" s="165"/>
      <c r="X444" s="177"/>
      <c r="Y444" s="165"/>
      <c r="Z444" s="166"/>
      <c r="AA444" s="165"/>
      <c r="AB444" s="132"/>
      <c r="AC444" s="133"/>
      <c r="AD444" s="133"/>
      <c r="AE444" s="133"/>
      <c r="AF444" s="133" t="str">
        <f aca="false">IF(ISBLANK($C444),"",IF(E444=Constants!$B$3,TRUE(),IF(E444=Constants!$B$4,FALSE(),TRUE())))</f>
        <v/>
      </c>
      <c r="AG444" s="133" t="str">
        <f aca="false">IF(ISBLANK($C444),"",IF(F444=Constants!$B$3,TRUE(),IF(F444=Constants!$B$4,FALSE(),TRUE())))</f>
        <v/>
      </c>
      <c r="AH444" s="133" t="str">
        <f aca="false">IF(ISBLANK($C444),"",IF(G444=Constants!$B$3,TRUE(),IF(G444=Constants!$B$4,FALSE(),TRUE())))</f>
        <v/>
      </c>
      <c r="AI444" s="133" t="str">
        <f aca="false">IF(ISBLANK($C444),"",IF(AND(ISNUMBER(H444),H444&gt;=0),H444,Constants!$B$29))</f>
        <v/>
      </c>
      <c r="AJ444" s="133" t="str">
        <f aca="false">IF(ISBLANK($C444),"",IF(I444=Constants!$B$3,TRUE(),IF(I444=Constants!$B$4,FALSE(),TRUE())))</f>
        <v/>
      </c>
      <c r="AK444" s="133" t="str">
        <f aca="false">IF(ISBLANK($C444),"",IF(J444=Constants!$B$3,TRUE(),IF(J444=Constants!$B$4,FALSE(),TRUE())))</f>
        <v/>
      </c>
      <c r="AL444" s="133" t="str">
        <f aca="false">IF(ISBLANK($C444),"",IF(K444=Constants!$B$5,TRUE(),IF(K444=Constants!$B$6,FALSE(),COUNTA(L444:P444)&gt;0)))</f>
        <v/>
      </c>
      <c r="AM444" s="134" t="str">
        <f aca="false">IF(ISBLANK($C444),"",IF(ISNUMBER(L444),IF(L444&gt;=0,L444,""),""))</f>
        <v/>
      </c>
      <c r="AN444" s="135" t="str">
        <f aca="false">IF(ISBLANK($C444),"",IF(ISNUMBER(M444),IF(M444&gt;=0,M444,""),""))</f>
        <v/>
      </c>
      <c r="AO444" s="135" t="str">
        <f aca="false">IF(ISBLANK($C444),"",IF(N444=Constants!$B$3,TRUE(),IF(N444=Constants!$B$4,FALSE(),TRUE())))</f>
        <v/>
      </c>
      <c r="AP444" s="133" t="str">
        <f aca="false">IF(ISBLANK($C444),"",IF(ISNUMBER(O444),IF(O444&gt;=0,O444,""),""))</f>
        <v/>
      </c>
      <c r="AQ444" s="133" t="str">
        <f aca="false">IF(ISBLANK($C444),"",IF(P444=Constants!$B$3,TRUE(),IF(P444=Constants!$B$4,FALSE(),FALSE())))</f>
        <v/>
      </c>
      <c r="AR444" s="133" t="str">
        <f aca="false">IF(ISBLANK($C444),"",IF(Q444=Constants!$B$3,TRUE(),IF(Q444=Constants!$B$4,FALSE(),TRUE())))</f>
        <v/>
      </c>
      <c r="AS444" s="133" t="str">
        <f aca="false">IF(ISBLANK($C444),"",IF(R444=Constants!$B$3,TRUE(),IF(R444=Constants!$B$4,FALSE(),TRUE())))</f>
        <v/>
      </c>
      <c r="AT444" s="133" t="str">
        <f aca="false">IF(ISBLANK($C444),"",IF(S444=Constants!$B$5,TRUE(),IF(S444=Constants!$B$6,FALSE(),COUNTA(T444:X444)&gt;0)))</f>
        <v/>
      </c>
      <c r="AU444" s="134" t="str">
        <f aca="false">IF(ISBLANK($C444),"",IF(ISNUMBER(T444),IF(T444&gt;=0,T444,""),""))</f>
        <v/>
      </c>
      <c r="AV444" s="135" t="str">
        <f aca="false">IF(ISBLANK($C444),"",IF(ISNUMBER(U444),IF(U444&gt;=0,U444,""),""))</f>
        <v/>
      </c>
      <c r="AW444" s="135" t="str">
        <f aca="false">IF(ISBLANK($C444),"",IF(V444=Constants!$B$3,TRUE(),IF(V444=Constants!$B$4,FALSE(),TRUE())))</f>
        <v/>
      </c>
      <c r="AX444" s="133" t="str">
        <f aca="false">IF(ISBLANK($C444),"",IF(ISNUMBER(W444),IF(W444&gt;=0,W444,""),""))</f>
        <v/>
      </c>
      <c r="AY444" s="133" t="str">
        <f aca="false">IF(ISBLANK($C444),"",IF(X444=Constants!$B$3,TRUE(),IF(X444=Constants!$B$4,FALSE(),FALSE())))</f>
        <v/>
      </c>
      <c r="AZ444" s="133" t="str">
        <f aca="false">IF(ISBLANK($C444),"",MIN(Constants!$B$31,MAX(0,IF(ISNUMBER(Y444),Y444*60,0)+IF(ISNUMBER(Z444),Z444,0))))</f>
        <v/>
      </c>
      <c r="BA444" s="133" t="str">
        <f aca="false">IF(ISBLANK($C444),"",IF(AA444=Constants!$B$3,TRUE(),IF(AA444=Constants!$B$4,FALSE(),FALSE())))</f>
        <v/>
      </c>
      <c r="BB444" s="132" t="str">
        <f aca="false">IF(ISBLANK($C444),"",AND($AL444,OR($AM444="",$AN444="",AND($AO444,$AP444=""))))</f>
        <v/>
      </c>
      <c r="BC444" s="135" t="str">
        <f aca="false">IF($BR444&lt;&gt;Constants!$B$8,"",IF($AL444,Constants!$B$21*$AN444+Constants!$B$22*IF($AO444,$AP444,Constants!$B$23),Constants!$B$24))</f>
        <v/>
      </c>
      <c r="BD444" s="136" t="str">
        <f aca="false">IF($BR444&lt;&gt;Constants!$B$8,"",Constants!$B$25*ABS($AD$9-IF($AL444,$AM444,0)))</f>
        <v/>
      </c>
      <c r="BE444" s="136" t="str">
        <f aca="false">IF($BR444&lt;&gt;Constants!$B$8,"",IF(AND($AL444,$AQ444,$AO444),Constants!$B$27,0))</f>
        <v/>
      </c>
      <c r="BF444" s="136" t="str">
        <f aca="false">IF($BR444&lt;&gt;Constants!$B$8,"",IF($AL444,($AI444-Constants!$B$29)*Constants!$B$28,0))</f>
        <v/>
      </c>
      <c r="BG444" s="136" t="str">
        <f aca="false">IF($BR444&lt;&gt;Constants!$B$8,"",IF($AK444,0,Constants!$B$15)+IF($AJ444,0,Constants!$B$16)+IF($AH444,0,Constants!$B$17))</f>
        <v/>
      </c>
      <c r="BH444" s="137" t="str">
        <f aca="false">IF($BR444&lt;&gt;Constants!$B$8,"",Constants!$B$20+SUM($BC444:$BG444))</f>
        <v/>
      </c>
      <c r="BI444" s="133" t="str">
        <f aca="false">IF($BR444&lt;&gt;Constants!$B$8,"",IF(OR($BP444&lt;$BH444,AND($BP444=$BH444,OR($BK444&lt;$BC444,AND($BK444=$BC444,OR($BL444&lt;$BD444,AND($BL444=$BD444,$AT444,$AL444,$AV444&lt;$AN444)))))),"-&gt;","&lt;-"))</f>
        <v/>
      </c>
      <c r="BJ444" s="132" t="str">
        <f aca="false">IF(ISBLANK($C444),"",AND($AT444,OR($AU444="",$AV444="",AND($AW444,$AX444=""))))</f>
        <v/>
      </c>
      <c r="BK444" s="135" t="str">
        <f aca="false">IF($BR444&lt;&gt;Constants!$B$8,"",IF($AT444,Constants!$B$21*$AV444+Constants!$B$22*IF($AW444,$AX444,Constants!$B$23),Constants!$B$24))</f>
        <v/>
      </c>
      <c r="BL444" s="136" t="str">
        <f aca="false">IF($BR444&lt;&gt;Constants!$B$8,"",Constants!$B$25*ABS($AD$9-IF($AT444,$AU444,0)))</f>
        <v/>
      </c>
      <c r="BM444" s="136" t="str">
        <f aca="false">IF($BR444&lt;&gt;Constants!$B$8,"",IF(AND($AT444,$AY444,$AW444),Constants!$B$27,0))</f>
        <v/>
      </c>
      <c r="BN444" s="136" t="str">
        <f aca="false">IF($BR444&lt;&gt;Constants!$B$8,"",IF($AT444,($AI444-Constants!$B$29)*Constants!$B$28,0))</f>
        <v/>
      </c>
      <c r="BO444" s="136" t="str">
        <f aca="false">IF($BR444&lt;&gt;Constants!$B$8,"",IF($AS444,0,Constants!$B$15)+IF($AR444,0,Constants!$B$16)+IF($AH444,0,Constants!$B$17))</f>
        <v/>
      </c>
      <c r="BP444" s="137" t="str">
        <f aca="false">IF($BR444&lt;&gt;Constants!$B$8,"",Constants!$B$20+SUM($BK444:$BO444))</f>
        <v/>
      </c>
      <c r="BQ444" s="133" t="str">
        <f aca="false">IF(ISBLANK($C444),"",IF(ISBLANK($D$7),$BQ$5,IF(NOT(ISNUMBER($D$7)),$BQ$6,"")))</f>
        <v/>
      </c>
      <c r="BR444" s="133" t="str">
        <f aca="false">IF(ISBLANK($C444),"",IF($BA444,Constants!$B$11,IF(COUNTA($E444:$AA444)=0,Constants!$B$10,IF(NOT($AG444),Constants!$B$9,IF(OR($BQ444&lt;&gt;"",$BB444,$BJ444),Constants!$B$12,Constants!$B$8)))))</f>
        <v/>
      </c>
      <c r="BS444" s="133" t="str">
        <f aca="false">IF(ISBLANK($C444),"",IF($BR444&lt;&gt;Constants!$B$8,$BR444,Constants!$B$13))</f>
        <v/>
      </c>
      <c r="BT444" s="136" t="str">
        <f aca="false">IF($BR444&lt;&gt;Constants!$B$8,"",IF($BI444="-&gt;",$BP444,$BH444))</f>
        <v/>
      </c>
      <c r="BU444" s="136" t="str">
        <f aca="false">IF($BR444&lt;&gt;Constants!$B$8,"",IF($AF444,0,Constants!$B$18))</f>
        <v/>
      </c>
      <c r="BV444" s="136" t="str">
        <f aca="false">IF($BR444&lt;&gt;Constants!$B$8,"",((Constants!$B$31-$AZ444)-Constants!$B$31)/Constants!$B$32)</f>
        <v/>
      </c>
      <c r="BW444" s="136" t="str">
        <f aca="false">IF(ISBLANK($C444),"",IF($BR444&lt;&gt;Constants!$B$8,$BR444,SUM($BT444:$BV444)))</f>
        <v/>
      </c>
      <c r="BX444" s="133" t="str">
        <f aca="false">IF(ISBLANK($C444),"",IF($BR444&lt;&gt;Constants!$B$8,$BR444,RANK($BW444,$BW$9:$BW$508,1)))</f>
        <v/>
      </c>
      <c r="BY444" s="136" t="str">
        <f aca="false">IF($BR444&lt;&gt;Constants!$B$8,"",IF($BI444="-&gt;",$BK444,$BC444))</f>
        <v/>
      </c>
      <c r="BZ444" s="133" t="str">
        <f aca="false">IF(ISBLANK($C444),"",IF($BR444&lt;&gt;Constants!$B$8,$BR444,IF(ISNUMBER($BY444),RANK($BY444,$BY$9:$BY$508,1),COUNT($BY$9:$BY$508)+1)))</f>
        <v/>
      </c>
      <c r="CA444" s="136" t="str">
        <f aca="false">IF($BR444&lt;&gt;Constants!$B$8,"",IF($BI444="-&gt;",$BL444,$BD444))</f>
        <v/>
      </c>
      <c r="CB444" s="133" t="str">
        <f aca="false">IF(ISBLANK($C444),"",IF($BR444&lt;&gt;Constants!$B$8,$BR444,IF(ISNUMBER($CA444),RANK($CA444,$CA$9:$CA$508,1),COUNT($CA$9:$CA$508)+1)))</f>
        <v/>
      </c>
      <c r="CC444" s="136" t="str">
        <f aca="false">IF($BR444&lt;&gt;Constants!$B$8,"",IF($BI444="-&gt;",IF($AT444,$AV444,""),IF($AL444,$AN444,"")))</f>
        <v/>
      </c>
      <c r="CD444" s="133" t="str">
        <f aca="false">IF(ISBLANK($C444),"",IF($BR444&lt;&gt;Constants!$B$8,$BR444,IF(ISNUMBER($CC444),RANK($CC444,$CC$9:$CC$508,1),COUNT($CC$9:$CC$508)+1)))</f>
        <v/>
      </c>
      <c r="CE444" s="136" t="str">
        <f aca="false">IF($BR444&lt;&gt;Constants!$B$8,"",IF(AND(NOT($AL444),NOT($AT444),$AJ444,$AK444,$AR444,$AS444),"",$AI444))</f>
        <v/>
      </c>
      <c r="CF444" s="133" t="str">
        <f aca="false">IF(ISBLANK($C444),"",IF($BR444&lt;&gt;Constants!$B$8,$BR444,IF(ISNUMBER($CE444),RANK($CE444,$CE$9:$CE$508,1),COUNT($CE$9:$CE$508)+1)))</f>
        <v/>
      </c>
      <c r="CG444" s="133" t="str">
        <f aca="false">IF(ISBLANK($C444),"",IF($BR444&lt;&gt;Constants!$B$8,$BR444,COUNTIFS($BX$9:$BX$508,"&lt;"&amp;$BX444)+COUNTIFS($BX$9:$BX$508,$BX444,$BZ$9:$BZ$508,"&lt;"&amp;$BZ444)+COUNTIFS($BX$9:$BX$508,$BX444,$BZ$9:$BZ$508,$BZ444,$CB$9:$CB$508,"&lt;"&amp;$CB444)+COUNTIFS($BX$9:$BX$508,$BX444,$BZ$9:$BZ$508,$BZ444,$CB$9:$CB$508,$CB444,$CD$9:$CD$508,"&lt;"&amp;$CD444)+COUNTIFS($BX$9:$BX$508,$BX444,$BZ$9:$BZ$508,$BZ444,$CB$9:$CB$508,$CB444,$CD$9:$CD$508,$CD444,$CF$9:$CF$508,"&lt;"&amp;$CF444)+1))</f>
        <v/>
      </c>
      <c r="CH444" s="133" t="str">
        <f aca="false">IF(ISBLANK($C444),"",IF($BR444&lt;&gt;Constants!$B$8,$BR444,$BX444-$CG444))</f>
        <v/>
      </c>
      <c r="CI444" s="138"/>
      <c r="CJ444" s="139"/>
      <c r="CK444" s="140" t="str">
        <f aca="false">IF(ISBLANK($C444),"",IF($BR444=Constants!$B$12,$BQ444,""))</f>
        <v/>
      </c>
      <c r="CL444" s="139" t="str">
        <f aca="false">IF(ISBLANK($C444),"",IF($BR444&lt;&gt;Constants!$B$8,"",IF($BI444="-&gt;",2,1)))</f>
        <v/>
      </c>
      <c r="CM444" s="141" t="str">
        <f aca="false">IF(ISBLANK($C444),"",IF($BR444&lt;&gt;Constants!$B$8,"",IF($BI444="-&gt;",$BK444,$BC444)))</f>
        <v/>
      </c>
      <c r="CN444" s="141" t="str">
        <f aca="false">IF(ISBLANK($C444),"",IF($BR444&lt;&gt;Constants!$B$8,"",IF($BI444="-&gt;",$BL444,$BD444)))</f>
        <v/>
      </c>
      <c r="CO444" s="141" t="str">
        <f aca="false">IF(ISBLANK($C444),"",IF($BR444&lt;&gt;Constants!$B$8,"",IF($BI444="-&gt;",$BM444+$BN444,$BE444+$BF444)+$BV444))</f>
        <v/>
      </c>
      <c r="CP444" s="141" t="str">
        <f aca="false">IF(ISBLANK($C444),"",IF($BR444&lt;&gt;Constants!$B$8,"",IF($BI444="-&gt;",$BO444,$BG444)+$BU444))</f>
        <v/>
      </c>
      <c r="CQ444" s="142" t="str">
        <f aca="false">IF(ISBLANK($C444),"",IF($BR444&lt;&gt;Constants!$B$8,$BR444,$BW444))</f>
        <v/>
      </c>
      <c r="CR444" s="143" t="str">
        <f aca="false">IF(ISBLANK($C444),"",$BS444)</f>
        <v/>
      </c>
      <c r="CS444" s="144" t="str">
        <f aca="false">IF(ISBLANK($C444),"",$CH444)</f>
        <v/>
      </c>
      <c r="CT444" s="144" t="str">
        <f aca="false">IF(ISBLANK($C444),"",$CG444)</f>
        <v/>
      </c>
      <c r="CU444" s="145" t="str">
        <f aca="false">IF(ISBLANK($C444),"",IFERROR(_xlfn.SWITCH($CT444,Constants!$B$11,COUNTA($C$9:$C$508)+2,Constants!$B$10,COUNTA($C$9:$C$508)+1,Constants!$B$9,COUNTA($C$9:$C$508)),$CT444))</f>
        <v/>
      </c>
      <c r="CV444" s="9"/>
      <c r="CW444" s="146" t="n">
        <f aca="false">IF(OR(ISNUMBER($CT444),$CT444=Constants!$B$11,$CT444=Constants!$B$9,$CT444=Constants!$B$10),1,0)</f>
        <v>0</v>
      </c>
      <c r="CX444" s="146" t="n">
        <v>436</v>
      </c>
      <c r="CY444" s="146" t="str">
        <f aca="false">IF(ISBLANK($C444),"",IF(ISNUMBER($CU444),$CU444+ROW($B444)/1000,""))</f>
        <v/>
      </c>
      <c r="CZ444" s="146" t="str">
        <f aca="false">IF(ISNUMBER($CY444),RANK($CY444,$CY$9:$CY$508,1),"")</f>
        <v/>
      </c>
      <c r="DA444" s="146" t="str">
        <f aca="false">IF(ISBLANK($C444),"",$B444)</f>
        <v/>
      </c>
      <c r="DB444" s="146" t="str">
        <f aca="false">IF(ISBLANK($C444),"",$C444)</f>
        <v/>
      </c>
      <c r="DC444" s="146" t="str">
        <f aca="false">IF(ISBLANK($C444),"",$D444)</f>
        <v/>
      </c>
      <c r="DD444" s="147" t="str">
        <f aca="false">$CR444</f>
        <v/>
      </c>
      <c r="DE444" s="148" t="str">
        <f aca="false">$CQ444</f>
        <v/>
      </c>
      <c r="DF444" s="146" t="str">
        <f aca="false">IF(ISBLANK($C444),"",$CT444)</f>
        <v/>
      </c>
      <c r="DG444" s="149" t="str">
        <f aca="false">IF($CX444&gt;$CW$8,"",VLOOKUP($CX444,$CZ$9:$DF$508,7,FALSE()))</f>
        <v/>
      </c>
      <c r="DH444" s="150" t="str">
        <f aca="false">IF($CX444&gt;$CW$8,"",VLOOKUP($CX444,$CZ$9:$DF$508,2,FALSE()))</f>
        <v/>
      </c>
      <c r="DI444" s="150" t="str">
        <f aca="false">IF($CX444&gt;$CW$8,"",VLOOKUP($CX444,$CZ$9:$DF$508,3,FALSE()))</f>
        <v/>
      </c>
      <c r="DJ444" s="150" t="str">
        <f aca="false">IF($CX444&gt;$CW$8,"",VLOOKUP($CX444,$CZ$9:$DF$508,4,FALSE()))</f>
        <v/>
      </c>
      <c r="DK444" s="150" t="str">
        <f aca="false">IF($CX444&gt;$CW$8,"",VLOOKUP($CX444,$CZ$9:$DF$508,5,FALSE()))</f>
        <v/>
      </c>
      <c r="DL444" s="151" t="str">
        <f aca="false">IF($CX444&gt;$CW$8,"",VLOOKUP($CX444,$CZ$9:$DF$508,6,FALSE()))</f>
        <v/>
      </c>
      <c r="DM444" s="75"/>
    </row>
    <row r="445" customFormat="false" ht="15.75" hidden="false" customHeight="false" outlineLevel="0" collapsed="false">
      <c r="A445" s="9"/>
      <c r="B445" s="157"/>
      <c r="C445" s="158"/>
      <c r="D445" s="159"/>
      <c r="E445" s="177"/>
      <c r="F445" s="161"/>
      <c r="G445" s="162"/>
      <c r="H445" s="162"/>
      <c r="I445" s="178"/>
      <c r="J445" s="165"/>
      <c r="K445" s="126"/>
      <c r="L445" s="127"/>
      <c r="M445" s="128"/>
      <c r="N445" s="165"/>
      <c r="O445" s="165"/>
      <c r="P445" s="177"/>
      <c r="Q445" s="165"/>
      <c r="R445" s="165"/>
      <c r="S445" s="126"/>
      <c r="T445" s="128"/>
      <c r="U445" s="128"/>
      <c r="V445" s="165"/>
      <c r="W445" s="165"/>
      <c r="X445" s="177"/>
      <c r="Y445" s="165"/>
      <c r="Z445" s="166"/>
      <c r="AA445" s="165"/>
      <c r="AB445" s="132"/>
      <c r="AC445" s="133"/>
      <c r="AD445" s="133"/>
      <c r="AE445" s="133"/>
      <c r="AF445" s="133" t="str">
        <f aca="false">IF(ISBLANK($C445),"",IF(E445=Constants!$B$3,TRUE(),IF(E445=Constants!$B$4,FALSE(),TRUE())))</f>
        <v/>
      </c>
      <c r="AG445" s="133" t="str">
        <f aca="false">IF(ISBLANK($C445),"",IF(F445=Constants!$B$3,TRUE(),IF(F445=Constants!$B$4,FALSE(),TRUE())))</f>
        <v/>
      </c>
      <c r="AH445" s="133" t="str">
        <f aca="false">IF(ISBLANK($C445),"",IF(G445=Constants!$B$3,TRUE(),IF(G445=Constants!$B$4,FALSE(),TRUE())))</f>
        <v/>
      </c>
      <c r="AI445" s="133" t="str">
        <f aca="false">IF(ISBLANK($C445),"",IF(AND(ISNUMBER(H445),H445&gt;=0),H445,Constants!$B$29))</f>
        <v/>
      </c>
      <c r="AJ445" s="133" t="str">
        <f aca="false">IF(ISBLANK($C445),"",IF(I445=Constants!$B$3,TRUE(),IF(I445=Constants!$B$4,FALSE(),TRUE())))</f>
        <v/>
      </c>
      <c r="AK445" s="133" t="str">
        <f aca="false">IF(ISBLANK($C445),"",IF(J445=Constants!$B$3,TRUE(),IF(J445=Constants!$B$4,FALSE(),TRUE())))</f>
        <v/>
      </c>
      <c r="AL445" s="133" t="str">
        <f aca="false">IF(ISBLANK($C445),"",IF(K445=Constants!$B$5,TRUE(),IF(K445=Constants!$B$6,FALSE(),COUNTA(L445:P445)&gt;0)))</f>
        <v/>
      </c>
      <c r="AM445" s="134" t="str">
        <f aca="false">IF(ISBLANK($C445),"",IF(ISNUMBER(L445),IF(L445&gt;=0,L445,""),""))</f>
        <v/>
      </c>
      <c r="AN445" s="135" t="str">
        <f aca="false">IF(ISBLANK($C445),"",IF(ISNUMBER(M445),IF(M445&gt;=0,M445,""),""))</f>
        <v/>
      </c>
      <c r="AO445" s="135" t="str">
        <f aca="false">IF(ISBLANK($C445),"",IF(N445=Constants!$B$3,TRUE(),IF(N445=Constants!$B$4,FALSE(),TRUE())))</f>
        <v/>
      </c>
      <c r="AP445" s="133" t="str">
        <f aca="false">IF(ISBLANK($C445),"",IF(ISNUMBER(O445),IF(O445&gt;=0,O445,""),""))</f>
        <v/>
      </c>
      <c r="AQ445" s="133" t="str">
        <f aca="false">IF(ISBLANK($C445),"",IF(P445=Constants!$B$3,TRUE(),IF(P445=Constants!$B$4,FALSE(),FALSE())))</f>
        <v/>
      </c>
      <c r="AR445" s="133" t="str">
        <f aca="false">IF(ISBLANK($C445),"",IF(Q445=Constants!$B$3,TRUE(),IF(Q445=Constants!$B$4,FALSE(),TRUE())))</f>
        <v/>
      </c>
      <c r="AS445" s="133" t="str">
        <f aca="false">IF(ISBLANK($C445),"",IF(R445=Constants!$B$3,TRUE(),IF(R445=Constants!$B$4,FALSE(),TRUE())))</f>
        <v/>
      </c>
      <c r="AT445" s="133" t="str">
        <f aca="false">IF(ISBLANK($C445),"",IF(S445=Constants!$B$5,TRUE(),IF(S445=Constants!$B$6,FALSE(),COUNTA(T445:X445)&gt;0)))</f>
        <v/>
      </c>
      <c r="AU445" s="134" t="str">
        <f aca="false">IF(ISBLANK($C445),"",IF(ISNUMBER(T445),IF(T445&gt;=0,T445,""),""))</f>
        <v/>
      </c>
      <c r="AV445" s="135" t="str">
        <f aca="false">IF(ISBLANK($C445),"",IF(ISNUMBER(U445),IF(U445&gt;=0,U445,""),""))</f>
        <v/>
      </c>
      <c r="AW445" s="135" t="str">
        <f aca="false">IF(ISBLANK($C445),"",IF(V445=Constants!$B$3,TRUE(),IF(V445=Constants!$B$4,FALSE(),TRUE())))</f>
        <v/>
      </c>
      <c r="AX445" s="133" t="str">
        <f aca="false">IF(ISBLANK($C445),"",IF(ISNUMBER(W445),IF(W445&gt;=0,W445,""),""))</f>
        <v/>
      </c>
      <c r="AY445" s="133" t="str">
        <f aca="false">IF(ISBLANK($C445),"",IF(X445=Constants!$B$3,TRUE(),IF(X445=Constants!$B$4,FALSE(),FALSE())))</f>
        <v/>
      </c>
      <c r="AZ445" s="133" t="str">
        <f aca="false">IF(ISBLANK($C445),"",MIN(Constants!$B$31,MAX(0,IF(ISNUMBER(Y445),Y445*60,0)+IF(ISNUMBER(Z445),Z445,0))))</f>
        <v/>
      </c>
      <c r="BA445" s="133" t="str">
        <f aca="false">IF(ISBLANK($C445),"",IF(AA445=Constants!$B$3,TRUE(),IF(AA445=Constants!$B$4,FALSE(),FALSE())))</f>
        <v/>
      </c>
      <c r="BB445" s="132" t="str">
        <f aca="false">IF(ISBLANK($C445),"",AND($AL445,OR($AM445="",$AN445="",AND($AO445,$AP445=""))))</f>
        <v/>
      </c>
      <c r="BC445" s="135" t="str">
        <f aca="false">IF($BR445&lt;&gt;Constants!$B$8,"",IF($AL445,Constants!$B$21*$AN445+Constants!$B$22*IF($AO445,$AP445,Constants!$B$23),Constants!$B$24))</f>
        <v/>
      </c>
      <c r="BD445" s="136" t="str">
        <f aca="false">IF($BR445&lt;&gt;Constants!$B$8,"",Constants!$B$25*ABS($AD$9-IF($AL445,$AM445,0)))</f>
        <v/>
      </c>
      <c r="BE445" s="136" t="str">
        <f aca="false">IF($BR445&lt;&gt;Constants!$B$8,"",IF(AND($AL445,$AQ445,$AO445),Constants!$B$27,0))</f>
        <v/>
      </c>
      <c r="BF445" s="136" t="str">
        <f aca="false">IF($BR445&lt;&gt;Constants!$B$8,"",IF($AL445,($AI445-Constants!$B$29)*Constants!$B$28,0))</f>
        <v/>
      </c>
      <c r="BG445" s="136" t="str">
        <f aca="false">IF($BR445&lt;&gt;Constants!$B$8,"",IF($AK445,0,Constants!$B$15)+IF($AJ445,0,Constants!$B$16)+IF($AH445,0,Constants!$B$17))</f>
        <v/>
      </c>
      <c r="BH445" s="137" t="str">
        <f aca="false">IF($BR445&lt;&gt;Constants!$B$8,"",Constants!$B$20+SUM($BC445:$BG445))</f>
        <v/>
      </c>
      <c r="BI445" s="133" t="str">
        <f aca="false">IF($BR445&lt;&gt;Constants!$B$8,"",IF(OR($BP445&lt;$BH445,AND($BP445=$BH445,OR($BK445&lt;$BC445,AND($BK445=$BC445,OR($BL445&lt;$BD445,AND($BL445=$BD445,$AT445,$AL445,$AV445&lt;$AN445)))))),"-&gt;","&lt;-"))</f>
        <v/>
      </c>
      <c r="BJ445" s="132" t="str">
        <f aca="false">IF(ISBLANK($C445),"",AND($AT445,OR($AU445="",$AV445="",AND($AW445,$AX445=""))))</f>
        <v/>
      </c>
      <c r="BK445" s="135" t="str">
        <f aca="false">IF($BR445&lt;&gt;Constants!$B$8,"",IF($AT445,Constants!$B$21*$AV445+Constants!$B$22*IF($AW445,$AX445,Constants!$B$23),Constants!$B$24))</f>
        <v/>
      </c>
      <c r="BL445" s="136" t="str">
        <f aca="false">IF($BR445&lt;&gt;Constants!$B$8,"",Constants!$B$25*ABS($AD$9-IF($AT445,$AU445,0)))</f>
        <v/>
      </c>
      <c r="BM445" s="136" t="str">
        <f aca="false">IF($BR445&lt;&gt;Constants!$B$8,"",IF(AND($AT445,$AY445,$AW445),Constants!$B$27,0))</f>
        <v/>
      </c>
      <c r="BN445" s="136" t="str">
        <f aca="false">IF($BR445&lt;&gt;Constants!$B$8,"",IF($AT445,($AI445-Constants!$B$29)*Constants!$B$28,0))</f>
        <v/>
      </c>
      <c r="BO445" s="136" t="str">
        <f aca="false">IF($BR445&lt;&gt;Constants!$B$8,"",IF($AS445,0,Constants!$B$15)+IF($AR445,0,Constants!$B$16)+IF($AH445,0,Constants!$B$17))</f>
        <v/>
      </c>
      <c r="BP445" s="137" t="str">
        <f aca="false">IF($BR445&lt;&gt;Constants!$B$8,"",Constants!$B$20+SUM($BK445:$BO445))</f>
        <v/>
      </c>
      <c r="BQ445" s="133" t="str">
        <f aca="false">IF(ISBLANK($C445),"",IF(ISBLANK($D$7),$BQ$5,IF(NOT(ISNUMBER($D$7)),$BQ$6,"")))</f>
        <v/>
      </c>
      <c r="BR445" s="133" t="str">
        <f aca="false">IF(ISBLANK($C445),"",IF($BA445,Constants!$B$11,IF(COUNTA($E445:$AA445)=0,Constants!$B$10,IF(NOT($AG445),Constants!$B$9,IF(OR($BQ445&lt;&gt;"",$BB445,$BJ445),Constants!$B$12,Constants!$B$8)))))</f>
        <v/>
      </c>
      <c r="BS445" s="133" t="str">
        <f aca="false">IF(ISBLANK($C445),"",IF($BR445&lt;&gt;Constants!$B$8,$BR445,Constants!$B$13))</f>
        <v/>
      </c>
      <c r="BT445" s="136" t="str">
        <f aca="false">IF($BR445&lt;&gt;Constants!$B$8,"",IF($BI445="-&gt;",$BP445,$BH445))</f>
        <v/>
      </c>
      <c r="BU445" s="136" t="str">
        <f aca="false">IF($BR445&lt;&gt;Constants!$B$8,"",IF($AF445,0,Constants!$B$18))</f>
        <v/>
      </c>
      <c r="BV445" s="136" t="str">
        <f aca="false">IF($BR445&lt;&gt;Constants!$B$8,"",((Constants!$B$31-$AZ445)-Constants!$B$31)/Constants!$B$32)</f>
        <v/>
      </c>
      <c r="BW445" s="136" t="str">
        <f aca="false">IF(ISBLANK($C445),"",IF($BR445&lt;&gt;Constants!$B$8,$BR445,SUM($BT445:$BV445)))</f>
        <v/>
      </c>
      <c r="BX445" s="133" t="str">
        <f aca="false">IF(ISBLANK($C445),"",IF($BR445&lt;&gt;Constants!$B$8,$BR445,RANK($BW445,$BW$9:$BW$508,1)))</f>
        <v/>
      </c>
      <c r="BY445" s="136" t="str">
        <f aca="false">IF($BR445&lt;&gt;Constants!$B$8,"",IF($BI445="-&gt;",$BK445,$BC445))</f>
        <v/>
      </c>
      <c r="BZ445" s="133" t="str">
        <f aca="false">IF(ISBLANK($C445),"",IF($BR445&lt;&gt;Constants!$B$8,$BR445,IF(ISNUMBER($BY445),RANK($BY445,$BY$9:$BY$508,1),COUNT($BY$9:$BY$508)+1)))</f>
        <v/>
      </c>
      <c r="CA445" s="136" t="str">
        <f aca="false">IF($BR445&lt;&gt;Constants!$B$8,"",IF($BI445="-&gt;",$BL445,$BD445))</f>
        <v/>
      </c>
      <c r="CB445" s="133" t="str">
        <f aca="false">IF(ISBLANK($C445),"",IF($BR445&lt;&gt;Constants!$B$8,$BR445,IF(ISNUMBER($CA445),RANK($CA445,$CA$9:$CA$508,1),COUNT($CA$9:$CA$508)+1)))</f>
        <v/>
      </c>
      <c r="CC445" s="136" t="str">
        <f aca="false">IF($BR445&lt;&gt;Constants!$B$8,"",IF($BI445="-&gt;",IF($AT445,$AV445,""),IF($AL445,$AN445,"")))</f>
        <v/>
      </c>
      <c r="CD445" s="133" t="str">
        <f aca="false">IF(ISBLANK($C445),"",IF($BR445&lt;&gt;Constants!$B$8,$BR445,IF(ISNUMBER($CC445),RANK($CC445,$CC$9:$CC$508,1),COUNT($CC$9:$CC$508)+1)))</f>
        <v/>
      </c>
      <c r="CE445" s="136" t="str">
        <f aca="false">IF($BR445&lt;&gt;Constants!$B$8,"",IF(AND(NOT($AL445),NOT($AT445),$AJ445,$AK445,$AR445,$AS445),"",$AI445))</f>
        <v/>
      </c>
      <c r="CF445" s="133" t="str">
        <f aca="false">IF(ISBLANK($C445),"",IF($BR445&lt;&gt;Constants!$B$8,$BR445,IF(ISNUMBER($CE445),RANK($CE445,$CE$9:$CE$508,1),COUNT($CE$9:$CE$508)+1)))</f>
        <v/>
      </c>
      <c r="CG445" s="133" t="str">
        <f aca="false">IF(ISBLANK($C445),"",IF($BR445&lt;&gt;Constants!$B$8,$BR445,COUNTIFS($BX$9:$BX$508,"&lt;"&amp;$BX445)+COUNTIFS($BX$9:$BX$508,$BX445,$BZ$9:$BZ$508,"&lt;"&amp;$BZ445)+COUNTIFS($BX$9:$BX$508,$BX445,$BZ$9:$BZ$508,$BZ445,$CB$9:$CB$508,"&lt;"&amp;$CB445)+COUNTIFS($BX$9:$BX$508,$BX445,$BZ$9:$BZ$508,$BZ445,$CB$9:$CB$508,$CB445,$CD$9:$CD$508,"&lt;"&amp;$CD445)+COUNTIFS($BX$9:$BX$508,$BX445,$BZ$9:$BZ$508,$BZ445,$CB$9:$CB$508,$CB445,$CD$9:$CD$508,$CD445,$CF$9:$CF$508,"&lt;"&amp;$CF445)+1))</f>
        <v/>
      </c>
      <c r="CH445" s="133" t="str">
        <f aca="false">IF(ISBLANK($C445),"",IF($BR445&lt;&gt;Constants!$B$8,$BR445,$BX445-$CG445))</f>
        <v/>
      </c>
      <c r="CI445" s="138"/>
      <c r="CJ445" s="139"/>
      <c r="CK445" s="140" t="str">
        <f aca="false">IF(ISBLANK($C445),"",IF($BR445=Constants!$B$12,$BQ445,""))</f>
        <v/>
      </c>
      <c r="CL445" s="139" t="str">
        <f aca="false">IF(ISBLANK($C445),"",IF($BR445&lt;&gt;Constants!$B$8,"",IF($BI445="-&gt;",2,1)))</f>
        <v/>
      </c>
      <c r="CM445" s="141" t="str">
        <f aca="false">IF(ISBLANK($C445),"",IF($BR445&lt;&gt;Constants!$B$8,"",IF($BI445="-&gt;",$BK445,$BC445)))</f>
        <v/>
      </c>
      <c r="CN445" s="141" t="str">
        <f aca="false">IF(ISBLANK($C445),"",IF($BR445&lt;&gt;Constants!$B$8,"",IF($BI445="-&gt;",$BL445,$BD445)))</f>
        <v/>
      </c>
      <c r="CO445" s="141" t="str">
        <f aca="false">IF(ISBLANK($C445),"",IF($BR445&lt;&gt;Constants!$B$8,"",IF($BI445="-&gt;",$BM445+$BN445,$BE445+$BF445)+$BV445))</f>
        <v/>
      </c>
      <c r="CP445" s="141" t="str">
        <f aca="false">IF(ISBLANK($C445),"",IF($BR445&lt;&gt;Constants!$B$8,"",IF($BI445="-&gt;",$BO445,$BG445)+$BU445))</f>
        <v/>
      </c>
      <c r="CQ445" s="142" t="str">
        <f aca="false">IF(ISBLANK($C445),"",IF($BR445&lt;&gt;Constants!$B$8,$BR445,$BW445))</f>
        <v/>
      </c>
      <c r="CR445" s="143" t="str">
        <f aca="false">IF(ISBLANK($C445),"",$BS445)</f>
        <v/>
      </c>
      <c r="CS445" s="144" t="str">
        <f aca="false">IF(ISBLANK($C445),"",$CH445)</f>
        <v/>
      </c>
      <c r="CT445" s="144" t="str">
        <f aca="false">IF(ISBLANK($C445),"",$CG445)</f>
        <v/>
      </c>
      <c r="CU445" s="145" t="str">
        <f aca="false">IF(ISBLANK($C445),"",IFERROR(_xlfn.SWITCH($CT445,Constants!$B$11,COUNTA($C$9:$C$508)+2,Constants!$B$10,COUNTA($C$9:$C$508)+1,Constants!$B$9,COUNTA($C$9:$C$508)),$CT445))</f>
        <v/>
      </c>
      <c r="CV445" s="9"/>
      <c r="CW445" s="146" t="n">
        <f aca="false">IF(OR(ISNUMBER($CT445),$CT445=Constants!$B$11,$CT445=Constants!$B$9,$CT445=Constants!$B$10),1,0)</f>
        <v>0</v>
      </c>
      <c r="CX445" s="146" t="n">
        <v>437</v>
      </c>
      <c r="CY445" s="146" t="str">
        <f aca="false">IF(ISBLANK($C445),"",IF(ISNUMBER($CU445),$CU445+ROW($B445)/1000,""))</f>
        <v/>
      </c>
      <c r="CZ445" s="146" t="str">
        <f aca="false">IF(ISNUMBER($CY445),RANK($CY445,$CY$9:$CY$508,1),"")</f>
        <v/>
      </c>
      <c r="DA445" s="146" t="str">
        <f aca="false">IF(ISBLANK($C445),"",$B445)</f>
        <v/>
      </c>
      <c r="DB445" s="146" t="str">
        <f aca="false">IF(ISBLANK($C445),"",$C445)</f>
        <v/>
      </c>
      <c r="DC445" s="146" t="str">
        <f aca="false">IF(ISBLANK($C445),"",$D445)</f>
        <v/>
      </c>
      <c r="DD445" s="147" t="str">
        <f aca="false">$CR445</f>
        <v/>
      </c>
      <c r="DE445" s="148" t="str">
        <f aca="false">$CQ445</f>
        <v/>
      </c>
      <c r="DF445" s="146" t="str">
        <f aca="false">IF(ISBLANK($C445),"",$CT445)</f>
        <v/>
      </c>
      <c r="DG445" s="149" t="str">
        <f aca="false">IF($CX445&gt;$CW$8,"",VLOOKUP($CX445,$CZ$9:$DF$508,7,FALSE()))</f>
        <v/>
      </c>
      <c r="DH445" s="150" t="str">
        <f aca="false">IF($CX445&gt;$CW$8,"",VLOOKUP($CX445,$CZ$9:$DF$508,2,FALSE()))</f>
        <v/>
      </c>
      <c r="DI445" s="150" t="str">
        <f aca="false">IF($CX445&gt;$CW$8,"",VLOOKUP($CX445,$CZ$9:$DF$508,3,FALSE()))</f>
        <v/>
      </c>
      <c r="DJ445" s="150" t="str">
        <f aca="false">IF($CX445&gt;$CW$8,"",VLOOKUP($CX445,$CZ$9:$DF$508,4,FALSE()))</f>
        <v/>
      </c>
      <c r="DK445" s="150" t="str">
        <f aca="false">IF($CX445&gt;$CW$8,"",VLOOKUP($CX445,$CZ$9:$DF$508,5,FALSE()))</f>
        <v/>
      </c>
      <c r="DL445" s="151" t="str">
        <f aca="false">IF($CX445&gt;$CW$8,"",VLOOKUP($CX445,$CZ$9:$DF$508,6,FALSE()))</f>
        <v/>
      </c>
      <c r="DM445" s="75"/>
    </row>
    <row r="446" customFormat="false" ht="15.75" hidden="false" customHeight="false" outlineLevel="0" collapsed="false">
      <c r="A446" s="9"/>
      <c r="B446" s="157"/>
      <c r="C446" s="158"/>
      <c r="D446" s="159"/>
      <c r="E446" s="177"/>
      <c r="F446" s="161"/>
      <c r="G446" s="162"/>
      <c r="H446" s="162"/>
      <c r="I446" s="178"/>
      <c r="J446" s="165"/>
      <c r="K446" s="126"/>
      <c r="L446" s="127"/>
      <c r="M446" s="128"/>
      <c r="N446" s="165"/>
      <c r="O446" s="165"/>
      <c r="P446" s="177"/>
      <c r="Q446" s="165"/>
      <c r="R446" s="165"/>
      <c r="S446" s="126"/>
      <c r="T446" s="128"/>
      <c r="U446" s="128"/>
      <c r="V446" s="165"/>
      <c r="W446" s="165"/>
      <c r="X446" s="177"/>
      <c r="Y446" s="165"/>
      <c r="Z446" s="166"/>
      <c r="AA446" s="165"/>
      <c r="AB446" s="132"/>
      <c r="AC446" s="133"/>
      <c r="AD446" s="133"/>
      <c r="AE446" s="133"/>
      <c r="AF446" s="133" t="str">
        <f aca="false">IF(ISBLANK($C446),"",IF(E446=Constants!$B$3,TRUE(),IF(E446=Constants!$B$4,FALSE(),TRUE())))</f>
        <v/>
      </c>
      <c r="AG446" s="133" t="str">
        <f aca="false">IF(ISBLANK($C446),"",IF(F446=Constants!$B$3,TRUE(),IF(F446=Constants!$B$4,FALSE(),TRUE())))</f>
        <v/>
      </c>
      <c r="AH446" s="133" t="str">
        <f aca="false">IF(ISBLANK($C446),"",IF(G446=Constants!$B$3,TRUE(),IF(G446=Constants!$B$4,FALSE(),TRUE())))</f>
        <v/>
      </c>
      <c r="AI446" s="133" t="str">
        <f aca="false">IF(ISBLANK($C446),"",IF(AND(ISNUMBER(H446),H446&gt;=0),H446,Constants!$B$29))</f>
        <v/>
      </c>
      <c r="AJ446" s="133" t="str">
        <f aca="false">IF(ISBLANK($C446),"",IF(I446=Constants!$B$3,TRUE(),IF(I446=Constants!$B$4,FALSE(),TRUE())))</f>
        <v/>
      </c>
      <c r="AK446" s="133" t="str">
        <f aca="false">IF(ISBLANK($C446),"",IF(J446=Constants!$B$3,TRUE(),IF(J446=Constants!$B$4,FALSE(),TRUE())))</f>
        <v/>
      </c>
      <c r="AL446" s="133" t="str">
        <f aca="false">IF(ISBLANK($C446),"",IF(K446=Constants!$B$5,TRUE(),IF(K446=Constants!$B$6,FALSE(),COUNTA(L446:P446)&gt;0)))</f>
        <v/>
      </c>
      <c r="AM446" s="134" t="str">
        <f aca="false">IF(ISBLANK($C446),"",IF(ISNUMBER(L446),IF(L446&gt;=0,L446,""),""))</f>
        <v/>
      </c>
      <c r="AN446" s="135" t="str">
        <f aca="false">IF(ISBLANK($C446),"",IF(ISNUMBER(M446),IF(M446&gt;=0,M446,""),""))</f>
        <v/>
      </c>
      <c r="AO446" s="135" t="str">
        <f aca="false">IF(ISBLANK($C446),"",IF(N446=Constants!$B$3,TRUE(),IF(N446=Constants!$B$4,FALSE(),TRUE())))</f>
        <v/>
      </c>
      <c r="AP446" s="133" t="str">
        <f aca="false">IF(ISBLANK($C446),"",IF(ISNUMBER(O446),IF(O446&gt;=0,O446,""),""))</f>
        <v/>
      </c>
      <c r="AQ446" s="133" t="str">
        <f aca="false">IF(ISBLANK($C446),"",IF(P446=Constants!$B$3,TRUE(),IF(P446=Constants!$B$4,FALSE(),FALSE())))</f>
        <v/>
      </c>
      <c r="AR446" s="133" t="str">
        <f aca="false">IF(ISBLANK($C446),"",IF(Q446=Constants!$B$3,TRUE(),IF(Q446=Constants!$B$4,FALSE(),TRUE())))</f>
        <v/>
      </c>
      <c r="AS446" s="133" t="str">
        <f aca="false">IF(ISBLANK($C446),"",IF(R446=Constants!$B$3,TRUE(),IF(R446=Constants!$B$4,FALSE(),TRUE())))</f>
        <v/>
      </c>
      <c r="AT446" s="133" t="str">
        <f aca="false">IF(ISBLANK($C446),"",IF(S446=Constants!$B$5,TRUE(),IF(S446=Constants!$B$6,FALSE(),COUNTA(T446:X446)&gt;0)))</f>
        <v/>
      </c>
      <c r="AU446" s="134" t="str">
        <f aca="false">IF(ISBLANK($C446),"",IF(ISNUMBER(T446),IF(T446&gt;=0,T446,""),""))</f>
        <v/>
      </c>
      <c r="AV446" s="135" t="str">
        <f aca="false">IF(ISBLANK($C446),"",IF(ISNUMBER(U446),IF(U446&gt;=0,U446,""),""))</f>
        <v/>
      </c>
      <c r="AW446" s="135" t="str">
        <f aca="false">IF(ISBLANK($C446),"",IF(V446=Constants!$B$3,TRUE(),IF(V446=Constants!$B$4,FALSE(),TRUE())))</f>
        <v/>
      </c>
      <c r="AX446" s="133" t="str">
        <f aca="false">IF(ISBLANK($C446),"",IF(ISNUMBER(W446),IF(W446&gt;=0,W446,""),""))</f>
        <v/>
      </c>
      <c r="AY446" s="133" t="str">
        <f aca="false">IF(ISBLANK($C446),"",IF(X446=Constants!$B$3,TRUE(),IF(X446=Constants!$B$4,FALSE(),FALSE())))</f>
        <v/>
      </c>
      <c r="AZ446" s="133" t="str">
        <f aca="false">IF(ISBLANK($C446),"",MIN(Constants!$B$31,MAX(0,IF(ISNUMBER(Y446),Y446*60,0)+IF(ISNUMBER(Z446),Z446,0))))</f>
        <v/>
      </c>
      <c r="BA446" s="133" t="str">
        <f aca="false">IF(ISBLANK($C446),"",IF(AA446=Constants!$B$3,TRUE(),IF(AA446=Constants!$B$4,FALSE(),FALSE())))</f>
        <v/>
      </c>
      <c r="BB446" s="132" t="str">
        <f aca="false">IF(ISBLANK($C446),"",AND($AL446,OR($AM446="",$AN446="",AND($AO446,$AP446=""))))</f>
        <v/>
      </c>
      <c r="BC446" s="135" t="str">
        <f aca="false">IF($BR446&lt;&gt;Constants!$B$8,"",IF($AL446,Constants!$B$21*$AN446+Constants!$B$22*IF($AO446,$AP446,Constants!$B$23),Constants!$B$24))</f>
        <v/>
      </c>
      <c r="BD446" s="136" t="str">
        <f aca="false">IF($BR446&lt;&gt;Constants!$B$8,"",Constants!$B$25*ABS($AD$9-IF($AL446,$AM446,0)))</f>
        <v/>
      </c>
      <c r="BE446" s="136" t="str">
        <f aca="false">IF($BR446&lt;&gt;Constants!$B$8,"",IF(AND($AL446,$AQ446,$AO446),Constants!$B$27,0))</f>
        <v/>
      </c>
      <c r="BF446" s="136" t="str">
        <f aca="false">IF($BR446&lt;&gt;Constants!$B$8,"",IF($AL446,($AI446-Constants!$B$29)*Constants!$B$28,0))</f>
        <v/>
      </c>
      <c r="BG446" s="136" t="str">
        <f aca="false">IF($BR446&lt;&gt;Constants!$B$8,"",IF($AK446,0,Constants!$B$15)+IF($AJ446,0,Constants!$B$16)+IF($AH446,0,Constants!$B$17))</f>
        <v/>
      </c>
      <c r="BH446" s="137" t="str">
        <f aca="false">IF($BR446&lt;&gt;Constants!$B$8,"",Constants!$B$20+SUM($BC446:$BG446))</f>
        <v/>
      </c>
      <c r="BI446" s="133" t="str">
        <f aca="false">IF($BR446&lt;&gt;Constants!$B$8,"",IF(OR($BP446&lt;$BH446,AND($BP446=$BH446,OR($BK446&lt;$BC446,AND($BK446=$BC446,OR($BL446&lt;$BD446,AND($BL446=$BD446,$AT446,$AL446,$AV446&lt;$AN446)))))),"-&gt;","&lt;-"))</f>
        <v/>
      </c>
      <c r="BJ446" s="132" t="str">
        <f aca="false">IF(ISBLANK($C446),"",AND($AT446,OR($AU446="",$AV446="",AND($AW446,$AX446=""))))</f>
        <v/>
      </c>
      <c r="BK446" s="135" t="str">
        <f aca="false">IF($BR446&lt;&gt;Constants!$B$8,"",IF($AT446,Constants!$B$21*$AV446+Constants!$B$22*IF($AW446,$AX446,Constants!$B$23),Constants!$B$24))</f>
        <v/>
      </c>
      <c r="BL446" s="136" t="str">
        <f aca="false">IF($BR446&lt;&gt;Constants!$B$8,"",Constants!$B$25*ABS($AD$9-IF($AT446,$AU446,0)))</f>
        <v/>
      </c>
      <c r="BM446" s="136" t="str">
        <f aca="false">IF($BR446&lt;&gt;Constants!$B$8,"",IF(AND($AT446,$AY446,$AW446),Constants!$B$27,0))</f>
        <v/>
      </c>
      <c r="BN446" s="136" t="str">
        <f aca="false">IF($BR446&lt;&gt;Constants!$B$8,"",IF($AT446,($AI446-Constants!$B$29)*Constants!$B$28,0))</f>
        <v/>
      </c>
      <c r="BO446" s="136" t="str">
        <f aca="false">IF($BR446&lt;&gt;Constants!$B$8,"",IF($AS446,0,Constants!$B$15)+IF($AR446,0,Constants!$B$16)+IF($AH446,0,Constants!$B$17))</f>
        <v/>
      </c>
      <c r="BP446" s="137" t="str">
        <f aca="false">IF($BR446&lt;&gt;Constants!$B$8,"",Constants!$B$20+SUM($BK446:$BO446))</f>
        <v/>
      </c>
      <c r="BQ446" s="133" t="str">
        <f aca="false">IF(ISBLANK($C446),"",IF(ISBLANK($D$7),$BQ$5,IF(NOT(ISNUMBER($D$7)),$BQ$6,"")))</f>
        <v/>
      </c>
      <c r="BR446" s="133" t="str">
        <f aca="false">IF(ISBLANK($C446),"",IF($BA446,Constants!$B$11,IF(COUNTA($E446:$AA446)=0,Constants!$B$10,IF(NOT($AG446),Constants!$B$9,IF(OR($BQ446&lt;&gt;"",$BB446,$BJ446),Constants!$B$12,Constants!$B$8)))))</f>
        <v/>
      </c>
      <c r="BS446" s="133" t="str">
        <f aca="false">IF(ISBLANK($C446),"",IF($BR446&lt;&gt;Constants!$B$8,$BR446,Constants!$B$13))</f>
        <v/>
      </c>
      <c r="BT446" s="136" t="str">
        <f aca="false">IF($BR446&lt;&gt;Constants!$B$8,"",IF($BI446="-&gt;",$BP446,$BH446))</f>
        <v/>
      </c>
      <c r="BU446" s="136" t="str">
        <f aca="false">IF($BR446&lt;&gt;Constants!$B$8,"",IF($AF446,0,Constants!$B$18))</f>
        <v/>
      </c>
      <c r="BV446" s="136" t="str">
        <f aca="false">IF($BR446&lt;&gt;Constants!$B$8,"",((Constants!$B$31-$AZ446)-Constants!$B$31)/Constants!$B$32)</f>
        <v/>
      </c>
      <c r="BW446" s="136" t="str">
        <f aca="false">IF(ISBLANK($C446),"",IF($BR446&lt;&gt;Constants!$B$8,$BR446,SUM($BT446:$BV446)))</f>
        <v/>
      </c>
      <c r="BX446" s="133" t="str">
        <f aca="false">IF(ISBLANK($C446),"",IF($BR446&lt;&gt;Constants!$B$8,$BR446,RANK($BW446,$BW$9:$BW$508,1)))</f>
        <v/>
      </c>
      <c r="BY446" s="136" t="str">
        <f aca="false">IF($BR446&lt;&gt;Constants!$B$8,"",IF($BI446="-&gt;",$BK446,$BC446))</f>
        <v/>
      </c>
      <c r="BZ446" s="133" t="str">
        <f aca="false">IF(ISBLANK($C446),"",IF($BR446&lt;&gt;Constants!$B$8,$BR446,IF(ISNUMBER($BY446),RANK($BY446,$BY$9:$BY$508,1),COUNT($BY$9:$BY$508)+1)))</f>
        <v/>
      </c>
      <c r="CA446" s="136" t="str">
        <f aca="false">IF($BR446&lt;&gt;Constants!$B$8,"",IF($BI446="-&gt;",$BL446,$BD446))</f>
        <v/>
      </c>
      <c r="CB446" s="133" t="str">
        <f aca="false">IF(ISBLANK($C446),"",IF($BR446&lt;&gt;Constants!$B$8,$BR446,IF(ISNUMBER($CA446),RANK($CA446,$CA$9:$CA$508,1),COUNT($CA$9:$CA$508)+1)))</f>
        <v/>
      </c>
      <c r="CC446" s="136" t="str">
        <f aca="false">IF($BR446&lt;&gt;Constants!$B$8,"",IF($BI446="-&gt;",IF($AT446,$AV446,""),IF($AL446,$AN446,"")))</f>
        <v/>
      </c>
      <c r="CD446" s="133" t="str">
        <f aca="false">IF(ISBLANK($C446),"",IF($BR446&lt;&gt;Constants!$B$8,$BR446,IF(ISNUMBER($CC446),RANK($CC446,$CC$9:$CC$508,1),COUNT($CC$9:$CC$508)+1)))</f>
        <v/>
      </c>
      <c r="CE446" s="136" t="str">
        <f aca="false">IF($BR446&lt;&gt;Constants!$B$8,"",IF(AND(NOT($AL446),NOT($AT446),$AJ446,$AK446,$AR446,$AS446),"",$AI446))</f>
        <v/>
      </c>
      <c r="CF446" s="133" t="str">
        <f aca="false">IF(ISBLANK($C446),"",IF($BR446&lt;&gt;Constants!$B$8,$BR446,IF(ISNUMBER($CE446),RANK($CE446,$CE$9:$CE$508,1),COUNT($CE$9:$CE$508)+1)))</f>
        <v/>
      </c>
      <c r="CG446" s="133" t="str">
        <f aca="false">IF(ISBLANK($C446),"",IF($BR446&lt;&gt;Constants!$B$8,$BR446,COUNTIFS($BX$9:$BX$508,"&lt;"&amp;$BX446)+COUNTIFS($BX$9:$BX$508,$BX446,$BZ$9:$BZ$508,"&lt;"&amp;$BZ446)+COUNTIFS($BX$9:$BX$508,$BX446,$BZ$9:$BZ$508,$BZ446,$CB$9:$CB$508,"&lt;"&amp;$CB446)+COUNTIFS($BX$9:$BX$508,$BX446,$BZ$9:$BZ$508,$BZ446,$CB$9:$CB$508,$CB446,$CD$9:$CD$508,"&lt;"&amp;$CD446)+COUNTIFS($BX$9:$BX$508,$BX446,$BZ$9:$BZ$508,$BZ446,$CB$9:$CB$508,$CB446,$CD$9:$CD$508,$CD446,$CF$9:$CF$508,"&lt;"&amp;$CF446)+1))</f>
        <v/>
      </c>
      <c r="CH446" s="133" t="str">
        <f aca="false">IF(ISBLANK($C446),"",IF($BR446&lt;&gt;Constants!$B$8,$BR446,$BX446-$CG446))</f>
        <v/>
      </c>
      <c r="CI446" s="138"/>
      <c r="CJ446" s="139"/>
      <c r="CK446" s="140" t="str">
        <f aca="false">IF(ISBLANK($C446),"",IF($BR446=Constants!$B$12,$BQ446,""))</f>
        <v/>
      </c>
      <c r="CL446" s="139" t="str">
        <f aca="false">IF(ISBLANK($C446),"",IF($BR446&lt;&gt;Constants!$B$8,"",IF($BI446="-&gt;",2,1)))</f>
        <v/>
      </c>
      <c r="CM446" s="141" t="str">
        <f aca="false">IF(ISBLANK($C446),"",IF($BR446&lt;&gt;Constants!$B$8,"",IF($BI446="-&gt;",$BK446,$BC446)))</f>
        <v/>
      </c>
      <c r="CN446" s="141" t="str">
        <f aca="false">IF(ISBLANK($C446),"",IF($BR446&lt;&gt;Constants!$B$8,"",IF($BI446="-&gt;",$BL446,$BD446)))</f>
        <v/>
      </c>
      <c r="CO446" s="141" t="str">
        <f aca="false">IF(ISBLANK($C446),"",IF($BR446&lt;&gt;Constants!$B$8,"",IF($BI446="-&gt;",$BM446+$BN446,$BE446+$BF446)+$BV446))</f>
        <v/>
      </c>
      <c r="CP446" s="141" t="str">
        <f aca="false">IF(ISBLANK($C446),"",IF($BR446&lt;&gt;Constants!$B$8,"",IF($BI446="-&gt;",$BO446,$BG446)+$BU446))</f>
        <v/>
      </c>
      <c r="CQ446" s="142" t="str">
        <f aca="false">IF(ISBLANK($C446),"",IF($BR446&lt;&gt;Constants!$B$8,$BR446,$BW446))</f>
        <v/>
      </c>
      <c r="CR446" s="143" t="str">
        <f aca="false">IF(ISBLANK($C446),"",$BS446)</f>
        <v/>
      </c>
      <c r="CS446" s="144" t="str">
        <f aca="false">IF(ISBLANK($C446),"",$CH446)</f>
        <v/>
      </c>
      <c r="CT446" s="144" t="str">
        <f aca="false">IF(ISBLANK($C446),"",$CG446)</f>
        <v/>
      </c>
      <c r="CU446" s="145" t="str">
        <f aca="false">IF(ISBLANK($C446),"",IFERROR(_xlfn.SWITCH($CT446,Constants!$B$11,COUNTA($C$9:$C$508)+2,Constants!$B$10,COUNTA($C$9:$C$508)+1,Constants!$B$9,COUNTA($C$9:$C$508)),$CT446))</f>
        <v/>
      </c>
      <c r="CV446" s="9"/>
      <c r="CW446" s="146" t="n">
        <f aca="false">IF(OR(ISNUMBER($CT446),$CT446=Constants!$B$11,$CT446=Constants!$B$9,$CT446=Constants!$B$10),1,0)</f>
        <v>0</v>
      </c>
      <c r="CX446" s="146" t="n">
        <v>438</v>
      </c>
      <c r="CY446" s="146" t="str">
        <f aca="false">IF(ISBLANK($C446),"",IF(ISNUMBER($CU446),$CU446+ROW($B446)/1000,""))</f>
        <v/>
      </c>
      <c r="CZ446" s="146" t="str">
        <f aca="false">IF(ISNUMBER($CY446),RANK($CY446,$CY$9:$CY$508,1),"")</f>
        <v/>
      </c>
      <c r="DA446" s="146" t="str">
        <f aca="false">IF(ISBLANK($C446),"",$B446)</f>
        <v/>
      </c>
      <c r="DB446" s="146" t="str">
        <f aca="false">IF(ISBLANK($C446),"",$C446)</f>
        <v/>
      </c>
      <c r="DC446" s="146" t="str">
        <f aca="false">IF(ISBLANK($C446),"",$D446)</f>
        <v/>
      </c>
      <c r="DD446" s="147" t="str">
        <f aca="false">$CR446</f>
        <v/>
      </c>
      <c r="DE446" s="148" t="str">
        <f aca="false">$CQ446</f>
        <v/>
      </c>
      <c r="DF446" s="146" t="str">
        <f aca="false">IF(ISBLANK($C446),"",$CT446)</f>
        <v/>
      </c>
      <c r="DG446" s="149" t="str">
        <f aca="false">IF($CX446&gt;$CW$8,"",VLOOKUP($CX446,$CZ$9:$DF$508,7,FALSE()))</f>
        <v/>
      </c>
      <c r="DH446" s="150" t="str">
        <f aca="false">IF($CX446&gt;$CW$8,"",VLOOKUP($CX446,$CZ$9:$DF$508,2,FALSE()))</f>
        <v/>
      </c>
      <c r="DI446" s="150" t="str">
        <f aca="false">IF($CX446&gt;$CW$8,"",VLOOKUP($CX446,$CZ$9:$DF$508,3,FALSE()))</f>
        <v/>
      </c>
      <c r="DJ446" s="150" t="str">
        <f aca="false">IF($CX446&gt;$CW$8,"",VLOOKUP($CX446,$CZ$9:$DF$508,4,FALSE()))</f>
        <v/>
      </c>
      <c r="DK446" s="150" t="str">
        <f aca="false">IF($CX446&gt;$CW$8,"",VLOOKUP($CX446,$CZ$9:$DF$508,5,FALSE()))</f>
        <v/>
      </c>
      <c r="DL446" s="151" t="str">
        <f aca="false">IF($CX446&gt;$CW$8,"",VLOOKUP($CX446,$CZ$9:$DF$508,6,FALSE()))</f>
        <v/>
      </c>
      <c r="DM446" s="75"/>
    </row>
    <row r="447" customFormat="false" ht="15.75" hidden="false" customHeight="false" outlineLevel="0" collapsed="false">
      <c r="A447" s="9"/>
      <c r="B447" s="77"/>
      <c r="C447" s="78"/>
      <c r="D447" s="167"/>
      <c r="E447" s="175"/>
      <c r="F447" s="169"/>
      <c r="G447" s="170"/>
      <c r="H447" s="170"/>
      <c r="I447" s="176"/>
      <c r="J447" s="173"/>
      <c r="K447" s="85"/>
      <c r="L447" s="86"/>
      <c r="M447" s="87"/>
      <c r="N447" s="173"/>
      <c r="O447" s="173"/>
      <c r="P447" s="175"/>
      <c r="Q447" s="173"/>
      <c r="R447" s="173"/>
      <c r="S447" s="85"/>
      <c r="T447" s="87"/>
      <c r="U447" s="87"/>
      <c r="V447" s="173"/>
      <c r="W447" s="173"/>
      <c r="X447" s="175"/>
      <c r="Y447" s="173"/>
      <c r="Z447" s="174"/>
      <c r="AA447" s="173"/>
      <c r="AB447" s="91"/>
      <c r="AC447" s="92"/>
      <c r="AD447" s="92"/>
      <c r="AE447" s="92"/>
      <c r="AF447" s="92" t="str">
        <f aca="false">IF(ISBLANK($C447),"",IF(E447=Constants!$B$3,TRUE(),IF(E447=Constants!$B$4,FALSE(),TRUE())))</f>
        <v/>
      </c>
      <c r="AG447" s="92" t="str">
        <f aca="false">IF(ISBLANK($C447),"",IF(F447=Constants!$B$3,TRUE(),IF(F447=Constants!$B$4,FALSE(),TRUE())))</f>
        <v/>
      </c>
      <c r="AH447" s="92" t="str">
        <f aca="false">IF(ISBLANK($C447),"",IF(G447=Constants!$B$3,TRUE(),IF(G447=Constants!$B$4,FALSE(),TRUE())))</f>
        <v/>
      </c>
      <c r="AI447" s="92" t="str">
        <f aca="false">IF(ISBLANK($C447),"",IF(AND(ISNUMBER(H447),H447&gt;=0),H447,Constants!$B$29))</f>
        <v/>
      </c>
      <c r="AJ447" s="92" t="str">
        <f aca="false">IF(ISBLANK($C447),"",IF(I447=Constants!$B$3,TRUE(),IF(I447=Constants!$B$4,FALSE(),TRUE())))</f>
        <v/>
      </c>
      <c r="AK447" s="92" t="str">
        <f aca="false">IF(ISBLANK($C447),"",IF(J447=Constants!$B$3,TRUE(),IF(J447=Constants!$B$4,FALSE(),TRUE())))</f>
        <v/>
      </c>
      <c r="AL447" s="92" t="str">
        <f aca="false">IF(ISBLANK($C447),"",IF(K447=Constants!$B$5,TRUE(),IF(K447=Constants!$B$6,FALSE(),COUNTA(L447:P447)&gt;0)))</f>
        <v/>
      </c>
      <c r="AM447" s="94" t="str">
        <f aca="false">IF(ISBLANK($C447),"",IF(ISNUMBER(L447),IF(L447&gt;=0,L447,""),""))</f>
        <v/>
      </c>
      <c r="AN447" s="93" t="str">
        <f aca="false">IF(ISBLANK($C447),"",IF(ISNUMBER(M447),IF(M447&gt;=0,M447,""),""))</f>
        <v/>
      </c>
      <c r="AO447" s="93" t="str">
        <f aca="false">IF(ISBLANK($C447),"",IF(N447=Constants!$B$3,TRUE(),IF(N447=Constants!$B$4,FALSE(),TRUE())))</f>
        <v/>
      </c>
      <c r="AP447" s="92" t="str">
        <f aca="false">IF(ISBLANK($C447),"",IF(ISNUMBER(O447),IF(O447&gt;=0,O447,""),""))</f>
        <v/>
      </c>
      <c r="AQ447" s="92" t="str">
        <f aca="false">IF(ISBLANK($C447),"",IF(P447=Constants!$B$3,TRUE(),IF(P447=Constants!$B$4,FALSE(),FALSE())))</f>
        <v/>
      </c>
      <c r="AR447" s="92" t="str">
        <f aca="false">IF(ISBLANK($C447),"",IF(Q447=Constants!$B$3,TRUE(),IF(Q447=Constants!$B$4,FALSE(),TRUE())))</f>
        <v/>
      </c>
      <c r="AS447" s="92" t="str">
        <f aca="false">IF(ISBLANK($C447),"",IF(R447=Constants!$B$3,TRUE(),IF(R447=Constants!$B$4,FALSE(),TRUE())))</f>
        <v/>
      </c>
      <c r="AT447" s="92" t="str">
        <f aca="false">IF(ISBLANK($C447),"",IF(S447=Constants!$B$5,TRUE(),IF(S447=Constants!$B$6,FALSE(),COUNTA(T447:X447)&gt;0)))</f>
        <v/>
      </c>
      <c r="AU447" s="94" t="str">
        <f aca="false">IF(ISBLANK($C447),"",IF(ISNUMBER(T447),IF(T447&gt;=0,T447,""),""))</f>
        <v/>
      </c>
      <c r="AV447" s="93" t="str">
        <f aca="false">IF(ISBLANK($C447),"",IF(ISNUMBER(U447),IF(U447&gt;=0,U447,""),""))</f>
        <v/>
      </c>
      <c r="AW447" s="93" t="str">
        <f aca="false">IF(ISBLANK($C447),"",IF(V447=Constants!$B$3,TRUE(),IF(V447=Constants!$B$4,FALSE(),TRUE())))</f>
        <v/>
      </c>
      <c r="AX447" s="92" t="str">
        <f aca="false">IF(ISBLANK($C447),"",IF(ISNUMBER(W447),IF(W447&gt;=0,W447,""),""))</f>
        <v/>
      </c>
      <c r="AY447" s="92" t="str">
        <f aca="false">IF(ISBLANK($C447),"",IF(X447=Constants!$B$3,TRUE(),IF(X447=Constants!$B$4,FALSE(),FALSE())))</f>
        <v/>
      </c>
      <c r="AZ447" s="92" t="str">
        <f aca="false">IF(ISBLANK($C447),"",MIN(Constants!$B$31,MAX(0,IF(ISNUMBER(Y447),Y447*60,0)+IF(ISNUMBER(Z447),Z447,0))))</f>
        <v/>
      </c>
      <c r="BA447" s="92" t="str">
        <f aca="false">IF(ISBLANK($C447),"",IF(AA447=Constants!$B$3,TRUE(),IF(AA447=Constants!$B$4,FALSE(),FALSE())))</f>
        <v/>
      </c>
      <c r="BB447" s="91" t="str">
        <f aca="false">IF(ISBLANK($C447),"",AND($AL447,OR($AM447="",$AN447="",AND($AO447,$AP447=""))))</f>
        <v/>
      </c>
      <c r="BC447" s="93" t="str">
        <f aca="false">IF($BR447&lt;&gt;Constants!$B$8,"",IF($AL447,Constants!$B$21*$AN447+Constants!$B$22*IF($AO447,$AP447,Constants!$B$23),Constants!$B$24))</f>
        <v/>
      </c>
      <c r="BD447" s="96" t="str">
        <f aca="false">IF($BR447&lt;&gt;Constants!$B$8,"",Constants!$B$25*ABS($AD$9-IF($AL447,$AM447,0)))</f>
        <v/>
      </c>
      <c r="BE447" s="96" t="str">
        <f aca="false">IF($BR447&lt;&gt;Constants!$B$8,"",IF(AND($AL447,$AQ447,$AO447),Constants!$B$27,0))</f>
        <v/>
      </c>
      <c r="BF447" s="96" t="str">
        <f aca="false">IF($BR447&lt;&gt;Constants!$B$8,"",IF($AL447,($AI447-Constants!$B$29)*Constants!$B$28,0))</f>
        <v/>
      </c>
      <c r="BG447" s="96" t="str">
        <f aca="false">IF($BR447&lt;&gt;Constants!$B$8,"",IF($AK447,0,Constants!$B$15)+IF($AJ447,0,Constants!$B$16)+IF($AH447,0,Constants!$B$17))</f>
        <v/>
      </c>
      <c r="BH447" s="97" t="str">
        <f aca="false">IF($BR447&lt;&gt;Constants!$B$8,"",Constants!$B$20+SUM($BC447:$BG447))</f>
        <v/>
      </c>
      <c r="BI447" s="92" t="str">
        <f aca="false">IF($BR447&lt;&gt;Constants!$B$8,"",IF(OR($BP447&lt;$BH447,AND($BP447=$BH447,OR($BK447&lt;$BC447,AND($BK447=$BC447,OR($BL447&lt;$BD447,AND($BL447=$BD447,$AT447,$AL447,$AV447&lt;$AN447)))))),"-&gt;","&lt;-"))</f>
        <v/>
      </c>
      <c r="BJ447" s="91" t="str">
        <f aca="false">IF(ISBLANK($C447),"",AND($AT447,OR($AU447="",$AV447="",AND($AW447,$AX447=""))))</f>
        <v/>
      </c>
      <c r="BK447" s="93" t="str">
        <f aca="false">IF($BR447&lt;&gt;Constants!$B$8,"",IF($AT447,Constants!$B$21*$AV447+Constants!$B$22*IF($AW447,$AX447,Constants!$B$23),Constants!$B$24))</f>
        <v/>
      </c>
      <c r="BL447" s="96" t="str">
        <f aca="false">IF($BR447&lt;&gt;Constants!$B$8,"",Constants!$B$25*ABS($AD$9-IF($AT447,$AU447,0)))</f>
        <v/>
      </c>
      <c r="BM447" s="96" t="str">
        <f aca="false">IF($BR447&lt;&gt;Constants!$B$8,"",IF(AND($AT447,$AY447,$AW447),Constants!$B$27,0))</f>
        <v/>
      </c>
      <c r="BN447" s="96" t="str">
        <f aca="false">IF($BR447&lt;&gt;Constants!$B$8,"",IF($AT447,($AI447-Constants!$B$29)*Constants!$B$28,0))</f>
        <v/>
      </c>
      <c r="BO447" s="96" t="str">
        <f aca="false">IF($BR447&lt;&gt;Constants!$B$8,"",IF($AS447,0,Constants!$B$15)+IF($AR447,0,Constants!$B$16)+IF($AH447,0,Constants!$B$17))</f>
        <v/>
      </c>
      <c r="BP447" s="97" t="str">
        <f aca="false">IF($BR447&lt;&gt;Constants!$B$8,"",Constants!$B$20+SUM($BK447:$BO447))</f>
        <v/>
      </c>
      <c r="BQ447" s="92" t="str">
        <f aca="false">IF(ISBLANK($C447),"",IF(ISBLANK($D$7),$BQ$5,IF(NOT(ISNUMBER($D$7)),$BQ$6,"")))</f>
        <v/>
      </c>
      <c r="BR447" s="92" t="str">
        <f aca="false">IF(ISBLANK($C447),"",IF($BA447,Constants!$B$11,IF(COUNTA($E447:$AA447)=0,Constants!$B$10,IF(NOT($AG447),Constants!$B$9,IF(OR($BQ447&lt;&gt;"",$BB447,$BJ447),Constants!$B$12,Constants!$B$8)))))</f>
        <v/>
      </c>
      <c r="BS447" s="92" t="str">
        <f aca="false">IF(ISBLANK($C447),"",IF($BR447&lt;&gt;Constants!$B$8,$BR447,Constants!$B$13))</f>
        <v/>
      </c>
      <c r="BT447" s="96" t="str">
        <f aca="false">IF($BR447&lt;&gt;Constants!$B$8,"",IF($BI447="-&gt;",$BP447,$BH447))</f>
        <v/>
      </c>
      <c r="BU447" s="96" t="str">
        <f aca="false">IF($BR447&lt;&gt;Constants!$B$8,"",IF($AF447,0,Constants!$B$18))</f>
        <v/>
      </c>
      <c r="BV447" s="96" t="str">
        <f aca="false">IF($BR447&lt;&gt;Constants!$B$8,"",((Constants!$B$31-$AZ447)-Constants!$B$31)/Constants!$B$32)</f>
        <v/>
      </c>
      <c r="BW447" s="96" t="str">
        <f aca="false">IF(ISBLANK($C447),"",IF($BR447&lt;&gt;Constants!$B$8,$BR447,SUM($BT447:$BV447)))</f>
        <v/>
      </c>
      <c r="BX447" s="92" t="str">
        <f aca="false">IF(ISBLANK($C447),"",IF($BR447&lt;&gt;Constants!$B$8,$BR447,RANK($BW447,$BW$9:$BW$508,1)))</f>
        <v/>
      </c>
      <c r="BY447" s="96" t="str">
        <f aca="false">IF($BR447&lt;&gt;Constants!$B$8,"",IF($BI447="-&gt;",$BK447,$BC447))</f>
        <v/>
      </c>
      <c r="BZ447" s="92" t="str">
        <f aca="false">IF(ISBLANK($C447),"",IF($BR447&lt;&gt;Constants!$B$8,$BR447,IF(ISNUMBER($BY447),RANK($BY447,$BY$9:$BY$508,1),COUNT($BY$9:$BY$508)+1)))</f>
        <v/>
      </c>
      <c r="CA447" s="96" t="str">
        <f aca="false">IF($BR447&lt;&gt;Constants!$B$8,"",IF($BI447="-&gt;",$BL447,$BD447))</f>
        <v/>
      </c>
      <c r="CB447" s="92" t="str">
        <f aca="false">IF(ISBLANK($C447),"",IF($BR447&lt;&gt;Constants!$B$8,$BR447,IF(ISNUMBER($CA447),RANK($CA447,$CA$9:$CA$508,1),COUNT($CA$9:$CA$508)+1)))</f>
        <v/>
      </c>
      <c r="CC447" s="96" t="str">
        <f aca="false">IF($BR447&lt;&gt;Constants!$B$8,"",IF($BI447="-&gt;",IF($AT447,$AV447,""),IF($AL447,$AN447,"")))</f>
        <v/>
      </c>
      <c r="CD447" s="92" t="str">
        <f aca="false">IF(ISBLANK($C447),"",IF($BR447&lt;&gt;Constants!$B$8,$BR447,IF(ISNUMBER($CC447),RANK($CC447,$CC$9:$CC$508,1),COUNT($CC$9:$CC$508)+1)))</f>
        <v/>
      </c>
      <c r="CE447" s="96" t="str">
        <f aca="false">IF($BR447&lt;&gt;Constants!$B$8,"",IF(AND(NOT($AL447),NOT($AT447),$AJ447,$AK447,$AR447,$AS447),"",$AI447))</f>
        <v/>
      </c>
      <c r="CF447" s="92" t="str">
        <f aca="false">IF(ISBLANK($C447),"",IF($BR447&lt;&gt;Constants!$B$8,$BR447,IF(ISNUMBER($CE447),RANK($CE447,$CE$9:$CE$508,1),COUNT($CE$9:$CE$508)+1)))</f>
        <v/>
      </c>
      <c r="CG447" s="92" t="str">
        <f aca="false">IF(ISBLANK($C447),"",IF($BR447&lt;&gt;Constants!$B$8,$BR447,COUNTIFS($BX$9:$BX$508,"&lt;"&amp;$BX447)+COUNTIFS($BX$9:$BX$508,$BX447,$BZ$9:$BZ$508,"&lt;"&amp;$BZ447)+COUNTIFS($BX$9:$BX$508,$BX447,$BZ$9:$BZ$508,$BZ447,$CB$9:$CB$508,"&lt;"&amp;$CB447)+COUNTIFS($BX$9:$BX$508,$BX447,$BZ$9:$BZ$508,$BZ447,$CB$9:$CB$508,$CB447,$CD$9:$CD$508,"&lt;"&amp;$CD447)+COUNTIFS($BX$9:$BX$508,$BX447,$BZ$9:$BZ$508,$BZ447,$CB$9:$CB$508,$CB447,$CD$9:$CD$508,$CD447,$CF$9:$CF$508,"&lt;"&amp;$CF447)+1))</f>
        <v/>
      </c>
      <c r="CH447" s="92" t="str">
        <f aca="false">IF(ISBLANK($C447),"",IF($BR447&lt;&gt;Constants!$B$8,$BR447,$BX447-$CG447))</f>
        <v/>
      </c>
      <c r="CI447" s="98"/>
      <c r="CJ447" s="99"/>
      <c r="CK447" s="100" t="str">
        <f aca="false">IF(ISBLANK($C447),"",IF($BR447=Constants!$B$12,$BQ447,""))</f>
        <v/>
      </c>
      <c r="CL447" s="99" t="str">
        <f aca="false">IF(ISBLANK($C447),"",IF($BR447&lt;&gt;Constants!$B$8,"",IF($BI447="-&gt;",2,1)))</f>
        <v/>
      </c>
      <c r="CM447" s="101" t="str">
        <f aca="false">IF(ISBLANK($C447),"",IF($BR447&lt;&gt;Constants!$B$8,"",IF($BI447="-&gt;",$BK447,$BC447)))</f>
        <v/>
      </c>
      <c r="CN447" s="101" t="str">
        <f aca="false">IF(ISBLANK($C447),"",IF($BR447&lt;&gt;Constants!$B$8,"",IF($BI447="-&gt;",$BL447,$BD447)))</f>
        <v/>
      </c>
      <c r="CO447" s="101" t="str">
        <f aca="false">IF(ISBLANK($C447),"",IF($BR447&lt;&gt;Constants!$B$8,"",IF($BI447="-&gt;",$BM447+$BN447,$BE447+$BF447)+$BV447))</f>
        <v/>
      </c>
      <c r="CP447" s="101" t="str">
        <f aca="false">IF(ISBLANK($C447),"",IF($BR447&lt;&gt;Constants!$B$8,"",IF($BI447="-&gt;",$BO447,$BG447)+$BU447))</f>
        <v/>
      </c>
      <c r="CQ447" s="102" t="str">
        <f aca="false">IF(ISBLANK($C447),"",IF($BR447&lt;&gt;Constants!$B$8,$BR447,$BW447))</f>
        <v/>
      </c>
      <c r="CR447" s="103" t="str">
        <f aca="false">IF(ISBLANK($C447),"",$BS447)</f>
        <v/>
      </c>
      <c r="CS447" s="104" t="str">
        <f aca="false">IF(ISBLANK($C447),"",$CH447)</f>
        <v/>
      </c>
      <c r="CT447" s="104" t="str">
        <f aca="false">IF(ISBLANK($C447),"",$CG447)</f>
        <v/>
      </c>
      <c r="CU447" s="105" t="str">
        <f aca="false">IF(ISBLANK($C447),"",IFERROR(_xlfn.SWITCH($CT447,Constants!$B$11,COUNTA($C$9:$C$508)+2,Constants!$B$10,COUNTA($C$9:$C$508)+1,Constants!$B$9,COUNTA($C$9:$C$508)),$CT447))</f>
        <v/>
      </c>
      <c r="CV447" s="9"/>
      <c r="CW447" s="106" t="n">
        <f aca="false">IF(OR(ISNUMBER($CT447),$CT447=Constants!$B$11,$CT447=Constants!$B$9,$CT447=Constants!$B$10),1,0)</f>
        <v>0</v>
      </c>
      <c r="CX447" s="106" t="n">
        <v>439</v>
      </c>
      <c r="CY447" s="106" t="str">
        <f aca="false">IF(ISBLANK($C447),"",IF(ISNUMBER($CU447),$CU447+ROW($B447)/1000,""))</f>
        <v/>
      </c>
      <c r="CZ447" s="106" t="str">
        <f aca="false">IF(ISNUMBER($CY447),RANK($CY447,$CY$9:$CY$508,1),"")</f>
        <v/>
      </c>
      <c r="DA447" s="106" t="str">
        <f aca="false">IF(ISBLANK($C447),"",$B447)</f>
        <v/>
      </c>
      <c r="DB447" s="106" t="str">
        <f aca="false">IF(ISBLANK($C447),"",$C447)</f>
        <v/>
      </c>
      <c r="DC447" s="106" t="str">
        <f aca="false">IF(ISBLANK($C447),"",$D447)</f>
        <v/>
      </c>
      <c r="DD447" s="107" t="str">
        <f aca="false">$CR447</f>
        <v/>
      </c>
      <c r="DE447" s="108" t="str">
        <f aca="false">$CQ447</f>
        <v/>
      </c>
      <c r="DF447" s="106" t="str">
        <f aca="false">IF(ISBLANK($C447),"",$CT447)</f>
        <v/>
      </c>
      <c r="DG447" s="109" t="str">
        <f aca="false">IF($CX447&gt;$CW$8,"",VLOOKUP($CX447,$CZ$9:$DF$508,7,FALSE()))</f>
        <v/>
      </c>
      <c r="DH447" s="110" t="str">
        <f aca="false">IF($CX447&gt;$CW$8,"",VLOOKUP($CX447,$CZ$9:$DF$508,2,FALSE()))</f>
        <v/>
      </c>
      <c r="DI447" s="110" t="str">
        <f aca="false">IF($CX447&gt;$CW$8,"",VLOOKUP($CX447,$CZ$9:$DF$508,3,FALSE()))</f>
        <v/>
      </c>
      <c r="DJ447" s="110" t="str">
        <f aca="false">IF($CX447&gt;$CW$8,"",VLOOKUP($CX447,$CZ$9:$DF$508,4,FALSE()))</f>
        <v/>
      </c>
      <c r="DK447" s="110" t="str">
        <f aca="false">IF($CX447&gt;$CW$8,"",VLOOKUP($CX447,$CZ$9:$DF$508,5,FALSE()))</f>
        <v/>
      </c>
      <c r="DL447" s="111" t="str">
        <f aca="false">IF($CX447&gt;$CW$8,"",VLOOKUP($CX447,$CZ$9:$DF$508,6,FALSE()))</f>
        <v/>
      </c>
      <c r="DM447" s="75"/>
    </row>
    <row r="448" customFormat="false" ht="15.75" hidden="false" customHeight="false" outlineLevel="0" collapsed="false">
      <c r="A448" s="9"/>
      <c r="B448" s="77"/>
      <c r="C448" s="78"/>
      <c r="D448" s="167"/>
      <c r="E448" s="175"/>
      <c r="F448" s="169"/>
      <c r="G448" s="170"/>
      <c r="H448" s="170"/>
      <c r="I448" s="176"/>
      <c r="J448" s="173"/>
      <c r="K448" s="85"/>
      <c r="L448" s="86"/>
      <c r="M448" s="87"/>
      <c r="N448" s="173"/>
      <c r="O448" s="173"/>
      <c r="P448" s="175"/>
      <c r="Q448" s="173"/>
      <c r="R448" s="173"/>
      <c r="S448" s="85"/>
      <c r="T448" s="87"/>
      <c r="U448" s="87"/>
      <c r="V448" s="173"/>
      <c r="W448" s="173"/>
      <c r="X448" s="175"/>
      <c r="Y448" s="173"/>
      <c r="Z448" s="174"/>
      <c r="AA448" s="173"/>
      <c r="AB448" s="91"/>
      <c r="AC448" s="92"/>
      <c r="AD448" s="92"/>
      <c r="AE448" s="92"/>
      <c r="AF448" s="92" t="str">
        <f aca="false">IF(ISBLANK($C448),"",IF(E448=Constants!$B$3,TRUE(),IF(E448=Constants!$B$4,FALSE(),TRUE())))</f>
        <v/>
      </c>
      <c r="AG448" s="92" t="str">
        <f aca="false">IF(ISBLANK($C448),"",IF(F448=Constants!$B$3,TRUE(),IF(F448=Constants!$B$4,FALSE(),TRUE())))</f>
        <v/>
      </c>
      <c r="AH448" s="92" t="str">
        <f aca="false">IF(ISBLANK($C448),"",IF(G448=Constants!$B$3,TRUE(),IF(G448=Constants!$B$4,FALSE(),TRUE())))</f>
        <v/>
      </c>
      <c r="AI448" s="92" t="str">
        <f aca="false">IF(ISBLANK($C448),"",IF(AND(ISNUMBER(H448),H448&gt;=0),H448,Constants!$B$29))</f>
        <v/>
      </c>
      <c r="AJ448" s="92" t="str">
        <f aca="false">IF(ISBLANK($C448),"",IF(I448=Constants!$B$3,TRUE(),IF(I448=Constants!$B$4,FALSE(),TRUE())))</f>
        <v/>
      </c>
      <c r="AK448" s="92" t="str">
        <f aca="false">IF(ISBLANK($C448),"",IF(J448=Constants!$B$3,TRUE(),IF(J448=Constants!$B$4,FALSE(),TRUE())))</f>
        <v/>
      </c>
      <c r="AL448" s="92" t="str">
        <f aca="false">IF(ISBLANK($C448),"",IF(K448=Constants!$B$5,TRUE(),IF(K448=Constants!$B$6,FALSE(),COUNTA(L448:P448)&gt;0)))</f>
        <v/>
      </c>
      <c r="AM448" s="94" t="str">
        <f aca="false">IF(ISBLANK($C448),"",IF(ISNUMBER(L448),IF(L448&gt;=0,L448,""),""))</f>
        <v/>
      </c>
      <c r="AN448" s="93" t="str">
        <f aca="false">IF(ISBLANK($C448),"",IF(ISNUMBER(M448),IF(M448&gt;=0,M448,""),""))</f>
        <v/>
      </c>
      <c r="AO448" s="93" t="str">
        <f aca="false">IF(ISBLANK($C448),"",IF(N448=Constants!$B$3,TRUE(),IF(N448=Constants!$B$4,FALSE(),TRUE())))</f>
        <v/>
      </c>
      <c r="AP448" s="92" t="str">
        <f aca="false">IF(ISBLANK($C448),"",IF(ISNUMBER(O448),IF(O448&gt;=0,O448,""),""))</f>
        <v/>
      </c>
      <c r="AQ448" s="92" t="str">
        <f aca="false">IF(ISBLANK($C448),"",IF(P448=Constants!$B$3,TRUE(),IF(P448=Constants!$B$4,FALSE(),FALSE())))</f>
        <v/>
      </c>
      <c r="AR448" s="92" t="str">
        <f aca="false">IF(ISBLANK($C448),"",IF(Q448=Constants!$B$3,TRUE(),IF(Q448=Constants!$B$4,FALSE(),TRUE())))</f>
        <v/>
      </c>
      <c r="AS448" s="92" t="str">
        <f aca="false">IF(ISBLANK($C448),"",IF(R448=Constants!$B$3,TRUE(),IF(R448=Constants!$B$4,FALSE(),TRUE())))</f>
        <v/>
      </c>
      <c r="AT448" s="92" t="str">
        <f aca="false">IF(ISBLANK($C448),"",IF(S448=Constants!$B$5,TRUE(),IF(S448=Constants!$B$6,FALSE(),COUNTA(T448:X448)&gt;0)))</f>
        <v/>
      </c>
      <c r="AU448" s="94" t="str">
        <f aca="false">IF(ISBLANK($C448),"",IF(ISNUMBER(T448),IF(T448&gt;=0,T448,""),""))</f>
        <v/>
      </c>
      <c r="AV448" s="93" t="str">
        <f aca="false">IF(ISBLANK($C448),"",IF(ISNUMBER(U448),IF(U448&gt;=0,U448,""),""))</f>
        <v/>
      </c>
      <c r="AW448" s="93" t="str">
        <f aca="false">IF(ISBLANK($C448),"",IF(V448=Constants!$B$3,TRUE(),IF(V448=Constants!$B$4,FALSE(),TRUE())))</f>
        <v/>
      </c>
      <c r="AX448" s="92" t="str">
        <f aca="false">IF(ISBLANK($C448),"",IF(ISNUMBER(W448),IF(W448&gt;=0,W448,""),""))</f>
        <v/>
      </c>
      <c r="AY448" s="92" t="str">
        <f aca="false">IF(ISBLANK($C448),"",IF(X448=Constants!$B$3,TRUE(),IF(X448=Constants!$B$4,FALSE(),FALSE())))</f>
        <v/>
      </c>
      <c r="AZ448" s="92" t="str">
        <f aca="false">IF(ISBLANK($C448),"",MIN(Constants!$B$31,MAX(0,IF(ISNUMBER(Y448),Y448*60,0)+IF(ISNUMBER(Z448),Z448,0))))</f>
        <v/>
      </c>
      <c r="BA448" s="92" t="str">
        <f aca="false">IF(ISBLANK($C448),"",IF(AA448=Constants!$B$3,TRUE(),IF(AA448=Constants!$B$4,FALSE(),FALSE())))</f>
        <v/>
      </c>
      <c r="BB448" s="91" t="str">
        <f aca="false">IF(ISBLANK($C448),"",AND($AL448,OR($AM448="",$AN448="",AND($AO448,$AP448=""))))</f>
        <v/>
      </c>
      <c r="BC448" s="93" t="str">
        <f aca="false">IF($BR448&lt;&gt;Constants!$B$8,"",IF($AL448,Constants!$B$21*$AN448+Constants!$B$22*IF($AO448,$AP448,Constants!$B$23),Constants!$B$24))</f>
        <v/>
      </c>
      <c r="BD448" s="96" t="str">
        <f aca="false">IF($BR448&lt;&gt;Constants!$B$8,"",Constants!$B$25*ABS($AD$9-IF($AL448,$AM448,0)))</f>
        <v/>
      </c>
      <c r="BE448" s="96" t="str">
        <f aca="false">IF($BR448&lt;&gt;Constants!$B$8,"",IF(AND($AL448,$AQ448,$AO448),Constants!$B$27,0))</f>
        <v/>
      </c>
      <c r="BF448" s="96" t="str">
        <f aca="false">IF($BR448&lt;&gt;Constants!$B$8,"",IF($AL448,($AI448-Constants!$B$29)*Constants!$B$28,0))</f>
        <v/>
      </c>
      <c r="BG448" s="96" t="str">
        <f aca="false">IF($BR448&lt;&gt;Constants!$B$8,"",IF($AK448,0,Constants!$B$15)+IF($AJ448,0,Constants!$B$16)+IF($AH448,0,Constants!$B$17))</f>
        <v/>
      </c>
      <c r="BH448" s="97" t="str">
        <f aca="false">IF($BR448&lt;&gt;Constants!$B$8,"",Constants!$B$20+SUM($BC448:$BG448))</f>
        <v/>
      </c>
      <c r="BI448" s="92" t="str">
        <f aca="false">IF($BR448&lt;&gt;Constants!$B$8,"",IF(OR($BP448&lt;$BH448,AND($BP448=$BH448,OR($BK448&lt;$BC448,AND($BK448=$BC448,OR($BL448&lt;$BD448,AND($BL448=$BD448,$AT448,$AL448,$AV448&lt;$AN448)))))),"-&gt;","&lt;-"))</f>
        <v/>
      </c>
      <c r="BJ448" s="91" t="str">
        <f aca="false">IF(ISBLANK($C448),"",AND($AT448,OR($AU448="",$AV448="",AND($AW448,$AX448=""))))</f>
        <v/>
      </c>
      <c r="BK448" s="93" t="str">
        <f aca="false">IF($BR448&lt;&gt;Constants!$B$8,"",IF($AT448,Constants!$B$21*$AV448+Constants!$B$22*IF($AW448,$AX448,Constants!$B$23),Constants!$B$24))</f>
        <v/>
      </c>
      <c r="BL448" s="96" t="str">
        <f aca="false">IF($BR448&lt;&gt;Constants!$B$8,"",Constants!$B$25*ABS($AD$9-IF($AT448,$AU448,0)))</f>
        <v/>
      </c>
      <c r="BM448" s="96" t="str">
        <f aca="false">IF($BR448&lt;&gt;Constants!$B$8,"",IF(AND($AT448,$AY448,$AW448),Constants!$B$27,0))</f>
        <v/>
      </c>
      <c r="BN448" s="96" t="str">
        <f aca="false">IF($BR448&lt;&gt;Constants!$B$8,"",IF($AT448,($AI448-Constants!$B$29)*Constants!$B$28,0))</f>
        <v/>
      </c>
      <c r="BO448" s="96" t="str">
        <f aca="false">IF($BR448&lt;&gt;Constants!$B$8,"",IF($AS448,0,Constants!$B$15)+IF($AR448,0,Constants!$B$16)+IF($AH448,0,Constants!$B$17))</f>
        <v/>
      </c>
      <c r="BP448" s="97" t="str">
        <f aca="false">IF($BR448&lt;&gt;Constants!$B$8,"",Constants!$B$20+SUM($BK448:$BO448))</f>
        <v/>
      </c>
      <c r="BQ448" s="92" t="str">
        <f aca="false">IF(ISBLANK($C448),"",IF(ISBLANK($D$7),$BQ$5,IF(NOT(ISNUMBER($D$7)),$BQ$6,"")))</f>
        <v/>
      </c>
      <c r="BR448" s="92" t="str">
        <f aca="false">IF(ISBLANK($C448),"",IF($BA448,Constants!$B$11,IF(COUNTA($E448:$AA448)=0,Constants!$B$10,IF(NOT($AG448),Constants!$B$9,IF(OR($BQ448&lt;&gt;"",$BB448,$BJ448),Constants!$B$12,Constants!$B$8)))))</f>
        <v/>
      </c>
      <c r="BS448" s="92" t="str">
        <f aca="false">IF(ISBLANK($C448),"",IF($BR448&lt;&gt;Constants!$B$8,$BR448,Constants!$B$13))</f>
        <v/>
      </c>
      <c r="BT448" s="96" t="str">
        <f aca="false">IF($BR448&lt;&gt;Constants!$B$8,"",IF($BI448="-&gt;",$BP448,$BH448))</f>
        <v/>
      </c>
      <c r="BU448" s="96" t="str">
        <f aca="false">IF($BR448&lt;&gt;Constants!$B$8,"",IF($AF448,0,Constants!$B$18))</f>
        <v/>
      </c>
      <c r="BV448" s="96" t="str">
        <f aca="false">IF($BR448&lt;&gt;Constants!$B$8,"",((Constants!$B$31-$AZ448)-Constants!$B$31)/Constants!$B$32)</f>
        <v/>
      </c>
      <c r="BW448" s="96" t="str">
        <f aca="false">IF(ISBLANK($C448),"",IF($BR448&lt;&gt;Constants!$B$8,$BR448,SUM($BT448:$BV448)))</f>
        <v/>
      </c>
      <c r="BX448" s="92" t="str">
        <f aca="false">IF(ISBLANK($C448),"",IF($BR448&lt;&gt;Constants!$B$8,$BR448,RANK($BW448,$BW$9:$BW$508,1)))</f>
        <v/>
      </c>
      <c r="BY448" s="96" t="str">
        <f aca="false">IF($BR448&lt;&gt;Constants!$B$8,"",IF($BI448="-&gt;",$BK448,$BC448))</f>
        <v/>
      </c>
      <c r="BZ448" s="92" t="str">
        <f aca="false">IF(ISBLANK($C448),"",IF($BR448&lt;&gt;Constants!$B$8,$BR448,IF(ISNUMBER($BY448),RANK($BY448,$BY$9:$BY$508,1),COUNT($BY$9:$BY$508)+1)))</f>
        <v/>
      </c>
      <c r="CA448" s="96" t="str">
        <f aca="false">IF($BR448&lt;&gt;Constants!$B$8,"",IF($BI448="-&gt;",$BL448,$BD448))</f>
        <v/>
      </c>
      <c r="CB448" s="92" t="str">
        <f aca="false">IF(ISBLANK($C448),"",IF($BR448&lt;&gt;Constants!$B$8,$BR448,IF(ISNUMBER($CA448),RANK($CA448,$CA$9:$CA$508,1),COUNT($CA$9:$CA$508)+1)))</f>
        <v/>
      </c>
      <c r="CC448" s="96" t="str">
        <f aca="false">IF($BR448&lt;&gt;Constants!$B$8,"",IF($BI448="-&gt;",IF($AT448,$AV448,""),IF($AL448,$AN448,"")))</f>
        <v/>
      </c>
      <c r="CD448" s="92" t="str">
        <f aca="false">IF(ISBLANK($C448),"",IF($BR448&lt;&gt;Constants!$B$8,$BR448,IF(ISNUMBER($CC448),RANK($CC448,$CC$9:$CC$508,1),COUNT($CC$9:$CC$508)+1)))</f>
        <v/>
      </c>
      <c r="CE448" s="96" t="str">
        <f aca="false">IF($BR448&lt;&gt;Constants!$B$8,"",IF(AND(NOT($AL448),NOT($AT448),$AJ448,$AK448,$AR448,$AS448),"",$AI448))</f>
        <v/>
      </c>
      <c r="CF448" s="92" t="str">
        <f aca="false">IF(ISBLANK($C448),"",IF($BR448&lt;&gt;Constants!$B$8,$BR448,IF(ISNUMBER($CE448),RANK($CE448,$CE$9:$CE$508,1),COUNT($CE$9:$CE$508)+1)))</f>
        <v/>
      </c>
      <c r="CG448" s="92" t="str">
        <f aca="false">IF(ISBLANK($C448),"",IF($BR448&lt;&gt;Constants!$B$8,$BR448,COUNTIFS($BX$9:$BX$508,"&lt;"&amp;$BX448)+COUNTIFS($BX$9:$BX$508,$BX448,$BZ$9:$BZ$508,"&lt;"&amp;$BZ448)+COUNTIFS($BX$9:$BX$508,$BX448,$BZ$9:$BZ$508,$BZ448,$CB$9:$CB$508,"&lt;"&amp;$CB448)+COUNTIFS($BX$9:$BX$508,$BX448,$BZ$9:$BZ$508,$BZ448,$CB$9:$CB$508,$CB448,$CD$9:$CD$508,"&lt;"&amp;$CD448)+COUNTIFS($BX$9:$BX$508,$BX448,$BZ$9:$BZ$508,$BZ448,$CB$9:$CB$508,$CB448,$CD$9:$CD$508,$CD448,$CF$9:$CF$508,"&lt;"&amp;$CF448)+1))</f>
        <v/>
      </c>
      <c r="CH448" s="92" t="str">
        <f aca="false">IF(ISBLANK($C448),"",IF($BR448&lt;&gt;Constants!$B$8,$BR448,$BX448-$CG448))</f>
        <v/>
      </c>
      <c r="CI448" s="98"/>
      <c r="CJ448" s="99"/>
      <c r="CK448" s="100" t="str">
        <f aca="false">IF(ISBLANK($C448),"",IF($BR448=Constants!$B$12,$BQ448,""))</f>
        <v/>
      </c>
      <c r="CL448" s="99" t="str">
        <f aca="false">IF(ISBLANK($C448),"",IF($BR448&lt;&gt;Constants!$B$8,"",IF($BI448="-&gt;",2,1)))</f>
        <v/>
      </c>
      <c r="CM448" s="101" t="str">
        <f aca="false">IF(ISBLANK($C448),"",IF($BR448&lt;&gt;Constants!$B$8,"",IF($BI448="-&gt;",$BK448,$BC448)))</f>
        <v/>
      </c>
      <c r="CN448" s="101" t="str">
        <f aca="false">IF(ISBLANK($C448),"",IF($BR448&lt;&gt;Constants!$B$8,"",IF($BI448="-&gt;",$BL448,$BD448)))</f>
        <v/>
      </c>
      <c r="CO448" s="101" t="str">
        <f aca="false">IF(ISBLANK($C448),"",IF($BR448&lt;&gt;Constants!$B$8,"",IF($BI448="-&gt;",$BM448+$BN448,$BE448+$BF448)+$BV448))</f>
        <v/>
      </c>
      <c r="CP448" s="101" t="str">
        <f aca="false">IF(ISBLANK($C448),"",IF($BR448&lt;&gt;Constants!$B$8,"",IF($BI448="-&gt;",$BO448,$BG448)+$BU448))</f>
        <v/>
      </c>
      <c r="CQ448" s="102" t="str">
        <f aca="false">IF(ISBLANK($C448),"",IF($BR448&lt;&gt;Constants!$B$8,$BR448,$BW448))</f>
        <v/>
      </c>
      <c r="CR448" s="103" t="str">
        <f aca="false">IF(ISBLANK($C448),"",$BS448)</f>
        <v/>
      </c>
      <c r="CS448" s="104" t="str">
        <f aca="false">IF(ISBLANK($C448),"",$CH448)</f>
        <v/>
      </c>
      <c r="CT448" s="104" t="str">
        <f aca="false">IF(ISBLANK($C448),"",$CG448)</f>
        <v/>
      </c>
      <c r="CU448" s="105" t="str">
        <f aca="false">IF(ISBLANK($C448),"",IFERROR(_xlfn.SWITCH($CT448,Constants!$B$11,COUNTA($C$9:$C$508)+2,Constants!$B$10,COUNTA($C$9:$C$508)+1,Constants!$B$9,COUNTA($C$9:$C$508)),$CT448))</f>
        <v/>
      </c>
      <c r="CV448" s="9"/>
      <c r="CW448" s="106" t="n">
        <f aca="false">IF(OR(ISNUMBER($CT448),$CT448=Constants!$B$11,$CT448=Constants!$B$9,$CT448=Constants!$B$10),1,0)</f>
        <v>0</v>
      </c>
      <c r="CX448" s="106" t="n">
        <v>440</v>
      </c>
      <c r="CY448" s="106" t="str">
        <f aca="false">IF(ISBLANK($C448),"",IF(ISNUMBER($CU448),$CU448+ROW($B448)/1000,""))</f>
        <v/>
      </c>
      <c r="CZ448" s="106" t="str">
        <f aca="false">IF(ISNUMBER($CY448),RANK($CY448,$CY$9:$CY$508,1),"")</f>
        <v/>
      </c>
      <c r="DA448" s="106" t="str">
        <f aca="false">IF(ISBLANK($C448),"",$B448)</f>
        <v/>
      </c>
      <c r="DB448" s="106" t="str">
        <f aca="false">IF(ISBLANK($C448),"",$C448)</f>
        <v/>
      </c>
      <c r="DC448" s="106" t="str">
        <f aca="false">IF(ISBLANK($C448),"",$D448)</f>
        <v/>
      </c>
      <c r="DD448" s="107" t="str">
        <f aca="false">$CR448</f>
        <v/>
      </c>
      <c r="DE448" s="108" t="str">
        <f aca="false">$CQ448</f>
        <v/>
      </c>
      <c r="DF448" s="106" t="str">
        <f aca="false">IF(ISBLANK($C448),"",$CT448)</f>
        <v/>
      </c>
      <c r="DG448" s="109" t="str">
        <f aca="false">IF($CX448&gt;$CW$8,"",VLOOKUP($CX448,$CZ$9:$DF$508,7,FALSE()))</f>
        <v/>
      </c>
      <c r="DH448" s="110" t="str">
        <f aca="false">IF($CX448&gt;$CW$8,"",VLOOKUP($CX448,$CZ$9:$DF$508,2,FALSE()))</f>
        <v/>
      </c>
      <c r="DI448" s="110" t="str">
        <f aca="false">IF($CX448&gt;$CW$8,"",VLOOKUP($CX448,$CZ$9:$DF$508,3,FALSE()))</f>
        <v/>
      </c>
      <c r="DJ448" s="110" t="str">
        <f aca="false">IF($CX448&gt;$CW$8,"",VLOOKUP($CX448,$CZ$9:$DF$508,4,FALSE()))</f>
        <v/>
      </c>
      <c r="DK448" s="110" t="str">
        <f aca="false">IF($CX448&gt;$CW$8,"",VLOOKUP($CX448,$CZ$9:$DF$508,5,FALSE()))</f>
        <v/>
      </c>
      <c r="DL448" s="111" t="str">
        <f aca="false">IF($CX448&gt;$CW$8,"",VLOOKUP($CX448,$CZ$9:$DF$508,6,FALSE()))</f>
        <v/>
      </c>
      <c r="DM448" s="75"/>
    </row>
    <row r="449" customFormat="false" ht="15.75" hidden="false" customHeight="false" outlineLevel="0" collapsed="false">
      <c r="A449" s="9"/>
      <c r="B449" s="77"/>
      <c r="C449" s="78"/>
      <c r="D449" s="167"/>
      <c r="E449" s="175"/>
      <c r="F449" s="169"/>
      <c r="G449" s="170"/>
      <c r="H449" s="170"/>
      <c r="I449" s="176"/>
      <c r="J449" s="173"/>
      <c r="K449" s="85"/>
      <c r="L449" s="86"/>
      <c r="M449" s="87"/>
      <c r="N449" s="173"/>
      <c r="O449" s="173"/>
      <c r="P449" s="175"/>
      <c r="Q449" s="173"/>
      <c r="R449" s="173"/>
      <c r="S449" s="85"/>
      <c r="T449" s="87"/>
      <c r="U449" s="87"/>
      <c r="V449" s="173"/>
      <c r="W449" s="173"/>
      <c r="X449" s="175"/>
      <c r="Y449" s="173"/>
      <c r="Z449" s="174"/>
      <c r="AA449" s="173"/>
      <c r="AB449" s="91"/>
      <c r="AC449" s="92"/>
      <c r="AD449" s="92"/>
      <c r="AE449" s="92"/>
      <c r="AF449" s="92" t="str">
        <f aca="false">IF(ISBLANK($C449),"",IF(E449=Constants!$B$3,TRUE(),IF(E449=Constants!$B$4,FALSE(),TRUE())))</f>
        <v/>
      </c>
      <c r="AG449" s="92" t="str">
        <f aca="false">IF(ISBLANK($C449),"",IF(F449=Constants!$B$3,TRUE(),IF(F449=Constants!$B$4,FALSE(),TRUE())))</f>
        <v/>
      </c>
      <c r="AH449" s="92" t="str">
        <f aca="false">IF(ISBLANK($C449),"",IF(G449=Constants!$B$3,TRUE(),IF(G449=Constants!$B$4,FALSE(),TRUE())))</f>
        <v/>
      </c>
      <c r="AI449" s="92" t="str">
        <f aca="false">IF(ISBLANK($C449),"",IF(AND(ISNUMBER(H449),H449&gt;=0),H449,Constants!$B$29))</f>
        <v/>
      </c>
      <c r="AJ449" s="92" t="str">
        <f aca="false">IF(ISBLANK($C449),"",IF(I449=Constants!$B$3,TRUE(),IF(I449=Constants!$B$4,FALSE(),TRUE())))</f>
        <v/>
      </c>
      <c r="AK449" s="92" t="str">
        <f aca="false">IF(ISBLANK($C449),"",IF(J449=Constants!$B$3,TRUE(),IF(J449=Constants!$B$4,FALSE(),TRUE())))</f>
        <v/>
      </c>
      <c r="AL449" s="92" t="str">
        <f aca="false">IF(ISBLANK($C449),"",IF(K449=Constants!$B$5,TRUE(),IF(K449=Constants!$B$6,FALSE(),COUNTA(L449:P449)&gt;0)))</f>
        <v/>
      </c>
      <c r="AM449" s="94" t="str">
        <f aca="false">IF(ISBLANK($C449),"",IF(ISNUMBER(L449),IF(L449&gt;=0,L449,""),""))</f>
        <v/>
      </c>
      <c r="AN449" s="93" t="str">
        <f aca="false">IF(ISBLANK($C449),"",IF(ISNUMBER(M449),IF(M449&gt;=0,M449,""),""))</f>
        <v/>
      </c>
      <c r="AO449" s="93" t="str">
        <f aca="false">IF(ISBLANK($C449),"",IF(N449=Constants!$B$3,TRUE(),IF(N449=Constants!$B$4,FALSE(),TRUE())))</f>
        <v/>
      </c>
      <c r="AP449" s="92" t="str">
        <f aca="false">IF(ISBLANK($C449),"",IF(ISNUMBER(O449),IF(O449&gt;=0,O449,""),""))</f>
        <v/>
      </c>
      <c r="AQ449" s="92" t="str">
        <f aca="false">IF(ISBLANK($C449),"",IF(P449=Constants!$B$3,TRUE(),IF(P449=Constants!$B$4,FALSE(),FALSE())))</f>
        <v/>
      </c>
      <c r="AR449" s="92" t="str">
        <f aca="false">IF(ISBLANK($C449),"",IF(Q449=Constants!$B$3,TRUE(),IF(Q449=Constants!$B$4,FALSE(),TRUE())))</f>
        <v/>
      </c>
      <c r="AS449" s="92" t="str">
        <f aca="false">IF(ISBLANK($C449),"",IF(R449=Constants!$B$3,TRUE(),IF(R449=Constants!$B$4,FALSE(),TRUE())))</f>
        <v/>
      </c>
      <c r="AT449" s="92" t="str">
        <f aca="false">IF(ISBLANK($C449),"",IF(S449=Constants!$B$5,TRUE(),IF(S449=Constants!$B$6,FALSE(),COUNTA(T449:X449)&gt;0)))</f>
        <v/>
      </c>
      <c r="AU449" s="94" t="str">
        <f aca="false">IF(ISBLANK($C449),"",IF(ISNUMBER(T449),IF(T449&gt;=0,T449,""),""))</f>
        <v/>
      </c>
      <c r="AV449" s="93" t="str">
        <f aca="false">IF(ISBLANK($C449),"",IF(ISNUMBER(U449),IF(U449&gt;=0,U449,""),""))</f>
        <v/>
      </c>
      <c r="AW449" s="93" t="str">
        <f aca="false">IF(ISBLANK($C449),"",IF(V449=Constants!$B$3,TRUE(),IF(V449=Constants!$B$4,FALSE(),TRUE())))</f>
        <v/>
      </c>
      <c r="AX449" s="92" t="str">
        <f aca="false">IF(ISBLANK($C449),"",IF(ISNUMBER(W449),IF(W449&gt;=0,W449,""),""))</f>
        <v/>
      </c>
      <c r="AY449" s="92" t="str">
        <f aca="false">IF(ISBLANK($C449),"",IF(X449=Constants!$B$3,TRUE(),IF(X449=Constants!$B$4,FALSE(),FALSE())))</f>
        <v/>
      </c>
      <c r="AZ449" s="92" t="str">
        <f aca="false">IF(ISBLANK($C449),"",MIN(Constants!$B$31,MAX(0,IF(ISNUMBER(Y449),Y449*60,0)+IF(ISNUMBER(Z449),Z449,0))))</f>
        <v/>
      </c>
      <c r="BA449" s="92" t="str">
        <f aca="false">IF(ISBLANK($C449),"",IF(AA449=Constants!$B$3,TRUE(),IF(AA449=Constants!$B$4,FALSE(),FALSE())))</f>
        <v/>
      </c>
      <c r="BB449" s="91" t="str">
        <f aca="false">IF(ISBLANK($C449),"",AND($AL449,OR($AM449="",$AN449="",AND($AO449,$AP449=""))))</f>
        <v/>
      </c>
      <c r="BC449" s="93" t="str">
        <f aca="false">IF($BR449&lt;&gt;Constants!$B$8,"",IF($AL449,Constants!$B$21*$AN449+Constants!$B$22*IF($AO449,$AP449,Constants!$B$23),Constants!$B$24))</f>
        <v/>
      </c>
      <c r="BD449" s="96" t="str">
        <f aca="false">IF($BR449&lt;&gt;Constants!$B$8,"",Constants!$B$25*ABS($AD$9-IF($AL449,$AM449,0)))</f>
        <v/>
      </c>
      <c r="BE449" s="96" t="str">
        <f aca="false">IF($BR449&lt;&gt;Constants!$B$8,"",IF(AND($AL449,$AQ449,$AO449),Constants!$B$27,0))</f>
        <v/>
      </c>
      <c r="BF449" s="96" t="str">
        <f aca="false">IF($BR449&lt;&gt;Constants!$B$8,"",IF($AL449,($AI449-Constants!$B$29)*Constants!$B$28,0))</f>
        <v/>
      </c>
      <c r="BG449" s="96" t="str">
        <f aca="false">IF($BR449&lt;&gt;Constants!$B$8,"",IF($AK449,0,Constants!$B$15)+IF($AJ449,0,Constants!$B$16)+IF($AH449,0,Constants!$B$17))</f>
        <v/>
      </c>
      <c r="BH449" s="97" t="str">
        <f aca="false">IF($BR449&lt;&gt;Constants!$B$8,"",Constants!$B$20+SUM($BC449:$BG449))</f>
        <v/>
      </c>
      <c r="BI449" s="92" t="str">
        <f aca="false">IF($BR449&lt;&gt;Constants!$B$8,"",IF(OR($BP449&lt;$BH449,AND($BP449=$BH449,OR($BK449&lt;$BC449,AND($BK449=$BC449,OR($BL449&lt;$BD449,AND($BL449=$BD449,$AT449,$AL449,$AV449&lt;$AN449)))))),"-&gt;","&lt;-"))</f>
        <v/>
      </c>
      <c r="BJ449" s="91" t="str">
        <f aca="false">IF(ISBLANK($C449),"",AND($AT449,OR($AU449="",$AV449="",AND($AW449,$AX449=""))))</f>
        <v/>
      </c>
      <c r="BK449" s="93" t="str">
        <f aca="false">IF($BR449&lt;&gt;Constants!$B$8,"",IF($AT449,Constants!$B$21*$AV449+Constants!$B$22*IF($AW449,$AX449,Constants!$B$23),Constants!$B$24))</f>
        <v/>
      </c>
      <c r="BL449" s="96" t="str">
        <f aca="false">IF($BR449&lt;&gt;Constants!$B$8,"",Constants!$B$25*ABS($AD$9-IF($AT449,$AU449,0)))</f>
        <v/>
      </c>
      <c r="BM449" s="96" t="str">
        <f aca="false">IF($BR449&lt;&gt;Constants!$B$8,"",IF(AND($AT449,$AY449,$AW449),Constants!$B$27,0))</f>
        <v/>
      </c>
      <c r="BN449" s="96" t="str">
        <f aca="false">IF($BR449&lt;&gt;Constants!$B$8,"",IF($AT449,($AI449-Constants!$B$29)*Constants!$B$28,0))</f>
        <v/>
      </c>
      <c r="BO449" s="96" t="str">
        <f aca="false">IF($BR449&lt;&gt;Constants!$B$8,"",IF($AS449,0,Constants!$B$15)+IF($AR449,0,Constants!$B$16)+IF($AH449,0,Constants!$B$17))</f>
        <v/>
      </c>
      <c r="BP449" s="97" t="str">
        <f aca="false">IF($BR449&lt;&gt;Constants!$B$8,"",Constants!$B$20+SUM($BK449:$BO449))</f>
        <v/>
      </c>
      <c r="BQ449" s="92" t="str">
        <f aca="false">IF(ISBLANK($C449),"",IF(ISBLANK($D$7),$BQ$5,IF(NOT(ISNUMBER($D$7)),$BQ$6,"")))</f>
        <v/>
      </c>
      <c r="BR449" s="92" t="str">
        <f aca="false">IF(ISBLANK($C449),"",IF($BA449,Constants!$B$11,IF(COUNTA($E449:$AA449)=0,Constants!$B$10,IF(NOT($AG449),Constants!$B$9,IF(OR($BQ449&lt;&gt;"",$BB449,$BJ449),Constants!$B$12,Constants!$B$8)))))</f>
        <v/>
      </c>
      <c r="BS449" s="92" t="str">
        <f aca="false">IF(ISBLANK($C449),"",IF($BR449&lt;&gt;Constants!$B$8,$BR449,Constants!$B$13))</f>
        <v/>
      </c>
      <c r="BT449" s="96" t="str">
        <f aca="false">IF($BR449&lt;&gt;Constants!$B$8,"",IF($BI449="-&gt;",$BP449,$BH449))</f>
        <v/>
      </c>
      <c r="BU449" s="96" t="str">
        <f aca="false">IF($BR449&lt;&gt;Constants!$B$8,"",IF($AF449,0,Constants!$B$18))</f>
        <v/>
      </c>
      <c r="BV449" s="96" t="str">
        <f aca="false">IF($BR449&lt;&gt;Constants!$B$8,"",((Constants!$B$31-$AZ449)-Constants!$B$31)/Constants!$B$32)</f>
        <v/>
      </c>
      <c r="BW449" s="96" t="str">
        <f aca="false">IF(ISBLANK($C449),"",IF($BR449&lt;&gt;Constants!$B$8,$BR449,SUM($BT449:$BV449)))</f>
        <v/>
      </c>
      <c r="BX449" s="92" t="str">
        <f aca="false">IF(ISBLANK($C449),"",IF($BR449&lt;&gt;Constants!$B$8,$BR449,RANK($BW449,$BW$9:$BW$508,1)))</f>
        <v/>
      </c>
      <c r="BY449" s="96" t="str">
        <f aca="false">IF($BR449&lt;&gt;Constants!$B$8,"",IF($BI449="-&gt;",$BK449,$BC449))</f>
        <v/>
      </c>
      <c r="BZ449" s="92" t="str">
        <f aca="false">IF(ISBLANK($C449),"",IF($BR449&lt;&gt;Constants!$B$8,$BR449,IF(ISNUMBER($BY449),RANK($BY449,$BY$9:$BY$508,1),COUNT($BY$9:$BY$508)+1)))</f>
        <v/>
      </c>
      <c r="CA449" s="96" t="str">
        <f aca="false">IF($BR449&lt;&gt;Constants!$B$8,"",IF($BI449="-&gt;",$BL449,$BD449))</f>
        <v/>
      </c>
      <c r="CB449" s="92" t="str">
        <f aca="false">IF(ISBLANK($C449),"",IF($BR449&lt;&gt;Constants!$B$8,$BR449,IF(ISNUMBER($CA449),RANK($CA449,$CA$9:$CA$508,1),COUNT($CA$9:$CA$508)+1)))</f>
        <v/>
      </c>
      <c r="CC449" s="96" t="str">
        <f aca="false">IF($BR449&lt;&gt;Constants!$B$8,"",IF($BI449="-&gt;",IF($AT449,$AV449,""),IF($AL449,$AN449,"")))</f>
        <v/>
      </c>
      <c r="CD449" s="92" t="str">
        <f aca="false">IF(ISBLANK($C449),"",IF($BR449&lt;&gt;Constants!$B$8,$BR449,IF(ISNUMBER($CC449),RANK($CC449,$CC$9:$CC$508,1),COUNT($CC$9:$CC$508)+1)))</f>
        <v/>
      </c>
      <c r="CE449" s="96" t="str">
        <f aca="false">IF($BR449&lt;&gt;Constants!$B$8,"",IF(AND(NOT($AL449),NOT($AT449),$AJ449,$AK449,$AR449,$AS449),"",$AI449))</f>
        <v/>
      </c>
      <c r="CF449" s="92" t="str">
        <f aca="false">IF(ISBLANK($C449),"",IF($BR449&lt;&gt;Constants!$B$8,$BR449,IF(ISNUMBER($CE449),RANK($CE449,$CE$9:$CE$508,1),COUNT($CE$9:$CE$508)+1)))</f>
        <v/>
      </c>
      <c r="CG449" s="92" t="str">
        <f aca="false">IF(ISBLANK($C449),"",IF($BR449&lt;&gt;Constants!$B$8,$BR449,COUNTIFS($BX$9:$BX$508,"&lt;"&amp;$BX449)+COUNTIFS($BX$9:$BX$508,$BX449,$BZ$9:$BZ$508,"&lt;"&amp;$BZ449)+COUNTIFS($BX$9:$BX$508,$BX449,$BZ$9:$BZ$508,$BZ449,$CB$9:$CB$508,"&lt;"&amp;$CB449)+COUNTIFS($BX$9:$BX$508,$BX449,$BZ$9:$BZ$508,$BZ449,$CB$9:$CB$508,$CB449,$CD$9:$CD$508,"&lt;"&amp;$CD449)+COUNTIFS($BX$9:$BX$508,$BX449,$BZ$9:$BZ$508,$BZ449,$CB$9:$CB$508,$CB449,$CD$9:$CD$508,$CD449,$CF$9:$CF$508,"&lt;"&amp;$CF449)+1))</f>
        <v/>
      </c>
      <c r="CH449" s="92" t="str">
        <f aca="false">IF(ISBLANK($C449),"",IF($BR449&lt;&gt;Constants!$B$8,$BR449,$BX449-$CG449))</f>
        <v/>
      </c>
      <c r="CI449" s="98"/>
      <c r="CJ449" s="99"/>
      <c r="CK449" s="100" t="str">
        <f aca="false">IF(ISBLANK($C449),"",IF($BR449=Constants!$B$12,$BQ449,""))</f>
        <v/>
      </c>
      <c r="CL449" s="99" t="str">
        <f aca="false">IF(ISBLANK($C449),"",IF($BR449&lt;&gt;Constants!$B$8,"",IF($BI449="-&gt;",2,1)))</f>
        <v/>
      </c>
      <c r="CM449" s="101" t="str">
        <f aca="false">IF(ISBLANK($C449),"",IF($BR449&lt;&gt;Constants!$B$8,"",IF($BI449="-&gt;",$BK449,$BC449)))</f>
        <v/>
      </c>
      <c r="CN449" s="101" t="str">
        <f aca="false">IF(ISBLANK($C449),"",IF($BR449&lt;&gt;Constants!$B$8,"",IF($BI449="-&gt;",$BL449,$BD449)))</f>
        <v/>
      </c>
      <c r="CO449" s="101" t="str">
        <f aca="false">IF(ISBLANK($C449),"",IF($BR449&lt;&gt;Constants!$B$8,"",IF($BI449="-&gt;",$BM449+$BN449,$BE449+$BF449)+$BV449))</f>
        <v/>
      </c>
      <c r="CP449" s="101" t="str">
        <f aca="false">IF(ISBLANK($C449),"",IF($BR449&lt;&gt;Constants!$B$8,"",IF($BI449="-&gt;",$BO449,$BG449)+$BU449))</f>
        <v/>
      </c>
      <c r="CQ449" s="102" t="str">
        <f aca="false">IF(ISBLANK($C449),"",IF($BR449&lt;&gt;Constants!$B$8,$BR449,$BW449))</f>
        <v/>
      </c>
      <c r="CR449" s="103" t="str">
        <f aca="false">IF(ISBLANK($C449),"",$BS449)</f>
        <v/>
      </c>
      <c r="CS449" s="104" t="str">
        <f aca="false">IF(ISBLANK($C449),"",$CH449)</f>
        <v/>
      </c>
      <c r="CT449" s="104" t="str">
        <f aca="false">IF(ISBLANK($C449),"",$CG449)</f>
        <v/>
      </c>
      <c r="CU449" s="105" t="str">
        <f aca="false">IF(ISBLANK($C449),"",IFERROR(_xlfn.SWITCH($CT449,Constants!$B$11,COUNTA($C$9:$C$508)+2,Constants!$B$10,COUNTA($C$9:$C$508)+1,Constants!$B$9,COUNTA($C$9:$C$508)),$CT449))</f>
        <v/>
      </c>
      <c r="CV449" s="9"/>
      <c r="CW449" s="106" t="n">
        <f aca="false">IF(OR(ISNUMBER($CT449),$CT449=Constants!$B$11,$CT449=Constants!$B$9,$CT449=Constants!$B$10),1,0)</f>
        <v>0</v>
      </c>
      <c r="CX449" s="106" t="n">
        <v>441</v>
      </c>
      <c r="CY449" s="106" t="str">
        <f aca="false">IF(ISBLANK($C449),"",IF(ISNUMBER($CU449),$CU449+ROW($B449)/1000,""))</f>
        <v/>
      </c>
      <c r="CZ449" s="106" t="str">
        <f aca="false">IF(ISNUMBER($CY449),RANK($CY449,$CY$9:$CY$508,1),"")</f>
        <v/>
      </c>
      <c r="DA449" s="106" t="str">
        <f aca="false">IF(ISBLANK($C449),"",$B449)</f>
        <v/>
      </c>
      <c r="DB449" s="106" t="str">
        <f aca="false">IF(ISBLANK($C449),"",$C449)</f>
        <v/>
      </c>
      <c r="DC449" s="106" t="str">
        <f aca="false">IF(ISBLANK($C449),"",$D449)</f>
        <v/>
      </c>
      <c r="DD449" s="107" t="str">
        <f aca="false">$CR449</f>
        <v/>
      </c>
      <c r="DE449" s="108" t="str">
        <f aca="false">$CQ449</f>
        <v/>
      </c>
      <c r="DF449" s="106" t="str">
        <f aca="false">IF(ISBLANK($C449),"",$CT449)</f>
        <v/>
      </c>
      <c r="DG449" s="109" t="str">
        <f aca="false">IF($CX449&gt;$CW$8,"",VLOOKUP($CX449,$CZ$9:$DF$508,7,FALSE()))</f>
        <v/>
      </c>
      <c r="DH449" s="110" t="str">
        <f aca="false">IF($CX449&gt;$CW$8,"",VLOOKUP($CX449,$CZ$9:$DF$508,2,FALSE()))</f>
        <v/>
      </c>
      <c r="DI449" s="110" t="str">
        <f aca="false">IF($CX449&gt;$CW$8,"",VLOOKUP($CX449,$CZ$9:$DF$508,3,FALSE()))</f>
        <v/>
      </c>
      <c r="DJ449" s="110" t="str">
        <f aca="false">IF($CX449&gt;$CW$8,"",VLOOKUP($CX449,$CZ$9:$DF$508,4,FALSE()))</f>
        <v/>
      </c>
      <c r="DK449" s="110" t="str">
        <f aca="false">IF($CX449&gt;$CW$8,"",VLOOKUP($CX449,$CZ$9:$DF$508,5,FALSE()))</f>
        <v/>
      </c>
      <c r="DL449" s="111" t="str">
        <f aca="false">IF($CX449&gt;$CW$8,"",VLOOKUP($CX449,$CZ$9:$DF$508,6,FALSE()))</f>
        <v/>
      </c>
      <c r="DM449" s="75"/>
    </row>
    <row r="450" customFormat="false" ht="15.75" hidden="false" customHeight="false" outlineLevel="0" collapsed="false">
      <c r="A450" s="9"/>
      <c r="B450" s="157"/>
      <c r="C450" s="158"/>
      <c r="D450" s="159"/>
      <c r="E450" s="177"/>
      <c r="F450" s="161"/>
      <c r="G450" s="162"/>
      <c r="H450" s="162"/>
      <c r="I450" s="178"/>
      <c r="J450" s="165"/>
      <c r="K450" s="126"/>
      <c r="L450" s="127"/>
      <c r="M450" s="128"/>
      <c r="N450" s="165"/>
      <c r="O450" s="165"/>
      <c r="P450" s="177"/>
      <c r="Q450" s="165"/>
      <c r="R450" s="165"/>
      <c r="S450" s="126"/>
      <c r="T450" s="128"/>
      <c r="U450" s="128"/>
      <c r="V450" s="165"/>
      <c r="W450" s="165"/>
      <c r="X450" s="177"/>
      <c r="Y450" s="165"/>
      <c r="Z450" s="166"/>
      <c r="AA450" s="165"/>
      <c r="AB450" s="132"/>
      <c r="AC450" s="133"/>
      <c r="AD450" s="133"/>
      <c r="AE450" s="133"/>
      <c r="AF450" s="133" t="str">
        <f aca="false">IF(ISBLANK($C450),"",IF(E450=Constants!$B$3,TRUE(),IF(E450=Constants!$B$4,FALSE(),TRUE())))</f>
        <v/>
      </c>
      <c r="AG450" s="133" t="str">
        <f aca="false">IF(ISBLANK($C450),"",IF(F450=Constants!$B$3,TRUE(),IF(F450=Constants!$B$4,FALSE(),TRUE())))</f>
        <v/>
      </c>
      <c r="AH450" s="133" t="str">
        <f aca="false">IF(ISBLANK($C450),"",IF(G450=Constants!$B$3,TRUE(),IF(G450=Constants!$B$4,FALSE(),TRUE())))</f>
        <v/>
      </c>
      <c r="AI450" s="133" t="str">
        <f aca="false">IF(ISBLANK($C450),"",IF(AND(ISNUMBER(H450),H450&gt;=0),H450,Constants!$B$29))</f>
        <v/>
      </c>
      <c r="AJ450" s="133" t="str">
        <f aca="false">IF(ISBLANK($C450),"",IF(I450=Constants!$B$3,TRUE(),IF(I450=Constants!$B$4,FALSE(),TRUE())))</f>
        <v/>
      </c>
      <c r="AK450" s="133" t="str">
        <f aca="false">IF(ISBLANK($C450),"",IF(J450=Constants!$B$3,TRUE(),IF(J450=Constants!$B$4,FALSE(),TRUE())))</f>
        <v/>
      </c>
      <c r="AL450" s="133" t="str">
        <f aca="false">IF(ISBLANK($C450),"",IF(K450=Constants!$B$5,TRUE(),IF(K450=Constants!$B$6,FALSE(),COUNTA(L450:P450)&gt;0)))</f>
        <v/>
      </c>
      <c r="AM450" s="134" t="str">
        <f aca="false">IF(ISBLANK($C450),"",IF(ISNUMBER(L450),IF(L450&gt;=0,L450,""),""))</f>
        <v/>
      </c>
      <c r="AN450" s="135" t="str">
        <f aca="false">IF(ISBLANK($C450),"",IF(ISNUMBER(M450),IF(M450&gt;=0,M450,""),""))</f>
        <v/>
      </c>
      <c r="AO450" s="135" t="str">
        <f aca="false">IF(ISBLANK($C450),"",IF(N450=Constants!$B$3,TRUE(),IF(N450=Constants!$B$4,FALSE(),TRUE())))</f>
        <v/>
      </c>
      <c r="AP450" s="133" t="str">
        <f aca="false">IF(ISBLANK($C450),"",IF(ISNUMBER(O450),IF(O450&gt;=0,O450,""),""))</f>
        <v/>
      </c>
      <c r="AQ450" s="133" t="str">
        <f aca="false">IF(ISBLANK($C450),"",IF(P450=Constants!$B$3,TRUE(),IF(P450=Constants!$B$4,FALSE(),FALSE())))</f>
        <v/>
      </c>
      <c r="AR450" s="133" t="str">
        <f aca="false">IF(ISBLANK($C450),"",IF(Q450=Constants!$B$3,TRUE(),IF(Q450=Constants!$B$4,FALSE(),TRUE())))</f>
        <v/>
      </c>
      <c r="AS450" s="133" t="str">
        <f aca="false">IF(ISBLANK($C450),"",IF(R450=Constants!$B$3,TRUE(),IF(R450=Constants!$B$4,FALSE(),TRUE())))</f>
        <v/>
      </c>
      <c r="AT450" s="133" t="str">
        <f aca="false">IF(ISBLANK($C450),"",IF(S450=Constants!$B$5,TRUE(),IF(S450=Constants!$B$6,FALSE(),COUNTA(T450:X450)&gt;0)))</f>
        <v/>
      </c>
      <c r="AU450" s="134" t="str">
        <f aca="false">IF(ISBLANK($C450),"",IF(ISNUMBER(T450),IF(T450&gt;=0,T450,""),""))</f>
        <v/>
      </c>
      <c r="AV450" s="135" t="str">
        <f aca="false">IF(ISBLANK($C450),"",IF(ISNUMBER(U450),IF(U450&gt;=0,U450,""),""))</f>
        <v/>
      </c>
      <c r="AW450" s="135" t="str">
        <f aca="false">IF(ISBLANK($C450),"",IF(V450=Constants!$B$3,TRUE(),IF(V450=Constants!$B$4,FALSE(),TRUE())))</f>
        <v/>
      </c>
      <c r="AX450" s="133" t="str">
        <f aca="false">IF(ISBLANK($C450),"",IF(ISNUMBER(W450),IF(W450&gt;=0,W450,""),""))</f>
        <v/>
      </c>
      <c r="AY450" s="133" t="str">
        <f aca="false">IF(ISBLANK($C450),"",IF(X450=Constants!$B$3,TRUE(),IF(X450=Constants!$B$4,FALSE(),FALSE())))</f>
        <v/>
      </c>
      <c r="AZ450" s="133" t="str">
        <f aca="false">IF(ISBLANK($C450),"",MIN(Constants!$B$31,MAX(0,IF(ISNUMBER(Y450),Y450*60,0)+IF(ISNUMBER(Z450),Z450,0))))</f>
        <v/>
      </c>
      <c r="BA450" s="133" t="str">
        <f aca="false">IF(ISBLANK($C450),"",IF(AA450=Constants!$B$3,TRUE(),IF(AA450=Constants!$B$4,FALSE(),FALSE())))</f>
        <v/>
      </c>
      <c r="BB450" s="132" t="str">
        <f aca="false">IF(ISBLANK($C450),"",AND($AL450,OR($AM450="",$AN450="",AND($AO450,$AP450=""))))</f>
        <v/>
      </c>
      <c r="BC450" s="135" t="str">
        <f aca="false">IF($BR450&lt;&gt;Constants!$B$8,"",IF($AL450,Constants!$B$21*$AN450+Constants!$B$22*IF($AO450,$AP450,Constants!$B$23),Constants!$B$24))</f>
        <v/>
      </c>
      <c r="BD450" s="136" t="str">
        <f aca="false">IF($BR450&lt;&gt;Constants!$B$8,"",Constants!$B$25*ABS($AD$9-IF($AL450,$AM450,0)))</f>
        <v/>
      </c>
      <c r="BE450" s="136" t="str">
        <f aca="false">IF($BR450&lt;&gt;Constants!$B$8,"",IF(AND($AL450,$AQ450,$AO450),Constants!$B$27,0))</f>
        <v/>
      </c>
      <c r="BF450" s="136" t="str">
        <f aca="false">IF($BR450&lt;&gt;Constants!$B$8,"",IF($AL450,($AI450-Constants!$B$29)*Constants!$B$28,0))</f>
        <v/>
      </c>
      <c r="BG450" s="136" t="str">
        <f aca="false">IF($BR450&lt;&gt;Constants!$B$8,"",IF($AK450,0,Constants!$B$15)+IF($AJ450,0,Constants!$B$16)+IF($AH450,0,Constants!$B$17))</f>
        <v/>
      </c>
      <c r="BH450" s="137" t="str">
        <f aca="false">IF($BR450&lt;&gt;Constants!$B$8,"",Constants!$B$20+SUM($BC450:$BG450))</f>
        <v/>
      </c>
      <c r="BI450" s="133" t="str">
        <f aca="false">IF($BR450&lt;&gt;Constants!$B$8,"",IF(OR($BP450&lt;$BH450,AND($BP450=$BH450,OR($BK450&lt;$BC450,AND($BK450=$BC450,OR($BL450&lt;$BD450,AND($BL450=$BD450,$AT450,$AL450,$AV450&lt;$AN450)))))),"-&gt;","&lt;-"))</f>
        <v/>
      </c>
      <c r="BJ450" s="132" t="str">
        <f aca="false">IF(ISBLANK($C450),"",AND($AT450,OR($AU450="",$AV450="",AND($AW450,$AX450=""))))</f>
        <v/>
      </c>
      <c r="BK450" s="135" t="str">
        <f aca="false">IF($BR450&lt;&gt;Constants!$B$8,"",IF($AT450,Constants!$B$21*$AV450+Constants!$B$22*IF($AW450,$AX450,Constants!$B$23),Constants!$B$24))</f>
        <v/>
      </c>
      <c r="BL450" s="136" t="str">
        <f aca="false">IF($BR450&lt;&gt;Constants!$B$8,"",Constants!$B$25*ABS($AD$9-IF($AT450,$AU450,0)))</f>
        <v/>
      </c>
      <c r="BM450" s="136" t="str">
        <f aca="false">IF($BR450&lt;&gt;Constants!$B$8,"",IF(AND($AT450,$AY450,$AW450),Constants!$B$27,0))</f>
        <v/>
      </c>
      <c r="BN450" s="136" t="str">
        <f aca="false">IF($BR450&lt;&gt;Constants!$B$8,"",IF($AT450,($AI450-Constants!$B$29)*Constants!$B$28,0))</f>
        <v/>
      </c>
      <c r="BO450" s="136" t="str">
        <f aca="false">IF($BR450&lt;&gt;Constants!$B$8,"",IF($AS450,0,Constants!$B$15)+IF($AR450,0,Constants!$B$16)+IF($AH450,0,Constants!$B$17))</f>
        <v/>
      </c>
      <c r="BP450" s="137" t="str">
        <f aca="false">IF($BR450&lt;&gt;Constants!$B$8,"",Constants!$B$20+SUM($BK450:$BO450))</f>
        <v/>
      </c>
      <c r="BQ450" s="133" t="str">
        <f aca="false">IF(ISBLANK($C450),"",IF(ISBLANK($D$7),$BQ$5,IF(NOT(ISNUMBER($D$7)),$BQ$6,"")))</f>
        <v/>
      </c>
      <c r="BR450" s="133" t="str">
        <f aca="false">IF(ISBLANK($C450),"",IF($BA450,Constants!$B$11,IF(COUNTA($E450:$AA450)=0,Constants!$B$10,IF(NOT($AG450),Constants!$B$9,IF(OR($BQ450&lt;&gt;"",$BB450,$BJ450),Constants!$B$12,Constants!$B$8)))))</f>
        <v/>
      </c>
      <c r="BS450" s="133" t="str">
        <f aca="false">IF(ISBLANK($C450),"",IF($BR450&lt;&gt;Constants!$B$8,$BR450,Constants!$B$13))</f>
        <v/>
      </c>
      <c r="BT450" s="136" t="str">
        <f aca="false">IF($BR450&lt;&gt;Constants!$B$8,"",IF($BI450="-&gt;",$BP450,$BH450))</f>
        <v/>
      </c>
      <c r="BU450" s="136" t="str">
        <f aca="false">IF($BR450&lt;&gt;Constants!$B$8,"",IF($AF450,0,Constants!$B$18))</f>
        <v/>
      </c>
      <c r="BV450" s="136" t="str">
        <f aca="false">IF($BR450&lt;&gt;Constants!$B$8,"",((Constants!$B$31-$AZ450)-Constants!$B$31)/Constants!$B$32)</f>
        <v/>
      </c>
      <c r="BW450" s="136" t="str">
        <f aca="false">IF(ISBLANK($C450),"",IF($BR450&lt;&gt;Constants!$B$8,$BR450,SUM($BT450:$BV450)))</f>
        <v/>
      </c>
      <c r="BX450" s="133" t="str">
        <f aca="false">IF(ISBLANK($C450),"",IF($BR450&lt;&gt;Constants!$B$8,$BR450,RANK($BW450,$BW$9:$BW$508,1)))</f>
        <v/>
      </c>
      <c r="BY450" s="136" t="str">
        <f aca="false">IF($BR450&lt;&gt;Constants!$B$8,"",IF($BI450="-&gt;",$BK450,$BC450))</f>
        <v/>
      </c>
      <c r="BZ450" s="133" t="str">
        <f aca="false">IF(ISBLANK($C450),"",IF($BR450&lt;&gt;Constants!$B$8,$BR450,IF(ISNUMBER($BY450),RANK($BY450,$BY$9:$BY$508,1),COUNT($BY$9:$BY$508)+1)))</f>
        <v/>
      </c>
      <c r="CA450" s="136" t="str">
        <f aca="false">IF($BR450&lt;&gt;Constants!$B$8,"",IF($BI450="-&gt;",$BL450,$BD450))</f>
        <v/>
      </c>
      <c r="CB450" s="133" t="str">
        <f aca="false">IF(ISBLANK($C450),"",IF($BR450&lt;&gt;Constants!$B$8,$BR450,IF(ISNUMBER($CA450),RANK($CA450,$CA$9:$CA$508,1),COUNT($CA$9:$CA$508)+1)))</f>
        <v/>
      </c>
      <c r="CC450" s="136" t="str">
        <f aca="false">IF($BR450&lt;&gt;Constants!$B$8,"",IF($BI450="-&gt;",IF($AT450,$AV450,""),IF($AL450,$AN450,"")))</f>
        <v/>
      </c>
      <c r="CD450" s="133" t="str">
        <f aca="false">IF(ISBLANK($C450),"",IF($BR450&lt;&gt;Constants!$B$8,$BR450,IF(ISNUMBER($CC450),RANK($CC450,$CC$9:$CC$508,1),COUNT($CC$9:$CC$508)+1)))</f>
        <v/>
      </c>
      <c r="CE450" s="136" t="str">
        <f aca="false">IF($BR450&lt;&gt;Constants!$B$8,"",IF(AND(NOT($AL450),NOT($AT450),$AJ450,$AK450,$AR450,$AS450),"",$AI450))</f>
        <v/>
      </c>
      <c r="CF450" s="133" t="str">
        <f aca="false">IF(ISBLANK($C450),"",IF($BR450&lt;&gt;Constants!$B$8,$BR450,IF(ISNUMBER($CE450),RANK($CE450,$CE$9:$CE$508,1),COUNT($CE$9:$CE$508)+1)))</f>
        <v/>
      </c>
      <c r="CG450" s="133" t="str">
        <f aca="false">IF(ISBLANK($C450),"",IF($BR450&lt;&gt;Constants!$B$8,$BR450,COUNTIFS($BX$9:$BX$508,"&lt;"&amp;$BX450)+COUNTIFS($BX$9:$BX$508,$BX450,$BZ$9:$BZ$508,"&lt;"&amp;$BZ450)+COUNTIFS($BX$9:$BX$508,$BX450,$BZ$9:$BZ$508,$BZ450,$CB$9:$CB$508,"&lt;"&amp;$CB450)+COUNTIFS($BX$9:$BX$508,$BX450,$BZ$9:$BZ$508,$BZ450,$CB$9:$CB$508,$CB450,$CD$9:$CD$508,"&lt;"&amp;$CD450)+COUNTIFS($BX$9:$BX$508,$BX450,$BZ$9:$BZ$508,$BZ450,$CB$9:$CB$508,$CB450,$CD$9:$CD$508,$CD450,$CF$9:$CF$508,"&lt;"&amp;$CF450)+1))</f>
        <v/>
      </c>
      <c r="CH450" s="133" t="str">
        <f aca="false">IF(ISBLANK($C450),"",IF($BR450&lt;&gt;Constants!$B$8,$BR450,$BX450-$CG450))</f>
        <v/>
      </c>
      <c r="CI450" s="138"/>
      <c r="CJ450" s="139"/>
      <c r="CK450" s="140" t="str">
        <f aca="false">IF(ISBLANK($C450),"",IF($BR450=Constants!$B$12,$BQ450,""))</f>
        <v/>
      </c>
      <c r="CL450" s="139" t="str">
        <f aca="false">IF(ISBLANK($C450),"",IF($BR450&lt;&gt;Constants!$B$8,"",IF($BI450="-&gt;",2,1)))</f>
        <v/>
      </c>
      <c r="CM450" s="141" t="str">
        <f aca="false">IF(ISBLANK($C450),"",IF($BR450&lt;&gt;Constants!$B$8,"",IF($BI450="-&gt;",$BK450,$BC450)))</f>
        <v/>
      </c>
      <c r="CN450" s="141" t="str">
        <f aca="false">IF(ISBLANK($C450),"",IF($BR450&lt;&gt;Constants!$B$8,"",IF($BI450="-&gt;",$BL450,$BD450)))</f>
        <v/>
      </c>
      <c r="CO450" s="141" t="str">
        <f aca="false">IF(ISBLANK($C450),"",IF($BR450&lt;&gt;Constants!$B$8,"",IF($BI450="-&gt;",$BM450+$BN450,$BE450+$BF450)+$BV450))</f>
        <v/>
      </c>
      <c r="CP450" s="141" t="str">
        <f aca="false">IF(ISBLANK($C450),"",IF($BR450&lt;&gt;Constants!$B$8,"",IF($BI450="-&gt;",$BO450,$BG450)+$BU450))</f>
        <v/>
      </c>
      <c r="CQ450" s="142" t="str">
        <f aca="false">IF(ISBLANK($C450),"",IF($BR450&lt;&gt;Constants!$B$8,$BR450,$BW450))</f>
        <v/>
      </c>
      <c r="CR450" s="143" t="str">
        <f aca="false">IF(ISBLANK($C450),"",$BS450)</f>
        <v/>
      </c>
      <c r="CS450" s="144" t="str">
        <f aca="false">IF(ISBLANK($C450),"",$CH450)</f>
        <v/>
      </c>
      <c r="CT450" s="144" t="str">
        <f aca="false">IF(ISBLANK($C450),"",$CG450)</f>
        <v/>
      </c>
      <c r="CU450" s="145" t="str">
        <f aca="false">IF(ISBLANK($C450),"",IFERROR(_xlfn.SWITCH($CT450,Constants!$B$11,COUNTA($C$9:$C$508)+2,Constants!$B$10,COUNTA($C$9:$C$508)+1,Constants!$B$9,COUNTA($C$9:$C$508)),$CT450))</f>
        <v/>
      </c>
      <c r="CV450" s="9"/>
      <c r="CW450" s="146" t="n">
        <f aca="false">IF(OR(ISNUMBER($CT450),$CT450=Constants!$B$11,$CT450=Constants!$B$9,$CT450=Constants!$B$10),1,0)</f>
        <v>0</v>
      </c>
      <c r="CX450" s="146" t="n">
        <v>442</v>
      </c>
      <c r="CY450" s="146" t="str">
        <f aca="false">IF(ISBLANK($C450),"",IF(ISNUMBER($CU450),$CU450+ROW($B450)/1000,""))</f>
        <v/>
      </c>
      <c r="CZ450" s="146" t="str">
        <f aca="false">IF(ISNUMBER($CY450),RANK($CY450,$CY$9:$CY$508,1),"")</f>
        <v/>
      </c>
      <c r="DA450" s="146" t="str">
        <f aca="false">IF(ISBLANK($C450),"",$B450)</f>
        <v/>
      </c>
      <c r="DB450" s="146" t="str">
        <f aca="false">IF(ISBLANK($C450),"",$C450)</f>
        <v/>
      </c>
      <c r="DC450" s="146" t="str">
        <f aca="false">IF(ISBLANK($C450),"",$D450)</f>
        <v/>
      </c>
      <c r="DD450" s="147" t="str">
        <f aca="false">$CR450</f>
        <v/>
      </c>
      <c r="DE450" s="148" t="str">
        <f aca="false">$CQ450</f>
        <v/>
      </c>
      <c r="DF450" s="146" t="str">
        <f aca="false">IF(ISBLANK($C450),"",$CT450)</f>
        <v/>
      </c>
      <c r="DG450" s="149" t="str">
        <f aca="false">IF($CX450&gt;$CW$8,"",VLOOKUP($CX450,$CZ$9:$DF$508,7,FALSE()))</f>
        <v/>
      </c>
      <c r="DH450" s="150" t="str">
        <f aca="false">IF($CX450&gt;$CW$8,"",VLOOKUP($CX450,$CZ$9:$DF$508,2,FALSE()))</f>
        <v/>
      </c>
      <c r="DI450" s="150" t="str">
        <f aca="false">IF($CX450&gt;$CW$8,"",VLOOKUP($CX450,$CZ$9:$DF$508,3,FALSE()))</f>
        <v/>
      </c>
      <c r="DJ450" s="150" t="str">
        <f aca="false">IF($CX450&gt;$CW$8,"",VLOOKUP($CX450,$CZ$9:$DF$508,4,FALSE()))</f>
        <v/>
      </c>
      <c r="DK450" s="150" t="str">
        <f aca="false">IF($CX450&gt;$CW$8,"",VLOOKUP($CX450,$CZ$9:$DF$508,5,FALSE()))</f>
        <v/>
      </c>
      <c r="DL450" s="151" t="str">
        <f aca="false">IF($CX450&gt;$CW$8,"",VLOOKUP($CX450,$CZ$9:$DF$508,6,FALSE()))</f>
        <v/>
      </c>
      <c r="DM450" s="75"/>
    </row>
    <row r="451" customFormat="false" ht="15.75" hidden="false" customHeight="false" outlineLevel="0" collapsed="false">
      <c r="A451" s="9"/>
      <c r="B451" s="157"/>
      <c r="C451" s="158"/>
      <c r="D451" s="159"/>
      <c r="E451" s="177"/>
      <c r="F451" s="161"/>
      <c r="G451" s="162"/>
      <c r="H451" s="162"/>
      <c r="I451" s="178"/>
      <c r="J451" s="165"/>
      <c r="K451" s="126"/>
      <c r="L451" s="127"/>
      <c r="M451" s="128"/>
      <c r="N451" s="165"/>
      <c r="O451" s="165"/>
      <c r="P451" s="177"/>
      <c r="Q451" s="165"/>
      <c r="R451" s="165"/>
      <c r="S451" s="126"/>
      <c r="T451" s="128"/>
      <c r="U451" s="128"/>
      <c r="V451" s="165"/>
      <c r="W451" s="165"/>
      <c r="X451" s="177"/>
      <c r="Y451" s="165"/>
      <c r="Z451" s="166"/>
      <c r="AA451" s="165"/>
      <c r="AB451" s="132"/>
      <c r="AC451" s="133"/>
      <c r="AD451" s="133"/>
      <c r="AE451" s="133"/>
      <c r="AF451" s="133" t="str">
        <f aca="false">IF(ISBLANK($C451),"",IF(E451=Constants!$B$3,TRUE(),IF(E451=Constants!$B$4,FALSE(),TRUE())))</f>
        <v/>
      </c>
      <c r="AG451" s="133" t="str">
        <f aca="false">IF(ISBLANK($C451),"",IF(F451=Constants!$B$3,TRUE(),IF(F451=Constants!$B$4,FALSE(),TRUE())))</f>
        <v/>
      </c>
      <c r="AH451" s="133" t="str">
        <f aca="false">IF(ISBLANK($C451),"",IF(G451=Constants!$B$3,TRUE(),IF(G451=Constants!$B$4,FALSE(),TRUE())))</f>
        <v/>
      </c>
      <c r="AI451" s="133" t="str">
        <f aca="false">IF(ISBLANK($C451),"",IF(AND(ISNUMBER(H451),H451&gt;=0),H451,Constants!$B$29))</f>
        <v/>
      </c>
      <c r="AJ451" s="133" t="str">
        <f aca="false">IF(ISBLANK($C451),"",IF(I451=Constants!$B$3,TRUE(),IF(I451=Constants!$B$4,FALSE(),TRUE())))</f>
        <v/>
      </c>
      <c r="AK451" s="133" t="str">
        <f aca="false">IF(ISBLANK($C451),"",IF(J451=Constants!$B$3,TRUE(),IF(J451=Constants!$B$4,FALSE(),TRUE())))</f>
        <v/>
      </c>
      <c r="AL451" s="133" t="str">
        <f aca="false">IF(ISBLANK($C451),"",IF(K451=Constants!$B$5,TRUE(),IF(K451=Constants!$B$6,FALSE(),COUNTA(L451:P451)&gt;0)))</f>
        <v/>
      </c>
      <c r="AM451" s="134" t="str">
        <f aca="false">IF(ISBLANK($C451),"",IF(ISNUMBER(L451),IF(L451&gt;=0,L451,""),""))</f>
        <v/>
      </c>
      <c r="AN451" s="135" t="str">
        <f aca="false">IF(ISBLANK($C451),"",IF(ISNUMBER(M451),IF(M451&gt;=0,M451,""),""))</f>
        <v/>
      </c>
      <c r="AO451" s="135" t="str">
        <f aca="false">IF(ISBLANK($C451),"",IF(N451=Constants!$B$3,TRUE(),IF(N451=Constants!$B$4,FALSE(),TRUE())))</f>
        <v/>
      </c>
      <c r="AP451" s="133" t="str">
        <f aca="false">IF(ISBLANK($C451),"",IF(ISNUMBER(O451),IF(O451&gt;=0,O451,""),""))</f>
        <v/>
      </c>
      <c r="AQ451" s="133" t="str">
        <f aca="false">IF(ISBLANK($C451),"",IF(P451=Constants!$B$3,TRUE(),IF(P451=Constants!$B$4,FALSE(),FALSE())))</f>
        <v/>
      </c>
      <c r="AR451" s="133" t="str">
        <f aca="false">IF(ISBLANK($C451),"",IF(Q451=Constants!$B$3,TRUE(),IF(Q451=Constants!$B$4,FALSE(),TRUE())))</f>
        <v/>
      </c>
      <c r="AS451" s="133" t="str">
        <f aca="false">IF(ISBLANK($C451),"",IF(R451=Constants!$B$3,TRUE(),IF(R451=Constants!$B$4,FALSE(),TRUE())))</f>
        <v/>
      </c>
      <c r="AT451" s="133" t="str">
        <f aca="false">IF(ISBLANK($C451),"",IF(S451=Constants!$B$5,TRUE(),IF(S451=Constants!$B$6,FALSE(),COUNTA(T451:X451)&gt;0)))</f>
        <v/>
      </c>
      <c r="AU451" s="134" t="str">
        <f aca="false">IF(ISBLANK($C451),"",IF(ISNUMBER(T451),IF(T451&gt;=0,T451,""),""))</f>
        <v/>
      </c>
      <c r="AV451" s="135" t="str">
        <f aca="false">IF(ISBLANK($C451),"",IF(ISNUMBER(U451),IF(U451&gt;=0,U451,""),""))</f>
        <v/>
      </c>
      <c r="AW451" s="135" t="str">
        <f aca="false">IF(ISBLANK($C451),"",IF(V451=Constants!$B$3,TRUE(),IF(V451=Constants!$B$4,FALSE(),TRUE())))</f>
        <v/>
      </c>
      <c r="AX451" s="133" t="str">
        <f aca="false">IF(ISBLANK($C451),"",IF(ISNUMBER(W451),IF(W451&gt;=0,W451,""),""))</f>
        <v/>
      </c>
      <c r="AY451" s="133" t="str">
        <f aca="false">IF(ISBLANK($C451),"",IF(X451=Constants!$B$3,TRUE(),IF(X451=Constants!$B$4,FALSE(),FALSE())))</f>
        <v/>
      </c>
      <c r="AZ451" s="133" t="str">
        <f aca="false">IF(ISBLANK($C451),"",MIN(Constants!$B$31,MAX(0,IF(ISNUMBER(Y451),Y451*60,0)+IF(ISNUMBER(Z451),Z451,0))))</f>
        <v/>
      </c>
      <c r="BA451" s="133" t="str">
        <f aca="false">IF(ISBLANK($C451),"",IF(AA451=Constants!$B$3,TRUE(),IF(AA451=Constants!$B$4,FALSE(),FALSE())))</f>
        <v/>
      </c>
      <c r="BB451" s="132" t="str">
        <f aca="false">IF(ISBLANK($C451),"",AND($AL451,OR($AM451="",$AN451="",AND($AO451,$AP451=""))))</f>
        <v/>
      </c>
      <c r="BC451" s="135" t="str">
        <f aca="false">IF($BR451&lt;&gt;Constants!$B$8,"",IF($AL451,Constants!$B$21*$AN451+Constants!$B$22*IF($AO451,$AP451,Constants!$B$23),Constants!$B$24))</f>
        <v/>
      </c>
      <c r="BD451" s="136" t="str">
        <f aca="false">IF($BR451&lt;&gt;Constants!$B$8,"",Constants!$B$25*ABS($AD$9-IF($AL451,$AM451,0)))</f>
        <v/>
      </c>
      <c r="BE451" s="136" t="str">
        <f aca="false">IF($BR451&lt;&gt;Constants!$B$8,"",IF(AND($AL451,$AQ451,$AO451),Constants!$B$27,0))</f>
        <v/>
      </c>
      <c r="BF451" s="136" t="str">
        <f aca="false">IF($BR451&lt;&gt;Constants!$B$8,"",IF($AL451,($AI451-Constants!$B$29)*Constants!$B$28,0))</f>
        <v/>
      </c>
      <c r="BG451" s="136" t="str">
        <f aca="false">IF($BR451&lt;&gt;Constants!$B$8,"",IF($AK451,0,Constants!$B$15)+IF($AJ451,0,Constants!$B$16)+IF($AH451,0,Constants!$B$17))</f>
        <v/>
      </c>
      <c r="BH451" s="137" t="str">
        <f aca="false">IF($BR451&lt;&gt;Constants!$B$8,"",Constants!$B$20+SUM($BC451:$BG451))</f>
        <v/>
      </c>
      <c r="BI451" s="133" t="str">
        <f aca="false">IF($BR451&lt;&gt;Constants!$B$8,"",IF(OR($BP451&lt;$BH451,AND($BP451=$BH451,OR($BK451&lt;$BC451,AND($BK451=$BC451,OR($BL451&lt;$BD451,AND($BL451=$BD451,$AT451,$AL451,$AV451&lt;$AN451)))))),"-&gt;","&lt;-"))</f>
        <v/>
      </c>
      <c r="BJ451" s="132" t="str">
        <f aca="false">IF(ISBLANK($C451),"",AND($AT451,OR($AU451="",$AV451="",AND($AW451,$AX451=""))))</f>
        <v/>
      </c>
      <c r="BK451" s="135" t="str">
        <f aca="false">IF($BR451&lt;&gt;Constants!$B$8,"",IF($AT451,Constants!$B$21*$AV451+Constants!$B$22*IF($AW451,$AX451,Constants!$B$23),Constants!$B$24))</f>
        <v/>
      </c>
      <c r="BL451" s="136" t="str">
        <f aca="false">IF($BR451&lt;&gt;Constants!$B$8,"",Constants!$B$25*ABS($AD$9-IF($AT451,$AU451,0)))</f>
        <v/>
      </c>
      <c r="BM451" s="136" t="str">
        <f aca="false">IF($BR451&lt;&gt;Constants!$B$8,"",IF(AND($AT451,$AY451,$AW451),Constants!$B$27,0))</f>
        <v/>
      </c>
      <c r="BN451" s="136" t="str">
        <f aca="false">IF($BR451&lt;&gt;Constants!$B$8,"",IF($AT451,($AI451-Constants!$B$29)*Constants!$B$28,0))</f>
        <v/>
      </c>
      <c r="BO451" s="136" t="str">
        <f aca="false">IF($BR451&lt;&gt;Constants!$B$8,"",IF($AS451,0,Constants!$B$15)+IF($AR451,0,Constants!$B$16)+IF($AH451,0,Constants!$B$17))</f>
        <v/>
      </c>
      <c r="BP451" s="137" t="str">
        <f aca="false">IF($BR451&lt;&gt;Constants!$B$8,"",Constants!$B$20+SUM($BK451:$BO451))</f>
        <v/>
      </c>
      <c r="BQ451" s="133" t="str">
        <f aca="false">IF(ISBLANK($C451),"",IF(ISBLANK($D$7),$BQ$5,IF(NOT(ISNUMBER($D$7)),$BQ$6,"")))</f>
        <v/>
      </c>
      <c r="BR451" s="133" t="str">
        <f aca="false">IF(ISBLANK($C451),"",IF($BA451,Constants!$B$11,IF(COUNTA($E451:$AA451)=0,Constants!$B$10,IF(NOT($AG451),Constants!$B$9,IF(OR($BQ451&lt;&gt;"",$BB451,$BJ451),Constants!$B$12,Constants!$B$8)))))</f>
        <v/>
      </c>
      <c r="BS451" s="133" t="str">
        <f aca="false">IF(ISBLANK($C451),"",IF($BR451&lt;&gt;Constants!$B$8,$BR451,Constants!$B$13))</f>
        <v/>
      </c>
      <c r="BT451" s="136" t="str">
        <f aca="false">IF($BR451&lt;&gt;Constants!$B$8,"",IF($BI451="-&gt;",$BP451,$BH451))</f>
        <v/>
      </c>
      <c r="BU451" s="136" t="str">
        <f aca="false">IF($BR451&lt;&gt;Constants!$B$8,"",IF($AF451,0,Constants!$B$18))</f>
        <v/>
      </c>
      <c r="BV451" s="136" t="str">
        <f aca="false">IF($BR451&lt;&gt;Constants!$B$8,"",((Constants!$B$31-$AZ451)-Constants!$B$31)/Constants!$B$32)</f>
        <v/>
      </c>
      <c r="BW451" s="136" t="str">
        <f aca="false">IF(ISBLANK($C451),"",IF($BR451&lt;&gt;Constants!$B$8,$BR451,SUM($BT451:$BV451)))</f>
        <v/>
      </c>
      <c r="BX451" s="133" t="str">
        <f aca="false">IF(ISBLANK($C451),"",IF($BR451&lt;&gt;Constants!$B$8,$BR451,RANK($BW451,$BW$9:$BW$508,1)))</f>
        <v/>
      </c>
      <c r="BY451" s="136" t="str">
        <f aca="false">IF($BR451&lt;&gt;Constants!$B$8,"",IF($BI451="-&gt;",$BK451,$BC451))</f>
        <v/>
      </c>
      <c r="BZ451" s="133" t="str">
        <f aca="false">IF(ISBLANK($C451),"",IF($BR451&lt;&gt;Constants!$B$8,$BR451,IF(ISNUMBER($BY451),RANK($BY451,$BY$9:$BY$508,1),COUNT($BY$9:$BY$508)+1)))</f>
        <v/>
      </c>
      <c r="CA451" s="136" t="str">
        <f aca="false">IF($BR451&lt;&gt;Constants!$B$8,"",IF($BI451="-&gt;",$BL451,$BD451))</f>
        <v/>
      </c>
      <c r="CB451" s="133" t="str">
        <f aca="false">IF(ISBLANK($C451),"",IF($BR451&lt;&gt;Constants!$B$8,$BR451,IF(ISNUMBER($CA451),RANK($CA451,$CA$9:$CA$508,1),COUNT($CA$9:$CA$508)+1)))</f>
        <v/>
      </c>
      <c r="CC451" s="136" t="str">
        <f aca="false">IF($BR451&lt;&gt;Constants!$B$8,"",IF($BI451="-&gt;",IF($AT451,$AV451,""),IF($AL451,$AN451,"")))</f>
        <v/>
      </c>
      <c r="CD451" s="133" t="str">
        <f aca="false">IF(ISBLANK($C451),"",IF($BR451&lt;&gt;Constants!$B$8,$BR451,IF(ISNUMBER($CC451),RANK($CC451,$CC$9:$CC$508,1),COUNT($CC$9:$CC$508)+1)))</f>
        <v/>
      </c>
      <c r="CE451" s="136" t="str">
        <f aca="false">IF($BR451&lt;&gt;Constants!$B$8,"",IF(AND(NOT($AL451),NOT($AT451),$AJ451,$AK451,$AR451,$AS451),"",$AI451))</f>
        <v/>
      </c>
      <c r="CF451" s="133" t="str">
        <f aca="false">IF(ISBLANK($C451),"",IF($BR451&lt;&gt;Constants!$B$8,$BR451,IF(ISNUMBER($CE451),RANK($CE451,$CE$9:$CE$508,1),COUNT($CE$9:$CE$508)+1)))</f>
        <v/>
      </c>
      <c r="CG451" s="133" t="str">
        <f aca="false">IF(ISBLANK($C451),"",IF($BR451&lt;&gt;Constants!$B$8,$BR451,COUNTIFS($BX$9:$BX$508,"&lt;"&amp;$BX451)+COUNTIFS($BX$9:$BX$508,$BX451,$BZ$9:$BZ$508,"&lt;"&amp;$BZ451)+COUNTIFS($BX$9:$BX$508,$BX451,$BZ$9:$BZ$508,$BZ451,$CB$9:$CB$508,"&lt;"&amp;$CB451)+COUNTIFS($BX$9:$BX$508,$BX451,$BZ$9:$BZ$508,$BZ451,$CB$9:$CB$508,$CB451,$CD$9:$CD$508,"&lt;"&amp;$CD451)+COUNTIFS($BX$9:$BX$508,$BX451,$BZ$9:$BZ$508,$BZ451,$CB$9:$CB$508,$CB451,$CD$9:$CD$508,$CD451,$CF$9:$CF$508,"&lt;"&amp;$CF451)+1))</f>
        <v/>
      </c>
      <c r="CH451" s="133" t="str">
        <f aca="false">IF(ISBLANK($C451),"",IF($BR451&lt;&gt;Constants!$B$8,$BR451,$BX451-$CG451))</f>
        <v/>
      </c>
      <c r="CI451" s="138"/>
      <c r="CJ451" s="139"/>
      <c r="CK451" s="140" t="str">
        <f aca="false">IF(ISBLANK($C451),"",IF($BR451=Constants!$B$12,$BQ451,""))</f>
        <v/>
      </c>
      <c r="CL451" s="139" t="str">
        <f aca="false">IF(ISBLANK($C451),"",IF($BR451&lt;&gt;Constants!$B$8,"",IF($BI451="-&gt;",2,1)))</f>
        <v/>
      </c>
      <c r="CM451" s="141" t="str">
        <f aca="false">IF(ISBLANK($C451),"",IF($BR451&lt;&gt;Constants!$B$8,"",IF($BI451="-&gt;",$BK451,$BC451)))</f>
        <v/>
      </c>
      <c r="CN451" s="141" t="str">
        <f aca="false">IF(ISBLANK($C451),"",IF($BR451&lt;&gt;Constants!$B$8,"",IF($BI451="-&gt;",$BL451,$BD451)))</f>
        <v/>
      </c>
      <c r="CO451" s="141" t="str">
        <f aca="false">IF(ISBLANK($C451),"",IF($BR451&lt;&gt;Constants!$B$8,"",IF($BI451="-&gt;",$BM451+$BN451,$BE451+$BF451)+$BV451))</f>
        <v/>
      </c>
      <c r="CP451" s="141" t="str">
        <f aca="false">IF(ISBLANK($C451),"",IF($BR451&lt;&gt;Constants!$B$8,"",IF($BI451="-&gt;",$BO451,$BG451)+$BU451))</f>
        <v/>
      </c>
      <c r="CQ451" s="142" t="str">
        <f aca="false">IF(ISBLANK($C451),"",IF($BR451&lt;&gt;Constants!$B$8,$BR451,$BW451))</f>
        <v/>
      </c>
      <c r="CR451" s="143" t="str">
        <f aca="false">IF(ISBLANK($C451),"",$BS451)</f>
        <v/>
      </c>
      <c r="CS451" s="144" t="str">
        <f aca="false">IF(ISBLANK($C451),"",$CH451)</f>
        <v/>
      </c>
      <c r="CT451" s="144" t="str">
        <f aca="false">IF(ISBLANK($C451),"",$CG451)</f>
        <v/>
      </c>
      <c r="CU451" s="145" t="str">
        <f aca="false">IF(ISBLANK($C451),"",IFERROR(_xlfn.SWITCH($CT451,Constants!$B$11,COUNTA($C$9:$C$508)+2,Constants!$B$10,COUNTA($C$9:$C$508)+1,Constants!$B$9,COUNTA($C$9:$C$508)),$CT451))</f>
        <v/>
      </c>
      <c r="CV451" s="9"/>
      <c r="CW451" s="146" t="n">
        <f aca="false">IF(OR(ISNUMBER($CT451),$CT451=Constants!$B$11,$CT451=Constants!$B$9,$CT451=Constants!$B$10),1,0)</f>
        <v>0</v>
      </c>
      <c r="CX451" s="146" t="n">
        <v>443</v>
      </c>
      <c r="CY451" s="146" t="str">
        <f aca="false">IF(ISBLANK($C451),"",IF(ISNUMBER($CU451),$CU451+ROW($B451)/1000,""))</f>
        <v/>
      </c>
      <c r="CZ451" s="146" t="str">
        <f aca="false">IF(ISNUMBER($CY451),RANK($CY451,$CY$9:$CY$508,1),"")</f>
        <v/>
      </c>
      <c r="DA451" s="146" t="str">
        <f aca="false">IF(ISBLANK($C451),"",$B451)</f>
        <v/>
      </c>
      <c r="DB451" s="146" t="str">
        <f aca="false">IF(ISBLANK($C451),"",$C451)</f>
        <v/>
      </c>
      <c r="DC451" s="146" t="str">
        <f aca="false">IF(ISBLANK($C451),"",$D451)</f>
        <v/>
      </c>
      <c r="DD451" s="147" t="str">
        <f aca="false">$CR451</f>
        <v/>
      </c>
      <c r="DE451" s="148" t="str">
        <f aca="false">$CQ451</f>
        <v/>
      </c>
      <c r="DF451" s="146" t="str">
        <f aca="false">IF(ISBLANK($C451),"",$CT451)</f>
        <v/>
      </c>
      <c r="DG451" s="149" t="str">
        <f aca="false">IF($CX451&gt;$CW$8,"",VLOOKUP($CX451,$CZ$9:$DF$508,7,FALSE()))</f>
        <v/>
      </c>
      <c r="DH451" s="150" t="str">
        <f aca="false">IF($CX451&gt;$CW$8,"",VLOOKUP($CX451,$CZ$9:$DF$508,2,FALSE()))</f>
        <v/>
      </c>
      <c r="DI451" s="150" t="str">
        <f aca="false">IF($CX451&gt;$CW$8,"",VLOOKUP($CX451,$CZ$9:$DF$508,3,FALSE()))</f>
        <v/>
      </c>
      <c r="DJ451" s="150" t="str">
        <f aca="false">IF($CX451&gt;$CW$8,"",VLOOKUP($CX451,$CZ$9:$DF$508,4,FALSE()))</f>
        <v/>
      </c>
      <c r="DK451" s="150" t="str">
        <f aca="false">IF($CX451&gt;$CW$8,"",VLOOKUP($CX451,$CZ$9:$DF$508,5,FALSE()))</f>
        <v/>
      </c>
      <c r="DL451" s="151" t="str">
        <f aca="false">IF($CX451&gt;$CW$8,"",VLOOKUP($CX451,$CZ$9:$DF$508,6,FALSE()))</f>
        <v/>
      </c>
      <c r="DM451" s="75"/>
    </row>
    <row r="452" customFormat="false" ht="15.75" hidden="false" customHeight="false" outlineLevel="0" collapsed="false">
      <c r="A452" s="9"/>
      <c r="B452" s="157"/>
      <c r="C452" s="158"/>
      <c r="D452" s="159"/>
      <c r="E452" s="177"/>
      <c r="F452" s="161"/>
      <c r="G452" s="162"/>
      <c r="H452" s="162"/>
      <c r="I452" s="178"/>
      <c r="J452" s="165"/>
      <c r="K452" s="126"/>
      <c r="L452" s="127"/>
      <c r="M452" s="128"/>
      <c r="N452" s="165"/>
      <c r="O452" s="165"/>
      <c r="P452" s="177"/>
      <c r="Q452" s="165"/>
      <c r="R452" s="165"/>
      <c r="S452" s="126"/>
      <c r="T452" s="128"/>
      <c r="U452" s="128"/>
      <c r="V452" s="165"/>
      <c r="W452" s="165"/>
      <c r="X452" s="177"/>
      <c r="Y452" s="165"/>
      <c r="Z452" s="166"/>
      <c r="AA452" s="165"/>
      <c r="AB452" s="132"/>
      <c r="AC452" s="133"/>
      <c r="AD452" s="133"/>
      <c r="AE452" s="133"/>
      <c r="AF452" s="133" t="str">
        <f aca="false">IF(ISBLANK($C452),"",IF(E452=Constants!$B$3,TRUE(),IF(E452=Constants!$B$4,FALSE(),TRUE())))</f>
        <v/>
      </c>
      <c r="AG452" s="133" t="str">
        <f aca="false">IF(ISBLANK($C452),"",IF(F452=Constants!$B$3,TRUE(),IF(F452=Constants!$B$4,FALSE(),TRUE())))</f>
        <v/>
      </c>
      <c r="AH452" s="133" t="str">
        <f aca="false">IF(ISBLANK($C452),"",IF(G452=Constants!$B$3,TRUE(),IF(G452=Constants!$B$4,FALSE(),TRUE())))</f>
        <v/>
      </c>
      <c r="AI452" s="133" t="str">
        <f aca="false">IF(ISBLANK($C452),"",IF(AND(ISNUMBER(H452),H452&gt;=0),H452,Constants!$B$29))</f>
        <v/>
      </c>
      <c r="AJ452" s="133" t="str">
        <f aca="false">IF(ISBLANK($C452),"",IF(I452=Constants!$B$3,TRUE(),IF(I452=Constants!$B$4,FALSE(),TRUE())))</f>
        <v/>
      </c>
      <c r="AK452" s="133" t="str">
        <f aca="false">IF(ISBLANK($C452),"",IF(J452=Constants!$B$3,TRUE(),IF(J452=Constants!$B$4,FALSE(),TRUE())))</f>
        <v/>
      </c>
      <c r="AL452" s="133" t="str">
        <f aca="false">IF(ISBLANK($C452),"",IF(K452=Constants!$B$5,TRUE(),IF(K452=Constants!$B$6,FALSE(),COUNTA(L452:P452)&gt;0)))</f>
        <v/>
      </c>
      <c r="AM452" s="134" t="str">
        <f aca="false">IF(ISBLANK($C452),"",IF(ISNUMBER(L452),IF(L452&gt;=0,L452,""),""))</f>
        <v/>
      </c>
      <c r="AN452" s="135" t="str">
        <f aca="false">IF(ISBLANK($C452),"",IF(ISNUMBER(M452),IF(M452&gt;=0,M452,""),""))</f>
        <v/>
      </c>
      <c r="AO452" s="135" t="str">
        <f aca="false">IF(ISBLANK($C452),"",IF(N452=Constants!$B$3,TRUE(),IF(N452=Constants!$B$4,FALSE(),TRUE())))</f>
        <v/>
      </c>
      <c r="AP452" s="133" t="str">
        <f aca="false">IF(ISBLANK($C452),"",IF(ISNUMBER(O452),IF(O452&gt;=0,O452,""),""))</f>
        <v/>
      </c>
      <c r="AQ452" s="133" t="str">
        <f aca="false">IF(ISBLANK($C452),"",IF(P452=Constants!$B$3,TRUE(),IF(P452=Constants!$B$4,FALSE(),FALSE())))</f>
        <v/>
      </c>
      <c r="AR452" s="133" t="str">
        <f aca="false">IF(ISBLANK($C452),"",IF(Q452=Constants!$B$3,TRUE(),IF(Q452=Constants!$B$4,FALSE(),TRUE())))</f>
        <v/>
      </c>
      <c r="AS452" s="133" t="str">
        <f aca="false">IF(ISBLANK($C452),"",IF(R452=Constants!$B$3,TRUE(),IF(R452=Constants!$B$4,FALSE(),TRUE())))</f>
        <v/>
      </c>
      <c r="AT452" s="133" t="str">
        <f aca="false">IF(ISBLANK($C452),"",IF(S452=Constants!$B$5,TRUE(),IF(S452=Constants!$B$6,FALSE(),COUNTA(T452:X452)&gt;0)))</f>
        <v/>
      </c>
      <c r="AU452" s="134" t="str">
        <f aca="false">IF(ISBLANK($C452),"",IF(ISNUMBER(T452),IF(T452&gt;=0,T452,""),""))</f>
        <v/>
      </c>
      <c r="AV452" s="135" t="str">
        <f aca="false">IF(ISBLANK($C452),"",IF(ISNUMBER(U452),IF(U452&gt;=0,U452,""),""))</f>
        <v/>
      </c>
      <c r="AW452" s="135" t="str">
        <f aca="false">IF(ISBLANK($C452),"",IF(V452=Constants!$B$3,TRUE(),IF(V452=Constants!$B$4,FALSE(),TRUE())))</f>
        <v/>
      </c>
      <c r="AX452" s="133" t="str">
        <f aca="false">IF(ISBLANK($C452),"",IF(ISNUMBER(W452),IF(W452&gt;=0,W452,""),""))</f>
        <v/>
      </c>
      <c r="AY452" s="133" t="str">
        <f aca="false">IF(ISBLANK($C452),"",IF(X452=Constants!$B$3,TRUE(),IF(X452=Constants!$B$4,FALSE(),FALSE())))</f>
        <v/>
      </c>
      <c r="AZ452" s="133" t="str">
        <f aca="false">IF(ISBLANK($C452),"",MIN(Constants!$B$31,MAX(0,IF(ISNUMBER(Y452),Y452*60,0)+IF(ISNUMBER(Z452),Z452,0))))</f>
        <v/>
      </c>
      <c r="BA452" s="133" t="str">
        <f aca="false">IF(ISBLANK($C452),"",IF(AA452=Constants!$B$3,TRUE(),IF(AA452=Constants!$B$4,FALSE(),FALSE())))</f>
        <v/>
      </c>
      <c r="BB452" s="132" t="str">
        <f aca="false">IF(ISBLANK($C452),"",AND($AL452,OR($AM452="",$AN452="",AND($AO452,$AP452=""))))</f>
        <v/>
      </c>
      <c r="BC452" s="135" t="str">
        <f aca="false">IF($BR452&lt;&gt;Constants!$B$8,"",IF($AL452,Constants!$B$21*$AN452+Constants!$B$22*IF($AO452,$AP452,Constants!$B$23),Constants!$B$24))</f>
        <v/>
      </c>
      <c r="BD452" s="136" t="str">
        <f aca="false">IF($BR452&lt;&gt;Constants!$B$8,"",Constants!$B$25*ABS($AD$9-IF($AL452,$AM452,0)))</f>
        <v/>
      </c>
      <c r="BE452" s="136" t="str">
        <f aca="false">IF($BR452&lt;&gt;Constants!$B$8,"",IF(AND($AL452,$AQ452,$AO452),Constants!$B$27,0))</f>
        <v/>
      </c>
      <c r="BF452" s="136" t="str">
        <f aca="false">IF($BR452&lt;&gt;Constants!$B$8,"",IF($AL452,($AI452-Constants!$B$29)*Constants!$B$28,0))</f>
        <v/>
      </c>
      <c r="BG452" s="136" t="str">
        <f aca="false">IF($BR452&lt;&gt;Constants!$B$8,"",IF($AK452,0,Constants!$B$15)+IF($AJ452,0,Constants!$B$16)+IF($AH452,0,Constants!$B$17))</f>
        <v/>
      </c>
      <c r="BH452" s="137" t="str">
        <f aca="false">IF($BR452&lt;&gt;Constants!$B$8,"",Constants!$B$20+SUM($BC452:$BG452))</f>
        <v/>
      </c>
      <c r="BI452" s="133" t="str">
        <f aca="false">IF($BR452&lt;&gt;Constants!$B$8,"",IF(OR($BP452&lt;$BH452,AND($BP452=$BH452,OR($BK452&lt;$BC452,AND($BK452=$BC452,OR($BL452&lt;$BD452,AND($BL452=$BD452,$AT452,$AL452,$AV452&lt;$AN452)))))),"-&gt;","&lt;-"))</f>
        <v/>
      </c>
      <c r="BJ452" s="132" t="str">
        <f aca="false">IF(ISBLANK($C452),"",AND($AT452,OR($AU452="",$AV452="",AND($AW452,$AX452=""))))</f>
        <v/>
      </c>
      <c r="BK452" s="135" t="str">
        <f aca="false">IF($BR452&lt;&gt;Constants!$B$8,"",IF($AT452,Constants!$B$21*$AV452+Constants!$B$22*IF($AW452,$AX452,Constants!$B$23),Constants!$B$24))</f>
        <v/>
      </c>
      <c r="BL452" s="136" t="str">
        <f aca="false">IF($BR452&lt;&gt;Constants!$B$8,"",Constants!$B$25*ABS($AD$9-IF($AT452,$AU452,0)))</f>
        <v/>
      </c>
      <c r="BM452" s="136" t="str">
        <f aca="false">IF($BR452&lt;&gt;Constants!$B$8,"",IF(AND($AT452,$AY452,$AW452),Constants!$B$27,0))</f>
        <v/>
      </c>
      <c r="BN452" s="136" t="str">
        <f aca="false">IF($BR452&lt;&gt;Constants!$B$8,"",IF($AT452,($AI452-Constants!$B$29)*Constants!$B$28,0))</f>
        <v/>
      </c>
      <c r="BO452" s="136" t="str">
        <f aca="false">IF($BR452&lt;&gt;Constants!$B$8,"",IF($AS452,0,Constants!$B$15)+IF($AR452,0,Constants!$B$16)+IF($AH452,0,Constants!$B$17))</f>
        <v/>
      </c>
      <c r="BP452" s="137" t="str">
        <f aca="false">IF($BR452&lt;&gt;Constants!$B$8,"",Constants!$B$20+SUM($BK452:$BO452))</f>
        <v/>
      </c>
      <c r="BQ452" s="133" t="str">
        <f aca="false">IF(ISBLANK($C452),"",IF(ISBLANK($D$7),$BQ$5,IF(NOT(ISNUMBER($D$7)),$BQ$6,"")))</f>
        <v/>
      </c>
      <c r="BR452" s="133" t="str">
        <f aca="false">IF(ISBLANK($C452),"",IF($BA452,Constants!$B$11,IF(COUNTA($E452:$AA452)=0,Constants!$B$10,IF(NOT($AG452),Constants!$B$9,IF(OR($BQ452&lt;&gt;"",$BB452,$BJ452),Constants!$B$12,Constants!$B$8)))))</f>
        <v/>
      </c>
      <c r="BS452" s="133" t="str">
        <f aca="false">IF(ISBLANK($C452),"",IF($BR452&lt;&gt;Constants!$B$8,$BR452,Constants!$B$13))</f>
        <v/>
      </c>
      <c r="BT452" s="136" t="str">
        <f aca="false">IF($BR452&lt;&gt;Constants!$B$8,"",IF($BI452="-&gt;",$BP452,$BH452))</f>
        <v/>
      </c>
      <c r="BU452" s="136" t="str">
        <f aca="false">IF($BR452&lt;&gt;Constants!$B$8,"",IF($AF452,0,Constants!$B$18))</f>
        <v/>
      </c>
      <c r="BV452" s="136" t="str">
        <f aca="false">IF($BR452&lt;&gt;Constants!$B$8,"",((Constants!$B$31-$AZ452)-Constants!$B$31)/Constants!$B$32)</f>
        <v/>
      </c>
      <c r="BW452" s="136" t="str">
        <f aca="false">IF(ISBLANK($C452),"",IF($BR452&lt;&gt;Constants!$B$8,$BR452,SUM($BT452:$BV452)))</f>
        <v/>
      </c>
      <c r="BX452" s="133" t="str">
        <f aca="false">IF(ISBLANK($C452),"",IF($BR452&lt;&gt;Constants!$B$8,$BR452,RANK($BW452,$BW$9:$BW$508,1)))</f>
        <v/>
      </c>
      <c r="BY452" s="136" t="str">
        <f aca="false">IF($BR452&lt;&gt;Constants!$B$8,"",IF($BI452="-&gt;",$BK452,$BC452))</f>
        <v/>
      </c>
      <c r="BZ452" s="133" t="str">
        <f aca="false">IF(ISBLANK($C452),"",IF($BR452&lt;&gt;Constants!$B$8,$BR452,IF(ISNUMBER($BY452),RANK($BY452,$BY$9:$BY$508,1),COUNT($BY$9:$BY$508)+1)))</f>
        <v/>
      </c>
      <c r="CA452" s="136" t="str">
        <f aca="false">IF($BR452&lt;&gt;Constants!$B$8,"",IF($BI452="-&gt;",$BL452,$BD452))</f>
        <v/>
      </c>
      <c r="CB452" s="133" t="str">
        <f aca="false">IF(ISBLANK($C452),"",IF($BR452&lt;&gt;Constants!$B$8,$BR452,IF(ISNUMBER($CA452),RANK($CA452,$CA$9:$CA$508,1),COUNT($CA$9:$CA$508)+1)))</f>
        <v/>
      </c>
      <c r="CC452" s="136" t="str">
        <f aca="false">IF($BR452&lt;&gt;Constants!$B$8,"",IF($BI452="-&gt;",IF($AT452,$AV452,""),IF($AL452,$AN452,"")))</f>
        <v/>
      </c>
      <c r="CD452" s="133" t="str">
        <f aca="false">IF(ISBLANK($C452),"",IF($BR452&lt;&gt;Constants!$B$8,$BR452,IF(ISNUMBER($CC452),RANK($CC452,$CC$9:$CC$508,1),COUNT($CC$9:$CC$508)+1)))</f>
        <v/>
      </c>
      <c r="CE452" s="136" t="str">
        <f aca="false">IF($BR452&lt;&gt;Constants!$B$8,"",IF(AND(NOT($AL452),NOT($AT452),$AJ452,$AK452,$AR452,$AS452),"",$AI452))</f>
        <v/>
      </c>
      <c r="CF452" s="133" t="str">
        <f aca="false">IF(ISBLANK($C452),"",IF($BR452&lt;&gt;Constants!$B$8,$BR452,IF(ISNUMBER($CE452),RANK($CE452,$CE$9:$CE$508,1),COUNT($CE$9:$CE$508)+1)))</f>
        <v/>
      </c>
      <c r="CG452" s="133" t="str">
        <f aca="false">IF(ISBLANK($C452),"",IF($BR452&lt;&gt;Constants!$B$8,$BR452,COUNTIFS($BX$9:$BX$508,"&lt;"&amp;$BX452)+COUNTIFS($BX$9:$BX$508,$BX452,$BZ$9:$BZ$508,"&lt;"&amp;$BZ452)+COUNTIFS($BX$9:$BX$508,$BX452,$BZ$9:$BZ$508,$BZ452,$CB$9:$CB$508,"&lt;"&amp;$CB452)+COUNTIFS($BX$9:$BX$508,$BX452,$BZ$9:$BZ$508,$BZ452,$CB$9:$CB$508,$CB452,$CD$9:$CD$508,"&lt;"&amp;$CD452)+COUNTIFS($BX$9:$BX$508,$BX452,$BZ$9:$BZ$508,$BZ452,$CB$9:$CB$508,$CB452,$CD$9:$CD$508,$CD452,$CF$9:$CF$508,"&lt;"&amp;$CF452)+1))</f>
        <v/>
      </c>
      <c r="CH452" s="133" t="str">
        <f aca="false">IF(ISBLANK($C452),"",IF($BR452&lt;&gt;Constants!$B$8,$BR452,$BX452-$CG452))</f>
        <v/>
      </c>
      <c r="CI452" s="138"/>
      <c r="CJ452" s="139"/>
      <c r="CK452" s="140" t="str">
        <f aca="false">IF(ISBLANK($C452),"",IF($BR452=Constants!$B$12,$BQ452,""))</f>
        <v/>
      </c>
      <c r="CL452" s="139" t="str">
        <f aca="false">IF(ISBLANK($C452),"",IF($BR452&lt;&gt;Constants!$B$8,"",IF($BI452="-&gt;",2,1)))</f>
        <v/>
      </c>
      <c r="CM452" s="141" t="str">
        <f aca="false">IF(ISBLANK($C452),"",IF($BR452&lt;&gt;Constants!$B$8,"",IF($BI452="-&gt;",$BK452,$BC452)))</f>
        <v/>
      </c>
      <c r="CN452" s="141" t="str">
        <f aca="false">IF(ISBLANK($C452),"",IF($BR452&lt;&gt;Constants!$B$8,"",IF($BI452="-&gt;",$BL452,$BD452)))</f>
        <v/>
      </c>
      <c r="CO452" s="141" t="str">
        <f aca="false">IF(ISBLANK($C452),"",IF($BR452&lt;&gt;Constants!$B$8,"",IF($BI452="-&gt;",$BM452+$BN452,$BE452+$BF452)+$BV452))</f>
        <v/>
      </c>
      <c r="CP452" s="141" t="str">
        <f aca="false">IF(ISBLANK($C452),"",IF($BR452&lt;&gt;Constants!$B$8,"",IF($BI452="-&gt;",$BO452,$BG452)+$BU452))</f>
        <v/>
      </c>
      <c r="CQ452" s="142" t="str">
        <f aca="false">IF(ISBLANK($C452),"",IF($BR452&lt;&gt;Constants!$B$8,$BR452,$BW452))</f>
        <v/>
      </c>
      <c r="CR452" s="143" t="str">
        <f aca="false">IF(ISBLANK($C452),"",$BS452)</f>
        <v/>
      </c>
      <c r="CS452" s="144" t="str">
        <f aca="false">IF(ISBLANK($C452),"",$CH452)</f>
        <v/>
      </c>
      <c r="CT452" s="144" t="str">
        <f aca="false">IF(ISBLANK($C452),"",$CG452)</f>
        <v/>
      </c>
      <c r="CU452" s="145" t="str">
        <f aca="false">IF(ISBLANK($C452),"",IFERROR(_xlfn.SWITCH($CT452,Constants!$B$11,COUNTA($C$9:$C$508)+2,Constants!$B$10,COUNTA($C$9:$C$508)+1,Constants!$B$9,COUNTA($C$9:$C$508)),$CT452))</f>
        <v/>
      </c>
      <c r="CV452" s="9"/>
      <c r="CW452" s="146" t="n">
        <f aca="false">IF(OR(ISNUMBER($CT452),$CT452=Constants!$B$11,$CT452=Constants!$B$9,$CT452=Constants!$B$10),1,0)</f>
        <v>0</v>
      </c>
      <c r="CX452" s="146" t="n">
        <v>444</v>
      </c>
      <c r="CY452" s="146" t="str">
        <f aca="false">IF(ISBLANK($C452),"",IF(ISNUMBER($CU452),$CU452+ROW($B452)/1000,""))</f>
        <v/>
      </c>
      <c r="CZ452" s="146" t="str">
        <f aca="false">IF(ISNUMBER($CY452),RANK($CY452,$CY$9:$CY$508,1),"")</f>
        <v/>
      </c>
      <c r="DA452" s="146" t="str">
        <f aca="false">IF(ISBLANK($C452),"",$B452)</f>
        <v/>
      </c>
      <c r="DB452" s="146" t="str">
        <f aca="false">IF(ISBLANK($C452),"",$C452)</f>
        <v/>
      </c>
      <c r="DC452" s="146" t="str">
        <f aca="false">IF(ISBLANK($C452),"",$D452)</f>
        <v/>
      </c>
      <c r="DD452" s="147" t="str">
        <f aca="false">$CR452</f>
        <v/>
      </c>
      <c r="DE452" s="148" t="str">
        <f aca="false">$CQ452</f>
        <v/>
      </c>
      <c r="DF452" s="146" t="str">
        <f aca="false">IF(ISBLANK($C452),"",$CT452)</f>
        <v/>
      </c>
      <c r="DG452" s="149" t="str">
        <f aca="false">IF($CX452&gt;$CW$8,"",VLOOKUP($CX452,$CZ$9:$DF$508,7,FALSE()))</f>
        <v/>
      </c>
      <c r="DH452" s="150" t="str">
        <f aca="false">IF($CX452&gt;$CW$8,"",VLOOKUP($CX452,$CZ$9:$DF$508,2,FALSE()))</f>
        <v/>
      </c>
      <c r="DI452" s="150" t="str">
        <f aca="false">IF($CX452&gt;$CW$8,"",VLOOKUP($CX452,$CZ$9:$DF$508,3,FALSE()))</f>
        <v/>
      </c>
      <c r="DJ452" s="150" t="str">
        <f aca="false">IF($CX452&gt;$CW$8,"",VLOOKUP($CX452,$CZ$9:$DF$508,4,FALSE()))</f>
        <v/>
      </c>
      <c r="DK452" s="150" t="str">
        <f aca="false">IF($CX452&gt;$CW$8,"",VLOOKUP($CX452,$CZ$9:$DF$508,5,FALSE()))</f>
        <v/>
      </c>
      <c r="DL452" s="151" t="str">
        <f aca="false">IF($CX452&gt;$CW$8,"",VLOOKUP($CX452,$CZ$9:$DF$508,6,FALSE()))</f>
        <v/>
      </c>
      <c r="DM452" s="75"/>
    </row>
    <row r="453" customFormat="false" ht="15.75" hidden="false" customHeight="false" outlineLevel="0" collapsed="false">
      <c r="A453" s="9"/>
      <c r="B453" s="77"/>
      <c r="C453" s="78"/>
      <c r="D453" s="167"/>
      <c r="E453" s="175"/>
      <c r="F453" s="169"/>
      <c r="G453" s="170"/>
      <c r="H453" s="170"/>
      <c r="I453" s="176"/>
      <c r="J453" s="173"/>
      <c r="K453" s="85"/>
      <c r="L453" s="86"/>
      <c r="M453" s="87"/>
      <c r="N453" s="173"/>
      <c r="O453" s="173"/>
      <c r="P453" s="175"/>
      <c r="Q453" s="173"/>
      <c r="R453" s="173"/>
      <c r="S453" s="85"/>
      <c r="T453" s="87"/>
      <c r="U453" s="87"/>
      <c r="V453" s="173"/>
      <c r="W453" s="173"/>
      <c r="X453" s="175"/>
      <c r="Y453" s="173"/>
      <c r="Z453" s="174"/>
      <c r="AA453" s="173"/>
      <c r="AB453" s="91"/>
      <c r="AC453" s="92"/>
      <c r="AD453" s="92"/>
      <c r="AE453" s="92"/>
      <c r="AF453" s="92" t="str">
        <f aca="false">IF(ISBLANK($C453),"",IF(E453=Constants!$B$3,TRUE(),IF(E453=Constants!$B$4,FALSE(),TRUE())))</f>
        <v/>
      </c>
      <c r="AG453" s="92" t="str">
        <f aca="false">IF(ISBLANK($C453),"",IF(F453=Constants!$B$3,TRUE(),IF(F453=Constants!$B$4,FALSE(),TRUE())))</f>
        <v/>
      </c>
      <c r="AH453" s="92" t="str">
        <f aca="false">IF(ISBLANK($C453),"",IF(G453=Constants!$B$3,TRUE(),IF(G453=Constants!$B$4,FALSE(),TRUE())))</f>
        <v/>
      </c>
      <c r="AI453" s="92" t="str">
        <f aca="false">IF(ISBLANK($C453),"",IF(AND(ISNUMBER(H453),H453&gt;=0),H453,Constants!$B$29))</f>
        <v/>
      </c>
      <c r="AJ453" s="92" t="str">
        <f aca="false">IF(ISBLANK($C453),"",IF(I453=Constants!$B$3,TRUE(),IF(I453=Constants!$B$4,FALSE(),TRUE())))</f>
        <v/>
      </c>
      <c r="AK453" s="92" t="str">
        <f aca="false">IF(ISBLANK($C453),"",IF(J453=Constants!$B$3,TRUE(),IF(J453=Constants!$B$4,FALSE(),TRUE())))</f>
        <v/>
      </c>
      <c r="AL453" s="92" t="str">
        <f aca="false">IF(ISBLANK($C453),"",IF(K453=Constants!$B$5,TRUE(),IF(K453=Constants!$B$6,FALSE(),COUNTA(L453:P453)&gt;0)))</f>
        <v/>
      </c>
      <c r="AM453" s="94" t="str">
        <f aca="false">IF(ISBLANK($C453),"",IF(ISNUMBER(L453),IF(L453&gt;=0,L453,""),""))</f>
        <v/>
      </c>
      <c r="AN453" s="93" t="str">
        <f aca="false">IF(ISBLANK($C453),"",IF(ISNUMBER(M453),IF(M453&gt;=0,M453,""),""))</f>
        <v/>
      </c>
      <c r="AO453" s="93" t="str">
        <f aca="false">IF(ISBLANK($C453),"",IF(N453=Constants!$B$3,TRUE(),IF(N453=Constants!$B$4,FALSE(),TRUE())))</f>
        <v/>
      </c>
      <c r="AP453" s="92" t="str">
        <f aca="false">IF(ISBLANK($C453),"",IF(ISNUMBER(O453),IF(O453&gt;=0,O453,""),""))</f>
        <v/>
      </c>
      <c r="AQ453" s="92" t="str">
        <f aca="false">IF(ISBLANK($C453),"",IF(P453=Constants!$B$3,TRUE(),IF(P453=Constants!$B$4,FALSE(),FALSE())))</f>
        <v/>
      </c>
      <c r="AR453" s="92" t="str">
        <f aca="false">IF(ISBLANK($C453),"",IF(Q453=Constants!$B$3,TRUE(),IF(Q453=Constants!$B$4,FALSE(),TRUE())))</f>
        <v/>
      </c>
      <c r="AS453" s="92" t="str">
        <f aca="false">IF(ISBLANK($C453),"",IF(R453=Constants!$B$3,TRUE(),IF(R453=Constants!$B$4,FALSE(),TRUE())))</f>
        <v/>
      </c>
      <c r="AT453" s="92" t="str">
        <f aca="false">IF(ISBLANK($C453),"",IF(S453=Constants!$B$5,TRUE(),IF(S453=Constants!$B$6,FALSE(),COUNTA(T453:X453)&gt;0)))</f>
        <v/>
      </c>
      <c r="AU453" s="94" t="str">
        <f aca="false">IF(ISBLANK($C453),"",IF(ISNUMBER(T453),IF(T453&gt;=0,T453,""),""))</f>
        <v/>
      </c>
      <c r="AV453" s="93" t="str">
        <f aca="false">IF(ISBLANK($C453),"",IF(ISNUMBER(U453),IF(U453&gt;=0,U453,""),""))</f>
        <v/>
      </c>
      <c r="AW453" s="93" t="str">
        <f aca="false">IF(ISBLANK($C453),"",IF(V453=Constants!$B$3,TRUE(),IF(V453=Constants!$B$4,FALSE(),TRUE())))</f>
        <v/>
      </c>
      <c r="AX453" s="92" t="str">
        <f aca="false">IF(ISBLANK($C453),"",IF(ISNUMBER(W453),IF(W453&gt;=0,W453,""),""))</f>
        <v/>
      </c>
      <c r="AY453" s="92" t="str">
        <f aca="false">IF(ISBLANK($C453),"",IF(X453=Constants!$B$3,TRUE(),IF(X453=Constants!$B$4,FALSE(),FALSE())))</f>
        <v/>
      </c>
      <c r="AZ453" s="92" t="str">
        <f aca="false">IF(ISBLANK($C453),"",MIN(Constants!$B$31,MAX(0,IF(ISNUMBER(Y453),Y453*60,0)+IF(ISNUMBER(Z453),Z453,0))))</f>
        <v/>
      </c>
      <c r="BA453" s="92" t="str">
        <f aca="false">IF(ISBLANK($C453),"",IF(AA453=Constants!$B$3,TRUE(),IF(AA453=Constants!$B$4,FALSE(),FALSE())))</f>
        <v/>
      </c>
      <c r="BB453" s="91" t="str">
        <f aca="false">IF(ISBLANK($C453),"",AND($AL453,OR($AM453="",$AN453="",AND($AO453,$AP453=""))))</f>
        <v/>
      </c>
      <c r="BC453" s="93" t="str">
        <f aca="false">IF($BR453&lt;&gt;Constants!$B$8,"",IF($AL453,Constants!$B$21*$AN453+Constants!$B$22*IF($AO453,$AP453,Constants!$B$23),Constants!$B$24))</f>
        <v/>
      </c>
      <c r="BD453" s="96" t="str">
        <f aca="false">IF($BR453&lt;&gt;Constants!$B$8,"",Constants!$B$25*ABS($AD$9-IF($AL453,$AM453,0)))</f>
        <v/>
      </c>
      <c r="BE453" s="96" t="str">
        <f aca="false">IF($BR453&lt;&gt;Constants!$B$8,"",IF(AND($AL453,$AQ453,$AO453),Constants!$B$27,0))</f>
        <v/>
      </c>
      <c r="BF453" s="96" t="str">
        <f aca="false">IF($BR453&lt;&gt;Constants!$B$8,"",IF($AL453,($AI453-Constants!$B$29)*Constants!$B$28,0))</f>
        <v/>
      </c>
      <c r="BG453" s="96" t="str">
        <f aca="false">IF($BR453&lt;&gt;Constants!$B$8,"",IF($AK453,0,Constants!$B$15)+IF($AJ453,0,Constants!$B$16)+IF($AH453,0,Constants!$B$17))</f>
        <v/>
      </c>
      <c r="BH453" s="97" t="str">
        <f aca="false">IF($BR453&lt;&gt;Constants!$B$8,"",Constants!$B$20+SUM($BC453:$BG453))</f>
        <v/>
      </c>
      <c r="BI453" s="92" t="str">
        <f aca="false">IF($BR453&lt;&gt;Constants!$B$8,"",IF(OR($BP453&lt;$BH453,AND($BP453=$BH453,OR($BK453&lt;$BC453,AND($BK453=$BC453,OR($BL453&lt;$BD453,AND($BL453=$BD453,$AT453,$AL453,$AV453&lt;$AN453)))))),"-&gt;","&lt;-"))</f>
        <v/>
      </c>
      <c r="BJ453" s="91" t="str">
        <f aca="false">IF(ISBLANK($C453),"",AND($AT453,OR($AU453="",$AV453="",AND($AW453,$AX453=""))))</f>
        <v/>
      </c>
      <c r="BK453" s="93" t="str">
        <f aca="false">IF($BR453&lt;&gt;Constants!$B$8,"",IF($AT453,Constants!$B$21*$AV453+Constants!$B$22*IF($AW453,$AX453,Constants!$B$23),Constants!$B$24))</f>
        <v/>
      </c>
      <c r="BL453" s="96" t="str">
        <f aca="false">IF($BR453&lt;&gt;Constants!$B$8,"",Constants!$B$25*ABS($AD$9-IF($AT453,$AU453,0)))</f>
        <v/>
      </c>
      <c r="BM453" s="96" t="str">
        <f aca="false">IF($BR453&lt;&gt;Constants!$B$8,"",IF(AND($AT453,$AY453,$AW453),Constants!$B$27,0))</f>
        <v/>
      </c>
      <c r="BN453" s="96" t="str">
        <f aca="false">IF($BR453&lt;&gt;Constants!$B$8,"",IF($AT453,($AI453-Constants!$B$29)*Constants!$B$28,0))</f>
        <v/>
      </c>
      <c r="BO453" s="96" t="str">
        <f aca="false">IF($BR453&lt;&gt;Constants!$B$8,"",IF($AS453,0,Constants!$B$15)+IF($AR453,0,Constants!$B$16)+IF($AH453,0,Constants!$B$17))</f>
        <v/>
      </c>
      <c r="BP453" s="97" t="str">
        <f aca="false">IF($BR453&lt;&gt;Constants!$B$8,"",Constants!$B$20+SUM($BK453:$BO453))</f>
        <v/>
      </c>
      <c r="BQ453" s="92" t="str">
        <f aca="false">IF(ISBLANK($C453),"",IF(ISBLANK($D$7),$BQ$5,IF(NOT(ISNUMBER($D$7)),$BQ$6,"")))</f>
        <v/>
      </c>
      <c r="BR453" s="92" t="str">
        <f aca="false">IF(ISBLANK($C453),"",IF($BA453,Constants!$B$11,IF(COUNTA($E453:$AA453)=0,Constants!$B$10,IF(NOT($AG453),Constants!$B$9,IF(OR($BQ453&lt;&gt;"",$BB453,$BJ453),Constants!$B$12,Constants!$B$8)))))</f>
        <v/>
      </c>
      <c r="BS453" s="92" t="str">
        <f aca="false">IF(ISBLANK($C453),"",IF($BR453&lt;&gt;Constants!$B$8,$BR453,Constants!$B$13))</f>
        <v/>
      </c>
      <c r="BT453" s="96" t="str">
        <f aca="false">IF($BR453&lt;&gt;Constants!$B$8,"",IF($BI453="-&gt;",$BP453,$BH453))</f>
        <v/>
      </c>
      <c r="BU453" s="96" t="str">
        <f aca="false">IF($BR453&lt;&gt;Constants!$B$8,"",IF($AF453,0,Constants!$B$18))</f>
        <v/>
      </c>
      <c r="BV453" s="96" t="str">
        <f aca="false">IF($BR453&lt;&gt;Constants!$B$8,"",((Constants!$B$31-$AZ453)-Constants!$B$31)/Constants!$B$32)</f>
        <v/>
      </c>
      <c r="BW453" s="96" t="str">
        <f aca="false">IF(ISBLANK($C453),"",IF($BR453&lt;&gt;Constants!$B$8,$BR453,SUM($BT453:$BV453)))</f>
        <v/>
      </c>
      <c r="BX453" s="92" t="str">
        <f aca="false">IF(ISBLANK($C453),"",IF($BR453&lt;&gt;Constants!$B$8,$BR453,RANK($BW453,$BW$9:$BW$508,1)))</f>
        <v/>
      </c>
      <c r="BY453" s="96" t="str">
        <f aca="false">IF($BR453&lt;&gt;Constants!$B$8,"",IF($BI453="-&gt;",$BK453,$BC453))</f>
        <v/>
      </c>
      <c r="BZ453" s="92" t="str">
        <f aca="false">IF(ISBLANK($C453),"",IF($BR453&lt;&gt;Constants!$B$8,$BR453,IF(ISNUMBER($BY453),RANK($BY453,$BY$9:$BY$508,1),COUNT($BY$9:$BY$508)+1)))</f>
        <v/>
      </c>
      <c r="CA453" s="96" t="str">
        <f aca="false">IF($BR453&lt;&gt;Constants!$B$8,"",IF($BI453="-&gt;",$BL453,$BD453))</f>
        <v/>
      </c>
      <c r="CB453" s="92" t="str">
        <f aca="false">IF(ISBLANK($C453),"",IF($BR453&lt;&gt;Constants!$B$8,$BR453,IF(ISNUMBER($CA453),RANK($CA453,$CA$9:$CA$508,1),COUNT($CA$9:$CA$508)+1)))</f>
        <v/>
      </c>
      <c r="CC453" s="96" t="str">
        <f aca="false">IF($BR453&lt;&gt;Constants!$B$8,"",IF($BI453="-&gt;",IF($AT453,$AV453,""),IF($AL453,$AN453,"")))</f>
        <v/>
      </c>
      <c r="CD453" s="92" t="str">
        <f aca="false">IF(ISBLANK($C453),"",IF($BR453&lt;&gt;Constants!$B$8,$BR453,IF(ISNUMBER($CC453),RANK($CC453,$CC$9:$CC$508,1),COUNT($CC$9:$CC$508)+1)))</f>
        <v/>
      </c>
      <c r="CE453" s="96" t="str">
        <f aca="false">IF($BR453&lt;&gt;Constants!$B$8,"",IF(AND(NOT($AL453),NOT($AT453),$AJ453,$AK453,$AR453,$AS453),"",$AI453))</f>
        <v/>
      </c>
      <c r="CF453" s="92" t="str">
        <f aca="false">IF(ISBLANK($C453),"",IF($BR453&lt;&gt;Constants!$B$8,$BR453,IF(ISNUMBER($CE453),RANK($CE453,$CE$9:$CE$508,1),COUNT($CE$9:$CE$508)+1)))</f>
        <v/>
      </c>
      <c r="CG453" s="92" t="str">
        <f aca="false">IF(ISBLANK($C453),"",IF($BR453&lt;&gt;Constants!$B$8,$BR453,COUNTIFS($BX$9:$BX$508,"&lt;"&amp;$BX453)+COUNTIFS($BX$9:$BX$508,$BX453,$BZ$9:$BZ$508,"&lt;"&amp;$BZ453)+COUNTIFS($BX$9:$BX$508,$BX453,$BZ$9:$BZ$508,$BZ453,$CB$9:$CB$508,"&lt;"&amp;$CB453)+COUNTIFS($BX$9:$BX$508,$BX453,$BZ$9:$BZ$508,$BZ453,$CB$9:$CB$508,$CB453,$CD$9:$CD$508,"&lt;"&amp;$CD453)+COUNTIFS($BX$9:$BX$508,$BX453,$BZ$9:$BZ$508,$BZ453,$CB$9:$CB$508,$CB453,$CD$9:$CD$508,$CD453,$CF$9:$CF$508,"&lt;"&amp;$CF453)+1))</f>
        <v/>
      </c>
      <c r="CH453" s="92" t="str">
        <f aca="false">IF(ISBLANK($C453),"",IF($BR453&lt;&gt;Constants!$B$8,$BR453,$BX453-$CG453))</f>
        <v/>
      </c>
      <c r="CI453" s="98"/>
      <c r="CJ453" s="99"/>
      <c r="CK453" s="100" t="str">
        <f aca="false">IF(ISBLANK($C453),"",IF($BR453=Constants!$B$12,$BQ453,""))</f>
        <v/>
      </c>
      <c r="CL453" s="99" t="str">
        <f aca="false">IF(ISBLANK($C453),"",IF($BR453&lt;&gt;Constants!$B$8,"",IF($BI453="-&gt;",2,1)))</f>
        <v/>
      </c>
      <c r="CM453" s="101" t="str">
        <f aca="false">IF(ISBLANK($C453),"",IF($BR453&lt;&gt;Constants!$B$8,"",IF($BI453="-&gt;",$BK453,$BC453)))</f>
        <v/>
      </c>
      <c r="CN453" s="101" t="str">
        <f aca="false">IF(ISBLANK($C453),"",IF($BR453&lt;&gt;Constants!$B$8,"",IF($BI453="-&gt;",$BL453,$BD453)))</f>
        <v/>
      </c>
      <c r="CO453" s="101" t="str">
        <f aca="false">IF(ISBLANK($C453),"",IF($BR453&lt;&gt;Constants!$B$8,"",IF($BI453="-&gt;",$BM453+$BN453,$BE453+$BF453)+$BV453))</f>
        <v/>
      </c>
      <c r="CP453" s="101" t="str">
        <f aca="false">IF(ISBLANK($C453),"",IF($BR453&lt;&gt;Constants!$B$8,"",IF($BI453="-&gt;",$BO453,$BG453)+$BU453))</f>
        <v/>
      </c>
      <c r="CQ453" s="102" t="str">
        <f aca="false">IF(ISBLANK($C453),"",IF($BR453&lt;&gt;Constants!$B$8,$BR453,$BW453))</f>
        <v/>
      </c>
      <c r="CR453" s="103" t="str">
        <f aca="false">IF(ISBLANK($C453),"",$BS453)</f>
        <v/>
      </c>
      <c r="CS453" s="104" t="str">
        <f aca="false">IF(ISBLANK($C453),"",$CH453)</f>
        <v/>
      </c>
      <c r="CT453" s="104" t="str">
        <f aca="false">IF(ISBLANK($C453),"",$CG453)</f>
        <v/>
      </c>
      <c r="CU453" s="105" t="str">
        <f aca="false">IF(ISBLANK($C453),"",IFERROR(_xlfn.SWITCH($CT453,Constants!$B$11,COUNTA($C$9:$C$508)+2,Constants!$B$10,COUNTA($C$9:$C$508)+1,Constants!$B$9,COUNTA($C$9:$C$508)),$CT453))</f>
        <v/>
      </c>
      <c r="CV453" s="9"/>
      <c r="CW453" s="106" t="n">
        <f aca="false">IF(OR(ISNUMBER($CT453),$CT453=Constants!$B$11,$CT453=Constants!$B$9,$CT453=Constants!$B$10),1,0)</f>
        <v>0</v>
      </c>
      <c r="CX453" s="106" t="n">
        <v>445</v>
      </c>
      <c r="CY453" s="106" t="str">
        <f aca="false">IF(ISBLANK($C453),"",IF(ISNUMBER($CU453),$CU453+ROW($B453)/1000,""))</f>
        <v/>
      </c>
      <c r="CZ453" s="106" t="str">
        <f aca="false">IF(ISNUMBER($CY453),RANK($CY453,$CY$9:$CY$508,1),"")</f>
        <v/>
      </c>
      <c r="DA453" s="106" t="str">
        <f aca="false">IF(ISBLANK($C453),"",$B453)</f>
        <v/>
      </c>
      <c r="DB453" s="106" t="str">
        <f aca="false">IF(ISBLANK($C453),"",$C453)</f>
        <v/>
      </c>
      <c r="DC453" s="106" t="str">
        <f aca="false">IF(ISBLANK($C453),"",$D453)</f>
        <v/>
      </c>
      <c r="DD453" s="107" t="str">
        <f aca="false">$CR453</f>
        <v/>
      </c>
      <c r="DE453" s="108" t="str">
        <f aca="false">$CQ453</f>
        <v/>
      </c>
      <c r="DF453" s="106" t="str">
        <f aca="false">IF(ISBLANK($C453),"",$CT453)</f>
        <v/>
      </c>
      <c r="DG453" s="109" t="str">
        <f aca="false">IF($CX453&gt;$CW$8,"",VLOOKUP($CX453,$CZ$9:$DF$508,7,FALSE()))</f>
        <v/>
      </c>
      <c r="DH453" s="110" t="str">
        <f aca="false">IF($CX453&gt;$CW$8,"",VLOOKUP($CX453,$CZ$9:$DF$508,2,FALSE()))</f>
        <v/>
      </c>
      <c r="DI453" s="110" t="str">
        <f aca="false">IF($CX453&gt;$CW$8,"",VLOOKUP($CX453,$CZ$9:$DF$508,3,FALSE()))</f>
        <v/>
      </c>
      <c r="DJ453" s="110" t="str">
        <f aca="false">IF($CX453&gt;$CW$8,"",VLOOKUP($CX453,$CZ$9:$DF$508,4,FALSE()))</f>
        <v/>
      </c>
      <c r="DK453" s="110" t="str">
        <f aca="false">IF($CX453&gt;$CW$8,"",VLOOKUP($CX453,$CZ$9:$DF$508,5,FALSE()))</f>
        <v/>
      </c>
      <c r="DL453" s="111" t="str">
        <f aca="false">IF($CX453&gt;$CW$8,"",VLOOKUP($CX453,$CZ$9:$DF$508,6,FALSE()))</f>
        <v/>
      </c>
      <c r="DM453" s="75"/>
    </row>
    <row r="454" customFormat="false" ht="15.75" hidden="false" customHeight="false" outlineLevel="0" collapsed="false">
      <c r="A454" s="9"/>
      <c r="B454" s="77"/>
      <c r="C454" s="78"/>
      <c r="D454" s="167"/>
      <c r="E454" s="175"/>
      <c r="F454" s="169"/>
      <c r="G454" s="170"/>
      <c r="H454" s="170"/>
      <c r="I454" s="176"/>
      <c r="J454" s="173"/>
      <c r="K454" s="85"/>
      <c r="L454" s="86"/>
      <c r="M454" s="87"/>
      <c r="N454" s="173"/>
      <c r="O454" s="173"/>
      <c r="P454" s="175"/>
      <c r="Q454" s="173"/>
      <c r="R454" s="173"/>
      <c r="S454" s="85"/>
      <c r="T454" s="87"/>
      <c r="U454" s="87"/>
      <c r="V454" s="173"/>
      <c r="W454" s="173"/>
      <c r="X454" s="175"/>
      <c r="Y454" s="173"/>
      <c r="Z454" s="174"/>
      <c r="AA454" s="173"/>
      <c r="AB454" s="91"/>
      <c r="AC454" s="92"/>
      <c r="AD454" s="92"/>
      <c r="AE454" s="92"/>
      <c r="AF454" s="92" t="str">
        <f aca="false">IF(ISBLANK($C454),"",IF(E454=Constants!$B$3,TRUE(),IF(E454=Constants!$B$4,FALSE(),TRUE())))</f>
        <v/>
      </c>
      <c r="AG454" s="92" t="str">
        <f aca="false">IF(ISBLANK($C454),"",IF(F454=Constants!$B$3,TRUE(),IF(F454=Constants!$B$4,FALSE(),TRUE())))</f>
        <v/>
      </c>
      <c r="AH454" s="92" t="str">
        <f aca="false">IF(ISBLANK($C454),"",IF(G454=Constants!$B$3,TRUE(),IF(G454=Constants!$B$4,FALSE(),TRUE())))</f>
        <v/>
      </c>
      <c r="AI454" s="92" t="str">
        <f aca="false">IF(ISBLANK($C454),"",IF(AND(ISNUMBER(H454),H454&gt;=0),H454,Constants!$B$29))</f>
        <v/>
      </c>
      <c r="AJ454" s="92" t="str">
        <f aca="false">IF(ISBLANK($C454),"",IF(I454=Constants!$B$3,TRUE(),IF(I454=Constants!$B$4,FALSE(),TRUE())))</f>
        <v/>
      </c>
      <c r="AK454" s="92" t="str">
        <f aca="false">IF(ISBLANK($C454),"",IF(J454=Constants!$B$3,TRUE(),IF(J454=Constants!$B$4,FALSE(),TRUE())))</f>
        <v/>
      </c>
      <c r="AL454" s="92" t="str">
        <f aca="false">IF(ISBLANK($C454),"",IF(K454=Constants!$B$5,TRUE(),IF(K454=Constants!$B$6,FALSE(),COUNTA(L454:P454)&gt;0)))</f>
        <v/>
      </c>
      <c r="AM454" s="94" t="str">
        <f aca="false">IF(ISBLANK($C454),"",IF(ISNUMBER(L454),IF(L454&gt;=0,L454,""),""))</f>
        <v/>
      </c>
      <c r="AN454" s="93" t="str">
        <f aca="false">IF(ISBLANK($C454),"",IF(ISNUMBER(M454),IF(M454&gt;=0,M454,""),""))</f>
        <v/>
      </c>
      <c r="AO454" s="93" t="str">
        <f aca="false">IF(ISBLANK($C454),"",IF(N454=Constants!$B$3,TRUE(),IF(N454=Constants!$B$4,FALSE(),TRUE())))</f>
        <v/>
      </c>
      <c r="AP454" s="92" t="str">
        <f aca="false">IF(ISBLANK($C454),"",IF(ISNUMBER(O454),IF(O454&gt;=0,O454,""),""))</f>
        <v/>
      </c>
      <c r="AQ454" s="92" t="str">
        <f aca="false">IF(ISBLANK($C454),"",IF(P454=Constants!$B$3,TRUE(),IF(P454=Constants!$B$4,FALSE(),FALSE())))</f>
        <v/>
      </c>
      <c r="AR454" s="92" t="str">
        <f aca="false">IF(ISBLANK($C454),"",IF(Q454=Constants!$B$3,TRUE(),IF(Q454=Constants!$B$4,FALSE(),TRUE())))</f>
        <v/>
      </c>
      <c r="AS454" s="92" t="str">
        <f aca="false">IF(ISBLANK($C454),"",IF(R454=Constants!$B$3,TRUE(),IF(R454=Constants!$B$4,FALSE(),TRUE())))</f>
        <v/>
      </c>
      <c r="AT454" s="92" t="str">
        <f aca="false">IF(ISBLANK($C454),"",IF(S454=Constants!$B$5,TRUE(),IF(S454=Constants!$B$6,FALSE(),COUNTA(T454:X454)&gt;0)))</f>
        <v/>
      </c>
      <c r="AU454" s="94" t="str">
        <f aca="false">IF(ISBLANK($C454),"",IF(ISNUMBER(T454),IF(T454&gt;=0,T454,""),""))</f>
        <v/>
      </c>
      <c r="AV454" s="93" t="str">
        <f aca="false">IF(ISBLANK($C454),"",IF(ISNUMBER(U454),IF(U454&gt;=0,U454,""),""))</f>
        <v/>
      </c>
      <c r="AW454" s="93" t="str">
        <f aca="false">IF(ISBLANK($C454),"",IF(V454=Constants!$B$3,TRUE(),IF(V454=Constants!$B$4,FALSE(),TRUE())))</f>
        <v/>
      </c>
      <c r="AX454" s="92" t="str">
        <f aca="false">IF(ISBLANK($C454),"",IF(ISNUMBER(W454),IF(W454&gt;=0,W454,""),""))</f>
        <v/>
      </c>
      <c r="AY454" s="92" t="str">
        <f aca="false">IF(ISBLANK($C454),"",IF(X454=Constants!$B$3,TRUE(),IF(X454=Constants!$B$4,FALSE(),FALSE())))</f>
        <v/>
      </c>
      <c r="AZ454" s="92" t="str">
        <f aca="false">IF(ISBLANK($C454),"",MIN(Constants!$B$31,MAX(0,IF(ISNUMBER(Y454),Y454*60,0)+IF(ISNUMBER(Z454),Z454,0))))</f>
        <v/>
      </c>
      <c r="BA454" s="92" t="str">
        <f aca="false">IF(ISBLANK($C454),"",IF(AA454=Constants!$B$3,TRUE(),IF(AA454=Constants!$B$4,FALSE(),FALSE())))</f>
        <v/>
      </c>
      <c r="BB454" s="91" t="str">
        <f aca="false">IF(ISBLANK($C454),"",AND($AL454,OR($AM454="",$AN454="",AND($AO454,$AP454=""))))</f>
        <v/>
      </c>
      <c r="BC454" s="93" t="str">
        <f aca="false">IF($BR454&lt;&gt;Constants!$B$8,"",IF($AL454,Constants!$B$21*$AN454+Constants!$B$22*IF($AO454,$AP454,Constants!$B$23),Constants!$B$24))</f>
        <v/>
      </c>
      <c r="BD454" s="96" t="str">
        <f aca="false">IF($BR454&lt;&gt;Constants!$B$8,"",Constants!$B$25*ABS($AD$9-IF($AL454,$AM454,0)))</f>
        <v/>
      </c>
      <c r="BE454" s="96" t="str">
        <f aca="false">IF($BR454&lt;&gt;Constants!$B$8,"",IF(AND($AL454,$AQ454,$AO454),Constants!$B$27,0))</f>
        <v/>
      </c>
      <c r="BF454" s="96" t="str">
        <f aca="false">IF($BR454&lt;&gt;Constants!$B$8,"",IF($AL454,($AI454-Constants!$B$29)*Constants!$B$28,0))</f>
        <v/>
      </c>
      <c r="BG454" s="96" t="str">
        <f aca="false">IF($BR454&lt;&gt;Constants!$B$8,"",IF($AK454,0,Constants!$B$15)+IF($AJ454,0,Constants!$B$16)+IF($AH454,0,Constants!$B$17))</f>
        <v/>
      </c>
      <c r="BH454" s="97" t="str">
        <f aca="false">IF($BR454&lt;&gt;Constants!$B$8,"",Constants!$B$20+SUM($BC454:$BG454))</f>
        <v/>
      </c>
      <c r="BI454" s="92" t="str">
        <f aca="false">IF($BR454&lt;&gt;Constants!$B$8,"",IF(OR($BP454&lt;$BH454,AND($BP454=$BH454,OR($BK454&lt;$BC454,AND($BK454=$BC454,OR($BL454&lt;$BD454,AND($BL454=$BD454,$AT454,$AL454,$AV454&lt;$AN454)))))),"-&gt;","&lt;-"))</f>
        <v/>
      </c>
      <c r="BJ454" s="91" t="str">
        <f aca="false">IF(ISBLANK($C454),"",AND($AT454,OR($AU454="",$AV454="",AND($AW454,$AX454=""))))</f>
        <v/>
      </c>
      <c r="BK454" s="93" t="str">
        <f aca="false">IF($BR454&lt;&gt;Constants!$B$8,"",IF($AT454,Constants!$B$21*$AV454+Constants!$B$22*IF($AW454,$AX454,Constants!$B$23),Constants!$B$24))</f>
        <v/>
      </c>
      <c r="BL454" s="96" t="str">
        <f aca="false">IF($BR454&lt;&gt;Constants!$B$8,"",Constants!$B$25*ABS($AD$9-IF($AT454,$AU454,0)))</f>
        <v/>
      </c>
      <c r="BM454" s="96" t="str">
        <f aca="false">IF($BR454&lt;&gt;Constants!$B$8,"",IF(AND($AT454,$AY454,$AW454),Constants!$B$27,0))</f>
        <v/>
      </c>
      <c r="BN454" s="96" t="str">
        <f aca="false">IF($BR454&lt;&gt;Constants!$B$8,"",IF($AT454,($AI454-Constants!$B$29)*Constants!$B$28,0))</f>
        <v/>
      </c>
      <c r="BO454" s="96" t="str">
        <f aca="false">IF($BR454&lt;&gt;Constants!$B$8,"",IF($AS454,0,Constants!$B$15)+IF($AR454,0,Constants!$B$16)+IF($AH454,0,Constants!$B$17))</f>
        <v/>
      </c>
      <c r="BP454" s="97" t="str">
        <f aca="false">IF($BR454&lt;&gt;Constants!$B$8,"",Constants!$B$20+SUM($BK454:$BO454))</f>
        <v/>
      </c>
      <c r="BQ454" s="92" t="str">
        <f aca="false">IF(ISBLANK($C454),"",IF(ISBLANK($D$7),$BQ$5,IF(NOT(ISNUMBER($D$7)),$BQ$6,"")))</f>
        <v/>
      </c>
      <c r="BR454" s="92" t="str">
        <f aca="false">IF(ISBLANK($C454),"",IF($BA454,Constants!$B$11,IF(COUNTA($E454:$AA454)=0,Constants!$B$10,IF(NOT($AG454),Constants!$B$9,IF(OR($BQ454&lt;&gt;"",$BB454,$BJ454),Constants!$B$12,Constants!$B$8)))))</f>
        <v/>
      </c>
      <c r="BS454" s="92" t="str">
        <f aca="false">IF(ISBLANK($C454),"",IF($BR454&lt;&gt;Constants!$B$8,$BR454,Constants!$B$13))</f>
        <v/>
      </c>
      <c r="BT454" s="96" t="str">
        <f aca="false">IF($BR454&lt;&gt;Constants!$B$8,"",IF($BI454="-&gt;",$BP454,$BH454))</f>
        <v/>
      </c>
      <c r="BU454" s="96" t="str">
        <f aca="false">IF($BR454&lt;&gt;Constants!$B$8,"",IF($AF454,0,Constants!$B$18))</f>
        <v/>
      </c>
      <c r="BV454" s="96" t="str">
        <f aca="false">IF($BR454&lt;&gt;Constants!$B$8,"",((Constants!$B$31-$AZ454)-Constants!$B$31)/Constants!$B$32)</f>
        <v/>
      </c>
      <c r="BW454" s="96" t="str">
        <f aca="false">IF(ISBLANK($C454),"",IF($BR454&lt;&gt;Constants!$B$8,$BR454,SUM($BT454:$BV454)))</f>
        <v/>
      </c>
      <c r="BX454" s="92" t="str">
        <f aca="false">IF(ISBLANK($C454),"",IF($BR454&lt;&gt;Constants!$B$8,$BR454,RANK($BW454,$BW$9:$BW$508,1)))</f>
        <v/>
      </c>
      <c r="BY454" s="96" t="str">
        <f aca="false">IF($BR454&lt;&gt;Constants!$B$8,"",IF($BI454="-&gt;",$BK454,$BC454))</f>
        <v/>
      </c>
      <c r="BZ454" s="92" t="str">
        <f aca="false">IF(ISBLANK($C454),"",IF($BR454&lt;&gt;Constants!$B$8,$BR454,IF(ISNUMBER($BY454),RANK($BY454,$BY$9:$BY$508,1),COUNT($BY$9:$BY$508)+1)))</f>
        <v/>
      </c>
      <c r="CA454" s="96" t="str">
        <f aca="false">IF($BR454&lt;&gt;Constants!$B$8,"",IF($BI454="-&gt;",$BL454,$BD454))</f>
        <v/>
      </c>
      <c r="CB454" s="92" t="str">
        <f aca="false">IF(ISBLANK($C454),"",IF($BR454&lt;&gt;Constants!$B$8,$BR454,IF(ISNUMBER($CA454),RANK($CA454,$CA$9:$CA$508,1),COUNT($CA$9:$CA$508)+1)))</f>
        <v/>
      </c>
      <c r="CC454" s="96" t="str">
        <f aca="false">IF($BR454&lt;&gt;Constants!$B$8,"",IF($BI454="-&gt;",IF($AT454,$AV454,""),IF($AL454,$AN454,"")))</f>
        <v/>
      </c>
      <c r="CD454" s="92" t="str">
        <f aca="false">IF(ISBLANK($C454),"",IF($BR454&lt;&gt;Constants!$B$8,$BR454,IF(ISNUMBER($CC454),RANK($CC454,$CC$9:$CC$508,1),COUNT($CC$9:$CC$508)+1)))</f>
        <v/>
      </c>
      <c r="CE454" s="96" t="str">
        <f aca="false">IF($BR454&lt;&gt;Constants!$B$8,"",IF(AND(NOT($AL454),NOT($AT454),$AJ454,$AK454,$AR454,$AS454),"",$AI454))</f>
        <v/>
      </c>
      <c r="CF454" s="92" t="str">
        <f aca="false">IF(ISBLANK($C454),"",IF($BR454&lt;&gt;Constants!$B$8,$BR454,IF(ISNUMBER($CE454),RANK($CE454,$CE$9:$CE$508,1),COUNT($CE$9:$CE$508)+1)))</f>
        <v/>
      </c>
      <c r="CG454" s="92" t="str">
        <f aca="false">IF(ISBLANK($C454),"",IF($BR454&lt;&gt;Constants!$B$8,$BR454,COUNTIFS($BX$9:$BX$508,"&lt;"&amp;$BX454)+COUNTIFS($BX$9:$BX$508,$BX454,$BZ$9:$BZ$508,"&lt;"&amp;$BZ454)+COUNTIFS($BX$9:$BX$508,$BX454,$BZ$9:$BZ$508,$BZ454,$CB$9:$CB$508,"&lt;"&amp;$CB454)+COUNTIFS($BX$9:$BX$508,$BX454,$BZ$9:$BZ$508,$BZ454,$CB$9:$CB$508,$CB454,$CD$9:$CD$508,"&lt;"&amp;$CD454)+COUNTIFS($BX$9:$BX$508,$BX454,$BZ$9:$BZ$508,$BZ454,$CB$9:$CB$508,$CB454,$CD$9:$CD$508,$CD454,$CF$9:$CF$508,"&lt;"&amp;$CF454)+1))</f>
        <v/>
      </c>
      <c r="CH454" s="92" t="str">
        <f aca="false">IF(ISBLANK($C454),"",IF($BR454&lt;&gt;Constants!$B$8,$BR454,$BX454-$CG454))</f>
        <v/>
      </c>
      <c r="CI454" s="98"/>
      <c r="CJ454" s="99"/>
      <c r="CK454" s="100" t="str">
        <f aca="false">IF(ISBLANK($C454),"",IF($BR454=Constants!$B$12,$BQ454,""))</f>
        <v/>
      </c>
      <c r="CL454" s="99" t="str">
        <f aca="false">IF(ISBLANK($C454),"",IF($BR454&lt;&gt;Constants!$B$8,"",IF($BI454="-&gt;",2,1)))</f>
        <v/>
      </c>
      <c r="CM454" s="101" t="str">
        <f aca="false">IF(ISBLANK($C454),"",IF($BR454&lt;&gt;Constants!$B$8,"",IF($BI454="-&gt;",$BK454,$BC454)))</f>
        <v/>
      </c>
      <c r="CN454" s="101" t="str">
        <f aca="false">IF(ISBLANK($C454),"",IF($BR454&lt;&gt;Constants!$B$8,"",IF($BI454="-&gt;",$BL454,$BD454)))</f>
        <v/>
      </c>
      <c r="CO454" s="101" t="str">
        <f aca="false">IF(ISBLANK($C454),"",IF($BR454&lt;&gt;Constants!$B$8,"",IF($BI454="-&gt;",$BM454+$BN454,$BE454+$BF454)+$BV454))</f>
        <v/>
      </c>
      <c r="CP454" s="101" t="str">
        <f aca="false">IF(ISBLANK($C454),"",IF($BR454&lt;&gt;Constants!$B$8,"",IF($BI454="-&gt;",$BO454,$BG454)+$BU454))</f>
        <v/>
      </c>
      <c r="CQ454" s="102" t="str">
        <f aca="false">IF(ISBLANK($C454),"",IF($BR454&lt;&gt;Constants!$B$8,$BR454,$BW454))</f>
        <v/>
      </c>
      <c r="CR454" s="103" t="str">
        <f aca="false">IF(ISBLANK($C454),"",$BS454)</f>
        <v/>
      </c>
      <c r="CS454" s="104" t="str">
        <f aca="false">IF(ISBLANK($C454),"",$CH454)</f>
        <v/>
      </c>
      <c r="CT454" s="104" t="str">
        <f aca="false">IF(ISBLANK($C454),"",$CG454)</f>
        <v/>
      </c>
      <c r="CU454" s="105" t="str">
        <f aca="false">IF(ISBLANK($C454),"",IFERROR(_xlfn.SWITCH($CT454,Constants!$B$11,COUNTA($C$9:$C$508)+2,Constants!$B$10,COUNTA($C$9:$C$508)+1,Constants!$B$9,COUNTA($C$9:$C$508)),$CT454))</f>
        <v/>
      </c>
      <c r="CV454" s="9"/>
      <c r="CW454" s="106" t="n">
        <f aca="false">IF(OR(ISNUMBER($CT454),$CT454=Constants!$B$11,$CT454=Constants!$B$9,$CT454=Constants!$B$10),1,0)</f>
        <v>0</v>
      </c>
      <c r="CX454" s="106" t="n">
        <v>446</v>
      </c>
      <c r="CY454" s="106" t="str">
        <f aca="false">IF(ISBLANK($C454),"",IF(ISNUMBER($CU454),$CU454+ROW($B454)/1000,""))</f>
        <v/>
      </c>
      <c r="CZ454" s="106" t="str">
        <f aca="false">IF(ISNUMBER($CY454),RANK($CY454,$CY$9:$CY$508,1),"")</f>
        <v/>
      </c>
      <c r="DA454" s="106" t="str">
        <f aca="false">IF(ISBLANK($C454),"",$B454)</f>
        <v/>
      </c>
      <c r="DB454" s="106" t="str">
        <f aca="false">IF(ISBLANK($C454),"",$C454)</f>
        <v/>
      </c>
      <c r="DC454" s="106" t="str">
        <f aca="false">IF(ISBLANK($C454),"",$D454)</f>
        <v/>
      </c>
      <c r="DD454" s="107" t="str">
        <f aca="false">$CR454</f>
        <v/>
      </c>
      <c r="DE454" s="108" t="str">
        <f aca="false">$CQ454</f>
        <v/>
      </c>
      <c r="DF454" s="106" t="str">
        <f aca="false">IF(ISBLANK($C454),"",$CT454)</f>
        <v/>
      </c>
      <c r="DG454" s="109" t="str">
        <f aca="false">IF($CX454&gt;$CW$8,"",VLOOKUP($CX454,$CZ$9:$DF$508,7,FALSE()))</f>
        <v/>
      </c>
      <c r="DH454" s="110" t="str">
        <f aca="false">IF($CX454&gt;$CW$8,"",VLOOKUP($CX454,$CZ$9:$DF$508,2,FALSE()))</f>
        <v/>
      </c>
      <c r="DI454" s="110" t="str">
        <f aca="false">IF($CX454&gt;$CW$8,"",VLOOKUP($CX454,$CZ$9:$DF$508,3,FALSE()))</f>
        <v/>
      </c>
      <c r="DJ454" s="110" t="str">
        <f aca="false">IF($CX454&gt;$CW$8,"",VLOOKUP($CX454,$CZ$9:$DF$508,4,FALSE()))</f>
        <v/>
      </c>
      <c r="DK454" s="110" t="str">
        <f aca="false">IF($CX454&gt;$CW$8,"",VLOOKUP($CX454,$CZ$9:$DF$508,5,FALSE()))</f>
        <v/>
      </c>
      <c r="DL454" s="111" t="str">
        <f aca="false">IF($CX454&gt;$CW$8,"",VLOOKUP($CX454,$CZ$9:$DF$508,6,FALSE()))</f>
        <v/>
      </c>
      <c r="DM454" s="75"/>
    </row>
    <row r="455" customFormat="false" ht="15.75" hidden="false" customHeight="false" outlineLevel="0" collapsed="false">
      <c r="A455" s="9"/>
      <c r="B455" s="77"/>
      <c r="C455" s="78"/>
      <c r="D455" s="167"/>
      <c r="E455" s="175"/>
      <c r="F455" s="169"/>
      <c r="G455" s="170"/>
      <c r="H455" s="170"/>
      <c r="I455" s="176"/>
      <c r="J455" s="173"/>
      <c r="K455" s="85"/>
      <c r="L455" s="86"/>
      <c r="M455" s="87"/>
      <c r="N455" s="173"/>
      <c r="O455" s="173"/>
      <c r="P455" s="175"/>
      <c r="Q455" s="173"/>
      <c r="R455" s="173"/>
      <c r="S455" s="85"/>
      <c r="T455" s="87"/>
      <c r="U455" s="87"/>
      <c r="V455" s="173"/>
      <c r="W455" s="173"/>
      <c r="X455" s="175"/>
      <c r="Y455" s="173"/>
      <c r="Z455" s="174"/>
      <c r="AA455" s="173"/>
      <c r="AB455" s="91"/>
      <c r="AC455" s="92"/>
      <c r="AD455" s="92"/>
      <c r="AE455" s="92"/>
      <c r="AF455" s="92" t="str">
        <f aca="false">IF(ISBLANK($C455),"",IF(E455=Constants!$B$3,TRUE(),IF(E455=Constants!$B$4,FALSE(),TRUE())))</f>
        <v/>
      </c>
      <c r="AG455" s="92" t="str">
        <f aca="false">IF(ISBLANK($C455),"",IF(F455=Constants!$B$3,TRUE(),IF(F455=Constants!$B$4,FALSE(),TRUE())))</f>
        <v/>
      </c>
      <c r="AH455" s="92" t="str">
        <f aca="false">IF(ISBLANK($C455),"",IF(G455=Constants!$B$3,TRUE(),IF(G455=Constants!$B$4,FALSE(),TRUE())))</f>
        <v/>
      </c>
      <c r="AI455" s="92" t="str">
        <f aca="false">IF(ISBLANK($C455),"",IF(AND(ISNUMBER(H455),H455&gt;=0),H455,Constants!$B$29))</f>
        <v/>
      </c>
      <c r="AJ455" s="92" t="str">
        <f aca="false">IF(ISBLANK($C455),"",IF(I455=Constants!$B$3,TRUE(),IF(I455=Constants!$B$4,FALSE(),TRUE())))</f>
        <v/>
      </c>
      <c r="AK455" s="92" t="str">
        <f aca="false">IF(ISBLANK($C455),"",IF(J455=Constants!$B$3,TRUE(),IF(J455=Constants!$B$4,FALSE(),TRUE())))</f>
        <v/>
      </c>
      <c r="AL455" s="92" t="str">
        <f aca="false">IF(ISBLANK($C455),"",IF(K455=Constants!$B$5,TRUE(),IF(K455=Constants!$B$6,FALSE(),COUNTA(L455:P455)&gt;0)))</f>
        <v/>
      </c>
      <c r="AM455" s="94" t="str">
        <f aca="false">IF(ISBLANK($C455),"",IF(ISNUMBER(L455),IF(L455&gt;=0,L455,""),""))</f>
        <v/>
      </c>
      <c r="AN455" s="93" t="str">
        <f aca="false">IF(ISBLANK($C455),"",IF(ISNUMBER(M455),IF(M455&gt;=0,M455,""),""))</f>
        <v/>
      </c>
      <c r="AO455" s="93" t="str">
        <f aca="false">IF(ISBLANK($C455),"",IF(N455=Constants!$B$3,TRUE(),IF(N455=Constants!$B$4,FALSE(),TRUE())))</f>
        <v/>
      </c>
      <c r="AP455" s="92" t="str">
        <f aca="false">IF(ISBLANK($C455),"",IF(ISNUMBER(O455),IF(O455&gt;=0,O455,""),""))</f>
        <v/>
      </c>
      <c r="AQ455" s="92" t="str">
        <f aca="false">IF(ISBLANK($C455),"",IF(P455=Constants!$B$3,TRUE(),IF(P455=Constants!$B$4,FALSE(),FALSE())))</f>
        <v/>
      </c>
      <c r="AR455" s="92" t="str">
        <f aca="false">IF(ISBLANK($C455),"",IF(Q455=Constants!$B$3,TRUE(),IF(Q455=Constants!$B$4,FALSE(),TRUE())))</f>
        <v/>
      </c>
      <c r="AS455" s="92" t="str">
        <f aca="false">IF(ISBLANK($C455),"",IF(R455=Constants!$B$3,TRUE(),IF(R455=Constants!$B$4,FALSE(),TRUE())))</f>
        <v/>
      </c>
      <c r="AT455" s="92" t="str">
        <f aca="false">IF(ISBLANK($C455),"",IF(S455=Constants!$B$5,TRUE(),IF(S455=Constants!$B$6,FALSE(),COUNTA(T455:X455)&gt;0)))</f>
        <v/>
      </c>
      <c r="AU455" s="94" t="str">
        <f aca="false">IF(ISBLANK($C455),"",IF(ISNUMBER(T455),IF(T455&gt;=0,T455,""),""))</f>
        <v/>
      </c>
      <c r="AV455" s="93" t="str">
        <f aca="false">IF(ISBLANK($C455),"",IF(ISNUMBER(U455),IF(U455&gt;=0,U455,""),""))</f>
        <v/>
      </c>
      <c r="AW455" s="93" t="str">
        <f aca="false">IF(ISBLANK($C455),"",IF(V455=Constants!$B$3,TRUE(),IF(V455=Constants!$B$4,FALSE(),TRUE())))</f>
        <v/>
      </c>
      <c r="AX455" s="92" t="str">
        <f aca="false">IF(ISBLANK($C455),"",IF(ISNUMBER(W455),IF(W455&gt;=0,W455,""),""))</f>
        <v/>
      </c>
      <c r="AY455" s="92" t="str">
        <f aca="false">IF(ISBLANK($C455),"",IF(X455=Constants!$B$3,TRUE(),IF(X455=Constants!$B$4,FALSE(),FALSE())))</f>
        <v/>
      </c>
      <c r="AZ455" s="92" t="str">
        <f aca="false">IF(ISBLANK($C455),"",MIN(Constants!$B$31,MAX(0,IF(ISNUMBER(Y455),Y455*60,0)+IF(ISNUMBER(Z455),Z455,0))))</f>
        <v/>
      </c>
      <c r="BA455" s="92" t="str">
        <f aca="false">IF(ISBLANK($C455),"",IF(AA455=Constants!$B$3,TRUE(),IF(AA455=Constants!$B$4,FALSE(),FALSE())))</f>
        <v/>
      </c>
      <c r="BB455" s="91" t="str">
        <f aca="false">IF(ISBLANK($C455),"",AND($AL455,OR($AM455="",$AN455="",AND($AO455,$AP455=""))))</f>
        <v/>
      </c>
      <c r="BC455" s="93" t="str">
        <f aca="false">IF($BR455&lt;&gt;Constants!$B$8,"",IF($AL455,Constants!$B$21*$AN455+Constants!$B$22*IF($AO455,$AP455,Constants!$B$23),Constants!$B$24))</f>
        <v/>
      </c>
      <c r="BD455" s="96" t="str">
        <f aca="false">IF($BR455&lt;&gt;Constants!$B$8,"",Constants!$B$25*ABS($AD$9-IF($AL455,$AM455,0)))</f>
        <v/>
      </c>
      <c r="BE455" s="96" t="str">
        <f aca="false">IF($BR455&lt;&gt;Constants!$B$8,"",IF(AND($AL455,$AQ455,$AO455),Constants!$B$27,0))</f>
        <v/>
      </c>
      <c r="BF455" s="96" t="str">
        <f aca="false">IF($BR455&lt;&gt;Constants!$B$8,"",IF($AL455,($AI455-Constants!$B$29)*Constants!$B$28,0))</f>
        <v/>
      </c>
      <c r="BG455" s="96" t="str">
        <f aca="false">IF($BR455&lt;&gt;Constants!$B$8,"",IF($AK455,0,Constants!$B$15)+IF($AJ455,0,Constants!$B$16)+IF($AH455,0,Constants!$B$17))</f>
        <v/>
      </c>
      <c r="BH455" s="97" t="str">
        <f aca="false">IF($BR455&lt;&gt;Constants!$B$8,"",Constants!$B$20+SUM($BC455:$BG455))</f>
        <v/>
      </c>
      <c r="BI455" s="92" t="str">
        <f aca="false">IF($BR455&lt;&gt;Constants!$B$8,"",IF(OR($BP455&lt;$BH455,AND($BP455=$BH455,OR($BK455&lt;$BC455,AND($BK455=$BC455,OR($BL455&lt;$BD455,AND($BL455=$BD455,$AT455,$AL455,$AV455&lt;$AN455)))))),"-&gt;","&lt;-"))</f>
        <v/>
      </c>
      <c r="BJ455" s="91" t="str">
        <f aca="false">IF(ISBLANK($C455),"",AND($AT455,OR($AU455="",$AV455="",AND($AW455,$AX455=""))))</f>
        <v/>
      </c>
      <c r="BK455" s="93" t="str">
        <f aca="false">IF($BR455&lt;&gt;Constants!$B$8,"",IF($AT455,Constants!$B$21*$AV455+Constants!$B$22*IF($AW455,$AX455,Constants!$B$23),Constants!$B$24))</f>
        <v/>
      </c>
      <c r="BL455" s="96" t="str">
        <f aca="false">IF($BR455&lt;&gt;Constants!$B$8,"",Constants!$B$25*ABS($AD$9-IF($AT455,$AU455,0)))</f>
        <v/>
      </c>
      <c r="BM455" s="96" t="str">
        <f aca="false">IF($BR455&lt;&gt;Constants!$B$8,"",IF(AND($AT455,$AY455,$AW455),Constants!$B$27,0))</f>
        <v/>
      </c>
      <c r="BN455" s="96" t="str">
        <f aca="false">IF($BR455&lt;&gt;Constants!$B$8,"",IF($AT455,($AI455-Constants!$B$29)*Constants!$B$28,0))</f>
        <v/>
      </c>
      <c r="BO455" s="96" t="str">
        <f aca="false">IF($BR455&lt;&gt;Constants!$B$8,"",IF($AS455,0,Constants!$B$15)+IF($AR455,0,Constants!$B$16)+IF($AH455,0,Constants!$B$17))</f>
        <v/>
      </c>
      <c r="BP455" s="97" t="str">
        <f aca="false">IF($BR455&lt;&gt;Constants!$B$8,"",Constants!$B$20+SUM($BK455:$BO455))</f>
        <v/>
      </c>
      <c r="BQ455" s="92" t="str">
        <f aca="false">IF(ISBLANK($C455),"",IF(ISBLANK($D$7),$BQ$5,IF(NOT(ISNUMBER($D$7)),$BQ$6,"")))</f>
        <v/>
      </c>
      <c r="BR455" s="92" t="str">
        <f aca="false">IF(ISBLANK($C455),"",IF($BA455,Constants!$B$11,IF(COUNTA($E455:$AA455)=0,Constants!$B$10,IF(NOT($AG455),Constants!$B$9,IF(OR($BQ455&lt;&gt;"",$BB455,$BJ455),Constants!$B$12,Constants!$B$8)))))</f>
        <v/>
      </c>
      <c r="BS455" s="92" t="str">
        <f aca="false">IF(ISBLANK($C455),"",IF($BR455&lt;&gt;Constants!$B$8,$BR455,Constants!$B$13))</f>
        <v/>
      </c>
      <c r="BT455" s="96" t="str">
        <f aca="false">IF($BR455&lt;&gt;Constants!$B$8,"",IF($BI455="-&gt;",$BP455,$BH455))</f>
        <v/>
      </c>
      <c r="BU455" s="96" t="str">
        <f aca="false">IF($BR455&lt;&gt;Constants!$B$8,"",IF($AF455,0,Constants!$B$18))</f>
        <v/>
      </c>
      <c r="BV455" s="96" t="str">
        <f aca="false">IF($BR455&lt;&gt;Constants!$B$8,"",((Constants!$B$31-$AZ455)-Constants!$B$31)/Constants!$B$32)</f>
        <v/>
      </c>
      <c r="BW455" s="96" t="str">
        <f aca="false">IF(ISBLANK($C455),"",IF($BR455&lt;&gt;Constants!$B$8,$BR455,SUM($BT455:$BV455)))</f>
        <v/>
      </c>
      <c r="BX455" s="92" t="str">
        <f aca="false">IF(ISBLANK($C455),"",IF($BR455&lt;&gt;Constants!$B$8,$BR455,RANK($BW455,$BW$9:$BW$508,1)))</f>
        <v/>
      </c>
      <c r="BY455" s="96" t="str">
        <f aca="false">IF($BR455&lt;&gt;Constants!$B$8,"",IF($BI455="-&gt;",$BK455,$BC455))</f>
        <v/>
      </c>
      <c r="BZ455" s="92" t="str">
        <f aca="false">IF(ISBLANK($C455),"",IF($BR455&lt;&gt;Constants!$B$8,$BR455,IF(ISNUMBER($BY455),RANK($BY455,$BY$9:$BY$508,1),COUNT($BY$9:$BY$508)+1)))</f>
        <v/>
      </c>
      <c r="CA455" s="96" t="str">
        <f aca="false">IF($BR455&lt;&gt;Constants!$B$8,"",IF($BI455="-&gt;",$BL455,$BD455))</f>
        <v/>
      </c>
      <c r="CB455" s="92" t="str">
        <f aca="false">IF(ISBLANK($C455),"",IF($BR455&lt;&gt;Constants!$B$8,$BR455,IF(ISNUMBER($CA455),RANK($CA455,$CA$9:$CA$508,1),COUNT($CA$9:$CA$508)+1)))</f>
        <v/>
      </c>
      <c r="CC455" s="96" t="str">
        <f aca="false">IF($BR455&lt;&gt;Constants!$B$8,"",IF($BI455="-&gt;",IF($AT455,$AV455,""),IF($AL455,$AN455,"")))</f>
        <v/>
      </c>
      <c r="CD455" s="92" t="str">
        <f aca="false">IF(ISBLANK($C455),"",IF($BR455&lt;&gt;Constants!$B$8,$BR455,IF(ISNUMBER($CC455),RANK($CC455,$CC$9:$CC$508,1),COUNT($CC$9:$CC$508)+1)))</f>
        <v/>
      </c>
      <c r="CE455" s="96" t="str">
        <f aca="false">IF($BR455&lt;&gt;Constants!$B$8,"",IF(AND(NOT($AL455),NOT($AT455),$AJ455,$AK455,$AR455,$AS455),"",$AI455))</f>
        <v/>
      </c>
      <c r="CF455" s="92" t="str">
        <f aca="false">IF(ISBLANK($C455),"",IF($BR455&lt;&gt;Constants!$B$8,$BR455,IF(ISNUMBER($CE455),RANK($CE455,$CE$9:$CE$508,1),COUNT($CE$9:$CE$508)+1)))</f>
        <v/>
      </c>
      <c r="CG455" s="92" t="str">
        <f aca="false">IF(ISBLANK($C455),"",IF($BR455&lt;&gt;Constants!$B$8,$BR455,COUNTIFS($BX$9:$BX$508,"&lt;"&amp;$BX455)+COUNTIFS($BX$9:$BX$508,$BX455,$BZ$9:$BZ$508,"&lt;"&amp;$BZ455)+COUNTIFS($BX$9:$BX$508,$BX455,$BZ$9:$BZ$508,$BZ455,$CB$9:$CB$508,"&lt;"&amp;$CB455)+COUNTIFS($BX$9:$BX$508,$BX455,$BZ$9:$BZ$508,$BZ455,$CB$9:$CB$508,$CB455,$CD$9:$CD$508,"&lt;"&amp;$CD455)+COUNTIFS($BX$9:$BX$508,$BX455,$BZ$9:$BZ$508,$BZ455,$CB$9:$CB$508,$CB455,$CD$9:$CD$508,$CD455,$CF$9:$CF$508,"&lt;"&amp;$CF455)+1))</f>
        <v/>
      </c>
      <c r="CH455" s="92" t="str">
        <f aca="false">IF(ISBLANK($C455),"",IF($BR455&lt;&gt;Constants!$B$8,$BR455,$BX455-$CG455))</f>
        <v/>
      </c>
      <c r="CI455" s="98"/>
      <c r="CJ455" s="99"/>
      <c r="CK455" s="100" t="str">
        <f aca="false">IF(ISBLANK($C455),"",IF($BR455=Constants!$B$12,$BQ455,""))</f>
        <v/>
      </c>
      <c r="CL455" s="99" t="str">
        <f aca="false">IF(ISBLANK($C455),"",IF($BR455&lt;&gt;Constants!$B$8,"",IF($BI455="-&gt;",2,1)))</f>
        <v/>
      </c>
      <c r="CM455" s="101" t="str">
        <f aca="false">IF(ISBLANK($C455),"",IF($BR455&lt;&gt;Constants!$B$8,"",IF($BI455="-&gt;",$BK455,$BC455)))</f>
        <v/>
      </c>
      <c r="CN455" s="101" t="str">
        <f aca="false">IF(ISBLANK($C455),"",IF($BR455&lt;&gt;Constants!$B$8,"",IF($BI455="-&gt;",$BL455,$BD455)))</f>
        <v/>
      </c>
      <c r="CO455" s="101" t="str">
        <f aca="false">IF(ISBLANK($C455),"",IF($BR455&lt;&gt;Constants!$B$8,"",IF($BI455="-&gt;",$BM455+$BN455,$BE455+$BF455)+$BV455))</f>
        <v/>
      </c>
      <c r="CP455" s="101" t="str">
        <f aca="false">IF(ISBLANK($C455),"",IF($BR455&lt;&gt;Constants!$B$8,"",IF($BI455="-&gt;",$BO455,$BG455)+$BU455))</f>
        <v/>
      </c>
      <c r="CQ455" s="102" t="str">
        <f aca="false">IF(ISBLANK($C455),"",IF($BR455&lt;&gt;Constants!$B$8,$BR455,$BW455))</f>
        <v/>
      </c>
      <c r="CR455" s="103" t="str">
        <f aca="false">IF(ISBLANK($C455),"",$BS455)</f>
        <v/>
      </c>
      <c r="CS455" s="104" t="str">
        <f aca="false">IF(ISBLANK($C455),"",$CH455)</f>
        <v/>
      </c>
      <c r="CT455" s="104" t="str">
        <f aca="false">IF(ISBLANK($C455),"",$CG455)</f>
        <v/>
      </c>
      <c r="CU455" s="105" t="str">
        <f aca="false">IF(ISBLANK($C455),"",IFERROR(_xlfn.SWITCH($CT455,Constants!$B$11,COUNTA($C$9:$C$508)+2,Constants!$B$10,COUNTA($C$9:$C$508)+1,Constants!$B$9,COUNTA($C$9:$C$508)),$CT455))</f>
        <v/>
      </c>
      <c r="CV455" s="9"/>
      <c r="CW455" s="106" t="n">
        <f aca="false">IF(OR(ISNUMBER($CT455),$CT455=Constants!$B$11,$CT455=Constants!$B$9,$CT455=Constants!$B$10),1,0)</f>
        <v>0</v>
      </c>
      <c r="CX455" s="106" t="n">
        <v>447</v>
      </c>
      <c r="CY455" s="106" t="str">
        <f aca="false">IF(ISBLANK($C455),"",IF(ISNUMBER($CU455),$CU455+ROW($B455)/1000,""))</f>
        <v/>
      </c>
      <c r="CZ455" s="106" t="str">
        <f aca="false">IF(ISNUMBER($CY455),RANK($CY455,$CY$9:$CY$508,1),"")</f>
        <v/>
      </c>
      <c r="DA455" s="106" t="str">
        <f aca="false">IF(ISBLANK($C455),"",$B455)</f>
        <v/>
      </c>
      <c r="DB455" s="106" t="str">
        <f aca="false">IF(ISBLANK($C455),"",$C455)</f>
        <v/>
      </c>
      <c r="DC455" s="106" t="str">
        <f aca="false">IF(ISBLANK($C455),"",$D455)</f>
        <v/>
      </c>
      <c r="DD455" s="107" t="str">
        <f aca="false">$CR455</f>
        <v/>
      </c>
      <c r="DE455" s="108" t="str">
        <f aca="false">$CQ455</f>
        <v/>
      </c>
      <c r="DF455" s="106" t="str">
        <f aca="false">IF(ISBLANK($C455),"",$CT455)</f>
        <v/>
      </c>
      <c r="DG455" s="109" t="str">
        <f aca="false">IF($CX455&gt;$CW$8,"",VLOOKUP($CX455,$CZ$9:$DF$508,7,FALSE()))</f>
        <v/>
      </c>
      <c r="DH455" s="110" t="str">
        <f aca="false">IF($CX455&gt;$CW$8,"",VLOOKUP($CX455,$CZ$9:$DF$508,2,FALSE()))</f>
        <v/>
      </c>
      <c r="DI455" s="110" t="str">
        <f aca="false">IF($CX455&gt;$CW$8,"",VLOOKUP($CX455,$CZ$9:$DF$508,3,FALSE()))</f>
        <v/>
      </c>
      <c r="DJ455" s="110" t="str">
        <f aca="false">IF($CX455&gt;$CW$8,"",VLOOKUP($CX455,$CZ$9:$DF$508,4,FALSE()))</f>
        <v/>
      </c>
      <c r="DK455" s="110" t="str">
        <f aca="false">IF($CX455&gt;$CW$8,"",VLOOKUP($CX455,$CZ$9:$DF$508,5,FALSE()))</f>
        <v/>
      </c>
      <c r="DL455" s="111" t="str">
        <f aca="false">IF($CX455&gt;$CW$8,"",VLOOKUP($CX455,$CZ$9:$DF$508,6,FALSE()))</f>
        <v/>
      </c>
      <c r="DM455" s="75"/>
    </row>
    <row r="456" customFormat="false" ht="15.75" hidden="false" customHeight="false" outlineLevel="0" collapsed="false">
      <c r="A456" s="9"/>
      <c r="B456" s="157"/>
      <c r="C456" s="158"/>
      <c r="D456" s="159"/>
      <c r="E456" s="177"/>
      <c r="F456" s="161"/>
      <c r="G456" s="162"/>
      <c r="H456" s="162"/>
      <c r="I456" s="178"/>
      <c r="J456" s="165"/>
      <c r="K456" s="126"/>
      <c r="L456" s="127"/>
      <c r="M456" s="128"/>
      <c r="N456" s="165"/>
      <c r="O456" s="165"/>
      <c r="P456" s="177"/>
      <c r="Q456" s="165"/>
      <c r="R456" s="165"/>
      <c r="S456" s="126"/>
      <c r="T456" s="128"/>
      <c r="U456" s="128"/>
      <c r="V456" s="165"/>
      <c r="W456" s="165"/>
      <c r="X456" s="177"/>
      <c r="Y456" s="165"/>
      <c r="Z456" s="166"/>
      <c r="AA456" s="165"/>
      <c r="AB456" s="132"/>
      <c r="AC456" s="133"/>
      <c r="AD456" s="133"/>
      <c r="AE456" s="133"/>
      <c r="AF456" s="133" t="str">
        <f aca="false">IF(ISBLANK($C456),"",IF(E456=Constants!$B$3,TRUE(),IF(E456=Constants!$B$4,FALSE(),TRUE())))</f>
        <v/>
      </c>
      <c r="AG456" s="133" t="str">
        <f aca="false">IF(ISBLANK($C456),"",IF(F456=Constants!$B$3,TRUE(),IF(F456=Constants!$B$4,FALSE(),TRUE())))</f>
        <v/>
      </c>
      <c r="AH456" s="133" t="str">
        <f aca="false">IF(ISBLANK($C456),"",IF(G456=Constants!$B$3,TRUE(),IF(G456=Constants!$B$4,FALSE(),TRUE())))</f>
        <v/>
      </c>
      <c r="AI456" s="133" t="str">
        <f aca="false">IF(ISBLANK($C456),"",IF(AND(ISNUMBER(H456),H456&gt;=0),H456,Constants!$B$29))</f>
        <v/>
      </c>
      <c r="AJ456" s="133" t="str">
        <f aca="false">IF(ISBLANK($C456),"",IF(I456=Constants!$B$3,TRUE(),IF(I456=Constants!$B$4,FALSE(),TRUE())))</f>
        <v/>
      </c>
      <c r="AK456" s="133" t="str">
        <f aca="false">IF(ISBLANK($C456),"",IF(J456=Constants!$B$3,TRUE(),IF(J456=Constants!$B$4,FALSE(),TRUE())))</f>
        <v/>
      </c>
      <c r="AL456" s="133" t="str">
        <f aca="false">IF(ISBLANK($C456),"",IF(K456=Constants!$B$5,TRUE(),IF(K456=Constants!$B$6,FALSE(),COUNTA(L456:P456)&gt;0)))</f>
        <v/>
      </c>
      <c r="AM456" s="134" t="str">
        <f aca="false">IF(ISBLANK($C456),"",IF(ISNUMBER(L456),IF(L456&gt;=0,L456,""),""))</f>
        <v/>
      </c>
      <c r="AN456" s="135" t="str">
        <f aca="false">IF(ISBLANK($C456),"",IF(ISNUMBER(M456),IF(M456&gt;=0,M456,""),""))</f>
        <v/>
      </c>
      <c r="AO456" s="135" t="str">
        <f aca="false">IF(ISBLANK($C456),"",IF(N456=Constants!$B$3,TRUE(),IF(N456=Constants!$B$4,FALSE(),TRUE())))</f>
        <v/>
      </c>
      <c r="AP456" s="133" t="str">
        <f aca="false">IF(ISBLANK($C456),"",IF(ISNUMBER(O456),IF(O456&gt;=0,O456,""),""))</f>
        <v/>
      </c>
      <c r="AQ456" s="133" t="str">
        <f aca="false">IF(ISBLANK($C456),"",IF(P456=Constants!$B$3,TRUE(),IF(P456=Constants!$B$4,FALSE(),FALSE())))</f>
        <v/>
      </c>
      <c r="AR456" s="133" t="str">
        <f aca="false">IF(ISBLANK($C456),"",IF(Q456=Constants!$B$3,TRUE(),IF(Q456=Constants!$B$4,FALSE(),TRUE())))</f>
        <v/>
      </c>
      <c r="AS456" s="133" t="str">
        <f aca="false">IF(ISBLANK($C456),"",IF(R456=Constants!$B$3,TRUE(),IF(R456=Constants!$B$4,FALSE(),TRUE())))</f>
        <v/>
      </c>
      <c r="AT456" s="133" t="str">
        <f aca="false">IF(ISBLANK($C456),"",IF(S456=Constants!$B$5,TRUE(),IF(S456=Constants!$B$6,FALSE(),COUNTA(T456:X456)&gt;0)))</f>
        <v/>
      </c>
      <c r="AU456" s="134" t="str">
        <f aca="false">IF(ISBLANK($C456),"",IF(ISNUMBER(T456),IF(T456&gt;=0,T456,""),""))</f>
        <v/>
      </c>
      <c r="AV456" s="135" t="str">
        <f aca="false">IF(ISBLANK($C456),"",IF(ISNUMBER(U456),IF(U456&gt;=0,U456,""),""))</f>
        <v/>
      </c>
      <c r="AW456" s="135" t="str">
        <f aca="false">IF(ISBLANK($C456),"",IF(V456=Constants!$B$3,TRUE(),IF(V456=Constants!$B$4,FALSE(),TRUE())))</f>
        <v/>
      </c>
      <c r="AX456" s="133" t="str">
        <f aca="false">IF(ISBLANK($C456),"",IF(ISNUMBER(W456),IF(W456&gt;=0,W456,""),""))</f>
        <v/>
      </c>
      <c r="AY456" s="133" t="str">
        <f aca="false">IF(ISBLANK($C456),"",IF(X456=Constants!$B$3,TRUE(),IF(X456=Constants!$B$4,FALSE(),FALSE())))</f>
        <v/>
      </c>
      <c r="AZ456" s="133" t="str">
        <f aca="false">IF(ISBLANK($C456),"",MIN(Constants!$B$31,MAX(0,IF(ISNUMBER(Y456),Y456*60,0)+IF(ISNUMBER(Z456),Z456,0))))</f>
        <v/>
      </c>
      <c r="BA456" s="133" t="str">
        <f aca="false">IF(ISBLANK($C456),"",IF(AA456=Constants!$B$3,TRUE(),IF(AA456=Constants!$B$4,FALSE(),FALSE())))</f>
        <v/>
      </c>
      <c r="BB456" s="132" t="str">
        <f aca="false">IF(ISBLANK($C456),"",AND($AL456,OR($AM456="",$AN456="",AND($AO456,$AP456=""))))</f>
        <v/>
      </c>
      <c r="BC456" s="135" t="str">
        <f aca="false">IF($BR456&lt;&gt;Constants!$B$8,"",IF($AL456,Constants!$B$21*$AN456+Constants!$B$22*IF($AO456,$AP456,Constants!$B$23),Constants!$B$24))</f>
        <v/>
      </c>
      <c r="BD456" s="136" t="str">
        <f aca="false">IF($BR456&lt;&gt;Constants!$B$8,"",Constants!$B$25*ABS($AD$9-IF($AL456,$AM456,0)))</f>
        <v/>
      </c>
      <c r="BE456" s="136" t="str">
        <f aca="false">IF($BR456&lt;&gt;Constants!$B$8,"",IF(AND($AL456,$AQ456,$AO456),Constants!$B$27,0))</f>
        <v/>
      </c>
      <c r="BF456" s="136" t="str">
        <f aca="false">IF($BR456&lt;&gt;Constants!$B$8,"",IF($AL456,($AI456-Constants!$B$29)*Constants!$B$28,0))</f>
        <v/>
      </c>
      <c r="BG456" s="136" t="str">
        <f aca="false">IF($BR456&lt;&gt;Constants!$B$8,"",IF($AK456,0,Constants!$B$15)+IF($AJ456,0,Constants!$B$16)+IF($AH456,0,Constants!$B$17))</f>
        <v/>
      </c>
      <c r="BH456" s="137" t="str">
        <f aca="false">IF($BR456&lt;&gt;Constants!$B$8,"",Constants!$B$20+SUM($BC456:$BG456))</f>
        <v/>
      </c>
      <c r="BI456" s="133" t="str">
        <f aca="false">IF($BR456&lt;&gt;Constants!$B$8,"",IF(OR($BP456&lt;$BH456,AND($BP456=$BH456,OR($BK456&lt;$BC456,AND($BK456=$BC456,OR($BL456&lt;$BD456,AND($BL456=$BD456,$AT456,$AL456,$AV456&lt;$AN456)))))),"-&gt;","&lt;-"))</f>
        <v/>
      </c>
      <c r="BJ456" s="132" t="str">
        <f aca="false">IF(ISBLANK($C456),"",AND($AT456,OR($AU456="",$AV456="",AND($AW456,$AX456=""))))</f>
        <v/>
      </c>
      <c r="BK456" s="135" t="str">
        <f aca="false">IF($BR456&lt;&gt;Constants!$B$8,"",IF($AT456,Constants!$B$21*$AV456+Constants!$B$22*IF($AW456,$AX456,Constants!$B$23),Constants!$B$24))</f>
        <v/>
      </c>
      <c r="BL456" s="136" t="str">
        <f aca="false">IF($BR456&lt;&gt;Constants!$B$8,"",Constants!$B$25*ABS($AD$9-IF($AT456,$AU456,0)))</f>
        <v/>
      </c>
      <c r="BM456" s="136" t="str">
        <f aca="false">IF($BR456&lt;&gt;Constants!$B$8,"",IF(AND($AT456,$AY456,$AW456),Constants!$B$27,0))</f>
        <v/>
      </c>
      <c r="BN456" s="136" t="str">
        <f aca="false">IF($BR456&lt;&gt;Constants!$B$8,"",IF($AT456,($AI456-Constants!$B$29)*Constants!$B$28,0))</f>
        <v/>
      </c>
      <c r="BO456" s="136" t="str">
        <f aca="false">IF($BR456&lt;&gt;Constants!$B$8,"",IF($AS456,0,Constants!$B$15)+IF($AR456,0,Constants!$B$16)+IF($AH456,0,Constants!$B$17))</f>
        <v/>
      </c>
      <c r="BP456" s="137" t="str">
        <f aca="false">IF($BR456&lt;&gt;Constants!$B$8,"",Constants!$B$20+SUM($BK456:$BO456))</f>
        <v/>
      </c>
      <c r="BQ456" s="133" t="str">
        <f aca="false">IF(ISBLANK($C456),"",IF(ISBLANK($D$7),$BQ$5,IF(NOT(ISNUMBER($D$7)),$BQ$6,"")))</f>
        <v/>
      </c>
      <c r="BR456" s="133" t="str">
        <f aca="false">IF(ISBLANK($C456),"",IF($BA456,Constants!$B$11,IF(COUNTA($E456:$AA456)=0,Constants!$B$10,IF(NOT($AG456),Constants!$B$9,IF(OR($BQ456&lt;&gt;"",$BB456,$BJ456),Constants!$B$12,Constants!$B$8)))))</f>
        <v/>
      </c>
      <c r="BS456" s="133" t="str">
        <f aca="false">IF(ISBLANK($C456),"",IF($BR456&lt;&gt;Constants!$B$8,$BR456,Constants!$B$13))</f>
        <v/>
      </c>
      <c r="BT456" s="136" t="str">
        <f aca="false">IF($BR456&lt;&gt;Constants!$B$8,"",IF($BI456="-&gt;",$BP456,$BH456))</f>
        <v/>
      </c>
      <c r="BU456" s="136" t="str">
        <f aca="false">IF($BR456&lt;&gt;Constants!$B$8,"",IF($AF456,0,Constants!$B$18))</f>
        <v/>
      </c>
      <c r="BV456" s="136" t="str">
        <f aca="false">IF($BR456&lt;&gt;Constants!$B$8,"",((Constants!$B$31-$AZ456)-Constants!$B$31)/Constants!$B$32)</f>
        <v/>
      </c>
      <c r="BW456" s="136" t="str">
        <f aca="false">IF(ISBLANK($C456),"",IF($BR456&lt;&gt;Constants!$B$8,$BR456,SUM($BT456:$BV456)))</f>
        <v/>
      </c>
      <c r="BX456" s="133" t="str">
        <f aca="false">IF(ISBLANK($C456),"",IF($BR456&lt;&gt;Constants!$B$8,$BR456,RANK($BW456,$BW$9:$BW$508,1)))</f>
        <v/>
      </c>
      <c r="BY456" s="136" t="str">
        <f aca="false">IF($BR456&lt;&gt;Constants!$B$8,"",IF($BI456="-&gt;",$BK456,$BC456))</f>
        <v/>
      </c>
      <c r="BZ456" s="133" t="str">
        <f aca="false">IF(ISBLANK($C456),"",IF($BR456&lt;&gt;Constants!$B$8,$BR456,IF(ISNUMBER($BY456),RANK($BY456,$BY$9:$BY$508,1),COUNT($BY$9:$BY$508)+1)))</f>
        <v/>
      </c>
      <c r="CA456" s="136" t="str">
        <f aca="false">IF($BR456&lt;&gt;Constants!$B$8,"",IF($BI456="-&gt;",$BL456,$BD456))</f>
        <v/>
      </c>
      <c r="CB456" s="133" t="str">
        <f aca="false">IF(ISBLANK($C456),"",IF($BR456&lt;&gt;Constants!$B$8,$BR456,IF(ISNUMBER($CA456),RANK($CA456,$CA$9:$CA$508,1),COUNT($CA$9:$CA$508)+1)))</f>
        <v/>
      </c>
      <c r="CC456" s="136" t="str">
        <f aca="false">IF($BR456&lt;&gt;Constants!$B$8,"",IF($BI456="-&gt;",IF($AT456,$AV456,""),IF($AL456,$AN456,"")))</f>
        <v/>
      </c>
      <c r="CD456" s="133" t="str">
        <f aca="false">IF(ISBLANK($C456),"",IF($BR456&lt;&gt;Constants!$B$8,$BR456,IF(ISNUMBER($CC456),RANK($CC456,$CC$9:$CC$508,1),COUNT($CC$9:$CC$508)+1)))</f>
        <v/>
      </c>
      <c r="CE456" s="136" t="str">
        <f aca="false">IF($BR456&lt;&gt;Constants!$B$8,"",IF(AND(NOT($AL456),NOT($AT456),$AJ456,$AK456,$AR456,$AS456),"",$AI456))</f>
        <v/>
      </c>
      <c r="CF456" s="133" t="str">
        <f aca="false">IF(ISBLANK($C456),"",IF($BR456&lt;&gt;Constants!$B$8,$BR456,IF(ISNUMBER($CE456),RANK($CE456,$CE$9:$CE$508,1),COUNT($CE$9:$CE$508)+1)))</f>
        <v/>
      </c>
      <c r="CG456" s="133" t="str">
        <f aca="false">IF(ISBLANK($C456),"",IF($BR456&lt;&gt;Constants!$B$8,$BR456,COUNTIFS($BX$9:$BX$508,"&lt;"&amp;$BX456)+COUNTIFS($BX$9:$BX$508,$BX456,$BZ$9:$BZ$508,"&lt;"&amp;$BZ456)+COUNTIFS($BX$9:$BX$508,$BX456,$BZ$9:$BZ$508,$BZ456,$CB$9:$CB$508,"&lt;"&amp;$CB456)+COUNTIFS($BX$9:$BX$508,$BX456,$BZ$9:$BZ$508,$BZ456,$CB$9:$CB$508,$CB456,$CD$9:$CD$508,"&lt;"&amp;$CD456)+COUNTIFS($BX$9:$BX$508,$BX456,$BZ$9:$BZ$508,$BZ456,$CB$9:$CB$508,$CB456,$CD$9:$CD$508,$CD456,$CF$9:$CF$508,"&lt;"&amp;$CF456)+1))</f>
        <v/>
      </c>
      <c r="CH456" s="133" t="str">
        <f aca="false">IF(ISBLANK($C456),"",IF($BR456&lt;&gt;Constants!$B$8,$BR456,$BX456-$CG456))</f>
        <v/>
      </c>
      <c r="CI456" s="138"/>
      <c r="CJ456" s="139"/>
      <c r="CK456" s="140" t="str">
        <f aca="false">IF(ISBLANK($C456),"",IF($BR456=Constants!$B$12,$BQ456,""))</f>
        <v/>
      </c>
      <c r="CL456" s="139" t="str">
        <f aca="false">IF(ISBLANK($C456),"",IF($BR456&lt;&gt;Constants!$B$8,"",IF($BI456="-&gt;",2,1)))</f>
        <v/>
      </c>
      <c r="CM456" s="141" t="str">
        <f aca="false">IF(ISBLANK($C456),"",IF($BR456&lt;&gt;Constants!$B$8,"",IF($BI456="-&gt;",$BK456,$BC456)))</f>
        <v/>
      </c>
      <c r="CN456" s="141" t="str">
        <f aca="false">IF(ISBLANK($C456),"",IF($BR456&lt;&gt;Constants!$B$8,"",IF($BI456="-&gt;",$BL456,$BD456)))</f>
        <v/>
      </c>
      <c r="CO456" s="141" t="str">
        <f aca="false">IF(ISBLANK($C456),"",IF($BR456&lt;&gt;Constants!$B$8,"",IF($BI456="-&gt;",$BM456+$BN456,$BE456+$BF456)+$BV456))</f>
        <v/>
      </c>
      <c r="CP456" s="141" t="str">
        <f aca="false">IF(ISBLANK($C456),"",IF($BR456&lt;&gt;Constants!$B$8,"",IF($BI456="-&gt;",$BO456,$BG456)+$BU456))</f>
        <v/>
      </c>
      <c r="CQ456" s="142" t="str">
        <f aca="false">IF(ISBLANK($C456),"",IF($BR456&lt;&gt;Constants!$B$8,$BR456,$BW456))</f>
        <v/>
      </c>
      <c r="CR456" s="143" t="str">
        <f aca="false">IF(ISBLANK($C456),"",$BS456)</f>
        <v/>
      </c>
      <c r="CS456" s="144" t="str">
        <f aca="false">IF(ISBLANK($C456),"",$CH456)</f>
        <v/>
      </c>
      <c r="CT456" s="144" t="str">
        <f aca="false">IF(ISBLANK($C456),"",$CG456)</f>
        <v/>
      </c>
      <c r="CU456" s="145" t="str">
        <f aca="false">IF(ISBLANK($C456),"",IFERROR(_xlfn.SWITCH($CT456,Constants!$B$11,COUNTA($C$9:$C$508)+2,Constants!$B$10,COUNTA($C$9:$C$508)+1,Constants!$B$9,COUNTA($C$9:$C$508)),$CT456))</f>
        <v/>
      </c>
      <c r="CV456" s="9"/>
      <c r="CW456" s="146" t="n">
        <f aca="false">IF(OR(ISNUMBER($CT456),$CT456=Constants!$B$11,$CT456=Constants!$B$9,$CT456=Constants!$B$10),1,0)</f>
        <v>0</v>
      </c>
      <c r="CX456" s="146" t="n">
        <v>448</v>
      </c>
      <c r="CY456" s="146" t="str">
        <f aca="false">IF(ISBLANK($C456),"",IF(ISNUMBER($CU456),$CU456+ROW($B456)/1000,""))</f>
        <v/>
      </c>
      <c r="CZ456" s="146" t="str">
        <f aca="false">IF(ISNUMBER($CY456),RANK($CY456,$CY$9:$CY$508,1),"")</f>
        <v/>
      </c>
      <c r="DA456" s="146" t="str">
        <f aca="false">IF(ISBLANK($C456),"",$B456)</f>
        <v/>
      </c>
      <c r="DB456" s="146" t="str">
        <f aca="false">IF(ISBLANK($C456),"",$C456)</f>
        <v/>
      </c>
      <c r="DC456" s="146" t="str">
        <f aca="false">IF(ISBLANK($C456),"",$D456)</f>
        <v/>
      </c>
      <c r="DD456" s="147" t="str">
        <f aca="false">$CR456</f>
        <v/>
      </c>
      <c r="DE456" s="148" t="str">
        <f aca="false">$CQ456</f>
        <v/>
      </c>
      <c r="DF456" s="146" t="str">
        <f aca="false">IF(ISBLANK($C456),"",$CT456)</f>
        <v/>
      </c>
      <c r="DG456" s="149" t="str">
        <f aca="false">IF($CX456&gt;$CW$8,"",VLOOKUP($CX456,$CZ$9:$DF$508,7,FALSE()))</f>
        <v/>
      </c>
      <c r="DH456" s="150" t="str">
        <f aca="false">IF($CX456&gt;$CW$8,"",VLOOKUP($CX456,$CZ$9:$DF$508,2,FALSE()))</f>
        <v/>
      </c>
      <c r="DI456" s="150" t="str">
        <f aca="false">IF($CX456&gt;$CW$8,"",VLOOKUP($CX456,$CZ$9:$DF$508,3,FALSE()))</f>
        <v/>
      </c>
      <c r="DJ456" s="150" t="str">
        <f aca="false">IF($CX456&gt;$CW$8,"",VLOOKUP($CX456,$CZ$9:$DF$508,4,FALSE()))</f>
        <v/>
      </c>
      <c r="DK456" s="150" t="str">
        <f aca="false">IF($CX456&gt;$CW$8,"",VLOOKUP($CX456,$CZ$9:$DF$508,5,FALSE()))</f>
        <v/>
      </c>
      <c r="DL456" s="151" t="str">
        <f aca="false">IF($CX456&gt;$CW$8,"",VLOOKUP($CX456,$CZ$9:$DF$508,6,FALSE()))</f>
        <v/>
      </c>
      <c r="DM456" s="75"/>
    </row>
    <row r="457" customFormat="false" ht="15.75" hidden="false" customHeight="false" outlineLevel="0" collapsed="false">
      <c r="A457" s="9"/>
      <c r="B457" s="157"/>
      <c r="C457" s="158"/>
      <c r="D457" s="159"/>
      <c r="E457" s="177"/>
      <c r="F457" s="161"/>
      <c r="G457" s="162"/>
      <c r="H457" s="162"/>
      <c r="I457" s="178"/>
      <c r="J457" s="165"/>
      <c r="K457" s="126"/>
      <c r="L457" s="127"/>
      <c r="M457" s="128"/>
      <c r="N457" s="165"/>
      <c r="O457" s="165"/>
      <c r="P457" s="177"/>
      <c r="Q457" s="165"/>
      <c r="R457" s="165"/>
      <c r="S457" s="126"/>
      <c r="T457" s="128"/>
      <c r="U457" s="128"/>
      <c r="V457" s="165"/>
      <c r="W457" s="165"/>
      <c r="X457" s="177"/>
      <c r="Y457" s="165"/>
      <c r="Z457" s="166"/>
      <c r="AA457" s="165"/>
      <c r="AB457" s="132"/>
      <c r="AC457" s="133"/>
      <c r="AD457" s="133"/>
      <c r="AE457" s="133"/>
      <c r="AF457" s="133" t="str">
        <f aca="false">IF(ISBLANK($C457),"",IF(E457=Constants!$B$3,TRUE(),IF(E457=Constants!$B$4,FALSE(),TRUE())))</f>
        <v/>
      </c>
      <c r="AG457" s="133" t="str">
        <f aca="false">IF(ISBLANK($C457),"",IF(F457=Constants!$B$3,TRUE(),IF(F457=Constants!$B$4,FALSE(),TRUE())))</f>
        <v/>
      </c>
      <c r="AH457" s="133" t="str">
        <f aca="false">IF(ISBLANK($C457),"",IF(G457=Constants!$B$3,TRUE(),IF(G457=Constants!$B$4,FALSE(),TRUE())))</f>
        <v/>
      </c>
      <c r="AI457" s="133" t="str">
        <f aca="false">IF(ISBLANK($C457),"",IF(AND(ISNUMBER(H457),H457&gt;=0),H457,Constants!$B$29))</f>
        <v/>
      </c>
      <c r="AJ457" s="133" t="str">
        <f aca="false">IF(ISBLANK($C457),"",IF(I457=Constants!$B$3,TRUE(),IF(I457=Constants!$B$4,FALSE(),TRUE())))</f>
        <v/>
      </c>
      <c r="AK457" s="133" t="str">
        <f aca="false">IF(ISBLANK($C457),"",IF(J457=Constants!$B$3,TRUE(),IF(J457=Constants!$B$4,FALSE(),TRUE())))</f>
        <v/>
      </c>
      <c r="AL457" s="133" t="str">
        <f aca="false">IF(ISBLANK($C457),"",IF(K457=Constants!$B$5,TRUE(),IF(K457=Constants!$B$6,FALSE(),COUNTA(L457:P457)&gt;0)))</f>
        <v/>
      </c>
      <c r="AM457" s="134" t="str">
        <f aca="false">IF(ISBLANK($C457),"",IF(ISNUMBER(L457),IF(L457&gt;=0,L457,""),""))</f>
        <v/>
      </c>
      <c r="AN457" s="135" t="str">
        <f aca="false">IF(ISBLANK($C457),"",IF(ISNUMBER(M457),IF(M457&gt;=0,M457,""),""))</f>
        <v/>
      </c>
      <c r="AO457" s="135" t="str">
        <f aca="false">IF(ISBLANK($C457),"",IF(N457=Constants!$B$3,TRUE(),IF(N457=Constants!$B$4,FALSE(),TRUE())))</f>
        <v/>
      </c>
      <c r="AP457" s="133" t="str">
        <f aca="false">IF(ISBLANK($C457),"",IF(ISNUMBER(O457),IF(O457&gt;=0,O457,""),""))</f>
        <v/>
      </c>
      <c r="AQ457" s="133" t="str">
        <f aca="false">IF(ISBLANK($C457),"",IF(P457=Constants!$B$3,TRUE(),IF(P457=Constants!$B$4,FALSE(),FALSE())))</f>
        <v/>
      </c>
      <c r="AR457" s="133" t="str">
        <f aca="false">IF(ISBLANK($C457),"",IF(Q457=Constants!$B$3,TRUE(),IF(Q457=Constants!$B$4,FALSE(),TRUE())))</f>
        <v/>
      </c>
      <c r="AS457" s="133" t="str">
        <f aca="false">IF(ISBLANK($C457),"",IF(R457=Constants!$B$3,TRUE(),IF(R457=Constants!$B$4,FALSE(),TRUE())))</f>
        <v/>
      </c>
      <c r="AT457" s="133" t="str">
        <f aca="false">IF(ISBLANK($C457),"",IF(S457=Constants!$B$5,TRUE(),IF(S457=Constants!$B$6,FALSE(),COUNTA(T457:X457)&gt;0)))</f>
        <v/>
      </c>
      <c r="AU457" s="134" t="str">
        <f aca="false">IF(ISBLANK($C457),"",IF(ISNUMBER(T457),IF(T457&gt;=0,T457,""),""))</f>
        <v/>
      </c>
      <c r="AV457" s="135" t="str">
        <f aca="false">IF(ISBLANK($C457),"",IF(ISNUMBER(U457),IF(U457&gt;=0,U457,""),""))</f>
        <v/>
      </c>
      <c r="AW457" s="135" t="str">
        <f aca="false">IF(ISBLANK($C457),"",IF(V457=Constants!$B$3,TRUE(),IF(V457=Constants!$B$4,FALSE(),TRUE())))</f>
        <v/>
      </c>
      <c r="AX457" s="133" t="str">
        <f aca="false">IF(ISBLANK($C457),"",IF(ISNUMBER(W457),IF(W457&gt;=0,W457,""),""))</f>
        <v/>
      </c>
      <c r="AY457" s="133" t="str">
        <f aca="false">IF(ISBLANK($C457),"",IF(X457=Constants!$B$3,TRUE(),IF(X457=Constants!$B$4,FALSE(),FALSE())))</f>
        <v/>
      </c>
      <c r="AZ457" s="133" t="str">
        <f aca="false">IF(ISBLANK($C457),"",MIN(Constants!$B$31,MAX(0,IF(ISNUMBER(Y457),Y457*60,0)+IF(ISNUMBER(Z457),Z457,0))))</f>
        <v/>
      </c>
      <c r="BA457" s="133" t="str">
        <f aca="false">IF(ISBLANK($C457),"",IF(AA457=Constants!$B$3,TRUE(),IF(AA457=Constants!$B$4,FALSE(),FALSE())))</f>
        <v/>
      </c>
      <c r="BB457" s="132" t="str">
        <f aca="false">IF(ISBLANK($C457),"",AND($AL457,OR($AM457="",$AN457="",AND($AO457,$AP457=""))))</f>
        <v/>
      </c>
      <c r="BC457" s="135" t="str">
        <f aca="false">IF($BR457&lt;&gt;Constants!$B$8,"",IF($AL457,Constants!$B$21*$AN457+Constants!$B$22*IF($AO457,$AP457,Constants!$B$23),Constants!$B$24))</f>
        <v/>
      </c>
      <c r="BD457" s="136" t="str">
        <f aca="false">IF($BR457&lt;&gt;Constants!$B$8,"",Constants!$B$25*ABS($AD$9-IF($AL457,$AM457,0)))</f>
        <v/>
      </c>
      <c r="BE457" s="136" t="str">
        <f aca="false">IF($BR457&lt;&gt;Constants!$B$8,"",IF(AND($AL457,$AQ457,$AO457),Constants!$B$27,0))</f>
        <v/>
      </c>
      <c r="BF457" s="136" t="str">
        <f aca="false">IF($BR457&lt;&gt;Constants!$B$8,"",IF($AL457,($AI457-Constants!$B$29)*Constants!$B$28,0))</f>
        <v/>
      </c>
      <c r="BG457" s="136" t="str">
        <f aca="false">IF($BR457&lt;&gt;Constants!$B$8,"",IF($AK457,0,Constants!$B$15)+IF($AJ457,0,Constants!$B$16)+IF($AH457,0,Constants!$B$17))</f>
        <v/>
      </c>
      <c r="BH457" s="137" t="str">
        <f aca="false">IF($BR457&lt;&gt;Constants!$B$8,"",Constants!$B$20+SUM($BC457:$BG457))</f>
        <v/>
      </c>
      <c r="BI457" s="133" t="str">
        <f aca="false">IF($BR457&lt;&gt;Constants!$B$8,"",IF(OR($BP457&lt;$BH457,AND($BP457=$BH457,OR($BK457&lt;$BC457,AND($BK457=$BC457,OR($BL457&lt;$BD457,AND($BL457=$BD457,$AT457,$AL457,$AV457&lt;$AN457)))))),"-&gt;","&lt;-"))</f>
        <v/>
      </c>
      <c r="BJ457" s="132" t="str">
        <f aca="false">IF(ISBLANK($C457),"",AND($AT457,OR($AU457="",$AV457="",AND($AW457,$AX457=""))))</f>
        <v/>
      </c>
      <c r="BK457" s="135" t="str">
        <f aca="false">IF($BR457&lt;&gt;Constants!$B$8,"",IF($AT457,Constants!$B$21*$AV457+Constants!$B$22*IF($AW457,$AX457,Constants!$B$23),Constants!$B$24))</f>
        <v/>
      </c>
      <c r="BL457" s="136" t="str">
        <f aca="false">IF($BR457&lt;&gt;Constants!$B$8,"",Constants!$B$25*ABS($AD$9-IF($AT457,$AU457,0)))</f>
        <v/>
      </c>
      <c r="BM457" s="136" t="str">
        <f aca="false">IF($BR457&lt;&gt;Constants!$B$8,"",IF(AND($AT457,$AY457,$AW457),Constants!$B$27,0))</f>
        <v/>
      </c>
      <c r="BN457" s="136" t="str">
        <f aca="false">IF($BR457&lt;&gt;Constants!$B$8,"",IF($AT457,($AI457-Constants!$B$29)*Constants!$B$28,0))</f>
        <v/>
      </c>
      <c r="BO457" s="136" t="str">
        <f aca="false">IF($BR457&lt;&gt;Constants!$B$8,"",IF($AS457,0,Constants!$B$15)+IF($AR457,0,Constants!$B$16)+IF($AH457,0,Constants!$B$17))</f>
        <v/>
      </c>
      <c r="BP457" s="137" t="str">
        <f aca="false">IF($BR457&lt;&gt;Constants!$B$8,"",Constants!$B$20+SUM($BK457:$BO457))</f>
        <v/>
      </c>
      <c r="BQ457" s="133" t="str">
        <f aca="false">IF(ISBLANK($C457),"",IF(ISBLANK($D$7),$BQ$5,IF(NOT(ISNUMBER($D$7)),$BQ$6,"")))</f>
        <v/>
      </c>
      <c r="BR457" s="133" t="str">
        <f aca="false">IF(ISBLANK($C457),"",IF($BA457,Constants!$B$11,IF(COUNTA($E457:$AA457)=0,Constants!$B$10,IF(NOT($AG457),Constants!$B$9,IF(OR($BQ457&lt;&gt;"",$BB457,$BJ457),Constants!$B$12,Constants!$B$8)))))</f>
        <v/>
      </c>
      <c r="BS457" s="133" t="str">
        <f aca="false">IF(ISBLANK($C457),"",IF($BR457&lt;&gt;Constants!$B$8,$BR457,Constants!$B$13))</f>
        <v/>
      </c>
      <c r="BT457" s="136" t="str">
        <f aca="false">IF($BR457&lt;&gt;Constants!$B$8,"",IF($BI457="-&gt;",$BP457,$BH457))</f>
        <v/>
      </c>
      <c r="BU457" s="136" t="str">
        <f aca="false">IF($BR457&lt;&gt;Constants!$B$8,"",IF($AF457,0,Constants!$B$18))</f>
        <v/>
      </c>
      <c r="BV457" s="136" t="str">
        <f aca="false">IF($BR457&lt;&gt;Constants!$B$8,"",((Constants!$B$31-$AZ457)-Constants!$B$31)/Constants!$B$32)</f>
        <v/>
      </c>
      <c r="BW457" s="136" t="str">
        <f aca="false">IF(ISBLANK($C457),"",IF($BR457&lt;&gt;Constants!$B$8,$BR457,SUM($BT457:$BV457)))</f>
        <v/>
      </c>
      <c r="BX457" s="133" t="str">
        <f aca="false">IF(ISBLANK($C457),"",IF($BR457&lt;&gt;Constants!$B$8,$BR457,RANK($BW457,$BW$9:$BW$508,1)))</f>
        <v/>
      </c>
      <c r="BY457" s="136" t="str">
        <f aca="false">IF($BR457&lt;&gt;Constants!$B$8,"",IF($BI457="-&gt;",$BK457,$BC457))</f>
        <v/>
      </c>
      <c r="BZ457" s="133" t="str">
        <f aca="false">IF(ISBLANK($C457),"",IF($BR457&lt;&gt;Constants!$B$8,$BR457,IF(ISNUMBER($BY457),RANK($BY457,$BY$9:$BY$508,1),COUNT($BY$9:$BY$508)+1)))</f>
        <v/>
      </c>
      <c r="CA457" s="136" t="str">
        <f aca="false">IF($BR457&lt;&gt;Constants!$B$8,"",IF($BI457="-&gt;",$BL457,$BD457))</f>
        <v/>
      </c>
      <c r="CB457" s="133" t="str">
        <f aca="false">IF(ISBLANK($C457),"",IF($BR457&lt;&gt;Constants!$B$8,$BR457,IF(ISNUMBER($CA457),RANK($CA457,$CA$9:$CA$508,1),COUNT($CA$9:$CA$508)+1)))</f>
        <v/>
      </c>
      <c r="CC457" s="136" t="str">
        <f aca="false">IF($BR457&lt;&gt;Constants!$B$8,"",IF($BI457="-&gt;",IF($AT457,$AV457,""),IF($AL457,$AN457,"")))</f>
        <v/>
      </c>
      <c r="CD457" s="133" t="str">
        <f aca="false">IF(ISBLANK($C457),"",IF($BR457&lt;&gt;Constants!$B$8,$BR457,IF(ISNUMBER($CC457),RANK($CC457,$CC$9:$CC$508,1),COUNT($CC$9:$CC$508)+1)))</f>
        <v/>
      </c>
      <c r="CE457" s="136" t="str">
        <f aca="false">IF($BR457&lt;&gt;Constants!$B$8,"",IF(AND(NOT($AL457),NOT($AT457),$AJ457,$AK457,$AR457,$AS457),"",$AI457))</f>
        <v/>
      </c>
      <c r="CF457" s="133" t="str">
        <f aca="false">IF(ISBLANK($C457),"",IF($BR457&lt;&gt;Constants!$B$8,$BR457,IF(ISNUMBER($CE457),RANK($CE457,$CE$9:$CE$508,1),COUNT($CE$9:$CE$508)+1)))</f>
        <v/>
      </c>
      <c r="CG457" s="133" t="str">
        <f aca="false">IF(ISBLANK($C457),"",IF($BR457&lt;&gt;Constants!$B$8,$BR457,COUNTIFS($BX$9:$BX$508,"&lt;"&amp;$BX457)+COUNTIFS($BX$9:$BX$508,$BX457,$BZ$9:$BZ$508,"&lt;"&amp;$BZ457)+COUNTIFS($BX$9:$BX$508,$BX457,$BZ$9:$BZ$508,$BZ457,$CB$9:$CB$508,"&lt;"&amp;$CB457)+COUNTIFS($BX$9:$BX$508,$BX457,$BZ$9:$BZ$508,$BZ457,$CB$9:$CB$508,$CB457,$CD$9:$CD$508,"&lt;"&amp;$CD457)+COUNTIFS($BX$9:$BX$508,$BX457,$BZ$9:$BZ$508,$BZ457,$CB$9:$CB$508,$CB457,$CD$9:$CD$508,$CD457,$CF$9:$CF$508,"&lt;"&amp;$CF457)+1))</f>
        <v/>
      </c>
      <c r="CH457" s="133" t="str">
        <f aca="false">IF(ISBLANK($C457),"",IF($BR457&lt;&gt;Constants!$B$8,$BR457,$BX457-$CG457))</f>
        <v/>
      </c>
      <c r="CI457" s="138"/>
      <c r="CJ457" s="139"/>
      <c r="CK457" s="140" t="str">
        <f aca="false">IF(ISBLANK($C457),"",IF($BR457=Constants!$B$12,$BQ457,""))</f>
        <v/>
      </c>
      <c r="CL457" s="139" t="str">
        <f aca="false">IF(ISBLANK($C457),"",IF($BR457&lt;&gt;Constants!$B$8,"",IF($BI457="-&gt;",2,1)))</f>
        <v/>
      </c>
      <c r="CM457" s="141" t="str">
        <f aca="false">IF(ISBLANK($C457),"",IF($BR457&lt;&gt;Constants!$B$8,"",IF($BI457="-&gt;",$BK457,$BC457)))</f>
        <v/>
      </c>
      <c r="CN457" s="141" t="str">
        <f aca="false">IF(ISBLANK($C457),"",IF($BR457&lt;&gt;Constants!$B$8,"",IF($BI457="-&gt;",$BL457,$BD457)))</f>
        <v/>
      </c>
      <c r="CO457" s="141" t="str">
        <f aca="false">IF(ISBLANK($C457),"",IF($BR457&lt;&gt;Constants!$B$8,"",IF($BI457="-&gt;",$BM457+$BN457,$BE457+$BF457)+$BV457))</f>
        <v/>
      </c>
      <c r="CP457" s="141" t="str">
        <f aca="false">IF(ISBLANK($C457),"",IF($BR457&lt;&gt;Constants!$B$8,"",IF($BI457="-&gt;",$BO457,$BG457)+$BU457))</f>
        <v/>
      </c>
      <c r="CQ457" s="142" t="str">
        <f aca="false">IF(ISBLANK($C457),"",IF($BR457&lt;&gt;Constants!$B$8,$BR457,$BW457))</f>
        <v/>
      </c>
      <c r="CR457" s="143" t="str">
        <f aca="false">IF(ISBLANK($C457),"",$BS457)</f>
        <v/>
      </c>
      <c r="CS457" s="144" t="str">
        <f aca="false">IF(ISBLANK($C457),"",$CH457)</f>
        <v/>
      </c>
      <c r="CT457" s="144" t="str">
        <f aca="false">IF(ISBLANK($C457),"",$CG457)</f>
        <v/>
      </c>
      <c r="CU457" s="145" t="str">
        <f aca="false">IF(ISBLANK($C457),"",IFERROR(_xlfn.SWITCH($CT457,Constants!$B$11,COUNTA($C$9:$C$508)+2,Constants!$B$10,COUNTA($C$9:$C$508)+1,Constants!$B$9,COUNTA($C$9:$C$508)),$CT457))</f>
        <v/>
      </c>
      <c r="CV457" s="9"/>
      <c r="CW457" s="146" t="n">
        <f aca="false">IF(OR(ISNUMBER($CT457),$CT457=Constants!$B$11,$CT457=Constants!$B$9,$CT457=Constants!$B$10),1,0)</f>
        <v>0</v>
      </c>
      <c r="CX457" s="146" t="n">
        <v>449</v>
      </c>
      <c r="CY457" s="146" t="str">
        <f aca="false">IF(ISBLANK($C457),"",IF(ISNUMBER($CU457),$CU457+ROW($B457)/1000,""))</f>
        <v/>
      </c>
      <c r="CZ457" s="146" t="str">
        <f aca="false">IF(ISNUMBER($CY457),RANK($CY457,$CY$9:$CY$508,1),"")</f>
        <v/>
      </c>
      <c r="DA457" s="146" t="str">
        <f aca="false">IF(ISBLANK($C457),"",$B457)</f>
        <v/>
      </c>
      <c r="DB457" s="146" t="str">
        <f aca="false">IF(ISBLANK($C457),"",$C457)</f>
        <v/>
      </c>
      <c r="DC457" s="146" t="str">
        <f aca="false">IF(ISBLANK($C457),"",$D457)</f>
        <v/>
      </c>
      <c r="DD457" s="147" t="str">
        <f aca="false">$CR457</f>
        <v/>
      </c>
      <c r="DE457" s="148" t="str">
        <f aca="false">$CQ457</f>
        <v/>
      </c>
      <c r="DF457" s="146" t="str">
        <f aca="false">IF(ISBLANK($C457),"",$CT457)</f>
        <v/>
      </c>
      <c r="DG457" s="149" t="str">
        <f aca="false">IF($CX457&gt;$CW$8,"",VLOOKUP($CX457,$CZ$9:$DF$508,7,FALSE()))</f>
        <v/>
      </c>
      <c r="DH457" s="150" t="str">
        <f aca="false">IF($CX457&gt;$CW$8,"",VLOOKUP($CX457,$CZ$9:$DF$508,2,FALSE()))</f>
        <v/>
      </c>
      <c r="DI457" s="150" t="str">
        <f aca="false">IF($CX457&gt;$CW$8,"",VLOOKUP($CX457,$CZ$9:$DF$508,3,FALSE()))</f>
        <v/>
      </c>
      <c r="DJ457" s="150" t="str">
        <f aca="false">IF($CX457&gt;$CW$8,"",VLOOKUP($CX457,$CZ$9:$DF$508,4,FALSE()))</f>
        <v/>
      </c>
      <c r="DK457" s="150" t="str">
        <f aca="false">IF($CX457&gt;$CW$8,"",VLOOKUP($CX457,$CZ$9:$DF$508,5,FALSE()))</f>
        <v/>
      </c>
      <c r="DL457" s="151" t="str">
        <f aca="false">IF($CX457&gt;$CW$8,"",VLOOKUP($CX457,$CZ$9:$DF$508,6,FALSE()))</f>
        <v/>
      </c>
      <c r="DM457" s="75"/>
    </row>
    <row r="458" customFormat="false" ht="15.75" hidden="false" customHeight="false" outlineLevel="0" collapsed="false">
      <c r="A458" s="9"/>
      <c r="B458" s="157"/>
      <c r="C458" s="158"/>
      <c r="D458" s="159"/>
      <c r="E458" s="177"/>
      <c r="F458" s="161"/>
      <c r="G458" s="162"/>
      <c r="H458" s="162"/>
      <c r="I458" s="178"/>
      <c r="J458" s="165"/>
      <c r="K458" s="126"/>
      <c r="L458" s="127"/>
      <c r="M458" s="128"/>
      <c r="N458" s="165"/>
      <c r="O458" s="165"/>
      <c r="P458" s="177"/>
      <c r="Q458" s="165"/>
      <c r="R458" s="165"/>
      <c r="S458" s="126"/>
      <c r="T458" s="128"/>
      <c r="U458" s="128"/>
      <c r="V458" s="165"/>
      <c r="W458" s="165"/>
      <c r="X458" s="177"/>
      <c r="Y458" s="165"/>
      <c r="Z458" s="166"/>
      <c r="AA458" s="165"/>
      <c r="AB458" s="132"/>
      <c r="AC458" s="133"/>
      <c r="AD458" s="133"/>
      <c r="AE458" s="133"/>
      <c r="AF458" s="133" t="str">
        <f aca="false">IF(ISBLANK($C458),"",IF(E458=Constants!$B$3,TRUE(),IF(E458=Constants!$B$4,FALSE(),TRUE())))</f>
        <v/>
      </c>
      <c r="AG458" s="133" t="str">
        <f aca="false">IF(ISBLANK($C458),"",IF(F458=Constants!$B$3,TRUE(),IF(F458=Constants!$B$4,FALSE(),TRUE())))</f>
        <v/>
      </c>
      <c r="AH458" s="133" t="str">
        <f aca="false">IF(ISBLANK($C458),"",IF(G458=Constants!$B$3,TRUE(),IF(G458=Constants!$B$4,FALSE(),TRUE())))</f>
        <v/>
      </c>
      <c r="AI458" s="133" t="str">
        <f aca="false">IF(ISBLANK($C458),"",IF(AND(ISNUMBER(H458),H458&gt;=0),H458,Constants!$B$29))</f>
        <v/>
      </c>
      <c r="AJ458" s="133" t="str">
        <f aca="false">IF(ISBLANK($C458),"",IF(I458=Constants!$B$3,TRUE(),IF(I458=Constants!$B$4,FALSE(),TRUE())))</f>
        <v/>
      </c>
      <c r="AK458" s="133" t="str">
        <f aca="false">IF(ISBLANK($C458),"",IF(J458=Constants!$B$3,TRUE(),IF(J458=Constants!$B$4,FALSE(),TRUE())))</f>
        <v/>
      </c>
      <c r="AL458" s="133" t="str">
        <f aca="false">IF(ISBLANK($C458),"",IF(K458=Constants!$B$5,TRUE(),IF(K458=Constants!$B$6,FALSE(),COUNTA(L458:P458)&gt;0)))</f>
        <v/>
      </c>
      <c r="AM458" s="134" t="str">
        <f aca="false">IF(ISBLANK($C458),"",IF(ISNUMBER(L458),IF(L458&gt;=0,L458,""),""))</f>
        <v/>
      </c>
      <c r="AN458" s="135" t="str">
        <f aca="false">IF(ISBLANK($C458),"",IF(ISNUMBER(M458),IF(M458&gt;=0,M458,""),""))</f>
        <v/>
      </c>
      <c r="AO458" s="135" t="str">
        <f aca="false">IF(ISBLANK($C458),"",IF(N458=Constants!$B$3,TRUE(),IF(N458=Constants!$B$4,FALSE(),TRUE())))</f>
        <v/>
      </c>
      <c r="AP458" s="133" t="str">
        <f aca="false">IF(ISBLANK($C458),"",IF(ISNUMBER(O458),IF(O458&gt;=0,O458,""),""))</f>
        <v/>
      </c>
      <c r="AQ458" s="133" t="str">
        <f aca="false">IF(ISBLANK($C458),"",IF(P458=Constants!$B$3,TRUE(),IF(P458=Constants!$B$4,FALSE(),FALSE())))</f>
        <v/>
      </c>
      <c r="AR458" s="133" t="str">
        <f aca="false">IF(ISBLANK($C458),"",IF(Q458=Constants!$B$3,TRUE(),IF(Q458=Constants!$B$4,FALSE(),TRUE())))</f>
        <v/>
      </c>
      <c r="AS458" s="133" t="str">
        <f aca="false">IF(ISBLANK($C458),"",IF(R458=Constants!$B$3,TRUE(),IF(R458=Constants!$B$4,FALSE(),TRUE())))</f>
        <v/>
      </c>
      <c r="AT458" s="133" t="str">
        <f aca="false">IF(ISBLANK($C458),"",IF(S458=Constants!$B$5,TRUE(),IF(S458=Constants!$B$6,FALSE(),COUNTA(T458:X458)&gt;0)))</f>
        <v/>
      </c>
      <c r="AU458" s="134" t="str">
        <f aca="false">IF(ISBLANK($C458),"",IF(ISNUMBER(T458),IF(T458&gt;=0,T458,""),""))</f>
        <v/>
      </c>
      <c r="AV458" s="135" t="str">
        <f aca="false">IF(ISBLANK($C458),"",IF(ISNUMBER(U458),IF(U458&gt;=0,U458,""),""))</f>
        <v/>
      </c>
      <c r="AW458" s="135" t="str">
        <f aca="false">IF(ISBLANK($C458),"",IF(V458=Constants!$B$3,TRUE(),IF(V458=Constants!$B$4,FALSE(),TRUE())))</f>
        <v/>
      </c>
      <c r="AX458" s="133" t="str">
        <f aca="false">IF(ISBLANK($C458),"",IF(ISNUMBER(W458),IF(W458&gt;=0,W458,""),""))</f>
        <v/>
      </c>
      <c r="AY458" s="133" t="str">
        <f aca="false">IF(ISBLANK($C458),"",IF(X458=Constants!$B$3,TRUE(),IF(X458=Constants!$B$4,FALSE(),FALSE())))</f>
        <v/>
      </c>
      <c r="AZ458" s="133" t="str">
        <f aca="false">IF(ISBLANK($C458),"",MIN(Constants!$B$31,MAX(0,IF(ISNUMBER(Y458),Y458*60,0)+IF(ISNUMBER(Z458),Z458,0))))</f>
        <v/>
      </c>
      <c r="BA458" s="133" t="str">
        <f aca="false">IF(ISBLANK($C458),"",IF(AA458=Constants!$B$3,TRUE(),IF(AA458=Constants!$B$4,FALSE(),FALSE())))</f>
        <v/>
      </c>
      <c r="BB458" s="132" t="str">
        <f aca="false">IF(ISBLANK($C458),"",AND($AL458,OR($AM458="",$AN458="",AND($AO458,$AP458=""))))</f>
        <v/>
      </c>
      <c r="BC458" s="135" t="str">
        <f aca="false">IF($BR458&lt;&gt;Constants!$B$8,"",IF($AL458,Constants!$B$21*$AN458+Constants!$B$22*IF($AO458,$AP458,Constants!$B$23),Constants!$B$24))</f>
        <v/>
      </c>
      <c r="BD458" s="136" t="str">
        <f aca="false">IF($BR458&lt;&gt;Constants!$B$8,"",Constants!$B$25*ABS($AD$9-IF($AL458,$AM458,0)))</f>
        <v/>
      </c>
      <c r="BE458" s="136" t="str">
        <f aca="false">IF($BR458&lt;&gt;Constants!$B$8,"",IF(AND($AL458,$AQ458,$AO458),Constants!$B$27,0))</f>
        <v/>
      </c>
      <c r="BF458" s="136" t="str">
        <f aca="false">IF($BR458&lt;&gt;Constants!$B$8,"",IF($AL458,($AI458-Constants!$B$29)*Constants!$B$28,0))</f>
        <v/>
      </c>
      <c r="BG458" s="136" t="str">
        <f aca="false">IF($BR458&lt;&gt;Constants!$B$8,"",IF($AK458,0,Constants!$B$15)+IF($AJ458,0,Constants!$B$16)+IF($AH458,0,Constants!$B$17))</f>
        <v/>
      </c>
      <c r="BH458" s="137" t="str">
        <f aca="false">IF($BR458&lt;&gt;Constants!$B$8,"",Constants!$B$20+SUM($BC458:$BG458))</f>
        <v/>
      </c>
      <c r="BI458" s="133" t="str">
        <f aca="false">IF($BR458&lt;&gt;Constants!$B$8,"",IF(OR($BP458&lt;$BH458,AND($BP458=$BH458,OR($BK458&lt;$BC458,AND($BK458=$BC458,OR($BL458&lt;$BD458,AND($BL458=$BD458,$AT458,$AL458,$AV458&lt;$AN458)))))),"-&gt;","&lt;-"))</f>
        <v/>
      </c>
      <c r="BJ458" s="132" t="str">
        <f aca="false">IF(ISBLANK($C458),"",AND($AT458,OR($AU458="",$AV458="",AND($AW458,$AX458=""))))</f>
        <v/>
      </c>
      <c r="BK458" s="135" t="str">
        <f aca="false">IF($BR458&lt;&gt;Constants!$B$8,"",IF($AT458,Constants!$B$21*$AV458+Constants!$B$22*IF($AW458,$AX458,Constants!$B$23),Constants!$B$24))</f>
        <v/>
      </c>
      <c r="BL458" s="136" t="str">
        <f aca="false">IF($BR458&lt;&gt;Constants!$B$8,"",Constants!$B$25*ABS($AD$9-IF($AT458,$AU458,0)))</f>
        <v/>
      </c>
      <c r="BM458" s="136" t="str">
        <f aca="false">IF($BR458&lt;&gt;Constants!$B$8,"",IF(AND($AT458,$AY458,$AW458),Constants!$B$27,0))</f>
        <v/>
      </c>
      <c r="BN458" s="136" t="str">
        <f aca="false">IF($BR458&lt;&gt;Constants!$B$8,"",IF($AT458,($AI458-Constants!$B$29)*Constants!$B$28,0))</f>
        <v/>
      </c>
      <c r="BO458" s="136" t="str">
        <f aca="false">IF($BR458&lt;&gt;Constants!$B$8,"",IF($AS458,0,Constants!$B$15)+IF($AR458,0,Constants!$B$16)+IF($AH458,0,Constants!$B$17))</f>
        <v/>
      </c>
      <c r="BP458" s="137" t="str">
        <f aca="false">IF($BR458&lt;&gt;Constants!$B$8,"",Constants!$B$20+SUM($BK458:$BO458))</f>
        <v/>
      </c>
      <c r="BQ458" s="133" t="str">
        <f aca="false">IF(ISBLANK($C458),"",IF(ISBLANK($D$7),$BQ$5,IF(NOT(ISNUMBER($D$7)),$BQ$6,"")))</f>
        <v/>
      </c>
      <c r="BR458" s="133" t="str">
        <f aca="false">IF(ISBLANK($C458),"",IF($BA458,Constants!$B$11,IF(COUNTA($E458:$AA458)=0,Constants!$B$10,IF(NOT($AG458),Constants!$B$9,IF(OR($BQ458&lt;&gt;"",$BB458,$BJ458),Constants!$B$12,Constants!$B$8)))))</f>
        <v/>
      </c>
      <c r="BS458" s="133" t="str">
        <f aca="false">IF(ISBLANK($C458),"",IF($BR458&lt;&gt;Constants!$B$8,$BR458,Constants!$B$13))</f>
        <v/>
      </c>
      <c r="BT458" s="136" t="str">
        <f aca="false">IF($BR458&lt;&gt;Constants!$B$8,"",IF($BI458="-&gt;",$BP458,$BH458))</f>
        <v/>
      </c>
      <c r="BU458" s="136" t="str">
        <f aca="false">IF($BR458&lt;&gt;Constants!$B$8,"",IF($AF458,0,Constants!$B$18))</f>
        <v/>
      </c>
      <c r="BV458" s="136" t="str">
        <f aca="false">IF($BR458&lt;&gt;Constants!$B$8,"",((Constants!$B$31-$AZ458)-Constants!$B$31)/Constants!$B$32)</f>
        <v/>
      </c>
      <c r="BW458" s="136" t="str">
        <f aca="false">IF(ISBLANK($C458),"",IF($BR458&lt;&gt;Constants!$B$8,$BR458,SUM($BT458:$BV458)))</f>
        <v/>
      </c>
      <c r="BX458" s="133" t="str">
        <f aca="false">IF(ISBLANK($C458),"",IF($BR458&lt;&gt;Constants!$B$8,$BR458,RANK($BW458,$BW$9:$BW$508,1)))</f>
        <v/>
      </c>
      <c r="BY458" s="136" t="str">
        <f aca="false">IF($BR458&lt;&gt;Constants!$B$8,"",IF($BI458="-&gt;",$BK458,$BC458))</f>
        <v/>
      </c>
      <c r="BZ458" s="133" t="str">
        <f aca="false">IF(ISBLANK($C458),"",IF($BR458&lt;&gt;Constants!$B$8,$BR458,IF(ISNUMBER($BY458),RANK($BY458,$BY$9:$BY$508,1),COUNT($BY$9:$BY$508)+1)))</f>
        <v/>
      </c>
      <c r="CA458" s="136" t="str">
        <f aca="false">IF($BR458&lt;&gt;Constants!$B$8,"",IF($BI458="-&gt;",$BL458,$BD458))</f>
        <v/>
      </c>
      <c r="CB458" s="133" t="str">
        <f aca="false">IF(ISBLANK($C458),"",IF($BR458&lt;&gt;Constants!$B$8,$BR458,IF(ISNUMBER($CA458),RANK($CA458,$CA$9:$CA$508,1),COUNT($CA$9:$CA$508)+1)))</f>
        <v/>
      </c>
      <c r="CC458" s="136" t="str">
        <f aca="false">IF($BR458&lt;&gt;Constants!$B$8,"",IF($BI458="-&gt;",IF($AT458,$AV458,""),IF($AL458,$AN458,"")))</f>
        <v/>
      </c>
      <c r="CD458" s="133" t="str">
        <f aca="false">IF(ISBLANK($C458),"",IF($BR458&lt;&gt;Constants!$B$8,$BR458,IF(ISNUMBER($CC458),RANK($CC458,$CC$9:$CC$508,1),COUNT($CC$9:$CC$508)+1)))</f>
        <v/>
      </c>
      <c r="CE458" s="136" t="str">
        <f aca="false">IF($BR458&lt;&gt;Constants!$B$8,"",IF(AND(NOT($AL458),NOT($AT458),$AJ458,$AK458,$AR458,$AS458),"",$AI458))</f>
        <v/>
      </c>
      <c r="CF458" s="133" t="str">
        <f aca="false">IF(ISBLANK($C458),"",IF($BR458&lt;&gt;Constants!$B$8,$BR458,IF(ISNUMBER($CE458),RANK($CE458,$CE$9:$CE$508,1),COUNT($CE$9:$CE$508)+1)))</f>
        <v/>
      </c>
      <c r="CG458" s="133" t="str">
        <f aca="false">IF(ISBLANK($C458),"",IF($BR458&lt;&gt;Constants!$B$8,$BR458,COUNTIFS($BX$9:$BX$508,"&lt;"&amp;$BX458)+COUNTIFS($BX$9:$BX$508,$BX458,$BZ$9:$BZ$508,"&lt;"&amp;$BZ458)+COUNTIFS($BX$9:$BX$508,$BX458,$BZ$9:$BZ$508,$BZ458,$CB$9:$CB$508,"&lt;"&amp;$CB458)+COUNTIFS($BX$9:$BX$508,$BX458,$BZ$9:$BZ$508,$BZ458,$CB$9:$CB$508,$CB458,$CD$9:$CD$508,"&lt;"&amp;$CD458)+COUNTIFS($BX$9:$BX$508,$BX458,$BZ$9:$BZ$508,$BZ458,$CB$9:$CB$508,$CB458,$CD$9:$CD$508,$CD458,$CF$9:$CF$508,"&lt;"&amp;$CF458)+1))</f>
        <v/>
      </c>
      <c r="CH458" s="133" t="str">
        <f aca="false">IF(ISBLANK($C458),"",IF($BR458&lt;&gt;Constants!$B$8,$BR458,$BX458-$CG458))</f>
        <v/>
      </c>
      <c r="CI458" s="138"/>
      <c r="CJ458" s="139"/>
      <c r="CK458" s="140" t="str">
        <f aca="false">IF(ISBLANK($C458),"",IF($BR458=Constants!$B$12,$BQ458,""))</f>
        <v/>
      </c>
      <c r="CL458" s="139" t="str">
        <f aca="false">IF(ISBLANK($C458),"",IF($BR458&lt;&gt;Constants!$B$8,"",IF($BI458="-&gt;",2,1)))</f>
        <v/>
      </c>
      <c r="CM458" s="141" t="str">
        <f aca="false">IF(ISBLANK($C458),"",IF($BR458&lt;&gt;Constants!$B$8,"",IF($BI458="-&gt;",$BK458,$BC458)))</f>
        <v/>
      </c>
      <c r="CN458" s="141" t="str">
        <f aca="false">IF(ISBLANK($C458),"",IF($BR458&lt;&gt;Constants!$B$8,"",IF($BI458="-&gt;",$BL458,$BD458)))</f>
        <v/>
      </c>
      <c r="CO458" s="141" t="str">
        <f aca="false">IF(ISBLANK($C458),"",IF($BR458&lt;&gt;Constants!$B$8,"",IF($BI458="-&gt;",$BM458+$BN458,$BE458+$BF458)+$BV458))</f>
        <v/>
      </c>
      <c r="CP458" s="141" t="str">
        <f aca="false">IF(ISBLANK($C458),"",IF($BR458&lt;&gt;Constants!$B$8,"",IF($BI458="-&gt;",$BO458,$BG458)+$BU458))</f>
        <v/>
      </c>
      <c r="CQ458" s="142" t="str">
        <f aca="false">IF(ISBLANK($C458),"",IF($BR458&lt;&gt;Constants!$B$8,$BR458,$BW458))</f>
        <v/>
      </c>
      <c r="CR458" s="143" t="str">
        <f aca="false">IF(ISBLANK($C458),"",$BS458)</f>
        <v/>
      </c>
      <c r="CS458" s="144" t="str">
        <f aca="false">IF(ISBLANK($C458),"",$CH458)</f>
        <v/>
      </c>
      <c r="CT458" s="144" t="str">
        <f aca="false">IF(ISBLANK($C458),"",$CG458)</f>
        <v/>
      </c>
      <c r="CU458" s="145" t="str">
        <f aca="false">IF(ISBLANK($C458),"",IFERROR(_xlfn.SWITCH($CT458,Constants!$B$11,COUNTA($C$9:$C$508)+2,Constants!$B$10,COUNTA($C$9:$C$508)+1,Constants!$B$9,COUNTA($C$9:$C$508)),$CT458))</f>
        <v/>
      </c>
      <c r="CV458" s="9"/>
      <c r="CW458" s="146" t="n">
        <f aca="false">IF(OR(ISNUMBER($CT458),$CT458=Constants!$B$11,$CT458=Constants!$B$9,$CT458=Constants!$B$10),1,0)</f>
        <v>0</v>
      </c>
      <c r="CX458" s="146" t="n">
        <v>450</v>
      </c>
      <c r="CY458" s="146" t="str">
        <f aca="false">IF(ISBLANK($C458),"",IF(ISNUMBER($CU458),$CU458+ROW($B458)/1000,""))</f>
        <v/>
      </c>
      <c r="CZ458" s="146" t="str">
        <f aca="false">IF(ISNUMBER($CY458),RANK($CY458,$CY$9:$CY$508,1),"")</f>
        <v/>
      </c>
      <c r="DA458" s="146" t="str">
        <f aca="false">IF(ISBLANK($C458),"",$B458)</f>
        <v/>
      </c>
      <c r="DB458" s="146" t="str">
        <f aca="false">IF(ISBLANK($C458),"",$C458)</f>
        <v/>
      </c>
      <c r="DC458" s="146" t="str">
        <f aca="false">IF(ISBLANK($C458),"",$D458)</f>
        <v/>
      </c>
      <c r="DD458" s="147" t="str">
        <f aca="false">$CR458</f>
        <v/>
      </c>
      <c r="DE458" s="148" t="str">
        <f aca="false">$CQ458</f>
        <v/>
      </c>
      <c r="DF458" s="146" t="str">
        <f aca="false">IF(ISBLANK($C458),"",$CT458)</f>
        <v/>
      </c>
      <c r="DG458" s="149" t="str">
        <f aca="false">IF($CX458&gt;$CW$8,"",VLOOKUP($CX458,$CZ$9:$DF$508,7,FALSE()))</f>
        <v/>
      </c>
      <c r="DH458" s="150" t="str">
        <f aca="false">IF($CX458&gt;$CW$8,"",VLOOKUP($CX458,$CZ$9:$DF$508,2,FALSE()))</f>
        <v/>
      </c>
      <c r="DI458" s="150" t="str">
        <f aca="false">IF($CX458&gt;$CW$8,"",VLOOKUP($CX458,$CZ$9:$DF$508,3,FALSE()))</f>
        <v/>
      </c>
      <c r="DJ458" s="150" t="str">
        <f aca="false">IF($CX458&gt;$CW$8,"",VLOOKUP($CX458,$CZ$9:$DF$508,4,FALSE()))</f>
        <v/>
      </c>
      <c r="DK458" s="150" t="str">
        <f aca="false">IF($CX458&gt;$CW$8,"",VLOOKUP($CX458,$CZ$9:$DF$508,5,FALSE()))</f>
        <v/>
      </c>
      <c r="DL458" s="151" t="str">
        <f aca="false">IF($CX458&gt;$CW$8,"",VLOOKUP($CX458,$CZ$9:$DF$508,6,FALSE()))</f>
        <v/>
      </c>
      <c r="DM458" s="75"/>
    </row>
    <row r="459" customFormat="false" ht="15.75" hidden="false" customHeight="false" outlineLevel="0" collapsed="false">
      <c r="A459" s="9"/>
      <c r="B459" s="77"/>
      <c r="C459" s="78"/>
      <c r="D459" s="167"/>
      <c r="E459" s="175"/>
      <c r="F459" s="169"/>
      <c r="G459" s="170"/>
      <c r="H459" s="170"/>
      <c r="I459" s="176"/>
      <c r="J459" s="173"/>
      <c r="K459" s="85"/>
      <c r="L459" s="86"/>
      <c r="M459" s="87"/>
      <c r="N459" s="173"/>
      <c r="O459" s="173"/>
      <c r="P459" s="175"/>
      <c r="Q459" s="173"/>
      <c r="R459" s="173"/>
      <c r="S459" s="85"/>
      <c r="T459" s="87"/>
      <c r="U459" s="87"/>
      <c r="V459" s="173"/>
      <c r="W459" s="173"/>
      <c r="X459" s="175"/>
      <c r="Y459" s="173"/>
      <c r="Z459" s="174"/>
      <c r="AA459" s="173"/>
      <c r="AB459" s="91"/>
      <c r="AC459" s="92"/>
      <c r="AD459" s="92"/>
      <c r="AE459" s="92"/>
      <c r="AF459" s="92" t="str">
        <f aca="false">IF(ISBLANK($C459),"",IF(E459=Constants!$B$3,TRUE(),IF(E459=Constants!$B$4,FALSE(),TRUE())))</f>
        <v/>
      </c>
      <c r="AG459" s="92" t="str">
        <f aca="false">IF(ISBLANK($C459),"",IF(F459=Constants!$B$3,TRUE(),IF(F459=Constants!$B$4,FALSE(),TRUE())))</f>
        <v/>
      </c>
      <c r="AH459" s="92" t="str">
        <f aca="false">IF(ISBLANK($C459),"",IF(G459=Constants!$B$3,TRUE(),IF(G459=Constants!$B$4,FALSE(),TRUE())))</f>
        <v/>
      </c>
      <c r="AI459" s="92" t="str">
        <f aca="false">IF(ISBLANK($C459),"",IF(AND(ISNUMBER(H459),H459&gt;=0),H459,Constants!$B$29))</f>
        <v/>
      </c>
      <c r="AJ459" s="92" t="str">
        <f aca="false">IF(ISBLANK($C459),"",IF(I459=Constants!$B$3,TRUE(),IF(I459=Constants!$B$4,FALSE(),TRUE())))</f>
        <v/>
      </c>
      <c r="AK459" s="92" t="str">
        <f aca="false">IF(ISBLANK($C459),"",IF(J459=Constants!$B$3,TRUE(),IF(J459=Constants!$B$4,FALSE(),TRUE())))</f>
        <v/>
      </c>
      <c r="AL459" s="92" t="str">
        <f aca="false">IF(ISBLANK($C459),"",IF(K459=Constants!$B$5,TRUE(),IF(K459=Constants!$B$6,FALSE(),COUNTA(L459:P459)&gt;0)))</f>
        <v/>
      </c>
      <c r="AM459" s="94" t="str">
        <f aca="false">IF(ISBLANK($C459),"",IF(ISNUMBER(L459),IF(L459&gt;=0,L459,""),""))</f>
        <v/>
      </c>
      <c r="AN459" s="93" t="str">
        <f aca="false">IF(ISBLANK($C459),"",IF(ISNUMBER(M459),IF(M459&gt;=0,M459,""),""))</f>
        <v/>
      </c>
      <c r="AO459" s="93" t="str">
        <f aca="false">IF(ISBLANK($C459),"",IF(N459=Constants!$B$3,TRUE(),IF(N459=Constants!$B$4,FALSE(),TRUE())))</f>
        <v/>
      </c>
      <c r="AP459" s="92" t="str">
        <f aca="false">IF(ISBLANK($C459),"",IF(ISNUMBER(O459),IF(O459&gt;=0,O459,""),""))</f>
        <v/>
      </c>
      <c r="AQ459" s="92" t="str">
        <f aca="false">IF(ISBLANK($C459),"",IF(P459=Constants!$B$3,TRUE(),IF(P459=Constants!$B$4,FALSE(),FALSE())))</f>
        <v/>
      </c>
      <c r="AR459" s="92" t="str">
        <f aca="false">IF(ISBLANK($C459),"",IF(Q459=Constants!$B$3,TRUE(),IF(Q459=Constants!$B$4,FALSE(),TRUE())))</f>
        <v/>
      </c>
      <c r="AS459" s="92" t="str">
        <f aca="false">IF(ISBLANK($C459),"",IF(R459=Constants!$B$3,TRUE(),IF(R459=Constants!$B$4,FALSE(),TRUE())))</f>
        <v/>
      </c>
      <c r="AT459" s="92" t="str">
        <f aca="false">IF(ISBLANK($C459),"",IF(S459=Constants!$B$5,TRUE(),IF(S459=Constants!$B$6,FALSE(),COUNTA(T459:X459)&gt;0)))</f>
        <v/>
      </c>
      <c r="AU459" s="94" t="str">
        <f aca="false">IF(ISBLANK($C459),"",IF(ISNUMBER(T459),IF(T459&gt;=0,T459,""),""))</f>
        <v/>
      </c>
      <c r="AV459" s="93" t="str">
        <f aca="false">IF(ISBLANK($C459),"",IF(ISNUMBER(U459),IF(U459&gt;=0,U459,""),""))</f>
        <v/>
      </c>
      <c r="AW459" s="93" t="str">
        <f aca="false">IF(ISBLANK($C459),"",IF(V459=Constants!$B$3,TRUE(),IF(V459=Constants!$B$4,FALSE(),TRUE())))</f>
        <v/>
      </c>
      <c r="AX459" s="92" t="str">
        <f aca="false">IF(ISBLANK($C459),"",IF(ISNUMBER(W459),IF(W459&gt;=0,W459,""),""))</f>
        <v/>
      </c>
      <c r="AY459" s="92" t="str">
        <f aca="false">IF(ISBLANK($C459),"",IF(X459=Constants!$B$3,TRUE(),IF(X459=Constants!$B$4,FALSE(),FALSE())))</f>
        <v/>
      </c>
      <c r="AZ459" s="92" t="str">
        <f aca="false">IF(ISBLANK($C459),"",MIN(Constants!$B$31,MAX(0,IF(ISNUMBER(Y459),Y459*60,0)+IF(ISNUMBER(Z459),Z459,0))))</f>
        <v/>
      </c>
      <c r="BA459" s="92" t="str">
        <f aca="false">IF(ISBLANK($C459),"",IF(AA459=Constants!$B$3,TRUE(),IF(AA459=Constants!$B$4,FALSE(),FALSE())))</f>
        <v/>
      </c>
      <c r="BB459" s="91" t="str">
        <f aca="false">IF(ISBLANK($C459),"",AND($AL459,OR($AM459="",$AN459="",AND($AO459,$AP459=""))))</f>
        <v/>
      </c>
      <c r="BC459" s="93" t="str">
        <f aca="false">IF($BR459&lt;&gt;Constants!$B$8,"",IF($AL459,Constants!$B$21*$AN459+Constants!$B$22*IF($AO459,$AP459,Constants!$B$23),Constants!$B$24))</f>
        <v/>
      </c>
      <c r="BD459" s="96" t="str">
        <f aca="false">IF($BR459&lt;&gt;Constants!$B$8,"",Constants!$B$25*ABS($AD$9-IF($AL459,$AM459,0)))</f>
        <v/>
      </c>
      <c r="BE459" s="96" t="str">
        <f aca="false">IF($BR459&lt;&gt;Constants!$B$8,"",IF(AND($AL459,$AQ459,$AO459),Constants!$B$27,0))</f>
        <v/>
      </c>
      <c r="BF459" s="96" t="str">
        <f aca="false">IF($BR459&lt;&gt;Constants!$B$8,"",IF($AL459,($AI459-Constants!$B$29)*Constants!$B$28,0))</f>
        <v/>
      </c>
      <c r="BG459" s="96" t="str">
        <f aca="false">IF($BR459&lt;&gt;Constants!$B$8,"",IF($AK459,0,Constants!$B$15)+IF($AJ459,0,Constants!$B$16)+IF($AH459,0,Constants!$B$17))</f>
        <v/>
      </c>
      <c r="BH459" s="97" t="str">
        <f aca="false">IF($BR459&lt;&gt;Constants!$B$8,"",Constants!$B$20+SUM($BC459:$BG459))</f>
        <v/>
      </c>
      <c r="BI459" s="92" t="str">
        <f aca="false">IF($BR459&lt;&gt;Constants!$B$8,"",IF(OR($BP459&lt;$BH459,AND($BP459=$BH459,OR($BK459&lt;$BC459,AND($BK459=$BC459,OR($BL459&lt;$BD459,AND($BL459=$BD459,$AT459,$AL459,$AV459&lt;$AN459)))))),"-&gt;","&lt;-"))</f>
        <v/>
      </c>
      <c r="BJ459" s="91" t="str">
        <f aca="false">IF(ISBLANK($C459),"",AND($AT459,OR($AU459="",$AV459="",AND($AW459,$AX459=""))))</f>
        <v/>
      </c>
      <c r="BK459" s="93" t="str">
        <f aca="false">IF($BR459&lt;&gt;Constants!$B$8,"",IF($AT459,Constants!$B$21*$AV459+Constants!$B$22*IF($AW459,$AX459,Constants!$B$23),Constants!$B$24))</f>
        <v/>
      </c>
      <c r="BL459" s="96" t="str">
        <f aca="false">IF($BR459&lt;&gt;Constants!$B$8,"",Constants!$B$25*ABS($AD$9-IF($AT459,$AU459,0)))</f>
        <v/>
      </c>
      <c r="BM459" s="96" t="str">
        <f aca="false">IF($BR459&lt;&gt;Constants!$B$8,"",IF(AND($AT459,$AY459,$AW459),Constants!$B$27,0))</f>
        <v/>
      </c>
      <c r="BN459" s="96" t="str">
        <f aca="false">IF($BR459&lt;&gt;Constants!$B$8,"",IF($AT459,($AI459-Constants!$B$29)*Constants!$B$28,0))</f>
        <v/>
      </c>
      <c r="BO459" s="96" t="str">
        <f aca="false">IF($BR459&lt;&gt;Constants!$B$8,"",IF($AS459,0,Constants!$B$15)+IF($AR459,0,Constants!$B$16)+IF($AH459,0,Constants!$B$17))</f>
        <v/>
      </c>
      <c r="BP459" s="97" t="str">
        <f aca="false">IF($BR459&lt;&gt;Constants!$B$8,"",Constants!$B$20+SUM($BK459:$BO459))</f>
        <v/>
      </c>
      <c r="BQ459" s="92" t="str">
        <f aca="false">IF(ISBLANK($C459),"",IF(ISBLANK($D$7),$BQ$5,IF(NOT(ISNUMBER($D$7)),$BQ$6,"")))</f>
        <v/>
      </c>
      <c r="BR459" s="92" t="str">
        <f aca="false">IF(ISBLANK($C459),"",IF($BA459,Constants!$B$11,IF(COUNTA($E459:$AA459)=0,Constants!$B$10,IF(NOT($AG459),Constants!$B$9,IF(OR($BQ459&lt;&gt;"",$BB459,$BJ459),Constants!$B$12,Constants!$B$8)))))</f>
        <v/>
      </c>
      <c r="BS459" s="92" t="str">
        <f aca="false">IF(ISBLANK($C459),"",IF($BR459&lt;&gt;Constants!$B$8,$BR459,Constants!$B$13))</f>
        <v/>
      </c>
      <c r="BT459" s="96" t="str">
        <f aca="false">IF($BR459&lt;&gt;Constants!$B$8,"",IF($BI459="-&gt;",$BP459,$BH459))</f>
        <v/>
      </c>
      <c r="BU459" s="96" t="str">
        <f aca="false">IF($BR459&lt;&gt;Constants!$B$8,"",IF($AF459,0,Constants!$B$18))</f>
        <v/>
      </c>
      <c r="BV459" s="96" t="str">
        <f aca="false">IF($BR459&lt;&gt;Constants!$B$8,"",((Constants!$B$31-$AZ459)-Constants!$B$31)/Constants!$B$32)</f>
        <v/>
      </c>
      <c r="BW459" s="96" t="str">
        <f aca="false">IF(ISBLANK($C459),"",IF($BR459&lt;&gt;Constants!$B$8,$BR459,SUM($BT459:$BV459)))</f>
        <v/>
      </c>
      <c r="BX459" s="92" t="str">
        <f aca="false">IF(ISBLANK($C459),"",IF($BR459&lt;&gt;Constants!$B$8,$BR459,RANK($BW459,$BW$9:$BW$508,1)))</f>
        <v/>
      </c>
      <c r="BY459" s="96" t="str">
        <f aca="false">IF($BR459&lt;&gt;Constants!$B$8,"",IF($BI459="-&gt;",$BK459,$BC459))</f>
        <v/>
      </c>
      <c r="BZ459" s="92" t="str">
        <f aca="false">IF(ISBLANK($C459),"",IF($BR459&lt;&gt;Constants!$B$8,$BR459,IF(ISNUMBER($BY459),RANK($BY459,$BY$9:$BY$508,1),COUNT($BY$9:$BY$508)+1)))</f>
        <v/>
      </c>
      <c r="CA459" s="96" t="str">
        <f aca="false">IF($BR459&lt;&gt;Constants!$B$8,"",IF($BI459="-&gt;",$BL459,$BD459))</f>
        <v/>
      </c>
      <c r="CB459" s="92" t="str">
        <f aca="false">IF(ISBLANK($C459),"",IF($BR459&lt;&gt;Constants!$B$8,$BR459,IF(ISNUMBER($CA459),RANK($CA459,$CA$9:$CA$508,1),COUNT($CA$9:$CA$508)+1)))</f>
        <v/>
      </c>
      <c r="CC459" s="96" t="str">
        <f aca="false">IF($BR459&lt;&gt;Constants!$B$8,"",IF($BI459="-&gt;",IF($AT459,$AV459,""),IF($AL459,$AN459,"")))</f>
        <v/>
      </c>
      <c r="CD459" s="92" t="str">
        <f aca="false">IF(ISBLANK($C459),"",IF($BR459&lt;&gt;Constants!$B$8,$BR459,IF(ISNUMBER($CC459),RANK($CC459,$CC$9:$CC$508,1),COUNT($CC$9:$CC$508)+1)))</f>
        <v/>
      </c>
      <c r="CE459" s="96" t="str">
        <f aca="false">IF($BR459&lt;&gt;Constants!$B$8,"",IF(AND(NOT($AL459),NOT($AT459),$AJ459,$AK459,$AR459,$AS459),"",$AI459))</f>
        <v/>
      </c>
      <c r="CF459" s="92" t="str">
        <f aca="false">IF(ISBLANK($C459),"",IF($BR459&lt;&gt;Constants!$B$8,$BR459,IF(ISNUMBER($CE459),RANK($CE459,$CE$9:$CE$508,1),COUNT($CE$9:$CE$508)+1)))</f>
        <v/>
      </c>
      <c r="CG459" s="92" t="str">
        <f aca="false">IF(ISBLANK($C459),"",IF($BR459&lt;&gt;Constants!$B$8,$BR459,COUNTIFS($BX$9:$BX$508,"&lt;"&amp;$BX459)+COUNTIFS($BX$9:$BX$508,$BX459,$BZ$9:$BZ$508,"&lt;"&amp;$BZ459)+COUNTIFS($BX$9:$BX$508,$BX459,$BZ$9:$BZ$508,$BZ459,$CB$9:$CB$508,"&lt;"&amp;$CB459)+COUNTIFS($BX$9:$BX$508,$BX459,$BZ$9:$BZ$508,$BZ459,$CB$9:$CB$508,$CB459,$CD$9:$CD$508,"&lt;"&amp;$CD459)+COUNTIFS($BX$9:$BX$508,$BX459,$BZ$9:$BZ$508,$BZ459,$CB$9:$CB$508,$CB459,$CD$9:$CD$508,$CD459,$CF$9:$CF$508,"&lt;"&amp;$CF459)+1))</f>
        <v/>
      </c>
      <c r="CH459" s="92" t="str">
        <f aca="false">IF(ISBLANK($C459),"",IF($BR459&lt;&gt;Constants!$B$8,$BR459,$BX459-$CG459))</f>
        <v/>
      </c>
      <c r="CI459" s="98"/>
      <c r="CJ459" s="99"/>
      <c r="CK459" s="100" t="str">
        <f aca="false">IF(ISBLANK($C459),"",IF($BR459=Constants!$B$12,$BQ459,""))</f>
        <v/>
      </c>
      <c r="CL459" s="99" t="str">
        <f aca="false">IF(ISBLANK($C459),"",IF($BR459&lt;&gt;Constants!$B$8,"",IF($BI459="-&gt;",2,1)))</f>
        <v/>
      </c>
      <c r="CM459" s="101" t="str">
        <f aca="false">IF(ISBLANK($C459),"",IF($BR459&lt;&gt;Constants!$B$8,"",IF($BI459="-&gt;",$BK459,$BC459)))</f>
        <v/>
      </c>
      <c r="CN459" s="101" t="str">
        <f aca="false">IF(ISBLANK($C459),"",IF($BR459&lt;&gt;Constants!$B$8,"",IF($BI459="-&gt;",$BL459,$BD459)))</f>
        <v/>
      </c>
      <c r="CO459" s="101" t="str">
        <f aca="false">IF(ISBLANK($C459),"",IF($BR459&lt;&gt;Constants!$B$8,"",IF($BI459="-&gt;",$BM459+$BN459,$BE459+$BF459)+$BV459))</f>
        <v/>
      </c>
      <c r="CP459" s="101" t="str">
        <f aca="false">IF(ISBLANK($C459),"",IF($BR459&lt;&gt;Constants!$B$8,"",IF($BI459="-&gt;",$BO459,$BG459)+$BU459))</f>
        <v/>
      </c>
      <c r="CQ459" s="102" t="str">
        <f aca="false">IF(ISBLANK($C459),"",IF($BR459&lt;&gt;Constants!$B$8,$BR459,$BW459))</f>
        <v/>
      </c>
      <c r="CR459" s="103" t="str">
        <f aca="false">IF(ISBLANK($C459),"",$BS459)</f>
        <v/>
      </c>
      <c r="CS459" s="104" t="str">
        <f aca="false">IF(ISBLANK($C459),"",$CH459)</f>
        <v/>
      </c>
      <c r="CT459" s="104" t="str">
        <f aca="false">IF(ISBLANK($C459),"",$CG459)</f>
        <v/>
      </c>
      <c r="CU459" s="105" t="str">
        <f aca="false">IF(ISBLANK($C459),"",IFERROR(_xlfn.SWITCH($CT459,Constants!$B$11,COUNTA($C$9:$C$508)+2,Constants!$B$10,COUNTA($C$9:$C$508)+1,Constants!$B$9,COUNTA($C$9:$C$508)),$CT459))</f>
        <v/>
      </c>
      <c r="CV459" s="9"/>
      <c r="CW459" s="106" t="n">
        <f aca="false">IF(OR(ISNUMBER($CT459),$CT459=Constants!$B$11,$CT459=Constants!$B$9,$CT459=Constants!$B$10),1,0)</f>
        <v>0</v>
      </c>
      <c r="CX459" s="106" t="n">
        <v>451</v>
      </c>
      <c r="CY459" s="106" t="str">
        <f aca="false">IF(ISBLANK($C459),"",IF(ISNUMBER($CU459),$CU459+ROW($B459)/1000,""))</f>
        <v/>
      </c>
      <c r="CZ459" s="106" t="str">
        <f aca="false">IF(ISNUMBER($CY459),RANK($CY459,$CY$9:$CY$508,1),"")</f>
        <v/>
      </c>
      <c r="DA459" s="106" t="str">
        <f aca="false">IF(ISBLANK($C459),"",$B459)</f>
        <v/>
      </c>
      <c r="DB459" s="106" t="str">
        <f aca="false">IF(ISBLANK($C459),"",$C459)</f>
        <v/>
      </c>
      <c r="DC459" s="106" t="str">
        <f aca="false">IF(ISBLANK($C459),"",$D459)</f>
        <v/>
      </c>
      <c r="DD459" s="107" t="str">
        <f aca="false">$CR459</f>
        <v/>
      </c>
      <c r="DE459" s="108" t="str">
        <f aca="false">$CQ459</f>
        <v/>
      </c>
      <c r="DF459" s="106" t="str">
        <f aca="false">IF(ISBLANK($C459),"",$CT459)</f>
        <v/>
      </c>
      <c r="DG459" s="109" t="str">
        <f aca="false">IF($CX459&gt;$CW$8,"",VLOOKUP($CX459,$CZ$9:$DF$508,7,FALSE()))</f>
        <v/>
      </c>
      <c r="DH459" s="110" t="str">
        <f aca="false">IF($CX459&gt;$CW$8,"",VLOOKUP($CX459,$CZ$9:$DF$508,2,FALSE()))</f>
        <v/>
      </c>
      <c r="DI459" s="110" t="str">
        <f aca="false">IF($CX459&gt;$CW$8,"",VLOOKUP($CX459,$CZ$9:$DF$508,3,FALSE()))</f>
        <v/>
      </c>
      <c r="DJ459" s="110" t="str">
        <f aca="false">IF($CX459&gt;$CW$8,"",VLOOKUP($CX459,$CZ$9:$DF$508,4,FALSE()))</f>
        <v/>
      </c>
      <c r="DK459" s="110" t="str">
        <f aca="false">IF($CX459&gt;$CW$8,"",VLOOKUP($CX459,$CZ$9:$DF$508,5,FALSE()))</f>
        <v/>
      </c>
      <c r="DL459" s="111" t="str">
        <f aca="false">IF($CX459&gt;$CW$8,"",VLOOKUP($CX459,$CZ$9:$DF$508,6,FALSE()))</f>
        <v/>
      </c>
      <c r="DM459" s="75"/>
    </row>
    <row r="460" customFormat="false" ht="15.75" hidden="false" customHeight="false" outlineLevel="0" collapsed="false">
      <c r="A460" s="9"/>
      <c r="B460" s="77"/>
      <c r="C460" s="78"/>
      <c r="D460" s="167"/>
      <c r="E460" s="175"/>
      <c r="F460" s="169"/>
      <c r="G460" s="170"/>
      <c r="H460" s="170"/>
      <c r="I460" s="176"/>
      <c r="J460" s="173"/>
      <c r="K460" s="85"/>
      <c r="L460" s="86"/>
      <c r="M460" s="87"/>
      <c r="N460" s="173"/>
      <c r="O460" s="173"/>
      <c r="P460" s="175"/>
      <c r="Q460" s="173"/>
      <c r="R460" s="173"/>
      <c r="S460" s="85"/>
      <c r="T460" s="87"/>
      <c r="U460" s="87"/>
      <c r="V460" s="173"/>
      <c r="W460" s="173"/>
      <c r="X460" s="175"/>
      <c r="Y460" s="173"/>
      <c r="Z460" s="174"/>
      <c r="AA460" s="173"/>
      <c r="AB460" s="91"/>
      <c r="AC460" s="92"/>
      <c r="AD460" s="92"/>
      <c r="AE460" s="92"/>
      <c r="AF460" s="92" t="str">
        <f aca="false">IF(ISBLANK($C460),"",IF(E460=Constants!$B$3,TRUE(),IF(E460=Constants!$B$4,FALSE(),TRUE())))</f>
        <v/>
      </c>
      <c r="AG460" s="92" t="str">
        <f aca="false">IF(ISBLANK($C460),"",IF(F460=Constants!$B$3,TRUE(),IF(F460=Constants!$B$4,FALSE(),TRUE())))</f>
        <v/>
      </c>
      <c r="AH460" s="92" t="str">
        <f aca="false">IF(ISBLANK($C460),"",IF(G460=Constants!$B$3,TRUE(),IF(G460=Constants!$B$4,FALSE(),TRUE())))</f>
        <v/>
      </c>
      <c r="AI460" s="92" t="str">
        <f aca="false">IF(ISBLANK($C460),"",IF(AND(ISNUMBER(H460),H460&gt;=0),H460,Constants!$B$29))</f>
        <v/>
      </c>
      <c r="AJ460" s="92" t="str">
        <f aca="false">IF(ISBLANK($C460),"",IF(I460=Constants!$B$3,TRUE(),IF(I460=Constants!$B$4,FALSE(),TRUE())))</f>
        <v/>
      </c>
      <c r="AK460" s="92" t="str">
        <f aca="false">IF(ISBLANK($C460),"",IF(J460=Constants!$B$3,TRUE(),IF(J460=Constants!$B$4,FALSE(),TRUE())))</f>
        <v/>
      </c>
      <c r="AL460" s="92" t="str">
        <f aca="false">IF(ISBLANK($C460),"",IF(K460=Constants!$B$5,TRUE(),IF(K460=Constants!$B$6,FALSE(),COUNTA(L460:P460)&gt;0)))</f>
        <v/>
      </c>
      <c r="AM460" s="94" t="str">
        <f aca="false">IF(ISBLANK($C460),"",IF(ISNUMBER(L460),IF(L460&gt;=0,L460,""),""))</f>
        <v/>
      </c>
      <c r="AN460" s="93" t="str">
        <f aca="false">IF(ISBLANK($C460),"",IF(ISNUMBER(M460),IF(M460&gt;=0,M460,""),""))</f>
        <v/>
      </c>
      <c r="AO460" s="93" t="str">
        <f aca="false">IF(ISBLANK($C460),"",IF(N460=Constants!$B$3,TRUE(),IF(N460=Constants!$B$4,FALSE(),TRUE())))</f>
        <v/>
      </c>
      <c r="AP460" s="92" t="str">
        <f aca="false">IF(ISBLANK($C460),"",IF(ISNUMBER(O460),IF(O460&gt;=0,O460,""),""))</f>
        <v/>
      </c>
      <c r="AQ460" s="92" t="str">
        <f aca="false">IF(ISBLANK($C460),"",IF(P460=Constants!$B$3,TRUE(),IF(P460=Constants!$B$4,FALSE(),FALSE())))</f>
        <v/>
      </c>
      <c r="AR460" s="92" t="str">
        <f aca="false">IF(ISBLANK($C460),"",IF(Q460=Constants!$B$3,TRUE(),IF(Q460=Constants!$B$4,FALSE(),TRUE())))</f>
        <v/>
      </c>
      <c r="AS460" s="92" t="str">
        <f aca="false">IF(ISBLANK($C460),"",IF(R460=Constants!$B$3,TRUE(),IF(R460=Constants!$B$4,FALSE(),TRUE())))</f>
        <v/>
      </c>
      <c r="AT460" s="92" t="str">
        <f aca="false">IF(ISBLANK($C460),"",IF(S460=Constants!$B$5,TRUE(),IF(S460=Constants!$B$6,FALSE(),COUNTA(T460:X460)&gt;0)))</f>
        <v/>
      </c>
      <c r="AU460" s="94" t="str">
        <f aca="false">IF(ISBLANK($C460),"",IF(ISNUMBER(T460),IF(T460&gt;=0,T460,""),""))</f>
        <v/>
      </c>
      <c r="AV460" s="93" t="str">
        <f aca="false">IF(ISBLANK($C460),"",IF(ISNUMBER(U460),IF(U460&gt;=0,U460,""),""))</f>
        <v/>
      </c>
      <c r="AW460" s="93" t="str">
        <f aca="false">IF(ISBLANK($C460),"",IF(V460=Constants!$B$3,TRUE(),IF(V460=Constants!$B$4,FALSE(),TRUE())))</f>
        <v/>
      </c>
      <c r="AX460" s="92" t="str">
        <f aca="false">IF(ISBLANK($C460),"",IF(ISNUMBER(W460),IF(W460&gt;=0,W460,""),""))</f>
        <v/>
      </c>
      <c r="AY460" s="92" t="str">
        <f aca="false">IF(ISBLANK($C460),"",IF(X460=Constants!$B$3,TRUE(),IF(X460=Constants!$B$4,FALSE(),FALSE())))</f>
        <v/>
      </c>
      <c r="AZ460" s="92" t="str">
        <f aca="false">IF(ISBLANK($C460),"",MIN(Constants!$B$31,MAX(0,IF(ISNUMBER(Y460),Y460*60,0)+IF(ISNUMBER(Z460),Z460,0))))</f>
        <v/>
      </c>
      <c r="BA460" s="92" t="str">
        <f aca="false">IF(ISBLANK($C460),"",IF(AA460=Constants!$B$3,TRUE(),IF(AA460=Constants!$B$4,FALSE(),FALSE())))</f>
        <v/>
      </c>
      <c r="BB460" s="91" t="str">
        <f aca="false">IF(ISBLANK($C460),"",AND($AL460,OR($AM460="",$AN460="",AND($AO460,$AP460=""))))</f>
        <v/>
      </c>
      <c r="BC460" s="93" t="str">
        <f aca="false">IF($BR460&lt;&gt;Constants!$B$8,"",IF($AL460,Constants!$B$21*$AN460+Constants!$B$22*IF($AO460,$AP460,Constants!$B$23),Constants!$B$24))</f>
        <v/>
      </c>
      <c r="BD460" s="96" t="str">
        <f aca="false">IF($BR460&lt;&gt;Constants!$B$8,"",Constants!$B$25*ABS($AD$9-IF($AL460,$AM460,0)))</f>
        <v/>
      </c>
      <c r="BE460" s="96" t="str">
        <f aca="false">IF($BR460&lt;&gt;Constants!$B$8,"",IF(AND($AL460,$AQ460,$AO460),Constants!$B$27,0))</f>
        <v/>
      </c>
      <c r="BF460" s="96" t="str">
        <f aca="false">IF($BR460&lt;&gt;Constants!$B$8,"",IF($AL460,($AI460-Constants!$B$29)*Constants!$B$28,0))</f>
        <v/>
      </c>
      <c r="BG460" s="96" t="str">
        <f aca="false">IF($BR460&lt;&gt;Constants!$B$8,"",IF($AK460,0,Constants!$B$15)+IF($AJ460,0,Constants!$B$16)+IF($AH460,0,Constants!$B$17))</f>
        <v/>
      </c>
      <c r="BH460" s="97" t="str">
        <f aca="false">IF($BR460&lt;&gt;Constants!$B$8,"",Constants!$B$20+SUM($BC460:$BG460))</f>
        <v/>
      </c>
      <c r="BI460" s="92" t="str">
        <f aca="false">IF($BR460&lt;&gt;Constants!$B$8,"",IF(OR($BP460&lt;$BH460,AND($BP460=$BH460,OR($BK460&lt;$BC460,AND($BK460=$BC460,OR($BL460&lt;$BD460,AND($BL460=$BD460,$AT460,$AL460,$AV460&lt;$AN460)))))),"-&gt;","&lt;-"))</f>
        <v/>
      </c>
      <c r="BJ460" s="91" t="str">
        <f aca="false">IF(ISBLANK($C460),"",AND($AT460,OR($AU460="",$AV460="",AND($AW460,$AX460=""))))</f>
        <v/>
      </c>
      <c r="BK460" s="93" t="str">
        <f aca="false">IF($BR460&lt;&gt;Constants!$B$8,"",IF($AT460,Constants!$B$21*$AV460+Constants!$B$22*IF($AW460,$AX460,Constants!$B$23),Constants!$B$24))</f>
        <v/>
      </c>
      <c r="BL460" s="96" t="str">
        <f aca="false">IF($BR460&lt;&gt;Constants!$B$8,"",Constants!$B$25*ABS($AD$9-IF($AT460,$AU460,0)))</f>
        <v/>
      </c>
      <c r="BM460" s="96" t="str">
        <f aca="false">IF($BR460&lt;&gt;Constants!$B$8,"",IF(AND($AT460,$AY460,$AW460),Constants!$B$27,0))</f>
        <v/>
      </c>
      <c r="BN460" s="96" t="str">
        <f aca="false">IF($BR460&lt;&gt;Constants!$B$8,"",IF($AT460,($AI460-Constants!$B$29)*Constants!$B$28,0))</f>
        <v/>
      </c>
      <c r="BO460" s="96" t="str">
        <f aca="false">IF($BR460&lt;&gt;Constants!$B$8,"",IF($AS460,0,Constants!$B$15)+IF($AR460,0,Constants!$B$16)+IF($AH460,0,Constants!$B$17))</f>
        <v/>
      </c>
      <c r="BP460" s="97" t="str">
        <f aca="false">IF($BR460&lt;&gt;Constants!$B$8,"",Constants!$B$20+SUM($BK460:$BO460))</f>
        <v/>
      </c>
      <c r="BQ460" s="92" t="str">
        <f aca="false">IF(ISBLANK($C460),"",IF(ISBLANK($D$7),$BQ$5,IF(NOT(ISNUMBER($D$7)),$BQ$6,"")))</f>
        <v/>
      </c>
      <c r="BR460" s="92" t="str">
        <f aca="false">IF(ISBLANK($C460),"",IF($BA460,Constants!$B$11,IF(COUNTA($E460:$AA460)=0,Constants!$B$10,IF(NOT($AG460),Constants!$B$9,IF(OR($BQ460&lt;&gt;"",$BB460,$BJ460),Constants!$B$12,Constants!$B$8)))))</f>
        <v/>
      </c>
      <c r="BS460" s="92" t="str">
        <f aca="false">IF(ISBLANK($C460),"",IF($BR460&lt;&gt;Constants!$B$8,$BR460,Constants!$B$13))</f>
        <v/>
      </c>
      <c r="BT460" s="96" t="str">
        <f aca="false">IF($BR460&lt;&gt;Constants!$B$8,"",IF($BI460="-&gt;",$BP460,$BH460))</f>
        <v/>
      </c>
      <c r="BU460" s="96" t="str">
        <f aca="false">IF($BR460&lt;&gt;Constants!$B$8,"",IF($AF460,0,Constants!$B$18))</f>
        <v/>
      </c>
      <c r="BV460" s="96" t="str">
        <f aca="false">IF($BR460&lt;&gt;Constants!$B$8,"",((Constants!$B$31-$AZ460)-Constants!$B$31)/Constants!$B$32)</f>
        <v/>
      </c>
      <c r="BW460" s="96" t="str">
        <f aca="false">IF(ISBLANK($C460),"",IF($BR460&lt;&gt;Constants!$B$8,$BR460,SUM($BT460:$BV460)))</f>
        <v/>
      </c>
      <c r="BX460" s="92" t="str">
        <f aca="false">IF(ISBLANK($C460),"",IF($BR460&lt;&gt;Constants!$B$8,$BR460,RANK($BW460,$BW$9:$BW$508,1)))</f>
        <v/>
      </c>
      <c r="BY460" s="96" t="str">
        <f aca="false">IF($BR460&lt;&gt;Constants!$B$8,"",IF($BI460="-&gt;",$BK460,$BC460))</f>
        <v/>
      </c>
      <c r="BZ460" s="92" t="str">
        <f aca="false">IF(ISBLANK($C460),"",IF($BR460&lt;&gt;Constants!$B$8,$BR460,IF(ISNUMBER($BY460),RANK($BY460,$BY$9:$BY$508,1),COUNT($BY$9:$BY$508)+1)))</f>
        <v/>
      </c>
      <c r="CA460" s="96" t="str">
        <f aca="false">IF($BR460&lt;&gt;Constants!$B$8,"",IF($BI460="-&gt;",$BL460,$BD460))</f>
        <v/>
      </c>
      <c r="CB460" s="92" t="str">
        <f aca="false">IF(ISBLANK($C460),"",IF($BR460&lt;&gt;Constants!$B$8,$BR460,IF(ISNUMBER($CA460),RANK($CA460,$CA$9:$CA$508,1),COUNT($CA$9:$CA$508)+1)))</f>
        <v/>
      </c>
      <c r="CC460" s="96" t="str">
        <f aca="false">IF($BR460&lt;&gt;Constants!$B$8,"",IF($BI460="-&gt;",IF($AT460,$AV460,""),IF($AL460,$AN460,"")))</f>
        <v/>
      </c>
      <c r="CD460" s="92" t="str">
        <f aca="false">IF(ISBLANK($C460),"",IF($BR460&lt;&gt;Constants!$B$8,$BR460,IF(ISNUMBER($CC460),RANK($CC460,$CC$9:$CC$508,1),COUNT($CC$9:$CC$508)+1)))</f>
        <v/>
      </c>
      <c r="CE460" s="96" t="str">
        <f aca="false">IF($BR460&lt;&gt;Constants!$B$8,"",IF(AND(NOT($AL460),NOT($AT460),$AJ460,$AK460,$AR460,$AS460),"",$AI460))</f>
        <v/>
      </c>
      <c r="CF460" s="92" t="str">
        <f aca="false">IF(ISBLANK($C460),"",IF($BR460&lt;&gt;Constants!$B$8,$BR460,IF(ISNUMBER($CE460),RANK($CE460,$CE$9:$CE$508,1),COUNT($CE$9:$CE$508)+1)))</f>
        <v/>
      </c>
      <c r="CG460" s="92" t="str">
        <f aca="false">IF(ISBLANK($C460),"",IF($BR460&lt;&gt;Constants!$B$8,$BR460,COUNTIFS($BX$9:$BX$508,"&lt;"&amp;$BX460)+COUNTIFS($BX$9:$BX$508,$BX460,$BZ$9:$BZ$508,"&lt;"&amp;$BZ460)+COUNTIFS($BX$9:$BX$508,$BX460,$BZ$9:$BZ$508,$BZ460,$CB$9:$CB$508,"&lt;"&amp;$CB460)+COUNTIFS($BX$9:$BX$508,$BX460,$BZ$9:$BZ$508,$BZ460,$CB$9:$CB$508,$CB460,$CD$9:$CD$508,"&lt;"&amp;$CD460)+COUNTIFS($BX$9:$BX$508,$BX460,$BZ$9:$BZ$508,$BZ460,$CB$9:$CB$508,$CB460,$CD$9:$CD$508,$CD460,$CF$9:$CF$508,"&lt;"&amp;$CF460)+1))</f>
        <v/>
      </c>
      <c r="CH460" s="92" t="str">
        <f aca="false">IF(ISBLANK($C460),"",IF($BR460&lt;&gt;Constants!$B$8,$BR460,$BX460-$CG460))</f>
        <v/>
      </c>
      <c r="CI460" s="98"/>
      <c r="CJ460" s="99"/>
      <c r="CK460" s="100" t="str">
        <f aca="false">IF(ISBLANK($C460),"",IF($BR460=Constants!$B$12,$BQ460,""))</f>
        <v/>
      </c>
      <c r="CL460" s="99" t="str">
        <f aca="false">IF(ISBLANK($C460),"",IF($BR460&lt;&gt;Constants!$B$8,"",IF($BI460="-&gt;",2,1)))</f>
        <v/>
      </c>
      <c r="CM460" s="101" t="str">
        <f aca="false">IF(ISBLANK($C460),"",IF($BR460&lt;&gt;Constants!$B$8,"",IF($BI460="-&gt;",$BK460,$BC460)))</f>
        <v/>
      </c>
      <c r="CN460" s="101" t="str">
        <f aca="false">IF(ISBLANK($C460),"",IF($BR460&lt;&gt;Constants!$B$8,"",IF($BI460="-&gt;",$BL460,$BD460)))</f>
        <v/>
      </c>
      <c r="CO460" s="101" t="str">
        <f aca="false">IF(ISBLANK($C460),"",IF($BR460&lt;&gt;Constants!$B$8,"",IF($BI460="-&gt;",$BM460+$BN460,$BE460+$BF460)+$BV460))</f>
        <v/>
      </c>
      <c r="CP460" s="101" t="str">
        <f aca="false">IF(ISBLANK($C460),"",IF($BR460&lt;&gt;Constants!$B$8,"",IF($BI460="-&gt;",$BO460,$BG460)+$BU460))</f>
        <v/>
      </c>
      <c r="CQ460" s="102" t="str">
        <f aca="false">IF(ISBLANK($C460),"",IF($BR460&lt;&gt;Constants!$B$8,$BR460,$BW460))</f>
        <v/>
      </c>
      <c r="CR460" s="103" t="str">
        <f aca="false">IF(ISBLANK($C460),"",$BS460)</f>
        <v/>
      </c>
      <c r="CS460" s="104" t="str">
        <f aca="false">IF(ISBLANK($C460),"",$CH460)</f>
        <v/>
      </c>
      <c r="CT460" s="104" t="str">
        <f aca="false">IF(ISBLANK($C460),"",$CG460)</f>
        <v/>
      </c>
      <c r="CU460" s="105" t="str">
        <f aca="false">IF(ISBLANK($C460),"",IFERROR(_xlfn.SWITCH($CT460,Constants!$B$11,COUNTA($C$9:$C$508)+2,Constants!$B$10,COUNTA($C$9:$C$508)+1,Constants!$B$9,COUNTA($C$9:$C$508)),$CT460))</f>
        <v/>
      </c>
      <c r="CV460" s="9"/>
      <c r="CW460" s="106" t="n">
        <f aca="false">IF(OR(ISNUMBER($CT460),$CT460=Constants!$B$11,$CT460=Constants!$B$9,$CT460=Constants!$B$10),1,0)</f>
        <v>0</v>
      </c>
      <c r="CX460" s="106" t="n">
        <v>452</v>
      </c>
      <c r="CY460" s="106" t="str">
        <f aca="false">IF(ISBLANK($C460),"",IF(ISNUMBER($CU460),$CU460+ROW($B460)/1000,""))</f>
        <v/>
      </c>
      <c r="CZ460" s="106" t="str">
        <f aca="false">IF(ISNUMBER($CY460),RANK($CY460,$CY$9:$CY$508,1),"")</f>
        <v/>
      </c>
      <c r="DA460" s="106" t="str">
        <f aca="false">IF(ISBLANK($C460),"",$B460)</f>
        <v/>
      </c>
      <c r="DB460" s="106" t="str">
        <f aca="false">IF(ISBLANK($C460),"",$C460)</f>
        <v/>
      </c>
      <c r="DC460" s="106" t="str">
        <f aca="false">IF(ISBLANK($C460),"",$D460)</f>
        <v/>
      </c>
      <c r="DD460" s="107" t="str">
        <f aca="false">$CR460</f>
        <v/>
      </c>
      <c r="DE460" s="108" t="str">
        <f aca="false">$CQ460</f>
        <v/>
      </c>
      <c r="DF460" s="106" t="str">
        <f aca="false">IF(ISBLANK($C460),"",$CT460)</f>
        <v/>
      </c>
      <c r="DG460" s="109" t="str">
        <f aca="false">IF($CX460&gt;$CW$8,"",VLOOKUP($CX460,$CZ$9:$DF$508,7,FALSE()))</f>
        <v/>
      </c>
      <c r="DH460" s="110" t="str">
        <f aca="false">IF($CX460&gt;$CW$8,"",VLOOKUP($CX460,$CZ$9:$DF$508,2,FALSE()))</f>
        <v/>
      </c>
      <c r="DI460" s="110" t="str">
        <f aca="false">IF($CX460&gt;$CW$8,"",VLOOKUP($CX460,$CZ$9:$DF$508,3,FALSE()))</f>
        <v/>
      </c>
      <c r="DJ460" s="110" t="str">
        <f aca="false">IF($CX460&gt;$CW$8,"",VLOOKUP($CX460,$CZ$9:$DF$508,4,FALSE()))</f>
        <v/>
      </c>
      <c r="DK460" s="110" t="str">
        <f aca="false">IF($CX460&gt;$CW$8,"",VLOOKUP($CX460,$CZ$9:$DF$508,5,FALSE()))</f>
        <v/>
      </c>
      <c r="DL460" s="111" t="str">
        <f aca="false">IF($CX460&gt;$CW$8,"",VLOOKUP($CX460,$CZ$9:$DF$508,6,FALSE()))</f>
        <v/>
      </c>
      <c r="DM460" s="75"/>
    </row>
    <row r="461" customFormat="false" ht="15.75" hidden="false" customHeight="false" outlineLevel="0" collapsed="false">
      <c r="A461" s="9"/>
      <c r="B461" s="77"/>
      <c r="C461" s="78"/>
      <c r="D461" s="167"/>
      <c r="E461" s="175"/>
      <c r="F461" s="169"/>
      <c r="G461" s="170"/>
      <c r="H461" s="170"/>
      <c r="I461" s="176"/>
      <c r="J461" s="173"/>
      <c r="K461" s="85"/>
      <c r="L461" s="86"/>
      <c r="M461" s="87"/>
      <c r="N461" s="173"/>
      <c r="O461" s="173"/>
      <c r="P461" s="175"/>
      <c r="Q461" s="173"/>
      <c r="R461" s="173"/>
      <c r="S461" s="85"/>
      <c r="T461" s="87"/>
      <c r="U461" s="87"/>
      <c r="V461" s="173"/>
      <c r="W461" s="173"/>
      <c r="X461" s="175"/>
      <c r="Y461" s="173"/>
      <c r="Z461" s="174"/>
      <c r="AA461" s="173"/>
      <c r="AB461" s="91"/>
      <c r="AC461" s="92"/>
      <c r="AD461" s="92"/>
      <c r="AE461" s="92"/>
      <c r="AF461" s="92" t="str">
        <f aca="false">IF(ISBLANK($C461),"",IF(E461=Constants!$B$3,TRUE(),IF(E461=Constants!$B$4,FALSE(),TRUE())))</f>
        <v/>
      </c>
      <c r="AG461" s="92" t="str">
        <f aca="false">IF(ISBLANK($C461),"",IF(F461=Constants!$B$3,TRUE(),IF(F461=Constants!$B$4,FALSE(),TRUE())))</f>
        <v/>
      </c>
      <c r="AH461" s="92" t="str">
        <f aca="false">IF(ISBLANK($C461),"",IF(G461=Constants!$B$3,TRUE(),IF(G461=Constants!$B$4,FALSE(),TRUE())))</f>
        <v/>
      </c>
      <c r="AI461" s="92" t="str">
        <f aca="false">IF(ISBLANK($C461),"",IF(AND(ISNUMBER(H461),H461&gt;=0),H461,Constants!$B$29))</f>
        <v/>
      </c>
      <c r="AJ461" s="92" t="str">
        <f aca="false">IF(ISBLANK($C461),"",IF(I461=Constants!$B$3,TRUE(),IF(I461=Constants!$B$4,FALSE(),TRUE())))</f>
        <v/>
      </c>
      <c r="AK461" s="92" t="str">
        <f aca="false">IF(ISBLANK($C461),"",IF(J461=Constants!$B$3,TRUE(),IF(J461=Constants!$B$4,FALSE(),TRUE())))</f>
        <v/>
      </c>
      <c r="AL461" s="92" t="str">
        <f aca="false">IF(ISBLANK($C461),"",IF(K461=Constants!$B$5,TRUE(),IF(K461=Constants!$B$6,FALSE(),COUNTA(L461:P461)&gt;0)))</f>
        <v/>
      </c>
      <c r="AM461" s="94" t="str">
        <f aca="false">IF(ISBLANK($C461),"",IF(ISNUMBER(L461),IF(L461&gt;=0,L461,""),""))</f>
        <v/>
      </c>
      <c r="AN461" s="93" t="str">
        <f aca="false">IF(ISBLANK($C461),"",IF(ISNUMBER(M461),IF(M461&gt;=0,M461,""),""))</f>
        <v/>
      </c>
      <c r="AO461" s="93" t="str">
        <f aca="false">IF(ISBLANK($C461),"",IF(N461=Constants!$B$3,TRUE(),IF(N461=Constants!$B$4,FALSE(),TRUE())))</f>
        <v/>
      </c>
      <c r="AP461" s="92" t="str">
        <f aca="false">IF(ISBLANK($C461),"",IF(ISNUMBER(O461),IF(O461&gt;=0,O461,""),""))</f>
        <v/>
      </c>
      <c r="AQ461" s="92" t="str">
        <f aca="false">IF(ISBLANK($C461),"",IF(P461=Constants!$B$3,TRUE(),IF(P461=Constants!$B$4,FALSE(),FALSE())))</f>
        <v/>
      </c>
      <c r="AR461" s="92" t="str">
        <f aca="false">IF(ISBLANK($C461),"",IF(Q461=Constants!$B$3,TRUE(),IF(Q461=Constants!$B$4,FALSE(),TRUE())))</f>
        <v/>
      </c>
      <c r="AS461" s="92" t="str">
        <f aca="false">IF(ISBLANK($C461),"",IF(R461=Constants!$B$3,TRUE(),IF(R461=Constants!$B$4,FALSE(),TRUE())))</f>
        <v/>
      </c>
      <c r="AT461" s="92" t="str">
        <f aca="false">IF(ISBLANK($C461),"",IF(S461=Constants!$B$5,TRUE(),IF(S461=Constants!$B$6,FALSE(),COUNTA(T461:X461)&gt;0)))</f>
        <v/>
      </c>
      <c r="AU461" s="94" t="str">
        <f aca="false">IF(ISBLANK($C461),"",IF(ISNUMBER(T461),IF(T461&gt;=0,T461,""),""))</f>
        <v/>
      </c>
      <c r="AV461" s="93" t="str">
        <f aca="false">IF(ISBLANK($C461),"",IF(ISNUMBER(U461),IF(U461&gt;=0,U461,""),""))</f>
        <v/>
      </c>
      <c r="AW461" s="93" t="str">
        <f aca="false">IF(ISBLANK($C461),"",IF(V461=Constants!$B$3,TRUE(),IF(V461=Constants!$B$4,FALSE(),TRUE())))</f>
        <v/>
      </c>
      <c r="AX461" s="92" t="str">
        <f aca="false">IF(ISBLANK($C461),"",IF(ISNUMBER(W461),IF(W461&gt;=0,W461,""),""))</f>
        <v/>
      </c>
      <c r="AY461" s="92" t="str">
        <f aca="false">IF(ISBLANK($C461),"",IF(X461=Constants!$B$3,TRUE(),IF(X461=Constants!$B$4,FALSE(),FALSE())))</f>
        <v/>
      </c>
      <c r="AZ461" s="92" t="str">
        <f aca="false">IF(ISBLANK($C461),"",MIN(Constants!$B$31,MAX(0,IF(ISNUMBER(Y461),Y461*60,0)+IF(ISNUMBER(Z461),Z461,0))))</f>
        <v/>
      </c>
      <c r="BA461" s="92" t="str">
        <f aca="false">IF(ISBLANK($C461),"",IF(AA461=Constants!$B$3,TRUE(),IF(AA461=Constants!$B$4,FALSE(),FALSE())))</f>
        <v/>
      </c>
      <c r="BB461" s="91" t="str">
        <f aca="false">IF(ISBLANK($C461),"",AND($AL461,OR($AM461="",$AN461="",AND($AO461,$AP461=""))))</f>
        <v/>
      </c>
      <c r="BC461" s="93" t="str">
        <f aca="false">IF($BR461&lt;&gt;Constants!$B$8,"",IF($AL461,Constants!$B$21*$AN461+Constants!$B$22*IF($AO461,$AP461,Constants!$B$23),Constants!$B$24))</f>
        <v/>
      </c>
      <c r="BD461" s="96" t="str">
        <f aca="false">IF($BR461&lt;&gt;Constants!$B$8,"",Constants!$B$25*ABS($AD$9-IF($AL461,$AM461,0)))</f>
        <v/>
      </c>
      <c r="BE461" s="96" t="str">
        <f aca="false">IF($BR461&lt;&gt;Constants!$B$8,"",IF(AND($AL461,$AQ461,$AO461),Constants!$B$27,0))</f>
        <v/>
      </c>
      <c r="BF461" s="96" t="str">
        <f aca="false">IF($BR461&lt;&gt;Constants!$B$8,"",IF($AL461,($AI461-Constants!$B$29)*Constants!$B$28,0))</f>
        <v/>
      </c>
      <c r="BG461" s="96" t="str">
        <f aca="false">IF($BR461&lt;&gt;Constants!$B$8,"",IF($AK461,0,Constants!$B$15)+IF($AJ461,0,Constants!$B$16)+IF($AH461,0,Constants!$B$17))</f>
        <v/>
      </c>
      <c r="BH461" s="97" t="str">
        <f aca="false">IF($BR461&lt;&gt;Constants!$B$8,"",Constants!$B$20+SUM($BC461:$BG461))</f>
        <v/>
      </c>
      <c r="BI461" s="92" t="str">
        <f aca="false">IF($BR461&lt;&gt;Constants!$B$8,"",IF(OR($BP461&lt;$BH461,AND($BP461=$BH461,OR($BK461&lt;$BC461,AND($BK461=$BC461,OR($BL461&lt;$BD461,AND($BL461=$BD461,$AT461,$AL461,$AV461&lt;$AN461)))))),"-&gt;","&lt;-"))</f>
        <v/>
      </c>
      <c r="BJ461" s="91" t="str">
        <f aca="false">IF(ISBLANK($C461),"",AND($AT461,OR($AU461="",$AV461="",AND($AW461,$AX461=""))))</f>
        <v/>
      </c>
      <c r="BK461" s="93" t="str">
        <f aca="false">IF($BR461&lt;&gt;Constants!$B$8,"",IF($AT461,Constants!$B$21*$AV461+Constants!$B$22*IF($AW461,$AX461,Constants!$B$23),Constants!$B$24))</f>
        <v/>
      </c>
      <c r="BL461" s="96" t="str">
        <f aca="false">IF($BR461&lt;&gt;Constants!$B$8,"",Constants!$B$25*ABS($AD$9-IF($AT461,$AU461,0)))</f>
        <v/>
      </c>
      <c r="BM461" s="96" t="str">
        <f aca="false">IF($BR461&lt;&gt;Constants!$B$8,"",IF(AND($AT461,$AY461,$AW461),Constants!$B$27,0))</f>
        <v/>
      </c>
      <c r="BN461" s="96" t="str">
        <f aca="false">IF($BR461&lt;&gt;Constants!$B$8,"",IF($AT461,($AI461-Constants!$B$29)*Constants!$B$28,0))</f>
        <v/>
      </c>
      <c r="BO461" s="96" t="str">
        <f aca="false">IF($BR461&lt;&gt;Constants!$B$8,"",IF($AS461,0,Constants!$B$15)+IF($AR461,0,Constants!$B$16)+IF($AH461,0,Constants!$B$17))</f>
        <v/>
      </c>
      <c r="BP461" s="97" t="str">
        <f aca="false">IF($BR461&lt;&gt;Constants!$B$8,"",Constants!$B$20+SUM($BK461:$BO461))</f>
        <v/>
      </c>
      <c r="BQ461" s="92" t="str">
        <f aca="false">IF(ISBLANK($C461),"",IF(ISBLANK($D$7),$BQ$5,IF(NOT(ISNUMBER($D$7)),$BQ$6,"")))</f>
        <v/>
      </c>
      <c r="BR461" s="92" t="str">
        <f aca="false">IF(ISBLANK($C461),"",IF($BA461,Constants!$B$11,IF(COUNTA($E461:$AA461)=0,Constants!$B$10,IF(NOT($AG461),Constants!$B$9,IF(OR($BQ461&lt;&gt;"",$BB461,$BJ461),Constants!$B$12,Constants!$B$8)))))</f>
        <v/>
      </c>
      <c r="BS461" s="92" t="str">
        <f aca="false">IF(ISBLANK($C461),"",IF($BR461&lt;&gt;Constants!$B$8,$BR461,Constants!$B$13))</f>
        <v/>
      </c>
      <c r="BT461" s="96" t="str">
        <f aca="false">IF($BR461&lt;&gt;Constants!$B$8,"",IF($BI461="-&gt;",$BP461,$BH461))</f>
        <v/>
      </c>
      <c r="BU461" s="96" t="str">
        <f aca="false">IF($BR461&lt;&gt;Constants!$B$8,"",IF($AF461,0,Constants!$B$18))</f>
        <v/>
      </c>
      <c r="BV461" s="96" t="str">
        <f aca="false">IF($BR461&lt;&gt;Constants!$B$8,"",((Constants!$B$31-$AZ461)-Constants!$B$31)/Constants!$B$32)</f>
        <v/>
      </c>
      <c r="BW461" s="96" t="str">
        <f aca="false">IF(ISBLANK($C461),"",IF($BR461&lt;&gt;Constants!$B$8,$BR461,SUM($BT461:$BV461)))</f>
        <v/>
      </c>
      <c r="BX461" s="92" t="str">
        <f aca="false">IF(ISBLANK($C461),"",IF($BR461&lt;&gt;Constants!$B$8,$BR461,RANK($BW461,$BW$9:$BW$508,1)))</f>
        <v/>
      </c>
      <c r="BY461" s="96" t="str">
        <f aca="false">IF($BR461&lt;&gt;Constants!$B$8,"",IF($BI461="-&gt;",$BK461,$BC461))</f>
        <v/>
      </c>
      <c r="BZ461" s="92" t="str">
        <f aca="false">IF(ISBLANK($C461),"",IF($BR461&lt;&gt;Constants!$B$8,$BR461,IF(ISNUMBER($BY461),RANK($BY461,$BY$9:$BY$508,1),COUNT($BY$9:$BY$508)+1)))</f>
        <v/>
      </c>
      <c r="CA461" s="96" t="str">
        <f aca="false">IF($BR461&lt;&gt;Constants!$B$8,"",IF($BI461="-&gt;",$BL461,$BD461))</f>
        <v/>
      </c>
      <c r="CB461" s="92" t="str">
        <f aca="false">IF(ISBLANK($C461),"",IF($BR461&lt;&gt;Constants!$B$8,$BR461,IF(ISNUMBER($CA461),RANK($CA461,$CA$9:$CA$508,1),COUNT($CA$9:$CA$508)+1)))</f>
        <v/>
      </c>
      <c r="CC461" s="96" t="str">
        <f aca="false">IF($BR461&lt;&gt;Constants!$B$8,"",IF($BI461="-&gt;",IF($AT461,$AV461,""),IF($AL461,$AN461,"")))</f>
        <v/>
      </c>
      <c r="CD461" s="92" t="str">
        <f aca="false">IF(ISBLANK($C461),"",IF($BR461&lt;&gt;Constants!$B$8,$BR461,IF(ISNUMBER($CC461),RANK($CC461,$CC$9:$CC$508,1),COUNT($CC$9:$CC$508)+1)))</f>
        <v/>
      </c>
      <c r="CE461" s="96" t="str">
        <f aca="false">IF($BR461&lt;&gt;Constants!$B$8,"",IF(AND(NOT($AL461),NOT($AT461),$AJ461,$AK461,$AR461,$AS461),"",$AI461))</f>
        <v/>
      </c>
      <c r="CF461" s="92" t="str">
        <f aca="false">IF(ISBLANK($C461),"",IF($BR461&lt;&gt;Constants!$B$8,$BR461,IF(ISNUMBER($CE461),RANK($CE461,$CE$9:$CE$508,1),COUNT($CE$9:$CE$508)+1)))</f>
        <v/>
      </c>
      <c r="CG461" s="92" t="str">
        <f aca="false">IF(ISBLANK($C461),"",IF($BR461&lt;&gt;Constants!$B$8,$BR461,COUNTIFS($BX$9:$BX$508,"&lt;"&amp;$BX461)+COUNTIFS($BX$9:$BX$508,$BX461,$BZ$9:$BZ$508,"&lt;"&amp;$BZ461)+COUNTIFS($BX$9:$BX$508,$BX461,$BZ$9:$BZ$508,$BZ461,$CB$9:$CB$508,"&lt;"&amp;$CB461)+COUNTIFS($BX$9:$BX$508,$BX461,$BZ$9:$BZ$508,$BZ461,$CB$9:$CB$508,$CB461,$CD$9:$CD$508,"&lt;"&amp;$CD461)+COUNTIFS($BX$9:$BX$508,$BX461,$BZ$9:$BZ$508,$BZ461,$CB$9:$CB$508,$CB461,$CD$9:$CD$508,$CD461,$CF$9:$CF$508,"&lt;"&amp;$CF461)+1))</f>
        <v/>
      </c>
      <c r="CH461" s="92" t="str">
        <f aca="false">IF(ISBLANK($C461),"",IF($BR461&lt;&gt;Constants!$B$8,$BR461,$BX461-$CG461))</f>
        <v/>
      </c>
      <c r="CI461" s="98"/>
      <c r="CJ461" s="99"/>
      <c r="CK461" s="100" t="str">
        <f aca="false">IF(ISBLANK($C461),"",IF($BR461=Constants!$B$12,$BQ461,""))</f>
        <v/>
      </c>
      <c r="CL461" s="99" t="str">
        <f aca="false">IF(ISBLANK($C461),"",IF($BR461&lt;&gt;Constants!$B$8,"",IF($BI461="-&gt;",2,1)))</f>
        <v/>
      </c>
      <c r="CM461" s="101" t="str">
        <f aca="false">IF(ISBLANK($C461),"",IF($BR461&lt;&gt;Constants!$B$8,"",IF($BI461="-&gt;",$BK461,$BC461)))</f>
        <v/>
      </c>
      <c r="CN461" s="101" t="str">
        <f aca="false">IF(ISBLANK($C461),"",IF($BR461&lt;&gt;Constants!$B$8,"",IF($BI461="-&gt;",$BL461,$BD461)))</f>
        <v/>
      </c>
      <c r="CO461" s="101" t="str">
        <f aca="false">IF(ISBLANK($C461),"",IF($BR461&lt;&gt;Constants!$B$8,"",IF($BI461="-&gt;",$BM461+$BN461,$BE461+$BF461)+$BV461))</f>
        <v/>
      </c>
      <c r="CP461" s="101" t="str">
        <f aca="false">IF(ISBLANK($C461),"",IF($BR461&lt;&gt;Constants!$B$8,"",IF($BI461="-&gt;",$BO461,$BG461)+$BU461))</f>
        <v/>
      </c>
      <c r="CQ461" s="102" t="str">
        <f aca="false">IF(ISBLANK($C461),"",IF($BR461&lt;&gt;Constants!$B$8,$BR461,$BW461))</f>
        <v/>
      </c>
      <c r="CR461" s="103" t="str">
        <f aca="false">IF(ISBLANK($C461),"",$BS461)</f>
        <v/>
      </c>
      <c r="CS461" s="104" t="str">
        <f aca="false">IF(ISBLANK($C461),"",$CH461)</f>
        <v/>
      </c>
      <c r="CT461" s="104" t="str">
        <f aca="false">IF(ISBLANK($C461),"",$CG461)</f>
        <v/>
      </c>
      <c r="CU461" s="105" t="str">
        <f aca="false">IF(ISBLANK($C461),"",IFERROR(_xlfn.SWITCH($CT461,Constants!$B$11,COUNTA($C$9:$C$508)+2,Constants!$B$10,COUNTA($C$9:$C$508)+1,Constants!$B$9,COUNTA($C$9:$C$508)),$CT461))</f>
        <v/>
      </c>
      <c r="CV461" s="9"/>
      <c r="CW461" s="106" t="n">
        <f aca="false">IF(OR(ISNUMBER($CT461),$CT461=Constants!$B$11,$CT461=Constants!$B$9,$CT461=Constants!$B$10),1,0)</f>
        <v>0</v>
      </c>
      <c r="CX461" s="106" t="n">
        <v>453</v>
      </c>
      <c r="CY461" s="106" t="str">
        <f aca="false">IF(ISBLANK($C461),"",IF(ISNUMBER($CU461),$CU461+ROW($B461)/1000,""))</f>
        <v/>
      </c>
      <c r="CZ461" s="106" t="str">
        <f aca="false">IF(ISNUMBER($CY461),RANK($CY461,$CY$9:$CY$508,1),"")</f>
        <v/>
      </c>
      <c r="DA461" s="106" t="str">
        <f aca="false">IF(ISBLANK($C461),"",$B461)</f>
        <v/>
      </c>
      <c r="DB461" s="106" t="str">
        <f aca="false">IF(ISBLANK($C461),"",$C461)</f>
        <v/>
      </c>
      <c r="DC461" s="106" t="str">
        <f aca="false">IF(ISBLANK($C461),"",$D461)</f>
        <v/>
      </c>
      <c r="DD461" s="107" t="str">
        <f aca="false">$CR461</f>
        <v/>
      </c>
      <c r="DE461" s="108" t="str">
        <f aca="false">$CQ461</f>
        <v/>
      </c>
      <c r="DF461" s="106" t="str">
        <f aca="false">IF(ISBLANK($C461),"",$CT461)</f>
        <v/>
      </c>
      <c r="DG461" s="109" t="str">
        <f aca="false">IF($CX461&gt;$CW$8,"",VLOOKUP($CX461,$CZ$9:$DF$508,7,FALSE()))</f>
        <v/>
      </c>
      <c r="DH461" s="110" t="str">
        <f aca="false">IF($CX461&gt;$CW$8,"",VLOOKUP($CX461,$CZ$9:$DF$508,2,FALSE()))</f>
        <v/>
      </c>
      <c r="DI461" s="110" t="str">
        <f aca="false">IF($CX461&gt;$CW$8,"",VLOOKUP($CX461,$CZ$9:$DF$508,3,FALSE()))</f>
        <v/>
      </c>
      <c r="DJ461" s="110" t="str">
        <f aca="false">IF($CX461&gt;$CW$8,"",VLOOKUP($CX461,$CZ$9:$DF$508,4,FALSE()))</f>
        <v/>
      </c>
      <c r="DK461" s="110" t="str">
        <f aca="false">IF($CX461&gt;$CW$8,"",VLOOKUP($CX461,$CZ$9:$DF$508,5,FALSE()))</f>
        <v/>
      </c>
      <c r="DL461" s="111" t="str">
        <f aca="false">IF($CX461&gt;$CW$8,"",VLOOKUP($CX461,$CZ$9:$DF$508,6,FALSE()))</f>
        <v/>
      </c>
      <c r="DM461" s="75"/>
    </row>
    <row r="462" customFormat="false" ht="15.75" hidden="false" customHeight="false" outlineLevel="0" collapsed="false">
      <c r="A462" s="9"/>
      <c r="B462" s="157"/>
      <c r="C462" s="158"/>
      <c r="D462" s="159"/>
      <c r="E462" s="177"/>
      <c r="F462" s="161"/>
      <c r="G462" s="162"/>
      <c r="H462" s="162"/>
      <c r="I462" s="178"/>
      <c r="J462" s="165"/>
      <c r="K462" s="126"/>
      <c r="L462" s="127"/>
      <c r="M462" s="128"/>
      <c r="N462" s="165"/>
      <c r="O462" s="165"/>
      <c r="P462" s="177"/>
      <c r="Q462" s="165"/>
      <c r="R462" s="165"/>
      <c r="S462" s="126"/>
      <c r="T462" s="128"/>
      <c r="U462" s="128"/>
      <c r="V462" s="165"/>
      <c r="W462" s="165"/>
      <c r="X462" s="177"/>
      <c r="Y462" s="165"/>
      <c r="Z462" s="166"/>
      <c r="AA462" s="165"/>
      <c r="AB462" s="132"/>
      <c r="AC462" s="133"/>
      <c r="AD462" s="133"/>
      <c r="AE462" s="133"/>
      <c r="AF462" s="133" t="str">
        <f aca="false">IF(ISBLANK($C462),"",IF(E462=Constants!$B$3,TRUE(),IF(E462=Constants!$B$4,FALSE(),TRUE())))</f>
        <v/>
      </c>
      <c r="AG462" s="133" t="str">
        <f aca="false">IF(ISBLANK($C462),"",IF(F462=Constants!$B$3,TRUE(),IF(F462=Constants!$B$4,FALSE(),TRUE())))</f>
        <v/>
      </c>
      <c r="AH462" s="133" t="str">
        <f aca="false">IF(ISBLANK($C462),"",IF(G462=Constants!$B$3,TRUE(),IF(G462=Constants!$B$4,FALSE(),TRUE())))</f>
        <v/>
      </c>
      <c r="AI462" s="133" t="str">
        <f aca="false">IF(ISBLANK($C462),"",IF(AND(ISNUMBER(H462),H462&gt;=0),H462,Constants!$B$29))</f>
        <v/>
      </c>
      <c r="AJ462" s="133" t="str">
        <f aca="false">IF(ISBLANK($C462),"",IF(I462=Constants!$B$3,TRUE(),IF(I462=Constants!$B$4,FALSE(),TRUE())))</f>
        <v/>
      </c>
      <c r="AK462" s="133" t="str">
        <f aca="false">IF(ISBLANK($C462),"",IF(J462=Constants!$B$3,TRUE(),IF(J462=Constants!$B$4,FALSE(),TRUE())))</f>
        <v/>
      </c>
      <c r="AL462" s="133" t="str">
        <f aca="false">IF(ISBLANK($C462),"",IF(K462=Constants!$B$5,TRUE(),IF(K462=Constants!$B$6,FALSE(),COUNTA(L462:P462)&gt;0)))</f>
        <v/>
      </c>
      <c r="AM462" s="134" t="str">
        <f aca="false">IF(ISBLANK($C462),"",IF(ISNUMBER(L462),IF(L462&gt;=0,L462,""),""))</f>
        <v/>
      </c>
      <c r="AN462" s="135" t="str">
        <f aca="false">IF(ISBLANK($C462),"",IF(ISNUMBER(M462),IF(M462&gt;=0,M462,""),""))</f>
        <v/>
      </c>
      <c r="AO462" s="135" t="str">
        <f aca="false">IF(ISBLANK($C462),"",IF(N462=Constants!$B$3,TRUE(),IF(N462=Constants!$B$4,FALSE(),TRUE())))</f>
        <v/>
      </c>
      <c r="AP462" s="133" t="str">
        <f aca="false">IF(ISBLANK($C462),"",IF(ISNUMBER(O462),IF(O462&gt;=0,O462,""),""))</f>
        <v/>
      </c>
      <c r="AQ462" s="133" t="str">
        <f aca="false">IF(ISBLANK($C462),"",IF(P462=Constants!$B$3,TRUE(),IF(P462=Constants!$B$4,FALSE(),FALSE())))</f>
        <v/>
      </c>
      <c r="AR462" s="133" t="str">
        <f aca="false">IF(ISBLANK($C462),"",IF(Q462=Constants!$B$3,TRUE(),IF(Q462=Constants!$B$4,FALSE(),TRUE())))</f>
        <v/>
      </c>
      <c r="AS462" s="133" t="str">
        <f aca="false">IF(ISBLANK($C462),"",IF(R462=Constants!$B$3,TRUE(),IF(R462=Constants!$B$4,FALSE(),TRUE())))</f>
        <v/>
      </c>
      <c r="AT462" s="133" t="str">
        <f aca="false">IF(ISBLANK($C462),"",IF(S462=Constants!$B$5,TRUE(),IF(S462=Constants!$B$6,FALSE(),COUNTA(T462:X462)&gt;0)))</f>
        <v/>
      </c>
      <c r="AU462" s="134" t="str">
        <f aca="false">IF(ISBLANK($C462),"",IF(ISNUMBER(T462),IF(T462&gt;=0,T462,""),""))</f>
        <v/>
      </c>
      <c r="AV462" s="135" t="str">
        <f aca="false">IF(ISBLANK($C462),"",IF(ISNUMBER(U462),IF(U462&gt;=0,U462,""),""))</f>
        <v/>
      </c>
      <c r="AW462" s="135" t="str">
        <f aca="false">IF(ISBLANK($C462),"",IF(V462=Constants!$B$3,TRUE(),IF(V462=Constants!$B$4,FALSE(),TRUE())))</f>
        <v/>
      </c>
      <c r="AX462" s="133" t="str">
        <f aca="false">IF(ISBLANK($C462),"",IF(ISNUMBER(W462),IF(W462&gt;=0,W462,""),""))</f>
        <v/>
      </c>
      <c r="AY462" s="133" t="str">
        <f aca="false">IF(ISBLANK($C462),"",IF(X462=Constants!$B$3,TRUE(),IF(X462=Constants!$B$4,FALSE(),FALSE())))</f>
        <v/>
      </c>
      <c r="AZ462" s="133" t="str">
        <f aca="false">IF(ISBLANK($C462),"",MIN(Constants!$B$31,MAX(0,IF(ISNUMBER(Y462),Y462*60,0)+IF(ISNUMBER(Z462),Z462,0))))</f>
        <v/>
      </c>
      <c r="BA462" s="133" t="str">
        <f aca="false">IF(ISBLANK($C462),"",IF(AA462=Constants!$B$3,TRUE(),IF(AA462=Constants!$B$4,FALSE(),FALSE())))</f>
        <v/>
      </c>
      <c r="BB462" s="132" t="str">
        <f aca="false">IF(ISBLANK($C462),"",AND($AL462,OR($AM462="",$AN462="",AND($AO462,$AP462=""))))</f>
        <v/>
      </c>
      <c r="BC462" s="135" t="str">
        <f aca="false">IF($BR462&lt;&gt;Constants!$B$8,"",IF($AL462,Constants!$B$21*$AN462+Constants!$B$22*IF($AO462,$AP462,Constants!$B$23),Constants!$B$24))</f>
        <v/>
      </c>
      <c r="BD462" s="136" t="str">
        <f aca="false">IF($BR462&lt;&gt;Constants!$B$8,"",Constants!$B$25*ABS($AD$9-IF($AL462,$AM462,0)))</f>
        <v/>
      </c>
      <c r="BE462" s="136" t="str">
        <f aca="false">IF($BR462&lt;&gt;Constants!$B$8,"",IF(AND($AL462,$AQ462,$AO462),Constants!$B$27,0))</f>
        <v/>
      </c>
      <c r="BF462" s="136" t="str">
        <f aca="false">IF($BR462&lt;&gt;Constants!$B$8,"",IF($AL462,($AI462-Constants!$B$29)*Constants!$B$28,0))</f>
        <v/>
      </c>
      <c r="BG462" s="136" t="str">
        <f aca="false">IF($BR462&lt;&gt;Constants!$B$8,"",IF($AK462,0,Constants!$B$15)+IF($AJ462,0,Constants!$B$16)+IF($AH462,0,Constants!$B$17))</f>
        <v/>
      </c>
      <c r="BH462" s="137" t="str">
        <f aca="false">IF($BR462&lt;&gt;Constants!$B$8,"",Constants!$B$20+SUM($BC462:$BG462))</f>
        <v/>
      </c>
      <c r="BI462" s="133" t="str">
        <f aca="false">IF($BR462&lt;&gt;Constants!$B$8,"",IF(OR($BP462&lt;$BH462,AND($BP462=$BH462,OR($BK462&lt;$BC462,AND($BK462=$BC462,OR($BL462&lt;$BD462,AND($BL462=$BD462,$AT462,$AL462,$AV462&lt;$AN462)))))),"-&gt;","&lt;-"))</f>
        <v/>
      </c>
      <c r="BJ462" s="132" t="str">
        <f aca="false">IF(ISBLANK($C462),"",AND($AT462,OR($AU462="",$AV462="",AND($AW462,$AX462=""))))</f>
        <v/>
      </c>
      <c r="BK462" s="135" t="str">
        <f aca="false">IF($BR462&lt;&gt;Constants!$B$8,"",IF($AT462,Constants!$B$21*$AV462+Constants!$B$22*IF($AW462,$AX462,Constants!$B$23),Constants!$B$24))</f>
        <v/>
      </c>
      <c r="BL462" s="136" t="str">
        <f aca="false">IF($BR462&lt;&gt;Constants!$B$8,"",Constants!$B$25*ABS($AD$9-IF($AT462,$AU462,0)))</f>
        <v/>
      </c>
      <c r="BM462" s="136" t="str">
        <f aca="false">IF($BR462&lt;&gt;Constants!$B$8,"",IF(AND($AT462,$AY462,$AW462),Constants!$B$27,0))</f>
        <v/>
      </c>
      <c r="BN462" s="136" t="str">
        <f aca="false">IF($BR462&lt;&gt;Constants!$B$8,"",IF($AT462,($AI462-Constants!$B$29)*Constants!$B$28,0))</f>
        <v/>
      </c>
      <c r="BO462" s="136" t="str">
        <f aca="false">IF($BR462&lt;&gt;Constants!$B$8,"",IF($AS462,0,Constants!$B$15)+IF($AR462,0,Constants!$B$16)+IF($AH462,0,Constants!$B$17))</f>
        <v/>
      </c>
      <c r="BP462" s="137" t="str">
        <f aca="false">IF($BR462&lt;&gt;Constants!$B$8,"",Constants!$B$20+SUM($BK462:$BO462))</f>
        <v/>
      </c>
      <c r="BQ462" s="133" t="str">
        <f aca="false">IF(ISBLANK($C462),"",IF(ISBLANK($D$7),$BQ$5,IF(NOT(ISNUMBER($D$7)),$BQ$6,"")))</f>
        <v/>
      </c>
      <c r="BR462" s="133" t="str">
        <f aca="false">IF(ISBLANK($C462),"",IF($BA462,Constants!$B$11,IF(COUNTA($E462:$AA462)=0,Constants!$B$10,IF(NOT($AG462),Constants!$B$9,IF(OR($BQ462&lt;&gt;"",$BB462,$BJ462),Constants!$B$12,Constants!$B$8)))))</f>
        <v/>
      </c>
      <c r="BS462" s="133" t="str">
        <f aca="false">IF(ISBLANK($C462),"",IF($BR462&lt;&gt;Constants!$B$8,$BR462,Constants!$B$13))</f>
        <v/>
      </c>
      <c r="BT462" s="136" t="str">
        <f aca="false">IF($BR462&lt;&gt;Constants!$B$8,"",IF($BI462="-&gt;",$BP462,$BH462))</f>
        <v/>
      </c>
      <c r="BU462" s="136" t="str">
        <f aca="false">IF($BR462&lt;&gt;Constants!$B$8,"",IF($AF462,0,Constants!$B$18))</f>
        <v/>
      </c>
      <c r="BV462" s="136" t="str">
        <f aca="false">IF($BR462&lt;&gt;Constants!$B$8,"",((Constants!$B$31-$AZ462)-Constants!$B$31)/Constants!$B$32)</f>
        <v/>
      </c>
      <c r="BW462" s="136" t="str">
        <f aca="false">IF(ISBLANK($C462),"",IF($BR462&lt;&gt;Constants!$B$8,$BR462,SUM($BT462:$BV462)))</f>
        <v/>
      </c>
      <c r="BX462" s="133" t="str">
        <f aca="false">IF(ISBLANK($C462),"",IF($BR462&lt;&gt;Constants!$B$8,$BR462,RANK($BW462,$BW$9:$BW$508,1)))</f>
        <v/>
      </c>
      <c r="BY462" s="136" t="str">
        <f aca="false">IF($BR462&lt;&gt;Constants!$B$8,"",IF($BI462="-&gt;",$BK462,$BC462))</f>
        <v/>
      </c>
      <c r="BZ462" s="133" t="str">
        <f aca="false">IF(ISBLANK($C462),"",IF($BR462&lt;&gt;Constants!$B$8,$BR462,IF(ISNUMBER($BY462),RANK($BY462,$BY$9:$BY$508,1),COUNT($BY$9:$BY$508)+1)))</f>
        <v/>
      </c>
      <c r="CA462" s="136" t="str">
        <f aca="false">IF($BR462&lt;&gt;Constants!$B$8,"",IF($BI462="-&gt;",$BL462,$BD462))</f>
        <v/>
      </c>
      <c r="CB462" s="133" t="str">
        <f aca="false">IF(ISBLANK($C462),"",IF($BR462&lt;&gt;Constants!$B$8,$BR462,IF(ISNUMBER($CA462),RANK($CA462,$CA$9:$CA$508,1),COUNT($CA$9:$CA$508)+1)))</f>
        <v/>
      </c>
      <c r="CC462" s="136" t="str">
        <f aca="false">IF($BR462&lt;&gt;Constants!$B$8,"",IF($BI462="-&gt;",IF($AT462,$AV462,""),IF($AL462,$AN462,"")))</f>
        <v/>
      </c>
      <c r="CD462" s="133" t="str">
        <f aca="false">IF(ISBLANK($C462),"",IF($BR462&lt;&gt;Constants!$B$8,$BR462,IF(ISNUMBER($CC462),RANK($CC462,$CC$9:$CC$508,1),COUNT($CC$9:$CC$508)+1)))</f>
        <v/>
      </c>
      <c r="CE462" s="136" t="str">
        <f aca="false">IF($BR462&lt;&gt;Constants!$B$8,"",IF(AND(NOT($AL462),NOT($AT462),$AJ462,$AK462,$AR462,$AS462),"",$AI462))</f>
        <v/>
      </c>
      <c r="CF462" s="133" t="str">
        <f aca="false">IF(ISBLANK($C462),"",IF($BR462&lt;&gt;Constants!$B$8,$BR462,IF(ISNUMBER($CE462),RANK($CE462,$CE$9:$CE$508,1),COUNT($CE$9:$CE$508)+1)))</f>
        <v/>
      </c>
      <c r="CG462" s="133" t="str">
        <f aca="false">IF(ISBLANK($C462),"",IF($BR462&lt;&gt;Constants!$B$8,$BR462,COUNTIFS($BX$9:$BX$508,"&lt;"&amp;$BX462)+COUNTIFS($BX$9:$BX$508,$BX462,$BZ$9:$BZ$508,"&lt;"&amp;$BZ462)+COUNTIFS($BX$9:$BX$508,$BX462,$BZ$9:$BZ$508,$BZ462,$CB$9:$CB$508,"&lt;"&amp;$CB462)+COUNTIFS($BX$9:$BX$508,$BX462,$BZ$9:$BZ$508,$BZ462,$CB$9:$CB$508,$CB462,$CD$9:$CD$508,"&lt;"&amp;$CD462)+COUNTIFS($BX$9:$BX$508,$BX462,$BZ$9:$BZ$508,$BZ462,$CB$9:$CB$508,$CB462,$CD$9:$CD$508,$CD462,$CF$9:$CF$508,"&lt;"&amp;$CF462)+1))</f>
        <v/>
      </c>
      <c r="CH462" s="133" t="str">
        <f aca="false">IF(ISBLANK($C462),"",IF($BR462&lt;&gt;Constants!$B$8,$BR462,$BX462-$CG462))</f>
        <v/>
      </c>
      <c r="CI462" s="138"/>
      <c r="CJ462" s="139"/>
      <c r="CK462" s="140" t="str">
        <f aca="false">IF(ISBLANK($C462),"",IF($BR462=Constants!$B$12,$BQ462,""))</f>
        <v/>
      </c>
      <c r="CL462" s="139" t="str">
        <f aca="false">IF(ISBLANK($C462),"",IF($BR462&lt;&gt;Constants!$B$8,"",IF($BI462="-&gt;",2,1)))</f>
        <v/>
      </c>
      <c r="CM462" s="141" t="str">
        <f aca="false">IF(ISBLANK($C462),"",IF($BR462&lt;&gt;Constants!$B$8,"",IF($BI462="-&gt;",$BK462,$BC462)))</f>
        <v/>
      </c>
      <c r="CN462" s="141" t="str">
        <f aca="false">IF(ISBLANK($C462),"",IF($BR462&lt;&gt;Constants!$B$8,"",IF($BI462="-&gt;",$BL462,$BD462)))</f>
        <v/>
      </c>
      <c r="CO462" s="141" t="str">
        <f aca="false">IF(ISBLANK($C462),"",IF($BR462&lt;&gt;Constants!$B$8,"",IF($BI462="-&gt;",$BM462+$BN462,$BE462+$BF462)+$BV462))</f>
        <v/>
      </c>
      <c r="CP462" s="141" t="str">
        <f aca="false">IF(ISBLANK($C462),"",IF($BR462&lt;&gt;Constants!$B$8,"",IF($BI462="-&gt;",$BO462,$BG462)+$BU462))</f>
        <v/>
      </c>
      <c r="CQ462" s="142" t="str">
        <f aca="false">IF(ISBLANK($C462),"",IF($BR462&lt;&gt;Constants!$B$8,$BR462,$BW462))</f>
        <v/>
      </c>
      <c r="CR462" s="143" t="str">
        <f aca="false">IF(ISBLANK($C462),"",$BS462)</f>
        <v/>
      </c>
      <c r="CS462" s="144" t="str">
        <f aca="false">IF(ISBLANK($C462),"",$CH462)</f>
        <v/>
      </c>
      <c r="CT462" s="144" t="str">
        <f aca="false">IF(ISBLANK($C462),"",$CG462)</f>
        <v/>
      </c>
      <c r="CU462" s="145" t="str">
        <f aca="false">IF(ISBLANK($C462),"",IFERROR(_xlfn.SWITCH($CT462,Constants!$B$11,COUNTA($C$9:$C$508)+2,Constants!$B$10,COUNTA($C$9:$C$508)+1,Constants!$B$9,COUNTA($C$9:$C$508)),$CT462))</f>
        <v/>
      </c>
      <c r="CV462" s="9"/>
      <c r="CW462" s="146" t="n">
        <f aca="false">IF(OR(ISNUMBER($CT462),$CT462=Constants!$B$11,$CT462=Constants!$B$9,$CT462=Constants!$B$10),1,0)</f>
        <v>0</v>
      </c>
      <c r="CX462" s="146" t="n">
        <v>454</v>
      </c>
      <c r="CY462" s="146" t="str">
        <f aca="false">IF(ISBLANK($C462),"",IF(ISNUMBER($CU462),$CU462+ROW($B462)/1000,""))</f>
        <v/>
      </c>
      <c r="CZ462" s="146" t="str">
        <f aca="false">IF(ISNUMBER($CY462),RANK($CY462,$CY$9:$CY$508,1),"")</f>
        <v/>
      </c>
      <c r="DA462" s="146" t="str">
        <f aca="false">IF(ISBLANK($C462),"",$B462)</f>
        <v/>
      </c>
      <c r="DB462" s="146" t="str">
        <f aca="false">IF(ISBLANK($C462),"",$C462)</f>
        <v/>
      </c>
      <c r="DC462" s="146" t="str">
        <f aca="false">IF(ISBLANK($C462),"",$D462)</f>
        <v/>
      </c>
      <c r="DD462" s="147" t="str">
        <f aca="false">$CR462</f>
        <v/>
      </c>
      <c r="DE462" s="148" t="str">
        <f aca="false">$CQ462</f>
        <v/>
      </c>
      <c r="DF462" s="146" t="str">
        <f aca="false">IF(ISBLANK($C462),"",$CT462)</f>
        <v/>
      </c>
      <c r="DG462" s="149" t="str">
        <f aca="false">IF($CX462&gt;$CW$8,"",VLOOKUP($CX462,$CZ$9:$DF$508,7,FALSE()))</f>
        <v/>
      </c>
      <c r="DH462" s="150" t="str">
        <f aca="false">IF($CX462&gt;$CW$8,"",VLOOKUP($CX462,$CZ$9:$DF$508,2,FALSE()))</f>
        <v/>
      </c>
      <c r="DI462" s="150" t="str">
        <f aca="false">IF($CX462&gt;$CW$8,"",VLOOKUP($CX462,$CZ$9:$DF$508,3,FALSE()))</f>
        <v/>
      </c>
      <c r="DJ462" s="150" t="str">
        <f aca="false">IF($CX462&gt;$CW$8,"",VLOOKUP($CX462,$CZ$9:$DF$508,4,FALSE()))</f>
        <v/>
      </c>
      <c r="DK462" s="150" t="str">
        <f aca="false">IF($CX462&gt;$CW$8,"",VLOOKUP($CX462,$CZ$9:$DF$508,5,FALSE()))</f>
        <v/>
      </c>
      <c r="DL462" s="151" t="str">
        <f aca="false">IF($CX462&gt;$CW$8,"",VLOOKUP($CX462,$CZ$9:$DF$508,6,FALSE()))</f>
        <v/>
      </c>
      <c r="DM462" s="75"/>
    </row>
    <row r="463" customFormat="false" ht="15.75" hidden="false" customHeight="false" outlineLevel="0" collapsed="false">
      <c r="A463" s="9"/>
      <c r="B463" s="157"/>
      <c r="C463" s="158"/>
      <c r="D463" s="159"/>
      <c r="E463" s="177"/>
      <c r="F463" s="161"/>
      <c r="G463" s="162"/>
      <c r="H463" s="162"/>
      <c r="I463" s="178"/>
      <c r="J463" s="165"/>
      <c r="K463" s="126"/>
      <c r="L463" s="127"/>
      <c r="M463" s="128"/>
      <c r="N463" s="165"/>
      <c r="O463" s="165"/>
      <c r="P463" s="177"/>
      <c r="Q463" s="165"/>
      <c r="R463" s="165"/>
      <c r="S463" s="126"/>
      <c r="T463" s="128"/>
      <c r="U463" s="128"/>
      <c r="V463" s="165"/>
      <c r="W463" s="165"/>
      <c r="X463" s="177"/>
      <c r="Y463" s="165"/>
      <c r="Z463" s="166"/>
      <c r="AA463" s="165"/>
      <c r="AB463" s="132"/>
      <c r="AC463" s="133"/>
      <c r="AD463" s="133"/>
      <c r="AE463" s="133"/>
      <c r="AF463" s="133" t="str">
        <f aca="false">IF(ISBLANK($C463),"",IF(E463=Constants!$B$3,TRUE(),IF(E463=Constants!$B$4,FALSE(),TRUE())))</f>
        <v/>
      </c>
      <c r="AG463" s="133" t="str">
        <f aca="false">IF(ISBLANK($C463),"",IF(F463=Constants!$B$3,TRUE(),IF(F463=Constants!$B$4,FALSE(),TRUE())))</f>
        <v/>
      </c>
      <c r="AH463" s="133" t="str">
        <f aca="false">IF(ISBLANK($C463),"",IF(G463=Constants!$B$3,TRUE(),IF(G463=Constants!$B$4,FALSE(),TRUE())))</f>
        <v/>
      </c>
      <c r="AI463" s="133" t="str">
        <f aca="false">IF(ISBLANK($C463),"",IF(AND(ISNUMBER(H463),H463&gt;=0),H463,Constants!$B$29))</f>
        <v/>
      </c>
      <c r="AJ463" s="133" t="str">
        <f aca="false">IF(ISBLANK($C463),"",IF(I463=Constants!$B$3,TRUE(),IF(I463=Constants!$B$4,FALSE(),TRUE())))</f>
        <v/>
      </c>
      <c r="AK463" s="133" t="str">
        <f aca="false">IF(ISBLANK($C463),"",IF(J463=Constants!$B$3,TRUE(),IF(J463=Constants!$B$4,FALSE(),TRUE())))</f>
        <v/>
      </c>
      <c r="AL463" s="133" t="str">
        <f aca="false">IF(ISBLANK($C463),"",IF(K463=Constants!$B$5,TRUE(),IF(K463=Constants!$B$6,FALSE(),COUNTA(L463:P463)&gt;0)))</f>
        <v/>
      </c>
      <c r="AM463" s="134" t="str">
        <f aca="false">IF(ISBLANK($C463),"",IF(ISNUMBER(L463),IF(L463&gt;=0,L463,""),""))</f>
        <v/>
      </c>
      <c r="AN463" s="135" t="str">
        <f aca="false">IF(ISBLANK($C463),"",IF(ISNUMBER(M463),IF(M463&gt;=0,M463,""),""))</f>
        <v/>
      </c>
      <c r="AO463" s="135" t="str">
        <f aca="false">IF(ISBLANK($C463),"",IF(N463=Constants!$B$3,TRUE(),IF(N463=Constants!$B$4,FALSE(),TRUE())))</f>
        <v/>
      </c>
      <c r="AP463" s="133" t="str">
        <f aca="false">IF(ISBLANK($C463),"",IF(ISNUMBER(O463),IF(O463&gt;=0,O463,""),""))</f>
        <v/>
      </c>
      <c r="AQ463" s="133" t="str">
        <f aca="false">IF(ISBLANK($C463),"",IF(P463=Constants!$B$3,TRUE(),IF(P463=Constants!$B$4,FALSE(),FALSE())))</f>
        <v/>
      </c>
      <c r="AR463" s="133" t="str">
        <f aca="false">IF(ISBLANK($C463),"",IF(Q463=Constants!$B$3,TRUE(),IF(Q463=Constants!$B$4,FALSE(),TRUE())))</f>
        <v/>
      </c>
      <c r="AS463" s="133" t="str">
        <f aca="false">IF(ISBLANK($C463),"",IF(R463=Constants!$B$3,TRUE(),IF(R463=Constants!$B$4,FALSE(),TRUE())))</f>
        <v/>
      </c>
      <c r="AT463" s="133" t="str">
        <f aca="false">IF(ISBLANK($C463),"",IF(S463=Constants!$B$5,TRUE(),IF(S463=Constants!$B$6,FALSE(),COUNTA(T463:X463)&gt;0)))</f>
        <v/>
      </c>
      <c r="AU463" s="134" t="str">
        <f aca="false">IF(ISBLANK($C463),"",IF(ISNUMBER(T463),IF(T463&gt;=0,T463,""),""))</f>
        <v/>
      </c>
      <c r="AV463" s="135" t="str">
        <f aca="false">IF(ISBLANK($C463),"",IF(ISNUMBER(U463),IF(U463&gt;=0,U463,""),""))</f>
        <v/>
      </c>
      <c r="AW463" s="135" t="str">
        <f aca="false">IF(ISBLANK($C463),"",IF(V463=Constants!$B$3,TRUE(),IF(V463=Constants!$B$4,FALSE(),TRUE())))</f>
        <v/>
      </c>
      <c r="AX463" s="133" t="str">
        <f aca="false">IF(ISBLANK($C463),"",IF(ISNUMBER(W463),IF(W463&gt;=0,W463,""),""))</f>
        <v/>
      </c>
      <c r="AY463" s="133" t="str">
        <f aca="false">IF(ISBLANK($C463),"",IF(X463=Constants!$B$3,TRUE(),IF(X463=Constants!$B$4,FALSE(),FALSE())))</f>
        <v/>
      </c>
      <c r="AZ463" s="133" t="str">
        <f aca="false">IF(ISBLANK($C463),"",MIN(Constants!$B$31,MAX(0,IF(ISNUMBER(Y463),Y463*60,0)+IF(ISNUMBER(Z463),Z463,0))))</f>
        <v/>
      </c>
      <c r="BA463" s="133" t="str">
        <f aca="false">IF(ISBLANK($C463),"",IF(AA463=Constants!$B$3,TRUE(),IF(AA463=Constants!$B$4,FALSE(),FALSE())))</f>
        <v/>
      </c>
      <c r="BB463" s="132" t="str">
        <f aca="false">IF(ISBLANK($C463),"",AND($AL463,OR($AM463="",$AN463="",AND($AO463,$AP463=""))))</f>
        <v/>
      </c>
      <c r="BC463" s="135" t="str">
        <f aca="false">IF($BR463&lt;&gt;Constants!$B$8,"",IF($AL463,Constants!$B$21*$AN463+Constants!$B$22*IF($AO463,$AP463,Constants!$B$23),Constants!$B$24))</f>
        <v/>
      </c>
      <c r="BD463" s="136" t="str">
        <f aca="false">IF($BR463&lt;&gt;Constants!$B$8,"",Constants!$B$25*ABS($AD$9-IF($AL463,$AM463,0)))</f>
        <v/>
      </c>
      <c r="BE463" s="136" t="str">
        <f aca="false">IF($BR463&lt;&gt;Constants!$B$8,"",IF(AND($AL463,$AQ463,$AO463),Constants!$B$27,0))</f>
        <v/>
      </c>
      <c r="BF463" s="136" t="str">
        <f aca="false">IF($BR463&lt;&gt;Constants!$B$8,"",IF($AL463,($AI463-Constants!$B$29)*Constants!$B$28,0))</f>
        <v/>
      </c>
      <c r="BG463" s="136" t="str">
        <f aca="false">IF($BR463&lt;&gt;Constants!$B$8,"",IF($AK463,0,Constants!$B$15)+IF($AJ463,0,Constants!$B$16)+IF($AH463,0,Constants!$B$17))</f>
        <v/>
      </c>
      <c r="BH463" s="137" t="str">
        <f aca="false">IF($BR463&lt;&gt;Constants!$B$8,"",Constants!$B$20+SUM($BC463:$BG463))</f>
        <v/>
      </c>
      <c r="BI463" s="133" t="str">
        <f aca="false">IF($BR463&lt;&gt;Constants!$B$8,"",IF(OR($BP463&lt;$BH463,AND($BP463=$BH463,OR($BK463&lt;$BC463,AND($BK463=$BC463,OR($BL463&lt;$BD463,AND($BL463=$BD463,$AT463,$AL463,$AV463&lt;$AN463)))))),"-&gt;","&lt;-"))</f>
        <v/>
      </c>
      <c r="BJ463" s="132" t="str">
        <f aca="false">IF(ISBLANK($C463),"",AND($AT463,OR($AU463="",$AV463="",AND($AW463,$AX463=""))))</f>
        <v/>
      </c>
      <c r="BK463" s="135" t="str">
        <f aca="false">IF($BR463&lt;&gt;Constants!$B$8,"",IF($AT463,Constants!$B$21*$AV463+Constants!$B$22*IF($AW463,$AX463,Constants!$B$23),Constants!$B$24))</f>
        <v/>
      </c>
      <c r="BL463" s="136" t="str">
        <f aca="false">IF($BR463&lt;&gt;Constants!$B$8,"",Constants!$B$25*ABS($AD$9-IF($AT463,$AU463,0)))</f>
        <v/>
      </c>
      <c r="BM463" s="136" t="str">
        <f aca="false">IF($BR463&lt;&gt;Constants!$B$8,"",IF(AND($AT463,$AY463,$AW463),Constants!$B$27,0))</f>
        <v/>
      </c>
      <c r="BN463" s="136" t="str">
        <f aca="false">IF($BR463&lt;&gt;Constants!$B$8,"",IF($AT463,($AI463-Constants!$B$29)*Constants!$B$28,0))</f>
        <v/>
      </c>
      <c r="BO463" s="136" t="str">
        <f aca="false">IF($BR463&lt;&gt;Constants!$B$8,"",IF($AS463,0,Constants!$B$15)+IF($AR463,0,Constants!$B$16)+IF($AH463,0,Constants!$B$17))</f>
        <v/>
      </c>
      <c r="BP463" s="137" t="str">
        <f aca="false">IF($BR463&lt;&gt;Constants!$B$8,"",Constants!$B$20+SUM($BK463:$BO463))</f>
        <v/>
      </c>
      <c r="BQ463" s="133" t="str">
        <f aca="false">IF(ISBLANK($C463),"",IF(ISBLANK($D$7),$BQ$5,IF(NOT(ISNUMBER($D$7)),$BQ$6,"")))</f>
        <v/>
      </c>
      <c r="BR463" s="133" t="str">
        <f aca="false">IF(ISBLANK($C463),"",IF($BA463,Constants!$B$11,IF(COUNTA($E463:$AA463)=0,Constants!$B$10,IF(NOT($AG463),Constants!$B$9,IF(OR($BQ463&lt;&gt;"",$BB463,$BJ463),Constants!$B$12,Constants!$B$8)))))</f>
        <v/>
      </c>
      <c r="BS463" s="133" t="str">
        <f aca="false">IF(ISBLANK($C463),"",IF($BR463&lt;&gt;Constants!$B$8,$BR463,Constants!$B$13))</f>
        <v/>
      </c>
      <c r="BT463" s="136" t="str">
        <f aca="false">IF($BR463&lt;&gt;Constants!$B$8,"",IF($BI463="-&gt;",$BP463,$BH463))</f>
        <v/>
      </c>
      <c r="BU463" s="136" t="str">
        <f aca="false">IF($BR463&lt;&gt;Constants!$B$8,"",IF($AF463,0,Constants!$B$18))</f>
        <v/>
      </c>
      <c r="BV463" s="136" t="str">
        <f aca="false">IF($BR463&lt;&gt;Constants!$B$8,"",((Constants!$B$31-$AZ463)-Constants!$B$31)/Constants!$B$32)</f>
        <v/>
      </c>
      <c r="BW463" s="136" t="str">
        <f aca="false">IF(ISBLANK($C463),"",IF($BR463&lt;&gt;Constants!$B$8,$BR463,SUM($BT463:$BV463)))</f>
        <v/>
      </c>
      <c r="BX463" s="133" t="str">
        <f aca="false">IF(ISBLANK($C463),"",IF($BR463&lt;&gt;Constants!$B$8,$BR463,RANK($BW463,$BW$9:$BW$508,1)))</f>
        <v/>
      </c>
      <c r="BY463" s="136" t="str">
        <f aca="false">IF($BR463&lt;&gt;Constants!$B$8,"",IF($BI463="-&gt;",$BK463,$BC463))</f>
        <v/>
      </c>
      <c r="BZ463" s="133" t="str">
        <f aca="false">IF(ISBLANK($C463),"",IF($BR463&lt;&gt;Constants!$B$8,$BR463,IF(ISNUMBER($BY463),RANK($BY463,$BY$9:$BY$508,1),COUNT($BY$9:$BY$508)+1)))</f>
        <v/>
      </c>
      <c r="CA463" s="136" t="str">
        <f aca="false">IF($BR463&lt;&gt;Constants!$B$8,"",IF($BI463="-&gt;",$BL463,$BD463))</f>
        <v/>
      </c>
      <c r="CB463" s="133" t="str">
        <f aca="false">IF(ISBLANK($C463),"",IF($BR463&lt;&gt;Constants!$B$8,$BR463,IF(ISNUMBER($CA463),RANK($CA463,$CA$9:$CA$508,1),COUNT($CA$9:$CA$508)+1)))</f>
        <v/>
      </c>
      <c r="CC463" s="136" t="str">
        <f aca="false">IF($BR463&lt;&gt;Constants!$B$8,"",IF($BI463="-&gt;",IF($AT463,$AV463,""),IF($AL463,$AN463,"")))</f>
        <v/>
      </c>
      <c r="CD463" s="133" t="str">
        <f aca="false">IF(ISBLANK($C463),"",IF($BR463&lt;&gt;Constants!$B$8,$BR463,IF(ISNUMBER($CC463),RANK($CC463,$CC$9:$CC$508,1),COUNT($CC$9:$CC$508)+1)))</f>
        <v/>
      </c>
      <c r="CE463" s="136" t="str">
        <f aca="false">IF($BR463&lt;&gt;Constants!$B$8,"",IF(AND(NOT($AL463),NOT($AT463),$AJ463,$AK463,$AR463,$AS463),"",$AI463))</f>
        <v/>
      </c>
      <c r="CF463" s="133" t="str">
        <f aca="false">IF(ISBLANK($C463),"",IF($BR463&lt;&gt;Constants!$B$8,$BR463,IF(ISNUMBER($CE463),RANK($CE463,$CE$9:$CE$508,1),COUNT($CE$9:$CE$508)+1)))</f>
        <v/>
      </c>
      <c r="CG463" s="133" t="str">
        <f aca="false">IF(ISBLANK($C463),"",IF($BR463&lt;&gt;Constants!$B$8,$BR463,COUNTIFS($BX$9:$BX$508,"&lt;"&amp;$BX463)+COUNTIFS($BX$9:$BX$508,$BX463,$BZ$9:$BZ$508,"&lt;"&amp;$BZ463)+COUNTIFS($BX$9:$BX$508,$BX463,$BZ$9:$BZ$508,$BZ463,$CB$9:$CB$508,"&lt;"&amp;$CB463)+COUNTIFS($BX$9:$BX$508,$BX463,$BZ$9:$BZ$508,$BZ463,$CB$9:$CB$508,$CB463,$CD$9:$CD$508,"&lt;"&amp;$CD463)+COUNTIFS($BX$9:$BX$508,$BX463,$BZ$9:$BZ$508,$BZ463,$CB$9:$CB$508,$CB463,$CD$9:$CD$508,$CD463,$CF$9:$CF$508,"&lt;"&amp;$CF463)+1))</f>
        <v/>
      </c>
      <c r="CH463" s="133" t="str">
        <f aca="false">IF(ISBLANK($C463),"",IF($BR463&lt;&gt;Constants!$B$8,$BR463,$BX463-$CG463))</f>
        <v/>
      </c>
      <c r="CI463" s="138"/>
      <c r="CJ463" s="139"/>
      <c r="CK463" s="140" t="str">
        <f aca="false">IF(ISBLANK($C463),"",IF($BR463=Constants!$B$12,$BQ463,""))</f>
        <v/>
      </c>
      <c r="CL463" s="139" t="str">
        <f aca="false">IF(ISBLANK($C463),"",IF($BR463&lt;&gt;Constants!$B$8,"",IF($BI463="-&gt;",2,1)))</f>
        <v/>
      </c>
      <c r="CM463" s="141" t="str">
        <f aca="false">IF(ISBLANK($C463),"",IF($BR463&lt;&gt;Constants!$B$8,"",IF($BI463="-&gt;",$BK463,$BC463)))</f>
        <v/>
      </c>
      <c r="CN463" s="141" t="str">
        <f aca="false">IF(ISBLANK($C463),"",IF($BR463&lt;&gt;Constants!$B$8,"",IF($BI463="-&gt;",$BL463,$BD463)))</f>
        <v/>
      </c>
      <c r="CO463" s="141" t="str">
        <f aca="false">IF(ISBLANK($C463),"",IF($BR463&lt;&gt;Constants!$B$8,"",IF($BI463="-&gt;",$BM463+$BN463,$BE463+$BF463)+$BV463))</f>
        <v/>
      </c>
      <c r="CP463" s="141" t="str">
        <f aca="false">IF(ISBLANK($C463),"",IF($BR463&lt;&gt;Constants!$B$8,"",IF($BI463="-&gt;",$BO463,$BG463)+$BU463))</f>
        <v/>
      </c>
      <c r="CQ463" s="142" t="str">
        <f aca="false">IF(ISBLANK($C463),"",IF($BR463&lt;&gt;Constants!$B$8,$BR463,$BW463))</f>
        <v/>
      </c>
      <c r="CR463" s="143" t="str">
        <f aca="false">IF(ISBLANK($C463),"",$BS463)</f>
        <v/>
      </c>
      <c r="CS463" s="144" t="str">
        <f aca="false">IF(ISBLANK($C463),"",$CH463)</f>
        <v/>
      </c>
      <c r="CT463" s="144" t="str">
        <f aca="false">IF(ISBLANK($C463),"",$CG463)</f>
        <v/>
      </c>
      <c r="CU463" s="145" t="str">
        <f aca="false">IF(ISBLANK($C463),"",IFERROR(_xlfn.SWITCH($CT463,Constants!$B$11,COUNTA($C$9:$C$508)+2,Constants!$B$10,COUNTA($C$9:$C$508)+1,Constants!$B$9,COUNTA($C$9:$C$508)),$CT463))</f>
        <v/>
      </c>
      <c r="CV463" s="9"/>
      <c r="CW463" s="146" t="n">
        <f aca="false">IF(OR(ISNUMBER($CT463),$CT463=Constants!$B$11,$CT463=Constants!$B$9,$CT463=Constants!$B$10),1,0)</f>
        <v>0</v>
      </c>
      <c r="CX463" s="146" t="n">
        <v>455</v>
      </c>
      <c r="CY463" s="146" t="str">
        <f aca="false">IF(ISBLANK($C463),"",IF(ISNUMBER($CU463),$CU463+ROW($B463)/1000,""))</f>
        <v/>
      </c>
      <c r="CZ463" s="146" t="str">
        <f aca="false">IF(ISNUMBER($CY463),RANK($CY463,$CY$9:$CY$508,1),"")</f>
        <v/>
      </c>
      <c r="DA463" s="146" t="str">
        <f aca="false">IF(ISBLANK($C463),"",$B463)</f>
        <v/>
      </c>
      <c r="DB463" s="146" t="str">
        <f aca="false">IF(ISBLANK($C463),"",$C463)</f>
        <v/>
      </c>
      <c r="DC463" s="146" t="str">
        <f aca="false">IF(ISBLANK($C463),"",$D463)</f>
        <v/>
      </c>
      <c r="DD463" s="147" t="str">
        <f aca="false">$CR463</f>
        <v/>
      </c>
      <c r="DE463" s="148" t="str">
        <f aca="false">$CQ463</f>
        <v/>
      </c>
      <c r="DF463" s="146" t="str">
        <f aca="false">IF(ISBLANK($C463),"",$CT463)</f>
        <v/>
      </c>
      <c r="DG463" s="149" t="str">
        <f aca="false">IF($CX463&gt;$CW$8,"",VLOOKUP($CX463,$CZ$9:$DF$508,7,FALSE()))</f>
        <v/>
      </c>
      <c r="DH463" s="150" t="str">
        <f aca="false">IF($CX463&gt;$CW$8,"",VLOOKUP($CX463,$CZ$9:$DF$508,2,FALSE()))</f>
        <v/>
      </c>
      <c r="DI463" s="150" t="str">
        <f aca="false">IF($CX463&gt;$CW$8,"",VLOOKUP($CX463,$CZ$9:$DF$508,3,FALSE()))</f>
        <v/>
      </c>
      <c r="DJ463" s="150" t="str">
        <f aca="false">IF($CX463&gt;$CW$8,"",VLOOKUP($CX463,$CZ$9:$DF$508,4,FALSE()))</f>
        <v/>
      </c>
      <c r="DK463" s="150" t="str">
        <f aca="false">IF($CX463&gt;$CW$8,"",VLOOKUP($CX463,$CZ$9:$DF$508,5,FALSE()))</f>
        <v/>
      </c>
      <c r="DL463" s="151" t="str">
        <f aca="false">IF($CX463&gt;$CW$8,"",VLOOKUP($CX463,$CZ$9:$DF$508,6,FALSE()))</f>
        <v/>
      </c>
      <c r="DM463" s="75"/>
    </row>
    <row r="464" customFormat="false" ht="15.75" hidden="false" customHeight="false" outlineLevel="0" collapsed="false">
      <c r="A464" s="9"/>
      <c r="B464" s="157"/>
      <c r="C464" s="158"/>
      <c r="D464" s="159"/>
      <c r="E464" s="177"/>
      <c r="F464" s="161"/>
      <c r="G464" s="162"/>
      <c r="H464" s="162"/>
      <c r="I464" s="178"/>
      <c r="J464" s="165"/>
      <c r="K464" s="126"/>
      <c r="L464" s="127"/>
      <c r="M464" s="128"/>
      <c r="N464" s="165"/>
      <c r="O464" s="165"/>
      <c r="P464" s="177"/>
      <c r="Q464" s="165"/>
      <c r="R464" s="165"/>
      <c r="S464" s="126"/>
      <c r="T464" s="128"/>
      <c r="U464" s="128"/>
      <c r="V464" s="165"/>
      <c r="W464" s="165"/>
      <c r="X464" s="177"/>
      <c r="Y464" s="165"/>
      <c r="Z464" s="166"/>
      <c r="AA464" s="165"/>
      <c r="AB464" s="132"/>
      <c r="AC464" s="133"/>
      <c r="AD464" s="133"/>
      <c r="AE464" s="133"/>
      <c r="AF464" s="133" t="str">
        <f aca="false">IF(ISBLANK($C464),"",IF(E464=Constants!$B$3,TRUE(),IF(E464=Constants!$B$4,FALSE(),TRUE())))</f>
        <v/>
      </c>
      <c r="AG464" s="133" t="str">
        <f aca="false">IF(ISBLANK($C464),"",IF(F464=Constants!$B$3,TRUE(),IF(F464=Constants!$B$4,FALSE(),TRUE())))</f>
        <v/>
      </c>
      <c r="AH464" s="133" t="str">
        <f aca="false">IF(ISBLANK($C464),"",IF(G464=Constants!$B$3,TRUE(),IF(G464=Constants!$B$4,FALSE(),TRUE())))</f>
        <v/>
      </c>
      <c r="AI464" s="133" t="str">
        <f aca="false">IF(ISBLANK($C464),"",IF(AND(ISNUMBER(H464),H464&gt;=0),H464,Constants!$B$29))</f>
        <v/>
      </c>
      <c r="AJ464" s="133" t="str">
        <f aca="false">IF(ISBLANK($C464),"",IF(I464=Constants!$B$3,TRUE(),IF(I464=Constants!$B$4,FALSE(),TRUE())))</f>
        <v/>
      </c>
      <c r="AK464" s="133" t="str">
        <f aca="false">IF(ISBLANK($C464),"",IF(J464=Constants!$B$3,TRUE(),IF(J464=Constants!$B$4,FALSE(),TRUE())))</f>
        <v/>
      </c>
      <c r="AL464" s="133" t="str">
        <f aca="false">IF(ISBLANK($C464),"",IF(K464=Constants!$B$5,TRUE(),IF(K464=Constants!$B$6,FALSE(),COUNTA(L464:P464)&gt;0)))</f>
        <v/>
      </c>
      <c r="AM464" s="134" t="str">
        <f aca="false">IF(ISBLANK($C464),"",IF(ISNUMBER(L464),IF(L464&gt;=0,L464,""),""))</f>
        <v/>
      </c>
      <c r="AN464" s="135" t="str">
        <f aca="false">IF(ISBLANK($C464),"",IF(ISNUMBER(M464),IF(M464&gt;=0,M464,""),""))</f>
        <v/>
      </c>
      <c r="AO464" s="135" t="str">
        <f aca="false">IF(ISBLANK($C464),"",IF(N464=Constants!$B$3,TRUE(),IF(N464=Constants!$B$4,FALSE(),TRUE())))</f>
        <v/>
      </c>
      <c r="AP464" s="133" t="str">
        <f aca="false">IF(ISBLANK($C464),"",IF(ISNUMBER(O464),IF(O464&gt;=0,O464,""),""))</f>
        <v/>
      </c>
      <c r="AQ464" s="133" t="str">
        <f aca="false">IF(ISBLANK($C464),"",IF(P464=Constants!$B$3,TRUE(),IF(P464=Constants!$B$4,FALSE(),FALSE())))</f>
        <v/>
      </c>
      <c r="AR464" s="133" t="str">
        <f aca="false">IF(ISBLANK($C464),"",IF(Q464=Constants!$B$3,TRUE(),IF(Q464=Constants!$B$4,FALSE(),TRUE())))</f>
        <v/>
      </c>
      <c r="AS464" s="133" t="str">
        <f aca="false">IF(ISBLANK($C464),"",IF(R464=Constants!$B$3,TRUE(),IF(R464=Constants!$B$4,FALSE(),TRUE())))</f>
        <v/>
      </c>
      <c r="AT464" s="133" t="str">
        <f aca="false">IF(ISBLANK($C464),"",IF(S464=Constants!$B$5,TRUE(),IF(S464=Constants!$B$6,FALSE(),COUNTA(T464:X464)&gt;0)))</f>
        <v/>
      </c>
      <c r="AU464" s="134" t="str">
        <f aca="false">IF(ISBLANK($C464),"",IF(ISNUMBER(T464),IF(T464&gt;=0,T464,""),""))</f>
        <v/>
      </c>
      <c r="AV464" s="135" t="str">
        <f aca="false">IF(ISBLANK($C464),"",IF(ISNUMBER(U464),IF(U464&gt;=0,U464,""),""))</f>
        <v/>
      </c>
      <c r="AW464" s="135" t="str">
        <f aca="false">IF(ISBLANK($C464),"",IF(V464=Constants!$B$3,TRUE(),IF(V464=Constants!$B$4,FALSE(),TRUE())))</f>
        <v/>
      </c>
      <c r="AX464" s="133" t="str">
        <f aca="false">IF(ISBLANK($C464),"",IF(ISNUMBER(W464),IF(W464&gt;=0,W464,""),""))</f>
        <v/>
      </c>
      <c r="AY464" s="133" t="str">
        <f aca="false">IF(ISBLANK($C464),"",IF(X464=Constants!$B$3,TRUE(),IF(X464=Constants!$B$4,FALSE(),FALSE())))</f>
        <v/>
      </c>
      <c r="AZ464" s="133" t="str">
        <f aca="false">IF(ISBLANK($C464),"",MIN(Constants!$B$31,MAX(0,IF(ISNUMBER(Y464),Y464*60,0)+IF(ISNUMBER(Z464),Z464,0))))</f>
        <v/>
      </c>
      <c r="BA464" s="133" t="str">
        <f aca="false">IF(ISBLANK($C464),"",IF(AA464=Constants!$B$3,TRUE(),IF(AA464=Constants!$B$4,FALSE(),FALSE())))</f>
        <v/>
      </c>
      <c r="BB464" s="132" t="str">
        <f aca="false">IF(ISBLANK($C464),"",AND($AL464,OR($AM464="",$AN464="",AND($AO464,$AP464=""))))</f>
        <v/>
      </c>
      <c r="BC464" s="135" t="str">
        <f aca="false">IF($BR464&lt;&gt;Constants!$B$8,"",IF($AL464,Constants!$B$21*$AN464+Constants!$B$22*IF($AO464,$AP464,Constants!$B$23),Constants!$B$24))</f>
        <v/>
      </c>
      <c r="BD464" s="136" t="str">
        <f aca="false">IF($BR464&lt;&gt;Constants!$B$8,"",Constants!$B$25*ABS($AD$9-IF($AL464,$AM464,0)))</f>
        <v/>
      </c>
      <c r="BE464" s="136" t="str">
        <f aca="false">IF($BR464&lt;&gt;Constants!$B$8,"",IF(AND($AL464,$AQ464,$AO464),Constants!$B$27,0))</f>
        <v/>
      </c>
      <c r="BF464" s="136" t="str">
        <f aca="false">IF($BR464&lt;&gt;Constants!$B$8,"",IF($AL464,($AI464-Constants!$B$29)*Constants!$B$28,0))</f>
        <v/>
      </c>
      <c r="BG464" s="136" t="str">
        <f aca="false">IF($BR464&lt;&gt;Constants!$B$8,"",IF($AK464,0,Constants!$B$15)+IF($AJ464,0,Constants!$B$16)+IF($AH464,0,Constants!$B$17))</f>
        <v/>
      </c>
      <c r="BH464" s="137" t="str">
        <f aca="false">IF($BR464&lt;&gt;Constants!$B$8,"",Constants!$B$20+SUM($BC464:$BG464))</f>
        <v/>
      </c>
      <c r="BI464" s="133" t="str">
        <f aca="false">IF($BR464&lt;&gt;Constants!$B$8,"",IF(OR($BP464&lt;$BH464,AND($BP464=$BH464,OR($BK464&lt;$BC464,AND($BK464=$BC464,OR($BL464&lt;$BD464,AND($BL464=$BD464,$AT464,$AL464,$AV464&lt;$AN464)))))),"-&gt;","&lt;-"))</f>
        <v/>
      </c>
      <c r="BJ464" s="132" t="str">
        <f aca="false">IF(ISBLANK($C464),"",AND($AT464,OR($AU464="",$AV464="",AND($AW464,$AX464=""))))</f>
        <v/>
      </c>
      <c r="BK464" s="135" t="str">
        <f aca="false">IF($BR464&lt;&gt;Constants!$B$8,"",IF($AT464,Constants!$B$21*$AV464+Constants!$B$22*IF($AW464,$AX464,Constants!$B$23),Constants!$B$24))</f>
        <v/>
      </c>
      <c r="BL464" s="136" t="str">
        <f aca="false">IF($BR464&lt;&gt;Constants!$B$8,"",Constants!$B$25*ABS($AD$9-IF($AT464,$AU464,0)))</f>
        <v/>
      </c>
      <c r="BM464" s="136" t="str">
        <f aca="false">IF($BR464&lt;&gt;Constants!$B$8,"",IF(AND($AT464,$AY464,$AW464),Constants!$B$27,0))</f>
        <v/>
      </c>
      <c r="BN464" s="136" t="str">
        <f aca="false">IF($BR464&lt;&gt;Constants!$B$8,"",IF($AT464,($AI464-Constants!$B$29)*Constants!$B$28,0))</f>
        <v/>
      </c>
      <c r="BO464" s="136" t="str">
        <f aca="false">IF($BR464&lt;&gt;Constants!$B$8,"",IF($AS464,0,Constants!$B$15)+IF($AR464,0,Constants!$B$16)+IF($AH464,0,Constants!$B$17))</f>
        <v/>
      </c>
      <c r="BP464" s="137" t="str">
        <f aca="false">IF($BR464&lt;&gt;Constants!$B$8,"",Constants!$B$20+SUM($BK464:$BO464))</f>
        <v/>
      </c>
      <c r="BQ464" s="133" t="str">
        <f aca="false">IF(ISBLANK($C464),"",IF(ISBLANK($D$7),$BQ$5,IF(NOT(ISNUMBER($D$7)),$BQ$6,"")))</f>
        <v/>
      </c>
      <c r="BR464" s="133" t="str">
        <f aca="false">IF(ISBLANK($C464),"",IF($BA464,Constants!$B$11,IF(COUNTA($E464:$AA464)=0,Constants!$B$10,IF(NOT($AG464),Constants!$B$9,IF(OR($BQ464&lt;&gt;"",$BB464,$BJ464),Constants!$B$12,Constants!$B$8)))))</f>
        <v/>
      </c>
      <c r="BS464" s="133" t="str">
        <f aca="false">IF(ISBLANK($C464),"",IF($BR464&lt;&gt;Constants!$B$8,$BR464,Constants!$B$13))</f>
        <v/>
      </c>
      <c r="BT464" s="136" t="str">
        <f aca="false">IF($BR464&lt;&gt;Constants!$B$8,"",IF($BI464="-&gt;",$BP464,$BH464))</f>
        <v/>
      </c>
      <c r="BU464" s="136" t="str">
        <f aca="false">IF($BR464&lt;&gt;Constants!$B$8,"",IF($AF464,0,Constants!$B$18))</f>
        <v/>
      </c>
      <c r="BV464" s="136" t="str">
        <f aca="false">IF($BR464&lt;&gt;Constants!$B$8,"",((Constants!$B$31-$AZ464)-Constants!$B$31)/Constants!$B$32)</f>
        <v/>
      </c>
      <c r="BW464" s="136" t="str">
        <f aca="false">IF(ISBLANK($C464),"",IF($BR464&lt;&gt;Constants!$B$8,$BR464,SUM($BT464:$BV464)))</f>
        <v/>
      </c>
      <c r="BX464" s="133" t="str">
        <f aca="false">IF(ISBLANK($C464),"",IF($BR464&lt;&gt;Constants!$B$8,$BR464,RANK($BW464,$BW$9:$BW$508,1)))</f>
        <v/>
      </c>
      <c r="BY464" s="136" t="str">
        <f aca="false">IF($BR464&lt;&gt;Constants!$B$8,"",IF($BI464="-&gt;",$BK464,$BC464))</f>
        <v/>
      </c>
      <c r="BZ464" s="133" t="str">
        <f aca="false">IF(ISBLANK($C464),"",IF($BR464&lt;&gt;Constants!$B$8,$BR464,IF(ISNUMBER($BY464),RANK($BY464,$BY$9:$BY$508,1),COUNT($BY$9:$BY$508)+1)))</f>
        <v/>
      </c>
      <c r="CA464" s="136" t="str">
        <f aca="false">IF($BR464&lt;&gt;Constants!$B$8,"",IF($BI464="-&gt;",$BL464,$BD464))</f>
        <v/>
      </c>
      <c r="CB464" s="133" t="str">
        <f aca="false">IF(ISBLANK($C464),"",IF($BR464&lt;&gt;Constants!$B$8,$BR464,IF(ISNUMBER($CA464),RANK($CA464,$CA$9:$CA$508,1),COUNT($CA$9:$CA$508)+1)))</f>
        <v/>
      </c>
      <c r="CC464" s="136" t="str">
        <f aca="false">IF($BR464&lt;&gt;Constants!$B$8,"",IF($BI464="-&gt;",IF($AT464,$AV464,""),IF($AL464,$AN464,"")))</f>
        <v/>
      </c>
      <c r="CD464" s="133" t="str">
        <f aca="false">IF(ISBLANK($C464),"",IF($BR464&lt;&gt;Constants!$B$8,$BR464,IF(ISNUMBER($CC464),RANK($CC464,$CC$9:$CC$508,1),COUNT($CC$9:$CC$508)+1)))</f>
        <v/>
      </c>
      <c r="CE464" s="136" t="str">
        <f aca="false">IF($BR464&lt;&gt;Constants!$B$8,"",IF(AND(NOT($AL464),NOT($AT464),$AJ464,$AK464,$AR464,$AS464),"",$AI464))</f>
        <v/>
      </c>
      <c r="CF464" s="133" t="str">
        <f aca="false">IF(ISBLANK($C464),"",IF($BR464&lt;&gt;Constants!$B$8,$BR464,IF(ISNUMBER($CE464),RANK($CE464,$CE$9:$CE$508,1),COUNT($CE$9:$CE$508)+1)))</f>
        <v/>
      </c>
      <c r="CG464" s="133" t="str">
        <f aca="false">IF(ISBLANK($C464),"",IF($BR464&lt;&gt;Constants!$B$8,$BR464,COUNTIFS($BX$9:$BX$508,"&lt;"&amp;$BX464)+COUNTIFS($BX$9:$BX$508,$BX464,$BZ$9:$BZ$508,"&lt;"&amp;$BZ464)+COUNTIFS($BX$9:$BX$508,$BX464,$BZ$9:$BZ$508,$BZ464,$CB$9:$CB$508,"&lt;"&amp;$CB464)+COUNTIFS($BX$9:$BX$508,$BX464,$BZ$9:$BZ$508,$BZ464,$CB$9:$CB$508,$CB464,$CD$9:$CD$508,"&lt;"&amp;$CD464)+COUNTIFS($BX$9:$BX$508,$BX464,$BZ$9:$BZ$508,$BZ464,$CB$9:$CB$508,$CB464,$CD$9:$CD$508,$CD464,$CF$9:$CF$508,"&lt;"&amp;$CF464)+1))</f>
        <v/>
      </c>
      <c r="CH464" s="133" t="str">
        <f aca="false">IF(ISBLANK($C464),"",IF($BR464&lt;&gt;Constants!$B$8,$BR464,$BX464-$CG464))</f>
        <v/>
      </c>
      <c r="CI464" s="138"/>
      <c r="CJ464" s="139"/>
      <c r="CK464" s="140" t="str">
        <f aca="false">IF(ISBLANK($C464),"",IF($BR464=Constants!$B$12,$BQ464,""))</f>
        <v/>
      </c>
      <c r="CL464" s="139" t="str">
        <f aca="false">IF(ISBLANK($C464),"",IF($BR464&lt;&gt;Constants!$B$8,"",IF($BI464="-&gt;",2,1)))</f>
        <v/>
      </c>
      <c r="CM464" s="141" t="str">
        <f aca="false">IF(ISBLANK($C464),"",IF($BR464&lt;&gt;Constants!$B$8,"",IF($BI464="-&gt;",$BK464,$BC464)))</f>
        <v/>
      </c>
      <c r="CN464" s="141" t="str">
        <f aca="false">IF(ISBLANK($C464),"",IF($BR464&lt;&gt;Constants!$B$8,"",IF($BI464="-&gt;",$BL464,$BD464)))</f>
        <v/>
      </c>
      <c r="CO464" s="141" t="str">
        <f aca="false">IF(ISBLANK($C464),"",IF($BR464&lt;&gt;Constants!$B$8,"",IF($BI464="-&gt;",$BM464+$BN464,$BE464+$BF464)+$BV464))</f>
        <v/>
      </c>
      <c r="CP464" s="141" t="str">
        <f aca="false">IF(ISBLANK($C464),"",IF($BR464&lt;&gt;Constants!$B$8,"",IF($BI464="-&gt;",$BO464,$BG464)+$BU464))</f>
        <v/>
      </c>
      <c r="CQ464" s="142" t="str">
        <f aca="false">IF(ISBLANK($C464),"",IF($BR464&lt;&gt;Constants!$B$8,$BR464,$BW464))</f>
        <v/>
      </c>
      <c r="CR464" s="143" t="str">
        <f aca="false">IF(ISBLANK($C464),"",$BS464)</f>
        <v/>
      </c>
      <c r="CS464" s="144" t="str">
        <f aca="false">IF(ISBLANK($C464),"",$CH464)</f>
        <v/>
      </c>
      <c r="CT464" s="144" t="str">
        <f aca="false">IF(ISBLANK($C464),"",$CG464)</f>
        <v/>
      </c>
      <c r="CU464" s="145" t="str">
        <f aca="false">IF(ISBLANK($C464),"",IFERROR(_xlfn.SWITCH($CT464,Constants!$B$11,COUNTA($C$9:$C$508)+2,Constants!$B$10,COUNTA($C$9:$C$508)+1,Constants!$B$9,COUNTA($C$9:$C$508)),$CT464))</f>
        <v/>
      </c>
      <c r="CV464" s="9"/>
      <c r="CW464" s="146" t="n">
        <f aca="false">IF(OR(ISNUMBER($CT464),$CT464=Constants!$B$11,$CT464=Constants!$B$9,$CT464=Constants!$B$10),1,0)</f>
        <v>0</v>
      </c>
      <c r="CX464" s="146" t="n">
        <v>456</v>
      </c>
      <c r="CY464" s="146" t="str">
        <f aca="false">IF(ISBLANK($C464),"",IF(ISNUMBER($CU464),$CU464+ROW($B464)/1000,""))</f>
        <v/>
      </c>
      <c r="CZ464" s="146" t="str">
        <f aca="false">IF(ISNUMBER($CY464),RANK($CY464,$CY$9:$CY$508,1),"")</f>
        <v/>
      </c>
      <c r="DA464" s="146" t="str">
        <f aca="false">IF(ISBLANK($C464),"",$B464)</f>
        <v/>
      </c>
      <c r="DB464" s="146" t="str">
        <f aca="false">IF(ISBLANK($C464),"",$C464)</f>
        <v/>
      </c>
      <c r="DC464" s="146" t="str">
        <f aca="false">IF(ISBLANK($C464),"",$D464)</f>
        <v/>
      </c>
      <c r="DD464" s="147" t="str">
        <f aca="false">$CR464</f>
        <v/>
      </c>
      <c r="DE464" s="148" t="str">
        <f aca="false">$CQ464</f>
        <v/>
      </c>
      <c r="DF464" s="146" t="str">
        <f aca="false">IF(ISBLANK($C464),"",$CT464)</f>
        <v/>
      </c>
      <c r="DG464" s="149" t="str">
        <f aca="false">IF($CX464&gt;$CW$8,"",VLOOKUP($CX464,$CZ$9:$DF$508,7,FALSE()))</f>
        <v/>
      </c>
      <c r="DH464" s="150" t="str">
        <f aca="false">IF($CX464&gt;$CW$8,"",VLOOKUP($CX464,$CZ$9:$DF$508,2,FALSE()))</f>
        <v/>
      </c>
      <c r="DI464" s="150" t="str">
        <f aca="false">IF($CX464&gt;$CW$8,"",VLOOKUP($CX464,$CZ$9:$DF$508,3,FALSE()))</f>
        <v/>
      </c>
      <c r="DJ464" s="150" t="str">
        <f aca="false">IF($CX464&gt;$CW$8,"",VLOOKUP($CX464,$CZ$9:$DF$508,4,FALSE()))</f>
        <v/>
      </c>
      <c r="DK464" s="150" t="str">
        <f aca="false">IF($CX464&gt;$CW$8,"",VLOOKUP($CX464,$CZ$9:$DF$508,5,FALSE()))</f>
        <v/>
      </c>
      <c r="DL464" s="151" t="str">
        <f aca="false">IF($CX464&gt;$CW$8,"",VLOOKUP($CX464,$CZ$9:$DF$508,6,FALSE()))</f>
        <v/>
      </c>
      <c r="DM464" s="75"/>
    </row>
    <row r="465" customFormat="false" ht="15.75" hidden="false" customHeight="false" outlineLevel="0" collapsed="false">
      <c r="A465" s="9"/>
      <c r="B465" s="77"/>
      <c r="C465" s="78"/>
      <c r="D465" s="167"/>
      <c r="E465" s="175"/>
      <c r="F465" s="169"/>
      <c r="G465" s="170"/>
      <c r="H465" s="170"/>
      <c r="I465" s="176"/>
      <c r="J465" s="173"/>
      <c r="K465" s="85"/>
      <c r="L465" s="86"/>
      <c r="M465" s="87"/>
      <c r="N465" s="173"/>
      <c r="O465" s="173"/>
      <c r="P465" s="175"/>
      <c r="Q465" s="173"/>
      <c r="R465" s="173"/>
      <c r="S465" s="85"/>
      <c r="T465" s="87"/>
      <c r="U465" s="87"/>
      <c r="V465" s="173"/>
      <c r="W465" s="173"/>
      <c r="X465" s="175"/>
      <c r="Y465" s="173"/>
      <c r="Z465" s="174"/>
      <c r="AA465" s="173"/>
      <c r="AB465" s="91"/>
      <c r="AC465" s="92"/>
      <c r="AD465" s="92"/>
      <c r="AE465" s="92"/>
      <c r="AF465" s="92" t="str">
        <f aca="false">IF(ISBLANK($C465),"",IF(E465=Constants!$B$3,TRUE(),IF(E465=Constants!$B$4,FALSE(),TRUE())))</f>
        <v/>
      </c>
      <c r="AG465" s="92" t="str">
        <f aca="false">IF(ISBLANK($C465),"",IF(F465=Constants!$B$3,TRUE(),IF(F465=Constants!$B$4,FALSE(),TRUE())))</f>
        <v/>
      </c>
      <c r="AH465" s="92" t="str">
        <f aca="false">IF(ISBLANK($C465),"",IF(G465=Constants!$B$3,TRUE(),IF(G465=Constants!$B$4,FALSE(),TRUE())))</f>
        <v/>
      </c>
      <c r="AI465" s="92" t="str">
        <f aca="false">IF(ISBLANK($C465),"",IF(AND(ISNUMBER(H465),H465&gt;=0),H465,Constants!$B$29))</f>
        <v/>
      </c>
      <c r="AJ465" s="92" t="str">
        <f aca="false">IF(ISBLANK($C465),"",IF(I465=Constants!$B$3,TRUE(),IF(I465=Constants!$B$4,FALSE(),TRUE())))</f>
        <v/>
      </c>
      <c r="AK465" s="92" t="str">
        <f aca="false">IF(ISBLANK($C465),"",IF(J465=Constants!$B$3,TRUE(),IF(J465=Constants!$B$4,FALSE(),TRUE())))</f>
        <v/>
      </c>
      <c r="AL465" s="92" t="str">
        <f aca="false">IF(ISBLANK($C465),"",IF(K465=Constants!$B$5,TRUE(),IF(K465=Constants!$B$6,FALSE(),COUNTA(L465:P465)&gt;0)))</f>
        <v/>
      </c>
      <c r="AM465" s="94" t="str">
        <f aca="false">IF(ISBLANK($C465),"",IF(ISNUMBER(L465),IF(L465&gt;=0,L465,""),""))</f>
        <v/>
      </c>
      <c r="AN465" s="93" t="str">
        <f aca="false">IF(ISBLANK($C465),"",IF(ISNUMBER(M465),IF(M465&gt;=0,M465,""),""))</f>
        <v/>
      </c>
      <c r="AO465" s="93" t="str">
        <f aca="false">IF(ISBLANK($C465),"",IF(N465=Constants!$B$3,TRUE(),IF(N465=Constants!$B$4,FALSE(),TRUE())))</f>
        <v/>
      </c>
      <c r="AP465" s="92" t="str">
        <f aca="false">IF(ISBLANK($C465),"",IF(ISNUMBER(O465),IF(O465&gt;=0,O465,""),""))</f>
        <v/>
      </c>
      <c r="AQ465" s="92" t="str">
        <f aca="false">IF(ISBLANK($C465),"",IF(P465=Constants!$B$3,TRUE(),IF(P465=Constants!$B$4,FALSE(),FALSE())))</f>
        <v/>
      </c>
      <c r="AR465" s="92" t="str">
        <f aca="false">IF(ISBLANK($C465),"",IF(Q465=Constants!$B$3,TRUE(),IF(Q465=Constants!$B$4,FALSE(),TRUE())))</f>
        <v/>
      </c>
      <c r="AS465" s="92" t="str">
        <f aca="false">IF(ISBLANK($C465),"",IF(R465=Constants!$B$3,TRUE(),IF(R465=Constants!$B$4,FALSE(),TRUE())))</f>
        <v/>
      </c>
      <c r="AT465" s="92" t="str">
        <f aca="false">IF(ISBLANK($C465),"",IF(S465=Constants!$B$5,TRUE(),IF(S465=Constants!$B$6,FALSE(),COUNTA(T465:X465)&gt;0)))</f>
        <v/>
      </c>
      <c r="AU465" s="94" t="str">
        <f aca="false">IF(ISBLANK($C465),"",IF(ISNUMBER(T465),IF(T465&gt;=0,T465,""),""))</f>
        <v/>
      </c>
      <c r="AV465" s="93" t="str">
        <f aca="false">IF(ISBLANK($C465),"",IF(ISNUMBER(U465),IF(U465&gt;=0,U465,""),""))</f>
        <v/>
      </c>
      <c r="AW465" s="93" t="str">
        <f aca="false">IF(ISBLANK($C465),"",IF(V465=Constants!$B$3,TRUE(),IF(V465=Constants!$B$4,FALSE(),TRUE())))</f>
        <v/>
      </c>
      <c r="AX465" s="92" t="str">
        <f aca="false">IF(ISBLANK($C465),"",IF(ISNUMBER(W465),IF(W465&gt;=0,W465,""),""))</f>
        <v/>
      </c>
      <c r="AY465" s="92" t="str">
        <f aca="false">IF(ISBLANK($C465),"",IF(X465=Constants!$B$3,TRUE(),IF(X465=Constants!$B$4,FALSE(),FALSE())))</f>
        <v/>
      </c>
      <c r="AZ465" s="92" t="str">
        <f aca="false">IF(ISBLANK($C465),"",MIN(Constants!$B$31,MAX(0,IF(ISNUMBER(Y465),Y465*60,0)+IF(ISNUMBER(Z465),Z465,0))))</f>
        <v/>
      </c>
      <c r="BA465" s="92" t="str">
        <f aca="false">IF(ISBLANK($C465),"",IF(AA465=Constants!$B$3,TRUE(),IF(AA465=Constants!$B$4,FALSE(),FALSE())))</f>
        <v/>
      </c>
      <c r="BB465" s="91" t="str">
        <f aca="false">IF(ISBLANK($C465),"",AND($AL465,OR($AM465="",$AN465="",AND($AO465,$AP465=""))))</f>
        <v/>
      </c>
      <c r="BC465" s="93" t="str">
        <f aca="false">IF($BR465&lt;&gt;Constants!$B$8,"",IF($AL465,Constants!$B$21*$AN465+Constants!$B$22*IF($AO465,$AP465,Constants!$B$23),Constants!$B$24))</f>
        <v/>
      </c>
      <c r="BD465" s="96" t="str">
        <f aca="false">IF($BR465&lt;&gt;Constants!$B$8,"",Constants!$B$25*ABS($AD$9-IF($AL465,$AM465,0)))</f>
        <v/>
      </c>
      <c r="BE465" s="96" t="str">
        <f aca="false">IF($BR465&lt;&gt;Constants!$B$8,"",IF(AND($AL465,$AQ465,$AO465),Constants!$B$27,0))</f>
        <v/>
      </c>
      <c r="BF465" s="96" t="str">
        <f aca="false">IF($BR465&lt;&gt;Constants!$B$8,"",IF($AL465,($AI465-Constants!$B$29)*Constants!$B$28,0))</f>
        <v/>
      </c>
      <c r="BG465" s="96" t="str">
        <f aca="false">IF($BR465&lt;&gt;Constants!$B$8,"",IF($AK465,0,Constants!$B$15)+IF($AJ465,0,Constants!$B$16)+IF($AH465,0,Constants!$B$17))</f>
        <v/>
      </c>
      <c r="BH465" s="97" t="str">
        <f aca="false">IF($BR465&lt;&gt;Constants!$B$8,"",Constants!$B$20+SUM($BC465:$BG465))</f>
        <v/>
      </c>
      <c r="BI465" s="92" t="str">
        <f aca="false">IF($BR465&lt;&gt;Constants!$B$8,"",IF(OR($BP465&lt;$BH465,AND($BP465=$BH465,OR($BK465&lt;$BC465,AND($BK465=$BC465,OR($BL465&lt;$BD465,AND($BL465=$BD465,$AT465,$AL465,$AV465&lt;$AN465)))))),"-&gt;","&lt;-"))</f>
        <v/>
      </c>
      <c r="BJ465" s="91" t="str">
        <f aca="false">IF(ISBLANK($C465),"",AND($AT465,OR($AU465="",$AV465="",AND($AW465,$AX465=""))))</f>
        <v/>
      </c>
      <c r="BK465" s="93" t="str">
        <f aca="false">IF($BR465&lt;&gt;Constants!$B$8,"",IF($AT465,Constants!$B$21*$AV465+Constants!$B$22*IF($AW465,$AX465,Constants!$B$23),Constants!$B$24))</f>
        <v/>
      </c>
      <c r="BL465" s="96" t="str">
        <f aca="false">IF($BR465&lt;&gt;Constants!$B$8,"",Constants!$B$25*ABS($AD$9-IF($AT465,$AU465,0)))</f>
        <v/>
      </c>
      <c r="BM465" s="96" t="str">
        <f aca="false">IF($BR465&lt;&gt;Constants!$B$8,"",IF(AND($AT465,$AY465,$AW465),Constants!$B$27,0))</f>
        <v/>
      </c>
      <c r="BN465" s="96" t="str">
        <f aca="false">IF($BR465&lt;&gt;Constants!$B$8,"",IF($AT465,($AI465-Constants!$B$29)*Constants!$B$28,0))</f>
        <v/>
      </c>
      <c r="BO465" s="96" t="str">
        <f aca="false">IF($BR465&lt;&gt;Constants!$B$8,"",IF($AS465,0,Constants!$B$15)+IF($AR465,0,Constants!$B$16)+IF($AH465,0,Constants!$B$17))</f>
        <v/>
      </c>
      <c r="BP465" s="97" t="str">
        <f aca="false">IF($BR465&lt;&gt;Constants!$B$8,"",Constants!$B$20+SUM($BK465:$BO465))</f>
        <v/>
      </c>
      <c r="BQ465" s="92" t="str">
        <f aca="false">IF(ISBLANK($C465),"",IF(ISBLANK($D$7),$BQ$5,IF(NOT(ISNUMBER($D$7)),$BQ$6,"")))</f>
        <v/>
      </c>
      <c r="BR465" s="92" t="str">
        <f aca="false">IF(ISBLANK($C465),"",IF($BA465,Constants!$B$11,IF(COUNTA($E465:$AA465)=0,Constants!$B$10,IF(NOT($AG465),Constants!$B$9,IF(OR($BQ465&lt;&gt;"",$BB465,$BJ465),Constants!$B$12,Constants!$B$8)))))</f>
        <v/>
      </c>
      <c r="BS465" s="92" t="str">
        <f aca="false">IF(ISBLANK($C465),"",IF($BR465&lt;&gt;Constants!$B$8,$BR465,Constants!$B$13))</f>
        <v/>
      </c>
      <c r="BT465" s="96" t="str">
        <f aca="false">IF($BR465&lt;&gt;Constants!$B$8,"",IF($BI465="-&gt;",$BP465,$BH465))</f>
        <v/>
      </c>
      <c r="BU465" s="96" t="str">
        <f aca="false">IF($BR465&lt;&gt;Constants!$B$8,"",IF($AF465,0,Constants!$B$18))</f>
        <v/>
      </c>
      <c r="BV465" s="96" t="str">
        <f aca="false">IF($BR465&lt;&gt;Constants!$B$8,"",((Constants!$B$31-$AZ465)-Constants!$B$31)/Constants!$B$32)</f>
        <v/>
      </c>
      <c r="BW465" s="96" t="str">
        <f aca="false">IF(ISBLANK($C465),"",IF($BR465&lt;&gt;Constants!$B$8,$BR465,SUM($BT465:$BV465)))</f>
        <v/>
      </c>
      <c r="BX465" s="92" t="str">
        <f aca="false">IF(ISBLANK($C465),"",IF($BR465&lt;&gt;Constants!$B$8,$BR465,RANK($BW465,$BW$9:$BW$508,1)))</f>
        <v/>
      </c>
      <c r="BY465" s="96" t="str">
        <f aca="false">IF($BR465&lt;&gt;Constants!$B$8,"",IF($BI465="-&gt;",$BK465,$BC465))</f>
        <v/>
      </c>
      <c r="BZ465" s="92" t="str">
        <f aca="false">IF(ISBLANK($C465),"",IF($BR465&lt;&gt;Constants!$B$8,$BR465,IF(ISNUMBER($BY465),RANK($BY465,$BY$9:$BY$508,1),COUNT($BY$9:$BY$508)+1)))</f>
        <v/>
      </c>
      <c r="CA465" s="96" t="str">
        <f aca="false">IF($BR465&lt;&gt;Constants!$B$8,"",IF($BI465="-&gt;",$BL465,$BD465))</f>
        <v/>
      </c>
      <c r="CB465" s="92" t="str">
        <f aca="false">IF(ISBLANK($C465),"",IF($BR465&lt;&gt;Constants!$B$8,$BR465,IF(ISNUMBER($CA465),RANK($CA465,$CA$9:$CA$508,1),COUNT($CA$9:$CA$508)+1)))</f>
        <v/>
      </c>
      <c r="CC465" s="96" t="str">
        <f aca="false">IF($BR465&lt;&gt;Constants!$B$8,"",IF($BI465="-&gt;",IF($AT465,$AV465,""),IF($AL465,$AN465,"")))</f>
        <v/>
      </c>
      <c r="CD465" s="92" t="str">
        <f aca="false">IF(ISBLANK($C465),"",IF($BR465&lt;&gt;Constants!$B$8,$BR465,IF(ISNUMBER($CC465),RANK($CC465,$CC$9:$CC$508,1),COUNT($CC$9:$CC$508)+1)))</f>
        <v/>
      </c>
      <c r="CE465" s="96" t="str">
        <f aca="false">IF($BR465&lt;&gt;Constants!$B$8,"",IF(AND(NOT($AL465),NOT($AT465),$AJ465,$AK465,$AR465,$AS465),"",$AI465))</f>
        <v/>
      </c>
      <c r="CF465" s="92" t="str">
        <f aca="false">IF(ISBLANK($C465),"",IF($BR465&lt;&gt;Constants!$B$8,$BR465,IF(ISNUMBER($CE465),RANK($CE465,$CE$9:$CE$508,1),COUNT($CE$9:$CE$508)+1)))</f>
        <v/>
      </c>
      <c r="CG465" s="92" t="str">
        <f aca="false">IF(ISBLANK($C465),"",IF($BR465&lt;&gt;Constants!$B$8,$BR465,COUNTIFS($BX$9:$BX$508,"&lt;"&amp;$BX465)+COUNTIFS($BX$9:$BX$508,$BX465,$BZ$9:$BZ$508,"&lt;"&amp;$BZ465)+COUNTIFS($BX$9:$BX$508,$BX465,$BZ$9:$BZ$508,$BZ465,$CB$9:$CB$508,"&lt;"&amp;$CB465)+COUNTIFS($BX$9:$BX$508,$BX465,$BZ$9:$BZ$508,$BZ465,$CB$9:$CB$508,$CB465,$CD$9:$CD$508,"&lt;"&amp;$CD465)+COUNTIFS($BX$9:$BX$508,$BX465,$BZ$9:$BZ$508,$BZ465,$CB$9:$CB$508,$CB465,$CD$9:$CD$508,$CD465,$CF$9:$CF$508,"&lt;"&amp;$CF465)+1))</f>
        <v/>
      </c>
      <c r="CH465" s="92" t="str">
        <f aca="false">IF(ISBLANK($C465),"",IF($BR465&lt;&gt;Constants!$B$8,$BR465,$BX465-$CG465))</f>
        <v/>
      </c>
      <c r="CI465" s="98"/>
      <c r="CJ465" s="99"/>
      <c r="CK465" s="100" t="str">
        <f aca="false">IF(ISBLANK($C465),"",IF($BR465=Constants!$B$12,$BQ465,""))</f>
        <v/>
      </c>
      <c r="CL465" s="99" t="str">
        <f aca="false">IF(ISBLANK($C465),"",IF($BR465&lt;&gt;Constants!$B$8,"",IF($BI465="-&gt;",2,1)))</f>
        <v/>
      </c>
      <c r="CM465" s="101" t="str">
        <f aca="false">IF(ISBLANK($C465),"",IF($BR465&lt;&gt;Constants!$B$8,"",IF($BI465="-&gt;",$BK465,$BC465)))</f>
        <v/>
      </c>
      <c r="CN465" s="101" t="str">
        <f aca="false">IF(ISBLANK($C465),"",IF($BR465&lt;&gt;Constants!$B$8,"",IF($BI465="-&gt;",$BL465,$BD465)))</f>
        <v/>
      </c>
      <c r="CO465" s="101" t="str">
        <f aca="false">IF(ISBLANK($C465),"",IF($BR465&lt;&gt;Constants!$B$8,"",IF($BI465="-&gt;",$BM465+$BN465,$BE465+$BF465)+$BV465))</f>
        <v/>
      </c>
      <c r="CP465" s="101" t="str">
        <f aca="false">IF(ISBLANK($C465),"",IF($BR465&lt;&gt;Constants!$B$8,"",IF($BI465="-&gt;",$BO465,$BG465)+$BU465))</f>
        <v/>
      </c>
      <c r="CQ465" s="102" t="str">
        <f aca="false">IF(ISBLANK($C465),"",IF($BR465&lt;&gt;Constants!$B$8,$BR465,$BW465))</f>
        <v/>
      </c>
      <c r="CR465" s="103" t="str">
        <f aca="false">IF(ISBLANK($C465),"",$BS465)</f>
        <v/>
      </c>
      <c r="CS465" s="104" t="str">
        <f aca="false">IF(ISBLANK($C465),"",$CH465)</f>
        <v/>
      </c>
      <c r="CT465" s="104" t="str">
        <f aca="false">IF(ISBLANK($C465),"",$CG465)</f>
        <v/>
      </c>
      <c r="CU465" s="105" t="str">
        <f aca="false">IF(ISBLANK($C465),"",IFERROR(_xlfn.SWITCH($CT465,Constants!$B$11,COUNTA($C$9:$C$508)+2,Constants!$B$10,COUNTA($C$9:$C$508)+1,Constants!$B$9,COUNTA($C$9:$C$508)),$CT465))</f>
        <v/>
      </c>
      <c r="CV465" s="9"/>
      <c r="CW465" s="106" t="n">
        <f aca="false">IF(OR(ISNUMBER($CT465),$CT465=Constants!$B$11,$CT465=Constants!$B$9,$CT465=Constants!$B$10),1,0)</f>
        <v>0</v>
      </c>
      <c r="CX465" s="106" t="n">
        <v>457</v>
      </c>
      <c r="CY465" s="106" t="str">
        <f aca="false">IF(ISBLANK($C465),"",IF(ISNUMBER($CU465),$CU465+ROW($B465)/1000,""))</f>
        <v/>
      </c>
      <c r="CZ465" s="106" t="str">
        <f aca="false">IF(ISNUMBER($CY465),RANK($CY465,$CY$9:$CY$508,1),"")</f>
        <v/>
      </c>
      <c r="DA465" s="106" t="str">
        <f aca="false">IF(ISBLANK($C465),"",$B465)</f>
        <v/>
      </c>
      <c r="DB465" s="106" t="str">
        <f aca="false">IF(ISBLANK($C465),"",$C465)</f>
        <v/>
      </c>
      <c r="DC465" s="106" t="str">
        <f aca="false">IF(ISBLANK($C465),"",$D465)</f>
        <v/>
      </c>
      <c r="DD465" s="107" t="str">
        <f aca="false">$CR465</f>
        <v/>
      </c>
      <c r="DE465" s="108" t="str">
        <f aca="false">$CQ465</f>
        <v/>
      </c>
      <c r="DF465" s="106" t="str">
        <f aca="false">IF(ISBLANK($C465),"",$CT465)</f>
        <v/>
      </c>
      <c r="DG465" s="109" t="str">
        <f aca="false">IF($CX465&gt;$CW$8,"",VLOOKUP($CX465,$CZ$9:$DF$508,7,FALSE()))</f>
        <v/>
      </c>
      <c r="DH465" s="110" t="str">
        <f aca="false">IF($CX465&gt;$CW$8,"",VLOOKUP($CX465,$CZ$9:$DF$508,2,FALSE()))</f>
        <v/>
      </c>
      <c r="DI465" s="110" t="str">
        <f aca="false">IF($CX465&gt;$CW$8,"",VLOOKUP($CX465,$CZ$9:$DF$508,3,FALSE()))</f>
        <v/>
      </c>
      <c r="DJ465" s="110" t="str">
        <f aca="false">IF($CX465&gt;$CW$8,"",VLOOKUP($CX465,$CZ$9:$DF$508,4,FALSE()))</f>
        <v/>
      </c>
      <c r="DK465" s="110" t="str">
        <f aca="false">IF($CX465&gt;$CW$8,"",VLOOKUP($CX465,$CZ$9:$DF$508,5,FALSE()))</f>
        <v/>
      </c>
      <c r="DL465" s="111" t="str">
        <f aca="false">IF($CX465&gt;$CW$8,"",VLOOKUP($CX465,$CZ$9:$DF$508,6,FALSE()))</f>
        <v/>
      </c>
      <c r="DM465" s="75"/>
    </row>
    <row r="466" customFormat="false" ht="15.75" hidden="false" customHeight="false" outlineLevel="0" collapsed="false">
      <c r="A466" s="9"/>
      <c r="B466" s="77"/>
      <c r="C466" s="78"/>
      <c r="D466" s="167"/>
      <c r="E466" s="175"/>
      <c r="F466" s="169"/>
      <c r="G466" s="170"/>
      <c r="H466" s="170"/>
      <c r="I466" s="176"/>
      <c r="J466" s="173"/>
      <c r="K466" s="85"/>
      <c r="L466" s="86"/>
      <c r="M466" s="87"/>
      <c r="N466" s="173"/>
      <c r="O466" s="173"/>
      <c r="P466" s="175"/>
      <c r="Q466" s="173"/>
      <c r="R466" s="173"/>
      <c r="S466" s="85"/>
      <c r="T466" s="87"/>
      <c r="U466" s="87"/>
      <c r="V466" s="173"/>
      <c r="W466" s="173"/>
      <c r="X466" s="175"/>
      <c r="Y466" s="173"/>
      <c r="Z466" s="174"/>
      <c r="AA466" s="173"/>
      <c r="AB466" s="91"/>
      <c r="AC466" s="92"/>
      <c r="AD466" s="92"/>
      <c r="AE466" s="92"/>
      <c r="AF466" s="92" t="str">
        <f aca="false">IF(ISBLANK($C466),"",IF(E466=Constants!$B$3,TRUE(),IF(E466=Constants!$B$4,FALSE(),TRUE())))</f>
        <v/>
      </c>
      <c r="AG466" s="92" t="str">
        <f aca="false">IF(ISBLANK($C466),"",IF(F466=Constants!$B$3,TRUE(),IF(F466=Constants!$B$4,FALSE(),TRUE())))</f>
        <v/>
      </c>
      <c r="AH466" s="92" t="str">
        <f aca="false">IF(ISBLANK($C466),"",IF(G466=Constants!$B$3,TRUE(),IF(G466=Constants!$B$4,FALSE(),TRUE())))</f>
        <v/>
      </c>
      <c r="AI466" s="92" t="str">
        <f aca="false">IF(ISBLANK($C466),"",IF(AND(ISNUMBER(H466),H466&gt;=0),H466,Constants!$B$29))</f>
        <v/>
      </c>
      <c r="AJ466" s="92" t="str">
        <f aca="false">IF(ISBLANK($C466),"",IF(I466=Constants!$B$3,TRUE(),IF(I466=Constants!$B$4,FALSE(),TRUE())))</f>
        <v/>
      </c>
      <c r="AK466" s="92" t="str">
        <f aca="false">IF(ISBLANK($C466),"",IF(J466=Constants!$B$3,TRUE(),IF(J466=Constants!$B$4,FALSE(),TRUE())))</f>
        <v/>
      </c>
      <c r="AL466" s="92" t="str">
        <f aca="false">IF(ISBLANK($C466),"",IF(K466=Constants!$B$5,TRUE(),IF(K466=Constants!$B$6,FALSE(),COUNTA(L466:P466)&gt;0)))</f>
        <v/>
      </c>
      <c r="AM466" s="94" t="str">
        <f aca="false">IF(ISBLANK($C466),"",IF(ISNUMBER(L466),IF(L466&gt;=0,L466,""),""))</f>
        <v/>
      </c>
      <c r="AN466" s="93" t="str">
        <f aca="false">IF(ISBLANK($C466),"",IF(ISNUMBER(M466),IF(M466&gt;=0,M466,""),""))</f>
        <v/>
      </c>
      <c r="AO466" s="93" t="str">
        <f aca="false">IF(ISBLANK($C466),"",IF(N466=Constants!$B$3,TRUE(),IF(N466=Constants!$B$4,FALSE(),TRUE())))</f>
        <v/>
      </c>
      <c r="AP466" s="92" t="str">
        <f aca="false">IF(ISBLANK($C466),"",IF(ISNUMBER(O466),IF(O466&gt;=0,O466,""),""))</f>
        <v/>
      </c>
      <c r="AQ466" s="92" t="str">
        <f aca="false">IF(ISBLANK($C466),"",IF(P466=Constants!$B$3,TRUE(),IF(P466=Constants!$B$4,FALSE(),FALSE())))</f>
        <v/>
      </c>
      <c r="AR466" s="92" t="str">
        <f aca="false">IF(ISBLANK($C466),"",IF(Q466=Constants!$B$3,TRUE(),IF(Q466=Constants!$B$4,FALSE(),TRUE())))</f>
        <v/>
      </c>
      <c r="AS466" s="92" t="str">
        <f aca="false">IF(ISBLANK($C466),"",IF(R466=Constants!$B$3,TRUE(),IF(R466=Constants!$B$4,FALSE(),TRUE())))</f>
        <v/>
      </c>
      <c r="AT466" s="92" t="str">
        <f aca="false">IF(ISBLANK($C466),"",IF(S466=Constants!$B$5,TRUE(),IF(S466=Constants!$B$6,FALSE(),COUNTA(T466:X466)&gt;0)))</f>
        <v/>
      </c>
      <c r="AU466" s="94" t="str">
        <f aca="false">IF(ISBLANK($C466),"",IF(ISNUMBER(T466),IF(T466&gt;=0,T466,""),""))</f>
        <v/>
      </c>
      <c r="AV466" s="93" t="str">
        <f aca="false">IF(ISBLANK($C466),"",IF(ISNUMBER(U466),IF(U466&gt;=0,U466,""),""))</f>
        <v/>
      </c>
      <c r="AW466" s="93" t="str">
        <f aca="false">IF(ISBLANK($C466),"",IF(V466=Constants!$B$3,TRUE(),IF(V466=Constants!$B$4,FALSE(),TRUE())))</f>
        <v/>
      </c>
      <c r="AX466" s="92" t="str">
        <f aca="false">IF(ISBLANK($C466),"",IF(ISNUMBER(W466),IF(W466&gt;=0,W466,""),""))</f>
        <v/>
      </c>
      <c r="AY466" s="92" t="str">
        <f aca="false">IF(ISBLANK($C466),"",IF(X466=Constants!$B$3,TRUE(),IF(X466=Constants!$B$4,FALSE(),FALSE())))</f>
        <v/>
      </c>
      <c r="AZ466" s="92" t="str">
        <f aca="false">IF(ISBLANK($C466),"",MIN(Constants!$B$31,MAX(0,IF(ISNUMBER(Y466),Y466*60,0)+IF(ISNUMBER(Z466),Z466,0))))</f>
        <v/>
      </c>
      <c r="BA466" s="92" t="str">
        <f aca="false">IF(ISBLANK($C466),"",IF(AA466=Constants!$B$3,TRUE(),IF(AA466=Constants!$B$4,FALSE(),FALSE())))</f>
        <v/>
      </c>
      <c r="BB466" s="91" t="str">
        <f aca="false">IF(ISBLANK($C466),"",AND($AL466,OR($AM466="",$AN466="",AND($AO466,$AP466=""))))</f>
        <v/>
      </c>
      <c r="BC466" s="93" t="str">
        <f aca="false">IF($BR466&lt;&gt;Constants!$B$8,"",IF($AL466,Constants!$B$21*$AN466+Constants!$B$22*IF($AO466,$AP466,Constants!$B$23),Constants!$B$24))</f>
        <v/>
      </c>
      <c r="BD466" s="96" t="str">
        <f aca="false">IF($BR466&lt;&gt;Constants!$B$8,"",Constants!$B$25*ABS($AD$9-IF($AL466,$AM466,0)))</f>
        <v/>
      </c>
      <c r="BE466" s="96" t="str">
        <f aca="false">IF($BR466&lt;&gt;Constants!$B$8,"",IF(AND($AL466,$AQ466,$AO466),Constants!$B$27,0))</f>
        <v/>
      </c>
      <c r="BF466" s="96" t="str">
        <f aca="false">IF($BR466&lt;&gt;Constants!$B$8,"",IF($AL466,($AI466-Constants!$B$29)*Constants!$B$28,0))</f>
        <v/>
      </c>
      <c r="BG466" s="96" t="str">
        <f aca="false">IF($BR466&lt;&gt;Constants!$B$8,"",IF($AK466,0,Constants!$B$15)+IF($AJ466,0,Constants!$B$16)+IF($AH466,0,Constants!$B$17))</f>
        <v/>
      </c>
      <c r="BH466" s="97" t="str">
        <f aca="false">IF($BR466&lt;&gt;Constants!$B$8,"",Constants!$B$20+SUM($BC466:$BG466))</f>
        <v/>
      </c>
      <c r="BI466" s="92" t="str">
        <f aca="false">IF($BR466&lt;&gt;Constants!$B$8,"",IF(OR($BP466&lt;$BH466,AND($BP466=$BH466,OR($BK466&lt;$BC466,AND($BK466=$BC466,OR($BL466&lt;$BD466,AND($BL466=$BD466,$AT466,$AL466,$AV466&lt;$AN466)))))),"-&gt;","&lt;-"))</f>
        <v/>
      </c>
      <c r="BJ466" s="91" t="str">
        <f aca="false">IF(ISBLANK($C466),"",AND($AT466,OR($AU466="",$AV466="",AND($AW466,$AX466=""))))</f>
        <v/>
      </c>
      <c r="BK466" s="93" t="str">
        <f aca="false">IF($BR466&lt;&gt;Constants!$B$8,"",IF($AT466,Constants!$B$21*$AV466+Constants!$B$22*IF($AW466,$AX466,Constants!$B$23),Constants!$B$24))</f>
        <v/>
      </c>
      <c r="BL466" s="96" t="str">
        <f aca="false">IF($BR466&lt;&gt;Constants!$B$8,"",Constants!$B$25*ABS($AD$9-IF($AT466,$AU466,0)))</f>
        <v/>
      </c>
      <c r="BM466" s="96" t="str">
        <f aca="false">IF($BR466&lt;&gt;Constants!$B$8,"",IF(AND($AT466,$AY466,$AW466),Constants!$B$27,0))</f>
        <v/>
      </c>
      <c r="BN466" s="96" t="str">
        <f aca="false">IF($BR466&lt;&gt;Constants!$B$8,"",IF($AT466,($AI466-Constants!$B$29)*Constants!$B$28,0))</f>
        <v/>
      </c>
      <c r="BO466" s="96" t="str">
        <f aca="false">IF($BR466&lt;&gt;Constants!$B$8,"",IF($AS466,0,Constants!$B$15)+IF($AR466,0,Constants!$B$16)+IF($AH466,0,Constants!$B$17))</f>
        <v/>
      </c>
      <c r="BP466" s="97" t="str">
        <f aca="false">IF($BR466&lt;&gt;Constants!$B$8,"",Constants!$B$20+SUM($BK466:$BO466))</f>
        <v/>
      </c>
      <c r="BQ466" s="92" t="str">
        <f aca="false">IF(ISBLANK($C466),"",IF(ISBLANK($D$7),$BQ$5,IF(NOT(ISNUMBER($D$7)),$BQ$6,"")))</f>
        <v/>
      </c>
      <c r="BR466" s="92" t="str">
        <f aca="false">IF(ISBLANK($C466),"",IF($BA466,Constants!$B$11,IF(COUNTA($E466:$AA466)=0,Constants!$B$10,IF(NOT($AG466),Constants!$B$9,IF(OR($BQ466&lt;&gt;"",$BB466,$BJ466),Constants!$B$12,Constants!$B$8)))))</f>
        <v/>
      </c>
      <c r="BS466" s="92" t="str">
        <f aca="false">IF(ISBLANK($C466),"",IF($BR466&lt;&gt;Constants!$B$8,$BR466,Constants!$B$13))</f>
        <v/>
      </c>
      <c r="BT466" s="96" t="str">
        <f aca="false">IF($BR466&lt;&gt;Constants!$B$8,"",IF($BI466="-&gt;",$BP466,$BH466))</f>
        <v/>
      </c>
      <c r="BU466" s="96" t="str">
        <f aca="false">IF($BR466&lt;&gt;Constants!$B$8,"",IF($AF466,0,Constants!$B$18))</f>
        <v/>
      </c>
      <c r="BV466" s="96" t="str">
        <f aca="false">IF($BR466&lt;&gt;Constants!$B$8,"",((Constants!$B$31-$AZ466)-Constants!$B$31)/Constants!$B$32)</f>
        <v/>
      </c>
      <c r="BW466" s="96" t="str">
        <f aca="false">IF(ISBLANK($C466),"",IF($BR466&lt;&gt;Constants!$B$8,$BR466,SUM($BT466:$BV466)))</f>
        <v/>
      </c>
      <c r="BX466" s="92" t="str">
        <f aca="false">IF(ISBLANK($C466),"",IF($BR466&lt;&gt;Constants!$B$8,$BR466,RANK($BW466,$BW$9:$BW$508,1)))</f>
        <v/>
      </c>
      <c r="BY466" s="96" t="str">
        <f aca="false">IF($BR466&lt;&gt;Constants!$B$8,"",IF($BI466="-&gt;",$BK466,$BC466))</f>
        <v/>
      </c>
      <c r="BZ466" s="92" t="str">
        <f aca="false">IF(ISBLANK($C466),"",IF($BR466&lt;&gt;Constants!$B$8,$BR466,IF(ISNUMBER($BY466),RANK($BY466,$BY$9:$BY$508,1),COUNT($BY$9:$BY$508)+1)))</f>
        <v/>
      </c>
      <c r="CA466" s="96" t="str">
        <f aca="false">IF($BR466&lt;&gt;Constants!$B$8,"",IF($BI466="-&gt;",$BL466,$BD466))</f>
        <v/>
      </c>
      <c r="CB466" s="92" t="str">
        <f aca="false">IF(ISBLANK($C466),"",IF($BR466&lt;&gt;Constants!$B$8,$BR466,IF(ISNUMBER($CA466),RANK($CA466,$CA$9:$CA$508,1),COUNT($CA$9:$CA$508)+1)))</f>
        <v/>
      </c>
      <c r="CC466" s="96" t="str">
        <f aca="false">IF($BR466&lt;&gt;Constants!$B$8,"",IF($BI466="-&gt;",IF($AT466,$AV466,""),IF($AL466,$AN466,"")))</f>
        <v/>
      </c>
      <c r="CD466" s="92" t="str">
        <f aca="false">IF(ISBLANK($C466),"",IF($BR466&lt;&gt;Constants!$B$8,$BR466,IF(ISNUMBER($CC466),RANK($CC466,$CC$9:$CC$508,1),COUNT($CC$9:$CC$508)+1)))</f>
        <v/>
      </c>
      <c r="CE466" s="96" t="str">
        <f aca="false">IF($BR466&lt;&gt;Constants!$B$8,"",IF(AND(NOT($AL466),NOT($AT466),$AJ466,$AK466,$AR466,$AS466),"",$AI466))</f>
        <v/>
      </c>
      <c r="CF466" s="92" t="str">
        <f aca="false">IF(ISBLANK($C466),"",IF($BR466&lt;&gt;Constants!$B$8,$BR466,IF(ISNUMBER($CE466),RANK($CE466,$CE$9:$CE$508,1),COUNT($CE$9:$CE$508)+1)))</f>
        <v/>
      </c>
      <c r="CG466" s="92" t="str">
        <f aca="false">IF(ISBLANK($C466),"",IF($BR466&lt;&gt;Constants!$B$8,$BR466,COUNTIFS($BX$9:$BX$508,"&lt;"&amp;$BX466)+COUNTIFS($BX$9:$BX$508,$BX466,$BZ$9:$BZ$508,"&lt;"&amp;$BZ466)+COUNTIFS($BX$9:$BX$508,$BX466,$BZ$9:$BZ$508,$BZ466,$CB$9:$CB$508,"&lt;"&amp;$CB466)+COUNTIFS($BX$9:$BX$508,$BX466,$BZ$9:$BZ$508,$BZ466,$CB$9:$CB$508,$CB466,$CD$9:$CD$508,"&lt;"&amp;$CD466)+COUNTIFS($BX$9:$BX$508,$BX466,$BZ$9:$BZ$508,$BZ466,$CB$9:$CB$508,$CB466,$CD$9:$CD$508,$CD466,$CF$9:$CF$508,"&lt;"&amp;$CF466)+1))</f>
        <v/>
      </c>
      <c r="CH466" s="92" t="str">
        <f aca="false">IF(ISBLANK($C466),"",IF($BR466&lt;&gt;Constants!$B$8,$BR466,$BX466-$CG466))</f>
        <v/>
      </c>
      <c r="CI466" s="98"/>
      <c r="CJ466" s="99"/>
      <c r="CK466" s="100" t="str">
        <f aca="false">IF(ISBLANK($C466),"",IF($BR466=Constants!$B$12,$BQ466,""))</f>
        <v/>
      </c>
      <c r="CL466" s="99" t="str">
        <f aca="false">IF(ISBLANK($C466),"",IF($BR466&lt;&gt;Constants!$B$8,"",IF($BI466="-&gt;",2,1)))</f>
        <v/>
      </c>
      <c r="CM466" s="101" t="str">
        <f aca="false">IF(ISBLANK($C466),"",IF($BR466&lt;&gt;Constants!$B$8,"",IF($BI466="-&gt;",$BK466,$BC466)))</f>
        <v/>
      </c>
      <c r="CN466" s="101" t="str">
        <f aca="false">IF(ISBLANK($C466),"",IF($BR466&lt;&gt;Constants!$B$8,"",IF($BI466="-&gt;",$BL466,$BD466)))</f>
        <v/>
      </c>
      <c r="CO466" s="101" t="str">
        <f aca="false">IF(ISBLANK($C466),"",IF($BR466&lt;&gt;Constants!$B$8,"",IF($BI466="-&gt;",$BM466+$BN466,$BE466+$BF466)+$BV466))</f>
        <v/>
      </c>
      <c r="CP466" s="101" t="str">
        <f aca="false">IF(ISBLANK($C466),"",IF($BR466&lt;&gt;Constants!$B$8,"",IF($BI466="-&gt;",$BO466,$BG466)+$BU466))</f>
        <v/>
      </c>
      <c r="CQ466" s="102" t="str">
        <f aca="false">IF(ISBLANK($C466),"",IF($BR466&lt;&gt;Constants!$B$8,$BR466,$BW466))</f>
        <v/>
      </c>
      <c r="CR466" s="103" t="str">
        <f aca="false">IF(ISBLANK($C466),"",$BS466)</f>
        <v/>
      </c>
      <c r="CS466" s="104" t="str">
        <f aca="false">IF(ISBLANK($C466),"",$CH466)</f>
        <v/>
      </c>
      <c r="CT466" s="104" t="str">
        <f aca="false">IF(ISBLANK($C466),"",$CG466)</f>
        <v/>
      </c>
      <c r="CU466" s="105" t="str">
        <f aca="false">IF(ISBLANK($C466),"",IFERROR(_xlfn.SWITCH($CT466,Constants!$B$11,COUNTA($C$9:$C$508)+2,Constants!$B$10,COUNTA($C$9:$C$508)+1,Constants!$B$9,COUNTA($C$9:$C$508)),$CT466))</f>
        <v/>
      </c>
      <c r="CV466" s="9"/>
      <c r="CW466" s="106" t="n">
        <f aca="false">IF(OR(ISNUMBER($CT466),$CT466=Constants!$B$11,$CT466=Constants!$B$9,$CT466=Constants!$B$10),1,0)</f>
        <v>0</v>
      </c>
      <c r="CX466" s="106" t="n">
        <v>458</v>
      </c>
      <c r="CY466" s="106" t="str">
        <f aca="false">IF(ISBLANK($C466),"",IF(ISNUMBER($CU466),$CU466+ROW($B466)/1000,""))</f>
        <v/>
      </c>
      <c r="CZ466" s="106" t="str">
        <f aca="false">IF(ISNUMBER($CY466),RANK($CY466,$CY$9:$CY$508,1),"")</f>
        <v/>
      </c>
      <c r="DA466" s="106" t="str">
        <f aca="false">IF(ISBLANK($C466),"",$B466)</f>
        <v/>
      </c>
      <c r="DB466" s="106" t="str">
        <f aca="false">IF(ISBLANK($C466),"",$C466)</f>
        <v/>
      </c>
      <c r="DC466" s="106" t="str">
        <f aca="false">IF(ISBLANK($C466),"",$D466)</f>
        <v/>
      </c>
      <c r="DD466" s="107" t="str">
        <f aca="false">$CR466</f>
        <v/>
      </c>
      <c r="DE466" s="108" t="str">
        <f aca="false">$CQ466</f>
        <v/>
      </c>
      <c r="DF466" s="106" t="str">
        <f aca="false">IF(ISBLANK($C466),"",$CT466)</f>
        <v/>
      </c>
      <c r="DG466" s="109" t="str">
        <f aca="false">IF($CX466&gt;$CW$8,"",VLOOKUP($CX466,$CZ$9:$DF$508,7,FALSE()))</f>
        <v/>
      </c>
      <c r="DH466" s="110" t="str">
        <f aca="false">IF($CX466&gt;$CW$8,"",VLOOKUP($CX466,$CZ$9:$DF$508,2,FALSE()))</f>
        <v/>
      </c>
      <c r="DI466" s="110" t="str">
        <f aca="false">IF($CX466&gt;$CW$8,"",VLOOKUP($CX466,$CZ$9:$DF$508,3,FALSE()))</f>
        <v/>
      </c>
      <c r="DJ466" s="110" t="str">
        <f aca="false">IF($CX466&gt;$CW$8,"",VLOOKUP($CX466,$CZ$9:$DF$508,4,FALSE()))</f>
        <v/>
      </c>
      <c r="DK466" s="110" t="str">
        <f aca="false">IF($CX466&gt;$CW$8,"",VLOOKUP($CX466,$CZ$9:$DF$508,5,FALSE()))</f>
        <v/>
      </c>
      <c r="DL466" s="111" t="str">
        <f aca="false">IF($CX466&gt;$CW$8,"",VLOOKUP($CX466,$CZ$9:$DF$508,6,FALSE()))</f>
        <v/>
      </c>
      <c r="DM466" s="75"/>
    </row>
    <row r="467" customFormat="false" ht="15.75" hidden="false" customHeight="false" outlineLevel="0" collapsed="false">
      <c r="A467" s="9"/>
      <c r="B467" s="77"/>
      <c r="C467" s="78"/>
      <c r="D467" s="167"/>
      <c r="E467" s="175"/>
      <c r="F467" s="169"/>
      <c r="G467" s="170"/>
      <c r="H467" s="170"/>
      <c r="I467" s="176"/>
      <c r="J467" s="173"/>
      <c r="K467" s="85"/>
      <c r="L467" s="86"/>
      <c r="M467" s="87"/>
      <c r="N467" s="173"/>
      <c r="O467" s="173"/>
      <c r="P467" s="175"/>
      <c r="Q467" s="173"/>
      <c r="R467" s="173"/>
      <c r="S467" s="85"/>
      <c r="T467" s="87"/>
      <c r="U467" s="87"/>
      <c r="V467" s="173"/>
      <c r="W467" s="173"/>
      <c r="X467" s="175"/>
      <c r="Y467" s="173"/>
      <c r="Z467" s="174"/>
      <c r="AA467" s="173"/>
      <c r="AB467" s="91"/>
      <c r="AC467" s="92"/>
      <c r="AD467" s="92"/>
      <c r="AE467" s="92"/>
      <c r="AF467" s="92" t="str">
        <f aca="false">IF(ISBLANK($C467),"",IF(E467=Constants!$B$3,TRUE(),IF(E467=Constants!$B$4,FALSE(),TRUE())))</f>
        <v/>
      </c>
      <c r="AG467" s="92" t="str">
        <f aca="false">IF(ISBLANK($C467),"",IF(F467=Constants!$B$3,TRUE(),IF(F467=Constants!$B$4,FALSE(),TRUE())))</f>
        <v/>
      </c>
      <c r="AH467" s="92" t="str">
        <f aca="false">IF(ISBLANK($C467),"",IF(G467=Constants!$B$3,TRUE(),IF(G467=Constants!$B$4,FALSE(),TRUE())))</f>
        <v/>
      </c>
      <c r="AI467" s="92" t="str">
        <f aca="false">IF(ISBLANK($C467),"",IF(AND(ISNUMBER(H467),H467&gt;=0),H467,Constants!$B$29))</f>
        <v/>
      </c>
      <c r="AJ467" s="92" t="str">
        <f aca="false">IF(ISBLANK($C467),"",IF(I467=Constants!$B$3,TRUE(),IF(I467=Constants!$B$4,FALSE(),TRUE())))</f>
        <v/>
      </c>
      <c r="AK467" s="92" t="str">
        <f aca="false">IF(ISBLANK($C467),"",IF(J467=Constants!$B$3,TRUE(),IF(J467=Constants!$B$4,FALSE(),TRUE())))</f>
        <v/>
      </c>
      <c r="AL467" s="92" t="str">
        <f aca="false">IF(ISBLANK($C467),"",IF(K467=Constants!$B$5,TRUE(),IF(K467=Constants!$B$6,FALSE(),COUNTA(L467:P467)&gt;0)))</f>
        <v/>
      </c>
      <c r="AM467" s="94" t="str">
        <f aca="false">IF(ISBLANK($C467),"",IF(ISNUMBER(L467),IF(L467&gt;=0,L467,""),""))</f>
        <v/>
      </c>
      <c r="AN467" s="93" t="str">
        <f aca="false">IF(ISBLANK($C467),"",IF(ISNUMBER(M467),IF(M467&gt;=0,M467,""),""))</f>
        <v/>
      </c>
      <c r="AO467" s="93" t="str">
        <f aca="false">IF(ISBLANK($C467),"",IF(N467=Constants!$B$3,TRUE(),IF(N467=Constants!$B$4,FALSE(),TRUE())))</f>
        <v/>
      </c>
      <c r="AP467" s="92" t="str">
        <f aca="false">IF(ISBLANK($C467),"",IF(ISNUMBER(O467),IF(O467&gt;=0,O467,""),""))</f>
        <v/>
      </c>
      <c r="AQ467" s="92" t="str">
        <f aca="false">IF(ISBLANK($C467),"",IF(P467=Constants!$B$3,TRUE(),IF(P467=Constants!$B$4,FALSE(),FALSE())))</f>
        <v/>
      </c>
      <c r="AR467" s="92" t="str">
        <f aca="false">IF(ISBLANK($C467),"",IF(Q467=Constants!$B$3,TRUE(),IF(Q467=Constants!$B$4,FALSE(),TRUE())))</f>
        <v/>
      </c>
      <c r="AS467" s="92" t="str">
        <f aca="false">IF(ISBLANK($C467),"",IF(R467=Constants!$B$3,TRUE(),IF(R467=Constants!$B$4,FALSE(),TRUE())))</f>
        <v/>
      </c>
      <c r="AT467" s="92" t="str">
        <f aca="false">IF(ISBLANK($C467),"",IF(S467=Constants!$B$5,TRUE(),IF(S467=Constants!$B$6,FALSE(),COUNTA(T467:X467)&gt;0)))</f>
        <v/>
      </c>
      <c r="AU467" s="94" t="str">
        <f aca="false">IF(ISBLANK($C467),"",IF(ISNUMBER(T467),IF(T467&gt;=0,T467,""),""))</f>
        <v/>
      </c>
      <c r="AV467" s="93" t="str">
        <f aca="false">IF(ISBLANK($C467),"",IF(ISNUMBER(U467),IF(U467&gt;=0,U467,""),""))</f>
        <v/>
      </c>
      <c r="AW467" s="93" t="str">
        <f aca="false">IF(ISBLANK($C467),"",IF(V467=Constants!$B$3,TRUE(),IF(V467=Constants!$B$4,FALSE(),TRUE())))</f>
        <v/>
      </c>
      <c r="AX467" s="92" t="str">
        <f aca="false">IF(ISBLANK($C467),"",IF(ISNUMBER(W467),IF(W467&gt;=0,W467,""),""))</f>
        <v/>
      </c>
      <c r="AY467" s="92" t="str">
        <f aca="false">IF(ISBLANK($C467),"",IF(X467=Constants!$B$3,TRUE(),IF(X467=Constants!$B$4,FALSE(),FALSE())))</f>
        <v/>
      </c>
      <c r="AZ467" s="92" t="str">
        <f aca="false">IF(ISBLANK($C467),"",MIN(Constants!$B$31,MAX(0,IF(ISNUMBER(Y467),Y467*60,0)+IF(ISNUMBER(Z467),Z467,0))))</f>
        <v/>
      </c>
      <c r="BA467" s="92" t="str">
        <f aca="false">IF(ISBLANK($C467),"",IF(AA467=Constants!$B$3,TRUE(),IF(AA467=Constants!$B$4,FALSE(),FALSE())))</f>
        <v/>
      </c>
      <c r="BB467" s="91" t="str">
        <f aca="false">IF(ISBLANK($C467),"",AND($AL467,OR($AM467="",$AN467="",AND($AO467,$AP467=""))))</f>
        <v/>
      </c>
      <c r="BC467" s="93" t="str">
        <f aca="false">IF($BR467&lt;&gt;Constants!$B$8,"",IF($AL467,Constants!$B$21*$AN467+Constants!$B$22*IF($AO467,$AP467,Constants!$B$23),Constants!$B$24))</f>
        <v/>
      </c>
      <c r="BD467" s="96" t="str">
        <f aca="false">IF($BR467&lt;&gt;Constants!$B$8,"",Constants!$B$25*ABS($AD$9-IF($AL467,$AM467,0)))</f>
        <v/>
      </c>
      <c r="BE467" s="96" t="str">
        <f aca="false">IF($BR467&lt;&gt;Constants!$B$8,"",IF(AND($AL467,$AQ467,$AO467),Constants!$B$27,0))</f>
        <v/>
      </c>
      <c r="BF467" s="96" t="str">
        <f aca="false">IF($BR467&lt;&gt;Constants!$B$8,"",IF($AL467,($AI467-Constants!$B$29)*Constants!$B$28,0))</f>
        <v/>
      </c>
      <c r="BG467" s="96" t="str">
        <f aca="false">IF($BR467&lt;&gt;Constants!$B$8,"",IF($AK467,0,Constants!$B$15)+IF($AJ467,0,Constants!$B$16)+IF($AH467,0,Constants!$B$17))</f>
        <v/>
      </c>
      <c r="BH467" s="97" t="str">
        <f aca="false">IF($BR467&lt;&gt;Constants!$B$8,"",Constants!$B$20+SUM($BC467:$BG467))</f>
        <v/>
      </c>
      <c r="BI467" s="92" t="str">
        <f aca="false">IF($BR467&lt;&gt;Constants!$B$8,"",IF(OR($BP467&lt;$BH467,AND($BP467=$BH467,OR($BK467&lt;$BC467,AND($BK467=$BC467,OR($BL467&lt;$BD467,AND($BL467=$BD467,$AT467,$AL467,$AV467&lt;$AN467)))))),"-&gt;","&lt;-"))</f>
        <v/>
      </c>
      <c r="BJ467" s="91" t="str">
        <f aca="false">IF(ISBLANK($C467),"",AND($AT467,OR($AU467="",$AV467="",AND($AW467,$AX467=""))))</f>
        <v/>
      </c>
      <c r="BK467" s="93" t="str">
        <f aca="false">IF($BR467&lt;&gt;Constants!$B$8,"",IF($AT467,Constants!$B$21*$AV467+Constants!$B$22*IF($AW467,$AX467,Constants!$B$23),Constants!$B$24))</f>
        <v/>
      </c>
      <c r="BL467" s="96" t="str">
        <f aca="false">IF($BR467&lt;&gt;Constants!$B$8,"",Constants!$B$25*ABS($AD$9-IF($AT467,$AU467,0)))</f>
        <v/>
      </c>
      <c r="BM467" s="96" t="str">
        <f aca="false">IF($BR467&lt;&gt;Constants!$B$8,"",IF(AND($AT467,$AY467,$AW467),Constants!$B$27,0))</f>
        <v/>
      </c>
      <c r="BN467" s="96" t="str">
        <f aca="false">IF($BR467&lt;&gt;Constants!$B$8,"",IF($AT467,($AI467-Constants!$B$29)*Constants!$B$28,0))</f>
        <v/>
      </c>
      <c r="BO467" s="96" t="str">
        <f aca="false">IF($BR467&lt;&gt;Constants!$B$8,"",IF($AS467,0,Constants!$B$15)+IF($AR467,0,Constants!$B$16)+IF($AH467,0,Constants!$B$17))</f>
        <v/>
      </c>
      <c r="BP467" s="97" t="str">
        <f aca="false">IF($BR467&lt;&gt;Constants!$B$8,"",Constants!$B$20+SUM($BK467:$BO467))</f>
        <v/>
      </c>
      <c r="BQ467" s="92" t="str">
        <f aca="false">IF(ISBLANK($C467),"",IF(ISBLANK($D$7),$BQ$5,IF(NOT(ISNUMBER($D$7)),$BQ$6,"")))</f>
        <v/>
      </c>
      <c r="BR467" s="92" t="str">
        <f aca="false">IF(ISBLANK($C467),"",IF($BA467,Constants!$B$11,IF(COUNTA($E467:$AA467)=0,Constants!$B$10,IF(NOT($AG467),Constants!$B$9,IF(OR($BQ467&lt;&gt;"",$BB467,$BJ467),Constants!$B$12,Constants!$B$8)))))</f>
        <v/>
      </c>
      <c r="BS467" s="92" t="str">
        <f aca="false">IF(ISBLANK($C467),"",IF($BR467&lt;&gt;Constants!$B$8,$BR467,Constants!$B$13))</f>
        <v/>
      </c>
      <c r="BT467" s="96" t="str">
        <f aca="false">IF($BR467&lt;&gt;Constants!$B$8,"",IF($BI467="-&gt;",$BP467,$BH467))</f>
        <v/>
      </c>
      <c r="BU467" s="96" t="str">
        <f aca="false">IF($BR467&lt;&gt;Constants!$B$8,"",IF($AF467,0,Constants!$B$18))</f>
        <v/>
      </c>
      <c r="BV467" s="96" t="str">
        <f aca="false">IF($BR467&lt;&gt;Constants!$B$8,"",((Constants!$B$31-$AZ467)-Constants!$B$31)/Constants!$B$32)</f>
        <v/>
      </c>
      <c r="BW467" s="96" t="str">
        <f aca="false">IF(ISBLANK($C467),"",IF($BR467&lt;&gt;Constants!$B$8,$BR467,SUM($BT467:$BV467)))</f>
        <v/>
      </c>
      <c r="BX467" s="92" t="str">
        <f aca="false">IF(ISBLANK($C467),"",IF($BR467&lt;&gt;Constants!$B$8,$BR467,RANK($BW467,$BW$9:$BW$508,1)))</f>
        <v/>
      </c>
      <c r="BY467" s="96" t="str">
        <f aca="false">IF($BR467&lt;&gt;Constants!$B$8,"",IF($BI467="-&gt;",$BK467,$BC467))</f>
        <v/>
      </c>
      <c r="BZ467" s="92" t="str">
        <f aca="false">IF(ISBLANK($C467),"",IF($BR467&lt;&gt;Constants!$B$8,$BR467,IF(ISNUMBER($BY467),RANK($BY467,$BY$9:$BY$508,1),COUNT($BY$9:$BY$508)+1)))</f>
        <v/>
      </c>
      <c r="CA467" s="96" t="str">
        <f aca="false">IF($BR467&lt;&gt;Constants!$B$8,"",IF($BI467="-&gt;",$BL467,$BD467))</f>
        <v/>
      </c>
      <c r="CB467" s="92" t="str">
        <f aca="false">IF(ISBLANK($C467),"",IF($BR467&lt;&gt;Constants!$B$8,$BR467,IF(ISNUMBER($CA467),RANK($CA467,$CA$9:$CA$508,1),COUNT($CA$9:$CA$508)+1)))</f>
        <v/>
      </c>
      <c r="CC467" s="96" t="str">
        <f aca="false">IF($BR467&lt;&gt;Constants!$B$8,"",IF($BI467="-&gt;",IF($AT467,$AV467,""),IF($AL467,$AN467,"")))</f>
        <v/>
      </c>
      <c r="CD467" s="92" t="str">
        <f aca="false">IF(ISBLANK($C467),"",IF($BR467&lt;&gt;Constants!$B$8,$BR467,IF(ISNUMBER($CC467),RANK($CC467,$CC$9:$CC$508,1),COUNT($CC$9:$CC$508)+1)))</f>
        <v/>
      </c>
      <c r="CE467" s="96" t="str">
        <f aca="false">IF($BR467&lt;&gt;Constants!$B$8,"",IF(AND(NOT($AL467),NOT($AT467),$AJ467,$AK467,$AR467,$AS467),"",$AI467))</f>
        <v/>
      </c>
      <c r="CF467" s="92" t="str">
        <f aca="false">IF(ISBLANK($C467),"",IF($BR467&lt;&gt;Constants!$B$8,$BR467,IF(ISNUMBER($CE467),RANK($CE467,$CE$9:$CE$508,1),COUNT($CE$9:$CE$508)+1)))</f>
        <v/>
      </c>
      <c r="CG467" s="92" t="str">
        <f aca="false">IF(ISBLANK($C467),"",IF($BR467&lt;&gt;Constants!$B$8,$BR467,COUNTIFS($BX$9:$BX$508,"&lt;"&amp;$BX467)+COUNTIFS($BX$9:$BX$508,$BX467,$BZ$9:$BZ$508,"&lt;"&amp;$BZ467)+COUNTIFS($BX$9:$BX$508,$BX467,$BZ$9:$BZ$508,$BZ467,$CB$9:$CB$508,"&lt;"&amp;$CB467)+COUNTIFS($BX$9:$BX$508,$BX467,$BZ$9:$BZ$508,$BZ467,$CB$9:$CB$508,$CB467,$CD$9:$CD$508,"&lt;"&amp;$CD467)+COUNTIFS($BX$9:$BX$508,$BX467,$BZ$9:$BZ$508,$BZ467,$CB$9:$CB$508,$CB467,$CD$9:$CD$508,$CD467,$CF$9:$CF$508,"&lt;"&amp;$CF467)+1))</f>
        <v/>
      </c>
      <c r="CH467" s="92" t="str">
        <f aca="false">IF(ISBLANK($C467),"",IF($BR467&lt;&gt;Constants!$B$8,$BR467,$BX467-$CG467))</f>
        <v/>
      </c>
      <c r="CI467" s="98"/>
      <c r="CJ467" s="99"/>
      <c r="CK467" s="100" t="str">
        <f aca="false">IF(ISBLANK($C467),"",IF($BR467=Constants!$B$12,$BQ467,""))</f>
        <v/>
      </c>
      <c r="CL467" s="99" t="str">
        <f aca="false">IF(ISBLANK($C467),"",IF($BR467&lt;&gt;Constants!$B$8,"",IF($BI467="-&gt;",2,1)))</f>
        <v/>
      </c>
      <c r="CM467" s="101" t="str">
        <f aca="false">IF(ISBLANK($C467),"",IF($BR467&lt;&gt;Constants!$B$8,"",IF($BI467="-&gt;",$BK467,$BC467)))</f>
        <v/>
      </c>
      <c r="CN467" s="101" t="str">
        <f aca="false">IF(ISBLANK($C467),"",IF($BR467&lt;&gt;Constants!$B$8,"",IF($BI467="-&gt;",$BL467,$BD467)))</f>
        <v/>
      </c>
      <c r="CO467" s="101" t="str">
        <f aca="false">IF(ISBLANK($C467),"",IF($BR467&lt;&gt;Constants!$B$8,"",IF($BI467="-&gt;",$BM467+$BN467,$BE467+$BF467)+$BV467))</f>
        <v/>
      </c>
      <c r="CP467" s="101" t="str">
        <f aca="false">IF(ISBLANK($C467),"",IF($BR467&lt;&gt;Constants!$B$8,"",IF($BI467="-&gt;",$BO467,$BG467)+$BU467))</f>
        <v/>
      </c>
      <c r="CQ467" s="102" t="str">
        <f aca="false">IF(ISBLANK($C467),"",IF($BR467&lt;&gt;Constants!$B$8,$BR467,$BW467))</f>
        <v/>
      </c>
      <c r="CR467" s="103" t="str">
        <f aca="false">IF(ISBLANK($C467),"",$BS467)</f>
        <v/>
      </c>
      <c r="CS467" s="104" t="str">
        <f aca="false">IF(ISBLANK($C467),"",$CH467)</f>
        <v/>
      </c>
      <c r="CT467" s="104" t="str">
        <f aca="false">IF(ISBLANK($C467),"",$CG467)</f>
        <v/>
      </c>
      <c r="CU467" s="105" t="str">
        <f aca="false">IF(ISBLANK($C467),"",IFERROR(_xlfn.SWITCH($CT467,Constants!$B$11,COUNTA($C$9:$C$508)+2,Constants!$B$10,COUNTA($C$9:$C$508)+1,Constants!$B$9,COUNTA($C$9:$C$508)),$CT467))</f>
        <v/>
      </c>
      <c r="CV467" s="9"/>
      <c r="CW467" s="106" t="n">
        <f aca="false">IF(OR(ISNUMBER($CT467),$CT467=Constants!$B$11,$CT467=Constants!$B$9,$CT467=Constants!$B$10),1,0)</f>
        <v>0</v>
      </c>
      <c r="CX467" s="106" t="n">
        <v>459</v>
      </c>
      <c r="CY467" s="106" t="str">
        <f aca="false">IF(ISBLANK($C467),"",IF(ISNUMBER($CU467),$CU467+ROW($B467)/1000,""))</f>
        <v/>
      </c>
      <c r="CZ467" s="106" t="str">
        <f aca="false">IF(ISNUMBER($CY467),RANK($CY467,$CY$9:$CY$508,1),"")</f>
        <v/>
      </c>
      <c r="DA467" s="106" t="str">
        <f aca="false">IF(ISBLANK($C467),"",$B467)</f>
        <v/>
      </c>
      <c r="DB467" s="106" t="str">
        <f aca="false">IF(ISBLANK($C467),"",$C467)</f>
        <v/>
      </c>
      <c r="DC467" s="106" t="str">
        <f aca="false">IF(ISBLANK($C467),"",$D467)</f>
        <v/>
      </c>
      <c r="DD467" s="107" t="str">
        <f aca="false">$CR467</f>
        <v/>
      </c>
      <c r="DE467" s="108" t="str">
        <f aca="false">$CQ467</f>
        <v/>
      </c>
      <c r="DF467" s="106" t="str">
        <f aca="false">IF(ISBLANK($C467),"",$CT467)</f>
        <v/>
      </c>
      <c r="DG467" s="109" t="str">
        <f aca="false">IF($CX467&gt;$CW$8,"",VLOOKUP($CX467,$CZ$9:$DF$508,7,FALSE()))</f>
        <v/>
      </c>
      <c r="DH467" s="110" t="str">
        <f aca="false">IF($CX467&gt;$CW$8,"",VLOOKUP($CX467,$CZ$9:$DF$508,2,FALSE()))</f>
        <v/>
      </c>
      <c r="DI467" s="110" t="str">
        <f aca="false">IF($CX467&gt;$CW$8,"",VLOOKUP($CX467,$CZ$9:$DF$508,3,FALSE()))</f>
        <v/>
      </c>
      <c r="DJ467" s="110" t="str">
        <f aca="false">IF($CX467&gt;$CW$8,"",VLOOKUP($CX467,$CZ$9:$DF$508,4,FALSE()))</f>
        <v/>
      </c>
      <c r="DK467" s="110" t="str">
        <f aca="false">IF($CX467&gt;$CW$8,"",VLOOKUP($CX467,$CZ$9:$DF$508,5,FALSE()))</f>
        <v/>
      </c>
      <c r="DL467" s="111" t="str">
        <f aca="false">IF($CX467&gt;$CW$8,"",VLOOKUP($CX467,$CZ$9:$DF$508,6,FALSE()))</f>
        <v/>
      </c>
      <c r="DM467" s="75"/>
    </row>
    <row r="468" customFormat="false" ht="15.75" hidden="false" customHeight="false" outlineLevel="0" collapsed="false">
      <c r="A468" s="9"/>
      <c r="B468" s="157"/>
      <c r="C468" s="158"/>
      <c r="D468" s="159"/>
      <c r="E468" s="177"/>
      <c r="F468" s="161"/>
      <c r="G468" s="162"/>
      <c r="H468" s="162"/>
      <c r="I468" s="178"/>
      <c r="J468" s="165"/>
      <c r="K468" s="126"/>
      <c r="L468" s="127"/>
      <c r="M468" s="128"/>
      <c r="N468" s="165"/>
      <c r="O468" s="165"/>
      <c r="P468" s="177"/>
      <c r="Q468" s="165"/>
      <c r="R468" s="165"/>
      <c r="S468" s="126"/>
      <c r="T468" s="128"/>
      <c r="U468" s="128"/>
      <c r="V468" s="165"/>
      <c r="W468" s="165"/>
      <c r="X468" s="177"/>
      <c r="Y468" s="165"/>
      <c r="Z468" s="166"/>
      <c r="AA468" s="165"/>
      <c r="AB468" s="132"/>
      <c r="AC468" s="133"/>
      <c r="AD468" s="133"/>
      <c r="AE468" s="133"/>
      <c r="AF468" s="133" t="str">
        <f aca="false">IF(ISBLANK($C468),"",IF(E468=Constants!$B$3,TRUE(),IF(E468=Constants!$B$4,FALSE(),TRUE())))</f>
        <v/>
      </c>
      <c r="AG468" s="133" t="str">
        <f aca="false">IF(ISBLANK($C468),"",IF(F468=Constants!$B$3,TRUE(),IF(F468=Constants!$B$4,FALSE(),TRUE())))</f>
        <v/>
      </c>
      <c r="AH468" s="133" t="str">
        <f aca="false">IF(ISBLANK($C468),"",IF(G468=Constants!$B$3,TRUE(),IF(G468=Constants!$B$4,FALSE(),TRUE())))</f>
        <v/>
      </c>
      <c r="AI468" s="133" t="str">
        <f aca="false">IF(ISBLANK($C468),"",IF(AND(ISNUMBER(H468),H468&gt;=0),H468,Constants!$B$29))</f>
        <v/>
      </c>
      <c r="AJ468" s="133" t="str">
        <f aca="false">IF(ISBLANK($C468),"",IF(I468=Constants!$B$3,TRUE(),IF(I468=Constants!$B$4,FALSE(),TRUE())))</f>
        <v/>
      </c>
      <c r="AK468" s="133" t="str">
        <f aca="false">IF(ISBLANK($C468),"",IF(J468=Constants!$B$3,TRUE(),IF(J468=Constants!$B$4,FALSE(),TRUE())))</f>
        <v/>
      </c>
      <c r="AL468" s="133" t="str">
        <f aca="false">IF(ISBLANK($C468),"",IF(K468=Constants!$B$5,TRUE(),IF(K468=Constants!$B$6,FALSE(),COUNTA(L468:P468)&gt;0)))</f>
        <v/>
      </c>
      <c r="AM468" s="134" t="str">
        <f aca="false">IF(ISBLANK($C468),"",IF(ISNUMBER(L468),IF(L468&gt;=0,L468,""),""))</f>
        <v/>
      </c>
      <c r="AN468" s="135" t="str">
        <f aca="false">IF(ISBLANK($C468),"",IF(ISNUMBER(M468),IF(M468&gt;=0,M468,""),""))</f>
        <v/>
      </c>
      <c r="AO468" s="135" t="str">
        <f aca="false">IF(ISBLANK($C468),"",IF(N468=Constants!$B$3,TRUE(),IF(N468=Constants!$B$4,FALSE(),TRUE())))</f>
        <v/>
      </c>
      <c r="AP468" s="133" t="str">
        <f aca="false">IF(ISBLANK($C468),"",IF(ISNUMBER(O468),IF(O468&gt;=0,O468,""),""))</f>
        <v/>
      </c>
      <c r="AQ468" s="133" t="str">
        <f aca="false">IF(ISBLANK($C468),"",IF(P468=Constants!$B$3,TRUE(),IF(P468=Constants!$B$4,FALSE(),FALSE())))</f>
        <v/>
      </c>
      <c r="AR468" s="133" t="str">
        <f aca="false">IF(ISBLANK($C468),"",IF(Q468=Constants!$B$3,TRUE(),IF(Q468=Constants!$B$4,FALSE(),TRUE())))</f>
        <v/>
      </c>
      <c r="AS468" s="133" t="str">
        <f aca="false">IF(ISBLANK($C468),"",IF(R468=Constants!$B$3,TRUE(),IF(R468=Constants!$B$4,FALSE(),TRUE())))</f>
        <v/>
      </c>
      <c r="AT468" s="133" t="str">
        <f aca="false">IF(ISBLANK($C468),"",IF(S468=Constants!$B$5,TRUE(),IF(S468=Constants!$B$6,FALSE(),COUNTA(T468:X468)&gt;0)))</f>
        <v/>
      </c>
      <c r="AU468" s="134" t="str">
        <f aca="false">IF(ISBLANK($C468),"",IF(ISNUMBER(T468),IF(T468&gt;=0,T468,""),""))</f>
        <v/>
      </c>
      <c r="AV468" s="135" t="str">
        <f aca="false">IF(ISBLANK($C468),"",IF(ISNUMBER(U468),IF(U468&gt;=0,U468,""),""))</f>
        <v/>
      </c>
      <c r="AW468" s="135" t="str">
        <f aca="false">IF(ISBLANK($C468),"",IF(V468=Constants!$B$3,TRUE(),IF(V468=Constants!$B$4,FALSE(),TRUE())))</f>
        <v/>
      </c>
      <c r="AX468" s="133" t="str">
        <f aca="false">IF(ISBLANK($C468),"",IF(ISNUMBER(W468),IF(W468&gt;=0,W468,""),""))</f>
        <v/>
      </c>
      <c r="AY468" s="133" t="str">
        <f aca="false">IF(ISBLANK($C468),"",IF(X468=Constants!$B$3,TRUE(),IF(X468=Constants!$B$4,FALSE(),FALSE())))</f>
        <v/>
      </c>
      <c r="AZ468" s="133" t="str">
        <f aca="false">IF(ISBLANK($C468),"",MIN(Constants!$B$31,MAX(0,IF(ISNUMBER(Y468),Y468*60,0)+IF(ISNUMBER(Z468),Z468,0))))</f>
        <v/>
      </c>
      <c r="BA468" s="133" t="str">
        <f aca="false">IF(ISBLANK($C468),"",IF(AA468=Constants!$B$3,TRUE(),IF(AA468=Constants!$B$4,FALSE(),FALSE())))</f>
        <v/>
      </c>
      <c r="BB468" s="132" t="str">
        <f aca="false">IF(ISBLANK($C468),"",AND($AL468,OR($AM468="",$AN468="",AND($AO468,$AP468=""))))</f>
        <v/>
      </c>
      <c r="BC468" s="135" t="str">
        <f aca="false">IF($BR468&lt;&gt;Constants!$B$8,"",IF($AL468,Constants!$B$21*$AN468+Constants!$B$22*IF($AO468,$AP468,Constants!$B$23),Constants!$B$24))</f>
        <v/>
      </c>
      <c r="BD468" s="136" t="str">
        <f aca="false">IF($BR468&lt;&gt;Constants!$B$8,"",Constants!$B$25*ABS($AD$9-IF($AL468,$AM468,0)))</f>
        <v/>
      </c>
      <c r="BE468" s="136" t="str">
        <f aca="false">IF($BR468&lt;&gt;Constants!$B$8,"",IF(AND($AL468,$AQ468,$AO468),Constants!$B$27,0))</f>
        <v/>
      </c>
      <c r="BF468" s="136" t="str">
        <f aca="false">IF($BR468&lt;&gt;Constants!$B$8,"",IF($AL468,($AI468-Constants!$B$29)*Constants!$B$28,0))</f>
        <v/>
      </c>
      <c r="BG468" s="136" t="str">
        <f aca="false">IF($BR468&lt;&gt;Constants!$B$8,"",IF($AK468,0,Constants!$B$15)+IF($AJ468,0,Constants!$B$16)+IF($AH468,0,Constants!$B$17))</f>
        <v/>
      </c>
      <c r="BH468" s="137" t="str">
        <f aca="false">IF($BR468&lt;&gt;Constants!$B$8,"",Constants!$B$20+SUM($BC468:$BG468))</f>
        <v/>
      </c>
      <c r="BI468" s="133" t="str">
        <f aca="false">IF($BR468&lt;&gt;Constants!$B$8,"",IF(OR($BP468&lt;$BH468,AND($BP468=$BH468,OR($BK468&lt;$BC468,AND($BK468=$BC468,OR($BL468&lt;$BD468,AND($BL468=$BD468,$AT468,$AL468,$AV468&lt;$AN468)))))),"-&gt;","&lt;-"))</f>
        <v/>
      </c>
      <c r="BJ468" s="132" t="str">
        <f aca="false">IF(ISBLANK($C468),"",AND($AT468,OR($AU468="",$AV468="",AND($AW468,$AX468=""))))</f>
        <v/>
      </c>
      <c r="BK468" s="135" t="str">
        <f aca="false">IF($BR468&lt;&gt;Constants!$B$8,"",IF($AT468,Constants!$B$21*$AV468+Constants!$B$22*IF($AW468,$AX468,Constants!$B$23),Constants!$B$24))</f>
        <v/>
      </c>
      <c r="BL468" s="136" t="str">
        <f aca="false">IF($BR468&lt;&gt;Constants!$B$8,"",Constants!$B$25*ABS($AD$9-IF($AT468,$AU468,0)))</f>
        <v/>
      </c>
      <c r="BM468" s="136" t="str">
        <f aca="false">IF($BR468&lt;&gt;Constants!$B$8,"",IF(AND($AT468,$AY468,$AW468),Constants!$B$27,0))</f>
        <v/>
      </c>
      <c r="BN468" s="136" t="str">
        <f aca="false">IF($BR468&lt;&gt;Constants!$B$8,"",IF($AT468,($AI468-Constants!$B$29)*Constants!$B$28,0))</f>
        <v/>
      </c>
      <c r="BO468" s="136" t="str">
        <f aca="false">IF($BR468&lt;&gt;Constants!$B$8,"",IF($AS468,0,Constants!$B$15)+IF($AR468,0,Constants!$B$16)+IF($AH468,0,Constants!$B$17))</f>
        <v/>
      </c>
      <c r="BP468" s="137" t="str">
        <f aca="false">IF($BR468&lt;&gt;Constants!$B$8,"",Constants!$B$20+SUM($BK468:$BO468))</f>
        <v/>
      </c>
      <c r="BQ468" s="133" t="str">
        <f aca="false">IF(ISBLANK($C468),"",IF(ISBLANK($D$7),$BQ$5,IF(NOT(ISNUMBER($D$7)),$BQ$6,"")))</f>
        <v/>
      </c>
      <c r="BR468" s="133" t="str">
        <f aca="false">IF(ISBLANK($C468),"",IF($BA468,Constants!$B$11,IF(COUNTA($E468:$AA468)=0,Constants!$B$10,IF(NOT($AG468),Constants!$B$9,IF(OR($BQ468&lt;&gt;"",$BB468,$BJ468),Constants!$B$12,Constants!$B$8)))))</f>
        <v/>
      </c>
      <c r="BS468" s="133" t="str">
        <f aca="false">IF(ISBLANK($C468),"",IF($BR468&lt;&gt;Constants!$B$8,$BR468,Constants!$B$13))</f>
        <v/>
      </c>
      <c r="BT468" s="136" t="str">
        <f aca="false">IF($BR468&lt;&gt;Constants!$B$8,"",IF($BI468="-&gt;",$BP468,$BH468))</f>
        <v/>
      </c>
      <c r="BU468" s="136" t="str">
        <f aca="false">IF($BR468&lt;&gt;Constants!$B$8,"",IF($AF468,0,Constants!$B$18))</f>
        <v/>
      </c>
      <c r="BV468" s="136" t="str">
        <f aca="false">IF($BR468&lt;&gt;Constants!$B$8,"",((Constants!$B$31-$AZ468)-Constants!$B$31)/Constants!$B$32)</f>
        <v/>
      </c>
      <c r="BW468" s="136" t="str">
        <f aca="false">IF(ISBLANK($C468),"",IF($BR468&lt;&gt;Constants!$B$8,$BR468,SUM($BT468:$BV468)))</f>
        <v/>
      </c>
      <c r="BX468" s="133" t="str">
        <f aca="false">IF(ISBLANK($C468),"",IF($BR468&lt;&gt;Constants!$B$8,$BR468,RANK($BW468,$BW$9:$BW$508,1)))</f>
        <v/>
      </c>
      <c r="BY468" s="136" t="str">
        <f aca="false">IF($BR468&lt;&gt;Constants!$B$8,"",IF($BI468="-&gt;",$BK468,$BC468))</f>
        <v/>
      </c>
      <c r="BZ468" s="133" t="str">
        <f aca="false">IF(ISBLANK($C468),"",IF($BR468&lt;&gt;Constants!$B$8,$BR468,IF(ISNUMBER($BY468),RANK($BY468,$BY$9:$BY$508,1),COUNT($BY$9:$BY$508)+1)))</f>
        <v/>
      </c>
      <c r="CA468" s="136" t="str">
        <f aca="false">IF($BR468&lt;&gt;Constants!$B$8,"",IF($BI468="-&gt;",$BL468,$BD468))</f>
        <v/>
      </c>
      <c r="CB468" s="133" t="str">
        <f aca="false">IF(ISBLANK($C468),"",IF($BR468&lt;&gt;Constants!$B$8,$BR468,IF(ISNUMBER($CA468),RANK($CA468,$CA$9:$CA$508,1),COUNT($CA$9:$CA$508)+1)))</f>
        <v/>
      </c>
      <c r="CC468" s="136" t="str">
        <f aca="false">IF($BR468&lt;&gt;Constants!$B$8,"",IF($BI468="-&gt;",IF($AT468,$AV468,""),IF($AL468,$AN468,"")))</f>
        <v/>
      </c>
      <c r="CD468" s="133" t="str">
        <f aca="false">IF(ISBLANK($C468),"",IF($BR468&lt;&gt;Constants!$B$8,$BR468,IF(ISNUMBER($CC468),RANK($CC468,$CC$9:$CC$508,1),COUNT($CC$9:$CC$508)+1)))</f>
        <v/>
      </c>
      <c r="CE468" s="136" t="str">
        <f aca="false">IF($BR468&lt;&gt;Constants!$B$8,"",IF(AND(NOT($AL468),NOT($AT468),$AJ468,$AK468,$AR468,$AS468),"",$AI468))</f>
        <v/>
      </c>
      <c r="CF468" s="133" t="str">
        <f aca="false">IF(ISBLANK($C468),"",IF($BR468&lt;&gt;Constants!$B$8,$BR468,IF(ISNUMBER($CE468),RANK($CE468,$CE$9:$CE$508,1),COUNT($CE$9:$CE$508)+1)))</f>
        <v/>
      </c>
      <c r="CG468" s="133" t="str">
        <f aca="false">IF(ISBLANK($C468),"",IF($BR468&lt;&gt;Constants!$B$8,$BR468,COUNTIFS($BX$9:$BX$508,"&lt;"&amp;$BX468)+COUNTIFS($BX$9:$BX$508,$BX468,$BZ$9:$BZ$508,"&lt;"&amp;$BZ468)+COUNTIFS($BX$9:$BX$508,$BX468,$BZ$9:$BZ$508,$BZ468,$CB$9:$CB$508,"&lt;"&amp;$CB468)+COUNTIFS($BX$9:$BX$508,$BX468,$BZ$9:$BZ$508,$BZ468,$CB$9:$CB$508,$CB468,$CD$9:$CD$508,"&lt;"&amp;$CD468)+COUNTIFS($BX$9:$BX$508,$BX468,$BZ$9:$BZ$508,$BZ468,$CB$9:$CB$508,$CB468,$CD$9:$CD$508,$CD468,$CF$9:$CF$508,"&lt;"&amp;$CF468)+1))</f>
        <v/>
      </c>
      <c r="CH468" s="133" t="str">
        <f aca="false">IF(ISBLANK($C468),"",IF($BR468&lt;&gt;Constants!$B$8,$BR468,$BX468-$CG468))</f>
        <v/>
      </c>
      <c r="CI468" s="138"/>
      <c r="CJ468" s="139"/>
      <c r="CK468" s="140" t="str">
        <f aca="false">IF(ISBLANK($C468),"",IF($BR468=Constants!$B$12,$BQ468,""))</f>
        <v/>
      </c>
      <c r="CL468" s="139" t="str">
        <f aca="false">IF(ISBLANK($C468),"",IF($BR468&lt;&gt;Constants!$B$8,"",IF($BI468="-&gt;",2,1)))</f>
        <v/>
      </c>
      <c r="CM468" s="141" t="str">
        <f aca="false">IF(ISBLANK($C468),"",IF($BR468&lt;&gt;Constants!$B$8,"",IF($BI468="-&gt;",$BK468,$BC468)))</f>
        <v/>
      </c>
      <c r="CN468" s="141" t="str">
        <f aca="false">IF(ISBLANK($C468),"",IF($BR468&lt;&gt;Constants!$B$8,"",IF($BI468="-&gt;",$BL468,$BD468)))</f>
        <v/>
      </c>
      <c r="CO468" s="141" t="str">
        <f aca="false">IF(ISBLANK($C468),"",IF($BR468&lt;&gt;Constants!$B$8,"",IF($BI468="-&gt;",$BM468+$BN468,$BE468+$BF468)+$BV468))</f>
        <v/>
      </c>
      <c r="CP468" s="141" t="str">
        <f aca="false">IF(ISBLANK($C468),"",IF($BR468&lt;&gt;Constants!$B$8,"",IF($BI468="-&gt;",$BO468,$BG468)+$BU468))</f>
        <v/>
      </c>
      <c r="CQ468" s="142" t="str">
        <f aca="false">IF(ISBLANK($C468),"",IF($BR468&lt;&gt;Constants!$B$8,$BR468,$BW468))</f>
        <v/>
      </c>
      <c r="CR468" s="143" t="str">
        <f aca="false">IF(ISBLANK($C468),"",$BS468)</f>
        <v/>
      </c>
      <c r="CS468" s="144" t="str">
        <f aca="false">IF(ISBLANK($C468),"",$CH468)</f>
        <v/>
      </c>
      <c r="CT468" s="144" t="str">
        <f aca="false">IF(ISBLANK($C468),"",$CG468)</f>
        <v/>
      </c>
      <c r="CU468" s="145" t="str">
        <f aca="false">IF(ISBLANK($C468),"",IFERROR(_xlfn.SWITCH($CT468,Constants!$B$11,COUNTA($C$9:$C$508)+2,Constants!$B$10,COUNTA($C$9:$C$508)+1,Constants!$B$9,COUNTA($C$9:$C$508)),$CT468))</f>
        <v/>
      </c>
      <c r="CV468" s="9"/>
      <c r="CW468" s="146" t="n">
        <f aca="false">IF(OR(ISNUMBER($CT468),$CT468=Constants!$B$11,$CT468=Constants!$B$9,$CT468=Constants!$B$10),1,0)</f>
        <v>0</v>
      </c>
      <c r="CX468" s="146" t="n">
        <v>460</v>
      </c>
      <c r="CY468" s="146" t="str">
        <f aca="false">IF(ISBLANK($C468),"",IF(ISNUMBER($CU468),$CU468+ROW($B468)/1000,""))</f>
        <v/>
      </c>
      <c r="CZ468" s="146" t="str">
        <f aca="false">IF(ISNUMBER($CY468),RANK($CY468,$CY$9:$CY$508,1),"")</f>
        <v/>
      </c>
      <c r="DA468" s="146" t="str">
        <f aca="false">IF(ISBLANK($C468),"",$B468)</f>
        <v/>
      </c>
      <c r="DB468" s="146" t="str">
        <f aca="false">IF(ISBLANK($C468),"",$C468)</f>
        <v/>
      </c>
      <c r="DC468" s="146" t="str">
        <f aca="false">IF(ISBLANK($C468),"",$D468)</f>
        <v/>
      </c>
      <c r="DD468" s="147" t="str">
        <f aca="false">$CR468</f>
        <v/>
      </c>
      <c r="DE468" s="148" t="str">
        <f aca="false">$CQ468</f>
        <v/>
      </c>
      <c r="DF468" s="146" t="str">
        <f aca="false">IF(ISBLANK($C468),"",$CT468)</f>
        <v/>
      </c>
      <c r="DG468" s="149" t="str">
        <f aca="false">IF($CX468&gt;$CW$8,"",VLOOKUP($CX468,$CZ$9:$DF$508,7,FALSE()))</f>
        <v/>
      </c>
      <c r="DH468" s="150" t="str">
        <f aca="false">IF($CX468&gt;$CW$8,"",VLOOKUP($CX468,$CZ$9:$DF$508,2,FALSE()))</f>
        <v/>
      </c>
      <c r="DI468" s="150" t="str">
        <f aca="false">IF($CX468&gt;$CW$8,"",VLOOKUP($CX468,$CZ$9:$DF$508,3,FALSE()))</f>
        <v/>
      </c>
      <c r="DJ468" s="150" t="str">
        <f aca="false">IF($CX468&gt;$CW$8,"",VLOOKUP($CX468,$CZ$9:$DF$508,4,FALSE()))</f>
        <v/>
      </c>
      <c r="DK468" s="150" t="str">
        <f aca="false">IF($CX468&gt;$CW$8,"",VLOOKUP($CX468,$CZ$9:$DF$508,5,FALSE()))</f>
        <v/>
      </c>
      <c r="DL468" s="151" t="str">
        <f aca="false">IF($CX468&gt;$CW$8,"",VLOOKUP($CX468,$CZ$9:$DF$508,6,FALSE()))</f>
        <v/>
      </c>
      <c r="DM468" s="75"/>
    </row>
    <row r="469" customFormat="false" ht="15.75" hidden="false" customHeight="false" outlineLevel="0" collapsed="false">
      <c r="A469" s="9"/>
      <c r="B469" s="157"/>
      <c r="C469" s="158"/>
      <c r="D469" s="159"/>
      <c r="E469" s="177"/>
      <c r="F469" s="161"/>
      <c r="G469" s="162"/>
      <c r="H469" s="162"/>
      <c r="I469" s="178"/>
      <c r="J469" s="165"/>
      <c r="K469" s="126"/>
      <c r="L469" s="127"/>
      <c r="M469" s="128"/>
      <c r="N469" s="165"/>
      <c r="O469" s="165"/>
      <c r="P469" s="177"/>
      <c r="Q469" s="165"/>
      <c r="R469" s="165"/>
      <c r="S469" s="126"/>
      <c r="T469" s="128"/>
      <c r="U469" s="128"/>
      <c r="V469" s="165"/>
      <c r="W469" s="165"/>
      <c r="X469" s="177"/>
      <c r="Y469" s="165"/>
      <c r="Z469" s="166"/>
      <c r="AA469" s="165"/>
      <c r="AB469" s="132"/>
      <c r="AC469" s="133"/>
      <c r="AD469" s="133"/>
      <c r="AE469" s="133"/>
      <c r="AF469" s="133" t="str">
        <f aca="false">IF(ISBLANK($C469),"",IF(E469=Constants!$B$3,TRUE(),IF(E469=Constants!$B$4,FALSE(),TRUE())))</f>
        <v/>
      </c>
      <c r="AG469" s="133" t="str">
        <f aca="false">IF(ISBLANK($C469),"",IF(F469=Constants!$B$3,TRUE(),IF(F469=Constants!$B$4,FALSE(),TRUE())))</f>
        <v/>
      </c>
      <c r="AH469" s="133" t="str">
        <f aca="false">IF(ISBLANK($C469),"",IF(G469=Constants!$B$3,TRUE(),IF(G469=Constants!$B$4,FALSE(),TRUE())))</f>
        <v/>
      </c>
      <c r="AI469" s="133" t="str">
        <f aca="false">IF(ISBLANK($C469),"",IF(AND(ISNUMBER(H469),H469&gt;=0),H469,Constants!$B$29))</f>
        <v/>
      </c>
      <c r="AJ469" s="133" t="str">
        <f aca="false">IF(ISBLANK($C469),"",IF(I469=Constants!$B$3,TRUE(),IF(I469=Constants!$B$4,FALSE(),TRUE())))</f>
        <v/>
      </c>
      <c r="AK469" s="133" t="str">
        <f aca="false">IF(ISBLANK($C469),"",IF(J469=Constants!$B$3,TRUE(),IF(J469=Constants!$B$4,FALSE(),TRUE())))</f>
        <v/>
      </c>
      <c r="AL469" s="133" t="str">
        <f aca="false">IF(ISBLANK($C469),"",IF(K469=Constants!$B$5,TRUE(),IF(K469=Constants!$B$6,FALSE(),COUNTA(L469:P469)&gt;0)))</f>
        <v/>
      </c>
      <c r="AM469" s="134" t="str">
        <f aca="false">IF(ISBLANK($C469),"",IF(ISNUMBER(L469),IF(L469&gt;=0,L469,""),""))</f>
        <v/>
      </c>
      <c r="AN469" s="135" t="str">
        <f aca="false">IF(ISBLANK($C469),"",IF(ISNUMBER(M469),IF(M469&gt;=0,M469,""),""))</f>
        <v/>
      </c>
      <c r="AO469" s="135" t="str">
        <f aca="false">IF(ISBLANK($C469),"",IF(N469=Constants!$B$3,TRUE(),IF(N469=Constants!$B$4,FALSE(),TRUE())))</f>
        <v/>
      </c>
      <c r="AP469" s="133" t="str">
        <f aca="false">IF(ISBLANK($C469),"",IF(ISNUMBER(O469),IF(O469&gt;=0,O469,""),""))</f>
        <v/>
      </c>
      <c r="AQ469" s="133" t="str">
        <f aca="false">IF(ISBLANK($C469),"",IF(P469=Constants!$B$3,TRUE(),IF(P469=Constants!$B$4,FALSE(),FALSE())))</f>
        <v/>
      </c>
      <c r="AR469" s="133" t="str">
        <f aca="false">IF(ISBLANK($C469),"",IF(Q469=Constants!$B$3,TRUE(),IF(Q469=Constants!$B$4,FALSE(),TRUE())))</f>
        <v/>
      </c>
      <c r="AS469" s="133" t="str">
        <f aca="false">IF(ISBLANK($C469),"",IF(R469=Constants!$B$3,TRUE(),IF(R469=Constants!$B$4,FALSE(),TRUE())))</f>
        <v/>
      </c>
      <c r="AT469" s="133" t="str">
        <f aca="false">IF(ISBLANK($C469),"",IF(S469=Constants!$B$5,TRUE(),IF(S469=Constants!$B$6,FALSE(),COUNTA(T469:X469)&gt;0)))</f>
        <v/>
      </c>
      <c r="AU469" s="134" t="str">
        <f aca="false">IF(ISBLANK($C469),"",IF(ISNUMBER(T469),IF(T469&gt;=0,T469,""),""))</f>
        <v/>
      </c>
      <c r="AV469" s="135" t="str">
        <f aca="false">IF(ISBLANK($C469),"",IF(ISNUMBER(U469),IF(U469&gt;=0,U469,""),""))</f>
        <v/>
      </c>
      <c r="AW469" s="135" t="str">
        <f aca="false">IF(ISBLANK($C469),"",IF(V469=Constants!$B$3,TRUE(),IF(V469=Constants!$B$4,FALSE(),TRUE())))</f>
        <v/>
      </c>
      <c r="AX469" s="133" t="str">
        <f aca="false">IF(ISBLANK($C469),"",IF(ISNUMBER(W469),IF(W469&gt;=0,W469,""),""))</f>
        <v/>
      </c>
      <c r="AY469" s="133" t="str">
        <f aca="false">IF(ISBLANK($C469),"",IF(X469=Constants!$B$3,TRUE(),IF(X469=Constants!$B$4,FALSE(),FALSE())))</f>
        <v/>
      </c>
      <c r="AZ469" s="133" t="str">
        <f aca="false">IF(ISBLANK($C469),"",MIN(Constants!$B$31,MAX(0,IF(ISNUMBER(Y469),Y469*60,0)+IF(ISNUMBER(Z469),Z469,0))))</f>
        <v/>
      </c>
      <c r="BA469" s="133" t="str">
        <f aca="false">IF(ISBLANK($C469),"",IF(AA469=Constants!$B$3,TRUE(),IF(AA469=Constants!$B$4,FALSE(),FALSE())))</f>
        <v/>
      </c>
      <c r="BB469" s="132" t="str">
        <f aca="false">IF(ISBLANK($C469),"",AND($AL469,OR($AM469="",$AN469="",AND($AO469,$AP469=""))))</f>
        <v/>
      </c>
      <c r="BC469" s="135" t="str">
        <f aca="false">IF($BR469&lt;&gt;Constants!$B$8,"",IF($AL469,Constants!$B$21*$AN469+Constants!$B$22*IF($AO469,$AP469,Constants!$B$23),Constants!$B$24))</f>
        <v/>
      </c>
      <c r="BD469" s="136" t="str">
        <f aca="false">IF($BR469&lt;&gt;Constants!$B$8,"",Constants!$B$25*ABS($AD$9-IF($AL469,$AM469,0)))</f>
        <v/>
      </c>
      <c r="BE469" s="136" t="str">
        <f aca="false">IF($BR469&lt;&gt;Constants!$B$8,"",IF(AND($AL469,$AQ469,$AO469),Constants!$B$27,0))</f>
        <v/>
      </c>
      <c r="BF469" s="136" t="str">
        <f aca="false">IF($BR469&lt;&gt;Constants!$B$8,"",IF($AL469,($AI469-Constants!$B$29)*Constants!$B$28,0))</f>
        <v/>
      </c>
      <c r="BG469" s="136" t="str">
        <f aca="false">IF($BR469&lt;&gt;Constants!$B$8,"",IF($AK469,0,Constants!$B$15)+IF($AJ469,0,Constants!$B$16)+IF($AH469,0,Constants!$B$17))</f>
        <v/>
      </c>
      <c r="BH469" s="137" t="str">
        <f aca="false">IF($BR469&lt;&gt;Constants!$B$8,"",Constants!$B$20+SUM($BC469:$BG469))</f>
        <v/>
      </c>
      <c r="BI469" s="133" t="str">
        <f aca="false">IF($BR469&lt;&gt;Constants!$B$8,"",IF(OR($BP469&lt;$BH469,AND($BP469=$BH469,OR($BK469&lt;$BC469,AND($BK469=$BC469,OR($BL469&lt;$BD469,AND($BL469=$BD469,$AT469,$AL469,$AV469&lt;$AN469)))))),"-&gt;","&lt;-"))</f>
        <v/>
      </c>
      <c r="BJ469" s="132" t="str">
        <f aca="false">IF(ISBLANK($C469),"",AND($AT469,OR($AU469="",$AV469="",AND($AW469,$AX469=""))))</f>
        <v/>
      </c>
      <c r="BK469" s="135" t="str">
        <f aca="false">IF($BR469&lt;&gt;Constants!$B$8,"",IF($AT469,Constants!$B$21*$AV469+Constants!$B$22*IF($AW469,$AX469,Constants!$B$23),Constants!$B$24))</f>
        <v/>
      </c>
      <c r="BL469" s="136" t="str">
        <f aca="false">IF($BR469&lt;&gt;Constants!$B$8,"",Constants!$B$25*ABS($AD$9-IF($AT469,$AU469,0)))</f>
        <v/>
      </c>
      <c r="BM469" s="136" t="str">
        <f aca="false">IF($BR469&lt;&gt;Constants!$B$8,"",IF(AND($AT469,$AY469,$AW469),Constants!$B$27,0))</f>
        <v/>
      </c>
      <c r="BN469" s="136" t="str">
        <f aca="false">IF($BR469&lt;&gt;Constants!$B$8,"",IF($AT469,($AI469-Constants!$B$29)*Constants!$B$28,0))</f>
        <v/>
      </c>
      <c r="BO469" s="136" t="str">
        <f aca="false">IF($BR469&lt;&gt;Constants!$B$8,"",IF($AS469,0,Constants!$B$15)+IF($AR469,0,Constants!$B$16)+IF($AH469,0,Constants!$B$17))</f>
        <v/>
      </c>
      <c r="BP469" s="137" t="str">
        <f aca="false">IF($BR469&lt;&gt;Constants!$B$8,"",Constants!$B$20+SUM($BK469:$BO469))</f>
        <v/>
      </c>
      <c r="BQ469" s="133" t="str">
        <f aca="false">IF(ISBLANK($C469),"",IF(ISBLANK($D$7),$BQ$5,IF(NOT(ISNUMBER($D$7)),$BQ$6,"")))</f>
        <v/>
      </c>
      <c r="BR469" s="133" t="str">
        <f aca="false">IF(ISBLANK($C469),"",IF($BA469,Constants!$B$11,IF(COUNTA($E469:$AA469)=0,Constants!$B$10,IF(NOT($AG469),Constants!$B$9,IF(OR($BQ469&lt;&gt;"",$BB469,$BJ469),Constants!$B$12,Constants!$B$8)))))</f>
        <v/>
      </c>
      <c r="BS469" s="133" t="str">
        <f aca="false">IF(ISBLANK($C469),"",IF($BR469&lt;&gt;Constants!$B$8,$BR469,Constants!$B$13))</f>
        <v/>
      </c>
      <c r="BT469" s="136" t="str">
        <f aca="false">IF($BR469&lt;&gt;Constants!$B$8,"",IF($BI469="-&gt;",$BP469,$BH469))</f>
        <v/>
      </c>
      <c r="BU469" s="136" t="str">
        <f aca="false">IF($BR469&lt;&gt;Constants!$B$8,"",IF($AF469,0,Constants!$B$18))</f>
        <v/>
      </c>
      <c r="BV469" s="136" t="str">
        <f aca="false">IF($BR469&lt;&gt;Constants!$B$8,"",((Constants!$B$31-$AZ469)-Constants!$B$31)/Constants!$B$32)</f>
        <v/>
      </c>
      <c r="BW469" s="136" t="str">
        <f aca="false">IF(ISBLANK($C469),"",IF($BR469&lt;&gt;Constants!$B$8,$BR469,SUM($BT469:$BV469)))</f>
        <v/>
      </c>
      <c r="BX469" s="133" t="str">
        <f aca="false">IF(ISBLANK($C469),"",IF($BR469&lt;&gt;Constants!$B$8,$BR469,RANK($BW469,$BW$9:$BW$508,1)))</f>
        <v/>
      </c>
      <c r="BY469" s="136" t="str">
        <f aca="false">IF($BR469&lt;&gt;Constants!$B$8,"",IF($BI469="-&gt;",$BK469,$BC469))</f>
        <v/>
      </c>
      <c r="BZ469" s="133" t="str">
        <f aca="false">IF(ISBLANK($C469),"",IF($BR469&lt;&gt;Constants!$B$8,$BR469,IF(ISNUMBER($BY469),RANK($BY469,$BY$9:$BY$508,1),COUNT($BY$9:$BY$508)+1)))</f>
        <v/>
      </c>
      <c r="CA469" s="136" t="str">
        <f aca="false">IF($BR469&lt;&gt;Constants!$B$8,"",IF($BI469="-&gt;",$BL469,$BD469))</f>
        <v/>
      </c>
      <c r="CB469" s="133" t="str">
        <f aca="false">IF(ISBLANK($C469),"",IF($BR469&lt;&gt;Constants!$B$8,$BR469,IF(ISNUMBER($CA469),RANK($CA469,$CA$9:$CA$508,1),COUNT($CA$9:$CA$508)+1)))</f>
        <v/>
      </c>
      <c r="CC469" s="136" t="str">
        <f aca="false">IF($BR469&lt;&gt;Constants!$B$8,"",IF($BI469="-&gt;",IF($AT469,$AV469,""),IF($AL469,$AN469,"")))</f>
        <v/>
      </c>
      <c r="CD469" s="133" t="str">
        <f aca="false">IF(ISBLANK($C469),"",IF($BR469&lt;&gt;Constants!$B$8,$BR469,IF(ISNUMBER($CC469),RANK($CC469,$CC$9:$CC$508,1),COUNT($CC$9:$CC$508)+1)))</f>
        <v/>
      </c>
      <c r="CE469" s="136" t="str">
        <f aca="false">IF($BR469&lt;&gt;Constants!$B$8,"",IF(AND(NOT($AL469),NOT($AT469),$AJ469,$AK469,$AR469,$AS469),"",$AI469))</f>
        <v/>
      </c>
      <c r="CF469" s="133" t="str">
        <f aca="false">IF(ISBLANK($C469),"",IF($BR469&lt;&gt;Constants!$B$8,$BR469,IF(ISNUMBER($CE469),RANK($CE469,$CE$9:$CE$508,1),COUNT($CE$9:$CE$508)+1)))</f>
        <v/>
      </c>
      <c r="CG469" s="133" t="str">
        <f aca="false">IF(ISBLANK($C469),"",IF($BR469&lt;&gt;Constants!$B$8,$BR469,COUNTIFS($BX$9:$BX$508,"&lt;"&amp;$BX469)+COUNTIFS($BX$9:$BX$508,$BX469,$BZ$9:$BZ$508,"&lt;"&amp;$BZ469)+COUNTIFS($BX$9:$BX$508,$BX469,$BZ$9:$BZ$508,$BZ469,$CB$9:$CB$508,"&lt;"&amp;$CB469)+COUNTIFS($BX$9:$BX$508,$BX469,$BZ$9:$BZ$508,$BZ469,$CB$9:$CB$508,$CB469,$CD$9:$CD$508,"&lt;"&amp;$CD469)+COUNTIFS($BX$9:$BX$508,$BX469,$BZ$9:$BZ$508,$BZ469,$CB$9:$CB$508,$CB469,$CD$9:$CD$508,$CD469,$CF$9:$CF$508,"&lt;"&amp;$CF469)+1))</f>
        <v/>
      </c>
      <c r="CH469" s="133" t="str">
        <f aca="false">IF(ISBLANK($C469),"",IF($BR469&lt;&gt;Constants!$B$8,$BR469,$BX469-$CG469))</f>
        <v/>
      </c>
      <c r="CI469" s="138"/>
      <c r="CJ469" s="139"/>
      <c r="CK469" s="140" t="str">
        <f aca="false">IF(ISBLANK($C469),"",IF($BR469=Constants!$B$12,$BQ469,""))</f>
        <v/>
      </c>
      <c r="CL469" s="139" t="str">
        <f aca="false">IF(ISBLANK($C469),"",IF($BR469&lt;&gt;Constants!$B$8,"",IF($BI469="-&gt;",2,1)))</f>
        <v/>
      </c>
      <c r="CM469" s="141" t="str">
        <f aca="false">IF(ISBLANK($C469),"",IF($BR469&lt;&gt;Constants!$B$8,"",IF($BI469="-&gt;",$BK469,$BC469)))</f>
        <v/>
      </c>
      <c r="CN469" s="141" t="str">
        <f aca="false">IF(ISBLANK($C469),"",IF($BR469&lt;&gt;Constants!$B$8,"",IF($BI469="-&gt;",$BL469,$BD469)))</f>
        <v/>
      </c>
      <c r="CO469" s="141" t="str">
        <f aca="false">IF(ISBLANK($C469),"",IF($BR469&lt;&gt;Constants!$B$8,"",IF($BI469="-&gt;",$BM469+$BN469,$BE469+$BF469)+$BV469))</f>
        <v/>
      </c>
      <c r="CP469" s="141" t="str">
        <f aca="false">IF(ISBLANK($C469),"",IF($BR469&lt;&gt;Constants!$B$8,"",IF($BI469="-&gt;",$BO469,$BG469)+$BU469))</f>
        <v/>
      </c>
      <c r="CQ469" s="142" t="str">
        <f aca="false">IF(ISBLANK($C469),"",IF($BR469&lt;&gt;Constants!$B$8,$BR469,$BW469))</f>
        <v/>
      </c>
      <c r="CR469" s="143" t="str">
        <f aca="false">IF(ISBLANK($C469),"",$BS469)</f>
        <v/>
      </c>
      <c r="CS469" s="144" t="str">
        <f aca="false">IF(ISBLANK($C469),"",$CH469)</f>
        <v/>
      </c>
      <c r="CT469" s="144" t="str">
        <f aca="false">IF(ISBLANK($C469),"",$CG469)</f>
        <v/>
      </c>
      <c r="CU469" s="145" t="str">
        <f aca="false">IF(ISBLANK($C469),"",IFERROR(_xlfn.SWITCH($CT469,Constants!$B$11,COUNTA($C$9:$C$508)+2,Constants!$B$10,COUNTA($C$9:$C$508)+1,Constants!$B$9,COUNTA($C$9:$C$508)),$CT469))</f>
        <v/>
      </c>
      <c r="CV469" s="9"/>
      <c r="CW469" s="146" t="n">
        <f aca="false">IF(OR(ISNUMBER($CT469),$CT469=Constants!$B$11,$CT469=Constants!$B$9,$CT469=Constants!$B$10),1,0)</f>
        <v>0</v>
      </c>
      <c r="CX469" s="146" t="n">
        <v>461</v>
      </c>
      <c r="CY469" s="146" t="str">
        <f aca="false">IF(ISBLANK($C469),"",IF(ISNUMBER($CU469),$CU469+ROW($B469)/1000,""))</f>
        <v/>
      </c>
      <c r="CZ469" s="146" t="str">
        <f aca="false">IF(ISNUMBER($CY469),RANK($CY469,$CY$9:$CY$508,1),"")</f>
        <v/>
      </c>
      <c r="DA469" s="146" t="str">
        <f aca="false">IF(ISBLANK($C469),"",$B469)</f>
        <v/>
      </c>
      <c r="DB469" s="146" t="str">
        <f aca="false">IF(ISBLANK($C469),"",$C469)</f>
        <v/>
      </c>
      <c r="DC469" s="146" t="str">
        <f aca="false">IF(ISBLANK($C469),"",$D469)</f>
        <v/>
      </c>
      <c r="DD469" s="147" t="str">
        <f aca="false">$CR469</f>
        <v/>
      </c>
      <c r="DE469" s="148" t="str">
        <f aca="false">$CQ469</f>
        <v/>
      </c>
      <c r="DF469" s="146" t="str">
        <f aca="false">IF(ISBLANK($C469),"",$CT469)</f>
        <v/>
      </c>
      <c r="DG469" s="149" t="str">
        <f aca="false">IF($CX469&gt;$CW$8,"",VLOOKUP($CX469,$CZ$9:$DF$508,7,FALSE()))</f>
        <v/>
      </c>
      <c r="DH469" s="150" t="str">
        <f aca="false">IF($CX469&gt;$CW$8,"",VLOOKUP($CX469,$CZ$9:$DF$508,2,FALSE()))</f>
        <v/>
      </c>
      <c r="DI469" s="150" t="str">
        <f aca="false">IF($CX469&gt;$CW$8,"",VLOOKUP($CX469,$CZ$9:$DF$508,3,FALSE()))</f>
        <v/>
      </c>
      <c r="DJ469" s="150" t="str">
        <f aca="false">IF($CX469&gt;$CW$8,"",VLOOKUP($CX469,$CZ$9:$DF$508,4,FALSE()))</f>
        <v/>
      </c>
      <c r="DK469" s="150" t="str">
        <f aca="false">IF($CX469&gt;$CW$8,"",VLOOKUP($CX469,$CZ$9:$DF$508,5,FALSE()))</f>
        <v/>
      </c>
      <c r="DL469" s="151" t="str">
        <f aca="false">IF($CX469&gt;$CW$8,"",VLOOKUP($CX469,$CZ$9:$DF$508,6,FALSE()))</f>
        <v/>
      </c>
      <c r="DM469" s="75"/>
    </row>
    <row r="470" customFormat="false" ht="15.75" hidden="false" customHeight="false" outlineLevel="0" collapsed="false">
      <c r="A470" s="9"/>
      <c r="B470" s="157"/>
      <c r="C470" s="158"/>
      <c r="D470" s="159"/>
      <c r="E470" s="177"/>
      <c r="F470" s="161"/>
      <c r="G470" s="162"/>
      <c r="H470" s="162"/>
      <c r="I470" s="178"/>
      <c r="J470" s="165"/>
      <c r="K470" s="126"/>
      <c r="L470" s="127"/>
      <c r="M470" s="128"/>
      <c r="N470" s="165"/>
      <c r="O470" s="165"/>
      <c r="P470" s="177"/>
      <c r="Q470" s="165"/>
      <c r="R470" s="165"/>
      <c r="S470" s="126"/>
      <c r="T470" s="128"/>
      <c r="U470" s="128"/>
      <c r="V470" s="165"/>
      <c r="W470" s="165"/>
      <c r="X470" s="177"/>
      <c r="Y470" s="165"/>
      <c r="Z470" s="166"/>
      <c r="AA470" s="165"/>
      <c r="AB470" s="132"/>
      <c r="AC470" s="133"/>
      <c r="AD470" s="133"/>
      <c r="AE470" s="133"/>
      <c r="AF470" s="133" t="str">
        <f aca="false">IF(ISBLANK($C470),"",IF(E470=Constants!$B$3,TRUE(),IF(E470=Constants!$B$4,FALSE(),TRUE())))</f>
        <v/>
      </c>
      <c r="AG470" s="133" t="str">
        <f aca="false">IF(ISBLANK($C470),"",IF(F470=Constants!$B$3,TRUE(),IF(F470=Constants!$B$4,FALSE(),TRUE())))</f>
        <v/>
      </c>
      <c r="AH470" s="133" t="str">
        <f aca="false">IF(ISBLANK($C470),"",IF(G470=Constants!$B$3,TRUE(),IF(G470=Constants!$B$4,FALSE(),TRUE())))</f>
        <v/>
      </c>
      <c r="AI470" s="133" t="str">
        <f aca="false">IF(ISBLANK($C470),"",IF(AND(ISNUMBER(H470),H470&gt;=0),H470,Constants!$B$29))</f>
        <v/>
      </c>
      <c r="AJ470" s="133" t="str">
        <f aca="false">IF(ISBLANK($C470),"",IF(I470=Constants!$B$3,TRUE(),IF(I470=Constants!$B$4,FALSE(),TRUE())))</f>
        <v/>
      </c>
      <c r="AK470" s="133" t="str">
        <f aca="false">IF(ISBLANK($C470),"",IF(J470=Constants!$B$3,TRUE(),IF(J470=Constants!$B$4,FALSE(),TRUE())))</f>
        <v/>
      </c>
      <c r="AL470" s="133" t="str">
        <f aca="false">IF(ISBLANK($C470),"",IF(K470=Constants!$B$5,TRUE(),IF(K470=Constants!$B$6,FALSE(),COUNTA(L470:P470)&gt;0)))</f>
        <v/>
      </c>
      <c r="AM470" s="134" t="str">
        <f aca="false">IF(ISBLANK($C470),"",IF(ISNUMBER(L470),IF(L470&gt;=0,L470,""),""))</f>
        <v/>
      </c>
      <c r="AN470" s="135" t="str">
        <f aca="false">IF(ISBLANK($C470),"",IF(ISNUMBER(M470),IF(M470&gt;=0,M470,""),""))</f>
        <v/>
      </c>
      <c r="AO470" s="135" t="str">
        <f aca="false">IF(ISBLANK($C470),"",IF(N470=Constants!$B$3,TRUE(),IF(N470=Constants!$B$4,FALSE(),TRUE())))</f>
        <v/>
      </c>
      <c r="AP470" s="133" t="str">
        <f aca="false">IF(ISBLANK($C470),"",IF(ISNUMBER(O470),IF(O470&gt;=0,O470,""),""))</f>
        <v/>
      </c>
      <c r="AQ470" s="133" t="str">
        <f aca="false">IF(ISBLANK($C470),"",IF(P470=Constants!$B$3,TRUE(),IF(P470=Constants!$B$4,FALSE(),FALSE())))</f>
        <v/>
      </c>
      <c r="AR470" s="133" t="str">
        <f aca="false">IF(ISBLANK($C470),"",IF(Q470=Constants!$B$3,TRUE(),IF(Q470=Constants!$B$4,FALSE(),TRUE())))</f>
        <v/>
      </c>
      <c r="AS470" s="133" t="str">
        <f aca="false">IF(ISBLANK($C470),"",IF(R470=Constants!$B$3,TRUE(),IF(R470=Constants!$B$4,FALSE(),TRUE())))</f>
        <v/>
      </c>
      <c r="AT470" s="133" t="str">
        <f aca="false">IF(ISBLANK($C470),"",IF(S470=Constants!$B$5,TRUE(),IF(S470=Constants!$B$6,FALSE(),COUNTA(T470:X470)&gt;0)))</f>
        <v/>
      </c>
      <c r="AU470" s="134" t="str">
        <f aca="false">IF(ISBLANK($C470),"",IF(ISNUMBER(T470),IF(T470&gt;=0,T470,""),""))</f>
        <v/>
      </c>
      <c r="AV470" s="135" t="str">
        <f aca="false">IF(ISBLANK($C470),"",IF(ISNUMBER(U470),IF(U470&gt;=0,U470,""),""))</f>
        <v/>
      </c>
      <c r="AW470" s="135" t="str">
        <f aca="false">IF(ISBLANK($C470),"",IF(V470=Constants!$B$3,TRUE(),IF(V470=Constants!$B$4,FALSE(),TRUE())))</f>
        <v/>
      </c>
      <c r="AX470" s="133" t="str">
        <f aca="false">IF(ISBLANK($C470),"",IF(ISNUMBER(W470),IF(W470&gt;=0,W470,""),""))</f>
        <v/>
      </c>
      <c r="AY470" s="133" t="str">
        <f aca="false">IF(ISBLANK($C470),"",IF(X470=Constants!$B$3,TRUE(),IF(X470=Constants!$B$4,FALSE(),FALSE())))</f>
        <v/>
      </c>
      <c r="AZ470" s="133" t="str">
        <f aca="false">IF(ISBLANK($C470),"",MIN(Constants!$B$31,MAX(0,IF(ISNUMBER(Y470),Y470*60,0)+IF(ISNUMBER(Z470),Z470,0))))</f>
        <v/>
      </c>
      <c r="BA470" s="133" t="str">
        <f aca="false">IF(ISBLANK($C470),"",IF(AA470=Constants!$B$3,TRUE(),IF(AA470=Constants!$B$4,FALSE(),FALSE())))</f>
        <v/>
      </c>
      <c r="BB470" s="132" t="str">
        <f aca="false">IF(ISBLANK($C470),"",AND($AL470,OR($AM470="",$AN470="",AND($AO470,$AP470=""))))</f>
        <v/>
      </c>
      <c r="BC470" s="135" t="str">
        <f aca="false">IF($BR470&lt;&gt;Constants!$B$8,"",IF($AL470,Constants!$B$21*$AN470+Constants!$B$22*IF($AO470,$AP470,Constants!$B$23),Constants!$B$24))</f>
        <v/>
      </c>
      <c r="BD470" s="136" t="str">
        <f aca="false">IF($BR470&lt;&gt;Constants!$B$8,"",Constants!$B$25*ABS($AD$9-IF($AL470,$AM470,0)))</f>
        <v/>
      </c>
      <c r="BE470" s="136" t="str">
        <f aca="false">IF($BR470&lt;&gt;Constants!$B$8,"",IF(AND($AL470,$AQ470,$AO470),Constants!$B$27,0))</f>
        <v/>
      </c>
      <c r="BF470" s="136" t="str">
        <f aca="false">IF($BR470&lt;&gt;Constants!$B$8,"",IF($AL470,($AI470-Constants!$B$29)*Constants!$B$28,0))</f>
        <v/>
      </c>
      <c r="BG470" s="136" t="str">
        <f aca="false">IF($BR470&lt;&gt;Constants!$B$8,"",IF($AK470,0,Constants!$B$15)+IF($AJ470,0,Constants!$B$16)+IF($AH470,0,Constants!$B$17))</f>
        <v/>
      </c>
      <c r="BH470" s="137" t="str">
        <f aca="false">IF($BR470&lt;&gt;Constants!$B$8,"",Constants!$B$20+SUM($BC470:$BG470))</f>
        <v/>
      </c>
      <c r="BI470" s="133" t="str">
        <f aca="false">IF($BR470&lt;&gt;Constants!$B$8,"",IF(OR($BP470&lt;$BH470,AND($BP470=$BH470,OR($BK470&lt;$BC470,AND($BK470=$BC470,OR($BL470&lt;$BD470,AND($BL470=$BD470,$AT470,$AL470,$AV470&lt;$AN470)))))),"-&gt;","&lt;-"))</f>
        <v/>
      </c>
      <c r="BJ470" s="132" t="str">
        <f aca="false">IF(ISBLANK($C470),"",AND($AT470,OR($AU470="",$AV470="",AND($AW470,$AX470=""))))</f>
        <v/>
      </c>
      <c r="BK470" s="135" t="str">
        <f aca="false">IF($BR470&lt;&gt;Constants!$B$8,"",IF($AT470,Constants!$B$21*$AV470+Constants!$B$22*IF($AW470,$AX470,Constants!$B$23),Constants!$B$24))</f>
        <v/>
      </c>
      <c r="BL470" s="136" t="str">
        <f aca="false">IF($BR470&lt;&gt;Constants!$B$8,"",Constants!$B$25*ABS($AD$9-IF($AT470,$AU470,0)))</f>
        <v/>
      </c>
      <c r="BM470" s="136" t="str">
        <f aca="false">IF($BR470&lt;&gt;Constants!$B$8,"",IF(AND($AT470,$AY470,$AW470),Constants!$B$27,0))</f>
        <v/>
      </c>
      <c r="BN470" s="136" t="str">
        <f aca="false">IF($BR470&lt;&gt;Constants!$B$8,"",IF($AT470,($AI470-Constants!$B$29)*Constants!$B$28,0))</f>
        <v/>
      </c>
      <c r="BO470" s="136" t="str">
        <f aca="false">IF($BR470&lt;&gt;Constants!$B$8,"",IF($AS470,0,Constants!$B$15)+IF($AR470,0,Constants!$B$16)+IF($AH470,0,Constants!$B$17))</f>
        <v/>
      </c>
      <c r="BP470" s="137" t="str">
        <f aca="false">IF($BR470&lt;&gt;Constants!$B$8,"",Constants!$B$20+SUM($BK470:$BO470))</f>
        <v/>
      </c>
      <c r="BQ470" s="133" t="str">
        <f aca="false">IF(ISBLANK($C470),"",IF(ISBLANK($D$7),$BQ$5,IF(NOT(ISNUMBER($D$7)),$BQ$6,"")))</f>
        <v/>
      </c>
      <c r="BR470" s="133" t="str">
        <f aca="false">IF(ISBLANK($C470),"",IF($BA470,Constants!$B$11,IF(COUNTA($E470:$AA470)=0,Constants!$B$10,IF(NOT($AG470),Constants!$B$9,IF(OR($BQ470&lt;&gt;"",$BB470,$BJ470),Constants!$B$12,Constants!$B$8)))))</f>
        <v/>
      </c>
      <c r="BS470" s="133" t="str">
        <f aca="false">IF(ISBLANK($C470),"",IF($BR470&lt;&gt;Constants!$B$8,$BR470,Constants!$B$13))</f>
        <v/>
      </c>
      <c r="BT470" s="136" t="str">
        <f aca="false">IF($BR470&lt;&gt;Constants!$B$8,"",IF($BI470="-&gt;",$BP470,$BH470))</f>
        <v/>
      </c>
      <c r="BU470" s="136" t="str">
        <f aca="false">IF($BR470&lt;&gt;Constants!$B$8,"",IF($AF470,0,Constants!$B$18))</f>
        <v/>
      </c>
      <c r="BV470" s="136" t="str">
        <f aca="false">IF($BR470&lt;&gt;Constants!$B$8,"",((Constants!$B$31-$AZ470)-Constants!$B$31)/Constants!$B$32)</f>
        <v/>
      </c>
      <c r="BW470" s="136" t="str">
        <f aca="false">IF(ISBLANK($C470),"",IF($BR470&lt;&gt;Constants!$B$8,$BR470,SUM($BT470:$BV470)))</f>
        <v/>
      </c>
      <c r="BX470" s="133" t="str">
        <f aca="false">IF(ISBLANK($C470),"",IF($BR470&lt;&gt;Constants!$B$8,$BR470,RANK($BW470,$BW$9:$BW$508,1)))</f>
        <v/>
      </c>
      <c r="BY470" s="136" t="str">
        <f aca="false">IF($BR470&lt;&gt;Constants!$B$8,"",IF($BI470="-&gt;",$BK470,$BC470))</f>
        <v/>
      </c>
      <c r="BZ470" s="133" t="str">
        <f aca="false">IF(ISBLANK($C470),"",IF($BR470&lt;&gt;Constants!$B$8,$BR470,IF(ISNUMBER($BY470),RANK($BY470,$BY$9:$BY$508,1),COUNT($BY$9:$BY$508)+1)))</f>
        <v/>
      </c>
      <c r="CA470" s="136" t="str">
        <f aca="false">IF($BR470&lt;&gt;Constants!$B$8,"",IF($BI470="-&gt;",$BL470,$BD470))</f>
        <v/>
      </c>
      <c r="CB470" s="133" t="str">
        <f aca="false">IF(ISBLANK($C470),"",IF($BR470&lt;&gt;Constants!$B$8,$BR470,IF(ISNUMBER($CA470),RANK($CA470,$CA$9:$CA$508,1),COUNT($CA$9:$CA$508)+1)))</f>
        <v/>
      </c>
      <c r="CC470" s="136" t="str">
        <f aca="false">IF($BR470&lt;&gt;Constants!$B$8,"",IF($BI470="-&gt;",IF($AT470,$AV470,""),IF($AL470,$AN470,"")))</f>
        <v/>
      </c>
      <c r="CD470" s="133" t="str">
        <f aca="false">IF(ISBLANK($C470),"",IF($BR470&lt;&gt;Constants!$B$8,$BR470,IF(ISNUMBER($CC470),RANK($CC470,$CC$9:$CC$508,1),COUNT($CC$9:$CC$508)+1)))</f>
        <v/>
      </c>
      <c r="CE470" s="136" t="str">
        <f aca="false">IF($BR470&lt;&gt;Constants!$B$8,"",IF(AND(NOT($AL470),NOT($AT470),$AJ470,$AK470,$AR470,$AS470),"",$AI470))</f>
        <v/>
      </c>
      <c r="CF470" s="133" t="str">
        <f aca="false">IF(ISBLANK($C470),"",IF($BR470&lt;&gt;Constants!$B$8,$BR470,IF(ISNUMBER($CE470),RANK($CE470,$CE$9:$CE$508,1),COUNT($CE$9:$CE$508)+1)))</f>
        <v/>
      </c>
      <c r="CG470" s="133" t="str">
        <f aca="false">IF(ISBLANK($C470),"",IF($BR470&lt;&gt;Constants!$B$8,$BR470,COUNTIFS($BX$9:$BX$508,"&lt;"&amp;$BX470)+COUNTIFS($BX$9:$BX$508,$BX470,$BZ$9:$BZ$508,"&lt;"&amp;$BZ470)+COUNTIFS($BX$9:$BX$508,$BX470,$BZ$9:$BZ$508,$BZ470,$CB$9:$CB$508,"&lt;"&amp;$CB470)+COUNTIFS($BX$9:$BX$508,$BX470,$BZ$9:$BZ$508,$BZ470,$CB$9:$CB$508,$CB470,$CD$9:$CD$508,"&lt;"&amp;$CD470)+COUNTIFS($BX$9:$BX$508,$BX470,$BZ$9:$BZ$508,$BZ470,$CB$9:$CB$508,$CB470,$CD$9:$CD$508,$CD470,$CF$9:$CF$508,"&lt;"&amp;$CF470)+1))</f>
        <v/>
      </c>
      <c r="CH470" s="133" t="str">
        <f aca="false">IF(ISBLANK($C470),"",IF($BR470&lt;&gt;Constants!$B$8,$BR470,$BX470-$CG470))</f>
        <v/>
      </c>
      <c r="CI470" s="138"/>
      <c r="CJ470" s="139"/>
      <c r="CK470" s="140" t="str">
        <f aca="false">IF(ISBLANK($C470),"",IF($BR470=Constants!$B$12,$BQ470,""))</f>
        <v/>
      </c>
      <c r="CL470" s="139" t="str">
        <f aca="false">IF(ISBLANK($C470),"",IF($BR470&lt;&gt;Constants!$B$8,"",IF($BI470="-&gt;",2,1)))</f>
        <v/>
      </c>
      <c r="CM470" s="141" t="str">
        <f aca="false">IF(ISBLANK($C470),"",IF($BR470&lt;&gt;Constants!$B$8,"",IF($BI470="-&gt;",$BK470,$BC470)))</f>
        <v/>
      </c>
      <c r="CN470" s="141" t="str">
        <f aca="false">IF(ISBLANK($C470),"",IF($BR470&lt;&gt;Constants!$B$8,"",IF($BI470="-&gt;",$BL470,$BD470)))</f>
        <v/>
      </c>
      <c r="CO470" s="141" t="str">
        <f aca="false">IF(ISBLANK($C470),"",IF($BR470&lt;&gt;Constants!$B$8,"",IF($BI470="-&gt;",$BM470+$BN470,$BE470+$BF470)+$BV470))</f>
        <v/>
      </c>
      <c r="CP470" s="141" t="str">
        <f aca="false">IF(ISBLANK($C470),"",IF($BR470&lt;&gt;Constants!$B$8,"",IF($BI470="-&gt;",$BO470,$BG470)+$BU470))</f>
        <v/>
      </c>
      <c r="CQ470" s="142" t="str">
        <f aca="false">IF(ISBLANK($C470),"",IF($BR470&lt;&gt;Constants!$B$8,$BR470,$BW470))</f>
        <v/>
      </c>
      <c r="CR470" s="143" t="str">
        <f aca="false">IF(ISBLANK($C470),"",$BS470)</f>
        <v/>
      </c>
      <c r="CS470" s="144" t="str">
        <f aca="false">IF(ISBLANK($C470),"",$CH470)</f>
        <v/>
      </c>
      <c r="CT470" s="144" t="str">
        <f aca="false">IF(ISBLANK($C470),"",$CG470)</f>
        <v/>
      </c>
      <c r="CU470" s="145" t="str">
        <f aca="false">IF(ISBLANK($C470),"",IFERROR(_xlfn.SWITCH($CT470,Constants!$B$11,COUNTA($C$9:$C$508)+2,Constants!$B$10,COUNTA($C$9:$C$508)+1,Constants!$B$9,COUNTA($C$9:$C$508)),$CT470))</f>
        <v/>
      </c>
      <c r="CV470" s="9"/>
      <c r="CW470" s="146" t="n">
        <f aca="false">IF(OR(ISNUMBER($CT470),$CT470=Constants!$B$11,$CT470=Constants!$B$9,$CT470=Constants!$B$10),1,0)</f>
        <v>0</v>
      </c>
      <c r="CX470" s="146" t="n">
        <v>462</v>
      </c>
      <c r="CY470" s="146" t="str">
        <f aca="false">IF(ISBLANK($C470),"",IF(ISNUMBER($CU470),$CU470+ROW($B470)/1000,""))</f>
        <v/>
      </c>
      <c r="CZ470" s="146" t="str">
        <f aca="false">IF(ISNUMBER($CY470),RANK($CY470,$CY$9:$CY$508,1),"")</f>
        <v/>
      </c>
      <c r="DA470" s="146" t="str">
        <f aca="false">IF(ISBLANK($C470),"",$B470)</f>
        <v/>
      </c>
      <c r="DB470" s="146" t="str">
        <f aca="false">IF(ISBLANK($C470),"",$C470)</f>
        <v/>
      </c>
      <c r="DC470" s="146" t="str">
        <f aca="false">IF(ISBLANK($C470),"",$D470)</f>
        <v/>
      </c>
      <c r="DD470" s="147" t="str">
        <f aca="false">$CR470</f>
        <v/>
      </c>
      <c r="DE470" s="148" t="str">
        <f aca="false">$CQ470</f>
        <v/>
      </c>
      <c r="DF470" s="146" t="str">
        <f aca="false">IF(ISBLANK($C470),"",$CT470)</f>
        <v/>
      </c>
      <c r="DG470" s="149" t="str">
        <f aca="false">IF($CX470&gt;$CW$8,"",VLOOKUP($CX470,$CZ$9:$DF$508,7,FALSE()))</f>
        <v/>
      </c>
      <c r="DH470" s="150" t="str">
        <f aca="false">IF($CX470&gt;$CW$8,"",VLOOKUP($CX470,$CZ$9:$DF$508,2,FALSE()))</f>
        <v/>
      </c>
      <c r="DI470" s="150" t="str">
        <f aca="false">IF($CX470&gt;$CW$8,"",VLOOKUP($CX470,$CZ$9:$DF$508,3,FALSE()))</f>
        <v/>
      </c>
      <c r="DJ470" s="150" t="str">
        <f aca="false">IF($CX470&gt;$CW$8,"",VLOOKUP($CX470,$CZ$9:$DF$508,4,FALSE()))</f>
        <v/>
      </c>
      <c r="DK470" s="150" t="str">
        <f aca="false">IF($CX470&gt;$CW$8,"",VLOOKUP($CX470,$CZ$9:$DF$508,5,FALSE()))</f>
        <v/>
      </c>
      <c r="DL470" s="151" t="str">
        <f aca="false">IF($CX470&gt;$CW$8,"",VLOOKUP($CX470,$CZ$9:$DF$508,6,FALSE()))</f>
        <v/>
      </c>
      <c r="DM470" s="75"/>
    </row>
    <row r="471" customFormat="false" ht="15.75" hidden="false" customHeight="false" outlineLevel="0" collapsed="false">
      <c r="A471" s="9"/>
      <c r="B471" s="77"/>
      <c r="C471" s="78"/>
      <c r="D471" s="167"/>
      <c r="E471" s="175"/>
      <c r="F471" s="169"/>
      <c r="G471" s="170"/>
      <c r="H471" s="170"/>
      <c r="I471" s="176"/>
      <c r="J471" s="173"/>
      <c r="K471" s="85"/>
      <c r="L471" s="86"/>
      <c r="M471" s="87"/>
      <c r="N471" s="173"/>
      <c r="O471" s="173"/>
      <c r="P471" s="175"/>
      <c r="Q471" s="173"/>
      <c r="R471" s="173"/>
      <c r="S471" s="85"/>
      <c r="T471" s="87"/>
      <c r="U471" s="87"/>
      <c r="V471" s="173"/>
      <c r="W471" s="173"/>
      <c r="X471" s="175"/>
      <c r="Y471" s="173"/>
      <c r="Z471" s="174"/>
      <c r="AA471" s="173"/>
      <c r="AB471" s="91"/>
      <c r="AC471" s="92"/>
      <c r="AD471" s="92"/>
      <c r="AE471" s="92"/>
      <c r="AF471" s="92" t="str">
        <f aca="false">IF(ISBLANK($C471),"",IF(E471=Constants!$B$3,TRUE(),IF(E471=Constants!$B$4,FALSE(),TRUE())))</f>
        <v/>
      </c>
      <c r="AG471" s="92" t="str">
        <f aca="false">IF(ISBLANK($C471),"",IF(F471=Constants!$B$3,TRUE(),IF(F471=Constants!$B$4,FALSE(),TRUE())))</f>
        <v/>
      </c>
      <c r="AH471" s="92" t="str">
        <f aca="false">IF(ISBLANK($C471),"",IF(G471=Constants!$B$3,TRUE(),IF(G471=Constants!$B$4,FALSE(),TRUE())))</f>
        <v/>
      </c>
      <c r="AI471" s="92" t="str">
        <f aca="false">IF(ISBLANK($C471),"",IF(AND(ISNUMBER(H471),H471&gt;=0),H471,Constants!$B$29))</f>
        <v/>
      </c>
      <c r="AJ471" s="92" t="str">
        <f aca="false">IF(ISBLANK($C471),"",IF(I471=Constants!$B$3,TRUE(),IF(I471=Constants!$B$4,FALSE(),TRUE())))</f>
        <v/>
      </c>
      <c r="AK471" s="92" t="str">
        <f aca="false">IF(ISBLANK($C471),"",IF(J471=Constants!$B$3,TRUE(),IF(J471=Constants!$B$4,FALSE(),TRUE())))</f>
        <v/>
      </c>
      <c r="AL471" s="92" t="str">
        <f aca="false">IF(ISBLANK($C471),"",IF(K471=Constants!$B$5,TRUE(),IF(K471=Constants!$B$6,FALSE(),COUNTA(L471:P471)&gt;0)))</f>
        <v/>
      </c>
      <c r="AM471" s="94" t="str">
        <f aca="false">IF(ISBLANK($C471),"",IF(ISNUMBER(L471),IF(L471&gt;=0,L471,""),""))</f>
        <v/>
      </c>
      <c r="AN471" s="93" t="str">
        <f aca="false">IF(ISBLANK($C471),"",IF(ISNUMBER(M471),IF(M471&gt;=0,M471,""),""))</f>
        <v/>
      </c>
      <c r="AO471" s="93" t="str">
        <f aca="false">IF(ISBLANK($C471),"",IF(N471=Constants!$B$3,TRUE(),IF(N471=Constants!$B$4,FALSE(),TRUE())))</f>
        <v/>
      </c>
      <c r="AP471" s="92" t="str">
        <f aca="false">IF(ISBLANK($C471),"",IF(ISNUMBER(O471),IF(O471&gt;=0,O471,""),""))</f>
        <v/>
      </c>
      <c r="AQ471" s="92" t="str">
        <f aca="false">IF(ISBLANK($C471),"",IF(P471=Constants!$B$3,TRUE(),IF(P471=Constants!$B$4,FALSE(),FALSE())))</f>
        <v/>
      </c>
      <c r="AR471" s="92" t="str">
        <f aca="false">IF(ISBLANK($C471),"",IF(Q471=Constants!$B$3,TRUE(),IF(Q471=Constants!$B$4,FALSE(),TRUE())))</f>
        <v/>
      </c>
      <c r="AS471" s="92" t="str">
        <f aca="false">IF(ISBLANK($C471),"",IF(R471=Constants!$B$3,TRUE(),IF(R471=Constants!$B$4,FALSE(),TRUE())))</f>
        <v/>
      </c>
      <c r="AT471" s="92" t="str">
        <f aca="false">IF(ISBLANK($C471),"",IF(S471=Constants!$B$5,TRUE(),IF(S471=Constants!$B$6,FALSE(),COUNTA(T471:X471)&gt;0)))</f>
        <v/>
      </c>
      <c r="AU471" s="94" t="str">
        <f aca="false">IF(ISBLANK($C471),"",IF(ISNUMBER(T471),IF(T471&gt;=0,T471,""),""))</f>
        <v/>
      </c>
      <c r="AV471" s="93" t="str">
        <f aca="false">IF(ISBLANK($C471),"",IF(ISNUMBER(U471),IF(U471&gt;=0,U471,""),""))</f>
        <v/>
      </c>
      <c r="AW471" s="93" t="str">
        <f aca="false">IF(ISBLANK($C471),"",IF(V471=Constants!$B$3,TRUE(),IF(V471=Constants!$B$4,FALSE(),TRUE())))</f>
        <v/>
      </c>
      <c r="AX471" s="92" t="str">
        <f aca="false">IF(ISBLANK($C471),"",IF(ISNUMBER(W471),IF(W471&gt;=0,W471,""),""))</f>
        <v/>
      </c>
      <c r="AY471" s="92" t="str">
        <f aca="false">IF(ISBLANK($C471),"",IF(X471=Constants!$B$3,TRUE(),IF(X471=Constants!$B$4,FALSE(),FALSE())))</f>
        <v/>
      </c>
      <c r="AZ471" s="92" t="str">
        <f aca="false">IF(ISBLANK($C471),"",MIN(Constants!$B$31,MAX(0,IF(ISNUMBER(Y471),Y471*60,0)+IF(ISNUMBER(Z471),Z471,0))))</f>
        <v/>
      </c>
      <c r="BA471" s="92" t="str">
        <f aca="false">IF(ISBLANK($C471),"",IF(AA471=Constants!$B$3,TRUE(),IF(AA471=Constants!$B$4,FALSE(),FALSE())))</f>
        <v/>
      </c>
      <c r="BB471" s="91" t="str">
        <f aca="false">IF(ISBLANK($C471),"",AND($AL471,OR($AM471="",$AN471="",AND($AO471,$AP471=""))))</f>
        <v/>
      </c>
      <c r="BC471" s="93" t="str">
        <f aca="false">IF($BR471&lt;&gt;Constants!$B$8,"",IF($AL471,Constants!$B$21*$AN471+Constants!$B$22*IF($AO471,$AP471,Constants!$B$23),Constants!$B$24))</f>
        <v/>
      </c>
      <c r="BD471" s="96" t="str">
        <f aca="false">IF($BR471&lt;&gt;Constants!$B$8,"",Constants!$B$25*ABS($AD$9-IF($AL471,$AM471,0)))</f>
        <v/>
      </c>
      <c r="BE471" s="96" t="str">
        <f aca="false">IF($BR471&lt;&gt;Constants!$B$8,"",IF(AND($AL471,$AQ471,$AO471),Constants!$B$27,0))</f>
        <v/>
      </c>
      <c r="BF471" s="96" t="str">
        <f aca="false">IF($BR471&lt;&gt;Constants!$B$8,"",IF($AL471,($AI471-Constants!$B$29)*Constants!$B$28,0))</f>
        <v/>
      </c>
      <c r="BG471" s="96" t="str">
        <f aca="false">IF($BR471&lt;&gt;Constants!$B$8,"",IF($AK471,0,Constants!$B$15)+IF($AJ471,0,Constants!$B$16)+IF($AH471,0,Constants!$B$17))</f>
        <v/>
      </c>
      <c r="BH471" s="97" t="str">
        <f aca="false">IF($BR471&lt;&gt;Constants!$B$8,"",Constants!$B$20+SUM($BC471:$BG471))</f>
        <v/>
      </c>
      <c r="BI471" s="92" t="str">
        <f aca="false">IF($BR471&lt;&gt;Constants!$B$8,"",IF(OR($BP471&lt;$BH471,AND($BP471=$BH471,OR($BK471&lt;$BC471,AND($BK471=$BC471,OR($BL471&lt;$BD471,AND($BL471=$BD471,$AT471,$AL471,$AV471&lt;$AN471)))))),"-&gt;","&lt;-"))</f>
        <v/>
      </c>
      <c r="BJ471" s="91" t="str">
        <f aca="false">IF(ISBLANK($C471),"",AND($AT471,OR($AU471="",$AV471="",AND($AW471,$AX471=""))))</f>
        <v/>
      </c>
      <c r="BK471" s="93" t="str">
        <f aca="false">IF($BR471&lt;&gt;Constants!$B$8,"",IF($AT471,Constants!$B$21*$AV471+Constants!$B$22*IF($AW471,$AX471,Constants!$B$23),Constants!$B$24))</f>
        <v/>
      </c>
      <c r="BL471" s="96" t="str">
        <f aca="false">IF($BR471&lt;&gt;Constants!$B$8,"",Constants!$B$25*ABS($AD$9-IF($AT471,$AU471,0)))</f>
        <v/>
      </c>
      <c r="BM471" s="96" t="str">
        <f aca="false">IF($BR471&lt;&gt;Constants!$B$8,"",IF(AND($AT471,$AY471,$AW471),Constants!$B$27,0))</f>
        <v/>
      </c>
      <c r="BN471" s="96" t="str">
        <f aca="false">IF($BR471&lt;&gt;Constants!$B$8,"",IF($AT471,($AI471-Constants!$B$29)*Constants!$B$28,0))</f>
        <v/>
      </c>
      <c r="BO471" s="96" t="str">
        <f aca="false">IF($BR471&lt;&gt;Constants!$B$8,"",IF($AS471,0,Constants!$B$15)+IF($AR471,0,Constants!$B$16)+IF($AH471,0,Constants!$B$17))</f>
        <v/>
      </c>
      <c r="BP471" s="97" t="str">
        <f aca="false">IF($BR471&lt;&gt;Constants!$B$8,"",Constants!$B$20+SUM($BK471:$BO471))</f>
        <v/>
      </c>
      <c r="BQ471" s="92" t="str">
        <f aca="false">IF(ISBLANK($C471),"",IF(ISBLANK($D$7),$BQ$5,IF(NOT(ISNUMBER($D$7)),$BQ$6,"")))</f>
        <v/>
      </c>
      <c r="BR471" s="92" t="str">
        <f aca="false">IF(ISBLANK($C471),"",IF($BA471,Constants!$B$11,IF(COUNTA($E471:$AA471)=0,Constants!$B$10,IF(NOT($AG471),Constants!$B$9,IF(OR($BQ471&lt;&gt;"",$BB471,$BJ471),Constants!$B$12,Constants!$B$8)))))</f>
        <v/>
      </c>
      <c r="BS471" s="92" t="str">
        <f aca="false">IF(ISBLANK($C471),"",IF($BR471&lt;&gt;Constants!$B$8,$BR471,Constants!$B$13))</f>
        <v/>
      </c>
      <c r="BT471" s="96" t="str">
        <f aca="false">IF($BR471&lt;&gt;Constants!$B$8,"",IF($BI471="-&gt;",$BP471,$BH471))</f>
        <v/>
      </c>
      <c r="BU471" s="96" t="str">
        <f aca="false">IF($BR471&lt;&gt;Constants!$B$8,"",IF($AF471,0,Constants!$B$18))</f>
        <v/>
      </c>
      <c r="BV471" s="96" t="str">
        <f aca="false">IF($BR471&lt;&gt;Constants!$B$8,"",((Constants!$B$31-$AZ471)-Constants!$B$31)/Constants!$B$32)</f>
        <v/>
      </c>
      <c r="BW471" s="96" t="str">
        <f aca="false">IF(ISBLANK($C471),"",IF($BR471&lt;&gt;Constants!$B$8,$BR471,SUM($BT471:$BV471)))</f>
        <v/>
      </c>
      <c r="BX471" s="92" t="str">
        <f aca="false">IF(ISBLANK($C471),"",IF($BR471&lt;&gt;Constants!$B$8,$BR471,RANK($BW471,$BW$9:$BW$508,1)))</f>
        <v/>
      </c>
      <c r="BY471" s="96" t="str">
        <f aca="false">IF($BR471&lt;&gt;Constants!$B$8,"",IF($BI471="-&gt;",$BK471,$BC471))</f>
        <v/>
      </c>
      <c r="BZ471" s="92" t="str">
        <f aca="false">IF(ISBLANK($C471),"",IF($BR471&lt;&gt;Constants!$B$8,$BR471,IF(ISNUMBER($BY471),RANK($BY471,$BY$9:$BY$508,1),COUNT($BY$9:$BY$508)+1)))</f>
        <v/>
      </c>
      <c r="CA471" s="96" t="str">
        <f aca="false">IF($BR471&lt;&gt;Constants!$B$8,"",IF($BI471="-&gt;",$BL471,$BD471))</f>
        <v/>
      </c>
      <c r="CB471" s="92" t="str">
        <f aca="false">IF(ISBLANK($C471),"",IF($BR471&lt;&gt;Constants!$B$8,$BR471,IF(ISNUMBER($CA471),RANK($CA471,$CA$9:$CA$508,1),COUNT($CA$9:$CA$508)+1)))</f>
        <v/>
      </c>
      <c r="CC471" s="96" t="str">
        <f aca="false">IF($BR471&lt;&gt;Constants!$B$8,"",IF($BI471="-&gt;",IF($AT471,$AV471,""),IF($AL471,$AN471,"")))</f>
        <v/>
      </c>
      <c r="CD471" s="92" t="str">
        <f aca="false">IF(ISBLANK($C471),"",IF($BR471&lt;&gt;Constants!$B$8,$BR471,IF(ISNUMBER($CC471),RANK($CC471,$CC$9:$CC$508,1),COUNT($CC$9:$CC$508)+1)))</f>
        <v/>
      </c>
      <c r="CE471" s="96" t="str">
        <f aca="false">IF($BR471&lt;&gt;Constants!$B$8,"",IF(AND(NOT($AL471),NOT($AT471),$AJ471,$AK471,$AR471,$AS471),"",$AI471))</f>
        <v/>
      </c>
      <c r="CF471" s="92" t="str">
        <f aca="false">IF(ISBLANK($C471),"",IF($BR471&lt;&gt;Constants!$B$8,$BR471,IF(ISNUMBER($CE471),RANK($CE471,$CE$9:$CE$508,1),COUNT($CE$9:$CE$508)+1)))</f>
        <v/>
      </c>
      <c r="CG471" s="92" t="str">
        <f aca="false">IF(ISBLANK($C471),"",IF($BR471&lt;&gt;Constants!$B$8,$BR471,COUNTIFS($BX$9:$BX$508,"&lt;"&amp;$BX471)+COUNTIFS($BX$9:$BX$508,$BX471,$BZ$9:$BZ$508,"&lt;"&amp;$BZ471)+COUNTIFS($BX$9:$BX$508,$BX471,$BZ$9:$BZ$508,$BZ471,$CB$9:$CB$508,"&lt;"&amp;$CB471)+COUNTIFS($BX$9:$BX$508,$BX471,$BZ$9:$BZ$508,$BZ471,$CB$9:$CB$508,$CB471,$CD$9:$CD$508,"&lt;"&amp;$CD471)+COUNTIFS($BX$9:$BX$508,$BX471,$BZ$9:$BZ$508,$BZ471,$CB$9:$CB$508,$CB471,$CD$9:$CD$508,$CD471,$CF$9:$CF$508,"&lt;"&amp;$CF471)+1))</f>
        <v/>
      </c>
      <c r="CH471" s="92" t="str">
        <f aca="false">IF(ISBLANK($C471),"",IF($BR471&lt;&gt;Constants!$B$8,$BR471,$BX471-$CG471))</f>
        <v/>
      </c>
      <c r="CI471" s="98"/>
      <c r="CJ471" s="99"/>
      <c r="CK471" s="100" t="str">
        <f aca="false">IF(ISBLANK($C471),"",IF($BR471=Constants!$B$12,$BQ471,""))</f>
        <v/>
      </c>
      <c r="CL471" s="99" t="str">
        <f aca="false">IF(ISBLANK($C471),"",IF($BR471&lt;&gt;Constants!$B$8,"",IF($BI471="-&gt;",2,1)))</f>
        <v/>
      </c>
      <c r="CM471" s="101" t="str">
        <f aca="false">IF(ISBLANK($C471),"",IF($BR471&lt;&gt;Constants!$B$8,"",IF($BI471="-&gt;",$BK471,$BC471)))</f>
        <v/>
      </c>
      <c r="CN471" s="101" t="str">
        <f aca="false">IF(ISBLANK($C471),"",IF($BR471&lt;&gt;Constants!$B$8,"",IF($BI471="-&gt;",$BL471,$BD471)))</f>
        <v/>
      </c>
      <c r="CO471" s="101" t="str">
        <f aca="false">IF(ISBLANK($C471),"",IF($BR471&lt;&gt;Constants!$B$8,"",IF($BI471="-&gt;",$BM471+$BN471,$BE471+$BF471)+$BV471))</f>
        <v/>
      </c>
      <c r="CP471" s="101" t="str">
        <f aca="false">IF(ISBLANK($C471),"",IF($BR471&lt;&gt;Constants!$B$8,"",IF($BI471="-&gt;",$BO471,$BG471)+$BU471))</f>
        <v/>
      </c>
      <c r="CQ471" s="102" t="str">
        <f aca="false">IF(ISBLANK($C471),"",IF($BR471&lt;&gt;Constants!$B$8,$BR471,$BW471))</f>
        <v/>
      </c>
      <c r="CR471" s="103" t="str">
        <f aca="false">IF(ISBLANK($C471),"",$BS471)</f>
        <v/>
      </c>
      <c r="CS471" s="104" t="str">
        <f aca="false">IF(ISBLANK($C471),"",$CH471)</f>
        <v/>
      </c>
      <c r="CT471" s="104" t="str">
        <f aca="false">IF(ISBLANK($C471),"",$CG471)</f>
        <v/>
      </c>
      <c r="CU471" s="105" t="str">
        <f aca="false">IF(ISBLANK($C471),"",IFERROR(_xlfn.SWITCH($CT471,Constants!$B$11,COUNTA($C$9:$C$508)+2,Constants!$B$10,COUNTA($C$9:$C$508)+1,Constants!$B$9,COUNTA($C$9:$C$508)),$CT471))</f>
        <v/>
      </c>
      <c r="CV471" s="9"/>
      <c r="CW471" s="106" t="n">
        <f aca="false">IF(OR(ISNUMBER($CT471),$CT471=Constants!$B$11,$CT471=Constants!$B$9,$CT471=Constants!$B$10),1,0)</f>
        <v>0</v>
      </c>
      <c r="CX471" s="106" t="n">
        <v>463</v>
      </c>
      <c r="CY471" s="106" t="str">
        <f aca="false">IF(ISBLANK($C471),"",IF(ISNUMBER($CU471),$CU471+ROW($B471)/1000,""))</f>
        <v/>
      </c>
      <c r="CZ471" s="106" t="str">
        <f aca="false">IF(ISNUMBER($CY471),RANK($CY471,$CY$9:$CY$508,1),"")</f>
        <v/>
      </c>
      <c r="DA471" s="106" t="str">
        <f aca="false">IF(ISBLANK($C471),"",$B471)</f>
        <v/>
      </c>
      <c r="DB471" s="106" t="str">
        <f aca="false">IF(ISBLANK($C471),"",$C471)</f>
        <v/>
      </c>
      <c r="DC471" s="106" t="str">
        <f aca="false">IF(ISBLANK($C471),"",$D471)</f>
        <v/>
      </c>
      <c r="DD471" s="107" t="str">
        <f aca="false">$CR471</f>
        <v/>
      </c>
      <c r="DE471" s="108" t="str">
        <f aca="false">$CQ471</f>
        <v/>
      </c>
      <c r="DF471" s="106" t="str">
        <f aca="false">IF(ISBLANK($C471),"",$CT471)</f>
        <v/>
      </c>
      <c r="DG471" s="109" t="str">
        <f aca="false">IF($CX471&gt;$CW$8,"",VLOOKUP($CX471,$CZ$9:$DF$508,7,FALSE()))</f>
        <v/>
      </c>
      <c r="DH471" s="110" t="str">
        <f aca="false">IF($CX471&gt;$CW$8,"",VLOOKUP($CX471,$CZ$9:$DF$508,2,FALSE()))</f>
        <v/>
      </c>
      <c r="DI471" s="110" t="str">
        <f aca="false">IF($CX471&gt;$CW$8,"",VLOOKUP($CX471,$CZ$9:$DF$508,3,FALSE()))</f>
        <v/>
      </c>
      <c r="DJ471" s="110" t="str">
        <f aca="false">IF($CX471&gt;$CW$8,"",VLOOKUP($CX471,$CZ$9:$DF$508,4,FALSE()))</f>
        <v/>
      </c>
      <c r="DK471" s="110" t="str">
        <f aca="false">IF($CX471&gt;$CW$8,"",VLOOKUP($CX471,$CZ$9:$DF$508,5,FALSE()))</f>
        <v/>
      </c>
      <c r="DL471" s="111" t="str">
        <f aca="false">IF($CX471&gt;$CW$8,"",VLOOKUP($CX471,$CZ$9:$DF$508,6,FALSE()))</f>
        <v/>
      </c>
      <c r="DM471" s="75"/>
    </row>
    <row r="472" customFormat="false" ht="15.75" hidden="false" customHeight="false" outlineLevel="0" collapsed="false">
      <c r="A472" s="9"/>
      <c r="B472" s="77"/>
      <c r="C472" s="78"/>
      <c r="D472" s="167"/>
      <c r="E472" s="175"/>
      <c r="F472" s="169"/>
      <c r="G472" s="170"/>
      <c r="H472" s="170"/>
      <c r="I472" s="176"/>
      <c r="J472" s="173"/>
      <c r="K472" s="85"/>
      <c r="L472" s="86"/>
      <c r="M472" s="87"/>
      <c r="N472" s="173"/>
      <c r="O472" s="173"/>
      <c r="P472" s="175"/>
      <c r="Q472" s="173"/>
      <c r="R472" s="173"/>
      <c r="S472" s="85"/>
      <c r="T472" s="87"/>
      <c r="U472" s="87"/>
      <c r="V472" s="173"/>
      <c r="W472" s="173"/>
      <c r="X472" s="175"/>
      <c r="Y472" s="173"/>
      <c r="Z472" s="174"/>
      <c r="AA472" s="173"/>
      <c r="AB472" s="91"/>
      <c r="AC472" s="92"/>
      <c r="AD472" s="92"/>
      <c r="AE472" s="92"/>
      <c r="AF472" s="92" t="str">
        <f aca="false">IF(ISBLANK($C472),"",IF(E472=Constants!$B$3,TRUE(),IF(E472=Constants!$B$4,FALSE(),TRUE())))</f>
        <v/>
      </c>
      <c r="AG472" s="92" t="str">
        <f aca="false">IF(ISBLANK($C472),"",IF(F472=Constants!$B$3,TRUE(),IF(F472=Constants!$B$4,FALSE(),TRUE())))</f>
        <v/>
      </c>
      <c r="AH472" s="92" t="str">
        <f aca="false">IF(ISBLANK($C472),"",IF(G472=Constants!$B$3,TRUE(),IF(G472=Constants!$B$4,FALSE(),TRUE())))</f>
        <v/>
      </c>
      <c r="AI472" s="92" t="str">
        <f aca="false">IF(ISBLANK($C472),"",IF(AND(ISNUMBER(H472),H472&gt;=0),H472,Constants!$B$29))</f>
        <v/>
      </c>
      <c r="AJ472" s="92" t="str">
        <f aca="false">IF(ISBLANK($C472),"",IF(I472=Constants!$B$3,TRUE(),IF(I472=Constants!$B$4,FALSE(),TRUE())))</f>
        <v/>
      </c>
      <c r="AK472" s="92" t="str">
        <f aca="false">IF(ISBLANK($C472),"",IF(J472=Constants!$B$3,TRUE(),IF(J472=Constants!$B$4,FALSE(),TRUE())))</f>
        <v/>
      </c>
      <c r="AL472" s="92" t="str">
        <f aca="false">IF(ISBLANK($C472),"",IF(K472=Constants!$B$5,TRUE(),IF(K472=Constants!$B$6,FALSE(),COUNTA(L472:P472)&gt;0)))</f>
        <v/>
      </c>
      <c r="AM472" s="94" t="str">
        <f aca="false">IF(ISBLANK($C472),"",IF(ISNUMBER(L472),IF(L472&gt;=0,L472,""),""))</f>
        <v/>
      </c>
      <c r="AN472" s="93" t="str">
        <f aca="false">IF(ISBLANK($C472),"",IF(ISNUMBER(M472),IF(M472&gt;=0,M472,""),""))</f>
        <v/>
      </c>
      <c r="AO472" s="93" t="str">
        <f aca="false">IF(ISBLANK($C472),"",IF(N472=Constants!$B$3,TRUE(),IF(N472=Constants!$B$4,FALSE(),TRUE())))</f>
        <v/>
      </c>
      <c r="AP472" s="92" t="str">
        <f aca="false">IF(ISBLANK($C472),"",IF(ISNUMBER(O472),IF(O472&gt;=0,O472,""),""))</f>
        <v/>
      </c>
      <c r="AQ472" s="92" t="str">
        <f aca="false">IF(ISBLANK($C472),"",IF(P472=Constants!$B$3,TRUE(),IF(P472=Constants!$B$4,FALSE(),FALSE())))</f>
        <v/>
      </c>
      <c r="AR472" s="92" t="str">
        <f aca="false">IF(ISBLANK($C472),"",IF(Q472=Constants!$B$3,TRUE(),IF(Q472=Constants!$B$4,FALSE(),TRUE())))</f>
        <v/>
      </c>
      <c r="AS472" s="92" t="str">
        <f aca="false">IF(ISBLANK($C472),"",IF(R472=Constants!$B$3,TRUE(),IF(R472=Constants!$B$4,FALSE(),TRUE())))</f>
        <v/>
      </c>
      <c r="AT472" s="92" t="str">
        <f aca="false">IF(ISBLANK($C472),"",IF(S472=Constants!$B$5,TRUE(),IF(S472=Constants!$B$6,FALSE(),COUNTA(T472:X472)&gt;0)))</f>
        <v/>
      </c>
      <c r="AU472" s="94" t="str">
        <f aca="false">IF(ISBLANK($C472),"",IF(ISNUMBER(T472),IF(T472&gt;=0,T472,""),""))</f>
        <v/>
      </c>
      <c r="AV472" s="93" t="str">
        <f aca="false">IF(ISBLANK($C472),"",IF(ISNUMBER(U472),IF(U472&gt;=0,U472,""),""))</f>
        <v/>
      </c>
      <c r="AW472" s="93" t="str">
        <f aca="false">IF(ISBLANK($C472),"",IF(V472=Constants!$B$3,TRUE(),IF(V472=Constants!$B$4,FALSE(),TRUE())))</f>
        <v/>
      </c>
      <c r="AX472" s="92" t="str">
        <f aca="false">IF(ISBLANK($C472),"",IF(ISNUMBER(W472),IF(W472&gt;=0,W472,""),""))</f>
        <v/>
      </c>
      <c r="AY472" s="92" t="str">
        <f aca="false">IF(ISBLANK($C472),"",IF(X472=Constants!$B$3,TRUE(),IF(X472=Constants!$B$4,FALSE(),FALSE())))</f>
        <v/>
      </c>
      <c r="AZ472" s="92" t="str">
        <f aca="false">IF(ISBLANK($C472),"",MIN(Constants!$B$31,MAX(0,IF(ISNUMBER(Y472),Y472*60,0)+IF(ISNUMBER(Z472),Z472,0))))</f>
        <v/>
      </c>
      <c r="BA472" s="92" t="str">
        <f aca="false">IF(ISBLANK($C472),"",IF(AA472=Constants!$B$3,TRUE(),IF(AA472=Constants!$B$4,FALSE(),FALSE())))</f>
        <v/>
      </c>
      <c r="BB472" s="91" t="str">
        <f aca="false">IF(ISBLANK($C472),"",AND($AL472,OR($AM472="",$AN472="",AND($AO472,$AP472=""))))</f>
        <v/>
      </c>
      <c r="BC472" s="93" t="str">
        <f aca="false">IF($BR472&lt;&gt;Constants!$B$8,"",IF($AL472,Constants!$B$21*$AN472+Constants!$B$22*IF($AO472,$AP472,Constants!$B$23),Constants!$B$24))</f>
        <v/>
      </c>
      <c r="BD472" s="96" t="str">
        <f aca="false">IF($BR472&lt;&gt;Constants!$B$8,"",Constants!$B$25*ABS($AD$9-IF($AL472,$AM472,0)))</f>
        <v/>
      </c>
      <c r="BE472" s="96" t="str">
        <f aca="false">IF($BR472&lt;&gt;Constants!$B$8,"",IF(AND($AL472,$AQ472,$AO472),Constants!$B$27,0))</f>
        <v/>
      </c>
      <c r="BF472" s="96" t="str">
        <f aca="false">IF($BR472&lt;&gt;Constants!$B$8,"",IF($AL472,($AI472-Constants!$B$29)*Constants!$B$28,0))</f>
        <v/>
      </c>
      <c r="BG472" s="96" t="str">
        <f aca="false">IF($BR472&lt;&gt;Constants!$B$8,"",IF($AK472,0,Constants!$B$15)+IF($AJ472,0,Constants!$B$16)+IF($AH472,0,Constants!$B$17))</f>
        <v/>
      </c>
      <c r="BH472" s="97" t="str">
        <f aca="false">IF($BR472&lt;&gt;Constants!$B$8,"",Constants!$B$20+SUM($BC472:$BG472))</f>
        <v/>
      </c>
      <c r="BI472" s="92" t="str">
        <f aca="false">IF($BR472&lt;&gt;Constants!$B$8,"",IF(OR($BP472&lt;$BH472,AND($BP472=$BH472,OR($BK472&lt;$BC472,AND($BK472=$BC472,OR($BL472&lt;$BD472,AND($BL472=$BD472,$AT472,$AL472,$AV472&lt;$AN472)))))),"-&gt;","&lt;-"))</f>
        <v/>
      </c>
      <c r="BJ472" s="91" t="str">
        <f aca="false">IF(ISBLANK($C472),"",AND($AT472,OR($AU472="",$AV472="",AND($AW472,$AX472=""))))</f>
        <v/>
      </c>
      <c r="BK472" s="93" t="str">
        <f aca="false">IF($BR472&lt;&gt;Constants!$B$8,"",IF($AT472,Constants!$B$21*$AV472+Constants!$B$22*IF($AW472,$AX472,Constants!$B$23),Constants!$B$24))</f>
        <v/>
      </c>
      <c r="BL472" s="96" t="str">
        <f aca="false">IF($BR472&lt;&gt;Constants!$B$8,"",Constants!$B$25*ABS($AD$9-IF($AT472,$AU472,0)))</f>
        <v/>
      </c>
      <c r="BM472" s="96" t="str">
        <f aca="false">IF($BR472&lt;&gt;Constants!$B$8,"",IF(AND($AT472,$AY472,$AW472),Constants!$B$27,0))</f>
        <v/>
      </c>
      <c r="BN472" s="96" t="str">
        <f aca="false">IF($BR472&lt;&gt;Constants!$B$8,"",IF($AT472,($AI472-Constants!$B$29)*Constants!$B$28,0))</f>
        <v/>
      </c>
      <c r="BO472" s="96" t="str">
        <f aca="false">IF($BR472&lt;&gt;Constants!$B$8,"",IF($AS472,0,Constants!$B$15)+IF($AR472,0,Constants!$B$16)+IF($AH472,0,Constants!$B$17))</f>
        <v/>
      </c>
      <c r="BP472" s="97" t="str">
        <f aca="false">IF($BR472&lt;&gt;Constants!$B$8,"",Constants!$B$20+SUM($BK472:$BO472))</f>
        <v/>
      </c>
      <c r="BQ472" s="92" t="str">
        <f aca="false">IF(ISBLANK($C472),"",IF(ISBLANK($D$7),$BQ$5,IF(NOT(ISNUMBER($D$7)),$BQ$6,"")))</f>
        <v/>
      </c>
      <c r="BR472" s="92" t="str">
        <f aca="false">IF(ISBLANK($C472),"",IF($BA472,Constants!$B$11,IF(COUNTA($E472:$AA472)=0,Constants!$B$10,IF(NOT($AG472),Constants!$B$9,IF(OR($BQ472&lt;&gt;"",$BB472,$BJ472),Constants!$B$12,Constants!$B$8)))))</f>
        <v/>
      </c>
      <c r="BS472" s="92" t="str">
        <f aca="false">IF(ISBLANK($C472),"",IF($BR472&lt;&gt;Constants!$B$8,$BR472,Constants!$B$13))</f>
        <v/>
      </c>
      <c r="BT472" s="96" t="str">
        <f aca="false">IF($BR472&lt;&gt;Constants!$B$8,"",IF($BI472="-&gt;",$BP472,$BH472))</f>
        <v/>
      </c>
      <c r="BU472" s="96" t="str">
        <f aca="false">IF($BR472&lt;&gt;Constants!$B$8,"",IF($AF472,0,Constants!$B$18))</f>
        <v/>
      </c>
      <c r="BV472" s="96" t="str">
        <f aca="false">IF($BR472&lt;&gt;Constants!$B$8,"",((Constants!$B$31-$AZ472)-Constants!$B$31)/Constants!$B$32)</f>
        <v/>
      </c>
      <c r="BW472" s="96" t="str">
        <f aca="false">IF(ISBLANK($C472),"",IF($BR472&lt;&gt;Constants!$B$8,$BR472,SUM($BT472:$BV472)))</f>
        <v/>
      </c>
      <c r="BX472" s="92" t="str">
        <f aca="false">IF(ISBLANK($C472),"",IF($BR472&lt;&gt;Constants!$B$8,$BR472,RANK($BW472,$BW$9:$BW$508,1)))</f>
        <v/>
      </c>
      <c r="BY472" s="96" t="str">
        <f aca="false">IF($BR472&lt;&gt;Constants!$B$8,"",IF($BI472="-&gt;",$BK472,$BC472))</f>
        <v/>
      </c>
      <c r="BZ472" s="92" t="str">
        <f aca="false">IF(ISBLANK($C472),"",IF($BR472&lt;&gt;Constants!$B$8,$BR472,IF(ISNUMBER($BY472),RANK($BY472,$BY$9:$BY$508,1),COUNT($BY$9:$BY$508)+1)))</f>
        <v/>
      </c>
      <c r="CA472" s="96" t="str">
        <f aca="false">IF($BR472&lt;&gt;Constants!$B$8,"",IF($BI472="-&gt;",$BL472,$BD472))</f>
        <v/>
      </c>
      <c r="CB472" s="92" t="str">
        <f aca="false">IF(ISBLANK($C472),"",IF($BR472&lt;&gt;Constants!$B$8,$BR472,IF(ISNUMBER($CA472),RANK($CA472,$CA$9:$CA$508,1),COUNT($CA$9:$CA$508)+1)))</f>
        <v/>
      </c>
      <c r="CC472" s="96" t="str">
        <f aca="false">IF($BR472&lt;&gt;Constants!$B$8,"",IF($BI472="-&gt;",IF($AT472,$AV472,""),IF($AL472,$AN472,"")))</f>
        <v/>
      </c>
      <c r="CD472" s="92" t="str">
        <f aca="false">IF(ISBLANK($C472),"",IF($BR472&lt;&gt;Constants!$B$8,$BR472,IF(ISNUMBER($CC472),RANK($CC472,$CC$9:$CC$508,1),COUNT($CC$9:$CC$508)+1)))</f>
        <v/>
      </c>
      <c r="CE472" s="96" t="str">
        <f aca="false">IF($BR472&lt;&gt;Constants!$B$8,"",IF(AND(NOT($AL472),NOT($AT472),$AJ472,$AK472,$AR472,$AS472),"",$AI472))</f>
        <v/>
      </c>
      <c r="CF472" s="92" t="str">
        <f aca="false">IF(ISBLANK($C472),"",IF($BR472&lt;&gt;Constants!$B$8,$BR472,IF(ISNUMBER($CE472),RANK($CE472,$CE$9:$CE$508,1),COUNT($CE$9:$CE$508)+1)))</f>
        <v/>
      </c>
      <c r="CG472" s="92" t="str">
        <f aca="false">IF(ISBLANK($C472),"",IF($BR472&lt;&gt;Constants!$B$8,$BR472,COUNTIFS($BX$9:$BX$508,"&lt;"&amp;$BX472)+COUNTIFS($BX$9:$BX$508,$BX472,$BZ$9:$BZ$508,"&lt;"&amp;$BZ472)+COUNTIFS($BX$9:$BX$508,$BX472,$BZ$9:$BZ$508,$BZ472,$CB$9:$CB$508,"&lt;"&amp;$CB472)+COUNTIFS($BX$9:$BX$508,$BX472,$BZ$9:$BZ$508,$BZ472,$CB$9:$CB$508,$CB472,$CD$9:$CD$508,"&lt;"&amp;$CD472)+COUNTIFS($BX$9:$BX$508,$BX472,$BZ$9:$BZ$508,$BZ472,$CB$9:$CB$508,$CB472,$CD$9:$CD$508,$CD472,$CF$9:$CF$508,"&lt;"&amp;$CF472)+1))</f>
        <v/>
      </c>
      <c r="CH472" s="92" t="str">
        <f aca="false">IF(ISBLANK($C472),"",IF($BR472&lt;&gt;Constants!$B$8,$BR472,$BX472-$CG472))</f>
        <v/>
      </c>
      <c r="CI472" s="98"/>
      <c r="CJ472" s="99"/>
      <c r="CK472" s="100" t="str">
        <f aca="false">IF(ISBLANK($C472),"",IF($BR472=Constants!$B$12,$BQ472,""))</f>
        <v/>
      </c>
      <c r="CL472" s="99" t="str">
        <f aca="false">IF(ISBLANK($C472),"",IF($BR472&lt;&gt;Constants!$B$8,"",IF($BI472="-&gt;",2,1)))</f>
        <v/>
      </c>
      <c r="CM472" s="101" t="str">
        <f aca="false">IF(ISBLANK($C472),"",IF($BR472&lt;&gt;Constants!$B$8,"",IF($BI472="-&gt;",$BK472,$BC472)))</f>
        <v/>
      </c>
      <c r="CN472" s="101" t="str">
        <f aca="false">IF(ISBLANK($C472),"",IF($BR472&lt;&gt;Constants!$B$8,"",IF($BI472="-&gt;",$BL472,$BD472)))</f>
        <v/>
      </c>
      <c r="CO472" s="101" t="str">
        <f aca="false">IF(ISBLANK($C472),"",IF($BR472&lt;&gt;Constants!$B$8,"",IF($BI472="-&gt;",$BM472+$BN472,$BE472+$BF472)+$BV472))</f>
        <v/>
      </c>
      <c r="CP472" s="101" t="str">
        <f aca="false">IF(ISBLANK($C472),"",IF($BR472&lt;&gt;Constants!$B$8,"",IF($BI472="-&gt;",$BO472,$BG472)+$BU472))</f>
        <v/>
      </c>
      <c r="CQ472" s="102" t="str">
        <f aca="false">IF(ISBLANK($C472),"",IF($BR472&lt;&gt;Constants!$B$8,$BR472,$BW472))</f>
        <v/>
      </c>
      <c r="CR472" s="103" t="str">
        <f aca="false">IF(ISBLANK($C472),"",$BS472)</f>
        <v/>
      </c>
      <c r="CS472" s="104" t="str">
        <f aca="false">IF(ISBLANK($C472),"",$CH472)</f>
        <v/>
      </c>
      <c r="CT472" s="104" t="str">
        <f aca="false">IF(ISBLANK($C472),"",$CG472)</f>
        <v/>
      </c>
      <c r="CU472" s="105" t="str">
        <f aca="false">IF(ISBLANK($C472),"",IFERROR(_xlfn.SWITCH($CT472,Constants!$B$11,COUNTA($C$9:$C$508)+2,Constants!$B$10,COUNTA($C$9:$C$508)+1,Constants!$B$9,COUNTA($C$9:$C$508)),$CT472))</f>
        <v/>
      </c>
      <c r="CV472" s="9"/>
      <c r="CW472" s="106" t="n">
        <f aca="false">IF(OR(ISNUMBER($CT472),$CT472=Constants!$B$11,$CT472=Constants!$B$9,$CT472=Constants!$B$10),1,0)</f>
        <v>0</v>
      </c>
      <c r="CX472" s="106" t="n">
        <v>464</v>
      </c>
      <c r="CY472" s="106" t="str">
        <f aca="false">IF(ISBLANK($C472),"",IF(ISNUMBER($CU472),$CU472+ROW($B472)/1000,""))</f>
        <v/>
      </c>
      <c r="CZ472" s="106" t="str">
        <f aca="false">IF(ISNUMBER($CY472),RANK($CY472,$CY$9:$CY$508,1),"")</f>
        <v/>
      </c>
      <c r="DA472" s="106" t="str">
        <f aca="false">IF(ISBLANK($C472),"",$B472)</f>
        <v/>
      </c>
      <c r="DB472" s="106" t="str">
        <f aca="false">IF(ISBLANK($C472),"",$C472)</f>
        <v/>
      </c>
      <c r="DC472" s="106" t="str">
        <f aca="false">IF(ISBLANK($C472),"",$D472)</f>
        <v/>
      </c>
      <c r="DD472" s="107" t="str">
        <f aca="false">$CR472</f>
        <v/>
      </c>
      <c r="DE472" s="108" t="str">
        <f aca="false">$CQ472</f>
        <v/>
      </c>
      <c r="DF472" s="106" t="str">
        <f aca="false">IF(ISBLANK($C472),"",$CT472)</f>
        <v/>
      </c>
      <c r="DG472" s="109" t="str">
        <f aca="false">IF($CX472&gt;$CW$8,"",VLOOKUP($CX472,$CZ$9:$DF$508,7,FALSE()))</f>
        <v/>
      </c>
      <c r="DH472" s="110" t="str">
        <f aca="false">IF($CX472&gt;$CW$8,"",VLOOKUP($CX472,$CZ$9:$DF$508,2,FALSE()))</f>
        <v/>
      </c>
      <c r="DI472" s="110" t="str">
        <f aca="false">IF($CX472&gt;$CW$8,"",VLOOKUP($CX472,$CZ$9:$DF$508,3,FALSE()))</f>
        <v/>
      </c>
      <c r="DJ472" s="110" t="str">
        <f aca="false">IF($CX472&gt;$CW$8,"",VLOOKUP($CX472,$CZ$9:$DF$508,4,FALSE()))</f>
        <v/>
      </c>
      <c r="DK472" s="110" t="str">
        <f aca="false">IF($CX472&gt;$CW$8,"",VLOOKUP($CX472,$CZ$9:$DF$508,5,FALSE()))</f>
        <v/>
      </c>
      <c r="DL472" s="111" t="str">
        <f aca="false">IF($CX472&gt;$CW$8,"",VLOOKUP($CX472,$CZ$9:$DF$508,6,FALSE()))</f>
        <v/>
      </c>
      <c r="DM472" s="75"/>
    </row>
    <row r="473" customFormat="false" ht="15.75" hidden="false" customHeight="false" outlineLevel="0" collapsed="false">
      <c r="A473" s="9"/>
      <c r="B473" s="77"/>
      <c r="C473" s="78"/>
      <c r="D473" s="167"/>
      <c r="E473" s="175"/>
      <c r="F473" s="169"/>
      <c r="G473" s="170"/>
      <c r="H473" s="170"/>
      <c r="I473" s="176"/>
      <c r="J473" s="173"/>
      <c r="K473" s="85"/>
      <c r="L473" s="86"/>
      <c r="M473" s="87"/>
      <c r="N473" s="173"/>
      <c r="O473" s="173"/>
      <c r="P473" s="175"/>
      <c r="Q473" s="173"/>
      <c r="R473" s="173"/>
      <c r="S473" s="85"/>
      <c r="T473" s="87"/>
      <c r="U473" s="87"/>
      <c r="V473" s="173"/>
      <c r="W473" s="173"/>
      <c r="X473" s="175"/>
      <c r="Y473" s="173"/>
      <c r="Z473" s="174"/>
      <c r="AA473" s="173"/>
      <c r="AB473" s="91"/>
      <c r="AC473" s="92"/>
      <c r="AD473" s="92"/>
      <c r="AE473" s="92"/>
      <c r="AF473" s="92" t="str">
        <f aca="false">IF(ISBLANK($C473),"",IF(E473=Constants!$B$3,TRUE(),IF(E473=Constants!$B$4,FALSE(),TRUE())))</f>
        <v/>
      </c>
      <c r="AG473" s="92" t="str">
        <f aca="false">IF(ISBLANK($C473),"",IF(F473=Constants!$B$3,TRUE(),IF(F473=Constants!$B$4,FALSE(),TRUE())))</f>
        <v/>
      </c>
      <c r="AH473" s="92" t="str">
        <f aca="false">IF(ISBLANK($C473),"",IF(G473=Constants!$B$3,TRUE(),IF(G473=Constants!$B$4,FALSE(),TRUE())))</f>
        <v/>
      </c>
      <c r="AI473" s="92" t="str">
        <f aca="false">IF(ISBLANK($C473),"",IF(AND(ISNUMBER(H473),H473&gt;=0),H473,Constants!$B$29))</f>
        <v/>
      </c>
      <c r="AJ473" s="92" t="str">
        <f aca="false">IF(ISBLANK($C473),"",IF(I473=Constants!$B$3,TRUE(),IF(I473=Constants!$B$4,FALSE(),TRUE())))</f>
        <v/>
      </c>
      <c r="AK473" s="92" t="str">
        <f aca="false">IF(ISBLANK($C473),"",IF(J473=Constants!$B$3,TRUE(),IF(J473=Constants!$B$4,FALSE(),TRUE())))</f>
        <v/>
      </c>
      <c r="AL473" s="92" t="str">
        <f aca="false">IF(ISBLANK($C473),"",IF(K473=Constants!$B$5,TRUE(),IF(K473=Constants!$B$6,FALSE(),COUNTA(L473:P473)&gt;0)))</f>
        <v/>
      </c>
      <c r="AM473" s="94" t="str">
        <f aca="false">IF(ISBLANK($C473),"",IF(ISNUMBER(L473),IF(L473&gt;=0,L473,""),""))</f>
        <v/>
      </c>
      <c r="AN473" s="93" t="str">
        <f aca="false">IF(ISBLANK($C473),"",IF(ISNUMBER(M473),IF(M473&gt;=0,M473,""),""))</f>
        <v/>
      </c>
      <c r="AO473" s="93" t="str">
        <f aca="false">IF(ISBLANK($C473),"",IF(N473=Constants!$B$3,TRUE(),IF(N473=Constants!$B$4,FALSE(),TRUE())))</f>
        <v/>
      </c>
      <c r="AP473" s="92" t="str">
        <f aca="false">IF(ISBLANK($C473),"",IF(ISNUMBER(O473),IF(O473&gt;=0,O473,""),""))</f>
        <v/>
      </c>
      <c r="AQ473" s="92" t="str">
        <f aca="false">IF(ISBLANK($C473),"",IF(P473=Constants!$B$3,TRUE(),IF(P473=Constants!$B$4,FALSE(),FALSE())))</f>
        <v/>
      </c>
      <c r="AR473" s="92" t="str">
        <f aca="false">IF(ISBLANK($C473),"",IF(Q473=Constants!$B$3,TRUE(),IF(Q473=Constants!$B$4,FALSE(),TRUE())))</f>
        <v/>
      </c>
      <c r="AS473" s="92" t="str">
        <f aca="false">IF(ISBLANK($C473),"",IF(R473=Constants!$B$3,TRUE(),IF(R473=Constants!$B$4,FALSE(),TRUE())))</f>
        <v/>
      </c>
      <c r="AT473" s="92" t="str">
        <f aca="false">IF(ISBLANK($C473),"",IF(S473=Constants!$B$5,TRUE(),IF(S473=Constants!$B$6,FALSE(),COUNTA(T473:X473)&gt;0)))</f>
        <v/>
      </c>
      <c r="AU473" s="94" t="str">
        <f aca="false">IF(ISBLANK($C473),"",IF(ISNUMBER(T473),IF(T473&gt;=0,T473,""),""))</f>
        <v/>
      </c>
      <c r="AV473" s="93" t="str">
        <f aca="false">IF(ISBLANK($C473),"",IF(ISNUMBER(U473),IF(U473&gt;=0,U473,""),""))</f>
        <v/>
      </c>
      <c r="AW473" s="93" t="str">
        <f aca="false">IF(ISBLANK($C473),"",IF(V473=Constants!$B$3,TRUE(),IF(V473=Constants!$B$4,FALSE(),TRUE())))</f>
        <v/>
      </c>
      <c r="AX473" s="92" t="str">
        <f aca="false">IF(ISBLANK($C473),"",IF(ISNUMBER(W473),IF(W473&gt;=0,W473,""),""))</f>
        <v/>
      </c>
      <c r="AY473" s="92" t="str">
        <f aca="false">IF(ISBLANK($C473),"",IF(X473=Constants!$B$3,TRUE(),IF(X473=Constants!$B$4,FALSE(),FALSE())))</f>
        <v/>
      </c>
      <c r="AZ473" s="92" t="str">
        <f aca="false">IF(ISBLANK($C473),"",MIN(Constants!$B$31,MAX(0,IF(ISNUMBER(Y473),Y473*60,0)+IF(ISNUMBER(Z473),Z473,0))))</f>
        <v/>
      </c>
      <c r="BA473" s="92" t="str">
        <f aca="false">IF(ISBLANK($C473),"",IF(AA473=Constants!$B$3,TRUE(),IF(AA473=Constants!$B$4,FALSE(),FALSE())))</f>
        <v/>
      </c>
      <c r="BB473" s="91" t="str">
        <f aca="false">IF(ISBLANK($C473),"",AND($AL473,OR($AM473="",$AN473="",AND($AO473,$AP473=""))))</f>
        <v/>
      </c>
      <c r="BC473" s="93" t="str">
        <f aca="false">IF($BR473&lt;&gt;Constants!$B$8,"",IF($AL473,Constants!$B$21*$AN473+Constants!$B$22*IF($AO473,$AP473,Constants!$B$23),Constants!$B$24))</f>
        <v/>
      </c>
      <c r="BD473" s="96" t="str">
        <f aca="false">IF($BR473&lt;&gt;Constants!$B$8,"",Constants!$B$25*ABS($AD$9-IF($AL473,$AM473,0)))</f>
        <v/>
      </c>
      <c r="BE473" s="96" t="str">
        <f aca="false">IF($BR473&lt;&gt;Constants!$B$8,"",IF(AND($AL473,$AQ473,$AO473),Constants!$B$27,0))</f>
        <v/>
      </c>
      <c r="BF473" s="96" t="str">
        <f aca="false">IF($BR473&lt;&gt;Constants!$B$8,"",IF($AL473,($AI473-Constants!$B$29)*Constants!$B$28,0))</f>
        <v/>
      </c>
      <c r="BG473" s="96" t="str">
        <f aca="false">IF($BR473&lt;&gt;Constants!$B$8,"",IF($AK473,0,Constants!$B$15)+IF($AJ473,0,Constants!$B$16)+IF($AH473,0,Constants!$B$17))</f>
        <v/>
      </c>
      <c r="BH473" s="97" t="str">
        <f aca="false">IF($BR473&lt;&gt;Constants!$B$8,"",Constants!$B$20+SUM($BC473:$BG473))</f>
        <v/>
      </c>
      <c r="BI473" s="92" t="str">
        <f aca="false">IF($BR473&lt;&gt;Constants!$B$8,"",IF(OR($BP473&lt;$BH473,AND($BP473=$BH473,OR($BK473&lt;$BC473,AND($BK473=$BC473,OR($BL473&lt;$BD473,AND($BL473=$BD473,$AT473,$AL473,$AV473&lt;$AN473)))))),"-&gt;","&lt;-"))</f>
        <v/>
      </c>
      <c r="BJ473" s="91" t="str">
        <f aca="false">IF(ISBLANK($C473),"",AND($AT473,OR($AU473="",$AV473="",AND($AW473,$AX473=""))))</f>
        <v/>
      </c>
      <c r="BK473" s="93" t="str">
        <f aca="false">IF($BR473&lt;&gt;Constants!$B$8,"",IF($AT473,Constants!$B$21*$AV473+Constants!$B$22*IF($AW473,$AX473,Constants!$B$23),Constants!$B$24))</f>
        <v/>
      </c>
      <c r="BL473" s="96" t="str">
        <f aca="false">IF($BR473&lt;&gt;Constants!$B$8,"",Constants!$B$25*ABS($AD$9-IF($AT473,$AU473,0)))</f>
        <v/>
      </c>
      <c r="BM473" s="96" t="str">
        <f aca="false">IF($BR473&lt;&gt;Constants!$B$8,"",IF(AND($AT473,$AY473,$AW473),Constants!$B$27,0))</f>
        <v/>
      </c>
      <c r="BN473" s="96" t="str">
        <f aca="false">IF($BR473&lt;&gt;Constants!$B$8,"",IF($AT473,($AI473-Constants!$B$29)*Constants!$B$28,0))</f>
        <v/>
      </c>
      <c r="BO473" s="96" t="str">
        <f aca="false">IF($BR473&lt;&gt;Constants!$B$8,"",IF($AS473,0,Constants!$B$15)+IF($AR473,0,Constants!$B$16)+IF($AH473,0,Constants!$B$17))</f>
        <v/>
      </c>
      <c r="BP473" s="97" t="str">
        <f aca="false">IF($BR473&lt;&gt;Constants!$B$8,"",Constants!$B$20+SUM($BK473:$BO473))</f>
        <v/>
      </c>
      <c r="BQ473" s="92" t="str">
        <f aca="false">IF(ISBLANK($C473),"",IF(ISBLANK($D$7),$BQ$5,IF(NOT(ISNUMBER($D$7)),$BQ$6,"")))</f>
        <v/>
      </c>
      <c r="BR473" s="92" t="str">
        <f aca="false">IF(ISBLANK($C473),"",IF($BA473,Constants!$B$11,IF(COUNTA($E473:$AA473)=0,Constants!$B$10,IF(NOT($AG473),Constants!$B$9,IF(OR($BQ473&lt;&gt;"",$BB473,$BJ473),Constants!$B$12,Constants!$B$8)))))</f>
        <v/>
      </c>
      <c r="BS473" s="92" t="str">
        <f aca="false">IF(ISBLANK($C473),"",IF($BR473&lt;&gt;Constants!$B$8,$BR473,Constants!$B$13))</f>
        <v/>
      </c>
      <c r="BT473" s="96" t="str">
        <f aca="false">IF($BR473&lt;&gt;Constants!$B$8,"",IF($BI473="-&gt;",$BP473,$BH473))</f>
        <v/>
      </c>
      <c r="BU473" s="96" t="str">
        <f aca="false">IF($BR473&lt;&gt;Constants!$B$8,"",IF($AF473,0,Constants!$B$18))</f>
        <v/>
      </c>
      <c r="BV473" s="96" t="str">
        <f aca="false">IF($BR473&lt;&gt;Constants!$B$8,"",((Constants!$B$31-$AZ473)-Constants!$B$31)/Constants!$B$32)</f>
        <v/>
      </c>
      <c r="BW473" s="96" t="str">
        <f aca="false">IF(ISBLANK($C473),"",IF($BR473&lt;&gt;Constants!$B$8,$BR473,SUM($BT473:$BV473)))</f>
        <v/>
      </c>
      <c r="BX473" s="92" t="str">
        <f aca="false">IF(ISBLANK($C473),"",IF($BR473&lt;&gt;Constants!$B$8,$BR473,RANK($BW473,$BW$9:$BW$508,1)))</f>
        <v/>
      </c>
      <c r="BY473" s="96" t="str">
        <f aca="false">IF($BR473&lt;&gt;Constants!$B$8,"",IF($BI473="-&gt;",$BK473,$BC473))</f>
        <v/>
      </c>
      <c r="BZ473" s="92" t="str">
        <f aca="false">IF(ISBLANK($C473),"",IF($BR473&lt;&gt;Constants!$B$8,$BR473,IF(ISNUMBER($BY473),RANK($BY473,$BY$9:$BY$508,1),COUNT($BY$9:$BY$508)+1)))</f>
        <v/>
      </c>
      <c r="CA473" s="96" t="str">
        <f aca="false">IF($BR473&lt;&gt;Constants!$B$8,"",IF($BI473="-&gt;",$BL473,$BD473))</f>
        <v/>
      </c>
      <c r="CB473" s="92" t="str">
        <f aca="false">IF(ISBLANK($C473),"",IF($BR473&lt;&gt;Constants!$B$8,$BR473,IF(ISNUMBER($CA473),RANK($CA473,$CA$9:$CA$508,1),COUNT($CA$9:$CA$508)+1)))</f>
        <v/>
      </c>
      <c r="CC473" s="96" t="str">
        <f aca="false">IF($BR473&lt;&gt;Constants!$B$8,"",IF($BI473="-&gt;",IF($AT473,$AV473,""),IF($AL473,$AN473,"")))</f>
        <v/>
      </c>
      <c r="CD473" s="92" t="str">
        <f aca="false">IF(ISBLANK($C473),"",IF($BR473&lt;&gt;Constants!$B$8,$BR473,IF(ISNUMBER($CC473),RANK($CC473,$CC$9:$CC$508,1),COUNT($CC$9:$CC$508)+1)))</f>
        <v/>
      </c>
      <c r="CE473" s="96" t="str">
        <f aca="false">IF($BR473&lt;&gt;Constants!$B$8,"",IF(AND(NOT($AL473),NOT($AT473),$AJ473,$AK473,$AR473,$AS473),"",$AI473))</f>
        <v/>
      </c>
      <c r="CF473" s="92" t="str">
        <f aca="false">IF(ISBLANK($C473),"",IF($BR473&lt;&gt;Constants!$B$8,$BR473,IF(ISNUMBER($CE473),RANK($CE473,$CE$9:$CE$508,1),COUNT($CE$9:$CE$508)+1)))</f>
        <v/>
      </c>
      <c r="CG473" s="92" t="str">
        <f aca="false">IF(ISBLANK($C473),"",IF($BR473&lt;&gt;Constants!$B$8,$BR473,COUNTIFS($BX$9:$BX$508,"&lt;"&amp;$BX473)+COUNTIFS($BX$9:$BX$508,$BX473,$BZ$9:$BZ$508,"&lt;"&amp;$BZ473)+COUNTIFS($BX$9:$BX$508,$BX473,$BZ$9:$BZ$508,$BZ473,$CB$9:$CB$508,"&lt;"&amp;$CB473)+COUNTIFS($BX$9:$BX$508,$BX473,$BZ$9:$BZ$508,$BZ473,$CB$9:$CB$508,$CB473,$CD$9:$CD$508,"&lt;"&amp;$CD473)+COUNTIFS($BX$9:$BX$508,$BX473,$BZ$9:$BZ$508,$BZ473,$CB$9:$CB$508,$CB473,$CD$9:$CD$508,$CD473,$CF$9:$CF$508,"&lt;"&amp;$CF473)+1))</f>
        <v/>
      </c>
      <c r="CH473" s="92" t="str">
        <f aca="false">IF(ISBLANK($C473),"",IF($BR473&lt;&gt;Constants!$B$8,$BR473,$BX473-$CG473))</f>
        <v/>
      </c>
      <c r="CI473" s="98"/>
      <c r="CJ473" s="99"/>
      <c r="CK473" s="100" t="str">
        <f aca="false">IF(ISBLANK($C473),"",IF($BR473=Constants!$B$12,$BQ473,""))</f>
        <v/>
      </c>
      <c r="CL473" s="99" t="str">
        <f aca="false">IF(ISBLANK($C473),"",IF($BR473&lt;&gt;Constants!$B$8,"",IF($BI473="-&gt;",2,1)))</f>
        <v/>
      </c>
      <c r="CM473" s="101" t="str">
        <f aca="false">IF(ISBLANK($C473),"",IF($BR473&lt;&gt;Constants!$B$8,"",IF($BI473="-&gt;",$BK473,$BC473)))</f>
        <v/>
      </c>
      <c r="CN473" s="101" t="str">
        <f aca="false">IF(ISBLANK($C473),"",IF($BR473&lt;&gt;Constants!$B$8,"",IF($BI473="-&gt;",$BL473,$BD473)))</f>
        <v/>
      </c>
      <c r="CO473" s="101" t="str">
        <f aca="false">IF(ISBLANK($C473),"",IF($BR473&lt;&gt;Constants!$B$8,"",IF($BI473="-&gt;",$BM473+$BN473,$BE473+$BF473)+$BV473))</f>
        <v/>
      </c>
      <c r="CP473" s="101" t="str">
        <f aca="false">IF(ISBLANK($C473),"",IF($BR473&lt;&gt;Constants!$B$8,"",IF($BI473="-&gt;",$BO473,$BG473)+$BU473))</f>
        <v/>
      </c>
      <c r="CQ473" s="102" t="str">
        <f aca="false">IF(ISBLANK($C473),"",IF($BR473&lt;&gt;Constants!$B$8,$BR473,$BW473))</f>
        <v/>
      </c>
      <c r="CR473" s="103" t="str">
        <f aca="false">IF(ISBLANK($C473),"",$BS473)</f>
        <v/>
      </c>
      <c r="CS473" s="104" t="str">
        <f aca="false">IF(ISBLANK($C473),"",$CH473)</f>
        <v/>
      </c>
      <c r="CT473" s="104" t="str">
        <f aca="false">IF(ISBLANK($C473),"",$CG473)</f>
        <v/>
      </c>
      <c r="CU473" s="105" t="str">
        <f aca="false">IF(ISBLANK($C473),"",IFERROR(_xlfn.SWITCH($CT473,Constants!$B$11,COUNTA($C$9:$C$508)+2,Constants!$B$10,COUNTA($C$9:$C$508)+1,Constants!$B$9,COUNTA($C$9:$C$508)),$CT473))</f>
        <v/>
      </c>
      <c r="CV473" s="9"/>
      <c r="CW473" s="106" t="n">
        <f aca="false">IF(OR(ISNUMBER($CT473),$CT473=Constants!$B$11,$CT473=Constants!$B$9,$CT473=Constants!$B$10),1,0)</f>
        <v>0</v>
      </c>
      <c r="CX473" s="106" t="n">
        <v>465</v>
      </c>
      <c r="CY473" s="106" t="str">
        <f aca="false">IF(ISBLANK($C473),"",IF(ISNUMBER($CU473),$CU473+ROW($B473)/1000,""))</f>
        <v/>
      </c>
      <c r="CZ473" s="106" t="str">
        <f aca="false">IF(ISNUMBER($CY473),RANK($CY473,$CY$9:$CY$508,1),"")</f>
        <v/>
      </c>
      <c r="DA473" s="106" t="str">
        <f aca="false">IF(ISBLANK($C473),"",$B473)</f>
        <v/>
      </c>
      <c r="DB473" s="106" t="str">
        <f aca="false">IF(ISBLANK($C473),"",$C473)</f>
        <v/>
      </c>
      <c r="DC473" s="106" t="str">
        <f aca="false">IF(ISBLANK($C473),"",$D473)</f>
        <v/>
      </c>
      <c r="DD473" s="107" t="str">
        <f aca="false">$CR473</f>
        <v/>
      </c>
      <c r="DE473" s="108" t="str">
        <f aca="false">$CQ473</f>
        <v/>
      </c>
      <c r="DF473" s="106" t="str">
        <f aca="false">IF(ISBLANK($C473),"",$CT473)</f>
        <v/>
      </c>
      <c r="DG473" s="109" t="str">
        <f aca="false">IF($CX473&gt;$CW$8,"",VLOOKUP($CX473,$CZ$9:$DF$508,7,FALSE()))</f>
        <v/>
      </c>
      <c r="DH473" s="110" t="str">
        <f aca="false">IF($CX473&gt;$CW$8,"",VLOOKUP($CX473,$CZ$9:$DF$508,2,FALSE()))</f>
        <v/>
      </c>
      <c r="DI473" s="110" t="str">
        <f aca="false">IF($CX473&gt;$CW$8,"",VLOOKUP($CX473,$CZ$9:$DF$508,3,FALSE()))</f>
        <v/>
      </c>
      <c r="DJ473" s="110" t="str">
        <f aca="false">IF($CX473&gt;$CW$8,"",VLOOKUP($CX473,$CZ$9:$DF$508,4,FALSE()))</f>
        <v/>
      </c>
      <c r="DK473" s="110" t="str">
        <f aca="false">IF($CX473&gt;$CW$8,"",VLOOKUP($CX473,$CZ$9:$DF$508,5,FALSE()))</f>
        <v/>
      </c>
      <c r="DL473" s="111" t="str">
        <f aca="false">IF($CX473&gt;$CW$8,"",VLOOKUP($CX473,$CZ$9:$DF$508,6,FALSE()))</f>
        <v/>
      </c>
      <c r="DM473" s="75"/>
    </row>
    <row r="474" customFormat="false" ht="15.75" hidden="false" customHeight="false" outlineLevel="0" collapsed="false">
      <c r="A474" s="9"/>
      <c r="B474" s="157"/>
      <c r="C474" s="158"/>
      <c r="D474" s="159"/>
      <c r="E474" s="177"/>
      <c r="F474" s="161"/>
      <c r="G474" s="162"/>
      <c r="H474" s="162"/>
      <c r="I474" s="178"/>
      <c r="J474" s="165"/>
      <c r="K474" s="126"/>
      <c r="L474" s="127"/>
      <c r="M474" s="128"/>
      <c r="N474" s="165"/>
      <c r="O474" s="165"/>
      <c r="P474" s="177"/>
      <c r="Q474" s="165"/>
      <c r="R474" s="165"/>
      <c r="S474" s="126"/>
      <c r="T474" s="128"/>
      <c r="U474" s="128"/>
      <c r="V474" s="165"/>
      <c r="W474" s="165"/>
      <c r="X474" s="177"/>
      <c r="Y474" s="165"/>
      <c r="Z474" s="166"/>
      <c r="AA474" s="165"/>
      <c r="AB474" s="132"/>
      <c r="AC474" s="133"/>
      <c r="AD474" s="133"/>
      <c r="AE474" s="133"/>
      <c r="AF474" s="133" t="str">
        <f aca="false">IF(ISBLANK($C474),"",IF(E474=Constants!$B$3,TRUE(),IF(E474=Constants!$B$4,FALSE(),TRUE())))</f>
        <v/>
      </c>
      <c r="AG474" s="133" t="str">
        <f aca="false">IF(ISBLANK($C474),"",IF(F474=Constants!$B$3,TRUE(),IF(F474=Constants!$B$4,FALSE(),TRUE())))</f>
        <v/>
      </c>
      <c r="AH474" s="133" t="str">
        <f aca="false">IF(ISBLANK($C474),"",IF(G474=Constants!$B$3,TRUE(),IF(G474=Constants!$B$4,FALSE(),TRUE())))</f>
        <v/>
      </c>
      <c r="AI474" s="133" t="str">
        <f aca="false">IF(ISBLANK($C474),"",IF(AND(ISNUMBER(H474),H474&gt;=0),H474,Constants!$B$29))</f>
        <v/>
      </c>
      <c r="AJ474" s="133" t="str">
        <f aca="false">IF(ISBLANK($C474),"",IF(I474=Constants!$B$3,TRUE(),IF(I474=Constants!$B$4,FALSE(),TRUE())))</f>
        <v/>
      </c>
      <c r="AK474" s="133" t="str">
        <f aca="false">IF(ISBLANK($C474),"",IF(J474=Constants!$B$3,TRUE(),IF(J474=Constants!$B$4,FALSE(),TRUE())))</f>
        <v/>
      </c>
      <c r="AL474" s="133" t="str">
        <f aca="false">IF(ISBLANK($C474),"",IF(K474=Constants!$B$5,TRUE(),IF(K474=Constants!$B$6,FALSE(),COUNTA(L474:P474)&gt;0)))</f>
        <v/>
      </c>
      <c r="AM474" s="134" t="str">
        <f aca="false">IF(ISBLANK($C474),"",IF(ISNUMBER(L474),IF(L474&gt;=0,L474,""),""))</f>
        <v/>
      </c>
      <c r="AN474" s="135" t="str">
        <f aca="false">IF(ISBLANK($C474),"",IF(ISNUMBER(M474),IF(M474&gt;=0,M474,""),""))</f>
        <v/>
      </c>
      <c r="AO474" s="135" t="str">
        <f aca="false">IF(ISBLANK($C474),"",IF(N474=Constants!$B$3,TRUE(),IF(N474=Constants!$B$4,FALSE(),TRUE())))</f>
        <v/>
      </c>
      <c r="AP474" s="133" t="str">
        <f aca="false">IF(ISBLANK($C474),"",IF(ISNUMBER(O474),IF(O474&gt;=0,O474,""),""))</f>
        <v/>
      </c>
      <c r="AQ474" s="133" t="str">
        <f aca="false">IF(ISBLANK($C474),"",IF(P474=Constants!$B$3,TRUE(),IF(P474=Constants!$B$4,FALSE(),FALSE())))</f>
        <v/>
      </c>
      <c r="AR474" s="133" t="str">
        <f aca="false">IF(ISBLANK($C474),"",IF(Q474=Constants!$B$3,TRUE(),IF(Q474=Constants!$B$4,FALSE(),TRUE())))</f>
        <v/>
      </c>
      <c r="AS474" s="133" t="str">
        <f aca="false">IF(ISBLANK($C474),"",IF(R474=Constants!$B$3,TRUE(),IF(R474=Constants!$B$4,FALSE(),TRUE())))</f>
        <v/>
      </c>
      <c r="AT474" s="133" t="str">
        <f aca="false">IF(ISBLANK($C474),"",IF(S474=Constants!$B$5,TRUE(),IF(S474=Constants!$B$6,FALSE(),COUNTA(T474:X474)&gt;0)))</f>
        <v/>
      </c>
      <c r="AU474" s="134" t="str">
        <f aca="false">IF(ISBLANK($C474),"",IF(ISNUMBER(T474),IF(T474&gt;=0,T474,""),""))</f>
        <v/>
      </c>
      <c r="AV474" s="135" t="str">
        <f aca="false">IF(ISBLANK($C474),"",IF(ISNUMBER(U474),IF(U474&gt;=0,U474,""),""))</f>
        <v/>
      </c>
      <c r="AW474" s="135" t="str">
        <f aca="false">IF(ISBLANK($C474),"",IF(V474=Constants!$B$3,TRUE(),IF(V474=Constants!$B$4,FALSE(),TRUE())))</f>
        <v/>
      </c>
      <c r="AX474" s="133" t="str">
        <f aca="false">IF(ISBLANK($C474),"",IF(ISNUMBER(W474),IF(W474&gt;=0,W474,""),""))</f>
        <v/>
      </c>
      <c r="AY474" s="133" t="str">
        <f aca="false">IF(ISBLANK($C474),"",IF(X474=Constants!$B$3,TRUE(),IF(X474=Constants!$B$4,FALSE(),FALSE())))</f>
        <v/>
      </c>
      <c r="AZ474" s="133" t="str">
        <f aca="false">IF(ISBLANK($C474),"",MIN(Constants!$B$31,MAX(0,IF(ISNUMBER(Y474),Y474*60,0)+IF(ISNUMBER(Z474),Z474,0))))</f>
        <v/>
      </c>
      <c r="BA474" s="133" t="str">
        <f aca="false">IF(ISBLANK($C474),"",IF(AA474=Constants!$B$3,TRUE(),IF(AA474=Constants!$B$4,FALSE(),FALSE())))</f>
        <v/>
      </c>
      <c r="BB474" s="132" t="str">
        <f aca="false">IF(ISBLANK($C474),"",AND($AL474,OR($AM474="",$AN474="",AND($AO474,$AP474=""))))</f>
        <v/>
      </c>
      <c r="BC474" s="135" t="str">
        <f aca="false">IF($BR474&lt;&gt;Constants!$B$8,"",IF($AL474,Constants!$B$21*$AN474+Constants!$B$22*IF($AO474,$AP474,Constants!$B$23),Constants!$B$24))</f>
        <v/>
      </c>
      <c r="BD474" s="136" t="str">
        <f aca="false">IF($BR474&lt;&gt;Constants!$B$8,"",Constants!$B$25*ABS($AD$9-IF($AL474,$AM474,0)))</f>
        <v/>
      </c>
      <c r="BE474" s="136" t="str">
        <f aca="false">IF($BR474&lt;&gt;Constants!$B$8,"",IF(AND($AL474,$AQ474,$AO474),Constants!$B$27,0))</f>
        <v/>
      </c>
      <c r="BF474" s="136" t="str">
        <f aca="false">IF($BR474&lt;&gt;Constants!$B$8,"",IF($AL474,($AI474-Constants!$B$29)*Constants!$B$28,0))</f>
        <v/>
      </c>
      <c r="BG474" s="136" t="str">
        <f aca="false">IF($BR474&lt;&gt;Constants!$B$8,"",IF($AK474,0,Constants!$B$15)+IF($AJ474,0,Constants!$B$16)+IF($AH474,0,Constants!$B$17))</f>
        <v/>
      </c>
      <c r="BH474" s="137" t="str">
        <f aca="false">IF($BR474&lt;&gt;Constants!$B$8,"",Constants!$B$20+SUM($BC474:$BG474))</f>
        <v/>
      </c>
      <c r="BI474" s="133" t="str">
        <f aca="false">IF($BR474&lt;&gt;Constants!$B$8,"",IF(OR($BP474&lt;$BH474,AND($BP474=$BH474,OR($BK474&lt;$BC474,AND($BK474=$BC474,OR($BL474&lt;$BD474,AND($BL474=$BD474,$AT474,$AL474,$AV474&lt;$AN474)))))),"-&gt;","&lt;-"))</f>
        <v/>
      </c>
      <c r="BJ474" s="132" t="str">
        <f aca="false">IF(ISBLANK($C474),"",AND($AT474,OR($AU474="",$AV474="",AND($AW474,$AX474=""))))</f>
        <v/>
      </c>
      <c r="BK474" s="135" t="str">
        <f aca="false">IF($BR474&lt;&gt;Constants!$B$8,"",IF($AT474,Constants!$B$21*$AV474+Constants!$B$22*IF($AW474,$AX474,Constants!$B$23),Constants!$B$24))</f>
        <v/>
      </c>
      <c r="BL474" s="136" t="str">
        <f aca="false">IF($BR474&lt;&gt;Constants!$B$8,"",Constants!$B$25*ABS($AD$9-IF($AT474,$AU474,0)))</f>
        <v/>
      </c>
      <c r="BM474" s="136" t="str">
        <f aca="false">IF($BR474&lt;&gt;Constants!$B$8,"",IF(AND($AT474,$AY474,$AW474),Constants!$B$27,0))</f>
        <v/>
      </c>
      <c r="BN474" s="136" t="str">
        <f aca="false">IF($BR474&lt;&gt;Constants!$B$8,"",IF($AT474,($AI474-Constants!$B$29)*Constants!$B$28,0))</f>
        <v/>
      </c>
      <c r="BO474" s="136" t="str">
        <f aca="false">IF($BR474&lt;&gt;Constants!$B$8,"",IF($AS474,0,Constants!$B$15)+IF($AR474,0,Constants!$B$16)+IF($AH474,0,Constants!$B$17))</f>
        <v/>
      </c>
      <c r="BP474" s="137" t="str">
        <f aca="false">IF($BR474&lt;&gt;Constants!$B$8,"",Constants!$B$20+SUM($BK474:$BO474))</f>
        <v/>
      </c>
      <c r="BQ474" s="133" t="str">
        <f aca="false">IF(ISBLANK($C474),"",IF(ISBLANK($D$7),$BQ$5,IF(NOT(ISNUMBER($D$7)),$BQ$6,"")))</f>
        <v/>
      </c>
      <c r="BR474" s="133" t="str">
        <f aca="false">IF(ISBLANK($C474),"",IF($BA474,Constants!$B$11,IF(COUNTA($E474:$AA474)=0,Constants!$B$10,IF(NOT($AG474),Constants!$B$9,IF(OR($BQ474&lt;&gt;"",$BB474,$BJ474),Constants!$B$12,Constants!$B$8)))))</f>
        <v/>
      </c>
      <c r="BS474" s="133" t="str">
        <f aca="false">IF(ISBLANK($C474),"",IF($BR474&lt;&gt;Constants!$B$8,$BR474,Constants!$B$13))</f>
        <v/>
      </c>
      <c r="BT474" s="136" t="str">
        <f aca="false">IF($BR474&lt;&gt;Constants!$B$8,"",IF($BI474="-&gt;",$BP474,$BH474))</f>
        <v/>
      </c>
      <c r="BU474" s="136" t="str">
        <f aca="false">IF($BR474&lt;&gt;Constants!$B$8,"",IF($AF474,0,Constants!$B$18))</f>
        <v/>
      </c>
      <c r="BV474" s="136" t="str">
        <f aca="false">IF($BR474&lt;&gt;Constants!$B$8,"",((Constants!$B$31-$AZ474)-Constants!$B$31)/Constants!$B$32)</f>
        <v/>
      </c>
      <c r="BW474" s="136" t="str">
        <f aca="false">IF(ISBLANK($C474),"",IF($BR474&lt;&gt;Constants!$B$8,$BR474,SUM($BT474:$BV474)))</f>
        <v/>
      </c>
      <c r="BX474" s="133" t="str">
        <f aca="false">IF(ISBLANK($C474),"",IF($BR474&lt;&gt;Constants!$B$8,$BR474,RANK($BW474,$BW$9:$BW$508,1)))</f>
        <v/>
      </c>
      <c r="BY474" s="136" t="str">
        <f aca="false">IF($BR474&lt;&gt;Constants!$B$8,"",IF($BI474="-&gt;",$BK474,$BC474))</f>
        <v/>
      </c>
      <c r="BZ474" s="133" t="str">
        <f aca="false">IF(ISBLANK($C474),"",IF($BR474&lt;&gt;Constants!$B$8,$BR474,IF(ISNUMBER($BY474),RANK($BY474,$BY$9:$BY$508,1),COUNT($BY$9:$BY$508)+1)))</f>
        <v/>
      </c>
      <c r="CA474" s="136" t="str">
        <f aca="false">IF($BR474&lt;&gt;Constants!$B$8,"",IF($BI474="-&gt;",$BL474,$BD474))</f>
        <v/>
      </c>
      <c r="CB474" s="133" t="str">
        <f aca="false">IF(ISBLANK($C474),"",IF($BR474&lt;&gt;Constants!$B$8,$BR474,IF(ISNUMBER($CA474),RANK($CA474,$CA$9:$CA$508,1),COUNT($CA$9:$CA$508)+1)))</f>
        <v/>
      </c>
      <c r="CC474" s="136" t="str">
        <f aca="false">IF($BR474&lt;&gt;Constants!$B$8,"",IF($BI474="-&gt;",IF($AT474,$AV474,""),IF($AL474,$AN474,"")))</f>
        <v/>
      </c>
      <c r="CD474" s="133" t="str">
        <f aca="false">IF(ISBLANK($C474),"",IF($BR474&lt;&gt;Constants!$B$8,$BR474,IF(ISNUMBER($CC474),RANK($CC474,$CC$9:$CC$508,1),COUNT($CC$9:$CC$508)+1)))</f>
        <v/>
      </c>
      <c r="CE474" s="136" t="str">
        <f aca="false">IF($BR474&lt;&gt;Constants!$B$8,"",IF(AND(NOT($AL474),NOT($AT474),$AJ474,$AK474,$AR474,$AS474),"",$AI474))</f>
        <v/>
      </c>
      <c r="CF474" s="133" t="str">
        <f aca="false">IF(ISBLANK($C474),"",IF($BR474&lt;&gt;Constants!$B$8,$BR474,IF(ISNUMBER($CE474),RANK($CE474,$CE$9:$CE$508,1),COUNT($CE$9:$CE$508)+1)))</f>
        <v/>
      </c>
      <c r="CG474" s="133" t="str">
        <f aca="false">IF(ISBLANK($C474),"",IF($BR474&lt;&gt;Constants!$B$8,$BR474,COUNTIFS($BX$9:$BX$508,"&lt;"&amp;$BX474)+COUNTIFS($BX$9:$BX$508,$BX474,$BZ$9:$BZ$508,"&lt;"&amp;$BZ474)+COUNTIFS($BX$9:$BX$508,$BX474,$BZ$9:$BZ$508,$BZ474,$CB$9:$CB$508,"&lt;"&amp;$CB474)+COUNTIFS($BX$9:$BX$508,$BX474,$BZ$9:$BZ$508,$BZ474,$CB$9:$CB$508,$CB474,$CD$9:$CD$508,"&lt;"&amp;$CD474)+COUNTIFS($BX$9:$BX$508,$BX474,$BZ$9:$BZ$508,$BZ474,$CB$9:$CB$508,$CB474,$CD$9:$CD$508,$CD474,$CF$9:$CF$508,"&lt;"&amp;$CF474)+1))</f>
        <v/>
      </c>
      <c r="CH474" s="133" t="str">
        <f aca="false">IF(ISBLANK($C474),"",IF($BR474&lt;&gt;Constants!$B$8,$BR474,$BX474-$CG474))</f>
        <v/>
      </c>
      <c r="CI474" s="138"/>
      <c r="CJ474" s="139"/>
      <c r="CK474" s="140" t="str">
        <f aca="false">IF(ISBLANK($C474),"",IF($BR474=Constants!$B$12,$BQ474,""))</f>
        <v/>
      </c>
      <c r="CL474" s="139" t="str">
        <f aca="false">IF(ISBLANK($C474),"",IF($BR474&lt;&gt;Constants!$B$8,"",IF($BI474="-&gt;",2,1)))</f>
        <v/>
      </c>
      <c r="CM474" s="141" t="str">
        <f aca="false">IF(ISBLANK($C474),"",IF($BR474&lt;&gt;Constants!$B$8,"",IF($BI474="-&gt;",$BK474,$BC474)))</f>
        <v/>
      </c>
      <c r="CN474" s="141" t="str">
        <f aca="false">IF(ISBLANK($C474),"",IF($BR474&lt;&gt;Constants!$B$8,"",IF($BI474="-&gt;",$BL474,$BD474)))</f>
        <v/>
      </c>
      <c r="CO474" s="141" t="str">
        <f aca="false">IF(ISBLANK($C474),"",IF($BR474&lt;&gt;Constants!$B$8,"",IF($BI474="-&gt;",$BM474+$BN474,$BE474+$BF474)+$BV474))</f>
        <v/>
      </c>
      <c r="CP474" s="141" t="str">
        <f aca="false">IF(ISBLANK($C474),"",IF($BR474&lt;&gt;Constants!$B$8,"",IF($BI474="-&gt;",$BO474,$BG474)+$BU474))</f>
        <v/>
      </c>
      <c r="CQ474" s="142" t="str">
        <f aca="false">IF(ISBLANK($C474),"",IF($BR474&lt;&gt;Constants!$B$8,$BR474,$BW474))</f>
        <v/>
      </c>
      <c r="CR474" s="143" t="str">
        <f aca="false">IF(ISBLANK($C474),"",$BS474)</f>
        <v/>
      </c>
      <c r="CS474" s="144" t="str">
        <f aca="false">IF(ISBLANK($C474),"",$CH474)</f>
        <v/>
      </c>
      <c r="CT474" s="144" t="str">
        <f aca="false">IF(ISBLANK($C474),"",$CG474)</f>
        <v/>
      </c>
      <c r="CU474" s="145" t="str">
        <f aca="false">IF(ISBLANK($C474),"",IFERROR(_xlfn.SWITCH($CT474,Constants!$B$11,COUNTA($C$9:$C$508)+2,Constants!$B$10,COUNTA($C$9:$C$508)+1,Constants!$B$9,COUNTA($C$9:$C$508)),$CT474))</f>
        <v/>
      </c>
      <c r="CV474" s="9"/>
      <c r="CW474" s="146" t="n">
        <f aca="false">IF(OR(ISNUMBER($CT474),$CT474=Constants!$B$11,$CT474=Constants!$B$9,$CT474=Constants!$B$10),1,0)</f>
        <v>0</v>
      </c>
      <c r="CX474" s="146" t="n">
        <v>466</v>
      </c>
      <c r="CY474" s="146" t="str">
        <f aca="false">IF(ISBLANK($C474),"",IF(ISNUMBER($CU474),$CU474+ROW($B474)/1000,""))</f>
        <v/>
      </c>
      <c r="CZ474" s="146" t="str">
        <f aca="false">IF(ISNUMBER($CY474),RANK($CY474,$CY$9:$CY$508,1),"")</f>
        <v/>
      </c>
      <c r="DA474" s="146" t="str">
        <f aca="false">IF(ISBLANK($C474),"",$B474)</f>
        <v/>
      </c>
      <c r="DB474" s="146" t="str">
        <f aca="false">IF(ISBLANK($C474),"",$C474)</f>
        <v/>
      </c>
      <c r="DC474" s="146" t="str">
        <f aca="false">IF(ISBLANK($C474),"",$D474)</f>
        <v/>
      </c>
      <c r="DD474" s="147" t="str">
        <f aca="false">$CR474</f>
        <v/>
      </c>
      <c r="DE474" s="148" t="str">
        <f aca="false">$CQ474</f>
        <v/>
      </c>
      <c r="DF474" s="146" t="str">
        <f aca="false">IF(ISBLANK($C474),"",$CT474)</f>
        <v/>
      </c>
      <c r="DG474" s="149" t="str">
        <f aca="false">IF($CX474&gt;$CW$8,"",VLOOKUP($CX474,$CZ$9:$DF$508,7,FALSE()))</f>
        <v/>
      </c>
      <c r="DH474" s="150" t="str">
        <f aca="false">IF($CX474&gt;$CW$8,"",VLOOKUP($CX474,$CZ$9:$DF$508,2,FALSE()))</f>
        <v/>
      </c>
      <c r="DI474" s="150" t="str">
        <f aca="false">IF($CX474&gt;$CW$8,"",VLOOKUP($CX474,$CZ$9:$DF$508,3,FALSE()))</f>
        <v/>
      </c>
      <c r="DJ474" s="150" t="str">
        <f aca="false">IF($CX474&gt;$CW$8,"",VLOOKUP($CX474,$CZ$9:$DF$508,4,FALSE()))</f>
        <v/>
      </c>
      <c r="DK474" s="150" t="str">
        <f aca="false">IF($CX474&gt;$CW$8,"",VLOOKUP($CX474,$CZ$9:$DF$508,5,FALSE()))</f>
        <v/>
      </c>
      <c r="DL474" s="151" t="str">
        <f aca="false">IF($CX474&gt;$CW$8,"",VLOOKUP($CX474,$CZ$9:$DF$508,6,FALSE()))</f>
        <v/>
      </c>
      <c r="DM474" s="75"/>
    </row>
    <row r="475" customFormat="false" ht="15.75" hidden="false" customHeight="false" outlineLevel="0" collapsed="false">
      <c r="A475" s="9"/>
      <c r="B475" s="157"/>
      <c r="C475" s="158"/>
      <c r="D475" s="159"/>
      <c r="E475" s="177"/>
      <c r="F475" s="161"/>
      <c r="G475" s="162"/>
      <c r="H475" s="162"/>
      <c r="I475" s="178"/>
      <c r="J475" s="165"/>
      <c r="K475" s="126"/>
      <c r="L475" s="127"/>
      <c r="M475" s="128"/>
      <c r="N475" s="165"/>
      <c r="O475" s="165"/>
      <c r="P475" s="177"/>
      <c r="Q475" s="165"/>
      <c r="R475" s="165"/>
      <c r="S475" s="126"/>
      <c r="T475" s="128"/>
      <c r="U475" s="128"/>
      <c r="V475" s="165"/>
      <c r="W475" s="165"/>
      <c r="X475" s="177"/>
      <c r="Y475" s="165"/>
      <c r="Z475" s="166"/>
      <c r="AA475" s="165"/>
      <c r="AB475" s="132"/>
      <c r="AC475" s="133"/>
      <c r="AD475" s="133"/>
      <c r="AE475" s="133"/>
      <c r="AF475" s="133" t="str">
        <f aca="false">IF(ISBLANK($C475),"",IF(E475=Constants!$B$3,TRUE(),IF(E475=Constants!$B$4,FALSE(),TRUE())))</f>
        <v/>
      </c>
      <c r="AG475" s="133" t="str">
        <f aca="false">IF(ISBLANK($C475),"",IF(F475=Constants!$B$3,TRUE(),IF(F475=Constants!$B$4,FALSE(),TRUE())))</f>
        <v/>
      </c>
      <c r="AH475" s="133" t="str">
        <f aca="false">IF(ISBLANK($C475),"",IF(G475=Constants!$B$3,TRUE(),IF(G475=Constants!$B$4,FALSE(),TRUE())))</f>
        <v/>
      </c>
      <c r="AI475" s="133" t="str">
        <f aca="false">IF(ISBLANK($C475),"",IF(AND(ISNUMBER(H475),H475&gt;=0),H475,Constants!$B$29))</f>
        <v/>
      </c>
      <c r="AJ475" s="133" t="str">
        <f aca="false">IF(ISBLANK($C475),"",IF(I475=Constants!$B$3,TRUE(),IF(I475=Constants!$B$4,FALSE(),TRUE())))</f>
        <v/>
      </c>
      <c r="AK475" s="133" t="str">
        <f aca="false">IF(ISBLANK($C475),"",IF(J475=Constants!$B$3,TRUE(),IF(J475=Constants!$B$4,FALSE(),TRUE())))</f>
        <v/>
      </c>
      <c r="AL475" s="133" t="str">
        <f aca="false">IF(ISBLANK($C475),"",IF(K475=Constants!$B$5,TRUE(),IF(K475=Constants!$B$6,FALSE(),COUNTA(L475:P475)&gt;0)))</f>
        <v/>
      </c>
      <c r="AM475" s="134" t="str">
        <f aca="false">IF(ISBLANK($C475),"",IF(ISNUMBER(L475),IF(L475&gt;=0,L475,""),""))</f>
        <v/>
      </c>
      <c r="AN475" s="135" t="str">
        <f aca="false">IF(ISBLANK($C475),"",IF(ISNUMBER(M475),IF(M475&gt;=0,M475,""),""))</f>
        <v/>
      </c>
      <c r="AO475" s="135" t="str">
        <f aca="false">IF(ISBLANK($C475),"",IF(N475=Constants!$B$3,TRUE(),IF(N475=Constants!$B$4,FALSE(),TRUE())))</f>
        <v/>
      </c>
      <c r="AP475" s="133" t="str">
        <f aca="false">IF(ISBLANK($C475),"",IF(ISNUMBER(O475),IF(O475&gt;=0,O475,""),""))</f>
        <v/>
      </c>
      <c r="AQ475" s="133" t="str">
        <f aca="false">IF(ISBLANK($C475),"",IF(P475=Constants!$B$3,TRUE(),IF(P475=Constants!$B$4,FALSE(),FALSE())))</f>
        <v/>
      </c>
      <c r="AR475" s="133" t="str">
        <f aca="false">IF(ISBLANK($C475),"",IF(Q475=Constants!$B$3,TRUE(),IF(Q475=Constants!$B$4,FALSE(),TRUE())))</f>
        <v/>
      </c>
      <c r="AS475" s="133" t="str">
        <f aca="false">IF(ISBLANK($C475),"",IF(R475=Constants!$B$3,TRUE(),IF(R475=Constants!$B$4,FALSE(),TRUE())))</f>
        <v/>
      </c>
      <c r="AT475" s="133" t="str">
        <f aca="false">IF(ISBLANK($C475),"",IF(S475=Constants!$B$5,TRUE(),IF(S475=Constants!$B$6,FALSE(),COUNTA(T475:X475)&gt;0)))</f>
        <v/>
      </c>
      <c r="AU475" s="134" t="str">
        <f aca="false">IF(ISBLANK($C475),"",IF(ISNUMBER(T475),IF(T475&gt;=0,T475,""),""))</f>
        <v/>
      </c>
      <c r="AV475" s="135" t="str">
        <f aca="false">IF(ISBLANK($C475),"",IF(ISNUMBER(U475),IF(U475&gt;=0,U475,""),""))</f>
        <v/>
      </c>
      <c r="AW475" s="135" t="str">
        <f aca="false">IF(ISBLANK($C475),"",IF(V475=Constants!$B$3,TRUE(),IF(V475=Constants!$B$4,FALSE(),TRUE())))</f>
        <v/>
      </c>
      <c r="AX475" s="133" t="str">
        <f aca="false">IF(ISBLANK($C475),"",IF(ISNUMBER(W475),IF(W475&gt;=0,W475,""),""))</f>
        <v/>
      </c>
      <c r="AY475" s="133" t="str">
        <f aca="false">IF(ISBLANK($C475),"",IF(X475=Constants!$B$3,TRUE(),IF(X475=Constants!$B$4,FALSE(),FALSE())))</f>
        <v/>
      </c>
      <c r="AZ475" s="133" t="str">
        <f aca="false">IF(ISBLANK($C475),"",MIN(Constants!$B$31,MAX(0,IF(ISNUMBER(Y475),Y475*60,0)+IF(ISNUMBER(Z475),Z475,0))))</f>
        <v/>
      </c>
      <c r="BA475" s="133" t="str">
        <f aca="false">IF(ISBLANK($C475),"",IF(AA475=Constants!$B$3,TRUE(),IF(AA475=Constants!$B$4,FALSE(),FALSE())))</f>
        <v/>
      </c>
      <c r="BB475" s="132" t="str">
        <f aca="false">IF(ISBLANK($C475),"",AND($AL475,OR($AM475="",$AN475="",AND($AO475,$AP475=""))))</f>
        <v/>
      </c>
      <c r="BC475" s="135" t="str">
        <f aca="false">IF($BR475&lt;&gt;Constants!$B$8,"",IF($AL475,Constants!$B$21*$AN475+Constants!$B$22*IF($AO475,$AP475,Constants!$B$23),Constants!$B$24))</f>
        <v/>
      </c>
      <c r="BD475" s="136" t="str">
        <f aca="false">IF($BR475&lt;&gt;Constants!$B$8,"",Constants!$B$25*ABS($AD$9-IF($AL475,$AM475,0)))</f>
        <v/>
      </c>
      <c r="BE475" s="136" t="str">
        <f aca="false">IF($BR475&lt;&gt;Constants!$B$8,"",IF(AND($AL475,$AQ475,$AO475),Constants!$B$27,0))</f>
        <v/>
      </c>
      <c r="BF475" s="136" t="str">
        <f aca="false">IF($BR475&lt;&gt;Constants!$B$8,"",IF($AL475,($AI475-Constants!$B$29)*Constants!$B$28,0))</f>
        <v/>
      </c>
      <c r="BG475" s="136" t="str">
        <f aca="false">IF($BR475&lt;&gt;Constants!$B$8,"",IF($AK475,0,Constants!$B$15)+IF($AJ475,0,Constants!$B$16)+IF($AH475,0,Constants!$B$17))</f>
        <v/>
      </c>
      <c r="BH475" s="137" t="str">
        <f aca="false">IF($BR475&lt;&gt;Constants!$B$8,"",Constants!$B$20+SUM($BC475:$BG475))</f>
        <v/>
      </c>
      <c r="BI475" s="133" t="str">
        <f aca="false">IF($BR475&lt;&gt;Constants!$B$8,"",IF(OR($BP475&lt;$BH475,AND($BP475=$BH475,OR($BK475&lt;$BC475,AND($BK475=$BC475,OR($BL475&lt;$BD475,AND($BL475=$BD475,$AT475,$AL475,$AV475&lt;$AN475)))))),"-&gt;","&lt;-"))</f>
        <v/>
      </c>
      <c r="BJ475" s="132" t="str">
        <f aca="false">IF(ISBLANK($C475),"",AND($AT475,OR($AU475="",$AV475="",AND($AW475,$AX475=""))))</f>
        <v/>
      </c>
      <c r="BK475" s="135" t="str">
        <f aca="false">IF($BR475&lt;&gt;Constants!$B$8,"",IF($AT475,Constants!$B$21*$AV475+Constants!$B$22*IF($AW475,$AX475,Constants!$B$23),Constants!$B$24))</f>
        <v/>
      </c>
      <c r="BL475" s="136" t="str">
        <f aca="false">IF($BR475&lt;&gt;Constants!$B$8,"",Constants!$B$25*ABS($AD$9-IF($AT475,$AU475,0)))</f>
        <v/>
      </c>
      <c r="BM475" s="136" t="str">
        <f aca="false">IF($BR475&lt;&gt;Constants!$B$8,"",IF(AND($AT475,$AY475,$AW475),Constants!$B$27,0))</f>
        <v/>
      </c>
      <c r="BN475" s="136" t="str">
        <f aca="false">IF($BR475&lt;&gt;Constants!$B$8,"",IF($AT475,($AI475-Constants!$B$29)*Constants!$B$28,0))</f>
        <v/>
      </c>
      <c r="BO475" s="136" t="str">
        <f aca="false">IF($BR475&lt;&gt;Constants!$B$8,"",IF($AS475,0,Constants!$B$15)+IF($AR475,0,Constants!$B$16)+IF($AH475,0,Constants!$B$17))</f>
        <v/>
      </c>
      <c r="BP475" s="137" t="str">
        <f aca="false">IF($BR475&lt;&gt;Constants!$B$8,"",Constants!$B$20+SUM($BK475:$BO475))</f>
        <v/>
      </c>
      <c r="BQ475" s="133" t="str">
        <f aca="false">IF(ISBLANK($C475),"",IF(ISBLANK($D$7),$BQ$5,IF(NOT(ISNUMBER($D$7)),$BQ$6,"")))</f>
        <v/>
      </c>
      <c r="BR475" s="133" t="str">
        <f aca="false">IF(ISBLANK($C475),"",IF($BA475,Constants!$B$11,IF(COUNTA($E475:$AA475)=0,Constants!$B$10,IF(NOT($AG475),Constants!$B$9,IF(OR($BQ475&lt;&gt;"",$BB475,$BJ475),Constants!$B$12,Constants!$B$8)))))</f>
        <v/>
      </c>
      <c r="BS475" s="133" t="str">
        <f aca="false">IF(ISBLANK($C475),"",IF($BR475&lt;&gt;Constants!$B$8,$BR475,Constants!$B$13))</f>
        <v/>
      </c>
      <c r="BT475" s="136" t="str">
        <f aca="false">IF($BR475&lt;&gt;Constants!$B$8,"",IF($BI475="-&gt;",$BP475,$BH475))</f>
        <v/>
      </c>
      <c r="BU475" s="136" t="str">
        <f aca="false">IF($BR475&lt;&gt;Constants!$B$8,"",IF($AF475,0,Constants!$B$18))</f>
        <v/>
      </c>
      <c r="BV475" s="136" t="str">
        <f aca="false">IF($BR475&lt;&gt;Constants!$B$8,"",((Constants!$B$31-$AZ475)-Constants!$B$31)/Constants!$B$32)</f>
        <v/>
      </c>
      <c r="BW475" s="136" t="str">
        <f aca="false">IF(ISBLANK($C475),"",IF($BR475&lt;&gt;Constants!$B$8,$BR475,SUM($BT475:$BV475)))</f>
        <v/>
      </c>
      <c r="BX475" s="133" t="str">
        <f aca="false">IF(ISBLANK($C475),"",IF($BR475&lt;&gt;Constants!$B$8,$BR475,RANK($BW475,$BW$9:$BW$508,1)))</f>
        <v/>
      </c>
      <c r="BY475" s="136" t="str">
        <f aca="false">IF($BR475&lt;&gt;Constants!$B$8,"",IF($BI475="-&gt;",$BK475,$BC475))</f>
        <v/>
      </c>
      <c r="BZ475" s="133" t="str">
        <f aca="false">IF(ISBLANK($C475),"",IF($BR475&lt;&gt;Constants!$B$8,$BR475,IF(ISNUMBER($BY475),RANK($BY475,$BY$9:$BY$508,1),COUNT($BY$9:$BY$508)+1)))</f>
        <v/>
      </c>
      <c r="CA475" s="136" t="str">
        <f aca="false">IF($BR475&lt;&gt;Constants!$B$8,"",IF($BI475="-&gt;",$BL475,$BD475))</f>
        <v/>
      </c>
      <c r="CB475" s="133" t="str">
        <f aca="false">IF(ISBLANK($C475),"",IF($BR475&lt;&gt;Constants!$B$8,$BR475,IF(ISNUMBER($CA475),RANK($CA475,$CA$9:$CA$508,1),COUNT($CA$9:$CA$508)+1)))</f>
        <v/>
      </c>
      <c r="CC475" s="136" t="str">
        <f aca="false">IF($BR475&lt;&gt;Constants!$B$8,"",IF($BI475="-&gt;",IF($AT475,$AV475,""),IF($AL475,$AN475,"")))</f>
        <v/>
      </c>
      <c r="CD475" s="133" t="str">
        <f aca="false">IF(ISBLANK($C475),"",IF($BR475&lt;&gt;Constants!$B$8,$BR475,IF(ISNUMBER($CC475),RANK($CC475,$CC$9:$CC$508,1),COUNT($CC$9:$CC$508)+1)))</f>
        <v/>
      </c>
      <c r="CE475" s="136" t="str">
        <f aca="false">IF($BR475&lt;&gt;Constants!$B$8,"",IF(AND(NOT($AL475),NOT($AT475),$AJ475,$AK475,$AR475,$AS475),"",$AI475))</f>
        <v/>
      </c>
      <c r="CF475" s="133" t="str">
        <f aca="false">IF(ISBLANK($C475),"",IF($BR475&lt;&gt;Constants!$B$8,$BR475,IF(ISNUMBER($CE475),RANK($CE475,$CE$9:$CE$508,1),COUNT($CE$9:$CE$508)+1)))</f>
        <v/>
      </c>
      <c r="CG475" s="133" t="str">
        <f aca="false">IF(ISBLANK($C475),"",IF($BR475&lt;&gt;Constants!$B$8,$BR475,COUNTIFS($BX$9:$BX$508,"&lt;"&amp;$BX475)+COUNTIFS($BX$9:$BX$508,$BX475,$BZ$9:$BZ$508,"&lt;"&amp;$BZ475)+COUNTIFS($BX$9:$BX$508,$BX475,$BZ$9:$BZ$508,$BZ475,$CB$9:$CB$508,"&lt;"&amp;$CB475)+COUNTIFS($BX$9:$BX$508,$BX475,$BZ$9:$BZ$508,$BZ475,$CB$9:$CB$508,$CB475,$CD$9:$CD$508,"&lt;"&amp;$CD475)+COUNTIFS($BX$9:$BX$508,$BX475,$BZ$9:$BZ$508,$BZ475,$CB$9:$CB$508,$CB475,$CD$9:$CD$508,$CD475,$CF$9:$CF$508,"&lt;"&amp;$CF475)+1))</f>
        <v/>
      </c>
      <c r="CH475" s="133" t="str">
        <f aca="false">IF(ISBLANK($C475),"",IF($BR475&lt;&gt;Constants!$B$8,$BR475,$BX475-$CG475))</f>
        <v/>
      </c>
      <c r="CI475" s="138"/>
      <c r="CJ475" s="139"/>
      <c r="CK475" s="140" t="str">
        <f aca="false">IF(ISBLANK($C475),"",IF($BR475=Constants!$B$12,$BQ475,""))</f>
        <v/>
      </c>
      <c r="CL475" s="139" t="str">
        <f aca="false">IF(ISBLANK($C475),"",IF($BR475&lt;&gt;Constants!$B$8,"",IF($BI475="-&gt;",2,1)))</f>
        <v/>
      </c>
      <c r="CM475" s="141" t="str">
        <f aca="false">IF(ISBLANK($C475),"",IF($BR475&lt;&gt;Constants!$B$8,"",IF($BI475="-&gt;",$BK475,$BC475)))</f>
        <v/>
      </c>
      <c r="CN475" s="141" t="str">
        <f aca="false">IF(ISBLANK($C475),"",IF($BR475&lt;&gt;Constants!$B$8,"",IF($BI475="-&gt;",$BL475,$BD475)))</f>
        <v/>
      </c>
      <c r="CO475" s="141" t="str">
        <f aca="false">IF(ISBLANK($C475),"",IF($BR475&lt;&gt;Constants!$B$8,"",IF($BI475="-&gt;",$BM475+$BN475,$BE475+$BF475)+$BV475))</f>
        <v/>
      </c>
      <c r="CP475" s="141" t="str">
        <f aca="false">IF(ISBLANK($C475),"",IF($BR475&lt;&gt;Constants!$B$8,"",IF($BI475="-&gt;",$BO475,$BG475)+$BU475))</f>
        <v/>
      </c>
      <c r="CQ475" s="142" t="str">
        <f aca="false">IF(ISBLANK($C475),"",IF($BR475&lt;&gt;Constants!$B$8,$BR475,$BW475))</f>
        <v/>
      </c>
      <c r="CR475" s="143" t="str">
        <f aca="false">IF(ISBLANK($C475),"",$BS475)</f>
        <v/>
      </c>
      <c r="CS475" s="144" t="str">
        <f aca="false">IF(ISBLANK($C475),"",$CH475)</f>
        <v/>
      </c>
      <c r="CT475" s="144" t="str">
        <f aca="false">IF(ISBLANK($C475),"",$CG475)</f>
        <v/>
      </c>
      <c r="CU475" s="145" t="str">
        <f aca="false">IF(ISBLANK($C475),"",IFERROR(_xlfn.SWITCH($CT475,Constants!$B$11,COUNTA($C$9:$C$508)+2,Constants!$B$10,COUNTA($C$9:$C$508)+1,Constants!$B$9,COUNTA($C$9:$C$508)),$CT475))</f>
        <v/>
      </c>
      <c r="CV475" s="9"/>
      <c r="CW475" s="146" t="n">
        <f aca="false">IF(OR(ISNUMBER($CT475),$CT475=Constants!$B$11,$CT475=Constants!$B$9,$CT475=Constants!$B$10),1,0)</f>
        <v>0</v>
      </c>
      <c r="CX475" s="146" t="n">
        <v>467</v>
      </c>
      <c r="CY475" s="146" t="str">
        <f aca="false">IF(ISBLANK($C475),"",IF(ISNUMBER($CU475),$CU475+ROW($B475)/1000,""))</f>
        <v/>
      </c>
      <c r="CZ475" s="146" t="str">
        <f aca="false">IF(ISNUMBER($CY475),RANK($CY475,$CY$9:$CY$508,1),"")</f>
        <v/>
      </c>
      <c r="DA475" s="146" t="str">
        <f aca="false">IF(ISBLANK($C475),"",$B475)</f>
        <v/>
      </c>
      <c r="DB475" s="146" t="str">
        <f aca="false">IF(ISBLANK($C475),"",$C475)</f>
        <v/>
      </c>
      <c r="DC475" s="146" t="str">
        <f aca="false">IF(ISBLANK($C475),"",$D475)</f>
        <v/>
      </c>
      <c r="DD475" s="147" t="str">
        <f aca="false">$CR475</f>
        <v/>
      </c>
      <c r="DE475" s="148" t="str">
        <f aca="false">$CQ475</f>
        <v/>
      </c>
      <c r="DF475" s="146" t="str">
        <f aca="false">IF(ISBLANK($C475),"",$CT475)</f>
        <v/>
      </c>
      <c r="DG475" s="149" t="str">
        <f aca="false">IF($CX475&gt;$CW$8,"",VLOOKUP($CX475,$CZ$9:$DF$508,7,FALSE()))</f>
        <v/>
      </c>
      <c r="DH475" s="150" t="str">
        <f aca="false">IF($CX475&gt;$CW$8,"",VLOOKUP($CX475,$CZ$9:$DF$508,2,FALSE()))</f>
        <v/>
      </c>
      <c r="DI475" s="150" t="str">
        <f aca="false">IF($CX475&gt;$CW$8,"",VLOOKUP($CX475,$CZ$9:$DF$508,3,FALSE()))</f>
        <v/>
      </c>
      <c r="DJ475" s="150" t="str">
        <f aca="false">IF($CX475&gt;$CW$8,"",VLOOKUP($CX475,$CZ$9:$DF$508,4,FALSE()))</f>
        <v/>
      </c>
      <c r="DK475" s="150" t="str">
        <f aca="false">IF($CX475&gt;$CW$8,"",VLOOKUP($CX475,$CZ$9:$DF$508,5,FALSE()))</f>
        <v/>
      </c>
      <c r="DL475" s="151" t="str">
        <f aca="false">IF($CX475&gt;$CW$8,"",VLOOKUP($CX475,$CZ$9:$DF$508,6,FALSE()))</f>
        <v/>
      </c>
      <c r="DM475" s="75"/>
    </row>
    <row r="476" customFormat="false" ht="15.75" hidden="false" customHeight="false" outlineLevel="0" collapsed="false">
      <c r="A476" s="9"/>
      <c r="B476" s="157"/>
      <c r="C476" s="158"/>
      <c r="D476" s="159"/>
      <c r="E476" s="177"/>
      <c r="F476" s="161"/>
      <c r="G476" s="162"/>
      <c r="H476" s="162"/>
      <c r="I476" s="178"/>
      <c r="J476" s="165"/>
      <c r="K476" s="126"/>
      <c r="L476" s="127"/>
      <c r="M476" s="128"/>
      <c r="N476" s="165"/>
      <c r="O476" s="165"/>
      <c r="P476" s="177"/>
      <c r="Q476" s="165"/>
      <c r="R476" s="165"/>
      <c r="S476" s="126"/>
      <c r="T476" s="128"/>
      <c r="U476" s="128"/>
      <c r="V476" s="165"/>
      <c r="W476" s="165"/>
      <c r="X476" s="177"/>
      <c r="Y476" s="165"/>
      <c r="Z476" s="166"/>
      <c r="AA476" s="165"/>
      <c r="AB476" s="132"/>
      <c r="AC476" s="133"/>
      <c r="AD476" s="133"/>
      <c r="AE476" s="133"/>
      <c r="AF476" s="133" t="str">
        <f aca="false">IF(ISBLANK($C476),"",IF(E476=Constants!$B$3,TRUE(),IF(E476=Constants!$B$4,FALSE(),TRUE())))</f>
        <v/>
      </c>
      <c r="AG476" s="133" t="str">
        <f aca="false">IF(ISBLANK($C476),"",IF(F476=Constants!$B$3,TRUE(),IF(F476=Constants!$B$4,FALSE(),TRUE())))</f>
        <v/>
      </c>
      <c r="AH476" s="133" t="str">
        <f aca="false">IF(ISBLANK($C476),"",IF(G476=Constants!$B$3,TRUE(),IF(G476=Constants!$B$4,FALSE(),TRUE())))</f>
        <v/>
      </c>
      <c r="AI476" s="133" t="str">
        <f aca="false">IF(ISBLANK($C476),"",IF(AND(ISNUMBER(H476),H476&gt;=0),H476,Constants!$B$29))</f>
        <v/>
      </c>
      <c r="AJ476" s="133" t="str">
        <f aca="false">IF(ISBLANK($C476),"",IF(I476=Constants!$B$3,TRUE(),IF(I476=Constants!$B$4,FALSE(),TRUE())))</f>
        <v/>
      </c>
      <c r="AK476" s="133" t="str">
        <f aca="false">IF(ISBLANK($C476),"",IF(J476=Constants!$B$3,TRUE(),IF(J476=Constants!$B$4,FALSE(),TRUE())))</f>
        <v/>
      </c>
      <c r="AL476" s="133" t="str">
        <f aca="false">IF(ISBLANK($C476),"",IF(K476=Constants!$B$5,TRUE(),IF(K476=Constants!$B$6,FALSE(),COUNTA(L476:P476)&gt;0)))</f>
        <v/>
      </c>
      <c r="AM476" s="134" t="str">
        <f aca="false">IF(ISBLANK($C476),"",IF(ISNUMBER(L476),IF(L476&gt;=0,L476,""),""))</f>
        <v/>
      </c>
      <c r="AN476" s="135" t="str">
        <f aca="false">IF(ISBLANK($C476),"",IF(ISNUMBER(M476),IF(M476&gt;=0,M476,""),""))</f>
        <v/>
      </c>
      <c r="AO476" s="135" t="str">
        <f aca="false">IF(ISBLANK($C476),"",IF(N476=Constants!$B$3,TRUE(),IF(N476=Constants!$B$4,FALSE(),TRUE())))</f>
        <v/>
      </c>
      <c r="AP476" s="133" t="str">
        <f aca="false">IF(ISBLANK($C476),"",IF(ISNUMBER(O476),IF(O476&gt;=0,O476,""),""))</f>
        <v/>
      </c>
      <c r="AQ476" s="133" t="str">
        <f aca="false">IF(ISBLANK($C476),"",IF(P476=Constants!$B$3,TRUE(),IF(P476=Constants!$B$4,FALSE(),FALSE())))</f>
        <v/>
      </c>
      <c r="AR476" s="133" t="str">
        <f aca="false">IF(ISBLANK($C476),"",IF(Q476=Constants!$B$3,TRUE(),IF(Q476=Constants!$B$4,FALSE(),TRUE())))</f>
        <v/>
      </c>
      <c r="AS476" s="133" t="str">
        <f aca="false">IF(ISBLANK($C476),"",IF(R476=Constants!$B$3,TRUE(),IF(R476=Constants!$B$4,FALSE(),TRUE())))</f>
        <v/>
      </c>
      <c r="AT476" s="133" t="str">
        <f aca="false">IF(ISBLANK($C476),"",IF(S476=Constants!$B$5,TRUE(),IF(S476=Constants!$B$6,FALSE(),COUNTA(T476:X476)&gt;0)))</f>
        <v/>
      </c>
      <c r="AU476" s="134" t="str">
        <f aca="false">IF(ISBLANK($C476),"",IF(ISNUMBER(T476),IF(T476&gt;=0,T476,""),""))</f>
        <v/>
      </c>
      <c r="AV476" s="135" t="str">
        <f aca="false">IF(ISBLANK($C476),"",IF(ISNUMBER(U476),IF(U476&gt;=0,U476,""),""))</f>
        <v/>
      </c>
      <c r="AW476" s="135" t="str">
        <f aca="false">IF(ISBLANK($C476),"",IF(V476=Constants!$B$3,TRUE(),IF(V476=Constants!$B$4,FALSE(),TRUE())))</f>
        <v/>
      </c>
      <c r="AX476" s="133" t="str">
        <f aca="false">IF(ISBLANK($C476),"",IF(ISNUMBER(W476),IF(W476&gt;=0,W476,""),""))</f>
        <v/>
      </c>
      <c r="AY476" s="133" t="str">
        <f aca="false">IF(ISBLANK($C476),"",IF(X476=Constants!$B$3,TRUE(),IF(X476=Constants!$B$4,FALSE(),FALSE())))</f>
        <v/>
      </c>
      <c r="AZ476" s="133" t="str">
        <f aca="false">IF(ISBLANK($C476),"",MIN(Constants!$B$31,MAX(0,IF(ISNUMBER(Y476),Y476*60,0)+IF(ISNUMBER(Z476),Z476,0))))</f>
        <v/>
      </c>
      <c r="BA476" s="133" t="str">
        <f aca="false">IF(ISBLANK($C476),"",IF(AA476=Constants!$B$3,TRUE(),IF(AA476=Constants!$B$4,FALSE(),FALSE())))</f>
        <v/>
      </c>
      <c r="BB476" s="132" t="str">
        <f aca="false">IF(ISBLANK($C476),"",AND($AL476,OR($AM476="",$AN476="",AND($AO476,$AP476=""))))</f>
        <v/>
      </c>
      <c r="BC476" s="135" t="str">
        <f aca="false">IF($BR476&lt;&gt;Constants!$B$8,"",IF($AL476,Constants!$B$21*$AN476+Constants!$B$22*IF($AO476,$AP476,Constants!$B$23),Constants!$B$24))</f>
        <v/>
      </c>
      <c r="BD476" s="136" t="str">
        <f aca="false">IF($BR476&lt;&gt;Constants!$B$8,"",Constants!$B$25*ABS($AD$9-IF($AL476,$AM476,0)))</f>
        <v/>
      </c>
      <c r="BE476" s="136" t="str">
        <f aca="false">IF($BR476&lt;&gt;Constants!$B$8,"",IF(AND($AL476,$AQ476,$AO476),Constants!$B$27,0))</f>
        <v/>
      </c>
      <c r="BF476" s="136" t="str">
        <f aca="false">IF($BR476&lt;&gt;Constants!$B$8,"",IF($AL476,($AI476-Constants!$B$29)*Constants!$B$28,0))</f>
        <v/>
      </c>
      <c r="BG476" s="136" t="str">
        <f aca="false">IF($BR476&lt;&gt;Constants!$B$8,"",IF($AK476,0,Constants!$B$15)+IF($AJ476,0,Constants!$B$16)+IF($AH476,0,Constants!$B$17))</f>
        <v/>
      </c>
      <c r="BH476" s="137" t="str">
        <f aca="false">IF($BR476&lt;&gt;Constants!$B$8,"",Constants!$B$20+SUM($BC476:$BG476))</f>
        <v/>
      </c>
      <c r="BI476" s="133" t="str">
        <f aca="false">IF($BR476&lt;&gt;Constants!$B$8,"",IF(OR($BP476&lt;$BH476,AND($BP476=$BH476,OR($BK476&lt;$BC476,AND($BK476=$BC476,OR($BL476&lt;$BD476,AND($BL476=$BD476,$AT476,$AL476,$AV476&lt;$AN476)))))),"-&gt;","&lt;-"))</f>
        <v/>
      </c>
      <c r="BJ476" s="132" t="str">
        <f aca="false">IF(ISBLANK($C476),"",AND($AT476,OR($AU476="",$AV476="",AND($AW476,$AX476=""))))</f>
        <v/>
      </c>
      <c r="BK476" s="135" t="str">
        <f aca="false">IF($BR476&lt;&gt;Constants!$B$8,"",IF($AT476,Constants!$B$21*$AV476+Constants!$B$22*IF($AW476,$AX476,Constants!$B$23),Constants!$B$24))</f>
        <v/>
      </c>
      <c r="BL476" s="136" t="str">
        <f aca="false">IF($BR476&lt;&gt;Constants!$B$8,"",Constants!$B$25*ABS($AD$9-IF($AT476,$AU476,0)))</f>
        <v/>
      </c>
      <c r="BM476" s="136" t="str">
        <f aca="false">IF($BR476&lt;&gt;Constants!$B$8,"",IF(AND($AT476,$AY476,$AW476),Constants!$B$27,0))</f>
        <v/>
      </c>
      <c r="BN476" s="136" t="str">
        <f aca="false">IF($BR476&lt;&gt;Constants!$B$8,"",IF($AT476,($AI476-Constants!$B$29)*Constants!$B$28,0))</f>
        <v/>
      </c>
      <c r="BO476" s="136" t="str">
        <f aca="false">IF($BR476&lt;&gt;Constants!$B$8,"",IF($AS476,0,Constants!$B$15)+IF($AR476,0,Constants!$B$16)+IF($AH476,0,Constants!$B$17))</f>
        <v/>
      </c>
      <c r="BP476" s="137" t="str">
        <f aca="false">IF($BR476&lt;&gt;Constants!$B$8,"",Constants!$B$20+SUM($BK476:$BO476))</f>
        <v/>
      </c>
      <c r="BQ476" s="133" t="str">
        <f aca="false">IF(ISBLANK($C476),"",IF(ISBLANK($D$7),$BQ$5,IF(NOT(ISNUMBER($D$7)),$BQ$6,"")))</f>
        <v/>
      </c>
      <c r="BR476" s="133" t="str">
        <f aca="false">IF(ISBLANK($C476),"",IF($BA476,Constants!$B$11,IF(COUNTA($E476:$AA476)=0,Constants!$B$10,IF(NOT($AG476),Constants!$B$9,IF(OR($BQ476&lt;&gt;"",$BB476,$BJ476),Constants!$B$12,Constants!$B$8)))))</f>
        <v/>
      </c>
      <c r="BS476" s="133" t="str">
        <f aca="false">IF(ISBLANK($C476),"",IF($BR476&lt;&gt;Constants!$B$8,$BR476,Constants!$B$13))</f>
        <v/>
      </c>
      <c r="BT476" s="136" t="str">
        <f aca="false">IF($BR476&lt;&gt;Constants!$B$8,"",IF($BI476="-&gt;",$BP476,$BH476))</f>
        <v/>
      </c>
      <c r="BU476" s="136" t="str">
        <f aca="false">IF($BR476&lt;&gt;Constants!$B$8,"",IF($AF476,0,Constants!$B$18))</f>
        <v/>
      </c>
      <c r="BV476" s="136" t="str">
        <f aca="false">IF($BR476&lt;&gt;Constants!$B$8,"",((Constants!$B$31-$AZ476)-Constants!$B$31)/Constants!$B$32)</f>
        <v/>
      </c>
      <c r="BW476" s="136" t="str">
        <f aca="false">IF(ISBLANK($C476),"",IF($BR476&lt;&gt;Constants!$B$8,$BR476,SUM($BT476:$BV476)))</f>
        <v/>
      </c>
      <c r="BX476" s="133" t="str">
        <f aca="false">IF(ISBLANK($C476),"",IF($BR476&lt;&gt;Constants!$B$8,$BR476,RANK($BW476,$BW$9:$BW$508,1)))</f>
        <v/>
      </c>
      <c r="BY476" s="136" t="str">
        <f aca="false">IF($BR476&lt;&gt;Constants!$B$8,"",IF($BI476="-&gt;",$BK476,$BC476))</f>
        <v/>
      </c>
      <c r="BZ476" s="133" t="str">
        <f aca="false">IF(ISBLANK($C476),"",IF($BR476&lt;&gt;Constants!$B$8,$BR476,IF(ISNUMBER($BY476),RANK($BY476,$BY$9:$BY$508,1),COUNT($BY$9:$BY$508)+1)))</f>
        <v/>
      </c>
      <c r="CA476" s="136" t="str">
        <f aca="false">IF($BR476&lt;&gt;Constants!$B$8,"",IF($BI476="-&gt;",$BL476,$BD476))</f>
        <v/>
      </c>
      <c r="CB476" s="133" t="str">
        <f aca="false">IF(ISBLANK($C476),"",IF($BR476&lt;&gt;Constants!$B$8,$BR476,IF(ISNUMBER($CA476),RANK($CA476,$CA$9:$CA$508,1),COUNT($CA$9:$CA$508)+1)))</f>
        <v/>
      </c>
      <c r="CC476" s="136" t="str">
        <f aca="false">IF($BR476&lt;&gt;Constants!$B$8,"",IF($BI476="-&gt;",IF($AT476,$AV476,""),IF($AL476,$AN476,"")))</f>
        <v/>
      </c>
      <c r="CD476" s="133" t="str">
        <f aca="false">IF(ISBLANK($C476),"",IF($BR476&lt;&gt;Constants!$B$8,$BR476,IF(ISNUMBER($CC476),RANK($CC476,$CC$9:$CC$508,1),COUNT($CC$9:$CC$508)+1)))</f>
        <v/>
      </c>
      <c r="CE476" s="136" t="str">
        <f aca="false">IF($BR476&lt;&gt;Constants!$B$8,"",IF(AND(NOT($AL476),NOT($AT476),$AJ476,$AK476,$AR476,$AS476),"",$AI476))</f>
        <v/>
      </c>
      <c r="CF476" s="133" t="str">
        <f aca="false">IF(ISBLANK($C476),"",IF($BR476&lt;&gt;Constants!$B$8,$BR476,IF(ISNUMBER($CE476),RANK($CE476,$CE$9:$CE$508,1),COUNT($CE$9:$CE$508)+1)))</f>
        <v/>
      </c>
      <c r="CG476" s="133" t="str">
        <f aca="false">IF(ISBLANK($C476),"",IF($BR476&lt;&gt;Constants!$B$8,$BR476,COUNTIFS($BX$9:$BX$508,"&lt;"&amp;$BX476)+COUNTIFS($BX$9:$BX$508,$BX476,$BZ$9:$BZ$508,"&lt;"&amp;$BZ476)+COUNTIFS($BX$9:$BX$508,$BX476,$BZ$9:$BZ$508,$BZ476,$CB$9:$CB$508,"&lt;"&amp;$CB476)+COUNTIFS($BX$9:$BX$508,$BX476,$BZ$9:$BZ$508,$BZ476,$CB$9:$CB$508,$CB476,$CD$9:$CD$508,"&lt;"&amp;$CD476)+COUNTIFS($BX$9:$BX$508,$BX476,$BZ$9:$BZ$508,$BZ476,$CB$9:$CB$508,$CB476,$CD$9:$CD$508,$CD476,$CF$9:$CF$508,"&lt;"&amp;$CF476)+1))</f>
        <v/>
      </c>
      <c r="CH476" s="133" t="str">
        <f aca="false">IF(ISBLANK($C476),"",IF($BR476&lt;&gt;Constants!$B$8,$BR476,$BX476-$CG476))</f>
        <v/>
      </c>
      <c r="CI476" s="138"/>
      <c r="CJ476" s="139"/>
      <c r="CK476" s="140" t="str">
        <f aca="false">IF(ISBLANK($C476),"",IF($BR476=Constants!$B$12,$BQ476,""))</f>
        <v/>
      </c>
      <c r="CL476" s="139" t="str">
        <f aca="false">IF(ISBLANK($C476),"",IF($BR476&lt;&gt;Constants!$B$8,"",IF($BI476="-&gt;",2,1)))</f>
        <v/>
      </c>
      <c r="CM476" s="141" t="str">
        <f aca="false">IF(ISBLANK($C476),"",IF($BR476&lt;&gt;Constants!$B$8,"",IF($BI476="-&gt;",$BK476,$BC476)))</f>
        <v/>
      </c>
      <c r="CN476" s="141" t="str">
        <f aca="false">IF(ISBLANK($C476),"",IF($BR476&lt;&gt;Constants!$B$8,"",IF($BI476="-&gt;",$BL476,$BD476)))</f>
        <v/>
      </c>
      <c r="CO476" s="141" t="str">
        <f aca="false">IF(ISBLANK($C476),"",IF($BR476&lt;&gt;Constants!$B$8,"",IF($BI476="-&gt;",$BM476+$BN476,$BE476+$BF476)+$BV476))</f>
        <v/>
      </c>
      <c r="CP476" s="141" t="str">
        <f aca="false">IF(ISBLANK($C476),"",IF($BR476&lt;&gt;Constants!$B$8,"",IF($BI476="-&gt;",$BO476,$BG476)+$BU476))</f>
        <v/>
      </c>
      <c r="CQ476" s="142" t="str">
        <f aca="false">IF(ISBLANK($C476),"",IF($BR476&lt;&gt;Constants!$B$8,$BR476,$BW476))</f>
        <v/>
      </c>
      <c r="CR476" s="143" t="str">
        <f aca="false">IF(ISBLANK($C476),"",$BS476)</f>
        <v/>
      </c>
      <c r="CS476" s="144" t="str">
        <f aca="false">IF(ISBLANK($C476),"",$CH476)</f>
        <v/>
      </c>
      <c r="CT476" s="144" t="str">
        <f aca="false">IF(ISBLANK($C476),"",$CG476)</f>
        <v/>
      </c>
      <c r="CU476" s="145" t="str">
        <f aca="false">IF(ISBLANK($C476),"",IFERROR(_xlfn.SWITCH($CT476,Constants!$B$11,COUNTA($C$9:$C$508)+2,Constants!$B$10,COUNTA($C$9:$C$508)+1,Constants!$B$9,COUNTA($C$9:$C$508)),$CT476))</f>
        <v/>
      </c>
      <c r="CV476" s="9"/>
      <c r="CW476" s="146" t="n">
        <f aca="false">IF(OR(ISNUMBER($CT476),$CT476=Constants!$B$11,$CT476=Constants!$B$9,$CT476=Constants!$B$10),1,0)</f>
        <v>0</v>
      </c>
      <c r="CX476" s="146" t="n">
        <v>468</v>
      </c>
      <c r="CY476" s="146" t="str">
        <f aca="false">IF(ISBLANK($C476),"",IF(ISNUMBER($CU476),$CU476+ROW($B476)/1000,""))</f>
        <v/>
      </c>
      <c r="CZ476" s="146" t="str">
        <f aca="false">IF(ISNUMBER($CY476),RANK($CY476,$CY$9:$CY$508,1),"")</f>
        <v/>
      </c>
      <c r="DA476" s="146" t="str">
        <f aca="false">IF(ISBLANK($C476),"",$B476)</f>
        <v/>
      </c>
      <c r="DB476" s="146" t="str">
        <f aca="false">IF(ISBLANK($C476),"",$C476)</f>
        <v/>
      </c>
      <c r="DC476" s="146" t="str">
        <f aca="false">IF(ISBLANK($C476),"",$D476)</f>
        <v/>
      </c>
      <c r="DD476" s="147" t="str">
        <f aca="false">$CR476</f>
        <v/>
      </c>
      <c r="DE476" s="148" t="str">
        <f aca="false">$CQ476</f>
        <v/>
      </c>
      <c r="DF476" s="146" t="str">
        <f aca="false">IF(ISBLANK($C476),"",$CT476)</f>
        <v/>
      </c>
      <c r="DG476" s="149" t="str">
        <f aca="false">IF($CX476&gt;$CW$8,"",VLOOKUP($CX476,$CZ$9:$DF$508,7,FALSE()))</f>
        <v/>
      </c>
      <c r="DH476" s="150" t="str">
        <f aca="false">IF($CX476&gt;$CW$8,"",VLOOKUP($CX476,$CZ$9:$DF$508,2,FALSE()))</f>
        <v/>
      </c>
      <c r="DI476" s="150" t="str">
        <f aca="false">IF($CX476&gt;$CW$8,"",VLOOKUP($CX476,$CZ$9:$DF$508,3,FALSE()))</f>
        <v/>
      </c>
      <c r="DJ476" s="150" t="str">
        <f aca="false">IF($CX476&gt;$CW$8,"",VLOOKUP($CX476,$CZ$9:$DF$508,4,FALSE()))</f>
        <v/>
      </c>
      <c r="DK476" s="150" t="str">
        <f aca="false">IF($CX476&gt;$CW$8,"",VLOOKUP($CX476,$CZ$9:$DF$508,5,FALSE()))</f>
        <v/>
      </c>
      <c r="DL476" s="151" t="str">
        <f aca="false">IF($CX476&gt;$CW$8,"",VLOOKUP($CX476,$CZ$9:$DF$508,6,FALSE()))</f>
        <v/>
      </c>
      <c r="DM476" s="75"/>
    </row>
    <row r="477" customFormat="false" ht="15.75" hidden="false" customHeight="false" outlineLevel="0" collapsed="false">
      <c r="A477" s="9"/>
      <c r="B477" s="77"/>
      <c r="C477" s="78"/>
      <c r="D477" s="167"/>
      <c r="E477" s="175"/>
      <c r="F477" s="169"/>
      <c r="G477" s="170"/>
      <c r="H477" s="170"/>
      <c r="I477" s="176"/>
      <c r="J477" s="173"/>
      <c r="K477" s="85"/>
      <c r="L477" s="86"/>
      <c r="M477" s="87"/>
      <c r="N477" s="173"/>
      <c r="O477" s="173"/>
      <c r="P477" s="175"/>
      <c r="Q477" s="173"/>
      <c r="R477" s="173"/>
      <c r="S477" s="85"/>
      <c r="T477" s="87"/>
      <c r="U477" s="87"/>
      <c r="V477" s="173"/>
      <c r="W477" s="173"/>
      <c r="X477" s="175"/>
      <c r="Y477" s="173"/>
      <c r="Z477" s="174"/>
      <c r="AA477" s="173"/>
      <c r="AB477" s="91"/>
      <c r="AC477" s="92"/>
      <c r="AD477" s="92"/>
      <c r="AE477" s="92"/>
      <c r="AF477" s="92" t="str">
        <f aca="false">IF(ISBLANK($C477),"",IF(E477=Constants!$B$3,TRUE(),IF(E477=Constants!$B$4,FALSE(),TRUE())))</f>
        <v/>
      </c>
      <c r="AG477" s="92" t="str">
        <f aca="false">IF(ISBLANK($C477),"",IF(F477=Constants!$B$3,TRUE(),IF(F477=Constants!$B$4,FALSE(),TRUE())))</f>
        <v/>
      </c>
      <c r="AH477" s="92" t="str">
        <f aca="false">IF(ISBLANK($C477),"",IF(G477=Constants!$B$3,TRUE(),IF(G477=Constants!$B$4,FALSE(),TRUE())))</f>
        <v/>
      </c>
      <c r="AI477" s="92" t="str">
        <f aca="false">IF(ISBLANK($C477),"",IF(AND(ISNUMBER(H477),H477&gt;=0),H477,Constants!$B$29))</f>
        <v/>
      </c>
      <c r="AJ477" s="92" t="str">
        <f aca="false">IF(ISBLANK($C477),"",IF(I477=Constants!$B$3,TRUE(),IF(I477=Constants!$B$4,FALSE(),TRUE())))</f>
        <v/>
      </c>
      <c r="AK477" s="92" t="str">
        <f aca="false">IF(ISBLANK($C477),"",IF(J477=Constants!$B$3,TRUE(),IF(J477=Constants!$B$4,FALSE(),TRUE())))</f>
        <v/>
      </c>
      <c r="AL477" s="92" t="str">
        <f aca="false">IF(ISBLANK($C477),"",IF(K477=Constants!$B$5,TRUE(),IF(K477=Constants!$B$6,FALSE(),COUNTA(L477:P477)&gt;0)))</f>
        <v/>
      </c>
      <c r="AM477" s="94" t="str">
        <f aca="false">IF(ISBLANK($C477),"",IF(ISNUMBER(L477),IF(L477&gt;=0,L477,""),""))</f>
        <v/>
      </c>
      <c r="AN477" s="93" t="str">
        <f aca="false">IF(ISBLANK($C477),"",IF(ISNUMBER(M477),IF(M477&gt;=0,M477,""),""))</f>
        <v/>
      </c>
      <c r="AO477" s="93" t="str">
        <f aca="false">IF(ISBLANK($C477),"",IF(N477=Constants!$B$3,TRUE(),IF(N477=Constants!$B$4,FALSE(),TRUE())))</f>
        <v/>
      </c>
      <c r="AP477" s="92" t="str">
        <f aca="false">IF(ISBLANK($C477),"",IF(ISNUMBER(O477),IF(O477&gt;=0,O477,""),""))</f>
        <v/>
      </c>
      <c r="AQ477" s="92" t="str">
        <f aca="false">IF(ISBLANK($C477),"",IF(P477=Constants!$B$3,TRUE(),IF(P477=Constants!$B$4,FALSE(),FALSE())))</f>
        <v/>
      </c>
      <c r="AR477" s="92" t="str">
        <f aca="false">IF(ISBLANK($C477),"",IF(Q477=Constants!$B$3,TRUE(),IF(Q477=Constants!$B$4,FALSE(),TRUE())))</f>
        <v/>
      </c>
      <c r="AS477" s="92" t="str">
        <f aca="false">IF(ISBLANK($C477),"",IF(R477=Constants!$B$3,TRUE(),IF(R477=Constants!$B$4,FALSE(),TRUE())))</f>
        <v/>
      </c>
      <c r="AT477" s="92" t="str">
        <f aca="false">IF(ISBLANK($C477),"",IF(S477=Constants!$B$5,TRUE(),IF(S477=Constants!$B$6,FALSE(),COUNTA(T477:X477)&gt;0)))</f>
        <v/>
      </c>
      <c r="AU477" s="94" t="str">
        <f aca="false">IF(ISBLANK($C477),"",IF(ISNUMBER(T477),IF(T477&gt;=0,T477,""),""))</f>
        <v/>
      </c>
      <c r="AV477" s="93" t="str">
        <f aca="false">IF(ISBLANK($C477),"",IF(ISNUMBER(U477),IF(U477&gt;=0,U477,""),""))</f>
        <v/>
      </c>
      <c r="AW477" s="93" t="str">
        <f aca="false">IF(ISBLANK($C477),"",IF(V477=Constants!$B$3,TRUE(),IF(V477=Constants!$B$4,FALSE(),TRUE())))</f>
        <v/>
      </c>
      <c r="AX477" s="92" t="str">
        <f aca="false">IF(ISBLANK($C477),"",IF(ISNUMBER(W477),IF(W477&gt;=0,W477,""),""))</f>
        <v/>
      </c>
      <c r="AY477" s="92" t="str">
        <f aca="false">IF(ISBLANK($C477),"",IF(X477=Constants!$B$3,TRUE(),IF(X477=Constants!$B$4,FALSE(),FALSE())))</f>
        <v/>
      </c>
      <c r="AZ477" s="92" t="str">
        <f aca="false">IF(ISBLANK($C477),"",MIN(Constants!$B$31,MAX(0,IF(ISNUMBER(Y477),Y477*60,0)+IF(ISNUMBER(Z477),Z477,0))))</f>
        <v/>
      </c>
      <c r="BA477" s="92" t="str">
        <f aca="false">IF(ISBLANK($C477),"",IF(AA477=Constants!$B$3,TRUE(),IF(AA477=Constants!$B$4,FALSE(),FALSE())))</f>
        <v/>
      </c>
      <c r="BB477" s="91" t="str">
        <f aca="false">IF(ISBLANK($C477),"",AND($AL477,OR($AM477="",$AN477="",AND($AO477,$AP477=""))))</f>
        <v/>
      </c>
      <c r="BC477" s="93" t="str">
        <f aca="false">IF($BR477&lt;&gt;Constants!$B$8,"",IF($AL477,Constants!$B$21*$AN477+Constants!$B$22*IF($AO477,$AP477,Constants!$B$23),Constants!$B$24))</f>
        <v/>
      </c>
      <c r="BD477" s="96" t="str">
        <f aca="false">IF($BR477&lt;&gt;Constants!$B$8,"",Constants!$B$25*ABS($AD$9-IF($AL477,$AM477,0)))</f>
        <v/>
      </c>
      <c r="BE477" s="96" t="str">
        <f aca="false">IF($BR477&lt;&gt;Constants!$B$8,"",IF(AND($AL477,$AQ477,$AO477),Constants!$B$27,0))</f>
        <v/>
      </c>
      <c r="BF477" s="96" t="str">
        <f aca="false">IF($BR477&lt;&gt;Constants!$B$8,"",IF($AL477,($AI477-Constants!$B$29)*Constants!$B$28,0))</f>
        <v/>
      </c>
      <c r="BG477" s="96" t="str">
        <f aca="false">IF($BR477&lt;&gt;Constants!$B$8,"",IF($AK477,0,Constants!$B$15)+IF($AJ477,0,Constants!$B$16)+IF($AH477,0,Constants!$B$17))</f>
        <v/>
      </c>
      <c r="BH477" s="97" t="str">
        <f aca="false">IF($BR477&lt;&gt;Constants!$B$8,"",Constants!$B$20+SUM($BC477:$BG477))</f>
        <v/>
      </c>
      <c r="BI477" s="92" t="str">
        <f aca="false">IF($BR477&lt;&gt;Constants!$B$8,"",IF(OR($BP477&lt;$BH477,AND($BP477=$BH477,OR($BK477&lt;$BC477,AND($BK477=$BC477,OR($BL477&lt;$BD477,AND($BL477=$BD477,$AT477,$AL477,$AV477&lt;$AN477)))))),"-&gt;","&lt;-"))</f>
        <v/>
      </c>
      <c r="BJ477" s="91" t="str">
        <f aca="false">IF(ISBLANK($C477),"",AND($AT477,OR($AU477="",$AV477="",AND($AW477,$AX477=""))))</f>
        <v/>
      </c>
      <c r="BK477" s="93" t="str">
        <f aca="false">IF($BR477&lt;&gt;Constants!$B$8,"",IF($AT477,Constants!$B$21*$AV477+Constants!$B$22*IF($AW477,$AX477,Constants!$B$23),Constants!$B$24))</f>
        <v/>
      </c>
      <c r="BL477" s="96" t="str">
        <f aca="false">IF($BR477&lt;&gt;Constants!$B$8,"",Constants!$B$25*ABS($AD$9-IF($AT477,$AU477,0)))</f>
        <v/>
      </c>
      <c r="BM477" s="96" t="str">
        <f aca="false">IF($BR477&lt;&gt;Constants!$B$8,"",IF(AND($AT477,$AY477,$AW477),Constants!$B$27,0))</f>
        <v/>
      </c>
      <c r="BN477" s="96" t="str">
        <f aca="false">IF($BR477&lt;&gt;Constants!$B$8,"",IF($AT477,($AI477-Constants!$B$29)*Constants!$B$28,0))</f>
        <v/>
      </c>
      <c r="BO477" s="96" t="str">
        <f aca="false">IF($BR477&lt;&gt;Constants!$B$8,"",IF($AS477,0,Constants!$B$15)+IF($AR477,0,Constants!$B$16)+IF($AH477,0,Constants!$B$17))</f>
        <v/>
      </c>
      <c r="BP477" s="97" t="str">
        <f aca="false">IF($BR477&lt;&gt;Constants!$B$8,"",Constants!$B$20+SUM($BK477:$BO477))</f>
        <v/>
      </c>
      <c r="BQ477" s="92" t="str">
        <f aca="false">IF(ISBLANK($C477),"",IF(ISBLANK($D$7),$BQ$5,IF(NOT(ISNUMBER($D$7)),$BQ$6,"")))</f>
        <v/>
      </c>
      <c r="BR477" s="92" t="str">
        <f aca="false">IF(ISBLANK($C477),"",IF($BA477,Constants!$B$11,IF(COUNTA($E477:$AA477)=0,Constants!$B$10,IF(NOT($AG477),Constants!$B$9,IF(OR($BQ477&lt;&gt;"",$BB477,$BJ477),Constants!$B$12,Constants!$B$8)))))</f>
        <v/>
      </c>
      <c r="BS477" s="92" t="str">
        <f aca="false">IF(ISBLANK($C477),"",IF($BR477&lt;&gt;Constants!$B$8,$BR477,Constants!$B$13))</f>
        <v/>
      </c>
      <c r="BT477" s="96" t="str">
        <f aca="false">IF($BR477&lt;&gt;Constants!$B$8,"",IF($BI477="-&gt;",$BP477,$BH477))</f>
        <v/>
      </c>
      <c r="BU477" s="96" t="str">
        <f aca="false">IF($BR477&lt;&gt;Constants!$B$8,"",IF($AF477,0,Constants!$B$18))</f>
        <v/>
      </c>
      <c r="BV477" s="96" t="str">
        <f aca="false">IF($BR477&lt;&gt;Constants!$B$8,"",((Constants!$B$31-$AZ477)-Constants!$B$31)/Constants!$B$32)</f>
        <v/>
      </c>
      <c r="BW477" s="96" t="str">
        <f aca="false">IF(ISBLANK($C477),"",IF($BR477&lt;&gt;Constants!$B$8,$BR477,SUM($BT477:$BV477)))</f>
        <v/>
      </c>
      <c r="BX477" s="92" t="str">
        <f aca="false">IF(ISBLANK($C477),"",IF($BR477&lt;&gt;Constants!$B$8,$BR477,RANK($BW477,$BW$9:$BW$508,1)))</f>
        <v/>
      </c>
      <c r="BY477" s="96" t="str">
        <f aca="false">IF($BR477&lt;&gt;Constants!$B$8,"",IF($BI477="-&gt;",$BK477,$BC477))</f>
        <v/>
      </c>
      <c r="BZ477" s="92" t="str">
        <f aca="false">IF(ISBLANK($C477),"",IF($BR477&lt;&gt;Constants!$B$8,$BR477,IF(ISNUMBER($BY477),RANK($BY477,$BY$9:$BY$508,1),COUNT($BY$9:$BY$508)+1)))</f>
        <v/>
      </c>
      <c r="CA477" s="96" t="str">
        <f aca="false">IF($BR477&lt;&gt;Constants!$B$8,"",IF($BI477="-&gt;",$BL477,$BD477))</f>
        <v/>
      </c>
      <c r="CB477" s="92" t="str">
        <f aca="false">IF(ISBLANK($C477),"",IF($BR477&lt;&gt;Constants!$B$8,$BR477,IF(ISNUMBER($CA477),RANK($CA477,$CA$9:$CA$508,1),COUNT($CA$9:$CA$508)+1)))</f>
        <v/>
      </c>
      <c r="CC477" s="96" t="str">
        <f aca="false">IF($BR477&lt;&gt;Constants!$B$8,"",IF($BI477="-&gt;",IF($AT477,$AV477,""),IF($AL477,$AN477,"")))</f>
        <v/>
      </c>
      <c r="CD477" s="92" t="str">
        <f aca="false">IF(ISBLANK($C477),"",IF($BR477&lt;&gt;Constants!$B$8,$BR477,IF(ISNUMBER($CC477),RANK($CC477,$CC$9:$CC$508,1),COUNT($CC$9:$CC$508)+1)))</f>
        <v/>
      </c>
      <c r="CE477" s="96" t="str">
        <f aca="false">IF($BR477&lt;&gt;Constants!$B$8,"",IF(AND(NOT($AL477),NOT($AT477),$AJ477,$AK477,$AR477,$AS477),"",$AI477))</f>
        <v/>
      </c>
      <c r="CF477" s="92" t="str">
        <f aca="false">IF(ISBLANK($C477),"",IF($BR477&lt;&gt;Constants!$B$8,$BR477,IF(ISNUMBER($CE477),RANK($CE477,$CE$9:$CE$508,1),COUNT($CE$9:$CE$508)+1)))</f>
        <v/>
      </c>
      <c r="CG477" s="92" t="str">
        <f aca="false">IF(ISBLANK($C477),"",IF($BR477&lt;&gt;Constants!$B$8,$BR477,COUNTIFS($BX$9:$BX$508,"&lt;"&amp;$BX477)+COUNTIFS($BX$9:$BX$508,$BX477,$BZ$9:$BZ$508,"&lt;"&amp;$BZ477)+COUNTIFS($BX$9:$BX$508,$BX477,$BZ$9:$BZ$508,$BZ477,$CB$9:$CB$508,"&lt;"&amp;$CB477)+COUNTIFS($BX$9:$BX$508,$BX477,$BZ$9:$BZ$508,$BZ477,$CB$9:$CB$508,$CB477,$CD$9:$CD$508,"&lt;"&amp;$CD477)+COUNTIFS($BX$9:$BX$508,$BX477,$BZ$9:$BZ$508,$BZ477,$CB$9:$CB$508,$CB477,$CD$9:$CD$508,$CD477,$CF$9:$CF$508,"&lt;"&amp;$CF477)+1))</f>
        <v/>
      </c>
      <c r="CH477" s="92" t="str">
        <f aca="false">IF(ISBLANK($C477),"",IF($BR477&lt;&gt;Constants!$B$8,$BR477,$BX477-$CG477))</f>
        <v/>
      </c>
      <c r="CI477" s="98"/>
      <c r="CJ477" s="99"/>
      <c r="CK477" s="100" t="str">
        <f aca="false">IF(ISBLANK($C477),"",IF($BR477=Constants!$B$12,$BQ477,""))</f>
        <v/>
      </c>
      <c r="CL477" s="99" t="str">
        <f aca="false">IF(ISBLANK($C477),"",IF($BR477&lt;&gt;Constants!$B$8,"",IF($BI477="-&gt;",2,1)))</f>
        <v/>
      </c>
      <c r="CM477" s="101" t="str">
        <f aca="false">IF(ISBLANK($C477),"",IF($BR477&lt;&gt;Constants!$B$8,"",IF($BI477="-&gt;",$BK477,$BC477)))</f>
        <v/>
      </c>
      <c r="CN477" s="101" t="str">
        <f aca="false">IF(ISBLANK($C477),"",IF($BR477&lt;&gt;Constants!$B$8,"",IF($BI477="-&gt;",$BL477,$BD477)))</f>
        <v/>
      </c>
      <c r="CO477" s="101" t="str">
        <f aca="false">IF(ISBLANK($C477),"",IF($BR477&lt;&gt;Constants!$B$8,"",IF($BI477="-&gt;",$BM477+$BN477,$BE477+$BF477)+$BV477))</f>
        <v/>
      </c>
      <c r="CP477" s="101" t="str">
        <f aca="false">IF(ISBLANK($C477),"",IF($BR477&lt;&gt;Constants!$B$8,"",IF($BI477="-&gt;",$BO477,$BG477)+$BU477))</f>
        <v/>
      </c>
      <c r="CQ477" s="102" t="str">
        <f aca="false">IF(ISBLANK($C477),"",IF($BR477&lt;&gt;Constants!$B$8,$BR477,$BW477))</f>
        <v/>
      </c>
      <c r="CR477" s="103" t="str">
        <f aca="false">IF(ISBLANK($C477),"",$BS477)</f>
        <v/>
      </c>
      <c r="CS477" s="104" t="str">
        <f aca="false">IF(ISBLANK($C477),"",$CH477)</f>
        <v/>
      </c>
      <c r="CT477" s="104" t="str">
        <f aca="false">IF(ISBLANK($C477),"",$CG477)</f>
        <v/>
      </c>
      <c r="CU477" s="105" t="str">
        <f aca="false">IF(ISBLANK($C477),"",IFERROR(_xlfn.SWITCH($CT477,Constants!$B$11,COUNTA($C$9:$C$508)+2,Constants!$B$10,COUNTA($C$9:$C$508)+1,Constants!$B$9,COUNTA($C$9:$C$508)),$CT477))</f>
        <v/>
      </c>
      <c r="CV477" s="9"/>
      <c r="CW477" s="106" t="n">
        <f aca="false">IF(OR(ISNUMBER($CT477),$CT477=Constants!$B$11,$CT477=Constants!$B$9,$CT477=Constants!$B$10),1,0)</f>
        <v>0</v>
      </c>
      <c r="CX477" s="106" t="n">
        <v>469</v>
      </c>
      <c r="CY477" s="106" t="str">
        <f aca="false">IF(ISBLANK($C477),"",IF(ISNUMBER($CU477),$CU477+ROW($B477)/1000,""))</f>
        <v/>
      </c>
      <c r="CZ477" s="106" t="str">
        <f aca="false">IF(ISNUMBER($CY477),RANK($CY477,$CY$9:$CY$508,1),"")</f>
        <v/>
      </c>
      <c r="DA477" s="106" t="str">
        <f aca="false">IF(ISBLANK($C477),"",$B477)</f>
        <v/>
      </c>
      <c r="DB477" s="106" t="str">
        <f aca="false">IF(ISBLANK($C477),"",$C477)</f>
        <v/>
      </c>
      <c r="DC477" s="106" t="str">
        <f aca="false">IF(ISBLANK($C477),"",$D477)</f>
        <v/>
      </c>
      <c r="DD477" s="107" t="str">
        <f aca="false">$CR477</f>
        <v/>
      </c>
      <c r="DE477" s="108" t="str">
        <f aca="false">$CQ477</f>
        <v/>
      </c>
      <c r="DF477" s="106" t="str">
        <f aca="false">IF(ISBLANK($C477),"",$CT477)</f>
        <v/>
      </c>
      <c r="DG477" s="109" t="str">
        <f aca="false">IF($CX477&gt;$CW$8,"",VLOOKUP($CX477,$CZ$9:$DF$508,7,FALSE()))</f>
        <v/>
      </c>
      <c r="DH477" s="110" t="str">
        <f aca="false">IF($CX477&gt;$CW$8,"",VLOOKUP($CX477,$CZ$9:$DF$508,2,FALSE()))</f>
        <v/>
      </c>
      <c r="DI477" s="110" t="str">
        <f aca="false">IF($CX477&gt;$CW$8,"",VLOOKUP($CX477,$CZ$9:$DF$508,3,FALSE()))</f>
        <v/>
      </c>
      <c r="DJ477" s="110" t="str">
        <f aca="false">IF($CX477&gt;$CW$8,"",VLOOKUP($CX477,$CZ$9:$DF$508,4,FALSE()))</f>
        <v/>
      </c>
      <c r="DK477" s="110" t="str">
        <f aca="false">IF($CX477&gt;$CW$8,"",VLOOKUP($CX477,$CZ$9:$DF$508,5,FALSE()))</f>
        <v/>
      </c>
      <c r="DL477" s="111" t="str">
        <f aca="false">IF($CX477&gt;$CW$8,"",VLOOKUP($CX477,$CZ$9:$DF$508,6,FALSE()))</f>
        <v/>
      </c>
      <c r="DM477" s="75"/>
    </row>
    <row r="478" customFormat="false" ht="15.75" hidden="false" customHeight="false" outlineLevel="0" collapsed="false">
      <c r="A478" s="9"/>
      <c r="B478" s="77"/>
      <c r="C478" s="78"/>
      <c r="D478" s="167"/>
      <c r="E478" s="175"/>
      <c r="F478" s="169"/>
      <c r="G478" s="170"/>
      <c r="H478" s="170"/>
      <c r="I478" s="176"/>
      <c r="J478" s="173"/>
      <c r="K478" s="85"/>
      <c r="L478" s="86"/>
      <c r="M478" s="87"/>
      <c r="N478" s="173"/>
      <c r="O478" s="173"/>
      <c r="P478" s="175"/>
      <c r="Q478" s="173"/>
      <c r="R478" s="173"/>
      <c r="S478" s="85"/>
      <c r="T478" s="87"/>
      <c r="U478" s="87"/>
      <c r="V478" s="173"/>
      <c r="W478" s="173"/>
      <c r="X478" s="175"/>
      <c r="Y478" s="173"/>
      <c r="Z478" s="174"/>
      <c r="AA478" s="173"/>
      <c r="AB478" s="91"/>
      <c r="AC478" s="92"/>
      <c r="AD478" s="92"/>
      <c r="AE478" s="92"/>
      <c r="AF478" s="92" t="str">
        <f aca="false">IF(ISBLANK($C478),"",IF(E478=Constants!$B$3,TRUE(),IF(E478=Constants!$B$4,FALSE(),TRUE())))</f>
        <v/>
      </c>
      <c r="AG478" s="92" t="str">
        <f aca="false">IF(ISBLANK($C478),"",IF(F478=Constants!$B$3,TRUE(),IF(F478=Constants!$B$4,FALSE(),TRUE())))</f>
        <v/>
      </c>
      <c r="AH478" s="92" t="str">
        <f aca="false">IF(ISBLANK($C478),"",IF(G478=Constants!$B$3,TRUE(),IF(G478=Constants!$B$4,FALSE(),TRUE())))</f>
        <v/>
      </c>
      <c r="AI478" s="92" t="str">
        <f aca="false">IF(ISBLANK($C478),"",IF(AND(ISNUMBER(H478),H478&gt;=0),H478,Constants!$B$29))</f>
        <v/>
      </c>
      <c r="AJ478" s="92" t="str">
        <f aca="false">IF(ISBLANK($C478),"",IF(I478=Constants!$B$3,TRUE(),IF(I478=Constants!$B$4,FALSE(),TRUE())))</f>
        <v/>
      </c>
      <c r="AK478" s="92" t="str">
        <f aca="false">IF(ISBLANK($C478),"",IF(J478=Constants!$B$3,TRUE(),IF(J478=Constants!$B$4,FALSE(),TRUE())))</f>
        <v/>
      </c>
      <c r="AL478" s="92" t="str">
        <f aca="false">IF(ISBLANK($C478),"",IF(K478=Constants!$B$5,TRUE(),IF(K478=Constants!$B$6,FALSE(),COUNTA(L478:P478)&gt;0)))</f>
        <v/>
      </c>
      <c r="AM478" s="94" t="str">
        <f aca="false">IF(ISBLANK($C478),"",IF(ISNUMBER(L478),IF(L478&gt;=0,L478,""),""))</f>
        <v/>
      </c>
      <c r="AN478" s="93" t="str">
        <f aca="false">IF(ISBLANK($C478),"",IF(ISNUMBER(M478),IF(M478&gt;=0,M478,""),""))</f>
        <v/>
      </c>
      <c r="AO478" s="93" t="str">
        <f aca="false">IF(ISBLANK($C478),"",IF(N478=Constants!$B$3,TRUE(),IF(N478=Constants!$B$4,FALSE(),TRUE())))</f>
        <v/>
      </c>
      <c r="AP478" s="92" t="str">
        <f aca="false">IF(ISBLANK($C478),"",IF(ISNUMBER(O478),IF(O478&gt;=0,O478,""),""))</f>
        <v/>
      </c>
      <c r="AQ478" s="92" t="str">
        <f aca="false">IF(ISBLANK($C478),"",IF(P478=Constants!$B$3,TRUE(),IF(P478=Constants!$B$4,FALSE(),FALSE())))</f>
        <v/>
      </c>
      <c r="AR478" s="92" t="str">
        <f aca="false">IF(ISBLANK($C478),"",IF(Q478=Constants!$B$3,TRUE(),IF(Q478=Constants!$B$4,FALSE(),TRUE())))</f>
        <v/>
      </c>
      <c r="AS478" s="92" t="str">
        <f aca="false">IF(ISBLANK($C478),"",IF(R478=Constants!$B$3,TRUE(),IF(R478=Constants!$B$4,FALSE(),TRUE())))</f>
        <v/>
      </c>
      <c r="AT478" s="92" t="str">
        <f aca="false">IF(ISBLANK($C478),"",IF(S478=Constants!$B$5,TRUE(),IF(S478=Constants!$B$6,FALSE(),COUNTA(T478:X478)&gt;0)))</f>
        <v/>
      </c>
      <c r="AU478" s="94" t="str">
        <f aca="false">IF(ISBLANK($C478),"",IF(ISNUMBER(T478),IF(T478&gt;=0,T478,""),""))</f>
        <v/>
      </c>
      <c r="AV478" s="93" t="str">
        <f aca="false">IF(ISBLANK($C478),"",IF(ISNUMBER(U478),IF(U478&gt;=0,U478,""),""))</f>
        <v/>
      </c>
      <c r="AW478" s="93" t="str">
        <f aca="false">IF(ISBLANK($C478),"",IF(V478=Constants!$B$3,TRUE(),IF(V478=Constants!$B$4,FALSE(),TRUE())))</f>
        <v/>
      </c>
      <c r="AX478" s="92" t="str">
        <f aca="false">IF(ISBLANK($C478),"",IF(ISNUMBER(W478),IF(W478&gt;=0,W478,""),""))</f>
        <v/>
      </c>
      <c r="AY478" s="92" t="str">
        <f aca="false">IF(ISBLANK($C478),"",IF(X478=Constants!$B$3,TRUE(),IF(X478=Constants!$B$4,FALSE(),FALSE())))</f>
        <v/>
      </c>
      <c r="AZ478" s="92" t="str">
        <f aca="false">IF(ISBLANK($C478),"",MIN(Constants!$B$31,MAX(0,IF(ISNUMBER(Y478),Y478*60,0)+IF(ISNUMBER(Z478),Z478,0))))</f>
        <v/>
      </c>
      <c r="BA478" s="92" t="str">
        <f aca="false">IF(ISBLANK($C478),"",IF(AA478=Constants!$B$3,TRUE(),IF(AA478=Constants!$B$4,FALSE(),FALSE())))</f>
        <v/>
      </c>
      <c r="BB478" s="91" t="str">
        <f aca="false">IF(ISBLANK($C478),"",AND($AL478,OR($AM478="",$AN478="",AND($AO478,$AP478=""))))</f>
        <v/>
      </c>
      <c r="BC478" s="93" t="str">
        <f aca="false">IF($BR478&lt;&gt;Constants!$B$8,"",IF($AL478,Constants!$B$21*$AN478+Constants!$B$22*IF($AO478,$AP478,Constants!$B$23),Constants!$B$24))</f>
        <v/>
      </c>
      <c r="BD478" s="96" t="str">
        <f aca="false">IF($BR478&lt;&gt;Constants!$B$8,"",Constants!$B$25*ABS($AD$9-IF($AL478,$AM478,0)))</f>
        <v/>
      </c>
      <c r="BE478" s="96" t="str">
        <f aca="false">IF($BR478&lt;&gt;Constants!$B$8,"",IF(AND($AL478,$AQ478,$AO478),Constants!$B$27,0))</f>
        <v/>
      </c>
      <c r="BF478" s="96" t="str">
        <f aca="false">IF($BR478&lt;&gt;Constants!$B$8,"",IF($AL478,($AI478-Constants!$B$29)*Constants!$B$28,0))</f>
        <v/>
      </c>
      <c r="BG478" s="96" t="str">
        <f aca="false">IF($BR478&lt;&gt;Constants!$B$8,"",IF($AK478,0,Constants!$B$15)+IF($AJ478,0,Constants!$B$16)+IF($AH478,0,Constants!$B$17))</f>
        <v/>
      </c>
      <c r="BH478" s="97" t="str">
        <f aca="false">IF($BR478&lt;&gt;Constants!$B$8,"",Constants!$B$20+SUM($BC478:$BG478))</f>
        <v/>
      </c>
      <c r="BI478" s="92" t="str">
        <f aca="false">IF($BR478&lt;&gt;Constants!$B$8,"",IF(OR($BP478&lt;$BH478,AND($BP478=$BH478,OR($BK478&lt;$BC478,AND($BK478=$BC478,OR($BL478&lt;$BD478,AND($BL478=$BD478,$AT478,$AL478,$AV478&lt;$AN478)))))),"-&gt;","&lt;-"))</f>
        <v/>
      </c>
      <c r="BJ478" s="91" t="str">
        <f aca="false">IF(ISBLANK($C478),"",AND($AT478,OR($AU478="",$AV478="",AND($AW478,$AX478=""))))</f>
        <v/>
      </c>
      <c r="BK478" s="93" t="str">
        <f aca="false">IF($BR478&lt;&gt;Constants!$B$8,"",IF($AT478,Constants!$B$21*$AV478+Constants!$B$22*IF($AW478,$AX478,Constants!$B$23),Constants!$B$24))</f>
        <v/>
      </c>
      <c r="BL478" s="96" t="str">
        <f aca="false">IF($BR478&lt;&gt;Constants!$B$8,"",Constants!$B$25*ABS($AD$9-IF($AT478,$AU478,0)))</f>
        <v/>
      </c>
      <c r="BM478" s="96" t="str">
        <f aca="false">IF($BR478&lt;&gt;Constants!$B$8,"",IF(AND($AT478,$AY478,$AW478),Constants!$B$27,0))</f>
        <v/>
      </c>
      <c r="BN478" s="96" t="str">
        <f aca="false">IF($BR478&lt;&gt;Constants!$B$8,"",IF($AT478,($AI478-Constants!$B$29)*Constants!$B$28,0))</f>
        <v/>
      </c>
      <c r="BO478" s="96" t="str">
        <f aca="false">IF($BR478&lt;&gt;Constants!$B$8,"",IF($AS478,0,Constants!$B$15)+IF($AR478,0,Constants!$B$16)+IF($AH478,0,Constants!$B$17))</f>
        <v/>
      </c>
      <c r="BP478" s="97" t="str">
        <f aca="false">IF($BR478&lt;&gt;Constants!$B$8,"",Constants!$B$20+SUM($BK478:$BO478))</f>
        <v/>
      </c>
      <c r="BQ478" s="92" t="str">
        <f aca="false">IF(ISBLANK($C478),"",IF(ISBLANK($D$7),$BQ$5,IF(NOT(ISNUMBER($D$7)),$BQ$6,"")))</f>
        <v/>
      </c>
      <c r="BR478" s="92" t="str">
        <f aca="false">IF(ISBLANK($C478),"",IF($BA478,Constants!$B$11,IF(COUNTA($E478:$AA478)=0,Constants!$B$10,IF(NOT($AG478),Constants!$B$9,IF(OR($BQ478&lt;&gt;"",$BB478,$BJ478),Constants!$B$12,Constants!$B$8)))))</f>
        <v/>
      </c>
      <c r="BS478" s="92" t="str">
        <f aca="false">IF(ISBLANK($C478),"",IF($BR478&lt;&gt;Constants!$B$8,$BR478,Constants!$B$13))</f>
        <v/>
      </c>
      <c r="BT478" s="96" t="str">
        <f aca="false">IF($BR478&lt;&gt;Constants!$B$8,"",IF($BI478="-&gt;",$BP478,$BH478))</f>
        <v/>
      </c>
      <c r="BU478" s="96" t="str">
        <f aca="false">IF($BR478&lt;&gt;Constants!$B$8,"",IF($AF478,0,Constants!$B$18))</f>
        <v/>
      </c>
      <c r="BV478" s="96" t="str">
        <f aca="false">IF($BR478&lt;&gt;Constants!$B$8,"",((Constants!$B$31-$AZ478)-Constants!$B$31)/Constants!$B$32)</f>
        <v/>
      </c>
      <c r="BW478" s="96" t="str">
        <f aca="false">IF(ISBLANK($C478),"",IF($BR478&lt;&gt;Constants!$B$8,$BR478,SUM($BT478:$BV478)))</f>
        <v/>
      </c>
      <c r="BX478" s="92" t="str">
        <f aca="false">IF(ISBLANK($C478),"",IF($BR478&lt;&gt;Constants!$B$8,$BR478,RANK($BW478,$BW$9:$BW$508,1)))</f>
        <v/>
      </c>
      <c r="BY478" s="96" t="str">
        <f aca="false">IF($BR478&lt;&gt;Constants!$B$8,"",IF($BI478="-&gt;",$BK478,$BC478))</f>
        <v/>
      </c>
      <c r="BZ478" s="92" t="str">
        <f aca="false">IF(ISBLANK($C478),"",IF($BR478&lt;&gt;Constants!$B$8,$BR478,IF(ISNUMBER($BY478),RANK($BY478,$BY$9:$BY$508,1),COUNT($BY$9:$BY$508)+1)))</f>
        <v/>
      </c>
      <c r="CA478" s="96" t="str">
        <f aca="false">IF($BR478&lt;&gt;Constants!$B$8,"",IF($BI478="-&gt;",$BL478,$BD478))</f>
        <v/>
      </c>
      <c r="CB478" s="92" t="str">
        <f aca="false">IF(ISBLANK($C478),"",IF($BR478&lt;&gt;Constants!$B$8,$BR478,IF(ISNUMBER($CA478),RANK($CA478,$CA$9:$CA$508,1),COUNT($CA$9:$CA$508)+1)))</f>
        <v/>
      </c>
      <c r="CC478" s="96" t="str">
        <f aca="false">IF($BR478&lt;&gt;Constants!$B$8,"",IF($BI478="-&gt;",IF($AT478,$AV478,""),IF($AL478,$AN478,"")))</f>
        <v/>
      </c>
      <c r="CD478" s="92" t="str">
        <f aca="false">IF(ISBLANK($C478),"",IF($BR478&lt;&gt;Constants!$B$8,$BR478,IF(ISNUMBER($CC478),RANK($CC478,$CC$9:$CC$508,1),COUNT($CC$9:$CC$508)+1)))</f>
        <v/>
      </c>
      <c r="CE478" s="96" t="str">
        <f aca="false">IF($BR478&lt;&gt;Constants!$B$8,"",IF(AND(NOT($AL478),NOT($AT478),$AJ478,$AK478,$AR478,$AS478),"",$AI478))</f>
        <v/>
      </c>
      <c r="CF478" s="92" t="str">
        <f aca="false">IF(ISBLANK($C478),"",IF($BR478&lt;&gt;Constants!$B$8,$BR478,IF(ISNUMBER($CE478),RANK($CE478,$CE$9:$CE$508,1),COUNT($CE$9:$CE$508)+1)))</f>
        <v/>
      </c>
      <c r="CG478" s="92" t="str">
        <f aca="false">IF(ISBLANK($C478),"",IF($BR478&lt;&gt;Constants!$B$8,$BR478,COUNTIFS($BX$9:$BX$508,"&lt;"&amp;$BX478)+COUNTIFS($BX$9:$BX$508,$BX478,$BZ$9:$BZ$508,"&lt;"&amp;$BZ478)+COUNTIFS($BX$9:$BX$508,$BX478,$BZ$9:$BZ$508,$BZ478,$CB$9:$CB$508,"&lt;"&amp;$CB478)+COUNTIFS($BX$9:$BX$508,$BX478,$BZ$9:$BZ$508,$BZ478,$CB$9:$CB$508,$CB478,$CD$9:$CD$508,"&lt;"&amp;$CD478)+COUNTIFS($BX$9:$BX$508,$BX478,$BZ$9:$BZ$508,$BZ478,$CB$9:$CB$508,$CB478,$CD$9:$CD$508,$CD478,$CF$9:$CF$508,"&lt;"&amp;$CF478)+1))</f>
        <v/>
      </c>
      <c r="CH478" s="92" t="str">
        <f aca="false">IF(ISBLANK($C478),"",IF($BR478&lt;&gt;Constants!$B$8,$BR478,$BX478-$CG478))</f>
        <v/>
      </c>
      <c r="CI478" s="98"/>
      <c r="CJ478" s="99"/>
      <c r="CK478" s="100" t="str">
        <f aca="false">IF(ISBLANK($C478),"",IF($BR478=Constants!$B$12,$BQ478,""))</f>
        <v/>
      </c>
      <c r="CL478" s="99" t="str">
        <f aca="false">IF(ISBLANK($C478),"",IF($BR478&lt;&gt;Constants!$B$8,"",IF($BI478="-&gt;",2,1)))</f>
        <v/>
      </c>
      <c r="CM478" s="101" t="str">
        <f aca="false">IF(ISBLANK($C478),"",IF($BR478&lt;&gt;Constants!$B$8,"",IF($BI478="-&gt;",$BK478,$BC478)))</f>
        <v/>
      </c>
      <c r="CN478" s="101" t="str">
        <f aca="false">IF(ISBLANK($C478),"",IF($BR478&lt;&gt;Constants!$B$8,"",IF($BI478="-&gt;",$BL478,$BD478)))</f>
        <v/>
      </c>
      <c r="CO478" s="101" t="str">
        <f aca="false">IF(ISBLANK($C478),"",IF($BR478&lt;&gt;Constants!$B$8,"",IF($BI478="-&gt;",$BM478+$BN478,$BE478+$BF478)+$BV478))</f>
        <v/>
      </c>
      <c r="CP478" s="101" t="str">
        <f aca="false">IF(ISBLANK($C478),"",IF($BR478&lt;&gt;Constants!$B$8,"",IF($BI478="-&gt;",$BO478,$BG478)+$BU478))</f>
        <v/>
      </c>
      <c r="CQ478" s="102" t="str">
        <f aca="false">IF(ISBLANK($C478),"",IF($BR478&lt;&gt;Constants!$B$8,$BR478,$BW478))</f>
        <v/>
      </c>
      <c r="CR478" s="103" t="str">
        <f aca="false">IF(ISBLANK($C478),"",$BS478)</f>
        <v/>
      </c>
      <c r="CS478" s="104" t="str">
        <f aca="false">IF(ISBLANK($C478),"",$CH478)</f>
        <v/>
      </c>
      <c r="CT478" s="104" t="str">
        <f aca="false">IF(ISBLANK($C478),"",$CG478)</f>
        <v/>
      </c>
      <c r="CU478" s="105" t="str">
        <f aca="false">IF(ISBLANK($C478),"",IFERROR(_xlfn.SWITCH($CT478,Constants!$B$11,COUNTA($C$9:$C$508)+2,Constants!$B$10,COUNTA($C$9:$C$508)+1,Constants!$B$9,COUNTA($C$9:$C$508)),$CT478))</f>
        <v/>
      </c>
      <c r="CV478" s="9"/>
      <c r="CW478" s="106" t="n">
        <f aca="false">IF(OR(ISNUMBER($CT478),$CT478=Constants!$B$11,$CT478=Constants!$B$9,$CT478=Constants!$B$10),1,0)</f>
        <v>0</v>
      </c>
      <c r="CX478" s="106" t="n">
        <v>470</v>
      </c>
      <c r="CY478" s="106" t="str">
        <f aca="false">IF(ISBLANK($C478),"",IF(ISNUMBER($CU478),$CU478+ROW($B478)/1000,""))</f>
        <v/>
      </c>
      <c r="CZ478" s="106" t="str">
        <f aca="false">IF(ISNUMBER($CY478),RANK($CY478,$CY$9:$CY$508,1),"")</f>
        <v/>
      </c>
      <c r="DA478" s="106" t="str">
        <f aca="false">IF(ISBLANK($C478),"",$B478)</f>
        <v/>
      </c>
      <c r="DB478" s="106" t="str">
        <f aca="false">IF(ISBLANK($C478),"",$C478)</f>
        <v/>
      </c>
      <c r="DC478" s="106" t="str">
        <f aca="false">IF(ISBLANK($C478),"",$D478)</f>
        <v/>
      </c>
      <c r="DD478" s="107" t="str">
        <f aca="false">$CR478</f>
        <v/>
      </c>
      <c r="DE478" s="108" t="str">
        <f aca="false">$CQ478</f>
        <v/>
      </c>
      <c r="DF478" s="106" t="str">
        <f aca="false">IF(ISBLANK($C478),"",$CT478)</f>
        <v/>
      </c>
      <c r="DG478" s="109" t="str">
        <f aca="false">IF($CX478&gt;$CW$8,"",VLOOKUP($CX478,$CZ$9:$DF$508,7,FALSE()))</f>
        <v/>
      </c>
      <c r="DH478" s="110" t="str">
        <f aca="false">IF($CX478&gt;$CW$8,"",VLOOKUP($CX478,$CZ$9:$DF$508,2,FALSE()))</f>
        <v/>
      </c>
      <c r="DI478" s="110" t="str">
        <f aca="false">IF($CX478&gt;$CW$8,"",VLOOKUP($CX478,$CZ$9:$DF$508,3,FALSE()))</f>
        <v/>
      </c>
      <c r="DJ478" s="110" t="str">
        <f aca="false">IF($CX478&gt;$CW$8,"",VLOOKUP($CX478,$CZ$9:$DF$508,4,FALSE()))</f>
        <v/>
      </c>
      <c r="DK478" s="110" t="str">
        <f aca="false">IF($CX478&gt;$CW$8,"",VLOOKUP($CX478,$CZ$9:$DF$508,5,FALSE()))</f>
        <v/>
      </c>
      <c r="DL478" s="111" t="str">
        <f aca="false">IF($CX478&gt;$CW$8,"",VLOOKUP($CX478,$CZ$9:$DF$508,6,FALSE()))</f>
        <v/>
      </c>
      <c r="DM478" s="75"/>
    </row>
    <row r="479" customFormat="false" ht="15.75" hidden="false" customHeight="false" outlineLevel="0" collapsed="false">
      <c r="A479" s="9"/>
      <c r="B479" s="77"/>
      <c r="C479" s="78"/>
      <c r="D479" s="167"/>
      <c r="E479" s="175"/>
      <c r="F479" s="169"/>
      <c r="G479" s="170"/>
      <c r="H479" s="170"/>
      <c r="I479" s="176"/>
      <c r="J479" s="173"/>
      <c r="K479" s="85"/>
      <c r="L479" s="86"/>
      <c r="M479" s="87"/>
      <c r="N479" s="173"/>
      <c r="O479" s="173"/>
      <c r="P479" s="175"/>
      <c r="Q479" s="173"/>
      <c r="R479" s="173"/>
      <c r="S479" s="85"/>
      <c r="T479" s="87"/>
      <c r="U479" s="87"/>
      <c r="V479" s="173"/>
      <c r="W479" s="173"/>
      <c r="X479" s="175"/>
      <c r="Y479" s="173"/>
      <c r="Z479" s="174"/>
      <c r="AA479" s="173"/>
      <c r="AB479" s="91"/>
      <c r="AC479" s="92"/>
      <c r="AD479" s="92"/>
      <c r="AE479" s="92"/>
      <c r="AF479" s="92" t="str">
        <f aca="false">IF(ISBLANK($C479),"",IF(E479=Constants!$B$3,TRUE(),IF(E479=Constants!$B$4,FALSE(),TRUE())))</f>
        <v/>
      </c>
      <c r="AG479" s="92" t="str">
        <f aca="false">IF(ISBLANK($C479),"",IF(F479=Constants!$B$3,TRUE(),IF(F479=Constants!$B$4,FALSE(),TRUE())))</f>
        <v/>
      </c>
      <c r="AH479" s="92" t="str">
        <f aca="false">IF(ISBLANK($C479),"",IF(G479=Constants!$B$3,TRUE(),IF(G479=Constants!$B$4,FALSE(),TRUE())))</f>
        <v/>
      </c>
      <c r="AI479" s="92" t="str">
        <f aca="false">IF(ISBLANK($C479),"",IF(AND(ISNUMBER(H479),H479&gt;=0),H479,Constants!$B$29))</f>
        <v/>
      </c>
      <c r="AJ479" s="92" t="str">
        <f aca="false">IF(ISBLANK($C479),"",IF(I479=Constants!$B$3,TRUE(),IF(I479=Constants!$B$4,FALSE(),TRUE())))</f>
        <v/>
      </c>
      <c r="AK479" s="92" t="str">
        <f aca="false">IF(ISBLANK($C479),"",IF(J479=Constants!$B$3,TRUE(),IF(J479=Constants!$B$4,FALSE(),TRUE())))</f>
        <v/>
      </c>
      <c r="AL479" s="92" t="str">
        <f aca="false">IF(ISBLANK($C479),"",IF(K479=Constants!$B$5,TRUE(),IF(K479=Constants!$B$6,FALSE(),COUNTA(L479:P479)&gt;0)))</f>
        <v/>
      </c>
      <c r="AM479" s="94" t="str">
        <f aca="false">IF(ISBLANK($C479),"",IF(ISNUMBER(L479),IF(L479&gt;=0,L479,""),""))</f>
        <v/>
      </c>
      <c r="AN479" s="93" t="str">
        <f aca="false">IF(ISBLANK($C479),"",IF(ISNUMBER(M479),IF(M479&gt;=0,M479,""),""))</f>
        <v/>
      </c>
      <c r="AO479" s="93" t="str">
        <f aca="false">IF(ISBLANK($C479),"",IF(N479=Constants!$B$3,TRUE(),IF(N479=Constants!$B$4,FALSE(),TRUE())))</f>
        <v/>
      </c>
      <c r="AP479" s="92" t="str">
        <f aca="false">IF(ISBLANK($C479),"",IF(ISNUMBER(O479),IF(O479&gt;=0,O479,""),""))</f>
        <v/>
      </c>
      <c r="AQ479" s="92" t="str">
        <f aca="false">IF(ISBLANK($C479),"",IF(P479=Constants!$B$3,TRUE(),IF(P479=Constants!$B$4,FALSE(),FALSE())))</f>
        <v/>
      </c>
      <c r="AR479" s="92" t="str">
        <f aca="false">IF(ISBLANK($C479),"",IF(Q479=Constants!$B$3,TRUE(),IF(Q479=Constants!$B$4,FALSE(),TRUE())))</f>
        <v/>
      </c>
      <c r="AS479" s="92" t="str">
        <f aca="false">IF(ISBLANK($C479),"",IF(R479=Constants!$B$3,TRUE(),IF(R479=Constants!$B$4,FALSE(),TRUE())))</f>
        <v/>
      </c>
      <c r="AT479" s="92" t="str">
        <f aca="false">IF(ISBLANK($C479),"",IF(S479=Constants!$B$5,TRUE(),IF(S479=Constants!$B$6,FALSE(),COUNTA(T479:X479)&gt;0)))</f>
        <v/>
      </c>
      <c r="AU479" s="94" t="str">
        <f aca="false">IF(ISBLANK($C479),"",IF(ISNUMBER(T479),IF(T479&gt;=0,T479,""),""))</f>
        <v/>
      </c>
      <c r="AV479" s="93" t="str">
        <f aca="false">IF(ISBLANK($C479),"",IF(ISNUMBER(U479),IF(U479&gt;=0,U479,""),""))</f>
        <v/>
      </c>
      <c r="AW479" s="93" t="str">
        <f aca="false">IF(ISBLANK($C479),"",IF(V479=Constants!$B$3,TRUE(),IF(V479=Constants!$B$4,FALSE(),TRUE())))</f>
        <v/>
      </c>
      <c r="AX479" s="92" t="str">
        <f aca="false">IF(ISBLANK($C479),"",IF(ISNUMBER(W479),IF(W479&gt;=0,W479,""),""))</f>
        <v/>
      </c>
      <c r="AY479" s="92" t="str">
        <f aca="false">IF(ISBLANK($C479),"",IF(X479=Constants!$B$3,TRUE(),IF(X479=Constants!$B$4,FALSE(),FALSE())))</f>
        <v/>
      </c>
      <c r="AZ479" s="92" t="str">
        <f aca="false">IF(ISBLANK($C479),"",MIN(Constants!$B$31,MAX(0,IF(ISNUMBER(Y479),Y479*60,0)+IF(ISNUMBER(Z479),Z479,0))))</f>
        <v/>
      </c>
      <c r="BA479" s="92" t="str">
        <f aca="false">IF(ISBLANK($C479),"",IF(AA479=Constants!$B$3,TRUE(),IF(AA479=Constants!$B$4,FALSE(),FALSE())))</f>
        <v/>
      </c>
      <c r="BB479" s="91" t="str">
        <f aca="false">IF(ISBLANK($C479),"",AND($AL479,OR($AM479="",$AN479="",AND($AO479,$AP479=""))))</f>
        <v/>
      </c>
      <c r="BC479" s="93" t="str">
        <f aca="false">IF($BR479&lt;&gt;Constants!$B$8,"",IF($AL479,Constants!$B$21*$AN479+Constants!$B$22*IF($AO479,$AP479,Constants!$B$23),Constants!$B$24))</f>
        <v/>
      </c>
      <c r="BD479" s="96" t="str">
        <f aca="false">IF($BR479&lt;&gt;Constants!$B$8,"",Constants!$B$25*ABS($AD$9-IF($AL479,$AM479,0)))</f>
        <v/>
      </c>
      <c r="BE479" s="96" t="str">
        <f aca="false">IF($BR479&lt;&gt;Constants!$B$8,"",IF(AND($AL479,$AQ479,$AO479),Constants!$B$27,0))</f>
        <v/>
      </c>
      <c r="BF479" s="96" t="str">
        <f aca="false">IF($BR479&lt;&gt;Constants!$B$8,"",IF($AL479,($AI479-Constants!$B$29)*Constants!$B$28,0))</f>
        <v/>
      </c>
      <c r="BG479" s="96" t="str">
        <f aca="false">IF($BR479&lt;&gt;Constants!$B$8,"",IF($AK479,0,Constants!$B$15)+IF($AJ479,0,Constants!$B$16)+IF($AH479,0,Constants!$B$17))</f>
        <v/>
      </c>
      <c r="BH479" s="97" t="str">
        <f aca="false">IF($BR479&lt;&gt;Constants!$B$8,"",Constants!$B$20+SUM($BC479:$BG479))</f>
        <v/>
      </c>
      <c r="BI479" s="92" t="str">
        <f aca="false">IF($BR479&lt;&gt;Constants!$B$8,"",IF(OR($BP479&lt;$BH479,AND($BP479=$BH479,OR($BK479&lt;$BC479,AND($BK479=$BC479,OR($BL479&lt;$BD479,AND($BL479=$BD479,$AT479,$AL479,$AV479&lt;$AN479)))))),"-&gt;","&lt;-"))</f>
        <v/>
      </c>
      <c r="BJ479" s="91" t="str">
        <f aca="false">IF(ISBLANK($C479),"",AND($AT479,OR($AU479="",$AV479="",AND($AW479,$AX479=""))))</f>
        <v/>
      </c>
      <c r="BK479" s="93" t="str">
        <f aca="false">IF($BR479&lt;&gt;Constants!$B$8,"",IF($AT479,Constants!$B$21*$AV479+Constants!$B$22*IF($AW479,$AX479,Constants!$B$23),Constants!$B$24))</f>
        <v/>
      </c>
      <c r="BL479" s="96" t="str">
        <f aca="false">IF($BR479&lt;&gt;Constants!$B$8,"",Constants!$B$25*ABS($AD$9-IF($AT479,$AU479,0)))</f>
        <v/>
      </c>
      <c r="BM479" s="96" t="str">
        <f aca="false">IF($BR479&lt;&gt;Constants!$B$8,"",IF(AND($AT479,$AY479,$AW479),Constants!$B$27,0))</f>
        <v/>
      </c>
      <c r="BN479" s="96" t="str">
        <f aca="false">IF($BR479&lt;&gt;Constants!$B$8,"",IF($AT479,($AI479-Constants!$B$29)*Constants!$B$28,0))</f>
        <v/>
      </c>
      <c r="BO479" s="96" t="str">
        <f aca="false">IF($BR479&lt;&gt;Constants!$B$8,"",IF($AS479,0,Constants!$B$15)+IF($AR479,0,Constants!$B$16)+IF($AH479,0,Constants!$B$17))</f>
        <v/>
      </c>
      <c r="BP479" s="97" t="str">
        <f aca="false">IF($BR479&lt;&gt;Constants!$B$8,"",Constants!$B$20+SUM($BK479:$BO479))</f>
        <v/>
      </c>
      <c r="BQ479" s="92" t="str">
        <f aca="false">IF(ISBLANK($C479),"",IF(ISBLANK($D$7),$BQ$5,IF(NOT(ISNUMBER($D$7)),$BQ$6,"")))</f>
        <v/>
      </c>
      <c r="BR479" s="92" t="str">
        <f aca="false">IF(ISBLANK($C479),"",IF($BA479,Constants!$B$11,IF(COUNTA($E479:$AA479)=0,Constants!$B$10,IF(NOT($AG479),Constants!$B$9,IF(OR($BQ479&lt;&gt;"",$BB479,$BJ479),Constants!$B$12,Constants!$B$8)))))</f>
        <v/>
      </c>
      <c r="BS479" s="92" t="str">
        <f aca="false">IF(ISBLANK($C479),"",IF($BR479&lt;&gt;Constants!$B$8,$BR479,Constants!$B$13))</f>
        <v/>
      </c>
      <c r="BT479" s="96" t="str">
        <f aca="false">IF($BR479&lt;&gt;Constants!$B$8,"",IF($BI479="-&gt;",$BP479,$BH479))</f>
        <v/>
      </c>
      <c r="BU479" s="96" t="str">
        <f aca="false">IF($BR479&lt;&gt;Constants!$B$8,"",IF($AF479,0,Constants!$B$18))</f>
        <v/>
      </c>
      <c r="BV479" s="96" t="str">
        <f aca="false">IF($BR479&lt;&gt;Constants!$B$8,"",((Constants!$B$31-$AZ479)-Constants!$B$31)/Constants!$B$32)</f>
        <v/>
      </c>
      <c r="BW479" s="96" t="str">
        <f aca="false">IF(ISBLANK($C479),"",IF($BR479&lt;&gt;Constants!$B$8,$BR479,SUM($BT479:$BV479)))</f>
        <v/>
      </c>
      <c r="BX479" s="92" t="str">
        <f aca="false">IF(ISBLANK($C479),"",IF($BR479&lt;&gt;Constants!$B$8,$BR479,RANK($BW479,$BW$9:$BW$508,1)))</f>
        <v/>
      </c>
      <c r="BY479" s="96" t="str">
        <f aca="false">IF($BR479&lt;&gt;Constants!$B$8,"",IF($BI479="-&gt;",$BK479,$BC479))</f>
        <v/>
      </c>
      <c r="BZ479" s="92" t="str">
        <f aca="false">IF(ISBLANK($C479),"",IF($BR479&lt;&gt;Constants!$B$8,$BR479,IF(ISNUMBER($BY479),RANK($BY479,$BY$9:$BY$508,1),COUNT($BY$9:$BY$508)+1)))</f>
        <v/>
      </c>
      <c r="CA479" s="96" t="str">
        <f aca="false">IF($BR479&lt;&gt;Constants!$B$8,"",IF($BI479="-&gt;",$BL479,$BD479))</f>
        <v/>
      </c>
      <c r="CB479" s="92" t="str">
        <f aca="false">IF(ISBLANK($C479),"",IF($BR479&lt;&gt;Constants!$B$8,$BR479,IF(ISNUMBER($CA479),RANK($CA479,$CA$9:$CA$508,1),COUNT($CA$9:$CA$508)+1)))</f>
        <v/>
      </c>
      <c r="CC479" s="96" t="str">
        <f aca="false">IF($BR479&lt;&gt;Constants!$B$8,"",IF($BI479="-&gt;",IF($AT479,$AV479,""),IF($AL479,$AN479,"")))</f>
        <v/>
      </c>
      <c r="CD479" s="92" t="str">
        <f aca="false">IF(ISBLANK($C479),"",IF($BR479&lt;&gt;Constants!$B$8,$BR479,IF(ISNUMBER($CC479),RANK($CC479,$CC$9:$CC$508,1),COUNT($CC$9:$CC$508)+1)))</f>
        <v/>
      </c>
      <c r="CE479" s="96" t="str">
        <f aca="false">IF($BR479&lt;&gt;Constants!$B$8,"",IF(AND(NOT($AL479),NOT($AT479),$AJ479,$AK479,$AR479,$AS479),"",$AI479))</f>
        <v/>
      </c>
      <c r="CF479" s="92" t="str">
        <f aca="false">IF(ISBLANK($C479),"",IF($BR479&lt;&gt;Constants!$B$8,$BR479,IF(ISNUMBER($CE479),RANK($CE479,$CE$9:$CE$508,1),COUNT($CE$9:$CE$508)+1)))</f>
        <v/>
      </c>
      <c r="CG479" s="92" t="str">
        <f aca="false">IF(ISBLANK($C479),"",IF($BR479&lt;&gt;Constants!$B$8,$BR479,COUNTIFS($BX$9:$BX$508,"&lt;"&amp;$BX479)+COUNTIFS($BX$9:$BX$508,$BX479,$BZ$9:$BZ$508,"&lt;"&amp;$BZ479)+COUNTIFS($BX$9:$BX$508,$BX479,$BZ$9:$BZ$508,$BZ479,$CB$9:$CB$508,"&lt;"&amp;$CB479)+COUNTIFS($BX$9:$BX$508,$BX479,$BZ$9:$BZ$508,$BZ479,$CB$9:$CB$508,$CB479,$CD$9:$CD$508,"&lt;"&amp;$CD479)+COUNTIFS($BX$9:$BX$508,$BX479,$BZ$9:$BZ$508,$BZ479,$CB$9:$CB$508,$CB479,$CD$9:$CD$508,$CD479,$CF$9:$CF$508,"&lt;"&amp;$CF479)+1))</f>
        <v/>
      </c>
      <c r="CH479" s="92" t="str">
        <f aca="false">IF(ISBLANK($C479),"",IF($BR479&lt;&gt;Constants!$B$8,$BR479,$BX479-$CG479))</f>
        <v/>
      </c>
      <c r="CI479" s="98"/>
      <c r="CJ479" s="99"/>
      <c r="CK479" s="100" t="str">
        <f aca="false">IF(ISBLANK($C479),"",IF($BR479=Constants!$B$12,$BQ479,""))</f>
        <v/>
      </c>
      <c r="CL479" s="99" t="str">
        <f aca="false">IF(ISBLANK($C479),"",IF($BR479&lt;&gt;Constants!$B$8,"",IF($BI479="-&gt;",2,1)))</f>
        <v/>
      </c>
      <c r="CM479" s="101" t="str">
        <f aca="false">IF(ISBLANK($C479),"",IF($BR479&lt;&gt;Constants!$B$8,"",IF($BI479="-&gt;",$BK479,$BC479)))</f>
        <v/>
      </c>
      <c r="CN479" s="101" t="str">
        <f aca="false">IF(ISBLANK($C479),"",IF($BR479&lt;&gt;Constants!$B$8,"",IF($BI479="-&gt;",$BL479,$BD479)))</f>
        <v/>
      </c>
      <c r="CO479" s="101" t="str">
        <f aca="false">IF(ISBLANK($C479),"",IF($BR479&lt;&gt;Constants!$B$8,"",IF($BI479="-&gt;",$BM479+$BN479,$BE479+$BF479)+$BV479))</f>
        <v/>
      </c>
      <c r="CP479" s="101" t="str">
        <f aca="false">IF(ISBLANK($C479),"",IF($BR479&lt;&gt;Constants!$B$8,"",IF($BI479="-&gt;",$BO479,$BG479)+$BU479))</f>
        <v/>
      </c>
      <c r="CQ479" s="102" t="str">
        <f aca="false">IF(ISBLANK($C479),"",IF($BR479&lt;&gt;Constants!$B$8,$BR479,$BW479))</f>
        <v/>
      </c>
      <c r="CR479" s="103" t="str">
        <f aca="false">IF(ISBLANK($C479),"",$BS479)</f>
        <v/>
      </c>
      <c r="CS479" s="104" t="str">
        <f aca="false">IF(ISBLANK($C479),"",$CH479)</f>
        <v/>
      </c>
      <c r="CT479" s="104" t="str">
        <f aca="false">IF(ISBLANK($C479),"",$CG479)</f>
        <v/>
      </c>
      <c r="CU479" s="105" t="str">
        <f aca="false">IF(ISBLANK($C479),"",IFERROR(_xlfn.SWITCH($CT479,Constants!$B$11,COUNTA($C$9:$C$508)+2,Constants!$B$10,COUNTA($C$9:$C$508)+1,Constants!$B$9,COUNTA($C$9:$C$508)),$CT479))</f>
        <v/>
      </c>
      <c r="CV479" s="9"/>
      <c r="CW479" s="106" t="n">
        <f aca="false">IF(OR(ISNUMBER($CT479),$CT479=Constants!$B$11,$CT479=Constants!$B$9,$CT479=Constants!$B$10),1,0)</f>
        <v>0</v>
      </c>
      <c r="CX479" s="106" t="n">
        <v>471</v>
      </c>
      <c r="CY479" s="106" t="str">
        <f aca="false">IF(ISBLANK($C479),"",IF(ISNUMBER($CU479),$CU479+ROW($B479)/1000,""))</f>
        <v/>
      </c>
      <c r="CZ479" s="106" t="str">
        <f aca="false">IF(ISNUMBER($CY479),RANK($CY479,$CY$9:$CY$508,1),"")</f>
        <v/>
      </c>
      <c r="DA479" s="106" t="str">
        <f aca="false">IF(ISBLANK($C479),"",$B479)</f>
        <v/>
      </c>
      <c r="DB479" s="106" t="str">
        <f aca="false">IF(ISBLANK($C479),"",$C479)</f>
        <v/>
      </c>
      <c r="DC479" s="106" t="str">
        <f aca="false">IF(ISBLANK($C479),"",$D479)</f>
        <v/>
      </c>
      <c r="DD479" s="107" t="str">
        <f aca="false">$CR479</f>
        <v/>
      </c>
      <c r="DE479" s="108" t="str">
        <f aca="false">$CQ479</f>
        <v/>
      </c>
      <c r="DF479" s="106" t="str">
        <f aca="false">IF(ISBLANK($C479),"",$CT479)</f>
        <v/>
      </c>
      <c r="DG479" s="109" t="str">
        <f aca="false">IF($CX479&gt;$CW$8,"",VLOOKUP($CX479,$CZ$9:$DF$508,7,FALSE()))</f>
        <v/>
      </c>
      <c r="DH479" s="110" t="str">
        <f aca="false">IF($CX479&gt;$CW$8,"",VLOOKUP($CX479,$CZ$9:$DF$508,2,FALSE()))</f>
        <v/>
      </c>
      <c r="DI479" s="110" t="str">
        <f aca="false">IF($CX479&gt;$CW$8,"",VLOOKUP($CX479,$CZ$9:$DF$508,3,FALSE()))</f>
        <v/>
      </c>
      <c r="DJ479" s="110" t="str">
        <f aca="false">IF($CX479&gt;$CW$8,"",VLOOKUP($CX479,$CZ$9:$DF$508,4,FALSE()))</f>
        <v/>
      </c>
      <c r="DK479" s="110" t="str">
        <f aca="false">IF($CX479&gt;$CW$8,"",VLOOKUP($CX479,$CZ$9:$DF$508,5,FALSE()))</f>
        <v/>
      </c>
      <c r="DL479" s="111" t="str">
        <f aca="false">IF($CX479&gt;$CW$8,"",VLOOKUP($CX479,$CZ$9:$DF$508,6,FALSE()))</f>
        <v/>
      </c>
      <c r="DM479" s="75"/>
    </row>
    <row r="480" customFormat="false" ht="15.75" hidden="false" customHeight="false" outlineLevel="0" collapsed="false">
      <c r="A480" s="9"/>
      <c r="B480" s="157"/>
      <c r="C480" s="158"/>
      <c r="D480" s="159"/>
      <c r="E480" s="177"/>
      <c r="F480" s="161"/>
      <c r="G480" s="162"/>
      <c r="H480" s="162"/>
      <c r="I480" s="178"/>
      <c r="J480" s="165"/>
      <c r="K480" s="126"/>
      <c r="L480" s="127"/>
      <c r="M480" s="128"/>
      <c r="N480" s="165"/>
      <c r="O480" s="165"/>
      <c r="P480" s="177"/>
      <c r="Q480" s="165"/>
      <c r="R480" s="165"/>
      <c r="S480" s="126"/>
      <c r="T480" s="128"/>
      <c r="U480" s="128"/>
      <c r="V480" s="165"/>
      <c r="W480" s="165"/>
      <c r="X480" s="177"/>
      <c r="Y480" s="165"/>
      <c r="Z480" s="166"/>
      <c r="AA480" s="165"/>
      <c r="AB480" s="132"/>
      <c r="AC480" s="133"/>
      <c r="AD480" s="133"/>
      <c r="AE480" s="133"/>
      <c r="AF480" s="133" t="str">
        <f aca="false">IF(ISBLANK($C480),"",IF(E480=Constants!$B$3,TRUE(),IF(E480=Constants!$B$4,FALSE(),TRUE())))</f>
        <v/>
      </c>
      <c r="AG480" s="133" t="str">
        <f aca="false">IF(ISBLANK($C480),"",IF(F480=Constants!$B$3,TRUE(),IF(F480=Constants!$B$4,FALSE(),TRUE())))</f>
        <v/>
      </c>
      <c r="AH480" s="133" t="str">
        <f aca="false">IF(ISBLANK($C480),"",IF(G480=Constants!$B$3,TRUE(),IF(G480=Constants!$B$4,FALSE(),TRUE())))</f>
        <v/>
      </c>
      <c r="AI480" s="133" t="str">
        <f aca="false">IF(ISBLANK($C480),"",IF(AND(ISNUMBER(H480),H480&gt;=0),H480,Constants!$B$29))</f>
        <v/>
      </c>
      <c r="AJ480" s="133" t="str">
        <f aca="false">IF(ISBLANK($C480),"",IF(I480=Constants!$B$3,TRUE(),IF(I480=Constants!$B$4,FALSE(),TRUE())))</f>
        <v/>
      </c>
      <c r="AK480" s="133" t="str">
        <f aca="false">IF(ISBLANK($C480),"",IF(J480=Constants!$B$3,TRUE(),IF(J480=Constants!$B$4,FALSE(),TRUE())))</f>
        <v/>
      </c>
      <c r="AL480" s="133" t="str">
        <f aca="false">IF(ISBLANK($C480),"",IF(K480=Constants!$B$5,TRUE(),IF(K480=Constants!$B$6,FALSE(),COUNTA(L480:P480)&gt;0)))</f>
        <v/>
      </c>
      <c r="AM480" s="134" t="str">
        <f aca="false">IF(ISBLANK($C480),"",IF(ISNUMBER(L480),IF(L480&gt;=0,L480,""),""))</f>
        <v/>
      </c>
      <c r="AN480" s="135" t="str">
        <f aca="false">IF(ISBLANK($C480),"",IF(ISNUMBER(M480),IF(M480&gt;=0,M480,""),""))</f>
        <v/>
      </c>
      <c r="AO480" s="135" t="str">
        <f aca="false">IF(ISBLANK($C480),"",IF(N480=Constants!$B$3,TRUE(),IF(N480=Constants!$B$4,FALSE(),TRUE())))</f>
        <v/>
      </c>
      <c r="AP480" s="133" t="str">
        <f aca="false">IF(ISBLANK($C480),"",IF(ISNUMBER(O480),IF(O480&gt;=0,O480,""),""))</f>
        <v/>
      </c>
      <c r="AQ480" s="133" t="str">
        <f aca="false">IF(ISBLANK($C480),"",IF(P480=Constants!$B$3,TRUE(),IF(P480=Constants!$B$4,FALSE(),FALSE())))</f>
        <v/>
      </c>
      <c r="AR480" s="133" t="str">
        <f aca="false">IF(ISBLANK($C480),"",IF(Q480=Constants!$B$3,TRUE(),IF(Q480=Constants!$B$4,FALSE(),TRUE())))</f>
        <v/>
      </c>
      <c r="AS480" s="133" t="str">
        <f aca="false">IF(ISBLANK($C480),"",IF(R480=Constants!$B$3,TRUE(),IF(R480=Constants!$B$4,FALSE(),TRUE())))</f>
        <v/>
      </c>
      <c r="AT480" s="133" t="str">
        <f aca="false">IF(ISBLANK($C480),"",IF(S480=Constants!$B$5,TRUE(),IF(S480=Constants!$B$6,FALSE(),COUNTA(T480:X480)&gt;0)))</f>
        <v/>
      </c>
      <c r="AU480" s="134" t="str">
        <f aca="false">IF(ISBLANK($C480),"",IF(ISNUMBER(T480),IF(T480&gt;=0,T480,""),""))</f>
        <v/>
      </c>
      <c r="AV480" s="135" t="str">
        <f aca="false">IF(ISBLANK($C480),"",IF(ISNUMBER(U480),IF(U480&gt;=0,U480,""),""))</f>
        <v/>
      </c>
      <c r="AW480" s="135" t="str">
        <f aca="false">IF(ISBLANK($C480),"",IF(V480=Constants!$B$3,TRUE(),IF(V480=Constants!$B$4,FALSE(),TRUE())))</f>
        <v/>
      </c>
      <c r="AX480" s="133" t="str">
        <f aca="false">IF(ISBLANK($C480),"",IF(ISNUMBER(W480),IF(W480&gt;=0,W480,""),""))</f>
        <v/>
      </c>
      <c r="AY480" s="133" t="str">
        <f aca="false">IF(ISBLANK($C480),"",IF(X480=Constants!$B$3,TRUE(),IF(X480=Constants!$B$4,FALSE(),FALSE())))</f>
        <v/>
      </c>
      <c r="AZ480" s="133" t="str">
        <f aca="false">IF(ISBLANK($C480),"",MIN(Constants!$B$31,MAX(0,IF(ISNUMBER(Y480),Y480*60,0)+IF(ISNUMBER(Z480),Z480,0))))</f>
        <v/>
      </c>
      <c r="BA480" s="133" t="str">
        <f aca="false">IF(ISBLANK($C480),"",IF(AA480=Constants!$B$3,TRUE(),IF(AA480=Constants!$B$4,FALSE(),FALSE())))</f>
        <v/>
      </c>
      <c r="BB480" s="132" t="str">
        <f aca="false">IF(ISBLANK($C480),"",AND($AL480,OR($AM480="",$AN480="",AND($AO480,$AP480=""))))</f>
        <v/>
      </c>
      <c r="BC480" s="135" t="str">
        <f aca="false">IF($BR480&lt;&gt;Constants!$B$8,"",IF($AL480,Constants!$B$21*$AN480+Constants!$B$22*IF($AO480,$AP480,Constants!$B$23),Constants!$B$24))</f>
        <v/>
      </c>
      <c r="BD480" s="136" t="str">
        <f aca="false">IF($BR480&lt;&gt;Constants!$B$8,"",Constants!$B$25*ABS($AD$9-IF($AL480,$AM480,0)))</f>
        <v/>
      </c>
      <c r="BE480" s="136" t="str">
        <f aca="false">IF($BR480&lt;&gt;Constants!$B$8,"",IF(AND($AL480,$AQ480,$AO480),Constants!$B$27,0))</f>
        <v/>
      </c>
      <c r="BF480" s="136" t="str">
        <f aca="false">IF($BR480&lt;&gt;Constants!$B$8,"",IF($AL480,($AI480-Constants!$B$29)*Constants!$B$28,0))</f>
        <v/>
      </c>
      <c r="BG480" s="136" t="str">
        <f aca="false">IF($BR480&lt;&gt;Constants!$B$8,"",IF($AK480,0,Constants!$B$15)+IF($AJ480,0,Constants!$B$16)+IF($AH480,0,Constants!$B$17))</f>
        <v/>
      </c>
      <c r="BH480" s="137" t="str">
        <f aca="false">IF($BR480&lt;&gt;Constants!$B$8,"",Constants!$B$20+SUM($BC480:$BG480))</f>
        <v/>
      </c>
      <c r="BI480" s="133" t="str">
        <f aca="false">IF($BR480&lt;&gt;Constants!$B$8,"",IF(OR($BP480&lt;$BH480,AND($BP480=$BH480,OR($BK480&lt;$BC480,AND($BK480=$BC480,OR($BL480&lt;$BD480,AND($BL480=$BD480,$AT480,$AL480,$AV480&lt;$AN480)))))),"-&gt;","&lt;-"))</f>
        <v/>
      </c>
      <c r="BJ480" s="132" t="str">
        <f aca="false">IF(ISBLANK($C480),"",AND($AT480,OR($AU480="",$AV480="",AND($AW480,$AX480=""))))</f>
        <v/>
      </c>
      <c r="BK480" s="135" t="str">
        <f aca="false">IF($BR480&lt;&gt;Constants!$B$8,"",IF($AT480,Constants!$B$21*$AV480+Constants!$B$22*IF($AW480,$AX480,Constants!$B$23),Constants!$B$24))</f>
        <v/>
      </c>
      <c r="BL480" s="136" t="str">
        <f aca="false">IF($BR480&lt;&gt;Constants!$B$8,"",Constants!$B$25*ABS($AD$9-IF($AT480,$AU480,0)))</f>
        <v/>
      </c>
      <c r="BM480" s="136" t="str">
        <f aca="false">IF($BR480&lt;&gt;Constants!$B$8,"",IF(AND($AT480,$AY480,$AW480),Constants!$B$27,0))</f>
        <v/>
      </c>
      <c r="BN480" s="136" t="str">
        <f aca="false">IF($BR480&lt;&gt;Constants!$B$8,"",IF($AT480,($AI480-Constants!$B$29)*Constants!$B$28,0))</f>
        <v/>
      </c>
      <c r="BO480" s="136" t="str">
        <f aca="false">IF($BR480&lt;&gt;Constants!$B$8,"",IF($AS480,0,Constants!$B$15)+IF($AR480,0,Constants!$B$16)+IF($AH480,0,Constants!$B$17))</f>
        <v/>
      </c>
      <c r="BP480" s="137" t="str">
        <f aca="false">IF($BR480&lt;&gt;Constants!$B$8,"",Constants!$B$20+SUM($BK480:$BO480))</f>
        <v/>
      </c>
      <c r="BQ480" s="133" t="str">
        <f aca="false">IF(ISBLANK($C480),"",IF(ISBLANK($D$7),$BQ$5,IF(NOT(ISNUMBER($D$7)),$BQ$6,"")))</f>
        <v/>
      </c>
      <c r="BR480" s="133" t="str">
        <f aca="false">IF(ISBLANK($C480),"",IF($BA480,Constants!$B$11,IF(COUNTA($E480:$AA480)=0,Constants!$B$10,IF(NOT($AG480),Constants!$B$9,IF(OR($BQ480&lt;&gt;"",$BB480,$BJ480),Constants!$B$12,Constants!$B$8)))))</f>
        <v/>
      </c>
      <c r="BS480" s="133" t="str">
        <f aca="false">IF(ISBLANK($C480),"",IF($BR480&lt;&gt;Constants!$B$8,$BR480,Constants!$B$13))</f>
        <v/>
      </c>
      <c r="BT480" s="136" t="str">
        <f aca="false">IF($BR480&lt;&gt;Constants!$B$8,"",IF($BI480="-&gt;",$BP480,$BH480))</f>
        <v/>
      </c>
      <c r="BU480" s="136" t="str">
        <f aca="false">IF($BR480&lt;&gt;Constants!$B$8,"",IF($AF480,0,Constants!$B$18))</f>
        <v/>
      </c>
      <c r="BV480" s="136" t="str">
        <f aca="false">IF($BR480&lt;&gt;Constants!$B$8,"",((Constants!$B$31-$AZ480)-Constants!$B$31)/Constants!$B$32)</f>
        <v/>
      </c>
      <c r="BW480" s="136" t="str">
        <f aca="false">IF(ISBLANK($C480),"",IF($BR480&lt;&gt;Constants!$B$8,$BR480,SUM($BT480:$BV480)))</f>
        <v/>
      </c>
      <c r="BX480" s="133" t="str">
        <f aca="false">IF(ISBLANK($C480),"",IF($BR480&lt;&gt;Constants!$B$8,$BR480,RANK($BW480,$BW$9:$BW$508,1)))</f>
        <v/>
      </c>
      <c r="BY480" s="136" t="str">
        <f aca="false">IF($BR480&lt;&gt;Constants!$B$8,"",IF($BI480="-&gt;",$BK480,$BC480))</f>
        <v/>
      </c>
      <c r="BZ480" s="133" t="str">
        <f aca="false">IF(ISBLANK($C480),"",IF($BR480&lt;&gt;Constants!$B$8,$BR480,IF(ISNUMBER($BY480),RANK($BY480,$BY$9:$BY$508,1),COUNT($BY$9:$BY$508)+1)))</f>
        <v/>
      </c>
      <c r="CA480" s="136" t="str">
        <f aca="false">IF($BR480&lt;&gt;Constants!$B$8,"",IF($BI480="-&gt;",$BL480,$BD480))</f>
        <v/>
      </c>
      <c r="CB480" s="133" t="str">
        <f aca="false">IF(ISBLANK($C480),"",IF($BR480&lt;&gt;Constants!$B$8,$BR480,IF(ISNUMBER($CA480),RANK($CA480,$CA$9:$CA$508,1),COUNT($CA$9:$CA$508)+1)))</f>
        <v/>
      </c>
      <c r="CC480" s="136" t="str">
        <f aca="false">IF($BR480&lt;&gt;Constants!$B$8,"",IF($BI480="-&gt;",IF($AT480,$AV480,""),IF($AL480,$AN480,"")))</f>
        <v/>
      </c>
      <c r="CD480" s="133" t="str">
        <f aca="false">IF(ISBLANK($C480),"",IF($BR480&lt;&gt;Constants!$B$8,$BR480,IF(ISNUMBER($CC480),RANK($CC480,$CC$9:$CC$508,1),COUNT($CC$9:$CC$508)+1)))</f>
        <v/>
      </c>
      <c r="CE480" s="136" t="str">
        <f aca="false">IF($BR480&lt;&gt;Constants!$B$8,"",IF(AND(NOT($AL480),NOT($AT480),$AJ480,$AK480,$AR480,$AS480),"",$AI480))</f>
        <v/>
      </c>
      <c r="CF480" s="133" t="str">
        <f aca="false">IF(ISBLANK($C480),"",IF($BR480&lt;&gt;Constants!$B$8,$BR480,IF(ISNUMBER($CE480),RANK($CE480,$CE$9:$CE$508,1),COUNT($CE$9:$CE$508)+1)))</f>
        <v/>
      </c>
      <c r="CG480" s="133" t="str">
        <f aca="false">IF(ISBLANK($C480),"",IF($BR480&lt;&gt;Constants!$B$8,$BR480,COUNTIFS($BX$9:$BX$508,"&lt;"&amp;$BX480)+COUNTIFS($BX$9:$BX$508,$BX480,$BZ$9:$BZ$508,"&lt;"&amp;$BZ480)+COUNTIFS($BX$9:$BX$508,$BX480,$BZ$9:$BZ$508,$BZ480,$CB$9:$CB$508,"&lt;"&amp;$CB480)+COUNTIFS($BX$9:$BX$508,$BX480,$BZ$9:$BZ$508,$BZ480,$CB$9:$CB$508,$CB480,$CD$9:$CD$508,"&lt;"&amp;$CD480)+COUNTIFS($BX$9:$BX$508,$BX480,$BZ$9:$BZ$508,$BZ480,$CB$9:$CB$508,$CB480,$CD$9:$CD$508,$CD480,$CF$9:$CF$508,"&lt;"&amp;$CF480)+1))</f>
        <v/>
      </c>
      <c r="CH480" s="133" t="str">
        <f aca="false">IF(ISBLANK($C480),"",IF($BR480&lt;&gt;Constants!$B$8,$BR480,$BX480-$CG480))</f>
        <v/>
      </c>
      <c r="CI480" s="138"/>
      <c r="CJ480" s="139"/>
      <c r="CK480" s="140" t="str">
        <f aca="false">IF(ISBLANK($C480),"",IF($BR480=Constants!$B$12,$BQ480,""))</f>
        <v/>
      </c>
      <c r="CL480" s="139" t="str">
        <f aca="false">IF(ISBLANK($C480),"",IF($BR480&lt;&gt;Constants!$B$8,"",IF($BI480="-&gt;",2,1)))</f>
        <v/>
      </c>
      <c r="CM480" s="141" t="str">
        <f aca="false">IF(ISBLANK($C480),"",IF($BR480&lt;&gt;Constants!$B$8,"",IF($BI480="-&gt;",$BK480,$BC480)))</f>
        <v/>
      </c>
      <c r="CN480" s="141" t="str">
        <f aca="false">IF(ISBLANK($C480),"",IF($BR480&lt;&gt;Constants!$B$8,"",IF($BI480="-&gt;",$BL480,$BD480)))</f>
        <v/>
      </c>
      <c r="CO480" s="141" t="str">
        <f aca="false">IF(ISBLANK($C480),"",IF($BR480&lt;&gt;Constants!$B$8,"",IF($BI480="-&gt;",$BM480+$BN480,$BE480+$BF480)+$BV480))</f>
        <v/>
      </c>
      <c r="CP480" s="141" t="str">
        <f aca="false">IF(ISBLANK($C480),"",IF($BR480&lt;&gt;Constants!$B$8,"",IF($BI480="-&gt;",$BO480,$BG480)+$BU480))</f>
        <v/>
      </c>
      <c r="CQ480" s="142" t="str">
        <f aca="false">IF(ISBLANK($C480),"",IF($BR480&lt;&gt;Constants!$B$8,$BR480,$BW480))</f>
        <v/>
      </c>
      <c r="CR480" s="143" t="str">
        <f aca="false">IF(ISBLANK($C480),"",$BS480)</f>
        <v/>
      </c>
      <c r="CS480" s="144" t="str">
        <f aca="false">IF(ISBLANK($C480),"",$CH480)</f>
        <v/>
      </c>
      <c r="CT480" s="144" t="str">
        <f aca="false">IF(ISBLANK($C480),"",$CG480)</f>
        <v/>
      </c>
      <c r="CU480" s="145" t="str">
        <f aca="false">IF(ISBLANK($C480),"",IFERROR(_xlfn.SWITCH($CT480,Constants!$B$11,COUNTA($C$9:$C$508)+2,Constants!$B$10,COUNTA($C$9:$C$508)+1,Constants!$B$9,COUNTA($C$9:$C$508)),$CT480))</f>
        <v/>
      </c>
      <c r="CV480" s="9"/>
      <c r="CW480" s="146" t="n">
        <f aca="false">IF(OR(ISNUMBER($CT480),$CT480=Constants!$B$11,$CT480=Constants!$B$9,$CT480=Constants!$B$10),1,0)</f>
        <v>0</v>
      </c>
      <c r="CX480" s="146" t="n">
        <v>472</v>
      </c>
      <c r="CY480" s="146" t="str">
        <f aca="false">IF(ISBLANK($C480),"",IF(ISNUMBER($CU480),$CU480+ROW($B480)/1000,""))</f>
        <v/>
      </c>
      <c r="CZ480" s="146" t="str">
        <f aca="false">IF(ISNUMBER($CY480),RANK($CY480,$CY$9:$CY$508,1),"")</f>
        <v/>
      </c>
      <c r="DA480" s="146" t="str">
        <f aca="false">IF(ISBLANK($C480),"",$B480)</f>
        <v/>
      </c>
      <c r="DB480" s="146" t="str">
        <f aca="false">IF(ISBLANK($C480),"",$C480)</f>
        <v/>
      </c>
      <c r="DC480" s="146" t="str">
        <f aca="false">IF(ISBLANK($C480),"",$D480)</f>
        <v/>
      </c>
      <c r="DD480" s="147" t="str">
        <f aca="false">$CR480</f>
        <v/>
      </c>
      <c r="DE480" s="148" t="str">
        <f aca="false">$CQ480</f>
        <v/>
      </c>
      <c r="DF480" s="146" t="str">
        <f aca="false">IF(ISBLANK($C480),"",$CT480)</f>
        <v/>
      </c>
      <c r="DG480" s="149" t="str">
        <f aca="false">IF($CX480&gt;$CW$8,"",VLOOKUP($CX480,$CZ$9:$DF$508,7,FALSE()))</f>
        <v/>
      </c>
      <c r="DH480" s="150" t="str">
        <f aca="false">IF($CX480&gt;$CW$8,"",VLOOKUP($CX480,$CZ$9:$DF$508,2,FALSE()))</f>
        <v/>
      </c>
      <c r="DI480" s="150" t="str">
        <f aca="false">IF($CX480&gt;$CW$8,"",VLOOKUP($CX480,$CZ$9:$DF$508,3,FALSE()))</f>
        <v/>
      </c>
      <c r="DJ480" s="150" t="str">
        <f aca="false">IF($CX480&gt;$CW$8,"",VLOOKUP($CX480,$CZ$9:$DF$508,4,FALSE()))</f>
        <v/>
      </c>
      <c r="DK480" s="150" t="str">
        <f aca="false">IF($CX480&gt;$CW$8,"",VLOOKUP($CX480,$CZ$9:$DF$508,5,FALSE()))</f>
        <v/>
      </c>
      <c r="DL480" s="151" t="str">
        <f aca="false">IF($CX480&gt;$CW$8,"",VLOOKUP($CX480,$CZ$9:$DF$508,6,FALSE()))</f>
        <v/>
      </c>
      <c r="DM480" s="75"/>
    </row>
    <row r="481" customFormat="false" ht="15.75" hidden="false" customHeight="false" outlineLevel="0" collapsed="false">
      <c r="A481" s="9"/>
      <c r="B481" s="157"/>
      <c r="C481" s="158"/>
      <c r="D481" s="159"/>
      <c r="E481" s="177"/>
      <c r="F481" s="161"/>
      <c r="G481" s="162"/>
      <c r="H481" s="162"/>
      <c r="I481" s="178"/>
      <c r="J481" s="165"/>
      <c r="K481" s="126"/>
      <c r="L481" s="127"/>
      <c r="M481" s="128"/>
      <c r="N481" s="165"/>
      <c r="O481" s="165"/>
      <c r="P481" s="177"/>
      <c r="Q481" s="165"/>
      <c r="R481" s="165"/>
      <c r="S481" s="126"/>
      <c r="T481" s="128"/>
      <c r="U481" s="128"/>
      <c r="V481" s="165"/>
      <c r="W481" s="165"/>
      <c r="X481" s="177"/>
      <c r="Y481" s="165"/>
      <c r="Z481" s="166"/>
      <c r="AA481" s="165"/>
      <c r="AB481" s="132"/>
      <c r="AC481" s="133"/>
      <c r="AD481" s="133"/>
      <c r="AE481" s="133"/>
      <c r="AF481" s="133" t="str">
        <f aca="false">IF(ISBLANK($C481),"",IF(E481=Constants!$B$3,TRUE(),IF(E481=Constants!$B$4,FALSE(),TRUE())))</f>
        <v/>
      </c>
      <c r="AG481" s="133" t="str">
        <f aca="false">IF(ISBLANK($C481),"",IF(F481=Constants!$B$3,TRUE(),IF(F481=Constants!$B$4,FALSE(),TRUE())))</f>
        <v/>
      </c>
      <c r="AH481" s="133" t="str">
        <f aca="false">IF(ISBLANK($C481),"",IF(G481=Constants!$B$3,TRUE(),IF(G481=Constants!$B$4,FALSE(),TRUE())))</f>
        <v/>
      </c>
      <c r="AI481" s="133" t="str">
        <f aca="false">IF(ISBLANK($C481),"",IF(AND(ISNUMBER(H481),H481&gt;=0),H481,Constants!$B$29))</f>
        <v/>
      </c>
      <c r="AJ481" s="133" t="str">
        <f aca="false">IF(ISBLANK($C481),"",IF(I481=Constants!$B$3,TRUE(),IF(I481=Constants!$B$4,FALSE(),TRUE())))</f>
        <v/>
      </c>
      <c r="AK481" s="133" t="str">
        <f aca="false">IF(ISBLANK($C481),"",IF(J481=Constants!$B$3,TRUE(),IF(J481=Constants!$B$4,FALSE(),TRUE())))</f>
        <v/>
      </c>
      <c r="AL481" s="133" t="str">
        <f aca="false">IF(ISBLANK($C481),"",IF(K481=Constants!$B$5,TRUE(),IF(K481=Constants!$B$6,FALSE(),COUNTA(L481:P481)&gt;0)))</f>
        <v/>
      </c>
      <c r="AM481" s="134" t="str">
        <f aca="false">IF(ISBLANK($C481),"",IF(ISNUMBER(L481),IF(L481&gt;=0,L481,""),""))</f>
        <v/>
      </c>
      <c r="AN481" s="135" t="str">
        <f aca="false">IF(ISBLANK($C481),"",IF(ISNUMBER(M481),IF(M481&gt;=0,M481,""),""))</f>
        <v/>
      </c>
      <c r="AO481" s="135" t="str">
        <f aca="false">IF(ISBLANK($C481),"",IF(N481=Constants!$B$3,TRUE(),IF(N481=Constants!$B$4,FALSE(),TRUE())))</f>
        <v/>
      </c>
      <c r="AP481" s="133" t="str">
        <f aca="false">IF(ISBLANK($C481),"",IF(ISNUMBER(O481),IF(O481&gt;=0,O481,""),""))</f>
        <v/>
      </c>
      <c r="AQ481" s="133" t="str">
        <f aca="false">IF(ISBLANK($C481),"",IF(P481=Constants!$B$3,TRUE(),IF(P481=Constants!$B$4,FALSE(),FALSE())))</f>
        <v/>
      </c>
      <c r="AR481" s="133" t="str">
        <f aca="false">IF(ISBLANK($C481),"",IF(Q481=Constants!$B$3,TRUE(),IF(Q481=Constants!$B$4,FALSE(),TRUE())))</f>
        <v/>
      </c>
      <c r="AS481" s="133" t="str">
        <f aca="false">IF(ISBLANK($C481),"",IF(R481=Constants!$B$3,TRUE(),IF(R481=Constants!$B$4,FALSE(),TRUE())))</f>
        <v/>
      </c>
      <c r="AT481" s="133" t="str">
        <f aca="false">IF(ISBLANK($C481),"",IF(S481=Constants!$B$5,TRUE(),IF(S481=Constants!$B$6,FALSE(),COUNTA(T481:X481)&gt;0)))</f>
        <v/>
      </c>
      <c r="AU481" s="134" t="str">
        <f aca="false">IF(ISBLANK($C481),"",IF(ISNUMBER(T481),IF(T481&gt;=0,T481,""),""))</f>
        <v/>
      </c>
      <c r="AV481" s="135" t="str">
        <f aca="false">IF(ISBLANK($C481),"",IF(ISNUMBER(U481),IF(U481&gt;=0,U481,""),""))</f>
        <v/>
      </c>
      <c r="AW481" s="135" t="str">
        <f aca="false">IF(ISBLANK($C481),"",IF(V481=Constants!$B$3,TRUE(),IF(V481=Constants!$B$4,FALSE(),TRUE())))</f>
        <v/>
      </c>
      <c r="AX481" s="133" t="str">
        <f aca="false">IF(ISBLANK($C481),"",IF(ISNUMBER(W481),IF(W481&gt;=0,W481,""),""))</f>
        <v/>
      </c>
      <c r="AY481" s="133" t="str">
        <f aca="false">IF(ISBLANK($C481),"",IF(X481=Constants!$B$3,TRUE(),IF(X481=Constants!$B$4,FALSE(),FALSE())))</f>
        <v/>
      </c>
      <c r="AZ481" s="133" t="str">
        <f aca="false">IF(ISBLANK($C481),"",MIN(Constants!$B$31,MAX(0,IF(ISNUMBER(Y481),Y481*60,0)+IF(ISNUMBER(Z481),Z481,0))))</f>
        <v/>
      </c>
      <c r="BA481" s="133" t="str">
        <f aca="false">IF(ISBLANK($C481),"",IF(AA481=Constants!$B$3,TRUE(),IF(AA481=Constants!$B$4,FALSE(),FALSE())))</f>
        <v/>
      </c>
      <c r="BB481" s="132" t="str">
        <f aca="false">IF(ISBLANK($C481),"",AND($AL481,OR($AM481="",$AN481="",AND($AO481,$AP481=""))))</f>
        <v/>
      </c>
      <c r="BC481" s="135" t="str">
        <f aca="false">IF($BR481&lt;&gt;Constants!$B$8,"",IF($AL481,Constants!$B$21*$AN481+Constants!$B$22*IF($AO481,$AP481,Constants!$B$23),Constants!$B$24))</f>
        <v/>
      </c>
      <c r="BD481" s="136" t="str">
        <f aca="false">IF($BR481&lt;&gt;Constants!$B$8,"",Constants!$B$25*ABS($AD$9-IF($AL481,$AM481,0)))</f>
        <v/>
      </c>
      <c r="BE481" s="136" t="str">
        <f aca="false">IF($BR481&lt;&gt;Constants!$B$8,"",IF(AND($AL481,$AQ481,$AO481),Constants!$B$27,0))</f>
        <v/>
      </c>
      <c r="BF481" s="136" t="str">
        <f aca="false">IF($BR481&lt;&gt;Constants!$B$8,"",IF($AL481,($AI481-Constants!$B$29)*Constants!$B$28,0))</f>
        <v/>
      </c>
      <c r="BG481" s="136" t="str">
        <f aca="false">IF($BR481&lt;&gt;Constants!$B$8,"",IF($AK481,0,Constants!$B$15)+IF($AJ481,0,Constants!$B$16)+IF($AH481,0,Constants!$B$17))</f>
        <v/>
      </c>
      <c r="BH481" s="137" t="str">
        <f aca="false">IF($BR481&lt;&gt;Constants!$B$8,"",Constants!$B$20+SUM($BC481:$BG481))</f>
        <v/>
      </c>
      <c r="BI481" s="133" t="str">
        <f aca="false">IF($BR481&lt;&gt;Constants!$B$8,"",IF(OR($BP481&lt;$BH481,AND($BP481=$BH481,OR($BK481&lt;$BC481,AND($BK481=$BC481,OR($BL481&lt;$BD481,AND($BL481=$BD481,$AT481,$AL481,$AV481&lt;$AN481)))))),"-&gt;","&lt;-"))</f>
        <v/>
      </c>
      <c r="BJ481" s="132" t="str">
        <f aca="false">IF(ISBLANK($C481),"",AND($AT481,OR($AU481="",$AV481="",AND($AW481,$AX481=""))))</f>
        <v/>
      </c>
      <c r="BK481" s="135" t="str">
        <f aca="false">IF($BR481&lt;&gt;Constants!$B$8,"",IF($AT481,Constants!$B$21*$AV481+Constants!$B$22*IF($AW481,$AX481,Constants!$B$23),Constants!$B$24))</f>
        <v/>
      </c>
      <c r="BL481" s="136" t="str">
        <f aca="false">IF($BR481&lt;&gt;Constants!$B$8,"",Constants!$B$25*ABS($AD$9-IF($AT481,$AU481,0)))</f>
        <v/>
      </c>
      <c r="BM481" s="136" t="str">
        <f aca="false">IF($BR481&lt;&gt;Constants!$B$8,"",IF(AND($AT481,$AY481,$AW481),Constants!$B$27,0))</f>
        <v/>
      </c>
      <c r="BN481" s="136" t="str">
        <f aca="false">IF($BR481&lt;&gt;Constants!$B$8,"",IF($AT481,($AI481-Constants!$B$29)*Constants!$B$28,0))</f>
        <v/>
      </c>
      <c r="BO481" s="136" t="str">
        <f aca="false">IF($BR481&lt;&gt;Constants!$B$8,"",IF($AS481,0,Constants!$B$15)+IF($AR481,0,Constants!$B$16)+IF($AH481,0,Constants!$B$17))</f>
        <v/>
      </c>
      <c r="BP481" s="137" t="str">
        <f aca="false">IF($BR481&lt;&gt;Constants!$B$8,"",Constants!$B$20+SUM($BK481:$BO481))</f>
        <v/>
      </c>
      <c r="BQ481" s="133" t="str">
        <f aca="false">IF(ISBLANK($C481),"",IF(ISBLANK($D$7),$BQ$5,IF(NOT(ISNUMBER($D$7)),$BQ$6,"")))</f>
        <v/>
      </c>
      <c r="BR481" s="133" t="str">
        <f aca="false">IF(ISBLANK($C481),"",IF($BA481,Constants!$B$11,IF(COUNTA($E481:$AA481)=0,Constants!$B$10,IF(NOT($AG481),Constants!$B$9,IF(OR($BQ481&lt;&gt;"",$BB481,$BJ481),Constants!$B$12,Constants!$B$8)))))</f>
        <v/>
      </c>
      <c r="BS481" s="133" t="str">
        <f aca="false">IF(ISBLANK($C481),"",IF($BR481&lt;&gt;Constants!$B$8,$BR481,Constants!$B$13))</f>
        <v/>
      </c>
      <c r="BT481" s="136" t="str">
        <f aca="false">IF($BR481&lt;&gt;Constants!$B$8,"",IF($BI481="-&gt;",$BP481,$BH481))</f>
        <v/>
      </c>
      <c r="BU481" s="136" t="str">
        <f aca="false">IF($BR481&lt;&gt;Constants!$B$8,"",IF($AF481,0,Constants!$B$18))</f>
        <v/>
      </c>
      <c r="BV481" s="136" t="str">
        <f aca="false">IF($BR481&lt;&gt;Constants!$B$8,"",((Constants!$B$31-$AZ481)-Constants!$B$31)/Constants!$B$32)</f>
        <v/>
      </c>
      <c r="BW481" s="136" t="str">
        <f aca="false">IF(ISBLANK($C481),"",IF($BR481&lt;&gt;Constants!$B$8,$BR481,SUM($BT481:$BV481)))</f>
        <v/>
      </c>
      <c r="BX481" s="133" t="str">
        <f aca="false">IF(ISBLANK($C481),"",IF($BR481&lt;&gt;Constants!$B$8,$BR481,RANK($BW481,$BW$9:$BW$508,1)))</f>
        <v/>
      </c>
      <c r="BY481" s="136" t="str">
        <f aca="false">IF($BR481&lt;&gt;Constants!$B$8,"",IF($BI481="-&gt;",$BK481,$BC481))</f>
        <v/>
      </c>
      <c r="BZ481" s="133" t="str">
        <f aca="false">IF(ISBLANK($C481),"",IF($BR481&lt;&gt;Constants!$B$8,$BR481,IF(ISNUMBER($BY481),RANK($BY481,$BY$9:$BY$508,1),COUNT($BY$9:$BY$508)+1)))</f>
        <v/>
      </c>
      <c r="CA481" s="136" t="str">
        <f aca="false">IF($BR481&lt;&gt;Constants!$B$8,"",IF($BI481="-&gt;",$BL481,$BD481))</f>
        <v/>
      </c>
      <c r="CB481" s="133" t="str">
        <f aca="false">IF(ISBLANK($C481),"",IF($BR481&lt;&gt;Constants!$B$8,$BR481,IF(ISNUMBER($CA481),RANK($CA481,$CA$9:$CA$508,1),COUNT($CA$9:$CA$508)+1)))</f>
        <v/>
      </c>
      <c r="CC481" s="136" t="str">
        <f aca="false">IF($BR481&lt;&gt;Constants!$B$8,"",IF($BI481="-&gt;",IF($AT481,$AV481,""),IF($AL481,$AN481,"")))</f>
        <v/>
      </c>
      <c r="CD481" s="133" t="str">
        <f aca="false">IF(ISBLANK($C481),"",IF($BR481&lt;&gt;Constants!$B$8,$BR481,IF(ISNUMBER($CC481),RANK($CC481,$CC$9:$CC$508,1),COUNT($CC$9:$CC$508)+1)))</f>
        <v/>
      </c>
      <c r="CE481" s="136" t="str">
        <f aca="false">IF($BR481&lt;&gt;Constants!$B$8,"",IF(AND(NOT($AL481),NOT($AT481),$AJ481,$AK481,$AR481,$AS481),"",$AI481))</f>
        <v/>
      </c>
      <c r="CF481" s="133" t="str">
        <f aca="false">IF(ISBLANK($C481),"",IF($BR481&lt;&gt;Constants!$B$8,$BR481,IF(ISNUMBER($CE481),RANK($CE481,$CE$9:$CE$508,1),COUNT($CE$9:$CE$508)+1)))</f>
        <v/>
      </c>
      <c r="CG481" s="133" t="str">
        <f aca="false">IF(ISBLANK($C481),"",IF($BR481&lt;&gt;Constants!$B$8,$BR481,COUNTIFS($BX$9:$BX$508,"&lt;"&amp;$BX481)+COUNTIFS($BX$9:$BX$508,$BX481,$BZ$9:$BZ$508,"&lt;"&amp;$BZ481)+COUNTIFS($BX$9:$BX$508,$BX481,$BZ$9:$BZ$508,$BZ481,$CB$9:$CB$508,"&lt;"&amp;$CB481)+COUNTIFS($BX$9:$BX$508,$BX481,$BZ$9:$BZ$508,$BZ481,$CB$9:$CB$508,$CB481,$CD$9:$CD$508,"&lt;"&amp;$CD481)+COUNTIFS($BX$9:$BX$508,$BX481,$BZ$9:$BZ$508,$BZ481,$CB$9:$CB$508,$CB481,$CD$9:$CD$508,$CD481,$CF$9:$CF$508,"&lt;"&amp;$CF481)+1))</f>
        <v/>
      </c>
      <c r="CH481" s="133" t="str">
        <f aca="false">IF(ISBLANK($C481),"",IF($BR481&lt;&gt;Constants!$B$8,$BR481,$BX481-$CG481))</f>
        <v/>
      </c>
      <c r="CI481" s="138"/>
      <c r="CJ481" s="139"/>
      <c r="CK481" s="140" t="str">
        <f aca="false">IF(ISBLANK($C481),"",IF($BR481=Constants!$B$12,$BQ481,""))</f>
        <v/>
      </c>
      <c r="CL481" s="139" t="str">
        <f aca="false">IF(ISBLANK($C481),"",IF($BR481&lt;&gt;Constants!$B$8,"",IF($BI481="-&gt;",2,1)))</f>
        <v/>
      </c>
      <c r="CM481" s="141" t="str">
        <f aca="false">IF(ISBLANK($C481),"",IF($BR481&lt;&gt;Constants!$B$8,"",IF($BI481="-&gt;",$BK481,$BC481)))</f>
        <v/>
      </c>
      <c r="CN481" s="141" t="str">
        <f aca="false">IF(ISBLANK($C481),"",IF($BR481&lt;&gt;Constants!$B$8,"",IF($BI481="-&gt;",$BL481,$BD481)))</f>
        <v/>
      </c>
      <c r="CO481" s="141" t="str">
        <f aca="false">IF(ISBLANK($C481),"",IF($BR481&lt;&gt;Constants!$B$8,"",IF($BI481="-&gt;",$BM481+$BN481,$BE481+$BF481)+$BV481))</f>
        <v/>
      </c>
      <c r="CP481" s="141" t="str">
        <f aca="false">IF(ISBLANK($C481),"",IF($BR481&lt;&gt;Constants!$B$8,"",IF($BI481="-&gt;",$BO481,$BG481)+$BU481))</f>
        <v/>
      </c>
      <c r="CQ481" s="142" t="str">
        <f aca="false">IF(ISBLANK($C481),"",IF($BR481&lt;&gt;Constants!$B$8,$BR481,$BW481))</f>
        <v/>
      </c>
      <c r="CR481" s="143" t="str">
        <f aca="false">IF(ISBLANK($C481),"",$BS481)</f>
        <v/>
      </c>
      <c r="CS481" s="144" t="str">
        <f aca="false">IF(ISBLANK($C481),"",$CH481)</f>
        <v/>
      </c>
      <c r="CT481" s="144" t="str">
        <f aca="false">IF(ISBLANK($C481),"",$CG481)</f>
        <v/>
      </c>
      <c r="CU481" s="145" t="str">
        <f aca="false">IF(ISBLANK($C481),"",IFERROR(_xlfn.SWITCH($CT481,Constants!$B$11,COUNTA($C$9:$C$508)+2,Constants!$B$10,COUNTA($C$9:$C$508)+1,Constants!$B$9,COUNTA($C$9:$C$508)),$CT481))</f>
        <v/>
      </c>
      <c r="CV481" s="9"/>
      <c r="CW481" s="146" t="n">
        <f aca="false">IF(OR(ISNUMBER($CT481),$CT481=Constants!$B$11,$CT481=Constants!$B$9,$CT481=Constants!$B$10),1,0)</f>
        <v>0</v>
      </c>
      <c r="CX481" s="146" t="n">
        <v>473</v>
      </c>
      <c r="CY481" s="146" t="str">
        <f aca="false">IF(ISBLANK($C481),"",IF(ISNUMBER($CU481),$CU481+ROW($B481)/1000,""))</f>
        <v/>
      </c>
      <c r="CZ481" s="146" t="str">
        <f aca="false">IF(ISNUMBER($CY481),RANK($CY481,$CY$9:$CY$508,1),"")</f>
        <v/>
      </c>
      <c r="DA481" s="146" t="str">
        <f aca="false">IF(ISBLANK($C481),"",$B481)</f>
        <v/>
      </c>
      <c r="DB481" s="146" t="str">
        <f aca="false">IF(ISBLANK($C481),"",$C481)</f>
        <v/>
      </c>
      <c r="DC481" s="146" t="str">
        <f aca="false">IF(ISBLANK($C481),"",$D481)</f>
        <v/>
      </c>
      <c r="DD481" s="147" t="str">
        <f aca="false">$CR481</f>
        <v/>
      </c>
      <c r="DE481" s="148" t="str">
        <f aca="false">$CQ481</f>
        <v/>
      </c>
      <c r="DF481" s="146" t="str">
        <f aca="false">IF(ISBLANK($C481),"",$CT481)</f>
        <v/>
      </c>
      <c r="DG481" s="149" t="str">
        <f aca="false">IF($CX481&gt;$CW$8,"",VLOOKUP($CX481,$CZ$9:$DF$508,7,FALSE()))</f>
        <v/>
      </c>
      <c r="DH481" s="150" t="str">
        <f aca="false">IF($CX481&gt;$CW$8,"",VLOOKUP($CX481,$CZ$9:$DF$508,2,FALSE()))</f>
        <v/>
      </c>
      <c r="DI481" s="150" t="str">
        <f aca="false">IF($CX481&gt;$CW$8,"",VLOOKUP($CX481,$CZ$9:$DF$508,3,FALSE()))</f>
        <v/>
      </c>
      <c r="DJ481" s="150" t="str">
        <f aca="false">IF($CX481&gt;$CW$8,"",VLOOKUP($CX481,$CZ$9:$DF$508,4,FALSE()))</f>
        <v/>
      </c>
      <c r="DK481" s="150" t="str">
        <f aca="false">IF($CX481&gt;$CW$8,"",VLOOKUP($CX481,$CZ$9:$DF$508,5,FALSE()))</f>
        <v/>
      </c>
      <c r="DL481" s="151" t="str">
        <f aca="false">IF($CX481&gt;$CW$8,"",VLOOKUP($CX481,$CZ$9:$DF$508,6,FALSE()))</f>
        <v/>
      </c>
      <c r="DM481" s="75"/>
    </row>
    <row r="482" customFormat="false" ht="15.75" hidden="false" customHeight="false" outlineLevel="0" collapsed="false">
      <c r="A482" s="9"/>
      <c r="B482" s="157"/>
      <c r="C482" s="158"/>
      <c r="D482" s="159"/>
      <c r="E482" s="177"/>
      <c r="F482" s="161"/>
      <c r="G482" s="162"/>
      <c r="H482" s="162"/>
      <c r="I482" s="178"/>
      <c r="J482" s="165"/>
      <c r="K482" s="126"/>
      <c r="L482" s="127"/>
      <c r="M482" s="128"/>
      <c r="N482" s="165"/>
      <c r="O482" s="165"/>
      <c r="P482" s="177"/>
      <c r="Q482" s="165"/>
      <c r="R482" s="165"/>
      <c r="S482" s="126"/>
      <c r="T482" s="128"/>
      <c r="U482" s="128"/>
      <c r="V482" s="165"/>
      <c r="W482" s="165"/>
      <c r="X482" s="177"/>
      <c r="Y482" s="165"/>
      <c r="Z482" s="166"/>
      <c r="AA482" s="165"/>
      <c r="AB482" s="132"/>
      <c r="AC482" s="133"/>
      <c r="AD482" s="133"/>
      <c r="AE482" s="133"/>
      <c r="AF482" s="133" t="str">
        <f aca="false">IF(ISBLANK($C482),"",IF(E482=Constants!$B$3,TRUE(),IF(E482=Constants!$B$4,FALSE(),TRUE())))</f>
        <v/>
      </c>
      <c r="AG482" s="133" t="str">
        <f aca="false">IF(ISBLANK($C482),"",IF(F482=Constants!$B$3,TRUE(),IF(F482=Constants!$B$4,FALSE(),TRUE())))</f>
        <v/>
      </c>
      <c r="AH482" s="133" t="str">
        <f aca="false">IF(ISBLANK($C482),"",IF(G482=Constants!$B$3,TRUE(),IF(G482=Constants!$B$4,FALSE(),TRUE())))</f>
        <v/>
      </c>
      <c r="AI482" s="133" t="str">
        <f aca="false">IF(ISBLANK($C482),"",IF(AND(ISNUMBER(H482),H482&gt;=0),H482,Constants!$B$29))</f>
        <v/>
      </c>
      <c r="AJ482" s="133" t="str">
        <f aca="false">IF(ISBLANK($C482),"",IF(I482=Constants!$B$3,TRUE(),IF(I482=Constants!$B$4,FALSE(),TRUE())))</f>
        <v/>
      </c>
      <c r="AK482" s="133" t="str">
        <f aca="false">IF(ISBLANK($C482),"",IF(J482=Constants!$B$3,TRUE(),IF(J482=Constants!$B$4,FALSE(),TRUE())))</f>
        <v/>
      </c>
      <c r="AL482" s="133" t="str">
        <f aca="false">IF(ISBLANK($C482),"",IF(K482=Constants!$B$5,TRUE(),IF(K482=Constants!$B$6,FALSE(),COUNTA(L482:P482)&gt;0)))</f>
        <v/>
      </c>
      <c r="AM482" s="134" t="str">
        <f aca="false">IF(ISBLANK($C482),"",IF(ISNUMBER(L482),IF(L482&gt;=0,L482,""),""))</f>
        <v/>
      </c>
      <c r="AN482" s="135" t="str">
        <f aca="false">IF(ISBLANK($C482),"",IF(ISNUMBER(M482),IF(M482&gt;=0,M482,""),""))</f>
        <v/>
      </c>
      <c r="AO482" s="135" t="str">
        <f aca="false">IF(ISBLANK($C482),"",IF(N482=Constants!$B$3,TRUE(),IF(N482=Constants!$B$4,FALSE(),TRUE())))</f>
        <v/>
      </c>
      <c r="AP482" s="133" t="str">
        <f aca="false">IF(ISBLANK($C482),"",IF(ISNUMBER(O482),IF(O482&gt;=0,O482,""),""))</f>
        <v/>
      </c>
      <c r="AQ482" s="133" t="str">
        <f aca="false">IF(ISBLANK($C482),"",IF(P482=Constants!$B$3,TRUE(),IF(P482=Constants!$B$4,FALSE(),FALSE())))</f>
        <v/>
      </c>
      <c r="AR482" s="133" t="str">
        <f aca="false">IF(ISBLANK($C482),"",IF(Q482=Constants!$B$3,TRUE(),IF(Q482=Constants!$B$4,FALSE(),TRUE())))</f>
        <v/>
      </c>
      <c r="AS482" s="133" t="str">
        <f aca="false">IF(ISBLANK($C482),"",IF(R482=Constants!$B$3,TRUE(),IF(R482=Constants!$B$4,FALSE(),TRUE())))</f>
        <v/>
      </c>
      <c r="AT482" s="133" t="str">
        <f aca="false">IF(ISBLANK($C482),"",IF(S482=Constants!$B$5,TRUE(),IF(S482=Constants!$B$6,FALSE(),COUNTA(T482:X482)&gt;0)))</f>
        <v/>
      </c>
      <c r="AU482" s="134" t="str">
        <f aca="false">IF(ISBLANK($C482),"",IF(ISNUMBER(T482),IF(T482&gt;=0,T482,""),""))</f>
        <v/>
      </c>
      <c r="AV482" s="135" t="str">
        <f aca="false">IF(ISBLANK($C482),"",IF(ISNUMBER(U482),IF(U482&gt;=0,U482,""),""))</f>
        <v/>
      </c>
      <c r="AW482" s="135" t="str">
        <f aca="false">IF(ISBLANK($C482),"",IF(V482=Constants!$B$3,TRUE(),IF(V482=Constants!$B$4,FALSE(),TRUE())))</f>
        <v/>
      </c>
      <c r="AX482" s="133" t="str">
        <f aca="false">IF(ISBLANK($C482),"",IF(ISNUMBER(W482),IF(W482&gt;=0,W482,""),""))</f>
        <v/>
      </c>
      <c r="AY482" s="133" t="str">
        <f aca="false">IF(ISBLANK($C482),"",IF(X482=Constants!$B$3,TRUE(),IF(X482=Constants!$B$4,FALSE(),FALSE())))</f>
        <v/>
      </c>
      <c r="AZ482" s="133" t="str">
        <f aca="false">IF(ISBLANK($C482),"",MIN(Constants!$B$31,MAX(0,IF(ISNUMBER(Y482),Y482*60,0)+IF(ISNUMBER(Z482),Z482,0))))</f>
        <v/>
      </c>
      <c r="BA482" s="133" t="str">
        <f aca="false">IF(ISBLANK($C482),"",IF(AA482=Constants!$B$3,TRUE(),IF(AA482=Constants!$B$4,FALSE(),FALSE())))</f>
        <v/>
      </c>
      <c r="BB482" s="132" t="str">
        <f aca="false">IF(ISBLANK($C482),"",AND($AL482,OR($AM482="",$AN482="",AND($AO482,$AP482=""))))</f>
        <v/>
      </c>
      <c r="BC482" s="135" t="str">
        <f aca="false">IF($BR482&lt;&gt;Constants!$B$8,"",IF($AL482,Constants!$B$21*$AN482+Constants!$B$22*IF($AO482,$AP482,Constants!$B$23),Constants!$B$24))</f>
        <v/>
      </c>
      <c r="BD482" s="136" t="str">
        <f aca="false">IF($BR482&lt;&gt;Constants!$B$8,"",Constants!$B$25*ABS($AD$9-IF($AL482,$AM482,0)))</f>
        <v/>
      </c>
      <c r="BE482" s="136" t="str">
        <f aca="false">IF($BR482&lt;&gt;Constants!$B$8,"",IF(AND($AL482,$AQ482,$AO482),Constants!$B$27,0))</f>
        <v/>
      </c>
      <c r="BF482" s="136" t="str">
        <f aca="false">IF($BR482&lt;&gt;Constants!$B$8,"",IF($AL482,($AI482-Constants!$B$29)*Constants!$B$28,0))</f>
        <v/>
      </c>
      <c r="BG482" s="136" t="str">
        <f aca="false">IF($BR482&lt;&gt;Constants!$B$8,"",IF($AK482,0,Constants!$B$15)+IF($AJ482,0,Constants!$B$16)+IF($AH482,0,Constants!$B$17))</f>
        <v/>
      </c>
      <c r="BH482" s="137" t="str">
        <f aca="false">IF($BR482&lt;&gt;Constants!$B$8,"",Constants!$B$20+SUM($BC482:$BG482))</f>
        <v/>
      </c>
      <c r="BI482" s="133" t="str">
        <f aca="false">IF($BR482&lt;&gt;Constants!$B$8,"",IF(OR($BP482&lt;$BH482,AND($BP482=$BH482,OR($BK482&lt;$BC482,AND($BK482=$BC482,OR($BL482&lt;$BD482,AND($BL482=$BD482,$AT482,$AL482,$AV482&lt;$AN482)))))),"-&gt;","&lt;-"))</f>
        <v/>
      </c>
      <c r="BJ482" s="132" t="str">
        <f aca="false">IF(ISBLANK($C482),"",AND($AT482,OR($AU482="",$AV482="",AND($AW482,$AX482=""))))</f>
        <v/>
      </c>
      <c r="BK482" s="135" t="str">
        <f aca="false">IF($BR482&lt;&gt;Constants!$B$8,"",IF($AT482,Constants!$B$21*$AV482+Constants!$B$22*IF($AW482,$AX482,Constants!$B$23),Constants!$B$24))</f>
        <v/>
      </c>
      <c r="BL482" s="136" t="str">
        <f aca="false">IF($BR482&lt;&gt;Constants!$B$8,"",Constants!$B$25*ABS($AD$9-IF($AT482,$AU482,0)))</f>
        <v/>
      </c>
      <c r="BM482" s="136" t="str">
        <f aca="false">IF($BR482&lt;&gt;Constants!$B$8,"",IF(AND($AT482,$AY482,$AW482),Constants!$B$27,0))</f>
        <v/>
      </c>
      <c r="BN482" s="136" t="str">
        <f aca="false">IF($BR482&lt;&gt;Constants!$B$8,"",IF($AT482,($AI482-Constants!$B$29)*Constants!$B$28,0))</f>
        <v/>
      </c>
      <c r="BO482" s="136" t="str">
        <f aca="false">IF($BR482&lt;&gt;Constants!$B$8,"",IF($AS482,0,Constants!$B$15)+IF($AR482,0,Constants!$B$16)+IF($AH482,0,Constants!$B$17))</f>
        <v/>
      </c>
      <c r="BP482" s="137" t="str">
        <f aca="false">IF($BR482&lt;&gt;Constants!$B$8,"",Constants!$B$20+SUM($BK482:$BO482))</f>
        <v/>
      </c>
      <c r="BQ482" s="133" t="str">
        <f aca="false">IF(ISBLANK($C482),"",IF(ISBLANK($D$7),$BQ$5,IF(NOT(ISNUMBER($D$7)),$BQ$6,"")))</f>
        <v/>
      </c>
      <c r="BR482" s="133" t="str">
        <f aca="false">IF(ISBLANK($C482),"",IF($BA482,Constants!$B$11,IF(COUNTA($E482:$AA482)=0,Constants!$B$10,IF(NOT($AG482),Constants!$B$9,IF(OR($BQ482&lt;&gt;"",$BB482,$BJ482),Constants!$B$12,Constants!$B$8)))))</f>
        <v/>
      </c>
      <c r="BS482" s="133" t="str">
        <f aca="false">IF(ISBLANK($C482),"",IF($BR482&lt;&gt;Constants!$B$8,$BR482,Constants!$B$13))</f>
        <v/>
      </c>
      <c r="BT482" s="136" t="str">
        <f aca="false">IF($BR482&lt;&gt;Constants!$B$8,"",IF($BI482="-&gt;",$BP482,$BH482))</f>
        <v/>
      </c>
      <c r="BU482" s="136" t="str">
        <f aca="false">IF($BR482&lt;&gt;Constants!$B$8,"",IF($AF482,0,Constants!$B$18))</f>
        <v/>
      </c>
      <c r="BV482" s="136" t="str">
        <f aca="false">IF($BR482&lt;&gt;Constants!$B$8,"",((Constants!$B$31-$AZ482)-Constants!$B$31)/Constants!$B$32)</f>
        <v/>
      </c>
      <c r="BW482" s="136" t="str">
        <f aca="false">IF(ISBLANK($C482),"",IF($BR482&lt;&gt;Constants!$B$8,$BR482,SUM($BT482:$BV482)))</f>
        <v/>
      </c>
      <c r="BX482" s="133" t="str">
        <f aca="false">IF(ISBLANK($C482),"",IF($BR482&lt;&gt;Constants!$B$8,$BR482,RANK($BW482,$BW$9:$BW$508,1)))</f>
        <v/>
      </c>
      <c r="BY482" s="136" t="str">
        <f aca="false">IF($BR482&lt;&gt;Constants!$B$8,"",IF($BI482="-&gt;",$BK482,$BC482))</f>
        <v/>
      </c>
      <c r="BZ482" s="133" t="str">
        <f aca="false">IF(ISBLANK($C482),"",IF($BR482&lt;&gt;Constants!$B$8,$BR482,IF(ISNUMBER($BY482),RANK($BY482,$BY$9:$BY$508,1),COUNT($BY$9:$BY$508)+1)))</f>
        <v/>
      </c>
      <c r="CA482" s="136" t="str">
        <f aca="false">IF($BR482&lt;&gt;Constants!$B$8,"",IF($BI482="-&gt;",$BL482,$BD482))</f>
        <v/>
      </c>
      <c r="CB482" s="133" t="str">
        <f aca="false">IF(ISBLANK($C482),"",IF($BR482&lt;&gt;Constants!$B$8,$BR482,IF(ISNUMBER($CA482),RANK($CA482,$CA$9:$CA$508,1),COUNT($CA$9:$CA$508)+1)))</f>
        <v/>
      </c>
      <c r="CC482" s="136" t="str">
        <f aca="false">IF($BR482&lt;&gt;Constants!$B$8,"",IF($BI482="-&gt;",IF($AT482,$AV482,""),IF($AL482,$AN482,"")))</f>
        <v/>
      </c>
      <c r="CD482" s="133" t="str">
        <f aca="false">IF(ISBLANK($C482),"",IF($BR482&lt;&gt;Constants!$B$8,$BR482,IF(ISNUMBER($CC482),RANK($CC482,$CC$9:$CC$508,1),COUNT($CC$9:$CC$508)+1)))</f>
        <v/>
      </c>
      <c r="CE482" s="136" t="str">
        <f aca="false">IF($BR482&lt;&gt;Constants!$B$8,"",IF(AND(NOT($AL482),NOT($AT482),$AJ482,$AK482,$AR482,$AS482),"",$AI482))</f>
        <v/>
      </c>
      <c r="CF482" s="133" t="str">
        <f aca="false">IF(ISBLANK($C482),"",IF($BR482&lt;&gt;Constants!$B$8,$BR482,IF(ISNUMBER($CE482),RANK($CE482,$CE$9:$CE$508,1),COUNT($CE$9:$CE$508)+1)))</f>
        <v/>
      </c>
      <c r="CG482" s="133" t="str">
        <f aca="false">IF(ISBLANK($C482),"",IF($BR482&lt;&gt;Constants!$B$8,$BR482,COUNTIFS($BX$9:$BX$508,"&lt;"&amp;$BX482)+COUNTIFS($BX$9:$BX$508,$BX482,$BZ$9:$BZ$508,"&lt;"&amp;$BZ482)+COUNTIFS($BX$9:$BX$508,$BX482,$BZ$9:$BZ$508,$BZ482,$CB$9:$CB$508,"&lt;"&amp;$CB482)+COUNTIFS($BX$9:$BX$508,$BX482,$BZ$9:$BZ$508,$BZ482,$CB$9:$CB$508,$CB482,$CD$9:$CD$508,"&lt;"&amp;$CD482)+COUNTIFS($BX$9:$BX$508,$BX482,$BZ$9:$BZ$508,$BZ482,$CB$9:$CB$508,$CB482,$CD$9:$CD$508,$CD482,$CF$9:$CF$508,"&lt;"&amp;$CF482)+1))</f>
        <v/>
      </c>
      <c r="CH482" s="133" t="str">
        <f aca="false">IF(ISBLANK($C482),"",IF($BR482&lt;&gt;Constants!$B$8,$BR482,$BX482-$CG482))</f>
        <v/>
      </c>
      <c r="CI482" s="138"/>
      <c r="CJ482" s="139"/>
      <c r="CK482" s="140" t="str">
        <f aca="false">IF(ISBLANK($C482),"",IF($BR482=Constants!$B$12,$BQ482,""))</f>
        <v/>
      </c>
      <c r="CL482" s="139" t="str">
        <f aca="false">IF(ISBLANK($C482),"",IF($BR482&lt;&gt;Constants!$B$8,"",IF($BI482="-&gt;",2,1)))</f>
        <v/>
      </c>
      <c r="CM482" s="141" t="str">
        <f aca="false">IF(ISBLANK($C482),"",IF($BR482&lt;&gt;Constants!$B$8,"",IF($BI482="-&gt;",$BK482,$BC482)))</f>
        <v/>
      </c>
      <c r="CN482" s="141" t="str">
        <f aca="false">IF(ISBLANK($C482),"",IF($BR482&lt;&gt;Constants!$B$8,"",IF($BI482="-&gt;",$BL482,$BD482)))</f>
        <v/>
      </c>
      <c r="CO482" s="141" t="str">
        <f aca="false">IF(ISBLANK($C482),"",IF($BR482&lt;&gt;Constants!$B$8,"",IF($BI482="-&gt;",$BM482+$BN482,$BE482+$BF482)+$BV482))</f>
        <v/>
      </c>
      <c r="CP482" s="141" t="str">
        <f aca="false">IF(ISBLANK($C482),"",IF($BR482&lt;&gt;Constants!$B$8,"",IF($BI482="-&gt;",$BO482,$BG482)+$BU482))</f>
        <v/>
      </c>
      <c r="CQ482" s="142" t="str">
        <f aca="false">IF(ISBLANK($C482),"",IF($BR482&lt;&gt;Constants!$B$8,$BR482,$BW482))</f>
        <v/>
      </c>
      <c r="CR482" s="143" t="str">
        <f aca="false">IF(ISBLANK($C482),"",$BS482)</f>
        <v/>
      </c>
      <c r="CS482" s="144" t="str">
        <f aca="false">IF(ISBLANK($C482),"",$CH482)</f>
        <v/>
      </c>
      <c r="CT482" s="144" t="str">
        <f aca="false">IF(ISBLANK($C482),"",$CG482)</f>
        <v/>
      </c>
      <c r="CU482" s="145" t="str">
        <f aca="false">IF(ISBLANK($C482),"",IFERROR(_xlfn.SWITCH($CT482,Constants!$B$11,COUNTA($C$9:$C$508)+2,Constants!$B$10,COUNTA($C$9:$C$508)+1,Constants!$B$9,COUNTA($C$9:$C$508)),$CT482))</f>
        <v/>
      </c>
      <c r="CV482" s="9"/>
      <c r="CW482" s="146" t="n">
        <f aca="false">IF(OR(ISNUMBER($CT482),$CT482=Constants!$B$11,$CT482=Constants!$B$9,$CT482=Constants!$B$10),1,0)</f>
        <v>0</v>
      </c>
      <c r="CX482" s="146" t="n">
        <v>474</v>
      </c>
      <c r="CY482" s="146" t="str">
        <f aca="false">IF(ISBLANK($C482),"",IF(ISNUMBER($CU482),$CU482+ROW($B482)/1000,""))</f>
        <v/>
      </c>
      <c r="CZ482" s="146" t="str">
        <f aca="false">IF(ISNUMBER($CY482),RANK($CY482,$CY$9:$CY$508,1),"")</f>
        <v/>
      </c>
      <c r="DA482" s="146" t="str">
        <f aca="false">IF(ISBLANK($C482),"",$B482)</f>
        <v/>
      </c>
      <c r="DB482" s="146" t="str">
        <f aca="false">IF(ISBLANK($C482),"",$C482)</f>
        <v/>
      </c>
      <c r="DC482" s="146" t="str">
        <f aca="false">IF(ISBLANK($C482),"",$D482)</f>
        <v/>
      </c>
      <c r="DD482" s="147" t="str">
        <f aca="false">$CR482</f>
        <v/>
      </c>
      <c r="DE482" s="148" t="str">
        <f aca="false">$CQ482</f>
        <v/>
      </c>
      <c r="DF482" s="146" t="str">
        <f aca="false">IF(ISBLANK($C482),"",$CT482)</f>
        <v/>
      </c>
      <c r="DG482" s="149" t="str">
        <f aca="false">IF($CX482&gt;$CW$8,"",VLOOKUP($CX482,$CZ$9:$DF$508,7,FALSE()))</f>
        <v/>
      </c>
      <c r="DH482" s="150" t="str">
        <f aca="false">IF($CX482&gt;$CW$8,"",VLOOKUP($CX482,$CZ$9:$DF$508,2,FALSE()))</f>
        <v/>
      </c>
      <c r="DI482" s="150" t="str">
        <f aca="false">IF($CX482&gt;$CW$8,"",VLOOKUP($CX482,$CZ$9:$DF$508,3,FALSE()))</f>
        <v/>
      </c>
      <c r="DJ482" s="150" t="str">
        <f aca="false">IF($CX482&gt;$CW$8,"",VLOOKUP($CX482,$CZ$9:$DF$508,4,FALSE()))</f>
        <v/>
      </c>
      <c r="DK482" s="150" t="str">
        <f aca="false">IF($CX482&gt;$CW$8,"",VLOOKUP($CX482,$CZ$9:$DF$508,5,FALSE()))</f>
        <v/>
      </c>
      <c r="DL482" s="151" t="str">
        <f aca="false">IF($CX482&gt;$CW$8,"",VLOOKUP($CX482,$CZ$9:$DF$508,6,FALSE()))</f>
        <v/>
      </c>
      <c r="DM482" s="75"/>
    </row>
    <row r="483" customFormat="false" ht="15.75" hidden="false" customHeight="false" outlineLevel="0" collapsed="false">
      <c r="A483" s="9"/>
      <c r="B483" s="77"/>
      <c r="C483" s="78"/>
      <c r="D483" s="167"/>
      <c r="E483" s="175"/>
      <c r="F483" s="169"/>
      <c r="G483" s="170"/>
      <c r="H483" s="170"/>
      <c r="I483" s="176"/>
      <c r="J483" s="173"/>
      <c r="K483" s="85"/>
      <c r="L483" s="86"/>
      <c r="M483" s="87"/>
      <c r="N483" s="173"/>
      <c r="O483" s="173"/>
      <c r="P483" s="175"/>
      <c r="Q483" s="173"/>
      <c r="R483" s="173"/>
      <c r="S483" s="85"/>
      <c r="T483" s="87"/>
      <c r="U483" s="87"/>
      <c r="V483" s="173"/>
      <c r="W483" s="173"/>
      <c r="X483" s="175"/>
      <c r="Y483" s="173"/>
      <c r="Z483" s="174"/>
      <c r="AA483" s="173"/>
      <c r="AB483" s="91"/>
      <c r="AC483" s="92"/>
      <c r="AD483" s="92"/>
      <c r="AE483" s="92"/>
      <c r="AF483" s="92" t="str">
        <f aca="false">IF(ISBLANK($C483),"",IF(E483=Constants!$B$3,TRUE(),IF(E483=Constants!$B$4,FALSE(),TRUE())))</f>
        <v/>
      </c>
      <c r="AG483" s="92" t="str">
        <f aca="false">IF(ISBLANK($C483),"",IF(F483=Constants!$B$3,TRUE(),IF(F483=Constants!$B$4,FALSE(),TRUE())))</f>
        <v/>
      </c>
      <c r="AH483" s="92" t="str">
        <f aca="false">IF(ISBLANK($C483),"",IF(G483=Constants!$B$3,TRUE(),IF(G483=Constants!$B$4,FALSE(),TRUE())))</f>
        <v/>
      </c>
      <c r="AI483" s="92" t="str">
        <f aca="false">IF(ISBLANK($C483),"",IF(AND(ISNUMBER(H483),H483&gt;=0),H483,Constants!$B$29))</f>
        <v/>
      </c>
      <c r="AJ483" s="92" t="str">
        <f aca="false">IF(ISBLANK($C483),"",IF(I483=Constants!$B$3,TRUE(),IF(I483=Constants!$B$4,FALSE(),TRUE())))</f>
        <v/>
      </c>
      <c r="AK483" s="92" t="str">
        <f aca="false">IF(ISBLANK($C483),"",IF(J483=Constants!$B$3,TRUE(),IF(J483=Constants!$B$4,FALSE(),TRUE())))</f>
        <v/>
      </c>
      <c r="AL483" s="92" t="str">
        <f aca="false">IF(ISBLANK($C483),"",IF(K483=Constants!$B$5,TRUE(),IF(K483=Constants!$B$6,FALSE(),COUNTA(L483:P483)&gt;0)))</f>
        <v/>
      </c>
      <c r="AM483" s="94" t="str">
        <f aca="false">IF(ISBLANK($C483),"",IF(ISNUMBER(L483),IF(L483&gt;=0,L483,""),""))</f>
        <v/>
      </c>
      <c r="AN483" s="93" t="str">
        <f aca="false">IF(ISBLANK($C483),"",IF(ISNUMBER(M483),IF(M483&gt;=0,M483,""),""))</f>
        <v/>
      </c>
      <c r="AO483" s="93" t="str">
        <f aca="false">IF(ISBLANK($C483),"",IF(N483=Constants!$B$3,TRUE(),IF(N483=Constants!$B$4,FALSE(),TRUE())))</f>
        <v/>
      </c>
      <c r="AP483" s="92" t="str">
        <f aca="false">IF(ISBLANK($C483),"",IF(ISNUMBER(O483),IF(O483&gt;=0,O483,""),""))</f>
        <v/>
      </c>
      <c r="AQ483" s="92" t="str">
        <f aca="false">IF(ISBLANK($C483),"",IF(P483=Constants!$B$3,TRUE(),IF(P483=Constants!$B$4,FALSE(),FALSE())))</f>
        <v/>
      </c>
      <c r="AR483" s="92" t="str">
        <f aca="false">IF(ISBLANK($C483),"",IF(Q483=Constants!$B$3,TRUE(),IF(Q483=Constants!$B$4,FALSE(),TRUE())))</f>
        <v/>
      </c>
      <c r="AS483" s="92" t="str">
        <f aca="false">IF(ISBLANK($C483),"",IF(R483=Constants!$B$3,TRUE(),IF(R483=Constants!$B$4,FALSE(),TRUE())))</f>
        <v/>
      </c>
      <c r="AT483" s="92" t="str">
        <f aca="false">IF(ISBLANK($C483),"",IF(S483=Constants!$B$5,TRUE(),IF(S483=Constants!$B$6,FALSE(),COUNTA(T483:X483)&gt;0)))</f>
        <v/>
      </c>
      <c r="AU483" s="94" t="str">
        <f aca="false">IF(ISBLANK($C483),"",IF(ISNUMBER(T483),IF(T483&gt;=0,T483,""),""))</f>
        <v/>
      </c>
      <c r="AV483" s="93" t="str">
        <f aca="false">IF(ISBLANK($C483),"",IF(ISNUMBER(U483),IF(U483&gt;=0,U483,""),""))</f>
        <v/>
      </c>
      <c r="AW483" s="93" t="str">
        <f aca="false">IF(ISBLANK($C483),"",IF(V483=Constants!$B$3,TRUE(),IF(V483=Constants!$B$4,FALSE(),TRUE())))</f>
        <v/>
      </c>
      <c r="AX483" s="92" t="str">
        <f aca="false">IF(ISBLANK($C483),"",IF(ISNUMBER(W483),IF(W483&gt;=0,W483,""),""))</f>
        <v/>
      </c>
      <c r="AY483" s="92" t="str">
        <f aca="false">IF(ISBLANK($C483),"",IF(X483=Constants!$B$3,TRUE(),IF(X483=Constants!$B$4,FALSE(),FALSE())))</f>
        <v/>
      </c>
      <c r="AZ483" s="92" t="str">
        <f aca="false">IF(ISBLANK($C483),"",MIN(Constants!$B$31,MAX(0,IF(ISNUMBER(Y483),Y483*60,0)+IF(ISNUMBER(Z483),Z483,0))))</f>
        <v/>
      </c>
      <c r="BA483" s="92" t="str">
        <f aca="false">IF(ISBLANK($C483),"",IF(AA483=Constants!$B$3,TRUE(),IF(AA483=Constants!$B$4,FALSE(),FALSE())))</f>
        <v/>
      </c>
      <c r="BB483" s="91" t="str">
        <f aca="false">IF(ISBLANK($C483),"",AND($AL483,OR($AM483="",$AN483="",AND($AO483,$AP483=""))))</f>
        <v/>
      </c>
      <c r="BC483" s="93" t="str">
        <f aca="false">IF($BR483&lt;&gt;Constants!$B$8,"",IF($AL483,Constants!$B$21*$AN483+Constants!$B$22*IF($AO483,$AP483,Constants!$B$23),Constants!$B$24))</f>
        <v/>
      </c>
      <c r="BD483" s="96" t="str">
        <f aca="false">IF($BR483&lt;&gt;Constants!$B$8,"",Constants!$B$25*ABS($AD$9-IF($AL483,$AM483,0)))</f>
        <v/>
      </c>
      <c r="BE483" s="96" t="str">
        <f aca="false">IF($BR483&lt;&gt;Constants!$B$8,"",IF(AND($AL483,$AQ483,$AO483),Constants!$B$27,0))</f>
        <v/>
      </c>
      <c r="BF483" s="96" t="str">
        <f aca="false">IF($BR483&lt;&gt;Constants!$B$8,"",IF($AL483,($AI483-Constants!$B$29)*Constants!$B$28,0))</f>
        <v/>
      </c>
      <c r="BG483" s="96" t="str">
        <f aca="false">IF($BR483&lt;&gt;Constants!$B$8,"",IF($AK483,0,Constants!$B$15)+IF($AJ483,0,Constants!$B$16)+IF($AH483,0,Constants!$B$17))</f>
        <v/>
      </c>
      <c r="BH483" s="97" t="str">
        <f aca="false">IF($BR483&lt;&gt;Constants!$B$8,"",Constants!$B$20+SUM($BC483:$BG483))</f>
        <v/>
      </c>
      <c r="BI483" s="92" t="str">
        <f aca="false">IF($BR483&lt;&gt;Constants!$B$8,"",IF(OR($BP483&lt;$BH483,AND($BP483=$BH483,OR($BK483&lt;$BC483,AND($BK483=$BC483,OR($BL483&lt;$BD483,AND($BL483=$BD483,$AT483,$AL483,$AV483&lt;$AN483)))))),"-&gt;","&lt;-"))</f>
        <v/>
      </c>
      <c r="BJ483" s="91" t="str">
        <f aca="false">IF(ISBLANK($C483),"",AND($AT483,OR($AU483="",$AV483="",AND($AW483,$AX483=""))))</f>
        <v/>
      </c>
      <c r="BK483" s="93" t="str">
        <f aca="false">IF($BR483&lt;&gt;Constants!$B$8,"",IF($AT483,Constants!$B$21*$AV483+Constants!$B$22*IF($AW483,$AX483,Constants!$B$23),Constants!$B$24))</f>
        <v/>
      </c>
      <c r="BL483" s="96" t="str">
        <f aca="false">IF($BR483&lt;&gt;Constants!$B$8,"",Constants!$B$25*ABS($AD$9-IF($AT483,$AU483,0)))</f>
        <v/>
      </c>
      <c r="BM483" s="96" t="str">
        <f aca="false">IF($BR483&lt;&gt;Constants!$B$8,"",IF(AND($AT483,$AY483,$AW483),Constants!$B$27,0))</f>
        <v/>
      </c>
      <c r="BN483" s="96" t="str">
        <f aca="false">IF($BR483&lt;&gt;Constants!$B$8,"",IF($AT483,($AI483-Constants!$B$29)*Constants!$B$28,0))</f>
        <v/>
      </c>
      <c r="BO483" s="96" t="str">
        <f aca="false">IF($BR483&lt;&gt;Constants!$B$8,"",IF($AS483,0,Constants!$B$15)+IF($AR483,0,Constants!$B$16)+IF($AH483,0,Constants!$B$17))</f>
        <v/>
      </c>
      <c r="BP483" s="97" t="str">
        <f aca="false">IF($BR483&lt;&gt;Constants!$B$8,"",Constants!$B$20+SUM($BK483:$BO483))</f>
        <v/>
      </c>
      <c r="BQ483" s="92" t="str">
        <f aca="false">IF(ISBLANK($C483),"",IF(ISBLANK($D$7),$BQ$5,IF(NOT(ISNUMBER($D$7)),$BQ$6,"")))</f>
        <v/>
      </c>
      <c r="BR483" s="92" t="str">
        <f aca="false">IF(ISBLANK($C483),"",IF($BA483,Constants!$B$11,IF(COUNTA($E483:$AA483)=0,Constants!$B$10,IF(NOT($AG483),Constants!$B$9,IF(OR($BQ483&lt;&gt;"",$BB483,$BJ483),Constants!$B$12,Constants!$B$8)))))</f>
        <v/>
      </c>
      <c r="BS483" s="92" t="str">
        <f aca="false">IF(ISBLANK($C483),"",IF($BR483&lt;&gt;Constants!$B$8,$BR483,Constants!$B$13))</f>
        <v/>
      </c>
      <c r="BT483" s="96" t="str">
        <f aca="false">IF($BR483&lt;&gt;Constants!$B$8,"",IF($BI483="-&gt;",$BP483,$BH483))</f>
        <v/>
      </c>
      <c r="BU483" s="96" t="str">
        <f aca="false">IF($BR483&lt;&gt;Constants!$B$8,"",IF($AF483,0,Constants!$B$18))</f>
        <v/>
      </c>
      <c r="BV483" s="96" t="str">
        <f aca="false">IF($BR483&lt;&gt;Constants!$B$8,"",((Constants!$B$31-$AZ483)-Constants!$B$31)/Constants!$B$32)</f>
        <v/>
      </c>
      <c r="BW483" s="96" t="str">
        <f aca="false">IF(ISBLANK($C483),"",IF($BR483&lt;&gt;Constants!$B$8,$BR483,SUM($BT483:$BV483)))</f>
        <v/>
      </c>
      <c r="BX483" s="92" t="str">
        <f aca="false">IF(ISBLANK($C483),"",IF($BR483&lt;&gt;Constants!$B$8,$BR483,RANK($BW483,$BW$9:$BW$508,1)))</f>
        <v/>
      </c>
      <c r="BY483" s="96" t="str">
        <f aca="false">IF($BR483&lt;&gt;Constants!$B$8,"",IF($BI483="-&gt;",$BK483,$BC483))</f>
        <v/>
      </c>
      <c r="BZ483" s="92" t="str">
        <f aca="false">IF(ISBLANK($C483),"",IF($BR483&lt;&gt;Constants!$B$8,$BR483,IF(ISNUMBER($BY483),RANK($BY483,$BY$9:$BY$508,1),COUNT($BY$9:$BY$508)+1)))</f>
        <v/>
      </c>
      <c r="CA483" s="96" t="str">
        <f aca="false">IF($BR483&lt;&gt;Constants!$B$8,"",IF($BI483="-&gt;",$BL483,$BD483))</f>
        <v/>
      </c>
      <c r="CB483" s="92" t="str">
        <f aca="false">IF(ISBLANK($C483),"",IF($BR483&lt;&gt;Constants!$B$8,$BR483,IF(ISNUMBER($CA483),RANK($CA483,$CA$9:$CA$508,1),COUNT($CA$9:$CA$508)+1)))</f>
        <v/>
      </c>
      <c r="CC483" s="96" t="str">
        <f aca="false">IF($BR483&lt;&gt;Constants!$B$8,"",IF($BI483="-&gt;",IF($AT483,$AV483,""),IF($AL483,$AN483,"")))</f>
        <v/>
      </c>
      <c r="CD483" s="92" t="str">
        <f aca="false">IF(ISBLANK($C483),"",IF($BR483&lt;&gt;Constants!$B$8,$BR483,IF(ISNUMBER($CC483),RANK($CC483,$CC$9:$CC$508,1),COUNT($CC$9:$CC$508)+1)))</f>
        <v/>
      </c>
      <c r="CE483" s="96" t="str">
        <f aca="false">IF($BR483&lt;&gt;Constants!$B$8,"",IF(AND(NOT($AL483),NOT($AT483),$AJ483,$AK483,$AR483,$AS483),"",$AI483))</f>
        <v/>
      </c>
      <c r="CF483" s="92" t="str">
        <f aca="false">IF(ISBLANK($C483),"",IF($BR483&lt;&gt;Constants!$B$8,$BR483,IF(ISNUMBER($CE483),RANK($CE483,$CE$9:$CE$508,1),COUNT($CE$9:$CE$508)+1)))</f>
        <v/>
      </c>
      <c r="CG483" s="92" t="str">
        <f aca="false">IF(ISBLANK($C483),"",IF($BR483&lt;&gt;Constants!$B$8,$BR483,COUNTIFS($BX$9:$BX$508,"&lt;"&amp;$BX483)+COUNTIFS($BX$9:$BX$508,$BX483,$BZ$9:$BZ$508,"&lt;"&amp;$BZ483)+COUNTIFS($BX$9:$BX$508,$BX483,$BZ$9:$BZ$508,$BZ483,$CB$9:$CB$508,"&lt;"&amp;$CB483)+COUNTIFS($BX$9:$BX$508,$BX483,$BZ$9:$BZ$508,$BZ483,$CB$9:$CB$508,$CB483,$CD$9:$CD$508,"&lt;"&amp;$CD483)+COUNTIFS($BX$9:$BX$508,$BX483,$BZ$9:$BZ$508,$BZ483,$CB$9:$CB$508,$CB483,$CD$9:$CD$508,$CD483,$CF$9:$CF$508,"&lt;"&amp;$CF483)+1))</f>
        <v/>
      </c>
      <c r="CH483" s="92" t="str">
        <f aca="false">IF(ISBLANK($C483),"",IF($BR483&lt;&gt;Constants!$B$8,$BR483,$BX483-$CG483))</f>
        <v/>
      </c>
      <c r="CI483" s="98"/>
      <c r="CJ483" s="99"/>
      <c r="CK483" s="100" t="str">
        <f aca="false">IF(ISBLANK($C483),"",IF($BR483=Constants!$B$12,$BQ483,""))</f>
        <v/>
      </c>
      <c r="CL483" s="99" t="str">
        <f aca="false">IF(ISBLANK($C483),"",IF($BR483&lt;&gt;Constants!$B$8,"",IF($BI483="-&gt;",2,1)))</f>
        <v/>
      </c>
      <c r="CM483" s="101" t="str">
        <f aca="false">IF(ISBLANK($C483),"",IF($BR483&lt;&gt;Constants!$B$8,"",IF($BI483="-&gt;",$BK483,$BC483)))</f>
        <v/>
      </c>
      <c r="CN483" s="101" t="str">
        <f aca="false">IF(ISBLANK($C483),"",IF($BR483&lt;&gt;Constants!$B$8,"",IF($BI483="-&gt;",$BL483,$BD483)))</f>
        <v/>
      </c>
      <c r="CO483" s="101" t="str">
        <f aca="false">IF(ISBLANK($C483),"",IF($BR483&lt;&gt;Constants!$B$8,"",IF($BI483="-&gt;",$BM483+$BN483,$BE483+$BF483)+$BV483))</f>
        <v/>
      </c>
      <c r="CP483" s="101" t="str">
        <f aca="false">IF(ISBLANK($C483),"",IF($BR483&lt;&gt;Constants!$B$8,"",IF($BI483="-&gt;",$BO483,$BG483)+$BU483))</f>
        <v/>
      </c>
      <c r="CQ483" s="102" t="str">
        <f aca="false">IF(ISBLANK($C483),"",IF($BR483&lt;&gt;Constants!$B$8,$BR483,$BW483))</f>
        <v/>
      </c>
      <c r="CR483" s="103" t="str">
        <f aca="false">IF(ISBLANK($C483),"",$BS483)</f>
        <v/>
      </c>
      <c r="CS483" s="104" t="str">
        <f aca="false">IF(ISBLANK($C483),"",$CH483)</f>
        <v/>
      </c>
      <c r="CT483" s="104" t="str">
        <f aca="false">IF(ISBLANK($C483),"",$CG483)</f>
        <v/>
      </c>
      <c r="CU483" s="105" t="str">
        <f aca="false">IF(ISBLANK($C483),"",IFERROR(_xlfn.SWITCH($CT483,Constants!$B$11,COUNTA($C$9:$C$508)+2,Constants!$B$10,COUNTA($C$9:$C$508)+1,Constants!$B$9,COUNTA($C$9:$C$508)),$CT483))</f>
        <v/>
      </c>
      <c r="CV483" s="9"/>
      <c r="CW483" s="106" t="n">
        <f aca="false">IF(OR(ISNUMBER($CT483),$CT483=Constants!$B$11,$CT483=Constants!$B$9,$CT483=Constants!$B$10),1,0)</f>
        <v>0</v>
      </c>
      <c r="CX483" s="106" t="n">
        <v>475</v>
      </c>
      <c r="CY483" s="106" t="str">
        <f aca="false">IF(ISBLANK($C483),"",IF(ISNUMBER($CU483),$CU483+ROW($B483)/1000,""))</f>
        <v/>
      </c>
      <c r="CZ483" s="106" t="str">
        <f aca="false">IF(ISNUMBER($CY483),RANK($CY483,$CY$9:$CY$508,1),"")</f>
        <v/>
      </c>
      <c r="DA483" s="106" t="str">
        <f aca="false">IF(ISBLANK($C483),"",$B483)</f>
        <v/>
      </c>
      <c r="DB483" s="106" t="str">
        <f aca="false">IF(ISBLANK($C483),"",$C483)</f>
        <v/>
      </c>
      <c r="DC483" s="106" t="str">
        <f aca="false">IF(ISBLANK($C483),"",$D483)</f>
        <v/>
      </c>
      <c r="DD483" s="107" t="str">
        <f aca="false">$CR483</f>
        <v/>
      </c>
      <c r="DE483" s="108" t="str">
        <f aca="false">$CQ483</f>
        <v/>
      </c>
      <c r="DF483" s="106" t="str">
        <f aca="false">IF(ISBLANK($C483),"",$CT483)</f>
        <v/>
      </c>
      <c r="DG483" s="109" t="str">
        <f aca="false">IF($CX483&gt;$CW$8,"",VLOOKUP($CX483,$CZ$9:$DF$508,7,FALSE()))</f>
        <v/>
      </c>
      <c r="DH483" s="110" t="str">
        <f aca="false">IF($CX483&gt;$CW$8,"",VLOOKUP($CX483,$CZ$9:$DF$508,2,FALSE()))</f>
        <v/>
      </c>
      <c r="DI483" s="110" t="str">
        <f aca="false">IF($CX483&gt;$CW$8,"",VLOOKUP($CX483,$CZ$9:$DF$508,3,FALSE()))</f>
        <v/>
      </c>
      <c r="DJ483" s="110" t="str">
        <f aca="false">IF($CX483&gt;$CW$8,"",VLOOKUP($CX483,$CZ$9:$DF$508,4,FALSE()))</f>
        <v/>
      </c>
      <c r="DK483" s="110" t="str">
        <f aca="false">IF($CX483&gt;$CW$8,"",VLOOKUP($CX483,$CZ$9:$DF$508,5,FALSE()))</f>
        <v/>
      </c>
      <c r="DL483" s="111" t="str">
        <f aca="false">IF($CX483&gt;$CW$8,"",VLOOKUP($CX483,$CZ$9:$DF$508,6,FALSE()))</f>
        <v/>
      </c>
      <c r="DM483" s="75"/>
    </row>
    <row r="484" customFormat="false" ht="15.75" hidden="false" customHeight="false" outlineLevel="0" collapsed="false">
      <c r="A484" s="9"/>
      <c r="B484" s="77"/>
      <c r="C484" s="78"/>
      <c r="D484" s="167"/>
      <c r="E484" s="175"/>
      <c r="F484" s="169"/>
      <c r="G484" s="170"/>
      <c r="H484" s="170"/>
      <c r="I484" s="176"/>
      <c r="J484" s="173"/>
      <c r="K484" s="85"/>
      <c r="L484" s="86"/>
      <c r="M484" s="87"/>
      <c r="N484" s="173"/>
      <c r="O484" s="173"/>
      <c r="P484" s="175"/>
      <c r="Q484" s="173"/>
      <c r="R484" s="173"/>
      <c r="S484" s="85"/>
      <c r="T484" s="87"/>
      <c r="U484" s="87"/>
      <c r="V484" s="173"/>
      <c r="W484" s="173"/>
      <c r="X484" s="175"/>
      <c r="Y484" s="173"/>
      <c r="Z484" s="174"/>
      <c r="AA484" s="173"/>
      <c r="AB484" s="91"/>
      <c r="AC484" s="92"/>
      <c r="AD484" s="92"/>
      <c r="AE484" s="92"/>
      <c r="AF484" s="92" t="str">
        <f aca="false">IF(ISBLANK($C484),"",IF(E484=Constants!$B$3,TRUE(),IF(E484=Constants!$B$4,FALSE(),TRUE())))</f>
        <v/>
      </c>
      <c r="AG484" s="92" t="str">
        <f aca="false">IF(ISBLANK($C484),"",IF(F484=Constants!$B$3,TRUE(),IF(F484=Constants!$B$4,FALSE(),TRUE())))</f>
        <v/>
      </c>
      <c r="AH484" s="92" t="str">
        <f aca="false">IF(ISBLANK($C484),"",IF(G484=Constants!$B$3,TRUE(),IF(G484=Constants!$B$4,FALSE(),TRUE())))</f>
        <v/>
      </c>
      <c r="AI484" s="92" t="str">
        <f aca="false">IF(ISBLANK($C484),"",IF(AND(ISNUMBER(H484),H484&gt;=0),H484,Constants!$B$29))</f>
        <v/>
      </c>
      <c r="AJ484" s="92" t="str">
        <f aca="false">IF(ISBLANK($C484),"",IF(I484=Constants!$B$3,TRUE(),IF(I484=Constants!$B$4,FALSE(),TRUE())))</f>
        <v/>
      </c>
      <c r="AK484" s="92" t="str">
        <f aca="false">IF(ISBLANK($C484),"",IF(J484=Constants!$B$3,TRUE(),IF(J484=Constants!$B$4,FALSE(),TRUE())))</f>
        <v/>
      </c>
      <c r="AL484" s="92" t="str">
        <f aca="false">IF(ISBLANK($C484),"",IF(K484=Constants!$B$5,TRUE(),IF(K484=Constants!$B$6,FALSE(),COUNTA(L484:P484)&gt;0)))</f>
        <v/>
      </c>
      <c r="AM484" s="94" t="str">
        <f aca="false">IF(ISBLANK($C484),"",IF(ISNUMBER(L484),IF(L484&gt;=0,L484,""),""))</f>
        <v/>
      </c>
      <c r="AN484" s="93" t="str">
        <f aca="false">IF(ISBLANK($C484),"",IF(ISNUMBER(M484),IF(M484&gt;=0,M484,""),""))</f>
        <v/>
      </c>
      <c r="AO484" s="93" t="str">
        <f aca="false">IF(ISBLANK($C484),"",IF(N484=Constants!$B$3,TRUE(),IF(N484=Constants!$B$4,FALSE(),TRUE())))</f>
        <v/>
      </c>
      <c r="AP484" s="92" t="str">
        <f aca="false">IF(ISBLANK($C484),"",IF(ISNUMBER(O484),IF(O484&gt;=0,O484,""),""))</f>
        <v/>
      </c>
      <c r="AQ484" s="92" t="str">
        <f aca="false">IF(ISBLANK($C484),"",IF(P484=Constants!$B$3,TRUE(),IF(P484=Constants!$B$4,FALSE(),FALSE())))</f>
        <v/>
      </c>
      <c r="AR484" s="92" t="str">
        <f aca="false">IF(ISBLANK($C484),"",IF(Q484=Constants!$B$3,TRUE(),IF(Q484=Constants!$B$4,FALSE(),TRUE())))</f>
        <v/>
      </c>
      <c r="AS484" s="92" t="str">
        <f aca="false">IF(ISBLANK($C484),"",IF(R484=Constants!$B$3,TRUE(),IF(R484=Constants!$B$4,FALSE(),TRUE())))</f>
        <v/>
      </c>
      <c r="AT484" s="92" t="str">
        <f aca="false">IF(ISBLANK($C484),"",IF(S484=Constants!$B$5,TRUE(),IF(S484=Constants!$B$6,FALSE(),COUNTA(T484:X484)&gt;0)))</f>
        <v/>
      </c>
      <c r="AU484" s="94" t="str">
        <f aca="false">IF(ISBLANK($C484),"",IF(ISNUMBER(T484),IF(T484&gt;=0,T484,""),""))</f>
        <v/>
      </c>
      <c r="AV484" s="93" t="str">
        <f aca="false">IF(ISBLANK($C484),"",IF(ISNUMBER(U484),IF(U484&gt;=0,U484,""),""))</f>
        <v/>
      </c>
      <c r="AW484" s="93" t="str">
        <f aca="false">IF(ISBLANK($C484),"",IF(V484=Constants!$B$3,TRUE(),IF(V484=Constants!$B$4,FALSE(),TRUE())))</f>
        <v/>
      </c>
      <c r="AX484" s="92" t="str">
        <f aca="false">IF(ISBLANK($C484),"",IF(ISNUMBER(W484),IF(W484&gt;=0,W484,""),""))</f>
        <v/>
      </c>
      <c r="AY484" s="92" t="str">
        <f aca="false">IF(ISBLANK($C484),"",IF(X484=Constants!$B$3,TRUE(),IF(X484=Constants!$B$4,FALSE(),FALSE())))</f>
        <v/>
      </c>
      <c r="AZ484" s="92" t="str">
        <f aca="false">IF(ISBLANK($C484),"",MIN(Constants!$B$31,MAX(0,IF(ISNUMBER(Y484),Y484*60,0)+IF(ISNUMBER(Z484),Z484,0))))</f>
        <v/>
      </c>
      <c r="BA484" s="92" t="str">
        <f aca="false">IF(ISBLANK($C484),"",IF(AA484=Constants!$B$3,TRUE(),IF(AA484=Constants!$B$4,FALSE(),FALSE())))</f>
        <v/>
      </c>
      <c r="BB484" s="91" t="str">
        <f aca="false">IF(ISBLANK($C484),"",AND($AL484,OR($AM484="",$AN484="",AND($AO484,$AP484=""))))</f>
        <v/>
      </c>
      <c r="BC484" s="93" t="str">
        <f aca="false">IF($BR484&lt;&gt;Constants!$B$8,"",IF($AL484,Constants!$B$21*$AN484+Constants!$B$22*IF($AO484,$AP484,Constants!$B$23),Constants!$B$24))</f>
        <v/>
      </c>
      <c r="BD484" s="96" t="str">
        <f aca="false">IF($BR484&lt;&gt;Constants!$B$8,"",Constants!$B$25*ABS($AD$9-IF($AL484,$AM484,0)))</f>
        <v/>
      </c>
      <c r="BE484" s="96" t="str">
        <f aca="false">IF($BR484&lt;&gt;Constants!$B$8,"",IF(AND($AL484,$AQ484,$AO484),Constants!$B$27,0))</f>
        <v/>
      </c>
      <c r="BF484" s="96" t="str">
        <f aca="false">IF($BR484&lt;&gt;Constants!$B$8,"",IF($AL484,($AI484-Constants!$B$29)*Constants!$B$28,0))</f>
        <v/>
      </c>
      <c r="BG484" s="96" t="str">
        <f aca="false">IF($BR484&lt;&gt;Constants!$B$8,"",IF($AK484,0,Constants!$B$15)+IF($AJ484,0,Constants!$B$16)+IF($AH484,0,Constants!$B$17))</f>
        <v/>
      </c>
      <c r="BH484" s="97" t="str">
        <f aca="false">IF($BR484&lt;&gt;Constants!$B$8,"",Constants!$B$20+SUM($BC484:$BG484))</f>
        <v/>
      </c>
      <c r="BI484" s="92" t="str">
        <f aca="false">IF($BR484&lt;&gt;Constants!$B$8,"",IF(OR($BP484&lt;$BH484,AND($BP484=$BH484,OR($BK484&lt;$BC484,AND($BK484=$BC484,OR($BL484&lt;$BD484,AND($BL484=$BD484,$AT484,$AL484,$AV484&lt;$AN484)))))),"-&gt;","&lt;-"))</f>
        <v/>
      </c>
      <c r="BJ484" s="91" t="str">
        <f aca="false">IF(ISBLANK($C484),"",AND($AT484,OR($AU484="",$AV484="",AND($AW484,$AX484=""))))</f>
        <v/>
      </c>
      <c r="BK484" s="93" t="str">
        <f aca="false">IF($BR484&lt;&gt;Constants!$B$8,"",IF($AT484,Constants!$B$21*$AV484+Constants!$B$22*IF($AW484,$AX484,Constants!$B$23),Constants!$B$24))</f>
        <v/>
      </c>
      <c r="BL484" s="96" t="str">
        <f aca="false">IF($BR484&lt;&gt;Constants!$B$8,"",Constants!$B$25*ABS($AD$9-IF($AT484,$AU484,0)))</f>
        <v/>
      </c>
      <c r="BM484" s="96" t="str">
        <f aca="false">IF($BR484&lt;&gt;Constants!$B$8,"",IF(AND($AT484,$AY484,$AW484),Constants!$B$27,0))</f>
        <v/>
      </c>
      <c r="BN484" s="96" t="str">
        <f aca="false">IF($BR484&lt;&gt;Constants!$B$8,"",IF($AT484,($AI484-Constants!$B$29)*Constants!$B$28,0))</f>
        <v/>
      </c>
      <c r="BO484" s="96" t="str">
        <f aca="false">IF($BR484&lt;&gt;Constants!$B$8,"",IF($AS484,0,Constants!$B$15)+IF($AR484,0,Constants!$B$16)+IF($AH484,0,Constants!$B$17))</f>
        <v/>
      </c>
      <c r="BP484" s="97" t="str">
        <f aca="false">IF($BR484&lt;&gt;Constants!$B$8,"",Constants!$B$20+SUM($BK484:$BO484))</f>
        <v/>
      </c>
      <c r="BQ484" s="92" t="str">
        <f aca="false">IF(ISBLANK($C484),"",IF(ISBLANK($D$7),$BQ$5,IF(NOT(ISNUMBER($D$7)),$BQ$6,"")))</f>
        <v/>
      </c>
      <c r="BR484" s="92" t="str">
        <f aca="false">IF(ISBLANK($C484),"",IF($BA484,Constants!$B$11,IF(COUNTA($E484:$AA484)=0,Constants!$B$10,IF(NOT($AG484),Constants!$B$9,IF(OR($BQ484&lt;&gt;"",$BB484,$BJ484),Constants!$B$12,Constants!$B$8)))))</f>
        <v/>
      </c>
      <c r="BS484" s="92" t="str">
        <f aca="false">IF(ISBLANK($C484),"",IF($BR484&lt;&gt;Constants!$B$8,$BR484,Constants!$B$13))</f>
        <v/>
      </c>
      <c r="BT484" s="96" t="str">
        <f aca="false">IF($BR484&lt;&gt;Constants!$B$8,"",IF($BI484="-&gt;",$BP484,$BH484))</f>
        <v/>
      </c>
      <c r="BU484" s="96" t="str">
        <f aca="false">IF($BR484&lt;&gt;Constants!$B$8,"",IF($AF484,0,Constants!$B$18))</f>
        <v/>
      </c>
      <c r="BV484" s="96" t="str">
        <f aca="false">IF($BR484&lt;&gt;Constants!$B$8,"",((Constants!$B$31-$AZ484)-Constants!$B$31)/Constants!$B$32)</f>
        <v/>
      </c>
      <c r="BW484" s="96" t="str">
        <f aca="false">IF(ISBLANK($C484),"",IF($BR484&lt;&gt;Constants!$B$8,$BR484,SUM($BT484:$BV484)))</f>
        <v/>
      </c>
      <c r="BX484" s="92" t="str">
        <f aca="false">IF(ISBLANK($C484),"",IF($BR484&lt;&gt;Constants!$B$8,$BR484,RANK($BW484,$BW$9:$BW$508,1)))</f>
        <v/>
      </c>
      <c r="BY484" s="96" t="str">
        <f aca="false">IF($BR484&lt;&gt;Constants!$B$8,"",IF($BI484="-&gt;",$BK484,$BC484))</f>
        <v/>
      </c>
      <c r="BZ484" s="92" t="str">
        <f aca="false">IF(ISBLANK($C484),"",IF($BR484&lt;&gt;Constants!$B$8,$BR484,IF(ISNUMBER($BY484),RANK($BY484,$BY$9:$BY$508,1),COUNT($BY$9:$BY$508)+1)))</f>
        <v/>
      </c>
      <c r="CA484" s="96" t="str">
        <f aca="false">IF($BR484&lt;&gt;Constants!$B$8,"",IF($BI484="-&gt;",$BL484,$BD484))</f>
        <v/>
      </c>
      <c r="CB484" s="92" t="str">
        <f aca="false">IF(ISBLANK($C484),"",IF($BR484&lt;&gt;Constants!$B$8,$BR484,IF(ISNUMBER($CA484),RANK($CA484,$CA$9:$CA$508,1),COUNT($CA$9:$CA$508)+1)))</f>
        <v/>
      </c>
      <c r="CC484" s="96" t="str">
        <f aca="false">IF($BR484&lt;&gt;Constants!$B$8,"",IF($BI484="-&gt;",IF($AT484,$AV484,""),IF($AL484,$AN484,"")))</f>
        <v/>
      </c>
      <c r="CD484" s="92" t="str">
        <f aca="false">IF(ISBLANK($C484),"",IF($BR484&lt;&gt;Constants!$B$8,$BR484,IF(ISNUMBER($CC484),RANK($CC484,$CC$9:$CC$508,1),COUNT($CC$9:$CC$508)+1)))</f>
        <v/>
      </c>
      <c r="CE484" s="96" t="str">
        <f aca="false">IF($BR484&lt;&gt;Constants!$B$8,"",IF(AND(NOT($AL484),NOT($AT484),$AJ484,$AK484,$AR484,$AS484),"",$AI484))</f>
        <v/>
      </c>
      <c r="CF484" s="92" t="str">
        <f aca="false">IF(ISBLANK($C484),"",IF($BR484&lt;&gt;Constants!$B$8,$BR484,IF(ISNUMBER($CE484),RANK($CE484,$CE$9:$CE$508,1),COUNT($CE$9:$CE$508)+1)))</f>
        <v/>
      </c>
      <c r="CG484" s="92" t="str">
        <f aca="false">IF(ISBLANK($C484),"",IF($BR484&lt;&gt;Constants!$B$8,$BR484,COUNTIFS($BX$9:$BX$508,"&lt;"&amp;$BX484)+COUNTIFS($BX$9:$BX$508,$BX484,$BZ$9:$BZ$508,"&lt;"&amp;$BZ484)+COUNTIFS($BX$9:$BX$508,$BX484,$BZ$9:$BZ$508,$BZ484,$CB$9:$CB$508,"&lt;"&amp;$CB484)+COUNTIFS($BX$9:$BX$508,$BX484,$BZ$9:$BZ$508,$BZ484,$CB$9:$CB$508,$CB484,$CD$9:$CD$508,"&lt;"&amp;$CD484)+COUNTIFS($BX$9:$BX$508,$BX484,$BZ$9:$BZ$508,$BZ484,$CB$9:$CB$508,$CB484,$CD$9:$CD$508,$CD484,$CF$9:$CF$508,"&lt;"&amp;$CF484)+1))</f>
        <v/>
      </c>
      <c r="CH484" s="92" t="str">
        <f aca="false">IF(ISBLANK($C484),"",IF($BR484&lt;&gt;Constants!$B$8,$BR484,$BX484-$CG484))</f>
        <v/>
      </c>
      <c r="CI484" s="98"/>
      <c r="CJ484" s="99"/>
      <c r="CK484" s="100" t="str">
        <f aca="false">IF(ISBLANK($C484),"",IF($BR484=Constants!$B$12,$BQ484,""))</f>
        <v/>
      </c>
      <c r="CL484" s="99" t="str">
        <f aca="false">IF(ISBLANK($C484),"",IF($BR484&lt;&gt;Constants!$B$8,"",IF($BI484="-&gt;",2,1)))</f>
        <v/>
      </c>
      <c r="CM484" s="101" t="str">
        <f aca="false">IF(ISBLANK($C484),"",IF($BR484&lt;&gt;Constants!$B$8,"",IF($BI484="-&gt;",$BK484,$BC484)))</f>
        <v/>
      </c>
      <c r="CN484" s="101" t="str">
        <f aca="false">IF(ISBLANK($C484),"",IF($BR484&lt;&gt;Constants!$B$8,"",IF($BI484="-&gt;",$BL484,$BD484)))</f>
        <v/>
      </c>
      <c r="CO484" s="101" t="str">
        <f aca="false">IF(ISBLANK($C484),"",IF($BR484&lt;&gt;Constants!$B$8,"",IF($BI484="-&gt;",$BM484+$BN484,$BE484+$BF484)+$BV484))</f>
        <v/>
      </c>
      <c r="CP484" s="101" t="str">
        <f aca="false">IF(ISBLANK($C484),"",IF($BR484&lt;&gt;Constants!$B$8,"",IF($BI484="-&gt;",$BO484,$BG484)+$BU484))</f>
        <v/>
      </c>
      <c r="CQ484" s="102" t="str">
        <f aca="false">IF(ISBLANK($C484),"",IF($BR484&lt;&gt;Constants!$B$8,$BR484,$BW484))</f>
        <v/>
      </c>
      <c r="CR484" s="103" t="str">
        <f aca="false">IF(ISBLANK($C484),"",$BS484)</f>
        <v/>
      </c>
      <c r="CS484" s="104" t="str">
        <f aca="false">IF(ISBLANK($C484),"",$CH484)</f>
        <v/>
      </c>
      <c r="CT484" s="104" t="str">
        <f aca="false">IF(ISBLANK($C484),"",$CG484)</f>
        <v/>
      </c>
      <c r="CU484" s="105" t="str">
        <f aca="false">IF(ISBLANK($C484),"",IFERROR(_xlfn.SWITCH($CT484,Constants!$B$11,COUNTA($C$9:$C$508)+2,Constants!$B$10,COUNTA($C$9:$C$508)+1,Constants!$B$9,COUNTA($C$9:$C$508)),$CT484))</f>
        <v/>
      </c>
      <c r="CV484" s="9"/>
      <c r="CW484" s="106" t="n">
        <f aca="false">IF(OR(ISNUMBER($CT484),$CT484=Constants!$B$11,$CT484=Constants!$B$9,$CT484=Constants!$B$10),1,0)</f>
        <v>0</v>
      </c>
      <c r="CX484" s="106" t="n">
        <v>476</v>
      </c>
      <c r="CY484" s="106" t="str">
        <f aca="false">IF(ISBLANK($C484),"",IF(ISNUMBER($CU484),$CU484+ROW($B484)/1000,""))</f>
        <v/>
      </c>
      <c r="CZ484" s="106" t="str">
        <f aca="false">IF(ISNUMBER($CY484),RANK($CY484,$CY$9:$CY$508,1),"")</f>
        <v/>
      </c>
      <c r="DA484" s="106" t="str">
        <f aca="false">IF(ISBLANK($C484),"",$B484)</f>
        <v/>
      </c>
      <c r="DB484" s="106" t="str">
        <f aca="false">IF(ISBLANK($C484),"",$C484)</f>
        <v/>
      </c>
      <c r="DC484" s="106" t="str">
        <f aca="false">IF(ISBLANK($C484),"",$D484)</f>
        <v/>
      </c>
      <c r="DD484" s="107" t="str">
        <f aca="false">$CR484</f>
        <v/>
      </c>
      <c r="DE484" s="108" t="str">
        <f aca="false">$CQ484</f>
        <v/>
      </c>
      <c r="DF484" s="106" t="str">
        <f aca="false">IF(ISBLANK($C484),"",$CT484)</f>
        <v/>
      </c>
      <c r="DG484" s="109" t="str">
        <f aca="false">IF($CX484&gt;$CW$8,"",VLOOKUP($CX484,$CZ$9:$DF$508,7,FALSE()))</f>
        <v/>
      </c>
      <c r="DH484" s="110" t="str">
        <f aca="false">IF($CX484&gt;$CW$8,"",VLOOKUP($CX484,$CZ$9:$DF$508,2,FALSE()))</f>
        <v/>
      </c>
      <c r="DI484" s="110" t="str">
        <f aca="false">IF($CX484&gt;$CW$8,"",VLOOKUP($CX484,$CZ$9:$DF$508,3,FALSE()))</f>
        <v/>
      </c>
      <c r="DJ484" s="110" t="str">
        <f aca="false">IF($CX484&gt;$CW$8,"",VLOOKUP($CX484,$CZ$9:$DF$508,4,FALSE()))</f>
        <v/>
      </c>
      <c r="DK484" s="110" t="str">
        <f aca="false">IF($CX484&gt;$CW$8,"",VLOOKUP($CX484,$CZ$9:$DF$508,5,FALSE()))</f>
        <v/>
      </c>
      <c r="DL484" s="111" t="str">
        <f aca="false">IF($CX484&gt;$CW$8,"",VLOOKUP($CX484,$CZ$9:$DF$508,6,FALSE()))</f>
        <v/>
      </c>
      <c r="DM484" s="75"/>
    </row>
    <row r="485" customFormat="false" ht="15.75" hidden="false" customHeight="false" outlineLevel="0" collapsed="false">
      <c r="A485" s="9"/>
      <c r="B485" s="77"/>
      <c r="C485" s="78"/>
      <c r="D485" s="167"/>
      <c r="E485" s="175"/>
      <c r="F485" s="169"/>
      <c r="G485" s="170"/>
      <c r="H485" s="170"/>
      <c r="I485" s="176"/>
      <c r="J485" s="173"/>
      <c r="K485" s="85"/>
      <c r="L485" s="86"/>
      <c r="M485" s="87"/>
      <c r="N485" s="173"/>
      <c r="O485" s="173"/>
      <c r="P485" s="175"/>
      <c r="Q485" s="173"/>
      <c r="R485" s="173"/>
      <c r="S485" s="85"/>
      <c r="T485" s="87"/>
      <c r="U485" s="87"/>
      <c r="V485" s="173"/>
      <c r="W485" s="173"/>
      <c r="X485" s="175"/>
      <c r="Y485" s="173"/>
      <c r="Z485" s="174"/>
      <c r="AA485" s="173"/>
      <c r="AB485" s="91"/>
      <c r="AC485" s="92"/>
      <c r="AD485" s="92"/>
      <c r="AE485" s="92"/>
      <c r="AF485" s="92" t="str">
        <f aca="false">IF(ISBLANK($C485),"",IF(E485=Constants!$B$3,TRUE(),IF(E485=Constants!$B$4,FALSE(),TRUE())))</f>
        <v/>
      </c>
      <c r="AG485" s="92" t="str">
        <f aca="false">IF(ISBLANK($C485),"",IF(F485=Constants!$B$3,TRUE(),IF(F485=Constants!$B$4,FALSE(),TRUE())))</f>
        <v/>
      </c>
      <c r="AH485" s="92" t="str">
        <f aca="false">IF(ISBLANK($C485),"",IF(G485=Constants!$B$3,TRUE(),IF(G485=Constants!$B$4,FALSE(),TRUE())))</f>
        <v/>
      </c>
      <c r="AI485" s="92" t="str">
        <f aca="false">IF(ISBLANK($C485),"",IF(AND(ISNUMBER(H485),H485&gt;=0),H485,Constants!$B$29))</f>
        <v/>
      </c>
      <c r="AJ485" s="92" t="str">
        <f aca="false">IF(ISBLANK($C485),"",IF(I485=Constants!$B$3,TRUE(),IF(I485=Constants!$B$4,FALSE(),TRUE())))</f>
        <v/>
      </c>
      <c r="AK485" s="92" t="str">
        <f aca="false">IF(ISBLANK($C485),"",IF(J485=Constants!$B$3,TRUE(),IF(J485=Constants!$B$4,FALSE(),TRUE())))</f>
        <v/>
      </c>
      <c r="AL485" s="92" t="str">
        <f aca="false">IF(ISBLANK($C485),"",IF(K485=Constants!$B$5,TRUE(),IF(K485=Constants!$B$6,FALSE(),COUNTA(L485:P485)&gt;0)))</f>
        <v/>
      </c>
      <c r="AM485" s="94" t="str">
        <f aca="false">IF(ISBLANK($C485),"",IF(ISNUMBER(L485),IF(L485&gt;=0,L485,""),""))</f>
        <v/>
      </c>
      <c r="AN485" s="93" t="str">
        <f aca="false">IF(ISBLANK($C485),"",IF(ISNUMBER(M485),IF(M485&gt;=0,M485,""),""))</f>
        <v/>
      </c>
      <c r="AO485" s="93" t="str">
        <f aca="false">IF(ISBLANK($C485),"",IF(N485=Constants!$B$3,TRUE(),IF(N485=Constants!$B$4,FALSE(),TRUE())))</f>
        <v/>
      </c>
      <c r="AP485" s="92" t="str">
        <f aca="false">IF(ISBLANK($C485),"",IF(ISNUMBER(O485),IF(O485&gt;=0,O485,""),""))</f>
        <v/>
      </c>
      <c r="AQ485" s="92" t="str">
        <f aca="false">IF(ISBLANK($C485),"",IF(P485=Constants!$B$3,TRUE(),IF(P485=Constants!$B$4,FALSE(),FALSE())))</f>
        <v/>
      </c>
      <c r="AR485" s="92" t="str">
        <f aca="false">IF(ISBLANK($C485),"",IF(Q485=Constants!$B$3,TRUE(),IF(Q485=Constants!$B$4,FALSE(),TRUE())))</f>
        <v/>
      </c>
      <c r="AS485" s="92" t="str">
        <f aca="false">IF(ISBLANK($C485),"",IF(R485=Constants!$B$3,TRUE(),IF(R485=Constants!$B$4,FALSE(),TRUE())))</f>
        <v/>
      </c>
      <c r="AT485" s="92" t="str">
        <f aca="false">IF(ISBLANK($C485),"",IF(S485=Constants!$B$5,TRUE(),IF(S485=Constants!$B$6,FALSE(),COUNTA(T485:X485)&gt;0)))</f>
        <v/>
      </c>
      <c r="AU485" s="94" t="str">
        <f aca="false">IF(ISBLANK($C485),"",IF(ISNUMBER(T485),IF(T485&gt;=0,T485,""),""))</f>
        <v/>
      </c>
      <c r="AV485" s="93" t="str">
        <f aca="false">IF(ISBLANK($C485),"",IF(ISNUMBER(U485),IF(U485&gt;=0,U485,""),""))</f>
        <v/>
      </c>
      <c r="AW485" s="93" t="str">
        <f aca="false">IF(ISBLANK($C485),"",IF(V485=Constants!$B$3,TRUE(),IF(V485=Constants!$B$4,FALSE(),TRUE())))</f>
        <v/>
      </c>
      <c r="AX485" s="92" t="str">
        <f aca="false">IF(ISBLANK($C485),"",IF(ISNUMBER(W485),IF(W485&gt;=0,W485,""),""))</f>
        <v/>
      </c>
      <c r="AY485" s="92" t="str">
        <f aca="false">IF(ISBLANK($C485),"",IF(X485=Constants!$B$3,TRUE(),IF(X485=Constants!$B$4,FALSE(),FALSE())))</f>
        <v/>
      </c>
      <c r="AZ485" s="92" t="str">
        <f aca="false">IF(ISBLANK($C485),"",MIN(Constants!$B$31,MAX(0,IF(ISNUMBER(Y485),Y485*60,0)+IF(ISNUMBER(Z485),Z485,0))))</f>
        <v/>
      </c>
      <c r="BA485" s="92" t="str">
        <f aca="false">IF(ISBLANK($C485),"",IF(AA485=Constants!$B$3,TRUE(),IF(AA485=Constants!$B$4,FALSE(),FALSE())))</f>
        <v/>
      </c>
      <c r="BB485" s="91" t="str">
        <f aca="false">IF(ISBLANK($C485),"",AND($AL485,OR($AM485="",$AN485="",AND($AO485,$AP485=""))))</f>
        <v/>
      </c>
      <c r="BC485" s="93" t="str">
        <f aca="false">IF($BR485&lt;&gt;Constants!$B$8,"",IF($AL485,Constants!$B$21*$AN485+Constants!$B$22*IF($AO485,$AP485,Constants!$B$23),Constants!$B$24))</f>
        <v/>
      </c>
      <c r="BD485" s="96" t="str">
        <f aca="false">IF($BR485&lt;&gt;Constants!$B$8,"",Constants!$B$25*ABS($AD$9-IF($AL485,$AM485,0)))</f>
        <v/>
      </c>
      <c r="BE485" s="96" t="str">
        <f aca="false">IF($BR485&lt;&gt;Constants!$B$8,"",IF(AND($AL485,$AQ485,$AO485),Constants!$B$27,0))</f>
        <v/>
      </c>
      <c r="BF485" s="96" t="str">
        <f aca="false">IF($BR485&lt;&gt;Constants!$B$8,"",IF($AL485,($AI485-Constants!$B$29)*Constants!$B$28,0))</f>
        <v/>
      </c>
      <c r="BG485" s="96" t="str">
        <f aca="false">IF($BR485&lt;&gt;Constants!$B$8,"",IF($AK485,0,Constants!$B$15)+IF($AJ485,0,Constants!$B$16)+IF($AH485,0,Constants!$B$17))</f>
        <v/>
      </c>
      <c r="BH485" s="97" t="str">
        <f aca="false">IF($BR485&lt;&gt;Constants!$B$8,"",Constants!$B$20+SUM($BC485:$BG485))</f>
        <v/>
      </c>
      <c r="BI485" s="92" t="str">
        <f aca="false">IF($BR485&lt;&gt;Constants!$B$8,"",IF(OR($BP485&lt;$BH485,AND($BP485=$BH485,OR($BK485&lt;$BC485,AND($BK485=$BC485,OR($BL485&lt;$BD485,AND($BL485=$BD485,$AT485,$AL485,$AV485&lt;$AN485)))))),"-&gt;","&lt;-"))</f>
        <v/>
      </c>
      <c r="BJ485" s="91" t="str">
        <f aca="false">IF(ISBLANK($C485),"",AND($AT485,OR($AU485="",$AV485="",AND($AW485,$AX485=""))))</f>
        <v/>
      </c>
      <c r="BK485" s="93" t="str">
        <f aca="false">IF($BR485&lt;&gt;Constants!$B$8,"",IF($AT485,Constants!$B$21*$AV485+Constants!$B$22*IF($AW485,$AX485,Constants!$B$23),Constants!$B$24))</f>
        <v/>
      </c>
      <c r="BL485" s="96" t="str">
        <f aca="false">IF($BR485&lt;&gt;Constants!$B$8,"",Constants!$B$25*ABS($AD$9-IF($AT485,$AU485,0)))</f>
        <v/>
      </c>
      <c r="BM485" s="96" t="str">
        <f aca="false">IF($BR485&lt;&gt;Constants!$B$8,"",IF(AND($AT485,$AY485,$AW485),Constants!$B$27,0))</f>
        <v/>
      </c>
      <c r="BN485" s="96" t="str">
        <f aca="false">IF($BR485&lt;&gt;Constants!$B$8,"",IF($AT485,($AI485-Constants!$B$29)*Constants!$B$28,0))</f>
        <v/>
      </c>
      <c r="BO485" s="96" t="str">
        <f aca="false">IF($BR485&lt;&gt;Constants!$B$8,"",IF($AS485,0,Constants!$B$15)+IF($AR485,0,Constants!$B$16)+IF($AH485,0,Constants!$B$17))</f>
        <v/>
      </c>
      <c r="BP485" s="97" t="str">
        <f aca="false">IF($BR485&lt;&gt;Constants!$B$8,"",Constants!$B$20+SUM($BK485:$BO485))</f>
        <v/>
      </c>
      <c r="BQ485" s="92" t="str">
        <f aca="false">IF(ISBLANK($C485),"",IF(ISBLANK($D$7),$BQ$5,IF(NOT(ISNUMBER($D$7)),$BQ$6,"")))</f>
        <v/>
      </c>
      <c r="BR485" s="92" t="str">
        <f aca="false">IF(ISBLANK($C485),"",IF($BA485,Constants!$B$11,IF(COUNTA($E485:$AA485)=0,Constants!$B$10,IF(NOT($AG485),Constants!$B$9,IF(OR($BQ485&lt;&gt;"",$BB485,$BJ485),Constants!$B$12,Constants!$B$8)))))</f>
        <v/>
      </c>
      <c r="BS485" s="92" t="str">
        <f aca="false">IF(ISBLANK($C485),"",IF($BR485&lt;&gt;Constants!$B$8,$BR485,Constants!$B$13))</f>
        <v/>
      </c>
      <c r="BT485" s="96" t="str">
        <f aca="false">IF($BR485&lt;&gt;Constants!$B$8,"",IF($BI485="-&gt;",$BP485,$BH485))</f>
        <v/>
      </c>
      <c r="BU485" s="96" t="str">
        <f aca="false">IF($BR485&lt;&gt;Constants!$B$8,"",IF($AF485,0,Constants!$B$18))</f>
        <v/>
      </c>
      <c r="BV485" s="96" t="str">
        <f aca="false">IF($BR485&lt;&gt;Constants!$B$8,"",((Constants!$B$31-$AZ485)-Constants!$B$31)/Constants!$B$32)</f>
        <v/>
      </c>
      <c r="BW485" s="96" t="str">
        <f aca="false">IF(ISBLANK($C485),"",IF($BR485&lt;&gt;Constants!$B$8,$BR485,SUM($BT485:$BV485)))</f>
        <v/>
      </c>
      <c r="BX485" s="92" t="str">
        <f aca="false">IF(ISBLANK($C485),"",IF($BR485&lt;&gt;Constants!$B$8,$BR485,RANK($BW485,$BW$9:$BW$508,1)))</f>
        <v/>
      </c>
      <c r="BY485" s="96" t="str">
        <f aca="false">IF($BR485&lt;&gt;Constants!$B$8,"",IF($BI485="-&gt;",$BK485,$BC485))</f>
        <v/>
      </c>
      <c r="BZ485" s="92" t="str">
        <f aca="false">IF(ISBLANK($C485),"",IF($BR485&lt;&gt;Constants!$B$8,$BR485,IF(ISNUMBER($BY485),RANK($BY485,$BY$9:$BY$508,1),COUNT($BY$9:$BY$508)+1)))</f>
        <v/>
      </c>
      <c r="CA485" s="96" t="str">
        <f aca="false">IF($BR485&lt;&gt;Constants!$B$8,"",IF($BI485="-&gt;",$BL485,$BD485))</f>
        <v/>
      </c>
      <c r="CB485" s="92" t="str">
        <f aca="false">IF(ISBLANK($C485),"",IF($BR485&lt;&gt;Constants!$B$8,$BR485,IF(ISNUMBER($CA485),RANK($CA485,$CA$9:$CA$508,1),COUNT($CA$9:$CA$508)+1)))</f>
        <v/>
      </c>
      <c r="CC485" s="96" t="str">
        <f aca="false">IF($BR485&lt;&gt;Constants!$B$8,"",IF($BI485="-&gt;",IF($AT485,$AV485,""),IF($AL485,$AN485,"")))</f>
        <v/>
      </c>
      <c r="CD485" s="92" t="str">
        <f aca="false">IF(ISBLANK($C485),"",IF($BR485&lt;&gt;Constants!$B$8,$BR485,IF(ISNUMBER($CC485),RANK($CC485,$CC$9:$CC$508,1),COUNT($CC$9:$CC$508)+1)))</f>
        <v/>
      </c>
      <c r="CE485" s="96" t="str">
        <f aca="false">IF($BR485&lt;&gt;Constants!$B$8,"",IF(AND(NOT($AL485),NOT($AT485),$AJ485,$AK485,$AR485,$AS485),"",$AI485))</f>
        <v/>
      </c>
      <c r="CF485" s="92" t="str">
        <f aca="false">IF(ISBLANK($C485),"",IF($BR485&lt;&gt;Constants!$B$8,$BR485,IF(ISNUMBER($CE485),RANK($CE485,$CE$9:$CE$508,1),COUNT($CE$9:$CE$508)+1)))</f>
        <v/>
      </c>
      <c r="CG485" s="92" t="str">
        <f aca="false">IF(ISBLANK($C485),"",IF($BR485&lt;&gt;Constants!$B$8,$BR485,COUNTIFS($BX$9:$BX$508,"&lt;"&amp;$BX485)+COUNTIFS($BX$9:$BX$508,$BX485,$BZ$9:$BZ$508,"&lt;"&amp;$BZ485)+COUNTIFS($BX$9:$BX$508,$BX485,$BZ$9:$BZ$508,$BZ485,$CB$9:$CB$508,"&lt;"&amp;$CB485)+COUNTIFS($BX$9:$BX$508,$BX485,$BZ$9:$BZ$508,$BZ485,$CB$9:$CB$508,$CB485,$CD$9:$CD$508,"&lt;"&amp;$CD485)+COUNTIFS($BX$9:$BX$508,$BX485,$BZ$9:$BZ$508,$BZ485,$CB$9:$CB$508,$CB485,$CD$9:$CD$508,$CD485,$CF$9:$CF$508,"&lt;"&amp;$CF485)+1))</f>
        <v/>
      </c>
      <c r="CH485" s="92" t="str">
        <f aca="false">IF(ISBLANK($C485),"",IF($BR485&lt;&gt;Constants!$B$8,$BR485,$BX485-$CG485))</f>
        <v/>
      </c>
      <c r="CI485" s="98"/>
      <c r="CJ485" s="99"/>
      <c r="CK485" s="100" t="str">
        <f aca="false">IF(ISBLANK($C485),"",IF($BR485=Constants!$B$12,$BQ485,""))</f>
        <v/>
      </c>
      <c r="CL485" s="99" t="str">
        <f aca="false">IF(ISBLANK($C485),"",IF($BR485&lt;&gt;Constants!$B$8,"",IF($BI485="-&gt;",2,1)))</f>
        <v/>
      </c>
      <c r="CM485" s="101" t="str">
        <f aca="false">IF(ISBLANK($C485),"",IF($BR485&lt;&gt;Constants!$B$8,"",IF($BI485="-&gt;",$BK485,$BC485)))</f>
        <v/>
      </c>
      <c r="CN485" s="101" t="str">
        <f aca="false">IF(ISBLANK($C485),"",IF($BR485&lt;&gt;Constants!$B$8,"",IF($BI485="-&gt;",$BL485,$BD485)))</f>
        <v/>
      </c>
      <c r="CO485" s="101" t="str">
        <f aca="false">IF(ISBLANK($C485),"",IF($BR485&lt;&gt;Constants!$B$8,"",IF($BI485="-&gt;",$BM485+$BN485,$BE485+$BF485)+$BV485))</f>
        <v/>
      </c>
      <c r="CP485" s="101" t="str">
        <f aca="false">IF(ISBLANK($C485),"",IF($BR485&lt;&gt;Constants!$B$8,"",IF($BI485="-&gt;",$BO485,$BG485)+$BU485))</f>
        <v/>
      </c>
      <c r="CQ485" s="102" t="str">
        <f aca="false">IF(ISBLANK($C485),"",IF($BR485&lt;&gt;Constants!$B$8,$BR485,$BW485))</f>
        <v/>
      </c>
      <c r="CR485" s="103" t="str">
        <f aca="false">IF(ISBLANK($C485),"",$BS485)</f>
        <v/>
      </c>
      <c r="CS485" s="104" t="str">
        <f aca="false">IF(ISBLANK($C485),"",$CH485)</f>
        <v/>
      </c>
      <c r="CT485" s="104" t="str">
        <f aca="false">IF(ISBLANK($C485),"",$CG485)</f>
        <v/>
      </c>
      <c r="CU485" s="105" t="str">
        <f aca="false">IF(ISBLANK($C485),"",IFERROR(_xlfn.SWITCH($CT485,Constants!$B$11,COUNTA($C$9:$C$508)+2,Constants!$B$10,COUNTA($C$9:$C$508)+1,Constants!$B$9,COUNTA($C$9:$C$508)),$CT485))</f>
        <v/>
      </c>
      <c r="CV485" s="9"/>
      <c r="CW485" s="106" t="n">
        <f aca="false">IF(OR(ISNUMBER($CT485),$CT485=Constants!$B$11,$CT485=Constants!$B$9,$CT485=Constants!$B$10),1,0)</f>
        <v>0</v>
      </c>
      <c r="CX485" s="106" t="n">
        <v>477</v>
      </c>
      <c r="CY485" s="106" t="str">
        <f aca="false">IF(ISBLANK($C485),"",IF(ISNUMBER($CU485),$CU485+ROW($B485)/1000,""))</f>
        <v/>
      </c>
      <c r="CZ485" s="106" t="str">
        <f aca="false">IF(ISNUMBER($CY485),RANK($CY485,$CY$9:$CY$508,1),"")</f>
        <v/>
      </c>
      <c r="DA485" s="106" t="str">
        <f aca="false">IF(ISBLANK($C485),"",$B485)</f>
        <v/>
      </c>
      <c r="DB485" s="106" t="str">
        <f aca="false">IF(ISBLANK($C485),"",$C485)</f>
        <v/>
      </c>
      <c r="DC485" s="106" t="str">
        <f aca="false">IF(ISBLANK($C485),"",$D485)</f>
        <v/>
      </c>
      <c r="DD485" s="107" t="str">
        <f aca="false">$CR485</f>
        <v/>
      </c>
      <c r="DE485" s="108" t="str">
        <f aca="false">$CQ485</f>
        <v/>
      </c>
      <c r="DF485" s="106" t="str">
        <f aca="false">IF(ISBLANK($C485),"",$CT485)</f>
        <v/>
      </c>
      <c r="DG485" s="109" t="str">
        <f aca="false">IF($CX485&gt;$CW$8,"",VLOOKUP($CX485,$CZ$9:$DF$508,7,FALSE()))</f>
        <v/>
      </c>
      <c r="DH485" s="110" t="str">
        <f aca="false">IF($CX485&gt;$CW$8,"",VLOOKUP($CX485,$CZ$9:$DF$508,2,FALSE()))</f>
        <v/>
      </c>
      <c r="DI485" s="110" t="str">
        <f aca="false">IF($CX485&gt;$CW$8,"",VLOOKUP($CX485,$CZ$9:$DF$508,3,FALSE()))</f>
        <v/>
      </c>
      <c r="DJ485" s="110" t="str">
        <f aca="false">IF($CX485&gt;$CW$8,"",VLOOKUP($CX485,$CZ$9:$DF$508,4,FALSE()))</f>
        <v/>
      </c>
      <c r="DK485" s="110" t="str">
        <f aca="false">IF($CX485&gt;$CW$8,"",VLOOKUP($CX485,$CZ$9:$DF$508,5,FALSE()))</f>
        <v/>
      </c>
      <c r="DL485" s="111" t="str">
        <f aca="false">IF($CX485&gt;$CW$8,"",VLOOKUP($CX485,$CZ$9:$DF$508,6,FALSE()))</f>
        <v/>
      </c>
      <c r="DM485" s="75"/>
    </row>
    <row r="486" customFormat="false" ht="15.75" hidden="false" customHeight="false" outlineLevel="0" collapsed="false">
      <c r="A486" s="9"/>
      <c r="B486" s="157"/>
      <c r="C486" s="158"/>
      <c r="D486" s="159"/>
      <c r="E486" s="177"/>
      <c r="F486" s="161"/>
      <c r="G486" s="162"/>
      <c r="H486" s="162"/>
      <c r="I486" s="178"/>
      <c r="J486" s="165"/>
      <c r="K486" s="126"/>
      <c r="L486" s="127"/>
      <c r="M486" s="128"/>
      <c r="N486" s="165"/>
      <c r="O486" s="165"/>
      <c r="P486" s="177"/>
      <c r="Q486" s="165"/>
      <c r="R486" s="165"/>
      <c r="S486" s="126"/>
      <c r="T486" s="128"/>
      <c r="U486" s="128"/>
      <c r="V486" s="165"/>
      <c r="W486" s="165"/>
      <c r="X486" s="177"/>
      <c r="Y486" s="165"/>
      <c r="Z486" s="166"/>
      <c r="AA486" s="165"/>
      <c r="AB486" s="132"/>
      <c r="AC486" s="133"/>
      <c r="AD486" s="133"/>
      <c r="AE486" s="133"/>
      <c r="AF486" s="133" t="str">
        <f aca="false">IF(ISBLANK($C486),"",IF(E486=Constants!$B$3,TRUE(),IF(E486=Constants!$B$4,FALSE(),TRUE())))</f>
        <v/>
      </c>
      <c r="AG486" s="133" t="str">
        <f aca="false">IF(ISBLANK($C486),"",IF(F486=Constants!$B$3,TRUE(),IF(F486=Constants!$B$4,FALSE(),TRUE())))</f>
        <v/>
      </c>
      <c r="AH486" s="133" t="str">
        <f aca="false">IF(ISBLANK($C486),"",IF(G486=Constants!$B$3,TRUE(),IF(G486=Constants!$B$4,FALSE(),TRUE())))</f>
        <v/>
      </c>
      <c r="AI486" s="133" t="str">
        <f aca="false">IF(ISBLANK($C486),"",IF(AND(ISNUMBER(H486),H486&gt;=0),H486,Constants!$B$29))</f>
        <v/>
      </c>
      <c r="AJ486" s="133" t="str">
        <f aca="false">IF(ISBLANK($C486),"",IF(I486=Constants!$B$3,TRUE(),IF(I486=Constants!$B$4,FALSE(),TRUE())))</f>
        <v/>
      </c>
      <c r="AK486" s="133" t="str">
        <f aca="false">IF(ISBLANK($C486),"",IF(J486=Constants!$B$3,TRUE(),IF(J486=Constants!$B$4,FALSE(),TRUE())))</f>
        <v/>
      </c>
      <c r="AL486" s="133" t="str">
        <f aca="false">IF(ISBLANK($C486),"",IF(K486=Constants!$B$5,TRUE(),IF(K486=Constants!$B$6,FALSE(),COUNTA(L486:P486)&gt;0)))</f>
        <v/>
      </c>
      <c r="AM486" s="134" t="str">
        <f aca="false">IF(ISBLANK($C486),"",IF(ISNUMBER(L486),IF(L486&gt;=0,L486,""),""))</f>
        <v/>
      </c>
      <c r="AN486" s="135" t="str">
        <f aca="false">IF(ISBLANK($C486),"",IF(ISNUMBER(M486),IF(M486&gt;=0,M486,""),""))</f>
        <v/>
      </c>
      <c r="AO486" s="135" t="str">
        <f aca="false">IF(ISBLANK($C486),"",IF(N486=Constants!$B$3,TRUE(),IF(N486=Constants!$B$4,FALSE(),TRUE())))</f>
        <v/>
      </c>
      <c r="AP486" s="133" t="str">
        <f aca="false">IF(ISBLANK($C486),"",IF(ISNUMBER(O486),IF(O486&gt;=0,O486,""),""))</f>
        <v/>
      </c>
      <c r="AQ486" s="133" t="str">
        <f aca="false">IF(ISBLANK($C486),"",IF(P486=Constants!$B$3,TRUE(),IF(P486=Constants!$B$4,FALSE(),FALSE())))</f>
        <v/>
      </c>
      <c r="AR486" s="133" t="str">
        <f aca="false">IF(ISBLANK($C486),"",IF(Q486=Constants!$B$3,TRUE(),IF(Q486=Constants!$B$4,FALSE(),TRUE())))</f>
        <v/>
      </c>
      <c r="AS486" s="133" t="str">
        <f aca="false">IF(ISBLANK($C486),"",IF(R486=Constants!$B$3,TRUE(),IF(R486=Constants!$B$4,FALSE(),TRUE())))</f>
        <v/>
      </c>
      <c r="AT486" s="133" t="str">
        <f aca="false">IF(ISBLANK($C486),"",IF(S486=Constants!$B$5,TRUE(),IF(S486=Constants!$B$6,FALSE(),COUNTA(T486:X486)&gt;0)))</f>
        <v/>
      </c>
      <c r="AU486" s="134" t="str">
        <f aca="false">IF(ISBLANK($C486),"",IF(ISNUMBER(T486),IF(T486&gt;=0,T486,""),""))</f>
        <v/>
      </c>
      <c r="AV486" s="135" t="str">
        <f aca="false">IF(ISBLANK($C486),"",IF(ISNUMBER(U486),IF(U486&gt;=0,U486,""),""))</f>
        <v/>
      </c>
      <c r="AW486" s="135" t="str">
        <f aca="false">IF(ISBLANK($C486),"",IF(V486=Constants!$B$3,TRUE(),IF(V486=Constants!$B$4,FALSE(),TRUE())))</f>
        <v/>
      </c>
      <c r="AX486" s="133" t="str">
        <f aca="false">IF(ISBLANK($C486),"",IF(ISNUMBER(W486),IF(W486&gt;=0,W486,""),""))</f>
        <v/>
      </c>
      <c r="AY486" s="133" t="str">
        <f aca="false">IF(ISBLANK($C486),"",IF(X486=Constants!$B$3,TRUE(),IF(X486=Constants!$B$4,FALSE(),FALSE())))</f>
        <v/>
      </c>
      <c r="AZ486" s="133" t="str">
        <f aca="false">IF(ISBLANK($C486),"",MIN(Constants!$B$31,MAX(0,IF(ISNUMBER(Y486),Y486*60,0)+IF(ISNUMBER(Z486),Z486,0))))</f>
        <v/>
      </c>
      <c r="BA486" s="133" t="str">
        <f aca="false">IF(ISBLANK($C486),"",IF(AA486=Constants!$B$3,TRUE(),IF(AA486=Constants!$B$4,FALSE(),FALSE())))</f>
        <v/>
      </c>
      <c r="BB486" s="132" t="str">
        <f aca="false">IF(ISBLANK($C486),"",AND($AL486,OR($AM486="",$AN486="",AND($AO486,$AP486=""))))</f>
        <v/>
      </c>
      <c r="BC486" s="135" t="str">
        <f aca="false">IF($BR486&lt;&gt;Constants!$B$8,"",IF($AL486,Constants!$B$21*$AN486+Constants!$B$22*IF($AO486,$AP486,Constants!$B$23),Constants!$B$24))</f>
        <v/>
      </c>
      <c r="BD486" s="136" t="str">
        <f aca="false">IF($BR486&lt;&gt;Constants!$B$8,"",Constants!$B$25*ABS($AD$9-IF($AL486,$AM486,0)))</f>
        <v/>
      </c>
      <c r="BE486" s="136" t="str">
        <f aca="false">IF($BR486&lt;&gt;Constants!$B$8,"",IF(AND($AL486,$AQ486,$AO486),Constants!$B$27,0))</f>
        <v/>
      </c>
      <c r="BF486" s="136" t="str">
        <f aca="false">IF($BR486&lt;&gt;Constants!$B$8,"",IF($AL486,($AI486-Constants!$B$29)*Constants!$B$28,0))</f>
        <v/>
      </c>
      <c r="BG486" s="136" t="str">
        <f aca="false">IF($BR486&lt;&gt;Constants!$B$8,"",IF($AK486,0,Constants!$B$15)+IF($AJ486,0,Constants!$B$16)+IF($AH486,0,Constants!$B$17))</f>
        <v/>
      </c>
      <c r="BH486" s="137" t="str">
        <f aca="false">IF($BR486&lt;&gt;Constants!$B$8,"",Constants!$B$20+SUM($BC486:$BG486))</f>
        <v/>
      </c>
      <c r="BI486" s="133" t="str">
        <f aca="false">IF($BR486&lt;&gt;Constants!$B$8,"",IF(OR($BP486&lt;$BH486,AND($BP486=$BH486,OR($BK486&lt;$BC486,AND($BK486=$BC486,OR($BL486&lt;$BD486,AND($BL486=$BD486,$AT486,$AL486,$AV486&lt;$AN486)))))),"-&gt;","&lt;-"))</f>
        <v/>
      </c>
      <c r="BJ486" s="132" t="str">
        <f aca="false">IF(ISBLANK($C486),"",AND($AT486,OR($AU486="",$AV486="",AND($AW486,$AX486=""))))</f>
        <v/>
      </c>
      <c r="BK486" s="135" t="str">
        <f aca="false">IF($BR486&lt;&gt;Constants!$B$8,"",IF($AT486,Constants!$B$21*$AV486+Constants!$B$22*IF($AW486,$AX486,Constants!$B$23),Constants!$B$24))</f>
        <v/>
      </c>
      <c r="BL486" s="136" t="str">
        <f aca="false">IF($BR486&lt;&gt;Constants!$B$8,"",Constants!$B$25*ABS($AD$9-IF($AT486,$AU486,0)))</f>
        <v/>
      </c>
      <c r="BM486" s="136" t="str">
        <f aca="false">IF($BR486&lt;&gt;Constants!$B$8,"",IF(AND($AT486,$AY486,$AW486),Constants!$B$27,0))</f>
        <v/>
      </c>
      <c r="BN486" s="136" t="str">
        <f aca="false">IF($BR486&lt;&gt;Constants!$B$8,"",IF($AT486,($AI486-Constants!$B$29)*Constants!$B$28,0))</f>
        <v/>
      </c>
      <c r="BO486" s="136" t="str">
        <f aca="false">IF($BR486&lt;&gt;Constants!$B$8,"",IF($AS486,0,Constants!$B$15)+IF($AR486,0,Constants!$B$16)+IF($AH486,0,Constants!$B$17))</f>
        <v/>
      </c>
      <c r="BP486" s="137" t="str">
        <f aca="false">IF($BR486&lt;&gt;Constants!$B$8,"",Constants!$B$20+SUM($BK486:$BO486))</f>
        <v/>
      </c>
      <c r="BQ486" s="133" t="str">
        <f aca="false">IF(ISBLANK($C486),"",IF(ISBLANK($D$7),$BQ$5,IF(NOT(ISNUMBER($D$7)),$BQ$6,"")))</f>
        <v/>
      </c>
      <c r="BR486" s="133" t="str">
        <f aca="false">IF(ISBLANK($C486),"",IF($BA486,Constants!$B$11,IF(COUNTA($E486:$AA486)=0,Constants!$B$10,IF(NOT($AG486),Constants!$B$9,IF(OR($BQ486&lt;&gt;"",$BB486,$BJ486),Constants!$B$12,Constants!$B$8)))))</f>
        <v/>
      </c>
      <c r="BS486" s="133" t="str">
        <f aca="false">IF(ISBLANK($C486),"",IF($BR486&lt;&gt;Constants!$B$8,$BR486,Constants!$B$13))</f>
        <v/>
      </c>
      <c r="BT486" s="136" t="str">
        <f aca="false">IF($BR486&lt;&gt;Constants!$B$8,"",IF($BI486="-&gt;",$BP486,$BH486))</f>
        <v/>
      </c>
      <c r="BU486" s="136" t="str">
        <f aca="false">IF($BR486&lt;&gt;Constants!$B$8,"",IF($AF486,0,Constants!$B$18))</f>
        <v/>
      </c>
      <c r="BV486" s="136" t="str">
        <f aca="false">IF($BR486&lt;&gt;Constants!$B$8,"",((Constants!$B$31-$AZ486)-Constants!$B$31)/Constants!$B$32)</f>
        <v/>
      </c>
      <c r="BW486" s="136" t="str">
        <f aca="false">IF(ISBLANK($C486),"",IF($BR486&lt;&gt;Constants!$B$8,$BR486,SUM($BT486:$BV486)))</f>
        <v/>
      </c>
      <c r="BX486" s="133" t="str">
        <f aca="false">IF(ISBLANK($C486),"",IF($BR486&lt;&gt;Constants!$B$8,$BR486,RANK($BW486,$BW$9:$BW$508,1)))</f>
        <v/>
      </c>
      <c r="BY486" s="136" t="str">
        <f aca="false">IF($BR486&lt;&gt;Constants!$B$8,"",IF($BI486="-&gt;",$BK486,$BC486))</f>
        <v/>
      </c>
      <c r="BZ486" s="133" t="str">
        <f aca="false">IF(ISBLANK($C486),"",IF($BR486&lt;&gt;Constants!$B$8,$BR486,IF(ISNUMBER($BY486),RANK($BY486,$BY$9:$BY$508,1),COUNT($BY$9:$BY$508)+1)))</f>
        <v/>
      </c>
      <c r="CA486" s="136" t="str">
        <f aca="false">IF($BR486&lt;&gt;Constants!$B$8,"",IF($BI486="-&gt;",$BL486,$BD486))</f>
        <v/>
      </c>
      <c r="CB486" s="133" t="str">
        <f aca="false">IF(ISBLANK($C486),"",IF($BR486&lt;&gt;Constants!$B$8,$BR486,IF(ISNUMBER($CA486),RANK($CA486,$CA$9:$CA$508,1),COUNT($CA$9:$CA$508)+1)))</f>
        <v/>
      </c>
      <c r="CC486" s="136" t="str">
        <f aca="false">IF($BR486&lt;&gt;Constants!$B$8,"",IF($BI486="-&gt;",IF($AT486,$AV486,""),IF($AL486,$AN486,"")))</f>
        <v/>
      </c>
      <c r="CD486" s="133" t="str">
        <f aca="false">IF(ISBLANK($C486),"",IF($BR486&lt;&gt;Constants!$B$8,$BR486,IF(ISNUMBER($CC486),RANK($CC486,$CC$9:$CC$508,1),COUNT($CC$9:$CC$508)+1)))</f>
        <v/>
      </c>
      <c r="CE486" s="136" t="str">
        <f aca="false">IF($BR486&lt;&gt;Constants!$B$8,"",IF(AND(NOT($AL486),NOT($AT486),$AJ486,$AK486,$AR486,$AS486),"",$AI486))</f>
        <v/>
      </c>
      <c r="CF486" s="133" t="str">
        <f aca="false">IF(ISBLANK($C486),"",IF($BR486&lt;&gt;Constants!$B$8,$BR486,IF(ISNUMBER($CE486),RANK($CE486,$CE$9:$CE$508,1),COUNT($CE$9:$CE$508)+1)))</f>
        <v/>
      </c>
      <c r="CG486" s="133" t="str">
        <f aca="false">IF(ISBLANK($C486),"",IF($BR486&lt;&gt;Constants!$B$8,$BR486,COUNTIFS($BX$9:$BX$508,"&lt;"&amp;$BX486)+COUNTIFS($BX$9:$BX$508,$BX486,$BZ$9:$BZ$508,"&lt;"&amp;$BZ486)+COUNTIFS($BX$9:$BX$508,$BX486,$BZ$9:$BZ$508,$BZ486,$CB$9:$CB$508,"&lt;"&amp;$CB486)+COUNTIFS($BX$9:$BX$508,$BX486,$BZ$9:$BZ$508,$BZ486,$CB$9:$CB$508,$CB486,$CD$9:$CD$508,"&lt;"&amp;$CD486)+COUNTIFS($BX$9:$BX$508,$BX486,$BZ$9:$BZ$508,$BZ486,$CB$9:$CB$508,$CB486,$CD$9:$CD$508,$CD486,$CF$9:$CF$508,"&lt;"&amp;$CF486)+1))</f>
        <v/>
      </c>
      <c r="CH486" s="133" t="str">
        <f aca="false">IF(ISBLANK($C486),"",IF($BR486&lt;&gt;Constants!$B$8,$BR486,$BX486-$CG486))</f>
        <v/>
      </c>
      <c r="CI486" s="138"/>
      <c r="CJ486" s="139"/>
      <c r="CK486" s="140" t="str">
        <f aca="false">IF(ISBLANK($C486),"",IF($BR486=Constants!$B$12,$BQ486,""))</f>
        <v/>
      </c>
      <c r="CL486" s="139" t="str">
        <f aca="false">IF(ISBLANK($C486),"",IF($BR486&lt;&gt;Constants!$B$8,"",IF($BI486="-&gt;",2,1)))</f>
        <v/>
      </c>
      <c r="CM486" s="141" t="str">
        <f aca="false">IF(ISBLANK($C486),"",IF($BR486&lt;&gt;Constants!$B$8,"",IF($BI486="-&gt;",$BK486,$BC486)))</f>
        <v/>
      </c>
      <c r="CN486" s="141" t="str">
        <f aca="false">IF(ISBLANK($C486),"",IF($BR486&lt;&gt;Constants!$B$8,"",IF($BI486="-&gt;",$BL486,$BD486)))</f>
        <v/>
      </c>
      <c r="CO486" s="141" t="str">
        <f aca="false">IF(ISBLANK($C486),"",IF($BR486&lt;&gt;Constants!$B$8,"",IF($BI486="-&gt;",$BM486+$BN486,$BE486+$BF486)+$BV486))</f>
        <v/>
      </c>
      <c r="CP486" s="141" t="str">
        <f aca="false">IF(ISBLANK($C486),"",IF($BR486&lt;&gt;Constants!$B$8,"",IF($BI486="-&gt;",$BO486,$BG486)+$BU486))</f>
        <v/>
      </c>
      <c r="CQ486" s="142" t="str">
        <f aca="false">IF(ISBLANK($C486),"",IF($BR486&lt;&gt;Constants!$B$8,$BR486,$BW486))</f>
        <v/>
      </c>
      <c r="CR486" s="143" t="str">
        <f aca="false">IF(ISBLANK($C486),"",$BS486)</f>
        <v/>
      </c>
      <c r="CS486" s="144" t="str">
        <f aca="false">IF(ISBLANK($C486),"",$CH486)</f>
        <v/>
      </c>
      <c r="CT486" s="144" t="str">
        <f aca="false">IF(ISBLANK($C486),"",$CG486)</f>
        <v/>
      </c>
      <c r="CU486" s="145" t="str">
        <f aca="false">IF(ISBLANK($C486),"",IFERROR(_xlfn.SWITCH($CT486,Constants!$B$11,COUNTA($C$9:$C$508)+2,Constants!$B$10,COUNTA($C$9:$C$508)+1,Constants!$B$9,COUNTA($C$9:$C$508)),$CT486))</f>
        <v/>
      </c>
      <c r="CV486" s="9"/>
      <c r="CW486" s="146" t="n">
        <f aca="false">IF(OR(ISNUMBER($CT486),$CT486=Constants!$B$11,$CT486=Constants!$B$9,$CT486=Constants!$B$10),1,0)</f>
        <v>0</v>
      </c>
      <c r="CX486" s="146" t="n">
        <v>478</v>
      </c>
      <c r="CY486" s="146" t="str">
        <f aca="false">IF(ISBLANK($C486),"",IF(ISNUMBER($CU486),$CU486+ROW($B486)/1000,""))</f>
        <v/>
      </c>
      <c r="CZ486" s="146" t="str">
        <f aca="false">IF(ISNUMBER($CY486),RANK($CY486,$CY$9:$CY$508,1),"")</f>
        <v/>
      </c>
      <c r="DA486" s="146" t="str">
        <f aca="false">IF(ISBLANK($C486),"",$B486)</f>
        <v/>
      </c>
      <c r="DB486" s="146" t="str">
        <f aca="false">IF(ISBLANK($C486),"",$C486)</f>
        <v/>
      </c>
      <c r="DC486" s="146" t="str">
        <f aca="false">IF(ISBLANK($C486),"",$D486)</f>
        <v/>
      </c>
      <c r="DD486" s="147" t="str">
        <f aca="false">$CR486</f>
        <v/>
      </c>
      <c r="DE486" s="148" t="str">
        <f aca="false">$CQ486</f>
        <v/>
      </c>
      <c r="DF486" s="146" t="str">
        <f aca="false">IF(ISBLANK($C486),"",$CT486)</f>
        <v/>
      </c>
      <c r="DG486" s="149" t="str">
        <f aca="false">IF($CX486&gt;$CW$8,"",VLOOKUP($CX486,$CZ$9:$DF$508,7,FALSE()))</f>
        <v/>
      </c>
      <c r="DH486" s="150" t="str">
        <f aca="false">IF($CX486&gt;$CW$8,"",VLOOKUP($CX486,$CZ$9:$DF$508,2,FALSE()))</f>
        <v/>
      </c>
      <c r="DI486" s="150" t="str">
        <f aca="false">IF($CX486&gt;$CW$8,"",VLOOKUP($CX486,$CZ$9:$DF$508,3,FALSE()))</f>
        <v/>
      </c>
      <c r="DJ486" s="150" t="str">
        <f aca="false">IF($CX486&gt;$CW$8,"",VLOOKUP($CX486,$CZ$9:$DF$508,4,FALSE()))</f>
        <v/>
      </c>
      <c r="DK486" s="150" t="str">
        <f aca="false">IF($CX486&gt;$CW$8,"",VLOOKUP($CX486,$CZ$9:$DF$508,5,FALSE()))</f>
        <v/>
      </c>
      <c r="DL486" s="151" t="str">
        <f aca="false">IF($CX486&gt;$CW$8,"",VLOOKUP($CX486,$CZ$9:$DF$508,6,FALSE()))</f>
        <v/>
      </c>
      <c r="DM486" s="75"/>
    </row>
    <row r="487" customFormat="false" ht="15.75" hidden="false" customHeight="false" outlineLevel="0" collapsed="false">
      <c r="A487" s="9"/>
      <c r="B487" s="157"/>
      <c r="C487" s="158"/>
      <c r="D487" s="159"/>
      <c r="E487" s="177"/>
      <c r="F487" s="161"/>
      <c r="G487" s="162"/>
      <c r="H487" s="162"/>
      <c r="I487" s="178"/>
      <c r="J487" s="165"/>
      <c r="K487" s="126"/>
      <c r="L487" s="127"/>
      <c r="M487" s="128"/>
      <c r="N487" s="165"/>
      <c r="O487" s="165"/>
      <c r="P487" s="177"/>
      <c r="Q487" s="165"/>
      <c r="R487" s="165"/>
      <c r="S487" s="126"/>
      <c r="T487" s="128"/>
      <c r="U487" s="128"/>
      <c r="V487" s="165"/>
      <c r="W487" s="165"/>
      <c r="X487" s="177"/>
      <c r="Y487" s="165"/>
      <c r="Z487" s="166"/>
      <c r="AA487" s="165"/>
      <c r="AB487" s="132"/>
      <c r="AC487" s="133"/>
      <c r="AD487" s="133"/>
      <c r="AE487" s="133"/>
      <c r="AF487" s="133" t="str">
        <f aca="false">IF(ISBLANK($C487),"",IF(E487=Constants!$B$3,TRUE(),IF(E487=Constants!$B$4,FALSE(),TRUE())))</f>
        <v/>
      </c>
      <c r="AG487" s="133" t="str">
        <f aca="false">IF(ISBLANK($C487),"",IF(F487=Constants!$B$3,TRUE(),IF(F487=Constants!$B$4,FALSE(),TRUE())))</f>
        <v/>
      </c>
      <c r="AH487" s="133" t="str">
        <f aca="false">IF(ISBLANK($C487),"",IF(G487=Constants!$B$3,TRUE(),IF(G487=Constants!$B$4,FALSE(),TRUE())))</f>
        <v/>
      </c>
      <c r="AI487" s="133" t="str">
        <f aca="false">IF(ISBLANK($C487),"",IF(AND(ISNUMBER(H487),H487&gt;=0),H487,Constants!$B$29))</f>
        <v/>
      </c>
      <c r="AJ487" s="133" t="str">
        <f aca="false">IF(ISBLANK($C487),"",IF(I487=Constants!$B$3,TRUE(),IF(I487=Constants!$B$4,FALSE(),TRUE())))</f>
        <v/>
      </c>
      <c r="AK487" s="133" t="str">
        <f aca="false">IF(ISBLANK($C487),"",IF(J487=Constants!$B$3,TRUE(),IF(J487=Constants!$B$4,FALSE(),TRUE())))</f>
        <v/>
      </c>
      <c r="AL487" s="133" t="str">
        <f aca="false">IF(ISBLANK($C487),"",IF(K487=Constants!$B$5,TRUE(),IF(K487=Constants!$B$6,FALSE(),COUNTA(L487:P487)&gt;0)))</f>
        <v/>
      </c>
      <c r="AM487" s="134" t="str">
        <f aca="false">IF(ISBLANK($C487),"",IF(ISNUMBER(L487),IF(L487&gt;=0,L487,""),""))</f>
        <v/>
      </c>
      <c r="AN487" s="135" t="str">
        <f aca="false">IF(ISBLANK($C487),"",IF(ISNUMBER(M487),IF(M487&gt;=0,M487,""),""))</f>
        <v/>
      </c>
      <c r="AO487" s="135" t="str">
        <f aca="false">IF(ISBLANK($C487),"",IF(N487=Constants!$B$3,TRUE(),IF(N487=Constants!$B$4,FALSE(),TRUE())))</f>
        <v/>
      </c>
      <c r="AP487" s="133" t="str">
        <f aca="false">IF(ISBLANK($C487),"",IF(ISNUMBER(O487),IF(O487&gt;=0,O487,""),""))</f>
        <v/>
      </c>
      <c r="AQ487" s="133" t="str">
        <f aca="false">IF(ISBLANK($C487),"",IF(P487=Constants!$B$3,TRUE(),IF(P487=Constants!$B$4,FALSE(),FALSE())))</f>
        <v/>
      </c>
      <c r="AR487" s="133" t="str">
        <f aca="false">IF(ISBLANK($C487),"",IF(Q487=Constants!$B$3,TRUE(),IF(Q487=Constants!$B$4,FALSE(),TRUE())))</f>
        <v/>
      </c>
      <c r="AS487" s="133" t="str">
        <f aca="false">IF(ISBLANK($C487),"",IF(R487=Constants!$B$3,TRUE(),IF(R487=Constants!$B$4,FALSE(),TRUE())))</f>
        <v/>
      </c>
      <c r="AT487" s="133" t="str">
        <f aca="false">IF(ISBLANK($C487),"",IF(S487=Constants!$B$5,TRUE(),IF(S487=Constants!$B$6,FALSE(),COUNTA(T487:X487)&gt;0)))</f>
        <v/>
      </c>
      <c r="AU487" s="134" t="str">
        <f aca="false">IF(ISBLANK($C487),"",IF(ISNUMBER(T487),IF(T487&gt;=0,T487,""),""))</f>
        <v/>
      </c>
      <c r="AV487" s="135" t="str">
        <f aca="false">IF(ISBLANK($C487),"",IF(ISNUMBER(U487),IF(U487&gt;=0,U487,""),""))</f>
        <v/>
      </c>
      <c r="AW487" s="135" t="str">
        <f aca="false">IF(ISBLANK($C487),"",IF(V487=Constants!$B$3,TRUE(),IF(V487=Constants!$B$4,FALSE(),TRUE())))</f>
        <v/>
      </c>
      <c r="AX487" s="133" t="str">
        <f aca="false">IF(ISBLANK($C487),"",IF(ISNUMBER(W487),IF(W487&gt;=0,W487,""),""))</f>
        <v/>
      </c>
      <c r="AY487" s="133" t="str">
        <f aca="false">IF(ISBLANK($C487),"",IF(X487=Constants!$B$3,TRUE(),IF(X487=Constants!$B$4,FALSE(),FALSE())))</f>
        <v/>
      </c>
      <c r="AZ487" s="133" t="str">
        <f aca="false">IF(ISBLANK($C487),"",MIN(Constants!$B$31,MAX(0,IF(ISNUMBER(Y487),Y487*60,0)+IF(ISNUMBER(Z487),Z487,0))))</f>
        <v/>
      </c>
      <c r="BA487" s="133" t="str">
        <f aca="false">IF(ISBLANK($C487),"",IF(AA487=Constants!$B$3,TRUE(),IF(AA487=Constants!$B$4,FALSE(),FALSE())))</f>
        <v/>
      </c>
      <c r="BB487" s="132" t="str">
        <f aca="false">IF(ISBLANK($C487),"",AND($AL487,OR($AM487="",$AN487="",AND($AO487,$AP487=""))))</f>
        <v/>
      </c>
      <c r="BC487" s="135" t="str">
        <f aca="false">IF($BR487&lt;&gt;Constants!$B$8,"",IF($AL487,Constants!$B$21*$AN487+Constants!$B$22*IF($AO487,$AP487,Constants!$B$23),Constants!$B$24))</f>
        <v/>
      </c>
      <c r="BD487" s="136" t="str">
        <f aca="false">IF($BR487&lt;&gt;Constants!$B$8,"",Constants!$B$25*ABS($AD$9-IF($AL487,$AM487,0)))</f>
        <v/>
      </c>
      <c r="BE487" s="136" t="str">
        <f aca="false">IF($BR487&lt;&gt;Constants!$B$8,"",IF(AND($AL487,$AQ487,$AO487),Constants!$B$27,0))</f>
        <v/>
      </c>
      <c r="BF487" s="136" t="str">
        <f aca="false">IF($BR487&lt;&gt;Constants!$B$8,"",IF($AL487,($AI487-Constants!$B$29)*Constants!$B$28,0))</f>
        <v/>
      </c>
      <c r="BG487" s="136" t="str">
        <f aca="false">IF($BR487&lt;&gt;Constants!$B$8,"",IF($AK487,0,Constants!$B$15)+IF($AJ487,0,Constants!$B$16)+IF($AH487,0,Constants!$B$17))</f>
        <v/>
      </c>
      <c r="BH487" s="137" t="str">
        <f aca="false">IF($BR487&lt;&gt;Constants!$B$8,"",Constants!$B$20+SUM($BC487:$BG487))</f>
        <v/>
      </c>
      <c r="BI487" s="133" t="str">
        <f aca="false">IF($BR487&lt;&gt;Constants!$B$8,"",IF(OR($BP487&lt;$BH487,AND($BP487=$BH487,OR($BK487&lt;$BC487,AND($BK487=$BC487,OR($BL487&lt;$BD487,AND($BL487=$BD487,$AT487,$AL487,$AV487&lt;$AN487)))))),"-&gt;","&lt;-"))</f>
        <v/>
      </c>
      <c r="BJ487" s="132" t="str">
        <f aca="false">IF(ISBLANK($C487),"",AND($AT487,OR($AU487="",$AV487="",AND($AW487,$AX487=""))))</f>
        <v/>
      </c>
      <c r="BK487" s="135" t="str">
        <f aca="false">IF($BR487&lt;&gt;Constants!$B$8,"",IF($AT487,Constants!$B$21*$AV487+Constants!$B$22*IF($AW487,$AX487,Constants!$B$23),Constants!$B$24))</f>
        <v/>
      </c>
      <c r="BL487" s="136" t="str">
        <f aca="false">IF($BR487&lt;&gt;Constants!$B$8,"",Constants!$B$25*ABS($AD$9-IF($AT487,$AU487,0)))</f>
        <v/>
      </c>
      <c r="BM487" s="136" t="str">
        <f aca="false">IF($BR487&lt;&gt;Constants!$B$8,"",IF(AND($AT487,$AY487,$AW487),Constants!$B$27,0))</f>
        <v/>
      </c>
      <c r="BN487" s="136" t="str">
        <f aca="false">IF($BR487&lt;&gt;Constants!$B$8,"",IF($AT487,($AI487-Constants!$B$29)*Constants!$B$28,0))</f>
        <v/>
      </c>
      <c r="BO487" s="136" t="str">
        <f aca="false">IF($BR487&lt;&gt;Constants!$B$8,"",IF($AS487,0,Constants!$B$15)+IF($AR487,0,Constants!$B$16)+IF($AH487,0,Constants!$B$17))</f>
        <v/>
      </c>
      <c r="BP487" s="137" t="str">
        <f aca="false">IF($BR487&lt;&gt;Constants!$B$8,"",Constants!$B$20+SUM($BK487:$BO487))</f>
        <v/>
      </c>
      <c r="BQ487" s="133" t="str">
        <f aca="false">IF(ISBLANK($C487),"",IF(ISBLANK($D$7),$BQ$5,IF(NOT(ISNUMBER($D$7)),$BQ$6,"")))</f>
        <v/>
      </c>
      <c r="BR487" s="133" t="str">
        <f aca="false">IF(ISBLANK($C487),"",IF($BA487,Constants!$B$11,IF(COUNTA($E487:$AA487)=0,Constants!$B$10,IF(NOT($AG487),Constants!$B$9,IF(OR($BQ487&lt;&gt;"",$BB487,$BJ487),Constants!$B$12,Constants!$B$8)))))</f>
        <v/>
      </c>
      <c r="BS487" s="133" t="str">
        <f aca="false">IF(ISBLANK($C487),"",IF($BR487&lt;&gt;Constants!$B$8,$BR487,Constants!$B$13))</f>
        <v/>
      </c>
      <c r="BT487" s="136" t="str">
        <f aca="false">IF($BR487&lt;&gt;Constants!$B$8,"",IF($BI487="-&gt;",$BP487,$BH487))</f>
        <v/>
      </c>
      <c r="BU487" s="136" t="str">
        <f aca="false">IF($BR487&lt;&gt;Constants!$B$8,"",IF($AF487,0,Constants!$B$18))</f>
        <v/>
      </c>
      <c r="BV487" s="136" t="str">
        <f aca="false">IF($BR487&lt;&gt;Constants!$B$8,"",((Constants!$B$31-$AZ487)-Constants!$B$31)/Constants!$B$32)</f>
        <v/>
      </c>
      <c r="BW487" s="136" t="str">
        <f aca="false">IF(ISBLANK($C487),"",IF($BR487&lt;&gt;Constants!$B$8,$BR487,SUM($BT487:$BV487)))</f>
        <v/>
      </c>
      <c r="BX487" s="133" t="str">
        <f aca="false">IF(ISBLANK($C487),"",IF($BR487&lt;&gt;Constants!$B$8,$BR487,RANK($BW487,$BW$9:$BW$508,1)))</f>
        <v/>
      </c>
      <c r="BY487" s="136" t="str">
        <f aca="false">IF($BR487&lt;&gt;Constants!$B$8,"",IF($BI487="-&gt;",$BK487,$BC487))</f>
        <v/>
      </c>
      <c r="BZ487" s="133" t="str">
        <f aca="false">IF(ISBLANK($C487),"",IF($BR487&lt;&gt;Constants!$B$8,$BR487,IF(ISNUMBER($BY487),RANK($BY487,$BY$9:$BY$508,1),COUNT($BY$9:$BY$508)+1)))</f>
        <v/>
      </c>
      <c r="CA487" s="136" t="str">
        <f aca="false">IF($BR487&lt;&gt;Constants!$B$8,"",IF($BI487="-&gt;",$BL487,$BD487))</f>
        <v/>
      </c>
      <c r="CB487" s="133" t="str">
        <f aca="false">IF(ISBLANK($C487),"",IF($BR487&lt;&gt;Constants!$B$8,$BR487,IF(ISNUMBER($CA487),RANK($CA487,$CA$9:$CA$508,1),COUNT($CA$9:$CA$508)+1)))</f>
        <v/>
      </c>
      <c r="CC487" s="136" t="str">
        <f aca="false">IF($BR487&lt;&gt;Constants!$B$8,"",IF($BI487="-&gt;",IF($AT487,$AV487,""),IF($AL487,$AN487,"")))</f>
        <v/>
      </c>
      <c r="CD487" s="133" t="str">
        <f aca="false">IF(ISBLANK($C487),"",IF($BR487&lt;&gt;Constants!$B$8,$BR487,IF(ISNUMBER($CC487),RANK($CC487,$CC$9:$CC$508,1),COUNT($CC$9:$CC$508)+1)))</f>
        <v/>
      </c>
      <c r="CE487" s="136" t="str">
        <f aca="false">IF($BR487&lt;&gt;Constants!$B$8,"",IF(AND(NOT($AL487),NOT($AT487),$AJ487,$AK487,$AR487,$AS487),"",$AI487))</f>
        <v/>
      </c>
      <c r="CF487" s="133" t="str">
        <f aca="false">IF(ISBLANK($C487),"",IF($BR487&lt;&gt;Constants!$B$8,$BR487,IF(ISNUMBER($CE487),RANK($CE487,$CE$9:$CE$508,1),COUNT($CE$9:$CE$508)+1)))</f>
        <v/>
      </c>
      <c r="CG487" s="133" t="str">
        <f aca="false">IF(ISBLANK($C487),"",IF($BR487&lt;&gt;Constants!$B$8,$BR487,COUNTIFS($BX$9:$BX$508,"&lt;"&amp;$BX487)+COUNTIFS($BX$9:$BX$508,$BX487,$BZ$9:$BZ$508,"&lt;"&amp;$BZ487)+COUNTIFS($BX$9:$BX$508,$BX487,$BZ$9:$BZ$508,$BZ487,$CB$9:$CB$508,"&lt;"&amp;$CB487)+COUNTIFS($BX$9:$BX$508,$BX487,$BZ$9:$BZ$508,$BZ487,$CB$9:$CB$508,$CB487,$CD$9:$CD$508,"&lt;"&amp;$CD487)+COUNTIFS($BX$9:$BX$508,$BX487,$BZ$9:$BZ$508,$BZ487,$CB$9:$CB$508,$CB487,$CD$9:$CD$508,$CD487,$CF$9:$CF$508,"&lt;"&amp;$CF487)+1))</f>
        <v/>
      </c>
      <c r="CH487" s="133" t="str">
        <f aca="false">IF(ISBLANK($C487),"",IF($BR487&lt;&gt;Constants!$B$8,$BR487,$BX487-$CG487))</f>
        <v/>
      </c>
      <c r="CI487" s="138"/>
      <c r="CJ487" s="139"/>
      <c r="CK487" s="140" t="str">
        <f aca="false">IF(ISBLANK($C487),"",IF($BR487=Constants!$B$12,$BQ487,""))</f>
        <v/>
      </c>
      <c r="CL487" s="139" t="str">
        <f aca="false">IF(ISBLANK($C487),"",IF($BR487&lt;&gt;Constants!$B$8,"",IF($BI487="-&gt;",2,1)))</f>
        <v/>
      </c>
      <c r="CM487" s="141" t="str">
        <f aca="false">IF(ISBLANK($C487),"",IF($BR487&lt;&gt;Constants!$B$8,"",IF($BI487="-&gt;",$BK487,$BC487)))</f>
        <v/>
      </c>
      <c r="CN487" s="141" t="str">
        <f aca="false">IF(ISBLANK($C487),"",IF($BR487&lt;&gt;Constants!$B$8,"",IF($BI487="-&gt;",$BL487,$BD487)))</f>
        <v/>
      </c>
      <c r="CO487" s="141" t="str">
        <f aca="false">IF(ISBLANK($C487),"",IF($BR487&lt;&gt;Constants!$B$8,"",IF($BI487="-&gt;",$BM487+$BN487,$BE487+$BF487)+$BV487))</f>
        <v/>
      </c>
      <c r="CP487" s="141" t="str">
        <f aca="false">IF(ISBLANK($C487),"",IF($BR487&lt;&gt;Constants!$B$8,"",IF($BI487="-&gt;",$BO487,$BG487)+$BU487))</f>
        <v/>
      </c>
      <c r="CQ487" s="142" t="str">
        <f aca="false">IF(ISBLANK($C487),"",IF($BR487&lt;&gt;Constants!$B$8,$BR487,$BW487))</f>
        <v/>
      </c>
      <c r="CR487" s="143" t="str">
        <f aca="false">IF(ISBLANK($C487),"",$BS487)</f>
        <v/>
      </c>
      <c r="CS487" s="144" t="str">
        <f aca="false">IF(ISBLANK($C487),"",$CH487)</f>
        <v/>
      </c>
      <c r="CT487" s="144" t="str">
        <f aca="false">IF(ISBLANK($C487),"",$CG487)</f>
        <v/>
      </c>
      <c r="CU487" s="145" t="str">
        <f aca="false">IF(ISBLANK($C487),"",IFERROR(_xlfn.SWITCH($CT487,Constants!$B$11,COUNTA($C$9:$C$508)+2,Constants!$B$10,COUNTA($C$9:$C$508)+1,Constants!$B$9,COUNTA($C$9:$C$508)),$CT487))</f>
        <v/>
      </c>
      <c r="CV487" s="9"/>
      <c r="CW487" s="146" t="n">
        <f aca="false">IF(OR(ISNUMBER($CT487),$CT487=Constants!$B$11,$CT487=Constants!$B$9,$CT487=Constants!$B$10),1,0)</f>
        <v>0</v>
      </c>
      <c r="CX487" s="146" t="n">
        <v>479</v>
      </c>
      <c r="CY487" s="146" t="str">
        <f aca="false">IF(ISBLANK($C487),"",IF(ISNUMBER($CU487),$CU487+ROW($B487)/1000,""))</f>
        <v/>
      </c>
      <c r="CZ487" s="146" t="str">
        <f aca="false">IF(ISNUMBER($CY487),RANK($CY487,$CY$9:$CY$508,1),"")</f>
        <v/>
      </c>
      <c r="DA487" s="146" t="str">
        <f aca="false">IF(ISBLANK($C487),"",$B487)</f>
        <v/>
      </c>
      <c r="DB487" s="146" t="str">
        <f aca="false">IF(ISBLANK($C487),"",$C487)</f>
        <v/>
      </c>
      <c r="DC487" s="146" t="str">
        <f aca="false">IF(ISBLANK($C487),"",$D487)</f>
        <v/>
      </c>
      <c r="DD487" s="147" t="str">
        <f aca="false">$CR487</f>
        <v/>
      </c>
      <c r="DE487" s="148" t="str">
        <f aca="false">$CQ487</f>
        <v/>
      </c>
      <c r="DF487" s="146" t="str">
        <f aca="false">IF(ISBLANK($C487),"",$CT487)</f>
        <v/>
      </c>
      <c r="DG487" s="149" t="str">
        <f aca="false">IF($CX487&gt;$CW$8,"",VLOOKUP($CX487,$CZ$9:$DF$508,7,FALSE()))</f>
        <v/>
      </c>
      <c r="DH487" s="150" t="str">
        <f aca="false">IF($CX487&gt;$CW$8,"",VLOOKUP($CX487,$CZ$9:$DF$508,2,FALSE()))</f>
        <v/>
      </c>
      <c r="DI487" s="150" t="str">
        <f aca="false">IF($CX487&gt;$CW$8,"",VLOOKUP($CX487,$CZ$9:$DF$508,3,FALSE()))</f>
        <v/>
      </c>
      <c r="DJ487" s="150" t="str">
        <f aca="false">IF($CX487&gt;$CW$8,"",VLOOKUP($CX487,$CZ$9:$DF$508,4,FALSE()))</f>
        <v/>
      </c>
      <c r="DK487" s="150" t="str">
        <f aca="false">IF($CX487&gt;$CW$8,"",VLOOKUP($CX487,$CZ$9:$DF$508,5,FALSE()))</f>
        <v/>
      </c>
      <c r="DL487" s="151" t="str">
        <f aca="false">IF($CX487&gt;$CW$8,"",VLOOKUP($CX487,$CZ$9:$DF$508,6,FALSE()))</f>
        <v/>
      </c>
      <c r="DM487" s="75"/>
    </row>
    <row r="488" customFormat="false" ht="15.75" hidden="false" customHeight="false" outlineLevel="0" collapsed="false">
      <c r="A488" s="9"/>
      <c r="B488" s="157"/>
      <c r="C488" s="158"/>
      <c r="D488" s="159"/>
      <c r="E488" s="177"/>
      <c r="F488" s="161"/>
      <c r="G488" s="162"/>
      <c r="H488" s="162"/>
      <c r="I488" s="178"/>
      <c r="J488" s="165"/>
      <c r="K488" s="126"/>
      <c r="L488" s="127"/>
      <c r="M488" s="128"/>
      <c r="N488" s="165"/>
      <c r="O488" s="165"/>
      <c r="P488" s="177"/>
      <c r="Q488" s="165"/>
      <c r="R488" s="165"/>
      <c r="S488" s="126"/>
      <c r="T488" s="128"/>
      <c r="U488" s="128"/>
      <c r="V488" s="165"/>
      <c r="W488" s="165"/>
      <c r="X488" s="177"/>
      <c r="Y488" s="165"/>
      <c r="Z488" s="166"/>
      <c r="AA488" s="165"/>
      <c r="AB488" s="132"/>
      <c r="AC488" s="133"/>
      <c r="AD488" s="133"/>
      <c r="AE488" s="133"/>
      <c r="AF488" s="133" t="str">
        <f aca="false">IF(ISBLANK($C488),"",IF(E488=Constants!$B$3,TRUE(),IF(E488=Constants!$B$4,FALSE(),TRUE())))</f>
        <v/>
      </c>
      <c r="AG488" s="133" t="str">
        <f aca="false">IF(ISBLANK($C488),"",IF(F488=Constants!$B$3,TRUE(),IF(F488=Constants!$B$4,FALSE(),TRUE())))</f>
        <v/>
      </c>
      <c r="AH488" s="133" t="str">
        <f aca="false">IF(ISBLANK($C488),"",IF(G488=Constants!$B$3,TRUE(),IF(G488=Constants!$B$4,FALSE(),TRUE())))</f>
        <v/>
      </c>
      <c r="AI488" s="133" t="str">
        <f aca="false">IF(ISBLANK($C488),"",IF(AND(ISNUMBER(H488),H488&gt;=0),H488,Constants!$B$29))</f>
        <v/>
      </c>
      <c r="AJ488" s="133" t="str">
        <f aca="false">IF(ISBLANK($C488),"",IF(I488=Constants!$B$3,TRUE(),IF(I488=Constants!$B$4,FALSE(),TRUE())))</f>
        <v/>
      </c>
      <c r="AK488" s="133" t="str">
        <f aca="false">IF(ISBLANK($C488),"",IF(J488=Constants!$B$3,TRUE(),IF(J488=Constants!$B$4,FALSE(),TRUE())))</f>
        <v/>
      </c>
      <c r="AL488" s="133" t="str">
        <f aca="false">IF(ISBLANK($C488),"",IF(K488=Constants!$B$5,TRUE(),IF(K488=Constants!$B$6,FALSE(),COUNTA(L488:P488)&gt;0)))</f>
        <v/>
      </c>
      <c r="AM488" s="134" t="str">
        <f aca="false">IF(ISBLANK($C488),"",IF(ISNUMBER(L488),IF(L488&gt;=0,L488,""),""))</f>
        <v/>
      </c>
      <c r="AN488" s="135" t="str">
        <f aca="false">IF(ISBLANK($C488),"",IF(ISNUMBER(M488),IF(M488&gt;=0,M488,""),""))</f>
        <v/>
      </c>
      <c r="AO488" s="135" t="str">
        <f aca="false">IF(ISBLANK($C488),"",IF(N488=Constants!$B$3,TRUE(),IF(N488=Constants!$B$4,FALSE(),TRUE())))</f>
        <v/>
      </c>
      <c r="AP488" s="133" t="str">
        <f aca="false">IF(ISBLANK($C488),"",IF(ISNUMBER(O488),IF(O488&gt;=0,O488,""),""))</f>
        <v/>
      </c>
      <c r="AQ488" s="133" t="str">
        <f aca="false">IF(ISBLANK($C488),"",IF(P488=Constants!$B$3,TRUE(),IF(P488=Constants!$B$4,FALSE(),FALSE())))</f>
        <v/>
      </c>
      <c r="AR488" s="133" t="str">
        <f aca="false">IF(ISBLANK($C488),"",IF(Q488=Constants!$B$3,TRUE(),IF(Q488=Constants!$B$4,FALSE(),TRUE())))</f>
        <v/>
      </c>
      <c r="AS488" s="133" t="str">
        <f aca="false">IF(ISBLANK($C488),"",IF(R488=Constants!$B$3,TRUE(),IF(R488=Constants!$B$4,FALSE(),TRUE())))</f>
        <v/>
      </c>
      <c r="AT488" s="133" t="str">
        <f aca="false">IF(ISBLANK($C488),"",IF(S488=Constants!$B$5,TRUE(),IF(S488=Constants!$B$6,FALSE(),COUNTA(T488:X488)&gt;0)))</f>
        <v/>
      </c>
      <c r="AU488" s="134" t="str">
        <f aca="false">IF(ISBLANK($C488),"",IF(ISNUMBER(T488),IF(T488&gt;=0,T488,""),""))</f>
        <v/>
      </c>
      <c r="AV488" s="135" t="str">
        <f aca="false">IF(ISBLANK($C488),"",IF(ISNUMBER(U488),IF(U488&gt;=0,U488,""),""))</f>
        <v/>
      </c>
      <c r="AW488" s="135" t="str">
        <f aca="false">IF(ISBLANK($C488),"",IF(V488=Constants!$B$3,TRUE(),IF(V488=Constants!$B$4,FALSE(),TRUE())))</f>
        <v/>
      </c>
      <c r="AX488" s="133" t="str">
        <f aca="false">IF(ISBLANK($C488),"",IF(ISNUMBER(W488),IF(W488&gt;=0,W488,""),""))</f>
        <v/>
      </c>
      <c r="AY488" s="133" t="str">
        <f aca="false">IF(ISBLANK($C488),"",IF(X488=Constants!$B$3,TRUE(),IF(X488=Constants!$B$4,FALSE(),FALSE())))</f>
        <v/>
      </c>
      <c r="AZ488" s="133" t="str">
        <f aca="false">IF(ISBLANK($C488),"",MIN(Constants!$B$31,MAX(0,IF(ISNUMBER(Y488),Y488*60,0)+IF(ISNUMBER(Z488),Z488,0))))</f>
        <v/>
      </c>
      <c r="BA488" s="133" t="str">
        <f aca="false">IF(ISBLANK($C488),"",IF(AA488=Constants!$B$3,TRUE(),IF(AA488=Constants!$B$4,FALSE(),FALSE())))</f>
        <v/>
      </c>
      <c r="BB488" s="132" t="str">
        <f aca="false">IF(ISBLANK($C488),"",AND($AL488,OR($AM488="",$AN488="",AND($AO488,$AP488=""))))</f>
        <v/>
      </c>
      <c r="BC488" s="135" t="str">
        <f aca="false">IF($BR488&lt;&gt;Constants!$B$8,"",IF($AL488,Constants!$B$21*$AN488+Constants!$B$22*IF($AO488,$AP488,Constants!$B$23),Constants!$B$24))</f>
        <v/>
      </c>
      <c r="BD488" s="136" t="str">
        <f aca="false">IF($BR488&lt;&gt;Constants!$B$8,"",Constants!$B$25*ABS($AD$9-IF($AL488,$AM488,0)))</f>
        <v/>
      </c>
      <c r="BE488" s="136" t="str">
        <f aca="false">IF($BR488&lt;&gt;Constants!$B$8,"",IF(AND($AL488,$AQ488,$AO488),Constants!$B$27,0))</f>
        <v/>
      </c>
      <c r="BF488" s="136" t="str">
        <f aca="false">IF($BR488&lt;&gt;Constants!$B$8,"",IF($AL488,($AI488-Constants!$B$29)*Constants!$B$28,0))</f>
        <v/>
      </c>
      <c r="BG488" s="136" t="str">
        <f aca="false">IF($BR488&lt;&gt;Constants!$B$8,"",IF($AK488,0,Constants!$B$15)+IF($AJ488,0,Constants!$B$16)+IF($AH488,0,Constants!$B$17))</f>
        <v/>
      </c>
      <c r="BH488" s="137" t="str">
        <f aca="false">IF($BR488&lt;&gt;Constants!$B$8,"",Constants!$B$20+SUM($BC488:$BG488))</f>
        <v/>
      </c>
      <c r="BI488" s="133" t="str">
        <f aca="false">IF($BR488&lt;&gt;Constants!$B$8,"",IF(OR($BP488&lt;$BH488,AND($BP488=$BH488,OR($BK488&lt;$BC488,AND($BK488=$BC488,OR($BL488&lt;$BD488,AND($BL488=$BD488,$AT488,$AL488,$AV488&lt;$AN488)))))),"-&gt;","&lt;-"))</f>
        <v/>
      </c>
      <c r="BJ488" s="132" t="str">
        <f aca="false">IF(ISBLANK($C488),"",AND($AT488,OR($AU488="",$AV488="",AND($AW488,$AX488=""))))</f>
        <v/>
      </c>
      <c r="BK488" s="135" t="str">
        <f aca="false">IF($BR488&lt;&gt;Constants!$B$8,"",IF($AT488,Constants!$B$21*$AV488+Constants!$B$22*IF($AW488,$AX488,Constants!$B$23),Constants!$B$24))</f>
        <v/>
      </c>
      <c r="BL488" s="136" t="str">
        <f aca="false">IF($BR488&lt;&gt;Constants!$B$8,"",Constants!$B$25*ABS($AD$9-IF($AT488,$AU488,0)))</f>
        <v/>
      </c>
      <c r="BM488" s="136" t="str">
        <f aca="false">IF($BR488&lt;&gt;Constants!$B$8,"",IF(AND($AT488,$AY488,$AW488),Constants!$B$27,0))</f>
        <v/>
      </c>
      <c r="BN488" s="136" t="str">
        <f aca="false">IF($BR488&lt;&gt;Constants!$B$8,"",IF($AT488,($AI488-Constants!$B$29)*Constants!$B$28,0))</f>
        <v/>
      </c>
      <c r="BO488" s="136" t="str">
        <f aca="false">IF($BR488&lt;&gt;Constants!$B$8,"",IF($AS488,0,Constants!$B$15)+IF($AR488,0,Constants!$B$16)+IF($AH488,0,Constants!$B$17))</f>
        <v/>
      </c>
      <c r="BP488" s="137" t="str">
        <f aca="false">IF($BR488&lt;&gt;Constants!$B$8,"",Constants!$B$20+SUM($BK488:$BO488))</f>
        <v/>
      </c>
      <c r="BQ488" s="133" t="str">
        <f aca="false">IF(ISBLANK($C488),"",IF(ISBLANK($D$7),$BQ$5,IF(NOT(ISNUMBER($D$7)),$BQ$6,"")))</f>
        <v/>
      </c>
      <c r="BR488" s="133" t="str">
        <f aca="false">IF(ISBLANK($C488),"",IF($BA488,Constants!$B$11,IF(COUNTA($E488:$AA488)=0,Constants!$B$10,IF(NOT($AG488),Constants!$B$9,IF(OR($BQ488&lt;&gt;"",$BB488,$BJ488),Constants!$B$12,Constants!$B$8)))))</f>
        <v/>
      </c>
      <c r="BS488" s="133" t="str">
        <f aca="false">IF(ISBLANK($C488),"",IF($BR488&lt;&gt;Constants!$B$8,$BR488,Constants!$B$13))</f>
        <v/>
      </c>
      <c r="BT488" s="136" t="str">
        <f aca="false">IF($BR488&lt;&gt;Constants!$B$8,"",IF($BI488="-&gt;",$BP488,$BH488))</f>
        <v/>
      </c>
      <c r="BU488" s="136" t="str">
        <f aca="false">IF($BR488&lt;&gt;Constants!$B$8,"",IF($AF488,0,Constants!$B$18))</f>
        <v/>
      </c>
      <c r="BV488" s="136" t="str">
        <f aca="false">IF($BR488&lt;&gt;Constants!$B$8,"",((Constants!$B$31-$AZ488)-Constants!$B$31)/Constants!$B$32)</f>
        <v/>
      </c>
      <c r="BW488" s="136" t="str">
        <f aca="false">IF(ISBLANK($C488),"",IF($BR488&lt;&gt;Constants!$B$8,$BR488,SUM($BT488:$BV488)))</f>
        <v/>
      </c>
      <c r="BX488" s="133" t="str">
        <f aca="false">IF(ISBLANK($C488),"",IF($BR488&lt;&gt;Constants!$B$8,$BR488,RANK($BW488,$BW$9:$BW$508,1)))</f>
        <v/>
      </c>
      <c r="BY488" s="136" t="str">
        <f aca="false">IF($BR488&lt;&gt;Constants!$B$8,"",IF($BI488="-&gt;",$BK488,$BC488))</f>
        <v/>
      </c>
      <c r="BZ488" s="133" t="str">
        <f aca="false">IF(ISBLANK($C488),"",IF($BR488&lt;&gt;Constants!$B$8,$BR488,IF(ISNUMBER($BY488),RANK($BY488,$BY$9:$BY$508,1),COUNT($BY$9:$BY$508)+1)))</f>
        <v/>
      </c>
      <c r="CA488" s="136" t="str">
        <f aca="false">IF($BR488&lt;&gt;Constants!$B$8,"",IF($BI488="-&gt;",$BL488,$BD488))</f>
        <v/>
      </c>
      <c r="CB488" s="133" t="str">
        <f aca="false">IF(ISBLANK($C488),"",IF($BR488&lt;&gt;Constants!$B$8,$BR488,IF(ISNUMBER($CA488),RANK($CA488,$CA$9:$CA$508,1),COUNT($CA$9:$CA$508)+1)))</f>
        <v/>
      </c>
      <c r="CC488" s="136" t="str">
        <f aca="false">IF($BR488&lt;&gt;Constants!$B$8,"",IF($BI488="-&gt;",IF($AT488,$AV488,""),IF($AL488,$AN488,"")))</f>
        <v/>
      </c>
      <c r="CD488" s="133" t="str">
        <f aca="false">IF(ISBLANK($C488),"",IF($BR488&lt;&gt;Constants!$B$8,$BR488,IF(ISNUMBER($CC488),RANK($CC488,$CC$9:$CC$508,1),COUNT($CC$9:$CC$508)+1)))</f>
        <v/>
      </c>
      <c r="CE488" s="136" t="str">
        <f aca="false">IF($BR488&lt;&gt;Constants!$B$8,"",IF(AND(NOT($AL488),NOT($AT488),$AJ488,$AK488,$AR488,$AS488),"",$AI488))</f>
        <v/>
      </c>
      <c r="CF488" s="133" t="str">
        <f aca="false">IF(ISBLANK($C488),"",IF($BR488&lt;&gt;Constants!$B$8,$BR488,IF(ISNUMBER($CE488),RANK($CE488,$CE$9:$CE$508,1),COUNT($CE$9:$CE$508)+1)))</f>
        <v/>
      </c>
      <c r="CG488" s="133" t="str">
        <f aca="false">IF(ISBLANK($C488),"",IF($BR488&lt;&gt;Constants!$B$8,$BR488,COUNTIFS($BX$9:$BX$508,"&lt;"&amp;$BX488)+COUNTIFS($BX$9:$BX$508,$BX488,$BZ$9:$BZ$508,"&lt;"&amp;$BZ488)+COUNTIFS($BX$9:$BX$508,$BX488,$BZ$9:$BZ$508,$BZ488,$CB$9:$CB$508,"&lt;"&amp;$CB488)+COUNTIFS($BX$9:$BX$508,$BX488,$BZ$9:$BZ$508,$BZ488,$CB$9:$CB$508,$CB488,$CD$9:$CD$508,"&lt;"&amp;$CD488)+COUNTIFS($BX$9:$BX$508,$BX488,$BZ$9:$BZ$508,$BZ488,$CB$9:$CB$508,$CB488,$CD$9:$CD$508,$CD488,$CF$9:$CF$508,"&lt;"&amp;$CF488)+1))</f>
        <v/>
      </c>
      <c r="CH488" s="133" t="str">
        <f aca="false">IF(ISBLANK($C488),"",IF($BR488&lt;&gt;Constants!$B$8,$BR488,$BX488-$CG488))</f>
        <v/>
      </c>
      <c r="CI488" s="138"/>
      <c r="CJ488" s="139"/>
      <c r="CK488" s="140" t="str">
        <f aca="false">IF(ISBLANK($C488),"",IF($BR488=Constants!$B$12,$BQ488,""))</f>
        <v/>
      </c>
      <c r="CL488" s="139" t="str">
        <f aca="false">IF(ISBLANK($C488),"",IF($BR488&lt;&gt;Constants!$B$8,"",IF($BI488="-&gt;",2,1)))</f>
        <v/>
      </c>
      <c r="CM488" s="141" t="str">
        <f aca="false">IF(ISBLANK($C488),"",IF($BR488&lt;&gt;Constants!$B$8,"",IF($BI488="-&gt;",$BK488,$BC488)))</f>
        <v/>
      </c>
      <c r="CN488" s="141" t="str">
        <f aca="false">IF(ISBLANK($C488),"",IF($BR488&lt;&gt;Constants!$B$8,"",IF($BI488="-&gt;",$BL488,$BD488)))</f>
        <v/>
      </c>
      <c r="CO488" s="141" t="str">
        <f aca="false">IF(ISBLANK($C488),"",IF($BR488&lt;&gt;Constants!$B$8,"",IF($BI488="-&gt;",$BM488+$BN488,$BE488+$BF488)+$BV488))</f>
        <v/>
      </c>
      <c r="CP488" s="141" t="str">
        <f aca="false">IF(ISBLANK($C488),"",IF($BR488&lt;&gt;Constants!$B$8,"",IF($BI488="-&gt;",$BO488,$BG488)+$BU488))</f>
        <v/>
      </c>
      <c r="CQ488" s="142" t="str">
        <f aca="false">IF(ISBLANK($C488),"",IF($BR488&lt;&gt;Constants!$B$8,$BR488,$BW488))</f>
        <v/>
      </c>
      <c r="CR488" s="143" t="str">
        <f aca="false">IF(ISBLANK($C488),"",$BS488)</f>
        <v/>
      </c>
      <c r="CS488" s="144" t="str">
        <f aca="false">IF(ISBLANK($C488),"",$CH488)</f>
        <v/>
      </c>
      <c r="CT488" s="144" t="str">
        <f aca="false">IF(ISBLANK($C488),"",$CG488)</f>
        <v/>
      </c>
      <c r="CU488" s="145" t="str">
        <f aca="false">IF(ISBLANK($C488),"",IFERROR(_xlfn.SWITCH($CT488,Constants!$B$11,COUNTA($C$9:$C$508)+2,Constants!$B$10,COUNTA($C$9:$C$508)+1,Constants!$B$9,COUNTA($C$9:$C$508)),$CT488))</f>
        <v/>
      </c>
      <c r="CV488" s="9"/>
      <c r="CW488" s="146" t="n">
        <f aca="false">IF(OR(ISNUMBER($CT488),$CT488=Constants!$B$11,$CT488=Constants!$B$9,$CT488=Constants!$B$10),1,0)</f>
        <v>0</v>
      </c>
      <c r="CX488" s="146" t="n">
        <v>480</v>
      </c>
      <c r="CY488" s="146" t="str">
        <f aca="false">IF(ISBLANK($C488),"",IF(ISNUMBER($CU488),$CU488+ROW($B488)/1000,""))</f>
        <v/>
      </c>
      <c r="CZ488" s="146" t="str">
        <f aca="false">IF(ISNUMBER($CY488),RANK($CY488,$CY$9:$CY$508,1),"")</f>
        <v/>
      </c>
      <c r="DA488" s="146" t="str">
        <f aca="false">IF(ISBLANK($C488),"",$B488)</f>
        <v/>
      </c>
      <c r="DB488" s="146" t="str">
        <f aca="false">IF(ISBLANK($C488),"",$C488)</f>
        <v/>
      </c>
      <c r="DC488" s="146" t="str">
        <f aca="false">IF(ISBLANK($C488),"",$D488)</f>
        <v/>
      </c>
      <c r="DD488" s="147" t="str">
        <f aca="false">$CR488</f>
        <v/>
      </c>
      <c r="DE488" s="148" t="str">
        <f aca="false">$CQ488</f>
        <v/>
      </c>
      <c r="DF488" s="146" t="str">
        <f aca="false">IF(ISBLANK($C488),"",$CT488)</f>
        <v/>
      </c>
      <c r="DG488" s="149" t="str">
        <f aca="false">IF($CX488&gt;$CW$8,"",VLOOKUP($CX488,$CZ$9:$DF$508,7,FALSE()))</f>
        <v/>
      </c>
      <c r="DH488" s="150" t="str">
        <f aca="false">IF($CX488&gt;$CW$8,"",VLOOKUP($CX488,$CZ$9:$DF$508,2,FALSE()))</f>
        <v/>
      </c>
      <c r="DI488" s="150" t="str">
        <f aca="false">IF($CX488&gt;$CW$8,"",VLOOKUP($CX488,$CZ$9:$DF$508,3,FALSE()))</f>
        <v/>
      </c>
      <c r="DJ488" s="150" t="str">
        <f aca="false">IF($CX488&gt;$CW$8,"",VLOOKUP($CX488,$CZ$9:$DF$508,4,FALSE()))</f>
        <v/>
      </c>
      <c r="DK488" s="150" t="str">
        <f aca="false">IF($CX488&gt;$CW$8,"",VLOOKUP($CX488,$CZ$9:$DF$508,5,FALSE()))</f>
        <v/>
      </c>
      <c r="DL488" s="151" t="str">
        <f aca="false">IF($CX488&gt;$CW$8,"",VLOOKUP($CX488,$CZ$9:$DF$508,6,FALSE()))</f>
        <v/>
      </c>
      <c r="DM488" s="75"/>
    </row>
    <row r="489" customFormat="false" ht="15.75" hidden="false" customHeight="false" outlineLevel="0" collapsed="false">
      <c r="A489" s="9"/>
      <c r="B489" s="77"/>
      <c r="C489" s="78"/>
      <c r="D489" s="167"/>
      <c r="E489" s="175"/>
      <c r="F489" s="169"/>
      <c r="G489" s="170"/>
      <c r="H489" s="170"/>
      <c r="I489" s="176"/>
      <c r="J489" s="173"/>
      <c r="K489" s="85"/>
      <c r="L489" s="86"/>
      <c r="M489" s="87"/>
      <c r="N489" s="173"/>
      <c r="O489" s="173"/>
      <c r="P489" s="175"/>
      <c r="Q489" s="173"/>
      <c r="R489" s="173"/>
      <c r="S489" s="85"/>
      <c r="T489" s="87"/>
      <c r="U489" s="87"/>
      <c r="V489" s="173"/>
      <c r="W489" s="173"/>
      <c r="X489" s="175"/>
      <c r="Y489" s="173"/>
      <c r="Z489" s="174"/>
      <c r="AA489" s="173"/>
      <c r="AB489" s="91"/>
      <c r="AC489" s="92"/>
      <c r="AD489" s="92"/>
      <c r="AE489" s="92"/>
      <c r="AF489" s="92" t="str">
        <f aca="false">IF(ISBLANK($C489),"",IF(E489=Constants!$B$3,TRUE(),IF(E489=Constants!$B$4,FALSE(),TRUE())))</f>
        <v/>
      </c>
      <c r="AG489" s="92" t="str">
        <f aca="false">IF(ISBLANK($C489),"",IF(F489=Constants!$B$3,TRUE(),IF(F489=Constants!$B$4,FALSE(),TRUE())))</f>
        <v/>
      </c>
      <c r="AH489" s="92" t="str">
        <f aca="false">IF(ISBLANK($C489),"",IF(G489=Constants!$B$3,TRUE(),IF(G489=Constants!$B$4,FALSE(),TRUE())))</f>
        <v/>
      </c>
      <c r="AI489" s="92" t="str">
        <f aca="false">IF(ISBLANK($C489),"",IF(AND(ISNUMBER(H489),H489&gt;=0),H489,Constants!$B$29))</f>
        <v/>
      </c>
      <c r="AJ489" s="92" t="str">
        <f aca="false">IF(ISBLANK($C489),"",IF(I489=Constants!$B$3,TRUE(),IF(I489=Constants!$B$4,FALSE(),TRUE())))</f>
        <v/>
      </c>
      <c r="AK489" s="92" t="str">
        <f aca="false">IF(ISBLANK($C489),"",IF(J489=Constants!$B$3,TRUE(),IF(J489=Constants!$B$4,FALSE(),TRUE())))</f>
        <v/>
      </c>
      <c r="AL489" s="92" t="str">
        <f aca="false">IF(ISBLANK($C489),"",IF(K489=Constants!$B$5,TRUE(),IF(K489=Constants!$B$6,FALSE(),COUNTA(L489:P489)&gt;0)))</f>
        <v/>
      </c>
      <c r="AM489" s="94" t="str">
        <f aca="false">IF(ISBLANK($C489),"",IF(ISNUMBER(L489),IF(L489&gt;=0,L489,""),""))</f>
        <v/>
      </c>
      <c r="AN489" s="93" t="str">
        <f aca="false">IF(ISBLANK($C489),"",IF(ISNUMBER(M489),IF(M489&gt;=0,M489,""),""))</f>
        <v/>
      </c>
      <c r="AO489" s="93" t="str">
        <f aca="false">IF(ISBLANK($C489),"",IF(N489=Constants!$B$3,TRUE(),IF(N489=Constants!$B$4,FALSE(),TRUE())))</f>
        <v/>
      </c>
      <c r="AP489" s="92" t="str">
        <f aca="false">IF(ISBLANK($C489),"",IF(ISNUMBER(O489),IF(O489&gt;=0,O489,""),""))</f>
        <v/>
      </c>
      <c r="AQ489" s="92" t="str">
        <f aca="false">IF(ISBLANK($C489),"",IF(P489=Constants!$B$3,TRUE(),IF(P489=Constants!$B$4,FALSE(),FALSE())))</f>
        <v/>
      </c>
      <c r="AR489" s="92" t="str">
        <f aca="false">IF(ISBLANK($C489),"",IF(Q489=Constants!$B$3,TRUE(),IF(Q489=Constants!$B$4,FALSE(),TRUE())))</f>
        <v/>
      </c>
      <c r="AS489" s="92" t="str">
        <f aca="false">IF(ISBLANK($C489),"",IF(R489=Constants!$B$3,TRUE(),IF(R489=Constants!$B$4,FALSE(),TRUE())))</f>
        <v/>
      </c>
      <c r="AT489" s="92" t="str">
        <f aca="false">IF(ISBLANK($C489),"",IF(S489=Constants!$B$5,TRUE(),IF(S489=Constants!$B$6,FALSE(),COUNTA(T489:X489)&gt;0)))</f>
        <v/>
      </c>
      <c r="AU489" s="94" t="str">
        <f aca="false">IF(ISBLANK($C489),"",IF(ISNUMBER(T489),IF(T489&gt;=0,T489,""),""))</f>
        <v/>
      </c>
      <c r="AV489" s="93" t="str">
        <f aca="false">IF(ISBLANK($C489),"",IF(ISNUMBER(U489),IF(U489&gt;=0,U489,""),""))</f>
        <v/>
      </c>
      <c r="AW489" s="93" t="str">
        <f aca="false">IF(ISBLANK($C489),"",IF(V489=Constants!$B$3,TRUE(),IF(V489=Constants!$B$4,FALSE(),TRUE())))</f>
        <v/>
      </c>
      <c r="AX489" s="92" t="str">
        <f aca="false">IF(ISBLANK($C489),"",IF(ISNUMBER(W489),IF(W489&gt;=0,W489,""),""))</f>
        <v/>
      </c>
      <c r="AY489" s="92" t="str">
        <f aca="false">IF(ISBLANK($C489),"",IF(X489=Constants!$B$3,TRUE(),IF(X489=Constants!$B$4,FALSE(),FALSE())))</f>
        <v/>
      </c>
      <c r="AZ489" s="92" t="str">
        <f aca="false">IF(ISBLANK($C489),"",MIN(Constants!$B$31,MAX(0,IF(ISNUMBER(Y489),Y489*60,0)+IF(ISNUMBER(Z489),Z489,0))))</f>
        <v/>
      </c>
      <c r="BA489" s="92" t="str">
        <f aca="false">IF(ISBLANK($C489),"",IF(AA489=Constants!$B$3,TRUE(),IF(AA489=Constants!$B$4,FALSE(),FALSE())))</f>
        <v/>
      </c>
      <c r="BB489" s="91" t="str">
        <f aca="false">IF(ISBLANK($C489),"",AND($AL489,OR($AM489="",$AN489="",AND($AO489,$AP489=""))))</f>
        <v/>
      </c>
      <c r="BC489" s="93" t="str">
        <f aca="false">IF($BR489&lt;&gt;Constants!$B$8,"",IF($AL489,Constants!$B$21*$AN489+Constants!$B$22*IF($AO489,$AP489,Constants!$B$23),Constants!$B$24))</f>
        <v/>
      </c>
      <c r="BD489" s="96" t="str">
        <f aca="false">IF($BR489&lt;&gt;Constants!$B$8,"",Constants!$B$25*ABS($AD$9-IF($AL489,$AM489,0)))</f>
        <v/>
      </c>
      <c r="BE489" s="96" t="str">
        <f aca="false">IF($BR489&lt;&gt;Constants!$B$8,"",IF(AND($AL489,$AQ489,$AO489),Constants!$B$27,0))</f>
        <v/>
      </c>
      <c r="BF489" s="96" t="str">
        <f aca="false">IF($BR489&lt;&gt;Constants!$B$8,"",IF($AL489,($AI489-Constants!$B$29)*Constants!$B$28,0))</f>
        <v/>
      </c>
      <c r="BG489" s="96" t="str">
        <f aca="false">IF($BR489&lt;&gt;Constants!$B$8,"",IF($AK489,0,Constants!$B$15)+IF($AJ489,0,Constants!$B$16)+IF($AH489,0,Constants!$B$17))</f>
        <v/>
      </c>
      <c r="BH489" s="97" t="str">
        <f aca="false">IF($BR489&lt;&gt;Constants!$B$8,"",Constants!$B$20+SUM($BC489:$BG489))</f>
        <v/>
      </c>
      <c r="BI489" s="92" t="str">
        <f aca="false">IF($BR489&lt;&gt;Constants!$B$8,"",IF(OR($BP489&lt;$BH489,AND($BP489=$BH489,OR($BK489&lt;$BC489,AND($BK489=$BC489,OR($BL489&lt;$BD489,AND($BL489=$BD489,$AT489,$AL489,$AV489&lt;$AN489)))))),"-&gt;","&lt;-"))</f>
        <v/>
      </c>
      <c r="BJ489" s="91" t="str">
        <f aca="false">IF(ISBLANK($C489),"",AND($AT489,OR($AU489="",$AV489="",AND($AW489,$AX489=""))))</f>
        <v/>
      </c>
      <c r="BK489" s="93" t="str">
        <f aca="false">IF($BR489&lt;&gt;Constants!$B$8,"",IF($AT489,Constants!$B$21*$AV489+Constants!$B$22*IF($AW489,$AX489,Constants!$B$23),Constants!$B$24))</f>
        <v/>
      </c>
      <c r="BL489" s="96" t="str">
        <f aca="false">IF($BR489&lt;&gt;Constants!$B$8,"",Constants!$B$25*ABS($AD$9-IF($AT489,$AU489,0)))</f>
        <v/>
      </c>
      <c r="BM489" s="96" t="str">
        <f aca="false">IF($BR489&lt;&gt;Constants!$B$8,"",IF(AND($AT489,$AY489,$AW489),Constants!$B$27,0))</f>
        <v/>
      </c>
      <c r="BN489" s="96" t="str">
        <f aca="false">IF($BR489&lt;&gt;Constants!$B$8,"",IF($AT489,($AI489-Constants!$B$29)*Constants!$B$28,0))</f>
        <v/>
      </c>
      <c r="BO489" s="96" t="str">
        <f aca="false">IF($BR489&lt;&gt;Constants!$B$8,"",IF($AS489,0,Constants!$B$15)+IF($AR489,0,Constants!$B$16)+IF($AH489,0,Constants!$B$17))</f>
        <v/>
      </c>
      <c r="BP489" s="97" t="str">
        <f aca="false">IF($BR489&lt;&gt;Constants!$B$8,"",Constants!$B$20+SUM($BK489:$BO489))</f>
        <v/>
      </c>
      <c r="BQ489" s="92" t="str">
        <f aca="false">IF(ISBLANK($C489),"",IF(ISBLANK($D$7),$BQ$5,IF(NOT(ISNUMBER($D$7)),$BQ$6,"")))</f>
        <v/>
      </c>
      <c r="BR489" s="92" t="str">
        <f aca="false">IF(ISBLANK($C489),"",IF($BA489,Constants!$B$11,IF(COUNTA($E489:$AA489)=0,Constants!$B$10,IF(NOT($AG489),Constants!$B$9,IF(OR($BQ489&lt;&gt;"",$BB489,$BJ489),Constants!$B$12,Constants!$B$8)))))</f>
        <v/>
      </c>
      <c r="BS489" s="92" t="str">
        <f aca="false">IF(ISBLANK($C489),"",IF($BR489&lt;&gt;Constants!$B$8,$BR489,Constants!$B$13))</f>
        <v/>
      </c>
      <c r="BT489" s="96" t="str">
        <f aca="false">IF($BR489&lt;&gt;Constants!$B$8,"",IF($BI489="-&gt;",$BP489,$BH489))</f>
        <v/>
      </c>
      <c r="BU489" s="96" t="str">
        <f aca="false">IF($BR489&lt;&gt;Constants!$B$8,"",IF($AF489,0,Constants!$B$18))</f>
        <v/>
      </c>
      <c r="BV489" s="96" t="str">
        <f aca="false">IF($BR489&lt;&gt;Constants!$B$8,"",((Constants!$B$31-$AZ489)-Constants!$B$31)/Constants!$B$32)</f>
        <v/>
      </c>
      <c r="BW489" s="96" t="str">
        <f aca="false">IF(ISBLANK($C489),"",IF($BR489&lt;&gt;Constants!$B$8,$BR489,SUM($BT489:$BV489)))</f>
        <v/>
      </c>
      <c r="BX489" s="92" t="str">
        <f aca="false">IF(ISBLANK($C489),"",IF($BR489&lt;&gt;Constants!$B$8,$BR489,RANK($BW489,$BW$9:$BW$508,1)))</f>
        <v/>
      </c>
      <c r="BY489" s="96" t="str">
        <f aca="false">IF($BR489&lt;&gt;Constants!$B$8,"",IF($BI489="-&gt;",$BK489,$BC489))</f>
        <v/>
      </c>
      <c r="BZ489" s="92" t="str">
        <f aca="false">IF(ISBLANK($C489),"",IF($BR489&lt;&gt;Constants!$B$8,$BR489,IF(ISNUMBER($BY489),RANK($BY489,$BY$9:$BY$508,1),COUNT($BY$9:$BY$508)+1)))</f>
        <v/>
      </c>
      <c r="CA489" s="96" t="str">
        <f aca="false">IF($BR489&lt;&gt;Constants!$B$8,"",IF($BI489="-&gt;",$BL489,$BD489))</f>
        <v/>
      </c>
      <c r="CB489" s="92" t="str">
        <f aca="false">IF(ISBLANK($C489),"",IF($BR489&lt;&gt;Constants!$B$8,$BR489,IF(ISNUMBER($CA489),RANK($CA489,$CA$9:$CA$508,1),COUNT($CA$9:$CA$508)+1)))</f>
        <v/>
      </c>
      <c r="CC489" s="96" t="str">
        <f aca="false">IF($BR489&lt;&gt;Constants!$B$8,"",IF($BI489="-&gt;",IF($AT489,$AV489,""),IF($AL489,$AN489,"")))</f>
        <v/>
      </c>
      <c r="CD489" s="92" t="str">
        <f aca="false">IF(ISBLANK($C489),"",IF($BR489&lt;&gt;Constants!$B$8,$BR489,IF(ISNUMBER($CC489),RANK($CC489,$CC$9:$CC$508,1),COUNT($CC$9:$CC$508)+1)))</f>
        <v/>
      </c>
      <c r="CE489" s="96" t="str">
        <f aca="false">IF($BR489&lt;&gt;Constants!$B$8,"",IF(AND(NOT($AL489),NOT($AT489),$AJ489,$AK489,$AR489,$AS489),"",$AI489))</f>
        <v/>
      </c>
      <c r="CF489" s="92" t="str">
        <f aca="false">IF(ISBLANK($C489),"",IF($BR489&lt;&gt;Constants!$B$8,$BR489,IF(ISNUMBER($CE489),RANK($CE489,$CE$9:$CE$508,1),COUNT($CE$9:$CE$508)+1)))</f>
        <v/>
      </c>
      <c r="CG489" s="92" t="str">
        <f aca="false">IF(ISBLANK($C489),"",IF($BR489&lt;&gt;Constants!$B$8,$BR489,COUNTIFS($BX$9:$BX$508,"&lt;"&amp;$BX489)+COUNTIFS($BX$9:$BX$508,$BX489,$BZ$9:$BZ$508,"&lt;"&amp;$BZ489)+COUNTIFS($BX$9:$BX$508,$BX489,$BZ$9:$BZ$508,$BZ489,$CB$9:$CB$508,"&lt;"&amp;$CB489)+COUNTIFS($BX$9:$BX$508,$BX489,$BZ$9:$BZ$508,$BZ489,$CB$9:$CB$508,$CB489,$CD$9:$CD$508,"&lt;"&amp;$CD489)+COUNTIFS($BX$9:$BX$508,$BX489,$BZ$9:$BZ$508,$BZ489,$CB$9:$CB$508,$CB489,$CD$9:$CD$508,$CD489,$CF$9:$CF$508,"&lt;"&amp;$CF489)+1))</f>
        <v/>
      </c>
      <c r="CH489" s="92" t="str">
        <f aca="false">IF(ISBLANK($C489),"",IF($BR489&lt;&gt;Constants!$B$8,$BR489,$BX489-$CG489))</f>
        <v/>
      </c>
      <c r="CI489" s="98"/>
      <c r="CJ489" s="99"/>
      <c r="CK489" s="100" t="str">
        <f aca="false">IF(ISBLANK($C489),"",IF($BR489=Constants!$B$12,$BQ489,""))</f>
        <v/>
      </c>
      <c r="CL489" s="99" t="str">
        <f aca="false">IF(ISBLANK($C489),"",IF($BR489&lt;&gt;Constants!$B$8,"",IF($BI489="-&gt;",2,1)))</f>
        <v/>
      </c>
      <c r="CM489" s="101" t="str">
        <f aca="false">IF(ISBLANK($C489),"",IF($BR489&lt;&gt;Constants!$B$8,"",IF($BI489="-&gt;",$BK489,$BC489)))</f>
        <v/>
      </c>
      <c r="CN489" s="101" t="str">
        <f aca="false">IF(ISBLANK($C489),"",IF($BR489&lt;&gt;Constants!$B$8,"",IF($BI489="-&gt;",$BL489,$BD489)))</f>
        <v/>
      </c>
      <c r="CO489" s="101" t="str">
        <f aca="false">IF(ISBLANK($C489),"",IF($BR489&lt;&gt;Constants!$B$8,"",IF($BI489="-&gt;",$BM489+$BN489,$BE489+$BF489)+$BV489))</f>
        <v/>
      </c>
      <c r="CP489" s="101" t="str">
        <f aca="false">IF(ISBLANK($C489),"",IF($BR489&lt;&gt;Constants!$B$8,"",IF($BI489="-&gt;",$BO489,$BG489)+$BU489))</f>
        <v/>
      </c>
      <c r="CQ489" s="102" t="str">
        <f aca="false">IF(ISBLANK($C489),"",IF($BR489&lt;&gt;Constants!$B$8,$BR489,$BW489))</f>
        <v/>
      </c>
      <c r="CR489" s="103" t="str">
        <f aca="false">IF(ISBLANK($C489),"",$BS489)</f>
        <v/>
      </c>
      <c r="CS489" s="104" t="str">
        <f aca="false">IF(ISBLANK($C489),"",$CH489)</f>
        <v/>
      </c>
      <c r="CT489" s="104" t="str">
        <f aca="false">IF(ISBLANK($C489),"",$CG489)</f>
        <v/>
      </c>
      <c r="CU489" s="105" t="str">
        <f aca="false">IF(ISBLANK($C489),"",IFERROR(_xlfn.SWITCH($CT489,Constants!$B$11,COUNTA($C$9:$C$508)+2,Constants!$B$10,COUNTA($C$9:$C$508)+1,Constants!$B$9,COUNTA($C$9:$C$508)),$CT489))</f>
        <v/>
      </c>
      <c r="CV489" s="9"/>
      <c r="CW489" s="106" t="n">
        <f aca="false">IF(OR(ISNUMBER($CT489),$CT489=Constants!$B$11,$CT489=Constants!$B$9,$CT489=Constants!$B$10),1,0)</f>
        <v>0</v>
      </c>
      <c r="CX489" s="106" t="n">
        <v>481</v>
      </c>
      <c r="CY489" s="106" t="str">
        <f aca="false">IF(ISBLANK($C489),"",IF(ISNUMBER($CU489),$CU489+ROW($B489)/1000,""))</f>
        <v/>
      </c>
      <c r="CZ489" s="106" t="str">
        <f aca="false">IF(ISNUMBER($CY489),RANK($CY489,$CY$9:$CY$508,1),"")</f>
        <v/>
      </c>
      <c r="DA489" s="106" t="str">
        <f aca="false">IF(ISBLANK($C489),"",$B489)</f>
        <v/>
      </c>
      <c r="DB489" s="106" t="str">
        <f aca="false">IF(ISBLANK($C489),"",$C489)</f>
        <v/>
      </c>
      <c r="DC489" s="106" t="str">
        <f aca="false">IF(ISBLANK($C489),"",$D489)</f>
        <v/>
      </c>
      <c r="DD489" s="107" t="str">
        <f aca="false">$CR489</f>
        <v/>
      </c>
      <c r="DE489" s="108" t="str">
        <f aca="false">$CQ489</f>
        <v/>
      </c>
      <c r="DF489" s="106" t="str">
        <f aca="false">IF(ISBLANK($C489),"",$CT489)</f>
        <v/>
      </c>
      <c r="DG489" s="109" t="str">
        <f aca="false">IF($CX489&gt;$CW$8,"",VLOOKUP($CX489,$CZ$9:$DF$508,7,FALSE()))</f>
        <v/>
      </c>
      <c r="DH489" s="110" t="str">
        <f aca="false">IF($CX489&gt;$CW$8,"",VLOOKUP($CX489,$CZ$9:$DF$508,2,FALSE()))</f>
        <v/>
      </c>
      <c r="DI489" s="110" t="str">
        <f aca="false">IF($CX489&gt;$CW$8,"",VLOOKUP($CX489,$CZ$9:$DF$508,3,FALSE()))</f>
        <v/>
      </c>
      <c r="DJ489" s="110" t="str">
        <f aca="false">IF($CX489&gt;$CW$8,"",VLOOKUP($CX489,$CZ$9:$DF$508,4,FALSE()))</f>
        <v/>
      </c>
      <c r="DK489" s="110" t="str">
        <f aca="false">IF($CX489&gt;$CW$8,"",VLOOKUP($CX489,$CZ$9:$DF$508,5,FALSE()))</f>
        <v/>
      </c>
      <c r="DL489" s="111" t="str">
        <f aca="false">IF($CX489&gt;$CW$8,"",VLOOKUP($CX489,$CZ$9:$DF$508,6,FALSE()))</f>
        <v/>
      </c>
      <c r="DM489" s="75"/>
    </row>
    <row r="490" customFormat="false" ht="15.75" hidden="false" customHeight="false" outlineLevel="0" collapsed="false">
      <c r="A490" s="9"/>
      <c r="B490" s="77"/>
      <c r="C490" s="78"/>
      <c r="D490" s="167"/>
      <c r="E490" s="175"/>
      <c r="F490" s="169"/>
      <c r="G490" s="170"/>
      <c r="H490" s="170"/>
      <c r="I490" s="176"/>
      <c r="J490" s="173"/>
      <c r="K490" s="85"/>
      <c r="L490" s="86"/>
      <c r="M490" s="87"/>
      <c r="N490" s="173"/>
      <c r="O490" s="173"/>
      <c r="P490" s="175"/>
      <c r="Q490" s="173"/>
      <c r="R490" s="173"/>
      <c r="S490" s="85"/>
      <c r="T490" s="87"/>
      <c r="U490" s="87"/>
      <c r="V490" s="173"/>
      <c r="W490" s="173"/>
      <c r="X490" s="175"/>
      <c r="Y490" s="173"/>
      <c r="Z490" s="174"/>
      <c r="AA490" s="173"/>
      <c r="AB490" s="91"/>
      <c r="AC490" s="92"/>
      <c r="AD490" s="92"/>
      <c r="AE490" s="92"/>
      <c r="AF490" s="92" t="str">
        <f aca="false">IF(ISBLANK($C490),"",IF(E490=Constants!$B$3,TRUE(),IF(E490=Constants!$B$4,FALSE(),TRUE())))</f>
        <v/>
      </c>
      <c r="AG490" s="92" t="str">
        <f aca="false">IF(ISBLANK($C490),"",IF(F490=Constants!$B$3,TRUE(),IF(F490=Constants!$B$4,FALSE(),TRUE())))</f>
        <v/>
      </c>
      <c r="AH490" s="92" t="str">
        <f aca="false">IF(ISBLANK($C490),"",IF(G490=Constants!$B$3,TRUE(),IF(G490=Constants!$B$4,FALSE(),TRUE())))</f>
        <v/>
      </c>
      <c r="AI490" s="92" t="str">
        <f aca="false">IF(ISBLANK($C490),"",IF(AND(ISNUMBER(H490),H490&gt;=0),H490,Constants!$B$29))</f>
        <v/>
      </c>
      <c r="AJ490" s="92" t="str">
        <f aca="false">IF(ISBLANK($C490),"",IF(I490=Constants!$B$3,TRUE(),IF(I490=Constants!$B$4,FALSE(),TRUE())))</f>
        <v/>
      </c>
      <c r="AK490" s="92" t="str">
        <f aca="false">IF(ISBLANK($C490),"",IF(J490=Constants!$B$3,TRUE(),IF(J490=Constants!$B$4,FALSE(),TRUE())))</f>
        <v/>
      </c>
      <c r="AL490" s="92" t="str">
        <f aca="false">IF(ISBLANK($C490),"",IF(K490=Constants!$B$5,TRUE(),IF(K490=Constants!$B$6,FALSE(),COUNTA(L490:P490)&gt;0)))</f>
        <v/>
      </c>
      <c r="AM490" s="94" t="str">
        <f aca="false">IF(ISBLANK($C490),"",IF(ISNUMBER(L490),IF(L490&gt;=0,L490,""),""))</f>
        <v/>
      </c>
      <c r="AN490" s="93" t="str">
        <f aca="false">IF(ISBLANK($C490),"",IF(ISNUMBER(M490),IF(M490&gt;=0,M490,""),""))</f>
        <v/>
      </c>
      <c r="AO490" s="93" t="str">
        <f aca="false">IF(ISBLANK($C490),"",IF(N490=Constants!$B$3,TRUE(),IF(N490=Constants!$B$4,FALSE(),TRUE())))</f>
        <v/>
      </c>
      <c r="AP490" s="92" t="str">
        <f aca="false">IF(ISBLANK($C490),"",IF(ISNUMBER(O490),IF(O490&gt;=0,O490,""),""))</f>
        <v/>
      </c>
      <c r="AQ490" s="92" t="str">
        <f aca="false">IF(ISBLANK($C490),"",IF(P490=Constants!$B$3,TRUE(),IF(P490=Constants!$B$4,FALSE(),FALSE())))</f>
        <v/>
      </c>
      <c r="AR490" s="92" t="str">
        <f aca="false">IF(ISBLANK($C490),"",IF(Q490=Constants!$B$3,TRUE(),IF(Q490=Constants!$B$4,FALSE(),TRUE())))</f>
        <v/>
      </c>
      <c r="AS490" s="92" t="str">
        <f aca="false">IF(ISBLANK($C490),"",IF(R490=Constants!$B$3,TRUE(),IF(R490=Constants!$B$4,FALSE(),TRUE())))</f>
        <v/>
      </c>
      <c r="AT490" s="92" t="str">
        <f aca="false">IF(ISBLANK($C490),"",IF(S490=Constants!$B$5,TRUE(),IF(S490=Constants!$B$6,FALSE(),COUNTA(T490:X490)&gt;0)))</f>
        <v/>
      </c>
      <c r="AU490" s="94" t="str">
        <f aca="false">IF(ISBLANK($C490),"",IF(ISNUMBER(T490),IF(T490&gt;=0,T490,""),""))</f>
        <v/>
      </c>
      <c r="AV490" s="93" t="str">
        <f aca="false">IF(ISBLANK($C490),"",IF(ISNUMBER(U490),IF(U490&gt;=0,U490,""),""))</f>
        <v/>
      </c>
      <c r="AW490" s="93" t="str">
        <f aca="false">IF(ISBLANK($C490),"",IF(V490=Constants!$B$3,TRUE(),IF(V490=Constants!$B$4,FALSE(),TRUE())))</f>
        <v/>
      </c>
      <c r="AX490" s="92" t="str">
        <f aca="false">IF(ISBLANK($C490),"",IF(ISNUMBER(W490),IF(W490&gt;=0,W490,""),""))</f>
        <v/>
      </c>
      <c r="AY490" s="92" t="str">
        <f aca="false">IF(ISBLANK($C490),"",IF(X490=Constants!$B$3,TRUE(),IF(X490=Constants!$B$4,FALSE(),FALSE())))</f>
        <v/>
      </c>
      <c r="AZ490" s="92" t="str">
        <f aca="false">IF(ISBLANK($C490),"",MIN(Constants!$B$31,MAX(0,IF(ISNUMBER(Y490),Y490*60,0)+IF(ISNUMBER(Z490),Z490,0))))</f>
        <v/>
      </c>
      <c r="BA490" s="92" t="str">
        <f aca="false">IF(ISBLANK($C490),"",IF(AA490=Constants!$B$3,TRUE(),IF(AA490=Constants!$B$4,FALSE(),FALSE())))</f>
        <v/>
      </c>
      <c r="BB490" s="91" t="str">
        <f aca="false">IF(ISBLANK($C490),"",AND($AL490,OR($AM490="",$AN490="",AND($AO490,$AP490=""))))</f>
        <v/>
      </c>
      <c r="BC490" s="93" t="str">
        <f aca="false">IF($BR490&lt;&gt;Constants!$B$8,"",IF($AL490,Constants!$B$21*$AN490+Constants!$B$22*IF($AO490,$AP490,Constants!$B$23),Constants!$B$24))</f>
        <v/>
      </c>
      <c r="BD490" s="96" t="str">
        <f aca="false">IF($BR490&lt;&gt;Constants!$B$8,"",Constants!$B$25*ABS($AD$9-IF($AL490,$AM490,0)))</f>
        <v/>
      </c>
      <c r="BE490" s="96" t="str">
        <f aca="false">IF($BR490&lt;&gt;Constants!$B$8,"",IF(AND($AL490,$AQ490,$AO490),Constants!$B$27,0))</f>
        <v/>
      </c>
      <c r="BF490" s="96" t="str">
        <f aca="false">IF($BR490&lt;&gt;Constants!$B$8,"",IF($AL490,($AI490-Constants!$B$29)*Constants!$B$28,0))</f>
        <v/>
      </c>
      <c r="BG490" s="96" t="str">
        <f aca="false">IF($BR490&lt;&gt;Constants!$B$8,"",IF($AK490,0,Constants!$B$15)+IF($AJ490,0,Constants!$B$16)+IF($AH490,0,Constants!$B$17))</f>
        <v/>
      </c>
      <c r="BH490" s="97" t="str">
        <f aca="false">IF($BR490&lt;&gt;Constants!$B$8,"",Constants!$B$20+SUM($BC490:$BG490))</f>
        <v/>
      </c>
      <c r="BI490" s="92" t="str">
        <f aca="false">IF($BR490&lt;&gt;Constants!$B$8,"",IF(OR($BP490&lt;$BH490,AND($BP490=$BH490,OR($BK490&lt;$BC490,AND($BK490=$BC490,OR($BL490&lt;$BD490,AND($BL490=$BD490,$AT490,$AL490,$AV490&lt;$AN490)))))),"-&gt;","&lt;-"))</f>
        <v/>
      </c>
      <c r="BJ490" s="91" t="str">
        <f aca="false">IF(ISBLANK($C490),"",AND($AT490,OR($AU490="",$AV490="",AND($AW490,$AX490=""))))</f>
        <v/>
      </c>
      <c r="BK490" s="93" t="str">
        <f aca="false">IF($BR490&lt;&gt;Constants!$B$8,"",IF($AT490,Constants!$B$21*$AV490+Constants!$B$22*IF($AW490,$AX490,Constants!$B$23),Constants!$B$24))</f>
        <v/>
      </c>
      <c r="BL490" s="96" t="str">
        <f aca="false">IF($BR490&lt;&gt;Constants!$B$8,"",Constants!$B$25*ABS($AD$9-IF($AT490,$AU490,0)))</f>
        <v/>
      </c>
      <c r="BM490" s="96" t="str">
        <f aca="false">IF($BR490&lt;&gt;Constants!$B$8,"",IF(AND($AT490,$AY490,$AW490),Constants!$B$27,0))</f>
        <v/>
      </c>
      <c r="BN490" s="96" t="str">
        <f aca="false">IF($BR490&lt;&gt;Constants!$B$8,"",IF($AT490,($AI490-Constants!$B$29)*Constants!$B$28,0))</f>
        <v/>
      </c>
      <c r="BO490" s="96" t="str">
        <f aca="false">IF($BR490&lt;&gt;Constants!$B$8,"",IF($AS490,0,Constants!$B$15)+IF($AR490,0,Constants!$B$16)+IF($AH490,0,Constants!$B$17))</f>
        <v/>
      </c>
      <c r="BP490" s="97" t="str">
        <f aca="false">IF($BR490&lt;&gt;Constants!$B$8,"",Constants!$B$20+SUM($BK490:$BO490))</f>
        <v/>
      </c>
      <c r="BQ490" s="92" t="str">
        <f aca="false">IF(ISBLANK($C490),"",IF(ISBLANK($D$7),$BQ$5,IF(NOT(ISNUMBER($D$7)),$BQ$6,"")))</f>
        <v/>
      </c>
      <c r="BR490" s="92" t="str">
        <f aca="false">IF(ISBLANK($C490),"",IF($BA490,Constants!$B$11,IF(COUNTA($E490:$AA490)=0,Constants!$B$10,IF(NOT($AG490),Constants!$B$9,IF(OR($BQ490&lt;&gt;"",$BB490,$BJ490),Constants!$B$12,Constants!$B$8)))))</f>
        <v/>
      </c>
      <c r="BS490" s="92" t="str">
        <f aca="false">IF(ISBLANK($C490),"",IF($BR490&lt;&gt;Constants!$B$8,$BR490,Constants!$B$13))</f>
        <v/>
      </c>
      <c r="BT490" s="96" t="str">
        <f aca="false">IF($BR490&lt;&gt;Constants!$B$8,"",IF($BI490="-&gt;",$BP490,$BH490))</f>
        <v/>
      </c>
      <c r="BU490" s="96" t="str">
        <f aca="false">IF($BR490&lt;&gt;Constants!$B$8,"",IF($AF490,0,Constants!$B$18))</f>
        <v/>
      </c>
      <c r="BV490" s="96" t="str">
        <f aca="false">IF($BR490&lt;&gt;Constants!$B$8,"",((Constants!$B$31-$AZ490)-Constants!$B$31)/Constants!$B$32)</f>
        <v/>
      </c>
      <c r="BW490" s="96" t="str">
        <f aca="false">IF(ISBLANK($C490),"",IF($BR490&lt;&gt;Constants!$B$8,$BR490,SUM($BT490:$BV490)))</f>
        <v/>
      </c>
      <c r="BX490" s="92" t="str">
        <f aca="false">IF(ISBLANK($C490),"",IF($BR490&lt;&gt;Constants!$B$8,$BR490,RANK($BW490,$BW$9:$BW$508,1)))</f>
        <v/>
      </c>
      <c r="BY490" s="96" t="str">
        <f aca="false">IF($BR490&lt;&gt;Constants!$B$8,"",IF($BI490="-&gt;",$BK490,$BC490))</f>
        <v/>
      </c>
      <c r="BZ490" s="92" t="str">
        <f aca="false">IF(ISBLANK($C490),"",IF($BR490&lt;&gt;Constants!$B$8,$BR490,IF(ISNUMBER($BY490),RANK($BY490,$BY$9:$BY$508,1),COUNT($BY$9:$BY$508)+1)))</f>
        <v/>
      </c>
      <c r="CA490" s="96" t="str">
        <f aca="false">IF($BR490&lt;&gt;Constants!$B$8,"",IF($BI490="-&gt;",$BL490,$BD490))</f>
        <v/>
      </c>
      <c r="CB490" s="92" t="str">
        <f aca="false">IF(ISBLANK($C490),"",IF($BR490&lt;&gt;Constants!$B$8,$BR490,IF(ISNUMBER($CA490),RANK($CA490,$CA$9:$CA$508,1),COUNT($CA$9:$CA$508)+1)))</f>
        <v/>
      </c>
      <c r="CC490" s="96" t="str">
        <f aca="false">IF($BR490&lt;&gt;Constants!$B$8,"",IF($BI490="-&gt;",IF($AT490,$AV490,""),IF($AL490,$AN490,"")))</f>
        <v/>
      </c>
      <c r="CD490" s="92" t="str">
        <f aca="false">IF(ISBLANK($C490),"",IF($BR490&lt;&gt;Constants!$B$8,$BR490,IF(ISNUMBER($CC490),RANK($CC490,$CC$9:$CC$508,1),COUNT($CC$9:$CC$508)+1)))</f>
        <v/>
      </c>
      <c r="CE490" s="96" t="str">
        <f aca="false">IF($BR490&lt;&gt;Constants!$B$8,"",IF(AND(NOT($AL490),NOT($AT490),$AJ490,$AK490,$AR490,$AS490),"",$AI490))</f>
        <v/>
      </c>
      <c r="CF490" s="92" t="str">
        <f aca="false">IF(ISBLANK($C490),"",IF($BR490&lt;&gt;Constants!$B$8,$BR490,IF(ISNUMBER($CE490),RANK($CE490,$CE$9:$CE$508,1),COUNT($CE$9:$CE$508)+1)))</f>
        <v/>
      </c>
      <c r="CG490" s="92" t="str">
        <f aca="false">IF(ISBLANK($C490),"",IF($BR490&lt;&gt;Constants!$B$8,$BR490,COUNTIFS($BX$9:$BX$508,"&lt;"&amp;$BX490)+COUNTIFS($BX$9:$BX$508,$BX490,$BZ$9:$BZ$508,"&lt;"&amp;$BZ490)+COUNTIFS($BX$9:$BX$508,$BX490,$BZ$9:$BZ$508,$BZ490,$CB$9:$CB$508,"&lt;"&amp;$CB490)+COUNTIFS($BX$9:$BX$508,$BX490,$BZ$9:$BZ$508,$BZ490,$CB$9:$CB$508,$CB490,$CD$9:$CD$508,"&lt;"&amp;$CD490)+COUNTIFS($BX$9:$BX$508,$BX490,$BZ$9:$BZ$508,$BZ490,$CB$9:$CB$508,$CB490,$CD$9:$CD$508,$CD490,$CF$9:$CF$508,"&lt;"&amp;$CF490)+1))</f>
        <v/>
      </c>
      <c r="CH490" s="92" t="str">
        <f aca="false">IF(ISBLANK($C490),"",IF($BR490&lt;&gt;Constants!$B$8,$BR490,$BX490-$CG490))</f>
        <v/>
      </c>
      <c r="CI490" s="98"/>
      <c r="CJ490" s="99"/>
      <c r="CK490" s="100" t="str">
        <f aca="false">IF(ISBLANK($C490),"",IF($BR490=Constants!$B$12,$BQ490,""))</f>
        <v/>
      </c>
      <c r="CL490" s="99" t="str">
        <f aca="false">IF(ISBLANK($C490),"",IF($BR490&lt;&gt;Constants!$B$8,"",IF($BI490="-&gt;",2,1)))</f>
        <v/>
      </c>
      <c r="CM490" s="101" t="str">
        <f aca="false">IF(ISBLANK($C490),"",IF($BR490&lt;&gt;Constants!$B$8,"",IF($BI490="-&gt;",$BK490,$BC490)))</f>
        <v/>
      </c>
      <c r="CN490" s="101" t="str">
        <f aca="false">IF(ISBLANK($C490),"",IF($BR490&lt;&gt;Constants!$B$8,"",IF($BI490="-&gt;",$BL490,$BD490)))</f>
        <v/>
      </c>
      <c r="CO490" s="101" t="str">
        <f aca="false">IF(ISBLANK($C490),"",IF($BR490&lt;&gt;Constants!$B$8,"",IF($BI490="-&gt;",$BM490+$BN490,$BE490+$BF490)+$BV490))</f>
        <v/>
      </c>
      <c r="CP490" s="101" t="str">
        <f aca="false">IF(ISBLANK($C490),"",IF($BR490&lt;&gt;Constants!$B$8,"",IF($BI490="-&gt;",$BO490,$BG490)+$BU490))</f>
        <v/>
      </c>
      <c r="CQ490" s="102" t="str">
        <f aca="false">IF(ISBLANK($C490),"",IF($BR490&lt;&gt;Constants!$B$8,$BR490,$BW490))</f>
        <v/>
      </c>
      <c r="CR490" s="103" t="str">
        <f aca="false">IF(ISBLANK($C490),"",$BS490)</f>
        <v/>
      </c>
      <c r="CS490" s="104" t="str">
        <f aca="false">IF(ISBLANK($C490),"",$CH490)</f>
        <v/>
      </c>
      <c r="CT490" s="104" t="str">
        <f aca="false">IF(ISBLANK($C490),"",$CG490)</f>
        <v/>
      </c>
      <c r="CU490" s="105" t="str">
        <f aca="false">IF(ISBLANK($C490),"",IFERROR(_xlfn.SWITCH($CT490,Constants!$B$11,COUNTA($C$9:$C$508)+2,Constants!$B$10,COUNTA($C$9:$C$508)+1,Constants!$B$9,COUNTA($C$9:$C$508)),$CT490))</f>
        <v/>
      </c>
      <c r="CV490" s="9"/>
      <c r="CW490" s="106" t="n">
        <f aca="false">IF(OR(ISNUMBER($CT490),$CT490=Constants!$B$11,$CT490=Constants!$B$9,$CT490=Constants!$B$10),1,0)</f>
        <v>0</v>
      </c>
      <c r="CX490" s="106" t="n">
        <v>482</v>
      </c>
      <c r="CY490" s="106" t="str">
        <f aca="false">IF(ISBLANK($C490),"",IF(ISNUMBER($CU490),$CU490+ROW($B490)/1000,""))</f>
        <v/>
      </c>
      <c r="CZ490" s="106" t="str">
        <f aca="false">IF(ISNUMBER($CY490),RANK($CY490,$CY$9:$CY$508,1),"")</f>
        <v/>
      </c>
      <c r="DA490" s="106" t="str">
        <f aca="false">IF(ISBLANK($C490),"",$B490)</f>
        <v/>
      </c>
      <c r="DB490" s="106" t="str">
        <f aca="false">IF(ISBLANK($C490),"",$C490)</f>
        <v/>
      </c>
      <c r="DC490" s="106" t="str">
        <f aca="false">IF(ISBLANK($C490),"",$D490)</f>
        <v/>
      </c>
      <c r="DD490" s="107" t="str">
        <f aca="false">$CR490</f>
        <v/>
      </c>
      <c r="DE490" s="108" t="str">
        <f aca="false">$CQ490</f>
        <v/>
      </c>
      <c r="DF490" s="106" t="str">
        <f aca="false">IF(ISBLANK($C490),"",$CT490)</f>
        <v/>
      </c>
      <c r="DG490" s="109" t="str">
        <f aca="false">IF($CX490&gt;$CW$8,"",VLOOKUP($CX490,$CZ$9:$DF$508,7,FALSE()))</f>
        <v/>
      </c>
      <c r="DH490" s="110" t="str">
        <f aca="false">IF($CX490&gt;$CW$8,"",VLOOKUP($CX490,$CZ$9:$DF$508,2,FALSE()))</f>
        <v/>
      </c>
      <c r="DI490" s="110" t="str">
        <f aca="false">IF($CX490&gt;$CW$8,"",VLOOKUP($CX490,$CZ$9:$DF$508,3,FALSE()))</f>
        <v/>
      </c>
      <c r="DJ490" s="110" t="str">
        <f aca="false">IF($CX490&gt;$CW$8,"",VLOOKUP($CX490,$CZ$9:$DF$508,4,FALSE()))</f>
        <v/>
      </c>
      <c r="DK490" s="110" t="str">
        <f aca="false">IF($CX490&gt;$CW$8,"",VLOOKUP($CX490,$CZ$9:$DF$508,5,FALSE()))</f>
        <v/>
      </c>
      <c r="DL490" s="111" t="str">
        <f aca="false">IF($CX490&gt;$CW$8,"",VLOOKUP($CX490,$CZ$9:$DF$508,6,FALSE()))</f>
        <v/>
      </c>
      <c r="DM490" s="75"/>
    </row>
    <row r="491" customFormat="false" ht="15.75" hidden="false" customHeight="false" outlineLevel="0" collapsed="false">
      <c r="A491" s="9"/>
      <c r="B491" s="77"/>
      <c r="C491" s="78"/>
      <c r="D491" s="167"/>
      <c r="E491" s="175"/>
      <c r="F491" s="169"/>
      <c r="G491" s="170"/>
      <c r="H491" s="170"/>
      <c r="I491" s="176"/>
      <c r="J491" s="173"/>
      <c r="K491" s="85"/>
      <c r="L491" s="86"/>
      <c r="M491" s="87"/>
      <c r="N491" s="173"/>
      <c r="O491" s="173"/>
      <c r="P491" s="175"/>
      <c r="Q491" s="173"/>
      <c r="R491" s="173"/>
      <c r="S491" s="85"/>
      <c r="T491" s="87"/>
      <c r="U491" s="87"/>
      <c r="V491" s="173"/>
      <c r="W491" s="173"/>
      <c r="X491" s="175"/>
      <c r="Y491" s="173"/>
      <c r="Z491" s="174"/>
      <c r="AA491" s="173"/>
      <c r="AB491" s="91"/>
      <c r="AC491" s="92"/>
      <c r="AD491" s="92"/>
      <c r="AE491" s="92"/>
      <c r="AF491" s="92" t="str">
        <f aca="false">IF(ISBLANK($C491),"",IF(E491=Constants!$B$3,TRUE(),IF(E491=Constants!$B$4,FALSE(),TRUE())))</f>
        <v/>
      </c>
      <c r="AG491" s="92" t="str">
        <f aca="false">IF(ISBLANK($C491),"",IF(F491=Constants!$B$3,TRUE(),IF(F491=Constants!$B$4,FALSE(),TRUE())))</f>
        <v/>
      </c>
      <c r="AH491" s="92" t="str">
        <f aca="false">IF(ISBLANK($C491),"",IF(G491=Constants!$B$3,TRUE(),IF(G491=Constants!$B$4,FALSE(),TRUE())))</f>
        <v/>
      </c>
      <c r="AI491" s="92" t="str">
        <f aca="false">IF(ISBLANK($C491),"",IF(AND(ISNUMBER(H491),H491&gt;=0),H491,Constants!$B$29))</f>
        <v/>
      </c>
      <c r="AJ491" s="92" t="str">
        <f aca="false">IF(ISBLANK($C491),"",IF(I491=Constants!$B$3,TRUE(),IF(I491=Constants!$B$4,FALSE(),TRUE())))</f>
        <v/>
      </c>
      <c r="AK491" s="92" t="str">
        <f aca="false">IF(ISBLANK($C491),"",IF(J491=Constants!$B$3,TRUE(),IF(J491=Constants!$B$4,FALSE(),TRUE())))</f>
        <v/>
      </c>
      <c r="AL491" s="92" t="str">
        <f aca="false">IF(ISBLANK($C491),"",IF(K491=Constants!$B$5,TRUE(),IF(K491=Constants!$B$6,FALSE(),COUNTA(L491:P491)&gt;0)))</f>
        <v/>
      </c>
      <c r="AM491" s="94" t="str">
        <f aca="false">IF(ISBLANK($C491),"",IF(ISNUMBER(L491),IF(L491&gt;=0,L491,""),""))</f>
        <v/>
      </c>
      <c r="AN491" s="93" t="str">
        <f aca="false">IF(ISBLANK($C491),"",IF(ISNUMBER(M491),IF(M491&gt;=0,M491,""),""))</f>
        <v/>
      </c>
      <c r="AO491" s="93" t="str">
        <f aca="false">IF(ISBLANK($C491),"",IF(N491=Constants!$B$3,TRUE(),IF(N491=Constants!$B$4,FALSE(),TRUE())))</f>
        <v/>
      </c>
      <c r="AP491" s="92" t="str">
        <f aca="false">IF(ISBLANK($C491),"",IF(ISNUMBER(O491),IF(O491&gt;=0,O491,""),""))</f>
        <v/>
      </c>
      <c r="AQ491" s="92" t="str">
        <f aca="false">IF(ISBLANK($C491),"",IF(P491=Constants!$B$3,TRUE(),IF(P491=Constants!$B$4,FALSE(),FALSE())))</f>
        <v/>
      </c>
      <c r="AR491" s="92" t="str">
        <f aca="false">IF(ISBLANK($C491),"",IF(Q491=Constants!$B$3,TRUE(),IF(Q491=Constants!$B$4,FALSE(),TRUE())))</f>
        <v/>
      </c>
      <c r="AS491" s="92" t="str">
        <f aca="false">IF(ISBLANK($C491),"",IF(R491=Constants!$B$3,TRUE(),IF(R491=Constants!$B$4,FALSE(),TRUE())))</f>
        <v/>
      </c>
      <c r="AT491" s="92" t="str">
        <f aca="false">IF(ISBLANK($C491),"",IF(S491=Constants!$B$5,TRUE(),IF(S491=Constants!$B$6,FALSE(),COUNTA(T491:X491)&gt;0)))</f>
        <v/>
      </c>
      <c r="AU491" s="94" t="str">
        <f aca="false">IF(ISBLANK($C491),"",IF(ISNUMBER(T491),IF(T491&gt;=0,T491,""),""))</f>
        <v/>
      </c>
      <c r="AV491" s="93" t="str">
        <f aca="false">IF(ISBLANK($C491),"",IF(ISNUMBER(U491),IF(U491&gt;=0,U491,""),""))</f>
        <v/>
      </c>
      <c r="AW491" s="93" t="str">
        <f aca="false">IF(ISBLANK($C491),"",IF(V491=Constants!$B$3,TRUE(),IF(V491=Constants!$B$4,FALSE(),TRUE())))</f>
        <v/>
      </c>
      <c r="AX491" s="92" t="str">
        <f aca="false">IF(ISBLANK($C491),"",IF(ISNUMBER(W491),IF(W491&gt;=0,W491,""),""))</f>
        <v/>
      </c>
      <c r="AY491" s="92" t="str">
        <f aca="false">IF(ISBLANK($C491),"",IF(X491=Constants!$B$3,TRUE(),IF(X491=Constants!$B$4,FALSE(),FALSE())))</f>
        <v/>
      </c>
      <c r="AZ491" s="92" t="str">
        <f aca="false">IF(ISBLANK($C491),"",MIN(Constants!$B$31,MAX(0,IF(ISNUMBER(Y491),Y491*60,0)+IF(ISNUMBER(Z491),Z491,0))))</f>
        <v/>
      </c>
      <c r="BA491" s="92" t="str">
        <f aca="false">IF(ISBLANK($C491),"",IF(AA491=Constants!$B$3,TRUE(),IF(AA491=Constants!$B$4,FALSE(),FALSE())))</f>
        <v/>
      </c>
      <c r="BB491" s="91" t="str">
        <f aca="false">IF(ISBLANK($C491),"",AND($AL491,OR($AM491="",$AN491="",AND($AO491,$AP491=""))))</f>
        <v/>
      </c>
      <c r="BC491" s="93" t="str">
        <f aca="false">IF($BR491&lt;&gt;Constants!$B$8,"",IF($AL491,Constants!$B$21*$AN491+Constants!$B$22*IF($AO491,$AP491,Constants!$B$23),Constants!$B$24))</f>
        <v/>
      </c>
      <c r="BD491" s="96" t="str">
        <f aca="false">IF($BR491&lt;&gt;Constants!$B$8,"",Constants!$B$25*ABS($AD$9-IF($AL491,$AM491,0)))</f>
        <v/>
      </c>
      <c r="BE491" s="96" t="str">
        <f aca="false">IF($BR491&lt;&gt;Constants!$B$8,"",IF(AND($AL491,$AQ491,$AO491),Constants!$B$27,0))</f>
        <v/>
      </c>
      <c r="BF491" s="96" t="str">
        <f aca="false">IF($BR491&lt;&gt;Constants!$B$8,"",IF($AL491,($AI491-Constants!$B$29)*Constants!$B$28,0))</f>
        <v/>
      </c>
      <c r="BG491" s="96" t="str">
        <f aca="false">IF($BR491&lt;&gt;Constants!$B$8,"",IF($AK491,0,Constants!$B$15)+IF($AJ491,0,Constants!$B$16)+IF($AH491,0,Constants!$B$17))</f>
        <v/>
      </c>
      <c r="BH491" s="97" t="str">
        <f aca="false">IF($BR491&lt;&gt;Constants!$B$8,"",Constants!$B$20+SUM($BC491:$BG491))</f>
        <v/>
      </c>
      <c r="BI491" s="92" t="str">
        <f aca="false">IF($BR491&lt;&gt;Constants!$B$8,"",IF(OR($BP491&lt;$BH491,AND($BP491=$BH491,OR($BK491&lt;$BC491,AND($BK491=$BC491,OR($BL491&lt;$BD491,AND($BL491=$BD491,$AT491,$AL491,$AV491&lt;$AN491)))))),"-&gt;","&lt;-"))</f>
        <v/>
      </c>
      <c r="BJ491" s="91" t="str">
        <f aca="false">IF(ISBLANK($C491),"",AND($AT491,OR($AU491="",$AV491="",AND($AW491,$AX491=""))))</f>
        <v/>
      </c>
      <c r="BK491" s="93" t="str">
        <f aca="false">IF($BR491&lt;&gt;Constants!$B$8,"",IF($AT491,Constants!$B$21*$AV491+Constants!$B$22*IF($AW491,$AX491,Constants!$B$23),Constants!$B$24))</f>
        <v/>
      </c>
      <c r="BL491" s="96" t="str">
        <f aca="false">IF($BR491&lt;&gt;Constants!$B$8,"",Constants!$B$25*ABS($AD$9-IF($AT491,$AU491,0)))</f>
        <v/>
      </c>
      <c r="BM491" s="96" t="str">
        <f aca="false">IF($BR491&lt;&gt;Constants!$B$8,"",IF(AND($AT491,$AY491,$AW491),Constants!$B$27,0))</f>
        <v/>
      </c>
      <c r="BN491" s="96" t="str">
        <f aca="false">IF($BR491&lt;&gt;Constants!$B$8,"",IF($AT491,($AI491-Constants!$B$29)*Constants!$B$28,0))</f>
        <v/>
      </c>
      <c r="BO491" s="96" t="str">
        <f aca="false">IF($BR491&lt;&gt;Constants!$B$8,"",IF($AS491,0,Constants!$B$15)+IF($AR491,0,Constants!$B$16)+IF($AH491,0,Constants!$B$17))</f>
        <v/>
      </c>
      <c r="BP491" s="97" t="str">
        <f aca="false">IF($BR491&lt;&gt;Constants!$B$8,"",Constants!$B$20+SUM($BK491:$BO491))</f>
        <v/>
      </c>
      <c r="BQ491" s="92" t="str">
        <f aca="false">IF(ISBLANK($C491),"",IF(ISBLANK($D$7),$BQ$5,IF(NOT(ISNUMBER($D$7)),$BQ$6,"")))</f>
        <v/>
      </c>
      <c r="BR491" s="92" t="str">
        <f aca="false">IF(ISBLANK($C491),"",IF($BA491,Constants!$B$11,IF(COUNTA($E491:$AA491)=0,Constants!$B$10,IF(NOT($AG491),Constants!$B$9,IF(OR($BQ491&lt;&gt;"",$BB491,$BJ491),Constants!$B$12,Constants!$B$8)))))</f>
        <v/>
      </c>
      <c r="BS491" s="92" t="str">
        <f aca="false">IF(ISBLANK($C491),"",IF($BR491&lt;&gt;Constants!$B$8,$BR491,Constants!$B$13))</f>
        <v/>
      </c>
      <c r="BT491" s="96" t="str">
        <f aca="false">IF($BR491&lt;&gt;Constants!$B$8,"",IF($BI491="-&gt;",$BP491,$BH491))</f>
        <v/>
      </c>
      <c r="BU491" s="96" t="str">
        <f aca="false">IF($BR491&lt;&gt;Constants!$B$8,"",IF($AF491,0,Constants!$B$18))</f>
        <v/>
      </c>
      <c r="BV491" s="96" t="str">
        <f aca="false">IF($BR491&lt;&gt;Constants!$B$8,"",((Constants!$B$31-$AZ491)-Constants!$B$31)/Constants!$B$32)</f>
        <v/>
      </c>
      <c r="BW491" s="96" t="str">
        <f aca="false">IF(ISBLANK($C491),"",IF($BR491&lt;&gt;Constants!$B$8,$BR491,SUM($BT491:$BV491)))</f>
        <v/>
      </c>
      <c r="BX491" s="92" t="str">
        <f aca="false">IF(ISBLANK($C491),"",IF($BR491&lt;&gt;Constants!$B$8,$BR491,RANK($BW491,$BW$9:$BW$508,1)))</f>
        <v/>
      </c>
      <c r="BY491" s="96" t="str">
        <f aca="false">IF($BR491&lt;&gt;Constants!$B$8,"",IF($BI491="-&gt;",$BK491,$BC491))</f>
        <v/>
      </c>
      <c r="BZ491" s="92" t="str">
        <f aca="false">IF(ISBLANK($C491),"",IF($BR491&lt;&gt;Constants!$B$8,$BR491,IF(ISNUMBER($BY491),RANK($BY491,$BY$9:$BY$508,1),COUNT($BY$9:$BY$508)+1)))</f>
        <v/>
      </c>
      <c r="CA491" s="96" t="str">
        <f aca="false">IF($BR491&lt;&gt;Constants!$B$8,"",IF($BI491="-&gt;",$BL491,$BD491))</f>
        <v/>
      </c>
      <c r="CB491" s="92" t="str">
        <f aca="false">IF(ISBLANK($C491),"",IF($BR491&lt;&gt;Constants!$B$8,$BR491,IF(ISNUMBER($CA491),RANK($CA491,$CA$9:$CA$508,1),COUNT($CA$9:$CA$508)+1)))</f>
        <v/>
      </c>
      <c r="CC491" s="96" t="str">
        <f aca="false">IF($BR491&lt;&gt;Constants!$B$8,"",IF($BI491="-&gt;",IF($AT491,$AV491,""),IF($AL491,$AN491,"")))</f>
        <v/>
      </c>
      <c r="CD491" s="92" t="str">
        <f aca="false">IF(ISBLANK($C491),"",IF($BR491&lt;&gt;Constants!$B$8,$BR491,IF(ISNUMBER($CC491),RANK($CC491,$CC$9:$CC$508,1),COUNT($CC$9:$CC$508)+1)))</f>
        <v/>
      </c>
      <c r="CE491" s="96" t="str">
        <f aca="false">IF($BR491&lt;&gt;Constants!$B$8,"",IF(AND(NOT($AL491),NOT($AT491),$AJ491,$AK491,$AR491,$AS491),"",$AI491))</f>
        <v/>
      </c>
      <c r="CF491" s="92" t="str">
        <f aca="false">IF(ISBLANK($C491),"",IF($BR491&lt;&gt;Constants!$B$8,$BR491,IF(ISNUMBER($CE491),RANK($CE491,$CE$9:$CE$508,1),COUNT($CE$9:$CE$508)+1)))</f>
        <v/>
      </c>
      <c r="CG491" s="92" t="str">
        <f aca="false">IF(ISBLANK($C491),"",IF($BR491&lt;&gt;Constants!$B$8,$BR491,COUNTIFS($BX$9:$BX$508,"&lt;"&amp;$BX491)+COUNTIFS($BX$9:$BX$508,$BX491,$BZ$9:$BZ$508,"&lt;"&amp;$BZ491)+COUNTIFS($BX$9:$BX$508,$BX491,$BZ$9:$BZ$508,$BZ491,$CB$9:$CB$508,"&lt;"&amp;$CB491)+COUNTIFS($BX$9:$BX$508,$BX491,$BZ$9:$BZ$508,$BZ491,$CB$9:$CB$508,$CB491,$CD$9:$CD$508,"&lt;"&amp;$CD491)+COUNTIFS($BX$9:$BX$508,$BX491,$BZ$9:$BZ$508,$BZ491,$CB$9:$CB$508,$CB491,$CD$9:$CD$508,$CD491,$CF$9:$CF$508,"&lt;"&amp;$CF491)+1))</f>
        <v/>
      </c>
      <c r="CH491" s="92" t="str">
        <f aca="false">IF(ISBLANK($C491),"",IF($BR491&lt;&gt;Constants!$B$8,$BR491,$BX491-$CG491))</f>
        <v/>
      </c>
      <c r="CI491" s="98"/>
      <c r="CJ491" s="99"/>
      <c r="CK491" s="100" t="str">
        <f aca="false">IF(ISBLANK($C491),"",IF($BR491=Constants!$B$12,$BQ491,""))</f>
        <v/>
      </c>
      <c r="CL491" s="99" t="str">
        <f aca="false">IF(ISBLANK($C491),"",IF($BR491&lt;&gt;Constants!$B$8,"",IF($BI491="-&gt;",2,1)))</f>
        <v/>
      </c>
      <c r="CM491" s="101" t="str">
        <f aca="false">IF(ISBLANK($C491),"",IF($BR491&lt;&gt;Constants!$B$8,"",IF($BI491="-&gt;",$BK491,$BC491)))</f>
        <v/>
      </c>
      <c r="CN491" s="101" t="str">
        <f aca="false">IF(ISBLANK($C491),"",IF($BR491&lt;&gt;Constants!$B$8,"",IF($BI491="-&gt;",$BL491,$BD491)))</f>
        <v/>
      </c>
      <c r="CO491" s="101" t="str">
        <f aca="false">IF(ISBLANK($C491),"",IF($BR491&lt;&gt;Constants!$B$8,"",IF($BI491="-&gt;",$BM491+$BN491,$BE491+$BF491)+$BV491))</f>
        <v/>
      </c>
      <c r="CP491" s="101" t="str">
        <f aca="false">IF(ISBLANK($C491),"",IF($BR491&lt;&gt;Constants!$B$8,"",IF($BI491="-&gt;",$BO491,$BG491)+$BU491))</f>
        <v/>
      </c>
      <c r="CQ491" s="102" t="str">
        <f aca="false">IF(ISBLANK($C491),"",IF($BR491&lt;&gt;Constants!$B$8,$BR491,$BW491))</f>
        <v/>
      </c>
      <c r="CR491" s="103" t="str">
        <f aca="false">IF(ISBLANK($C491),"",$BS491)</f>
        <v/>
      </c>
      <c r="CS491" s="104" t="str">
        <f aca="false">IF(ISBLANK($C491),"",$CH491)</f>
        <v/>
      </c>
      <c r="CT491" s="104" t="str">
        <f aca="false">IF(ISBLANK($C491),"",$CG491)</f>
        <v/>
      </c>
      <c r="CU491" s="105" t="str">
        <f aca="false">IF(ISBLANK($C491),"",IFERROR(_xlfn.SWITCH($CT491,Constants!$B$11,COUNTA($C$9:$C$508)+2,Constants!$B$10,COUNTA($C$9:$C$508)+1,Constants!$B$9,COUNTA($C$9:$C$508)),$CT491))</f>
        <v/>
      </c>
      <c r="CV491" s="9"/>
      <c r="CW491" s="106" t="n">
        <f aca="false">IF(OR(ISNUMBER($CT491),$CT491=Constants!$B$11,$CT491=Constants!$B$9,$CT491=Constants!$B$10),1,0)</f>
        <v>0</v>
      </c>
      <c r="CX491" s="106" t="n">
        <v>483</v>
      </c>
      <c r="CY491" s="106" t="str">
        <f aca="false">IF(ISBLANK($C491),"",IF(ISNUMBER($CU491),$CU491+ROW($B491)/1000,""))</f>
        <v/>
      </c>
      <c r="CZ491" s="106" t="str">
        <f aca="false">IF(ISNUMBER($CY491),RANK($CY491,$CY$9:$CY$508,1),"")</f>
        <v/>
      </c>
      <c r="DA491" s="106" t="str">
        <f aca="false">IF(ISBLANK($C491),"",$B491)</f>
        <v/>
      </c>
      <c r="DB491" s="106" t="str">
        <f aca="false">IF(ISBLANK($C491),"",$C491)</f>
        <v/>
      </c>
      <c r="DC491" s="106" t="str">
        <f aca="false">IF(ISBLANK($C491),"",$D491)</f>
        <v/>
      </c>
      <c r="DD491" s="107" t="str">
        <f aca="false">$CR491</f>
        <v/>
      </c>
      <c r="DE491" s="108" t="str">
        <f aca="false">$CQ491</f>
        <v/>
      </c>
      <c r="DF491" s="106" t="str">
        <f aca="false">IF(ISBLANK($C491),"",$CT491)</f>
        <v/>
      </c>
      <c r="DG491" s="109" t="str">
        <f aca="false">IF($CX491&gt;$CW$8,"",VLOOKUP($CX491,$CZ$9:$DF$508,7,FALSE()))</f>
        <v/>
      </c>
      <c r="DH491" s="110" t="str">
        <f aca="false">IF($CX491&gt;$CW$8,"",VLOOKUP($CX491,$CZ$9:$DF$508,2,FALSE()))</f>
        <v/>
      </c>
      <c r="DI491" s="110" t="str">
        <f aca="false">IF($CX491&gt;$CW$8,"",VLOOKUP($CX491,$CZ$9:$DF$508,3,FALSE()))</f>
        <v/>
      </c>
      <c r="DJ491" s="110" t="str">
        <f aca="false">IF($CX491&gt;$CW$8,"",VLOOKUP($CX491,$CZ$9:$DF$508,4,FALSE()))</f>
        <v/>
      </c>
      <c r="DK491" s="110" t="str">
        <f aca="false">IF($CX491&gt;$CW$8,"",VLOOKUP($CX491,$CZ$9:$DF$508,5,FALSE()))</f>
        <v/>
      </c>
      <c r="DL491" s="111" t="str">
        <f aca="false">IF($CX491&gt;$CW$8,"",VLOOKUP($CX491,$CZ$9:$DF$508,6,FALSE()))</f>
        <v/>
      </c>
      <c r="DM491" s="75"/>
    </row>
    <row r="492" customFormat="false" ht="15.75" hidden="false" customHeight="false" outlineLevel="0" collapsed="false">
      <c r="A492" s="9"/>
      <c r="B492" s="157"/>
      <c r="C492" s="158"/>
      <c r="D492" s="159"/>
      <c r="E492" s="177"/>
      <c r="F492" s="161"/>
      <c r="G492" s="162"/>
      <c r="H492" s="162"/>
      <c r="I492" s="178"/>
      <c r="J492" s="165"/>
      <c r="K492" s="126"/>
      <c r="L492" s="127"/>
      <c r="M492" s="128"/>
      <c r="N492" s="165"/>
      <c r="O492" s="165"/>
      <c r="P492" s="177"/>
      <c r="Q492" s="165"/>
      <c r="R492" s="165"/>
      <c r="S492" s="126"/>
      <c r="T492" s="128"/>
      <c r="U492" s="128"/>
      <c r="V492" s="165"/>
      <c r="W492" s="165"/>
      <c r="X492" s="177"/>
      <c r="Y492" s="165"/>
      <c r="Z492" s="166"/>
      <c r="AA492" s="165"/>
      <c r="AB492" s="132"/>
      <c r="AC492" s="133"/>
      <c r="AD492" s="133"/>
      <c r="AE492" s="133"/>
      <c r="AF492" s="133" t="str">
        <f aca="false">IF(ISBLANK($C492),"",IF(E492=Constants!$B$3,TRUE(),IF(E492=Constants!$B$4,FALSE(),TRUE())))</f>
        <v/>
      </c>
      <c r="AG492" s="133" t="str">
        <f aca="false">IF(ISBLANK($C492),"",IF(F492=Constants!$B$3,TRUE(),IF(F492=Constants!$B$4,FALSE(),TRUE())))</f>
        <v/>
      </c>
      <c r="AH492" s="133" t="str">
        <f aca="false">IF(ISBLANK($C492),"",IF(G492=Constants!$B$3,TRUE(),IF(G492=Constants!$B$4,FALSE(),TRUE())))</f>
        <v/>
      </c>
      <c r="AI492" s="133" t="str">
        <f aca="false">IF(ISBLANK($C492),"",IF(AND(ISNUMBER(H492),H492&gt;=0),H492,Constants!$B$29))</f>
        <v/>
      </c>
      <c r="AJ492" s="133" t="str">
        <f aca="false">IF(ISBLANK($C492),"",IF(I492=Constants!$B$3,TRUE(),IF(I492=Constants!$B$4,FALSE(),TRUE())))</f>
        <v/>
      </c>
      <c r="AK492" s="133" t="str">
        <f aca="false">IF(ISBLANK($C492),"",IF(J492=Constants!$B$3,TRUE(),IF(J492=Constants!$B$4,FALSE(),TRUE())))</f>
        <v/>
      </c>
      <c r="AL492" s="133" t="str">
        <f aca="false">IF(ISBLANK($C492),"",IF(K492=Constants!$B$5,TRUE(),IF(K492=Constants!$B$6,FALSE(),COUNTA(L492:P492)&gt;0)))</f>
        <v/>
      </c>
      <c r="AM492" s="134" t="str">
        <f aca="false">IF(ISBLANK($C492),"",IF(ISNUMBER(L492),IF(L492&gt;=0,L492,""),""))</f>
        <v/>
      </c>
      <c r="AN492" s="135" t="str">
        <f aca="false">IF(ISBLANK($C492),"",IF(ISNUMBER(M492),IF(M492&gt;=0,M492,""),""))</f>
        <v/>
      </c>
      <c r="AO492" s="135" t="str">
        <f aca="false">IF(ISBLANK($C492),"",IF(N492=Constants!$B$3,TRUE(),IF(N492=Constants!$B$4,FALSE(),TRUE())))</f>
        <v/>
      </c>
      <c r="AP492" s="133" t="str">
        <f aca="false">IF(ISBLANK($C492),"",IF(ISNUMBER(O492),IF(O492&gt;=0,O492,""),""))</f>
        <v/>
      </c>
      <c r="AQ492" s="133" t="str">
        <f aca="false">IF(ISBLANK($C492),"",IF(P492=Constants!$B$3,TRUE(),IF(P492=Constants!$B$4,FALSE(),FALSE())))</f>
        <v/>
      </c>
      <c r="AR492" s="133" t="str">
        <f aca="false">IF(ISBLANK($C492),"",IF(Q492=Constants!$B$3,TRUE(),IF(Q492=Constants!$B$4,FALSE(),TRUE())))</f>
        <v/>
      </c>
      <c r="AS492" s="133" t="str">
        <f aca="false">IF(ISBLANK($C492),"",IF(R492=Constants!$B$3,TRUE(),IF(R492=Constants!$B$4,FALSE(),TRUE())))</f>
        <v/>
      </c>
      <c r="AT492" s="133" t="str">
        <f aca="false">IF(ISBLANK($C492),"",IF(S492=Constants!$B$5,TRUE(),IF(S492=Constants!$B$6,FALSE(),COUNTA(T492:X492)&gt;0)))</f>
        <v/>
      </c>
      <c r="AU492" s="134" t="str">
        <f aca="false">IF(ISBLANK($C492),"",IF(ISNUMBER(T492),IF(T492&gt;=0,T492,""),""))</f>
        <v/>
      </c>
      <c r="AV492" s="135" t="str">
        <f aca="false">IF(ISBLANK($C492),"",IF(ISNUMBER(U492),IF(U492&gt;=0,U492,""),""))</f>
        <v/>
      </c>
      <c r="AW492" s="135" t="str">
        <f aca="false">IF(ISBLANK($C492),"",IF(V492=Constants!$B$3,TRUE(),IF(V492=Constants!$B$4,FALSE(),TRUE())))</f>
        <v/>
      </c>
      <c r="AX492" s="133" t="str">
        <f aca="false">IF(ISBLANK($C492),"",IF(ISNUMBER(W492),IF(W492&gt;=0,W492,""),""))</f>
        <v/>
      </c>
      <c r="AY492" s="133" t="str">
        <f aca="false">IF(ISBLANK($C492),"",IF(X492=Constants!$B$3,TRUE(),IF(X492=Constants!$B$4,FALSE(),FALSE())))</f>
        <v/>
      </c>
      <c r="AZ492" s="133" t="str">
        <f aca="false">IF(ISBLANK($C492),"",MIN(Constants!$B$31,MAX(0,IF(ISNUMBER(Y492),Y492*60,0)+IF(ISNUMBER(Z492),Z492,0))))</f>
        <v/>
      </c>
      <c r="BA492" s="133" t="str">
        <f aca="false">IF(ISBLANK($C492),"",IF(AA492=Constants!$B$3,TRUE(),IF(AA492=Constants!$B$4,FALSE(),FALSE())))</f>
        <v/>
      </c>
      <c r="BB492" s="132" t="str">
        <f aca="false">IF(ISBLANK($C492),"",AND($AL492,OR($AM492="",$AN492="",AND($AO492,$AP492=""))))</f>
        <v/>
      </c>
      <c r="BC492" s="135" t="str">
        <f aca="false">IF($BR492&lt;&gt;Constants!$B$8,"",IF($AL492,Constants!$B$21*$AN492+Constants!$B$22*IF($AO492,$AP492,Constants!$B$23),Constants!$B$24))</f>
        <v/>
      </c>
      <c r="BD492" s="136" t="str">
        <f aca="false">IF($BR492&lt;&gt;Constants!$B$8,"",Constants!$B$25*ABS($AD$9-IF($AL492,$AM492,0)))</f>
        <v/>
      </c>
      <c r="BE492" s="136" t="str">
        <f aca="false">IF($BR492&lt;&gt;Constants!$B$8,"",IF(AND($AL492,$AQ492,$AO492),Constants!$B$27,0))</f>
        <v/>
      </c>
      <c r="BF492" s="136" t="str">
        <f aca="false">IF($BR492&lt;&gt;Constants!$B$8,"",IF($AL492,($AI492-Constants!$B$29)*Constants!$B$28,0))</f>
        <v/>
      </c>
      <c r="BG492" s="136" t="str">
        <f aca="false">IF($BR492&lt;&gt;Constants!$B$8,"",IF($AK492,0,Constants!$B$15)+IF($AJ492,0,Constants!$B$16)+IF($AH492,0,Constants!$B$17))</f>
        <v/>
      </c>
      <c r="BH492" s="137" t="str">
        <f aca="false">IF($BR492&lt;&gt;Constants!$B$8,"",Constants!$B$20+SUM($BC492:$BG492))</f>
        <v/>
      </c>
      <c r="BI492" s="133" t="str">
        <f aca="false">IF($BR492&lt;&gt;Constants!$B$8,"",IF(OR($BP492&lt;$BH492,AND($BP492=$BH492,OR($BK492&lt;$BC492,AND($BK492=$BC492,OR($BL492&lt;$BD492,AND($BL492=$BD492,$AT492,$AL492,$AV492&lt;$AN492)))))),"-&gt;","&lt;-"))</f>
        <v/>
      </c>
      <c r="BJ492" s="132" t="str">
        <f aca="false">IF(ISBLANK($C492),"",AND($AT492,OR($AU492="",$AV492="",AND($AW492,$AX492=""))))</f>
        <v/>
      </c>
      <c r="BK492" s="135" t="str">
        <f aca="false">IF($BR492&lt;&gt;Constants!$B$8,"",IF($AT492,Constants!$B$21*$AV492+Constants!$B$22*IF($AW492,$AX492,Constants!$B$23),Constants!$B$24))</f>
        <v/>
      </c>
      <c r="BL492" s="136" t="str">
        <f aca="false">IF($BR492&lt;&gt;Constants!$B$8,"",Constants!$B$25*ABS($AD$9-IF($AT492,$AU492,0)))</f>
        <v/>
      </c>
      <c r="BM492" s="136" t="str">
        <f aca="false">IF($BR492&lt;&gt;Constants!$B$8,"",IF(AND($AT492,$AY492,$AW492),Constants!$B$27,0))</f>
        <v/>
      </c>
      <c r="BN492" s="136" t="str">
        <f aca="false">IF($BR492&lt;&gt;Constants!$B$8,"",IF($AT492,($AI492-Constants!$B$29)*Constants!$B$28,0))</f>
        <v/>
      </c>
      <c r="BO492" s="136" t="str">
        <f aca="false">IF($BR492&lt;&gt;Constants!$B$8,"",IF($AS492,0,Constants!$B$15)+IF($AR492,0,Constants!$B$16)+IF($AH492,0,Constants!$B$17))</f>
        <v/>
      </c>
      <c r="BP492" s="137" t="str">
        <f aca="false">IF($BR492&lt;&gt;Constants!$B$8,"",Constants!$B$20+SUM($BK492:$BO492))</f>
        <v/>
      </c>
      <c r="BQ492" s="133" t="str">
        <f aca="false">IF(ISBLANK($C492),"",IF(ISBLANK($D$7),$BQ$5,IF(NOT(ISNUMBER($D$7)),$BQ$6,"")))</f>
        <v/>
      </c>
      <c r="BR492" s="133" t="str">
        <f aca="false">IF(ISBLANK($C492),"",IF($BA492,Constants!$B$11,IF(COUNTA($E492:$AA492)=0,Constants!$B$10,IF(NOT($AG492),Constants!$B$9,IF(OR($BQ492&lt;&gt;"",$BB492,$BJ492),Constants!$B$12,Constants!$B$8)))))</f>
        <v/>
      </c>
      <c r="BS492" s="133" t="str">
        <f aca="false">IF(ISBLANK($C492),"",IF($BR492&lt;&gt;Constants!$B$8,$BR492,Constants!$B$13))</f>
        <v/>
      </c>
      <c r="BT492" s="136" t="str">
        <f aca="false">IF($BR492&lt;&gt;Constants!$B$8,"",IF($BI492="-&gt;",$BP492,$BH492))</f>
        <v/>
      </c>
      <c r="BU492" s="136" t="str">
        <f aca="false">IF($BR492&lt;&gt;Constants!$B$8,"",IF($AF492,0,Constants!$B$18))</f>
        <v/>
      </c>
      <c r="BV492" s="136" t="str">
        <f aca="false">IF($BR492&lt;&gt;Constants!$B$8,"",((Constants!$B$31-$AZ492)-Constants!$B$31)/Constants!$B$32)</f>
        <v/>
      </c>
      <c r="BW492" s="136" t="str">
        <f aca="false">IF(ISBLANK($C492),"",IF($BR492&lt;&gt;Constants!$B$8,$BR492,SUM($BT492:$BV492)))</f>
        <v/>
      </c>
      <c r="BX492" s="133" t="str">
        <f aca="false">IF(ISBLANK($C492),"",IF($BR492&lt;&gt;Constants!$B$8,$BR492,RANK($BW492,$BW$9:$BW$508,1)))</f>
        <v/>
      </c>
      <c r="BY492" s="136" t="str">
        <f aca="false">IF($BR492&lt;&gt;Constants!$B$8,"",IF($BI492="-&gt;",$BK492,$BC492))</f>
        <v/>
      </c>
      <c r="BZ492" s="133" t="str">
        <f aca="false">IF(ISBLANK($C492),"",IF($BR492&lt;&gt;Constants!$B$8,$BR492,IF(ISNUMBER($BY492),RANK($BY492,$BY$9:$BY$508,1),COUNT($BY$9:$BY$508)+1)))</f>
        <v/>
      </c>
      <c r="CA492" s="136" t="str">
        <f aca="false">IF($BR492&lt;&gt;Constants!$B$8,"",IF($BI492="-&gt;",$BL492,$BD492))</f>
        <v/>
      </c>
      <c r="CB492" s="133" t="str">
        <f aca="false">IF(ISBLANK($C492),"",IF($BR492&lt;&gt;Constants!$B$8,$BR492,IF(ISNUMBER($CA492),RANK($CA492,$CA$9:$CA$508,1),COUNT($CA$9:$CA$508)+1)))</f>
        <v/>
      </c>
      <c r="CC492" s="136" t="str">
        <f aca="false">IF($BR492&lt;&gt;Constants!$B$8,"",IF($BI492="-&gt;",IF($AT492,$AV492,""),IF($AL492,$AN492,"")))</f>
        <v/>
      </c>
      <c r="CD492" s="133" t="str">
        <f aca="false">IF(ISBLANK($C492),"",IF($BR492&lt;&gt;Constants!$B$8,$BR492,IF(ISNUMBER($CC492),RANK($CC492,$CC$9:$CC$508,1),COUNT($CC$9:$CC$508)+1)))</f>
        <v/>
      </c>
      <c r="CE492" s="136" t="str">
        <f aca="false">IF($BR492&lt;&gt;Constants!$B$8,"",IF(AND(NOT($AL492),NOT($AT492),$AJ492,$AK492,$AR492,$AS492),"",$AI492))</f>
        <v/>
      </c>
      <c r="CF492" s="133" t="str">
        <f aca="false">IF(ISBLANK($C492),"",IF($BR492&lt;&gt;Constants!$B$8,$BR492,IF(ISNUMBER($CE492),RANK($CE492,$CE$9:$CE$508,1),COUNT($CE$9:$CE$508)+1)))</f>
        <v/>
      </c>
      <c r="CG492" s="133" t="str">
        <f aca="false">IF(ISBLANK($C492),"",IF($BR492&lt;&gt;Constants!$B$8,$BR492,COUNTIFS($BX$9:$BX$508,"&lt;"&amp;$BX492)+COUNTIFS($BX$9:$BX$508,$BX492,$BZ$9:$BZ$508,"&lt;"&amp;$BZ492)+COUNTIFS($BX$9:$BX$508,$BX492,$BZ$9:$BZ$508,$BZ492,$CB$9:$CB$508,"&lt;"&amp;$CB492)+COUNTIFS($BX$9:$BX$508,$BX492,$BZ$9:$BZ$508,$BZ492,$CB$9:$CB$508,$CB492,$CD$9:$CD$508,"&lt;"&amp;$CD492)+COUNTIFS($BX$9:$BX$508,$BX492,$BZ$9:$BZ$508,$BZ492,$CB$9:$CB$508,$CB492,$CD$9:$CD$508,$CD492,$CF$9:$CF$508,"&lt;"&amp;$CF492)+1))</f>
        <v/>
      </c>
      <c r="CH492" s="133" t="str">
        <f aca="false">IF(ISBLANK($C492),"",IF($BR492&lt;&gt;Constants!$B$8,$BR492,$BX492-$CG492))</f>
        <v/>
      </c>
      <c r="CI492" s="138"/>
      <c r="CJ492" s="139"/>
      <c r="CK492" s="140" t="str">
        <f aca="false">IF(ISBLANK($C492),"",IF($BR492=Constants!$B$12,$BQ492,""))</f>
        <v/>
      </c>
      <c r="CL492" s="139" t="str">
        <f aca="false">IF(ISBLANK($C492),"",IF($BR492&lt;&gt;Constants!$B$8,"",IF($BI492="-&gt;",2,1)))</f>
        <v/>
      </c>
      <c r="CM492" s="141" t="str">
        <f aca="false">IF(ISBLANK($C492),"",IF($BR492&lt;&gt;Constants!$B$8,"",IF($BI492="-&gt;",$BK492,$BC492)))</f>
        <v/>
      </c>
      <c r="CN492" s="141" t="str">
        <f aca="false">IF(ISBLANK($C492),"",IF($BR492&lt;&gt;Constants!$B$8,"",IF($BI492="-&gt;",$BL492,$BD492)))</f>
        <v/>
      </c>
      <c r="CO492" s="141" t="str">
        <f aca="false">IF(ISBLANK($C492),"",IF($BR492&lt;&gt;Constants!$B$8,"",IF($BI492="-&gt;",$BM492+$BN492,$BE492+$BF492)+$BV492))</f>
        <v/>
      </c>
      <c r="CP492" s="141" t="str">
        <f aca="false">IF(ISBLANK($C492),"",IF($BR492&lt;&gt;Constants!$B$8,"",IF($BI492="-&gt;",$BO492,$BG492)+$BU492))</f>
        <v/>
      </c>
      <c r="CQ492" s="142" t="str">
        <f aca="false">IF(ISBLANK($C492),"",IF($BR492&lt;&gt;Constants!$B$8,$BR492,$BW492))</f>
        <v/>
      </c>
      <c r="CR492" s="143" t="str">
        <f aca="false">IF(ISBLANK($C492),"",$BS492)</f>
        <v/>
      </c>
      <c r="CS492" s="144" t="str">
        <f aca="false">IF(ISBLANK($C492),"",$CH492)</f>
        <v/>
      </c>
      <c r="CT492" s="144" t="str">
        <f aca="false">IF(ISBLANK($C492),"",$CG492)</f>
        <v/>
      </c>
      <c r="CU492" s="145" t="str">
        <f aca="false">IF(ISBLANK($C492),"",IFERROR(_xlfn.SWITCH($CT492,Constants!$B$11,COUNTA($C$9:$C$508)+2,Constants!$B$10,COUNTA($C$9:$C$508)+1,Constants!$B$9,COUNTA($C$9:$C$508)),$CT492))</f>
        <v/>
      </c>
      <c r="CV492" s="9"/>
      <c r="CW492" s="146" t="n">
        <f aca="false">IF(OR(ISNUMBER($CT492),$CT492=Constants!$B$11,$CT492=Constants!$B$9,$CT492=Constants!$B$10),1,0)</f>
        <v>0</v>
      </c>
      <c r="CX492" s="146" t="n">
        <v>484</v>
      </c>
      <c r="CY492" s="146" t="str">
        <f aca="false">IF(ISBLANK($C492),"",IF(ISNUMBER($CU492),$CU492+ROW($B492)/1000,""))</f>
        <v/>
      </c>
      <c r="CZ492" s="146" t="str">
        <f aca="false">IF(ISNUMBER($CY492),RANK($CY492,$CY$9:$CY$508,1),"")</f>
        <v/>
      </c>
      <c r="DA492" s="146" t="str">
        <f aca="false">IF(ISBLANK($C492),"",$B492)</f>
        <v/>
      </c>
      <c r="DB492" s="146" t="str">
        <f aca="false">IF(ISBLANK($C492),"",$C492)</f>
        <v/>
      </c>
      <c r="DC492" s="146" t="str">
        <f aca="false">IF(ISBLANK($C492),"",$D492)</f>
        <v/>
      </c>
      <c r="DD492" s="147" t="str">
        <f aca="false">$CR492</f>
        <v/>
      </c>
      <c r="DE492" s="148" t="str">
        <f aca="false">$CQ492</f>
        <v/>
      </c>
      <c r="DF492" s="146" t="str">
        <f aca="false">IF(ISBLANK($C492),"",$CT492)</f>
        <v/>
      </c>
      <c r="DG492" s="149" t="str">
        <f aca="false">IF($CX492&gt;$CW$8,"",VLOOKUP($CX492,$CZ$9:$DF$508,7,FALSE()))</f>
        <v/>
      </c>
      <c r="DH492" s="150" t="str">
        <f aca="false">IF($CX492&gt;$CW$8,"",VLOOKUP($CX492,$CZ$9:$DF$508,2,FALSE()))</f>
        <v/>
      </c>
      <c r="DI492" s="150" t="str">
        <f aca="false">IF($CX492&gt;$CW$8,"",VLOOKUP($CX492,$CZ$9:$DF$508,3,FALSE()))</f>
        <v/>
      </c>
      <c r="DJ492" s="150" t="str">
        <f aca="false">IF($CX492&gt;$CW$8,"",VLOOKUP($CX492,$CZ$9:$DF$508,4,FALSE()))</f>
        <v/>
      </c>
      <c r="DK492" s="150" t="str">
        <f aca="false">IF($CX492&gt;$CW$8,"",VLOOKUP($CX492,$CZ$9:$DF$508,5,FALSE()))</f>
        <v/>
      </c>
      <c r="DL492" s="151" t="str">
        <f aca="false">IF($CX492&gt;$CW$8,"",VLOOKUP($CX492,$CZ$9:$DF$508,6,FALSE()))</f>
        <v/>
      </c>
      <c r="DM492" s="75"/>
    </row>
    <row r="493" customFormat="false" ht="15.75" hidden="false" customHeight="false" outlineLevel="0" collapsed="false">
      <c r="A493" s="9"/>
      <c r="B493" s="157"/>
      <c r="C493" s="158"/>
      <c r="D493" s="159"/>
      <c r="E493" s="177"/>
      <c r="F493" s="161"/>
      <c r="G493" s="162"/>
      <c r="H493" s="162"/>
      <c r="I493" s="178"/>
      <c r="J493" s="165"/>
      <c r="K493" s="126"/>
      <c r="L493" s="127"/>
      <c r="M493" s="128"/>
      <c r="N493" s="165"/>
      <c r="O493" s="165"/>
      <c r="P493" s="177"/>
      <c r="Q493" s="165"/>
      <c r="R493" s="165"/>
      <c r="S493" s="126"/>
      <c r="T493" s="128"/>
      <c r="U493" s="128"/>
      <c r="V493" s="165"/>
      <c r="W493" s="165"/>
      <c r="X493" s="177"/>
      <c r="Y493" s="165"/>
      <c r="Z493" s="166"/>
      <c r="AA493" s="165"/>
      <c r="AB493" s="132"/>
      <c r="AC493" s="133"/>
      <c r="AD493" s="133"/>
      <c r="AE493" s="133"/>
      <c r="AF493" s="133" t="str">
        <f aca="false">IF(ISBLANK($C493),"",IF(E493=Constants!$B$3,TRUE(),IF(E493=Constants!$B$4,FALSE(),TRUE())))</f>
        <v/>
      </c>
      <c r="AG493" s="133" t="str">
        <f aca="false">IF(ISBLANK($C493),"",IF(F493=Constants!$B$3,TRUE(),IF(F493=Constants!$B$4,FALSE(),TRUE())))</f>
        <v/>
      </c>
      <c r="AH493" s="133" t="str">
        <f aca="false">IF(ISBLANK($C493),"",IF(G493=Constants!$B$3,TRUE(),IF(G493=Constants!$B$4,FALSE(),TRUE())))</f>
        <v/>
      </c>
      <c r="AI493" s="133" t="str">
        <f aca="false">IF(ISBLANK($C493),"",IF(AND(ISNUMBER(H493),H493&gt;=0),H493,Constants!$B$29))</f>
        <v/>
      </c>
      <c r="AJ493" s="133" t="str">
        <f aca="false">IF(ISBLANK($C493),"",IF(I493=Constants!$B$3,TRUE(),IF(I493=Constants!$B$4,FALSE(),TRUE())))</f>
        <v/>
      </c>
      <c r="AK493" s="133" t="str">
        <f aca="false">IF(ISBLANK($C493),"",IF(J493=Constants!$B$3,TRUE(),IF(J493=Constants!$B$4,FALSE(),TRUE())))</f>
        <v/>
      </c>
      <c r="AL493" s="133" t="str">
        <f aca="false">IF(ISBLANK($C493),"",IF(K493=Constants!$B$5,TRUE(),IF(K493=Constants!$B$6,FALSE(),COUNTA(L493:P493)&gt;0)))</f>
        <v/>
      </c>
      <c r="AM493" s="134" t="str">
        <f aca="false">IF(ISBLANK($C493),"",IF(ISNUMBER(L493),IF(L493&gt;=0,L493,""),""))</f>
        <v/>
      </c>
      <c r="AN493" s="135" t="str">
        <f aca="false">IF(ISBLANK($C493),"",IF(ISNUMBER(M493),IF(M493&gt;=0,M493,""),""))</f>
        <v/>
      </c>
      <c r="AO493" s="135" t="str">
        <f aca="false">IF(ISBLANK($C493),"",IF(N493=Constants!$B$3,TRUE(),IF(N493=Constants!$B$4,FALSE(),TRUE())))</f>
        <v/>
      </c>
      <c r="AP493" s="133" t="str">
        <f aca="false">IF(ISBLANK($C493),"",IF(ISNUMBER(O493),IF(O493&gt;=0,O493,""),""))</f>
        <v/>
      </c>
      <c r="AQ493" s="133" t="str">
        <f aca="false">IF(ISBLANK($C493),"",IF(P493=Constants!$B$3,TRUE(),IF(P493=Constants!$B$4,FALSE(),FALSE())))</f>
        <v/>
      </c>
      <c r="AR493" s="133" t="str">
        <f aca="false">IF(ISBLANK($C493),"",IF(Q493=Constants!$B$3,TRUE(),IF(Q493=Constants!$B$4,FALSE(),TRUE())))</f>
        <v/>
      </c>
      <c r="AS493" s="133" t="str">
        <f aca="false">IF(ISBLANK($C493),"",IF(R493=Constants!$B$3,TRUE(),IF(R493=Constants!$B$4,FALSE(),TRUE())))</f>
        <v/>
      </c>
      <c r="AT493" s="133" t="str">
        <f aca="false">IF(ISBLANK($C493),"",IF(S493=Constants!$B$5,TRUE(),IF(S493=Constants!$B$6,FALSE(),COUNTA(T493:X493)&gt;0)))</f>
        <v/>
      </c>
      <c r="AU493" s="134" t="str">
        <f aca="false">IF(ISBLANK($C493),"",IF(ISNUMBER(T493),IF(T493&gt;=0,T493,""),""))</f>
        <v/>
      </c>
      <c r="AV493" s="135" t="str">
        <f aca="false">IF(ISBLANK($C493),"",IF(ISNUMBER(U493),IF(U493&gt;=0,U493,""),""))</f>
        <v/>
      </c>
      <c r="AW493" s="135" t="str">
        <f aca="false">IF(ISBLANK($C493),"",IF(V493=Constants!$B$3,TRUE(),IF(V493=Constants!$B$4,FALSE(),TRUE())))</f>
        <v/>
      </c>
      <c r="AX493" s="133" t="str">
        <f aca="false">IF(ISBLANK($C493),"",IF(ISNUMBER(W493),IF(W493&gt;=0,W493,""),""))</f>
        <v/>
      </c>
      <c r="AY493" s="133" t="str">
        <f aca="false">IF(ISBLANK($C493),"",IF(X493=Constants!$B$3,TRUE(),IF(X493=Constants!$B$4,FALSE(),FALSE())))</f>
        <v/>
      </c>
      <c r="AZ493" s="133" t="str">
        <f aca="false">IF(ISBLANK($C493),"",MIN(Constants!$B$31,MAX(0,IF(ISNUMBER(Y493),Y493*60,0)+IF(ISNUMBER(Z493),Z493,0))))</f>
        <v/>
      </c>
      <c r="BA493" s="133" t="str">
        <f aca="false">IF(ISBLANK($C493),"",IF(AA493=Constants!$B$3,TRUE(),IF(AA493=Constants!$B$4,FALSE(),FALSE())))</f>
        <v/>
      </c>
      <c r="BB493" s="132" t="str">
        <f aca="false">IF(ISBLANK($C493),"",AND($AL493,OR($AM493="",$AN493="",AND($AO493,$AP493=""))))</f>
        <v/>
      </c>
      <c r="BC493" s="135" t="str">
        <f aca="false">IF($BR493&lt;&gt;Constants!$B$8,"",IF($AL493,Constants!$B$21*$AN493+Constants!$B$22*IF($AO493,$AP493,Constants!$B$23),Constants!$B$24))</f>
        <v/>
      </c>
      <c r="BD493" s="136" t="str">
        <f aca="false">IF($BR493&lt;&gt;Constants!$B$8,"",Constants!$B$25*ABS($AD$9-IF($AL493,$AM493,0)))</f>
        <v/>
      </c>
      <c r="BE493" s="136" t="str">
        <f aca="false">IF($BR493&lt;&gt;Constants!$B$8,"",IF(AND($AL493,$AQ493,$AO493),Constants!$B$27,0))</f>
        <v/>
      </c>
      <c r="BF493" s="136" t="str">
        <f aca="false">IF($BR493&lt;&gt;Constants!$B$8,"",IF($AL493,($AI493-Constants!$B$29)*Constants!$B$28,0))</f>
        <v/>
      </c>
      <c r="BG493" s="136" t="str">
        <f aca="false">IF($BR493&lt;&gt;Constants!$B$8,"",IF($AK493,0,Constants!$B$15)+IF($AJ493,0,Constants!$B$16)+IF($AH493,0,Constants!$B$17))</f>
        <v/>
      </c>
      <c r="BH493" s="137" t="str">
        <f aca="false">IF($BR493&lt;&gt;Constants!$B$8,"",Constants!$B$20+SUM($BC493:$BG493))</f>
        <v/>
      </c>
      <c r="BI493" s="133" t="str">
        <f aca="false">IF($BR493&lt;&gt;Constants!$B$8,"",IF(OR($BP493&lt;$BH493,AND($BP493=$BH493,OR($BK493&lt;$BC493,AND($BK493=$BC493,OR($BL493&lt;$BD493,AND($BL493=$BD493,$AT493,$AL493,$AV493&lt;$AN493)))))),"-&gt;","&lt;-"))</f>
        <v/>
      </c>
      <c r="BJ493" s="132" t="str">
        <f aca="false">IF(ISBLANK($C493),"",AND($AT493,OR($AU493="",$AV493="",AND($AW493,$AX493=""))))</f>
        <v/>
      </c>
      <c r="BK493" s="135" t="str">
        <f aca="false">IF($BR493&lt;&gt;Constants!$B$8,"",IF($AT493,Constants!$B$21*$AV493+Constants!$B$22*IF($AW493,$AX493,Constants!$B$23),Constants!$B$24))</f>
        <v/>
      </c>
      <c r="BL493" s="136" t="str">
        <f aca="false">IF($BR493&lt;&gt;Constants!$B$8,"",Constants!$B$25*ABS($AD$9-IF($AT493,$AU493,0)))</f>
        <v/>
      </c>
      <c r="BM493" s="136" t="str">
        <f aca="false">IF($BR493&lt;&gt;Constants!$B$8,"",IF(AND($AT493,$AY493,$AW493),Constants!$B$27,0))</f>
        <v/>
      </c>
      <c r="BN493" s="136" t="str">
        <f aca="false">IF($BR493&lt;&gt;Constants!$B$8,"",IF($AT493,($AI493-Constants!$B$29)*Constants!$B$28,0))</f>
        <v/>
      </c>
      <c r="BO493" s="136" t="str">
        <f aca="false">IF($BR493&lt;&gt;Constants!$B$8,"",IF($AS493,0,Constants!$B$15)+IF($AR493,0,Constants!$B$16)+IF($AH493,0,Constants!$B$17))</f>
        <v/>
      </c>
      <c r="BP493" s="137" t="str">
        <f aca="false">IF($BR493&lt;&gt;Constants!$B$8,"",Constants!$B$20+SUM($BK493:$BO493))</f>
        <v/>
      </c>
      <c r="BQ493" s="133" t="str">
        <f aca="false">IF(ISBLANK($C493),"",IF(ISBLANK($D$7),$BQ$5,IF(NOT(ISNUMBER($D$7)),$BQ$6,"")))</f>
        <v/>
      </c>
      <c r="BR493" s="133" t="str">
        <f aca="false">IF(ISBLANK($C493),"",IF($BA493,Constants!$B$11,IF(COUNTA($E493:$AA493)=0,Constants!$B$10,IF(NOT($AG493),Constants!$B$9,IF(OR($BQ493&lt;&gt;"",$BB493,$BJ493),Constants!$B$12,Constants!$B$8)))))</f>
        <v/>
      </c>
      <c r="BS493" s="133" t="str">
        <f aca="false">IF(ISBLANK($C493),"",IF($BR493&lt;&gt;Constants!$B$8,$BR493,Constants!$B$13))</f>
        <v/>
      </c>
      <c r="BT493" s="136" t="str">
        <f aca="false">IF($BR493&lt;&gt;Constants!$B$8,"",IF($BI493="-&gt;",$BP493,$BH493))</f>
        <v/>
      </c>
      <c r="BU493" s="136" t="str">
        <f aca="false">IF($BR493&lt;&gt;Constants!$B$8,"",IF($AF493,0,Constants!$B$18))</f>
        <v/>
      </c>
      <c r="BV493" s="136" t="str">
        <f aca="false">IF($BR493&lt;&gt;Constants!$B$8,"",((Constants!$B$31-$AZ493)-Constants!$B$31)/Constants!$B$32)</f>
        <v/>
      </c>
      <c r="BW493" s="136" t="str">
        <f aca="false">IF(ISBLANK($C493),"",IF($BR493&lt;&gt;Constants!$B$8,$BR493,SUM($BT493:$BV493)))</f>
        <v/>
      </c>
      <c r="BX493" s="133" t="str">
        <f aca="false">IF(ISBLANK($C493),"",IF($BR493&lt;&gt;Constants!$B$8,$BR493,RANK($BW493,$BW$9:$BW$508,1)))</f>
        <v/>
      </c>
      <c r="BY493" s="136" t="str">
        <f aca="false">IF($BR493&lt;&gt;Constants!$B$8,"",IF($BI493="-&gt;",$BK493,$BC493))</f>
        <v/>
      </c>
      <c r="BZ493" s="133" t="str">
        <f aca="false">IF(ISBLANK($C493),"",IF($BR493&lt;&gt;Constants!$B$8,$BR493,IF(ISNUMBER($BY493),RANK($BY493,$BY$9:$BY$508,1),COUNT($BY$9:$BY$508)+1)))</f>
        <v/>
      </c>
      <c r="CA493" s="136" t="str">
        <f aca="false">IF($BR493&lt;&gt;Constants!$B$8,"",IF($BI493="-&gt;",$BL493,$BD493))</f>
        <v/>
      </c>
      <c r="CB493" s="133" t="str">
        <f aca="false">IF(ISBLANK($C493),"",IF($BR493&lt;&gt;Constants!$B$8,$BR493,IF(ISNUMBER($CA493),RANK($CA493,$CA$9:$CA$508,1),COUNT($CA$9:$CA$508)+1)))</f>
        <v/>
      </c>
      <c r="CC493" s="136" t="str">
        <f aca="false">IF($BR493&lt;&gt;Constants!$B$8,"",IF($BI493="-&gt;",IF($AT493,$AV493,""),IF($AL493,$AN493,"")))</f>
        <v/>
      </c>
      <c r="CD493" s="133" t="str">
        <f aca="false">IF(ISBLANK($C493),"",IF($BR493&lt;&gt;Constants!$B$8,$BR493,IF(ISNUMBER($CC493),RANK($CC493,$CC$9:$CC$508,1),COUNT($CC$9:$CC$508)+1)))</f>
        <v/>
      </c>
      <c r="CE493" s="136" t="str">
        <f aca="false">IF($BR493&lt;&gt;Constants!$B$8,"",IF(AND(NOT($AL493),NOT($AT493),$AJ493,$AK493,$AR493,$AS493),"",$AI493))</f>
        <v/>
      </c>
      <c r="CF493" s="133" t="str">
        <f aca="false">IF(ISBLANK($C493),"",IF($BR493&lt;&gt;Constants!$B$8,$BR493,IF(ISNUMBER($CE493),RANK($CE493,$CE$9:$CE$508,1),COUNT($CE$9:$CE$508)+1)))</f>
        <v/>
      </c>
      <c r="CG493" s="133" t="str">
        <f aca="false">IF(ISBLANK($C493),"",IF($BR493&lt;&gt;Constants!$B$8,$BR493,COUNTIFS($BX$9:$BX$508,"&lt;"&amp;$BX493)+COUNTIFS($BX$9:$BX$508,$BX493,$BZ$9:$BZ$508,"&lt;"&amp;$BZ493)+COUNTIFS($BX$9:$BX$508,$BX493,$BZ$9:$BZ$508,$BZ493,$CB$9:$CB$508,"&lt;"&amp;$CB493)+COUNTIFS($BX$9:$BX$508,$BX493,$BZ$9:$BZ$508,$BZ493,$CB$9:$CB$508,$CB493,$CD$9:$CD$508,"&lt;"&amp;$CD493)+COUNTIFS($BX$9:$BX$508,$BX493,$BZ$9:$BZ$508,$BZ493,$CB$9:$CB$508,$CB493,$CD$9:$CD$508,$CD493,$CF$9:$CF$508,"&lt;"&amp;$CF493)+1))</f>
        <v/>
      </c>
      <c r="CH493" s="133" t="str">
        <f aca="false">IF(ISBLANK($C493),"",IF($BR493&lt;&gt;Constants!$B$8,$BR493,$BX493-$CG493))</f>
        <v/>
      </c>
      <c r="CI493" s="138"/>
      <c r="CJ493" s="139"/>
      <c r="CK493" s="140" t="str">
        <f aca="false">IF(ISBLANK($C493),"",IF($BR493=Constants!$B$12,$BQ493,""))</f>
        <v/>
      </c>
      <c r="CL493" s="139" t="str">
        <f aca="false">IF(ISBLANK($C493),"",IF($BR493&lt;&gt;Constants!$B$8,"",IF($BI493="-&gt;",2,1)))</f>
        <v/>
      </c>
      <c r="CM493" s="141" t="str">
        <f aca="false">IF(ISBLANK($C493),"",IF($BR493&lt;&gt;Constants!$B$8,"",IF($BI493="-&gt;",$BK493,$BC493)))</f>
        <v/>
      </c>
      <c r="CN493" s="141" t="str">
        <f aca="false">IF(ISBLANK($C493),"",IF($BR493&lt;&gt;Constants!$B$8,"",IF($BI493="-&gt;",$BL493,$BD493)))</f>
        <v/>
      </c>
      <c r="CO493" s="141" t="str">
        <f aca="false">IF(ISBLANK($C493),"",IF($BR493&lt;&gt;Constants!$B$8,"",IF($BI493="-&gt;",$BM493+$BN493,$BE493+$BF493)+$BV493))</f>
        <v/>
      </c>
      <c r="CP493" s="141" t="str">
        <f aca="false">IF(ISBLANK($C493),"",IF($BR493&lt;&gt;Constants!$B$8,"",IF($BI493="-&gt;",$BO493,$BG493)+$BU493))</f>
        <v/>
      </c>
      <c r="CQ493" s="142" t="str">
        <f aca="false">IF(ISBLANK($C493),"",IF($BR493&lt;&gt;Constants!$B$8,$BR493,$BW493))</f>
        <v/>
      </c>
      <c r="CR493" s="143" t="str">
        <f aca="false">IF(ISBLANK($C493),"",$BS493)</f>
        <v/>
      </c>
      <c r="CS493" s="144" t="str">
        <f aca="false">IF(ISBLANK($C493),"",$CH493)</f>
        <v/>
      </c>
      <c r="CT493" s="144" t="str">
        <f aca="false">IF(ISBLANK($C493),"",$CG493)</f>
        <v/>
      </c>
      <c r="CU493" s="145" t="str">
        <f aca="false">IF(ISBLANK($C493),"",IFERROR(_xlfn.SWITCH($CT493,Constants!$B$11,COUNTA($C$9:$C$508)+2,Constants!$B$10,COUNTA($C$9:$C$508)+1,Constants!$B$9,COUNTA($C$9:$C$508)),$CT493))</f>
        <v/>
      </c>
      <c r="CV493" s="9"/>
      <c r="CW493" s="146" t="n">
        <f aca="false">IF(OR(ISNUMBER($CT493),$CT493=Constants!$B$11,$CT493=Constants!$B$9,$CT493=Constants!$B$10),1,0)</f>
        <v>0</v>
      </c>
      <c r="CX493" s="146" t="n">
        <v>485</v>
      </c>
      <c r="CY493" s="146" t="str">
        <f aca="false">IF(ISBLANK($C493),"",IF(ISNUMBER($CU493),$CU493+ROW($B493)/1000,""))</f>
        <v/>
      </c>
      <c r="CZ493" s="146" t="str">
        <f aca="false">IF(ISNUMBER($CY493),RANK($CY493,$CY$9:$CY$508,1),"")</f>
        <v/>
      </c>
      <c r="DA493" s="146" t="str">
        <f aca="false">IF(ISBLANK($C493),"",$B493)</f>
        <v/>
      </c>
      <c r="DB493" s="146" t="str">
        <f aca="false">IF(ISBLANK($C493),"",$C493)</f>
        <v/>
      </c>
      <c r="DC493" s="146" t="str">
        <f aca="false">IF(ISBLANK($C493),"",$D493)</f>
        <v/>
      </c>
      <c r="DD493" s="147" t="str">
        <f aca="false">$CR493</f>
        <v/>
      </c>
      <c r="DE493" s="148" t="str">
        <f aca="false">$CQ493</f>
        <v/>
      </c>
      <c r="DF493" s="146" t="str">
        <f aca="false">IF(ISBLANK($C493),"",$CT493)</f>
        <v/>
      </c>
      <c r="DG493" s="149" t="str">
        <f aca="false">IF($CX493&gt;$CW$8,"",VLOOKUP($CX493,$CZ$9:$DF$508,7,FALSE()))</f>
        <v/>
      </c>
      <c r="DH493" s="150" t="str">
        <f aca="false">IF($CX493&gt;$CW$8,"",VLOOKUP($CX493,$CZ$9:$DF$508,2,FALSE()))</f>
        <v/>
      </c>
      <c r="DI493" s="150" t="str">
        <f aca="false">IF($CX493&gt;$CW$8,"",VLOOKUP($CX493,$CZ$9:$DF$508,3,FALSE()))</f>
        <v/>
      </c>
      <c r="DJ493" s="150" t="str">
        <f aca="false">IF($CX493&gt;$CW$8,"",VLOOKUP($CX493,$CZ$9:$DF$508,4,FALSE()))</f>
        <v/>
      </c>
      <c r="DK493" s="150" t="str">
        <f aca="false">IF($CX493&gt;$CW$8,"",VLOOKUP($CX493,$CZ$9:$DF$508,5,FALSE()))</f>
        <v/>
      </c>
      <c r="DL493" s="151" t="str">
        <f aca="false">IF($CX493&gt;$CW$8,"",VLOOKUP($CX493,$CZ$9:$DF$508,6,FALSE()))</f>
        <v/>
      </c>
      <c r="DM493" s="75"/>
    </row>
    <row r="494" customFormat="false" ht="15.75" hidden="false" customHeight="false" outlineLevel="0" collapsed="false">
      <c r="A494" s="9"/>
      <c r="B494" s="157"/>
      <c r="C494" s="158"/>
      <c r="D494" s="159"/>
      <c r="E494" s="177"/>
      <c r="F494" s="161"/>
      <c r="G494" s="162"/>
      <c r="H494" s="162"/>
      <c r="I494" s="178"/>
      <c r="J494" s="165"/>
      <c r="K494" s="126"/>
      <c r="L494" s="127"/>
      <c r="M494" s="128"/>
      <c r="N494" s="165"/>
      <c r="O494" s="165"/>
      <c r="P494" s="177"/>
      <c r="Q494" s="165"/>
      <c r="R494" s="165"/>
      <c r="S494" s="126"/>
      <c r="T494" s="128"/>
      <c r="U494" s="128"/>
      <c r="V494" s="165"/>
      <c r="W494" s="165"/>
      <c r="X494" s="177"/>
      <c r="Y494" s="165"/>
      <c r="Z494" s="166"/>
      <c r="AA494" s="165"/>
      <c r="AB494" s="132"/>
      <c r="AC494" s="133"/>
      <c r="AD494" s="133"/>
      <c r="AE494" s="133"/>
      <c r="AF494" s="133" t="str">
        <f aca="false">IF(ISBLANK($C494),"",IF(E494=Constants!$B$3,TRUE(),IF(E494=Constants!$B$4,FALSE(),TRUE())))</f>
        <v/>
      </c>
      <c r="AG494" s="133" t="str">
        <f aca="false">IF(ISBLANK($C494),"",IF(F494=Constants!$B$3,TRUE(),IF(F494=Constants!$B$4,FALSE(),TRUE())))</f>
        <v/>
      </c>
      <c r="AH494" s="133" t="str">
        <f aca="false">IF(ISBLANK($C494),"",IF(G494=Constants!$B$3,TRUE(),IF(G494=Constants!$B$4,FALSE(),TRUE())))</f>
        <v/>
      </c>
      <c r="AI494" s="133" t="str">
        <f aca="false">IF(ISBLANK($C494),"",IF(AND(ISNUMBER(H494),H494&gt;=0),H494,Constants!$B$29))</f>
        <v/>
      </c>
      <c r="AJ494" s="133" t="str">
        <f aca="false">IF(ISBLANK($C494),"",IF(I494=Constants!$B$3,TRUE(),IF(I494=Constants!$B$4,FALSE(),TRUE())))</f>
        <v/>
      </c>
      <c r="AK494" s="133" t="str">
        <f aca="false">IF(ISBLANK($C494),"",IF(J494=Constants!$B$3,TRUE(),IF(J494=Constants!$B$4,FALSE(),TRUE())))</f>
        <v/>
      </c>
      <c r="AL494" s="133" t="str">
        <f aca="false">IF(ISBLANK($C494),"",IF(K494=Constants!$B$5,TRUE(),IF(K494=Constants!$B$6,FALSE(),COUNTA(L494:P494)&gt;0)))</f>
        <v/>
      </c>
      <c r="AM494" s="134" t="str">
        <f aca="false">IF(ISBLANK($C494),"",IF(ISNUMBER(L494),IF(L494&gt;=0,L494,""),""))</f>
        <v/>
      </c>
      <c r="AN494" s="135" t="str">
        <f aca="false">IF(ISBLANK($C494),"",IF(ISNUMBER(M494),IF(M494&gt;=0,M494,""),""))</f>
        <v/>
      </c>
      <c r="AO494" s="135" t="str">
        <f aca="false">IF(ISBLANK($C494),"",IF(N494=Constants!$B$3,TRUE(),IF(N494=Constants!$B$4,FALSE(),TRUE())))</f>
        <v/>
      </c>
      <c r="AP494" s="133" t="str">
        <f aca="false">IF(ISBLANK($C494),"",IF(ISNUMBER(O494),IF(O494&gt;=0,O494,""),""))</f>
        <v/>
      </c>
      <c r="AQ494" s="133" t="str">
        <f aca="false">IF(ISBLANK($C494),"",IF(P494=Constants!$B$3,TRUE(),IF(P494=Constants!$B$4,FALSE(),FALSE())))</f>
        <v/>
      </c>
      <c r="AR494" s="133" t="str">
        <f aca="false">IF(ISBLANK($C494),"",IF(Q494=Constants!$B$3,TRUE(),IF(Q494=Constants!$B$4,FALSE(),TRUE())))</f>
        <v/>
      </c>
      <c r="AS494" s="133" t="str">
        <f aca="false">IF(ISBLANK($C494),"",IF(R494=Constants!$B$3,TRUE(),IF(R494=Constants!$B$4,FALSE(),TRUE())))</f>
        <v/>
      </c>
      <c r="AT494" s="133" t="str">
        <f aca="false">IF(ISBLANK($C494),"",IF(S494=Constants!$B$5,TRUE(),IF(S494=Constants!$B$6,FALSE(),COUNTA(T494:X494)&gt;0)))</f>
        <v/>
      </c>
      <c r="AU494" s="134" t="str">
        <f aca="false">IF(ISBLANK($C494),"",IF(ISNUMBER(T494),IF(T494&gt;=0,T494,""),""))</f>
        <v/>
      </c>
      <c r="AV494" s="135" t="str">
        <f aca="false">IF(ISBLANK($C494),"",IF(ISNUMBER(U494),IF(U494&gt;=0,U494,""),""))</f>
        <v/>
      </c>
      <c r="AW494" s="135" t="str">
        <f aca="false">IF(ISBLANK($C494),"",IF(V494=Constants!$B$3,TRUE(),IF(V494=Constants!$B$4,FALSE(),TRUE())))</f>
        <v/>
      </c>
      <c r="AX494" s="133" t="str">
        <f aca="false">IF(ISBLANK($C494),"",IF(ISNUMBER(W494),IF(W494&gt;=0,W494,""),""))</f>
        <v/>
      </c>
      <c r="AY494" s="133" t="str">
        <f aca="false">IF(ISBLANK($C494),"",IF(X494=Constants!$B$3,TRUE(),IF(X494=Constants!$B$4,FALSE(),FALSE())))</f>
        <v/>
      </c>
      <c r="AZ494" s="133" t="str">
        <f aca="false">IF(ISBLANK($C494),"",MIN(Constants!$B$31,MAX(0,IF(ISNUMBER(Y494),Y494*60,0)+IF(ISNUMBER(Z494),Z494,0))))</f>
        <v/>
      </c>
      <c r="BA494" s="133" t="str">
        <f aca="false">IF(ISBLANK($C494),"",IF(AA494=Constants!$B$3,TRUE(),IF(AA494=Constants!$B$4,FALSE(),FALSE())))</f>
        <v/>
      </c>
      <c r="BB494" s="132" t="str">
        <f aca="false">IF(ISBLANK($C494),"",AND($AL494,OR($AM494="",$AN494="",AND($AO494,$AP494=""))))</f>
        <v/>
      </c>
      <c r="BC494" s="135" t="str">
        <f aca="false">IF($BR494&lt;&gt;Constants!$B$8,"",IF($AL494,Constants!$B$21*$AN494+Constants!$B$22*IF($AO494,$AP494,Constants!$B$23),Constants!$B$24))</f>
        <v/>
      </c>
      <c r="BD494" s="136" t="str">
        <f aca="false">IF($BR494&lt;&gt;Constants!$B$8,"",Constants!$B$25*ABS($AD$9-IF($AL494,$AM494,0)))</f>
        <v/>
      </c>
      <c r="BE494" s="136" t="str">
        <f aca="false">IF($BR494&lt;&gt;Constants!$B$8,"",IF(AND($AL494,$AQ494,$AO494),Constants!$B$27,0))</f>
        <v/>
      </c>
      <c r="BF494" s="136" t="str">
        <f aca="false">IF($BR494&lt;&gt;Constants!$B$8,"",IF($AL494,($AI494-Constants!$B$29)*Constants!$B$28,0))</f>
        <v/>
      </c>
      <c r="BG494" s="136" t="str">
        <f aca="false">IF($BR494&lt;&gt;Constants!$B$8,"",IF($AK494,0,Constants!$B$15)+IF($AJ494,0,Constants!$B$16)+IF($AH494,0,Constants!$B$17))</f>
        <v/>
      </c>
      <c r="BH494" s="137" t="str">
        <f aca="false">IF($BR494&lt;&gt;Constants!$B$8,"",Constants!$B$20+SUM($BC494:$BG494))</f>
        <v/>
      </c>
      <c r="BI494" s="133" t="str">
        <f aca="false">IF($BR494&lt;&gt;Constants!$B$8,"",IF(OR($BP494&lt;$BH494,AND($BP494=$BH494,OR($BK494&lt;$BC494,AND($BK494=$BC494,OR($BL494&lt;$BD494,AND($BL494=$BD494,$AT494,$AL494,$AV494&lt;$AN494)))))),"-&gt;","&lt;-"))</f>
        <v/>
      </c>
      <c r="BJ494" s="132" t="str">
        <f aca="false">IF(ISBLANK($C494),"",AND($AT494,OR($AU494="",$AV494="",AND($AW494,$AX494=""))))</f>
        <v/>
      </c>
      <c r="BK494" s="135" t="str">
        <f aca="false">IF($BR494&lt;&gt;Constants!$B$8,"",IF($AT494,Constants!$B$21*$AV494+Constants!$B$22*IF($AW494,$AX494,Constants!$B$23),Constants!$B$24))</f>
        <v/>
      </c>
      <c r="BL494" s="136" t="str">
        <f aca="false">IF($BR494&lt;&gt;Constants!$B$8,"",Constants!$B$25*ABS($AD$9-IF($AT494,$AU494,0)))</f>
        <v/>
      </c>
      <c r="BM494" s="136" t="str">
        <f aca="false">IF($BR494&lt;&gt;Constants!$B$8,"",IF(AND($AT494,$AY494,$AW494),Constants!$B$27,0))</f>
        <v/>
      </c>
      <c r="BN494" s="136" t="str">
        <f aca="false">IF($BR494&lt;&gt;Constants!$B$8,"",IF($AT494,($AI494-Constants!$B$29)*Constants!$B$28,0))</f>
        <v/>
      </c>
      <c r="BO494" s="136" t="str">
        <f aca="false">IF($BR494&lt;&gt;Constants!$B$8,"",IF($AS494,0,Constants!$B$15)+IF($AR494,0,Constants!$B$16)+IF($AH494,0,Constants!$B$17))</f>
        <v/>
      </c>
      <c r="BP494" s="137" t="str">
        <f aca="false">IF($BR494&lt;&gt;Constants!$B$8,"",Constants!$B$20+SUM($BK494:$BO494))</f>
        <v/>
      </c>
      <c r="BQ494" s="133" t="str">
        <f aca="false">IF(ISBLANK($C494),"",IF(ISBLANK($D$7),$BQ$5,IF(NOT(ISNUMBER($D$7)),$BQ$6,"")))</f>
        <v/>
      </c>
      <c r="BR494" s="133" t="str">
        <f aca="false">IF(ISBLANK($C494),"",IF($BA494,Constants!$B$11,IF(COUNTA($E494:$AA494)=0,Constants!$B$10,IF(NOT($AG494),Constants!$B$9,IF(OR($BQ494&lt;&gt;"",$BB494,$BJ494),Constants!$B$12,Constants!$B$8)))))</f>
        <v/>
      </c>
      <c r="BS494" s="133" t="str">
        <f aca="false">IF(ISBLANK($C494),"",IF($BR494&lt;&gt;Constants!$B$8,$BR494,Constants!$B$13))</f>
        <v/>
      </c>
      <c r="BT494" s="136" t="str">
        <f aca="false">IF($BR494&lt;&gt;Constants!$B$8,"",IF($BI494="-&gt;",$BP494,$BH494))</f>
        <v/>
      </c>
      <c r="BU494" s="136" t="str">
        <f aca="false">IF($BR494&lt;&gt;Constants!$B$8,"",IF($AF494,0,Constants!$B$18))</f>
        <v/>
      </c>
      <c r="BV494" s="136" t="str">
        <f aca="false">IF($BR494&lt;&gt;Constants!$B$8,"",((Constants!$B$31-$AZ494)-Constants!$B$31)/Constants!$B$32)</f>
        <v/>
      </c>
      <c r="BW494" s="136" t="str">
        <f aca="false">IF(ISBLANK($C494),"",IF($BR494&lt;&gt;Constants!$B$8,$BR494,SUM($BT494:$BV494)))</f>
        <v/>
      </c>
      <c r="BX494" s="133" t="str">
        <f aca="false">IF(ISBLANK($C494),"",IF($BR494&lt;&gt;Constants!$B$8,$BR494,RANK($BW494,$BW$9:$BW$508,1)))</f>
        <v/>
      </c>
      <c r="BY494" s="136" t="str">
        <f aca="false">IF($BR494&lt;&gt;Constants!$B$8,"",IF($BI494="-&gt;",$BK494,$BC494))</f>
        <v/>
      </c>
      <c r="BZ494" s="133" t="str">
        <f aca="false">IF(ISBLANK($C494),"",IF($BR494&lt;&gt;Constants!$B$8,$BR494,IF(ISNUMBER($BY494),RANK($BY494,$BY$9:$BY$508,1),COUNT($BY$9:$BY$508)+1)))</f>
        <v/>
      </c>
      <c r="CA494" s="136" t="str">
        <f aca="false">IF($BR494&lt;&gt;Constants!$B$8,"",IF($BI494="-&gt;",$BL494,$BD494))</f>
        <v/>
      </c>
      <c r="CB494" s="133" t="str">
        <f aca="false">IF(ISBLANK($C494),"",IF($BR494&lt;&gt;Constants!$B$8,$BR494,IF(ISNUMBER($CA494),RANK($CA494,$CA$9:$CA$508,1),COUNT($CA$9:$CA$508)+1)))</f>
        <v/>
      </c>
      <c r="CC494" s="136" t="str">
        <f aca="false">IF($BR494&lt;&gt;Constants!$B$8,"",IF($BI494="-&gt;",IF($AT494,$AV494,""),IF($AL494,$AN494,"")))</f>
        <v/>
      </c>
      <c r="CD494" s="133" t="str">
        <f aca="false">IF(ISBLANK($C494),"",IF($BR494&lt;&gt;Constants!$B$8,$BR494,IF(ISNUMBER($CC494),RANK($CC494,$CC$9:$CC$508,1),COUNT($CC$9:$CC$508)+1)))</f>
        <v/>
      </c>
      <c r="CE494" s="136" t="str">
        <f aca="false">IF($BR494&lt;&gt;Constants!$B$8,"",IF(AND(NOT($AL494),NOT($AT494),$AJ494,$AK494,$AR494,$AS494),"",$AI494))</f>
        <v/>
      </c>
      <c r="CF494" s="133" t="str">
        <f aca="false">IF(ISBLANK($C494),"",IF($BR494&lt;&gt;Constants!$B$8,$BR494,IF(ISNUMBER($CE494),RANK($CE494,$CE$9:$CE$508,1),COUNT($CE$9:$CE$508)+1)))</f>
        <v/>
      </c>
      <c r="CG494" s="133" t="str">
        <f aca="false">IF(ISBLANK($C494),"",IF($BR494&lt;&gt;Constants!$B$8,$BR494,COUNTIFS($BX$9:$BX$508,"&lt;"&amp;$BX494)+COUNTIFS($BX$9:$BX$508,$BX494,$BZ$9:$BZ$508,"&lt;"&amp;$BZ494)+COUNTIFS($BX$9:$BX$508,$BX494,$BZ$9:$BZ$508,$BZ494,$CB$9:$CB$508,"&lt;"&amp;$CB494)+COUNTIFS($BX$9:$BX$508,$BX494,$BZ$9:$BZ$508,$BZ494,$CB$9:$CB$508,$CB494,$CD$9:$CD$508,"&lt;"&amp;$CD494)+COUNTIFS($BX$9:$BX$508,$BX494,$BZ$9:$BZ$508,$BZ494,$CB$9:$CB$508,$CB494,$CD$9:$CD$508,$CD494,$CF$9:$CF$508,"&lt;"&amp;$CF494)+1))</f>
        <v/>
      </c>
      <c r="CH494" s="133" t="str">
        <f aca="false">IF(ISBLANK($C494),"",IF($BR494&lt;&gt;Constants!$B$8,$BR494,$BX494-$CG494))</f>
        <v/>
      </c>
      <c r="CI494" s="138"/>
      <c r="CJ494" s="139"/>
      <c r="CK494" s="140" t="str">
        <f aca="false">IF(ISBLANK($C494),"",IF($BR494=Constants!$B$12,$BQ494,""))</f>
        <v/>
      </c>
      <c r="CL494" s="139" t="str">
        <f aca="false">IF(ISBLANK($C494),"",IF($BR494&lt;&gt;Constants!$B$8,"",IF($BI494="-&gt;",2,1)))</f>
        <v/>
      </c>
      <c r="CM494" s="141" t="str">
        <f aca="false">IF(ISBLANK($C494),"",IF($BR494&lt;&gt;Constants!$B$8,"",IF($BI494="-&gt;",$BK494,$BC494)))</f>
        <v/>
      </c>
      <c r="CN494" s="141" t="str">
        <f aca="false">IF(ISBLANK($C494),"",IF($BR494&lt;&gt;Constants!$B$8,"",IF($BI494="-&gt;",$BL494,$BD494)))</f>
        <v/>
      </c>
      <c r="CO494" s="141" t="str">
        <f aca="false">IF(ISBLANK($C494),"",IF($BR494&lt;&gt;Constants!$B$8,"",IF($BI494="-&gt;",$BM494+$BN494,$BE494+$BF494)+$BV494))</f>
        <v/>
      </c>
      <c r="CP494" s="141" t="str">
        <f aca="false">IF(ISBLANK($C494),"",IF($BR494&lt;&gt;Constants!$B$8,"",IF($BI494="-&gt;",$BO494,$BG494)+$BU494))</f>
        <v/>
      </c>
      <c r="CQ494" s="142" t="str">
        <f aca="false">IF(ISBLANK($C494),"",IF($BR494&lt;&gt;Constants!$B$8,$BR494,$BW494))</f>
        <v/>
      </c>
      <c r="CR494" s="143" t="str">
        <f aca="false">IF(ISBLANK($C494),"",$BS494)</f>
        <v/>
      </c>
      <c r="CS494" s="144" t="str">
        <f aca="false">IF(ISBLANK($C494),"",$CH494)</f>
        <v/>
      </c>
      <c r="CT494" s="144" t="str">
        <f aca="false">IF(ISBLANK($C494),"",$CG494)</f>
        <v/>
      </c>
      <c r="CU494" s="145" t="str">
        <f aca="false">IF(ISBLANK($C494),"",IFERROR(_xlfn.SWITCH($CT494,Constants!$B$11,COUNTA($C$9:$C$508)+2,Constants!$B$10,COUNTA($C$9:$C$508)+1,Constants!$B$9,COUNTA($C$9:$C$508)),$CT494))</f>
        <v/>
      </c>
      <c r="CV494" s="9"/>
      <c r="CW494" s="146" t="n">
        <f aca="false">IF(OR(ISNUMBER($CT494),$CT494=Constants!$B$11,$CT494=Constants!$B$9,$CT494=Constants!$B$10),1,0)</f>
        <v>0</v>
      </c>
      <c r="CX494" s="146" t="n">
        <v>486</v>
      </c>
      <c r="CY494" s="146" t="str">
        <f aca="false">IF(ISBLANK($C494),"",IF(ISNUMBER($CU494),$CU494+ROW($B494)/1000,""))</f>
        <v/>
      </c>
      <c r="CZ494" s="146" t="str">
        <f aca="false">IF(ISNUMBER($CY494),RANK($CY494,$CY$9:$CY$508,1),"")</f>
        <v/>
      </c>
      <c r="DA494" s="146" t="str">
        <f aca="false">IF(ISBLANK($C494),"",$B494)</f>
        <v/>
      </c>
      <c r="DB494" s="146" t="str">
        <f aca="false">IF(ISBLANK($C494),"",$C494)</f>
        <v/>
      </c>
      <c r="DC494" s="146" t="str">
        <f aca="false">IF(ISBLANK($C494),"",$D494)</f>
        <v/>
      </c>
      <c r="DD494" s="147" t="str">
        <f aca="false">$CR494</f>
        <v/>
      </c>
      <c r="DE494" s="148" t="str">
        <f aca="false">$CQ494</f>
        <v/>
      </c>
      <c r="DF494" s="146" t="str">
        <f aca="false">IF(ISBLANK($C494),"",$CT494)</f>
        <v/>
      </c>
      <c r="DG494" s="149" t="str">
        <f aca="false">IF($CX494&gt;$CW$8,"",VLOOKUP($CX494,$CZ$9:$DF$508,7,FALSE()))</f>
        <v/>
      </c>
      <c r="DH494" s="150" t="str">
        <f aca="false">IF($CX494&gt;$CW$8,"",VLOOKUP($CX494,$CZ$9:$DF$508,2,FALSE()))</f>
        <v/>
      </c>
      <c r="DI494" s="150" t="str">
        <f aca="false">IF($CX494&gt;$CW$8,"",VLOOKUP($CX494,$CZ$9:$DF$508,3,FALSE()))</f>
        <v/>
      </c>
      <c r="DJ494" s="150" t="str">
        <f aca="false">IF($CX494&gt;$CW$8,"",VLOOKUP($CX494,$CZ$9:$DF$508,4,FALSE()))</f>
        <v/>
      </c>
      <c r="DK494" s="150" t="str">
        <f aca="false">IF($CX494&gt;$CW$8,"",VLOOKUP($CX494,$CZ$9:$DF$508,5,FALSE()))</f>
        <v/>
      </c>
      <c r="DL494" s="151" t="str">
        <f aca="false">IF($CX494&gt;$CW$8,"",VLOOKUP($CX494,$CZ$9:$DF$508,6,FALSE()))</f>
        <v/>
      </c>
      <c r="DM494" s="75"/>
    </row>
    <row r="495" customFormat="false" ht="15.75" hidden="false" customHeight="false" outlineLevel="0" collapsed="false">
      <c r="A495" s="9"/>
      <c r="B495" s="77"/>
      <c r="C495" s="78"/>
      <c r="D495" s="167"/>
      <c r="E495" s="175"/>
      <c r="F495" s="169"/>
      <c r="G495" s="170"/>
      <c r="H495" s="170"/>
      <c r="I495" s="176"/>
      <c r="J495" s="173"/>
      <c r="K495" s="85"/>
      <c r="L495" s="86"/>
      <c r="M495" s="87"/>
      <c r="N495" s="173"/>
      <c r="O495" s="173"/>
      <c r="P495" s="175"/>
      <c r="Q495" s="173"/>
      <c r="R495" s="173"/>
      <c r="S495" s="85"/>
      <c r="T495" s="87"/>
      <c r="U495" s="87"/>
      <c r="V495" s="173"/>
      <c r="W495" s="173"/>
      <c r="X495" s="175"/>
      <c r="Y495" s="173"/>
      <c r="Z495" s="174"/>
      <c r="AA495" s="173"/>
      <c r="AB495" s="91"/>
      <c r="AC495" s="92"/>
      <c r="AD495" s="92"/>
      <c r="AE495" s="92"/>
      <c r="AF495" s="92" t="str">
        <f aca="false">IF(ISBLANK($C495),"",IF(E495=Constants!$B$3,TRUE(),IF(E495=Constants!$B$4,FALSE(),TRUE())))</f>
        <v/>
      </c>
      <c r="AG495" s="92" t="str">
        <f aca="false">IF(ISBLANK($C495),"",IF(F495=Constants!$B$3,TRUE(),IF(F495=Constants!$B$4,FALSE(),TRUE())))</f>
        <v/>
      </c>
      <c r="AH495" s="92" t="str">
        <f aca="false">IF(ISBLANK($C495),"",IF(G495=Constants!$B$3,TRUE(),IF(G495=Constants!$B$4,FALSE(),TRUE())))</f>
        <v/>
      </c>
      <c r="AI495" s="92" t="str">
        <f aca="false">IF(ISBLANK($C495),"",IF(AND(ISNUMBER(H495),H495&gt;=0),H495,Constants!$B$29))</f>
        <v/>
      </c>
      <c r="AJ495" s="92" t="str">
        <f aca="false">IF(ISBLANK($C495),"",IF(I495=Constants!$B$3,TRUE(),IF(I495=Constants!$B$4,FALSE(),TRUE())))</f>
        <v/>
      </c>
      <c r="AK495" s="92" t="str">
        <f aca="false">IF(ISBLANK($C495),"",IF(J495=Constants!$B$3,TRUE(),IF(J495=Constants!$B$4,FALSE(),TRUE())))</f>
        <v/>
      </c>
      <c r="AL495" s="92" t="str">
        <f aca="false">IF(ISBLANK($C495),"",IF(K495=Constants!$B$5,TRUE(),IF(K495=Constants!$B$6,FALSE(),COUNTA(L495:P495)&gt;0)))</f>
        <v/>
      </c>
      <c r="AM495" s="94" t="str">
        <f aca="false">IF(ISBLANK($C495),"",IF(ISNUMBER(L495),IF(L495&gt;=0,L495,""),""))</f>
        <v/>
      </c>
      <c r="AN495" s="93" t="str">
        <f aca="false">IF(ISBLANK($C495),"",IF(ISNUMBER(M495),IF(M495&gt;=0,M495,""),""))</f>
        <v/>
      </c>
      <c r="AO495" s="93" t="str">
        <f aca="false">IF(ISBLANK($C495),"",IF(N495=Constants!$B$3,TRUE(),IF(N495=Constants!$B$4,FALSE(),TRUE())))</f>
        <v/>
      </c>
      <c r="AP495" s="92" t="str">
        <f aca="false">IF(ISBLANK($C495),"",IF(ISNUMBER(O495),IF(O495&gt;=0,O495,""),""))</f>
        <v/>
      </c>
      <c r="AQ495" s="92" t="str">
        <f aca="false">IF(ISBLANK($C495),"",IF(P495=Constants!$B$3,TRUE(),IF(P495=Constants!$B$4,FALSE(),FALSE())))</f>
        <v/>
      </c>
      <c r="AR495" s="92" t="str">
        <f aca="false">IF(ISBLANK($C495),"",IF(Q495=Constants!$B$3,TRUE(),IF(Q495=Constants!$B$4,FALSE(),TRUE())))</f>
        <v/>
      </c>
      <c r="AS495" s="92" t="str">
        <f aca="false">IF(ISBLANK($C495),"",IF(R495=Constants!$B$3,TRUE(),IF(R495=Constants!$B$4,FALSE(),TRUE())))</f>
        <v/>
      </c>
      <c r="AT495" s="92" t="str">
        <f aca="false">IF(ISBLANK($C495),"",IF(S495=Constants!$B$5,TRUE(),IF(S495=Constants!$B$6,FALSE(),COUNTA(T495:X495)&gt;0)))</f>
        <v/>
      </c>
      <c r="AU495" s="94" t="str">
        <f aca="false">IF(ISBLANK($C495),"",IF(ISNUMBER(T495),IF(T495&gt;=0,T495,""),""))</f>
        <v/>
      </c>
      <c r="AV495" s="93" t="str">
        <f aca="false">IF(ISBLANK($C495),"",IF(ISNUMBER(U495),IF(U495&gt;=0,U495,""),""))</f>
        <v/>
      </c>
      <c r="AW495" s="93" t="str">
        <f aca="false">IF(ISBLANK($C495),"",IF(V495=Constants!$B$3,TRUE(),IF(V495=Constants!$B$4,FALSE(),TRUE())))</f>
        <v/>
      </c>
      <c r="AX495" s="92" t="str">
        <f aca="false">IF(ISBLANK($C495),"",IF(ISNUMBER(W495),IF(W495&gt;=0,W495,""),""))</f>
        <v/>
      </c>
      <c r="AY495" s="92" t="str">
        <f aca="false">IF(ISBLANK($C495),"",IF(X495=Constants!$B$3,TRUE(),IF(X495=Constants!$B$4,FALSE(),FALSE())))</f>
        <v/>
      </c>
      <c r="AZ495" s="92" t="str">
        <f aca="false">IF(ISBLANK($C495),"",MIN(Constants!$B$31,MAX(0,IF(ISNUMBER(Y495),Y495*60,0)+IF(ISNUMBER(Z495),Z495,0))))</f>
        <v/>
      </c>
      <c r="BA495" s="92" t="str">
        <f aca="false">IF(ISBLANK($C495),"",IF(AA495=Constants!$B$3,TRUE(),IF(AA495=Constants!$B$4,FALSE(),FALSE())))</f>
        <v/>
      </c>
      <c r="BB495" s="91" t="str">
        <f aca="false">IF(ISBLANK($C495),"",AND($AL495,OR($AM495="",$AN495="",AND($AO495,$AP495=""))))</f>
        <v/>
      </c>
      <c r="BC495" s="93" t="str">
        <f aca="false">IF($BR495&lt;&gt;Constants!$B$8,"",IF($AL495,Constants!$B$21*$AN495+Constants!$B$22*IF($AO495,$AP495,Constants!$B$23),Constants!$B$24))</f>
        <v/>
      </c>
      <c r="BD495" s="96" t="str">
        <f aca="false">IF($BR495&lt;&gt;Constants!$B$8,"",Constants!$B$25*ABS($AD$9-IF($AL495,$AM495,0)))</f>
        <v/>
      </c>
      <c r="BE495" s="96" t="str">
        <f aca="false">IF($BR495&lt;&gt;Constants!$B$8,"",IF(AND($AL495,$AQ495,$AO495),Constants!$B$27,0))</f>
        <v/>
      </c>
      <c r="BF495" s="96" t="str">
        <f aca="false">IF($BR495&lt;&gt;Constants!$B$8,"",IF($AL495,($AI495-Constants!$B$29)*Constants!$B$28,0))</f>
        <v/>
      </c>
      <c r="BG495" s="96" t="str">
        <f aca="false">IF($BR495&lt;&gt;Constants!$B$8,"",IF($AK495,0,Constants!$B$15)+IF($AJ495,0,Constants!$B$16)+IF($AH495,0,Constants!$B$17))</f>
        <v/>
      </c>
      <c r="BH495" s="97" t="str">
        <f aca="false">IF($BR495&lt;&gt;Constants!$B$8,"",Constants!$B$20+SUM($BC495:$BG495))</f>
        <v/>
      </c>
      <c r="BI495" s="92" t="str">
        <f aca="false">IF($BR495&lt;&gt;Constants!$B$8,"",IF(OR($BP495&lt;$BH495,AND($BP495=$BH495,OR($BK495&lt;$BC495,AND($BK495=$BC495,OR($BL495&lt;$BD495,AND($BL495=$BD495,$AT495,$AL495,$AV495&lt;$AN495)))))),"-&gt;","&lt;-"))</f>
        <v/>
      </c>
      <c r="BJ495" s="91" t="str">
        <f aca="false">IF(ISBLANK($C495),"",AND($AT495,OR($AU495="",$AV495="",AND($AW495,$AX495=""))))</f>
        <v/>
      </c>
      <c r="BK495" s="93" t="str">
        <f aca="false">IF($BR495&lt;&gt;Constants!$B$8,"",IF($AT495,Constants!$B$21*$AV495+Constants!$B$22*IF($AW495,$AX495,Constants!$B$23),Constants!$B$24))</f>
        <v/>
      </c>
      <c r="BL495" s="96" t="str">
        <f aca="false">IF($BR495&lt;&gt;Constants!$B$8,"",Constants!$B$25*ABS($AD$9-IF($AT495,$AU495,0)))</f>
        <v/>
      </c>
      <c r="BM495" s="96" t="str">
        <f aca="false">IF($BR495&lt;&gt;Constants!$B$8,"",IF(AND($AT495,$AY495,$AW495),Constants!$B$27,0))</f>
        <v/>
      </c>
      <c r="BN495" s="96" t="str">
        <f aca="false">IF($BR495&lt;&gt;Constants!$B$8,"",IF($AT495,($AI495-Constants!$B$29)*Constants!$B$28,0))</f>
        <v/>
      </c>
      <c r="BO495" s="96" t="str">
        <f aca="false">IF($BR495&lt;&gt;Constants!$B$8,"",IF($AS495,0,Constants!$B$15)+IF($AR495,0,Constants!$B$16)+IF($AH495,0,Constants!$B$17))</f>
        <v/>
      </c>
      <c r="BP495" s="97" t="str">
        <f aca="false">IF($BR495&lt;&gt;Constants!$B$8,"",Constants!$B$20+SUM($BK495:$BO495))</f>
        <v/>
      </c>
      <c r="BQ495" s="92" t="str">
        <f aca="false">IF(ISBLANK($C495),"",IF(ISBLANK($D$7),$BQ$5,IF(NOT(ISNUMBER($D$7)),$BQ$6,"")))</f>
        <v/>
      </c>
      <c r="BR495" s="92" t="str">
        <f aca="false">IF(ISBLANK($C495),"",IF($BA495,Constants!$B$11,IF(COUNTA($E495:$AA495)=0,Constants!$B$10,IF(NOT($AG495),Constants!$B$9,IF(OR($BQ495&lt;&gt;"",$BB495,$BJ495),Constants!$B$12,Constants!$B$8)))))</f>
        <v/>
      </c>
      <c r="BS495" s="92" t="str">
        <f aca="false">IF(ISBLANK($C495),"",IF($BR495&lt;&gt;Constants!$B$8,$BR495,Constants!$B$13))</f>
        <v/>
      </c>
      <c r="BT495" s="96" t="str">
        <f aca="false">IF($BR495&lt;&gt;Constants!$B$8,"",IF($BI495="-&gt;",$BP495,$BH495))</f>
        <v/>
      </c>
      <c r="BU495" s="96" t="str">
        <f aca="false">IF($BR495&lt;&gt;Constants!$B$8,"",IF($AF495,0,Constants!$B$18))</f>
        <v/>
      </c>
      <c r="BV495" s="96" t="str">
        <f aca="false">IF($BR495&lt;&gt;Constants!$B$8,"",((Constants!$B$31-$AZ495)-Constants!$B$31)/Constants!$B$32)</f>
        <v/>
      </c>
      <c r="BW495" s="96" t="str">
        <f aca="false">IF(ISBLANK($C495),"",IF($BR495&lt;&gt;Constants!$B$8,$BR495,SUM($BT495:$BV495)))</f>
        <v/>
      </c>
      <c r="BX495" s="92" t="str">
        <f aca="false">IF(ISBLANK($C495),"",IF($BR495&lt;&gt;Constants!$B$8,$BR495,RANK($BW495,$BW$9:$BW$508,1)))</f>
        <v/>
      </c>
      <c r="BY495" s="96" t="str">
        <f aca="false">IF($BR495&lt;&gt;Constants!$B$8,"",IF($BI495="-&gt;",$BK495,$BC495))</f>
        <v/>
      </c>
      <c r="BZ495" s="92" t="str">
        <f aca="false">IF(ISBLANK($C495),"",IF($BR495&lt;&gt;Constants!$B$8,$BR495,IF(ISNUMBER($BY495),RANK($BY495,$BY$9:$BY$508,1),COUNT($BY$9:$BY$508)+1)))</f>
        <v/>
      </c>
      <c r="CA495" s="96" t="str">
        <f aca="false">IF($BR495&lt;&gt;Constants!$B$8,"",IF($BI495="-&gt;",$BL495,$BD495))</f>
        <v/>
      </c>
      <c r="CB495" s="92" t="str">
        <f aca="false">IF(ISBLANK($C495),"",IF($BR495&lt;&gt;Constants!$B$8,$BR495,IF(ISNUMBER($CA495),RANK($CA495,$CA$9:$CA$508,1),COUNT($CA$9:$CA$508)+1)))</f>
        <v/>
      </c>
      <c r="CC495" s="96" t="str">
        <f aca="false">IF($BR495&lt;&gt;Constants!$B$8,"",IF($BI495="-&gt;",IF($AT495,$AV495,""),IF($AL495,$AN495,"")))</f>
        <v/>
      </c>
      <c r="CD495" s="92" t="str">
        <f aca="false">IF(ISBLANK($C495),"",IF($BR495&lt;&gt;Constants!$B$8,$BR495,IF(ISNUMBER($CC495),RANK($CC495,$CC$9:$CC$508,1),COUNT($CC$9:$CC$508)+1)))</f>
        <v/>
      </c>
      <c r="CE495" s="96" t="str">
        <f aca="false">IF($BR495&lt;&gt;Constants!$B$8,"",IF(AND(NOT($AL495),NOT($AT495),$AJ495,$AK495,$AR495,$AS495),"",$AI495))</f>
        <v/>
      </c>
      <c r="CF495" s="92" t="str">
        <f aca="false">IF(ISBLANK($C495),"",IF($BR495&lt;&gt;Constants!$B$8,$BR495,IF(ISNUMBER($CE495),RANK($CE495,$CE$9:$CE$508,1),COUNT($CE$9:$CE$508)+1)))</f>
        <v/>
      </c>
      <c r="CG495" s="92" t="str">
        <f aca="false">IF(ISBLANK($C495),"",IF($BR495&lt;&gt;Constants!$B$8,$BR495,COUNTIFS($BX$9:$BX$508,"&lt;"&amp;$BX495)+COUNTIFS($BX$9:$BX$508,$BX495,$BZ$9:$BZ$508,"&lt;"&amp;$BZ495)+COUNTIFS($BX$9:$BX$508,$BX495,$BZ$9:$BZ$508,$BZ495,$CB$9:$CB$508,"&lt;"&amp;$CB495)+COUNTIFS($BX$9:$BX$508,$BX495,$BZ$9:$BZ$508,$BZ495,$CB$9:$CB$508,$CB495,$CD$9:$CD$508,"&lt;"&amp;$CD495)+COUNTIFS($BX$9:$BX$508,$BX495,$BZ$9:$BZ$508,$BZ495,$CB$9:$CB$508,$CB495,$CD$9:$CD$508,$CD495,$CF$9:$CF$508,"&lt;"&amp;$CF495)+1))</f>
        <v/>
      </c>
      <c r="CH495" s="92" t="str">
        <f aca="false">IF(ISBLANK($C495),"",IF($BR495&lt;&gt;Constants!$B$8,$BR495,$BX495-$CG495))</f>
        <v/>
      </c>
      <c r="CI495" s="98"/>
      <c r="CJ495" s="99"/>
      <c r="CK495" s="100" t="str">
        <f aca="false">IF(ISBLANK($C495),"",IF($BR495=Constants!$B$12,$BQ495,""))</f>
        <v/>
      </c>
      <c r="CL495" s="99" t="str">
        <f aca="false">IF(ISBLANK($C495),"",IF($BR495&lt;&gt;Constants!$B$8,"",IF($BI495="-&gt;",2,1)))</f>
        <v/>
      </c>
      <c r="CM495" s="101" t="str">
        <f aca="false">IF(ISBLANK($C495),"",IF($BR495&lt;&gt;Constants!$B$8,"",IF($BI495="-&gt;",$BK495,$BC495)))</f>
        <v/>
      </c>
      <c r="CN495" s="101" t="str">
        <f aca="false">IF(ISBLANK($C495),"",IF($BR495&lt;&gt;Constants!$B$8,"",IF($BI495="-&gt;",$BL495,$BD495)))</f>
        <v/>
      </c>
      <c r="CO495" s="101" t="str">
        <f aca="false">IF(ISBLANK($C495),"",IF($BR495&lt;&gt;Constants!$B$8,"",IF($BI495="-&gt;",$BM495+$BN495,$BE495+$BF495)+$BV495))</f>
        <v/>
      </c>
      <c r="CP495" s="101" t="str">
        <f aca="false">IF(ISBLANK($C495),"",IF($BR495&lt;&gt;Constants!$B$8,"",IF($BI495="-&gt;",$BO495,$BG495)+$BU495))</f>
        <v/>
      </c>
      <c r="CQ495" s="102" t="str">
        <f aca="false">IF(ISBLANK($C495),"",IF($BR495&lt;&gt;Constants!$B$8,$BR495,$BW495))</f>
        <v/>
      </c>
      <c r="CR495" s="103" t="str">
        <f aca="false">IF(ISBLANK($C495),"",$BS495)</f>
        <v/>
      </c>
      <c r="CS495" s="104" t="str">
        <f aca="false">IF(ISBLANK($C495),"",$CH495)</f>
        <v/>
      </c>
      <c r="CT495" s="104" t="str">
        <f aca="false">IF(ISBLANK($C495),"",$CG495)</f>
        <v/>
      </c>
      <c r="CU495" s="105" t="str">
        <f aca="false">IF(ISBLANK($C495),"",IFERROR(_xlfn.SWITCH($CT495,Constants!$B$11,COUNTA($C$9:$C$508)+2,Constants!$B$10,COUNTA($C$9:$C$508)+1,Constants!$B$9,COUNTA($C$9:$C$508)),$CT495))</f>
        <v/>
      </c>
      <c r="CV495" s="9"/>
      <c r="CW495" s="106" t="n">
        <f aca="false">IF(OR(ISNUMBER($CT495),$CT495=Constants!$B$11,$CT495=Constants!$B$9,$CT495=Constants!$B$10),1,0)</f>
        <v>0</v>
      </c>
      <c r="CX495" s="106" t="n">
        <v>487</v>
      </c>
      <c r="CY495" s="106" t="str">
        <f aca="false">IF(ISBLANK($C495),"",IF(ISNUMBER($CU495),$CU495+ROW($B495)/1000,""))</f>
        <v/>
      </c>
      <c r="CZ495" s="106" t="str">
        <f aca="false">IF(ISNUMBER($CY495),RANK($CY495,$CY$9:$CY$508,1),"")</f>
        <v/>
      </c>
      <c r="DA495" s="106" t="str">
        <f aca="false">IF(ISBLANK($C495),"",$B495)</f>
        <v/>
      </c>
      <c r="DB495" s="106" t="str">
        <f aca="false">IF(ISBLANK($C495),"",$C495)</f>
        <v/>
      </c>
      <c r="DC495" s="106" t="str">
        <f aca="false">IF(ISBLANK($C495),"",$D495)</f>
        <v/>
      </c>
      <c r="DD495" s="107" t="str">
        <f aca="false">$CR495</f>
        <v/>
      </c>
      <c r="DE495" s="108" t="str">
        <f aca="false">$CQ495</f>
        <v/>
      </c>
      <c r="DF495" s="106" t="str">
        <f aca="false">IF(ISBLANK($C495),"",$CT495)</f>
        <v/>
      </c>
      <c r="DG495" s="109" t="str">
        <f aca="false">IF($CX495&gt;$CW$8,"",VLOOKUP($CX495,$CZ$9:$DF$508,7,FALSE()))</f>
        <v/>
      </c>
      <c r="DH495" s="110" t="str">
        <f aca="false">IF($CX495&gt;$CW$8,"",VLOOKUP($CX495,$CZ$9:$DF$508,2,FALSE()))</f>
        <v/>
      </c>
      <c r="DI495" s="110" t="str">
        <f aca="false">IF($CX495&gt;$CW$8,"",VLOOKUP($CX495,$CZ$9:$DF$508,3,FALSE()))</f>
        <v/>
      </c>
      <c r="DJ495" s="110" t="str">
        <f aca="false">IF($CX495&gt;$CW$8,"",VLOOKUP($CX495,$CZ$9:$DF$508,4,FALSE()))</f>
        <v/>
      </c>
      <c r="DK495" s="110" t="str">
        <f aca="false">IF($CX495&gt;$CW$8,"",VLOOKUP($CX495,$CZ$9:$DF$508,5,FALSE()))</f>
        <v/>
      </c>
      <c r="DL495" s="111" t="str">
        <f aca="false">IF($CX495&gt;$CW$8,"",VLOOKUP($CX495,$CZ$9:$DF$508,6,FALSE()))</f>
        <v/>
      </c>
      <c r="DM495" s="75"/>
    </row>
    <row r="496" customFormat="false" ht="15.75" hidden="false" customHeight="false" outlineLevel="0" collapsed="false">
      <c r="A496" s="9"/>
      <c r="B496" s="77"/>
      <c r="C496" s="78"/>
      <c r="D496" s="167"/>
      <c r="E496" s="175"/>
      <c r="F496" s="169"/>
      <c r="G496" s="170"/>
      <c r="H496" s="170"/>
      <c r="I496" s="176"/>
      <c r="J496" s="173"/>
      <c r="K496" s="85"/>
      <c r="L496" s="86"/>
      <c r="M496" s="87"/>
      <c r="N496" s="173"/>
      <c r="O496" s="173"/>
      <c r="P496" s="175"/>
      <c r="Q496" s="173"/>
      <c r="R496" s="173"/>
      <c r="S496" s="85"/>
      <c r="T496" s="87"/>
      <c r="U496" s="87"/>
      <c r="V496" s="173"/>
      <c r="W496" s="173"/>
      <c r="X496" s="175"/>
      <c r="Y496" s="173"/>
      <c r="Z496" s="174"/>
      <c r="AA496" s="173"/>
      <c r="AB496" s="91"/>
      <c r="AC496" s="92"/>
      <c r="AD496" s="92"/>
      <c r="AE496" s="92"/>
      <c r="AF496" s="92" t="str">
        <f aca="false">IF(ISBLANK($C496),"",IF(E496=Constants!$B$3,TRUE(),IF(E496=Constants!$B$4,FALSE(),TRUE())))</f>
        <v/>
      </c>
      <c r="AG496" s="92" t="str">
        <f aca="false">IF(ISBLANK($C496),"",IF(F496=Constants!$B$3,TRUE(),IF(F496=Constants!$B$4,FALSE(),TRUE())))</f>
        <v/>
      </c>
      <c r="AH496" s="92" t="str">
        <f aca="false">IF(ISBLANK($C496),"",IF(G496=Constants!$B$3,TRUE(),IF(G496=Constants!$B$4,FALSE(),TRUE())))</f>
        <v/>
      </c>
      <c r="AI496" s="92" t="str">
        <f aca="false">IF(ISBLANK($C496),"",IF(AND(ISNUMBER(H496),H496&gt;=0),H496,Constants!$B$29))</f>
        <v/>
      </c>
      <c r="AJ496" s="92" t="str">
        <f aca="false">IF(ISBLANK($C496),"",IF(I496=Constants!$B$3,TRUE(),IF(I496=Constants!$B$4,FALSE(),TRUE())))</f>
        <v/>
      </c>
      <c r="AK496" s="92" t="str">
        <f aca="false">IF(ISBLANK($C496),"",IF(J496=Constants!$B$3,TRUE(),IF(J496=Constants!$B$4,FALSE(),TRUE())))</f>
        <v/>
      </c>
      <c r="AL496" s="92" t="str">
        <f aca="false">IF(ISBLANK($C496),"",IF(K496=Constants!$B$5,TRUE(),IF(K496=Constants!$B$6,FALSE(),COUNTA(L496:P496)&gt;0)))</f>
        <v/>
      </c>
      <c r="AM496" s="94" t="str">
        <f aca="false">IF(ISBLANK($C496),"",IF(ISNUMBER(L496),IF(L496&gt;=0,L496,""),""))</f>
        <v/>
      </c>
      <c r="AN496" s="93" t="str">
        <f aca="false">IF(ISBLANK($C496),"",IF(ISNUMBER(M496),IF(M496&gt;=0,M496,""),""))</f>
        <v/>
      </c>
      <c r="AO496" s="93" t="str">
        <f aca="false">IF(ISBLANK($C496),"",IF(N496=Constants!$B$3,TRUE(),IF(N496=Constants!$B$4,FALSE(),TRUE())))</f>
        <v/>
      </c>
      <c r="AP496" s="92" t="str">
        <f aca="false">IF(ISBLANK($C496),"",IF(ISNUMBER(O496),IF(O496&gt;=0,O496,""),""))</f>
        <v/>
      </c>
      <c r="AQ496" s="92" t="str">
        <f aca="false">IF(ISBLANK($C496),"",IF(P496=Constants!$B$3,TRUE(),IF(P496=Constants!$B$4,FALSE(),FALSE())))</f>
        <v/>
      </c>
      <c r="AR496" s="92" t="str">
        <f aca="false">IF(ISBLANK($C496),"",IF(Q496=Constants!$B$3,TRUE(),IF(Q496=Constants!$B$4,FALSE(),TRUE())))</f>
        <v/>
      </c>
      <c r="AS496" s="92" t="str">
        <f aca="false">IF(ISBLANK($C496),"",IF(R496=Constants!$B$3,TRUE(),IF(R496=Constants!$B$4,FALSE(),TRUE())))</f>
        <v/>
      </c>
      <c r="AT496" s="92" t="str">
        <f aca="false">IF(ISBLANK($C496),"",IF(S496=Constants!$B$5,TRUE(),IF(S496=Constants!$B$6,FALSE(),COUNTA(T496:X496)&gt;0)))</f>
        <v/>
      </c>
      <c r="AU496" s="94" t="str">
        <f aca="false">IF(ISBLANK($C496),"",IF(ISNUMBER(T496),IF(T496&gt;=0,T496,""),""))</f>
        <v/>
      </c>
      <c r="AV496" s="93" t="str">
        <f aca="false">IF(ISBLANK($C496),"",IF(ISNUMBER(U496),IF(U496&gt;=0,U496,""),""))</f>
        <v/>
      </c>
      <c r="AW496" s="93" t="str">
        <f aca="false">IF(ISBLANK($C496),"",IF(V496=Constants!$B$3,TRUE(),IF(V496=Constants!$B$4,FALSE(),TRUE())))</f>
        <v/>
      </c>
      <c r="AX496" s="92" t="str">
        <f aca="false">IF(ISBLANK($C496),"",IF(ISNUMBER(W496),IF(W496&gt;=0,W496,""),""))</f>
        <v/>
      </c>
      <c r="AY496" s="92" t="str">
        <f aca="false">IF(ISBLANK($C496),"",IF(X496=Constants!$B$3,TRUE(),IF(X496=Constants!$B$4,FALSE(),FALSE())))</f>
        <v/>
      </c>
      <c r="AZ496" s="92" t="str">
        <f aca="false">IF(ISBLANK($C496),"",MIN(Constants!$B$31,MAX(0,IF(ISNUMBER(Y496),Y496*60,0)+IF(ISNUMBER(Z496),Z496,0))))</f>
        <v/>
      </c>
      <c r="BA496" s="92" t="str">
        <f aca="false">IF(ISBLANK($C496),"",IF(AA496=Constants!$B$3,TRUE(),IF(AA496=Constants!$B$4,FALSE(),FALSE())))</f>
        <v/>
      </c>
      <c r="BB496" s="91" t="str">
        <f aca="false">IF(ISBLANK($C496),"",AND($AL496,OR($AM496="",$AN496="",AND($AO496,$AP496=""))))</f>
        <v/>
      </c>
      <c r="BC496" s="93" t="str">
        <f aca="false">IF($BR496&lt;&gt;Constants!$B$8,"",IF($AL496,Constants!$B$21*$AN496+Constants!$B$22*IF($AO496,$AP496,Constants!$B$23),Constants!$B$24))</f>
        <v/>
      </c>
      <c r="BD496" s="96" t="str">
        <f aca="false">IF($BR496&lt;&gt;Constants!$B$8,"",Constants!$B$25*ABS($AD$9-IF($AL496,$AM496,0)))</f>
        <v/>
      </c>
      <c r="BE496" s="96" t="str">
        <f aca="false">IF($BR496&lt;&gt;Constants!$B$8,"",IF(AND($AL496,$AQ496,$AO496),Constants!$B$27,0))</f>
        <v/>
      </c>
      <c r="BF496" s="96" t="str">
        <f aca="false">IF($BR496&lt;&gt;Constants!$B$8,"",IF($AL496,($AI496-Constants!$B$29)*Constants!$B$28,0))</f>
        <v/>
      </c>
      <c r="BG496" s="96" t="str">
        <f aca="false">IF($BR496&lt;&gt;Constants!$B$8,"",IF($AK496,0,Constants!$B$15)+IF($AJ496,0,Constants!$B$16)+IF($AH496,0,Constants!$B$17))</f>
        <v/>
      </c>
      <c r="BH496" s="97" t="str">
        <f aca="false">IF($BR496&lt;&gt;Constants!$B$8,"",Constants!$B$20+SUM($BC496:$BG496))</f>
        <v/>
      </c>
      <c r="BI496" s="92" t="str">
        <f aca="false">IF($BR496&lt;&gt;Constants!$B$8,"",IF(OR($BP496&lt;$BH496,AND($BP496=$BH496,OR($BK496&lt;$BC496,AND($BK496=$BC496,OR($BL496&lt;$BD496,AND($BL496=$BD496,$AT496,$AL496,$AV496&lt;$AN496)))))),"-&gt;","&lt;-"))</f>
        <v/>
      </c>
      <c r="BJ496" s="91" t="str">
        <f aca="false">IF(ISBLANK($C496),"",AND($AT496,OR($AU496="",$AV496="",AND($AW496,$AX496=""))))</f>
        <v/>
      </c>
      <c r="BK496" s="93" t="str">
        <f aca="false">IF($BR496&lt;&gt;Constants!$B$8,"",IF($AT496,Constants!$B$21*$AV496+Constants!$B$22*IF($AW496,$AX496,Constants!$B$23),Constants!$B$24))</f>
        <v/>
      </c>
      <c r="BL496" s="96" t="str">
        <f aca="false">IF($BR496&lt;&gt;Constants!$B$8,"",Constants!$B$25*ABS($AD$9-IF($AT496,$AU496,0)))</f>
        <v/>
      </c>
      <c r="BM496" s="96" t="str">
        <f aca="false">IF($BR496&lt;&gt;Constants!$B$8,"",IF(AND($AT496,$AY496,$AW496),Constants!$B$27,0))</f>
        <v/>
      </c>
      <c r="BN496" s="96" t="str">
        <f aca="false">IF($BR496&lt;&gt;Constants!$B$8,"",IF($AT496,($AI496-Constants!$B$29)*Constants!$B$28,0))</f>
        <v/>
      </c>
      <c r="BO496" s="96" t="str">
        <f aca="false">IF($BR496&lt;&gt;Constants!$B$8,"",IF($AS496,0,Constants!$B$15)+IF($AR496,0,Constants!$B$16)+IF($AH496,0,Constants!$B$17))</f>
        <v/>
      </c>
      <c r="BP496" s="97" t="str">
        <f aca="false">IF($BR496&lt;&gt;Constants!$B$8,"",Constants!$B$20+SUM($BK496:$BO496))</f>
        <v/>
      </c>
      <c r="BQ496" s="92" t="str">
        <f aca="false">IF(ISBLANK($C496),"",IF(ISBLANK($D$7),$BQ$5,IF(NOT(ISNUMBER($D$7)),$BQ$6,"")))</f>
        <v/>
      </c>
      <c r="BR496" s="92" t="str">
        <f aca="false">IF(ISBLANK($C496),"",IF($BA496,Constants!$B$11,IF(COUNTA($E496:$AA496)=0,Constants!$B$10,IF(NOT($AG496),Constants!$B$9,IF(OR($BQ496&lt;&gt;"",$BB496,$BJ496),Constants!$B$12,Constants!$B$8)))))</f>
        <v/>
      </c>
      <c r="BS496" s="92" t="str">
        <f aca="false">IF(ISBLANK($C496),"",IF($BR496&lt;&gt;Constants!$B$8,$BR496,Constants!$B$13))</f>
        <v/>
      </c>
      <c r="BT496" s="96" t="str">
        <f aca="false">IF($BR496&lt;&gt;Constants!$B$8,"",IF($BI496="-&gt;",$BP496,$BH496))</f>
        <v/>
      </c>
      <c r="BU496" s="96" t="str">
        <f aca="false">IF($BR496&lt;&gt;Constants!$B$8,"",IF($AF496,0,Constants!$B$18))</f>
        <v/>
      </c>
      <c r="BV496" s="96" t="str">
        <f aca="false">IF($BR496&lt;&gt;Constants!$B$8,"",((Constants!$B$31-$AZ496)-Constants!$B$31)/Constants!$B$32)</f>
        <v/>
      </c>
      <c r="BW496" s="96" t="str">
        <f aca="false">IF(ISBLANK($C496),"",IF($BR496&lt;&gt;Constants!$B$8,$BR496,SUM($BT496:$BV496)))</f>
        <v/>
      </c>
      <c r="BX496" s="92" t="str">
        <f aca="false">IF(ISBLANK($C496),"",IF($BR496&lt;&gt;Constants!$B$8,$BR496,RANK($BW496,$BW$9:$BW$508,1)))</f>
        <v/>
      </c>
      <c r="BY496" s="96" t="str">
        <f aca="false">IF($BR496&lt;&gt;Constants!$B$8,"",IF($BI496="-&gt;",$BK496,$BC496))</f>
        <v/>
      </c>
      <c r="BZ496" s="92" t="str">
        <f aca="false">IF(ISBLANK($C496),"",IF($BR496&lt;&gt;Constants!$B$8,$BR496,IF(ISNUMBER($BY496),RANK($BY496,$BY$9:$BY$508,1),COUNT($BY$9:$BY$508)+1)))</f>
        <v/>
      </c>
      <c r="CA496" s="96" t="str">
        <f aca="false">IF($BR496&lt;&gt;Constants!$B$8,"",IF($BI496="-&gt;",$BL496,$BD496))</f>
        <v/>
      </c>
      <c r="CB496" s="92" t="str">
        <f aca="false">IF(ISBLANK($C496),"",IF($BR496&lt;&gt;Constants!$B$8,$BR496,IF(ISNUMBER($CA496),RANK($CA496,$CA$9:$CA$508,1),COUNT($CA$9:$CA$508)+1)))</f>
        <v/>
      </c>
      <c r="CC496" s="96" t="str">
        <f aca="false">IF($BR496&lt;&gt;Constants!$B$8,"",IF($BI496="-&gt;",IF($AT496,$AV496,""),IF($AL496,$AN496,"")))</f>
        <v/>
      </c>
      <c r="CD496" s="92" t="str">
        <f aca="false">IF(ISBLANK($C496),"",IF($BR496&lt;&gt;Constants!$B$8,$BR496,IF(ISNUMBER($CC496),RANK($CC496,$CC$9:$CC$508,1),COUNT($CC$9:$CC$508)+1)))</f>
        <v/>
      </c>
      <c r="CE496" s="96" t="str">
        <f aca="false">IF($BR496&lt;&gt;Constants!$B$8,"",IF(AND(NOT($AL496),NOT($AT496),$AJ496,$AK496,$AR496,$AS496),"",$AI496))</f>
        <v/>
      </c>
      <c r="CF496" s="92" t="str">
        <f aca="false">IF(ISBLANK($C496),"",IF($BR496&lt;&gt;Constants!$B$8,$BR496,IF(ISNUMBER($CE496),RANK($CE496,$CE$9:$CE$508,1),COUNT($CE$9:$CE$508)+1)))</f>
        <v/>
      </c>
      <c r="CG496" s="92" t="str">
        <f aca="false">IF(ISBLANK($C496),"",IF($BR496&lt;&gt;Constants!$B$8,$BR496,COUNTIFS($BX$9:$BX$508,"&lt;"&amp;$BX496)+COUNTIFS($BX$9:$BX$508,$BX496,$BZ$9:$BZ$508,"&lt;"&amp;$BZ496)+COUNTIFS($BX$9:$BX$508,$BX496,$BZ$9:$BZ$508,$BZ496,$CB$9:$CB$508,"&lt;"&amp;$CB496)+COUNTIFS($BX$9:$BX$508,$BX496,$BZ$9:$BZ$508,$BZ496,$CB$9:$CB$508,$CB496,$CD$9:$CD$508,"&lt;"&amp;$CD496)+COUNTIFS($BX$9:$BX$508,$BX496,$BZ$9:$BZ$508,$BZ496,$CB$9:$CB$508,$CB496,$CD$9:$CD$508,$CD496,$CF$9:$CF$508,"&lt;"&amp;$CF496)+1))</f>
        <v/>
      </c>
      <c r="CH496" s="92" t="str">
        <f aca="false">IF(ISBLANK($C496),"",IF($BR496&lt;&gt;Constants!$B$8,$BR496,$BX496-$CG496))</f>
        <v/>
      </c>
      <c r="CI496" s="98"/>
      <c r="CJ496" s="99"/>
      <c r="CK496" s="100" t="str">
        <f aca="false">IF(ISBLANK($C496),"",IF($BR496=Constants!$B$12,$BQ496,""))</f>
        <v/>
      </c>
      <c r="CL496" s="99" t="str">
        <f aca="false">IF(ISBLANK($C496),"",IF($BR496&lt;&gt;Constants!$B$8,"",IF($BI496="-&gt;",2,1)))</f>
        <v/>
      </c>
      <c r="CM496" s="101" t="str">
        <f aca="false">IF(ISBLANK($C496),"",IF($BR496&lt;&gt;Constants!$B$8,"",IF($BI496="-&gt;",$BK496,$BC496)))</f>
        <v/>
      </c>
      <c r="CN496" s="101" t="str">
        <f aca="false">IF(ISBLANK($C496),"",IF($BR496&lt;&gt;Constants!$B$8,"",IF($BI496="-&gt;",$BL496,$BD496)))</f>
        <v/>
      </c>
      <c r="CO496" s="101" t="str">
        <f aca="false">IF(ISBLANK($C496),"",IF($BR496&lt;&gt;Constants!$B$8,"",IF($BI496="-&gt;",$BM496+$BN496,$BE496+$BF496)+$BV496))</f>
        <v/>
      </c>
      <c r="CP496" s="101" t="str">
        <f aca="false">IF(ISBLANK($C496),"",IF($BR496&lt;&gt;Constants!$B$8,"",IF($BI496="-&gt;",$BO496,$BG496)+$BU496))</f>
        <v/>
      </c>
      <c r="CQ496" s="102" t="str">
        <f aca="false">IF(ISBLANK($C496),"",IF($BR496&lt;&gt;Constants!$B$8,$BR496,$BW496))</f>
        <v/>
      </c>
      <c r="CR496" s="103" t="str">
        <f aca="false">IF(ISBLANK($C496),"",$BS496)</f>
        <v/>
      </c>
      <c r="CS496" s="104" t="str">
        <f aca="false">IF(ISBLANK($C496),"",$CH496)</f>
        <v/>
      </c>
      <c r="CT496" s="104" t="str">
        <f aca="false">IF(ISBLANK($C496),"",$CG496)</f>
        <v/>
      </c>
      <c r="CU496" s="105" t="str">
        <f aca="false">IF(ISBLANK($C496),"",IFERROR(_xlfn.SWITCH($CT496,Constants!$B$11,COUNTA($C$9:$C$508)+2,Constants!$B$10,COUNTA($C$9:$C$508)+1,Constants!$B$9,COUNTA($C$9:$C$508)),$CT496))</f>
        <v/>
      </c>
      <c r="CV496" s="9"/>
      <c r="CW496" s="106" t="n">
        <f aca="false">IF(OR(ISNUMBER($CT496),$CT496=Constants!$B$11,$CT496=Constants!$B$9,$CT496=Constants!$B$10),1,0)</f>
        <v>0</v>
      </c>
      <c r="CX496" s="106" t="n">
        <v>488</v>
      </c>
      <c r="CY496" s="106" t="str">
        <f aca="false">IF(ISBLANK($C496),"",IF(ISNUMBER($CU496),$CU496+ROW($B496)/1000,""))</f>
        <v/>
      </c>
      <c r="CZ496" s="106" t="str">
        <f aca="false">IF(ISNUMBER($CY496),RANK($CY496,$CY$9:$CY$508,1),"")</f>
        <v/>
      </c>
      <c r="DA496" s="106" t="str">
        <f aca="false">IF(ISBLANK($C496),"",$B496)</f>
        <v/>
      </c>
      <c r="DB496" s="106" t="str">
        <f aca="false">IF(ISBLANK($C496),"",$C496)</f>
        <v/>
      </c>
      <c r="DC496" s="106" t="str">
        <f aca="false">IF(ISBLANK($C496),"",$D496)</f>
        <v/>
      </c>
      <c r="DD496" s="107" t="str">
        <f aca="false">$CR496</f>
        <v/>
      </c>
      <c r="DE496" s="108" t="str">
        <f aca="false">$CQ496</f>
        <v/>
      </c>
      <c r="DF496" s="106" t="str">
        <f aca="false">IF(ISBLANK($C496),"",$CT496)</f>
        <v/>
      </c>
      <c r="DG496" s="109" t="str">
        <f aca="false">IF($CX496&gt;$CW$8,"",VLOOKUP($CX496,$CZ$9:$DF$508,7,FALSE()))</f>
        <v/>
      </c>
      <c r="DH496" s="110" t="str">
        <f aca="false">IF($CX496&gt;$CW$8,"",VLOOKUP($CX496,$CZ$9:$DF$508,2,FALSE()))</f>
        <v/>
      </c>
      <c r="DI496" s="110" t="str">
        <f aca="false">IF($CX496&gt;$CW$8,"",VLOOKUP($CX496,$CZ$9:$DF$508,3,FALSE()))</f>
        <v/>
      </c>
      <c r="DJ496" s="110" t="str">
        <f aca="false">IF($CX496&gt;$CW$8,"",VLOOKUP($CX496,$CZ$9:$DF$508,4,FALSE()))</f>
        <v/>
      </c>
      <c r="DK496" s="110" t="str">
        <f aca="false">IF($CX496&gt;$CW$8,"",VLOOKUP($CX496,$CZ$9:$DF$508,5,FALSE()))</f>
        <v/>
      </c>
      <c r="DL496" s="111" t="str">
        <f aca="false">IF($CX496&gt;$CW$8,"",VLOOKUP($CX496,$CZ$9:$DF$508,6,FALSE()))</f>
        <v/>
      </c>
      <c r="DM496" s="75"/>
    </row>
    <row r="497" customFormat="false" ht="15.75" hidden="false" customHeight="false" outlineLevel="0" collapsed="false">
      <c r="A497" s="9"/>
      <c r="B497" s="77"/>
      <c r="C497" s="78"/>
      <c r="D497" s="167"/>
      <c r="E497" s="175"/>
      <c r="F497" s="169"/>
      <c r="G497" s="170"/>
      <c r="H497" s="170"/>
      <c r="I497" s="176"/>
      <c r="J497" s="173"/>
      <c r="K497" s="85"/>
      <c r="L497" s="86"/>
      <c r="M497" s="87"/>
      <c r="N497" s="173"/>
      <c r="O497" s="173"/>
      <c r="P497" s="175"/>
      <c r="Q497" s="173"/>
      <c r="R497" s="173"/>
      <c r="S497" s="85"/>
      <c r="T497" s="87"/>
      <c r="U497" s="87"/>
      <c r="V497" s="173"/>
      <c r="W497" s="173"/>
      <c r="X497" s="175"/>
      <c r="Y497" s="173"/>
      <c r="Z497" s="174"/>
      <c r="AA497" s="173"/>
      <c r="AB497" s="91"/>
      <c r="AC497" s="92"/>
      <c r="AD497" s="92"/>
      <c r="AE497" s="92"/>
      <c r="AF497" s="92" t="str">
        <f aca="false">IF(ISBLANK($C497),"",IF(E497=Constants!$B$3,TRUE(),IF(E497=Constants!$B$4,FALSE(),TRUE())))</f>
        <v/>
      </c>
      <c r="AG497" s="92" t="str">
        <f aca="false">IF(ISBLANK($C497),"",IF(F497=Constants!$B$3,TRUE(),IF(F497=Constants!$B$4,FALSE(),TRUE())))</f>
        <v/>
      </c>
      <c r="AH497" s="92" t="str">
        <f aca="false">IF(ISBLANK($C497),"",IF(G497=Constants!$B$3,TRUE(),IF(G497=Constants!$B$4,FALSE(),TRUE())))</f>
        <v/>
      </c>
      <c r="AI497" s="92" t="str">
        <f aca="false">IF(ISBLANK($C497),"",IF(AND(ISNUMBER(H497),H497&gt;=0),H497,Constants!$B$29))</f>
        <v/>
      </c>
      <c r="AJ497" s="92" t="str">
        <f aca="false">IF(ISBLANK($C497),"",IF(I497=Constants!$B$3,TRUE(),IF(I497=Constants!$B$4,FALSE(),TRUE())))</f>
        <v/>
      </c>
      <c r="AK497" s="92" t="str">
        <f aca="false">IF(ISBLANK($C497),"",IF(J497=Constants!$B$3,TRUE(),IF(J497=Constants!$B$4,FALSE(),TRUE())))</f>
        <v/>
      </c>
      <c r="AL497" s="92" t="str">
        <f aca="false">IF(ISBLANK($C497),"",IF(K497=Constants!$B$5,TRUE(),IF(K497=Constants!$B$6,FALSE(),COUNTA(L497:P497)&gt;0)))</f>
        <v/>
      </c>
      <c r="AM497" s="94" t="str">
        <f aca="false">IF(ISBLANK($C497),"",IF(ISNUMBER(L497),IF(L497&gt;=0,L497,""),""))</f>
        <v/>
      </c>
      <c r="AN497" s="93" t="str">
        <f aca="false">IF(ISBLANK($C497),"",IF(ISNUMBER(M497),IF(M497&gt;=0,M497,""),""))</f>
        <v/>
      </c>
      <c r="AO497" s="93" t="str">
        <f aca="false">IF(ISBLANK($C497),"",IF(N497=Constants!$B$3,TRUE(),IF(N497=Constants!$B$4,FALSE(),TRUE())))</f>
        <v/>
      </c>
      <c r="AP497" s="92" t="str">
        <f aca="false">IF(ISBLANK($C497),"",IF(ISNUMBER(O497),IF(O497&gt;=0,O497,""),""))</f>
        <v/>
      </c>
      <c r="AQ497" s="92" t="str">
        <f aca="false">IF(ISBLANK($C497),"",IF(P497=Constants!$B$3,TRUE(),IF(P497=Constants!$B$4,FALSE(),FALSE())))</f>
        <v/>
      </c>
      <c r="AR497" s="92" t="str">
        <f aca="false">IF(ISBLANK($C497),"",IF(Q497=Constants!$B$3,TRUE(),IF(Q497=Constants!$B$4,FALSE(),TRUE())))</f>
        <v/>
      </c>
      <c r="AS497" s="92" t="str">
        <f aca="false">IF(ISBLANK($C497),"",IF(R497=Constants!$B$3,TRUE(),IF(R497=Constants!$B$4,FALSE(),TRUE())))</f>
        <v/>
      </c>
      <c r="AT497" s="92" t="str">
        <f aca="false">IF(ISBLANK($C497),"",IF(S497=Constants!$B$5,TRUE(),IF(S497=Constants!$B$6,FALSE(),COUNTA(T497:X497)&gt;0)))</f>
        <v/>
      </c>
      <c r="AU497" s="94" t="str">
        <f aca="false">IF(ISBLANK($C497),"",IF(ISNUMBER(T497),IF(T497&gt;=0,T497,""),""))</f>
        <v/>
      </c>
      <c r="AV497" s="93" t="str">
        <f aca="false">IF(ISBLANK($C497),"",IF(ISNUMBER(U497),IF(U497&gt;=0,U497,""),""))</f>
        <v/>
      </c>
      <c r="AW497" s="93" t="str">
        <f aca="false">IF(ISBLANK($C497),"",IF(V497=Constants!$B$3,TRUE(),IF(V497=Constants!$B$4,FALSE(),TRUE())))</f>
        <v/>
      </c>
      <c r="AX497" s="92" t="str">
        <f aca="false">IF(ISBLANK($C497),"",IF(ISNUMBER(W497),IF(W497&gt;=0,W497,""),""))</f>
        <v/>
      </c>
      <c r="AY497" s="92" t="str">
        <f aca="false">IF(ISBLANK($C497),"",IF(X497=Constants!$B$3,TRUE(),IF(X497=Constants!$B$4,FALSE(),FALSE())))</f>
        <v/>
      </c>
      <c r="AZ497" s="92" t="str">
        <f aca="false">IF(ISBLANK($C497),"",MIN(Constants!$B$31,MAX(0,IF(ISNUMBER(Y497),Y497*60,0)+IF(ISNUMBER(Z497),Z497,0))))</f>
        <v/>
      </c>
      <c r="BA497" s="92" t="str">
        <f aca="false">IF(ISBLANK($C497),"",IF(AA497=Constants!$B$3,TRUE(),IF(AA497=Constants!$B$4,FALSE(),FALSE())))</f>
        <v/>
      </c>
      <c r="BB497" s="91" t="str">
        <f aca="false">IF(ISBLANK($C497),"",AND($AL497,OR($AM497="",$AN497="",AND($AO497,$AP497=""))))</f>
        <v/>
      </c>
      <c r="BC497" s="93" t="str">
        <f aca="false">IF($BR497&lt;&gt;Constants!$B$8,"",IF($AL497,Constants!$B$21*$AN497+Constants!$B$22*IF($AO497,$AP497,Constants!$B$23),Constants!$B$24))</f>
        <v/>
      </c>
      <c r="BD497" s="96" t="str">
        <f aca="false">IF($BR497&lt;&gt;Constants!$B$8,"",Constants!$B$25*ABS($AD$9-IF($AL497,$AM497,0)))</f>
        <v/>
      </c>
      <c r="BE497" s="96" t="str">
        <f aca="false">IF($BR497&lt;&gt;Constants!$B$8,"",IF(AND($AL497,$AQ497,$AO497),Constants!$B$27,0))</f>
        <v/>
      </c>
      <c r="BF497" s="96" t="str">
        <f aca="false">IF($BR497&lt;&gt;Constants!$B$8,"",IF($AL497,($AI497-Constants!$B$29)*Constants!$B$28,0))</f>
        <v/>
      </c>
      <c r="BG497" s="96" t="str">
        <f aca="false">IF($BR497&lt;&gt;Constants!$B$8,"",IF($AK497,0,Constants!$B$15)+IF($AJ497,0,Constants!$B$16)+IF($AH497,0,Constants!$B$17))</f>
        <v/>
      </c>
      <c r="BH497" s="97" t="str">
        <f aca="false">IF($BR497&lt;&gt;Constants!$B$8,"",Constants!$B$20+SUM($BC497:$BG497))</f>
        <v/>
      </c>
      <c r="BI497" s="92" t="str">
        <f aca="false">IF($BR497&lt;&gt;Constants!$B$8,"",IF(OR($BP497&lt;$BH497,AND($BP497=$BH497,OR($BK497&lt;$BC497,AND($BK497=$BC497,OR($BL497&lt;$BD497,AND($BL497=$BD497,$AT497,$AL497,$AV497&lt;$AN497)))))),"-&gt;","&lt;-"))</f>
        <v/>
      </c>
      <c r="BJ497" s="91" t="str">
        <f aca="false">IF(ISBLANK($C497),"",AND($AT497,OR($AU497="",$AV497="",AND($AW497,$AX497=""))))</f>
        <v/>
      </c>
      <c r="BK497" s="93" t="str">
        <f aca="false">IF($BR497&lt;&gt;Constants!$B$8,"",IF($AT497,Constants!$B$21*$AV497+Constants!$B$22*IF($AW497,$AX497,Constants!$B$23),Constants!$B$24))</f>
        <v/>
      </c>
      <c r="BL497" s="96" t="str">
        <f aca="false">IF($BR497&lt;&gt;Constants!$B$8,"",Constants!$B$25*ABS($AD$9-IF($AT497,$AU497,0)))</f>
        <v/>
      </c>
      <c r="BM497" s="96" t="str">
        <f aca="false">IF($BR497&lt;&gt;Constants!$B$8,"",IF(AND($AT497,$AY497,$AW497),Constants!$B$27,0))</f>
        <v/>
      </c>
      <c r="BN497" s="96" t="str">
        <f aca="false">IF($BR497&lt;&gt;Constants!$B$8,"",IF($AT497,($AI497-Constants!$B$29)*Constants!$B$28,0))</f>
        <v/>
      </c>
      <c r="BO497" s="96" t="str">
        <f aca="false">IF($BR497&lt;&gt;Constants!$B$8,"",IF($AS497,0,Constants!$B$15)+IF($AR497,0,Constants!$B$16)+IF($AH497,0,Constants!$B$17))</f>
        <v/>
      </c>
      <c r="BP497" s="97" t="str">
        <f aca="false">IF($BR497&lt;&gt;Constants!$B$8,"",Constants!$B$20+SUM($BK497:$BO497))</f>
        <v/>
      </c>
      <c r="BQ497" s="92" t="str">
        <f aca="false">IF(ISBLANK($C497),"",IF(ISBLANK($D$7),$BQ$5,IF(NOT(ISNUMBER($D$7)),$BQ$6,"")))</f>
        <v/>
      </c>
      <c r="BR497" s="92" t="str">
        <f aca="false">IF(ISBLANK($C497),"",IF($BA497,Constants!$B$11,IF(COUNTA($E497:$AA497)=0,Constants!$B$10,IF(NOT($AG497),Constants!$B$9,IF(OR($BQ497&lt;&gt;"",$BB497,$BJ497),Constants!$B$12,Constants!$B$8)))))</f>
        <v/>
      </c>
      <c r="BS497" s="92" t="str">
        <f aca="false">IF(ISBLANK($C497),"",IF($BR497&lt;&gt;Constants!$B$8,$BR497,Constants!$B$13))</f>
        <v/>
      </c>
      <c r="BT497" s="96" t="str">
        <f aca="false">IF($BR497&lt;&gt;Constants!$B$8,"",IF($BI497="-&gt;",$BP497,$BH497))</f>
        <v/>
      </c>
      <c r="BU497" s="96" t="str">
        <f aca="false">IF($BR497&lt;&gt;Constants!$B$8,"",IF($AF497,0,Constants!$B$18))</f>
        <v/>
      </c>
      <c r="BV497" s="96" t="str">
        <f aca="false">IF($BR497&lt;&gt;Constants!$B$8,"",((Constants!$B$31-$AZ497)-Constants!$B$31)/Constants!$B$32)</f>
        <v/>
      </c>
      <c r="BW497" s="96" t="str">
        <f aca="false">IF(ISBLANK($C497),"",IF($BR497&lt;&gt;Constants!$B$8,$BR497,SUM($BT497:$BV497)))</f>
        <v/>
      </c>
      <c r="BX497" s="92" t="str">
        <f aca="false">IF(ISBLANK($C497),"",IF($BR497&lt;&gt;Constants!$B$8,$BR497,RANK($BW497,$BW$9:$BW$508,1)))</f>
        <v/>
      </c>
      <c r="BY497" s="96" t="str">
        <f aca="false">IF($BR497&lt;&gt;Constants!$B$8,"",IF($BI497="-&gt;",$BK497,$BC497))</f>
        <v/>
      </c>
      <c r="BZ497" s="92" t="str">
        <f aca="false">IF(ISBLANK($C497),"",IF($BR497&lt;&gt;Constants!$B$8,$BR497,IF(ISNUMBER($BY497),RANK($BY497,$BY$9:$BY$508,1),COUNT($BY$9:$BY$508)+1)))</f>
        <v/>
      </c>
      <c r="CA497" s="96" t="str">
        <f aca="false">IF($BR497&lt;&gt;Constants!$B$8,"",IF($BI497="-&gt;",$BL497,$BD497))</f>
        <v/>
      </c>
      <c r="CB497" s="92" t="str">
        <f aca="false">IF(ISBLANK($C497),"",IF($BR497&lt;&gt;Constants!$B$8,$BR497,IF(ISNUMBER($CA497),RANK($CA497,$CA$9:$CA$508,1),COUNT($CA$9:$CA$508)+1)))</f>
        <v/>
      </c>
      <c r="CC497" s="96" t="str">
        <f aca="false">IF($BR497&lt;&gt;Constants!$B$8,"",IF($BI497="-&gt;",IF($AT497,$AV497,""),IF($AL497,$AN497,"")))</f>
        <v/>
      </c>
      <c r="CD497" s="92" t="str">
        <f aca="false">IF(ISBLANK($C497),"",IF($BR497&lt;&gt;Constants!$B$8,$BR497,IF(ISNUMBER($CC497),RANK($CC497,$CC$9:$CC$508,1),COUNT($CC$9:$CC$508)+1)))</f>
        <v/>
      </c>
      <c r="CE497" s="96" t="str">
        <f aca="false">IF($BR497&lt;&gt;Constants!$B$8,"",IF(AND(NOT($AL497),NOT($AT497),$AJ497,$AK497,$AR497,$AS497),"",$AI497))</f>
        <v/>
      </c>
      <c r="CF497" s="92" t="str">
        <f aca="false">IF(ISBLANK($C497),"",IF($BR497&lt;&gt;Constants!$B$8,$BR497,IF(ISNUMBER($CE497),RANK($CE497,$CE$9:$CE$508,1),COUNT($CE$9:$CE$508)+1)))</f>
        <v/>
      </c>
      <c r="CG497" s="92" t="str">
        <f aca="false">IF(ISBLANK($C497),"",IF($BR497&lt;&gt;Constants!$B$8,$BR497,COUNTIFS($BX$9:$BX$508,"&lt;"&amp;$BX497)+COUNTIFS($BX$9:$BX$508,$BX497,$BZ$9:$BZ$508,"&lt;"&amp;$BZ497)+COUNTIFS($BX$9:$BX$508,$BX497,$BZ$9:$BZ$508,$BZ497,$CB$9:$CB$508,"&lt;"&amp;$CB497)+COUNTIFS($BX$9:$BX$508,$BX497,$BZ$9:$BZ$508,$BZ497,$CB$9:$CB$508,$CB497,$CD$9:$CD$508,"&lt;"&amp;$CD497)+COUNTIFS($BX$9:$BX$508,$BX497,$BZ$9:$BZ$508,$BZ497,$CB$9:$CB$508,$CB497,$CD$9:$CD$508,$CD497,$CF$9:$CF$508,"&lt;"&amp;$CF497)+1))</f>
        <v/>
      </c>
      <c r="CH497" s="92" t="str">
        <f aca="false">IF(ISBLANK($C497),"",IF($BR497&lt;&gt;Constants!$B$8,$BR497,$BX497-$CG497))</f>
        <v/>
      </c>
      <c r="CI497" s="98"/>
      <c r="CJ497" s="99"/>
      <c r="CK497" s="100" t="str">
        <f aca="false">IF(ISBLANK($C497),"",IF($BR497=Constants!$B$12,$BQ497,""))</f>
        <v/>
      </c>
      <c r="CL497" s="99" t="str">
        <f aca="false">IF(ISBLANK($C497),"",IF($BR497&lt;&gt;Constants!$B$8,"",IF($BI497="-&gt;",2,1)))</f>
        <v/>
      </c>
      <c r="CM497" s="101" t="str">
        <f aca="false">IF(ISBLANK($C497),"",IF($BR497&lt;&gt;Constants!$B$8,"",IF($BI497="-&gt;",$BK497,$BC497)))</f>
        <v/>
      </c>
      <c r="CN497" s="101" t="str">
        <f aca="false">IF(ISBLANK($C497),"",IF($BR497&lt;&gt;Constants!$B$8,"",IF($BI497="-&gt;",$BL497,$BD497)))</f>
        <v/>
      </c>
      <c r="CO497" s="101" t="str">
        <f aca="false">IF(ISBLANK($C497),"",IF($BR497&lt;&gt;Constants!$B$8,"",IF($BI497="-&gt;",$BM497+$BN497,$BE497+$BF497)+$BV497))</f>
        <v/>
      </c>
      <c r="CP497" s="101" t="str">
        <f aca="false">IF(ISBLANK($C497),"",IF($BR497&lt;&gt;Constants!$B$8,"",IF($BI497="-&gt;",$BO497,$BG497)+$BU497))</f>
        <v/>
      </c>
      <c r="CQ497" s="102" t="str">
        <f aca="false">IF(ISBLANK($C497),"",IF($BR497&lt;&gt;Constants!$B$8,$BR497,$BW497))</f>
        <v/>
      </c>
      <c r="CR497" s="103" t="str">
        <f aca="false">IF(ISBLANK($C497),"",$BS497)</f>
        <v/>
      </c>
      <c r="CS497" s="104" t="str">
        <f aca="false">IF(ISBLANK($C497),"",$CH497)</f>
        <v/>
      </c>
      <c r="CT497" s="104" t="str">
        <f aca="false">IF(ISBLANK($C497),"",$CG497)</f>
        <v/>
      </c>
      <c r="CU497" s="105" t="str">
        <f aca="false">IF(ISBLANK($C497),"",IFERROR(_xlfn.SWITCH($CT497,Constants!$B$11,COUNTA($C$9:$C$508)+2,Constants!$B$10,COUNTA($C$9:$C$508)+1,Constants!$B$9,COUNTA($C$9:$C$508)),$CT497))</f>
        <v/>
      </c>
      <c r="CV497" s="9"/>
      <c r="CW497" s="106" t="n">
        <f aca="false">IF(OR(ISNUMBER($CT497),$CT497=Constants!$B$11,$CT497=Constants!$B$9,$CT497=Constants!$B$10),1,0)</f>
        <v>0</v>
      </c>
      <c r="CX497" s="106" t="n">
        <v>489</v>
      </c>
      <c r="CY497" s="106" t="str">
        <f aca="false">IF(ISBLANK($C497),"",IF(ISNUMBER($CU497),$CU497+ROW($B497)/1000,""))</f>
        <v/>
      </c>
      <c r="CZ497" s="106" t="str">
        <f aca="false">IF(ISNUMBER($CY497),RANK($CY497,$CY$9:$CY$508,1),"")</f>
        <v/>
      </c>
      <c r="DA497" s="106" t="str">
        <f aca="false">IF(ISBLANK($C497),"",$B497)</f>
        <v/>
      </c>
      <c r="DB497" s="106" t="str">
        <f aca="false">IF(ISBLANK($C497),"",$C497)</f>
        <v/>
      </c>
      <c r="DC497" s="106" t="str">
        <f aca="false">IF(ISBLANK($C497),"",$D497)</f>
        <v/>
      </c>
      <c r="DD497" s="107" t="str">
        <f aca="false">$CR497</f>
        <v/>
      </c>
      <c r="DE497" s="108" t="str">
        <f aca="false">$CQ497</f>
        <v/>
      </c>
      <c r="DF497" s="106" t="str">
        <f aca="false">IF(ISBLANK($C497),"",$CT497)</f>
        <v/>
      </c>
      <c r="DG497" s="109" t="str">
        <f aca="false">IF($CX497&gt;$CW$8,"",VLOOKUP($CX497,$CZ$9:$DF$508,7,FALSE()))</f>
        <v/>
      </c>
      <c r="DH497" s="110" t="str">
        <f aca="false">IF($CX497&gt;$CW$8,"",VLOOKUP($CX497,$CZ$9:$DF$508,2,FALSE()))</f>
        <v/>
      </c>
      <c r="DI497" s="110" t="str">
        <f aca="false">IF($CX497&gt;$CW$8,"",VLOOKUP($CX497,$CZ$9:$DF$508,3,FALSE()))</f>
        <v/>
      </c>
      <c r="DJ497" s="110" t="str">
        <f aca="false">IF($CX497&gt;$CW$8,"",VLOOKUP($CX497,$CZ$9:$DF$508,4,FALSE()))</f>
        <v/>
      </c>
      <c r="DK497" s="110" t="str">
        <f aca="false">IF($CX497&gt;$CW$8,"",VLOOKUP($CX497,$CZ$9:$DF$508,5,FALSE()))</f>
        <v/>
      </c>
      <c r="DL497" s="111" t="str">
        <f aca="false">IF($CX497&gt;$CW$8,"",VLOOKUP($CX497,$CZ$9:$DF$508,6,FALSE()))</f>
        <v/>
      </c>
      <c r="DM497" s="75"/>
    </row>
    <row r="498" customFormat="false" ht="15.75" hidden="false" customHeight="false" outlineLevel="0" collapsed="false">
      <c r="A498" s="9"/>
      <c r="B498" s="157"/>
      <c r="C498" s="158"/>
      <c r="D498" s="159"/>
      <c r="E498" s="177"/>
      <c r="F498" s="161"/>
      <c r="G498" s="162"/>
      <c r="H498" s="162"/>
      <c r="I498" s="178"/>
      <c r="J498" s="165"/>
      <c r="K498" s="126"/>
      <c r="L498" s="127"/>
      <c r="M498" s="128"/>
      <c r="N498" s="165"/>
      <c r="O498" s="165"/>
      <c r="P498" s="177"/>
      <c r="Q498" s="165"/>
      <c r="R498" s="165"/>
      <c r="S498" s="126"/>
      <c r="T498" s="128"/>
      <c r="U498" s="128"/>
      <c r="V498" s="165"/>
      <c r="W498" s="165"/>
      <c r="X498" s="177"/>
      <c r="Y498" s="165"/>
      <c r="Z498" s="166"/>
      <c r="AA498" s="165"/>
      <c r="AB498" s="132"/>
      <c r="AC498" s="133"/>
      <c r="AD498" s="133"/>
      <c r="AE498" s="133"/>
      <c r="AF498" s="133" t="str">
        <f aca="false">IF(ISBLANK($C498),"",IF(E498=Constants!$B$3,TRUE(),IF(E498=Constants!$B$4,FALSE(),TRUE())))</f>
        <v/>
      </c>
      <c r="AG498" s="133" t="str">
        <f aca="false">IF(ISBLANK($C498),"",IF(F498=Constants!$B$3,TRUE(),IF(F498=Constants!$B$4,FALSE(),TRUE())))</f>
        <v/>
      </c>
      <c r="AH498" s="133" t="str">
        <f aca="false">IF(ISBLANK($C498),"",IF(G498=Constants!$B$3,TRUE(),IF(G498=Constants!$B$4,FALSE(),TRUE())))</f>
        <v/>
      </c>
      <c r="AI498" s="133" t="str">
        <f aca="false">IF(ISBLANK($C498),"",IF(AND(ISNUMBER(H498),H498&gt;=0),H498,Constants!$B$29))</f>
        <v/>
      </c>
      <c r="AJ498" s="133" t="str">
        <f aca="false">IF(ISBLANK($C498),"",IF(I498=Constants!$B$3,TRUE(),IF(I498=Constants!$B$4,FALSE(),TRUE())))</f>
        <v/>
      </c>
      <c r="AK498" s="133" t="str">
        <f aca="false">IF(ISBLANK($C498),"",IF(J498=Constants!$B$3,TRUE(),IF(J498=Constants!$B$4,FALSE(),TRUE())))</f>
        <v/>
      </c>
      <c r="AL498" s="133" t="str">
        <f aca="false">IF(ISBLANK($C498),"",IF(K498=Constants!$B$5,TRUE(),IF(K498=Constants!$B$6,FALSE(),COUNTA(L498:P498)&gt;0)))</f>
        <v/>
      </c>
      <c r="AM498" s="134" t="str">
        <f aca="false">IF(ISBLANK($C498),"",IF(ISNUMBER(L498),IF(L498&gt;=0,L498,""),""))</f>
        <v/>
      </c>
      <c r="AN498" s="135" t="str">
        <f aca="false">IF(ISBLANK($C498),"",IF(ISNUMBER(M498),IF(M498&gt;=0,M498,""),""))</f>
        <v/>
      </c>
      <c r="AO498" s="135" t="str">
        <f aca="false">IF(ISBLANK($C498),"",IF(N498=Constants!$B$3,TRUE(),IF(N498=Constants!$B$4,FALSE(),TRUE())))</f>
        <v/>
      </c>
      <c r="AP498" s="133" t="str">
        <f aca="false">IF(ISBLANK($C498),"",IF(ISNUMBER(O498),IF(O498&gt;=0,O498,""),""))</f>
        <v/>
      </c>
      <c r="AQ498" s="133" t="str">
        <f aca="false">IF(ISBLANK($C498),"",IF(P498=Constants!$B$3,TRUE(),IF(P498=Constants!$B$4,FALSE(),FALSE())))</f>
        <v/>
      </c>
      <c r="AR498" s="133" t="str">
        <f aca="false">IF(ISBLANK($C498),"",IF(Q498=Constants!$B$3,TRUE(),IF(Q498=Constants!$B$4,FALSE(),TRUE())))</f>
        <v/>
      </c>
      <c r="AS498" s="133" t="str">
        <f aca="false">IF(ISBLANK($C498),"",IF(R498=Constants!$B$3,TRUE(),IF(R498=Constants!$B$4,FALSE(),TRUE())))</f>
        <v/>
      </c>
      <c r="AT498" s="133" t="str">
        <f aca="false">IF(ISBLANK($C498),"",IF(S498=Constants!$B$5,TRUE(),IF(S498=Constants!$B$6,FALSE(),COUNTA(T498:X498)&gt;0)))</f>
        <v/>
      </c>
      <c r="AU498" s="134" t="str">
        <f aca="false">IF(ISBLANK($C498),"",IF(ISNUMBER(T498),IF(T498&gt;=0,T498,""),""))</f>
        <v/>
      </c>
      <c r="AV498" s="135" t="str">
        <f aca="false">IF(ISBLANK($C498),"",IF(ISNUMBER(U498),IF(U498&gt;=0,U498,""),""))</f>
        <v/>
      </c>
      <c r="AW498" s="135" t="str">
        <f aca="false">IF(ISBLANK($C498),"",IF(V498=Constants!$B$3,TRUE(),IF(V498=Constants!$B$4,FALSE(),TRUE())))</f>
        <v/>
      </c>
      <c r="AX498" s="133" t="str">
        <f aca="false">IF(ISBLANK($C498),"",IF(ISNUMBER(W498),IF(W498&gt;=0,W498,""),""))</f>
        <v/>
      </c>
      <c r="AY498" s="133" t="str">
        <f aca="false">IF(ISBLANK($C498),"",IF(X498=Constants!$B$3,TRUE(),IF(X498=Constants!$B$4,FALSE(),FALSE())))</f>
        <v/>
      </c>
      <c r="AZ498" s="133" t="str">
        <f aca="false">IF(ISBLANK($C498),"",MIN(Constants!$B$31,MAX(0,IF(ISNUMBER(Y498),Y498*60,0)+IF(ISNUMBER(Z498),Z498,0))))</f>
        <v/>
      </c>
      <c r="BA498" s="133" t="str">
        <f aca="false">IF(ISBLANK($C498),"",IF(AA498=Constants!$B$3,TRUE(),IF(AA498=Constants!$B$4,FALSE(),FALSE())))</f>
        <v/>
      </c>
      <c r="BB498" s="132" t="str">
        <f aca="false">IF(ISBLANK($C498),"",AND($AL498,OR($AM498="",$AN498="",AND($AO498,$AP498=""))))</f>
        <v/>
      </c>
      <c r="BC498" s="135" t="str">
        <f aca="false">IF($BR498&lt;&gt;Constants!$B$8,"",IF($AL498,Constants!$B$21*$AN498+Constants!$B$22*IF($AO498,$AP498,Constants!$B$23),Constants!$B$24))</f>
        <v/>
      </c>
      <c r="BD498" s="136" t="str">
        <f aca="false">IF($BR498&lt;&gt;Constants!$B$8,"",Constants!$B$25*ABS($AD$9-IF($AL498,$AM498,0)))</f>
        <v/>
      </c>
      <c r="BE498" s="136" t="str">
        <f aca="false">IF($BR498&lt;&gt;Constants!$B$8,"",IF(AND($AL498,$AQ498,$AO498),Constants!$B$27,0))</f>
        <v/>
      </c>
      <c r="BF498" s="136" t="str">
        <f aca="false">IF($BR498&lt;&gt;Constants!$B$8,"",IF($AL498,($AI498-Constants!$B$29)*Constants!$B$28,0))</f>
        <v/>
      </c>
      <c r="BG498" s="136" t="str">
        <f aca="false">IF($BR498&lt;&gt;Constants!$B$8,"",IF($AK498,0,Constants!$B$15)+IF($AJ498,0,Constants!$B$16)+IF($AH498,0,Constants!$B$17))</f>
        <v/>
      </c>
      <c r="BH498" s="137" t="str">
        <f aca="false">IF($BR498&lt;&gt;Constants!$B$8,"",Constants!$B$20+SUM($BC498:$BG498))</f>
        <v/>
      </c>
      <c r="BI498" s="133" t="str">
        <f aca="false">IF($BR498&lt;&gt;Constants!$B$8,"",IF(OR($BP498&lt;$BH498,AND($BP498=$BH498,OR($BK498&lt;$BC498,AND($BK498=$BC498,OR($BL498&lt;$BD498,AND($BL498=$BD498,$AT498,$AL498,$AV498&lt;$AN498)))))),"-&gt;","&lt;-"))</f>
        <v/>
      </c>
      <c r="BJ498" s="132" t="str">
        <f aca="false">IF(ISBLANK($C498),"",AND($AT498,OR($AU498="",$AV498="",AND($AW498,$AX498=""))))</f>
        <v/>
      </c>
      <c r="BK498" s="135" t="str">
        <f aca="false">IF($BR498&lt;&gt;Constants!$B$8,"",IF($AT498,Constants!$B$21*$AV498+Constants!$B$22*IF($AW498,$AX498,Constants!$B$23),Constants!$B$24))</f>
        <v/>
      </c>
      <c r="BL498" s="136" t="str">
        <f aca="false">IF($BR498&lt;&gt;Constants!$B$8,"",Constants!$B$25*ABS($AD$9-IF($AT498,$AU498,0)))</f>
        <v/>
      </c>
      <c r="BM498" s="136" t="str">
        <f aca="false">IF($BR498&lt;&gt;Constants!$B$8,"",IF(AND($AT498,$AY498,$AW498),Constants!$B$27,0))</f>
        <v/>
      </c>
      <c r="BN498" s="136" t="str">
        <f aca="false">IF($BR498&lt;&gt;Constants!$B$8,"",IF($AT498,($AI498-Constants!$B$29)*Constants!$B$28,0))</f>
        <v/>
      </c>
      <c r="BO498" s="136" t="str">
        <f aca="false">IF($BR498&lt;&gt;Constants!$B$8,"",IF($AS498,0,Constants!$B$15)+IF($AR498,0,Constants!$B$16)+IF($AH498,0,Constants!$B$17))</f>
        <v/>
      </c>
      <c r="BP498" s="137" t="str">
        <f aca="false">IF($BR498&lt;&gt;Constants!$B$8,"",Constants!$B$20+SUM($BK498:$BO498))</f>
        <v/>
      </c>
      <c r="BQ498" s="133" t="str">
        <f aca="false">IF(ISBLANK($C498),"",IF(ISBLANK($D$7),$BQ$5,IF(NOT(ISNUMBER($D$7)),$BQ$6,"")))</f>
        <v/>
      </c>
      <c r="BR498" s="133" t="str">
        <f aca="false">IF(ISBLANK($C498),"",IF($BA498,Constants!$B$11,IF(COUNTA($E498:$AA498)=0,Constants!$B$10,IF(NOT($AG498),Constants!$B$9,IF(OR($BQ498&lt;&gt;"",$BB498,$BJ498),Constants!$B$12,Constants!$B$8)))))</f>
        <v/>
      </c>
      <c r="BS498" s="133" t="str">
        <f aca="false">IF(ISBLANK($C498),"",IF($BR498&lt;&gt;Constants!$B$8,$BR498,Constants!$B$13))</f>
        <v/>
      </c>
      <c r="BT498" s="136" t="str">
        <f aca="false">IF($BR498&lt;&gt;Constants!$B$8,"",IF($BI498="-&gt;",$BP498,$BH498))</f>
        <v/>
      </c>
      <c r="BU498" s="136" t="str">
        <f aca="false">IF($BR498&lt;&gt;Constants!$B$8,"",IF($AF498,0,Constants!$B$18))</f>
        <v/>
      </c>
      <c r="BV498" s="136" t="str">
        <f aca="false">IF($BR498&lt;&gt;Constants!$B$8,"",((Constants!$B$31-$AZ498)-Constants!$B$31)/Constants!$B$32)</f>
        <v/>
      </c>
      <c r="BW498" s="136" t="str">
        <f aca="false">IF(ISBLANK($C498),"",IF($BR498&lt;&gt;Constants!$B$8,$BR498,SUM($BT498:$BV498)))</f>
        <v/>
      </c>
      <c r="BX498" s="133" t="str">
        <f aca="false">IF(ISBLANK($C498),"",IF($BR498&lt;&gt;Constants!$B$8,$BR498,RANK($BW498,$BW$9:$BW$508,1)))</f>
        <v/>
      </c>
      <c r="BY498" s="136" t="str">
        <f aca="false">IF($BR498&lt;&gt;Constants!$B$8,"",IF($BI498="-&gt;",$BK498,$BC498))</f>
        <v/>
      </c>
      <c r="BZ498" s="133" t="str">
        <f aca="false">IF(ISBLANK($C498),"",IF($BR498&lt;&gt;Constants!$B$8,$BR498,IF(ISNUMBER($BY498),RANK($BY498,$BY$9:$BY$508,1),COUNT($BY$9:$BY$508)+1)))</f>
        <v/>
      </c>
      <c r="CA498" s="136" t="str">
        <f aca="false">IF($BR498&lt;&gt;Constants!$B$8,"",IF($BI498="-&gt;",$BL498,$BD498))</f>
        <v/>
      </c>
      <c r="CB498" s="133" t="str">
        <f aca="false">IF(ISBLANK($C498),"",IF($BR498&lt;&gt;Constants!$B$8,$BR498,IF(ISNUMBER($CA498),RANK($CA498,$CA$9:$CA$508,1),COUNT($CA$9:$CA$508)+1)))</f>
        <v/>
      </c>
      <c r="CC498" s="136" t="str">
        <f aca="false">IF($BR498&lt;&gt;Constants!$B$8,"",IF($BI498="-&gt;",IF($AT498,$AV498,""),IF($AL498,$AN498,"")))</f>
        <v/>
      </c>
      <c r="CD498" s="133" t="str">
        <f aca="false">IF(ISBLANK($C498),"",IF($BR498&lt;&gt;Constants!$B$8,$BR498,IF(ISNUMBER($CC498),RANK($CC498,$CC$9:$CC$508,1),COUNT($CC$9:$CC$508)+1)))</f>
        <v/>
      </c>
      <c r="CE498" s="136" t="str">
        <f aca="false">IF($BR498&lt;&gt;Constants!$B$8,"",IF(AND(NOT($AL498),NOT($AT498),$AJ498,$AK498,$AR498,$AS498),"",$AI498))</f>
        <v/>
      </c>
      <c r="CF498" s="133" t="str">
        <f aca="false">IF(ISBLANK($C498),"",IF($BR498&lt;&gt;Constants!$B$8,$BR498,IF(ISNUMBER($CE498),RANK($CE498,$CE$9:$CE$508,1),COUNT($CE$9:$CE$508)+1)))</f>
        <v/>
      </c>
      <c r="CG498" s="133" t="str">
        <f aca="false">IF(ISBLANK($C498),"",IF($BR498&lt;&gt;Constants!$B$8,$BR498,COUNTIFS($BX$9:$BX$508,"&lt;"&amp;$BX498)+COUNTIFS($BX$9:$BX$508,$BX498,$BZ$9:$BZ$508,"&lt;"&amp;$BZ498)+COUNTIFS($BX$9:$BX$508,$BX498,$BZ$9:$BZ$508,$BZ498,$CB$9:$CB$508,"&lt;"&amp;$CB498)+COUNTIFS($BX$9:$BX$508,$BX498,$BZ$9:$BZ$508,$BZ498,$CB$9:$CB$508,$CB498,$CD$9:$CD$508,"&lt;"&amp;$CD498)+COUNTIFS($BX$9:$BX$508,$BX498,$BZ$9:$BZ$508,$BZ498,$CB$9:$CB$508,$CB498,$CD$9:$CD$508,$CD498,$CF$9:$CF$508,"&lt;"&amp;$CF498)+1))</f>
        <v/>
      </c>
      <c r="CH498" s="133" t="str">
        <f aca="false">IF(ISBLANK($C498),"",IF($BR498&lt;&gt;Constants!$B$8,$BR498,$BX498-$CG498))</f>
        <v/>
      </c>
      <c r="CI498" s="138"/>
      <c r="CJ498" s="139"/>
      <c r="CK498" s="140" t="str">
        <f aca="false">IF(ISBLANK($C498),"",IF($BR498=Constants!$B$12,$BQ498,""))</f>
        <v/>
      </c>
      <c r="CL498" s="139" t="str">
        <f aca="false">IF(ISBLANK($C498),"",IF($BR498&lt;&gt;Constants!$B$8,"",IF($BI498="-&gt;",2,1)))</f>
        <v/>
      </c>
      <c r="CM498" s="141" t="str">
        <f aca="false">IF(ISBLANK($C498),"",IF($BR498&lt;&gt;Constants!$B$8,"",IF($BI498="-&gt;",$BK498,$BC498)))</f>
        <v/>
      </c>
      <c r="CN498" s="141" t="str">
        <f aca="false">IF(ISBLANK($C498),"",IF($BR498&lt;&gt;Constants!$B$8,"",IF($BI498="-&gt;",$BL498,$BD498)))</f>
        <v/>
      </c>
      <c r="CO498" s="141" t="str">
        <f aca="false">IF(ISBLANK($C498),"",IF($BR498&lt;&gt;Constants!$B$8,"",IF($BI498="-&gt;",$BM498+$BN498,$BE498+$BF498)+$BV498))</f>
        <v/>
      </c>
      <c r="CP498" s="141" t="str">
        <f aca="false">IF(ISBLANK($C498),"",IF($BR498&lt;&gt;Constants!$B$8,"",IF($BI498="-&gt;",$BO498,$BG498)+$BU498))</f>
        <v/>
      </c>
      <c r="CQ498" s="142" t="str">
        <f aca="false">IF(ISBLANK($C498),"",IF($BR498&lt;&gt;Constants!$B$8,$BR498,$BW498))</f>
        <v/>
      </c>
      <c r="CR498" s="143" t="str">
        <f aca="false">IF(ISBLANK($C498),"",$BS498)</f>
        <v/>
      </c>
      <c r="CS498" s="144" t="str">
        <f aca="false">IF(ISBLANK($C498),"",$CH498)</f>
        <v/>
      </c>
      <c r="CT498" s="144" t="str">
        <f aca="false">IF(ISBLANK($C498),"",$CG498)</f>
        <v/>
      </c>
      <c r="CU498" s="145" t="str">
        <f aca="false">IF(ISBLANK($C498),"",IFERROR(_xlfn.SWITCH($CT498,Constants!$B$11,COUNTA($C$9:$C$508)+2,Constants!$B$10,COUNTA($C$9:$C$508)+1,Constants!$B$9,COUNTA($C$9:$C$508)),$CT498))</f>
        <v/>
      </c>
      <c r="CV498" s="9"/>
      <c r="CW498" s="146" t="n">
        <f aca="false">IF(OR(ISNUMBER($CT498),$CT498=Constants!$B$11,$CT498=Constants!$B$9,$CT498=Constants!$B$10),1,0)</f>
        <v>0</v>
      </c>
      <c r="CX498" s="146" t="n">
        <v>490</v>
      </c>
      <c r="CY498" s="146" t="str">
        <f aca="false">IF(ISBLANK($C498),"",IF(ISNUMBER($CU498),$CU498+ROW($B498)/1000,""))</f>
        <v/>
      </c>
      <c r="CZ498" s="146" t="str">
        <f aca="false">IF(ISNUMBER($CY498),RANK($CY498,$CY$9:$CY$508,1),"")</f>
        <v/>
      </c>
      <c r="DA498" s="146" t="str">
        <f aca="false">IF(ISBLANK($C498),"",$B498)</f>
        <v/>
      </c>
      <c r="DB498" s="146" t="str">
        <f aca="false">IF(ISBLANK($C498),"",$C498)</f>
        <v/>
      </c>
      <c r="DC498" s="146" t="str">
        <f aca="false">IF(ISBLANK($C498),"",$D498)</f>
        <v/>
      </c>
      <c r="DD498" s="147" t="str">
        <f aca="false">$CR498</f>
        <v/>
      </c>
      <c r="DE498" s="148" t="str">
        <f aca="false">$CQ498</f>
        <v/>
      </c>
      <c r="DF498" s="146" t="str">
        <f aca="false">IF(ISBLANK($C498),"",$CT498)</f>
        <v/>
      </c>
      <c r="DG498" s="149" t="str">
        <f aca="false">IF($CX498&gt;$CW$8,"",VLOOKUP($CX498,$CZ$9:$DF$508,7,FALSE()))</f>
        <v/>
      </c>
      <c r="DH498" s="150" t="str">
        <f aca="false">IF($CX498&gt;$CW$8,"",VLOOKUP($CX498,$CZ$9:$DF$508,2,FALSE()))</f>
        <v/>
      </c>
      <c r="DI498" s="150" t="str">
        <f aca="false">IF($CX498&gt;$CW$8,"",VLOOKUP($CX498,$CZ$9:$DF$508,3,FALSE()))</f>
        <v/>
      </c>
      <c r="DJ498" s="150" t="str">
        <f aca="false">IF($CX498&gt;$CW$8,"",VLOOKUP($CX498,$CZ$9:$DF$508,4,FALSE()))</f>
        <v/>
      </c>
      <c r="DK498" s="150" t="str">
        <f aca="false">IF($CX498&gt;$CW$8,"",VLOOKUP($CX498,$CZ$9:$DF$508,5,FALSE()))</f>
        <v/>
      </c>
      <c r="DL498" s="151" t="str">
        <f aca="false">IF($CX498&gt;$CW$8,"",VLOOKUP($CX498,$CZ$9:$DF$508,6,FALSE()))</f>
        <v/>
      </c>
      <c r="DM498" s="75"/>
    </row>
    <row r="499" customFormat="false" ht="15.75" hidden="false" customHeight="false" outlineLevel="0" collapsed="false">
      <c r="A499" s="9"/>
      <c r="B499" s="157"/>
      <c r="C499" s="158"/>
      <c r="D499" s="159"/>
      <c r="E499" s="177"/>
      <c r="F499" s="161"/>
      <c r="G499" s="162"/>
      <c r="H499" s="162"/>
      <c r="I499" s="178"/>
      <c r="J499" s="165"/>
      <c r="K499" s="126"/>
      <c r="L499" s="127"/>
      <c r="M499" s="128"/>
      <c r="N499" s="165"/>
      <c r="O499" s="165"/>
      <c r="P499" s="177"/>
      <c r="Q499" s="165"/>
      <c r="R499" s="165"/>
      <c r="S499" s="126"/>
      <c r="T499" s="128"/>
      <c r="U499" s="128"/>
      <c r="V499" s="165"/>
      <c r="W499" s="165"/>
      <c r="X499" s="177"/>
      <c r="Y499" s="165"/>
      <c r="Z499" s="166"/>
      <c r="AA499" s="165"/>
      <c r="AB499" s="132"/>
      <c r="AC499" s="133"/>
      <c r="AD499" s="133"/>
      <c r="AE499" s="133"/>
      <c r="AF499" s="133" t="str">
        <f aca="false">IF(ISBLANK($C499),"",IF(E499=Constants!$B$3,TRUE(),IF(E499=Constants!$B$4,FALSE(),TRUE())))</f>
        <v/>
      </c>
      <c r="AG499" s="133" t="str">
        <f aca="false">IF(ISBLANK($C499),"",IF(F499=Constants!$B$3,TRUE(),IF(F499=Constants!$B$4,FALSE(),TRUE())))</f>
        <v/>
      </c>
      <c r="AH499" s="133" t="str">
        <f aca="false">IF(ISBLANK($C499),"",IF(G499=Constants!$B$3,TRUE(),IF(G499=Constants!$B$4,FALSE(),TRUE())))</f>
        <v/>
      </c>
      <c r="AI499" s="133" t="str">
        <f aca="false">IF(ISBLANK($C499),"",IF(AND(ISNUMBER(H499),H499&gt;=0),H499,Constants!$B$29))</f>
        <v/>
      </c>
      <c r="AJ499" s="133" t="str">
        <f aca="false">IF(ISBLANK($C499),"",IF(I499=Constants!$B$3,TRUE(),IF(I499=Constants!$B$4,FALSE(),TRUE())))</f>
        <v/>
      </c>
      <c r="AK499" s="133" t="str">
        <f aca="false">IF(ISBLANK($C499),"",IF(J499=Constants!$B$3,TRUE(),IF(J499=Constants!$B$4,FALSE(),TRUE())))</f>
        <v/>
      </c>
      <c r="AL499" s="133" t="str">
        <f aca="false">IF(ISBLANK($C499),"",IF(K499=Constants!$B$5,TRUE(),IF(K499=Constants!$B$6,FALSE(),COUNTA(L499:P499)&gt;0)))</f>
        <v/>
      </c>
      <c r="AM499" s="134" t="str">
        <f aca="false">IF(ISBLANK($C499),"",IF(ISNUMBER(L499),IF(L499&gt;=0,L499,""),""))</f>
        <v/>
      </c>
      <c r="AN499" s="135" t="str">
        <f aca="false">IF(ISBLANK($C499),"",IF(ISNUMBER(M499),IF(M499&gt;=0,M499,""),""))</f>
        <v/>
      </c>
      <c r="AO499" s="135" t="str">
        <f aca="false">IF(ISBLANK($C499),"",IF(N499=Constants!$B$3,TRUE(),IF(N499=Constants!$B$4,FALSE(),TRUE())))</f>
        <v/>
      </c>
      <c r="AP499" s="133" t="str">
        <f aca="false">IF(ISBLANK($C499),"",IF(ISNUMBER(O499),IF(O499&gt;=0,O499,""),""))</f>
        <v/>
      </c>
      <c r="AQ499" s="133" t="str">
        <f aca="false">IF(ISBLANK($C499),"",IF(P499=Constants!$B$3,TRUE(),IF(P499=Constants!$B$4,FALSE(),FALSE())))</f>
        <v/>
      </c>
      <c r="AR499" s="133" t="str">
        <f aca="false">IF(ISBLANK($C499),"",IF(Q499=Constants!$B$3,TRUE(),IF(Q499=Constants!$B$4,FALSE(),TRUE())))</f>
        <v/>
      </c>
      <c r="AS499" s="133" t="str">
        <f aca="false">IF(ISBLANK($C499),"",IF(R499=Constants!$B$3,TRUE(),IF(R499=Constants!$B$4,FALSE(),TRUE())))</f>
        <v/>
      </c>
      <c r="AT499" s="133" t="str">
        <f aca="false">IF(ISBLANK($C499),"",IF(S499=Constants!$B$5,TRUE(),IF(S499=Constants!$B$6,FALSE(),COUNTA(T499:X499)&gt;0)))</f>
        <v/>
      </c>
      <c r="AU499" s="134" t="str">
        <f aca="false">IF(ISBLANK($C499),"",IF(ISNUMBER(T499),IF(T499&gt;=0,T499,""),""))</f>
        <v/>
      </c>
      <c r="AV499" s="135" t="str">
        <f aca="false">IF(ISBLANK($C499),"",IF(ISNUMBER(U499),IF(U499&gt;=0,U499,""),""))</f>
        <v/>
      </c>
      <c r="AW499" s="135" t="str">
        <f aca="false">IF(ISBLANK($C499),"",IF(V499=Constants!$B$3,TRUE(),IF(V499=Constants!$B$4,FALSE(),TRUE())))</f>
        <v/>
      </c>
      <c r="AX499" s="133" t="str">
        <f aca="false">IF(ISBLANK($C499),"",IF(ISNUMBER(W499),IF(W499&gt;=0,W499,""),""))</f>
        <v/>
      </c>
      <c r="AY499" s="133" t="str">
        <f aca="false">IF(ISBLANK($C499),"",IF(X499=Constants!$B$3,TRUE(),IF(X499=Constants!$B$4,FALSE(),FALSE())))</f>
        <v/>
      </c>
      <c r="AZ499" s="133" t="str">
        <f aca="false">IF(ISBLANK($C499),"",MIN(Constants!$B$31,MAX(0,IF(ISNUMBER(Y499),Y499*60,0)+IF(ISNUMBER(Z499),Z499,0))))</f>
        <v/>
      </c>
      <c r="BA499" s="133" t="str">
        <f aca="false">IF(ISBLANK($C499),"",IF(AA499=Constants!$B$3,TRUE(),IF(AA499=Constants!$B$4,FALSE(),FALSE())))</f>
        <v/>
      </c>
      <c r="BB499" s="132" t="str">
        <f aca="false">IF(ISBLANK($C499),"",AND($AL499,OR($AM499="",$AN499="",AND($AO499,$AP499=""))))</f>
        <v/>
      </c>
      <c r="BC499" s="135" t="str">
        <f aca="false">IF($BR499&lt;&gt;Constants!$B$8,"",IF($AL499,Constants!$B$21*$AN499+Constants!$B$22*IF($AO499,$AP499,Constants!$B$23),Constants!$B$24))</f>
        <v/>
      </c>
      <c r="BD499" s="136" t="str">
        <f aca="false">IF($BR499&lt;&gt;Constants!$B$8,"",Constants!$B$25*ABS($AD$9-IF($AL499,$AM499,0)))</f>
        <v/>
      </c>
      <c r="BE499" s="136" t="str">
        <f aca="false">IF($BR499&lt;&gt;Constants!$B$8,"",IF(AND($AL499,$AQ499,$AO499),Constants!$B$27,0))</f>
        <v/>
      </c>
      <c r="BF499" s="136" t="str">
        <f aca="false">IF($BR499&lt;&gt;Constants!$B$8,"",IF($AL499,($AI499-Constants!$B$29)*Constants!$B$28,0))</f>
        <v/>
      </c>
      <c r="BG499" s="136" t="str">
        <f aca="false">IF($BR499&lt;&gt;Constants!$B$8,"",IF($AK499,0,Constants!$B$15)+IF($AJ499,0,Constants!$B$16)+IF($AH499,0,Constants!$B$17))</f>
        <v/>
      </c>
      <c r="BH499" s="137" t="str">
        <f aca="false">IF($BR499&lt;&gt;Constants!$B$8,"",Constants!$B$20+SUM($BC499:$BG499))</f>
        <v/>
      </c>
      <c r="BI499" s="133" t="str">
        <f aca="false">IF($BR499&lt;&gt;Constants!$B$8,"",IF(OR($BP499&lt;$BH499,AND($BP499=$BH499,OR($BK499&lt;$BC499,AND($BK499=$BC499,OR($BL499&lt;$BD499,AND($BL499=$BD499,$AT499,$AL499,$AV499&lt;$AN499)))))),"-&gt;","&lt;-"))</f>
        <v/>
      </c>
      <c r="BJ499" s="132" t="str">
        <f aca="false">IF(ISBLANK($C499),"",AND($AT499,OR($AU499="",$AV499="",AND($AW499,$AX499=""))))</f>
        <v/>
      </c>
      <c r="BK499" s="135" t="str">
        <f aca="false">IF($BR499&lt;&gt;Constants!$B$8,"",IF($AT499,Constants!$B$21*$AV499+Constants!$B$22*IF($AW499,$AX499,Constants!$B$23),Constants!$B$24))</f>
        <v/>
      </c>
      <c r="BL499" s="136" t="str">
        <f aca="false">IF($BR499&lt;&gt;Constants!$B$8,"",Constants!$B$25*ABS($AD$9-IF($AT499,$AU499,0)))</f>
        <v/>
      </c>
      <c r="BM499" s="136" t="str">
        <f aca="false">IF($BR499&lt;&gt;Constants!$B$8,"",IF(AND($AT499,$AY499,$AW499),Constants!$B$27,0))</f>
        <v/>
      </c>
      <c r="BN499" s="136" t="str">
        <f aca="false">IF($BR499&lt;&gt;Constants!$B$8,"",IF($AT499,($AI499-Constants!$B$29)*Constants!$B$28,0))</f>
        <v/>
      </c>
      <c r="BO499" s="136" t="str">
        <f aca="false">IF($BR499&lt;&gt;Constants!$B$8,"",IF($AS499,0,Constants!$B$15)+IF($AR499,0,Constants!$B$16)+IF($AH499,0,Constants!$B$17))</f>
        <v/>
      </c>
      <c r="BP499" s="137" t="str">
        <f aca="false">IF($BR499&lt;&gt;Constants!$B$8,"",Constants!$B$20+SUM($BK499:$BO499))</f>
        <v/>
      </c>
      <c r="BQ499" s="133" t="str">
        <f aca="false">IF(ISBLANK($C499),"",IF(ISBLANK($D$7),$BQ$5,IF(NOT(ISNUMBER($D$7)),$BQ$6,"")))</f>
        <v/>
      </c>
      <c r="BR499" s="133" t="str">
        <f aca="false">IF(ISBLANK($C499),"",IF($BA499,Constants!$B$11,IF(COUNTA($E499:$AA499)=0,Constants!$B$10,IF(NOT($AG499),Constants!$B$9,IF(OR($BQ499&lt;&gt;"",$BB499,$BJ499),Constants!$B$12,Constants!$B$8)))))</f>
        <v/>
      </c>
      <c r="BS499" s="133" t="str">
        <f aca="false">IF(ISBLANK($C499),"",IF($BR499&lt;&gt;Constants!$B$8,$BR499,Constants!$B$13))</f>
        <v/>
      </c>
      <c r="BT499" s="136" t="str">
        <f aca="false">IF($BR499&lt;&gt;Constants!$B$8,"",IF($BI499="-&gt;",$BP499,$BH499))</f>
        <v/>
      </c>
      <c r="BU499" s="136" t="str">
        <f aca="false">IF($BR499&lt;&gt;Constants!$B$8,"",IF($AF499,0,Constants!$B$18))</f>
        <v/>
      </c>
      <c r="BV499" s="136" t="str">
        <f aca="false">IF($BR499&lt;&gt;Constants!$B$8,"",((Constants!$B$31-$AZ499)-Constants!$B$31)/Constants!$B$32)</f>
        <v/>
      </c>
      <c r="BW499" s="136" t="str">
        <f aca="false">IF(ISBLANK($C499),"",IF($BR499&lt;&gt;Constants!$B$8,$BR499,SUM($BT499:$BV499)))</f>
        <v/>
      </c>
      <c r="BX499" s="133" t="str">
        <f aca="false">IF(ISBLANK($C499),"",IF($BR499&lt;&gt;Constants!$B$8,$BR499,RANK($BW499,$BW$9:$BW$508,1)))</f>
        <v/>
      </c>
      <c r="BY499" s="136" t="str">
        <f aca="false">IF($BR499&lt;&gt;Constants!$B$8,"",IF($BI499="-&gt;",$BK499,$BC499))</f>
        <v/>
      </c>
      <c r="BZ499" s="133" t="str">
        <f aca="false">IF(ISBLANK($C499),"",IF($BR499&lt;&gt;Constants!$B$8,$BR499,IF(ISNUMBER($BY499),RANK($BY499,$BY$9:$BY$508,1),COUNT($BY$9:$BY$508)+1)))</f>
        <v/>
      </c>
      <c r="CA499" s="136" t="str">
        <f aca="false">IF($BR499&lt;&gt;Constants!$B$8,"",IF($BI499="-&gt;",$BL499,$BD499))</f>
        <v/>
      </c>
      <c r="CB499" s="133" t="str">
        <f aca="false">IF(ISBLANK($C499),"",IF($BR499&lt;&gt;Constants!$B$8,$BR499,IF(ISNUMBER($CA499),RANK($CA499,$CA$9:$CA$508,1),COUNT($CA$9:$CA$508)+1)))</f>
        <v/>
      </c>
      <c r="CC499" s="136" t="str">
        <f aca="false">IF($BR499&lt;&gt;Constants!$B$8,"",IF($BI499="-&gt;",IF($AT499,$AV499,""),IF($AL499,$AN499,"")))</f>
        <v/>
      </c>
      <c r="CD499" s="133" t="str">
        <f aca="false">IF(ISBLANK($C499),"",IF($BR499&lt;&gt;Constants!$B$8,$BR499,IF(ISNUMBER($CC499),RANK($CC499,$CC$9:$CC$508,1),COUNT($CC$9:$CC$508)+1)))</f>
        <v/>
      </c>
      <c r="CE499" s="136" t="str">
        <f aca="false">IF($BR499&lt;&gt;Constants!$B$8,"",IF(AND(NOT($AL499),NOT($AT499),$AJ499,$AK499,$AR499,$AS499),"",$AI499))</f>
        <v/>
      </c>
      <c r="CF499" s="133" t="str">
        <f aca="false">IF(ISBLANK($C499),"",IF($BR499&lt;&gt;Constants!$B$8,$BR499,IF(ISNUMBER($CE499),RANK($CE499,$CE$9:$CE$508,1),COUNT($CE$9:$CE$508)+1)))</f>
        <v/>
      </c>
      <c r="CG499" s="133" t="str">
        <f aca="false">IF(ISBLANK($C499),"",IF($BR499&lt;&gt;Constants!$B$8,$BR499,COUNTIFS($BX$9:$BX$508,"&lt;"&amp;$BX499)+COUNTIFS($BX$9:$BX$508,$BX499,$BZ$9:$BZ$508,"&lt;"&amp;$BZ499)+COUNTIFS($BX$9:$BX$508,$BX499,$BZ$9:$BZ$508,$BZ499,$CB$9:$CB$508,"&lt;"&amp;$CB499)+COUNTIFS($BX$9:$BX$508,$BX499,$BZ$9:$BZ$508,$BZ499,$CB$9:$CB$508,$CB499,$CD$9:$CD$508,"&lt;"&amp;$CD499)+COUNTIFS($BX$9:$BX$508,$BX499,$BZ$9:$BZ$508,$BZ499,$CB$9:$CB$508,$CB499,$CD$9:$CD$508,$CD499,$CF$9:$CF$508,"&lt;"&amp;$CF499)+1))</f>
        <v/>
      </c>
      <c r="CH499" s="133" t="str">
        <f aca="false">IF(ISBLANK($C499),"",IF($BR499&lt;&gt;Constants!$B$8,$BR499,$BX499-$CG499))</f>
        <v/>
      </c>
      <c r="CI499" s="138"/>
      <c r="CJ499" s="139"/>
      <c r="CK499" s="140" t="str">
        <f aca="false">IF(ISBLANK($C499),"",IF($BR499=Constants!$B$12,$BQ499,""))</f>
        <v/>
      </c>
      <c r="CL499" s="139" t="str">
        <f aca="false">IF(ISBLANK($C499),"",IF($BR499&lt;&gt;Constants!$B$8,"",IF($BI499="-&gt;",2,1)))</f>
        <v/>
      </c>
      <c r="CM499" s="141" t="str">
        <f aca="false">IF(ISBLANK($C499),"",IF($BR499&lt;&gt;Constants!$B$8,"",IF($BI499="-&gt;",$BK499,$BC499)))</f>
        <v/>
      </c>
      <c r="CN499" s="141" t="str">
        <f aca="false">IF(ISBLANK($C499),"",IF($BR499&lt;&gt;Constants!$B$8,"",IF($BI499="-&gt;",$BL499,$BD499)))</f>
        <v/>
      </c>
      <c r="CO499" s="141" t="str">
        <f aca="false">IF(ISBLANK($C499),"",IF($BR499&lt;&gt;Constants!$B$8,"",IF($BI499="-&gt;",$BM499+$BN499,$BE499+$BF499)+$BV499))</f>
        <v/>
      </c>
      <c r="CP499" s="141" t="str">
        <f aca="false">IF(ISBLANK($C499),"",IF($BR499&lt;&gt;Constants!$B$8,"",IF($BI499="-&gt;",$BO499,$BG499)+$BU499))</f>
        <v/>
      </c>
      <c r="CQ499" s="142" t="str">
        <f aca="false">IF(ISBLANK($C499),"",IF($BR499&lt;&gt;Constants!$B$8,$BR499,$BW499))</f>
        <v/>
      </c>
      <c r="CR499" s="143" t="str">
        <f aca="false">IF(ISBLANK($C499),"",$BS499)</f>
        <v/>
      </c>
      <c r="CS499" s="144" t="str">
        <f aca="false">IF(ISBLANK($C499),"",$CH499)</f>
        <v/>
      </c>
      <c r="CT499" s="144" t="str">
        <f aca="false">IF(ISBLANK($C499),"",$CG499)</f>
        <v/>
      </c>
      <c r="CU499" s="145" t="str">
        <f aca="false">IF(ISBLANK($C499),"",IFERROR(_xlfn.SWITCH($CT499,Constants!$B$11,COUNTA($C$9:$C$508)+2,Constants!$B$10,COUNTA($C$9:$C$508)+1,Constants!$B$9,COUNTA($C$9:$C$508)),$CT499))</f>
        <v/>
      </c>
      <c r="CV499" s="9"/>
      <c r="CW499" s="146" t="n">
        <f aca="false">IF(OR(ISNUMBER($CT499),$CT499=Constants!$B$11,$CT499=Constants!$B$9,$CT499=Constants!$B$10),1,0)</f>
        <v>0</v>
      </c>
      <c r="CX499" s="146" t="n">
        <v>491</v>
      </c>
      <c r="CY499" s="146" t="str">
        <f aca="false">IF(ISBLANK($C499),"",IF(ISNUMBER($CU499),$CU499+ROW($B499)/1000,""))</f>
        <v/>
      </c>
      <c r="CZ499" s="146" t="str">
        <f aca="false">IF(ISNUMBER($CY499),RANK($CY499,$CY$9:$CY$508,1),"")</f>
        <v/>
      </c>
      <c r="DA499" s="146" t="str">
        <f aca="false">IF(ISBLANK($C499),"",$B499)</f>
        <v/>
      </c>
      <c r="DB499" s="146" t="str">
        <f aca="false">IF(ISBLANK($C499),"",$C499)</f>
        <v/>
      </c>
      <c r="DC499" s="146" t="str">
        <f aca="false">IF(ISBLANK($C499),"",$D499)</f>
        <v/>
      </c>
      <c r="DD499" s="147" t="str">
        <f aca="false">$CR499</f>
        <v/>
      </c>
      <c r="DE499" s="148" t="str">
        <f aca="false">$CQ499</f>
        <v/>
      </c>
      <c r="DF499" s="146" t="str">
        <f aca="false">IF(ISBLANK($C499),"",$CT499)</f>
        <v/>
      </c>
      <c r="DG499" s="149" t="str">
        <f aca="false">IF($CX499&gt;$CW$8,"",VLOOKUP($CX499,$CZ$9:$DF$508,7,FALSE()))</f>
        <v/>
      </c>
      <c r="DH499" s="150" t="str">
        <f aca="false">IF($CX499&gt;$CW$8,"",VLOOKUP($CX499,$CZ$9:$DF$508,2,FALSE()))</f>
        <v/>
      </c>
      <c r="DI499" s="150" t="str">
        <f aca="false">IF($CX499&gt;$CW$8,"",VLOOKUP($CX499,$CZ$9:$DF$508,3,FALSE()))</f>
        <v/>
      </c>
      <c r="DJ499" s="150" t="str">
        <f aca="false">IF($CX499&gt;$CW$8,"",VLOOKUP($CX499,$CZ$9:$DF$508,4,FALSE()))</f>
        <v/>
      </c>
      <c r="DK499" s="150" t="str">
        <f aca="false">IF($CX499&gt;$CW$8,"",VLOOKUP($CX499,$CZ$9:$DF$508,5,FALSE()))</f>
        <v/>
      </c>
      <c r="DL499" s="151" t="str">
        <f aca="false">IF($CX499&gt;$CW$8,"",VLOOKUP($CX499,$CZ$9:$DF$508,6,FALSE()))</f>
        <v/>
      </c>
      <c r="DM499" s="75"/>
    </row>
    <row r="500" customFormat="false" ht="15.75" hidden="false" customHeight="false" outlineLevel="0" collapsed="false">
      <c r="A500" s="9"/>
      <c r="B500" s="157"/>
      <c r="C500" s="158"/>
      <c r="D500" s="159"/>
      <c r="E500" s="177"/>
      <c r="F500" s="161"/>
      <c r="G500" s="162"/>
      <c r="H500" s="162"/>
      <c r="I500" s="178"/>
      <c r="J500" s="165"/>
      <c r="K500" s="126"/>
      <c r="L500" s="127"/>
      <c r="M500" s="128"/>
      <c r="N500" s="165"/>
      <c r="O500" s="165"/>
      <c r="P500" s="177"/>
      <c r="Q500" s="165"/>
      <c r="R500" s="165"/>
      <c r="S500" s="126"/>
      <c r="T500" s="128"/>
      <c r="U500" s="128"/>
      <c r="V500" s="165"/>
      <c r="W500" s="165"/>
      <c r="X500" s="177"/>
      <c r="Y500" s="165"/>
      <c r="Z500" s="166"/>
      <c r="AA500" s="165"/>
      <c r="AB500" s="132"/>
      <c r="AC500" s="133"/>
      <c r="AD500" s="133"/>
      <c r="AE500" s="133"/>
      <c r="AF500" s="133" t="str">
        <f aca="false">IF(ISBLANK($C500),"",IF(E500=Constants!$B$3,TRUE(),IF(E500=Constants!$B$4,FALSE(),TRUE())))</f>
        <v/>
      </c>
      <c r="AG500" s="133" t="str">
        <f aca="false">IF(ISBLANK($C500),"",IF(F500=Constants!$B$3,TRUE(),IF(F500=Constants!$B$4,FALSE(),TRUE())))</f>
        <v/>
      </c>
      <c r="AH500" s="133" t="str">
        <f aca="false">IF(ISBLANK($C500),"",IF(G500=Constants!$B$3,TRUE(),IF(G500=Constants!$B$4,FALSE(),TRUE())))</f>
        <v/>
      </c>
      <c r="AI500" s="133" t="str">
        <f aca="false">IF(ISBLANK($C500),"",IF(AND(ISNUMBER(H500),H500&gt;=0),H500,Constants!$B$29))</f>
        <v/>
      </c>
      <c r="AJ500" s="133" t="str">
        <f aca="false">IF(ISBLANK($C500),"",IF(I500=Constants!$B$3,TRUE(),IF(I500=Constants!$B$4,FALSE(),TRUE())))</f>
        <v/>
      </c>
      <c r="AK500" s="133" t="str">
        <f aca="false">IF(ISBLANK($C500),"",IF(J500=Constants!$B$3,TRUE(),IF(J500=Constants!$B$4,FALSE(),TRUE())))</f>
        <v/>
      </c>
      <c r="AL500" s="133" t="str">
        <f aca="false">IF(ISBLANK($C500),"",IF(K500=Constants!$B$5,TRUE(),IF(K500=Constants!$B$6,FALSE(),COUNTA(L500:P500)&gt;0)))</f>
        <v/>
      </c>
      <c r="AM500" s="134" t="str">
        <f aca="false">IF(ISBLANK($C500),"",IF(ISNUMBER(L500),IF(L500&gt;=0,L500,""),""))</f>
        <v/>
      </c>
      <c r="AN500" s="135" t="str">
        <f aca="false">IF(ISBLANK($C500),"",IF(ISNUMBER(M500),IF(M500&gt;=0,M500,""),""))</f>
        <v/>
      </c>
      <c r="AO500" s="135" t="str">
        <f aca="false">IF(ISBLANK($C500),"",IF(N500=Constants!$B$3,TRUE(),IF(N500=Constants!$B$4,FALSE(),TRUE())))</f>
        <v/>
      </c>
      <c r="AP500" s="133" t="str">
        <f aca="false">IF(ISBLANK($C500),"",IF(ISNUMBER(O500),IF(O500&gt;=0,O500,""),""))</f>
        <v/>
      </c>
      <c r="AQ500" s="133" t="str">
        <f aca="false">IF(ISBLANK($C500),"",IF(P500=Constants!$B$3,TRUE(),IF(P500=Constants!$B$4,FALSE(),FALSE())))</f>
        <v/>
      </c>
      <c r="AR500" s="133" t="str">
        <f aca="false">IF(ISBLANK($C500),"",IF(Q500=Constants!$B$3,TRUE(),IF(Q500=Constants!$B$4,FALSE(),TRUE())))</f>
        <v/>
      </c>
      <c r="AS500" s="133" t="str">
        <f aca="false">IF(ISBLANK($C500),"",IF(R500=Constants!$B$3,TRUE(),IF(R500=Constants!$B$4,FALSE(),TRUE())))</f>
        <v/>
      </c>
      <c r="AT500" s="133" t="str">
        <f aca="false">IF(ISBLANK($C500),"",IF(S500=Constants!$B$5,TRUE(),IF(S500=Constants!$B$6,FALSE(),COUNTA(T500:X500)&gt;0)))</f>
        <v/>
      </c>
      <c r="AU500" s="134" t="str">
        <f aca="false">IF(ISBLANK($C500),"",IF(ISNUMBER(T500),IF(T500&gt;=0,T500,""),""))</f>
        <v/>
      </c>
      <c r="AV500" s="135" t="str">
        <f aca="false">IF(ISBLANK($C500),"",IF(ISNUMBER(U500),IF(U500&gt;=0,U500,""),""))</f>
        <v/>
      </c>
      <c r="AW500" s="135" t="str">
        <f aca="false">IF(ISBLANK($C500),"",IF(V500=Constants!$B$3,TRUE(),IF(V500=Constants!$B$4,FALSE(),TRUE())))</f>
        <v/>
      </c>
      <c r="AX500" s="133" t="str">
        <f aca="false">IF(ISBLANK($C500),"",IF(ISNUMBER(W500),IF(W500&gt;=0,W500,""),""))</f>
        <v/>
      </c>
      <c r="AY500" s="133" t="str">
        <f aca="false">IF(ISBLANK($C500),"",IF(X500=Constants!$B$3,TRUE(),IF(X500=Constants!$B$4,FALSE(),FALSE())))</f>
        <v/>
      </c>
      <c r="AZ500" s="133" t="str">
        <f aca="false">IF(ISBLANK($C500),"",MIN(Constants!$B$31,MAX(0,IF(ISNUMBER(Y500),Y500*60,0)+IF(ISNUMBER(Z500),Z500,0))))</f>
        <v/>
      </c>
      <c r="BA500" s="133" t="str">
        <f aca="false">IF(ISBLANK($C500),"",IF(AA500=Constants!$B$3,TRUE(),IF(AA500=Constants!$B$4,FALSE(),FALSE())))</f>
        <v/>
      </c>
      <c r="BB500" s="132" t="str">
        <f aca="false">IF(ISBLANK($C500),"",AND($AL500,OR($AM500="",$AN500="",AND($AO500,$AP500=""))))</f>
        <v/>
      </c>
      <c r="BC500" s="135" t="str">
        <f aca="false">IF($BR500&lt;&gt;Constants!$B$8,"",IF($AL500,Constants!$B$21*$AN500+Constants!$B$22*IF($AO500,$AP500,Constants!$B$23),Constants!$B$24))</f>
        <v/>
      </c>
      <c r="BD500" s="136" t="str">
        <f aca="false">IF($BR500&lt;&gt;Constants!$B$8,"",Constants!$B$25*ABS($AD$9-IF($AL500,$AM500,0)))</f>
        <v/>
      </c>
      <c r="BE500" s="136" t="str">
        <f aca="false">IF($BR500&lt;&gt;Constants!$B$8,"",IF(AND($AL500,$AQ500,$AO500),Constants!$B$27,0))</f>
        <v/>
      </c>
      <c r="BF500" s="136" t="str">
        <f aca="false">IF($BR500&lt;&gt;Constants!$B$8,"",IF($AL500,($AI500-Constants!$B$29)*Constants!$B$28,0))</f>
        <v/>
      </c>
      <c r="BG500" s="136" t="str">
        <f aca="false">IF($BR500&lt;&gt;Constants!$B$8,"",IF($AK500,0,Constants!$B$15)+IF($AJ500,0,Constants!$B$16)+IF($AH500,0,Constants!$B$17))</f>
        <v/>
      </c>
      <c r="BH500" s="137" t="str">
        <f aca="false">IF($BR500&lt;&gt;Constants!$B$8,"",Constants!$B$20+SUM($BC500:$BG500))</f>
        <v/>
      </c>
      <c r="BI500" s="133" t="str">
        <f aca="false">IF($BR500&lt;&gt;Constants!$B$8,"",IF(OR($BP500&lt;$BH500,AND($BP500=$BH500,OR($BK500&lt;$BC500,AND($BK500=$BC500,OR($BL500&lt;$BD500,AND($BL500=$BD500,$AT500,$AL500,$AV500&lt;$AN500)))))),"-&gt;","&lt;-"))</f>
        <v/>
      </c>
      <c r="BJ500" s="132" t="str">
        <f aca="false">IF(ISBLANK($C500),"",AND($AT500,OR($AU500="",$AV500="",AND($AW500,$AX500=""))))</f>
        <v/>
      </c>
      <c r="BK500" s="135" t="str">
        <f aca="false">IF($BR500&lt;&gt;Constants!$B$8,"",IF($AT500,Constants!$B$21*$AV500+Constants!$B$22*IF($AW500,$AX500,Constants!$B$23),Constants!$B$24))</f>
        <v/>
      </c>
      <c r="BL500" s="136" t="str">
        <f aca="false">IF($BR500&lt;&gt;Constants!$B$8,"",Constants!$B$25*ABS($AD$9-IF($AT500,$AU500,0)))</f>
        <v/>
      </c>
      <c r="BM500" s="136" t="str">
        <f aca="false">IF($BR500&lt;&gt;Constants!$B$8,"",IF(AND($AT500,$AY500,$AW500),Constants!$B$27,0))</f>
        <v/>
      </c>
      <c r="BN500" s="136" t="str">
        <f aca="false">IF($BR500&lt;&gt;Constants!$B$8,"",IF($AT500,($AI500-Constants!$B$29)*Constants!$B$28,0))</f>
        <v/>
      </c>
      <c r="BO500" s="136" t="str">
        <f aca="false">IF($BR500&lt;&gt;Constants!$B$8,"",IF($AS500,0,Constants!$B$15)+IF($AR500,0,Constants!$B$16)+IF($AH500,0,Constants!$B$17))</f>
        <v/>
      </c>
      <c r="BP500" s="137" t="str">
        <f aca="false">IF($BR500&lt;&gt;Constants!$B$8,"",Constants!$B$20+SUM($BK500:$BO500))</f>
        <v/>
      </c>
      <c r="BQ500" s="133" t="str">
        <f aca="false">IF(ISBLANK($C500),"",IF(ISBLANK($D$7),$BQ$5,IF(NOT(ISNUMBER($D$7)),$BQ$6,"")))</f>
        <v/>
      </c>
      <c r="BR500" s="133" t="str">
        <f aca="false">IF(ISBLANK($C500),"",IF($BA500,Constants!$B$11,IF(COUNTA($E500:$AA500)=0,Constants!$B$10,IF(NOT($AG500),Constants!$B$9,IF(OR($BQ500&lt;&gt;"",$BB500,$BJ500),Constants!$B$12,Constants!$B$8)))))</f>
        <v/>
      </c>
      <c r="BS500" s="133" t="str">
        <f aca="false">IF(ISBLANK($C500),"",IF($BR500&lt;&gt;Constants!$B$8,$BR500,Constants!$B$13))</f>
        <v/>
      </c>
      <c r="BT500" s="136" t="str">
        <f aca="false">IF($BR500&lt;&gt;Constants!$B$8,"",IF($BI500="-&gt;",$BP500,$BH500))</f>
        <v/>
      </c>
      <c r="BU500" s="136" t="str">
        <f aca="false">IF($BR500&lt;&gt;Constants!$B$8,"",IF($AF500,0,Constants!$B$18))</f>
        <v/>
      </c>
      <c r="BV500" s="136" t="str">
        <f aca="false">IF($BR500&lt;&gt;Constants!$B$8,"",((Constants!$B$31-$AZ500)-Constants!$B$31)/Constants!$B$32)</f>
        <v/>
      </c>
      <c r="BW500" s="136" t="str">
        <f aca="false">IF(ISBLANK($C500),"",IF($BR500&lt;&gt;Constants!$B$8,$BR500,SUM($BT500:$BV500)))</f>
        <v/>
      </c>
      <c r="BX500" s="133" t="str">
        <f aca="false">IF(ISBLANK($C500),"",IF($BR500&lt;&gt;Constants!$B$8,$BR500,RANK($BW500,$BW$9:$BW$508,1)))</f>
        <v/>
      </c>
      <c r="BY500" s="136" t="str">
        <f aca="false">IF($BR500&lt;&gt;Constants!$B$8,"",IF($BI500="-&gt;",$BK500,$BC500))</f>
        <v/>
      </c>
      <c r="BZ500" s="133" t="str">
        <f aca="false">IF(ISBLANK($C500),"",IF($BR500&lt;&gt;Constants!$B$8,$BR500,IF(ISNUMBER($BY500),RANK($BY500,$BY$9:$BY$508,1),COUNT($BY$9:$BY$508)+1)))</f>
        <v/>
      </c>
      <c r="CA500" s="136" t="str">
        <f aca="false">IF($BR500&lt;&gt;Constants!$B$8,"",IF($BI500="-&gt;",$BL500,$BD500))</f>
        <v/>
      </c>
      <c r="CB500" s="133" t="str">
        <f aca="false">IF(ISBLANK($C500),"",IF($BR500&lt;&gt;Constants!$B$8,$BR500,IF(ISNUMBER($CA500),RANK($CA500,$CA$9:$CA$508,1),COUNT($CA$9:$CA$508)+1)))</f>
        <v/>
      </c>
      <c r="CC500" s="136" t="str">
        <f aca="false">IF($BR500&lt;&gt;Constants!$B$8,"",IF($BI500="-&gt;",IF($AT500,$AV500,""),IF($AL500,$AN500,"")))</f>
        <v/>
      </c>
      <c r="CD500" s="133" t="str">
        <f aca="false">IF(ISBLANK($C500),"",IF($BR500&lt;&gt;Constants!$B$8,$BR500,IF(ISNUMBER($CC500),RANK($CC500,$CC$9:$CC$508,1),COUNT($CC$9:$CC$508)+1)))</f>
        <v/>
      </c>
      <c r="CE500" s="136" t="str">
        <f aca="false">IF($BR500&lt;&gt;Constants!$B$8,"",IF(AND(NOT($AL500),NOT($AT500),$AJ500,$AK500,$AR500,$AS500),"",$AI500))</f>
        <v/>
      </c>
      <c r="CF500" s="133" t="str">
        <f aca="false">IF(ISBLANK($C500),"",IF($BR500&lt;&gt;Constants!$B$8,$BR500,IF(ISNUMBER($CE500),RANK($CE500,$CE$9:$CE$508,1),COUNT($CE$9:$CE$508)+1)))</f>
        <v/>
      </c>
      <c r="CG500" s="133" t="str">
        <f aca="false">IF(ISBLANK($C500),"",IF($BR500&lt;&gt;Constants!$B$8,$BR500,COUNTIFS($BX$9:$BX$508,"&lt;"&amp;$BX500)+COUNTIFS($BX$9:$BX$508,$BX500,$BZ$9:$BZ$508,"&lt;"&amp;$BZ500)+COUNTIFS($BX$9:$BX$508,$BX500,$BZ$9:$BZ$508,$BZ500,$CB$9:$CB$508,"&lt;"&amp;$CB500)+COUNTIFS($BX$9:$BX$508,$BX500,$BZ$9:$BZ$508,$BZ500,$CB$9:$CB$508,$CB500,$CD$9:$CD$508,"&lt;"&amp;$CD500)+COUNTIFS($BX$9:$BX$508,$BX500,$BZ$9:$BZ$508,$BZ500,$CB$9:$CB$508,$CB500,$CD$9:$CD$508,$CD500,$CF$9:$CF$508,"&lt;"&amp;$CF500)+1))</f>
        <v/>
      </c>
      <c r="CH500" s="133" t="str">
        <f aca="false">IF(ISBLANK($C500),"",IF($BR500&lt;&gt;Constants!$B$8,$BR500,$BX500-$CG500))</f>
        <v/>
      </c>
      <c r="CI500" s="138"/>
      <c r="CJ500" s="139"/>
      <c r="CK500" s="140" t="str">
        <f aca="false">IF(ISBLANK($C500),"",IF($BR500=Constants!$B$12,$BQ500,""))</f>
        <v/>
      </c>
      <c r="CL500" s="139" t="str">
        <f aca="false">IF(ISBLANK($C500),"",IF($BR500&lt;&gt;Constants!$B$8,"",IF($BI500="-&gt;",2,1)))</f>
        <v/>
      </c>
      <c r="CM500" s="141" t="str">
        <f aca="false">IF(ISBLANK($C500),"",IF($BR500&lt;&gt;Constants!$B$8,"",IF($BI500="-&gt;",$BK500,$BC500)))</f>
        <v/>
      </c>
      <c r="CN500" s="141" t="str">
        <f aca="false">IF(ISBLANK($C500),"",IF($BR500&lt;&gt;Constants!$B$8,"",IF($BI500="-&gt;",$BL500,$BD500)))</f>
        <v/>
      </c>
      <c r="CO500" s="141" t="str">
        <f aca="false">IF(ISBLANK($C500),"",IF($BR500&lt;&gt;Constants!$B$8,"",IF($BI500="-&gt;",$BM500+$BN500,$BE500+$BF500)+$BV500))</f>
        <v/>
      </c>
      <c r="CP500" s="141" t="str">
        <f aca="false">IF(ISBLANK($C500),"",IF($BR500&lt;&gt;Constants!$B$8,"",IF($BI500="-&gt;",$BO500,$BG500)+$BU500))</f>
        <v/>
      </c>
      <c r="CQ500" s="142" t="str">
        <f aca="false">IF(ISBLANK($C500),"",IF($BR500&lt;&gt;Constants!$B$8,$BR500,$BW500))</f>
        <v/>
      </c>
      <c r="CR500" s="143" t="str">
        <f aca="false">IF(ISBLANK($C500),"",$BS500)</f>
        <v/>
      </c>
      <c r="CS500" s="144" t="str">
        <f aca="false">IF(ISBLANK($C500),"",$CH500)</f>
        <v/>
      </c>
      <c r="CT500" s="144" t="str">
        <f aca="false">IF(ISBLANK($C500),"",$CG500)</f>
        <v/>
      </c>
      <c r="CU500" s="145" t="str">
        <f aca="false">IF(ISBLANK($C500),"",IFERROR(_xlfn.SWITCH($CT500,Constants!$B$11,COUNTA($C$9:$C$508)+2,Constants!$B$10,COUNTA($C$9:$C$508)+1,Constants!$B$9,COUNTA($C$9:$C$508)),$CT500))</f>
        <v/>
      </c>
      <c r="CV500" s="9"/>
      <c r="CW500" s="146" t="n">
        <f aca="false">IF(OR(ISNUMBER($CT500),$CT500=Constants!$B$11,$CT500=Constants!$B$9,$CT500=Constants!$B$10),1,0)</f>
        <v>0</v>
      </c>
      <c r="CX500" s="146" t="n">
        <v>492</v>
      </c>
      <c r="CY500" s="146" t="str">
        <f aca="false">IF(ISBLANK($C500),"",IF(ISNUMBER($CU500),$CU500+ROW($B500)/1000,""))</f>
        <v/>
      </c>
      <c r="CZ500" s="146" t="str">
        <f aca="false">IF(ISNUMBER($CY500),RANK($CY500,$CY$9:$CY$508,1),"")</f>
        <v/>
      </c>
      <c r="DA500" s="146" t="str">
        <f aca="false">IF(ISBLANK($C500),"",$B500)</f>
        <v/>
      </c>
      <c r="DB500" s="146" t="str">
        <f aca="false">IF(ISBLANK($C500),"",$C500)</f>
        <v/>
      </c>
      <c r="DC500" s="146" t="str">
        <f aca="false">IF(ISBLANK($C500),"",$D500)</f>
        <v/>
      </c>
      <c r="DD500" s="147" t="str">
        <f aca="false">$CR500</f>
        <v/>
      </c>
      <c r="DE500" s="148" t="str">
        <f aca="false">$CQ500</f>
        <v/>
      </c>
      <c r="DF500" s="146" t="str">
        <f aca="false">IF(ISBLANK($C500),"",$CT500)</f>
        <v/>
      </c>
      <c r="DG500" s="149" t="str">
        <f aca="false">IF($CX500&gt;$CW$8,"",VLOOKUP($CX500,$CZ$9:$DF$508,7,FALSE()))</f>
        <v/>
      </c>
      <c r="DH500" s="150" t="str">
        <f aca="false">IF($CX500&gt;$CW$8,"",VLOOKUP($CX500,$CZ$9:$DF$508,2,FALSE()))</f>
        <v/>
      </c>
      <c r="DI500" s="150" t="str">
        <f aca="false">IF($CX500&gt;$CW$8,"",VLOOKUP($CX500,$CZ$9:$DF$508,3,FALSE()))</f>
        <v/>
      </c>
      <c r="DJ500" s="150" t="str">
        <f aca="false">IF($CX500&gt;$CW$8,"",VLOOKUP($CX500,$CZ$9:$DF$508,4,FALSE()))</f>
        <v/>
      </c>
      <c r="DK500" s="150" t="str">
        <f aca="false">IF($CX500&gt;$CW$8,"",VLOOKUP($CX500,$CZ$9:$DF$508,5,FALSE()))</f>
        <v/>
      </c>
      <c r="DL500" s="151" t="str">
        <f aca="false">IF($CX500&gt;$CW$8,"",VLOOKUP($CX500,$CZ$9:$DF$508,6,FALSE()))</f>
        <v/>
      </c>
      <c r="DM500" s="75"/>
    </row>
    <row r="501" customFormat="false" ht="15.75" hidden="false" customHeight="false" outlineLevel="0" collapsed="false">
      <c r="A501" s="9"/>
      <c r="B501" s="77"/>
      <c r="C501" s="78"/>
      <c r="D501" s="167"/>
      <c r="E501" s="175"/>
      <c r="F501" s="169"/>
      <c r="G501" s="170"/>
      <c r="H501" s="170"/>
      <c r="I501" s="176"/>
      <c r="J501" s="173"/>
      <c r="K501" s="85"/>
      <c r="L501" s="86"/>
      <c r="M501" s="87"/>
      <c r="N501" s="173"/>
      <c r="O501" s="173"/>
      <c r="P501" s="175"/>
      <c r="Q501" s="173"/>
      <c r="R501" s="173"/>
      <c r="S501" s="85"/>
      <c r="T501" s="87"/>
      <c r="U501" s="87"/>
      <c r="V501" s="173"/>
      <c r="W501" s="173"/>
      <c r="X501" s="175"/>
      <c r="Y501" s="173"/>
      <c r="Z501" s="174"/>
      <c r="AA501" s="173"/>
      <c r="AB501" s="91"/>
      <c r="AC501" s="92"/>
      <c r="AD501" s="92"/>
      <c r="AE501" s="92"/>
      <c r="AF501" s="92" t="str">
        <f aca="false">IF(ISBLANK($C501),"",IF(E501=Constants!$B$3,TRUE(),IF(E501=Constants!$B$4,FALSE(),TRUE())))</f>
        <v/>
      </c>
      <c r="AG501" s="92" t="str">
        <f aca="false">IF(ISBLANK($C501),"",IF(F501=Constants!$B$3,TRUE(),IF(F501=Constants!$B$4,FALSE(),TRUE())))</f>
        <v/>
      </c>
      <c r="AH501" s="92" t="str">
        <f aca="false">IF(ISBLANK($C501),"",IF(G501=Constants!$B$3,TRUE(),IF(G501=Constants!$B$4,FALSE(),TRUE())))</f>
        <v/>
      </c>
      <c r="AI501" s="92" t="str">
        <f aca="false">IF(ISBLANK($C501),"",IF(AND(ISNUMBER(H501),H501&gt;=0),H501,Constants!$B$29))</f>
        <v/>
      </c>
      <c r="AJ501" s="92" t="str">
        <f aca="false">IF(ISBLANK($C501),"",IF(I501=Constants!$B$3,TRUE(),IF(I501=Constants!$B$4,FALSE(),TRUE())))</f>
        <v/>
      </c>
      <c r="AK501" s="92" t="str">
        <f aca="false">IF(ISBLANK($C501),"",IF(J501=Constants!$B$3,TRUE(),IF(J501=Constants!$B$4,FALSE(),TRUE())))</f>
        <v/>
      </c>
      <c r="AL501" s="92" t="str">
        <f aca="false">IF(ISBLANK($C501),"",IF(K501=Constants!$B$5,TRUE(),IF(K501=Constants!$B$6,FALSE(),COUNTA(L501:P501)&gt;0)))</f>
        <v/>
      </c>
      <c r="AM501" s="94" t="str">
        <f aca="false">IF(ISBLANK($C501),"",IF(ISNUMBER(L501),IF(L501&gt;=0,L501,""),""))</f>
        <v/>
      </c>
      <c r="AN501" s="93" t="str">
        <f aca="false">IF(ISBLANK($C501),"",IF(ISNUMBER(M501),IF(M501&gt;=0,M501,""),""))</f>
        <v/>
      </c>
      <c r="AO501" s="93" t="str">
        <f aca="false">IF(ISBLANK($C501),"",IF(N501=Constants!$B$3,TRUE(),IF(N501=Constants!$B$4,FALSE(),TRUE())))</f>
        <v/>
      </c>
      <c r="AP501" s="92" t="str">
        <f aca="false">IF(ISBLANK($C501),"",IF(ISNUMBER(O501),IF(O501&gt;=0,O501,""),""))</f>
        <v/>
      </c>
      <c r="AQ501" s="92" t="str">
        <f aca="false">IF(ISBLANK($C501),"",IF(P501=Constants!$B$3,TRUE(),IF(P501=Constants!$B$4,FALSE(),FALSE())))</f>
        <v/>
      </c>
      <c r="AR501" s="92" t="str">
        <f aca="false">IF(ISBLANK($C501),"",IF(Q501=Constants!$B$3,TRUE(),IF(Q501=Constants!$B$4,FALSE(),TRUE())))</f>
        <v/>
      </c>
      <c r="AS501" s="92" t="str">
        <f aca="false">IF(ISBLANK($C501),"",IF(R501=Constants!$B$3,TRUE(),IF(R501=Constants!$B$4,FALSE(),TRUE())))</f>
        <v/>
      </c>
      <c r="AT501" s="92" t="str">
        <f aca="false">IF(ISBLANK($C501),"",IF(S501=Constants!$B$5,TRUE(),IF(S501=Constants!$B$6,FALSE(),COUNTA(T501:X501)&gt;0)))</f>
        <v/>
      </c>
      <c r="AU501" s="94" t="str">
        <f aca="false">IF(ISBLANK($C501),"",IF(ISNUMBER(T501),IF(T501&gt;=0,T501,""),""))</f>
        <v/>
      </c>
      <c r="AV501" s="93" t="str">
        <f aca="false">IF(ISBLANK($C501),"",IF(ISNUMBER(U501),IF(U501&gt;=0,U501,""),""))</f>
        <v/>
      </c>
      <c r="AW501" s="93" t="str">
        <f aca="false">IF(ISBLANK($C501),"",IF(V501=Constants!$B$3,TRUE(),IF(V501=Constants!$B$4,FALSE(),TRUE())))</f>
        <v/>
      </c>
      <c r="AX501" s="92" t="str">
        <f aca="false">IF(ISBLANK($C501),"",IF(ISNUMBER(W501),IF(W501&gt;=0,W501,""),""))</f>
        <v/>
      </c>
      <c r="AY501" s="92" t="str">
        <f aca="false">IF(ISBLANK($C501),"",IF(X501=Constants!$B$3,TRUE(),IF(X501=Constants!$B$4,FALSE(),FALSE())))</f>
        <v/>
      </c>
      <c r="AZ501" s="92" t="str">
        <f aca="false">IF(ISBLANK($C501),"",MIN(Constants!$B$31,MAX(0,IF(ISNUMBER(Y501),Y501*60,0)+IF(ISNUMBER(Z501),Z501,0))))</f>
        <v/>
      </c>
      <c r="BA501" s="92" t="str">
        <f aca="false">IF(ISBLANK($C501),"",IF(AA501=Constants!$B$3,TRUE(),IF(AA501=Constants!$B$4,FALSE(),FALSE())))</f>
        <v/>
      </c>
      <c r="BB501" s="91" t="str">
        <f aca="false">IF(ISBLANK($C501),"",AND($AL501,OR($AM501="",$AN501="",AND($AO501,$AP501=""))))</f>
        <v/>
      </c>
      <c r="BC501" s="93" t="str">
        <f aca="false">IF($BR501&lt;&gt;Constants!$B$8,"",IF($AL501,Constants!$B$21*$AN501+Constants!$B$22*IF($AO501,$AP501,Constants!$B$23),Constants!$B$24))</f>
        <v/>
      </c>
      <c r="BD501" s="96" t="str">
        <f aca="false">IF($BR501&lt;&gt;Constants!$B$8,"",Constants!$B$25*ABS($AD$9-IF($AL501,$AM501,0)))</f>
        <v/>
      </c>
      <c r="BE501" s="96" t="str">
        <f aca="false">IF($BR501&lt;&gt;Constants!$B$8,"",IF(AND($AL501,$AQ501,$AO501),Constants!$B$27,0))</f>
        <v/>
      </c>
      <c r="BF501" s="96" t="str">
        <f aca="false">IF($BR501&lt;&gt;Constants!$B$8,"",IF($AL501,($AI501-Constants!$B$29)*Constants!$B$28,0))</f>
        <v/>
      </c>
      <c r="BG501" s="96" t="str">
        <f aca="false">IF($BR501&lt;&gt;Constants!$B$8,"",IF($AK501,0,Constants!$B$15)+IF($AJ501,0,Constants!$B$16)+IF($AH501,0,Constants!$B$17))</f>
        <v/>
      </c>
      <c r="BH501" s="97" t="str">
        <f aca="false">IF($BR501&lt;&gt;Constants!$B$8,"",Constants!$B$20+SUM($BC501:$BG501))</f>
        <v/>
      </c>
      <c r="BI501" s="92" t="str">
        <f aca="false">IF($BR501&lt;&gt;Constants!$B$8,"",IF(OR($BP501&lt;$BH501,AND($BP501=$BH501,OR($BK501&lt;$BC501,AND($BK501=$BC501,OR($BL501&lt;$BD501,AND($BL501=$BD501,$AT501,$AL501,$AV501&lt;$AN501)))))),"-&gt;","&lt;-"))</f>
        <v/>
      </c>
      <c r="BJ501" s="91" t="str">
        <f aca="false">IF(ISBLANK($C501),"",AND($AT501,OR($AU501="",$AV501="",AND($AW501,$AX501=""))))</f>
        <v/>
      </c>
      <c r="BK501" s="93" t="str">
        <f aca="false">IF($BR501&lt;&gt;Constants!$B$8,"",IF($AT501,Constants!$B$21*$AV501+Constants!$B$22*IF($AW501,$AX501,Constants!$B$23),Constants!$B$24))</f>
        <v/>
      </c>
      <c r="BL501" s="96" t="str">
        <f aca="false">IF($BR501&lt;&gt;Constants!$B$8,"",Constants!$B$25*ABS($AD$9-IF($AT501,$AU501,0)))</f>
        <v/>
      </c>
      <c r="BM501" s="96" t="str">
        <f aca="false">IF($BR501&lt;&gt;Constants!$B$8,"",IF(AND($AT501,$AY501,$AW501),Constants!$B$27,0))</f>
        <v/>
      </c>
      <c r="BN501" s="96" t="str">
        <f aca="false">IF($BR501&lt;&gt;Constants!$B$8,"",IF($AT501,($AI501-Constants!$B$29)*Constants!$B$28,0))</f>
        <v/>
      </c>
      <c r="BO501" s="96" t="str">
        <f aca="false">IF($BR501&lt;&gt;Constants!$B$8,"",IF($AS501,0,Constants!$B$15)+IF($AR501,0,Constants!$B$16)+IF($AH501,0,Constants!$B$17))</f>
        <v/>
      </c>
      <c r="BP501" s="97" t="str">
        <f aca="false">IF($BR501&lt;&gt;Constants!$B$8,"",Constants!$B$20+SUM($BK501:$BO501))</f>
        <v/>
      </c>
      <c r="BQ501" s="92" t="str">
        <f aca="false">IF(ISBLANK($C501),"",IF(ISBLANK($D$7),$BQ$5,IF(NOT(ISNUMBER($D$7)),$BQ$6,"")))</f>
        <v/>
      </c>
      <c r="BR501" s="92" t="str">
        <f aca="false">IF(ISBLANK($C501),"",IF($BA501,Constants!$B$11,IF(COUNTA($E501:$AA501)=0,Constants!$B$10,IF(NOT($AG501),Constants!$B$9,IF(OR($BQ501&lt;&gt;"",$BB501,$BJ501),Constants!$B$12,Constants!$B$8)))))</f>
        <v/>
      </c>
      <c r="BS501" s="92" t="str">
        <f aca="false">IF(ISBLANK($C501),"",IF($BR501&lt;&gt;Constants!$B$8,$BR501,Constants!$B$13))</f>
        <v/>
      </c>
      <c r="BT501" s="96" t="str">
        <f aca="false">IF($BR501&lt;&gt;Constants!$B$8,"",IF($BI501="-&gt;",$BP501,$BH501))</f>
        <v/>
      </c>
      <c r="BU501" s="96" t="str">
        <f aca="false">IF($BR501&lt;&gt;Constants!$B$8,"",IF($AF501,0,Constants!$B$18))</f>
        <v/>
      </c>
      <c r="BV501" s="96" t="str">
        <f aca="false">IF($BR501&lt;&gt;Constants!$B$8,"",((Constants!$B$31-$AZ501)-Constants!$B$31)/Constants!$B$32)</f>
        <v/>
      </c>
      <c r="BW501" s="96" t="str">
        <f aca="false">IF(ISBLANK($C501),"",IF($BR501&lt;&gt;Constants!$B$8,$BR501,SUM($BT501:$BV501)))</f>
        <v/>
      </c>
      <c r="BX501" s="92" t="str">
        <f aca="false">IF(ISBLANK($C501),"",IF($BR501&lt;&gt;Constants!$B$8,$BR501,RANK($BW501,$BW$9:$BW$508,1)))</f>
        <v/>
      </c>
      <c r="BY501" s="96" t="str">
        <f aca="false">IF($BR501&lt;&gt;Constants!$B$8,"",IF($BI501="-&gt;",$BK501,$BC501))</f>
        <v/>
      </c>
      <c r="BZ501" s="92" t="str">
        <f aca="false">IF(ISBLANK($C501),"",IF($BR501&lt;&gt;Constants!$B$8,$BR501,IF(ISNUMBER($BY501),RANK($BY501,$BY$9:$BY$508,1),COUNT($BY$9:$BY$508)+1)))</f>
        <v/>
      </c>
      <c r="CA501" s="96" t="str">
        <f aca="false">IF($BR501&lt;&gt;Constants!$B$8,"",IF($BI501="-&gt;",$BL501,$BD501))</f>
        <v/>
      </c>
      <c r="CB501" s="92" t="str">
        <f aca="false">IF(ISBLANK($C501),"",IF($BR501&lt;&gt;Constants!$B$8,$BR501,IF(ISNUMBER($CA501),RANK($CA501,$CA$9:$CA$508,1),COUNT($CA$9:$CA$508)+1)))</f>
        <v/>
      </c>
      <c r="CC501" s="96" t="str">
        <f aca="false">IF($BR501&lt;&gt;Constants!$B$8,"",IF($BI501="-&gt;",IF($AT501,$AV501,""),IF($AL501,$AN501,"")))</f>
        <v/>
      </c>
      <c r="CD501" s="92" t="str">
        <f aca="false">IF(ISBLANK($C501),"",IF($BR501&lt;&gt;Constants!$B$8,$BR501,IF(ISNUMBER($CC501),RANK($CC501,$CC$9:$CC$508,1),COUNT($CC$9:$CC$508)+1)))</f>
        <v/>
      </c>
      <c r="CE501" s="96" t="str">
        <f aca="false">IF($BR501&lt;&gt;Constants!$B$8,"",IF(AND(NOT($AL501),NOT($AT501),$AJ501,$AK501,$AR501,$AS501),"",$AI501))</f>
        <v/>
      </c>
      <c r="CF501" s="92" t="str">
        <f aca="false">IF(ISBLANK($C501),"",IF($BR501&lt;&gt;Constants!$B$8,$BR501,IF(ISNUMBER($CE501),RANK($CE501,$CE$9:$CE$508,1),COUNT($CE$9:$CE$508)+1)))</f>
        <v/>
      </c>
      <c r="CG501" s="92" t="str">
        <f aca="false">IF(ISBLANK($C501),"",IF($BR501&lt;&gt;Constants!$B$8,$BR501,COUNTIFS($BX$9:$BX$508,"&lt;"&amp;$BX501)+COUNTIFS($BX$9:$BX$508,$BX501,$BZ$9:$BZ$508,"&lt;"&amp;$BZ501)+COUNTIFS($BX$9:$BX$508,$BX501,$BZ$9:$BZ$508,$BZ501,$CB$9:$CB$508,"&lt;"&amp;$CB501)+COUNTIFS($BX$9:$BX$508,$BX501,$BZ$9:$BZ$508,$BZ501,$CB$9:$CB$508,$CB501,$CD$9:$CD$508,"&lt;"&amp;$CD501)+COUNTIFS($BX$9:$BX$508,$BX501,$BZ$9:$BZ$508,$BZ501,$CB$9:$CB$508,$CB501,$CD$9:$CD$508,$CD501,$CF$9:$CF$508,"&lt;"&amp;$CF501)+1))</f>
        <v/>
      </c>
      <c r="CH501" s="92" t="str">
        <f aca="false">IF(ISBLANK($C501),"",IF($BR501&lt;&gt;Constants!$B$8,$BR501,$BX501-$CG501))</f>
        <v/>
      </c>
      <c r="CI501" s="98"/>
      <c r="CJ501" s="99"/>
      <c r="CK501" s="100" t="str">
        <f aca="false">IF(ISBLANK($C501),"",IF($BR501=Constants!$B$12,$BQ501,""))</f>
        <v/>
      </c>
      <c r="CL501" s="99" t="str">
        <f aca="false">IF(ISBLANK($C501),"",IF($BR501&lt;&gt;Constants!$B$8,"",IF($BI501="-&gt;",2,1)))</f>
        <v/>
      </c>
      <c r="CM501" s="101" t="str">
        <f aca="false">IF(ISBLANK($C501),"",IF($BR501&lt;&gt;Constants!$B$8,"",IF($BI501="-&gt;",$BK501,$BC501)))</f>
        <v/>
      </c>
      <c r="CN501" s="101" t="str">
        <f aca="false">IF(ISBLANK($C501),"",IF($BR501&lt;&gt;Constants!$B$8,"",IF($BI501="-&gt;",$BL501,$BD501)))</f>
        <v/>
      </c>
      <c r="CO501" s="101" t="str">
        <f aca="false">IF(ISBLANK($C501),"",IF($BR501&lt;&gt;Constants!$B$8,"",IF($BI501="-&gt;",$BM501+$BN501,$BE501+$BF501)+$BV501))</f>
        <v/>
      </c>
      <c r="CP501" s="101" t="str">
        <f aca="false">IF(ISBLANK($C501),"",IF($BR501&lt;&gt;Constants!$B$8,"",IF($BI501="-&gt;",$BO501,$BG501)+$BU501))</f>
        <v/>
      </c>
      <c r="CQ501" s="102" t="str">
        <f aca="false">IF(ISBLANK($C501),"",IF($BR501&lt;&gt;Constants!$B$8,$BR501,$BW501))</f>
        <v/>
      </c>
      <c r="CR501" s="103" t="str">
        <f aca="false">IF(ISBLANK($C501),"",$BS501)</f>
        <v/>
      </c>
      <c r="CS501" s="104" t="str">
        <f aca="false">IF(ISBLANK($C501),"",$CH501)</f>
        <v/>
      </c>
      <c r="CT501" s="104" t="str">
        <f aca="false">IF(ISBLANK($C501),"",$CG501)</f>
        <v/>
      </c>
      <c r="CU501" s="105" t="str">
        <f aca="false">IF(ISBLANK($C501),"",IFERROR(_xlfn.SWITCH($CT501,Constants!$B$11,COUNTA($C$9:$C$508)+2,Constants!$B$10,COUNTA($C$9:$C$508)+1,Constants!$B$9,COUNTA($C$9:$C$508)),$CT501))</f>
        <v/>
      </c>
      <c r="CV501" s="9"/>
      <c r="CW501" s="106" t="n">
        <f aca="false">IF(OR(ISNUMBER($CT501),$CT501=Constants!$B$11,$CT501=Constants!$B$9,$CT501=Constants!$B$10),1,0)</f>
        <v>0</v>
      </c>
      <c r="CX501" s="106" t="n">
        <v>493</v>
      </c>
      <c r="CY501" s="106" t="str">
        <f aca="false">IF(ISBLANK($C501),"",IF(ISNUMBER($CU501),$CU501+ROW($B501)/1000,""))</f>
        <v/>
      </c>
      <c r="CZ501" s="106" t="str">
        <f aca="false">IF(ISNUMBER($CY501),RANK($CY501,$CY$9:$CY$508,1),"")</f>
        <v/>
      </c>
      <c r="DA501" s="106" t="str">
        <f aca="false">IF(ISBLANK($C501),"",$B501)</f>
        <v/>
      </c>
      <c r="DB501" s="106" t="str">
        <f aca="false">IF(ISBLANK($C501),"",$C501)</f>
        <v/>
      </c>
      <c r="DC501" s="106" t="str">
        <f aca="false">IF(ISBLANK($C501),"",$D501)</f>
        <v/>
      </c>
      <c r="DD501" s="107" t="str">
        <f aca="false">$CR501</f>
        <v/>
      </c>
      <c r="DE501" s="108" t="str">
        <f aca="false">$CQ501</f>
        <v/>
      </c>
      <c r="DF501" s="106" t="str">
        <f aca="false">IF(ISBLANK($C501),"",$CT501)</f>
        <v/>
      </c>
      <c r="DG501" s="109" t="str">
        <f aca="false">IF($CX501&gt;$CW$8,"",VLOOKUP($CX501,$CZ$9:$DF$508,7,FALSE()))</f>
        <v/>
      </c>
      <c r="DH501" s="110" t="str">
        <f aca="false">IF($CX501&gt;$CW$8,"",VLOOKUP($CX501,$CZ$9:$DF$508,2,FALSE()))</f>
        <v/>
      </c>
      <c r="DI501" s="110" t="str">
        <f aca="false">IF($CX501&gt;$CW$8,"",VLOOKUP($CX501,$CZ$9:$DF$508,3,FALSE()))</f>
        <v/>
      </c>
      <c r="DJ501" s="110" t="str">
        <f aca="false">IF($CX501&gt;$CW$8,"",VLOOKUP($CX501,$CZ$9:$DF$508,4,FALSE()))</f>
        <v/>
      </c>
      <c r="DK501" s="110" t="str">
        <f aca="false">IF($CX501&gt;$CW$8,"",VLOOKUP($CX501,$CZ$9:$DF$508,5,FALSE()))</f>
        <v/>
      </c>
      <c r="DL501" s="111" t="str">
        <f aca="false">IF($CX501&gt;$CW$8,"",VLOOKUP($CX501,$CZ$9:$DF$508,6,FALSE()))</f>
        <v/>
      </c>
      <c r="DM501" s="75"/>
    </row>
    <row r="502" customFormat="false" ht="15.75" hidden="false" customHeight="false" outlineLevel="0" collapsed="false">
      <c r="A502" s="9"/>
      <c r="B502" s="77"/>
      <c r="C502" s="78"/>
      <c r="D502" s="167"/>
      <c r="E502" s="175"/>
      <c r="F502" s="169"/>
      <c r="G502" s="170"/>
      <c r="H502" s="170"/>
      <c r="I502" s="176"/>
      <c r="J502" s="173"/>
      <c r="K502" s="85"/>
      <c r="L502" s="86"/>
      <c r="M502" s="87"/>
      <c r="N502" s="173"/>
      <c r="O502" s="173"/>
      <c r="P502" s="175"/>
      <c r="Q502" s="173"/>
      <c r="R502" s="173"/>
      <c r="S502" s="85"/>
      <c r="T502" s="87"/>
      <c r="U502" s="87"/>
      <c r="V502" s="173"/>
      <c r="W502" s="173"/>
      <c r="X502" s="175"/>
      <c r="Y502" s="173"/>
      <c r="Z502" s="174"/>
      <c r="AA502" s="173"/>
      <c r="AB502" s="91"/>
      <c r="AC502" s="92"/>
      <c r="AD502" s="92"/>
      <c r="AE502" s="92"/>
      <c r="AF502" s="92" t="str">
        <f aca="false">IF(ISBLANK($C502),"",IF(E502=Constants!$B$3,TRUE(),IF(E502=Constants!$B$4,FALSE(),TRUE())))</f>
        <v/>
      </c>
      <c r="AG502" s="92" t="str">
        <f aca="false">IF(ISBLANK($C502),"",IF(F502=Constants!$B$3,TRUE(),IF(F502=Constants!$B$4,FALSE(),TRUE())))</f>
        <v/>
      </c>
      <c r="AH502" s="92" t="str">
        <f aca="false">IF(ISBLANK($C502),"",IF(G502=Constants!$B$3,TRUE(),IF(G502=Constants!$B$4,FALSE(),TRUE())))</f>
        <v/>
      </c>
      <c r="AI502" s="92" t="str">
        <f aca="false">IF(ISBLANK($C502),"",IF(AND(ISNUMBER(H502),H502&gt;=0),H502,Constants!$B$29))</f>
        <v/>
      </c>
      <c r="AJ502" s="92" t="str">
        <f aca="false">IF(ISBLANK($C502),"",IF(I502=Constants!$B$3,TRUE(),IF(I502=Constants!$B$4,FALSE(),TRUE())))</f>
        <v/>
      </c>
      <c r="AK502" s="92" t="str">
        <f aca="false">IF(ISBLANK($C502),"",IF(J502=Constants!$B$3,TRUE(),IF(J502=Constants!$B$4,FALSE(),TRUE())))</f>
        <v/>
      </c>
      <c r="AL502" s="92" t="str">
        <f aca="false">IF(ISBLANK($C502),"",IF(K502=Constants!$B$5,TRUE(),IF(K502=Constants!$B$6,FALSE(),COUNTA(L502:P502)&gt;0)))</f>
        <v/>
      </c>
      <c r="AM502" s="94" t="str">
        <f aca="false">IF(ISBLANK($C502),"",IF(ISNUMBER(L502),IF(L502&gt;=0,L502,""),""))</f>
        <v/>
      </c>
      <c r="AN502" s="93" t="str">
        <f aca="false">IF(ISBLANK($C502),"",IF(ISNUMBER(M502),IF(M502&gt;=0,M502,""),""))</f>
        <v/>
      </c>
      <c r="AO502" s="93" t="str">
        <f aca="false">IF(ISBLANK($C502),"",IF(N502=Constants!$B$3,TRUE(),IF(N502=Constants!$B$4,FALSE(),TRUE())))</f>
        <v/>
      </c>
      <c r="AP502" s="92" t="str">
        <f aca="false">IF(ISBLANK($C502),"",IF(ISNUMBER(O502),IF(O502&gt;=0,O502,""),""))</f>
        <v/>
      </c>
      <c r="AQ502" s="92" t="str">
        <f aca="false">IF(ISBLANK($C502),"",IF(P502=Constants!$B$3,TRUE(),IF(P502=Constants!$B$4,FALSE(),FALSE())))</f>
        <v/>
      </c>
      <c r="AR502" s="92" t="str">
        <f aca="false">IF(ISBLANK($C502),"",IF(Q502=Constants!$B$3,TRUE(),IF(Q502=Constants!$B$4,FALSE(),TRUE())))</f>
        <v/>
      </c>
      <c r="AS502" s="92" t="str">
        <f aca="false">IF(ISBLANK($C502),"",IF(R502=Constants!$B$3,TRUE(),IF(R502=Constants!$B$4,FALSE(),TRUE())))</f>
        <v/>
      </c>
      <c r="AT502" s="92" t="str">
        <f aca="false">IF(ISBLANK($C502),"",IF(S502=Constants!$B$5,TRUE(),IF(S502=Constants!$B$6,FALSE(),COUNTA(T502:X502)&gt;0)))</f>
        <v/>
      </c>
      <c r="AU502" s="94" t="str">
        <f aca="false">IF(ISBLANK($C502),"",IF(ISNUMBER(T502),IF(T502&gt;=0,T502,""),""))</f>
        <v/>
      </c>
      <c r="AV502" s="93" t="str">
        <f aca="false">IF(ISBLANK($C502),"",IF(ISNUMBER(U502),IF(U502&gt;=0,U502,""),""))</f>
        <v/>
      </c>
      <c r="AW502" s="93" t="str">
        <f aca="false">IF(ISBLANK($C502),"",IF(V502=Constants!$B$3,TRUE(),IF(V502=Constants!$B$4,FALSE(),TRUE())))</f>
        <v/>
      </c>
      <c r="AX502" s="92" t="str">
        <f aca="false">IF(ISBLANK($C502),"",IF(ISNUMBER(W502),IF(W502&gt;=0,W502,""),""))</f>
        <v/>
      </c>
      <c r="AY502" s="92" t="str">
        <f aca="false">IF(ISBLANK($C502),"",IF(X502=Constants!$B$3,TRUE(),IF(X502=Constants!$B$4,FALSE(),FALSE())))</f>
        <v/>
      </c>
      <c r="AZ502" s="92" t="str">
        <f aca="false">IF(ISBLANK($C502),"",MIN(Constants!$B$31,MAX(0,IF(ISNUMBER(Y502),Y502*60,0)+IF(ISNUMBER(Z502),Z502,0))))</f>
        <v/>
      </c>
      <c r="BA502" s="92" t="str">
        <f aca="false">IF(ISBLANK($C502),"",IF(AA502=Constants!$B$3,TRUE(),IF(AA502=Constants!$B$4,FALSE(),FALSE())))</f>
        <v/>
      </c>
      <c r="BB502" s="91" t="str">
        <f aca="false">IF(ISBLANK($C502),"",AND($AL502,OR($AM502="",$AN502="",AND($AO502,$AP502=""))))</f>
        <v/>
      </c>
      <c r="BC502" s="93" t="str">
        <f aca="false">IF($BR502&lt;&gt;Constants!$B$8,"",IF($AL502,Constants!$B$21*$AN502+Constants!$B$22*IF($AO502,$AP502,Constants!$B$23),Constants!$B$24))</f>
        <v/>
      </c>
      <c r="BD502" s="96" t="str">
        <f aca="false">IF($BR502&lt;&gt;Constants!$B$8,"",Constants!$B$25*ABS($AD$9-IF($AL502,$AM502,0)))</f>
        <v/>
      </c>
      <c r="BE502" s="96" t="str">
        <f aca="false">IF($BR502&lt;&gt;Constants!$B$8,"",IF(AND($AL502,$AQ502,$AO502),Constants!$B$27,0))</f>
        <v/>
      </c>
      <c r="BF502" s="96" t="str">
        <f aca="false">IF($BR502&lt;&gt;Constants!$B$8,"",IF($AL502,($AI502-Constants!$B$29)*Constants!$B$28,0))</f>
        <v/>
      </c>
      <c r="BG502" s="96" t="str">
        <f aca="false">IF($BR502&lt;&gt;Constants!$B$8,"",IF($AK502,0,Constants!$B$15)+IF($AJ502,0,Constants!$B$16)+IF($AH502,0,Constants!$B$17))</f>
        <v/>
      </c>
      <c r="BH502" s="97" t="str">
        <f aca="false">IF($BR502&lt;&gt;Constants!$B$8,"",Constants!$B$20+SUM($BC502:$BG502))</f>
        <v/>
      </c>
      <c r="BI502" s="92" t="str">
        <f aca="false">IF($BR502&lt;&gt;Constants!$B$8,"",IF(OR($BP502&lt;$BH502,AND($BP502=$BH502,OR($BK502&lt;$BC502,AND($BK502=$BC502,OR($BL502&lt;$BD502,AND($BL502=$BD502,$AT502,$AL502,$AV502&lt;$AN502)))))),"-&gt;","&lt;-"))</f>
        <v/>
      </c>
      <c r="BJ502" s="91" t="str">
        <f aca="false">IF(ISBLANK($C502),"",AND($AT502,OR($AU502="",$AV502="",AND($AW502,$AX502=""))))</f>
        <v/>
      </c>
      <c r="BK502" s="93" t="str">
        <f aca="false">IF($BR502&lt;&gt;Constants!$B$8,"",IF($AT502,Constants!$B$21*$AV502+Constants!$B$22*IF($AW502,$AX502,Constants!$B$23),Constants!$B$24))</f>
        <v/>
      </c>
      <c r="BL502" s="96" t="str">
        <f aca="false">IF($BR502&lt;&gt;Constants!$B$8,"",Constants!$B$25*ABS($AD$9-IF($AT502,$AU502,0)))</f>
        <v/>
      </c>
      <c r="BM502" s="96" t="str">
        <f aca="false">IF($BR502&lt;&gt;Constants!$B$8,"",IF(AND($AT502,$AY502,$AW502),Constants!$B$27,0))</f>
        <v/>
      </c>
      <c r="BN502" s="96" t="str">
        <f aca="false">IF($BR502&lt;&gt;Constants!$B$8,"",IF($AT502,($AI502-Constants!$B$29)*Constants!$B$28,0))</f>
        <v/>
      </c>
      <c r="BO502" s="96" t="str">
        <f aca="false">IF($BR502&lt;&gt;Constants!$B$8,"",IF($AS502,0,Constants!$B$15)+IF($AR502,0,Constants!$B$16)+IF($AH502,0,Constants!$B$17))</f>
        <v/>
      </c>
      <c r="BP502" s="97" t="str">
        <f aca="false">IF($BR502&lt;&gt;Constants!$B$8,"",Constants!$B$20+SUM($BK502:$BO502))</f>
        <v/>
      </c>
      <c r="BQ502" s="92" t="str">
        <f aca="false">IF(ISBLANK($C502),"",IF(ISBLANK($D$7),$BQ$5,IF(NOT(ISNUMBER($D$7)),$BQ$6,"")))</f>
        <v/>
      </c>
      <c r="BR502" s="92" t="str">
        <f aca="false">IF(ISBLANK($C502),"",IF($BA502,Constants!$B$11,IF(COUNTA($E502:$AA502)=0,Constants!$B$10,IF(NOT($AG502),Constants!$B$9,IF(OR($BQ502&lt;&gt;"",$BB502,$BJ502),Constants!$B$12,Constants!$B$8)))))</f>
        <v/>
      </c>
      <c r="BS502" s="92" t="str">
        <f aca="false">IF(ISBLANK($C502),"",IF($BR502&lt;&gt;Constants!$B$8,$BR502,Constants!$B$13))</f>
        <v/>
      </c>
      <c r="BT502" s="96" t="str">
        <f aca="false">IF($BR502&lt;&gt;Constants!$B$8,"",IF($BI502="-&gt;",$BP502,$BH502))</f>
        <v/>
      </c>
      <c r="BU502" s="96" t="str">
        <f aca="false">IF($BR502&lt;&gt;Constants!$B$8,"",IF($AF502,0,Constants!$B$18))</f>
        <v/>
      </c>
      <c r="BV502" s="96" t="str">
        <f aca="false">IF($BR502&lt;&gt;Constants!$B$8,"",((Constants!$B$31-$AZ502)-Constants!$B$31)/Constants!$B$32)</f>
        <v/>
      </c>
      <c r="BW502" s="96" t="str">
        <f aca="false">IF(ISBLANK($C502),"",IF($BR502&lt;&gt;Constants!$B$8,$BR502,SUM($BT502:$BV502)))</f>
        <v/>
      </c>
      <c r="BX502" s="92" t="str">
        <f aca="false">IF(ISBLANK($C502),"",IF($BR502&lt;&gt;Constants!$B$8,$BR502,RANK($BW502,$BW$9:$BW$508,1)))</f>
        <v/>
      </c>
      <c r="BY502" s="96" t="str">
        <f aca="false">IF($BR502&lt;&gt;Constants!$B$8,"",IF($BI502="-&gt;",$BK502,$BC502))</f>
        <v/>
      </c>
      <c r="BZ502" s="92" t="str">
        <f aca="false">IF(ISBLANK($C502),"",IF($BR502&lt;&gt;Constants!$B$8,$BR502,IF(ISNUMBER($BY502),RANK($BY502,$BY$9:$BY$508,1),COUNT($BY$9:$BY$508)+1)))</f>
        <v/>
      </c>
      <c r="CA502" s="96" t="str">
        <f aca="false">IF($BR502&lt;&gt;Constants!$B$8,"",IF($BI502="-&gt;",$BL502,$BD502))</f>
        <v/>
      </c>
      <c r="CB502" s="92" t="str">
        <f aca="false">IF(ISBLANK($C502),"",IF($BR502&lt;&gt;Constants!$B$8,$BR502,IF(ISNUMBER($CA502),RANK($CA502,$CA$9:$CA$508,1),COUNT($CA$9:$CA$508)+1)))</f>
        <v/>
      </c>
      <c r="CC502" s="96" t="str">
        <f aca="false">IF($BR502&lt;&gt;Constants!$B$8,"",IF($BI502="-&gt;",IF($AT502,$AV502,""),IF($AL502,$AN502,"")))</f>
        <v/>
      </c>
      <c r="CD502" s="92" t="str">
        <f aca="false">IF(ISBLANK($C502),"",IF($BR502&lt;&gt;Constants!$B$8,$BR502,IF(ISNUMBER($CC502),RANK($CC502,$CC$9:$CC$508,1),COUNT($CC$9:$CC$508)+1)))</f>
        <v/>
      </c>
      <c r="CE502" s="96" t="str">
        <f aca="false">IF($BR502&lt;&gt;Constants!$B$8,"",IF(AND(NOT($AL502),NOT($AT502),$AJ502,$AK502,$AR502,$AS502),"",$AI502))</f>
        <v/>
      </c>
      <c r="CF502" s="92" t="str">
        <f aca="false">IF(ISBLANK($C502),"",IF($BR502&lt;&gt;Constants!$B$8,$BR502,IF(ISNUMBER($CE502),RANK($CE502,$CE$9:$CE$508,1),COUNT($CE$9:$CE$508)+1)))</f>
        <v/>
      </c>
      <c r="CG502" s="92" t="str">
        <f aca="false">IF(ISBLANK($C502),"",IF($BR502&lt;&gt;Constants!$B$8,$BR502,COUNTIFS($BX$9:$BX$508,"&lt;"&amp;$BX502)+COUNTIFS($BX$9:$BX$508,$BX502,$BZ$9:$BZ$508,"&lt;"&amp;$BZ502)+COUNTIFS($BX$9:$BX$508,$BX502,$BZ$9:$BZ$508,$BZ502,$CB$9:$CB$508,"&lt;"&amp;$CB502)+COUNTIFS($BX$9:$BX$508,$BX502,$BZ$9:$BZ$508,$BZ502,$CB$9:$CB$508,$CB502,$CD$9:$CD$508,"&lt;"&amp;$CD502)+COUNTIFS($BX$9:$BX$508,$BX502,$BZ$9:$BZ$508,$BZ502,$CB$9:$CB$508,$CB502,$CD$9:$CD$508,$CD502,$CF$9:$CF$508,"&lt;"&amp;$CF502)+1))</f>
        <v/>
      </c>
      <c r="CH502" s="92" t="str">
        <f aca="false">IF(ISBLANK($C502),"",IF($BR502&lt;&gt;Constants!$B$8,$BR502,$BX502-$CG502))</f>
        <v/>
      </c>
      <c r="CI502" s="98"/>
      <c r="CJ502" s="99"/>
      <c r="CK502" s="100" t="str">
        <f aca="false">IF(ISBLANK($C502),"",IF($BR502=Constants!$B$12,$BQ502,""))</f>
        <v/>
      </c>
      <c r="CL502" s="99" t="str">
        <f aca="false">IF(ISBLANK($C502),"",IF($BR502&lt;&gt;Constants!$B$8,"",IF($BI502="-&gt;",2,1)))</f>
        <v/>
      </c>
      <c r="CM502" s="101" t="str">
        <f aca="false">IF(ISBLANK($C502),"",IF($BR502&lt;&gt;Constants!$B$8,"",IF($BI502="-&gt;",$BK502,$BC502)))</f>
        <v/>
      </c>
      <c r="CN502" s="101" t="str">
        <f aca="false">IF(ISBLANK($C502),"",IF($BR502&lt;&gt;Constants!$B$8,"",IF($BI502="-&gt;",$BL502,$BD502)))</f>
        <v/>
      </c>
      <c r="CO502" s="101" t="str">
        <f aca="false">IF(ISBLANK($C502),"",IF($BR502&lt;&gt;Constants!$B$8,"",IF($BI502="-&gt;",$BM502+$BN502,$BE502+$BF502)+$BV502))</f>
        <v/>
      </c>
      <c r="CP502" s="101" t="str">
        <f aca="false">IF(ISBLANK($C502),"",IF($BR502&lt;&gt;Constants!$B$8,"",IF($BI502="-&gt;",$BO502,$BG502)+$BU502))</f>
        <v/>
      </c>
      <c r="CQ502" s="102" t="str">
        <f aca="false">IF(ISBLANK($C502),"",IF($BR502&lt;&gt;Constants!$B$8,$BR502,$BW502))</f>
        <v/>
      </c>
      <c r="CR502" s="103" t="str">
        <f aca="false">IF(ISBLANK($C502),"",$BS502)</f>
        <v/>
      </c>
      <c r="CS502" s="104" t="str">
        <f aca="false">IF(ISBLANK($C502),"",$CH502)</f>
        <v/>
      </c>
      <c r="CT502" s="104" t="str">
        <f aca="false">IF(ISBLANK($C502),"",$CG502)</f>
        <v/>
      </c>
      <c r="CU502" s="105" t="str">
        <f aca="false">IF(ISBLANK($C502),"",IFERROR(_xlfn.SWITCH($CT502,Constants!$B$11,COUNTA($C$9:$C$508)+2,Constants!$B$10,COUNTA($C$9:$C$508)+1,Constants!$B$9,COUNTA($C$9:$C$508)),$CT502))</f>
        <v/>
      </c>
      <c r="CV502" s="9"/>
      <c r="CW502" s="106" t="n">
        <f aca="false">IF(OR(ISNUMBER($CT502),$CT502=Constants!$B$11,$CT502=Constants!$B$9,$CT502=Constants!$B$10),1,0)</f>
        <v>0</v>
      </c>
      <c r="CX502" s="106" t="n">
        <v>494</v>
      </c>
      <c r="CY502" s="106" t="str">
        <f aca="false">IF(ISBLANK($C502),"",IF(ISNUMBER($CU502),$CU502+ROW($B502)/1000,""))</f>
        <v/>
      </c>
      <c r="CZ502" s="106" t="str">
        <f aca="false">IF(ISNUMBER($CY502),RANK($CY502,$CY$9:$CY$508,1),"")</f>
        <v/>
      </c>
      <c r="DA502" s="106" t="str">
        <f aca="false">IF(ISBLANK($C502),"",$B502)</f>
        <v/>
      </c>
      <c r="DB502" s="106" t="str">
        <f aca="false">IF(ISBLANK($C502),"",$C502)</f>
        <v/>
      </c>
      <c r="DC502" s="106" t="str">
        <f aca="false">IF(ISBLANK($C502),"",$D502)</f>
        <v/>
      </c>
      <c r="DD502" s="107" t="str">
        <f aca="false">$CR502</f>
        <v/>
      </c>
      <c r="DE502" s="108" t="str">
        <f aca="false">$CQ502</f>
        <v/>
      </c>
      <c r="DF502" s="106" t="str">
        <f aca="false">IF(ISBLANK($C502),"",$CT502)</f>
        <v/>
      </c>
      <c r="DG502" s="109" t="str">
        <f aca="false">IF($CX502&gt;$CW$8,"",VLOOKUP($CX502,$CZ$9:$DF$508,7,FALSE()))</f>
        <v/>
      </c>
      <c r="DH502" s="110" t="str">
        <f aca="false">IF($CX502&gt;$CW$8,"",VLOOKUP($CX502,$CZ$9:$DF$508,2,FALSE()))</f>
        <v/>
      </c>
      <c r="DI502" s="110" t="str">
        <f aca="false">IF($CX502&gt;$CW$8,"",VLOOKUP($CX502,$CZ$9:$DF$508,3,FALSE()))</f>
        <v/>
      </c>
      <c r="DJ502" s="110" t="str">
        <f aca="false">IF($CX502&gt;$CW$8,"",VLOOKUP($CX502,$CZ$9:$DF$508,4,FALSE()))</f>
        <v/>
      </c>
      <c r="DK502" s="110" t="str">
        <f aca="false">IF($CX502&gt;$CW$8,"",VLOOKUP($CX502,$CZ$9:$DF$508,5,FALSE()))</f>
        <v/>
      </c>
      <c r="DL502" s="111" t="str">
        <f aca="false">IF($CX502&gt;$CW$8,"",VLOOKUP($CX502,$CZ$9:$DF$508,6,FALSE()))</f>
        <v/>
      </c>
      <c r="DM502" s="75"/>
    </row>
    <row r="503" customFormat="false" ht="15.75" hidden="false" customHeight="false" outlineLevel="0" collapsed="false">
      <c r="A503" s="9"/>
      <c r="B503" s="77"/>
      <c r="C503" s="78"/>
      <c r="D503" s="167"/>
      <c r="E503" s="175"/>
      <c r="F503" s="169"/>
      <c r="G503" s="170"/>
      <c r="H503" s="170"/>
      <c r="I503" s="176"/>
      <c r="J503" s="173"/>
      <c r="K503" s="85"/>
      <c r="L503" s="86"/>
      <c r="M503" s="87"/>
      <c r="N503" s="173"/>
      <c r="O503" s="173"/>
      <c r="P503" s="175"/>
      <c r="Q503" s="173"/>
      <c r="R503" s="173"/>
      <c r="S503" s="85"/>
      <c r="T503" s="87"/>
      <c r="U503" s="87"/>
      <c r="V503" s="173"/>
      <c r="W503" s="173"/>
      <c r="X503" s="175"/>
      <c r="Y503" s="173"/>
      <c r="Z503" s="174"/>
      <c r="AA503" s="173"/>
      <c r="AB503" s="91"/>
      <c r="AC503" s="92"/>
      <c r="AD503" s="92"/>
      <c r="AE503" s="92"/>
      <c r="AF503" s="92" t="str">
        <f aca="false">IF(ISBLANK($C503),"",IF(E503=Constants!$B$3,TRUE(),IF(E503=Constants!$B$4,FALSE(),TRUE())))</f>
        <v/>
      </c>
      <c r="AG503" s="92" t="str">
        <f aca="false">IF(ISBLANK($C503),"",IF(F503=Constants!$B$3,TRUE(),IF(F503=Constants!$B$4,FALSE(),TRUE())))</f>
        <v/>
      </c>
      <c r="AH503" s="92" t="str">
        <f aca="false">IF(ISBLANK($C503),"",IF(G503=Constants!$B$3,TRUE(),IF(G503=Constants!$B$4,FALSE(),TRUE())))</f>
        <v/>
      </c>
      <c r="AI503" s="92" t="str">
        <f aca="false">IF(ISBLANK($C503),"",IF(AND(ISNUMBER(H503),H503&gt;=0),H503,Constants!$B$29))</f>
        <v/>
      </c>
      <c r="AJ503" s="92" t="str">
        <f aca="false">IF(ISBLANK($C503),"",IF(I503=Constants!$B$3,TRUE(),IF(I503=Constants!$B$4,FALSE(),TRUE())))</f>
        <v/>
      </c>
      <c r="AK503" s="92" t="str">
        <f aca="false">IF(ISBLANK($C503),"",IF(J503=Constants!$B$3,TRUE(),IF(J503=Constants!$B$4,FALSE(),TRUE())))</f>
        <v/>
      </c>
      <c r="AL503" s="92" t="str">
        <f aca="false">IF(ISBLANK($C503),"",IF(K503=Constants!$B$5,TRUE(),IF(K503=Constants!$B$6,FALSE(),COUNTA(L503:P503)&gt;0)))</f>
        <v/>
      </c>
      <c r="AM503" s="94" t="str">
        <f aca="false">IF(ISBLANK($C503),"",IF(ISNUMBER(L503),IF(L503&gt;=0,L503,""),""))</f>
        <v/>
      </c>
      <c r="AN503" s="93" t="str">
        <f aca="false">IF(ISBLANK($C503),"",IF(ISNUMBER(M503),IF(M503&gt;=0,M503,""),""))</f>
        <v/>
      </c>
      <c r="AO503" s="93" t="str">
        <f aca="false">IF(ISBLANK($C503),"",IF(N503=Constants!$B$3,TRUE(),IF(N503=Constants!$B$4,FALSE(),TRUE())))</f>
        <v/>
      </c>
      <c r="AP503" s="92" t="str">
        <f aca="false">IF(ISBLANK($C503),"",IF(ISNUMBER(O503),IF(O503&gt;=0,O503,""),""))</f>
        <v/>
      </c>
      <c r="AQ503" s="92" t="str">
        <f aca="false">IF(ISBLANK($C503),"",IF(P503=Constants!$B$3,TRUE(),IF(P503=Constants!$B$4,FALSE(),FALSE())))</f>
        <v/>
      </c>
      <c r="AR503" s="92" t="str">
        <f aca="false">IF(ISBLANK($C503),"",IF(Q503=Constants!$B$3,TRUE(),IF(Q503=Constants!$B$4,FALSE(),TRUE())))</f>
        <v/>
      </c>
      <c r="AS503" s="92" t="str">
        <f aca="false">IF(ISBLANK($C503),"",IF(R503=Constants!$B$3,TRUE(),IF(R503=Constants!$B$4,FALSE(),TRUE())))</f>
        <v/>
      </c>
      <c r="AT503" s="92" t="str">
        <f aca="false">IF(ISBLANK($C503),"",IF(S503=Constants!$B$5,TRUE(),IF(S503=Constants!$B$6,FALSE(),COUNTA(T503:X503)&gt;0)))</f>
        <v/>
      </c>
      <c r="AU503" s="94" t="str">
        <f aca="false">IF(ISBLANK($C503),"",IF(ISNUMBER(T503),IF(T503&gt;=0,T503,""),""))</f>
        <v/>
      </c>
      <c r="AV503" s="93" t="str">
        <f aca="false">IF(ISBLANK($C503),"",IF(ISNUMBER(U503),IF(U503&gt;=0,U503,""),""))</f>
        <v/>
      </c>
      <c r="AW503" s="93" t="str">
        <f aca="false">IF(ISBLANK($C503),"",IF(V503=Constants!$B$3,TRUE(),IF(V503=Constants!$B$4,FALSE(),TRUE())))</f>
        <v/>
      </c>
      <c r="AX503" s="92" t="str">
        <f aca="false">IF(ISBLANK($C503),"",IF(ISNUMBER(W503),IF(W503&gt;=0,W503,""),""))</f>
        <v/>
      </c>
      <c r="AY503" s="92" t="str">
        <f aca="false">IF(ISBLANK($C503),"",IF(X503=Constants!$B$3,TRUE(),IF(X503=Constants!$B$4,FALSE(),FALSE())))</f>
        <v/>
      </c>
      <c r="AZ503" s="92" t="str">
        <f aca="false">IF(ISBLANK($C503),"",MIN(Constants!$B$31,MAX(0,IF(ISNUMBER(Y503),Y503*60,0)+IF(ISNUMBER(Z503),Z503,0))))</f>
        <v/>
      </c>
      <c r="BA503" s="92" t="str">
        <f aca="false">IF(ISBLANK($C503),"",IF(AA503=Constants!$B$3,TRUE(),IF(AA503=Constants!$B$4,FALSE(),FALSE())))</f>
        <v/>
      </c>
      <c r="BB503" s="91" t="str">
        <f aca="false">IF(ISBLANK($C503),"",AND($AL503,OR($AM503="",$AN503="",AND($AO503,$AP503=""))))</f>
        <v/>
      </c>
      <c r="BC503" s="93" t="str">
        <f aca="false">IF($BR503&lt;&gt;Constants!$B$8,"",IF($AL503,Constants!$B$21*$AN503+Constants!$B$22*IF($AO503,$AP503,Constants!$B$23),Constants!$B$24))</f>
        <v/>
      </c>
      <c r="BD503" s="96" t="str">
        <f aca="false">IF($BR503&lt;&gt;Constants!$B$8,"",Constants!$B$25*ABS($AD$9-IF($AL503,$AM503,0)))</f>
        <v/>
      </c>
      <c r="BE503" s="96" t="str">
        <f aca="false">IF($BR503&lt;&gt;Constants!$B$8,"",IF(AND($AL503,$AQ503,$AO503),Constants!$B$27,0))</f>
        <v/>
      </c>
      <c r="BF503" s="96" t="str">
        <f aca="false">IF($BR503&lt;&gt;Constants!$B$8,"",IF($AL503,($AI503-Constants!$B$29)*Constants!$B$28,0))</f>
        <v/>
      </c>
      <c r="BG503" s="96" t="str">
        <f aca="false">IF($BR503&lt;&gt;Constants!$B$8,"",IF($AK503,0,Constants!$B$15)+IF($AJ503,0,Constants!$B$16)+IF($AH503,0,Constants!$B$17))</f>
        <v/>
      </c>
      <c r="BH503" s="97" t="str">
        <f aca="false">IF($BR503&lt;&gt;Constants!$B$8,"",Constants!$B$20+SUM($BC503:$BG503))</f>
        <v/>
      </c>
      <c r="BI503" s="92" t="str">
        <f aca="false">IF($BR503&lt;&gt;Constants!$B$8,"",IF(OR($BP503&lt;$BH503,AND($BP503=$BH503,OR($BK503&lt;$BC503,AND($BK503=$BC503,OR($BL503&lt;$BD503,AND($BL503=$BD503,$AT503,$AL503,$AV503&lt;$AN503)))))),"-&gt;","&lt;-"))</f>
        <v/>
      </c>
      <c r="BJ503" s="91" t="str">
        <f aca="false">IF(ISBLANK($C503),"",AND($AT503,OR($AU503="",$AV503="",AND($AW503,$AX503=""))))</f>
        <v/>
      </c>
      <c r="BK503" s="93" t="str">
        <f aca="false">IF($BR503&lt;&gt;Constants!$B$8,"",IF($AT503,Constants!$B$21*$AV503+Constants!$B$22*IF($AW503,$AX503,Constants!$B$23),Constants!$B$24))</f>
        <v/>
      </c>
      <c r="BL503" s="96" t="str">
        <f aca="false">IF($BR503&lt;&gt;Constants!$B$8,"",Constants!$B$25*ABS($AD$9-IF($AT503,$AU503,0)))</f>
        <v/>
      </c>
      <c r="BM503" s="96" t="str">
        <f aca="false">IF($BR503&lt;&gt;Constants!$B$8,"",IF(AND($AT503,$AY503,$AW503),Constants!$B$27,0))</f>
        <v/>
      </c>
      <c r="BN503" s="96" t="str">
        <f aca="false">IF($BR503&lt;&gt;Constants!$B$8,"",IF($AT503,($AI503-Constants!$B$29)*Constants!$B$28,0))</f>
        <v/>
      </c>
      <c r="BO503" s="96" t="str">
        <f aca="false">IF($BR503&lt;&gt;Constants!$B$8,"",IF($AS503,0,Constants!$B$15)+IF($AR503,0,Constants!$B$16)+IF($AH503,0,Constants!$B$17))</f>
        <v/>
      </c>
      <c r="BP503" s="97" t="str">
        <f aca="false">IF($BR503&lt;&gt;Constants!$B$8,"",Constants!$B$20+SUM($BK503:$BO503))</f>
        <v/>
      </c>
      <c r="BQ503" s="92" t="str">
        <f aca="false">IF(ISBLANK($C503),"",IF(ISBLANK($D$7),$BQ$5,IF(NOT(ISNUMBER($D$7)),$BQ$6,"")))</f>
        <v/>
      </c>
      <c r="BR503" s="92" t="str">
        <f aca="false">IF(ISBLANK($C503),"",IF($BA503,Constants!$B$11,IF(COUNTA($E503:$AA503)=0,Constants!$B$10,IF(NOT($AG503),Constants!$B$9,IF(OR($BQ503&lt;&gt;"",$BB503,$BJ503),Constants!$B$12,Constants!$B$8)))))</f>
        <v/>
      </c>
      <c r="BS503" s="92" t="str">
        <f aca="false">IF(ISBLANK($C503),"",IF($BR503&lt;&gt;Constants!$B$8,$BR503,Constants!$B$13))</f>
        <v/>
      </c>
      <c r="BT503" s="96" t="str">
        <f aca="false">IF($BR503&lt;&gt;Constants!$B$8,"",IF($BI503="-&gt;",$BP503,$BH503))</f>
        <v/>
      </c>
      <c r="BU503" s="96" t="str">
        <f aca="false">IF($BR503&lt;&gt;Constants!$B$8,"",IF($AF503,0,Constants!$B$18))</f>
        <v/>
      </c>
      <c r="BV503" s="96" t="str">
        <f aca="false">IF($BR503&lt;&gt;Constants!$B$8,"",((Constants!$B$31-$AZ503)-Constants!$B$31)/Constants!$B$32)</f>
        <v/>
      </c>
      <c r="BW503" s="96" t="str">
        <f aca="false">IF(ISBLANK($C503),"",IF($BR503&lt;&gt;Constants!$B$8,$BR503,SUM($BT503:$BV503)))</f>
        <v/>
      </c>
      <c r="BX503" s="92" t="str">
        <f aca="false">IF(ISBLANK($C503),"",IF($BR503&lt;&gt;Constants!$B$8,$BR503,RANK($BW503,$BW$9:$BW$508,1)))</f>
        <v/>
      </c>
      <c r="BY503" s="96" t="str">
        <f aca="false">IF($BR503&lt;&gt;Constants!$B$8,"",IF($BI503="-&gt;",$BK503,$BC503))</f>
        <v/>
      </c>
      <c r="BZ503" s="92" t="str">
        <f aca="false">IF(ISBLANK($C503),"",IF($BR503&lt;&gt;Constants!$B$8,$BR503,IF(ISNUMBER($BY503),RANK($BY503,$BY$9:$BY$508,1),COUNT($BY$9:$BY$508)+1)))</f>
        <v/>
      </c>
      <c r="CA503" s="96" t="str">
        <f aca="false">IF($BR503&lt;&gt;Constants!$B$8,"",IF($BI503="-&gt;",$BL503,$BD503))</f>
        <v/>
      </c>
      <c r="CB503" s="92" t="str">
        <f aca="false">IF(ISBLANK($C503),"",IF($BR503&lt;&gt;Constants!$B$8,$BR503,IF(ISNUMBER($CA503),RANK($CA503,$CA$9:$CA$508,1),COUNT($CA$9:$CA$508)+1)))</f>
        <v/>
      </c>
      <c r="CC503" s="96" t="str">
        <f aca="false">IF($BR503&lt;&gt;Constants!$B$8,"",IF($BI503="-&gt;",IF($AT503,$AV503,""),IF($AL503,$AN503,"")))</f>
        <v/>
      </c>
      <c r="CD503" s="92" t="str">
        <f aca="false">IF(ISBLANK($C503),"",IF($BR503&lt;&gt;Constants!$B$8,$BR503,IF(ISNUMBER($CC503),RANK($CC503,$CC$9:$CC$508,1),COUNT($CC$9:$CC$508)+1)))</f>
        <v/>
      </c>
      <c r="CE503" s="96" t="str">
        <f aca="false">IF($BR503&lt;&gt;Constants!$B$8,"",IF(AND(NOT($AL503),NOT($AT503),$AJ503,$AK503,$AR503,$AS503),"",$AI503))</f>
        <v/>
      </c>
      <c r="CF503" s="92" t="str">
        <f aca="false">IF(ISBLANK($C503),"",IF($BR503&lt;&gt;Constants!$B$8,$BR503,IF(ISNUMBER($CE503),RANK($CE503,$CE$9:$CE$508,1),COUNT($CE$9:$CE$508)+1)))</f>
        <v/>
      </c>
      <c r="CG503" s="92" t="str">
        <f aca="false">IF(ISBLANK($C503),"",IF($BR503&lt;&gt;Constants!$B$8,$BR503,COUNTIFS($BX$9:$BX$508,"&lt;"&amp;$BX503)+COUNTIFS($BX$9:$BX$508,$BX503,$BZ$9:$BZ$508,"&lt;"&amp;$BZ503)+COUNTIFS($BX$9:$BX$508,$BX503,$BZ$9:$BZ$508,$BZ503,$CB$9:$CB$508,"&lt;"&amp;$CB503)+COUNTIFS($BX$9:$BX$508,$BX503,$BZ$9:$BZ$508,$BZ503,$CB$9:$CB$508,$CB503,$CD$9:$CD$508,"&lt;"&amp;$CD503)+COUNTIFS($BX$9:$BX$508,$BX503,$BZ$9:$BZ$508,$BZ503,$CB$9:$CB$508,$CB503,$CD$9:$CD$508,$CD503,$CF$9:$CF$508,"&lt;"&amp;$CF503)+1))</f>
        <v/>
      </c>
      <c r="CH503" s="92" t="str">
        <f aca="false">IF(ISBLANK($C503),"",IF($BR503&lt;&gt;Constants!$B$8,$BR503,$BX503-$CG503))</f>
        <v/>
      </c>
      <c r="CI503" s="98"/>
      <c r="CJ503" s="99"/>
      <c r="CK503" s="100" t="str">
        <f aca="false">IF(ISBLANK($C503),"",IF($BR503=Constants!$B$12,$BQ503,""))</f>
        <v/>
      </c>
      <c r="CL503" s="99" t="str">
        <f aca="false">IF(ISBLANK($C503),"",IF($BR503&lt;&gt;Constants!$B$8,"",IF($BI503="-&gt;",2,1)))</f>
        <v/>
      </c>
      <c r="CM503" s="101" t="str">
        <f aca="false">IF(ISBLANK($C503),"",IF($BR503&lt;&gt;Constants!$B$8,"",IF($BI503="-&gt;",$BK503,$BC503)))</f>
        <v/>
      </c>
      <c r="CN503" s="101" t="str">
        <f aca="false">IF(ISBLANK($C503),"",IF($BR503&lt;&gt;Constants!$B$8,"",IF($BI503="-&gt;",$BL503,$BD503)))</f>
        <v/>
      </c>
      <c r="CO503" s="101" t="str">
        <f aca="false">IF(ISBLANK($C503),"",IF($BR503&lt;&gt;Constants!$B$8,"",IF($BI503="-&gt;",$BM503+$BN503,$BE503+$BF503)+$BV503))</f>
        <v/>
      </c>
      <c r="CP503" s="101" t="str">
        <f aca="false">IF(ISBLANK($C503),"",IF($BR503&lt;&gt;Constants!$B$8,"",IF($BI503="-&gt;",$BO503,$BG503)+$BU503))</f>
        <v/>
      </c>
      <c r="CQ503" s="102" t="str">
        <f aca="false">IF(ISBLANK($C503),"",IF($BR503&lt;&gt;Constants!$B$8,$BR503,$BW503))</f>
        <v/>
      </c>
      <c r="CR503" s="103" t="str">
        <f aca="false">IF(ISBLANK($C503),"",$BS503)</f>
        <v/>
      </c>
      <c r="CS503" s="104" t="str">
        <f aca="false">IF(ISBLANK($C503),"",$CH503)</f>
        <v/>
      </c>
      <c r="CT503" s="104" t="str">
        <f aca="false">IF(ISBLANK($C503),"",$CG503)</f>
        <v/>
      </c>
      <c r="CU503" s="105" t="str">
        <f aca="false">IF(ISBLANK($C503),"",IFERROR(_xlfn.SWITCH($CT503,Constants!$B$11,COUNTA($C$9:$C$508)+2,Constants!$B$10,COUNTA($C$9:$C$508)+1,Constants!$B$9,COUNTA($C$9:$C$508)),$CT503))</f>
        <v/>
      </c>
      <c r="CV503" s="9"/>
      <c r="CW503" s="106" t="n">
        <f aca="false">IF(OR(ISNUMBER($CT503),$CT503=Constants!$B$11,$CT503=Constants!$B$9,$CT503=Constants!$B$10),1,0)</f>
        <v>0</v>
      </c>
      <c r="CX503" s="106" t="n">
        <v>495</v>
      </c>
      <c r="CY503" s="106" t="str">
        <f aca="false">IF(ISBLANK($C503),"",IF(ISNUMBER($CU503),$CU503+ROW($B503)/1000,""))</f>
        <v/>
      </c>
      <c r="CZ503" s="106" t="str">
        <f aca="false">IF(ISNUMBER($CY503),RANK($CY503,$CY$9:$CY$508,1),"")</f>
        <v/>
      </c>
      <c r="DA503" s="106" t="str">
        <f aca="false">IF(ISBLANK($C503),"",$B503)</f>
        <v/>
      </c>
      <c r="DB503" s="106" t="str">
        <f aca="false">IF(ISBLANK($C503),"",$C503)</f>
        <v/>
      </c>
      <c r="DC503" s="106" t="str">
        <f aca="false">IF(ISBLANK($C503),"",$D503)</f>
        <v/>
      </c>
      <c r="DD503" s="107" t="str">
        <f aca="false">$CR503</f>
        <v/>
      </c>
      <c r="DE503" s="108" t="str">
        <f aca="false">$CQ503</f>
        <v/>
      </c>
      <c r="DF503" s="106" t="str">
        <f aca="false">IF(ISBLANK($C503),"",$CT503)</f>
        <v/>
      </c>
      <c r="DG503" s="109" t="str">
        <f aca="false">IF($CX503&gt;$CW$8,"",VLOOKUP($CX503,$CZ$9:$DF$508,7,FALSE()))</f>
        <v/>
      </c>
      <c r="DH503" s="110" t="str">
        <f aca="false">IF($CX503&gt;$CW$8,"",VLOOKUP($CX503,$CZ$9:$DF$508,2,FALSE()))</f>
        <v/>
      </c>
      <c r="DI503" s="110" t="str">
        <f aca="false">IF($CX503&gt;$CW$8,"",VLOOKUP($CX503,$CZ$9:$DF$508,3,FALSE()))</f>
        <v/>
      </c>
      <c r="DJ503" s="110" t="str">
        <f aca="false">IF($CX503&gt;$CW$8,"",VLOOKUP($CX503,$CZ$9:$DF$508,4,FALSE()))</f>
        <v/>
      </c>
      <c r="DK503" s="110" t="str">
        <f aca="false">IF($CX503&gt;$CW$8,"",VLOOKUP($CX503,$CZ$9:$DF$508,5,FALSE()))</f>
        <v/>
      </c>
      <c r="DL503" s="111" t="str">
        <f aca="false">IF($CX503&gt;$CW$8,"",VLOOKUP($CX503,$CZ$9:$DF$508,6,FALSE()))</f>
        <v/>
      </c>
      <c r="DM503" s="75"/>
    </row>
    <row r="504" customFormat="false" ht="15.75" hidden="false" customHeight="false" outlineLevel="0" collapsed="false">
      <c r="A504" s="9"/>
      <c r="B504" s="157"/>
      <c r="C504" s="158"/>
      <c r="D504" s="159"/>
      <c r="E504" s="177"/>
      <c r="F504" s="161"/>
      <c r="G504" s="162"/>
      <c r="H504" s="162"/>
      <c r="I504" s="178"/>
      <c r="J504" s="165"/>
      <c r="K504" s="126"/>
      <c r="L504" s="127"/>
      <c r="M504" s="128"/>
      <c r="N504" s="165"/>
      <c r="O504" s="165"/>
      <c r="P504" s="177"/>
      <c r="Q504" s="165"/>
      <c r="R504" s="165"/>
      <c r="S504" s="126"/>
      <c r="T504" s="128"/>
      <c r="U504" s="128"/>
      <c r="V504" s="165"/>
      <c r="W504" s="165"/>
      <c r="X504" s="177"/>
      <c r="Y504" s="165"/>
      <c r="Z504" s="166"/>
      <c r="AA504" s="165"/>
      <c r="AB504" s="132"/>
      <c r="AC504" s="133"/>
      <c r="AD504" s="133"/>
      <c r="AE504" s="133"/>
      <c r="AF504" s="133" t="str">
        <f aca="false">IF(ISBLANK($C504),"",IF(E504=Constants!$B$3,TRUE(),IF(E504=Constants!$B$4,FALSE(),TRUE())))</f>
        <v/>
      </c>
      <c r="AG504" s="133" t="str">
        <f aca="false">IF(ISBLANK($C504),"",IF(F504=Constants!$B$3,TRUE(),IF(F504=Constants!$B$4,FALSE(),TRUE())))</f>
        <v/>
      </c>
      <c r="AH504" s="133" t="str">
        <f aca="false">IF(ISBLANK($C504),"",IF(G504=Constants!$B$3,TRUE(),IF(G504=Constants!$B$4,FALSE(),TRUE())))</f>
        <v/>
      </c>
      <c r="AI504" s="133" t="str">
        <f aca="false">IF(ISBLANK($C504),"",IF(AND(ISNUMBER(H504),H504&gt;=0),H504,Constants!$B$29))</f>
        <v/>
      </c>
      <c r="AJ504" s="133" t="str">
        <f aca="false">IF(ISBLANK($C504),"",IF(I504=Constants!$B$3,TRUE(),IF(I504=Constants!$B$4,FALSE(),TRUE())))</f>
        <v/>
      </c>
      <c r="AK504" s="133" t="str">
        <f aca="false">IF(ISBLANK($C504),"",IF(J504=Constants!$B$3,TRUE(),IF(J504=Constants!$B$4,FALSE(),TRUE())))</f>
        <v/>
      </c>
      <c r="AL504" s="133" t="str">
        <f aca="false">IF(ISBLANK($C504),"",IF(K504=Constants!$B$5,TRUE(),IF(K504=Constants!$B$6,FALSE(),COUNTA(L504:P504)&gt;0)))</f>
        <v/>
      </c>
      <c r="AM504" s="134" t="str">
        <f aca="false">IF(ISBLANK($C504),"",IF(ISNUMBER(L504),IF(L504&gt;=0,L504,""),""))</f>
        <v/>
      </c>
      <c r="AN504" s="135" t="str">
        <f aca="false">IF(ISBLANK($C504),"",IF(ISNUMBER(M504),IF(M504&gt;=0,M504,""),""))</f>
        <v/>
      </c>
      <c r="AO504" s="135" t="str">
        <f aca="false">IF(ISBLANK($C504),"",IF(N504=Constants!$B$3,TRUE(),IF(N504=Constants!$B$4,FALSE(),TRUE())))</f>
        <v/>
      </c>
      <c r="AP504" s="133" t="str">
        <f aca="false">IF(ISBLANK($C504),"",IF(ISNUMBER(O504),IF(O504&gt;=0,O504,""),""))</f>
        <v/>
      </c>
      <c r="AQ504" s="133" t="str">
        <f aca="false">IF(ISBLANK($C504),"",IF(P504=Constants!$B$3,TRUE(),IF(P504=Constants!$B$4,FALSE(),FALSE())))</f>
        <v/>
      </c>
      <c r="AR504" s="133" t="str">
        <f aca="false">IF(ISBLANK($C504),"",IF(Q504=Constants!$B$3,TRUE(),IF(Q504=Constants!$B$4,FALSE(),TRUE())))</f>
        <v/>
      </c>
      <c r="AS504" s="133" t="str">
        <f aca="false">IF(ISBLANK($C504),"",IF(R504=Constants!$B$3,TRUE(),IF(R504=Constants!$B$4,FALSE(),TRUE())))</f>
        <v/>
      </c>
      <c r="AT504" s="133" t="str">
        <f aca="false">IF(ISBLANK($C504),"",IF(S504=Constants!$B$5,TRUE(),IF(S504=Constants!$B$6,FALSE(),COUNTA(T504:X504)&gt;0)))</f>
        <v/>
      </c>
      <c r="AU504" s="134" t="str">
        <f aca="false">IF(ISBLANK($C504),"",IF(ISNUMBER(T504),IF(T504&gt;=0,T504,""),""))</f>
        <v/>
      </c>
      <c r="AV504" s="135" t="str">
        <f aca="false">IF(ISBLANK($C504),"",IF(ISNUMBER(U504),IF(U504&gt;=0,U504,""),""))</f>
        <v/>
      </c>
      <c r="AW504" s="135" t="str">
        <f aca="false">IF(ISBLANK($C504),"",IF(V504=Constants!$B$3,TRUE(),IF(V504=Constants!$B$4,FALSE(),TRUE())))</f>
        <v/>
      </c>
      <c r="AX504" s="133" t="str">
        <f aca="false">IF(ISBLANK($C504),"",IF(ISNUMBER(W504),IF(W504&gt;=0,W504,""),""))</f>
        <v/>
      </c>
      <c r="AY504" s="133" t="str">
        <f aca="false">IF(ISBLANK($C504),"",IF(X504=Constants!$B$3,TRUE(),IF(X504=Constants!$B$4,FALSE(),FALSE())))</f>
        <v/>
      </c>
      <c r="AZ504" s="133" t="str">
        <f aca="false">IF(ISBLANK($C504),"",MIN(Constants!$B$31,MAX(0,IF(ISNUMBER(Y504),Y504*60,0)+IF(ISNUMBER(Z504),Z504,0))))</f>
        <v/>
      </c>
      <c r="BA504" s="133" t="str">
        <f aca="false">IF(ISBLANK($C504),"",IF(AA504=Constants!$B$3,TRUE(),IF(AA504=Constants!$B$4,FALSE(),FALSE())))</f>
        <v/>
      </c>
      <c r="BB504" s="132" t="str">
        <f aca="false">IF(ISBLANK($C504),"",AND($AL504,OR($AM504="",$AN504="",AND($AO504,$AP504=""))))</f>
        <v/>
      </c>
      <c r="BC504" s="135" t="str">
        <f aca="false">IF($BR504&lt;&gt;Constants!$B$8,"",IF($AL504,Constants!$B$21*$AN504+Constants!$B$22*IF($AO504,$AP504,Constants!$B$23),Constants!$B$24))</f>
        <v/>
      </c>
      <c r="BD504" s="136" t="str">
        <f aca="false">IF($BR504&lt;&gt;Constants!$B$8,"",Constants!$B$25*ABS($AD$9-IF($AL504,$AM504,0)))</f>
        <v/>
      </c>
      <c r="BE504" s="136" t="str">
        <f aca="false">IF($BR504&lt;&gt;Constants!$B$8,"",IF(AND($AL504,$AQ504,$AO504),Constants!$B$27,0))</f>
        <v/>
      </c>
      <c r="BF504" s="136" t="str">
        <f aca="false">IF($BR504&lt;&gt;Constants!$B$8,"",IF($AL504,($AI504-Constants!$B$29)*Constants!$B$28,0))</f>
        <v/>
      </c>
      <c r="BG504" s="136" t="str">
        <f aca="false">IF($BR504&lt;&gt;Constants!$B$8,"",IF($AK504,0,Constants!$B$15)+IF($AJ504,0,Constants!$B$16)+IF($AH504,0,Constants!$B$17))</f>
        <v/>
      </c>
      <c r="BH504" s="137" t="str">
        <f aca="false">IF($BR504&lt;&gt;Constants!$B$8,"",Constants!$B$20+SUM($BC504:$BG504))</f>
        <v/>
      </c>
      <c r="BI504" s="133" t="str">
        <f aca="false">IF($BR504&lt;&gt;Constants!$B$8,"",IF(OR($BP504&lt;$BH504,AND($BP504=$BH504,OR($BK504&lt;$BC504,AND($BK504=$BC504,OR($BL504&lt;$BD504,AND($BL504=$BD504,$AT504,$AL504,$AV504&lt;$AN504)))))),"-&gt;","&lt;-"))</f>
        <v/>
      </c>
      <c r="BJ504" s="132" t="str">
        <f aca="false">IF(ISBLANK($C504),"",AND($AT504,OR($AU504="",$AV504="",AND($AW504,$AX504=""))))</f>
        <v/>
      </c>
      <c r="BK504" s="135" t="str">
        <f aca="false">IF($BR504&lt;&gt;Constants!$B$8,"",IF($AT504,Constants!$B$21*$AV504+Constants!$B$22*IF($AW504,$AX504,Constants!$B$23),Constants!$B$24))</f>
        <v/>
      </c>
      <c r="BL504" s="136" t="str">
        <f aca="false">IF($BR504&lt;&gt;Constants!$B$8,"",Constants!$B$25*ABS($AD$9-IF($AT504,$AU504,0)))</f>
        <v/>
      </c>
      <c r="BM504" s="136" t="str">
        <f aca="false">IF($BR504&lt;&gt;Constants!$B$8,"",IF(AND($AT504,$AY504,$AW504),Constants!$B$27,0))</f>
        <v/>
      </c>
      <c r="BN504" s="136" t="str">
        <f aca="false">IF($BR504&lt;&gt;Constants!$B$8,"",IF($AT504,($AI504-Constants!$B$29)*Constants!$B$28,0))</f>
        <v/>
      </c>
      <c r="BO504" s="136" t="str">
        <f aca="false">IF($BR504&lt;&gt;Constants!$B$8,"",IF($AS504,0,Constants!$B$15)+IF($AR504,0,Constants!$B$16)+IF($AH504,0,Constants!$B$17))</f>
        <v/>
      </c>
      <c r="BP504" s="137" t="str">
        <f aca="false">IF($BR504&lt;&gt;Constants!$B$8,"",Constants!$B$20+SUM($BK504:$BO504))</f>
        <v/>
      </c>
      <c r="BQ504" s="133" t="str">
        <f aca="false">IF(ISBLANK($C504),"",IF(ISBLANK($D$7),$BQ$5,IF(NOT(ISNUMBER($D$7)),$BQ$6,"")))</f>
        <v/>
      </c>
      <c r="BR504" s="133" t="str">
        <f aca="false">IF(ISBLANK($C504),"",IF($BA504,Constants!$B$11,IF(COUNTA($E504:$AA504)=0,Constants!$B$10,IF(NOT($AG504),Constants!$B$9,IF(OR($BQ504&lt;&gt;"",$BB504,$BJ504),Constants!$B$12,Constants!$B$8)))))</f>
        <v/>
      </c>
      <c r="BS504" s="133" t="str">
        <f aca="false">IF(ISBLANK($C504),"",IF($BR504&lt;&gt;Constants!$B$8,$BR504,Constants!$B$13))</f>
        <v/>
      </c>
      <c r="BT504" s="136" t="str">
        <f aca="false">IF($BR504&lt;&gt;Constants!$B$8,"",IF($BI504="-&gt;",$BP504,$BH504))</f>
        <v/>
      </c>
      <c r="BU504" s="136" t="str">
        <f aca="false">IF($BR504&lt;&gt;Constants!$B$8,"",IF($AF504,0,Constants!$B$18))</f>
        <v/>
      </c>
      <c r="BV504" s="136" t="str">
        <f aca="false">IF($BR504&lt;&gt;Constants!$B$8,"",((Constants!$B$31-$AZ504)-Constants!$B$31)/Constants!$B$32)</f>
        <v/>
      </c>
      <c r="BW504" s="136" t="str">
        <f aca="false">IF(ISBLANK($C504),"",IF($BR504&lt;&gt;Constants!$B$8,$BR504,SUM($BT504:$BV504)))</f>
        <v/>
      </c>
      <c r="BX504" s="133" t="str">
        <f aca="false">IF(ISBLANK($C504),"",IF($BR504&lt;&gt;Constants!$B$8,$BR504,RANK($BW504,$BW$9:$BW$508,1)))</f>
        <v/>
      </c>
      <c r="BY504" s="136" t="str">
        <f aca="false">IF($BR504&lt;&gt;Constants!$B$8,"",IF($BI504="-&gt;",$BK504,$BC504))</f>
        <v/>
      </c>
      <c r="BZ504" s="133" t="str">
        <f aca="false">IF(ISBLANK($C504),"",IF($BR504&lt;&gt;Constants!$B$8,$BR504,IF(ISNUMBER($BY504),RANK($BY504,$BY$9:$BY$508,1),COUNT($BY$9:$BY$508)+1)))</f>
        <v/>
      </c>
      <c r="CA504" s="136" t="str">
        <f aca="false">IF($BR504&lt;&gt;Constants!$B$8,"",IF($BI504="-&gt;",$BL504,$BD504))</f>
        <v/>
      </c>
      <c r="CB504" s="133" t="str">
        <f aca="false">IF(ISBLANK($C504),"",IF($BR504&lt;&gt;Constants!$B$8,$BR504,IF(ISNUMBER($CA504),RANK($CA504,$CA$9:$CA$508,1),COUNT($CA$9:$CA$508)+1)))</f>
        <v/>
      </c>
      <c r="CC504" s="136" t="str">
        <f aca="false">IF($BR504&lt;&gt;Constants!$B$8,"",IF($BI504="-&gt;",IF($AT504,$AV504,""),IF($AL504,$AN504,"")))</f>
        <v/>
      </c>
      <c r="CD504" s="133" t="str">
        <f aca="false">IF(ISBLANK($C504),"",IF($BR504&lt;&gt;Constants!$B$8,$BR504,IF(ISNUMBER($CC504),RANK($CC504,$CC$9:$CC$508,1),COUNT($CC$9:$CC$508)+1)))</f>
        <v/>
      </c>
      <c r="CE504" s="136" t="str">
        <f aca="false">IF($BR504&lt;&gt;Constants!$B$8,"",IF(AND(NOT($AL504),NOT($AT504),$AJ504,$AK504,$AR504,$AS504),"",$AI504))</f>
        <v/>
      </c>
      <c r="CF504" s="133" t="str">
        <f aca="false">IF(ISBLANK($C504),"",IF($BR504&lt;&gt;Constants!$B$8,$BR504,IF(ISNUMBER($CE504),RANK($CE504,$CE$9:$CE$508,1),COUNT($CE$9:$CE$508)+1)))</f>
        <v/>
      </c>
      <c r="CG504" s="133" t="str">
        <f aca="false">IF(ISBLANK($C504),"",IF($BR504&lt;&gt;Constants!$B$8,$BR504,COUNTIFS($BX$9:$BX$508,"&lt;"&amp;$BX504)+COUNTIFS($BX$9:$BX$508,$BX504,$BZ$9:$BZ$508,"&lt;"&amp;$BZ504)+COUNTIFS($BX$9:$BX$508,$BX504,$BZ$9:$BZ$508,$BZ504,$CB$9:$CB$508,"&lt;"&amp;$CB504)+COUNTIFS($BX$9:$BX$508,$BX504,$BZ$9:$BZ$508,$BZ504,$CB$9:$CB$508,$CB504,$CD$9:$CD$508,"&lt;"&amp;$CD504)+COUNTIFS($BX$9:$BX$508,$BX504,$BZ$9:$BZ$508,$BZ504,$CB$9:$CB$508,$CB504,$CD$9:$CD$508,$CD504,$CF$9:$CF$508,"&lt;"&amp;$CF504)+1))</f>
        <v/>
      </c>
      <c r="CH504" s="133" t="str">
        <f aca="false">IF(ISBLANK($C504),"",IF($BR504&lt;&gt;Constants!$B$8,$BR504,$BX504-$CG504))</f>
        <v/>
      </c>
      <c r="CI504" s="138"/>
      <c r="CJ504" s="139"/>
      <c r="CK504" s="140" t="str">
        <f aca="false">IF(ISBLANK($C504),"",IF($BR504=Constants!$B$12,$BQ504,""))</f>
        <v/>
      </c>
      <c r="CL504" s="139" t="str">
        <f aca="false">IF(ISBLANK($C504),"",IF($BR504&lt;&gt;Constants!$B$8,"",IF($BI504="-&gt;",2,1)))</f>
        <v/>
      </c>
      <c r="CM504" s="141" t="str">
        <f aca="false">IF(ISBLANK($C504),"",IF($BR504&lt;&gt;Constants!$B$8,"",IF($BI504="-&gt;",$BK504,$BC504)))</f>
        <v/>
      </c>
      <c r="CN504" s="141" t="str">
        <f aca="false">IF(ISBLANK($C504),"",IF($BR504&lt;&gt;Constants!$B$8,"",IF($BI504="-&gt;",$BL504,$BD504)))</f>
        <v/>
      </c>
      <c r="CO504" s="141" t="str">
        <f aca="false">IF(ISBLANK($C504),"",IF($BR504&lt;&gt;Constants!$B$8,"",IF($BI504="-&gt;",$BM504+$BN504,$BE504+$BF504)+$BV504))</f>
        <v/>
      </c>
      <c r="CP504" s="141" t="str">
        <f aca="false">IF(ISBLANK($C504),"",IF($BR504&lt;&gt;Constants!$B$8,"",IF($BI504="-&gt;",$BO504,$BG504)+$BU504))</f>
        <v/>
      </c>
      <c r="CQ504" s="142" t="str">
        <f aca="false">IF(ISBLANK($C504),"",IF($BR504&lt;&gt;Constants!$B$8,$BR504,$BW504))</f>
        <v/>
      </c>
      <c r="CR504" s="143" t="str">
        <f aca="false">IF(ISBLANK($C504),"",$BS504)</f>
        <v/>
      </c>
      <c r="CS504" s="144" t="str">
        <f aca="false">IF(ISBLANK($C504),"",$CH504)</f>
        <v/>
      </c>
      <c r="CT504" s="144" t="str">
        <f aca="false">IF(ISBLANK($C504),"",$CG504)</f>
        <v/>
      </c>
      <c r="CU504" s="145" t="str">
        <f aca="false">IF(ISBLANK($C504),"",IFERROR(_xlfn.SWITCH($CT504,Constants!$B$11,COUNTA($C$9:$C$508)+2,Constants!$B$10,COUNTA($C$9:$C$508)+1,Constants!$B$9,COUNTA($C$9:$C$508)),$CT504))</f>
        <v/>
      </c>
      <c r="CV504" s="9"/>
      <c r="CW504" s="146" t="n">
        <f aca="false">IF(OR(ISNUMBER($CT504),$CT504=Constants!$B$11,$CT504=Constants!$B$9,$CT504=Constants!$B$10),1,0)</f>
        <v>0</v>
      </c>
      <c r="CX504" s="146" t="n">
        <v>496</v>
      </c>
      <c r="CY504" s="146" t="str">
        <f aca="false">IF(ISBLANK($C504),"",IF(ISNUMBER($CU504),$CU504+ROW($B504)/1000,""))</f>
        <v/>
      </c>
      <c r="CZ504" s="146" t="str">
        <f aca="false">IF(ISNUMBER($CY504),RANK($CY504,$CY$9:$CY$508,1),"")</f>
        <v/>
      </c>
      <c r="DA504" s="146" t="str">
        <f aca="false">IF(ISBLANK($C504),"",$B504)</f>
        <v/>
      </c>
      <c r="DB504" s="146" t="str">
        <f aca="false">IF(ISBLANK($C504),"",$C504)</f>
        <v/>
      </c>
      <c r="DC504" s="146" t="str">
        <f aca="false">IF(ISBLANK($C504),"",$D504)</f>
        <v/>
      </c>
      <c r="DD504" s="147" t="str">
        <f aca="false">$CR504</f>
        <v/>
      </c>
      <c r="DE504" s="148" t="str">
        <f aca="false">$CQ504</f>
        <v/>
      </c>
      <c r="DF504" s="146" t="str">
        <f aca="false">IF(ISBLANK($C504),"",$CT504)</f>
        <v/>
      </c>
      <c r="DG504" s="149" t="str">
        <f aca="false">IF($CX504&gt;$CW$8,"",VLOOKUP($CX504,$CZ$9:$DF$508,7,FALSE()))</f>
        <v/>
      </c>
      <c r="DH504" s="150" t="str">
        <f aca="false">IF($CX504&gt;$CW$8,"",VLOOKUP($CX504,$CZ$9:$DF$508,2,FALSE()))</f>
        <v/>
      </c>
      <c r="DI504" s="150" t="str">
        <f aca="false">IF($CX504&gt;$CW$8,"",VLOOKUP($CX504,$CZ$9:$DF$508,3,FALSE()))</f>
        <v/>
      </c>
      <c r="DJ504" s="150" t="str">
        <f aca="false">IF($CX504&gt;$CW$8,"",VLOOKUP($CX504,$CZ$9:$DF$508,4,FALSE()))</f>
        <v/>
      </c>
      <c r="DK504" s="150" t="str">
        <f aca="false">IF($CX504&gt;$CW$8,"",VLOOKUP($CX504,$CZ$9:$DF$508,5,FALSE()))</f>
        <v/>
      </c>
      <c r="DL504" s="151" t="str">
        <f aca="false">IF($CX504&gt;$CW$8,"",VLOOKUP($CX504,$CZ$9:$DF$508,6,FALSE()))</f>
        <v/>
      </c>
      <c r="DM504" s="75"/>
    </row>
    <row r="505" customFormat="false" ht="15.75" hidden="false" customHeight="false" outlineLevel="0" collapsed="false">
      <c r="A505" s="9"/>
      <c r="B505" s="157"/>
      <c r="C505" s="158"/>
      <c r="D505" s="159"/>
      <c r="E505" s="177"/>
      <c r="F505" s="161"/>
      <c r="G505" s="162"/>
      <c r="H505" s="162"/>
      <c r="I505" s="178"/>
      <c r="J505" s="165"/>
      <c r="K505" s="126"/>
      <c r="L505" s="127"/>
      <c r="M505" s="128"/>
      <c r="N505" s="165"/>
      <c r="O505" s="165"/>
      <c r="P505" s="177"/>
      <c r="Q505" s="165"/>
      <c r="R505" s="165"/>
      <c r="S505" s="126"/>
      <c r="T505" s="128"/>
      <c r="U505" s="128"/>
      <c r="V505" s="165"/>
      <c r="W505" s="165"/>
      <c r="X505" s="177"/>
      <c r="Y505" s="165"/>
      <c r="Z505" s="166"/>
      <c r="AA505" s="165"/>
      <c r="AB505" s="132"/>
      <c r="AC505" s="133"/>
      <c r="AD505" s="133"/>
      <c r="AE505" s="133"/>
      <c r="AF505" s="133" t="str">
        <f aca="false">IF(ISBLANK($C505),"",IF(E505=Constants!$B$3,TRUE(),IF(E505=Constants!$B$4,FALSE(),TRUE())))</f>
        <v/>
      </c>
      <c r="AG505" s="133" t="str">
        <f aca="false">IF(ISBLANK($C505),"",IF(F505=Constants!$B$3,TRUE(),IF(F505=Constants!$B$4,FALSE(),TRUE())))</f>
        <v/>
      </c>
      <c r="AH505" s="133" t="str">
        <f aca="false">IF(ISBLANK($C505),"",IF(G505=Constants!$B$3,TRUE(),IF(G505=Constants!$B$4,FALSE(),TRUE())))</f>
        <v/>
      </c>
      <c r="AI505" s="133" t="str">
        <f aca="false">IF(ISBLANK($C505),"",IF(AND(ISNUMBER(H505),H505&gt;=0),H505,Constants!$B$29))</f>
        <v/>
      </c>
      <c r="AJ505" s="133" t="str">
        <f aca="false">IF(ISBLANK($C505),"",IF(I505=Constants!$B$3,TRUE(),IF(I505=Constants!$B$4,FALSE(),TRUE())))</f>
        <v/>
      </c>
      <c r="AK505" s="133" t="str">
        <f aca="false">IF(ISBLANK($C505),"",IF(J505=Constants!$B$3,TRUE(),IF(J505=Constants!$B$4,FALSE(),TRUE())))</f>
        <v/>
      </c>
      <c r="AL505" s="133" t="str">
        <f aca="false">IF(ISBLANK($C505),"",IF(K505=Constants!$B$5,TRUE(),IF(K505=Constants!$B$6,FALSE(),COUNTA(L505:P505)&gt;0)))</f>
        <v/>
      </c>
      <c r="AM505" s="134" t="str">
        <f aca="false">IF(ISBLANK($C505),"",IF(ISNUMBER(L505),IF(L505&gt;=0,L505,""),""))</f>
        <v/>
      </c>
      <c r="AN505" s="135" t="str">
        <f aca="false">IF(ISBLANK($C505),"",IF(ISNUMBER(M505),IF(M505&gt;=0,M505,""),""))</f>
        <v/>
      </c>
      <c r="AO505" s="135" t="str">
        <f aca="false">IF(ISBLANK($C505),"",IF(N505=Constants!$B$3,TRUE(),IF(N505=Constants!$B$4,FALSE(),TRUE())))</f>
        <v/>
      </c>
      <c r="AP505" s="133" t="str">
        <f aca="false">IF(ISBLANK($C505),"",IF(ISNUMBER(O505),IF(O505&gt;=0,O505,""),""))</f>
        <v/>
      </c>
      <c r="AQ505" s="133" t="str">
        <f aca="false">IF(ISBLANK($C505),"",IF(P505=Constants!$B$3,TRUE(),IF(P505=Constants!$B$4,FALSE(),FALSE())))</f>
        <v/>
      </c>
      <c r="AR505" s="133" t="str">
        <f aca="false">IF(ISBLANK($C505),"",IF(Q505=Constants!$B$3,TRUE(),IF(Q505=Constants!$B$4,FALSE(),TRUE())))</f>
        <v/>
      </c>
      <c r="AS505" s="133" t="str">
        <f aca="false">IF(ISBLANK($C505),"",IF(R505=Constants!$B$3,TRUE(),IF(R505=Constants!$B$4,FALSE(),TRUE())))</f>
        <v/>
      </c>
      <c r="AT505" s="133" t="str">
        <f aca="false">IF(ISBLANK($C505),"",IF(S505=Constants!$B$5,TRUE(),IF(S505=Constants!$B$6,FALSE(),COUNTA(T505:X505)&gt;0)))</f>
        <v/>
      </c>
      <c r="AU505" s="134" t="str">
        <f aca="false">IF(ISBLANK($C505),"",IF(ISNUMBER(T505),IF(T505&gt;=0,T505,""),""))</f>
        <v/>
      </c>
      <c r="AV505" s="135" t="str">
        <f aca="false">IF(ISBLANK($C505),"",IF(ISNUMBER(U505),IF(U505&gt;=0,U505,""),""))</f>
        <v/>
      </c>
      <c r="AW505" s="135" t="str">
        <f aca="false">IF(ISBLANK($C505),"",IF(V505=Constants!$B$3,TRUE(),IF(V505=Constants!$B$4,FALSE(),TRUE())))</f>
        <v/>
      </c>
      <c r="AX505" s="133" t="str">
        <f aca="false">IF(ISBLANK($C505),"",IF(ISNUMBER(W505),IF(W505&gt;=0,W505,""),""))</f>
        <v/>
      </c>
      <c r="AY505" s="133" t="str">
        <f aca="false">IF(ISBLANK($C505),"",IF(X505=Constants!$B$3,TRUE(),IF(X505=Constants!$B$4,FALSE(),FALSE())))</f>
        <v/>
      </c>
      <c r="AZ505" s="133" t="str">
        <f aca="false">IF(ISBLANK($C505),"",MIN(Constants!$B$31,MAX(0,IF(ISNUMBER(Y505),Y505*60,0)+IF(ISNUMBER(Z505),Z505,0))))</f>
        <v/>
      </c>
      <c r="BA505" s="133" t="str">
        <f aca="false">IF(ISBLANK($C505),"",IF(AA505=Constants!$B$3,TRUE(),IF(AA505=Constants!$B$4,FALSE(),FALSE())))</f>
        <v/>
      </c>
      <c r="BB505" s="132" t="str">
        <f aca="false">IF(ISBLANK($C505),"",AND($AL505,OR($AM505="",$AN505="",AND($AO505,$AP505=""))))</f>
        <v/>
      </c>
      <c r="BC505" s="135" t="str">
        <f aca="false">IF($BR505&lt;&gt;Constants!$B$8,"",IF($AL505,Constants!$B$21*$AN505+Constants!$B$22*IF($AO505,$AP505,Constants!$B$23),Constants!$B$24))</f>
        <v/>
      </c>
      <c r="BD505" s="136" t="str">
        <f aca="false">IF($BR505&lt;&gt;Constants!$B$8,"",Constants!$B$25*ABS($AD$9-IF($AL505,$AM505,0)))</f>
        <v/>
      </c>
      <c r="BE505" s="136" t="str">
        <f aca="false">IF($BR505&lt;&gt;Constants!$B$8,"",IF(AND($AL505,$AQ505,$AO505),Constants!$B$27,0))</f>
        <v/>
      </c>
      <c r="BF505" s="136" t="str">
        <f aca="false">IF($BR505&lt;&gt;Constants!$B$8,"",IF($AL505,($AI505-Constants!$B$29)*Constants!$B$28,0))</f>
        <v/>
      </c>
      <c r="BG505" s="136" t="str">
        <f aca="false">IF($BR505&lt;&gt;Constants!$B$8,"",IF($AK505,0,Constants!$B$15)+IF($AJ505,0,Constants!$B$16)+IF($AH505,0,Constants!$B$17))</f>
        <v/>
      </c>
      <c r="BH505" s="137" t="str">
        <f aca="false">IF($BR505&lt;&gt;Constants!$B$8,"",Constants!$B$20+SUM($BC505:$BG505))</f>
        <v/>
      </c>
      <c r="BI505" s="133" t="str">
        <f aca="false">IF($BR505&lt;&gt;Constants!$B$8,"",IF(OR($BP505&lt;$BH505,AND($BP505=$BH505,OR($BK505&lt;$BC505,AND($BK505=$BC505,OR($BL505&lt;$BD505,AND($BL505=$BD505,$AT505,$AL505,$AV505&lt;$AN505)))))),"-&gt;","&lt;-"))</f>
        <v/>
      </c>
      <c r="BJ505" s="132" t="str">
        <f aca="false">IF(ISBLANK($C505),"",AND($AT505,OR($AU505="",$AV505="",AND($AW505,$AX505=""))))</f>
        <v/>
      </c>
      <c r="BK505" s="135" t="str">
        <f aca="false">IF($BR505&lt;&gt;Constants!$B$8,"",IF($AT505,Constants!$B$21*$AV505+Constants!$B$22*IF($AW505,$AX505,Constants!$B$23),Constants!$B$24))</f>
        <v/>
      </c>
      <c r="BL505" s="136" t="str">
        <f aca="false">IF($BR505&lt;&gt;Constants!$B$8,"",Constants!$B$25*ABS($AD$9-IF($AT505,$AU505,0)))</f>
        <v/>
      </c>
      <c r="BM505" s="136" t="str">
        <f aca="false">IF($BR505&lt;&gt;Constants!$B$8,"",IF(AND($AT505,$AY505,$AW505),Constants!$B$27,0))</f>
        <v/>
      </c>
      <c r="BN505" s="136" t="str">
        <f aca="false">IF($BR505&lt;&gt;Constants!$B$8,"",IF($AT505,($AI505-Constants!$B$29)*Constants!$B$28,0))</f>
        <v/>
      </c>
      <c r="BO505" s="136" t="str">
        <f aca="false">IF($BR505&lt;&gt;Constants!$B$8,"",IF($AS505,0,Constants!$B$15)+IF($AR505,0,Constants!$B$16)+IF($AH505,0,Constants!$B$17))</f>
        <v/>
      </c>
      <c r="BP505" s="137" t="str">
        <f aca="false">IF($BR505&lt;&gt;Constants!$B$8,"",Constants!$B$20+SUM($BK505:$BO505))</f>
        <v/>
      </c>
      <c r="BQ505" s="133" t="str">
        <f aca="false">IF(ISBLANK($C505),"",IF(ISBLANK($D$7),$BQ$5,IF(NOT(ISNUMBER($D$7)),$BQ$6,"")))</f>
        <v/>
      </c>
      <c r="BR505" s="133" t="str">
        <f aca="false">IF(ISBLANK($C505),"",IF($BA505,Constants!$B$11,IF(COUNTA($E505:$AA505)=0,Constants!$B$10,IF(NOT($AG505),Constants!$B$9,IF(OR($BQ505&lt;&gt;"",$BB505,$BJ505),Constants!$B$12,Constants!$B$8)))))</f>
        <v/>
      </c>
      <c r="BS505" s="133" t="str">
        <f aca="false">IF(ISBLANK($C505),"",IF($BR505&lt;&gt;Constants!$B$8,$BR505,Constants!$B$13))</f>
        <v/>
      </c>
      <c r="BT505" s="136" t="str">
        <f aca="false">IF($BR505&lt;&gt;Constants!$B$8,"",IF($BI505="-&gt;",$BP505,$BH505))</f>
        <v/>
      </c>
      <c r="BU505" s="136" t="str">
        <f aca="false">IF($BR505&lt;&gt;Constants!$B$8,"",IF($AF505,0,Constants!$B$18))</f>
        <v/>
      </c>
      <c r="BV505" s="136" t="str">
        <f aca="false">IF($BR505&lt;&gt;Constants!$B$8,"",((Constants!$B$31-$AZ505)-Constants!$B$31)/Constants!$B$32)</f>
        <v/>
      </c>
      <c r="BW505" s="136" t="str">
        <f aca="false">IF(ISBLANK($C505),"",IF($BR505&lt;&gt;Constants!$B$8,$BR505,SUM($BT505:$BV505)))</f>
        <v/>
      </c>
      <c r="BX505" s="133" t="str">
        <f aca="false">IF(ISBLANK($C505),"",IF($BR505&lt;&gt;Constants!$B$8,$BR505,RANK($BW505,$BW$9:$BW$508,1)))</f>
        <v/>
      </c>
      <c r="BY505" s="136" t="str">
        <f aca="false">IF($BR505&lt;&gt;Constants!$B$8,"",IF($BI505="-&gt;",$BK505,$BC505))</f>
        <v/>
      </c>
      <c r="BZ505" s="133" t="str">
        <f aca="false">IF(ISBLANK($C505),"",IF($BR505&lt;&gt;Constants!$B$8,$BR505,IF(ISNUMBER($BY505),RANK($BY505,$BY$9:$BY$508,1),COUNT($BY$9:$BY$508)+1)))</f>
        <v/>
      </c>
      <c r="CA505" s="136" t="str">
        <f aca="false">IF($BR505&lt;&gt;Constants!$B$8,"",IF($BI505="-&gt;",$BL505,$BD505))</f>
        <v/>
      </c>
      <c r="CB505" s="133" t="str">
        <f aca="false">IF(ISBLANK($C505),"",IF($BR505&lt;&gt;Constants!$B$8,$BR505,IF(ISNUMBER($CA505),RANK($CA505,$CA$9:$CA$508,1),COUNT($CA$9:$CA$508)+1)))</f>
        <v/>
      </c>
      <c r="CC505" s="136" t="str">
        <f aca="false">IF($BR505&lt;&gt;Constants!$B$8,"",IF($BI505="-&gt;",IF($AT505,$AV505,""),IF($AL505,$AN505,"")))</f>
        <v/>
      </c>
      <c r="CD505" s="133" t="str">
        <f aca="false">IF(ISBLANK($C505),"",IF($BR505&lt;&gt;Constants!$B$8,$BR505,IF(ISNUMBER($CC505),RANK($CC505,$CC$9:$CC$508,1),COUNT($CC$9:$CC$508)+1)))</f>
        <v/>
      </c>
      <c r="CE505" s="136" t="str">
        <f aca="false">IF($BR505&lt;&gt;Constants!$B$8,"",IF(AND(NOT($AL505),NOT($AT505),$AJ505,$AK505,$AR505,$AS505),"",$AI505))</f>
        <v/>
      </c>
      <c r="CF505" s="133" t="str">
        <f aca="false">IF(ISBLANK($C505),"",IF($BR505&lt;&gt;Constants!$B$8,$BR505,IF(ISNUMBER($CE505),RANK($CE505,$CE$9:$CE$508,1),COUNT($CE$9:$CE$508)+1)))</f>
        <v/>
      </c>
      <c r="CG505" s="133" t="str">
        <f aca="false">IF(ISBLANK($C505),"",IF($BR505&lt;&gt;Constants!$B$8,$BR505,COUNTIFS($BX$9:$BX$508,"&lt;"&amp;$BX505)+COUNTIFS($BX$9:$BX$508,$BX505,$BZ$9:$BZ$508,"&lt;"&amp;$BZ505)+COUNTIFS($BX$9:$BX$508,$BX505,$BZ$9:$BZ$508,$BZ505,$CB$9:$CB$508,"&lt;"&amp;$CB505)+COUNTIFS($BX$9:$BX$508,$BX505,$BZ$9:$BZ$508,$BZ505,$CB$9:$CB$508,$CB505,$CD$9:$CD$508,"&lt;"&amp;$CD505)+COUNTIFS($BX$9:$BX$508,$BX505,$BZ$9:$BZ$508,$BZ505,$CB$9:$CB$508,$CB505,$CD$9:$CD$508,$CD505,$CF$9:$CF$508,"&lt;"&amp;$CF505)+1))</f>
        <v/>
      </c>
      <c r="CH505" s="133" t="str">
        <f aca="false">IF(ISBLANK($C505),"",IF($BR505&lt;&gt;Constants!$B$8,$BR505,$BX505-$CG505))</f>
        <v/>
      </c>
      <c r="CI505" s="138"/>
      <c r="CJ505" s="139"/>
      <c r="CK505" s="140" t="str">
        <f aca="false">IF(ISBLANK($C505),"",IF($BR505=Constants!$B$12,$BQ505,""))</f>
        <v/>
      </c>
      <c r="CL505" s="139" t="str">
        <f aca="false">IF(ISBLANK($C505),"",IF($BR505&lt;&gt;Constants!$B$8,"",IF($BI505="-&gt;",2,1)))</f>
        <v/>
      </c>
      <c r="CM505" s="141" t="str">
        <f aca="false">IF(ISBLANK($C505),"",IF($BR505&lt;&gt;Constants!$B$8,"",IF($BI505="-&gt;",$BK505,$BC505)))</f>
        <v/>
      </c>
      <c r="CN505" s="141" t="str">
        <f aca="false">IF(ISBLANK($C505),"",IF($BR505&lt;&gt;Constants!$B$8,"",IF($BI505="-&gt;",$BL505,$BD505)))</f>
        <v/>
      </c>
      <c r="CO505" s="141" t="str">
        <f aca="false">IF(ISBLANK($C505),"",IF($BR505&lt;&gt;Constants!$B$8,"",IF($BI505="-&gt;",$BM505+$BN505,$BE505+$BF505)+$BV505))</f>
        <v/>
      </c>
      <c r="CP505" s="141" t="str">
        <f aca="false">IF(ISBLANK($C505),"",IF($BR505&lt;&gt;Constants!$B$8,"",IF($BI505="-&gt;",$BO505,$BG505)+$BU505))</f>
        <v/>
      </c>
      <c r="CQ505" s="142" t="str">
        <f aca="false">IF(ISBLANK($C505),"",IF($BR505&lt;&gt;Constants!$B$8,$BR505,$BW505))</f>
        <v/>
      </c>
      <c r="CR505" s="143" t="str">
        <f aca="false">IF(ISBLANK($C505),"",$BS505)</f>
        <v/>
      </c>
      <c r="CS505" s="144" t="str">
        <f aca="false">IF(ISBLANK($C505),"",$CH505)</f>
        <v/>
      </c>
      <c r="CT505" s="144" t="str">
        <f aca="false">IF(ISBLANK($C505),"",$CG505)</f>
        <v/>
      </c>
      <c r="CU505" s="145" t="str">
        <f aca="false">IF(ISBLANK($C505),"",IFERROR(_xlfn.SWITCH($CT505,Constants!$B$11,COUNTA($C$9:$C$508)+2,Constants!$B$10,COUNTA($C$9:$C$508)+1,Constants!$B$9,COUNTA($C$9:$C$508)),$CT505))</f>
        <v/>
      </c>
      <c r="CV505" s="9"/>
      <c r="CW505" s="146" t="n">
        <f aca="false">IF(OR(ISNUMBER($CT505),$CT505=Constants!$B$11,$CT505=Constants!$B$9,$CT505=Constants!$B$10),1,0)</f>
        <v>0</v>
      </c>
      <c r="CX505" s="146" t="n">
        <v>497</v>
      </c>
      <c r="CY505" s="146" t="str">
        <f aca="false">IF(ISBLANK($C505),"",IF(ISNUMBER($CU505),$CU505+ROW($B505)/1000,""))</f>
        <v/>
      </c>
      <c r="CZ505" s="146" t="str">
        <f aca="false">IF(ISNUMBER($CY505),RANK($CY505,$CY$9:$CY$508,1),"")</f>
        <v/>
      </c>
      <c r="DA505" s="146" t="str">
        <f aca="false">IF(ISBLANK($C505),"",$B505)</f>
        <v/>
      </c>
      <c r="DB505" s="146" t="str">
        <f aca="false">IF(ISBLANK($C505),"",$C505)</f>
        <v/>
      </c>
      <c r="DC505" s="146" t="str">
        <f aca="false">IF(ISBLANK($C505),"",$D505)</f>
        <v/>
      </c>
      <c r="DD505" s="147" t="str">
        <f aca="false">$CR505</f>
        <v/>
      </c>
      <c r="DE505" s="148" t="str">
        <f aca="false">$CQ505</f>
        <v/>
      </c>
      <c r="DF505" s="146" t="str">
        <f aca="false">IF(ISBLANK($C505),"",$CT505)</f>
        <v/>
      </c>
      <c r="DG505" s="149" t="str">
        <f aca="false">IF($CX505&gt;$CW$8,"",VLOOKUP($CX505,$CZ$9:$DF$508,7,FALSE()))</f>
        <v/>
      </c>
      <c r="DH505" s="150" t="str">
        <f aca="false">IF($CX505&gt;$CW$8,"",VLOOKUP($CX505,$CZ$9:$DF$508,2,FALSE()))</f>
        <v/>
      </c>
      <c r="DI505" s="150" t="str">
        <f aca="false">IF($CX505&gt;$CW$8,"",VLOOKUP($CX505,$CZ$9:$DF$508,3,FALSE()))</f>
        <v/>
      </c>
      <c r="DJ505" s="150" t="str">
        <f aca="false">IF($CX505&gt;$CW$8,"",VLOOKUP($CX505,$CZ$9:$DF$508,4,FALSE()))</f>
        <v/>
      </c>
      <c r="DK505" s="150" t="str">
        <f aca="false">IF($CX505&gt;$CW$8,"",VLOOKUP($CX505,$CZ$9:$DF$508,5,FALSE()))</f>
        <v/>
      </c>
      <c r="DL505" s="151" t="str">
        <f aca="false">IF($CX505&gt;$CW$8,"",VLOOKUP($CX505,$CZ$9:$DF$508,6,FALSE()))</f>
        <v/>
      </c>
      <c r="DM505" s="75"/>
    </row>
    <row r="506" customFormat="false" ht="15.75" hidden="false" customHeight="false" outlineLevel="0" collapsed="false">
      <c r="A506" s="9"/>
      <c r="B506" s="157"/>
      <c r="C506" s="158"/>
      <c r="D506" s="159"/>
      <c r="E506" s="177"/>
      <c r="F506" s="161"/>
      <c r="G506" s="162"/>
      <c r="H506" s="162"/>
      <c r="I506" s="178"/>
      <c r="J506" s="165"/>
      <c r="K506" s="126"/>
      <c r="L506" s="127"/>
      <c r="M506" s="128"/>
      <c r="N506" s="165"/>
      <c r="O506" s="165"/>
      <c r="P506" s="177"/>
      <c r="Q506" s="165"/>
      <c r="R506" s="165"/>
      <c r="S506" s="126"/>
      <c r="T506" s="128"/>
      <c r="U506" s="128"/>
      <c r="V506" s="165"/>
      <c r="W506" s="165"/>
      <c r="X506" s="177"/>
      <c r="Y506" s="165"/>
      <c r="Z506" s="166"/>
      <c r="AA506" s="165"/>
      <c r="AB506" s="132"/>
      <c r="AC506" s="133"/>
      <c r="AD506" s="133"/>
      <c r="AE506" s="133"/>
      <c r="AF506" s="133" t="str">
        <f aca="false">IF(ISBLANK($C506),"",IF(E506=Constants!$B$3,TRUE(),IF(E506=Constants!$B$4,FALSE(),TRUE())))</f>
        <v/>
      </c>
      <c r="AG506" s="133" t="str">
        <f aca="false">IF(ISBLANK($C506),"",IF(F506=Constants!$B$3,TRUE(),IF(F506=Constants!$B$4,FALSE(),TRUE())))</f>
        <v/>
      </c>
      <c r="AH506" s="133" t="str">
        <f aca="false">IF(ISBLANK($C506),"",IF(G506=Constants!$B$3,TRUE(),IF(G506=Constants!$B$4,FALSE(),TRUE())))</f>
        <v/>
      </c>
      <c r="AI506" s="133" t="str">
        <f aca="false">IF(ISBLANK($C506),"",IF(AND(ISNUMBER(H506),H506&gt;=0),H506,Constants!$B$29))</f>
        <v/>
      </c>
      <c r="AJ506" s="133" t="str">
        <f aca="false">IF(ISBLANK($C506),"",IF(I506=Constants!$B$3,TRUE(),IF(I506=Constants!$B$4,FALSE(),TRUE())))</f>
        <v/>
      </c>
      <c r="AK506" s="133" t="str">
        <f aca="false">IF(ISBLANK($C506),"",IF(J506=Constants!$B$3,TRUE(),IF(J506=Constants!$B$4,FALSE(),TRUE())))</f>
        <v/>
      </c>
      <c r="AL506" s="133" t="str">
        <f aca="false">IF(ISBLANK($C506),"",IF(K506=Constants!$B$5,TRUE(),IF(K506=Constants!$B$6,FALSE(),COUNTA(L506:P506)&gt;0)))</f>
        <v/>
      </c>
      <c r="AM506" s="134" t="str">
        <f aca="false">IF(ISBLANK($C506),"",IF(ISNUMBER(L506),IF(L506&gt;=0,L506,""),""))</f>
        <v/>
      </c>
      <c r="AN506" s="135" t="str">
        <f aca="false">IF(ISBLANK($C506),"",IF(ISNUMBER(M506),IF(M506&gt;=0,M506,""),""))</f>
        <v/>
      </c>
      <c r="AO506" s="135" t="str">
        <f aca="false">IF(ISBLANK($C506),"",IF(N506=Constants!$B$3,TRUE(),IF(N506=Constants!$B$4,FALSE(),TRUE())))</f>
        <v/>
      </c>
      <c r="AP506" s="133" t="str">
        <f aca="false">IF(ISBLANK($C506),"",IF(ISNUMBER(O506),IF(O506&gt;=0,O506,""),""))</f>
        <v/>
      </c>
      <c r="AQ506" s="133" t="str">
        <f aca="false">IF(ISBLANK($C506),"",IF(P506=Constants!$B$3,TRUE(),IF(P506=Constants!$B$4,FALSE(),FALSE())))</f>
        <v/>
      </c>
      <c r="AR506" s="133" t="str">
        <f aca="false">IF(ISBLANK($C506),"",IF(Q506=Constants!$B$3,TRUE(),IF(Q506=Constants!$B$4,FALSE(),TRUE())))</f>
        <v/>
      </c>
      <c r="AS506" s="133" t="str">
        <f aca="false">IF(ISBLANK($C506),"",IF(R506=Constants!$B$3,TRUE(),IF(R506=Constants!$B$4,FALSE(),TRUE())))</f>
        <v/>
      </c>
      <c r="AT506" s="133" t="str">
        <f aca="false">IF(ISBLANK($C506),"",IF(S506=Constants!$B$5,TRUE(),IF(S506=Constants!$B$6,FALSE(),COUNTA(T506:X506)&gt;0)))</f>
        <v/>
      </c>
      <c r="AU506" s="134" t="str">
        <f aca="false">IF(ISBLANK($C506),"",IF(ISNUMBER(T506),IF(T506&gt;=0,T506,""),""))</f>
        <v/>
      </c>
      <c r="AV506" s="135" t="str">
        <f aca="false">IF(ISBLANK($C506),"",IF(ISNUMBER(U506),IF(U506&gt;=0,U506,""),""))</f>
        <v/>
      </c>
      <c r="AW506" s="135" t="str">
        <f aca="false">IF(ISBLANK($C506),"",IF(V506=Constants!$B$3,TRUE(),IF(V506=Constants!$B$4,FALSE(),TRUE())))</f>
        <v/>
      </c>
      <c r="AX506" s="133" t="str">
        <f aca="false">IF(ISBLANK($C506),"",IF(ISNUMBER(W506),IF(W506&gt;=0,W506,""),""))</f>
        <v/>
      </c>
      <c r="AY506" s="133" t="str">
        <f aca="false">IF(ISBLANK($C506),"",IF(X506=Constants!$B$3,TRUE(),IF(X506=Constants!$B$4,FALSE(),FALSE())))</f>
        <v/>
      </c>
      <c r="AZ506" s="133" t="str">
        <f aca="false">IF(ISBLANK($C506),"",MIN(Constants!$B$31,MAX(0,IF(ISNUMBER(Y506),Y506*60,0)+IF(ISNUMBER(Z506),Z506,0))))</f>
        <v/>
      </c>
      <c r="BA506" s="133" t="str">
        <f aca="false">IF(ISBLANK($C506),"",IF(AA506=Constants!$B$3,TRUE(),IF(AA506=Constants!$B$4,FALSE(),FALSE())))</f>
        <v/>
      </c>
      <c r="BB506" s="132" t="str">
        <f aca="false">IF(ISBLANK($C506),"",AND($AL506,OR($AM506="",$AN506="",AND($AO506,$AP506=""))))</f>
        <v/>
      </c>
      <c r="BC506" s="135" t="str">
        <f aca="false">IF($BR506&lt;&gt;Constants!$B$8,"",IF($AL506,Constants!$B$21*$AN506+Constants!$B$22*IF($AO506,$AP506,Constants!$B$23),Constants!$B$24))</f>
        <v/>
      </c>
      <c r="BD506" s="136" t="str">
        <f aca="false">IF($BR506&lt;&gt;Constants!$B$8,"",Constants!$B$25*ABS($AD$9-IF($AL506,$AM506,0)))</f>
        <v/>
      </c>
      <c r="BE506" s="136" t="str">
        <f aca="false">IF($BR506&lt;&gt;Constants!$B$8,"",IF(AND($AL506,$AQ506,$AO506),Constants!$B$27,0))</f>
        <v/>
      </c>
      <c r="BF506" s="136" t="str">
        <f aca="false">IF($BR506&lt;&gt;Constants!$B$8,"",IF($AL506,($AI506-Constants!$B$29)*Constants!$B$28,0))</f>
        <v/>
      </c>
      <c r="BG506" s="136" t="str">
        <f aca="false">IF($BR506&lt;&gt;Constants!$B$8,"",IF($AK506,0,Constants!$B$15)+IF($AJ506,0,Constants!$B$16)+IF($AH506,0,Constants!$B$17))</f>
        <v/>
      </c>
      <c r="BH506" s="137" t="str">
        <f aca="false">IF($BR506&lt;&gt;Constants!$B$8,"",Constants!$B$20+SUM($BC506:$BG506))</f>
        <v/>
      </c>
      <c r="BI506" s="133" t="str">
        <f aca="false">IF($BR506&lt;&gt;Constants!$B$8,"",IF(OR($BP506&lt;$BH506,AND($BP506=$BH506,OR($BK506&lt;$BC506,AND($BK506=$BC506,OR($BL506&lt;$BD506,AND($BL506=$BD506,$AT506,$AL506,$AV506&lt;$AN506)))))),"-&gt;","&lt;-"))</f>
        <v/>
      </c>
      <c r="BJ506" s="132" t="str">
        <f aca="false">IF(ISBLANK($C506),"",AND($AT506,OR($AU506="",$AV506="",AND($AW506,$AX506=""))))</f>
        <v/>
      </c>
      <c r="BK506" s="135" t="str">
        <f aca="false">IF($BR506&lt;&gt;Constants!$B$8,"",IF($AT506,Constants!$B$21*$AV506+Constants!$B$22*IF($AW506,$AX506,Constants!$B$23),Constants!$B$24))</f>
        <v/>
      </c>
      <c r="BL506" s="136" t="str">
        <f aca="false">IF($BR506&lt;&gt;Constants!$B$8,"",Constants!$B$25*ABS($AD$9-IF($AT506,$AU506,0)))</f>
        <v/>
      </c>
      <c r="BM506" s="136" t="str">
        <f aca="false">IF($BR506&lt;&gt;Constants!$B$8,"",IF(AND($AT506,$AY506,$AW506),Constants!$B$27,0))</f>
        <v/>
      </c>
      <c r="BN506" s="136" t="str">
        <f aca="false">IF($BR506&lt;&gt;Constants!$B$8,"",IF($AT506,($AI506-Constants!$B$29)*Constants!$B$28,0))</f>
        <v/>
      </c>
      <c r="BO506" s="136" t="str">
        <f aca="false">IF($BR506&lt;&gt;Constants!$B$8,"",IF($AS506,0,Constants!$B$15)+IF($AR506,0,Constants!$B$16)+IF($AH506,0,Constants!$B$17))</f>
        <v/>
      </c>
      <c r="BP506" s="137" t="str">
        <f aca="false">IF($BR506&lt;&gt;Constants!$B$8,"",Constants!$B$20+SUM($BK506:$BO506))</f>
        <v/>
      </c>
      <c r="BQ506" s="133" t="str">
        <f aca="false">IF(ISBLANK($C506),"",IF(ISBLANK($D$7),$BQ$5,IF(NOT(ISNUMBER($D$7)),$BQ$6,"")))</f>
        <v/>
      </c>
      <c r="BR506" s="133" t="str">
        <f aca="false">IF(ISBLANK($C506),"",IF($BA506,Constants!$B$11,IF(COUNTA($E506:$AA506)=0,Constants!$B$10,IF(NOT($AG506),Constants!$B$9,IF(OR($BQ506&lt;&gt;"",$BB506,$BJ506),Constants!$B$12,Constants!$B$8)))))</f>
        <v/>
      </c>
      <c r="BS506" s="133" t="str">
        <f aca="false">IF(ISBLANK($C506),"",IF($BR506&lt;&gt;Constants!$B$8,$BR506,Constants!$B$13))</f>
        <v/>
      </c>
      <c r="BT506" s="136" t="str">
        <f aca="false">IF($BR506&lt;&gt;Constants!$B$8,"",IF($BI506="-&gt;",$BP506,$BH506))</f>
        <v/>
      </c>
      <c r="BU506" s="136" t="str">
        <f aca="false">IF($BR506&lt;&gt;Constants!$B$8,"",IF($AF506,0,Constants!$B$18))</f>
        <v/>
      </c>
      <c r="BV506" s="136" t="str">
        <f aca="false">IF($BR506&lt;&gt;Constants!$B$8,"",((Constants!$B$31-$AZ506)-Constants!$B$31)/Constants!$B$32)</f>
        <v/>
      </c>
      <c r="BW506" s="136" t="str">
        <f aca="false">IF(ISBLANK($C506),"",IF($BR506&lt;&gt;Constants!$B$8,$BR506,SUM($BT506:$BV506)))</f>
        <v/>
      </c>
      <c r="BX506" s="133" t="str">
        <f aca="false">IF(ISBLANK($C506),"",IF($BR506&lt;&gt;Constants!$B$8,$BR506,RANK($BW506,$BW$9:$BW$508,1)))</f>
        <v/>
      </c>
      <c r="BY506" s="136" t="str">
        <f aca="false">IF($BR506&lt;&gt;Constants!$B$8,"",IF($BI506="-&gt;",$BK506,$BC506))</f>
        <v/>
      </c>
      <c r="BZ506" s="133" t="str">
        <f aca="false">IF(ISBLANK($C506),"",IF($BR506&lt;&gt;Constants!$B$8,$BR506,IF(ISNUMBER($BY506),RANK($BY506,$BY$9:$BY$508,1),COUNT($BY$9:$BY$508)+1)))</f>
        <v/>
      </c>
      <c r="CA506" s="136" t="str">
        <f aca="false">IF($BR506&lt;&gt;Constants!$B$8,"",IF($BI506="-&gt;",$BL506,$BD506))</f>
        <v/>
      </c>
      <c r="CB506" s="133" t="str">
        <f aca="false">IF(ISBLANK($C506),"",IF($BR506&lt;&gt;Constants!$B$8,$BR506,IF(ISNUMBER($CA506),RANK($CA506,$CA$9:$CA$508,1),COUNT($CA$9:$CA$508)+1)))</f>
        <v/>
      </c>
      <c r="CC506" s="136" t="str">
        <f aca="false">IF($BR506&lt;&gt;Constants!$B$8,"",IF($BI506="-&gt;",IF($AT506,$AV506,""),IF($AL506,$AN506,"")))</f>
        <v/>
      </c>
      <c r="CD506" s="133" t="str">
        <f aca="false">IF(ISBLANK($C506),"",IF($BR506&lt;&gt;Constants!$B$8,$BR506,IF(ISNUMBER($CC506),RANK($CC506,$CC$9:$CC$508,1),COUNT($CC$9:$CC$508)+1)))</f>
        <v/>
      </c>
      <c r="CE506" s="136" t="str">
        <f aca="false">IF($BR506&lt;&gt;Constants!$B$8,"",IF(AND(NOT($AL506),NOT($AT506),$AJ506,$AK506,$AR506,$AS506),"",$AI506))</f>
        <v/>
      </c>
      <c r="CF506" s="133" t="str">
        <f aca="false">IF(ISBLANK($C506),"",IF($BR506&lt;&gt;Constants!$B$8,$BR506,IF(ISNUMBER($CE506),RANK($CE506,$CE$9:$CE$508,1),COUNT($CE$9:$CE$508)+1)))</f>
        <v/>
      </c>
      <c r="CG506" s="133" t="str">
        <f aca="false">IF(ISBLANK($C506),"",IF($BR506&lt;&gt;Constants!$B$8,$BR506,COUNTIFS($BX$9:$BX$508,"&lt;"&amp;$BX506)+COUNTIFS($BX$9:$BX$508,$BX506,$BZ$9:$BZ$508,"&lt;"&amp;$BZ506)+COUNTIFS($BX$9:$BX$508,$BX506,$BZ$9:$BZ$508,$BZ506,$CB$9:$CB$508,"&lt;"&amp;$CB506)+COUNTIFS($BX$9:$BX$508,$BX506,$BZ$9:$BZ$508,$BZ506,$CB$9:$CB$508,$CB506,$CD$9:$CD$508,"&lt;"&amp;$CD506)+COUNTIFS($BX$9:$BX$508,$BX506,$BZ$9:$BZ$508,$BZ506,$CB$9:$CB$508,$CB506,$CD$9:$CD$508,$CD506,$CF$9:$CF$508,"&lt;"&amp;$CF506)+1))</f>
        <v/>
      </c>
      <c r="CH506" s="133" t="str">
        <f aca="false">IF(ISBLANK($C506),"",IF($BR506&lt;&gt;Constants!$B$8,$BR506,$BX506-$CG506))</f>
        <v/>
      </c>
      <c r="CI506" s="138"/>
      <c r="CJ506" s="139"/>
      <c r="CK506" s="140" t="str">
        <f aca="false">IF(ISBLANK($C506),"",IF($BR506=Constants!$B$12,$BQ506,""))</f>
        <v/>
      </c>
      <c r="CL506" s="139" t="str">
        <f aca="false">IF(ISBLANK($C506),"",IF($BR506&lt;&gt;Constants!$B$8,"",IF($BI506="-&gt;",2,1)))</f>
        <v/>
      </c>
      <c r="CM506" s="141" t="str">
        <f aca="false">IF(ISBLANK($C506),"",IF($BR506&lt;&gt;Constants!$B$8,"",IF($BI506="-&gt;",$BK506,$BC506)))</f>
        <v/>
      </c>
      <c r="CN506" s="141" t="str">
        <f aca="false">IF(ISBLANK($C506),"",IF($BR506&lt;&gt;Constants!$B$8,"",IF($BI506="-&gt;",$BL506,$BD506)))</f>
        <v/>
      </c>
      <c r="CO506" s="141" t="str">
        <f aca="false">IF(ISBLANK($C506),"",IF($BR506&lt;&gt;Constants!$B$8,"",IF($BI506="-&gt;",$BM506+$BN506,$BE506+$BF506)+$BV506))</f>
        <v/>
      </c>
      <c r="CP506" s="141" t="str">
        <f aca="false">IF(ISBLANK($C506),"",IF($BR506&lt;&gt;Constants!$B$8,"",IF($BI506="-&gt;",$BO506,$BG506)+$BU506))</f>
        <v/>
      </c>
      <c r="CQ506" s="142" t="str">
        <f aca="false">IF(ISBLANK($C506),"",IF($BR506&lt;&gt;Constants!$B$8,$BR506,$BW506))</f>
        <v/>
      </c>
      <c r="CR506" s="143" t="str">
        <f aca="false">IF(ISBLANK($C506),"",$BS506)</f>
        <v/>
      </c>
      <c r="CS506" s="144" t="str">
        <f aca="false">IF(ISBLANK($C506),"",$CH506)</f>
        <v/>
      </c>
      <c r="CT506" s="144" t="str">
        <f aca="false">IF(ISBLANK($C506),"",$CG506)</f>
        <v/>
      </c>
      <c r="CU506" s="145" t="str">
        <f aca="false">IF(ISBLANK($C506),"",IFERROR(_xlfn.SWITCH($CT506,Constants!$B$11,COUNTA($C$9:$C$508)+2,Constants!$B$10,COUNTA($C$9:$C$508)+1,Constants!$B$9,COUNTA($C$9:$C$508)),$CT506))</f>
        <v/>
      </c>
      <c r="CV506" s="9"/>
      <c r="CW506" s="146" t="n">
        <f aca="false">IF(OR(ISNUMBER($CT506),$CT506=Constants!$B$11,$CT506=Constants!$B$9,$CT506=Constants!$B$10),1,0)</f>
        <v>0</v>
      </c>
      <c r="CX506" s="146" t="n">
        <v>498</v>
      </c>
      <c r="CY506" s="146" t="str">
        <f aca="false">IF(ISBLANK($C506),"",IF(ISNUMBER($CU506),$CU506+ROW($B506)/1000,""))</f>
        <v/>
      </c>
      <c r="CZ506" s="146" t="str">
        <f aca="false">IF(ISNUMBER($CY506),RANK($CY506,$CY$9:$CY$508,1),"")</f>
        <v/>
      </c>
      <c r="DA506" s="146" t="str">
        <f aca="false">IF(ISBLANK($C506),"",$B506)</f>
        <v/>
      </c>
      <c r="DB506" s="146" t="str">
        <f aca="false">IF(ISBLANK($C506),"",$C506)</f>
        <v/>
      </c>
      <c r="DC506" s="146" t="str">
        <f aca="false">IF(ISBLANK($C506),"",$D506)</f>
        <v/>
      </c>
      <c r="DD506" s="147" t="str">
        <f aca="false">$CR506</f>
        <v/>
      </c>
      <c r="DE506" s="148" t="str">
        <f aca="false">$CQ506</f>
        <v/>
      </c>
      <c r="DF506" s="146" t="str">
        <f aca="false">IF(ISBLANK($C506),"",$CT506)</f>
        <v/>
      </c>
      <c r="DG506" s="149" t="str">
        <f aca="false">IF($CX506&gt;$CW$8,"",VLOOKUP($CX506,$CZ$9:$DF$508,7,FALSE()))</f>
        <v/>
      </c>
      <c r="DH506" s="150" t="str">
        <f aca="false">IF($CX506&gt;$CW$8,"",VLOOKUP($CX506,$CZ$9:$DF$508,2,FALSE()))</f>
        <v/>
      </c>
      <c r="DI506" s="150" t="str">
        <f aca="false">IF($CX506&gt;$CW$8,"",VLOOKUP($CX506,$CZ$9:$DF$508,3,FALSE()))</f>
        <v/>
      </c>
      <c r="DJ506" s="150" t="str">
        <f aca="false">IF($CX506&gt;$CW$8,"",VLOOKUP($CX506,$CZ$9:$DF$508,4,FALSE()))</f>
        <v/>
      </c>
      <c r="DK506" s="150" t="str">
        <f aca="false">IF($CX506&gt;$CW$8,"",VLOOKUP($CX506,$CZ$9:$DF$508,5,FALSE()))</f>
        <v/>
      </c>
      <c r="DL506" s="151" t="str">
        <f aca="false">IF($CX506&gt;$CW$8,"",VLOOKUP($CX506,$CZ$9:$DF$508,6,FALSE()))</f>
        <v/>
      </c>
      <c r="DM506" s="75"/>
    </row>
    <row r="507" customFormat="false" ht="15.75" hidden="false" customHeight="false" outlineLevel="0" collapsed="false">
      <c r="A507" s="9"/>
      <c r="B507" s="77"/>
      <c r="C507" s="78"/>
      <c r="D507" s="167"/>
      <c r="E507" s="175"/>
      <c r="F507" s="169"/>
      <c r="G507" s="170"/>
      <c r="H507" s="170"/>
      <c r="I507" s="176"/>
      <c r="J507" s="173"/>
      <c r="K507" s="85"/>
      <c r="L507" s="86"/>
      <c r="M507" s="87"/>
      <c r="N507" s="173"/>
      <c r="O507" s="173"/>
      <c r="P507" s="175"/>
      <c r="Q507" s="173"/>
      <c r="R507" s="173"/>
      <c r="S507" s="85"/>
      <c r="T507" s="87"/>
      <c r="U507" s="87"/>
      <c r="V507" s="173"/>
      <c r="W507" s="173"/>
      <c r="X507" s="175"/>
      <c r="Y507" s="173"/>
      <c r="Z507" s="174"/>
      <c r="AA507" s="173"/>
      <c r="AB507" s="91"/>
      <c r="AC507" s="92"/>
      <c r="AD507" s="92"/>
      <c r="AE507" s="92"/>
      <c r="AF507" s="92" t="str">
        <f aca="false">IF(ISBLANK($C507),"",IF(E507=Constants!$B$3,TRUE(),IF(E507=Constants!$B$4,FALSE(),TRUE())))</f>
        <v/>
      </c>
      <c r="AG507" s="92" t="str">
        <f aca="false">IF(ISBLANK($C507),"",IF(F507=Constants!$B$3,TRUE(),IF(F507=Constants!$B$4,FALSE(),TRUE())))</f>
        <v/>
      </c>
      <c r="AH507" s="92" t="str">
        <f aca="false">IF(ISBLANK($C507),"",IF(G507=Constants!$B$3,TRUE(),IF(G507=Constants!$B$4,FALSE(),TRUE())))</f>
        <v/>
      </c>
      <c r="AI507" s="92" t="str">
        <f aca="false">IF(ISBLANK($C507),"",IF(AND(ISNUMBER(H507),H507&gt;=0),H507,Constants!$B$29))</f>
        <v/>
      </c>
      <c r="AJ507" s="92" t="str">
        <f aca="false">IF(ISBLANK($C507),"",IF(I507=Constants!$B$3,TRUE(),IF(I507=Constants!$B$4,FALSE(),TRUE())))</f>
        <v/>
      </c>
      <c r="AK507" s="92" t="str">
        <f aca="false">IF(ISBLANK($C507),"",IF(J507=Constants!$B$3,TRUE(),IF(J507=Constants!$B$4,FALSE(),TRUE())))</f>
        <v/>
      </c>
      <c r="AL507" s="92" t="str">
        <f aca="false">IF(ISBLANK($C507),"",IF(K507=Constants!$B$5,TRUE(),IF(K507=Constants!$B$6,FALSE(),COUNTA(L507:P507)&gt;0)))</f>
        <v/>
      </c>
      <c r="AM507" s="94" t="str">
        <f aca="false">IF(ISBLANK($C507),"",IF(ISNUMBER(L507),IF(L507&gt;=0,L507,""),""))</f>
        <v/>
      </c>
      <c r="AN507" s="93" t="str">
        <f aca="false">IF(ISBLANK($C507),"",IF(ISNUMBER(M507),IF(M507&gt;=0,M507,""),""))</f>
        <v/>
      </c>
      <c r="AO507" s="93" t="str">
        <f aca="false">IF(ISBLANK($C507),"",IF(N507=Constants!$B$3,TRUE(),IF(N507=Constants!$B$4,FALSE(),TRUE())))</f>
        <v/>
      </c>
      <c r="AP507" s="92" t="str">
        <f aca="false">IF(ISBLANK($C507),"",IF(ISNUMBER(O507),IF(O507&gt;=0,O507,""),""))</f>
        <v/>
      </c>
      <c r="AQ507" s="92" t="str">
        <f aca="false">IF(ISBLANK($C507),"",IF(P507=Constants!$B$3,TRUE(),IF(P507=Constants!$B$4,FALSE(),FALSE())))</f>
        <v/>
      </c>
      <c r="AR507" s="92" t="str">
        <f aca="false">IF(ISBLANK($C507),"",IF(Q507=Constants!$B$3,TRUE(),IF(Q507=Constants!$B$4,FALSE(),TRUE())))</f>
        <v/>
      </c>
      <c r="AS507" s="92" t="str">
        <f aca="false">IF(ISBLANK($C507),"",IF(R507=Constants!$B$3,TRUE(),IF(R507=Constants!$B$4,FALSE(),TRUE())))</f>
        <v/>
      </c>
      <c r="AT507" s="92" t="str">
        <f aca="false">IF(ISBLANK($C507),"",IF(S507=Constants!$B$5,TRUE(),IF(S507=Constants!$B$6,FALSE(),COUNTA(T507:X507)&gt;0)))</f>
        <v/>
      </c>
      <c r="AU507" s="94" t="str">
        <f aca="false">IF(ISBLANK($C507),"",IF(ISNUMBER(T507),IF(T507&gt;=0,T507,""),""))</f>
        <v/>
      </c>
      <c r="AV507" s="93" t="str">
        <f aca="false">IF(ISBLANK($C507),"",IF(ISNUMBER(U507),IF(U507&gt;=0,U507,""),""))</f>
        <v/>
      </c>
      <c r="AW507" s="93" t="str">
        <f aca="false">IF(ISBLANK($C507),"",IF(V507=Constants!$B$3,TRUE(),IF(V507=Constants!$B$4,FALSE(),TRUE())))</f>
        <v/>
      </c>
      <c r="AX507" s="92" t="str">
        <f aca="false">IF(ISBLANK($C507),"",IF(ISNUMBER(W507),IF(W507&gt;=0,W507,""),""))</f>
        <v/>
      </c>
      <c r="AY507" s="92" t="str">
        <f aca="false">IF(ISBLANK($C507),"",IF(X507=Constants!$B$3,TRUE(),IF(X507=Constants!$B$4,FALSE(),FALSE())))</f>
        <v/>
      </c>
      <c r="AZ507" s="92" t="str">
        <f aca="false">IF(ISBLANK($C507),"",MIN(Constants!$B$31,MAX(0,IF(ISNUMBER(Y507),Y507*60,0)+IF(ISNUMBER(Z507),Z507,0))))</f>
        <v/>
      </c>
      <c r="BA507" s="92" t="str">
        <f aca="false">IF(ISBLANK($C507),"",IF(AA507=Constants!$B$3,TRUE(),IF(AA507=Constants!$B$4,FALSE(),FALSE())))</f>
        <v/>
      </c>
      <c r="BB507" s="91" t="str">
        <f aca="false">IF(ISBLANK($C507),"",AND($AL507,OR($AM507="",$AN507="",AND($AO507,$AP507=""))))</f>
        <v/>
      </c>
      <c r="BC507" s="93" t="str">
        <f aca="false">IF($BR507&lt;&gt;Constants!$B$8,"",IF($AL507,Constants!$B$21*$AN507+Constants!$B$22*IF($AO507,$AP507,Constants!$B$23),Constants!$B$24))</f>
        <v/>
      </c>
      <c r="BD507" s="96" t="str">
        <f aca="false">IF($BR507&lt;&gt;Constants!$B$8,"",Constants!$B$25*ABS($AD$9-IF($AL507,$AM507,0)))</f>
        <v/>
      </c>
      <c r="BE507" s="96" t="str">
        <f aca="false">IF($BR507&lt;&gt;Constants!$B$8,"",IF(AND($AL507,$AQ507,$AO507),Constants!$B$27,0))</f>
        <v/>
      </c>
      <c r="BF507" s="96" t="str">
        <f aca="false">IF($BR507&lt;&gt;Constants!$B$8,"",IF($AL507,($AI507-Constants!$B$29)*Constants!$B$28,0))</f>
        <v/>
      </c>
      <c r="BG507" s="96" t="str">
        <f aca="false">IF($BR507&lt;&gt;Constants!$B$8,"",IF($AK507,0,Constants!$B$15)+IF($AJ507,0,Constants!$B$16)+IF($AH507,0,Constants!$B$17))</f>
        <v/>
      </c>
      <c r="BH507" s="97" t="str">
        <f aca="false">IF($BR507&lt;&gt;Constants!$B$8,"",Constants!$B$20+SUM($BC507:$BG507))</f>
        <v/>
      </c>
      <c r="BI507" s="92" t="str">
        <f aca="false">IF($BR507&lt;&gt;Constants!$B$8,"",IF(OR($BP507&lt;$BH507,AND($BP507=$BH507,OR($BK507&lt;$BC507,AND($BK507=$BC507,OR($BL507&lt;$BD507,AND($BL507=$BD507,$AT507,$AL507,$AV507&lt;$AN507)))))),"-&gt;","&lt;-"))</f>
        <v/>
      </c>
      <c r="BJ507" s="91" t="str">
        <f aca="false">IF(ISBLANK($C507),"",AND($AT507,OR($AU507="",$AV507="",AND($AW507,$AX507=""))))</f>
        <v/>
      </c>
      <c r="BK507" s="93" t="str">
        <f aca="false">IF($BR507&lt;&gt;Constants!$B$8,"",IF($AT507,Constants!$B$21*$AV507+Constants!$B$22*IF($AW507,$AX507,Constants!$B$23),Constants!$B$24))</f>
        <v/>
      </c>
      <c r="BL507" s="96" t="str">
        <f aca="false">IF($BR507&lt;&gt;Constants!$B$8,"",Constants!$B$25*ABS($AD$9-IF($AT507,$AU507,0)))</f>
        <v/>
      </c>
      <c r="BM507" s="96" t="str">
        <f aca="false">IF($BR507&lt;&gt;Constants!$B$8,"",IF(AND($AT507,$AY507,$AW507),Constants!$B$27,0))</f>
        <v/>
      </c>
      <c r="BN507" s="96" t="str">
        <f aca="false">IF($BR507&lt;&gt;Constants!$B$8,"",IF($AT507,($AI507-Constants!$B$29)*Constants!$B$28,0))</f>
        <v/>
      </c>
      <c r="BO507" s="96" t="str">
        <f aca="false">IF($BR507&lt;&gt;Constants!$B$8,"",IF($AS507,0,Constants!$B$15)+IF($AR507,0,Constants!$B$16)+IF($AH507,0,Constants!$B$17))</f>
        <v/>
      </c>
      <c r="BP507" s="97" t="str">
        <f aca="false">IF($BR507&lt;&gt;Constants!$B$8,"",Constants!$B$20+SUM($BK507:$BO507))</f>
        <v/>
      </c>
      <c r="BQ507" s="92" t="str">
        <f aca="false">IF(ISBLANK($C507),"",IF(ISBLANK($D$7),$BQ$5,IF(NOT(ISNUMBER($D$7)),$BQ$6,"")))</f>
        <v/>
      </c>
      <c r="BR507" s="92" t="str">
        <f aca="false">IF(ISBLANK($C507),"",IF($BA507,Constants!$B$11,IF(COUNTA($E507:$AA507)=0,Constants!$B$10,IF(NOT($AG507),Constants!$B$9,IF(OR($BQ507&lt;&gt;"",$BB507,$BJ507),Constants!$B$12,Constants!$B$8)))))</f>
        <v/>
      </c>
      <c r="BS507" s="92" t="str">
        <f aca="false">IF(ISBLANK($C507),"",IF($BR507&lt;&gt;Constants!$B$8,$BR507,Constants!$B$13))</f>
        <v/>
      </c>
      <c r="BT507" s="96" t="str">
        <f aca="false">IF($BR507&lt;&gt;Constants!$B$8,"",IF($BI507="-&gt;",$BP507,$BH507))</f>
        <v/>
      </c>
      <c r="BU507" s="96" t="str">
        <f aca="false">IF($BR507&lt;&gt;Constants!$B$8,"",IF($AF507,0,Constants!$B$18))</f>
        <v/>
      </c>
      <c r="BV507" s="96" t="str">
        <f aca="false">IF($BR507&lt;&gt;Constants!$B$8,"",((Constants!$B$31-$AZ507)-Constants!$B$31)/Constants!$B$32)</f>
        <v/>
      </c>
      <c r="BW507" s="96" t="str">
        <f aca="false">IF(ISBLANK($C507),"",IF($BR507&lt;&gt;Constants!$B$8,$BR507,SUM($BT507:$BV507)))</f>
        <v/>
      </c>
      <c r="BX507" s="92" t="str">
        <f aca="false">IF(ISBLANK($C507),"",IF($BR507&lt;&gt;Constants!$B$8,$BR507,RANK($BW507,$BW$9:$BW$508,1)))</f>
        <v/>
      </c>
      <c r="BY507" s="96" t="str">
        <f aca="false">IF($BR507&lt;&gt;Constants!$B$8,"",IF($BI507="-&gt;",$BK507,$BC507))</f>
        <v/>
      </c>
      <c r="BZ507" s="92" t="str">
        <f aca="false">IF(ISBLANK($C507),"",IF($BR507&lt;&gt;Constants!$B$8,$BR507,IF(ISNUMBER($BY507),RANK($BY507,$BY$9:$BY$508,1),COUNT($BY$9:$BY$508)+1)))</f>
        <v/>
      </c>
      <c r="CA507" s="96" t="str">
        <f aca="false">IF($BR507&lt;&gt;Constants!$B$8,"",IF($BI507="-&gt;",$BL507,$BD507))</f>
        <v/>
      </c>
      <c r="CB507" s="92" t="str">
        <f aca="false">IF(ISBLANK($C507),"",IF($BR507&lt;&gt;Constants!$B$8,$BR507,IF(ISNUMBER($CA507),RANK($CA507,$CA$9:$CA$508,1),COUNT($CA$9:$CA$508)+1)))</f>
        <v/>
      </c>
      <c r="CC507" s="96" t="str">
        <f aca="false">IF($BR507&lt;&gt;Constants!$B$8,"",IF($BI507="-&gt;",IF($AT507,$AV507,""),IF($AL507,$AN507,"")))</f>
        <v/>
      </c>
      <c r="CD507" s="92" t="str">
        <f aca="false">IF(ISBLANK($C507),"",IF($BR507&lt;&gt;Constants!$B$8,$BR507,IF(ISNUMBER($CC507),RANK($CC507,$CC$9:$CC$508,1),COUNT($CC$9:$CC$508)+1)))</f>
        <v/>
      </c>
      <c r="CE507" s="96" t="str">
        <f aca="false">IF($BR507&lt;&gt;Constants!$B$8,"",IF(AND(NOT($AL507),NOT($AT507),$AJ507,$AK507,$AR507,$AS507),"",$AI507))</f>
        <v/>
      </c>
      <c r="CF507" s="92" t="str">
        <f aca="false">IF(ISBLANK($C507),"",IF($BR507&lt;&gt;Constants!$B$8,$BR507,IF(ISNUMBER($CE507),RANK($CE507,$CE$9:$CE$508,1),COUNT($CE$9:$CE$508)+1)))</f>
        <v/>
      </c>
      <c r="CG507" s="92" t="str">
        <f aca="false">IF(ISBLANK($C507),"",IF($BR507&lt;&gt;Constants!$B$8,$BR507,COUNTIFS($BX$9:$BX$508,"&lt;"&amp;$BX507)+COUNTIFS($BX$9:$BX$508,$BX507,$BZ$9:$BZ$508,"&lt;"&amp;$BZ507)+COUNTIFS($BX$9:$BX$508,$BX507,$BZ$9:$BZ$508,$BZ507,$CB$9:$CB$508,"&lt;"&amp;$CB507)+COUNTIFS($BX$9:$BX$508,$BX507,$BZ$9:$BZ$508,$BZ507,$CB$9:$CB$508,$CB507,$CD$9:$CD$508,"&lt;"&amp;$CD507)+COUNTIFS($BX$9:$BX$508,$BX507,$BZ$9:$BZ$508,$BZ507,$CB$9:$CB$508,$CB507,$CD$9:$CD$508,$CD507,$CF$9:$CF$508,"&lt;"&amp;$CF507)+1))</f>
        <v/>
      </c>
      <c r="CH507" s="92" t="str">
        <f aca="false">IF(ISBLANK($C507),"",IF($BR507&lt;&gt;Constants!$B$8,$BR507,$BX507-$CG507))</f>
        <v/>
      </c>
      <c r="CI507" s="98"/>
      <c r="CJ507" s="99"/>
      <c r="CK507" s="100" t="str">
        <f aca="false">IF(ISBLANK($C507),"",IF($BR507=Constants!$B$12,$BQ507,""))</f>
        <v/>
      </c>
      <c r="CL507" s="99" t="str">
        <f aca="false">IF(ISBLANK($C507),"",IF($BR507&lt;&gt;Constants!$B$8,"",IF($BI507="-&gt;",2,1)))</f>
        <v/>
      </c>
      <c r="CM507" s="101" t="str">
        <f aca="false">IF(ISBLANK($C507),"",IF($BR507&lt;&gt;Constants!$B$8,"",IF($BI507="-&gt;",$BK507,$BC507)))</f>
        <v/>
      </c>
      <c r="CN507" s="101" t="str">
        <f aca="false">IF(ISBLANK($C507),"",IF($BR507&lt;&gt;Constants!$B$8,"",IF($BI507="-&gt;",$BL507,$BD507)))</f>
        <v/>
      </c>
      <c r="CO507" s="101" t="str">
        <f aca="false">IF(ISBLANK($C507),"",IF($BR507&lt;&gt;Constants!$B$8,"",IF($BI507="-&gt;",$BM507+$BN507,$BE507+$BF507)+$BV507))</f>
        <v/>
      </c>
      <c r="CP507" s="101" t="str">
        <f aca="false">IF(ISBLANK($C507),"",IF($BR507&lt;&gt;Constants!$B$8,"",IF($BI507="-&gt;",$BO507,$BG507)+$BU507))</f>
        <v/>
      </c>
      <c r="CQ507" s="102" t="str">
        <f aca="false">IF(ISBLANK($C507),"",IF($BR507&lt;&gt;Constants!$B$8,$BR507,$BW507))</f>
        <v/>
      </c>
      <c r="CR507" s="103" t="str">
        <f aca="false">IF(ISBLANK($C507),"",$BS507)</f>
        <v/>
      </c>
      <c r="CS507" s="104" t="str">
        <f aca="false">IF(ISBLANK($C507),"",$CH507)</f>
        <v/>
      </c>
      <c r="CT507" s="104" t="str">
        <f aca="false">IF(ISBLANK($C507),"",$CG507)</f>
        <v/>
      </c>
      <c r="CU507" s="105" t="str">
        <f aca="false">IF(ISBLANK($C507),"",IFERROR(_xlfn.SWITCH($CT507,Constants!$B$11,COUNTA($C$9:$C$508)+2,Constants!$B$10,COUNTA($C$9:$C$508)+1,Constants!$B$9,COUNTA($C$9:$C$508)),$CT507))</f>
        <v/>
      </c>
      <c r="CV507" s="9"/>
      <c r="CW507" s="106" t="n">
        <f aca="false">IF(OR(ISNUMBER($CT507),$CT507=Constants!$B$11,$CT507=Constants!$B$9,$CT507=Constants!$B$10),1,0)</f>
        <v>0</v>
      </c>
      <c r="CX507" s="106" t="n">
        <v>499</v>
      </c>
      <c r="CY507" s="106" t="str">
        <f aca="false">IF(ISBLANK($C507),"",IF(ISNUMBER($CU507),$CU507+ROW($B507)/1000,""))</f>
        <v/>
      </c>
      <c r="CZ507" s="106" t="str">
        <f aca="false">IF(ISNUMBER($CY507),RANK($CY507,$CY$9:$CY$508,1),"")</f>
        <v/>
      </c>
      <c r="DA507" s="106" t="str">
        <f aca="false">IF(ISBLANK($C507),"",$B507)</f>
        <v/>
      </c>
      <c r="DB507" s="106" t="str">
        <f aca="false">IF(ISBLANK($C507),"",$C507)</f>
        <v/>
      </c>
      <c r="DC507" s="106" t="str">
        <f aca="false">IF(ISBLANK($C507),"",$D507)</f>
        <v/>
      </c>
      <c r="DD507" s="107" t="str">
        <f aca="false">$CR507</f>
        <v/>
      </c>
      <c r="DE507" s="108" t="str">
        <f aca="false">$CQ507</f>
        <v/>
      </c>
      <c r="DF507" s="106" t="str">
        <f aca="false">IF(ISBLANK($C507),"",$CT507)</f>
        <v/>
      </c>
      <c r="DG507" s="109" t="str">
        <f aca="false">IF($CX507&gt;$CW$8,"",VLOOKUP($CX507,$CZ$9:$DF$508,7,FALSE()))</f>
        <v/>
      </c>
      <c r="DH507" s="110" t="str">
        <f aca="false">IF($CX507&gt;$CW$8,"",VLOOKUP($CX507,$CZ$9:$DF$508,2,FALSE()))</f>
        <v/>
      </c>
      <c r="DI507" s="110" t="str">
        <f aca="false">IF($CX507&gt;$CW$8,"",VLOOKUP($CX507,$CZ$9:$DF$508,3,FALSE()))</f>
        <v/>
      </c>
      <c r="DJ507" s="110" t="str">
        <f aca="false">IF($CX507&gt;$CW$8,"",VLOOKUP($CX507,$CZ$9:$DF$508,4,FALSE()))</f>
        <v/>
      </c>
      <c r="DK507" s="110" t="str">
        <f aca="false">IF($CX507&gt;$CW$8,"",VLOOKUP($CX507,$CZ$9:$DF$508,5,FALSE()))</f>
        <v/>
      </c>
      <c r="DL507" s="111" t="str">
        <f aca="false">IF($CX507&gt;$CW$8,"",VLOOKUP($CX507,$CZ$9:$DF$508,6,FALSE()))</f>
        <v/>
      </c>
      <c r="DM507" s="75"/>
    </row>
    <row r="508" customFormat="false" ht="15.75" hidden="false" customHeight="false" outlineLevel="0" collapsed="false">
      <c r="A508" s="9"/>
      <c r="B508" s="77"/>
      <c r="C508" s="78"/>
      <c r="D508" s="167"/>
      <c r="E508" s="175"/>
      <c r="F508" s="169"/>
      <c r="G508" s="170"/>
      <c r="H508" s="170"/>
      <c r="I508" s="176"/>
      <c r="J508" s="173"/>
      <c r="K508" s="85"/>
      <c r="L508" s="86"/>
      <c r="M508" s="87"/>
      <c r="N508" s="173"/>
      <c r="O508" s="173"/>
      <c r="P508" s="175"/>
      <c r="Q508" s="173"/>
      <c r="R508" s="173"/>
      <c r="S508" s="85"/>
      <c r="T508" s="87"/>
      <c r="U508" s="87"/>
      <c r="V508" s="173"/>
      <c r="W508" s="173"/>
      <c r="X508" s="175"/>
      <c r="Y508" s="173"/>
      <c r="Z508" s="174"/>
      <c r="AA508" s="173"/>
      <c r="AB508" s="91"/>
      <c r="AC508" s="92"/>
      <c r="AD508" s="92"/>
      <c r="AE508" s="92"/>
      <c r="AF508" s="92" t="str">
        <f aca="false">IF(ISBLANK($C508),"",IF(E508=Constants!$B$3,TRUE(),IF(E508=Constants!$B$4,FALSE(),TRUE())))</f>
        <v/>
      </c>
      <c r="AG508" s="92" t="str">
        <f aca="false">IF(ISBLANK($C508),"",IF(F508=Constants!$B$3,TRUE(),IF(F508=Constants!$B$4,FALSE(),TRUE())))</f>
        <v/>
      </c>
      <c r="AH508" s="92" t="str">
        <f aca="false">IF(ISBLANK($C508),"",IF(G508=Constants!$B$3,TRUE(),IF(G508=Constants!$B$4,FALSE(),TRUE())))</f>
        <v/>
      </c>
      <c r="AI508" s="92" t="str">
        <f aca="false">IF(ISBLANK($C508),"",IF(AND(ISNUMBER(H508),H508&gt;=0),H508,Constants!$B$29))</f>
        <v/>
      </c>
      <c r="AJ508" s="92" t="str">
        <f aca="false">IF(ISBLANK($C508),"",IF(I508=Constants!$B$3,TRUE(),IF(I508=Constants!$B$4,FALSE(),TRUE())))</f>
        <v/>
      </c>
      <c r="AK508" s="92" t="str">
        <f aca="false">IF(ISBLANK($C508),"",IF(J508=Constants!$B$3,TRUE(),IF(J508=Constants!$B$4,FALSE(),TRUE())))</f>
        <v/>
      </c>
      <c r="AL508" s="92" t="str">
        <f aca="false">IF(ISBLANK($C508),"",IF(K508=Constants!$B$5,TRUE(),IF(K508=Constants!$B$6,FALSE(),COUNTA(L508:P508)&gt;0)))</f>
        <v/>
      </c>
      <c r="AM508" s="94" t="str">
        <f aca="false">IF(ISBLANK($C508),"",IF(ISNUMBER(L508),IF(L508&gt;=0,L508,""),""))</f>
        <v/>
      </c>
      <c r="AN508" s="93" t="str">
        <f aca="false">IF(ISBLANK($C508),"",IF(ISNUMBER(M508),IF(M508&gt;=0,M508,""),""))</f>
        <v/>
      </c>
      <c r="AO508" s="93" t="str">
        <f aca="false">IF(ISBLANK($C508),"",IF(N508=Constants!$B$3,TRUE(),IF(N508=Constants!$B$4,FALSE(),TRUE())))</f>
        <v/>
      </c>
      <c r="AP508" s="92" t="str">
        <f aca="false">IF(ISBLANK($C508),"",IF(ISNUMBER(O508),IF(O508&gt;=0,O508,""),""))</f>
        <v/>
      </c>
      <c r="AQ508" s="92" t="str">
        <f aca="false">IF(ISBLANK($C508),"",IF(P508=Constants!$B$3,TRUE(),IF(P508=Constants!$B$4,FALSE(),FALSE())))</f>
        <v/>
      </c>
      <c r="AR508" s="92" t="str">
        <f aca="false">IF(ISBLANK($C508),"",IF(Q508=Constants!$B$3,TRUE(),IF(Q508=Constants!$B$4,FALSE(),TRUE())))</f>
        <v/>
      </c>
      <c r="AS508" s="92" t="str">
        <f aca="false">IF(ISBLANK($C508),"",IF(R508=Constants!$B$3,TRUE(),IF(R508=Constants!$B$4,FALSE(),TRUE())))</f>
        <v/>
      </c>
      <c r="AT508" s="92" t="str">
        <f aca="false">IF(ISBLANK($C508),"",IF(S508=Constants!$B$5,TRUE(),IF(S508=Constants!$B$6,FALSE(),COUNTA(T508:X508)&gt;0)))</f>
        <v/>
      </c>
      <c r="AU508" s="94" t="str">
        <f aca="false">IF(ISBLANK($C508),"",IF(ISNUMBER(T508),IF(T508&gt;=0,T508,""),""))</f>
        <v/>
      </c>
      <c r="AV508" s="93" t="str">
        <f aca="false">IF(ISBLANK($C508),"",IF(ISNUMBER(U508),IF(U508&gt;=0,U508,""),""))</f>
        <v/>
      </c>
      <c r="AW508" s="93" t="str">
        <f aca="false">IF(ISBLANK($C508),"",IF(V508=Constants!$B$3,TRUE(),IF(V508=Constants!$B$4,FALSE(),TRUE())))</f>
        <v/>
      </c>
      <c r="AX508" s="92" t="str">
        <f aca="false">IF(ISBLANK($C508),"",IF(ISNUMBER(W508),IF(W508&gt;=0,W508,""),""))</f>
        <v/>
      </c>
      <c r="AY508" s="92" t="str">
        <f aca="false">IF(ISBLANK($C508),"",IF(X508=Constants!$B$3,TRUE(),IF(X508=Constants!$B$4,FALSE(),FALSE())))</f>
        <v/>
      </c>
      <c r="AZ508" s="92" t="str">
        <f aca="false">IF(ISBLANK($C508),"",MIN(Constants!$B$31,MAX(0,IF(ISNUMBER(Y508),Y508*60,0)+IF(ISNUMBER(Z508),Z508,0))))</f>
        <v/>
      </c>
      <c r="BA508" s="92" t="str">
        <f aca="false">IF(ISBLANK($C508),"",IF(AA508=Constants!$B$3,TRUE(),IF(AA508=Constants!$B$4,FALSE(),FALSE())))</f>
        <v/>
      </c>
      <c r="BB508" s="91" t="str">
        <f aca="false">IF(ISBLANK($C508),"",AND($AL508,OR($AM508="",$AN508="",AND($AO508,$AP508=""))))</f>
        <v/>
      </c>
      <c r="BC508" s="93" t="str">
        <f aca="false">IF($BR508&lt;&gt;Constants!$B$8,"",IF($AL508,Constants!$B$21*$AN508+Constants!$B$22*IF($AO508,$AP508,Constants!$B$23),Constants!$B$24))</f>
        <v/>
      </c>
      <c r="BD508" s="96" t="str">
        <f aca="false">IF($BR508&lt;&gt;Constants!$B$8,"",Constants!$B$25*ABS($AD$9-IF($AL508,$AM508,0)))</f>
        <v/>
      </c>
      <c r="BE508" s="96" t="str">
        <f aca="false">IF($BR508&lt;&gt;Constants!$B$8,"",IF(AND($AL508,$AQ508,$AO508),Constants!$B$27,0))</f>
        <v/>
      </c>
      <c r="BF508" s="96" t="str">
        <f aca="false">IF($BR508&lt;&gt;Constants!$B$8,"",IF($AL508,($AI508-Constants!$B$29)*Constants!$B$28,0))</f>
        <v/>
      </c>
      <c r="BG508" s="96" t="str">
        <f aca="false">IF($BR508&lt;&gt;Constants!$B$8,"",IF($AK508,0,Constants!$B$15)+IF($AJ508,0,Constants!$B$16)+IF($AH508,0,Constants!$B$17))</f>
        <v/>
      </c>
      <c r="BH508" s="97" t="str">
        <f aca="false">IF($BR508&lt;&gt;Constants!$B$8,"",Constants!$B$20+SUM($BC508:$BG508))</f>
        <v/>
      </c>
      <c r="BI508" s="92" t="str">
        <f aca="false">IF($BR508&lt;&gt;Constants!$B$8,"",IF(OR($BP508&lt;$BH508,AND($BP508=$BH508,OR($BK508&lt;$BC508,AND($BK508=$BC508,OR($BL508&lt;$BD508,AND($BL508=$BD508,$AT508,$AL508,$AV508&lt;$AN508)))))),"-&gt;","&lt;-"))</f>
        <v/>
      </c>
      <c r="BJ508" s="91" t="str">
        <f aca="false">IF(ISBLANK($C508),"",AND($AT508,OR($AU508="",$AV508="",AND($AW508,$AX508=""))))</f>
        <v/>
      </c>
      <c r="BK508" s="93" t="str">
        <f aca="false">IF($BR508&lt;&gt;Constants!$B$8,"",IF($AT508,Constants!$B$21*$AV508+Constants!$B$22*IF($AW508,$AX508,Constants!$B$23),Constants!$B$24))</f>
        <v/>
      </c>
      <c r="BL508" s="96" t="str">
        <f aca="false">IF($BR508&lt;&gt;Constants!$B$8,"",Constants!$B$25*ABS($AD$9-IF($AT508,$AU508,0)))</f>
        <v/>
      </c>
      <c r="BM508" s="96" t="str">
        <f aca="false">IF($BR508&lt;&gt;Constants!$B$8,"",IF(AND($AT508,$AY508,$AW508),Constants!$B$27,0))</f>
        <v/>
      </c>
      <c r="BN508" s="96" t="str">
        <f aca="false">IF($BR508&lt;&gt;Constants!$B$8,"",IF($AT508,($AI508-Constants!$B$29)*Constants!$B$28,0))</f>
        <v/>
      </c>
      <c r="BO508" s="96" t="str">
        <f aca="false">IF($BR508&lt;&gt;Constants!$B$8,"",IF($AS508,0,Constants!$B$15)+IF($AR508,0,Constants!$B$16)+IF($AH508,0,Constants!$B$17))</f>
        <v/>
      </c>
      <c r="BP508" s="97" t="str">
        <f aca="false">IF($BR508&lt;&gt;Constants!$B$8,"",Constants!$B$20+SUM($BK508:$BO508))</f>
        <v/>
      </c>
      <c r="BQ508" s="92" t="str">
        <f aca="false">IF(ISBLANK($C508),"",IF(ISBLANK($D$7),$BQ$5,IF(NOT(ISNUMBER($D$7)),$BQ$6,"")))</f>
        <v/>
      </c>
      <c r="BR508" s="92" t="str">
        <f aca="false">IF(ISBLANK($C508),"",IF($BA508,Constants!$B$11,IF(COUNTA($E508:$AA508)=0,Constants!$B$10,IF(NOT($AG508),Constants!$B$9,IF(OR($BQ508&lt;&gt;"",$BB508,$BJ508),Constants!$B$12,Constants!$B$8)))))</f>
        <v/>
      </c>
      <c r="BS508" s="92" t="str">
        <f aca="false">IF(ISBLANK($C508),"",IF($BR508&lt;&gt;Constants!$B$8,$BR508,Constants!$B$13))</f>
        <v/>
      </c>
      <c r="BT508" s="96" t="str">
        <f aca="false">IF($BR508&lt;&gt;Constants!$B$8,"",IF($BI508="-&gt;",$BP508,$BH508))</f>
        <v/>
      </c>
      <c r="BU508" s="96" t="str">
        <f aca="false">IF($BR508&lt;&gt;Constants!$B$8,"",IF($AF508,0,Constants!$B$18))</f>
        <v/>
      </c>
      <c r="BV508" s="96" t="str">
        <f aca="false">IF($BR508&lt;&gt;Constants!$B$8,"",((Constants!$B$31-$AZ508)-Constants!$B$31)/Constants!$B$32)</f>
        <v/>
      </c>
      <c r="BW508" s="96" t="str">
        <f aca="false">IF(ISBLANK($C508),"",IF($BR508&lt;&gt;Constants!$B$8,$BR508,SUM($BT508:$BV508)))</f>
        <v/>
      </c>
      <c r="BX508" s="92" t="str">
        <f aca="false">IF(ISBLANK($C508),"",IF($BR508&lt;&gt;Constants!$B$8,$BR508,RANK($BW508,$BW$9:$BW$508,1)))</f>
        <v/>
      </c>
      <c r="BY508" s="96" t="str">
        <f aca="false">IF($BR508&lt;&gt;Constants!$B$8,"",IF($BI508="-&gt;",$BK508,$BC508))</f>
        <v/>
      </c>
      <c r="BZ508" s="92" t="str">
        <f aca="false">IF(ISBLANK($C508),"",IF($BR508&lt;&gt;Constants!$B$8,$BR508,IF(ISNUMBER($BY508),RANK($BY508,$BY$9:$BY$508,1),COUNT($BY$9:$BY$508)+1)))</f>
        <v/>
      </c>
      <c r="CA508" s="96" t="str">
        <f aca="false">IF($BR508&lt;&gt;Constants!$B$8,"",IF($BI508="-&gt;",$BL508,$BD508))</f>
        <v/>
      </c>
      <c r="CB508" s="92" t="str">
        <f aca="false">IF(ISBLANK($C508),"",IF($BR508&lt;&gt;Constants!$B$8,$BR508,IF(ISNUMBER($CA508),RANK($CA508,$CA$9:$CA$508,1),COUNT($CA$9:$CA$508)+1)))</f>
        <v/>
      </c>
      <c r="CC508" s="96" t="str">
        <f aca="false">IF($BR508&lt;&gt;Constants!$B$8,"",IF($BI508="-&gt;",IF($AT508,$AV508,""),IF($AL508,$AN508,"")))</f>
        <v/>
      </c>
      <c r="CD508" s="92" t="str">
        <f aca="false">IF(ISBLANK($C508),"",IF($BR508&lt;&gt;Constants!$B$8,$BR508,IF(ISNUMBER($CC508),RANK($CC508,$CC$9:$CC$508,1),COUNT($CC$9:$CC$508)+1)))</f>
        <v/>
      </c>
      <c r="CE508" s="96" t="str">
        <f aca="false">IF($BR508&lt;&gt;Constants!$B$8,"",IF(AND(NOT($AL508),NOT($AT508),$AJ508,$AK508,$AR508,$AS508),"",$AI508))</f>
        <v/>
      </c>
      <c r="CF508" s="92" t="str">
        <f aca="false">IF(ISBLANK($C508),"",IF($BR508&lt;&gt;Constants!$B$8,$BR508,IF(ISNUMBER($CE508),RANK($CE508,$CE$9:$CE$508,1),COUNT($CE$9:$CE$508)+1)))</f>
        <v/>
      </c>
      <c r="CG508" s="92" t="str">
        <f aca="false">IF(ISBLANK($C508),"",IF($BR508&lt;&gt;Constants!$B$8,$BR508,COUNTIFS($BX$9:$BX$508,"&lt;"&amp;$BX508)+COUNTIFS($BX$9:$BX$508,$BX508,$BZ$9:$BZ$508,"&lt;"&amp;$BZ508)+COUNTIFS($BX$9:$BX$508,$BX508,$BZ$9:$BZ$508,$BZ508,$CB$9:$CB$508,"&lt;"&amp;$CB508)+COUNTIFS($BX$9:$BX$508,$BX508,$BZ$9:$BZ$508,$BZ508,$CB$9:$CB$508,$CB508,$CD$9:$CD$508,"&lt;"&amp;$CD508)+COUNTIFS($BX$9:$BX$508,$BX508,$BZ$9:$BZ$508,$BZ508,$CB$9:$CB$508,$CB508,$CD$9:$CD$508,$CD508,$CF$9:$CF$508,"&lt;"&amp;$CF508)+1))</f>
        <v/>
      </c>
      <c r="CH508" s="92" t="str">
        <f aca="false">IF(ISBLANK($C508),"",IF($BR508&lt;&gt;Constants!$B$8,$BR508,$BX508-$CG508))</f>
        <v/>
      </c>
      <c r="CI508" s="98"/>
      <c r="CJ508" s="99"/>
      <c r="CK508" s="100" t="str">
        <f aca="false">IF(ISBLANK($C508),"",IF($BR508=Constants!$B$12,$BQ508,""))</f>
        <v/>
      </c>
      <c r="CL508" s="99" t="str">
        <f aca="false">IF(ISBLANK($C508),"",IF($BR508&lt;&gt;Constants!$B$8,"",IF($BI508="-&gt;",2,1)))</f>
        <v/>
      </c>
      <c r="CM508" s="101" t="str">
        <f aca="false">IF(ISBLANK($C508),"",IF($BR508&lt;&gt;Constants!$B$8,"",IF($BI508="-&gt;",$BK508,$BC508)))</f>
        <v/>
      </c>
      <c r="CN508" s="101" t="str">
        <f aca="false">IF(ISBLANK($C508),"",IF($BR508&lt;&gt;Constants!$B$8,"",IF($BI508="-&gt;",$BL508,$BD508)))</f>
        <v/>
      </c>
      <c r="CO508" s="101" t="str">
        <f aca="false">IF(ISBLANK($C508),"",IF($BR508&lt;&gt;Constants!$B$8,"",IF($BI508="-&gt;",$BM508+$BN508,$BE508+$BF508)+$BV508))</f>
        <v/>
      </c>
      <c r="CP508" s="101" t="str">
        <f aca="false">IF(ISBLANK($C508),"",IF($BR508&lt;&gt;Constants!$B$8,"",IF($BI508="-&gt;",$BO508,$BG508)+$BU508))</f>
        <v/>
      </c>
      <c r="CQ508" s="102" t="str">
        <f aca="false">IF(ISBLANK($C508),"",IF($BR508&lt;&gt;Constants!$B$8,$BR508,$BW508))</f>
        <v/>
      </c>
      <c r="CR508" s="103" t="str">
        <f aca="false">IF(ISBLANK($C508),"",$BS508)</f>
        <v/>
      </c>
      <c r="CS508" s="104" t="str">
        <f aca="false">IF(ISBLANK($C508),"",$CH508)</f>
        <v/>
      </c>
      <c r="CT508" s="104" t="str">
        <f aca="false">IF(ISBLANK($C508),"",$CG508)</f>
        <v/>
      </c>
      <c r="CU508" s="105" t="str">
        <f aca="false">IF(ISBLANK($C508),"",IFERROR(_xlfn.SWITCH($CT508,Constants!$B$11,COUNTA($C$9:$C$508)+2,Constants!$B$10,COUNTA($C$9:$C$508)+1,Constants!$B$9,COUNTA($C$9:$C$508)),$CT508))</f>
        <v/>
      </c>
      <c r="CV508" s="9"/>
      <c r="CW508" s="106" t="n">
        <f aca="false">IF(OR(ISNUMBER($CT508),$CT508=Constants!$B$11,$CT508=Constants!$B$9,$CT508=Constants!$B$10),1,0)</f>
        <v>0</v>
      </c>
      <c r="CX508" s="106" t="n">
        <v>500</v>
      </c>
      <c r="CY508" s="106" t="str">
        <f aca="false">IF(ISBLANK($C508),"",IF(ISNUMBER($CU508),$CU508+ROW($B508)/1000,""))</f>
        <v/>
      </c>
      <c r="CZ508" s="106" t="str">
        <f aca="false">IF(ISNUMBER($CY508),RANK($CY508,$CY$9:$CY$508,1),"")</f>
        <v/>
      </c>
      <c r="DA508" s="106" t="str">
        <f aca="false">IF(ISBLANK($C508),"",$B508)</f>
        <v/>
      </c>
      <c r="DB508" s="106" t="str">
        <f aca="false">IF(ISBLANK($C508),"",$C508)</f>
        <v/>
      </c>
      <c r="DC508" s="106" t="str">
        <f aca="false">IF(ISBLANK($C508),"",$D508)</f>
        <v/>
      </c>
      <c r="DD508" s="107" t="str">
        <f aca="false">$CR508</f>
        <v/>
      </c>
      <c r="DE508" s="108" t="str">
        <f aca="false">$CQ508</f>
        <v/>
      </c>
      <c r="DF508" s="106" t="str">
        <f aca="false">IF(ISBLANK($C508),"",$CT508)</f>
        <v/>
      </c>
      <c r="DG508" s="109" t="str">
        <f aca="false">IF($CX508&gt;$CW$8,"",VLOOKUP($CX508,$CZ$9:$DF$508,7,FALSE()))</f>
        <v/>
      </c>
      <c r="DH508" s="110" t="str">
        <f aca="false">IF($CX508&gt;$CW$8,"",VLOOKUP($CX508,$CZ$9:$DF$508,2,FALSE()))</f>
        <v/>
      </c>
      <c r="DI508" s="110" t="str">
        <f aca="false">IF($CX508&gt;$CW$8,"",VLOOKUP($CX508,$CZ$9:$DF$508,3,FALSE()))</f>
        <v/>
      </c>
      <c r="DJ508" s="110" t="str">
        <f aca="false">IF($CX508&gt;$CW$8,"",VLOOKUP($CX508,$CZ$9:$DF$508,4,FALSE()))</f>
        <v/>
      </c>
      <c r="DK508" s="110" t="str">
        <f aca="false">IF($CX508&gt;$CW$8,"",VLOOKUP($CX508,$CZ$9:$DF$508,5,FALSE()))</f>
        <v/>
      </c>
      <c r="DL508" s="111" t="str">
        <f aca="false">IF($CX508&gt;$CW$8,"",VLOOKUP($CX508,$CZ$9:$DF$508,6,FALSE()))</f>
        <v/>
      </c>
      <c r="DM508" s="75"/>
    </row>
    <row r="1048576" customFormat="false" ht="12.8" hidden="false" customHeight="true" outlineLevel="0" collapsed="false"/>
  </sheetData>
  <mergeCells count="108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I2:CI6"/>
    <mergeCell ref="CL2:CP2"/>
    <mergeCell ref="CY2:CY8"/>
    <mergeCell ref="CZ2:CZ8"/>
    <mergeCell ref="DA2:DA8"/>
    <mergeCell ref="DB2:DB8"/>
    <mergeCell ref="DC2:DC8"/>
    <mergeCell ref="DD2:DD8"/>
    <mergeCell ref="DE2:DE8"/>
    <mergeCell ref="DF2:DF8"/>
    <mergeCell ref="DG2:DL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H3"/>
    <mergeCell ref="BI3:BI8"/>
    <mergeCell ref="BJ3:BP3"/>
    <mergeCell ref="BS3:BW3"/>
    <mergeCell ref="CJ3:CJ8"/>
    <mergeCell ref="CL3:CL8"/>
    <mergeCell ref="CM3:CM8"/>
    <mergeCell ref="CN3:CN8"/>
    <mergeCell ref="CO3:CO8"/>
    <mergeCell ref="CP3:CP8"/>
    <mergeCell ref="CQ3:CQ8"/>
    <mergeCell ref="CR3:CR8"/>
    <mergeCell ref="CS3:CS8"/>
    <mergeCell ref="CT3:CT8"/>
    <mergeCell ref="CU3:CU8"/>
    <mergeCell ref="CV3:CV8"/>
    <mergeCell ref="DG3:DG8"/>
    <mergeCell ref="DH3:DH8"/>
    <mergeCell ref="DI3:DI8"/>
    <mergeCell ref="DJ3:DJ8"/>
    <mergeCell ref="DK3:DK8"/>
    <mergeCell ref="DL3:DL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J4:BJ8"/>
    <mergeCell ref="BK4:BK8"/>
    <mergeCell ref="BL4:BL8"/>
    <mergeCell ref="BM4:BM8"/>
    <mergeCell ref="BN4:BN8"/>
    <mergeCell ref="BO4:BO8"/>
    <mergeCell ref="BP4:BP8"/>
    <mergeCell ref="B5:D5"/>
    <mergeCell ref="B6:D6"/>
    <mergeCell ref="B7:C7"/>
    <mergeCell ref="BY7:CF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AND(P9=Constants!$B$3,N9=Constants!$B$4)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K9:CK508">
    <cfRule type="expression" priority="6" aboveAverage="0" equalAverage="0" bottom="0" percent="0" rank="0" text="" dxfId="3">
      <formula>LEN(TRIM(CK9))&gt;0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AND($BR9=Constants!$B$12,$BB9=TRUE(),AM9="")</formula>
    </cfRule>
  </conditionalFormatting>
  <conditionalFormatting sqref="O9:O508">
    <cfRule type="expression" priority="11" aboveAverage="0" equalAverage="0" bottom="0" percent="0" rank="0" text="" dxfId="1">
      <formula>AND($BR9=Constants!$B$12,$BB9=TRUE(),AND($AO9,AP9=""))</formula>
    </cfRule>
  </conditionalFormatting>
  <conditionalFormatting sqref="T9:U508">
    <cfRule type="expression" priority="12" aboveAverage="0" equalAverage="0" bottom="0" percent="0" rank="0" text="" dxfId="1">
      <formula>AND($BR9=Constants!$B$12,$BJ9=TRUE(),AU9="")</formula>
    </cfRule>
  </conditionalFormatting>
  <conditionalFormatting sqref="W9:W508">
    <cfRule type="expression" priority="13" aboveAverage="0" equalAverage="0" bottom="0" percent="0" rank="0" text="" dxfId="1">
      <formula>AND($BR9=Constants!$B$12,$BJ9=TRUE(),AND($AW9,AX9=""))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IF(ISBLANK($D$8), "", IF(NOT(ISNUMBER($D$8)),   0, IF($D$8&lt;Constants!$B$34,   0, IF($D$8&gt;Constants!$B$35,   0,   MOD($D$8,Constants!$B$36)=0 ))))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79" t="s">
        <v>86</v>
      </c>
      <c r="B1" s="179" t="s">
        <v>87</v>
      </c>
    </row>
    <row r="2" customFormat="false" ht="15.75" hidden="false" customHeight="false" outlineLevel="0" collapsed="false">
      <c r="A2" s="66" t="s">
        <v>88</v>
      </c>
    </row>
    <row r="3" customFormat="false" ht="15.75" hidden="false" customHeight="false" outlineLevel="0" collapsed="false">
      <c r="A3" s="179" t="b">
        <f aca="false">TRUE()</f>
        <v>1</v>
      </c>
      <c r="B3" s="179" t="s">
        <v>85</v>
      </c>
    </row>
    <row r="4" customFormat="false" ht="15.75" hidden="false" customHeight="false" outlineLevel="0" collapsed="false">
      <c r="A4" s="179" t="b">
        <f aca="false">FALSE()</f>
        <v>0</v>
      </c>
      <c r="B4" s="179" t="s">
        <v>89</v>
      </c>
    </row>
    <row r="5" customFormat="false" ht="15.75" hidden="false" customHeight="false" outlineLevel="0" collapsed="false">
      <c r="A5" s="179" t="s">
        <v>90</v>
      </c>
      <c r="B5" s="179" t="s">
        <v>91</v>
      </c>
    </row>
    <row r="6" customFormat="false" ht="15.75" hidden="false" customHeight="false" outlineLevel="0" collapsed="false">
      <c r="A6" s="179" t="s">
        <v>92</v>
      </c>
      <c r="B6" s="179" t="s">
        <v>93</v>
      </c>
    </row>
    <row r="7" customFormat="false" ht="15.75" hidden="false" customHeight="false" outlineLevel="0" collapsed="false">
      <c r="A7" s="66" t="s">
        <v>66</v>
      </c>
    </row>
    <row r="8" customFormat="false" ht="15.75" hidden="false" customHeight="false" outlineLevel="0" collapsed="false">
      <c r="A8" s="179" t="s">
        <v>94</v>
      </c>
      <c r="B8" s="179" t="s">
        <v>95</v>
      </c>
    </row>
    <row r="9" customFormat="false" ht="15.75" hidden="false" customHeight="false" outlineLevel="0" collapsed="false">
      <c r="A9" s="179" t="s">
        <v>96</v>
      </c>
      <c r="B9" s="179" t="s">
        <v>97</v>
      </c>
    </row>
    <row r="10" customFormat="false" ht="15.75" hidden="false" customHeight="false" outlineLevel="0" collapsed="false">
      <c r="A10" s="179" t="s">
        <v>98</v>
      </c>
      <c r="B10" s="179" t="s">
        <v>99</v>
      </c>
    </row>
    <row r="11" customFormat="false" ht="15.75" hidden="false" customHeight="false" outlineLevel="0" collapsed="false">
      <c r="A11" s="179" t="s">
        <v>100</v>
      </c>
      <c r="B11" s="179" t="s">
        <v>101</v>
      </c>
    </row>
    <row r="12" customFormat="false" ht="15.75" hidden="false" customHeight="false" outlineLevel="0" collapsed="false">
      <c r="A12" s="179" t="s">
        <v>102</v>
      </c>
      <c r="B12" s="179" t="s">
        <v>103</v>
      </c>
    </row>
    <row r="13" customFormat="false" ht="15.75" hidden="false" customHeight="false" outlineLevel="0" collapsed="false">
      <c r="A13" s="179" t="s">
        <v>104</v>
      </c>
      <c r="B13" s="179" t="n">
        <v>1</v>
      </c>
    </row>
    <row r="14" customFormat="false" ht="15.75" hidden="false" customHeight="false" outlineLevel="0" collapsed="false">
      <c r="A14" s="66" t="s">
        <v>105</v>
      </c>
    </row>
    <row r="15" customFormat="false" ht="15.75" hidden="false" customHeight="false" outlineLevel="0" collapsed="false">
      <c r="A15" s="179" t="s">
        <v>106</v>
      </c>
      <c r="B15" s="179" t="n">
        <v>150</v>
      </c>
    </row>
    <row r="16" customFormat="false" ht="15.75" hidden="false" customHeight="false" outlineLevel="0" collapsed="false">
      <c r="A16" s="179" t="s">
        <v>107</v>
      </c>
      <c r="B16" s="179" t="n">
        <v>300</v>
      </c>
    </row>
    <row r="17" customFormat="false" ht="15.75" hidden="false" customHeight="false" outlineLevel="0" collapsed="false">
      <c r="A17" s="179" t="s">
        <v>108</v>
      </c>
      <c r="B17" s="179" t="n">
        <v>50</v>
      </c>
    </row>
    <row r="18" customFormat="false" ht="15.75" hidden="false" customHeight="false" outlineLevel="0" collapsed="false">
      <c r="A18" s="179" t="s">
        <v>109</v>
      </c>
      <c r="B18" s="179" t="n">
        <v>5000</v>
      </c>
    </row>
    <row r="19" customFormat="false" ht="15.75" hidden="false" customHeight="false" outlineLevel="0" collapsed="false">
      <c r="A19" s="66" t="s">
        <v>57</v>
      </c>
    </row>
    <row r="20" customFormat="false" ht="15.75" hidden="false" customHeight="false" outlineLevel="0" collapsed="false">
      <c r="A20" s="179" t="s">
        <v>110</v>
      </c>
      <c r="B20" s="179" t="n">
        <v>100</v>
      </c>
    </row>
    <row r="21" customFormat="false" ht="15.75" hidden="false" customHeight="false" outlineLevel="0" collapsed="false">
      <c r="A21" s="179" t="s">
        <v>111</v>
      </c>
      <c r="B21" s="179" t="n">
        <v>2</v>
      </c>
    </row>
    <row r="22" customFormat="false" ht="15.75" hidden="false" customHeight="false" outlineLevel="0" collapsed="false">
      <c r="A22" s="179" t="s">
        <v>112</v>
      </c>
      <c r="B22" s="179" t="n">
        <v>1</v>
      </c>
    </row>
    <row r="23" customFormat="false" ht="15.75" hidden="false" customHeight="false" outlineLevel="0" collapsed="false">
      <c r="A23" s="179" t="s">
        <v>113</v>
      </c>
      <c r="B23" s="179" t="n">
        <v>400</v>
      </c>
    </row>
    <row r="24" customFormat="false" ht="15.75" hidden="false" customHeight="false" outlineLevel="0" collapsed="false">
      <c r="A24" s="179" t="s">
        <v>114</v>
      </c>
      <c r="B24" s="179" t="n">
        <v>2500</v>
      </c>
    </row>
    <row r="25" customFormat="false" ht="15.75" hidden="false" customHeight="false" outlineLevel="0" collapsed="false">
      <c r="A25" s="179" t="s">
        <v>115</v>
      </c>
      <c r="B25" s="179" t="n">
        <v>0.5</v>
      </c>
    </row>
    <row r="26" customFormat="false" ht="15.75" hidden="false" customHeight="false" outlineLevel="0" collapsed="false">
      <c r="A26" s="66" t="s">
        <v>116</v>
      </c>
    </row>
    <row r="27" customFormat="false" ht="15.75" hidden="false" customHeight="false" outlineLevel="0" collapsed="false">
      <c r="A27" s="179" t="s">
        <v>54</v>
      </c>
      <c r="B27" s="179" t="n">
        <v>-20</v>
      </c>
    </row>
    <row r="28" customFormat="false" ht="15.75" hidden="false" customHeight="false" outlineLevel="0" collapsed="false">
      <c r="A28" s="179" t="s">
        <v>117</v>
      </c>
      <c r="B28" s="179" t="n">
        <v>1.5</v>
      </c>
    </row>
    <row r="29" customFormat="false" ht="15.75" hidden="false" customHeight="false" outlineLevel="0" collapsed="false">
      <c r="A29" s="179" t="s">
        <v>118</v>
      </c>
      <c r="B29" s="179" t="n">
        <v>35</v>
      </c>
    </row>
    <row r="30" customFormat="false" ht="15.75" hidden="false" customHeight="false" outlineLevel="0" collapsed="false">
      <c r="A30" s="66" t="s">
        <v>1</v>
      </c>
    </row>
    <row r="31" customFormat="false" ht="15.75" hidden="false" customHeight="false" outlineLevel="0" collapsed="false">
      <c r="A31" s="179" t="s">
        <v>119</v>
      </c>
      <c r="B31" s="179" t="n">
        <f aca="false">8*60</f>
        <v>480</v>
      </c>
    </row>
    <row r="32" customFormat="false" ht="15.75" hidden="false" customHeight="false" outlineLevel="0" collapsed="false">
      <c r="A32" s="179" t="s">
        <v>120</v>
      </c>
      <c r="B32" s="179" t="n">
        <v>30</v>
      </c>
    </row>
    <row r="33" customFormat="false" ht="15.75" hidden="false" customHeight="false" outlineLevel="0" collapsed="false">
      <c r="A33" s="66" t="s">
        <v>121</v>
      </c>
    </row>
    <row r="34" customFormat="false" ht="15.75" hidden="false" customHeight="false" outlineLevel="0" collapsed="false">
      <c r="A34" s="179" t="s">
        <v>122</v>
      </c>
      <c r="B34" s="179" t="n">
        <v>10</v>
      </c>
    </row>
    <row r="35" customFormat="false" ht="15.75" hidden="false" customHeight="false" outlineLevel="0" collapsed="false">
      <c r="A35" s="179" t="s">
        <v>123</v>
      </c>
      <c r="B35" s="179" t="n">
        <v>20</v>
      </c>
    </row>
    <row r="36" customFormat="false" ht="15.75" hidden="false" customHeight="false" outlineLevel="0" collapsed="false">
      <c r="A36" s="179" t="s">
        <v>124</v>
      </c>
      <c r="B36" s="179" t="n">
        <v>0.5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0" t="s">
        <v>34</v>
      </c>
      <c r="B1" s="180" t="s">
        <v>35</v>
      </c>
      <c r="C1" s="180" t="s">
        <v>36</v>
      </c>
      <c r="D1" s="180" t="s">
        <v>66</v>
      </c>
      <c r="E1" s="180" t="s">
        <v>29</v>
      </c>
      <c r="F1" s="180" t="s">
        <v>31</v>
      </c>
      <c r="G1" s="180" t="s">
        <v>30</v>
      </c>
      <c r="H1" s="180" t="s">
        <v>33</v>
      </c>
      <c r="I1" s="180" t="s">
        <v>32</v>
      </c>
    </row>
    <row r="2" customFormat="false" ht="15.75" hidden="false" customHeight="false" outlineLevel="0" collapsed="false">
      <c r="A2" s="181" t="n">
        <f aca="false">ExportRaw!$F2</f>
        <v>0</v>
      </c>
      <c r="B2" s="181" t="str">
        <f aca="false">ExportRaw!$C2</f>
        <v>c</v>
      </c>
      <c r="C2" s="181" t="n">
        <f aca="false">ExportRaw!$G2</f>
        <v>0</v>
      </c>
      <c r="D2" s="181" t="str">
        <f aca="false">ExportRaw!$E2</f>
        <v>C</v>
      </c>
      <c r="E2" s="182" t="n">
        <f aca="false">ExportRaw!$D2</f>
        <v>201.5</v>
      </c>
      <c r="F2" s="181" t="n">
        <f aca="false">ExportRaw!$H2</f>
        <v>0</v>
      </c>
      <c r="G2" s="183" t="n">
        <f aca="false">ExportRaw!$I2</f>
        <v>1</v>
      </c>
      <c r="H2" s="181" t="n">
        <f aca="false">ExportRaw!$A2</f>
        <v>1</v>
      </c>
      <c r="I2" s="181" t="n">
        <f aca="false">ExportRaw!$B2</f>
        <v>1</v>
      </c>
    </row>
    <row r="3" customFormat="false" ht="15.75" hidden="false" customHeight="false" outlineLevel="0" collapsed="false">
      <c r="A3" s="181" t="n">
        <f aca="false">ExportRaw!$F3</f>
        <v>0</v>
      </c>
      <c r="B3" s="181" t="n">
        <f aca="false">ExportRaw!$C3</f>
        <v>0</v>
      </c>
      <c r="C3" s="181" t="n">
        <f aca="false">ExportRaw!$G3</f>
        <v>0</v>
      </c>
      <c r="D3" s="181" t="str">
        <f aca="false">ExportRaw!$E3</f>
        <v/>
      </c>
      <c r="E3" s="182" t="str">
        <f aca="false">ExportRaw!$D3</f>
        <v/>
      </c>
      <c r="F3" s="181" t="str">
        <f aca="false">ExportRaw!$H3</f>
        <v/>
      </c>
      <c r="G3" s="183" t="str">
        <f aca="false">ExportRaw!$I3</f>
        <v/>
      </c>
      <c r="H3" s="181" t="str">
        <f aca="false">ExportRaw!$A3</f>
        <v/>
      </c>
      <c r="I3" s="181" t="str">
        <f aca="false">ExportRaw!$B3</f>
        <v/>
      </c>
    </row>
    <row r="4" customFormat="false" ht="15.75" hidden="false" customHeight="false" outlineLevel="0" collapsed="false">
      <c r="A4" s="181" t="n">
        <f aca="false">ExportRaw!$F4</f>
        <v>0</v>
      </c>
      <c r="B4" s="181" t="n">
        <f aca="false">ExportRaw!$C4</f>
        <v>0</v>
      </c>
      <c r="C4" s="181" t="n">
        <f aca="false">ExportRaw!$G4</f>
        <v>0</v>
      </c>
      <c r="D4" s="181" t="str">
        <f aca="false">ExportRaw!$E4</f>
        <v/>
      </c>
      <c r="E4" s="182" t="str">
        <f aca="false">ExportRaw!$D4</f>
        <v/>
      </c>
      <c r="F4" s="181" t="str">
        <f aca="false">ExportRaw!$H4</f>
        <v/>
      </c>
      <c r="G4" s="183" t="str">
        <f aca="false">ExportRaw!$I4</f>
        <v/>
      </c>
      <c r="H4" s="181" t="str">
        <f aca="false">ExportRaw!$A4</f>
        <v/>
      </c>
      <c r="I4" s="181" t="str">
        <f aca="false">ExportRaw!$B4</f>
        <v/>
      </c>
    </row>
    <row r="5" customFormat="false" ht="15.75" hidden="false" customHeight="false" outlineLevel="0" collapsed="false">
      <c r="A5" s="181" t="n">
        <f aca="false">ExportRaw!$F5</f>
        <v>0</v>
      </c>
      <c r="B5" s="181" t="n">
        <f aca="false">ExportRaw!$C5</f>
        <v>0</v>
      </c>
      <c r="C5" s="181" t="n">
        <f aca="false">ExportRaw!$G5</f>
        <v>0</v>
      </c>
      <c r="D5" s="181" t="str">
        <f aca="false">ExportRaw!$E5</f>
        <v/>
      </c>
      <c r="E5" s="182" t="str">
        <f aca="false">ExportRaw!$D5</f>
        <v/>
      </c>
      <c r="F5" s="181" t="str">
        <f aca="false">ExportRaw!$H5</f>
        <v/>
      </c>
      <c r="G5" s="183" t="str">
        <f aca="false">ExportRaw!$I5</f>
        <v/>
      </c>
      <c r="H5" s="181" t="str">
        <f aca="false">ExportRaw!$A5</f>
        <v/>
      </c>
      <c r="I5" s="181" t="str">
        <f aca="false">ExportRaw!$B5</f>
        <v/>
      </c>
    </row>
    <row r="6" customFormat="false" ht="15.75" hidden="false" customHeight="false" outlineLevel="0" collapsed="false">
      <c r="A6" s="181" t="n">
        <f aca="false">ExportRaw!$F6</f>
        <v>0</v>
      </c>
      <c r="B6" s="181" t="n">
        <f aca="false">ExportRaw!$C6</f>
        <v>0</v>
      </c>
      <c r="C6" s="181" t="n">
        <f aca="false">ExportRaw!$G6</f>
        <v>0</v>
      </c>
      <c r="D6" s="181" t="str">
        <f aca="false">ExportRaw!$E6</f>
        <v/>
      </c>
      <c r="E6" s="182" t="str">
        <f aca="false">ExportRaw!$D6</f>
        <v/>
      </c>
      <c r="F6" s="181" t="str">
        <f aca="false">ExportRaw!$H6</f>
        <v/>
      </c>
      <c r="G6" s="183" t="str">
        <f aca="false">ExportRaw!$I6</f>
        <v/>
      </c>
      <c r="H6" s="181" t="str">
        <f aca="false">ExportRaw!$A6</f>
        <v/>
      </c>
      <c r="I6" s="181" t="str">
        <f aca="false">ExportRaw!$B6</f>
        <v/>
      </c>
    </row>
    <row r="7" customFormat="false" ht="15.75" hidden="false" customHeight="false" outlineLevel="0" collapsed="false">
      <c r="A7" s="181" t="n">
        <f aca="false">ExportRaw!$F7</f>
        <v>0</v>
      </c>
      <c r="B7" s="181" t="n">
        <f aca="false">ExportRaw!$C7</f>
        <v>0</v>
      </c>
      <c r="C7" s="181" t="n">
        <f aca="false">ExportRaw!$G7</f>
        <v>0</v>
      </c>
      <c r="D7" s="181" t="str">
        <f aca="false">ExportRaw!$E7</f>
        <v/>
      </c>
      <c r="E7" s="182" t="str">
        <f aca="false">ExportRaw!$D7</f>
        <v/>
      </c>
      <c r="F7" s="181" t="str">
        <f aca="false">ExportRaw!$H7</f>
        <v/>
      </c>
      <c r="G7" s="183" t="str">
        <f aca="false">ExportRaw!$I7</f>
        <v/>
      </c>
      <c r="H7" s="181" t="str">
        <f aca="false">ExportRaw!$A7</f>
        <v/>
      </c>
      <c r="I7" s="181" t="str">
        <f aca="false">ExportRaw!$B7</f>
        <v/>
      </c>
    </row>
    <row r="8" customFormat="false" ht="15.75" hidden="false" customHeight="false" outlineLevel="0" collapsed="false">
      <c r="A8" s="181" t="n">
        <f aca="false">ExportRaw!$F8</f>
        <v>0</v>
      </c>
      <c r="B8" s="181" t="n">
        <f aca="false">ExportRaw!$C8</f>
        <v>0</v>
      </c>
      <c r="C8" s="181" t="n">
        <f aca="false">ExportRaw!$G8</f>
        <v>0</v>
      </c>
      <c r="D8" s="181" t="str">
        <f aca="false">ExportRaw!$E8</f>
        <v/>
      </c>
      <c r="E8" s="182" t="str">
        <f aca="false">ExportRaw!$D8</f>
        <v/>
      </c>
      <c r="F8" s="181" t="str">
        <f aca="false">ExportRaw!$H8</f>
        <v/>
      </c>
      <c r="G8" s="183" t="str">
        <f aca="false">ExportRaw!$I8</f>
        <v/>
      </c>
      <c r="H8" s="181" t="str">
        <f aca="false">ExportRaw!$A8</f>
        <v/>
      </c>
      <c r="I8" s="181" t="str">
        <f aca="false">ExportRaw!$B8</f>
        <v/>
      </c>
    </row>
    <row r="9" customFormat="false" ht="15.75" hidden="false" customHeight="false" outlineLevel="0" collapsed="false">
      <c r="A9" s="181" t="n">
        <f aca="false">ExportRaw!$F9</f>
        <v>0</v>
      </c>
      <c r="B9" s="181" t="n">
        <f aca="false">ExportRaw!$C9</f>
        <v>0</v>
      </c>
      <c r="C9" s="181" t="n">
        <f aca="false">ExportRaw!$G9</f>
        <v>0</v>
      </c>
      <c r="D9" s="181" t="str">
        <f aca="false">ExportRaw!$E9</f>
        <v/>
      </c>
      <c r="E9" s="182" t="str">
        <f aca="false">ExportRaw!$D9</f>
        <v/>
      </c>
      <c r="F9" s="181" t="str">
        <f aca="false">ExportRaw!$H9</f>
        <v/>
      </c>
      <c r="G9" s="183" t="str">
        <f aca="false">ExportRaw!$I9</f>
        <v/>
      </c>
      <c r="H9" s="181" t="str">
        <f aca="false">ExportRaw!$A9</f>
        <v/>
      </c>
      <c r="I9" s="181" t="str">
        <f aca="false">ExportRaw!$B9</f>
        <v/>
      </c>
    </row>
    <row r="10" customFormat="false" ht="15.75" hidden="false" customHeight="false" outlineLevel="0" collapsed="false">
      <c r="A10" s="181" t="n">
        <f aca="false">ExportRaw!$F10</f>
        <v>0</v>
      </c>
      <c r="B10" s="181" t="n">
        <f aca="false">ExportRaw!$C10</f>
        <v>0</v>
      </c>
      <c r="C10" s="181" t="n">
        <f aca="false">ExportRaw!$G10</f>
        <v>0</v>
      </c>
      <c r="D10" s="181" t="str">
        <f aca="false">ExportRaw!$E10</f>
        <v/>
      </c>
      <c r="E10" s="182" t="str">
        <f aca="false">ExportRaw!$D10</f>
        <v/>
      </c>
      <c r="F10" s="181" t="str">
        <f aca="false">ExportRaw!$H10</f>
        <v/>
      </c>
      <c r="G10" s="183" t="str">
        <f aca="false">ExportRaw!$I10</f>
        <v/>
      </c>
      <c r="H10" s="181" t="str">
        <f aca="false">ExportRaw!$A10</f>
        <v/>
      </c>
      <c r="I10" s="181" t="str">
        <f aca="false">ExportRaw!$B10</f>
        <v/>
      </c>
    </row>
    <row r="11" customFormat="false" ht="15.75" hidden="false" customHeight="false" outlineLevel="0" collapsed="false">
      <c r="A11" s="181" t="n">
        <f aca="false">ExportRaw!$F11</f>
        <v>0</v>
      </c>
      <c r="B11" s="181" t="n">
        <f aca="false">ExportRaw!$C11</f>
        <v>0</v>
      </c>
      <c r="C11" s="181" t="n">
        <f aca="false">ExportRaw!$G11</f>
        <v>0</v>
      </c>
      <c r="D11" s="181" t="str">
        <f aca="false">ExportRaw!$E11</f>
        <v/>
      </c>
      <c r="E11" s="182" t="str">
        <f aca="false">ExportRaw!$D11</f>
        <v/>
      </c>
      <c r="F11" s="181" t="str">
        <f aca="false">ExportRaw!$H11</f>
        <v/>
      </c>
      <c r="G11" s="183" t="str">
        <f aca="false">ExportRaw!$I11</f>
        <v/>
      </c>
      <c r="H11" s="181" t="str">
        <f aca="false">ExportRaw!$A11</f>
        <v/>
      </c>
      <c r="I11" s="181" t="str">
        <f aca="false">ExportRaw!$B11</f>
        <v/>
      </c>
    </row>
    <row r="12" customFormat="false" ht="15.75" hidden="false" customHeight="false" outlineLevel="0" collapsed="false">
      <c r="A12" s="181" t="n">
        <f aca="false">ExportRaw!$F12</f>
        <v>0</v>
      </c>
      <c r="B12" s="181" t="n">
        <f aca="false">ExportRaw!$C12</f>
        <v>0</v>
      </c>
      <c r="C12" s="181" t="n">
        <f aca="false">ExportRaw!$G12</f>
        <v>0</v>
      </c>
      <c r="D12" s="181" t="str">
        <f aca="false">ExportRaw!$E12</f>
        <v/>
      </c>
      <c r="E12" s="182" t="str">
        <f aca="false">ExportRaw!$D12</f>
        <v/>
      </c>
      <c r="F12" s="181" t="str">
        <f aca="false">ExportRaw!$H12</f>
        <v/>
      </c>
      <c r="G12" s="183" t="str">
        <f aca="false">ExportRaw!$I12</f>
        <v/>
      </c>
      <c r="H12" s="181" t="str">
        <f aca="false">ExportRaw!$A12</f>
        <v/>
      </c>
      <c r="I12" s="181" t="str">
        <f aca="false">ExportRaw!$B12</f>
        <v/>
      </c>
    </row>
    <row r="13" customFormat="false" ht="15.75" hidden="false" customHeight="false" outlineLevel="0" collapsed="false">
      <c r="A13" s="181" t="n">
        <f aca="false">ExportRaw!$F13</f>
        <v>0</v>
      </c>
      <c r="B13" s="181" t="n">
        <f aca="false">ExportRaw!$C13</f>
        <v>0</v>
      </c>
      <c r="C13" s="181" t="n">
        <f aca="false">ExportRaw!$G13</f>
        <v>0</v>
      </c>
      <c r="D13" s="181" t="str">
        <f aca="false">ExportRaw!$E13</f>
        <v/>
      </c>
      <c r="E13" s="182" t="str">
        <f aca="false">ExportRaw!$D13</f>
        <v/>
      </c>
      <c r="F13" s="181" t="str">
        <f aca="false">ExportRaw!$H13</f>
        <v/>
      </c>
      <c r="G13" s="183" t="str">
        <f aca="false">ExportRaw!$I13</f>
        <v/>
      </c>
      <c r="H13" s="181" t="str">
        <f aca="false">ExportRaw!$A13</f>
        <v/>
      </c>
      <c r="I13" s="181" t="str">
        <f aca="false">ExportRaw!$B13</f>
        <v/>
      </c>
    </row>
    <row r="14" customFormat="false" ht="15.75" hidden="false" customHeight="false" outlineLevel="0" collapsed="false">
      <c r="A14" s="181" t="n">
        <f aca="false">ExportRaw!$F14</f>
        <v>0</v>
      </c>
      <c r="B14" s="181" t="n">
        <f aca="false">ExportRaw!$C14</f>
        <v>0</v>
      </c>
      <c r="C14" s="181" t="n">
        <f aca="false">ExportRaw!$G14</f>
        <v>0</v>
      </c>
      <c r="D14" s="181" t="str">
        <f aca="false">ExportRaw!$E14</f>
        <v/>
      </c>
      <c r="E14" s="182" t="str">
        <f aca="false">ExportRaw!$D14</f>
        <v/>
      </c>
      <c r="F14" s="181" t="str">
        <f aca="false">ExportRaw!$H14</f>
        <v/>
      </c>
      <c r="G14" s="183" t="str">
        <f aca="false">ExportRaw!$I14</f>
        <v/>
      </c>
      <c r="H14" s="181" t="str">
        <f aca="false">ExportRaw!$A14</f>
        <v/>
      </c>
      <c r="I14" s="181" t="str">
        <f aca="false">ExportRaw!$B14</f>
        <v/>
      </c>
    </row>
    <row r="15" customFormat="false" ht="15.75" hidden="false" customHeight="false" outlineLevel="0" collapsed="false">
      <c r="A15" s="181" t="n">
        <f aca="false">ExportRaw!$F15</f>
        <v>0</v>
      </c>
      <c r="B15" s="181" t="n">
        <f aca="false">ExportRaw!$C15</f>
        <v>0</v>
      </c>
      <c r="C15" s="181" t="n">
        <f aca="false">ExportRaw!$G15</f>
        <v>0</v>
      </c>
      <c r="D15" s="181" t="str">
        <f aca="false">ExportRaw!$E15</f>
        <v/>
      </c>
      <c r="E15" s="182" t="str">
        <f aca="false">ExportRaw!$D15</f>
        <v/>
      </c>
      <c r="F15" s="181" t="str">
        <f aca="false">ExportRaw!$H15</f>
        <v/>
      </c>
      <c r="G15" s="183" t="str">
        <f aca="false">ExportRaw!$I15</f>
        <v/>
      </c>
      <c r="H15" s="181" t="str">
        <f aca="false">ExportRaw!$A15</f>
        <v/>
      </c>
      <c r="I15" s="181" t="str">
        <f aca="false">ExportRaw!$B15</f>
        <v/>
      </c>
    </row>
    <row r="16" customFormat="false" ht="15.75" hidden="false" customHeight="false" outlineLevel="0" collapsed="false">
      <c r="A16" s="181" t="n">
        <f aca="false">ExportRaw!$F16</f>
        <v>0</v>
      </c>
      <c r="B16" s="181" t="n">
        <f aca="false">ExportRaw!$C16</f>
        <v>0</v>
      </c>
      <c r="C16" s="181" t="n">
        <f aca="false">ExportRaw!$G16</f>
        <v>0</v>
      </c>
      <c r="D16" s="181" t="str">
        <f aca="false">ExportRaw!$E16</f>
        <v/>
      </c>
      <c r="E16" s="182" t="str">
        <f aca="false">ExportRaw!$D16</f>
        <v/>
      </c>
      <c r="F16" s="181" t="str">
        <f aca="false">ExportRaw!$H16</f>
        <v/>
      </c>
      <c r="G16" s="183" t="str">
        <f aca="false">ExportRaw!$I16</f>
        <v/>
      </c>
      <c r="H16" s="181" t="str">
        <f aca="false">ExportRaw!$A16</f>
        <v/>
      </c>
      <c r="I16" s="181" t="str">
        <f aca="false">ExportRaw!$B16</f>
        <v/>
      </c>
    </row>
    <row r="17" customFormat="false" ht="15.75" hidden="false" customHeight="false" outlineLevel="0" collapsed="false">
      <c r="A17" s="181" t="n">
        <f aca="false">ExportRaw!$F17</f>
        <v>0</v>
      </c>
      <c r="B17" s="181" t="n">
        <f aca="false">ExportRaw!$C17</f>
        <v>0</v>
      </c>
      <c r="C17" s="181" t="n">
        <f aca="false">ExportRaw!$G17</f>
        <v>0</v>
      </c>
      <c r="D17" s="181" t="str">
        <f aca="false">ExportRaw!$E17</f>
        <v/>
      </c>
      <c r="E17" s="182" t="str">
        <f aca="false">ExportRaw!$D17</f>
        <v/>
      </c>
      <c r="F17" s="181" t="str">
        <f aca="false">ExportRaw!$H17</f>
        <v/>
      </c>
      <c r="G17" s="183" t="str">
        <f aca="false">ExportRaw!$I17</f>
        <v/>
      </c>
      <c r="H17" s="181" t="str">
        <f aca="false">ExportRaw!$A17</f>
        <v/>
      </c>
      <c r="I17" s="181" t="str">
        <f aca="false">ExportRaw!$B17</f>
        <v/>
      </c>
    </row>
    <row r="18" customFormat="false" ht="15.75" hidden="false" customHeight="false" outlineLevel="0" collapsed="false">
      <c r="A18" s="181" t="n">
        <f aca="false">ExportRaw!$F18</f>
        <v>0</v>
      </c>
      <c r="B18" s="181" t="n">
        <f aca="false">ExportRaw!$C18</f>
        <v>0</v>
      </c>
      <c r="C18" s="181" t="n">
        <f aca="false">ExportRaw!$G18</f>
        <v>0</v>
      </c>
      <c r="D18" s="181" t="str">
        <f aca="false">ExportRaw!$E18</f>
        <v/>
      </c>
      <c r="E18" s="182" t="str">
        <f aca="false">ExportRaw!$D18</f>
        <v/>
      </c>
      <c r="F18" s="181" t="str">
        <f aca="false">ExportRaw!$H18</f>
        <v/>
      </c>
      <c r="G18" s="183" t="str">
        <f aca="false">ExportRaw!$I18</f>
        <v/>
      </c>
      <c r="H18" s="181" t="str">
        <f aca="false">ExportRaw!$A18</f>
        <v/>
      </c>
      <c r="I18" s="181" t="str">
        <f aca="false">ExportRaw!$B18</f>
        <v/>
      </c>
    </row>
    <row r="19" customFormat="false" ht="15.75" hidden="false" customHeight="false" outlineLevel="0" collapsed="false">
      <c r="A19" s="181" t="n">
        <f aca="false">ExportRaw!$F19</f>
        <v>0</v>
      </c>
      <c r="B19" s="181" t="n">
        <f aca="false">ExportRaw!$C19</f>
        <v>0</v>
      </c>
      <c r="C19" s="181" t="n">
        <f aca="false">ExportRaw!$G19</f>
        <v>0</v>
      </c>
      <c r="D19" s="181" t="str">
        <f aca="false">ExportRaw!$E19</f>
        <v/>
      </c>
      <c r="E19" s="182" t="str">
        <f aca="false">ExportRaw!$D19</f>
        <v/>
      </c>
      <c r="F19" s="181" t="str">
        <f aca="false">ExportRaw!$H19</f>
        <v/>
      </c>
      <c r="G19" s="183" t="str">
        <f aca="false">ExportRaw!$I19</f>
        <v/>
      </c>
      <c r="H19" s="181" t="str">
        <f aca="false">ExportRaw!$A19</f>
        <v/>
      </c>
      <c r="I19" s="181" t="str">
        <f aca="false">ExportRaw!$B19</f>
        <v/>
      </c>
    </row>
    <row r="20" customFormat="false" ht="15.75" hidden="false" customHeight="false" outlineLevel="0" collapsed="false">
      <c r="A20" s="181" t="n">
        <f aca="false">ExportRaw!$F20</f>
        <v>0</v>
      </c>
      <c r="B20" s="181" t="n">
        <f aca="false">ExportRaw!$C20</f>
        <v>0</v>
      </c>
      <c r="C20" s="181" t="n">
        <f aca="false">ExportRaw!$G20</f>
        <v>0</v>
      </c>
      <c r="D20" s="181" t="str">
        <f aca="false">ExportRaw!$E20</f>
        <v/>
      </c>
      <c r="E20" s="182" t="str">
        <f aca="false">ExportRaw!$D20</f>
        <v/>
      </c>
      <c r="F20" s="181" t="str">
        <f aca="false">ExportRaw!$H20</f>
        <v/>
      </c>
      <c r="G20" s="183" t="str">
        <f aca="false">ExportRaw!$I20</f>
        <v/>
      </c>
      <c r="H20" s="181" t="str">
        <f aca="false">ExportRaw!$A20</f>
        <v/>
      </c>
      <c r="I20" s="181" t="str">
        <f aca="false">ExportRaw!$B20</f>
        <v/>
      </c>
    </row>
    <row r="21" customFormat="false" ht="15.75" hidden="false" customHeight="false" outlineLevel="0" collapsed="false">
      <c r="A21" s="181" t="n">
        <f aca="false">ExportRaw!$F21</f>
        <v>0</v>
      </c>
      <c r="B21" s="181" t="n">
        <f aca="false">ExportRaw!$C21</f>
        <v>0</v>
      </c>
      <c r="C21" s="181" t="n">
        <f aca="false">ExportRaw!$G21</f>
        <v>0</v>
      </c>
      <c r="D21" s="181" t="str">
        <f aca="false">ExportRaw!$E21</f>
        <v/>
      </c>
      <c r="E21" s="182" t="str">
        <f aca="false">ExportRaw!$D21</f>
        <v/>
      </c>
      <c r="F21" s="181" t="str">
        <f aca="false">ExportRaw!$H21</f>
        <v/>
      </c>
      <c r="G21" s="183" t="str">
        <f aca="false">ExportRaw!$I21</f>
        <v/>
      </c>
      <c r="H21" s="181" t="str">
        <f aca="false">ExportRaw!$A21</f>
        <v/>
      </c>
      <c r="I21" s="181" t="str">
        <f aca="false">ExportRaw!$B21</f>
        <v/>
      </c>
    </row>
    <row r="22" customFormat="false" ht="15.75" hidden="false" customHeight="false" outlineLevel="0" collapsed="false">
      <c r="A22" s="181" t="n">
        <f aca="false">ExportRaw!$F22</f>
        <v>0</v>
      </c>
      <c r="B22" s="181" t="n">
        <f aca="false">ExportRaw!$C22</f>
        <v>0</v>
      </c>
      <c r="C22" s="181" t="n">
        <f aca="false">ExportRaw!$G22</f>
        <v>0</v>
      </c>
      <c r="D22" s="181" t="str">
        <f aca="false">ExportRaw!$E22</f>
        <v/>
      </c>
      <c r="E22" s="182" t="str">
        <f aca="false">ExportRaw!$D22</f>
        <v/>
      </c>
      <c r="F22" s="181" t="str">
        <f aca="false">ExportRaw!$H22</f>
        <v/>
      </c>
      <c r="G22" s="183" t="str">
        <f aca="false">ExportRaw!$I22</f>
        <v/>
      </c>
      <c r="H22" s="181" t="str">
        <f aca="false">ExportRaw!$A22</f>
        <v/>
      </c>
      <c r="I22" s="181" t="str">
        <f aca="false">ExportRaw!$B22</f>
        <v/>
      </c>
    </row>
    <row r="23" customFormat="false" ht="15.75" hidden="false" customHeight="false" outlineLevel="0" collapsed="false">
      <c r="A23" s="181" t="n">
        <f aca="false">ExportRaw!$F23</f>
        <v>0</v>
      </c>
      <c r="B23" s="181" t="n">
        <f aca="false">ExportRaw!$C23</f>
        <v>0</v>
      </c>
      <c r="C23" s="181" t="n">
        <f aca="false">ExportRaw!$G23</f>
        <v>0</v>
      </c>
      <c r="D23" s="181" t="str">
        <f aca="false">ExportRaw!$E23</f>
        <v/>
      </c>
      <c r="E23" s="182" t="str">
        <f aca="false">ExportRaw!$D23</f>
        <v/>
      </c>
      <c r="F23" s="181" t="str">
        <f aca="false">ExportRaw!$H23</f>
        <v/>
      </c>
      <c r="G23" s="183" t="str">
        <f aca="false">ExportRaw!$I23</f>
        <v/>
      </c>
      <c r="H23" s="181" t="str">
        <f aca="false">ExportRaw!$A23</f>
        <v/>
      </c>
      <c r="I23" s="181" t="str">
        <f aca="false">ExportRaw!$B23</f>
        <v/>
      </c>
    </row>
    <row r="24" customFormat="false" ht="15.75" hidden="false" customHeight="false" outlineLevel="0" collapsed="false">
      <c r="A24" s="181" t="n">
        <f aca="false">ExportRaw!$F24</f>
        <v>0</v>
      </c>
      <c r="B24" s="181" t="n">
        <f aca="false">ExportRaw!$C24</f>
        <v>0</v>
      </c>
      <c r="C24" s="181" t="n">
        <f aca="false">ExportRaw!$G24</f>
        <v>0</v>
      </c>
      <c r="D24" s="181" t="str">
        <f aca="false">ExportRaw!$E24</f>
        <v/>
      </c>
      <c r="E24" s="182" t="str">
        <f aca="false">ExportRaw!$D24</f>
        <v/>
      </c>
      <c r="F24" s="181" t="str">
        <f aca="false">ExportRaw!$H24</f>
        <v/>
      </c>
      <c r="G24" s="183" t="str">
        <f aca="false">ExportRaw!$I24</f>
        <v/>
      </c>
      <c r="H24" s="181" t="str">
        <f aca="false">ExportRaw!$A24</f>
        <v/>
      </c>
      <c r="I24" s="181" t="str">
        <f aca="false">ExportRaw!$B24</f>
        <v/>
      </c>
    </row>
    <row r="25" customFormat="false" ht="15.75" hidden="false" customHeight="false" outlineLevel="0" collapsed="false">
      <c r="A25" s="181" t="n">
        <f aca="false">ExportRaw!$F25</f>
        <v>0</v>
      </c>
      <c r="B25" s="181" t="n">
        <f aca="false">ExportRaw!$C25</f>
        <v>0</v>
      </c>
      <c r="C25" s="181" t="n">
        <f aca="false">ExportRaw!$G25</f>
        <v>0</v>
      </c>
      <c r="D25" s="181" t="str">
        <f aca="false">ExportRaw!$E25</f>
        <v/>
      </c>
      <c r="E25" s="182" t="str">
        <f aca="false">ExportRaw!$D25</f>
        <v/>
      </c>
      <c r="F25" s="181" t="str">
        <f aca="false">ExportRaw!$H25</f>
        <v/>
      </c>
      <c r="G25" s="183" t="str">
        <f aca="false">ExportRaw!$I25</f>
        <v/>
      </c>
      <c r="H25" s="181" t="str">
        <f aca="false">ExportRaw!$A25</f>
        <v/>
      </c>
      <c r="I25" s="181" t="str">
        <f aca="false">ExportRaw!$B25</f>
        <v/>
      </c>
    </row>
    <row r="26" customFormat="false" ht="15.75" hidden="false" customHeight="false" outlineLevel="0" collapsed="false">
      <c r="A26" s="181" t="n">
        <f aca="false">ExportRaw!$F26</f>
        <v>0</v>
      </c>
      <c r="B26" s="181" t="n">
        <f aca="false">ExportRaw!$C26</f>
        <v>0</v>
      </c>
      <c r="C26" s="181" t="n">
        <f aca="false">ExportRaw!$G26</f>
        <v>0</v>
      </c>
      <c r="D26" s="181" t="str">
        <f aca="false">ExportRaw!$E26</f>
        <v/>
      </c>
      <c r="E26" s="182" t="str">
        <f aca="false">ExportRaw!$D26</f>
        <v/>
      </c>
      <c r="F26" s="181" t="str">
        <f aca="false">ExportRaw!$H26</f>
        <v/>
      </c>
      <c r="G26" s="183" t="str">
        <f aca="false">ExportRaw!$I26</f>
        <v/>
      </c>
      <c r="H26" s="181" t="str">
        <f aca="false">ExportRaw!$A26</f>
        <v/>
      </c>
      <c r="I26" s="181" t="str">
        <f aca="false">ExportRaw!$B26</f>
        <v/>
      </c>
    </row>
    <row r="27" customFormat="false" ht="15.75" hidden="false" customHeight="false" outlineLevel="0" collapsed="false">
      <c r="A27" s="181" t="n">
        <f aca="false">ExportRaw!$F27</f>
        <v>0</v>
      </c>
      <c r="B27" s="181" t="n">
        <f aca="false">ExportRaw!$C27</f>
        <v>0</v>
      </c>
      <c r="C27" s="181" t="n">
        <f aca="false">ExportRaw!$G27</f>
        <v>0</v>
      </c>
      <c r="D27" s="181" t="str">
        <f aca="false">ExportRaw!$E27</f>
        <v/>
      </c>
      <c r="E27" s="182" t="str">
        <f aca="false">ExportRaw!$D27</f>
        <v/>
      </c>
      <c r="F27" s="181" t="str">
        <f aca="false">ExportRaw!$H27</f>
        <v/>
      </c>
      <c r="G27" s="183" t="str">
        <f aca="false">ExportRaw!$I27</f>
        <v/>
      </c>
      <c r="H27" s="181" t="str">
        <f aca="false">ExportRaw!$A27</f>
        <v/>
      </c>
      <c r="I27" s="181" t="str">
        <f aca="false">ExportRaw!$B27</f>
        <v/>
      </c>
    </row>
    <row r="28" customFormat="false" ht="15.75" hidden="false" customHeight="false" outlineLevel="0" collapsed="false">
      <c r="A28" s="181" t="n">
        <f aca="false">ExportRaw!$F28</f>
        <v>0</v>
      </c>
      <c r="B28" s="181" t="n">
        <f aca="false">ExportRaw!$C28</f>
        <v>0</v>
      </c>
      <c r="C28" s="181" t="n">
        <f aca="false">ExportRaw!$G28</f>
        <v>0</v>
      </c>
      <c r="D28" s="181" t="str">
        <f aca="false">ExportRaw!$E28</f>
        <v/>
      </c>
      <c r="E28" s="182" t="str">
        <f aca="false">ExportRaw!$D28</f>
        <v/>
      </c>
      <c r="F28" s="181" t="str">
        <f aca="false">ExportRaw!$H28</f>
        <v/>
      </c>
      <c r="G28" s="183" t="str">
        <f aca="false">ExportRaw!$I28</f>
        <v/>
      </c>
      <c r="H28" s="181" t="str">
        <f aca="false">ExportRaw!$A28</f>
        <v/>
      </c>
      <c r="I28" s="181" t="str">
        <f aca="false">ExportRaw!$B28</f>
        <v/>
      </c>
    </row>
    <row r="29" customFormat="false" ht="15.75" hidden="false" customHeight="false" outlineLevel="0" collapsed="false">
      <c r="A29" s="181" t="n">
        <f aca="false">ExportRaw!$F29</f>
        <v>0</v>
      </c>
      <c r="B29" s="181" t="n">
        <f aca="false">ExportRaw!$C29</f>
        <v>0</v>
      </c>
      <c r="C29" s="181" t="n">
        <f aca="false">ExportRaw!$G29</f>
        <v>0</v>
      </c>
      <c r="D29" s="181" t="str">
        <f aca="false">ExportRaw!$E29</f>
        <v/>
      </c>
      <c r="E29" s="182" t="str">
        <f aca="false">ExportRaw!$D29</f>
        <v/>
      </c>
      <c r="F29" s="181" t="str">
        <f aca="false">ExportRaw!$H29</f>
        <v/>
      </c>
      <c r="G29" s="183" t="str">
        <f aca="false">ExportRaw!$I29</f>
        <v/>
      </c>
      <c r="H29" s="181" t="str">
        <f aca="false">ExportRaw!$A29</f>
        <v/>
      </c>
      <c r="I29" s="181" t="str">
        <f aca="false">ExportRaw!$B29</f>
        <v/>
      </c>
    </row>
    <row r="30" customFormat="false" ht="15.75" hidden="false" customHeight="false" outlineLevel="0" collapsed="false">
      <c r="A30" s="181" t="n">
        <f aca="false">ExportRaw!$F30</f>
        <v>0</v>
      </c>
      <c r="B30" s="181" t="n">
        <f aca="false">ExportRaw!$C30</f>
        <v>0</v>
      </c>
      <c r="C30" s="181" t="n">
        <f aca="false">ExportRaw!$G30</f>
        <v>0</v>
      </c>
      <c r="D30" s="181" t="str">
        <f aca="false">ExportRaw!$E30</f>
        <v/>
      </c>
      <c r="E30" s="182" t="str">
        <f aca="false">ExportRaw!$D30</f>
        <v/>
      </c>
      <c r="F30" s="181" t="str">
        <f aca="false">ExportRaw!$H30</f>
        <v/>
      </c>
      <c r="G30" s="183" t="str">
        <f aca="false">ExportRaw!$I30</f>
        <v/>
      </c>
      <c r="H30" s="181" t="str">
        <f aca="false">ExportRaw!$A30</f>
        <v/>
      </c>
      <c r="I30" s="181" t="str">
        <f aca="false">ExportRaw!$B30</f>
        <v/>
      </c>
    </row>
    <row r="31" customFormat="false" ht="15.75" hidden="false" customHeight="false" outlineLevel="0" collapsed="false">
      <c r="A31" s="181" t="n">
        <f aca="false">ExportRaw!$F31</f>
        <v>0</v>
      </c>
      <c r="B31" s="181" t="n">
        <f aca="false">ExportRaw!$C31</f>
        <v>0</v>
      </c>
      <c r="C31" s="181" t="n">
        <f aca="false">ExportRaw!$G31</f>
        <v>0</v>
      </c>
      <c r="D31" s="181" t="str">
        <f aca="false">ExportRaw!$E31</f>
        <v/>
      </c>
      <c r="E31" s="182" t="str">
        <f aca="false">ExportRaw!$D31</f>
        <v/>
      </c>
      <c r="F31" s="181" t="str">
        <f aca="false">ExportRaw!$H31</f>
        <v/>
      </c>
      <c r="G31" s="183" t="str">
        <f aca="false">ExportRaw!$I31</f>
        <v/>
      </c>
      <c r="H31" s="181" t="str">
        <f aca="false">ExportRaw!$A31</f>
        <v/>
      </c>
      <c r="I31" s="181" t="str">
        <f aca="false">ExportRaw!$B31</f>
        <v/>
      </c>
    </row>
    <row r="32" customFormat="false" ht="15.75" hidden="false" customHeight="false" outlineLevel="0" collapsed="false">
      <c r="A32" s="181" t="n">
        <f aca="false">ExportRaw!$F32</f>
        <v>0</v>
      </c>
      <c r="B32" s="181" t="n">
        <f aca="false">ExportRaw!$C32</f>
        <v>0</v>
      </c>
      <c r="C32" s="181" t="n">
        <f aca="false">ExportRaw!$G32</f>
        <v>0</v>
      </c>
      <c r="D32" s="181" t="str">
        <f aca="false">ExportRaw!$E32</f>
        <v/>
      </c>
      <c r="E32" s="182" t="str">
        <f aca="false">ExportRaw!$D32</f>
        <v/>
      </c>
      <c r="F32" s="181" t="str">
        <f aca="false">ExportRaw!$H32</f>
        <v/>
      </c>
      <c r="G32" s="183" t="str">
        <f aca="false">ExportRaw!$I32</f>
        <v/>
      </c>
      <c r="H32" s="181" t="str">
        <f aca="false">ExportRaw!$A32</f>
        <v/>
      </c>
      <c r="I32" s="181" t="str">
        <f aca="false">ExportRaw!$B32</f>
        <v/>
      </c>
    </row>
    <row r="33" customFormat="false" ht="15.75" hidden="false" customHeight="false" outlineLevel="0" collapsed="false">
      <c r="A33" s="181" t="n">
        <f aca="false">ExportRaw!$F33</f>
        <v>0</v>
      </c>
      <c r="B33" s="181" t="n">
        <f aca="false">ExportRaw!$C33</f>
        <v>0</v>
      </c>
      <c r="C33" s="181" t="n">
        <f aca="false">ExportRaw!$G33</f>
        <v>0</v>
      </c>
      <c r="D33" s="181" t="str">
        <f aca="false">ExportRaw!$E33</f>
        <v/>
      </c>
      <c r="E33" s="182" t="str">
        <f aca="false">ExportRaw!$D33</f>
        <v/>
      </c>
      <c r="F33" s="181" t="str">
        <f aca="false">ExportRaw!$H33</f>
        <v/>
      </c>
      <c r="G33" s="183" t="str">
        <f aca="false">ExportRaw!$I33</f>
        <v/>
      </c>
      <c r="H33" s="181" t="str">
        <f aca="false">ExportRaw!$A33</f>
        <v/>
      </c>
      <c r="I33" s="181" t="str">
        <f aca="false">ExportRaw!$B33</f>
        <v/>
      </c>
    </row>
    <row r="34" customFormat="false" ht="15.75" hidden="false" customHeight="false" outlineLevel="0" collapsed="false">
      <c r="A34" s="181" t="n">
        <f aca="false">ExportRaw!$F34</f>
        <v>0</v>
      </c>
      <c r="B34" s="181" t="n">
        <f aca="false">ExportRaw!$C34</f>
        <v>0</v>
      </c>
      <c r="C34" s="181" t="n">
        <f aca="false">ExportRaw!$G34</f>
        <v>0</v>
      </c>
      <c r="D34" s="181" t="str">
        <f aca="false">ExportRaw!$E34</f>
        <v/>
      </c>
      <c r="E34" s="182" t="str">
        <f aca="false">ExportRaw!$D34</f>
        <v/>
      </c>
      <c r="F34" s="181" t="str">
        <f aca="false">ExportRaw!$H34</f>
        <v/>
      </c>
      <c r="G34" s="183" t="str">
        <f aca="false">ExportRaw!$I34</f>
        <v/>
      </c>
      <c r="H34" s="181" t="str">
        <f aca="false">ExportRaw!$A34</f>
        <v/>
      </c>
      <c r="I34" s="181" t="str">
        <f aca="false">ExportRaw!$B34</f>
        <v/>
      </c>
    </row>
    <row r="35" customFormat="false" ht="15.75" hidden="false" customHeight="false" outlineLevel="0" collapsed="false">
      <c r="A35" s="181" t="n">
        <f aca="false">ExportRaw!$F35</f>
        <v>0</v>
      </c>
      <c r="B35" s="181" t="n">
        <f aca="false">ExportRaw!$C35</f>
        <v>0</v>
      </c>
      <c r="C35" s="181" t="n">
        <f aca="false">ExportRaw!$G35</f>
        <v>0</v>
      </c>
      <c r="D35" s="181" t="str">
        <f aca="false">ExportRaw!$E35</f>
        <v/>
      </c>
      <c r="E35" s="182" t="str">
        <f aca="false">ExportRaw!$D35</f>
        <v/>
      </c>
      <c r="F35" s="181" t="str">
        <f aca="false">ExportRaw!$H35</f>
        <v/>
      </c>
      <c r="G35" s="183" t="str">
        <f aca="false">ExportRaw!$I35</f>
        <v/>
      </c>
      <c r="H35" s="181" t="str">
        <f aca="false">ExportRaw!$A35</f>
        <v/>
      </c>
      <c r="I35" s="181" t="str">
        <f aca="false">ExportRaw!$B35</f>
        <v/>
      </c>
    </row>
    <row r="36" customFormat="false" ht="15.75" hidden="false" customHeight="false" outlineLevel="0" collapsed="false">
      <c r="A36" s="181" t="n">
        <f aca="false">ExportRaw!$F36</f>
        <v>0</v>
      </c>
      <c r="B36" s="181" t="n">
        <f aca="false">ExportRaw!$C36</f>
        <v>0</v>
      </c>
      <c r="C36" s="181" t="n">
        <f aca="false">ExportRaw!$G36</f>
        <v>0</v>
      </c>
      <c r="D36" s="181" t="str">
        <f aca="false">ExportRaw!$E36</f>
        <v/>
      </c>
      <c r="E36" s="182" t="str">
        <f aca="false">ExportRaw!$D36</f>
        <v/>
      </c>
      <c r="F36" s="181" t="str">
        <f aca="false">ExportRaw!$H36</f>
        <v/>
      </c>
      <c r="G36" s="183" t="str">
        <f aca="false">ExportRaw!$I36</f>
        <v/>
      </c>
      <c r="H36" s="181" t="str">
        <f aca="false">ExportRaw!$A36</f>
        <v/>
      </c>
      <c r="I36" s="181" t="str">
        <f aca="false">ExportRaw!$B36</f>
        <v/>
      </c>
    </row>
    <row r="37" customFormat="false" ht="15.75" hidden="false" customHeight="false" outlineLevel="0" collapsed="false">
      <c r="A37" s="181" t="n">
        <f aca="false">ExportRaw!$F37</f>
        <v>0</v>
      </c>
      <c r="B37" s="181" t="n">
        <f aca="false">ExportRaw!$C37</f>
        <v>0</v>
      </c>
      <c r="C37" s="181" t="n">
        <f aca="false">ExportRaw!$G37</f>
        <v>0</v>
      </c>
      <c r="D37" s="181" t="str">
        <f aca="false">ExportRaw!$E37</f>
        <v/>
      </c>
      <c r="E37" s="182" t="str">
        <f aca="false">ExportRaw!$D37</f>
        <v/>
      </c>
      <c r="F37" s="181" t="str">
        <f aca="false">ExportRaw!$H37</f>
        <v/>
      </c>
      <c r="G37" s="183" t="str">
        <f aca="false">ExportRaw!$I37</f>
        <v/>
      </c>
      <c r="H37" s="181" t="str">
        <f aca="false">ExportRaw!$A37</f>
        <v/>
      </c>
      <c r="I37" s="181" t="str">
        <f aca="false">ExportRaw!$B37</f>
        <v/>
      </c>
    </row>
    <row r="38" customFormat="false" ht="15.75" hidden="false" customHeight="false" outlineLevel="0" collapsed="false">
      <c r="A38" s="181" t="n">
        <f aca="false">ExportRaw!$F38</f>
        <v>0</v>
      </c>
      <c r="B38" s="181" t="n">
        <f aca="false">ExportRaw!$C38</f>
        <v>0</v>
      </c>
      <c r="C38" s="181" t="n">
        <f aca="false">ExportRaw!$G38</f>
        <v>0</v>
      </c>
      <c r="D38" s="181" t="str">
        <f aca="false">ExportRaw!$E38</f>
        <v/>
      </c>
      <c r="E38" s="182" t="str">
        <f aca="false">ExportRaw!$D38</f>
        <v/>
      </c>
      <c r="F38" s="181" t="str">
        <f aca="false">ExportRaw!$H38</f>
        <v/>
      </c>
      <c r="G38" s="183" t="str">
        <f aca="false">ExportRaw!$I38</f>
        <v/>
      </c>
      <c r="H38" s="181" t="str">
        <f aca="false">ExportRaw!$A38</f>
        <v/>
      </c>
      <c r="I38" s="181" t="str">
        <f aca="false">ExportRaw!$B38</f>
        <v/>
      </c>
    </row>
    <row r="39" customFormat="false" ht="15.75" hidden="false" customHeight="false" outlineLevel="0" collapsed="false">
      <c r="A39" s="181" t="n">
        <f aca="false">ExportRaw!$F39</f>
        <v>0</v>
      </c>
      <c r="B39" s="181" t="n">
        <f aca="false">ExportRaw!$C39</f>
        <v>0</v>
      </c>
      <c r="C39" s="181" t="n">
        <f aca="false">ExportRaw!$G39</f>
        <v>0</v>
      </c>
      <c r="D39" s="181" t="str">
        <f aca="false">ExportRaw!$E39</f>
        <v/>
      </c>
      <c r="E39" s="182" t="str">
        <f aca="false">ExportRaw!$D39</f>
        <v/>
      </c>
      <c r="F39" s="181" t="str">
        <f aca="false">ExportRaw!$H39</f>
        <v/>
      </c>
      <c r="G39" s="183" t="str">
        <f aca="false">ExportRaw!$I39</f>
        <v/>
      </c>
      <c r="H39" s="181" t="str">
        <f aca="false">ExportRaw!$A39</f>
        <v/>
      </c>
      <c r="I39" s="181" t="str">
        <f aca="false">ExportRaw!$B39</f>
        <v/>
      </c>
    </row>
    <row r="40" customFormat="false" ht="15.75" hidden="false" customHeight="false" outlineLevel="0" collapsed="false">
      <c r="A40" s="181" t="n">
        <f aca="false">ExportRaw!$F40</f>
        <v>0</v>
      </c>
      <c r="B40" s="181" t="n">
        <f aca="false">ExportRaw!$C40</f>
        <v>0</v>
      </c>
      <c r="C40" s="181" t="n">
        <f aca="false">ExportRaw!$G40</f>
        <v>0</v>
      </c>
      <c r="D40" s="181" t="str">
        <f aca="false">ExportRaw!$E40</f>
        <v/>
      </c>
      <c r="E40" s="182" t="str">
        <f aca="false">ExportRaw!$D40</f>
        <v/>
      </c>
      <c r="F40" s="181" t="str">
        <f aca="false">ExportRaw!$H40</f>
        <v/>
      </c>
      <c r="G40" s="183" t="str">
        <f aca="false">ExportRaw!$I40</f>
        <v/>
      </c>
      <c r="H40" s="181" t="str">
        <f aca="false">ExportRaw!$A40</f>
        <v/>
      </c>
      <c r="I40" s="181" t="str">
        <f aca="false">ExportRaw!$B40</f>
        <v/>
      </c>
    </row>
    <row r="41" customFormat="false" ht="15.75" hidden="false" customHeight="false" outlineLevel="0" collapsed="false">
      <c r="A41" s="181" t="n">
        <f aca="false">ExportRaw!$F41</f>
        <v>0</v>
      </c>
      <c r="B41" s="181" t="n">
        <f aca="false">ExportRaw!$C41</f>
        <v>0</v>
      </c>
      <c r="C41" s="181" t="n">
        <f aca="false">ExportRaw!$G41</f>
        <v>0</v>
      </c>
      <c r="D41" s="181" t="str">
        <f aca="false">ExportRaw!$E41</f>
        <v/>
      </c>
      <c r="E41" s="182" t="str">
        <f aca="false">ExportRaw!$D41</f>
        <v/>
      </c>
      <c r="F41" s="181" t="str">
        <f aca="false">ExportRaw!$H41</f>
        <v/>
      </c>
      <c r="G41" s="183" t="str">
        <f aca="false">ExportRaw!$I41</f>
        <v/>
      </c>
      <c r="H41" s="181" t="str">
        <f aca="false">ExportRaw!$A41</f>
        <v/>
      </c>
      <c r="I41" s="181" t="str">
        <f aca="false">ExportRaw!$B41</f>
        <v/>
      </c>
    </row>
    <row r="42" customFormat="false" ht="15.75" hidden="false" customHeight="false" outlineLevel="0" collapsed="false">
      <c r="A42" s="181" t="n">
        <f aca="false">ExportRaw!$F42</f>
        <v>0</v>
      </c>
      <c r="B42" s="181" t="n">
        <f aca="false">ExportRaw!$C42</f>
        <v>0</v>
      </c>
      <c r="C42" s="181" t="n">
        <f aca="false">ExportRaw!$G42</f>
        <v>0</v>
      </c>
      <c r="D42" s="181" t="str">
        <f aca="false">ExportRaw!$E42</f>
        <v/>
      </c>
      <c r="E42" s="182" t="str">
        <f aca="false">ExportRaw!$D42</f>
        <v/>
      </c>
      <c r="F42" s="181" t="str">
        <f aca="false">ExportRaw!$H42</f>
        <v/>
      </c>
      <c r="G42" s="183" t="str">
        <f aca="false">ExportRaw!$I42</f>
        <v/>
      </c>
      <c r="H42" s="181" t="str">
        <f aca="false">ExportRaw!$A42</f>
        <v/>
      </c>
      <c r="I42" s="181" t="str">
        <f aca="false">ExportRaw!$B42</f>
        <v/>
      </c>
    </row>
    <row r="43" customFormat="false" ht="15.75" hidden="false" customHeight="false" outlineLevel="0" collapsed="false">
      <c r="A43" s="181" t="n">
        <f aca="false">ExportRaw!$F43</f>
        <v>0</v>
      </c>
      <c r="B43" s="181" t="n">
        <f aca="false">ExportRaw!$C43</f>
        <v>0</v>
      </c>
      <c r="C43" s="181" t="n">
        <f aca="false">ExportRaw!$G43</f>
        <v>0</v>
      </c>
      <c r="D43" s="181" t="str">
        <f aca="false">ExportRaw!$E43</f>
        <v/>
      </c>
      <c r="E43" s="182" t="str">
        <f aca="false">ExportRaw!$D43</f>
        <v/>
      </c>
      <c r="F43" s="181" t="str">
        <f aca="false">ExportRaw!$H43</f>
        <v/>
      </c>
      <c r="G43" s="183" t="str">
        <f aca="false">ExportRaw!$I43</f>
        <v/>
      </c>
      <c r="H43" s="181" t="str">
        <f aca="false">ExportRaw!$A43</f>
        <v/>
      </c>
      <c r="I43" s="181" t="str">
        <f aca="false">ExportRaw!$B43</f>
        <v/>
      </c>
    </row>
    <row r="44" customFormat="false" ht="15.75" hidden="false" customHeight="false" outlineLevel="0" collapsed="false">
      <c r="A44" s="181" t="n">
        <f aca="false">ExportRaw!$F44</f>
        <v>0</v>
      </c>
      <c r="B44" s="181" t="n">
        <f aca="false">ExportRaw!$C44</f>
        <v>0</v>
      </c>
      <c r="C44" s="181" t="n">
        <f aca="false">ExportRaw!$G44</f>
        <v>0</v>
      </c>
      <c r="D44" s="181" t="str">
        <f aca="false">ExportRaw!$E44</f>
        <v/>
      </c>
      <c r="E44" s="182" t="str">
        <f aca="false">ExportRaw!$D44</f>
        <v/>
      </c>
      <c r="F44" s="181" t="str">
        <f aca="false">ExportRaw!$H44</f>
        <v/>
      </c>
      <c r="G44" s="183" t="str">
        <f aca="false">ExportRaw!$I44</f>
        <v/>
      </c>
      <c r="H44" s="181" t="str">
        <f aca="false">ExportRaw!$A44</f>
        <v/>
      </c>
      <c r="I44" s="181" t="str">
        <f aca="false">ExportRaw!$B44</f>
        <v/>
      </c>
    </row>
    <row r="45" customFormat="false" ht="15.75" hidden="false" customHeight="false" outlineLevel="0" collapsed="false">
      <c r="A45" s="181" t="n">
        <f aca="false">ExportRaw!$F45</f>
        <v>0</v>
      </c>
      <c r="B45" s="181" t="n">
        <f aca="false">ExportRaw!$C45</f>
        <v>0</v>
      </c>
      <c r="C45" s="181" t="n">
        <f aca="false">ExportRaw!$G45</f>
        <v>0</v>
      </c>
      <c r="D45" s="181" t="str">
        <f aca="false">ExportRaw!$E45</f>
        <v/>
      </c>
      <c r="E45" s="182" t="str">
        <f aca="false">ExportRaw!$D45</f>
        <v/>
      </c>
      <c r="F45" s="181" t="str">
        <f aca="false">ExportRaw!$H45</f>
        <v/>
      </c>
      <c r="G45" s="183" t="str">
        <f aca="false">ExportRaw!$I45</f>
        <v/>
      </c>
      <c r="H45" s="181" t="str">
        <f aca="false">ExportRaw!$A45</f>
        <v/>
      </c>
      <c r="I45" s="181" t="str">
        <f aca="false">ExportRaw!$B45</f>
        <v/>
      </c>
    </row>
    <row r="46" customFormat="false" ht="15.75" hidden="false" customHeight="false" outlineLevel="0" collapsed="false">
      <c r="A46" s="181" t="n">
        <f aca="false">ExportRaw!$F46</f>
        <v>0</v>
      </c>
      <c r="B46" s="181" t="n">
        <f aca="false">ExportRaw!$C46</f>
        <v>0</v>
      </c>
      <c r="C46" s="181" t="n">
        <f aca="false">ExportRaw!$G46</f>
        <v>0</v>
      </c>
      <c r="D46" s="181" t="str">
        <f aca="false">ExportRaw!$E46</f>
        <v/>
      </c>
      <c r="E46" s="182" t="str">
        <f aca="false">ExportRaw!$D46</f>
        <v/>
      </c>
      <c r="F46" s="181" t="str">
        <f aca="false">ExportRaw!$H46</f>
        <v/>
      </c>
      <c r="G46" s="183" t="str">
        <f aca="false">ExportRaw!$I46</f>
        <v/>
      </c>
      <c r="H46" s="181" t="str">
        <f aca="false">ExportRaw!$A46</f>
        <v/>
      </c>
      <c r="I46" s="181" t="str">
        <f aca="false">ExportRaw!$B46</f>
        <v/>
      </c>
    </row>
    <row r="47" customFormat="false" ht="15.75" hidden="false" customHeight="false" outlineLevel="0" collapsed="false">
      <c r="A47" s="181" t="n">
        <f aca="false">ExportRaw!$F47</f>
        <v>0</v>
      </c>
      <c r="B47" s="181" t="n">
        <f aca="false">ExportRaw!$C47</f>
        <v>0</v>
      </c>
      <c r="C47" s="181" t="n">
        <f aca="false">ExportRaw!$G47</f>
        <v>0</v>
      </c>
      <c r="D47" s="181" t="str">
        <f aca="false">ExportRaw!$E47</f>
        <v/>
      </c>
      <c r="E47" s="182" t="str">
        <f aca="false">ExportRaw!$D47</f>
        <v/>
      </c>
      <c r="F47" s="181" t="str">
        <f aca="false">ExportRaw!$H47</f>
        <v/>
      </c>
      <c r="G47" s="183" t="str">
        <f aca="false">ExportRaw!$I47</f>
        <v/>
      </c>
      <c r="H47" s="181" t="str">
        <f aca="false">ExportRaw!$A47</f>
        <v/>
      </c>
      <c r="I47" s="181" t="str">
        <f aca="false">ExportRaw!$B47</f>
        <v/>
      </c>
    </row>
    <row r="48" customFormat="false" ht="15.75" hidden="false" customHeight="false" outlineLevel="0" collapsed="false">
      <c r="A48" s="181" t="n">
        <f aca="false">ExportRaw!$F48</f>
        <v>0</v>
      </c>
      <c r="B48" s="181" t="n">
        <f aca="false">ExportRaw!$C48</f>
        <v>0</v>
      </c>
      <c r="C48" s="181" t="n">
        <f aca="false">ExportRaw!$G48</f>
        <v>0</v>
      </c>
      <c r="D48" s="181" t="str">
        <f aca="false">ExportRaw!$E48</f>
        <v/>
      </c>
      <c r="E48" s="182" t="str">
        <f aca="false">ExportRaw!$D48</f>
        <v/>
      </c>
      <c r="F48" s="181" t="str">
        <f aca="false">ExportRaw!$H48</f>
        <v/>
      </c>
      <c r="G48" s="183" t="str">
        <f aca="false">ExportRaw!$I48</f>
        <v/>
      </c>
      <c r="H48" s="181" t="str">
        <f aca="false">ExportRaw!$A48</f>
        <v/>
      </c>
      <c r="I48" s="181" t="str">
        <f aca="false">ExportRaw!$B48</f>
        <v/>
      </c>
    </row>
    <row r="49" customFormat="false" ht="15.75" hidden="false" customHeight="false" outlineLevel="0" collapsed="false">
      <c r="A49" s="181" t="n">
        <f aca="false">ExportRaw!$F49</f>
        <v>0</v>
      </c>
      <c r="B49" s="181" t="n">
        <f aca="false">ExportRaw!$C49</f>
        <v>0</v>
      </c>
      <c r="C49" s="181" t="n">
        <f aca="false">ExportRaw!$G49</f>
        <v>0</v>
      </c>
      <c r="D49" s="181" t="str">
        <f aca="false">ExportRaw!$E49</f>
        <v/>
      </c>
      <c r="E49" s="182" t="str">
        <f aca="false">ExportRaw!$D49</f>
        <v/>
      </c>
      <c r="F49" s="181" t="str">
        <f aca="false">ExportRaw!$H49</f>
        <v/>
      </c>
      <c r="G49" s="183" t="str">
        <f aca="false">ExportRaw!$I49</f>
        <v/>
      </c>
      <c r="H49" s="181" t="str">
        <f aca="false">ExportRaw!$A49</f>
        <v/>
      </c>
      <c r="I49" s="181" t="str">
        <f aca="false">ExportRaw!$B49</f>
        <v/>
      </c>
    </row>
    <row r="50" customFormat="false" ht="15.75" hidden="false" customHeight="false" outlineLevel="0" collapsed="false">
      <c r="A50" s="181" t="n">
        <f aca="false">ExportRaw!$F50</f>
        <v>0</v>
      </c>
      <c r="B50" s="181" t="n">
        <f aca="false">ExportRaw!$C50</f>
        <v>0</v>
      </c>
      <c r="C50" s="181" t="n">
        <f aca="false">ExportRaw!$G50</f>
        <v>0</v>
      </c>
      <c r="D50" s="181" t="str">
        <f aca="false">ExportRaw!$E50</f>
        <v/>
      </c>
      <c r="E50" s="182" t="str">
        <f aca="false">ExportRaw!$D50</f>
        <v/>
      </c>
      <c r="F50" s="181" t="str">
        <f aca="false">ExportRaw!$H50</f>
        <v/>
      </c>
      <c r="G50" s="183" t="str">
        <f aca="false">ExportRaw!$I50</f>
        <v/>
      </c>
      <c r="H50" s="181" t="str">
        <f aca="false">ExportRaw!$A50</f>
        <v/>
      </c>
      <c r="I50" s="181" t="str">
        <f aca="false">ExportRaw!$B50</f>
        <v/>
      </c>
    </row>
    <row r="51" customFormat="false" ht="15.75" hidden="false" customHeight="false" outlineLevel="0" collapsed="false">
      <c r="A51" s="181" t="n">
        <f aca="false">ExportRaw!$F51</f>
        <v>0</v>
      </c>
      <c r="B51" s="181" t="n">
        <f aca="false">ExportRaw!$C51</f>
        <v>0</v>
      </c>
      <c r="C51" s="181" t="n">
        <f aca="false">ExportRaw!$G51</f>
        <v>0</v>
      </c>
      <c r="D51" s="181" t="str">
        <f aca="false">ExportRaw!$E51</f>
        <v/>
      </c>
      <c r="E51" s="182" t="str">
        <f aca="false">ExportRaw!$D51</f>
        <v/>
      </c>
      <c r="F51" s="181" t="str">
        <f aca="false">ExportRaw!$H51</f>
        <v/>
      </c>
      <c r="G51" s="183" t="str">
        <f aca="false">ExportRaw!$I51</f>
        <v/>
      </c>
      <c r="H51" s="181" t="str">
        <f aca="false">ExportRaw!$A51</f>
        <v/>
      </c>
      <c r="I51" s="181" t="str">
        <f aca="false">ExportRaw!$B51</f>
        <v/>
      </c>
    </row>
    <row r="52" customFormat="false" ht="15.75" hidden="false" customHeight="false" outlineLevel="0" collapsed="false">
      <c r="A52" s="181" t="n">
        <f aca="false">ExportRaw!$F52</f>
        <v>0</v>
      </c>
      <c r="B52" s="181" t="n">
        <f aca="false">ExportRaw!$C52</f>
        <v>0</v>
      </c>
      <c r="C52" s="181" t="n">
        <f aca="false">ExportRaw!$G52</f>
        <v>0</v>
      </c>
      <c r="D52" s="181" t="str">
        <f aca="false">ExportRaw!$E52</f>
        <v/>
      </c>
      <c r="E52" s="182" t="str">
        <f aca="false">ExportRaw!$D52</f>
        <v/>
      </c>
      <c r="F52" s="181" t="str">
        <f aca="false">ExportRaw!$H52</f>
        <v/>
      </c>
      <c r="G52" s="183" t="str">
        <f aca="false">ExportRaw!$I52</f>
        <v/>
      </c>
      <c r="H52" s="181" t="str">
        <f aca="false">ExportRaw!$A52</f>
        <v/>
      </c>
      <c r="I52" s="181" t="str">
        <f aca="false">ExportRaw!$B52</f>
        <v/>
      </c>
    </row>
    <row r="53" customFormat="false" ht="15.75" hidden="false" customHeight="false" outlineLevel="0" collapsed="false">
      <c r="A53" s="181" t="n">
        <f aca="false">ExportRaw!$F53</f>
        <v>0</v>
      </c>
      <c r="B53" s="181" t="n">
        <f aca="false">ExportRaw!$C53</f>
        <v>0</v>
      </c>
      <c r="C53" s="181" t="n">
        <f aca="false">ExportRaw!$G53</f>
        <v>0</v>
      </c>
      <c r="D53" s="181" t="str">
        <f aca="false">ExportRaw!$E53</f>
        <v/>
      </c>
      <c r="E53" s="182" t="str">
        <f aca="false">ExportRaw!$D53</f>
        <v/>
      </c>
      <c r="F53" s="181" t="str">
        <f aca="false">ExportRaw!$H53</f>
        <v/>
      </c>
      <c r="G53" s="183" t="str">
        <f aca="false">ExportRaw!$I53</f>
        <v/>
      </c>
      <c r="H53" s="181" t="str">
        <f aca="false">ExportRaw!$A53</f>
        <v/>
      </c>
      <c r="I53" s="181" t="str">
        <f aca="false">ExportRaw!$B53</f>
        <v/>
      </c>
    </row>
    <row r="54" customFormat="false" ht="15.75" hidden="false" customHeight="false" outlineLevel="0" collapsed="false">
      <c r="A54" s="181" t="n">
        <f aca="false">ExportRaw!$F54</f>
        <v>0</v>
      </c>
      <c r="B54" s="181" t="n">
        <f aca="false">ExportRaw!$C54</f>
        <v>0</v>
      </c>
      <c r="C54" s="181" t="n">
        <f aca="false">ExportRaw!$G54</f>
        <v>0</v>
      </c>
      <c r="D54" s="181" t="str">
        <f aca="false">ExportRaw!$E54</f>
        <v/>
      </c>
      <c r="E54" s="182" t="str">
        <f aca="false">ExportRaw!$D54</f>
        <v/>
      </c>
      <c r="F54" s="181" t="str">
        <f aca="false">ExportRaw!$H54</f>
        <v/>
      </c>
      <c r="G54" s="183" t="str">
        <f aca="false">ExportRaw!$I54</f>
        <v/>
      </c>
      <c r="H54" s="181" t="str">
        <f aca="false">ExportRaw!$A54</f>
        <v/>
      </c>
      <c r="I54" s="181" t="str">
        <f aca="false">ExportRaw!$B54</f>
        <v/>
      </c>
    </row>
    <row r="55" customFormat="false" ht="15.75" hidden="false" customHeight="false" outlineLevel="0" collapsed="false">
      <c r="A55" s="181" t="n">
        <f aca="false">ExportRaw!$F55</f>
        <v>0</v>
      </c>
      <c r="B55" s="181" t="n">
        <f aca="false">ExportRaw!$C55</f>
        <v>0</v>
      </c>
      <c r="C55" s="181" t="n">
        <f aca="false">ExportRaw!$G55</f>
        <v>0</v>
      </c>
      <c r="D55" s="181" t="str">
        <f aca="false">ExportRaw!$E55</f>
        <v/>
      </c>
      <c r="E55" s="182" t="str">
        <f aca="false">ExportRaw!$D55</f>
        <v/>
      </c>
      <c r="F55" s="181" t="str">
        <f aca="false">ExportRaw!$H55</f>
        <v/>
      </c>
      <c r="G55" s="183" t="str">
        <f aca="false">ExportRaw!$I55</f>
        <v/>
      </c>
      <c r="H55" s="181" t="str">
        <f aca="false">ExportRaw!$A55</f>
        <v/>
      </c>
      <c r="I55" s="181" t="str">
        <f aca="false">ExportRaw!$B55</f>
        <v/>
      </c>
    </row>
    <row r="56" customFormat="false" ht="15.75" hidden="false" customHeight="false" outlineLevel="0" collapsed="false">
      <c r="A56" s="181" t="n">
        <f aca="false">ExportRaw!$F56</f>
        <v>0</v>
      </c>
      <c r="B56" s="181" t="n">
        <f aca="false">ExportRaw!$C56</f>
        <v>0</v>
      </c>
      <c r="C56" s="181" t="n">
        <f aca="false">ExportRaw!$G56</f>
        <v>0</v>
      </c>
      <c r="D56" s="181" t="str">
        <f aca="false">ExportRaw!$E56</f>
        <v/>
      </c>
      <c r="E56" s="182" t="str">
        <f aca="false">ExportRaw!$D56</f>
        <v/>
      </c>
      <c r="F56" s="181" t="str">
        <f aca="false">ExportRaw!$H56</f>
        <v/>
      </c>
      <c r="G56" s="183" t="str">
        <f aca="false">ExportRaw!$I56</f>
        <v/>
      </c>
      <c r="H56" s="181" t="str">
        <f aca="false">ExportRaw!$A56</f>
        <v/>
      </c>
      <c r="I56" s="181" t="str">
        <f aca="false">ExportRaw!$B56</f>
        <v/>
      </c>
    </row>
    <row r="57" customFormat="false" ht="15.75" hidden="false" customHeight="false" outlineLevel="0" collapsed="false">
      <c r="A57" s="181" t="n">
        <f aca="false">ExportRaw!$F57</f>
        <v>0</v>
      </c>
      <c r="B57" s="181" t="n">
        <f aca="false">ExportRaw!$C57</f>
        <v>0</v>
      </c>
      <c r="C57" s="181" t="n">
        <f aca="false">ExportRaw!$G57</f>
        <v>0</v>
      </c>
      <c r="D57" s="181" t="str">
        <f aca="false">ExportRaw!$E57</f>
        <v/>
      </c>
      <c r="E57" s="182" t="str">
        <f aca="false">ExportRaw!$D57</f>
        <v/>
      </c>
      <c r="F57" s="181" t="str">
        <f aca="false">ExportRaw!$H57</f>
        <v/>
      </c>
      <c r="G57" s="183" t="str">
        <f aca="false">ExportRaw!$I57</f>
        <v/>
      </c>
      <c r="H57" s="181" t="str">
        <f aca="false">ExportRaw!$A57</f>
        <v/>
      </c>
      <c r="I57" s="181" t="str">
        <f aca="false">ExportRaw!$B57</f>
        <v/>
      </c>
    </row>
    <row r="58" customFormat="false" ht="15.75" hidden="false" customHeight="false" outlineLevel="0" collapsed="false">
      <c r="A58" s="181" t="n">
        <f aca="false">ExportRaw!$F58</f>
        <v>0</v>
      </c>
      <c r="B58" s="181" t="n">
        <f aca="false">ExportRaw!$C58</f>
        <v>0</v>
      </c>
      <c r="C58" s="181" t="n">
        <f aca="false">ExportRaw!$G58</f>
        <v>0</v>
      </c>
      <c r="D58" s="181" t="str">
        <f aca="false">ExportRaw!$E58</f>
        <v/>
      </c>
      <c r="E58" s="182" t="str">
        <f aca="false">ExportRaw!$D58</f>
        <v/>
      </c>
      <c r="F58" s="181" t="str">
        <f aca="false">ExportRaw!$H58</f>
        <v/>
      </c>
      <c r="G58" s="183" t="str">
        <f aca="false">ExportRaw!$I58</f>
        <v/>
      </c>
      <c r="H58" s="181" t="str">
        <f aca="false">ExportRaw!$A58</f>
        <v/>
      </c>
      <c r="I58" s="181" t="str">
        <f aca="false">ExportRaw!$B58</f>
        <v/>
      </c>
    </row>
    <row r="59" customFormat="false" ht="15.75" hidden="false" customHeight="false" outlineLevel="0" collapsed="false">
      <c r="A59" s="181" t="n">
        <f aca="false">ExportRaw!$F59</f>
        <v>0</v>
      </c>
      <c r="B59" s="181" t="n">
        <f aca="false">ExportRaw!$C59</f>
        <v>0</v>
      </c>
      <c r="C59" s="181" t="n">
        <f aca="false">ExportRaw!$G59</f>
        <v>0</v>
      </c>
      <c r="D59" s="181" t="str">
        <f aca="false">ExportRaw!$E59</f>
        <v/>
      </c>
      <c r="E59" s="182" t="str">
        <f aca="false">ExportRaw!$D59</f>
        <v/>
      </c>
      <c r="F59" s="181" t="str">
        <f aca="false">ExportRaw!$H59</f>
        <v/>
      </c>
      <c r="G59" s="183" t="str">
        <f aca="false">ExportRaw!$I59</f>
        <v/>
      </c>
      <c r="H59" s="181" t="str">
        <f aca="false">ExportRaw!$A59</f>
        <v/>
      </c>
      <c r="I59" s="181" t="str">
        <f aca="false">ExportRaw!$B59</f>
        <v/>
      </c>
    </row>
    <row r="60" customFormat="false" ht="15.75" hidden="false" customHeight="false" outlineLevel="0" collapsed="false">
      <c r="A60" s="181" t="n">
        <f aca="false">ExportRaw!$F60</f>
        <v>0</v>
      </c>
      <c r="B60" s="181" t="n">
        <f aca="false">ExportRaw!$C60</f>
        <v>0</v>
      </c>
      <c r="C60" s="181" t="n">
        <f aca="false">ExportRaw!$G60</f>
        <v>0</v>
      </c>
      <c r="D60" s="181" t="str">
        <f aca="false">ExportRaw!$E60</f>
        <v/>
      </c>
      <c r="E60" s="182" t="str">
        <f aca="false">ExportRaw!$D60</f>
        <v/>
      </c>
      <c r="F60" s="181" t="str">
        <f aca="false">ExportRaw!$H60</f>
        <v/>
      </c>
      <c r="G60" s="183" t="str">
        <f aca="false">ExportRaw!$I60</f>
        <v/>
      </c>
      <c r="H60" s="181" t="str">
        <f aca="false">ExportRaw!$A60</f>
        <v/>
      </c>
      <c r="I60" s="181" t="str">
        <f aca="false">ExportRaw!$B60</f>
        <v/>
      </c>
    </row>
    <row r="61" customFormat="false" ht="15.75" hidden="false" customHeight="false" outlineLevel="0" collapsed="false">
      <c r="A61" s="181" t="n">
        <f aca="false">ExportRaw!$F61</f>
        <v>0</v>
      </c>
      <c r="B61" s="181" t="n">
        <f aca="false">ExportRaw!$C61</f>
        <v>0</v>
      </c>
      <c r="C61" s="181" t="n">
        <f aca="false">ExportRaw!$G61</f>
        <v>0</v>
      </c>
      <c r="D61" s="181" t="str">
        <f aca="false">ExportRaw!$E61</f>
        <v/>
      </c>
      <c r="E61" s="182" t="str">
        <f aca="false">ExportRaw!$D61</f>
        <v/>
      </c>
      <c r="F61" s="181" t="str">
        <f aca="false">ExportRaw!$H61</f>
        <v/>
      </c>
      <c r="G61" s="183" t="str">
        <f aca="false">ExportRaw!$I61</f>
        <v/>
      </c>
      <c r="H61" s="181" t="str">
        <f aca="false">ExportRaw!$A61</f>
        <v/>
      </c>
      <c r="I61" s="181" t="str">
        <f aca="false">ExportRaw!$B61</f>
        <v/>
      </c>
    </row>
    <row r="62" customFormat="false" ht="15.75" hidden="false" customHeight="false" outlineLevel="0" collapsed="false">
      <c r="A62" s="181" t="n">
        <f aca="false">ExportRaw!$F62</f>
        <v>0</v>
      </c>
      <c r="B62" s="181" t="n">
        <f aca="false">ExportRaw!$C62</f>
        <v>0</v>
      </c>
      <c r="C62" s="181" t="n">
        <f aca="false">ExportRaw!$G62</f>
        <v>0</v>
      </c>
      <c r="D62" s="181" t="str">
        <f aca="false">ExportRaw!$E62</f>
        <v/>
      </c>
      <c r="E62" s="182" t="str">
        <f aca="false">ExportRaw!$D62</f>
        <v/>
      </c>
      <c r="F62" s="181" t="str">
        <f aca="false">ExportRaw!$H62</f>
        <v/>
      </c>
      <c r="G62" s="183" t="str">
        <f aca="false">ExportRaw!$I62</f>
        <v/>
      </c>
      <c r="H62" s="181" t="str">
        <f aca="false">ExportRaw!$A62</f>
        <v/>
      </c>
      <c r="I62" s="181" t="str">
        <f aca="false">ExportRaw!$B62</f>
        <v/>
      </c>
    </row>
    <row r="63" customFormat="false" ht="15.75" hidden="false" customHeight="false" outlineLevel="0" collapsed="false">
      <c r="A63" s="181" t="n">
        <f aca="false">ExportRaw!$F63</f>
        <v>0</v>
      </c>
      <c r="B63" s="181" t="n">
        <f aca="false">ExportRaw!$C63</f>
        <v>0</v>
      </c>
      <c r="C63" s="181" t="n">
        <f aca="false">ExportRaw!$G63</f>
        <v>0</v>
      </c>
      <c r="D63" s="181" t="str">
        <f aca="false">ExportRaw!$E63</f>
        <v/>
      </c>
      <c r="E63" s="182" t="str">
        <f aca="false">ExportRaw!$D63</f>
        <v/>
      </c>
      <c r="F63" s="181" t="str">
        <f aca="false">ExportRaw!$H63</f>
        <v/>
      </c>
      <c r="G63" s="183" t="str">
        <f aca="false">ExportRaw!$I63</f>
        <v/>
      </c>
      <c r="H63" s="181" t="str">
        <f aca="false">ExportRaw!$A63</f>
        <v/>
      </c>
      <c r="I63" s="181" t="str">
        <f aca="false">ExportRaw!$B63</f>
        <v/>
      </c>
    </row>
    <row r="64" customFormat="false" ht="15.75" hidden="false" customHeight="false" outlineLevel="0" collapsed="false">
      <c r="A64" s="181" t="n">
        <f aca="false">ExportRaw!$F64</f>
        <v>0</v>
      </c>
      <c r="B64" s="181" t="n">
        <f aca="false">ExportRaw!$C64</f>
        <v>0</v>
      </c>
      <c r="C64" s="181" t="n">
        <f aca="false">ExportRaw!$G64</f>
        <v>0</v>
      </c>
      <c r="D64" s="181" t="str">
        <f aca="false">ExportRaw!$E64</f>
        <v/>
      </c>
      <c r="E64" s="182" t="str">
        <f aca="false">ExportRaw!$D64</f>
        <v/>
      </c>
      <c r="F64" s="181" t="str">
        <f aca="false">ExportRaw!$H64</f>
        <v/>
      </c>
      <c r="G64" s="183" t="str">
        <f aca="false">ExportRaw!$I64</f>
        <v/>
      </c>
      <c r="H64" s="181" t="str">
        <f aca="false">ExportRaw!$A64</f>
        <v/>
      </c>
      <c r="I64" s="181" t="str">
        <f aca="false">ExportRaw!$B64</f>
        <v/>
      </c>
    </row>
    <row r="65" customFormat="false" ht="15.75" hidden="false" customHeight="false" outlineLevel="0" collapsed="false">
      <c r="A65" s="181" t="n">
        <f aca="false">ExportRaw!$F65</f>
        <v>0</v>
      </c>
      <c r="B65" s="181" t="n">
        <f aca="false">ExportRaw!$C65</f>
        <v>0</v>
      </c>
      <c r="C65" s="181" t="n">
        <f aca="false">ExportRaw!$G65</f>
        <v>0</v>
      </c>
      <c r="D65" s="181" t="str">
        <f aca="false">ExportRaw!$E65</f>
        <v/>
      </c>
      <c r="E65" s="182" t="str">
        <f aca="false">ExportRaw!$D65</f>
        <v/>
      </c>
      <c r="F65" s="181" t="str">
        <f aca="false">ExportRaw!$H65</f>
        <v/>
      </c>
      <c r="G65" s="183" t="str">
        <f aca="false">ExportRaw!$I65</f>
        <v/>
      </c>
      <c r="H65" s="181" t="str">
        <f aca="false">ExportRaw!$A65</f>
        <v/>
      </c>
      <c r="I65" s="181" t="str">
        <f aca="false">ExportRaw!$B65</f>
        <v/>
      </c>
    </row>
    <row r="66" customFormat="false" ht="15.75" hidden="false" customHeight="false" outlineLevel="0" collapsed="false">
      <c r="A66" s="181" t="n">
        <f aca="false">ExportRaw!$F66</f>
        <v>0</v>
      </c>
      <c r="B66" s="181" t="n">
        <f aca="false">ExportRaw!$C66</f>
        <v>0</v>
      </c>
      <c r="C66" s="181" t="n">
        <f aca="false">ExportRaw!$G66</f>
        <v>0</v>
      </c>
      <c r="D66" s="181" t="str">
        <f aca="false">ExportRaw!$E66</f>
        <v/>
      </c>
      <c r="E66" s="182" t="str">
        <f aca="false">ExportRaw!$D66</f>
        <v/>
      </c>
      <c r="F66" s="181" t="str">
        <f aca="false">ExportRaw!$H66</f>
        <v/>
      </c>
      <c r="G66" s="183" t="str">
        <f aca="false">ExportRaw!$I66</f>
        <v/>
      </c>
      <c r="H66" s="181" t="str">
        <f aca="false">ExportRaw!$A66</f>
        <v/>
      </c>
      <c r="I66" s="181" t="str">
        <f aca="false">ExportRaw!$B66</f>
        <v/>
      </c>
    </row>
    <row r="67" customFormat="false" ht="15.75" hidden="false" customHeight="false" outlineLevel="0" collapsed="false">
      <c r="A67" s="181" t="n">
        <f aca="false">ExportRaw!$F67</f>
        <v>0</v>
      </c>
      <c r="B67" s="181" t="n">
        <f aca="false">ExportRaw!$C67</f>
        <v>0</v>
      </c>
      <c r="C67" s="181" t="n">
        <f aca="false">ExportRaw!$G67</f>
        <v>0</v>
      </c>
      <c r="D67" s="181" t="str">
        <f aca="false">ExportRaw!$E67</f>
        <v/>
      </c>
      <c r="E67" s="182" t="str">
        <f aca="false">ExportRaw!$D67</f>
        <v/>
      </c>
      <c r="F67" s="181" t="str">
        <f aca="false">ExportRaw!$H67</f>
        <v/>
      </c>
      <c r="G67" s="183" t="str">
        <f aca="false">ExportRaw!$I67</f>
        <v/>
      </c>
      <c r="H67" s="181" t="str">
        <f aca="false">ExportRaw!$A67</f>
        <v/>
      </c>
      <c r="I67" s="181" t="str">
        <f aca="false">ExportRaw!$B67</f>
        <v/>
      </c>
    </row>
    <row r="68" customFormat="false" ht="15.75" hidden="false" customHeight="false" outlineLevel="0" collapsed="false">
      <c r="A68" s="181" t="n">
        <f aca="false">ExportRaw!$F68</f>
        <v>0</v>
      </c>
      <c r="B68" s="181" t="n">
        <f aca="false">ExportRaw!$C68</f>
        <v>0</v>
      </c>
      <c r="C68" s="181" t="n">
        <f aca="false">ExportRaw!$G68</f>
        <v>0</v>
      </c>
      <c r="D68" s="181" t="str">
        <f aca="false">ExportRaw!$E68</f>
        <v/>
      </c>
      <c r="E68" s="182" t="str">
        <f aca="false">ExportRaw!$D68</f>
        <v/>
      </c>
      <c r="F68" s="181" t="str">
        <f aca="false">ExportRaw!$H68</f>
        <v/>
      </c>
      <c r="G68" s="183" t="str">
        <f aca="false">ExportRaw!$I68</f>
        <v/>
      </c>
      <c r="H68" s="181" t="str">
        <f aca="false">ExportRaw!$A68</f>
        <v/>
      </c>
      <c r="I68" s="181" t="str">
        <f aca="false">ExportRaw!$B68</f>
        <v/>
      </c>
    </row>
    <row r="69" customFormat="false" ht="15.75" hidden="false" customHeight="false" outlineLevel="0" collapsed="false">
      <c r="A69" s="181" t="n">
        <f aca="false">ExportRaw!$F69</f>
        <v>0</v>
      </c>
      <c r="B69" s="181" t="n">
        <f aca="false">ExportRaw!$C69</f>
        <v>0</v>
      </c>
      <c r="C69" s="181" t="n">
        <f aca="false">ExportRaw!$G69</f>
        <v>0</v>
      </c>
      <c r="D69" s="181" t="str">
        <f aca="false">ExportRaw!$E69</f>
        <v/>
      </c>
      <c r="E69" s="182" t="str">
        <f aca="false">ExportRaw!$D69</f>
        <v/>
      </c>
      <c r="F69" s="181" t="str">
        <f aca="false">ExportRaw!$H69</f>
        <v/>
      </c>
      <c r="G69" s="183" t="str">
        <f aca="false">ExportRaw!$I69</f>
        <v/>
      </c>
      <c r="H69" s="181" t="str">
        <f aca="false">ExportRaw!$A69</f>
        <v/>
      </c>
      <c r="I69" s="181" t="str">
        <f aca="false">ExportRaw!$B69</f>
        <v/>
      </c>
    </row>
    <row r="70" customFormat="false" ht="15.75" hidden="false" customHeight="false" outlineLevel="0" collapsed="false">
      <c r="A70" s="181" t="n">
        <f aca="false">ExportRaw!$F70</f>
        <v>0</v>
      </c>
      <c r="B70" s="181" t="n">
        <f aca="false">ExportRaw!$C70</f>
        <v>0</v>
      </c>
      <c r="C70" s="181" t="n">
        <f aca="false">ExportRaw!$G70</f>
        <v>0</v>
      </c>
      <c r="D70" s="181" t="str">
        <f aca="false">ExportRaw!$E70</f>
        <v/>
      </c>
      <c r="E70" s="182" t="str">
        <f aca="false">ExportRaw!$D70</f>
        <v/>
      </c>
      <c r="F70" s="181" t="str">
        <f aca="false">ExportRaw!$H70</f>
        <v/>
      </c>
      <c r="G70" s="183" t="str">
        <f aca="false">ExportRaw!$I70</f>
        <v/>
      </c>
      <c r="H70" s="181" t="str">
        <f aca="false">ExportRaw!$A70</f>
        <v/>
      </c>
      <c r="I70" s="181" t="str">
        <f aca="false">ExportRaw!$B70</f>
        <v/>
      </c>
    </row>
    <row r="71" customFormat="false" ht="15.75" hidden="false" customHeight="false" outlineLevel="0" collapsed="false">
      <c r="A71" s="181" t="n">
        <f aca="false">ExportRaw!$F71</f>
        <v>0</v>
      </c>
      <c r="B71" s="181" t="n">
        <f aca="false">ExportRaw!$C71</f>
        <v>0</v>
      </c>
      <c r="C71" s="181" t="n">
        <f aca="false">ExportRaw!$G71</f>
        <v>0</v>
      </c>
      <c r="D71" s="181" t="str">
        <f aca="false">ExportRaw!$E71</f>
        <v/>
      </c>
      <c r="E71" s="182" t="str">
        <f aca="false">ExportRaw!$D71</f>
        <v/>
      </c>
      <c r="F71" s="181" t="str">
        <f aca="false">ExportRaw!$H71</f>
        <v/>
      </c>
      <c r="G71" s="183" t="str">
        <f aca="false">ExportRaw!$I71</f>
        <v/>
      </c>
      <c r="H71" s="181" t="str">
        <f aca="false">ExportRaw!$A71</f>
        <v/>
      </c>
      <c r="I71" s="181" t="str">
        <f aca="false">ExportRaw!$B71</f>
        <v/>
      </c>
    </row>
    <row r="72" customFormat="false" ht="15.75" hidden="false" customHeight="false" outlineLevel="0" collapsed="false">
      <c r="A72" s="181" t="n">
        <f aca="false">ExportRaw!$F72</f>
        <v>0</v>
      </c>
      <c r="B72" s="181" t="n">
        <f aca="false">ExportRaw!$C72</f>
        <v>0</v>
      </c>
      <c r="C72" s="181" t="n">
        <f aca="false">ExportRaw!$G72</f>
        <v>0</v>
      </c>
      <c r="D72" s="181" t="str">
        <f aca="false">ExportRaw!$E72</f>
        <v/>
      </c>
      <c r="E72" s="182" t="str">
        <f aca="false">ExportRaw!$D72</f>
        <v/>
      </c>
      <c r="F72" s="181" t="str">
        <f aca="false">ExportRaw!$H72</f>
        <v/>
      </c>
      <c r="G72" s="183" t="str">
        <f aca="false">ExportRaw!$I72</f>
        <v/>
      </c>
      <c r="H72" s="181" t="str">
        <f aca="false">ExportRaw!$A72</f>
        <v/>
      </c>
      <c r="I72" s="181" t="str">
        <f aca="false">ExportRaw!$B72</f>
        <v/>
      </c>
    </row>
    <row r="73" customFormat="false" ht="15.75" hidden="false" customHeight="false" outlineLevel="0" collapsed="false">
      <c r="A73" s="181" t="n">
        <f aca="false">ExportRaw!$F73</f>
        <v>0</v>
      </c>
      <c r="B73" s="181" t="n">
        <f aca="false">ExportRaw!$C73</f>
        <v>0</v>
      </c>
      <c r="C73" s="181" t="n">
        <f aca="false">ExportRaw!$G73</f>
        <v>0</v>
      </c>
      <c r="D73" s="181" t="str">
        <f aca="false">ExportRaw!$E73</f>
        <v/>
      </c>
      <c r="E73" s="182" t="str">
        <f aca="false">ExportRaw!$D73</f>
        <v/>
      </c>
      <c r="F73" s="181" t="str">
        <f aca="false">ExportRaw!$H73</f>
        <v/>
      </c>
      <c r="G73" s="183" t="str">
        <f aca="false">ExportRaw!$I73</f>
        <v/>
      </c>
      <c r="H73" s="181" t="str">
        <f aca="false">ExportRaw!$A73</f>
        <v/>
      </c>
      <c r="I73" s="181" t="str">
        <f aca="false">ExportRaw!$B73</f>
        <v/>
      </c>
    </row>
    <row r="74" customFormat="false" ht="15.75" hidden="false" customHeight="false" outlineLevel="0" collapsed="false">
      <c r="A74" s="181" t="n">
        <f aca="false">ExportRaw!$F74</f>
        <v>0</v>
      </c>
      <c r="B74" s="181" t="n">
        <f aca="false">ExportRaw!$C74</f>
        <v>0</v>
      </c>
      <c r="C74" s="181" t="n">
        <f aca="false">ExportRaw!$G74</f>
        <v>0</v>
      </c>
      <c r="D74" s="181" t="str">
        <f aca="false">ExportRaw!$E74</f>
        <v/>
      </c>
      <c r="E74" s="182" t="str">
        <f aca="false">ExportRaw!$D74</f>
        <v/>
      </c>
      <c r="F74" s="181" t="str">
        <f aca="false">ExportRaw!$H74</f>
        <v/>
      </c>
      <c r="G74" s="183" t="str">
        <f aca="false">ExportRaw!$I74</f>
        <v/>
      </c>
      <c r="H74" s="181" t="str">
        <f aca="false">ExportRaw!$A74</f>
        <v/>
      </c>
      <c r="I74" s="181" t="str">
        <f aca="false">ExportRaw!$B74</f>
        <v/>
      </c>
    </row>
    <row r="75" customFormat="false" ht="15.75" hidden="false" customHeight="false" outlineLevel="0" collapsed="false">
      <c r="A75" s="181" t="n">
        <f aca="false">ExportRaw!$F75</f>
        <v>0</v>
      </c>
      <c r="B75" s="181" t="n">
        <f aca="false">ExportRaw!$C75</f>
        <v>0</v>
      </c>
      <c r="C75" s="181" t="n">
        <f aca="false">ExportRaw!$G75</f>
        <v>0</v>
      </c>
      <c r="D75" s="181" t="str">
        <f aca="false">ExportRaw!$E75</f>
        <v/>
      </c>
      <c r="E75" s="182" t="str">
        <f aca="false">ExportRaw!$D75</f>
        <v/>
      </c>
      <c r="F75" s="181" t="str">
        <f aca="false">ExportRaw!$H75</f>
        <v/>
      </c>
      <c r="G75" s="183" t="str">
        <f aca="false">ExportRaw!$I75</f>
        <v/>
      </c>
      <c r="H75" s="181" t="str">
        <f aca="false">ExportRaw!$A75</f>
        <v/>
      </c>
      <c r="I75" s="181" t="str">
        <f aca="false">ExportRaw!$B75</f>
        <v/>
      </c>
    </row>
    <row r="76" customFormat="false" ht="15.75" hidden="false" customHeight="false" outlineLevel="0" collapsed="false">
      <c r="A76" s="181" t="n">
        <f aca="false">ExportRaw!$F76</f>
        <v>0</v>
      </c>
      <c r="B76" s="181" t="n">
        <f aca="false">ExportRaw!$C76</f>
        <v>0</v>
      </c>
      <c r="C76" s="181" t="n">
        <f aca="false">ExportRaw!$G76</f>
        <v>0</v>
      </c>
      <c r="D76" s="181" t="str">
        <f aca="false">ExportRaw!$E76</f>
        <v/>
      </c>
      <c r="E76" s="182" t="str">
        <f aca="false">ExportRaw!$D76</f>
        <v/>
      </c>
      <c r="F76" s="181" t="str">
        <f aca="false">ExportRaw!$H76</f>
        <v/>
      </c>
      <c r="G76" s="183" t="str">
        <f aca="false">ExportRaw!$I76</f>
        <v/>
      </c>
      <c r="H76" s="181" t="str">
        <f aca="false">ExportRaw!$A76</f>
        <v/>
      </c>
      <c r="I76" s="181" t="str">
        <f aca="false">ExportRaw!$B76</f>
        <v/>
      </c>
    </row>
    <row r="77" customFormat="false" ht="15.75" hidden="false" customHeight="false" outlineLevel="0" collapsed="false">
      <c r="A77" s="181" t="n">
        <f aca="false">ExportRaw!$F77</f>
        <v>0</v>
      </c>
      <c r="B77" s="181" t="n">
        <f aca="false">ExportRaw!$C77</f>
        <v>0</v>
      </c>
      <c r="C77" s="181" t="n">
        <f aca="false">ExportRaw!$G77</f>
        <v>0</v>
      </c>
      <c r="D77" s="181" t="str">
        <f aca="false">ExportRaw!$E77</f>
        <v/>
      </c>
      <c r="E77" s="182" t="str">
        <f aca="false">ExportRaw!$D77</f>
        <v/>
      </c>
      <c r="F77" s="181" t="str">
        <f aca="false">ExportRaw!$H77</f>
        <v/>
      </c>
      <c r="G77" s="183" t="str">
        <f aca="false">ExportRaw!$I77</f>
        <v/>
      </c>
      <c r="H77" s="181" t="str">
        <f aca="false">ExportRaw!$A77</f>
        <v/>
      </c>
      <c r="I77" s="181" t="str">
        <f aca="false">ExportRaw!$B77</f>
        <v/>
      </c>
    </row>
    <row r="78" customFormat="false" ht="15.75" hidden="false" customHeight="false" outlineLevel="0" collapsed="false">
      <c r="A78" s="181" t="n">
        <f aca="false">ExportRaw!$F78</f>
        <v>0</v>
      </c>
      <c r="B78" s="181" t="n">
        <f aca="false">ExportRaw!$C78</f>
        <v>0</v>
      </c>
      <c r="C78" s="181" t="n">
        <f aca="false">ExportRaw!$G78</f>
        <v>0</v>
      </c>
      <c r="D78" s="181" t="str">
        <f aca="false">ExportRaw!$E78</f>
        <v/>
      </c>
      <c r="E78" s="182" t="str">
        <f aca="false">ExportRaw!$D78</f>
        <v/>
      </c>
      <c r="F78" s="181" t="str">
        <f aca="false">ExportRaw!$H78</f>
        <v/>
      </c>
      <c r="G78" s="183" t="str">
        <f aca="false">ExportRaw!$I78</f>
        <v/>
      </c>
      <c r="H78" s="181" t="str">
        <f aca="false">ExportRaw!$A78</f>
        <v/>
      </c>
      <c r="I78" s="181" t="str">
        <f aca="false">ExportRaw!$B78</f>
        <v/>
      </c>
    </row>
    <row r="79" customFormat="false" ht="15.75" hidden="false" customHeight="false" outlineLevel="0" collapsed="false">
      <c r="A79" s="181" t="n">
        <f aca="false">ExportRaw!$F79</f>
        <v>0</v>
      </c>
      <c r="B79" s="181" t="n">
        <f aca="false">ExportRaw!$C79</f>
        <v>0</v>
      </c>
      <c r="C79" s="181" t="n">
        <f aca="false">ExportRaw!$G79</f>
        <v>0</v>
      </c>
      <c r="D79" s="181" t="str">
        <f aca="false">ExportRaw!$E79</f>
        <v/>
      </c>
      <c r="E79" s="182" t="str">
        <f aca="false">ExportRaw!$D79</f>
        <v/>
      </c>
      <c r="F79" s="181" t="str">
        <f aca="false">ExportRaw!$H79</f>
        <v/>
      </c>
      <c r="G79" s="183" t="str">
        <f aca="false">ExportRaw!$I79</f>
        <v/>
      </c>
      <c r="H79" s="181" t="str">
        <f aca="false">ExportRaw!$A79</f>
        <v/>
      </c>
      <c r="I79" s="181" t="str">
        <f aca="false">ExportRaw!$B79</f>
        <v/>
      </c>
    </row>
    <row r="80" customFormat="false" ht="15.75" hidden="false" customHeight="false" outlineLevel="0" collapsed="false">
      <c r="A80" s="181" t="n">
        <f aca="false">ExportRaw!$F80</f>
        <v>0</v>
      </c>
      <c r="B80" s="181" t="n">
        <f aca="false">ExportRaw!$C80</f>
        <v>0</v>
      </c>
      <c r="C80" s="181" t="n">
        <f aca="false">ExportRaw!$G80</f>
        <v>0</v>
      </c>
      <c r="D80" s="181" t="str">
        <f aca="false">ExportRaw!$E80</f>
        <v/>
      </c>
      <c r="E80" s="182" t="str">
        <f aca="false">ExportRaw!$D80</f>
        <v/>
      </c>
      <c r="F80" s="181" t="str">
        <f aca="false">ExportRaw!$H80</f>
        <v/>
      </c>
      <c r="G80" s="183" t="str">
        <f aca="false">ExportRaw!$I80</f>
        <v/>
      </c>
      <c r="H80" s="181" t="str">
        <f aca="false">ExportRaw!$A80</f>
        <v/>
      </c>
      <c r="I80" s="181" t="str">
        <f aca="false">ExportRaw!$B80</f>
        <v/>
      </c>
    </row>
    <row r="81" customFormat="false" ht="15.75" hidden="false" customHeight="false" outlineLevel="0" collapsed="false">
      <c r="A81" s="181" t="n">
        <f aca="false">ExportRaw!$F81</f>
        <v>0</v>
      </c>
      <c r="B81" s="181" t="n">
        <f aca="false">ExportRaw!$C81</f>
        <v>0</v>
      </c>
      <c r="C81" s="181" t="n">
        <f aca="false">ExportRaw!$G81</f>
        <v>0</v>
      </c>
      <c r="D81" s="181" t="str">
        <f aca="false">ExportRaw!$E81</f>
        <v/>
      </c>
      <c r="E81" s="182" t="str">
        <f aca="false">ExportRaw!$D81</f>
        <v/>
      </c>
      <c r="F81" s="181" t="str">
        <f aca="false">ExportRaw!$H81</f>
        <v/>
      </c>
      <c r="G81" s="183" t="str">
        <f aca="false">ExportRaw!$I81</f>
        <v/>
      </c>
      <c r="H81" s="181" t="str">
        <f aca="false">ExportRaw!$A81</f>
        <v/>
      </c>
      <c r="I81" s="181" t="str">
        <f aca="false">ExportRaw!$B81</f>
        <v/>
      </c>
    </row>
    <row r="82" customFormat="false" ht="15.75" hidden="false" customHeight="false" outlineLevel="0" collapsed="false">
      <c r="A82" s="181" t="n">
        <f aca="false">ExportRaw!$F82</f>
        <v>0</v>
      </c>
      <c r="B82" s="181" t="n">
        <f aca="false">ExportRaw!$C82</f>
        <v>0</v>
      </c>
      <c r="C82" s="181" t="n">
        <f aca="false">ExportRaw!$G82</f>
        <v>0</v>
      </c>
      <c r="D82" s="181" t="str">
        <f aca="false">ExportRaw!$E82</f>
        <v/>
      </c>
      <c r="E82" s="182" t="str">
        <f aca="false">ExportRaw!$D82</f>
        <v/>
      </c>
      <c r="F82" s="181" t="str">
        <f aca="false">ExportRaw!$H82</f>
        <v/>
      </c>
      <c r="G82" s="183" t="str">
        <f aca="false">ExportRaw!$I82</f>
        <v/>
      </c>
      <c r="H82" s="181" t="str">
        <f aca="false">ExportRaw!$A82</f>
        <v/>
      </c>
      <c r="I82" s="181" t="str">
        <f aca="false">ExportRaw!$B82</f>
        <v/>
      </c>
    </row>
    <row r="83" customFormat="false" ht="15.75" hidden="false" customHeight="false" outlineLevel="0" collapsed="false">
      <c r="A83" s="181" t="n">
        <f aca="false">ExportRaw!$F83</f>
        <v>0</v>
      </c>
      <c r="B83" s="181" t="n">
        <f aca="false">ExportRaw!$C83</f>
        <v>0</v>
      </c>
      <c r="C83" s="181" t="n">
        <f aca="false">ExportRaw!$G83</f>
        <v>0</v>
      </c>
      <c r="D83" s="181" t="str">
        <f aca="false">ExportRaw!$E83</f>
        <v/>
      </c>
      <c r="E83" s="182" t="str">
        <f aca="false">ExportRaw!$D83</f>
        <v/>
      </c>
      <c r="F83" s="181" t="str">
        <f aca="false">ExportRaw!$H83</f>
        <v/>
      </c>
      <c r="G83" s="183" t="str">
        <f aca="false">ExportRaw!$I83</f>
        <v/>
      </c>
      <c r="H83" s="181" t="str">
        <f aca="false">ExportRaw!$A83</f>
        <v/>
      </c>
      <c r="I83" s="181" t="str">
        <f aca="false">ExportRaw!$B83</f>
        <v/>
      </c>
    </row>
    <row r="84" customFormat="false" ht="15.75" hidden="false" customHeight="false" outlineLevel="0" collapsed="false">
      <c r="A84" s="181" t="n">
        <f aca="false">ExportRaw!$F84</f>
        <v>0</v>
      </c>
      <c r="B84" s="181" t="n">
        <f aca="false">ExportRaw!$C84</f>
        <v>0</v>
      </c>
      <c r="C84" s="181" t="n">
        <f aca="false">ExportRaw!$G84</f>
        <v>0</v>
      </c>
      <c r="D84" s="181" t="str">
        <f aca="false">ExportRaw!$E84</f>
        <v/>
      </c>
      <c r="E84" s="182" t="str">
        <f aca="false">ExportRaw!$D84</f>
        <v/>
      </c>
      <c r="F84" s="181" t="str">
        <f aca="false">ExportRaw!$H84</f>
        <v/>
      </c>
      <c r="G84" s="183" t="str">
        <f aca="false">ExportRaw!$I84</f>
        <v/>
      </c>
      <c r="H84" s="181" t="str">
        <f aca="false">ExportRaw!$A84</f>
        <v/>
      </c>
      <c r="I84" s="181" t="str">
        <f aca="false">ExportRaw!$B84</f>
        <v/>
      </c>
    </row>
    <row r="85" customFormat="false" ht="15.75" hidden="false" customHeight="false" outlineLevel="0" collapsed="false">
      <c r="A85" s="181" t="n">
        <f aca="false">ExportRaw!$F85</f>
        <v>0</v>
      </c>
      <c r="B85" s="181" t="n">
        <f aca="false">ExportRaw!$C85</f>
        <v>0</v>
      </c>
      <c r="C85" s="181" t="n">
        <f aca="false">ExportRaw!$G85</f>
        <v>0</v>
      </c>
      <c r="D85" s="181" t="str">
        <f aca="false">ExportRaw!$E85</f>
        <v/>
      </c>
      <c r="E85" s="182" t="str">
        <f aca="false">ExportRaw!$D85</f>
        <v/>
      </c>
      <c r="F85" s="181" t="str">
        <f aca="false">ExportRaw!$H85</f>
        <v/>
      </c>
      <c r="G85" s="183" t="str">
        <f aca="false">ExportRaw!$I85</f>
        <v/>
      </c>
      <c r="H85" s="181" t="str">
        <f aca="false">ExportRaw!$A85</f>
        <v/>
      </c>
      <c r="I85" s="181" t="str">
        <f aca="false">ExportRaw!$B85</f>
        <v/>
      </c>
    </row>
    <row r="86" customFormat="false" ht="15.75" hidden="false" customHeight="false" outlineLevel="0" collapsed="false">
      <c r="A86" s="181" t="n">
        <f aca="false">ExportRaw!$F86</f>
        <v>0</v>
      </c>
      <c r="B86" s="181" t="n">
        <f aca="false">ExportRaw!$C86</f>
        <v>0</v>
      </c>
      <c r="C86" s="181" t="n">
        <f aca="false">ExportRaw!$G86</f>
        <v>0</v>
      </c>
      <c r="D86" s="181" t="str">
        <f aca="false">ExportRaw!$E86</f>
        <v/>
      </c>
      <c r="E86" s="182" t="str">
        <f aca="false">ExportRaw!$D86</f>
        <v/>
      </c>
      <c r="F86" s="181" t="str">
        <f aca="false">ExportRaw!$H86</f>
        <v/>
      </c>
      <c r="G86" s="183" t="str">
        <f aca="false">ExportRaw!$I86</f>
        <v/>
      </c>
      <c r="H86" s="181" t="str">
        <f aca="false">ExportRaw!$A86</f>
        <v/>
      </c>
      <c r="I86" s="181" t="str">
        <f aca="false">ExportRaw!$B86</f>
        <v/>
      </c>
    </row>
    <row r="87" customFormat="false" ht="15.75" hidden="false" customHeight="false" outlineLevel="0" collapsed="false">
      <c r="A87" s="181" t="n">
        <f aca="false">ExportRaw!$F87</f>
        <v>0</v>
      </c>
      <c r="B87" s="181" t="n">
        <f aca="false">ExportRaw!$C87</f>
        <v>0</v>
      </c>
      <c r="C87" s="181" t="n">
        <f aca="false">ExportRaw!$G87</f>
        <v>0</v>
      </c>
      <c r="D87" s="181" t="str">
        <f aca="false">ExportRaw!$E87</f>
        <v/>
      </c>
      <c r="E87" s="182" t="str">
        <f aca="false">ExportRaw!$D87</f>
        <v/>
      </c>
      <c r="F87" s="181" t="str">
        <f aca="false">ExportRaw!$H87</f>
        <v/>
      </c>
      <c r="G87" s="183" t="str">
        <f aca="false">ExportRaw!$I87</f>
        <v/>
      </c>
      <c r="H87" s="181" t="str">
        <f aca="false">ExportRaw!$A87</f>
        <v/>
      </c>
      <c r="I87" s="181" t="str">
        <f aca="false">ExportRaw!$B87</f>
        <v/>
      </c>
    </row>
    <row r="88" customFormat="false" ht="15.75" hidden="false" customHeight="false" outlineLevel="0" collapsed="false">
      <c r="A88" s="181" t="n">
        <f aca="false">ExportRaw!$F88</f>
        <v>0</v>
      </c>
      <c r="B88" s="181" t="n">
        <f aca="false">ExportRaw!$C88</f>
        <v>0</v>
      </c>
      <c r="C88" s="181" t="n">
        <f aca="false">ExportRaw!$G88</f>
        <v>0</v>
      </c>
      <c r="D88" s="181" t="str">
        <f aca="false">ExportRaw!$E88</f>
        <v/>
      </c>
      <c r="E88" s="182" t="str">
        <f aca="false">ExportRaw!$D88</f>
        <v/>
      </c>
      <c r="F88" s="181" t="str">
        <f aca="false">ExportRaw!$H88</f>
        <v/>
      </c>
      <c r="G88" s="183" t="str">
        <f aca="false">ExportRaw!$I88</f>
        <v/>
      </c>
      <c r="H88" s="181" t="str">
        <f aca="false">ExportRaw!$A88</f>
        <v/>
      </c>
      <c r="I88" s="181" t="str">
        <f aca="false">ExportRaw!$B88</f>
        <v/>
      </c>
    </row>
    <row r="89" customFormat="false" ht="15.75" hidden="false" customHeight="false" outlineLevel="0" collapsed="false">
      <c r="A89" s="181" t="n">
        <f aca="false">ExportRaw!$F89</f>
        <v>0</v>
      </c>
      <c r="B89" s="181" t="n">
        <f aca="false">ExportRaw!$C89</f>
        <v>0</v>
      </c>
      <c r="C89" s="181" t="n">
        <f aca="false">ExportRaw!$G89</f>
        <v>0</v>
      </c>
      <c r="D89" s="181" t="str">
        <f aca="false">ExportRaw!$E89</f>
        <v/>
      </c>
      <c r="E89" s="182" t="str">
        <f aca="false">ExportRaw!$D89</f>
        <v/>
      </c>
      <c r="F89" s="181" t="str">
        <f aca="false">ExportRaw!$H89</f>
        <v/>
      </c>
      <c r="G89" s="183" t="str">
        <f aca="false">ExportRaw!$I89</f>
        <v/>
      </c>
      <c r="H89" s="181" t="str">
        <f aca="false">ExportRaw!$A89</f>
        <v/>
      </c>
      <c r="I89" s="181" t="str">
        <f aca="false">ExportRaw!$B89</f>
        <v/>
      </c>
    </row>
    <row r="90" customFormat="false" ht="15.75" hidden="false" customHeight="false" outlineLevel="0" collapsed="false">
      <c r="A90" s="181" t="n">
        <f aca="false">ExportRaw!$F90</f>
        <v>0</v>
      </c>
      <c r="B90" s="181" t="n">
        <f aca="false">ExportRaw!$C90</f>
        <v>0</v>
      </c>
      <c r="C90" s="181" t="n">
        <f aca="false">ExportRaw!$G90</f>
        <v>0</v>
      </c>
      <c r="D90" s="181" t="str">
        <f aca="false">ExportRaw!$E90</f>
        <v/>
      </c>
      <c r="E90" s="182" t="str">
        <f aca="false">ExportRaw!$D90</f>
        <v/>
      </c>
      <c r="F90" s="181" t="str">
        <f aca="false">ExportRaw!$H90</f>
        <v/>
      </c>
      <c r="G90" s="183" t="str">
        <f aca="false">ExportRaw!$I90</f>
        <v/>
      </c>
      <c r="H90" s="181" t="str">
        <f aca="false">ExportRaw!$A90</f>
        <v/>
      </c>
      <c r="I90" s="181" t="str">
        <f aca="false">ExportRaw!$B90</f>
        <v/>
      </c>
    </row>
    <row r="91" customFormat="false" ht="15.75" hidden="false" customHeight="false" outlineLevel="0" collapsed="false">
      <c r="A91" s="181" t="n">
        <f aca="false">ExportRaw!$F91</f>
        <v>0</v>
      </c>
      <c r="B91" s="181" t="n">
        <f aca="false">ExportRaw!$C91</f>
        <v>0</v>
      </c>
      <c r="C91" s="181" t="n">
        <f aca="false">ExportRaw!$G91</f>
        <v>0</v>
      </c>
      <c r="D91" s="181" t="str">
        <f aca="false">ExportRaw!$E91</f>
        <v/>
      </c>
      <c r="E91" s="182" t="str">
        <f aca="false">ExportRaw!$D91</f>
        <v/>
      </c>
      <c r="F91" s="181" t="str">
        <f aca="false">ExportRaw!$H91</f>
        <v/>
      </c>
      <c r="G91" s="183" t="str">
        <f aca="false">ExportRaw!$I91</f>
        <v/>
      </c>
      <c r="H91" s="181" t="str">
        <f aca="false">ExportRaw!$A91</f>
        <v/>
      </c>
      <c r="I91" s="181" t="str">
        <f aca="false">ExportRaw!$B91</f>
        <v/>
      </c>
    </row>
    <row r="92" customFormat="false" ht="15.75" hidden="false" customHeight="false" outlineLevel="0" collapsed="false">
      <c r="A92" s="181" t="n">
        <f aca="false">ExportRaw!$F92</f>
        <v>0</v>
      </c>
      <c r="B92" s="181" t="n">
        <f aca="false">ExportRaw!$C92</f>
        <v>0</v>
      </c>
      <c r="C92" s="181" t="n">
        <f aca="false">ExportRaw!$G92</f>
        <v>0</v>
      </c>
      <c r="D92" s="181" t="str">
        <f aca="false">ExportRaw!$E92</f>
        <v/>
      </c>
      <c r="E92" s="182" t="str">
        <f aca="false">ExportRaw!$D92</f>
        <v/>
      </c>
      <c r="F92" s="181" t="str">
        <f aca="false">ExportRaw!$H92</f>
        <v/>
      </c>
      <c r="G92" s="183" t="str">
        <f aca="false">ExportRaw!$I92</f>
        <v/>
      </c>
      <c r="H92" s="181" t="str">
        <f aca="false">ExportRaw!$A92</f>
        <v/>
      </c>
      <c r="I92" s="181" t="str">
        <f aca="false">ExportRaw!$B92</f>
        <v/>
      </c>
    </row>
    <row r="93" customFormat="false" ht="15.75" hidden="false" customHeight="false" outlineLevel="0" collapsed="false">
      <c r="A93" s="181" t="n">
        <f aca="false">ExportRaw!$F93</f>
        <v>0</v>
      </c>
      <c r="B93" s="181" t="n">
        <f aca="false">ExportRaw!$C93</f>
        <v>0</v>
      </c>
      <c r="C93" s="181" t="n">
        <f aca="false">ExportRaw!$G93</f>
        <v>0</v>
      </c>
      <c r="D93" s="181" t="str">
        <f aca="false">ExportRaw!$E93</f>
        <v/>
      </c>
      <c r="E93" s="182" t="str">
        <f aca="false">ExportRaw!$D93</f>
        <v/>
      </c>
      <c r="F93" s="181" t="str">
        <f aca="false">ExportRaw!$H93</f>
        <v/>
      </c>
      <c r="G93" s="183" t="str">
        <f aca="false">ExportRaw!$I93</f>
        <v/>
      </c>
      <c r="H93" s="181" t="str">
        <f aca="false">ExportRaw!$A93</f>
        <v/>
      </c>
      <c r="I93" s="181" t="str">
        <f aca="false">ExportRaw!$B93</f>
        <v/>
      </c>
    </row>
    <row r="94" customFormat="false" ht="15.75" hidden="false" customHeight="false" outlineLevel="0" collapsed="false">
      <c r="A94" s="181" t="n">
        <f aca="false">ExportRaw!$F94</f>
        <v>0</v>
      </c>
      <c r="B94" s="181" t="n">
        <f aca="false">ExportRaw!$C94</f>
        <v>0</v>
      </c>
      <c r="C94" s="181" t="n">
        <f aca="false">ExportRaw!$G94</f>
        <v>0</v>
      </c>
      <c r="D94" s="181" t="str">
        <f aca="false">ExportRaw!$E94</f>
        <v/>
      </c>
      <c r="E94" s="182" t="str">
        <f aca="false">ExportRaw!$D94</f>
        <v/>
      </c>
      <c r="F94" s="181" t="str">
        <f aca="false">ExportRaw!$H94</f>
        <v/>
      </c>
      <c r="G94" s="183" t="str">
        <f aca="false">ExportRaw!$I94</f>
        <v/>
      </c>
      <c r="H94" s="181" t="str">
        <f aca="false">ExportRaw!$A94</f>
        <v/>
      </c>
      <c r="I94" s="181" t="str">
        <f aca="false">ExportRaw!$B94</f>
        <v/>
      </c>
    </row>
    <row r="95" customFormat="false" ht="15.75" hidden="false" customHeight="false" outlineLevel="0" collapsed="false">
      <c r="A95" s="181" t="n">
        <f aca="false">ExportRaw!$F95</f>
        <v>0</v>
      </c>
      <c r="B95" s="181" t="n">
        <f aca="false">ExportRaw!$C95</f>
        <v>0</v>
      </c>
      <c r="C95" s="181" t="n">
        <f aca="false">ExportRaw!$G95</f>
        <v>0</v>
      </c>
      <c r="D95" s="181" t="str">
        <f aca="false">ExportRaw!$E95</f>
        <v/>
      </c>
      <c r="E95" s="182" t="str">
        <f aca="false">ExportRaw!$D95</f>
        <v/>
      </c>
      <c r="F95" s="181" t="str">
        <f aca="false">ExportRaw!$H95</f>
        <v/>
      </c>
      <c r="G95" s="183" t="str">
        <f aca="false">ExportRaw!$I95</f>
        <v/>
      </c>
      <c r="H95" s="181" t="str">
        <f aca="false">ExportRaw!$A95</f>
        <v/>
      </c>
      <c r="I95" s="181" t="str">
        <f aca="false">ExportRaw!$B95</f>
        <v/>
      </c>
    </row>
    <row r="96" customFormat="false" ht="15.75" hidden="false" customHeight="false" outlineLevel="0" collapsed="false">
      <c r="A96" s="181" t="n">
        <f aca="false">ExportRaw!$F96</f>
        <v>0</v>
      </c>
      <c r="B96" s="181" t="n">
        <f aca="false">ExportRaw!$C96</f>
        <v>0</v>
      </c>
      <c r="C96" s="181" t="n">
        <f aca="false">ExportRaw!$G96</f>
        <v>0</v>
      </c>
      <c r="D96" s="181" t="str">
        <f aca="false">ExportRaw!$E96</f>
        <v/>
      </c>
      <c r="E96" s="182" t="str">
        <f aca="false">ExportRaw!$D96</f>
        <v/>
      </c>
      <c r="F96" s="181" t="str">
        <f aca="false">ExportRaw!$H96</f>
        <v/>
      </c>
      <c r="G96" s="183" t="str">
        <f aca="false">ExportRaw!$I96</f>
        <v/>
      </c>
      <c r="H96" s="181" t="str">
        <f aca="false">ExportRaw!$A96</f>
        <v/>
      </c>
      <c r="I96" s="181" t="str">
        <f aca="false">ExportRaw!$B96</f>
        <v/>
      </c>
    </row>
    <row r="97" customFormat="false" ht="15.75" hidden="false" customHeight="false" outlineLevel="0" collapsed="false">
      <c r="A97" s="181" t="n">
        <f aca="false">ExportRaw!$F97</f>
        <v>0</v>
      </c>
      <c r="B97" s="181" t="n">
        <f aca="false">ExportRaw!$C97</f>
        <v>0</v>
      </c>
      <c r="C97" s="181" t="n">
        <f aca="false">ExportRaw!$G97</f>
        <v>0</v>
      </c>
      <c r="D97" s="181" t="str">
        <f aca="false">ExportRaw!$E97</f>
        <v/>
      </c>
      <c r="E97" s="182" t="str">
        <f aca="false">ExportRaw!$D97</f>
        <v/>
      </c>
      <c r="F97" s="181" t="str">
        <f aca="false">ExportRaw!$H97</f>
        <v/>
      </c>
      <c r="G97" s="183" t="str">
        <f aca="false">ExportRaw!$I97</f>
        <v/>
      </c>
      <c r="H97" s="181" t="str">
        <f aca="false">ExportRaw!$A97</f>
        <v/>
      </c>
      <c r="I97" s="181" t="str">
        <f aca="false">ExportRaw!$B97</f>
        <v/>
      </c>
    </row>
    <row r="98" customFormat="false" ht="15.75" hidden="false" customHeight="false" outlineLevel="0" collapsed="false">
      <c r="A98" s="181" t="n">
        <f aca="false">ExportRaw!$F98</f>
        <v>0</v>
      </c>
      <c r="B98" s="181" t="n">
        <f aca="false">ExportRaw!$C98</f>
        <v>0</v>
      </c>
      <c r="C98" s="181" t="n">
        <f aca="false">ExportRaw!$G98</f>
        <v>0</v>
      </c>
      <c r="D98" s="181" t="str">
        <f aca="false">ExportRaw!$E98</f>
        <v/>
      </c>
      <c r="E98" s="182" t="str">
        <f aca="false">ExportRaw!$D98</f>
        <v/>
      </c>
      <c r="F98" s="181" t="str">
        <f aca="false">ExportRaw!$H98</f>
        <v/>
      </c>
      <c r="G98" s="183" t="str">
        <f aca="false">ExportRaw!$I98</f>
        <v/>
      </c>
      <c r="H98" s="181" t="str">
        <f aca="false">ExportRaw!$A98</f>
        <v/>
      </c>
      <c r="I98" s="181" t="str">
        <f aca="false">ExportRaw!$B98</f>
        <v/>
      </c>
    </row>
    <row r="99" customFormat="false" ht="15.75" hidden="false" customHeight="false" outlineLevel="0" collapsed="false">
      <c r="A99" s="181" t="n">
        <f aca="false">ExportRaw!$F99</f>
        <v>0</v>
      </c>
      <c r="B99" s="181" t="n">
        <f aca="false">ExportRaw!$C99</f>
        <v>0</v>
      </c>
      <c r="C99" s="181" t="n">
        <f aca="false">ExportRaw!$G99</f>
        <v>0</v>
      </c>
      <c r="D99" s="181" t="str">
        <f aca="false">ExportRaw!$E99</f>
        <v/>
      </c>
      <c r="E99" s="182" t="str">
        <f aca="false">ExportRaw!$D99</f>
        <v/>
      </c>
      <c r="F99" s="181" t="str">
        <f aca="false">ExportRaw!$H99</f>
        <v/>
      </c>
      <c r="G99" s="183" t="str">
        <f aca="false">ExportRaw!$I99</f>
        <v/>
      </c>
      <c r="H99" s="181" t="str">
        <f aca="false">ExportRaw!$A99</f>
        <v/>
      </c>
      <c r="I99" s="181" t="str">
        <f aca="false">ExportRaw!$B99</f>
        <v/>
      </c>
    </row>
    <row r="100" customFormat="false" ht="15.75" hidden="false" customHeight="false" outlineLevel="0" collapsed="false">
      <c r="A100" s="181" t="n">
        <f aca="false">ExportRaw!$F100</f>
        <v>0</v>
      </c>
      <c r="B100" s="181" t="n">
        <f aca="false">ExportRaw!$C100</f>
        <v>0</v>
      </c>
      <c r="C100" s="181" t="n">
        <f aca="false">ExportRaw!$G100</f>
        <v>0</v>
      </c>
      <c r="D100" s="181" t="str">
        <f aca="false">ExportRaw!$E100</f>
        <v/>
      </c>
      <c r="E100" s="182" t="str">
        <f aca="false">ExportRaw!$D100</f>
        <v/>
      </c>
      <c r="F100" s="181" t="str">
        <f aca="false">ExportRaw!$H100</f>
        <v/>
      </c>
      <c r="G100" s="183" t="str">
        <f aca="false">ExportRaw!$I100</f>
        <v/>
      </c>
      <c r="H100" s="181" t="str">
        <f aca="false">ExportRaw!$A100</f>
        <v/>
      </c>
      <c r="I100" s="181" t="str">
        <f aca="false">ExportRaw!$B100</f>
        <v/>
      </c>
    </row>
    <row r="101" customFormat="false" ht="15.75" hidden="false" customHeight="false" outlineLevel="0" collapsed="false">
      <c r="A101" s="181" t="n">
        <f aca="false">ExportRaw!$F101</f>
        <v>0</v>
      </c>
      <c r="B101" s="181" t="n">
        <f aca="false">ExportRaw!$C101</f>
        <v>0</v>
      </c>
      <c r="C101" s="181" t="n">
        <f aca="false">ExportRaw!$G101</f>
        <v>0</v>
      </c>
      <c r="D101" s="181" t="str">
        <f aca="false">ExportRaw!$E101</f>
        <v/>
      </c>
      <c r="E101" s="182" t="str">
        <f aca="false">ExportRaw!$D101</f>
        <v/>
      </c>
      <c r="F101" s="181" t="str">
        <f aca="false">ExportRaw!$H101</f>
        <v/>
      </c>
      <c r="G101" s="183" t="str">
        <f aca="false">ExportRaw!$I101</f>
        <v/>
      </c>
      <c r="H101" s="181" t="str">
        <f aca="false">ExportRaw!$A101</f>
        <v/>
      </c>
      <c r="I101" s="181" t="str">
        <f aca="false">ExportRaw!$B101</f>
        <v/>
      </c>
    </row>
    <row r="102" customFormat="false" ht="15.75" hidden="false" customHeight="false" outlineLevel="0" collapsed="false">
      <c r="A102" s="181" t="n">
        <f aca="false">ExportRaw!$F102</f>
        <v>0</v>
      </c>
      <c r="B102" s="181" t="n">
        <f aca="false">ExportRaw!$C102</f>
        <v>0</v>
      </c>
      <c r="C102" s="181" t="n">
        <f aca="false">ExportRaw!$G102</f>
        <v>0</v>
      </c>
      <c r="D102" s="181" t="str">
        <f aca="false">ExportRaw!$E102</f>
        <v/>
      </c>
      <c r="E102" s="182" t="str">
        <f aca="false">ExportRaw!$D102</f>
        <v/>
      </c>
      <c r="F102" s="181" t="str">
        <f aca="false">ExportRaw!$H102</f>
        <v/>
      </c>
      <c r="G102" s="183" t="str">
        <f aca="false">ExportRaw!$I102</f>
        <v/>
      </c>
      <c r="H102" s="181" t="str">
        <f aca="false">ExportRaw!$A102</f>
        <v/>
      </c>
      <c r="I102" s="181" t="str">
        <f aca="false">ExportRaw!$B102</f>
        <v/>
      </c>
    </row>
    <row r="103" customFormat="false" ht="15.75" hidden="false" customHeight="false" outlineLevel="0" collapsed="false">
      <c r="A103" s="181" t="n">
        <f aca="false">ExportRaw!$F103</f>
        <v>0</v>
      </c>
      <c r="B103" s="181" t="n">
        <f aca="false">ExportRaw!$C103</f>
        <v>0</v>
      </c>
      <c r="C103" s="181" t="n">
        <f aca="false">ExportRaw!$G103</f>
        <v>0</v>
      </c>
      <c r="D103" s="181" t="str">
        <f aca="false">ExportRaw!$E103</f>
        <v/>
      </c>
      <c r="E103" s="182" t="str">
        <f aca="false">ExportRaw!$D103</f>
        <v/>
      </c>
      <c r="F103" s="181" t="str">
        <f aca="false">ExportRaw!$H103</f>
        <v/>
      </c>
      <c r="G103" s="183" t="str">
        <f aca="false">ExportRaw!$I103</f>
        <v/>
      </c>
      <c r="H103" s="181" t="str">
        <f aca="false">ExportRaw!$A103</f>
        <v/>
      </c>
      <c r="I103" s="181" t="str">
        <f aca="false">ExportRaw!$B103</f>
        <v/>
      </c>
    </row>
    <row r="104" customFormat="false" ht="15.75" hidden="false" customHeight="false" outlineLevel="0" collapsed="false">
      <c r="A104" s="181" t="n">
        <f aca="false">ExportRaw!$F104</f>
        <v>0</v>
      </c>
      <c r="B104" s="181" t="n">
        <f aca="false">ExportRaw!$C104</f>
        <v>0</v>
      </c>
      <c r="C104" s="181" t="n">
        <f aca="false">ExportRaw!$G104</f>
        <v>0</v>
      </c>
      <c r="D104" s="181" t="str">
        <f aca="false">ExportRaw!$E104</f>
        <v/>
      </c>
      <c r="E104" s="182" t="str">
        <f aca="false">ExportRaw!$D104</f>
        <v/>
      </c>
      <c r="F104" s="181" t="str">
        <f aca="false">ExportRaw!$H104</f>
        <v/>
      </c>
      <c r="G104" s="183" t="str">
        <f aca="false">ExportRaw!$I104</f>
        <v/>
      </c>
      <c r="H104" s="181" t="str">
        <f aca="false">ExportRaw!$A104</f>
        <v/>
      </c>
      <c r="I104" s="181" t="str">
        <f aca="false">ExportRaw!$B104</f>
        <v/>
      </c>
    </row>
    <row r="105" customFormat="false" ht="15.75" hidden="false" customHeight="false" outlineLevel="0" collapsed="false">
      <c r="A105" s="181" t="n">
        <f aca="false">ExportRaw!$F105</f>
        <v>0</v>
      </c>
      <c r="B105" s="181" t="n">
        <f aca="false">ExportRaw!$C105</f>
        <v>0</v>
      </c>
      <c r="C105" s="181" t="n">
        <f aca="false">ExportRaw!$G105</f>
        <v>0</v>
      </c>
      <c r="D105" s="181" t="str">
        <f aca="false">ExportRaw!$E105</f>
        <v/>
      </c>
      <c r="E105" s="182" t="str">
        <f aca="false">ExportRaw!$D105</f>
        <v/>
      </c>
      <c r="F105" s="181" t="str">
        <f aca="false">ExportRaw!$H105</f>
        <v/>
      </c>
      <c r="G105" s="183" t="str">
        <f aca="false">ExportRaw!$I105</f>
        <v/>
      </c>
      <c r="H105" s="181" t="str">
        <f aca="false">ExportRaw!$A105</f>
        <v/>
      </c>
      <c r="I105" s="181" t="str">
        <f aca="false">ExportRaw!$B105</f>
        <v/>
      </c>
    </row>
    <row r="106" customFormat="false" ht="15.75" hidden="false" customHeight="false" outlineLevel="0" collapsed="false">
      <c r="A106" s="181" t="n">
        <f aca="false">ExportRaw!$F106</f>
        <v>0</v>
      </c>
      <c r="B106" s="181" t="n">
        <f aca="false">ExportRaw!$C106</f>
        <v>0</v>
      </c>
      <c r="C106" s="181" t="n">
        <f aca="false">ExportRaw!$G106</f>
        <v>0</v>
      </c>
      <c r="D106" s="181" t="str">
        <f aca="false">ExportRaw!$E106</f>
        <v/>
      </c>
      <c r="E106" s="182" t="str">
        <f aca="false">ExportRaw!$D106</f>
        <v/>
      </c>
      <c r="F106" s="181" t="str">
        <f aca="false">ExportRaw!$H106</f>
        <v/>
      </c>
      <c r="G106" s="183" t="str">
        <f aca="false">ExportRaw!$I106</f>
        <v/>
      </c>
      <c r="H106" s="181" t="str">
        <f aca="false">ExportRaw!$A106</f>
        <v/>
      </c>
      <c r="I106" s="181" t="str">
        <f aca="false">ExportRaw!$B106</f>
        <v/>
      </c>
    </row>
    <row r="107" customFormat="false" ht="15.75" hidden="false" customHeight="false" outlineLevel="0" collapsed="false">
      <c r="A107" s="181" t="n">
        <f aca="false">ExportRaw!$F107</f>
        <v>0</v>
      </c>
      <c r="B107" s="181" t="n">
        <f aca="false">ExportRaw!$C107</f>
        <v>0</v>
      </c>
      <c r="C107" s="181" t="n">
        <f aca="false">ExportRaw!$G107</f>
        <v>0</v>
      </c>
      <c r="D107" s="181" t="str">
        <f aca="false">ExportRaw!$E107</f>
        <v/>
      </c>
      <c r="E107" s="182" t="str">
        <f aca="false">ExportRaw!$D107</f>
        <v/>
      </c>
      <c r="F107" s="181" t="str">
        <f aca="false">ExportRaw!$H107</f>
        <v/>
      </c>
      <c r="G107" s="183" t="str">
        <f aca="false">ExportRaw!$I107</f>
        <v/>
      </c>
      <c r="H107" s="181" t="str">
        <f aca="false">ExportRaw!$A107</f>
        <v/>
      </c>
      <c r="I107" s="181" t="str">
        <f aca="false">ExportRaw!$B107</f>
        <v/>
      </c>
    </row>
    <row r="108" customFormat="false" ht="15.75" hidden="false" customHeight="false" outlineLevel="0" collapsed="false">
      <c r="A108" s="181" t="n">
        <f aca="false">ExportRaw!$F108</f>
        <v>0</v>
      </c>
      <c r="B108" s="181" t="n">
        <f aca="false">ExportRaw!$C108</f>
        <v>0</v>
      </c>
      <c r="C108" s="181" t="n">
        <f aca="false">ExportRaw!$G108</f>
        <v>0</v>
      </c>
      <c r="D108" s="181" t="str">
        <f aca="false">ExportRaw!$E108</f>
        <v/>
      </c>
      <c r="E108" s="182" t="str">
        <f aca="false">ExportRaw!$D108</f>
        <v/>
      </c>
      <c r="F108" s="181" t="str">
        <f aca="false">ExportRaw!$H108</f>
        <v/>
      </c>
      <c r="G108" s="183" t="str">
        <f aca="false">ExportRaw!$I108</f>
        <v/>
      </c>
      <c r="H108" s="181" t="str">
        <f aca="false">ExportRaw!$A108</f>
        <v/>
      </c>
      <c r="I108" s="181" t="str">
        <f aca="false">ExportRaw!$B108</f>
        <v/>
      </c>
    </row>
    <row r="109" customFormat="false" ht="15.75" hidden="false" customHeight="false" outlineLevel="0" collapsed="false">
      <c r="A109" s="181" t="n">
        <f aca="false">ExportRaw!$F109</f>
        <v>0</v>
      </c>
      <c r="B109" s="181" t="n">
        <f aca="false">ExportRaw!$C109</f>
        <v>0</v>
      </c>
      <c r="C109" s="181" t="n">
        <f aca="false">ExportRaw!$G109</f>
        <v>0</v>
      </c>
      <c r="D109" s="181" t="str">
        <f aca="false">ExportRaw!$E109</f>
        <v/>
      </c>
      <c r="E109" s="182" t="str">
        <f aca="false">ExportRaw!$D109</f>
        <v/>
      </c>
      <c r="F109" s="181" t="str">
        <f aca="false">ExportRaw!$H109</f>
        <v/>
      </c>
      <c r="G109" s="183" t="str">
        <f aca="false">ExportRaw!$I109</f>
        <v/>
      </c>
      <c r="H109" s="181" t="str">
        <f aca="false">ExportRaw!$A109</f>
        <v/>
      </c>
      <c r="I109" s="181" t="str">
        <f aca="false">ExportRaw!$B109</f>
        <v/>
      </c>
    </row>
    <row r="110" customFormat="false" ht="15.75" hidden="false" customHeight="false" outlineLevel="0" collapsed="false">
      <c r="A110" s="181" t="n">
        <f aca="false">ExportRaw!$F110</f>
        <v>0</v>
      </c>
      <c r="B110" s="181" t="n">
        <f aca="false">ExportRaw!$C110</f>
        <v>0</v>
      </c>
      <c r="C110" s="181" t="n">
        <f aca="false">ExportRaw!$G110</f>
        <v>0</v>
      </c>
      <c r="D110" s="181" t="str">
        <f aca="false">ExportRaw!$E110</f>
        <v/>
      </c>
      <c r="E110" s="182" t="str">
        <f aca="false">ExportRaw!$D110</f>
        <v/>
      </c>
      <c r="F110" s="181" t="str">
        <f aca="false">ExportRaw!$H110</f>
        <v/>
      </c>
      <c r="G110" s="183" t="str">
        <f aca="false">ExportRaw!$I110</f>
        <v/>
      </c>
      <c r="H110" s="181" t="str">
        <f aca="false">ExportRaw!$A110</f>
        <v/>
      </c>
      <c r="I110" s="181" t="str">
        <f aca="false">ExportRaw!$B110</f>
        <v/>
      </c>
    </row>
    <row r="111" customFormat="false" ht="15.75" hidden="false" customHeight="false" outlineLevel="0" collapsed="false">
      <c r="A111" s="181" t="n">
        <f aca="false">ExportRaw!$F111</f>
        <v>0</v>
      </c>
      <c r="B111" s="181" t="n">
        <f aca="false">ExportRaw!$C111</f>
        <v>0</v>
      </c>
      <c r="C111" s="181" t="n">
        <f aca="false">ExportRaw!$G111</f>
        <v>0</v>
      </c>
      <c r="D111" s="181" t="str">
        <f aca="false">ExportRaw!$E111</f>
        <v/>
      </c>
      <c r="E111" s="182" t="str">
        <f aca="false">ExportRaw!$D111</f>
        <v/>
      </c>
      <c r="F111" s="181" t="str">
        <f aca="false">ExportRaw!$H111</f>
        <v/>
      </c>
      <c r="G111" s="183" t="str">
        <f aca="false">ExportRaw!$I111</f>
        <v/>
      </c>
      <c r="H111" s="181" t="str">
        <f aca="false">ExportRaw!$A111</f>
        <v/>
      </c>
      <c r="I111" s="181" t="str">
        <f aca="false">ExportRaw!$B111</f>
        <v/>
      </c>
    </row>
    <row r="112" customFormat="false" ht="15.75" hidden="false" customHeight="false" outlineLevel="0" collapsed="false">
      <c r="A112" s="181" t="n">
        <f aca="false">ExportRaw!$F112</f>
        <v>0</v>
      </c>
      <c r="B112" s="181" t="n">
        <f aca="false">ExportRaw!$C112</f>
        <v>0</v>
      </c>
      <c r="C112" s="181" t="n">
        <f aca="false">ExportRaw!$G112</f>
        <v>0</v>
      </c>
      <c r="D112" s="181" t="str">
        <f aca="false">ExportRaw!$E112</f>
        <v/>
      </c>
      <c r="E112" s="182" t="str">
        <f aca="false">ExportRaw!$D112</f>
        <v/>
      </c>
      <c r="F112" s="181" t="str">
        <f aca="false">ExportRaw!$H112</f>
        <v/>
      </c>
      <c r="G112" s="183" t="str">
        <f aca="false">ExportRaw!$I112</f>
        <v/>
      </c>
      <c r="H112" s="181" t="str">
        <f aca="false">ExportRaw!$A112</f>
        <v/>
      </c>
      <c r="I112" s="181" t="str">
        <f aca="false">ExportRaw!$B112</f>
        <v/>
      </c>
    </row>
    <row r="113" customFormat="false" ht="15.75" hidden="false" customHeight="false" outlineLevel="0" collapsed="false">
      <c r="A113" s="181" t="n">
        <f aca="false">ExportRaw!$F113</f>
        <v>0</v>
      </c>
      <c r="B113" s="181" t="n">
        <f aca="false">ExportRaw!$C113</f>
        <v>0</v>
      </c>
      <c r="C113" s="181" t="n">
        <f aca="false">ExportRaw!$G113</f>
        <v>0</v>
      </c>
      <c r="D113" s="181" t="str">
        <f aca="false">ExportRaw!$E113</f>
        <v/>
      </c>
      <c r="E113" s="182" t="str">
        <f aca="false">ExportRaw!$D113</f>
        <v/>
      </c>
      <c r="F113" s="181" t="str">
        <f aca="false">ExportRaw!$H113</f>
        <v/>
      </c>
      <c r="G113" s="183" t="str">
        <f aca="false">ExportRaw!$I113</f>
        <v/>
      </c>
      <c r="H113" s="181" t="str">
        <f aca="false">ExportRaw!$A113</f>
        <v/>
      </c>
      <c r="I113" s="181" t="str">
        <f aca="false">ExportRaw!$B113</f>
        <v/>
      </c>
    </row>
    <row r="114" customFormat="false" ht="15.75" hidden="false" customHeight="false" outlineLevel="0" collapsed="false">
      <c r="A114" s="181" t="n">
        <f aca="false">ExportRaw!$F114</f>
        <v>0</v>
      </c>
      <c r="B114" s="181" t="n">
        <f aca="false">ExportRaw!$C114</f>
        <v>0</v>
      </c>
      <c r="C114" s="181" t="n">
        <f aca="false">ExportRaw!$G114</f>
        <v>0</v>
      </c>
      <c r="D114" s="181" t="str">
        <f aca="false">ExportRaw!$E114</f>
        <v/>
      </c>
      <c r="E114" s="182" t="str">
        <f aca="false">ExportRaw!$D114</f>
        <v/>
      </c>
      <c r="F114" s="181" t="str">
        <f aca="false">ExportRaw!$H114</f>
        <v/>
      </c>
      <c r="G114" s="183" t="str">
        <f aca="false">ExportRaw!$I114</f>
        <v/>
      </c>
      <c r="H114" s="181" t="str">
        <f aca="false">ExportRaw!$A114</f>
        <v/>
      </c>
      <c r="I114" s="181" t="str">
        <f aca="false">ExportRaw!$B114</f>
        <v/>
      </c>
    </row>
    <row r="115" customFormat="false" ht="15.75" hidden="false" customHeight="false" outlineLevel="0" collapsed="false">
      <c r="A115" s="181" t="n">
        <f aca="false">ExportRaw!$F115</f>
        <v>0</v>
      </c>
      <c r="B115" s="181" t="n">
        <f aca="false">ExportRaw!$C115</f>
        <v>0</v>
      </c>
      <c r="C115" s="181" t="n">
        <f aca="false">ExportRaw!$G115</f>
        <v>0</v>
      </c>
      <c r="D115" s="181" t="str">
        <f aca="false">ExportRaw!$E115</f>
        <v/>
      </c>
      <c r="E115" s="182" t="str">
        <f aca="false">ExportRaw!$D115</f>
        <v/>
      </c>
      <c r="F115" s="181" t="str">
        <f aca="false">ExportRaw!$H115</f>
        <v/>
      </c>
      <c r="G115" s="183" t="str">
        <f aca="false">ExportRaw!$I115</f>
        <v/>
      </c>
      <c r="H115" s="181" t="str">
        <f aca="false">ExportRaw!$A115</f>
        <v/>
      </c>
      <c r="I115" s="181" t="str">
        <f aca="false">ExportRaw!$B115</f>
        <v/>
      </c>
    </row>
    <row r="116" customFormat="false" ht="15.75" hidden="false" customHeight="false" outlineLevel="0" collapsed="false">
      <c r="A116" s="181" t="n">
        <f aca="false">ExportRaw!$F116</f>
        <v>0</v>
      </c>
      <c r="B116" s="181" t="n">
        <f aca="false">ExportRaw!$C116</f>
        <v>0</v>
      </c>
      <c r="C116" s="181" t="n">
        <f aca="false">ExportRaw!$G116</f>
        <v>0</v>
      </c>
      <c r="D116" s="181" t="str">
        <f aca="false">ExportRaw!$E116</f>
        <v/>
      </c>
      <c r="E116" s="182" t="str">
        <f aca="false">ExportRaw!$D116</f>
        <v/>
      </c>
      <c r="F116" s="181" t="str">
        <f aca="false">ExportRaw!$H116</f>
        <v/>
      </c>
      <c r="G116" s="183" t="str">
        <f aca="false">ExportRaw!$I116</f>
        <v/>
      </c>
      <c r="H116" s="181" t="str">
        <f aca="false">ExportRaw!$A116</f>
        <v/>
      </c>
      <c r="I116" s="181" t="str">
        <f aca="false">ExportRaw!$B116</f>
        <v/>
      </c>
    </row>
    <row r="117" customFormat="false" ht="15.75" hidden="false" customHeight="false" outlineLevel="0" collapsed="false">
      <c r="A117" s="181" t="n">
        <f aca="false">ExportRaw!$F117</f>
        <v>0</v>
      </c>
      <c r="B117" s="181" t="n">
        <f aca="false">ExportRaw!$C117</f>
        <v>0</v>
      </c>
      <c r="C117" s="181" t="n">
        <f aca="false">ExportRaw!$G117</f>
        <v>0</v>
      </c>
      <c r="D117" s="181" t="str">
        <f aca="false">ExportRaw!$E117</f>
        <v/>
      </c>
      <c r="E117" s="182" t="str">
        <f aca="false">ExportRaw!$D117</f>
        <v/>
      </c>
      <c r="F117" s="181" t="str">
        <f aca="false">ExportRaw!$H117</f>
        <v/>
      </c>
      <c r="G117" s="183" t="str">
        <f aca="false">ExportRaw!$I117</f>
        <v/>
      </c>
      <c r="H117" s="181" t="str">
        <f aca="false">ExportRaw!$A117</f>
        <v/>
      </c>
      <c r="I117" s="181" t="str">
        <f aca="false">ExportRaw!$B117</f>
        <v/>
      </c>
    </row>
    <row r="118" customFormat="false" ht="15.75" hidden="false" customHeight="false" outlineLevel="0" collapsed="false">
      <c r="A118" s="181" t="n">
        <f aca="false">ExportRaw!$F118</f>
        <v>0</v>
      </c>
      <c r="B118" s="181" t="n">
        <f aca="false">ExportRaw!$C118</f>
        <v>0</v>
      </c>
      <c r="C118" s="181" t="n">
        <f aca="false">ExportRaw!$G118</f>
        <v>0</v>
      </c>
      <c r="D118" s="181" t="str">
        <f aca="false">ExportRaw!$E118</f>
        <v/>
      </c>
      <c r="E118" s="182" t="str">
        <f aca="false">ExportRaw!$D118</f>
        <v/>
      </c>
      <c r="F118" s="181" t="str">
        <f aca="false">ExportRaw!$H118</f>
        <v/>
      </c>
      <c r="G118" s="183" t="str">
        <f aca="false">ExportRaw!$I118</f>
        <v/>
      </c>
      <c r="H118" s="181" t="str">
        <f aca="false">ExportRaw!$A118</f>
        <v/>
      </c>
      <c r="I118" s="181" t="str">
        <f aca="false">ExportRaw!$B118</f>
        <v/>
      </c>
    </row>
    <row r="119" customFormat="false" ht="15.75" hidden="false" customHeight="false" outlineLevel="0" collapsed="false">
      <c r="A119" s="181" t="n">
        <f aca="false">ExportRaw!$F119</f>
        <v>0</v>
      </c>
      <c r="B119" s="181" t="n">
        <f aca="false">ExportRaw!$C119</f>
        <v>0</v>
      </c>
      <c r="C119" s="181" t="n">
        <f aca="false">ExportRaw!$G119</f>
        <v>0</v>
      </c>
      <c r="D119" s="181" t="str">
        <f aca="false">ExportRaw!$E119</f>
        <v/>
      </c>
      <c r="E119" s="182" t="str">
        <f aca="false">ExportRaw!$D119</f>
        <v/>
      </c>
      <c r="F119" s="181" t="str">
        <f aca="false">ExportRaw!$H119</f>
        <v/>
      </c>
      <c r="G119" s="183" t="str">
        <f aca="false">ExportRaw!$I119</f>
        <v/>
      </c>
      <c r="H119" s="181" t="str">
        <f aca="false">ExportRaw!$A119</f>
        <v/>
      </c>
      <c r="I119" s="181" t="str">
        <f aca="false">ExportRaw!$B119</f>
        <v/>
      </c>
    </row>
    <row r="120" customFormat="false" ht="15.75" hidden="false" customHeight="false" outlineLevel="0" collapsed="false">
      <c r="A120" s="181" t="n">
        <f aca="false">ExportRaw!$F120</f>
        <v>0</v>
      </c>
      <c r="B120" s="181" t="n">
        <f aca="false">ExportRaw!$C120</f>
        <v>0</v>
      </c>
      <c r="C120" s="181" t="n">
        <f aca="false">ExportRaw!$G120</f>
        <v>0</v>
      </c>
      <c r="D120" s="181" t="str">
        <f aca="false">ExportRaw!$E120</f>
        <v/>
      </c>
      <c r="E120" s="182" t="str">
        <f aca="false">ExportRaw!$D120</f>
        <v/>
      </c>
      <c r="F120" s="181" t="str">
        <f aca="false">ExportRaw!$H120</f>
        <v/>
      </c>
      <c r="G120" s="183" t="str">
        <f aca="false">ExportRaw!$I120</f>
        <v/>
      </c>
      <c r="H120" s="181" t="str">
        <f aca="false">ExportRaw!$A120</f>
        <v/>
      </c>
      <c r="I120" s="181" t="str">
        <f aca="false">ExportRaw!$B120</f>
        <v/>
      </c>
    </row>
    <row r="121" customFormat="false" ht="15.75" hidden="false" customHeight="false" outlineLevel="0" collapsed="false">
      <c r="A121" s="181" t="n">
        <f aca="false">ExportRaw!$F121</f>
        <v>0</v>
      </c>
      <c r="B121" s="181" t="n">
        <f aca="false">ExportRaw!$C121</f>
        <v>0</v>
      </c>
      <c r="C121" s="181" t="n">
        <f aca="false">ExportRaw!$G121</f>
        <v>0</v>
      </c>
      <c r="D121" s="181" t="str">
        <f aca="false">ExportRaw!$E121</f>
        <v/>
      </c>
      <c r="E121" s="182" t="str">
        <f aca="false">ExportRaw!$D121</f>
        <v/>
      </c>
      <c r="F121" s="181" t="str">
        <f aca="false">ExportRaw!$H121</f>
        <v/>
      </c>
      <c r="G121" s="183" t="str">
        <f aca="false">ExportRaw!$I121</f>
        <v/>
      </c>
      <c r="H121" s="181" t="str">
        <f aca="false">ExportRaw!$A121</f>
        <v/>
      </c>
      <c r="I121" s="181" t="str">
        <f aca="false">ExportRaw!$B121</f>
        <v/>
      </c>
    </row>
    <row r="122" customFormat="false" ht="15.75" hidden="false" customHeight="false" outlineLevel="0" collapsed="false">
      <c r="A122" s="181" t="n">
        <f aca="false">ExportRaw!$F122</f>
        <v>0</v>
      </c>
      <c r="B122" s="181" t="n">
        <f aca="false">ExportRaw!$C122</f>
        <v>0</v>
      </c>
      <c r="C122" s="181" t="n">
        <f aca="false">ExportRaw!$G122</f>
        <v>0</v>
      </c>
      <c r="D122" s="181" t="str">
        <f aca="false">ExportRaw!$E122</f>
        <v/>
      </c>
      <c r="E122" s="182" t="str">
        <f aca="false">ExportRaw!$D122</f>
        <v/>
      </c>
      <c r="F122" s="181" t="str">
        <f aca="false">ExportRaw!$H122</f>
        <v/>
      </c>
      <c r="G122" s="183" t="str">
        <f aca="false">ExportRaw!$I122</f>
        <v/>
      </c>
      <c r="H122" s="181" t="str">
        <f aca="false">ExportRaw!$A122</f>
        <v/>
      </c>
      <c r="I122" s="181" t="str">
        <f aca="false">ExportRaw!$B122</f>
        <v/>
      </c>
    </row>
    <row r="123" customFormat="false" ht="15.75" hidden="false" customHeight="false" outlineLevel="0" collapsed="false">
      <c r="A123" s="181" t="n">
        <f aca="false">ExportRaw!$F123</f>
        <v>0</v>
      </c>
      <c r="B123" s="181" t="n">
        <f aca="false">ExportRaw!$C123</f>
        <v>0</v>
      </c>
      <c r="C123" s="181" t="n">
        <f aca="false">ExportRaw!$G123</f>
        <v>0</v>
      </c>
      <c r="D123" s="181" t="str">
        <f aca="false">ExportRaw!$E123</f>
        <v/>
      </c>
      <c r="E123" s="182" t="str">
        <f aca="false">ExportRaw!$D123</f>
        <v/>
      </c>
      <c r="F123" s="181" t="str">
        <f aca="false">ExportRaw!$H123</f>
        <v/>
      </c>
      <c r="G123" s="183" t="str">
        <f aca="false">ExportRaw!$I123</f>
        <v/>
      </c>
      <c r="H123" s="181" t="str">
        <f aca="false">ExportRaw!$A123</f>
        <v/>
      </c>
      <c r="I123" s="181" t="str">
        <f aca="false">ExportRaw!$B123</f>
        <v/>
      </c>
    </row>
    <row r="124" customFormat="false" ht="15.75" hidden="false" customHeight="false" outlineLevel="0" collapsed="false">
      <c r="A124" s="181" t="n">
        <f aca="false">ExportRaw!$F124</f>
        <v>0</v>
      </c>
      <c r="B124" s="181" t="n">
        <f aca="false">ExportRaw!$C124</f>
        <v>0</v>
      </c>
      <c r="C124" s="181" t="n">
        <f aca="false">ExportRaw!$G124</f>
        <v>0</v>
      </c>
      <c r="D124" s="181" t="str">
        <f aca="false">ExportRaw!$E124</f>
        <v/>
      </c>
      <c r="E124" s="182" t="str">
        <f aca="false">ExportRaw!$D124</f>
        <v/>
      </c>
      <c r="F124" s="181" t="str">
        <f aca="false">ExportRaw!$H124</f>
        <v/>
      </c>
      <c r="G124" s="183" t="str">
        <f aca="false">ExportRaw!$I124</f>
        <v/>
      </c>
      <c r="H124" s="181" t="str">
        <f aca="false">ExportRaw!$A124</f>
        <v/>
      </c>
      <c r="I124" s="181" t="str">
        <f aca="false">ExportRaw!$B124</f>
        <v/>
      </c>
    </row>
    <row r="125" customFormat="false" ht="15.75" hidden="false" customHeight="false" outlineLevel="0" collapsed="false">
      <c r="A125" s="181" t="n">
        <f aca="false">ExportRaw!$F125</f>
        <v>0</v>
      </c>
      <c r="B125" s="181" t="n">
        <f aca="false">ExportRaw!$C125</f>
        <v>0</v>
      </c>
      <c r="C125" s="181" t="n">
        <f aca="false">ExportRaw!$G125</f>
        <v>0</v>
      </c>
      <c r="D125" s="181" t="str">
        <f aca="false">ExportRaw!$E125</f>
        <v/>
      </c>
      <c r="E125" s="182" t="str">
        <f aca="false">ExportRaw!$D125</f>
        <v/>
      </c>
      <c r="F125" s="181" t="str">
        <f aca="false">ExportRaw!$H125</f>
        <v/>
      </c>
      <c r="G125" s="183" t="str">
        <f aca="false">ExportRaw!$I125</f>
        <v/>
      </c>
      <c r="H125" s="181" t="str">
        <f aca="false">ExportRaw!$A125</f>
        <v/>
      </c>
      <c r="I125" s="181" t="str">
        <f aca="false">ExportRaw!$B125</f>
        <v/>
      </c>
    </row>
    <row r="126" customFormat="false" ht="15.75" hidden="false" customHeight="false" outlineLevel="0" collapsed="false">
      <c r="A126" s="181" t="n">
        <f aca="false">ExportRaw!$F126</f>
        <v>0</v>
      </c>
      <c r="B126" s="181" t="n">
        <f aca="false">ExportRaw!$C126</f>
        <v>0</v>
      </c>
      <c r="C126" s="181" t="n">
        <f aca="false">ExportRaw!$G126</f>
        <v>0</v>
      </c>
      <c r="D126" s="181" t="str">
        <f aca="false">ExportRaw!$E126</f>
        <v/>
      </c>
      <c r="E126" s="182" t="str">
        <f aca="false">ExportRaw!$D126</f>
        <v/>
      </c>
      <c r="F126" s="181" t="str">
        <f aca="false">ExportRaw!$H126</f>
        <v/>
      </c>
      <c r="G126" s="183" t="str">
        <f aca="false">ExportRaw!$I126</f>
        <v/>
      </c>
      <c r="H126" s="181" t="str">
        <f aca="false">ExportRaw!$A126</f>
        <v/>
      </c>
      <c r="I126" s="181" t="str">
        <f aca="false">ExportRaw!$B126</f>
        <v/>
      </c>
    </row>
    <row r="127" customFormat="false" ht="15.75" hidden="false" customHeight="false" outlineLevel="0" collapsed="false">
      <c r="A127" s="181" t="n">
        <f aca="false">ExportRaw!$F127</f>
        <v>0</v>
      </c>
      <c r="B127" s="181" t="n">
        <f aca="false">ExportRaw!$C127</f>
        <v>0</v>
      </c>
      <c r="C127" s="181" t="n">
        <f aca="false">ExportRaw!$G127</f>
        <v>0</v>
      </c>
      <c r="D127" s="181" t="str">
        <f aca="false">ExportRaw!$E127</f>
        <v/>
      </c>
      <c r="E127" s="182" t="str">
        <f aca="false">ExportRaw!$D127</f>
        <v/>
      </c>
      <c r="F127" s="181" t="str">
        <f aca="false">ExportRaw!$H127</f>
        <v/>
      </c>
      <c r="G127" s="183" t="str">
        <f aca="false">ExportRaw!$I127</f>
        <v/>
      </c>
      <c r="H127" s="181" t="str">
        <f aca="false">ExportRaw!$A127</f>
        <v/>
      </c>
      <c r="I127" s="181" t="str">
        <f aca="false">ExportRaw!$B127</f>
        <v/>
      </c>
    </row>
    <row r="128" customFormat="false" ht="15.75" hidden="false" customHeight="false" outlineLevel="0" collapsed="false">
      <c r="A128" s="181" t="n">
        <f aca="false">ExportRaw!$F128</f>
        <v>0</v>
      </c>
      <c r="B128" s="181" t="n">
        <f aca="false">ExportRaw!$C128</f>
        <v>0</v>
      </c>
      <c r="C128" s="181" t="n">
        <f aca="false">ExportRaw!$G128</f>
        <v>0</v>
      </c>
      <c r="D128" s="181" t="str">
        <f aca="false">ExportRaw!$E128</f>
        <v/>
      </c>
      <c r="E128" s="182" t="str">
        <f aca="false">ExportRaw!$D128</f>
        <v/>
      </c>
      <c r="F128" s="181" t="str">
        <f aca="false">ExportRaw!$H128</f>
        <v/>
      </c>
      <c r="G128" s="183" t="str">
        <f aca="false">ExportRaw!$I128</f>
        <v/>
      </c>
      <c r="H128" s="181" t="str">
        <f aca="false">ExportRaw!$A128</f>
        <v/>
      </c>
      <c r="I128" s="181" t="str">
        <f aca="false">ExportRaw!$B128</f>
        <v/>
      </c>
    </row>
    <row r="129" customFormat="false" ht="15.75" hidden="false" customHeight="false" outlineLevel="0" collapsed="false">
      <c r="A129" s="181" t="n">
        <f aca="false">ExportRaw!$F129</f>
        <v>0</v>
      </c>
      <c r="B129" s="181" t="n">
        <f aca="false">ExportRaw!$C129</f>
        <v>0</v>
      </c>
      <c r="C129" s="181" t="n">
        <f aca="false">ExportRaw!$G129</f>
        <v>0</v>
      </c>
      <c r="D129" s="181" t="str">
        <f aca="false">ExportRaw!$E129</f>
        <v/>
      </c>
      <c r="E129" s="182" t="str">
        <f aca="false">ExportRaw!$D129</f>
        <v/>
      </c>
      <c r="F129" s="181" t="str">
        <f aca="false">ExportRaw!$H129</f>
        <v/>
      </c>
      <c r="G129" s="183" t="str">
        <f aca="false">ExportRaw!$I129</f>
        <v/>
      </c>
      <c r="H129" s="181" t="str">
        <f aca="false">ExportRaw!$A129</f>
        <v/>
      </c>
      <c r="I129" s="181" t="str">
        <f aca="false">ExportRaw!$B129</f>
        <v/>
      </c>
    </row>
    <row r="130" customFormat="false" ht="15.75" hidden="false" customHeight="false" outlineLevel="0" collapsed="false">
      <c r="A130" s="181" t="n">
        <f aca="false">ExportRaw!$F130</f>
        <v>0</v>
      </c>
      <c r="B130" s="181" t="n">
        <f aca="false">ExportRaw!$C130</f>
        <v>0</v>
      </c>
      <c r="C130" s="181" t="n">
        <f aca="false">ExportRaw!$G130</f>
        <v>0</v>
      </c>
      <c r="D130" s="181" t="str">
        <f aca="false">ExportRaw!$E130</f>
        <v/>
      </c>
      <c r="E130" s="182" t="str">
        <f aca="false">ExportRaw!$D130</f>
        <v/>
      </c>
      <c r="F130" s="181" t="str">
        <f aca="false">ExportRaw!$H130</f>
        <v/>
      </c>
      <c r="G130" s="183" t="str">
        <f aca="false">ExportRaw!$I130</f>
        <v/>
      </c>
      <c r="H130" s="181" t="str">
        <f aca="false">ExportRaw!$A130</f>
        <v/>
      </c>
      <c r="I130" s="181" t="str">
        <f aca="false">ExportRaw!$B130</f>
        <v/>
      </c>
    </row>
    <row r="131" customFormat="false" ht="15.75" hidden="false" customHeight="false" outlineLevel="0" collapsed="false">
      <c r="A131" s="181" t="n">
        <f aca="false">ExportRaw!$F131</f>
        <v>0</v>
      </c>
      <c r="B131" s="181" t="n">
        <f aca="false">ExportRaw!$C131</f>
        <v>0</v>
      </c>
      <c r="C131" s="181" t="n">
        <f aca="false">ExportRaw!$G131</f>
        <v>0</v>
      </c>
      <c r="D131" s="181" t="str">
        <f aca="false">ExportRaw!$E131</f>
        <v/>
      </c>
      <c r="E131" s="182" t="str">
        <f aca="false">ExportRaw!$D131</f>
        <v/>
      </c>
      <c r="F131" s="181" t="str">
        <f aca="false">ExportRaw!$H131</f>
        <v/>
      </c>
      <c r="G131" s="183" t="str">
        <f aca="false">ExportRaw!$I131</f>
        <v/>
      </c>
      <c r="H131" s="181" t="str">
        <f aca="false">ExportRaw!$A131</f>
        <v/>
      </c>
      <c r="I131" s="181" t="str">
        <f aca="false">ExportRaw!$B131</f>
        <v/>
      </c>
    </row>
    <row r="132" customFormat="false" ht="15.75" hidden="false" customHeight="false" outlineLevel="0" collapsed="false">
      <c r="A132" s="181" t="n">
        <f aca="false">ExportRaw!$F132</f>
        <v>0</v>
      </c>
      <c r="B132" s="181" t="n">
        <f aca="false">ExportRaw!$C132</f>
        <v>0</v>
      </c>
      <c r="C132" s="181" t="n">
        <f aca="false">ExportRaw!$G132</f>
        <v>0</v>
      </c>
      <c r="D132" s="181" t="str">
        <f aca="false">ExportRaw!$E132</f>
        <v/>
      </c>
      <c r="E132" s="182" t="str">
        <f aca="false">ExportRaw!$D132</f>
        <v/>
      </c>
      <c r="F132" s="181" t="str">
        <f aca="false">ExportRaw!$H132</f>
        <v/>
      </c>
      <c r="G132" s="183" t="str">
        <f aca="false">ExportRaw!$I132</f>
        <v/>
      </c>
      <c r="H132" s="181" t="str">
        <f aca="false">ExportRaw!$A132</f>
        <v/>
      </c>
      <c r="I132" s="181" t="str">
        <f aca="false">ExportRaw!$B132</f>
        <v/>
      </c>
    </row>
    <row r="133" customFormat="false" ht="15.75" hidden="false" customHeight="false" outlineLevel="0" collapsed="false">
      <c r="A133" s="181" t="n">
        <f aca="false">ExportRaw!$F133</f>
        <v>0</v>
      </c>
      <c r="B133" s="181" t="n">
        <f aca="false">ExportRaw!$C133</f>
        <v>0</v>
      </c>
      <c r="C133" s="181" t="n">
        <f aca="false">ExportRaw!$G133</f>
        <v>0</v>
      </c>
      <c r="D133" s="181" t="str">
        <f aca="false">ExportRaw!$E133</f>
        <v/>
      </c>
      <c r="E133" s="182" t="str">
        <f aca="false">ExportRaw!$D133</f>
        <v/>
      </c>
      <c r="F133" s="181" t="str">
        <f aca="false">ExportRaw!$H133</f>
        <v/>
      </c>
      <c r="G133" s="183" t="str">
        <f aca="false">ExportRaw!$I133</f>
        <v/>
      </c>
      <c r="H133" s="181" t="str">
        <f aca="false">ExportRaw!$A133</f>
        <v/>
      </c>
      <c r="I133" s="181" t="str">
        <f aca="false">ExportRaw!$B133</f>
        <v/>
      </c>
    </row>
    <row r="134" customFormat="false" ht="15.75" hidden="false" customHeight="false" outlineLevel="0" collapsed="false">
      <c r="A134" s="181" t="n">
        <f aca="false">ExportRaw!$F134</f>
        <v>0</v>
      </c>
      <c r="B134" s="181" t="n">
        <f aca="false">ExportRaw!$C134</f>
        <v>0</v>
      </c>
      <c r="C134" s="181" t="n">
        <f aca="false">ExportRaw!$G134</f>
        <v>0</v>
      </c>
      <c r="D134" s="181" t="str">
        <f aca="false">ExportRaw!$E134</f>
        <v/>
      </c>
      <c r="E134" s="182" t="str">
        <f aca="false">ExportRaw!$D134</f>
        <v/>
      </c>
      <c r="F134" s="181" t="str">
        <f aca="false">ExportRaw!$H134</f>
        <v/>
      </c>
      <c r="G134" s="183" t="str">
        <f aca="false">ExportRaw!$I134</f>
        <v/>
      </c>
      <c r="H134" s="181" t="str">
        <f aca="false">ExportRaw!$A134</f>
        <v/>
      </c>
      <c r="I134" s="181" t="str">
        <f aca="false">ExportRaw!$B134</f>
        <v/>
      </c>
    </row>
    <row r="135" customFormat="false" ht="15.75" hidden="false" customHeight="false" outlineLevel="0" collapsed="false">
      <c r="A135" s="181" t="n">
        <f aca="false">ExportRaw!$F135</f>
        <v>0</v>
      </c>
      <c r="B135" s="181" t="n">
        <f aca="false">ExportRaw!$C135</f>
        <v>0</v>
      </c>
      <c r="C135" s="181" t="n">
        <f aca="false">ExportRaw!$G135</f>
        <v>0</v>
      </c>
      <c r="D135" s="181" t="str">
        <f aca="false">ExportRaw!$E135</f>
        <v/>
      </c>
      <c r="E135" s="182" t="str">
        <f aca="false">ExportRaw!$D135</f>
        <v/>
      </c>
      <c r="F135" s="181" t="str">
        <f aca="false">ExportRaw!$H135</f>
        <v/>
      </c>
      <c r="G135" s="183" t="str">
        <f aca="false">ExportRaw!$I135</f>
        <v/>
      </c>
      <c r="H135" s="181" t="str">
        <f aca="false">ExportRaw!$A135</f>
        <v/>
      </c>
      <c r="I135" s="181" t="str">
        <f aca="false">ExportRaw!$B135</f>
        <v/>
      </c>
    </row>
    <row r="136" customFormat="false" ht="15.75" hidden="false" customHeight="false" outlineLevel="0" collapsed="false">
      <c r="A136" s="181" t="n">
        <f aca="false">ExportRaw!$F136</f>
        <v>0</v>
      </c>
      <c r="B136" s="181" t="n">
        <f aca="false">ExportRaw!$C136</f>
        <v>0</v>
      </c>
      <c r="C136" s="181" t="n">
        <f aca="false">ExportRaw!$G136</f>
        <v>0</v>
      </c>
      <c r="D136" s="181" t="str">
        <f aca="false">ExportRaw!$E136</f>
        <v/>
      </c>
      <c r="E136" s="182" t="str">
        <f aca="false">ExportRaw!$D136</f>
        <v/>
      </c>
      <c r="F136" s="181" t="str">
        <f aca="false">ExportRaw!$H136</f>
        <v/>
      </c>
      <c r="G136" s="183" t="str">
        <f aca="false">ExportRaw!$I136</f>
        <v/>
      </c>
      <c r="H136" s="181" t="str">
        <f aca="false">ExportRaw!$A136</f>
        <v/>
      </c>
      <c r="I136" s="181" t="str">
        <f aca="false">ExportRaw!$B136</f>
        <v/>
      </c>
    </row>
    <row r="137" customFormat="false" ht="15.75" hidden="false" customHeight="false" outlineLevel="0" collapsed="false">
      <c r="A137" s="181" t="n">
        <f aca="false">ExportRaw!$F137</f>
        <v>0</v>
      </c>
      <c r="B137" s="181" t="n">
        <f aca="false">ExportRaw!$C137</f>
        <v>0</v>
      </c>
      <c r="C137" s="181" t="n">
        <f aca="false">ExportRaw!$G137</f>
        <v>0</v>
      </c>
      <c r="D137" s="181" t="str">
        <f aca="false">ExportRaw!$E137</f>
        <v/>
      </c>
      <c r="E137" s="182" t="str">
        <f aca="false">ExportRaw!$D137</f>
        <v/>
      </c>
      <c r="F137" s="181" t="str">
        <f aca="false">ExportRaw!$H137</f>
        <v/>
      </c>
      <c r="G137" s="183" t="str">
        <f aca="false">ExportRaw!$I137</f>
        <v/>
      </c>
      <c r="H137" s="181" t="str">
        <f aca="false">ExportRaw!$A137</f>
        <v/>
      </c>
      <c r="I137" s="181" t="str">
        <f aca="false">ExportRaw!$B137</f>
        <v/>
      </c>
    </row>
    <row r="138" customFormat="false" ht="15.75" hidden="false" customHeight="false" outlineLevel="0" collapsed="false">
      <c r="A138" s="181" t="n">
        <f aca="false">ExportRaw!$F138</f>
        <v>0</v>
      </c>
      <c r="B138" s="181" t="n">
        <f aca="false">ExportRaw!$C138</f>
        <v>0</v>
      </c>
      <c r="C138" s="181" t="n">
        <f aca="false">ExportRaw!$G138</f>
        <v>0</v>
      </c>
      <c r="D138" s="181" t="str">
        <f aca="false">ExportRaw!$E138</f>
        <v/>
      </c>
      <c r="E138" s="182" t="str">
        <f aca="false">ExportRaw!$D138</f>
        <v/>
      </c>
      <c r="F138" s="181" t="str">
        <f aca="false">ExportRaw!$H138</f>
        <v/>
      </c>
      <c r="G138" s="183" t="str">
        <f aca="false">ExportRaw!$I138</f>
        <v/>
      </c>
      <c r="H138" s="181" t="str">
        <f aca="false">ExportRaw!$A138</f>
        <v/>
      </c>
      <c r="I138" s="181" t="str">
        <f aca="false">ExportRaw!$B138</f>
        <v/>
      </c>
    </row>
    <row r="139" customFormat="false" ht="15.75" hidden="false" customHeight="false" outlineLevel="0" collapsed="false">
      <c r="A139" s="181" t="n">
        <f aca="false">ExportRaw!$F139</f>
        <v>0</v>
      </c>
      <c r="B139" s="181" t="n">
        <f aca="false">ExportRaw!$C139</f>
        <v>0</v>
      </c>
      <c r="C139" s="181" t="n">
        <f aca="false">ExportRaw!$G139</f>
        <v>0</v>
      </c>
      <c r="D139" s="181" t="str">
        <f aca="false">ExportRaw!$E139</f>
        <v/>
      </c>
      <c r="E139" s="182" t="str">
        <f aca="false">ExportRaw!$D139</f>
        <v/>
      </c>
      <c r="F139" s="181" t="str">
        <f aca="false">ExportRaw!$H139</f>
        <v/>
      </c>
      <c r="G139" s="183" t="str">
        <f aca="false">ExportRaw!$I139</f>
        <v/>
      </c>
      <c r="H139" s="181" t="str">
        <f aca="false">ExportRaw!$A139</f>
        <v/>
      </c>
      <c r="I139" s="181" t="str">
        <f aca="false">ExportRaw!$B139</f>
        <v/>
      </c>
    </row>
    <row r="140" customFormat="false" ht="15.75" hidden="false" customHeight="false" outlineLevel="0" collapsed="false">
      <c r="A140" s="181" t="n">
        <f aca="false">ExportRaw!$F140</f>
        <v>0</v>
      </c>
      <c r="B140" s="181" t="n">
        <f aca="false">ExportRaw!$C140</f>
        <v>0</v>
      </c>
      <c r="C140" s="181" t="n">
        <f aca="false">ExportRaw!$G140</f>
        <v>0</v>
      </c>
      <c r="D140" s="181" t="str">
        <f aca="false">ExportRaw!$E140</f>
        <v/>
      </c>
      <c r="E140" s="182" t="str">
        <f aca="false">ExportRaw!$D140</f>
        <v/>
      </c>
      <c r="F140" s="181" t="str">
        <f aca="false">ExportRaw!$H140</f>
        <v/>
      </c>
      <c r="G140" s="183" t="str">
        <f aca="false">ExportRaw!$I140</f>
        <v/>
      </c>
      <c r="H140" s="181" t="str">
        <f aca="false">ExportRaw!$A140</f>
        <v/>
      </c>
      <c r="I140" s="181" t="str">
        <f aca="false">ExportRaw!$B140</f>
        <v/>
      </c>
    </row>
    <row r="141" customFormat="false" ht="15.75" hidden="false" customHeight="false" outlineLevel="0" collapsed="false">
      <c r="A141" s="181" t="n">
        <f aca="false">ExportRaw!$F141</f>
        <v>0</v>
      </c>
      <c r="B141" s="181" t="n">
        <f aca="false">ExportRaw!$C141</f>
        <v>0</v>
      </c>
      <c r="C141" s="181" t="n">
        <f aca="false">ExportRaw!$G141</f>
        <v>0</v>
      </c>
      <c r="D141" s="181" t="str">
        <f aca="false">ExportRaw!$E141</f>
        <v/>
      </c>
      <c r="E141" s="182" t="str">
        <f aca="false">ExportRaw!$D141</f>
        <v/>
      </c>
      <c r="F141" s="181" t="str">
        <f aca="false">ExportRaw!$H141</f>
        <v/>
      </c>
      <c r="G141" s="183" t="str">
        <f aca="false">ExportRaw!$I141</f>
        <v/>
      </c>
      <c r="H141" s="181" t="str">
        <f aca="false">ExportRaw!$A141</f>
        <v/>
      </c>
      <c r="I141" s="181" t="str">
        <f aca="false">ExportRaw!$B141</f>
        <v/>
      </c>
    </row>
    <row r="142" customFormat="false" ht="15.75" hidden="false" customHeight="false" outlineLevel="0" collapsed="false">
      <c r="A142" s="181" t="n">
        <f aca="false">ExportRaw!$F142</f>
        <v>0</v>
      </c>
      <c r="B142" s="181" t="n">
        <f aca="false">ExportRaw!$C142</f>
        <v>0</v>
      </c>
      <c r="C142" s="181" t="n">
        <f aca="false">ExportRaw!$G142</f>
        <v>0</v>
      </c>
      <c r="D142" s="181" t="str">
        <f aca="false">ExportRaw!$E142</f>
        <v/>
      </c>
      <c r="E142" s="182" t="str">
        <f aca="false">ExportRaw!$D142</f>
        <v/>
      </c>
      <c r="F142" s="181" t="str">
        <f aca="false">ExportRaw!$H142</f>
        <v/>
      </c>
      <c r="G142" s="183" t="str">
        <f aca="false">ExportRaw!$I142</f>
        <v/>
      </c>
      <c r="H142" s="181" t="str">
        <f aca="false">ExportRaw!$A142</f>
        <v/>
      </c>
      <c r="I142" s="181" t="str">
        <f aca="false">ExportRaw!$B142</f>
        <v/>
      </c>
    </row>
    <row r="143" customFormat="false" ht="15.75" hidden="false" customHeight="false" outlineLevel="0" collapsed="false">
      <c r="A143" s="181" t="n">
        <f aca="false">ExportRaw!$F143</f>
        <v>0</v>
      </c>
      <c r="B143" s="181" t="n">
        <f aca="false">ExportRaw!$C143</f>
        <v>0</v>
      </c>
      <c r="C143" s="181" t="n">
        <f aca="false">ExportRaw!$G143</f>
        <v>0</v>
      </c>
      <c r="D143" s="181" t="str">
        <f aca="false">ExportRaw!$E143</f>
        <v/>
      </c>
      <c r="E143" s="182" t="str">
        <f aca="false">ExportRaw!$D143</f>
        <v/>
      </c>
      <c r="F143" s="181" t="str">
        <f aca="false">ExportRaw!$H143</f>
        <v/>
      </c>
      <c r="G143" s="183" t="str">
        <f aca="false">ExportRaw!$I143</f>
        <v/>
      </c>
      <c r="H143" s="181" t="str">
        <f aca="false">ExportRaw!$A143</f>
        <v/>
      </c>
      <c r="I143" s="181" t="str">
        <f aca="false">ExportRaw!$B143</f>
        <v/>
      </c>
    </row>
    <row r="144" customFormat="false" ht="15.75" hidden="false" customHeight="false" outlineLevel="0" collapsed="false">
      <c r="A144" s="181" t="n">
        <f aca="false">ExportRaw!$F144</f>
        <v>0</v>
      </c>
      <c r="B144" s="181" t="n">
        <f aca="false">ExportRaw!$C144</f>
        <v>0</v>
      </c>
      <c r="C144" s="181" t="n">
        <f aca="false">ExportRaw!$G144</f>
        <v>0</v>
      </c>
      <c r="D144" s="181" t="str">
        <f aca="false">ExportRaw!$E144</f>
        <v/>
      </c>
      <c r="E144" s="182" t="str">
        <f aca="false">ExportRaw!$D144</f>
        <v/>
      </c>
      <c r="F144" s="181" t="str">
        <f aca="false">ExportRaw!$H144</f>
        <v/>
      </c>
      <c r="G144" s="183" t="str">
        <f aca="false">ExportRaw!$I144</f>
        <v/>
      </c>
      <c r="H144" s="181" t="str">
        <f aca="false">ExportRaw!$A144</f>
        <v/>
      </c>
      <c r="I144" s="181" t="str">
        <f aca="false">ExportRaw!$B144</f>
        <v/>
      </c>
    </row>
    <row r="145" customFormat="false" ht="15.75" hidden="false" customHeight="false" outlineLevel="0" collapsed="false">
      <c r="A145" s="181" t="n">
        <f aca="false">ExportRaw!$F145</f>
        <v>0</v>
      </c>
      <c r="B145" s="181" t="n">
        <f aca="false">ExportRaw!$C145</f>
        <v>0</v>
      </c>
      <c r="C145" s="181" t="n">
        <f aca="false">ExportRaw!$G145</f>
        <v>0</v>
      </c>
      <c r="D145" s="181" t="str">
        <f aca="false">ExportRaw!$E145</f>
        <v/>
      </c>
      <c r="E145" s="182" t="str">
        <f aca="false">ExportRaw!$D145</f>
        <v/>
      </c>
      <c r="F145" s="181" t="str">
        <f aca="false">ExportRaw!$H145</f>
        <v/>
      </c>
      <c r="G145" s="183" t="str">
        <f aca="false">ExportRaw!$I145</f>
        <v/>
      </c>
      <c r="H145" s="181" t="str">
        <f aca="false">ExportRaw!$A145</f>
        <v/>
      </c>
      <c r="I145" s="181" t="str">
        <f aca="false">ExportRaw!$B145</f>
        <v/>
      </c>
    </row>
    <row r="146" customFormat="false" ht="15.75" hidden="false" customHeight="false" outlineLevel="0" collapsed="false">
      <c r="A146" s="181" t="n">
        <f aca="false">ExportRaw!$F146</f>
        <v>0</v>
      </c>
      <c r="B146" s="181" t="n">
        <f aca="false">ExportRaw!$C146</f>
        <v>0</v>
      </c>
      <c r="C146" s="181" t="n">
        <f aca="false">ExportRaw!$G146</f>
        <v>0</v>
      </c>
      <c r="D146" s="181" t="str">
        <f aca="false">ExportRaw!$E146</f>
        <v/>
      </c>
      <c r="E146" s="182" t="str">
        <f aca="false">ExportRaw!$D146</f>
        <v/>
      </c>
      <c r="F146" s="181" t="str">
        <f aca="false">ExportRaw!$H146</f>
        <v/>
      </c>
      <c r="G146" s="183" t="str">
        <f aca="false">ExportRaw!$I146</f>
        <v/>
      </c>
      <c r="H146" s="181" t="str">
        <f aca="false">ExportRaw!$A146</f>
        <v/>
      </c>
      <c r="I146" s="181" t="str">
        <f aca="false">ExportRaw!$B146</f>
        <v/>
      </c>
    </row>
    <row r="147" customFormat="false" ht="15.75" hidden="false" customHeight="false" outlineLevel="0" collapsed="false">
      <c r="A147" s="181" t="n">
        <f aca="false">ExportRaw!$F147</f>
        <v>0</v>
      </c>
      <c r="B147" s="181" t="n">
        <f aca="false">ExportRaw!$C147</f>
        <v>0</v>
      </c>
      <c r="C147" s="181" t="n">
        <f aca="false">ExportRaw!$G147</f>
        <v>0</v>
      </c>
      <c r="D147" s="181" t="str">
        <f aca="false">ExportRaw!$E147</f>
        <v/>
      </c>
      <c r="E147" s="182" t="str">
        <f aca="false">ExportRaw!$D147</f>
        <v/>
      </c>
      <c r="F147" s="181" t="str">
        <f aca="false">ExportRaw!$H147</f>
        <v/>
      </c>
      <c r="G147" s="183" t="str">
        <f aca="false">ExportRaw!$I147</f>
        <v/>
      </c>
      <c r="H147" s="181" t="str">
        <f aca="false">ExportRaw!$A147</f>
        <v/>
      </c>
      <c r="I147" s="181" t="str">
        <f aca="false">ExportRaw!$B147</f>
        <v/>
      </c>
    </row>
    <row r="148" customFormat="false" ht="15.75" hidden="false" customHeight="false" outlineLevel="0" collapsed="false">
      <c r="A148" s="181" t="n">
        <f aca="false">ExportRaw!$F148</f>
        <v>0</v>
      </c>
      <c r="B148" s="181" t="n">
        <f aca="false">ExportRaw!$C148</f>
        <v>0</v>
      </c>
      <c r="C148" s="181" t="n">
        <f aca="false">ExportRaw!$G148</f>
        <v>0</v>
      </c>
      <c r="D148" s="181" t="str">
        <f aca="false">ExportRaw!$E148</f>
        <v/>
      </c>
      <c r="E148" s="182" t="str">
        <f aca="false">ExportRaw!$D148</f>
        <v/>
      </c>
      <c r="F148" s="181" t="str">
        <f aca="false">ExportRaw!$H148</f>
        <v/>
      </c>
      <c r="G148" s="183" t="str">
        <f aca="false">ExportRaw!$I148</f>
        <v/>
      </c>
      <c r="H148" s="181" t="str">
        <f aca="false">ExportRaw!$A148</f>
        <v/>
      </c>
      <c r="I148" s="181" t="str">
        <f aca="false">ExportRaw!$B148</f>
        <v/>
      </c>
    </row>
    <row r="149" customFormat="false" ht="15.75" hidden="false" customHeight="false" outlineLevel="0" collapsed="false">
      <c r="A149" s="181" t="n">
        <f aca="false">ExportRaw!$F149</f>
        <v>0</v>
      </c>
      <c r="B149" s="181" t="n">
        <f aca="false">ExportRaw!$C149</f>
        <v>0</v>
      </c>
      <c r="C149" s="181" t="n">
        <f aca="false">ExportRaw!$G149</f>
        <v>0</v>
      </c>
      <c r="D149" s="181" t="str">
        <f aca="false">ExportRaw!$E149</f>
        <v/>
      </c>
      <c r="E149" s="182" t="str">
        <f aca="false">ExportRaw!$D149</f>
        <v/>
      </c>
      <c r="F149" s="181" t="str">
        <f aca="false">ExportRaw!$H149</f>
        <v/>
      </c>
      <c r="G149" s="183" t="str">
        <f aca="false">ExportRaw!$I149</f>
        <v/>
      </c>
      <c r="H149" s="181" t="str">
        <f aca="false">ExportRaw!$A149</f>
        <v/>
      </c>
      <c r="I149" s="181" t="str">
        <f aca="false">ExportRaw!$B149</f>
        <v/>
      </c>
    </row>
    <row r="150" customFormat="false" ht="15.75" hidden="false" customHeight="false" outlineLevel="0" collapsed="false">
      <c r="A150" s="181" t="n">
        <f aca="false">ExportRaw!$F150</f>
        <v>0</v>
      </c>
      <c r="B150" s="181" t="n">
        <f aca="false">ExportRaw!$C150</f>
        <v>0</v>
      </c>
      <c r="C150" s="181" t="n">
        <f aca="false">ExportRaw!$G150</f>
        <v>0</v>
      </c>
      <c r="D150" s="181" t="str">
        <f aca="false">ExportRaw!$E150</f>
        <v/>
      </c>
      <c r="E150" s="182" t="str">
        <f aca="false">ExportRaw!$D150</f>
        <v/>
      </c>
      <c r="F150" s="181" t="str">
        <f aca="false">ExportRaw!$H150</f>
        <v/>
      </c>
      <c r="G150" s="183" t="str">
        <f aca="false">ExportRaw!$I150</f>
        <v/>
      </c>
      <c r="H150" s="181" t="str">
        <f aca="false">ExportRaw!$A150</f>
        <v/>
      </c>
      <c r="I150" s="181" t="str">
        <f aca="false">ExportRaw!$B150</f>
        <v/>
      </c>
    </row>
    <row r="151" customFormat="false" ht="15.75" hidden="false" customHeight="false" outlineLevel="0" collapsed="false">
      <c r="A151" s="181" t="n">
        <f aca="false">ExportRaw!$F151</f>
        <v>0</v>
      </c>
      <c r="B151" s="181" t="n">
        <f aca="false">ExportRaw!$C151</f>
        <v>0</v>
      </c>
      <c r="C151" s="181" t="n">
        <f aca="false">ExportRaw!$G151</f>
        <v>0</v>
      </c>
      <c r="D151" s="181" t="str">
        <f aca="false">ExportRaw!$E151</f>
        <v/>
      </c>
      <c r="E151" s="182" t="str">
        <f aca="false">ExportRaw!$D151</f>
        <v/>
      </c>
      <c r="F151" s="181" t="str">
        <f aca="false">ExportRaw!$H151</f>
        <v/>
      </c>
      <c r="G151" s="183" t="str">
        <f aca="false">ExportRaw!$I151</f>
        <v/>
      </c>
      <c r="H151" s="181" t="str">
        <f aca="false">ExportRaw!$A151</f>
        <v/>
      </c>
      <c r="I151" s="181" t="str">
        <f aca="false">ExportRaw!$B151</f>
        <v/>
      </c>
    </row>
    <row r="152" customFormat="false" ht="15.75" hidden="false" customHeight="false" outlineLevel="0" collapsed="false">
      <c r="A152" s="181" t="n">
        <f aca="false">ExportRaw!$F152</f>
        <v>0</v>
      </c>
      <c r="B152" s="181" t="n">
        <f aca="false">ExportRaw!$C152</f>
        <v>0</v>
      </c>
      <c r="C152" s="181" t="n">
        <f aca="false">ExportRaw!$G152</f>
        <v>0</v>
      </c>
      <c r="D152" s="181" t="str">
        <f aca="false">ExportRaw!$E152</f>
        <v/>
      </c>
      <c r="E152" s="182" t="str">
        <f aca="false">ExportRaw!$D152</f>
        <v/>
      </c>
      <c r="F152" s="181" t="str">
        <f aca="false">ExportRaw!$H152</f>
        <v/>
      </c>
      <c r="G152" s="183" t="str">
        <f aca="false">ExportRaw!$I152</f>
        <v/>
      </c>
      <c r="H152" s="181" t="str">
        <f aca="false">ExportRaw!$A152</f>
        <v/>
      </c>
      <c r="I152" s="181" t="str">
        <f aca="false">ExportRaw!$B152</f>
        <v/>
      </c>
    </row>
    <row r="153" customFormat="false" ht="15.75" hidden="false" customHeight="false" outlineLevel="0" collapsed="false">
      <c r="A153" s="181" t="n">
        <f aca="false">ExportRaw!$F153</f>
        <v>0</v>
      </c>
      <c r="B153" s="181" t="n">
        <f aca="false">ExportRaw!$C153</f>
        <v>0</v>
      </c>
      <c r="C153" s="181" t="n">
        <f aca="false">ExportRaw!$G153</f>
        <v>0</v>
      </c>
      <c r="D153" s="181" t="str">
        <f aca="false">ExportRaw!$E153</f>
        <v/>
      </c>
      <c r="E153" s="182" t="str">
        <f aca="false">ExportRaw!$D153</f>
        <v/>
      </c>
      <c r="F153" s="181" t="str">
        <f aca="false">ExportRaw!$H153</f>
        <v/>
      </c>
      <c r="G153" s="183" t="str">
        <f aca="false">ExportRaw!$I153</f>
        <v/>
      </c>
      <c r="H153" s="181" t="str">
        <f aca="false">ExportRaw!$A153</f>
        <v/>
      </c>
      <c r="I153" s="181" t="str">
        <f aca="false">ExportRaw!$B153</f>
        <v/>
      </c>
    </row>
    <row r="154" customFormat="false" ht="15.75" hidden="false" customHeight="false" outlineLevel="0" collapsed="false">
      <c r="A154" s="181" t="n">
        <f aca="false">ExportRaw!$F154</f>
        <v>0</v>
      </c>
      <c r="B154" s="181" t="n">
        <f aca="false">ExportRaw!$C154</f>
        <v>0</v>
      </c>
      <c r="C154" s="181" t="n">
        <f aca="false">ExportRaw!$G154</f>
        <v>0</v>
      </c>
      <c r="D154" s="181" t="str">
        <f aca="false">ExportRaw!$E154</f>
        <v/>
      </c>
      <c r="E154" s="182" t="str">
        <f aca="false">ExportRaw!$D154</f>
        <v/>
      </c>
      <c r="F154" s="181" t="str">
        <f aca="false">ExportRaw!$H154</f>
        <v/>
      </c>
      <c r="G154" s="183" t="str">
        <f aca="false">ExportRaw!$I154</f>
        <v/>
      </c>
      <c r="H154" s="181" t="str">
        <f aca="false">ExportRaw!$A154</f>
        <v/>
      </c>
      <c r="I154" s="181" t="str">
        <f aca="false">ExportRaw!$B154</f>
        <v/>
      </c>
    </row>
    <row r="155" customFormat="false" ht="15.75" hidden="false" customHeight="false" outlineLevel="0" collapsed="false">
      <c r="A155" s="181" t="n">
        <f aca="false">ExportRaw!$F155</f>
        <v>0</v>
      </c>
      <c r="B155" s="181" t="n">
        <f aca="false">ExportRaw!$C155</f>
        <v>0</v>
      </c>
      <c r="C155" s="181" t="n">
        <f aca="false">ExportRaw!$G155</f>
        <v>0</v>
      </c>
      <c r="D155" s="181" t="str">
        <f aca="false">ExportRaw!$E155</f>
        <v/>
      </c>
      <c r="E155" s="182" t="str">
        <f aca="false">ExportRaw!$D155</f>
        <v/>
      </c>
      <c r="F155" s="181" t="str">
        <f aca="false">ExportRaw!$H155</f>
        <v/>
      </c>
      <c r="G155" s="183" t="str">
        <f aca="false">ExportRaw!$I155</f>
        <v/>
      </c>
      <c r="H155" s="181" t="str">
        <f aca="false">ExportRaw!$A155</f>
        <v/>
      </c>
      <c r="I155" s="181" t="str">
        <f aca="false">ExportRaw!$B155</f>
        <v/>
      </c>
    </row>
    <row r="156" customFormat="false" ht="15.75" hidden="false" customHeight="false" outlineLevel="0" collapsed="false">
      <c r="A156" s="181" t="n">
        <f aca="false">ExportRaw!$F156</f>
        <v>0</v>
      </c>
      <c r="B156" s="181" t="n">
        <f aca="false">ExportRaw!$C156</f>
        <v>0</v>
      </c>
      <c r="C156" s="181" t="n">
        <f aca="false">ExportRaw!$G156</f>
        <v>0</v>
      </c>
      <c r="D156" s="181" t="str">
        <f aca="false">ExportRaw!$E156</f>
        <v/>
      </c>
      <c r="E156" s="182" t="str">
        <f aca="false">ExportRaw!$D156</f>
        <v/>
      </c>
      <c r="F156" s="181" t="str">
        <f aca="false">ExportRaw!$H156</f>
        <v/>
      </c>
      <c r="G156" s="183" t="str">
        <f aca="false">ExportRaw!$I156</f>
        <v/>
      </c>
      <c r="H156" s="181" t="str">
        <f aca="false">ExportRaw!$A156</f>
        <v/>
      </c>
      <c r="I156" s="181" t="str">
        <f aca="false">ExportRaw!$B156</f>
        <v/>
      </c>
    </row>
    <row r="157" customFormat="false" ht="15.75" hidden="false" customHeight="false" outlineLevel="0" collapsed="false">
      <c r="A157" s="181" t="n">
        <f aca="false">ExportRaw!$F157</f>
        <v>0</v>
      </c>
      <c r="B157" s="181" t="n">
        <f aca="false">ExportRaw!$C157</f>
        <v>0</v>
      </c>
      <c r="C157" s="181" t="n">
        <f aca="false">ExportRaw!$G157</f>
        <v>0</v>
      </c>
      <c r="D157" s="181" t="str">
        <f aca="false">ExportRaw!$E157</f>
        <v/>
      </c>
      <c r="E157" s="182" t="str">
        <f aca="false">ExportRaw!$D157</f>
        <v/>
      </c>
      <c r="F157" s="181" t="str">
        <f aca="false">ExportRaw!$H157</f>
        <v/>
      </c>
      <c r="G157" s="183" t="str">
        <f aca="false">ExportRaw!$I157</f>
        <v/>
      </c>
      <c r="H157" s="181" t="str">
        <f aca="false">ExportRaw!$A157</f>
        <v/>
      </c>
      <c r="I157" s="181" t="str">
        <f aca="false">ExportRaw!$B157</f>
        <v/>
      </c>
    </row>
    <row r="158" customFormat="false" ht="15.75" hidden="false" customHeight="false" outlineLevel="0" collapsed="false">
      <c r="A158" s="181" t="n">
        <f aca="false">ExportRaw!$F158</f>
        <v>0</v>
      </c>
      <c r="B158" s="181" t="n">
        <f aca="false">ExportRaw!$C158</f>
        <v>0</v>
      </c>
      <c r="C158" s="181" t="n">
        <f aca="false">ExportRaw!$G158</f>
        <v>0</v>
      </c>
      <c r="D158" s="181" t="str">
        <f aca="false">ExportRaw!$E158</f>
        <v/>
      </c>
      <c r="E158" s="182" t="str">
        <f aca="false">ExportRaw!$D158</f>
        <v/>
      </c>
      <c r="F158" s="181" t="str">
        <f aca="false">ExportRaw!$H158</f>
        <v/>
      </c>
      <c r="G158" s="183" t="str">
        <f aca="false">ExportRaw!$I158</f>
        <v/>
      </c>
      <c r="H158" s="181" t="str">
        <f aca="false">ExportRaw!$A158</f>
        <v/>
      </c>
      <c r="I158" s="181" t="str">
        <f aca="false">ExportRaw!$B158</f>
        <v/>
      </c>
    </row>
    <row r="159" customFormat="false" ht="15.75" hidden="false" customHeight="false" outlineLevel="0" collapsed="false">
      <c r="A159" s="181" t="n">
        <f aca="false">ExportRaw!$F159</f>
        <v>0</v>
      </c>
      <c r="B159" s="181" t="n">
        <f aca="false">ExportRaw!$C159</f>
        <v>0</v>
      </c>
      <c r="C159" s="181" t="n">
        <f aca="false">ExportRaw!$G159</f>
        <v>0</v>
      </c>
      <c r="D159" s="181" t="str">
        <f aca="false">ExportRaw!$E159</f>
        <v/>
      </c>
      <c r="E159" s="182" t="str">
        <f aca="false">ExportRaw!$D159</f>
        <v/>
      </c>
      <c r="F159" s="181" t="str">
        <f aca="false">ExportRaw!$H159</f>
        <v/>
      </c>
      <c r="G159" s="183" t="str">
        <f aca="false">ExportRaw!$I159</f>
        <v/>
      </c>
      <c r="H159" s="181" t="str">
        <f aca="false">ExportRaw!$A159</f>
        <v/>
      </c>
      <c r="I159" s="181" t="str">
        <f aca="false">ExportRaw!$B159</f>
        <v/>
      </c>
    </row>
    <row r="160" customFormat="false" ht="15.75" hidden="false" customHeight="false" outlineLevel="0" collapsed="false">
      <c r="A160" s="181" t="n">
        <f aca="false">ExportRaw!$F160</f>
        <v>0</v>
      </c>
      <c r="B160" s="181" t="n">
        <f aca="false">ExportRaw!$C160</f>
        <v>0</v>
      </c>
      <c r="C160" s="181" t="n">
        <f aca="false">ExportRaw!$G160</f>
        <v>0</v>
      </c>
      <c r="D160" s="181" t="str">
        <f aca="false">ExportRaw!$E160</f>
        <v/>
      </c>
      <c r="E160" s="182" t="str">
        <f aca="false">ExportRaw!$D160</f>
        <v/>
      </c>
      <c r="F160" s="181" t="str">
        <f aca="false">ExportRaw!$H160</f>
        <v/>
      </c>
      <c r="G160" s="183" t="str">
        <f aca="false">ExportRaw!$I160</f>
        <v/>
      </c>
      <c r="H160" s="181" t="str">
        <f aca="false">ExportRaw!$A160</f>
        <v/>
      </c>
      <c r="I160" s="181" t="str">
        <f aca="false">ExportRaw!$B160</f>
        <v/>
      </c>
    </row>
    <row r="161" customFormat="false" ht="15.75" hidden="false" customHeight="false" outlineLevel="0" collapsed="false">
      <c r="A161" s="181" t="n">
        <f aca="false">ExportRaw!$F161</f>
        <v>0</v>
      </c>
      <c r="B161" s="181" t="n">
        <f aca="false">ExportRaw!$C161</f>
        <v>0</v>
      </c>
      <c r="C161" s="181" t="n">
        <f aca="false">ExportRaw!$G161</f>
        <v>0</v>
      </c>
      <c r="D161" s="181" t="str">
        <f aca="false">ExportRaw!$E161</f>
        <v/>
      </c>
      <c r="E161" s="182" t="str">
        <f aca="false">ExportRaw!$D161</f>
        <v/>
      </c>
      <c r="F161" s="181" t="str">
        <f aca="false">ExportRaw!$H161</f>
        <v/>
      </c>
      <c r="G161" s="183" t="str">
        <f aca="false">ExportRaw!$I161</f>
        <v/>
      </c>
      <c r="H161" s="181" t="str">
        <f aca="false">ExportRaw!$A161</f>
        <v/>
      </c>
      <c r="I161" s="181" t="str">
        <f aca="false">ExportRaw!$B161</f>
        <v/>
      </c>
    </row>
    <row r="162" customFormat="false" ht="15.75" hidden="false" customHeight="false" outlineLevel="0" collapsed="false">
      <c r="A162" s="181" t="n">
        <f aca="false">ExportRaw!$F162</f>
        <v>0</v>
      </c>
      <c r="B162" s="181" t="n">
        <f aca="false">ExportRaw!$C162</f>
        <v>0</v>
      </c>
      <c r="C162" s="181" t="n">
        <f aca="false">ExportRaw!$G162</f>
        <v>0</v>
      </c>
      <c r="D162" s="181" t="str">
        <f aca="false">ExportRaw!$E162</f>
        <v/>
      </c>
      <c r="E162" s="182" t="str">
        <f aca="false">ExportRaw!$D162</f>
        <v/>
      </c>
      <c r="F162" s="181" t="str">
        <f aca="false">ExportRaw!$H162</f>
        <v/>
      </c>
      <c r="G162" s="183" t="str">
        <f aca="false">ExportRaw!$I162</f>
        <v/>
      </c>
      <c r="H162" s="181" t="str">
        <f aca="false">ExportRaw!$A162</f>
        <v/>
      </c>
      <c r="I162" s="181" t="str">
        <f aca="false">ExportRaw!$B162</f>
        <v/>
      </c>
    </row>
    <row r="163" customFormat="false" ht="15.75" hidden="false" customHeight="false" outlineLevel="0" collapsed="false">
      <c r="A163" s="181" t="n">
        <f aca="false">ExportRaw!$F163</f>
        <v>0</v>
      </c>
      <c r="B163" s="181" t="n">
        <f aca="false">ExportRaw!$C163</f>
        <v>0</v>
      </c>
      <c r="C163" s="181" t="n">
        <f aca="false">ExportRaw!$G163</f>
        <v>0</v>
      </c>
      <c r="D163" s="181" t="str">
        <f aca="false">ExportRaw!$E163</f>
        <v/>
      </c>
      <c r="E163" s="182" t="str">
        <f aca="false">ExportRaw!$D163</f>
        <v/>
      </c>
      <c r="F163" s="181" t="str">
        <f aca="false">ExportRaw!$H163</f>
        <v/>
      </c>
      <c r="G163" s="183" t="str">
        <f aca="false">ExportRaw!$I163</f>
        <v/>
      </c>
      <c r="H163" s="181" t="str">
        <f aca="false">ExportRaw!$A163</f>
        <v/>
      </c>
      <c r="I163" s="181" t="str">
        <f aca="false">ExportRaw!$B163</f>
        <v/>
      </c>
    </row>
    <row r="164" customFormat="false" ht="15.75" hidden="false" customHeight="false" outlineLevel="0" collapsed="false">
      <c r="A164" s="181" t="n">
        <f aca="false">ExportRaw!$F164</f>
        <v>0</v>
      </c>
      <c r="B164" s="181" t="n">
        <f aca="false">ExportRaw!$C164</f>
        <v>0</v>
      </c>
      <c r="C164" s="181" t="n">
        <f aca="false">ExportRaw!$G164</f>
        <v>0</v>
      </c>
      <c r="D164" s="181" t="str">
        <f aca="false">ExportRaw!$E164</f>
        <v/>
      </c>
      <c r="E164" s="182" t="str">
        <f aca="false">ExportRaw!$D164</f>
        <v/>
      </c>
      <c r="F164" s="181" t="str">
        <f aca="false">ExportRaw!$H164</f>
        <v/>
      </c>
      <c r="G164" s="183" t="str">
        <f aca="false">ExportRaw!$I164</f>
        <v/>
      </c>
      <c r="H164" s="181" t="str">
        <f aca="false">ExportRaw!$A164</f>
        <v/>
      </c>
      <c r="I164" s="181" t="str">
        <f aca="false">ExportRaw!$B164</f>
        <v/>
      </c>
    </row>
    <row r="165" customFormat="false" ht="15.75" hidden="false" customHeight="false" outlineLevel="0" collapsed="false">
      <c r="A165" s="181" t="n">
        <f aca="false">ExportRaw!$F165</f>
        <v>0</v>
      </c>
      <c r="B165" s="181" t="n">
        <f aca="false">ExportRaw!$C165</f>
        <v>0</v>
      </c>
      <c r="C165" s="181" t="n">
        <f aca="false">ExportRaw!$G165</f>
        <v>0</v>
      </c>
      <c r="D165" s="181" t="str">
        <f aca="false">ExportRaw!$E165</f>
        <v/>
      </c>
      <c r="E165" s="182" t="str">
        <f aca="false">ExportRaw!$D165</f>
        <v/>
      </c>
      <c r="F165" s="181" t="str">
        <f aca="false">ExportRaw!$H165</f>
        <v/>
      </c>
      <c r="G165" s="183" t="str">
        <f aca="false">ExportRaw!$I165</f>
        <v/>
      </c>
      <c r="H165" s="181" t="str">
        <f aca="false">ExportRaw!$A165</f>
        <v/>
      </c>
      <c r="I165" s="181" t="str">
        <f aca="false">ExportRaw!$B165</f>
        <v/>
      </c>
    </row>
    <row r="166" customFormat="false" ht="15.75" hidden="false" customHeight="false" outlineLevel="0" collapsed="false">
      <c r="A166" s="181" t="n">
        <f aca="false">ExportRaw!$F166</f>
        <v>0</v>
      </c>
      <c r="B166" s="181" t="n">
        <f aca="false">ExportRaw!$C166</f>
        <v>0</v>
      </c>
      <c r="C166" s="181" t="n">
        <f aca="false">ExportRaw!$G166</f>
        <v>0</v>
      </c>
      <c r="D166" s="181" t="str">
        <f aca="false">ExportRaw!$E166</f>
        <v/>
      </c>
      <c r="E166" s="182" t="str">
        <f aca="false">ExportRaw!$D166</f>
        <v/>
      </c>
      <c r="F166" s="181" t="str">
        <f aca="false">ExportRaw!$H166</f>
        <v/>
      </c>
      <c r="G166" s="183" t="str">
        <f aca="false">ExportRaw!$I166</f>
        <v/>
      </c>
      <c r="H166" s="181" t="str">
        <f aca="false">ExportRaw!$A166</f>
        <v/>
      </c>
      <c r="I166" s="181" t="str">
        <f aca="false">ExportRaw!$B166</f>
        <v/>
      </c>
    </row>
    <row r="167" customFormat="false" ht="15.75" hidden="false" customHeight="false" outlineLevel="0" collapsed="false">
      <c r="A167" s="181" t="n">
        <f aca="false">ExportRaw!$F167</f>
        <v>0</v>
      </c>
      <c r="B167" s="181" t="n">
        <f aca="false">ExportRaw!$C167</f>
        <v>0</v>
      </c>
      <c r="C167" s="181" t="n">
        <f aca="false">ExportRaw!$G167</f>
        <v>0</v>
      </c>
      <c r="D167" s="181" t="str">
        <f aca="false">ExportRaw!$E167</f>
        <v/>
      </c>
      <c r="E167" s="182" t="str">
        <f aca="false">ExportRaw!$D167</f>
        <v/>
      </c>
      <c r="F167" s="181" t="str">
        <f aca="false">ExportRaw!$H167</f>
        <v/>
      </c>
      <c r="G167" s="183" t="str">
        <f aca="false">ExportRaw!$I167</f>
        <v/>
      </c>
      <c r="H167" s="181" t="str">
        <f aca="false">ExportRaw!$A167</f>
        <v/>
      </c>
      <c r="I167" s="181" t="str">
        <f aca="false">ExportRaw!$B167</f>
        <v/>
      </c>
    </row>
    <row r="168" customFormat="false" ht="15.75" hidden="false" customHeight="false" outlineLevel="0" collapsed="false">
      <c r="A168" s="181" t="n">
        <f aca="false">ExportRaw!$F168</f>
        <v>0</v>
      </c>
      <c r="B168" s="181" t="n">
        <f aca="false">ExportRaw!$C168</f>
        <v>0</v>
      </c>
      <c r="C168" s="181" t="n">
        <f aca="false">ExportRaw!$G168</f>
        <v>0</v>
      </c>
      <c r="D168" s="181" t="str">
        <f aca="false">ExportRaw!$E168</f>
        <v/>
      </c>
      <c r="E168" s="182" t="str">
        <f aca="false">ExportRaw!$D168</f>
        <v/>
      </c>
      <c r="F168" s="181" t="str">
        <f aca="false">ExportRaw!$H168</f>
        <v/>
      </c>
      <c r="G168" s="183" t="str">
        <f aca="false">ExportRaw!$I168</f>
        <v/>
      </c>
      <c r="H168" s="181" t="str">
        <f aca="false">ExportRaw!$A168</f>
        <v/>
      </c>
      <c r="I168" s="181" t="str">
        <f aca="false">ExportRaw!$B168</f>
        <v/>
      </c>
    </row>
    <row r="169" customFormat="false" ht="15.75" hidden="false" customHeight="false" outlineLevel="0" collapsed="false">
      <c r="A169" s="181" t="n">
        <f aca="false">ExportRaw!$F169</f>
        <v>0</v>
      </c>
      <c r="B169" s="181" t="n">
        <f aca="false">ExportRaw!$C169</f>
        <v>0</v>
      </c>
      <c r="C169" s="181" t="n">
        <f aca="false">ExportRaw!$G169</f>
        <v>0</v>
      </c>
      <c r="D169" s="181" t="str">
        <f aca="false">ExportRaw!$E169</f>
        <v/>
      </c>
      <c r="E169" s="182" t="str">
        <f aca="false">ExportRaw!$D169</f>
        <v/>
      </c>
      <c r="F169" s="181" t="str">
        <f aca="false">ExportRaw!$H169</f>
        <v/>
      </c>
      <c r="G169" s="183" t="str">
        <f aca="false">ExportRaw!$I169</f>
        <v/>
      </c>
      <c r="H169" s="181" t="str">
        <f aca="false">ExportRaw!$A169</f>
        <v/>
      </c>
      <c r="I169" s="181" t="str">
        <f aca="false">ExportRaw!$B169</f>
        <v/>
      </c>
    </row>
    <row r="170" customFormat="false" ht="15.75" hidden="false" customHeight="false" outlineLevel="0" collapsed="false">
      <c r="A170" s="181" t="n">
        <f aca="false">ExportRaw!$F170</f>
        <v>0</v>
      </c>
      <c r="B170" s="181" t="n">
        <f aca="false">ExportRaw!$C170</f>
        <v>0</v>
      </c>
      <c r="C170" s="181" t="n">
        <f aca="false">ExportRaw!$G170</f>
        <v>0</v>
      </c>
      <c r="D170" s="181" t="str">
        <f aca="false">ExportRaw!$E170</f>
        <v/>
      </c>
      <c r="E170" s="182" t="str">
        <f aca="false">ExportRaw!$D170</f>
        <v/>
      </c>
      <c r="F170" s="181" t="str">
        <f aca="false">ExportRaw!$H170</f>
        <v/>
      </c>
      <c r="G170" s="183" t="str">
        <f aca="false">ExportRaw!$I170</f>
        <v/>
      </c>
      <c r="H170" s="181" t="str">
        <f aca="false">ExportRaw!$A170</f>
        <v/>
      </c>
      <c r="I170" s="181" t="str">
        <f aca="false">ExportRaw!$B170</f>
        <v/>
      </c>
    </row>
    <row r="171" customFormat="false" ht="15.75" hidden="false" customHeight="false" outlineLevel="0" collapsed="false">
      <c r="A171" s="181" t="n">
        <f aca="false">ExportRaw!$F171</f>
        <v>0</v>
      </c>
      <c r="B171" s="181" t="n">
        <f aca="false">ExportRaw!$C171</f>
        <v>0</v>
      </c>
      <c r="C171" s="181" t="n">
        <f aca="false">ExportRaw!$G171</f>
        <v>0</v>
      </c>
      <c r="D171" s="181" t="str">
        <f aca="false">ExportRaw!$E171</f>
        <v/>
      </c>
      <c r="E171" s="182" t="str">
        <f aca="false">ExportRaw!$D171</f>
        <v/>
      </c>
      <c r="F171" s="181" t="str">
        <f aca="false">ExportRaw!$H171</f>
        <v/>
      </c>
      <c r="G171" s="183" t="str">
        <f aca="false">ExportRaw!$I171</f>
        <v/>
      </c>
      <c r="H171" s="181" t="str">
        <f aca="false">ExportRaw!$A171</f>
        <v/>
      </c>
      <c r="I171" s="181" t="str">
        <f aca="false">ExportRaw!$B171</f>
        <v/>
      </c>
    </row>
    <row r="172" customFormat="false" ht="15.75" hidden="false" customHeight="false" outlineLevel="0" collapsed="false">
      <c r="A172" s="181" t="n">
        <f aca="false">ExportRaw!$F172</f>
        <v>0</v>
      </c>
      <c r="B172" s="181" t="n">
        <f aca="false">ExportRaw!$C172</f>
        <v>0</v>
      </c>
      <c r="C172" s="181" t="n">
        <f aca="false">ExportRaw!$G172</f>
        <v>0</v>
      </c>
      <c r="D172" s="181" t="str">
        <f aca="false">ExportRaw!$E172</f>
        <v/>
      </c>
      <c r="E172" s="182" t="str">
        <f aca="false">ExportRaw!$D172</f>
        <v/>
      </c>
      <c r="F172" s="181" t="str">
        <f aca="false">ExportRaw!$H172</f>
        <v/>
      </c>
      <c r="G172" s="183" t="str">
        <f aca="false">ExportRaw!$I172</f>
        <v/>
      </c>
      <c r="H172" s="181" t="str">
        <f aca="false">ExportRaw!$A172</f>
        <v/>
      </c>
      <c r="I172" s="181" t="str">
        <f aca="false">ExportRaw!$B172</f>
        <v/>
      </c>
    </row>
    <row r="173" customFormat="false" ht="15.75" hidden="false" customHeight="false" outlineLevel="0" collapsed="false">
      <c r="A173" s="181" t="n">
        <f aca="false">ExportRaw!$F173</f>
        <v>0</v>
      </c>
      <c r="B173" s="181" t="n">
        <f aca="false">ExportRaw!$C173</f>
        <v>0</v>
      </c>
      <c r="C173" s="181" t="n">
        <f aca="false">ExportRaw!$G173</f>
        <v>0</v>
      </c>
      <c r="D173" s="181" t="str">
        <f aca="false">ExportRaw!$E173</f>
        <v/>
      </c>
      <c r="E173" s="182" t="str">
        <f aca="false">ExportRaw!$D173</f>
        <v/>
      </c>
      <c r="F173" s="181" t="str">
        <f aca="false">ExportRaw!$H173</f>
        <v/>
      </c>
      <c r="G173" s="183" t="str">
        <f aca="false">ExportRaw!$I173</f>
        <v/>
      </c>
      <c r="H173" s="181" t="str">
        <f aca="false">ExportRaw!$A173</f>
        <v/>
      </c>
      <c r="I173" s="181" t="str">
        <f aca="false">ExportRaw!$B173</f>
        <v/>
      </c>
    </row>
    <row r="174" customFormat="false" ht="15.75" hidden="false" customHeight="false" outlineLevel="0" collapsed="false">
      <c r="A174" s="181" t="n">
        <f aca="false">ExportRaw!$F174</f>
        <v>0</v>
      </c>
      <c r="B174" s="181" t="n">
        <f aca="false">ExportRaw!$C174</f>
        <v>0</v>
      </c>
      <c r="C174" s="181" t="n">
        <f aca="false">ExportRaw!$G174</f>
        <v>0</v>
      </c>
      <c r="D174" s="181" t="str">
        <f aca="false">ExportRaw!$E174</f>
        <v/>
      </c>
      <c r="E174" s="182" t="str">
        <f aca="false">ExportRaw!$D174</f>
        <v/>
      </c>
      <c r="F174" s="181" t="str">
        <f aca="false">ExportRaw!$H174</f>
        <v/>
      </c>
      <c r="G174" s="183" t="str">
        <f aca="false">ExportRaw!$I174</f>
        <v/>
      </c>
      <c r="H174" s="181" t="str">
        <f aca="false">ExportRaw!$A174</f>
        <v/>
      </c>
      <c r="I174" s="181" t="str">
        <f aca="false">ExportRaw!$B174</f>
        <v/>
      </c>
    </row>
    <row r="175" customFormat="false" ht="15.75" hidden="false" customHeight="false" outlineLevel="0" collapsed="false">
      <c r="A175" s="181" t="n">
        <f aca="false">ExportRaw!$F175</f>
        <v>0</v>
      </c>
      <c r="B175" s="181" t="n">
        <f aca="false">ExportRaw!$C175</f>
        <v>0</v>
      </c>
      <c r="C175" s="181" t="n">
        <f aca="false">ExportRaw!$G175</f>
        <v>0</v>
      </c>
      <c r="D175" s="181" t="str">
        <f aca="false">ExportRaw!$E175</f>
        <v/>
      </c>
      <c r="E175" s="182" t="str">
        <f aca="false">ExportRaw!$D175</f>
        <v/>
      </c>
      <c r="F175" s="181" t="str">
        <f aca="false">ExportRaw!$H175</f>
        <v/>
      </c>
      <c r="G175" s="183" t="str">
        <f aca="false">ExportRaw!$I175</f>
        <v/>
      </c>
      <c r="H175" s="181" t="str">
        <f aca="false">ExportRaw!$A175</f>
        <v/>
      </c>
      <c r="I175" s="181" t="str">
        <f aca="false">ExportRaw!$B175</f>
        <v/>
      </c>
    </row>
    <row r="176" customFormat="false" ht="15.75" hidden="false" customHeight="false" outlineLevel="0" collapsed="false">
      <c r="A176" s="181" t="n">
        <f aca="false">ExportRaw!$F176</f>
        <v>0</v>
      </c>
      <c r="B176" s="181" t="n">
        <f aca="false">ExportRaw!$C176</f>
        <v>0</v>
      </c>
      <c r="C176" s="181" t="n">
        <f aca="false">ExportRaw!$G176</f>
        <v>0</v>
      </c>
      <c r="D176" s="181" t="str">
        <f aca="false">ExportRaw!$E176</f>
        <v/>
      </c>
      <c r="E176" s="182" t="str">
        <f aca="false">ExportRaw!$D176</f>
        <v/>
      </c>
      <c r="F176" s="181" t="str">
        <f aca="false">ExportRaw!$H176</f>
        <v/>
      </c>
      <c r="G176" s="183" t="str">
        <f aca="false">ExportRaw!$I176</f>
        <v/>
      </c>
      <c r="H176" s="181" t="str">
        <f aca="false">ExportRaw!$A176</f>
        <v/>
      </c>
      <c r="I176" s="181" t="str">
        <f aca="false">ExportRaw!$B176</f>
        <v/>
      </c>
    </row>
    <row r="177" customFormat="false" ht="15.75" hidden="false" customHeight="false" outlineLevel="0" collapsed="false">
      <c r="A177" s="181" t="n">
        <f aca="false">ExportRaw!$F177</f>
        <v>0</v>
      </c>
      <c r="B177" s="181" t="n">
        <f aca="false">ExportRaw!$C177</f>
        <v>0</v>
      </c>
      <c r="C177" s="181" t="n">
        <f aca="false">ExportRaw!$G177</f>
        <v>0</v>
      </c>
      <c r="D177" s="181" t="str">
        <f aca="false">ExportRaw!$E177</f>
        <v/>
      </c>
      <c r="E177" s="182" t="str">
        <f aca="false">ExportRaw!$D177</f>
        <v/>
      </c>
      <c r="F177" s="181" t="str">
        <f aca="false">ExportRaw!$H177</f>
        <v/>
      </c>
      <c r="G177" s="183" t="str">
        <f aca="false">ExportRaw!$I177</f>
        <v/>
      </c>
      <c r="H177" s="181" t="str">
        <f aca="false">ExportRaw!$A177</f>
        <v/>
      </c>
      <c r="I177" s="181" t="str">
        <f aca="false">ExportRaw!$B177</f>
        <v/>
      </c>
    </row>
    <row r="178" customFormat="false" ht="15.75" hidden="false" customHeight="false" outlineLevel="0" collapsed="false">
      <c r="A178" s="181" t="n">
        <f aca="false">ExportRaw!$F178</f>
        <v>0</v>
      </c>
      <c r="B178" s="181" t="n">
        <f aca="false">ExportRaw!$C178</f>
        <v>0</v>
      </c>
      <c r="C178" s="181" t="n">
        <f aca="false">ExportRaw!$G178</f>
        <v>0</v>
      </c>
      <c r="D178" s="181" t="str">
        <f aca="false">ExportRaw!$E178</f>
        <v/>
      </c>
      <c r="E178" s="182" t="str">
        <f aca="false">ExportRaw!$D178</f>
        <v/>
      </c>
      <c r="F178" s="181" t="str">
        <f aca="false">ExportRaw!$H178</f>
        <v/>
      </c>
      <c r="G178" s="183" t="str">
        <f aca="false">ExportRaw!$I178</f>
        <v/>
      </c>
      <c r="H178" s="181" t="str">
        <f aca="false">ExportRaw!$A178</f>
        <v/>
      </c>
      <c r="I178" s="181" t="str">
        <f aca="false">ExportRaw!$B178</f>
        <v/>
      </c>
    </row>
    <row r="179" customFormat="false" ht="15.75" hidden="false" customHeight="false" outlineLevel="0" collapsed="false">
      <c r="A179" s="181" t="n">
        <f aca="false">ExportRaw!$F179</f>
        <v>0</v>
      </c>
      <c r="B179" s="181" t="n">
        <f aca="false">ExportRaw!$C179</f>
        <v>0</v>
      </c>
      <c r="C179" s="181" t="n">
        <f aca="false">ExportRaw!$G179</f>
        <v>0</v>
      </c>
      <c r="D179" s="181" t="str">
        <f aca="false">ExportRaw!$E179</f>
        <v/>
      </c>
      <c r="E179" s="182" t="str">
        <f aca="false">ExportRaw!$D179</f>
        <v/>
      </c>
      <c r="F179" s="181" t="str">
        <f aca="false">ExportRaw!$H179</f>
        <v/>
      </c>
      <c r="G179" s="183" t="str">
        <f aca="false">ExportRaw!$I179</f>
        <v/>
      </c>
      <c r="H179" s="181" t="str">
        <f aca="false">ExportRaw!$A179</f>
        <v/>
      </c>
      <c r="I179" s="181" t="str">
        <f aca="false">ExportRaw!$B179</f>
        <v/>
      </c>
    </row>
    <row r="180" customFormat="false" ht="15.75" hidden="false" customHeight="false" outlineLevel="0" collapsed="false">
      <c r="A180" s="181" t="n">
        <f aca="false">ExportRaw!$F180</f>
        <v>0</v>
      </c>
      <c r="B180" s="181" t="n">
        <f aca="false">ExportRaw!$C180</f>
        <v>0</v>
      </c>
      <c r="C180" s="181" t="n">
        <f aca="false">ExportRaw!$G180</f>
        <v>0</v>
      </c>
      <c r="D180" s="181" t="str">
        <f aca="false">ExportRaw!$E180</f>
        <v/>
      </c>
      <c r="E180" s="182" t="str">
        <f aca="false">ExportRaw!$D180</f>
        <v/>
      </c>
      <c r="F180" s="181" t="str">
        <f aca="false">ExportRaw!$H180</f>
        <v/>
      </c>
      <c r="G180" s="183" t="str">
        <f aca="false">ExportRaw!$I180</f>
        <v/>
      </c>
      <c r="H180" s="181" t="str">
        <f aca="false">ExportRaw!$A180</f>
        <v/>
      </c>
      <c r="I180" s="181" t="str">
        <f aca="false">ExportRaw!$B180</f>
        <v/>
      </c>
    </row>
    <row r="181" customFormat="false" ht="15.75" hidden="false" customHeight="false" outlineLevel="0" collapsed="false">
      <c r="A181" s="181" t="n">
        <f aca="false">ExportRaw!$F181</f>
        <v>0</v>
      </c>
      <c r="B181" s="181" t="n">
        <f aca="false">ExportRaw!$C181</f>
        <v>0</v>
      </c>
      <c r="C181" s="181" t="n">
        <f aca="false">ExportRaw!$G181</f>
        <v>0</v>
      </c>
      <c r="D181" s="181" t="str">
        <f aca="false">ExportRaw!$E181</f>
        <v/>
      </c>
      <c r="E181" s="182" t="str">
        <f aca="false">ExportRaw!$D181</f>
        <v/>
      </c>
      <c r="F181" s="181" t="str">
        <f aca="false">ExportRaw!$H181</f>
        <v/>
      </c>
      <c r="G181" s="183" t="str">
        <f aca="false">ExportRaw!$I181</f>
        <v/>
      </c>
      <c r="H181" s="181" t="str">
        <f aca="false">ExportRaw!$A181</f>
        <v/>
      </c>
      <c r="I181" s="181" t="str">
        <f aca="false">ExportRaw!$B181</f>
        <v/>
      </c>
    </row>
    <row r="182" customFormat="false" ht="15.75" hidden="false" customHeight="false" outlineLevel="0" collapsed="false">
      <c r="A182" s="181" t="n">
        <f aca="false">ExportRaw!$F182</f>
        <v>0</v>
      </c>
      <c r="B182" s="181" t="n">
        <f aca="false">ExportRaw!$C182</f>
        <v>0</v>
      </c>
      <c r="C182" s="181" t="n">
        <f aca="false">ExportRaw!$G182</f>
        <v>0</v>
      </c>
      <c r="D182" s="181" t="str">
        <f aca="false">ExportRaw!$E182</f>
        <v/>
      </c>
      <c r="E182" s="182" t="str">
        <f aca="false">ExportRaw!$D182</f>
        <v/>
      </c>
      <c r="F182" s="181" t="str">
        <f aca="false">ExportRaw!$H182</f>
        <v/>
      </c>
      <c r="G182" s="183" t="str">
        <f aca="false">ExportRaw!$I182</f>
        <v/>
      </c>
      <c r="H182" s="181" t="str">
        <f aca="false">ExportRaw!$A182</f>
        <v/>
      </c>
      <c r="I182" s="181" t="str">
        <f aca="false">ExportRaw!$B182</f>
        <v/>
      </c>
    </row>
    <row r="183" customFormat="false" ht="15.75" hidden="false" customHeight="false" outlineLevel="0" collapsed="false">
      <c r="A183" s="181" t="n">
        <f aca="false">ExportRaw!$F183</f>
        <v>0</v>
      </c>
      <c r="B183" s="181" t="n">
        <f aca="false">ExportRaw!$C183</f>
        <v>0</v>
      </c>
      <c r="C183" s="181" t="n">
        <f aca="false">ExportRaw!$G183</f>
        <v>0</v>
      </c>
      <c r="D183" s="181" t="str">
        <f aca="false">ExportRaw!$E183</f>
        <v/>
      </c>
      <c r="E183" s="182" t="str">
        <f aca="false">ExportRaw!$D183</f>
        <v/>
      </c>
      <c r="F183" s="181" t="str">
        <f aca="false">ExportRaw!$H183</f>
        <v/>
      </c>
      <c r="G183" s="183" t="str">
        <f aca="false">ExportRaw!$I183</f>
        <v/>
      </c>
      <c r="H183" s="181" t="str">
        <f aca="false">ExportRaw!$A183</f>
        <v/>
      </c>
      <c r="I183" s="181" t="str">
        <f aca="false">ExportRaw!$B183</f>
        <v/>
      </c>
    </row>
    <row r="184" customFormat="false" ht="15.75" hidden="false" customHeight="false" outlineLevel="0" collapsed="false">
      <c r="A184" s="181" t="n">
        <f aca="false">ExportRaw!$F184</f>
        <v>0</v>
      </c>
      <c r="B184" s="181" t="n">
        <f aca="false">ExportRaw!$C184</f>
        <v>0</v>
      </c>
      <c r="C184" s="181" t="n">
        <f aca="false">ExportRaw!$G184</f>
        <v>0</v>
      </c>
      <c r="D184" s="181" t="str">
        <f aca="false">ExportRaw!$E184</f>
        <v/>
      </c>
      <c r="E184" s="182" t="str">
        <f aca="false">ExportRaw!$D184</f>
        <v/>
      </c>
      <c r="F184" s="181" t="str">
        <f aca="false">ExportRaw!$H184</f>
        <v/>
      </c>
      <c r="G184" s="183" t="str">
        <f aca="false">ExportRaw!$I184</f>
        <v/>
      </c>
      <c r="H184" s="181" t="str">
        <f aca="false">ExportRaw!$A184</f>
        <v/>
      </c>
      <c r="I184" s="181" t="str">
        <f aca="false">ExportRaw!$B184</f>
        <v/>
      </c>
    </row>
    <row r="185" customFormat="false" ht="15.75" hidden="false" customHeight="false" outlineLevel="0" collapsed="false">
      <c r="A185" s="181" t="n">
        <f aca="false">ExportRaw!$F185</f>
        <v>0</v>
      </c>
      <c r="B185" s="181" t="n">
        <f aca="false">ExportRaw!$C185</f>
        <v>0</v>
      </c>
      <c r="C185" s="181" t="n">
        <f aca="false">ExportRaw!$G185</f>
        <v>0</v>
      </c>
      <c r="D185" s="181" t="str">
        <f aca="false">ExportRaw!$E185</f>
        <v/>
      </c>
      <c r="E185" s="182" t="str">
        <f aca="false">ExportRaw!$D185</f>
        <v/>
      </c>
      <c r="F185" s="181" t="str">
        <f aca="false">ExportRaw!$H185</f>
        <v/>
      </c>
      <c r="G185" s="183" t="str">
        <f aca="false">ExportRaw!$I185</f>
        <v/>
      </c>
      <c r="H185" s="181" t="str">
        <f aca="false">ExportRaw!$A185</f>
        <v/>
      </c>
      <c r="I185" s="181" t="str">
        <f aca="false">ExportRaw!$B185</f>
        <v/>
      </c>
    </row>
    <row r="186" customFormat="false" ht="15.75" hidden="false" customHeight="false" outlineLevel="0" collapsed="false">
      <c r="A186" s="181" t="n">
        <f aca="false">ExportRaw!$F186</f>
        <v>0</v>
      </c>
      <c r="B186" s="181" t="n">
        <f aca="false">ExportRaw!$C186</f>
        <v>0</v>
      </c>
      <c r="C186" s="181" t="n">
        <f aca="false">ExportRaw!$G186</f>
        <v>0</v>
      </c>
      <c r="D186" s="181" t="str">
        <f aca="false">ExportRaw!$E186</f>
        <v/>
      </c>
      <c r="E186" s="182" t="str">
        <f aca="false">ExportRaw!$D186</f>
        <v/>
      </c>
      <c r="F186" s="181" t="str">
        <f aca="false">ExportRaw!$H186</f>
        <v/>
      </c>
      <c r="G186" s="183" t="str">
        <f aca="false">ExportRaw!$I186</f>
        <v/>
      </c>
      <c r="H186" s="181" t="str">
        <f aca="false">ExportRaw!$A186</f>
        <v/>
      </c>
      <c r="I186" s="181" t="str">
        <f aca="false">ExportRaw!$B186</f>
        <v/>
      </c>
    </row>
    <row r="187" customFormat="false" ht="15.75" hidden="false" customHeight="false" outlineLevel="0" collapsed="false">
      <c r="A187" s="181" t="n">
        <f aca="false">ExportRaw!$F187</f>
        <v>0</v>
      </c>
      <c r="B187" s="181" t="n">
        <f aca="false">ExportRaw!$C187</f>
        <v>0</v>
      </c>
      <c r="C187" s="181" t="n">
        <f aca="false">ExportRaw!$G187</f>
        <v>0</v>
      </c>
      <c r="D187" s="181" t="str">
        <f aca="false">ExportRaw!$E187</f>
        <v/>
      </c>
      <c r="E187" s="182" t="str">
        <f aca="false">ExportRaw!$D187</f>
        <v/>
      </c>
      <c r="F187" s="181" t="str">
        <f aca="false">ExportRaw!$H187</f>
        <v/>
      </c>
      <c r="G187" s="183" t="str">
        <f aca="false">ExportRaw!$I187</f>
        <v/>
      </c>
      <c r="H187" s="181" t="str">
        <f aca="false">ExportRaw!$A187</f>
        <v/>
      </c>
      <c r="I187" s="181" t="str">
        <f aca="false">ExportRaw!$B187</f>
        <v/>
      </c>
    </row>
    <row r="188" customFormat="false" ht="15.75" hidden="false" customHeight="false" outlineLevel="0" collapsed="false">
      <c r="A188" s="181" t="n">
        <f aca="false">ExportRaw!$F188</f>
        <v>0</v>
      </c>
      <c r="B188" s="181" t="n">
        <f aca="false">ExportRaw!$C188</f>
        <v>0</v>
      </c>
      <c r="C188" s="181" t="n">
        <f aca="false">ExportRaw!$G188</f>
        <v>0</v>
      </c>
      <c r="D188" s="181" t="str">
        <f aca="false">ExportRaw!$E188</f>
        <v/>
      </c>
      <c r="E188" s="182" t="str">
        <f aca="false">ExportRaw!$D188</f>
        <v/>
      </c>
      <c r="F188" s="181" t="str">
        <f aca="false">ExportRaw!$H188</f>
        <v/>
      </c>
      <c r="G188" s="183" t="str">
        <f aca="false">ExportRaw!$I188</f>
        <v/>
      </c>
      <c r="H188" s="181" t="str">
        <f aca="false">ExportRaw!$A188</f>
        <v/>
      </c>
      <c r="I188" s="181" t="str">
        <f aca="false">ExportRaw!$B188</f>
        <v/>
      </c>
    </row>
    <row r="189" customFormat="false" ht="15.75" hidden="false" customHeight="false" outlineLevel="0" collapsed="false">
      <c r="A189" s="181" t="n">
        <f aca="false">ExportRaw!$F189</f>
        <v>0</v>
      </c>
      <c r="B189" s="181" t="n">
        <f aca="false">ExportRaw!$C189</f>
        <v>0</v>
      </c>
      <c r="C189" s="181" t="n">
        <f aca="false">ExportRaw!$G189</f>
        <v>0</v>
      </c>
      <c r="D189" s="181" t="str">
        <f aca="false">ExportRaw!$E189</f>
        <v/>
      </c>
      <c r="E189" s="182" t="str">
        <f aca="false">ExportRaw!$D189</f>
        <v/>
      </c>
      <c r="F189" s="181" t="str">
        <f aca="false">ExportRaw!$H189</f>
        <v/>
      </c>
      <c r="G189" s="183" t="str">
        <f aca="false">ExportRaw!$I189</f>
        <v/>
      </c>
      <c r="H189" s="181" t="str">
        <f aca="false">ExportRaw!$A189</f>
        <v/>
      </c>
      <c r="I189" s="181" t="str">
        <f aca="false">ExportRaw!$B189</f>
        <v/>
      </c>
    </row>
    <row r="190" customFormat="false" ht="15.75" hidden="false" customHeight="false" outlineLevel="0" collapsed="false">
      <c r="A190" s="181" t="n">
        <f aca="false">ExportRaw!$F190</f>
        <v>0</v>
      </c>
      <c r="B190" s="181" t="n">
        <f aca="false">ExportRaw!$C190</f>
        <v>0</v>
      </c>
      <c r="C190" s="181" t="n">
        <f aca="false">ExportRaw!$G190</f>
        <v>0</v>
      </c>
      <c r="D190" s="181" t="str">
        <f aca="false">ExportRaw!$E190</f>
        <v/>
      </c>
      <c r="E190" s="182" t="str">
        <f aca="false">ExportRaw!$D190</f>
        <v/>
      </c>
      <c r="F190" s="181" t="str">
        <f aca="false">ExportRaw!$H190</f>
        <v/>
      </c>
      <c r="G190" s="183" t="str">
        <f aca="false">ExportRaw!$I190</f>
        <v/>
      </c>
      <c r="H190" s="181" t="str">
        <f aca="false">ExportRaw!$A190</f>
        <v/>
      </c>
      <c r="I190" s="181" t="str">
        <f aca="false">ExportRaw!$B190</f>
        <v/>
      </c>
    </row>
    <row r="191" customFormat="false" ht="15.75" hidden="false" customHeight="false" outlineLevel="0" collapsed="false">
      <c r="A191" s="181" t="n">
        <f aca="false">ExportRaw!$F191</f>
        <v>0</v>
      </c>
      <c r="B191" s="181" t="n">
        <f aca="false">ExportRaw!$C191</f>
        <v>0</v>
      </c>
      <c r="C191" s="181" t="n">
        <f aca="false">ExportRaw!$G191</f>
        <v>0</v>
      </c>
      <c r="D191" s="181" t="str">
        <f aca="false">ExportRaw!$E191</f>
        <v/>
      </c>
      <c r="E191" s="182" t="str">
        <f aca="false">ExportRaw!$D191</f>
        <v/>
      </c>
      <c r="F191" s="181" t="str">
        <f aca="false">ExportRaw!$H191</f>
        <v/>
      </c>
      <c r="G191" s="183" t="str">
        <f aca="false">ExportRaw!$I191</f>
        <v/>
      </c>
      <c r="H191" s="181" t="str">
        <f aca="false">ExportRaw!$A191</f>
        <v/>
      </c>
      <c r="I191" s="181" t="str">
        <f aca="false">ExportRaw!$B191</f>
        <v/>
      </c>
    </row>
    <row r="192" customFormat="false" ht="15.75" hidden="false" customHeight="false" outlineLevel="0" collapsed="false">
      <c r="A192" s="181" t="n">
        <f aca="false">ExportRaw!$F192</f>
        <v>0</v>
      </c>
      <c r="B192" s="181" t="n">
        <f aca="false">ExportRaw!$C192</f>
        <v>0</v>
      </c>
      <c r="C192" s="181" t="n">
        <f aca="false">ExportRaw!$G192</f>
        <v>0</v>
      </c>
      <c r="D192" s="181" t="str">
        <f aca="false">ExportRaw!$E192</f>
        <v/>
      </c>
      <c r="E192" s="182" t="str">
        <f aca="false">ExportRaw!$D192</f>
        <v/>
      </c>
      <c r="F192" s="181" t="str">
        <f aca="false">ExportRaw!$H192</f>
        <v/>
      </c>
      <c r="G192" s="183" t="str">
        <f aca="false">ExportRaw!$I192</f>
        <v/>
      </c>
      <c r="H192" s="181" t="str">
        <f aca="false">ExportRaw!$A192</f>
        <v/>
      </c>
      <c r="I192" s="181" t="str">
        <f aca="false">ExportRaw!$B192</f>
        <v/>
      </c>
    </row>
    <row r="193" customFormat="false" ht="15.75" hidden="false" customHeight="false" outlineLevel="0" collapsed="false">
      <c r="A193" s="181" t="n">
        <f aca="false">ExportRaw!$F193</f>
        <v>0</v>
      </c>
      <c r="B193" s="181" t="n">
        <f aca="false">ExportRaw!$C193</f>
        <v>0</v>
      </c>
      <c r="C193" s="181" t="n">
        <f aca="false">ExportRaw!$G193</f>
        <v>0</v>
      </c>
      <c r="D193" s="181" t="str">
        <f aca="false">ExportRaw!$E193</f>
        <v/>
      </c>
      <c r="E193" s="182" t="str">
        <f aca="false">ExportRaw!$D193</f>
        <v/>
      </c>
      <c r="F193" s="181" t="str">
        <f aca="false">ExportRaw!$H193</f>
        <v/>
      </c>
      <c r="G193" s="183" t="str">
        <f aca="false">ExportRaw!$I193</f>
        <v/>
      </c>
      <c r="H193" s="181" t="str">
        <f aca="false">ExportRaw!$A193</f>
        <v/>
      </c>
      <c r="I193" s="181" t="str">
        <f aca="false">ExportRaw!$B193</f>
        <v/>
      </c>
    </row>
    <row r="194" customFormat="false" ht="15.75" hidden="false" customHeight="false" outlineLevel="0" collapsed="false">
      <c r="A194" s="181" t="n">
        <f aca="false">ExportRaw!$F194</f>
        <v>0</v>
      </c>
      <c r="B194" s="181" t="n">
        <f aca="false">ExportRaw!$C194</f>
        <v>0</v>
      </c>
      <c r="C194" s="181" t="n">
        <f aca="false">ExportRaw!$G194</f>
        <v>0</v>
      </c>
      <c r="D194" s="181" t="str">
        <f aca="false">ExportRaw!$E194</f>
        <v/>
      </c>
      <c r="E194" s="182" t="str">
        <f aca="false">ExportRaw!$D194</f>
        <v/>
      </c>
      <c r="F194" s="181" t="str">
        <f aca="false">ExportRaw!$H194</f>
        <v/>
      </c>
      <c r="G194" s="183" t="str">
        <f aca="false">ExportRaw!$I194</f>
        <v/>
      </c>
      <c r="H194" s="181" t="str">
        <f aca="false">ExportRaw!$A194</f>
        <v/>
      </c>
      <c r="I194" s="181" t="str">
        <f aca="false">ExportRaw!$B194</f>
        <v/>
      </c>
    </row>
    <row r="195" customFormat="false" ht="15.75" hidden="false" customHeight="false" outlineLevel="0" collapsed="false">
      <c r="A195" s="181" t="n">
        <f aca="false">ExportRaw!$F195</f>
        <v>0</v>
      </c>
      <c r="B195" s="181" t="n">
        <f aca="false">ExportRaw!$C195</f>
        <v>0</v>
      </c>
      <c r="C195" s="181" t="n">
        <f aca="false">ExportRaw!$G195</f>
        <v>0</v>
      </c>
      <c r="D195" s="181" t="str">
        <f aca="false">ExportRaw!$E195</f>
        <v/>
      </c>
      <c r="E195" s="182" t="str">
        <f aca="false">ExportRaw!$D195</f>
        <v/>
      </c>
      <c r="F195" s="181" t="str">
        <f aca="false">ExportRaw!$H195</f>
        <v/>
      </c>
      <c r="G195" s="183" t="str">
        <f aca="false">ExportRaw!$I195</f>
        <v/>
      </c>
      <c r="H195" s="181" t="str">
        <f aca="false">ExportRaw!$A195</f>
        <v/>
      </c>
      <c r="I195" s="181" t="str">
        <f aca="false">ExportRaw!$B195</f>
        <v/>
      </c>
    </row>
    <row r="196" customFormat="false" ht="15.75" hidden="false" customHeight="false" outlineLevel="0" collapsed="false">
      <c r="A196" s="181" t="n">
        <f aca="false">ExportRaw!$F196</f>
        <v>0</v>
      </c>
      <c r="B196" s="181" t="n">
        <f aca="false">ExportRaw!$C196</f>
        <v>0</v>
      </c>
      <c r="C196" s="181" t="n">
        <f aca="false">ExportRaw!$G196</f>
        <v>0</v>
      </c>
      <c r="D196" s="181" t="str">
        <f aca="false">ExportRaw!$E196</f>
        <v/>
      </c>
      <c r="E196" s="182" t="str">
        <f aca="false">ExportRaw!$D196</f>
        <v/>
      </c>
      <c r="F196" s="181" t="str">
        <f aca="false">ExportRaw!$H196</f>
        <v/>
      </c>
      <c r="G196" s="183" t="str">
        <f aca="false">ExportRaw!$I196</f>
        <v/>
      </c>
      <c r="H196" s="181" t="str">
        <f aca="false">ExportRaw!$A196</f>
        <v/>
      </c>
      <c r="I196" s="181" t="str">
        <f aca="false">ExportRaw!$B196</f>
        <v/>
      </c>
    </row>
    <row r="197" customFormat="false" ht="15.75" hidden="false" customHeight="false" outlineLevel="0" collapsed="false">
      <c r="A197" s="181" t="n">
        <f aca="false">ExportRaw!$F197</f>
        <v>0</v>
      </c>
      <c r="B197" s="181" t="n">
        <f aca="false">ExportRaw!$C197</f>
        <v>0</v>
      </c>
      <c r="C197" s="181" t="n">
        <f aca="false">ExportRaw!$G197</f>
        <v>0</v>
      </c>
      <c r="D197" s="181" t="str">
        <f aca="false">ExportRaw!$E197</f>
        <v/>
      </c>
      <c r="E197" s="182" t="str">
        <f aca="false">ExportRaw!$D197</f>
        <v/>
      </c>
      <c r="F197" s="181" t="str">
        <f aca="false">ExportRaw!$H197</f>
        <v/>
      </c>
      <c r="G197" s="183" t="str">
        <f aca="false">ExportRaw!$I197</f>
        <v/>
      </c>
      <c r="H197" s="181" t="str">
        <f aca="false">ExportRaw!$A197</f>
        <v/>
      </c>
      <c r="I197" s="181" t="str">
        <f aca="false">ExportRaw!$B197</f>
        <v/>
      </c>
    </row>
    <row r="198" customFormat="false" ht="15.75" hidden="false" customHeight="false" outlineLevel="0" collapsed="false">
      <c r="A198" s="181" t="n">
        <f aca="false">ExportRaw!$F198</f>
        <v>0</v>
      </c>
      <c r="B198" s="181" t="n">
        <f aca="false">ExportRaw!$C198</f>
        <v>0</v>
      </c>
      <c r="C198" s="181" t="n">
        <f aca="false">ExportRaw!$G198</f>
        <v>0</v>
      </c>
      <c r="D198" s="181" t="str">
        <f aca="false">ExportRaw!$E198</f>
        <v/>
      </c>
      <c r="E198" s="182" t="str">
        <f aca="false">ExportRaw!$D198</f>
        <v/>
      </c>
      <c r="F198" s="181" t="str">
        <f aca="false">ExportRaw!$H198</f>
        <v/>
      </c>
      <c r="G198" s="183" t="str">
        <f aca="false">ExportRaw!$I198</f>
        <v/>
      </c>
      <c r="H198" s="181" t="str">
        <f aca="false">ExportRaw!$A198</f>
        <v/>
      </c>
      <c r="I198" s="181" t="str">
        <f aca="false">ExportRaw!$B198</f>
        <v/>
      </c>
    </row>
    <row r="199" customFormat="false" ht="15.75" hidden="false" customHeight="false" outlineLevel="0" collapsed="false">
      <c r="A199" s="181" t="n">
        <f aca="false">ExportRaw!$F199</f>
        <v>0</v>
      </c>
      <c r="B199" s="181" t="n">
        <f aca="false">ExportRaw!$C199</f>
        <v>0</v>
      </c>
      <c r="C199" s="181" t="n">
        <f aca="false">ExportRaw!$G199</f>
        <v>0</v>
      </c>
      <c r="D199" s="181" t="str">
        <f aca="false">ExportRaw!$E199</f>
        <v/>
      </c>
      <c r="E199" s="182" t="str">
        <f aca="false">ExportRaw!$D199</f>
        <v/>
      </c>
      <c r="F199" s="181" t="str">
        <f aca="false">ExportRaw!$H199</f>
        <v/>
      </c>
      <c r="G199" s="183" t="str">
        <f aca="false">ExportRaw!$I199</f>
        <v/>
      </c>
      <c r="H199" s="181" t="str">
        <f aca="false">ExportRaw!$A199</f>
        <v/>
      </c>
      <c r="I199" s="181" t="str">
        <f aca="false">ExportRaw!$B199</f>
        <v/>
      </c>
    </row>
    <row r="200" customFormat="false" ht="15.75" hidden="false" customHeight="false" outlineLevel="0" collapsed="false">
      <c r="A200" s="181" t="n">
        <f aca="false">ExportRaw!$F200</f>
        <v>0</v>
      </c>
      <c r="B200" s="181" t="n">
        <f aca="false">ExportRaw!$C200</f>
        <v>0</v>
      </c>
      <c r="C200" s="181" t="n">
        <f aca="false">ExportRaw!$G200</f>
        <v>0</v>
      </c>
      <c r="D200" s="181" t="str">
        <f aca="false">ExportRaw!$E200</f>
        <v/>
      </c>
      <c r="E200" s="182" t="str">
        <f aca="false">ExportRaw!$D200</f>
        <v/>
      </c>
      <c r="F200" s="181" t="str">
        <f aca="false">ExportRaw!$H200</f>
        <v/>
      </c>
      <c r="G200" s="183" t="str">
        <f aca="false">ExportRaw!$I200</f>
        <v/>
      </c>
      <c r="H200" s="181" t="str">
        <f aca="false">ExportRaw!$A200</f>
        <v/>
      </c>
      <c r="I200" s="181" t="str">
        <f aca="false">ExportRaw!$B200</f>
        <v/>
      </c>
    </row>
    <row r="201" customFormat="false" ht="15.75" hidden="false" customHeight="false" outlineLevel="0" collapsed="false">
      <c r="A201" s="181" t="n">
        <f aca="false">ExportRaw!$F201</f>
        <v>0</v>
      </c>
      <c r="B201" s="181" t="n">
        <f aca="false">ExportRaw!$C201</f>
        <v>0</v>
      </c>
      <c r="C201" s="181" t="n">
        <f aca="false">ExportRaw!$G201</f>
        <v>0</v>
      </c>
      <c r="D201" s="181" t="str">
        <f aca="false">ExportRaw!$E201</f>
        <v/>
      </c>
      <c r="E201" s="182" t="str">
        <f aca="false">ExportRaw!$D201</f>
        <v/>
      </c>
      <c r="F201" s="181" t="str">
        <f aca="false">ExportRaw!$H201</f>
        <v/>
      </c>
      <c r="G201" s="183" t="str">
        <f aca="false">ExportRaw!$I201</f>
        <v/>
      </c>
      <c r="H201" s="181" t="str">
        <f aca="false">ExportRaw!$A201</f>
        <v/>
      </c>
      <c r="I201" s="181" t="str">
        <f aca="false">ExportRaw!$B201</f>
        <v/>
      </c>
    </row>
    <row r="202" customFormat="false" ht="15.75" hidden="false" customHeight="false" outlineLevel="0" collapsed="false">
      <c r="A202" s="181" t="n">
        <f aca="false">ExportRaw!$F202</f>
        <v>0</v>
      </c>
      <c r="B202" s="181" t="n">
        <f aca="false">ExportRaw!$C202</f>
        <v>0</v>
      </c>
      <c r="C202" s="181" t="n">
        <f aca="false">ExportRaw!$G202</f>
        <v>0</v>
      </c>
      <c r="D202" s="181" t="str">
        <f aca="false">ExportRaw!$E202</f>
        <v/>
      </c>
      <c r="E202" s="182" t="str">
        <f aca="false">ExportRaw!$D202</f>
        <v/>
      </c>
      <c r="F202" s="181" t="str">
        <f aca="false">ExportRaw!$H202</f>
        <v/>
      </c>
      <c r="G202" s="183" t="str">
        <f aca="false">ExportRaw!$I202</f>
        <v/>
      </c>
      <c r="H202" s="181" t="str">
        <f aca="false">ExportRaw!$A202</f>
        <v/>
      </c>
      <c r="I202" s="181" t="str">
        <f aca="false">ExportRaw!$B202</f>
        <v/>
      </c>
    </row>
    <row r="203" customFormat="false" ht="15.75" hidden="false" customHeight="false" outlineLevel="0" collapsed="false">
      <c r="A203" s="181" t="n">
        <f aca="false">ExportRaw!$F203</f>
        <v>0</v>
      </c>
      <c r="B203" s="181" t="n">
        <f aca="false">ExportRaw!$C203</f>
        <v>0</v>
      </c>
      <c r="C203" s="181" t="n">
        <f aca="false">ExportRaw!$G203</f>
        <v>0</v>
      </c>
      <c r="D203" s="181" t="str">
        <f aca="false">ExportRaw!$E203</f>
        <v/>
      </c>
      <c r="E203" s="182" t="str">
        <f aca="false">ExportRaw!$D203</f>
        <v/>
      </c>
      <c r="F203" s="181" t="str">
        <f aca="false">ExportRaw!$H203</f>
        <v/>
      </c>
      <c r="G203" s="183" t="str">
        <f aca="false">ExportRaw!$I203</f>
        <v/>
      </c>
      <c r="H203" s="181" t="str">
        <f aca="false">ExportRaw!$A203</f>
        <v/>
      </c>
      <c r="I203" s="181" t="str">
        <f aca="false">ExportRaw!$B203</f>
        <v/>
      </c>
    </row>
    <row r="204" customFormat="false" ht="15.75" hidden="false" customHeight="false" outlineLevel="0" collapsed="false">
      <c r="A204" s="181" t="n">
        <f aca="false">ExportRaw!$F204</f>
        <v>0</v>
      </c>
      <c r="B204" s="181" t="n">
        <f aca="false">ExportRaw!$C204</f>
        <v>0</v>
      </c>
      <c r="C204" s="181" t="n">
        <f aca="false">ExportRaw!$G204</f>
        <v>0</v>
      </c>
      <c r="D204" s="181" t="str">
        <f aca="false">ExportRaw!$E204</f>
        <v/>
      </c>
      <c r="E204" s="182" t="str">
        <f aca="false">ExportRaw!$D204</f>
        <v/>
      </c>
      <c r="F204" s="181" t="str">
        <f aca="false">ExportRaw!$H204</f>
        <v/>
      </c>
      <c r="G204" s="183" t="str">
        <f aca="false">ExportRaw!$I204</f>
        <v/>
      </c>
      <c r="H204" s="181" t="str">
        <f aca="false">ExportRaw!$A204</f>
        <v/>
      </c>
      <c r="I204" s="181" t="str">
        <f aca="false">ExportRaw!$B204</f>
        <v/>
      </c>
    </row>
    <row r="205" customFormat="false" ht="15.75" hidden="false" customHeight="false" outlineLevel="0" collapsed="false">
      <c r="A205" s="181" t="n">
        <f aca="false">ExportRaw!$F205</f>
        <v>0</v>
      </c>
      <c r="B205" s="181" t="n">
        <f aca="false">ExportRaw!$C205</f>
        <v>0</v>
      </c>
      <c r="C205" s="181" t="n">
        <f aca="false">ExportRaw!$G205</f>
        <v>0</v>
      </c>
      <c r="D205" s="181" t="str">
        <f aca="false">ExportRaw!$E205</f>
        <v/>
      </c>
      <c r="E205" s="182" t="str">
        <f aca="false">ExportRaw!$D205</f>
        <v/>
      </c>
      <c r="F205" s="181" t="str">
        <f aca="false">ExportRaw!$H205</f>
        <v/>
      </c>
      <c r="G205" s="183" t="str">
        <f aca="false">ExportRaw!$I205</f>
        <v/>
      </c>
      <c r="H205" s="181" t="str">
        <f aca="false">ExportRaw!$A205</f>
        <v/>
      </c>
      <c r="I205" s="181" t="str">
        <f aca="false">ExportRaw!$B205</f>
        <v/>
      </c>
    </row>
    <row r="206" customFormat="false" ht="15.75" hidden="false" customHeight="false" outlineLevel="0" collapsed="false">
      <c r="A206" s="181" t="n">
        <f aca="false">ExportRaw!$F206</f>
        <v>0</v>
      </c>
      <c r="B206" s="181" t="n">
        <f aca="false">ExportRaw!$C206</f>
        <v>0</v>
      </c>
      <c r="C206" s="181" t="n">
        <f aca="false">ExportRaw!$G206</f>
        <v>0</v>
      </c>
      <c r="D206" s="181" t="str">
        <f aca="false">ExportRaw!$E206</f>
        <v/>
      </c>
      <c r="E206" s="182" t="str">
        <f aca="false">ExportRaw!$D206</f>
        <v/>
      </c>
      <c r="F206" s="181" t="str">
        <f aca="false">ExportRaw!$H206</f>
        <v/>
      </c>
      <c r="G206" s="183" t="str">
        <f aca="false">ExportRaw!$I206</f>
        <v/>
      </c>
      <c r="H206" s="181" t="str">
        <f aca="false">ExportRaw!$A206</f>
        <v/>
      </c>
      <c r="I206" s="181" t="str">
        <f aca="false">ExportRaw!$B206</f>
        <v/>
      </c>
    </row>
    <row r="207" customFormat="false" ht="15.75" hidden="false" customHeight="false" outlineLevel="0" collapsed="false">
      <c r="A207" s="181" t="n">
        <f aca="false">ExportRaw!$F207</f>
        <v>0</v>
      </c>
      <c r="B207" s="181" t="n">
        <f aca="false">ExportRaw!$C207</f>
        <v>0</v>
      </c>
      <c r="C207" s="181" t="n">
        <f aca="false">ExportRaw!$G207</f>
        <v>0</v>
      </c>
      <c r="D207" s="181" t="str">
        <f aca="false">ExportRaw!$E207</f>
        <v/>
      </c>
      <c r="E207" s="182" t="str">
        <f aca="false">ExportRaw!$D207</f>
        <v/>
      </c>
      <c r="F207" s="181" t="str">
        <f aca="false">ExportRaw!$H207</f>
        <v/>
      </c>
      <c r="G207" s="183" t="str">
        <f aca="false">ExportRaw!$I207</f>
        <v/>
      </c>
      <c r="H207" s="181" t="str">
        <f aca="false">ExportRaw!$A207</f>
        <v/>
      </c>
      <c r="I207" s="181" t="str">
        <f aca="false">ExportRaw!$B207</f>
        <v/>
      </c>
    </row>
    <row r="208" customFormat="false" ht="15.75" hidden="false" customHeight="false" outlineLevel="0" collapsed="false">
      <c r="A208" s="181" t="n">
        <f aca="false">ExportRaw!$F208</f>
        <v>0</v>
      </c>
      <c r="B208" s="181" t="n">
        <f aca="false">ExportRaw!$C208</f>
        <v>0</v>
      </c>
      <c r="C208" s="181" t="n">
        <f aca="false">ExportRaw!$G208</f>
        <v>0</v>
      </c>
      <c r="D208" s="181" t="str">
        <f aca="false">ExportRaw!$E208</f>
        <v/>
      </c>
      <c r="E208" s="182" t="str">
        <f aca="false">ExportRaw!$D208</f>
        <v/>
      </c>
      <c r="F208" s="181" t="str">
        <f aca="false">ExportRaw!$H208</f>
        <v/>
      </c>
      <c r="G208" s="183" t="str">
        <f aca="false">ExportRaw!$I208</f>
        <v/>
      </c>
      <c r="H208" s="181" t="str">
        <f aca="false">ExportRaw!$A208</f>
        <v/>
      </c>
      <c r="I208" s="181" t="str">
        <f aca="false">ExportRaw!$B208</f>
        <v/>
      </c>
    </row>
    <row r="209" customFormat="false" ht="15.75" hidden="false" customHeight="false" outlineLevel="0" collapsed="false">
      <c r="A209" s="181" t="n">
        <f aca="false">ExportRaw!$F209</f>
        <v>0</v>
      </c>
      <c r="B209" s="181" t="n">
        <f aca="false">ExportRaw!$C209</f>
        <v>0</v>
      </c>
      <c r="C209" s="181" t="n">
        <f aca="false">ExportRaw!$G209</f>
        <v>0</v>
      </c>
      <c r="D209" s="181" t="str">
        <f aca="false">ExportRaw!$E209</f>
        <v/>
      </c>
      <c r="E209" s="182" t="str">
        <f aca="false">ExportRaw!$D209</f>
        <v/>
      </c>
      <c r="F209" s="181" t="str">
        <f aca="false">ExportRaw!$H209</f>
        <v/>
      </c>
      <c r="G209" s="183" t="str">
        <f aca="false">ExportRaw!$I209</f>
        <v/>
      </c>
      <c r="H209" s="181" t="str">
        <f aca="false">ExportRaw!$A209</f>
        <v/>
      </c>
      <c r="I209" s="181" t="str">
        <f aca="false">ExportRaw!$B209</f>
        <v/>
      </c>
    </row>
    <row r="210" customFormat="false" ht="15.75" hidden="false" customHeight="false" outlineLevel="0" collapsed="false">
      <c r="A210" s="181" t="n">
        <f aca="false">ExportRaw!$F210</f>
        <v>0</v>
      </c>
      <c r="B210" s="181" t="n">
        <f aca="false">ExportRaw!$C210</f>
        <v>0</v>
      </c>
      <c r="C210" s="181" t="n">
        <f aca="false">ExportRaw!$G210</f>
        <v>0</v>
      </c>
      <c r="D210" s="181" t="str">
        <f aca="false">ExportRaw!$E210</f>
        <v/>
      </c>
      <c r="E210" s="182" t="str">
        <f aca="false">ExportRaw!$D210</f>
        <v/>
      </c>
      <c r="F210" s="181" t="str">
        <f aca="false">ExportRaw!$H210</f>
        <v/>
      </c>
      <c r="G210" s="183" t="str">
        <f aca="false">ExportRaw!$I210</f>
        <v/>
      </c>
      <c r="H210" s="181" t="str">
        <f aca="false">ExportRaw!$A210</f>
        <v/>
      </c>
      <c r="I210" s="181" t="str">
        <f aca="false">ExportRaw!$B210</f>
        <v/>
      </c>
    </row>
    <row r="211" customFormat="false" ht="15.75" hidden="false" customHeight="false" outlineLevel="0" collapsed="false">
      <c r="A211" s="181" t="n">
        <f aca="false">ExportRaw!$F211</f>
        <v>0</v>
      </c>
      <c r="B211" s="181" t="n">
        <f aca="false">ExportRaw!$C211</f>
        <v>0</v>
      </c>
      <c r="C211" s="181" t="n">
        <f aca="false">ExportRaw!$G211</f>
        <v>0</v>
      </c>
      <c r="D211" s="181" t="str">
        <f aca="false">ExportRaw!$E211</f>
        <v/>
      </c>
      <c r="E211" s="182" t="str">
        <f aca="false">ExportRaw!$D211</f>
        <v/>
      </c>
      <c r="F211" s="181" t="str">
        <f aca="false">ExportRaw!$H211</f>
        <v/>
      </c>
      <c r="G211" s="183" t="str">
        <f aca="false">ExportRaw!$I211</f>
        <v/>
      </c>
      <c r="H211" s="181" t="str">
        <f aca="false">ExportRaw!$A211</f>
        <v/>
      </c>
      <c r="I211" s="181" t="str">
        <f aca="false">ExportRaw!$B211</f>
        <v/>
      </c>
    </row>
    <row r="212" customFormat="false" ht="15.75" hidden="false" customHeight="false" outlineLevel="0" collapsed="false">
      <c r="A212" s="181" t="n">
        <f aca="false">ExportRaw!$F212</f>
        <v>0</v>
      </c>
      <c r="B212" s="181" t="n">
        <f aca="false">ExportRaw!$C212</f>
        <v>0</v>
      </c>
      <c r="C212" s="181" t="n">
        <f aca="false">ExportRaw!$G212</f>
        <v>0</v>
      </c>
      <c r="D212" s="181" t="str">
        <f aca="false">ExportRaw!$E212</f>
        <v/>
      </c>
      <c r="E212" s="182" t="str">
        <f aca="false">ExportRaw!$D212</f>
        <v/>
      </c>
      <c r="F212" s="181" t="str">
        <f aca="false">ExportRaw!$H212</f>
        <v/>
      </c>
      <c r="G212" s="183" t="str">
        <f aca="false">ExportRaw!$I212</f>
        <v/>
      </c>
      <c r="H212" s="181" t="str">
        <f aca="false">ExportRaw!$A212</f>
        <v/>
      </c>
      <c r="I212" s="181" t="str">
        <f aca="false">ExportRaw!$B212</f>
        <v/>
      </c>
    </row>
    <row r="213" customFormat="false" ht="15.75" hidden="false" customHeight="false" outlineLevel="0" collapsed="false">
      <c r="A213" s="181" t="n">
        <f aca="false">ExportRaw!$F213</f>
        <v>0</v>
      </c>
      <c r="B213" s="181" t="n">
        <f aca="false">ExportRaw!$C213</f>
        <v>0</v>
      </c>
      <c r="C213" s="181" t="n">
        <f aca="false">ExportRaw!$G213</f>
        <v>0</v>
      </c>
      <c r="D213" s="181" t="str">
        <f aca="false">ExportRaw!$E213</f>
        <v/>
      </c>
      <c r="E213" s="182" t="str">
        <f aca="false">ExportRaw!$D213</f>
        <v/>
      </c>
      <c r="F213" s="181" t="str">
        <f aca="false">ExportRaw!$H213</f>
        <v/>
      </c>
      <c r="G213" s="183" t="str">
        <f aca="false">ExportRaw!$I213</f>
        <v/>
      </c>
      <c r="H213" s="181" t="str">
        <f aca="false">ExportRaw!$A213</f>
        <v/>
      </c>
      <c r="I213" s="181" t="str">
        <f aca="false">ExportRaw!$B213</f>
        <v/>
      </c>
    </row>
    <row r="214" customFormat="false" ht="15.75" hidden="false" customHeight="false" outlineLevel="0" collapsed="false">
      <c r="A214" s="181" t="n">
        <f aca="false">ExportRaw!$F214</f>
        <v>0</v>
      </c>
      <c r="B214" s="181" t="n">
        <f aca="false">ExportRaw!$C214</f>
        <v>0</v>
      </c>
      <c r="C214" s="181" t="n">
        <f aca="false">ExportRaw!$G214</f>
        <v>0</v>
      </c>
      <c r="D214" s="181" t="str">
        <f aca="false">ExportRaw!$E214</f>
        <v/>
      </c>
      <c r="E214" s="182" t="str">
        <f aca="false">ExportRaw!$D214</f>
        <v/>
      </c>
      <c r="F214" s="181" t="str">
        <f aca="false">ExportRaw!$H214</f>
        <v/>
      </c>
      <c r="G214" s="183" t="str">
        <f aca="false">ExportRaw!$I214</f>
        <v/>
      </c>
      <c r="H214" s="181" t="str">
        <f aca="false">ExportRaw!$A214</f>
        <v/>
      </c>
      <c r="I214" s="181" t="str">
        <f aca="false">ExportRaw!$B214</f>
        <v/>
      </c>
    </row>
    <row r="215" customFormat="false" ht="15.75" hidden="false" customHeight="false" outlineLevel="0" collapsed="false">
      <c r="A215" s="181" t="n">
        <f aca="false">ExportRaw!$F215</f>
        <v>0</v>
      </c>
      <c r="B215" s="181" t="n">
        <f aca="false">ExportRaw!$C215</f>
        <v>0</v>
      </c>
      <c r="C215" s="181" t="n">
        <f aca="false">ExportRaw!$G215</f>
        <v>0</v>
      </c>
      <c r="D215" s="181" t="str">
        <f aca="false">ExportRaw!$E215</f>
        <v/>
      </c>
      <c r="E215" s="182" t="str">
        <f aca="false">ExportRaw!$D215</f>
        <v/>
      </c>
      <c r="F215" s="181" t="str">
        <f aca="false">ExportRaw!$H215</f>
        <v/>
      </c>
      <c r="G215" s="183" t="str">
        <f aca="false">ExportRaw!$I215</f>
        <v/>
      </c>
      <c r="H215" s="181" t="str">
        <f aca="false">ExportRaw!$A215</f>
        <v/>
      </c>
      <c r="I215" s="181" t="str">
        <f aca="false">ExportRaw!$B215</f>
        <v/>
      </c>
    </row>
    <row r="216" customFormat="false" ht="15.75" hidden="false" customHeight="false" outlineLevel="0" collapsed="false">
      <c r="A216" s="181" t="n">
        <f aca="false">ExportRaw!$F216</f>
        <v>0</v>
      </c>
      <c r="B216" s="181" t="n">
        <f aca="false">ExportRaw!$C216</f>
        <v>0</v>
      </c>
      <c r="C216" s="181" t="n">
        <f aca="false">ExportRaw!$G216</f>
        <v>0</v>
      </c>
      <c r="D216" s="181" t="str">
        <f aca="false">ExportRaw!$E216</f>
        <v/>
      </c>
      <c r="E216" s="182" t="str">
        <f aca="false">ExportRaw!$D216</f>
        <v/>
      </c>
      <c r="F216" s="181" t="str">
        <f aca="false">ExportRaw!$H216</f>
        <v/>
      </c>
      <c r="G216" s="183" t="str">
        <f aca="false">ExportRaw!$I216</f>
        <v/>
      </c>
      <c r="H216" s="181" t="str">
        <f aca="false">ExportRaw!$A216</f>
        <v/>
      </c>
      <c r="I216" s="181" t="str">
        <f aca="false">ExportRaw!$B216</f>
        <v/>
      </c>
    </row>
    <row r="217" customFormat="false" ht="15.75" hidden="false" customHeight="false" outlineLevel="0" collapsed="false">
      <c r="A217" s="181" t="n">
        <f aca="false">ExportRaw!$F217</f>
        <v>0</v>
      </c>
      <c r="B217" s="181" t="n">
        <f aca="false">ExportRaw!$C217</f>
        <v>0</v>
      </c>
      <c r="C217" s="181" t="n">
        <f aca="false">ExportRaw!$G217</f>
        <v>0</v>
      </c>
      <c r="D217" s="181" t="str">
        <f aca="false">ExportRaw!$E217</f>
        <v/>
      </c>
      <c r="E217" s="182" t="str">
        <f aca="false">ExportRaw!$D217</f>
        <v/>
      </c>
      <c r="F217" s="181" t="str">
        <f aca="false">ExportRaw!$H217</f>
        <v/>
      </c>
      <c r="G217" s="183" t="str">
        <f aca="false">ExportRaw!$I217</f>
        <v/>
      </c>
      <c r="H217" s="181" t="str">
        <f aca="false">ExportRaw!$A217</f>
        <v/>
      </c>
      <c r="I217" s="181" t="str">
        <f aca="false">ExportRaw!$B217</f>
        <v/>
      </c>
    </row>
    <row r="218" customFormat="false" ht="15.75" hidden="false" customHeight="false" outlineLevel="0" collapsed="false">
      <c r="A218" s="181" t="n">
        <f aca="false">ExportRaw!$F218</f>
        <v>0</v>
      </c>
      <c r="B218" s="181" t="n">
        <f aca="false">ExportRaw!$C218</f>
        <v>0</v>
      </c>
      <c r="C218" s="181" t="n">
        <f aca="false">ExportRaw!$G218</f>
        <v>0</v>
      </c>
      <c r="D218" s="181" t="str">
        <f aca="false">ExportRaw!$E218</f>
        <v/>
      </c>
      <c r="E218" s="182" t="str">
        <f aca="false">ExportRaw!$D218</f>
        <v/>
      </c>
      <c r="F218" s="181" t="str">
        <f aca="false">ExportRaw!$H218</f>
        <v/>
      </c>
      <c r="G218" s="183" t="str">
        <f aca="false">ExportRaw!$I218</f>
        <v/>
      </c>
      <c r="H218" s="181" t="str">
        <f aca="false">ExportRaw!$A218</f>
        <v/>
      </c>
      <c r="I218" s="181" t="str">
        <f aca="false">ExportRaw!$B218</f>
        <v/>
      </c>
    </row>
    <row r="219" customFormat="false" ht="15.75" hidden="false" customHeight="false" outlineLevel="0" collapsed="false">
      <c r="A219" s="181" t="n">
        <f aca="false">ExportRaw!$F219</f>
        <v>0</v>
      </c>
      <c r="B219" s="181" t="n">
        <f aca="false">ExportRaw!$C219</f>
        <v>0</v>
      </c>
      <c r="C219" s="181" t="n">
        <f aca="false">ExportRaw!$G219</f>
        <v>0</v>
      </c>
      <c r="D219" s="181" t="str">
        <f aca="false">ExportRaw!$E219</f>
        <v/>
      </c>
      <c r="E219" s="182" t="str">
        <f aca="false">ExportRaw!$D219</f>
        <v/>
      </c>
      <c r="F219" s="181" t="str">
        <f aca="false">ExportRaw!$H219</f>
        <v/>
      </c>
      <c r="G219" s="183" t="str">
        <f aca="false">ExportRaw!$I219</f>
        <v/>
      </c>
      <c r="H219" s="181" t="str">
        <f aca="false">ExportRaw!$A219</f>
        <v/>
      </c>
      <c r="I219" s="181" t="str">
        <f aca="false">ExportRaw!$B219</f>
        <v/>
      </c>
    </row>
    <row r="220" customFormat="false" ht="15.75" hidden="false" customHeight="false" outlineLevel="0" collapsed="false">
      <c r="A220" s="181" t="n">
        <f aca="false">ExportRaw!$F220</f>
        <v>0</v>
      </c>
      <c r="B220" s="181" t="n">
        <f aca="false">ExportRaw!$C220</f>
        <v>0</v>
      </c>
      <c r="C220" s="181" t="n">
        <f aca="false">ExportRaw!$G220</f>
        <v>0</v>
      </c>
      <c r="D220" s="181" t="str">
        <f aca="false">ExportRaw!$E220</f>
        <v/>
      </c>
      <c r="E220" s="182" t="str">
        <f aca="false">ExportRaw!$D220</f>
        <v/>
      </c>
      <c r="F220" s="181" t="str">
        <f aca="false">ExportRaw!$H220</f>
        <v/>
      </c>
      <c r="G220" s="183" t="str">
        <f aca="false">ExportRaw!$I220</f>
        <v/>
      </c>
      <c r="H220" s="181" t="str">
        <f aca="false">ExportRaw!$A220</f>
        <v/>
      </c>
      <c r="I220" s="181" t="str">
        <f aca="false">ExportRaw!$B220</f>
        <v/>
      </c>
    </row>
    <row r="221" customFormat="false" ht="15.75" hidden="false" customHeight="false" outlineLevel="0" collapsed="false">
      <c r="A221" s="181" t="n">
        <f aca="false">ExportRaw!$F221</f>
        <v>0</v>
      </c>
      <c r="B221" s="181" t="n">
        <f aca="false">ExportRaw!$C221</f>
        <v>0</v>
      </c>
      <c r="C221" s="181" t="n">
        <f aca="false">ExportRaw!$G221</f>
        <v>0</v>
      </c>
      <c r="D221" s="181" t="str">
        <f aca="false">ExportRaw!$E221</f>
        <v/>
      </c>
      <c r="E221" s="182" t="str">
        <f aca="false">ExportRaw!$D221</f>
        <v/>
      </c>
      <c r="F221" s="181" t="str">
        <f aca="false">ExportRaw!$H221</f>
        <v/>
      </c>
      <c r="G221" s="183" t="str">
        <f aca="false">ExportRaw!$I221</f>
        <v/>
      </c>
      <c r="H221" s="181" t="str">
        <f aca="false">ExportRaw!$A221</f>
        <v/>
      </c>
      <c r="I221" s="181" t="str">
        <f aca="false">ExportRaw!$B221</f>
        <v/>
      </c>
    </row>
    <row r="222" customFormat="false" ht="15.75" hidden="false" customHeight="false" outlineLevel="0" collapsed="false">
      <c r="A222" s="181" t="n">
        <f aca="false">ExportRaw!$F222</f>
        <v>0</v>
      </c>
      <c r="B222" s="181" t="n">
        <f aca="false">ExportRaw!$C222</f>
        <v>0</v>
      </c>
      <c r="C222" s="181" t="n">
        <f aca="false">ExportRaw!$G222</f>
        <v>0</v>
      </c>
      <c r="D222" s="181" t="str">
        <f aca="false">ExportRaw!$E222</f>
        <v/>
      </c>
      <c r="E222" s="182" t="str">
        <f aca="false">ExportRaw!$D222</f>
        <v/>
      </c>
      <c r="F222" s="181" t="str">
        <f aca="false">ExportRaw!$H222</f>
        <v/>
      </c>
      <c r="G222" s="183" t="str">
        <f aca="false">ExportRaw!$I222</f>
        <v/>
      </c>
      <c r="H222" s="181" t="str">
        <f aca="false">ExportRaw!$A222</f>
        <v/>
      </c>
      <c r="I222" s="181" t="str">
        <f aca="false">ExportRaw!$B222</f>
        <v/>
      </c>
    </row>
    <row r="223" customFormat="false" ht="15.75" hidden="false" customHeight="false" outlineLevel="0" collapsed="false">
      <c r="A223" s="181" t="n">
        <f aca="false">ExportRaw!$F223</f>
        <v>0</v>
      </c>
      <c r="B223" s="181" t="n">
        <f aca="false">ExportRaw!$C223</f>
        <v>0</v>
      </c>
      <c r="C223" s="181" t="n">
        <f aca="false">ExportRaw!$G223</f>
        <v>0</v>
      </c>
      <c r="D223" s="181" t="str">
        <f aca="false">ExportRaw!$E223</f>
        <v/>
      </c>
      <c r="E223" s="182" t="str">
        <f aca="false">ExportRaw!$D223</f>
        <v/>
      </c>
      <c r="F223" s="181" t="str">
        <f aca="false">ExportRaw!$H223</f>
        <v/>
      </c>
      <c r="G223" s="183" t="str">
        <f aca="false">ExportRaw!$I223</f>
        <v/>
      </c>
      <c r="H223" s="181" t="str">
        <f aca="false">ExportRaw!$A223</f>
        <v/>
      </c>
      <c r="I223" s="181" t="str">
        <f aca="false">ExportRaw!$B223</f>
        <v/>
      </c>
    </row>
    <row r="224" customFormat="false" ht="15.75" hidden="false" customHeight="false" outlineLevel="0" collapsed="false">
      <c r="A224" s="181" t="n">
        <f aca="false">ExportRaw!$F224</f>
        <v>0</v>
      </c>
      <c r="B224" s="181" t="n">
        <f aca="false">ExportRaw!$C224</f>
        <v>0</v>
      </c>
      <c r="C224" s="181" t="n">
        <f aca="false">ExportRaw!$G224</f>
        <v>0</v>
      </c>
      <c r="D224" s="181" t="str">
        <f aca="false">ExportRaw!$E224</f>
        <v/>
      </c>
      <c r="E224" s="182" t="str">
        <f aca="false">ExportRaw!$D224</f>
        <v/>
      </c>
      <c r="F224" s="181" t="str">
        <f aca="false">ExportRaw!$H224</f>
        <v/>
      </c>
      <c r="G224" s="183" t="str">
        <f aca="false">ExportRaw!$I224</f>
        <v/>
      </c>
      <c r="H224" s="181" t="str">
        <f aca="false">ExportRaw!$A224</f>
        <v/>
      </c>
      <c r="I224" s="181" t="str">
        <f aca="false">ExportRaw!$B224</f>
        <v/>
      </c>
    </row>
    <row r="225" customFormat="false" ht="15.75" hidden="false" customHeight="false" outlineLevel="0" collapsed="false">
      <c r="A225" s="181" t="n">
        <f aca="false">ExportRaw!$F225</f>
        <v>0</v>
      </c>
      <c r="B225" s="181" t="n">
        <f aca="false">ExportRaw!$C225</f>
        <v>0</v>
      </c>
      <c r="C225" s="181" t="n">
        <f aca="false">ExportRaw!$G225</f>
        <v>0</v>
      </c>
      <c r="D225" s="181" t="str">
        <f aca="false">ExportRaw!$E225</f>
        <v/>
      </c>
      <c r="E225" s="182" t="str">
        <f aca="false">ExportRaw!$D225</f>
        <v/>
      </c>
      <c r="F225" s="181" t="str">
        <f aca="false">ExportRaw!$H225</f>
        <v/>
      </c>
      <c r="G225" s="183" t="str">
        <f aca="false">ExportRaw!$I225</f>
        <v/>
      </c>
      <c r="H225" s="181" t="str">
        <f aca="false">ExportRaw!$A225</f>
        <v/>
      </c>
      <c r="I225" s="181" t="str">
        <f aca="false">ExportRaw!$B225</f>
        <v/>
      </c>
    </row>
    <row r="226" customFormat="false" ht="15.75" hidden="false" customHeight="false" outlineLevel="0" collapsed="false">
      <c r="A226" s="181" t="n">
        <f aca="false">ExportRaw!$F226</f>
        <v>0</v>
      </c>
      <c r="B226" s="181" t="n">
        <f aca="false">ExportRaw!$C226</f>
        <v>0</v>
      </c>
      <c r="C226" s="181" t="n">
        <f aca="false">ExportRaw!$G226</f>
        <v>0</v>
      </c>
      <c r="D226" s="181" t="str">
        <f aca="false">ExportRaw!$E226</f>
        <v/>
      </c>
      <c r="E226" s="182" t="str">
        <f aca="false">ExportRaw!$D226</f>
        <v/>
      </c>
      <c r="F226" s="181" t="str">
        <f aca="false">ExportRaw!$H226</f>
        <v/>
      </c>
      <c r="G226" s="183" t="str">
        <f aca="false">ExportRaw!$I226</f>
        <v/>
      </c>
      <c r="H226" s="181" t="str">
        <f aca="false">ExportRaw!$A226</f>
        <v/>
      </c>
      <c r="I226" s="181" t="str">
        <f aca="false">ExportRaw!$B226</f>
        <v/>
      </c>
    </row>
    <row r="227" customFormat="false" ht="15.75" hidden="false" customHeight="false" outlineLevel="0" collapsed="false">
      <c r="A227" s="181" t="n">
        <f aca="false">ExportRaw!$F227</f>
        <v>0</v>
      </c>
      <c r="B227" s="181" t="n">
        <f aca="false">ExportRaw!$C227</f>
        <v>0</v>
      </c>
      <c r="C227" s="181" t="n">
        <f aca="false">ExportRaw!$G227</f>
        <v>0</v>
      </c>
      <c r="D227" s="181" t="str">
        <f aca="false">ExportRaw!$E227</f>
        <v/>
      </c>
      <c r="E227" s="182" t="str">
        <f aca="false">ExportRaw!$D227</f>
        <v/>
      </c>
      <c r="F227" s="181" t="str">
        <f aca="false">ExportRaw!$H227</f>
        <v/>
      </c>
      <c r="G227" s="183" t="str">
        <f aca="false">ExportRaw!$I227</f>
        <v/>
      </c>
      <c r="H227" s="181" t="str">
        <f aca="false">ExportRaw!$A227</f>
        <v/>
      </c>
      <c r="I227" s="181" t="str">
        <f aca="false">ExportRaw!$B227</f>
        <v/>
      </c>
    </row>
    <row r="228" customFormat="false" ht="15.75" hidden="false" customHeight="false" outlineLevel="0" collapsed="false">
      <c r="A228" s="181" t="n">
        <f aca="false">ExportRaw!$F228</f>
        <v>0</v>
      </c>
      <c r="B228" s="181" t="n">
        <f aca="false">ExportRaw!$C228</f>
        <v>0</v>
      </c>
      <c r="C228" s="181" t="n">
        <f aca="false">ExportRaw!$G228</f>
        <v>0</v>
      </c>
      <c r="D228" s="181" t="str">
        <f aca="false">ExportRaw!$E228</f>
        <v/>
      </c>
      <c r="E228" s="182" t="str">
        <f aca="false">ExportRaw!$D228</f>
        <v/>
      </c>
      <c r="F228" s="181" t="str">
        <f aca="false">ExportRaw!$H228</f>
        <v/>
      </c>
      <c r="G228" s="183" t="str">
        <f aca="false">ExportRaw!$I228</f>
        <v/>
      </c>
      <c r="H228" s="181" t="str">
        <f aca="false">ExportRaw!$A228</f>
        <v/>
      </c>
      <c r="I228" s="181" t="str">
        <f aca="false">ExportRaw!$B228</f>
        <v/>
      </c>
    </row>
    <row r="229" customFormat="false" ht="15.75" hidden="false" customHeight="false" outlineLevel="0" collapsed="false">
      <c r="A229" s="181" t="n">
        <f aca="false">ExportRaw!$F229</f>
        <v>0</v>
      </c>
      <c r="B229" s="181" t="n">
        <f aca="false">ExportRaw!$C229</f>
        <v>0</v>
      </c>
      <c r="C229" s="181" t="n">
        <f aca="false">ExportRaw!$G229</f>
        <v>0</v>
      </c>
      <c r="D229" s="181" t="str">
        <f aca="false">ExportRaw!$E229</f>
        <v/>
      </c>
      <c r="E229" s="182" t="str">
        <f aca="false">ExportRaw!$D229</f>
        <v/>
      </c>
      <c r="F229" s="181" t="str">
        <f aca="false">ExportRaw!$H229</f>
        <v/>
      </c>
      <c r="G229" s="183" t="str">
        <f aca="false">ExportRaw!$I229</f>
        <v/>
      </c>
      <c r="H229" s="181" t="str">
        <f aca="false">ExportRaw!$A229</f>
        <v/>
      </c>
      <c r="I229" s="181" t="str">
        <f aca="false">ExportRaw!$B229</f>
        <v/>
      </c>
    </row>
    <row r="230" customFormat="false" ht="15.75" hidden="false" customHeight="false" outlineLevel="0" collapsed="false">
      <c r="A230" s="181" t="n">
        <f aca="false">ExportRaw!$F230</f>
        <v>0</v>
      </c>
      <c r="B230" s="181" t="n">
        <f aca="false">ExportRaw!$C230</f>
        <v>0</v>
      </c>
      <c r="C230" s="181" t="n">
        <f aca="false">ExportRaw!$G230</f>
        <v>0</v>
      </c>
      <c r="D230" s="181" t="str">
        <f aca="false">ExportRaw!$E230</f>
        <v/>
      </c>
      <c r="E230" s="182" t="str">
        <f aca="false">ExportRaw!$D230</f>
        <v/>
      </c>
      <c r="F230" s="181" t="str">
        <f aca="false">ExportRaw!$H230</f>
        <v/>
      </c>
      <c r="G230" s="183" t="str">
        <f aca="false">ExportRaw!$I230</f>
        <v/>
      </c>
      <c r="H230" s="181" t="str">
        <f aca="false">ExportRaw!$A230</f>
        <v/>
      </c>
      <c r="I230" s="181" t="str">
        <f aca="false">ExportRaw!$B230</f>
        <v/>
      </c>
    </row>
    <row r="231" customFormat="false" ht="15.75" hidden="false" customHeight="false" outlineLevel="0" collapsed="false">
      <c r="A231" s="181" t="n">
        <f aca="false">ExportRaw!$F231</f>
        <v>0</v>
      </c>
      <c r="B231" s="181" t="n">
        <f aca="false">ExportRaw!$C231</f>
        <v>0</v>
      </c>
      <c r="C231" s="181" t="n">
        <f aca="false">ExportRaw!$G231</f>
        <v>0</v>
      </c>
      <c r="D231" s="181" t="str">
        <f aca="false">ExportRaw!$E231</f>
        <v/>
      </c>
      <c r="E231" s="182" t="str">
        <f aca="false">ExportRaw!$D231</f>
        <v/>
      </c>
      <c r="F231" s="181" t="str">
        <f aca="false">ExportRaw!$H231</f>
        <v/>
      </c>
      <c r="G231" s="183" t="str">
        <f aca="false">ExportRaw!$I231</f>
        <v/>
      </c>
      <c r="H231" s="181" t="str">
        <f aca="false">ExportRaw!$A231</f>
        <v/>
      </c>
      <c r="I231" s="181" t="str">
        <f aca="false">ExportRaw!$B231</f>
        <v/>
      </c>
    </row>
    <row r="232" customFormat="false" ht="15.75" hidden="false" customHeight="false" outlineLevel="0" collapsed="false">
      <c r="A232" s="181" t="n">
        <f aca="false">ExportRaw!$F232</f>
        <v>0</v>
      </c>
      <c r="B232" s="181" t="n">
        <f aca="false">ExportRaw!$C232</f>
        <v>0</v>
      </c>
      <c r="C232" s="181" t="n">
        <f aca="false">ExportRaw!$G232</f>
        <v>0</v>
      </c>
      <c r="D232" s="181" t="str">
        <f aca="false">ExportRaw!$E232</f>
        <v/>
      </c>
      <c r="E232" s="182" t="str">
        <f aca="false">ExportRaw!$D232</f>
        <v/>
      </c>
      <c r="F232" s="181" t="str">
        <f aca="false">ExportRaw!$H232</f>
        <v/>
      </c>
      <c r="G232" s="183" t="str">
        <f aca="false">ExportRaw!$I232</f>
        <v/>
      </c>
      <c r="H232" s="181" t="str">
        <f aca="false">ExportRaw!$A232</f>
        <v/>
      </c>
      <c r="I232" s="181" t="str">
        <f aca="false">ExportRaw!$B232</f>
        <v/>
      </c>
    </row>
    <row r="233" customFormat="false" ht="15.75" hidden="false" customHeight="false" outlineLevel="0" collapsed="false">
      <c r="A233" s="181" t="n">
        <f aca="false">ExportRaw!$F233</f>
        <v>0</v>
      </c>
      <c r="B233" s="181" t="n">
        <f aca="false">ExportRaw!$C233</f>
        <v>0</v>
      </c>
      <c r="C233" s="181" t="n">
        <f aca="false">ExportRaw!$G233</f>
        <v>0</v>
      </c>
      <c r="D233" s="181" t="str">
        <f aca="false">ExportRaw!$E233</f>
        <v/>
      </c>
      <c r="E233" s="182" t="str">
        <f aca="false">ExportRaw!$D233</f>
        <v/>
      </c>
      <c r="F233" s="181" t="str">
        <f aca="false">ExportRaw!$H233</f>
        <v/>
      </c>
      <c r="G233" s="183" t="str">
        <f aca="false">ExportRaw!$I233</f>
        <v/>
      </c>
      <c r="H233" s="181" t="str">
        <f aca="false">ExportRaw!$A233</f>
        <v/>
      </c>
      <c r="I233" s="181" t="str">
        <f aca="false">ExportRaw!$B233</f>
        <v/>
      </c>
    </row>
    <row r="234" customFormat="false" ht="15.75" hidden="false" customHeight="false" outlineLevel="0" collapsed="false">
      <c r="A234" s="181" t="n">
        <f aca="false">ExportRaw!$F234</f>
        <v>0</v>
      </c>
      <c r="B234" s="181" t="n">
        <f aca="false">ExportRaw!$C234</f>
        <v>0</v>
      </c>
      <c r="C234" s="181" t="n">
        <f aca="false">ExportRaw!$G234</f>
        <v>0</v>
      </c>
      <c r="D234" s="181" t="str">
        <f aca="false">ExportRaw!$E234</f>
        <v/>
      </c>
      <c r="E234" s="182" t="str">
        <f aca="false">ExportRaw!$D234</f>
        <v/>
      </c>
      <c r="F234" s="181" t="str">
        <f aca="false">ExportRaw!$H234</f>
        <v/>
      </c>
      <c r="G234" s="183" t="str">
        <f aca="false">ExportRaw!$I234</f>
        <v/>
      </c>
      <c r="H234" s="181" t="str">
        <f aca="false">ExportRaw!$A234</f>
        <v/>
      </c>
      <c r="I234" s="181" t="str">
        <f aca="false">ExportRaw!$B234</f>
        <v/>
      </c>
    </row>
    <row r="235" customFormat="false" ht="15.75" hidden="false" customHeight="false" outlineLevel="0" collapsed="false">
      <c r="A235" s="181" t="n">
        <f aca="false">ExportRaw!$F235</f>
        <v>0</v>
      </c>
      <c r="B235" s="181" t="n">
        <f aca="false">ExportRaw!$C235</f>
        <v>0</v>
      </c>
      <c r="C235" s="181" t="n">
        <f aca="false">ExportRaw!$G235</f>
        <v>0</v>
      </c>
      <c r="D235" s="181" t="str">
        <f aca="false">ExportRaw!$E235</f>
        <v/>
      </c>
      <c r="E235" s="182" t="str">
        <f aca="false">ExportRaw!$D235</f>
        <v/>
      </c>
      <c r="F235" s="181" t="str">
        <f aca="false">ExportRaw!$H235</f>
        <v/>
      </c>
      <c r="G235" s="183" t="str">
        <f aca="false">ExportRaw!$I235</f>
        <v/>
      </c>
      <c r="H235" s="181" t="str">
        <f aca="false">ExportRaw!$A235</f>
        <v/>
      </c>
      <c r="I235" s="181" t="str">
        <f aca="false">ExportRaw!$B235</f>
        <v/>
      </c>
    </row>
    <row r="236" customFormat="false" ht="15.75" hidden="false" customHeight="false" outlineLevel="0" collapsed="false">
      <c r="A236" s="181" t="n">
        <f aca="false">ExportRaw!$F236</f>
        <v>0</v>
      </c>
      <c r="B236" s="181" t="n">
        <f aca="false">ExportRaw!$C236</f>
        <v>0</v>
      </c>
      <c r="C236" s="181" t="n">
        <f aca="false">ExportRaw!$G236</f>
        <v>0</v>
      </c>
      <c r="D236" s="181" t="str">
        <f aca="false">ExportRaw!$E236</f>
        <v/>
      </c>
      <c r="E236" s="182" t="str">
        <f aca="false">ExportRaw!$D236</f>
        <v/>
      </c>
      <c r="F236" s="181" t="str">
        <f aca="false">ExportRaw!$H236</f>
        <v/>
      </c>
      <c r="G236" s="183" t="str">
        <f aca="false">ExportRaw!$I236</f>
        <v/>
      </c>
      <c r="H236" s="181" t="str">
        <f aca="false">ExportRaw!$A236</f>
        <v/>
      </c>
      <c r="I236" s="181" t="str">
        <f aca="false">ExportRaw!$B236</f>
        <v/>
      </c>
    </row>
    <row r="237" customFormat="false" ht="15.75" hidden="false" customHeight="false" outlineLevel="0" collapsed="false">
      <c r="A237" s="181" t="n">
        <f aca="false">ExportRaw!$F237</f>
        <v>0</v>
      </c>
      <c r="B237" s="181" t="n">
        <f aca="false">ExportRaw!$C237</f>
        <v>0</v>
      </c>
      <c r="C237" s="181" t="n">
        <f aca="false">ExportRaw!$G237</f>
        <v>0</v>
      </c>
      <c r="D237" s="181" t="str">
        <f aca="false">ExportRaw!$E237</f>
        <v/>
      </c>
      <c r="E237" s="182" t="str">
        <f aca="false">ExportRaw!$D237</f>
        <v/>
      </c>
      <c r="F237" s="181" t="str">
        <f aca="false">ExportRaw!$H237</f>
        <v/>
      </c>
      <c r="G237" s="183" t="str">
        <f aca="false">ExportRaw!$I237</f>
        <v/>
      </c>
      <c r="H237" s="181" t="str">
        <f aca="false">ExportRaw!$A237</f>
        <v/>
      </c>
      <c r="I237" s="181" t="str">
        <f aca="false">ExportRaw!$B237</f>
        <v/>
      </c>
    </row>
    <row r="238" customFormat="false" ht="15.75" hidden="false" customHeight="false" outlineLevel="0" collapsed="false">
      <c r="A238" s="181" t="n">
        <f aca="false">ExportRaw!$F238</f>
        <v>0</v>
      </c>
      <c r="B238" s="181" t="n">
        <f aca="false">ExportRaw!$C238</f>
        <v>0</v>
      </c>
      <c r="C238" s="181" t="n">
        <f aca="false">ExportRaw!$G238</f>
        <v>0</v>
      </c>
      <c r="D238" s="181" t="str">
        <f aca="false">ExportRaw!$E238</f>
        <v/>
      </c>
      <c r="E238" s="182" t="str">
        <f aca="false">ExportRaw!$D238</f>
        <v/>
      </c>
      <c r="F238" s="181" t="str">
        <f aca="false">ExportRaw!$H238</f>
        <v/>
      </c>
      <c r="G238" s="183" t="str">
        <f aca="false">ExportRaw!$I238</f>
        <v/>
      </c>
      <c r="H238" s="181" t="str">
        <f aca="false">ExportRaw!$A238</f>
        <v/>
      </c>
      <c r="I238" s="181" t="str">
        <f aca="false">ExportRaw!$B238</f>
        <v/>
      </c>
    </row>
    <row r="239" customFormat="false" ht="15.75" hidden="false" customHeight="false" outlineLevel="0" collapsed="false">
      <c r="A239" s="181" t="n">
        <f aca="false">ExportRaw!$F239</f>
        <v>0</v>
      </c>
      <c r="B239" s="181" t="n">
        <f aca="false">ExportRaw!$C239</f>
        <v>0</v>
      </c>
      <c r="C239" s="181" t="n">
        <f aca="false">ExportRaw!$G239</f>
        <v>0</v>
      </c>
      <c r="D239" s="181" t="str">
        <f aca="false">ExportRaw!$E239</f>
        <v/>
      </c>
      <c r="E239" s="182" t="str">
        <f aca="false">ExportRaw!$D239</f>
        <v/>
      </c>
      <c r="F239" s="181" t="str">
        <f aca="false">ExportRaw!$H239</f>
        <v/>
      </c>
      <c r="G239" s="183" t="str">
        <f aca="false">ExportRaw!$I239</f>
        <v/>
      </c>
      <c r="H239" s="181" t="str">
        <f aca="false">ExportRaw!$A239</f>
        <v/>
      </c>
      <c r="I239" s="181" t="str">
        <f aca="false">ExportRaw!$B239</f>
        <v/>
      </c>
    </row>
    <row r="240" customFormat="false" ht="15.75" hidden="false" customHeight="false" outlineLevel="0" collapsed="false">
      <c r="A240" s="181" t="n">
        <f aca="false">ExportRaw!$F240</f>
        <v>0</v>
      </c>
      <c r="B240" s="181" t="n">
        <f aca="false">ExportRaw!$C240</f>
        <v>0</v>
      </c>
      <c r="C240" s="181" t="n">
        <f aca="false">ExportRaw!$G240</f>
        <v>0</v>
      </c>
      <c r="D240" s="181" t="str">
        <f aca="false">ExportRaw!$E240</f>
        <v/>
      </c>
      <c r="E240" s="182" t="str">
        <f aca="false">ExportRaw!$D240</f>
        <v/>
      </c>
      <c r="F240" s="181" t="str">
        <f aca="false">ExportRaw!$H240</f>
        <v/>
      </c>
      <c r="G240" s="183" t="str">
        <f aca="false">ExportRaw!$I240</f>
        <v/>
      </c>
      <c r="H240" s="181" t="str">
        <f aca="false">ExportRaw!$A240</f>
        <v/>
      </c>
      <c r="I240" s="181" t="str">
        <f aca="false">ExportRaw!$B240</f>
        <v/>
      </c>
    </row>
    <row r="241" customFormat="false" ht="15.75" hidden="false" customHeight="false" outlineLevel="0" collapsed="false">
      <c r="A241" s="181" t="n">
        <f aca="false">ExportRaw!$F241</f>
        <v>0</v>
      </c>
      <c r="B241" s="181" t="n">
        <f aca="false">ExportRaw!$C241</f>
        <v>0</v>
      </c>
      <c r="C241" s="181" t="n">
        <f aca="false">ExportRaw!$G241</f>
        <v>0</v>
      </c>
      <c r="D241" s="181" t="str">
        <f aca="false">ExportRaw!$E241</f>
        <v/>
      </c>
      <c r="E241" s="182" t="str">
        <f aca="false">ExportRaw!$D241</f>
        <v/>
      </c>
      <c r="F241" s="181" t="str">
        <f aca="false">ExportRaw!$H241</f>
        <v/>
      </c>
      <c r="G241" s="183" t="str">
        <f aca="false">ExportRaw!$I241</f>
        <v/>
      </c>
      <c r="H241" s="181" t="str">
        <f aca="false">ExportRaw!$A241</f>
        <v/>
      </c>
      <c r="I241" s="181" t="str">
        <f aca="false">ExportRaw!$B241</f>
        <v/>
      </c>
    </row>
    <row r="242" customFormat="false" ht="15.75" hidden="false" customHeight="false" outlineLevel="0" collapsed="false">
      <c r="A242" s="181" t="n">
        <f aca="false">ExportRaw!$F242</f>
        <v>0</v>
      </c>
      <c r="B242" s="181" t="n">
        <f aca="false">ExportRaw!$C242</f>
        <v>0</v>
      </c>
      <c r="C242" s="181" t="n">
        <f aca="false">ExportRaw!$G242</f>
        <v>0</v>
      </c>
      <c r="D242" s="181" t="str">
        <f aca="false">ExportRaw!$E242</f>
        <v/>
      </c>
      <c r="E242" s="182" t="str">
        <f aca="false">ExportRaw!$D242</f>
        <v/>
      </c>
      <c r="F242" s="181" t="str">
        <f aca="false">ExportRaw!$H242</f>
        <v/>
      </c>
      <c r="G242" s="183" t="str">
        <f aca="false">ExportRaw!$I242</f>
        <v/>
      </c>
      <c r="H242" s="181" t="str">
        <f aca="false">ExportRaw!$A242</f>
        <v/>
      </c>
      <c r="I242" s="181" t="str">
        <f aca="false">ExportRaw!$B242</f>
        <v/>
      </c>
    </row>
    <row r="243" customFormat="false" ht="15.75" hidden="false" customHeight="false" outlineLevel="0" collapsed="false">
      <c r="A243" s="181" t="n">
        <f aca="false">ExportRaw!$F243</f>
        <v>0</v>
      </c>
      <c r="B243" s="181" t="n">
        <f aca="false">ExportRaw!$C243</f>
        <v>0</v>
      </c>
      <c r="C243" s="181" t="n">
        <f aca="false">ExportRaw!$G243</f>
        <v>0</v>
      </c>
      <c r="D243" s="181" t="str">
        <f aca="false">ExportRaw!$E243</f>
        <v/>
      </c>
      <c r="E243" s="182" t="str">
        <f aca="false">ExportRaw!$D243</f>
        <v/>
      </c>
      <c r="F243" s="181" t="str">
        <f aca="false">ExportRaw!$H243</f>
        <v/>
      </c>
      <c r="G243" s="183" t="str">
        <f aca="false">ExportRaw!$I243</f>
        <v/>
      </c>
      <c r="H243" s="181" t="str">
        <f aca="false">ExportRaw!$A243</f>
        <v/>
      </c>
      <c r="I243" s="181" t="str">
        <f aca="false">ExportRaw!$B243</f>
        <v/>
      </c>
    </row>
    <row r="244" customFormat="false" ht="15.75" hidden="false" customHeight="false" outlineLevel="0" collapsed="false">
      <c r="A244" s="181" t="n">
        <f aca="false">ExportRaw!$F244</f>
        <v>0</v>
      </c>
      <c r="B244" s="181" t="n">
        <f aca="false">ExportRaw!$C244</f>
        <v>0</v>
      </c>
      <c r="C244" s="181" t="n">
        <f aca="false">ExportRaw!$G244</f>
        <v>0</v>
      </c>
      <c r="D244" s="181" t="str">
        <f aca="false">ExportRaw!$E244</f>
        <v/>
      </c>
      <c r="E244" s="182" t="str">
        <f aca="false">ExportRaw!$D244</f>
        <v/>
      </c>
      <c r="F244" s="181" t="str">
        <f aca="false">ExportRaw!$H244</f>
        <v/>
      </c>
      <c r="G244" s="183" t="str">
        <f aca="false">ExportRaw!$I244</f>
        <v/>
      </c>
      <c r="H244" s="181" t="str">
        <f aca="false">ExportRaw!$A244</f>
        <v/>
      </c>
      <c r="I244" s="181" t="str">
        <f aca="false">ExportRaw!$B244</f>
        <v/>
      </c>
    </row>
    <row r="245" customFormat="false" ht="15.75" hidden="false" customHeight="false" outlineLevel="0" collapsed="false">
      <c r="A245" s="181" t="n">
        <f aca="false">ExportRaw!$F245</f>
        <v>0</v>
      </c>
      <c r="B245" s="181" t="n">
        <f aca="false">ExportRaw!$C245</f>
        <v>0</v>
      </c>
      <c r="C245" s="181" t="n">
        <f aca="false">ExportRaw!$G245</f>
        <v>0</v>
      </c>
      <c r="D245" s="181" t="str">
        <f aca="false">ExportRaw!$E245</f>
        <v/>
      </c>
      <c r="E245" s="182" t="str">
        <f aca="false">ExportRaw!$D245</f>
        <v/>
      </c>
      <c r="F245" s="181" t="str">
        <f aca="false">ExportRaw!$H245</f>
        <v/>
      </c>
      <c r="G245" s="183" t="str">
        <f aca="false">ExportRaw!$I245</f>
        <v/>
      </c>
      <c r="H245" s="181" t="str">
        <f aca="false">ExportRaw!$A245</f>
        <v/>
      </c>
      <c r="I245" s="181" t="str">
        <f aca="false">ExportRaw!$B245</f>
        <v/>
      </c>
    </row>
    <row r="246" customFormat="false" ht="15.75" hidden="false" customHeight="false" outlineLevel="0" collapsed="false">
      <c r="A246" s="181" t="n">
        <f aca="false">ExportRaw!$F246</f>
        <v>0</v>
      </c>
      <c r="B246" s="181" t="n">
        <f aca="false">ExportRaw!$C246</f>
        <v>0</v>
      </c>
      <c r="C246" s="181" t="n">
        <f aca="false">ExportRaw!$G246</f>
        <v>0</v>
      </c>
      <c r="D246" s="181" t="str">
        <f aca="false">ExportRaw!$E246</f>
        <v/>
      </c>
      <c r="E246" s="182" t="str">
        <f aca="false">ExportRaw!$D246</f>
        <v/>
      </c>
      <c r="F246" s="181" t="str">
        <f aca="false">ExportRaw!$H246</f>
        <v/>
      </c>
      <c r="G246" s="183" t="str">
        <f aca="false">ExportRaw!$I246</f>
        <v/>
      </c>
      <c r="H246" s="181" t="str">
        <f aca="false">ExportRaw!$A246</f>
        <v/>
      </c>
      <c r="I246" s="181" t="str">
        <f aca="false">ExportRaw!$B246</f>
        <v/>
      </c>
    </row>
    <row r="247" customFormat="false" ht="15.75" hidden="false" customHeight="false" outlineLevel="0" collapsed="false">
      <c r="A247" s="181" t="n">
        <f aca="false">ExportRaw!$F247</f>
        <v>0</v>
      </c>
      <c r="B247" s="181" t="n">
        <f aca="false">ExportRaw!$C247</f>
        <v>0</v>
      </c>
      <c r="C247" s="181" t="n">
        <f aca="false">ExportRaw!$G247</f>
        <v>0</v>
      </c>
      <c r="D247" s="181" t="str">
        <f aca="false">ExportRaw!$E247</f>
        <v/>
      </c>
      <c r="E247" s="182" t="str">
        <f aca="false">ExportRaw!$D247</f>
        <v/>
      </c>
      <c r="F247" s="181" t="str">
        <f aca="false">ExportRaw!$H247</f>
        <v/>
      </c>
      <c r="G247" s="183" t="str">
        <f aca="false">ExportRaw!$I247</f>
        <v/>
      </c>
      <c r="H247" s="181" t="str">
        <f aca="false">ExportRaw!$A247</f>
        <v/>
      </c>
      <c r="I247" s="181" t="str">
        <f aca="false">ExportRaw!$B247</f>
        <v/>
      </c>
    </row>
    <row r="248" customFormat="false" ht="15.75" hidden="false" customHeight="false" outlineLevel="0" collapsed="false">
      <c r="A248" s="181" t="n">
        <f aca="false">ExportRaw!$F248</f>
        <v>0</v>
      </c>
      <c r="B248" s="181" t="n">
        <f aca="false">ExportRaw!$C248</f>
        <v>0</v>
      </c>
      <c r="C248" s="181" t="n">
        <f aca="false">ExportRaw!$G248</f>
        <v>0</v>
      </c>
      <c r="D248" s="181" t="str">
        <f aca="false">ExportRaw!$E248</f>
        <v/>
      </c>
      <c r="E248" s="182" t="str">
        <f aca="false">ExportRaw!$D248</f>
        <v/>
      </c>
      <c r="F248" s="181" t="str">
        <f aca="false">ExportRaw!$H248</f>
        <v/>
      </c>
      <c r="G248" s="183" t="str">
        <f aca="false">ExportRaw!$I248</f>
        <v/>
      </c>
      <c r="H248" s="181" t="str">
        <f aca="false">ExportRaw!$A248</f>
        <v/>
      </c>
      <c r="I248" s="181" t="str">
        <f aca="false">ExportRaw!$B248</f>
        <v/>
      </c>
    </row>
    <row r="249" customFormat="false" ht="15.75" hidden="false" customHeight="false" outlineLevel="0" collapsed="false">
      <c r="A249" s="181" t="n">
        <f aca="false">ExportRaw!$F249</f>
        <v>0</v>
      </c>
      <c r="B249" s="181" t="n">
        <f aca="false">ExportRaw!$C249</f>
        <v>0</v>
      </c>
      <c r="C249" s="181" t="n">
        <f aca="false">ExportRaw!$G249</f>
        <v>0</v>
      </c>
      <c r="D249" s="181" t="str">
        <f aca="false">ExportRaw!$E249</f>
        <v/>
      </c>
      <c r="E249" s="182" t="str">
        <f aca="false">ExportRaw!$D249</f>
        <v/>
      </c>
      <c r="F249" s="181" t="str">
        <f aca="false">ExportRaw!$H249</f>
        <v/>
      </c>
      <c r="G249" s="183" t="str">
        <f aca="false">ExportRaw!$I249</f>
        <v/>
      </c>
      <c r="H249" s="181" t="str">
        <f aca="false">ExportRaw!$A249</f>
        <v/>
      </c>
      <c r="I249" s="181" t="str">
        <f aca="false">ExportRaw!$B249</f>
        <v/>
      </c>
    </row>
    <row r="250" customFormat="false" ht="15.75" hidden="false" customHeight="false" outlineLevel="0" collapsed="false">
      <c r="A250" s="181" t="n">
        <f aca="false">ExportRaw!$F250</f>
        <v>0</v>
      </c>
      <c r="B250" s="181" t="n">
        <f aca="false">ExportRaw!$C250</f>
        <v>0</v>
      </c>
      <c r="C250" s="181" t="n">
        <f aca="false">ExportRaw!$G250</f>
        <v>0</v>
      </c>
      <c r="D250" s="181" t="str">
        <f aca="false">ExportRaw!$E250</f>
        <v/>
      </c>
      <c r="E250" s="182" t="str">
        <f aca="false">ExportRaw!$D250</f>
        <v/>
      </c>
      <c r="F250" s="181" t="str">
        <f aca="false">ExportRaw!$H250</f>
        <v/>
      </c>
      <c r="G250" s="183" t="str">
        <f aca="false">ExportRaw!$I250</f>
        <v/>
      </c>
      <c r="H250" s="181" t="str">
        <f aca="false">ExportRaw!$A250</f>
        <v/>
      </c>
      <c r="I250" s="181" t="str">
        <f aca="false">ExportRaw!$B250</f>
        <v/>
      </c>
    </row>
    <row r="251" customFormat="false" ht="15.75" hidden="false" customHeight="false" outlineLevel="0" collapsed="false">
      <c r="A251" s="181" t="n">
        <f aca="false">ExportRaw!$F251</f>
        <v>0</v>
      </c>
      <c r="B251" s="181" t="n">
        <f aca="false">ExportRaw!$C251</f>
        <v>0</v>
      </c>
      <c r="C251" s="181" t="n">
        <f aca="false">ExportRaw!$G251</f>
        <v>0</v>
      </c>
      <c r="D251" s="181" t="str">
        <f aca="false">ExportRaw!$E251</f>
        <v/>
      </c>
      <c r="E251" s="182" t="str">
        <f aca="false">ExportRaw!$D251</f>
        <v/>
      </c>
      <c r="F251" s="181" t="str">
        <f aca="false">ExportRaw!$H251</f>
        <v/>
      </c>
      <c r="G251" s="183" t="str">
        <f aca="false">ExportRaw!$I251</f>
        <v/>
      </c>
      <c r="H251" s="181" t="str">
        <f aca="false">ExportRaw!$A251</f>
        <v/>
      </c>
      <c r="I251" s="181" t="str">
        <f aca="false">ExportRaw!$B251</f>
        <v/>
      </c>
    </row>
    <row r="252" customFormat="false" ht="15.75" hidden="false" customHeight="false" outlineLevel="0" collapsed="false">
      <c r="A252" s="181" t="n">
        <f aca="false">ExportRaw!$F252</f>
        <v>0</v>
      </c>
      <c r="B252" s="181" t="n">
        <f aca="false">ExportRaw!$C252</f>
        <v>0</v>
      </c>
      <c r="C252" s="181" t="n">
        <f aca="false">ExportRaw!$G252</f>
        <v>0</v>
      </c>
      <c r="D252" s="181" t="str">
        <f aca="false">ExportRaw!$E252</f>
        <v/>
      </c>
      <c r="E252" s="182" t="str">
        <f aca="false">ExportRaw!$D252</f>
        <v/>
      </c>
      <c r="F252" s="181" t="str">
        <f aca="false">ExportRaw!$H252</f>
        <v/>
      </c>
      <c r="G252" s="183" t="str">
        <f aca="false">ExportRaw!$I252</f>
        <v/>
      </c>
      <c r="H252" s="181" t="str">
        <f aca="false">ExportRaw!$A252</f>
        <v/>
      </c>
      <c r="I252" s="181" t="str">
        <f aca="false">ExportRaw!$B252</f>
        <v/>
      </c>
    </row>
    <row r="253" customFormat="false" ht="15.75" hidden="false" customHeight="false" outlineLevel="0" collapsed="false">
      <c r="A253" s="181" t="n">
        <f aca="false">ExportRaw!$F253</f>
        <v>0</v>
      </c>
      <c r="B253" s="181" t="n">
        <f aca="false">ExportRaw!$C253</f>
        <v>0</v>
      </c>
      <c r="C253" s="181" t="n">
        <f aca="false">ExportRaw!$G253</f>
        <v>0</v>
      </c>
      <c r="D253" s="181" t="str">
        <f aca="false">ExportRaw!$E253</f>
        <v/>
      </c>
      <c r="E253" s="182" t="str">
        <f aca="false">ExportRaw!$D253</f>
        <v/>
      </c>
      <c r="F253" s="181" t="str">
        <f aca="false">ExportRaw!$H253</f>
        <v/>
      </c>
      <c r="G253" s="183" t="str">
        <f aca="false">ExportRaw!$I253</f>
        <v/>
      </c>
      <c r="H253" s="181" t="str">
        <f aca="false">ExportRaw!$A253</f>
        <v/>
      </c>
      <c r="I253" s="181" t="str">
        <f aca="false">ExportRaw!$B253</f>
        <v/>
      </c>
    </row>
    <row r="254" customFormat="false" ht="15.75" hidden="false" customHeight="false" outlineLevel="0" collapsed="false">
      <c r="A254" s="181" t="n">
        <f aca="false">ExportRaw!$F254</f>
        <v>0</v>
      </c>
      <c r="B254" s="181" t="n">
        <f aca="false">ExportRaw!$C254</f>
        <v>0</v>
      </c>
      <c r="C254" s="181" t="n">
        <f aca="false">ExportRaw!$G254</f>
        <v>0</v>
      </c>
      <c r="D254" s="181" t="str">
        <f aca="false">ExportRaw!$E254</f>
        <v/>
      </c>
      <c r="E254" s="182" t="str">
        <f aca="false">ExportRaw!$D254</f>
        <v/>
      </c>
      <c r="F254" s="181" t="str">
        <f aca="false">ExportRaw!$H254</f>
        <v/>
      </c>
      <c r="G254" s="183" t="str">
        <f aca="false">ExportRaw!$I254</f>
        <v/>
      </c>
      <c r="H254" s="181" t="str">
        <f aca="false">ExportRaw!$A254</f>
        <v/>
      </c>
      <c r="I254" s="181" t="str">
        <f aca="false">ExportRaw!$B254</f>
        <v/>
      </c>
    </row>
    <row r="255" customFormat="false" ht="15.75" hidden="false" customHeight="false" outlineLevel="0" collapsed="false">
      <c r="A255" s="181" t="n">
        <f aca="false">ExportRaw!$F255</f>
        <v>0</v>
      </c>
      <c r="B255" s="181" t="n">
        <f aca="false">ExportRaw!$C255</f>
        <v>0</v>
      </c>
      <c r="C255" s="181" t="n">
        <f aca="false">ExportRaw!$G255</f>
        <v>0</v>
      </c>
      <c r="D255" s="181" t="str">
        <f aca="false">ExportRaw!$E255</f>
        <v/>
      </c>
      <c r="E255" s="182" t="str">
        <f aca="false">ExportRaw!$D255</f>
        <v/>
      </c>
      <c r="F255" s="181" t="str">
        <f aca="false">ExportRaw!$H255</f>
        <v/>
      </c>
      <c r="G255" s="183" t="str">
        <f aca="false">ExportRaw!$I255</f>
        <v/>
      </c>
      <c r="H255" s="181" t="str">
        <f aca="false">ExportRaw!$A255</f>
        <v/>
      </c>
      <c r="I255" s="181" t="str">
        <f aca="false">ExportRaw!$B255</f>
        <v/>
      </c>
    </row>
    <row r="256" customFormat="false" ht="15.75" hidden="false" customHeight="false" outlineLevel="0" collapsed="false">
      <c r="A256" s="181" t="n">
        <f aca="false">ExportRaw!$F256</f>
        <v>0</v>
      </c>
      <c r="B256" s="181" t="n">
        <f aca="false">ExportRaw!$C256</f>
        <v>0</v>
      </c>
      <c r="C256" s="181" t="n">
        <f aca="false">ExportRaw!$G256</f>
        <v>0</v>
      </c>
      <c r="D256" s="181" t="str">
        <f aca="false">ExportRaw!$E256</f>
        <v/>
      </c>
      <c r="E256" s="182" t="str">
        <f aca="false">ExportRaw!$D256</f>
        <v/>
      </c>
      <c r="F256" s="181" t="str">
        <f aca="false">ExportRaw!$H256</f>
        <v/>
      </c>
      <c r="G256" s="183" t="str">
        <f aca="false">ExportRaw!$I256</f>
        <v/>
      </c>
      <c r="H256" s="181" t="str">
        <f aca="false">ExportRaw!$A256</f>
        <v/>
      </c>
      <c r="I256" s="181" t="str">
        <f aca="false">ExportRaw!$B256</f>
        <v/>
      </c>
    </row>
    <row r="257" customFormat="false" ht="15.75" hidden="false" customHeight="false" outlineLevel="0" collapsed="false">
      <c r="A257" s="181" t="n">
        <f aca="false">ExportRaw!$F257</f>
        <v>0</v>
      </c>
      <c r="B257" s="181" t="n">
        <f aca="false">ExportRaw!$C257</f>
        <v>0</v>
      </c>
      <c r="C257" s="181" t="n">
        <f aca="false">ExportRaw!$G257</f>
        <v>0</v>
      </c>
      <c r="D257" s="181" t="str">
        <f aca="false">ExportRaw!$E257</f>
        <v/>
      </c>
      <c r="E257" s="182" t="str">
        <f aca="false">ExportRaw!$D257</f>
        <v/>
      </c>
      <c r="F257" s="181" t="str">
        <f aca="false">ExportRaw!$H257</f>
        <v/>
      </c>
      <c r="G257" s="183" t="str">
        <f aca="false">ExportRaw!$I257</f>
        <v/>
      </c>
      <c r="H257" s="181" t="str">
        <f aca="false">ExportRaw!$A257</f>
        <v/>
      </c>
      <c r="I257" s="181" t="str">
        <f aca="false">ExportRaw!$B257</f>
        <v/>
      </c>
    </row>
    <row r="258" customFormat="false" ht="15.75" hidden="false" customHeight="false" outlineLevel="0" collapsed="false">
      <c r="A258" s="181" t="n">
        <f aca="false">ExportRaw!$F258</f>
        <v>0</v>
      </c>
      <c r="B258" s="181" t="n">
        <f aca="false">ExportRaw!$C258</f>
        <v>0</v>
      </c>
      <c r="C258" s="181" t="n">
        <f aca="false">ExportRaw!$G258</f>
        <v>0</v>
      </c>
      <c r="D258" s="181" t="str">
        <f aca="false">ExportRaw!$E258</f>
        <v/>
      </c>
      <c r="E258" s="182" t="str">
        <f aca="false">ExportRaw!$D258</f>
        <v/>
      </c>
      <c r="F258" s="181" t="str">
        <f aca="false">ExportRaw!$H258</f>
        <v/>
      </c>
      <c r="G258" s="183" t="str">
        <f aca="false">ExportRaw!$I258</f>
        <v/>
      </c>
      <c r="H258" s="181" t="str">
        <f aca="false">ExportRaw!$A258</f>
        <v/>
      </c>
      <c r="I258" s="181" t="str">
        <f aca="false">ExportRaw!$B258</f>
        <v/>
      </c>
    </row>
    <row r="259" customFormat="false" ht="15.75" hidden="false" customHeight="false" outlineLevel="0" collapsed="false">
      <c r="A259" s="181" t="n">
        <f aca="false">ExportRaw!$F259</f>
        <v>0</v>
      </c>
      <c r="B259" s="181" t="n">
        <f aca="false">ExportRaw!$C259</f>
        <v>0</v>
      </c>
      <c r="C259" s="181" t="n">
        <f aca="false">ExportRaw!$G259</f>
        <v>0</v>
      </c>
      <c r="D259" s="181" t="str">
        <f aca="false">ExportRaw!$E259</f>
        <v/>
      </c>
      <c r="E259" s="182" t="str">
        <f aca="false">ExportRaw!$D259</f>
        <v/>
      </c>
      <c r="F259" s="181" t="str">
        <f aca="false">ExportRaw!$H259</f>
        <v/>
      </c>
      <c r="G259" s="183" t="str">
        <f aca="false">ExportRaw!$I259</f>
        <v/>
      </c>
      <c r="H259" s="181" t="str">
        <f aca="false">ExportRaw!$A259</f>
        <v/>
      </c>
      <c r="I259" s="181" t="str">
        <f aca="false">ExportRaw!$B259</f>
        <v/>
      </c>
    </row>
    <row r="260" customFormat="false" ht="15.75" hidden="false" customHeight="false" outlineLevel="0" collapsed="false">
      <c r="A260" s="181" t="n">
        <f aca="false">ExportRaw!$F260</f>
        <v>0</v>
      </c>
      <c r="B260" s="181" t="n">
        <f aca="false">ExportRaw!$C260</f>
        <v>0</v>
      </c>
      <c r="C260" s="181" t="n">
        <f aca="false">ExportRaw!$G260</f>
        <v>0</v>
      </c>
      <c r="D260" s="181" t="str">
        <f aca="false">ExportRaw!$E260</f>
        <v/>
      </c>
      <c r="E260" s="182" t="str">
        <f aca="false">ExportRaw!$D260</f>
        <v/>
      </c>
      <c r="F260" s="181" t="str">
        <f aca="false">ExportRaw!$H260</f>
        <v/>
      </c>
      <c r="G260" s="183" t="str">
        <f aca="false">ExportRaw!$I260</f>
        <v/>
      </c>
      <c r="H260" s="181" t="str">
        <f aca="false">ExportRaw!$A260</f>
        <v/>
      </c>
      <c r="I260" s="181" t="str">
        <f aca="false">ExportRaw!$B260</f>
        <v/>
      </c>
    </row>
    <row r="261" customFormat="false" ht="15.75" hidden="false" customHeight="false" outlineLevel="0" collapsed="false">
      <c r="A261" s="181" t="n">
        <f aca="false">ExportRaw!$F261</f>
        <v>0</v>
      </c>
      <c r="B261" s="181" t="n">
        <f aca="false">ExportRaw!$C261</f>
        <v>0</v>
      </c>
      <c r="C261" s="181" t="n">
        <f aca="false">ExportRaw!$G261</f>
        <v>0</v>
      </c>
      <c r="D261" s="181" t="str">
        <f aca="false">ExportRaw!$E261</f>
        <v/>
      </c>
      <c r="E261" s="182" t="str">
        <f aca="false">ExportRaw!$D261</f>
        <v/>
      </c>
      <c r="F261" s="181" t="str">
        <f aca="false">ExportRaw!$H261</f>
        <v/>
      </c>
      <c r="G261" s="183" t="str">
        <f aca="false">ExportRaw!$I261</f>
        <v/>
      </c>
      <c r="H261" s="181" t="str">
        <f aca="false">ExportRaw!$A261</f>
        <v/>
      </c>
      <c r="I261" s="181" t="str">
        <f aca="false">ExportRaw!$B261</f>
        <v/>
      </c>
    </row>
    <row r="262" customFormat="false" ht="15.75" hidden="false" customHeight="false" outlineLevel="0" collapsed="false">
      <c r="A262" s="181" t="n">
        <f aca="false">ExportRaw!$F262</f>
        <v>0</v>
      </c>
      <c r="B262" s="181" t="n">
        <f aca="false">ExportRaw!$C262</f>
        <v>0</v>
      </c>
      <c r="C262" s="181" t="n">
        <f aca="false">ExportRaw!$G262</f>
        <v>0</v>
      </c>
      <c r="D262" s="181" t="str">
        <f aca="false">ExportRaw!$E262</f>
        <v/>
      </c>
      <c r="E262" s="182" t="str">
        <f aca="false">ExportRaw!$D262</f>
        <v/>
      </c>
      <c r="F262" s="181" t="str">
        <f aca="false">ExportRaw!$H262</f>
        <v/>
      </c>
      <c r="G262" s="183" t="str">
        <f aca="false">ExportRaw!$I262</f>
        <v/>
      </c>
      <c r="H262" s="181" t="str">
        <f aca="false">ExportRaw!$A262</f>
        <v/>
      </c>
      <c r="I262" s="181" t="str">
        <f aca="false">ExportRaw!$B262</f>
        <v/>
      </c>
    </row>
    <row r="263" customFormat="false" ht="15.75" hidden="false" customHeight="false" outlineLevel="0" collapsed="false">
      <c r="A263" s="181" t="n">
        <f aca="false">ExportRaw!$F263</f>
        <v>0</v>
      </c>
      <c r="B263" s="181" t="n">
        <f aca="false">ExportRaw!$C263</f>
        <v>0</v>
      </c>
      <c r="C263" s="181" t="n">
        <f aca="false">ExportRaw!$G263</f>
        <v>0</v>
      </c>
      <c r="D263" s="181" t="str">
        <f aca="false">ExportRaw!$E263</f>
        <v/>
      </c>
      <c r="E263" s="182" t="str">
        <f aca="false">ExportRaw!$D263</f>
        <v/>
      </c>
      <c r="F263" s="181" t="str">
        <f aca="false">ExportRaw!$H263</f>
        <v/>
      </c>
      <c r="G263" s="183" t="str">
        <f aca="false">ExportRaw!$I263</f>
        <v/>
      </c>
      <c r="H263" s="181" t="str">
        <f aca="false">ExportRaw!$A263</f>
        <v/>
      </c>
      <c r="I263" s="181" t="str">
        <f aca="false">ExportRaw!$B263</f>
        <v/>
      </c>
    </row>
    <row r="264" customFormat="false" ht="15.75" hidden="false" customHeight="false" outlineLevel="0" collapsed="false">
      <c r="A264" s="181" t="n">
        <f aca="false">ExportRaw!$F264</f>
        <v>0</v>
      </c>
      <c r="B264" s="181" t="n">
        <f aca="false">ExportRaw!$C264</f>
        <v>0</v>
      </c>
      <c r="C264" s="181" t="n">
        <f aca="false">ExportRaw!$G264</f>
        <v>0</v>
      </c>
      <c r="D264" s="181" t="str">
        <f aca="false">ExportRaw!$E264</f>
        <v/>
      </c>
      <c r="E264" s="182" t="str">
        <f aca="false">ExportRaw!$D264</f>
        <v/>
      </c>
      <c r="F264" s="181" t="str">
        <f aca="false">ExportRaw!$H264</f>
        <v/>
      </c>
      <c r="G264" s="183" t="str">
        <f aca="false">ExportRaw!$I264</f>
        <v/>
      </c>
      <c r="H264" s="181" t="str">
        <f aca="false">ExportRaw!$A264</f>
        <v/>
      </c>
      <c r="I264" s="181" t="str">
        <f aca="false">ExportRaw!$B264</f>
        <v/>
      </c>
    </row>
    <row r="265" customFormat="false" ht="15.75" hidden="false" customHeight="false" outlineLevel="0" collapsed="false">
      <c r="A265" s="181" t="n">
        <f aca="false">ExportRaw!$F265</f>
        <v>0</v>
      </c>
      <c r="B265" s="181" t="n">
        <f aca="false">ExportRaw!$C265</f>
        <v>0</v>
      </c>
      <c r="C265" s="181" t="n">
        <f aca="false">ExportRaw!$G265</f>
        <v>0</v>
      </c>
      <c r="D265" s="181" t="str">
        <f aca="false">ExportRaw!$E265</f>
        <v/>
      </c>
      <c r="E265" s="182" t="str">
        <f aca="false">ExportRaw!$D265</f>
        <v/>
      </c>
      <c r="F265" s="181" t="str">
        <f aca="false">ExportRaw!$H265</f>
        <v/>
      </c>
      <c r="G265" s="183" t="str">
        <f aca="false">ExportRaw!$I265</f>
        <v/>
      </c>
      <c r="H265" s="181" t="str">
        <f aca="false">ExportRaw!$A265</f>
        <v/>
      </c>
      <c r="I265" s="181" t="str">
        <f aca="false">ExportRaw!$B265</f>
        <v/>
      </c>
    </row>
    <row r="266" customFormat="false" ht="15.75" hidden="false" customHeight="false" outlineLevel="0" collapsed="false">
      <c r="A266" s="181" t="n">
        <f aca="false">ExportRaw!$F266</f>
        <v>0</v>
      </c>
      <c r="B266" s="181" t="n">
        <f aca="false">ExportRaw!$C266</f>
        <v>0</v>
      </c>
      <c r="C266" s="181" t="n">
        <f aca="false">ExportRaw!$G266</f>
        <v>0</v>
      </c>
      <c r="D266" s="181" t="str">
        <f aca="false">ExportRaw!$E266</f>
        <v/>
      </c>
      <c r="E266" s="182" t="str">
        <f aca="false">ExportRaw!$D266</f>
        <v/>
      </c>
      <c r="F266" s="181" t="str">
        <f aca="false">ExportRaw!$H266</f>
        <v/>
      </c>
      <c r="G266" s="183" t="str">
        <f aca="false">ExportRaw!$I266</f>
        <v/>
      </c>
      <c r="H266" s="181" t="str">
        <f aca="false">ExportRaw!$A266</f>
        <v/>
      </c>
      <c r="I266" s="181" t="str">
        <f aca="false">ExportRaw!$B266</f>
        <v/>
      </c>
    </row>
    <row r="267" customFormat="false" ht="15.75" hidden="false" customHeight="false" outlineLevel="0" collapsed="false">
      <c r="A267" s="181" t="n">
        <f aca="false">ExportRaw!$F267</f>
        <v>0</v>
      </c>
      <c r="B267" s="181" t="n">
        <f aca="false">ExportRaw!$C267</f>
        <v>0</v>
      </c>
      <c r="C267" s="181" t="n">
        <f aca="false">ExportRaw!$G267</f>
        <v>0</v>
      </c>
      <c r="D267" s="181" t="str">
        <f aca="false">ExportRaw!$E267</f>
        <v/>
      </c>
      <c r="E267" s="182" t="str">
        <f aca="false">ExportRaw!$D267</f>
        <v/>
      </c>
      <c r="F267" s="181" t="str">
        <f aca="false">ExportRaw!$H267</f>
        <v/>
      </c>
      <c r="G267" s="183" t="str">
        <f aca="false">ExportRaw!$I267</f>
        <v/>
      </c>
      <c r="H267" s="181" t="str">
        <f aca="false">ExportRaw!$A267</f>
        <v/>
      </c>
      <c r="I267" s="181" t="str">
        <f aca="false">ExportRaw!$B267</f>
        <v/>
      </c>
    </row>
    <row r="268" customFormat="false" ht="15.75" hidden="false" customHeight="false" outlineLevel="0" collapsed="false">
      <c r="A268" s="181" t="n">
        <f aca="false">ExportRaw!$F268</f>
        <v>0</v>
      </c>
      <c r="B268" s="181" t="n">
        <f aca="false">ExportRaw!$C268</f>
        <v>0</v>
      </c>
      <c r="C268" s="181" t="n">
        <f aca="false">ExportRaw!$G268</f>
        <v>0</v>
      </c>
      <c r="D268" s="181" t="str">
        <f aca="false">ExportRaw!$E268</f>
        <v/>
      </c>
      <c r="E268" s="182" t="str">
        <f aca="false">ExportRaw!$D268</f>
        <v/>
      </c>
      <c r="F268" s="181" t="str">
        <f aca="false">ExportRaw!$H268</f>
        <v/>
      </c>
      <c r="G268" s="183" t="str">
        <f aca="false">ExportRaw!$I268</f>
        <v/>
      </c>
      <c r="H268" s="181" t="str">
        <f aca="false">ExportRaw!$A268</f>
        <v/>
      </c>
      <c r="I268" s="181" t="str">
        <f aca="false">ExportRaw!$B268</f>
        <v/>
      </c>
    </row>
    <row r="269" customFormat="false" ht="15.75" hidden="false" customHeight="false" outlineLevel="0" collapsed="false">
      <c r="A269" s="181" t="n">
        <f aca="false">ExportRaw!$F269</f>
        <v>0</v>
      </c>
      <c r="B269" s="181" t="n">
        <f aca="false">ExportRaw!$C269</f>
        <v>0</v>
      </c>
      <c r="C269" s="181" t="n">
        <f aca="false">ExportRaw!$G269</f>
        <v>0</v>
      </c>
      <c r="D269" s="181" t="str">
        <f aca="false">ExportRaw!$E269</f>
        <v/>
      </c>
      <c r="E269" s="182" t="str">
        <f aca="false">ExportRaw!$D269</f>
        <v/>
      </c>
      <c r="F269" s="181" t="str">
        <f aca="false">ExportRaw!$H269</f>
        <v/>
      </c>
      <c r="G269" s="183" t="str">
        <f aca="false">ExportRaw!$I269</f>
        <v/>
      </c>
      <c r="H269" s="181" t="str">
        <f aca="false">ExportRaw!$A269</f>
        <v/>
      </c>
      <c r="I269" s="181" t="str">
        <f aca="false">ExportRaw!$B269</f>
        <v/>
      </c>
    </row>
    <row r="270" customFormat="false" ht="15.75" hidden="false" customHeight="false" outlineLevel="0" collapsed="false">
      <c r="A270" s="181" t="n">
        <f aca="false">ExportRaw!$F270</f>
        <v>0</v>
      </c>
      <c r="B270" s="181" t="n">
        <f aca="false">ExportRaw!$C270</f>
        <v>0</v>
      </c>
      <c r="C270" s="181" t="n">
        <f aca="false">ExportRaw!$G270</f>
        <v>0</v>
      </c>
      <c r="D270" s="181" t="str">
        <f aca="false">ExportRaw!$E270</f>
        <v/>
      </c>
      <c r="E270" s="182" t="str">
        <f aca="false">ExportRaw!$D270</f>
        <v/>
      </c>
      <c r="F270" s="181" t="str">
        <f aca="false">ExportRaw!$H270</f>
        <v/>
      </c>
      <c r="G270" s="183" t="str">
        <f aca="false">ExportRaw!$I270</f>
        <v/>
      </c>
      <c r="H270" s="181" t="str">
        <f aca="false">ExportRaw!$A270</f>
        <v/>
      </c>
      <c r="I270" s="181" t="str">
        <f aca="false">ExportRaw!$B270</f>
        <v/>
      </c>
    </row>
    <row r="271" customFormat="false" ht="15.75" hidden="false" customHeight="false" outlineLevel="0" collapsed="false">
      <c r="A271" s="181" t="n">
        <f aca="false">ExportRaw!$F271</f>
        <v>0</v>
      </c>
      <c r="B271" s="181" t="n">
        <f aca="false">ExportRaw!$C271</f>
        <v>0</v>
      </c>
      <c r="C271" s="181" t="n">
        <f aca="false">ExportRaw!$G271</f>
        <v>0</v>
      </c>
      <c r="D271" s="181" t="str">
        <f aca="false">ExportRaw!$E271</f>
        <v/>
      </c>
      <c r="E271" s="182" t="str">
        <f aca="false">ExportRaw!$D271</f>
        <v/>
      </c>
      <c r="F271" s="181" t="str">
        <f aca="false">ExportRaw!$H271</f>
        <v/>
      </c>
      <c r="G271" s="183" t="str">
        <f aca="false">ExportRaw!$I271</f>
        <v/>
      </c>
      <c r="H271" s="181" t="str">
        <f aca="false">ExportRaw!$A271</f>
        <v/>
      </c>
      <c r="I271" s="181" t="str">
        <f aca="false">ExportRaw!$B271</f>
        <v/>
      </c>
    </row>
    <row r="272" customFormat="false" ht="15.75" hidden="false" customHeight="false" outlineLevel="0" collapsed="false">
      <c r="A272" s="181" t="n">
        <f aca="false">ExportRaw!$F272</f>
        <v>0</v>
      </c>
      <c r="B272" s="181" t="n">
        <f aca="false">ExportRaw!$C272</f>
        <v>0</v>
      </c>
      <c r="C272" s="181" t="n">
        <f aca="false">ExportRaw!$G272</f>
        <v>0</v>
      </c>
      <c r="D272" s="181" t="str">
        <f aca="false">ExportRaw!$E272</f>
        <v/>
      </c>
      <c r="E272" s="182" t="str">
        <f aca="false">ExportRaw!$D272</f>
        <v/>
      </c>
      <c r="F272" s="181" t="str">
        <f aca="false">ExportRaw!$H272</f>
        <v/>
      </c>
      <c r="G272" s="183" t="str">
        <f aca="false">ExportRaw!$I272</f>
        <v/>
      </c>
      <c r="H272" s="181" t="str">
        <f aca="false">ExportRaw!$A272</f>
        <v/>
      </c>
      <c r="I272" s="181" t="str">
        <f aca="false">ExportRaw!$B272</f>
        <v/>
      </c>
    </row>
    <row r="273" customFormat="false" ht="15.75" hidden="false" customHeight="false" outlineLevel="0" collapsed="false">
      <c r="A273" s="181" t="n">
        <f aca="false">ExportRaw!$F273</f>
        <v>0</v>
      </c>
      <c r="B273" s="181" t="n">
        <f aca="false">ExportRaw!$C273</f>
        <v>0</v>
      </c>
      <c r="C273" s="181" t="n">
        <f aca="false">ExportRaw!$G273</f>
        <v>0</v>
      </c>
      <c r="D273" s="181" t="str">
        <f aca="false">ExportRaw!$E273</f>
        <v/>
      </c>
      <c r="E273" s="182" t="str">
        <f aca="false">ExportRaw!$D273</f>
        <v/>
      </c>
      <c r="F273" s="181" t="str">
        <f aca="false">ExportRaw!$H273</f>
        <v/>
      </c>
      <c r="G273" s="183" t="str">
        <f aca="false">ExportRaw!$I273</f>
        <v/>
      </c>
      <c r="H273" s="181" t="str">
        <f aca="false">ExportRaw!$A273</f>
        <v/>
      </c>
      <c r="I273" s="181" t="str">
        <f aca="false">ExportRaw!$B273</f>
        <v/>
      </c>
    </row>
    <row r="274" customFormat="false" ht="15.75" hidden="false" customHeight="false" outlineLevel="0" collapsed="false">
      <c r="A274" s="181" t="n">
        <f aca="false">ExportRaw!$F274</f>
        <v>0</v>
      </c>
      <c r="B274" s="181" t="n">
        <f aca="false">ExportRaw!$C274</f>
        <v>0</v>
      </c>
      <c r="C274" s="181" t="n">
        <f aca="false">ExportRaw!$G274</f>
        <v>0</v>
      </c>
      <c r="D274" s="181" t="str">
        <f aca="false">ExportRaw!$E274</f>
        <v/>
      </c>
      <c r="E274" s="182" t="str">
        <f aca="false">ExportRaw!$D274</f>
        <v/>
      </c>
      <c r="F274" s="181" t="str">
        <f aca="false">ExportRaw!$H274</f>
        <v/>
      </c>
      <c r="G274" s="183" t="str">
        <f aca="false">ExportRaw!$I274</f>
        <v/>
      </c>
      <c r="H274" s="181" t="str">
        <f aca="false">ExportRaw!$A274</f>
        <v/>
      </c>
      <c r="I274" s="181" t="str">
        <f aca="false">ExportRaw!$B274</f>
        <v/>
      </c>
    </row>
    <row r="275" customFormat="false" ht="15.75" hidden="false" customHeight="false" outlineLevel="0" collapsed="false">
      <c r="A275" s="181" t="n">
        <f aca="false">ExportRaw!$F275</f>
        <v>0</v>
      </c>
      <c r="B275" s="181" t="n">
        <f aca="false">ExportRaw!$C275</f>
        <v>0</v>
      </c>
      <c r="C275" s="181" t="n">
        <f aca="false">ExportRaw!$G275</f>
        <v>0</v>
      </c>
      <c r="D275" s="181" t="str">
        <f aca="false">ExportRaw!$E275</f>
        <v/>
      </c>
      <c r="E275" s="182" t="str">
        <f aca="false">ExportRaw!$D275</f>
        <v/>
      </c>
      <c r="F275" s="181" t="str">
        <f aca="false">ExportRaw!$H275</f>
        <v/>
      </c>
      <c r="G275" s="183" t="str">
        <f aca="false">ExportRaw!$I275</f>
        <v/>
      </c>
      <c r="H275" s="181" t="str">
        <f aca="false">ExportRaw!$A275</f>
        <v/>
      </c>
      <c r="I275" s="181" t="str">
        <f aca="false">ExportRaw!$B275</f>
        <v/>
      </c>
    </row>
    <row r="276" customFormat="false" ht="15.75" hidden="false" customHeight="false" outlineLevel="0" collapsed="false">
      <c r="A276" s="181" t="n">
        <f aca="false">ExportRaw!$F276</f>
        <v>0</v>
      </c>
      <c r="B276" s="181" t="n">
        <f aca="false">ExportRaw!$C276</f>
        <v>0</v>
      </c>
      <c r="C276" s="181" t="n">
        <f aca="false">ExportRaw!$G276</f>
        <v>0</v>
      </c>
      <c r="D276" s="181" t="str">
        <f aca="false">ExportRaw!$E276</f>
        <v/>
      </c>
      <c r="E276" s="182" t="str">
        <f aca="false">ExportRaw!$D276</f>
        <v/>
      </c>
      <c r="F276" s="181" t="str">
        <f aca="false">ExportRaw!$H276</f>
        <v/>
      </c>
      <c r="G276" s="183" t="str">
        <f aca="false">ExportRaw!$I276</f>
        <v/>
      </c>
      <c r="H276" s="181" t="str">
        <f aca="false">ExportRaw!$A276</f>
        <v/>
      </c>
      <c r="I276" s="181" t="str">
        <f aca="false">ExportRaw!$B276</f>
        <v/>
      </c>
    </row>
    <row r="277" customFormat="false" ht="15.75" hidden="false" customHeight="false" outlineLevel="0" collapsed="false">
      <c r="A277" s="181" t="n">
        <f aca="false">ExportRaw!$F277</f>
        <v>0</v>
      </c>
      <c r="B277" s="181" t="n">
        <f aca="false">ExportRaw!$C277</f>
        <v>0</v>
      </c>
      <c r="C277" s="181" t="n">
        <f aca="false">ExportRaw!$G277</f>
        <v>0</v>
      </c>
      <c r="D277" s="181" t="str">
        <f aca="false">ExportRaw!$E277</f>
        <v/>
      </c>
      <c r="E277" s="182" t="str">
        <f aca="false">ExportRaw!$D277</f>
        <v/>
      </c>
      <c r="F277" s="181" t="str">
        <f aca="false">ExportRaw!$H277</f>
        <v/>
      </c>
      <c r="G277" s="183" t="str">
        <f aca="false">ExportRaw!$I277</f>
        <v/>
      </c>
      <c r="H277" s="181" t="str">
        <f aca="false">ExportRaw!$A277</f>
        <v/>
      </c>
      <c r="I277" s="181" t="str">
        <f aca="false">ExportRaw!$B277</f>
        <v/>
      </c>
    </row>
    <row r="278" customFormat="false" ht="15.75" hidden="false" customHeight="false" outlineLevel="0" collapsed="false">
      <c r="A278" s="181" t="n">
        <f aca="false">ExportRaw!$F278</f>
        <v>0</v>
      </c>
      <c r="B278" s="181" t="n">
        <f aca="false">ExportRaw!$C278</f>
        <v>0</v>
      </c>
      <c r="C278" s="181" t="n">
        <f aca="false">ExportRaw!$G278</f>
        <v>0</v>
      </c>
      <c r="D278" s="181" t="str">
        <f aca="false">ExportRaw!$E278</f>
        <v/>
      </c>
      <c r="E278" s="182" t="str">
        <f aca="false">ExportRaw!$D278</f>
        <v/>
      </c>
      <c r="F278" s="181" t="str">
        <f aca="false">ExportRaw!$H278</f>
        <v/>
      </c>
      <c r="G278" s="183" t="str">
        <f aca="false">ExportRaw!$I278</f>
        <v/>
      </c>
      <c r="H278" s="181" t="str">
        <f aca="false">ExportRaw!$A278</f>
        <v/>
      </c>
      <c r="I278" s="181" t="str">
        <f aca="false">ExportRaw!$B278</f>
        <v/>
      </c>
    </row>
    <row r="279" customFormat="false" ht="15.75" hidden="false" customHeight="false" outlineLevel="0" collapsed="false">
      <c r="A279" s="181" t="n">
        <f aca="false">ExportRaw!$F279</f>
        <v>0</v>
      </c>
      <c r="B279" s="181" t="n">
        <f aca="false">ExportRaw!$C279</f>
        <v>0</v>
      </c>
      <c r="C279" s="181" t="n">
        <f aca="false">ExportRaw!$G279</f>
        <v>0</v>
      </c>
      <c r="D279" s="181" t="str">
        <f aca="false">ExportRaw!$E279</f>
        <v/>
      </c>
      <c r="E279" s="182" t="str">
        <f aca="false">ExportRaw!$D279</f>
        <v/>
      </c>
      <c r="F279" s="181" t="str">
        <f aca="false">ExportRaw!$H279</f>
        <v/>
      </c>
      <c r="G279" s="183" t="str">
        <f aca="false">ExportRaw!$I279</f>
        <v/>
      </c>
      <c r="H279" s="181" t="str">
        <f aca="false">ExportRaw!$A279</f>
        <v/>
      </c>
      <c r="I279" s="181" t="str">
        <f aca="false">ExportRaw!$B279</f>
        <v/>
      </c>
    </row>
    <row r="280" customFormat="false" ht="15.75" hidden="false" customHeight="false" outlineLevel="0" collapsed="false">
      <c r="A280" s="181" t="n">
        <f aca="false">ExportRaw!$F280</f>
        <v>0</v>
      </c>
      <c r="B280" s="181" t="n">
        <f aca="false">ExportRaw!$C280</f>
        <v>0</v>
      </c>
      <c r="C280" s="181" t="n">
        <f aca="false">ExportRaw!$G280</f>
        <v>0</v>
      </c>
      <c r="D280" s="181" t="str">
        <f aca="false">ExportRaw!$E280</f>
        <v/>
      </c>
      <c r="E280" s="182" t="str">
        <f aca="false">ExportRaw!$D280</f>
        <v/>
      </c>
      <c r="F280" s="181" t="str">
        <f aca="false">ExportRaw!$H280</f>
        <v/>
      </c>
      <c r="G280" s="183" t="str">
        <f aca="false">ExportRaw!$I280</f>
        <v/>
      </c>
      <c r="H280" s="181" t="str">
        <f aca="false">ExportRaw!$A280</f>
        <v/>
      </c>
      <c r="I280" s="181" t="str">
        <f aca="false">ExportRaw!$B280</f>
        <v/>
      </c>
    </row>
    <row r="281" customFormat="false" ht="15.75" hidden="false" customHeight="false" outlineLevel="0" collapsed="false">
      <c r="A281" s="181" t="n">
        <f aca="false">ExportRaw!$F281</f>
        <v>0</v>
      </c>
      <c r="B281" s="181" t="n">
        <f aca="false">ExportRaw!$C281</f>
        <v>0</v>
      </c>
      <c r="C281" s="181" t="n">
        <f aca="false">ExportRaw!$G281</f>
        <v>0</v>
      </c>
      <c r="D281" s="181" t="str">
        <f aca="false">ExportRaw!$E281</f>
        <v/>
      </c>
      <c r="E281" s="182" t="str">
        <f aca="false">ExportRaw!$D281</f>
        <v/>
      </c>
      <c r="F281" s="181" t="str">
        <f aca="false">ExportRaw!$H281</f>
        <v/>
      </c>
      <c r="G281" s="183" t="str">
        <f aca="false">ExportRaw!$I281</f>
        <v/>
      </c>
      <c r="H281" s="181" t="str">
        <f aca="false">ExportRaw!$A281</f>
        <v/>
      </c>
      <c r="I281" s="181" t="str">
        <f aca="false">ExportRaw!$B281</f>
        <v/>
      </c>
    </row>
    <row r="282" customFormat="false" ht="15.75" hidden="false" customHeight="false" outlineLevel="0" collapsed="false">
      <c r="A282" s="181" t="n">
        <f aca="false">ExportRaw!$F282</f>
        <v>0</v>
      </c>
      <c r="B282" s="181" t="n">
        <f aca="false">ExportRaw!$C282</f>
        <v>0</v>
      </c>
      <c r="C282" s="181" t="n">
        <f aca="false">ExportRaw!$G282</f>
        <v>0</v>
      </c>
      <c r="D282" s="181" t="str">
        <f aca="false">ExportRaw!$E282</f>
        <v/>
      </c>
      <c r="E282" s="182" t="str">
        <f aca="false">ExportRaw!$D282</f>
        <v/>
      </c>
      <c r="F282" s="181" t="str">
        <f aca="false">ExportRaw!$H282</f>
        <v/>
      </c>
      <c r="G282" s="183" t="str">
        <f aca="false">ExportRaw!$I282</f>
        <v/>
      </c>
      <c r="H282" s="181" t="str">
        <f aca="false">ExportRaw!$A282</f>
        <v/>
      </c>
      <c r="I282" s="181" t="str">
        <f aca="false">ExportRaw!$B282</f>
        <v/>
      </c>
    </row>
    <row r="283" customFormat="false" ht="15.75" hidden="false" customHeight="false" outlineLevel="0" collapsed="false">
      <c r="A283" s="181" t="n">
        <f aca="false">ExportRaw!$F283</f>
        <v>0</v>
      </c>
      <c r="B283" s="181" t="n">
        <f aca="false">ExportRaw!$C283</f>
        <v>0</v>
      </c>
      <c r="C283" s="181" t="n">
        <f aca="false">ExportRaw!$G283</f>
        <v>0</v>
      </c>
      <c r="D283" s="181" t="str">
        <f aca="false">ExportRaw!$E283</f>
        <v/>
      </c>
      <c r="E283" s="182" t="str">
        <f aca="false">ExportRaw!$D283</f>
        <v/>
      </c>
      <c r="F283" s="181" t="str">
        <f aca="false">ExportRaw!$H283</f>
        <v/>
      </c>
      <c r="G283" s="183" t="str">
        <f aca="false">ExportRaw!$I283</f>
        <v/>
      </c>
      <c r="H283" s="181" t="str">
        <f aca="false">ExportRaw!$A283</f>
        <v/>
      </c>
      <c r="I283" s="181" t="str">
        <f aca="false">ExportRaw!$B283</f>
        <v/>
      </c>
    </row>
    <row r="284" customFormat="false" ht="15.75" hidden="false" customHeight="false" outlineLevel="0" collapsed="false">
      <c r="A284" s="181" t="n">
        <f aca="false">ExportRaw!$F284</f>
        <v>0</v>
      </c>
      <c r="B284" s="181" t="n">
        <f aca="false">ExportRaw!$C284</f>
        <v>0</v>
      </c>
      <c r="C284" s="181" t="n">
        <f aca="false">ExportRaw!$G284</f>
        <v>0</v>
      </c>
      <c r="D284" s="181" t="str">
        <f aca="false">ExportRaw!$E284</f>
        <v/>
      </c>
      <c r="E284" s="182" t="str">
        <f aca="false">ExportRaw!$D284</f>
        <v/>
      </c>
      <c r="F284" s="181" t="str">
        <f aca="false">ExportRaw!$H284</f>
        <v/>
      </c>
      <c r="G284" s="183" t="str">
        <f aca="false">ExportRaw!$I284</f>
        <v/>
      </c>
      <c r="H284" s="181" t="str">
        <f aca="false">ExportRaw!$A284</f>
        <v/>
      </c>
      <c r="I284" s="181" t="str">
        <f aca="false">ExportRaw!$B284</f>
        <v/>
      </c>
    </row>
    <row r="285" customFormat="false" ht="15.75" hidden="false" customHeight="false" outlineLevel="0" collapsed="false">
      <c r="A285" s="181" t="n">
        <f aca="false">ExportRaw!$F285</f>
        <v>0</v>
      </c>
      <c r="B285" s="181" t="n">
        <f aca="false">ExportRaw!$C285</f>
        <v>0</v>
      </c>
      <c r="C285" s="181" t="n">
        <f aca="false">ExportRaw!$G285</f>
        <v>0</v>
      </c>
      <c r="D285" s="181" t="str">
        <f aca="false">ExportRaw!$E285</f>
        <v/>
      </c>
      <c r="E285" s="182" t="str">
        <f aca="false">ExportRaw!$D285</f>
        <v/>
      </c>
      <c r="F285" s="181" t="str">
        <f aca="false">ExportRaw!$H285</f>
        <v/>
      </c>
      <c r="G285" s="183" t="str">
        <f aca="false">ExportRaw!$I285</f>
        <v/>
      </c>
      <c r="H285" s="181" t="str">
        <f aca="false">ExportRaw!$A285</f>
        <v/>
      </c>
      <c r="I285" s="181" t="str">
        <f aca="false">ExportRaw!$B285</f>
        <v/>
      </c>
    </row>
    <row r="286" customFormat="false" ht="15.75" hidden="false" customHeight="false" outlineLevel="0" collapsed="false">
      <c r="A286" s="181" t="n">
        <f aca="false">ExportRaw!$F286</f>
        <v>0</v>
      </c>
      <c r="B286" s="181" t="n">
        <f aca="false">ExportRaw!$C286</f>
        <v>0</v>
      </c>
      <c r="C286" s="181" t="n">
        <f aca="false">ExportRaw!$G286</f>
        <v>0</v>
      </c>
      <c r="D286" s="181" t="str">
        <f aca="false">ExportRaw!$E286</f>
        <v/>
      </c>
      <c r="E286" s="182" t="str">
        <f aca="false">ExportRaw!$D286</f>
        <v/>
      </c>
      <c r="F286" s="181" t="str">
        <f aca="false">ExportRaw!$H286</f>
        <v/>
      </c>
      <c r="G286" s="183" t="str">
        <f aca="false">ExportRaw!$I286</f>
        <v/>
      </c>
      <c r="H286" s="181" t="str">
        <f aca="false">ExportRaw!$A286</f>
        <v/>
      </c>
      <c r="I286" s="181" t="str">
        <f aca="false">ExportRaw!$B286</f>
        <v/>
      </c>
    </row>
    <row r="287" customFormat="false" ht="15.75" hidden="false" customHeight="false" outlineLevel="0" collapsed="false">
      <c r="A287" s="181" t="n">
        <f aca="false">ExportRaw!$F287</f>
        <v>0</v>
      </c>
      <c r="B287" s="181" t="n">
        <f aca="false">ExportRaw!$C287</f>
        <v>0</v>
      </c>
      <c r="C287" s="181" t="n">
        <f aca="false">ExportRaw!$G287</f>
        <v>0</v>
      </c>
      <c r="D287" s="181" t="str">
        <f aca="false">ExportRaw!$E287</f>
        <v/>
      </c>
      <c r="E287" s="182" t="str">
        <f aca="false">ExportRaw!$D287</f>
        <v/>
      </c>
      <c r="F287" s="181" t="str">
        <f aca="false">ExportRaw!$H287</f>
        <v/>
      </c>
      <c r="G287" s="183" t="str">
        <f aca="false">ExportRaw!$I287</f>
        <v/>
      </c>
      <c r="H287" s="181" t="str">
        <f aca="false">ExportRaw!$A287</f>
        <v/>
      </c>
      <c r="I287" s="181" t="str">
        <f aca="false">ExportRaw!$B287</f>
        <v/>
      </c>
    </row>
    <row r="288" customFormat="false" ht="15.75" hidden="false" customHeight="false" outlineLevel="0" collapsed="false">
      <c r="A288" s="181" t="n">
        <f aca="false">ExportRaw!$F288</f>
        <v>0</v>
      </c>
      <c r="B288" s="181" t="n">
        <f aca="false">ExportRaw!$C288</f>
        <v>0</v>
      </c>
      <c r="C288" s="181" t="n">
        <f aca="false">ExportRaw!$G288</f>
        <v>0</v>
      </c>
      <c r="D288" s="181" t="str">
        <f aca="false">ExportRaw!$E288</f>
        <v/>
      </c>
      <c r="E288" s="182" t="str">
        <f aca="false">ExportRaw!$D288</f>
        <v/>
      </c>
      <c r="F288" s="181" t="str">
        <f aca="false">ExportRaw!$H288</f>
        <v/>
      </c>
      <c r="G288" s="183" t="str">
        <f aca="false">ExportRaw!$I288</f>
        <v/>
      </c>
      <c r="H288" s="181" t="str">
        <f aca="false">ExportRaw!$A288</f>
        <v/>
      </c>
      <c r="I288" s="181" t="str">
        <f aca="false">ExportRaw!$B288</f>
        <v/>
      </c>
    </row>
    <row r="289" customFormat="false" ht="15.75" hidden="false" customHeight="false" outlineLevel="0" collapsed="false">
      <c r="A289" s="181" t="n">
        <f aca="false">ExportRaw!$F289</f>
        <v>0</v>
      </c>
      <c r="B289" s="181" t="n">
        <f aca="false">ExportRaw!$C289</f>
        <v>0</v>
      </c>
      <c r="C289" s="181" t="n">
        <f aca="false">ExportRaw!$G289</f>
        <v>0</v>
      </c>
      <c r="D289" s="181" t="str">
        <f aca="false">ExportRaw!$E289</f>
        <v/>
      </c>
      <c r="E289" s="182" t="str">
        <f aca="false">ExportRaw!$D289</f>
        <v/>
      </c>
      <c r="F289" s="181" t="str">
        <f aca="false">ExportRaw!$H289</f>
        <v/>
      </c>
      <c r="G289" s="183" t="str">
        <f aca="false">ExportRaw!$I289</f>
        <v/>
      </c>
      <c r="H289" s="181" t="str">
        <f aca="false">ExportRaw!$A289</f>
        <v/>
      </c>
      <c r="I289" s="181" t="str">
        <f aca="false">ExportRaw!$B289</f>
        <v/>
      </c>
    </row>
    <row r="290" customFormat="false" ht="15.75" hidden="false" customHeight="false" outlineLevel="0" collapsed="false">
      <c r="A290" s="181" t="n">
        <f aca="false">ExportRaw!$F290</f>
        <v>0</v>
      </c>
      <c r="B290" s="181" t="n">
        <f aca="false">ExportRaw!$C290</f>
        <v>0</v>
      </c>
      <c r="C290" s="181" t="n">
        <f aca="false">ExportRaw!$G290</f>
        <v>0</v>
      </c>
      <c r="D290" s="181" t="str">
        <f aca="false">ExportRaw!$E290</f>
        <v/>
      </c>
      <c r="E290" s="182" t="str">
        <f aca="false">ExportRaw!$D290</f>
        <v/>
      </c>
      <c r="F290" s="181" t="str">
        <f aca="false">ExportRaw!$H290</f>
        <v/>
      </c>
      <c r="G290" s="183" t="str">
        <f aca="false">ExportRaw!$I290</f>
        <v/>
      </c>
      <c r="H290" s="181" t="str">
        <f aca="false">ExportRaw!$A290</f>
        <v/>
      </c>
      <c r="I290" s="181" t="str">
        <f aca="false">ExportRaw!$B290</f>
        <v/>
      </c>
    </row>
    <row r="291" customFormat="false" ht="15.75" hidden="false" customHeight="false" outlineLevel="0" collapsed="false">
      <c r="A291" s="181" t="n">
        <f aca="false">ExportRaw!$F291</f>
        <v>0</v>
      </c>
      <c r="B291" s="181" t="n">
        <f aca="false">ExportRaw!$C291</f>
        <v>0</v>
      </c>
      <c r="C291" s="181" t="n">
        <f aca="false">ExportRaw!$G291</f>
        <v>0</v>
      </c>
      <c r="D291" s="181" t="str">
        <f aca="false">ExportRaw!$E291</f>
        <v/>
      </c>
      <c r="E291" s="182" t="str">
        <f aca="false">ExportRaw!$D291</f>
        <v/>
      </c>
      <c r="F291" s="181" t="str">
        <f aca="false">ExportRaw!$H291</f>
        <v/>
      </c>
      <c r="G291" s="183" t="str">
        <f aca="false">ExportRaw!$I291</f>
        <v/>
      </c>
      <c r="H291" s="181" t="str">
        <f aca="false">ExportRaw!$A291</f>
        <v/>
      </c>
      <c r="I291" s="181" t="str">
        <f aca="false">ExportRaw!$B291</f>
        <v/>
      </c>
    </row>
    <row r="292" customFormat="false" ht="15.75" hidden="false" customHeight="false" outlineLevel="0" collapsed="false">
      <c r="A292" s="181" t="n">
        <f aca="false">ExportRaw!$F292</f>
        <v>0</v>
      </c>
      <c r="B292" s="181" t="n">
        <f aca="false">ExportRaw!$C292</f>
        <v>0</v>
      </c>
      <c r="C292" s="181" t="n">
        <f aca="false">ExportRaw!$G292</f>
        <v>0</v>
      </c>
      <c r="D292" s="181" t="str">
        <f aca="false">ExportRaw!$E292</f>
        <v/>
      </c>
      <c r="E292" s="182" t="str">
        <f aca="false">ExportRaw!$D292</f>
        <v/>
      </c>
      <c r="F292" s="181" t="str">
        <f aca="false">ExportRaw!$H292</f>
        <v/>
      </c>
      <c r="G292" s="183" t="str">
        <f aca="false">ExportRaw!$I292</f>
        <v/>
      </c>
      <c r="H292" s="181" t="str">
        <f aca="false">ExportRaw!$A292</f>
        <v/>
      </c>
      <c r="I292" s="181" t="str">
        <f aca="false">ExportRaw!$B292</f>
        <v/>
      </c>
    </row>
    <row r="293" customFormat="false" ht="15.75" hidden="false" customHeight="false" outlineLevel="0" collapsed="false">
      <c r="A293" s="181" t="n">
        <f aca="false">ExportRaw!$F293</f>
        <v>0</v>
      </c>
      <c r="B293" s="181" t="n">
        <f aca="false">ExportRaw!$C293</f>
        <v>0</v>
      </c>
      <c r="C293" s="181" t="n">
        <f aca="false">ExportRaw!$G293</f>
        <v>0</v>
      </c>
      <c r="D293" s="181" t="str">
        <f aca="false">ExportRaw!$E293</f>
        <v/>
      </c>
      <c r="E293" s="182" t="str">
        <f aca="false">ExportRaw!$D293</f>
        <v/>
      </c>
      <c r="F293" s="181" t="str">
        <f aca="false">ExportRaw!$H293</f>
        <v/>
      </c>
      <c r="G293" s="183" t="str">
        <f aca="false">ExportRaw!$I293</f>
        <v/>
      </c>
      <c r="H293" s="181" t="str">
        <f aca="false">ExportRaw!$A293</f>
        <v/>
      </c>
      <c r="I293" s="181" t="str">
        <f aca="false">ExportRaw!$B293</f>
        <v/>
      </c>
    </row>
    <row r="294" customFormat="false" ht="15.75" hidden="false" customHeight="false" outlineLevel="0" collapsed="false">
      <c r="A294" s="181" t="n">
        <f aca="false">ExportRaw!$F294</f>
        <v>0</v>
      </c>
      <c r="B294" s="181" t="n">
        <f aca="false">ExportRaw!$C294</f>
        <v>0</v>
      </c>
      <c r="C294" s="181" t="n">
        <f aca="false">ExportRaw!$G294</f>
        <v>0</v>
      </c>
      <c r="D294" s="181" t="str">
        <f aca="false">ExportRaw!$E294</f>
        <v/>
      </c>
      <c r="E294" s="182" t="str">
        <f aca="false">ExportRaw!$D294</f>
        <v/>
      </c>
      <c r="F294" s="181" t="str">
        <f aca="false">ExportRaw!$H294</f>
        <v/>
      </c>
      <c r="G294" s="183" t="str">
        <f aca="false">ExportRaw!$I294</f>
        <v/>
      </c>
      <c r="H294" s="181" t="str">
        <f aca="false">ExportRaw!$A294</f>
        <v/>
      </c>
      <c r="I294" s="181" t="str">
        <f aca="false">ExportRaw!$B294</f>
        <v/>
      </c>
    </row>
    <row r="295" customFormat="false" ht="15.75" hidden="false" customHeight="false" outlineLevel="0" collapsed="false">
      <c r="A295" s="181" t="n">
        <f aca="false">ExportRaw!$F295</f>
        <v>0</v>
      </c>
      <c r="B295" s="181" t="n">
        <f aca="false">ExportRaw!$C295</f>
        <v>0</v>
      </c>
      <c r="C295" s="181" t="n">
        <f aca="false">ExportRaw!$G295</f>
        <v>0</v>
      </c>
      <c r="D295" s="181" t="str">
        <f aca="false">ExportRaw!$E295</f>
        <v/>
      </c>
      <c r="E295" s="182" t="str">
        <f aca="false">ExportRaw!$D295</f>
        <v/>
      </c>
      <c r="F295" s="181" t="str">
        <f aca="false">ExportRaw!$H295</f>
        <v/>
      </c>
      <c r="G295" s="183" t="str">
        <f aca="false">ExportRaw!$I295</f>
        <v/>
      </c>
      <c r="H295" s="181" t="str">
        <f aca="false">ExportRaw!$A295</f>
        <v/>
      </c>
      <c r="I295" s="181" t="str">
        <f aca="false">ExportRaw!$B295</f>
        <v/>
      </c>
    </row>
    <row r="296" customFormat="false" ht="15.75" hidden="false" customHeight="false" outlineLevel="0" collapsed="false">
      <c r="A296" s="181" t="n">
        <f aca="false">ExportRaw!$F296</f>
        <v>0</v>
      </c>
      <c r="B296" s="181" t="n">
        <f aca="false">ExportRaw!$C296</f>
        <v>0</v>
      </c>
      <c r="C296" s="181" t="n">
        <f aca="false">ExportRaw!$G296</f>
        <v>0</v>
      </c>
      <c r="D296" s="181" t="str">
        <f aca="false">ExportRaw!$E296</f>
        <v/>
      </c>
      <c r="E296" s="182" t="str">
        <f aca="false">ExportRaw!$D296</f>
        <v/>
      </c>
      <c r="F296" s="181" t="str">
        <f aca="false">ExportRaw!$H296</f>
        <v/>
      </c>
      <c r="G296" s="183" t="str">
        <f aca="false">ExportRaw!$I296</f>
        <v/>
      </c>
      <c r="H296" s="181" t="str">
        <f aca="false">ExportRaw!$A296</f>
        <v/>
      </c>
      <c r="I296" s="181" t="str">
        <f aca="false">ExportRaw!$B296</f>
        <v/>
      </c>
    </row>
    <row r="297" customFormat="false" ht="15.75" hidden="false" customHeight="false" outlineLevel="0" collapsed="false">
      <c r="A297" s="181" t="n">
        <f aca="false">ExportRaw!$F297</f>
        <v>0</v>
      </c>
      <c r="B297" s="181" t="n">
        <f aca="false">ExportRaw!$C297</f>
        <v>0</v>
      </c>
      <c r="C297" s="181" t="n">
        <f aca="false">ExportRaw!$G297</f>
        <v>0</v>
      </c>
      <c r="D297" s="181" t="str">
        <f aca="false">ExportRaw!$E297</f>
        <v/>
      </c>
      <c r="E297" s="182" t="str">
        <f aca="false">ExportRaw!$D297</f>
        <v/>
      </c>
      <c r="F297" s="181" t="str">
        <f aca="false">ExportRaw!$H297</f>
        <v/>
      </c>
      <c r="G297" s="183" t="str">
        <f aca="false">ExportRaw!$I297</f>
        <v/>
      </c>
      <c r="H297" s="181" t="str">
        <f aca="false">ExportRaw!$A297</f>
        <v/>
      </c>
      <c r="I297" s="181" t="str">
        <f aca="false">ExportRaw!$B297</f>
        <v/>
      </c>
    </row>
    <row r="298" customFormat="false" ht="15.75" hidden="false" customHeight="false" outlineLevel="0" collapsed="false">
      <c r="A298" s="181" t="n">
        <f aca="false">ExportRaw!$F298</f>
        <v>0</v>
      </c>
      <c r="B298" s="181" t="n">
        <f aca="false">ExportRaw!$C298</f>
        <v>0</v>
      </c>
      <c r="C298" s="181" t="n">
        <f aca="false">ExportRaw!$G298</f>
        <v>0</v>
      </c>
      <c r="D298" s="181" t="str">
        <f aca="false">ExportRaw!$E298</f>
        <v/>
      </c>
      <c r="E298" s="182" t="str">
        <f aca="false">ExportRaw!$D298</f>
        <v/>
      </c>
      <c r="F298" s="181" t="str">
        <f aca="false">ExportRaw!$H298</f>
        <v/>
      </c>
      <c r="G298" s="183" t="str">
        <f aca="false">ExportRaw!$I298</f>
        <v/>
      </c>
      <c r="H298" s="181" t="str">
        <f aca="false">ExportRaw!$A298</f>
        <v/>
      </c>
      <c r="I298" s="181" t="str">
        <f aca="false">ExportRaw!$B298</f>
        <v/>
      </c>
    </row>
    <row r="299" customFormat="false" ht="15.75" hidden="false" customHeight="false" outlineLevel="0" collapsed="false">
      <c r="A299" s="181" t="n">
        <f aca="false">ExportRaw!$F299</f>
        <v>0</v>
      </c>
      <c r="B299" s="181" t="n">
        <f aca="false">ExportRaw!$C299</f>
        <v>0</v>
      </c>
      <c r="C299" s="181" t="n">
        <f aca="false">ExportRaw!$G299</f>
        <v>0</v>
      </c>
      <c r="D299" s="181" t="str">
        <f aca="false">ExportRaw!$E299</f>
        <v/>
      </c>
      <c r="E299" s="182" t="str">
        <f aca="false">ExportRaw!$D299</f>
        <v/>
      </c>
      <c r="F299" s="181" t="str">
        <f aca="false">ExportRaw!$H299</f>
        <v/>
      </c>
      <c r="G299" s="183" t="str">
        <f aca="false">ExportRaw!$I299</f>
        <v/>
      </c>
      <c r="H299" s="181" t="str">
        <f aca="false">ExportRaw!$A299</f>
        <v/>
      </c>
      <c r="I299" s="181" t="str">
        <f aca="false">ExportRaw!$B299</f>
        <v/>
      </c>
    </row>
    <row r="300" customFormat="false" ht="15.75" hidden="false" customHeight="false" outlineLevel="0" collapsed="false">
      <c r="A300" s="181" t="n">
        <f aca="false">ExportRaw!$F300</f>
        <v>0</v>
      </c>
      <c r="B300" s="181" t="n">
        <f aca="false">ExportRaw!$C300</f>
        <v>0</v>
      </c>
      <c r="C300" s="181" t="n">
        <f aca="false">ExportRaw!$G300</f>
        <v>0</v>
      </c>
      <c r="D300" s="181" t="str">
        <f aca="false">ExportRaw!$E300</f>
        <v/>
      </c>
      <c r="E300" s="182" t="str">
        <f aca="false">ExportRaw!$D300</f>
        <v/>
      </c>
      <c r="F300" s="181" t="str">
        <f aca="false">ExportRaw!$H300</f>
        <v/>
      </c>
      <c r="G300" s="183" t="str">
        <f aca="false">ExportRaw!$I300</f>
        <v/>
      </c>
      <c r="H300" s="181" t="str">
        <f aca="false">ExportRaw!$A300</f>
        <v/>
      </c>
      <c r="I300" s="181" t="str">
        <f aca="false">ExportRaw!$B300</f>
        <v/>
      </c>
    </row>
    <row r="301" customFormat="false" ht="15.75" hidden="false" customHeight="false" outlineLevel="0" collapsed="false">
      <c r="A301" s="181" t="n">
        <f aca="false">ExportRaw!$F301</f>
        <v>0</v>
      </c>
      <c r="B301" s="181" t="n">
        <f aca="false">ExportRaw!$C301</f>
        <v>0</v>
      </c>
      <c r="C301" s="181" t="n">
        <f aca="false">ExportRaw!$G301</f>
        <v>0</v>
      </c>
      <c r="D301" s="181" t="str">
        <f aca="false">ExportRaw!$E301</f>
        <v/>
      </c>
      <c r="E301" s="182" t="str">
        <f aca="false">ExportRaw!$D301</f>
        <v/>
      </c>
      <c r="F301" s="181" t="str">
        <f aca="false">ExportRaw!$H301</f>
        <v/>
      </c>
      <c r="G301" s="183" t="str">
        <f aca="false">ExportRaw!$I301</f>
        <v/>
      </c>
      <c r="H301" s="181" t="str">
        <f aca="false">ExportRaw!$A301</f>
        <v/>
      </c>
      <c r="I301" s="181" t="str">
        <f aca="false">ExportRaw!$B301</f>
        <v/>
      </c>
    </row>
    <row r="302" customFormat="false" ht="15.75" hidden="false" customHeight="false" outlineLevel="0" collapsed="false">
      <c r="A302" s="181" t="n">
        <f aca="false">ExportRaw!$F302</f>
        <v>0</v>
      </c>
      <c r="B302" s="181" t="n">
        <f aca="false">ExportRaw!$C302</f>
        <v>0</v>
      </c>
      <c r="C302" s="181" t="n">
        <f aca="false">ExportRaw!$G302</f>
        <v>0</v>
      </c>
      <c r="D302" s="181" t="str">
        <f aca="false">ExportRaw!$E302</f>
        <v/>
      </c>
      <c r="E302" s="182" t="str">
        <f aca="false">ExportRaw!$D302</f>
        <v/>
      </c>
      <c r="F302" s="181" t="str">
        <f aca="false">ExportRaw!$H302</f>
        <v/>
      </c>
      <c r="G302" s="183" t="str">
        <f aca="false">ExportRaw!$I302</f>
        <v/>
      </c>
      <c r="H302" s="181" t="str">
        <f aca="false">ExportRaw!$A302</f>
        <v/>
      </c>
      <c r="I302" s="181" t="str">
        <f aca="false">ExportRaw!$B302</f>
        <v/>
      </c>
    </row>
    <row r="303" customFormat="false" ht="15.75" hidden="false" customHeight="false" outlineLevel="0" collapsed="false">
      <c r="A303" s="181" t="n">
        <f aca="false">ExportRaw!$F303</f>
        <v>0</v>
      </c>
      <c r="B303" s="181" t="n">
        <f aca="false">ExportRaw!$C303</f>
        <v>0</v>
      </c>
      <c r="C303" s="181" t="n">
        <f aca="false">ExportRaw!$G303</f>
        <v>0</v>
      </c>
      <c r="D303" s="181" t="str">
        <f aca="false">ExportRaw!$E303</f>
        <v/>
      </c>
      <c r="E303" s="182" t="str">
        <f aca="false">ExportRaw!$D303</f>
        <v/>
      </c>
      <c r="F303" s="181" t="str">
        <f aca="false">ExportRaw!$H303</f>
        <v/>
      </c>
      <c r="G303" s="183" t="str">
        <f aca="false">ExportRaw!$I303</f>
        <v/>
      </c>
      <c r="H303" s="181" t="str">
        <f aca="false">ExportRaw!$A303</f>
        <v/>
      </c>
      <c r="I303" s="181" t="str">
        <f aca="false">ExportRaw!$B303</f>
        <v/>
      </c>
    </row>
    <row r="304" customFormat="false" ht="15.75" hidden="false" customHeight="false" outlineLevel="0" collapsed="false">
      <c r="A304" s="181" t="n">
        <f aca="false">ExportRaw!$F304</f>
        <v>0</v>
      </c>
      <c r="B304" s="181" t="n">
        <f aca="false">ExportRaw!$C304</f>
        <v>0</v>
      </c>
      <c r="C304" s="181" t="n">
        <f aca="false">ExportRaw!$G304</f>
        <v>0</v>
      </c>
      <c r="D304" s="181" t="str">
        <f aca="false">ExportRaw!$E304</f>
        <v/>
      </c>
      <c r="E304" s="182" t="str">
        <f aca="false">ExportRaw!$D304</f>
        <v/>
      </c>
      <c r="F304" s="181" t="str">
        <f aca="false">ExportRaw!$H304</f>
        <v/>
      </c>
      <c r="G304" s="183" t="str">
        <f aca="false">ExportRaw!$I304</f>
        <v/>
      </c>
      <c r="H304" s="181" t="str">
        <f aca="false">ExportRaw!$A304</f>
        <v/>
      </c>
      <c r="I304" s="181" t="str">
        <f aca="false">ExportRaw!$B304</f>
        <v/>
      </c>
    </row>
    <row r="305" customFormat="false" ht="15.75" hidden="false" customHeight="false" outlineLevel="0" collapsed="false">
      <c r="A305" s="181" t="n">
        <f aca="false">ExportRaw!$F305</f>
        <v>0</v>
      </c>
      <c r="B305" s="181" t="n">
        <f aca="false">ExportRaw!$C305</f>
        <v>0</v>
      </c>
      <c r="C305" s="181" t="n">
        <f aca="false">ExportRaw!$G305</f>
        <v>0</v>
      </c>
      <c r="D305" s="181" t="str">
        <f aca="false">ExportRaw!$E305</f>
        <v/>
      </c>
      <c r="E305" s="182" t="str">
        <f aca="false">ExportRaw!$D305</f>
        <v/>
      </c>
      <c r="F305" s="181" t="str">
        <f aca="false">ExportRaw!$H305</f>
        <v/>
      </c>
      <c r="G305" s="183" t="str">
        <f aca="false">ExportRaw!$I305</f>
        <v/>
      </c>
      <c r="H305" s="181" t="str">
        <f aca="false">ExportRaw!$A305</f>
        <v/>
      </c>
      <c r="I305" s="181" t="str">
        <f aca="false">ExportRaw!$B305</f>
        <v/>
      </c>
    </row>
    <row r="306" customFormat="false" ht="15.75" hidden="false" customHeight="false" outlineLevel="0" collapsed="false">
      <c r="A306" s="181" t="n">
        <f aca="false">ExportRaw!$F306</f>
        <v>0</v>
      </c>
      <c r="B306" s="181" t="n">
        <f aca="false">ExportRaw!$C306</f>
        <v>0</v>
      </c>
      <c r="C306" s="181" t="n">
        <f aca="false">ExportRaw!$G306</f>
        <v>0</v>
      </c>
      <c r="D306" s="181" t="str">
        <f aca="false">ExportRaw!$E306</f>
        <v/>
      </c>
      <c r="E306" s="182" t="str">
        <f aca="false">ExportRaw!$D306</f>
        <v/>
      </c>
      <c r="F306" s="181" t="str">
        <f aca="false">ExportRaw!$H306</f>
        <v/>
      </c>
      <c r="G306" s="183" t="str">
        <f aca="false">ExportRaw!$I306</f>
        <v/>
      </c>
      <c r="H306" s="181" t="str">
        <f aca="false">ExportRaw!$A306</f>
        <v/>
      </c>
      <c r="I306" s="181" t="str">
        <f aca="false">ExportRaw!$B306</f>
        <v/>
      </c>
    </row>
    <row r="307" customFormat="false" ht="15.75" hidden="false" customHeight="false" outlineLevel="0" collapsed="false">
      <c r="A307" s="181" t="n">
        <f aca="false">ExportRaw!$F307</f>
        <v>0</v>
      </c>
      <c r="B307" s="181" t="n">
        <f aca="false">ExportRaw!$C307</f>
        <v>0</v>
      </c>
      <c r="C307" s="181" t="n">
        <f aca="false">ExportRaw!$G307</f>
        <v>0</v>
      </c>
      <c r="D307" s="181" t="str">
        <f aca="false">ExportRaw!$E307</f>
        <v/>
      </c>
      <c r="E307" s="182" t="str">
        <f aca="false">ExportRaw!$D307</f>
        <v/>
      </c>
      <c r="F307" s="181" t="str">
        <f aca="false">ExportRaw!$H307</f>
        <v/>
      </c>
      <c r="G307" s="183" t="str">
        <f aca="false">ExportRaw!$I307</f>
        <v/>
      </c>
      <c r="H307" s="181" t="str">
        <f aca="false">ExportRaw!$A307</f>
        <v/>
      </c>
      <c r="I307" s="181" t="str">
        <f aca="false">ExportRaw!$B307</f>
        <v/>
      </c>
    </row>
    <row r="308" customFormat="false" ht="15.75" hidden="false" customHeight="false" outlineLevel="0" collapsed="false">
      <c r="A308" s="181" t="n">
        <f aca="false">ExportRaw!$F308</f>
        <v>0</v>
      </c>
      <c r="B308" s="181" t="n">
        <f aca="false">ExportRaw!$C308</f>
        <v>0</v>
      </c>
      <c r="C308" s="181" t="n">
        <f aca="false">ExportRaw!$G308</f>
        <v>0</v>
      </c>
      <c r="D308" s="181" t="str">
        <f aca="false">ExportRaw!$E308</f>
        <v/>
      </c>
      <c r="E308" s="182" t="str">
        <f aca="false">ExportRaw!$D308</f>
        <v/>
      </c>
      <c r="F308" s="181" t="str">
        <f aca="false">ExportRaw!$H308</f>
        <v/>
      </c>
      <c r="G308" s="183" t="str">
        <f aca="false">ExportRaw!$I308</f>
        <v/>
      </c>
      <c r="H308" s="181" t="str">
        <f aca="false">ExportRaw!$A308</f>
        <v/>
      </c>
      <c r="I308" s="181" t="str">
        <f aca="false">ExportRaw!$B308</f>
        <v/>
      </c>
    </row>
    <row r="309" customFormat="false" ht="15.75" hidden="false" customHeight="false" outlineLevel="0" collapsed="false">
      <c r="A309" s="181" t="n">
        <f aca="false">ExportRaw!$F309</f>
        <v>0</v>
      </c>
      <c r="B309" s="181" t="n">
        <f aca="false">ExportRaw!$C309</f>
        <v>0</v>
      </c>
      <c r="C309" s="181" t="n">
        <f aca="false">ExportRaw!$G309</f>
        <v>0</v>
      </c>
      <c r="D309" s="181" t="str">
        <f aca="false">ExportRaw!$E309</f>
        <v/>
      </c>
      <c r="E309" s="182" t="str">
        <f aca="false">ExportRaw!$D309</f>
        <v/>
      </c>
      <c r="F309" s="181" t="str">
        <f aca="false">ExportRaw!$H309</f>
        <v/>
      </c>
      <c r="G309" s="183" t="str">
        <f aca="false">ExportRaw!$I309</f>
        <v/>
      </c>
      <c r="H309" s="181" t="str">
        <f aca="false">ExportRaw!$A309</f>
        <v/>
      </c>
      <c r="I309" s="181" t="str">
        <f aca="false">ExportRaw!$B309</f>
        <v/>
      </c>
    </row>
    <row r="310" customFormat="false" ht="15.75" hidden="false" customHeight="false" outlineLevel="0" collapsed="false">
      <c r="A310" s="181" t="n">
        <f aca="false">ExportRaw!$F310</f>
        <v>0</v>
      </c>
      <c r="B310" s="181" t="n">
        <f aca="false">ExportRaw!$C310</f>
        <v>0</v>
      </c>
      <c r="C310" s="181" t="n">
        <f aca="false">ExportRaw!$G310</f>
        <v>0</v>
      </c>
      <c r="D310" s="181" t="str">
        <f aca="false">ExportRaw!$E310</f>
        <v/>
      </c>
      <c r="E310" s="182" t="str">
        <f aca="false">ExportRaw!$D310</f>
        <v/>
      </c>
      <c r="F310" s="181" t="str">
        <f aca="false">ExportRaw!$H310</f>
        <v/>
      </c>
      <c r="G310" s="183" t="str">
        <f aca="false">ExportRaw!$I310</f>
        <v/>
      </c>
      <c r="H310" s="181" t="str">
        <f aca="false">ExportRaw!$A310</f>
        <v/>
      </c>
      <c r="I310" s="181" t="str">
        <f aca="false">ExportRaw!$B310</f>
        <v/>
      </c>
    </row>
    <row r="311" customFormat="false" ht="15.75" hidden="false" customHeight="false" outlineLevel="0" collapsed="false">
      <c r="A311" s="181" t="n">
        <f aca="false">ExportRaw!$F311</f>
        <v>0</v>
      </c>
      <c r="B311" s="181" t="n">
        <f aca="false">ExportRaw!$C311</f>
        <v>0</v>
      </c>
      <c r="C311" s="181" t="n">
        <f aca="false">ExportRaw!$G311</f>
        <v>0</v>
      </c>
      <c r="D311" s="181" t="str">
        <f aca="false">ExportRaw!$E311</f>
        <v/>
      </c>
      <c r="E311" s="182" t="str">
        <f aca="false">ExportRaw!$D311</f>
        <v/>
      </c>
      <c r="F311" s="181" t="str">
        <f aca="false">ExportRaw!$H311</f>
        <v/>
      </c>
      <c r="G311" s="183" t="str">
        <f aca="false">ExportRaw!$I311</f>
        <v/>
      </c>
      <c r="H311" s="181" t="str">
        <f aca="false">ExportRaw!$A311</f>
        <v/>
      </c>
      <c r="I311" s="181" t="str">
        <f aca="false">ExportRaw!$B311</f>
        <v/>
      </c>
    </row>
    <row r="312" customFormat="false" ht="15.75" hidden="false" customHeight="false" outlineLevel="0" collapsed="false">
      <c r="A312" s="181" t="n">
        <f aca="false">ExportRaw!$F312</f>
        <v>0</v>
      </c>
      <c r="B312" s="181" t="n">
        <f aca="false">ExportRaw!$C312</f>
        <v>0</v>
      </c>
      <c r="C312" s="181" t="n">
        <f aca="false">ExportRaw!$G312</f>
        <v>0</v>
      </c>
      <c r="D312" s="181" t="str">
        <f aca="false">ExportRaw!$E312</f>
        <v/>
      </c>
      <c r="E312" s="182" t="str">
        <f aca="false">ExportRaw!$D312</f>
        <v/>
      </c>
      <c r="F312" s="181" t="str">
        <f aca="false">ExportRaw!$H312</f>
        <v/>
      </c>
      <c r="G312" s="183" t="str">
        <f aca="false">ExportRaw!$I312</f>
        <v/>
      </c>
      <c r="H312" s="181" t="str">
        <f aca="false">ExportRaw!$A312</f>
        <v/>
      </c>
      <c r="I312" s="181" t="str">
        <f aca="false">ExportRaw!$B312</f>
        <v/>
      </c>
    </row>
    <row r="313" customFormat="false" ht="15.75" hidden="false" customHeight="false" outlineLevel="0" collapsed="false">
      <c r="A313" s="181" t="n">
        <f aca="false">ExportRaw!$F313</f>
        <v>0</v>
      </c>
      <c r="B313" s="181" t="n">
        <f aca="false">ExportRaw!$C313</f>
        <v>0</v>
      </c>
      <c r="C313" s="181" t="n">
        <f aca="false">ExportRaw!$G313</f>
        <v>0</v>
      </c>
      <c r="D313" s="181" t="str">
        <f aca="false">ExportRaw!$E313</f>
        <v/>
      </c>
      <c r="E313" s="182" t="str">
        <f aca="false">ExportRaw!$D313</f>
        <v/>
      </c>
      <c r="F313" s="181" t="str">
        <f aca="false">ExportRaw!$H313</f>
        <v/>
      </c>
      <c r="G313" s="183" t="str">
        <f aca="false">ExportRaw!$I313</f>
        <v/>
      </c>
      <c r="H313" s="181" t="str">
        <f aca="false">ExportRaw!$A313</f>
        <v/>
      </c>
      <c r="I313" s="181" t="str">
        <f aca="false">ExportRaw!$B313</f>
        <v/>
      </c>
    </row>
    <row r="314" customFormat="false" ht="15.75" hidden="false" customHeight="false" outlineLevel="0" collapsed="false">
      <c r="A314" s="181" t="n">
        <f aca="false">ExportRaw!$F314</f>
        <v>0</v>
      </c>
      <c r="B314" s="181" t="n">
        <f aca="false">ExportRaw!$C314</f>
        <v>0</v>
      </c>
      <c r="C314" s="181" t="n">
        <f aca="false">ExportRaw!$G314</f>
        <v>0</v>
      </c>
      <c r="D314" s="181" t="str">
        <f aca="false">ExportRaw!$E314</f>
        <v/>
      </c>
      <c r="E314" s="182" t="str">
        <f aca="false">ExportRaw!$D314</f>
        <v/>
      </c>
      <c r="F314" s="181" t="str">
        <f aca="false">ExportRaw!$H314</f>
        <v/>
      </c>
      <c r="G314" s="183" t="str">
        <f aca="false">ExportRaw!$I314</f>
        <v/>
      </c>
      <c r="H314" s="181" t="str">
        <f aca="false">ExportRaw!$A314</f>
        <v/>
      </c>
      <c r="I314" s="181" t="str">
        <f aca="false">ExportRaw!$B314</f>
        <v/>
      </c>
    </row>
    <row r="315" customFormat="false" ht="15.75" hidden="false" customHeight="false" outlineLevel="0" collapsed="false">
      <c r="A315" s="181" t="n">
        <f aca="false">ExportRaw!$F315</f>
        <v>0</v>
      </c>
      <c r="B315" s="181" t="n">
        <f aca="false">ExportRaw!$C315</f>
        <v>0</v>
      </c>
      <c r="C315" s="181" t="n">
        <f aca="false">ExportRaw!$G315</f>
        <v>0</v>
      </c>
      <c r="D315" s="181" t="str">
        <f aca="false">ExportRaw!$E315</f>
        <v/>
      </c>
      <c r="E315" s="182" t="str">
        <f aca="false">ExportRaw!$D315</f>
        <v/>
      </c>
      <c r="F315" s="181" t="str">
        <f aca="false">ExportRaw!$H315</f>
        <v/>
      </c>
      <c r="G315" s="183" t="str">
        <f aca="false">ExportRaw!$I315</f>
        <v/>
      </c>
      <c r="H315" s="181" t="str">
        <f aca="false">ExportRaw!$A315</f>
        <v/>
      </c>
      <c r="I315" s="181" t="str">
        <f aca="false">ExportRaw!$B315</f>
        <v/>
      </c>
    </row>
    <row r="316" customFormat="false" ht="15.75" hidden="false" customHeight="false" outlineLevel="0" collapsed="false">
      <c r="A316" s="181" t="n">
        <f aca="false">ExportRaw!$F316</f>
        <v>0</v>
      </c>
      <c r="B316" s="181" t="n">
        <f aca="false">ExportRaw!$C316</f>
        <v>0</v>
      </c>
      <c r="C316" s="181" t="n">
        <f aca="false">ExportRaw!$G316</f>
        <v>0</v>
      </c>
      <c r="D316" s="181" t="str">
        <f aca="false">ExportRaw!$E316</f>
        <v/>
      </c>
      <c r="E316" s="182" t="str">
        <f aca="false">ExportRaw!$D316</f>
        <v/>
      </c>
      <c r="F316" s="181" t="str">
        <f aca="false">ExportRaw!$H316</f>
        <v/>
      </c>
      <c r="G316" s="183" t="str">
        <f aca="false">ExportRaw!$I316</f>
        <v/>
      </c>
      <c r="H316" s="181" t="str">
        <f aca="false">ExportRaw!$A316</f>
        <v/>
      </c>
      <c r="I316" s="181" t="str">
        <f aca="false">ExportRaw!$B316</f>
        <v/>
      </c>
    </row>
    <row r="317" customFormat="false" ht="15.75" hidden="false" customHeight="false" outlineLevel="0" collapsed="false">
      <c r="A317" s="181" t="n">
        <f aca="false">ExportRaw!$F317</f>
        <v>0</v>
      </c>
      <c r="B317" s="181" t="n">
        <f aca="false">ExportRaw!$C317</f>
        <v>0</v>
      </c>
      <c r="C317" s="181" t="n">
        <f aca="false">ExportRaw!$G317</f>
        <v>0</v>
      </c>
      <c r="D317" s="181" t="str">
        <f aca="false">ExportRaw!$E317</f>
        <v/>
      </c>
      <c r="E317" s="182" t="str">
        <f aca="false">ExportRaw!$D317</f>
        <v/>
      </c>
      <c r="F317" s="181" t="str">
        <f aca="false">ExportRaw!$H317</f>
        <v/>
      </c>
      <c r="G317" s="183" t="str">
        <f aca="false">ExportRaw!$I317</f>
        <v/>
      </c>
      <c r="H317" s="181" t="str">
        <f aca="false">ExportRaw!$A317</f>
        <v/>
      </c>
      <c r="I317" s="181" t="str">
        <f aca="false">ExportRaw!$B317</f>
        <v/>
      </c>
    </row>
    <row r="318" customFormat="false" ht="15.75" hidden="false" customHeight="false" outlineLevel="0" collapsed="false">
      <c r="A318" s="181" t="n">
        <f aca="false">ExportRaw!$F318</f>
        <v>0</v>
      </c>
      <c r="B318" s="181" t="n">
        <f aca="false">ExportRaw!$C318</f>
        <v>0</v>
      </c>
      <c r="C318" s="181" t="n">
        <f aca="false">ExportRaw!$G318</f>
        <v>0</v>
      </c>
      <c r="D318" s="181" t="str">
        <f aca="false">ExportRaw!$E318</f>
        <v/>
      </c>
      <c r="E318" s="182" t="str">
        <f aca="false">ExportRaw!$D318</f>
        <v/>
      </c>
      <c r="F318" s="181" t="str">
        <f aca="false">ExportRaw!$H318</f>
        <v/>
      </c>
      <c r="G318" s="183" t="str">
        <f aca="false">ExportRaw!$I318</f>
        <v/>
      </c>
      <c r="H318" s="181" t="str">
        <f aca="false">ExportRaw!$A318</f>
        <v/>
      </c>
      <c r="I318" s="181" t="str">
        <f aca="false">ExportRaw!$B318</f>
        <v/>
      </c>
    </row>
    <row r="319" customFormat="false" ht="15.75" hidden="false" customHeight="false" outlineLevel="0" collapsed="false">
      <c r="A319" s="181" t="n">
        <f aca="false">ExportRaw!$F319</f>
        <v>0</v>
      </c>
      <c r="B319" s="181" t="n">
        <f aca="false">ExportRaw!$C319</f>
        <v>0</v>
      </c>
      <c r="C319" s="181" t="n">
        <f aca="false">ExportRaw!$G319</f>
        <v>0</v>
      </c>
      <c r="D319" s="181" t="str">
        <f aca="false">ExportRaw!$E319</f>
        <v/>
      </c>
      <c r="E319" s="182" t="str">
        <f aca="false">ExportRaw!$D319</f>
        <v/>
      </c>
      <c r="F319" s="181" t="str">
        <f aca="false">ExportRaw!$H319</f>
        <v/>
      </c>
      <c r="G319" s="183" t="str">
        <f aca="false">ExportRaw!$I319</f>
        <v/>
      </c>
      <c r="H319" s="181" t="str">
        <f aca="false">ExportRaw!$A319</f>
        <v/>
      </c>
      <c r="I319" s="181" t="str">
        <f aca="false">ExportRaw!$B319</f>
        <v/>
      </c>
    </row>
    <row r="320" customFormat="false" ht="15.75" hidden="false" customHeight="false" outlineLevel="0" collapsed="false">
      <c r="A320" s="181" t="n">
        <f aca="false">ExportRaw!$F320</f>
        <v>0</v>
      </c>
      <c r="B320" s="181" t="n">
        <f aca="false">ExportRaw!$C320</f>
        <v>0</v>
      </c>
      <c r="C320" s="181" t="n">
        <f aca="false">ExportRaw!$G320</f>
        <v>0</v>
      </c>
      <c r="D320" s="181" t="str">
        <f aca="false">ExportRaw!$E320</f>
        <v/>
      </c>
      <c r="E320" s="182" t="str">
        <f aca="false">ExportRaw!$D320</f>
        <v/>
      </c>
      <c r="F320" s="181" t="str">
        <f aca="false">ExportRaw!$H320</f>
        <v/>
      </c>
      <c r="G320" s="183" t="str">
        <f aca="false">ExportRaw!$I320</f>
        <v/>
      </c>
      <c r="H320" s="181" t="str">
        <f aca="false">ExportRaw!$A320</f>
        <v/>
      </c>
      <c r="I320" s="181" t="str">
        <f aca="false">ExportRaw!$B320</f>
        <v/>
      </c>
    </row>
    <row r="321" customFormat="false" ht="15.75" hidden="false" customHeight="false" outlineLevel="0" collapsed="false">
      <c r="A321" s="181" t="n">
        <f aca="false">ExportRaw!$F321</f>
        <v>0</v>
      </c>
      <c r="B321" s="181" t="n">
        <f aca="false">ExportRaw!$C321</f>
        <v>0</v>
      </c>
      <c r="C321" s="181" t="n">
        <f aca="false">ExportRaw!$G321</f>
        <v>0</v>
      </c>
      <c r="D321" s="181" t="str">
        <f aca="false">ExportRaw!$E321</f>
        <v/>
      </c>
      <c r="E321" s="182" t="str">
        <f aca="false">ExportRaw!$D321</f>
        <v/>
      </c>
      <c r="F321" s="181" t="str">
        <f aca="false">ExportRaw!$H321</f>
        <v/>
      </c>
      <c r="G321" s="183" t="str">
        <f aca="false">ExportRaw!$I321</f>
        <v/>
      </c>
      <c r="H321" s="181" t="str">
        <f aca="false">ExportRaw!$A321</f>
        <v/>
      </c>
      <c r="I321" s="181" t="str">
        <f aca="false">ExportRaw!$B321</f>
        <v/>
      </c>
    </row>
    <row r="322" customFormat="false" ht="15.75" hidden="false" customHeight="false" outlineLevel="0" collapsed="false">
      <c r="A322" s="181" t="n">
        <f aca="false">ExportRaw!$F322</f>
        <v>0</v>
      </c>
      <c r="B322" s="181" t="n">
        <f aca="false">ExportRaw!$C322</f>
        <v>0</v>
      </c>
      <c r="C322" s="181" t="n">
        <f aca="false">ExportRaw!$G322</f>
        <v>0</v>
      </c>
      <c r="D322" s="181" t="str">
        <f aca="false">ExportRaw!$E322</f>
        <v/>
      </c>
      <c r="E322" s="182" t="str">
        <f aca="false">ExportRaw!$D322</f>
        <v/>
      </c>
      <c r="F322" s="181" t="str">
        <f aca="false">ExportRaw!$H322</f>
        <v/>
      </c>
      <c r="G322" s="183" t="str">
        <f aca="false">ExportRaw!$I322</f>
        <v/>
      </c>
      <c r="H322" s="181" t="str">
        <f aca="false">ExportRaw!$A322</f>
        <v/>
      </c>
      <c r="I322" s="181" t="str">
        <f aca="false">ExportRaw!$B322</f>
        <v/>
      </c>
    </row>
    <row r="323" customFormat="false" ht="15.75" hidden="false" customHeight="false" outlineLevel="0" collapsed="false">
      <c r="A323" s="181" t="n">
        <f aca="false">ExportRaw!$F323</f>
        <v>0</v>
      </c>
      <c r="B323" s="181" t="n">
        <f aca="false">ExportRaw!$C323</f>
        <v>0</v>
      </c>
      <c r="C323" s="181" t="n">
        <f aca="false">ExportRaw!$G323</f>
        <v>0</v>
      </c>
      <c r="D323" s="181" t="str">
        <f aca="false">ExportRaw!$E323</f>
        <v/>
      </c>
      <c r="E323" s="182" t="str">
        <f aca="false">ExportRaw!$D323</f>
        <v/>
      </c>
      <c r="F323" s="181" t="str">
        <f aca="false">ExportRaw!$H323</f>
        <v/>
      </c>
      <c r="G323" s="183" t="str">
        <f aca="false">ExportRaw!$I323</f>
        <v/>
      </c>
      <c r="H323" s="181" t="str">
        <f aca="false">ExportRaw!$A323</f>
        <v/>
      </c>
      <c r="I323" s="181" t="str">
        <f aca="false">ExportRaw!$B323</f>
        <v/>
      </c>
    </row>
    <row r="324" customFormat="false" ht="15.75" hidden="false" customHeight="false" outlineLevel="0" collapsed="false">
      <c r="A324" s="181" t="n">
        <f aca="false">ExportRaw!$F324</f>
        <v>0</v>
      </c>
      <c r="B324" s="181" t="n">
        <f aca="false">ExportRaw!$C324</f>
        <v>0</v>
      </c>
      <c r="C324" s="181" t="n">
        <f aca="false">ExportRaw!$G324</f>
        <v>0</v>
      </c>
      <c r="D324" s="181" t="str">
        <f aca="false">ExportRaw!$E324</f>
        <v/>
      </c>
      <c r="E324" s="182" t="str">
        <f aca="false">ExportRaw!$D324</f>
        <v/>
      </c>
      <c r="F324" s="181" t="str">
        <f aca="false">ExportRaw!$H324</f>
        <v/>
      </c>
      <c r="G324" s="183" t="str">
        <f aca="false">ExportRaw!$I324</f>
        <v/>
      </c>
      <c r="H324" s="181" t="str">
        <f aca="false">ExportRaw!$A324</f>
        <v/>
      </c>
      <c r="I324" s="181" t="str">
        <f aca="false">ExportRaw!$B324</f>
        <v/>
      </c>
    </row>
    <row r="325" customFormat="false" ht="15.75" hidden="false" customHeight="false" outlineLevel="0" collapsed="false">
      <c r="A325" s="181" t="n">
        <f aca="false">ExportRaw!$F325</f>
        <v>0</v>
      </c>
      <c r="B325" s="181" t="n">
        <f aca="false">ExportRaw!$C325</f>
        <v>0</v>
      </c>
      <c r="C325" s="181" t="n">
        <f aca="false">ExportRaw!$G325</f>
        <v>0</v>
      </c>
      <c r="D325" s="181" t="str">
        <f aca="false">ExportRaw!$E325</f>
        <v/>
      </c>
      <c r="E325" s="182" t="str">
        <f aca="false">ExportRaw!$D325</f>
        <v/>
      </c>
      <c r="F325" s="181" t="str">
        <f aca="false">ExportRaw!$H325</f>
        <v/>
      </c>
      <c r="G325" s="183" t="str">
        <f aca="false">ExportRaw!$I325</f>
        <v/>
      </c>
      <c r="H325" s="181" t="str">
        <f aca="false">ExportRaw!$A325</f>
        <v/>
      </c>
      <c r="I325" s="181" t="str">
        <f aca="false">ExportRaw!$B325</f>
        <v/>
      </c>
    </row>
    <row r="326" customFormat="false" ht="15.75" hidden="false" customHeight="false" outlineLevel="0" collapsed="false">
      <c r="A326" s="181" t="n">
        <f aca="false">ExportRaw!$F326</f>
        <v>0</v>
      </c>
      <c r="B326" s="181" t="n">
        <f aca="false">ExportRaw!$C326</f>
        <v>0</v>
      </c>
      <c r="C326" s="181" t="n">
        <f aca="false">ExportRaw!$G326</f>
        <v>0</v>
      </c>
      <c r="D326" s="181" t="str">
        <f aca="false">ExportRaw!$E326</f>
        <v/>
      </c>
      <c r="E326" s="182" t="str">
        <f aca="false">ExportRaw!$D326</f>
        <v/>
      </c>
      <c r="F326" s="181" t="str">
        <f aca="false">ExportRaw!$H326</f>
        <v/>
      </c>
      <c r="G326" s="183" t="str">
        <f aca="false">ExportRaw!$I326</f>
        <v/>
      </c>
      <c r="H326" s="181" t="str">
        <f aca="false">ExportRaw!$A326</f>
        <v/>
      </c>
      <c r="I326" s="181" t="str">
        <f aca="false">ExportRaw!$B326</f>
        <v/>
      </c>
    </row>
    <row r="327" customFormat="false" ht="15.75" hidden="false" customHeight="false" outlineLevel="0" collapsed="false">
      <c r="A327" s="181" t="n">
        <f aca="false">ExportRaw!$F327</f>
        <v>0</v>
      </c>
      <c r="B327" s="181" t="n">
        <f aca="false">ExportRaw!$C327</f>
        <v>0</v>
      </c>
      <c r="C327" s="181" t="n">
        <f aca="false">ExportRaw!$G327</f>
        <v>0</v>
      </c>
      <c r="D327" s="181" t="str">
        <f aca="false">ExportRaw!$E327</f>
        <v/>
      </c>
      <c r="E327" s="182" t="str">
        <f aca="false">ExportRaw!$D327</f>
        <v/>
      </c>
      <c r="F327" s="181" t="str">
        <f aca="false">ExportRaw!$H327</f>
        <v/>
      </c>
      <c r="G327" s="183" t="str">
        <f aca="false">ExportRaw!$I327</f>
        <v/>
      </c>
      <c r="H327" s="181" t="str">
        <f aca="false">ExportRaw!$A327</f>
        <v/>
      </c>
      <c r="I327" s="181" t="str">
        <f aca="false">ExportRaw!$B327</f>
        <v/>
      </c>
    </row>
    <row r="328" customFormat="false" ht="15.75" hidden="false" customHeight="false" outlineLevel="0" collapsed="false">
      <c r="A328" s="181" t="n">
        <f aca="false">ExportRaw!$F328</f>
        <v>0</v>
      </c>
      <c r="B328" s="181" t="n">
        <f aca="false">ExportRaw!$C328</f>
        <v>0</v>
      </c>
      <c r="C328" s="181" t="n">
        <f aca="false">ExportRaw!$G328</f>
        <v>0</v>
      </c>
      <c r="D328" s="181" t="str">
        <f aca="false">ExportRaw!$E328</f>
        <v/>
      </c>
      <c r="E328" s="182" t="str">
        <f aca="false">ExportRaw!$D328</f>
        <v/>
      </c>
      <c r="F328" s="181" t="str">
        <f aca="false">ExportRaw!$H328</f>
        <v/>
      </c>
      <c r="G328" s="183" t="str">
        <f aca="false">ExportRaw!$I328</f>
        <v/>
      </c>
      <c r="H328" s="181" t="str">
        <f aca="false">ExportRaw!$A328</f>
        <v/>
      </c>
      <c r="I328" s="181" t="str">
        <f aca="false">ExportRaw!$B328</f>
        <v/>
      </c>
    </row>
    <row r="329" customFormat="false" ht="15.75" hidden="false" customHeight="false" outlineLevel="0" collapsed="false">
      <c r="A329" s="181" t="n">
        <f aca="false">ExportRaw!$F329</f>
        <v>0</v>
      </c>
      <c r="B329" s="181" t="n">
        <f aca="false">ExportRaw!$C329</f>
        <v>0</v>
      </c>
      <c r="C329" s="181" t="n">
        <f aca="false">ExportRaw!$G329</f>
        <v>0</v>
      </c>
      <c r="D329" s="181" t="str">
        <f aca="false">ExportRaw!$E329</f>
        <v/>
      </c>
      <c r="E329" s="182" t="str">
        <f aca="false">ExportRaw!$D329</f>
        <v/>
      </c>
      <c r="F329" s="181" t="str">
        <f aca="false">ExportRaw!$H329</f>
        <v/>
      </c>
      <c r="G329" s="183" t="str">
        <f aca="false">ExportRaw!$I329</f>
        <v/>
      </c>
      <c r="H329" s="181" t="str">
        <f aca="false">ExportRaw!$A329</f>
        <v/>
      </c>
      <c r="I329" s="181" t="str">
        <f aca="false">ExportRaw!$B329</f>
        <v/>
      </c>
    </row>
    <row r="330" customFormat="false" ht="15.75" hidden="false" customHeight="false" outlineLevel="0" collapsed="false">
      <c r="A330" s="181" t="n">
        <f aca="false">ExportRaw!$F330</f>
        <v>0</v>
      </c>
      <c r="B330" s="181" t="n">
        <f aca="false">ExportRaw!$C330</f>
        <v>0</v>
      </c>
      <c r="C330" s="181" t="n">
        <f aca="false">ExportRaw!$G330</f>
        <v>0</v>
      </c>
      <c r="D330" s="181" t="str">
        <f aca="false">ExportRaw!$E330</f>
        <v/>
      </c>
      <c r="E330" s="182" t="str">
        <f aca="false">ExportRaw!$D330</f>
        <v/>
      </c>
      <c r="F330" s="181" t="str">
        <f aca="false">ExportRaw!$H330</f>
        <v/>
      </c>
      <c r="G330" s="183" t="str">
        <f aca="false">ExportRaw!$I330</f>
        <v/>
      </c>
      <c r="H330" s="181" t="str">
        <f aca="false">ExportRaw!$A330</f>
        <v/>
      </c>
      <c r="I330" s="181" t="str">
        <f aca="false">ExportRaw!$B330</f>
        <v/>
      </c>
    </row>
    <row r="331" customFormat="false" ht="15.75" hidden="false" customHeight="false" outlineLevel="0" collapsed="false">
      <c r="A331" s="181" t="n">
        <f aca="false">ExportRaw!$F331</f>
        <v>0</v>
      </c>
      <c r="B331" s="181" t="n">
        <f aca="false">ExportRaw!$C331</f>
        <v>0</v>
      </c>
      <c r="C331" s="181" t="n">
        <f aca="false">ExportRaw!$G331</f>
        <v>0</v>
      </c>
      <c r="D331" s="181" t="str">
        <f aca="false">ExportRaw!$E331</f>
        <v/>
      </c>
      <c r="E331" s="182" t="str">
        <f aca="false">ExportRaw!$D331</f>
        <v/>
      </c>
      <c r="F331" s="181" t="str">
        <f aca="false">ExportRaw!$H331</f>
        <v/>
      </c>
      <c r="G331" s="183" t="str">
        <f aca="false">ExportRaw!$I331</f>
        <v/>
      </c>
      <c r="H331" s="181" t="str">
        <f aca="false">ExportRaw!$A331</f>
        <v/>
      </c>
      <c r="I331" s="181" t="str">
        <f aca="false">ExportRaw!$B331</f>
        <v/>
      </c>
    </row>
    <row r="332" customFormat="false" ht="15.75" hidden="false" customHeight="false" outlineLevel="0" collapsed="false">
      <c r="A332" s="181" t="n">
        <f aca="false">ExportRaw!$F332</f>
        <v>0</v>
      </c>
      <c r="B332" s="181" t="n">
        <f aca="false">ExportRaw!$C332</f>
        <v>0</v>
      </c>
      <c r="C332" s="181" t="n">
        <f aca="false">ExportRaw!$G332</f>
        <v>0</v>
      </c>
      <c r="D332" s="181" t="str">
        <f aca="false">ExportRaw!$E332</f>
        <v/>
      </c>
      <c r="E332" s="182" t="str">
        <f aca="false">ExportRaw!$D332</f>
        <v/>
      </c>
      <c r="F332" s="181" t="str">
        <f aca="false">ExportRaw!$H332</f>
        <v/>
      </c>
      <c r="G332" s="183" t="str">
        <f aca="false">ExportRaw!$I332</f>
        <v/>
      </c>
      <c r="H332" s="181" t="str">
        <f aca="false">ExportRaw!$A332</f>
        <v/>
      </c>
      <c r="I332" s="181" t="str">
        <f aca="false">ExportRaw!$B332</f>
        <v/>
      </c>
    </row>
    <row r="333" customFormat="false" ht="15.75" hidden="false" customHeight="false" outlineLevel="0" collapsed="false">
      <c r="A333" s="181" t="n">
        <f aca="false">ExportRaw!$F333</f>
        <v>0</v>
      </c>
      <c r="B333" s="181" t="n">
        <f aca="false">ExportRaw!$C333</f>
        <v>0</v>
      </c>
      <c r="C333" s="181" t="n">
        <f aca="false">ExportRaw!$G333</f>
        <v>0</v>
      </c>
      <c r="D333" s="181" t="str">
        <f aca="false">ExportRaw!$E333</f>
        <v/>
      </c>
      <c r="E333" s="182" t="str">
        <f aca="false">ExportRaw!$D333</f>
        <v/>
      </c>
      <c r="F333" s="181" t="str">
        <f aca="false">ExportRaw!$H333</f>
        <v/>
      </c>
      <c r="G333" s="183" t="str">
        <f aca="false">ExportRaw!$I333</f>
        <v/>
      </c>
      <c r="H333" s="181" t="str">
        <f aca="false">ExportRaw!$A333</f>
        <v/>
      </c>
      <c r="I333" s="181" t="str">
        <f aca="false">ExportRaw!$B333</f>
        <v/>
      </c>
    </row>
    <row r="334" customFormat="false" ht="15.75" hidden="false" customHeight="false" outlineLevel="0" collapsed="false">
      <c r="A334" s="181" t="n">
        <f aca="false">ExportRaw!$F334</f>
        <v>0</v>
      </c>
      <c r="B334" s="181" t="n">
        <f aca="false">ExportRaw!$C334</f>
        <v>0</v>
      </c>
      <c r="C334" s="181" t="n">
        <f aca="false">ExportRaw!$G334</f>
        <v>0</v>
      </c>
      <c r="D334" s="181" t="str">
        <f aca="false">ExportRaw!$E334</f>
        <v/>
      </c>
      <c r="E334" s="182" t="str">
        <f aca="false">ExportRaw!$D334</f>
        <v/>
      </c>
      <c r="F334" s="181" t="str">
        <f aca="false">ExportRaw!$H334</f>
        <v/>
      </c>
      <c r="G334" s="183" t="str">
        <f aca="false">ExportRaw!$I334</f>
        <v/>
      </c>
      <c r="H334" s="181" t="str">
        <f aca="false">ExportRaw!$A334</f>
        <v/>
      </c>
      <c r="I334" s="181" t="str">
        <f aca="false">ExportRaw!$B334</f>
        <v/>
      </c>
    </row>
    <row r="335" customFormat="false" ht="15.75" hidden="false" customHeight="false" outlineLevel="0" collapsed="false">
      <c r="A335" s="181" t="n">
        <f aca="false">ExportRaw!$F335</f>
        <v>0</v>
      </c>
      <c r="B335" s="181" t="n">
        <f aca="false">ExportRaw!$C335</f>
        <v>0</v>
      </c>
      <c r="C335" s="181" t="n">
        <f aca="false">ExportRaw!$G335</f>
        <v>0</v>
      </c>
      <c r="D335" s="181" t="str">
        <f aca="false">ExportRaw!$E335</f>
        <v/>
      </c>
      <c r="E335" s="182" t="str">
        <f aca="false">ExportRaw!$D335</f>
        <v/>
      </c>
      <c r="F335" s="181" t="str">
        <f aca="false">ExportRaw!$H335</f>
        <v/>
      </c>
      <c r="G335" s="183" t="str">
        <f aca="false">ExportRaw!$I335</f>
        <v/>
      </c>
      <c r="H335" s="181" t="str">
        <f aca="false">ExportRaw!$A335</f>
        <v/>
      </c>
      <c r="I335" s="181" t="str">
        <f aca="false">ExportRaw!$B335</f>
        <v/>
      </c>
    </row>
    <row r="336" customFormat="false" ht="15.75" hidden="false" customHeight="false" outlineLevel="0" collapsed="false">
      <c r="A336" s="181" t="n">
        <f aca="false">ExportRaw!$F336</f>
        <v>0</v>
      </c>
      <c r="B336" s="181" t="n">
        <f aca="false">ExportRaw!$C336</f>
        <v>0</v>
      </c>
      <c r="C336" s="181" t="n">
        <f aca="false">ExportRaw!$G336</f>
        <v>0</v>
      </c>
      <c r="D336" s="181" t="str">
        <f aca="false">ExportRaw!$E336</f>
        <v/>
      </c>
      <c r="E336" s="182" t="str">
        <f aca="false">ExportRaw!$D336</f>
        <v/>
      </c>
      <c r="F336" s="181" t="str">
        <f aca="false">ExportRaw!$H336</f>
        <v/>
      </c>
      <c r="G336" s="183" t="str">
        <f aca="false">ExportRaw!$I336</f>
        <v/>
      </c>
      <c r="H336" s="181" t="str">
        <f aca="false">ExportRaw!$A336</f>
        <v/>
      </c>
      <c r="I336" s="181" t="str">
        <f aca="false">ExportRaw!$B336</f>
        <v/>
      </c>
    </row>
    <row r="337" customFormat="false" ht="15.75" hidden="false" customHeight="false" outlineLevel="0" collapsed="false">
      <c r="A337" s="181" t="n">
        <f aca="false">ExportRaw!$F337</f>
        <v>0</v>
      </c>
      <c r="B337" s="181" t="n">
        <f aca="false">ExportRaw!$C337</f>
        <v>0</v>
      </c>
      <c r="C337" s="181" t="n">
        <f aca="false">ExportRaw!$G337</f>
        <v>0</v>
      </c>
      <c r="D337" s="181" t="str">
        <f aca="false">ExportRaw!$E337</f>
        <v/>
      </c>
      <c r="E337" s="182" t="str">
        <f aca="false">ExportRaw!$D337</f>
        <v/>
      </c>
      <c r="F337" s="181" t="str">
        <f aca="false">ExportRaw!$H337</f>
        <v/>
      </c>
      <c r="G337" s="183" t="str">
        <f aca="false">ExportRaw!$I337</f>
        <v/>
      </c>
      <c r="H337" s="181" t="str">
        <f aca="false">ExportRaw!$A337</f>
        <v/>
      </c>
      <c r="I337" s="181" t="str">
        <f aca="false">ExportRaw!$B337</f>
        <v/>
      </c>
    </row>
    <row r="338" customFormat="false" ht="15.75" hidden="false" customHeight="false" outlineLevel="0" collapsed="false">
      <c r="A338" s="181" t="n">
        <f aca="false">ExportRaw!$F338</f>
        <v>0</v>
      </c>
      <c r="B338" s="181" t="n">
        <f aca="false">ExportRaw!$C338</f>
        <v>0</v>
      </c>
      <c r="C338" s="181" t="n">
        <f aca="false">ExportRaw!$G338</f>
        <v>0</v>
      </c>
      <c r="D338" s="181" t="str">
        <f aca="false">ExportRaw!$E338</f>
        <v/>
      </c>
      <c r="E338" s="182" t="str">
        <f aca="false">ExportRaw!$D338</f>
        <v/>
      </c>
      <c r="F338" s="181" t="str">
        <f aca="false">ExportRaw!$H338</f>
        <v/>
      </c>
      <c r="G338" s="183" t="str">
        <f aca="false">ExportRaw!$I338</f>
        <v/>
      </c>
      <c r="H338" s="181" t="str">
        <f aca="false">ExportRaw!$A338</f>
        <v/>
      </c>
      <c r="I338" s="181" t="str">
        <f aca="false">ExportRaw!$B338</f>
        <v/>
      </c>
    </row>
    <row r="339" customFormat="false" ht="15.75" hidden="false" customHeight="false" outlineLevel="0" collapsed="false">
      <c r="A339" s="181" t="n">
        <f aca="false">ExportRaw!$F339</f>
        <v>0</v>
      </c>
      <c r="B339" s="181" t="n">
        <f aca="false">ExportRaw!$C339</f>
        <v>0</v>
      </c>
      <c r="C339" s="181" t="n">
        <f aca="false">ExportRaw!$G339</f>
        <v>0</v>
      </c>
      <c r="D339" s="181" t="str">
        <f aca="false">ExportRaw!$E339</f>
        <v/>
      </c>
      <c r="E339" s="182" t="str">
        <f aca="false">ExportRaw!$D339</f>
        <v/>
      </c>
      <c r="F339" s="181" t="str">
        <f aca="false">ExportRaw!$H339</f>
        <v/>
      </c>
      <c r="G339" s="183" t="str">
        <f aca="false">ExportRaw!$I339</f>
        <v/>
      </c>
      <c r="H339" s="181" t="str">
        <f aca="false">ExportRaw!$A339</f>
        <v/>
      </c>
      <c r="I339" s="181" t="str">
        <f aca="false">ExportRaw!$B339</f>
        <v/>
      </c>
    </row>
    <row r="340" customFormat="false" ht="15.75" hidden="false" customHeight="false" outlineLevel="0" collapsed="false">
      <c r="A340" s="181" t="n">
        <f aca="false">ExportRaw!$F340</f>
        <v>0</v>
      </c>
      <c r="B340" s="181" t="n">
        <f aca="false">ExportRaw!$C340</f>
        <v>0</v>
      </c>
      <c r="C340" s="181" t="n">
        <f aca="false">ExportRaw!$G340</f>
        <v>0</v>
      </c>
      <c r="D340" s="181" t="str">
        <f aca="false">ExportRaw!$E340</f>
        <v/>
      </c>
      <c r="E340" s="182" t="str">
        <f aca="false">ExportRaw!$D340</f>
        <v/>
      </c>
      <c r="F340" s="181" t="str">
        <f aca="false">ExportRaw!$H340</f>
        <v/>
      </c>
      <c r="G340" s="183" t="str">
        <f aca="false">ExportRaw!$I340</f>
        <v/>
      </c>
      <c r="H340" s="181" t="str">
        <f aca="false">ExportRaw!$A340</f>
        <v/>
      </c>
      <c r="I340" s="181" t="str">
        <f aca="false">ExportRaw!$B340</f>
        <v/>
      </c>
    </row>
    <row r="341" customFormat="false" ht="15.75" hidden="false" customHeight="false" outlineLevel="0" collapsed="false">
      <c r="A341" s="181" t="n">
        <f aca="false">ExportRaw!$F341</f>
        <v>0</v>
      </c>
      <c r="B341" s="181" t="n">
        <f aca="false">ExportRaw!$C341</f>
        <v>0</v>
      </c>
      <c r="C341" s="181" t="n">
        <f aca="false">ExportRaw!$G341</f>
        <v>0</v>
      </c>
      <c r="D341" s="181" t="str">
        <f aca="false">ExportRaw!$E341</f>
        <v/>
      </c>
      <c r="E341" s="182" t="str">
        <f aca="false">ExportRaw!$D341</f>
        <v/>
      </c>
      <c r="F341" s="181" t="str">
        <f aca="false">ExportRaw!$H341</f>
        <v/>
      </c>
      <c r="G341" s="183" t="str">
        <f aca="false">ExportRaw!$I341</f>
        <v/>
      </c>
      <c r="H341" s="181" t="str">
        <f aca="false">ExportRaw!$A341</f>
        <v/>
      </c>
      <c r="I341" s="181" t="str">
        <f aca="false">ExportRaw!$B341</f>
        <v/>
      </c>
    </row>
    <row r="342" customFormat="false" ht="15.75" hidden="false" customHeight="false" outlineLevel="0" collapsed="false">
      <c r="A342" s="181" t="n">
        <f aca="false">ExportRaw!$F342</f>
        <v>0</v>
      </c>
      <c r="B342" s="181" t="n">
        <f aca="false">ExportRaw!$C342</f>
        <v>0</v>
      </c>
      <c r="C342" s="181" t="n">
        <f aca="false">ExportRaw!$G342</f>
        <v>0</v>
      </c>
      <c r="D342" s="181" t="str">
        <f aca="false">ExportRaw!$E342</f>
        <v/>
      </c>
      <c r="E342" s="182" t="str">
        <f aca="false">ExportRaw!$D342</f>
        <v/>
      </c>
      <c r="F342" s="181" t="str">
        <f aca="false">ExportRaw!$H342</f>
        <v/>
      </c>
      <c r="G342" s="183" t="str">
        <f aca="false">ExportRaw!$I342</f>
        <v/>
      </c>
      <c r="H342" s="181" t="str">
        <f aca="false">ExportRaw!$A342</f>
        <v/>
      </c>
      <c r="I342" s="181" t="str">
        <f aca="false">ExportRaw!$B342</f>
        <v/>
      </c>
    </row>
    <row r="343" customFormat="false" ht="15.75" hidden="false" customHeight="false" outlineLevel="0" collapsed="false">
      <c r="A343" s="181" t="n">
        <f aca="false">ExportRaw!$F343</f>
        <v>0</v>
      </c>
      <c r="B343" s="181" t="n">
        <f aca="false">ExportRaw!$C343</f>
        <v>0</v>
      </c>
      <c r="C343" s="181" t="n">
        <f aca="false">ExportRaw!$G343</f>
        <v>0</v>
      </c>
      <c r="D343" s="181" t="str">
        <f aca="false">ExportRaw!$E343</f>
        <v/>
      </c>
      <c r="E343" s="182" t="str">
        <f aca="false">ExportRaw!$D343</f>
        <v/>
      </c>
      <c r="F343" s="181" t="str">
        <f aca="false">ExportRaw!$H343</f>
        <v/>
      </c>
      <c r="G343" s="183" t="str">
        <f aca="false">ExportRaw!$I343</f>
        <v/>
      </c>
      <c r="H343" s="181" t="str">
        <f aca="false">ExportRaw!$A343</f>
        <v/>
      </c>
      <c r="I343" s="181" t="str">
        <f aca="false">ExportRaw!$B343</f>
        <v/>
      </c>
    </row>
    <row r="344" customFormat="false" ht="15.75" hidden="false" customHeight="false" outlineLevel="0" collapsed="false">
      <c r="A344" s="181" t="n">
        <f aca="false">ExportRaw!$F344</f>
        <v>0</v>
      </c>
      <c r="B344" s="181" t="n">
        <f aca="false">ExportRaw!$C344</f>
        <v>0</v>
      </c>
      <c r="C344" s="181" t="n">
        <f aca="false">ExportRaw!$G344</f>
        <v>0</v>
      </c>
      <c r="D344" s="181" t="str">
        <f aca="false">ExportRaw!$E344</f>
        <v/>
      </c>
      <c r="E344" s="182" t="str">
        <f aca="false">ExportRaw!$D344</f>
        <v/>
      </c>
      <c r="F344" s="181" t="str">
        <f aca="false">ExportRaw!$H344</f>
        <v/>
      </c>
      <c r="G344" s="183" t="str">
        <f aca="false">ExportRaw!$I344</f>
        <v/>
      </c>
      <c r="H344" s="181" t="str">
        <f aca="false">ExportRaw!$A344</f>
        <v/>
      </c>
      <c r="I344" s="181" t="str">
        <f aca="false">ExportRaw!$B344</f>
        <v/>
      </c>
    </row>
    <row r="345" customFormat="false" ht="15.75" hidden="false" customHeight="false" outlineLevel="0" collapsed="false">
      <c r="A345" s="181" t="n">
        <f aca="false">ExportRaw!$F345</f>
        <v>0</v>
      </c>
      <c r="B345" s="181" t="n">
        <f aca="false">ExportRaw!$C345</f>
        <v>0</v>
      </c>
      <c r="C345" s="181" t="n">
        <f aca="false">ExportRaw!$G345</f>
        <v>0</v>
      </c>
      <c r="D345" s="181" t="str">
        <f aca="false">ExportRaw!$E345</f>
        <v/>
      </c>
      <c r="E345" s="182" t="str">
        <f aca="false">ExportRaw!$D345</f>
        <v/>
      </c>
      <c r="F345" s="181" t="str">
        <f aca="false">ExportRaw!$H345</f>
        <v/>
      </c>
      <c r="G345" s="183" t="str">
        <f aca="false">ExportRaw!$I345</f>
        <v/>
      </c>
      <c r="H345" s="181" t="str">
        <f aca="false">ExportRaw!$A345</f>
        <v/>
      </c>
      <c r="I345" s="181" t="str">
        <f aca="false">ExportRaw!$B345</f>
        <v/>
      </c>
    </row>
    <row r="346" customFormat="false" ht="15.75" hidden="false" customHeight="false" outlineLevel="0" collapsed="false">
      <c r="A346" s="181" t="n">
        <f aca="false">ExportRaw!$F346</f>
        <v>0</v>
      </c>
      <c r="B346" s="181" t="n">
        <f aca="false">ExportRaw!$C346</f>
        <v>0</v>
      </c>
      <c r="C346" s="181" t="n">
        <f aca="false">ExportRaw!$G346</f>
        <v>0</v>
      </c>
      <c r="D346" s="181" t="str">
        <f aca="false">ExportRaw!$E346</f>
        <v/>
      </c>
      <c r="E346" s="182" t="str">
        <f aca="false">ExportRaw!$D346</f>
        <v/>
      </c>
      <c r="F346" s="181" t="str">
        <f aca="false">ExportRaw!$H346</f>
        <v/>
      </c>
      <c r="G346" s="183" t="str">
        <f aca="false">ExportRaw!$I346</f>
        <v/>
      </c>
      <c r="H346" s="181" t="str">
        <f aca="false">ExportRaw!$A346</f>
        <v/>
      </c>
      <c r="I346" s="181" t="str">
        <f aca="false">ExportRaw!$B346</f>
        <v/>
      </c>
    </row>
    <row r="347" customFormat="false" ht="15.75" hidden="false" customHeight="false" outlineLevel="0" collapsed="false">
      <c r="A347" s="181" t="n">
        <f aca="false">ExportRaw!$F347</f>
        <v>0</v>
      </c>
      <c r="B347" s="181" t="n">
        <f aca="false">ExportRaw!$C347</f>
        <v>0</v>
      </c>
      <c r="C347" s="181" t="n">
        <f aca="false">ExportRaw!$G347</f>
        <v>0</v>
      </c>
      <c r="D347" s="181" t="str">
        <f aca="false">ExportRaw!$E347</f>
        <v/>
      </c>
      <c r="E347" s="182" t="str">
        <f aca="false">ExportRaw!$D347</f>
        <v/>
      </c>
      <c r="F347" s="181" t="str">
        <f aca="false">ExportRaw!$H347</f>
        <v/>
      </c>
      <c r="G347" s="183" t="str">
        <f aca="false">ExportRaw!$I347</f>
        <v/>
      </c>
      <c r="H347" s="181" t="str">
        <f aca="false">ExportRaw!$A347</f>
        <v/>
      </c>
      <c r="I347" s="181" t="str">
        <f aca="false">ExportRaw!$B347</f>
        <v/>
      </c>
    </row>
    <row r="348" customFormat="false" ht="15.75" hidden="false" customHeight="false" outlineLevel="0" collapsed="false">
      <c r="A348" s="181" t="n">
        <f aca="false">ExportRaw!$F348</f>
        <v>0</v>
      </c>
      <c r="B348" s="181" t="n">
        <f aca="false">ExportRaw!$C348</f>
        <v>0</v>
      </c>
      <c r="C348" s="181" t="n">
        <f aca="false">ExportRaw!$G348</f>
        <v>0</v>
      </c>
      <c r="D348" s="181" t="str">
        <f aca="false">ExportRaw!$E348</f>
        <v/>
      </c>
      <c r="E348" s="182" t="str">
        <f aca="false">ExportRaw!$D348</f>
        <v/>
      </c>
      <c r="F348" s="181" t="str">
        <f aca="false">ExportRaw!$H348</f>
        <v/>
      </c>
      <c r="G348" s="183" t="str">
        <f aca="false">ExportRaw!$I348</f>
        <v/>
      </c>
      <c r="H348" s="181" t="str">
        <f aca="false">ExportRaw!$A348</f>
        <v/>
      </c>
      <c r="I348" s="181" t="str">
        <f aca="false">ExportRaw!$B348</f>
        <v/>
      </c>
    </row>
    <row r="349" customFormat="false" ht="15.75" hidden="false" customHeight="false" outlineLevel="0" collapsed="false">
      <c r="A349" s="181" t="n">
        <f aca="false">ExportRaw!$F349</f>
        <v>0</v>
      </c>
      <c r="B349" s="181" t="n">
        <f aca="false">ExportRaw!$C349</f>
        <v>0</v>
      </c>
      <c r="C349" s="181" t="n">
        <f aca="false">ExportRaw!$G349</f>
        <v>0</v>
      </c>
      <c r="D349" s="181" t="str">
        <f aca="false">ExportRaw!$E349</f>
        <v/>
      </c>
      <c r="E349" s="182" t="str">
        <f aca="false">ExportRaw!$D349</f>
        <v/>
      </c>
      <c r="F349" s="181" t="str">
        <f aca="false">ExportRaw!$H349</f>
        <v/>
      </c>
      <c r="G349" s="183" t="str">
        <f aca="false">ExportRaw!$I349</f>
        <v/>
      </c>
      <c r="H349" s="181" t="str">
        <f aca="false">ExportRaw!$A349</f>
        <v/>
      </c>
      <c r="I349" s="181" t="str">
        <f aca="false">ExportRaw!$B349</f>
        <v/>
      </c>
    </row>
    <row r="350" customFormat="false" ht="15.75" hidden="false" customHeight="false" outlineLevel="0" collapsed="false">
      <c r="A350" s="181" t="n">
        <f aca="false">ExportRaw!$F350</f>
        <v>0</v>
      </c>
      <c r="B350" s="181" t="n">
        <f aca="false">ExportRaw!$C350</f>
        <v>0</v>
      </c>
      <c r="C350" s="181" t="n">
        <f aca="false">ExportRaw!$G350</f>
        <v>0</v>
      </c>
      <c r="D350" s="181" t="str">
        <f aca="false">ExportRaw!$E350</f>
        <v/>
      </c>
      <c r="E350" s="182" t="str">
        <f aca="false">ExportRaw!$D350</f>
        <v/>
      </c>
      <c r="F350" s="181" t="str">
        <f aca="false">ExportRaw!$H350</f>
        <v/>
      </c>
      <c r="G350" s="183" t="str">
        <f aca="false">ExportRaw!$I350</f>
        <v/>
      </c>
      <c r="H350" s="181" t="str">
        <f aca="false">ExportRaw!$A350</f>
        <v/>
      </c>
      <c r="I350" s="181" t="str">
        <f aca="false">ExportRaw!$B350</f>
        <v/>
      </c>
    </row>
    <row r="351" customFormat="false" ht="15.75" hidden="false" customHeight="false" outlineLevel="0" collapsed="false">
      <c r="A351" s="181" t="n">
        <f aca="false">ExportRaw!$F351</f>
        <v>0</v>
      </c>
      <c r="B351" s="181" t="n">
        <f aca="false">ExportRaw!$C351</f>
        <v>0</v>
      </c>
      <c r="C351" s="181" t="n">
        <f aca="false">ExportRaw!$G351</f>
        <v>0</v>
      </c>
      <c r="D351" s="181" t="str">
        <f aca="false">ExportRaw!$E351</f>
        <v/>
      </c>
      <c r="E351" s="182" t="str">
        <f aca="false">ExportRaw!$D351</f>
        <v/>
      </c>
      <c r="F351" s="181" t="str">
        <f aca="false">ExportRaw!$H351</f>
        <v/>
      </c>
      <c r="G351" s="183" t="str">
        <f aca="false">ExportRaw!$I351</f>
        <v/>
      </c>
      <c r="H351" s="181" t="str">
        <f aca="false">ExportRaw!$A351</f>
        <v/>
      </c>
      <c r="I351" s="181" t="str">
        <f aca="false">ExportRaw!$B351</f>
        <v/>
      </c>
    </row>
    <row r="352" customFormat="false" ht="15.75" hidden="false" customHeight="false" outlineLevel="0" collapsed="false">
      <c r="A352" s="181" t="n">
        <f aca="false">ExportRaw!$F352</f>
        <v>0</v>
      </c>
      <c r="B352" s="181" t="n">
        <f aca="false">ExportRaw!$C352</f>
        <v>0</v>
      </c>
      <c r="C352" s="181" t="n">
        <f aca="false">ExportRaw!$G352</f>
        <v>0</v>
      </c>
      <c r="D352" s="181" t="str">
        <f aca="false">ExportRaw!$E352</f>
        <v/>
      </c>
      <c r="E352" s="182" t="str">
        <f aca="false">ExportRaw!$D352</f>
        <v/>
      </c>
      <c r="F352" s="181" t="str">
        <f aca="false">ExportRaw!$H352</f>
        <v/>
      </c>
      <c r="G352" s="183" t="str">
        <f aca="false">ExportRaw!$I352</f>
        <v/>
      </c>
      <c r="H352" s="181" t="str">
        <f aca="false">ExportRaw!$A352</f>
        <v/>
      </c>
      <c r="I352" s="181" t="str">
        <f aca="false">ExportRaw!$B352</f>
        <v/>
      </c>
    </row>
    <row r="353" customFormat="false" ht="15.75" hidden="false" customHeight="false" outlineLevel="0" collapsed="false">
      <c r="A353" s="181" t="n">
        <f aca="false">ExportRaw!$F353</f>
        <v>0</v>
      </c>
      <c r="B353" s="181" t="n">
        <f aca="false">ExportRaw!$C353</f>
        <v>0</v>
      </c>
      <c r="C353" s="181" t="n">
        <f aca="false">ExportRaw!$G353</f>
        <v>0</v>
      </c>
      <c r="D353" s="181" t="str">
        <f aca="false">ExportRaw!$E353</f>
        <v/>
      </c>
      <c r="E353" s="182" t="str">
        <f aca="false">ExportRaw!$D353</f>
        <v/>
      </c>
      <c r="F353" s="181" t="str">
        <f aca="false">ExportRaw!$H353</f>
        <v/>
      </c>
      <c r="G353" s="183" t="str">
        <f aca="false">ExportRaw!$I353</f>
        <v/>
      </c>
      <c r="H353" s="181" t="str">
        <f aca="false">ExportRaw!$A353</f>
        <v/>
      </c>
      <c r="I353" s="181" t="str">
        <f aca="false">ExportRaw!$B353</f>
        <v/>
      </c>
    </row>
    <row r="354" customFormat="false" ht="15.75" hidden="false" customHeight="false" outlineLevel="0" collapsed="false">
      <c r="A354" s="181" t="n">
        <f aca="false">ExportRaw!$F354</f>
        <v>0</v>
      </c>
      <c r="B354" s="181" t="n">
        <f aca="false">ExportRaw!$C354</f>
        <v>0</v>
      </c>
      <c r="C354" s="181" t="n">
        <f aca="false">ExportRaw!$G354</f>
        <v>0</v>
      </c>
      <c r="D354" s="181" t="str">
        <f aca="false">ExportRaw!$E354</f>
        <v/>
      </c>
      <c r="E354" s="182" t="str">
        <f aca="false">ExportRaw!$D354</f>
        <v/>
      </c>
      <c r="F354" s="181" t="str">
        <f aca="false">ExportRaw!$H354</f>
        <v/>
      </c>
      <c r="G354" s="183" t="str">
        <f aca="false">ExportRaw!$I354</f>
        <v/>
      </c>
      <c r="H354" s="181" t="str">
        <f aca="false">ExportRaw!$A354</f>
        <v/>
      </c>
      <c r="I354" s="181" t="str">
        <f aca="false">ExportRaw!$B354</f>
        <v/>
      </c>
    </row>
    <row r="355" customFormat="false" ht="15.75" hidden="false" customHeight="false" outlineLevel="0" collapsed="false">
      <c r="A355" s="181" t="n">
        <f aca="false">ExportRaw!$F355</f>
        <v>0</v>
      </c>
      <c r="B355" s="181" t="n">
        <f aca="false">ExportRaw!$C355</f>
        <v>0</v>
      </c>
      <c r="C355" s="181" t="n">
        <f aca="false">ExportRaw!$G355</f>
        <v>0</v>
      </c>
      <c r="D355" s="181" t="str">
        <f aca="false">ExportRaw!$E355</f>
        <v/>
      </c>
      <c r="E355" s="182" t="str">
        <f aca="false">ExportRaw!$D355</f>
        <v/>
      </c>
      <c r="F355" s="181" t="str">
        <f aca="false">ExportRaw!$H355</f>
        <v/>
      </c>
      <c r="G355" s="183" t="str">
        <f aca="false">ExportRaw!$I355</f>
        <v/>
      </c>
      <c r="H355" s="181" t="str">
        <f aca="false">ExportRaw!$A355</f>
        <v/>
      </c>
      <c r="I355" s="181" t="str">
        <f aca="false">ExportRaw!$B355</f>
        <v/>
      </c>
    </row>
    <row r="356" customFormat="false" ht="15.75" hidden="false" customHeight="false" outlineLevel="0" collapsed="false">
      <c r="A356" s="181" t="n">
        <f aca="false">ExportRaw!$F356</f>
        <v>0</v>
      </c>
      <c r="B356" s="181" t="n">
        <f aca="false">ExportRaw!$C356</f>
        <v>0</v>
      </c>
      <c r="C356" s="181" t="n">
        <f aca="false">ExportRaw!$G356</f>
        <v>0</v>
      </c>
      <c r="D356" s="181" t="str">
        <f aca="false">ExportRaw!$E356</f>
        <v/>
      </c>
      <c r="E356" s="182" t="str">
        <f aca="false">ExportRaw!$D356</f>
        <v/>
      </c>
      <c r="F356" s="181" t="str">
        <f aca="false">ExportRaw!$H356</f>
        <v/>
      </c>
      <c r="G356" s="183" t="str">
        <f aca="false">ExportRaw!$I356</f>
        <v/>
      </c>
      <c r="H356" s="181" t="str">
        <f aca="false">ExportRaw!$A356</f>
        <v/>
      </c>
      <c r="I356" s="181" t="str">
        <f aca="false">ExportRaw!$B356</f>
        <v/>
      </c>
    </row>
    <row r="357" customFormat="false" ht="15.75" hidden="false" customHeight="false" outlineLevel="0" collapsed="false">
      <c r="A357" s="181" t="n">
        <f aca="false">ExportRaw!$F357</f>
        <v>0</v>
      </c>
      <c r="B357" s="181" t="n">
        <f aca="false">ExportRaw!$C357</f>
        <v>0</v>
      </c>
      <c r="C357" s="181" t="n">
        <f aca="false">ExportRaw!$G357</f>
        <v>0</v>
      </c>
      <c r="D357" s="181" t="str">
        <f aca="false">ExportRaw!$E357</f>
        <v/>
      </c>
      <c r="E357" s="182" t="str">
        <f aca="false">ExportRaw!$D357</f>
        <v/>
      </c>
      <c r="F357" s="181" t="str">
        <f aca="false">ExportRaw!$H357</f>
        <v/>
      </c>
      <c r="G357" s="183" t="str">
        <f aca="false">ExportRaw!$I357</f>
        <v/>
      </c>
      <c r="H357" s="181" t="str">
        <f aca="false">ExportRaw!$A357</f>
        <v/>
      </c>
      <c r="I357" s="181" t="str">
        <f aca="false">ExportRaw!$B357</f>
        <v/>
      </c>
    </row>
    <row r="358" customFormat="false" ht="15.75" hidden="false" customHeight="false" outlineLevel="0" collapsed="false">
      <c r="A358" s="181" t="n">
        <f aca="false">ExportRaw!$F358</f>
        <v>0</v>
      </c>
      <c r="B358" s="181" t="n">
        <f aca="false">ExportRaw!$C358</f>
        <v>0</v>
      </c>
      <c r="C358" s="181" t="n">
        <f aca="false">ExportRaw!$G358</f>
        <v>0</v>
      </c>
      <c r="D358" s="181" t="str">
        <f aca="false">ExportRaw!$E358</f>
        <v/>
      </c>
      <c r="E358" s="182" t="str">
        <f aca="false">ExportRaw!$D358</f>
        <v/>
      </c>
      <c r="F358" s="181" t="str">
        <f aca="false">ExportRaw!$H358</f>
        <v/>
      </c>
      <c r="G358" s="183" t="str">
        <f aca="false">ExportRaw!$I358</f>
        <v/>
      </c>
      <c r="H358" s="181" t="str">
        <f aca="false">ExportRaw!$A358</f>
        <v/>
      </c>
      <c r="I358" s="181" t="str">
        <f aca="false">ExportRaw!$B358</f>
        <v/>
      </c>
    </row>
    <row r="359" customFormat="false" ht="15.75" hidden="false" customHeight="false" outlineLevel="0" collapsed="false">
      <c r="A359" s="181" t="n">
        <f aca="false">ExportRaw!$F359</f>
        <v>0</v>
      </c>
      <c r="B359" s="181" t="n">
        <f aca="false">ExportRaw!$C359</f>
        <v>0</v>
      </c>
      <c r="C359" s="181" t="n">
        <f aca="false">ExportRaw!$G359</f>
        <v>0</v>
      </c>
      <c r="D359" s="181" t="str">
        <f aca="false">ExportRaw!$E359</f>
        <v/>
      </c>
      <c r="E359" s="182" t="str">
        <f aca="false">ExportRaw!$D359</f>
        <v/>
      </c>
      <c r="F359" s="181" t="str">
        <f aca="false">ExportRaw!$H359</f>
        <v/>
      </c>
      <c r="G359" s="183" t="str">
        <f aca="false">ExportRaw!$I359</f>
        <v/>
      </c>
      <c r="H359" s="181" t="str">
        <f aca="false">ExportRaw!$A359</f>
        <v/>
      </c>
      <c r="I359" s="181" t="str">
        <f aca="false">ExportRaw!$B359</f>
        <v/>
      </c>
    </row>
    <row r="360" customFormat="false" ht="15.75" hidden="false" customHeight="false" outlineLevel="0" collapsed="false">
      <c r="A360" s="181" t="n">
        <f aca="false">ExportRaw!$F360</f>
        <v>0</v>
      </c>
      <c r="B360" s="181" t="n">
        <f aca="false">ExportRaw!$C360</f>
        <v>0</v>
      </c>
      <c r="C360" s="181" t="n">
        <f aca="false">ExportRaw!$G360</f>
        <v>0</v>
      </c>
      <c r="D360" s="181" t="str">
        <f aca="false">ExportRaw!$E360</f>
        <v/>
      </c>
      <c r="E360" s="182" t="str">
        <f aca="false">ExportRaw!$D360</f>
        <v/>
      </c>
      <c r="F360" s="181" t="str">
        <f aca="false">ExportRaw!$H360</f>
        <v/>
      </c>
      <c r="G360" s="183" t="str">
        <f aca="false">ExportRaw!$I360</f>
        <v/>
      </c>
      <c r="H360" s="181" t="str">
        <f aca="false">ExportRaw!$A360</f>
        <v/>
      </c>
      <c r="I360" s="181" t="str">
        <f aca="false">ExportRaw!$B360</f>
        <v/>
      </c>
    </row>
    <row r="361" customFormat="false" ht="15.75" hidden="false" customHeight="false" outlineLevel="0" collapsed="false">
      <c r="A361" s="181" t="n">
        <f aca="false">ExportRaw!$F361</f>
        <v>0</v>
      </c>
      <c r="B361" s="181" t="n">
        <f aca="false">ExportRaw!$C361</f>
        <v>0</v>
      </c>
      <c r="C361" s="181" t="n">
        <f aca="false">ExportRaw!$G361</f>
        <v>0</v>
      </c>
      <c r="D361" s="181" t="str">
        <f aca="false">ExportRaw!$E361</f>
        <v/>
      </c>
      <c r="E361" s="182" t="str">
        <f aca="false">ExportRaw!$D361</f>
        <v/>
      </c>
      <c r="F361" s="181" t="str">
        <f aca="false">ExportRaw!$H361</f>
        <v/>
      </c>
      <c r="G361" s="183" t="str">
        <f aca="false">ExportRaw!$I361</f>
        <v/>
      </c>
      <c r="H361" s="181" t="str">
        <f aca="false">ExportRaw!$A361</f>
        <v/>
      </c>
      <c r="I361" s="181" t="str">
        <f aca="false">ExportRaw!$B361</f>
        <v/>
      </c>
    </row>
    <row r="362" customFormat="false" ht="15.75" hidden="false" customHeight="false" outlineLevel="0" collapsed="false">
      <c r="A362" s="181" t="n">
        <f aca="false">ExportRaw!$F362</f>
        <v>0</v>
      </c>
      <c r="B362" s="181" t="n">
        <f aca="false">ExportRaw!$C362</f>
        <v>0</v>
      </c>
      <c r="C362" s="181" t="n">
        <f aca="false">ExportRaw!$G362</f>
        <v>0</v>
      </c>
      <c r="D362" s="181" t="str">
        <f aca="false">ExportRaw!$E362</f>
        <v/>
      </c>
      <c r="E362" s="182" t="str">
        <f aca="false">ExportRaw!$D362</f>
        <v/>
      </c>
      <c r="F362" s="181" t="str">
        <f aca="false">ExportRaw!$H362</f>
        <v/>
      </c>
      <c r="G362" s="183" t="str">
        <f aca="false">ExportRaw!$I362</f>
        <v/>
      </c>
      <c r="H362" s="181" t="str">
        <f aca="false">ExportRaw!$A362</f>
        <v/>
      </c>
      <c r="I362" s="181" t="str">
        <f aca="false">ExportRaw!$B362</f>
        <v/>
      </c>
    </row>
    <row r="363" customFormat="false" ht="15.75" hidden="false" customHeight="false" outlineLevel="0" collapsed="false">
      <c r="A363" s="181" t="n">
        <f aca="false">ExportRaw!$F363</f>
        <v>0</v>
      </c>
      <c r="B363" s="181" t="n">
        <f aca="false">ExportRaw!$C363</f>
        <v>0</v>
      </c>
      <c r="C363" s="181" t="n">
        <f aca="false">ExportRaw!$G363</f>
        <v>0</v>
      </c>
      <c r="D363" s="181" t="str">
        <f aca="false">ExportRaw!$E363</f>
        <v/>
      </c>
      <c r="E363" s="182" t="str">
        <f aca="false">ExportRaw!$D363</f>
        <v/>
      </c>
      <c r="F363" s="181" t="str">
        <f aca="false">ExportRaw!$H363</f>
        <v/>
      </c>
      <c r="G363" s="183" t="str">
        <f aca="false">ExportRaw!$I363</f>
        <v/>
      </c>
      <c r="H363" s="181" t="str">
        <f aca="false">ExportRaw!$A363</f>
        <v/>
      </c>
      <c r="I363" s="181" t="str">
        <f aca="false">ExportRaw!$B363</f>
        <v/>
      </c>
    </row>
    <row r="364" customFormat="false" ht="15.75" hidden="false" customHeight="false" outlineLevel="0" collapsed="false">
      <c r="A364" s="181" t="n">
        <f aca="false">ExportRaw!$F364</f>
        <v>0</v>
      </c>
      <c r="B364" s="181" t="n">
        <f aca="false">ExportRaw!$C364</f>
        <v>0</v>
      </c>
      <c r="C364" s="181" t="n">
        <f aca="false">ExportRaw!$G364</f>
        <v>0</v>
      </c>
      <c r="D364" s="181" t="str">
        <f aca="false">ExportRaw!$E364</f>
        <v/>
      </c>
      <c r="E364" s="182" t="str">
        <f aca="false">ExportRaw!$D364</f>
        <v/>
      </c>
      <c r="F364" s="181" t="str">
        <f aca="false">ExportRaw!$H364</f>
        <v/>
      </c>
      <c r="G364" s="183" t="str">
        <f aca="false">ExportRaw!$I364</f>
        <v/>
      </c>
      <c r="H364" s="181" t="str">
        <f aca="false">ExportRaw!$A364</f>
        <v/>
      </c>
      <c r="I364" s="181" t="str">
        <f aca="false">ExportRaw!$B364</f>
        <v/>
      </c>
    </row>
    <row r="365" customFormat="false" ht="15.75" hidden="false" customHeight="false" outlineLevel="0" collapsed="false">
      <c r="A365" s="181" t="n">
        <f aca="false">ExportRaw!$F365</f>
        <v>0</v>
      </c>
      <c r="B365" s="181" t="n">
        <f aca="false">ExportRaw!$C365</f>
        <v>0</v>
      </c>
      <c r="C365" s="181" t="n">
        <f aca="false">ExportRaw!$G365</f>
        <v>0</v>
      </c>
      <c r="D365" s="181" t="str">
        <f aca="false">ExportRaw!$E365</f>
        <v/>
      </c>
      <c r="E365" s="182" t="str">
        <f aca="false">ExportRaw!$D365</f>
        <v/>
      </c>
      <c r="F365" s="181" t="str">
        <f aca="false">ExportRaw!$H365</f>
        <v/>
      </c>
      <c r="G365" s="183" t="str">
        <f aca="false">ExportRaw!$I365</f>
        <v/>
      </c>
      <c r="H365" s="181" t="str">
        <f aca="false">ExportRaw!$A365</f>
        <v/>
      </c>
      <c r="I365" s="181" t="str">
        <f aca="false">ExportRaw!$B365</f>
        <v/>
      </c>
    </row>
    <row r="366" customFormat="false" ht="15.75" hidden="false" customHeight="false" outlineLevel="0" collapsed="false">
      <c r="A366" s="181" t="n">
        <f aca="false">ExportRaw!$F366</f>
        <v>0</v>
      </c>
      <c r="B366" s="181" t="n">
        <f aca="false">ExportRaw!$C366</f>
        <v>0</v>
      </c>
      <c r="C366" s="181" t="n">
        <f aca="false">ExportRaw!$G366</f>
        <v>0</v>
      </c>
      <c r="D366" s="181" t="str">
        <f aca="false">ExportRaw!$E366</f>
        <v/>
      </c>
      <c r="E366" s="182" t="str">
        <f aca="false">ExportRaw!$D366</f>
        <v/>
      </c>
      <c r="F366" s="181" t="str">
        <f aca="false">ExportRaw!$H366</f>
        <v/>
      </c>
      <c r="G366" s="183" t="str">
        <f aca="false">ExportRaw!$I366</f>
        <v/>
      </c>
      <c r="H366" s="181" t="str">
        <f aca="false">ExportRaw!$A366</f>
        <v/>
      </c>
      <c r="I366" s="181" t="str">
        <f aca="false">ExportRaw!$B366</f>
        <v/>
      </c>
    </row>
    <row r="367" customFormat="false" ht="15.75" hidden="false" customHeight="false" outlineLevel="0" collapsed="false">
      <c r="A367" s="181" t="n">
        <f aca="false">ExportRaw!$F367</f>
        <v>0</v>
      </c>
      <c r="B367" s="181" t="n">
        <f aca="false">ExportRaw!$C367</f>
        <v>0</v>
      </c>
      <c r="C367" s="181" t="n">
        <f aca="false">ExportRaw!$G367</f>
        <v>0</v>
      </c>
      <c r="D367" s="181" t="str">
        <f aca="false">ExportRaw!$E367</f>
        <v/>
      </c>
      <c r="E367" s="182" t="str">
        <f aca="false">ExportRaw!$D367</f>
        <v/>
      </c>
      <c r="F367" s="181" t="str">
        <f aca="false">ExportRaw!$H367</f>
        <v/>
      </c>
      <c r="G367" s="183" t="str">
        <f aca="false">ExportRaw!$I367</f>
        <v/>
      </c>
      <c r="H367" s="181" t="str">
        <f aca="false">ExportRaw!$A367</f>
        <v/>
      </c>
      <c r="I367" s="181" t="str">
        <f aca="false">ExportRaw!$B367</f>
        <v/>
      </c>
    </row>
    <row r="368" customFormat="false" ht="15.75" hidden="false" customHeight="false" outlineLevel="0" collapsed="false">
      <c r="A368" s="181" t="n">
        <f aca="false">ExportRaw!$F368</f>
        <v>0</v>
      </c>
      <c r="B368" s="181" t="n">
        <f aca="false">ExportRaw!$C368</f>
        <v>0</v>
      </c>
      <c r="C368" s="181" t="n">
        <f aca="false">ExportRaw!$G368</f>
        <v>0</v>
      </c>
      <c r="D368" s="181" t="str">
        <f aca="false">ExportRaw!$E368</f>
        <v/>
      </c>
      <c r="E368" s="182" t="str">
        <f aca="false">ExportRaw!$D368</f>
        <v/>
      </c>
      <c r="F368" s="181" t="str">
        <f aca="false">ExportRaw!$H368</f>
        <v/>
      </c>
      <c r="G368" s="183" t="str">
        <f aca="false">ExportRaw!$I368</f>
        <v/>
      </c>
      <c r="H368" s="181" t="str">
        <f aca="false">ExportRaw!$A368</f>
        <v/>
      </c>
      <c r="I368" s="181" t="str">
        <f aca="false">ExportRaw!$B368</f>
        <v/>
      </c>
    </row>
    <row r="369" customFormat="false" ht="15.75" hidden="false" customHeight="false" outlineLevel="0" collapsed="false">
      <c r="A369" s="181" t="n">
        <f aca="false">ExportRaw!$F369</f>
        <v>0</v>
      </c>
      <c r="B369" s="181" t="n">
        <f aca="false">ExportRaw!$C369</f>
        <v>0</v>
      </c>
      <c r="C369" s="181" t="n">
        <f aca="false">ExportRaw!$G369</f>
        <v>0</v>
      </c>
      <c r="D369" s="181" t="str">
        <f aca="false">ExportRaw!$E369</f>
        <v/>
      </c>
      <c r="E369" s="182" t="str">
        <f aca="false">ExportRaw!$D369</f>
        <v/>
      </c>
      <c r="F369" s="181" t="str">
        <f aca="false">ExportRaw!$H369</f>
        <v/>
      </c>
      <c r="G369" s="183" t="str">
        <f aca="false">ExportRaw!$I369</f>
        <v/>
      </c>
      <c r="H369" s="181" t="str">
        <f aca="false">ExportRaw!$A369</f>
        <v/>
      </c>
      <c r="I369" s="181" t="str">
        <f aca="false">ExportRaw!$B369</f>
        <v/>
      </c>
    </row>
    <row r="370" customFormat="false" ht="15.75" hidden="false" customHeight="false" outlineLevel="0" collapsed="false">
      <c r="A370" s="181" t="n">
        <f aca="false">ExportRaw!$F370</f>
        <v>0</v>
      </c>
      <c r="B370" s="181" t="n">
        <f aca="false">ExportRaw!$C370</f>
        <v>0</v>
      </c>
      <c r="C370" s="181" t="n">
        <f aca="false">ExportRaw!$G370</f>
        <v>0</v>
      </c>
      <c r="D370" s="181" t="str">
        <f aca="false">ExportRaw!$E370</f>
        <v/>
      </c>
      <c r="E370" s="182" t="str">
        <f aca="false">ExportRaw!$D370</f>
        <v/>
      </c>
      <c r="F370" s="181" t="str">
        <f aca="false">ExportRaw!$H370</f>
        <v/>
      </c>
      <c r="G370" s="183" t="str">
        <f aca="false">ExportRaw!$I370</f>
        <v/>
      </c>
      <c r="H370" s="181" t="str">
        <f aca="false">ExportRaw!$A370</f>
        <v/>
      </c>
      <c r="I370" s="181" t="str">
        <f aca="false">ExportRaw!$B370</f>
        <v/>
      </c>
    </row>
    <row r="371" customFormat="false" ht="15.75" hidden="false" customHeight="false" outlineLevel="0" collapsed="false">
      <c r="A371" s="181" t="n">
        <f aca="false">ExportRaw!$F371</f>
        <v>0</v>
      </c>
      <c r="B371" s="181" t="n">
        <f aca="false">ExportRaw!$C371</f>
        <v>0</v>
      </c>
      <c r="C371" s="181" t="n">
        <f aca="false">ExportRaw!$G371</f>
        <v>0</v>
      </c>
      <c r="D371" s="181" t="str">
        <f aca="false">ExportRaw!$E371</f>
        <v/>
      </c>
      <c r="E371" s="182" t="str">
        <f aca="false">ExportRaw!$D371</f>
        <v/>
      </c>
      <c r="F371" s="181" t="str">
        <f aca="false">ExportRaw!$H371</f>
        <v/>
      </c>
      <c r="G371" s="183" t="str">
        <f aca="false">ExportRaw!$I371</f>
        <v/>
      </c>
      <c r="H371" s="181" t="str">
        <f aca="false">ExportRaw!$A371</f>
        <v/>
      </c>
      <c r="I371" s="181" t="str">
        <f aca="false">ExportRaw!$B371</f>
        <v/>
      </c>
    </row>
    <row r="372" customFormat="false" ht="15.75" hidden="false" customHeight="false" outlineLevel="0" collapsed="false">
      <c r="A372" s="181" t="n">
        <f aca="false">ExportRaw!$F372</f>
        <v>0</v>
      </c>
      <c r="B372" s="181" t="n">
        <f aca="false">ExportRaw!$C372</f>
        <v>0</v>
      </c>
      <c r="C372" s="181" t="n">
        <f aca="false">ExportRaw!$G372</f>
        <v>0</v>
      </c>
      <c r="D372" s="181" t="str">
        <f aca="false">ExportRaw!$E372</f>
        <v/>
      </c>
      <c r="E372" s="182" t="str">
        <f aca="false">ExportRaw!$D372</f>
        <v/>
      </c>
      <c r="F372" s="181" t="str">
        <f aca="false">ExportRaw!$H372</f>
        <v/>
      </c>
      <c r="G372" s="183" t="str">
        <f aca="false">ExportRaw!$I372</f>
        <v/>
      </c>
      <c r="H372" s="181" t="str">
        <f aca="false">ExportRaw!$A372</f>
        <v/>
      </c>
      <c r="I372" s="181" t="str">
        <f aca="false">ExportRaw!$B372</f>
        <v/>
      </c>
    </row>
    <row r="373" customFormat="false" ht="15.75" hidden="false" customHeight="false" outlineLevel="0" collapsed="false">
      <c r="A373" s="181" t="n">
        <f aca="false">ExportRaw!$F373</f>
        <v>0</v>
      </c>
      <c r="B373" s="181" t="n">
        <f aca="false">ExportRaw!$C373</f>
        <v>0</v>
      </c>
      <c r="C373" s="181" t="n">
        <f aca="false">ExportRaw!$G373</f>
        <v>0</v>
      </c>
      <c r="D373" s="181" t="str">
        <f aca="false">ExportRaw!$E373</f>
        <v/>
      </c>
      <c r="E373" s="182" t="str">
        <f aca="false">ExportRaw!$D373</f>
        <v/>
      </c>
      <c r="F373" s="181" t="str">
        <f aca="false">ExportRaw!$H373</f>
        <v/>
      </c>
      <c r="G373" s="183" t="str">
        <f aca="false">ExportRaw!$I373</f>
        <v/>
      </c>
      <c r="H373" s="181" t="str">
        <f aca="false">ExportRaw!$A373</f>
        <v/>
      </c>
      <c r="I373" s="181" t="str">
        <f aca="false">ExportRaw!$B373</f>
        <v/>
      </c>
    </row>
    <row r="374" customFormat="false" ht="15.75" hidden="false" customHeight="false" outlineLevel="0" collapsed="false">
      <c r="A374" s="181" t="n">
        <f aca="false">ExportRaw!$F374</f>
        <v>0</v>
      </c>
      <c r="B374" s="181" t="n">
        <f aca="false">ExportRaw!$C374</f>
        <v>0</v>
      </c>
      <c r="C374" s="181" t="n">
        <f aca="false">ExportRaw!$G374</f>
        <v>0</v>
      </c>
      <c r="D374" s="181" t="str">
        <f aca="false">ExportRaw!$E374</f>
        <v/>
      </c>
      <c r="E374" s="182" t="str">
        <f aca="false">ExportRaw!$D374</f>
        <v/>
      </c>
      <c r="F374" s="181" t="str">
        <f aca="false">ExportRaw!$H374</f>
        <v/>
      </c>
      <c r="G374" s="183" t="str">
        <f aca="false">ExportRaw!$I374</f>
        <v/>
      </c>
      <c r="H374" s="181" t="str">
        <f aca="false">ExportRaw!$A374</f>
        <v/>
      </c>
      <c r="I374" s="181" t="str">
        <f aca="false">ExportRaw!$B374</f>
        <v/>
      </c>
    </row>
    <row r="375" customFormat="false" ht="15.75" hidden="false" customHeight="false" outlineLevel="0" collapsed="false">
      <c r="A375" s="181" t="n">
        <f aca="false">ExportRaw!$F375</f>
        <v>0</v>
      </c>
      <c r="B375" s="181" t="n">
        <f aca="false">ExportRaw!$C375</f>
        <v>0</v>
      </c>
      <c r="C375" s="181" t="n">
        <f aca="false">ExportRaw!$G375</f>
        <v>0</v>
      </c>
      <c r="D375" s="181" t="str">
        <f aca="false">ExportRaw!$E375</f>
        <v/>
      </c>
      <c r="E375" s="182" t="str">
        <f aca="false">ExportRaw!$D375</f>
        <v/>
      </c>
      <c r="F375" s="181" t="str">
        <f aca="false">ExportRaw!$H375</f>
        <v/>
      </c>
      <c r="G375" s="183" t="str">
        <f aca="false">ExportRaw!$I375</f>
        <v/>
      </c>
      <c r="H375" s="181" t="str">
        <f aca="false">ExportRaw!$A375</f>
        <v/>
      </c>
      <c r="I375" s="181" t="str">
        <f aca="false">ExportRaw!$B375</f>
        <v/>
      </c>
    </row>
    <row r="376" customFormat="false" ht="15.75" hidden="false" customHeight="false" outlineLevel="0" collapsed="false">
      <c r="A376" s="181" t="n">
        <f aca="false">ExportRaw!$F376</f>
        <v>0</v>
      </c>
      <c r="B376" s="181" t="n">
        <f aca="false">ExportRaw!$C376</f>
        <v>0</v>
      </c>
      <c r="C376" s="181" t="n">
        <f aca="false">ExportRaw!$G376</f>
        <v>0</v>
      </c>
      <c r="D376" s="181" t="str">
        <f aca="false">ExportRaw!$E376</f>
        <v/>
      </c>
      <c r="E376" s="182" t="str">
        <f aca="false">ExportRaw!$D376</f>
        <v/>
      </c>
      <c r="F376" s="181" t="str">
        <f aca="false">ExportRaw!$H376</f>
        <v/>
      </c>
      <c r="G376" s="183" t="str">
        <f aca="false">ExportRaw!$I376</f>
        <v/>
      </c>
      <c r="H376" s="181" t="str">
        <f aca="false">ExportRaw!$A376</f>
        <v/>
      </c>
      <c r="I376" s="181" t="str">
        <f aca="false">ExportRaw!$B376</f>
        <v/>
      </c>
    </row>
    <row r="377" customFormat="false" ht="15.75" hidden="false" customHeight="false" outlineLevel="0" collapsed="false">
      <c r="A377" s="181" t="n">
        <f aca="false">ExportRaw!$F377</f>
        <v>0</v>
      </c>
      <c r="B377" s="181" t="n">
        <f aca="false">ExportRaw!$C377</f>
        <v>0</v>
      </c>
      <c r="C377" s="181" t="n">
        <f aca="false">ExportRaw!$G377</f>
        <v>0</v>
      </c>
      <c r="D377" s="181" t="str">
        <f aca="false">ExportRaw!$E377</f>
        <v/>
      </c>
      <c r="E377" s="182" t="str">
        <f aca="false">ExportRaw!$D377</f>
        <v/>
      </c>
      <c r="F377" s="181" t="str">
        <f aca="false">ExportRaw!$H377</f>
        <v/>
      </c>
      <c r="G377" s="183" t="str">
        <f aca="false">ExportRaw!$I377</f>
        <v/>
      </c>
      <c r="H377" s="181" t="str">
        <f aca="false">ExportRaw!$A377</f>
        <v/>
      </c>
      <c r="I377" s="181" t="str">
        <f aca="false">ExportRaw!$B377</f>
        <v/>
      </c>
    </row>
    <row r="378" customFormat="false" ht="15.75" hidden="false" customHeight="false" outlineLevel="0" collapsed="false">
      <c r="A378" s="181" t="n">
        <f aca="false">ExportRaw!$F378</f>
        <v>0</v>
      </c>
      <c r="B378" s="181" t="n">
        <f aca="false">ExportRaw!$C378</f>
        <v>0</v>
      </c>
      <c r="C378" s="181" t="n">
        <f aca="false">ExportRaw!$G378</f>
        <v>0</v>
      </c>
      <c r="D378" s="181" t="str">
        <f aca="false">ExportRaw!$E378</f>
        <v/>
      </c>
      <c r="E378" s="182" t="str">
        <f aca="false">ExportRaw!$D378</f>
        <v/>
      </c>
      <c r="F378" s="181" t="str">
        <f aca="false">ExportRaw!$H378</f>
        <v/>
      </c>
      <c r="G378" s="183" t="str">
        <f aca="false">ExportRaw!$I378</f>
        <v/>
      </c>
      <c r="H378" s="181" t="str">
        <f aca="false">ExportRaw!$A378</f>
        <v/>
      </c>
      <c r="I378" s="181" t="str">
        <f aca="false">ExportRaw!$B378</f>
        <v/>
      </c>
    </row>
    <row r="379" customFormat="false" ht="15.75" hidden="false" customHeight="false" outlineLevel="0" collapsed="false">
      <c r="A379" s="181" t="n">
        <f aca="false">ExportRaw!$F379</f>
        <v>0</v>
      </c>
      <c r="B379" s="181" t="n">
        <f aca="false">ExportRaw!$C379</f>
        <v>0</v>
      </c>
      <c r="C379" s="181" t="n">
        <f aca="false">ExportRaw!$G379</f>
        <v>0</v>
      </c>
      <c r="D379" s="181" t="str">
        <f aca="false">ExportRaw!$E379</f>
        <v/>
      </c>
      <c r="E379" s="182" t="str">
        <f aca="false">ExportRaw!$D379</f>
        <v/>
      </c>
      <c r="F379" s="181" t="str">
        <f aca="false">ExportRaw!$H379</f>
        <v/>
      </c>
      <c r="G379" s="183" t="str">
        <f aca="false">ExportRaw!$I379</f>
        <v/>
      </c>
      <c r="H379" s="181" t="str">
        <f aca="false">ExportRaw!$A379</f>
        <v/>
      </c>
      <c r="I379" s="181" t="str">
        <f aca="false">ExportRaw!$B379</f>
        <v/>
      </c>
    </row>
    <row r="380" customFormat="false" ht="15.75" hidden="false" customHeight="false" outlineLevel="0" collapsed="false">
      <c r="A380" s="181" t="n">
        <f aca="false">ExportRaw!$F380</f>
        <v>0</v>
      </c>
      <c r="B380" s="181" t="n">
        <f aca="false">ExportRaw!$C380</f>
        <v>0</v>
      </c>
      <c r="C380" s="181" t="n">
        <f aca="false">ExportRaw!$G380</f>
        <v>0</v>
      </c>
      <c r="D380" s="181" t="str">
        <f aca="false">ExportRaw!$E380</f>
        <v/>
      </c>
      <c r="E380" s="182" t="str">
        <f aca="false">ExportRaw!$D380</f>
        <v/>
      </c>
      <c r="F380" s="181" t="str">
        <f aca="false">ExportRaw!$H380</f>
        <v/>
      </c>
      <c r="G380" s="183" t="str">
        <f aca="false">ExportRaw!$I380</f>
        <v/>
      </c>
      <c r="H380" s="181" t="str">
        <f aca="false">ExportRaw!$A380</f>
        <v/>
      </c>
      <c r="I380" s="181" t="str">
        <f aca="false">ExportRaw!$B380</f>
        <v/>
      </c>
    </row>
    <row r="381" customFormat="false" ht="15.75" hidden="false" customHeight="false" outlineLevel="0" collapsed="false">
      <c r="A381" s="181" t="n">
        <f aca="false">ExportRaw!$F381</f>
        <v>0</v>
      </c>
      <c r="B381" s="181" t="n">
        <f aca="false">ExportRaw!$C381</f>
        <v>0</v>
      </c>
      <c r="C381" s="181" t="n">
        <f aca="false">ExportRaw!$G381</f>
        <v>0</v>
      </c>
      <c r="D381" s="181" t="str">
        <f aca="false">ExportRaw!$E381</f>
        <v/>
      </c>
      <c r="E381" s="182" t="str">
        <f aca="false">ExportRaw!$D381</f>
        <v/>
      </c>
      <c r="F381" s="181" t="str">
        <f aca="false">ExportRaw!$H381</f>
        <v/>
      </c>
      <c r="G381" s="183" t="str">
        <f aca="false">ExportRaw!$I381</f>
        <v/>
      </c>
      <c r="H381" s="181" t="str">
        <f aca="false">ExportRaw!$A381</f>
        <v/>
      </c>
      <c r="I381" s="181" t="str">
        <f aca="false">ExportRaw!$B381</f>
        <v/>
      </c>
    </row>
    <row r="382" customFormat="false" ht="15.75" hidden="false" customHeight="false" outlineLevel="0" collapsed="false">
      <c r="A382" s="181" t="n">
        <f aca="false">ExportRaw!$F382</f>
        <v>0</v>
      </c>
      <c r="B382" s="181" t="n">
        <f aca="false">ExportRaw!$C382</f>
        <v>0</v>
      </c>
      <c r="C382" s="181" t="n">
        <f aca="false">ExportRaw!$G382</f>
        <v>0</v>
      </c>
      <c r="D382" s="181" t="str">
        <f aca="false">ExportRaw!$E382</f>
        <v/>
      </c>
      <c r="E382" s="182" t="str">
        <f aca="false">ExportRaw!$D382</f>
        <v/>
      </c>
      <c r="F382" s="181" t="str">
        <f aca="false">ExportRaw!$H382</f>
        <v/>
      </c>
      <c r="G382" s="183" t="str">
        <f aca="false">ExportRaw!$I382</f>
        <v/>
      </c>
      <c r="H382" s="181" t="str">
        <f aca="false">ExportRaw!$A382</f>
        <v/>
      </c>
      <c r="I382" s="181" t="str">
        <f aca="false">ExportRaw!$B382</f>
        <v/>
      </c>
    </row>
    <row r="383" customFormat="false" ht="15.75" hidden="false" customHeight="false" outlineLevel="0" collapsed="false">
      <c r="A383" s="181" t="n">
        <f aca="false">ExportRaw!$F383</f>
        <v>0</v>
      </c>
      <c r="B383" s="181" t="n">
        <f aca="false">ExportRaw!$C383</f>
        <v>0</v>
      </c>
      <c r="C383" s="181" t="n">
        <f aca="false">ExportRaw!$G383</f>
        <v>0</v>
      </c>
      <c r="D383" s="181" t="str">
        <f aca="false">ExportRaw!$E383</f>
        <v/>
      </c>
      <c r="E383" s="182" t="str">
        <f aca="false">ExportRaw!$D383</f>
        <v/>
      </c>
      <c r="F383" s="181" t="str">
        <f aca="false">ExportRaw!$H383</f>
        <v/>
      </c>
      <c r="G383" s="183" t="str">
        <f aca="false">ExportRaw!$I383</f>
        <v/>
      </c>
      <c r="H383" s="181" t="str">
        <f aca="false">ExportRaw!$A383</f>
        <v/>
      </c>
      <c r="I383" s="181" t="str">
        <f aca="false">ExportRaw!$B383</f>
        <v/>
      </c>
    </row>
    <row r="384" customFormat="false" ht="15.75" hidden="false" customHeight="false" outlineLevel="0" collapsed="false">
      <c r="A384" s="181" t="n">
        <f aca="false">ExportRaw!$F384</f>
        <v>0</v>
      </c>
      <c r="B384" s="181" t="n">
        <f aca="false">ExportRaw!$C384</f>
        <v>0</v>
      </c>
      <c r="C384" s="181" t="n">
        <f aca="false">ExportRaw!$G384</f>
        <v>0</v>
      </c>
      <c r="D384" s="181" t="str">
        <f aca="false">ExportRaw!$E384</f>
        <v/>
      </c>
      <c r="E384" s="182" t="str">
        <f aca="false">ExportRaw!$D384</f>
        <v/>
      </c>
      <c r="F384" s="181" t="str">
        <f aca="false">ExportRaw!$H384</f>
        <v/>
      </c>
      <c r="G384" s="183" t="str">
        <f aca="false">ExportRaw!$I384</f>
        <v/>
      </c>
      <c r="H384" s="181" t="str">
        <f aca="false">ExportRaw!$A384</f>
        <v/>
      </c>
      <c r="I384" s="181" t="str">
        <f aca="false">ExportRaw!$B384</f>
        <v/>
      </c>
    </row>
    <row r="385" customFormat="false" ht="15.75" hidden="false" customHeight="false" outlineLevel="0" collapsed="false">
      <c r="A385" s="181" t="n">
        <f aca="false">ExportRaw!$F385</f>
        <v>0</v>
      </c>
      <c r="B385" s="181" t="n">
        <f aca="false">ExportRaw!$C385</f>
        <v>0</v>
      </c>
      <c r="C385" s="181" t="n">
        <f aca="false">ExportRaw!$G385</f>
        <v>0</v>
      </c>
      <c r="D385" s="181" t="str">
        <f aca="false">ExportRaw!$E385</f>
        <v/>
      </c>
      <c r="E385" s="182" t="str">
        <f aca="false">ExportRaw!$D385</f>
        <v/>
      </c>
      <c r="F385" s="181" t="str">
        <f aca="false">ExportRaw!$H385</f>
        <v/>
      </c>
      <c r="G385" s="183" t="str">
        <f aca="false">ExportRaw!$I385</f>
        <v/>
      </c>
      <c r="H385" s="181" t="str">
        <f aca="false">ExportRaw!$A385</f>
        <v/>
      </c>
      <c r="I385" s="181" t="str">
        <f aca="false">ExportRaw!$B385</f>
        <v/>
      </c>
    </row>
    <row r="386" customFormat="false" ht="15.75" hidden="false" customHeight="false" outlineLevel="0" collapsed="false">
      <c r="A386" s="181" t="n">
        <f aca="false">ExportRaw!$F386</f>
        <v>0</v>
      </c>
      <c r="B386" s="181" t="n">
        <f aca="false">ExportRaw!$C386</f>
        <v>0</v>
      </c>
      <c r="C386" s="181" t="n">
        <f aca="false">ExportRaw!$G386</f>
        <v>0</v>
      </c>
      <c r="D386" s="181" t="str">
        <f aca="false">ExportRaw!$E386</f>
        <v/>
      </c>
      <c r="E386" s="182" t="str">
        <f aca="false">ExportRaw!$D386</f>
        <v/>
      </c>
      <c r="F386" s="181" t="str">
        <f aca="false">ExportRaw!$H386</f>
        <v/>
      </c>
      <c r="G386" s="183" t="str">
        <f aca="false">ExportRaw!$I386</f>
        <v/>
      </c>
      <c r="H386" s="181" t="str">
        <f aca="false">ExportRaw!$A386</f>
        <v/>
      </c>
      <c r="I386" s="181" t="str">
        <f aca="false">ExportRaw!$B386</f>
        <v/>
      </c>
    </row>
    <row r="387" customFormat="false" ht="15.75" hidden="false" customHeight="false" outlineLevel="0" collapsed="false">
      <c r="A387" s="181" t="n">
        <f aca="false">ExportRaw!$F387</f>
        <v>0</v>
      </c>
      <c r="B387" s="181" t="n">
        <f aca="false">ExportRaw!$C387</f>
        <v>0</v>
      </c>
      <c r="C387" s="181" t="n">
        <f aca="false">ExportRaw!$G387</f>
        <v>0</v>
      </c>
      <c r="D387" s="181" t="str">
        <f aca="false">ExportRaw!$E387</f>
        <v/>
      </c>
      <c r="E387" s="182" t="str">
        <f aca="false">ExportRaw!$D387</f>
        <v/>
      </c>
      <c r="F387" s="181" t="str">
        <f aca="false">ExportRaw!$H387</f>
        <v/>
      </c>
      <c r="G387" s="183" t="str">
        <f aca="false">ExportRaw!$I387</f>
        <v/>
      </c>
      <c r="H387" s="181" t="str">
        <f aca="false">ExportRaw!$A387</f>
        <v/>
      </c>
      <c r="I387" s="181" t="str">
        <f aca="false">ExportRaw!$B387</f>
        <v/>
      </c>
    </row>
    <row r="388" customFormat="false" ht="15.75" hidden="false" customHeight="false" outlineLevel="0" collapsed="false">
      <c r="A388" s="181" t="n">
        <f aca="false">ExportRaw!$F388</f>
        <v>0</v>
      </c>
      <c r="B388" s="181" t="n">
        <f aca="false">ExportRaw!$C388</f>
        <v>0</v>
      </c>
      <c r="C388" s="181" t="n">
        <f aca="false">ExportRaw!$G388</f>
        <v>0</v>
      </c>
      <c r="D388" s="181" t="str">
        <f aca="false">ExportRaw!$E388</f>
        <v/>
      </c>
      <c r="E388" s="182" t="str">
        <f aca="false">ExportRaw!$D388</f>
        <v/>
      </c>
      <c r="F388" s="181" t="str">
        <f aca="false">ExportRaw!$H388</f>
        <v/>
      </c>
      <c r="G388" s="183" t="str">
        <f aca="false">ExportRaw!$I388</f>
        <v/>
      </c>
      <c r="H388" s="181" t="str">
        <f aca="false">ExportRaw!$A388</f>
        <v/>
      </c>
      <c r="I388" s="181" t="str">
        <f aca="false">ExportRaw!$B388</f>
        <v/>
      </c>
    </row>
    <row r="389" customFormat="false" ht="15.75" hidden="false" customHeight="false" outlineLevel="0" collapsed="false">
      <c r="A389" s="181" t="n">
        <f aca="false">ExportRaw!$F389</f>
        <v>0</v>
      </c>
      <c r="B389" s="181" t="n">
        <f aca="false">ExportRaw!$C389</f>
        <v>0</v>
      </c>
      <c r="C389" s="181" t="n">
        <f aca="false">ExportRaw!$G389</f>
        <v>0</v>
      </c>
      <c r="D389" s="181" t="str">
        <f aca="false">ExportRaw!$E389</f>
        <v/>
      </c>
      <c r="E389" s="182" t="str">
        <f aca="false">ExportRaw!$D389</f>
        <v/>
      </c>
      <c r="F389" s="181" t="str">
        <f aca="false">ExportRaw!$H389</f>
        <v/>
      </c>
      <c r="G389" s="183" t="str">
        <f aca="false">ExportRaw!$I389</f>
        <v/>
      </c>
      <c r="H389" s="181" t="str">
        <f aca="false">ExportRaw!$A389</f>
        <v/>
      </c>
      <c r="I389" s="181" t="str">
        <f aca="false">ExportRaw!$B389</f>
        <v/>
      </c>
    </row>
    <row r="390" customFormat="false" ht="15.75" hidden="false" customHeight="false" outlineLevel="0" collapsed="false">
      <c r="A390" s="181" t="n">
        <f aca="false">ExportRaw!$F390</f>
        <v>0</v>
      </c>
      <c r="B390" s="181" t="n">
        <f aca="false">ExportRaw!$C390</f>
        <v>0</v>
      </c>
      <c r="C390" s="181" t="n">
        <f aca="false">ExportRaw!$G390</f>
        <v>0</v>
      </c>
      <c r="D390" s="181" t="str">
        <f aca="false">ExportRaw!$E390</f>
        <v/>
      </c>
      <c r="E390" s="182" t="str">
        <f aca="false">ExportRaw!$D390</f>
        <v/>
      </c>
      <c r="F390" s="181" t="str">
        <f aca="false">ExportRaw!$H390</f>
        <v/>
      </c>
      <c r="G390" s="183" t="str">
        <f aca="false">ExportRaw!$I390</f>
        <v/>
      </c>
      <c r="H390" s="181" t="str">
        <f aca="false">ExportRaw!$A390</f>
        <v/>
      </c>
      <c r="I390" s="181" t="str">
        <f aca="false">ExportRaw!$B390</f>
        <v/>
      </c>
    </row>
    <row r="391" customFormat="false" ht="15.75" hidden="false" customHeight="false" outlineLevel="0" collapsed="false">
      <c r="A391" s="181" t="n">
        <f aca="false">ExportRaw!$F391</f>
        <v>0</v>
      </c>
      <c r="B391" s="181" t="n">
        <f aca="false">ExportRaw!$C391</f>
        <v>0</v>
      </c>
      <c r="C391" s="181" t="n">
        <f aca="false">ExportRaw!$G391</f>
        <v>0</v>
      </c>
      <c r="D391" s="181" t="str">
        <f aca="false">ExportRaw!$E391</f>
        <v/>
      </c>
      <c r="E391" s="182" t="str">
        <f aca="false">ExportRaw!$D391</f>
        <v/>
      </c>
      <c r="F391" s="181" t="str">
        <f aca="false">ExportRaw!$H391</f>
        <v/>
      </c>
      <c r="G391" s="183" t="str">
        <f aca="false">ExportRaw!$I391</f>
        <v/>
      </c>
      <c r="H391" s="181" t="str">
        <f aca="false">ExportRaw!$A391</f>
        <v/>
      </c>
      <c r="I391" s="181" t="str">
        <f aca="false">ExportRaw!$B391</f>
        <v/>
      </c>
    </row>
    <row r="392" customFormat="false" ht="15.75" hidden="false" customHeight="false" outlineLevel="0" collapsed="false">
      <c r="A392" s="181" t="n">
        <f aca="false">ExportRaw!$F392</f>
        <v>0</v>
      </c>
      <c r="B392" s="181" t="n">
        <f aca="false">ExportRaw!$C392</f>
        <v>0</v>
      </c>
      <c r="C392" s="181" t="n">
        <f aca="false">ExportRaw!$G392</f>
        <v>0</v>
      </c>
      <c r="D392" s="181" t="str">
        <f aca="false">ExportRaw!$E392</f>
        <v/>
      </c>
      <c r="E392" s="182" t="str">
        <f aca="false">ExportRaw!$D392</f>
        <v/>
      </c>
      <c r="F392" s="181" t="str">
        <f aca="false">ExportRaw!$H392</f>
        <v/>
      </c>
      <c r="G392" s="183" t="str">
        <f aca="false">ExportRaw!$I392</f>
        <v/>
      </c>
      <c r="H392" s="181" t="str">
        <f aca="false">ExportRaw!$A392</f>
        <v/>
      </c>
      <c r="I392" s="181" t="str">
        <f aca="false">ExportRaw!$B392</f>
        <v/>
      </c>
    </row>
    <row r="393" customFormat="false" ht="15.75" hidden="false" customHeight="false" outlineLevel="0" collapsed="false">
      <c r="A393" s="181" t="n">
        <f aca="false">ExportRaw!$F393</f>
        <v>0</v>
      </c>
      <c r="B393" s="181" t="n">
        <f aca="false">ExportRaw!$C393</f>
        <v>0</v>
      </c>
      <c r="C393" s="181" t="n">
        <f aca="false">ExportRaw!$G393</f>
        <v>0</v>
      </c>
      <c r="D393" s="181" t="str">
        <f aca="false">ExportRaw!$E393</f>
        <v/>
      </c>
      <c r="E393" s="182" t="str">
        <f aca="false">ExportRaw!$D393</f>
        <v/>
      </c>
      <c r="F393" s="181" t="str">
        <f aca="false">ExportRaw!$H393</f>
        <v/>
      </c>
      <c r="G393" s="183" t="str">
        <f aca="false">ExportRaw!$I393</f>
        <v/>
      </c>
      <c r="H393" s="181" t="str">
        <f aca="false">ExportRaw!$A393</f>
        <v/>
      </c>
      <c r="I393" s="181" t="str">
        <f aca="false">ExportRaw!$B393</f>
        <v/>
      </c>
    </row>
    <row r="394" customFormat="false" ht="15.75" hidden="false" customHeight="false" outlineLevel="0" collapsed="false">
      <c r="A394" s="181" t="n">
        <f aca="false">ExportRaw!$F394</f>
        <v>0</v>
      </c>
      <c r="B394" s="181" t="n">
        <f aca="false">ExportRaw!$C394</f>
        <v>0</v>
      </c>
      <c r="C394" s="181" t="n">
        <f aca="false">ExportRaw!$G394</f>
        <v>0</v>
      </c>
      <c r="D394" s="181" t="str">
        <f aca="false">ExportRaw!$E394</f>
        <v/>
      </c>
      <c r="E394" s="182" t="str">
        <f aca="false">ExportRaw!$D394</f>
        <v/>
      </c>
      <c r="F394" s="181" t="str">
        <f aca="false">ExportRaw!$H394</f>
        <v/>
      </c>
      <c r="G394" s="183" t="str">
        <f aca="false">ExportRaw!$I394</f>
        <v/>
      </c>
      <c r="H394" s="181" t="str">
        <f aca="false">ExportRaw!$A394</f>
        <v/>
      </c>
      <c r="I394" s="181" t="str">
        <f aca="false">ExportRaw!$B394</f>
        <v/>
      </c>
    </row>
    <row r="395" customFormat="false" ht="15.75" hidden="false" customHeight="false" outlineLevel="0" collapsed="false">
      <c r="A395" s="181" t="n">
        <f aca="false">ExportRaw!$F395</f>
        <v>0</v>
      </c>
      <c r="B395" s="181" t="n">
        <f aca="false">ExportRaw!$C395</f>
        <v>0</v>
      </c>
      <c r="C395" s="181" t="n">
        <f aca="false">ExportRaw!$G395</f>
        <v>0</v>
      </c>
      <c r="D395" s="181" t="str">
        <f aca="false">ExportRaw!$E395</f>
        <v/>
      </c>
      <c r="E395" s="182" t="str">
        <f aca="false">ExportRaw!$D395</f>
        <v/>
      </c>
      <c r="F395" s="181" t="str">
        <f aca="false">ExportRaw!$H395</f>
        <v/>
      </c>
      <c r="G395" s="183" t="str">
        <f aca="false">ExportRaw!$I395</f>
        <v/>
      </c>
      <c r="H395" s="181" t="str">
        <f aca="false">ExportRaw!$A395</f>
        <v/>
      </c>
      <c r="I395" s="181" t="str">
        <f aca="false">ExportRaw!$B395</f>
        <v/>
      </c>
    </row>
    <row r="396" customFormat="false" ht="15.75" hidden="false" customHeight="false" outlineLevel="0" collapsed="false">
      <c r="A396" s="181" t="n">
        <f aca="false">ExportRaw!$F396</f>
        <v>0</v>
      </c>
      <c r="B396" s="181" t="n">
        <f aca="false">ExportRaw!$C396</f>
        <v>0</v>
      </c>
      <c r="C396" s="181" t="n">
        <f aca="false">ExportRaw!$G396</f>
        <v>0</v>
      </c>
      <c r="D396" s="181" t="str">
        <f aca="false">ExportRaw!$E396</f>
        <v/>
      </c>
      <c r="E396" s="182" t="str">
        <f aca="false">ExportRaw!$D396</f>
        <v/>
      </c>
      <c r="F396" s="181" t="str">
        <f aca="false">ExportRaw!$H396</f>
        <v/>
      </c>
      <c r="G396" s="183" t="str">
        <f aca="false">ExportRaw!$I396</f>
        <v/>
      </c>
      <c r="H396" s="181" t="str">
        <f aca="false">ExportRaw!$A396</f>
        <v/>
      </c>
      <c r="I396" s="181" t="str">
        <f aca="false">ExportRaw!$B396</f>
        <v/>
      </c>
    </row>
    <row r="397" customFormat="false" ht="15.75" hidden="false" customHeight="false" outlineLevel="0" collapsed="false">
      <c r="A397" s="181" t="n">
        <f aca="false">ExportRaw!$F397</f>
        <v>0</v>
      </c>
      <c r="B397" s="181" t="n">
        <f aca="false">ExportRaw!$C397</f>
        <v>0</v>
      </c>
      <c r="C397" s="181" t="n">
        <f aca="false">ExportRaw!$G397</f>
        <v>0</v>
      </c>
      <c r="D397" s="181" t="str">
        <f aca="false">ExportRaw!$E397</f>
        <v/>
      </c>
      <c r="E397" s="182" t="str">
        <f aca="false">ExportRaw!$D397</f>
        <v/>
      </c>
      <c r="F397" s="181" t="str">
        <f aca="false">ExportRaw!$H397</f>
        <v/>
      </c>
      <c r="G397" s="183" t="str">
        <f aca="false">ExportRaw!$I397</f>
        <v/>
      </c>
      <c r="H397" s="181" t="str">
        <f aca="false">ExportRaw!$A397</f>
        <v/>
      </c>
      <c r="I397" s="181" t="str">
        <f aca="false">ExportRaw!$B397</f>
        <v/>
      </c>
    </row>
    <row r="398" customFormat="false" ht="15.75" hidden="false" customHeight="false" outlineLevel="0" collapsed="false">
      <c r="A398" s="181" t="n">
        <f aca="false">ExportRaw!$F398</f>
        <v>0</v>
      </c>
      <c r="B398" s="181" t="n">
        <f aca="false">ExportRaw!$C398</f>
        <v>0</v>
      </c>
      <c r="C398" s="181" t="n">
        <f aca="false">ExportRaw!$G398</f>
        <v>0</v>
      </c>
      <c r="D398" s="181" t="str">
        <f aca="false">ExportRaw!$E398</f>
        <v/>
      </c>
      <c r="E398" s="182" t="str">
        <f aca="false">ExportRaw!$D398</f>
        <v/>
      </c>
      <c r="F398" s="181" t="str">
        <f aca="false">ExportRaw!$H398</f>
        <v/>
      </c>
      <c r="G398" s="183" t="str">
        <f aca="false">ExportRaw!$I398</f>
        <v/>
      </c>
      <c r="H398" s="181" t="str">
        <f aca="false">ExportRaw!$A398</f>
        <v/>
      </c>
      <c r="I398" s="181" t="str">
        <f aca="false">ExportRaw!$B398</f>
        <v/>
      </c>
    </row>
    <row r="399" customFormat="false" ht="15.75" hidden="false" customHeight="false" outlineLevel="0" collapsed="false">
      <c r="A399" s="181" t="n">
        <f aca="false">ExportRaw!$F399</f>
        <v>0</v>
      </c>
      <c r="B399" s="181" t="n">
        <f aca="false">ExportRaw!$C399</f>
        <v>0</v>
      </c>
      <c r="C399" s="181" t="n">
        <f aca="false">ExportRaw!$G399</f>
        <v>0</v>
      </c>
      <c r="D399" s="181" t="str">
        <f aca="false">ExportRaw!$E399</f>
        <v/>
      </c>
      <c r="E399" s="182" t="str">
        <f aca="false">ExportRaw!$D399</f>
        <v/>
      </c>
      <c r="F399" s="181" t="str">
        <f aca="false">ExportRaw!$H399</f>
        <v/>
      </c>
      <c r="G399" s="183" t="str">
        <f aca="false">ExportRaw!$I399</f>
        <v/>
      </c>
      <c r="H399" s="181" t="str">
        <f aca="false">ExportRaw!$A399</f>
        <v/>
      </c>
      <c r="I399" s="181" t="str">
        <f aca="false">ExportRaw!$B399</f>
        <v/>
      </c>
    </row>
    <row r="400" customFormat="false" ht="15.75" hidden="false" customHeight="false" outlineLevel="0" collapsed="false">
      <c r="A400" s="181" t="n">
        <f aca="false">ExportRaw!$F400</f>
        <v>0</v>
      </c>
      <c r="B400" s="181" t="n">
        <f aca="false">ExportRaw!$C400</f>
        <v>0</v>
      </c>
      <c r="C400" s="181" t="n">
        <f aca="false">ExportRaw!$G400</f>
        <v>0</v>
      </c>
      <c r="D400" s="181" t="str">
        <f aca="false">ExportRaw!$E400</f>
        <v/>
      </c>
      <c r="E400" s="182" t="str">
        <f aca="false">ExportRaw!$D400</f>
        <v/>
      </c>
      <c r="F400" s="181" t="str">
        <f aca="false">ExportRaw!$H400</f>
        <v/>
      </c>
      <c r="G400" s="183" t="str">
        <f aca="false">ExportRaw!$I400</f>
        <v/>
      </c>
      <c r="H400" s="181" t="str">
        <f aca="false">ExportRaw!$A400</f>
        <v/>
      </c>
      <c r="I400" s="181" t="str">
        <f aca="false">ExportRaw!$B400</f>
        <v/>
      </c>
    </row>
    <row r="401" customFormat="false" ht="15.75" hidden="false" customHeight="false" outlineLevel="0" collapsed="false">
      <c r="A401" s="181" t="n">
        <f aca="false">ExportRaw!$F401</f>
        <v>0</v>
      </c>
      <c r="B401" s="181" t="n">
        <f aca="false">ExportRaw!$C401</f>
        <v>0</v>
      </c>
      <c r="C401" s="181" t="n">
        <f aca="false">ExportRaw!$G401</f>
        <v>0</v>
      </c>
      <c r="D401" s="181" t="str">
        <f aca="false">ExportRaw!$E401</f>
        <v/>
      </c>
      <c r="E401" s="182" t="str">
        <f aca="false">ExportRaw!$D401</f>
        <v/>
      </c>
      <c r="F401" s="181" t="str">
        <f aca="false">ExportRaw!$H401</f>
        <v/>
      </c>
      <c r="G401" s="183" t="str">
        <f aca="false">ExportRaw!$I401</f>
        <v/>
      </c>
      <c r="H401" s="181" t="str">
        <f aca="false">ExportRaw!$A401</f>
        <v/>
      </c>
      <c r="I401" s="181" t="str">
        <f aca="false">ExportRaw!$B401</f>
        <v/>
      </c>
    </row>
    <row r="402" customFormat="false" ht="15.75" hidden="false" customHeight="false" outlineLevel="0" collapsed="false">
      <c r="A402" s="181" t="n">
        <f aca="false">ExportRaw!$F402</f>
        <v>0</v>
      </c>
      <c r="B402" s="181" t="n">
        <f aca="false">ExportRaw!$C402</f>
        <v>0</v>
      </c>
      <c r="C402" s="181" t="n">
        <f aca="false">ExportRaw!$G402</f>
        <v>0</v>
      </c>
      <c r="D402" s="181" t="str">
        <f aca="false">ExportRaw!$E402</f>
        <v/>
      </c>
      <c r="E402" s="182" t="str">
        <f aca="false">ExportRaw!$D402</f>
        <v/>
      </c>
      <c r="F402" s="181" t="str">
        <f aca="false">ExportRaw!$H402</f>
        <v/>
      </c>
      <c r="G402" s="183" t="str">
        <f aca="false">ExportRaw!$I402</f>
        <v/>
      </c>
      <c r="H402" s="181" t="str">
        <f aca="false">ExportRaw!$A402</f>
        <v/>
      </c>
      <c r="I402" s="181" t="str">
        <f aca="false">ExportRaw!$B402</f>
        <v/>
      </c>
    </row>
    <row r="403" customFormat="false" ht="15.75" hidden="false" customHeight="false" outlineLevel="0" collapsed="false">
      <c r="A403" s="181" t="n">
        <f aca="false">ExportRaw!$F403</f>
        <v>0</v>
      </c>
      <c r="B403" s="181" t="n">
        <f aca="false">ExportRaw!$C403</f>
        <v>0</v>
      </c>
      <c r="C403" s="181" t="n">
        <f aca="false">ExportRaw!$G403</f>
        <v>0</v>
      </c>
      <c r="D403" s="181" t="str">
        <f aca="false">ExportRaw!$E403</f>
        <v/>
      </c>
      <c r="E403" s="182" t="str">
        <f aca="false">ExportRaw!$D403</f>
        <v/>
      </c>
      <c r="F403" s="181" t="str">
        <f aca="false">ExportRaw!$H403</f>
        <v/>
      </c>
      <c r="G403" s="183" t="str">
        <f aca="false">ExportRaw!$I403</f>
        <v/>
      </c>
      <c r="H403" s="181" t="str">
        <f aca="false">ExportRaw!$A403</f>
        <v/>
      </c>
      <c r="I403" s="181" t="str">
        <f aca="false">ExportRaw!$B403</f>
        <v/>
      </c>
    </row>
    <row r="404" customFormat="false" ht="15.75" hidden="false" customHeight="false" outlineLevel="0" collapsed="false">
      <c r="A404" s="181" t="n">
        <f aca="false">ExportRaw!$F404</f>
        <v>0</v>
      </c>
      <c r="B404" s="181" t="n">
        <f aca="false">ExportRaw!$C404</f>
        <v>0</v>
      </c>
      <c r="C404" s="181" t="n">
        <f aca="false">ExportRaw!$G404</f>
        <v>0</v>
      </c>
      <c r="D404" s="181" t="str">
        <f aca="false">ExportRaw!$E404</f>
        <v/>
      </c>
      <c r="E404" s="182" t="str">
        <f aca="false">ExportRaw!$D404</f>
        <v/>
      </c>
      <c r="F404" s="181" t="str">
        <f aca="false">ExportRaw!$H404</f>
        <v/>
      </c>
      <c r="G404" s="183" t="str">
        <f aca="false">ExportRaw!$I404</f>
        <v/>
      </c>
      <c r="H404" s="181" t="str">
        <f aca="false">ExportRaw!$A404</f>
        <v/>
      </c>
      <c r="I404" s="181" t="str">
        <f aca="false">ExportRaw!$B404</f>
        <v/>
      </c>
    </row>
    <row r="405" customFormat="false" ht="15.75" hidden="false" customHeight="false" outlineLevel="0" collapsed="false">
      <c r="A405" s="181" t="n">
        <f aca="false">ExportRaw!$F405</f>
        <v>0</v>
      </c>
      <c r="B405" s="181" t="n">
        <f aca="false">ExportRaw!$C405</f>
        <v>0</v>
      </c>
      <c r="C405" s="181" t="n">
        <f aca="false">ExportRaw!$G405</f>
        <v>0</v>
      </c>
      <c r="D405" s="181" t="str">
        <f aca="false">ExportRaw!$E405</f>
        <v/>
      </c>
      <c r="E405" s="182" t="str">
        <f aca="false">ExportRaw!$D405</f>
        <v/>
      </c>
      <c r="F405" s="181" t="str">
        <f aca="false">ExportRaw!$H405</f>
        <v/>
      </c>
      <c r="G405" s="183" t="str">
        <f aca="false">ExportRaw!$I405</f>
        <v/>
      </c>
      <c r="H405" s="181" t="str">
        <f aca="false">ExportRaw!$A405</f>
        <v/>
      </c>
      <c r="I405" s="181" t="str">
        <f aca="false">ExportRaw!$B405</f>
        <v/>
      </c>
    </row>
    <row r="406" customFormat="false" ht="15.75" hidden="false" customHeight="false" outlineLevel="0" collapsed="false">
      <c r="A406" s="181" t="n">
        <f aca="false">ExportRaw!$F406</f>
        <v>0</v>
      </c>
      <c r="B406" s="181" t="n">
        <f aca="false">ExportRaw!$C406</f>
        <v>0</v>
      </c>
      <c r="C406" s="181" t="n">
        <f aca="false">ExportRaw!$G406</f>
        <v>0</v>
      </c>
      <c r="D406" s="181" t="str">
        <f aca="false">ExportRaw!$E406</f>
        <v/>
      </c>
      <c r="E406" s="182" t="str">
        <f aca="false">ExportRaw!$D406</f>
        <v/>
      </c>
      <c r="F406" s="181" t="str">
        <f aca="false">ExportRaw!$H406</f>
        <v/>
      </c>
      <c r="G406" s="183" t="str">
        <f aca="false">ExportRaw!$I406</f>
        <v/>
      </c>
      <c r="H406" s="181" t="str">
        <f aca="false">ExportRaw!$A406</f>
        <v/>
      </c>
      <c r="I406" s="181" t="str">
        <f aca="false">ExportRaw!$B406</f>
        <v/>
      </c>
    </row>
    <row r="407" customFormat="false" ht="15.75" hidden="false" customHeight="false" outlineLevel="0" collapsed="false">
      <c r="A407" s="181" t="n">
        <f aca="false">ExportRaw!$F407</f>
        <v>0</v>
      </c>
      <c r="B407" s="181" t="n">
        <f aca="false">ExportRaw!$C407</f>
        <v>0</v>
      </c>
      <c r="C407" s="181" t="n">
        <f aca="false">ExportRaw!$G407</f>
        <v>0</v>
      </c>
      <c r="D407" s="181" t="str">
        <f aca="false">ExportRaw!$E407</f>
        <v/>
      </c>
      <c r="E407" s="182" t="str">
        <f aca="false">ExportRaw!$D407</f>
        <v/>
      </c>
      <c r="F407" s="181" t="str">
        <f aca="false">ExportRaw!$H407</f>
        <v/>
      </c>
      <c r="G407" s="183" t="str">
        <f aca="false">ExportRaw!$I407</f>
        <v/>
      </c>
      <c r="H407" s="181" t="str">
        <f aca="false">ExportRaw!$A407</f>
        <v/>
      </c>
      <c r="I407" s="181" t="str">
        <f aca="false">ExportRaw!$B407</f>
        <v/>
      </c>
    </row>
    <row r="408" customFormat="false" ht="15.75" hidden="false" customHeight="false" outlineLevel="0" collapsed="false">
      <c r="A408" s="181" t="n">
        <f aca="false">ExportRaw!$F408</f>
        <v>0</v>
      </c>
      <c r="B408" s="181" t="n">
        <f aca="false">ExportRaw!$C408</f>
        <v>0</v>
      </c>
      <c r="C408" s="181" t="n">
        <f aca="false">ExportRaw!$G408</f>
        <v>0</v>
      </c>
      <c r="D408" s="181" t="str">
        <f aca="false">ExportRaw!$E408</f>
        <v/>
      </c>
      <c r="E408" s="182" t="str">
        <f aca="false">ExportRaw!$D408</f>
        <v/>
      </c>
      <c r="F408" s="181" t="str">
        <f aca="false">ExportRaw!$H408</f>
        <v/>
      </c>
      <c r="G408" s="183" t="str">
        <f aca="false">ExportRaw!$I408</f>
        <v/>
      </c>
      <c r="H408" s="181" t="str">
        <f aca="false">ExportRaw!$A408</f>
        <v/>
      </c>
      <c r="I408" s="181" t="str">
        <f aca="false">ExportRaw!$B408</f>
        <v/>
      </c>
    </row>
    <row r="409" customFormat="false" ht="15.75" hidden="false" customHeight="false" outlineLevel="0" collapsed="false">
      <c r="A409" s="181" t="n">
        <f aca="false">ExportRaw!$F409</f>
        <v>0</v>
      </c>
      <c r="B409" s="181" t="n">
        <f aca="false">ExportRaw!$C409</f>
        <v>0</v>
      </c>
      <c r="C409" s="181" t="n">
        <f aca="false">ExportRaw!$G409</f>
        <v>0</v>
      </c>
      <c r="D409" s="181" t="str">
        <f aca="false">ExportRaw!$E409</f>
        <v/>
      </c>
      <c r="E409" s="182" t="str">
        <f aca="false">ExportRaw!$D409</f>
        <v/>
      </c>
      <c r="F409" s="181" t="str">
        <f aca="false">ExportRaw!$H409</f>
        <v/>
      </c>
      <c r="G409" s="183" t="str">
        <f aca="false">ExportRaw!$I409</f>
        <v/>
      </c>
      <c r="H409" s="181" t="str">
        <f aca="false">ExportRaw!$A409</f>
        <v/>
      </c>
      <c r="I409" s="181" t="str">
        <f aca="false">ExportRaw!$B409</f>
        <v/>
      </c>
    </row>
    <row r="410" customFormat="false" ht="15.75" hidden="false" customHeight="false" outlineLevel="0" collapsed="false">
      <c r="A410" s="181" t="n">
        <f aca="false">ExportRaw!$F410</f>
        <v>0</v>
      </c>
      <c r="B410" s="181" t="n">
        <f aca="false">ExportRaw!$C410</f>
        <v>0</v>
      </c>
      <c r="C410" s="181" t="n">
        <f aca="false">ExportRaw!$G410</f>
        <v>0</v>
      </c>
      <c r="D410" s="181" t="str">
        <f aca="false">ExportRaw!$E410</f>
        <v/>
      </c>
      <c r="E410" s="182" t="str">
        <f aca="false">ExportRaw!$D410</f>
        <v/>
      </c>
      <c r="F410" s="181" t="str">
        <f aca="false">ExportRaw!$H410</f>
        <v/>
      </c>
      <c r="G410" s="183" t="str">
        <f aca="false">ExportRaw!$I410</f>
        <v/>
      </c>
      <c r="H410" s="181" t="str">
        <f aca="false">ExportRaw!$A410</f>
        <v/>
      </c>
      <c r="I410" s="181" t="str">
        <f aca="false">ExportRaw!$B410</f>
        <v/>
      </c>
    </row>
    <row r="411" customFormat="false" ht="15.75" hidden="false" customHeight="false" outlineLevel="0" collapsed="false">
      <c r="A411" s="181" t="n">
        <f aca="false">ExportRaw!$F411</f>
        <v>0</v>
      </c>
      <c r="B411" s="181" t="n">
        <f aca="false">ExportRaw!$C411</f>
        <v>0</v>
      </c>
      <c r="C411" s="181" t="n">
        <f aca="false">ExportRaw!$G411</f>
        <v>0</v>
      </c>
      <c r="D411" s="181" t="str">
        <f aca="false">ExportRaw!$E411</f>
        <v/>
      </c>
      <c r="E411" s="182" t="str">
        <f aca="false">ExportRaw!$D411</f>
        <v/>
      </c>
      <c r="F411" s="181" t="str">
        <f aca="false">ExportRaw!$H411</f>
        <v/>
      </c>
      <c r="G411" s="183" t="str">
        <f aca="false">ExportRaw!$I411</f>
        <v/>
      </c>
      <c r="H411" s="181" t="str">
        <f aca="false">ExportRaw!$A411</f>
        <v/>
      </c>
      <c r="I411" s="181" t="str">
        <f aca="false">ExportRaw!$B411</f>
        <v/>
      </c>
    </row>
    <row r="412" customFormat="false" ht="15.75" hidden="false" customHeight="false" outlineLevel="0" collapsed="false">
      <c r="A412" s="181" t="n">
        <f aca="false">ExportRaw!$F412</f>
        <v>0</v>
      </c>
      <c r="B412" s="181" t="n">
        <f aca="false">ExportRaw!$C412</f>
        <v>0</v>
      </c>
      <c r="C412" s="181" t="n">
        <f aca="false">ExportRaw!$G412</f>
        <v>0</v>
      </c>
      <c r="D412" s="181" t="str">
        <f aca="false">ExportRaw!$E412</f>
        <v/>
      </c>
      <c r="E412" s="182" t="str">
        <f aca="false">ExportRaw!$D412</f>
        <v/>
      </c>
      <c r="F412" s="181" t="str">
        <f aca="false">ExportRaw!$H412</f>
        <v/>
      </c>
      <c r="G412" s="183" t="str">
        <f aca="false">ExportRaw!$I412</f>
        <v/>
      </c>
      <c r="H412" s="181" t="str">
        <f aca="false">ExportRaw!$A412</f>
        <v/>
      </c>
      <c r="I412" s="181" t="str">
        <f aca="false">ExportRaw!$B412</f>
        <v/>
      </c>
    </row>
    <row r="413" customFormat="false" ht="15.75" hidden="false" customHeight="false" outlineLevel="0" collapsed="false">
      <c r="A413" s="181" t="n">
        <f aca="false">ExportRaw!$F413</f>
        <v>0</v>
      </c>
      <c r="B413" s="181" t="n">
        <f aca="false">ExportRaw!$C413</f>
        <v>0</v>
      </c>
      <c r="C413" s="181" t="n">
        <f aca="false">ExportRaw!$G413</f>
        <v>0</v>
      </c>
      <c r="D413" s="181" t="str">
        <f aca="false">ExportRaw!$E413</f>
        <v/>
      </c>
      <c r="E413" s="182" t="str">
        <f aca="false">ExportRaw!$D413</f>
        <v/>
      </c>
      <c r="F413" s="181" t="str">
        <f aca="false">ExportRaw!$H413</f>
        <v/>
      </c>
      <c r="G413" s="183" t="str">
        <f aca="false">ExportRaw!$I413</f>
        <v/>
      </c>
      <c r="H413" s="181" t="str">
        <f aca="false">ExportRaw!$A413</f>
        <v/>
      </c>
      <c r="I413" s="181" t="str">
        <f aca="false">ExportRaw!$B413</f>
        <v/>
      </c>
    </row>
    <row r="414" customFormat="false" ht="15.75" hidden="false" customHeight="false" outlineLevel="0" collapsed="false">
      <c r="A414" s="181" t="n">
        <f aca="false">ExportRaw!$F414</f>
        <v>0</v>
      </c>
      <c r="B414" s="181" t="n">
        <f aca="false">ExportRaw!$C414</f>
        <v>0</v>
      </c>
      <c r="C414" s="181" t="n">
        <f aca="false">ExportRaw!$G414</f>
        <v>0</v>
      </c>
      <c r="D414" s="181" t="str">
        <f aca="false">ExportRaw!$E414</f>
        <v/>
      </c>
      <c r="E414" s="182" t="str">
        <f aca="false">ExportRaw!$D414</f>
        <v/>
      </c>
      <c r="F414" s="181" t="str">
        <f aca="false">ExportRaw!$H414</f>
        <v/>
      </c>
      <c r="G414" s="183" t="str">
        <f aca="false">ExportRaw!$I414</f>
        <v/>
      </c>
      <c r="H414" s="181" t="str">
        <f aca="false">ExportRaw!$A414</f>
        <v/>
      </c>
      <c r="I414" s="181" t="str">
        <f aca="false">ExportRaw!$B414</f>
        <v/>
      </c>
    </row>
    <row r="415" customFormat="false" ht="15.75" hidden="false" customHeight="false" outlineLevel="0" collapsed="false">
      <c r="A415" s="181" t="n">
        <f aca="false">ExportRaw!$F415</f>
        <v>0</v>
      </c>
      <c r="B415" s="181" t="n">
        <f aca="false">ExportRaw!$C415</f>
        <v>0</v>
      </c>
      <c r="C415" s="181" t="n">
        <f aca="false">ExportRaw!$G415</f>
        <v>0</v>
      </c>
      <c r="D415" s="181" t="str">
        <f aca="false">ExportRaw!$E415</f>
        <v/>
      </c>
      <c r="E415" s="182" t="str">
        <f aca="false">ExportRaw!$D415</f>
        <v/>
      </c>
      <c r="F415" s="181" t="str">
        <f aca="false">ExportRaw!$H415</f>
        <v/>
      </c>
      <c r="G415" s="183" t="str">
        <f aca="false">ExportRaw!$I415</f>
        <v/>
      </c>
      <c r="H415" s="181" t="str">
        <f aca="false">ExportRaw!$A415</f>
        <v/>
      </c>
      <c r="I415" s="181" t="str">
        <f aca="false">ExportRaw!$B415</f>
        <v/>
      </c>
    </row>
    <row r="416" customFormat="false" ht="15.75" hidden="false" customHeight="false" outlineLevel="0" collapsed="false">
      <c r="A416" s="181" t="n">
        <f aca="false">ExportRaw!$F416</f>
        <v>0</v>
      </c>
      <c r="B416" s="181" t="n">
        <f aca="false">ExportRaw!$C416</f>
        <v>0</v>
      </c>
      <c r="C416" s="181" t="n">
        <f aca="false">ExportRaw!$G416</f>
        <v>0</v>
      </c>
      <c r="D416" s="181" t="str">
        <f aca="false">ExportRaw!$E416</f>
        <v/>
      </c>
      <c r="E416" s="182" t="str">
        <f aca="false">ExportRaw!$D416</f>
        <v/>
      </c>
      <c r="F416" s="181" t="str">
        <f aca="false">ExportRaw!$H416</f>
        <v/>
      </c>
      <c r="G416" s="183" t="str">
        <f aca="false">ExportRaw!$I416</f>
        <v/>
      </c>
      <c r="H416" s="181" t="str">
        <f aca="false">ExportRaw!$A416</f>
        <v/>
      </c>
      <c r="I416" s="181" t="str">
        <f aca="false">ExportRaw!$B416</f>
        <v/>
      </c>
    </row>
    <row r="417" customFormat="false" ht="15.75" hidden="false" customHeight="false" outlineLevel="0" collapsed="false">
      <c r="A417" s="181" t="n">
        <f aca="false">ExportRaw!$F417</f>
        <v>0</v>
      </c>
      <c r="B417" s="181" t="n">
        <f aca="false">ExportRaw!$C417</f>
        <v>0</v>
      </c>
      <c r="C417" s="181" t="n">
        <f aca="false">ExportRaw!$G417</f>
        <v>0</v>
      </c>
      <c r="D417" s="181" t="str">
        <f aca="false">ExportRaw!$E417</f>
        <v/>
      </c>
      <c r="E417" s="182" t="str">
        <f aca="false">ExportRaw!$D417</f>
        <v/>
      </c>
      <c r="F417" s="181" t="str">
        <f aca="false">ExportRaw!$H417</f>
        <v/>
      </c>
      <c r="G417" s="183" t="str">
        <f aca="false">ExportRaw!$I417</f>
        <v/>
      </c>
      <c r="H417" s="181" t="str">
        <f aca="false">ExportRaw!$A417</f>
        <v/>
      </c>
      <c r="I417" s="181" t="str">
        <f aca="false">ExportRaw!$B417</f>
        <v/>
      </c>
    </row>
    <row r="418" customFormat="false" ht="15.75" hidden="false" customHeight="false" outlineLevel="0" collapsed="false">
      <c r="A418" s="181" t="n">
        <f aca="false">ExportRaw!$F418</f>
        <v>0</v>
      </c>
      <c r="B418" s="181" t="n">
        <f aca="false">ExportRaw!$C418</f>
        <v>0</v>
      </c>
      <c r="C418" s="181" t="n">
        <f aca="false">ExportRaw!$G418</f>
        <v>0</v>
      </c>
      <c r="D418" s="181" t="str">
        <f aca="false">ExportRaw!$E418</f>
        <v/>
      </c>
      <c r="E418" s="182" t="str">
        <f aca="false">ExportRaw!$D418</f>
        <v/>
      </c>
      <c r="F418" s="181" t="str">
        <f aca="false">ExportRaw!$H418</f>
        <v/>
      </c>
      <c r="G418" s="183" t="str">
        <f aca="false">ExportRaw!$I418</f>
        <v/>
      </c>
      <c r="H418" s="181" t="str">
        <f aca="false">ExportRaw!$A418</f>
        <v/>
      </c>
      <c r="I418" s="181" t="str">
        <f aca="false">ExportRaw!$B418</f>
        <v/>
      </c>
    </row>
    <row r="419" customFormat="false" ht="15.75" hidden="false" customHeight="false" outlineLevel="0" collapsed="false">
      <c r="A419" s="181" t="n">
        <f aca="false">ExportRaw!$F419</f>
        <v>0</v>
      </c>
      <c r="B419" s="181" t="n">
        <f aca="false">ExportRaw!$C419</f>
        <v>0</v>
      </c>
      <c r="C419" s="181" t="n">
        <f aca="false">ExportRaw!$G419</f>
        <v>0</v>
      </c>
      <c r="D419" s="181" t="str">
        <f aca="false">ExportRaw!$E419</f>
        <v/>
      </c>
      <c r="E419" s="182" t="str">
        <f aca="false">ExportRaw!$D419</f>
        <v/>
      </c>
      <c r="F419" s="181" t="str">
        <f aca="false">ExportRaw!$H419</f>
        <v/>
      </c>
      <c r="G419" s="183" t="str">
        <f aca="false">ExportRaw!$I419</f>
        <v/>
      </c>
      <c r="H419" s="181" t="str">
        <f aca="false">ExportRaw!$A419</f>
        <v/>
      </c>
      <c r="I419" s="181" t="str">
        <f aca="false">ExportRaw!$B419</f>
        <v/>
      </c>
    </row>
    <row r="420" customFormat="false" ht="15.75" hidden="false" customHeight="false" outlineLevel="0" collapsed="false">
      <c r="A420" s="181" t="n">
        <f aca="false">ExportRaw!$F420</f>
        <v>0</v>
      </c>
      <c r="B420" s="181" t="n">
        <f aca="false">ExportRaw!$C420</f>
        <v>0</v>
      </c>
      <c r="C420" s="181" t="n">
        <f aca="false">ExportRaw!$G420</f>
        <v>0</v>
      </c>
      <c r="D420" s="181" t="str">
        <f aca="false">ExportRaw!$E420</f>
        <v/>
      </c>
      <c r="E420" s="182" t="str">
        <f aca="false">ExportRaw!$D420</f>
        <v/>
      </c>
      <c r="F420" s="181" t="str">
        <f aca="false">ExportRaw!$H420</f>
        <v/>
      </c>
      <c r="G420" s="183" t="str">
        <f aca="false">ExportRaw!$I420</f>
        <v/>
      </c>
      <c r="H420" s="181" t="str">
        <f aca="false">ExportRaw!$A420</f>
        <v/>
      </c>
      <c r="I420" s="181" t="str">
        <f aca="false">ExportRaw!$B420</f>
        <v/>
      </c>
    </row>
    <row r="421" customFormat="false" ht="15.75" hidden="false" customHeight="false" outlineLevel="0" collapsed="false">
      <c r="A421" s="181" t="n">
        <f aca="false">ExportRaw!$F421</f>
        <v>0</v>
      </c>
      <c r="B421" s="181" t="n">
        <f aca="false">ExportRaw!$C421</f>
        <v>0</v>
      </c>
      <c r="C421" s="181" t="n">
        <f aca="false">ExportRaw!$G421</f>
        <v>0</v>
      </c>
      <c r="D421" s="181" t="str">
        <f aca="false">ExportRaw!$E421</f>
        <v/>
      </c>
      <c r="E421" s="182" t="str">
        <f aca="false">ExportRaw!$D421</f>
        <v/>
      </c>
      <c r="F421" s="181" t="str">
        <f aca="false">ExportRaw!$H421</f>
        <v/>
      </c>
      <c r="G421" s="183" t="str">
        <f aca="false">ExportRaw!$I421</f>
        <v/>
      </c>
      <c r="H421" s="181" t="str">
        <f aca="false">ExportRaw!$A421</f>
        <v/>
      </c>
      <c r="I421" s="181" t="str">
        <f aca="false">ExportRaw!$B421</f>
        <v/>
      </c>
    </row>
    <row r="422" customFormat="false" ht="15.75" hidden="false" customHeight="false" outlineLevel="0" collapsed="false">
      <c r="A422" s="181" t="n">
        <f aca="false">ExportRaw!$F422</f>
        <v>0</v>
      </c>
      <c r="B422" s="181" t="n">
        <f aca="false">ExportRaw!$C422</f>
        <v>0</v>
      </c>
      <c r="C422" s="181" t="n">
        <f aca="false">ExportRaw!$G422</f>
        <v>0</v>
      </c>
      <c r="D422" s="181" t="str">
        <f aca="false">ExportRaw!$E422</f>
        <v/>
      </c>
      <c r="E422" s="182" t="str">
        <f aca="false">ExportRaw!$D422</f>
        <v/>
      </c>
      <c r="F422" s="181" t="str">
        <f aca="false">ExportRaw!$H422</f>
        <v/>
      </c>
      <c r="G422" s="183" t="str">
        <f aca="false">ExportRaw!$I422</f>
        <v/>
      </c>
      <c r="H422" s="181" t="str">
        <f aca="false">ExportRaw!$A422</f>
        <v/>
      </c>
      <c r="I422" s="181" t="str">
        <f aca="false">ExportRaw!$B422</f>
        <v/>
      </c>
    </row>
    <row r="423" customFormat="false" ht="15.75" hidden="false" customHeight="false" outlineLevel="0" collapsed="false">
      <c r="A423" s="181" t="n">
        <f aca="false">ExportRaw!$F423</f>
        <v>0</v>
      </c>
      <c r="B423" s="181" t="n">
        <f aca="false">ExportRaw!$C423</f>
        <v>0</v>
      </c>
      <c r="C423" s="181" t="n">
        <f aca="false">ExportRaw!$G423</f>
        <v>0</v>
      </c>
      <c r="D423" s="181" t="str">
        <f aca="false">ExportRaw!$E423</f>
        <v/>
      </c>
      <c r="E423" s="182" t="str">
        <f aca="false">ExportRaw!$D423</f>
        <v/>
      </c>
      <c r="F423" s="181" t="str">
        <f aca="false">ExportRaw!$H423</f>
        <v/>
      </c>
      <c r="G423" s="183" t="str">
        <f aca="false">ExportRaw!$I423</f>
        <v/>
      </c>
      <c r="H423" s="181" t="str">
        <f aca="false">ExportRaw!$A423</f>
        <v/>
      </c>
      <c r="I423" s="181" t="str">
        <f aca="false">ExportRaw!$B423</f>
        <v/>
      </c>
    </row>
    <row r="424" customFormat="false" ht="15.75" hidden="false" customHeight="false" outlineLevel="0" collapsed="false">
      <c r="A424" s="181" t="n">
        <f aca="false">ExportRaw!$F424</f>
        <v>0</v>
      </c>
      <c r="B424" s="181" t="n">
        <f aca="false">ExportRaw!$C424</f>
        <v>0</v>
      </c>
      <c r="C424" s="181" t="n">
        <f aca="false">ExportRaw!$G424</f>
        <v>0</v>
      </c>
      <c r="D424" s="181" t="str">
        <f aca="false">ExportRaw!$E424</f>
        <v/>
      </c>
      <c r="E424" s="182" t="str">
        <f aca="false">ExportRaw!$D424</f>
        <v/>
      </c>
      <c r="F424" s="181" t="str">
        <f aca="false">ExportRaw!$H424</f>
        <v/>
      </c>
      <c r="G424" s="183" t="str">
        <f aca="false">ExportRaw!$I424</f>
        <v/>
      </c>
      <c r="H424" s="181" t="str">
        <f aca="false">ExportRaw!$A424</f>
        <v/>
      </c>
      <c r="I424" s="181" t="str">
        <f aca="false">ExportRaw!$B424</f>
        <v/>
      </c>
    </row>
    <row r="425" customFormat="false" ht="15.75" hidden="false" customHeight="false" outlineLevel="0" collapsed="false">
      <c r="A425" s="181" t="n">
        <f aca="false">ExportRaw!$F425</f>
        <v>0</v>
      </c>
      <c r="B425" s="181" t="n">
        <f aca="false">ExportRaw!$C425</f>
        <v>0</v>
      </c>
      <c r="C425" s="181" t="n">
        <f aca="false">ExportRaw!$G425</f>
        <v>0</v>
      </c>
      <c r="D425" s="181" t="str">
        <f aca="false">ExportRaw!$E425</f>
        <v/>
      </c>
      <c r="E425" s="182" t="str">
        <f aca="false">ExportRaw!$D425</f>
        <v/>
      </c>
      <c r="F425" s="181" t="str">
        <f aca="false">ExportRaw!$H425</f>
        <v/>
      </c>
      <c r="G425" s="183" t="str">
        <f aca="false">ExportRaw!$I425</f>
        <v/>
      </c>
      <c r="H425" s="181" t="str">
        <f aca="false">ExportRaw!$A425</f>
        <v/>
      </c>
      <c r="I425" s="181" t="str">
        <f aca="false">ExportRaw!$B425</f>
        <v/>
      </c>
    </row>
    <row r="426" customFormat="false" ht="15.75" hidden="false" customHeight="false" outlineLevel="0" collapsed="false">
      <c r="A426" s="181" t="n">
        <f aca="false">ExportRaw!$F426</f>
        <v>0</v>
      </c>
      <c r="B426" s="181" t="n">
        <f aca="false">ExportRaw!$C426</f>
        <v>0</v>
      </c>
      <c r="C426" s="181" t="n">
        <f aca="false">ExportRaw!$G426</f>
        <v>0</v>
      </c>
      <c r="D426" s="181" t="str">
        <f aca="false">ExportRaw!$E426</f>
        <v/>
      </c>
      <c r="E426" s="182" t="str">
        <f aca="false">ExportRaw!$D426</f>
        <v/>
      </c>
      <c r="F426" s="181" t="str">
        <f aca="false">ExportRaw!$H426</f>
        <v/>
      </c>
      <c r="G426" s="183" t="str">
        <f aca="false">ExportRaw!$I426</f>
        <v/>
      </c>
      <c r="H426" s="181" t="str">
        <f aca="false">ExportRaw!$A426</f>
        <v/>
      </c>
      <c r="I426" s="181" t="str">
        <f aca="false">ExportRaw!$B426</f>
        <v/>
      </c>
    </row>
    <row r="427" customFormat="false" ht="15.75" hidden="false" customHeight="false" outlineLevel="0" collapsed="false">
      <c r="A427" s="181" t="n">
        <f aca="false">ExportRaw!$F427</f>
        <v>0</v>
      </c>
      <c r="B427" s="181" t="n">
        <f aca="false">ExportRaw!$C427</f>
        <v>0</v>
      </c>
      <c r="C427" s="181" t="n">
        <f aca="false">ExportRaw!$G427</f>
        <v>0</v>
      </c>
      <c r="D427" s="181" t="str">
        <f aca="false">ExportRaw!$E427</f>
        <v/>
      </c>
      <c r="E427" s="182" t="str">
        <f aca="false">ExportRaw!$D427</f>
        <v/>
      </c>
      <c r="F427" s="181" t="str">
        <f aca="false">ExportRaw!$H427</f>
        <v/>
      </c>
      <c r="G427" s="183" t="str">
        <f aca="false">ExportRaw!$I427</f>
        <v/>
      </c>
      <c r="H427" s="181" t="str">
        <f aca="false">ExportRaw!$A427</f>
        <v/>
      </c>
      <c r="I427" s="181" t="str">
        <f aca="false">ExportRaw!$B427</f>
        <v/>
      </c>
    </row>
    <row r="428" customFormat="false" ht="15.75" hidden="false" customHeight="false" outlineLevel="0" collapsed="false">
      <c r="A428" s="181" t="n">
        <f aca="false">ExportRaw!$F428</f>
        <v>0</v>
      </c>
      <c r="B428" s="181" t="n">
        <f aca="false">ExportRaw!$C428</f>
        <v>0</v>
      </c>
      <c r="C428" s="181" t="n">
        <f aca="false">ExportRaw!$G428</f>
        <v>0</v>
      </c>
      <c r="D428" s="181" t="str">
        <f aca="false">ExportRaw!$E428</f>
        <v/>
      </c>
      <c r="E428" s="182" t="str">
        <f aca="false">ExportRaw!$D428</f>
        <v/>
      </c>
      <c r="F428" s="181" t="str">
        <f aca="false">ExportRaw!$H428</f>
        <v/>
      </c>
      <c r="G428" s="183" t="str">
        <f aca="false">ExportRaw!$I428</f>
        <v/>
      </c>
      <c r="H428" s="181" t="str">
        <f aca="false">ExportRaw!$A428</f>
        <v/>
      </c>
      <c r="I428" s="181" t="str">
        <f aca="false">ExportRaw!$B428</f>
        <v/>
      </c>
    </row>
    <row r="429" customFormat="false" ht="15.75" hidden="false" customHeight="false" outlineLevel="0" collapsed="false">
      <c r="A429" s="181" t="n">
        <f aca="false">ExportRaw!$F429</f>
        <v>0</v>
      </c>
      <c r="B429" s="181" t="n">
        <f aca="false">ExportRaw!$C429</f>
        <v>0</v>
      </c>
      <c r="C429" s="181" t="n">
        <f aca="false">ExportRaw!$G429</f>
        <v>0</v>
      </c>
      <c r="D429" s="181" t="str">
        <f aca="false">ExportRaw!$E429</f>
        <v/>
      </c>
      <c r="E429" s="182" t="str">
        <f aca="false">ExportRaw!$D429</f>
        <v/>
      </c>
      <c r="F429" s="181" t="str">
        <f aca="false">ExportRaw!$H429</f>
        <v/>
      </c>
      <c r="G429" s="183" t="str">
        <f aca="false">ExportRaw!$I429</f>
        <v/>
      </c>
      <c r="H429" s="181" t="str">
        <f aca="false">ExportRaw!$A429</f>
        <v/>
      </c>
      <c r="I429" s="181" t="str">
        <f aca="false">ExportRaw!$B429</f>
        <v/>
      </c>
    </row>
    <row r="430" customFormat="false" ht="15.75" hidden="false" customHeight="false" outlineLevel="0" collapsed="false">
      <c r="A430" s="181" t="n">
        <f aca="false">ExportRaw!$F430</f>
        <v>0</v>
      </c>
      <c r="B430" s="181" t="n">
        <f aca="false">ExportRaw!$C430</f>
        <v>0</v>
      </c>
      <c r="C430" s="181" t="n">
        <f aca="false">ExportRaw!$G430</f>
        <v>0</v>
      </c>
      <c r="D430" s="181" t="str">
        <f aca="false">ExportRaw!$E430</f>
        <v/>
      </c>
      <c r="E430" s="182" t="str">
        <f aca="false">ExportRaw!$D430</f>
        <v/>
      </c>
      <c r="F430" s="181" t="str">
        <f aca="false">ExportRaw!$H430</f>
        <v/>
      </c>
      <c r="G430" s="183" t="str">
        <f aca="false">ExportRaw!$I430</f>
        <v/>
      </c>
      <c r="H430" s="181" t="str">
        <f aca="false">ExportRaw!$A430</f>
        <v/>
      </c>
      <c r="I430" s="181" t="str">
        <f aca="false">ExportRaw!$B430</f>
        <v/>
      </c>
    </row>
    <row r="431" customFormat="false" ht="15.75" hidden="false" customHeight="false" outlineLevel="0" collapsed="false">
      <c r="A431" s="181" t="n">
        <f aca="false">ExportRaw!$F431</f>
        <v>0</v>
      </c>
      <c r="B431" s="181" t="n">
        <f aca="false">ExportRaw!$C431</f>
        <v>0</v>
      </c>
      <c r="C431" s="181" t="n">
        <f aca="false">ExportRaw!$G431</f>
        <v>0</v>
      </c>
      <c r="D431" s="181" t="str">
        <f aca="false">ExportRaw!$E431</f>
        <v/>
      </c>
      <c r="E431" s="182" t="str">
        <f aca="false">ExportRaw!$D431</f>
        <v/>
      </c>
      <c r="F431" s="181" t="str">
        <f aca="false">ExportRaw!$H431</f>
        <v/>
      </c>
      <c r="G431" s="183" t="str">
        <f aca="false">ExportRaw!$I431</f>
        <v/>
      </c>
      <c r="H431" s="181" t="str">
        <f aca="false">ExportRaw!$A431</f>
        <v/>
      </c>
      <c r="I431" s="181" t="str">
        <f aca="false">ExportRaw!$B431</f>
        <v/>
      </c>
    </row>
    <row r="432" customFormat="false" ht="15.75" hidden="false" customHeight="false" outlineLevel="0" collapsed="false">
      <c r="A432" s="181" t="n">
        <f aca="false">ExportRaw!$F432</f>
        <v>0</v>
      </c>
      <c r="B432" s="181" t="n">
        <f aca="false">ExportRaw!$C432</f>
        <v>0</v>
      </c>
      <c r="C432" s="181" t="n">
        <f aca="false">ExportRaw!$G432</f>
        <v>0</v>
      </c>
      <c r="D432" s="181" t="str">
        <f aca="false">ExportRaw!$E432</f>
        <v/>
      </c>
      <c r="E432" s="182" t="str">
        <f aca="false">ExportRaw!$D432</f>
        <v/>
      </c>
      <c r="F432" s="181" t="str">
        <f aca="false">ExportRaw!$H432</f>
        <v/>
      </c>
      <c r="G432" s="183" t="str">
        <f aca="false">ExportRaw!$I432</f>
        <v/>
      </c>
      <c r="H432" s="181" t="str">
        <f aca="false">ExportRaw!$A432</f>
        <v/>
      </c>
      <c r="I432" s="181" t="str">
        <f aca="false">ExportRaw!$B432</f>
        <v/>
      </c>
    </row>
    <row r="433" customFormat="false" ht="15.75" hidden="false" customHeight="false" outlineLevel="0" collapsed="false">
      <c r="A433" s="181" t="n">
        <f aca="false">ExportRaw!$F433</f>
        <v>0</v>
      </c>
      <c r="B433" s="181" t="n">
        <f aca="false">ExportRaw!$C433</f>
        <v>0</v>
      </c>
      <c r="C433" s="181" t="n">
        <f aca="false">ExportRaw!$G433</f>
        <v>0</v>
      </c>
      <c r="D433" s="181" t="str">
        <f aca="false">ExportRaw!$E433</f>
        <v/>
      </c>
      <c r="E433" s="182" t="str">
        <f aca="false">ExportRaw!$D433</f>
        <v/>
      </c>
      <c r="F433" s="181" t="str">
        <f aca="false">ExportRaw!$H433</f>
        <v/>
      </c>
      <c r="G433" s="183" t="str">
        <f aca="false">ExportRaw!$I433</f>
        <v/>
      </c>
      <c r="H433" s="181" t="str">
        <f aca="false">ExportRaw!$A433</f>
        <v/>
      </c>
      <c r="I433" s="181" t="str">
        <f aca="false">ExportRaw!$B433</f>
        <v/>
      </c>
    </row>
    <row r="434" customFormat="false" ht="15.75" hidden="false" customHeight="false" outlineLevel="0" collapsed="false">
      <c r="A434" s="181" t="n">
        <f aca="false">ExportRaw!$F434</f>
        <v>0</v>
      </c>
      <c r="B434" s="181" t="n">
        <f aca="false">ExportRaw!$C434</f>
        <v>0</v>
      </c>
      <c r="C434" s="181" t="n">
        <f aca="false">ExportRaw!$G434</f>
        <v>0</v>
      </c>
      <c r="D434" s="181" t="str">
        <f aca="false">ExportRaw!$E434</f>
        <v/>
      </c>
      <c r="E434" s="182" t="str">
        <f aca="false">ExportRaw!$D434</f>
        <v/>
      </c>
      <c r="F434" s="181" t="str">
        <f aca="false">ExportRaw!$H434</f>
        <v/>
      </c>
      <c r="G434" s="183" t="str">
        <f aca="false">ExportRaw!$I434</f>
        <v/>
      </c>
      <c r="H434" s="181" t="str">
        <f aca="false">ExportRaw!$A434</f>
        <v/>
      </c>
      <c r="I434" s="181" t="str">
        <f aca="false">ExportRaw!$B434</f>
        <v/>
      </c>
    </row>
    <row r="435" customFormat="false" ht="15.75" hidden="false" customHeight="false" outlineLevel="0" collapsed="false">
      <c r="A435" s="181" t="n">
        <f aca="false">ExportRaw!$F435</f>
        <v>0</v>
      </c>
      <c r="B435" s="181" t="n">
        <f aca="false">ExportRaw!$C435</f>
        <v>0</v>
      </c>
      <c r="C435" s="181" t="n">
        <f aca="false">ExportRaw!$G435</f>
        <v>0</v>
      </c>
      <c r="D435" s="181" t="str">
        <f aca="false">ExportRaw!$E435</f>
        <v/>
      </c>
      <c r="E435" s="182" t="str">
        <f aca="false">ExportRaw!$D435</f>
        <v/>
      </c>
      <c r="F435" s="181" t="str">
        <f aca="false">ExportRaw!$H435</f>
        <v/>
      </c>
      <c r="G435" s="183" t="str">
        <f aca="false">ExportRaw!$I435</f>
        <v/>
      </c>
      <c r="H435" s="181" t="str">
        <f aca="false">ExportRaw!$A435</f>
        <v/>
      </c>
      <c r="I435" s="181" t="str">
        <f aca="false">ExportRaw!$B435</f>
        <v/>
      </c>
    </row>
    <row r="436" customFormat="false" ht="15.75" hidden="false" customHeight="false" outlineLevel="0" collapsed="false">
      <c r="A436" s="181" t="n">
        <f aca="false">ExportRaw!$F436</f>
        <v>0</v>
      </c>
      <c r="B436" s="181" t="n">
        <f aca="false">ExportRaw!$C436</f>
        <v>0</v>
      </c>
      <c r="C436" s="181" t="n">
        <f aca="false">ExportRaw!$G436</f>
        <v>0</v>
      </c>
      <c r="D436" s="181" t="str">
        <f aca="false">ExportRaw!$E436</f>
        <v/>
      </c>
      <c r="E436" s="182" t="str">
        <f aca="false">ExportRaw!$D436</f>
        <v/>
      </c>
      <c r="F436" s="181" t="str">
        <f aca="false">ExportRaw!$H436</f>
        <v/>
      </c>
      <c r="G436" s="183" t="str">
        <f aca="false">ExportRaw!$I436</f>
        <v/>
      </c>
      <c r="H436" s="181" t="str">
        <f aca="false">ExportRaw!$A436</f>
        <v/>
      </c>
      <c r="I436" s="181" t="str">
        <f aca="false">ExportRaw!$B436</f>
        <v/>
      </c>
    </row>
    <row r="437" customFormat="false" ht="15.75" hidden="false" customHeight="false" outlineLevel="0" collapsed="false">
      <c r="A437" s="181" t="n">
        <f aca="false">ExportRaw!$F437</f>
        <v>0</v>
      </c>
      <c r="B437" s="181" t="n">
        <f aca="false">ExportRaw!$C437</f>
        <v>0</v>
      </c>
      <c r="C437" s="181" t="n">
        <f aca="false">ExportRaw!$G437</f>
        <v>0</v>
      </c>
      <c r="D437" s="181" t="str">
        <f aca="false">ExportRaw!$E437</f>
        <v/>
      </c>
      <c r="E437" s="182" t="str">
        <f aca="false">ExportRaw!$D437</f>
        <v/>
      </c>
      <c r="F437" s="181" t="str">
        <f aca="false">ExportRaw!$H437</f>
        <v/>
      </c>
      <c r="G437" s="183" t="str">
        <f aca="false">ExportRaw!$I437</f>
        <v/>
      </c>
      <c r="H437" s="181" t="str">
        <f aca="false">ExportRaw!$A437</f>
        <v/>
      </c>
      <c r="I437" s="181" t="str">
        <f aca="false">ExportRaw!$B437</f>
        <v/>
      </c>
    </row>
    <row r="438" customFormat="false" ht="15.75" hidden="false" customHeight="false" outlineLevel="0" collapsed="false">
      <c r="A438" s="181" t="n">
        <f aca="false">ExportRaw!$F438</f>
        <v>0</v>
      </c>
      <c r="B438" s="181" t="n">
        <f aca="false">ExportRaw!$C438</f>
        <v>0</v>
      </c>
      <c r="C438" s="181" t="n">
        <f aca="false">ExportRaw!$G438</f>
        <v>0</v>
      </c>
      <c r="D438" s="181" t="str">
        <f aca="false">ExportRaw!$E438</f>
        <v/>
      </c>
      <c r="E438" s="182" t="str">
        <f aca="false">ExportRaw!$D438</f>
        <v/>
      </c>
      <c r="F438" s="181" t="str">
        <f aca="false">ExportRaw!$H438</f>
        <v/>
      </c>
      <c r="G438" s="183" t="str">
        <f aca="false">ExportRaw!$I438</f>
        <v/>
      </c>
      <c r="H438" s="181" t="str">
        <f aca="false">ExportRaw!$A438</f>
        <v/>
      </c>
      <c r="I438" s="181" t="str">
        <f aca="false">ExportRaw!$B438</f>
        <v/>
      </c>
    </row>
    <row r="439" customFormat="false" ht="15.75" hidden="false" customHeight="false" outlineLevel="0" collapsed="false">
      <c r="A439" s="181" t="n">
        <f aca="false">ExportRaw!$F439</f>
        <v>0</v>
      </c>
      <c r="B439" s="181" t="n">
        <f aca="false">ExportRaw!$C439</f>
        <v>0</v>
      </c>
      <c r="C439" s="181" t="n">
        <f aca="false">ExportRaw!$G439</f>
        <v>0</v>
      </c>
      <c r="D439" s="181" t="str">
        <f aca="false">ExportRaw!$E439</f>
        <v/>
      </c>
      <c r="E439" s="182" t="str">
        <f aca="false">ExportRaw!$D439</f>
        <v/>
      </c>
      <c r="F439" s="181" t="str">
        <f aca="false">ExportRaw!$H439</f>
        <v/>
      </c>
      <c r="G439" s="183" t="str">
        <f aca="false">ExportRaw!$I439</f>
        <v/>
      </c>
      <c r="H439" s="181" t="str">
        <f aca="false">ExportRaw!$A439</f>
        <v/>
      </c>
      <c r="I439" s="181" t="str">
        <f aca="false">ExportRaw!$B439</f>
        <v/>
      </c>
    </row>
    <row r="440" customFormat="false" ht="15.75" hidden="false" customHeight="false" outlineLevel="0" collapsed="false">
      <c r="A440" s="181" t="n">
        <f aca="false">ExportRaw!$F440</f>
        <v>0</v>
      </c>
      <c r="B440" s="181" t="n">
        <f aca="false">ExportRaw!$C440</f>
        <v>0</v>
      </c>
      <c r="C440" s="181" t="n">
        <f aca="false">ExportRaw!$G440</f>
        <v>0</v>
      </c>
      <c r="D440" s="181" t="str">
        <f aca="false">ExportRaw!$E440</f>
        <v/>
      </c>
      <c r="E440" s="182" t="str">
        <f aca="false">ExportRaw!$D440</f>
        <v/>
      </c>
      <c r="F440" s="181" t="str">
        <f aca="false">ExportRaw!$H440</f>
        <v/>
      </c>
      <c r="G440" s="183" t="str">
        <f aca="false">ExportRaw!$I440</f>
        <v/>
      </c>
      <c r="H440" s="181" t="str">
        <f aca="false">ExportRaw!$A440</f>
        <v/>
      </c>
      <c r="I440" s="181" t="str">
        <f aca="false">ExportRaw!$B440</f>
        <v/>
      </c>
    </row>
    <row r="441" customFormat="false" ht="15.75" hidden="false" customHeight="false" outlineLevel="0" collapsed="false">
      <c r="A441" s="181" t="n">
        <f aca="false">ExportRaw!$F441</f>
        <v>0</v>
      </c>
      <c r="B441" s="181" t="n">
        <f aca="false">ExportRaw!$C441</f>
        <v>0</v>
      </c>
      <c r="C441" s="181" t="n">
        <f aca="false">ExportRaw!$G441</f>
        <v>0</v>
      </c>
      <c r="D441" s="181" t="str">
        <f aca="false">ExportRaw!$E441</f>
        <v/>
      </c>
      <c r="E441" s="182" t="str">
        <f aca="false">ExportRaw!$D441</f>
        <v/>
      </c>
      <c r="F441" s="181" t="str">
        <f aca="false">ExportRaw!$H441</f>
        <v/>
      </c>
      <c r="G441" s="183" t="str">
        <f aca="false">ExportRaw!$I441</f>
        <v/>
      </c>
      <c r="H441" s="181" t="str">
        <f aca="false">ExportRaw!$A441</f>
        <v/>
      </c>
      <c r="I441" s="181" t="str">
        <f aca="false">ExportRaw!$B441</f>
        <v/>
      </c>
    </row>
    <row r="442" customFormat="false" ht="15.75" hidden="false" customHeight="false" outlineLevel="0" collapsed="false">
      <c r="A442" s="181" t="n">
        <f aca="false">ExportRaw!$F442</f>
        <v>0</v>
      </c>
      <c r="B442" s="181" t="n">
        <f aca="false">ExportRaw!$C442</f>
        <v>0</v>
      </c>
      <c r="C442" s="181" t="n">
        <f aca="false">ExportRaw!$G442</f>
        <v>0</v>
      </c>
      <c r="D442" s="181" t="str">
        <f aca="false">ExportRaw!$E442</f>
        <v/>
      </c>
      <c r="E442" s="182" t="str">
        <f aca="false">ExportRaw!$D442</f>
        <v/>
      </c>
      <c r="F442" s="181" t="str">
        <f aca="false">ExportRaw!$H442</f>
        <v/>
      </c>
      <c r="G442" s="183" t="str">
        <f aca="false">ExportRaw!$I442</f>
        <v/>
      </c>
      <c r="H442" s="181" t="str">
        <f aca="false">ExportRaw!$A442</f>
        <v/>
      </c>
      <c r="I442" s="181" t="str">
        <f aca="false">ExportRaw!$B442</f>
        <v/>
      </c>
    </row>
    <row r="443" customFormat="false" ht="15.75" hidden="false" customHeight="false" outlineLevel="0" collapsed="false">
      <c r="A443" s="181" t="n">
        <f aca="false">ExportRaw!$F443</f>
        <v>0</v>
      </c>
      <c r="B443" s="181" t="n">
        <f aca="false">ExportRaw!$C443</f>
        <v>0</v>
      </c>
      <c r="C443" s="181" t="n">
        <f aca="false">ExportRaw!$G443</f>
        <v>0</v>
      </c>
      <c r="D443" s="181" t="str">
        <f aca="false">ExportRaw!$E443</f>
        <v/>
      </c>
      <c r="E443" s="182" t="str">
        <f aca="false">ExportRaw!$D443</f>
        <v/>
      </c>
      <c r="F443" s="181" t="str">
        <f aca="false">ExportRaw!$H443</f>
        <v/>
      </c>
      <c r="G443" s="183" t="str">
        <f aca="false">ExportRaw!$I443</f>
        <v/>
      </c>
      <c r="H443" s="181" t="str">
        <f aca="false">ExportRaw!$A443</f>
        <v/>
      </c>
      <c r="I443" s="181" t="str">
        <f aca="false">ExportRaw!$B443</f>
        <v/>
      </c>
    </row>
    <row r="444" customFormat="false" ht="15.75" hidden="false" customHeight="false" outlineLevel="0" collapsed="false">
      <c r="A444" s="181" t="n">
        <f aca="false">ExportRaw!$F444</f>
        <v>0</v>
      </c>
      <c r="B444" s="181" t="n">
        <f aca="false">ExportRaw!$C444</f>
        <v>0</v>
      </c>
      <c r="C444" s="181" t="n">
        <f aca="false">ExportRaw!$G444</f>
        <v>0</v>
      </c>
      <c r="D444" s="181" t="str">
        <f aca="false">ExportRaw!$E444</f>
        <v/>
      </c>
      <c r="E444" s="182" t="str">
        <f aca="false">ExportRaw!$D444</f>
        <v/>
      </c>
      <c r="F444" s="181" t="str">
        <f aca="false">ExportRaw!$H444</f>
        <v/>
      </c>
      <c r="G444" s="183" t="str">
        <f aca="false">ExportRaw!$I444</f>
        <v/>
      </c>
      <c r="H444" s="181" t="str">
        <f aca="false">ExportRaw!$A444</f>
        <v/>
      </c>
      <c r="I444" s="181" t="str">
        <f aca="false">ExportRaw!$B444</f>
        <v/>
      </c>
    </row>
    <row r="445" customFormat="false" ht="15.75" hidden="false" customHeight="false" outlineLevel="0" collapsed="false">
      <c r="A445" s="181" t="n">
        <f aca="false">ExportRaw!$F445</f>
        <v>0</v>
      </c>
      <c r="B445" s="181" t="n">
        <f aca="false">ExportRaw!$C445</f>
        <v>0</v>
      </c>
      <c r="C445" s="181" t="n">
        <f aca="false">ExportRaw!$G445</f>
        <v>0</v>
      </c>
      <c r="D445" s="181" t="str">
        <f aca="false">ExportRaw!$E445</f>
        <v/>
      </c>
      <c r="E445" s="182" t="str">
        <f aca="false">ExportRaw!$D445</f>
        <v/>
      </c>
      <c r="F445" s="181" t="str">
        <f aca="false">ExportRaw!$H445</f>
        <v/>
      </c>
      <c r="G445" s="183" t="str">
        <f aca="false">ExportRaw!$I445</f>
        <v/>
      </c>
      <c r="H445" s="181" t="str">
        <f aca="false">ExportRaw!$A445</f>
        <v/>
      </c>
      <c r="I445" s="181" t="str">
        <f aca="false">ExportRaw!$B445</f>
        <v/>
      </c>
    </row>
    <row r="446" customFormat="false" ht="15.75" hidden="false" customHeight="false" outlineLevel="0" collapsed="false">
      <c r="A446" s="181" t="n">
        <f aca="false">ExportRaw!$F446</f>
        <v>0</v>
      </c>
      <c r="B446" s="181" t="n">
        <f aca="false">ExportRaw!$C446</f>
        <v>0</v>
      </c>
      <c r="C446" s="181" t="n">
        <f aca="false">ExportRaw!$G446</f>
        <v>0</v>
      </c>
      <c r="D446" s="181" t="str">
        <f aca="false">ExportRaw!$E446</f>
        <v/>
      </c>
      <c r="E446" s="182" t="str">
        <f aca="false">ExportRaw!$D446</f>
        <v/>
      </c>
      <c r="F446" s="181" t="str">
        <f aca="false">ExportRaw!$H446</f>
        <v/>
      </c>
      <c r="G446" s="183" t="str">
        <f aca="false">ExportRaw!$I446</f>
        <v/>
      </c>
      <c r="H446" s="181" t="str">
        <f aca="false">ExportRaw!$A446</f>
        <v/>
      </c>
      <c r="I446" s="181" t="str">
        <f aca="false">ExportRaw!$B446</f>
        <v/>
      </c>
    </row>
    <row r="447" customFormat="false" ht="15.75" hidden="false" customHeight="false" outlineLevel="0" collapsed="false">
      <c r="A447" s="181" t="n">
        <f aca="false">ExportRaw!$F447</f>
        <v>0</v>
      </c>
      <c r="B447" s="181" t="n">
        <f aca="false">ExportRaw!$C447</f>
        <v>0</v>
      </c>
      <c r="C447" s="181" t="n">
        <f aca="false">ExportRaw!$G447</f>
        <v>0</v>
      </c>
      <c r="D447" s="181" t="str">
        <f aca="false">ExportRaw!$E447</f>
        <v/>
      </c>
      <c r="E447" s="182" t="str">
        <f aca="false">ExportRaw!$D447</f>
        <v/>
      </c>
      <c r="F447" s="181" t="str">
        <f aca="false">ExportRaw!$H447</f>
        <v/>
      </c>
      <c r="G447" s="183" t="str">
        <f aca="false">ExportRaw!$I447</f>
        <v/>
      </c>
      <c r="H447" s="181" t="str">
        <f aca="false">ExportRaw!$A447</f>
        <v/>
      </c>
      <c r="I447" s="181" t="str">
        <f aca="false">ExportRaw!$B447</f>
        <v/>
      </c>
    </row>
    <row r="448" customFormat="false" ht="15.75" hidden="false" customHeight="false" outlineLevel="0" collapsed="false">
      <c r="A448" s="181" t="n">
        <f aca="false">ExportRaw!$F448</f>
        <v>0</v>
      </c>
      <c r="B448" s="181" t="n">
        <f aca="false">ExportRaw!$C448</f>
        <v>0</v>
      </c>
      <c r="C448" s="181" t="n">
        <f aca="false">ExportRaw!$G448</f>
        <v>0</v>
      </c>
      <c r="D448" s="181" t="str">
        <f aca="false">ExportRaw!$E448</f>
        <v/>
      </c>
      <c r="E448" s="182" t="str">
        <f aca="false">ExportRaw!$D448</f>
        <v/>
      </c>
      <c r="F448" s="181" t="str">
        <f aca="false">ExportRaw!$H448</f>
        <v/>
      </c>
      <c r="G448" s="183" t="str">
        <f aca="false">ExportRaw!$I448</f>
        <v/>
      </c>
      <c r="H448" s="181" t="str">
        <f aca="false">ExportRaw!$A448</f>
        <v/>
      </c>
      <c r="I448" s="181" t="str">
        <f aca="false">ExportRaw!$B448</f>
        <v/>
      </c>
    </row>
    <row r="449" customFormat="false" ht="15.75" hidden="false" customHeight="false" outlineLevel="0" collapsed="false">
      <c r="A449" s="181" t="n">
        <f aca="false">ExportRaw!$F449</f>
        <v>0</v>
      </c>
      <c r="B449" s="181" t="n">
        <f aca="false">ExportRaw!$C449</f>
        <v>0</v>
      </c>
      <c r="C449" s="181" t="n">
        <f aca="false">ExportRaw!$G449</f>
        <v>0</v>
      </c>
      <c r="D449" s="181" t="str">
        <f aca="false">ExportRaw!$E449</f>
        <v/>
      </c>
      <c r="E449" s="182" t="str">
        <f aca="false">ExportRaw!$D449</f>
        <v/>
      </c>
      <c r="F449" s="181" t="str">
        <f aca="false">ExportRaw!$H449</f>
        <v/>
      </c>
      <c r="G449" s="183" t="str">
        <f aca="false">ExportRaw!$I449</f>
        <v/>
      </c>
      <c r="H449" s="181" t="str">
        <f aca="false">ExportRaw!$A449</f>
        <v/>
      </c>
      <c r="I449" s="181" t="str">
        <f aca="false">ExportRaw!$B449</f>
        <v/>
      </c>
    </row>
    <row r="450" customFormat="false" ht="15.75" hidden="false" customHeight="false" outlineLevel="0" collapsed="false">
      <c r="A450" s="181" t="n">
        <f aca="false">ExportRaw!$F450</f>
        <v>0</v>
      </c>
      <c r="B450" s="181" t="n">
        <f aca="false">ExportRaw!$C450</f>
        <v>0</v>
      </c>
      <c r="C450" s="181" t="n">
        <f aca="false">ExportRaw!$G450</f>
        <v>0</v>
      </c>
      <c r="D450" s="181" t="str">
        <f aca="false">ExportRaw!$E450</f>
        <v/>
      </c>
      <c r="E450" s="182" t="str">
        <f aca="false">ExportRaw!$D450</f>
        <v/>
      </c>
      <c r="F450" s="181" t="str">
        <f aca="false">ExportRaw!$H450</f>
        <v/>
      </c>
      <c r="G450" s="183" t="str">
        <f aca="false">ExportRaw!$I450</f>
        <v/>
      </c>
      <c r="H450" s="181" t="str">
        <f aca="false">ExportRaw!$A450</f>
        <v/>
      </c>
      <c r="I450" s="181" t="str">
        <f aca="false">ExportRaw!$B450</f>
        <v/>
      </c>
    </row>
    <row r="451" customFormat="false" ht="15.75" hidden="false" customHeight="false" outlineLevel="0" collapsed="false">
      <c r="A451" s="181" t="n">
        <f aca="false">ExportRaw!$F451</f>
        <v>0</v>
      </c>
      <c r="B451" s="181" t="n">
        <f aca="false">ExportRaw!$C451</f>
        <v>0</v>
      </c>
      <c r="C451" s="181" t="n">
        <f aca="false">ExportRaw!$G451</f>
        <v>0</v>
      </c>
      <c r="D451" s="181" t="str">
        <f aca="false">ExportRaw!$E451</f>
        <v/>
      </c>
      <c r="E451" s="182" t="str">
        <f aca="false">ExportRaw!$D451</f>
        <v/>
      </c>
      <c r="F451" s="181" t="str">
        <f aca="false">ExportRaw!$H451</f>
        <v/>
      </c>
      <c r="G451" s="183" t="str">
        <f aca="false">ExportRaw!$I451</f>
        <v/>
      </c>
      <c r="H451" s="181" t="str">
        <f aca="false">ExportRaw!$A451</f>
        <v/>
      </c>
      <c r="I451" s="181" t="str">
        <f aca="false">ExportRaw!$B451</f>
        <v/>
      </c>
    </row>
    <row r="452" customFormat="false" ht="15.75" hidden="false" customHeight="false" outlineLevel="0" collapsed="false">
      <c r="A452" s="181" t="n">
        <f aca="false">ExportRaw!$F452</f>
        <v>0</v>
      </c>
      <c r="B452" s="181" t="n">
        <f aca="false">ExportRaw!$C452</f>
        <v>0</v>
      </c>
      <c r="C452" s="181" t="n">
        <f aca="false">ExportRaw!$G452</f>
        <v>0</v>
      </c>
      <c r="D452" s="181" t="str">
        <f aca="false">ExportRaw!$E452</f>
        <v/>
      </c>
      <c r="E452" s="182" t="str">
        <f aca="false">ExportRaw!$D452</f>
        <v/>
      </c>
      <c r="F452" s="181" t="str">
        <f aca="false">ExportRaw!$H452</f>
        <v/>
      </c>
      <c r="G452" s="183" t="str">
        <f aca="false">ExportRaw!$I452</f>
        <v/>
      </c>
      <c r="H452" s="181" t="str">
        <f aca="false">ExportRaw!$A452</f>
        <v/>
      </c>
      <c r="I452" s="181" t="str">
        <f aca="false">ExportRaw!$B452</f>
        <v/>
      </c>
    </row>
    <row r="453" customFormat="false" ht="15.75" hidden="false" customHeight="false" outlineLevel="0" collapsed="false">
      <c r="A453" s="181" t="n">
        <f aca="false">ExportRaw!$F453</f>
        <v>0</v>
      </c>
      <c r="B453" s="181" t="n">
        <f aca="false">ExportRaw!$C453</f>
        <v>0</v>
      </c>
      <c r="C453" s="181" t="n">
        <f aca="false">ExportRaw!$G453</f>
        <v>0</v>
      </c>
      <c r="D453" s="181" t="str">
        <f aca="false">ExportRaw!$E453</f>
        <v/>
      </c>
      <c r="E453" s="182" t="str">
        <f aca="false">ExportRaw!$D453</f>
        <v/>
      </c>
      <c r="F453" s="181" t="str">
        <f aca="false">ExportRaw!$H453</f>
        <v/>
      </c>
      <c r="G453" s="183" t="str">
        <f aca="false">ExportRaw!$I453</f>
        <v/>
      </c>
      <c r="H453" s="181" t="str">
        <f aca="false">ExportRaw!$A453</f>
        <v/>
      </c>
      <c r="I453" s="181" t="str">
        <f aca="false">ExportRaw!$B453</f>
        <v/>
      </c>
    </row>
    <row r="454" customFormat="false" ht="15.75" hidden="false" customHeight="false" outlineLevel="0" collapsed="false">
      <c r="A454" s="181" t="n">
        <f aca="false">ExportRaw!$F454</f>
        <v>0</v>
      </c>
      <c r="B454" s="181" t="n">
        <f aca="false">ExportRaw!$C454</f>
        <v>0</v>
      </c>
      <c r="C454" s="181" t="n">
        <f aca="false">ExportRaw!$G454</f>
        <v>0</v>
      </c>
      <c r="D454" s="181" t="str">
        <f aca="false">ExportRaw!$E454</f>
        <v/>
      </c>
      <c r="E454" s="182" t="str">
        <f aca="false">ExportRaw!$D454</f>
        <v/>
      </c>
      <c r="F454" s="181" t="str">
        <f aca="false">ExportRaw!$H454</f>
        <v/>
      </c>
      <c r="G454" s="183" t="str">
        <f aca="false">ExportRaw!$I454</f>
        <v/>
      </c>
      <c r="H454" s="181" t="str">
        <f aca="false">ExportRaw!$A454</f>
        <v/>
      </c>
      <c r="I454" s="181" t="str">
        <f aca="false">ExportRaw!$B454</f>
        <v/>
      </c>
    </row>
    <row r="455" customFormat="false" ht="15.75" hidden="false" customHeight="false" outlineLevel="0" collapsed="false">
      <c r="A455" s="181" t="n">
        <f aca="false">ExportRaw!$F455</f>
        <v>0</v>
      </c>
      <c r="B455" s="181" t="n">
        <f aca="false">ExportRaw!$C455</f>
        <v>0</v>
      </c>
      <c r="C455" s="181" t="n">
        <f aca="false">ExportRaw!$G455</f>
        <v>0</v>
      </c>
      <c r="D455" s="181" t="str">
        <f aca="false">ExportRaw!$E455</f>
        <v/>
      </c>
      <c r="E455" s="182" t="str">
        <f aca="false">ExportRaw!$D455</f>
        <v/>
      </c>
      <c r="F455" s="181" t="str">
        <f aca="false">ExportRaw!$H455</f>
        <v/>
      </c>
      <c r="G455" s="183" t="str">
        <f aca="false">ExportRaw!$I455</f>
        <v/>
      </c>
      <c r="H455" s="181" t="str">
        <f aca="false">ExportRaw!$A455</f>
        <v/>
      </c>
      <c r="I455" s="181" t="str">
        <f aca="false">ExportRaw!$B455</f>
        <v/>
      </c>
    </row>
    <row r="456" customFormat="false" ht="15.75" hidden="false" customHeight="false" outlineLevel="0" collapsed="false">
      <c r="A456" s="181" t="n">
        <f aca="false">ExportRaw!$F456</f>
        <v>0</v>
      </c>
      <c r="B456" s="181" t="n">
        <f aca="false">ExportRaw!$C456</f>
        <v>0</v>
      </c>
      <c r="C456" s="181" t="n">
        <f aca="false">ExportRaw!$G456</f>
        <v>0</v>
      </c>
      <c r="D456" s="181" t="str">
        <f aca="false">ExportRaw!$E456</f>
        <v/>
      </c>
      <c r="E456" s="182" t="str">
        <f aca="false">ExportRaw!$D456</f>
        <v/>
      </c>
      <c r="F456" s="181" t="str">
        <f aca="false">ExportRaw!$H456</f>
        <v/>
      </c>
      <c r="G456" s="183" t="str">
        <f aca="false">ExportRaw!$I456</f>
        <v/>
      </c>
      <c r="H456" s="181" t="str">
        <f aca="false">ExportRaw!$A456</f>
        <v/>
      </c>
      <c r="I456" s="181" t="str">
        <f aca="false">ExportRaw!$B456</f>
        <v/>
      </c>
    </row>
    <row r="457" customFormat="false" ht="15.75" hidden="false" customHeight="false" outlineLevel="0" collapsed="false">
      <c r="A457" s="181" t="n">
        <f aca="false">ExportRaw!$F457</f>
        <v>0</v>
      </c>
      <c r="B457" s="181" t="n">
        <f aca="false">ExportRaw!$C457</f>
        <v>0</v>
      </c>
      <c r="C457" s="181" t="n">
        <f aca="false">ExportRaw!$G457</f>
        <v>0</v>
      </c>
      <c r="D457" s="181" t="str">
        <f aca="false">ExportRaw!$E457</f>
        <v/>
      </c>
      <c r="E457" s="182" t="str">
        <f aca="false">ExportRaw!$D457</f>
        <v/>
      </c>
      <c r="F457" s="181" t="str">
        <f aca="false">ExportRaw!$H457</f>
        <v/>
      </c>
      <c r="G457" s="183" t="str">
        <f aca="false">ExportRaw!$I457</f>
        <v/>
      </c>
      <c r="H457" s="181" t="str">
        <f aca="false">ExportRaw!$A457</f>
        <v/>
      </c>
      <c r="I457" s="181" t="str">
        <f aca="false">ExportRaw!$B457</f>
        <v/>
      </c>
    </row>
    <row r="458" customFormat="false" ht="15.75" hidden="false" customHeight="false" outlineLevel="0" collapsed="false">
      <c r="A458" s="181" t="n">
        <f aca="false">ExportRaw!$F458</f>
        <v>0</v>
      </c>
      <c r="B458" s="181" t="n">
        <f aca="false">ExportRaw!$C458</f>
        <v>0</v>
      </c>
      <c r="C458" s="181" t="n">
        <f aca="false">ExportRaw!$G458</f>
        <v>0</v>
      </c>
      <c r="D458" s="181" t="str">
        <f aca="false">ExportRaw!$E458</f>
        <v/>
      </c>
      <c r="E458" s="182" t="str">
        <f aca="false">ExportRaw!$D458</f>
        <v/>
      </c>
      <c r="F458" s="181" t="str">
        <f aca="false">ExportRaw!$H458</f>
        <v/>
      </c>
      <c r="G458" s="183" t="str">
        <f aca="false">ExportRaw!$I458</f>
        <v/>
      </c>
      <c r="H458" s="181" t="str">
        <f aca="false">ExportRaw!$A458</f>
        <v/>
      </c>
      <c r="I458" s="181" t="str">
        <f aca="false">ExportRaw!$B458</f>
        <v/>
      </c>
    </row>
    <row r="459" customFormat="false" ht="15.75" hidden="false" customHeight="false" outlineLevel="0" collapsed="false">
      <c r="A459" s="181" t="n">
        <f aca="false">ExportRaw!$F459</f>
        <v>0</v>
      </c>
      <c r="B459" s="181" t="n">
        <f aca="false">ExportRaw!$C459</f>
        <v>0</v>
      </c>
      <c r="C459" s="181" t="n">
        <f aca="false">ExportRaw!$G459</f>
        <v>0</v>
      </c>
      <c r="D459" s="181" t="str">
        <f aca="false">ExportRaw!$E459</f>
        <v/>
      </c>
      <c r="E459" s="182" t="str">
        <f aca="false">ExportRaw!$D459</f>
        <v/>
      </c>
      <c r="F459" s="181" t="str">
        <f aca="false">ExportRaw!$H459</f>
        <v/>
      </c>
      <c r="G459" s="183" t="str">
        <f aca="false">ExportRaw!$I459</f>
        <v/>
      </c>
      <c r="H459" s="181" t="str">
        <f aca="false">ExportRaw!$A459</f>
        <v/>
      </c>
      <c r="I459" s="181" t="str">
        <f aca="false">ExportRaw!$B459</f>
        <v/>
      </c>
    </row>
    <row r="460" customFormat="false" ht="15.75" hidden="false" customHeight="false" outlineLevel="0" collapsed="false">
      <c r="A460" s="181" t="n">
        <f aca="false">ExportRaw!$F460</f>
        <v>0</v>
      </c>
      <c r="B460" s="181" t="n">
        <f aca="false">ExportRaw!$C460</f>
        <v>0</v>
      </c>
      <c r="C460" s="181" t="n">
        <f aca="false">ExportRaw!$G460</f>
        <v>0</v>
      </c>
      <c r="D460" s="181" t="str">
        <f aca="false">ExportRaw!$E460</f>
        <v/>
      </c>
      <c r="E460" s="182" t="str">
        <f aca="false">ExportRaw!$D460</f>
        <v/>
      </c>
      <c r="F460" s="181" t="str">
        <f aca="false">ExportRaw!$H460</f>
        <v/>
      </c>
      <c r="G460" s="183" t="str">
        <f aca="false">ExportRaw!$I460</f>
        <v/>
      </c>
      <c r="H460" s="181" t="str">
        <f aca="false">ExportRaw!$A460</f>
        <v/>
      </c>
      <c r="I460" s="181" t="str">
        <f aca="false">ExportRaw!$B460</f>
        <v/>
      </c>
    </row>
    <row r="461" customFormat="false" ht="15.75" hidden="false" customHeight="false" outlineLevel="0" collapsed="false">
      <c r="A461" s="181" t="n">
        <f aca="false">ExportRaw!$F461</f>
        <v>0</v>
      </c>
      <c r="B461" s="181" t="n">
        <f aca="false">ExportRaw!$C461</f>
        <v>0</v>
      </c>
      <c r="C461" s="181" t="n">
        <f aca="false">ExportRaw!$G461</f>
        <v>0</v>
      </c>
      <c r="D461" s="181" t="str">
        <f aca="false">ExportRaw!$E461</f>
        <v/>
      </c>
      <c r="E461" s="182" t="str">
        <f aca="false">ExportRaw!$D461</f>
        <v/>
      </c>
      <c r="F461" s="181" t="str">
        <f aca="false">ExportRaw!$H461</f>
        <v/>
      </c>
      <c r="G461" s="183" t="str">
        <f aca="false">ExportRaw!$I461</f>
        <v/>
      </c>
      <c r="H461" s="181" t="str">
        <f aca="false">ExportRaw!$A461</f>
        <v/>
      </c>
      <c r="I461" s="181" t="str">
        <f aca="false">ExportRaw!$B461</f>
        <v/>
      </c>
    </row>
    <row r="462" customFormat="false" ht="15.75" hidden="false" customHeight="false" outlineLevel="0" collapsed="false">
      <c r="A462" s="181" t="n">
        <f aca="false">ExportRaw!$F462</f>
        <v>0</v>
      </c>
      <c r="B462" s="181" t="n">
        <f aca="false">ExportRaw!$C462</f>
        <v>0</v>
      </c>
      <c r="C462" s="181" t="n">
        <f aca="false">ExportRaw!$G462</f>
        <v>0</v>
      </c>
      <c r="D462" s="181" t="str">
        <f aca="false">ExportRaw!$E462</f>
        <v/>
      </c>
      <c r="E462" s="182" t="str">
        <f aca="false">ExportRaw!$D462</f>
        <v/>
      </c>
      <c r="F462" s="181" t="str">
        <f aca="false">ExportRaw!$H462</f>
        <v/>
      </c>
      <c r="G462" s="183" t="str">
        <f aca="false">ExportRaw!$I462</f>
        <v/>
      </c>
      <c r="H462" s="181" t="str">
        <f aca="false">ExportRaw!$A462</f>
        <v/>
      </c>
      <c r="I462" s="181" t="str">
        <f aca="false">ExportRaw!$B462</f>
        <v/>
      </c>
    </row>
    <row r="463" customFormat="false" ht="15.75" hidden="false" customHeight="false" outlineLevel="0" collapsed="false">
      <c r="A463" s="181" t="n">
        <f aca="false">ExportRaw!$F463</f>
        <v>0</v>
      </c>
      <c r="B463" s="181" t="n">
        <f aca="false">ExportRaw!$C463</f>
        <v>0</v>
      </c>
      <c r="C463" s="181" t="n">
        <f aca="false">ExportRaw!$G463</f>
        <v>0</v>
      </c>
      <c r="D463" s="181" t="str">
        <f aca="false">ExportRaw!$E463</f>
        <v/>
      </c>
      <c r="E463" s="182" t="str">
        <f aca="false">ExportRaw!$D463</f>
        <v/>
      </c>
      <c r="F463" s="181" t="str">
        <f aca="false">ExportRaw!$H463</f>
        <v/>
      </c>
      <c r="G463" s="183" t="str">
        <f aca="false">ExportRaw!$I463</f>
        <v/>
      </c>
      <c r="H463" s="181" t="str">
        <f aca="false">ExportRaw!$A463</f>
        <v/>
      </c>
      <c r="I463" s="181" t="str">
        <f aca="false">ExportRaw!$B463</f>
        <v/>
      </c>
    </row>
    <row r="464" customFormat="false" ht="15.75" hidden="false" customHeight="false" outlineLevel="0" collapsed="false">
      <c r="A464" s="181" t="n">
        <f aca="false">ExportRaw!$F464</f>
        <v>0</v>
      </c>
      <c r="B464" s="181" t="n">
        <f aca="false">ExportRaw!$C464</f>
        <v>0</v>
      </c>
      <c r="C464" s="181" t="n">
        <f aca="false">ExportRaw!$G464</f>
        <v>0</v>
      </c>
      <c r="D464" s="181" t="str">
        <f aca="false">ExportRaw!$E464</f>
        <v/>
      </c>
      <c r="E464" s="182" t="str">
        <f aca="false">ExportRaw!$D464</f>
        <v/>
      </c>
      <c r="F464" s="181" t="str">
        <f aca="false">ExportRaw!$H464</f>
        <v/>
      </c>
      <c r="G464" s="183" t="str">
        <f aca="false">ExportRaw!$I464</f>
        <v/>
      </c>
      <c r="H464" s="181" t="str">
        <f aca="false">ExportRaw!$A464</f>
        <v/>
      </c>
      <c r="I464" s="181" t="str">
        <f aca="false">ExportRaw!$B464</f>
        <v/>
      </c>
    </row>
    <row r="465" customFormat="false" ht="15.75" hidden="false" customHeight="false" outlineLevel="0" collapsed="false">
      <c r="A465" s="181" t="n">
        <f aca="false">ExportRaw!$F465</f>
        <v>0</v>
      </c>
      <c r="B465" s="181" t="n">
        <f aca="false">ExportRaw!$C465</f>
        <v>0</v>
      </c>
      <c r="C465" s="181" t="n">
        <f aca="false">ExportRaw!$G465</f>
        <v>0</v>
      </c>
      <c r="D465" s="181" t="str">
        <f aca="false">ExportRaw!$E465</f>
        <v/>
      </c>
      <c r="E465" s="182" t="str">
        <f aca="false">ExportRaw!$D465</f>
        <v/>
      </c>
      <c r="F465" s="181" t="str">
        <f aca="false">ExportRaw!$H465</f>
        <v/>
      </c>
      <c r="G465" s="183" t="str">
        <f aca="false">ExportRaw!$I465</f>
        <v/>
      </c>
      <c r="H465" s="181" t="str">
        <f aca="false">ExportRaw!$A465</f>
        <v/>
      </c>
      <c r="I465" s="181" t="str">
        <f aca="false">ExportRaw!$B465</f>
        <v/>
      </c>
    </row>
    <row r="466" customFormat="false" ht="15.75" hidden="false" customHeight="false" outlineLevel="0" collapsed="false">
      <c r="A466" s="181" t="n">
        <f aca="false">ExportRaw!$F466</f>
        <v>0</v>
      </c>
      <c r="B466" s="181" t="n">
        <f aca="false">ExportRaw!$C466</f>
        <v>0</v>
      </c>
      <c r="C466" s="181" t="n">
        <f aca="false">ExportRaw!$G466</f>
        <v>0</v>
      </c>
      <c r="D466" s="181" t="str">
        <f aca="false">ExportRaw!$E466</f>
        <v/>
      </c>
      <c r="E466" s="182" t="str">
        <f aca="false">ExportRaw!$D466</f>
        <v/>
      </c>
      <c r="F466" s="181" t="str">
        <f aca="false">ExportRaw!$H466</f>
        <v/>
      </c>
      <c r="G466" s="183" t="str">
        <f aca="false">ExportRaw!$I466</f>
        <v/>
      </c>
      <c r="H466" s="181" t="str">
        <f aca="false">ExportRaw!$A466</f>
        <v/>
      </c>
      <c r="I466" s="181" t="str">
        <f aca="false">ExportRaw!$B466</f>
        <v/>
      </c>
    </row>
    <row r="467" customFormat="false" ht="15.75" hidden="false" customHeight="false" outlineLevel="0" collapsed="false">
      <c r="A467" s="181" t="n">
        <f aca="false">ExportRaw!$F467</f>
        <v>0</v>
      </c>
      <c r="B467" s="181" t="n">
        <f aca="false">ExportRaw!$C467</f>
        <v>0</v>
      </c>
      <c r="C467" s="181" t="n">
        <f aca="false">ExportRaw!$G467</f>
        <v>0</v>
      </c>
      <c r="D467" s="181" t="str">
        <f aca="false">ExportRaw!$E467</f>
        <v/>
      </c>
      <c r="E467" s="182" t="str">
        <f aca="false">ExportRaw!$D467</f>
        <v/>
      </c>
      <c r="F467" s="181" t="str">
        <f aca="false">ExportRaw!$H467</f>
        <v/>
      </c>
      <c r="G467" s="183" t="str">
        <f aca="false">ExportRaw!$I467</f>
        <v/>
      </c>
      <c r="H467" s="181" t="str">
        <f aca="false">ExportRaw!$A467</f>
        <v/>
      </c>
      <c r="I467" s="181" t="str">
        <f aca="false">ExportRaw!$B467</f>
        <v/>
      </c>
    </row>
    <row r="468" customFormat="false" ht="15.75" hidden="false" customHeight="false" outlineLevel="0" collapsed="false">
      <c r="A468" s="181" t="n">
        <f aca="false">ExportRaw!$F468</f>
        <v>0</v>
      </c>
      <c r="B468" s="181" t="n">
        <f aca="false">ExportRaw!$C468</f>
        <v>0</v>
      </c>
      <c r="C468" s="181" t="n">
        <f aca="false">ExportRaw!$G468</f>
        <v>0</v>
      </c>
      <c r="D468" s="181" t="str">
        <f aca="false">ExportRaw!$E468</f>
        <v/>
      </c>
      <c r="E468" s="182" t="str">
        <f aca="false">ExportRaw!$D468</f>
        <v/>
      </c>
      <c r="F468" s="181" t="str">
        <f aca="false">ExportRaw!$H468</f>
        <v/>
      </c>
      <c r="G468" s="183" t="str">
        <f aca="false">ExportRaw!$I468</f>
        <v/>
      </c>
      <c r="H468" s="181" t="str">
        <f aca="false">ExportRaw!$A468</f>
        <v/>
      </c>
      <c r="I468" s="181" t="str">
        <f aca="false">ExportRaw!$B468</f>
        <v/>
      </c>
    </row>
    <row r="469" customFormat="false" ht="15.75" hidden="false" customHeight="false" outlineLevel="0" collapsed="false">
      <c r="A469" s="181" t="n">
        <f aca="false">ExportRaw!$F469</f>
        <v>0</v>
      </c>
      <c r="B469" s="181" t="n">
        <f aca="false">ExportRaw!$C469</f>
        <v>0</v>
      </c>
      <c r="C469" s="181" t="n">
        <f aca="false">ExportRaw!$G469</f>
        <v>0</v>
      </c>
      <c r="D469" s="181" t="str">
        <f aca="false">ExportRaw!$E469</f>
        <v/>
      </c>
      <c r="E469" s="182" t="str">
        <f aca="false">ExportRaw!$D469</f>
        <v/>
      </c>
      <c r="F469" s="181" t="str">
        <f aca="false">ExportRaw!$H469</f>
        <v/>
      </c>
      <c r="G469" s="183" t="str">
        <f aca="false">ExportRaw!$I469</f>
        <v/>
      </c>
      <c r="H469" s="181" t="str">
        <f aca="false">ExportRaw!$A469</f>
        <v/>
      </c>
      <c r="I469" s="181" t="str">
        <f aca="false">ExportRaw!$B469</f>
        <v/>
      </c>
    </row>
    <row r="470" customFormat="false" ht="15.75" hidden="false" customHeight="false" outlineLevel="0" collapsed="false">
      <c r="A470" s="181" t="n">
        <f aca="false">ExportRaw!$F470</f>
        <v>0</v>
      </c>
      <c r="B470" s="181" t="n">
        <f aca="false">ExportRaw!$C470</f>
        <v>0</v>
      </c>
      <c r="C470" s="181" t="n">
        <f aca="false">ExportRaw!$G470</f>
        <v>0</v>
      </c>
      <c r="D470" s="181" t="str">
        <f aca="false">ExportRaw!$E470</f>
        <v/>
      </c>
      <c r="E470" s="182" t="str">
        <f aca="false">ExportRaw!$D470</f>
        <v/>
      </c>
      <c r="F470" s="181" t="str">
        <f aca="false">ExportRaw!$H470</f>
        <v/>
      </c>
      <c r="G470" s="183" t="str">
        <f aca="false">ExportRaw!$I470</f>
        <v/>
      </c>
      <c r="H470" s="181" t="str">
        <f aca="false">ExportRaw!$A470</f>
        <v/>
      </c>
      <c r="I470" s="181" t="str">
        <f aca="false">ExportRaw!$B470</f>
        <v/>
      </c>
    </row>
    <row r="471" customFormat="false" ht="15.75" hidden="false" customHeight="false" outlineLevel="0" collapsed="false">
      <c r="A471" s="181" t="n">
        <f aca="false">ExportRaw!$F471</f>
        <v>0</v>
      </c>
      <c r="B471" s="181" t="n">
        <f aca="false">ExportRaw!$C471</f>
        <v>0</v>
      </c>
      <c r="C471" s="181" t="n">
        <f aca="false">ExportRaw!$G471</f>
        <v>0</v>
      </c>
      <c r="D471" s="181" t="str">
        <f aca="false">ExportRaw!$E471</f>
        <v/>
      </c>
      <c r="E471" s="182" t="str">
        <f aca="false">ExportRaw!$D471</f>
        <v/>
      </c>
      <c r="F471" s="181" t="str">
        <f aca="false">ExportRaw!$H471</f>
        <v/>
      </c>
      <c r="G471" s="183" t="str">
        <f aca="false">ExportRaw!$I471</f>
        <v/>
      </c>
      <c r="H471" s="181" t="str">
        <f aca="false">ExportRaw!$A471</f>
        <v/>
      </c>
      <c r="I471" s="181" t="str">
        <f aca="false">ExportRaw!$B471</f>
        <v/>
      </c>
    </row>
    <row r="472" customFormat="false" ht="15.75" hidden="false" customHeight="false" outlineLevel="0" collapsed="false">
      <c r="A472" s="181" t="n">
        <f aca="false">ExportRaw!$F472</f>
        <v>0</v>
      </c>
      <c r="B472" s="181" t="n">
        <f aca="false">ExportRaw!$C472</f>
        <v>0</v>
      </c>
      <c r="C472" s="181" t="n">
        <f aca="false">ExportRaw!$G472</f>
        <v>0</v>
      </c>
      <c r="D472" s="181" t="str">
        <f aca="false">ExportRaw!$E472</f>
        <v/>
      </c>
      <c r="E472" s="182" t="str">
        <f aca="false">ExportRaw!$D472</f>
        <v/>
      </c>
      <c r="F472" s="181" t="str">
        <f aca="false">ExportRaw!$H472</f>
        <v/>
      </c>
      <c r="G472" s="183" t="str">
        <f aca="false">ExportRaw!$I472</f>
        <v/>
      </c>
      <c r="H472" s="181" t="str">
        <f aca="false">ExportRaw!$A472</f>
        <v/>
      </c>
      <c r="I472" s="181" t="str">
        <f aca="false">ExportRaw!$B472</f>
        <v/>
      </c>
    </row>
    <row r="473" customFormat="false" ht="15.75" hidden="false" customHeight="false" outlineLevel="0" collapsed="false">
      <c r="A473" s="181" t="n">
        <f aca="false">ExportRaw!$F473</f>
        <v>0</v>
      </c>
      <c r="B473" s="181" t="n">
        <f aca="false">ExportRaw!$C473</f>
        <v>0</v>
      </c>
      <c r="C473" s="181" t="n">
        <f aca="false">ExportRaw!$G473</f>
        <v>0</v>
      </c>
      <c r="D473" s="181" t="str">
        <f aca="false">ExportRaw!$E473</f>
        <v/>
      </c>
      <c r="E473" s="182" t="str">
        <f aca="false">ExportRaw!$D473</f>
        <v/>
      </c>
      <c r="F473" s="181" t="str">
        <f aca="false">ExportRaw!$H473</f>
        <v/>
      </c>
      <c r="G473" s="183" t="str">
        <f aca="false">ExportRaw!$I473</f>
        <v/>
      </c>
      <c r="H473" s="181" t="str">
        <f aca="false">ExportRaw!$A473</f>
        <v/>
      </c>
      <c r="I473" s="181" t="str">
        <f aca="false">ExportRaw!$B473</f>
        <v/>
      </c>
    </row>
    <row r="474" customFormat="false" ht="15.75" hidden="false" customHeight="false" outlineLevel="0" collapsed="false">
      <c r="A474" s="181" t="n">
        <f aca="false">ExportRaw!$F474</f>
        <v>0</v>
      </c>
      <c r="B474" s="181" t="n">
        <f aca="false">ExportRaw!$C474</f>
        <v>0</v>
      </c>
      <c r="C474" s="181" t="n">
        <f aca="false">ExportRaw!$G474</f>
        <v>0</v>
      </c>
      <c r="D474" s="181" t="str">
        <f aca="false">ExportRaw!$E474</f>
        <v/>
      </c>
      <c r="E474" s="182" t="str">
        <f aca="false">ExportRaw!$D474</f>
        <v/>
      </c>
      <c r="F474" s="181" t="str">
        <f aca="false">ExportRaw!$H474</f>
        <v/>
      </c>
      <c r="G474" s="183" t="str">
        <f aca="false">ExportRaw!$I474</f>
        <v/>
      </c>
      <c r="H474" s="181" t="str">
        <f aca="false">ExportRaw!$A474</f>
        <v/>
      </c>
      <c r="I474" s="181" t="str">
        <f aca="false">ExportRaw!$B474</f>
        <v/>
      </c>
    </row>
    <row r="475" customFormat="false" ht="15.75" hidden="false" customHeight="false" outlineLevel="0" collapsed="false">
      <c r="A475" s="181" t="n">
        <f aca="false">ExportRaw!$F475</f>
        <v>0</v>
      </c>
      <c r="B475" s="181" t="n">
        <f aca="false">ExportRaw!$C475</f>
        <v>0</v>
      </c>
      <c r="C475" s="181" t="n">
        <f aca="false">ExportRaw!$G475</f>
        <v>0</v>
      </c>
      <c r="D475" s="181" t="str">
        <f aca="false">ExportRaw!$E475</f>
        <v/>
      </c>
      <c r="E475" s="182" t="str">
        <f aca="false">ExportRaw!$D475</f>
        <v/>
      </c>
      <c r="F475" s="181" t="str">
        <f aca="false">ExportRaw!$H475</f>
        <v/>
      </c>
      <c r="G475" s="183" t="str">
        <f aca="false">ExportRaw!$I475</f>
        <v/>
      </c>
      <c r="H475" s="181" t="str">
        <f aca="false">ExportRaw!$A475</f>
        <v/>
      </c>
      <c r="I475" s="181" t="str">
        <f aca="false">ExportRaw!$B475</f>
        <v/>
      </c>
    </row>
    <row r="476" customFormat="false" ht="15.75" hidden="false" customHeight="false" outlineLevel="0" collapsed="false">
      <c r="A476" s="181" t="n">
        <f aca="false">ExportRaw!$F476</f>
        <v>0</v>
      </c>
      <c r="B476" s="181" t="n">
        <f aca="false">ExportRaw!$C476</f>
        <v>0</v>
      </c>
      <c r="C476" s="181" t="n">
        <f aca="false">ExportRaw!$G476</f>
        <v>0</v>
      </c>
      <c r="D476" s="181" t="str">
        <f aca="false">ExportRaw!$E476</f>
        <v/>
      </c>
      <c r="E476" s="182" t="str">
        <f aca="false">ExportRaw!$D476</f>
        <v/>
      </c>
      <c r="F476" s="181" t="str">
        <f aca="false">ExportRaw!$H476</f>
        <v/>
      </c>
      <c r="G476" s="183" t="str">
        <f aca="false">ExportRaw!$I476</f>
        <v/>
      </c>
      <c r="H476" s="181" t="str">
        <f aca="false">ExportRaw!$A476</f>
        <v/>
      </c>
      <c r="I476" s="181" t="str">
        <f aca="false">ExportRaw!$B476</f>
        <v/>
      </c>
    </row>
    <row r="477" customFormat="false" ht="15.75" hidden="false" customHeight="false" outlineLevel="0" collapsed="false">
      <c r="A477" s="181" t="n">
        <f aca="false">ExportRaw!$F477</f>
        <v>0</v>
      </c>
      <c r="B477" s="181" t="n">
        <f aca="false">ExportRaw!$C477</f>
        <v>0</v>
      </c>
      <c r="C477" s="181" t="n">
        <f aca="false">ExportRaw!$G477</f>
        <v>0</v>
      </c>
      <c r="D477" s="181" t="str">
        <f aca="false">ExportRaw!$E477</f>
        <v/>
      </c>
      <c r="E477" s="182" t="str">
        <f aca="false">ExportRaw!$D477</f>
        <v/>
      </c>
      <c r="F477" s="181" t="str">
        <f aca="false">ExportRaw!$H477</f>
        <v/>
      </c>
      <c r="G477" s="183" t="str">
        <f aca="false">ExportRaw!$I477</f>
        <v/>
      </c>
      <c r="H477" s="181" t="str">
        <f aca="false">ExportRaw!$A477</f>
        <v/>
      </c>
      <c r="I477" s="181" t="str">
        <f aca="false">ExportRaw!$B477</f>
        <v/>
      </c>
    </row>
    <row r="478" customFormat="false" ht="15.75" hidden="false" customHeight="false" outlineLevel="0" collapsed="false">
      <c r="A478" s="181" t="n">
        <f aca="false">ExportRaw!$F478</f>
        <v>0</v>
      </c>
      <c r="B478" s="181" t="n">
        <f aca="false">ExportRaw!$C478</f>
        <v>0</v>
      </c>
      <c r="C478" s="181" t="n">
        <f aca="false">ExportRaw!$G478</f>
        <v>0</v>
      </c>
      <c r="D478" s="181" t="str">
        <f aca="false">ExportRaw!$E478</f>
        <v/>
      </c>
      <c r="E478" s="182" t="str">
        <f aca="false">ExportRaw!$D478</f>
        <v/>
      </c>
      <c r="F478" s="181" t="str">
        <f aca="false">ExportRaw!$H478</f>
        <v/>
      </c>
      <c r="G478" s="183" t="str">
        <f aca="false">ExportRaw!$I478</f>
        <v/>
      </c>
      <c r="H478" s="181" t="str">
        <f aca="false">ExportRaw!$A478</f>
        <v/>
      </c>
      <c r="I478" s="181" t="str">
        <f aca="false">ExportRaw!$B478</f>
        <v/>
      </c>
    </row>
    <row r="479" customFormat="false" ht="15.75" hidden="false" customHeight="false" outlineLevel="0" collapsed="false">
      <c r="A479" s="181" t="n">
        <f aca="false">ExportRaw!$F479</f>
        <v>0</v>
      </c>
      <c r="B479" s="181" t="n">
        <f aca="false">ExportRaw!$C479</f>
        <v>0</v>
      </c>
      <c r="C479" s="181" t="n">
        <f aca="false">ExportRaw!$G479</f>
        <v>0</v>
      </c>
      <c r="D479" s="181" t="str">
        <f aca="false">ExportRaw!$E479</f>
        <v/>
      </c>
      <c r="E479" s="182" t="str">
        <f aca="false">ExportRaw!$D479</f>
        <v/>
      </c>
      <c r="F479" s="181" t="str">
        <f aca="false">ExportRaw!$H479</f>
        <v/>
      </c>
      <c r="G479" s="183" t="str">
        <f aca="false">ExportRaw!$I479</f>
        <v/>
      </c>
      <c r="H479" s="181" t="str">
        <f aca="false">ExportRaw!$A479</f>
        <v/>
      </c>
      <c r="I479" s="181" t="str">
        <f aca="false">ExportRaw!$B479</f>
        <v/>
      </c>
    </row>
    <row r="480" customFormat="false" ht="15.75" hidden="false" customHeight="false" outlineLevel="0" collapsed="false">
      <c r="A480" s="181" t="n">
        <f aca="false">ExportRaw!$F480</f>
        <v>0</v>
      </c>
      <c r="B480" s="181" t="n">
        <f aca="false">ExportRaw!$C480</f>
        <v>0</v>
      </c>
      <c r="C480" s="181" t="n">
        <f aca="false">ExportRaw!$G480</f>
        <v>0</v>
      </c>
      <c r="D480" s="181" t="str">
        <f aca="false">ExportRaw!$E480</f>
        <v/>
      </c>
      <c r="E480" s="182" t="str">
        <f aca="false">ExportRaw!$D480</f>
        <v/>
      </c>
      <c r="F480" s="181" t="str">
        <f aca="false">ExportRaw!$H480</f>
        <v/>
      </c>
      <c r="G480" s="183" t="str">
        <f aca="false">ExportRaw!$I480</f>
        <v/>
      </c>
      <c r="H480" s="181" t="str">
        <f aca="false">ExportRaw!$A480</f>
        <v/>
      </c>
      <c r="I480" s="181" t="str">
        <f aca="false">ExportRaw!$B480</f>
        <v/>
      </c>
    </row>
    <row r="481" customFormat="false" ht="15.75" hidden="false" customHeight="false" outlineLevel="0" collapsed="false">
      <c r="A481" s="181" t="n">
        <f aca="false">ExportRaw!$F481</f>
        <v>0</v>
      </c>
      <c r="B481" s="181" t="n">
        <f aca="false">ExportRaw!$C481</f>
        <v>0</v>
      </c>
      <c r="C481" s="181" t="n">
        <f aca="false">ExportRaw!$G481</f>
        <v>0</v>
      </c>
      <c r="D481" s="181" t="str">
        <f aca="false">ExportRaw!$E481</f>
        <v/>
      </c>
      <c r="E481" s="182" t="str">
        <f aca="false">ExportRaw!$D481</f>
        <v/>
      </c>
      <c r="F481" s="181" t="str">
        <f aca="false">ExportRaw!$H481</f>
        <v/>
      </c>
      <c r="G481" s="183" t="str">
        <f aca="false">ExportRaw!$I481</f>
        <v/>
      </c>
      <c r="H481" s="181" t="str">
        <f aca="false">ExportRaw!$A481</f>
        <v/>
      </c>
      <c r="I481" s="181" t="str">
        <f aca="false">ExportRaw!$B481</f>
        <v/>
      </c>
    </row>
    <row r="482" customFormat="false" ht="15.75" hidden="false" customHeight="false" outlineLevel="0" collapsed="false">
      <c r="A482" s="181" t="n">
        <f aca="false">ExportRaw!$F482</f>
        <v>0</v>
      </c>
      <c r="B482" s="181" t="n">
        <f aca="false">ExportRaw!$C482</f>
        <v>0</v>
      </c>
      <c r="C482" s="181" t="n">
        <f aca="false">ExportRaw!$G482</f>
        <v>0</v>
      </c>
      <c r="D482" s="181" t="str">
        <f aca="false">ExportRaw!$E482</f>
        <v/>
      </c>
      <c r="E482" s="182" t="str">
        <f aca="false">ExportRaw!$D482</f>
        <v/>
      </c>
      <c r="F482" s="181" t="str">
        <f aca="false">ExportRaw!$H482</f>
        <v/>
      </c>
      <c r="G482" s="183" t="str">
        <f aca="false">ExportRaw!$I482</f>
        <v/>
      </c>
      <c r="H482" s="181" t="str">
        <f aca="false">ExportRaw!$A482</f>
        <v/>
      </c>
      <c r="I482" s="181" t="str">
        <f aca="false">ExportRaw!$B482</f>
        <v/>
      </c>
    </row>
    <row r="483" customFormat="false" ht="15.75" hidden="false" customHeight="false" outlineLevel="0" collapsed="false">
      <c r="A483" s="181" t="n">
        <f aca="false">ExportRaw!$F483</f>
        <v>0</v>
      </c>
      <c r="B483" s="181" t="n">
        <f aca="false">ExportRaw!$C483</f>
        <v>0</v>
      </c>
      <c r="C483" s="181" t="n">
        <f aca="false">ExportRaw!$G483</f>
        <v>0</v>
      </c>
      <c r="D483" s="181" t="str">
        <f aca="false">ExportRaw!$E483</f>
        <v/>
      </c>
      <c r="E483" s="182" t="str">
        <f aca="false">ExportRaw!$D483</f>
        <v/>
      </c>
      <c r="F483" s="181" t="str">
        <f aca="false">ExportRaw!$H483</f>
        <v/>
      </c>
      <c r="G483" s="183" t="str">
        <f aca="false">ExportRaw!$I483</f>
        <v/>
      </c>
      <c r="H483" s="181" t="str">
        <f aca="false">ExportRaw!$A483</f>
        <v/>
      </c>
      <c r="I483" s="181" t="str">
        <f aca="false">ExportRaw!$B483</f>
        <v/>
      </c>
    </row>
    <row r="484" customFormat="false" ht="15.75" hidden="false" customHeight="false" outlineLevel="0" collapsed="false">
      <c r="A484" s="181" t="n">
        <f aca="false">ExportRaw!$F484</f>
        <v>0</v>
      </c>
      <c r="B484" s="181" t="n">
        <f aca="false">ExportRaw!$C484</f>
        <v>0</v>
      </c>
      <c r="C484" s="181" t="n">
        <f aca="false">ExportRaw!$G484</f>
        <v>0</v>
      </c>
      <c r="D484" s="181" t="str">
        <f aca="false">ExportRaw!$E484</f>
        <v/>
      </c>
      <c r="E484" s="182" t="str">
        <f aca="false">ExportRaw!$D484</f>
        <v/>
      </c>
      <c r="F484" s="181" t="str">
        <f aca="false">ExportRaw!$H484</f>
        <v/>
      </c>
      <c r="G484" s="183" t="str">
        <f aca="false">ExportRaw!$I484</f>
        <v/>
      </c>
      <c r="H484" s="181" t="str">
        <f aca="false">ExportRaw!$A484</f>
        <v/>
      </c>
      <c r="I484" s="181" t="str">
        <f aca="false">ExportRaw!$B484</f>
        <v/>
      </c>
    </row>
    <row r="485" customFormat="false" ht="15.75" hidden="false" customHeight="false" outlineLevel="0" collapsed="false">
      <c r="A485" s="181" t="n">
        <f aca="false">ExportRaw!$F485</f>
        <v>0</v>
      </c>
      <c r="B485" s="181" t="n">
        <f aca="false">ExportRaw!$C485</f>
        <v>0</v>
      </c>
      <c r="C485" s="181" t="n">
        <f aca="false">ExportRaw!$G485</f>
        <v>0</v>
      </c>
      <c r="D485" s="181" t="str">
        <f aca="false">ExportRaw!$E485</f>
        <v/>
      </c>
      <c r="E485" s="182" t="str">
        <f aca="false">ExportRaw!$D485</f>
        <v/>
      </c>
      <c r="F485" s="181" t="str">
        <f aca="false">ExportRaw!$H485</f>
        <v/>
      </c>
      <c r="G485" s="183" t="str">
        <f aca="false">ExportRaw!$I485</f>
        <v/>
      </c>
      <c r="H485" s="181" t="str">
        <f aca="false">ExportRaw!$A485</f>
        <v/>
      </c>
      <c r="I485" s="181" t="str">
        <f aca="false">ExportRaw!$B485</f>
        <v/>
      </c>
    </row>
    <row r="486" customFormat="false" ht="15.75" hidden="false" customHeight="false" outlineLevel="0" collapsed="false">
      <c r="A486" s="181" t="n">
        <f aca="false">ExportRaw!$F486</f>
        <v>0</v>
      </c>
      <c r="B486" s="181" t="n">
        <f aca="false">ExportRaw!$C486</f>
        <v>0</v>
      </c>
      <c r="C486" s="181" t="n">
        <f aca="false">ExportRaw!$G486</f>
        <v>0</v>
      </c>
      <c r="D486" s="181" t="str">
        <f aca="false">ExportRaw!$E486</f>
        <v/>
      </c>
      <c r="E486" s="182" t="str">
        <f aca="false">ExportRaw!$D486</f>
        <v/>
      </c>
      <c r="F486" s="181" t="str">
        <f aca="false">ExportRaw!$H486</f>
        <v/>
      </c>
      <c r="G486" s="183" t="str">
        <f aca="false">ExportRaw!$I486</f>
        <v/>
      </c>
      <c r="H486" s="181" t="str">
        <f aca="false">ExportRaw!$A486</f>
        <v/>
      </c>
      <c r="I486" s="181" t="str">
        <f aca="false">ExportRaw!$B486</f>
        <v/>
      </c>
    </row>
    <row r="487" customFormat="false" ht="15.75" hidden="false" customHeight="false" outlineLevel="0" collapsed="false">
      <c r="A487" s="181" t="n">
        <f aca="false">ExportRaw!$F487</f>
        <v>0</v>
      </c>
      <c r="B487" s="181" t="n">
        <f aca="false">ExportRaw!$C487</f>
        <v>0</v>
      </c>
      <c r="C487" s="181" t="n">
        <f aca="false">ExportRaw!$G487</f>
        <v>0</v>
      </c>
      <c r="D487" s="181" t="str">
        <f aca="false">ExportRaw!$E487</f>
        <v/>
      </c>
      <c r="E487" s="182" t="str">
        <f aca="false">ExportRaw!$D487</f>
        <v/>
      </c>
      <c r="F487" s="181" t="str">
        <f aca="false">ExportRaw!$H487</f>
        <v/>
      </c>
      <c r="G487" s="183" t="str">
        <f aca="false">ExportRaw!$I487</f>
        <v/>
      </c>
      <c r="H487" s="181" t="str">
        <f aca="false">ExportRaw!$A487</f>
        <v/>
      </c>
      <c r="I487" s="181" t="str">
        <f aca="false">ExportRaw!$B487</f>
        <v/>
      </c>
    </row>
    <row r="488" customFormat="false" ht="15.75" hidden="false" customHeight="false" outlineLevel="0" collapsed="false">
      <c r="A488" s="181" t="n">
        <f aca="false">ExportRaw!$F488</f>
        <v>0</v>
      </c>
      <c r="B488" s="181" t="n">
        <f aca="false">ExportRaw!$C488</f>
        <v>0</v>
      </c>
      <c r="C488" s="181" t="n">
        <f aca="false">ExportRaw!$G488</f>
        <v>0</v>
      </c>
      <c r="D488" s="181" t="str">
        <f aca="false">ExportRaw!$E488</f>
        <v/>
      </c>
      <c r="E488" s="182" t="str">
        <f aca="false">ExportRaw!$D488</f>
        <v/>
      </c>
      <c r="F488" s="181" t="str">
        <f aca="false">ExportRaw!$H488</f>
        <v/>
      </c>
      <c r="G488" s="183" t="str">
        <f aca="false">ExportRaw!$I488</f>
        <v/>
      </c>
      <c r="H488" s="181" t="str">
        <f aca="false">ExportRaw!$A488</f>
        <v/>
      </c>
      <c r="I488" s="181" t="str">
        <f aca="false">ExportRaw!$B488</f>
        <v/>
      </c>
    </row>
    <row r="489" customFormat="false" ht="15.75" hidden="false" customHeight="false" outlineLevel="0" collapsed="false">
      <c r="A489" s="181" t="n">
        <f aca="false">ExportRaw!$F489</f>
        <v>0</v>
      </c>
      <c r="B489" s="181" t="n">
        <f aca="false">ExportRaw!$C489</f>
        <v>0</v>
      </c>
      <c r="C489" s="181" t="n">
        <f aca="false">ExportRaw!$G489</f>
        <v>0</v>
      </c>
      <c r="D489" s="181" t="str">
        <f aca="false">ExportRaw!$E489</f>
        <v/>
      </c>
      <c r="E489" s="182" t="str">
        <f aca="false">ExportRaw!$D489</f>
        <v/>
      </c>
      <c r="F489" s="181" t="str">
        <f aca="false">ExportRaw!$H489</f>
        <v/>
      </c>
      <c r="G489" s="183" t="str">
        <f aca="false">ExportRaw!$I489</f>
        <v/>
      </c>
      <c r="H489" s="181" t="str">
        <f aca="false">ExportRaw!$A489</f>
        <v/>
      </c>
      <c r="I489" s="181" t="str">
        <f aca="false">ExportRaw!$B489</f>
        <v/>
      </c>
    </row>
    <row r="490" customFormat="false" ht="15.75" hidden="false" customHeight="false" outlineLevel="0" collapsed="false">
      <c r="A490" s="181" t="n">
        <f aca="false">ExportRaw!$F490</f>
        <v>0</v>
      </c>
      <c r="B490" s="181" t="n">
        <f aca="false">ExportRaw!$C490</f>
        <v>0</v>
      </c>
      <c r="C490" s="181" t="n">
        <f aca="false">ExportRaw!$G490</f>
        <v>0</v>
      </c>
      <c r="D490" s="181" t="str">
        <f aca="false">ExportRaw!$E490</f>
        <v/>
      </c>
      <c r="E490" s="182" t="str">
        <f aca="false">ExportRaw!$D490</f>
        <v/>
      </c>
      <c r="F490" s="181" t="str">
        <f aca="false">ExportRaw!$H490</f>
        <v/>
      </c>
      <c r="G490" s="183" t="str">
        <f aca="false">ExportRaw!$I490</f>
        <v/>
      </c>
      <c r="H490" s="181" t="str">
        <f aca="false">ExportRaw!$A490</f>
        <v/>
      </c>
      <c r="I490" s="181" t="str">
        <f aca="false">ExportRaw!$B490</f>
        <v/>
      </c>
    </row>
    <row r="491" customFormat="false" ht="15.75" hidden="false" customHeight="false" outlineLevel="0" collapsed="false">
      <c r="A491" s="181" t="n">
        <f aca="false">ExportRaw!$F491</f>
        <v>0</v>
      </c>
      <c r="B491" s="181" t="n">
        <f aca="false">ExportRaw!$C491</f>
        <v>0</v>
      </c>
      <c r="C491" s="181" t="n">
        <f aca="false">ExportRaw!$G491</f>
        <v>0</v>
      </c>
      <c r="D491" s="181" t="str">
        <f aca="false">ExportRaw!$E491</f>
        <v/>
      </c>
      <c r="E491" s="182" t="str">
        <f aca="false">ExportRaw!$D491</f>
        <v/>
      </c>
      <c r="F491" s="181" t="str">
        <f aca="false">ExportRaw!$H491</f>
        <v/>
      </c>
      <c r="G491" s="183" t="str">
        <f aca="false">ExportRaw!$I491</f>
        <v/>
      </c>
      <c r="H491" s="181" t="str">
        <f aca="false">ExportRaw!$A491</f>
        <v/>
      </c>
      <c r="I491" s="181" t="str">
        <f aca="false">ExportRaw!$B491</f>
        <v/>
      </c>
    </row>
    <row r="492" customFormat="false" ht="15.75" hidden="false" customHeight="false" outlineLevel="0" collapsed="false">
      <c r="A492" s="181" t="n">
        <f aca="false">ExportRaw!$F492</f>
        <v>0</v>
      </c>
      <c r="B492" s="181" t="n">
        <f aca="false">ExportRaw!$C492</f>
        <v>0</v>
      </c>
      <c r="C492" s="181" t="n">
        <f aca="false">ExportRaw!$G492</f>
        <v>0</v>
      </c>
      <c r="D492" s="181" t="str">
        <f aca="false">ExportRaw!$E492</f>
        <v/>
      </c>
      <c r="E492" s="182" t="str">
        <f aca="false">ExportRaw!$D492</f>
        <v/>
      </c>
      <c r="F492" s="181" t="str">
        <f aca="false">ExportRaw!$H492</f>
        <v/>
      </c>
      <c r="G492" s="183" t="str">
        <f aca="false">ExportRaw!$I492</f>
        <v/>
      </c>
      <c r="H492" s="181" t="str">
        <f aca="false">ExportRaw!$A492</f>
        <v/>
      </c>
      <c r="I492" s="181" t="str">
        <f aca="false">ExportRaw!$B492</f>
        <v/>
      </c>
    </row>
    <row r="493" customFormat="false" ht="15.75" hidden="false" customHeight="false" outlineLevel="0" collapsed="false">
      <c r="A493" s="181" t="n">
        <f aca="false">ExportRaw!$F493</f>
        <v>0</v>
      </c>
      <c r="B493" s="181" t="n">
        <f aca="false">ExportRaw!$C493</f>
        <v>0</v>
      </c>
      <c r="C493" s="181" t="n">
        <f aca="false">ExportRaw!$G493</f>
        <v>0</v>
      </c>
      <c r="D493" s="181" t="str">
        <f aca="false">ExportRaw!$E493</f>
        <v/>
      </c>
      <c r="E493" s="182" t="str">
        <f aca="false">ExportRaw!$D493</f>
        <v/>
      </c>
      <c r="F493" s="181" t="str">
        <f aca="false">ExportRaw!$H493</f>
        <v/>
      </c>
      <c r="G493" s="183" t="str">
        <f aca="false">ExportRaw!$I493</f>
        <v/>
      </c>
      <c r="H493" s="181" t="str">
        <f aca="false">ExportRaw!$A493</f>
        <v/>
      </c>
      <c r="I493" s="181" t="str">
        <f aca="false">ExportRaw!$B493</f>
        <v/>
      </c>
    </row>
    <row r="494" customFormat="false" ht="15.75" hidden="false" customHeight="false" outlineLevel="0" collapsed="false">
      <c r="A494" s="181" t="n">
        <f aca="false">ExportRaw!$F494</f>
        <v>0</v>
      </c>
      <c r="B494" s="181" t="n">
        <f aca="false">ExportRaw!$C494</f>
        <v>0</v>
      </c>
      <c r="C494" s="181" t="n">
        <f aca="false">ExportRaw!$G494</f>
        <v>0</v>
      </c>
      <c r="D494" s="181" t="str">
        <f aca="false">ExportRaw!$E494</f>
        <v/>
      </c>
      <c r="E494" s="182" t="str">
        <f aca="false">ExportRaw!$D494</f>
        <v/>
      </c>
      <c r="F494" s="181" t="str">
        <f aca="false">ExportRaw!$H494</f>
        <v/>
      </c>
      <c r="G494" s="183" t="str">
        <f aca="false">ExportRaw!$I494</f>
        <v/>
      </c>
      <c r="H494" s="181" t="str">
        <f aca="false">ExportRaw!$A494</f>
        <v/>
      </c>
      <c r="I494" s="181" t="str">
        <f aca="false">ExportRaw!$B494</f>
        <v/>
      </c>
    </row>
    <row r="495" customFormat="false" ht="15.75" hidden="false" customHeight="false" outlineLevel="0" collapsed="false">
      <c r="A495" s="181" t="n">
        <f aca="false">ExportRaw!$F495</f>
        <v>0</v>
      </c>
      <c r="B495" s="181" t="n">
        <f aca="false">ExportRaw!$C495</f>
        <v>0</v>
      </c>
      <c r="C495" s="181" t="n">
        <f aca="false">ExportRaw!$G495</f>
        <v>0</v>
      </c>
      <c r="D495" s="181" t="str">
        <f aca="false">ExportRaw!$E495</f>
        <v/>
      </c>
      <c r="E495" s="182" t="str">
        <f aca="false">ExportRaw!$D495</f>
        <v/>
      </c>
      <c r="F495" s="181" t="str">
        <f aca="false">ExportRaw!$H495</f>
        <v/>
      </c>
      <c r="G495" s="183" t="str">
        <f aca="false">ExportRaw!$I495</f>
        <v/>
      </c>
      <c r="H495" s="181" t="str">
        <f aca="false">ExportRaw!$A495</f>
        <v/>
      </c>
      <c r="I495" s="181" t="str">
        <f aca="false">ExportRaw!$B495</f>
        <v/>
      </c>
    </row>
    <row r="496" customFormat="false" ht="15.75" hidden="false" customHeight="false" outlineLevel="0" collapsed="false">
      <c r="A496" s="181" t="n">
        <f aca="false">ExportRaw!$F496</f>
        <v>0</v>
      </c>
      <c r="B496" s="181" t="n">
        <f aca="false">ExportRaw!$C496</f>
        <v>0</v>
      </c>
      <c r="C496" s="181" t="n">
        <f aca="false">ExportRaw!$G496</f>
        <v>0</v>
      </c>
      <c r="D496" s="181" t="str">
        <f aca="false">ExportRaw!$E496</f>
        <v/>
      </c>
      <c r="E496" s="182" t="str">
        <f aca="false">ExportRaw!$D496</f>
        <v/>
      </c>
      <c r="F496" s="181" t="str">
        <f aca="false">ExportRaw!$H496</f>
        <v/>
      </c>
      <c r="G496" s="183" t="str">
        <f aca="false">ExportRaw!$I496</f>
        <v/>
      </c>
      <c r="H496" s="181" t="str">
        <f aca="false">ExportRaw!$A496</f>
        <v/>
      </c>
      <c r="I496" s="181" t="str">
        <f aca="false">ExportRaw!$B496</f>
        <v/>
      </c>
    </row>
    <row r="497" customFormat="false" ht="15.75" hidden="false" customHeight="false" outlineLevel="0" collapsed="false">
      <c r="A497" s="181" t="n">
        <f aca="false">ExportRaw!$F497</f>
        <v>0</v>
      </c>
      <c r="B497" s="181" t="n">
        <f aca="false">ExportRaw!$C497</f>
        <v>0</v>
      </c>
      <c r="C497" s="181" t="n">
        <f aca="false">ExportRaw!$G497</f>
        <v>0</v>
      </c>
      <c r="D497" s="181" t="str">
        <f aca="false">ExportRaw!$E497</f>
        <v/>
      </c>
      <c r="E497" s="182" t="str">
        <f aca="false">ExportRaw!$D497</f>
        <v/>
      </c>
      <c r="F497" s="181" t="str">
        <f aca="false">ExportRaw!$H497</f>
        <v/>
      </c>
      <c r="G497" s="183" t="str">
        <f aca="false">ExportRaw!$I497</f>
        <v/>
      </c>
      <c r="H497" s="181" t="str">
        <f aca="false">ExportRaw!$A497</f>
        <v/>
      </c>
      <c r="I497" s="181" t="str">
        <f aca="false">ExportRaw!$B497</f>
        <v/>
      </c>
    </row>
    <row r="498" customFormat="false" ht="15.75" hidden="false" customHeight="false" outlineLevel="0" collapsed="false">
      <c r="A498" s="181" t="n">
        <f aca="false">ExportRaw!$F498</f>
        <v>0</v>
      </c>
      <c r="B498" s="181" t="n">
        <f aca="false">ExportRaw!$C498</f>
        <v>0</v>
      </c>
      <c r="C498" s="181" t="n">
        <f aca="false">ExportRaw!$G498</f>
        <v>0</v>
      </c>
      <c r="D498" s="181" t="str">
        <f aca="false">ExportRaw!$E498</f>
        <v/>
      </c>
      <c r="E498" s="182" t="str">
        <f aca="false">ExportRaw!$D498</f>
        <v/>
      </c>
      <c r="F498" s="181" t="str">
        <f aca="false">ExportRaw!$H498</f>
        <v/>
      </c>
      <c r="G498" s="183" t="str">
        <f aca="false">ExportRaw!$I498</f>
        <v/>
      </c>
      <c r="H498" s="181" t="str">
        <f aca="false">ExportRaw!$A498</f>
        <v/>
      </c>
      <c r="I498" s="181" t="str">
        <f aca="false">ExportRaw!$B498</f>
        <v/>
      </c>
    </row>
    <row r="499" customFormat="false" ht="15.75" hidden="false" customHeight="false" outlineLevel="0" collapsed="false">
      <c r="A499" s="181" t="n">
        <f aca="false">ExportRaw!$F499</f>
        <v>0</v>
      </c>
      <c r="B499" s="181" t="n">
        <f aca="false">ExportRaw!$C499</f>
        <v>0</v>
      </c>
      <c r="C499" s="181" t="n">
        <f aca="false">ExportRaw!$G499</f>
        <v>0</v>
      </c>
      <c r="D499" s="181" t="str">
        <f aca="false">ExportRaw!$E499</f>
        <v/>
      </c>
      <c r="E499" s="182" t="str">
        <f aca="false">ExportRaw!$D499</f>
        <v/>
      </c>
      <c r="F499" s="181" t="str">
        <f aca="false">ExportRaw!$H499</f>
        <v/>
      </c>
      <c r="G499" s="183" t="str">
        <f aca="false">ExportRaw!$I499</f>
        <v/>
      </c>
      <c r="H499" s="181" t="str">
        <f aca="false">ExportRaw!$A499</f>
        <v/>
      </c>
      <c r="I499" s="181" t="str">
        <f aca="false">ExportRaw!$B499</f>
        <v/>
      </c>
    </row>
    <row r="500" customFormat="false" ht="15.75" hidden="false" customHeight="false" outlineLevel="0" collapsed="false">
      <c r="A500" s="181" t="n">
        <f aca="false">ExportRaw!$F500</f>
        <v>0</v>
      </c>
      <c r="B500" s="181" t="n">
        <f aca="false">ExportRaw!$C500</f>
        <v>0</v>
      </c>
      <c r="C500" s="181" t="n">
        <f aca="false">ExportRaw!$G500</f>
        <v>0</v>
      </c>
      <c r="D500" s="181" t="str">
        <f aca="false">ExportRaw!$E500</f>
        <v/>
      </c>
      <c r="E500" s="182" t="str">
        <f aca="false">ExportRaw!$D500</f>
        <v/>
      </c>
      <c r="F500" s="181" t="str">
        <f aca="false">ExportRaw!$H500</f>
        <v/>
      </c>
      <c r="G500" s="183" t="str">
        <f aca="false">ExportRaw!$I500</f>
        <v/>
      </c>
      <c r="H500" s="181" t="str">
        <f aca="false">ExportRaw!$A500</f>
        <v/>
      </c>
      <c r="I500" s="181" t="str">
        <f aca="false">ExportRaw!$B500</f>
        <v/>
      </c>
    </row>
    <row r="501" customFormat="false" ht="15.75" hidden="false" customHeight="false" outlineLevel="0" collapsed="false">
      <c r="A501" s="181" t="n">
        <f aca="false">ExportRaw!$F501</f>
        <v>0</v>
      </c>
      <c r="B501" s="181" t="n">
        <f aca="false">ExportRaw!$C501</f>
        <v>0</v>
      </c>
      <c r="C501" s="181" t="n">
        <f aca="false">ExportRaw!$G501</f>
        <v>0</v>
      </c>
      <c r="D501" s="181" t="str">
        <f aca="false">ExportRaw!$E501</f>
        <v/>
      </c>
      <c r="E501" s="182" t="str">
        <f aca="false">ExportRaw!$D501</f>
        <v/>
      </c>
      <c r="F501" s="181" t="str">
        <f aca="false">ExportRaw!$H501</f>
        <v/>
      </c>
      <c r="G501" s="183" t="str">
        <f aca="false">ExportRaw!$I501</f>
        <v/>
      </c>
      <c r="H501" s="181" t="str">
        <f aca="false">ExportRaw!$A501</f>
        <v/>
      </c>
      <c r="I501" s="18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80" t="s">
        <v>125</v>
      </c>
      <c r="B1" s="180" t="s">
        <v>126</v>
      </c>
      <c r="C1" s="180" t="s">
        <v>127</v>
      </c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</row>
    <row r="2" customFormat="false" ht="15.75" hidden="false" customHeight="false" outlineLevel="0" collapsed="false">
      <c r="A2" s="184" t="n">
        <v>46291</v>
      </c>
      <c r="B2" s="181" t="s">
        <v>128</v>
      </c>
      <c r="C2" s="181" t="s">
        <v>129</v>
      </c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1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85" t="str">
        <f aca="false">IFERROR(__xludf.dummyfunction("""COMPUTED_VALUE"""),"Helicopter")</f>
        <v>Helicopter</v>
      </c>
      <c r="C1" s="181" t="str">
        <f aca="false">IFERROR(__xludf.dummyfunction("""COMPUTED_VALUE"""),"B/C")</f>
        <v>B/C</v>
      </c>
      <c r="D1" s="181" t="str">
        <f aca="false">IFERROR(__xludf.dummyfunction("""COMPUTED_VALUE"""),"0.6.1")</f>
        <v>0.6.1</v>
      </c>
      <c r="E1" s="186" t="n">
        <f aca="false">IFERROR(__xludf.dummyfunction("""COMPUTED_VALUE"""),46077)</f>
        <v>46077</v>
      </c>
      <c r="F1" s="181"/>
      <c r="G1" s="181" t="str">
        <f aca="false">IFERROR(__xludf.dummyfunction("""COMPUTED_VALUE"""),"Ready")</f>
        <v>Ready</v>
      </c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</row>
    <row r="2" customFormat="false" ht="15.75" hidden="false" customHeight="false" outlineLevel="0" collapsed="false">
      <c r="A2" s="181" t="str">
        <f aca="false">IFERROR(__xludf.dummyfunction("""COMPUTED_VALUE"""),"Mission Possible|B")</f>
        <v>Mission Possible|B</v>
      </c>
      <c r="B2" s="181" t="str">
        <f aca="false">IFERROR(__xludf.dummyfunction("""COMPUTED_VALUE"""),"Mission Possible")</f>
        <v>Mission Possible</v>
      </c>
      <c r="C2" s="181" t="str">
        <f aca="false">IFERROR(__xludf.dummyfunction("""COMPUTED_VALUE"""),"B")</f>
        <v>B</v>
      </c>
      <c r="D2" s="181" t="str">
        <f aca="false">IFERROR(__xludf.dummyfunction("""COMPUTED_VALUE"""),"0.5.1")</f>
        <v>0.5.1</v>
      </c>
      <c r="E2" s="186" t="n">
        <f aca="false">IFERROR(__xludf.dummyfunction("""COMPUTED_VALUE"""),46077)</f>
        <v>46077</v>
      </c>
      <c r="F2" s="181"/>
      <c r="G2" s="181" t="str">
        <f aca="false">IFERROR(__xludf.dummyfunction("""COMPUTED_VALUE"""),"Ready")</f>
        <v>Ready</v>
      </c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</row>
    <row r="3" customFormat="false" ht="15.75" hidden="false" customHeight="false" outlineLevel="0" collapsed="false">
      <c r="A3" s="181" t="str">
        <f aca="false">IFERROR(__xludf.dummyfunction("""COMPUTED_VALUE"""),"Scrambler|B")</f>
        <v>Scrambler|B</v>
      </c>
      <c r="B3" s="181" t="str">
        <f aca="false">IFERROR(__xludf.dummyfunction("""COMPUTED_VALUE"""),"Scrambler")</f>
        <v>Scrambler</v>
      </c>
      <c r="C3" s="181" t="str">
        <f aca="false">IFERROR(__xludf.dummyfunction("""COMPUTED_VALUE"""),"B")</f>
        <v>B</v>
      </c>
      <c r="D3" s="181" t="str">
        <f aca="false">IFERROR(__xludf.dummyfunction("""COMPUTED_VALUE"""),"0.4.1")</f>
        <v>0.4.1</v>
      </c>
      <c r="E3" s="186" t="n">
        <f aca="false">IFERROR(__xludf.dummyfunction("""COMPUTED_VALUE"""),46077)</f>
        <v>46077</v>
      </c>
      <c r="F3" s="181"/>
      <c r="G3" s="181" t="str">
        <f aca="false">IFERROR(__xludf.dummyfunction("""COMPUTED_VALUE"""),"Ready")</f>
        <v>Ready</v>
      </c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</row>
    <row r="4" customFormat="false" ht="15.75" hidden="false" customHeight="false" outlineLevel="0" collapsed="false">
      <c r="A4" s="181" t="str">
        <f aca="false">IFERROR(__xludf.dummyfunction("""COMPUTED_VALUE"""),"Bungee Drop|C")</f>
        <v>Bungee Drop|C</v>
      </c>
      <c r="B4" s="181" t="str">
        <f aca="false">IFERROR(__xludf.dummyfunction("""COMPUTED_VALUE"""),"Bungee Drop")</f>
        <v>Bungee Drop</v>
      </c>
      <c r="C4" s="181" t="str">
        <f aca="false">IFERROR(__xludf.dummyfunction("""COMPUTED_VALUE"""),"C")</f>
        <v>C</v>
      </c>
      <c r="D4" s="181" t="str">
        <f aca="false">IFERROR(__xludf.dummyfunction("""COMPUTED_VALUE"""),"0.4.3")</f>
        <v>0.4.3</v>
      </c>
      <c r="E4" s="186" t="n">
        <f aca="false">IFERROR(__xludf.dummyfunction("""COMPUTED_VALUE"""),46077)</f>
        <v>46077</v>
      </c>
      <c r="F4" s="181"/>
      <c r="G4" s="181" t="str">
        <f aca="false">IFERROR(__xludf.dummyfunction("""COMPUTED_VALUE"""),"Ready")</f>
        <v>Ready</v>
      </c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</row>
    <row r="5" customFormat="false" ht="15.75" hidden="false" customHeight="false" outlineLevel="0" collapsed="false">
      <c r="A5" s="181" t="str">
        <f aca="false">IFERROR(__xludf.dummyfunction("""COMPUTED_VALUE"""),"Electric Vehicle|C")</f>
        <v>Electric Vehicle|C</v>
      </c>
      <c r="B5" s="181" t="str">
        <f aca="false">IFERROR(__xludf.dummyfunction("""COMPUTED_VALUE"""),"Electric Vehicle")</f>
        <v>Electric Vehicle</v>
      </c>
      <c r="C5" s="181" t="str">
        <f aca="false">IFERROR(__xludf.dummyfunction("""COMPUTED_VALUE"""),"C")</f>
        <v>C</v>
      </c>
      <c r="D5" s="181" t="str">
        <f aca="false">IFERROR(__xludf.dummyfunction("""COMPUTED_VALUE"""),"0.8.0")</f>
        <v>0.8.0</v>
      </c>
      <c r="E5" s="186" t="n">
        <f aca="false">IFERROR(__xludf.dummyfunction("""COMPUTED_VALUE"""),46047)</f>
        <v>46047</v>
      </c>
      <c r="F5" s="181"/>
      <c r="G5" s="181" t="str">
        <f aca="false">IFERROR(__xludf.dummyfunction("""COMPUTED_VALUE"""),"Ready")</f>
        <v>Ready</v>
      </c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</row>
    <row r="6" customFormat="false" ht="15.75" hidden="false" customHeight="false" outlineLevel="0" collapsed="false">
      <c r="A6" s="181" t="str">
        <f aca="false">IFERROR(__xludf.dummyfunction("""COMPUTED_VALUE"""),"Robot Tour|C")</f>
        <v>Robot Tour|C</v>
      </c>
      <c r="B6" s="181" t="str">
        <f aca="false">IFERROR(__xludf.dummyfunction("""COMPUTED_VALUE"""),"Robot Tour")</f>
        <v>Robot Tour</v>
      </c>
      <c r="C6" s="181" t="str">
        <f aca="false">IFERROR(__xludf.dummyfunction("""COMPUTED_VALUE"""),"C")</f>
        <v>C</v>
      </c>
      <c r="D6" s="181" t="str">
        <f aca="false">IFERROR(__xludf.dummyfunction("""COMPUTED_VALUE"""),"0.6.0")</f>
        <v>0.6.0</v>
      </c>
      <c r="E6" s="186" t="n">
        <f aca="false">IFERROR(__xludf.dummyfunction("""COMPUTED_VALUE"""),46077)</f>
        <v>46077</v>
      </c>
      <c r="F6" s="181"/>
      <c r="G6" s="181" t="str">
        <f aca="false">IFERROR(__xludf.dummyfunction("""COMPUTED_VALUE"""),"Ready")</f>
        <v>Ready</v>
      </c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  <c r="AA6" s="181"/>
    </row>
    <row r="7" customFormat="false" ht="15.75" hidden="false" customHeight="false" outlineLevel="0" collapsed="false">
      <c r="A7" s="181" t="str">
        <f aca="false">IFERROR(__xludf.dummyfunction("""COMPUTED_VALUE"""),"Hovercraft|B/C")</f>
        <v>Hovercraft|B/C</v>
      </c>
      <c r="B7" s="181" t="str">
        <f aca="false">IFERROR(__xludf.dummyfunction("""COMPUTED_VALUE"""),"Hovercraft")</f>
        <v>Hovercraft</v>
      </c>
      <c r="C7" s="181" t="str">
        <f aca="false">IFERROR(__xludf.dummyfunction("""COMPUTED_VALUE"""),"B/C")</f>
        <v>B/C</v>
      </c>
      <c r="D7" s="181" t="str">
        <f aca="false">IFERROR(__xludf.dummyfunction("""COMPUTED_VALUE"""),"0.5.3")</f>
        <v>0.5.3</v>
      </c>
      <c r="E7" s="186" t="n">
        <f aca="false">IFERROR(__xludf.dummyfunction("""COMPUTED_VALUE"""),46055)</f>
        <v>46055</v>
      </c>
      <c r="F7" s="181"/>
      <c r="G7" s="181" t="str">
        <f aca="false">IFERROR(__xludf.dummyfunction("""COMPUTED_VALUE"""),"Ready")</f>
        <v>Ready</v>
      </c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</row>
    <row r="8" customFormat="false" ht="15.75" hidden="false" customHeight="false" outlineLevel="0" collapsed="false">
      <c r="A8" s="181" t="str">
        <f aca="false">IFERROR(__xludf.dummyfunction("""COMPUTED_VALUE"""),"Boomilever|B/C")</f>
        <v>Boomilever|B/C</v>
      </c>
      <c r="B8" s="181" t="str">
        <f aca="false">IFERROR(__xludf.dummyfunction("""COMPUTED_VALUE"""),"Boomilever")</f>
        <v>Boomilever</v>
      </c>
      <c r="C8" s="181" t="str">
        <f aca="false">IFERROR(__xludf.dummyfunction("""COMPUTED_VALUE"""),"B/C")</f>
        <v>B/C</v>
      </c>
      <c r="D8" s="181" t="str">
        <f aca="false">IFERROR(__xludf.dummyfunction("""COMPUTED_VALUE"""),"0.3.0")</f>
        <v>0.3.0</v>
      </c>
      <c r="E8" s="186" t="n">
        <f aca="false">IFERROR(__xludf.dummyfunction("""COMPUTED_VALUE"""),46077)</f>
        <v>46077</v>
      </c>
      <c r="F8" s="181"/>
      <c r="G8" s="181" t="str">
        <f aca="false">IFERROR(__xludf.dummyfunction("""COMPUTED_VALUE"""),"Ready")</f>
        <v>Ready</v>
      </c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</row>
    <row r="9" customFormat="false" ht="15.75" hidden="false" customHeight="false" outlineLevel="0" collapsed="false">
      <c r="A9" s="181" t="str">
        <f aca="false">IFERROR(__xludf.dummyfunction("""COMPUTED_VALUE"""),"Machines|B/C")</f>
        <v>Machines|B/C</v>
      </c>
      <c r="B9" s="181" t="str">
        <f aca="false">IFERROR(__xludf.dummyfunction("""COMPUTED_VALUE"""),"Machines")</f>
        <v>Machines</v>
      </c>
      <c r="C9" s="181" t="str">
        <f aca="false">IFERROR(__xludf.dummyfunction("""COMPUTED_VALUE"""),"B/C")</f>
        <v>B/C</v>
      </c>
      <c r="D9" s="181" t="str">
        <f aca="false">IFERROR(__xludf.dummyfunction("""COMPUTED_VALUE"""),"0.4.0")</f>
        <v>0.4.0</v>
      </c>
      <c r="E9" s="186" t="n">
        <f aca="false">IFERROR(__xludf.dummyfunction("""COMPUTED_VALUE"""),45996)</f>
        <v>45996</v>
      </c>
      <c r="F9" s="181"/>
      <c r="G9" s="181" t="str">
        <f aca="false">IFERROR(__xludf.dummyfunction("""COMPUTED_VALUE"""),"Ready")</f>
        <v>Ready</v>
      </c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</row>
    <row r="10" customFormat="false" ht="15.75" hidden="false" customHeight="false" outlineLevel="0" collapsed="false">
      <c r="A10" s="181" t="str">
        <f aca="false">IFERROR(__xludf.dummyfunction("""COMPUTED_VALUE"""),"Engineering CAD|C")</f>
        <v>Engineering CAD|C</v>
      </c>
      <c r="B10" s="181" t="str">
        <f aca="false">IFERROR(__xludf.dummyfunction("""COMPUTED_VALUE"""),"Engineering CAD")</f>
        <v>Engineering CAD</v>
      </c>
      <c r="C10" s="181" t="str">
        <f aca="false">IFERROR(__xludf.dummyfunction("""COMPUTED_VALUE"""),"C")</f>
        <v>C</v>
      </c>
      <c r="D10" s="181" t="str">
        <f aca="false">IFERROR(__xludf.dummyfunction("""COMPUTED_VALUE"""),"1.0.0")</f>
        <v>1.0.0</v>
      </c>
      <c r="E10" s="186" t="n">
        <f aca="false">IFERROR(__xludf.dummyfunction("""COMPUTED_VALUE"""),46095)</f>
        <v>46095</v>
      </c>
      <c r="F10" s="181"/>
      <c r="G10" s="181" t="str">
        <f aca="false">IFERROR(__xludf.dummyfunction("""COMPUTED_VALUE"""),"Ready")</f>
        <v>Ready</v>
      </c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</row>
    <row r="11" customFormat="false" ht="15.75" hidden="false" customHeight="false" outlineLevel="0" collapsed="false">
      <c r="A11" s="181"/>
      <c r="B11" s="181"/>
      <c r="C11" s="181"/>
      <c r="D11" s="181"/>
      <c r="E11" s="186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</row>
    <row r="12" customFormat="false" ht="15.75" hidden="false" customHeight="false" outlineLevel="0" collapsed="false">
      <c r="A12" s="181"/>
      <c r="B12" s="181"/>
      <c r="C12" s="181"/>
      <c r="D12" s="181"/>
      <c r="E12" s="186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</row>
    <row r="13" customFormat="false" ht="15.75" hidden="false" customHeight="false" outlineLevel="0" collapsed="false">
      <c r="A13" s="181"/>
      <c r="B13" s="181"/>
      <c r="C13" s="181"/>
      <c r="D13" s="181"/>
      <c r="E13" s="186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</row>
    <row r="14" customFormat="false" ht="15.75" hidden="false" customHeight="false" outlineLevel="0" collapsed="false">
      <c r="A14" s="181"/>
      <c r="B14" s="181"/>
      <c r="C14" s="181"/>
      <c r="D14" s="181"/>
      <c r="E14" s="186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  <c r="W14" s="181"/>
      <c r="X14" s="181"/>
      <c r="Y14" s="181"/>
      <c r="Z14" s="181"/>
      <c r="AA14" s="181"/>
    </row>
    <row r="15" customFormat="false" ht="15.75" hidden="false" customHeight="false" outlineLevel="0" collapsed="false">
      <c r="A15" s="181"/>
      <c r="B15" s="181"/>
      <c r="C15" s="181"/>
      <c r="D15" s="181"/>
      <c r="E15" s="186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</row>
    <row r="16" customFormat="false" ht="15.75" hidden="false" customHeight="false" outlineLevel="0" collapsed="false">
      <c r="A16" s="181"/>
      <c r="B16" s="181"/>
      <c r="C16" s="181"/>
      <c r="D16" s="181"/>
      <c r="E16" s="186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</row>
    <row r="17" customFormat="false" ht="15.75" hidden="false" customHeight="false" outlineLevel="0" collapsed="false">
      <c r="A17" s="181"/>
      <c r="B17" s="181"/>
      <c r="C17" s="181"/>
      <c r="D17" s="181"/>
      <c r="E17" s="186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</row>
    <row r="18" customFormat="false" ht="15.75" hidden="false" customHeight="false" outlineLevel="0" collapsed="false">
      <c r="A18" s="181"/>
      <c r="B18" s="181"/>
      <c r="C18" s="181"/>
      <c r="D18" s="181"/>
      <c r="E18" s="186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</row>
    <row r="19" customFormat="false" ht="15.75" hidden="false" customHeight="false" outlineLevel="0" collapsed="false">
      <c r="A19" s="181"/>
      <c r="B19" s="181"/>
      <c r="C19" s="181"/>
      <c r="D19" s="181"/>
      <c r="E19" s="186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</row>
    <row r="20" customFormat="false" ht="15.75" hidden="false" customHeight="false" outlineLevel="0" collapsed="false">
      <c r="A20" s="181"/>
      <c r="B20" s="181"/>
      <c r="C20" s="181"/>
      <c r="D20" s="181"/>
      <c r="E20" s="186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  <c r="AA20" s="181"/>
    </row>
    <row r="21" customFormat="false" ht="15.75" hidden="false" customHeight="false" outlineLevel="0" collapsed="false">
      <c r="A21" s="181" t="str">
        <f aca="false">IF(ISBLANK(B21),"",B21&amp;"|"&amp;C21)</f>
        <v/>
      </c>
      <c r="B21" s="181"/>
      <c r="C21" s="181"/>
      <c r="D21" s="181"/>
      <c r="E21" s="186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81"/>
      <c r="V21" s="181"/>
      <c r="W21" s="181"/>
      <c r="X21" s="181"/>
      <c r="Y21" s="181"/>
      <c r="Z21" s="181"/>
      <c r="AA21" s="181"/>
    </row>
    <row r="22" customFormat="false" ht="15.75" hidden="false" customHeight="false" outlineLevel="0" collapsed="false">
      <c r="A22" s="181" t="str">
        <f aca="false">IF(ISBLANK(B22),"",B22&amp;"|"&amp;C22)</f>
        <v/>
      </c>
      <c r="B22" s="181"/>
      <c r="C22" s="181"/>
      <c r="D22" s="181"/>
      <c r="E22" s="186"/>
      <c r="F22" s="181"/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  <c r="AA22" s="181"/>
    </row>
    <row r="23" customFormat="false" ht="15.75" hidden="false" customHeight="false" outlineLevel="0" collapsed="false">
      <c r="A23" s="181" t="str">
        <f aca="false">IF(ISBLANK(B23),"",B23&amp;"|"&amp;C23)</f>
        <v/>
      </c>
      <c r="B23" s="181"/>
      <c r="C23" s="181"/>
      <c r="D23" s="181"/>
      <c r="E23" s="186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</row>
    <row r="24" customFormat="false" ht="15.75" hidden="false" customHeight="false" outlineLevel="0" collapsed="false">
      <c r="A24" s="181" t="str">
        <f aca="false">IF(ISBLANK(B24),"",B24&amp;"|"&amp;C24)</f>
        <v/>
      </c>
      <c r="B24" s="181"/>
      <c r="C24" s="181"/>
      <c r="D24" s="181"/>
      <c r="E24" s="186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</row>
    <row r="25" customFormat="false" ht="15.75" hidden="false" customHeight="false" outlineLevel="0" collapsed="false">
      <c r="A25" s="181" t="str">
        <f aca="false">IF(ISBLANK(B25),"",B25&amp;"|"&amp;C25)</f>
        <v/>
      </c>
      <c r="B25" s="181"/>
      <c r="C25" s="181"/>
      <c r="D25" s="181"/>
      <c r="E25" s="186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</row>
    <row r="26" customFormat="false" ht="15.75" hidden="false" customHeight="false" outlineLevel="0" collapsed="false">
      <c r="A26" s="181" t="str">
        <f aca="false">IF(ISBLANK(B26),"",B26&amp;"|"&amp;C26)</f>
        <v/>
      </c>
      <c r="B26" s="181"/>
      <c r="C26" s="181"/>
      <c r="D26" s="181"/>
      <c r="E26" s="186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</row>
    <row r="27" customFormat="false" ht="15.75" hidden="false" customHeight="false" outlineLevel="0" collapsed="false">
      <c r="A27" s="181" t="str">
        <f aca="false">IF(ISBLANK(B27),"",B27&amp;"|"&amp;C27)</f>
        <v/>
      </c>
      <c r="B27" s="181"/>
      <c r="C27" s="181"/>
      <c r="D27" s="181"/>
      <c r="E27" s="186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</row>
    <row r="28" customFormat="false" ht="15.75" hidden="false" customHeight="false" outlineLevel="0" collapsed="false">
      <c r="A28" s="181" t="str">
        <f aca="false">IF(ISBLANK(B28),"",B28&amp;"|"&amp;C28)</f>
        <v/>
      </c>
      <c r="B28" s="181"/>
      <c r="C28" s="181"/>
      <c r="D28" s="181"/>
      <c r="E28" s="186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</row>
    <row r="29" customFormat="false" ht="15.75" hidden="false" customHeight="false" outlineLevel="0" collapsed="false">
      <c r="A29" s="181" t="str">
        <f aca="false">IF(ISBLANK(B29),"",B29&amp;"|"&amp;C29)</f>
        <v/>
      </c>
      <c r="B29" s="181"/>
      <c r="C29" s="181"/>
      <c r="D29" s="181"/>
      <c r="E29" s="186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</row>
    <row r="30" customFormat="false" ht="15.75" hidden="false" customHeight="false" outlineLevel="0" collapsed="false">
      <c r="A30" s="181" t="str">
        <f aca="false">IF(ISBLANK(B30),"",B30&amp;"|"&amp;C30)</f>
        <v/>
      </c>
      <c r="B30" s="181"/>
      <c r="C30" s="181"/>
      <c r="D30" s="181"/>
      <c r="E30" s="186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</row>
    <row r="31" customFormat="false" ht="15.75" hidden="false" customHeight="false" outlineLevel="0" collapsed="false">
      <c r="A31" s="181" t="str">
        <f aca="false">IF(ISBLANK(B31),"",B31&amp;"|"&amp;C31)</f>
        <v/>
      </c>
      <c r="B31" s="181"/>
      <c r="C31" s="181"/>
      <c r="D31" s="181"/>
      <c r="E31" s="186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</row>
    <row r="32" customFormat="false" ht="15.75" hidden="false" customHeight="false" outlineLevel="0" collapsed="false">
      <c r="A32" s="181" t="str">
        <f aca="false">IF(ISBLANK(B32),"",B32&amp;"|"&amp;C32)</f>
        <v/>
      </c>
      <c r="B32" s="181"/>
      <c r="C32" s="181"/>
      <c r="D32" s="181"/>
      <c r="E32" s="186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</row>
    <row r="33" customFormat="false" ht="15.75" hidden="false" customHeight="false" outlineLevel="0" collapsed="false">
      <c r="A33" s="181" t="str">
        <f aca="false">IF(ISBLANK(B33),"",B33&amp;"|"&amp;C33)</f>
        <v/>
      </c>
      <c r="B33" s="181"/>
      <c r="C33" s="181"/>
      <c r="D33" s="181"/>
      <c r="E33" s="186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</row>
    <row r="34" customFormat="false" ht="15.75" hidden="false" customHeight="false" outlineLevel="0" collapsed="false">
      <c r="A34" s="181" t="str">
        <f aca="false">IF(ISBLANK(B34),"",B34&amp;"|"&amp;C34)</f>
        <v/>
      </c>
      <c r="B34" s="181"/>
      <c r="C34" s="181"/>
      <c r="D34" s="181"/>
      <c r="E34" s="186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</row>
    <row r="35" customFormat="false" ht="15.75" hidden="false" customHeight="false" outlineLevel="0" collapsed="false">
      <c r="A35" s="181" t="str">
        <f aca="false">IF(ISBLANK(B35),"",B35&amp;"|"&amp;C35)</f>
        <v/>
      </c>
      <c r="B35" s="181"/>
      <c r="C35" s="181"/>
      <c r="D35" s="181"/>
      <c r="E35" s="186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</row>
    <row r="36" customFormat="false" ht="15.75" hidden="false" customHeight="false" outlineLevel="0" collapsed="false">
      <c r="A36" s="181" t="str">
        <f aca="false">IF(ISBLANK(B36),"",B36&amp;"|"&amp;C36)</f>
        <v/>
      </c>
      <c r="B36" s="181"/>
      <c r="C36" s="181"/>
      <c r="D36" s="181"/>
      <c r="E36" s="186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</row>
    <row r="37" customFormat="false" ht="15.75" hidden="false" customHeight="false" outlineLevel="0" collapsed="false">
      <c r="A37" s="181" t="str">
        <f aca="false">IF(ISBLANK(B37),"",B37&amp;"|"&amp;C37)</f>
        <v/>
      </c>
      <c r="B37" s="181"/>
      <c r="C37" s="181"/>
      <c r="D37" s="181"/>
      <c r="E37" s="186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</row>
    <row r="38" customFormat="false" ht="15.75" hidden="false" customHeight="false" outlineLevel="0" collapsed="false">
      <c r="A38" s="181" t="str">
        <f aca="false">IF(ISBLANK(B38),"",B38&amp;"|"&amp;C38)</f>
        <v/>
      </c>
      <c r="B38" s="181"/>
      <c r="C38" s="181"/>
      <c r="D38" s="181"/>
      <c r="E38" s="186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</row>
    <row r="39" customFormat="false" ht="15.75" hidden="false" customHeight="false" outlineLevel="0" collapsed="false">
      <c r="A39" s="181" t="str">
        <f aca="false">IF(ISBLANK(B39),"",B39&amp;"|"&amp;C39)</f>
        <v/>
      </c>
      <c r="B39" s="181"/>
      <c r="C39" s="181"/>
      <c r="D39" s="181"/>
      <c r="E39" s="186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</row>
    <row r="40" customFormat="false" ht="15.75" hidden="false" customHeight="false" outlineLevel="0" collapsed="false">
      <c r="A40" s="181" t="str">
        <f aca="false">IF(ISBLANK(B40),"",B40&amp;"|"&amp;C40)</f>
        <v/>
      </c>
      <c r="B40" s="181"/>
      <c r="C40" s="181"/>
      <c r="D40" s="181"/>
      <c r="E40" s="186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</row>
    <row r="41" customFormat="false" ht="15.75" hidden="false" customHeight="false" outlineLevel="0" collapsed="false">
      <c r="A41" s="181" t="str">
        <f aca="false">IF(ISBLANK(B41),"",B41&amp;"|"&amp;C41)</f>
        <v/>
      </c>
      <c r="B41" s="181"/>
      <c r="C41" s="181"/>
      <c r="D41" s="181"/>
      <c r="E41" s="186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</row>
    <row r="42" customFormat="false" ht="15.75" hidden="false" customHeight="false" outlineLevel="0" collapsed="false">
      <c r="A42" s="181" t="str">
        <f aca="false">IF(ISBLANK(B42),"",B42&amp;"|"&amp;C42)</f>
        <v/>
      </c>
      <c r="B42" s="181"/>
      <c r="C42" s="181"/>
      <c r="D42" s="181"/>
      <c r="E42" s="186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</row>
    <row r="43" customFormat="false" ht="15.75" hidden="false" customHeight="false" outlineLevel="0" collapsed="false">
      <c r="A43" s="181" t="str">
        <f aca="false">IF(ISBLANK(B43),"",B43&amp;"|"&amp;C43)</f>
        <v/>
      </c>
      <c r="B43" s="181"/>
      <c r="C43" s="181"/>
      <c r="D43" s="181"/>
      <c r="E43" s="186"/>
      <c r="F43" s="181"/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181"/>
      <c r="T43" s="181"/>
      <c r="U43" s="181"/>
      <c r="V43" s="181"/>
      <c r="W43" s="181"/>
      <c r="X43" s="181"/>
      <c r="Y43" s="181"/>
      <c r="Z43" s="181"/>
      <c r="AA43" s="181"/>
    </row>
    <row r="44" customFormat="false" ht="15.75" hidden="false" customHeight="false" outlineLevel="0" collapsed="false">
      <c r="A44" s="181" t="str">
        <f aca="false">IF(ISBLANK(B44),"",B44&amp;"|"&amp;C44)</f>
        <v/>
      </c>
      <c r="B44" s="181"/>
      <c r="C44" s="181"/>
      <c r="D44" s="181"/>
      <c r="E44" s="186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181"/>
      <c r="Y44" s="181"/>
      <c r="Z44" s="181"/>
      <c r="AA44" s="181"/>
    </row>
    <row r="45" customFormat="false" ht="15.75" hidden="false" customHeight="false" outlineLevel="0" collapsed="false">
      <c r="A45" s="181" t="str">
        <f aca="false">IF(ISBLANK(B45),"",B45&amp;"|"&amp;C45)</f>
        <v/>
      </c>
      <c r="B45" s="181"/>
      <c r="C45" s="181"/>
      <c r="D45" s="181"/>
      <c r="E45" s="186"/>
      <c r="F45" s="181"/>
      <c r="G45" s="181"/>
      <c r="H45" s="181"/>
      <c r="I45" s="181"/>
      <c r="J45" s="181"/>
      <c r="K45" s="181"/>
      <c r="L45" s="181"/>
      <c r="M45" s="181"/>
      <c r="N45" s="181"/>
      <c r="O45" s="181"/>
      <c r="P45" s="181"/>
      <c r="Q45" s="181"/>
      <c r="R45" s="181"/>
      <c r="S45" s="181"/>
      <c r="T45" s="181"/>
      <c r="U45" s="181"/>
      <c r="V45" s="181"/>
      <c r="W45" s="181"/>
      <c r="X45" s="181"/>
      <c r="Y45" s="181"/>
      <c r="Z45" s="181"/>
      <c r="AA45" s="181"/>
    </row>
    <row r="46" customFormat="false" ht="15.75" hidden="false" customHeight="false" outlineLevel="0" collapsed="false">
      <c r="A46" s="181" t="str">
        <f aca="false">IF(ISBLANK(B46),"",B46&amp;"|"&amp;C46)</f>
        <v/>
      </c>
      <c r="B46" s="181"/>
      <c r="C46" s="181"/>
      <c r="D46" s="181"/>
      <c r="E46" s="186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1"/>
      <c r="V46" s="181"/>
      <c r="W46" s="181"/>
      <c r="X46" s="181"/>
      <c r="Y46" s="181"/>
      <c r="Z46" s="181"/>
      <c r="AA46" s="181"/>
    </row>
    <row r="47" customFormat="false" ht="15.75" hidden="false" customHeight="false" outlineLevel="0" collapsed="false">
      <c r="A47" s="181" t="str">
        <f aca="false">IF(ISBLANK(B47),"",B47&amp;"|"&amp;C47)</f>
        <v/>
      </c>
      <c r="B47" s="181"/>
      <c r="C47" s="181"/>
      <c r="D47" s="181"/>
      <c r="E47" s="186"/>
      <c r="F47" s="181"/>
      <c r="G47" s="181"/>
      <c r="H47" s="181"/>
      <c r="I47" s="181"/>
      <c r="J47" s="181"/>
      <c r="K47" s="181"/>
      <c r="L47" s="181"/>
      <c r="M47" s="181"/>
      <c r="N47" s="181"/>
      <c r="O47" s="181"/>
      <c r="P47" s="181"/>
      <c r="Q47" s="181"/>
      <c r="R47" s="181"/>
      <c r="S47" s="181"/>
      <c r="T47" s="181"/>
      <c r="U47" s="181"/>
      <c r="V47" s="181"/>
      <c r="W47" s="181"/>
      <c r="X47" s="181"/>
      <c r="Y47" s="181"/>
      <c r="Z47" s="181"/>
      <c r="AA47" s="181"/>
    </row>
    <row r="48" customFormat="false" ht="15.75" hidden="false" customHeight="false" outlineLevel="0" collapsed="false">
      <c r="A48" s="181" t="str">
        <f aca="false">IF(ISBLANK(B48),"",B48&amp;"|"&amp;C48)</f>
        <v/>
      </c>
      <c r="B48" s="181"/>
      <c r="C48" s="181"/>
      <c r="D48" s="181"/>
      <c r="E48" s="186"/>
      <c r="F48" s="181"/>
      <c r="G48" s="181"/>
      <c r="H48" s="181"/>
      <c r="I48" s="181"/>
      <c r="J48" s="181"/>
      <c r="K48" s="181"/>
      <c r="L48" s="181"/>
      <c r="M48" s="181"/>
      <c r="N48" s="181"/>
      <c r="O48" s="181"/>
      <c r="P48" s="181"/>
      <c r="Q48" s="181"/>
      <c r="R48" s="181"/>
      <c r="S48" s="181"/>
      <c r="T48" s="181"/>
      <c r="U48" s="181"/>
      <c r="V48" s="181"/>
      <c r="W48" s="181"/>
      <c r="X48" s="181"/>
      <c r="Y48" s="181"/>
      <c r="Z48" s="181"/>
      <c r="AA48" s="181"/>
    </row>
    <row r="49" customFormat="false" ht="15.75" hidden="false" customHeight="false" outlineLevel="0" collapsed="false">
      <c r="A49" s="181" t="str">
        <f aca="false">IF(ISBLANK(B49),"",B49&amp;"|"&amp;C49)</f>
        <v/>
      </c>
      <c r="B49" s="181"/>
      <c r="C49" s="181"/>
      <c r="D49" s="181"/>
      <c r="E49" s="186"/>
      <c r="F49" s="181"/>
      <c r="G49" s="181"/>
      <c r="H49" s="181"/>
      <c r="I49" s="181"/>
      <c r="J49" s="181"/>
      <c r="K49" s="181"/>
      <c r="L49" s="181"/>
      <c r="M49" s="181"/>
      <c r="N49" s="181"/>
      <c r="O49" s="181"/>
      <c r="P49" s="181"/>
      <c r="Q49" s="181"/>
      <c r="R49" s="181"/>
      <c r="S49" s="181"/>
      <c r="T49" s="181"/>
      <c r="U49" s="181"/>
      <c r="V49" s="181"/>
      <c r="W49" s="181"/>
      <c r="X49" s="181"/>
      <c r="Y49" s="181"/>
      <c r="Z49" s="181"/>
      <c r="AA49" s="181"/>
    </row>
    <row r="50" customFormat="false" ht="15.75" hidden="false" customHeight="false" outlineLevel="0" collapsed="false">
      <c r="A50" s="181" t="str">
        <f aca="false">IF(ISBLANK(B50),"",B50&amp;"|"&amp;C50)</f>
        <v/>
      </c>
      <c r="B50" s="181"/>
      <c r="C50" s="181"/>
      <c r="D50" s="181"/>
      <c r="E50" s="186"/>
      <c r="F50" s="181"/>
      <c r="G50" s="181"/>
      <c r="H50" s="181"/>
      <c r="I50" s="181"/>
      <c r="J50" s="181"/>
      <c r="K50" s="181"/>
      <c r="L50" s="181"/>
      <c r="M50" s="181"/>
      <c r="N50" s="181"/>
      <c r="O50" s="181"/>
      <c r="P50" s="181"/>
      <c r="Q50" s="181"/>
      <c r="R50" s="181"/>
      <c r="S50" s="181"/>
      <c r="T50" s="181"/>
      <c r="U50" s="181"/>
      <c r="V50" s="181"/>
      <c r="W50" s="181"/>
      <c r="X50" s="181"/>
      <c r="Y50" s="181"/>
      <c r="Z50" s="181"/>
      <c r="AA50" s="181"/>
    </row>
    <row r="51" customFormat="false" ht="15.75" hidden="false" customHeight="false" outlineLevel="0" collapsed="false">
      <c r="A51" s="181" t="str">
        <f aca="false">IF(ISBLANK(B51),"",B51&amp;"|"&amp;C51)</f>
        <v/>
      </c>
      <c r="B51" s="181"/>
      <c r="C51" s="181"/>
      <c r="D51" s="181"/>
      <c r="E51" s="186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</row>
    <row r="52" customFormat="false" ht="15.75" hidden="false" customHeight="false" outlineLevel="0" collapsed="false">
      <c r="A52" s="181" t="str">
        <f aca="false">IF(ISBLANK(B52),"",B52&amp;"|"&amp;C52)</f>
        <v/>
      </c>
      <c r="B52" s="181"/>
      <c r="C52" s="181"/>
      <c r="D52" s="181"/>
      <c r="E52" s="186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</row>
    <row r="53" customFormat="false" ht="15.75" hidden="false" customHeight="false" outlineLevel="0" collapsed="false">
      <c r="A53" s="181" t="str">
        <f aca="false">IF(ISBLANK(B53),"",B53&amp;"|"&amp;C53)</f>
        <v/>
      </c>
      <c r="B53" s="181"/>
      <c r="C53" s="181"/>
      <c r="D53" s="181"/>
      <c r="E53" s="186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</row>
    <row r="54" customFormat="false" ht="15.75" hidden="false" customHeight="false" outlineLevel="0" collapsed="false">
      <c r="A54" s="181" t="str">
        <f aca="false">IF(ISBLANK(B54),"",B54&amp;"|"&amp;C54)</f>
        <v/>
      </c>
      <c r="B54" s="181"/>
      <c r="C54" s="181"/>
      <c r="D54" s="181"/>
      <c r="E54" s="186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181"/>
    </row>
    <row r="55" customFormat="false" ht="15.75" hidden="false" customHeight="false" outlineLevel="0" collapsed="false">
      <c r="A55" s="181" t="str">
        <f aca="false">IF(ISBLANK(B55),"",B55&amp;"|"&amp;C55)</f>
        <v/>
      </c>
      <c r="B55" s="181"/>
      <c r="C55" s="181"/>
      <c r="D55" s="181"/>
      <c r="E55" s="186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181"/>
    </row>
    <row r="56" customFormat="false" ht="15.75" hidden="false" customHeight="false" outlineLevel="0" collapsed="false">
      <c r="A56" s="181" t="str">
        <f aca="false">IF(ISBLANK(B56),"",B56&amp;"|"&amp;C56)</f>
        <v/>
      </c>
      <c r="B56" s="181"/>
      <c r="C56" s="181"/>
      <c r="D56" s="181"/>
      <c r="E56" s="186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</row>
    <row r="57" customFormat="false" ht="15.75" hidden="false" customHeight="false" outlineLevel="0" collapsed="false">
      <c r="A57" s="181" t="str">
        <f aca="false">IF(ISBLANK(B57),"",B57&amp;"|"&amp;C57)</f>
        <v/>
      </c>
      <c r="B57" s="181"/>
      <c r="C57" s="181"/>
      <c r="D57" s="181"/>
      <c r="E57" s="186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  <c r="AA57" s="181"/>
    </row>
    <row r="58" customFormat="false" ht="15.75" hidden="false" customHeight="false" outlineLevel="0" collapsed="false">
      <c r="A58" s="181" t="str">
        <f aca="false">IF(ISBLANK(B58),"",B58&amp;"|"&amp;C58)</f>
        <v/>
      </c>
      <c r="B58" s="181"/>
      <c r="C58" s="181"/>
      <c r="D58" s="181"/>
      <c r="E58" s="186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  <c r="AA58" s="181"/>
    </row>
    <row r="59" customFormat="false" ht="15.75" hidden="false" customHeight="false" outlineLevel="0" collapsed="false">
      <c r="A59" s="181" t="str">
        <f aca="false">IF(ISBLANK(B59),"",B59&amp;"|"&amp;C59)</f>
        <v/>
      </c>
      <c r="B59" s="181"/>
      <c r="C59" s="181"/>
      <c r="D59" s="181"/>
      <c r="E59" s="186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  <c r="AA59" s="181"/>
    </row>
    <row r="60" customFormat="false" ht="15.75" hidden="false" customHeight="false" outlineLevel="0" collapsed="false">
      <c r="A60" s="181" t="str">
        <f aca="false">IF(ISBLANK(B60),"",B60&amp;"|"&amp;C60)</f>
        <v/>
      </c>
      <c r="B60" s="181"/>
      <c r="C60" s="181"/>
      <c r="D60" s="181"/>
      <c r="E60" s="186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</row>
    <row r="61" customFormat="false" ht="15.75" hidden="false" customHeight="false" outlineLevel="0" collapsed="false">
      <c r="A61" s="181" t="str">
        <f aca="false">IF(ISBLANK(B61),"",B61&amp;"|"&amp;C61)</f>
        <v/>
      </c>
      <c r="B61" s="181"/>
      <c r="C61" s="181"/>
      <c r="D61" s="181"/>
      <c r="E61" s="186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  <c r="AA61" s="181"/>
    </row>
    <row r="62" customFormat="false" ht="15.75" hidden="false" customHeight="false" outlineLevel="0" collapsed="false">
      <c r="A62" s="181" t="str">
        <f aca="false">IF(ISBLANK(B62),"",B62&amp;"|"&amp;C62)</f>
        <v/>
      </c>
      <c r="B62" s="181"/>
      <c r="C62" s="181"/>
      <c r="D62" s="181"/>
      <c r="E62" s="186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</row>
    <row r="63" customFormat="false" ht="15.75" hidden="false" customHeight="false" outlineLevel="0" collapsed="false">
      <c r="A63" s="181" t="str">
        <f aca="false">IF(ISBLANK(B63),"",B63&amp;"|"&amp;C63)</f>
        <v/>
      </c>
      <c r="B63" s="181"/>
      <c r="C63" s="181"/>
      <c r="D63" s="181"/>
      <c r="E63" s="186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  <c r="AA63" s="181"/>
    </row>
    <row r="64" customFormat="false" ht="15.75" hidden="false" customHeight="false" outlineLevel="0" collapsed="false">
      <c r="A64" s="181" t="str">
        <f aca="false">IF(ISBLANK(B64),"",B64&amp;"|"&amp;C64)</f>
        <v/>
      </c>
      <c r="B64" s="181"/>
      <c r="C64" s="181"/>
      <c r="D64" s="181"/>
      <c r="E64" s="186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  <c r="AA64" s="181"/>
    </row>
    <row r="65" customFormat="false" ht="15.75" hidden="false" customHeight="false" outlineLevel="0" collapsed="false">
      <c r="A65" s="181" t="str">
        <f aca="false">IF(ISBLANK(B65),"",B65&amp;"|"&amp;C65)</f>
        <v/>
      </c>
      <c r="B65" s="181"/>
      <c r="C65" s="181"/>
      <c r="D65" s="181"/>
      <c r="E65" s="186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  <c r="AA65" s="181"/>
    </row>
    <row r="66" customFormat="false" ht="15.75" hidden="false" customHeight="false" outlineLevel="0" collapsed="false">
      <c r="A66" s="181" t="str">
        <f aca="false">IF(ISBLANK(B66),"",B66&amp;"|"&amp;C66)</f>
        <v/>
      </c>
      <c r="B66" s="181"/>
      <c r="C66" s="181"/>
      <c r="D66" s="181"/>
      <c r="E66" s="186"/>
      <c r="F66" s="181"/>
      <c r="G66" s="181"/>
      <c r="H66" s="181"/>
      <c r="I66" s="181"/>
      <c r="J66" s="181"/>
      <c r="K66" s="181"/>
      <c r="L66" s="181"/>
      <c r="M66" s="181"/>
      <c r="N66" s="181"/>
      <c r="O66" s="181"/>
      <c r="P66" s="181"/>
      <c r="Q66" s="181"/>
      <c r="R66" s="181"/>
      <c r="S66" s="181"/>
      <c r="T66" s="181"/>
      <c r="U66" s="181"/>
      <c r="V66" s="181"/>
      <c r="W66" s="181"/>
      <c r="X66" s="181"/>
      <c r="Y66" s="181"/>
      <c r="Z66" s="181"/>
      <c r="AA66" s="181"/>
    </row>
    <row r="67" customFormat="false" ht="15.75" hidden="false" customHeight="false" outlineLevel="0" collapsed="false">
      <c r="A67" s="181" t="str">
        <f aca="false">IF(ISBLANK(B67),"",B67&amp;"|"&amp;C67)</f>
        <v/>
      </c>
      <c r="B67" s="181"/>
      <c r="C67" s="181"/>
      <c r="D67" s="181"/>
      <c r="E67" s="186"/>
      <c r="F67" s="181"/>
      <c r="G67" s="181"/>
      <c r="H67" s="181"/>
      <c r="I67" s="181"/>
      <c r="J67" s="181"/>
      <c r="K67" s="181"/>
      <c r="L67" s="181"/>
      <c r="M67" s="181"/>
      <c r="N67" s="181"/>
      <c r="O67" s="181"/>
      <c r="P67" s="181"/>
      <c r="Q67" s="181"/>
      <c r="R67" s="181"/>
      <c r="S67" s="181"/>
      <c r="T67" s="181"/>
      <c r="U67" s="181"/>
      <c r="V67" s="181"/>
      <c r="W67" s="181"/>
      <c r="X67" s="181"/>
      <c r="Y67" s="181"/>
      <c r="Z67" s="181"/>
      <c r="AA67" s="181"/>
    </row>
    <row r="68" customFormat="false" ht="15.75" hidden="false" customHeight="false" outlineLevel="0" collapsed="false">
      <c r="A68" s="181" t="str">
        <f aca="false">IF(ISBLANK(B68),"",B68&amp;"|"&amp;C68)</f>
        <v/>
      </c>
      <c r="B68" s="181"/>
      <c r="C68" s="181"/>
      <c r="D68" s="181"/>
      <c r="E68" s="186"/>
      <c r="F68" s="181"/>
      <c r="G68" s="181"/>
      <c r="H68" s="181"/>
      <c r="I68" s="181"/>
      <c r="J68" s="181"/>
      <c r="K68" s="181"/>
      <c r="L68" s="181"/>
      <c r="M68" s="181"/>
      <c r="N68" s="181"/>
      <c r="O68" s="181"/>
      <c r="P68" s="181"/>
      <c r="Q68" s="181"/>
      <c r="R68" s="181"/>
      <c r="S68" s="181"/>
      <c r="T68" s="181"/>
      <c r="U68" s="181"/>
      <c r="V68" s="181"/>
      <c r="W68" s="181"/>
      <c r="X68" s="181"/>
      <c r="Y68" s="181"/>
      <c r="Z68" s="181"/>
      <c r="AA68" s="181"/>
    </row>
    <row r="69" customFormat="false" ht="15.75" hidden="false" customHeight="false" outlineLevel="0" collapsed="false">
      <c r="A69" s="181" t="str">
        <f aca="false">IF(ISBLANK(B69),"",B69&amp;"|"&amp;C69)</f>
        <v/>
      </c>
      <c r="B69" s="181"/>
      <c r="C69" s="181"/>
      <c r="D69" s="181"/>
      <c r="E69" s="186"/>
      <c r="F69" s="181"/>
      <c r="G69" s="181"/>
      <c r="H69" s="181"/>
      <c r="I69" s="181"/>
      <c r="J69" s="181"/>
      <c r="K69" s="181"/>
      <c r="L69" s="181"/>
      <c r="M69" s="181"/>
      <c r="N69" s="181"/>
      <c r="O69" s="181"/>
      <c r="P69" s="181"/>
      <c r="Q69" s="181"/>
      <c r="R69" s="181"/>
      <c r="S69" s="181"/>
      <c r="T69" s="181"/>
      <c r="U69" s="181"/>
      <c r="V69" s="181"/>
      <c r="W69" s="181"/>
      <c r="X69" s="181"/>
      <c r="Y69" s="181"/>
      <c r="Z69" s="181"/>
      <c r="AA69" s="181"/>
    </row>
    <row r="70" customFormat="false" ht="15.75" hidden="false" customHeight="false" outlineLevel="0" collapsed="false">
      <c r="A70" s="181" t="str">
        <f aca="false">IF(ISBLANK(B70),"",B70&amp;"|"&amp;C70)</f>
        <v/>
      </c>
      <c r="B70" s="181"/>
      <c r="C70" s="181"/>
      <c r="D70" s="181"/>
      <c r="E70" s="186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  <c r="Q70" s="181"/>
      <c r="R70" s="181"/>
      <c r="S70" s="181"/>
      <c r="T70" s="181"/>
      <c r="U70" s="181"/>
      <c r="V70" s="181"/>
      <c r="W70" s="181"/>
      <c r="X70" s="181"/>
      <c r="Y70" s="181"/>
      <c r="Z70" s="181"/>
      <c r="AA70" s="181"/>
    </row>
    <row r="71" customFormat="false" ht="15.75" hidden="false" customHeight="false" outlineLevel="0" collapsed="false">
      <c r="A71" s="181" t="str">
        <f aca="false">IF(ISBLANK(B71),"",B71&amp;"|"&amp;C71)</f>
        <v/>
      </c>
      <c r="B71" s="181"/>
      <c r="C71" s="181"/>
      <c r="D71" s="181"/>
      <c r="E71" s="186"/>
      <c r="F71" s="181"/>
      <c r="G71" s="181"/>
      <c r="H71" s="181"/>
      <c r="I71" s="181"/>
      <c r="J71" s="181"/>
      <c r="K71" s="181"/>
      <c r="L71" s="181"/>
      <c r="M71" s="181"/>
      <c r="N71" s="181"/>
      <c r="O71" s="181"/>
      <c r="P71" s="181"/>
      <c r="Q71" s="181"/>
      <c r="R71" s="181"/>
      <c r="S71" s="181"/>
      <c r="T71" s="181"/>
      <c r="U71" s="181"/>
      <c r="V71" s="181"/>
      <c r="W71" s="181"/>
      <c r="X71" s="181"/>
      <c r="Y71" s="181"/>
      <c r="Z71" s="181"/>
      <c r="AA71" s="181"/>
    </row>
    <row r="72" customFormat="false" ht="15.75" hidden="false" customHeight="false" outlineLevel="0" collapsed="false">
      <c r="A72" s="181" t="str">
        <f aca="false">IF(ISBLANK(B72),"",B72&amp;"|"&amp;C72)</f>
        <v/>
      </c>
      <c r="B72" s="181"/>
      <c r="C72" s="181"/>
      <c r="D72" s="181"/>
      <c r="E72" s="186"/>
      <c r="F72" s="181"/>
      <c r="G72" s="181"/>
      <c r="H72" s="181"/>
      <c r="I72" s="181"/>
      <c r="J72" s="181"/>
      <c r="K72" s="181"/>
      <c r="L72" s="181"/>
      <c r="M72" s="181"/>
      <c r="N72" s="181"/>
      <c r="O72" s="181"/>
      <c r="P72" s="181"/>
      <c r="Q72" s="181"/>
      <c r="R72" s="181"/>
      <c r="S72" s="181"/>
      <c r="T72" s="181"/>
      <c r="U72" s="181"/>
      <c r="V72" s="181"/>
      <c r="W72" s="181"/>
      <c r="X72" s="181"/>
      <c r="Y72" s="181"/>
      <c r="Z72" s="181"/>
      <c r="AA72" s="181"/>
    </row>
    <row r="73" customFormat="false" ht="15.75" hidden="false" customHeight="false" outlineLevel="0" collapsed="false">
      <c r="A73" s="181" t="str">
        <f aca="false">IF(ISBLANK(B73),"",B73&amp;"|"&amp;C73)</f>
        <v/>
      </c>
      <c r="B73" s="181"/>
      <c r="C73" s="181"/>
      <c r="D73" s="181"/>
      <c r="E73" s="186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  <c r="Q73" s="181"/>
      <c r="R73" s="181"/>
      <c r="S73" s="181"/>
      <c r="T73" s="181"/>
      <c r="U73" s="181"/>
      <c r="V73" s="181"/>
      <c r="W73" s="181"/>
      <c r="X73" s="181"/>
      <c r="Y73" s="181"/>
      <c r="Z73" s="181"/>
      <c r="AA73" s="181"/>
    </row>
    <row r="74" customFormat="false" ht="15.75" hidden="false" customHeight="false" outlineLevel="0" collapsed="false">
      <c r="A74" s="181" t="str">
        <f aca="false">IF(ISBLANK(B74),"",B74&amp;"|"&amp;C74)</f>
        <v/>
      </c>
      <c r="B74" s="181"/>
      <c r="C74" s="181"/>
      <c r="D74" s="181"/>
      <c r="E74" s="186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</row>
    <row r="75" customFormat="false" ht="15.75" hidden="false" customHeight="false" outlineLevel="0" collapsed="false">
      <c r="A75" s="181" t="str">
        <f aca="false">IF(ISBLANK(B75),"",B75&amp;"|"&amp;C75)</f>
        <v/>
      </c>
      <c r="B75" s="181"/>
      <c r="C75" s="181"/>
      <c r="D75" s="181"/>
      <c r="E75" s="186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  <c r="AA75" s="181"/>
    </row>
    <row r="76" customFormat="false" ht="15.75" hidden="false" customHeight="false" outlineLevel="0" collapsed="false">
      <c r="A76" s="181" t="str">
        <f aca="false">IF(ISBLANK(B76),"",B76&amp;"|"&amp;C76)</f>
        <v/>
      </c>
      <c r="B76" s="181"/>
      <c r="C76" s="181"/>
      <c r="D76" s="181"/>
      <c r="E76" s="186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  <c r="AA76" s="181"/>
    </row>
    <row r="77" customFormat="false" ht="15.75" hidden="false" customHeight="false" outlineLevel="0" collapsed="false">
      <c r="A77" s="181" t="str">
        <f aca="false">IF(ISBLANK(B77),"",B77&amp;"|"&amp;C77)</f>
        <v/>
      </c>
      <c r="B77" s="181"/>
      <c r="C77" s="181"/>
      <c r="D77" s="181"/>
      <c r="E77" s="186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  <c r="AA77" s="181"/>
    </row>
    <row r="78" customFormat="false" ht="15.75" hidden="false" customHeight="false" outlineLevel="0" collapsed="false">
      <c r="A78" s="181" t="str">
        <f aca="false">IF(ISBLANK(B78),"",B78&amp;"|"&amp;C78)</f>
        <v/>
      </c>
      <c r="B78" s="181"/>
      <c r="C78" s="181"/>
      <c r="D78" s="181"/>
      <c r="E78" s="186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  <c r="AA78" s="181"/>
    </row>
    <row r="79" customFormat="false" ht="15.75" hidden="false" customHeight="false" outlineLevel="0" collapsed="false">
      <c r="A79" s="181" t="str">
        <f aca="false">IF(ISBLANK(B79),"",B79&amp;"|"&amp;C79)</f>
        <v/>
      </c>
      <c r="B79" s="181"/>
      <c r="C79" s="181"/>
      <c r="D79" s="181"/>
      <c r="E79" s="186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  <c r="AA79" s="181"/>
    </row>
    <row r="80" customFormat="false" ht="15.75" hidden="false" customHeight="false" outlineLevel="0" collapsed="false">
      <c r="A80" s="181" t="str">
        <f aca="false">IF(ISBLANK(B80),"",B80&amp;"|"&amp;C80)</f>
        <v/>
      </c>
      <c r="B80" s="181"/>
      <c r="C80" s="181"/>
      <c r="D80" s="181"/>
      <c r="E80" s="186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  <c r="AA80" s="181"/>
    </row>
    <row r="81" customFormat="false" ht="15.75" hidden="false" customHeight="false" outlineLevel="0" collapsed="false">
      <c r="A81" s="181" t="str">
        <f aca="false">IF(ISBLANK(B81),"",B81&amp;"|"&amp;C81)</f>
        <v/>
      </c>
      <c r="B81" s="181"/>
      <c r="C81" s="181"/>
      <c r="D81" s="181"/>
      <c r="E81" s="186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  <c r="AA81" s="181"/>
    </row>
    <row r="82" customFormat="false" ht="15.75" hidden="false" customHeight="false" outlineLevel="0" collapsed="false">
      <c r="A82" s="181" t="str">
        <f aca="false">IF(ISBLANK(B82),"",B82&amp;"|"&amp;C82)</f>
        <v/>
      </c>
      <c r="B82" s="181"/>
      <c r="C82" s="181"/>
      <c r="D82" s="181"/>
      <c r="E82" s="186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  <c r="AA82" s="181"/>
    </row>
    <row r="83" customFormat="false" ht="15.75" hidden="false" customHeight="false" outlineLevel="0" collapsed="false">
      <c r="A83" s="181" t="str">
        <f aca="false">IF(ISBLANK(B83),"",B83&amp;"|"&amp;C83)</f>
        <v/>
      </c>
      <c r="B83" s="181"/>
      <c r="C83" s="181"/>
      <c r="D83" s="181"/>
      <c r="E83" s="186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  <c r="AA83" s="181"/>
    </row>
    <row r="84" customFormat="false" ht="15.75" hidden="false" customHeight="false" outlineLevel="0" collapsed="false">
      <c r="A84" s="181" t="str">
        <f aca="false">IF(ISBLANK(B84),"",B84&amp;"|"&amp;C84)</f>
        <v/>
      </c>
      <c r="B84" s="181"/>
      <c r="C84" s="181"/>
      <c r="D84" s="181"/>
      <c r="E84" s="186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</row>
    <row r="85" customFormat="false" ht="15.75" hidden="false" customHeight="false" outlineLevel="0" collapsed="false">
      <c r="A85" s="181" t="str">
        <f aca="false">IF(ISBLANK(B85),"",B85&amp;"|"&amp;C85)</f>
        <v/>
      </c>
      <c r="B85" s="181"/>
      <c r="C85" s="181"/>
      <c r="D85" s="181"/>
      <c r="E85" s="186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  <c r="AA85" s="181"/>
    </row>
    <row r="86" customFormat="false" ht="15.75" hidden="false" customHeight="false" outlineLevel="0" collapsed="false">
      <c r="A86" s="181" t="str">
        <f aca="false">IF(ISBLANK(B86),"",B86&amp;"|"&amp;C86)</f>
        <v/>
      </c>
      <c r="B86" s="181"/>
      <c r="C86" s="181"/>
      <c r="D86" s="181"/>
      <c r="E86" s="186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</row>
    <row r="87" customFormat="false" ht="15.75" hidden="false" customHeight="false" outlineLevel="0" collapsed="false">
      <c r="A87" s="181" t="str">
        <f aca="false">IF(ISBLANK(B87),"",B87&amp;"|"&amp;C87)</f>
        <v/>
      </c>
      <c r="B87" s="181"/>
      <c r="C87" s="181"/>
      <c r="D87" s="181"/>
      <c r="E87" s="186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</row>
    <row r="88" customFormat="false" ht="15.75" hidden="false" customHeight="false" outlineLevel="0" collapsed="false">
      <c r="A88" s="181" t="str">
        <f aca="false">IF(ISBLANK(B88),"",B88&amp;"|"&amp;C88)</f>
        <v/>
      </c>
      <c r="B88" s="181"/>
      <c r="C88" s="181"/>
      <c r="D88" s="181"/>
      <c r="E88" s="186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  <c r="AA88" s="181"/>
    </row>
    <row r="89" customFormat="false" ht="15.75" hidden="false" customHeight="false" outlineLevel="0" collapsed="false">
      <c r="A89" s="181" t="str">
        <f aca="false">IF(ISBLANK(B89),"",B89&amp;"|"&amp;C89)</f>
        <v/>
      </c>
      <c r="B89" s="181"/>
      <c r="C89" s="181"/>
      <c r="D89" s="181"/>
      <c r="E89" s="186"/>
      <c r="F89" s="181"/>
      <c r="G89" s="181"/>
      <c r="H89" s="181"/>
      <c r="I89" s="181"/>
      <c r="J89" s="181"/>
      <c r="K89" s="181"/>
      <c r="L89" s="181"/>
      <c r="M89" s="181"/>
      <c r="N89" s="181"/>
      <c r="O89" s="181"/>
      <c r="P89" s="181"/>
      <c r="Q89" s="181"/>
      <c r="R89" s="181"/>
      <c r="S89" s="181"/>
      <c r="T89" s="181"/>
      <c r="U89" s="181"/>
      <c r="V89" s="181"/>
      <c r="W89" s="181"/>
      <c r="X89" s="181"/>
      <c r="Y89" s="181"/>
      <c r="Z89" s="181"/>
      <c r="AA89" s="181"/>
    </row>
    <row r="90" customFormat="false" ht="15.75" hidden="false" customHeight="false" outlineLevel="0" collapsed="false">
      <c r="A90" s="181" t="str">
        <f aca="false">IF(ISBLANK(B90),"",B90&amp;"|"&amp;C90)</f>
        <v/>
      </c>
      <c r="B90" s="181"/>
      <c r="C90" s="181"/>
      <c r="D90" s="181"/>
      <c r="E90" s="186"/>
      <c r="F90" s="181"/>
      <c r="G90" s="181"/>
      <c r="H90" s="181"/>
      <c r="I90" s="181"/>
      <c r="J90" s="181"/>
      <c r="K90" s="181"/>
      <c r="L90" s="181"/>
      <c r="M90" s="181"/>
      <c r="N90" s="181"/>
      <c r="O90" s="181"/>
      <c r="P90" s="181"/>
      <c r="Q90" s="181"/>
      <c r="R90" s="181"/>
      <c r="S90" s="181"/>
      <c r="T90" s="181"/>
      <c r="U90" s="181"/>
      <c r="V90" s="181"/>
      <c r="W90" s="181"/>
      <c r="X90" s="181"/>
      <c r="Y90" s="181"/>
      <c r="Z90" s="181"/>
      <c r="AA90" s="181"/>
    </row>
    <row r="91" customFormat="false" ht="15.75" hidden="false" customHeight="false" outlineLevel="0" collapsed="false">
      <c r="A91" s="181" t="str">
        <f aca="false">IF(ISBLANK(B91),"",B91&amp;"|"&amp;C91)</f>
        <v/>
      </c>
      <c r="B91" s="181"/>
      <c r="C91" s="181"/>
      <c r="D91" s="181"/>
      <c r="E91" s="186"/>
      <c r="F91" s="181"/>
      <c r="G91" s="181"/>
      <c r="H91" s="181"/>
      <c r="I91" s="181"/>
      <c r="J91" s="181"/>
      <c r="K91" s="181"/>
      <c r="L91" s="181"/>
      <c r="M91" s="181"/>
      <c r="N91" s="181"/>
      <c r="O91" s="181"/>
      <c r="P91" s="181"/>
      <c r="Q91" s="181"/>
      <c r="R91" s="181"/>
      <c r="S91" s="181"/>
      <c r="T91" s="181"/>
      <c r="U91" s="181"/>
      <c r="V91" s="181"/>
      <c r="W91" s="181"/>
      <c r="X91" s="181"/>
      <c r="Y91" s="181"/>
      <c r="Z91" s="181"/>
      <c r="AA91" s="181"/>
    </row>
    <row r="92" customFormat="false" ht="15.75" hidden="false" customHeight="false" outlineLevel="0" collapsed="false">
      <c r="A92" s="181" t="str">
        <f aca="false">IF(ISBLANK(B92),"",B92&amp;"|"&amp;C92)</f>
        <v/>
      </c>
      <c r="B92" s="181"/>
      <c r="C92" s="181"/>
      <c r="D92" s="181"/>
      <c r="E92" s="186"/>
      <c r="F92" s="181"/>
      <c r="G92" s="181"/>
      <c r="H92" s="181"/>
      <c r="I92" s="181"/>
      <c r="J92" s="181"/>
      <c r="K92" s="181"/>
      <c r="L92" s="181"/>
      <c r="M92" s="181"/>
      <c r="N92" s="181"/>
      <c r="O92" s="181"/>
      <c r="P92" s="181"/>
      <c r="Q92" s="181"/>
      <c r="R92" s="181"/>
      <c r="S92" s="181"/>
      <c r="T92" s="181"/>
      <c r="U92" s="181"/>
      <c r="V92" s="181"/>
      <c r="W92" s="181"/>
      <c r="X92" s="181"/>
      <c r="Y92" s="181"/>
      <c r="Z92" s="181"/>
      <c r="AA92" s="181"/>
    </row>
    <row r="93" customFormat="false" ht="15.75" hidden="false" customHeight="false" outlineLevel="0" collapsed="false">
      <c r="A93" s="181" t="str">
        <f aca="false">IF(ISBLANK(B93),"",B93&amp;"|"&amp;C93)</f>
        <v/>
      </c>
      <c r="B93" s="181"/>
      <c r="C93" s="181"/>
      <c r="D93" s="181"/>
      <c r="E93" s="186"/>
      <c r="F93" s="181"/>
      <c r="G93" s="181"/>
      <c r="H93" s="181"/>
      <c r="I93" s="181"/>
      <c r="J93" s="181"/>
      <c r="K93" s="181"/>
      <c r="L93" s="181"/>
      <c r="M93" s="181"/>
      <c r="N93" s="181"/>
      <c r="O93" s="181"/>
      <c r="P93" s="181"/>
      <c r="Q93" s="181"/>
      <c r="R93" s="181"/>
      <c r="S93" s="181"/>
      <c r="T93" s="181"/>
      <c r="U93" s="181"/>
      <c r="V93" s="181"/>
      <c r="W93" s="181"/>
      <c r="X93" s="181"/>
      <c r="Y93" s="181"/>
      <c r="Z93" s="181"/>
      <c r="AA93" s="181"/>
    </row>
    <row r="94" customFormat="false" ht="15.75" hidden="false" customHeight="false" outlineLevel="0" collapsed="false">
      <c r="A94" s="181" t="str">
        <f aca="false">IF(ISBLANK(B94),"",B94&amp;"|"&amp;C94)</f>
        <v/>
      </c>
      <c r="B94" s="181"/>
      <c r="C94" s="181"/>
      <c r="D94" s="181"/>
      <c r="E94" s="186"/>
      <c r="F94" s="181"/>
      <c r="G94" s="181"/>
      <c r="H94" s="181"/>
      <c r="I94" s="181"/>
      <c r="J94" s="181"/>
      <c r="K94" s="181"/>
      <c r="L94" s="181"/>
      <c r="M94" s="181"/>
      <c r="N94" s="181"/>
      <c r="O94" s="181"/>
      <c r="P94" s="181"/>
      <c r="Q94" s="181"/>
      <c r="R94" s="181"/>
      <c r="S94" s="181"/>
      <c r="T94" s="181"/>
      <c r="U94" s="181"/>
      <c r="V94" s="181"/>
      <c r="W94" s="181"/>
      <c r="X94" s="181"/>
      <c r="Y94" s="181"/>
      <c r="Z94" s="181"/>
      <c r="AA94" s="181"/>
    </row>
    <row r="95" customFormat="false" ht="15.75" hidden="false" customHeight="false" outlineLevel="0" collapsed="false">
      <c r="A95" s="181" t="str">
        <f aca="false">IF(ISBLANK(B95),"",B95&amp;"|"&amp;C95)</f>
        <v/>
      </c>
      <c r="B95" s="181"/>
      <c r="C95" s="181"/>
      <c r="D95" s="181"/>
      <c r="E95" s="186"/>
      <c r="F95" s="181"/>
      <c r="G95" s="181"/>
      <c r="H95" s="181"/>
      <c r="I95" s="181"/>
      <c r="J95" s="181"/>
      <c r="K95" s="181"/>
      <c r="L95" s="181"/>
      <c r="M95" s="181"/>
      <c r="N95" s="181"/>
      <c r="O95" s="181"/>
      <c r="P95" s="181"/>
      <c r="Q95" s="181"/>
      <c r="R95" s="181"/>
      <c r="S95" s="181"/>
      <c r="T95" s="181"/>
      <c r="U95" s="181"/>
      <c r="V95" s="181"/>
      <c r="W95" s="181"/>
      <c r="X95" s="181"/>
      <c r="Y95" s="181"/>
      <c r="Z95" s="181"/>
      <c r="AA95" s="181"/>
    </row>
    <row r="96" customFormat="false" ht="15.75" hidden="false" customHeight="false" outlineLevel="0" collapsed="false">
      <c r="A96" s="181" t="str">
        <f aca="false">IF(ISBLANK(B96),"",B96&amp;"|"&amp;C96)</f>
        <v/>
      </c>
      <c r="B96" s="181"/>
      <c r="C96" s="181"/>
      <c r="D96" s="181"/>
      <c r="E96" s="186"/>
      <c r="F96" s="181"/>
      <c r="G96" s="181"/>
      <c r="H96" s="181"/>
      <c r="I96" s="181"/>
      <c r="J96" s="181"/>
      <c r="K96" s="181"/>
      <c r="L96" s="181"/>
      <c r="M96" s="181"/>
      <c r="N96" s="181"/>
      <c r="O96" s="181"/>
      <c r="P96" s="181"/>
      <c r="Q96" s="181"/>
      <c r="R96" s="181"/>
      <c r="S96" s="181"/>
      <c r="T96" s="181"/>
      <c r="U96" s="181"/>
      <c r="V96" s="181"/>
      <c r="W96" s="181"/>
      <c r="X96" s="181"/>
      <c r="Y96" s="181"/>
      <c r="Z96" s="181"/>
      <c r="AA96" s="181"/>
    </row>
    <row r="97" customFormat="false" ht="15.75" hidden="false" customHeight="false" outlineLevel="0" collapsed="false">
      <c r="A97" s="181" t="str">
        <f aca="false">IF(ISBLANK(B97),"",B97&amp;"|"&amp;C97)</f>
        <v/>
      </c>
      <c r="B97" s="181"/>
      <c r="C97" s="181"/>
      <c r="D97" s="181"/>
      <c r="E97" s="186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  <c r="AA97" s="181"/>
    </row>
    <row r="98" customFormat="false" ht="15.75" hidden="false" customHeight="false" outlineLevel="0" collapsed="false">
      <c r="A98" s="181" t="str">
        <f aca="false">IF(ISBLANK(B98),"",B98&amp;"|"&amp;C98)</f>
        <v/>
      </c>
      <c r="B98" s="181"/>
      <c r="C98" s="181"/>
      <c r="D98" s="181"/>
      <c r="E98" s="186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  <c r="AA98" s="181"/>
    </row>
    <row r="99" customFormat="false" ht="15.75" hidden="false" customHeight="false" outlineLevel="0" collapsed="false">
      <c r="A99" s="181" t="str">
        <f aca="false">IF(ISBLANK(B99),"",B99&amp;"|"&amp;C99)</f>
        <v/>
      </c>
      <c r="B99" s="181"/>
      <c r="C99" s="181"/>
      <c r="D99" s="181"/>
      <c r="E99" s="186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  <c r="AA99" s="181"/>
    </row>
    <row r="100" customFormat="false" ht="15.75" hidden="false" customHeight="false" outlineLevel="0" collapsed="false">
      <c r="A100" s="181" t="str">
        <f aca="false">IF(ISBLANK(B100),"",B100&amp;"|"&amp;C100)</f>
        <v/>
      </c>
      <c r="B100" s="181"/>
      <c r="C100" s="181"/>
      <c r="D100" s="181"/>
      <c r="E100" s="186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</row>
    <row r="101" customFormat="false" ht="15.75" hidden="false" customHeight="false" outlineLevel="0" collapsed="false">
      <c r="A101" s="181" t="str">
        <f aca="false">IF(ISBLANK(B101),"",B101&amp;"|"&amp;C101)</f>
        <v/>
      </c>
      <c r="B101" s="181"/>
      <c r="C101" s="181"/>
      <c r="D101" s="181"/>
      <c r="E101" s="186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  <c r="AA101" s="181"/>
    </row>
    <row r="102" customFormat="false" ht="15.75" hidden="false" customHeight="false" outlineLevel="0" collapsed="false">
      <c r="A102" s="181" t="str">
        <f aca="false">IF(ISBLANK(B102),"",B102&amp;"|"&amp;C102)</f>
        <v/>
      </c>
      <c r="B102" s="181"/>
      <c r="C102" s="181"/>
      <c r="D102" s="181"/>
      <c r="E102" s="186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  <c r="AA102" s="181"/>
    </row>
    <row r="103" customFormat="false" ht="15.75" hidden="false" customHeight="false" outlineLevel="0" collapsed="false">
      <c r="A103" s="181" t="str">
        <f aca="false">IF(ISBLANK(B103),"",B103&amp;"|"&amp;C103)</f>
        <v/>
      </c>
      <c r="B103" s="181"/>
      <c r="C103" s="181"/>
      <c r="D103" s="181"/>
      <c r="E103" s="186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  <c r="AA103" s="181"/>
    </row>
    <row r="104" customFormat="false" ht="15.75" hidden="false" customHeight="false" outlineLevel="0" collapsed="false">
      <c r="A104" s="181" t="str">
        <f aca="false">IF(ISBLANK(B104),"",B104&amp;"|"&amp;C104)</f>
        <v/>
      </c>
      <c r="B104" s="181"/>
      <c r="C104" s="181"/>
      <c r="D104" s="181"/>
      <c r="E104" s="186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  <c r="AA104" s="181"/>
    </row>
    <row r="105" customFormat="false" ht="15.75" hidden="false" customHeight="false" outlineLevel="0" collapsed="false">
      <c r="A105" s="181" t="str">
        <f aca="false">IF(ISBLANK(B105),"",B105&amp;"|"&amp;C105)</f>
        <v/>
      </c>
      <c r="B105" s="181"/>
      <c r="C105" s="181"/>
      <c r="D105" s="181"/>
      <c r="E105" s="186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  <c r="AA105" s="181"/>
    </row>
    <row r="106" customFormat="false" ht="15.75" hidden="false" customHeight="false" outlineLevel="0" collapsed="false">
      <c r="A106" s="181" t="str">
        <f aca="false">IF(ISBLANK(B106),"",B106&amp;"|"&amp;C106)</f>
        <v/>
      </c>
      <c r="B106" s="181"/>
      <c r="C106" s="181"/>
      <c r="D106" s="181"/>
      <c r="E106" s="186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  <c r="AA106" s="181"/>
    </row>
    <row r="107" customFormat="false" ht="15.75" hidden="false" customHeight="false" outlineLevel="0" collapsed="false">
      <c r="A107" s="181" t="str">
        <f aca="false">IF(ISBLANK(B107),"",B107&amp;"|"&amp;C107)</f>
        <v/>
      </c>
      <c r="B107" s="181"/>
      <c r="C107" s="181"/>
      <c r="D107" s="181"/>
      <c r="E107" s="186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  <c r="AA107" s="181"/>
    </row>
    <row r="108" customFormat="false" ht="15.75" hidden="false" customHeight="false" outlineLevel="0" collapsed="false">
      <c r="A108" s="181" t="str">
        <f aca="false">IF(ISBLANK(B108),"",B108&amp;"|"&amp;C108)</f>
        <v/>
      </c>
      <c r="B108" s="181"/>
      <c r="C108" s="181"/>
      <c r="D108" s="181"/>
      <c r="E108" s="186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  <c r="AA108" s="181"/>
    </row>
    <row r="109" customFormat="false" ht="15.75" hidden="false" customHeight="false" outlineLevel="0" collapsed="false">
      <c r="A109" s="181" t="str">
        <f aca="false">IF(ISBLANK(B109),"",B109&amp;"|"&amp;C109)</f>
        <v/>
      </c>
      <c r="B109" s="181"/>
      <c r="C109" s="181"/>
      <c r="D109" s="181"/>
      <c r="E109" s="186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  <c r="AA109" s="181"/>
    </row>
    <row r="110" customFormat="false" ht="15.75" hidden="false" customHeight="false" outlineLevel="0" collapsed="false">
      <c r="A110" s="181" t="str">
        <f aca="false">IF(ISBLANK(B110),"",B110&amp;"|"&amp;C110)</f>
        <v/>
      </c>
      <c r="B110" s="181"/>
      <c r="C110" s="181"/>
      <c r="D110" s="181"/>
      <c r="E110" s="186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  <c r="AA110" s="181"/>
    </row>
    <row r="111" customFormat="false" ht="15.75" hidden="false" customHeight="false" outlineLevel="0" collapsed="false">
      <c r="A111" s="181" t="str">
        <f aca="false">IF(ISBLANK(B111),"",B111&amp;"|"&amp;C111)</f>
        <v/>
      </c>
      <c r="B111" s="181"/>
      <c r="C111" s="181"/>
      <c r="D111" s="181"/>
      <c r="E111" s="186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  <c r="AA111" s="181"/>
    </row>
    <row r="112" customFormat="false" ht="15.75" hidden="false" customHeight="false" outlineLevel="0" collapsed="false">
      <c r="A112" s="181" t="str">
        <f aca="false">IF(ISBLANK(B112),"",B112&amp;"|"&amp;C112)</f>
        <v/>
      </c>
      <c r="B112" s="181"/>
      <c r="C112" s="181"/>
      <c r="D112" s="181"/>
      <c r="E112" s="186"/>
      <c r="F112" s="181"/>
      <c r="G112" s="181"/>
      <c r="H112" s="181"/>
      <c r="I112" s="181"/>
      <c r="J112" s="181"/>
      <c r="K112" s="181"/>
      <c r="L112" s="181"/>
      <c r="M112" s="181"/>
      <c r="N112" s="181"/>
      <c r="O112" s="181"/>
      <c r="P112" s="181"/>
      <c r="Q112" s="181"/>
      <c r="R112" s="181"/>
      <c r="S112" s="181"/>
      <c r="T112" s="181"/>
      <c r="U112" s="181"/>
      <c r="V112" s="181"/>
      <c r="W112" s="181"/>
      <c r="X112" s="181"/>
      <c r="Y112" s="181"/>
      <c r="Z112" s="181"/>
      <c r="AA112" s="181"/>
    </row>
    <row r="113" customFormat="false" ht="15.75" hidden="false" customHeight="false" outlineLevel="0" collapsed="false">
      <c r="A113" s="181" t="str">
        <f aca="false">IF(ISBLANK(B113),"",B113&amp;"|"&amp;C113)</f>
        <v/>
      </c>
      <c r="B113" s="181"/>
      <c r="C113" s="181"/>
      <c r="D113" s="181"/>
      <c r="E113" s="186"/>
      <c r="F113" s="181"/>
      <c r="G113" s="181"/>
      <c r="H113" s="181"/>
      <c r="I113" s="181"/>
      <c r="J113" s="181"/>
      <c r="K113" s="181"/>
      <c r="L113" s="181"/>
      <c r="M113" s="181"/>
      <c r="N113" s="181"/>
      <c r="O113" s="181"/>
      <c r="P113" s="181"/>
      <c r="Q113" s="181"/>
      <c r="R113" s="181"/>
      <c r="S113" s="181"/>
      <c r="T113" s="181"/>
      <c r="U113" s="181"/>
      <c r="V113" s="181"/>
      <c r="W113" s="181"/>
      <c r="X113" s="181"/>
      <c r="Y113" s="181"/>
      <c r="Z113" s="181"/>
      <c r="AA113" s="181"/>
    </row>
    <row r="114" customFormat="false" ht="15.75" hidden="false" customHeight="false" outlineLevel="0" collapsed="false">
      <c r="A114" s="181" t="str">
        <f aca="false">IF(ISBLANK(B114),"",B114&amp;"|"&amp;C114)</f>
        <v/>
      </c>
      <c r="B114" s="181"/>
      <c r="C114" s="181"/>
      <c r="D114" s="181"/>
      <c r="E114" s="186"/>
      <c r="F114" s="181"/>
      <c r="G114" s="181"/>
      <c r="H114" s="181"/>
      <c r="I114" s="181"/>
      <c r="J114" s="181"/>
      <c r="K114" s="181"/>
      <c r="L114" s="181"/>
      <c r="M114" s="181"/>
      <c r="N114" s="181"/>
      <c r="O114" s="181"/>
      <c r="P114" s="181"/>
      <c r="Q114" s="181"/>
      <c r="R114" s="181"/>
      <c r="S114" s="181"/>
      <c r="T114" s="181"/>
      <c r="U114" s="181"/>
      <c r="V114" s="181"/>
      <c r="W114" s="181"/>
      <c r="X114" s="181"/>
      <c r="Y114" s="181"/>
      <c r="Z114" s="181"/>
      <c r="AA114" s="181"/>
    </row>
    <row r="115" customFormat="false" ht="15.75" hidden="false" customHeight="false" outlineLevel="0" collapsed="false">
      <c r="A115" s="181" t="str">
        <f aca="false">IF(ISBLANK(B115),"",B115&amp;"|"&amp;C115)</f>
        <v/>
      </c>
      <c r="B115" s="181"/>
      <c r="C115" s="181"/>
      <c r="D115" s="181"/>
      <c r="E115" s="186"/>
      <c r="F115" s="181"/>
      <c r="G115" s="181"/>
      <c r="H115" s="181"/>
      <c r="I115" s="181"/>
      <c r="J115" s="181"/>
      <c r="K115" s="181"/>
      <c r="L115" s="181"/>
      <c r="M115" s="181"/>
      <c r="N115" s="181"/>
      <c r="O115" s="181"/>
      <c r="P115" s="181"/>
      <c r="Q115" s="181"/>
      <c r="R115" s="181"/>
      <c r="S115" s="181"/>
      <c r="T115" s="181"/>
      <c r="U115" s="181"/>
      <c r="V115" s="181"/>
      <c r="W115" s="181"/>
      <c r="X115" s="181"/>
      <c r="Y115" s="181"/>
      <c r="Z115" s="181"/>
      <c r="AA115" s="181"/>
    </row>
    <row r="116" customFormat="false" ht="15.75" hidden="false" customHeight="false" outlineLevel="0" collapsed="false">
      <c r="A116" s="181" t="str">
        <f aca="false">IF(ISBLANK(B116),"",B116&amp;"|"&amp;C116)</f>
        <v/>
      </c>
      <c r="B116" s="181"/>
      <c r="C116" s="181"/>
      <c r="D116" s="181"/>
      <c r="E116" s="186"/>
      <c r="F116" s="181"/>
      <c r="G116" s="181"/>
      <c r="H116" s="181"/>
      <c r="I116" s="181"/>
      <c r="J116" s="181"/>
      <c r="K116" s="181"/>
      <c r="L116" s="181"/>
      <c r="M116" s="181"/>
      <c r="N116" s="181"/>
      <c r="O116" s="181"/>
      <c r="P116" s="181"/>
      <c r="Q116" s="181"/>
      <c r="R116" s="181"/>
      <c r="S116" s="181"/>
      <c r="T116" s="181"/>
      <c r="U116" s="181"/>
      <c r="V116" s="181"/>
      <c r="W116" s="181"/>
      <c r="X116" s="181"/>
      <c r="Y116" s="181"/>
      <c r="Z116" s="181"/>
      <c r="AA116" s="181"/>
    </row>
    <row r="117" customFormat="false" ht="15.75" hidden="false" customHeight="false" outlineLevel="0" collapsed="false">
      <c r="A117" s="181" t="str">
        <f aca="false">IF(ISBLANK(B117),"",B117&amp;"|"&amp;C117)</f>
        <v/>
      </c>
      <c r="B117" s="181"/>
      <c r="C117" s="181"/>
      <c r="D117" s="181"/>
      <c r="E117" s="186"/>
      <c r="F117" s="181"/>
      <c r="G117" s="181"/>
      <c r="H117" s="181"/>
      <c r="I117" s="181"/>
      <c r="J117" s="181"/>
      <c r="K117" s="181"/>
      <c r="L117" s="181"/>
      <c r="M117" s="181"/>
      <c r="N117" s="181"/>
      <c r="O117" s="181"/>
      <c r="P117" s="181"/>
      <c r="Q117" s="181"/>
      <c r="R117" s="181"/>
      <c r="S117" s="181"/>
      <c r="T117" s="181"/>
      <c r="U117" s="181"/>
      <c r="V117" s="181"/>
      <c r="W117" s="181"/>
      <c r="X117" s="181"/>
      <c r="Y117" s="181"/>
      <c r="Z117" s="181"/>
      <c r="AA117" s="181"/>
    </row>
    <row r="118" customFormat="false" ht="15.75" hidden="false" customHeight="false" outlineLevel="0" collapsed="false">
      <c r="A118" s="181" t="str">
        <f aca="false">IF(ISBLANK(B118),"",B118&amp;"|"&amp;C118)</f>
        <v/>
      </c>
      <c r="B118" s="181"/>
      <c r="C118" s="181"/>
      <c r="D118" s="181"/>
      <c r="E118" s="186"/>
      <c r="F118" s="181"/>
      <c r="G118" s="181"/>
      <c r="H118" s="181"/>
      <c r="I118" s="181"/>
      <c r="J118" s="181"/>
      <c r="K118" s="181"/>
      <c r="L118" s="181"/>
      <c r="M118" s="181"/>
      <c r="N118" s="181"/>
      <c r="O118" s="181"/>
      <c r="P118" s="181"/>
      <c r="Q118" s="181"/>
      <c r="R118" s="181"/>
      <c r="S118" s="181"/>
      <c r="T118" s="181"/>
      <c r="U118" s="181"/>
      <c r="V118" s="181"/>
      <c r="W118" s="181"/>
      <c r="X118" s="181"/>
      <c r="Y118" s="181"/>
      <c r="Z118" s="181"/>
      <c r="AA118" s="181"/>
    </row>
    <row r="119" customFormat="false" ht="15.75" hidden="false" customHeight="false" outlineLevel="0" collapsed="false">
      <c r="A119" s="181" t="str">
        <f aca="false">IF(ISBLANK(B119),"",B119&amp;"|"&amp;C119)</f>
        <v/>
      </c>
      <c r="B119" s="181"/>
      <c r="C119" s="181"/>
      <c r="D119" s="181"/>
      <c r="E119" s="186"/>
      <c r="F119" s="181"/>
      <c r="G119" s="181"/>
      <c r="H119" s="181"/>
      <c r="I119" s="181"/>
      <c r="J119" s="181"/>
      <c r="K119" s="181"/>
      <c r="L119" s="181"/>
      <c r="M119" s="181"/>
      <c r="N119" s="181"/>
      <c r="O119" s="181"/>
      <c r="P119" s="181"/>
      <c r="Q119" s="181"/>
      <c r="R119" s="181"/>
      <c r="S119" s="181"/>
      <c r="T119" s="181"/>
      <c r="U119" s="181"/>
      <c r="V119" s="181"/>
      <c r="W119" s="181"/>
      <c r="X119" s="181"/>
      <c r="Y119" s="181"/>
      <c r="Z119" s="181"/>
      <c r="AA119" s="181"/>
    </row>
    <row r="120" customFormat="false" ht="15.75" hidden="false" customHeight="false" outlineLevel="0" collapsed="false">
      <c r="A120" s="181" t="str">
        <f aca="false">IF(ISBLANK(B120),"",B120&amp;"|"&amp;C120)</f>
        <v/>
      </c>
      <c r="B120" s="181"/>
      <c r="C120" s="181"/>
      <c r="D120" s="181"/>
      <c r="E120" s="186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  <c r="AA120" s="181"/>
    </row>
    <row r="121" customFormat="false" ht="15.75" hidden="false" customHeight="false" outlineLevel="0" collapsed="false">
      <c r="A121" s="181" t="str">
        <f aca="false">IF(ISBLANK(B121),"",B121&amp;"|"&amp;C121)</f>
        <v/>
      </c>
      <c r="B121" s="181"/>
      <c r="C121" s="181"/>
      <c r="D121" s="181"/>
      <c r="E121" s="186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</row>
    <row r="122" customFormat="false" ht="15.75" hidden="false" customHeight="false" outlineLevel="0" collapsed="false">
      <c r="A122" s="181" t="str">
        <f aca="false">IF(ISBLANK(B122),"",B122&amp;"|"&amp;C122)</f>
        <v/>
      </c>
      <c r="B122" s="181"/>
      <c r="C122" s="181"/>
      <c r="D122" s="181"/>
      <c r="E122" s="186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  <c r="AA122" s="181"/>
    </row>
    <row r="123" customFormat="false" ht="15.75" hidden="false" customHeight="false" outlineLevel="0" collapsed="false">
      <c r="A123" s="181" t="str">
        <f aca="false">IF(ISBLANK(B123),"",B123&amp;"|"&amp;C123)</f>
        <v/>
      </c>
      <c r="B123" s="181"/>
      <c r="C123" s="181"/>
      <c r="D123" s="181"/>
      <c r="E123" s="186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  <c r="AA123" s="181"/>
    </row>
    <row r="124" customFormat="false" ht="15.75" hidden="false" customHeight="false" outlineLevel="0" collapsed="false">
      <c r="A124" s="181" t="str">
        <f aca="false">IF(ISBLANK(B124),"",B124&amp;"|"&amp;C124)</f>
        <v/>
      </c>
      <c r="B124" s="181"/>
      <c r="C124" s="181"/>
      <c r="D124" s="181"/>
      <c r="E124" s="186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  <c r="AA124" s="181"/>
    </row>
    <row r="125" customFormat="false" ht="15.75" hidden="false" customHeight="false" outlineLevel="0" collapsed="false">
      <c r="A125" s="181" t="str">
        <f aca="false">IF(ISBLANK(B125),"",B125&amp;"|"&amp;C125)</f>
        <v/>
      </c>
      <c r="B125" s="181"/>
      <c r="C125" s="181"/>
      <c r="D125" s="181"/>
      <c r="E125" s="186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  <c r="AA125" s="181"/>
    </row>
    <row r="126" customFormat="false" ht="15.75" hidden="false" customHeight="false" outlineLevel="0" collapsed="false">
      <c r="A126" s="181" t="str">
        <f aca="false">IF(ISBLANK(B126),"",B126&amp;"|"&amp;C126)</f>
        <v/>
      </c>
      <c r="B126" s="181"/>
      <c r="C126" s="181"/>
      <c r="D126" s="181"/>
      <c r="E126" s="186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  <c r="AA126" s="181"/>
    </row>
    <row r="127" customFormat="false" ht="15.75" hidden="false" customHeight="false" outlineLevel="0" collapsed="false">
      <c r="A127" s="181" t="str">
        <f aca="false">IF(ISBLANK(B127),"",B127&amp;"|"&amp;C127)</f>
        <v/>
      </c>
      <c r="B127" s="181"/>
      <c r="C127" s="181"/>
      <c r="D127" s="181"/>
      <c r="E127" s="186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  <c r="AA127" s="181"/>
    </row>
    <row r="128" customFormat="false" ht="15.75" hidden="false" customHeight="false" outlineLevel="0" collapsed="false">
      <c r="A128" s="181" t="str">
        <f aca="false">IF(ISBLANK(B128),"",B128&amp;"|"&amp;C128)</f>
        <v/>
      </c>
      <c r="B128" s="181"/>
      <c r="C128" s="181"/>
      <c r="D128" s="181"/>
      <c r="E128" s="186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  <c r="AA128" s="181"/>
    </row>
    <row r="129" customFormat="false" ht="15.75" hidden="false" customHeight="false" outlineLevel="0" collapsed="false">
      <c r="A129" s="181" t="str">
        <f aca="false">IF(ISBLANK(B129),"",B129&amp;"|"&amp;C129)</f>
        <v/>
      </c>
      <c r="B129" s="181"/>
      <c r="C129" s="181"/>
      <c r="D129" s="181"/>
      <c r="E129" s="186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  <c r="AA129" s="181"/>
    </row>
    <row r="130" customFormat="false" ht="15.75" hidden="false" customHeight="false" outlineLevel="0" collapsed="false">
      <c r="A130" s="181" t="str">
        <f aca="false">IF(ISBLANK(B130),"",B130&amp;"|"&amp;C130)</f>
        <v/>
      </c>
      <c r="B130" s="181"/>
      <c r="C130" s="181"/>
      <c r="D130" s="181"/>
      <c r="E130" s="186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  <c r="AA130" s="181"/>
    </row>
    <row r="131" customFormat="false" ht="15.75" hidden="false" customHeight="false" outlineLevel="0" collapsed="false">
      <c r="A131" s="181" t="str">
        <f aca="false">IF(ISBLANK(B131),"",B131&amp;"|"&amp;C131)</f>
        <v/>
      </c>
      <c r="B131" s="181"/>
      <c r="C131" s="181"/>
      <c r="D131" s="181"/>
      <c r="E131" s="186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  <c r="AA131" s="181"/>
    </row>
    <row r="132" customFormat="false" ht="15.75" hidden="false" customHeight="false" outlineLevel="0" collapsed="false">
      <c r="A132" s="181" t="str">
        <f aca="false">IF(ISBLANK(B132),"",B132&amp;"|"&amp;C132)</f>
        <v/>
      </c>
      <c r="B132" s="181"/>
      <c r="C132" s="181"/>
      <c r="D132" s="181"/>
      <c r="E132" s="186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  <c r="AA132" s="181"/>
    </row>
    <row r="133" customFormat="false" ht="15.75" hidden="false" customHeight="false" outlineLevel="0" collapsed="false">
      <c r="A133" s="181" t="str">
        <f aca="false">IF(ISBLANK(B133),"",B133&amp;"|"&amp;C133)</f>
        <v/>
      </c>
      <c r="B133" s="181"/>
      <c r="C133" s="181"/>
      <c r="D133" s="181"/>
      <c r="E133" s="186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  <c r="AA133" s="181"/>
    </row>
    <row r="134" customFormat="false" ht="15.75" hidden="false" customHeight="false" outlineLevel="0" collapsed="false">
      <c r="A134" s="181" t="str">
        <f aca="false">IF(ISBLANK(B134),"",B134&amp;"|"&amp;C134)</f>
        <v/>
      </c>
      <c r="B134" s="181"/>
      <c r="C134" s="181"/>
      <c r="D134" s="181"/>
      <c r="E134" s="186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  <c r="AA134" s="181"/>
    </row>
    <row r="135" customFormat="false" ht="15.75" hidden="false" customHeight="false" outlineLevel="0" collapsed="false">
      <c r="A135" s="181" t="str">
        <f aca="false">IF(ISBLANK(B135),"",B135&amp;"|"&amp;C135)</f>
        <v/>
      </c>
      <c r="B135" s="181"/>
      <c r="C135" s="181"/>
      <c r="D135" s="181"/>
      <c r="E135" s="186"/>
      <c r="F135" s="181"/>
      <c r="G135" s="181"/>
      <c r="H135" s="181"/>
      <c r="I135" s="181"/>
      <c r="J135" s="181"/>
      <c r="K135" s="181"/>
      <c r="L135" s="181"/>
      <c r="M135" s="181"/>
      <c r="N135" s="181"/>
      <c r="O135" s="181"/>
      <c r="P135" s="181"/>
      <c r="Q135" s="181"/>
      <c r="R135" s="181"/>
      <c r="S135" s="181"/>
      <c r="T135" s="181"/>
      <c r="U135" s="181"/>
      <c r="V135" s="181"/>
      <c r="W135" s="181"/>
      <c r="X135" s="181"/>
      <c r="Y135" s="181"/>
      <c r="Z135" s="181"/>
      <c r="AA135" s="181"/>
    </row>
    <row r="136" customFormat="false" ht="15.75" hidden="false" customHeight="false" outlineLevel="0" collapsed="false">
      <c r="A136" s="181" t="str">
        <f aca="false">IF(ISBLANK(B136),"",B136&amp;"|"&amp;C136)</f>
        <v/>
      </c>
      <c r="B136" s="181"/>
      <c r="C136" s="181"/>
      <c r="D136" s="181"/>
      <c r="E136" s="186"/>
      <c r="F136" s="181"/>
      <c r="G136" s="181"/>
      <c r="H136" s="181"/>
      <c r="I136" s="181"/>
      <c r="J136" s="181"/>
      <c r="K136" s="181"/>
      <c r="L136" s="181"/>
      <c r="M136" s="181"/>
      <c r="N136" s="181"/>
      <c r="O136" s="181"/>
      <c r="P136" s="181"/>
      <c r="Q136" s="181"/>
      <c r="R136" s="181"/>
      <c r="S136" s="181"/>
      <c r="T136" s="181"/>
      <c r="U136" s="181"/>
      <c r="V136" s="181"/>
      <c r="W136" s="181"/>
      <c r="X136" s="181"/>
      <c r="Y136" s="181"/>
      <c r="Z136" s="181"/>
      <c r="AA136" s="181"/>
    </row>
    <row r="137" customFormat="false" ht="15.75" hidden="false" customHeight="false" outlineLevel="0" collapsed="false">
      <c r="A137" s="181" t="str">
        <f aca="false">IF(ISBLANK(B137),"",B137&amp;"|"&amp;C137)</f>
        <v/>
      </c>
      <c r="B137" s="181"/>
      <c r="C137" s="181"/>
      <c r="D137" s="181"/>
      <c r="E137" s="186"/>
      <c r="F137" s="181"/>
      <c r="G137" s="181"/>
      <c r="H137" s="181"/>
      <c r="I137" s="181"/>
      <c r="J137" s="181"/>
      <c r="K137" s="181"/>
      <c r="L137" s="181"/>
      <c r="M137" s="181"/>
      <c r="N137" s="181"/>
      <c r="O137" s="181"/>
      <c r="P137" s="181"/>
      <c r="Q137" s="181"/>
      <c r="R137" s="181"/>
      <c r="S137" s="181"/>
      <c r="T137" s="181"/>
      <c r="U137" s="181"/>
      <c r="V137" s="181"/>
      <c r="W137" s="181"/>
      <c r="X137" s="181"/>
      <c r="Y137" s="181"/>
      <c r="Z137" s="181"/>
      <c r="AA137" s="181"/>
    </row>
    <row r="138" customFormat="false" ht="15.75" hidden="false" customHeight="false" outlineLevel="0" collapsed="false">
      <c r="A138" s="181" t="str">
        <f aca="false">IF(ISBLANK(B138),"",B138&amp;"|"&amp;C138)</f>
        <v/>
      </c>
      <c r="B138" s="181"/>
      <c r="C138" s="181"/>
      <c r="D138" s="181"/>
      <c r="E138" s="186"/>
      <c r="F138" s="181"/>
      <c r="G138" s="181"/>
      <c r="H138" s="181"/>
      <c r="I138" s="181"/>
      <c r="J138" s="181"/>
      <c r="K138" s="181"/>
      <c r="L138" s="181"/>
      <c r="M138" s="181"/>
      <c r="N138" s="181"/>
      <c r="O138" s="181"/>
      <c r="P138" s="181"/>
      <c r="Q138" s="181"/>
      <c r="R138" s="181"/>
      <c r="S138" s="181"/>
      <c r="T138" s="181"/>
      <c r="U138" s="181"/>
      <c r="V138" s="181"/>
      <c r="W138" s="181"/>
      <c r="X138" s="181"/>
      <c r="Y138" s="181"/>
      <c r="Z138" s="181"/>
      <c r="AA138" s="181"/>
    </row>
    <row r="139" customFormat="false" ht="15.75" hidden="false" customHeight="false" outlineLevel="0" collapsed="false">
      <c r="A139" s="181" t="str">
        <f aca="false">IF(ISBLANK(B139),"",B139&amp;"|"&amp;C139)</f>
        <v/>
      </c>
      <c r="B139" s="181"/>
      <c r="C139" s="181"/>
      <c r="D139" s="181"/>
      <c r="E139" s="186"/>
      <c r="F139" s="181"/>
      <c r="G139" s="181"/>
      <c r="H139" s="181"/>
      <c r="I139" s="181"/>
      <c r="J139" s="181"/>
      <c r="K139" s="181"/>
      <c r="L139" s="181"/>
      <c r="M139" s="181"/>
      <c r="N139" s="181"/>
      <c r="O139" s="181"/>
      <c r="P139" s="181"/>
      <c r="Q139" s="181"/>
      <c r="R139" s="181"/>
      <c r="S139" s="181"/>
      <c r="T139" s="181"/>
      <c r="U139" s="181"/>
      <c r="V139" s="181"/>
      <c r="W139" s="181"/>
      <c r="X139" s="181"/>
      <c r="Y139" s="181"/>
      <c r="Z139" s="181"/>
      <c r="AA139" s="181"/>
    </row>
    <row r="140" customFormat="false" ht="15.75" hidden="false" customHeight="false" outlineLevel="0" collapsed="false">
      <c r="A140" s="181" t="str">
        <f aca="false">IF(ISBLANK(B140),"",B140&amp;"|"&amp;C140)</f>
        <v/>
      </c>
      <c r="B140" s="181"/>
      <c r="C140" s="181"/>
      <c r="D140" s="181"/>
      <c r="E140" s="186"/>
      <c r="F140" s="181"/>
      <c r="G140" s="181"/>
      <c r="H140" s="181"/>
      <c r="I140" s="181"/>
      <c r="J140" s="181"/>
      <c r="K140" s="181"/>
      <c r="L140" s="181"/>
      <c r="M140" s="181"/>
      <c r="N140" s="181"/>
      <c r="O140" s="181"/>
      <c r="P140" s="181"/>
      <c r="Q140" s="181"/>
      <c r="R140" s="181"/>
      <c r="S140" s="181"/>
      <c r="T140" s="181"/>
      <c r="U140" s="181"/>
      <c r="V140" s="181"/>
      <c r="W140" s="181"/>
      <c r="X140" s="181"/>
      <c r="Y140" s="181"/>
      <c r="Z140" s="181"/>
      <c r="AA140" s="181"/>
    </row>
    <row r="141" customFormat="false" ht="15.75" hidden="false" customHeight="false" outlineLevel="0" collapsed="false">
      <c r="A141" s="181" t="str">
        <f aca="false">IF(ISBLANK(B141),"",B141&amp;"|"&amp;C141)</f>
        <v/>
      </c>
      <c r="B141" s="181"/>
      <c r="C141" s="181"/>
      <c r="D141" s="181"/>
      <c r="E141" s="186"/>
      <c r="F141" s="181"/>
      <c r="G141" s="181"/>
      <c r="H141" s="181"/>
      <c r="I141" s="181"/>
      <c r="J141" s="181"/>
      <c r="K141" s="181"/>
      <c r="L141" s="181"/>
      <c r="M141" s="181"/>
      <c r="N141" s="181"/>
      <c r="O141" s="181"/>
      <c r="P141" s="181"/>
      <c r="Q141" s="181"/>
      <c r="R141" s="181"/>
      <c r="S141" s="181"/>
      <c r="T141" s="181"/>
      <c r="U141" s="181"/>
      <c r="V141" s="181"/>
      <c r="W141" s="181"/>
      <c r="X141" s="181"/>
      <c r="Y141" s="181"/>
      <c r="Z141" s="181"/>
      <c r="AA141" s="181"/>
    </row>
    <row r="142" customFormat="false" ht="15.75" hidden="false" customHeight="false" outlineLevel="0" collapsed="false">
      <c r="A142" s="181" t="str">
        <f aca="false">IF(ISBLANK(B142),"",B142&amp;"|"&amp;C142)</f>
        <v/>
      </c>
      <c r="B142" s="181"/>
      <c r="C142" s="181"/>
      <c r="D142" s="181"/>
      <c r="E142" s="186"/>
      <c r="F142" s="181"/>
      <c r="G142" s="181"/>
      <c r="H142" s="181"/>
      <c r="I142" s="181"/>
      <c r="J142" s="181"/>
      <c r="K142" s="181"/>
      <c r="L142" s="181"/>
      <c r="M142" s="181"/>
      <c r="N142" s="181"/>
      <c r="O142" s="181"/>
      <c r="P142" s="181"/>
      <c r="Q142" s="181"/>
      <c r="R142" s="181"/>
      <c r="S142" s="181"/>
      <c r="T142" s="181"/>
      <c r="U142" s="181"/>
      <c r="V142" s="181"/>
      <c r="W142" s="181"/>
      <c r="X142" s="181"/>
      <c r="Y142" s="181"/>
      <c r="Z142" s="181"/>
      <c r="AA142" s="181"/>
    </row>
    <row r="143" customFormat="false" ht="15.75" hidden="false" customHeight="false" outlineLevel="0" collapsed="false">
      <c r="A143" s="181" t="str">
        <f aca="false">IF(ISBLANK(B143),"",B143&amp;"|"&amp;C143)</f>
        <v/>
      </c>
      <c r="B143" s="181"/>
      <c r="C143" s="181"/>
      <c r="D143" s="181"/>
      <c r="E143" s="186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  <c r="AA143" s="181"/>
    </row>
    <row r="144" customFormat="false" ht="15.75" hidden="false" customHeight="false" outlineLevel="0" collapsed="false">
      <c r="A144" s="181" t="str">
        <f aca="false">IF(ISBLANK(B144),"",B144&amp;"|"&amp;C144)</f>
        <v/>
      </c>
      <c r="B144" s="181"/>
      <c r="C144" s="181"/>
      <c r="D144" s="181"/>
      <c r="E144" s="186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  <c r="AA144" s="181"/>
    </row>
    <row r="145" customFormat="false" ht="15.75" hidden="false" customHeight="false" outlineLevel="0" collapsed="false">
      <c r="A145" s="181" t="str">
        <f aca="false">IF(ISBLANK(B145),"",B145&amp;"|"&amp;C145)</f>
        <v/>
      </c>
      <c r="B145" s="181"/>
      <c r="C145" s="181"/>
      <c r="D145" s="181"/>
      <c r="E145" s="186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  <c r="AA145" s="181"/>
    </row>
    <row r="146" customFormat="false" ht="15.75" hidden="false" customHeight="false" outlineLevel="0" collapsed="false">
      <c r="A146" s="181" t="str">
        <f aca="false">IF(ISBLANK(B146),"",B146&amp;"|"&amp;C146)</f>
        <v/>
      </c>
      <c r="B146" s="181"/>
      <c r="C146" s="181"/>
      <c r="D146" s="181"/>
      <c r="E146" s="186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  <c r="AA146" s="181"/>
    </row>
    <row r="147" customFormat="false" ht="15.75" hidden="false" customHeight="false" outlineLevel="0" collapsed="false">
      <c r="A147" s="181" t="str">
        <f aca="false">IF(ISBLANK(B147),"",B147&amp;"|"&amp;C147)</f>
        <v/>
      </c>
      <c r="B147" s="181"/>
      <c r="C147" s="181"/>
      <c r="D147" s="181"/>
      <c r="E147" s="186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  <c r="AA147" s="181"/>
    </row>
    <row r="148" customFormat="false" ht="15.75" hidden="false" customHeight="false" outlineLevel="0" collapsed="false">
      <c r="A148" s="181" t="str">
        <f aca="false">IF(ISBLANK(B148),"",B148&amp;"|"&amp;C148)</f>
        <v/>
      </c>
      <c r="B148" s="181"/>
      <c r="C148" s="181"/>
      <c r="D148" s="181"/>
      <c r="E148" s="186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  <c r="AA148" s="181"/>
    </row>
    <row r="149" customFormat="false" ht="15.75" hidden="false" customHeight="false" outlineLevel="0" collapsed="false">
      <c r="A149" s="181" t="str">
        <f aca="false">IF(ISBLANK(B149),"",B149&amp;"|"&amp;C149)</f>
        <v/>
      </c>
      <c r="B149" s="181"/>
      <c r="C149" s="181"/>
      <c r="D149" s="181"/>
      <c r="E149" s="186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  <c r="AA149" s="181"/>
    </row>
    <row r="150" customFormat="false" ht="15.75" hidden="false" customHeight="false" outlineLevel="0" collapsed="false">
      <c r="A150" s="181" t="str">
        <f aca="false">IF(ISBLANK(B150),"",B150&amp;"|"&amp;C150)</f>
        <v/>
      </c>
      <c r="B150" s="181"/>
      <c r="C150" s="181"/>
      <c r="D150" s="181"/>
      <c r="E150" s="186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  <c r="AA150" s="181"/>
    </row>
    <row r="151" customFormat="false" ht="15.75" hidden="false" customHeight="false" outlineLevel="0" collapsed="false">
      <c r="A151" s="181" t="str">
        <f aca="false">IF(ISBLANK(B151),"",B151&amp;"|"&amp;C151)</f>
        <v/>
      </c>
      <c r="B151" s="181"/>
      <c r="C151" s="181"/>
      <c r="D151" s="181"/>
      <c r="E151" s="186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  <c r="AA151" s="181"/>
    </row>
    <row r="152" customFormat="false" ht="15.75" hidden="false" customHeight="false" outlineLevel="0" collapsed="false">
      <c r="A152" s="181" t="str">
        <f aca="false">IF(ISBLANK(B152),"",B152&amp;"|"&amp;C152)</f>
        <v/>
      </c>
      <c r="B152" s="181"/>
      <c r="C152" s="181"/>
      <c r="D152" s="181"/>
      <c r="E152" s="186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  <c r="AA152" s="181"/>
    </row>
    <row r="153" customFormat="false" ht="15.75" hidden="false" customHeight="false" outlineLevel="0" collapsed="false">
      <c r="A153" s="181" t="str">
        <f aca="false">IF(ISBLANK(B153),"",B153&amp;"|"&amp;C153)</f>
        <v/>
      </c>
      <c r="B153" s="181"/>
      <c r="C153" s="181"/>
      <c r="D153" s="181"/>
      <c r="E153" s="186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  <c r="AA153" s="181"/>
    </row>
    <row r="154" customFormat="false" ht="15.75" hidden="false" customHeight="false" outlineLevel="0" collapsed="false">
      <c r="A154" s="181" t="str">
        <f aca="false">IF(ISBLANK(B154),"",B154&amp;"|"&amp;C154)</f>
        <v/>
      </c>
      <c r="B154" s="181"/>
      <c r="C154" s="181"/>
      <c r="D154" s="181"/>
      <c r="E154" s="186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  <c r="AA154" s="181"/>
    </row>
    <row r="155" customFormat="false" ht="15.75" hidden="false" customHeight="false" outlineLevel="0" collapsed="false">
      <c r="A155" s="181" t="str">
        <f aca="false">IF(ISBLANK(B155),"",B155&amp;"|"&amp;C155)</f>
        <v/>
      </c>
      <c r="B155" s="181"/>
      <c r="C155" s="181"/>
      <c r="D155" s="181"/>
      <c r="E155" s="186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  <c r="AA155" s="181"/>
    </row>
    <row r="156" customFormat="false" ht="15.75" hidden="false" customHeight="false" outlineLevel="0" collapsed="false">
      <c r="A156" s="181" t="str">
        <f aca="false">IF(ISBLANK(B156),"",B156&amp;"|"&amp;C156)</f>
        <v/>
      </c>
      <c r="B156" s="181"/>
      <c r="C156" s="181"/>
      <c r="D156" s="181"/>
      <c r="E156" s="186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</row>
    <row r="157" customFormat="false" ht="15.75" hidden="false" customHeight="false" outlineLevel="0" collapsed="false">
      <c r="A157" s="181" t="str">
        <f aca="false">IF(ISBLANK(B157),"",B157&amp;"|"&amp;C157)</f>
        <v/>
      </c>
      <c r="B157" s="181"/>
      <c r="C157" s="181"/>
      <c r="D157" s="181"/>
      <c r="E157" s="186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  <c r="AA157" s="181"/>
    </row>
    <row r="158" customFormat="false" ht="15.75" hidden="false" customHeight="false" outlineLevel="0" collapsed="false">
      <c r="A158" s="181" t="str">
        <f aca="false">IF(ISBLANK(B158),"",B158&amp;"|"&amp;C158)</f>
        <v/>
      </c>
      <c r="B158" s="181"/>
      <c r="C158" s="181"/>
      <c r="D158" s="181"/>
      <c r="E158" s="186"/>
      <c r="F158" s="181"/>
      <c r="G158" s="181"/>
      <c r="H158" s="181"/>
      <c r="I158" s="181"/>
      <c r="J158" s="181"/>
      <c r="K158" s="181"/>
      <c r="L158" s="181"/>
      <c r="M158" s="181"/>
      <c r="N158" s="181"/>
      <c r="O158" s="181"/>
      <c r="P158" s="181"/>
      <c r="Q158" s="181"/>
      <c r="R158" s="181"/>
      <c r="S158" s="181"/>
      <c r="T158" s="181"/>
      <c r="U158" s="181"/>
      <c r="V158" s="181"/>
      <c r="W158" s="181"/>
      <c r="X158" s="181"/>
      <c r="Y158" s="181"/>
      <c r="Z158" s="181"/>
      <c r="AA158" s="181"/>
    </row>
    <row r="159" customFormat="false" ht="15.75" hidden="false" customHeight="false" outlineLevel="0" collapsed="false">
      <c r="A159" s="181" t="str">
        <f aca="false">IF(ISBLANK(B159),"",B159&amp;"|"&amp;C159)</f>
        <v/>
      </c>
      <c r="B159" s="181"/>
      <c r="C159" s="181"/>
      <c r="D159" s="181"/>
      <c r="E159" s="186"/>
      <c r="F159" s="181"/>
      <c r="G159" s="181"/>
      <c r="H159" s="181"/>
      <c r="I159" s="181"/>
      <c r="J159" s="181"/>
      <c r="K159" s="181"/>
      <c r="L159" s="181"/>
      <c r="M159" s="181"/>
      <c r="N159" s="181"/>
      <c r="O159" s="181"/>
      <c r="P159" s="181"/>
      <c r="Q159" s="181"/>
      <c r="R159" s="181"/>
      <c r="S159" s="181"/>
      <c r="T159" s="181"/>
      <c r="U159" s="181"/>
      <c r="V159" s="181"/>
      <c r="W159" s="181"/>
      <c r="X159" s="181"/>
      <c r="Y159" s="181"/>
      <c r="Z159" s="181"/>
      <c r="AA159" s="181"/>
    </row>
    <row r="160" customFormat="false" ht="15.75" hidden="false" customHeight="false" outlineLevel="0" collapsed="false">
      <c r="A160" s="181" t="str">
        <f aca="false">IF(ISBLANK(B160),"",B160&amp;"|"&amp;C160)</f>
        <v/>
      </c>
      <c r="B160" s="181"/>
      <c r="C160" s="181"/>
      <c r="D160" s="181"/>
      <c r="E160" s="186"/>
      <c r="F160" s="181"/>
      <c r="G160" s="181"/>
      <c r="H160" s="181"/>
      <c r="I160" s="181"/>
      <c r="J160" s="181"/>
      <c r="K160" s="181"/>
      <c r="L160" s="181"/>
      <c r="M160" s="181"/>
      <c r="N160" s="181"/>
      <c r="O160" s="181"/>
      <c r="P160" s="181"/>
      <c r="Q160" s="181"/>
      <c r="R160" s="181"/>
      <c r="S160" s="181"/>
      <c r="T160" s="181"/>
      <c r="U160" s="181"/>
      <c r="V160" s="181"/>
      <c r="W160" s="181"/>
      <c r="X160" s="181"/>
      <c r="Y160" s="181"/>
      <c r="Z160" s="181"/>
      <c r="AA160" s="181"/>
    </row>
    <row r="161" customFormat="false" ht="15.75" hidden="false" customHeight="false" outlineLevel="0" collapsed="false">
      <c r="A161" s="181" t="str">
        <f aca="false">IF(ISBLANK(B161),"",B161&amp;"|"&amp;C161)</f>
        <v/>
      </c>
      <c r="B161" s="181"/>
      <c r="C161" s="181"/>
      <c r="D161" s="181"/>
      <c r="E161" s="186"/>
      <c r="F161" s="181"/>
      <c r="G161" s="181"/>
      <c r="H161" s="181"/>
      <c r="I161" s="181"/>
      <c r="J161" s="181"/>
      <c r="K161" s="181"/>
      <c r="L161" s="181"/>
      <c r="M161" s="181"/>
      <c r="N161" s="181"/>
      <c r="O161" s="181"/>
      <c r="P161" s="181"/>
      <c r="Q161" s="181"/>
      <c r="R161" s="181"/>
      <c r="S161" s="181"/>
      <c r="T161" s="181"/>
      <c r="U161" s="181"/>
      <c r="V161" s="181"/>
      <c r="W161" s="181"/>
      <c r="X161" s="181"/>
      <c r="Y161" s="181"/>
      <c r="Z161" s="181"/>
      <c r="AA161" s="181"/>
    </row>
    <row r="162" customFormat="false" ht="15.75" hidden="false" customHeight="false" outlineLevel="0" collapsed="false">
      <c r="A162" s="181" t="str">
        <f aca="false">IF(ISBLANK(B162),"",B162&amp;"|"&amp;C162)</f>
        <v/>
      </c>
      <c r="B162" s="181"/>
      <c r="C162" s="181"/>
      <c r="D162" s="181"/>
      <c r="E162" s="186"/>
      <c r="F162" s="181"/>
      <c r="G162" s="181"/>
      <c r="H162" s="181"/>
      <c r="I162" s="181"/>
      <c r="J162" s="181"/>
      <c r="K162" s="181"/>
      <c r="L162" s="181"/>
      <c r="M162" s="181"/>
      <c r="N162" s="181"/>
      <c r="O162" s="181"/>
      <c r="P162" s="181"/>
      <c r="Q162" s="181"/>
      <c r="R162" s="181"/>
      <c r="S162" s="181"/>
      <c r="T162" s="181"/>
      <c r="U162" s="181"/>
      <c r="V162" s="181"/>
      <c r="W162" s="181"/>
      <c r="X162" s="181"/>
      <c r="Y162" s="181"/>
      <c r="Z162" s="181"/>
      <c r="AA162" s="181"/>
    </row>
    <row r="163" customFormat="false" ht="15.75" hidden="false" customHeight="false" outlineLevel="0" collapsed="false">
      <c r="A163" s="181" t="str">
        <f aca="false">IF(ISBLANK(B163),"",B163&amp;"|"&amp;C163)</f>
        <v/>
      </c>
      <c r="B163" s="181"/>
      <c r="C163" s="181"/>
      <c r="D163" s="181"/>
      <c r="E163" s="186"/>
      <c r="F163" s="181"/>
      <c r="G163" s="181"/>
      <c r="H163" s="181"/>
      <c r="I163" s="181"/>
      <c r="J163" s="181"/>
      <c r="K163" s="181"/>
      <c r="L163" s="181"/>
      <c r="M163" s="181"/>
      <c r="N163" s="181"/>
      <c r="O163" s="181"/>
      <c r="P163" s="181"/>
      <c r="Q163" s="181"/>
      <c r="R163" s="181"/>
      <c r="S163" s="181"/>
      <c r="T163" s="181"/>
      <c r="U163" s="181"/>
      <c r="V163" s="181"/>
      <c r="W163" s="181"/>
      <c r="X163" s="181"/>
      <c r="Y163" s="181"/>
      <c r="Z163" s="181"/>
      <c r="AA163" s="181"/>
    </row>
    <row r="164" customFormat="false" ht="15.75" hidden="false" customHeight="false" outlineLevel="0" collapsed="false">
      <c r="A164" s="181" t="str">
        <f aca="false">IF(ISBLANK(B164),"",B164&amp;"|"&amp;C164)</f>
        <v/>
      </c>
      <c r="B164" s="181"/>
      <c r="C164" s="181"/>
      <c r="D164" s="181"/>
      <c r="E164" s="186"/>
      <c r="F164" s="181"/>
      <c r="G164" s="181"/>
      <c r="H164" s="181"/>
      <c r="I164" s="181"/>
      <c r="J164" s="181"/>
      <c r="K164" s="181"/>
      <c r="L164" s="181"/>
      <c r="M164" s="181"/>
      <c r="N164" s="181"/>
      <c r="O164" s="181"/>
      <c r="P164" s="181"/>
      <c r="Q164" s="181"/>
      <c r="R164" s="181"/>
      <c r="S164" s="181"/>
      <c r="T164" s="181"/>
      <c r="U164" s="181"/>
      <c r="V164" s="181"/>
      <c r="W164" s="181"/>
      <c r="X164" s="181"/>
      <c r="Y164" s="181"/>
      <c r="Z164" s="181"/>
      <c r="AA164" s="181"/>
    </row>
    <row r="165" customFormat="false" ht="15.75" hidden="false" customHeight="false" outlineLevel="0" collapsed="false">
      <c r="A165" s="181" t="str">
        <f aca="false">IF(ISBLANK(B165),"",B165&amp;"|"&amp;C165)</f>
        <v/>
      </c>
      <c r="B165" s="181"/>
      <c r="C165" s="181"/>
      <c r="D165" s="181"/>
      <c r="E165" s="186"/>
      <c r="F165" s="181"/>
      <c r="G165" s="181"/>
      <c r="H165" s="181"/>
      <c r="I165" s="181"/>
      <c r="J165" s="181"/>
      <c r="K165" s="181"/>
      <c r="L165" s="181"/>
      <c r="M165" s="181"/>
      <c r="N165" s="181"/>
      <c r="O165" s="181"/>
      <c r="P165" s="181"/>
      <c r="Q165" s="181"/>
      <c r="R165" s="181"/>
      <c r="S165" s="181"/>
      <c r="T165" s="181"/>
      <c r="U165" s="181"/>
      <c r="V165" s="181"/>
      <c r="W165" s="181"/>
      <c r="X165" s="181"/>
      <c r="Y165" s="181"/>
      <c r="Z165" s="181"/>
      <c r="AA165" s="181"/>
    </row>
    <row r="166" customFormat="false" ht="15.75" hidden="false" customHeight="false" outlineLevel="0" collapsed="false">
      <c r="A166" s="181" t="str">
        <f aca="false">IF(ISBLANK(B166),"",B166&amp;"|"&amp;C166)</f>
        <v/>
      </c>
      <c r="B166" s="181"/>
      <c r="C166" s="181"/>
      <c r="D166" s="181"/>
      <c r="E166" s="186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  <c r="AA166" s="181"/>
    </row>
    <row r="167" customFormat="false" ht="15.75" hidden="false" customHeight="false" outlineLevel="0" collapsed="false">
      <c r="A167" s="181" t="str">
        <f aca="false">IF(ISBLANK(B167),"",B167&amp;"|"&amp;C167)</f>
        <v/>
      </c>
      <c r="B167" s="181"/>
      <c r="C167" s="181"/>
      <c r="D167" s="181"/>
      <c r="E167" s="186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  <c r="AA167" s="181"/>
    </row>
    <row r="168" customFormat="false" ht="15.75" hidden="false" customHeight="false" outlineLevel="0" collapsed="false">
      <c r="A168" s="181" t="str">
        <f aca="false">IF(ISBLANK(B168),"",B168&amp;"|"&amp;C168)</f>
        <v/>
      </c>
      <c r="B168" s="181"/>
      <c r="C168" s="181"/>
      <c r="D168" s="181"/>
      <c r="E168" s="186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  <c r="AA168" s="181"/>
    </row>
    <row r="169" customFormat="false" ht="15.75" hidden="false" customHeight="false" outlineLevel="0" collapsed="false">
      <c r="A169" s="181" t="str">
        <f aca="false">IF(ISBLANK(B169),"",B169&amp;"|"&amp;C169)</f>
        <v/>
      </c>
      <c r="B169" s="181"/>
      <c r="C169" s="181"/>
      <c r="D169" s="181"/>
      <c r="E169" s="186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  <c r="AA169" s="181"/>
    </row>
    <row r="170" customFormat="false" ht="15.75" hidden="false" customHeight="false" outlineLevel="0" collapsed="false">
      <c r="A170" s="181" t="str">
        <f aca="false">IF(ISBLANK(B170),"",B170&amp;"|"&amp;C170)</f>
        <v/>
      </c>
      <c r="B170" s="181"/>
      <c r="C170" s="181"/>
      <c r="D170" s="181"/>
      <c r="E170" s="186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  <c r="AA170" s="181"/>
    </row>
    <row r="171" customFormat="false" ht="15.75" hidden="false" customHeight="false" outlineLevel="0" collapsed="false">
      <c r="A171" s="181" t="str">
        <f aca="false">IF(ISBLANK(B171),"",B171&amp;"|"&amp;C171)</f>
        <v/>
      </c>
      <c r="B171" s="181"/>
      <c r="C171" s="181"/>
      <c r="D171" s="181"/>
      <c r="E171" s="186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  <c r="AA171" s="181"/>
    </row>
    <row r="172" customFormat="false" ht="15.75" hidden="false" customHeight="false" outlineLevel="0" collapsed="false">
      <c r="A172" s="181" t="str">
        <f aca="false">IF(ISBLANK(B172),"",B172&amp;"|"&amp;C172)</f>
        <v/>
      </c>
      <c r="B172" s="181"/>
      <c r="C172" s="181"/>
      <c r="D172" s="181"/>
      <c r="E172" s="186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  <c r="AA172" s="181"/>
    </row>
    <row r="173" customFormat="false" ht="15.75" hidden="false" customHeight="false" outlineLevel="0" collapsed="false">
      <c r="A173" s="181" t="str">
        <f aca="false">IF(ISBLANK(B173),"",B173&amp;"|"&amp;C173)</f>
        <v/>
      </c>
      <c r="B173" s="181"/>
      <c r="C173" s="181"/>
      <c r="D173" s="181"/>
      <c r="E173" s="186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  <c r="AA173" s="181"/>
    </row>
    <row r="174" customFormat="false" ht="15.75" hidden="false" customHeight="false" outlineLevel="0" collapsed="false">
      <c r="A174" s="181" t="str">
        <f aca="false">IF(ISBLANK(B174),"",B174&amp;"|"&amp;C174)</f>
        <v/>
      </c>
      <c r="B174" s="181"/>
      <c r="C174" s="181"/>
      <c r="D174" s="181"/>
      <c r="E174" s="186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  <c r="AA174" s="181"/>
    </row>
    <row r="175" customFormat="false" ht="15.75" hidden="false" customHeight="false" outlineLevel="0" collapsed="false">
      <c r="A175" s="181" t="str">
        <f aca="false">IF(ISBLANK(B175),"",B175&amp;"|"&amp;C175)</f>
        <v/>
      </c>
      <c r="B175" s="181"/>
      <c r="C175" s="181"/>
      <c r="D175" s="181"/>
      <c r="E175" s="186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  <c r="AA175" s="181"/>
    </row>
    <row r="176" customFormat="false" ht="15.75" hidden="false" customHeight="false" outlineLevel="0" collapsed="false">
      <c r="A176" s="181" t="str">
        <f aca="false">IF(ISBLANK(B176),"",B176&amp;"|"&amp;C176)</f>
        <v/>
      </c>
      <c r="B176" s="181"/>
      <c r="C176" s="181"/>
      <c r="D176" s="181"/>
      <c r="E176" s="186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  <c r="AA176" s="181"/>
    </row>
    <row r="177" customFormat="false" ht="15.75" hidden="false" customHeight="false" outlineLevel="0" collapsed="false">
      <c r="A177" s="181" t="str">
        <f aca="false">IF(ISBLANK(B177),"",B177&amp;"|"&amp;C177)</f>
        <v/>
      </c>
      <c r="B177" s="181"/>
      <c r="C177" s="181"/>
      <c r="D177" s="181"/>
      <c r="E177" s="186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  <c r="AA177" s="181"/>
    </row>
    <row r="178" customFormat="false" ht="15.75" hidden="false" customHeight="false" outlineLevel="0" collapsed="false">
      <c r="A178" s="181" t="str">
        <f aca="false">IF(ISBLANK(B178),"",B178&amp;"|"&amp;C178)</f>
        <v/>
      </c>
      <c r="B178" s="181"/>
      <c r="C178" s="181"/>
      <c r="D178" s="181"/>
      <c r="E178" s="186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  <c r="AA178" s="181"/>
    </row>
    <row r="179" customFormat="false" ht="15.75" hidden="false" customHeight="false" outlineLevel="0" collapsed="false">
      <c r="A179" s="181" t="str">
        <f aca="false">IF(ISBLANK(B179),"",B179&amp;"|"&amp;C179)</f>
        <v/>
      </c>
      <c r="B179" s="181"/>
      <c r="C179" s="181"/>
      <c r="D179" s="181"/>
      <c r="E179" s="186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  <c r="AA179" s="181"/>
    </row>
    <row r="180" customFormat="false" ht="15.75" hidden="false" customHeight="false" outlineLevel="0" collapsed="false">
      <c r="A180" s="181" t="str">
        <f aca="false">IF(ISBLANK(B180),"",B180&amp;"|"&amp;C180)</f>
        <v/>
      </c>
      <c r="B180" s="181"/>
      <c r="C180" s="181"/>
      <c r="D180" s="181"/>
      <c r="E180" s="186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  <c r="AA180" s="181"/>
    </row>
    <row r="181" customFormat="false" ht="15.75" hidden="false" customHeight="false" outlineLevel="0" collapsed="false">
      <c r="A181" s="181" t="str">
        <f aca="false">IF(ISBLANK(B181),"",B181&amp;"|"&amp;C181)</f>
        <v/>
      </c>
      <c r="B181" s="181"/>
      <c r="C181" s="181"/>
      <c r="D181" s="181"/>
      <c r="E181" s="186"/>
      <c r="F181" s="181"/>
      <c r="G181" s="181"/>
      <c r="H181" s="181"/>
      <c r="I181" s="181"/>
      <c r="J181" s="181"/>
      <c r="K181" s="181"/>
      <c r="L181" s="181"/>
      <c r="M181" s="181"/>
      <c r="N181" s="181"/>
      <c r="O181" s="181"/>
      <c r="P181" s="181"/>
      <c r="Q181" s="181"/>
      <c r="R181" s="181"/>
      <c r="S181" s="181"/>
      <c r="T181" s="181"/>
      <c r="U181" s="181"/>
      <c r="V181" s="181"/>
      <c r="W181" s="181"/>
      <c r="X181" s="181"/>
      <c r="Y181" s="181"/>
      <c r="Z181" s="181"/>
      <c r="AA181" s="181"/>
    </row>
    <row r="182" customFormat="false" ht="15.75" hidden="false" customHeight="false" outlineLevel="0" collapsed="false">
      <c r="A182" s="181" t="str">
        <f aca="false">IF(ISBLANK(B182),"",B182&amp;"|"&amp;C182)</f>
        <v/>
      </c>
      <c r="B182" s="181"/>
      <c r="C182" s="181"/>
      <c r="D182" s="181"/>
      <c r="E182" s="186"/>
      <c r="F182" s="181"/>
      <c r="G182" s="181"/>
      <c r="H182" s="181"/>
      <c r="I182" s="181"/>
      <c r="J182" s="181"/>
      <c r="K182" s="181"/>
      <c r="L182" s="181"/>
      <c r="M182" s="181"/>
      <c r="N182" s="181"/>
      <c r="O182" s="181"/>
      <c r="P182" s="181"/>
      <c r="Q182" s="181"/>
      <c r="R182" s="181"/>
      <c r="S182" s="181"/>
      <c r="T182" s="181"/>
      <c r="U182" s="181"/>
      <c r="V182" s="181"/>
      <c r="W182" s="181"/>
      <c r="X182" s="181"/>
      <c r="Y182" s="181"/>
      <c r="Z182" s="181"/>
      <c r="AA182" s="181"/>
    </row>
    <row r="183" customFormat="false" ht="15.75" hidden="false" customHeight="false" outlineLevel="0" collapsed="false">
      <c r="A183" s="181" t="str">
        <f aca="false">IF(ISBLANK(B183),"",B183&amp;"|"&amp;C183)</f>
        <v/>
      </c>
      <c r="B183" s="181"/>
      <c r="C183" s="181"/>
      <c r="D183" s="181"/>
      <c r="E183" s="186"/>
      <c r="F183" s="181"/>
      <c r="G183" s="181"/>
      <c r="H183" s="181"/>
      <c r="I183" s="181"/>
      <c r="J183" s="181"/>
      <c r="K183" s="181"/>
      <c r="L183" s="181"/>
      <c r="M183" s="181"/>
      <c r="N183" s="181"/>
      <c r="O183" s="181"/>
      <c r="P183" s="181"/>
      <c r="Q183" s="181"/>
      <c r="R183" s="181"/>
      <c r="S183" s="181"/>
      <c r="T183" s="181"/>
      <c r="U183" s="181"/>
      <c r="V183" s="181"/>
      <c r="W183" s="181"/>
      <c r="X183" s="181"/>
      <c r="Y183" s="181"/>
      <c r="Z183" s="181"/>
      <c r="AA183" s="181"/>
    </row>
    <row r="184" customFormat="false" ht="15.75" hidden="false" customHeight="false" outlineLevel="0" collapsed="false">
      <c r="A184" s="181" t="str">
        <f aca="false">IF(ISBLANK(B184),"",B184&amp;"|"&amp;C184)</f>
        <v/>
      </c>
      <c r="B184" s="181"/>
      <c r="C184" s="181"/>
      <c r="D184" s="181"/>
      <c r="E184" s="186"/>
      <c r="F184" s="181"/>
      <c r="G184" s="181"/>
      <c r="H184" s="181"/>
      <c r="I184" s="181"/>
      <c r="J184" s="181"/>
      <c r="K184" s="181"/>
      <c r="L184" s="181"/>
      <c r="M184" s="181"/>
      <c r="N184" s="181"/>
      <c r="O184" s="181"/>
      <c r="P184" s="181"/>
      <c r="Q184" s="181"/>
      <c r="R184" s="181"/>
      <c r="S184" s="181"/>
      <c r="T184" s="181"/>
      <c r="U184" s="181"/>
      <c r="V184" s="181"/>
      <c r="W184" s="181"/>
      <c r="X184" s="181"/>
      <c r="Y184" s="181"/>
      <c r="Z184" s="181"/>
      <c r="AA184" s="181"/>
    </row>
    <row r="185" customFormat="false" ht="15.75" hidden="false" customHeight="false" outlineLevel="0" collapsed="false">
      <c r="A185" s="181" t="str">
        <f aca="false">IF(ISBLANK(B185),"",B185&amp;"|"&amp;C185)</f>
        <v/>
      </c>
      <c r="B185" s="181"/>
      <c r="C185" s="181"/>
      <c r="D185" s="181"/>
      <c r="E185" s="186"/>
      <c r="F185" s="181"/>
      <c r="G185" s="181"/>
      <c r="H185" s="181"/>
      <c r="I185" s="181"/>
      <c r="J185" s="181"/>
      <c r="K185" s="181"/>
      <c r="L185" s="181"/>
      <c r="M185" s="181"/>
      <c r="N185" s="181"/>
      <c r="O185" s="181"/>
      <c r="P185" s="181"/>
      <c r="Q185" s="181"/>
      <c r="R185" s="181"/>
      <c r="S185" s="181"/>
      <c r="T185" s="181"/>
      <c r="U185" s="181"/>
      <c r="V185" s="181"/>
      <c r="W185" s="181"/>
      <c r="X185" s="181"/>
      <c r="Y185" s="181"/>
      <c r="Z185" s="181"/>
      <c r="AA185" s="181"/>
    </row>
    <row r="186" customFormat="false" ht="15.75" hidden="false" customHeight="false" outlineLevel="0" collapsed="false">
      <c r="A186" s="181" t="str">
        <f aca="false">IF(ISBLANK(B186),"",B186&amp;"|"&amp;C186)</f>
        <v/>
      </c>
      <c r="B186" s="181"/>
      <c r="C186" s="181"/>
      <c r="D186" s="181"/>
      <c r="E186" s="186"/>
      <c r="F186" s="181"/>
      <c r="G186" s="181"/>
      <c r="H186" s="181"/>
      <c r="I186" s="181"/>
      <c r="J186" s="181"/>
      <c r="K186" s="181"/>
      <c r="L186" s="181"/>
      <c r="M186" s="181"/>
      <c r="N186" s="181"/>
      <c r="O186" s="181"/>
      <c r="P186" s="181"/>
      <c r="Q186" s="181"/>
      <c r="R186" s="181"/>
      <c r="S186" s="181"/>
      <c r="T186" s="181"/>
      <c r="U186" s="181"/>
      <c r="V186" s="181"/>
      <c r="W186" s="181"/>
      <c r="X186" s="181"/>
      <c r="Y186" s="181"/>
      <c r="Z186" s="181"/>
      <c r="AA186" s="181"/>
    </row>
    <row r="187" customFormat="false" ht="15.75" hidden="false" customHeight="false" outlineLevel="0" collapsed="false">
      <c r="A187" s="181" t="str">
        <f aca="false">IF(ISBLANK(B187),"",B187&amp;"|"&amp;C187)</f>
        <v/>
      </c>
      <c r="B187" s="181"/>
      <c r="C187" s="181"/>
      <c r="D187" s="181"/>
      <c r="E187" s="186"/>
      <c r="F187" s="181"/>
      <c r="G187" s="181"/>
      <c r="H187" s="181"/>
      <c r="I187" s="181"/>
      <c r="J187" s="181"/>
      <c r="K187" s="181"/>
      <c r="L187" s="181"/>
      <c r="M187" s="181"/>
      <c r="N187" s="181"/>
      <c r="O187" s="181"/>
      <c r="P187" s="181"/>
      <c r="Q187" s="181"/>
      <c r="R187" s="181"/>
      <c r="S187" s="181"/>
      <c r="T187" s="181"/>
      <c r="U187" s="181"/>
      <c r="V187" s="181"/>
      <c r="W187" s="181"/>
      <c r="X187" s="181"/>
      <c r="Y187" s="181"/>
      <c r="Z187" s="181"/>
      <c r="AA187" s="181"/>
    </row>
    <row r="188" customFormat="false" ht="15.75" hidden="false" customHeight="false" outlineLevel="0" collapsed="false">
      <c r="A188" s="181" t="str">
        <f aca="false">IF(ISBLANK(B188),"",B188&amp;"|"&amp;C188)</f>
        <v/>
      </c>
      <c r="B188" s="181"/>
      <c r="C188" s="181"/>
      <c r="D188" s="181"/>
      <c r="E188" s="186"/>
      <c r="F188" s="181"/>
      <c r="G188" s="181"/>
      <c r="H188" s="181"/>
      <c r="I188" s="181"/>
      <c r="J188" s="181"/>
      <c r="K188" s="181"/>
      <c r="L188" s="181"/>
      <c r="M188" s="181"/>
      <c r="N188" s="181"/>
      <c r="O188" s="181"/>
      <c r="P188" s="181"/>
      <c r="Q188" s="181"/>
      <c r="R188" s="181"/>
      <c r="S188" s="181"/>
      <c r="T188" s="181"/>
      <c r="U188" s="181"/>
      <c r="V188" s="181"/>
      <c r="W188" s="181"/>
      <c r="X188" s="181"/>
      <c r="Y188" s="181"/>
      <c r="Z188" s="181"/>
      <c r="AA188" s="181"/>
    </row>
    <row r="189" customFormat="false" ht="15.75" hidden="false" customHeight="false" outlineLevel="0" collapsed="false">
      <c r="A189" s="181" t="str">
        <f aca="false">IF(ISBLANK(B189),"",B189&amp;"|"&amp;C189)</f>
        <v/>
      </c>
      <c r="B189" s="181"/>
      <c r="C189" s="181"/>
      <c r="D189" s="181"/>
      <c r="E189" s="186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</row>
    <row r="190" customFormat="false" ht="15.75" hidden="false" customHeight="false" outlineLevel="0" collapsed="false">
      <c r="A190" s="181" t="str">
        <f aca="false">IF(ISBLANK(B190),"",B190&amp;"|"&amp;C190)</f>
        <v/>
      </c>
      <c r="B190" s="181"/>
      <c r="C190" s="181"/>
      <c r="D190" s="181"/>
      <c r="E190" s="186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</row>
    <row r="191" customFormat="false" ht="15.75" hidden="false" customHeight="false" outlineLevel="0" collapsed="false">
      <c r="A191" s="181" t="str">
        <f aca="false">IF(ISBLANK(B191),"",B191&amp;"|"&amp;C191)</f>
        <v/>
      </c>
      <c r="B191" s="181"/>
      <c r="C191" s="181"/>
      <c r="D191" s="181"/>
      <c r="E191" s="186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</row>
    <row r="192" customFormat="false" ht="15.75" hidden="false" customHeight="false" outlineLevel="0" collapsed="false">
      <c r="A192" s="181" t="str">
        <f aca="false">IF(ISBLANK(B192),"",B192&amp;"|"&amp;C192)</f>
        <v/>
      </c>
      <c r="B192" s="181"/>
      <c r="C192" s="181"/>
      <c r="D192" s="181"/>
      <c r="E192" s="186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  <c r="AA192" s="181"/>
    </row>
    <row r="193" customFormat="false" ht="15.75" hidden="false" customHeight="false" outlineLevel="0" collapsed="false">
      <c r="A193" s="181" t="str">
        <f aca="false">IF(ISBLANK(B193),"",B193&amp;"|"&amp;C193)</f>
        <v/>
      </c>
      <c r="B193" s="181"/>
      <c r="C193" s="181"/>
      <c r="D193" s="181"/>
      <c r="E193" s="186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  <c r="AA193" s="181"/>
    </row>
    <row r="194" customFormat="false" ht="15.75" hidden="false" customHeight="false" outlineLevel="0" collapsed="false">
      <c r="A194" s="181" t="str">
        <f aca="false">IF(ISBLANK(B194),"",B194&amp;"|"&amp;C194)</f>
        <v/>
      </c>
      <c r="B194" s="181"/>
      <c r="C194" s="181"/>
      <c r="D194" s="181"/>
      <c r="E194" s="186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  <c r="AA194" s="181"/>
    </row>
    <row r="195" customFormat="false" ht="15.75" hidden="false" customHeight="false" outlineLevel="0" collapsed="false">
      <c r="A195" s="181" t="str">
        <f aca="false">IF(ISBLANK(B195),"",B195&amp;"|"&amp;C195)</f>
        <v/>
      </c>
      <c r="B195" s="181"/>
      <c r="C195" s="181"/>
      <c r="D195" s="181"/>
      <c r="E195" s="186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  <c r="AA195" s="181"/>
    </row>
    <row r="196" customFormat="false" ht="15.75" hidden="false" customHeight="false" outlineLevel="0" collapsed="false">
      <c r="A196" s="181" t="str">
        <f aca="false">IF(ISBLANK(B196),"",B196&amp;"|"&amp;C196)</f>
        <v/>
      </c>
      <c r="B196" s="181"/>
      <c r="C196" s="181"/>
      <c r="D196" s="181"/>
      <c r="E196" s="186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  <c r="AA196" s="181"/>
    </row>
    <row r="197" customFormat="false" ht="15.75" hidden="false" customHeight="false" outlineLevel="0" collapsed="false">
      <c r="A197" s="181" t="str">
        <f aca="false">IF(ISBLANK(B197),"",B197&amp;"|"&amp;C197)</f>
        <v/>
      </c>
      <c r="B197" s="181"/>
      <c r="C197" s="181"/>
      <c r="D197" s="181"/>
      <c r="E197" s="186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  <c r="AA197" s="181"/>
    </row>
    <row r="198" customFormat="false" ht="15.75" hidden="false" customHeight="false" outlineLevel="0" collapsed="false">
      <c r="A198" s="181" t="str">
        <f aca="false">IF(ISBLANK(B198),"",B198&amp;"|"&amp;C198)</f>
        <v/>
      </c>
      <c r="B198" s="181"/>
      <c r="C198" s="181"/>
      <c r="D198" s="181"/>
      <c r="E198" s="186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  <c r="AA198" s="181"/>
    </row>
    <row r="199" customFormat="false" ht="15.75" hidden="false" customHeight="false" outlineLevel="0" collapsed="false">
      <c r="A199" s="181" t="str">
        <f aca="false">IF(ISBLANK(B199),"",B199&amp;"|"&amp;C199)</f>
        <v/>
      </c>
      <c r="B199" s="181"/>
      <c r="C199" s="181"/>
      <c r="D199" s="181"/>
      <c r="E199" s="186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  <c r="AA199" s="181"/>
    </row>
    <row r="200" customFormat="false" ht="15.75" hidden="false" customHeight="false" outlineLevel="0" collapsed="false">
      <c r="A200" s="181" t="str">
        <f aca="false">IF(ISBLANK(B200),"",B200&amp;"|"&amp;C200)</f>
        <v/>
      </c>
      <c r="B200" s="181"/>
      <c r="C200" s="181"/>
      <c r="D200" s="181"/>
      <c r="E200" s="186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  <c r="AA200" s="181"/>
    </row>
    <row r="201" customFormat="false" ht="15.75" hidden="false" customHeight="false" outlineLevel="0" collapsed="false">
      <c r="A201" s="181" t="str">
        <f aca="false">IF(ISBLANK(B201),"",B201&amp;"|"&amp;C201)</f>
        <v/>
      </c>
      <c r="B201" s="181"/>
      <c r="C201" s="181"/>
      <c r="D201" s="181"/>
      <c r="E201" s="186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  <c r="AA201" s="181"/>
    </row>
    <row r="202" customFormat="false" ht="15.75" hidden="false" customHeight="false" outlineLevel="0" collapsed="false">
      <c r="A202" s="181" t="str">
        <f aca="false">IF(ISBLANK(B202),"",B202&amp;"|"&amp;C202)</f>
        <v/>
      </c>
      <c r="B202" s="181"/>
      <c r="C202" s="181"/>
      <c r="D202" s="181"/>
      <c r="E202" s="186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  <c r="AA202" s="181"/>
    </row>
    <row r="203" customFormat="false" ht="15.75" hidden="false" customHeight="false" outlineLevel="0" collapsed="false">
      <c r="A203" s="181" t="str">
        <f aca="false">IF(ISBLANK(B203),"",B203&amp;"|"&amp;C203)</f>
        <v/>
      </c>
      <c r="B203" s="181"/>
      <c r="C203" s="181"/>
      <c r="D203" s="181"/>
      <c r="E203" s="186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  <c r="AA203" s="181"/>
    </row>
    <row r="204" customFormat="false" ht="15.75" hidden="false" customHeight="false" outlineLevel="0" collapsed="false">
      <c r="A204" s="181" t="str">
        <f aca="false">IF(ISBLANK(B204),"",B204&amp;"|"&amp;C204)</f>
        <v/>
      </c>
      <c r="B204" s="181"/>
      <c r="C204" s="181"/>
      <c r="D204" s="181"/>
      <c r="E204" s="186"/>
      <c r="F204" s="181"/>
      <c r="G204" s="181"/>
      <c r="H204" s="181"/>
      <c r="I204" s="181"/>
      <c r="J204" s="181"/>
      <c r="K204" s="181"/>
      <c r="L204" s="181"/>
      <c r="M204" s="181"/>
      <c r="N204" s="181"/>
      <c r="O204" s="181"/>
      <c r="P204" s="181"/>
      <c r="Q204" s="181"/>
      <c r="R204" s="181"/>
      <c r="S204" s="181"/>
      <c r="T204" s="181"/>
      <c r="U204" s="181"/>
      <c r="V204" s="181"/>
      <c r="W204" s="181"/>
      <c r="X204" s="181"/>
      <c r="Y204" s="181"/>
      <c r="Z204" s="181"/>
      <c r="AA204" s="181"/>
    </row>
    <row r="205" customFormat="false" ht="15.75" hidden="false" customHeight="false" outlineLevel="0" collapsed="false">
      <c r="A205" s="181" t="str">
        <f aca="false">IF(ISBLANK(B205),"",B205&amp;"|"&amp;C205)</f>
        <v/>
      </c>
      <c r="B205" s="181"/>
      <c r="C205" s="181"/>
      <c r="D205" s="181"/>
      <c r="E205" s="186"/>
      <c r="F205" s="181"/>
      <c r="G205" s="181"/>
      <c r="H205" s="181"/>
      <c r="I205" s="181"/>
      <c r="J205" s="181"/>
      <c r="K205" s="181"/>
      <c r="L205" s="181"/>
      <c r="M205" s="181"/>
      <c r="N205" s="181"/>
      <c r="O205" s="181"/>
      <c r="P205" s="181"/>
      <c r="Q205" s="181"/>
      <c r="R205" s="181"/>
      <c r="S205" s="181"/>
      <c r="T205" s="181"/>
      <c r="U205" s="181"/>
      <c r="V205" s="181"/>
      <c r="W205" s="181"/>
      <c r="X205" s="181"/>
      <c r="Y205" s="181"/>
      <c r="Z205" s="181"/>
      <c r="AA205" s="181"/>
    </row>
    <row r="206" customFormat="false" ht="15.75" hidden="false" customHeight="false" outlineLevel="0" collapsed="false">
      <c r="A206" s="181" t="str">
        <f aca="false">IF(ISBLANK(B206),"",B206&amp;"|"&amp;C206)</f>
        <v/>
      </c>
      <c r="B206" s="181"/>
      <c r="C206" s="181"/>
      <c r="D206" s="181"/>
      <c r="E206" s="186"/>
      <c r="F206" s="181"/>
      <c r="G206" s="181"/>
      <c r="H206" s="181"/>
      <c r="I206" s="181"/>
      <c r="J206" s="181"/>
      <c r="K206" s="181"/>
      <c r="L206" s="181"/>
      <c r="M206" s="181"/>
      <c r="N206" s="181"/>
      <c r="O206" s="181"/>
      <c r="P206" s="181"/>
      <c r="Q206" s="181"/>
      <c r="R206" s="181"/>
      <c r="S206" s="181"/>
      <c r="T206" s="181"/>
      <c r="U206" s="181"/>
      <c r="V206" s="181"/>
      <c r="W206" s="181"/>
      <c r="X206" s="181"/>
      <c r="Y206" s="181"/>
      <c r="Z206" s="181"/>
      <c r="AA206" s="181"/>
    </row>
    <row r="207" customFormat="false" ht="15.75" hidden="false" customHeight="false" outlineLevel="0" collapsed="false">
      <c r="A207" s="181" t="str">
        <f aca="false">IF(ISBLANK(B207),"",B207&amp;"|"&amp;C207)</f>
        <v/>
      </c>
      <c r="B207" s="181"/>
      <c r="C207" s="181"/>
      <c r="D207" s="181"/>
      <c r="E207" s="186"/>
      <c r="F207" s="181"/>
      <c r="G207" s="181"/>
      <c r="H207" s="181"/>
      <c r="I207" s="181"/>
      <c r="J207" s="181"/>
      <c r="K207" s="181"/>
      <c r="L207" s="181"/>
      <c r="M207" s="181"/>
      <c r="N207" s="181"/>
      <c r="O207" s="181"/>
      <c r="P207" s="181"/>
      <c r="Q207" s="181"/>
      <c r="R207" s="181"/>
      <c r="S207" s="181"/>
      <c r="T207" s="181"/>
      <c r="U207" s="181"/>
      <c r="V207" s="181"/>
      <c r="W207" s="181"/>
      <c r="X207" s="181"/>
      <c r="Y207" s="181"/>
      <c r="Z207" s="181"/>
      <c r="AA207" s="181"/>
    </row>
    <row r="208" customFormat="false" ht="15.75" hidden="false" customHeight="false" outlineLevel="0" collapsed="false">
      <c r="A208" s="181" t="str">
        <f aca="false">IF(ISBLANK(B208),"",B208&amp;"|"&amp;C208)</f>
        <v/>
      </c>
      <c r="B208" s="181"/>
      <c r="C208" s="181"/>
      <c r="D208" s="181"/>
      <c r="E208" s="186"/>
      <c r="F208" s="181"/>
      <c r="G208" s="181"/>
      <c r="H208" s="181"/>
      <c r="I208" s="181"/>
      <c r="J208" s="181"/>
      <c r="K208" s="181"/>
      <c r="L208" s="181"/>
      <c r="M208" s="181"/>
      <c r="N208" s="181"/>
      <c r="O208" s="181"/>
      <c r="P208" s="181"/>
      <c r="Q208" s="181"/>
      <c r="R208" s="181"/>
      <c r="S208" s="181"/>
      <c r="T208" s="181"/>
      <c r="U208" s="181"/>
      <c r="V208" s="181"/>
      <c r="W208" s="181"/>
      <c r="X208" s="181"/>
      <c r="Y208" s="181"/>
      <c r="Z208" s="181"/>
      <c r="AA208" s="181"/>
    </row>
    <row r="209" customFormat="false" ht="15.75" hidden="false" customHeight="false" outlineLevel="0" collapsed="false">
      <c r="A209" s="181" t="str">
        <f aca="false">IF(ISBLANK(B209),"",B209&amp;"|"&amp;C209)</f>
        <v/>
      </c>
      <c r="B209" s="181"/>
      <c r="C209" s="181"/>
      <c r="D209" s="181"/>
      <c r="E209" s="186"/>
      <c r="F209" s="181"/>
      <c r="G209" s="181"/>
      <c r="H209" s="181"/>
      <c r="I209" s="181"/>
      <c r="J209" s="181"/>
      <c r="K209" s="181"/>
      <c r="L209" s="181"/>
      <c r="M209" s="181"/>
      <c r="N209" s="181"/>
      <c r="O209" s="181"/>
      <c r="P209" s="181"/>
      <c r="Q209" s="181"/>
      <c r="R209" s="181"/>
      <c r="S209" s="181"/>
      <c r="T209" s="181"/>
      <c r="U209" s="181"/>
      <c r="V209" s="181"/>
      <c r="W209" s="181"/>
      <c r="X209" s="181"/>
      <c r="Y209" s="181"/>
      <c r="Z209" s="181"/>
      <c r="AA209" s="181"/>
    </row>
    <row r="210" customFormat="false" ht="15.75" hidden="false" customHeight="false" outlineLevel="0" collapsed="false">
      <c r="A210" s="181" t="str">
        <f aca="false">IF(ISBLANK(B210),"",B210&amp;"|"&amp;C210)</f>
        <v/>
      </c>
      <c r="B210" s="181"/>
      <c r="C210" s="181"/>
      <c r="D210" s="181"/>
      <c r="E210" s="186"/>
      <c r="F210" s="181"/>
      <c r="G210" s="181"/>
      <c r="H210" s="181"/>
      <c r="I210" s="181"/>
      <c r="J210" s="181"/>
      <c r="K210" s="181"/>
      <c r="L210" s="181"/>
      <c r="M210" s="181"/>
      <c r="N210" s="181"/>
      <c r="O210" s="181"/>
      <c r="P210" s="181"/>
      <c r="Q210" s="181"/>
      <c r="R210" s="181"/>
      <c r="S210" s="181"/>
      <c r="T210" s="181"/>
      <c r="U210" s="181"/>
      <c r="V210" s="181"/>
      <c r="W210" s="181"/>
      <c r="X210" s="181"/>
      <c r="Y210" s="181"/>
      <c r="Z210" s="181"/>
      <c r="AA210" s="181"/>
    </row>
    <row r="211" customFormat="false" ht="15.75" hidden="false" customHeight="false" outlineLevel="0" collapsed="false">
      <c r="A211" s="181" t="str">
        <f aca="false">IF(ISBLANK(B211),"",B211&amp;"|"&amp;C211)</f>
        <v/>
      </c>
      <c r="B211" s="181"/>
      <c r="C211" s="181"/>
      <c r="D211" s="181"/>
      <c r="E211" s="186"/>
      <c r="F211" s="181"/>
      <c r="G211" s="181"/>
      <c r="H211" s="181"/>
      <c r="I211" s="181"/>
      <c r="J211" s="181"/>
      <c r="K211" s="181"/>
      <c r="L211" s="181"/>
      <c r="M211" s="181"/>
      <c r="N211" s="181"/>
      <c r="O211" s="181"/>
      <c r="P211" s="181"/>
      <c r="Q211" s="181"/>
      <c r="R211" s="181"/>
      <c r="S211" s="181"/>
      <c r="T211" s="181"/>
      <c r="U211" s="181"/>
      <c r="V211" s="181"/>
      <c r="W211" s="181"/>
      <c r="X211" s="181"/>
      <c r="Y211" s="181"/>
      <c r="Z211" s="181"/>
      <c r="AA211" s="181"/>
    </row>
    <row r="212" customFormat="false" ht="15.75" hidden="false" customHeight="false" outlineLevel="0" collapsed="false">
      <c r="A212" s="181" t="str">
        <f aca="false">IF(ISBLANK(B212),"",B212&amp;"|"&amp;C212)</f>
        <v/>
      </c>
      <c r="B212" s="181"/>
      <c r="C212" s="181"/>
      <c r="D212" s="181"/>
      <c r="E212" s="186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  <c r="AA212" s="181"/>
    </row>
    <row r="213" customFormat="false" ht="15.75" hidden="false" customHeight="false" outlineLevel="0" collapsed="false">
      <c r="A213" s="181" t="str">
        <f aca="false">IF(ISBLANK(B213),"",B213&amp;"|"&amp;C213)</f>
        <v/>
      </c>
      <c r="B213" s="181"/>
      <c r="C213" s="181"/>
      <c r="D213" s="181"/>
      <c r="E213" s="186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  <c r="AA213" s="181"/>
    </row>
    <row r="214" customFormat="false" ht="15.75" hidden="false" customHeight="false" outlineLevel="0" collapsed="false">
      <c r="A214" s="181" t="str">
        <f aca="false">IF(ISBLANK(B214),"",B214&amp;"|"&amp;C214)</f>
        <v/>
      </c>
      <c r="B214" s="181"/>
      <c r="C214" s="181"/>
      <c r="D214" s="181"/>
      <c r="E214" s="186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  <c r="AA214" s="181"/>
    </row>
    <row r="215" customFormat="false" ht="15.75" hidden="false" customHeight="false" outlineLevel="0" collapsed="false">
      <c r="A215" s="181" t="str">
        <f aca="false">IF(ISBLANK(B215),"",B215&amp;"|"&amp;C215)</f>
        <v/>
      </c>
      <c r="B215" s="181"/>
      <c r="C215" s="181"/>
      <c r="D215" s="181"/>
      <c r="E215" s="186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  <c r="AA215" s="181"/>
    </row>
    <row r="216" customFormat="false" ht="15.75" hidden="false" customHeight="false" outlineLevel="0" collapsed="false">
      <c r="A216" s="181" t="str">
        <f aca="false">IF(ISBLANK(B216),"",B216&amp;"|"&amp;C216)</f>
        <v/>
      </c>
      <c r="B216" s="181"/>
      <c r="C216" s="181"/>
      <c r="D216" s="181"/>
      <c r="E216" s="186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  <c r="AA216" s="181"/>
    </row>
    <row r="217" customFormat="false" ht="15.75" hidden="false" customHeight="false" outlineLevel="0" collapsed="false">
      <c r="A217" s="181" t="str">
        <f aca="false">IF(ISBLANK(B217),"",B217&amp;"|"&amp;C217)</f>
        <v/>
      </c>
      <c r="B217" s="181"/>
      <c r="C217" s="181"/>
      <c r="D217" s="181"/>
      <c r="E217" s="186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  <c r="AA217" s="181"/>
    </row>
    <row r="218" customFormat="false" ht="15.75" hidden="false" customHeight="false" outlineLevel="0" collapsed="false">
      <c r="A218" s="181" t="str">
        <f aca="false">IF(ISBLANK(B218),"",B218&amp;"|"&amp;C218)</f>
        <v/>
      </c>
      <c r="B218" s="181"/>
      <c r="C218" s="181"/>
      <c r="D218" s="181"/>
      <c r="E218" s="186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  <c r="AA218" s="181"/>
    </row>
    <row r="219" customFormat="false" ht="15.75" hidden="false" customHeight="false" outlineLevel="0" collapsed="false">
      <c r="A219" s="181" t="str">
        <f aca="false">IF(ISBLANK(B219),"",B219&amp;"|"&amp;C219)</f>
        <v/>
      </c>
      <c r="B219" s="181"/>
      <c r="C219" s="181"/>
      <c r="D219" s="181"/>
      <c r="E219" s="186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  <c r="AA219" s="181"/>
    </row>
    <row r="220" customFormat="false" ht="15.75" hidden="false" customHeight="false" outlineLevel="0" collapsed="false">
      <c r="A220" s="181" t="str">
        <f aca="false">IF(ISBLANK(B220),"",B220&amp;"|"&amp;C220)</f>
        <v/>
      </c>
      <c r="B220" s="181"/>
      <c r="C220" s="181"/>
      <c r="D220" s="181"/>
      <c r="E220" s="186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  <c r="AA220" s="181"/>
    </row>
    <row r="221" customFormat="false" ht="15.75" hidden="false" customHeight="false" outlineLevel="0" collapsed="false">
      <c r="A221" s="181" t="str">
        <f aca="false">IF(ISBLANK(B221),"",B221&amp;"|"&amp;C221)</f>
        <v/>
      </c>
      <c r="B221" s="181"/>
      <c r="C221" s="181"/>
      <c r="D221" s="181"/>
      <c r="E221" s="186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  <c r="AA221" s="181"/>
    </row>
    <row r="222" customFormat="false" ht="15.75" hidden="false" customHeight="false" outlineLevel="0" collapsed="false">
      <c r="A222" s="181" t="str">
        <f aca="false">IF(ISBLANK(B222),"",B222&amp;"|"&amp;C222)</f>
        <v/>
      </c>
      <c r="B222" s="181"/>
      <c r="C222" s="181"/>
      <c r="D222" s="181"/>
      <c r="E222" s="186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  <c r="AA222" s="181"/>
    </row>
    <row r="223" customFormat="false" ht="15.75" hidden="false" customHeight="false" outlineLevel="0" collapsed="false">
      <c r="A223" s="181" t="str">
        <f aca="false">IF(ISBLANK(B223),"",B223&amp;"|"&amp;C223)</f>
        <v/>
      </c>
      <c r="B223" s="181"/>
      <c r="C223" s="181"/>
      <c r="D223" s="181"/>
      <c r="E223" s="186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  <c r="AA223" s="181"/>
    </row>
    <row r="224" customFormat="false" ht="15.75" hidden="false" customHeight="false" outlineLevel="0" collapsed="false">
      <c r="A224" s="181" t="str">
        <f aca="false">IF(ISBLANK(B224),"",B224&amp;"|"&amp;C224)</f>
        <v/>
      </c>
      <c r="B224" s="181"/>
      <c r="C224" s="181"/>
      <c r="D224" s="181"/>
      <c r="E224" s="186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  <c r="AA224" s="181"/>
    </row>
    <row r="225" customFormat="false" ht="15.75" hidden="false" customHeight="false" outlineLevel="0" collapsed="false">
      <c r="A225" s="181" t="str">
        <f aca="false">IF(ISBLANK(B225),"",B225&amp;"|"&amp;C225)</f>
        <v/>
      </c>
      <c r="B225" s="181"/>
      <c r="C225" s="181"/>
      <c r="D225" s="181"/>
      <c r="E225" s="186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</row>
    <row r="226" customFormat="false" ht="15.75" hidden="false" customHeight="false" outlineLevel="0" collapsed="false">
      <c r="A226" s="181" t="str">
        <f aca="false">IF(ISBLANK(B226),"",B226&amp;"|"&amp;C226)</f>
        <v/>
      </c>
      <c r="B226" s="181"/>
      <c r="C226" s="181"/>
      <c r="D226" s="181"/>
      <c r="E226" s="186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  <c r="AA226" s="181"/>
    </row>
    <row r="227" customFormat="false" ht="15.75" hidden="false" customHeight="false" outlineLevel="0" collapsed="false">
      <c r="A227" s="181" t="str">
        <f aca="false">IF(ISBLANK(B227),"",B227&amp;"|"&amp;C227)</f>
        <v/>
      </c>
      <c r="B227" s="181"/>
      <c r="C227" s="181"/>
      <c r="D227" s="181"/>
      <c r="E227" s="186"/>
      <c r="F227" s="181"/>
      <c r="G227" s="181"/>
      <c r="H227" s="181"/>
      <c r="I227" s="181"/>
      <c r="J227" s="181"/>
      <c r="K227" s="181"/>
      <c r="L227" s="181"/>
      <c r="M227" s="181"/>
      <c r="N227" s="181"/>
      <c r="O227" s="181"/>
      <c r="P227" s="181"/>
      <c r="Q227" s="181"/>
      <c r="R227" s="181"/>
      <c r="S227" s="181"/>
      <c r="T227" s="181"/>
      <c r="U227" s="181"/>
      <c r="V227" s="181"/>
      <c r="W227" s="181"/>
      <c r="X227" s="181"/>
      <c r="Y227" s="181"/>
      <c r="Z227" s="181"/>
      <c r="AA227" s="181"/>
    </row>
    <row r="228" customFormat="false" ht="15.75" hidden="false" customHeight="false" outlineLevel="0" collapsed="false">
      <c r="A228" s="181" t="str">
        <f aca="false">IF(ISBLANK(B228),"",B228&amp;"|"&amp;C228)</f>
        <v/>
      </c>
      <c r="B228" s="181"/>
      <c r="C228" s="181"/>
      <c r="D228" s="181"/>
      <c r="E228" s="186"/>
      <c r="F228" s="181"/>
      <c r="G228" s="181"/>
      <c r="H228" s="181"/>
      <c r="I228" s="181"/>
      <c r="J228" s="181"/>
      <c r="K228" s="181"/>
      <c r="L228" s="181"/>
      <c r="M228" s="181"/>
      <c r="N228" s="181"/>
      <c r="O228" s="181"/>
      <c r="P228" s="181"/>
      <c r="Q228" s="181"/>
      <c r="R228" s="181"/>
      <c r="S228" s="181"/>
      <c r="T228" s="181"/>
      <c r="U228" s="181"/>
      <c r="V228" s="181"/>
      <c r="W228" s="181"/>
      <c r="X228" s="181"/>
      <c r="Y228" s="181"/>
      <c r="Z228" s="181"/>
      <c r="AA228" s="181"/>
    </row>
    <row r="229" customFormat="false" ht="15.75" hidden="false" customHeight="false" outlineLevel="0" collapsed="false">
      <c r="A229" s="181" t="str">
        <f aca="false">IF(ISBLANK(B229),"",B229&amp;"|"&amp;C229)</f>
        <v/>
      </c>
      <c r="B229" s="181"/>
      <c r="C229" s="181"/>
      <c r="D229" s="181"/>
      <c r="E229" s="186"/>
      <c r="F229" s="181"/>
      <c r="G229" s="181"/>
      <c r="H229" s="181"/>
      <c r="I229" s="181"/>
      <c r="J229" s="181"/>
      <c r="K229" s="181"/>
      <c r="L229" s="181"/>
      <c r="M229" s="181"/>
      <c r="N229" s="181"/>
      <c r="O229" s="181"/>
      <c r="P229" s="181"/>
      <c r="Q229" s="181"/>
      <c r="R229" s="181"/>
      <c r="S229" s="181"/>
      <c r="T229" s="181"/>
      <c r="U229" s="181"/>
      <c r="V229" s="181"/>
      <c r="W229" s="181"/>
      <c r="X229" s="181"/>
      <c r="Y229" s="181"/>
      <c r="Z229" s="181"/>
      <c r="AA229" s="181"/>
    </row>
    <row r="230" customFormat="false" ht="15.75" hidden="false" customHeight="false" outlineLevel="0" collapsed="false">
      <c r="A230" s="181" t="str">
        <f aca="false">IF(ISBLANK(B230),"",B230&amp;"|"&amp;C230)</f>
        <v/>
      </c>
      <c r="B230" s="181"/>
      <c r="C230" s="181"/>
      <c r="D230" s="181"/>
      <c r="E230" s="186"/>
      <c r="F230" s="181"/>
      <c r="G230" s="181"/>
      <c r="H230" s="181"/>
      <c r="I230" s="181"/>
      <c r="J230" s="181"/>
      <c r="K230" s="181"/>
      <c r="L230" s="181"/>
      <c r="M230" s="181"/>
      <c r="N230" s="181"/>
      <c r="O230" s="181"/>
      <c r="P230" s="181"/>
      <c r="Q230" s="181"/>
      <c r="R230" s="181"/>
      <c r="S230" s="181"/>
      <c r="T230" s="181"/>
      <c r="U230" s="181"/>
      <c r="V230" s="181"/>
      <c r="W230" s="181"/>
      <c r="X230" s="181"/>
      <c r="Y230" s="181"/>
      <c r="Z230" s="181"/>
      <c r="AA230" s="181"/>
    </row>
    <row r="231" customFormat="false" ht="15.75" hidden="false" customHeight="false" outlineLevel="0" collapsed="false">
      <c r="A231" s="181" t="str">
        <f aca="false">IF(ISBLANK(B231),"",B231&amp;"|"&amp;C231)</f>
        <v/>
      </c>
      <c r="B231" s="181"/>
      <c r="C231" s="181"/>
      <c r="D231" s="181"/>
      <c r="E231" s="186"/>
      <c r="F231" s="181"/>
      <c r="G231" s="181"/>
      <c r="H231" s="181"/>
      <c r="I231" s="181"/>
      <c r="J231" s="181"/>
      <c r="K231" s="181"/>
      <c r="L231" s="181"/>
      <c r="M231" s="181"/>
      <c r="N231" s="181"/>
      <c r="O231" s="181"/>
      <c r="P231" s="181"/>
      <c r="Q231" s="181"/>
      <c r="R231" s="181"/>
      <c r="S231" s="181"/>
      <c r="T231" s="181"/>
      <c r="U231" s="181"/>
      <c r="V231" s="181"/>
      <c r="W231" s="181"/>
      <c r="X231" s="181"/>
      <c r="Y231" s="181"/>
      <c r="Z231" s="181"/>
      <c r="AA231" s="181"/>
    </row>
    <row r="232" customFormat="false" ht="15.75" hidden="false" customHeight="false" outlineLevel="0" collapsed="false">
      <c r="A232" s="181" t="str">
        <f aca="false">IF(ISBLANK(B232),"",B232&amp;"|"&amp;C232)</f>
        <v/>
      </c>
      <c r="B232" s="181"/>
      <c r="C232" s="181"/>
      <c r="D232" s="181"/>
      <c r="E232" s="186"/>
      <c r="F232" s="181"/>
      <c r="G232" s="181"/>
      <c r="H232" s="181"/>
      <c r="I232" s="181"/>
      <c r="J232" s="181"/>
      <c r="K232" s="181"/>
      <c r="L232" s="181"/>
      <c r="M232" s="181"/>
      <c r="N232" s="181"/>
      <c r="O232" s="181"/>
      <c r="P232" s="181"/>
      <c r="Q232" s="181"/>
      <c r="R232" s="181"/>
      <c r="S232" s="181"/>
      <c r="T232" s="181"/>
      <c r="U232" s="181"/>
      <c r="V232" s="181"/>
      <c r="W232" s="181"/>
      <c r="X232" s="181"/>
      <c r="Y232" s="181"/>
      <c r="Z232" s="181"/>
      <c r="AA232" s="181"/>
    </row>
    <row r="233" customFormat="false" ht="15.75" hidden="false" customHeight="false" outlineLevel="0" collapsed="false">
      <c r="A233" s="181" t="str">
        <f aca="false">IF(ISBLANK(B233),"",B233&amp;"|"&amp;C233)</f>
        <v/>
      </c>
      <c r="B233" s="181"/>
      <c r="C233" s="181"/>
      <c r="D233" s="181"/>
      <c r="E233" s="186"/>
      <c r="F233" s="181"/>
      <c r="G233" s="181"/>
      <c r="H233" s="181"/>
      <c r="I233" s="181"/>
      <c r="J233" s="181"/>
      <c r="K233" s="181"/>
      <c r="L233" s="181"/>
      <c r="M233" s="181"/>
      <c r="N233" s="181"/>
      <c r="O233" s="181"/>
      <c r="P233" s="181"/>
      <c r="Q233" s="181"/>
      <c r="R233" s="181"/>
      <c r="S233" s="181"/>
      <c r="T233" s="181"/>
      <c r="U233" s="181"/>
      <c r="V233" s="181"/>
      <c r="W233" s="181"/>
      <c r="X233" s="181"/>
      <c r="Y233" s="181"/>
      <c r="Z233" s="181"/>
      <c r="AA233" s="181"/>
    </row>
    <row r="234" customFormat="false" ht="15.75" hidden="false" customHeight="false" outlineLevel="0" collapsed="false">
      <c r="A234" s="181" t="str">
        <f aca="false">IF(ISBLANK(B234),"",B234&amp;"|"&amp;C234)</f>
        <v/>
      </c>
      <c r="B234" s="181"/>
      <c r="C234" s="181"/>
      <c r="D234" s="181"/>
      <c r="E234" s="186"/>
      <c r="F234" s="181"/>
      <c r="G234" s="181"/>
      <c r="H234" s="181"/>
      <c r="I234" s="181"/>
      <c r="J234" s="181"/>
      <c r="K234" s="181"/>
      <c r="L234" s="181"/>
      <c r="M234" s="181"/>
      <c r="N234" s="181"/>
      <c r="O234" s="181"/>
      <c r="P234" s="181"/>
      <c r="Q234" s="181"/>
      <c r="R234" s="181"/>
      <c r="S234" s="181"/>
      <c r="T234" s="181"/>
      <c r="U234" s="181"/>
      <c r="V234" s="181"/>
      <c r="W234" s="181"/>
      <c r="X234" s="181"/>
      <c r="Y234" s="181"/>
      <c r="Z234" s="181"/>
      <c r="AA234" s="181"/>
    </row>
    <row r="235" customFormat="false" ht="15.75" hidden="false" customHeight="false" outlineLevel="0" collapsed="false">
      <c r="A235" s="181" t="str">
        <f aca="false">IF(ISBLANK(B235),"",B235&amp;"|"&amp;C235)</f>
        <v/>
      </c>
      <c r="B235" s="181"/>
      <c r="C235" s="181"/>
      <c r="D235" s="181"/>
      <c r="E235" s="186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  <c r="AA235" s="181"/>
    </row>
    <row r="236" customFormat="false" ht="15.75" hidden="false" customHeight="false" outlineLevel="0" collapsed="false">
      <c r="A236" s="181" t="str">
        <f aca="false">IF(ISBLANK(B236),"",B236&amp;"|"&amp;C236)</f>
        <v/>
      </c>
      <c r="B236" s="181"/>
      <c r="C236" s="181"/>
      <c r="D236" s="181"/>
      <c r="E236" s="186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  <c r="AA236" s="181"/>
    </row>
    <row r="237" customFormat="false" ht="15.75" hidden="false" customHeight="false" outlineLevel="0" collapsed="false">
      <c r="A237" s="181" t="str">
        <f aca="false">IF(ISBLANK(B237),"",B237&amp;"|"&amp;C237)</f>
        <v/>
      </c>
      <c r="B237" s="181"/>
      <c r="C237" s="181"/>
      <c r="D237" s="181"/>
      <c r="E237" s="186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  <c r="AA237" s="181"/>
    </row>
    <row r="238" customFormat="false" ht="15.75" hidden="false" customHeight="false" outlineLevel="0" collapsed="false">
      <c r="A238" s="181" t="str">
        <f aca="false">IF(ISBLANK(B238),"",B238&amp;"|"&amp;C238)</f>
        <v/>
      </c>
      <c r="B238" s="181"/>
      <c r="C238" s="181"/>
      <c r="D238" s="181"/>
      <c r="E238" s="186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  <c r="AA238" s="181"/>
    </row>
    <row r="239" customFormat="false" ht="15.75" hidden="false" customHeight="false" outlineLevel="0" collapsed="false">
      <c r="A239" s="181" t="str">
        <f aca="false">IF(ISBLANK(B239),"",B239&amp;"|"&amp;C239)</f>
        <v/>
      </c>
      <c r="B239" s="181"/>
      <c r="C239" s="181"/>
      <c r="D239" s="181"/>
      <c r="E239" s="186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  <c r="AA239" s="181"/>
    </row>
    <row r="240" customFormat="false" ht="15.75" hidden="false" customHeight="false" outlineLevel="0" collapsed="false">
      <c r="A240" s="181" t="str">
        <f aca="false">IF(ISBLANK(B240),"",B240&amp;"|"&amp;C240)</f>
        <v/>
      </c>
      <c r="B240" s="181"/>
      <c r="C240" s="181"/>
      <c r="D240" s="181"/>
      <c r="E240" s="186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  <c r="AA240" s="181"/>
    </row>
    <row r="241" customFormat="false" ht="15.75" hidden="false" customHeight="false" outlineLevel="0" collapsed="false">
      <c r="A241" s="181" t="str">
        <f aca="false">IF(ISBLANK(B241),"",B241&amp;"|"&amp;C241)</f>
        <v/>
      </c>
      <c r="B241" s="181"/>
      <c r="C241" s="181"/>
      <c r="D241" s="181"/>
      <c r="E241" s="186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  <c r="AA241" s="181"/>
    </row>
    <row r="242" customFormat="false" ht="15.75" hidden="false" customHeight="false" outlineLevel="0" collapsed="false">
      <c r="A242" s="181" t="str">
        <f aca="false">IF(ISBLANK(B242),"",B242&amp;"|"&amp;C242)</f>
        <v/>
      </c>
      <c r="B242" s="181"/>
      <c r="C242" s="181"/>
      <c r="D242" s="181"/>
      <c r="E242" s="186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  <c r="AA242" s="181"/>
    </row>
    <row r="243" customFormat="false" ht="15.75" hidden="false" customHeight="false" outlineLevel="0" collapsed="false">
      <c r="A243" s="181" t="str">
        <f aca="false">IF(ISBLANK(B243),"",B243&amp;"|"&amp;C243)</f>
        <v/>
      </c>
      <c r="B243" s="181"/>
      <c r="C243" s="181"/>
      <c r="D243" s="181"/>
      <c r="E243" s="186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  <c r="AA243" s="181"/>
    </row>
    <row r="244" customFormat="false" ht="15.75" hidden="false" customHeight="false" outlineLevel="0" collapsed="false">
      <c r="A244" s="181" t="str">
        <f aca="false">IF(ISBLANK(B244),"",B244&amp;"|"&amp;C244)</f>
        <v/>
      </c>
      <c r="B244" s="181"/>
      <c r="C244" s="181"/>
      <c r="D244" s="181"/>
      <c r="E244" s="186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  <c r="AA244" s="181"/>
    </row>
    <row r="245" customFormat="false" ht="15.75" hidden="false" customHeight="false" outlineLevel="0" collapsed="false">
      <c r="A245" s="181" t="str">
        <f aca="false">IF(ISBLANK(B245),"",B245&amp;"|"&amp;C245)</f>
        <v/>
      </c>
      <c r="B245" s="181"/>
      <c r="C245" s="181"/>
      <c r="D245" s="181"/>
      <c r="E245" s="186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  <c r="AA245" s="181"/>
    </row>
    <row r="246" customFormat="false" ht="15.75" hidden="false" customHeight="false" outlineLevel="0" collapsed="false">
      <c r="A246" s="181" t="str">
        <f aca="false">IF(ISBLANK(B246),"",B246&amp;"|"&amp;C246)</f>
        <v/>
      </c>
      <c r="B246" s="181"/>
      <c r="C246" s="181"/>
      <c r="D246" s="181"/>
      <c r="E246" s="186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  <c r="AA246" s="181"/>
    </row>
    <row r="247" customFormat="false" ht="15.75" hidden="false" customHeight="false" outlineLevel="0" collapsed="false">
      <c r="A247" s="181" t="str">
        <f aca="false">IF(ISBLANK(B247),"",B247&amp;"|"&amp;C247)</f>
        <v/>
      </c>
      <c r="B247" s="181"/>
      <c r="C247" s="181"/>
      <c r="D247" s="181"/>
      <c r="E247" s="186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  <c r="AA247" s="181"/>
    </row>
    <row r="248" customFormat="false" ht="15.75" hidden="false" customHeight="false" outlineLevel="0" collapsed="false">
      <c r="A248" s="181" t="str">
        <f aca="false">IF(ISBLANK(B248),"",B248&amp;"|"&amp;C248)</f>
        <v/>
      </c>
      <c r="B248" s="181"/>
      <c r="C248" s="181"/>
      <c r="D248" s="181"/>
      <c r="E248" s="186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  <c r="AA248" s="181"/>
    </row>
    <row r="249" customFormat="false" ht="15.75" hidden="false" customHeight="false" outlineLevel="0" collapsed="false">
      <c r="A249" s="181" t="str">
        <f aca="false">IF(ISBLANK(B249),"",B249&amp;"|"&amp;C249)</f>
        <v/>
      </c>
      <c r="B249" s="181"/>
      <c r="C249" s="181"/>
      <c r="D249" s="181"/>
      <c r="E249" s="186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  <c r="AA249" s="181"/>
    </row>
    <row r="250" customFormat="false" ht="15.75" hidden="false" customHeight="false" outlineLevel="0" collapsed="false">
      <c r="A250" s="181" t="str">
        <f aca="false">IF(ISBLANK(B250),"",B250&amp;"|"&amp;C250)</f>
        <v/>
      </c>
      <c r="B250" s="181"/>
      <c r="C250" s="181"/>
      <c r="D250" s="181"/>
      <c r="E250" s="186"/>
      <c r="F250" s="181"/>
      <c r="G250" s="181"/>
      <c r="H250" s="181"/>
      <c r="I250" s="181"/>
      <c r="J250" s="181"/>
      <c r="K250" s="181"/>
      <c r="L250" s="181"/>
      <c r="M250" s="181"/>
      <c r="N250" s="181"/>
      <c r="O250" s="181"/>
      <c r="P250" s="181"/>
      <c r="Q250" s="181"/>
      <c r="R250" s="181"/>
      <c r="S250" s="181"/>
      <c r="T250" s="181"/>
      <c r="U250" s="181"/>
      <c r="V250" s="181"/>
      <c r="W250" s="181"/>
      <c r="X250" s="181"/>
      <c r="Y250" s="181"/>
      <c r="Z250" s="181"/>
      <c r="AA250" s="181"/>
    </row>
    <row r="251" customFormat="false" ht="15.75" hidden="false" customHeight="false" outlineLevel="0" collapsed="false">
      <c r="A251" s="181" t="str">
        <f aca="false">IF(ISBLANK(B251),"",B251&amp;"|"&amp;C251)</f>
        <v/>
      </c>
      <c r="B251" s="181"/>
      <c r="C251" s="181"/>
      <c r="D251" s="181"/>
      <c r="E251" s="186"/>
      <c r="F251" s="181"/>
      <c r="G251" s="181"/>
      <c r="H251" s="181"/>
      <c r="I251" s="181"/>
      <c r="J251" s="181"/>
      <c r="K251" s="181"/>
      <c r="L251" s="181"/>
      <c r="M251" s="181"/>
      <c r="N251" s="181"/>
      <c r="O251" s="181"/>
      <c r="P251" s="181"/>
      <c r="Q251" s="181"/>
      <c r="R251" s="181"/>
      <c r="S251" s="181"/>
      <c r="T251" s="181"/>
      <c r="U251" s="181"/>
      <c r="V251" s="181"/>
      <c r="W251" s="181"/>
      <c r="X251" s="181"/>
      <c r="Y251" s="181"/>
      <c r="Z251" s="181"/>
      <c r="AA251" s="181"/>
    </row>
    <row r="252" customFormat="false" ht="15.75" hidden="false" customHeight="false" outlineLevel="0" collapsed="false">
      <c r="A252" s="181" t="str">
        <f aca="false">IF(ISBLANK(B252),"",B252&amp;"|"&amp;C252)</f>
        <v/>
      </c>
      <c r="B252" s="181"/>
      <c r="C252" s="181"/>
      <c r="D252" s="181"/>
      <c r="E252" s="186"/>
      <c r="F252" s="181"/>
      <c r="G252" s="181"/>
      <c r="H252" s="181"/>
      <c r="I252" s="181"/>
      <c r="J252" s="181"/>
      <c r="K252" s="181"/>
      <c r="L252" s="181"/>
      <c r="M252" s="181"/>
      <c r="N252" s="181"/>
      <c r="O252" s="181"/>
      <c r="P252" s="181"/>
      <c r="Q252" s="181"/>
      <c r="R252" s="181"/>
      <c r="S252" s="181"/>
      <c r="T252" s="181"/>
      <c r="U252" s="181"/>
      <c r="V252" s="181"/>
      <c r="W252" s="181"/>
      <c r="X252" s="181"/>
      <c r="Y252" s="181"/>
      <c r="Z252" s="181"/>
      <c r="AA252" s="181"/>
    </row>
    <row r="253" customFormat="false" ht="15.75" hidden="false" customHeight="false" outlineLevel="0" collapsed="false">
      <c r="A253" s="181" t="str">
        <f aca="false">IF(ISBLANK(B253),"",B253&amp;"|"&amp;C253)</f>
        <v/>
      </c>
      <c r="B253" s="181"/>
      <c r="C253" s="181"/>
      <c r="D253" s="181"/>
      <c r="E253" s="186"/>
      <c r="F253" s="181"/>
      <c r="G253" s="181"/>
      <c r="H253" s="181"/>
      <c r="I253" s="181"/>
      <c r="J253" s="181"/>
      <c r="K253" s="181"/>
      <c r="L253" s="181"/>
      <c r="M253" s="181"/>
      <c r="N253" s="181"/>
      <c r="O253" s="181"/>
      <c r="P253" s="181"/>
      <c r="Q253" s="181"/>
      <c r="R253" s="181"/>
      <c r="S253" s="181"/>
      <c r="T253" s="181"/>
      <c r="U253" s="181"/>
      <c r="V253" s="181"/>
      <c r="W253" s="181"/>
      <c r="X253" s="181"/>
      <c r="Y253" s="181"/>
      <c r="Z253" s="181"/>
      <c r="AA253" s="181"/>
    </row>
    <row r="254" customFormat="false" ht="15.75" hidden="false" customHeight="false" outlineLevel="0" collapsed="false">
      <c r="A254" s="181" t="str">
        <f aca="false">IF(ISBLANK(B254),"",B254&amp;"|"&amp;C254)</f>
        <v/>
      </c>
      <c r="B254" s="181"/>
      <c r="C254" s="181"/>
      <c r="D254" s="181"/>
      <c r="E254" s="186"/>
      <c r="F254" s="181"/>
      <c r="G254" s="181"/>
      <c r="H254" s="181"/>
      <c r="I254" s="181"/>
      <c r="J254" s="181"/>
      <c r="K254" s="181"/>
      <c r="L254" s="181"/>
      <c r="M254" s="181"/>
      <c r="N254" s="181"/>
      <c r="O254" s="181"/>
      <c r="P254" s="181"/>
      <c r="Q254" s="181"/>
      <c r="R254" s="181"/>
      <c r="S254" s="181"/>
      <c r="T254" s="181"/>
      <c r="U254" s="181"/>
      <c r="V254" s="181"/>
      <c r="W254" s="181"/>
      <c r="X254" s="181"/>
      <c r="Y254" s="181"/>
      <c r="Z254" s="181"/>
      <c r="AA254" s="181"/>
    </row>
    <row r="255" customFormat="false" ht="15.75" hidden="false" customHeight="false" outlineLevel="0" collapsed="false">
      <c r="A255" s="181" t="str">
        <f aca="false">IF(ISBLANK(B255),"",B255&amp;"|"&amp;C255)</f>
        <v/>
      </c>
      <c r="B255" s="181"/>
      <c r="C255" s="181"/>
      <c r="D255" s="181"/>
      <c r="E255" s="186"/>
      <c r="F255" s="181"/>
      <c r="G255" s="181"/>
      <c r="H255" s="181"/>
      <c r="I255" s="181"/>
      <c r="J255" s="181"/>
      <c r="K255" s="181"/>
      <c r="L255" s="181"/>
      <c r="M255" s="181"/>
      <c r="N255" s="181"/>
      <c r="O255" s="181"/>
      <c r="P255" s="181"/>
      <c r="Q255" s="181"/>
      <c r="R255" s="181"/>
      <c r="S255" s="181"/>
      <c r="T255" s="181"/>
      <c r="U255" s="181"/>
      <c r="V255" s="181"/>
      <c r="W255" s="181"/>
      <c r="X255" s="181"/>
      <c r="Y255" s="181"/>
      <c r="Z255" s="181"/>
      <c r="AA255" s="181"/>
    </row>
    <row r="256" customFormat="false" ht="15.75" hidden="false" customHeight="false" outlineLevel="0" collapsed="false">
      <c r="A256" s="181" t="str">
        <f aca="false">IF(ISBLANK(B256),"",B256&amp;"|"&amp;C256)</f>
        <v/>
      </c>
      <c r="B256" s="181"/>
      <c r="C256" s="181"/>
      <c r="D256" s="181"/>
      <c r="E256" s="186"/>
      <c r="F256" s="181"/>
      <c r="G256" s="181"/>
      <c r="H256" s="181"/>
      <c r="I256" s="181"/>
      <c r="J256" s="181"/>
      <c r="K256" s="181"/>
      <c r="L256" s="181"/>
      <c r="M256" s="181"/>
      <c r="N256" s="181"/>
      <c r="O256" s="181"/>
      <c r="P256" s="181"/>
      <c r="Q256" s="181"/>
      <c r="R256" s="181"/>
      <c r="S256" s="181"/>
      <c r="T256" s="181"/>
      <c r="U256" s="181"/>
      <c r="V256" s="181"/>
      <c r="W256" s="181"/>
      <c r="X256" s="181"/>
      <c r="Y256" s="181"/>
      <c r="Z256" s="181"/>
      <c r="AA256" s="181"/>
    </row>
    <row r="257" customFormat="false" ht="15.75" hidden="false" customHeight="false" outlineLevel="0" collapsed="false">
      <c r="A257" s="181" t="str">
        <f aca="false">IF(ISBLANK(B257),"",B257&amp;"|"&amp;C257)</f>
        <v/>
      </c>
      <c r="B257" s="181"/>
      <c r="C257" s="181"/>
      <c r="D257" s="181"/>
      <c r="E257" s="186"/>
      <c r="F257" s="181"/>
      <c r="G257" s="181"/>
      <c r="H257" s="181"/>
      <c r="I257" s="181"/>
      <c r="J257" s="181"/>
      <c r="K257" s="181"/>
      <c r="L257" s="181"/>
      <c r="M257" s="181"/>
      <c r="N257" s="181"/>
      <c r="O257" s="181"/>
      <c r="P257" s="181"/>
      <c r="Q257" s="181"/>
      <c r="R257" s="181"/>
      <c r="S257" s="181"/>
      <c r="T257" s="181"/>
      <c r="U257" s="181"/>
      <c r="V257" s="181"/>
      <c r="W257" s="181"/>
      <c r="X257" s="181"/>
      <c r="Y257" s="181"/>
      <c r="Z257" s="181"/>
      <c r="AA257" s="181"/>
    </row>
    <row r="258" customFormat="false" ht="15.75" hidden="false" customHeight="false" outlineLevel="0" collapsed="false">
      <c r="A258" s="181" t="str">
        <f aca="false">IF(ISBLANK(B258),"",B258&amp;"|"&amp;C258)</f>
        <v/>
      </c>
      <c r="B258" s="181"/>
      <c r="C258" s="181"/>
      <c r="D258" s="181"/>
      <c r="E258" s="186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  <c r="AA258" s="181"/>
    </row>
    <row r="259" customFormat="false" ht="15.75" hidden="false" customHeight="false" outlineLevel="0" collapsed="false">
      <c r="A259" s="181" t="str">
        <f aca="false">IF(ISBLANK(B259),"",B259&amp;"|"&amp;C259)</f>
        <v/>
      </c>
      <c r="B259" s="181"/>
      <c r="C259" s="181"/>
      <c r="D259" s="181"/>
      <c r="E259" s="186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  <c r="AA259" s="181"/>
    </row>
    <row r="260" customFormat="false" ht="15.75" hidden="false" customHeight="false" outlineLevel="0" collapsed="false">
      <c r="A260" s="181" t="str">
        <f aca="false">IF(ISBLANK(B260),"",B260&amp;"|"&amp;C260)</f>
        <v/>
      </c>
      <c r="B260" s="181"/>
      <c r="C260" s="181"/>
      <c r="D260" s="181"/>
      <c r="E260" s="186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  <c r="AA260" s="181"/>
    </row>
    <row r="261" customFormat="false" ht="15.75" hidden="false" customHeight="false" outlineLevel="0" collapsed="false">
      <c r="A261" s="181" t="str">
        <f aca="false">IF(ISBLANK(B261),"",B261&amp;"|"&amp;C261)</f>
        <v/>
      </c>
      <c r="B261" s="181"/>
      <c r="C261" s="181"/>
      <c r="D261" s="181"/>
      <c r="E261" s="186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  <c r="AA261" s="181"/>
    </row>
    <row r="262" customFormat="false" ht="15.75" hidden="false" customHeight="false" outlineLevel="0" collapsed="false">
      <c r="A262" s="181" t="str">
        <f aca="false">IF(ISBLANK(B262),"",B262&amp;"|"&amp;C262)</f>
        <v/>
      </c>
      <c r="B262" s="181"/>
      <c r="C262" s="181"/>
      <c r="D262" s="181"/>
      <c r="E262" s="186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  <c r="AA262" s="181"/>
    </row>
    <row r="263" customFormat="false" ht="15.75" hidden="false" customHeight="false" outlineLevel="0" collapsed="false">
      <c r="A263" s="181" t="str">
        <f aca="false">IF(ISBLANK(B263),"",B263&amp;"|"&amp;C263)</f>
        <v/>
      </c>
      <c r="B263" s="181"/>
      <c r="C263" s="181"/>
      <c r="D263" s="181"/>
      <c r="E263" s="186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  <c r="AA263" s="181"/>
    </row>
    <row r="264" customFormat="false" ht="15.75" hidden="false" customHeight="false" outlineLevel="0" collapsed="false">
      <c r="A264" s="181" t="str">
        <f aca="false">IF(ISBLANK(B264),"",B264&amp;"|"&amp;C264)</f>
        <v/>
      </c>
      <c r="B264" s="181"/>
      <c r="C264" s="181"/>
      <c r="D264" s="181"/>
      <c r="E264" s="186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  <c r="AA264" s="181"/>
    </row>
    <row r="265" customFormat="false" ht="15.75" hidden="false" customHeight="false" outlineLevel="0" collapsed="false">
      <c r="A265" s="181" t="str">
        <f aca="false">IF(ISBLANK(B265),"",B265&amp;"|"&amp;C265)</f>
        <v/>
      </c>
      <c r="B265" s="181"/>
      <c r="C265" s="181"/>
      <c r="D265" s="181"/>
      <c r="E265" s="186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  <c r="AA265" s="181"/>
    </row>
    <row r="266" customFormat="false" ht="15.75" hidden="false" customHeight="false" outlineLevel="0" collapsed="false">
      <c r="A266" s="181" t="str">
        <f aca="false">IF(ISBLANK(B266),"",B266&amp;"|"&amp;C266)</f>
        <v/>
      </c>
      <c r="B266" s="181"/>
      <c r="C266" s="181"/>
      <c r="D266" s="181"/>
      <c r="E266" s="186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  <c r="AA266" s="181"/>
    </row>
    <row r="267" customFormat="false" ht="15.75" hidden="false" customHeight="false" outlineLevel="0" collapsed="false">
      <c r="A267" s="181" t="str">
        <f aca="false">IF(ISBLANK(B267),"",B267&amp;"|"&amp;C267)</f>
        <v/>
      </c>
      <c r="B267" s="181"/>
      <c r="C267" s="181"/>
      <c r="D267" s="181"/>
      <c r="E267" s="186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  <c r="AA267" s="181"/>
    </row>
    <row r="268" customFormat="false" ht="15.75" hidden="false" customHeight="false" outlineLevel="0" collapsed="false">
      <c r="A268" s="181" t="str">
        <f aca="false">IF(ISBLANK(B268),"",B268&amp;"|"&amp;C268)</f>
        <v/>
      </c>
      <c r="B268" s="181"/>
      <c r="C268" s="181"/>
      <c r="D268" s="181"/>
      <c r="E268" s="186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  <c r="AA268" s="181"/>
    </row>
    <row r="269" customFormat="false" ht="15.75" hidden="false" customHeight="false" outlineLevel="0" collapsed="false">
      <c r="A269" s="181" t="str">
        <f aca="false">IF(ISBLANK(B269),"",B269&amp;"|"&amp;C269)</f>
        <v/>
      </c>
      <c r="B269" s="181"/>
      <c r="C269" s="181"/>
      <c r="D269" s="181"/>
      <c r="E269" s="186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  <c r="AA269" s="181"/>
    </row>
    <row r="270" customFormat="false" ht="15.75" hidden="false" customHeight="false" outlineLevel="0" collapsed="false">
      <c r="A270" s="181" t="str">
        <f aca="false">IF(ISBLANK(B270),"",B270&amp;"|"&amp;C270)</f>
        <v/>
      </c>
      <c r="B270" s="181"/>
      <c r="C270" s="181"/>
      <c r="D270" s="181"/>
      <c r="E270" s="186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  <c r="AA270" s="181"/>
    </row>
    <row r="271" customFormat="false" ht="15.75" hidden="false" customHeight="false" outlineLevel="0" collapsed="false">
      <c r="A271" s="181" t="str">
        <f aca="false">IF(ISBLANK(B271),"",B271&amp;"|"&amp;C271)</f>
        <v/>
      </c>
      <c r="B271" s="181"/>
      <c r="C271" s="181"/>
      <c r="D271" s="181"/>
      <c r="E271" s="186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  <c r="AA271" s="181"/>
    </row>
    <row r="272" customFormat="false" ht="15.75" hidden="false" customHeight="false" outlineLevel="0" collapsed="false">
      <c r="A272" s="181" t="str">
        <f aca="false">IF(ISBLANK(B272),"",B272&amp;"|"&amp;C272)</f>
        <v/>
      </c>
      <c r="B272" s="181"/>
      <c r="C272" s="181"/>
      <c r="D272" s="181"/>
      <c r="E272" s="186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  <c r="AA272" s="181"/>
    </row>
    <row r="273" customFormat="false" ht="15.75" hidden="false" customHeight="false" outlineLevel="0" collapsed="false">
      <c r="A273" s="181" t="str">
        <f aca="false">IF(ISBLANK(B273),"",B273&amp;"|"&amp;C273)</f>
        <v/>
      </c>
      <c r="B273" s="181"/>
      <c r="C273" s="181"/>
      <c r="D273" s="181"/>
      <c r="E273" s="186"/>
      <c r="F273" s="181"/>
      <c r="G273" s="181"/>
      <c r="H273" s="181"/>
      <c r="I273" s="181"/>
      <c r="J273" s="181"/>
      <c r="K273" s="181"/>
      <c r="L273" s="181"/>
      <c r="M273" s="181"/>
      <c r="N273" s="181"/>
      <c r="O273" s="181"/>
      <c r="P273" s="181"/>
      <c r="Q273" s="181"/>
      <c r="R273" s="181"/>
      <c r="S273" s="181"/>
      <c r="T273" s="181"/>
      <c r="U273" s="181"/>
      <c r="V273" s="181"/>
      <c r="W273" s="181"/>
      <c r="X273" s="181"/>
      <c r="Y273" s="181"/>
      <c r="Z273" s="181"/>
      <c r="AA273" s="181"/>
    </row>
    <row r="274" customFormat="false" ht="15.75" hidden="false" customHeight="false" outlineLevel="0" collapsed="false">
      <c r="A274" s="181" t="str">
        <f aca="false">IF(ISBLANK(B274),"",B274&amp;"|"&amp;C274)</f>
        <v/>
      </c>
      <c r="B274" s="181"/>
      <c r="C274" s="181"/>
      <c r="D274" s="181"/>
      <c r="E274" s="186"/>
      <c r="F274" s="181"/>
      <c r="G274" s="181"/>
      <c r="H274" s="181"/>
      <c r="I274" s="181"/>
      <c r="J274" s="181"/>
      <c r="K274" s="181"/>
      <c r="L274" s="181"/>
      <c r="M274" s="181"/>
      <c r="N274" s="181"/>
      <c r="O274" s="181"/>
      <c r="P274" s="181"/>
      <c r="Q274" s="181"/>
      <c r="R274" s="181"/>
      <c r="S274" s="181"/>
      <c r="T274" s="181"/>
      <c r="U274" s="181"/>
      <c r="V274" s="181"/>
      <c r="W274" s="181"/>
      <c r="X274" s="181"/>
      <c r="Y274" s="181"/>
      <c r="Z274" s="181"/>
      <c r="AA274" s="181"/>
    </row>
    <row r="275" customFormat="false" ht="15.75" hidden="false" customHeight="false" outlineLevel="0" collapsed="false">
      <c r="A275" s="181" t="str">
        <f aca="false">IF(ISBLANK(B275),"",B275&amp;"|"&amp;C275)</f>
        <v/>
      </c>
      <c r="B275" s="181"/>
      <c r="C275" s="181"/>
      <c r="D275" s="181"/>
      <c r="E275" s="186"/>
      <c r="F275" s="181"/>
      <c r="G275" s="181"/>
      <c r="H275" s="181"/>
      <c r="I275" s="181"/>
      <c r="J275" s="181"/>
      <c r="K275" s="181"/>
      <c r="L275" s="181"/>
      <c r="M275" s="181"/>
      <c r="N275" s="181"/>
      <c r="O275" s="181"/>
      <c r="P275" s="181"/>
      <c r="Q275" s="181"/>
      <c r="R275" s="181"/>
      <c r="S275" s="181"/>
      <c r="T275" s="181"/>
      <c r="U275" s="181"/>
      <c r="V275" s="181"/>
      <c r="W275" s="181"/>
      <c r="X275" s="181"/>
      <c r="Y275" s="181"/>
      <c r="Z275" s="181"/>
      <c r="AA275" s="181"/>
    </row>
    <row r="276" customFormat="false" ht="15.75" hidden="false" customHeight="false" outlineLevel="0" collapsed="false">
      <c r="A276" s="181" t="str">
        <f aca="false">IF(ISBLANK(B276),"",B276&amp;"|"&amp;C276)</f>
        <v/>
      </c>
      <c r="B276" s="181"/>
      <c r="C276" s="181"/>
      <c r="D276" s="181"/>
      <c r="E276" s="186"/>
      <c r="F276" s="181"/>
      <c r="G276" s="181"/>
      <c r="H276" s="181"/>
      <c r="I276" s="181"/>
      <c r="J276" s="181"/>
      <c r="K276" s="181"/>
      <c r="L276" s="181"/>
      <c r="M276" s="181"/>
      <c r="N276" s="181"/>
      <c r="O276" s="181"/>
      <c r="P276" s="181"/>
      <c r="Q276" s="181"/>
      <c r="R276" s="181"/>
      <c r="S276" s="181"/>
      <c r="T276" s="181"/>
      <c r="U276" s="181"/>
      <c r="V276" s="181"/>
      <c r="W276" s="181"/>
      <c r="X276" s="181"/>
      <c r="Y276" s="181"/>
      <c r="Z276" s="181"/>
      <c r="AA276" s="181"/>
    </row>
    <row r="277" customFormat="false" ht="15.75" hidden="false" customHeight="false" outlineLevel="0" collapsed="false">
      <c r="A277" s="181" t="str">
        <f aca="false">IF(ISBLANK(B277),"",B277&amp;"|"&amp;C277)</f>
        <v/>
      </c>
      <c r="B277" s="181"/>
      <c r="C277" s="181"/>
      <c r="D277" s="181"/>
      <c r="E277" s="186"/>
      <c r="F277" s="181"/>
      <c r="G277" s="181"/>
      <c r="H277" s="181"/>
      <c r="I277" s="181"/>
      <c r="J277" s="181"/>
      <c r="K277" s="181"/>
      <c r="L277" s="181"/>
      <c r="M277" s="181"/>
      <c r="N277" s="181"/>
      <c r="O277" s="181"/>
      <c r="P277" s="181"/>
      <c r="Q277" s="181"/>
      <c r="R277" s="181"/>
      <c r="S277" s="181"/>
      <c r="T277" s="181"/>
      <c r="U277" s="181"/>
      <c r="V277" s="181"/>
      <c r="W277" s="181"/>
      <c r="X277" s="181"/>
      <c r="Y277" s="181"/>
      <c r="Z277" s="181"/>
      <c r="AA277" s="181"/>
    </row>
    <row r="278" customFormat="false" ht="15.75" hidden="false" customHeight="false" outlineLevel="0" collapsed="false">
      <c r="A278" s="181" t="str">
        <f aca="false">IF(ISBLANK(B278),"",B278&amp;"|"&amp;C278)</f>
        <v/>
      </c>
      <c r="B278" s="181"/>
      <c r="C278" s="181"/>
      <c r="D278" s="181"/>
      <c r="E278" s="186"/>
      <c r="F278" s="181"/>
      <c r="G278" s="181"/>
      <c r="H278" s="181"/>
      <c r="I278" s="181"/>
      <c r="J278" s="181"/>
      <c r="K278" s="181"/>
      <c r="L278" s="181"/>
      <c r="M278" s="181"/>
      <c r="N278" s="181"/>
      <c r="O278" s="181"/>
      <c r="P278" s="181"/>
      <c r="Q278" s="181"/>
      <c r="R278" s="181"/>
      <c r="S278" s="181"/>
      <c r="T278" s="181"/>
      <c r="U278" s="181"/>
      <c r="V278" s="181"/>
      <c r="W278" s="181"/>
      <c r="X278" s="181"/>
      <c r="Y278" s="181"/>
      <c r="Z278" s="181"/>
      <c r="AA278" s="181"/>
    </row>
    <row r="279" customFormat="false" ht="15.75" hidden="false" customHeight="false" outlineLevel="0" collapsed="false">
      <c r="A279" s="181" t="str">
        <f aca="false">IF(ISBLANK(B279),"",B279&amp;"|"&amp;C279)</f>
        <v/>
      </c>
      <c r="B279" s="181"/>
      <c r="C279" s="181"/>
      <c r="D279" s="181"/>
      <c r="E279" s="186"/>
      <c r="F279" s="181"/>
      <c r="G279" s="181"/>
      <c r="H279" s="181"/>
      <c r="I279" s="181"/>
      <c r="J279" s="181"/>
      <c r="K279" s="181"/>
      <c r="L279" s="181"/>
      <c r="M279" s="181"/>
      <c r="N279" s="181"/>
      <c r="O279" s="181"/>
      <c r="P279" s="181"/>
      <c r="Q279" s="181"/>
      <c r="R279" s="181"/>
      <c r="S279" s="181"/>
      <c r="T279" s="181"/>
      <c r="U279" s="181"/>
      <c r="V279" s="181"/>
      <c r="W279" s="181"/>
      <c r="X279" s="181"/>
      <c r="Y279" s="181"/>
      <c r="Z279" s="181"/>
      <c r="AA279" s="181"/>
    </row>
    <row r="280" customFormat="false" ht="15.75" hidden="false" customHeight="false" outlineLevel="0" collapsed="false">
      <c r="A280" s="181" t="str">
        <f aca="false">IF(ISBLANK(B280),"",B280&amp;"|"&amp;C280)</f>
        <v/>
      </c>
      <c r="B280" s="181"/>
      <c r="C280" s="181"/>
      <c r="D280" s="181"/>
      <c r="E280" s="186"/>
      <c r="F280" s="181"/>
      <c r="G280" s="181"/>
      <c r="H280" s="181"/>
      <c r="I280" s="181"/>
      <c r="J280" s="181"/>
      <c r="K280" s="181"/>
      <c r="L280" s="181"/>
      <c r="M280" s="181"/>
      <c r="N280" s="181"/>
      <c r="O280" s="181"/>
      <c r="P280" s="181"/>
      <c r="Q280" s="181"/>
      <c r="R280" s="181"/>
      <c r="S280" s="181"/>
      <c r="T280" s="181"/>
      <c r="U280" s="181"/>
      <c r="V280" s="181"/>
      <c r="W280" s="181"/>
      <c r="X280" s="181"/>
      <c r="Y280" s="181"/>
      <c r="Z280" s="181"/>
      <c r="AA280" s="181"/>
    </row>
    <row r="281" customFormat="false" ht="15.75" hidden="false" customHeight="false" outlineLevel="0" collapsed="false">
      <c r="A281" s="181" t="str">
        <f aca="false">IF(ISBLANK(B281),"",B281&amp;"|"&amp;C281)</f>
        <v/>
      </c>
      <c r="B281" s="181"/>
      <c r="C281" s="181"/>
      <c r="D281" s="181"/>
      <c r="E281" s="186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  <c r="AA281" s="181"/>
    </row>
    <row r="282" customFormat="false" ht="15.75" hidden="false" customHeight="false" outlineLevel="0" collapsed="false">
      <c r="A282" s="181" t="str">
        <f aca="false">IF(ISBLANK(B282),"",B282&amp;"|"&amp;C282)</f>
        <v/>
      </c>
      <c r="B282" s="181"/>
      <c r="C282" s="181"/>
      <c r="D282" s="181"/>
      <c r="E282" s="186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  <c r="AA282" s="181"/>
    </row>
    <row r="283" customFormat="false" ht="15.75" hidden="false" customHeight="false" outlineLevel="0" collapsed="false">
      <c r="A283" s="181" t="str">
        <f aca="false">IF(ISBLANK(B283),"",B283&amp;"|"&amp;C283)</f>
        <v/>
      </c>
      <c r="B283" s="181"/>
      <c r="C283" s="181"/>
      <c r="D283" s="181"/>
      <c r="E283" s="186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  <c r="AA283" s="181"/>
    </row>
    <row r="284" customFormat="false" ht="15.75" hidden="false" customHeight="false" outlineLevel="0" collapsed="false">
      <c r="A284" s="181" t="str">
        <f aca="false">IF(ISBLANK(B284),"",B284&amp;"|"&amp;C284)</f>
        <v/>
      </c>
      <c r="B284" s="181"/>
      <c r="C284" s="181"/>
      <c r="D284" s="181"/>
      <c r="E284" s="186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  <c r="AA284" s="181"/>
    </row>
    <row r="285" customFormat="false" ht="15.75" hidden="false" customHeight="false" outlineLevel="0" collapsed="false">
      <c r="A285" s="181" t="str">
        <f aca="false">IF(ISBLANK(B285),"",B285&amp;"|"&amp;C285)</f>
        <v/>
      </c>
      <c r="B285" s="181"/>
      <c r="C285" s="181"/>
      <c r="D285" s="181"/>
      <c r="E285" s="186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  <c r="AA285" s="181"/>
    </row>
    <row r="286" customFormat="false" ht="15.75" hidden="false" customHeight="false" outlineLevel="0" collapsed="false">
      <c r="A286" s="181" t="str">
        <f aca="false">IF(ISBLANK(B286),"",B286&amp;"|"&amp;C286)</f>
        <v/>
      </c>
      <c r="B286" s="181"/>
      <c r="C286" s="181"/>
      <c r="D286" s="181"/>
      <c r="E286" s="186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  <c r="AA286" s="181"/>
    </row>
    <row r="287" customFormat="false" ht="15.75" hidden="false" customHeight="false" outlineLevel="0" collapsed="false">
      <c r="A287" s="181" t="str">
        <f aca="false">IF(ISBLANK(B287),"",B287&amp;"|"&amp;C287)</f>
        <v/>
      </c>
      <c r="B287" s="181"/>
      <c r="C287" s="181"/>
      <c r="D287" s="181"/>
      <c r="E287" s="186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  <c r="AA287" s="181"/>
    </row>
    <row r="288" customFormat="false" ht="15.75" hidden="false" customHeight="false" outlineLevel="0" collapsed="false">
      <c r="A288" s="181" t="str">
        <f aca="false">IF(ISBLANK(B288),"",B288&amp;"|"&amp;C288)</f>
        <v/>
      </c>
      <c r="B288" s="181"/>
      <c r="C288" s="181"/>
      <c r="D288" s="181"/>
      <c r="E288" s="186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  <c r="AA288" s="181"/>
    </row>
    <row r="289" customFormat="false" ht="15.75" hidden="false" customHeight="false" outlineLevel="0" collapsed="false">
      <c r="A289" s="181" t="str">
        <f aca="false">IF(ISBLANK(B289),"",B289&amp;"|"&amp;C289)</f>
        <v/>
      </c>
      <c r="B289" s="181"/>
      <c r="C289" s="181"/>
      <c r="D289" s="181"/>
      <c r="E289" s="186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  <c r="AA289" s="181"/>
    </row>
    <row r="290" customFormat="false" ht="15.75" hidden="false" customHeight="false" outlineLevel="0" collapsed="false">
      <c r="A290" s="181" t="str">
        <f aca="false">IF(ISBLANK(B290),"",B290&amp;"|"&amp;C290)</f>
        <v/>
      </c>
      <c r="B290" s="181"/>
      <c r="C290" s="181"/>
      <c r="D290" s="181"/>
      <c r="E290" s="186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customFormat="false" ht="15.75" hidden="false" customHeight="false" outlineLevel="0" collapsed="false">
      <c r="A291" s="181" t="str">
        <f aca="false">IF(ISBLANK(B291),"",B291&amp;"|"&amp;C291)</f>
        <v/>
      </c>
      <c r="B291" s="181"/>
      <c r="C291" s="181"/>
      <c r="D291" s="181"/>
      <c r="E291" s="186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  <c r="AA291" s="181"/>
    </row>
    <row r="292" customFormat="false" ht="15.75" hidden="false" customHeight="false" outlineLevel="0" collapsed="false">
      <c r="A292" s="181" t="str">
        <f aca="false">IF(ISBLANK(B292),"",B292&amp;"|"&amp;C292)</f>
        <v/>
      </c>
      <c r="B292" s="181"/>
      <c r="C292" s="181"/>
      <c r="D292" s="181"/>
      <c r="E292" s="186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  <c r="AA292" s="181"/>
    </row>
    <row r="293" customFormat="false" ht="15.75" hidden="false" customHeight="false" outlineLevel="0" collapsed="false">
      <c r="A293" s="181" t="str">
        <f aca="false">IF(ISBLANK(B293),"",B293&amp;"|"&amp;C293)</f>
        <v/>
      </c>
      <c r="B293" s="181"/>
      <c r="C293" s="181"/>
      <c r="D293" s="181"/>
      <c r="E293" s="186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  <c r="AA293" s="181"/>
    </row>
    <row r="294" customFormat="false" ht="15.75" hidden="false" customHeight="false" outlineLevel="0" collapsed="false">
      <c r="A294" s="181" t="str">
        <f aca="false">IF(ISBLANK(B294),"",B294&amp;"|"&amp;C294)</f>
        <v/>
      </c>
      <c r="B294" s="181"/>
      <c r="C294" s="181"/>
      <c r="D294" s="181"/>
      <c r="E294" s="186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  <c r="AA294" s="181"/>
    </row>
    <row r="295" customFormat="false" ht="15.75" hidden="false" customHeight="false" outlineLevel="0" collapsed="false">
      <c r="A295" s="181" t="str">
        <f aca="false">IF(ISBLANK(B295),"",B295&amp;"|"&amp;C295)</f>
        <v/>
      </c>
      <c r="B295" s="181"/>
      <c r="C295" s="181"/>
      <c r="D295" s="181"/>
      <c r="E295" s="186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  <c r="AA295" s="181"/>
    </row>
    <row r="296" customFormat="false" ht="15.75" hidden="false" customHeight="false" outlineLevel="0" collapsed="false">
      <c r="A296" s="181" t="str">
        <f aca="false">IF(ISBLANK(B296),"",B296&amp;"|"&amp;C296)</f>
        <v/>
      </c>
      <c r="B296" s="181"/>
      <c r="C296" s="181"/>
      <c r="D296" s="181"/>
      <c r="E296" s="186"/>
      <c r="F296" s="181"/>
      <c r="G296" s="181"/>
      <c r="H296" s="181"/>
      <c r="I296" s="181"/>
      <c r="J296" s="181"/>
      <c r="K296" s="181"/>
      <c r="L296" s="181"/>
      <c r="M296" s="181"/>
      <c r="N296" s="181"/>
      <c r="O296" s="181"/>
      <c r="P296" s="181"/>
      <c r="Q296" s="181"/>
      <c r="R296" s="181"/>
      <c r="S296" s="181"/>
      <c r="T296" s="181"/>
      <c r="U296" s="181"/>
      <c r="V296" s="181"/>
      <c r="W296" s="181"/>
      <c r="X296" s="181"/>
      <c r="Y296" s="181"/>
      <c r="Z296" s="181"/>
      <c r="AA296" s="181"/>
    </row>
    <row r="297" customFormat="false" ht="15.75" hidden="false" customHeight="false" outlineLevel="0" collapsed="false">
      <c r="A297" s="181" t="str">
        <f aca="false">IF(ISBLANK(B297),"",B297&amp;"|"&amp;C297)</f>
        <v/>
      </c>
      <c r="B297" s="181"/>
      <c r="C297" s="181"/>
      <c r="D297" s="181"/>
      <c r="E297" s="186"/>
      <c r="F297" s="181"/>
      <c r="G297" s="181"/>
      <c r="H297" s="181"/>
      <c r="I297" s="181"/>
      <c r="J297" s="181"/>
      <c r="K297" s="181"/>
      <c r="L297" s="181"/>
      <c r="M297" s="181"/>
      <c r="N297" s="181"/>
      <c r="O297" s="181"/>
      <c r="P297" s="181"/>
      <c r="Q297" s="181"/>
      <c r="R297" s="181"/>
      <c r="S297" s="181"/>
      <c r="T297" s="181"/>
      <c r="U297" s="181"/>
      <c r="V297" s="181"/>
      <c r="W297" s="181"/>
      <c r="X297" s="181"/>
      <c r="Y297" s="181"/>
      <c r="Z297" s="181"/>
      <c r="AA297" s="181"/>
    </row>
    <row r="298" customFormat="false" ht="15.75" hidden="false" customHeight="false" outlineLevel="0" collapsed="false">
      <c r="A298" s="181" t="str">
        <f aca="false">IF(ISBLANK(B298),"",B298&amp;"|"&amp;C298)</f>
        <v/>
      </c>
      <c r="B298" s="181"/>
      <c r="C298" s="181"/>
      <c r="D298" s="181"/>
      <c r="E298" s="186"/>
      <c r="F298" s="181"/>
      <c r="G298" s="181"/>
      <c r="H298" s="181"/>
      <c r="I298" s="181"/>
      <c r="J298" s="181"/>
      <c r="K298" s="181"/>
      <c r="L298" s="181"/>
      <c r="M298" s="181"/>
      <c r="N298" s="181"/>
      <c r="O298" s="181"/>
      <c r="P298" s="181"/>
      <c r="Q298" s="181"/>
      <c r="R298" s="181"/>
      <c r="S298" s="181"/>
      <c r="T298" s="181"/>
      <c r="U298" s="181"/>
      <c r="V298" s="181"/>
      <c r="W298" s="181"/>
      <c r="X298" s="181"/>
      <c r="Y298" s="181"/>
      <c r="Z298" s="181"/>
      <c r="AA298" s="181"/>
    </row>
    <row r="299" customFormat="false" ht="15.75" hidden="false" customHeight="false" outlineLevel="0" collapsed="false">
      <c r="A299" s="181" t="str">
        <f aca="false">IF(ISBLANK(B299),"",B299&amp;"|"&amp;C299)</f>
        <v/>
      </c>
      <c r="B299" s="181"/>
      <c r="C299" s="181"/>
      <c r="D299" s="181"/>
      <c r="E299" s="186"/>
      <c r="F299" s="181"/>
      <c r="G299" s="181"/>
      <c r="H299" s="181"/>
      <c r="I299" s="181"/>
      <c r="J299" s="181"/>
      <c r="K299" s="181"/>
      <c r="L299" s="181"/>
      <c r="M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customFormat="false" ht="15.75" hidden="false" customHeight="false" outlineLevel="0" collapsed="false">
      <c r="A300" s="181" t="str">
        <f aca="false">IF(ISBLANK(B300),"",B300&amp;"|"&amp;C300)</f>
        <v/>
      </c>
      <c r="B300" s="181"/>
      <c r="C300" s="181"/>
      <c r="D300" s="181"/>
      <c r="E300" s="186"/>
      <c r="F300" s="181"/>
      <c r="G300" s="181"/>
      <c r="H300" s="181"/>
      <c r="I300" s="181"/>
      <c r="J300" s="181"/>
      <c r="K300" s="181"/>
      <c r="L300" s="181"/>
      <c r="M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customFormat="false" ht="15.75" hidden="false" customHeight="false" outlineLevel="0" collapsed="false">
      <c r="A301" s="181" t="str">
        <f aca="false">IF(ISBLANK(B301),"",B301&amp;"|"&amp;C301)</f>
        <v/>
      </c>
      <c r="B301" s="181"/>
      <c r="C301" s="181"/>
      <c r="D301" s="181"/>
      <c r="E301" s="186"/>
      <c r="F301" s="181"/>
      <c r="G301" s="181"/>
      <c r="H301" s="181"/>
      <c r="I301" s="181"/>
      <c r="J301" s="181"/>
      <c r="K301" s="181"/>
      <c r="L301" s="181"/>
      <c r="M301" s="181"/>
      <c r="N301" s="181"/>
      <c r="O301" s="181"/>
      <c r="P301" s="181"/>
      <c r="Q301" s="181"/>
      <c r="R301" s="181"/>
      <c r="S301" s="181"/>
      <c r="T301" s="181"/>
      <c r="U301" s="181"/>
      <c r="V301" s="181"/>
      <c r="W301" s="181"/>
      <c r="X301" s="181"/>
      <c r="Y301" s="181"/>
      <c r="Z301" s="181"/>
      <c r="AA301" s="181"/>
    </row>
    <row r="302" customFormat="false" ht="15.75" hidden="false" customHeight="false" outlineLevel="0" collapsed="false">
      <c r="A302" s="181" t="str">
        <f aca="false">IF(ISBLANK(B302),"",B302&amp;"|"&amp;C302)</f>
        <v/>
      </c>
      <c r="B302" s="181"/>
      <c r="C302" s="181"/>
      <c r="D302" s="181"/>
      <c r="E302" s="186"/>
      <c r="F302" s="181"/>
      <c r="G302" s="181"/>
      <c r="H302" s="181"/>
      <c r="I302" s="181"/>
      <c r="J302" s="181"/>
      <c r="K302" s="181"/>
      <c r="L302" s="181"/>
      <c r="M302" s="181"/>
      <c r="N302" s="181"/>
      <c r="O302" s="181"/>
      <c r="P302" s="181"/>
      <c r="Q302" s="181"/>
      <c r="R302" s="181"/>
      <c r="S302" s="181"/>
      <c r="T302" s="181"/>
      <c r="U302" s="181"/>
      <c r="V302" s="181"/>
      <c r="W302" s="181"/>
      <c r="X302" s="181"/>
      <c r="Y302" s="181"/>
      <c r="Z302" s="181"/>
      <c r="AA302" s="181"/>
    </row>
    <row r="303" customFormat="false" ht="15.75" hidden="false" customHeight="false" outlineLevel="0" collapsed="false">
      <c r="A303" s="181" t="str">
        <f aca="false">IF(ISBLANK(B303),"",B303&amp;"|"&amp;C303)</f>
        <v/>
      </c>
      <c r="B303" s="181"/>
      <c r="C303" s="181"/>
      <c r="D303" s="181"/>
      <c r="E303" s="186"/>
      <c r="F303" s="181"/>
      <c r="G303" s="181"/>
      <c r="H303" s="181"/>
      <c r="I303" s="181"/>
      <c r="J303" s="181"/>
      <c r="K303" s="181"/>
      <c r="L303" s="181"/>
      <c r="M303" s="181"/>
      <c r="N303" s="181"/>
      <c r="O303" s="181"/>
      <c r="P303" s="181"/>
      <c r="Q303" s="181"/>
      <c r="R303" s="181"/>
      <c r="S303" s="181"/>
      <c r="T303" s="181"/>
      <c r="U303" s="181"/>
      <c r="V303" s="181"/>
      <c r="W303" s="181"/>
      <c r="X303" s="181"/>
      <c r="Y303" s="181"/>
      <c r="Z303" s="181"/>
      <c r="AA303" s="181"/>
    </row>
    <row r="304" customFormat="false" ht="15.75" hidden="false" customHeight="false" outlineLevel="0" collapsed="false">
      <c r="A304" s="181" t="str">
        <f aca="false">IF(ISBLANK(B304),"",B304&amp;"|"&amp;C304)</f>
        <v/>
      </c>
      <c r="B304" s="181"/>
      <c r="C304" s="181"/>
      <c r="D304" s="181"/>
      <c r="E304" s="186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  <c r="AA304" s="181"/>
    </row>
    <row r="305" customFormat="false" ht="15.75" hidden="false" customHeight="false" outlineLevel="0" collapsed="false">
      <c r="A305" s="181" t="str">
        <f aca="false">IF(ISBLANK(B305),"",B305&amp;"|"&amp;C305)</f>
        <v/>
      </c>
      <c r="B305" s="181"/>
      <c r="C305" s="181"/>
      <c r="D305" s="181"/>
      <c r="E305" s="186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  <c r="AA305" s="181"/>
    </row>
    <row r="306" customFormat="false" ht="15.75" hidden="false" customHeight="false" outlineLevel="0" collapsed="false">
      <c r="A306" s="181" t="str">
        <f aca="false">IF(ISBLANK(B306),"",B306&amp;"|"&amp;C306)</f>
        <v/>
      </c>
      <c r="B306" s="181"/>
      <c r="C306" s="181"/>
      <c r="D306" s="181"/>
      <c r="E306" s="186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  <c r="AA306" s="181"/>
    </row>
    <row r="307" customFormat="false" ht="15.75" hidden="false" customHeight="false" outlineLevel="0" collapsed="false">
      <c r="A307" s="181" t="str">
        <f aca="false">IF(ISBLANK(B307),"",B307&amp;"|"&amp;C307)</f>
        <v/>
      </c>
      <c r="B307" s="181"/>
      <c r="C307" s="181"/>
      <c r="D307" s="181"/>
      <c r="E307" s="186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  <c r="AA307" s="181"/>
    </row>
    <row r="308" customFormat="false" ht="15.75" hidden="false" customHeight="false" outlineLevel="0" collapsed="false">
      <c r="A308" s="181" t="str">
        <f aca="false">IF(ISBLANK(B308),"",B308&amp;"|"&amp;C308)</f>
        <v/>
      </c>
      <c r="B308" s="181"/>
      <c r="C308" s="181"/>
      <c r="D308" s="181"/>
      <c r="E308" s="186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  <c r="AA308" s="181"/>
    </row>
    <row r="309" customFormat="false" ht="15.75" hidden="false" customHeight="false" outlineLevel="0" collapsed="false">
      <c r="A309" s="181" t="str">
        <f aca="false">IF(ISBLANK(B309),"",B309&amp;"|"&amp;C309)</f>
        <v/>
      </c>
      <c r="B309" s="181"/>
      <c r="C309" s="181"/>
      <c r="D309" s="181"/>
      <c r="E309" s="186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  <c r="AA309" s="181"/>
    </row>
    <row r="310" customFormat="false" ht="15.75" hidden="false" customHeight="false" outlineLevel="0" collapsed="false">
      <c r="A310" s="181" t="str">
        <f aca="false">IF(ISBLANK(B310),"",B310&amp;"|"&amp;C310)</f>
        <v/>
      </c>
      <c r="B310" s="181"/>
      <c r="C310" s="181"/>
      <c r="D310" s="181"/>
      <c r="E310" s="186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  <c r="AA310" s="181"/>
    </row>
    <row r="311" customFormat="false" ht="15.75" hidden="false" customHeight="false" outlineLevel="0" collapsed="false">
      <c r="A311" s="181" t="str">
        <f aca="false">IF(ISBLANK(B311),"",B311&amp;"|"&amp;C311)</f>
        <v/>
      </c>
      <c r="B311" s="181"/>
      <c r="C311" s="181"/>
      <c r="D311" s="181"/>
      <c r="E311" s="186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  <c r="AA311" s="181"/>
    </row>
    <row r="312" customFormat="false" ht="15.75" hidden="false" customHeight="false" outlineLevel="0" collapsed="false">
      <c r="A312" s="181" t="str">
        <f aca="false">IF(ISBLANK(B312),"",B312&amp;"|"&amp;C312)</f>
        <v/>
      </c>
      <c r="B312" s="181"/>
      <c r="C312" s="181"/>
      <c r="D312" s="181"/>
      <c r="E312" s="186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  <c r="AA312" s="181"/>
    </row>
    <row r="313" customFormat="false" ht="15.75" hidden="false" customHeight="false" outlineLevel="0" collapsed="false">
      <c r="A313" s="181" t="str">
        <f aca="false">IF(ISBLANK(B313),"",B313&amp;"|"&amp;C313)</f>
        <v/>
      </c>
      <c r="B313" s="181"/>
      <c r="C313" s="181"/>
      <c r="D313" s="181"/>
      <c r="E313" s="186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  <c r="AA313" s="181"/>
    </row>
    <row r="314" customFormat="false" ht="15.75" hidden="false" customHeight="false" outlineLevel="0" collapsed="false">
      <c r="A314" s="181" t="str">
        <f aca="false">IF(ISBLANK(B314),"",B314&amp;"|"&amp;C314)</f>
        <v/>
      </c>
      <c r="B314" s="181"/>
      <c r="C314" s="181"/>
      <c r="D314" s="181"/>
      <c r="E314" s="186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  <c r="AA314" s="181"/>
    </row>
    <row r="315" customFormat="false" ht="15.75" hidden="false" customHeight="false" outlineLevel="0" collapsed="false">
      <c r="A315" s="181" t="str">
        <f aca="false">IF(ISBLANK(B315),"",B315&amp;"|"&amp;C315)</f>
        <v/>
      </c>
      <c r="B315" s="181"/>
      <c r="C315" s="181"/>
      <c r="D315" s="181"/>
      <c r="E315" s="186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customFormat="false" ht="15.75" hidden="false" customHeight="false" outlineLevel="0" collapsed="false">
      <c r="A316" s="181" t="str">
        <f aca="false">IF(ISBLANK(B316),"",B316&amp;"|"&amp;C316)</f>
        <v/>
      </c>
      <c r="B316" s="181"/>
      <c r="C316" s="181"/>
      <c r="D316" s="181"/>
      <c r="E316" s="186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customFormat="false" ht="15.75" hidden="false" customHeight="false" outlineLevel="0" collapsed="false">
      <c r="A317" s="181" t="str">
        <f aca="false">IF(ISBLANK(B317),"",B317&amp;"|"&amp;C317)</f>
        <v/>
      </c>
      <c r="B317" s="181"/>
      <c r="C317" s="181"/>
      <c r="D317" s="181"/>
      <c r="E317" s="186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  <c r="AA317" s="181"/>
    </row>
    <row r="318" customFormat="false" ht="15.75" hidden="false" customHeight="false" outlineLevel="0" collapsed="false">
      <c r="A318" s="181" t="str">
        <f aca="false">IF(ISBLANK(B318),"",B318&amp;"|"&amp;C318)</f>
        <v/>
      </c>
      <c r="B318" s="181"/>
      <c r="C318" s="181"/>
      <c r="D318" s="181"/>
      <c r="E318" s="186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customFormat="false" ht="15.75" hidden="false" customHeight="false" outlineLevel="0" collapsed="false">
      <c r="A319" s="181" t="str">
        <f aca="false">IF(ISBLANK(B319),"",B319&amp;"|"&amp;C319)</f>
        <v/>
      </c>
      <c r="B319" s="181"/>
      <c r="C319" s="181"/>
      <c r="D319" s="181"/>
      <c r="E319" s="186"/>
      <c r="F319" s="181"/>
      <c r="G319" s="181"/>
      <c r="H319" s="181"/>
      <c r="I319" s="181"/>
      <c r="J319" s="181"/>
      <c r="K319" s="181"/>
      <c r="L319" s="181"/>
      <c r="M319" s="181"/>
      <c r="N319" s="181"/>
      <c r="O319" s="181"/>
      <c r="P319" s="181"/>
      <c r="Q319" s="181"/>
      <c r="R319" s="181"/>
      <c r="S319" s="181"/>
      <c r="T319" s="181"/>
      <c r="U319" s="181"/>
      <c r="V319" s="181"/>
      <c r="W319" s="181"/>
      <c r="X319" s="181"/>
      <c r="Y319" s="181"/>
      <c r="Z319" s="181"/>
      <c r="AA319" s="181"/>
    </row>
    <row r="320" customFormat="false" ht="15.75" hidden="false" customHeight="false" outlineLevel="0" collapsed="false">
      <c r="A320" s="181" t="str">
        <f aca="false">IF(ISBLANK(B320),"",B320&amp;"|"&amp;C320)</f>
        <v/>
      </c>
      <c r="B320" s="181"/>
      <c r="C320" s="181"/>
      <c r="D320" s="181"/>
      <c r="E320" s="186"/>
      <c r="F320" s="181"/>
      <c r="G320" s="181"/>
      <c r="H320" s="181"/>
      <c r="I320" s="181"/>
      <c r="J320" s="181"/>
      <c r="K320" s="181"/>
      <c r="L320" s="181"/>
      <c r="M320" s="181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customFormat="false" ht="15.75" hidden="false" customHeight="false" outlineLevel="0" collapsed="false">
      <c r="A321" s="181" t="str">
        <f aca="false">IF(ISBLANK(B321),"",B321&amp;"|"&amp;C321)</f>
        <v/>
      </c>
      <c r="B321" s="181"/>
      <c r="C321" s="181"/>
      <c r="D321" s="181"/>
      <c r="E321" s="186"/>
      <c r="F321" s="181"/>
      <c r="G321" s="181"/>
      <c r="H321" s="181"/>
      <c r="I321" s="181"/>
      <c r="J321" s="181"/>
      <c r="K321" s="181"/>
      <c r="L321" s="181"/>
      <c r="M321" s="181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customFormat="false" ht="15.75" hidden="false" customHeight="false" outlineLevel="0" collapsed="false">
      <c r="A322" s="181" t="str">
        <f aca="false">IF(ISBLANK(B322),"",B322&amp;"|"&amp;C322)</f>
        <v/>
      </c>
      <c r="B322" s="181"/>
      <c r="C322" s="181"/>
      <c r="D322" s="181"/>
      <c r="E322" s="186"/>
      <c r="F322" s="181"/>
      <c r="G322" s="181"/>
      <c r="H322" s="181"/>
      <c r="I322" s="181"/>
      <c r="J322" s="181"/>
      <c r="K322" s="181"/>
      <c r="L322" s="181"/>
      <c r="M322" s="181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customFormat="false" ht="15.75" hidden="false" customHeight="false" outlineLevel="0" collapsed="false">
      <c r="A323" s="181" t="str">
        <f aca="false">IF(ISBLANK(B323),"",B323&amp;"|"&amp;C323)</f>
        <v/>
      </c>
      <c r="B323" s="181"/>
      <c r="C323" s="181"/>
      <c r="D323" s="181"/>
      <c r="E323" s="186"/>
      <c r="F323" s="181"/>
      <c r="G323" s="181"/>
      <c r="H323" s="181"/>
      <c r="I323" s="181"/>
      <c r="J323" s="181"/>
      <c r="K323" s="181"/>
      <c r="L323" s="181"/>
      <c r="M323" s="181"/>
      <c r="N323" s="181"/>
      <c r="O323" s="181"/>
      <c r="P323" s="181"/>
      <c r="Q323" s="181"/>
      <c r="R323" s="181"/>
      <c r="S323" s="181"/>
      <c r="T323" s="181"/>
      <c r="U323" s="181"/>
      <c r="V323" s="181"/>
      <c r="W323" s="181"/>
      <c r="X323" s="181"/>
      <c r="Y323" s="181"/>
      <c r="Z323" s="181"/>
      <c r="AA323" s="181"/>
    </row>
    <row r="324" customFormat="false" ht="15.75" hidden="false" customHeight="false" outlineLevel="0" collapsed="false">
      <c r="A324" s="181" t="str">
        <f aca="false">IF(ISBLANK(B324),"",B324&amp;"|"&amp;C324)</f>
        <v/>
      </c>
      <c r="B324" s="181"/>
      <c r="C324" s="181"/>
      <c r="D324" s="181"/>
      <c r="E324" s="186"/>
      <c r="F324" s="181"/>
      <c r="G324" s="181"/>
      <c r="H324" s="181"/>
      <c r="I324" s="181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customFormat="false" ht="15.75" hidden="false" customHeight="false" outlineLevel="0" collapsed="false">
      <c r="A325" s="181" t="str">
        <f aca="false">IF(ISBLANK(B325),"",B325&amp;"|"&amp;C325)</f>
        <v/>
      </c>
      <c r="B325" s="181"/>
      <c r="C325" s="181"/>
      <c r="D325" s="181"/>
      <c r="E325" s="186"/>
      <c r="F325" s="181"/>
      <c r="G325" s="181"/>
      <c r="H325" s="181"/>
      <c r="I325" s="181"/>
      <c r="J325" s="181"/>
      <c r="K325" s="181"/>
      <c r="L325" s="181"/>
      <c r="M325" s="181"/>
      <c r="N325" s="181"/>
      <c r="O325" s="181"/>
      <c r="P325" s="181"/>
      <c r="Q325" s="181"/>
      <c r="R325" s="181"/>
      <c r="S325" s="181"/>
      <c r="T325" s="181"/>
      <c r="U325" s="181"/>
      <c r="V325" s="181"/>
      <c r="W325" s="181"/>
      <c r="X325" s="181"/>
      <c r="Y325" s="181"/>
      <c r="Z325" s="181"/>
      <c r="AA325" s="181"/>
    </row>
    <row r="326" customFormat="false" ht="15.75" hidden="false" customHeight="false" outlineLevel="0" collapsed="false">
      <c r="A326" s="181" t="str">
        <f aca="false">IF(ISBLANK(B326),"",B326&amp;"|"&amp;C326)</f>
        <v/>
      </c>
      <c r="B326" s="181"/>
      <c r="C326" s="181"/>
      <c r="D326" s="181"/>
      <c r="E326" s="186"/>
      <c r="F326" s="181"/>
      <c r="G326" s="181"/>
      <c r="H326" s="181"/>
      <c r="I326" s="181"/>
      <c r="J326" s="181"/>
      <c r="K326" s="181"/>
      <c r="L326" s="181"/>
      <c r="M326" s="181"/>
      <c r="N326" s="181"/>
      <c r="O326" s="181"/>
      <c r="P326" s="181"/>
      <c r="Q326" s="181"/>
      <c r="R326" s="181"/>
      <c r="S326" s="181"/>
      <c r="T326" s="181"/>
      <c r="U326" s="181"/>
      <c r="V326" s="181"/>
      <c r="W326" s="181"/>
      <c r="X326" s="181"/>
      <c r="Y326" s="181"/>
      <c r="Z326" s="181"/>
      <c r="AA326" s="181"/>
    </row>
    <row r="327" customFormat="false" ht="15.75" hidden="false" customHeight="false" outlineLevel="0" collapsed="false">
      <c r="A327" s="181" t="str">
        <f aca="false">IF(ISBLANK(B327),"",B327&amp;"|"&amp;C327)</f>
        <v/>
      </c>
      <c r="B327" s="181"/>
      <c r="C327" s="181"/>
      <c r="D327" s="181"/>
      <c r="E327" s="186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  <c r="AA327" s="181"/>
    </row>
    <row r="328" customFormat="false" ht="15.75" hidden="false" customHeight="false" outlineLevel="0" collapsed="false">
      <c r="A328" s="181" t="str">
        <f aca="false">IF(ISBLANK(B328),"",B328&amp;"|"&amp;C328)</f>
        <v/>
      </c>
      <c r="B328" s="181"/>
      <c r="C328" s="181"/>
      <c r="D328" s="181"/>
      <c r="E328" s="186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  <c r="AA328" s="181"/>
    </row>
    <row r="329" customFormat="false" ht="15.75" hidden="false" customHeight="false" outlineLevel="0" collapsed="false">
      <c r="A329" s="181" t="str">
        <f aca="false">IF(ISBLANK(B329),"",B329&amp;"|"&amp;C329)</f>
        <v/>
      </c>
      <c r="B329" s="181"/>
      <c r="C329" s="181"/>
      <c r="D329" s="181"/>
      <c r="E329" s="186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  <c r="AA329" s="181"/>
    </row>
    <row r="330" customFormat="false" ht="15.75" hidden="false" customHeight="false" outlineLevel="0" collapsed="false">
      <c r="A330" s="181" t="str">
        <f aca="false">IF(ISBLANK(B330),"",B330&amp;"|"&amp;C330)</f>
        <v/>
      </c>
      <c r="B330" s="181"/>
      <c r="C330" s="181"/>
      <c r="D330" s="181"/>
      <c r="E330" s="186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  <c r="AA330" s="181"/>
    </row>
    <row r="331" customFormat="false" ht="15.75" hidden="false" customHeight="false" outlineLevel="0" collapsed="false">
      <c r="A331" s="181" t="str">
        <f aca="false">IF(ISBLANK(B331),"",B331&amp;"|"&amp;C331)</f>
        <v/>
      </c>
      <c r="B331" s="181"/>
      <c r="C331" s="181"/>
      <c r="D331" s="181"/>
      <c r="E331" s="186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  <c r="AA331" s="181"/>
    </row>
    <row r="332" customFormat="false" ht="15.75" hidden="false" customHeight="false" outlineLevel="0" collapsed="false">
      <c r="A332" s="181" t="str">
        <f aca="false">IF(ISBLANK(B332),"",B332&amp;"|"&amp;C332)</f>
        <v/>
      </c>
      <c r="B332" s="181"/>
      <c r="C332" s="181"/>
      <c r="D332" s="181"/>
      <c r="E332" s="186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  <c r="AA332" s="181"/>
    </row>
    <row r="333" customFormat="false" ht="15.75" hidden="false" customHeight="false" outlineLevel="0" collapsed="false">
      <c r="A333" s="181" t="str">
        <f aca="false">IF(ISBLANK(B333),"",B333&amp;"|"&amp;C333)</f>
        <v/>
      </c>
      <c r="B333" s="181"/>
      <c r="C333" s="181"/>
      <c r="D333" s="181"/>
      <c r="E333" s="186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customFormat="false" ht="15.75" hidden="false" customHeight="false" outlineLevel="0" collapsed="false">
      <c r="A334" s="181" t="str">
        <f aca="false">IF(ISBLANK(B334),"",B334&amp;"|"&amp;C334)</f>
        <v/>
      </c>
      <c r="B334" s="181"/>
      <c r="C334" s="181"/>
      <c r="D334" s="181"/>
      <c r="E334" s="186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  <c r="AA334" s="181"/>
    </row>
    <row r="335" customFormat="false" ht="15.75" hidden="false" customHeight="false" outlineLevel="0" collapsed="false">
      <c r="A335" s="181" t="str">
        <f aca="false">IF(ISBLANK(B335),"",B335&amp;"|"&amp;C335)</f>
        <v/>
      </c>
      <c r="B335" s="181"/>
      <c r="C335" s="181"/>
      <c r="D335" s="181"/>
      <c r="E335" s="186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  <c r="AA335" s="181"/>
    </row>
    <row r="336" customFormat="false" ht="15.75" hidden="false" customHeight="false" outlineLevel="0" collapsed="false">
      <c r="A336" s="181" t="str">
        <f aca="false">IF(ISBLANK(B336),"",B336&amp;"|"&amp;C336)</f>
        <v/>
      </c>
      <c r="B336" s="181"/>
      <c r="C336" s="181"/>
      <c r="D336" s="181"/>
      <c r="E336" s="186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  <c r="AA336" s="181"/>
    </row>
    <row r="337" customFormat="false" ht="15.75" hidden="false" customHeight="false" outlineLevel="0" collapsed="false">
      <c r="A337" s="181" t="str">
        <f aca="false">IF(ISBLANK(B337),"",B337&amp;"|"&amp;C337)</f>
        <v/>
      </c>
      <c r="B337" s="181"/>
      <c r="C337" s="181"/>
      <c r="D337" s="181"/>
      <c r="E337" s="186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  <c r="AA337" s="181"/>
    </row>
    <row r="338" customFormat="false" ht="15.75" hidden="false" customHeight="false" outlineLevel="0" collapsed="false">
      <c r="A338" s="181" t="str">
        <f aca="false">IF(ISBLANK(B338),"",B338&amp;"|"&amp;C338)</f>
        <v/>
      </c>
      <c r="B338" s="181"/>
      <c r="C338" s="181"/>
      <c r="D338" s="181"/>
      <c r="E338" s="186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customFormat="false" ht="15.75" hidden="false" customHeight="false" outlineLevel="0" collapsed="false">
      <c r="A339" s="181" t="str">
        <f aca="false">IF(ISBLANK(B339),"",B339&amp;"|"&amp;C339)</f>
        <v/>
      </c>
      <c r="B339" s="181"/>
      <c r="C339" s="181"/>
      <c r="D339" s="181"/>
      <c r="E339" s="186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customFormat="false" ht="15.75" hidden="false" customHeight="false" outlineLevel="0" collapsed="false">
      <c r="A340" s="181" t="str">
        <f aca="false">IF(ISBLANK(B340),"",B340&amp;"|"&amp;C340)</f>
        <v/>
      </c>
      <c r="B340" s="181"/>
      <c r="C340" s="181"/>
      <c r="D340" s="181"/>
      <c r="E340" s="186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  <c r="AA340" s="181"/>
    </row>
    <row r="341" customFormat="false" ht="15.75" hidden="false" customHeight="false" outlineLevel="0" collapsed="false">
      <c r="A341" s="181" t="str">
        <f aca="false">IF(ISBLANK(B341),"",B341&amp;"|"&amp;C341)</f>
        <v/>
      </c>
      <c r="B341" s="181"/>
      <c r="C341" s="181"/>
      <c r="D341" s="181"/>
      <c r="E341" s="186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  <c r="AA341" s="181"/>
    </row>
    <row r="342" customFormat="false" ht="15.75" hidden="false" customHeight="false" outlineLevel="0" collapsed="false">
      <c r="A342" s="181" t="str">
        <f aca="false">IF(ISBLANK(B342),"",B342&amp;"|"&amp;C342)</f>
        <v/>
      </c>
      <c r="B342" s="181"/>
      <c r="C342" s="181"/>
      <c r="D342" s="181"/>
      <c r="E342" s="186"/>
      <c r="F342" s="181"/>
      <c r="G342" s="181"/>
      <c r="H342" s="181"/>
      <c r="I342" s="181"/>
      <c r="J342" s="181"/>
      <c r="K342" s="181"/>
      <c r="L342" s="181"/>
      <c r="M342" s="181"/>
      <c r="N342" s="181"/>
      <c r="O342" s="181"/>
      <c r="P342" s="181"/>
      <c r="Q342" s="181"/>
      <c r="R342" s="181"/>
      <c r="S342" s="181"/>
      <c r="T342" s="181"/>
      <c r="U342" s="181"/>
      <c r="V342" s="181"/>
      <c r="W342" s="181"/>
      <c r="X342" s="181"/>
      <c r="Y342" s="181"/>
      <c r="Z342" s="181"/>
      <c r="AA342" s="181"/>
    </row>
    <row r="343" customFormat="false" ht="15.75" hidden="false" customHeight="false" outlineLevel="0" collapsed="false">
      <c r="A343" s="181" t="str">
        <f aca="false">IF(ISBLANK(B343),"",B343&amp;"|"&amp;C343)</f>
        <v/>
      </c>
      <c r="B343" s="181"/>
      <c r="C343" s="181"/>
      <c r="D343" s="181"/>
      <c r="E343" s="186"/>
      <c r="F343" s="181"/>
      <c r="G343" s="181"/>
      <c r="H343" s="181"/>
      <c r="I343" s="181"/>
      <c r="J343" s="181"/>
      <c r="K343" s="181"/>
      <c r="L343" s="181"/>
      <c r="M343" s="181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customFormat="false" ht="15.75" hidden="false" customHeight="false" outlineLevel="0" collapsed="false">
      <c r="A344" s="181" t="str">
        <f aca="false">IF(ISBLANK(B344),"",B344&amp;"|"&amp;C344)</f>
        <v/>
      </c>
      <c r="B344" s="181"/>
      <c r="C344" s="181"/>
      <c r="D344" s="181"/>
      <c r="E344" s="186"/>
      <c r="F344" s="181"/>
      <c r="G344" s="181"/>
      <c r="H344" s="181"/>
      <c r="I344" s="181"/>
      <c r="J344" s="181"/>
      <c r="K344" s="181"/>
      <c r="L344" s="181"/>
      <c r="M344" s="181"/>
      <c r="N344" s="181"/>
      <c r="O344" s="181"/>
      <c r="P344" s="181"/>
      <c r="Q344" s="181"/>
      <c r="R344" s="181"/>
      <c r="S344" s="181"/>
      <c r="T344" s="181"/>
      <c r="U344" s="181"/>
      <c r="V344" s="181"/>
      <c r="W344" s="181"/>
      <c r="X344" s="181"/>
      <c r="Y344" s="181"/>
      <c r="Z344" s="181"/>
      <c r="AA344" s="181"/>
    </row>
    <row r="345" customFormat="false" ht="15.75" hidden="false" customHeight="false" outlineLevel="0" collapsed="false">
      <c r="A345" s="181" t="str">
        <f aca="false">IF(ISBLANK(B345),"",B345&amp;"|"&amp;C345)</f>
        <v/>
      </c>
      <c r="B345" s="181"/>
      <c r="C345" s="181"/>
      <c r="D345" s="181"/>
      <c r="E345" s="186"/>
      <c r="F345" s="181"/>
      <c r="G345" s="181"/>
      <c r="H345" s="181"/>
      <c r="I345" s="181"/>
      <c r="J345" s="181"/>
      <c r="K345" s="181"/>
      <c r="L345" s="181"/>
      <c r="M345" s="181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customFormat="false" ht="15.75" hidden="false" customHeight="false" outlineLevel="0" collapsed="false">
      <c r="A346" s="181" t="str">
        <f aca="false">IF(ISBLANK(B346),"",B346&amp;"|"&amp;C346)</f>
        <v/>
      </c>
      <c r="B346" s="181"/>
      <c r="C346" s="181"/>
      <c r="D346" s="181"/>
      <c r="E346" s="186"/>
      <c r="F346" s="181"/>
      <c r="G346" s="181"/>
      <c r="H346" s="181"/>
      <c r="I346" s="181"/>
      <c r="J346" s="181"/>
      <c r="K346" s="181"/>
      <c r="L346" s="181"/>
      <c r="M346" s="181"/>
      <c r="N346" s="181"/>
      <c r="O346" s="181"/>
      <c r="P346" s="181"/>
      <c r="Q346" s="181"/>
      <c r="R346" s="181"/>
      <c r="S346" s="181"/>
      <c r="T346" s="181"/>
      <c r="U346" s="181"/>
      <c r="V346" s="181"/>
      <c r="W346" s="181"/>
      <c r="X346" s="181"/>
      <c r="Y346" s="181"/>
      <c r="Z346" s="181"/>
      <c r="AA346" s="181"/>
    </row>
    <row r="347" customFormat="false" ht="15.75" hidden="false" customHeight="false" outlineLevel="0" collapsed="false">
      <c r="A347" s="181" t="str">
        <f aca="false">IF(ISBLANK(B347),"",B347&amp;"|"&amp;C347)</f>
        <v/>
      </c>
      <c r="B347" s="181"/>
      <c r="C347" s="181"/>
      <c r="D347" s="181"/>
      <c r="E347" s="186"/>
      <c r="F347" s="181"/>
      <c r="G347" s="181"/>
      <c r="H347" s="181"/>
      <c r="I347" s="181"/>
      <c r="J347" s="181"/>
      <c r="K347" s="181"/>
      <c r="L347" s="181"/>
      <c r="M347" s="181"/>
      <c r="N347" s="181"/>
      <c r="O347" s="181"/>
      <c r="P347" s="181"/>
      <c r="Q347" s="181"/>
      <c r="R347" s="181"/>
      <c r="S347" s="181"/>
      <c r="T347" s="181"/>
      <c r="U347" s="181"/>
      <c r="V347" s="181"/>
      <c r="W347" s="181"/>
      <c r="X347" s="181"/>
      <c r="Y347" s="181"/>
      <c r="Z347" s="181"/>
      <c r="AA347" s="181"/>
    </row>
    <row r="348" customFormat="false" ht="15.75" hidden="false" customHeight="false" outlineLevel="0" collapsed="false">
      <c r="A348" s="181" t="str">
        <f aca="false">IF(ISBLANK(B348),"",B348&amp;"|"&amp;C348)</f>
        <v/>
      </c>
      <c r="B348" s="181"/>
      <c r="C348" s="181"/>
      <c r="D348" s="181"/>
      <c r="E348" s="186"/>
      <c r="F348" s="181"/>
      <c r="G348" s="181"/>
      <c r="H348" s="181"/>
      <c r="I348" s="181"/>
      <c r="J348" s="181"/>
      <c r="K348" s="181"/>
      <c r="L348" s="181"/>
      <c r="M348" s="181"/>
      <c r="N348" s="181"/>
      <c r="O348" s="181"/>
      <c r="P348" s="181"/>
      <c r="Q348" s="181"/>
      <c r="R348" s="181"/>
      <c r="S348" s="181"/>
      <c r="T348" s="181"/>
      <c r="U348" s="181"/>
      <c r="V348" s="181"/>
      <c r="W348" s="181"/>
      <c r="X348" s="181"/>
      <c r="Y348" s="181"/>
      <c r="Z348" s="181"/>
      <c r="AA348" s="181"/>
    </row>
    <row r="349" customFormat="false" ht="15.75" hidden="false" customHeight="false" outlineLevel="0" collapsed="false">
      <c r="A349" s="181" t="str">
        <f aca="false">IF(ISBLANK(B349),"",B349&amp;"|"&amp;C349)</f>
        <v/>
      </c>
      <c r="B349" s="181"/>
      <c r="C349" s="181"/>
      <c r="D349" s="181"/>
      <c r="E349" s="186"/>
      <c r="F349" s="181"/>
      <c r="G349" s="181"/>
      <c r="H349" s="181"/>
      <c r="I349" s="181"/>
      <c r="J349" s="181"/>
      <c r="K349" s="181"/>
      <c r="L349" s="181"/>
      <c r="M349" s="181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customFormat="false" ht="15.75" hidden="false" customHeight="false" outlineLevel="0" collapsed="false">
      <c r="A350" s="181" t="str">
        <f aca="false">IF(ISBLANK(B350),"",B350&amp;"|"&amp;C350)</f>
        <v/>
      </c>
      <c r="B350" s="181"/>
      <c r="C350" s="181"/>
      <c r="D350" s="181"/>
      <c r="E350" s="186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  <c r="AA350" s="181"/>
    </row>
    <row r="351" customFormat="false" ht="15.75" hidden="false" customHeight="false" outlineLevel="0" collapsed="false">
      <c r="A351" s="181" t="str">
        <f aca="false">IF(ISBLANK(B351),"",B351&amp;"|"&amp;C351)</f>
        <v/>
      </c>
      <c r="B351" s="181"/>
      <c r="C351" s="181"/>
      <c r="D351" s="181"/>
      <c r="E351" s="186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  <c r="AA351" s="181"/>
    </row>
    <row r="352" customFormat="false" ht="15.75" hidden="false" customHeight="false" outlineLevel="0" collapsed="false">
      <c r="A352" s="181" t="str">
        <f aca="false">IF(ISBLANK(B352),"",B352&amp;"|"&amp;C352)</f>
        <v/>
      </c>
      <c r="B352" s="181"/>
      <c r="C352" s="181"/>
      <c r="D352" s="181"/>
      <c r="E352" s="186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customFormat="false" ht="15.75" hidden="false" customHeight="false" outlineLevel="0" collapsed="false">
      <c r="A353" s="181" t="str">
        <f aca="false">IF(ISBLANK(B353),"",B353&amp;"|"&amp;C353)</f>
        <v/>
      </c>
      <c r="B353" s="181"/>
      <c r="C353" s="181"/>
      <c r="D353" s="181"/>
      <c r="E353" s="186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  <c r="AA353" s="181"/>
    </row>
    <row r="354" customFormat="false" ht="15.75" hidden="false" customHeight="false" outlineLevel="0" collapsed="false">
      <c r="A354" s="181" t="str">
        <f aca="false">IF(ISBLANK(B354),"",B354&amp;"|"&amp;C354)</f>
        <v/>
      </c>
      <c r="B354" s="181"/>
      <c r="C354" s="181"/>
      <c r="D354" s="181"/>
      <c r="E354" s="186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customFormat="false" ht="15.75" hidden="false" customHeight="false" outlineLevel="0" collapsed="false">
      <c r="A355" s="181" t="str">
        <f aca="false">IF(ISBLANK(B355),"",B355&amp;"|"&amp;C355)</f>
        <v/>
      </c>
      <c r="B355" s="181"/>
      <c r="C355" s="181"/>
      <c r="D355" s="181"/>
      <c r="E355" s="186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customFormat="false" ht="15.75" hidden="false" customHeight="false" outlineLevel="0" collapsed="false">
      <c r="A356" s="181" t="str">
        <f aca="false">IF(ISBLANK(B356),"",B356&amp;"|"&amp;C356)</f>
        <v/>
      </c>
      <c r="B356" s="181"/>
      <c r="C356" s="181"/>
      <c r="D356" s="181"/>
      <c r="E356" s="186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customFormat="false" ht="15.75" hidden="false" customHeight="false" outlineLevel="0" collapsed="false">
      <c r="A357" s="181" t="str">
        <f aca="false">IF(ISBLANK(B357),"",B357&amp;"|"&amp;C357)</f>
        <v/>
      </c>
      <c r="B357" s="181"/>
      <c r="C357" s="181"/>
      <c r="D357" s="181"/>
      <c r="E357" s="186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  <c r="AA357" s="181"/>
    </row>
    <row r="358" customFormat="false" ht="15.75" hidden="false" customHeight="false" outlineLevel="0" collapsed="false">
      <c r="A358" s="181" t="str">
        <f aca="false">IF(ISBLANK(B358),"",B358&amp;"|"&amp;C358)</f>
        <v/>
      </c>
      <c r="B358" s="181"/>
      <c r="C358" s="181"/>
      <c r="D358" s="181"/>
      <c r="E358" s="186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  <c r="AA358" s="181"/>
    </row>
    <row r="359" customFormat="false" ht="15.75" hidden="false" customHeight="false" outlineLevel="0" collapsed="false">
      <c r="A359" s="181" t="str">
        <f aca="false">IF(ISBLANK(B359),"",B359&amp;"|"&amp;C359)</f>
        <v/>
      </c>
      <c r="B359" s="181"/>
      <c r="C359" s="181"/>
      <c r="D359" s="181"/>
      <c r="E359" s="186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  <c r="AA359" s="181"/>
    </row>
    <row r="360" customFormat="false" ht="15.75" hidden="false" customHeight="false" outlineLevel="0" collapsed="false">
      <c r="A360" s="181" t="str">
        <f aca="false">IF(ISBLANK(B360),"",B360&amp;"|"&amp;C360)</f>
        <v/>
      </c>
      <c r="B360" s="181"/>
      <c r="C360" s="181"/>
      <c r="D360" s="181"/>
      <c r="E360" s="186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  <c r="AA360" s="181"/>
    </row>
    <row r="361" customFormat="false" ht="15.75" hidden="false" customHeight="false" outlineLevel="0" collapsed="false">
      <c r="A361" s="181" t="str">
        <f aca="false">IF(ISBLANK(B361),"",B361&amp;"|"&amp;C361)</f>
        <v/>
      </c>
      <c r="B361" s="181"/>
      <c r="C361" s="181"/>
      <c r="D361" s="181"/>
      <c r="E361" s="186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  <c r="AA361" s="181"/>
    </row>
    <row r="362" customFormat="false" ht="15.75" hidden="false" customHeight="false" outlineLevel="0" collapsed="false">
      <c r="A362" s="181" t="str">
        <f aca="false">IF(ISBLANK(B362),"",B362&amp;"|"&amp;C362)</f>
        <v/>
      </c>
      <c r="B362" s="181"/>
      <c r="C362" s="181"/>
      <c r="D362" s="181"/>
      <c r="E362" s="186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  <c r="AA362" s="181"/>
    </row>
    <row r="363" customFormat="false" ht="15.75" hidden="false" customHeight="false" outlineLevel="0" collapsed="false">
      <c r="A363" s="181" t="str">
        <f aca="false">IF(ISBLANK(B363),"",B363&amp;"|"&amp;C363)</f>
        <v/>
      </c>
      <c r="B363" s="181"/>
      <c r="C363" s="181"/>
      <c r="D363" s="181"/>
      <c r="E363" s="186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  <c r="AA363" s="181"/>
    </row>
    <row r="364" customFormat="false" ht="15.75" hidden="false" customHeight="false" outlineLevel="0" collapsed="false">
      <c r="A364" s="181" t="str">
        <f aca="false">IF(ISBLANK(B364),"",B364&amp;"|"&amp;C364)</f>
        <v/>
      </c>
      <c r="B364" s="181"/>
      <c r="C364" s="181"/>
      <c r="D364" s="181"/>
      <c r="E364" s="186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  <c r="AA364" s="181"/>
    </row>
    <row r="365" customFormat="false" ht="15.75" hidden="false" customHeight="false" outlineLevel="0" collapsed="false">
      <c r="A365" s="181" t="str">
        <f aca="false">IF(ISBLANK(B365),"",B365&amp;"|"&amp;C365)</f>
        <v/>
      </c>
      <c r="B365" s="181"/>
      <c r="C365" s="181"/>
      <c r="D365" s="181"/>
      <c r="E365" s="186"/>
      <c r="F365" s="181"/>
      <c r="G365" s="181"/>
      <c r="H365" s="181"/>
      <c r="I365" s="181"/>
      <c r="J365" s="181"/>
      <c r="K365" s="181"/>
      <c r="L365" s="181"/>
      <c r="M365" s="181"/>
      <c r="N365" s="181"/>
      <c r="O365" s="181"/>
      <c r="P365" s="181"/>
      <c r="Q365" s="181"/>
      <c r="R365" s="181"/>
      <c r="S365" s="181"/>
      <c r="T365" s="181"/>
      <c r="U365" s="181"/>
      <c r="V365" s="181"/>
      <c r="W365" s="181"/>
      <c r="X365" s="181"/>
      <c r="Y365" s="181"/>
      <c r="Z365" s="181"/>
      <c r="AA365" s="181"/>
    </row>
    <row r="366" customFormat="false" ht="15.75" hidden="false" customHeight="false" outlineLevel="0" collapsed="false">
      <c r="A366" s="181" t="str">
        <f aca="false">IF(ISBLANK(B366),"",B366&amp;"|"&amp;C366)</f>
        <v/>
      </c>
      <c r="B366" s="181"/>
      <c r="C366" s="181"/>
      <c r="D366" s="181"/>
      <c r="E366" s="186"/>
      <c r="F366" s="181"/>
      <c r="G366" s="181"/>
      <c r="H366" s="181"/>
      <c r="I366" s="181"/>
      <c r="J366" s="181"/>
      <c r="K366" s="181"/>
      <c r="L366" s="181"/>
      <c r="M366" s="181"/>
      <c r="N366" s="181"/>
      <c r="O366" s="181"/>
      <c r="P366" s="181"/>
      <c r="Q366" s="181"/>
      <c r="R366" s="181"/>
      <c r="S366" s="181"/>
      <c r="T366" s="181"/>
      <c r="U366" s="181"/>
      <c r="V366" s="181"/>
      <c r="W366" s="181"/>
      <c r="X366" s="181"/>
      <c r="Y366" s="181"/>
      <c r="Z366" s="181"/>
      <c r="AA366" s="181"/>
    </row>
    <row r="367" customFormat="false" ht="15.75" hidden="false" customHeight="false" outlineLevel="0" collapsed="false">
      <c r="A367" s="181" t="str">
        <f aca="false">IF(ISBLANK(B367),"",B367&amp;"|"&amp;C367)</f>
        <v/>
      </c>
      <c r="B367" s="181"/>
      <c r="C367" s="181"/>
      <c r="D367" s="181"/>
      <c r="E367" s="186"/>
      <c r="F367" s="181"/>
      <c r="G367" s="181"/>
      <c r="H367" s="181"/>
      <c r="I367" s="181"/>
      <c r="J367" s="181"/>
      <c r="K367" s="181"/>
      <c r="L367" s="181"/>
      <c r="M367" s="181"/>
      <c r="N367" s="181"/>
      <c r="O367" s="181"/>
      <c r="P367" s="181"/>
      <c r="Q367" s="181"/>
      <c r="R367" s="181"/>
      <c r="S367" s="181"/>
      <c r="T367" s="181"/>
      <c r="U367" s="181"/>
      <c r="V367" s="181"/>
      <c r="W367" s="181"/>
      <c r="X367" s="181"/>
      <c r="Y367" s="181"/>
      <c r="Z367" s="181"/>
      <c r="AA367" s="181"/>
    </row>
    <row r="368" customFormat="false" ht="15.75" hidden="false" customHeight="false" outlineLevel="0" collapsed="false">
      <c r="A368" s="181" t="str">
        <f aca="false">IF(ISBLANK(B368),"",B368&amp;"|"&amp;C368)</f>
        <v/>
      </c>
      <c r="B368" s="181"/>
      <c r="C368" s="181"/>
      <c r="D368" s="181"/>
      <c r="E368" s="186"/>
      <c r="F368" s="181"/>
      <c r="G368" s="181"/>
      <c r="H368" s="181"/>
      <c r="I368" s="181"/>
      <c r="J368" s="181"/>
      <c r="K368" s="181"/>
      <c r="L368" s="181"/>
      <c r="M368" s="181"/>
      <c r="N368" s="181"/>
      <c r="O368" s="181"/>
      <c r="P368" s="181"/>
      <c r="Q368" s="181"/>
      <c r="R368" s="181"/>
      <c r="S368" s="181"/>
      <c r="T368" s="181"/>
      <c r="U368" s="181"/>
      <c r="V368" s="181"/>
      <c r="W368" s="181"/>
      <c r="X368" s="181"/>
      <c r="Y368" s="181"/>
      <c r="Z368" s="181"/>
      <c r="AA368" s="181"/>
    </row>
    <row r="369" customFormat="false" ht="15.75" hidden="false" customHeight="false" outlineLevel="0" collapsed="false">
      <c r="A369" s="181" t="str">
        <f aca="false">IF(ISBLANK(B369),"",B369&amp;"|"&amp;C369)</f>
        <v/>
      </c>
      <c r="B369" s="181"/>
      <c r="C369" s="181"/>
      <c r="D369" s="181"/>
      <c r="E369" s="186"/>
      <c r="F369" s="181"/>
      <c r="G369" s="181"/>
      <c r="H369" s="181"/>
      <c r="I369" s="181"/>
      <c r="J369" s="181"/>
      <c r="K369" s="181"/>
      <c r="L369" s="181"/>
      <c r="M369" s="181"/>
      <c r="N369" s="181"/>
      <c r="O369" s="181"/>
      <c r="P369" s="181"/>
      <c r="Q369" s="181"/>
      <c r="R369" s="181"/>
      <c r="S369" s="181"/>
      <c r="T369" s="181"/>
      <c r="U369" s="181"/>
      <c r="V369" s="181"/>
      <c r="W369" s="181"/>
      <c r="X369" s="181"/>
      <c r="Y369" s="181"/>
      <c r="Z369" s="181"/>
      <c r="AA369" s="181"/>
    </row>
    <row r="370" customFormat="false" ht="15.75" hidden="false" customHeight="false" outlineLevel="0" collapsed="false">
      <c r="A370" s="181" t="str">
        <f aca="false">IF(ISBLANK(B370),"",B370&amp;"|"&amp;C370)</f>
        <v/>
      </c>
      <c r="B370" s="181"/>
      <c r="C370" s="181"/>
      <c r="D370" s="181"/>
      <c r="E370" s="186"/>
      <c r="F370" s="181"/>
      <c r="G370" s="181"/>
      <c r="H370" s="181"/>
      <c r="I370" s="181"/>
      <c r="J370" s="181"/>
      <c r="K370" s="181"/>
      <c r="L370" s="181"/>
      <c r="M370" s="181"/>
      <c r="N370" s="181"/>
      <c r="O370" s="181"/>
      <c r="P370" s="181"/>
      <c r="Q370" s="181"/>
      <c r="R370" s="181"/>
      <c r="S370" s="181"/>
      <c r="T370" s="181"/>
      <c r="U370" s="181"/>
      <c r="V370" s="181"/>
      <c r="W370" s="181"/>
      <c r="X370" s="181"/>
      <c r="Y370" s="181"/>
      <c r="Z370" s="181"/>
      <c r="AA370" s="181"/>
    </row>
    <row r="371" customFormat="false" ht="15.75" hidden="false" customHeight="false" outlineLevel="0" collapsed="false">
      <c r="A371" s="181" t="str">
        <f aca="false">IF(ISBLANK(B371),"",B371&amp;"|"&amp;C371)</f>
        <v/>
      </c>
      <c r="B371" s="181"/>
      <c r="C371" s="181"/>
      <c r="D371" s="181"/>
      <c r="E371" s="186"/>
      <c r="F371" s="181"/>
      <c r="G371" s="181"/>
      <c r="H371" s="181"/>
      <c r="I371" s="181"/>
      <c r="J371" s="181"/>
      <c r="K371" s="181"/>
      <c r="L371" s="181"/>
      <c r="M371" s="181"/>
      <c r="N371" s="181"/>
      <c r="O371" s="181"/>
      <c r="P371" s="181"/>
      <c r="Q371" s="181"/>
      <c r="R371" s="181"/>
      <c r="S371" s="181"/>
      <c r="T371" s="181"/>
      <c r="U371" s="181"/>
      <c r="V371" s="181"/>
      <c r="W371" s="181"/>
      <c r="X371" s="181"/>
      <c r="Y371" s="181"/>
      <c r="Z371" s="181"/>
      <c r="AA371" s="181"/>
    </row>
    <row r="372" customFormat="false" ht="15.75" hidden="false" customHeight="false" outlineLevel="0" collapsed="false">
      <c r="A372" s="181" t="str">
        <f aca="false">IF(ISBLANK(B372),"",B372&amp;"|"&amp;C372)</f>
        <v/>
      </c>
      <c r="B372" s="181"/>
      <c r="C372" s="181"/>
      <c r="D372" s="181"/>
      <c r="E372" s="186"/>
      <c r="F372" s="181"/>
      <c r="G372" s="181"/>
      <c r="H372" s="181"/>
      <c r="I372" s="181"/>
      <c r="J372" s="181"/>
      <c r="K372" s="181"/>
      <c r="L372" s="181"/>
      <c r="M372" s="181"/>
      <c r="N372" s="181"/>
      <c r="O372" s="181"/>
      <c r="P372" s="181"/>
      <c r="Q372" s="181"/>
      <c r="R372" s="181"/>
      <c r="S372" s="181"/>
      <c r="T372" s="181"/>
      <c r="U372" s="181"/>
      <c r="V372" s="181"/>
      <c r="W372" s="181"/>
      <c r="X372" s="181"/>
      <c r="Y372" s="181"/>
      <c r="Z372" s="181"/>
      <c r="AA372" s="181"/>
    </row>
    <row r="373" customFormat="false" ht="15.75" hidden="false" customHeight="false" outlineLevel="0" collapsed="false">
      <c r="A373" s="181" t="str">
        <f aca="false">IF(ISBLANK(B373),"",B373&amp;"|"&amp;C373)</f>
        <v/>
      </c>
      <c r="B373" s="181"/>
      <c r="C373" s="181"/>
      <c r="D373" s="181"/>
      <c r="E373" s="186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  <c r="AA373" s="181"/>
    </row>
    <row r="374" customFormat="false" ht="15.75" hidden="false" customHeight="false" outlineLevel="0" collapsed="false">
      <c r="A374" s="181" t="str">
        <f aca="false">IF(ISBLANK(B374),"",B374&amp;"|"&amp;C374)</f>
        <v/>
      </c>
      <c r="B374" s="181"/>
      <c r="C374" s="181"/>
      <c r="D374" s="181"/>
      <c r="E374" s="186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  <c r="AA374" s="181"/>
    </row>
    <row r="375" customFormat="false" ht="15.75" hidden="false" customHeight="false" outlineLevel="0" collapsed="false">
      <c r="A375" s="181" t="str">
        <f aca="false">IF(ISBLANK(B375),"",B375&amp;"|"&amp;C375)</f>
        <v/>
      </c>
      <c r="B375" s="181"/>
      <c r="C375" s="181"/>
      <c r="D375" s="181"/>
      <c r="E375" s="186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  <c r="AA375" s="181"/>
    </row>
    <row r="376" customFormat="false" ht="15.75" hidden="false" customHeight="false" outlineLevel="0" collapsed="false">
      <c r="A376" s="181" t="str">
        <f aca="false">IF(ISBLANK(B376),"",B376&amp;"|"&amp;C376)</f>
        <v/>
      </c>
      <c r="B376" s="181"/>
      <c r="C376" s="181"/>
      <c r="D376" s="181"/>
      <c r="E376" s="186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  <c r="AA376" s="181"/>
    </row>
    <row r="377" customFormat="false" ht="15.75" hidden="false" customHeight="false" outlineLevel="0" collapsed="false">
      <c r="A377" s="181" t="str">
        <f aca="false">IF(ISBLANK(B377),"",B377&amp;"|"&amp;C377)</f>
        <v/>
      </c>
      <c r="B377" s="181"/>
      <c r="C377" s="181"/>
      <c r="D377" s="181"/>
      <c r="E377" s="186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  <c r="AA377" s="181"/>
    </row>
    <row r="378" customFormat="false" ht="15.75" hidden="false" customHeight="false" outlineLevel="0" collapsed="false">
      <c r="A378" s="181" t="str">
        <f aca="false">IF(ISBLANK(B378),"",B378&amp;"|"&amp;C378)</f>
        <v/>
      </c>
      <c r="B378" s="181"/>
      <c r="C378" s="181"/>
      <c r="D378" s="181"/>
      <c r="E378" s="186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  <c r="AA378" s="181"/>
    </row>
    <row r="379" customFormat="false" ht="15.75" hidden="false" customHeight="false" outlineLevel="0" collapsed="false">
      <c r="A379" s="181" t="str">
        <f aca="false">IF(ISBLANK(B379),"",B379&amp;"|"&amp;C379)</f>
        <v/>
      </c>
      <c r="B379" s="181"/>
      <c r="C379" s="181"/>
      <c r="D379" s="181"/>
      <c r="E379" s="186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  <c r="AA379" s="181"/>
    </row>
    <row r="380" customFormat="false" ht="15.75" hidden="false" customHeight="false" outlineLevel="0" collapsed="false">
      <c r="A380" s="181" t="str">
        <f aca="false">IF(ISBLANK(B380),"",B380&amp;"|"&amp;C380)</f>
        <v/>
      </c>
      <c r="B380" s="181"/>
      <c r="C380" s="181"/>
      <c r="D380" s="181"/>
      <c r="E380" s="186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  <c r="AA380" s="181"/>
    </row>
    <row r="381" customFormat="false" ht="15.75" hidden="false" customHeight="false" outlineLevel="0" collapsed="false">
      <c r="A381" s="181" t="str">
        <f aca="false">IF(ISBLANK(B381),"",B381&amp;"|"&amp;C381)</f>
        <v/>
      </c>
      <c r="B381" s="181"/>
      <c r="C381" s="181"/>
      <c r="D381" s="181"/>
      <c r="E381" s="186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  <c r="AA381" s="181"/>
    </row>
    <row r="382" customFormat="false" ht="15.75" hidden="false" customHeight="false" outlineLevel="0" collapsed="false">
      <c r="A382" s="181" t="str">
        <f aca="false">IF(ISBLANK(B382),"",B382&amp;"|"&amp;C382)</f>
        <v/>
      </c>
      <c r="B382" s="181"/>
      <c r="C382" s="181"/>
      <c r="D382" s="181"/>
      <c r="E382" s="186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  <c r="AA382" s="181"/>
    </row>
    <row r="383" customFormat="false" ht="15.75" hidden="false" customHeight="false" outlineLevel="0" collapsed="false">
      <c r="A383" s="181" t="str">
        <f aca="false">IF(ISBLANK(B383),"",B383&amp;"|"&amp;C383)</f>
        <v/>
      </c>
      <c r="B383" s="181"/>
      <c r="C383" s="181"/>
      <c r="D383" s="181"/>
      <c r="E383" s="186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  <c r="AA383" s="181"/>
    </row>
    <row r="384" customFormat="false" ht="15.75" hidden="false" customHeight="false" outlineLevel="0" collapsed="false">
      <c r="A384" s="181" t="str">
        <f aca="false">IF(ISBLANK(B384),"",B384&amp;"|"&amp;C384)</f>
        <v/>
      </c>
      <c r="B384" s="181"/>
      <c r="C384" s="181"/>
      <c r="D384" s="181"/>
      <c r="E384" s="186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  <c r="AA384" s="181"/>
    </row>
    <row r="385" customFormat="false" ht="15.75" hidden="false" customHeight="false" outlineLevel="0" collapsed="false">
      <c r="A385" s="181" t="str">
        <f aca="false">IF(ISBLANK(B385),"",B385&amp;"|"&amp;C385)</f>
        <v/>
      </c>
      <c r="B385" s="181"/>
      <c r="C385" s="181"/>
      <c r="D385" s="181"/>
      <c r="E385" s="186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  <c r="AA385" s="181"/>
    </row>
    <row r="386" customFormat="false" ht="15.75" hidden="false" customHeight="false" outlineLevel="0" collapsed="false">
      <c r="A386" s="181" t="str">
        <f aca="false">IF(ISBLANK(B386),"",B386&amp;"|"&amp;C386)</f>
        <v/>
      </c>
      <c r="B386" s="181"/>
      <c r="C386" s="181"/>
      <c r="D386" s="181"/>
      <c r="E386" s="186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  <c r="AA386" s="181"/>
    </row>
    <row r="387" customFormat="false" ht="15.75" hidden="false" customHeight="false" outlineLevel="0" collapsed="false">
      <c r="A387" s="181" t="str">
        <f aca="false">IF(ISBLANK(B387),"",B387&amp;"|"&amp;C387)</f>
        <v/>
      </c>
      <c r="B387" s="181"/>
      <c r="C387" s="181"/>
      <c r="D387" s="181"/>
      <c r="E387" s="186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  <c r="AA387" s="181"/>
    </row>
    <row r="388" customFormat="false" ht="15.75" hidden="false" customHeight="false" outlineLevel="0" collapsed="false">
      <c r="A388" s="181" t="str">
        <f aca="false">IF(ISBLANK(B388),"",B388&amp;"|"&amp;C388)</f>
        <v/>
      </c>
      <c r="B388" s="181"/>
      <c r="C388" s="181"/>
      <c r="D388" s="181"/>
      <c r="E388" s="186"/>
      <c r="F388" s="181"/>
      <c r="G388" s="181"/>
      <c r="H388" s="181"/>
      <c r="I388" s="181"/>
      <c r="J388" s="181"/>
      <c r="K388" s="181"/>
      <c r="L388" s="181"/>
      <c r="M388" s="181"/>
      <c r="N388" s="181"/>
      <c r="O388" s="181"/>
      <c r="P388" s="181"/>
      <c r="Q388" s="181"/>
      <c r="R388" s="181"/>
      <c r="S388" s="181"/>
      <c r="T388" s="181"/>
      <c r="U388" s="181"/>
      <c r="V388" s="181"/>
      <c r="W388" s="181"/>
      <c r="X388" s="181"/>
      <c r="Y388" s="181"/>
      <c r="Z388" s="181"/>
      <c r="AA388" s="181"/>
    </row>
    <row r="389" customFormat="false" ht="15.75" hidden="false" customHeight="false" outlineLevel="0" collapsed="false">
      <c r="A389" s="181" t="str">
        <f aca="false">IF(ISBLANK(B389),"",B389&amp;"|"&amp;C389)</f>
        <v/>
      </c>
      <c r="B389" s="181"/>
      <c r="C389" s="181"/>
      <c r="D389" s="181"/>
      <c r="E389" s="186"/>
      <c r="F389" s="181"/>
      <c r="G389" s="181"/>
      <c r="H389" s="181"/>
      <c r="I389" s="181"/>
      <c r="J389" s="181"/>
      <c r="K389" s="181"/>
      <c r="L389" s="181"/>
      <c r="M389" s="181"/>
      <c r="N389" s="181"/>
      <c r="O389" s="181"/>
      <c r="P389" s="181"/>
      <c r="Q389" s="181"/>
      <c r="R389" s="181"/>
      <c r="S389" s="181"/>
      <c r="T389" s="181"/>
      <c r="U389" s="181"/>
      <c r="V389" s="181"/>
      <c r="W389" s="181"/>
      <c r="X389" s="181"/>
      <c r="Y389" s="181"/>
      <c r="Z389" s="181"/>
      <c r="AA389" s="181"/>
    </row>
    <row r="390" customFormat="false" ht="15.75" hidden="false" customHeight="false" outlineLevel="0" collapsed="false">
      <c r="A390" s="181" t="str">
        <f aca="false">IF(ISBLANK(B390),"",B390&amp;"|"&amp;C390)</f>
        <v/>
      </c>
      <c r="B390" s="181"/>
      <c r="C390" s="181"/>
      <c r="D390" s="181"/>
      <c r="E390" s="186"/>
      <c r="F390" s="181"/>
      <c r="G390" s="181"/>
      <c r="H390" s="181"/>
      <c r="I390" s="181"/>
      <c r="J390" s="181"/>
      <c r="K390" s="181"/>
      <c r="L390" s="181"/>
      <c r="M390" s="181"/>
      <c r="N390" s="181"/>
      <c r="O390" s="181"/>
      <c r="P390" s="181"/>
      <c r="Q390" s="181"/>
      <c r="R390" s="181"/>
      <c r="S390" s="181"/>
      <c r="T390" s="181"/>
      <c r="U390" s="181"/>
      <c r="V390" s="181"/>
      <c r="W390" s="181"/>
      <c r="X390" s="181"/>
      <c r="Y390" s="181"/>
      <c r="Z390" s="181"/>
      <c r="AA390" s="181"/>
    </row>
    <row r="391" customFormat="false" ht="15.75" hidden="false" customHeight="false" outlineLevel="0" collapsed="false">
      <c r="A391" s="181" t="str">
        <f aca="false">IF(ISBLANK(B391),"",B391&amp;"|"&amp;C391)</f>
        <v/>
      </c>
      <c r="B391" s="181"/>
      <c r="C391" s="181"/>
      <c r="D391" s="181"/>
      <c r="E391" s="186"/>
      <c r="F391" s="181"/>
      <c r="G391" s="181"/>
      <c r="H391" s="181"/>
      <c r="I391" s="181"/>
      <c r="J391" s="181"/>
      <c r="K391" s="181"/>
      <c r="L391" s="181"/>
      <c r="M391" s="181"/>
      <c r="N391" s="181"/>
      <c r="O391" s="181"/>
      <c r="P391" s="181"/>
      <c r="Q391" s="181"/>
      <c r="R391" s="181"/>
      <c r="S391" s="181"/>
      <c r="T391" s="181"/>
      <c r="U391" s="181"/>
      <c r="V391" s="181"/>
      <c r="W391" s="181"/>
      <c r="X391" s="181"/>
      <c r="Y391" s="181"/>
      <c r="Z391" s="181"/>
      <c r="AA391" s="181"/>
    </row>
    <row r="392" customFormat="false" ht="15.75" hidden="false" customHeight="false" outlineLevel="0" collapsed="false">
      <c r="A392" s="181" t="str">
        <f aca="false">IF(ISBLANK(B392),"",B392&amp;"|"&amp;C392)</f>
        <v/>
      </c>
      <c r="B392" s="181"/>
      <c r="C392" s="181"/>
      <c r="D392" s="181"/>
      <c r="E392" s="186"/>
      <c r="F392" s="181"/>
      <c r="G392" s="181"/>
      <c r="H392" s="181"/>
      <c r="I392" s="181"/>
      <c r="J392" s="181"/>
      <c r="K392" s="181"/>
      <c r="L392" s="181"/>
      <c r="M392" s="181"/>
      <c r="N392" s="181"/>
      <c r="O392" s="181"/>
      <c r="P392" s="181"/>
      <c r="Q392" s="181"/>
      <c r="R392" s="181"/>
      <c r="S392" s="181"/>
      <c r="T392" s="181"/>
      <c r="U392" s="181"/>
      <c r="V392" s="181"/>
      <c r="W392" s="181"/>
      <c r="X392" s="181"/>
      <c r="Y392" s="181"/>
      <c r="Z392" s="181"/>
      <c r="AA392" s="181"/>
    </row>
    <row r="393" customFormat="false" ht="15.75" hidden="false" customHeight="false" outlineLevel="0" collapsed="false">
      <c r="A393" s="181" t="str">
        <f aca="false">IF(ISBLANK(B393),"",B393&amp;"|"&amp;C393)</f>
        <v/>
      </c>
      <c r="B393" s="181"/>
      <c r="C393" s="181"/>
      <c r="D393" s="181"/>
      <c r="E393" s="186"/>
      <c r="F393" s="181"/>
      <c r="G393" s="181"/>
      <c r="H393" s="181"/>
      <c r="I393" s="181"/>
      <c r="J393" s="181"/>
      <c r="K393" s="181"/>
      <c r="L393" s="181"/>
      <c r="M393" s="181"/>
      <c r="N393" s="181"/>
      <c r="O393" s="181"/>
      <c r="P393" s="181"/>
      <c r="Q393" s="181"/>
      <c r="R393" s="181"/>
      <c r="S393" s="181"/>
      <c r="T393" s="181"/>
      <c r="U393" s="181"/>
      <c r="V393" s="181"/>
      <c r="W393" s="181"/>
      <c r="X393" s="181"/>
      <c r="Y393" s="181"/>
      <c r="Z393" s="181"/>
      <c r="AA393" s="181"/>
    </row>
    <row r="394" customFormat="false" ht="15.75" hidden="false" customHeight="false" outlineLevel="0" collapsed="false">
      <c r="A394" s="181" t="str">
        <f aca="false">IF(ISBLANK(B394),"",B394&amp;"|"&amp;C394)</f>
        <v/>
      </c>
      <c r="B394" s="181"/>
      <c r="C394" s="181"/>
      <c r="D394" s="181"/>
      <c r="E394" s="186"/>
      <c r="F394" s="181"/>
      <c r="G394" s="181"/>
      <c r="H394" s="181"/>
      <c r="I394" s="181"/>
      <c r="J394" s="181"/>
      <c r="K394" s="181"/>
      <c r="L394" s="181"/>
      <c r="M394" s="181"/>
      <c r="N394" s="181"/>
      <c r="O394" s="181"/>
      <c r="P394" s="181"/>
      <c r="Q394" s="181"/>
      <c r="R394" s="181"/>
      <c r="S394" s="181"/>
      <c r="T394" s="181"/>
      <c r="U394" s="181"/>
      <c r="V394" s="181"/>
      <c r="W394" s="181"/>
      <c r="X394" s="181"/>
      <c r="Y394" s="181"/>
      <c r="Z394" s="181"/>
      <c r="AA394" s="181"/>
    </row>
    <row r="395" customFormat="false" ht="15.75" hidden="false" customHeight="false" outlineLevel="0" collapsed="false">
      <c r="A395" s="181" t="str">
        <f aca="false">IF(ISBLANK(B395),"",B395&amp;"|"&amp;C395)</f>
        <v/>
      </c>
      <c r="B395" s="181"/>
      <c r="C395" s="181"/>
      <c r="D395" s="181"/>
      <c r="E395" s="186"/>
      <c r="F395" s="181"/>
      <c r="G395" s="181"/>
      <c r="H395" s="181"/>
      <c r="I395" s="181"/>
      <c r="J395" s="181"/>
      <c r="K395" s="181"/>
      <c r="L395" s="181"/>
      <c r="M395" s="181"/>
      <c r="N395" s="181"/>
      <c r="O395" s="181"/>
      <c r="P395" s="181"/>
      <c r="Q395" s="181"/>
      <c r="R395" s="181"/>
      <c r="S395" s="181"/>
      <c r="T395" s="181"/>
      <c r="U395" s="181"/>
      <c r="V395" s="181"/>
      <c r="W395" s="181"/>
      <c r="X395" s="181"/>
      <c r="Y395" s="181"/>
      <c r="Z395" s="181"/>
      <c r="AA395" s="181"/>
    </row>
    <row r="396" customFormat="false" ht="15.75" hidden="false" customHeight="false" outlineLevel="0" collapsed="false">
      <c r="A396" s="181" t="str">
        <f aca="false">IF(ISBLANK(B396),"",B396&amp;"|"&amp;C396)</f>
        <v/>
      </c>
      <c r="B396" s="181"/>
      <c r="C396" s="181"/>
      <c r="D396" s="181"/>
      <c r="E396" s="186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  <c r="AA396" s="181"/>
    </row>
    <row r="397" customFormat="false" ht="15.75" hidden="false" customHeight="false" outlineLevel="0" collapsed="false">
      <c r="A397" s="181" t="str">
        <f aca="false">IF(ISBLANK(B397),"",B397&amp;"|"&amp;C397)</f>
        <v/>
      </c>
      <c r="B397" s="181"/>
      <c r="C397" s="181"/>
      <c r="D397" s="181"/>
      <c r="E397" s="186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  <c r="AA397" s="181"/>
    </row>
    <row r="398" customFormat="false" ht="15.75" hidden="false" customHeight="false" outlineLevel="0" collapsed="false">
      <c r="A398" s="181" t="str">
        <f aca="false">IF(ISBLANK(B398),"",B398&amp;"|"&amp;C398)</f>
        <v/>
      </c>
      <c r="B398" s="181"/>
      <c r="C398" s="181"/>
      <c r="D398" s="181"/>
      <c r="E398" s="186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  <c r="AA398" s="181"/>
    </row>
    <row r="399" customFormat="false" ht="15.75" hidden="false" customHeight="false" outlineLevel="0" collapsed="false">
      <c r="A399" s="181" t="str">
        <f aca="false">IF(ISBLANK(B399),"",B399&amp;"|"&amp;C399)</f>
        <v/>
      </c>
      <c r="B399" s="181"/>
      <c r="C399" s="181"/>
      <c r="D399" s="181"/>
      <c r="E399" s="186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  <c r="AA399" s="181"/>
    </row>
    <row r="400" customFormat="false" ht="15.75" hidden="false" customHeight="false" outlineLevel="0" collapsed="false">
      <c r="A400" s="181" t="str">
        <f aca="false">IF(ISBLANK(B400),"",B400&amp;"|"&amp;C400)</f>
        <v/>
      </c>
      <c r="B400" s="181"/>
      <c r="C400" s="181"/>
      <c r="D400" s="181"/>
      <c r="E400" s="186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  <c r="AA400" s="181"/>
    </row>
    <row r="401" customFormat="false" ht="15.75" hidden="false" customHeight="false" outlineLevel="0" collapsed="false">
      <c r="A401" s="181" t="str">
        <f aca="false">IF(ISBLANK(B401),"",B401&amp;"|"&amp;C401)</f>
        <v/>
      </c>
      <c r="B401" s="181"/>
      <c r="C401" s="181"/>
      <c r="D401" s="181"/>
      <c r="E401" s="186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  <c r="AA401" s="181"/>
    </row>
    <row r="402" customFormat="false" ht="15.75" hidden="false" customHeight="false" outlineLevel="0" collapsed="false">
      <c r="A402" s="181" t="str">
        <f aca="false">IF(ISBLANK(B402),"",B402&amp;"|"&amp;C402)</f>
        <v/>
      </c>
      <c r="B402" s="181"/>
      <c r="C402" s="181"/>
      <c r="D402" s="181"/>
      <c r="E402" s="186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  <c r="AA402" s="181"/>
    </row>
    <row r="403" customFormat="false" ht="15.75" hidden="false" customHeight="false" outlineLevel="0" collapsed="false">
      <c r="A403" s="181" t="str">
        <f aca="false">IF(ISBLANK(B403),"",B403&amp;"|"&amp;C403)</f>
        <v/>
      </c>
      <c r="B403" s="181"/>
      <c r="C403" s="181"/>
      <c r="D403" s="181"/>
      <c r="E403" s="186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  <c r="AA403" s="181"/>
    </row>
    <row r="404" customFormat="false" ht="15.75" hidden="false" customHeight="false" outlineLevel="0" collapsed="false">
      <c r="A404" s="181" t="str">
        <f aca="false">IF(ISBLANK(B404),"",B404&amp;"|"&amp;C404)</f>
        <v/>
      </c>
      <c r="B404" s="181"/>
      <c r="C404" s="181"/>
      <c r="D404" s="181"/>
      <c r="E404" s="186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  <c r="AA404" s="181"/>
    </row>
    <row r="405" customFormat="false" ht="15.75" hidden="false" customHeight="false" outlineLevel="0" collapsed="false">
      <c r="A405" s="181" t="str">
        <f aca="false">IF(ISBLANK(B405),"",B405&amp;"|"&amp;C405)</f>
        <v/>
      </c>
      <c r="B405" s="181"/>
      <c r="C405" s="181"/>
      <c r="D405" s="181"/>
      <c r="E405" s="186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  <c r="AA405" s="181"/>
    </row>
    <row r="406" customFormat="false" ht="15.75" hidden="false" customHeight="false" outlineLevel="0" collapsed="false">
      <c r="A406" s="181" t="str">
        <f aca="false">IF(ISBLANK(B406),"",B406&amp;"|"&amp;C406)</f>
        <v/>
      </c>
      <c r="B406" s="181"/>
      <c r="C406" s="181"/>
      <c r="D406" s="181"/>
      <c r="E406" s="186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  <c r="AA406" s="181"/>
    </row>
    <row r="407" customFormat="false" ht="15.75" hidden="false" customHeight="false" outlineLevel="0" collapsed="false">
      <c r="A407" s="181" t="str">
        <f aca="false">IF(ISBLANK(B407),"",B407&amp;"|"&amp;C407)</f>
        <v/>
      </c>
      <c r="B407" s="181"/>
      <c r="C407" s="181"/>
      <c r="D407" s="181"/>
      <c r="E407" s="186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  <c r="AA407" s="181"/>
    </row>
    <row r="408" customFormat="false" ht="15.75" hidden="false" customHeight="false" outlineLevel="0" collapsed="false">
      <c r="A408" s="181" t="str">
        <f aca="false">IF(ISBLANK(B408),"",B408&amp;"|"&amp;C408)</f>
        <v/>
      </c>
      <c r="B408" s="181"/>
      <c r="C408" s="181"/>
      <c r="D408" s="181"/>
      <c r="E408" s="186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  <c r="AA408" s="181"/>
    </row>
    <row r="409" customFormat="false" ht="15.75" hidden="false" customHeight="false" outlineLevel="0" collapsed="false">
      <c r="A409" s="181" t="str">
        <f aca="false">IF(ISBLANK(B409),"",B409&amp;"|"&amp;C409)</f>
        <v/>
      </c>
      <c r="B409" s="181"/>
      <c r="C409" s="181"/>
      <c r="D409" s="181"/>
      <c r="E409" s="186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  <c r="AA409" s="181"/>
    </row>
    <row r="410" customFormat="false" ht="15.75" hidden="false" customHeight="false" outlineLevel="0" collapsed="false">
      <c r="A410" s="181" t="str">
        <f aca="false">IF(ISBLANK(B410),"",B410&amp;"|"&amp;C410)</f>
        <v/>
      </c>
      <c r="B410" s="181"/>
      <c r="C410" s="181"/>
      <c r="D410" s="181"/>
      <c r="E410" s="186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  <c r="AA410" s="181"/>
    </row>
    <row r="411" customFormat="false" ht="15.75" hidden="false" customHeight="false" outlineLevel="0" collapsed="false">
      <c r="A411" s="181" t="str">
        <f aca="false">IF(ISBLANK(B411),"",B411&amp;"|"&amp;C411)</f>
        <v/>
      </c>
      <c r="B411" s="181"/>
      <c r="C411" s="181"/>
      <c r="D411" s="181"/>
      <c r="E411" s="186"/>
      <c r="F411" s="181"/>
      <c r="G411" s="181"/>
      <c r="H411" s="181"/>
      <c r="I411" s="181"/>
      <c r="J411" s="181"/>
      <c r="K411" s="181"/>
      <c r="L411" s="181"/>
      <c r="M411" s="181"/>
      <c r="N411" s="181"/>
      <c r="O411" s="181"/>
      <c r="P411" s="181"/>
      <c r="Q411" s="181"/>
      <c r="R411" s="181"/>
      <c r="S411" s="181"/>
      <c r="T411" s="181"/>
      <c r="U411" s="181"/>
      <c r="V411" s="181"/>
      <c r="W411" s="181"/>
      <c r="X411" s="181"/>
      <c r="Y411" s="181"/>
      <c r="Z411" s="181"/>
      <c r="AA411" s="181"/>
    </row>
    <row r="412" customFormat="false" ht="15.75" hidden="false" customHeight="false" outlineLevel="0" collapsed="false">
      <c r="A412" s="181" t="str">
        <f aca="false">IF(ISBLANK(B412),"",B412&amp;"|"&amp;C412)</f>
        <v/>
      </c>
      <c r="B412" s="181"/>
      <c r="C412" s="181"/>
      <c r="D412" s="181"/>
      <c r="E412" s="186"/>
      <c r="F412" s="181"/>
      <c r="G412" s="181"/>
      <c r="H412" s="181"/>
      <c r="I412" s="181"/>
      <c r="J412" s="181"/>
      <c r="K412" s="181"/>
      <c r="L412" s="181"/>
      <c r="M412" s="181"/>
      <c r="N412" s="181"/>
      <c r="O412" s="181"/>
      <c r="P412" s="181"/>
      <c r="Q412" s="181"/>
      <c r="R412" s="181"/>
      <c r="S412" s="181"/>
      <c r="T412" s="181"/>
      <c r="U412" s="181"/>
      <c r="V412" s="181"/>
      <c r="W412" s="181"/>
      <c r="X412" s="181"/>
      <c r="Y412" s="181"/>
      <c r="Z412" s="181"/>
      <c r="AA412" s="181"/>
    </row>
    <row r="413" customFormat="false" ht="15.75" hidden="false" customHeight="false" outlineLevel="0" collapsed="false">
      <c r="A413" s="181" t="str">
        <f aca="false">IF(ISBLANK(B413),"",B413&amp;"|"&amp;C413)</f>
        <v/>
      </c>
      <c r="B413" s="181"/>
      <c r="C413" s="181"/>
      <c r="D413" s="181"/>
      <c r="E413" s="186"/>
      <c r="F413" s="181"/>
      <c r="G413" s="181"/>
      <c r="H413" s="181"/>
      <c r="I413" s="181"/>
      <c r="J413" s="181"/>
      <c r="K413" s="181"/>
      <c r="L413" s="181"/>
      <c r="M413" s="181"/>
      <c r="N413" s="181"/>
      <c r="O413" s="181"/>
      <c r="P413" s="181"/>
      <c r="Q413" s="181"/>
      <c r="R413" s="181"/>
      <c r="S413" s="181"/>
      <c r="T413" s="181"/>
      <c r="U413" s="181"/>
      <c r="V413" s="181"/>
      <c r="W413" s="181"/>
      <c r="X413" s="181"/>
      <c r="Y413" s="181"/>
      <c r="Z413" s="181"/>
      <c r="AA413" s="181"/>
    </row>
    <row r="414" customFormat="false" ht="15.75" hidden="false" customHeight="false" outlineLevel="0" collapsed="false">
      <c r="A414" s="181" t="str">
        <f aca="false">IF(ISBLANK(B414),"",B414&amp;"|"&amp;C414)</f>
        <v/>
      </c>
      <c r="B414" s="181"/>
      <c r="C414" s="181"/>
      <c r="D414" s="181"/>
      <c r="E414" s="186"/>
      <c r="F414" s="181"/>
      <c r="G414" s="181"/>
      <c r="H414" s="181"/>
      <c r="I414" s="181"/>
      <c r="J414" s="181"/>
      <c r="K414" s="181"/>
      <c r="L414" s="181"/>
      <c r="M414" s="181"/>
      <c r="N414" s="181"/>
      <c r="O414" s="181"/>
      <c r="P414" s="181"/>
      <c r="Q414" s="181"/>
      <c r="R414" s="181"/>
      <c r="S414" s="181"/>
      <c r="T414" s="181"/>
      <c r="U414" s="181"/>
      <c r="V414" s="181"/>
      <c r="W414" s="181"/>
      <c r="X414" s="181"/>
      <c r="Y414" s="181"/>
      <c r="Z414" s="181"/>
      <c r="AA414" s="181"/>
    </row>
    <row r="415" customFormat="false" ht="15.75" hidden="false" customHeight="false" outlineLevel="0" collapsed="false">
      <c r="A415" s="181" t="str">
        <f aca="false">IF(ISBLANK(B415),"",B415&amp;"|"&amp;C415)</f>
        <v/>
      </c>
      <c r="B415" s="181"/>
      <c r="C415" s="181"/>
      <c r="D415" s="181"/>
      <c r="E415" s="186"/>
      <c r="F415" s="181"/>
      <c r="G415" s="181"/>
      <c r="H415" s="181"/>
      <c r="I415" s="181"/>
      <c r="J415" s="181"/>
      <c r="K415" s="181"/>
      <c r="L415" s="181"/>
      <c r="M415" s="181"/>
      <c r="N415" s="181"/>
      <c r="O415" s="181"/>
      <c r="P415" s="181"/>
      <c r="Q415" s="181"/>
      <c r="R415" s="181"/>
      <c r="S415" s="181"/>
      <c r="T415" s="181"/>
      <c r="U415" s="181"/>
      <c r="V415" s="181"/>
      <c r="W415" s="181"/>
      <c r="X415" s="181"/>
      <c r="Y415" s="181"/>
      <c r="Z415" s="181"/>
      <c r="AA415" s="181"/>
    </row>
    <row r="416" customFormat="false" ht="15.75" hidden="false" customHeight="false" outlineLevel="0" collapsed="false">
      <c r="A416" s="181" t="str">
        <f aca="false">IF(ISBLANK(B416),"",B416&amp;"|"&amp;C416)</f>
        <v/>
      </c>
      <c r="B416" s="181"/>
      <c r="C416" s="181"/>
      <c r="D416" s="181"/>
      <c r="E416" s="186"/>
      <c r="F416" s="181"/>
      <c r="G416" s="181"/>
      <c r="H416" s="181"/>
      <c r="I416" s="181"/>
      <c r="J416" s="181"/>
      <c r="K416" s="181"/>
      <c r="L416" s="181"/>
      <c r="M416" s="181"/>
      <c r="N416" s="181"/>
      <c r="O416" s="181"/>
      <c r="P416" s="181"/>
      <c r="Q416" s="181"/>
      <c r="R416" s="181"/>
      <c r="S416" s="181"/>
      <c r="T416" s="181"/>
      <c r="U416" s="181"/>
      <c r="V416" s="181"/>
      <c r="W416" s="181"/>
      <c r="X416" s="181"/>
      <c r="Y416" s="181"/>
      <c r="Z416" s="181"/>
      <c r="AA416" s="181"/>
    </row>
    <row r="417" customFormat="false" ht="15.75" hidden="false" customHeight="false" outlineLevel="0" collapsed="false">
      <c r="A417" s="181" t="str">
        <f aca="false">IF(ISBLANK(B417),"",B417&amp;"|"&amp;C417)</f>
        <v/>
      </c>
      <c r="B417" s="181"/>
      <c r="C417" s="181"/>
      <c r="D417" s="181"/>
      <c r="E417" s="186"/>
      <c r="F417" s="181"/>
      <c r="G417" s="181"/>
      <c r="H417" s="181"/>
      <c r="I417" s="181"/>
      <c r="J417" s="181"/>
      <c r="K417" s="181"/>
      <c r="L417" s="181"/>
      <c r="M417" s="181"/>
      <c r="N417" s="181"/>
      <c r="O417" s="181"/>
      <c r="P417" s="181"/>
      <c r="Q417" s="181"/>
      <c r="R417" s="181"/>
      <c r="S417" s="181"/>
      <c r="T417" s="181"/>
      <c r="U417" s="181"/>
      <c r="V417" s="181"/>
      <c r="W417" s="181"/>
      <c r="X417" s="181"/>
      <c r="Y417" s="181"/>
      <c r="Z417" s="181"/>
      <c r="AA417" s="181"/>
    </row>
    <row r="418" customFormat="false" ht="15.75" hidden="false" customHeight="false" outlineLevel="0" collapsed="false">
      <c r="A418" s="181" t="str">
        <f aca="false">IF(ISBLANK(B418),"",B418&amp;"|"&amp;C418)</f>
        <v/>
      </c>
      <c r="B418" s="181"/>
      <c r="C418" s="181"/>
      <c r="D418" s="181"/>
      <c r="E418" s="186"/>
      <c r="F418" s="181"/>
      <c r="G418" s="181"/>
      <c r="H418" s="181"/>
      <c r="I418" s="181"/>
      <c r="J418" s="181"/>
      <c r="K418" s="181"/>
      <c r="L418" s="181"/>
      <c r="M418" s="181"/>
      <c r="N418" s="181"/>
      <c r="O418" s="181"/>
      <c r="P418" s="181"/>
      <c r="Q418" s="181"/>
      <c r="R418" s="181"/>
      <c r="S418" s="181"/>
      <c r="T418" s="181"/>
      <c r="U418" s="181"/>
      <c r="V418" s="181"/>
      <c r="W418" s="181"/>
      <c r="X418" s="181"/>
      <c r="Y418" s="181"/>
      <c r="Z418" s="181"/>
      <c r="AA418" s="181"/>
    </row>
    <row r="419" customFormat="false" ht="15.75" hidden="false" customHeight="false" outlineLevel="0" collapsed="false">
      <c r="A419" s="181" t="str">
        <f aca="false">IF(ISBLANK(B419),"",B419&amp;"|"&amp;C419)</f>
        <v/>
      </c>
      <c r="B419" s="181"/>
      <c r="C419" s="181"/>
      <c r="D419" s="181"/>
      <c r="E419" s="186"/>
      <c r="F419" s="181"/>
      <c r="G419" s="181"/>
      <c r="H419" s="181"/>
      <c r="I419" s="181"/>
      <c r="J419" s="181"/>
      <c r="K419" s="181"/>
      <c r="L419" s="181"/>
      <c r="M419" s="181"/>
      <c r="N419" s="181"/>
      <c r="O419" s="181"/>
      <c r="P419" s="181"/>
      <c r="Q419" s="181"/>
      <c r="R419" s="181"/>
      <c r="S419" s="181"/>
      <c r="T419" s="181"/>
      <c r="U419" s="181"/>
      <c r="V419" s="181"/>
      <c r="W419" s="181"/>
      <c r="X419" s="181"/>
      <c r="Y419" s="181"/>
      <c r="Z419" s="181"/>
      <c r="AA419" s="181"/>
    </row>
    <row r="420" customFormat="false" ht="15.75" hidden="false" customHeight="false" outlineLevel="0" collapsed="false">
      <c r="A420" s="181" t="str">
        <f aca="false">IF(ISBLANK(B420),"",B420&amp;"|"&amp;C420)</f>
        <v/>
      </c>
      <c r="B420" s="181"/>
      <c r="C420" s="181"/>
      <c r="D420" s="181"/>
      <c r="E420" s="186"/>
      <c r="F420" s="181"/>
      <c r="G420" s="181"/>
      <c r="H420" s="181"/>
      <c r="I420" s="181"/>
      <c r="J420" s="181"/>
      <c r="K420" s="181"/>
      <c r="L420" s="181"/>
      <c r="M420" s="181"/>
      <c r="N420" s="181"/>
      <c r="O420" s="181"/>
      <c r="P420" s="181"/>
      <c r="Q420" s="181"/>
      <c r="R420" s="181"/>
      <c r="S420" s="181"/>
      <c r="T420" s="181"/>
      <c r="U420" s="181"/>
      <c r="V420" s="181"/>
      <c r="W420" s="181"/>
      <c r="X420" s="181"/>
      <c r="Y420" s="181"/>
      <c r="Z420" s="181"/>
      <c r="AA420" s="181"/>
    </row>
    <row r="421" customFormat="false" ht="15.75" hidden="false" customHeight="false" outlineLevel="0" collapsed="false">
      <c r="A421" s="181" t="str">
        <f aca="false">IF(ISBLANK(B421),"",B421&amp;"|"&amp;C421)</f>
        <v/>
      </c>
      <c r="B421" s="181"/>
      <c r="C421" s="181"/>
      <c r="D421" s="181"/>
      <c r="E421" s="186"/>
      <c r="F421" s="181"/>
      <c r="G421" s="181"/>
      <c r="H421" s="181"/>
      <c r="I421" s="181"/>
      <c r="J421" s="181"/>
      <c r="K421" s="181"/>
      <c r="L421" s="181"/>
      <c r="M421" s="181"/>
      <c r="N421" s="181"/>
      <c r="O421" s="181"/>
      <c r="P421" s="181"/>
      <c r="Q421" s="181"/>
      <c r="R421" s="181"/>
      <c r="S421" s="181"/>
      <c r="T421" s="181"/>
      <c r="U421" s="181"/>
      <c r="V421" s="181"/>
      <c r="W421" s="181"/>
      <c r="X421" s="181"/>
      <c r="Y421" s="181"/>
      <c r="Z421" s="181"/>
      <c r="AA421" s="181"/>
    </row>
    <row r="422" customFormat="false" ht="15.75" hidden="false" customHeight="false" outlineLevel="0" collapsed="false">
      <c r="A422" s="181" t="str">
        <f aca="false">IF(ISBLANK(B422),"",B422&amp;"|"&amp;C422)</f>
        <v/>
      </c>
      <c r="B422" s="181"/>
      <c r="C422" s="181"/>
      <c r="D422" s="181"/>
      <c r="E422" s="186"/>
      <c r="F422" s="181"/>
      <c r="G422" s="181"/>
      <c r="H422" s="181"/>
      <c r="I422" s="181"/>
      <c r="J422" s="181"/>
      <c r="K422" s="181"/>
      <c r="L422" s="181"/>
      <c r="M422" s="181"/>
      <c r="N422" s="181"/>
      <c r="O422" s="181"/>
      <c r="P422" s="181"/>
      <c r="Q422" s="181"/>
      <c r="R422" s="181"/>
      <c r="S422" s="181"/>
      <c r="T422" s="181"/>
      <c r="U422" s="181"/>
      <c r="V422" s="181"/>
      <c r="W422" s="181"/>
      <c r="X422" s="181"/>
      <c r="Y422" s="181"/>
      <c r="Z422" s="181"/>
      <c r="AA422" s="181"/>
    </row>
    <row r="423" customFormat="false" ht="15.75" hidden="false" customHeight="false" outlineLevel="0" collapsed="false">
      <c r="A423" s="181" t="str">
        <f aca="false">IF(ISBLANK(B423),"",B423&amp;"|"&amp;C423)</f>
        <v/>
      </c>
      <c r="B423" s="181"/>
      <c r="C423" s="181"/>
      <c r="D423" s="181"/>
      <c r="E423" s="186"/>
      <c r="F423" s="181"/>
      <c r="G423" s="181"/>
      <c r="H423" s="181"/>
      <c r="I423" s="181"/>
      <c r="J423" s="181"/>
      <c r="K423" s="181"/>
      <c r="L423" s="181"/>
      <c r="M423" s="181"/>
      <c r="N423" s="181"/>
      <c r="O423" s="181"/>
      <c r="P423" s="181"/>
      <c r="Q423" s="181"/>
      <c r="R423" s="181"/>
      <c r="S423" s="181"/>
      <c r="T423" s="181"/>
      <c r="U423" s="181"/>
      <c r="V423" s="181"/>
      <c r="W423" s="181"/>
      <c r="X423" s="181"/>
      <c r="Y423" s="181"/>
      <c r="Z423" s="181"/>
      <c r="AA423" s="181"/>
    </row>
    <row r="424" customFormat="false" ht="15.75" hidden="false" customHeight="false" outlineLevel="0" collapsed="false">
      <c r="A424" s="181" t="str">
        <f aca="false">IF(ISBLANK(B424),"",B424&amp;"|"&amp;C424)</f>
        <v/>
      </c>
      <c r="B424" s="181"/>
      <c r="C424" s="181"/>
      <c r="D424" s="181"/>
      <c r="E424" s="186"/>
      <c r="F424" s="181"/>
      <c r="G424" s="181"/>
      <c r="H424" s="181"/>
      <c r="I424" s="181"/>
      <c r="J424" s="181"/>
      <c r="K424" s="181"/>
      <c r="L424" s="181"/>
      <c r="M424" s="181"/>
      <c r="N424" s="181"/>
      <c r="O424" s="181"/>
      <c r="P424" s="181"/>
      <c r="Q424" s="181"/>
      <c r="R424" s="181"/>
      <c r="S424" s="181"/>
      <c r="T424" s="181"/>
      <c r="U424" s="181"/>
      <c r="V424" s="181"/>
      <c r="W424" s="181"/>
      <c r="X424" s="181"/>
      <c r="Y424" s="181"/>
      <c r="Z424" s="181"/>
      <c r="AA424" s="181"/>
    </row>
    <row r="425" customFormat="false" ht="15.75" hidden="false" customHeight="false" outlineLevel="0" collapsed="false">
      <c r="A425" s="181" t="str">
        <f aca="false">IF(ISBLANK(B425),"",B425&amp;"|"&amp;C425)</f>
        <v/>
      </c>
      <c r="B425" s="181"/>
      <c r="C425" s="181"/>
      <c r="D425" s="181"/>
      <c r="E425" s="186"/>
      <c r="F425" s="181"/>
      <c r="G425" s="181"/>
      <c r="H425" s="181"/>
      <c r="I425" s="181"/>
      <c r="J425" s="181"/>
      <c r="K425" s="181"/>
      <c r="L425" s="181"/>
      <c r="M425" s="181"/>
      <c r="N425" s="181"/>
      <c r="O425" s="181"/>
      <c r="P425" s="181"/>
      <c r="Q425" s="181"/>
      <c r="R425" s="181"/>
      <c r="S425" s="181"/>
      <c r="T425" s="181"/>
      <c r="U425" s="181"/>
      <c r="V425" s="181"/>
      <c r="W425" s="181"/>
      <c r="X425" s="181"/>
      <c r="Y425" s="181"/>
      <c r="Z425" s="181"/>
      <c r="AA425" s="181"/>
    </row>
    <row r="426" customFormat="false" ht="15.75" hidden="false" customHeight="false" outlineLevel="0" collapsed="false">
      <c r="A426" s="181" t="str">
        <f aca="false">IF(ISBLANK(B426),"",B426&amp;"|"&amp;C426)</f>
        <v/>
      </c>
      <c r="B426" s="181"/>
      <c r="C426" s="181"/>
      <c r="D426" s="181"/>
      <c r="E426" s="186"/>
      <c r="F426" s="181"/>
      <c r="G426" s="181"/>
      <c r="H426" s="181"/>
      <c r="I426" s="181"/>
      <c r="J426" s="181"/>
      <c r="K426" s="181"/>
      <c r="L426" s="181"/>
      <c r="M426" s="181"/>
      <c r="N426" s="181"/>
      <c r="O426" s="181"/>
      <c r="P426" s="181"/>
      <c r="Q426" s="181"/>
      <c r="R426" s="181"/>
      <c r="S426" s="181"/>
      <c r="T426" s="181"/>
      <c r="U426" s="181"/>
      <c r="V426" s="181"/>
      <c r="W426" s="181"/>
      <c r="X426" s="181"/>
      <c r="Y426" s="181"/>
      <c r="Z426" s="181"/>
      <c r="AA426" s="181"/>
    </row>
    <row r="427" customFormat="false" ht="15.75" hidden="false" customHeight="false" outlineLevel="0" collapsed="false">
      <c r="A427" s="181" t="str">
        <f aca="false">IF(ISBLANK(B427),"",B427&amp;"|"&amp;C427)</f>
        <v/>
      </c>
      <c r="B427" s="181"/>
      <c r="C427" s="181"/>
      <c r="D427" s="181"/>
      <c r="E427" s="186"/>
      <c r="F427" s="181"/>
      <c r="G427" s="181"/>
      <c r="H427" s="181"/>
      <c r="I427" s="181"/>
      <c r="J427" s="181"/>
      <c r="K427" s="181"/>
      <c r="L427" s="181"/>
      <c r="M427" s="181"/>
      <c r="N427" s="181"/>
      <c r="O427" s="181"/>
      <c r="P427" s="181"/>
      <c r="Q427" s="181"/>
      <c r="R427" s="181"/>
      <c r="S427" s="181"/>
      <c r="T427" s="181"/>
      <c r="U427" s="181"/>
      <c r="V427" s="181"/>
      <c r="W427" s="181"/>
      <c r="X427" s="181"/>
      <c r="Y427" s="181"/>
      <c r="Z427" s="181"/>
      <c r="AA427" s="181"/>
    </row>
    <row r="428" customFormat="false" ht="15.75" hidden="false" customHeight="false" outlineLevel="0" collapsed="false">
      <c r="A428" s="181" t="str">
        <f aca="false">IF(ISBLANK(B428),"",B428&amp;"|"&amp;C428)</f>
        <v/>
      </c>
      <c r="B428" s="181"/>
      <c r="C428" s="181"/>
      <c r="D428" s="181"/>
      <c r="E428" s="186"/>
      <c r="F428" s="181"/>
      <c r="G428" s="181"/>
      <c r="H428" s="181"/>
      <c r="I428" s="181"/>
      <c r="J428" s="181"/>
      <c r="K428" s="181"/>
      <c r="L428" s="181"/>
      <c r="M428" s="181"/>
      <c r="N428" s="181"/>
      <c r="O428" s="181"/>
      <c r="P428" s="181"/>
      <c r="Q428" s="181"/>
      <c r="R428" s="181"/>
      <c r="S428" s="181"/>
      <c r="T428" s="181"/>
      <c r="U428" s="181"/>
      <c r="V428" s="181"/>
      <c r="W428" s="181"/>
      <c r="X428" s="181"/>
      <c r="Y428" s="181"/>
      <c r="Z428" s="181"/>
      <c r="AA428" s="181"/>
    </row>
    <row r="429" customFormat="false" ht="15.75" hidden="false" customHeight="false" outlineLevel="0" collapsed="false">
      <c r="A429" s="181" t="str">
        <f aca="false">IF(ISBLANK(B429),"",B429&amp;"|"&amp;C429)</f>
        <v/>
      </c>
      <c r="B429" s="181"/>
      <c r="C429" s="181"/>
      <c r="D429" s="181"/>
      <c r="E429" s="186"/>
      <c r="F429" s="181"/>
      <c r="G429" s="181"/>
      <c r="H429" s="181"/>
      <c r="I429" s="181"/>
      <c r="J429" s="181"/>
      <c r="K429" s="181"/>
      <c r="L429" s="181"/>
      <c r="M429" s="181"/>
      <c r="N429" s="181"/>
      <c r="O429" s="181"/>
      <c r="P429" s="181"/>
      <c r="Q429" s="181"/>
      <c r="R429" s="181"/>
      <c r="S429" s="181"/>
      <c r="T429" s="181"/>
      <c r="U429" s="181"/>
      <c r="V429" s="181"/>
      <c r="W429" s="181"/>
      <c r="X429" s="181"/>
      <c r="Y429" s="181"/>
      <c r="Z429" s="181"/>
      <c r="AA429" s="181"/>
    </row>
    <row r="430" customFormat="false" ht="15.75" hidden="false" customHeight="false" outlineLevel="0" collapsed="false">
      <c r="A430" s="181" t="str">
        <f aca="false">IF(ISBLANK(B430),"",B430&amp;"|"&amp;C430)</f>
        <v/>
      </c>
      <c r="B430" s="181"/>
      <c r="C430" s="181"/>
      <c r="D430" s="181"/>
      <c r="E430" s="186"/>
      <c r="F430" s="181"/>
      <c r="G430" s="181"/>
      <c r="H430" s="181"/>
      <c r="I430" s="181"/>
      <c r="J430" s="181"/>
      <c r="K430" s="181"/>
      <c r="L430" s="181"/>
      <c r="M430" s="181"/>
      <c r="N430" s="181"/>
      <c r="O430" s="181"/>
      <c r="P430" s="181"/>
      <c r="Q430" s="181"/>
      <c r="R430" s="181"/>
      <c r="S430" s="181"/>
      <c r="T430" s="181"/>
      <c r="U430" s="181"/>
      <c r="V430" s="181"/>
      <c r="W430" s="181"/>
      <c r="X430" s="181"/>
      <c r="Y430" s="181"/>
      <c r="Z430" s="181"/>
      <c r="AA430" s="181"/>
    </row>
    <row r="431" customFormat="false" ht="15.75" hidden="false" customHeight="false" outlineLevel="0" collapsed="false">
      <c r="A431" s="181" t="str">
        <f aca="false">IF(ISBLANK(B431),"",B431&amp;"|"&amp;C431)</f>
        <v/>
      </c>
      <c r="B431" s="181"/>
      <c r="C431" s="181"/>
      <c r="D431" s="181"/>
      <c r="E431" s="186"/>
      <c r="F431" s="181"/>
      <c r="G431" s="181"/>
      <c r="H431" s="181"/>
      <c r="I431" s="181"/>
      <c r="J431" s="181"/>
      <c r="K431" s="181"/>
      <c r="L431" s="181"/>
      <c r="M431" s="181"/>
      <c r="N431" s="181"/>
      <c r="O431" s="181"/>
      <c r="P431" s="181"/>
      <c r="Q431" s="181"/>
      <c r="R431" s="181"/>
      <c r="S431" s="181"/>
      <c r="T431" s="181"/>
      <c r="U431" s="181"/>
      <c r="V431" s="181"/>
      <c r="W431" s="181"/>
      <c r="X431" s="181"/>
      <c r="Y431" s="181"/>
      <c r="Z431" s="181"/>
      <c r="AA431" s="181"/>
    </row>
    <row r="432" customFormat="false" ht="15.75" hidden="false" customHeight="false" outlineLevel="0" collapsed="false">
      <c r="A432" s="181" t="str">
        <f aca="false">IF(ISBLANK(B432),"",B432&amp;"|"&amp;C432)</f>
        <v/>
      </c>
      <c r="B432" s="181"/>
      <c r="C432" s="181"/>
      <c r="D432" s="181"/>
      <c r="E432" s="186"/>
      <c r="F432" s="181"/>
      <c r="G432" s="181"/>
      <c r="H432" s="181"/>
      <c r="I432" s="181"/>
      <c r="J432" s="181"/>
      <c r="K432" s="181"/>
      <c r="L432" s="181"/>
      <c r="M432" s="181"/>
      <c r="N432" s="181"/>
      <c r="O432" s="181"/>
      <c r="P432" s="181"/>
      <c r="Q432" s="181"/>
      <c r="R432" s="181"/>
      <c r="S432" s="181"/>
      <c r="T432" s="181"/>
      <c r="U432" s="181"/>
      <c r="V432" s="181"/>
      <c r="W432" s="181"/>
      <c r="X432" s="181"/>
      <c r="Y432" s="181"/>
      <c r="Z432" s="181"/>
      <c r="AA432" s="181"/>
    </row>
    <row r="433" customFormat="false" ht="15.75" hidden="false" customHeight="false" outlineLevel="0" collapsed="false">
      <c r="A433" s="181" t="str">
        <f aca="false">IF(ISBLANK(B433),"",B433&amp;"|"&amp;C433)</f>
        <v/>
      </c>
      <c r="B433" s="181"/>
      <c r="C433" s="181"/>
      <c r="D433" s="181"/>
      <c r="E433" s="186"/>
      <c r="F433" s="181"/>
      <c r="G433" s="181"/>
      <c r="H433" s="181"/>
      <c r="I433" s="181"/>
      <c r="J433" s="181"/>
      <c r="K433" s="181"/>
      <c r="L433" s="181"/>
      <c r="M433" s="181"/>
      <c r="N433" s="181"/>
      <c r="O433" s="181"/>
      <c r="P433" s="181"/>
      <c r="Q433" s="181"/>
      <c r="R433" s="181"/>
      <c r="S433" s="181"/>
      <c r="T433" s="181"/>
      <c r="U433" s="181"/>
      <c r="V433" s="181"/>
      <c r="W433" s="181"/>
      <c r="X433" s="181"/>
      <c r="Y433" s="181"/>
      <c r="Z433" s="181"/>
      <c r="AA433" s="181"/>
    </row>
    <row r="434" customFormat="false" ht="15.75" hidden="false" customHeight="false" outlineLevel="0" collapsed="false">
      <c r="A434" s="181" t="str">
        <f aca="false">IF(ISBLANK(B434),"",B434&amp;"|"&amp;C434)</f>
        <v/>
      </c>
      <c r="B434" s="181"/>
      <c r="C434" s="181"/>
      <c r="D434" s="181"/>
      <c r="E434" s="186"/>
      <c r="F434" s="181"/>
      <c r="G434" s="181"/>
      <c r="H434" s="181"/>
      <c r="I434" s="181"/>
      <c r="J434" s="181"/>
      <c r="K434" s="181"/>
      <c r="L434" s="181"/>
      <c r="M434" s="181"/>
      <c r="N434" s="181"/>
      <c r="O434" s="181"/>
      <c r="P434" s="181"/>
      <c r="Q434" s="181"/>
      <c r="R434" s="181"/>
      <c r="S434" s="181"/>
      <c r="T434" s="181"/>
      <c r="U434" s="181"/>
      <c r="V434" s="181"/>
      <c r="W434" s="181"/>
      <c r="X434" s="181"/>
      <c r="Y434" s="181"/>
      <c r="Z434" s="181"/>
      <c r="AA434" s="181"/>
    </row>
    <row r="435" customFormat="false" ht="15.75" hidden="false" customHeight="false" outlineLevel="0" collapsed="false">
      <c r="A435" s="181" t="str">
        <f aca="false">IF(ISBLANK(B435),"",B435&amp;"|"&amp;C435)</f>
        <v/>
      </c>
      <c r="B435" s="181"/>
      <c r="C435" s="181"/>
      <c r="D435" s="181"/>
      <c r="E435" s="186"/>
      <c r="F435" s="181"/>
      <c r="G435" s="181"/>
      <c r="H435" s="181"/>
      <c r="I435" s="181"/>
      <c r="J435" s="181"/>
      <c r="K435" s="181"/>
      <c r="L435" s="181"/>
      <c r="M435" s="181"/>
      <c r="N435" s="181"/>
      <c r="O435" s="181"/>
      <c r="P435" s="181"/>
      <c r="Q435" s="181"/>
      <c r="R435" s="181"/>
      <c r="S435" s="181"/>
      <c r="T435" s="181"/>
      <c r="U435" s="181"/>
      <c r="V435" s="181"/>
      <c r="W435" s="181"/>
      <c r="X435" s="181"/>
      <c r="Y435" s="181"/>
      <c r="Z435" s="181"/>
      <c r="AA435" s="181"/>
    </row>
    <row r="436" customFormat="false" ht="15.75" hidden="false" customHeight="false" outlineLevel="0" collapsed="false">
      <c r="A436" s="181" t="str">
        <f aca="false">IF(ISBLANK(B436),"",B436&amp;"|"&amp;C436)</f>
        <v/>
      </c>
      <c r="B436" s="181"/>
      <c r="C436" s="181"/>
      <c r="D436" s="181"/>
      <c r="E436" s="186"/>
      <c r="F436" s="181"/>
      <c r="G436" s="181"/>
      <c r="H436" s="181"/>
      <c r="I436" s="181"/>
      <c r="J436" s="181"/>
      <c r="K436" s="181"/>
      <c r="L436" s="181"/>
      <c r="M436" s="181"/>
      <c r="N436" s="181"/>
      <c r="O436" s="181"/>
      <c r="P436" s="181"/>
      <c r="Q436" s="181"/>
      <c r="R436" s="181"/>
      <c r="S436" s="181"/>
      <c r="T436" s="181"/>
      <c r="U436" s="181"/>
      <c r="V436" s="181"/>
      <c r="W436" s="181"/>
      <c r="X436" s="181"/>
      <c r="Y436" s="181"/>
      <c r="Z436" s="181"/>
      <c r="AA436" s="181"/>
    </row>
    <row r="437" customFormat="false" ht="15.75" hidden="false" customHeight="false" outlineLevel="0" collapsed="false">
      <c r="A437" s="181" t="str">
        <f aca="false">IF(ISBLANK(B437),"",B437&amp;"|"&amp;C437)</f>
        <v/>
      </c>
      <c r="B437" s="181"/>
      <c r="C437" s="181"/>
      <c r="D437" s="181"/>
      <c r="E437" s="186"/>
      <c r="F437" s="181"/>
      <c r="G437" s="181"/>
      <c r="H437" s="181"/>
      <c r="I437" s="181"/>
      <c r="J437" s="181"/>
      <c r="K437" s="181"/>
      <c r="L437" s="181"/>
      <c r="M437" s="181"/>
      <c r="N437" s="181"/>
      <c r="O437" s="181"/>
      <c r="P437" s="181"/>
      <c r="Q437" s="181"/>
      <c r="R437" s="181"/>
      <c r="S437" s="181"/>
      <c r="T437" s="181"/>
      <c r="U437" s="181"/>
      <c r="V437" s="181"/>
      <c r="W437" s="181"/>
      <c r="X437" s="181"/>
      <c r="Y437" s="181"/>
      <c r="Z437" s="181"/>
      <c r="AA437" s="181"/>
    </row>
    <row r="438" customFormat="false" ht="15.75" hidden="false" customHeight="false" outlineLevel="0" collapsed="false">
      <c r="A438" s="181" t="str">
        <f aca="false">IF(ISBLANK(B438),"",B438&amp;"|"&amp;C438)</f>
        <v/>
      </c>
      <c r="B438" s="181"/>
      <c r="C438" s="181"/>
      <c r="D438" s="181"/>
      <c r="E438" s="186"/>
      <c r="F438" s="181"/>
      <c r="G438" s="181"/>
      <c r="H438" s="181"/>
      <c r="I438" s="181"/>
      <c r="J438" s="181"/>
      <c r="K438" s="181"/>
      <c r="L438" s="181"/>
      <c r="M438" s="181"/>
      <c r="N438" s="181"/>
      <c r="O438" s="181"/>
      <c r="P438" s="181"/>
      <c r="Q438" s="181"/>
      <c r="R438" s="181"/>
      <c r="S438" s="181"/>
      <c r="T438" s="181"/>
      <c r="U438" s="181"/>
      <c r="V438" s="181"/>
      <c r="W438" s="181"/>
      <c r="X438" s="181"/>
      <c r="Y438" s="181"/>
      <c r="Z438" s="181"/>
      <c r="AA438" s="181"/>
    </row>
    <row r="439" customFormat="false" ht="15.75" hidden="false" customHeight="false" outlineLevel="0" collapsed="false">
      <c r="A439" s="181" t="str">
        <f aca="false">IF(ISBLANK(B439),"",B439&amp;"|"&amp;C439)</f>
        <v/>
      </c>
      <c r="B439" s="181"/>
      <c r="C439" s="181"/>
      <c r="D439" s="181"/>
      <c r="E439" s="186"/>
      <c r="F439" s="181"/>
      <c r="G439" s="181"/>
      <c r="H439" s="181"/>
      <c r="I439" s="181"/>
      <c r="J439" s="181"/>
      <c r="K439" s="181"/>
      <c r="L439" s="181"/>
      <c r="M439" s="181"/>
      <c r="N439" s="181"/>
      <c r="O439" s="181"/>
      <c r="P439" s="181"/>
      <c r="Q439" s="181"/>
      <c r="R439" s="181"/>
      <c r="S439" s="181"/>
      <c r="T439" s="181"/>
      <c r="U439" s="181"/>
      <c r="V439" s="181"/>
      <c r="W439" s="181"/>
      <c r="X439" s="181"/>
      <c r="Y439" s="181"/>
      <c r="Z439" s="181"/>
      <c r="AA439" s="181"/>
    </row>
    <row r="440" customFormat="false" ht="15.75" hidden="false" customHeight="false" outlineLevel="0" collapsed="false">
      <c r="A440" s="181" t="str">
        <f aca="false">IF(ISBLANK(B440),"",B440&amp;"|"&amp;C440)</f>
        <v/>
      </c>
      <c r="B440" s="181"/>
      <c r="C440" s="181"/>
      <c r="D440" s="181"/>
      <c r="E440" s="186"/>
      <c r="F440" s="181"/>
      <c r="G440" s="181"/>
      <c r="H440" s="181"/>
      <c r="I440" s="181"/>
      <c r="J440" s="181"/>
      <c r="K440" s="181"/>
      <c r="L440" s="181"/>
      <c r="M440" s="181"/>
      <c r="N440" s="181"/>
      <c r="O440" s="181"/>
      <c r="P440" s="181"/>
      <c r="Q440" s="181"/>
      <c r="R440" s="181"/>
      <c r="S440" s="181"/>
      <c r="T440" s="181"/>
      <c r="U440" s="181"/>
      <c r="V440" s="181"/>
      <c r="W440" s="181"/>
      <c r="X440" s="181"/>
      <c r="Y440" s="181"/>
      <c r="Z440" s="181"/>
      <c r="AA440" s="181"/>
    </row>
    <row r="441" customFormat="false" ht="15.75" hidden="false" customHeight="false" outlineLevel="0" collapsed="false">
      <c r="A441" s="181" t="str">
        <f aca="false">IF(ISBLANK(B441),"",B441&amp;"|"&amp;C441)</f>
        <v/>
      </c>
      <c r="B441" s="181"/>
      <c r="C441" s="181"/>
      <c r="D441" s="181"/>
      <c r="E441" s="186"/>
      <c r="F441" s="181"/>
      <c r="G441" s="181"/>
      <c r="H441" s="181"/>
      <c r="I441" s="181"/>
      <c r="J441" s="181"/>
      <c r="K441" s="181"/>
      <c r="L441" s="181"/>
      <c r="M441" s="181"/>
      <c r="N441" s="181"/>
      <c r="O441" s="181"/>
      <c r="P441" s="181"/>
      <c r="Q441" s="181"/>
      <c r="R441" s="181"/>
      <c r="S441" s="181"/>
      <c r="T441" s="181"/>
      <c r="U441" s="181"/>
      <c r="V441" s="181"/>
      <c r="W441" s="181"/>
      <c r="X441" s="181"/>
      <c r="Y441" s="181"/>
      <c r="Z441" s="181"/>
      <c r="AA441" s="181"/>
    </row>
    <row r="442" customFormat="false" ht="15.75" hidden="false" customHeight="false" outlineLevel="0" collapsed="false">
      <c r="A442" s="181" t="str">
        <f aca="false">IF(ISBLANK(B442),"",B442&amp;"|"&amp;C442)</f>
        <v/>
      </c>
      <c r="B442" s="181"/>
      <c r="C442" s="181"/>
      <c r="D442" s="181"/>
      <c r="E442" s="186"/>
      <c r="F442" s="181"/>
      <c r="G442" s="181"/>
      <c r="H442" s="181"/>
      <c r="I442" s="181"/>
      <c r="J442" s="181"/>
      <c r="K442" s="181"/>
      <c r="L442" s="181"/>
      <c r="M442" s="181"/>
      <c r="N442" s="181"/>
      <c r="O442" s="181"/>
      <c r="P442" s="181"/>
      <c r="Q442" s="181"/>
      <c r="R442" s="181"/>
      <c r="S442" s="181"/>
      <c r="T442" s="181"/>
      <c r="U442" s="181"/>
      <c r="V442" s="181"/>
      <c r="W442" s="181"/>
      <c r="X442" s="181"/>
      <c r="Y442" s="181"/>
      <c r="Z442" s="181"/>
      <c r="AA442" s="181"/>
    </row>
    <row r="443" customFormat="false" ht="15.75" hidden="false" customHeight="false" outlineLevel="0" collapsed="false">
      <c r="A443" s="181" t="str">
        <f aca="false">IF(ISBLANK(B443),"",B443&amp;"|"&amp;C443)</f>
        <v/>
      </c>
      <c r="B443" s="181"/>
      <c r="C443" s="181"/>
      <c r="D443" s="181"/>
      <c r="E443" s="186"/>
      <c r="F443" s="181"/>
      <c r="G443" s="181"/>
      <c r="H443" s="181"/>
      <c r="I443" s="181"/>
      <c r="J443" s="181"/>
      <c r="K443" s="181"/>
      <c r="L443" s="181"/>
      <c r="M443" s="181"/>
      <c r="N443" s="181"/>
      <c r="O443" s="181"/>
      <c r="P443" s="181"/>
      <c r="Q443" s="181"/>
      <c r="R443" s="181"/>
      <c r="S443" s="181"/>
      <c r="T443" s="181"/>
      <c r="U443" s="181"/>
      <c r="V443" s="181"/>
      <c r="W443" s="181"/>
      <c r="X443" s="181"/>
      <c r="Y443" s="181"/>
      <c r="Z443" s="181"/>
      <c r="AA443" s="181"/>
    </row>
    <row r="444" customFormat="false" ht="15.75" hidden="false" customHeight="false" outlineLevel="0" collapsed="false">
      <c r="A444" s="181" t="str">
        <f aca="false">IF(ISBLANK(B444),"",B444&amp;"|"&amp;C444)</f>
        <v/>
      </c>
      <c r="B444" s="181"/>
      <c r="C444" s="181"/>
      <c r="D444" s="181"/>
      <c r="E444" s="186"/>
      <c r="F444" s="181"/>
      <c r="G444" s="181"/>
      <c r="H444" s="181"/>
      <c r="I444" s="181"/>
      <c r="J444" s="181"/>
      <c r="K444" s="181"/>
      <c r="L444" s="181"/>
      <c r="M444" s="181"/>
      <c r="N444" s="181"/>
      <c r="O444" s="181"/>
      <c r="P444" s="181"/>
      <c r="Q444" s="181"/>
      <c r="R444" s="181"/>
      <c r="S444" s="181"/>
      <c r="T444" s="181"/>
      <c r="U444" s="181"/>
      <c r="V444" s="181"/>
      <c r="W444" s="181"/>
      <c r="X444" s="181"/>
      <c r="Y444" s="181"/>
      <c r="Z444" s="181"/>
      <c r="AA444" s="181"/>
    </row>
    <row r="445" customFormat="false" ht="15.75" hidden="false" customHeight="false" outlineLevel="0" collapsed="false">
      <c r="A445" s="181" t="str">
        <f aca="false">IF(ISBLANK(B445),"",B445&amp;"|"&amp;C445)</f>
        <v/>
      </c>
      <c r="B445" s="181"/>
      <c r="C445" s="181"/>
      <c r="D445" s="181"/>
      <c r="E445" s="186"/>
      <c r="F445" s="181"/>
      <c r="G445" s="181"/>
      <c r="H445" s="181"/>
      <c r="I445" s="181"/>
      <c r="J445" s="181"/>
      <c r="K445" s="181"/>
      <c r="L445" s="181"/>
      <c r="M445" s="181"/>
      <c r="N445" s="181"/>
      <c r="O445" s="181"/>
      <c r="P445" s="181"/>
      <c r="Q445" s="181"/>
      <c r="R445" s="181"/>
      <c r="S445" s="181"/>
      <c r="T445" s="181"/>
      <c r="U445" s="181"/>
      <c r="V445" s="181"/>
      <c r="W445" s="181"/>
      <c r="X445" s="181"/>
      <c r="Y445" s="181"/>
      <c r="Z445" s="181"/>
      <c r="AA445" s="181"/>
    </row>
    <row r="446" customFormat="false" ht="15.75" hidden="false" customHeight="false" outlineLevel="0" collapsed="false">
      <c r="A446" s="181" t="str">
        <f aca="false">IF(ISBLANK(B446),"",B446&amp;"|"&amp;C446)</f>
        <v/>
      </c>
      <c r="B446" s="181"/>
      <c r="C446" s="181"/>
      <c r="D446" s="181"/>
      <c r="E446" s="186"/>
      <c r="F446" s="181"/>
      <c r="G446" s="181"/>
      <c r="H446" s="181"/>
      <c r="I446" s="181"/>
      <c r="J446" s="181"/>
      <c r="K446" s="181"/>
      <c r="L446" s="181"/>
      <c r="M446" s="181"/>
      <c r="N446" s="181"/>
      <c r="O446" s="181"/>
      <c r="P446" s="181"/>
      <c r="Q446" s="181"/>
      <c r="R446" s="181"/>
      <c r="S446" s="181"/>
      <c r="T446" s="181"/>
      <c r="U446" s="181"/>
      <c r="V446" s="181"/>
      <c r="W446" s="181"/>
      <c r="X446" s="181"/>
      <c r="Y446" s="181"/>
      <c r="Z446" s="181"/>
      <c r="AA446" s="181"/>
    </row>
    <row r="447" customFormat="false" ht="15.75" hidden="false" customHeight="false" outlineLevel="0" collapsed="false">
      <c r="A447" s="181" t="str">
        <f aca="false">IF(ISBLANK(B447),"",B447&amp;"|"&amp;C447)</f>
        <v/>
      </c>
      <c r="B447" s="181"/>
      <c r="C447" s="181"/>
      <c r="D447" s="181"/>
      <c r="E447" s="186"/>
      <c r="F447" s="181"/>
      <c r="G447" s="181"/>
      <c r="H447" s="181"/>
      <c r="I447" s="181"/>
      <c r="J447" s="181"/>
      <c r="K447" s="181"/>
      <c r="L447" s="181"/>
      <c r="M447" s="181"/>
      <c r="N447" s="181"/>
      <c r="O447" s="181"/>
      <c r="P447" s="181"/>
      <c r="Q447" s="181"/>
      <c r="R447" s="181"/>
      <c r="S447" s="181"/>
      <c r="T447" s="181"/>
      <c r="U447" s="181"/>
      <c r="V447" s="181"/>
      <c r="W447" s="181"/>
      <c r="X447" s="181"/>
      <c r="Y447" s="181"/>
      <c r="Z447" s="181"/>
      <c r="AA447" s="181"/>
    </row>
    <row r="448" customFormat="false" ht="15.75" hidden="false" customHeight="false" outlineLevel="0" collapsed="false">
      <c r="A448" s="181" t="str">
        <f aca="false">IF(ISBLANK(B448),"",B448&amp;"|"&amp;C448)</f>
        <v/>
      </c>
      <c r="B448" s="181"/>
      <c r="C448" s="181"/>
      <c r="D448" s="181"/>
      <c r="E448" s="186"/>
      <c r="F448" s="181"/>
      <c r="G448" s="181"/>
      <c r="H448" s="181"/>
      <c r="I448" s="181"/>
      <c r="J448" s="181"/>
      <c r="K448" s="181"/>
      <c r="L448" s="181"/>
      <c r="M448" s="181"/>
      <c r="N448" s="181"/>
      <c r="O448" s="181"/>
      <c r="P448" s="181"/>
      <c r="Q448" s="181"/>
      <c r="R448" s="181"/>
      <c r="S448" s="181"/>
      <c r="T448" s="181"/>
      <c r="U448" s="181"/>
      <c r="V448" s="181"/>
      <c r="W448" s="181"/>
      <c r="X448" s="181"/>
      <c r="Y448" s="181"/>
      <c r="Z448" s="181"/>
      <c r="AA448" s="181"/>
    </row>
    <row r="449" customFormat="false" ht="15.75" hidden="false" customHeight="false" outlineLevel="0" collapsed="false">
      <c r="A449" s="181" t="str">
        <f aca="false">IF(ISBLANK(B449),"",B449&amp;"|"&amp;C449)</f>
        <v/>
      </c>
      <c r="B449" s="181"/>
      <c r="C449" s="181"/>
      <c r="D449" s="181"/>
      <c r="E449" s="186"/>
      <c r="F449" s="181"/>
      <c r="G449" s="181"/>
      <c r="H449" s="181"/>
      <c r="I449" s="181"/>
      <c r="J449" s="181"/>
      <c r="K449" s="181"/>
      <c r="L449" s="181"/>
      <c r="M449" s="181"/>
      <c r="N449" s="181"/>
      <c r="O449" s="181"/>
      <c r="P449" s="181"/>
      <c r="Q449" s="181"/>
      <c r="R449" s="181"/>
      <c r="S449" s="181"/>
      <c r="T449" s="181"/>
      <c r="U449" s="181"/>
      <c r="V449" s="181"/>
      <c r="W449" s="181"/>
      <c r="X449" s="181"/>
      <c r="Y449" s="181"/>
      <c r="Z449" s="181"/>
      <c r="AA449" s="181"/>
    </row>
    <row r="450" customFormat="false" ht="15.75" hidden="false" customHeight="false" outlineLevel="0" collapsed="false">
      <c r="A450" s="181" t="str">
        <f aca="false">IF(ISBLANK(B450),"",B450&amp;"|"&amp;C450)</f>
        <v/>
      </c>
      <c r="B450" s="181"/>
      <c r="C450" s="181"/>
      <c r="D450" s="181"/>
      <c r="E450" s="186"/>
      <c r="F450" s="181"/>
      <c r="G450" s="181"/>
      <c r="H450" s="181"/>
      <c r="I450" s="181"/>
      <c r="J450" s="181"/>
      <c r="K450" s="181"/>
      <c r="L450" s="181"/>
      <c r="M450" s="181"/>
      <c r="N450" s="181"/>
      <c r="O450" s="181"/>
      <c r="P450" s="181"/>
      <c r="Q450" s="181"/>
      <c r="R450" s="181"/>
      <c r="S450" s="181"/>
      <c r="T450" s="181"/>
      <c r="U450" s="181"/>
      <c r="V450" s="181"/>
      <c r="W450" s="181"/>
      <c r="X450" s="181"/>
      <c r="Y450" s="181"/>
      <c r="Z450" s="181"/>
      <c r="AA450" s="181"/>
    </row>
    <row r="451" customFormat="false" ht="15.75" hidden="false" customHeight="false" outlineLevel="0" collapsed="false">
      <c r="A451" s="181" t="str">
        <f aca="false">IF(ISBLANK(B451),"",B451&amp;"|"&amp;C451)</f>
        <v/>
      </c>
      <c r="B451" s="181"/>
      <c r="C451" s="181"/>
      <c r="D451" s="181"/>
      <c r="E451" s="186"/>
      <c r="F451" s="181"/>
      <c r="G451" s="181"/>
      <c r="H451" s="181"/>
      <c r="I451" s="181"/>
      <c r="J451" s="181"/>
      <c r="K451" s="181"/>
      <c r="L451" s="181"/>
      <c r="M451" s="181"/>
      <c r="N451" s="181"/>
      <c r="O451" s="181"/>
      <c r="P451" s="181"/>
      <c r="Q451" s="181"/>
      <c r="R451" s="181"/>
      <c r="S451" s="181"/>
      <c r="T451" s="181"/>
      <c r="U451" s="181"/>
      <c r="V451" s="181"/>
      <c r="W451" s="181"/>
      <c r="X451" s="181"/>
      <c r="Y451" s="181"/>
      <c r="Z451" s="181"/>
      <c r="AA451" s="181"/>
    </row>
    <row r="452" customFormat="false" ht="15.75" hidden="false" customHeight="false" outlineLevel="0" collapsed="false">
      <c r="A452" s="181" t="str">
        <f aca="false">IF(ISBLANK(B452),"",B452&amp;"|"&amp;C452)</f>
        <v/>
      </c>
      <c r="B452" s="181"/>
      <c r="C452" s="181"/>
      <c r="D452" s="181"/>
      <c r="E452" s="186"/>
      <c r="F452" s="181"/>
      <c r="G452" s="181"/>
      <c r="H452" s="181"/>
      <c r="I452" s="181"/>
      <c r="J452" s="181"/>
      <c r="K452" s="181"/>
      <c r="L452" s="181"/>
      <c r="M452" s="181"/>
      <c r="N452" s="181"/>
      <c r="O452" s="181"/>
      <c r="P452" s="181"/>
      <c r="Q452" s="181"/>
      <c r="R452" s="181"/>
      <c r="S452" s="181"/>
      <c r="T452" s="181"/>
      <c r="U452" s="181"/>
      <c r="V452" s="181"/>
      <c r="W452" s="181"/>
      <c r="X452" s="181"/>
      <c r="Y452" s="181"/>
      <c r="Z452" s="181"/>
      <c r="AA452" s="181"/>
    </row>
    <row r="453" customFormat="false" ht="15.75" hidden="false" customHeight="false" outlineLevel="0" collapsed="false">
      <c r="A453" s="181" t="str">
        <f aca="false">IF(ISBLANK(B453),"",B453&amp;"|"&amp;C453)</f>
        <v/>
      </c>
      <c r="B453" s="181"/>
      <c r="C453" s="181"/>
      <c r="D453" s="181"/>
      <c r="E453" s="186"/>
      <c r="F453" s="181"/>
      <c r="G453" s="181"/>
      <c r="H453" s="181"/>
      <c r="I453" s="181"/>
      <c r="J453" s="181"/>
      <c r="K453" s="181"/>
      <c r="L453" s="181"/>
      <c r="M453" s="181"/>
      <c r="N453" s="181"/>
      <c r="O453" s="181"/>
      <c r="P453" s="181"/>
      <c r="Q453" s="181"/>
      <c r="R453" s="181"/>
      <c r="S453" s="181"/>
      <c r="T453" s="181"/>
      <c r="U453" s="181"/>
      <c r="V453" s="181"/>
      <c r="W453" s="181"/>
      <c r="X453" s="181"/>
      <c r="Y453" s="181"/>
      <c r="Z453" s="181"/>
      <c r="AA453" s="181"/>
    </row>
    <row r="454" customFormat="false" ht="15.75" hidden="false" customHeight="false" outlineLevel="0" collapsed="false">
      <c r="A454" s="181" t="str">
        <f aca="false">IF(ISBLANK(B454),"",B454&amp;"|"&amp;C454)</f>
        <v/>
      </c>
      <c r="B454" s="181"/>
      <c r="C454" s="181"/>
      <c r="D454" s="181"/>
      <c r="E454" s="186"/>
      <c r="F454" s="181"/>
      <c r="G454" s="181"/>
      <c r="H454" s="181"/>
      <c r="I454" s="181"/>
      <c r="J454" s="181"/>
      <c r="K454" s="181"/>
      <c r="L454" s="181"/>
      <c r="M454" s="181"/>
      <c r="N454" s="181"/>
      <c r="O454" s="181"/>
      <c r="P454" s="181"/>
      <c r="Q454" s="181"/>
      <c r="R454" s="181"/>
      <c r="S454" s="181"/>
      <c r="T454" s="181"/>
      <c r="U454" s="181"/>
      <c r="V454" s="181"/>
      <c r="W454" s="181"/>
      <c r="X454" s="181"/>
      <c r="Y454" s="181"/>
      <c r="Z454" s="181"/>
      <c r="AA454" s="181"/>
    </row>
    <row r="455" customFormat="false" ht="15.75" hidden="false" customHeight="false" outlineLevel="0" collapsed="false">
      <c r="A455" s="181" t="str">
        <f aca="false">IF(ISBLANK(B455),"",B455&amp;"|"&amp;C455)</f>
        <v/>
      </c>
      <c r="B455" s="181"/>
      <c r="C455" s="181"/>
      <c r="D455" s="181"/>
      <c r="E455" s="186"/>
      <c r="F455" s="181"/>
      <c r="G455" s="181"/>
      <c r="H455" s="181"/>
      <c r="I455" s="181"/>
      <c r="J455" s="181"/>
      <c r="K455" s="181"/>
      <c r="L455" s="181"/>
      <c r="M455" s="181"/>
      <c r="N455" s="181"/>
      <c r="O455" s="181"/>
      <c r="P455" s="181"/>
      <c r="Q455" s="181"/>
      <c r="R455" s="181"/>
      <c r="S455" s="181"/>
      <c r="T455" s="181"/>
      <c r="U455" s="181"/>
      <c r="V455" s="181"/>
      <c r="W455" s="181"/>
      <c r="X455" s="181"/>
      <c r="Y455" s="181"/>
      <c r="Z455" s="181"/>
      <c r="AA455" s="181"/>
    </row>
    <row r="456" customFormat="false" ht="15.75" hidden="false" customHeight="false" outlineLevel="0" collapsed="false">
      <c r="A456" s="181" t="str">
        <f aca="false">IF(ISBLANK(B456),"",B456&amp;"|"&amp;C456)</f>
        <v/>
      </c>
      <c r="B456" s="181"/>
      <c r="C456" s="181"/>
      <c r="D456" s="181"/>
      <c r="E456" s="186"/>
      <c r="F456" s="181"/>
      <c r="G456" s="181"/>
      <c r="H456" s="181"/>
      <c r="I456" s="181"/>
      <c r="J456" s="181"/>
      <c r="K456" s="181"/>
      <c r="L456" s="181"/>
      <c r="M456" s="181"/>
      <c r="N456" s="181"/>
      <c r="O456" s="181"/>
      <c r="P456" s="181"/>
      <c r="Q456" s="181"/>
      <c r="R456" s="181"/>
      <c r="S456" s="181"/>
      <c r="T456" s="181"/>
      <c r="U456" s="181"/>
      <c r="V456" s="181"/>
      <c r="W456" s="181"/>
      <c r="X456" s="181"/>
      <c r="Y456" s="181"/>
      <c r="Z456" s="181"/>
      <c r="AA456" s="181"/>
    </row>
    <row r="457" customFormat="false" ht="15.75" hidden="false" customHeight="false" outlineLevel="0" collapsed="false">
      <c r="A457" s="181" t="str">
        <f aca="false">IF(ISBLANK(B457),"",B457&amp;"|"&amp;C457)</f>
        <v/>
      </c>
      <c r="B457" s="181"/>
      <c r="C457" s="181"/>
      <c r="D457" s="181"/>
      <c r="E457" s="186"/>
      <c r="F457" s="181"/>
      <c r="G457" s="181"/>
      <c r="H457" s="181"/>
      <c r="I457" s="181"/>
      <c r="J457" s="181"/>
      <c r="K457" s="181"/>
      <c r="L457" s="181"/>
      <c r="M457" s="181"/>
      <c r="N457" s="181"/>
      <c r="O457" s="181"/>
      <c r="P457" s="181"/>
      <c r="Q457" s="181"/>
      <c r="R457" s="181"/>
      <c r="S457" s="181"/>
      <c r="T457" s="181"/>
      <c r="U457" s="181"/>
      <c r="V457" s="181"/>
      <c r="W457" s="181"/>
      <c r="X457" s="181"/>
      <c r="Y457" s="181"/>
      <c r="Z457" s="181"/>
      <c r="AA457" s="181"/>
    </row>
    <row r="458" customFormat="false" ht="15.75" hidden="false" customHeight="false" outlineLevel="0" collapsed="false">
      <c r="A458" s="181" t="str">
        <f aca="false">IF(ISBLANK(B458),"",B458&amp;"|"&amp;C458)</f>
        <v/>
      </c>
      <c r="B458" s="181"/>
      <c r="C458" s="181"/>
      <c r="D458" s="181"/>
      <c r="E458" s="186"/>
      <c r="F458" s="181"/>
      <c r="G458" s="181"/>
      <c r="H458" s="181"/>
      <c r="I458" s="181"/>
      <c r="J458" s="181"/>
      <c r="K458" s="181"/>
      <c r="L458" s="181"/>
      <c r="M458" s="181"/>
      <c r="N458" s="181"/>
      <c r="O458" s="181"/>
      <c r="P458" s="181"/>
      <c r="Q458" s="181"/>
      <c r="R458" s="181"/>
      <c r="S458" s="181"/>
      <c r="T458" s="181"/>
      <c r="U458" s="181"/>
      <c r="V458" s="181"/>
      <c r="W458" s="181"/>
      <c r="X458" s="181"/>
      <c r="Y458" s="181"/>
      <c r="Z458" s="181"/>
      <c r="AA458" s="181"/>
    </row>
    <row r="459" customFormat="false" ht="15.75" hidden="false" customHeight="false" outlineLevel="0" collapsed="false">
      <c r="A459" s="181" t="str">
        <f aca="false">IF(ISBLANK(B459),"",B459&amp;"|"&amp;C459)</f>
        <v/>
      </c>
      <c r="B459" s="181"/>
      <c r="C459" s="181"/>
      <c r="D459" s="181"/>
      <c r="E459" s="186"/>
      <c r="F459" s="181"/>
      <c r="G459" s="181"/>
      <c r="H459" s="181"/>
      <c r="I459" s="181"/>
      <c r="J459" s="181"/>
      <c r="K459" s="181"/>
      <c r="L459" s="181"/>
      <c r="M459" s="181"/>
      <c r="N459" s="181"/>
      <c r="O459" s="181"/>
      <c r="P459" s="181"/>
      <c r="Q459" s="181"/>
      <c r="R459" s="181"/>
      <c r="S459" s="181"/>
      <c r="T459" s="181"/>
      <c r="U459" s="181"/>
      <c r="V459" s="181"/>
      <c r="W459" s="181"/>
      <c r="X459" s="181"/>
      <c r="Y459" s="181"/>
      <c r="Z459" s="181"/>
      <c r="AA459" s="181"/>
    </row>
    <row r="460" customFormat="false" ht="15.75" hidden="false" customHeight="false" outlineLevel="0" collapsed="false">
      <c r="A460" s="181" t="str">
        <f aca="false">IF(ISBLANK(B460),"",B460&amp;"|"&amp;C460)</f>
        <v/>
      </c>
      <c r="B460" s="181"/>
      <c r="C460" s="181"/>
      <c r="D460" s="181"/>
      <c r="E460" s="186"/>
      <c r="F460" s="181"/>
      <c r="G460" s="181"/>
      <c r="H460" s="181"/>
      <c r="I460" s="181"/>
      <c r="J460" s="181"/>
      <c r="K460" s="181"/>
      <c r="L460" s="181"/>
      <c r="M460" s="181"/>
      <c r="N460" s="181"/>
      <c r="O460" s="181"/>
      <c r="P460" s="181"/>
      <c r="Q460" s="181"/>
      <c r="R460" s="181"/>
      <c r="S460" s="181"/>
      <c r="T460" s="181"/>
      <c r="U460" s="181"/>
      <c r="V460" s="181"/>
      <c r="W460" s="181"/>
      <c r="X460" s="181"/>
      <c r="Y460" s="181"/>
      <c r="Z460" s="181"/>
      <c r="AA460" s="181"/>
    </row>
    <row r="461" customFormat="false" ht="15.75" hidden="false" customHeight="false" outlineLevel="0" collapsed="false">
      <c r="A461" s="181" t="str">
        <f aca="false">IF(ISBLANK(B461),"",B461&amp;"|"&amp;C461)</f>
        <v/>
      </c>
      <c r="B461" s="181"/>
      <c r="C461" s="181"/>
      <c r="D461" s="181"/>
      <c r="E461" s="186"/>
      <c r="F461" s="181"/>
      <c r="G461" s="181"/>
      <c r="H461" s="181"/>
      <c r="I461" s="181"/>
      <c r="J461" s="181"/>
      <c r="K461" s="181"/>
      <c r="L461" s="181"/>
      <c r="M461" s="181"/>
      <c r="N461" s="181"/>
      <c r="O461" s="181"/>
      <c r="P461" s="181"/>
      <c r="Q461" s="181"/>
      <c r="R461" s="181"/>
      <c r="S461" s="181"/>
      <c r="T461" s="181"/>
      <c r="U461" s="181"/>
      <c r="V461" s="181"/>
      <c r="W461" s="181"/>
      <c r="X461" s="181"/>
      <c r="Y461" s="181"/>
      <c r="Z461" s="181"/>
      <c r="AA461" s="181"/>
    </row>
    <row r="462" customFormat="false" ht="15.75" hidden="false" customHeight="false" outlineLevel="0" collapsed="false">
      <c r="A462" s="181" t="str">
        <f aca="false">IF(ISBLANK(B462),"",B462&amp;"|"&amp;C462)</f>
        <v/>
      </c>
      <c r="B462" s="181"/>
      <c r="C462" s="181"/>
      <c r="D462" s="181"/>
      <c r="E462" s="186"/>
      <c r="F462" s="181"/>
      <c r="G462" s="181"/>
      <c r="H462" s="181"/>
      <c r="I462" s="181"/>
      <c r="J462" s="181"/>
      <c r="K462" s="181"/>
      <c r="L462" s="181"/>
      <c r="M462" s="181"/>
      <c r="N462" s="181"/>
      <c r="O462" s="181"/>
      <c r="P462" s="181"/>
      <c r="Q462" s="181"/>
      <c r="R462" s="181"/>
      <c r="S462" s="181"/>
      <c r="T462" s="181"/>
      <c r="U462" s="181"/>
      <c r="V462" s="181"/>
      <c r="W462" s="181"/>
      <c r="X462" s="181"/>
      <c r="Y462" s="181"/>
      <c r="Z462" s="181"/>
      <c r="AA462" s="181"/>
    </row>
    <row r="463" customFormat="false" ht="15.75" hidden="false" customHeight="false" outlineLevel="0" collapsed="false">
      <c r="A463" s="181" t="str">
        <f aca="false">IF(ISBLANK(B463),"",B463&amp;"|"&amp;C463)</f>
        <v/>
      </c>
      <c r="B463" s="181"/>
      <c r="C463" s="181"/>
      <c r="D463" s="181"/>
      <c r="E463" s="186"/>
      <c r="F463" s="181"/>
      <c r="G463" s="181"/>
      <c r="H463" s="181"/>
      <c r="I463" s="181"/>
      <c r="J463" s="181"/>
      <c r="K463" s="181"/>
      <c r="L463" s="181"/>
      <c r="M463" s="181"/>
      <c r="N463" s="181"/>
      <c r="O463" s="181"/>
      <c r="P463" s="181"/>
      <c r="Q463" s="181"/>
      <c r="R463" s="181"/>
      <c r="S463" s="181"/>
      <c r="T463" s="181"/>
      <c r="U463" s="181"/>
      <c r="V463" s="181"/>
      <c r="W463" s="181"/>
      <c r="X463" s="181"/>
      <c r="Y463" s="181"/>
      <c r="Z463" s="181"/>
      <c r="AA463" s="181"/>
    </row>
    <row r="464" customFormat="false" ht="15.75" hidden="false" customHeight="false" outlineLevel="0" collapsed="false">
      <c r="A464" s="181" t="str">
        <f aca="false">IF(ISBLANK(B464),"",B464&amp;"|"&amp;C464)</f>
        <v/>
      </c>
      <c r="B464" s="181"/>
      <c r="C464" s="181"/>
      <c r="D464" s="181"/>
      <c r="E464" s="186"/>
      <c r="F464" s="181"/>
      <c r="G464" s="181"/>
      <c r="H464" s="181"/>
      <c r="I464" s="181"/>
      <c r="J464" s="181"/>
      <c r="K464" s="181"/>
      <c r="L464" s="181"/>
      <c r="M464" s="181"/>
      <c r="N464" s="181"/>
      <c r="O464" s="181"/>
      <c r="P464" s="181"/>
      <c r="Q464" s="181"/>
      <c r="R464" s="181"/>
      <c r="S464" s="181"/>
      <c r="T464" s="181"/>
      <c r="U464" s="181"/>
      <c r="V464" s="181"/>
      <c r="W464" s="181"/>
      <c r="X464" s="181"/>
      <c r="Y464" s="181"/>
      <c r="Z464" s="181"/>
      <c r="AA464" s="181"/>
    </row>
    <row r="465" customFormat="false" ht="15.75" hidden="false" customHeight="false" outlineLevel="0" collapsed="false">
      <c r="A465" s="181" t="str">
        <f aca="false">IF(ISBLANK(B465),"",B465&amp;"|"&amp;C465)</f>
        <v/>
      </c>
      <c r="B465" s="181"/>
      <c r="C465" s="181"/>
      <c r="D465" s="181"/>
      <c r="E465" s="186"/>
      <c r="F465" s="181"/>
      <c r="G465" s="181"/>
      <c r="H465" s="181"/>
      <c r="I465" s="181"/>
      <c r="J465" s="181"/>
      <c r="K465" s="181"/>
      <c r="L465" s="181"/>
      <c r="M465" s="181"/>
      <c r="N465" s="181"/>
      <c r="O465" s="181"/>
      <c r="P465" s="181"/>
      <c r="Q465" s="181"/>
      <c r="R465" s="181"/>
      <c r="S465" s="181"/>
      <c r="T465" s="181"/>
      <c r="U465" s="181"/>
      <c r="V465" s="181"/>
      <c r="W465" s="181"/>
      <c r="X465" s="181"/>
      <c r="Y465" s="181"/>
      <c r="Z465" s="181"/>
      <c r="AA465" s="181"/>
    </row>
    <row r="466" customFormat="false" ht="15.75" hidden="false" customHeight="false" outlineLevel="0" collapsed="false">
      <c r="A466" s="181" t="str">
        <f aca="false">IF(ISBLANK(B466),"",B466&amp;"|"&amp;C466)</f>
        <v/>
      </c>
      <c r="B466" s="181"/>
      <c r="C466" s="181"/>
      <c r="D466" s="181"/>
      <c r="E466" s="186"/>
      <c r="F466" s="181"/>
      <c r="G466" s="181"/>
      <c r="H466" s="181"/>
      <c r="I466" s="181"/>
      <c r="J466" s="181"/>
      <c r="K466" s="181"/>
      <c r="L466" s="181"/>
      <c r="M466" s="181"/>
      <c r="N466" s="181"/>
      <c r="O466" s="181"/>
      <c r="P466" s="181"/>
      <c r="Q466" s="181"/>
      <c r="R466" s="181"/>
      <c r="S466" s="181"/>
      <c r="T466" s="181"/>
      <c r="U466" s="181"/>
      <c r="V466" s="181"/>
      <c r="W466" s="181"/>
      <c r="X466" s="181"/>
      <c r="Y466" s="181"/>
      <c r="Z466" s="181"/>
      <c r="AA466" s="181"/>
    </row>
    <row r="467" customFormat="false" ht="15.75" hidden="false" customHeight="false" outlineLevel="0" collapsed="false">
      <c r="A467" s="181" t="str">
        <f aca="false">IF(ISBLANK(B467),"",B467&amp;"|"&amp;C467)</f>
        <v/>
      </c>
      <c r="B467" s="181"/>
      <c r="C467" s="181"/>
      <c r="D467" s="181"/>
      <c r="E467" s="186"/>
      <c r="F467" s="181"/>
      <c r="G467" s="181"/>
      <c r="H467" s="181"/>
      <c r="I467" s="181"/>
      <c r="J467" s="181"/>
      <c r="K467" s="181"/>
      <c r="L467" s="181"/>
      <c r="M467" s="181"/>
      <c r="N467" s="181"/>
      <c r="O467" s="181"/>
      <c r="P467" s="181"/>
      <c r="Q467" s="181"/>
      <c r="R467" s="181"/>
      <c r="S467" s="181"/>
      <c r="T467" s="181"/>
      <c r="U467" s="181"/>
      <c r="V467" s="181"/>
      <c r="W467" s="181"/>
      <c r="X467" s="181"/>
      <c r="Y467" s="181"/>
      <c r="Z467" s="181"/>
      <c r="AA467" s="181"/>
    </row>
    <row r="468" customFormat="false" ht="15.75" hidden="false" customHeight="false" outlineLevel="0" collapsed="false">
      <c r="A468" s="181" t="str">
        <f aca="false">IF(ISBLANK(B468),"",B468&amp;"|"&amp;C468)</f>
        <v/>
      </c>
      <c r="B468" s="181"/>
      <c r="C468" s="181"/>
      <c r="D468" s="181"/>
      <c r="E468" s="186"/>
      <c r="F468" s="181"/>
      <c r="G468" s="181"/>
      <c r="H468" s="181"/>
      <c r="I468" s="181"/>
      <c r="J468" s="181"/>
      <c r="K468" s="181"/>
      <c r="L468" s="181"/>
      <c r="M468" s="181"/>
      <c r="N468" s="181"/>
      <c r="O468" s="181"/>
      <c r="P468" s="181"/>
      <c r="Q468" s="181"/>
      <c r="R468" s="181"/>
      <c r="S468" s="181"/>
      <c r="T468" s="181"/>
      <c r="U468" s="181"/>
      <c r="V468" s="181"/>
      <c r="W468" s="181"/>
      <c r="X468" s="181"/>
      <c r="Y468" s="181"/>
      <c r="Z468" s="181"/>
      <c r="AA468" s="181"/>
    </row>
    <row r="469" customFormat="false" ht="15.75" hidden="false" customHeight="false" outlineLevel="0" collapsed="false">
      <c r="A469" s="181" t="str">
        <f aca="false">IF(ISBLANK(B469),"",B469&amp;"|"&amp;C469)</f>
        <v/>
      </c>
      <c r="B469" s="181"/>
      <c r="C469" s="181"/>
      <c r="D469" s="181"/>
      <c r="E469" s="186"/>
      <c r="F469" s="181"/>
      <c r="G469" s="181"/>
      <c r="H469" s="181"/>
      <c r="I469" s="181"/>
      <c r="J469" s="181"/>
      <c r="K469" s="181"/>
      <c r="L469" s="181"/>
      <c r="M469" s="181"/>
      <c r="N469" s="181"/>
      <c r="O469" s="181"/>
      <c r="P469" s="181"/>
      <c r="Q469" s="181"/>
      <c r="R469" s="181"/>
      <c r="S469" s="181"/>
      <c r="T469" s="181"/>
      <c r="U469" s="181"/>
      <c r="V469" s="181"/>
      <c r="W469" s="181"/>
      <c r="X469" s="181"/>
      <c r="Y469" s="181"/>
      <c r="Z469" s="181"/>
      <c r="AA469" s="181"/>
    </row>
    <row r="470" customFormat="false" ht="15.75" hidden="false" customHeight="false" outlineLevel="0" collapsed="false">
      <c r="A470" s="181" t="str">
        <f aca="false">IF(ISBLANK(B470),"",B470&amp;"|"&amp;C470)</f>
        <v/>
      </c>
      <c r="B470" s="181"/>
      <c r="C470" s="181"/>
      <c r="D470" s="181"/>
      <c r="E470" s="186"/>
      <c r="F470" s="181"/>
      <c r="G470" s="181"/>
      <c r="H470" s="181"/>
      <c r="I470" s="181"/>
      <c r="J470" s="181"/>
      <c r="K470" s="181"/>
      <c r="L470" s="181"/>
      <c r="M470" s="181"/>
      <c r="N470" s="181"/>
      <c r="O470" s="181"/>
      <c r="P470" s="181"/>
      <c r="Q470" s="181"/>
      <c r="R470" s="181"/>
      <c r="S470" s="181"/>
      <c r="T470" s="181"/>
      <c r="U470" s="181"/>
      <c r="V470" s="181"/>
      <c r="W470" s="181"/>
      <c r="X470" s="181"/>
      <c r="Y470" s="181"/>
      <c r="Z470" s="181"/>
      <c r="AA470" s="181"/>
    </row>
    <row r="471" customFormat="false" ht="15.75" hidden="false" customHeight="false" outlineLevel="0" collapsed="false">
      <c r="A471" s="181" t="str">
        <f aca="false">IF(ISBLANK(B471),"",B471&amp;"|"&amp;C471)</f>
        <v/>
      </c>
      <c r="B471" s="181"/>
      <c r="C471" s="181"/>
      <c r="D471" s="181"/>
      <c r="E471" s="186"/>
      <c r="F471" s="181"/>
      <c r="G471" s="181"/>
      <c r="H471" s="181"/>
      <c r="I471" s="181"/>
      <c r="J471" s="181"/>
      <c r="K471" s="181"/>
      <c r="L471" s="181"/>
      <c r="M471" s="181"/>
      <c r="N471" s="181"/>
      <c r="O471" s="181"/>
      <c r="P471" s="181"/>
      <c r="Q471" s="181"/>
      <c r="R471" s="181"/>
      <c r="S471" s="181"/>
      <c r="T471" s="181"/>
      <c r="U471" s="181"/>
      <c r="V471" s="181"/>
      <c r="W471" s="181"/>
      <c r="X471" s="181"/>
      <c r="Y471" s="181"/>
      <c r="Z471" s="181"/>
      <c r="AA471" s="181"/>
    </row>
    <row r="472" customFormat="false" ht="15.75" hidden="false" customHeight="false" outlineLevel="0" collapsed="false">
      <c r="A472" s="181" t="str">
        <f aca="false">IF(ISBLANK(B472),"",B472&amp;"|"&amp;C472)</f>
        <v/>
      </c>
      <c r="B472" s="181"/>
      <c r="C472" s="181"/>
      <c r="D472" s="181"/>
      <c r="E472" s="186"/>
      <c r="F472" s="181"/>
      <c r="G472" s="181"/>
      <c r="H472" s="181"/>
      <c r="I472" s="181"/>
      <c r="J472" s="181"/>
      <c r="K472" s="181"/>
      <c r="L472" s="181"/>
      <c r="M472" s="181"/>
      <c r="N472" s="181"/>
      <c r="O472" s="181"/>
      <c r="P472" s="181"/>
      <c r="Q472" s="181"/>
      <c r="R472" s="181"/>
      <c r="S472" s="181"/>
      <c r="T472" s="181"/>
      <c r="U472" s="181"/>
      <c r="V472" s="181"/>
      <c r="W472" s="181"/>
      <c r="X472" s="181"/>
      <c r="Y472" s="181"/>
      <c r="Z472" s="181"/>
      <c r="AA472" s="181"/>
    </row>
    <row r="473" customFormat="false" ht="15.75" hidden="false" customHeight="false" outlineLevel="0" collapsed="false">
      <c r="A473" s="181" t="str">
        <f aca="false">IF(ISBLANK(B473),"",B473&amp;"|"&amp;C473)</f>
        <v/>
      </c>
      <c r="B473" s="181"/>
      <c r="C473" s="181"/>
      <c r="D473" s="181"/>
      <c r="E473" s="186"/>
      <c r="F473" s="181"/>
      <c r="G473" s="181"/>
      <c r="H473" s="181"/>
      <c r="I473" s="181"/>
      <c r="J473" s="181"/>
      <c r="K473" s="181"/>
      <c r="L473" s="181"/>
      <c r="M473" s="181"/>
      <c r="N473" s="181"/>
      <c r="O473" s="181"/>
      <c r="P473" s="181"/>
      <c r="Q473" s="181"/>
      <c r="R473" s="181"/>
      <c r="S473" s="181"/>
      <c r="T473" s="181"/>
      <c r="U473" s="181"/>
      <c r="V473" s="181"/>
      <c r="W473" s="181"/>
      <c r="X473" s="181"/>
      <c r="Y473" s="181"/>
      <c r="Z473" s="181"/>
      <c r="AA473" s="181"/>
    </row>
    <row r="474" customFormat="false" ht="15.75" hidden="false" customHeight="false" outlineLevel="0" collapsed="false">
      <c r="A474" s="181" t="str">
        <f aca="false">IF(ISBLANK(B474),"",B474&amp;"|"&amp;C474)</f>
        <v/>
      </c>
      <c r="B474" s="181"/>
      <c r="C474" s="181"/>
      <c r="D474" s="181"/>
      <c r="E474" s="186"/>
      <c r="F474" s="181"/>
      <c r="G474" s="181"/>
      <c r="H474" s="181"/>
      <c r="I474" s="181"/>
      <c r="J474" s="181"/>
      <c r="K474" s="181"/>
      <c r="L474" s="181"/>
      <c r="M474" s="181"/>
      <c r="N474" s="181"/>
      <c r="O474" s="181"/>
      <c r="P474" s="181"/>
      <c r="Q474" s="181"/>
      <c r="R474" s="181"/>
      <c r="S474" s="181"/>
      <c r="T474" s="181"/>
      <c r="U474" s="181"/>
      <c r="V474" s="181"/>
      <c r="W474" s="181"/>
      <c r="X474" s="181"/>
      <c r="Y474" s="181"/>
      <c r="Z474" s="181"/>
      <c r="AA474" s="181"/>
    </row>
    <row r="475" customFormat="false" ht="15.75" hidden="false" customHeight="false" outlineLevel="0" collapsed="false">
      <c r="A475" s="181" t="str">
        <f aca="false">IF(ISBLANK(B475),"",B475&amp;"|"&amp;C475)</f>
        <v/>
      </c>
      <c r="B475" s="181"/>
      <c r="C475" s="181"/>
      <c r="D475" s="181"/>
      <c r="E475" s="186"/>
      <c r="F475" s="181"/>
      <c r="G475" s="181"/>
      <c r="H475" s="181"/>
      <c r="I475" s="181"/>
      <c r="J475" s="181"/>
      <c r="K475" s="181"/>
      <c r="L475" s="181"/>
      <c r="M475" s="181"/>
      <c r="N475" s="181"/>
      <c r="O475" s="181"/>
      <c r="P475" s="181"/>
      <c r="Q475" s="181"/>
      <c r="R475" s="181"/>
      <c r="S475" s="181"/>
      <c r="T475" s="181"/>
      <c r="U475" s="181"/>
      <c r="V475" s="181"/>
      <c r="W475" s="181"/>
      <c r="X475" s="181"/>
      <c r="Y475" s="181"/>
      <c r="Z475" s="181"/>
      <c r="AA475" s="181"/>
    </row>
    <row r="476" customFormat="false" ht="15.75" hidden="false" customHeight="false" outlineLevel="0" collapsed="false">
      <c r="A476" s="181" t="str">
        <f aca="false">IF(ISBLANK(B476),"",B476&amp;"|"&amp;C476)</f>
        <v/>
      </c>
      <c r="B476" s="181"/>
      <c r="C476" s="181"/>
      <c r="D476" s="181"/>
      <c r="E476" s="186"/>
      <c r="F476" s="181"/>
      <c r="G476" s="181"/>
      <c r="H476" s="181"/>
      <c r="I476" s="181"/>
      <c r="J476" s="181"/>
      <c r="K476" s="181"/>
      <c r="L476" s="181"/>
      <c r="M476" s="181"/>
      <c r="N476" s="181"/>
      <c r="O476" s="181"/>
      <c r="P476" s="181"/>
      <c r="Q476" s="181"/>
      <c r="R476" s="181"/>
      <c r="S476" s="181"/>
      <c r="T476" s="181"/>
      <c r="U476" s="181"/>
      <c r="V476" s="181"/>
      <c r="W476" s="181"/>
      <c r="X476" s="181"/>
      <c r="Y476" s="181"/>
      <c r="Z476" s="181"/>
      <c r="AA476" s="181"/>
    </row>
    <row r="477" customFormat="false" ht="15.75" hidden="false" customHeight="false" outlineLevel="0" collapsed="false">
      <c r="A477" s="181" t="str">
        <f aca="false">IF(ISBLANK(B477),"",B477&amp;"|"&amp;C477)</f>
        <v/>
      </c>
      <c r="B477" s="181"/>
      <c r="C477" s="181"/>
      <c r="D477" s="181"/>
      <c r="E477" s="186"/>
      <c r="F477" s="181"/>
      <c r="G477" s="181"/>
      <c r="H477" s="181"/>
      <c r="I477" s="181"/>
      <c r="J477" s="181"/>
      <c r="K477" s="181"/>
      <c r="L477" s="181"/>
      <c r="M477" s="181"/>
      <c r="N477" s="181"/>
      <c r="O477" s="181"/>
      <c r="P477" s="181"/>
      <c r="Q477" s="181"/>
      <c r="R477" s="181"/>
      <c r="S477" s="181"/>
      <c r="T477" s="181"/>
      <c r="U477" s="181"/>
      <c r="V477" s="181"/>
      <c r="W477" s="181"/>
      <c r="X477" s="181"/>
      <c r="Y477" s="181"/>
      <c r="Z477" s="181"/>
      <c r="AA477" s="181"/>
    </row>
    <row r="478" customFormat="false" ht="15.75" hidden="false" customHeight="false" outlineLevel="0" collapsed="false">
      <c r="A478" s="181" t="str">
        <f aca="false">IF(ISBLANK(B478),"",B478&amp;"|"&amp;C478)</f>
        <v/>
      </c>
      <c r="B478" s="181"/>
      <c r="C478" s="181"/>
      <c r="D478" s="181"/>
      <c r="E478" s="186"/>
      <c r="F478" s="181"/>
      <c r="G478" s="181"/>
      <c r="H478" s="181"/>
      <c r="I478" s="181"/>
      <c r="J478" s="181"/>
      <c r="K478" s="181"/>
      <c r="L478" s="181"/>
      <c r="M478" s="181"/>
      <c r="N478" s="181"/>
      <c r="O478" s="181"/>
      <c r="P478" s="181"/>
      <c r="Q478" s="181"/>
      <c r="R478" s="181"/>
      <c r="S478" s="181"/>
      <c r="T478" s="181"/>
      <c r="U478" s="181"/>
      <c r="V478" s="181"/>
      <c r="W478" s="181"/>
      <c r="X478" s="181"/>
      <c r="Y478" s="181"/>
      <c r="Z478" s="181"/>
      <c r="AA478" s="181"/>
    </row>
    <row r="479" customFormat="false" ht="15.75" hidden="false" customHeight="false" outlineLevel="0" collapsed="false">
      <c r="A479" s="181" t="str">
        <f aca="false">IF(ISBLANK(B479),"",B479&amp;"|"&amp;C479)</f>
        <v/>
      </c>
      <c r="B479" s="181"/>
      <c r="C479" s="181"/>
      <c r="D479" s="181"/>
      <c r="E479" s="186"/>
      <c r="F479" s="181"/>
      <c r="G479" s="181"/>
      <c r="H479" s="181"/>
      <c r="I479" s="181"/>
      <c r="J479" s="181"/>
      <c r="K479" s="181"/>
      <c r="L479" s="181"/>
      <c r="M479" s="181"/>
      <c r="N479" s="181"/>
      <c r="O479" s="181"/>
      <c r="P479" s="181"/>
      <c r="Q479" s="181"/>
      <c r="R479" s="181"/>
      <c r="S479" s="181"/>
      <c r="T479" s="181"/>
      <c r="U479" s="181"/>
      <c r="V479" s="181"/>
      <c r="W479" s="181"/>
      <c r="X479" s="181"/>
      <c r="Y479" s="181"/>
      <c r="Z479" s="181"/>
      <c r="AA479" s="181"/>
    </row>
    <row r="480" customFormat="false" ht="15.75" hidden="false" customHeight="false" outlineLevel="0" collapsed="false">
      <c r="A480" s="181" t="str">
        <f aca="false">IF(ISBLANK(B480),"",B480&amp;"|"&amp;C480)</f>
        <v/>
      </c>
      <c r="B480" s="181"/>
      <c r="C480" s="181"/>
      <c r="D480" s="181"/>
      <c r="E480" s="186"/>
      <c r="F480" s="181"/>
      <c r="G480" s="181"/>
      <c r="H480" s="181"/>
      <c r="I480" s="181"/>
      <c r="J480" s="181"/>
      <c r="K480" s="181"/>
      <c r="L480" s="181"/>
      <c r="M480" s="181"/>
      <c r="N480" s="181"/>
      <c r="O480" s="181"/>
      <c r="P480" s="181"/>
      <c r="Q480" s="181"/>
      <c r="R480" s="181"/>
      <c r="S480" s="181"/>
      <c r="T480" s="181"/>
      <c r="U480" s="181"/>
      <c r="V480" s="181"/>
      <c r="W480" s="181"/>
      <c r="X480" s="181"/>
      <c r="Y480" s="181"/>
      <c r="Z480" s="181"/>
      <c r="AA480" s="181"/>
    </row>
    <row r="481" customFormat="false" ht="15.75" hidden="false" customHeight="false" outlineLevel="0" collapsed="false">
      <c r="A481" s="181" t="str">
        <f aca="false">IF(ISBLANK(B481),"",B481&amp;"|"&amp;C481)</f>
        <v/>
      </c>
      <c r="B481" s="181"/>
      <c r="C481" s="181"/>
      <c r="D481" s="181"/>
      <c r="E481" s="186"/>
      <c r="F481" s="181"/>
      <c r="G481" s="181"/>
      <c r="H481" s="181"/>
      <c r="I481" s="181"/>
      <c r="J481" s="181"/>
      <c r="K481" s="181"/>
      <c r="L481" s="181"/>
      <c r="M481" s="181"/>
      <c r="N481" s="181"/>
      <c r="O481" s="181"/>
      <c r="P481" s="181"/>
      <c r="Q481" s="181"/>
      <c r="R481" s="181"/>
      <c r="S481" s="181"/>
      <c r="T481" s="181"/>
      <c r="U481" s="181"/>
      <c r="V481" s="181"/>
      <c r="W481" s="181"/>
      <c r="X481" s="181"/>
      <c r="Y481" s="181"/>
      <c r="Z481" s="181"/>
      <c r="AA481" s="181"/>
    </row>
    <row r="482" customFormat="false" ht="15.75" hidden="false" customHeight="false" outlineLevel="0" collapsed="false">
      <c r="A482" s="181" t="str">
        <f aca="false">IF(ISBLANK(B482),"",B482&amp;"|"&amp;C482)</f>
        <v/>
      </c>
      <c r="B482" s="181"/>
      <c r="C482" s="181"/>
      <c r="D482" s="181"/>
      <c r="E482" s="186"/>
      <c r="F482" s="181"/>
      <c r="G482" s="181"/>
      <c r="H482" s="181"/>
      <c r="I482" s="181"/>
      <c r="J482" s="181"/>
      <c r="K482" s="181"/>
      <c r="L482" s="181"/>
      <c r="M482" s="181"/>
      <c r="N482" s="181"/>
      <c r="O482" s="181"/>
      <c r="P482" s="181"/>
      <c r="Q482" s="181"/>
      <c r="R482" s="181"/>
      <c r="S482" s="181"/>
      <c r="T482" s="181"/>
      <c r="U482" s="181"/>
      <c r="V482" s="181"/>
      <c r="W482" s="181"/>
      <c r="X482" s="181"/>
      <c r="Y482" s="181"/>
      <c r="Z482" s="181"/>
      <c r="AA482" s="181"/>
    </row>
    <row r="483" customFormat="false" ht="15.75" hidden="false" customHeight="false" outlineLevel="0" collapsed="false">
      <c r="A483" s="181" t="str">
        <f aca="false">IF(ISBLANK(B483),"",B483&amp;"|"&amp;C483)</f>
        <v/>
      </c>
      <c r="B483" s="181"/>
      <c r="C483" s="181"/>
      <c r="D483" s="181"/>
      <c r="E483" s="186"/>
      <c r="F483" s="181"/>
      <c r="G483" s="181"/>
      <c r="H483" s="181"/>
      <c r="I483" s="181"/>
      <c r="J483" s="181"/>
      <c r="K483" s="181"/>
      <c r="L483" s="181"/>
      <c r="M483" s="181"/>
      <c r="N483" s="181"/>
      <c r="O483" s="181"/>
      <c r="P483" s="181"/>
      <c r="Q483" s="181"/>
      <c r="R483" s="181"/>
      <c r="S483" s="181"/>
      <c r="T483" s="181"/>
      <c r="U483" s="181"/>
      <c r="V483" s="181"/>
      <c r="W483" s="181"/>
      <c r="X483" s="181"/>
      <c r="Y483" s="181"/>
      <c r="Z483" s="181"/>
      <c r="AA483" s="181"/>
    </row>
    <row r="484" customFormat="false" ht="15.75" hidden="false" customHeight="false" outlineLevel="0" collapsed="false">
      <c r="A484" s="181" t="str">
        <f aca="false">IF(ISBLANK(B484),"",B484&amp;"|"&amp;C484)</f>
        <v/>
      </c>
      <c r="B484" s="181"/>
      <c r="C484" s="181"/>
      <c r="D484" s="181"/>
      <c r="E484" s="186"/>
      <c r="F484" s="181"/>
      <c r="G484" s="181"/>
      <c r="H484" s="181"/>
      <c r="I484" s="181"/>
      <c r="J484" s="181"/>
      <c r="K484" s="181"/>
      <c r="L484" s="181"/>
      <c r="M484" s="181"/>
      <c r="N484" s="181"/>
      <c r="O484" s="181"/>
      <c r="P484" s="181"/>
      <c r="Q484" s="181"/>
      <c r="R484" s="181"/>
      <c r="S484" s="181"/>
      <c r="T484" s="181"/>
      <c r="U484" s="181"/>
      <c r="V484" s="181"/>
      <c r="W484" s="181"/>
      <c r="X484" s="181"/>
      <c r="Y484" s="181"/>
      <c r="Z484" s="181"/>
      <c r="AA484" s="181"/>
    </row>
    <row r="485" customFormat="false" ht="15.75" hidden="false" customHeight="false" outlineLevel="0" collapsed="false">
      <c r="A485" s="181" t="str">
        <f aca="false">IF(ISBLANK(B485),"",B485&amp;"|"&amp;C485)</f>
        <v/>
      </c>
      <c r="B485" s="181"/>
      <c r="C485" s="181"/>
      <c r="D485" s="181"/>
      <c r="E485" s="186"/>
      <c r="F485" s="181"/>
      <c r="G485" s="181"/>
      <c r="H485" s="181"/>
      <c r="I485" s="181"/>
      <c r="J485" s="181"/>
      <c r="K485" s="181"/>
      <c r="L485" s="181"/>
      <c r="M485" s="181"/>
      <c r="N485" s="181"/>
      <c r="O485" s="181"/>
      <c r="P485" s="181"/>
      <c r="Q485" s="181"/>
      <c r="R485" s="181"/>
      <c r="S485" s="181"/>
      <c r="T485" s="181"/>
      <c r="U485" s="181"/>
      <c r="V485" s="181"/>
      <c r="W485" s="181"/>
      <c r="X485" s="181"/>
      <c r="Y485" s="181"/>
      <c r="Z485" s="181"/>
      <c r="AA485" s="181"/>
    </row>
    <row r="486" customFormat="false" ht="15.75" hidden="false" customHeight="false" outlineLevel="0" collapsed="false">
      <c r="A486" s="181" t="str">
        <f aca="false">IF(ISBLANK(B486),"",B486&amp;"|"&amp;C486)</f>
        <v/>
      </c>
      <c r="B486" s="181"/>
      <c r="C486" s="181"/>
      <c r="D486" s="181"/>
      <c r="E486" s="186"/>
      <c r="F486" s="181"/>
      <c r="G486" s="181"/>
      <c r="H486" s="181"/>
      <c r="I486" s="181"/>
      <c r="J486" s="181"/>
      <c r="K486" s="181"/>
      <c r="L486" s="181"/>
      <c r="M486" s="181"/>
      <c r="N486" s="181"/>
      <c r="O486" s="181"/>
      <c r="P486" s="181"/>
      <c r="Q486" s="181"/>
      <c r="R486" s="181"/>
      <c r="S486" s="181"/>
      <c r="T486" s="181"/>
      <c r="U486" s="181"/>
      <c r="V486" s="181"/>
      <c r="W486" s="181"/>
      <c r="X486" s="181"/>
      <c r="Y486" s="181"/>
      <c r="Z486" s="181"/>
      <c r="AA486" s="181"/>
    </row>
    <row r="487" customFormat="false" ht="15.75" hidden="false" customHeight="false" outlineLevel="0" collapsed="false">
      <c r="A487" s="181" t="str">
        <f aca="false">IF(ISBLANK(B487),"",B487&amp;"|"&amp;C487)</f>
        <v/>
      </c>
      <c r="B487" s="181"/>
      <c r="C487" s="181"/>
      <c r="D487" s="181"/>
      <c r="E487" s="186"/>
      <c r="F487" s="181"/>
      <c r="G487" s="181"/>
      <c r="H487" s="181"/>
      <c r="I487" s="181"/>
      <c r="J487" s="181"/>
      <c r="K487" s="181"/>
      <c r="L487" s="181"/>
      <c r="M487" s="181"/>
      <c r="N487" s="181"/>
      <c r="O487" s="181"/>
      <c r="P487" s="181"/>
      <c r="Q487" s="181"/>
      <c r="R487" s="181"/>
      <c r="S487" s="181"/>
      <c r="T487" s="181"/>
      <c r="U487" s="181"/>
      <c r="V487" s="181"/>
      <c r="W487" s="181"/>
      <c r="X487" s="181"/>
      <c r="Y487" s="181"/>
      <c r="Z487" s="181"/>
      <c r="AA487" s="181"/>
    </row>
    <row r="488" customFormat="false" ht="15.75" hidden="false" customHeight="false" outlineLevel="0" collapsed="false">
      <c r="A488" s="181" t="str">
        <f aca="false">IF(ISBLANK(B488),"",B488&amp;"|"&amp;C488)</f>
        <v/>
      </c>
      <c r="B488" s="181"/>
      <c r="C488" s="181"/>
      <c r="D488" s="181"/>
      <c r="E488" s="186"/>
      <c r="F488" s="181"/>
      <c r="G488" s="181"/>
      <c r="H488" s="181"/>
      <c r="I488" s="181"/>
      <c r="J488" s="181"/>
      <c r="K488" s="181"/>
      <c r="L488" s="181"/>
      <c r="M488" s="181"/>
      <c r="N488" s="181"/>
      <c r="O488" s="181"/>
      <c r="P488" s="181"/>
      <c r="Q488" s="181"/>
      <c r="R488" s="181"/>
      <c r="S488" s="181"/>
      <c r="T488" s="181"/>
      <c r="U488" s="181"/>
      <c r="V488" s="181"/>
      <c r="W488" s="181"/>
      <c r="X488" s="181"/>
      <c r="Y488" s="181"/>
      <c r="Z488" s="181"/>
      <c r="AA488" s="181"/>
    </row>
    <row r="489" customFormat="false" ht="15.75" hidden="false" customHeight="false" outlineLevel="0" collapsed="false">
      <c r="A489" s="181" t="str">
        <f aca="false">IF(ISBLANK(B489),"",B489&amp;"|"&amp;C489)</f>
        <v/>
      </c>
      <c r="B489" s="181"/>
      <c r="C489" s="181"/>
      <c r="D489" s="181"/>
      <c r="E489" s="186"/>
      <c r="F489" s="181"/>
      <c r="G489" s="181"/>
      <c r="H489" s="181"/>
      <c r="I489" s="181"/>
      <c r="J489" s="181"/>
      <c r="K489" s="181"/>
      <c r="L489" s="181"/>
      <c r="M489" s="181"/>
      <c r="N489" s="181"/>
      <c r="O489" s="181"/>
      <c r="P489" s="181"/>
      <c r="Q489" s="181"/>
      <c r="R489" s="181"/>
      <c r="S489" s="181"/>
      <c r="T489" s="181"/>
      <c r="U489" s="181"/>
      <c r="V489" s="181"/>
      <c r="W489" s="181"/>
      <c r="X489" s="181"/>
      <c r="Y489" s="181"/>
      <c r="Z489" s="181"/>
      <c r="AA489" s="181"/>
    </row>
    <row r="490" customFormat="false" ht="15.75" hidden="false" customHeight="false" outlineLevel="0" collapsed="false">
      <c r="A490" s="181" t="str">
        <f aca="false">IF(ISBLANK(B490),"",B490&amp;"|"&amp;C490)</f>
        <v/>
      </c>
      <c r="B490" s="181"/>
      <c r="C490" s="181"/>
      <c r="D490" s="181"/>
      <c r="E490" s="186"/>
      <c r="F490" s="181"/>
      <c r="G490" s="181"/>
      <c r="H490" s="181"/>
      <c r="I490" s="181"/>
      <c r="J490" s="181"/>
      <c r="K490" s="181"/>
      <c r="L490" s="181"/>
      <c r="M490" s="181"/>
      <c r="N490" s="181"/>
      <c r="O490" s="181"/>
      <c r="P490" s="181"/>
      <c r="Q490" s="181"/>
      <c r="R490" s="181"/>
      <c r="S490" s="181"/>
      <c r="T490" s="181"/>
      <c r="U490" s="181"/>
      <c r="V490" s="181"/>
      <c r="W490" s="181"/>
      <c r="X490" s="181"/>
      <c r="Y490" s="181"/>
      <c r="Z490" s="181"/>
      <c r="AA490" s="181"/>
    </row>
    <row r="491" customFormat="false" ht="15.75" hidden="false" customHeight="false" outlineLevel="0" collapsed="false">
      <c r="A491" s="181" t="str">
        <f aca="false">IF(ISBLANK(B491),"",B491&amp;"|"&amp;C491)</f>
        <v/>
      </c>
      <c r="B491" s="181"/>
      <c r="C491" s="181"/>
      <c r="D491" s="181"/>
      <c r="E491" s="186"/>
      <c r="F491" s="181"/>
      <c r="G491" s="181"/>
      <c r="H491" s="181"/>
      <c r="I491" s="181"/>
      <c r="J491" s="181"/>
      <c r="K491" s="181"/>
      <c r="L491" s="181"/>
      <c r="M491" s="181"/>
      <c r="N491" s="181"/>
      <c r="O491" s="181"/>
      <c r="P491" s="181"/>
      <c r="Q491" s="181"/>
      <c r="R491" s="181"/>
      <c r="S491" s="181"/>
      <c r="T491" s="181"/>
      <c r="U491" s="181"/>
      <c r="V491" s="181"/>
      <c r="W491" s="181"/>
      <c r="X491" s="181"/>
      <c r="Y491" s="181"/>
      <c r="Z491" s="181"/>
      <c r="AA491" s="181"/>
    </row>
    <row r="492" customFormat="false" ht="15.75" hidden="false" customHeight="false" outlineLevel="0" collapsed="false">
      <c r="A492" s="181" t="str">
        <f aca="false">IF(ISBLANK(B492),"",B492&amp;"|"&amp;C492)</f>
        <v/>
      </c>
      <c r="B492" s="181"/>
      <c r="C492" s="181"/>
      <c r="D492" s="181"/>
      <c r="E492" s="186"/>
      <c r="F492" s="181"/>
      <c r="G492" s="181"/>
      <c r="H492" s="181"/>
      <c r="I492" s="181"/>
      <c r="J492" s="181"/>
      <c r="K492" s="181"/>
      <c r="L492" s="181"/>
      <c r="M492" s="181"/>
      <c r="N492" s="181"/>
      <c r="O492" s="181"/>
      <c r="P492" s="181"/>
      <c r="Q492" s="181"/>
      <c r="R492" s="181"/>
      <c r="S492" s="181"/>
      <c r="T492" s="181"/>
      <c r="U492" s="181"/>
      <c r="V492" s="181"/>
      <c r="W492" s="181"/>
      <c r="X492" s="181"/>
      <c r="Y492" s="181"/>
      <c r="Z492" s="181"/>
      <c r="AA492" s="181"/>
    </row>
    <row r="493" customFormat="false" ht="15.75" hidden="false" customHeight="false" outlineLevel="0" collapsed="false">
      <c r="A493" s="181" t="str">
        <f aca="false">IF(ISBLANK(B493),"",B493&amp;"|"&amp;C493)</f>
        <v/>
      </c>
      <c r="B493" s="181"/>
      <c r="C493" s="181"/>
      <c r="D493" s="181"/>
      <c r="E493" s="186"/>
      <c r="F493" s="181"/>
      <c r="G493" s="181"/>
      <c r="H493" s="181"/>
      <c r="I493" s="181"/>
      <c r="J493" s="181"/>
      <c r="K493" s="181"/>
      <c r="L493" s="181"/>
      <c r="M493" s="181"/>
      <c r="N493" s="181"/>
      <c r="O493" s="181"/>
      <c r="P493" s="181"/>
      <c r="Q493" s="181"/>
      <c r="R493" s="181"/>
      <c r="S493" s="181"/>
      <c r="T493" s="181"/>
      <c r="U493" s="181"/>
      <c r="V493" s="181"/>
      <c r="W493" s="181"/>
      <c r="X493" s="181"/>
      <c r="Y493" s="181"/>
      <c r="Z493" s="181"/>
      <c r="AA493" s="181"/>
    </row>
    <row r="494" customFormat="false" ht="15.75" hidden="false" customHeight="false" outlineLevel="0" collapsed="false">
      <c r="A494" s="181" t="str">
        <f aca="false">IF(ISBLANK(B494),"",B494&amp;"|"&amp;C494)</f>
        <v/>
      </c>
      <c r="B494" s="181"/>
      <c r="C494" s="181"/>
      <c r="D494" s="181"/>
      <c r="E494" s="186"/>
      <c r="F494" s="181"/>
      <c r="G494" s="181"/>
      <c r="H494" s="181"/>
      <c r="I494" s="181"/>
      <c r="J494" s="181"/>
      <c r="K494" s="181"/>
      <c r="L494" s="181"/>
      <c r="M494" s="181"/>
      <c r="N494" s="181"/>
      <c r="O494" s="181"/>
      <c r="P494" s="181"/>
      <c r="Q494" s="181"/>
      <c r="R494" s="181"/>
      <c r="S494" s="181"/>
      <c r="T494" s="181"/>
      <c r="U494" s="181"/>
      <c r="V494" s="181"/>
      <c r="W494" s="181"/>
      <c r="X494" s="181"/>
      <c r="Y494" s="181"/>
      <c r="Z494" s="181"/>
      <c r="AA494" s="181"/>
    </row>
    <row r="495" customFormat="false" ht="15.75" hidden="false" customHeight="false" outlineLevel="0" collapsed="false">
      <c r="A495" s="181" t="str">
        <f aca="false">IF(ISBLANK(B495),"",B495&amp;"|"&amp;C495)</f>
        <v/>
      </c>
      <c r="B495" s="181"/>
      <c r="C495" s="181"/>
      <c r="D495" s="181"/>
      <c r="E495" s="186"/>
      <c r="F495" s="181"/>
      <c r="G495" s="181"/>
      <c r="H495" s="181"/>
      <c r="I495" s="181"/>
      <c r="J495" s="181"/>
      <c r="K495" s="181"/>
      <c r="L495" s="181"/>
      <c r="M495" s="181"/>
      <c r="N495" s="181"/>
      <c r="O495" s="181"/>
      <c r="P495" s="181"/>
      <c r="Q495" s="181"/>
      <c r="R495" s="181"/>
      <c r="S495" s="181"/>
      <c r="T495" s="181"/>
      <c r="U495" s="181"/>
      <c r="V495" s="181"/>
      <c r="W495" s="181"/>
      <c r="X495" s="181"/>
      <c r="Y495" s="181"/>
      <c r="Z495" s="181"/>
      <c r="AA495" s="181"/>
    </row>
    <row r="496" customFormat="false" ht="15.75" hidden="false" customHeight="false" outlineLevel="0" collapsed="false">
      <c r="A496" s="181" t="str">
        <f aca="false">IF(ISBLANK(B496),"",B496&amp;"|"&amp;C496)</f>
        <v/>
      </c>
      <c r="B496" s="181"/>
      <c r="C496" s="181"/>
      <c r="D496" s="181"/>
      <c r="E496" s="186"/>
      <c r="F496" s="181"/>
      <c r="G496" s="181"/>
      <c r="H496" s="181"/>
      <c r="I496" s="181"/>
      <c r="J496" s="181"/>
      <c r="K496" s="181"/>
      <c r="L496" s="181"/>
      <c r="M496" s="181"/>
      <c r="N496" s="181"/>
      <c r="O496" s="181"/>
      <c r="P496" s="181"/>
      <c r="Q496" s="181"/>
      <c r="R496" s="181"/>
      <c r="S496" s="181"/>
      <c r="T496" s="181"/>
      <c r="U496" s="181"/>
      <c r="V496" s="181"/>
      <c r="W496" s="181"/>
      <c r="X496" s="181"/>
      <c r="Y496" s="181"/>
      <c r="Z496" s="181"/>
      <c r="AA496" s="181"/>
    </row>
    <row r="497" customFormat="false" ht="15.75" hidden="false" customHeight="false" outlineLevel="0" collapsed="false">
      <c r="A497" s="181" t="str">
        <f aca="false">IF(ISBLANK(B497),"",B497&amp;"|"&amp;C497)</f>
        <v/>
      </c>
      <c r="B497" s="181"/>
      <c r="C497" s="181"/>
      <c r="D497" s="181"/>
      <c r="E497" s="186"/>
      <c r="F497" s="181"/>
      <c r="G497" s="181"/>
      <c r="H497" s="181"/>
      <c r="I497" s="181"/>
      <c r="J497" s="181"/>
      <c r="K497" s="181"/>
      <c r="L497" s="181"/>
      <c r="M497" s="181"/>
      <c r="N497" s="181"/>
      <c r="O497" s="181"/>
      <c r="P497" s="181"/>
      <c r="Q497" s="181"/>
      <c r="R497" s="181"/>
      <c r="S497" s="181"/>
      <c r="T497" s="181"/>
      <c r="U497" s="181"/>
      <c r="V497" s="181"/>
      <c r="W497" s="181"/>
      <c r="X497" s="181"/>
      <c r="Y497" s="181"/>
      <c r="Z497" s="181"/>
      <c r="AA497" s="181"/>
    </row>
    <row r="498" customFormat="false" ht="15.75" hidden="false" customHeight="false" outlineLevel="0" collapsed="false">
      <c r="A498" s="181" t="str">
        <f aca="false">IF(ISBLANK(B498),"",B498&amp;"|"&amp;C498)</f>
        <v/>
      </c>
      <c r="B498" s="181"/>
      <c r="C498" s="181"/>
      <c r="D498" s="181"/>
      <c r="E498" s="186"/>
      <c r="F498" s="181"/>
      <c r="G498" s="181"/>
      <c r="H498" s="181"/>
      <c r="I498" s="181"/>
      <c r="J498" s="181"/>
      <c r="K498" s="181"/>
      <c r="L498" s="181"/>
      <c r="M498" s="181"/>
      <c r="N498" s="181"/>
      <c r="O498" s="181"/>
      <c r="P498" s="181"/>
      <c r="Q498" s="181"/>
      <c r="R498" s="181"/>
      <c r="S498" s="181"/>
      <c r="T498" s="181"/>
      <c r="U498" s="181"/>
      <c r="V498" s="181"/>
      <c r="W498" s="181"/>
      <c r="X498" s="181"/>
      <c r="Y498" s="181"/>
      <c r="Z498" s="181"/>
      <c r="AA498" s="181"/>
    </row>
    <row r="499" customFormat="false" ht="15.75" hidden="false" customHeight="false" outlineLevel="0" collapsed="false">
      <c r="A499" s="181" t="str">
        <f aca="false">IF(ISBLANK(B499),"",B499&amp;"|"&amp;C499)</f>
        <v/>
      </c>
      <c r="B499" s="181"/>
      <c r="C499" s="181"/>
      <c r="D499" s="181"/>
      <c r="E499" s="186"/>
      <c r="F499" s="181"/>
      <c r="G499" s="181"/>
      <c r="H499" s="181"/>
      <c r="I499" s="181"/>
      <c r="J499" s="181"/>
      <c r="K499" s="181"/>
      <c r="L499" s="181"/>
      <c r="M499" s="181"/>
      <c r="N499" s="181"/>
      <c r="O499" s="181"/>
      <c r="P499" s="181"/>
      <c r="Q499" s="181"/>
      <c r="R499" s="181"/>
      <c r="S499" s="181"/>
      <c r="T499" s="181"/>
      <c r="U499" s="181"/>
      <c r="V499" s="181"/>
      <c r="W499" s="181"/>
      <c r="X499" s="181"/>
      <c r="Y499" s="181"/>
      <c r="Z499" s="181"/>
      <c r="AA499" s="181"/>
    </row>
    <row r="500" customFormat="false" ht="15.75" hidden="false" customHeight="false" outlineLevel="0" collapsed="false">
      <c r="A500" s="181" t="str">
        <f aca="false">IF(ISBLANK(B500),"",B500&amp;"|"&amp;C500)</f>
        <v/>
      </c>
      <c r="B500" s="181"/>
      <c r="C500" s="181"/>
      <c r="D500" s="181"/>
      <c r="E500" s="186"/>
      <c r="F500" s="181"/>
      <c r="G500" s="181"/>
      <c r="H500" s="181"/>
      <c r="I500" s="181"/>
      <c r="J500" s="181"/>
      <c r="K500" s="181"/>
      <c r="L500" s="181"/>
      <c r="M500" s="181"/>
      <c r="N500" s="181"/>
      <c r="O500" s="181"/>
      <c r="P500" s="181"/>
      <c r="Q500" s="181"/>
      <c r="R500" s="181"/>
      <c r="S500" s="181"/>
      <c r="T500" s="181"/>
      <c r="U500" s="181"/>
      <c r="V500" s="181"/>
      <c r="W500" s="181"/>
      <c r="X500" s="181"/>
      <c r="Y500" s="181"/>
      <c r="Z500" s="181"/>
      <c r="AA500" s="181"/>
    </row>
    <row r="501" customFormat="false" ht="15.75" hidden="false" customHeight="false" outlineLevel="0" collapsed="false">
      <c r="A501" s="181" t="str">
        <f aca="false">IF(ISBLANK(B501),"",B501&amp;"|"&amp;C501)</f>
        <v/>
      </c>
      <c r="B501" s="181"/>
      <c r="C501" s="181"/>
      <c r="D501" s="181"/>
      <c r="E501" s="186"/>
      <c r="F501" s="181"/>
      <c r="G501" s="181"/>
      <c r="H501" s="181"/>
      <c r="I501" s="181"/>
      <c r="J501" s="181"/>
      <c r="K501" s="181"/>
      <c r="L501" s="181"/>
      <c r="M501" s="181"/>
      <c r="N501" s="181"/>
      <c r="O501" s="181"/>
      <c r="P501" s="181"/>
      <c r="Q501" s="181"/>
      <c r="R501" s="181"/>
      <c r="S501" s="181"/>
      <c r="T501" s="181"/>
      <c r="U501" s="181"/>
      <c r="V501" s="181"/>
      <c r="W501" s="181"/>
      <c r="X501" s="181"/>
      <c r="Y501" s="181"/>
      <c r="Z501" s="181"/>
      <c r="AA501" s="181"/>
    </row>
    <row r="502" customFormat="false" ht="15.75" hidden="false" customHeight="false" outlineLevel="0" collapsed="false">
      <c r="A502" s="181" t="str">
        <f aca="false">IF(ISBLANK(B502),"",B502&amp;"|"&amp;C502)</f>
        <v/>
      </c>
      <c r="B502" s="181"/>
      <c r="C502" s="181"/>
      <c r="D502" s="181"/>
      <c r="E502" s="186"/>
      <c r="F502" s="181"/>
      <c r="G502" s="181"/>
      <c r="H502" s="181"/>
      <c r="I502" s="181"/>
      <c r="J502" s="181"/>
      <c r="K502" s="181"/>
      <c r="L502" s="181"/>
      <c r="M502" s="181"/>
      <c r="N502" s="181"/>
      <c r="O502" s="181"/>
      <c r="P502" s="181"/>
      <c r="Q502" s="181"/>
      <c r="R502" s="181"/>
      <c r="S502" s="181"/>
      <c r="T502" s="181"/>
      <c r="U502" s="181"/>
      <c r="V502" s="181"/>
      <c r="W502" s="181"/>
      <c r="X502" s="181"/>
      <c r="Y502" s="181"/>
      <c r="Z502" s="181"/>
      <c r="AA502" s="181"/>
    </row>
    <row r="503" customFormat="false" ht="15.75" hidden="false" customHeight="false" outlineLevel="0" collapsed="false">
      <c r="A503" s="181" t="str">
        <f aca="false">IF(ISBLANK(B503),"",B503&amp;"|"&amp;C503)</f>
        <v/>
      </c>
      <c r="B503" s="181"/>
      <c r="C503" s="181"/>
      <c r="D503" s="181"/>
      <c r="E503" s="186"/>
      <c r="F503" s="181"/>
      <c r="G503" s="181"/>
      <c r="H503" s="181"/>
      <c r="I503" s="181"/>
      <c r="J503" s="181"/>
      <c r="K503" s="181"/>
      <c r="L503" s="181"/>
      <c r="M503" s="181"/>
      <c r="N503" s="181"/>
      <c r="O503" s="181"/>
      <c r="P503" s="181"/>
      <c r="Q503" s="181"/>
      <c r="R503" s="181"/>
      <c r="S503" s="181"/>
      <c r="T503" s="181"/>
      <c r="U503" s="181"/>
      <c r="V503" s="181"/>
      <c r="W503" s="181"/>
      <c r="X503" s="181"/>
      <c r="Y503" s="181"/>
      <c r="Z503" s="181"/>
      <c r="AA503" s="181"/>
    </row>
    <row r="504" customFormat="false" ht="15.75" hidden="false" customHeight="false" outlineLevel="0" collapsed="false">
      <c r="A504" s="181" t="str">
        <f aca="false">IF(ISBLANK(B504),"",B504&amp;"|"&amp;C504)</f>
        <v/>
      </c>
      <c r="B504" s="181"/>
      <c r="C504" s="181"/>
      <c r="D504" s="181"/>
      <c r="E504" s="186"/>
      <c r="F504" s="181"/>
      <c r="G504" s="181"/>
      <c r="H504" s="181"/>
      <c r="I504" s="181"/>
      <c r="J504" s="181"/>
      <c r="K504" s="181"/>
      <c r="L504" s="181"/>
      <c r="M504" s="181"/>
      <c r="N504" s="181"/>
      <c r="O504" s="181"/>
      <c r="P504" s="181"/>
      <c r="Q504" s="181"/>
      <c r="R504" s="181"/>
      <c r="S504" s="181"/>
      <c r="T504" s="181"/>
      <c r="U504" s="181"/>
      <c r="V504" s="181"/>
      <c r="W504" s="181"/>
      <c r="X504" s="181"/>
      <c r="Y504" s="181"/>
      <c r="Z504" s="181"/>
      <c r="AA504" s="181"/>
    </row>
    <row r="505" customFormat="false" ht="15.75" hidden="false" customHeight="false" outlineLevel="0" collapsed="false">
      <c r="A505" s="181" t="str">
        <f aca="false">IF(ISBLANK(B505),"",B505&amp;"|"&amp;C505)</f>
        <v/>
      </c>
      <c r="B505" s="181"/>
      <c r="C505" s="181"/>
      <c r="D505" s="181"/>
      <c r="E505" s="186"/>
      <c r="F505" s="181"/>
      <c r="G505" s="181"/>
      <c r="H505" s="181"/>
      <c r="I505" s="181"/>
      <c r="J505" s="181"/>
      <c r="K505" s="181"/>
      <c r="L505" s="181"/>
      <c r="M505" s="181"/>
      <c r="N505" s="181"/>
      <c r="O505" s="181"/>
      <c r="P505" s="181"/>
      <c r="Q505" s="181"/>
      <c r="R505" s="181"/>
      <c r="S505" s="181"/>
      <c r="T505" s="181"/>
      <c r="U505" s="181"/>
      <c r="V505" s="181"/>
      <c r="W505" s="181"/>
      <c r="X505" s="181"/>
      <c r="Y505" s="181"/>
      <c r="Z505" s="181"/>
      <c r="AA505" s="181"/>
    </row>
    <row r="506" customFormat="false" ht="15.75" hidden="false" customHeight="false" outlineLevel="0" collapsed="false">
      <c r="A506" s="181" t="str">
        <f aca="false">IF(ISBLANK(B506),"",B506&amp;"|"&amp;C506)</f>
        <v/>
      </c>
      <c r="B506" s="181"/>
      <c r="C506" s="181"/>
      <c r="D506" s="181"/>
      <c r="E506" s="186"/>
      <c r="F506" s="181"/>
      <c r="G506" s="181"/>
      <c r="H506" s="181"/>
      <c r="I506" s="181"/>
      <c r="J506" s="181"/>
      <c r="K506" s="181"/>
      <c r="L506" s="181"/>
      <c r="M506" s="181"/>
      <c r="N506" s="181"/>
      <c r="O506" s="181"/>
      <c r="P506" s="181"/>
      <c r="Q506" s="181"/>
      <c r="R506" s="181"/>
      <c r="S506" s="181"/>
      <c r="T506" s="181"/>
      <c r="U506" s="181"/>
      <c r="V506" s="181"/>
      <c r="W506" s="181"/>
      <c r="X506" s="181"/>
      <c r="Y506" s="181"/>
      <c r="Z506" s="181"/>
      <c r="AA506" s="181"/>
    </row>
    <row r="507" customFormat="false" ht="15.75" hidden="false" customHeight="false" outlineLevel="0" collapsed="false">
      <c r="A507" s="181" t="str">
        <f aca="false">IF(ISBLANK(B507),"",B507&amp;"|"&amp;C507)</f>
        <v/>
      </c>
      <c r="B507" s="181"/>
      <c r="C507" s="181"/>
      <c r="D507" s="181"/>
      <c r="E507" s="186"/>
      <c r="F507" s="181"/>
      <c r="G507" s="181"/>
      <c r="H507" s="181"/>
      <c r="I507" s="181"/>
      <c r="J507" s="181"/>
      <c r="K507" s="181"/>
      <c r="L507" s="181"/>
      <c r="M507" s="181"/>
      <c r="N507" s="181"/>
      <c r="O507" s="181"/>
      <c r="P507" s="181"/>
      <c r="Q507" s="181"/>
      <c r="R507" s="181"/>
      <c r="S507" s="181"/>
      <c r="T507" s="181"/>
      <c r="U507" s="181"/>
      <c r="V507" s="181"/>
      <c r="W507" s="181"/>
      <c r="X507" s="181"/>
      <c r="Y507" s="181"/>
      <c r="Z507" s="181"/>
      <c r="AA507" s="181"/>
    </row>
    <row r="508" customFormat="false" ht="15.75" hidden="false" customHeight="false" outlineLevel="0" collapsed="false">
      <c r="A508" s="181" t="str">
        <f aca="false">IF(ISBLANK(B508),"",B508&amp;"|"&amp;C508)</f>
        <v/>
      </c>
      <c r="B508" s="181"/>
      <c r="C508" s="181"/>
      <c r="D508" s="181"/>
      <c r="E508" s="186"/>
      <c r="F508" s="181"/>
      <c r="G508" s="181"/>
      <c r="H508" s="181"/>
      <c r="I508" s="181"/>
      <c r="J508" s="181"/>
      <c r="K508" s="181"/>
      <c r="L508" s="181"/>
      <c r="M508" s="181"/>
      <c r="N508" s="181"/>
      <c r="O508" s="181"/>
      <c r="P508" s="181"/>
      <c r="Q508" s="181"/>
      <c r="R508" s="181"/>
      <c r="S508" s="181"/>
      <c r="T508" s="181"/>
      <c r="U508" s="181"/>
      <c r="V508" s="181"/>
      <c r="W508" s="181"/>
      <c r="X508" s="181"/>
      <c r="Y508" s="181"/>
      <c r="Z508" s="181"/>
      <c r="AA508" s="181"/>
    </row>
    <row r="509" customFormat="false" ht="15.75" hidden="false" customHeight="false" outlineLevel="0" collapsed="false">
      <c r="A509" s="181" t="str">
        <f aca="false">IF(ISBLANK(B509),"",B509&amp;"|"&amp;C509)</f>
        <v/>
      </c>
      <c r="B509" s="181"/>
      <c r="C509" s="181"/>
      <c r="D509" s="181"/>
      <c r="E509" s="186"/>
      <c r="F509" s="181"/>
      <c r="G509" s="181"/>
      <c r="H509" s="181"/>
      <c r="I509" s="181"/>
      <c r="J509" s="181"/>
      <c r="K509" s="181"/>
      <c r="L509" s="181"/>
      <c r="M509" s="181"/>
      <c r="N509" s="181"/>
      <c r="O509" s="181"/>
      <c r="P509" s="181"/>
      <c r="Q509" s="181"/>
      <c r="R509" s="181"/>
      <c r="S509" s="181"/>
      <c r="T509" s="181"/>
      <c r="U509" s="181"/>
      <c r="V509" s="181"/>
      <c r="W509" s="181"/>
      <c r="X509" s="181"/>
      <c r="Y509" s="181"/>
      <c r="Z509" s="181"/>
      <c r="AA509" s="181"/>
    </row>
    <row r="510" customFormat="false" ht="15.75" hidden="false" customHeight="false" outlineLevel="0" collapsed="false">
      <c r="A510" s="181" t="str">
        <f aca="false">IF(ISBLANK(B510),"",B510&amp;"|"&amp;C510)</f>
        <v/>
      </c>
      <c r="B510" s="181"/>
      <c r="C510" s="181"/>
      <c r="D510" s="181"/>
      <c r="E510" s="186"/>
      <c r="F510" s="181"/>
      <c r="G510" s="181"/>
      <c r="H510" s="181"/>
      <c r="I510" s="181"/>
      <c r="J510" s="181"/>
      <c r="K510" s="181"/>
      <c r="L510" s="181"/>
      <c r="M510" s="181"/>
      <c r="N510" s="181"/>
      <c r="O510" s="181"/>
      <c r="P510" s="181"/>
      <c r="Q510" s="181"/>
      <c r="R510" s="181"/>
      <c r="S510" s="181"/>
      <c r="T510" s="181"/>
      <c r="U510" s="181"/>
      <c r="V510" s="181"/>
      <c r="W510" s="181"/>
      <c r="X510" s="181"/>
      <c r="Y510" s="181"/>
      <c r="Z510" s="181"/>
      <c r="AA510" s="181"/>
    </row>
    <row r="511" customFormat="false" ht="15.75" hidden="false" customHeight="false" outlineLevel="0" collapsed="false">
      <c r="A511" s="181" t="str">
        <f aca="false">IF(ISBLANK(B511),"",B511&amp;"|"&amp;C511)</f>
        <v/>
      </c>
      <c r="B511" s="181"/>
      <c r="C511" s="181"/>
      <c r="D511" s="181"/>
      <c r="E511" s="186"/>
      <c r="F511" s="181"/>
      <c r="G511" s="181"/>
      <c r="H511" s="181"/>
      <c r="I511" s="181"/>
      <c r="J511" s="181"/>
      <c r="K511" s="181"/>
      <c r="L511" s="181"/>
      <c r="M511" s="181"/>
      <c r="N511" s="181"/>
      <c r="O511" s="181"/>
      <c r="P511" s="181"/>
      <c r="Q511" s="181"/>
      <c r="R511" s="181"/>
      <c r="S511" s="181"/>
      <c r="T511" s="181"/>
      <c r="U511" s="181"/>
      <c r="V511" s="181"/>
      <c r="W511" s="181"/>
      <c r="X511" s="181"/>
      <c r="Y511" s="181"/>
      <c r="Z511" s="181"/>
      <c r="AA511" s="181"/>
    </row>
    <row r="512" customFormat="false" ht="15.75" hidden="false" customHeight="false" outlineLevel="0" collapsed="false">
      <c r="A512" s="181" t="str">
        <f aca="false">IF(ISBLANK(B512),"",B512&amp;"|"&amp;C512)</f>
        <v/>
      </c>
      <c r="B512" s="181"/>
      <c r="C512" s="181"/>
      <c r="D512" s="181"/>
      <c r="E512" s="186"/>
      <c r="F512" s="181"/>
      <c r="G512" s="181"/>
      <c r="H512" s="181"/>
      <c r="I512" s="181"/>
      <c r="J512" s="181"/>
      <c r="K512" s="181"/>
      <c r="L512" s="181"/>
      <c r="M512" s="181"/>
      <c r="N512" s="181"/>
      <c r="O512" s="181"/>
      <c r="P512" s="181"/>
      <c r="Q512" s="181"/>
      <c r="R512" s="181"/>
      <c r="S512" s="181"/>
      <c r="T512" s="181"/>
      <c r="U512" s="181"/>
      <c r="V512" s="181"/>
      <c r="W512" s="181"/>
      <c r="X512" s="181"/>
      <c r="Y512" s="181"/>
      <c r="Z512" s="181"/>
      <c r="AA512" s="181"/>
    </row>
    <row r="513" customFormat="false" ht="15.75" hidden="false" customHeight="false" outlineLevel="0" collapsed="false">
      <c r="A513" s="181" t="str">
        <f aca="false">IF(ISBLANK(B513),"",B513&amp;"|"&amp;C513)</f>
        <v/>
      </c>
      <c r="B513" s="181"/>
      <c r="C513" s="181"/>
      <c r="D513" s="181"/>
      <c r="E513" s="186"/>
      <c r="F513" s="181"/>
      <c r="G513" s="181"/>
      <c r="H513" s="181"/>
      <c r="I513" s="181"/>
      <c r="J513" s="181"/>
      <c r="K513" s="181"/>
      <c r="L513" s="181"/>
      <c r="M513" s="181"/>
      <c r="N513" s="181"/>
      <c r="O513" s="181"/>
      <c r="P513" s="181"/>
      <c r="Q513" s="181"/>
      <c r="R513" s="181"/>
      <c r="S513" s="181"/>
      <c r="T513" s="181"/>
      <c r="U513" s="181"/>
      <c r="V513" s="181"/>
      <c r="W513" s="181"/>
      <c r="X513" s="181"/>
      <c r="Y513" s="181"/>
      <c r="Z513" s="181"/>
      <c r="AA513" s="181"/>
    </row>
    <row r="514" customFormat="false" ht="15.75" hidden="false" customHeight="false" outlineLevel="0" collapsed="false">
      <c r="A514" s="181" t="str">
        <f aca="false">IF(ISBLANK(B514),"",B514&amp;"|"&amp;C514)</f>
        <v/>
      </c>
      <c r="B514" s="181"/>
      <c r="C514" s="181"/>
      <c r="D514" s="181"/>
      <c r="E514" s="186"/>
      <c r="F514" s="181"/>
      <c r="G514" s="181"/>
      <c r="H514" s="181"/>
      <c r="I514" s="181"/>
      <c r="J514" s="181"/>
      <c r="K514" s="181"/>
      <c r="L514" s="181"/>
      <c r="M514" s="181"/>
      <c r="N514" s="181"/>
      <c r="O514" s="181"/>
      <c r="P514" s="181"/>
      <c r="Q514" s="181"/>
      <c r="R514" s="181"/>
      <c r="S514" s="181"/>
      <c r="T514" s="181"/>
      <c r="U514" s="181"/>
      <c r="V514" s="181"/>
      <c r="W514" s="181"/>
      <c r="X514" s="181"/>
      <c r="Y514" s="181"/>
      <c r="Z514" s="181"/>
      <c r="AA514" s="181"/>
    </row>
    <row r="515" customFormat="false" ht="15.75" hidden="false" customHeight="false" outlineLevel="0" collapsed="false">
      <c r="A515" s="181" t="str">
        <f aca="false">IF(ISBLANK(B515),"",B515&amp;"|"&amp;C515)</f>
        <v/>
      </c>
      <c r="B515" s="181"/>
      <c r="C515" s="181"/>
      <c r="D515" s="181"/>
      <c r="E515" s="186"/>
      <c r="F515" s="181"/>
      <c r="G515" s="181"/>
      <c r="H515" s="181"/>
      <c r="I515" s="181"/>
      <c r="J515" s="181"/>
      <c r="K515" s="181"/>
      <c r="L515" s="181"/>
      <c r="M515" s="181"/>
      <c r="N515" s="181"/>
      <c r="O515" s="181"/>
      <c r="P515" s="181"/>
      <c r="Q515" s="181"/>
      <c r="R515" s="181"/>
      <c r="S515" s="181"/>
      <c r="T515" s="181"/>
      <c r="U515" s="181"/>
      <c r="V515" s="181"/>
      <c r="W515" s="181"/>
      <c r="X515" s="181"/>
      <c r="Y515" s="181"/>
      <c r="Z515" s="181"/>
      <c r="AA515" s="181"/>
    </row>
    <row r="516" customFormat="false" ht="15.75" hidden="false" customHeight="false" outlineLevel="0" collapsed="false">
      <c r="A516" s="181" t="str">
        <f aca="false">IF(ISBLANK(B516),"",B516&amp;"|"&amp;C516)</f>
        <v/>
      </c>
      <c r="B516" s="181"/>
      <c r="C516" s="181"/>
      <c r="D516" s="181"/>
      <c r="E516" s="186"/>
      <c r="F516" s="181"/>
      <c r="G516" s="181"/>
      <c r="H516" s="181"/>
      <c r="I516" s="181"/>
      <c r="J516" s="181"/>
      <c r="K516" s="181"/>
      <c r="L516" s="181"/>
      <c r="M516" s="181"/>
      <c r="N516" s="181"/>
      <c r="O516" s="181"/>
      <c r="P516" s="181"/>
      <c r="Q516" s="181"/>
      <c r="R516" s="181"/>
      <c r="S516" s="181"/>
      <c r="T516" s="181"/>
      <c r="U516" s="181"/>
      <c r="V516" s="181"/>
      <c r="W516" s="181"/>
      <c r="X516" s="181"/>
      <c r="Y516" s="181"/>
      <c r="Z516" s="181"/>
      <c r="AA516" s="181"/>
    </row>
    <row r="517" customFormat="false" ht="15.75" hidden="false" customHeight="false" outlineLevel="0" collapsed="false">
      <c r="A517" s="181" t="str">
        <f aca="false">IF(ISBLANK(B517),"",B517&amp;"|"&amp;C517)</f>
        <v/>
      </c>
      <c r="B517" s="181"/>
      <c r="C517" s="181"/>
      <c r="D517" s="181"/>
      <c r="E517" s="186"/>
      <c r="F517" s="181"/>
      <c r="G517" s="181"/>
      <c r="H517" s="181"/>
      <c r="I517" s="181"/>
      <c r="J517" s="181"/>
      <c r="K517" s="181"/>
      <c r="L517" s="181"/>
      <c r="M517" s="181"/>
      <c r="N517" s="181"/>
      <c r="O517" s="181"/>
      <c r="P517" s="181"/>
      <c r="Q517" s="181"/>
      <c r="R517" s="181"/>
      <c r="S517" s="181"/>
      <c r="T517" s="181"/>
      <c r="U517" s="181"/>
      <c r="V517" s="181"/>
      <c r="W517" s="181"/>
      <c r="X517" s="181"/>
      <c r="Y517" s="181"/>
      <c r="Z517" s="181"/>
      <c r="AA517" s="181"/>
    </row>
    <row r="518" customFormat="false" ht="15.75" hidden="false" customHeight="false" outlineLevel="0" collapsed="false">
      <c r="A518" s="181" t="str">
        <f aca="false">IF(ISBLANK(B518),"",B518&amp;"|"&amp;C518)</f>
        <v/>
      </c>
      <c r="B518" s="181"/>
      <c r="C518" s="181"/>
      <c r="D518" s="181"/>
      <c r="E518" s="186"/>
      <c r="F518" s="181"/>
      <c r="G518" s="181"/>
      <c r="H518" s="181"/>
      <c r="I518" s="181"/>
      <c r="J518" s="181"/>
      <c r="K518" s="181"/>
      <c r="L518" s="181"/>
      <c r="M518" s="181"/>
      <c r="N518" s="181"/>
      <c r="O518" s="181"/>
      <c r="P518" s="181"/>
      <c r="Q518" s="181"/>
      <c r="R518" s="181"/>
      <c r="S518" s="181"/>
      <c r="T518" s="181"/>
      <c r="U518" s="181"/>
      <c r="V518" s="181"/>
      <c r="W518" s="181"/>
      <c r="X518" s="181"/>
      <c r="Y518" s="181"/>
      <c r="Z518" s="181"/>
      <c r="AA518" s="181"/>
    </row>
    <row r="519" customFormat="false" ht="15.75" hidden="false" customHeight="false" outlineLevel="0" collapsed="false">
      <c r="A519" s="181" t="str">
        <f aca="false">IF(ISBLANK(B519),"",B519&amp;"|"&amp;C519)</f>
        <v/>
      </c>
      <c r="B519" s="181"/>
      <c r="C519" s="181"/>
      <c r="D519" s="181"/>
      <c r="E519" s="186"/>
      <c r="F519" s="181"/>
      <c r="G519" s="181"/>
      <c r="H519" s="181"/>
      <c r="I519" s="181"/>
      <c r="J519" s="181"/>
      <c r="K519" s="181"/>
      <c r="L519" s="181"/>
      <c r="M519" s="181"/>
      <c r="N519" s="181"/>
      <c r="O519" s="181"/>
      <c r="P519" s="181"/>
      <c r="Q519" s="181"/>
      <c r="R519" s="181"/>
      <c r="S519" s="181"/>
      <c r="T519" s="181"/>
      <c r="U519" s="181"/>
      <c r="V519" s="181"/>
      <c r="W519" s="181"/>
      <c r="X519" s="181"/>
      <c r="Y519" s="181"/>
      <c r="Z519" s="181"/>
      <c r="AA519" s="181"/>
    </row>
    <row r="520" customFormat="false" ht="15.75" hidden="false" customHeight="false" outlineLevel="0" collapsed="false">
      <c r="A520" s="181" t="str">
        <f aca="false">IF(ISBLANK(B520),"",B520&amp;"|"&amp;C520)</f>
        <v/>
      </c>
      <c r="B520" s="181"/>
      <c r="C520" s="181"/>
      <c r="D520" s="181"/>
      <c r="E520" s="186"/>
      <c r="F520" s="181"/>
      <c r="G520" s="181"/>
      <c r="H520" s="181"/>
      <c r="I520" s="181"/>
      <c r="J520" s="181"/>
      <c r="K520" s="181"/>
      <c r="L520" s="181"/>
      <c r="M520" s="181"/>
      <c r="N520" s="181"/>
      <c r="O520" s="181"/>
      <c r="P520" s="181"/>
      <c r="Q520" s="181"/>
      <c r="R520" s="181"/>
      <c r="S520" s="181"/>
      <c r="T520" s="181"/>
      <c r="U520" s="181"/>
      <c r="V520" s="181"/>
      <c r="W520" s="181"/>
      <c r="X520" s="181"/>
      <c r="Y520" s="181"/>
      <c r="Z520" s="181"/>
      <c r="AA520" s="181"/>
    </row>
    <row r="521" customFormat="false" ht="15.75" hidden="false" customHeight="false" outlineLevel="0" collapsed="false">
      <c r="A521" s="181" t="str">
        <f aca="false">IF(ISBLANK(B521),"",B521&amp;"|"&amp;C521)</f>
        <v/>
      </c>
      <c r="B521" s="181"/>
      <c r="C521" s="181"/>
      <c r="D521" s="181"/>
      <c r="E521" s="186"/>
      <c r="F521" s="181"/>
      <c r="G521" s="181"/>
      <c r="H521" s="181"/>
      <c r="I521" s="181"/>
      <c r="J521" s="181"/>
      <c r="K521" s="181"/>
      <c r="L521" s="181"/>
      <c r="M521" s="181"/>
      <c r="N521" s="181"/>
      <c r="O521" s="181"/>
      <c r="P521" s="181"/>
      <c r="Q521" s="181"/>
      <c r="R521" s="181"/>
      <c r="S521" s="181"/>
      <c r="T521" s="181"/>
      <c r="U521" s="181"/>
      <c r="V521" s="181"/>
      <c r="W521" s="181"/>
      <c r="X521" s="181"/>
      <c r="Y521" s="181"/>
      <c r="Z521" s="181"/>
      <c r="AA521" s="181"/>
    </row>
    <row r="522" customFormat="false" ht="15.75" hidden="false" customHeight="false" outlineLevel="0" collapsed="false">
      <c r="A522" s="181" t="str">
        <f aca="false">IF(ISBLANK(B522),"",B522&amp;"|"&amp;C522)</f>
        <v/>
      </c>
      <c r="B522" s="181"/>
      <c r="C522" s="181"/>
      <c r="D522" s="181"/>
      <c r="E522" s="186"/>
      <c r="F522" s="181"/>
      <c r="G522" s="181"/>
      <c r="H522" s="181"/>
      <c r="I522" s="181"/>
      <c r="J522" s="181"/>
      <c r="K522" s="181"/>
      <c r="L522" s="181"/>
      <c r="M522" s="181"/>
      <c r="N522" s="181"/>
      <c r="O522" s="181"/>
      <c r="P522" s="181"/>
      <c r="Q522" s="181"/>
      <c r="R522" s="181"/>
      <c r="S522" s="181"/>
      <c r="T522" s="181"/>
      <c r="U522" s="181"/>
      <c r="V522" s="181"/>
      <c r="W522" s="181"/>
      <c r="X522" s="181"/>
      <c r="Y522" s="181"/>
      <c r="Z522" s="181"/>
      <c r="AA522" s="181"/>
    </row>
    <row r="523" customFormat="false" ht="15.75" hidden="false" customHeight="false" outlineLevel="0" collapsed="false">
      <c r="A523" s="181" t="str">
        <f aca="false">IF(ISBLANK(B523),"",B523&amp;"|"&amp;C523)</f>
        <v/>
      </c>
      <c r="B523" s="181"/>
      <c r="C523" s="181"/>
      <c r="D523" s="181"/>
      <c r="E523" s="186"/>
      <c r="F523" s="181"/>
      <c r="G523" s="181"/>
      <c r="H523" s="181"/>
      <c r="I523" s="181"/>
      <c r="J523" s="181"/>
      <c r="K523" s="181"/>
      <c r="L523" s="181"/>
      <c r="M523" s="181"/>
      <c r="N523" s="181"/>
      <c r="O523" s="181"/>
      <c r="P523" s="181"/>
      <c r="Q523" s="181"/>
      <c r="R523" s="181"/>
      <c r="S523" s="181"/>
      <c r="T523" s="181"/>
      <c r="U523" s="181"/>
      <c r="V523" s="181"/>
      <c r="W523" s="181"/>
      <c r="X523" s="181"/>
      <c r="Y523" s="181"/>
      <c r="Z523" s="181"/>
      <c r="AA523" s="181"/>
    </row>
    <row r="524" customFormat="false" ht="15.75" hidden="false" customHeight="false" outlineLevel="0" collapsed="false">
      <c r="A524" s="181" t="str">
        <f aca="false">IF(ISBLANK(B524),"",B524&amp;"|"&amp;C524)</f>
        <v/>
      </c>
      <c r="B524" s="181"/>
      <c r="C524" s="181"/>
      <c r="D524" s="181"/>
      <c r="E524" s="186"/>
      <c r="F524" s="181"/>
      <c r="G524" s="181"/>
      <c r="H524" s="181"/>
      <c r="I524" s="181"/>
      <c r="J524" s="181"/>
      <c r="K524" s="181"/>
      <c r="L524" s="181"/>
      <c r="M524" s="181"/>
      <c r="N524" s="181"/>
      <c r="O524" s="181"/>
      <c r="P524" s="181"/>
      <c r="Q524" s="181"/>
      <c r="R524" s="181"/>
      <c r="S524" s="181"/>
      <c r="T524" s="181"/>
      <c r="U524" s="181"/>
      <c r="V524" s="181"/>
      <c r="W524" s="181"/>
      <c r="X524" s="181"/>
      <c r="Y524" s="181"/>
      <c r="Z524" s="181"/>
      <c r="AA524" s="181"/>
    </row>
    <row r="525" customFormat="false" ht="15.75" hidden="false" customHeight="false" outlineLevel="0" collapsed="false">
      <c r="A525" s="181" t="str">
        <f aca="false">IF(ISBLANK(B525),"",B525&amp;"|"&amp;C525)</f>
        <v/>
      </c>
      <c r="B525" s="181"/>
      <c r="C525" s="181"/>
      <c r="D525" s="181"/>
      <c r="E525" s="186"/>
      <c r="F525" s="181"/>
      <c r="G525" s="181"/>
      <c r="H525" s="181"/>
      <c r="I525" s="181"/>
      <c r="J525" s="181"/>
      <c r="K525" s="181"/>
      <c r="L525" s="181"/>
      <c r="M525" s="181"/>
      <c r="N525" s="181"/>
      <c r="O525" s="181"/>
      <c r="P525" s="181"/>
      <c r="Q525" s="181"/>
      <c r="R525" s="181"/>
      <c r="S525" s="181"/>
      <c r="T525" s="181"/>
      <c r="U525" s="181"/>
      <c r="V525" s="181"/>
      <c r="W525" s="181"/>
      <c r="X525" s="181"/>
      <c r="Y525" s="181"/>
      <c r="Z525" s="181"/>
      <c r="AA525" s="181"/>
    </row>
    <row r="526" customFormat="false" ht="15.75" hidden="false" customHeight="false" outlineLevel="0" collapsed="false">
      <c r="A526" s="181" t="str">
        <f aca="false">IF(ISBLANK(B526),"",B526&amp;"|"&amp;C526)</f>
        <v/>
      </c>
      <c r="B526" s="181"/>
      <c r="C526" s="181"/>
      <c r="D526" s="181"/>
      <c r="E526" s="186"/>
      <c r="F526" s="181"/>
      <c r="G526" s="181"/>
      <c r="H526" s="181"/>
      <c r="I526" s="181"/>
      <c r="J526" s="181"/>
      <c r="K526" s="181"/>
      <c r="L526" s="181"/>
      <c r="M526" s="181"/>
      <c r="N526" s="181"/>
      <c r="O526" s="181"/>
      <c r="P526" s="181"/>
      <c r="Q526" s="181"/>
      <c r="R526" s="181"/>
      <c r="S526" s="181"/>
      <c r="T526" s="181"/>
      <c r="U526" s="181"/>
      <c r="V526" s="181"/>
      <c r="W526" s="181"/>
      <c r="X526" s="181"/>
      <c r="Y526" s="181"/>
      <c r="Z526" s="181"/>
      <c r="AA526" s="181"/>
    </row>
    <row r="527" customFormat="false" ht="15.75" hidden="false" customHeight="false" outlineLevel="0" collapsed="false">
      <c r="A527" s="181" t="str">
        <f aca="false">IF(ISBLANK(B527),"",B527&amp;"|"&amp;C527)</f>
        <v/>
      </c>
      <c r="B527" s="181"/>
      <c r="C527" s="181"/>
      <c r="D527" s="181"/>
      <c r="E527" s="186"/>
      <c r="F527" s="181"/>
      <c r="G527" s="181"/>
      <c r="H527" s="181"/>
      <c r="I527" s="181"/>
      <c r="J527" s="181"/>
      <c r="K527" s="181"/>
      <c r="L527" s="181"/>
      <c r="M527" s="181"/>
      <c r="N527" s="181"/>
      <c r="O527" s="181"/>
      <c r="P527" s="181"/>
      <c r="Q527" s="181"/>
      <c r="R527" s="181"/>
      <c r="S527" s="181"/>
      <c r="T527" s="181"/>
      <c r="U527" s="181"/>
      <c r="V527" s="181"/>
      <c r="W527" s="181"/>
      <c r="X527" s="181"/>
      <c r="Y527" s="181"/>
      <c r="Z527" s="181"/>
      <c r="AA527" s="181"/>
    </row>
    <row r="528" customFormat="false" ht="15.75" hidden="false" customHeight="false" outlineLevel="0" collapsed="false">
      <c r="A528" s="181" t="str">
        <f aca="false">IF(ISBLANK(B528),"",B528&amp;"|"&amp;C528)</f>
        <v/>
      </c>
      <c r="B528" s="181"/>
      <c r="C528" s="181"/>
      <c r="D528" s="181"/>
      <c r="E528" s="186"/>
      <c r="F528" s="181"/>
      <c r="G528" s="181"/>
      <c r="H528" s="181"/>
      <c r="I528" s="181"/>
      <c r="J528" s="181"/>
      <c r="K528" s="181"/>
      <c r="L528" s="181"/>
      <c r="M528" s="181"/>
      <c r="N528" s="181"/>
      <c r="O528" s="181"/>
      <c r="P528" s="181"/>
      <c r="Q528" s="181"/>
      <c r="R528" s="181"/>
      <c r="S528" s="181"/>
      <c r="T528" s="181"/>
      <c r="U528" s="181"/>
      <c r="V528" s="181"/>
      <c r="W528" s="181"/>
      <c r="X528" s="181"/>
      <c r="Y528" s="181"/>
      <c r="Z528" s="181"/>
      <c r="AA528" s="181"/>
    </row>
    <row r="529" customFormat="false" ht="15.75" hidden="false" customHeight="false" outlineLevel="0" collapsed="false">
      <c r="A529" s="181" t="str">
        <f aca="false">IF(ISBLANK(B529),"",B529&amp;"|"&amp;C529)</f>
        <v/>
      </c>
      <c r="B529" s="181"/>
      <c r="C529" s="181"/>
      <c r="D529" s="181"/>
      <c r="E529" s="186"/>
      <c r="F529" s="181"/>
      <c r="G529" s="181"/>
      <c r="H529" s="181"/>
      <c r="I529" s="181"/>
      <c r="J529" s="181"/>
      <c r="K529" s="181"/>
      <c r="L529" s="181"/>
      <c r="M529" s="181"/>
      <c r="N529" s="181"/>
      <c r="O529" s="181"/>
      <c r="P529" s="181"/>
      <c r="Q529" s="181"/>
      <c r="R529" s="181"/>
      <c r="S529" s="181"/>
      <c r="T529" s="181"/>
      <c r="U529" s="181"/>
      <c r="V529" s="181"/>
      <c r="W529" s="181"/>
      <c r="X529" s="181"/>
      <c r="Y529" s="181"/>
      <c r="Z529" s="181"/>
      <c r="AA529" s="181"/>
    </row>
    <row r="530" customFormat="false" ht="15.75" hidden="false" customHeight="false" outlineLevel="0" collapsed="false">
      <c r="A530" s="181" t="str">
        <f aca="false">IF(ISBLANK(B530),"",B530&amp;"|"&amp;C530)</f>
        <v/>
      </c>
      <c r="B530" s="181"/>
      <c r="C530" s="181"/>
      <c r="D530" s="181"/>
      <c r="E530" s="186"/>
      <c r="F530" s="181"/>
      <c r="G530" s="181"/>
      <c r="H530" s="181"/>
      <c r="I530" s="181"/>
      <c r="J530" s="181"/>
      <c r="K530" s="181"/>
      <c r="L530" s="181"/>
      <c r="M530" s="181"/>
      <c r="N530" s="181"/>
      <c r="O530" s="181"/>
      <c r="P530" s="181"/>
      <c r="Q530" s="181"/>
      <c r="R530" s="181"/>
      <c r="S530" s="181"/>
      <c r="T530" s="181"/>
      <c r="U530" s="181"/>
      <c r="V530" s="181"/>
      <c r="W530" s="181"/>
      <c r="X530" s="181"/>
      <c r="Y530" s="181"/>
      <c r="Z530" s="181"/>
      <c r="AA530" s="181"/>
    </row>
    <row r="531" customFormat="false" ht="15.75" hidden="false" customHeight="false" outlineLevel="0" collapsed="false">
      <c r="A531" s="181" t="str">
        <f aca="false">IF(ISBLANK(B531),"",B531&amp;"|"&amp;C531)</f>
        <v/>
      </c>
      <c r="B531" s="181"/>
      <c r="C531" s="181"/>
      <c r="D531" s="181"/>
      <c r="E531" s="186"/>
      <c r="F531" s="181"/>
      <c r="G531" s="181"/>
      <c r="H531" s="181"/>
      <c r="I531" s="181"/>
      <c r="J531" s="181"/>
      <c r="K531" s="181"/>
      <c r="L531" s="181"/>
      <c r="M531" s="181"/>
      <c r="N531" s="181"/>
      <c r="O531" s="181"/>
      <c r="P531" s="181"/>
      <c r="Q531" s="181"/>
      <c r="R531" s="181"/>
      <c r="S531" s="181"/>
      <c r="T531" s="181"/>
      <c r="U531" s="181"/>
      <c r="V531" s="181"/>
      <c r="W531" s="181"/>
      <c r="X531" s="181"/>
      <c r="Y531" s="181"/>
      <c r="Z531" s="181"/>
      <c r="AA531" s="181"/>
    </row>
    <row r="532" customFormat="false" ht="15.75" hidden="false" customHeight="false" outlineLevel="0" collapsed="false">
      <c r="A532" s="181" t="str">
        <f aca="false">IF(ISBLANK(B532),"",B532&amp;"|"&amp;C532)</f>
        <v/>
      </c>
      <c r="B532" s="181"/>
      <c r="C532" s="181"/>
      <c r="D532" s="181"/>
      <c r="E532" s="186"/>
      <c r="F532" s="181"/>
      <c r="G532" s="181"/>
      <c r="H532" s="181"/>
      <c r="I532" s="181"/>
      <c r="J532" s="181"/>
      <c r="K532" s="181"/>
      <c r="L532" s="181"/>
      <c r="M532" s="181"/>
      <c r="N532" s="181"/>
      <c r="O532" s="181"/>
      <c r="P532" s="181"/>
      <c r="Q532" s="181"/>
      <c r="R532" s="181"/>
      <c r="S532" s="181"/>
      <c r="T532" s="181"/>
      <c r="U532" s="181"/>
      <c r="V532" s="181"/>
      <c r="W532" s="181"/>
      <c r="X532" s="181"/>
      <c r="Y532" s="181"/>
      <c r="Z532" s="181"/>
      <c r="AA532" s="181"/>
    </row>
    <row r="533" customFormat="false" ht="15.75" hidden="false" customHeight="false" outlineLevel="0" collapsed="false">
      <c r="A533" s="181" t="str">
        <f aca="false">IF(ISBLANK(B533),"",B533&amp;"|"&amp;C533)</f>
        <v/>
      </c>
      <c r="B533" s="181"/>
      <c r="C533" s="181"/>
      <c r="D533" s="181"/>
      <c r="E533" s="186"/>
      <c r="F533" s="181"/>
      <c r="G533" s="181"/>
      <c r="H533" s="181"/>
      <c r="I533" s="181"/>
      <c r="J533" s="181"/>
      <c r="K533" s="181"/>
      <c r="L533" s="181"/>
      <c r="M533" s="181"/>
      <c r="N533" s="181"/>
      <c r="O533" s="181"/>
      <c r="P533" s="181"/>
      <c r="Q533" s="181"/>
      <c r="R533" s="181"/>
      <c r="S533" s="181"/>
      <c r="T533" s="181"/>
      <c r="U533" s="181"/>
      <c r="V533" s="181"/>
      <c r="W533" s="181"/>
      <c r="X533" s="181"/>
      <c r="Y533" s="181"/>
      <c r="Z533" s="181"/>
      <c r="AA533" s="181"/>
    </row>
    <row r="534" customFormat="false" ht="15.75" hidden="false" customHeight="false" outlineLevel="0" collapsed="false">
      <c r="A534" s="181" t="str">
        <f aca="false">IF(ISBLANK(B534),"",B534&amp;"|"&amp;C534)</f>
        <v/>
      </c>
      <c r="B534" s="181"/>
      <c r="C534" s="181"/>
      <c r="D534" s="181"/>
      <c r="E534" s="186"/>
      <c r="F534" s="181"/>
      <c r="G534" s="181"/>
      <c r="H534" s="181"/>
      <c r="I534" s="181"/>
      <c r="J534" s="181"/>
      <c r="K534" s="181"/>
      <c r="L534" s="181"/>
      <c r="M534" s="181"/>
      <c r="N534" s="181"/>
      <c r="O534" s="181"/>
      <c r="P534" s="181"/>
      <c r="Q534" s="181"/>
      <c r="R534" s="181"/>
      <c r="S534" s="181"/>
      <c r="T534" s="181"/>
      <c r="U534" s="181"/>
      <c r="V534" s="181"/>
      <c r="W534" s="181"/>
      <c r="X534" s="181"/>
      <c r="Y534" s="181"/>
      <c r="Z534" s="181"/>
      <c r="AA534" s="181"/>
    </row>
    <row r="535" customFormat="false" ht="15.75" hidden="false" customHeight="false" outlineLevel="0" collapsed="false">
      <c r="A535" s="181" t="str">
        <f aca="false">IF(ISBLANK(B535),"",B535&amp;"|"&amp;C535)</f>
        <v/>
      </c>
      <c r="B535" s="181"/>
      <c r="C535" s="181"/>
      <c r="D535" s="181"/>
      <c r="E535" s="186"/>
      <c r="F535" s="181"/>
      <c r="G535" s="181"/>
      <c r="H535" s="181"/>
      <c r="I535" s="181"/>
      <c r="J535" s="181"/>
      <c r="K535" s="181"/>
      <c r="L535" s="181"/>
      <c r="M535" s="181"/>
      <c r="N535" s="181"/>
      <c r="O535" s="181"/>
      <c r="P535" s="181"/>
      <c r="Q535" s="181"/>
      <c r="R535" s="181"/>
      <c r="S535" s="181"/>
      <c r="T535" s="181"/>
      <c r="U535" s="181"/>
      <c r="V535" s="181"/>
      <c r="W535" s="181"/>
      <c r="X535" s="181"/>
      <c r="Y535" s="181"/>
      <c r="Z535" s="181"/>
      <c r="AA535" s="181"/>
    </row>
    <row r="536" customFormat="false" ht="15.75" hidden="false" customHeight="false" outlineLevel="0" collapsed="false">
      <c r="A536" s="181" t="str">
        <f aca="false">IF(ISBLANK(B536),"",B536&amp;"|"&amp;C536)</f>
        <v/>
      </c>
      <c r="B536" s="181"/>
      <c r="C536" s="181"/>
      <c r="D536" s="181"/>
      <c r="E536" s="186"/>
      <c r="F536" s="181"/>
      <c r="G536" s="181"/>
      <c r="H536" s="181"/>
      <c r="I536" s="181"/>
      <c r="J536" s="181"/>
      <c r="K536" s="181"/>
      <c r="L536" s="181"/>
      <c r="M536" s="181"/>
      <c r="N536" s="181"/>
      <c r="O536" s="181"/>
      <c r="P536" s="181"/>
      <c r="Q536" s="181"/>
      <c r="R536" s="181"/>
      <c r="S536" s="181"/>
      <c r="T536" s="181"/>
      <c r="U536" s="181"/>
      <c r="V536" s="181"/>
      <c r="W536" s="181"/>
      <c r="X536" s="181"/>
      <c r="Y536" s="181"/>
      <c r="Z536" s="181"/>
      <c r="AA536" s="181"/>
    </row>
    <row r="537" customFormat="false" ht="15.75" hidden="false" customHeight="false" outlineLevel="0" collapsed="false">
      <c r="A537" s="181" t="str">
        <f aca="false">IF(ISBLANK(B537),"",B537&amp;"|"&amp;C537)</f>
        <v/>
      </c>
      <c r="B537" s="181"/>
      <c r="C537" s="181"/>
      <c r="D537" s="181"/>
      <c r="E537" s="186"/>
      <c r="F537" s="181"/>
      <c r="G537" s="181"/>
      <c r="H537" s="181"/>
      <c r="I537" s="181"/>
      <c r="J537" s="181"/>
      <c r="K537" s="181"/>
      <c r="L537" s="181"/>
      <c r="M537" s="181"/>
      <c r="N537" s="181"/>
      <c r="O537" s="181"/>
      <c r="P537" s="181"/>
      <c r="Q537" s="181"/>
      <c r="R537" s="181"/>
      <c r="S537" s="181"/>
      <c r="T537" s="181"/>
      <c r="U537" s="181"/>
      <c r="V537" s="181"/>
      <c r="W537" s="181"/>
      <c r="X537" s="181"/>
      <c r="Y537" s="181"/>
      <c r="Z537" s="181"/>
      <c r="AA537" s="181"/>
    </row>
    <row r="538" customFormat="false" ht="15.75" hidden="false" customHeight="false" outlineLevel="0" collapsed="false">
      <c r="A538" s="181" t="str">
        <f aca="false">IF(ISBLANK(B538),"",B538&amp;"|"&amp;C538)</f>
        <v/>
      </c>
      <c r="B538" s="181"/>
      <c r="C538" s="181"/>
      <c r="D538" s="181"/>
      <c r="E538" s="186"/>
      <c r="F538" s="181"/>
      <c r="G538" s="181"/>
      <c r="H538" s="181"/>
      <c r="I538" s="181"/>
      <c r="J538" s="181"/>
      <c r="K538" s="181"/>
      <c r="L538" s="181"/>
      <c r="M538" s="181"/>
      <c r="N538" s="181"/>
      <c r="O538" s="181"/>
      <c r="P538" s="181"/>
      <c r="Q538" s="181"/>
      <c r="R538" s="181"/>
      <c r="S538" s="181"/>
      <c r="T538" s="181"/>
      <c r="U538" s="181"/>
      <c r="V538" s="181"/>
      <c r="W538" s="181"/>
      <c r="X538" s="181"/>
      <c r="Y538" s="181"/>
      <c r="Z538" s="181"/>
      <c r="AA538" s="181"/>
    </row>
    <row r="539" customFormat="false" ht="15.75" hidden="false" customHeight="false" outlineLevel="0" collapsed="false">
      <c r="A539" s="181" t="str">
        <f aca="false">IF(ISBLANK(B539),"",B539&amp;"|"&amp;C539)</f>
        <v/>
      </c>
      <c r="B539" s="181"/>
      <c r="C539" s="181"/>
      <c r="D539" s="181"/>
      <c r="E539" s="186"/>
      <c r="F539" s="181"/>
      <c r="G539" s="181"/>
      <c r="H539" s="181"/>
      <c r="I539" s="181"/>
      <c r="J539" s="181"/>
      <c r="K539" s="181"/>
      <c r="L539" s="181"/>
      <c r="M539" s="181"/>
      <c r="N539" s="181"/>
      <c r="O539" s="181"/>
      <c r="P539" s="181"/>
      <c r="Q539" s="181"/>
      <c r="R539" s="181"/>
      <c r="S539" s="181"/>
      <c r="T539" s="181"/>
      <c r="U539" s="181"/>
      <c r="V539" s="181"/>
      <c r="W539" s="181"/>
      <c r="X539" s="181"/>
      <c r="Y539" s="181"/>
      <c r="Z539" s="181"/>
      <c r="AA539" s="181"/>
    </row>
    <row r="540" customFormat="false" ht="15.75" hidden="false" customHeight="false" outlineLevel="0" collapsed="false">
      <c r="A540" s="181" t="str">
        <f aca="false">IF(ISBLANK(B540),"",B540&amp;"|"&amp;C540)</f>
        <v/>
      </c>
      <c r="B540" s="181"/>
      <c r="C540" s="181"/>
      <c r="D540" s="181"/>
      <c r="E540" s="186"/>
      <c r="F540" s="181"/>
      <c r="G540" s="181"/>
      <c r="H540" s="181"/>
      <c r="I540" s="181"/>
      <c r="J540" s="181"/>
      <c r="K540" s="181"/>
      <c r="L540" s="181"/>
      <c r="M540" s="181"/>
      <c r="N540" s="181"/>
      <c r="O540" s="181"/>
      <c r="P540" s="181"/>
      <c r="Q540" s="181"/>
      <c r="R540" s="181"/>
      <c r="S540" s="181"/>
      <c r="T540" s="181"/>
      <c r="U540" s="181"/>
      <c r="V540" s="181"/>
      <c r="W540" s="181"/>
      <c r="X540" s="181"/>
      <c r="Y540" s="181"/>
      <c r="Z540" s="181"/>
      <c r="AA540" s="181"/>
    </row>
    <row r="541" customFormat="false" ht="15.75" hidden="false" customHeight="false" outlineLevel="0" collapsed="false">
      <c r="A541" s="181" t="str">
        <f aca="false">IF(ISBLANK(B541),"",B541&amp;"|"&amp;C541)</f>
        <v/>
      </c>
      <c r="B541" s="181"/>
      <c r="C541" s="181"/>
      <c r="D541" s="181"/>
      <c r="E541" s="186"/>
      <c r="F541" s="181"/>
      <c r="G541" s="181"/>
      <c r="H541" s="181"/>
      <c r="I541" s="181"/>
      <c r="J541" s="181"/>
      <c r="K541" s="181"/>
      <c r="L541" s="181"/>
      <c r="M541" s="181"/>
      <c r="N541" s="181"/>
      <c r="O541" s="181"/>
      <c r="P541" s="181"/>
      <c r="Q541" s="181"/>
      <c r="R541" s="181"/>
      <c r="S541" s="181"/>
      <c r="T541" s="181"/>
      <c r="U541" s="181"/>
      <c r="V541" s="181"/>
      <c r="W541" s="181"/>
      <c r="X541" s="181"/>
      <c r="Y541" s="181"/>
      <c r="Z541" s="181"/>
      <c r="AA541" s="181"/>
    </row>
    <row r="542" customFormat="false" ht="15.75" hidden="false" customHeight="false" outlineLevel="0" collapsed="false">
      <c r="A542" s="181" t="str">
        <f aca="false">IF(ISBLANK(B542),"",B542&amp;"|"&amp;C542)</f>
        <v/>
      </c>
      <c r="B542" s="181"/>
      <c r="C542" s="181"/>
      <c r="D542" s="181"/>
      <c r="E542" s="186"/>
      <c r="F542" s="181"/>
      <c r="G542" s="181"/>
      <c r="H542" s="181"/>
      <c r="I542" s="181"/>
      <c r="J542" s="181"/>
      <c r="K542" s="181"/>
      <c r="L542" s="181"/>
      <c r="M542" s="181"/>
      <c r="N542" s="181"/>
      <c r="O542" s="181"/>
      <c r="P542" s="181"/>
      <c r="Q542" s="181"/>
      <c r="R542" s="181"/>
      <c r="S542" s="181"/>
      <c r="T542" s="181"/>
      <c r="U542" s="181"/>
      <c r="V542" s="181"/>
      <c r="W542" s="181"/>
      <c r="X542" s="181"/>
      <c r="Y542" s="181"/>
      <c r="Z542" s="181"/>
      <c r="AA542" s="181"/>
    </row>
    <row r="543" customFormat="false" ht="15.75" hidden="false" customHeight="false" outlineLevel="0" collapsed="false">
      <c r="A543" s="181" t="str">
        <f aca="false">IF(ISBLANK(B543),"",B543&amp;"|"&amp;C543)</f>
        <v/>
      </c>
      <c r="B543" s="181"/>
      <c r="C543" s="181"/>
      <c r="D543" s="181"/>
      <c r="E543" s="186"/>
      <c r="F543" s="181"/>
      <c r="G543" s="181"/>
      <c r="H543" s="181"/>
      <c r="I543" s="181"/>
      <c r="J543" s="181"/>
      <c r="K543" s="181"/>
      <c r="L543" s="181"/>
      <c r="M543" s="181"/>
      <c r="N543" s="181"/>
      <c r="O543" s="181"/>
      <c r="P543" s="181"/>
      <c r="Q543" s="181"/>
      <c r="R543" s="181"/>
      <c r="S543" s="181"/>
      <c r="T543" s="181"/>
      <c r="U543" s="181"/>
      <c r="V543" s="181"/>
      <c r="W543" s="181"/>
      <c r="X543" s="181"/>
      <c r="Y543" s="181"/>
      <c r="Z543" s="181"/>
      <c r="AA543" s="181"/>
    </row>
    <row r="544" customFormat="false" ht="15.75" hidden="false" customHeight="false" outlineLevel="0" collapsed="false">
      <c r="A544" s="181" t="str">
        <f aca="false">IF(ISBLANK(B544),"",B544&amp;"|"&amp;C544)</f>
        <v/>
      </c>
      <c r="B544" s="181"/>
      <c r="C544" s="181"/>
      <c r="D544" s="181"/>
      <c r="E544" s="186"/>
      <c r="F544" s="181"/>
      <c r="G544" s="181"/>
      <c r="H544" s="181"/>
      <c r="I544" s="181"/>
      <c r="J544" s="181"/>
      <c r="K544" s="181"/>
      <c r="L544" s="181"/>
      <c r="M544" s="181"/>
      <c r="N544" s="181"/>
      <c r="O544" s="181"/>
      <c r="P544" s="181"/>
      <c r="Q544" s="181"/>
      <c r="R544" s="181"/>
      <c r="S544" s="181"/>
      <c r="T544" s="181"/>
      <c r="U544" s="181"/>
      <c r="V544" s="181"/>
      <c r="W544" s="181"/>
      <c r="X544" s="181"/>
      <c r="Y544" s="181"/>
      <c r="Z544" s="181"/>
      <c r="AA544" s="181"/>
    </row>
    <row r="545" customFormat="false" ht="15.75" hidden="false" customHeight="false" outlineLevel="0" collapsed="false">
      <c r="A545" s="181" t="str">
        <f aca="false">IF(ISBLANK(B545),"",B545&amp;"|"&amp;C545)</f>
        <v/>
      </c>
      <c r="B545" s="181"/>
      <c r="C545" s="181"/>
      <c r="D545" s="181"/>
      <c r="E545" s="186"/>
      <c r="F545" s="181"/>
      <c r="G545" s="181"/>
      <c r="H545" s="181"/>
      <c r="I545" s="181"/>
      <c r="J545" s="181"/>
      <c r="K545" s="181"/>
      <c r="L545" s="181"/>
      <c r="M545" s="181"/>
      <c r="N545" s="181"/>
      <c r="O545" s="181"/>
      <c r="P545" s="181"/>
      <c r="Q545" s="181"/>
      <c r="R545" s="181"/>
      <c r="S545" s="181"/>
      <c r="T545" s="181"/>
      <c r="U545" s="181"/>
      <c r="V545" s="181"/>
      <c r="W545" s="181"/>
      <c r="X545" s="181"/>
      <c r="Y545" s="181"/>
      <c r="Z545" s="181"/>
      <c r="AA545" s="181"/>
    </row>
    <row r="546" customFormat="false" ht="15.75" hidden="false" customHeight="false" outlineLevel="0" collapsed="false">
      <c r="A546" s="181" t="str">
        <f aca="false">IF(ISBLANK(B546),"",B546&amp;"|"&amp;C546)</f>
        <v/>
      </c>
      <c r="B546" s="181"/>
      <c r="C546" s="181"/>
      <c r="D546" s="181"/>
      <c r="E546" s="186"/>
      <c r="F546" s="181"/>
      <c r="G546" s="181"/>
      <c r="H546" s="181"/>
      <c r="I546" s="181"/>
      <c r="J546" s="181"/>
      <c r="K546" s="181"/>
      <c r="L546" s="181"/>
      <c r="M546" s="181"/>
      <c r="N546" s="181"/>
      <c r="O546" s="181"/>
      <c r="P546" s="181"/>
      <c r="Q546" s="181"/>
      <c r="R546" s="181"/>
      <c r="S546" s="181"/>
      <c r="T546" s="181"/>
      <c r="U546" s="181"/>
      <c r="V546" s="181"/>
      <c r="W546" s="181"/>
      <c r="X546" s="181"/>
      <c r="Y546" s="181"/>
      <c r="Z546" s="181"/>
      <c r="AA546" s="181"/>
    </row>
    <row r="547" customFormat="false" ht="15.75" hidden="false" customHeight="false" outlineLevel="0" collapsed="false">
      <c r="A547" s="181" t="str">
        <f aca="false">IF(ISBLANK(B547),"",B547&amp;"|"&amp;C547)</f>
        <v/>
      </c>
      <c r="B547" s="181"/>
      <c r="C547" s="181"/>
      <c r="D547" s="181"/>
      <c r="E547" s="186"/>
      <c r="F547" s="181"/>
      <c r="G547" s="181"/>
      <c r="H547" s="181"/>
      <c r="I547" s="181"/>
      <c r="J547" s="181"/>
      <c r="K547" s="181"/>
      <c r="L547" s="181"/>
      <c r="M547" s="181"/>
      <c r="N547" s="181"/>
      <c r="O547" s="181"/>
      <c r="P547" s="181"/>
      <c r="Q547" s="181"/>
      <c r="R547" s="181"/>
      <c r="S547" s="181"/>
      <c r="T547" s="181"/>
      <c r="U547" s="181"/>
      <c r="V547" s="181"/>
      <c r="W547" s="181"/>
      <c r="X547" s="181"/>
      <c r="Y547" s="181"/>
      <c r="Z547" s="181"/>
      <c r="AA547" s="181"/>
    </row>
    <row r="548" customFormat="false" ht="15.75" hidden="false" customHeight="false" outlineLevel="0" collapsed="false">
      <c r="A548" s="181" t="str">
        <f aca="false">IF(ISBLANK(B548),"",B548&amp;"|"&amp;C548)</f>
        <v/>
      </c>
      <c r="B548" s="181"/>
      <c r="C548" s="181"/>
      <c r="D548" s="181"/>
      <c r="E548" s="186"/>
      <c r="F548" s="181"/>
      <c r="G548" s="181"/>
      <c r="H548" s="181"/>
      <c r="I548" s="181"/>
      <c r="J548" s="181"/>
      <c r="K548" s="181"/>
      <c r="L548" s="181"/>
      <c r="M548" s="181"/>
      <c r="N548" s="181"/>
      <c r="O548" s="181"/>
      <c r="P548" s="181"/>
      <c r="Q548" s="181"/>
      <c r="R548" s="181"/>
      <c r="S548" s="181"/>
      <c r="T548" s="181"/>
      <c r="U548" s="181"/>
      <c r="V548" s="181"/>
      <c r="W548" s="181"/>
      <c r="X548" s="181"/>
      <c r="Y548" s="181"/>
      <c r="Z548" s="181"/>
      <c r="AA548" s="181"/>
    </row>
    <row r="549" customFormat="false" ht="15.75" hidden="false" customHeight="false" outlineLevel="0" collapsed="false">
      <c r="A549" s="181" t="str">
        <f aca="false">IF(ISBLANK(B549),"",B549&amp;"|"&amp;C549)</f>
        <v/>
      </c>
      <c r="B549" s="181"/>
      <c r="C549" s="181"/>
      <c r="D549" s="181"/>
      <c r="E549" s="186"/>
      <c r="F549" s="181"/>
      <c r="G549" s="181"/>
      <c r="H549" s="181"/>
      <c r="I549" s="181"/>
      <c r="J549" s="181"/>
      <c r="K549" s="181"/>
      <c r="L549" s="181"/>
      <c r="M549" s="181"/>
      <c r="N549" s="181"/>
      <c r="O549" s="181"/>
      <c r="P549" s="181"/>
      <c r="Q549" s="181"/>
      <c r="R549" s="181"/>
      <c r="S549" s="181"/>
      <c r="T549" s="181"/>
      <c r="U549" s="181"/>
      <c r="V549" s="181"/>
      <c r="W549" s="181"/>
      <c r="X549" s="181"/>
      <c r="Y549" s="181"/>
      <c r="Z549" s="181"/>
      <c r="AA549" s="181"/>
    </row>
    <row r="550" customFormat="false" ht="15.75" hidden="false" customHeight="false" outlineLevel="0" collapsed="false">
      <c r="A550" s="181" t="str">
        <f aca="false">IF(ISBLANK(B550),"",B550&amp;"|"&amp;C550)</f>
        <v/>
      </c>
      <c r="B550" s="181"/>
      <c r="C550" s="181"/>
      <c r="D550" s="181"/>
      <c r="E550" s="186"/>
      <c r="F550" s="181"/>
      <c r="G550" s="181"/>
      <c r="H550" s="181"/>
      <c r="I550" s="181"/>
      <c r="J550" s="181"/>
      <c r="K550" s="181"/>
      <c r="L550" s="181"/>
      <c r="M550" s="181"/>
      <c r="N550" s="181"/>
      <c r="O550" s="181"/>
      <c r="P550" s="181"/>
      <c r="Q550" s="181"/>
      <c r="R550" s="181"/>
      <c r="S550" s="181"/>
      <c r="T550" s="181"/>
      <c r="U550" s="181"/>
      <c r="V550" s="181"/>
      <c r="W550" s="181"/>
      <c r="X550" s="181"/>
      <c r="Y550" s="181"/>
      <c r="Z550" s="181"/>
      <c r="AA550" s="181"/>
    </row>
    <row r="551" customFormat="false" ht="15.75" hidden="false" customHeight="false" outlineLevel="0" collapsed="false">
      <c r="A551" s="181" t="str">
        <f aca="false">IF(ISBLANK(B551),"",B551&amp;"|"&amp;C551)</f>
        <v/>
      </c>
      <c r="B551" s="181"/>
      <c r="C551" s="181"/>
      <c r="D551" s="181"/>
      <c r="E551" s="186"/>
      <c r="F551" s="181"/>
      <c r="G551" s="181"/>
      <c r="H551" s="181"/>
      <c r="I551" s="181"/>
      <c r="J551" s="181"/>
      <c r="K551" s="181"/>
      <c r="L551" s="181"/>
      <c r="M551" s="181"/>
      <c r="N551" s="181"/>
      <c r="O551" s="181"/>
      <c r="P551" s="181"/>
      <c r="Q551" s="181"/>
      <c r="R551" s="181"/>
      <c r="S551" s="181"/>
      <c r="T551" s="181"/>
      <c r="U551" s="181"/>
      <c r="V551" s="181"/>
      <c r="W551" s="181"/>
      <c r="X551" s="181"/>
      <c r="Y551" s="181"/>
      <c r="Z551" s="181"/>
      <c r="AA551" s="181"/>
    </row>
    <row r="552" customFormat="false" ht="15.75" hidden="false" customHeight="false" outlineLevel="0" collapsed="false">
      <c r="A552" s="181" t="str">
        <f aca="false">IF(ISBLANK(B552),"",B552&amp;"|"&amp;C552)</f>
        <v/>
      </c>
      <c r="B552" s="181"/>
      <c r="C552" s="181"/>
      <c r="D552" s="181"/>
      <c r="E552" s="186"/>
      <c r="F552" s="181"/>
      <c r="G552" s="181"/>
      <c r="H552" s="181"/>
      <c r="I552" s="181"/>
      <c r="J552" s="181"/>
      <c r="K552" s="181"/>
      <c r="L552" s="181"/>
      <c r="M552" s="181"/>
      <c r="N552" s="181"/>
      <c r="O552" s="181"/>
      <c r="P552" s="181"/>
      <c r="Q552" s="181"/>
      <c r="R552" s="181"/>
      <c r="S552" s="181"/>
      <c r="T552" s="181"/>
      <c r="U552" s="181"/>
      <c r="V552" s="181"/>
      <c r="W552" s="181"/>
      <c r="X552" s="181"/>
      <c r="Y552" s="181"/>
      <c r="Z552" s="181"/>
      <c r="AA552" s="181"/>
    </row>
    <row r="553" customFormat="false" ht="15.75" hidden="false" customHeight="false" outlineLevel="0" collapsed="false">
      <c r="A553" s="181" t="str">
        <f aca="false">IF(ISBLANK(B553),"",B553&amp;"|"&amp;C553)</f>
        <v/>
      </c>
      <c r="B553" s="181"/>
      <c r="C553" s="181"/>
      <c r="D553" s="181"/>
      <c r="E553" s="186"/>
      <c r="F553" s="181"/>
      <c r="G553" s="181"/>
      <c r="H553" s="181"/>
      <c r="I553" s="181"/>
      <c r="J553" s="181"/>
      <c r="K553" s="181"/>
      <c r="L553" s="181"/>
      <c r="M553" s="181"/>
      <c r="N553" s="181"/>
      <c r="O553" s="181"/>
      <c r="P553" s="181"/>
      <c r="Q553" s="181"/>
      <c r="R553" s="181"/>
      <c r="S553" s="181"/>
      <c r="T553" s="181"/>
      <c r="U553" s="181"/>
      <c r="V553" s="181"/>
      <c r="W553" s="181"/>
      <c r="X553" s="181"/>
      <c r="Y553" s="181"/>
      <c r="Z553" s="181"/>
      <c r="AA553" s="181"/>
    </row>
    <row r="554" customFormat="false" ht="15.75" hidden="false" customHeight="false" outlineLevel="0" collapsed="false">
      <c r="A554" s="181" t="str">
        <f aca="false">IF(ISBLANK(B554),"",B554&amp;"|"&amp;C554)</f>
        <v/>
      </c>
      <c r="B554" s="181"/>
      <c r="C554" s="181"/>
      <c r="D554" s="181"/>
      <c r="E554" s="186"/>
      <c r="F554" s="181"/>
      <c r="G554" s="181"/>
      <c r="H554" s="181"/>
      <c r="I554" s="181"/>
      <c r="J554" s="181"/>
      <c r="K554" s="181"/>
      <c r="L554" s="181"/>
      <c r="M554" s="181"/>
      <c r="N554" s="181"/>
      <c r="O554" s="181"/>
      <c r="P554" s="181"/>
      <c r="Q554" s="181"/>
      <c r="R554" s="181"/>
      <c r="S554" s="181"/>
      <c r="T554" s="181"/>
      <c r="U554" s="181"/>
      <c r="V554" s="181"/>
      <c r="W554" s="181"/>
      <c r="X554" s="181"/>
      <c r="Y554" s="181"/>
      <c r="Z554" s="181"/>
      <c r="AA554" s="181"/>
    </row>
    <row r="555" customFormat="false" ht="15.75" hidden="false" customHeight="false" outlineLevel="0" collapsed="false">
      <c r="A555" s="181" t="str">
        <f aca="false">IF(ISBLANK(B555),"",B555&amp;"|"&amp;C555)</f>
        <v/>
      </c>
      <c r="B555" s="181"/>
      <c r="C555" s="181"/>
      <c r="D555" s="181"/>
      <c r="E555" s="186"/>
      <c r="F555" s="181"/>
      <c r="G555" s="181"/>
      <c r="H555" s="181"/>
      <c r="I555" s="181"/>
      <c r="J555" s="181"/>
      <c r="K555" s="181"/>
      <c r="L555" s="181"/>
      <c r="M555" s="181"/>
      <c r="N555" s="181"/>
      <c r="O555" s="181"/>
      <c r="P555" s="181"/>
      <c r="Q555" s="181"/>
      <c r="R555" s="181"/>
      <c r="S555" s="181"/>
      <c r="T555" s="181"/>
      <c r="U555" s="181"/>
      <c r="V555" s="181"/>
      <c r="W555" s="181"/>
      <c r="X555" s="181"/>
      <c r="Y555" s="181"/>
      <c r="Z555" s="181"/>
      <c r="AA555" s="181"/>
    </row>
    <row r="556" customFormat="false" ht="15.75" hidden="false" customHeight="false" outlineLevel="0" collapsed="false">
      <c r="A556" s="181" t="str">
        <f aca="false">IF(ISBLANK(B556),"",B556&amp;"|"&amp;C556)</f>
        <v/>
      </c>
      <c r="B556" s="181"/>
      <c r="C556" s="181"/>
      <c r="D556" s="181"/>
      <c r="E556" s="186"/>
      <c r="F556" s="181"/>
      <c r="G556" s="181"/>
      <c r="H556" s="181"/>
      <c r="I556" s="181"/>
      <c r="J556" s="181"/>
      <c r="K556" s="181"/>
      <c r="L556" s="181"/>
      <c r="M556" s="181"/>
      <c r="N556" s="181"/>
      <c r="O556" s="181"/>
      <c r="P556" s="181"/>
      <c r="Q556" s="181"/>
      <c r="R556" s="181"/>
      <c r="S556" s="181"/>
      <c r="T556" s="181"/>
      <c r="U556" s="181"/>
      <c r="V556" s="181"/>
      <c r="W556" s="181"/>
      <c r="X556" s="181"/>
      <c r="Y556" s="181"/>
      <c r="Z556" s="181"/>
      <c r="AA556" s="181"/>
    </row>
    <row r="557" customFormat="false" ht="15.75" hidden="false" customHeight="false" outlineLevel="0" collapsed="false">
      <c r="A557" s="181" t="str">
        <f aca="false">IF(ISBLANK(B557),"",B557&amp;"|"&amp;C557)</f>
        <v/>
      </c>
      <c r="B557" s="181"/>
      <c r="C557" s="181"/>
      <c r="D557" s="181"/>
      <c r="E557" s="186"/>
      <c r="F557" s="181"/>
      <c r="G557" s="181"/>
      <c r="H557" s="181"/>
      <c r="I557" s="181"/>
      <c r="J557" s="181"/>
      <c r="K557" s="181"/>
      <c r="L557" s="181"/>
      <c r="M557" s="181"/>
      <c r="N557" s="181"/>
      <c r="O557" s="181"/>
      <c r="P557" s="181"/>
      <c r="Q557" s="181"/>
      <c r="R557" s="181"/>
      <c r="S557" s="181"/>
      <c r="T557" s="181"/>
      <c r="U557" s="181"/>
      <c r="V557" s="181"/>
      <c r="W557" s="181"/>
      <c r="X557" s="181"/>
      <c r="Y557" s="181"/>
      <c r="Z557" s="181"/>
      <c r="AA557" s="181"/>
    </row>
    <row r="558" customFormat="false" ht="15.75" hidden="false" customHeight="false" outlineLevel="0" collapsed="false">
      <c r="A558" s="181" t="str">
        <f aca="false">IF(ISBLANK(B558),"",B558&amp;"|"&amp;C558)</f>
        <v/>
      </c>
      <c r="B558" s="181"/>
      <c r="C558" s="181"/>
      <c r="D558" s="181"/>
      <c r="E558" s="186"/>
      <c r="F558" s="181"/>
      <c r="G558" s="181"/>
      <c r="H558" s="181"/>
      <c r="I558" s="181"/>
      <c r="J558" s="181"/>
      <c r="K558" s="181"/>
      <c r="L558" s="181"/>
      <c r="M558" s="181"/>
      <c r="N558" s="181"/>
      <c r="O558" s="181"/>
      <c r="P558" s="181"/>
      <c r="Q558" s="181"/>
      <c r="R558" s="181"/>
      <c r="S558" s="181"/>
      <c r="T558" s="181"/>
      <c r="U558" s="181"/>
      <c r="V558" s="181"/>
      <c r="W558" s="181"/>
      <c r="X558" s="181"/>
      <c r="Y558" s="181"/>
      <c r="Z558" s="181"/>
      <c r="AA558" s="181"/>
    </row>
    <row r="559" customFormat="false" ht="15.75" hidden="false" customHeight="false" outlineLevel="0" collapsed="false">
      <c r="A559" s="181" t="str">
        <f aca="false">IF(ISBLANK(B559),"",B559&amp;"|"&amp;C559)</f>
        <v/>
      </c>
      <c r="B559" s="181"/>
      <c r="C559" s="181"/>
      <c r="D559" s="181"/>
      <c r="E559" s="186"/>
      <c r="F559" s="181"/>
      <c r="G559" s="181"/>
      <c r="H559" s="181"/>
      <c r="I559" s="181"/>
      <c r="J559" s="181"/>
      <c r="K559" s="181"/>
      <c r="L559" s="181"/>
      <c r="M559" s="181"/>
      <c r="N559" s="181"/>
      <c r="O559" s="181"/>
      <c r="P559" s="181"/>
      <c r="Q559" s="181"/>
      <c r="R559" s="181"/>
      <c r="S559" s="181"/>
      <c r="T559" s="181"/>
      <c r="U559" s="181"/>
      <c r="V559" s="181"/>
      <c r="W559" s="181"/>
      <c r="X559" s="181"/>
      <c r="Y559" s="181"/>
      <c r="Z559" s="181"/>
      <c r="AA559" s="181"/>
    </row>
    <row r="560" customFormat="false" ht="15.75" hidden="false" customHeight="false" outlineLevel="0" collapsed="false">
      <c r="A560" s="181" t="str">
        <f aca="false">IF(ISBLANK(B560),"",B560&amp;"|"&amp;C560)</f>
        <v/>
      </c>
      <c r="B560" s="181"/>
      <c r="C560" s="181"/>
      <c r="D560" s="181"/>
      <c r="E560" s="186"/>
      <c r="F560" s="181"/>
      <c r="G560" s="181"/>
      <c r="H560" s="181"/>
      <c r="I560" s="181"/>
      <c r="J560" s="181"/>
      <c r="K560" s="181"/>
      <c r="L560" s="181"/>
      <c r="M560" s="181"/>
      <c r="N560" s="181"/>
      <c r="O560" s="181"/>
      <c r="P560" s="181"/>
      <c r="Q560" s="181"/>
      <c r="R560" s="181"/>
      <c r="S560" s="181"/>
      <c r="T560" s="181"/>
      <c r="U560" s="181"/>
      <c r="V560" s="181"/>
      <c r="W560" s="181"/>
      <c r="X560" s="181"/>
      <c r="Y560" s="181"/>
      <c r="Z560" s="181"/>
      <c r="AA560" s="181"/>
    </row>
    <row r="561" customFormat="false" ht="15.75" hidden="false" customHeight="false" outlineLevel="0" collapsed="false">
      <c r="A561" s="181" t="str">
        <f aca="false">IF(ISBLANK(B561),"",B561&amp;"|"&amp;C561)</f>
        <v/>
      </c>
      <c r="B561" s="181"/>
      <c r="C561" s="181"/>
      <c r="D561" s="181"/>
      <c r="E561" s="186"/>
      <c r="F561" s="181"/>
      <c r="G561" s="181"/>
      <c r="H561" s="181"/>
      <c r="I561" s="181"/>
      <c r="J561" s="181"/>
      <c r="K561" s="181"/>
      <c r="L561" s="181"/>
      <c r="M561" s="181"/>
      <c r="N561" s="181"/>
      <c r="O561" s="181"/>
      <c r="P561" s="181"/>
      <c r="Q561" s="181"/>
      <c r="R561" s="181"/>
      <c r="S561" s="181"/>
      <c r="T561" s="181"/>
      <c r="U561" s="181"/>
      <c r="V561" s="181"/>
      <c r="W561" s="181"/>
      <c r="X561" s="181"/>
      <c r="Y561" s="181"/>
      <c r="Z561" s="181"/>
      <c r="AA561" s="181"/>
    </row>
    <row r="562" customFormat="false" ht="15.75" hidden="false" customHeight="false" outlineLevel="0" collapsed="false">
      <c r="A562" s="181" t="str">
        <f aca="false">IF(ISBLANK(B562),"",B562&amp;"|"&amp;C562)</f>
        <v/>
      </c>
      <c r="B562" s="181"/>
      <c r="C562" s="181"/>
      <c r="D562" s="181"/>
      <c r="E562" s="186"/>
      <c r="F562" s="181"/>
      <c r="G562" s="181"/>
      <c r="H562" s="181"/>
      <c r="I562" s="181"/>
      <c r="J562" s="181"/>
      <c r="K562" s="181"/>
      <c r="L562" s="181"/>
      <c r="M562" s="181"/>
      <c r="N562" s="181"/>
      <c r="O562" s="181"/>
      <c r="P562" s="181"/>
      <c r="Q562" s="181"/>
      <c r="R562" s="181"/>
      <c r="S562" s="181"/>
      <c r="T562" s="181"/>
      <c r="U562" s="181"/>
      <c r="V562" s="181"/>
      <c r="W562" s="181"/>
      <c r="X562" s="181"/>
      <c r="Y562" s="181"/>
      <c r="Z562" s="181"/>
      <c r="AA562" s="181"/>
    </row>
    <row r="563" customFormat="false" ht="15.75" hidden="false" customHeight="false" outlineLevel="0" collapsed="false">
      <c r="A563" s="181" t="str">
        <f aca="false">IF(ISBLANK(B563),"",B563&amp;"|"&amp;C563)</f>
        <v/>
      </c>
      <c r="B563" s="181"/>
      <c r="C563" s="181"/>
      <c r="D563" s="181"/>
      <c r="E563" s="186"/>
      <c r="F563" s="181"/>
      <c r="G563" s="181"/>
      <c r="H563" s="181"/>
      <c r="I563" s="181"/>
      <c r="J563" s="181"/>
      <c r="K563" s="181"/>
      <c r="L563" s="181"/>
      <c r="M563" s="181"/>
      <c r="N563" s="181"/>
      <c r="O563" s="181"/>
      <c r="P563" s="181"/>
      <c r="Q563" s="181"/>
      <c r="R563" s="181"/>
      <c r="S563" s="181"/>
      <c r="T563" s="181"/>
      <c r="U563" s="181"/>
      <c r="V563" s="181"/>
      <c r="W563" s="181"/>
      <c r="X563" s="181"/>
      <c r="Y563" s="181"/>
      <c r="Z563" s="181"/>
      <c r="AA563" s="181"/>
    </row>
    <row r="564" customFormat="false" ht="15.75" hidden="false" customHeight="false" outlineLevel="0" collapsed="false">
      <c r="A564" s="181" t="str">
        <f aca="false">IF(ISBLANK(B564),"",B564&amp;"|"&amp;C564)</f>
        <v/>
      </c>
      <c r="B564" s="181"/>
      <c r="C564" s="181"/>
      <c r="D564" s="181"/>
      <c r="E564" s="186"/>
      <c r="F564" s="181"/>
      <c r="G564" s="181"/>
      <c r="H564" s="181"/>
      <c r="I564" s="181"/>
      <c r="J564" s="181"/>
      <c r="K564" s="181"/>
      <c r="L564" s="181"/>
      <c r="M564" s="181"/>
      <c r="N564" s="181"/>
      <c r="O564" s="181"/>
      <c r="P564" s="181"/>
      <c r="Q564" s="181"/>
      <c r="R564" s="181"/>
      <c r="S564" s="181"/>
      <c r="T564" s="181"/>
      <c r="U564" s="181"/>
      <c r="V564" s="181"/>
      <c r="W564" s="181"/>
      <c r="X564" s="181"/>
      <c r="Y564" s="181"/>
      <c r="Z564" s="181"/>
      <c r="AA564" s="181"/>
    </row>
    <row r="565" customFormat="false" ht="15.75" hidden="false" customHeight="false" outlineLevel="0" collapsed="false">
      <c r="A565" s="181" t="str">
        <f aca="false">IF(ISBLANK(B565),"",B565&amp;"|"&amp;C565)</f>
        <v/>
      </c>
      <c r="B565" s="181"/>
      <c r="C565" s="181"/>
      <c r="D565" s="181"/>
      <c r="E565" s="186"/>
      <c r="F565" s="181"/>
      <c r="G565" s="181"/>
      <c r="H565" s="181"/>
      <c r="I565" s="181"/>
      <c r="J565" s="181"/>
      <c r="K565" s="181"/>
      <c r="L565" s="181"/>
      <c r="M565" s="181"/>
      <c r="N565" s="181"/>
      <c r="O565" s="181"/>
      <c r="P565" s="181"/>
      <c r="Q565" s="181"/>
      <c r="R565" s="181"/>
      <c r="S565" s="181"/>
      <c r="T565" s="181"/>
      <c r="U565" s="181"/>
      <c r="V565" s="181"/>
      <c r="W565" s="181"/>
      <c r="X565" s="181"/>
      <c r="Y565" s="181"/>
      <c r="Z565" s="181"/>
      <c r="AA565" s="181"/>
    </row>
    <row r="566" customFormat="false" ht="15.75" hidden="false" customHeight="false" outlineLevel="0" collapsed="false">
      <c r="A566" s="181" t="str">
        <f aca="false">IF(ISBLANK(B566),"",B566&amp;"|"&amp;C566)</f>
        <v/>
      </c>
      <c r="B566" s="181"/>
      <c r="C566" s="181"/>
      <c r="D566" s="181"/>
      <c r="E566" s="186"/>
      <c r="F566" s="181"/>
      <c r="G566" s="181"/>
      <c r="H566" s="181"/>
      <c r="I566" s="181"/>
      <c r="J566" s="181"/>
      <c r="K566" s="181"/>
      <c r="L566" s="181"/>
      <c r="M566" s="181"/>
      <c r="N566" s="181"/>
      <c r="O566" s="181"/>
      <c r="P566" s="181"/>
      <c r="Q566" s="181"/>
      <c r="R566" s="181"/>
      <c r="S566" s="181"/>
      <c r="T566" s="181"/>
      <c r="U566" s="181"/>
      <c r="V566" s="181"/>
      <c r="W566" s="181"/>
      <c r="X566" s="181"/>
      <c r="Y566" s="181"/>
      <c r="Z566" s="181"/>
      <c r="AA566" s="181"/>
    </row>
    <row r="567" customFormat="false" ht="15.75" hidden="false" customHeight="false" outlineLevel="0" collapsed="false">
      <c r="A567" s="181" t="str">
        <f aca="false">IF(ISBLANK(B567),"",B567&amp;"|"&amp;C567)</f>
        <v/>
      </c>
      <c r="B567" s="181"/>
      <c r="C567" s="181"/>
      <c r="D567" s="181"/>
      <c r="E567" s="186"/>
      <c r="F567" s="181"/>
      <c r="G567" s="181"/>
      <c r="H567" s="181"/>
      <c r="I567" s="181"/>
      <c r="J567" s="181"/>
      <c r="K567" s="181"/>
      <c r="L567" s="181"/>
      <c r="M567" s="181"/>
      <c r="N567" s="181"/>
      <c r="O567" s="181"/>
      <c r="P567" s="181"/>
      <c r="Q567" s="181"/>
      <c r="R567" s="181"/>
      <c r="S567" s="181"/>
      <c r="T567" s="181"/>
      <c r="U567" s="181"/>
      <c r="V567" s="181"/>
      <c r="W567" s="181"/>
      <c r="X567" s="181"/>
      <c r="Y567" s="181"/>
      <c r="Z567" s="181"/>
      <c r="AA567" s="181"/>
    </row>
    <row r="568" customFormat="false" ht="15.75" hidden="false" customHeight="false" outlineLevel="0" collapsed="false">
      <c r="A568" s="181" t="str">
        <f aca="false">IF(ISBLANK(B568),"",B568&amp;"|"&amp;C568)</f>
        <v/>
      </c>
      <c r="B568" s="181"/>
      <c r="C568" s="181"/>
      <c r="D568" s="181"/>
      <c r="E568" s="186"/>
      <c r="F568" s="181"/>
      <c r="G568" s="181"/>
      <c r="H568" s="181"/>
      <c r="I568" s="181"/>
      <c r="J568" s="181"/>
      <c r="K568" s="181"/>
      <c r="L568" s="181"/>
      <c r="M568" s="181"/>
      <c r="N568" s="181"/>
      <c r="O568" s="181"/>
      <c r="P568" s="181"/>
      <c r="Q568" s="181"/>
      <c r="R568" s="181"/>
      <c r="S568" s="181"/>
      <c r="T568" s="181"/>
      <c r="U568" s="181"/>
      <c r="V568" s="181"/>
      <c r="W568" s="181"/>
      <c r="X568" s="181"/>
      <c r="Y568" s="181"/>
      <c r="Z568" s="181"/>
      <c r="AA568" s="181"/>
    </row>
    <row r="569" customFormat="false" ht="15.75" hidden="false" customHeight="false" outlineLevel="0" collapsed="false">
      <c r="A569" s="181" t="str">
        <f aca="false">IF(ISBLANK(B569),"",B569&amp;"|"&amp;C569)</f>
        <v/>
      </c>
      <c r="B569" s="181"/>
      <c r="C569" s="181"/>
      <c r="D569" s="181"/>
      <c r="E569" s="186"/>
      <c r="F569" s="181"/>
      <c r="G569" s="181"/>
      <c r="H569" s="181"/>
      <c r="I569" s="181"/>
      <c r="J569" s="181"/>
      <c r="K569" s="181"/>
      <c r="L569" s="181"/>
      <c r="M569" s="181"/>
      <c r="N569" s="181"/>
      <c r="O569" s="181"/>
      <c r="P569" s="181"/>
      <c r="Q569" s="181"/>
      <c r="R569" s="181"/>
      <c r="S569" s="181"/>
      <c r="T569" s="181"/>
      <c r="U569" s="181"/>
      <c r="V569" s="181"/>
      <c r="W569" s="181"/>
      <c r="X569" s="181"/>
      <c r="Y569" s="181"/>
      <c r="Z569" s="181"/>
      <c r="AA569" s="181"/>
    </row>
    <row r="570" customFormat="false" ht="15.75" hidden="false" customHeight="false" outlineLevel="0" collapsed="false">
      <c r="A570" s="181" t="str">
        <f aca="false">IF(ISBLANK(B570),"",B570&amp;"|"&amp;C570)</f>
        <v/>
      </c>
      <c r="B570" s="181"/>
      <c r="C570" s="181"/>
      <c r="D570" s="181"/>
      <c r="E570" s="186"/>
      <c r="F570" s="181"/>
      <c r="G570" s="181"/>
      <c r="H570" s="181"/>
      <c r="I570" s="181"/>
      <c r="J570" s="181"/>
      <c r="K570" s="181"/>
      <c r="L570" s="181"/>
      <c r="M570" s="181"/>
      <c r="N570" s="181"/>
      <c r="O570" s="181"/>
      <c r="P570" s="181"/>
      <c r="Q570" s="181"/>
      <c r="R570" s="181"/>
      <c r="S570" s="181"/>
      <c r="T570" s="181"/>
      <c r="U570" s="181"/>
      <c r="V570" s="181"/>
      <c r="W570" s="181"/>
      <c r="X570" s="181"/>
      <c r="Y570" s="181"/>
      <c r="Z570" s="181"/>
      <c r="AA570" s="181"/>
    </row>
    <row r="571" customFormat="false" ht="15.75" hidden="false" customHeight="false" outlineLevel="0" collapsed="false">
      <c r="A571" s="181" t="str">
        <f aca="false">IF(ISBLANK(B571),"",B571&amp;"|"&amp;C571)</f>
        <v/>
      </c>
      <c r="B571" s="181"/>
      <c r="C571" s="181"/>
      <c r="D571" s="181"/>
      <c r="E571" s="186"/>
      <c r="F571" s="181"/>
      <c r="G571" s="181"/>
      <c r="H571" s="181"/>
      <c r="I571" s="181"/>
      <c r="J571" s="181"/>
      <c r="K571" s="181"/>
      <c r="L571" s="181"/>
      <c r="M571" s="181"/>
      <c r="N571" s="181"/>
      <c r="O571" s="181"/>
      <c r="P571" s="181"/>
      <c r="Q571" s="181"/>
      <c r="R571" s="181"/>
      <c r="S571" s="181"/>
      <c r="T571" s="181"/>
      <c r="U571" s="181"/>
      <c r="V571" s="181"/>
      <c r="W571" s="181"/>
      <c r="X571" s="181"/>
      <c r="Y571" s="181"/>
      <c r="Z571" s="181"/>
      <c r="AA571" s="181"/>
    </row>
    <row r="572" customFormat="false" ht="15.75" hidden="false" customHeight="false" outlineLevel="0" collapsed="false">
      <c r="A572" s="181" t="str">
        <f aca="false">IF(ISBLANK(B572),"",B572&amp;"|"&amp;C572)</f>
        <v/>
      </c>
      <c r="B572" s="181"/>
      <c r="C572" s="181"/>
      <c r="D572" s="181"/>
      <c r="E572" s="186"/>
      <c r="F572" s="181"/>
      <c r="G572" s="181"/>
      <c r="H572" s="181"/>
      <c r="I572" s="181"/>
      <c r="J572" s="181"/>
      <c r="K572" s="181"/>
      <c r="L572" s="181"/>
      <c r="M572" s="181"/>
      <c r="N572" s="181"/>
      <c r="O572" s="181"/>
      <c r="P572" s="181"/>
      <c r="Q572" s="181"/>
      <c r="R572" s="181"/>
      <c r="S572" s="181"/>
      <c r="T572" s="181"/>
      <c r="U572" s="181"/>
      <c r="V572" s="181"/>
      <c r="W572" s="181"/>
      <c r="X572" s="181"/>
      <c r="Y572" s="181"/>
      <c r="Z572" s="181"/>
      <c r="AA572" s="181"/>
    </row>
    <row r="573" customFormat="false" ht="15.75" hidden="false" customHeight="false" outlineLevel="0" collapsed="false">
      <c r="A573" s="181" t="str">
        <f aca="false">IF(ISBLANK(B573),"",B573&amp;"|"&amp;C573)</f>
        <v/>
      </c>
      <c r="B573" s="181"/>
      <c r="C573" s="181"/>
      <c r="D573" s="181"/>
      <c r="E573" s="186"/>
      <c r="F573" s="181"/>
      <c r="G573" s="181"/>
      <c r="H573" s="181"/>
      <c r="I573" s="181"/>
      <c r="J573" s="181"/>
      <c r="K573" s="181"/>
      <c r="L573" s="181"/>
      <c r="M573" s="181"/>
      <c r="N573" s="181"/>
      <c r="O573" s="181"/>
      <c r="P573" s="181"/>
      <c r="Q573" s="181"/>
      <c r="R573" s="181"/>
      <c r="S573" s="181"/>
      <c r="T573" s="181"/>
      <c r="U573" s="181"/>
      <c r="V573" s="181"/>
      <c r="W573" s="181"/>
      <c r="X573" s="181"/>
      <c r="Y573" s="181"/>
      <c r="Z573" s="181"/>
      <c r="AA573" s="181"/>
    </row>
    <row r="574" customFormat="false" ht="15.75" hidden="false" customHeight="false" outlineLevel="0" collapsed="false">
      <c r="A574" s="181" t="str">
        <f aca="false">IF(ISBLANK(B574),"",B574&amp;"|"&amp;C574)</f>
        <v/>
      </c>
      <c r="B574" s="181"/>
      <c r="C574" s="181"/>
      <c r="D574" s="181"/>
      <c r="E574" s="186"/>
      <c r="F574" s="181"/>
      <c r="G574" s="181"/>
      <c r="H574" s="181"/>
      <c r="I574" s="181"/>
      <c r="J574" s="181"/>
      <c r="K574" s="181"/>
      <c r="L574" s="181"/>
      <c r="M574" s="181"/>
      <c r="N574" s="181"/>
      <c r="O574" s="181"/>
      <c r="P574" s="181"/>
      <c r="Q574" s="181"/>
      <c r="R574" s="181"/>
      <c r="S574" s="181"/>
      <c r="T574" s="181"/>
      <c r="U574" s="181"/>
      <c r="V574" s="181"/>
      <c r="W574" s="181"/>
      <c r="X574" s="181"/>
      <c r="Y574" s="181"/>
      <c r="Z574" s="181"/>
      <c r="AA574" s="181"/>
    </row>
    <row r="575" customFormat="false" ht="15.75" hidden="false" customHeight="false" outlineLevel="0" collapsed="false">
      <c r="A575" s="181" t="str">
        <f aca="false">IF(ISBLANK(B575),"",B575&amp;"|"&amp;C575)</f>
        <v/>
      </c>
      <c r="B575" s="181"/>
      <c r="C575" s="181"/>
      <c r="D575" s="181"/>
      <c r="E575" s="186"/>
      <c r="F575" s="181"/>
      <c r="G575" s="181"/>
      <c r="H575" s="181"/>
      <c r="I575" s="181"/>
      <c r="J575" s="181"/>
      <c r="K575" s="181"/>
      <c r="L575" s="181"/>
      <c r="M575" s="181"/>
      <c r="N575" s="181"/>
      <c r="O575" s="181"/>
      <c r="P575" s="181"/>
      <c r="Q575" s="181"/>
      <c r="R575" s="181"/>
      <c r="S575" s="181"/>
      <c r="T575" s="181"/>
      <c r="U575" s="181"/>
      <c r="V575" s="181"/>
      <c r="W575" s="181"/>
      <c r="X575" s="181"/>
      <c r="Y575" s="181"/>
      <c r="Z575" s="181"/>
      <c r="AA575" s="181"/>
    </row>
    <row r="576" customFormat="false" ht="15.75" hidden="false" customHeight="false" outlineLevel="0" collapsed="false">
      <c r="A576" s="181" t="str">
        <f aca="false">IF(ISBLANK(B576),"",B576&amp;"|"&amp;C576)</f>
        <v/>
      </c>
      <c r="B576" s="181"/>
      <c r="C576" s="181"/>
      <c r="D576" s="181"/>
      <c r="E576" s="186"/>
      <c r="F576" s="181"/>
      <c r="G576" s="181"/>
      <c r="H576" s="181"/>
      <c r="I576" s="181"/>
      <c r="J576" s="181"/>
      <c r="K576" s="181"/>
      <c r="L576" s="181"/>
      <c r="M576" s="181"/>
      <c r="N576" s="181"/>
      <c r="O576" s="181"/>
      <c r="P576" s="181"/>
      <c r="Q576" s="181"/>
      <c r="R576" s="181"/>
      <c r="S576" s="181"/>
      <c r="T576" s="181"/>
      <c r="U576" s="181"/>
      <c r="V576" s="181"/>
      <c r="W576" s="181"/>
      <c r="X576" s="181"/>
      <c r="Y576" s="181"/>
      <c r="Z576" s="181"/>
      <c r="AA576" s="181"/>
    </row>
    <row r="577" customFormat="false" ht="15.75" hidden="false" customHeight="false" outlineLevel="0" collapsed="false">
      <c r="A577" s="181" t="str">
        <f aca="false">IF(ISBLANK(B577),"",B577&amp;"|"&amp;C577)</f>
        <v/>
      </c>
      <c r="B577" s="181"/>
      <c r="C577" s="181"/>
      <c r="D577" s="181"/>
      <c r="E577" s="186"/>
      <c r="F577" s="181"/>
      <c r="G577" s="181"/>
      <c r="H577" s="181"/>
      <c r="I577" s="181"/>
      <c r="J577" s="181"/>
      <c r="K577" s="181"/>
      <c r="L577" s="181"/>
      <c r="M577" s="181"/>
      <c r="N577" s="181"/>
      <c r="O577" s="181"/>
      <c r="P577" s="181"/>
      <c r="Q577" s="181"/>
      <c r="R577" s="181"/>
      <c r="S577" s="181"/>
      <c r="T577" s="181"/>
      <c r="U577" s="181"/>
      <c r="V577" s="181"/>
      <c r="W577" s="181"/>
      <c r="X577" s="181"/>
      <c r="Y577" s="181"/>
      <c r="Z577" s="181"/>
      <c r="AA577" s="181"/>
    </row>
    <row r="578" customFormat="false" ht="15.75" hidden="false" customHeight="false" outlineLevel="0" collapsed="false">
      <c r="A578" s="181" t="str">
        <f aca="false">IF(ISBLANK(B578),"",B578&amp;"|"&amp;C578)</f>
        <v/>
      </c>
      <c r="B578" s="181"/>
      <c r="C578" s="181"/>
      <c r="D578" s="181"/>
      <c r="E578" s="186"/>
      <c r="F578" s="181"/>
      <c r="G578" s="181"/>
      <c r="H578" s="181"/>
      <c r="I578" s="181"/>
      <c r="J578" s="181"/>
      <c r="K578" s="181"/>
      <c r="L578" s="181"/>
      <c r="M578" s="181"/>
      <c r="N578" s="181"/>
      <c r="O578" s="181"/>
      <c r="P578" s="181"/>
      <c r="Q578" s="181"/>
      <c r="R578" s="181"/>
      <c r="S578" s="181"/>
      <c r="T578" s="181"/>
      <c r="U578" s="181"/>
      <c r="V578" s="181"/>
      <c r="W578" s="181"/>
      <c r="X578" s="181"/>
      <c r="Y578" s="181"/>
      <c r="Z578" s="181"/>
      <c r="AA578" s="181"/>
    </row>
    <row r="579" customFormat="false" ht="15.75" hidden="false" customHeight="false" outlineLevel="0" collapsed="false">
      <c r="A579" s="181" t="str">
        <f aca="false">IF(ISBLANK(B579),"",B579&amp;"|"&amp;C579)</f>
        <v/>
      </c>
      <c r="B579" s="181"/>
      <c r="C579" s="181"/>
      <c r="D579" s="181"/>
      <c r="E579" s="186"/>
      <c r="F579" s="181"/>
      <c r="G579" s="181"/>
      <c r="H579" s="181"/>
      <c r="I579" s="181"/>
      <c r="J579" s="181"/>
      <c r="K579" s="181"/>
      <c r="L579" s="181"/>
      <c r="M579" s="181"/>
      <c r="N579" s="181"/>
      <c r="O579" s="181"/>
      <c r="P579" s="181"/>
      <c r="Q579" s="181"/>
      <c r="R579" s="181"/>
      <c r="S579" s="181"/>
      <c r="T579" s="181"/>
      <c r="U579" s="181"/>
      <c r="V579" s="181"/>
      <c r="W579" s="181"/>
      <c r="X579" s="181"/>
      <c r="Y579" s="181"/>
      <c r="Z579" s="181"/>
      <c r="AA579" s="181"/>
    </row>
    <row r="580" customFormat="false" ht="15.75" hidden="false" customHeight="false" outlineLevel="0" collapsed="false">
      <c r="A580" s="181" t="str">
        <f aca="false">IF(ISBLANK(B580),"",B580&amp;"|"&amp;C580)</f>
        <v/>
      </c>
      <c r="B580" s="181"/>
      <c r="C580" s="181"/>
      <c r="D580" s="181"/>
      <c r="E580" s="186"/>
      <c r="F580" s="181"/>
      <c r="G580" s="181"/>
      <c r="H580" s="181"/>
      <c r="I580" s="181"/>
      <c r="J580" s="181"/>
      <c r="K580" s="181"/>
      <c r="L580" s="181"/>
      <c r="M580" s="181"/>
      <c r="N580" s="181"/>
      <c r="O580" s="181"/>
      <c r="P580" s="181"/>
      <c r="Q580" s="181"/>
      <c r="R580" s="181"/>
      <c r="S580" s="181"/>
      <c r="T580" s="181"/>
      <c r="U580" s="181"/>
      <c r="V580" s="181"/>
      <c r="W580" s="181"/>
      <c r="X580" s="181"/>
      <c r="Y580" s="181"/>
      <c r="Z580" s="181"/>
      <c r="AA580" s="181"/>
    </row>
    <row r="581" customFormat="false" ht="15.75" hidden="false" customHeight="false" outlineLevel="0" collapsed="false">
      <c r="A581" s="181" t="str">
        <f aca="false">IF(ISBLANK(B581),"",B581&amp;"|"&amp;C581)</f>
        <v/>
      </c>
      <c r="B581" s="181"/>
      <c r="C581" s="181"/>
      <c r="D581" s="181"/>
      <c r="E581" s="186"/>
      <c r="F581" s="181"/>
      <c r="G581" s="181"/>
      <c r="H581" s="181"/>
      <c r="I581" s="181"/>
      <c r="J581" s="181"/>
      <c r="K581" s="181"/>
      <c r="L581" s="181"/>
      <c r="M581" s="181"/>
      <c r="N581" s="181"/>
      <c r="O581" s="181"/>
      <c r="P581" s="181"/>
      <c r="Q581" s="181"/>
      <c r="R581" s="181"/>
      <c r="S581" s="181"/>
      <c r="T581" s="181"/>
      <c r="U581" s="181"/>
      <c r="V581" s="181"/>
      <c r="W581" s="181"/>
      <c r="X581" s="181"/>
      <c r="Y581" s="181"/>
      <c r="Z581" s="181"/>
      <c r="AA581" s="181"/>
    </row>
    <row r="582" customFormat="false" ht="15.75" hidden="false" customHeight="false" outlineLevel="0" collapsed="false">
      <c r="A582" s="181" t="str">
        <f aca="false">IF(ISBLANK(B582),"",B582&amp;"|"&amp;C582)</f>
        <v/>
      </c>
      <c r="B582" s="181"/>
      <c r="C582" s="181"/>
      <c r="D582" s="181"/>
      <c r="E582" s="186"/>
      <c r="F582" s="181"/>
      <c r="G582" s="181"/>
      <c r="H582" s="181"/>
      <c r="I582" s="181"/>
      <c r="J582" s="181"/>
      <c r="K582" s="181"/>
      <c r="L582" s="181"/>
      <c r="M582" s="181"/>
      <c r="N582" s="181"/>
      <c r="O582" s="181"/>
      <c r="P582" s="181"/>
      <c r="Q582" s="181"/>
      <c r="R582" s="181"/>
      <c r="S582" s="181"/>
      <c r="T582" s="181"/>
      <c r="U582" s="181"/>
      <c r="V582" s="181"/>
      <c r="W582" s="181"/>
      <c r="X582" s="181"/>
      <c r="Y582" s="181"/>
      <c r="Z582" s="181"/>
      <c r="AA582" s="181"/>
    </row>
    <row r="583" customFormat="false" ht="15.75" hidden="false" customHeight="false" outlineLevel="0" collapsed="false">
      <c r="A583" s="181" t="str">
        <f aca="false">IF(ISBLANK(B583),"",B583&amp;"|"&amp;C583)</f>
        <v/>
      </c>
      <c r="B583" s="181"/>
      <c r="C583" s="181"/>
      <c r="D583" s="181"/>
      <c r="E583" s="186"/>
      <c r="F583" s="181"/>
      <c r="G583" s="181"/>
      <c r="H583" s="181"/>
      <c r="I583" s="181"/>
      <c r="J583" s="181"/>
      <c r="K583" s="181"/>
      <c r="L583" s="181"/>
      <c r="M583" s="181"/>
      <c r="N583" s="181"/>
      <c r="O583" s="181"/>
      <c r="P583" s="181"/>
      <c r="Q583" s="181"/>
      <c r="R583" s="181"/>
      <c r="S583" s="181"/>
      <c r="T583" s="181"/>
      <c r="U583" s="181"/>
      <c r="V583" s="181"/>
      <c r="W583" s="181"/>
      <c r="X583" s="181"/>
      <c r="Y583" s="181"/>
      <c r="Z583" s="181"/>
      <c r="AA583" s="181"/>
    </row>
    <row r="584" customFormat="false" ht="15.75" hidden="false" customHeight="false" outlineLevel="0" collapsed="false">
      <c r="A584" s="181" t="str">
        <f aca="false">IF(ISBLANK(B584),"",B584&amp;"|"&amp;C584)</f>
        <v/>
      </c>
      <c r="B584" s="181"/>
      <c r="C584" s="181"/>
      <c r="D584" s="181"/>
      <c r="E584" s="186"/>
      <c r="F584" s="181"/>
      <c r="G584" s="181"/>
      <c r="H584" s="181"/>
      <c r="I584" s="181"/>
      <c r="J584" s="181"/>
      <c r="K584" s="181"/>
      <c r="L584" s="181"/>
      <c r="M584" s="181"/>
      <c r="N584" s="181"/>
      <c r="O584" s="181"/>
      <c r="P584" s="181"/>
      <c r="Q584" s="181"/>
      <c r="R584" s="181"/>
      <c r="S584" s="181"/>
      <c r="T584" s="181"/>
      <c r="U584" s="181"/>
      <c r="V584" s="181"/>
      <c r="W584" s="181"/>
      <c r="X584" s="181"/>
      <c r="Y584" s="181"/>
      <c r="Z584" s="181"/>
      <c r="AA584" s="181"/>
    </row>
    <row r="585" customFormat="false" ht="15.75" hidden="false" customHeight="false" outlineLevel="0" collapsed="false">
      <c r="A585" s="181" t="str">
        <f aca="false">IF(ISBLANK(B585),"",B585&amp;"|"&amp;C585)</f>
        <v/>
      </c>
      <c r="B585" s="181"/>
      <c r="C585" s="181"/>
      <c r="D585" s="181"/>
      <c r="E585" s="186"/>
      <c r="F585" s="181"/>
      <c r="G585" s="181"/>
      <c r="H585" s="181"/>
      <c r="I585" s="181"/>
      <c r="J585" s="181"/>
      <c r="K585" s="181"/>
      <c r="L585" s="181"/>
      <c r="M585" s="181"/>
      <c r="N585" s="181"/>
      <c r="O585" s="181"/>
      <c r="P585" s="181"/>
      <c r="Q585" s="181"/>
      <c r="R585" s="181"/>
      <c r="S585" s="181"/>
      <c r="T585" s="181"/>
      <c r="U585" s="181"/>
      <c r="V585" s="181"/>
      <c r="W585" s="181"/>
      <c r="X585" s="181"/>
      <c r="Y585" s="181"/>
      <c r="Z585" s="181"/>
      <c r="AA585" s="181"/>
    </row>
    <row r="586" customFormat="false" ht="15.75" hidden="false" customHeight="false" outlineLevel="0" collapsed="false">
      <c r="A586" s="181" t="str">
        <f aca="false">IF(ISBLANK(B586),"",B586&amp;"|"&amp;C586)</f>
        <v/>
      </c>
      <c r="B586" s="181"/>
      <c r="C586" s="181"/>
      <c r="D586" s="181"/>
      <c r="E586" s="186"/>
      <c r="F586" s="181"/>
      <c r="G586" s="181"/>
      <c r="H586" s="181"/>
      <c r="I586" s="181"/>
      <c r="J586" s="181"/>
      <c r="K586" s="181"/>
      <c r="L586" s="181"/>
      <c r="M586" s="181"/>
      <c r="N586" s="181"/>
      <c r="O586" s="181"/>
      <c r="P586" s="181"/>
      <c r="Q586" s="181"/>
      <c r="R586" s="181"/>
      <c r="S586" s="181"/>
      <c r="T586" s="181"/>
      <c r="U586" s="181"/>
      <c r="V586" s="181"/>
      <c r="W586" s="181"/>
      <c r="X586" s="181"/>
      <c r="Y586" s="181"/>
      <c r="Z586" s="181"/>
      <c r="AA586" s="181"/>
    </row>
    <row r="587" customFormat="false" ht="15.75" hidden="false" customHeight="false" outlineLevel="0" collapsed="false">
      <c r="A587" s="181" t="str">
        <f aca="false">IF(ISBLANK(B587),"",B587&amp;"|"&amp;C587)</f>
        <v/>
      </c>
      <c r="B587" s="181"/>
      <c r="C587" s="181"/>
      <c r="D587" s="181"/>
      <c r="E587" s="186"/>
      <c r="F587" s="181"/>
      <c r="G587" s="181"/>
      <c r="H587" s="181"/>
      <c r="I587" s="181"/>
      <c r="J587" s="181"/>
      <c r="K587" s="181"/>
      <c r="L587" s="181"/>
      <c r="M587" s="181"/>
      <c r="N587" s="181"/>
      <c r="O587" s="181"/>
      <c r="P587" s="181"/>
      <c r="Q587" s="181"/>
      <c r="R587" s="181"/>
      <c r="S587" s="181"/>
      <c r="T587" s="181"/>
      <c r="U587" s="181"/>
      <c r="V587" s="181"/>
      <c r="W587" s="181"/>
      <c r="X587" s="181"/>
      <c r="Y587" s="181"/>
      <c r="Z587" s="181"/>
      <c r="AA587" s="181"/>
    </row>
    <row r="588" customFormat="false" ht="15.75" hidden="false" customHeight="false" outlineLevel="0" collapsed="false">
      <c r="A588" s="181" t="str">
        <f aca="false">IF(ISBLANK(B588),"",B588&amp;"|"&amp;C588)</f>
        <v/>
      </c>
      <c r="B588" s="181"/>
      <c r="C588" s="181"/>
      <c r="D588" s="181"/>
      <c r="E588" s="186"/>
      <c r="F588" s="181"/>
      <c r="G588" s="181"/>
      <c r="H588" s="181"/>
      <c r="I588" s="181"/>
      <c r="J588" s="181"/>
      <c r="K588" s="181"/>
      <c r="L588" s="181"/>
      <c r="M588" s="181"/>
      <c r="N588" s="181"/>
      <c r="O588" s="181"/>
      <c r="P588" s="181"/>
      <c r="Q588" s="181"/>
      <c r="R588" s="181"/>
      <c r="S588" s="181"/>
      <c r="T588" s="181"/>
      <c r="U588" s="181"/>
      <c r="V588" s="181"/>
      <c r="W588" s="181"/>
      <c r="X588" s="181"/>
      <c r="Y588" s="181"/>
      <c r="Z588" s="181"/>
      <c r="AA588" s="181"/>
    </row>
    <row r="589" customFormat="false" ht="15.75" hidden="false" customHeight="false" outlineLevel="0" collapsed="false">
      <c r="A589" s="181" t="str">
        <f aca="false">IF(ISBLANK(B589),"",B589&amp;"|"&amp;C589)</f>
        <v/>
      </c>
      <c r="B589" s="181"/>
      <c r="C589" s="181"/>
      <c r="D589" s="181"/>
      <c r="E589" s="186"/>
      <c r="F589" s="181"/>
      <c r="G589" s="181"/>
      <c r="H589" s="181"/>
      <c r="I589" s="181"/>
      <c r="J589" s="181"/>
      <c r="K589" s="181"/>
      <c r="L589" s="181"/>
      <c r="M589" s="181"/>
      <c r="N589" s="181"/>
      <c r="O589" s="181"/>
      <c r="P589" s="181"/>
      <c r="Q589" s="181"/>
      <c r="R589" s="181"/>
      <c r="S589" s="181"/>
      <c r="T589" s="181"/>
      <c r="U589" s="181"/>
      <c r="V589" s="181"/>
      <c r="W589" s="181"/>
      <c r="X589" s="181"/>
      <c r="Y589" s="181"/>
      <c r="Z589" s="181"/>
      <c r="AA589" s="181"/>
    </row>
    <row r="590" customFormat="false" ht="15.75" hidden="false" customHeight="false" outlineLevel="0" collapsed="false">
      <c r="A590" s="181" t="str">
        <f aca="false">IF(ISBLANK(B590),"",B590&amp;"|"&amp;C590)</f>
        <v/>
      </c>
      <c r="B590" s="181"/>
      <c r="C590" s="181"/>
      <c r="D590" s="181"/>
      <c r="E590" s="186"/>
      <c r="F590" s="181"/>
      <c r="G590" s="181"/>
      <c r="H590" s="181"/>
      <c r="I590" s="181"/>
      <c r="J590" s="181"/>
      <c r="K590" s="181"/>
      <c r="L590" s="181"/>
      <c r="M590" s="181"/>
      <c r="N590" s="181"/>
      <c r="O590" s="181"/>
      <c r="P590" s="181"/>
      <c r="Q590" s="181"/>
      <c r="R590" s="181"/>
      <c r="S590" s="181"/>
      <c r="T590" s="181"/>
      <c r="U590" s="181"/>
      <c r="V590" s="181"/>
      <c r="W590" s="181"/>
      <c r="X590" s="181"/>
      <c r="Y590" s="181"/>
      <c r="Z590" s="181"/>
      <c r="AA590" s="181"/>
    </row>
    <row r="591" customFormat="false" ht="15.75" hidden="false" customHeight="false" outlineLevel="0" collapsed="false">
      <c r="A591" s="181" t="str">
        <f aca="false">IF(ISBLANK(B591),"",B591&amp;"|"&amp;C591)</f>
        <v/>
      </c>
      <c r="B591" s="181"/>
      <c r="C591" s="181"/>
      <c r="D591" s="181"/>
      <c r="E591" s="186"/>
      <c r="F591" s="181"/>
      <c r="G591" s="181"/>
      <c r="H591" s="181"/>
      <c r="I591" s="181"/>
      <c r="J591" s="181"/>
      <c r="K591" s="181"/>
      <c r="L591" s="181"/>
      <c r="M591" s="181"/>
      <c r="N591" s="181"/>
      <c r="O591" s="181"/>
      <c r="P591" s="181"/>
      <c r="Q591" s="181"/>
      <c r="R591" s="181"/>
      <c r="S591" s="181"/>
      <c r="T591" s="181"/>
      <c r="U591" s="181"/>
      <c r="V591" s="181"/>
      <c r="W591" s="181"/>
      <c r="X591" s="181"/>
      <c r="Y591" s="181"/>
      <c r="Z591" s="181"/>
      <c r="AA591" s="181"/>
    </row>
    <row r="592" customFormat="false" ht="15.75" hidden="false" customHeight="false" outlineLevel="0" collapsed="false">
      <c r="A592" s="181" t="str">
        <f aca="false">IF(ISBLANK(B592),"",B592&amp;"|"&amp;C592)</f>
        <v/>
      </c>
      <c r="B592" s="181"/>
      <c r="C592" s="181"/>
      <c r="D592" s="181"/>
      <c r="E592" s="186"/>
      <c r="F592" s="181"/>
      <c r="G592" s="181"/>
      <c r="H592" s="181"/>
      <c r="I592" s="181"/>
      <c r="J592" s="181"/>
      <c r="K592" s="181"/>
      <c r="L592" s="181"/>
      <c r="M592" s="181"/>
      <c r="N592" s="181"/>
      <c r="O592" s="181"/>
      <c r="P592" s="181"/>
      <c r="Q592" s="181"/>
      <c r="R592" s="181"/>
      <c r="S592" s="181"/>
      <c r="T592" s="181"/>
      <c r="U592" s="181"/>
      <c r="V592" s="181"/>
      <c r="W592" s="181"/>
      <c r="X592" s="181"/>
      <c r="Y592" s="181"/>
      <c r="Z592" s="181"/>
      <c r="AA592" s="181"/>
    </row>
    <row r="593" customFormat="false" ht="15.75" hidden="false" customHeight="false" outlineLevel="0" collapsed="false">
      <c r="A593" s="181" t="str">
        <f aca="false">IF(ISBLANK(B593),"",B593&amp;"|"&amp;C593)</f>
        <v/>
      </c>
      <c r="B593" s="181"/>
      <c r="C593" s="181"/>
      <c r="D593" s="181"/>
      <c r="E593" s="186"/>
      <c r="F593" s="181"/>
      <c r="G593" s="181"/>
      <c r="H593" s="181"/>
      <c r="I593" s="181"/>
      <c r="J593" s="181"/>
      <c r="K593" s="181"/>
      <c r="L593" s="181"/>
      <c r="M593" s="181"/>
      <c r="N593" s="181"/>
      <c r="O593" s="181"/>
      <c r="P593" s="181"/>
      <c r="Q593" s="181"/>
      <c r="R593" s="181"/>
      <c r="S593" s="181"/>
      <c r="T593" s="181"/>
      <c r="U593" s="181"/>
      <c r="V593" s="181"/>
      <c r="W593" s="181"/>
      <c r="X593" s="181"/>
      <c r="Y593" s="181"/>
      <c r="Z593" s="181"/>
      <c r="AA593" s="181"/>
    </row>
    <row r="594" customFormat="false" ht="15.75" hidden="false" customHeight="false" outlineLevel="0" collapsed="false">
      <c r="A594" s="181" t="str">
        <f aca="false">IF(ISBLANK(B594),"",B594&amp;"|"&amp;C594)</f>
        <v/>
      </c>
      <c r="B594" s="181"/>
      <c r="C594" s="181"/>
      <c r="D594" s="181"/>
      <c r="E594" s="186"/>
      <c r="F594" s="181"/>
      <c r="G594" s="181"/>
      <c r="H594" s="181"/>
      <c r="I594" s="181"/>
      <c r="J594" s="181"/>
      <c r="K594" s="181"/>
      <c r="L594" s="181"/>
      <c r="M594" s="181"/>
      <c r="N594" s="181"/>
      <c r="O594" s="181"/>
      <c r="P594" s="181"/>
      <c r="Q594" s="181"/>
      <c r="R594" s="181"/>
      <c r="S594" s="181"/>
      <c r="T594" s="181"/>
      <c r="U594" s="181"/>
      <c r="V594" s="181"/>
      <c r="W594" s="181"/>
      <c r="X594" s="181"/>
      <c r="Y594" s="181"/>
      <c r="Z594" s="181"/>
      <c r="AA594" s="181"/>
    </row>
    <row r="595" customFormat="false" ht="15.75" hidden="false" customHeight="false" outlineLevel="0" collapsed="false">
      <c r="A595" s="181" t="str">
        <f aca="false">IF(ISBLANK(B595),"",B595&amp;"|"&amp;C595)</f>
        <v/>
      </c>
      <c r="B595" s="181"/>
      <c r="C595" s="181"/>
      <c r="D595" s="181"/>
      <c r="E595" s="186"/>
      <c r="F595" s="181"/>
      <c r="G595" s="181"/>
      <c r="H595" s="181"/>
      <c r="I595" s="181"/>
      <c r="J595" s="181"/>
      <c r="K595" s="181"/>
      <c r="L595" s="181"/>
      <c r="M595" s="181"/>
      <c r="N595" s="181"/>
      <c r="O595" s="181"/>
      <c r="P595" s="181"/>
      <c r="Q595" s="181"/>
      <c r="R595" s="181"/>
      <c r="S595" s="181"/>
      <c r="T595" s="181"/>
      <c r="U595" s="181"/>
      <c r="V595" s="181"/>
      <c r="W595" s="181"/>
      <c r="X595" s="181"/>
      <c r="Y595" s="181"/>
      <c r="Z595" s="181"/>
      <c r="AA595" s="181"/>
    </row>
    <row r="596" customFormat="false" ht="15.75" hidden="false" customHeight="false" outlineLevel="0" collapsed="false">
      <c r="A596" s="181" t="str">
        <f aca="false">IF(ISBLANK(B596),"",B596&amp;"|"&amp;C596)</f>
        <v/>
      </c>
      <c r="B596" s="181"/>
      <c r="C596" s="181"/>
      <c r="D596" s="181"/>
      <c r="E596" s="186"/>
      <c r="F596" s="181"/>
      <c r="G596" s="181"/>
      <c r="H596" s="181"/>
      <c r="I596" s="181"/>
      <c r="J596" s="181"/>
      <c r="K596" s="181"/>
      <c r="L596" s="181"/>
      <c r="M596" s="181"/>
      <c r="N596" s="181"/>
      <c r="O596" s="181"/>
      <c r="P596" s="181"/>
      <c r="Q596" s="181"/>
      <c r="R596" s="181"/>
      <c r="S596" s="181"/>
      <c r="T596" s="181"/>
      <c r="U596" s="181"/>
      <c r="V596" s="181"/>
      <c r="W596" s="181"/>
      <c r="X596" s="181"/>
      <c r="Y596" s="181"/>
      <c r="Z596" s="181"/>
      <c r="AA596" s="181"/>
    </row>
    <row r="597" customFormat="false" ht="15.75" hidden="false" customHeight="false" outlineLevel="0" collapsed="false">
      <c r="A597" s="181" t="str">
        <f aca="false">IF(ISBLANK(B597),"",B597&amp;"|"&amp;C597)</f>
        <v/>
      </c>
      <c r="B597" s="181"/>
      <c r="C597" s="181"/>
      <c r="D597" s="181"/>
      <c r="E597" s="186"/>
      <c r="F597" s="181"/>
      <c r="G597" s="181"/>
      <c r="H597" s="181"/>
      <c r="I597" s="181"/>
      <c r="J597" s="181"/>
      <c r="K597" s="181"/>
      <c r="L597" s="181"/>
      <c r="M597" s="181"/>
      <c r="N597" s="181"/>
      <c r="O597" s="181"/>
      <c r="P597" s="181"/>
      <c r="Q597" s="181"/>
      <c r="R597" s="181"/>
      <c r="S597" s="181"/>
      <c r="T597" s="181"/>
      <c r="U597" s="181"/>
      <c r="V597" s="181"/>
      <c r="W597" s="181"/>
      <c r="X597" s="181"/>
      <c r="Y597" s="181"/>
      <c r="Z597" s="181"/>
      <c r="AA597" s="181"/>
    </row>
    <row r="598" customFormat="false" ht="15.75" hidden="false" customHeight="false" outlineLevel="0" collapsed="false">
      <c r="A598" s="181" t="str">
        <f aca="false">IF(ISBLANK(B598),"",B598&amp;"|"&amp;C598)</f>
        <v/>
      </c>
      <c r="B598" s="181"/>
      <c r="C598" s="181"/>
      <c r="D598" s="181"/>
      <c r="E598" s="186"/>
      <c r="F598" s="181"/>
      <c r="G598" s="181"/>
      <c r="H598" s="181"/>
      <c r="I598" s="181"/>
      <c r="J598" s="181"/>
      <c r="K598" s="181"/>
      <c r="L598" s="181"/>
      <c r="M598" s="181"/>
      <c r="N598" s="181"/>
      <c r="O598" s="181"/>
      <c r="P598" s="181"/>
      <c r="Q598" s="181"/>
      <c r="R598" s="181"/>
      <c r="S598" s="181"/>
      <c r="T598" s="181"/>
      <c r="U598" s="181"/>
      <c r="V598" s="181"/>
      <c r="W598" s="181"/>
      <c r="X598" s="181"/>
      <c r="Y598" s="181"/>
      <c r="Z598" s="181"/>
      <c r="AA598" s="181"/>
    </row>
    <row r="599" customFormat="false" ht="15.75" hidden="false" customHeight="false" outlineLevel="0" collapsed="false">
      <c r="A599" s="181" t="str">
        <f aca="false">IF(ISBLANK(B599),"",B599&amp;"|"&amp;C599)</f>
        <v/>
      </c>
      <c r="B599" s="181"/>
      <c r="C599" s="181"/>
      <c r="D599" s="181"/>
      <c r="E599" s="186"/>
      <c r="F599" s="181"/>
      <c r="G599" s="181"/>
      <c r="H599" s="181"/>
      <c r="I599" s="181"/>
      <c r="J599" s="181"/>
      <c r="K599" s="181"/>
      <c r="L599" s="181"/>
      <c r="M599" s="181"/>
      <c r="N599" s="181"/>
      <c r="O599" s="181"/>
      <c r="P599" s="181"/>
      <c r="Q599" s="181"/>
      <c r="R599" s="181"/>
      <c r="S599" s="181"/>
      <c r="T599" s="181"/>
      <c r="U599" s="181"/>
      <c r="V599" s="181"/>
      <c r="W599" s="181"/>
      <c r="X599" s="181"/>
      <c r="Y599" s="181"/>
      <c r="Z599" s="181"/>
      <c r="AA599" s="181"/>
    </row>
    <row r="600" customFormat="false" ht="15.75" hidden="false" customHeight="false" outlineLevel="0" collapsed="false">
      <c r="A600" s="181" t="str">
        <f aca="false">IF(ISBLANK(B600),"",B600&amp;"|"&amp;C600)</f>
        <v/>
      </c>
      <c r="B600" s="181"/>
      <c r="C600" s="181"/>
      <c r="D600" s="181"/>
      <c r="E600" s="186"/>
      <c r="F600" s="181"/>
      <c r="G600" s="181"/>
      <c r="H600" s="181"/>
      <c r="I600" s="181"/>
      <c r="J600" s="181"/>
      <c r="K600" s="181"/>
      <c r="L600" s="181"/>
      <c r="M600" s="181"/>
      <c r="N600" s="181"/>
      <c r="O600" s="181"/>
      <c r="P600" s="181"/>
      <c r="Q600" s="181"/>
      <c r="R600" s="181"/>
      <c r="S600" s="181"/>
      <c r="T600" s="181"/>
      <c r="U600" s="181"/>
      <c r="V600" s="181"/>
      <c r="W600" s="181"/>
      <c r="X600" s="181"/>
      <c r="Y600" s="181"/>
      <c r="Z600" s="181"/>
      <c r="AA600" s="181"/>
    </row>
    <row r="601" customFormat="false" ht="15.75" hidden="false" customHeight="false" outlineLevel="0" collapsed="false">
      <c r="A601" s="181" t="str">
        <f aca="false">IF(ISBLANK(B601),"",B601&amp;"|"&amp;C601)</f>
        <v/>
      </c>
      <c r="B601" s="181"/>
      <c r="C601" s="181"/>
      <c r="D601" s="181"/>
      <c r="E601" s="186"/>
      <c r="F601" s="181"/>
      <c r="G601" s="181"/>
      <c r="H601" s="181"/>
      <c r="I601" s="181"/>
      <c r="J601" s="181"/>
      <c r="K601" s="181"/>
      <c r="L601" s="181"/>
      <c r="M601" s="181"/>
      <c r="N601" s="181"/>
      <c r="O601" s="181"/>
      <c r="P601" s="181"/>
      <c r="Q601" s="181"/>
      <c r="R601" s="181"/>
      <c r="S601" s="181"/>
      <c r="T601" s="181"/>
      <c r="U601" s="181"/>
      <c r="V601" s="181"/>
      <c r="W601" s="181"/>
      <c r="X601" s="181"/>
      <c r="Y601" s="181"/>
      <c r="Z601" s="181"/>
      <c r="AA601" s="181"/>
    </row>
    <row r="602" customFormat="false" ht="15.75" hidden="false" customHeight="false" outlineLevel="0" collapsed="false">
      <c r="A602" s="181" t="str">
        <f aca="false">IF(ISBLANK(B602),"",B602&amp;"|"&amp;C602)</f>
        <v/>
      </c>
      <c r="B602" s="181"/>
      <c r="C602" s="181"/>
      <c r="D602" s="181"/>
      <c r="E602" s="186"/>
      <c r="F602" s="181"/>
      <c r="G602" s="181"/>
      <c r="H602" s="181"/>
      <c r="I602" s="181"/>
      <c r="J602" s="181"/>
      <c r="K602" s="181"/>
      <c r="L602" s="181"/>
      <c r="M602" s="181"/>
      <c r="N602" s="181"/>
      <c r="O602" s="181"/>
      <c r="P602" s="181"/>
      <c r="Q602" s="181"/>
      <c r="R602" s="181"/>
      <c r="S602" s="181"/>
      <c r="T602" s="181"/>
      <c r="U602" s="181"/>
      <c r="V602" s="181"/>
      <c r="W602" s="181"/>
      <c r="X602" s="181"/>
      <c r="Y602" s="181"/>
      <c r="Z602" s="181"/>
      <c r="AA602" s="181"/>
    </row>
    <row r="603" customFormat="false" ht="15.75" hidden="false" customHeight="false" outlineLevel="0" collapsed="false">
      <c r="A603" s="181" t="str">
        <f aca="false">IF(ISBLANK(B603),"",B603&amp;"|"&amp;C603)</f>
        <v/>
      </c>
      <c r="B603" s="181"/>
      <c r="C603" s="181"/>
      <c r="D603" s="181"/>
      <c r="E603" s="186"/>
      <c r="F603" s="181"/>
      <c r="G603" s="181"/>
      <c r="H603" s="181"/>
      <c r="I603" s="181"/>
      <c r="J603" s="181"/>
      <c r="K603" s="181"/>
      <c r="L603" s="181"/>
      <c r="M603" s="181"/>
      <c r="N603" s="181"/>
      <c r="O603" s="181"/>
      <c r="P603" s="181"/>
      <c r="Q603" s="181"/>
      <c r="R603" s="181"/>
      <c r="S603" s="181"/>
      <c r="T603" s="181"/>
      <c r="U603" s="181"/>
      <c r="V603" s="181"/>
      <c r="W603" s="181"/>
      <c r="X603" s="181"/>
      <c r="Y603" s="181"/>
      <c r="Z603" s="181"/>
      <c r="AA603" s="181"/>
    </row>
    <row r="604" customFormat="false" ht="15.75" hidden="false" customHeight="false" outlineLevel="0" collapsed="false">
      <c r="A604" s="181" t="str">
        <f aca="false">IF(ISBLANK(B604),"",B604&amp;"|"&amp;C604)</f>
        <v/>
      </c>
      <c r="B604" s="181"/>
      <c r="C604" s="181"/>
      <c r="D604" s="181"/>
      <c r="E604" s="186"/>
      <c r="F604" s="181"/>
      <c r="G604" s="181"/>
      <c r="H604" s="181"/>
      <c r="I604" s="181"/>
      <c r="J604" s="181"/>
      <c r="K604" s="181"/>
      <c r="L604" s="181"/>
      <c r="M604" s="181"/>
      <c r="N604" s="181"/>
      <c r="O604" s="181"/>
      <c r="P604" s="181"/>
      <c r="Q604" s="181"/>
      <c r="R604" s="181"/>
      <c r="S604" s="181"/>
      <c r="T604" s="181"/>
      <c r="U604" s="181"/>
      <c r="V604" s="181"/>
      <c r="W604" s="181"/>
      <c r="X604" s="181"/>
      <c r="Y604" s="181"/>
      <c r="Z604" s="181"/>
      <c r="AA604" s="181"/>
    </row>
    <row r="605" customFormat="false" ht="15.75" hidden="false" customHeight="false" outlineLevel="0" collapsed="false">
      <c r="A605" s="181" t="str">
        <f aca="false">IF(ISBLANK(B605),"",B605&amp;"|"&amp;C605)</f>
        <v/>
      </c>
      <c r="B605" s="181"/>
      <c r="C605" s="181"/>
      <c r="D605" s="181"/>
      <c r="E605" s="186"/>
      <c r="F605" s="181"/>
      <c r="G605" s="181"/>
      <c r="H605" s="181"/>
      <c r="I605" s="181"/>
      <c r="J605" s="181"/>
      <c r="K605" s="181"/>
      <c r="L605" s="181"/>
      <c r="M605" s="181"/>
      <c r="N605" s="181"/>
      <c r="O605" s="181"/>
      <c r="P605" s="181"/>
      <c r="Q605" s="181"/>
      <c r="R605" s="181"/>
      <c r="S605" s="181"/>
      <c r="T605" s="181"/>
      <c r="U605" s="181"/>
      <c r="V605" s="181"/>
      <c r="W605" s="181"/>
      <c r="X605" s="181"/>
      <c r="Y605" s="181"/>
      <c r="Z605" s="181"/>
      <c r="AA605" s="181"/>
    </row>
    <row r="606" customFormat="false" ht="15.75" hidden="false" customHeight="false" outlineLevel="0" collapsed="false">
      <c r="A606" s="181" t="str">
        <f aca="false">IF(ISBLANK(B606),"",B606&amp;"|"&amp;C606)</f>
        <v/>
      </c>
      <c r="B606" s="181"/>
      <c r="C606" s="181"/>
      <c r="D606" s="181"/>
      <c r="E606" s="186"/>
      <c r="F606" s="181"/>
      <c r="G606" s="181"/>
      <c r="H606" s="181"/>
      <c r="I606" s="181"/>
      <c r="J606" s="181"/>
      <c r="K606" s="181"/>
      <c r="L606" s="181"/>
      <c r="M606" s="181"/>
      <c r="N606" s="181"/>
      <c r="O606" s="181"/>
      <c r="P606" s="181"/>
      <c r="Q606" s="181"/>
      <c r="R606" s="181"/>
      <c r="S606" s="181"/>
      <c r="T606" s="181"/>
      <c r="U606" s="181"/>
      <c r="V606" s="181"/>
      <c r="W606" s="181"/>
      <c r="X606" s="181"/>
      <c r="Y606" s="181"/>
      <c r="Z606" s="181"/>
      <c r="AA606" s="181"/>
    </row>
    <row r="607" customFormat="false" ht="15.75" hidden="false" customHeight="false" outlineLevel="0" collapsed="false">
      <c r="A607" s="181" t="str">
        <f aca="false">IF(ISBLANK(B607),"",B607&amp;"|"&amp;C607)</f>
        <v/>
      </c>
      <c r="B607" s="181"/>
      <c r="C607" s="181"/>
      <c r="D607" s="181"/>
      <c r="E607" s="186"/>
      <c r="F607" s="181"/>
      <c r="G607" s="181"/>
      <c r="H607" s="181"/>
      <c r="I607" s="181"/>
      <c r="J607" s="181"/>
      <c r="K607" s="181"/>
      <c r="L607" s="181"/>
      <c r="M607" s="181"/>
      <c r="N607" s="181"/>
      <c r="O607" s="181"/>
      <c r="P607" s="181"/>
      <c r="Q607" s="181"/>
      <c r="R607" s="181"/>
      <c r="S607" s="181"/>
      <c r="T607" s="181"/>
      <c r="U607" s="181"/>
      <c r="V607" s="181"/>
      <c r="W607" s="181"/>
      <c r="X607" s="181"/>
      <c r="Y607" s="181"/>
      <c r="Z607" s="181"/>
      <c r="AA607" s="181"/>
    </row>
    <row r="608" customFormat="false" ht="15.75" hidden="false" customHeight="false" outlineLevel="0" collapsed="false">
      <c r="A608" s="181" t="str">
        <f aca="false">IF(ISBLANK(B608),"",B608&amp;"|"&amp;C608)</f>
        <v/>
      </c>
      <c r="B608" s="181"/>
      <c r="C608" s="181"/>
      <c r="D608" s="181"/>
      <c r="E608" s="186"/>
      <c r="F608" s="181"/>
      <c r="G608" s="181"/>
      <c r="H608" s="181"/>
      <c r="I608" s="181"/>
      <c r="J608" s="181"/>
      <c r="K608" s="181"/>
      <c r="L608" s="181"/>
      <c r="M608" s="181"/>
      <c r="N608" s="181"/>
      <c r="O608" s="181"/>
      <c r="P608" s="181"/>
      <c r="Q608" s="181"/>
      <c r="R608" s="181"/>
      <c r="S608" s="181"/>
      <c r="T608" s="181"/>
      <c r="U608" s="181"/>
      <c r="V608" s="181"/>
      <c r="W608" s="181"/>
      <c r="X608" s="181"/>
      <c r="Y608" s="181"/>
      <c r="Z608" s="181"/>
      <c r="AA608" s="181"/>
    </row>
    <row r="609" customFormat="false" ht="15.75" hidden="false" customHeight="false" outlineLevel="0" collapsed="false">
      <c r="A609" s="181" t="str">
        <f aca="false">IF(ISBLANK(B609),"",B609&amp;"|"&amp;C609)</f>
        <v/>
      </c>
      <c r="B609" s="181"/>
      <c r="C609" s="181"/>
      <c r="D609" s="181"/>
      <c r="E609" s="186"/>
      <c r="F609" s="181"/>
      <c r="G609" s="181"/>
      <c r="H609" s="181"/>
      <c r="I609" s="181"/>
      <c r="J609" s="181"/>
      <c r="K609" s="181"/>
      <c r="L609" s="181"/>
      <c r="M609" s="181"/>
      <c r="N609" s="181"/>
      <c r="O609" s="181"/>
      <c r="P609" s="181"/>
      <c r="Q609" s="181"/>
      <c r="R609" s="181"/>
      <c r="S609" s="181"/>
      <c r="T609" s="181"/>
      <c r="U609" s="181"/>
      <c r="V609" s="181"/>
      <c r="W609" s="181"/>
      <c r="X609" s="181"/>
      <c r="Y609" s="181"/>
      <c r="Z609" s="181"/>
      <c r="AA609" s="181"/>
    </row>
    <row r="610" customFormat="false" ht="15.75" hidden="false" customHeight="false" outlineLevel="0" collapsed="false">
      <c r="A610" s="181" t="str">
        <f aca="false">IF(ISBLANK(B610),"",B610&amp;"|"&amp;C610)</f>
        <v/>
      </c>
      <c r="B610" s="181"/>
      <c r="C610" s="181"/>
      <c r="D610" s="181"/>
      <c r="E610" s="186"/>
      <c r="F610" s="181"/>
      <c r="G610" s="181"/>
      <c r="H610" s="181"/>
      <c r="I610" s="181"/>
      <c r="J610" s="181"/>
      <c r="K610" s="181"/>
      <c r="L610" s="181"/>
      <c r="M610" s="181"/>
      <c r="N610" s="181"/>
      <c r="O610" s="181"/>
      <c r="P610" s="181"/>
      <c r="Q610" s="181"/>
      <c r="R610" s="181"/>
      <c r="S610" s="181"/>
      <c r="T610" s="181"/>
      <c r="U610" s="181"/>
      <c r="V610" s="181"/>
      <c r="W610" s="181"/>
      <c r="X610" s="181"/>
      <c r="Y610" s="181"/>
      <c r="Z610" s="181"/>
      <c r="AA610" s="181"/>
    </row>
    <row r="611" customFormat="false" ht="15.75" hidden="false" customHeight="false" outlineLevel="0" collapsed="false">
      <c r="A611" s="181" t="str">
        <f aca="false">IF(ISBLANK(B611),"",B611&amp;"|"&amp;C611)</f>
        <v/>
      </c>
      <c r="B611" s="181"/>
      <c r="C611" s="181"/>
      <c r="D611" s="181"/>
      <c r="E611" s="186"/>
      <c r="F611" s="181"/>
      <c r="G611" s="181"/>
      <c r="H611" s="181"/>
      <c r="I611" s="181"/>
      <c r="J611" s="181"/>
      <c r="K611" s="181"/>
      <c r="L611" s="181"/>
      <c r="M611" s="181"/>
      <c r="N611" s="181"/>
      <c r="O611" s="181"/>
      <c r="P611" s="181"/>
      <c r="Q611" s="181"/>
      <c r="R611" s="181"/>
      <c r="S611" s="181"/>
      <c r="T611" s="181"/>
      <c r="U611" s="181"/>
      <c r="V611" s="181"/>
      <c r="W611" s="181"/>
      <c r="X611" s="181"/>
      <c r="Y611" s="181"/>
      <c r="Z611" s="181"/>
      <c r="AA611" s="181"/>
    </row>
    <row r="612" customFormat="false" ht="15.75" hidden="false" customHeight="false" outlineLevel="0" collapsed="false">
      <c r="A612" s="181" t="str">
        <f aca="false">IF(ISBLANK(B612),"",B612&amp;"|"&amp;C612)</f>
        <v/>
      </c>
      <c r="B612" s="181"/>
      <c r="C612" s="181"/>
      <c r="D612" s="181"/>
      <c r="E612" s="186"/>
      <c r="F612" s="181"/>
      <c r="G612" s="181"/>
      <c r="H612" s="181"/>
      <c r="I612" s="181"/>
      <c r="J612" s="181"/>
      <c r="K612" s="181"/>
      <c r="L612" s="181"/>
      <c r="M612" s="181"/>
      <c r="N612" s="181"/>
      <c r="O612" s="181"/>
      <c r="P612" s="181"/>
      <c r="Q612" s="181"/>
      <c r="R612" s="181"/>
      <c r="S612" s="181"/>
      <c r="T612" s="181"/>
      <c r="U612" s="181"/>
      <c r="V612" s="181"/>
      <c r="W612" s="181"/>
      <c r="X612" s="181"/>
      <c r="Y612" s="181"/>
      <c r="Z612" s="181"/>
      <c r="AA612" s="181"/>
    </row>
    <row r="613" customFormat="false" ht="15.75" hidden="false" customHeight="false" outlineLevel="0" collapsed="false">
      <c r="A613" s="181" t="str">
        <f aca="false">IF(ISBLANK(B613),"",B613&amp;"|"&amp;C613)</f>
        <v/>
      </c>
      <c r="B613" s="181"/>
      <c r="C613" s="181"/>
      <c r="D613" s="181"/>
      <c r="E613" s="186"/>
      <c r="F613" s="181"/>
      <c r="G613" s="181"/>
      <c r="H613" s="181"/>
      <c r="I613" s="181"/>
      <c r="J613" s="181"/>
      <c r="K613" s="181"/>
      <c r="L613" s="181"/>
      <c r="M613" s="181"/>
      <c r="N613" s="181"/>
      <c r="O613" s="181"/>
      <c r="P613" s="181"/>
      <c r="Q613" s="181"/>
      <c r="R613" s="181"/>
      <c r="S613" s="181"/>
      <c r="T613" s="181"/>
      <c r="U613" s="181"/>
      <c r="V613" s="181"/>
      <c r="W613" s="181"/>
      <c r="X613" s="181"/>
      <c r="Y613" s="181"/>
      <c r="Z613" s="181"/>
      <c r="AA613" s="181"/>
    </row>
    <row r="614" customFormat="false" ht="15.75" hidden="false" customHeight="false" outlineLevel="0" collapsed="false">
      <c r="A614" s="181" t="str">
        <f aca="false">IF(ISBLANK(B614),"",B614&amp;"|"&amp;C614)</f>
        <v/>
      </c>
      <c r="B614" s="181"/>
      <c r="C614" s="181"/>
      <c r="D614" s="181"/>
      <c r="E614" s="186"/>
      <c r="F614" s="181"/>
      <c r="G614" s="181"/>
      <c r="H614" s="181"/>
      <c r="I614" s="181"/>
      <c r="J614" s="181"/>
      <c r="K614" s="181"/>
      <c r="L614" s="181"/>
      <c r="M614" s="181"/>
      <c r="N614" s="181"/>
      <c r="O614" s="181"/>
      <c r="P614" s="181"/>
      <c r="Q614" s="181"/>
      <c r="R614" s="181"/>
      <c r="S614" s="181"/>
      <c r="T614" s="181"/>
      <c r="U614" s="181"/>
      <c r="V614" s="181"/>
      <c r="W614" s="181"/>
      <c r="X614" s="181"/>
      <c r="Y614" s="181"/>
      <c r="Z614" s="181"/>
      <c r="AA614" s="181"/>
    </row>
    <row r="615" customFormat="false" ht="15.75" hidden="false" customHeight="false" outlineLevel="0" collapsed="false">
      <c r="A615" s="181" t="str">
        <f aca="false">IF(ISBLANK(B615),"",B615&amp;"|"&amp;C615)</f>
        <v/>
      </c>
      <c r="B615" s="181"/>
      <c r="C615" s="181"/>
      <c r="D615" s="181"/>
      <c r="E615" s="186"/>
      <c r="F615" s="181"/>
      <c r="G615" s="181"/>
      <c r="H615" s="181"/>
      <c r="I615" s="181"/>
      <c r="J615" s="181"/>
      <c r="K615" s="181"/>
      <c r="L615" s="181"/>
      <c r="M615" s="181"/>
      <c r="N615" s="181"/>
      <c r="O615" s="181"/>
      <c r="P615" s="181"/>
      <c r="Q615" s="181"/>
      <c r="R615" s="181"/>
      <c r="S615" s="181"/>
      <c r="T615" s="181"/>
      <c r="U615" s="181"/>
      <c r="V615" s="181"/>
      <c r="W615" s="181"/>
      <c r="X615" s="181"/>
      <c r="Y615" s="181"/>
      <c r="Z615" s="181"/>
      <c r="AA615" s="181"/>
    </row>
    <row r="616" customFormat="false" ht="15.75" hidden="false" customHeight="false" outlineLevel="0" collapsed="false">
      <c r="A616" s="181" t="str">
        <f aca="false">IF(ISBLANK(B616),"",B616&amp;"|"&amp;C616)</f>
        <v/>
      </c>
      <c r="B616" s="181"/>
      <c r="C616" s="181"/>
      <c r="D616" s="181"/>
      <c r="E616" s="186"/>
      <c r="F616" s="181"/>
      <c r="G616" s="181"/>
      <c r="H616" s="181"/>
      <c r="I616" s="181"/>
      <c r="J616" s="181"/>
      <c r="K616" s="181"/>
      <c r="L616" s="181"/>
      <c r="M616" s="181"/>
      <c r="N616" s="181"/>
      <c r="O616" s="181"/>
      <c r="P616" s="181"/>
      <c r="Q616" s="181"/>
      <c r="R616" s="181"/>
      <c r="S616" s="181"/>
      <c r="T616" s="181"/>
      <c r="U616" s="181"/>
      <c r="V616" s="181"/>
      <c r="W616" s="181"/>
      <c r="X616" s="181"/>
      <c r="Y616" s="181"/>
      <c r="Z616" s="181"/>
      <c r="AA616" s="181"/>
    </row>
    <row r="617" customFormat="false" ht="15.75" hidden="false" customHeight="false" outlineLevel="0" collapsed="false">
      <c r="A617" s="181" t="str">
        <f aca="false">IF(ISBLANK(B617),"",B617&amp;"|"&amp;C617)</f>
        <v/>
      </c>
      <c r="B617" s="181"/>
      <c r="C617" s="181"/>
      <c r="D617" s="181"/>
      <c r="E617" s="186"/>
      <c r="F617" s="181"/>
      <c r="G617" s="181"/>
      <c r="H617" s="181"/>
      <c r="I617" s="181"/>
      <c r="J617" s="181"/>
      <c r="K617" s="181"/>
      <c r="L617" s="181"/>
      <c r="M617" s="181"/>
      <c r="N617" s="181"/>
      <c r="O617" s="181"/>
      <c r="P617" s="181"/>
      <c r="Q617" s="181"/>
      <c r="R617" s="181"/>
      <c r="S617" s="181"/>
      <c r="T617" s="181"/>
      <c r="U617" s="181"/>
      <c r="V617" s="181"/>
      <c r="W617" s="181"/>
      <c r="X617" s="181"/>
      <c r="Y617" s="181"/>
      <c r="Z617" s="181"/>
      <c r="AA617" s="181"/>
    </row>
    <row r="618" customFormat="false" ht="15.75" hidden="false" customHeight="false" outlineLevel="0" collapsed="false">
      <c r="A618" s="181" t="str">
        <f aca="false">IF(ISBLANK(B618),"",B618&amp;"|"&amp;C618)</f>
        <v/>
      </c>
      <c r="B618" s="181"/>
      <c r="C618" s="181"/>
      <c r="D618" s="181"/>
      <c r="E618" s="186"/>
      <c r="F618" s="181"/>
      <c r="G618" s="181"/>
      <c r="H618" s="181"/>
      <c r="I618" s="181"/>
      <c r="J618" s="181"/>
      <c r="K618" s="181"/>
      <c r="L618" s="181"/>
      <c r="M618" s="181"/>
      <c r="N618" s="181"/>
      <c r="O618" s="181"/>
      <c r="P618" s="181"/>
      <c r="Q618" s="181"/>
      <c r="R618" s="181"/>
      <c r="S618" s="181"/>
      <c r="T618" s="181"/>
      <c r="U618" s="181"/>
      <c r="V618" s="181"/>
      <c r="W618" s="181"/>
      <c r="X618" s="181"/>
      <c r="Y618" s="181"/>
      <c r="Z618" s="181"/>
      <c r="AA618" s="181"/>
    </row>
    <row r="619" customFormat="false" ht="15.75" hidden="false" customHeight="false" outlineLevel="0" collapsed="false">
      <c r="A619" s="181" t="str">
        <f aca="false">IF(ISBLANK(B619),"",B619&amp;"|"&amp;C619)</f>
        <v/>
      </c>
      <c r="B619" s="181"/>
      <c r="C619" s="181"/>
      <c r="D619" s="181"/>
      <c r="E619" s="186"/>
      <c r="F619" s="181"/>
      <c r="G619" s="181"/>
      <c r="H619" s="181"/>
      <c r="I619" s="181"/>
      <c r="J619" s="181"/>
      <c r="K619" s="181"/>
      <c r="L619" s="181"/>
      <c r="M619" s="181"/>
      <c r="N619" s="181"/>
      <c r="O619" s="181"/>
      <c r="P619" s="181"/>
      <c r="Q619" s="181"/>
      <c r="R619" s="181"/>
      <c r="S619" s="181"/>
      <c r="T619" s="181"/>
      <c r="U619" s="181"/>
      <c r="V619" s="181"/>
      <c r="W619" s="181"/>
      <c r="X619" s="181"/>
      <c r="Y619" s="181"/>
      <c r="Z619" s="181"/>
      <c r="AA619" s="181"/>
    </row>
    <row r="620" customFormat="false" ht="15.75" hidden="false" customHeight="false" outlineLevel="0" collapsed="false">
      <c r="A620" s="181" t="str">
        <f aca="false">IF(ISBLANK(B620),"",B620&amp;"|"&amp;C620)</f>
        <v/>
      </c>
      <c r="B620" s="181"/>
      <c r="C620" s="181"/>
      <c r="D620" s="181"/>
      <c r="E620" s="186"/>
      <c r="F620" s="181"/>
      <c r="G620" s="181"/>
      <c r="H620" s="181"/>
      <c r="I620" s="181"/>
      <c r="J620" s="181"/>
      <c r="K620" s="181"/>
      <c r="L620" s="181"/>
      <c r="M620" s="181"/>
      <c r="N620" s="181"/>
      <c r="O620" s="181"/>
      <c r="P620" s="181"/>
      <c r="Q620" s="181"/>
      <c r="R620" s="181"/>
      <c r="S620" s="181"/>
      <c r="T620" s="181"/>
      <c r="U620" s="181"/>
      <c r="V620" s="181"/>
      <c r="W620" s="181"/>
      <c r="X620" s="181"/>
      <c r="Y620" s="181"/>
      <c r="Z620" s="181"/>
      <c r="AA620" s="181"/>
    </row>
    <row r="621" customFormat="false" ht="15.75" hidden="false" customHeight="false" outlineLevel="0" collapsed="false">
      <c r="A621" s="181" t="str">
        <f aca="false">IF(ISBLANK(B621),"",B621&amp;"|"&amp;C621)</f>
        <v/>
      </c>
      <c r="B621" s="181"/>
      <c r="C621" s="181"/>
      <c r="D621" s="181"/>
      <c r="E621" s="186"/>
      <c r="F621" s="181"/>
      <c r="G621" s="181"/>
      <c r="H621" s="181"/>
      <c r="I621" s="181"/>
      <c r="J621" s="181"/>
      <c r="K621" s="181"/>
      <c r="L621" s="181"/>
      <c r="M621" s="181"/>
      <c r="N621" s="181"/>
      <c r="O621" s="181"/>
      <c r="P621" s="181"/>
      <c r="Q621" s="181"/>
      <c r="R621" s="181"/>
      <c r="S621" s="181"/>
      <c r="T621" s="181"/>
      <c r="U621" s="181"/>
      <c r="V621" s="181"/>
      <c r="W621" s="181"/>
      <c r="X621" s="181"/>
      <c r="Y621" s="181"/>
      <c r="Z621" s="181"/>
      <c r="AA621" s="181"/>
    </row>
    <row r="622" customFormat="false" ht="15.75" hidden="false" customHeight="false" outlineLevel="0" collapsed="false">
      <c r="A622" s="181" t="str">
        <f aca="false">IF(ISBLANK(B622),"",B622&amp;"|"&amp;C622)</f>
        <v/>
      </c>
      <c r="B622" s="181"/>
      <c r="C622" s="181"/>
      <c r="D622" s="181"/>
      <c r="E622" s="186"/>
      <c r="F622" s="181"/>
      <c r="G622" s="181"/>
      <c r="H622" s="181"/>
      <c r="I622" s="181"/>
      <c r="J622" s="181"/>
      <c r="K622" s="181"/>
      <c r="L622" s="181"/>
      <c r="M622" s="181"/>
      <c r="N622" s="181"/>
      <c r="O622" s="181"/>
      <c r="P622" s="181"/>
      <c r="Q622" s="181"/>
      <c r="R622" s="181"/>
      <c r="S622" s="181"/>
      <c r="T622" s="181"/>
      <c r="U622" s="181"/>
      <c r="V622" s="181"/>
      <c r="W622" s="181"/>
      <c r="X622" s="181"/>
      <c r="Y622" s="181"/>
      <c r="Z622" s="181"/>
      <c r="AA622" s="181"/>
    </row>
    <row r="623" customFormat="false" ht="15.75" hidden="false" customHeight="false" outlineLevel="0" collapsed="false">
      <c r="A623" s="181" t="str">
        <f aca="false">IF(ISBLANK(B623),"",B623&amp;"|"&amp;C623)</f>
        <v/>
      </c>
      <c r="B623" s="181"/>
      <c r="C623" s="181"/>
      <c r="D623" s="181"/>
      <c r="E623" s="186"/>
      <c r="F623" s="181"/>
      <c r="G623" s="181"/>
      <c r="H623" s="181"/>
      <c r="I623" s="181"/>
      <c r="J623" s="181"/>
      <c r="K623" s="181"/>
      <c r="L623" s="181"/>
      <c r="M623" s="181"/>
      <c r="N623" s="181"/>
      <c r="O623" s="181"/>
      <c r="P623" s="181"/>
      <c r="Q623" s="181"/>
      <c r="R623" s="181"/>
      <c r="S623" s="181"/>
      <c r="T623" s="181"/>
      <c r="U623" s="181"/>
      <c r="V623" s="181"/>
      <c r="W623" s="181"/>
      <c r="X623" s="181"/>
      <c r="Y623" s="181"/>
      <c r="Z623" s="181"/>
      <c r="AA623" s="181"/>
    </row>
    <row r="624" customFormat="false" ht="15.75" hidden="false" customHeight="false" outlineLevel="0" collapsed="false">
      <c r="A624" s="181" t="str">
        <f aca="false">IF(ISBLANK(B624),"",B624&amp;"|"&amp;C624)</f>
        <v/>
      </c>
      <c r="B624" s="181"/>
      <c r="C624" s="181"/>
      <c r="D624" s="181"/>
      <c r="E624" s="186"/>
      <c r="F624" s="181"/>
      <c r="G624" s="181"/>
      <c r="H624" s="181"/>
      <c r="I624" s="181"/>
      <c r="J624" s="181"/>
      <c r="K624" s="181"/>
      <c r="L624" s="181"/>
      <c r="M624" s="181"/>
      <c r="N624" s="181"/>
      <c r="O624" s="181"/>
      <c r="P624" s="181"/>
      <c r="Q624" s="181"/>
      <c r="R624" s="181"/>
      <c r="S624" s="181"/>
      <c r="T624" s="181"/>
      <c r="U624" s="181"/>
      <c r="V624" s="181"/>
      <c r="W624" s="181"/>
      <c r="X624" s="181"/>
      <c r="Y624" s="181"/>
      <c r="Z624" s="181"/>
      <c r="AA624" s="181"/>
    </row>
    <row r="625" customFormat="false" ht="15.75" hidden="false" customHeight="false" outlineLevel="0" collapsed="false">
      <c r="A625" s="181" t="str">
        <f aca="false">IF(ISBLANK(B625),"",B625&amp;"|"&amp;C625)</f>
        <v/>
      </c>
      <c r="B625" s="181"/>
      <c r="C625" s="181"/>
      <c r="D625" s="181"/>
      <c r="E625" s="186"/>
      <c r="F625" s="181"/>
      <c r="G625" s="181"/>
      <c r="H625" s="181"/>
      <c r="I625" s="181"/>
      <c r="J625" s="181"/>
      <c r="K625" s="181"/>
      <c r="L625" s="181"/>
      <c r="M625" s="181"/>
      <c r="N625" s="181"/>
      <c r="O625" s="181"/>
      <c r="P625" s="181"/>
      <c r="Q625" s="181"/>
      <c r="R625" s="181"/>
      <c r="S625" s="181"/>
      <c r="T625" s="181"/>
      <c r="U625" s="181"/>
      <c r="V625" s="181"/>
      <c r="W625" s="181"/>
      <c r="X625" s="181"/>
      <c r="Y625" s="181"/>
      <c r="Z625" s="181"/>
      <c r="AA625" s="181"/>
    </row>
    <row r="626" customFormat="false" ht="15.75" hidden="false" customHeight="false" outlineLevel="0" collapsed="false">
      <c r="A626" s="181" t="str">
        <f aca="false">IF(ISBLANK(B626),"",B626&amp;"|"&amp;C626)</f>
        <v/>
      </c>
      <c r="B626" s="181"/>
      <c r="C626" s="181"/>
      <c r="D626" s="181"/>
      <c r="E626" s="186"/>
      <c r="F626" s="181"/>
      <c r="G626" s="181"/>
      <c r="H626" s="181"/>
      <c r="I626" s="181"/>
      <c r="J626" s="181"/>
      <c r="K626" s="181"/>
      <c r="L626" s="181"/>
      <c r="M626" s="181"/>
      <c r="N626" s="181"/>
      <c r="O626" s="181"/>
      <c r="P626" s="181"/>
      <c r="Q626" s="181"/>
      <c r="R626" s="181"/>
      <c r="S626" s="181"/>
      <c r="T626" s="181"/>
      <c r="U626" s="181"/>
      <c r="V626" s="181"/>
      <c r="W626" s="181"/>
      <c r="X626" s="181"/>
      <c r="Y626" s="181"/>
      <c r="Z626" s="181"/>
      <c r="AA626" s="181"/>
    </row>
    <row r="627" customFormat="false" ht="15.75" hidden="false" customHeight="false" outlineLevel="0" collapsed="false">
      <c r="A627" s="181" t="str">
        <f aca="false">IF(ISBLANK(B627),"",B627&amp;"|"&amp;C627)</f>
        <v/>
      </c>
      <c r="B627" s="181"/>
      <c r="C627" s="181"/>
      <c r="D627" s="181"/>
      <c r="E627" s="186"/>
      <c r="F627" s="181"/>
      <c r="G627" s="181"/>
      <c r="H627" s="181"/>
      <c r="I627" s="181"/>
      <c r="J627" s="181"/>
      <c r="K627" s="181"/>
      <c r="L627" s="181"/>
      <c r="M627" s="181"/>
      <c r="N627" s="181"/>
      <c r="O627" s="181"/>
      <c r="P627" s="181"/>
      <c r="Q627" s="181"/>
      <c r="R627" s="181"/>
      <c r="S627" s="181"/>
      <c r="T627" s="181"/>
      <c r="U627" s="181"/>
      <c r="V627" s="181"/>
      <c r="W627" s="181"/>
      <c r="X627" s="181"/>
      <c r="Y627" s="181"/>
      <c r="Z627" s="181"/>
      <c r="AA627" s="181"/>
    </row>
    <row r="628" customFormat="false" ht="15.75" hidden="false" customHeight="false" outlineLevel="0" collapsed="false">
      <c r="A628" s="181" t="str">
        <f aca="false">IF(ISBLANK(B628),"",B628&amp;"|"&amp;C628)</f>
        <v/>
      </c>
      <c r="B628" s="181"/>
      <c r="C628" s="181"/>
      <c r="D628" s="181"/>
      <c r="E628" s="186"/>
      <c r="F628" s="181"/>
      <c r="G628" s="181"/>
      <c r="H628" s="181"/>
      <c r="I628" s="181"/>
      <c r="J628" s="181"/>
      <c r="K628" s="181"/>
      <c r="L628" s="181"/>
      <c r="M628" s="181"/>
      <c r="N628" s="181"/>
      <c r="O628" s="181"/>
      <c r="P628" s="181"/>
      <c r="Q628" s="181"/>
      <c r="R628" s="181"/>
      <c r="S628" s="181"/>
      <c r="T628" s="181"/>
      <c r="U628" s="181"/>
      <c r="V628" s="181"/>
      <c r="W628" s="181"/>
      <c r="X628" s="181"/>
      <c r="Y628" s="181"/>
      <c r="Z628" s="181"/>
      <c r="AA628" s="181"/>
    </row>
    <row r="629" customFormat="false" ht="15.75" hidden="false" customHeight="false" outlineLevel="0" collapsed="false">
      <c r="A629" s="181" t="str">
        <f aca="false">IF(ISBLANK(B629),"",B629&amp;"|"&amp;C629)</f>
        <v/>
      </c>
      <c r="B629" s="181"/>
      <c r="C629" s="181"/>
      <c r="D629" s="181"/>
      <c r="E629" s="186"/>
      <c r="F629" s="181"/>
      <c r="G629" s="181"/>
      <c r="H629" s="181"/>
      <c r="I629" s="181"/>
      <c r="J629" s="181"/>
      <c r="K629" s="181"/>
      <c r="L629" s="181"/>
      <c r="M629" s="181"/>
      <c r="N629" s="181"/>
      <c r="O629" s="181"/>
      <c r="P629" s="181"/>
      <c r="Q629" s="181"/>
      <c r="R629" s="181"/>
      <c r="S629" s="181"/>
      <c r="T629" s="181"/>
      <c r="U629" s="181"/>
      <c r="V629" s="181"/>
      <c r="W629" s="181"/>
      <c r="X629" s="181"/>
      <c r="Y629" s="181"/>
      <c r="Z629" s="181"/>
      <c r="AA629" s="181"/>
    </row>
    <row r="630" customFormat="false" ht="15.75" hidden="false" customHeight="false" outlineLevel="0" collapsed="false">
      <c r="A630" s="181" t="str">
        <f aca="false">IF(ISBLANK(B630),"",B630&amp;"|"&amp;C630)</f>
        <v/>
      </c>
      <c r="B630" s="181"/>
      <c r="C630" s="181"/>
      <c r="D630" s="181"/>
      <c r="E630" s="186"/>
      <c r="F630" s="181"/>
      <c r="G630" s="181"/>
      <c r="H630" s="181"/>
      <c r="I630" s="181"/>
      <c r="J630" s="181"/>
      <c r="K630" s="181"/>
      <c r="L630" s="181"/>
      <c r="M630" s="181"/>
      <c r="N630" s="181"/>
      <c r="O630" s="181"/>
      <c r="P630" s="181"/>
      <c r="Q630" s="181"/>
      <c r="R630" s="181"/>
      <c r="S630" s="181"/>
      <c r="T630" s="181"/>
      <c r="U630" s="181"/>
      <c r="V630" s="181"/>
      <c r="W630" s="181"/>
      <c r="X630" s="181"/>
      <c r="Y630" s="181"/>
      <c r="Z630" s="181"/>
      <c r="AA630" s="181"/>
    </row>
    <row r="631" customFormat="false" ht="15.75" hidden="false" customHeight="false" outlineLevel="0" collapsed="false">
      <c r="A631" s="181" t="str">
        <f aca="false">IF(ISBLANK(B631),"",B631&amp;"|"&amp;C631)</f>
        <v/>
      </c>
      <c r="B631" s="181"/>
      <c r="C631" s="181"/>
      <c r="D631" s="181"/>
      <c r="E631" s="186"/>
      <c r="F631" s="181"/>
      <c r="G631" s="181"/>
      <c r="H631" s="181"/>
      <c r="I631" s="181"/>
      <c r="J631" s="181"/>
      <c r="K631" s="181"/>
      <c r="L631" s="181"/>
      <c r="M631" s="181"/>
      <c r="N631" s="181"/>
      <c r="O631" s="181"/>
      <c r="P631" s="181"/>
      <c r="Q631" s="181"/>
      <c r="R631" s="181"/>
      <c r="S631" s="181"/>
      <c r="T631" s="181"/>
      <c r="U631" s="181"/>
      <c r="V631" s="181"/>
      <c r="W631" s="181"/>
      <c r="X631" s="181"/>
      <c r="Y631" s="181"/>
      <c r="Z631" s="181"/>
      <c r="AA631" s="181"/>
    </row>
    <row r="632" customFormat="false" ht="15.75" hidden="false" customHeight="false" outlineLevel="0" collapsed="false">
      <c r="A632" s="181" t="str">
        <f aca="false">IF(ISBLANK(B632),"",B632&amp;"|"&amp;C632)</f>
        <v/>
      </c>
      <c r="B632" s="181"/>
      <c r="C632" s="181"/>
      <c r="D632" s="181"/>
      <c r="E632" s="186"/>
      <c r="F632" s="181"/>
      <c r="G632" s="181"/>
      <c r="H632" s="181"/>
      <c r="I632" s="181"/>
      <c r="J632" s="181"/>
      <c r="K632" s="181"/>
      <c r="L632" s="181"/>
      <c r="M632" s="181"/>
      <c r="N632" s="181"/>
      <c r="O632" s="181"/>
      <c r="P632" s="181"/>
      <c r="Q632" s="181"/>
      <c r="R632" s="181"/>
      <c r="S632" s="181"/>
      <c r="T632" s="181"/>
      <c r="U632" s="181"/>
      <c r="V632" s="181"/>
      <c r="W632" s="181"/>
      <c r="X632" s="181"/>
      <c r="Y632" s="181"/>
      <c r="Z632" s="181"/>
      <c r="AA632" s="181"/>
    </row>
    <row r="633" customFormat="false" ht="15.75" hidden="false" customHeight="false" outlineLevel="0" collapsed="false">
      <c r="A633" s="181" t="str">
        <f aca="false">IF(ISBLANK(B633),"",B633&amp;"|"&amp;C633)</f>
        <v/>
      </c>
      <c r="B633" s="181"/>
      <c r="C633" s="181"/>
      <c r="D633" s="181"/>
      <c r="E633" s="186"/>
      <c r="F633" s="181"/>
      <c r="G633" s="181"/>
      <c r="H633" s="181"/>
      <c r="I633" s="181"/>
      <c r="J633" s="181"/>
      <c r="K633" s="181"/>
      <c r="L633" s="181"/>
      <c r="M633" s="181"/>
      <c r="N633" s="181"/>
      <c r="O633" s="181"/>
      <c r="P633" s="181"/>
      <c r="Q633" s="181"/>
      <c r="R633" s="181"/>
      <c r="S633" s="181"/>
      <c r="T633" s="181"/>
      <c r="U633" s="181"/>
      <c r="V633" s="181"/>
      <c r="W633" s="181"/>
      <c r="X633" s="181"/>
      <c r="Y633" s="181"/>
      <c r="Z633" s="181"/>
      <c r="AA633" s="181"/>
    </row>
    <row r="634" customFormat="false" ht="15.75" hidden="false" customHeight="false" outlineLevel="0" collapsed="false">
      <c r="A634" s="181" t="str">
        <f aca="false">IF(ISBLANK(B634),"",B634&amp;"|"&amp;C634)</f>
        <v/>
      </c>
      <c r="B634" s="181"/>
      <c r="C634" s="181"/>
      <c r="D634" s="181"/>
      <c r="E634" s="186"/>
      <c r="F634" s="181"/>
      <c r="G634" s="181"/>
      <c r="H634" s="181"/>
      <c r="I634" s="181"/>
      <c r="J634" s="181"/>
      <c r="K634" s="181"/>
      <c r="L634" s="181"/>
      <c r="M634" s="181"/>
      <c r="N634" s="181"/>
      <c r="O634" s="181"/>
      <c r="P634" s="181"/>
      <c r="Q634" s="181"/>
      <c r="R634" s="181"/>
      <c r="S634" s="181"/>
      <c r="T634" s="181"/>
      <c r="U634" s="181"/>
      <c r="V634" s="181"/>
      <c r="W634" s="181"/>
      <c r="X634" s="181"/>
      <c r="Y634" s="181"/>
      <c r="Z634" s="181"/>
      <c r="AA634" s="181"/>
    </row>
    <row r="635" customFormat="false" ht="15.75" hidden="false" customHeight="false" outlineLevel="0" collapsed="false">
      <c r="A635" s="181" t="str">
        <f aca="false">IF(ISBLANK(B635),"",B635&amp;"|"&amp;C635)</f>
        <v/>
      </c>
      <c r="B635" s="181"/>
      <c r="C635" s="181"/>
      <c r="D635" s="181"/>
      <c r="E635" s="186"/>
      <c r="F635" s="181"/>
      <c r="G635" s="181"/>
      <c r="H635" s="181"/>
      <c r="I635" s="181"/>
      <c r="J635" s="181"/>
      <c r="K635" s="181"/>
      <c r="L635" s="181"/>
      <c r="M635" s="181"/>
      <c r="N635" s="181"/>
      <c r="O635" s="181"/>
      <c r="P635" s="181"/>
      <c r="Q635" s="181"/>
      <c r="R635" s="181"/>
      <c r="S635" s="181"/>
      <c r="T635" s="181"/>
      <c r="U635" s="181"/>
      <c r="V635" s="181"/>
      <c r="W635" s="181"/>
      <c r="X635" s="181"/>
      <c r="Y635" s="181"/>
      <c r="Z635" s="181"/>
      <c r="AA635" s="181"/>
    </row>
    <row r="636" customFormat="false" ht="15.75" hidden="false" customHeight="false" outlineLevel="0" collapsed="false">
      <c r="A636" s="181" t="str">
        <f aca="false">IF(ISBLANK(B636),"",B636&amp;"|"&amp;C636)</f>
        <v/>
      </c>
      <c r="B636" s="181"/>
      <c r="C636" s="181"/>
      <c r="D636" s="181"/>
      <c r="E636" s="186"/>
      <c r="F636" s="181"/>
      <c r="G636" s="181"/>
      <c r="H636" s="181"/>
      <c r="I636" s="181"/>
      <c r="J636" s="181"/>
      <c r="K636" s="181"/>
      <c r="L636" s="181"/>
      <c r="M636" s="181"/>
      <c r="N636" s="181"/>
      <c r="O636" s="181"/>
      <c r="P636" s="181"/>
      <c r="Q636" s="181"/>
      <c r="R636" s="181"/>
      <c r="S636" s="181"/>
      <c r="T636" s="181"/>
      <c r="U636" s="181"/>
      <c r="V636" s="181"/>
      <c r="W636" s="181"/>
      <c r="X636" s="181"/>
      <c r="Y636" s="181"/>
      <c r="Z636" s="181"/>
      <c r="AA636" s="181"/>
    </row>
    <row r="637" customFormat="false" ht="15.75" hidden="false" customHeight="false" outlineLevel="0" collapsed="false">
      <c r="A637" s="181" t="str">
        <f aca="false">IF(ISBLANK(B637),"",B637&amp;"|"&amp;C637)</f>
        <v/>
      </c>
      <c r="B637" s="181"/>
      <c r="C637" s="181"/>
      <c r="D637" s="181"/>
      <c r="E637" s="186"/>
      <c r="F637" s="181"/>
      <c r="G637" s="181"/>
      <c r="H637" s="181"/>
      <c r="I637" s="181"/>
      <c r="J637" s="181"/>
      <c r="K637" s="181"/>
      <c r="L637" s="181"/>
      <c r="M637" s="181"/>
      <c r="N637" s="181"/>
      <c r="O637" s="181"/>
      <c r="P637" s="181"/>
      <c r="Q637" s="181"/>
      <c r="R637" s="181"/>
      <c r="S637" s="181"/>
      <c r="T637" s="181"/>
      <c r="U637" s="181"/>
      <c r="V637" s="181"/>
      <c r="W637" s="181"/>
      <c r="X637" s="181"/>
      <c r="Y637" s="181"/>
      <c r="Z637" s="181"/>
      <c r="AA637" s="181"/>
    </row>
    <row r="638" customFormat="false" ht="15.75" hidden="false" customHeight="false" outlineLevel="0" collapsed="false">
      <c r="A638" s="181" t="str">
        <f aca="false">IF(ISBLANK(B638),"",B638&amp;"|"&amp;C638)</f>
        <v/>
      </c>
      <c r="B638" s="181"/>
      <c r="C638" s="181"/>
      <c r="D638" s="181"/>
      <c r="E638" s="186"/>
      <c r="F638" s="181"/>
      <c r="G638" s="181"/>
      <c r="H638" s="181"/>
      <c r="I638" s="181"/>
      <c r="J638" s="181"/>
      <c r="K638" s="181"/>
      <c r="L638" s="181"/>
      <c r="M638" s="181"/>
      <c r="N638" s="181"/>
      <c r="O638" s="181"/>
      <c r="P638" s="181"/>
      <c r="Q638" s="181"/>
      <c r="R638" s="181"/>
      <c r="S638" s="181"/>
      <c r="T638" s="181"/>
      <c r="U638" s="181"/>
      <c r="V638" s="181"/>
      <c r="W638" s="181"/>
      <c r="X638" s="181"/>
      <c r="Y638" s="181"/>
      <c r="Z638" s="181"/>
      <c r="AA638" s="181"/>
    </row>
    <row r="639" customFormat="false" ht="15.75" hidden="false" customHeight="false" outlineLevel="0" collapsed="false">
      <c r="A639" s="181" t="str">
        <f aca="false">IF(ISBLANK(B639),"",B639&amp;"|"&amp;C639)</f>
        <v/>
      </c>
      <c r="B639" s="181"/>
      <c r="C639" s="181"/>
      <c r="D639" s="181"/>
      <c r="E639" s="186"/>
      <c r="F639" s="181"/>
      <c r="G639" s="181"/>
      <c r="H639" s="181"/>
      <c r="I639" s="181"/>
      <c r="J639" s="181"/>
      <c r="K639" s="181"/>
      <c r="L639" s="181"/>
      <c r="M639" s="181"/>
      <c r="N639" s="181"/>
      <c r="O639" s="181"/>
      <c r="P639" s="181"/>
      <c r="Q639" s="181"/>
      <c r="R639" s="181"/>
      <c r="S639" s="181"/>
      <c r="T639" s="181"/>
      <c r="U639" s="181"/>
      <c r="V639" s="181"/>
      <c r="W639" s="181"/>
      <c r="X639" s="181"/>
      <c r="Y639" s="181"/>
      <c r="Z639" s="181"/>
      <c r="AA639" s="181"/>
    </row>
    <row r="640" customFormat="false" ht="15.75" hidden="false" customHeight="false" outlineLevel="0" collapsed="false">
      <c r="A640" s="181" t="str">
        <f aca="false">IF(ISBLANK(B640),"",B640&amp;"|"&amp;C640)</f>
        <v/>
      </c>
      <c r="B640" s="181"/>
      <c r="C640" s="181"/>
      <c r="D640" s="181"/>
      <c r="E640" s="186"/>
      <c r="F640" s="181"/>
      <c r="G640" s="181"/>
      <c r="H640" s="181"/>
      <c r="I640" s="181"/>
      <c r="J640" s="181"/>
      <c r="K640" s="181"/>
      <c r="L640" s="181"/>
      <c r="M640" s="181"/>
      <c r="N640" s="181"/>
      <c r="O640" s="181"/>
      <c r="P640" s="181"/>
      <c r="Q640" s="181"/>
      <c r="R640" s="181"/>
      <c r="S640" s="181"/>
      <c r="T640" s="181"/>
      <c r="U640" s="181"/>
      <c r="V640" s="181"/>
      <c r="W640" s="181"/>
      <c r="X640" s="181"/>
      <c r="Y640" s="181"/>
      <c r="Z640" s="181"/>
      <c r="AA640" s="181"/>
    </row>
    <row r="641" customFormat="false" ht="15.75" hidden="false" customHeight="false" outlineLevel="0" collapsed="false">
      <c r="A641" s="181" t="str">
        <f aca="false">IF(ISBLANK(B641),"",B641&amp;"|"&amp;C641)</f>
        <v/>
      </c>
      <c r="B641" s="181"/>
      <c r="C641" s="181"/>
      <c r="D641" s="181"/>
      <c r="E641" s="186"/>
      <c r="F641" s="181"/>
      <c r="G641" s="181"/>
      <c r="H641" s="181"/>
      <c r="I641" s="181"/>
      <c r="J641" s="181"/>
      <c r="K641" s="181"/>
      <c r="L641" s="181"/>
      <c r="M641" s="181"/>
      <c r="N641" s="181"/>
      <c r="O641" s="181"/>
      <c r="P641" s="181"/>
      <c r="Q641" s="181"/>
      <c r="R641" s="181"/>
      <c r="S641" s="181"/>
      <c r="T641" s="181"/>
      <c r="U641" s="181"/>
      <c r="V641" s="181"/>
      <c r="W641" s="181"/>
      <c r="X641" s="181"/>
      <c r="Y641" s="181"/>
      <c r="Z641" s="181"/>
      <c r="AA641" s="181"/>
    </row>
    <row r="642" customFormat="false" ht="15.75" hidden="false" customHeight="false" outlineLevel="0" collapsed="false">
      <c r="A642" s="181" t="str">
        <f aca="false">IF(ISBLANK(B642),"",B642&amp;"|"&amp;C642)</f>
        <v/>
      </c>
      <c r="B642" s="181"/>
      <c r="C642" s="181"/>
      <c r="D642" s="181"/>
      <c r="E642" s="186"/>
      <c r="F642" s="181"/>
      <c r="G642" s="181"/>
      <c r="H642" s="181"/>
      <c r="I642" s="181"/>
      <c r="J642" s="181"/>
      <c r="K642" s="181"/>
      <c r="L642" s="181"/>
      <c r="M642" s="181"/>
      <c r="N642" s="181"/>
      <c r="O642" s="181"/>
      <c r="P642" s="181"/>
      <c r="Q642" s="181"/>
      <c r="R642" s="181"/>
      <c r="S642" s="181"/>
      <c r="T642" s="181"/>
      <c r="U642" s="181"/>
      <c r="V642" s="181"/>
      <c r="W642" s="181"/>
      <c r="X642" s="181"/>
      <c r="Y642" s="181"/>
      <c r="Z642" s="181"/>
      <c r="AA642" s="181"/>
    </row>
    <row r="643" customFormat="false" ht="15.75" hidden="false" customHeight="false" outlineLevel="0" collapsed="false">
      <c r="A643" s="181" t="str">
        <f aca="false">IF(ISBLANK(B643),"",B643&amp;"|"&amp;C643)</f>
        <v/>
      </c>
      <c r="B643" s="181"/>
      <c r="C643" s="181"/>
      <c r="D643" s="181"/>
      <c r="E643" s="186"/>
      <c r="F643" s="181"/>
      <c r="G643" s="181"/>
      <c r="H643" s="181"/>
      <c r="I643" s="181"/>
      <c r="J643" s="181"/>
      <c r="K643" s="181"/>
      <c r="L643" s="181"/>
      <c r="M643" s="181"/>
      <c r="N643" s="181"/>
      <c r="O643" s="181"/>
      <c r="P643" s="181"/>
      <c r="Q643" s="181"/>
      <c r="R643" s="181"/>
      <c r="S643" s="181"/>
      <c r="T643" s="181"/>
      <c r="U643" s="181"/>
      <c r="V643" s="181"/>
      <c r="W643" s="181"/>
      <c r="X643" s="181"/>
      <c r="Y643" s="181"/>
      <c r="Z643" s="181"/>
      <c r="AA643" s="181"/>
    </row>
    <row r="644" customFormat="false" ht="15.75" hidden="false" customHeight="false" outlineLevel="0" collapsed="false">
      <c r="A644" s="181" t="str">
        <f aca="false">IF(ISBLANK(B644),"",B644&amp;"|"&amp;C644)</f>
        <v/>
      </c>
      <c r="B644" s="181"/>
      <c r="C644" s="181"/>
      <c r="D644" s="181"/>
      <c r="E644" s="186"/>
      <c r="F644" s="181"/>
      <c r="G644" s="181"/>
      <c r="H644" s="181"/>
      <c r="I644" s="181"/>
      <c r="J644" s="181"/>
      <c r="K644" s="181"/>
      <c r="L644" s="181"/>
      <c r="M644" s="181"/>
      <c r="N644" s="181"/>
      <c r="O644" s="181"/>
      <c r="P644" s="181"/>
      <c r="Q644" s="181"/>
      <c r="R644" s="181"/>
      <c r="S644" s="181"/>
      <c r="T644" s="181"/>
      <c r="U644" s="181"/>
      <c r="V644" s="181"/>
      <c r="W644" s="181"/>
      <c r="X644" s="181"/>
      <c r="Y644" s="181"/>
      <c r="Z644" s="181"/>
      <c r="AA644" s="181"/>
    </row>
    <row r="645" customFormat="false" ht="15.75" hidden="false" customHeight="false" outlineLevel="0" collapsed="false">
      <c r="A645" s="181" t="str">
        <f aca="false">IF(ISBLANK(B645),"",B645&amp;"|"&amp;C645)</f>
        <v/>
      </c>
      <c r="B645" s="181"/>
      <c r="C645" s="181"/>
      <c r="D645" s="181"/>
      <c r="E645" s="186"/>
      <c r="F645" s="181"/>
      <c r="G645" s="181"/>
      <c r="H645" s="181"/>
      <c r="I645" s="181"/>
      <c r="J645" s="181"/>
      <c r="K645" s="181"/>
      <c r="L645" s="181"/>
      <c r="M645" s="181"/>
      <c r="N645" s="181"/>
      <c r="O645" s="181"/>
      <c r="P645" s="181"/>
      <c r="Q645" s="181"/>
      <c r="R645" s="181"/>
      <c r="S645" s="181"/>
      <c r="T645" s="181"/>
      <c r="U645" s="181"/>
      <c r="V645" s="181"/>
      <c r="W645" s="181"/>
      <c r="X645" s="181"/>
      <c r="Y645" s="181"/>
      <c r="Z645" s="181"/>
      <c r="AA645" s="181"/>
    </row>
    <row r="646" customFormat="false" ht="15.75" hidden="false" customHeight="false" outlineLevel="0" collapsed="false">
      <c r="A646" s="181" t="str">
        <f aca="false">IF(ISBLANK(B646),"",B646&amp;"|"&amp;C646)</f>
        <v/>
      </c>
      <c r="B646" s="181"/>
      <c r="C646" s="181"/>
      <c r="D646" s="181"/>
      <c r="E646" s="186"/>
      <c r="F646" s="181"/>
      <c r="G646" s="181"/>
      <c r="H646" s="181"/>
      <c r="I646" s="181"/>
      <c r="J646" s="181"/>
      <c r="K646" s="181"/>
      <c r="L646" s="181"/>
      <c r="M646" s="181"/>
      <c r="N646" s="181"/>
      <c r="O646" s="181"/>
      <c r="P646" s="181"/>
      <c r="Q646" s="181"/>
      <c r="R646" s="181"/>
      <c r="S646" s="181"/>
      <c r="T646" s="181"/>
      <c r="U646" s="181"/>
      <c r="V646" s="181"/>
      <c r="W646" s="181"/>
      <c r="X646" s="181"/>
      <c r="Y646" s="181"/>
      <c r="Z646" s="181"/>
      <c r="AA646" s="181"/>
    </row>
    <row r="647" customFormat="false" ht="15.75" hidden="false" customHeight="false" outlineLevel="0" collapsed="false">
      <c r="A647" s="181" t="str">
        <f aca="false">IF(ISBLANK(B647),"",B647&amp;"|"&amp;C647)</f>
        <v/>
      </c>
      <c r="B647" s="181"/>
      <c r="C647" s="181"/>
      <c r="D647" s="181"/>
      <c r="E647" s="186"/>
      <c r="F647" s="181"/>
      <c r="G647" s="181"/>
      <c r="H647" s="181"/>
      <c r="I647" s="181"/>
      <c r="J647" s="181"/>
      <c r="K647" s="181"/>
      <c r="L647" s="181"/>
      <c r="M647" s="181"/>
      <c r="N647" s="181"/>
      <c r="O647" s="181"/>
      <c r="P647" s="181"/>
      <c r="Q647" s="181"/>
      <c r="R647" s="181"/>
      <c r="S647" s="181"/>
      <c r="T647" s="181"/>
      <c r="U647" s="181"/>
      <c r="V647" s="181"/>
      <c r="W647" s="181"/>
      <c r="X647" s="181"/>
      <c r="Y647" s="181"/>
      <c r="Z647" s="181"/>
      <c r="AA647" s="181"/>
    </row>
    <row r="648" customFormat="false" ht="15.75" hidden="false" customHeight="false" outlineLevel="0" collapsed="false">
      <c r="A648" s="181" t="str">
        <f aca="false">IF(ISBLANK(B648),"",B648&amp;"|"&amp;C648)</f>
        <v/>
      </c>
      <c r="B648" s="181"/>
      <c r="C648" s="181"/>
      <c r="D648" s="181"/>
      <c r="E648" s="186"/>
      <c r="F648" s="181"/>
      <c r="G648" s="181"/>
      <c r="H648" s="181"/>
      <c r="I648" s="181"/>
      <c r="J648" s="181"/>
      <c r="K648" s="181"/>
      <c r="L648" s="181"/>
      <c r="M648" s="181"/>
      <c r="N648" s="181"/>
      <c r="O648" s="181"/>
      <c r="P648" s="181"/>
      <c r="Q648" s="181"/>
      <c r="R648" s="181"/>
      <c r="S648" s="181"/>
      <c r="T648" s="181"/>
      <c r="U648" s="181"/>
      <c r="V648" s="181"/>
      <c r="W648" s="181"/>
      <c r="X648" s="181"/>
      <c r="Y648" s="181"/>
      <c r="Z648" s="181"/>
      <c r="AA648" s="181"/>
    </row>
    <row r="649" customFormat="false" ht="15.75" hidden="false" customHeight="false" outlineLevel="0" collapsed="false">
      <c r="A649" s="181" t="str">
        <f aca="false">IF(ISBLANK(B649),"",B649&amp;"|"&amp;C649)</f>
        <v/>
      </c>
      <c r="B649" s="181"/>
      <c r="C649" s="181"/>
      <c r="D649" s="181"/>
      <c r="E649" s="186"/>
      <c r="F649" s="181"/>
      <c r="G649" s="181"/>
      <c r="H649" s="181"/>
      <c r="I649" s="181"/>
      <c r="J649" s="181"/>
      <c r="K649" s="181"/>
      <c r="L649" s="181"/>
      <c r="M649" s="181"/>
      <c r="N649" s="181"/>
      <c r="O649" s="181"/>
      <c r="P649" s="181"/>
      <c r="Q649" s="181"/>
      <c r="R649" s="181"/>
      <c r="S649" s="181"/>
      <c r="T649" s="181"/>
      <c r="U649" s="181"/>
      <c r="V649" s="181"/>
      <c r="W649" s="181"/>
      <c r="X649" s="181"/>
      <c r="Y649" s="181"/>
      <c r="Z649" s="181"/>
      <c r="AA649" s="181"/>
    </row>
    <row r="650" customFormat="false" ht="15.75" hidden="false" customHeight="false" outlineLevel="0" collapsed="false">
      <c r="A650" s="181" t="str">
        <f aca="false">IF(ISBLANK(B650),"",B650&amp;"|"&amp;C650)</f>
        <v/>
      </c>
      <c r="B650" s="181"/>
      <c r="C650" s="181"/>
      <c r="D650" s="181"/>
      <c r="E650" s="186"/>
      <c r="F650" s="181"/>
      <c r="G650" s="181"/>
      <c r="H650" s="181"/>
      <c r="I650" s="181"/>
      <c r="J650" s="181"/>
      <c r="K650" s="181"/>
      <c r="L650" s="181"/>
      <c r="M650" s="181"/>
      <c r="N650" s="181"/>
      <c r="O650" s="181"/>
      <c r="P650" s="181"/>
      <c r="Q650" s="181"/>
      <c r="R650" s="181"/>
      <c r="S650" s="181"/>
      <c r="T650" s="181"/>
      <c r="U650" s="181"/>
      <c r="V650" s="181"/>
      <c r="W650" s="181"/>
      <c r="X650" s="181"/>
      <c r="Y650" s="181"/>
      <c r="Z650" s="181"/>
      <c r="AA650" s="181"/>
    </row>
    <row r="651" customFormat="false" ht="15.75" hidden="false" customHeight="false" outlineLevel="0" collapsed="false">
      <c r="A651" s="181" t="str">
        <f aca="false">IF(ISBLANK(B651),"",B651&amp;"|"&amp;C651)</f>
        <v/>
      </c>
      <c r="B651" s="181"/>
      <c r="C651" s="181"/>
      <c r="D651" s="181"/>
      <c r="E651" s="186"/>
      <c r="F651" s="181"/>
      <c r="G651" s="181"/>
      <c r="H651" s="181"/>
      <c r="I651" s="181"/>
      <c r="J651" s="181"/>
      <c r="K651" s="181"/>
      <c r="L651" s="181"/>
      <c r="M651" s="181"/>
      <c r="N651" s="181"/>
      <c r="O651" s="181"/>
      <c r="P651" s="181"/>
      <c r="Q651" s="181"/>
      <c r="R651" s="181"/>
      <c r="S651" s="181"/>
      <c r="T651" s="181"/>
      <c r="U651" s="181"/>
      <c r="V651" s="181"/>
      <c r="W651" s="181"/>
      <c r="X651" s="181"/>
      <c r="Y651" s="181"/>
      <c r="Z651" s="181"/>
      <c r="AA651" s="181"/>
    </row>
    <row r="652" customFormat="false" ht="15.75" hidden="false" customHeight="false" outlineLevel="0" collapsed="false">
      <c r="A652" s="181" t="str">
        <f aca="false">IF(ISBLANK(B652),"",B652&amp;"|"&amp;C652)</f>
        <v/>
      </c>
      <c r="B652" s="181"/>
      <c r="C652" s="181"/>
      <c r="D652" s="181"/>
      <c r="E652" s="186"/>
      <c r="F652" s="181"/>
      <c r="G652" s="181"/>
      <c r="H652" s="181"/>
      <c r="I652" s="181"/>
      <c r="J652" s="181"/>
      <c r="K652" s="181"/>
      <c r="L652" s="181"/>
      <c r="M652" s="181"/>
      <c r="N652" s="181"/>
      <c r="O652" s="181"/>
      <c r="P652" s="181"/>
      <c r="Q652" s="181"/>
      <c r="R652" s="181"/>
      <c r="S652" s="181"/>
      <c r="T652" s="181"/>
      <c r="U652" s="181"/>
      <c r="V652" s="181"/>
      <c r="W652" s="181"/>
      <c r="X652" s="181"/>
      <c r="Y652" s="181"/>
      <c r="Z652" s="181"/>
      <c r="AA652" s="181"/>
    </row>
    <row r="653" customFormat="false" ht="15.75" hidden="false" customHeight="false" outlineLevel="0" collapsed="false">
      <c r="A653" s="181" t="str">
        <f aca="false">IF(ISBLANK(B653),"",B653&amp;"|"&amp;C653)</f>
        <v/>
      </c>
      <c r="B653" s="181"/>
      <c r="C653" s="181"/>
      <c r="D653" s="181"/>
      <c r="E653" s="186"/>
      <c r="F653" s="181"/>
      <c r="G653" s="181"/>
      <c r="H653" s="181"/>
      <c r="I653" s="181"/>
      <c r="J653" s="181"/>
      <c r="K653" s="181"/>
      <c r="L653" s="181"/>
      <c r="M653" s="181"/>
      <c r="N653" s="181"/>
      <c r="O653" s="181"/>
      <c r="P653" s="181"/>
      <c r="Q653" s="181"/>
      <c r="R653" s="181"/>
      <c r="S653" s="181"/>
      <c r="T653" s="181"/>
      <c r="U653" s="181"/>
      <c r="V653" s="181"/>
      <c r="W653" s="181"/>
      <c r="X653" s="181"/>
      <c r="Y653" s="181"/>
      <c r="Z653" s="181"/>
      <c r="AA653" s="181"/>
    </row>
    <row r="654" customFormat="false" ht="15.75" hidden="false" customHeight="false" outlineLevel="0" collapsed="false">
      <c r="A654" s="181" t="str">
        <f aca="false">IF(ISBLANK(B654),"",B654&amp;"|"&amp;C654)</f>
        <v/>
      </c>
      <c r="B654" s="181"/>
      <c r="C654" s="181"/>
      <c r="D654" s="181"/>
      <c r="E654" s="186"/>
      <c r="F654" s="181"/>
      <c r="G654" s="181"/>
      <c r="H654" s="181"/>
      <c r="I654" s="181"/>
      <c r="J654" s="181"/>
      <c r="K654" s="181"/>
      <c r="L654" s="181"/>
      <c r="M654" s="181"/>
      <c r="N654" s="181"/>
      <c r="O654" s="181"/>
      <c r="P654" s="181"/>
      <c r="Q654" s="181"/>
      <c r="R654" s="181"/>
      <c r="S654" s="181"/>
      <c r="T654" s="181"/>
      <c r="U654" s="181"/>
      <c r="V654" s="181"/>
      <c r="W654" s="181"/>
      <c r="X654" s="181"/>
      <c r="Y654" s="181"/>
      <c r="Z654" s="181"/>
      <c r="AA654" s="181"/>
    </row>
    <row r="655" customFormat="false" ht="15.75" hidden="false" customHeight="false" outlineLevel="0" collapsed="false">
      <c r="A655" s="181" t="str">
        <f aca="false">IF(ISBLANK(B655),"",B655&amp;"|"&amp;C655)</f>
        <v/>
      </c>
      <c r="B655" s="181"/>
      <c r="C655" s="181"/>
      <c r="D655" s="181"/>
      <c r="E655" s="186"/>
      <c r="F655" s="181"/>
      <c r="G655" s="181"/>
      <c r="H655" s="181"/>
      <c r="I655" s="181"/>
      <c r="J655" s="181"/>
      <c r="K655" s="181"/>
      <c r="L655" s="181"/>
      <c r="M655" s="181"/>
      <c r="N655" s="181"/>
      <c r="O655" s="181"/>
      <c r="P655" s="181"/>
      <c r="Q655" s="181"/>
      <c r="R655" s="181"/>
      <c r="S655" s="181"/>
      <c r="T655" s="181"/>
      <c r="U655" s="181"/>
      <c r="V655" s="181"/>
      <c r="W655" s="181"/>
      <c r="X655" s="181"/>
      <c r="Y655" s="181"/>
      <c r="Z655" s="181"/>
      <c r="AA655" s="181"/>
    </row>
    <row r="656" customFormat="false" ht="15.75" hidden="false" customHeight="false" outlineLevel="0" collapsed="false">
      <c r="A656" s="181" t="str">
        <f aca="false">IF(ISBLANK(B656),"",B656&amp;"|"&amp;C656)</f>
        <v/>
      </c>
      <c r="B656" s="181"/>
      <c r="C656" s="181"/>
      <c r="D656" s="181"/>
      <c r="E656" s="186"/>
      <c r="F656" s="181"/>
      <c r="G656" s="181"/>
      <c r="H656" s="181"/>
      <c r="I656" s="181"/>
      <c r="J656" s="181"/>
      <c r="K656" s="181"/>
      <c r="L656" s="181"/>
      <c r="M656" s="181"/>
      <c r="N656" s="181"/>
      <c r="O656" s="181"/>
      <c r="P656" s="181"/>
      <c r="Q656" s="181"/>
      <c r="R656" s="181"/>
      <c r="S656" s="181"/>
      <c r="T656" s="181"/>
      <c r="U656" s="181"/>
      <c r="V656" s="181"/>
      <c r="W656" s="181"/>
      <c r="X656" s="181"/>
      <c r="Y656" s="181"/>
      <c r="Z656" s="181"/>
      <c r="AA656" s="181"/>
    </row>
    <row r="657" customFormat="false" ht="15.75" hidden="false" customHeight="false" outlineLevel="0" collapsed="false">
      <c r="A657" s="181" t="str">
        <f aca="false">IF(ISBLANK(B657),"",B657&amp;"|"&amp;C657)</f>
        <v/>
      </c>
      <c r="B657" s="181"/>
      <c r="C657" s="181"/>
      <c r="D657" s="181"/>
      <c r="E657" s="186"/>
      <c r="F657" s="181"/>
      <c r="G657" s="181"/>
      <c r="H657" s="181"/>
      <c r="I657" s="181"/>
      <c r="J657" s="181"/>
      <c r="K657" s="181"/>
      <c r="L657" s="181"/>
      <c r="M657" s="181"/>
      <c r="N657" s="181"/>
      <c r="O657" s="181"/>
      <c r="P657" s="181"/>
      <c r="Q657" s="181"/>
      <c r="R657" s="181"/>
      <c r="S657" s="181"/>
      <c r="T657" s="181"/>
      <c r="U657" s="181"/>
      <c r="V657" s="181"/>
      <c r="W657" s="181"/>
      <c r="X657" s="181"/>
      <c r="Y657" s="181"/>
      <c r="Z657" s="181"/>
      <c r="AA657" s="181"/>
    </row>
    <row r="658" customFormat="false" ht="15.75" hidden="false" customHeight="false" outlineLevel="0" collapsed="false">
      <c r="A658" s="181" t="str">
        <f aca="false">IF(ISBLANK(B658),"",B658&amp;"|"&amp;C658)</f>
        <v/>
      </c>
      <c r="B658" s="181"/>
      <c r="C658" s="181"/>
      <c r="D658" s="181"/>
      <c r="E658" s="186"/>
      <c r="F658" s="181"/>
      <c r="G658" s="181"/>
      <c r="H658" s="181"/>
      <c r="I658" s="181"/>
      <c r="J658" s="181"/>
      <c r="K658" s="181"/>
      <c r="L658" s="181"/>
      <c r="M658" s="181"/>
      <c r="N658" s="181"/>
      <c r="O658" s="181"/>
      <c r="P658" s="181"/>
      <c r="Q658" s="181"/>
      <c r="R658" s="181"/>
      <c r="S658" s="181"/>
      <c r="T658" s="181"/>
      <c r="U658" s="181"/>
      <c r="V658" s="181"/>
      <c r="W658" s="181"/>
      <c r="X658" s="181"/>
      <c r="Y658" s="181"/>
      <c r="Z658" s="181"/>
      <c r="AA658" s="181"/>
    </row>
    <row r="659" customFormat="false" ht="15.75" hidden="false" customHeight="false" outlineLevel="0" collapsed="false">
      <c r="A659" s="181" t="str">
        <f aca="false">IF(ISBLANK(B659),"",B659&amp;"|"&amp;C659)</f>
        <v/>
      </c>
      <c r="B659" s="181"/>
      <c r="C659" s="181"/>
      <c r="D659" s="181"/>
      <c r="E659" s="186"/>
      <c r="F659" s="181"/>
      <c r="G659" s="181"/>
      <c r="H659" s="181"/>
      <c r="I659" s="181"/>
      <c r="J659" s="181"/>
      <c r="K659" s="181"/>
      <c r="L659" s="181"/>
      <c r="M659" s="181"/>
      <c r="N659" s="181"/>
      <c r="O659" s="181"/>
      <c r="P659" s="181"/>
      <c r="Q659" s="181"/>
      <c r="R659" s="181"/>
      <c r="S659" s="181"/>
      <c r="T659" s="181"/>
      <c r="U659" s="181"/>
      <c r="V659" s="181"/>
      <c r="W659" s="181"/>
      <c r="X659" s="181"/>
      <c r="Y659" s="181"/>
      <c r="Z659" s="181"/>
      <c r="AA659" s="181"/>
    </row>
    <row r="660" customFormat="false" ht="15.75" hidden="false" customHeight="false" outlineLevel="0" collapsed="false">
      <c r="A660" s="181" t="str">
        <f aca="false">IF(ISBLANK(B660),"",B660&amp;"|"&amp;C660)</f>
        <v/>
      </c>
      <c r="B660" s="181"/>
      <c r="C660" s="181"/>
      <c r="D660" s="181"/>
      <c r="E660" s="186"/>
      <c r="F660" s="181"/>
      <c r="G660" s="181"/>
      <c r="H660" s="181"/>
      <c r="I660" s="181"/>
      <c r="J660" s="181"/>
      <c r="K660" s="181"/>
      <c r="L660" s="181"/>
      <c r="M660" s="181"/>
      <c r="N660" s="181"/>
      <c r="O660" s="181"/>
      <c r="P660" s="181"/>
      <c r="Q660" s="181"/>
      <c r="R660" s="181"/>
      <c r="S660" s="181"/>
      <c r="T660" s="181"/>
      <c r="U660" s="181"/>
      <c r="V660" s="181"/>
      <c r="W660" s="181"/>
      <c r="X660" s="181"/>
      <c r="Y660" s="181"/>
      <c r="Z660" s="181"/>
      <c r="AA660" s="181"/>
    </row>
    <row r="661" customFormat="false" ht="15.75" hidden="false" customHeight="false" outlineLevel="0" collapsed="false">
      <c r="A661" s="181" t="str">
        <f aca="false">IF(ISBLANK(B661),"",B661&amp;"|"&amp;C661)</f>
        <v/>
      </c>
      <c r="B661" s="181"/>
      <c r="C661" s="181"/>
      <c r="D661" s="181"/>
      <c r="E661" s="186"/>
      <c r="F661" s="181"/>
      <c r="G661" s="181"/>
      <c r="H661" s="181"/>
      <c r="I661" s="181"/>
      <c r="J661" s="181"/>
      <c r="K661" s="181"/>
      <c r="L661" s="181"/>
      <c r="M661" s="181"/>
      <c r="N661" s="181"/>
      <c r="O661" s="181"/>
      <c r="P661" s="181"/>
      <c r="Q661" s="181"/>
      <c r="R661" s="181"/>
      <c r="S661" s="181"/>
      <c r="T661" s="181"/>
      <c r="U661" s="181"/>
      <c r="V661" s="181"/>
      <c r="W661" s="181"/>
      <c r="X661" s="181"/>
      <c r="Y661" s="181"/>
      <c r="Z661" s="181"/>
      <c r="AA661" s="181"/>
    </row>
    <row r="662" customFormat="false" ht="15.75" hidden="false" customHeight="false" outlineLevel="0" collapsed="false">
      <c r="A662" s="181" t="str">
        <f aca="false">IF(ISBLANK(B662),"",B662&amp;"|"&amp;C662)</f>
        <v/>
      </c>
      <c r="B662" s="181"/>
      <c r="C662" s="181"/>
      <c r="D662" s="181"/>
      <c r="E662" s="186"/>
      <c r="F662" s="181"/>
      <c r="G662" s="181"/>
      <c r="H662" s="181"/>
      <c r="I662" s="181"/>
      <c r="J662" s="181"/>
      <c r="K662" s="181"/>
      <c r="L662" s="181"/>
      <c r="M662" s="181"/>
      <c r="N662" s="181"/>
      <c r="O662" s="181"/>
      <c r="P662" s="181"/>
      <c r="Q662" s="181"/>
      <c r="R662" s="181"/>
      <c r="S662" s="181"/>
      <c r="T662" s="181"/>
      <c r="U662" s="181"/>
      <c r="V662" s="181"/>
      <c r="W662" s="181"/>
      <c r="X662" s="181"/>
      <c r="Y662" s="181"/>
      <c r="Z662" s="181"/>
      <c r="AA662" s="181"/>
    </row>
    <row r="663" customFormat="false" ht="15.75" hidden="false" customHeight="false" outlineLevel="0" collapsed="false">
      <c r="A663" s="181" t="str">
        <f aca="false">IF(ISBLANK(B663),"",B663&amp;"|"&amp;C663)</f>
        <v/>
      </c>
      <c r="B663" s="181"/>
      <c r="C663" s="181"/>
      <c r="D663" s="181"/>
      <c r="E663" s="186"/>
      <c r="F663" s="181"/>
      <c r="G663" s="181"/>
      <c r="H663" s="181"/>
      <c r="I663" s="181"/>
      <c r="J663" s="181"/>
      <c r="K663" s="181"/>
      <c r="L663" s="181"/>
      <c r="M663" s="181"/>
      <c r="N663" s="181"/>
      <c r="O663" s="181"/>
      <c r="P663" s="181"/>
      <c r="Q663" s="181"/>
      <c r="R663" s="181"/>
      <c r="S663" s="181"/>
      <c r="T663" s="181"/>
      <c r="U663" s="181"/>
      <c r="V663" s="181"/>
      <c r="W663" s="181"/>
      <c r="X663" s="181"/>
      <c r="Y663" s="181"/>
      <c r="Z663" s="181"/>
      <c r="AA663" s="181"/>
    </row>
    <row r="664" customFormat="false" ht="15.75" hidden="false" customHeight="false" outlineLevel="0" collapsed="false">
      <c r="A664" s="181" t="str">
        <f aca="false">IF(ISBLANK(B664),"",B664&amp;"|"&amp;C664)</f>
        <v/>
      </c>
      <c r="B664" s="181"/>
      <c r="C664" s="181"/>
      <c r="D664" s="181"/>
      <c r="E664" s="186"/>
      <c r="F664" s="181"/>
      <c r="G664" s="181"/>
      <c r="H664" s="181"/>
      <c r="I664" s="181"/>
      <c r="J664" s="181"/>
      <c r="K664" s="181"/>
      <c r="L664" s="181"/>
      <c r="M664" s="181"/>
      <c r="N664" s="181"/>
      <c r="O664" s="181"/>
      <c r="P664" s="181"/>
      <c r="Q664" s="181"/>
      <c r="R664" s="181"/>
      <c r="S664" s="181"/>
      <c r="T664" s="181"/>
      <c r="U664" s="181"/>
      <c r="V664" s="181"/>
      <c r="W664" s="181"/>
      <c r="X664" s="181"/>
      <c r="Y664" s="181"/>
      <c r="Z664" s="181"/>
      <c r="AA664" s="181"/>
    </row>
    <row r="665" customFormat="false" ht="15.75" hidden="false" customHeight="false" outlineLevel="0" collapsed="false">
      <c r="A665" s="181" t="str">
        <f aca="false">IF(ISBLANK(B665),"",B665&amp;"|"&amp;C665)</f>
        <v/>
      </c>
      <c r="B665" s="181"/>
      <c r="C665" s="181"/>
      <c r="D665" s="181"/>
      <c r="E665" s="186"/>
      <c r="F665" s="181"/>
      <c r="G665" s="181"/>
      <c r="H665" s="181"/>
      <c r="I665" s="181"/>
      <c r="J665" s="181"/>
      <c r="K665" s="181"/>
      <c r="L665" s="181"/>
      <c r="M665" s="181"/>
      <c r="N665" s="181"/>
      <c r="O665" s="181"/>
      <c r="P665" s="181"/>
      <c r="Q665" s="181"/>
      <c r="R665" s="181"/>
      <c r="S665" s="181"/>
      <c r="T665" s="181"/>
      <c r="U665" s="181"/>
      <c r="V665" s="181"/>
      <c r="W665" s="181"/>
      <c r="X665" s="181"/>
      <c r="Y665" s="181"/>
      <c r="Z665" s="181"/>
      <c r="AA665" s="181"/>
    </row>
    <row r="666" customFormat="false" ht="15.75" hidden="false" customHeight="false" outlineLevel="0" collapsed="false">
      <c r="A666" s="181" t="str">
        <f aca="false">IF(ISBLANK(B666),"",B666&amp;"|"&amp;C666)</f>
        <v/>
      </c>
      <c r="B666" s="181"/>
      <c r="C666" s="181"/>
      <c r="D666" s="181"/>
      <c r="E666" s="186"/>
      <c r="F666" s="181"/>
      <c r="G666" s="181"/>
      <c r="H666" s="181"/>
      <c r="I666" s="181"/>
      <c r="J666" s="181"/>
      <c r="K666" s="181"/>
      <c r="L666" s="181"/>
      <c r="M666" s="181"/>
      <c r="N666" s="181"/>
      <c r="O666" s="181"/>
      <c r="P666" s="181"/>
      <c r="Q666" s="181"/>
      <c r="R666" s="181"/>
      <c r="S666" s="181"/>
      <c r="T666" s="181"/>
      <c r="U666" s="181"/>
      <c r="V666" s="181"/>
      <c r="W666" s="181"/>
      <c r="X666" s="181"/>
      <c r="Y666" s="181"/>
      <c r="Z666" s="181"/>
      <c r="AA666" s="181"/>
    </row>
    <row r="667" customFormat="false" ht="15.75" hidden="false" customHeight="false" outlineLevel="0" collapsed="false">
      <c r="A667" s="181" t="str">
        <f aca="false">IF(ISBLANK(B667),"",B667&amp;"|"&amp;C667)</f>
        <v/>
      </c>
      <c r="B667" s="181"/>
      <c r="C667" s="181"/>
      <c r="D667" s="181"/>
      <c r="E667" s="186"/>
      <c r="F667" s="181"/>
      <c r="G667" s="181"/>
      <c r="H667" s="181"/>
      <c r="I667" s="181"/>
      <c r="J667" s="181"/>
      <c r="K667" s="181"/>
      <c r="L667" s="181"/>
      <c r="M667" s="181"/>
      <c r="N667" s="181"/>
      <c r="O667" s="181"/>
      <c r="P667" s="181"/>
      <c r="Q667" s="181"/>
      <c r="R667" s="181"/>
      <c r="S667" s="181"/>
      <c r="T667" s="181"/>
      <c r="U667" s="181"/>
      <c r="V667" s="181"/>
      <c r="W667" s="181"/>
      <c r="X667" s="181"/>
      <c r="Y667" s="181"/>
      <c r="Z667" s="181"/>
      <c r="AA667" s="181"/>
    </row>
    <row r="668" customFormat="false" ht="15.75" hidden="false" customHeight="false" outlineLevel="0" collapsed="false">
      <c r="A668" s="181" t="str">
        <f aca="false">IF(ISBLANK(B668),"",B668&amp;"|"&amp;C668)</f>
        <v/>
      </c>
      <c r="B668" s="181"/>
      <c r="C668" s="181"/>
      <c r="D668" s="181"/>
      <c r="E668" s="186"/>
      <c r="F668" s="181"/>
      <c r="G668" s="181"/>
      <c r="H668" s="181"/>
      <c r="I668" s="181"/>
      <c r="J668" s="181"/>
      <c r="K668" s="181"/>
      <c r="L668" s="181"/>
      <c r="M668" s="181"/>
      <c r="N668" s="181"/>
      <c r="O668" s="181"/>
      <c r="P668" s="181"/>
      <c r="Q668" s="181"/>
      <c r="R668" s="181"/>
      <c r="S668" s="181"/>
      <c r="T668" s="181"/>
      <c r="U668" s="181"/>
      <c r="V668" s="181"/>
      <c r="W668" s="181"/>
      <c r="X668" s="181"/>
      <c r="Y668" s="181"/>
      <c r="Z668" s="181"/>
      <c r="AA668" s="181"/>
    </row>
    <row r="669" customFormat="false" ht="15.75" hidden="false" customHeight="false" outlineLevel="0" collapsed="false">
      <c r="A669" s="181" t="str">
        <f aca="false">IF(ISBLANK(B669),"",B669&amp;"|"&amp;C669)</f>
        <v/>
      </c>
      <c r="B669" s="181"/>
      <c r="C669" s="181"/>
      <c r="D669" s="181"/>
      <c r="E669" s="186"/>
      <c r="F669" s="181"/>
      <c r="G669" s="181"/>
      <c r="H669" s="181"/>
      <c r="I669" s="181"/>
      <c r="J669" s="181"/>
      <c r="K669" s="181"/>
      <c r="L669" s="181"/>
      <c r="M669" s="181"/>
      <c r="N669" s="181"/>
      <c r="O669" s="181"/>
      <c r="P669" s="181"/>
      <c r="Q669" s="181"/>
      <c r="R669" s="181"/>
      <c r="S669" s="181"/>
      <c r="T669" s="181"/>
      <c r="U669" s="181"/>
      <c r="V669" s="181"/>
      <c r="W669" s="181"/>
      <c r="X669" s="181"/>
      <c r="Y669" s="181"/>
      <c r="Z669" s="181"/>
      <c r="AA669" s="181"/>
    </row>
    <row r="670" customFormat="false" ht="15.75" hidden="false" customHeight="false" outlineLevel="0" collapsed="false">
      <c r="A670" s="181" t="str">
        <f aca="false">IF(ISBLANK(B670),"",B670&amp;"|"&amp;C670)</f>
        <v/>
      </c>
      <c r="B670" s="181"/>
      <c r="C670" s="181"/>
      <c r="D670" s="181"/>
      <c r="E670" s="186"/>
      <c r="F670" s="181"/>
      <c r="G670" s="181"/>
      <c r="H670" s="181"/>
      <c r="I670" s="181"/>
      <c r="J670" s="181"/>
      <c r="K670" s="181"/>
      <c r="L670" s="181"/>
      <c r="M670" s="181"/>
      <c r="N670" s="181"/>
      <c r="O670" s="181"/>
      <c r="P670" s="181"/>
      <c r="Q670" s="181"/>
      <c r="R670" s="181"/>
      <c r="S670" s="181"/>
      <c r="T670" s="181"/>
      <c r="U670" s="181"/>
      <c r="V670" s="181"/>
      <c r="W670" s="181"/>
      <c r="X670" s="181"/>
      <c r="Y670" s="181"/>
      <c r="Z670" s="181"/>
      <c r="AA670" s="181"/>
    </row>
    <row r="671" customFormat="false" ht="15.75" hidden="false" customHeight="false" outlineLevel="0" collapsed="false">
      <c r="A671" s="181" t="str">
        <f aca="false">IF(ISBLANK(B671),"",B671&amp;"|"&amp;C671)</f>
        <v/>
      </c>
      <c r="B671" s="181"/>
      <c r="C671" s="181"/>
      <c r="D671" s="181"/>
      <c r="E671" s="186"/>
      <c r="F671" s="181"/>
      <c r="G671" s="181"/>
      <c r="H671" s="181"/>
      <c r="I671" s="181"/>
      <c r="J671" s="181"/>
      <c r="K671" s="181"/>
      <c r="L671" s="181"/>
      <c r="M671" s="181"/>
      <c r="N671" s="181"/>
      <c r="O671" s="181"/>
      <c r="P671" s="181"/>
      <c r="Q671" s="181"/>
      <c r="R671" s="181"/>
      <c r="S671" s="181"/>
      <c r="T671" s="181"/>
      <c r="U671" s="181"/>
      <c r="V671" s="181"/>
      <c r="W671" s="181"/>
      <c r="X671" s="181"/>
      <c r="Y671" s="181"/>
      <c r="Z671" s="181"/>
      <c r="AA671" s="181"/>
    </row>
    <row r="672" customFormat="false" ht="15.75" hidden="false" customHeight="false" outlineLevel="0" collapsed="false">
      <c r="A672" s="181" t="str">
        <f aca="false">IF(ISBLANK(B672),"",B672&amp;"|"&amp;C672)</f>
        <v/>
      </c>
      <c r="B672" s="181"/>
      <c r="C672" s="181"/>
      <c r="D672" s="181"/>
      <c r="E672" s="186"/>
      <c r="F672" s="181"/>
      <c r="G672" s="181"/>
      <c r="H672" s="181"/>
      <c r="I672" s="181"/>
      <c r="J672" s="181"/>
      <c r="K672" s="181"/>
      <c r="L672" s="181"/>
      <c r="M672" s="181"/>
      <c r="N672" s="181"/>
      <c r="O672" s="181"/>
      <c r="P672" s="181"/>
      <c r="Q672" s="181"/>
      <c r="R672" s="181"/>
      <c r="S672" s="181"/>
      <c r="T672" s="181"/>
      <c r="U672" s="181"/>
      <c r="V672" s="181"/>
      <c r="W672" s="181"/>
      <c r="X672" s="181"/>
      <c r="Y672" s="181"/>
      <c r="Z672" s="181"/>
      <c r="AA672" s="181"/>
    </row>
    <row r="673" customFormat="false" ht="15.75" hidden="false" customHeight="false" outlineLevel="0" collapsed="false">
      <c r="A673" s="181" t="str">
        <f aca="false">IF(ISBLANK(B673),"",B673&amp;"|"&amp;C673)</f>
        <v/>
      </c>
      <c r="B673" s="181"/>
      <c r="C673" s="181"/>
      <c r="D673" s="181"/>
      <c r="E673" s="186"/>
      <c r="F673" s="181"/>
      <c r="G673" s="181"/>
      <c r="H673" s="181"/>
      <c r="I673" s="181"/>
      <c r="J673" s="181"/>
      <c r="K673" s="181"/>
      <c r="L673" s="181"/>
      <c r="M673" s="181"/>
      <c r="N673" s="181"/>
      <c r="O673" s="181"/>
      <c r="P673" s="181"/>
      <c r="Q673" s="181"/>
      <c r="R673" s="181"/>
      <c r="S673" s="181"/>
      <c r="T673" s="181"/>
      <c r="U673" s="181"/>
      <c r="V673" s="181"/>
      <c r="W673" s="181"/>
      <c r="X673" s="181"/>
      <c r="Y673" s="181"/>
      <c r="Z673" s="181"/>
      <c r="AA673" s="181"/>
    </row>
    <row r="674" customFormat="false" ht="15.75" hidden="false" customHeight="false" outlineLevel="0" collapsed="false">
      <c r="A674" s="181" t="str">
        <f aca="false">IF(ISBLANK(B674),"",B674&amp;"|"&amp;C674)</f>
        <v/>
      </c>
      <c r="B674" s="181"/>
      <c r="C674" s="181"/>
      <c r="D674" s="181"/>
      <c r="E674" s="186"/>
      <c r="F674" s="181"/>
      <c r="G674" s="181"/>
      <c r="H674" s="181"/>
      <c r="I674" s="181"/>
      <c r="J674" s="181"/>
      <c r="K674" s="181"/>
      <c r="L674" s="181"/>
      <c r="M674" s="181"/>
      <c r="N674" s="181"/>
      <c r="O674" s="181"/>
      <c r="P674" s="181"/>
      <c r="Q674" s="181"/>
      <c r="R674" s="181"/>
      <c r="S674" s="181"/>
      <c r="T674" s="181"/>
      <c r="U674" s="181"/>
      <c r="V674" s="181"/>
      <c r="W674" s="181"/>
      <c r="X674" s="181"/>
      <c r="Y674" s="181"/>
      <c r="Z674" s="181"/>
      <c r="AA674" s="181"/>
    </row>
    <row r="675" customFormat="false" ht="15.75" hidden="false" customHeight="false" outlineLevel="0" collapsed="false">
      <c r="A675" s="181" t="str">
        <f aca="false">IF(ISBLANK(B675),"",B675&amp;"|"&amp;C675)</f>
        <v/>
      </c>
      <c r="B675" s="181"/>
      <c r="C675" s="181"/>
      <c r="D675" s="181"/>
      <c r="E675" s="186"/>
      <c r="F675" s="181"/>
      <c r="G675" s="181"/>
      <c r="H675" s="181"/>
      <c r="I675" s="181"/>
      <c r="J675" s="181"/>
      <c r="K675" s="181"/>
      <c r="L675" s="181"/>
      <c r="M675" s="181"/>
      <c r="N675" s="181"/>
      <c r="O675" s="181"/>
      <c r="P675" s="181"/>
      <c r="Q675" s="181"/>
      <c r="R675" s="181"/>
      <c r="S675" s="181"/>
      <c r="T675" s="181"/>
      <c r="U675" s="181"/>
      <c r="V675" s="181"/>
      <c r="W675" s="181"/>
      <c r="X675" s="181"/>
      <c r="Y675" s="181"/>
      <c r="Z675" s="181"/>
      <c r="AA675" s="181"/>
    </row>
    <row r="676" customFormat="false" ht="15.75" hidden="false" customHeight="false" outlineLevel="0" collapsed="false">
      <c r="A676" s="181" t="str">
        <f aca="false">IF(ISBLANK(B676),"",B676&amp;"|"&amp;C676)</f>
        <v/>
      </c>
      <c r="B676" s="181"/>
      <c r="C676" s="181"/>
      <c r="D676" s="181"/>
      <c r="E676" s="186"/>
      <c r="F676" s="181"/>
      <c r="G676" s="181"/>
      <c r="H676" s="181"/>
      <c r="I676" s="181"/>
      <c r="J676" s="181"/>
      <c r="K676" s="181"/>
      <c r="L676" s="181"/>
      <c r="M676" s="181"/>
      <c r="N676" s="181"/>
      <c r="O676" s="181"/>
      <c r="P676" s="181"/>
      <c r="Q676" s="181"/>
      <c r="R676" s="181"/>
      <c r="S676" s="181"/>
      <c r="T676" s="181"/>
      <c r="U676" s="181"/>
      <c r="V676" s="181"/>
      <c r="W676" s="181"/>
      <c r="X676" s="181"/>
      <c r="Y676" s="181"/>
      <c r="Z676" s="181"/>
      <c r="AA676" s="181"/>
    </row>
    <row r="677" customFormat="false" ht="15.75" hidden="false" customHeight="false" outlineLevel="0" collapsed="false">
      <c r="A677" s="181" t="str">
        <f aca="false">IF(ISBLANK(B677),"",B677&amp;"|"&amp;C677)</f>
        <v/>
      </c>
      <c r="B677" s="181"/>
      <c r="C677" s="181"/>
      <c r="D677" s="181"/>
      <c r="E677" s="186"/>
      <c r="F677" s="181"/>
      <c r="G677" s="181"/>
      <c r="H677" s="181"/>
      <c r="I677" s="181"/>
      <c r="J677" s="181"/>
      <c r="K677" s="181"/>
      <c r="L677" s="181"/>
      <c r="M677" s="181"/>
      <c r="N677" s="181"/>
      <c r="O677" s="181"/>
      <c r="P677" s="181"/>
      <c r="Q677" s="181"/>
      <c r="R677" s="181"/>
      <c r="S677" s="181"/>
      <c r="T677" s="181"/>
      <c r="U677" s="181"/>
      <c r="V677" s="181"/>
      <c r="W677" s="181"/>
      <c r="X677" s="181"/>
      <c r="Y677" s="181"/>
      <c r="Z677" s="181"/>
      <c r="AA677" s="181"/>
    </row>
    <row r="678" customFormat="false" ht="15.75" hidden="false" customHeight="false" outlineLevel="0" collapsed="false">
      <c r="A678" s="181" t="str">
        <f aca="false">IF(ISBLANK(B678),"",B678&amp;"|"&amp;C678)</f>
        <v/>
      </c>
      <c r="B678" s="181"/>
      <c r="C678" s="181"/>
      <c r="D678" s="181"/>
      <c r="E678" s="186"/>
      <c r="F678" s="181"/>
      <c r="G678" s="181"/>
      <c r="H678" s="181"/>
      <c r="I678" s="181"/>
      <c r="J678" s="181"/>
      <c r="K678" s="181"/>
      <c r="L678" s="181"/>
      <c r="M678" s="181"/>
      <c r="N678" s="181"/>
      <c r="O678" s="181"/>
      <c r="P678" s="181"/>
      <c r="Q678" s="181"/>
      <c r="R678" s="181"/>
      <c r="S678" s="181"/>
      <c r="T678" s="181"/>
      <c r="U678" s="181"/>
      <c r="V678" s="181"/>
      <c r="W678" s="181"/>
      <c r="X678" s="181"/>
      <c r="Y678" s="181"/>
      <c r="Z678" s="181"/>
      <c r="AA678" s="181"/>
    </row>
    <row r="679" customFormat="false" ht="15.75" hidden="false" customHeight="false" outlineLevel="0" collapsed="false">
      <c r="A679" s="181" t="str">
        <f aca="false">IF(ISBLANK(B679),"",B679&amp;"|"&amp;C679)</f>
        <v/>
      </c>
      <c r="B679" s="181"/>
      <c r="C679" s="181"/>
      <c r="D679" s="181"/>
      <c r="E679" s="186"/>
      <c r="F679" s="181"/>
      <c r="G679" s="181"/>
      <c r="H679" s="181"/>
      <c r="I679" s="181"/>
      <c r="J679" s="181"/>
      <c r="K679" s="181"/>
      <c r="L679" s="181"/>
      <c r="M679" s="181"/>
      <c r="N679" s="181"/>
      <c r="O679" s="181"/>
      <c r="P679" s="181"/>
      <c r="Q679" s="181"/>
      <c r="R679" s="181"/>
      <c r="S679" s="181"/>
      <c r="T679" s="181"/>
      <c r="U679" s="181"/>
      <c r="V679" s="181"/>
      <c r="W679" s="181"/>
      <c r="X679" s="181"/>
      <c r="Y679" s="181"/>
      <c r="Z679" s="181"/>
      <c r="AA679" s="181"/>
    </row>
    <row r="680" customFormat="false" ht="15.75" hidden="false" customHeight="false" outlineLevel="0" collapsed="false">
      <c r="A680" s="181" t="str">
        <f aca="false">IF(ISBLANK(B680),"",B680&amp;"|"&amp;C680)</f>
        <v/>
      </c>
      <c r="B680" s="181"/>
      <c r="C680" s="181"/>
      <c r="D680" s="181"/>
      <c r="E680" s="186"/>
      <c r="F680" s="181"/>
      <c r="G680" s="181"/>
      <c r="H680" s="181"/>
      <c r="I680" s="181"/>
      <c r="J680" s="181"/>
      <c r="K680" s="181"/>
      <c r="L680" s="181"/>
      <c r="M680" s="181"/>
      <c r="N680" s="181"/>
      <c r="O680" s="181"/>
      <c r="P680" s="181"/>
      <c r="Q680" s="181"/>
      <c r="R680" s="181"/>
      <c r="S680" s="181"/>
      <c r="T680" s="181"/>
      <c r="U680" s="181"/>
      <c r="V680" s="181"/>
      <c r="W680" s="181"/>
      <c r="X680" s="181"/>
      <c r="Y680" s="181"/>
      <c r="Z680" s="181"/>
      <c r="AA680" s="181"/>
    </row>
    <row r="681" customFormat="false" ht="15.75" hidden="false" customHeight="false" outlineLevel="0" collapsed="false">
      <c r="A681" s="181" t="str">
        <f aca="false">IF(ISBLANK(B681),"",B681&amp;"|"&amp;C681)</f>
        <v/>
      </c>
      <c r="B681" s="181"/>
      <c r="C681" s="181"/>
      <c r="D681" s="181"/>
      <c r="E681" s="186"/>
      <c r="F681" s="181"/>
      <c r="G681" s="181"/>
      <c r="H681" s="181"/>
      <c r="I681" s="181"/>
      <c r="J681" s="181"/>
      <c r="K681" s="181"/>
      <c r="L681" s="181"/>
      <c r="M681" s="181"/>
      <c r="N681" s="181"/>
      <c r="O681" s="181"/>
      <c r="P681" s="181"/>
      <c r="Q681" s="181"/>
      <c r="R681" s="181"/>
      <c r="S681" s="181"/>
      <c r="T681" s="181"/>
      <c r="U681" s="181"/>
      <c r="V681" s="181"/>
      <c r="W681" s="181"/>
      <c r="X681" s="181"/>
      <c r="Y681" s="181"/>
      <c r="Z681" s="181"/>
      <c r="AA681" s="181"/>
    </row>
    <row r="682" customFormat="false" ht="15.75" hidden="false" customHeight="false" outlineLevel="0" collapsed="false">
      <c r="A682" s="181" t="str">
        <f aca="false">IF(ISBLANK(B682),"",B682&amp;"|"&amp;C682)</f>
        <v/>
      </c>
      <c r="B682" s="181"/>
      <c r="C682" s="181"/>
      <c r="D682" s="181"/>
      <c r="E682" s="186"/>
      <c r="F682" s="181"/>
      <c r="G682" s="181"/>
      <c r="H682" s="181"/>
      <c r="I682" s="181"/>
      <c r="J682" s="181"/>
      <c r="K682" s="181"/>
      <c r="L682" s="181"/>
      <c r="M682" s="181"/>
      <c r="N682" s="181"/>
      <c r="O682" s="181"/>
      <c r="P682" s="181"/>
      <c r="Q682" s="181"/>
      <c r="R682" s="181"/>
      <c r="S682" s="181"/>
      <c r="T682" s="181"/>
      <c r="U682" s="181"/>
      <c r="V682" s="181"/>
      <c r="W682" s="181"/>
      <c r="X682" s="181"/>
      <c r="Y682" s="181"/>
      <c r="Z682" s="181"/>
      <c r="AA682" s="181"/>
    </row>
    <row r="683" customFormat="false" ht="15.75" hidden="false" customHeight="false" outlineLevel="0" collapsed="false">
      <c r="A683" s="181" t="str">
        <f aca="false">IF(ISBLANK(B683),"",B683&amp;"|"&amp;C683)</f>
        <v/>
      </c>
      <c r="B683" s="181"/>
      <c r="C683" s="181"/>
      <c r="D683" s="181"/>
      <c r="E683" s="186"/>
      <c r="F683" s="181"/>
      <c r="G683" s="181"/>
      <c r="H683" s="181"/>
      <c r="I683" s="181"/>
      <c r="J683" s="181"/>
      <c r="K683" s="181"/>
      <c r="L683" s="181"/>
      <c r="M683" s="181"/>
      <c r="N683" s="181"/>
      <c r="O683" s="181"/>
      <c r="P683" s="181"/>
      <c r="Q683" s="181"/>
      <c r="R683" s="181"/>
      <c r="S683" s="181"/>
      <c r="T683" s="181"/>
      <c r="U683" s="181"/>
      <c r="V683" s="181"/>
      <c r="W683" s="181"/>
      <c r="X683" s="181"/>
      <c r="Y683" s="181"/>
      <c r="Z683" s="181"/>
      <c r="AA683" s="181"/>
    </row>
    <row r="684" customFormat="false" ht="15.75" hidden="false" customHeight="false" outlineLevel="0" collapsed="false">
      <c r="A684" s="181" t="str">
        <f aca="false">IF(ISBLANK(B684),"",B684&amp;"|"&amp;C684)</f>
        <v/>
      </c>
      <c r="B684" s="181"/>
      <c r="C684" s="181"/>
      <c r="D684" s="181"/>
      <c r="E684" s="186"/>
      <c r="F684" s="181"/>
      <c r="G684" s="181"/>
      <c r="H684" s="181"/>
      <c r="I684" s="181"/>
      <c r="J684" s="181"/>
      <c r="K684" s="181"/>
      <c r="L684" s="181"/>
      <c r="M684" s="181"/>
      <c r="N684" s="181"/>
      <c r="O684" s="181"/>
      <c r="P684" s="181"/>
      <c r="Q684" s="181"/>
      <c r="R684" s="181"/>
      <c r="S684" s="181"/>
      <c r="T684" s="181"/>
      <c r="U684" s="181"/>
      <c r="V684" s="181"/>
      <c r="W684" s="181"/>
      <c r="X684" s="181"/>
      <c r="Y684" s="181"/>
      <c r="Z684" s="181"/>
      <c r="AA684" s="181"/>
    </row>
    <row r="685" customFormat="false" ht="15.75" hidden="false" customHeight="false" outlineLevel="0" collapsed="false">
      <c r="A685" s="181" t="str">
        <f aca="false">IF(ISBLANK(B685),"",B685&amp;"|"&amp;C685)</f>
        <v/>
      </c>
      <c r="B685" s="181"/>
      <c r="C685" s="181"/>
      <c r="D685" s="181"/>
      <c r="E685" s="186"/>
      <c r="F685" s="181"/>
      <c r="G685" s="181"/>
      <c r="H685" s="181"/>
      <c r="I685" s="181"/>
      <c r="J685" s="181"/>
      <c r="K685" s="181"/>
      <c r="L685" s="181"/>
      <c r="M685" s="181"/>
      <c r="N685" s="181"/>
      <c r="O685" s="181"/>
      <c r="P685" s="181"/>
      <c r="Q685" s="181"/>
      <c r="R685" s="181"/>
      <c r="S685" s="181"/>
      <c r="T685" s="181"/>
      <c r="U685" s="181"/>
      <c r="V685" s="181"/>
      <c r="W685" s="181"/>
      <c r="X685" s="181"/>
      <c r="Y685" s="181"/>
      <c r="Z685" s="181"/>
      <c r="AA685" s="181"/>
    </row>
    <row r="686" customFormat="false" ht="15.75" hidden="false" customHeight="false" outlineLevel="0" collapsed="false">
      <c r="A686" s="181" t="str">
        <f aca="false">IF(ISBLANK(B686),"",B686&amp;"|"&amp;C686)</f>
        <v/>
      </c>
      <c r="B686" s="181"/>
      <c r="C686" s="181"/>
      <c r="D686" s="181"/>
      <c r="E686" s="186"/>
      <c r="F686" s="181"/>
      <c r="G686" s="181"/>
      <c r="H686" s="181"/>
      <c r="I686" s="181"/>
      <c r="J686" s="181"/>
      <c r="K686" s="181"/>
      <c r="L686" s="181"/>
      <c r="M686" s="181"/>
      <c r="N686" s="181"/>
      <c r="O686" s="181"/>
      <c r="P686" s="181"/>
      <c r="Q686" s="181"/>
      <c r="R686" s="181"/>
      <c r="S686" s="181"/>
      <c r="T686" s="181"/>
      <c r="U686" s="181"/>
      <c r="V686" s="181"/>
      <c r="W686" s="181"/>
      <c r="X686" s="181"/>
      <c r="Y686" s="181"/>
      <c r="Z686" s="181"/>
      <c r="AA686" s="181"/>
    </row>
    <row r="687" customFormat="false" ht="15.75" hidden="false" customHeight="false" outlineLevel="0" collapsed="false">
      <c r="A687" s="181" t="str">
        <f aca="false">IF(ISBLANK(B687),"",B687&amp;"|"&amp;C687)</f>
        <v/>
      </c>
      <c r="B687" s="181"/>
      <c r="C687" s="181"/>
      <c r="D687" s="181"/>
      <c r="E687" s="186"/>
      <c r="F687" s="181"/>
      <c r="G687" s="181"/>
      <c r="H687" s="181"/>
      <c r="I687" s="181"/>
      <c r="J687" s="181"/>
      <c r="K687" s="181"/>
      <c r="L687" s="181"/>
      <c r="M687" s="181"/>
      <c r="N687" s="181"/>
      <c r="O687" s="181"/>
      <c r="P687" s="181"/>
      <c r="Q687" s="181"/>
      <c r="R687" s="181"/>
      <c r="S687" s="181"/>
      <c r="T687" s="181"/>
      <c r="U687" s="181"/>
      <c r="V687" s="181"/>
      <c r="W687" s="181"/>
      <c r="X687" s="181"/>
      <c r="Y687" s="181"/>
      <c r="Z687" s="181"/>
      <c r="AA687" s="181"/>
    </row>
    <row r="688" customFormat="false" ht="15.75" hidden="false" customHeight="false" outlineLevel="0" collapsed="false">
      <c r="A688" s="181" t="str">
        <f aca="false">IF(ISBLANK(B688),"",B688&amp;"|"&amp;C688)</f>
        <v/>
      </c>
      <c r="B688" s="181"/>
      <c r="C688" s="181"/>
      <c r="D688" s="181"/>
      <c r="E688" s="186"/>
      <c r="F688" s="181"/>
      <c r="G688" s="181"/>
      <c r="H688" s="181"/>
      <c r="I688" s="181"/>
      <c r="J688" s="181"/>
      <c r="K688" s="181"/>
      <c r="L688" s="181"/>
      <c r="M688" s="181"/>
      <c r="N688" s="181"/>
      <c r="O688" s="181"/>
      <c r="P688" s="181"/>
      <c r="Q688" s="181"/>
      <c r="R688" s="181"/>
      <c r="S688" s="181"/>
      <c r="T688" s="181"/>
      <c r="U688" s="181"/>
      <c r="V688" s="181"/>
      <c r="W688" s="181"/>
      <c r="X688" s="181"/>
      <c r="Y688" s="181"/>
      <c r="Z688" s="181"/>
      <c r="AA688" s="181"/>
    </row>
    <row r="689" customFormat="false" ht="15.75" hidden="false" customHeight="false" outlineLevel="0" collapsed="false">
      <c r="A689" s="181" t="str">
        <f aca="false">IF(ISBLANK(B689),"",B689&amp;"|"&amp;C689)</f>
        <v/>
      </c>
      <c r="B689" s="181"/>
      <c r="C689" s="181"/>
      <c r="D689" s="181"/>
      <c r="E689" s="186"/>
      <c r="F689" s="181"/>
      <c r="G689" s="181"/>
      <c r="H689" s="181"/>
      <c r="I689" s="181"/>
      <c r="J689" s="181"/>
      <c r="K689" s="181"/>
      <c r="L689" s="181"/>
      <c r="M689" s="181"/>
      <c r="N689" s="181"/>
      <c r="O689" s="181"/>
      <c r="P689" s="181"/>
      <c r="Q689" s="181"/>
      <c r="R689" s="181"/>
      <c r="S689" s="181"/>
      <c r="T689" s="181"/>
      <c r="U689" s="181"/>
      <c r="V689" s="181"/>
      <c r="W689" s="181"/>
      <c r="X689" s="181"/>
      <c r="Y689" s="181"/>
      <c r="Z689" s="181"/>
      <c r="AA689" s="181"/>
    </row>
    <row r="690" customFormat="false" ht="15.75" hidden="false" customHeight="false" outlineLevel="0" collapsed="false">
      <c r="A690" s="181" t="str">
        <f aca="false">IF(ISBLANK(B690),"",B690&amp;"|"&amp;C690)</f>
        <v/>
      </c>
      <c r="B690" s="181"/>
      <c r="C690" s="181"/>
      <c r="D690" s="181"/>
      <c r="E690" s="186"/>
      <c r="F690" s="181"/>
      <c r="G690" s="181"/>
      <c r="H690" s="181"/>
      <c r="I690" s="181"/>
      <c r="J690" s="181"/>
      <c r="K690" s="181"/>
      <c r="L690" s="181"/>
      <c r="M690" s="181"/>
      <c r="N690" s="181"/>
      <c r="O690" s="181"/>
      <c r="P690" s="181"/>
      <c r="Q690" s="181"/>
      <c r="R690" s="181"/>
      <c r="S690" s="181"/>
      <c r="T690" s="181"/>
      <c r="U690" s="181"/>
      <c r="V690" s="181"/>
      <c r="W690" s="181"/>
      <c r="X690" s="181"/>
      <c r="Y690" s="181"/>
      <c r="Z690" s="181"/>
      <c r="AA690" s="181"/>
    </row>
    <row r="691" customFormat="false" ht="15.75" hidden="false" customHeight="false" outlineLevel="0" collapsed="false">
      <c r="A691" s="181" t="str">
        <f aca="false">IF(ISBLANK(B691),"",B691&amp;"|"&amp;C691)</f>
        <v/>
      </c>
      <c r="B691" s="181"/>
      <c r="C691" s="181"/>
      <c r="D691" s="181"/>
      <c r="E691" s="186"/>
      <c r="F691" s="181"/>
      <c r="G691" s="181"/>
      <c r="H691" s="181"/>
      <c r="I691" s="181"/>
      <c r="J691" s="181"/>
      <c r="K691" s="181"/>
      <c r="L691" s="181"/>
      <c r="M691" s="181"/>
      <c r="N691" s="181"/>
      <c r="O691" s="181"/>
      <c r="P691" s="181"/>
      <c r="Q691" s="181"/>
      <c r="R691" s="181"/>
      <c r="S691" s="181"/>
      <c r="T691" s="181"/>
      <c r="U691" s="181"/>
      <c r="V691" s="181"/>
      <c r="W691" s="181"/>
      <c r="X691" s="181"/>
      <c r="Y691" s="181"/>
      <c r="Z691" s="181"/>
      <c r="AA691" s="181"/>
    </row>
    <row r="692" customFormat="false" ht="15.75" hidden="false" customHeight="false" outlineLevel="0" collapsed="false">
      <c r="A692" s="181" t="str">
        <f aca="false">IF(ISBLANK(B692),"",B692&amp;"|"&amp;C692)</f>
        <v/>
      </c>
      <c r="B692" s="181"/>
      <c r="C692" s="181"/>
      <c r="D692" s="181"/>
      <c r="E692" s="186"/>
      <c r="F692" s="181"/>
      <c r="G692" s="181"/>
      <c r="H692" s="181"/>
      <c r="I692" s="181"/>
      <c r="J692" s="181"/>
      <c r="K692" s="181"/>
      <c r="L692" s="181"/>
      <c r="M692" s="181"/>
      <c r="N692" s="181"/>
      <c r="O692" s="181"/>
      <c r="P692" s="181"/>
      <c r="Q692" s="181"/>
      <c r="R692" s="181"/>
      <c r="S692" s="181"/>
      <c r="T692" s="181"/>
      <c r="U692" s="181"/>
      <c r="V692" s="181"/>
      <c r="W692" s="181"/>
      <c r="X692" s="181"/>
      <c r="Y692" s="181"/>
      <c r="Z692" s="181"/>
      <c r="AA692" s="181"/>
    </row>
    <row r="693" customFormat="false" ht="15.75" hidden="false" customHeight="false" outlineLevel="0" collapsed="false">
      <c r="A693" s="181" t="str">
        <f aca="false">IF(ISBLANK(B693),"",B693&amp;"|"&amp;C693)</f>
        <v/>
      </c>
      <c r="B693" s="181"/>
      <c r="C693" s="181"/>
      <c r="D693" s="181"/>
      <c r="E693" s="186"/>
      <c r="F693" s="181"/>
      <c r="G693" s="181"/>
      <c r="H693" s="181"/>
      <c r="I693" s="181"/>
      <c r="J693" s="181"/>
      <c r="K693" s="181"/>
      <c r="L693" s="181"/>
      <c r="M693" s="181"/>
      <c r="N693" s="181"/>
      <c r="O693" s="181"/>
      <c r="P693" s="181"/>
      <c r="Q693" s="181"/>
      <c r="R693" s="181"/>
      <c r="S693" s="181"/>
      <c r="T693" s="181"/>
      <c r="U693" s="181"/>
      <c r="V693" s="181"/>
      <c r="W693" s="181"/>
      <c r="X693" s="181"/>
      <c r="Y693" s="181"/>
      <c r="Z693" s="181"/>
      <c r="AA693" s="181"/>
    </row>
    <row r="694" customFormat="false" ht="15.75" hidden="false" customHeight="false" outlineLevel="0" collapsed="false">
      <c r="A694" s="181" t="str">
        <f aca="false">IF(ISBLANK(B694),"",B694&amp;"|"&amp;C694)</f>
        <v/>
      </c>
      <c r="B694" s="181"/>
      <c r="C694" s="181"/>
      <c r="D694" s="181"/>
      <c r="E694" s="186"/>
      <c r="F694" s="181"/>
      <c r="G694" s="181"/>
      <c r="H694" s="181"/>
      <c r="I694" s="181"/>
      <c r="J694" s="181"/>
      <c r="K694" s="181"/>
      <c r="L694" s="181"/>
      <c r="M694" s="181"/>
      <c r="N694" s="181"/>
      <c r="O694" s="181"/>
      <c r="P694" s="181"/>
      <c r="Q694" s="181"/>
      <c r="R694" s="181"/>
      <c r="S694" s="181"/>
      <c r="T694" s="181"/>
      <c r="U694" s="181"/>
      <c r="V694" s="181"/>
      <c r="W694" s="181"/>
      <c r="X694" s="181"/>
      <c r="Y694" s="181"/>
      <c r="Z694" s="181"/>
      <c r="AA694" s="181"/>
    </row>
    <row r="695" customFormat="false" ht="15.75" hidden="false" customHeight="false" outlineLevel="0" collapsed="false">
      <c r="A695" s="181" t="str">
        <f aca="false">IF(ISBLANK(B695),"",B695&amp;"|"&amp;C695)</f>
        <v/>
      </c>
      <c r="B695" s="181"/>
      <c r="C695" s="181"/>
      <c r="D695" s="181"/>
      <c r="E695" s="186"/>
      <c r="F695" s="181"/>
      <c r="G695" s="181"/>
      <c r="H695" s="181"/>
      <c r="I695" s="181"/>
      <c r="J695" s="181"/>
      <c r="K695" s="181"/>
      <c r="L695" s="181"/>
      <c r="M695" s="181"/>
      <c r="N695" s="181"/>
      <c r="O695" s="181"/>
      <c r="P695" s="181"/>
      <c r="Q695" s="181"/>
      <c r="R695" s="181"/>
      <c r="S695" s="181"/>
      <c r="T695" s="181"/>
      <c r="U695" s="181"/>
      <c r="V695" s="181"/>
      <c r="W695" s="181"/>
      <c r="X695" s="181"/>
      <c r="Y695" s="181"/>
      <c r="Z695" s="181"/>
      <c r="AA695" s="181"/>
    </row>
    <row r="696" customFormat="false" ht="15.75" hidden="false" customHeight="false" outlineLevel="0" collapsed="false">
      <c r="A696" s="181" t="str">
        <f aca="false">IF(ISBLANK(B696),"",B696&amp;"|"&amp;C696)</f>
        <v/>
      </c>
      <c r="B696" s="181"/>
      <c r="C696" s="181"/>
      <c r="D696" s="181"/>
      <c r="E696" s="186"/>
      <c r="F696" s="181"/>
      <c r="G696" s="181"/>
      <c r="H696" s="181"/>
      <c r="I696" s="181"/>
      <c r="J696" s="181"/>
      <c r="K696" s="181"/>
      <c r="L696" s="181"/>
      <c r="M696" s="181"/>
      <c r="N696" s="181"/>
      <c r="O696" s="181"/>
      <c r="P696" s="181"/>
      <c r="Q696" s="181"/>
      <c r="R696" s="181"/>
      <c r="S696" s="181"/>
      <c r="T696" s="181"/>
      <c r="U696" s="181"/>
      <c r="V696" s="181"/>
      <c r="W696" s="181"/>
      <c r="X696" s="181"/>
      <c r="Y696" s="181"/>
      <c r="Z696" s="181"/>
      <c r="AA696" s="181"/>
    </row>
    <row r="697" customFormat="false" ht="15.75" hidden="false" customHeight="false" outlineLevel="0" collapsed="false">
      <c r="A697" s="181" t="str">
        <f aca="false">IF(ISBLANK(B697),"",B697&amp;"|"&amp;C697)</f>
        <v/>
      </c>
      <c r="B697" s="181"/>
      <c r="C697" s="181"/>
      <c r="D697" s="181"/>
      <c r="E697" s="186"/>
      <c r="F697" s="181"/>
      <c r="G697" s="181"/>
      <c r="H697" s="181"/>
      <c r="I697" s="181"/>
      <c r="J697" s="181"/>
      <c r="K697" s="181"/>
      <c r="L697" s="181"/>
      <c r="M697" s="181"/>
      <c r="N697" s="181"/>
      <c r="O697" s="181"/>
      <c r="P697" s="181"/>
      <c r="Q697" s="181"/>
      <c r="R697" s="181"/>
      <c r="S697" s="181"/>
      <c r="T697" s="181"/>
      <c r="U697" s="181"/>
      <c r="V697" s="181"/>
      <c r="W697" s="181"/>
      <c r="X697" s="181"/>
      <c r="Y697" s="181"/>
      <c r="Z697" s="181"/>
      <c r="AA697" s="181"/>
    </row>
    <row r="698" customFormat="false" ht="15.75" hidden="false" customHeight="false" outlineLevel="0" collapsed="false">
      <c r="A698" s="181" t="str">
        <f aca="false">IF(ISBLANK(B698),"",B698&amp;"|"&amp;C698)</f>
        <v/>
      </c>
      <c r="B698" s="181"/>
      <c r="C698" s="181"/>
      <c r="D698" s="181"/>
      <c r="E698" s="186"/>
      <c r="F698" s="181"/>
      <c r="G698" s="181"/>
      <c r="H698" s="181"/>
      <c r="I698" s="181"/>
      <c r="J698" s="181"/>
      <c r="K698" s="181"/>
      <c r="L698" s="181"/>
      <c r="M698" s="181"/>
      <c r="N698" s="181"/>
      <c r="O698" s="181"/>
      <c r="P698" s="181"/>
      <c r="Q698" s="181"/>
      <c r="R698" s="181"/>
      <c r="S698" s="181"/>
      <c r="T698" s="181"/>
      <c r="U698" s="181"/>
      <c r="V698" s="181"/>
      <c r="W698" s="181"/>
      <c r="X698" s="181"/>
      <c r="Y698" s="181"/>
      <c r="Z698" s="181"/>
      <c r="AA698" s="181"/>
    </row>
    <row r="699" customFormat="false" ht="15.75" hidden="false" customHeight="false" outlineLevel="0" collapsed="false">
      <c r="A699" s="181" t="str">
        <f aca="false">IF(ISBLANK(B699),"",B699&amp;"|"&amp;C699)</f>
        <v/>
      </c>
      <c r="B699" s="181"/>
      <c r="C699" s="181"/>
      <c r="D699" s="181"/>
      <c r="E699" s="186"/>
      <c r="F699" s="181"/>
      <c r="G699" s="181"/>
      <c r="H699" s="181"/>
      <c r="I699" s="181"/>
      <c r="J699" s="181"/>
      <c r="K699" s="181"/>
      <c r="L699" s="181"/>
      <c r="M699" s="181"/>
      <c r="N699" s="181"/>
      <c r="O699" s="181"/>
      <c r="P699" s="181"/>
      <c r="Q699" s="181"/>
      <c r="R699" s="181"/>
      <c r="S699" s="181"/>
      <c r="T699" s="181"/>
      <c r="U699" s="181"/>
      <c r="V699" s="181"/>
      <c r="W699" s="181"/>
      <c r="X699" s="181"/>
      <c r="Y699" s="181"/>
      <c r="Z699" s="181"/>
      <c r="AA699" s="181"/>
    </row>
    <row r="700" customFormat="false" ht="15.75" hidden="false" customHeight="false" outlineLevel="0" collapsed="false">
      <c r="A700" s="181" t="str">
        <f aca="false">IF(ISBLANK(B700),"",B700&amp;"|"&amp;C700)</f>
        <v/>
      </c>
      <c r="B700" s="181"/>
      <c r="C700" s="181"/>
      <c r="D700" s="181"/>
      <c r="E700" s="186"/>
      <c r="F700" s="181"/>
      <c r="G700" s="181"/>
      <c r="H700" s="181"/>
      <c r="I700" s="181"/>
      <c r="J700" s="181"/>
      <c r="K700" s="181"/>
      <c r="L700" s="181"/>
      <c r="M700" s="181"/>
      <c r="N700" s="181"/>
      <c r="O700" s="181"/>
      <c r="P700" s="181"/>
      <c r="Q700" s="181"/>
      <c r="R700" s="181"/>
      <c r="S700" s="181"/>
      <c r="T700" s="181"/>
      <c r="U700" s="181"/>
      <c r="V700" s="181"/>
      <c r="W700" s="181"/>
      <c r="X700" s="181"/>
      <c r="Y700" s="181"/>
      <c r="Z700" s="181"/>
      <c r="AA700" s="181"/>
    </row>
    <row r="701" customFormat="false" ht="15.75" hidden="false" customHeight="false" outlineLevel="0" collapsed="false">
      <c r="A701" s="181" t="str">
        <f aca="false">IF(ISBLANK(B701),"",B701&amp;"|"&amp;C701)</f>
        <v/>
      </c>
      <c r="B701" s="181"/>
      <c r="C701" s="181"/>
      <c r="D701" s="181"/>
      <c r="E701" s="186"/>
      <c r="F701" s="181"/>
      <c r="G701" s="181"/>
      <c r="H701" s="181"/>
      <c r="I701" s="181"/>
      <c r="J701" s="181"/>
      <c r="K701" s="181"/>
      <c r="L701" s="181"/>
      <c r="M701" s="181"/>
      <c r="N701" s="181"/>
      <c r="O701" s="181"/>
      <c r="P701" s="181"/>
      <c r="Q701" s="181"/>
      <c r="R701" s="181"/>
      <c r="S701" s="181"/>
      <c r="T701" s="181"/>
      <c r="U701" s="181"/>
      <c r="V701" s="181"/>
      <c r="W701" s="181"/>
      <c r="X701" s="181"/>
      <c r="Y701" s="181"/>
      <c r="Z701" s="181"/>
      <c r="AA701" s="181"/>
    </row>
    <row r="702" customFormat="false" ht="15.75" hidden="false" customHeight="false" outlineLevel="0" collapsed="false">
      <c r="A702" s="181" t="str">
        <f aca="false">IF(ISBLANK(B702),"",B702&amp;"|"&amp;C702)</f>
        <v/>
      </c>
      <c r="B702" s="181"/>
      <c r="C702" s="181"/>
      <c r="D702" s="181"/>
      <c r="E702" s="186"/>
      <c r="F702" s="181"/>
      <c r="G702" s="181"/>
      <c r="H702" s="181"/>
      <c r="I702" s="181"/>
      <c r="J702" s="181"/>
      <c r="K702" s="181"/>
      <c r="L702" s="181"/>
      <c r="M702" s="181"/>
      <c r="N702" s="181"/>
      <c r="O702" s="181"/>
      <c r="P702" s="181"/>
      <c r="Q702" s="181"/>
      <c r="R702" s="181"/>
      <c r="S702" s="181"/>
      <c r="T702" s="181"/>
      <c r="U702" s="181"/>
      <c r="V702" s="181"/>
      <c r="W702" s="181"/>
      <c r="X702" s="181"/>
      <c r="Y702" s="181"/>
      <c r="Z702" s="181"/>
      <c r="AA702" s="181"/>
    </row>
    <row r="703" customFormat="false" ht="15.75" hidden="false" customHeight="false" outlineLevel="0" collapsed="false">
      <c r="A703" s="181" t="str">
        <f aca="false">IF(ISBLANK(B703),"",B703&amp;"|"&amp;C703)</f>
        <v/>
      </c>
      <c r="B703" s="181"/>
      <c r="C703" s="181"/>
      <c r="D703" s="181"/>
      <c r="E703" s="186"/>
      <c r="F703" s="181"/>
      <c r="G703" s="181"/>
      <c r="H703" s="181"/>
      <c r="I703" s="181"/>
      <c r="J703" s="181"/>
      <c r="K703" s="181"/>
      <c r="L703" s="181"/>
      <c r="M703" s="181"/>
      <c r="N703" s="181"/>
      <c r="O703" s="181"/>
      <c r="P703" s="181"/>
      <c r="Q703" s="181"/>
      <c r="R703" s="181"/>
      <c r="S703" s="181"/>
      <c r="T703" s="181"/>
      <c r="U703" s="181"/>
      <c r="V703" s="181"/>
      <c r="W703" s="181"/>
      <c r="X703" s="181"/>
      <c r="Y703" s="181"/>
      <c r="Z703" s="181"/>
      <c r="AA703" s="181"/>
    </row>
    <row r="704" customFormat="false" ht="15.75" hidden="false" customHeight="false" outlineLevel="0" collapsed="false">
      <c r="A704" s="181" t="str">
        <f aca="false">IF(ISBLANK(B704),"",B704&amp;"|"&amp;C704)</f>
        <v/>
      </c>
      <c r="B704" s="181"/>
      <c r="C704" s="181"/>
      <c r="D704" s="181"/>
      <c r="E704" s="186"/>
      <c r="F704" s="181"/>
      <c r="G704" s="181"/>
      <c r="H704" s="181"/>
      <c r="I704" s="181"/>
      <c r="J704" s="181"/>
      <c r="K704" s="181"/>
      <c r="L704" s="181"/>
      <c r="M704" s="181"/>
      <c r="N704" s="181"/>
      <c r="O704" s="181"/>
      <c r="P704" s="181"/>
      <c r="Q704" s="181"/>
      <c r="R704" s="181"/>
      <c r="S704" s="181"/>
      <c r="T704" s="181"/>
      <c r="U704" s="181"/>
      <c r="V704" s="181"/>
      <c r="W704" s="181"/>
      <c r="X704" s="181"/>
      <c r="Y704" s="181"/>
      <c r="Z704" s="181"/>
      <c r="AA704" s="181"/>
    </row>
    <row r="705" customFormat="false" ht="15.75" hidden="false" customHeight="false" outlineLevel="0" collapsed="false">
      <c r="A705" s="181" t="str">
        <f aca="false">IF(ISBLANK(B705),"",B705&amp;"|"&amp;C705)</f>
        <v/>
      </c>
      <c r="B705" s="181"/>
      <c r="C705" s="181"/>
      <c r="D705" s="181"/>
      <c r="E705" s="186"/>
      <c r="F705" s="181"/>
      <c r="G705" s="181"/>
      <c r="H705" s="181"/>
      <c r="I705" s="181"/>
      <c r="J705" s="181"/>
      <c r="K705" s="181"/>
      <c r="L705" s="181"/>
      <c r="M705" s="181"/>
      <c r="N705" s="181"/>
      <c r="O705" s="181"/>
      <c r="P705" s="181"/>
      <c r="Q705" s="181"/>
      <c r="R705" s="181"/>
      <c r="S705" s="181"/>
      <c r="T705" s="181"/>
      <c r="U705" s="181"/>
      <c r="V705" s="181"/>
      <c r="W705" s="181"/>
      <c r="X705" s="181"/>
      <c r="Y705" s="181"/>
      <c r="Z705" s="181"/>
      <c r="AA705" s="181"/>
    </row>
    <row r="706" customFormat="false" ht="15.75" hidden="false" customHeight="false" outlineLevel="0" collapsed="false">
      <c r="A706" s="181" t="str">
        <f aca="false">IF(ISBLANK(B706),"",B706&amp;"|"&amp;C706)</f>
        <v/>
      </c>
      <c r="B706" s="181"/>
      <c r="C706" s="181"/>
      <c r="D706" s="181"/>
      <c r="E706" s="186"/>
      <c r="F706" s="181"/>
      <c r="G706" s="181"/>
      <c r="H706" s="181"/>
      <c r="I706" s="181"/>
      <c r="J706" s="181"/>
      <c r="K706" s="181"/>
      <c r="L706" s="181"/>
      <c r="M706" s="181"/>
      <c r="N706" s="181"/>
      <c r="O706" s="181"/>
      <c r="P706" s="181"/>
      <c r="Q706" s="181"/>
      <c r="R706" s="181"/>
      <c r="S706" s="181"/>
      <c r="T706" s="181"/>
      <c r="U706" s="181"/>
      <c r="V706" s="181"/>
      <c r="W706" s="181"/>
      <c r="X706" s="181"/>
      <c r="Y706" s="181"/>
      <c r="Z706" s="181"/>
      <c r="AA706" s="181"/>
    </row>
    <row r="707" customFormat="false" ht="15.75" hidden="false" customHeight="false" outlineLevel="0" collapsed="false">
      <c r="A707" s="181" t="str">
        <f aca="false">IF(ISBLANK(B707),"",B707&amp;"|"&amp;C707)</f>
        <v/>
      </c>
      <c r="B707" s="181"/>
      <c r="C707" s="181"/>
      <c r="D707" s="181"/>
      <c r="E707" s="186"/>
      <c r="F707" s="181"/>
      <c r="G707" s="181"/>
      <c r="H707" s="181"/>
      <c r="I707" s="181"/>
      <c r="J707" s="181"/>
      <c r="K707" s="181"/>
      <c r="L707" s="181"/>
      <c r="M707" s="181"/>
      <c r="N707" s="181"/>
      <c r="O707" s="181"/>
      <c r="P707" s="181"/>
      <c r="Q707" s="181"/>
      <c r="R707" s="181"/>
      <c r="S707" s="181"/>
      <c r="T707" s="181"/>
      <c r="U707" s="181"/>
      <c r="V707" s="181"/>
      <c r="W707" s="181"/>
      <c r="X707" s="181"/>
      <c r="Y707" s="181"/>
      <c r="Z707" s="181"/>
      <c r="AA707" s="181"/>
    </row>
    <row r="708" customFormat="false" ht="15.75" hidden="false" customHeight="false" outlineLevel="0" collapsed="false">
      <c r="A708" s="181" t="str">
        <f aca="false">IF(ISBLANK(B708),"",B708&amp;"|"&amp;C708)</f>
        <v/>
      </c>
      <c r="B708" s="181"/>
      <c r="C708" s="181"/>
      <c r="D708" s="181"/>
      <c r="E708" s="186"/>
      <c r="F708" s="181"/>
      <c r="G708" s="181"/>
      <c r="H708" s="181"/>
      <c r="I708" s="181"/>
      <c r="J708" s="181"/>
      <c r="K708" s="181"/>
      <c r="L708" s="181"/>
      <c r="M708" s="181"/>
      <c r="N708" s="181"/>
      <c r="O708" s="181"/>
      <c r="P708" s="181"/>
      <c r="Q708" s="181"/>
      <c r="R708" s="181"/>
      <c r="S708" s="181"/>
      <c r="T708" s="181"/>
      <c r="U708" s="181"/>
      <c r="V708" s="181"/>
      <c r="W708" s="181"/>
      <c r="X708" s="181"/>
      <c r="Y708" s="181"/>
      <c r="Z708" s="181"/>
      <c r="AA708" s="181"/>
    </row>
    <row r="709" customFormat="false" ht="15.75" hidden="false" customHeight="false" outlineLevel="0" collapsed="false">
      <c r="A709" s="181" t="str">
        <f aca="false">IF(ISBLANK(B709),"",B709&amp;"|"&amp;C709)</f>
        <v/>
      </c>
      <c r="B709" s="181"/>
      <c r="C709" s="181"/>
      <c r="D709" s="181"/>
      <c r="E709" s="186"/>
      <c r="F709" s="181"/>
      <c r="G709" s="181"/>
      <c r="H709" s="181"/>
      <c r="I709" s="181"/>
      <c r="J709" s="181"/>
      <c r="K709" s="181"/>
      <c r="L709" s="181"/>
      <c r="M709" s="181"/>
      <c r="N709" s="181"/>
      <c r="O709" s="181"/>
      <c r="P709" s="181"/>
      <c r="Q709" s="181"/>
      <c r="R709" s="181"/>
      <c r="S709" s="181"/>
      <c r="T709" s="181"/>
      <c r="U709" s="181"/>
      <c r="V709" s="181"/>
      <c r="W709" s="181"/>
      <c r="X709" s="181"/>
      <c r="Y709" s="181"/>
      <c r="Z709" s="181"/>
      <c r="AA709" s="181"/>
    </row>
    <row r="710" customFormat="false" ht="15.75" hidden="false" customHeight="false" outlineLevel="0" collapsed="false">
      <c r="A710" s="181" t="str">
        <f aca="false">IF(ISBLANK(B710),"",B710&amp;"|"&amp;C710)</f>
        <v/>
      </c>
      <c r="B710" s="181"/>
      <c r="C710" s="181"/>
      <c r="D710" s="181"/>
      <c r="E710" s="186"/>
      <c r="F710" s="181"/>
      <c r="G710" s="181"/>
      <c r="H710" s="181"/>
      <c r="I710" s="181"/>
      <c r="J710" s="181"/>
      <c r="K710" s="181"/>
      <c r="L710" s="181"/>
      <c r="M710" s="181"/>
      <c r="N710" s="181"/>
      <c r="O710" s="181"/>
      <c r="P710" s="181"/>
      <c r="Q710" s="181"/>
      <c r="R710" s="181"/>
      <c r="S710" s="181"/>
      <c r="T710" s="181"/>
      <c r="U710" s="181"/>
      <c r="V710" s="181"/>
      <c r="W710" s="181"/>
      <c r="X710" s="181"/>
      <c r="Y710" s="181"/>
      <c r="Z710" s="181"/>
      <c r="AA710" s="181"/>
    </row>
    <row r="711" customFormat="false" ht="15.75" hidden="false" customHeight="false" outlineLevel="0" collapsed="false">
      <c r="A711" s="181" t="str">
        <f aca="false">IF(ISBLANK(B711),"",B711&amp;"|"&amp;C711)</f>
        <v/>
      </c>
      <c r="B711" s="181"/>
      <c r="C711" s="181"/>
      <c r="D711" s="181"/>
      <c r="E711" s="186"/>
      <c r="F711" s="181"/>
      <c r="G711" s="181"/>
      <c r="H711" s="181"/>
      <c r="I711" s="181"/>
      <c r="J711" s="181"/>
      <c r="K711" s="181"/>
      <c r="L711" s="181"/>
      <c r="M711" s="181"/>
      <c r="N711" s="181"/>
      <c r="O711" s="181"/>
      <c r="P711" s="181"/>
      <c r="Q711" s="181"/>
      <c r="R711" s="181"/>
      <c r="S711" s="181"/>
      <c r="T711" s="181"/>
      <c r="U711" s="181"/>
      <c r="V711" s="181"/>
      <c r="W711" s="181"/>
      <c r="X711" s="181"/>
      <c r="Y711" s="181"/>
      <c r="Z711" s="181"/>
      <c r="AA711" s="181"/>
    </row>
    <row r="712" customFormat="false" ht="15.75" hidden="false" customHeight="false" outlineLevel="0" collapsed="false">
      <c r="A712" s="181" t="str">
        <f aca="false">IF(ISBLANK(B712),"",B712&amp;"|"&amp;C712)</f>
        <v/>
      </c>
      <c r="B712" s="181"/>
      <c r="C712" s="181"/>
      <c r="D712" s="181"/>
      <c r="E712" s="186"/>
      <c r="F712" s="181"/>
      <c r="G712" s="181"/>
      <c r="H712" s="181"/>
      <c r="I712" s="181"/>
      <c r="J712" s="181"/>
      <c r="K712" s="181"/>
      <c r="L712" s="181"/>
      <c r="M712" s="181"/>
      <c r="N712" s="181"/>
      <c r="O712" s="181"/>
      <c r="P712" s="181"/>
      <c r="Q712" s="181"/>
      <c r="R712" s="181"/>
      <c r="S712" s="181"/>
      <c r="T712" s="181"/>
      <c r="U712" s="181"/>
      <c r="V712" s="181"/>
      <c r="W712" s="181"/>
      <c r="X712" s="181"/>
      <c r="Y712" s="181"/>
      <c r="Z712" s="181"/>
      <c r="AA712" s="181"/>
    </row>
    <row r="713" customFormat="false" ht="15.75" hidden="false" customHeight="false" outlineLevel="0" collapsed="false">
      <c r="A713" s="181" t="str">
        <f aca="false">IF(ISBLANK(B713),"",B713&amp;"|"&amp;C713)</f>
        <v/>
      </c>
      <c r="B713" s="181"/>
      <c r="C713" s="181"/>
      <c r="D713" s="181"/>
      <c r="E713" s="186"/>
      <c r="F713" s="181"/>
      <c r="G713" s="181"/>
      <c r="H713" s="181"/>
      <c r="I713" s="181"/>
      <c r="J713" s="181"/>
      <c r="K713" s="181"/>
      <c r="L713" s="181"/>
      <c r="M713" s="181"/>
      <c r="N713" s="181"/>
      <c r="O713" s="181"/>
      <c r="P713" s="181"/>
      <c r="Q713" s="181"/>
      <c r="R713" s="181"/>
      <c r="S713" s="181"/>
      <c r="T713" s="181"/>
      <c r="U713" s="181"/>
      <c r="V713" s="181"/>
      <c r="W713" s="181"/>
      <c r="X713" s="181"/>
      <c r="Y713" s="181"/>
      <c r="Z713" s="181"/>
      <c r="AA713" s="181"/>
    </row>
    <row r="714" customFormat="false" ht="15.75" hidden="false" customHeight="false" outlineLevel="0" collapsed="false">
      <c r="A714" s="181" t="str">
        <f aca="false">IF(ISBLANK(B714),"",B714&amp;"|"&amp;C714)</f>
        <v/>
      </c>
      <c r="B714" s="181"/>
      <c r="C714" s="181"/>
      <c r="D714" s="181"/>
      <c r="E714" s="186"/>
      <c r="F714" s="181"/>
      <c r="G714" s="181"/>
      <c r="H714" s="181"/>
      <c r="I714" s="181"/>
      <c r="J714" s="181"/>
      <c r="K714" s="181"/>
      <c r="L714" s="181"/>
      <c r="M714" s="181"/>
      <c r="N714" s="181"/>
      <c r="O714" s="181"/>
      <c r="P714" s="181"/>
      <c r="Q714" s="181"/>
      <c r="R714" s="181"/>
      <c r="S714" s="181"/>
      <c r="T714" s="181"/>
      <c r="U714" s="181"/>
      <c r="V714" s="181"/>
      <c r="W714" s="181"/>
      <c r="X714" s="181"/>
      <c r="Y714" s="181"/>
      <c r="Z714" s="181"/>
      <c r="AA714" s="181"/>
    </row>
    <row r="715" customFormat="false" ht="15.75" hidden="false" customHeight="false" outlineLevel="0" collapsed="false">
      <c r="A715" s="181" t="str">
        <f aca="false">IF(ISBLANK(B715),"",B715&amp;"|"&amp;C715)</f>
        <v/>
      </c>
      <c r="B715" s="181"/>
      <c r="C715" s="181"/>
      <c r="D715" s="181"/>
      <c r="E715" s="186"/>
      <c r="F715" s="181"/>
      <c r="G715" s="181"/>
      <c r="H715" s="181"/>
      <c r="I715" s="181"/>
      <c r="J715" s="181"/>
      <c r="K715" s="181"/>
      <c r="L715" s="181"/>
      <c r="M715" s="181"/>
      <c r="N715" s="181"/>
      <c r="O715" s="181"/>
      <c r="P715" s="181"/>
      <c r="Q715" s="181"/>
      <c r="R715" s="181"/>
      <c r="S715" s="181"/>
      <c r="T715" s="181"/>
      <c r="U715" s="181"/>
      <c r="V715" s="181"/>
      <c r="W715" s="181"/>
      <c r="X715" s="181"/>
      <c r="Y715" s="181"/>
      <c r="Z715" s="181"/>
      <c r="AA715" s="181"/>
    </row>
    <row r="716" customFormat="false" ht="15.75" hidden="false" customHeight="false" outlineLevel="0" collapsed="false">
      <c r="A716" s="181" t="str">
        <f aca="false">IF(ISBLANK(B716),"",B716&amp;"|"&amp;C716)</f>
        <v/>
      </c>
      <c r="B716" s="181"/>
      <c r="C716" s="181"/>
      <c r="D716" s="181"/>
      <c r="E716" s="186"/>
      <c r="F716" s="181"/>
      <c r="G716" s="181"/>
      <c r="H716" s="181"/>
      <c r="I716" s="181"/>
      <c r="J716" s="181"/>
      <c r="K716" s="181"/>
      <c r="L716" s="181"/>
      <c r="M716" s="181"/>
      <c r="N716" s="181"/>
      <c r="O716" s="181"/>
      <c r="P716" s="181"/>
      <c r="Q716" s="181"/>
      <c r="R716" s="181"/>
      <c r="S716" s="181"/>
      <c r="T716" s="181"/>
      <c r="U716" s="181"/>
      <c r="V716" s="181"/>
      <c r="W716" s="181"/>
      <c r="X716" s="181"/>
      <c r="Y716" s="181"/>
      <c r="Z716" s="181"/>
      <c r="AA716" s="181"/>
    </row>
    <row r="717" customFormat="false" ht="15.75" hidden="false" customHeight="false" outlineLevel="0" collapsed="false">
      <c r="A717" s="181" t="str">
        <f aca="false">IF(ISBLANK(B717),"",B717&amp;"|"&amp;C717)</f>
        <v/>
      </c>
      <c r="B717" s="181"/>
      <c r="C717" s="181"/>
      <c r="D717" s="181"/>
      <c r="E717" s="186"/>
      <c r="F717" s="181"/>
      <c r="G717" s="181"/>
      <c r="H717" s="181"/>
      <c r="I717" s="181"/>
      <c r="J717" s="181"/>
      <c r="K717" s="181"/>
      <c r="L717" s="181"/>
      <c r="M717" s="181"/>
      <c r="N717" s="181"/>
      <c r="O717" s="181"/>
      <c r="P717" s="181"/>
      <c r="Q717" s="181"/>
      <c r="R717" s="181"/>
      <c r="S717" s="181"/>
      <c r="T717" s="181"/>
      <c r="U717" s="181"/>
      <c r="V717" s="181"/>
      <c r="W717" s="181"/>
      <c r="X717" s="181"/>
      <c r="Y717" s="181"/>
      <c r="Z717" s="181"/>
      <c r="AA717" s="181"/>
    </row>
    <row r="718" customFormat="false" ht="15.75" hidden="false" customHeight="false" outlineLevel="0" collapsed="false">
      <c r="A718" s="181" t="str">
        <f aca="false">IF(ISBLANK(B718),"",B718&amp;"|"&amp;C718)</f>
        <v/>
      </c>
      <c r="B718" s="181"/>
      <c r="C718" s="181"/>
      <c r="D718" s="181"/>
      <c r="E718" s="186"/>
      <c r="F718" s="181"/>
      <c r="G718" s="181"/>
      <c r="H718" s="181"/>
      <c r="I718" s="181"/>
      <c r="J718" s="181"/>
      <c r="K718" s="181"/>
      <c r="L718" s="181"/>
      <c r="M718" s="181"/>
      <c r="N718" s="181"/>
      <c r="O718" s="181"/>
      <c r="P718" s="181"/>
      <c r="Q718" s="181"/>
      <c r="R718" s="181"/>
      <c r="S718" s="181"/>
      <c r="T718" s="181"/>
      <c r="U718" s="181"/>
      <c r="V718" s="181"/>
      <c r="W718" s="181"/>
      <c r="X718" s="181"/>
      <c r="Y718" s="181"/>
      <c r="Z718" s="181"/>
      <c r="AA718" s="181"/>
    </row>
    <row r="719" customFormat="false" ht="15.75" hidden="false" customHeight="false" outlineLevel="0" collapsed="false">
      <c r="A719" s="181" t="str">
        <f aca="false">IF(ISBLANK(B719),"",B719&amp;"|"&amp;C719)</f>
        <v/>
      </c>
      <c r="B719" s="181"/>
      <c r="C719" s="181"/>
      <c r="D719" s="181"/>
      <c r="E719" s="186"/>
      <c r="F719" s="181"/>
      <c r="G719" s="181"/>
      <c r="H719" s="181"/>
      <c r="I719" s="181"/>
      <c r="J719" s="181"/>
      <c r="K719" s="181"/>
      <c r="L719" s="181"/>
      <c r="M719" s="181"/>
      <c r="N719" s="181"/>
      <c r="O719" s="181"/>
      <c r="P719" s="181"/>
      <c r="Q719" s="181"/>
      <c r="R719" s="181"/>
      <c r="S719" s="181"/>
      <c r="T719" s="181"/>
      <c r="U719" s="181"/>
      <c r="V719" s="181"/>
      <c r="W719" s="181"/>
      <c r="X719" s="181"/>
      <c r="Y719" s="181"/>
      <c r="Z719" s="181"/>
      <c r="AA719" s="181"/>
    </row>
    <row r="720" customFormat="false" ht="15.75" hidden="false" customHeight="false" outlineLevel="0" collapsed="false">
      <c r="A720" s="181" t="str">
        <f aca="false">IF(ISBLANK(B720),"",B720&amp;"|"&amp;C720)</f>
        <v/>
      </c>
      <c r="B720" s="181"/>
      <c r="C720" s="181"/>
      <c r="D720" s="181"/>
      <c r="E720" s="186"/>
      <c r="F720" s="181"/>
      <c r="G720" s="181"/>
      <c r="H720" s="181"/>
      <c r="I720" s="181"/>
      <c r="J720" s="181"/>
      <c r="K720" s="181"/>
      <c r="L720" s="181"/>
      <c r="M720" s="181"/>
      <c r="N720" s="181"/>
      <c r="O720" s="181"/>
      <c r="P720" s="181"/>
      <c r="Q720" s="181"/>
      <c r="R720" s="181"/>
      <c r="S720" s="181"/>
      <c r="T720" s="181"/>
      <c r="U720" s="181"/>
      <c r="V720" s="181"/>
      <c r="W720" s="181"/>
      <c r="X720" s="181"/>
      <c r="Y720" s="181"/>
      <c r="Z720" s="181"/>
      <c r="AA720" s="181"/>
    </row>
    <row r="721" customFormat="false" ht="15.75" hidden="false" customHeight="false" outlineLevel="0" collapsed="false">
      <c r="A721" s="181" t="str">
        <f aca="false">IF(ISBLANK(B721),"",B721&amp;"|"&amp;C721)</f>
        <v/>
      </c>
      <c r="B721" s="181"/>
      <c r="C721" s="181"/>
      <c r="D721" s="181"/>
      <c r="E721" s="186"/>
      <c r="F721" s="181"/>
      <c r="G721" s="181"/>
      <c r="H721" s="181"/>
      <c r="I721" s="181"/>
      <c r="J721" s="181"/>
      <c r="K721" s="181"/>
      <c r="L721" s="181"/>
      <c r="M721" s="181"/>
      <c r="N721" s="181"/>
      <c r="O721" s="181"/>
      <c r="P721" s="181"/>
      <c r="Q721" s="181"/>
      <c r="R721" s="181"/>
      <c r="S721" s="181"/>
      <c r="T721" s="181"/>
      <c r="U721" s="181"/>
      <c r="V721" s="181"/>
      <c r="W721" s="181"/>
      <c r="X721" s="181"/>
      <c r="Y721" s="181"/>
      <c r="Z721" s="181"/>
      <c r="AA721" s="181"/>
    </row>
    <row r="722" customFormat="false" ht="15.75" hidden="false" customHeight="false" outlineLevel="0" collapsed="false">
      <c r="A722" s="181" t="str">
        <f aca="false">IF(ISBLANK(B722),"",B722&amp;"|"&amp;C722)</f>
        <v/>
      </c>
      <c r="B722" s="181"/>
      <c r="C722" s="181"/>
      <c r="D722" s="181"/>
      <c r="E722" s="186"/>
      <c r="F722" s="181"/>
      <c r="G722" s="181"/>
      <c r="H722" s="181"/>
      <c r="I722" s="181"/>
      <c r="J722" s="181"/>
      <c r="K722" s="181"/>
      <c r="L722" s="181"/>
      <c r="M722" s="181"/>
      <c r="N722" s="181"/>
      <c r="O722" s="181"/>
      <c r="P722" s="181"/>
      <c r="Q722" s="181"/>
      <c r="R722" s="181"/>
      <c r="S722" s="181"/>
      <c r="T722" s="181"/>
      <c r="U722" s="181"/>
      <c r="V722" s="181"/>
      <c r="W722" s="181"/>
      <c r="X722" s="181"/>
      <c r="Y722" s="181"/>
      <c r="Z722" s="181"/>
      <c r="AA722" s="181"/>
    </row>
    <row r="723" customFormat="false" ht="15.75" hidden="false" customHeight="false" outlineLevel="0" collapsed="false">
      <c r="A723" s="181" t="str">
        <f aca="false">IF(ISBLANK(B723),"",B723&amp;"|"&amp;C723)</f>
        <v/>
      </c>
      <c r="B723" s="181"/>
      <c r="C723" s="181"/>
      <c r="D723" s="181"/>
      <c r="E723" s="186"/>
      <c r="F723" s="181"/>
      <c r="G723" s="181"/>
      <c r="H723" s="181"/>
      <c r="I723" s="181"/>
      <c r="J723" s="181"/>
      <c r="K723" s="181"/>
      <c r="L723" s="181"/>
      <c r="M723" s="181"/>
      <c r="N723" s="181"/>
      <c r="O723" s="181"/>
      <c r="P723" s="181"/>
      <c r="Q723" s="181"/>
      <c r="R723" s="181"/>
      <c r="S723" s="181"/>
      <c r="T723" s="181"/>
      <c r="U723" s="181"/>
      <c r="V723" s="181"/>
      <c r="W723" s="181"/>
      <c r="X723" s="181"/>
      <c r="Y723" s="181"/>
      <c r="Z723" s="181"/>
      <c r="AA723" s="181"/>
    </row>
    <row r="724" customFormat="false" ht="15.75" hidden="false" customHeight="false" outlineLevel="0" collapsed="false">
      <c r="A724" s="181" t="str">
        <f aca="false">IF(ISBLANK(B724),"",B724&amp;"|"&amp;C724)</f>
        <v/>
      </c>
      <c r="B724" s="181"/>
      <c r="C724" s="181"/>
      <c r="D724" s="181"/>
      <c r="E724" s="186"/>
      <c r="F724" s="181"/>
      <c r="G724" s="181"/>
      <c r="H724" s="181"/>
      <c r="I724" s="181"/>
      <c r="J724" s="181"/>
      <c r="K724" s="181"/>
      <c r="L724" s="181"/>
      <c r="M724" s="181"/>
      <c r="N724" s="181"/>
      <c r="O724" s="181"/>
      <c r="P724" s="181"/>
      <c r="Q724" s="181"/>
      <c r="R724" s="181"/>
      <c r="S724" s="181"/>
      <c r="T724" s="181"/>
      <c r="U724" s="181"/>
      <c r="V724" s="181"/>
      <c r="W724" s="181"/>
      <c r="X724" s="181"/>
      <c r="Y724" s="181"/>
      <c r="Z724" s="181"/>
      <c r="AA724" s="181"/>
    </row>
    <row r="725" customFormat="false" ht="15.75" hidden="false" customHeight="false" outlineLevel="0" collapsed="false">
      <c r="A725" s="181" t="str">
        <f aca="false">IF(ISBLANK(B725),"",B725&amp;"|"&amp;C725)</f>
        <v/>
      </c>
      <c r="B725" s="181"/>
      <c r="C725" s="181"/>
      <c r="D725" s="181"/>
      <c r="E725" s="186"/>
      <c r="F725" s="181"/>
      <c r="G725" s="181"/>
      <c r="H725" s="181"/>
      <c r="I725" s="181"/>
      <c r="J725" s="181"/>
      <c r="K725" s="181"/>
      <c r="L725" s="181"/>
      <c r="M725" s="181"/>
      <c r="N725" s="181"/>
      <c r="O725" s="181"/>
      <c r="P725" s="181"/>
      <c r="Q725" s="181"/>
      <c r="R725" s="181"/>
      <c r="S725" s="181"/>
      <c r="T725" s="181"/>
      <c r="U725" s="181"/>
      <c r="V725" s="181"/>
      <c r="W725" s="181"/>
      <c r="X725" s="181"/>
      <c r="Y725" s="181"/>
      <c r="Z725" s="181"/>
      <c r="AA725" s="181"/>
    </row>
    <row r="726" customFormat="false" ht="15.75" hidden="false" customHeight="false" outlineLevel="0" collapsed="false">
      <c r="A726" s="181" t="str">
        <f aca="false">IF(ISBLANK(B726),"",B726&amp;"|"&amp;C726)</f>
        <v/>
      </c>
      <c r="B726" s="181"/>
      <c r="C726" s="181"/>
      <c r="D726" s="181"/>
      <c r="E726" s="186"/>
      <c r="F726" s="181"/>
      <c r="G726" s="181"/>
      <c r="H726" s="181"/>
      <c r="I726" s="181"/>
      <c r="J726" s="181"/>
      <c r="K726" s="181"/>
      <c r="L726" s="181"/>
      <c r="M726" s="181"/>
      <c r="N726" s="181"/>
      <c r="O726" s="181"/>
      <c r="P726" s="181"/>
      <c r="Q726" s="181"/>
      <c r="R726" s="181"/>
      <c r="S726" s="181"/>
      <c r="T726" s="181"/>
      <c r="U726" s="181"/>
      <c r="V726" s="181"/>
      <c r="W726" s="181"/>
      <c r="X726" s="181"/>
      <c r="Y726" s="181"/>
      <c r="Z726" s="181"/>
      <c r="AA726" s="181"/>
    </row>
    <row r="727" customFormat="false" ht="15.75" hidden="false" customHeight="false" outlineLevel="0" collapsed="false">
      <c r="A727" s="181" t="str">
        <f aca="false">IF(ISBLANK(B727),"",B727&amp;"|"&amp;C727)</f>
        <v/>
      </c>
      <c r="B727" s="181"/>
      <c r="C727" s="181"/>
      <c r="D727" s="181"/>
      <c r="E727" s="186"/>
      <c r="F727" s="181"/>
      <c r="G727" s="181"/>
      <c r="H727" s="181"/>
      <c r="I727" s="181"/>
      <c r="J727" s="181"/>
      <c r="K727" s="181"/>
      <c r="L727" s="181"/>
      <c r="M727" s="181"/>
      <c r="N727" s="181"/>
      <c r="O727" s="181"/>
      <c r="P727" s="181"/>
      <c r="Q727" s="181"/>
      <c r="R727" s="181"/>
      <c r="S727" s="181"/>
      <c r="T727" s="181"/>
      <c r="U727" s="181"/>
      <c r="V727" s="181"/>
      <c r="W727" s="181"/>
      <c r="X727" s="181"/>
      <c r="Y727" s="181"/>
      <c r="Z727" s="181"/>
      <c r="AA727" s="181"/>
    </row>
    <row r="728" customFormat="false" ht="15.75" hidden="false" customHeight="false" outlineLevel="0" collapsed="false">
      <c r="A728" s="181" t="str">
        <f aca="false">IF(ISBLANK(B728),"",B728&amp;"|"&amp;C728)</f>
        <v/>
      </c>
      <c r="B728" s="181"/>
      <c r="C728" s="181"/>
      <c r="D728" s="181"/>
      <c r="E728" s="186"/>
      <c r="F728" s="181"/>
      <c r="G728" s="181"/>
      <c r="H728" s="181"/>
      <c r="I728" s="181"/>
      <c r="J728" s="181"/>
      <c r="K728" s="181"/>
      <c r="L728" s="181"/>
      <c r="M728" s="181"/>
      <c r="N728" s="181"/>
      <c r="O728" s="181"/>
      <c r="P728" s="181"/>
      <c r="Q728" s="181"/>
      <c r="R728" s="181"/>
      <c r="S728" s="181"/>
      <c r="T728" s="181"/>
      <c r="U728" s="181"/>
      <c r="V728" s="181"/>
      <c r="W728" s="181"/>
      <c r="X728" s="181"/>
      <c r="Y728" s="181"/>
      <c r="Z728" s="181"/>
      <c r="AA728" s="181"/>
    </row>
    <row r="729" customFormat="false" ht="15.75" hidden="false" customHeight="false" outlineLevel="0" collapsed="false">
      <c r="A729" s="181" t="str">
        <f aca="false">IF(ISBLANK(B729),"",B729&amp;"|"&amp;C729)</f>
        <v/>
      </c>
      <c r="B729" s="181"/>
      <c r="C729" s="181"/>
      <c r="D729" s="181"/>
      <c r="E729" s="186"/>
      <c r="F729" s="181"/>
      <c r="G729" s="181"/>
      <c r="H729" s="181"/>
      <c r="I729" s="181"/>
      <c r="J729" s="181"/>
      <c r="K729" s="181"/>
      <c r="L729" s="181"/>
      <c r="M729" s="181"/>
      <c r="N729" s="181"/>
      <c r="O729" s="181"/>
      <c r="P729" s="181"/>
      <c r="Q729" s="181"/>
      <c r="R729" s="181"/>
      <c r="S729" s="181"/>
      <c r="T729" s="181"/>
      <c r="U729" s="181"/>
      <c r="V729" s="181"/>
      <c r="W729" s="181"/>
      <c r="X729" s="181"/>
      <c r="Y729" s="181"/>
      <c r="Z729" s="181"/>
      <c r="AA729" s="181"/>
    </row>
    <row r="730" customFormat="false" ht="15.75" hidden="false" customHeight="false" outlineLevel="0" collapsed="false">
      <c r="A730" s="181" t="str">
        <f aca="false">IF(ISBLANK(B730),"",B730&amp;"|"&amp;C730)</f>
        <v/>
      </c>
      <c r="B730" s="181"/>
      <c r="C730" s="181"/>
      <c r="D730" s="181"/>
      <c r="E730" s="186"/>
      <c r="F730" s="181"/>
      <c r="G730" s="181"/>
      <c r="H730" s="181"/>
      <c r="I730" s="181"/>
      <c r="J730" s="181"/>
      <c r="K730" s="181"/>
      <c r="L730" s="181"/>
      <c r="M730" s="181"/>
      <c r="N730" s="181"/>
      <c r="O730" s="181"/>
      <c r="P730" s="181"/>
      <c r="Q730" s="181"/>
      <c r="R730" s="181"/>
      <c r="S730" s="181"/>
      <c r="T730" s="181"/>
      <c r="U730" s="181"/>
      <c r="V730" s="181"/>
      <c r="W730" s="181"/>
      <c r="X730" s="181"/>
      <c r="Y730" s="181"/>
      <c r="Z730" s="181"/>
      <c r="AA730" s="181"/>
    </row>
    <row r="731" customFormat="false" ht="15.75" hidden="false" customHeight="false" outlineLevel="0" collapsed="false">
      <c r="A731" s="181" t="str">
        <f aca="false">IF(ISBLANK(B731),"",B731&amp;"|"&amp;C731)</f>
        <v/>
      </c>
      <c r="B731" s="181"/>
      <c r="C731" s="181"/>
      <c r="D731" s="181"/>
      <c r="E731" s="186"/>
      <c r="F731" s="181"/>
      <c r="G731" s="181"/>
      <c r="H731" s="181"/>
      <c r="I731" s="181"/>
      <c r="J731" s="181"/>
      <c r="K731" s="181"/>
      <c r="L731" s="181"/>
      <c r="M731" s="181"/>
      <c r="N731" s="181"/>
      <c r="O731" s="181"/>
      <c r="P731" s="181"/>
      <c r="Q731" s="181"/>
      <c r="R731" s="181"/>
      <c r="S731" s="181"/>
      <c r="T731" s="181"/>
      <c r="U731" s="181"/>
      <c r="V731" s="181"/>
      <c r="W731" s="181"/>
      <c r="X731" s="181"/>
      <c r="Y731" s="181"/>
      <c r="Z731" s="181"/>
      <c r="AA731" s="181"/>
    </row>
    <row r="732" customFormat="false" ht="15.75" hidden="false" customHeight="false" outlineLevel="0" collapsed="false">
      <c r="A732" s="181" t="str">
        <f aca="false">IF(ISBLANK(B732),"",B732&amp;"|"&amp;C732)</f>
        <v/>
      </c>
      <c r="B732" s="181"/>
      <c r="C732" s="181"/>
      <c r="D732" s="181"/>
      <c r="E732" s="186"/>
      <c r="F732" s="181"/>
      <c r="G732" s="181"/>
      <c r="H732" s="181"/>
      <c r="I732" s="181"/>
      <c r="J732" s="181"/>
      <c r="K732" s="181"/>
      <c r="L732" s="181"/>
      <c r="M732" s="181"/>
      <c r="N732" s="181"/>
      <c r="O732" s="181"/>
      <c r="P732" s="181"/>
      <c r="Q732" s="181"/>
      <c r="R732" s="181"/>
      <c r="S732" s="181"/>
      <c r="T732" s="181"/>
      <c r="U732" s="181"/>
      <c r="V732" s="181"/>
      <c r="W732" s="181"/>
      <c r="X732" s="181"/>
      <c r="Y732" s="181"/>
      <c r="Z732" s="181"/>
      <c r="AA732" s="181"/>
    </row>
    <row r="733" customFormat="false" ht="15.75" hidden="false" customHeight="false" outlineLevel="0" collapsed="false">
      <c r="A733" s="181" t="str">
        <f aca="false">IF(ISBLANK(B733),"",B733&amp;"|"&amp;C733)</f>
        <v/>
      </c>
      <c r="B733" s="181"/>
      <c r="C733" s="181"/>
      <c r="D733" s="181"/>
      <c r="E733" s="186"/>
      <c r="F733" s="181"/>
      <c r="G733" s="181"/>
      <c r="H733" s="181"/>
      <c r="I733" s="181"/>
      <c r="J733" s="181"/>
      <c r="K733" s="181"/>
      <c r="L733" s="181"/>
      <c r="M733" s="181"/>
      <c r="N733" s="181"/>
      <c r="O733" s="181"/>
      <c r="P733" s="181"/>
      <c r="Q733" s="181"/>
      <c r="R733" s="181"/>
      <c r="S733" s="181"/>
      <c r="T733" s="181"/>
      <c r="U733" s="181"/>
      <c r="V733" s="181"/>
      <c r="W733" s="181"/>
      <c r="X733" s="181"/>
      <c r="Y733" s="181"/>
      <c r="Z733" s="181"/>
      <c r="AA733" s="181"/>
    </row>
    <row r="734" customFormat="false" ht="15.75" hidden="false" customHeight="false" outlineLevel="0" collapsed="false">
      <c r="A734" s="181" t="str">
        <f aca="false">IF(ISBLANK(B734),"",B734&amp;"|"&amp;C734)</f>
        <v/>
      </c>
      <c r="B734" s="181"/>
      <c r="C734" s="181"/>
      <c r="D734" s="181"/>
      <c r="E734" s="186"/>
      <c r="F734" s="181"/>
      <c r="G734" s="181"/>
      <c r="H734" s="181"/>
      <c r="I734" s="181"/>
      <c r="J734" s="181"/>
      <c r="K734" s="181"/>
      <c r="L734" s="181"/>
      <c r="M734" s="181"/>
      <c r="N734" s="181"/>
      <c r="O734" s="181"/>
      <c r="P734" s="181"/>
      <c r="Q734" s="181"/>
      <c r="R734" s="181"/>
      <c r="S734" s="181"/>
      <c r="T734" s="181"/>
      <c r="U734" s="181"/>
      <c r="V734" s="181"/>
      <c r="W734" s="181"/>
      <c r="X734" s="181"/>
      <c r="Y734" s="181"/>
      <c r="Z734" s="181"/>
      <c r="AA734" s="181"/>
    </row>
    <row r="735" customFormat="false" ht="15.75" hidden="false" customHeight="false" outlineLevel="0" collapsed="false">
      <c r="A735" s="181" t="str">
        <f aca="false">IF(ISBLANK(B735),"",B735&amp;"|"&amp;C735)</f>
        <v/>
      </c>
      <c r="B735" s="181"/>
      <c r="C735" s="181"/>
      <c r="D735" s="181"/>
      <c r="E735" s="186"/>
      <c r="F735" s="181"/>
      <c r="G735" s="181"/>
      <c r="H735" s="181"/>
      <c r="I735" s="181"/>
      <c r="J735" s="181"/>
      <c r="K735" s="181"/>
      <c r="L735" s="181"/>
      <c r="M735" s="181"/>
      <c r="N735" s="181"/>
      <c r="O735" s="181"/>
      <c r="P735" s="181"/>
      <c r="Q735" s="181"/>
      <c r="R735" s="181"/>
      <c r="S735" s="181"/>
      <c r="T735" s="181"/>
      <c r="U735" s="181"/>
      <c r="V735" s="181"/>
      <c r="W735" s="181"/>
      <c r="X735" s="181"/>
      <c r="Y735" s="181"/>
      <c r="Z735" s="181"/>
      <c r="AA735" s="181"/>
    </row>
    <row r="736" customFormat="false" ht="15.75" hidden="false" customHeight="false" outlineLevel="0" collapsed="false">
      <c r="A736" s="181" t="str">
        <f aca="false">IF(ISBLANK(B736),"",B736&amp;"|"&amp;C736)</f>
        <v/>
      </c>
      <c r="B736" s="181"/>
      <c r="C736" s="181"/>
      <c r="D736" s="181"/>
      <c r="E736" s="186"/>
      <c r="F736" s="181"/>
      <c r="G736" s="181"/>
      <c r="H736" s="181"/>
      <c r="I736" s="181"/>
      <c r="J736" s="181"/>
      <c r="K736" s="181"/>
      <c r="L736" s="181"/>
      <c r="M736" s="181"/>
      <c r="N736" s="181"/>
      <c r="O736" s="181"/>
      <c r="P736" s="181"/>
      <c r="Q736" s="181"/>
      <c r="R736" s="181"/>
      <c r="S736" s="181"/>
      <c r="T736" s="181"/>
      <c r="U736" s="181"/>
      <c r="V736" s="181"/>
      <c r="W736" s="181"/>
      <c r="X736" s="181"/>
      <c r="Y736" s="181"/>
      <c r="Z736" s="181"/>
      <c r="AA736" s="181"/>
    </row>
    <row r="737" customFormat="false" ht="15.75" hidden="false" customHeight="false" outlineLevel="0" collapsed="false">
      <c r="A737" s="181" t="str">
        <f aca="false">IF(ISBLANK(B737),"",B737&amp;"|"&amp;C737)</f>
        <v/>
      </c>
      <c r="B737" s="181"/>
      <c r="C737" s="181"/>
      <c r="D737" s="181"/>
      <c r="E737" s="186"/>
      <c r="F737" s="181"/>
      <c r="G737" s="181"/>
      <c r="H737" s="181"/>
      <c r="I737" s="181"/>
      <c r="J737" s="181"/>
      <c r="K737" s="181"/>
      <c r="L737" s="181"/>
      <c r="M737" s="181"/>
      <c r="N737" s="181"/>
      <c r="O737" s="181"/>
      <c r="P737" s="181"/>
      <c r="Q737" s="181"/>
      <c r="R737" s="181"/>
      <c r="S737" s="181"/>
      <c r="T737" s="181"/>
      <c r="U737" s="181"/>
      <c r="V737" s="181"/>
      <c r="W737" s="181"/>
      <c r="X737" s="181"/>
      <c r="Y737" s="181"/>
      <c r="Z737" s="181"/>
      <c r="AA737" s="181"/>
    </row>
    <row r="738" customFormat="false" ht="15.75" hidden="false" customHeight="false" outlineLevel="0" collapsed="false">
      <c r="A738" s="181" t="str">
        <f aca="false">IF(ISBLANK(B738),"",B738&amp;"|"&amp;C738)</f>
        <v/>
      </c>
      <c r="B738" s="181"/>
      <c r="C738" s="181"/>
      <c r="D738" s="181"/>
      <c r="E738" s="186"/>
      <c r="F738" s="181"/>
      <c r="G738" s="181"/>
      <c r="H738" s="181"/>
      <c r="I738" s="181"/>
      <c r="J738" s="181"/>
      <c r="K738" s="181"/>
      <c r="L738" s="181"/>
      <c r="M738" s="181"/>
      <c r="N738" s="181"/>
      <c r="O738" s="181"/>
      <c r="P738" s="181"/>
      <c r="Q738" s="181"/>
      <c r="R738" s="181"/>
      <c r="S738" s="181"/>
      <c r="T738" s="181"/>
      <c r="U738" s="181"/>
      <c r="V738" s="181"/>
      <c r="W738" s="181"/>
      <c r="X738" s="181"/>
      <c r="Y738" s="181"/>
      <c r="Z738" s="181"/>
      <c r="AA738" s="181"/>
    </row>
    <row r="739" customFormat="false" ht="15.75" hidden="false" customHeight="false" outlineLevel="0" collapsed="false">
      <c r="A739" s="181" t="str">
        <f aca="false">IF(ISBLANK(B739),"",B739&amp;"|"&amp;C739)</f>
        <v/>
      </c>
      <c r="B739" s="181"/>
      <c r="C739" s="181"/>
      <c r="D739" s="181"/>
      <c r="E739" s="186"/>
      <c r="F739" s="181"/>
      <c r="G739" s="181"/>
      <c r="H739" s="181"/>
      <c r="I739" s="181"/>
      <c r="J739" s="181"/>
      <c r="K739" s="181"/>
      <c r="L739" s="181"/>
      <c r="M739" s="181"/>
      <c r="N739" s="181"/>
      <c r="O739" s="181"/>
      <c r="P739" s="181"/>
      <c r="Q739" s="181"/>
      <c r="R739" s="181"/>
      <c r="S739" s="181"/>
      <c r="T739" s="181"/>
      <c r="U739" s="181"/>
      <c r="V739" s="181"/>
      <c r="W739" s="181"/>
      <c r="X739" s="181"/>
      <c r="Y739" s="181"/>
      <c r="Z739" s="181"/>
      <c r="AA739" s="181"/>
    </row>
    <row r="740" customFormat="false" ht="15.75" hidden="false" customHeight="false" outlineLevel="0" collapsed="false">
      <c r="A740" s="181" t="str">
        <f aca="false">IF(ISBLANK(B740),"",B740&amp;"|"&amp;C740)</f>
        <v/>
      </c>
      <c r="B740" s="181"/>
      <c r="C740" s="181"/>
      <c r="D740" s="181"/>
      <c r="E740" s="186"/>
      <c r="F740" s="181"/>
      <c r="G740" s="181"/>
      <c r="H740" s="181"/>
      <c r="I740" s="181"/>
      <c r="J740" s="181"/>
      <c r="K740" s="181"/>
      <c r="L740" s="181"/>
      <c r="M740" s="181"/>
      <c r="N740" s="181"/>
      <c r="O740" s="181"/>
      <c r="P740" s="181"/>
      <c r="Q740" s="181"/>
      <c r="R740" s="181"/>
      <c r="S740" s="181"/>
      <c r="T740" s="181"/>
      <c r="U740" s="181"/>
      <c r="V740" s="181"/>
      <c r="W740" s="181"/>
      <c r="X740" s="181"/>
      <c r="Y740" s="181"/>
      <c r="Z740" s="181"/>
      <c r="AA740" s="181"/>
    </row>
    <row r="741" customFormat="false" ht="15.75" hidden="false" customHeight="false" outlineLevel="0" collapsed="false">
      <c r="A741" s="181" t="str">
        <f aca="false">IF(ISBLANK(B741),"",B741&amp;"|"&amp;C741)</f>
        <v/>
      </c>
      <c r="B741" s="181"/>
      <c r="C741" s="181"/>
      <c r="D741" s="181"/>
      <c r="E741" s="186"/>
      <c r="F741" s="181"/>
      <c r="G741" s="181"/>
      <c r="H741" s="181"/>
      <c r="I741" s="181"/>
      <c r="J741" s="181"/>
      <c r="K741" s="181"/>
      <c r="L741" s="181"/>
      <c r="M741" s="181"/>
      <c r="N741" s="181"/>
      <c r="O741" s="181"/>
      <c r="P741" s="181"/>
      <c r="Q741" s="181"/>
      <c r="R741" s="181"/>
      <c r="S741" s="181"/>
      <c r="T741" s="181"/>
      <c r="U741" s="181"/>
      <c r="V741" s="181"/>
      <c r="W741" s="181"/>
      <c r="X741" s="181"/>
      <c r="Y741" s="181"/>
      <c r="Z741" s="181"/>
      <c r="AA741" s="181"/>
    </row>
    <row r="742" customFormat="false" ht="15.75" hidden="false" customHeight="false" outlineLevel="0" collapsed="false">
      <c r="A742" s="181" t="str">
        <f aca="false">IF(ISBLANK(B742),"",B742&amp;"|"&amp;C742)</f>
        <v/>
      </c>
      <c r="B742" s="181"/>
      <c r="C742" s="181"/>
      <c r="D742" s="181"/>
      <c r="E742" s="186"/>
      <c r="F742" s="181"/>
      <c r="G742" s="181"/>
      <c r="H742" s="181"/>
      <c r="I742" s="181"/>
      <c r="J742" s="181"/>
      <c r="K742" s="181"/>
      <c r="L742" s="181"/>
      <c r="M742" s="181"/>
      <c r="N742" s="181"/>
      <c r="O742" s="181"/>
      <c r="P742" s="181"/>
      <c r="Q742" s="181"/>
      <c r="R742" s="181"/>
      <c r="S742" s="181"/>
      <c r="T742" s="181"/>
      <c r="U742" s="181"/>
      <c r="V742" s="181"/>
      <c r="W742" s="181"/>
      <c r="X742" s="181"/>
      <c r="Y742" s="181"/>
      <c r="Z742" s="181"/>
      <c r="AA742" s="181"/>
    </row>
    <row r="743" customFormat="false" ht="15.75" hidden="false" customHeight="false" outlineLevel="0" collapsed="false">
      <c r="A743" s="181" t="str">
        <f aca="false">IF(ISBLANK(B743),"",B743&amp;"|"&amp;C743)</f>
        <v/>
      </c>
      <c r="B743" s="181"/>
      <c r="C743" s="181"/>
      <c r="D743" s="181"/>
      <c r="E743" s="186"/>
      <c r="F743" s="181"/>
      <c r="G743" s="181"/>
      <c r="H743" s="181"/>
      <c r="I743" s="181"/>
      <c r="J743" s="181"/>
      <c r="K743" s="181"/>
      <c r="L743" s="181"/>
      <c r="M743" s="181"/>
      <c r="N743" s="181"/>
      <c r="O743" s="181"/>
      <c r="P743" s="181"/>
      <c r="Q743" s="181"/>
      <c r="R743" s="181"/>
      <c r="S743" s="181"/>
      <c r="T743" s="181"/>
      <c r="U743" s="181"/>
      <c r="V743" s="181"/>
      <c r="W743" s="181"/>
      <c r="X743" s="181"/>
      <c r="Y743" s="181"/>
      <c r="Z743" s="181"/>
      <c r="AA743" s="181"/>
    </row>
    <row r="744" customFormat="false" ht="15.75" hidden="false" customHeight="false" outlineLevel="0" collapsed="false">
      <c r="A744" s="181" t="str">
        <f aca="false">IF(ISBLANK(B744),"",B744&amp;"|"&amp;C744)</f>
        <v/>
      </c>
      <c r="B744" s="181"/>
      <c r="C744" s="181"/>
      <c r="D744" s="181"/>
      <c r="E744" s="186"/>
      <c r="F744" s="181"/>
      <c r="G744" s="181"/>
      <c r="H744" s="181"/>
      <c r="I744" s="181"/>
      <c r="J744" s="181"/>
      <c r="K744" s="181"/>
      <c r="L744" s="181"/>
      <c r="M744" s="181"/>
      <c r="N744" s="181"/>
      <c r="O744" s="181"/>
      <c r="P744" s="181"/>
      <c r="Q744" s="181"/>
      <c r="R744" s="181"/>
      <c r="S744" s="181"/>
      <c r="T744" s="181"/>
      <c r="U744" s="181"/>
      <c r="V744" s="181"/>
      <c r="W744" s="181"/>
      <c r="X744" s="181"/>
      <c r="Y744" s="181"/>
      <c r="Z744" s="181"/>
      <c r="AA744" s="181"/>
    </row>
    <row r="745" customFormat="false" ht="15.75" hidden="false" customHeight="false" outlineLevel="0" collapsed="false">
      <c r="A745" s="181" t="str">
        <f aca="false">IF(ISBLANK(B745),"",B745&amp;"|"&amp;C745)</f>
        <v/>
      </c>
      <c r="B745" s="181"/>
      <c r="C745" s="181"/>
      <c r="D745" s="181"/>
      <c r="E745" s="186"/>
      <c r="F745" s="181"/>
      <c r="G745" s="181"/>
      <c r="H745" s="181"/>
      <c r="I745" s="181"/>
      <c r="J745" s="181"/>
      <c r="K745" s="181"/>
      <c r="L745" s="181"/>
      <c r="M745" s="181"/>
      <c r="N745" s="181"/>
      <c r="O745" s="181"/>
      <c r="P745" s="181"/>
      <c r="Q745" s="181"/>
      <c r="R745" s="181"/>
      <c r="S745" s="181"/>
      <c r="T745" s="181"/>
      <c r="U745" s="181"/>
      <c r="V745" s="181"/>
      <c r="W745" s="181"/>
      <c r="X745" s="181"/>
      <c r="Y745" s="181"/>
      <c r="Z745" s="181"/>
      <c r="AA745" s="181"/>
    </row>
    <row r="746" customFormat="false" ht="15.75" hidden="false" customHeight="false" outlineLevel="0" collapsed="false">
      <c r="A746" s="181" t="str">
        <f aca="false">IF(ISBLANK(B746),"",B746&amp;"|"&amp;C746)</f>
        <v/>
      </c>
      <c r="B746" s="181"/>
      <c r="C746" s="181"/>
      <c r="D746" s="181"/>
      <c r="E746" s="186"/>
      <c r="F746" s="181"/>
      <c r="G746" s="181"/>
      <c r="H746" s="181"/>
      <c r="I746" s="181"/>
      <c r="J746" s="181"/>
      <c r="K746" s="181"/>
      <c r="L746" s="181"/>
      <c r="M746" s="181"/>
      <c r="N746" s="181"/>
      <c r="O746" s="181"/>
      <c r="P746" s="181"/>
      <c r="Q746" s="181"/>
      <c r="R746" s="181"/>
      <c r="S746" s="181"/>
      <c r="T746" s="181"/>
      <c r="U746" s="181"/>
      <c r="V746" s="181"/>
      <c r="W746" s="181"/>
      <c r="X746" s="181"/>
      <c r="Y746" s="181"/>
      <c r="Z746" s="181"/>
      <c r="AA746" s="181"/>
    </row>
    <row r="747" customFormat="false" ht="15.75" hidden="false" customHeight="false" outlineLevel="0" collapsed="false">
      <c r="A747" s="181" t="str">
        <f aca="false">IF(ISBLANK(B747),"",B747&amp;"|"&amp;C747)</f>
        <v/>
      </c>
      <c r="B747" s="181"/>
      <c r="C747" s="181"/>
      <c r="D747" s="181"/>
      <c r="E747" s="186"/>
      <c r="F747" s="181"/>
      <c r="G747" s="181"/>
      <c r="H747" s="181"/>
      <c r="I747" s="181"/>
      <c r="J747" s="181"/>
      <c r="K747" s="181"/>
      <c r="L747" s="181"/>
      <c r="M747" s="181"/>
      <c r="N747" s="181"/>
      <c r="O747" s="181"/>
      <c r="P747" s="181"/>
      <c r="Q747" s="181"/>
      <c r="R747" s="181"/>
      <c r="S747" s="181"/>
      <c r="T747" s="181"/>
      <c r="U747" s="181"/>
      <c r="V747" s="181"/>
      <c r="W747" s="181"/>
      <c r="X747" s="181"/>
      <c r="Y747" s="181"/>
      <c r="Z747" s="181"/>
      <c r="AA747" s="181"/>
    </row>
    <row r="748" customFormat="false" ht="15.75" hidden="false" customHeight="false" outlineLevel="0" collapsed="false">
      <c r="A748" s="181" t="str">
        <f aca="false">IF(ISBLANK(B748),"",B748&amp;"|"&amp;C748)</f>
        <v/>
      </c>
      <c r="B748" s="181"/>
      <c r="C748" s="181"/>
      <c r="D748" s="181"/>
      <c r="E748" s="186"/>
      <c r="F748" s="181"/>
      <c r="G748" s="181"/>
      <c r="H748" s="181"/>
      <c r="I748" s="181"/>
      <c r="J748" s="181"/>
      <c r="K748" s="181"/>
      <c r="L748" s="181"/>
      <c r="M748" s="181"/>
      <c r="N748" s="181"/>
      <c r="O748" s="181"/>
      <c r="P748" s="181"/>
      <c r="Q748" s="181"/>
      <c r="R748" s="181"/>
      <c r="S748" s="181"/>
      <c r="T748" s="181"/>
      <c r="U748" s="181"/>
      <c r="V748" s="181"/>
      <c r="W748" s="181"/>
      <c r="X748" s="181"/>
      <c r="Y748" s="181"/>
      <c r="Z748" s="181"/>
      <c r="AA748" s="181"/>
    </row>
    <row r="749" customFormat="false" ht="15.75" hidden="false" customHeight="false" outlineLevel="0" collapsed="false">
      <c r="A749" s="181" t="str">
        <f aca="false">IF(ISBLANK(B749),"",B749&amp;"|"&amp;C749)</f>
        <v/>
      </c>
      <c r="B749" s="181"/>
      <c r="C749" s="181"/>
      <c r="D749" s="181"/>
      <c r="E749" s="186"/>
      <c r="F749" s="181"/>
      <c r="G749" s="181"/>
      <c r="H749" s="181"/>
      <c r="I749" s="181"/>
      <c r="J749" s="181"/>
      <c r="K749" s="181"/>
      <c r="L749" s="181"/>
      <c r="M749" s="181"/>
      <c r="N749" s="181"/>
      <c r="O749" s="181"/>
      <c r="P749" s="181"/>
      <c r="Q749" s="181"/>
      <c r="R749" s="181"/>
      <c r="S749" s="181"/>
      <c r="T749" s="181"/>
      <c r="U749" s="181"/>
      <c r="V749" s="181"/>
      <c r="W749" s="181"/>
      <c r="X749" s="181"/>
      <c r="Y749" s="181"/>
      <c r="Z749" s="181"/>
      <c r="AA749" s="181"/>
    </row>
    <row r="750" customFormat="false" ht="15.75" hidden="false" customHeight="false" outlineLevel="0" collapsed="false">
      <c r="A750" s="181" t="str">
        <f aca="false">IF(ISBLANK(B750),"",B750&amp;"|"&amp;C750)</f>
        <v/>
      </c>
      <c r="B750" s="181"/>
      <c r="C750" s="181"/>
      <c r="D750" s="181"/>
      <c r="E750" s="186"/>
      <c r="F750" s="181"/>
      <c r="G750" s="181"/>
      <c r="H750" s="181"/>
      <c r="I750" s="181"/>
      <c r="J750" s="181"/>
      <c r="K750" s="181"/>
      <c r="L750" s="181"/>
      <c r="M750" s="181"/>
      <c r="N750" s="181"/>
      <c r="O750" s="181"/>
      <c r="P750" s="181"/>
      <c r="Q750" s="181"/>
      <c r="R750" s="181"/>
      <c r="S750" s="181"/>
      <c r="T750" s="181"/>
      <c r="U750" s="181"/>
      <c r="V750" s="181"/>
      <c r="W750" s="181"/>
      <c r="X750" s="181"/>
      <c r="Y750" s="181"/>
      <c r="Z750" s="181"/>
      <c r="AA750" s="181"/>
    </row>
    <row r="751" customFormat="false" ht="15.75" hidden="false" customHeight="false" outlineLevel="0" collapsed="false">
      <c r="A751" s="181" t="str">
        <f aca="false">IF(ISBLANK(B751),"",B751&amp;"|"&amp;C751)</f>
        <v/>
      </c>
      <c r="B751" s="181"/>
      <c r="C751" s="181"/>
      <c r="D751" s="181"/>
      <c r="E751" s="186"/>
      <c r="F751" s="181"/>
      <c r="G751" s="181"/>
      <c r="H751" s="181"/>
      <c r="I751" s="181"/>
      <c r="J751" s="181"/>
      <c r="K751" s="181"/>
      <c r="L751" s="181"/>
      <c r="M751" s="181"/>
      <c r="N751" s="181"/>
      <c r="O751" s="181"/>
      <c r="P751" s="181"/>
      <c r="Q751" s="181"/>
      <c r="R751" s="181"/>
      <c r="S751" s="181"/>
      <c r="T751" s="181"/>
      <c r="U751" s="181"/>
      <c r="V751" s="181"/>
      <c r="W751" s="181"/>
      <c r="X751" s="181"/>
      <c r="Y751" s="181"/>
      <c r="Z751" s="181"/>
      <c r="AA751" s="181"/>
    </row>
    <row r="752" customFormat="false" ht="15.75" hidden="false" customHeight="false" outlineLevel="0" collapsed="false">
      <c r="A752" s="181" t="str">
        <f aca="false">IF(ISBLANK(B752),"",B752&amp;"|"&amp;C752)</f>
        <v/>
      </c>
      <c r="B752" s="181"/>
      <c r="C752" s="181"/>
      <c r="D752" s="181"/>
      <c r="E752" s="186"/>
      <c r="F752" s="181"/>
      <c r="G752" s="181"/>
      <c r="H752" s="181"/>
      <c r="I752" s="181"/>
      <c r="J752" s="181"/>
      <c r="K752" s="181"/>
      <c r="L752" s="181"/>
      <c r="M752" s="181"/>
      <c r="N752" s="181"/>
      <c r="O752" s="181"/>
      <c r="P752" s="181"/>
      <c r="Q752" s="181"/>
      <c r="R752" s="181"/>
      <c r="S752" s="181"/>
      <c r="T752" s="181"/>
      <c r="U752" s="181"/>
      <c r="V752" s="181"/>
      <c r="W752" s="181"/>
      <c r="X752" s="181"/>
      <c r="Y752" s="181"/>
      <c r="Z752" s="181"/>
      <c r="AA752" s="181"/>
    </row>
    <row r="753" customFormat="false" ht="15.75" hidden="false" customHeight="false" outlineLevel="0" collapsed="false">
      <c r="A753" s="181" t="str">
        <f aca="false">IF(ISBLANK(B753),"",B753&amp;"|"&amp;C753)</f>
        <v/>
      </c>
      <c r="B753" s="181"/>
      <c r="C753" s="181"/>
      <c r="D753" s="181"/>
      <c r="E753" s="186"/>
      <c r="F753" s="181"/>
      <c r="G753" s="181"/>
      <c r="H753" s="181"/>
      <c r="I753" s="181"/>
      <c r="J753" s="181"/>
      <c r="K753" s="181"/>
      <c r="L753" s="181"/>
      <c r="M753" s="181"/>
      <c r="N753" s="181"/>
      <c r="O753" s="181"/>
      <c r="P753" s="181"/>
      <c r="Q753" s="181"/>
      <c r="R753" s="181"/>
      <c r="S753" s="181"/>
      <c r="T753" s="181"/>
      <c r="U753" s="181"/>
      <c r="V753" s="181"/>
      <c r="W753" s="181"/>
      <c r="X753" s="181"/>
      <c r="Y753" s="181"/>
      <c r="Z753" s="181"/>
      <c r="AA753" s="181"/>
    </row>
    <row r="754" customFormat="false" ht="15.75" hidden="false" customHeight="false" outlineLevel="0" collapsed="false">
      <c r="A754" s="181" t="str">
        <f aca="false">IF(ISBLANK(B754),"",B754&amp;"|"&amp;C754)</f>
        <v/>
      </c>
      <c r="B754" s="181"/>
      <c r="C754" s="181"/>
      <c r="D754" s="181"/>
      <c r="E754" s="186"/>
      <c r="F754" s="181"/>
      <c r="G754" s="181"/>
      <c r="H754" s="181"/>
      <c r="I754" s="181"/>
      <c r="J754" s="181"/>
      <c r="K754" s="181"/>
      <c r="L754" s="181"/>
      <c r="M754" s="181"/>
      <c r="N754" s="181"/>
      <c r="O754" s="181"/>
      <c r="P754" s="181"/>
      <c r="Q754" s="181"/>
      <c r="R754" s="181"/>
      <c r="S754" s="181"/>
      <c r="T754" s="181"/>
      <c r="U754" s="181"/>
      <c r="V754" s="181"/>
      <c r="W754" s="181"/>
      <c r="X754" s="181"/>
      <c r="Y754" s="181"/>
      <c r="Z754" s="181"/>
      <c r="AA754" s="181"/>
    </row>
    <row r="755" customFormat="false" ht="15.75" hidden="false" customHeight="false" outlineLevel="0" collapsed="false">
      <c r="A755" s="181" t="str">
        <f aca="false">IF(ISBLANK(B755),"",B755&amp;"|"&amp;C755)</f>
        <v/>
      </c>
      <c r="B755" s="181"/>
      <c r="C755" s="181"/>
      <c r="D755" s="181"/>
      <c r="E755" s="186"/>
      <c r="F755" s="181"/>
      <c r="G755" s="181"/>
      <c r="H755" s="181"/>
      <c r="I755" s="181"/>
      <c r="J755" s="181"/>
      <c r="K755" s="181"/>
      <c r="L755" s="181"/>
      <c r="M755" s="181"/>
      <c r="N755" s="181"/>
      <c r="O755" s="181"/>
      <c r="P755" s="181"/>
      <c r="Q755" s="181"/>
      <c r="R755" s="181"/>
      <c r="S755" s="181"/>
      <c r="T755" s="181"/>
      <c r="U755" s="181"/>
      <c r="V755" s="181"/>
      <c r="W755" s="181"/>
      <c r="X755" s="181"/>
      <c r="Y755" s="181"/>
      <c r="Z755" s="181"/>
      <c r="AA755" s="181"/>
    </row>
    <row r="756" customFormat="false" ht="15.75" hidden="false" customHeight="false" outlineLevel="0" collapsed="false">
      <c r="A756" s="181" t="str">
        <f aca="false">IF(ISBLANK(B756),"",B756&amp;"|"&amp;C756)</f>
        <v/>
      </c>
      <c r="B756" s="181"/>
      <c r="C756" s="181"/>
      <c r="D756" s="181"/>
      <c r="E756" s="186"/>
      <c r="F756" s="181"/>
      <c r="G756" s="181"/>
      <c r="H756" s="181"/>
      <c r="I756" s="181"/>
      <c r="J756" s="181"/>
      <c r="K756" s="181"/>
      <c r="L756" s="181"/>
      <c r="M756" s="181"/>
      <c r="N756" s="181"/>
      <c r="O756" s="181"/>
      <c r="P756" s="181"/>
      <c r="Q756" s="181"/>
      <c r="R756" s="181"/>
      <c r="S756" s="181"/>
      <c r="T756" s="181"/>
      <c r="U756" s="181"/>
      <c r="V756" s="181"/>
      <c r="W756" s="181"/>
      <c r="X756" s="181"/>
      <c r="Y756" s="181"/>
      <c r="Z756" s="181"/>
      <c r="AA756" s="181"/>
    </row>
    <row r="757" customFormat="false" ht="15.75" hidden="false" customHeight="false" outlineLevel="0" collapsed="false">
      <c r="A757" s="181" t="str">
        <f aca="false">IF(ISBLANK(B757),"",B757&amp;"|"&amp;C757)</f>
        <v/>
      </c>
      <c r="B757" s="181"/>
      <c r="C757" s="181"/>
      <c r="D757" s="181"/>
      <c r="E757" s="186"/>
      <c r="F757" s="181"/>
      <c r="G757" s="181"/>
      <c r="H757" s="181"/>
      <c r="I757" s="181"/>
      <c r="J757" s="181"/>
      <c r="K757" s="181"/>
      <c r="L757" s="181"/>
      <c r="M757" s="181"/>
      <c r="N757" s="181"/>
      <c r="O757" s="181"/>
      <c r="P757" s="181"/>
      <c r="Q757" s="181"/>
      <c r="R757" s="181"/>
      <c r="S757" s="181"/>
      <c r="T757" s="181"/>
      <c r="U757" s="181"/>
      <c r="V757" s="181"/>
      <c r="W757" s="181"/>
      <c r="X757" s="181"/>
      <c r="Y757" s="181"/>
      <c r="Z757" s="181"/>
      <c r="AA757" s="181"/>
    </row>
    <row r="758" customFormat="false" ht="15.75" hidden="false" customHeight="false" outlineLevel="0" collapsed="false">
      <c r="A758" s="181" t="str">
        <f aca="false">IF(ISBLANK(B758),"",B758&amp;"|"&amp;C758)</f>
        <v/>
      </c>
      <c r="B758" s="181"/>
      <c r="C758" s="181"/>
      <c r="D758" s="181"/>
      <c r="E758" s="186"/>
      <c r="F758" s="181"/>
      <c r="G758" s="181"/>
      <c r="H758" s="181"/>
      <c r="I758" s="181"/>
      <c r="J758" s="181"/>
      <c r="K758" s="181"/>
      <c r="L758" s="181"/>
      <c r="M758" s="181"/>
      <c r="N758" s="181"/>
      <c r="O758" s="181"/>
      <c r="P758" s="181"/>
      <c r="Q758" s="181"/>
      <c r="R758" s="181"/>
      <c r="S758" s="181"/>
      <c r="T758" s="181"/>
      <c r="U758" s="181"/>
      <c r="V758" s="181"/>
      <c r="W758" s="181"/>
      <c r="X758" s="181"/>
      <c r="Y758" s="181"/>
      <c r="Z758" s="181"/>
      <c r="AA758" s="181"/>
    </row>
    <row r="759" customFormat="false" ht="15.75" hidden="false" customHeight="false" outlineLevel="0" collapsed="false">
      <c r="A759" s="181" t="str">
        <f aca="false">IF(ISBLANK(B759),"",B759&amp;"|"&amp;C759)</f>
        <v/>
      </c>
      <c r="B759" s="181"/>
      <c r="C759" s="181"/>
      <c r="D759" s="181"/>
      <c r="E759" s="186"/>
      <c r="F759" s="181"/>
      <c r="G759" s="181"/>
      <c r="H759" s="181"/>
      <c r="I759" s="181"/>
      <c r="J759" s="181"/>
      <c r="K759" s="181"/>
      <c r="L759" s="181"/>
      <c r="M759" s="181"/>
      <c r="N759" s="181"/>
      <c r="O759" s="181"/>
      <c r="P759" s="181"/>
      <c r="Q759" s="181"/>
      <c r="R759" s="181"/>
      <c r="S759" s="181"/>
      <c r="T759" s="181"/>
      <c r="U759" s="181"/>
      <c r="V759" s="181"/>
      <c r="W759" s="181"/>
      <c r="X759" s="181"/>
      <c r="Y759" s="181"/>
      <c r="Z759" s="181"/>
      <c r="AA759" s="181"/>
    </row>
    <row r="760" customFormat="false" ht="15.75" hidden="false" customHeight="false" outlineLevel="0" collapsed="false">
      <c r="A760" s="181" t="str">
        <f aca="false">IF(ISBLANK(B760),"",B760&amp;"|"&amp;C760)</f>
        <v/>
      </c>
      <c r="B760" s="181"/>
      <c r="C760" s="181"/>
      <c r="D760" s="181"/>
      <c r="E760" s="186"/>
      <c r="F760" s="181"/>
      <c r="G760" s="181"/>
      <c r="H760" s="181"/>
      <c r="I760" s="181"/>
      <c r="J760" s="181"/>
      <c r="K760" s="181"/>
      <c r="L760" s="181"/>
      <c r="M760" s="181"/>
      <c r="N760" s="181"/>
      <c r="O760" s="181"/>
      <c r="P760" s="181"/>
      <c r="Q760" s="181"/>
      <c r="R760" s="181"/>
      <c r="S760" s="181"/>
      <c r="T760" s="181"/>
      <c r="U760" s="181"/>
      <c r="V760" s="181"/>
      <c r="W760" s="181"/>
      <c r="X760" s="181"/>
      <c r="Y760" s="181"/>
      <c r="Z760" s="181"/>
      <c r="AA760" s="181"/>
    </row>
    <row r="761" customFormat="false" ht="15.75" hidden="false" customHeight="false" outlineLevel="0" collapsed="false">
      <c r="A761" s="181" t="str">
        <f aca="false">IF(ISBLANK(B761),"",B761&amp;"|"&amp;C761)</f>
        <v/>
      </c>
      <c r="B761" s="181"/>
      <c r="C761" s="181"/>
      <c r="D761" s="181"/>
      <c r="E761" s="186"/>
      <c r="F761" s="181"/>
      <c r="G761" s="181"/>
      <c r="H761" s="181"/>
      <c r="I761" s="181"/>
      <c r="J761" s="181"/>
      <c r="K761" s="181"/>
      <c r="L761" s="181"/>
      <c r="M761" s="181"/>
      <c r="N761" s="181"/>
      <c r="O761" s="181"/>
      <c r="P761" s="181"/>
      <c r="Q761" s="181"/>
      <c r="R761" s="181"/>
      <c r="S761" s="181"/>
      <c r="T761" s="181"/>
      <c r="U761" s="181"/>
      <c r="V761" s="181"/>
      <c r="W761" s="181"/>
      <c r="X761" s="181"/>
      <c r="Y761" s="181"/>
      <c r="Z761" s="181"/>
      <c r="AA761" s="181"/>
    </row>
    <row r="762" customFormat="false" ht="15.75" hidden="false" customHeight="false" outlineLevel="0" collapsed="false">
      <c r="A762" s="181" t="str">
        <f aca="false">IF(ISBLANK(B762),"",B762&amp;"|"&amp;C762)</f>
        <v/>
      </c>
      <c r="B762" s="181"/>
      <c r="C762" s="181"/>
      <c r="D762" s="181"/>
      <c r="E762" s="186"/>
      <c r="F762" s="181"/>
      <c r="G762" s="181"/>
      <c r="H762" s="181"/>
      <c r="I762" s="181"/>
      <c r="J762" s="181"/>
      <c r="K762" s="181"/>
      <c r="L762" s="181"/>
      <c r="M762" s="181"/>
      <c r="N762" s="181"/>
      <c r="O762" s="181"/>
      <c r="P762" s="181"/>
      <c r="Q762" s="181"/>
      <c r="R762" s="181"/>
      <c r="S762" s="181"/>
      <c r="T762" s="181"/>
      <c r="U762" s="181"/>
      <c r="V762" s="181"/>
      <c r="W762" s="181"/>
      <c r="X762" s="181"/>
      <c r="Y762" s="181"/>
      <c r="Z762" s="181"/>
      <c r="AA762" s="181"/>
    </row>
    <row r="763" customFormat="false" ht="15.75" hidden="false" customHeight="false" outlineLevel="0" collapsed="false">
      <c r="A763" s="181" t="str">
        <f aca="false">IF(ISBLANK(B763),"",B763&amp;"|"&amp;C763)</f>
        <v/>
      </c>
      <c r="B763" s="181"/>
      <c r="C763" s="181"/>
      <c r="D763" s="181"/>
      <c r="E763" s="186"/>
      <c r="F763" s="181"/>
      <c r="G763" s="181"/>
      <c r="H763" s="181"/>
      <c r="I763" s="181"/>
      <c r="J763" s="181"/>
      <c r="K763" s="181"/>
      <c r="L763" s="181"/>
      <c r="M763" s="181"/>
      <c r="N763" s="181"/>
      <c r="O763" s="181"/>
      <c r="P763" s="181"/>
      <c r="Q763" s="181"/>
      <c r="R763" s="181"/>
      <c r="S763" s="181"/>
      <c r="T763" s="181"/>
      <c r="U763" s="181"/>
      <c r="V763" s="181"/>
      <c r="W763" s="181"/>
      <c r="X763" s="181"/>
      <c r="Y763" s="181"/>
      <c r="Z763" s="181"/>
      <c r="AA763" s="181"/>
    </row>
    <row r="764" customFormat="false" ht="15.75" hidden="false" customHeight="false" outlineLevel="0" collapsed="false">
      <c r="A764" s="181" t="str">
        <f aca="false">IF(ISBLANK(B764),"",B764&amp;"|"&amp;C764)</f>
        <v/>
      </c>
      <c r="B764" s="181"/>
      <c r="C764" s="181"/>
      <c r="D764" s="181"/>
      <c r="E764" s="186"/>
      <c r="F764" s="181"/>
      <c r="G764" s="181"/>
      <c r="H764" s="181"/>
      <c r="I764" s="181"/>
      <c r="J764" s="181"/>
      <c r="K764" s="181"/>
      <c r="L764" s="181"/>
      <c r="M764" s="181"/>
      <c r="N764" s="181"/>
      <c r="O764" s="181"/>
      <c r="P764" s="181"/>
      <c r="Q764" s="181"/>
      <c r="R764" s="181"/>
      <c r="S764" s="181"/>
      <c r="T764" s="181"/>
      <c r="U764" s="181"/>
      <c r="V764" s="181"/>
      <c r="W764" s="181"/>
      <c r="X764" s="181"/>
      <c r="Y764" s="181"/>
      <c r="Z764" s="181"/>
      <c r="AA764" s="181"/>
    </row>
    <row r="765" customFormat="false" ht="15.75" hidden="false" customHeight="false" outlineLevel="0" collapsed="false">
      <c r="A765" s="181" t="str">
        <f aca="false">IF(ISBLANK(B765),"",B765&amp;"|"&amp;C765)</f>
        <v/>
      </c>
      <c r="B765" s="181"/>
      <c r="C765" s="181"/>
      <c r="D765" s="181"/>
      <c r="E765" s="186"/>
      <c r="F765" s="181"/>
      <c r="G765" s="181"/>
      <c r="H765" s="181"/>
      <c r="I765" s="181"/>
      <c r="J765" s="181"/>
      <c r="K765" s="181"/>
      <c r="L765" s="181"/>
      <c r="M765" s="181"/>
      <c r="N765" s="181"/>
      <c r="O765" s="181"/>
      <c r="P765" s="181"/>
      <c r="Q765" s="181"/>
      <c r="R765" s="181"/>
      <c r="S765" s="181"/>
      <c r="T765" s="181"/>
      <c r="U765" s="181"/>
      <c r="V765" s="181"/>
      <c r="W765" s="181"/>
      <c r="X765" s="181"/>
      <c r="Y765" s="181"/>
      <c r="Z765" s="181"/>
      <c r="AA765" s="181"/>
    </row>
    <row r="766" customFormat="false" ht="15.75" hidden="false" customHeight="false" outlineLevel="0" collapsed="false">
      <c r="A766" s="181" t="str">
        <f aca="false">IF(ISBLANK(B766),"",B766&amp;"|"&amp;C766)</f>
        <v/>
      </c>
      <c r="B766" s="181"/>
      <c r="C766" s="181"/>
      <c r="D766" s="181"/>
      <c r="E766" s="186"/>
      <c r="F766" s="181"/>
      <c r="G766" s="181"/>
      <c r="H766" s="181"/>
      <c r="I766" s="181"/>
      <c r="J766" s="181"/>
      <c r="K766" s="181"/>
      <c r="L766" s="181"/>
      <c r="M766" s="181"/>
      <c r="N766" s="181"/>
      <c r="O766" s="181"/>
      <c r="P766" s="181"/>
      <c r="Q766" s="181"/>
      <c r="R766" s="181"/>
      <c r="S766" s="181"/>
      <c r="T766" s="181"/>
      <c r="U766" s="181"/>
      <c r="V766" s="181"/>
      <c r="W766" s="181"/>
      <c r="X766" s="181"/>
      <c r="Y766" s="181"/>
      <c r="Z766" s="181"/>
      <c r="AA766" s="181"/>
    </row>
    <row r="767" customFormat="false" ht="15.75" hidden="false" customHeight="false" outlineLevel="0" collapsed="false">
      <c r="A767" s="181" t="str">
        <f aca="false">IF(ISBLANK(B767),"",B767&amp;"|"&amp;C767)</f>
        <v/>
      </c>
      <c r="B767" s="181"/>
      <c r="C767" s="181"/>
      <c r="D767" s="181"/>
      <c r="E767" s="186"/>
      <c r="F767" s="181"/>
      <c r="G767" s="181"/>
      <c r="H767" s="181"/>
      <c r="I767" s="181"/>
      <c r="J767" s="181"/>
      <c r="K767" s="181"/>
      <c r="L767" s="181"/>
      <c r="M767" s="181"/>
      <c r="N767" s="181"/>
      <c r="O767" s="181"/>
      <c r="P767" s="181"/>
      <c r="Q767" s="181"/>
      <c r="R767" s="181"/>
      <c r="S767" s="181"/>
      <c r="T767" s="181"/>
      <c r="U767" s="181"/>
      <c r="V767" s="181"/>
      <c r="W767" s="181"/>
      <c r="X767" s="181"/>
      <c r="Y767" s="181"/>
      <c r="Z767" s="181"/>
      <c r="AA767" s="181"/>
    </row>
    <row r="768" customFormat="false" ht="15.75" hidden="false" customHeight="false" outlineLevel="0" collapsed="false">
      <c r="A768" s="181" t="str">
        <f aca="false">IF(ISBLANK(B768),"",B768&amp;"|"&amp;C768)</f>
        <v/>
      </c>
      <c r="B768" s="181"/>
      <c r="C768" s="181"/>
      <c r="D768" s="181"/>
      <c r="E768" s="186"/>
      <c r="F768" s="181"/>
      <c r="G768" s="181"/>
      <c r="H768" s="181"/>
      <c r="I768" s="181"/>
      <c r="J768" s="181"/>
      <c r="K768" s="181"/>
      <c r="L768" s="181"/>
      <c r="M768" s="181"/>
      <c r="N768" s="181"/>
      <c r="O768" s="181"/>
      <c r="P768" s="181"/>
      <c r="Q768" s="181"/>
      <c r="R768" s="181"/>
      <c r="S768" s="181"/>
      <c r="T768" s="181"/>
      <c r="U768" s="181"/>
      <c r="V768" s="181"/>
      <c r="W768" s="181"/>
      <c r="X768" s="181"/>
      <c r="Y768" s="181"/>
      <c r="Z768" s="181"/>
      <c r="AA768" s="181"/>
    </row>
    <row r="769" customFormat="false" ht="15.75" hidden="false" customHeight="false" outlineLevel="0" collapsed="false">
      <c r="A769" s="181" t="str">
        <f aca="false">IF(ISBLANK(B769),"",B769&amp;"|"&amp;C769)</f>
        <v/>
      </c>
      <c r="B769" s="181"/>
      <c r="C769" s="181"/>
      <c r="D769" s="181"/>
      <c r="E769" s="186"/>
      <c r="F769" s="181"/>
      <c r="G769" s="181"/>
      <c r="H769" s="181"/>
      <c r="I769" s="181"/>
      <c r="J769" s="181"/>
      <c r="K769" s="181"/>
      <c r="L769" s="181"/>
      <c r="M769" s="181"/>
      <c r="N769" s="181"/>
      <c r="O769" s="181"/>
      <c r="P769" s="181"/>
      <c r="Q769" s="181"/>
      <c r="R769" s="181"/>
      <c r="S769" s="181"/>
      <c r="T769" s="181"/>
      <c r="U769" s="181"/>
      <c r="V769" s="181"/>
      <c r="W769" s="181"/>
      <c r="X769" s="181"/>
      <c r="Y769" s="181"/>
      <c r="Z769" s="181"/>
      <c r="AA769" s="181"/>
    </row>
    <row r="770" customFormat="false" ht="15.75" hidden="false" customHeight="false" outlineLevel="0" collapsed="false">
      <c r="A770" s="181" t="str">
        <f aca="false">IF(ISBLANK(B770),"",B770&amp;"|"&amp;C770)</f>
        <v/>
      </c>
      <c r="B770" s="181"/>
      <c r="C770" s="181"/>
      <c r="D770" s="181"/>
      <c r="E770" s="186"/>
      <c r="F770" s="181"/>
      <c r="G770" s="181"/>
      <c r="H770" s="181"/>
      <c r="I770" s="181"/>
      <c r="J770" s="181"/>
      <c r="K770" s="181"/>
      <c r="L770" s="181"/>
      <c r="M770" s="181"/>
      <c r="N770" s="181"/>
      <c r="O770" s="181"/>
      <c r="P770" s="181"/>
      <c r="Q770" s="181"/>
      <c r="R770" s="181"/>
      <c r="S770" s="181"/>
      <c r="T770" s="181"/>
      <c r="U770" s="181"/>
      <c r="V770" s="181"/>
      <c r="W770" s="181"/>
      <c r="X770" s="181"/>
      <c r="Y770" s="181"/>
      <c r="Z770" s="181"/>
      <c r="AA770" s="181"/>
    </row>
    <row r="771" customFormat="false" ht="15.75" hidden="false" customHeight="false" outlineLevel="0" collapsed="false">
      <c r="A771" s="181" t="str">
        <f aca="false">IF(ISBLANK(B771),"",B771&amp;"|"&amp;C771)</f>
        <v/>
      </c>
      <c r="B771" s="181"/>
      <c r="C771" s="181"/>
      <c r="D771" s="181"/>
      <c r="E771" s="186"/>
      <c r="F771" s="181"/>
      <c r="G771" s="181"/>
      <c r="H771" s="181"/>
      <c r="I771" s="181"/>
      <c r="J771" s="181"/>
      <c r="K771" s="181"/>
      <c r="L771" s="181"/>
      <c r="M771" s="181"/>
      <c r="N771" s="181"/>
      <c r="O771" s="181"/>
      <c r="P771" s="181"/>
      <c r="Q771" s="181"/>
      <c r="R771" s="181"/>
      <c r="S771" s="181"/>
      <c r="T771" s="181"/>
      <c r="U771" s="181"/>
      <c r="V771" s="181"/>
      <c r="W771" s="181"/>
      <c r="X771" s="181"/>
      <c r="Y771" s="181"/>
      <c r="Z771" s="181"/>
      <c r="AA771" s="181"/>
    </row>
    <row r="772" customFormat="false" ht="15.75" hidden="false" customHeight="false" outlineLevel="0" collapsed="false">
      <c r="A772" s="181" t="str">
        <f aca="false">IF(ISBLANK(B772),"",B772&amp;"|"&amp;C772)</f>
        <v/>
      </c>
      <c r="B772" s="181"/>
      <c r="C772" s="181"/>
      <c r="D772" s="181"/>
      <c r="E772" s="186"/>
      <c r="F772" s="181"/>
      <c r="G772" s="181"/>
      <c r="H772" s="181"/>
      <c r="I772" s="181"/>
      <c r="J772" s="181"/>
      <c r="K772" s="181"/>
      <c r="L772" s="181"/>
      <c r="M772" s="181"/>
      <c r="N772" s="181"/>
      <c r="O772" s="181"/>
      <c r="P772" s="181"/>
      <c r="Q772" s="181"/>
      <c r="R772" s="181"/>
      <c r="S772" s="181"/>
      <c r="T772" s="181"/>
      <c r="U772" s="181"/>
      <c r="V772" s="181"/>
      <c r="W772" s="181"/>
      <c r="X772" s="181"/>
      <c r="Y772" s="181"/>
      <c r="Z772" s="181"/>
      <c r="AA772" s="181"/>
    </row>
    <row r="773" customFormat="false" ht="15.75" hidden="false" customHeight="false" outlineLevel="0" collapsed="false">
      <c r="A773" s="181" t="str">
        <f aca="false">IF(ISBLANK(B773),"",B773&amp;"|"&amp;C773)</f>
        <v/>
      </c>
      <c r="B773" s="181"/>
      <c r="C773" s="181"/>
      <c r="D773" s="181"/>
      <c r="E773" s="186"/>
      <c r="F773" s="181"/>
      <c r="G773" s="181"/>
      <c r="H773" s="181"/>
      <c r="I773" s="181"/>
      <c r="J773" s="181"/>
      <c r="K773" s="181"/>
      <c r="L773" s="181"/>
      <c r="M773" s="181"/>
      <c r="N773" s="181"/>
      <c r="O773" s="181"/>
      <c r="P773" s="181"/>
      <c r="Q773" s="181"/>
      <c r="R773" s="181"/>
      <c r="S773" s="181"/>
      <c r="T773" s="181"/>
      <c r="U773" s="181"/>
      <c r="V773" s="181"/>
      <c r="W773" s="181"/>
      <c r="X773" s="181"/>
      <c r="Y773" s="181"/>
      <c r="Z773" s="181"/>
      <c r="AA773" s="181"/>
    </row>
    <row r="774" customFormat="false" ht="15.75" hidden="false" customHeight="false" outlineLevel="0" collapsed="false">
      <c r="A774" s="181" t="str">
        <f aca="false">IF(ISBLANK(B774),"",B774&amp;"|"&amp;C774)</f>
        <v/>
      </c>
      <c r="B774" s="181"/>
      <c r="C774" s="181"/>
      <c r="D774" s="181"/>
      <c r="E774" s="186"/>
      <c r="F774" s="181"/>
      <c r="G774" s="181"/>
      <c r="H774" s="181"/>
      <c r="I774" s="181"/>
      <c r="J774" s="181"/>
      <c r="K774" s="181"/>
      <c r="L774" s="181"/>
      <c r="M774" s="181"/>
      <c r="N774" s="181"/>
      <c r="O774" s="181"/>
      <c r="P774" s="181"/>
      <c r="Q774" s="181"/>
      <c r="R774" s="181"/>
      <c r="S774" s="181"/>
      <c r="T774" s="181"/>
      <c r="U774" s="181"/>
      <c r="V774" s="181"/>
      <c r="W774" s="181"/>
      <c r="X774" s="181"/>
      <c r="Y774" s="181"/>
      <c r="Z774" s="181"/>
      <c r="AA774" s="181"/>
    </row>
    <row r="775" customFormat="false" ht="15.75" hidden="false" customHeight="false" outlineLevel="0" collapsed="false">
      <c r="A775" s="181" t="str">
        <f aca="false">IF(ISBLANK(B775),"",B775&amp;"|"&amp;C775)</f>
        <v/>
      </c>
      <c r="B775" s="181"/>
      <c r="C775" s="181"/>
      <c r="D775" s="181"/>
      <c r="E775" s="186"/>
      <c r="F775" s="181"/>
      <c r="G775" s="181"/>
      <c r="H775" s="181"/>
      <c r="I775" s="181"/>
      <c r="J775" s="181"/>
      <c r="K775" s="181"/>
      <c r="L775" s="181"/>
      <c r="M775" s="181"/>
      <c r="N775" s="181"/>
      <c r="O775" s="181"/>
      <c r="P775" s="181"/>
      <c r="Q775" s="181"/>
      <c r="R775" s="181"/>
      <c r="S775" s="181"/>
      <c r="T775" s="181"/>
      <c r="U775" s="181"/>
      <c r="V775" s="181"/>
      <c r="W775" s="181"/>
      <c r="X775" s="181"/>
      <c r="Y775" s="181"/>
      <c r="Z775" s="181"/>
      <c r="AA775" s="181"/>
    </row>
    <row r="776" customFormat="false" ht="15.75" hidden="false" customHeight="false" outlineLevel="0" collapsed="false">
      <c r="A776" s="181" t="str">
        <f aca="false">IF(ISBLANK(B776),"",B776&amp;"|"&amp;C776)</f>
        <v/>
      </c>
      <c r="B776" s="181"/>
      <c r="C776" s="181"/>
      <c r="D776" s="181"/>
      <c r="E776" s="186"/>
      <c r="F776" s="181"/>
      <c r="G776" s="181"/>
      <c r="H776" s="181"/>
      <c r="I776" s="181"/>
      <c r="J776" s="181"/>
      <c r="K776" s="181"/>
      <c r="L776" s="181"/>
      <c r="M776" s="181"/>
      <c r="N776" s="181"/>
      <c r="O776" s="181"/>
      <c r="P776" s="181"/>
      <c r="Q776" s="181"/>
      <c r="R776" s="181"/>
      <c r="S776" s="181"/>
      <c r="T776" s="181"/>
      <c r="U776" s="181"/>
      <c r="V776" s="181"/>
      <c r="W776" s="181"/>
      <c r="X776" s="181"/>
      <c r="Y776" s="181"/>
      <c r="Z776" s="181"/>
      <c r="AA776" s="181"/>
    </row>
    <row r="777" customFormat="false" ht="15.75" hidden="false" customHeight="false" outlineLevel="0" collapsed="false">
      <c r="A777" s="181" t="str">
        <f aca="false">IF(ISBLANK(B777),"",B777&amp;"|"&amp;C777)</f>
        <v/>
      </c>
      <c r="B777" s="181"/>
      <c r="C777" s="181"/>
      <c r="D777" s="181"/>
      <c r="E777" s="186"/>
      <c r="F777" s="181"/>
      <c r="G777" s="181"/>
      <c r="H777" s="181"/>
      <c r="I777" s="181"/>
      <c r="J777" s="181"/>
      <c r="K777" s="181"/>
      <c r="L777" s="181"/>
      <c r="M777" s="181"/>
      <c r="N777" s="181"/>
      <c r="O777" s="181"/>
      <c r="P777" s="181"/>
      <c r="Q777" s="181"/>
      <c r="R777" s="181"/>
      <c r="S777" s="181"/>
      <c r="T777" s="181"/>
      <c r="U777" s="181"/>
      <c r="V777" s="181"/>
      <c r="W777" s="181"/>
      <c r="X777" s="181"/>
      <c r="Y777" s="181"/>
      <c r="Z777" s="181"/>
      <c r="AA777" s="181"/>
    </row>
    <row r="778" customFormat="false" ht="15.75" hidden="false" customHeight="false" outlineLevel="0" collapsed="false">
      <c r="A778" s="181" t="str">
        <f aca="false">IF(ISBLANK(B778),"",B778&amp;"|"&amp;C778)</f>
        <v/>
      </c>
      <c r="B778" s="181"/>
      <c r="C778" s="181"/>
      <c r="D778" s="181"/>
      <c r="E778" s="186"/>
      <c r="F778" s="181"/>
      <c r="G778" s="181"/>
      <c r="H778" s="181"/>
      <c r="I778" s="181"/>
      <c r="J778" s="181"/>
      <c r="K778" s="181"/>
      <c r="L778" s="181"/>
      <c r="M778" s="181"/>
      <c r="N778" s="181"/>
      <c r="O778" s="181"/>
      <c r="P778" s="181"/>
      <c r="Q778" s="181"/>
      <c r="R778" s="181"/>
      <c r="S778" s="181"/>
      <c r="T778" s="181"/>
      <c r="U778" s="181"/>
      <c r="V778" s="181"/>
      <c r="W778" s="181"/>
      <c r="X778" s="181"/>
      <c r="Y778" s="181"/>
      <c r="Z778" s="181"/>
      <c r="AA778" s="181"/>
    </row>
    <row r="779" customFormat="false" ht="15.75" hidden="false" customHeight="false" outlineLevel="0" collapsed="false">
      <c r="A779" s="181" t="str">
        <f aca="false">IF(ISBLANK(B779),"",B779&amp;"|"&amp;C779)</f>
        <v/>
      </c>
      <c r="B779" s="181"/>
      <c r="C779" s="181"/>
      <c r="D779" s="181"/>
      <c r="E779" s="186"/>
      <c r="F779" s="181"/>
      <c r="G779" s="181"/>
      <c r="H779" s="181"/>
      <c r="I779" s="181"/>
      <c r="J779" s="181"/>
      <c r="K779" s="181"/>
      <c r="L779" s="181"/>
      <c r="M779" s="181"/>
      <c r="N779" s="181"/>
      <c r="O779" s="181"/>
      <c r="P779" s="181"/>
      <c r="Q779" s="181"/>
      <c r="R779" s="181"/>
      <c r="S779" s="181"/>
      <c r="T779" s="181"/>
      <c r="U779" s="181"/>
      <c r="V779" s="181"/>
      <c r="W779" s="181"/>
      <c r="X779" s="181"/>
      <c r="Y779" s="181"/>
      <c r="Z779" s="181"/>
      <c r="AA779" s="181"/>
    </row>
    <row r="780" customFormat="false" ht="15.75" hidden="false" customHeight="false" outlineLevel="0" collapsed="false">
      <c r="A780" s="181" t="str">
        <f aca="false">IF(ISBLANK(B780),"",B780&amp;"|"&amp;C780)</f>
        <v/>
      </c>
      <c r="B780" s="181"/>
      <c r="C780" s="181"/>
      <c r="D780" s="181"/>
      <c r="E780" s="186"/>
      <c r="F780" s="181"/>
      <c r="G780" s="181"/>
      <c r="H780" s="181"/>
      <c r="I780" s="181"/>
      <c r="J780" s="181"/>
      <c r="K780" s="181"/>
      <c r="L780" s="181"/>
      <c r="M780" s="181"/>
      <c r="N780" s="181"/>
      <c r="O780" s="181"/>
      <c r="P780" s="181"/>
      <c r="Q780" s="181"/>
      <c r="R780" s="181"/>
      <c r="S780" s="181"/>
      <c r="T780" s="181"/>
      <c r="U780" s="181"/>
      <c r="V780" s="181"/>
      <c r="W780" s="181"/>
      <c r="X780" s="181"/>
      <c r="Y780" s="181"/>
      <c r="Z780" s="181"/>
      <c r="AA780" s="181"/>
    </row>
    <row r="781" customFormat="false" ht="15.75" hidden="false" customHeight="false" outlineLevel="0" collapsed="false">
      <c r="A781" s="181" t="str">
        <f aca="false">IF(ISBLANK(B781),"",B781&amp;"|"&amp;C781)</f>
        <v/>
      </c>
      <c r="B781" s="181"/>
      <c r="C781" s="181"/>
      <c r="D781" s="181"/>
      <c r="E781" s="186"/>
      <c r="F781" s="181"/>
      <c r="G781" s="181"/>
      <c r="H781" s="181"/>
      <c r="I781" s="181"/>
      <c r="J781" s="181"/>
      <c r="K781" s="181"/>
      <c r="L781" s="181"/>
      <c r="M781" s="181"/>
      <c r="N781" s="181"/>
      <c r="O781" s="181"/>
      <c r="P781" s="181"/>
      <c r="Q781" s="181"/>
      <c r="R781" s="181"/>
      <c r="S781" s="181"/>
      <c r="T781" s="181"/>
      <c r="U781" s="181"/>
      <c r="V781" s="181"/>
      <c r="W781" s="181"/>
      <c r="X781" s="181"/>
      <c r="Y781" s="181"/>
      <c r="Z781" s="181"/>
      <c r="AA781" s="181"/>
    </row>
    <row r="782" customFormat="false" ht="15.75" hidden="false" customHeight="false" outlineLevel="0" collapsed="false">
      <c r="A782" s="181" t="str">
        <f aca="false">IF(ISBLANK(B782),"",B782&amp;"|"&amp;C782)</f>
        <v/>
      </c>
      <c r="B782" s="181"/>
      <c r="C782" s="181"/>
      <c r="D782" s="181"/>
      <c r="E782" s="186"/>
      <c r="F782" s="181"/>
      <c r="G782" s="181"/>
      <c r="H782" s="181"/>
      <c r="I782" s="181"/>
      <c r="J782" s="181"/>
      <c r="K782" s="181"/>
      <c r="L782" s="181"/>
      <c r="M782" s="181"/>
      <c r="N782" s="181"/>
      <c r="O782" s="181"/>
      <c r="P782" s="181"/>
      <c r="Q782" s="181"/>
      <c r="R782" s="181"/>
      <c r="S782" s="181"/>
      <c r="T782" s="181"/>
      <c r="U782" s="181"/>
      <c r="V782" s="181"/>
      <c r="W782" s="181"/>
      <c r="X782" s="181"/>
      <c r="Y782" s="181"/>
      <c r="Z782" s="181"/>
      <c r="AA782" s="181"/>
    </row>
    <row r="783" customFormat="false" ht="15.75" hidden="false" customHeight="false" outlineLevel="0" collapsed="false">
      <c r="A783" s="181" t="str">
        <f aca="false">IF(ISBLANK(B783),"",B783&amp;"|"&amp;C783)</f>
        <v/>
      </c>
      <c r="B783" s="181"/>
      <c r="C783" s="181"/>
      <c r="D783" s="181"/>
      <c r="E783" s="186"/>
      <c r="F783" s="181"/>
      <c r="G783" s="181"/>
      <c r="H783" s="181"/>
      <c r="I783" s="181"/>
      <c r="J783" s="181"/>
      <c r="K783" s="181"/>
      <c r="L783" s="181"/>
      <c r="M783" s="181"/>
      <c r="N783" s="181"/>
      <c r="O783" s="181"/>
      <c r="P783" s="181"/>
      <c r="Q783" s="181"/>
      <c r="R783" s="181"/>
      <c r="S783" s="181"/>
      <c r="T783" s="181"/>
      <c r="U783" s="181"/>
      <c r="V783" s="181"/>
      <c r="W783" s="181"/>
      <c r="X783" s="181"/>
      <c r="Y783" s="181"/>
      <c r="Z783" s="181"/>
      <c r="AA783" s="181"/>
    </row>
    <row r="784" customFormat="false" ht="15.75" hidden="false" customHeight="false" outlineLevel="0" collapsed="false">
      <c r="A784" s="181" t="str">
        <f aca="false">IF(ISBLANK(B784),"",B784&amp;"|"&amp;C784)</f>
        <v/>
      </c>
      <c r="B784" s="181"/>
      <c r="C784" s="181"/>
      <c r="D784" s="181"/>
      <c r="E784" s="186"/>
      <c r="F784" s="181"/>
      <c r="G784" s="181"/>
      <c r="H784" s="181"/>
      <c r="I784" s="181"/>
      <c r="J784" s="181"/>
      <c r="K784" s="181"/>
      <c r="L784" s="181"/>
      <c r="M784" s="181"/>
      <c r="N784" s="181"/>
      <c r="O784" s="181"/>
      <c r="P784" s="181"/>
      <c r="Q784" s="181"/>
      <c r="R784" s="181"/>
      <c r="S784" s="181"/>
      <c r="T784" s="181"/>
      <c r="U784" s="181"/>
      <c r="V784" s="181"/>
      <c r="W784" s="181"/>
      <c r="X784" s="181"/>
      <c r="Y784" s="181"/>
      <c r="Z784" s="181"/>
      <c r="AA784" s="181"/>
    </row>
    <row r="785" customFormat="false" ht="15.75" hidden="false" customHeight="false" outlineLevel="0" collapsed="false">
      <c r="A785" s="181" t="str">
        <f aca="false">IF(ISBLANK(B785),"",B785&amp;"|"&amp;C785)</f>
        <v/>
      </c>
      <c r="B785" s="181"/>
      <c r="C785" s="181"/>
      <c r="D785" s="181"/>
      <c r="E785" s="186"/>
      <c r="F785" s="181"/>
      <c r="G785" s="181"/>
      <c r="H785" s="181"/>
      <c r="I785" s="181"/>
      <c r="J785" s="181"/>
      <c r="K785" s="181"/>
      <c r="L785" s="181"/>
      <c r="M785" s="181"/>
      <c r="N785" s="181"/>
      <c r="O785" s="181"/>
      <c r="P785" s="181"/>
      <c r="Q785" s="181"/>
      <c r="R785" s="181"/>
      <c r="S785" s="181"/>
      <c r="T785" s="181"/>
      <c r="U785" s="181"/>
      <c r="V785" s="181"/>
      <c r="W785" s="181"/>
      <c r="X785" s="181"/>
      <c r="Y785" s="181"/>
      <c r="Z785" s="181"/>
      <c r="AA785" s="181"/>
    </row>
    <row r="786" customFormat="false" ht="15.75" hidden="false" customHeight="false" outlineLevel="0" collapsed="false">
      <c r="A786" s="181" t="str">
        <f aca="false">IF(ISBLANK(B786),"",B786&amp;"|"&amp;C786)</f>
        <v/>
      </c>
      <c r="B786" s="181"/>
      <c r="C786" s="181"/>
      <c r="D786" s="181"/>
      <c r="E786" s="186"/>
      <c r="F786" s="181"/>
      <c r="G786" s="181"/>
      <c r="H786" s="181"/>
      <c r="I786" s="181"/>
      <c r="J786" s="181"/>
      <c r="K786" s="181"/>
      <c r="L786" s="181"/>
      <c r="M786" s="181"/>
      <c r="N786" s="181"/>
      <c r="O786" s="181"/>
      <c r="P786" s="181"/>
      <c r="Q786" s="181"/>
      <c r="R786" s="181"/>
      <c r="S786" s="181"/>
      <c r="T786" s="181"/>
      <c r="U786" s="181"/>
      <c r="V786" s="181"/>
      <c r="W786" s="181"/>
      <c r="X786" s="181"/>
      <c r="Y786" s="181"/>
      <c r="Z786" s="181"/>
      <c r="AA786" s="181"/>
    </row>
    <row r="787" customFormat="false" ht="15.75" hidden="false" customHeight="false" outlineLevel="0" collapsed="false">
      <c r="A787" s="181" t="str">
        <f aca="false">IF(ISBLANK(B787),"",B787&amp;"|"&amp;C787)</f>
        <v/>
      </c>
      <c r="B787" s="181"/>
      <c r="C787" s="181"/>
      <c r="D787" s="181"/>
      <c r="E787" s="186"/>
      <c r="F787" s="181"/>
      <c r="G787" s="181"/>
      <c r="H787" s="181"/>
      <c r="I787" s="181"/>
      <c r="J787" s="181"/>
      <c r="K787" s="181"/>
      <c r="L787" s="181"/>
      <c r="M787" s="181"/>
      <c r="N787" s="181"/>
      <c r="O787" s="181"/>
      <c r="P787" s="181"/>
      <c r="Q787" s="181"/>
      <c r="R787" s="181"/>
      <c r="S787" s="181"/>
      <c r="T787" s="181"/>
      <c r="U787" s="181"/>
      <c r="V787" s="181"/>
      <c r="W787" s="181"/>
      <c r="X787" s="181"/>
      <c r="Y787" s="181"/>
      <c r="Z787" s="181"/>
      <c r="AA787" s="181"/>
    </row>
    <row r="788" customFormat="false" ht="15.75" hidden="false" customHeight="false" outlineLevel="0" collapsed="false">
      <c r="A788" s="181" t="str">
        <f aca="false">IF(ISBLANK(B788),"",B788&amp;"|"&amp;C788)</f>
        <v/>
      </c>
      <c r="B788" s="181"/>
      <c r="C788" s="181"/>
      <c r="D788" s="181"/>
      <c r="E788" s="186"/>
      <c r="F788" s="181"/>
      <c r="G788" s="181"/>
      <c r="H788" s="181"/>
      <c r="I788" s="181"/>
      <c r="J788" s="181"/>
      <c r="K788" s="181"/>
      <c r="L788" s="181"/>
      <c r="M788" s="181"/>
      <c r="N788" s="181"/>
      <c r="O788" s="181"/>
      <c r="P788" s="181"/>
      <c r="Q788" s="181"/>
      <c r="R788" s="181"/>
      <c r="S788" s="181"/>
      <c r="T788" s="181"/>
      <c r="U788" s="181"/>
      <c r="V788" s="181"/>
      <c r="W788" s="181"/>
      <c r="X788" s="181"/>
      <c r="Y788" s="181"/>
      <c r="Z788" s="181"/>
      <c r="AA788" s="181"/>
    </row>
    <row r="789" customFormat="false" ht="15.75" hidden="false" customHeight="false" outlineLevel="0" collapsed="false">
      <c r="A789" s="181" t="str">
        <f aca="false">IF(ISBLANK(B789),"",B789&amp;"|"&amp;C789)</f>
        <v/>
      </c>
      <c r="B789" s="181"/>
      <c r="C789" s="181"/>
      <c r="D789" s="181"/>
      <c r="E789" s="186"/>
      <c r="F789" s="181"/>
      <c r="G789" s="181"/>
      <c r="H789" s="181"/>
      <c r="I789" s="181"/>
      <c r="J789" s="181"/>
      <c r="K789" s="181"/>
      <c r="L789" s="181"/>
      <c r="M789" s="181"/>
      <c r="N789" s="181"/>
      <c r="O789" s="181"/>
      <c r="P789" s="181"/>
      <c r="Q789" s="181"/>
      <c r="R789" s="181"/>
      <c r="S789" s="181"/>
      <c r="T789" s="181"/>
      <c r="U789" s="181"/>
      <c r="V789" s="181"/>
      <c r="W789" s="181"/>
      <c r="X789" s="181"/>
      <c r="Y789" s="181"/>
      <c r="Z789" s="181"/>
      <c r="AA789" s="181"/>
    </row>
    <row r="790" customFormat="false" ht="15.75" hidden="false" customHeight="false" outlineLevel="0" collapsed="false">
      <c r="A790" s="181" t="str">
        <f aca="false">IF(ISBLANK(B790),"",B790&amp;"|"&amp;C790)</f>
        <v/>
      </c>
      <c r="B790" s="181"/>
      <c r="C790" s="181"/>
      <c r="D790" s="181"/>
      <c r="E790" s="186"/>
      <c r="F790" s="181"/>
      <c r="G790" s="181"/>
      <c r="H790" s="181"/>
      <c r="I790" s="181"/>
      <c r="J790" s="181"/>
      <c r="K790" s="181"/>
      <c r="L790" s="181"/>
      <c r="M790" s="181"/>
      <c r="N790" s="181"/>
      <c r="O790" s="181"/>
      <c r="P790" s="181"/>
      <c r="Q790" s="181"/>
      <c r="R790" s="181"/>
      <c r="S790" s="181"/>
      <c r="T790" s="181"/>
      <c r="U790" s="181"/>
      <c r="V790" s="181"/>
      <c r="W790" s="181"/>
      <c r="X790" s="181"/>
      <c r="Y790" s="181"/>
      <c r="Z790" s="181"/>
      <c r="AA790" s="181"/>
    </row>
    <row r="791" customFormat="false" ht="15.75" hidden="false" customHeight="false" outlineLevel="0" collapsed="false">
      <c r="A791" s="181" t="str">
        <f aca="false">IF(ISBLANK(B791),"",B791&amp;"|"&amp;C791)</f>
        <v/>
      </c>
      <c r="B791" s="181"/>
      <c r="C791" s="181"/>
      <c r="D791" s="181"/>
      <c r="E791" s="186"/>
      <c r="F791" s="181"/>
      <c r="G791" s="181"/>
      <c r="H791" s="181"/>
      <c r="I791" s="181"/>
      <c r="J791" s="181"/>
      <c r="K791" s="181"/>
      <c r="L791" s="181"/>
      <c r="M791" s="181"/>
      <c r="N791" s="181"/>
      <c r="O791" s="181"/>
      <c r="P791" s="181"/>
      <c r="Q791" s="181"/>
      <c r="R791" s="181"/>
      <c r="S791" s="181"/>
      <c r="T791" s="181"/>
      <c r="U791" s="181"/>
      <c r="V791" s="181"/>
      <c r="W791" s="181"/>
      <c r="X791" s="181"/>
      <c r="Y791" s="181"/>
      <c r="Z791" s="181"/>
      <c r="AA791" s="181"/>
    </row>
    <row r="792" customFormat="false" ht="15.75" hidden="false" customHeight="false" outlineLevel="0" collapsed="false">
      <c r="A792" s="181" t="str">
        <f aca="false">IF(ISBLANK(B792),"",B792&amp;"|"&amp;C792)</f>
        <v/>
      </c>
      <c r="B792" s="181"/>
      <c r="C792" s="181"/>
      <c r="D792" s="181"/>
      <c r="E792" s="186"/>
      <c r="F792" s="181"/>
      <c r="G792" s="181"/>
      <c r="H792" s="181"/>
      <c r="I792" s="181"/>
      <c r="J792" s="181"/>
      <c r="K792" s="181"/>
      <c r="L792" s="181"/>
      <c r="M792" s="181"/>
      <c r="N792" s="181"/>
      <c r="O792" s="181"/>
      <c r="P792" s="181"/>
      <c r="Q792" s="181"/>
      <c r="R792" s="181"/>
      <c r="S792" s="181"/>
      <c r="T792" s="181"/>
      <c r="U792" s="181"/>
      <c r="V792" s="181"/>
      <c r="W792" s="181"/>
      <c r="X792" s="181"/>
      <c r="Y792" s="181"/>
      <c r="Z792" s="181"/>
      <c r="AA792" s="181"/>
    </row>
    <row r="793" customFormat="false" ht="15.75" hidden="false" customHeight="false" outlineLevel="0" collapsed="false">
      <c r="A793" s="181" t="str">
        <f aca="false">IF(ISBLANK(B793),"",B793&amp;"|"&amp;C793)</f>
        <v/>
      </c>
      <c r="B793" s="181"/>
      <c r="C793" s="181"/>
      <c r="D793" s="181"/>
      <c r="E793" s="186"/>
      <c r="F793" s="181"/>
      <c r="G793" s="181"/>
      <c r="H793" s="181"/>
      <c r="I793" s="181"/>
      <c r="J793" s="181"/>
      <c r="K793" s="181"/>
      <c r="L793" s="181"/>
      <c r="M793" s="181"/>
      <c r="N793" s="181"/>
      <c r="O793" s="181"/>
      <c r="P793" s="181"/>
      <c r="Q793" s="181"/>
      <c r="R793" s="181"/>
      <c r="S793" s="181"/>
      <c r="T793" s="181"/>
      <c r="U793" s="181"/>
      <c r="V793" s="181"/>
      <c r="W793" s="181"/>
      <c r="X793" s="181"/>
      <c r="Y793" s="181"/>
      <c r="Z793" s="181"/>
      <c r="AA793" s="181"/>
    </row>
    <row r="794" customFormat="false" ht="15.75" hidden="false" customHeight="false" outlineLevel="0" collapsed="false">
      <c r="A794" s="181" t="str">
        <f aca="false">IF(ISBLANK(B794),"",B794&amp;"|"&amp;C794)</f>
        <v/>
      </c>
      <c r="B794" s="181"/>
      <c r="C794" s="181"/>
      <c r="D794" s="181"/>
      <c r="E794" s="186"/>
      <c r="F794" s="181"/>
      <c r="G794" s="181"/>
      <c r="H794" s="181"/>
      <c r="I794" s="181"/>
      <c r="J794" s="181"/>
      <c r="K794" s="181"/>
      <c r="L794" s="181"/>
      <c r="M794" s="181"/>
      <c r="N794" s="181"/>
      <c r="O794" s="181"/>
      <c r="P794" s="181"/>
      <c r="Q794" s="181"/>
      <c r="R794" s="181"/>
      <c r="S794" s="181"/>
      <c r="T794" s="181"/>
      <c r="U794" s="181"/>
      <c r="V794" s="181"/>
      <c r="W794" s="181"/>
      <c r="X794" s="181"/>
      <c r="Y794" s="181"/>
      <c r="Z794" s="181"/>
      <c r="AA794" s="181"/>
    </row>
    <row r="795" customFormat="false" ht="15.75" hidden="false" customHeight="false" outlineLevel="0" collapsed="false">
      <c r="A795" s="181" t="str">
        <f aca="false">IF(ISBLANK(B795),"",B795&amp;"|"&amp;C795)</f>
        <v/>
      </c>
      <c r="B795" s="181"/>
      <c r="C795" s="181"/>
      <c r="D795" s="181"/>
      <c r="E795" s="186"/>
      <c r="F795" s="181"/>
      <c r="G795" s="181"/>
      <c r="H795" s="181"/>
      <c r="I795" s="181"/>
      <c r="J795" s="181"/>
      <c r="K795" s="181"/>
      <c r="L795" s="181"/>
      <c r="M795" s="181"/>
      <c r="N795" s="181"/>
      <c r="O795" s="181"/>
      <c r="P795" s="181"/>
      <c r="Q795" s="181"/>
      <c r="R795" s="181"/>
      <c r="S795" s="181"/>
      <c r="T795" s="181"/>
      <c r="U795" s="181"/>
      <c r="V795" s="181"/>
      <c r="W795" s="181"/>
      <c r="X795" s="181"/>
      <c r="Y795" s="181"/>
      <c r="Z795" s="181"/>
      <c r="AA795" s="181"/>
    </row>
    <row r="796" customFormat="false" ht="15.75" hidden="false" customHeight="false" outlineLevel="0" collapsed="false">
      <c r="A796" s="181" t="str">
        <f aca="false">IF(ISBLANK(B796),"",B796&amp;"|"&amp;C796)</f>
        <v/>
      </c>
      <c r="B796" s="181"/>
      <c r="C796" s="181"/>
      <c r="D796" s="181"/>
      <c r="E796" s="186"/>
      <c r="F796" s="181"/>
      <c r="G796" s="181"/>
      <c r="H796" s="181"/>
      <c r="I796" s="181"/>
      <c r="J796" s="181"/>
      <c r="K796" s="181"/>
      <c r="L796" s="181"/>
      <c r="M796" s="181"/>
      <c r="N796" s="181"/>
      <c r="O796" s="181"/>
      <c r="P796" s="181"/>
      <c r="Q796" s="181"/>
      <c r="R796" s="181"/>
      <c r="S796" s="181"/>
      <c r="T796" s="181"/>
      <c r="U796" s="181"/>
      <c r="V796" s="181"/>
      <c r="W796" s="181"/>
      <c r="X796" s="181"/>
      <c r="Y796" s="181"/>
      <c r="Z796" s="181"/>
      <c r="AA796" s="181"/>
    </row>
    <row r="797" customFormat="false" ht="15.75" hidden="false" customHeight="false" outlineLevel="0" collapsed="false">
      <c r="A797" s="181" t="str">
        <f aca="false">IF(ISBLANK(B797),"",B797&amp;"|"&amp;C797)</f>
        <v/>
      </c>
      <c r="B797" s="181"/>
      <c r="C797" s="181"/>
      <c r="D797" s="181"/>
      <c r="E797" s="186"/>
      <c r="F797" s="181"/>
      <c r="G797" s="181"/>
      <c r="H797" s="181"/>
      <c r="I797" s="181"/>
      <c r="J797" s="181"/>
      <c r="K797" s="181"/>
      <c r="L797" s="181"/>
      <c r="M797" s="181"/>
      <c r="N797" s="181"/>
      <c r="O797" s="181"/>
      <c r="P797" s="181"/>
      <c r="Q797" s="181"/>
      <c r="R797" s="181"/>
      <c r="S797" s="181"/>
      <c r="T797" s="181"/>
      <c r="U797" s="181"/>
      <c r="V797" s="181"/>
      <c r="W797" s="181"/>
      <c r="X797" s="181"/>
      <c r="Y797" s="181"/>
      <c r="Z797" s="181"/>
      <c r="AA797" s="181"/>
    </row>
    <row r="798" customFormat="false" ht="15.75" hidden="false" customHeight="false" outlineLevel="0" collapsed="false">
      <c r="A798" s="181" t="str">
        <f aca="false">IF(ISBLANK(B798),"",B798&amp;"|"&amp;C798)</f>
        <v/>
      </c>
      <c r="B798" s="181"/>
      <c r="C798" s="181"/>
      <c r="D798" s="181"/>
      <c r="E798" s="186"/>
      <c r="F798" s="181"/>
      <c r="G798" s="181"/>
      <c r="H798" s="181"/>
      <c r="I798" s="181"/>
      <c r="J798" s="181"/>
      <c r="K798" s="181"/>
      <c r="L798" s="181"/>
      <c r="M798" s="181"/>
      <c r="N798" s="181"/>
      <c r="O798" s="181"/>
      <c r="P798" s="181"/>
      <c r="Q798" s="181"/>
      <c r="R798" s="181"/>
      <c r="S798" s="181"/>
      <c r="T798" s="181"/>
      <c r="U798" s="181"/>
      <c r="V798" s="181"/>
      <c r="W798" s="181"/>
      <c r="X798" s="181"/>
      <c r="Y798" s="181"/>
      <c r="Z798" s="181"/>
      <c r="AA798" s="181"/>
    </row>
    <row r="799" customFormat="false" ht="15.75" hidden="false" customHeight="false" outlineLevel="0" collapsed="false">
      <c r="A799" s="181" t="str">
        <f aca="false">IF(ISBLANK(B799),"",B799&amp;"|"&amp;C799)</f>
        <v/>
      </c>
      <c r="B799" s="181"/>
      <c r="C799" s="181"/>
      <c r="D799" s="181"/>
      <c r="E799" s="186"/>
      <c r="F799" s="181"/>
      <c r="G799" s="181"/>
      <c r="H799" s="181"/>
      <c r="I799" s="181"/>
      <c r="J799" s="181"/>
      <c r="K799" s="181"/>
      <c r="L799" s="181"/>
      <c r="M799" s="181"/>
      <c r="N799" s="181"/>
      <c r="O799" s="181"/>
      <c r="P799" s="181"/>
      <c r="Q799" s="181"/>
      <c r="R799" s="181"/>
      <c r="S799" s="181"/>
      <c r="T799" s="181"/>
      <c r="U799" s="181"/>
      <c r="V799" s="181"/>
      <c r="W799" s="181"/>
      <c r="X799" s="181"/>
      <c r="Y799" s="181"/>
      <c r="Z799" s="181"/>
      <c r="AA799" s="181"/>
    </row>
    <row r="800" customFormat="false" ht="15.75" hidden="false" customHeight="false" outlineLevel="0" collapsed="false">
      <c r="A800" s="181" t="str">
        <f aca="false">IF(ISBLANK(B800),"",B800&amp;"|"&amp;C800)</f>
        <v/>
      </c>
      <c r="B800" s="181"/>
      <c r="C800" s="181"/>
      <c r="D800" s="181"/>
      <c r="E800" s="186"/>
      <c r="F800" s="181"/>
      <c r="G800" s="181"/>
      <c r="H800" s="181"/>
      <c r="I800" s="181"/>
      <c r="J800" s="181"/>
      <c r="K800" s="181"/>
      <c r="L800" s="181"/>
      <c r="M800" s="181"/>
      <c r="N800" s="181"/>
      <c r="O800" s="181"/>
      <c r="P800" s="181"/>
      <c r="Q800" s="181"/>
      <c r="R800" s="181"/>
      <c r="S800" s="181"/>
      <c r="T800" s="181"/>
      <c r="U800" s="181"/>
      <c r="V800" s="181"/>
      <c r="W800" s="181"/>
      <c r="X800" s="181"/>
      <c r="Y800" s="181"/>
      <c r="Z800" s="181"/>
      <c r="AA800" s="181"/>
    </row>
    <row r="801" customFormat="false" ht="15.75" hidden="false" customHeight="false" outlineLevel="0" collapsed="false">
      <c r="A801" s="181" t="str">
        <f aca="false">IF(ISBLANK(B801),"",B801&amp;"|"&amp;C801)</f>
        <v/>
      </c>
      <c r="B801" s="181"/>
      <c r="C801" s="181"/>
      <c r="D801" s="181"/>
      <c r="E801" s="186"/>
      <c r="F801" s="181"/>
      <c r="G801" s="181"/>
      <c r="H801" s="181"/>
      <c r="I801" s="181"/>
      <c r="J801" s="181"/>
      <c r="K801" s="181"/>
      <c r="L801" s="181"/>
      <c r="M801" s="181"/>
      <c r="N801" s="181"/>
      <c r="O801" s="181"/>
      <c r="P801" s="181"/>
      <c r="Q801" s="181"/>
      <c r="R801" s="181"/>
      <c r="S801" s="181"/>
      <c r="T801" s="181"/>
      <c r="U801" s="181"/>
      <c r="V801" s="181"/>
      <c r="W801" s="181"/>
      <c r="X801" s="181"/>
      <c r="Y801" s="181"/>
      <c r="Z801" s="181"/>
      <c r="AA801" s="181"/>
    </row>
    <row r="802" customFormat="false" ht="15.75" hidden="false" customHeight="false" outlineLevel="0" collapsed="false">
      <c r="A802" s="181" t="str">
        <f aca="false">IF(ISBLANK(B802),"",B802&amp;"|"&amp;C802)</f>
        <v/>
      </c>
      <c r="B802" s="181"/>
      <c r="C802" s="181"/>
      <c r="D802" s="181"/>
      <c r="E802" s="186"/>
      <c r="F802" s="181"/>
      <c r="G802" s="181"/>
      <c r="H802" s="181"/>
      <c r="I802" s="181"/>
      <c r="J802" s="181"/>
      <c r="K802" s="181"/>
      <c r="L802" s="181"/>
      <c r="M802" s="181"/>
      <c r="N802" s="181"/>
      <c r="O802" s="181"/>
      <c r="P802" s="181"/>
      <c r="Q802" s="181"/>
      <c r="R802" s="181"/>
      <c r="S802" s="181"/>
      <c r="T802" s="181"/>
      <c r="U802" s="181"/>
      <c r="V802" s="181"/>
      <c r="W802" s="181"/>
      <c r="X802" s="181"/>
      <c r="Y802" s="181"/>
      <c r="Z802" s="181"/>
      <c r="AA802" s="181"/>
    </row>
    <row r="803" customFormat="false" ht="15.75" hidden="false" customHeight="false" outlineLevel="0" collapsed="false">
      <c r="A803" s="181" t="str">
        <f aca="false">IF(ISBLANK(B803),"",B803&amp;"|"&amp;C803)</f>
        <v/>
      </c>
      <c r="B803" s="181"/>
      <c r="C803" s="181"/>
      <c r="D803" s="181"/>
      <c r="E803" s="186"/>
      <c r="F803" s="181"/>
      <c r="G803" s="181"/>
      <c r="H803" s="181"/>
      <c r="I803" s="181"/>
      <c r="J803" s="181"/>
      <c r="K803" s="181"/>
      <c r="L803" s="181"/>
      <c r="M803" s="181"/>
      <c r="N803" s="181"/>
      <c r="O803" s="181"/>
      <c r="P803" s="181"/>
      <c r="Q803" s="181"/>
      <c r="R803" s="181"/>
      <c r="S803" s="181"/>
      <c r="T803" s="181"/>
      <c r="U803" s="181"/>
      <c r="V803" s="181"/>
      <c r="W803" s="181"/>
      <c r="X803" s="181"/>
      <c r="Y803" s="181"/>
      <c r="Z803" s="181"/>
      <c r="AA803" s="181"/>
    </row>
    <row r="804" customFormat="false" ht="15.75" hidden="false" customHeight="false" outlineLevel="0" collapsed="false">
      <c r="A804" s="181" t="str">
        <f aca="false">IF(ISBLANK(B804),"",B804&amp;"|"&amp;C804)</f>
        <v/>
      </c>
      <c r="B804" s="181"/>
      <c r="C804" s="181"/>
      <c r="D804" s="181"/>
      <c r="E804" s="186"/>
      <c r="F804" s="181"/>
      <c r="G804" s="181"/>
      <c r="H804" s="181"/>
      <c r="I804" s="181"/>
      <c r="J804" s="181"/>
      <c r="K804" s="181"/>
      <c r="L804" s="181"/>
      <c r="M804" s="181"/>
      <c r="N804" s="181"/>
      <c r="O804" s="181"/>
      <c r="P804" s="181"/>
      <c r="Q804" s="181"/>
      <c r="R804" s="181"/>
      <c r="S804" s="181"/>
      <c r="T804" s="181"/>
      <c r="U804" s="181"/>
      <c r="V804" s="181"/>
      <c r="W804" s="181"/>
      <c r="X804" s="181"/>
      <c r="Y804" s="181"/>
      <c r="Z804" s="181"/>
      <c r="AA804" s="181"/>
    </row>
    <row r="805" customFormat="false" ht="15.75" hidden="false" customHeight="false" outlineLevel="0" collapsed="false">
      <c r="A805" s="181" t="str">
        <f aca="false">IF(ISBLANK(B805),"",B805&amp;"|"&amp;C805)</f>
        <v/>
      </c>
      <c r="B805" s="181"/>
      <c r="C805" s="181"/>
      <c r="D805" s="181"/>
      <c r="E805" s="186"/>
      <c r="F805" s="181"/>
      <c r="G805" s="181"/>
      <c r="H805" s="181"/>
      <c r="I805" s="181"/>
      <c r="J805" s="181"/>
      <c r="K805" s="181"/>
      <c r="L805" s="181"/>
      <c r="M805" s="181"/>
      <c r="N805" s="181"/>
      <c r="O805" s="181"/>
      <c r="P805" s="181"/>
      <c r="Q805" s="181"/>
      <c r="R805" s="181"/>
      <c r="S805" s="181"/>
      <c r="T805" s="181"/>
      <c r="U805" s="181"/>
      <c r="V805" s="181"/>
      <c r="W805" s="181"/>
      <c r="X805" s="181"/>
      <c r="Y805" s="181"/>
      <c r="Z805" s="181"/>
      <c r="AA805" s="181"/>
    </row>
    <row r="806" customFormat="false" ht="15.75" hidden="false" customHeight="false" outlineLevel="0" collapsed="false">
      <c r="A806" s="181" t="str">
        <f aca="false">IF(ISBLANK(B806),"",B806&amp;"|"&amp;C806)</f>
        <v/>
      </c>
      <c r="B806" s="181"/>
      <c r="C806" s="181"/>
      <c r="D806" s="181"/>
      <c r="E806" s="186"/>
      <c r="F806" s="181"/>
      <c r="G806" s="181"/>
      <c r="H806" s="181"/>
      <c r="I806" s="181"/>
      <c r="J806" s="181"/>
      <c r="K806" s="181"/>
      <c r="L806" s="181"/>
      <c r="M806" s="181"/>
      <c r="N806" s="181"/>
      <c r="O806" s="181"/>
      <c r="P806" s="181"/>
      <c r="Q806" s="181"/>
      <c r="R806" s="181"/>
      <c r="S806" s="181"/>
      <c r="T806" s="181"/>
      <c r="U806" s="181"/>
      <c r="V806" s="181"/>
      <c r="W806" s="181"/>
      <c r="X806" s="181"/>
      <c r="Y806" s="181"/>
      <c r="Z806" s="181"/>
      <c r="AA806" s="181"/>
    </row>
    <row r="807" customFormat="false" ht="15.75" hidden="false" customHeight="false" outlineLevel="0" collapsed="false">
      <c r="A807" s="181" t="str">
        <f aca="false">IF(ISBLANK(B807),"",B807&amp;"|"&amp;C807)</f>
        <v/>
      </c>
      <c r="B807" s="181"/>
      <c r="C807" s="181"/>
      <c r="D807" s="181"/>
      <c r="E807" s="186"/>
      <c r="F807" s="181"/>
      <c r="G807" s="181"/>
      <c r="H807" s="181"/>
      <c r="I807" s="181"/>
      <c r="J807" s="181"/>
      <c r="K807" s="181"/>
      <c r="L807" s="181"/>
      <c r="M807" s="181"/>
      <c r="N807" s="181"/>
      <c r="O807" s="181"/>
      <c r="P807" s="181"/>
      <c r="Q807" s="181"/>
      <c r="R807" s="181"/>
      <c r="S807" s="181"/>
      <c r="T807" s="181"/>
      <c r="U807" s="181"/>
      <c r="V807" s="181"/>
      <c r="W807" s="181"/>
      <c r="X807" s="181"/>
      <c r="Y807" s="181"/>
      <c r="Z807" s="181"/>
      <c r="AA807" s="181"/>
    </row>
    <row r="808" customFormat="false" ht="15.75" hidden="false" customHeight="false" outlineLevel="0" collapsed="false">
      <c r="A808" s="181" t="str">
        <f aca="false">IF(ISBLANK(B808),"",B808&amp;"|"&amp;C808)</f>
        <v/>
      </c>
      <c r="B808" s="181"/>
      <c r="C808" s="181"/>
      <c r="D808" s="181"/>
      <c r="E808" s="186"/>
      <c r="F808" s="181"/>
      <c r="G808" s="181"/>
      <c r="H808" s="181"/>
      <c r="I808" s="181"/>
      <c r="J808" s="181"/>
      <c r="K808" s="181"/>
      <c r="L808" s="181"/>
      <c r="M808" s="181"/>
      <c r="N808" s="181"/>
      <c r="O808" s="181"/>
      <c r="P808" s="181"/>
      <c r="Q808" s="181"/>
      <c r="R808" s="181"/>
      <c r="S808" s="181"/>
      <c r="T808" s="181"/>
      <c r="U808" s="181"/>
      <c r="V808" s="181"/>
      <c r="W808" s="181"/>
      <c r="X808" s="181"/>
      <c r="Y808" s="181"/>
      <c r="Z808" s="181"/>
      <c r="AA808" s="181"/>
    </row>
    <row r="809" customFormat="false" ht="15.75" hidden="false" customHeight="false" outlineLevel="0" collapsed="false">
      <c r="A809" s="181" t="str">
        <f aca="false">IF(ISBLANK(B809),"",B809&amp;"|"&amp;C809)</f>
        <v/>
      </c>
      <c r="B809" s="181"/>
      <c r="C809" s="181"/>
      <c r="D809" s="181"/>
      <c r="E809" s="186"/>
      <c r="F809" s="181"/>
      <c r="G809" s="181"/>
      <c r="H809" s="181"/>
      <c r="I809" s="181"/>
      <c r="J809" s="181"/>
      <c r="K809" s="181"/>
      <c r="L809" s="181"/>
      <c r="M809" s="181"/>
      <c r="N809" s="181"/>
      <c r="O809" s="181"/>
      <c r="P809" s="181"/>
      <c r="Q809" s="181"/>
      <c r="R809" s="181"/>
      <c r="S809" s="181"/>
      <c r="T809" s="181"/>
      <c r="U809" s="181"/>
      <c r="V809" s="181"/>
      <c r="W809" s="181"/>
      <c r="X809" s="181"/>
      <c r="Y809" s="181"/>
      <c r="Z809" s="181"/>
      <c r="AA809" s="181"/>
    </row>
    <row r="810" customFormat="false" ht="15.75" hidden="false" customHeight="false" outlineLevel="0" collapsed="false">
      <c r="A810" s="181" t="str">
        <f aca="false">IF(ISBLANK(B810),"",B810&amp;"|"&amp;C810)</f>
        <v/>
      </c>
      <c r="B810" s="181"/>
      <c r="C810" s="181"/>
      <c r="D810" s="181"/>
      <c r="E810" s="186"/>
      <c r="F810" s="181"/>
      <c r="G810" s="181"/>
      <c r="H810" s="181"/>
      <c r="I810" s="181"/>
      <c r="J810" s="181"/>
      <c r="K810" s="181"/>
      <c r="L810" s="181"/>
      <c r="M810" s="181"/>
      <c r="N810" s="181"/>
      <c r="O810" s="181"/>
      <c r="P810" s="181"/>
      <c r="Q810" s="181"/>
      <c r="R810" s="181"/>
      <c r="S810" s="181"/>
      <c r="T810" s="181"/>
      <c r="U810" s="181"/>
      <c r="V810" s="181"/>
      <c r="W810" s="181"/>
      <c r="X810" s="181"/>
      <c r="Y810" s="181"/>
      <c r="Z810" s="181"/>
      <c r="AA810" s="181"/>
    </row>
    <row r="811" customFormat="false" ht="15.75" hidden="false" customHeight="false" outlineLevel="0" collapsed="false">
      <c r="A811" s="181" t="str">
        <f aca="false">IF(ISBLANK(B811),"",B811&amp;"|"&amp;C811)</f>
        <v/>
      </c>
      <c r="B811" s="181"/>
      <c r="C811" s="181"/>
      <c r="D811" s="181"/>
      <c r="E811" s="186"/>
      <c r="F811" s="181"/>
      <c r="G811" s="181"/>
      <c r="H811" s="181"/>
      <c r="I811" s="181"/>
      <c r="J811" s="181"/>
      <c r="K811" s="181"/>
      <c r="L811" s="181"/>
      <c r="M811" s="181"/>
      <c r="N811" s="181"/>
      <c r="O811" s="181"/>
      <c r="P811" s="181"/>
      <c r="Q811" s="181"/>
      <c r="R811" s="181"/>
      <c r="S811" s="181"/>
      <c r="T811" s="181"/>
      <c r="U811" s="181"/>
      <c r="V811" s="181"/>
      <c r="W811" s="181"/>
      <c r="X811" s="181"/>
      <c r="Y811" s="181"/>
      <c r="Z811" s="181"/>
      <c r="AA811" s="181"/>
    </row>
    <row r="812" customFormat="false" ht="15.75" hidden="false" customHeight="false" outlineLevel="0" collapsed="false">
      <c r="A812" s="181" t="str">
        <f aca="false">IF(ISBLANK(B812),"",B812&amp;"|"&amp;C812)</f>
        <v/>
      </c>
      <c r="B812" s="181"/>
      <c r="C812" s="181"/>
      <c r="D812" s="181"/>
      <c r="E812" s="186"/>
      <c r="F812" s="181"/>
      <c r="G812" s="181"/>
      <c r="H812" s="181"/>
      <c r="I812" s="181"/>
      <c r="J812" s="181"/>
      <c r="K812" s="181"/>
      <c r="L812" s="181"/>
      <c r="M812" s="181"/>
      <c r="N812" s="181"/>
      <c r="O812" s="181"/>
      <c r="P812" s="181"/>
      <c r="Q812" s="181"/>
      <c r="R812" s="181"/>
      <c r="S812" s="181"/>
      <c r="T812" s="181"/>
      <c r="U812" s="181"/>
      <c r="V812" s="181"/>
      <c r="W812" s="181"/>
      <c r="X812" s="181"/>
      <c r="Y812" s="181"/>
      <c r="Z812" s="181"/>
      <c r="AA812" s="181"/>
    </row>
    <row r="813" customFormat="false" ht="15.75" hidden="false" customHeight="false" outlineLevel="0" collapsed="false">
      <c r="A813" s="181" t="str">
        <f aca="false">IF(ISBLANK(B813),"",B813&amp;"|"&amp;C813)</f>
        <v/>
      </c>
      <c r="B813" s="181"/>
      <c r="C813" s="181"/>
      <c r="D813" s="181"/>
      <c r="E813" s="186"/>
      <c r="F813" s="181"/>
      <c r="G813" s="181"/>
      <c r="H813" s="181"/>
      <c r="I813" s="181"/>
      <c r="J813" s="181"/>
      <c r="K813" s="181"/>
      <c r="L813" s="181"/>
      <c r="M813" s="181"/>
      <c r="N813" s="181"/>
      <c r="O813" s="181"/>
      <c r="P813" s="181"/>
      <c r="Q813" s="181"/>
      <c r="R813" s="181"/>
      <c r="S813" s="181"/>
      <c r="T813" s="181"/>
      <c r="U813" s="181"/>
      <c r="V813" s="181"/>
      <c r="W813" s="181"/>
      <c r="X813" s="181"/>
      <c r="Y813" s="181"/>
      <c r="Z813" s="181"/>
      <c r="AA813" s="181"/>
    </row>
    <row r="814" customFormat="false" ht="15.75" hidden="false" customHeight="false" outlineLevel="0" collapsed="false">
      <c r="A814" s="181" t="str">
        <f aca="false">IF(ISBLANK(B814),"",B814&amp;"|"&amp;C814)</f>
        <v/>
      </c>
      <c r="B814" s="181"/>
      <c r="C814" s="181"/>
      <c r="D814" s="181"/>
      <c r="E814" s="186"/>
      <c r="F814" s="181"/>
      <c r="G814" s="181"/>
      <c r="H814" s="181"/>
      <c r="I814" s="181"/>
      <c r="J814" s="181"/>
      <c r="K814" s="181"/>
      <c r="L814" s="181"/>
      <c r="M814" s="181"/>
      <c r="N814" s="181"/>
      <c r="O814" s="181"/>
      <c r="P814" s="181"/>
      <c r="Q814" s="181"/>
      <c r="R814" s="181"/>
      <c r="S814" s="181"/>
      <c r="T814" s="181"/>
      <c r="U814" s="181"/>
      <c r="V814" s="181"/>
      <c r="W814" s="181"/>
      <c r="X814" s="181"/>
      <c r="Y814" s="181"/>
      <c r="Z814" s="181"/>
      <c r="AA814" s="181"/>
    </row>
    <row r="815" customFormat="false" ht="15.75" hidden="false" customHeight="false" outlineLevel="0" collapsed="false">
      <c r="A815" s="181" t="str">
        <f aca="false">IF(ISBLANK(B815),"",B815&amp;"|"&amp;C815)</f>
        <v/>
      </c>
      <c r="B815" s="181"/>
      <c r="C815" s="181"/>
      <c r="D815" s="181"/>
      <c r="E815" s="186"/>
      <c r="F815" s="181"/>
      <c r="G815" s="181"/>
      <c r="H815" s="181"/>
      <c r="I815" s="181"/>
      <c r="J815" s="181"/>
      <c r="K815" s="181"/>
      <c r="L815" s="181"/>
      <c r="M815" s="181"/>
      <c r="N815" s="181"/>
      <c r="O815" s="181"/>
      <c r="P815" s="181"/>
      <c r="Q815" s="181"/>
      <c r="R815" s="181"/>
      <c r="S815" s="181"/>
      <c r="T815" s="181"/>
      <c r="U815" s="181"/>
      <c r="V815" s="181"/>
      <c r="W815" s="181"/>
      <c r="X815" s="181"/>
      <c r="Y815" s="181"/>
      <c r="Z815" s="181"/>
      <c r="AA815" s="181"/>
    </row>
    <row r="816" customFormat="false" ht="15.75" hidden="false" customHeight="false" outlineLevel="0" collapsed="false">
      <c r="A816" s="181" t="str">
        <f aca="false">IF(ISBLANK(B816),"",B816&amp;"|"&amp;C816)</f>
        <v/>
      </c>
      <c r="B816" s="181"/>
      <c r="C816" s="181"/>
      <c r="D816" s="181"/>
      <c r="E816" s="186"/>
      <c r="F816" s="181"/>
      <c r="G816" s="181"/>
      <c r="H816" s="181"/>
      <c r="I816" s="181"/>
      <c r="J816" s="181"/>
      <c r="K816" s="181"/>
      <c r="L816" s="181"/>
      <c r="M816" s="181"/>
      <c r="N816" s="181"/>
      <c r="O816" s="181"/>
      <c r="P816" s="181"/>
      <c r="Q816" s="181"/>
      <c r="R816" s="181"/>
      <c r="S816" s="181"/>
      <c r="T816" s="181"/>
      <c r="U816" s="181"/>
      <c r="V816" s="181"/>
      <c r="W816" s="181"/>
      <c r="X816" s="181"/>
      <c r="Y816" s="181"/>
      <c r="Z816" s="181"/>
      <c r="AA816" s="181"/>
    </row>
    <row r="817" customFormat="false" ht="15.75" hidden="false" customHeight="false" outlineLevel="0" collapsed="false">
      <c r="A817" s="181" t="str">
        <f aca="false">IF(ISBLANK(B817),"",B817&amp;"|"&amp;C817)</f>
        <v/>
      </c>
      <c r="B817" s="181"/>
      <c r="C817" s="181"/>
      <c r="D817" s="181"/>
      <c r="E817" s="186"/>
      <c r="F817" s="181"/>
      <c r="G817" s="181"/>
      <c r="H817" s="181"/>
      <c r="I817" s="181"/>
      <c r="J817" s="181"/>
      <c r="K817" s="181"/>
      <c r="L817" s="181"/>
      <c r="M817" s="181"/>
      <c r="N817" s="181"/>
      <c r="O817" s="181"/>
      <c r="P817" s="181"/>
      <c r="Q817" s="181"/>
      <c r="R817" s="181"/>
      <c r="S817" s="181"/>
      <c r="T817" s="181"/>
      <c r="U817" s="181"/>
      <c r="V817" s="181"/>
      <c r="W817" s="181"/>
      <c r="X817" s="181"/>
      <c r="Y817" s="181"/>
      <c r="Z817" s="181"/>
      <c r="AA817" s="181"/>
    </row>
    <row r="818" customFormat="false" ht="15.75" hidden="false" customHeight="false" outlineLevel="0" collapsed="false">
      <c r="A818" s="181" t="str">
        <f aca="false">IF(ISBLANK(B818),"",B818&amp;"|"&amp;C818)</f>
        <v/>
      </c>
      <c r="B818" s="181"/>
      <c r="C818" s="181"/>
      <c r="D818" s="181"/>
      <c r="E818" s="186"/>
      <c r="F818" s="181"/>
      <c r="G818" s="181"/>
      <c r="H818" s="181"/>
      <c r="I818" s="181"/>
      <c r="J818" s="181"/>
      <c r="K818" s="181"/>
      <c r="L818" s="181"/>
      <c r="M818" s="181"/>
      <c r="N818" s="181"/>
      <c r="O818" s="181"/>
      <c r="P818" s="181"/>
      <c r="Q818" s="181"/>
      <c r="R818" s="181"/>
      <c r="S818" s="181"/>
      <c r="T818" s="181"/>
      <c r="U818" s="181"/>
      <c r="V818" s="181"/>
      <c r="W818" s="181"/>
      <c r="X818" s="181"/>
      <c r="Y818" s="181"/>
      <c r="Z818" s="181"/>
      <c r="AA818" s="181"/>
    </row>
    <row r="819" customFormat="false" ht="15.75" hidden="false" customHeight="false" outlineLevel="0" collapsed="false">
      <c r="A819" s="181" t="str">
        <f aca="false">IF(ISBLANK(B819),"",B819&amp;"|"&amp;C819)</f>
        <v/>
      </c>
      <c r="B819" s="181"/>
      <c r="C819" s="181"/>
      <c r="D819" s="181"/>
      <c r="E819" s="186"/>
      <c r="F819" s="181"/>
      <c r="G819" s="181"/>
      <c r="H819" s="181"/>
      <c r="I819" s="181"/>
      <c r="J819" s="181"/>
      <c r="K819" s="181"/>
      <c r="L819" s="181"/>
      <c r="M819" s="181"/>
      <c r="N819" s="181"/>
      <c r="O819" s="181"/>
      <c r="P819" s="181"/>
      <c r="Q819" s="181"/>
      <c r="R819" s="181"/>
      <c r="S819" s="181"/>
      <c r="T819" s="181"/>
      <c r="U819" s="181"/>
      <c r="V819" s="181"/>
      <c r="W819" s="181"/>
      <c r="X819" s="181"/>
      <c r="Y819" s="181"/>
      <c r="Z819" s="181"/>
      <c r="AA819" s="181"/>
    </row>
    <row r="820" customFormat="false" ht="15.75" hidden="false" customHeight="false" outlineLevel="0" collapsed="false">
      <c r="A820" s="181" t="str">
        <f aca="false">IF(ISBLANK(B820),"",B820&amp;"|"&amp;C820)</f>
        <v/>
      </c>
      <c r="B820" s="181"/>
      <c r="C820" s="181"/>
      <c r="D820" s="181"/>
      <c r="E820" s="186"/>
      <c r="F820" s="181"/>
      <c r="G820" s="181"/>
      <c r="H820" s="181"/>
      <c r="I820" s="181"/>
      <c r="J820" s="181"/>
      <c r="K820" s="181"/>
      <c r="L820" s="181"/>
      <c r="M820" s="181"/>
      <c r="N820" s="181"/>
      <c r="O820" s="181"/>
      <c r="P820" s="181"/>
      <c r="Q820" s="181"/>
      <c r="R820" s="181"/>
      <c r="S820" s="181"/>
      <c r="T820" s="181"/>
      <c r="U820" s="181"/>
      <c r="V820" s="181"/>
      <c r="W820" s="181"/>
      <c r="X820" s="181"/>
      <c r="Y820" s="181"/>
      <c r="Z820" s="181"/>
      <c r="AA820" s="181"/>
    </row>
    <row r="821" customFormat="false" ht="15.75" hidden="false" customHeight="false" outlineLevel="0" collapsed="false">
      <c r="A821" s="181" t="str">
        <f aca="false">IF(ISBLANK(B821),"",B821&amp;"|"&amp;C821)</f>
        <v/>
      </c>
      <c r="B821" s="181"/>
      <c r="C821" s="181"/>
      <c r="D821" s="181"/>
      <c r="E821" s="186"/>
      <c r="F821" s="181"/>
      <c r="G821" s="181"/>
      <c r="H821" s="181"/>
      <c r="I821" s="181"/>
      <c r="J821" s="181"/>
      <c r="K821" s="181"/>
      <c r="L821" s="181"/>
      <c r="M821" s="181"/>
      <c r="N821" s="181"/>
      <c r="O821" s="181"/>
      <c r="P821" s="181"/>
      <c r="Q821" s="181"/>
      <c r="R821" s="181"/>
      <c r="S821" s="181"/>
      <c r="T821" s="181"/>
      <c r="U821" s="181"/>
      <c r="V821" s="181"/>
      <c r="W821" s="181"/>
      <c r="X821" s="181"/>
      <c r="Y821" s="181"/>
      <c r="Z821" s="181"/>
      <c r="AA821" s="181"/>
    </row>
    <row r="822" customFormat="false" ht="15.75" hidden="false" customHeight="false" outlineLevel="0" collapsed="false">
      <c r="A822" s="181" t="str">
        <f aca="false">IF(ISBLANK(B822),"",B822&amp;"|"&amp;C822)</f>
        <v/>
      </c>
      <c r="B822" s="181"/>
      <c r="C822" s="181"/>
      <c r="D822" s="181"/>
      <c r="E822" s="186"/>
      <c r="F822" s="181"/>
      <c r="G822" s="181"/>
      <c r="H822" s="181"/>
      <c r="I822" s="181"/>
      <c r="J822" s="181"/>
      <c r="K822" s="181"/>
      <c r="L822" s="181"/>
      <c r="M822" s="181"/>
      <c r="N822" s="181"/>
      <c r="O822" s="181"/>
      <c r="P822" s="181"/>
      <c r="Q822" s="181"/>
      <c r="R822" s="181"/>
      <c r="S822" s="181"/>
      <c r="T822" s="181"/>
      <c r="U822" s="181"/>
      <c r="V822" s="181"/>
      <c r="W822" s="181"/>
      <c r="X822" s="181"/>
      <c r="Y822" s="181"/>
      <c r="Z822" s="181"/>
      <c r="AA822" s="181"/>
    </row>
    <row r="823" customFormat="false" ht="15.75" hidden="false" customHeight="false" outlineLevel="0" collapsed="false">
      <c r="A823" s="181" t="str">
        <f aca="false">IF(ISBLANK(B823),"",B823&amp;"|"&amp;C823)</f>
        <v/>
      </c>
      <c r="B823" s="181"/>
      <c r="C823" s="181"/>
      <c r="D823" s="181"/>
      <c r="E823" s="186"/>
      <c r="F823" s="181"/>
      <c r="G823" s="181"/>
      <c r="H823" s="181"/>
      <c r="I823" s="181"/>
      <c r="J823" s="181"/>
      <c r="K823" s="181"/>
      <c r="L823" s="181"/>
      <c r="M823" s="181"/>
      <c r="N823" s="181"/>
      <c r="O823" s="181"/>
      <c r="P823" s="181"/>
      <c r="Q823" s="181"/>
      <c r="R823" s="181"/>
      <c r="S823" s="181"/>
      <c r="T823" s="181"/>
      <c r="U823" s="181"/>
      <c r="V823" s="181"/>
      <c r="W823" s="181"/>
      <c r="X823" s="181"/>
      <c r="Y823" s="181"/>
      <c r="Z823" s="181"/>
      <c r="AA823" s="181"/>
    </row>
    <row r="824" customFormat="false" ht="15.75" hidden="false" customHeight="false" outlineLevel="0" collapsed="false">
      <c r="A824" s="181" t="str">
        <f aca="false">IF(ISBLANK(B824),"",B824&amp;"|"&amp;C824)</f>
        <v/>
      </c>
      <c r="B824" s="181"/>
      <c r="C824" s="181"/>
      <c r="D824" s="181"/>
      <c r="E824" s="186"/>
      <c r="F824" s="181"/>
      <c r="G824" s="181"/>
      <c r="H824" s="181"/>
      <c r="I824" s="181"/>
      <c r="J824" s="181"/>
      <c r="K824" s="181"/>
      <c r="L824" s="181"/>
      <c r="M824" s="181"/>
      <c r="N824" s="181"/>
      <c r="O824" s="181"/>
      <c r="P824" s="181"/>
      <c r="Q824" s="181"/>
      <c r="R824" s="181"/>
      <c r="S824" s="181"/>
      <c r="T824" s="181"/>
      <c r="U824" s="181"/>
      <c r="V824" s="181"/>
      <c r="W824" s="181"/>
      <c r="X824" s="181"/>
      <c r="Y824" s="181"/>
      <c r="Z824" s="181"/>
      <c r="AA824" s="181"/>
    </row>
    <row r="825" customFormat="false" ht="15.75" hidden="false" customHeight="false" outlineLevel="0" collapsed="false">
      <c r="A825" s="181" t="str">
        <f aca="false">IF(ISBLANK(B825),"",B825&amp;"|"&amp;C825)</f>
        <v/>
      </c>
      <c r="B825" s="181"/>
      <c r="C825" s="181"/>
      <c r="D825" s="181"/>
      <c r="E825" s="186"/>
      <c r="F825" s="181"/>
      <c r="G825" s="181"/>
      <c r="H825" s="181"/>
      <c r="I825" s="181"/>
      <c r="J825" s="181"/>
      <c r="K825" s="181"/>
      <c r="L825" s="181"/>
      <c r="M825" s="181"/>
      <c r="N825" s="181"/>
      <c r="O825" s="181"/>
      <c r="P825" s="181"/>
      <c r="Q825" s="181"/>
      <c r="R825" s="181"/>
      <c r="S825" s="181"/>
      <c r="T825" s="181"/>
      <c r="U825" s="181"/>
      <c r="V825" s="181"/>
      <c r="W825" s="181"/>
      <c r="X825" s="181"/>
      <c r="Y825" s="181"/>
      <c r="Z825" s="181"/>
      <c r="AA825" s="181"/>
    </row>
    <row r="826" customFormat="false" ht="15.75" hidden="false" customHeight="false" outlineLevel="0" collapsed="false">
      <c r="A826" s="181" t="str">
        <f aca="false">IF(ISBLANK(B826),"",B826&amp;"|"&amp;C826)</f>
        <v/>
      </c>
      <c r="B826" s="181"/>
      <c r="C826" s="181"/>
      <c r="D826" s="181"/>
      <c r="E826" s="186"/>
      <c r="F826" s="181"/>
      <c r="G826" s="181"/>
      <c r="H826" s="181"/>
      <c r="I826" s="181"/>
      <c r="J826" s="181"/>
      <c r="K826" s="181"/>
      <c r="L826" s="181"/>
      <c r="M826" s="181"/>
      <c r="N826" s="181"/>
      <c r="O826" s="181"/>
      <c r="P826" s="181"/>
      <c r="Q826" s="181"/>
      <c r="R826" s="181"/>
      <c r="S826" s="181"/>
      <c r="T826" s="181"/>
      <c r="U826" s="181"/>
      <c r="V826" s="181"/>
      <c r="W826" s="181"/>
      <c r="X826" s="181"/>
      <c r="Y826" s="181"/>
      <c r="Z826" s="181"/>
      <c r="AA826" s="181"/>
    </row>
    <row r="827" customFormat="false" ht="15.75" hidden="false" customHeight="false" outlineLevel="0" collapsed="false">
      <c r="A827" s="181" t="str">
        <f aca="false">IF(ISBLANK(B827),"",B827&amp;"|"&amp;C827)</f>
        <v/>
      </c>
      <c r="B827" s="181"/>
      <c r="C827" s="181"/>
      <c r="D827" s="181"/>
      <c r="E827" s="186"/>
      <c r="F827" s="181"/>
      <c r="G827" s="181"/>
      <c r="H827" s="181"/>
      <c r="I827" s="181"/>
      <c r="J827" s="181"/>
      <c r="K827" s="181"/>
      <c r="L827" s="181"/>
      <c r="M827" s="181"/>
      <c r="N827" s="181"/>
      <c r="O827" s="181"/>
      <c r="P827" s="181"/>
      <c r="Q827" s="181"/>
      <c r="R827" s="181"/>
      <c r="S827" s="181"/>
      <c r="T827" s="181"/>
      <c r="U827" s="181"/>
      <c r="V827" s="181"/>
      <c r="W827" s="181"/>
      <c r="X827" s="181"/>
      <c r="Y827" s="181"/>
      <c r="Z827" s="181"/>
      <c r="AA827" s="181"/>
    </row>
    <row r="828" customFormat="false" ht="15.75" hidden="false" customHeight="false" outlineLevel="0" collapsed="false">
      <c r="A828" s="181" t="str">
        <f aca="false">IF(ISBLANK(B828),"",B828&amp;"|"&amp;C828)</f>
        <v/>
      </c>
      <c r="B828" s="181"/>
      <c r="C828" s="181"/>
      <c r="D828" s="181"/>
      <c r="E828" s="186"/>
      <c r="F828" s="181"/>
      <c r="G828" s="181"/>
      <c r="H828" s="181"/>
      <c r="I828" s="181"/>
      <c r="J828" s="181"/>
      <c r="K828" s="181"/>
      <c r="L828" s="181"/>
      <c r="M828" s="181"/>
      <c r="N828" s="181"/>
      <c r="O828" s="181"/>
      <c r="P828" s="181"/>
      <c r="Q828" s="181"/>
      <c r="R828" s="181"/>
      <c r="S828" s="181"/>
      <c r="T828" s="181"/>
      <c r="U828" s="181"/>
      <c r="V828" s="181"/>
      <c r="W828" s="181"/>
      <c r="X828" s="181"/>
      <c r="Y828" s="181"/>
      <c r="Z828" s="181"/>
      <c r="AA828" s="181"/>
    </row>
    <row r="829" customFormat="false" ht="15.75" hidden="false" customHeight="false" outlineLevel="0" collapsed="false">
      <c r="A829" s="181" t="str">
        <f aca="false">IF(ISBLANK(B829),"",B829&amp;"|"&amp;C829)</f>
        <v/>
      </c>
      <c r="B829" s="181"/>
      <c r="C829" s="181"/>
      <c r="D829" s="181"/>
      <c r="E829" s="186"/>
      <c r="F829" s="181"/>
      <c r="G829" s="181"/>
      <c r="H829" s="181"/>
      <c r="I829" s="181"/>
      <c r="J829" s="181"/>
      <c r="K829" s="181"/>
      <c r="L829" s="181"/>
      <c r="M829" s="181"/>
      <c r="N829" s="181"/>
      <c r="O829" s="181"/>
      <c r="P829" s="181"/>
      <c r="Q829" s="181"/>
      <c r="R829" s="181"/>
      <c r="S829" s="181"/>
      <c r="T829" s="181"/>
      <c r="U829" s="181"/>
      <c r="V829" s="181"/>
      <c r="W829" s="181"/>
      <c r="X829" s="181"/>
      <c r="Y829" s="181"/>
      <c r="Z829" s="181"/>
      <c r="AA829" s="181"/>
    </row>
    <row r="830" customFormat="false" ht="15.75" hidden="false" customHeight="false" outlineLevel="0" collapsed="false">
      <c r="A830" s="181" t="str">
        <f aca="false">IF(ISBLANK(B830),"",B830&amp;"|"&amp;C830)</f>
        <v/>
      </c>
      <c r="B830" s="181"/>
      <c r="C830" s="181"/>
      <c r="D830" s="181"/>
      <c r="E830" s="186"/>
      <c r="F830" s="181"/>
      <c r="G830" s="181"/>
      <c r="H830" s="181"/>
      <c r="I830" s="181"/>
      <c r="J830" s="181"/>
      <c r="K830" s="181"/>
      <c r="L830" s="181"/>
      <c r="M830" s="181"/>
      <c r="N830" s="181"/>
      <c r="O830" s="181"/>
      <c r="P830" s="181"/>
      <c r="Q830" s="181"/>
      <c r="R830" s="181"/>
      <c r="S830" s="181"/>
      <c r="T830" s="181"/>
      <c r="U830" s="181"/>
      <c r="V830" s="181"/>
      <c r="W830" s="181"/>
      <c r="X830" s="181"/>
      <c r="Y830" s="181"/>
      <c r="Z830" s="181"/>
      <c r="AA830" s="181"/>
    </row>
    <row r="831" customFormat="false" ht="15.75" hidden="false" customHeight="false" outlineLevel="0" collapsed="false">
      <c r="A831" s="181" t="str">
        <f aca="false">IF(ISBLANK(B831),"",B831&amp;"|"&amp;C831)</f>
        <v/>
      </c>
      <c r="B831" s="181"/>
      <c r="C831" s="181"/>
      <c r="D831" s="181"/>
      <c r="E831" s="186"/>
      <c r="F831" s="181"/>
      <c r="G831" s="181"/>
      <c r="H831" s="181"/>
      <c r="I831" s="181"/>
      <c r="J831" s="181"/>
      <c r="K831" s="181"/>
      <c r="L831" s="181"/>
      <c r="M831" s="181"/>
      <c r="N831" s="181"/>
      <c r="O831" s="181"/>
      <c r="P831" s="181"/>
      <c r="Q831" s="181"/>
      <c r="R831" s="181"/>
      <c r="S831" s="181"/>
      <c r="T831" s="181"/>
      <c r="U831" s="181"/>
      <c r="V831" s="181"/>
      <c r="W831" s="181"/>
      <c r="X831" s="181"/>
      <c r="Y831" s="181"/>
      <c r="Z831" s="181"/>
      <c r="AA831" s="181"/>
    </row>
    <row r="832" customFormat="false" ht="15.75" hidden="false" customHeight="false" outlineLevel="0" collapsed="false">
      <c r="A832" s="181" t="str">
        <f aca="false">IF(ISBLANK(B832),"",B832&amp;"|"&amp;C832)</f>
        <v/>
      </c>
      <c r="B832" s="181"/>
      <c r="C832" s="181"/>
      <c r="D832" s="181"/>
      <c r="E832" s="186"/>
      <c r="F832" s="181"/>
      <c r="G832" s="181"/>
      <c r="H832" s="181"/>
      <c r="I832" s="181"/>
      <c r="J832" s="181"/>
      <c r="K832" s="181"/>
      <c r="L832" s="181"/>
      <c r="M832" s="181"/>
      <c r="N832" s="181"/>
      <c r="O832" s="181"/>
      <c r="P832" s="181"/>
      <c r="Q832" s="181"/>
      <c r="R832" s="181"/>
      <c r="S832" s="181"/>
      <c r="T832" s="181"/>
      <c r="U832" s="181"/>
      <c r="V832" s="181"/>
      <c r="W832" s="181"/>
      <c r="X832" s="181"/>
      <c r="Y832" s="181"/>
      <c r="Z832" s="181"/>
      <c r="AA832" s="181"/>
    </row>
    <row r="833" customFormat="false" ht="15.75" hidden="false" customHeight="false" outlineLevel="0" collapsed="false">
      <c r="A833" s="181" t="str">
        <f aca="false">IF(ISBLANK(B833),"",B833&amp;"|"&amp;C833)</f>
        <v/>
      </c>
      <c r="B833" s="181"/>
      <c r="C833" s="181"/>
      <c r="D833" s="181"/>
      <c r="E833" s="186"/>
      <c r="F833" s="181"/>
      <c r="G833" s="181"/>
      <c r="H833" s="181"/>
      <c r="I833" s="181"/>
      <c r="J833" s="181"/>
      <c r="K833" s="181"/>
      <c r="L833" s="181"/>
      <c r="M833" s="181"/>
      <c r="N833" s="181"/>
      <c r="O833" s="181"/>
      <c r="P833" s="181"/>
      <c r="Q833" s="181"/>
      <c r="R833" s="181"/>
      <c r="S833" s="181"/>
      <c r="T833" s="181"/>
      <c r="U833" s="181"/>
      <c r="V833" s="181"/>
      <c r="W833" s="181"/>
      <c r="X833" s="181"/>
      <c r="Y833" s="181"/>
      <c r="Z833" s="181"/>
      <c r="AA833" s="181"/>
    </row>
    <row r="834" customFormat="false" ht="15.75" hidden="false" customHeight="false" outlineLevel="0" collapsed="false">
      <c r="A834" s="181" t="str">
        <f aca="false">IF(ISBLANK(B834),"",B834&amp;"|"&amp;C834)</f>
        <v/>
      </c>
      <c r="B834" s="181"/>
      <c r="C834" s="181"/>
      <c r="D834" s="181"/>
      <c r="E834" s="186"/>
      <c r="F834" s="181"/>
      <c r="G834" s="181"/>
      <c r="H834" s="181"/>
      <c r="I834" s="181"/>
      <c r="J834" s="181"/>
      <c r="K834" s="181"/>
      <c r="L834" s="181"/>
      <c r="M834" s="181"/>
      <c r="N834" s="181"/>
      <c r="O834" s="181"/>
      <c r="P834" s="181"/>
      <c r="Q834" s="181"/>
      <c r="R834" s="181"/>
      <c r="S834" s="181"/>
      <c r="T834" s="181"/>
      <c r="U834" s="181"/>
      <c r="V834" s="181"/>
      <c r="W834" s="181"/>
      <c r="X834" s="181"/>
      <c r="Y834" s="181"/>
      <c r="Z834" s="181"/>
      <c r="AA834" s="181"/>
    </row>
    <row r="835" customFormat="false" ht="15.75" hidden="false" customHeight="false" outlineLevel="0" collapsed="false">
      <c r="A835" s="181" t="str">
        <f aca="false">IF(ISBLANK(B835),"",B835&amp;"|"&amp;C835)</f>
        <v/>
      </c>
      <c r="B835" s="181"/>
      <c r="C835" s="181"/>
      <c r="D835" s="181"/>
      <c r="E835" s="186"/>
      <c r="F835" s="181"/>
      <c r="G835" s="181"/>
      <c r="H835" s="181"/>
      <c r="I835" s="181"/>
      <c r="J835" s="181"/>
      <c r="K835" s="181"/>
      <c r="L835" s="181"/>
      <c r="M835" s="181"/>
      <c r="N835" s="181"/>
      <c r="O835" s="181"/>
      <c r="P835" s="181"/>
      <c r="Q835" s="181"/>
      <c r="R835" s="181"/>
      <c r="S835" s="181"/>
      <c r="T835" s="181"/>
      <c r="U835" s="181"/>
      <c r="V835" s="181"/>
      <c r="W835" s="181"/>
      <c r="X835" s="181"/>
      <c r="Y835" s="181"/>
      <c r="Z835" s="181"/>
      <c r="AA835" s="181"/>
    </row>
    <row r="836" customFormat="false" ht="15.75" hidden="false" customHeight="false" outlineLevel="0" collapsed="false">
      <c r="A836" s="181" t="str">
        <f aca="false">IF(ISBLANK(B836),"",B836&amp;"|"&amp;C836)</f>
        <v/>
      </c>
      <c r="B836" s="181"/>
      <c r="C836" s="181"/>
      <c r="D836" s="181"/>
      <c r="E836" s="186"/>
      <c r="F836" s="181"/>
      <c r="G836" s="181"/>
      <c r="H836" s="181"/>
      <c r="I836" s="181"/>
      <c r="J836" s="181"/>
      <c r="K836" s="181"/>
      <c r="L836" s="181"/>
      <c r="M836" s="181"/>
      <c r="N836" s="181"/>
      <c r="O836" s="181"/>
      <c r="P836" s="181"/>
      <c r="Q836" s="181"/>
      <c r="R836" s="181"/>
      <c r="S836" s="181"/>
      <c r="T836" s="181"/>
      <c r="U836" s="181"/>
      <c r="V836" s="181"/>
      <c r="W836" s="181"/>
      <c r="X836" s="181"/>
      <c r="Y836" s="181"/>
      <c r="Z836" s="181"/>
      <c r="AA836" s="181"/>
    </row>
    <row r="837" customFormat="false" ht="15.75" hidden="false" customHeight="false" outlineLevel="0" collapsed="false">
      <c r="A837" s="181" t="str">
        <f aca="false">IF(ISBLANK(B837),"",B837&amp;"|"&amp;C837)</f>
        <v/>
      </c>
      <c r="B837" s="181"/>
      <c r="C837" s="181"/>
      <c r="D837" s="181"/>
      <c r="E837" s="186"/>
      <c r="F837" s="181"/>
      <c r="G837" s="181"/>
      <c r="H837" s="181"/>
      <c r="I837" s="181"/>
      <c r="J837" s="181"/>
      <c r="K837" s="181"/>
      <c r="L837" s="181"/>
      <c r="M837" s="181"/>
      <c r="N837" s="181"/>
      <c r="O837" s="181"/>
      <c r="P837" s="181"/>
      <c r="Q837" s="181"/>
      <c r="R837" s="181"/>
      <c r="S837" s="181"/>
      <c r="T837" s="181"/>
      <c r="U837" s="181"/>
      <c r="V837" s="181"/>
      <c r="W837" s="181"/>
      <c r="X837" s="181"/>
      <c r="Y837" s="181"/>
      <c r="Z837" s="181"/>
      <c r="AA837" s="181"/>
    </row>
    <row r="838" customFormat="false" ht="15.75" hidden="false" customHeight="false" outlineLevel="0" collapsed="false">
      <c r="A838" s="181" t="str">
        <f aca="false">IF(ISBLANK(B838),"",B838&amp;"|"&amp;C838)</f>
        <v/>
      </c>
      <c r="B838" s="181"/>
      <c r="C838" s="181"/>
      <c r="D838" s="181"/>
      <c r="E838" s="186"/>
      <c r="F838" s="181"/>
      <c r="G838" s="181"/>
      <c r="H838" s="181"/>
      <c r="I838" s="181"/>
      <c r="J838" s="181"/>
      <c r="K838" s="181"/>
      <c r="L838" s="181"/>
      <c r="M838" s="181"/>
      <c r="N838" s="181"/>
      <c r="O838" s="181"/>
      <c r="P838" s="181"/>
      <c r="Q838" s="181"/>
      <c r="R838" s="181"/>
      <c r="S838" s="181"/>
      <c r="T838" s="181"/>
      <c r="U838" s="181"/>
      <c r="V838" s="181"/>
      <c r="W838" s="181"/>
      <c r="X838" s="181"/>
      <c r="Y838" s="181"/>
      <c r="Z838" s="181"/>
      <c r="AA838" s="181"/>
    </row>
    <row r="839" customFormat="false" ht="15.75" hidden="false" customHeight="false" outlineLevel="0" collapsed="false">
      <c r="A839" s="181" t="str">
        <f aca="false">IF(ISBLANK(B839),"",B839&amp;"|"&amp;C839)</f>
        <v/>
      </c>
      <c r="B839" s="181"/>
      <c r="C839" s="181"/>
      <c r="D839" s="181"/>
      <c r="E839" s="186"/>
      <c r="F839" s="181"/>
      <c r="G839" s="181"/>
      <c r="H839" s="181"/>
      <c r="I839" s="181"/>
      <c r="J839" s="181"/>
      <c r="K839" s="181"/>
      <c r="L839" s="181"/>
      <c r="M839" s="181"/>
      <c r="N839" s="181"/>
      <c r="O839" s="181"/>
      <c r="P839" s="181"/>
      <c r="Q839" s="181"/>
      <c r="R839" s="181"/>
      <c r="S839" s="181"/>
      <c r="T839" s="181"/>
      <c r="U839" s="181"/>
      <c r="V839" s="181"/>
      <c r="W839" s="181"/>
      <c r="X839" s="181"/>
      <c r="Y839" s="181"/>
      <c r="Z839" s="181"/>
      <c r="AA839" s="181"/>
    </row>
    <row r="840" customFormat="false" ht="15.75" hidden="false" customHeight="false" outlineLevel="0" collapsed="false">
      <c r="A840" s="181" t="str">
        <f aca="false">IF(ISBLANK(B840),"",B840&amp;"|"&amp;C840)</f>
        <v/>
      </c>
      <c r="B840" s="181"/>
      <c r="C840" s="181"/>
      <c r="D840" s="181"/>
      <c r="E840" s="186"/>
      <c r="F840" s="181"/>
      <c r="G840" s="181"/>
      <c r="H840" s="181"/>
      <c r="I840" s="181"/>
      <c r="J840" s="181"/>
      <c r="K840" s="181"/>
      <c r="L840" s="181"/>
      <c r="M840" s="181"/>
      <c r="N840" s="181"/>
      <c r="O840" s="181"/>
      <c r="P840" s="181"/>
      <c r="Q840" s="181"/>
      <c r="R840" s="181"/>
      <c r="S840" s="181"/>
      <c r="T840" s="181"/>
      <c r="U840" s="181"/>
      <c r="V840" s="181"/>
      <c r="W840" s="181"/>
      <c r="X840" s="181"/>
      <c r="Y840" s="181"/>
      <c r="Z840" s="181"/>
      <c r="AA840" s="181"/>
    </row>
    <row r="841" customFormat="false" ht="15.75" hidden="false" customHeight="false" outlineLevel="0" collapsed="false">
      <c r="A841" s="181" t="str">
        <f aca="false">IF(ISBLANK(B841),"",B841&amp;"|"&amp;C841)</f>
        <v/>
      </c>
      <c r="B841" s="181"/>
      <c r="C841" s="181"/>
      <c r="D841" s="181"/>
      <c r="E841" s="186"/>
      <c r="F841" s="181"/>
      <c r="G841" s="181"/>
      <c r="H841" s="181"/>
      <c r="I841" s="181"/>
      <c r="J841" s="181"/>
      <c r="K841" s="181"/>
      <c r="L841" s="181"/>
      <c r="M841" s="181"/>
      <c r="N841" s="181"/>
      <c r="O841" s="181"/>
      <c r="P841" s="181"/>
      <c r="Q841" s="181"/>
      <c r="R841" s="181"/>
      <c r="S841" s="181"/>
      <c r="T841" s="181"/>
      <c r="U841" s="181"/>
      <c r="V841" s="181"/>
      <c r="W841" s="181"/>
      <c r="X841" s="181"/>
      <c r="Y841" s="181"/>
      <c r="Z841" s="181"/>
      <c r="AA841" s="181"/>
    </row>
    <row r="842" customFormat="false" ht="15.75" hidden="false" customHeight="false" outlineLevel="0" collapsed="false">
      <c r="A842" s="181" t="str">
        <f aca="false">IF(ISBLANK(B842),"",B842&amp;"|"&amp;C842)</f>
        <v/>
      </c>
      <c r="B842" s="181"/>
      <c r="C842" s="181"/>
      <c r="D842" s="181"/>
      <c r="E842" s="186"/>
      <c r="F842" s="181"/>
      <c r="G842" s="181"/>
      <c r="H842" s="181"/>
      <c r="I842" s="181"/>
      <c r="J842" s="181"/>
      <c r="K842" s="181"/>
      <c r="L842" s="181"/>
      <c r="M842" s="181"/>
      <c r="N842" s="181"/>
      <c r="O842" s="181"/>
      <c r="P842" s="181"/>
      <c r="Q842" s="181"/>
      <c r="R842" s="181"/>
      <c r="S842" s="181"/>
      <c r="T842" s="181"/>
      <c r="U842" s="181"/>
      <c r="V842" s="181"/>
      <c r="W842" s="181"/>
      <c r="X842" s="181"/>
      <c r="Y842" s="181"/>
      <c r="Z842" s="181"/>
      <c r="AA842" s="181"/>
    </row>
    <row r="843" customFormat="false" ht="15.75" hidden="false" customHeight="false" outlineLevel="0" collapsed="false">
      <c r="A843" s="181" t="str">
        <f aca="false">IF(ISBLANK(B843),"",B843&amp;"|"&amp;C843)</f>
        <v/>
      </c>
      <c r="B843" s="181"/>
      <c r="C843" s="181"/>
      <c r="D843" s="181"/>
      <c r="E843" s="186"/>
      <c r="F843" s="181"/>
      <c r="G843" s="181"/>
      <c r="H843" s="181"/>
      <c r="I843" s="181"/>
      <c r="J843" s="181"/>
      <c r="K843" s="181"/>
      <c r="L843" s="181"/>
      <c r="M843" s="181"/>
      <c r="N843" s="181"/>
      <c r="O843" s="181"/>
      <c r="P843" s="181"/>
      <c r="Q843" s="181"/>
      <c r="R843" s="181"/>
      <c r="S843" s="181"/>
      <c r="T843" s="181"/>
      <c r="U843" s="181"/>
      <c r="V843" s="181"/>
      <c r="W843" s="181"/>
      <c r="X843" s="181"/>
      <c r="Y843" s="181"/>
      <c r="Z843" s="181"/>
      <c r="AA843" s="181"/>
    </row>
    <row r="844" customFormat="false" ht="15.75" hidden="false" customHeight="false" outlineLevel="0" collapsed="false">
      <c r="A844" s="181" t="str">
        <f aca="false">IF(ISBLANK(B844),"",B844&amp;"|"&amp;C844)</f>
        <v/>
      </c>
      <c r="B844" s="181"/>
      <c r="C844" s="181"/>
      <c r="D844" s="181"/>
      <c r="E844" s="186"/>
      <c r="F844" s="181"/>
      <c r="G844" s="181"/>
      <c r="H844" s="181"/>
      <c r="I844" s="181"/>
      <c r="J844" s="181"/>
      <c r="K844" s="181"/>
      <c r="L844" s="181"/>
      <c r="M844" s="181"/>
      <c r="N844" s="181"/>
      <c r="O844" s="181"/>
      <c r="P844" s="181"/>
      <c r="Q844" s="181"/>
      <c r="R844" s="181"/>
      <c r="S844" s="181"/>
      <c r="T844" s="181"/>
      <c r="U844" s="181"/>
      <c r="V844" s="181"/>
      <c r="W844" s="181"/>
      <c r="X844" s="181"/>
      <c r="Y844" s="181"/>
      <c r="Z844" s="181"/>
      <c r="AA844" s="181"/>
    </row>
    <row r="845" customFormat="false" ht="15.75" hidden="false" customHeight="false" outlineLevel="0" collapsed="false">
      <c r="A845" s="181" t="str">
        <f aca="false">IF(ISBLANK(B845),"",B845&amp;"|"&amp;C845)</f>
        <v/>
      </c>
      <c r="B845" s="181"/>
      <c r="C845" s="181"/>
      <c r="D845" s="181"/>
      <c r="E845" s="186"/>
      <c r="F845" s="181"/>
      <c r="G845" s="181"/>
      <c r="H845" s="181"/>
      <c r="I845" s="181"/>
      <c r="J845" s="181"/>
      <c r="K845" s="181"/>
      <c r="L845" s="181"/>
      <c r="M845" s="181"/>
      <c r="N845" s="181"/>
      <c r="O845" s="181"/>
      <c r="P845" s="181"/>
      <c r="Q845" s="181"/>
      <c r="R845" s="181"/>
      <c r="S845" s="181"/>
      <c r="T845" s="181"/>
      <c r="U845" s="181"/>
      <c r="V845" s="181"/>
      <c r="W845" s="181"/>
      <c r="X845" s="181"/>
      <c r="Y845" s="181"/>
      <c r="Z845" s="181"/>
      <c r="AA845" s="181"/>
    </row>
    <row r="846" customFormat="false" ht="15.75" hidden="false" customHeight="false" outlineLevel="0" collapsed="false">
      <c r="A846" s="181" t="str">
        <f aca="false">IF(ISBLANK(B846),"",B846&amp;"|"&amp;C846)</f>
        <v/>
      </c>
      <c r="B846" s="181"/>
      <c r="C846" s="181"/>
      <c r="D846" s="181"/>
      <c r="E846" s="186"/>
      <c r="F846" s="181"/>
      <c r="G846" s="181"/>
      <c r="H846" s="181"/>
      <c r="I846" s="181"/>
      <c r="J846" s="181"/>
      <c r="K846" s="181"/>
      <c r="L846" s="181"/>
      <c r="M846" s="181"/>
      <c r="N846" s="181"/>
      <c r="O846" s="181"/>
      <c r="P846" s="181"/>
      <c r="Q846" s="181"/>
      <c r="R846" s="181"/>
      <c r="S846" s="181"/>
      <c r="T846" s="181"/>
      <c r="U846" s="181"/>
      <c r="V846" s="181"/>
      <c r="W846" s="181"/>
      <c r="X846" s="181"/>
      <c r="Y846" s="181"/>
      <c r="Z846" s="181"/>
      <c r="AA846" s="181"/>
    </row>
    <row r="847" customFormat="false" ht="15.75" hidden="false" customHeight="false" outlineLevel="0" collapsed="false">
      <c r="A847" s="181" t="str">
        <f aca="false">IF(ISBLANK(B847),"",B847&amp;"|"&amp;C847)</f>
        <v/>
      </c>
      <c r="B847" s="181"/>
      <c r="C847" s="181"/>
      <c r="D847" s="181"/>
      <c r="E847" s="186"/>
      <c r="F847" s="181"/>
      <c r="G847" s="181"/>
      <c r="H847" s="181"/>
      <c r="I847" s="181"/>
      <c r="J847" s="181"/>
      <c r="K847" s="181"/>
      <c r="L847" s="181"/>
      <c r="M847" s="181"/>
      <c r="N847" s="181"/>
      <c r="O847" s="181"/>
      <c r="P847" s="181"/>
      <c r="Q847" s="181"/>
      <c r="R847" s="181"/>
      <c r="S847" s="181"/>
      <c r="T847" s="181"/>
      <c r="U847" s="181"/>
      <c r="V847" s="181"/>
      <c r="W847" s="181"/>
      <c r="X847" s="181"/>
      <c r="Y847" s="181"/>
      <c r="Z847" s="181"/>
      <c r="AA847" s="181"/>
    </row>
    <row r="848" customFormat="false" ht="15.75" hidden="false" customHeight="false" outlineLevel="0" collapsed="false">
      <c r="A848" s="181" t="str">
        <f aca="false">IF(ISBLANK(B848),"",B848&amp;"|"&amp;C848)</f>
        <v/>
      </c>
      <c r="B848" s="181"/>
      <c r="C848" s="181"/>
      <c r="D848" s="181"/>
      <c r="E848" s="186"/>
      <c r="F848" s="181"/>
      <c r="G848" s="181"/>
      <c r="H848" s="181"/>
      <c r="I848" s="181"/>
      <c r="J848" s="181"/>
      <c r="K848" s="181"/>
      <c r="L848" s="181"/>
      <c r="M848" s="181"/>
      <c r="N848" s="181"/>
      <c r="O848" s="181"/>
      <c r="P848" s="181"/>
      <c r="Q848" s="181"/>
      <c r="R848" s="181"/>
      <c r="S848" s="181"/>
      <c r="T848" s="181"/>
      <c r="U848" s="181"/>
      <c r="V848" s="181"/>
      <c r="W848" s="181"/>
      <c r="X848" s="181"/>
      <c r="Y848" s="181"/>
      <c r="Z848" s="181"/>
      <c r="AA848" s="181"/>
    </row>
    <row r="849" customFormat="false" ht="15.75" hidden="false" customHeight="false" outlineLevel="0" collapsed="false">
      <c r="A849" s="181" t="str">
        <f aca="false">IF(ISBLANK(B849),"",B849&amp;"|"&amp;C849)</f>
        <v/>
      </c>
      <c r="B849" s="181"/>
      <c r="C849" s="181"/>
      <c r="D849" s="181"/>
      <c r="E849" s="186"/>
      <c r="F849" s="181"/>
      <c r="G849" s="181"/>
      <c r="H849" s="181"/>
      <c r="I849" s="181"/>
      <c r="J849" s="181"/>
      <c r="K849" s="181"/>
      <c r="L849" s="181"/>
      <c r="M849" s="181"/>
      <c r="N849" s="181"/>
      <c r="O849" s="181"/>
      <c r="P849" s="181"/>
      <c r="Q849" s="181"/>
      <c r="R849" s="181"/>
      <c r="S849" s="181"/>
      <c r="T849" s="181"/>
      <c r="U849" s="181"/>
      <c r="V849" s="181"/>
      <c r="W849" s="181"/>
      <c r="X849" s="181"/>
      <c r="Y849" s="181"/>
      <c r="Z849" s="181"/>
      <c r="AA849" s="181"/>
    </row>
    <row r="850" customFormat="false" ht="15.75" hidden="false" customHeight="false" outlineLevel="0" collapsed="false">
      <c r="A850" s="181" t="str">
        <f aca="false">IF(ISBLANK(B850),"",B850&amp;"|"&amp;C850)</f>
        <v/>
      </c>
      <c r="B850" s="181"/>
      <c r="C850" s="181"/>
      <c r="D850" s="181"/>
      <c r="E850" s="186"/>
      <c r="F850" s="181"/>
      <c r="G850" s="181"/>
      <c r="H850" s="181"/>
      <c r="I850" s="181"/>
      <c r="J850" s="181"/>
      <c r="K850" s="181"/>
      <c r="L850" s="181"/>
      <c r="M850" s="181"/>
      <c r="N850" s="181"/>
      <c r="O850" s="181"/>
      <c r="P850" s="181"/>
      <c r="Q850" s="181"/>
      <c r="R850" s="181"/>
      <c r="S850" s="181"/>
      <c r="T850" s="181"/>
      <c r="U850" s="181"/>
      <c r="V850" s="181"/>
      <c r="W850" s="181"/>
      <c r="X850" s="181"/>
      <c r="Y850" s="181"/>
      <c r="Z850" s="181"/>
      <c r="AA850" s="181"/>
    </row>
    <row r="851" customFormat="false" ht="15.75" hidden="false" customHeight="false" outlineLevel="0" collapsed="false">
      <c r="A851" s="181" t="str">
        <f aca="false">IF(ISBLANK(B851),"",B851&amp;"|"&amp;C851)</f>
        <v/>
      </c>
      <c r="B851" s="181"/>
      <c r="C851" s="181"/>
      <c r="D851" s="181"/>
      <c r="E851" s="186"/>
      <c r="F851" s="181"/>
      <c r="G851" s="181"/>
      <c r="H851" s="181"/>
      <c r="I851" s="181"/>
      <c r="J851" s="181"/>
      <c r="K851" s="181"/>
      <c r="L851" s="181"/>
      <c r="M851" s="181"/>
      <c r="N851" s="181"/>
      <c r="O851" s="181"/>
      <c r="P851" s="181"/>
      <c r="Q851" s="181"/>
      <c r="R851" s="181"/>
      <c r="S851" s="181"/>
      <c r="T851" s="181"/>
      <c r="U851" s="181"/>
      <c r="V851" s="181"/>
      <c r="W851" s="181"/>
      <c r="X851" s="181"/>
      <c r="Y851" s="181"/>
      <c r="Z851" s="181"/>
      <c r="AA851" s="181"/>
    </row>
    <row r="852" customFormat="false" ht="15.75" hidden="false" customHeight="false" outlineLevel="0" collapsed="false">
      <c r="A852" s="181" t="str">
        <f aca="false">IF(ISBLANK(B852),"",B852&amp;"|"&amp;C852)</f>
        <v/>
      </c>
      <c r="B852" s="181"/>
      <c r="C852" s="181"/>
      <c r="D852" s="181"/>
      <c r="E852" s="186"/>
      <c r="F852" s="181"/>
      <c r="G852" s="181"/>
      <c r="H852" s="181"/>
      <c r="I852" s="181"/>
      <c r="J852" s="181"/>
      <c r="K852" s="181"/>
      <c r="L852" s="181"/>
      <c r="M852" s="181"/>
      <c r="N852" s="181"/>
      <c r="O852" s="181"/>
      <c r="P852" s="181"/>
      <c r="Q852" s="181"/>
      <c r="R852" s="181"/>
      <c r="S852" s="181"/>
      <c r="T852" s="181"/>
      <c r="U852" s="181"/>
      <c r="V852" s="181"/>
      <c r="W852" s="181"/>
      <c r="X852" s="181"/>
      <c r="Y852" s="181"/>
      <c r="Z852" s="181"/>
      <c r="AA852" s="181"/>
    </row>
    <row r="853" customFormat="false" ht="15.75" hidden="false" customHeight="false" outlineLevel="0" collapsed="false">
      <c r="A853" s="181" t="str">
        <f aca="false">IF(ISBLANK(B853),"",B853&amp;"|"&amp;C853)</f>
        <v/>
      </c>
      <c r="B853" s="181"/>
      <c r="C853" s="181"/>
      <c r="D853" s="181"/>
      <c r="E853" s="186"/>
      <c r="F853" s="181"/>
      <c r="G853" s="181"/>
      <c r="H853" s="181"/>
      <c r="I853" s="181"/>
      <c r="J853" s="181"/>
      <c r="K853" s="181"/>
      <c r="L853" s="181"/>
      <c r="M853" s="181"/>
      <c r="N853" s="181"/>
      <c r="O853" s="181"/>
      <c r="P853" s="181"/>
      <c r="Q853" s="181"/>
      <c r="R853" s="181"/>
      <c r="S853" s="181"/>
      <c r="T853" s="181"/>
      <c r="U853" s="181"/>
      <c r="V853" s="181"/>
      <c r="W853" s="181"/>
      <c r="X853" s="181"/>
      <c r="Y853" s="181"/>
      <c r="Z853" s="181"/>
      <c r="AA853" s="181"/>
    </row>
    <row r="854" customFormat="false" ht="15.75" hidden="false" customHeight="false" outlineLevel="0" collapsed="false">
      <c r="A854" s="181" t="str">
        <f aca="false">IF(ISBLANK(B854),"",B854&amp;"|"&amp;C854)</f>
        <v/>
      </c>
      <c r="B854" s="181"/>
      <c r="C854" s="181"/>
      <c r="D854" s="181"/>
      <c r="E854" s="186"/>
      <c r="F854" s="181"/>
      <c r="G854" s="181"/>
      <c r="H854" s="181"/>
      <c r="I854" s="181"/>
      <c r="J854" s="181"/>
      <c r="K854" s="181"/>
      <c r="L854" s="181"/>
      <c r="M854" s="181"/>
      <c r="N854" s="181"/>
      <c r="O854" s="181"/>
      <c r="P854" s="181"/>
      <c r="Q854" s="181"/>
      <c r="R854" s="181"/>
      <c r="S854" s="181"/>
      <c r="T854" s="181"/>
      <c r="U854" s="181"/>
      <c r="V854" s="181"/>
      <c r="W854" s="181"/>
      <c r="X854" s="181"/>
      <c r="Y854" s="181"/>
      <c r="Z854" s="181"/>
      <c r="AA854" s="181"/>
    </row>
    <row r="855" customFormat="false" ht="15.75" hidden="false" customHeight="false" outlineLevel="0" collapsed="false">
      <c r="A855" s="181" t="str">
        <f aca="false">IF(ISBLANK(B855),"",B855&amp;"|"&amp;C855)</f>
        <v/>
      </c>
      <c r="B855" s="181"/>
      <c r="C855" s="181"/>
      <c r="D855" s="181"/>
      <c r="E855" s="186"/>
      <c r="F855" s="181"/>
      <c r="G855" s="181"/>
      <c r="H855" s="181"/>
      <c r="I855" s="181"/>
      <c r="J855" s="181"/>
      <c r="K855" s="181"/>
      <c r="L855" s="181"/>
      <c r="M855" s="181"/>
      <c r="N855" s="181"/>
      <c r="O855" s="181"/>
      <c r="P855" s="181"/>
      <c r="Q855" s="181"/>
      <c r="R855" s="181"/>
      <c r="S855" s="181"/>
      <c r="T855" s="181"/>
      <c r="U855" s="181"/>
      <c r="V855" s="181"/>
      <c r="W855" s="181"/>
      <c r="X855" s="181"/>
      <c r="Y855" s="181"/>
      <c r="Z855" s="181"/>
      <c r="AA855" s="181"/>
    </row>
    <row r="856" customFormat="false" ht="15.75" hidden="false" customHeight="false" outlineLevel="0" collapsed="false">
      <c r="A856" s="181" t="str">
        <f aca="false">IF(ISBLANK(B856),"",B856&amp;"|"&amp;C856)</f>
        <v/>
      </c>
      <c r="B856" s="181"/>
      <c r="C856" s="181"/>
      <c r="D856" s="181"/>
      <c r="E856" s="186"/>
      <c r="F856" s="181"/>
      <c r="G856" s="181"/>
      <c r="H856" s="181"/>
      <c r="I856" s="181"/>
      <c r="J856" s="181"/>
      <c r="K856" s="181"/>
      <c r="L856" s="181"/>
      <c r="M856" s="181"/>
      <c r="N856" s="181"/>
      <c r="O856" s="181"/>
      <c r="P856" s="181"/>
      <c r="Q856" s="181"/>
      <c r="R856" s="181"/>
      <c r="S856" s="181"/>
      <c r="T856" s="181"/>
      <c r="U856" s="181"/>
      <c r="V856" s="181"/>
      <c r="W856" s="181"/>
      <c r="X856" s="181"/>
      <c r="Y856" s="181"/>
      <c r="Z856" s="181"/>
      <c r="AA856" s="181"/>
    </row>
    <row r="857" customFormat="false" ht="15.75" hidden="false" customHeight="false" outlineLevel="0" collapsed="false">
      <c r="A857" s="181" t="str">
        <f aca="false">IF(ISBLANK(B857),"",B857&amp;"|"&amp;C857)</f>
        <v/>
      </c>
      <c r="B857" s="181"/>
      <c r="C857" s="181"/>
      <c r="D857" s="181"/>
      <c r="E857" s="186"/>
      <c r="F857" s="181"/>
      <c r="G857" s="181"/>
      <c r="H857" s="181"/>
      <c r="I857" s="181"/>
      <c r="J857" s="181"/>
      <c r="K857" s="181"/>
      <c r="L857" s="181"/>
      <c r="M857" s="181"/>
      <c r="N857" s="181"/>
      <c r="O857" s="181"/>
      <c r="P857" s="181"/>
      <c r="Q857" s="181"/>
      <c r="R857" s="181"/>
      <c r="S857" s="181"/>
      <c r="T857" s="181"/>
      <c r="U857" s="181"/>
      <c r="V857" s="181"/>
      <c r="W857" s="181"/>
      <c r="X857" s="181"/>
      <c r="Y857" s="181"/>
      <c r="Z857" s="181"/>
      <c r="AA857" s="181"/>
    </row>
    <row r="858" customFormat="false" ht="15.75" hidden="false" customHeight="false" outlineLevel="0" collapsed="false">
      <c r="A858" s="181" t="str">
        <f aca="false">IF(ISBLANK(B858),"",B858&amp;"|"&amp;C858)</f>
        <v/>
      </c>
      <c r="B858" s="181"/>
      <c r="C858" s="181"/>
      <c r="D858" s="181"/>
      <c r="E858" s="186"/>
      <c r="F858" s="181"/>
      <c r="G858" s="181"/>
      <c r="H858" s="181"/>
      <c r="I858" s="181"/>
      <c r="J858" s="181"/>
      <c r="K858" s="181"/>
      <c r="L858" s="181"/>
      <c r="M858" s="181"/>
      <c r="N858" s="181"/>
      <c r="O858" s="181"/>
      <c r="P858" s="181"/>
      <c r="Q858" s="181"/>
      <c r="R858" s="181"/>
      <c r="S858" s="181"/>
      <c r="T858" s="181"/>
      <c r="U858" s="181"/>
      <c r="V858" s="181"/>
      <c r="W858" s="181"/>
      <c r="X858" s="181"/>
      <c r="Y858" s="181"/>
      <c r="Z858" s="181"/>
      <c r="AA858" s="181"/>
    </row>
    <row r="859" customFormat="false" ht="15.75" hidden="false" customHeight="false" outlineLevel="0" collapsed="false">
      <c r="A859" s="181" t="str">
        <f aca="false">IF(ISBLANK(B859),"",B859&amp;"|"&amp;C859)</f>
        <v/>
      </c>
      <c r="B859" s="181"/>
      <c r="C859" s="181"/>
      <c r="D859" s="181"/>
      <c r="E859" s="186"/>
      <c r="F859" s="181"/>
      <c r="G859" s="181"/>
      <c r="H859" s="181"/>
      <c r="I859" s="181"/>
      <c r="J859" s="181"/>
      <c r="K859" s="181"/>
      <c r="L859" s="181"/>
      <c r="M859" s="181"/>
      <c r="N859" s="181"/>
      <c r="O859" s="181"/>
      <c r="P859" s="181"/>
      <c r="Q859" s="181"/>
      <c r="R859" s="181"/>
      <c r="S859" s="181"/>
      <c r="T859" s="181"/>
      <c r="U859" s="181"/>
      <c r="V859" s="181"/>
      <c r="W859" s="181"/>
      <c r="X859" s="181"/>
      <c r="Y859" s="181"/>
      <c r="Z859" s="181"/>
      <c r="AA859" s="181"/>
    </row>
    <row r="860" customFormat="false" ht="15.75" hidden="false" customHeight="false" outlineLevel="0" collapsed="false">
      <c r="A860" s="181" t="str">
        <f aca="false">IF(ISBLANK(B860),"",B860&amp;"|"&amp;C860)</f>
        <v/>
      </c>
      <c r="B860" s="181"/>
      <c r="C860" s="181"/>
      <c r="D860" s="181"/>
      <c r="E860" s="186"/>
      <c r="F860" s="181"/>
      <c r="G860" s="181"/>
      <c r="H860" s="181"/>
      <c r="I860" s="181"/>
      <c r="J860" s="181"/>
      <c r="K860" s="181"/>
      <c r="L860" s="181"/>
      <c r="M860" s="181"/>
      <c r="N860" s="181"/>
      <c r="O860" s="181"/>
      <c r="P860" s="181"/>
      <c r="Q860" s="181"/>
      <c r="R860" s="181"/>
      <c r="S860" s="181"/>
      <c r="T860" s="181"/>
      <c r="U860" s="181"/>
      <c r="V860" s="181"/>
      <c r="W860" s="181"/>
      <c r="X860" s="181"/>
      <c r="Y860" s="181"/>
      <c r="Z860" s="181"/>
      <c r="AA860" s="181"/>
    </row>
    <row r="861" customFormat="false" ht="15.75" hidden="false" customHeight="false" outlineLevel="0" collapsed="false">
      <c r="A861" s="181" t="str">
        <f aca="false">IF(ISBLANK(B861),"",B861&amp;"|"&amp;C861)</f>
        <v/>
      </c>
      <c r="B861" s="181"/>
      <c r="C861" s="181"/>
      <c r="D861" s="181"/>
      <c r="E861" s="186"/>
      <c r="F861" s="181"/>
      <c r="G861" s="181"/>
      <c r="H861" s="181"/>
      <c r="I861" s="181"/>
      <c r="J861" s="181"/>
      <c r="K861" s="181"/>
      <c r="L861" s="181"/>
      <c r="M861" s="181"/>
      <c r="N861" s="181"/>
      <c r="O861" s="181"/>
      <c r="P861" s="181"/>
      <c r="Q861" s="181"/>
      <c r="R861" s="181"/>
      <c r="S861" s="181"/>
      <c r="T861" s="181"/>
      <c r="U861" s="181"/>
      <c r="V861" s="181"/>
      <c r="W861" s="181"/>
      <c r="X861" s="181"/>
      <c r="Y861" s="181"/>
      <c r="Z861" s="181"/>
      <c r="AA861" s="181"/>
    </row>
    <row r="862" customFormat="false" ht="15.75" hidden="false" customHeight="false" outlineLevel="0" collapsed="false">
      <c r="A862" s="181" t="str">
        <f aca="false">IF(ISBLANK(B862),"",B862&amp;"|"&amp;C862)</f>
        <v/>
      </c>
      <c r="B862" s="181"/>
      <c r="C862" s="181"/>
      <c r="D862" s="181"/>
      <c r="E862" s="186"/>
      <c r="F862" s="181"/>
      <c r="G862" s="181"/>
      <c r="H862" s="181"/>
      <c r="I862" s="181"/>
      <c r="J862" s="181"/>
      <c r="K862" s="181"/>
      <c r="L862" s="181"/>
      <c r="M862" s="181"/>
      <c r="N862" s="181"/>
      <c r="O862" s="181"/>
      <c r="P862" s="181"/>
      <c r="Q862" s="181"/>
      <c r="R862" s="181"/>
      <c r="S862" s="181"/>
      <c r="T862" s="181"/>
      <c r="U862" s="181"/>
      <c r="V862" s="181"/>
      <c r="W862" s="181"/>
      <c r="X862" s="181"/>
      <c r="Y862" s="181"/>
      <c r="Z862" s="181"/>
      <c r="AA862" s="181"/>
    </row>
    <row r="863" customFormat="false" ht="15.75" hidden="false" customHeight="false" outlineLevel="0" collapsed="false">
      <c r="A863" s="181" t="str">
        <f aca="false">IF(ISBLANK(B863),"",B863&amp;"|"&amp;C863)</f>
        <v/>
      </c>
      <c r="B863" s="181"/>
      <c r="C863" s="181"/>
      <c r="D863" s="181"/>
      <c r="E863" s="186"/>
      <c r="F863" s="181"/>
      <c r="G863" s="181"/>
      <c r="H863" s="181"/>
      <c r="I863" s="181"/>
      <c r="J863" s="181"/>
      <c r="K863" s="181"/>
      <c r="L863" s="181"/>
      <c r="M863" s="181"/>
      <c r="N863" s="181"/>
      <c r="O863" s="181"/>
      <c r="P863" s="181"/>
      <c r="Q863" s="181"/>
      <c r="R863" s="181"/>
      <c r="S863" s="181"/>
      <c r="T863" s="181"/>
      <c r="U863" s="181"/>
      <c r="V863" s="181"/>
      <c r="W863" s="181"/>
      <c r="X863" s="181"/>
      <c r="Y863" s="181"/>
      <c r="Z863" s="181"/>
      <c r="AA863" s="181"/>
    </row>
    <row r="864" customFormat="false" ht="15.75" hidden="false" customHeight="false" outlineLevel="0" collapsed="false">
      <c r="A864" s="181" t="str">
        <f aca="false">IF(ISBLANK(B864),"",B864&amp;"|"&amp;C864)</f>
        <v/>
      </c>
      <c r="B864" s="181"/>
      <c r="C864" s="181"/>
      <c r="D864" s="181"/>
      <c r="E864" s="186"/>
      <c r="F864" s="181"/>
      <c r="G864" s="181"/>
      <c r="H864" s="181"/>
      <c r="I864" s="181"/>
      <c r="J864" s="181"/>
      <c r="K864" s="181"/>
      <c r="L864" s="181"/>
      <c r="M864" s="181"/>
      <c r="N864" s="181"/>
      <c r="O864" s="181"/>
      <c r="P864" s="181"/>
      <c r="Q864" s="181"/>
      <c r="R864" s="181"/>
      <c r="S864" s="181"/>
      <c r="T864" s="181"/>
      <c r="U864" s="181"/>
      <c r="V864" s="181"/>
      <c r="W864" s="181"/>
      <c r="X864" s="181"/>
      <c r="Y864" s="181"/>
      <c r="Z864" s="181"/>
      <c r="AA864" s="181"/>
    </row>
    <row r="865" customFormat="false" ht="15.75" hidden="false" customHeight="false" outlineLevel="0" collapsed="false">
      <c r="A865" s="181" t="str">
        <f aca="false">IF(ISBLANK(B865),"",B865&amp;"|"&amp;C865)</f>
        <v/>
      </c>
      <c r="B865" s="181"/>
      <c r="C865" s="181"/>
      <c r="D865" s="181"/>
      <c r="E865" s="186"/>
      <c r="F865" s="181"/>
      <c r="G865" s="181"/>
      <c r="H865" s="181"/>
      <c r="I865" s="181"/>
      <c r="J865" s="181"/>
      <c r="K865" s="181"/>
      <c r="L865" s="181"/>
      <c r="M865" s="181"/>
      <c r="N865" s="181"/>
      <c r="O865" s="181"/>
      <c r="P865" s="181"/>
      <c r="Q865" s="181"/>
      <c r="R865" s="181"/>
      <c r="S865" s="181"/>
      <c r="T865" s="181"/>
      <c r="U865" s="181"/>
      <c r="V865" s="181"/>
      <c r="W865" s="181"/>
      <c r="X865" s="181"/>
      <c r="Y865" s="181"/>
      <c r="Z865" s="181"/>
      <c r="AA865" s="181"/>
    </row>
    <row r="866" customFormat="false" ht="15.75" hidden="false" customHeight="false" outlineLevel="0" collapsed="false">
      <c r="A866" s="181" t="str">
        <f aca="false">IF(ISBLANK(B866),"",B866&amp;"|"&amp;C866)</f>
        <v/>
      </c>
      <c r="B866" s="181"/>
      <c r="C866" s="181"/>
      <c r="D866" s="181"/>
      <c r="E866" s="186"/>
      <c r="F866" s="181"/>
      <c r="G866" s="181"/>
      <c r="H866" s="181"/>
      <c r="I866" s="181"/>
      <c r="J866" s="181"/>
      <c r="K866" s="181"/>
      <c r="L866" s="181"/>
      <c r="M866" s="181"/>
      <c r="N866" s="181"/>
      <c r="O866" s="181"/>
      <c r="P866" s="181"/>
      <c r="Q866" s="181"/>
      <c r="R866" s="181"/>
      <c r="S866" s="181"/>
      <c r="T866" s="181"/>
      <c r="U866" s="181"/>
      <c r="V866" s="181"/>
      <c r="W866" s="181"/>
      <c r="X866" s="181"/>
      <c r="Y866" s="181"/>
      <c r="Z866" s="181"/>
      <c r="AA866" s="181"/>
    </row>
    <row r="867" customFormat="false" ht="15.75" hidden="false" customHeight="false" outlineLevel="0" collapsed="false">
      <c r="A867" s="181" t="str">
        <f aca="false">IF(ISBLANK(B867),"",B867&amp;"|"&amp;C867)</f>
        <v/>
      </c>
      <c r="B867" s="181"/>
      <c r="C867" s="181"/>
      <c r="D867" s="181"/>
      <c r="E867" s="186"/>
      <c r="F867" s="181"/>
      <c r="G867" s="181"/>
      <c r="H867" s="181"/>
      <c r="I867" s="181"/>
      <c r="J867" s="181"/>
      <c r="K867" s="181"/>
      <c r="L867" s="181"/>
      <c r="M867" s="181"/>
      <c r="N867" s="181"/>
      <c r="O867" s="181"/>
      <c r="P867" s="181"/>
      <c r="Q867" s="181"/>
      <c r="R867" s="181"/>
      <c r="S867" s="181"/>
      <c r="T867" s="181"/>
      <c r="U867" s="181"/>
      <c r="V867" s="181"/>
      <c r="W867" s="181"/>
      <c r="X867" s="181"/>
      <c r="Y867" s="181"/>
      <c r="Z867" s="181"/>
      <c r="AA867" s="181"/>
    </row>
    <row r="868" customFormat="false" ht="15.75" hidden="false" customHeight="false" outlineLevel="0" collapsed="false">
      <c r="A868" s="181" t="str">
        <f aca="false">IF(ISBLANK(B868),"",B868&amp;"|"&amp;C868)</f>
        <v/>
      </c>
      <c r="B868" s="181"/>
      <c r="C868" s="181"/>
      <c r="D868" s="181"/>
      <c r="E868" s="186"/>
      <c r="F868" s="181"/>
      <c r="G868" s="181"/>
      <c r="H868" s="181"/>
      <c r="I868" s="181"/>
      <c r="J868" s="181"/>
      <c r="K868" s="181"/>
      <c r="L868" s="181"/>
      <c r="M868" s="181"/>
      <c r="N868" s="181"/>
      <c r="O868" s="181"/>
      <c r="P868" s="181"/>
      <c r="Q868" s="181"/>
      <c r="R868" s="181"/>
      <c r="S868" s="181"/>
      <c r="T868" s="181"/>
      <c r="U868" s="181"/>
      <c r="V868" s="181"/>
      <c r="W868" s="181"/>
      <c r="X868" s="181"/>
      <c r="Y868" s="181"/>
      <c r="Z868" s="181"/>
      <c r="AA868" s="181"/>
    </row>
    <row r="869" customFormat="false" ht="15.75" hidden="false" customHeight="false" outlineLevel="0" collapsed="false">
      <c r="A869" s="181" t="str">
        <f aca="false">IF(ISBLANK(B869),"",B869&amp;"|"&amp;C869)</f>
        <v/>
      </c>
      <c r="B869" s="181"/>
      <c r="C869" s="181"/>
      <c r="D869" s="181"/>
      <c r="E869" s="186"/>
      <c r="F869" s="181"/>
      <c r="G869" s="181"/>
      <c r="H869" s="181"/>
      <c r="I869" s="181"/>
      <c r="J869" s="181"/>
      <c r="K869" s="181"/>
      <c r="L869" s="181"/>
      <c r="M869" s="181"/>
      <c r="N869" s="181"/>
      <c r="O869" s="181"/>
      <c r="P869" s="181"/>
      <c r="Q869" s="181"/>
      <c r="R869" s="181"/>
      <c r="S869" s="181"/>
      <c r="T869" s="181"/>
      <c r="U869" s="181"/>
      <c r="V869" s="181"/>
      <c r="W869" s="181"/>
      <c r="X869" s="181"/>
      <c r="Y869" s="181"/>
      <c r="Z869" s="181"/>
      <c r="AA869" s="181"/>
    </row>
    <row r="870" customFormat="false" ht="15.75" hidden="false" customHeight="false" outlineLevel="0" collapsed="false">
      <c r="A870" s="181" t="str">
        <f aca="false">IF(ISBLANK(B870),"",B870&amp;"|"&amp;C870)</f>
        <v/>
      </c>
      <c r="B870" s="181"/>
      <c r="C870" s="181"/>
      <c r="D870" s="181"/>
      <c r="E870" s="186"/>
      <c r="F870" s="181"/>
      <c r="G870" s="181"/>
      <c r="H870" s="181"/>
      <c r="I870" s="181"/>
      <c r="J870" s="181"/>
      <c r="K870" s="181"/>
      <c r="L870" s="181"/>
      <c r="M870" s="181"/>
      <c r="N870" s="181"/>
      <c r="O870" s="181"/>
      <c r="P870" s="181"/>
      <c r="Q870" s="181"/>
      <c r="R870" s="181"/>
      <c r="S870" s="181"/>
      <c r="T870" s="181"/>
      <c r="U870" s="181"/>
      <c r="V870" s="181"/>
      <c r="W870" s="181"/>
      <c r="X870" s="181"/>
      <c r="Y870" s="181"/>
      <c r="Z870" s="181"/>
      <c r="AA870" s="181"/>
    </row>
    <row r="871" customFormat="false" ht="15.75" hidden="false" customHeight="false" outlineLevel="0" collapsed="false">
      <c r="A871" s="181" t="str">
        <f aca="false">IF(ISBLANK(B871),"",B871&amp;"|"&amp;C871)</f>
        <v/>
      </c>
      <c r="B871" s="181"/>
      <c r="C871" s="181"/>
      <c r="D871" s="181"/>
      <c r="E871" s="186"/>
      <c r="F871" s="181"/>
      <c r="G871" s="181"/>
      <c r="H871" s="181"/>
      <c r="I871" s="181"/>
      <c r="J871" s="181"/>
      <c r="K871" s="181"/>
      <c r="L871" s="181"/>
      <c r="M871" s="181"/>
      <c r="N871" s="181"/>
      <c r="O871" s="181"/>
      <c r="P871" s="181"/>
      <c r="Q871" s="181"/>
      <c r="R871" s="181"/>
      <c r="S871" s="181"/>
      <c r="T871" s="181"/>
      <c r="U871" s="181"/>
      <c r="V871" s="181"/>
      <c r="W871" s="181"/>
      <c r="X871" s="181"/>
      <c r="Y871" s="181"/>
      <c r="Z871" s="181"/>
      <c r="AA871" s="181"/>
    </row>
    <row r="872" customFormat="false" ht="15.75" hidden="false" customHeight="false" outlineLevel="0" collapsed="false">
      <c r="A872" s="181" t="str">
        <f aca="false">IF(ISBLANK(B872),"",B872&amp;"|"&amp;C872)</f>
        <v/>
      </c>
      <c r="B872" s="181"/>
      <c r="C872" s="181"/>
      <c r="D872" s="181"/>
      <c r="E872" s="186"/>
      <c r="F872" s="181"/>
      <c r="G872" s="181"/>
      <c r="H872" s="181"/>
      <c r="I872" s="181"/>
      <c r="J872" s="181"/>
      <c r="K872" s="181"/>
      <c r="L872" s="181"/>
      <c r="M872" s="181"/>
      <c r="N872" s="181"/>
      <c r="O872" s="181"/>
      <c r="P872" s="181"/>
      <c r="Q872" s="181"/>
      <c r="R872" s="181"/>
      <c r="S872" s="181"/>
      <c r="T872" s="181"/>
      <c r="U872" s="181"/>
      <c r="V872" s="181"/>
      <c r="W872" s="181"/>
      <c r="X872" s="181"/>
      <c r="Y872" s="181"/>
      <c r="Z872" s="181"/>
      <c r="AA872" s="181"/>
    </row>
    <row r="873" customFormat="false" ht="15.75" hidden="false" customHeight="false" outlineLevel="0" collapsed="false">
      <c r="A873" s="181" t="str">
        <f aca="false">IF(ISBLANK(B873),"",B873&amp;"|"&amp;C873)</f>
        <v/>
      </c>
      <c r="B873" s="181"/>
      <c r="C873" s="181"/>
      <c r="D873" s="181"/>
      <c r="E873" s="186"/>
      <c r="F873" s="181"/>
      <c r="G873" s="181"/>
      <c r="H873" s="181"/>
      <c r="I873" s="181"/>
      <c r="J873" s="181"/>
      <c r="K873" s="181"/>
      <c r="L873" s="181"/>
      <c r="M873" s="181"/>
      <c r="N873" s="181"/>
      <c r="O873" s="181"/>
      <c r="P873" s="181"/>
      <c r="Q873" s="181"/>
      <c r="R873" s="181"/>
      <c r="S873" s="181"/>
      <c r="T873" s="181"/>
      <c r="U873" s="181"/>
      <c r="V873" s="181"/>
      <c r="W873" s="181"/>
      <c r="X873" s="181"/>
      <c r="Y873" s="181"/>
      <c r="Z873" s="181"/>
      <c r="AA873" s="181"/>
    </row>
    <row r="874" customFormat="false" ht="15.75" hidden="false" customHeight="false" outlineLevel="0" collapsed="false">
      <c r="A874" s="181" t="str">
        <f aca="false">IF(ISBLANK(B874),"",B874&amp;"|"&amp;C874)</f>
        <v/>
      </c>
      <c r="B874" s="181"/>
      <c r="C874" s="181"/>
      <c r="D874" s="181"/>
      <c r="E874" s="186"/>
      <c r="F874" s="181"/>
      <c r="G874" s="181"/>
      <c r="H874" s="181"/>
      <c r="I874" s="181"/>
      <c r="J874" s="181"/>
      <c r="K874" s="181"/>
      <c r="L874" s="181"/>
      <c r="M874" s="181"/>
      <c r="N874" s="181"/>
      <c r="O874" s="181"/>
      <c r="P874" s="181"/>
      <c r="Q874" s="181"/>
      <c r="R874" s="181"/>
      <c r="S874" s="181"/>
      <c r="T874" s="181"/>
      <c r="U874" s="181"/>
      <c r="V874" s="181"/>
      <c r="W874" s="181"/>
      <c r="X874" s="181"/>
      <c r="Y874" s="181"/>
      <c r="Z874" s="181"/>
      <c r="AA874" s="181"/>
    </row>
    <row r="875" customFormat="false" ht="15.75" hidden="false" customHeight="false" outlineLevel="0" collapsed="false">
      <c r="A875" s="181" t="str">
        <f aca="false">IF(ISBLANK(B875),"",B875&amp;"|"&amp;C875)</f>
        <v/>
      </c>
      <c r="B875" s="181"/>
      <c r="C875" s="181"/>
      <c r="D875" s="181"/>
      <c r="E875" s="186"/>
      <c r="F875" s="181"/>
      <c r="G875" s="181"/>
      <c r="H875" s="181"/>
      <c r="I875" s="181"/>
      <c r="J875" s="181"/>
      <c r="K875" s="181"/>
      <c r="L875" s="181"/>
      <c r="M875" s="181"/>
      <c r="N875" s="181"/>
      <c r="O875" s="181"/>
      <c r="P875" s="181"/>
      <c r="Q875" s="181"/>
      <c r="R875" s="181"/>
      <c r="S875" s="181"/>
      <c r="T875" s="181"/>
      <c r="U875" s="181"/>
      <c r="V875" s="181"/>
      <c r="W875" s="181"/>
      <c r="X875" s="181"/>
      <c r="Y875" s="181"/>
      <c r="Z875" s="181"/>
      <c r="AA875" s="181"/>
    </row>
    <row r="876" customFormat="false" ht="15.75" hidden="false" customHeight="false" outlineLevel="0" collapsed="false">
      <c r="A876" s="181" t="str">
        <f aca="false">IF(ISBLANK(B876),"",B876&amp;"|"&amp;C876)</f>
        <v/>
      </c>
      <c r="B876" s="181"/>
      <c r="C876" s="181"/>
      <c r="D876" s="181"/>
      <c r="E876" s="186"/>
      <c r="F876" s="181"/>
      <c r="G876" s="181"/>
      <c r="H876" s="181"/>
      <c r="I876" s="181"/>
      <c r="J876" s="181"/>
      <c r="K876" s="181"/>
      <c r="L876" s="181"/>
      <c r="M876" s="181"/>
      <c r="N876" s="181"/>
      <c r="O876" s="181"/>
      <c r="P876" s="181"/>
      <c r="Q876" s="181"/>
      <c r="R876" s="181"/>
      <c r="S876" s="181"/>
      <c r="T876" s="181"/>
      <c r="U876" s="181"/>
      <c r="V876" s="181"/>
      <c r="W876" s="181"/>
      <c r="X876" s="181"/>
      <c r="Y876" s="181"/>
      <c r="Z876" s="181"/>
      <c r="AA876" s="181"/>
    </row>
    <row r="877" customFormat="false" ht="15.75" hidden="false" customHeight="false" outlineLevel="0" collapsed="false">
      <c r="A877" s="181" t="str">
        <f aca="false">IF(ISBLANK(B877),"",B877&amp;"|"&amp;C877)</f>
        <v/>
      </c>
      <c r="B877" s="181"/>
      <c r="C877" s="181"/>
      <c r="D877" s="181"/>
      <c r="E877" s="186"/>
      <c r="F877" s="181"/>
      <c r="G877" s="181"/>
      <c r="H877" s="181"/>
      <c r="I877" s="181"/>
      <c r="J877" s="181"/>
      <c r="K877" s="181"/>
      <c r="L877" s="181"/>
      <c r="M877" s="181"/>
      <c r="N877" s="181"/>
      <c r="O877" s="181"/>
      <c r="P877" s="181"/>
      <c r="Q877" s="181"/>
      <c r="R877" s="181"/>
      <c r="S877" s="181"/>
      <c r="T877" s="181"/>
      <c r="U877" s="181"/>
      <c r="V877" s="181"/>
      <c r="W877" s="181"/>
      <c r="X877" s="181"/>
      <c r="Y877" s="181"/>
      <c r="Z877" s="181"/>
      <c r="AA877" s="181"/>
    </row>
    <row r="878" customFormat="false" ht="15.75" hidden="false" customHeight="false" outlineLevel="0" collapsed="false">
      <c r="A878" s="181" t="str">
        <f aca="false">IF(ISBLANK(B878),"",B878&amp;"|"&amp;C878)</f>
        <v/>
      </c>
      <c r="B878" s="181"/>
      <c r="C878" s="181"/>
      <c r="D878" s="181"/>
      <c r="E878" s="186"/>
      <c r="F878" s="181"/>
      <c r="G878" s="181"/>
      <c r="H878" s="181"/>
      <c r="I878" s="181"/>
      <c r="J878" s="181"/>
      <c r="K878" s="181"/>
      <c r="L878" s="181"/>
      <c r="M878" s="181"/>
      <c r="N878" s="181"/>
      <c r="O878" s="181"/>
      <c r="P878" s="181"/>
      <c r="Q878" s="181"/>
      <c r="R878" s="181"/>
      <c r="S878" s="181"/>
      <c r="T878" s="181"/>
      <c r="U878" s="181"/>
      <c r="V878" s="181"/>
      <c r="W878" s="181"/>
      <c r="X878" s="181"/>
      <c r="Y878" s="181"/>
      <c r="Z878" s="181"/>
      <c r="AA878" s="181"/>
    </row>
    <row r="879" customFormat="false" ht="15.75" hidden="false" customHeight="false" outlineLevel="0" collapsed="false">
      <c r="A879" s="181" t="str">
        <f aca="false">IF(ISBLANK(B879),"",B879&amp;"|"&amp;C879)</f>
        <v/>
      </c>
      <c r="B879" s="181"/>
      <c r="C879" s="181"/>
      <c r="D879" s="181"/>
      <c r="E879" s="186"/>
      <c r="F879" s="181"/>
      <c r="G879" s="181"/>
      <c r="H879" s="181"/>
      <c r="I879" s="181"/>
      <c r="J879" s="181"/>
      <c r="K879" s="181"/>
      <c r="L879" s="181"/>
      <c r="M879" s="181"/>
      <c r="N879" s="181"/>
      <c r="O879" s="181"/>
      <c r="P879" s="181"/>
      <c r="Q879" s="181"/>
      <c r="R879" s="181"/>
      <c r="S879" s="181"/>
      <c r="T879" s="181"/>
      <c r="U879" s="181"/>
      <c r="V879" s="181"/>
      <c r="W879" s="181"/>
      <c r="X879" s="181"/>
      <c r="Y879" s="181"/>
      <c r="Z879" s="181"/>
      <c r="AA879" s="181"/>
    </row>
    <row r="880" customFormat="false" ht="15.75" hidden="false" customHeight="false" outlineLevel="0" collapsed="false">
      <c r="A880" s="181" t="str">
        <f aca="false">IF(ISBLANK(B880),"",B880&amp;"|"&amp;C880)</f>
        <v/>
      </c>
      <c r="B880" s="181"/>
      <c r="C880" s="181"/>
      <c r="D880" s="181"/>
      <c r="E880" s="186"/>
      <c r="F880" s="181"/>
      <c r="G880" s="181"/>
      <c r="H880" s="181"/>
      <c r="I880" s="181"/>
      <c r="J880" s="181"/>
      <c r="K880" s="181"/>
      <c r="L880" s="181"/>
      <c r="M880" s="181"/>
      <c r="N880" s="181"/>
      <c r="O880" s="181"/>
      <c r="P880" s="181"/>
      <c r="Q880" s="181"/>
      <c r="R880" s="181"/>
      <c r="S880" s="181"/>
      <c r="T880" s="181"/>
      <c r="U880" s="181"/>
      <c r="V880" s="181"/>
      <c r="W880" s="181"/>
      <c r="X880" s="181"/>
      <c r="Y880" s="181"/>
      <c r="Z880" s="181"/>
      <c r="AA880" s="181"/>
    </row>
    <row r="881" customFormat="false" ht="15.75" hidden="false" customHeight="false" outlineLevel="0" collapsed="false">
      <c r="A881" s="181" t="str">
        <f aca="false">IF(ISBLANK(B881),"",B881&amp;"|"&amp;C881)</f>
        <v/>
      </c>
      <c r="B881" s="181"/>
      <c r="C881" s="181"/>
      <c r="D881" s="181"/>
      <c r="E881" s="186"/>
      <c r="F881" s="181"/>
      <c r="G881" s="181"/>
      <c r="H881" s="181"/>
      <c r="I881" s="181"/>
      <c r="J881" s="181"/>
      <c r="K881" s="181"/>
      <c r="L881" s="181"/>
      <c r="M881" s="181"/>
      <c r="N881" s="181"/>
      <c r="O881" s="181"/>
      <c r="P881" s="181"/>
      <c r="Q881" s="181"/>
      <c r="R881" s="181"/>
      <c r="S881" s="181"/>
      <c r="T881" s="181"/>
      <c r="U881" s="181"/>
      <c r="V881" s="181"/>
      <c r="W881" s="181"/>
      <c r="X881" s="181"/>
      <c r="Y881" s="181"/>
      <c r="Z881" s="181"/>
      <c r="AA881" s="181"/>
    </row>
    <row r="882" customFormat="false" ht="15.75" hidden="false" customHeight="false" outlineLevel="0" collapsed="false">
      <c r="A882" s="181" t="str">
        <f aca="false">IF(ISBLANK(B882),"",B882&amp;"|"&amp;C882)</f>
        <v/>
      </c>
      <c r="B882" s="181"/>
      <c r="C882" s="181"/>
      <c r="D882" s="181"/>
      <c r="E882" s="186"/>
      <c r="F882" s="181"/>
      <c r="G882" s="181"/>
      <c r="H882" s="181"/>
      <c r="I882" s="181"/>
      <c r="J882" s="181"/>
      <c r="K882" s="181"/>
      <c r="L882" s="181"/>
      <c r="M882" s="181"/>
      <c r="N882" s="181"/>
      <c r="O882" s="181"/>
      <c r="P882" s="181"/>
      <c r="Q882" s="181"/>
      <c r="R882" s="181"/>
      <c r="S882" s="181"/>
      <c r="T882" s="181"/>
      <c r="U882" s="181"/>
      <c r="V882" s="181"/>
      <c r="W882" s="181"/>
      <c r="X882" s="181"/>
      <c r="Y882" s="181"/>
      <c r="Z882" s="181"/>
      <c r="AA882" s="181"/>
    </row>
    <row r="883" customFormat="false" ht="15.75" hidden="false" customHeight="false" outlineLevel="0" collapsed="false">
      <c r="A883" s="181" t="str">
        <f aca="false">IF(ISBLANK(B883),"",B883&amp;"|"&amp;C883)</f>
        <v/>
      </c>
      <c r="B883" s="181"/>
      <c r="C883" s="181"/>
      <c r="D883" s="181"/>
      <c r="E883" s="186"/>
      <c r="F883" s="181"/>
      <c r="G883" s="181"/>
      <c r="H883" s="181"/>
      <c r="I883" s="181"/>
      <c r="J883" s="181"/>
      <c r="K883" s="181"/>
      <c r="L883" s="181"/>
      <c r="M883" s="181"/>
      <c r="N883" s="181"/>
      <c r="O883" s="181"/>
      <c r="P883" s="181"/>
      <c r="Q883" s="181"/>
      <c r="R883" s="181"/>
      <c r="S883" s="181"/>
      <c r="T883" s="181"/>
      <c r="U883" s="181"/>
      <c r="V883" s="181"/>
      <c r="W883" s="181"/>
      <c r="X883" s="181"/>
      <c r="Y883" s="181"/>
      <c r="Z883" s="181"/>
      <c r="AA883" s="181"/>
    </row>
    <row r="884" customFormat="false" ht="15.75" hidden="false" customHeight="false" outlineLevel="0" collapsed="false">
      <c r="A884" s="181" t="str">
        <f aca="false">IF(ISBLANK(B884),"",B884&amp;"|"&amp;C884)</f>
        <v/>
      </c>
      <c r="B884" s="181"/>
      <c r="C884" s="181"/>
      <c r="D884" s="181"/>
      <c r="E884" s="186"/>
      <c r="F884" s="181"/>
      <c r="G884" s="181"/>
      <c r="H884" s="181"/>
      <c r="I884" s="181"/>
      <c r="J884" s="181"/>
      <c r="K884" s="181"/>
      <c r="L884" s="181"/>
      <c r="M884" s="181"/>
      <c r="N884" s="181"/>
      <c r="O884" s="181"/>
      <c r="P884" s="181"/>
      <c r="Q884" s="181"/>
      <c r="R884" s="181"/>
      <c r="S884" s="181"/>
      <c r="T884" s="181"/>
      <c r="U884" s="181"/>
      <c r="V884" s="181"/>
      <c r="W884" s="181"/>
      <c r="X884" s="181"/>
      <c r="Y884" s="181"/>
      <c r="Z884" s="181"/>
      <c r="AA884" s="181"/>
    </row>
    <row r="885" customFormat="false" ht="15.75" hidden="false" customHeight="false" outlineLevel="0" collapsed="false">
      <c r="A885" s="181" t="str">
        <f aca="false">IF(ISBLANK(B885),"",B885&amp;"|"&amp;C885)</f>
        <v/>
      </c>
      <c r="B885" s="181"/>
      <c r="C885" s="181"/>
      <c r="D885" s="181"/>
      <c r="E885" s="186"/>
      <c r="F885" s="181"/>
      <c r="G885" s="181"/>
      <c r="H885" s="181"/>
      <c r="I885" s="181"/>
      <c r="J885" s="181"/>
      <c r="K885" s="181"/>
      <c r="L885" s="181"/>
      <c r="M885" s="181"/>
      <c r="N885" s="181"/>
      <c r="O885" s="181"/>
      <c r="P885" s="181"/>
      <c r="Q885" s="181"/>
      <c r="R885" s="181"/>
      <c r="S885" s="181"/>
      <c r="T885" s="181"/>
      <c r="U885" s="181"/>
      <c r="V885" s="181"/>
      <c r="W885" s="181"/>
      <c r="X885" s="181"/>
      <c r="Y885" s="181"/>
      <c r="Z885" s="181"/>
      <c r="AA885" s="181"/>
    </row>
    <row r="886" customFormat="false" ht="15.75" hidden="false" customHeight="false" outlineLevel="0" collapsed="false">
      <c r="A886" s="181" t="str">
        <f aca="false">IF(ISBLANK(B886),"",B886&amp;"|"&amp;C886)</f>
        <v/>
      </c>
      <c r="B886" s="181"/>
      <c r="C886" s="181"/>
      <c r="D886" s="181"/>
      <c r="E886" s="186"/>
      <c r="F886" s="181"/>
      <c r="G886" s="181"/>
      <c r="H886" s="181"/>
      <c r="I886" s="181"/>
      <c r="J886" s="181"/>
      <c r="K886" s="181"/>
      <c r="L886" s="181"/>
      <c r="M886" s="181"/>
      <c r="N886" s="181"/>
      <c r="O886" s="181"/>
      <c r="P886" s="181"/>
      <c r="Q886" s="181"/>
      <c r="R886" s="181"/>
      <c r="S886" s="181"/>
      <c r="T886" s="181"/>
      <c r="U886" s="181"/>
      <c r="V886" s="181"/>
      <c r="W886" s="181"/>
      <c r="X886" s="181"/>
      <c r="Y886" s="181"/>
      <c r="Z886" s="181"/>
      <c r="AA886" s="181"/>
    </row>
    <row r="887" customFormat="false" ht="15.75" hidden="false" customHeight="false" outlineLevel="0" collapsed="false">
      <c r="A887" s="181" t="str">
        <f aca="false">IF(ISBLANK(B887),"",B887&amp;"|"&amp;C887)</f>
        <v/>
      </c>
      <c r="B887" s="181"/>
      <c r="C887" s="181"/>
      <c r="D887" s="181"/>
      <c r="E887" s="186"/>
      <c r="F887" s="181"/>
      <c r="G887" s="181"/>
      <c r="H887" s="181"/>
      <c r="I887" s="181"/>
      <c r="J887" s="181"/>
      <c r="K887" s="181"/>
      <c r="L887" s="181"/>
      <c r="M887" s="181"/>
      <c r="N887" s="181"/>
      <c r="O887" s="181"/>
      <c r="P887" s="181"/>
      <c r="Q887" s="181"/>
      <c r="R887" s="181"/>
      <c r="S887" s="181"/>
      <c r="T887" s="181"/>
      <c r="U887" s="181"/>
      <c r="V887" s="181"/>
      <c r="W887" s="181"/>
      <c r="X887" s="181"/>
      <c r="Y887" s="181"/>
      <c r="Z887" s="181"/>
      <c r="AA887" s="181"/>
    </row>
    <row r="888" customFormat="false" ht="15.75" hidden="false" customHeight="false" outlineLevel="0" collapsed="false">
      <c r="A888" s="181" t="str">
        <f aca="false">IF(ISBLANK(B888),"",B888&amp;"|"&amp;C888)</f>
        <v/>
      </c>
      <c r="B888" s="181"/>
      <c r="C888" s="181"/>
      <c r="D888" s="181"/>
      <c r="E888" s="186"/>
      <c r="F888" s="181"/>
      <c r="G888" s="181"/>
      <c r="H888" s="181"/>
      <c r="I888" s="181"/>
      <c r="J888" s="181"/>
      <c r="K888" s="181"/>
      <c r="L888" s="181"/>
      <c r="M888" s="181"/>
      <c r="N888" s="181"/>
      <c r="O888" s="181"/>
      <c r="P888" s="181"/>
      <c r="Q888" s="181"/>
      <c r="R888" s="181"/>
      <c r="S888" s="181"/>
      <c r="T888" s="181"/>
      <c r="U888" s="181"/>
      <c r="V888" s="181"/>
      <c r="W888" s="181"/>
      <c r="X888" s="181"/>
      <c r="Y888" s="181"/>
      <c r="Z888" s="181"/>
      <c r="AA888" s="181"/>
    </row>
    <row r="889" customFormat="false" ht="15.75" hidden="false" customHeight="false" outlineLevel="0" collapsed="false">
      <c r="A889" s="181" t="str">
        <f aca="false">IF(ISBLANK(B889),"",B889&amp;"|"&amp;C889)</f>
        <v/>
      </c>
      <c r="B889" s="181"/>
      <c r="C889" s="181"/>
      <c r="D889" s="181"/>
      <c r="E889" s="186"/>
      <c r="F889" s="181"/>
      <c r="G889" s="181"/>
      <c r="H889" s="181"/>
      <c r="I889" s="181"/>
      <c r="J889" s="181"/>
      <c r="K889" s="181"/>
      <c r="L889" s="181"/>
      <c r="M889" s="181"/>
      <c r="N889" s="181"/>
      <c r="O889" s="181"/>
      <c r="P889" s="181"/>
      <c r="Q889" s="181"/>
      <c r="R889" s="181"/>
      <c r="S889" s="181"/>
      <c r="T889" s="181"/>
      <c r="U889" s="181"/>
      <c r="V889" s="181"/>
      <c r="W889" s="181"/>
      <c r="X889" s="181"/>
      <c r="Y889" s="181"/>
      <c r="Z889" s="181"/>
      <c r="AA889" s="181"/>
    </row>
    <row r="890" customFormat="false" ht="15.75" hidden="false" customHeight="false" outlineLevel="0" collapsed="false">
      <c r="A890" s="181" t="str">
        <f aca="false">IF(ISBLANK(B890),"",B890&amp;"|"&amp;C890)</f>
        <v/>
      </c>
      <c r="B890" s="181"/>
      <c r="C890" s="181"/>
      <c r="D890" s="181"/>
      <c r="E890" s="186"/>
      <c r="F890" s="181"/>
      <c r="G890" s="181"/>
      <c r="H890" s="181"/>
      <c r="I890" s="181"/>
      <c r="J890" s="181"/>
      <c r="K890" s="181"/>
      <c r="L890" s="181"/>
      <c r="M890" s="181"/>
      <c r="N890" s="181"/>
      <c r="O890" s="181"/>
      <c r="P890" s="181"/>
      <c r="Q890" s="181"/>
      <c r="R890" s="181"/>
      <c r="S890" s="181"/>
      <c r="T890" s="181"/>
      <c r="U890" s="181"/>
      <c r="V890" s="181"/>
      <c r="W890" s="181"/>
      <c r="X890" s="181"/>
      <c r="Y890" s="181"/>
      <c r="Z890" s="181"/>
      <c r="AA890" s="181"/>
    </row>
    <row r="891" customFormat="false" ht="15.75" hidden="false" customHeight="false" outlineLevel="0" collapsed="false">
      <c r="A891" s="181" t="str">
        <f aca="false">IF(ISBLANK(B891),"",B891&amp;"|"&amp;C891)</f>
        <v/>
      </c>
      <c r="B891" s="181"/>
      <c r="C891" s="181"/>
      <c r="D891" s="181"/>
      <c r="E891" s="186"/>
      <c r="F891" s="181"/>
      <c r="G891" s="181"/>
      <c r="H891" s="181"/>
      <c r="I891" s="181"/>
      <c r="J891" s="181"/>
      <c r="K891" s="181"/>
      <c r="L891" s="181"/>
      <c r="M891" s="181"/>
      <c r="N891" s="181"/>
      <c r="O891" s="181"/>
      <c r="P891" s="181"/>
      <c r="Q891" s="181"/>
      <c r="R891" s="181"/>
      <c r="S891" s="181"/>
      <c r="T891" s="181"/>
      <c r="U891" s="181"/>
      <c r="V891" s="181"/>
      <c r="W891" s="181"/>
      <c r="X891" s="181"/>
      <c r="Y891" s="181"/>
      <c r="Z891" s="181"/>
      <c r="AA891" s="181"/>
    </row>
    <row r="892" customFormat="false" ht="15.75" hidden="false" customHeight="false" outlineLevel="0" collapsed="false">
      <c r="A892" s="181" t="str">
        <f aca="false">IF(ISBLANK(B892),"",B892&amp;"|"&amp;C892)</f>
        <v/>
      </c>
      <c r="B892" s="181"/>
      <c r="C892" s="181"/>
      <c r="D892" s="181"/>
      <c r="E892" s="186"/>
      <c r="F892" s="181"/>
      <c r="G892" s="181"/>
      <c r="H892" s="181"/>
      <c r="I892" s="181"/>
      <c r="J892" s="181"/>
      <c r="K892" s="181"/>
      <c r="L892" s="181"/>
      <c r="M892" s="181"/>
      <c r="N892" s="181"/>
      <c r="O892" s="181"/>
      <c r="P892" s="181"/>
      <c r="Q892" s="181"/>
      <c r="R892" s="181"/>
      <c r="S892" s="181"/>
      <c r="T892" s="181"/>
      <c r="U892" s="181"/>
      <c r="V892" s="181"/>
      <c r="W892" s="181"/>
      <c r="X892" s="181"/>
      <c r="Y892" s="181"/>
      <c r="Z892" s="181"/>
      <c r="AA892" s="181"/>
    </row>
    <row r="893" customFormat="false" ht="15.75" hidden="false" customHeight="false" outlineLevel="0" collapsed="false">
      <c r="A893" s="181" t="str">
        <f aca="false">IF(ISBLANK(B893),"",B893&amp;"|"&amp;C893)</f>
        <v/>
      </c>
      <c r="B893" s="181"/>
      <c r="C893" s="181"/>
      <c r="D893" s="181"/>
      <c r="E893" s="186"/>
      <c r="F893" s="181"/>
      <c r="G893" s="181"/>
      <c r="H893" s="181"/>
      <c r="I893" s="181"/>
      <c r="J893" s="181"/>
      <c r="K893" s="181"/>
      <c r="L893" s="181"/>
      <c r="M893" s="181"/>
      <c r="N893" s="181"/>
      <c r="O893" s="181"/>
      <c r="P893" s="181"/>
      <c r="Q893" s="181"/>
      <c r="R893" s="181"/>
      <c r="S893" s="181"/>
      <c r="T893" s="181"/>
      <c r="U893" s="181"/>
      <c r="V893" s="181"/>
      <c r="W893" s="181"/>
      <c r="X893" s="181"/>
      <c r="Y893" s="181"/>
      <c r="Z893" s="181"/>
      <c r="AA893" s="181"/>
    </row>
    <row r="894" customFormat="false" ht="15.75" hidden="false" customHeight="false" outlineLevel="0" collapsed="false">
      <c r="A894" s="181" t="str">
        <f aca="false">IF(ISBLANK(B894),"",B894&amp;"|"&amp;C894)</f>
        <v/>
      </c>
      <c r="B894" s="181"/>
      <c r="C894" s="181"/>
      <c r="D894" s="181"/>
      <c r="E894" s="186"/>
      <c r="F894" s="181"/>
      <c r="G894" s="181"/>
      <c r="H894" s="181"/>
      <c r="I894" s="181"/>
      <c r="J894" s="181"/>
      <c r="K894" s="181"/>
      <c r="L894" s="181"/>
      <c r="M894" s="181"/>
      <c r="N894" s="181"/>
      <c r="O894" s="181"/>
      <c r="P894" s="181"/>
      <c r="Q894" s="181"/>
      <c r="R894" s="181"/>
      <c r="S894" s="181"/>
      <c r="T894" s="181"/>
      <c r="U894" s="181"/>
      <c r="V894" s="181"/>
      <c r="W894" s="181"/>
      <c r="X894" s="181"/>
      <c r="Y894" s="181"/>
      <c r="Z894" s="181"/>
      <c r="AA894" s="181"/>
    </row>
    <row r="895" customFormat="false" ht="15.75" hidden="false" customHeight="false" outlineLevel="0" collapsed="false">
      <c r="A895" s="181" t="str">
        <f aca="false">IF(ISBLANK(B895),"",B895&amp;"|"&amp;C895)</f>
        <v/>
      </c>
      <c r="B895" s="181"/>
      <c r="C895" s="181"/>
      <c r="D895" s="181"/>
      <c r="E895" s="186"/>
      <c r="F895" s="181"/>
      <c r="G895" s="181"/>
      <c r="H895" s="181"/>
      <c r="I895" s="181"/>
      <c r="J895" s="181"/>
      <c r="K895" s="181"/>
      <c r="L895" s="181"/>
      <c r="M895" s="181"/>
      <c r="N895" s="181"/>
      <c r="O895" s="181"/>
      <c r="P895" s="181"/>
      <c r="Q895" s="181"/>
      <c r="R895" s="181"/>
      <c r="S895" s="181"/>
      <c r="T895" s="181"/>
      <c r="U895" s="181"/>
      <c r="V895" s="181"/>
      <c r="W895" s="181"/>
      <c r="X895" s="181"/>
      <c r="Y895" s="181"/>
      <c r="Z895" s="181"/>
      <c r="AA895" s="181"/>
    </row>
    <row r="896" customFormat="false" ht="15.75" hidden="false" customHeight="false" outlineLevel="0" collapsed="false">
      <c r="A896" s="181" t="str">
        <f aca="false">IF(ISBLANK(B896),"",B896&amp;"|"&amp;C896)</f>
        <v/>
      </c>
      <c r="B896" s="181"/>
      <c r="C896" s="181"/>
      <c r="D896" s="181"/>
      <c r="E896" s="186"/>
      <c r="F896" s="181"/>
      <c r="G896" s="181"/>
      <c r="H896" s="181"/>
      <c r="I896" s="181"/>
      <c r="J896" s="181"/>
      <c r="K896" s="181"/>
      <c r="L896" s="181"/>
      <c r="M896" s="181"/>
      <c r="N896" s="181"/>
      <c r="O896" s="181"/>
      <c r="P896" s="181"/>
      <c r="Q896" s="181"/>
      <c r="R896" s="181"/>
      <c r="S896" s="181"/>
      <c r="T896" s="181"/>
      <c r="U896" s="181"/>
      <c r="V896" s="181"/>
      <c r="W896" s="181"/>
      <c r="X896" s="181"/>
      <c r="Y896" s="181"/>
      <c r="Z896" s="181"/>
      <c r="AA896" s="181"/>
    </row>
    <row r="897" customFormat="false" ht="15.75" hidden="false" customHeight="false" outlineLevel="0" collapsed="false">
      <c r="A897" s="181" t="str">
        <f aca="false">IF(ISBLANK(B897),"",B897&amp;"|"&amp;C897)</f>
        <v/>
      </c>
      <c r="B897" s="181"/>
      <c r="C897" s="181"/>
      <c r="D897" s="181"/>
      <c r="E897" s="186"/>
      <c r="F897" s="181"/>
      <c r="G897" s="181"/>
      <c r="H897" s="181"/>
      <c r="I897" s="181"/>
      <c r="J897" s="181"/>
      <c r="K897" s="181"/>
      <c r="L897" s="181"/>
      <c r="M897" s="181"/>
      <c r="N897" s="181"/>
      <c r="O897" s="181"/>
      <c r="P897" s="181"/>
      <c r="Q897" s="181"/>
      <c r="R897" s="181"/>
      <c r="S897" s="181"/>
      <c r="T897" s="181"/>
      <c r="U897" s="181"/>
      <c r="V897" s="181"/>
      <c r="W897" s="181"/>
      <c r="X897" s="181"/>
      <c r="Y897" s="181"/>
      <c r="Z897" s="181"/>
      <c r="AA897" s="181"/>
    </row>
    <row r="898" customFormat="false" ht="15.75" hidden="false" customHeight="false" outlineLevel="0" collapsed="false">
      <c r="A898" s="181" t="str">
        <f aca="false">IF(ISBLANK(B898),"",B898&amp;"|"&amp;C898)</f>
        <v/>
      </c>
      <c r="B898" s="181"/>
      <c r="C898" s="181"/>
      <c r="D898" s="181"/>
      <c r="E898" s="186"/>
      <c r="F898" s="181"/>
      <c r="G898" s="181"/>
      <c r="H898" s="181"/>
      <c r="I898" s="181"/>
      <c r="J898" s="181"/>
      <c r="K898" s="181"/>
      <c r="L898" s="181"/>
      <c r="M898" s="181"/>
      <c r="N898" s="181"/>
      <c r="O898" s="181"/>
      <c r="P898" s="181"/>
      <c r="Q898" s="181"/>
      <c r="R898" s="181"/>
      <c r="S898" s="181"/>
      <c r="T898" s="181"/>
      <c r="U898" s="181"/>
      <c r="V898" s="181"/>
      <c r="W898" s="181"/>
      <c r="X898" s="181"/>
      <c r="Y898" s="181"/>
      <c r="Z898" s="181"/>
      <c r="AA898" s="181"/>
    </row>
    <row r="899" customFormat="false" ht="15.75" hidden="false" customHeight="false" outlineLevel="0" collapsed="false">
      <c r="A899" s="181" t="str">
        <f aca="false">IF(ISBLANK(B899),"",B899&amp;"|"&amp;C899)</f>
        <v/>
      </c>
      <c r="B899" s="181"/>
      <c r="C899" s="181"/>
      <c r="D899" s="181"/>
      <c r="E899" s="186"/>
      <c r="F899" s="181"/>
      <c r="G899" s="181"/>
      <c r="H899" s="181"/>
      <c r="I899" s="181"/>
      <c r="J899" s="181"/>
      <c r="K899" s="181"/>
      <c r="L899" s="181"/>
      <c r="M899" s="181"/>
      <c r="N899" s="181"/>
      <c r="O899" s="181"/>
      <c r="P899" s="181"/>
      <c r="Q899" s="181"/>
      <c r="R899" s="181"/>
      <c r="S899" s="181"/>
      <c r="T899" s="181"/>
      <c r="U899" s="181"/>
      <c r="V899" s="181"/>
      <c r="W899" s="181"/>
      <c r="X899" s="181"/>
      <c r="Y899" s="181"/>
      <c r="Z899" s="181"/>
      <c r="AA899" s="181"/>
    </row>
    <row r="900" customFormat="false" ht="15.75" hidden="false" customHeight="false" outlineLevel="0" collapsed="false">
      <c r="A900" s="181" t="str">
        <f aca="false">IF(ISBLANK(B900),"",B900&amp;"|"&amp;C900)</f>
        <v/>
      </c>
      <c r="B900" s="181"/>
      <c r="C900" s="181"/>
      <c r="D900" s="181"/>
      <c r="E900" s="186"/>
      <c r="F900" s="181"/>
      <c r="G900" s="181"/>
      <c r="H900" s="181"/>
      <c r="I900" s="181"/>
      <c r="J900" s="181"/>
      <c r="K900" s="181"/>
      <c r="L900" s="181"/>
      <c r="M900" s="181"/>
      <c r="N900" s="181"/>
      <c r="O900" s="181"/>
      <c r="P900" s="181"/>
      <c r="Q900" s="181"/>
      <c r="R900" s="181"/>
      <c r="S900" s="181"/>
      <c r="T900" s="181"/>
      <c r="U900" s="181"/>
      <c r="V900" s="181"/>
      <c r="W900" s="181"/>
      <c r="X900" s="181"/>
      <c r="Y900" s="181"/>
      <c r="Z900" s="181"/>
      <c r="AA900" s="181"/>
    </row>
    <row r="901" customFormat="false" ht="15.75" hidden="false" customHeight="false" outlineLevel="0" collapsed="false">
      <c r="A901" s="181" t="str">
        <f aca="false">IF(ISBLANK(B901),"",B901&amp;"|"&amp;C901)</f>
        <v/>
      </c>
      <c r="B901" s="181"/>
      <c r="C901" s="181"/>
      <c r="D901" s="181"/>
      <c r="E901" s="186"/>
      <c r="F901" s="181"/>
      <c r="G901" s="181"/>
      <c r="H901" s="181"/>
      <c r="I901" s="181"/>
      <c r="J901" s="181"/>
      <c r="K901" s="181"/>
      <c r="L901" s="181"/>
      <c r="M901" s="181"/>
      <c r="N901" s="181"/>
      <c r="O901" s="181"/>
      <c r="P901" s="181"/>
      <c r="Q901" s="181"/>
      <c r="R901" s="181"/>
      <c r="S901" s="181"/>
      <c r="T901" s="181"/>
      <c r="U901" s="181"/>
      <c r="V901" s="181"/>
      <c r="W901" s="181"/>
      <c r="X901" s="181"/>
      <c r="Y901" s="181"/>
      <c r="Z901" s="181"/>
      <c r="AA901" s="181"/>
    </row>
    <row r="902" customFormat="false" ht="15.75" hidden="false" customHeight="false" outlineLevel="0" collapsed="false">
      <c r="A902" s="181" t="str">
        <f aca="false">IF(ISBLANK(B902),"",B902&amp;"|"&amp;C902)</f>
        <v/>
      </c>
      <c r="B902" s="181"/>
      <c r="C902" s="181"/>
      <c r="D902" s="181"/>
      <c r="E902" s="186"/>
      <c r="F902" s="181"/>
      <c r="G902" s="181"/>
      <c r="H902" s="181"/>
      <c r="I902" s="181"/>
      <c r="J902" s="181"/>
      <c r="K902" s="181"/>
      <c r="L902" s="181"/>
      <c r="M902" s="181"/>
      <c r="N902" s="181"/>
      <c r="O902" s="181"/>
      <c r="P902" s="181"/>
      <c r="Q902" s="181"/>
      <c r="R902" s="181"/>
      <c r="S902" s="181"/>
      <c r="T902" s="181"/>
      <c r="U902" s="181"/>
      <c r="V902" s="181"/>
      <c r="W902" s="181"/>
      <c r="X902" s="181"/>
      <c r="Y902" s="181"/>
      <c r="Z902" s="181"/>
      <c r="AA902" s="181"/>
    </row>
    <row r="903" customFormat="false" ht="15.75" hidden="false" customHeight="false" outlineLevel="0" collapsed="false">
      <c r="A903" s="181" t="str">
        <f aca="false">IF(ISBLANK(B903),"",B903&amp;"|"&amp;C903)</f>
        <v/>
      </c>
      <c r="B903" s="181"/>
      <c r="C903" s="181"/>
      <c r="D903" s="181"/>
      <c r="E903" s="186"/>
      <c r="F903" s="181"/>
      <c r="G903" s="181"/>
      <c r="H903" s="181"/>
      <c r="I903" s="181"/>
      <c r="J903" s="181"/>
      <c r="K903" s="181"/>
      <c r="L903" s="181"/>
      <c r="M903" s="181"/>
      <c r="N903" s="181"/>
      <c r="O903" s="181"/>
      <c r="P903" s="181"/>
      <c r="Q903" s="181"/>
      <c r="R903" s="181"/>
      <c r="S903" s="181"/>
      <c r="T903" s="181"/>
      <c r="U903" s="181"/>
      <c r="V903" s="181"/>
      <c r="W903" s="181"/>
      <c r="X903" s="181"/>
      <c r="Y903" s="181"/>
      <c r="Z903" s="181"/>
      <c r="AA903" s="181"/>
    </row>
    <row r="904" customFormat="false" ht="15.75" hidden="false" customHeight="false" outlineLevel="0" collapsed="false">
      <c r="A904" s="181" t="str">
        <f aca="false">IF(ISBLANK(B904),"",B904&amp;"|"&amp;C904)</f>
        <v/>
      </c>
      <c r="B904" s="181"/>
      <c r="C904" s="181"/>
      <c r="D904" s="181"/>
      <c r="E904" s="186"/>
      <c r="F904" s="181"/>
      <c r="G904" s="181"/>
      <c r="H904" s="181"/>
      <c r="I904" s="181"/>
      <c r="J904" s="181"/>
      <c r="K904" s="181"/>
      <c r="L904" s="181"/>
      <c r="M904" s="181"/>
      <c r="N904" s="181"/>
      <c r="O904" s="181"/>
      <c r="P904" s="181"/>
      <c r="Q904" s="181"/>
      <c r="R904" s="181"/>
      <c r="S904" s="181"/>
      <c r="T904" s="181"/>
      <c r="U904" s="181"/>
      <c r="V904" s="181"/>
      <c r="W904" s="181"/>
      <c r="X904" s="181"/>
      <c r="Y904" s="181"/>
      <c r="Z904" s="181"/>
      <c r="AA904" s="181"/>
    </row>
    <row r="905" customFormat="false" ht="15.75" hidden="false" customHeight="false" outlineLevel="0" collapsed="false">
      <c r="A905" s="181" t="str">
        <f aca="false">IF(ISBLANK(B905),"",B905&amp;"|"&amp;C905)</f>
        <v/>
      </c>
      <c r="B905" s="181"/>
      <c r="C905" s="181"/>
      <c r="D905" s="181"/>
      <c r="E905" s="186"/>
      <c r="F905" s="181"/>
      <c r="G905" s="181"/>
      <c r="H905" s="181"/>
      <c r="I905" s="181"/>
      <c r="J905" s="181"/>
      <c r="K905" s="181"/>
      <c r="L905" s="181"/>
      <c r="M905" s="181"/>
      <c r="N905" s="181"/>
      <c r="O905" s="181"/>
      <c r="P905" s="181"/>
      <c r="Q905" s="181"/>
      <c r="R905" s="181"/>
      <c r="S905" s="181"/>
      <c r="T905" s="181"/>
      <c r="U905" s="181"/>
      <c r="V905" s="181"/>
      <c r="W905" s="181"/>
      <c r="X905" s="181"/>
      <c r="Y905" s="181"/>
      <c r="Z905" s="181"/>
      <c r="AA905" s="181"/>
    </row>
    <row r="906" customFormat="false" ht="15.75" hidden="false" customHeight="false" outlineLevel="0" collapsed="false">
      <c r="A906" s="181" t="str">
        <f aca="false">IF(ISBLANK(B906),"",B906&amp;"|"&amp;C906)</f>
        <v/>
      </c>
      <c r="B906" s="181"/>
      <c r="C906" s="181"/>
      <c r="D906" s="181"/>
      <c r="E906" s="186"/>
      <c r="F906" s="181"/>
      <c r="G906" s="181"/>
      <c r="H906" s="181"/>
      <c r="I906" s="181"/>
      <c r="J906" s="181"/>
      <c r="K906" s="181"/>
      <c r="L906" s="181"/>
      <c r="M906" s="181"/>
      <c r="N906" s="181"/>
      <c r="O906" s="181"/>
      <c r="P906" s="181"/>
      <c r="Q906" s="181"/>
      <c r="R906" s="181"/>
      <c r="S906" s="181"/>
      <c r="T906" s="181"/>
      <c r="U906" s="181"/>
      <c r="V906" s="181"/>
      <c r="W906" s="181"/>
      <c r="X906" s="181"/>
      <c r="Y906" s="181"/>
      <c r="Z906" s="181"/>
      <c r="AA906" s="181"/>
    </row>
    <row r="907" customFormat="false" ht="15.75" hidden="false" customHeight="false" outlineLevel="0" collapsed="false">
      <c r="A907" s="181" t="str">
        <f aca="false">IF(ISBLANK(B907),"",B907&amp;"|"&amp;C907)</f>
        <v/>
      </c>
      <c r="B907" s="181"/>
      <c r="C907" s="181"/>
      <c r="D907" s="181"/>
      <c r="E907" s="186"/>
      <c r="F907" s="181"/>
      <c r="G907" s="181"/>
      <c r="H907" s="181"/>
      <c r="I907" s="181"/>
      <c r="J907" s="181"/>
      <c r="K907" s="181"/>
      <c r="L907" s="181"/>
      <c r="M907" s="181"/>
      <c r="N907" s="181"/>
      <c r="O907" s="181"/>
      <c r="P907" s="181"/>
      <c r="Q907" s="181"/>
      <c r="R907" s="181"/>
      <c r="S907" s="181"/>
      <c r="T907" s="181"/>
      <c r="U907" s="181"/>
      <c r="V907" s="181"/>
      <c r="W907" s="181"/>
      <c r="X907" s="181"/>
      <c r="Y907" s="181"/>
      <c r="Z907" s="181"/>
      <c r="AA907" s="181"/>
    </row>
    <row r="908" customFormat="false" ht="15.75" hidden="false" customHeight="false" outlineLevel="0" collapsed="false">
      <c r="A908" s="181" t="str">
        <f aca="false">IF(ISBLANK(B908),"",B908&amp;"|"&amp;C908)</f>
        <v/>
      </c>
      <c r="B908" s="181"/>
      <c r="C908" s="181"/>
      <c r="D908" s="181"/>
      <c r="E908" s="186"/>
      <c r="F908" s="181"/>
      <c r="G908" s="181"/>
      <c r="H908" s="181"/>
      <c r="I908" s="181"/>
      <c r="J908" s="181"/>
      <c r="K908" s="181"/>
      <c r="L908" s="181"/>
      <c r="M908" s="181"/>
      <c r="N908" s="181"/>
      <c r="O908" s="181"/>
      <c r="P908" s="181"/>
      <c r="Q908" s="181"/>
      <c r="R908" s="181"/>
      <c r="S908" s="181"/>
      <c r="T908" s="181"/>
      <c r="U908" s="181"/>
      <c r="V908" s="181"/>
      <c r="W908" s="181"/>
      <c r="X908" s="181"/>
      <c r="Y908" s="181"/>
      <c r="Z908" s="181"/>
      <c r="AA908" s="181"/>
    </row>
    <row r="909" customFormat="false" ht="15.75" hidden="false" customHeight="false" outlineLevel="0" collapsed="false">
      <c r="A909" s="181" t="str">
        <f aca="false">IF(ISBLANK(B909),"",B909&amp;"|"&amp;C909)</f>
        <v/>
      </c>
      <c r="B909" s="181"/>
      <c r="C909" s="181"/>
      <c r="D909" s="181"/>
      <c r="E909" s="186"/>
      <c r="F909" s="181"/>
      <c r="G909" s="181"/>
      <c r="H909" s="181"/>
      <c r="I909" s="181"/>
      <c r="J909" s="181"/>
      <c r="K909" s="181"/>
      <c r="L909" s="181"/>
      <c r="M909" s="181"/>
      <c r="N909" s="181"/>
      <c r="O909" s="181"/>
      <c r="P909" s="181"/>
      <c r="Q909" s="181"/>
      <c r="R909" s="181"/>
      <c r="S909" s="181"/>
      <c r="T909" s="181"/>
      <c r="U909" s="181"/>
      <c r="V909" s="181"/>
      <c r="W909" s="181"/>
      <c r="X909" s="181"/>
      <c r="Y909" s="181"/>
      <c r="Z909" s="181"/>
      <c r="AA909" s="181"/>
    </row>
    <row r="910" customFormat="false" ht="15.75" hidden="false" customHeight="false" outlineLevel="0" collapsed="false">
      <c r="A910" s="181" t="str">
        <f aca="false">IF(ISBLANK(B910),"",B910&amp;"|"&amp;C910)</f>
        <v/>
      </c>
      <c r="B910" s="181"/>
      <c r="C910" s="181"/>
      <c r="D910" s="181"/>
      <c r="E910" s="186"/>
      <c r="F910" s="181"/>
      <c r="G910" s="181"/>
      <c r="H910" s="181"/>
      <c r="I910" s="181"/>
      <c r="J910" s="181"/>
      <c r="K910" s="181"/>
      <c r="L910" s="181"/>
      <c r="M910" s="181"/>
      <c r="N910" s="181"/>
      <c r="O910" s="181"/>
      <c r="P910" s="181"/>
      <c r="Q910" s="181"/>
      <c r="R910" s="181"/>
      <c r="S910" s="181"/>
      <c r="T910" s="181"/>
      <c r="U910" s="181"/>
      <c r="V910" s="181"/>
      <c r="W910" s="181"/>
      <c r="X910" s="181"/>
      <c r="Y910" s="181"/>
      <c r="Z910" s="181"/>
      <c r="AA910" s="181"/>
    </row>
    <row r="911" customFormat="false" ht="15.75" hidden="false" customHeight="false" outlineLevel="0" collapsed="false">
      <c r="A911" s="181" t="str">
        <f aca="false">IF(ISBLANK(B911),"",B911&amp;"|"&amp;C911)</f>
        <v/>
      </c>
      <c r="B911" s="181"/>
      <c r="C911" s="181"/>
      <c r="D911" s="181"/>
      <c r="E911" s="186"/>
      <c r="F911" s="181"/>
      <c r="G911" s="181"/>
      <c r="H911" s="181"/>
      <c r="I911" s="181"/>
      <c r="J911" s="181"/>
      <c r="K911" s="181"/>
      <c r="L911" s="181"/>
      <c r="M911" s="181"/>
      <c r="N911" s="181"/>
      <c r="O911" s="181"/>
      <c r="P911" s="181"/>
      <c r="Q911" s="181"/>
      <c r="R911" s="181"/>
      <c r="S911" s="181"/>
      <c r="T911" s="181"/>
      <c r="U911" s="181"/>
      <c r="V911" s="181"/>
      <c r="W911" s="181"/>
      <c r="X911" s="181"/>
      <c r="Y911" s="181"/>
      <c r="Z911" s="181"/>
      <c r="AA911" s="181"/>
    </row>
    <row r="912" customFormat="false" ht="15.75" hidden="false" customHeight="false" outlineLevel="0" collapsed="false">
      <c r="A912" s="181" t="str">
        <f aca="false">IF(ISBLANK(B912),"",B912&amp;"|"&amp;C912)</f>
        <v/>
      </c>
      <c r="B912" s="181"/>
      <c r="C912" s="181"/>
      <c r="D912" s="181"/>
      <c r="E912" s="186"/>
      <c r="F912" s="181"/>
      <c r="G912" s="181"/>
      <c r="H912" s="181"/>
      <c r="I912" s="181"/>
      <c r="J912" s="181"/>
      <c r="K912" s="181"/>
      <c r="L912" s="181"/>
      <c r="M912" s="181"/>
      <c r="N912" s="181"/>
      <c r="O912" s="181"/>
      <c r="P912" s="181"/>
      <c r="Q912" s="181"/>
      <c r="R912" s="181"/>
      <c r="S912" s="181"/>
      <c r="T912" s="181"/>
      <c r="U912" s="181"/>
      <c r="V912" s="181"/>
      <c r="W912" s="181"/>
      <c r="X912" s="181"/>
      <c r="Y912" s="181"/>
      <c r="Z912" s="181"/>
      <c r="AA912" s="181"/>
    </row>
    <row r="913" customFormat="false" ht="15.75" hidden="false" customHeight="false" outlineLevel="0" collapsed="false">
      <c r="A913" s="181" t="str">
        <f aca="false">IF(ISBLANK(B913),"",B913&amp;"|"&amp;C913)</f>
        <v/>
      </c>
      <c r="B913" s="181"/>
      <c r="C913" s="181"/>
      <c r="D913" s="181"/>
      <c r="E913" s="186"/>
      <c r="F913" s="181"/>
      <c r="G913" s="181"/>
      <c r="H913" s="181"/>
      <c r="I913" s="181"/>
      <c r="J913" s="181"/>
      <c r="K913" s="181"/>
      <c r="L913" s="181"/>
      <c r="M913" s="181"/>
      <c r="N913" s="181"/>
      <c r="O913" s="181"/>
      <c r="P913" s="181"/>
      <c r="Q913" s="181"/>
      <c r="R913" s="181"/>
      <c r="S913" s="181"/>
      <c r="T913" s="181"/>
      <c r="U913" s="181"/>
      <c r="V913" s="181"/>
      <c r="W913" s="181"/>
      <c r="X913" s="181"/>
      <c r="Y913" s="181"/>
      <c r="Z913" s="181"/>
      <c r="AA913" s="181"/>
    </row>
    <row r="914" customFormat="false" ht="15.75" hidden="false" customHeight="false" outlineLevel="0" collapsed="false">
      <c r="A914" s="181" t="str">
        <f aca="false">IF(ISBLANK(B914),"",B914&amp;"|"&amp;C914)</f>
        <v/>
      </c>
      <c r="B914" s="181"/>
      <c r="C914" s="181"/>
      <c r="D914" s="181"/>
      <c r="E914" s="186"/>
      <c r="F914" s="181"/>
      <c r="G914" s="181"/>
      <c r="H914" s="181"/>
      <c r="I914" s="181"/>
      <c r="J914" s="181"/>
      <c r="K914" s="181"/>
      <c r="L914" s="181"/>
      <c r="M914" s="181"/>
      <c r="N914" s="181"/>
      <c r="O914" s="181"/>
      <c r="P914" s="181"/>
      <c r="Q914" s="181"/>
      <c r="R914" s="181"/>
      <c r="S914" s="181"/>
      <c r="T914" s="181"/>
      <c r="U914" s="181"/>
      <c r="V914" s="181"/>
      <c r="W914" s="181"/>
      <c r="X914" s="181"/>
      <c r="Y914" s="181"/>
      <c r="Z914" s="181"/>
      <c r="AA914" s="181"/>
    </row>
    <row r="915" customFormat="false" ht="15.75" hidden="false" customHeight="false" outlineLevel="0" collapsed="false">
      <c r="A915" s="181" t="str">
        <f aca="false">IF(ISBLANK(B915),"",B915&amp;"|"&amp;C915)</f>
        <v/>
      </c>
      <c r="B915" s="181"/>
      <c r="C915" s="181"/>
      <c r="D915" s="181"/>
      <c r="E915" s="186"/>
      <c r="F915" s="181"/>
      <c r="G915" s="181"/>
      <c r="H915" s="181"/>
      <c r="I915" s="181"/>
      <c r="J915" s="181"/>
      <c r="K915" s="181"/>
      <c r="L915" s="181"/>
      <c r="M915" s="181"/>
      <c r="N915" s="181"/>
      <c r="O915" s="181"/>
      <c r="P915" s="181"/>
      <c r="Q915" s="181"/>
      <c r="R915" s="181"/>
      <c r="S915" s="181"/>
      <c r="T915" s="181"/>
      <c r="U915" s="181"/>
      <c r="V915" s="181"/>
      <c r="W915" s="181"/>
      <c r="X915" s="181"/>
      <c r="Y915" s="181"/>
      <c r="Z915" s="181"/>
      <c r="AA915" s="181"/>
    </row>
    <row r="916" customFormat="false" ht="15.75" hidden="false" customHeight="false" outlineLevel="0" collapsed="false">
      <c r="A916" s="181" t="str">
        <f aca="false">IF(ISBLANK(B916),"",B916&amp;"|"&amp;C916)</f>
        <v/>
      </c>
      <c r="B916" s="181"/>
      <c r="C916" s="181"/>
      <c r="D916" s="181"/>
      <c r="E916" s="186"/>
      <c r="F916" s="181"/>
      <c r="G916" s="181"/>
      <c r="H916" s="181"/>
      <c r="I916" s="181"/>
      <c r="J916" s="181"/>
      <c r="K916" s="181"/>
      <c r="L916" s="181"/>
      <c r="M916" s="181"/>
      <c r="N916" s="181"/>
      <c r="O916" s="181"/>
      <c r="P916" s="181"/>
      <c r="Q916" s="181"/>
      <c r="R916" s="181"/>
      <c r="S916" s="181"/>
      <c r="T916" s="181"/>
      <c r="U916" s="181"/>
      <c r="V916" s="181"/>
      <c r="W916" s="181"/>
      <c r="X916" s="181"/>
      <c r="Y916" s="181"/>
      <c r="Z916" s="181"/>
      <c r="AA916" s="181"/>
    </row>
    <row r="917" customFormat="false" ht="15.75" hidden="false" customHeight="false" outlineLevel="0" collapsed="false">
      <c r="A917" s="181" t="str">
        <f aca="false">IF(ISBLANK(B917),"",B917&amp;"|"&amp;C917)</f>
        <v/>
      </c>
      <c r="B917" s="181"/>
      <c r="C917" s="181"/>
      <c r="D917" s="181"/>
      <c r="E917" s="186"/>
      <c r="F917" s="181"/>
      <c r="G917" s="181"/>
      <c r="H917" s="181"/>
      <c r="I917" s="181"/>
      <c r="J917" s="181"/>
      <c r="K917" s="181"/>
      <c r="L917" s="181"/>
      <c r="M917" s="181"/>
      <c r="N917" s="181"/>
      <c r="O917" s="181"/>
      <c r="P917" s="181"/>
      <c r="Q917" s="181"/>
      <c r="R917" s="181"/>
      <c r="S917" s="181"/>
      <c r="T917" s="181"/>
      <c r="U917" s="181"/>
      <c r="V917" s="181"/>
      <c r="W917" s="181"/>
      <c r="X917" s="181"/>
      <c r="Y917" s="181"/>
      <c r="Z917" s="181"/>
      <c r="AA917" s="181"/>
    </row>
    <row r="918" customFormat="false" ht="15.75" hidden="false" customHeight="false" outlineLevel="0" collapsed="false">
      <c r="A918" s="181" t="str">
        <f aca="false">IF(ISBLANK(B918),"",B918&amp;"|"&amp;C918)</f>
        <v/>
      </c>
      <c r="B918" s="181"/>
      <c r="C918" s="181"/>
      <c r="D918" s="181"/>
      <c r="E918" s="186"/>
      <c r="F918" s="181"/>
      <c r="G918" s="181"/>
      <c r="H918" s="181"/>
      <c r="I918" s="181"/>
      <c r="J918" s="181"/>
      <c r="K918" s="181"/>
      <c r="L918" s="181"/>
      <c r="M918" s="181"/>
      <c r="N918" s="181"/>
      <c r="O918" s="181"/>
      <c r="P918" s="181"/>
      <c r="Q918" s="181"/>
      <c r="R918" s="181"/>
      <c r="S918" s="181"/>
      <c r="T918" s="181"/>
      <c r="U918" s="181"/>
      <c r="V918" s="181"/>
      <c r="W918" s="181"/>
      <c r="X918" s="181"/>
      <c r="Y918" s="181"/>
      <c r="Z918" s="181"/>
      <c r="AA918" s="181"/>
    </row>
    <row r="919" customFormat="false" ht="15.75" hidden="false" customHeight="false" outlineLevel="0" collapsed="false">
      <c r="A919" s="181" t="str">
        <f aca="false">IF(ISBLANK(B919),"",B919&amp;"|"&amp;C919)</f>
        <v/>
      </c>
      <c r="B919" s="181"/>
      <c r="C919" s="181"/>
      <c r="D919" s="181"/>
      <c r="E919" s="186"/>
      <c r="F919" s="181"/>
      <c r="G919" s="181"/>
      <c r="H919" s="181"/>
      <c r="I919" s="181"/>
      <c r="J919" s="181"/>
      <c r="K919" s="181"/>
      <c r="L919" s="181"/>
      <c r="M919" s="181"/>
      <c r="N919" s="181"/>
      <c r="O919" s="181"/>
      <c r="P919" s="181"/>
      <c r="Q919" s="181"/>
      <c r="R919" s="181"/>
      <c r="S919" s="181"/>
      <c r="T919" s="181"/>
      <c r="U919" s="181"/>
      <c r="V919" s="181"/>
      <c r="W919" s="181"/>
      <c r="X919" s="181"/>
      <c r="Y919" s="181"/>
      <c r="Z919" s="181"/>
      <c r="AA919" s="181"/>
    </row>
    <row r="920" customFormat="false" ht="15.75" hidden="false" customHeight="false" outlineLevel="0" collapsed="false">
      <c r="A920" s="181" t="str">
        <f aca="false">IF(ISBLANK(B920),"",B920&amp;"|"&amp;C920)</f>
        <v/>
      </c>
      <c r="B920" s="181"/>
      <c r="C920" s="181"/>
      <c r="D920" s="181"/>
      <c r="E920" s="186"/>
      <c r="F920" s="181"/>
      <c r="G920" s="181"/>
      <c r="H920" s="181"/>
      <c r="I920" s="181"/>
      <c r="J920" s="181"/>
      <c r="K920" s="181"/>
      <c r="L920" s="181"/>
      <c r="M920" s="181"/>
      <c r="N920" s="181"/>
      <c r="O920" s="181"/>
      <c r="P920" s="181"/>
      <c r="Q920" s="181"/>
      <c r="R920" s="181"/>
      <c r="S920" s="181"/>
      <c r="T920" s="181"/>
      <c r="U920" s="181"/>
      <c r="V920" s="181"/>
      <c r="W920" s="181"/>
      <c r="X920" s="181"/>
      <c r="Y920" s="181"/>
      <c r="Z920" s="181"/>
      <c r="AA920" s="181"/>
    </row>
    <row r="921" customFormat="false" ht="15.75" hidden="false" customHeight="false" outlineLevel="0" collapsed="false">
      <c r="A921" s="181" t="str">
        <f aca="false">IF(ISBLANK(B921),"",B921&amp;"|"&amp;C921)</f>
        <v/>
      </c>
      <c r="B921" s="181"/>
      <c r="C921" s="181"/>
      <c r="D921" s="181"/>
      <c r="E921" s="186"/>
      <c r="F921" s="181"/>
      <c r="G921" s="181"/>
      <c r="H921" s="181"/>
      <c r="I921" s="181"/>
      <c r="J921" s="181"/>
      <c r="K921" s="181"/>
      <c r="L921" s="181"/>
      <c r="M921" s="181"/>
      <c r="N921" s="181"/>
      <c r="O921" s="181"/>
      <c r="P921" s="181"/>
      <c r="Q921" s="181"/>
      <c r="R921" s="181"/>
      <c r="S921" s="181"/>
      <c r="T921" s="181"/>
      <c r="U921" s="181"/>
      <c r="V921" s="181"/>
      <c r="W921" s="181"/>
      <c r="X921" s="181"/>
      <c r="Y921" s="181"/>
      <c r="Z921" s="181"/>
      <c r="AA921" s="181"/>
    </row>
    <row r="922" customFormat="false" ht="15.75" hidden="false" customHeight="false" outlineLevel="0" collapsed="false">
      <c r="A922" s="181" t="str">
        <f aca="false">IF(ISBLANK(B922),"",B922&amp;"|"&amp;C922)</f>
        <v/>
      </c>
      <c r="B922" s="181"/>
      <c r="C922" s="181"/>
      <c r="D922" s="181"/>
      <c r="E922" s="186"/>
      <c r="F922" s="181"/>
      <c r="G922" s="181"/>
      <c r="H922" s="181"/>
      <c r="I922" s="181"/>
      <c r="J922" s="181"/>
      <c r="K922" s="181"/>
      <c r="L922" s="181"/>
      <c r="M922" s="181"/>
      <c r="N922" s="181"/>
      <c r="O922" s="181"/>
      <c r="P922" s="181"/>
      <c r="Q922" s="181"/>
      <c r="R922" s="181"/>
      <c r="S922" s="181"/>
      <c r="T922" s="181"/>
      <c r="U922" s="181"/>
      <c r="V922" s="181"/>
      <c r="W922" s="181"/>
      <c r="X922" s="181"/>
      <c r="Y922" s="181"/>
      <c r="Z922" s="181"/>
      <c r="AA922" s="181"/>
    </row>
    <row r="923" customFormat="false" ht="15.75" hidden="false" customHeight="false" outlineLevel="0" collapsed="false">
      <c r="A923" s="181" t="str">
        <f aca="false">IF(ISBLANK(B923),"",B923&amp;"|"&amp;C923)</f>
        <v/>
      </c>
      <c r="B923" s="181"/>
      <c r="C923" s="181"/>
      <c r="D923" s="181"/>
      <c r="E923" s="186"/>
      <c r="F923" s="181"/>
      <c r="G923" s="181"/>
      <c r="H923" s="181"/>
      <c r="I923" s="181"/>
      <c r="J923" s="181"/>
      <c r="K923" s="181"/>
      <c r="L923" s="181"/>
      <c r="M923" s="181"/>
      <c r="N923" s="181"/>
      <c r="O923" s="181"/>
      <c r="P923" s="181"/>
      <c r="Q923" s="181"/>
      <c r="R923" s="181"/>
      <c r="S923" s="181"/>
      <c r="T923" s="181"/>
      <c r="U923" s="181"/>
      <c r="V923" s="181"/>
      <c r="W923" s="181"/>
      <c r="X923" s="181"/>
      <c r="Y923" s="181"/>
      <c r="Z923" s="181"/>
      <c r="AA923" s="181"/>
    </row>
    <row r="924" customFormat="false" ht="15.75" hidden="false" customHeight="false" outlineLevel="0" collapsed="false">
      <c r="A924" s="181" t="str">
        <f aca="false">IF(ISBLANK(B924),"",B924&amp;"|"&amp;C924)</f>
        <v/>
      </c>
      <c r="B924" s="181"/>
      <c r="C924" s="181"/>
      <c r="D924" s="181"/>
      <c r="E924" s="186"/>
      <c r="F924" s="181"/>
      <c r="G924" s="181"/>
      <c r="H924" s="181"/>
      <c r="I924" s="181"/>
      <c r="J924" s="181"/>
      <c r="K924" s="181"/>
      <c r="L924" s="181"/>
      <c r="M924" s="181"/>
      <c r="N924" s="181"/>
      <c r="O924" s="181"/>
      <c r="P924" s="181"/>
      <c r="Q924" s="181"/>
      <c r="R924" s="181"/>
      <c r="S924" s="181"/>
      <c r="T924" s="181"/>
      <c r="U924" s="181"/>
      <c r="V924" s="181"/>
      <c r="W924" s="181"/>
      <c r="X924" s="181"/>
      <c r="Y924" s="181"/>
      <c r="Z924" s="181"/>
      <c r="AA924" s="181"/>
    </row>
    <row r="925" customFormat="false" ht="15.75" hidden="false" customHeight="false" outlineLevel="0" collapsed="false">
      <c r="A925" s="181" t="str">
        <f aca="false">IF(ISBLANK(B925),"",B925&amp;"|"&amp;C925)</f>
        <v/>
      </c>
      <c r="B925" s="181"/>
      <c r="C925" s="181"/>
      <c r="D925" s="181"/>
      <c r="E925" s="186"/>
      <c r="F925" s="181"/>
      <c r="G925" s="181"/>
      <c r="H925" s="181"/>
      <c r="I925" s="181"/>
      <c r="J925" s="181"/>
      <c r="K925" s="181"/>
      <c r="L925" s="181"/>
      <c r="M925" s="181"/>
      <c r="N925" s="181"/>
      <c r="O925" s="181"/>
      <c r="P925" s="181"/>
      <c r="Q925" s="181"/>
      <c r="R925" s="181"/>
      <c r="S925" s="181"/>
      <c r="T925" s="181"/>
      <c r="U925" s="181"/>
      <c r="V925" s="181"/>
      <c r="W925" s="181"/>
      <c r="X925" s="181"/>
      <c r="Y925" s="181"/>
      <c r="Z925" s="181"/>
      <c r="AA925" s="181"/>
    </row>
    <row r="926" customFormat="false" ht="15.75" hidden="false" customHeight="false" outlineLevel="0" collapsed="false">
      <c r="A926" s="181" t="str">
        <f aca="false">IF(ISBLANK(B926),"",B926&amp;"|"&amp;C926)</f>
        <v/>
      </c>
      <c r="B926" s="181"/>
      <c r="C926" s="181"/>
      <c r="D926" s="181"/>
      <c r="E926" s="186"/>
      <c r="F926" s="181"/>
      <c r="G926" s="181"/>
      <c r="H926" s="181"/>
      <c r="I926" s="181"/>
      <c r="J926" s="181"/>
      <c r="K926" s="181"/>
      <c r="L926" s="181"/>
      <c r="M926" s="181"/>
      <c r="N926" s="181"/>
      <c r="O926" s="181"/>
      <c r="P926" s="181"/>
      <c r="Q926" s="181"/>
      <c r="R926" s="181"/>
      <c r="S926" s="181"/>
      <c r="T926" s="181"/>
      <c r="U926" s="181"/>
      <c r="V926" s="181"/>
      <c r="W926" s="181"/>
      <c r="X926" s="181"/>
      <c r="Y926" s="181"/>
      <c r="Z926" s="181"/>
      <c r="AA926" s="181"/>
    </row>
    <row r="927" customFormat="false" ht="15.75" hidden="false" customHeight="false" outlineLevel="0" collapsed="false">
      <c r="A927" s="181" t="str">
        <f aca="false">IF(ISBLANK(B927),"",B927&amp;"|"&amp;C927)</f>
        <v/>
      </c>
      <c r="B927" s="181"/>
      <c r="C927" s="181"/>
      <c r="D927" s="181"/>
      <c r="E927" s="186"/>
      <c r="F927" s="181"/>
      <c r="G927" s="181"/>
      <c r="H927" s="181"/>
      <c r="I927" s="181"/>
      <c r="J927" s="181"/>
      <c r="K927" s="181"/>
      <c r="L927" s="181"/>
      <c r="M927" s="181"/>
      <c r="N927" s="181"/>
      <c r="O927" s="181"/>
      <c r="P927" s="181"/>
      <c r="Q927" s="181"/>
      <c r="R927" s="181"/>
      <c r="S927" s="181"/>
      <c r="T927" s="181"/>
      <c r="U927" s="181"/>
      <c r="V927" s="181"/>
      <c r="W927" s="181"/>
      <c r="X927" s="181"/>
      <c r="Y927" s="181"/>
      <c r="Z927" s="181"/>
      <c r="AA927" s="181"/>
    </row>
    <row r="928" customFormat="false" ht="15.75" hidden="false" customHeight="false" outlineLevel="0" collapsed="false">
      <c r="A928" s="181" t="str">
        <f aca="false">IF(ISBLANK(B928),"",B928&amp;"|"&amp;C928)</f>
        <v/>
      </c>
      <c r="B928" s="181"/>
      <c r="C928" s="181"/>
      <c r="D928" s="181"/>
      <c r="E928" s="186"/>
      <c r="F928" s="181"/>
      <c r="G928" s="181"/>
      <c r="H928" s="181"/>
      <c r="I928" s="181"/>
      <c r="J928" s="181"/>
      <c r="K928" s="181"/>
      <c r="L928" s="181"/>
      <c r="M928" s="181"/>
      <c r="N928" s="181"/>
      <c r="O928" s="181"/>
      <c r="P928" s="181"/>
      <c r="Q928" s="181"/>
      <c r="R928" s="181"/>
      <c r="S928" s="181"/>
      <c r="T928" s="181"/>
      <c r="U928" s="181"/>
      <c r="V928" s="181"/>
      <c r="W928" s="181"/>
      <c r="X928" s="181"/>
      <c r="Y928" s="181"/>
      <c r="Z928" s="181"/>
      <c r="AA928" s="181"/>
    </row>
    <row r="929" customFormat="false" ht="15.75" hidden="false" customHeight="false" outlineLevel="0" collapsed="false">
      <c r="A929" s="181" t="str">
        <f aca="false">IF(ISBLANK(B929),"",B929&amp;"|"&amp;C929)</f>
        <v/>
      </c>
      <c r="B929" s="181"/>
      <c r="C929" s="181"/>
      <c r="D929" s="181"/>
      <c r="E929" s="186"/>
      <c r="F929" s="181"/>
      <c r="G929" s="181"/>
      <c r="H929" s="181"/>
      <c r="I929" s="181"/>
      <c r="J929" s="181"/>
      <c r="K929" s="181"/>
      <c r="L929" s="181"/>
      <c r="M929" s="181"/>
      <c r="N929" s="181"/>
      <c r="O929" s="181"/>
      <c r="P929" s="181"/>
      <c r="Q929" s="181"/>
      <c r="R929" s="181"/>
      <c r="S929" s="181"/>
      <c r="T929" s="181"/>
      <c r="U929" s="181"/>
      <c r="V929" s="181"/>
      <c r="W929" s="181"/>
      <c r="X929" s="181"/>
      <c r="Y929" s="181"/>
      <c r="Z929" s="181"/>
      <c r="AA929" s="181"/>
    </row>
    <row r="930" customFormat="false" ht="15.75" hidden="false" customHeight="false" outlineLevel="0" collapsed="false">
      <c r="A930" s="181" t="str">
        <f aca="false">IF(ISBLANK(B930),"",B930&amp;"|"&amp;C930)</f>
        <v/>
      </c>
      <c r="B930" s="181"/>
      <c r="C930" s="181"/>
      <c r="D930" s="181"/>
      <c r="E930" s="186"/>
      <c r="F930" s="181"/>
      <c r="G930" s="181"/>
      <c r="H930" s="181"/>
      <c r="I930" s="181"/>
      <c r="J930" s="181"/>
      <c r="K930" s="181"/>
      <c r="L930" s="181"/>
      <c r="M930" s="181"/>
      <c r="N930" s="181"/>
      <c r="O930" s="181"/>
      <c r="P930" s="181"/>
      <c r="Q930" s="181"/>
      <c r="R930" s="181"/>
      <c r="S930" s="181"/>
      <c r="T930" s="181"/>
      <c r="U930" s="181"/>
      <c r="V930" s="181"/>
      <c r="W930" s="181"/>
      <c r="X930" s="181"/>
      <c r="Y930" s="181"/>
      <c r="Z930" s="181"/>
      <c r="AA930" s="181"/>
    </row>
    <row r="931" customFormat="false" ht="15.75" hidden="false" customHeight="false" outlineLevel="0" collapsed="false">
      <c r="A931" s="181" t="str">
        <f aca="false">IF(ISBLANK(B931),"",B931&amp;"|"&amp;C931)</f>
        <v/>
      </c>
      <c r="B931" s="181"/>
      <c r="C931" s="181"/>
      <c r="D931" s="181"/>
      <c r="E931" s="186"/>
      <c r="F931" s="181"/>
      <c r="G931" s="181"/>
      <c r="H931" s="181"/>
      <c r="I931" s="181"/>
      <c r="J931" s="181"/>
      <c r="K931" s="181"/>
      <c r="L931" s="181"/>
      <c r="M931" s="181"/>
      <c r="N931" s="181"/>
      <c r="O931" s="181"/>
      <c r="P931" s="181"/>
      <c r="Q931" s="181"/>
      <c r="R931" s="181"/>
      <c r="S931" s="181"/>
      <c r="T931" s="181"/>
      <c r="U931" s="181"/>
      <c r="V931" s="181"/>
      <c r="W931" s="181"/>
      <c r="X931" s="181"/>
      <c r="Y931" s="181"/>
      <c r="Z931" s="181"/>
      <c r="AA931" s="181"/>
    </row>
    <row r="932" customFormat="false" ht="15.75" hidden="false" customHeight="false" outlineLevel="0" collapsed="false">
      <c r="A932" s="181" t="str">
        <f aca="false">IF(ISBLANK(B932),"",B932&amp;"|"&amp;C932)</f>
        <v/>
      </c>
      <c r="B932" s="181"/>
      <c r="C932" s="181"/>
      <c r="D932" s="181"/>
      <c r="E932" s="186"/>
      <c r="F932" s="181"/>
      <c r="G932" s="181"/>
      <c r="H932" s="181"/>
      <c r="I932" s="181"/>
      <c r="J932" s="181"/>
      <c r="K932" s="181"/>
      <c r="L932" s="181"/>
      <c r="M932" s="181"/>
      <c r="N932" s="181"/>
      <c r="O932" s="181"/>
      <c r="P932" s="181"/>
      <c r="Q932" s="181"/>
      <c r="R932" s="181"/>
      <c r="S932" s="181"/>
      <c r="T932" s="181"/>
      <c r="U932" s="181"/>
      <c r="V932" s="181"/>
      <c r="W932" s="181"/>
      <c r="X932" s="181"/>
      <c r="Y932" s="181"/>
      <c r="Z932" s="181"/>
      <c r="AA932" s="181"/>
    </row>
    <row r="933" customFormat="false" ht="15.75" hidden="false" customHeight="false" outlineLevel="0" collapsed="false">
      <c r="A933" s="181" t="str">
        <f aca="false">IF(ISBLANK(B933),"",B933&amp;"|"&amp;C933)</f>
        <v/>
      </c>
      <c r="B933" s="181"/>
      <c r="C933" s="181"/>
      <c r="D933" s="181"/>
      <c r="E933" s="186"/>
      <c r="F933" s="181"/>
      <c r="G933" s="181"/>
      <c r="H933" s="181"/>
      <c r="I933" s="181"/>
      <c r="J933" s="181"/>
      <c r="K933" s="181"/>
      <c r="L933" s="181"/>
      <c r="M933" s="181"/>
      <c r="N933" s="181"/>
      <c r="O933" s="181"/>
      <c r="P933" s="181"/>
      <c r="Q933" s="181"/>
      <c r="R933" s="181"/>
      <c r="S933" s="181"/>
      <c r="T933" s="181"/>
      <c r="U933" s="181"/>
      <c r="V933" s="181"/>
      <c r="W933" s="181"/>
      <c r="X933" s="181"/>
      <c r="Y933" s="181"/>
      <c r="Z933" s="181"/>
      <c r="AA933" s="181"/>
    </row>
    <row r="934" customFormat="false" ht="15.75" hidden="false" customHeight="false" outlineLevel="0" collapsed="false">
      <c r="A934" s="181" t="str">
        <f aca="false">IF(ISBLANK(B934),"",B934&amp;"|"&amp;C934)</f>
        <v/>
      </c>
      <c r="B934" s="181"/>
      <c r="C934" s="181"/>
      <c r="D934" s="181"/>
      <c r="E934" s="186"/>
      <c r="F934" s="181"/>
      <c r="G934" s="181"/>
      <c r="H934" s="181"/>
      <c r="I934" s="181"/>
      <c r="J934" s="181"/>
      <c r="K934" s="181"/>
      <c r="L934" s="181"/>
      <c r="M934" s="181"/>
      <c r="N934" s="181"/>
      <c r="O934" s="181"/>
      <c r="P934" s="181"/>
      <c r="Q934" s="181"/>
      <c r="R934" s="181"/>
      <c r="S934" s="181"/>
      <c r="T934" s="181"/>
      <c r="U934" s="181"/>
      <c r="V934" s="181"/>
      <c r="W934" s="181"/>
      <c r="X934" s="181"/>
      <c r="Y934" s="181"/>
      <c r="Z934" s="181"/>
      <c r="AA934" s="181"/>
    </row>
    <row r="935" customFormat="false" ht="15.75" hidden="false" customHeight="false" outlineLevel="0" collapsed="false">
      <c r="A935" s="181" t="str">
        <f aca="false">IF(ISBLANK(B935),"",B935&amp;"|"&amp;C935)</f>
        <v/>
      </c>
      <c r="B935" s="181"/>
      <c r="C935" s="181"/>
      <c r="D935" s="181"/>
      <c r="E935" s="186"/>
      <c r="F935" s="181"/>
      <c r="G935" s="181"/>
      <c r="H935" s="181"/>
      <c r="I935" s="181"/>
      <c r="J935" s="181"/>
      <c r="K935" s="181"/>
      <c r="L935" s="181"/>
      <c r="M935" s="181"/>
      <c r="N935" s="181"/>
      <c r="O935" s="181"/>
      <c r="P935" s="181"/>
      <c r="Q935" s="181"/>
      <c r="R935" s="181"/>
      <c r="S935" s="181"/>
      <c r="T935" s="181"/>
      <c r="U935" s="181"/>
      <c r="V935" s="181"/>
      <c r="W935" s="181"/>
      <c r="X935" s="181"/>
      <c r="Y935" s="181"/>
      <c r="Z935" s="181"/>
      <c r="AA935" s="181"/>
    </row>
    <row r="936" customFormat="false" ht="15.75" hidden="false" customHeight="false" outlineLevel="0" collapsed="false">
      <c r="A936" s="181" t="str">
        <f aca="false">IF(ISBLANK(B936),"",B936&amp;"|"&amp;C936)</f>
        <v/>
      </c>
      <c r="B936" s="181"/>
      <c r="C936" s="181"/>
      <c r="D936" s="181"/>
      <c r="E936" s="186"/>
      <c r="F936" s="181"/>
      <c r="G936" s="181"/>
      <c r="H936" s="181"/>
      <c r="I936" s="181"/>
      <c r="J936" s="181"/>
      <c r="K936" s="181"/>
      <c r="L936" s="181"/>
      <c r="M936" s="181"/>
      <c r="N936" s="181"/>
      <c r="O936" s="181"/>
      <c r="P936" s="181"/>
      <c r="Q936" s="181"/>
      <c r="R936" s="181"/>
      <c r="S936" s="181"/>
      <c r="T936" s="181"/>
      <c r="U936" s="181"/>
      <c r="V936" s="181"/>
      <c r="W936" s="181"/>
      <c r="X936" s="181"/>
      <c r="Y936" s="181"/>
      <c r="Z936" s="181"/>
      <c r="AA936" s="181"/>
    </row>
    <row r="937" customFormat="false" ht="15.75" hidden="false" customHeight="false" outlineLevel="0" collapsed="false">
      <c r="A937" s="181" t="str">
        <f aca="false">IF(ISBLANK(B937),"",B937&amp;"|"&amp;C937)</f>
        <v/>
      </c>
      <c r="B937" s="181"/>
      <c r="C937" s="181"/>
      <c r="D937" s="181"/>
      <c r="E937" s="186"/>
      <c r="F937" s="181"/>
      <c r="G937" s="181"/>
      <c r="H937" s="181"/>
      <c r="I937" s="181"/>
      <c r="J937" s="181"/>
      <c r="K937" s="181"/>
      <c r="L937" s="181"/>
      <c r="M937" s="181"/>
      <c r="N937" s="181"/>
      <c r="O937" s="181"/>
      <c r="P937" s="181"/>
      <c r="Q937" s="181"/>
      <c r="R937" s="181"/>
      <c r="S937" s="181"/>
      <c r="T937" s="181"/>
      <c r="U937" s="181"/>
      <c r="V937" s="181"/>
      <c r="W937" s="181"/>
      <c r="X937" s="181"/>
      <c r="Y937" s="181"/>
      <c r="Z937" s="181"/>
      <c r="AA937" s="181"/>
    </row>
    <row r="938" customFormat="false" ht="15.75" hidden="false" customHeight="false" outlineLevel="0" collapsed="false">
      <c r="A938" s="181" t="str">
        <f aca="false">IF(ISBLANK(B938),"",B938&amp;"|"&amp;C938)</f>
        <v/>
      </c>
      <c r="B938" s="181"/>
      <c r="C938" s="181"/>
      <c r="D938" s="181"/>
      <c r="E938" s="186"/>
      <c r="F938" s="181"/>
      <c r="G938" s="181"/>
      <c r="H938" s="181"/>
      <c r="I938" s="181"/>
      <c r="J938" s="181"/>
      <c r="K938" s="181"/>
      <c r="L938" s="181"/>
      <c r="M938" s="181"/>
      <c r="N938" s="181"/>
      <c r="O938" s="181"/>
      <c r="P938" s="181"/>
      <c r="Q938" s="181"/>
      <c r="R938" s="181"/>
      <c r="S938" s="181"/>
      <c r="T938" s="181"/>
      <c r="U938" s="181"/>
      <c r="V938" s="181"/>
      <c r="W938" s="181"/>
      <c r="X938" s="181"/>
      <c r="Y938" s="181"/>
      <c r="Z938" s="181"/>
      <c r="AA938" s="181"/>
    </row>
    <row r="939" customFormat="false" ht="15.75" hidden="false" customHeight="false" outlineLevel="0" collapsed="false">
      <c r="A939" s="181" t="str">
        <f aca="false">IF(ISBLANK(B939),"",B939&amp;"|"&amp;C939)</f>
        <v/>
      </c>
      <c r="B939" s="181"/>
      <c r="C939" s="181"/>
      <c r="D939" s="181"/>
      <c r="E939" s="186"/>
      <c r="F939" s="181"/>
      <c r="G939" s="181"/>
      <c r="H939" s="181"/>
      <c r="I939" s="181"/>
      <c r="J939" s="181"/>
      <c r="K939" s="181"/>
      <c r="L939" s="181"/>
      <c r="M939" s="181"/>
      <c r="N939" s="181"/>
      <c r="O939" s="181"/>
      <c r="P939" s="181"/>
      <c r="Q939" s="181"/>
      <c r="R939" s="181"/>
      <c r="S939" s="181"/>
      <c r="T939" s="181"/>
      <c r="U939" s="181"/>
      <c r="V939" s="181"/>
      <c r="W939" s="181"/>
      <c r="X939" s="181"/>
      <c r="Y939" s="181"/>
      <c r="Z939" s="181"/>
      <c r="AA939" s="181"/>
    </row>
    <row r="940" customFormat="false" ht="15.75" hidden="false" customHeight="false" outlineLevel="0" collapsed="false">
      <c r="A940" s="181" t="str">
        <f aca="false">IF(ISBLANK(B940),"",B940&amp;"|"&amp;C940)</f>
        <v/>
      </c>
      <c r="B940" s="181"/>
      <c r="C940" s="181"/>
      <c r="D940" s="181"/>
      <c r="E940" s="186"/>
      <c r="F940" s="181"/>
      <c r="G940" s="181"/>
      <c r="H940" s="181"/>
      <c r="I940" s="181"/>
      <c r="J940" s="181"/>
      <c r="K940" s="181"/>
      <c r="L940" s="181"/>
      <c r="M940" s="181"/>
      <c r="N940" s="181"/>
      <c r="O940" s="181"/>
      <c r="P940" s="181"/>
      <c r="Q940" s="181"/>
      <c r="R940" s="181"/>
      <c r="S940" s="181"/>
      <c r="T940" s="181"/>
      <c r="U940" s="181"/>
      <c r="V940" s="181"/>
      <c r="W940" s="181"/>
      <c r="X940" s="181"/>
      <c r="Y940" s="181"/>
      <c r="Z940" s="181"/>
      <c r="AA940" s="181"/>
    </row>
    <row r="941" customFormat="false" ht="15.75" hidden="false" customHeight="false" outlineLevel="0" collapsed="false">
      <c r="A941" s="181" t="str">
        <f aca="false">IF(ISBLANK(B941),"",B941&amp;"|"&amp;C941)</f>
        <v/>
      </c>
      <c r="B941" s="181"/>
      <c r="C941" s="181"/>
      <c r="D941" s="181"/>
      <c r="E941" s="186"/>
      <c r="F941" s="181"/>
      <c r="G941" s="181"/>
      <c r="H941" s="181"/>
      <c r="I941" s="181"/>
      <c r="J941" s="181"/>
      <c r="K941" s="181"/>
      <c r="L941" s="181"/>
      <c r="M941" s="181"/>
      <c r="N941" s="181"/>
      <c r="O941" s="181"/>
      <c r="P941" s="181"/>
      <c r="Q941" s="181"/>
      <c r="R941" s="181"/>
      <c r="S941" s="181"/>
      <c r="T941" s="181"/>
      <c r="U941" s="181"/>
      <c r="V941" s="181"/>
      <c r="W941" s="181"/>
      <c r="X941" s="181"/>
      <c r="Y941" s="181"/>
      <c r="Z941" s="181"/>
      <c r="AA941" s="181"/>
    </row>
    <row r="942" customFormat="false" ht="15.75" hidden="false" customHeight="false" outlineLevel="0" collapsed="false">
      <c r="A942" s="181" t="str">
        <f aca="false">IF(ISBLANK(B942),"",B942&amp;"|"&amp;C942)</f>
        <v/>
      </c>
      <c r="B942" s="181"/>
      <c r="C942" s="181"/>
      <c r="D942" s="181"/>
      <c r="E942" s="186"/>
      <c r="F942" s="181"/>
      <c r="G942" s="181"/>
      <c r="H942" s="181"/>
      <c r="I942" s="181"/>
      <c r="J942" s="181"/>
      <c r="K942" s="181"/>
      <c r="L942" s="181"/>
      <c r="M942" s="181"/>
      <c r="N942" s="181"/>
      <c r="O942" s="181"/>
      <c r="P942" s="181"/>
      <c r="Q942" s="181"/>
      <c r="R942" s="181"/>
      <c r="S942" s="181"/>
      <c r="T942" s="181"/>
      <c r="U942" s="181"/>
      <c r="V942" s="181"/>
      <c r="W942" s="181"/>
      <c r="X942" s="181"/>
      <c r="Y942" s="181"/>
      <c r="Z942" s="181"/>
      <c r="AA942" s="181"/>
    </row>
    <row r="943" customFormat="false" ht="15.75" hidden="false" customHeight="false" outlineLevel="0" collapsed="false">
      <c r="A943" s="181" t="str">
        <f aca="false">IF(ISBLANK(B943),"",B943&amp;"|"&amp;C943)</f>
        <v/>
      </c>
      <c r="B943" s="181"/>
      <c r="C943" s="181"/>
      <c r="D943" s="181"/>
      <c r="E943" s="186"/>
      <c r="F943" s="181"/>
      <c r="G943" s="181"/>
      <c r="H943" s="181"/>
      <c r="I943" s="181"/>
      <c r="J943" s="181"/>
      <c r="K943" s="181"/>
      <c r="L943" s="181"/>
      <c r="M943" s="181"/>
      <c r="N943" s="181"/>
      <c r="O943" s="181"/>
      <c r="P943" s="181"/>
      <c r="Q943" s="181"/>
      <c r="R943" s="181"/>
      <c r="S943" s="181"/>
      <c r="T943" s="181"/>
      <c r="U943" s="181"/>
      <c r="V943" s="181"/>
      <c r="W943" s="181"/>
      <c r="X943" s="181"/>
      <c r="Y943" s="181"/>
      <c r="Z943" s="181"/>
      <c r="AA943" s="181"/>
    </row>
    <row r="944" customFormat="false" ht="15.75" hidden="false" customHeight="false" outlineLevel="0" collapsed="false">
      <c r="A944" s="181" t="str">
        <f aca="false">IF(ISBLANK(B944),"",B944&amp;"|"&amp;C944)</f>
        <v/>
      </c>
      <c r="B944" s="181"/>
      <c r="C944" s="181"/>
      <c r="D944" s="181"/>
      <c r="E944" s="186"/>
      <c r="F944" s="181"/>
      <c r="G944" s="181"/>
      <c r="H944" s="181"/>
      <c r="I944" s="181"/>
      <c r="J944" s="181"/>
      <c r="K944" s="181"/>
      <c r="L944" s="181"/>
      <c r="M944" s="181"/>
      <c r="N944" s="181"/>
      <c r="O944" s="181"/>
      <c r="P944" s="181"/>
      <c r="Q944" s="181"/>
      <c r="R944" s="181"/>
      <c r="S944" s="181"/>
      <c r="T944" s="181"/>
      <c r="U944" s="181"/>
      <c r="V944" s="181"/>
      <c r="W944" s="181"/>
      <c r="X944" s="181"/>
      <c r="Y944" s="181"/>
      <c r="Z944" s="181"/>
      <c r="AA944" s="181"/>
    </row>
    <row r="945" customFormat="false" ht="15.75" hidden="false" customHeight="false" outlineLevel="0" collapsed="false">
      <c r="A945" s="181" t="str">
        <f aca="false">IF(ISBLANK(B945),"",B945&amp;"|"&amp;C945)</f>
        <v/>
      </c>
      <c r="B945" s="181"/>
      <c r="C945" s="181"/>
      <c r="D945" s="181"/>
      <c r="E945" s="186"/>
      <c r="F945" s="181"/>
      <c r="G945" s="181"/>
      <c r="H945" s="181"/>
      <c r="I945" s="181"/>
      <c r="J945" s="181"/>
      <c r="K945" s="181"/>
      <c r="L945" s="181"/>
      <c r="M945" s="181"/>
      <c r="N945" s="181"/>
      <c r="O945" s="181"/>
      <c r="P945" s="181"/>
      <c r="Q945" s="181"/>
      <c r="R945" s="181"/>
      <c r="S945" s="181"/>
      <c r="T945" s="181"/>
      <c r="U945" s="181"/>
      <c r="V945" s="181"/>
      <c r="W945" s="181"/>
      <c r="X945" s="181"/>
      <c r="Y945" s="181"/>
      <c r="Z945" s="181"/>
      <c r="AA945" s="181"/>
    </row>
    <row r="946" customFormat="false" ht="15.75" hidden="false" customHeight="false" outlineLevel="0" collapsed="false">
      <c r="A946" s="181" t="str">
        <f aca="false">IF(ISBLANK(B946),"",B946&amp;"|"&amp;C946)</f>
        <v/>
      </c>
      <c r="B946" s="181"/>
      <c r="C946" s="181"/>
      <c r="D946" s="181"/>
      <c r="E946" s="186"/>
      <c r="F946" s="181"/>
      <c r="G946" s="181"/>
      <c r="H946" s="181"/>
      <c r="I946" s="181"/>
      <c r="J946" s="181"/>
      <c r="K946" s="181"/>
      <c r="L946" s="181"/>
      <c r="M946" s="181"/>
      <c r="N946" s="181"/>
      <c r="O946" s="181"/>
      <c r="P946" s="181"/>
      <c r="Q946" s="181"/>
      <c r="R946" s="181"/>
      <c r="S946" s="181"/>
      <c r="T946" s="181"/>
      <c r="U946" s="181"/>
      <c r="V946" s="181"/>
      <c r="W946" s="181"/>
      <c r="X946" s="181"/>
      <c r="Y946" s="181"/>
      <c r="Z946" s="181"/>
      <c r="AA946" s="181"/>
    </row>
    <row r="947" customFormat="false" ht="15.75" hidden="false" customHeight="false" outlineLevel="0" collapsed="false">
      <c r="A947" s="181" t="str">
        <f aca="false">IF(ISBLANK(B947),"",B947&amp;"|"&amp;C947)</f>
        <v/>
      </c>
      <c r="B947" s="181"/>
      <c r="C947" s="181"/>
      <c r="D947" s="181"/>
      <c r="E947" s="186"/>
      <c r="F947" s="181"/>
      <c r="G947" s="181"/>
      <c r="H947" s="181"/>
      <c r="I947" s="181"/>
      <c r="J947" s="181"/>
      <c r="K947" s="181"/>
      <c r="L947" s="181"/>
      <c r="M947" s="181"/>
      <c r="N947" s="181"/>
      <c r="O947" s="181"/>
      <c r="P947" s="181"/>
      <c r="Q947" s="181"/>
      <c r="R947" s="181"/>
      <c r="S947" s="181"/>
      <c r="T947" s="181"/>
      <c r="U947" s="181"/>
      <c r="V947" s="181"/>
      <c r="W947" s="181"/>
      <c r="X947" s="181"/>
      <c r="Y947" s="181"/>
      <c r="Z947" s="181"/>
      <c r="AA947" s="181"/>
    </row>
    <row r="948" customFormat="false" ht="15.75" hidden="false" customHeight="false" outlineLevel="0" collapsed="false">
      <c r="A948" s="181" t="str">
        <f aca="false">IF(ISBLANK(B948),"",B948&amp;"|"&amp;C948)</f>
        <v/>
      </c>
      <c r="B948" s="181"/>
      <c r="C948" s="181"/>
      <c r="D948" s="181"/>
      <c r="E948" s="186"/>
      <c r="F948" s="181"/>
      <c r="G948" s="181"/>
      <c r="H948" s="181"/>
      <c r="I948" s="181"/>
      <c r="J948" s="181"/>
      <c r="K948" s="181"/>
      <c r="L948" s="181"/>
      <c r="M948" s="181"/>
      <c r="N948" s="181"/>
      <c r="O948" s="181"/>
      <c r="P948" s="181"/>
      <c r="Q948" s="181"/>
      <c r="R948" s="181"/>
      <c r="S948" s="181"/>
      <c r="T948" s="181"/>
      <c r="U948" s="181"/>
      <c r="V948" s="181"/>
      <c r="W948" s="181"/>
      <c r="X948" s="181"/>
      <c r="Y948" s="181"/>
      <c r="Z948" s="181"/>
      <c r="AA948" s="181"/>
    </row>
    <row r="949" customFormat="false" ht="15.75" hidden="false" customHeight="false" outlineLevel="0" collapsed="false">
      <c r="A949" s="181" t="str">
        <f aca="false">IF(ISBLANK(B949),"",B949&amp;"|"&amp;C949)</f>
        <v/>
      </c>
      <c r="B949" s="181"/>
      <c r="C949" s="181"/>
      <c r="D949" s="181"/>
      <c r="E949" s="186"/>
      <c r="F949" s="181"/>
      <c r="G949" s="181"/>
      <c r="H949" s="181"/>
      <c r="I949" s="181"/>
      <c r="J949" s="181"/>
      <c r="K949" s="181"/>
      <c r="L949" s="181"/>
      <c r="M949" s="181"/>
      <c r="N949" s="181"/>
      <c r="O949" s="181"/>
      <c r="P949" s="181"/>
      <c r="Q949" s="181"/>
      <c r="R949" s="181"/>
      <c r="S949" s="181"/>
      <c r="T949" s="181"/>
      <c r="U949" s="181"/>
      <c r="V949" s="181"/>
      <c r="W949" s="181"/>
      <c r="X949" s="181"/>
      <c r="Y949" s="181"/>
      <c r="Z949" s="181"/>
      <c r="AA949" s="181"/>
    </row>
    <row r="950" customFormat="false" ht="15.75" hidden="false" customHeight="false" outlineLevel="0" collapsed="false">
      <c r="A950" s="181" t="str">
        <f aca="false">IF(ISBLANK(B950),"",B950&amp;"|"&amp;C950)</f>
        <v/>
      </c>
      <c r="B950" s="181"/>
      <c r="C950" s="181"/>
      <c r="D950" s="181"/>
      <c r="E950" s="186"/>
      <c r="F950" s="181"/>
      <c r="G950" s="181"/>
      <c r="H950" s="181"/>
      <c r="I950" s="181"/>
      <c r="J950" s="181"/>
      <c r="K950" s="181"/>
      <c r="L950" s="181"/>
      <c r="M950" s="181"/>
      <c r="N950" s="181"/>
      <c r="O950" s="181"/>
      <c r="P950" s="181"/>
      <c r="Q950" s="181"/>
      <c r="R950" s="181"/>
      <c r="S950" s="181"/>
      <c r="T950" s="181"/>
      <c r="U950" s="181"/>
      <c r="V950" s="181"/>
      <c r="W950" s="181"/>
      <c r="X950" s="181"/>
      <c r="Y950" s="181"/>
      <c r="Z950" s="181"/>
      <c r="AA950" s="181"/>
    </row>
    <row r="951" customFormat="false" ht="15.75" hidden="false" customHeight="false" outlineLevel="0" collapsed="false">
      <c r="A951" s="181" t="str">
        <f aca="false">IF(ISBLANK(B951),"",B951&amp;"|"&amp;C951)</f>
        <v/>
      </c>
      <c r="B951" s="181"/>
      <c r="C951" s="181"/>
      <c r="D951" s="181"/>
      <c r="E951" s="186"/>
      <c r="F951" s="181"/>
      <c r="G951" s="181"/>
      <c r="H951" s="181"/>
      <c r="I951" s="181"/>
      <c r="J951" s="181"/>
      <c r="K951" s="181"/>
      <c r="L951" s="181"/>
      <c r="M951" s="181"/>
      <c r="N951" s="181"/>
      <c r="O951" s="181"/>
      <c r="P951" s="181"/>
      <c r="Q951" s="181"/>
      <c r="R951" s="181"/>
      <c r="S951" s="181"/>
      <c r="T951" s="181"/>
      <c r="U951" s="181"/>
      <c r="V951" s="181"/>
      <c r="W951" s="181"/>
      <c r="X951" s="181"/>
      <c r="Y951" s="181"/>
      <c r="Z951" s="181"/>
      <c r="AA951" s="181"/>
    </row>
    <row r="952" customFormat="false" ht="15.75" hidden="false" customHeight="false" outlineLevel="0" collapsed="false">
      <c r="A952" s="181" t="str">
        <f aca="false">IF(ISBLANK(B952),"",B952&amp;"|"&amp;C952)</f>
        <v/>
      </c>
      <c r="B952" s="181"/>
      <c r="C952" s="181"/>
      <c r="D952" s="181"/>
      <c r="E952" s="186"/>
      <c r="F952" s="181"/>
      <c r="G952" s="181"/>
      <c r="H952" s="181"/>
      <c r="I952" s="181"/>
      <c r="J952" s="181"/>
      <c r="K952" s="181"/>
      <c r="L952" s="181"/>
      <c r="M952" s="181"/>
      <c r="N952" s="181"/>
      <c r="O952" s="181"/>
      <c r="P952" s="181"/>
      <c r="Q952" s="181"/>
      <c r="R952" s="181"/>
      <c r="S952" s="181"/>
      <c r="T952" s="181"/>
      <c r="U952" s="181"/>
      <c r="V952" s="181"/>
      <c r="W952" s="181"/>
      <c r="X952" s="181"/>
      <c r="Y952" s="181"/>
      <c r="Z952" s="181"/>
      <c r="AA952" s="181"/>
    </row>
    <row r="953" customFormat="false" ht="15.75" hidden="false" customHeight="false" outlineLevel="0" collapsed="false">
      <c r="A953" s="181" t="str">
        <f aca="false">IF(ISBLANK(B953),"",B953&amp;"|"&amp;C953)</f>
        <v/>
      </c>
      <c r="B953" s="181"/>
      <c r="C953" s="181"/>
      <c r="D953" s="181"/>
      <c r="E953" s="186"/>
      <c r="F953" s="181"/>
      <c r="G953" s="181"/>
      <c r="H953" s="181"/>
      <c r="I953" s="181"/>
      <c r="J953" s="181"/>
      <c r="K953" s="181"/>
      <c r="L953" s="181"/>
      <c r="M953" s="181"/>
      <c r="N953" s="181"/>
      <c r="O953" s="181"/>
      <c r="P953" s="181"/>
      <c r="Q953" s="181"/>
      <c r="R953" s="181"/>
      <c r="S953" s="181"/>
      <c r="T953" s="181"/>
      <c r="U953" s="181"/>
      <c r="V953" s="181"/>
      <c r="W953" s="181"/>
      <c r="X953" s="181"/>
      <c r="Y953" s="181"/>
      <c r="Z953" s="181"/>
      <c r="AA953" s="181"/>
    </row>
    <row r="954" customFormat="false" ht="15.75" hidden="false" customHeight="false" outlineLevel="0" collapsed="false">
      <c r="A954" s="181" t="str">
        <f aca="false">IF(ISBLANK(B954),"",B954&amp;"|"&amp;C954)</f>
        <v/>
      </c>
      <c r="B954" s="181"/>
      <c r="C954" s="181"/>
      <c r="D954" s="181"/>
      <c r="E954" s="186"/>
      <c r="F954" s="181"/>
      <c r="G954" s="181"/>
      <c r="H954" s="181"/>
      <c r="I954" s="181"/>
      <c r="J954" s="181"/>
      <c r="K954" s="181"/>
      <c r="L954" s="181"/>
      <c r="M954" s="181"/>
      <c r="N954" s="181"/>
      <c r="O954" s="181"/>
      <c r="P954" s="181"/>
      <c r="Q954" s="181"/>
      <c r="R954" s="181"/>
      <c r="S954" s="181"/>
      <c r="T954" s="181"/>
      <c r="U954" s="181"/>
      <c r="V954" s="181"/>
      <c r="W954" s="181"/>
      <c r="X954" s="181"/>
      <c r="Y954" s="181"/>
      <c r="Z954" s="181"/>
      <c r="AA954" s="181"/>
    </row>
    <row r="955" customFormat="false" ht="15.75" hidden="false" customHeight="false" outlineLevel="0" collapsed="false">
      <c r="A955" s="181" t="str">
        <f aca="false">IF(ISBLANK(B955),"",B955&amp;"|"&amp;C955)</f>
        <v/>
      </c>
      <c r="B955" s="181"/>
      <c r="C955" s="181"/>
      <c r="D955" s="181"/>
      <c r="E955" s="186"/>
      <c r="F955" s="181"/>
      <c r="G955" s="181"/>
      <c r="H955" s="181"/>
      <c r="I955" s="181"/>
      <c r="J955" s="181"/>
      <c r="K955" s="181"/>
      <c r="L955" s="181"/>
      <c r="M955" s="181"/>
      <c r="N955" s="181"/>
      <c r="O955" s="181"/>
      <c r="P955" s="181"/>
      <c r="Q955" s="181"/>
      <c r="R955" s="181"/>
      <c r="S955" s="181"/>
      <c r="T955" s="181"/>
      <c r="U955" s="181"/>
      <c r="V955" s="181"/>
      <c r="W955" s="181"/>
      <c r="X955" s="181"/>
      <c r="Y955" s="181"/>
      <c r="Z955" s="181"/>
      <c r="AA955" s="181"/>
    </row>
    <row r="956" customFormat="false" ht="15.75" hidden="false" customHeight="false" outlineLevel="0" collapsed="false">
      <c r="A956" s="181" t="str">
        <f aca="false">IF(ISBLANK(B956),"",B956&amp;"|"&amp;C956)</f>
        <v/>
      </c>
      <c r="B956" s="181"/>
      <c r="C956" s="181"/>
      <c r="D956" s="181"/>
      <c r="E956" s="186"/>
      <c r="F956" s="181"/>
      <c r="G956" s="181"/>
      <c r="H956" s="181"/>
      <c r="I956" s="181"/>
      <c r="J956" s="181"/>
      <c r="K956" s="181"/>
      <c r="L956" s="181"/>
      <c r="M956" s="181"/>
      <c r="N956" s="181"/>
      <c r="O956" s="181"/>
      <c r="P956" s="181"/>
      <c r="Q956" s="181"/>
      <c r="R956" s="181"/>
      <c r="S956" s="181"/>
      <c r="T956" s="181"/>
      <c r="U956" s="181"/>
      <c r="V956" s="181"/>
      <c r="W956" s="181"/>
      <c r="X956" s="181"/>
      <c r="Y956" s="181"/>
      <c r="Z956" s="181"/>
      <c r="AA956" s="181"/>
    </row>
    <row r="957" customFormat="false" ht="15.75" hidden="false" customHeight="false" outlineLevel="0" collapsed="false">
      <c r="A957" s="181" t="str">
        <f aca="false">IF(ISBLANK(B957),"",B957&amp;"|"&amp;C957)</f>
        <v/>
      </c>
      <c r="B957" s="181"/>
      <c r="C957" s="181"/>
      <c r="D957" s="181"/>
      <c r="E957" s="186"/>
      <c r="F957" s="181"/>
      <c r="G957" s="181"/>
      <c r="H957" s="181"/>
      <c r="I957" s="181"/>
      <c r="J957" s="181"/>
      <c r="K957" s="181"/>
      <c r="L957" s="181"/>
      <c r="M957" s="181"/>
      <c r="N957" s="181"/>
      <c r="O957" s="181"/>
      <c r="P957" s="181"/>
      <c r="Q957" s="181"/>
      <c r="R957" s="181"/>
      <c r="S957" s="181"/>
      <c r="T957" s="181"/>
      <c r="U957" s="181"/>
      <c r="V957" s="181"/>
      <c r="W957" s="181"/>
      <c r="X957" s="181"/>
      <c r="Y957" s="181"/>
      <c r="Z957" s="181"/>
      <c r="AA957" s="181"/>
    </row>
    <row r="958" customFormat="false" ht="15.75" hidden="false" customHeight="false" outlineLevel="0" collapsed="false">
      <c r="A958" s="181" t="str">
        <f aca="false">IF(ISBLANK(B958),"",B958&amp;"|"&amp;C958)</f>
        <v/>
      </c>
      <c r="B958" s="181"/>
      <c r="C958" s="181"/>
      <c r="D958" s="181"/>
      <c r="E958" s="186"/>
      <c r="F958" s="181"/>
      <c r="G958" s="181"/>
      <c r="H958" s="181"/>
      <c r="I958" s="181"/>
      <c r="J958" s="181"/>
      <c r="K958" s="181"/>
      <c r="L958" s="181"/>
      <c r="M958" s="181"/>
      <c r="N958" s="181"/>
      <c r="O958" s="181"/>
      <c r="P958" s="181"/>
      <c r="Q958" s="181"/>
      <c r="R958" s="181"/>
      <c r="S958" s="181"/>
      <c r="T958" s="181"/>
      <c r="U958" s="181"/>
      <c r="V958" s="181"/>
      <c r="W958" s="181"/>
      <c r="X958" s="181"/>
      <c r="Y958" s="181"/>
      <c r="Z958" s="181"/>
      <c r="AA958" s="181"/>
    </row>
    <row r="959" customFormat="false" ht="15.75" hidden="false" customHeight="false" outlineLevel="0" collapsed="false">
      <c r="A959" s="181" t="str">
        <f aca="false">IF(ISBLANK(B959),"",B959&amp;"|"&amp;C959)</f>
        <v/>
      </c>
      <c r="B959" s="181"/>
      <c r="C959" s="181"/>
      <c r="D959" s="181"/>
      <c r="E959" s="186"/>
      <c r="F959" s="181"/>
      <c r="G959" s="181"/>
      <c r="H959" s="181"/>
      <c r="I959" s="181"/>
      <c r="J959" s="181"/>
      <c r="K959" s="181"/>
      <c r="L959" s="181"/>
      <c r="M959" s="181"/>
      <c r="N959" s="181"/>
      <c r="O959" s="181"/>
      <c r="P959" s="181"/>
      <c r="Q959" s="181"/>
      <c r="R959" s="181"/>
      <c r="S959" s="181"/>
      <c r="T959" s="181"/>
      <c r="U959" s="181"/>
      <c r="V959" s="181"/>
      <c r="W959" s="181"/>
      <c r="X959" s="181"/>
      <c r="Y959" s="181"/>
      <c r="Z959" s="181"/>
      <c r="AA959" s="181"/>
    </row>
    <row r="960" customFormat="false" ht="15.75" hidden="false" customHeight="false" outlineLevel="0" collapsed="false">
      <c r="A960" s="181" t="str">
        <f aca="false">IF(ISBLANK(B960),"",B960&amp;"|"&amp;C960)</f>
        <v/>
      </c>
      <c r="B960" s="181"/>
      <c r="C960" s="181"/>
      <c r="D960" s="181"/>
      <c r="E960" s="186"/>
      <c r="F960" s="181"/>
      <c r="G960" s="181"/>
      <c r="H960" s="181"/>
      <c r="I960" s="181"/>
      <c r="J960" s="181"/>
      <c r="K960" s="181"/>
      <c r="L960" s="181"/>
      <c r="M960" s="181"/>
      <c r="N960" s="181"/>
      <c r="O960" s="181"/>
      <c r="P960" s="181"/>
      <c r="Q960" s="181"/>
      <c r="R960" s="181"/>
      <c r="S960" s="181"/>
      <c r="T960" s="181"/>
      <c r="U960" s="181"/>
      <c r="V960" s="181"/>
      <c r="W960" s="181"/>
      <c r="X960" s="181"/>
      <c r="Y960" s="181"/>
      <c r="Z960" s="181"/>
      <c r="AA960" s="181"/>
    </row>
    <row r="961" customFormat="false" ht="15.75" hidden="false" customHeight="false" outlineLevel="0" collapsed="false">
      <c r="A961" s="181" t="str">
        <f aca="false">IF(ISBLANK(B961),"",B961&amp;"|"&amp;C961)</f>
        <v/>
      </c>
      <c r="B961" s="181"/>
      <c r="C961" s="181"/>
      <c r="D961" s="181"/>
      <c r="E961" s="186"/>
      <c r="F961" s="181"/>
      <c r="G961" s="181"/>
      <c r="H961" s="181"/>
      <c r="I961" s="181"/>
      <c r="J961" s="181"/>
      <c r="K961" s="181"/>
      <c r="L961" s="181"/>
      <c r="M961" s="181"/>
      <c r="N961" s="181"/>
      <c r="O961" s="181"/>
      <c r="P961" s="181"/>
      <c r="Q961" s="181"/>
      <c r="R961" s="181"/>
      <c r="S961" s="181"/>
      <c r="T961" s="181"/>
      <c r="U961" s="181"/>
      <c r="V961" s="181"/>
      <c r="W961" s="181"/>
      <c r="X961" s="181"/>
      <c r="Y961" s="181"/>
      <c r="Z961" s="181"/>
      <c r="AA961" s="181"/>
    </row>
    <row r="962" customFormat="false" ht="15.75" hidden="false" customHeight="false" outlineLevel="0" collapsed="false">
      <c r="A962" s="181" t="str">
        <f aca="false">IF(ISBLANK(B962),"",B962&amp;"|"&amp;C962)</f>
        <v/>
      </c>
      <c r="B962" s="181"/>
      <c r="C962" s="181"/>
      <c r="D962" s="181"/>
      <c r="E962" s="186"/>
      <c r="F962" s="181"/>
      <c r="G962" s="181"/>
      <c r="H962" s="181"/>
      <c r="I962" s="181"/>
      <c r="J962" s="181"/>
      <c r="K962" s="181"/>
      <c r="L962" s="181"/>
      <c r="M962" s="181"/>
      <c r="N962" s="181"/>
      <c r="O962" s="181"/>
      <c r="P962" s="181"/>
      <c r="Q962" s="181"/>
      <c r="R962" s="181"/>
      <c r="S962" s="181"/>
      <c r="T962" s="181"/>
      <c r="U962" s="181"/>
      <c r="V962" s="181"/>
      <c r="W962" s="181"/>
      <c r="X962" s="181"/>
      <c r="Y962" s="181"/>
      <c r="Z962" s="181"/>
      <c r="AA962" s="181"/>
    </row>
    <row r="963" customFormat="false" ht="15.75" hidden="false" customHeight="false" outlineLevel="0" collapsed="false">
      <c r="A963" s="181" t="str">
        <f aca="false">IF(ISBLANK(B963),"",B963&amp;"|"&amp;C963)</f>
        <v/>
      </c>
      <c r="B963" s="181"/>
      <c r="C963" s="181"/>
      <c r="D963" s="181"/>
      <c r="E963" s="186"/>
      <c r="F963" s="181"/>
      <c r="G963" s="181"/>
      <c r="H963" s="181"/>
      <c r="I963" s="181"/>
      <c r="J963" s="181"/>
      <c r="K963" s="181"/>
      <c r="L963" s="181"/>
      <c r="M963" s="181"/>
      <c r="N963" s="181"/>
      <c r="O963" s="181"/>
      <c r="P963" s="181"/>
      <c r="Q963" s="181"/>
      <c r="R963" s="181"/>
      <c r="S963" s="181"/>
      <c r="T963" s="181"/>
      <c r="U963" s="181"/>
      <c r="V963" s="181"/>
      <c r="W963" s="181"/>
      <c r="X963" s="181"/>
      <c r="Y963" s="181"/>
      <c r="Z963" s="181"/>
      <c r="AA963" s="181"/>
    </row>
    <row r="964" customFormat="false" ht="15.75" hidden="false" customHeight="false" outlineLevel="0" collapsed="false">
      <c r="A964" s="181" t="str">
        <f aca="false">IF(ISBLANK(B964),"",B964&amp;"|"&amp;C964)</f>
        <v/>
      </c>
      <c r="B964" s="181"/>
      <c r="C964" s="181"/>
      <c r="D964" s="181"/>
      <c r="E964" s="186"/>
      <c r="F964" s="181"/>
      <c r="G964" s="181"/>
      <c r="H964" s="181"/>
      <c r="I964" s="181"/>
      <c r="J964" s="181"/>
      <c r="K964" s="181"/>
      <c r="L964" s="181"/>
      <c r="M964" s="181"/>
      <c r="N964" s="181"/>
      <c r="O964" s="181"/>
      <c r="P964" s="181"/>
      <c r="Q964" s="181"/>
      <c r="R964" s="181"/>
      <c r="S964" s="181"/>
      <c r="T964" s="181"/>
      <c r="U964" s="181"/>
      <c r="V964" s="181"/>
      <c r="W964" s="181"/>
      <c r="X964" s="181"/>
      <c r="Y964" s="181"/>
      <c r="Z964" s="181"/>
      <c r="AA964" s="181"/>
    </row>
    <row r="965" customFormat="false" ht="15.75" hidden="false" customHeight="false" outlineLevel="0" collapsed="false">
      <c r="A965" s="181" t="str">
        <f aca="false">IF(ISBLANK(B965),"",B965&amp;"|"&amp;C965)</f>
        <v/>
      </c>
      <c r="B965" s="181"/>
      <c r="C965" s="181"/>
      <c r="D965" s="181"/>
      <c r="E965" s="186"/>
      <c r="F965" s="181"/>
      <c r="G965" s="181"/>
      <c r="H965" s="181"/>
      <c r="I965" s="181"/>
      <c r="J965" s="181"/>
      <c r="K965" s="181"/>
      <c r="L965" s="181"/>
      <c r="M965" s="181"/>
      <c r="N965" s="181"/>
      <c r="O965" s="181"/>
      <c r="P965" s="181"/>
      <c r="Q965" s="181"/>
      <c r="R965" s="181"/>
      <c r="S965" s="181"/>
      <c r="T965" s="181"/>
      <c r="U965" s="181"/>
      <c r="V965" s="181"/>
      <c r="W965" s="181"/>
      <c r="X965" s="181"/>
      <c r="Y965" s="181"/>
      <c r="Z965" s="181"/>
      <c r="AA965" s="181"/>
    </row>
    <row r="966" customFormat="false" ht="15.75" hidden="false" customHeight="false" outlineLevel="0" collapsed="false">
      <c r="A966" s="181" t="str">
        <f aca="false">IF(ISBLANK(B966),"",B966&amp;"|"&amp;C966)</f>
        <v/>
      </c>
      <c r="B966" s="181"/>
      <c r="C966" s="181"/>
      <c r="D966" s="181"/>
      <c r="E966" s="186"/>
      <c r="F966" s="181"/>
      <c r="G966" s="181"/>
      <c r="H966" s="181"/>
      <c r="I966" s="181"/>
      <c r="J966" s="181"/>
      <c r="K966" s="181"/>
      <c r="L966" s="181"/>
      <c r="M966" s="181"/>
      <c r="N966" s="181"/>
      <c r="O966" s="181"/>
      <c r="P966" s="181"/>
      <c r="Q966" s="181"/>
      <c r="R966" s="181"/>
      <c r="S966" s="181"/>
      <c r="T966" s="181"/>
      <c r="U966" s="181"/>
      <c r="V966" s="181"/>
      <c r="W966" s="181"/>
      <c r="X966" s="181"/>
      <c r="Y966" s="181"/>
      <c r="Z966" s="181"/>
      <c r="AA966" s="181"/>
    </row>
    <row r="967" customFormat="false" ht="15.75" hidden="false" customHeight="false" outlineLevel="0" collapsed="false">
      <c r="A967" s="181" t="str">
        <f aca="false">IF(ISBLANK(B967),"",B967&amp;"|"&amp;C967)</f>
        <v/>
      </c>
      <c r="B967" s="181"/>
      <c r="C967" s="181"/>
      <c r="D967" s="181"/>
      <c r="E967" s="186"/>
      <c r="F967" s="181"/>
      <c r="G967" s="181"/>
      <c r="H967" s="181"/>
      <c r="I967" s="181"/>
      <c r="J967" s="181"/>
      <c r="K967" s="181"/>
      <c r="L967" s="181"/>
      <c r="M967" s="181"/>
      <c r="N967" s="181"/>
      <c r="O967" s="181"/>
      <c r="P967" s="181"/>
      <c r="Q967" s="181"/>
      <c r="R967" s="181"/>
      <c r="S967" s="181"/>
      <c r="T967" s="181"/>
      <c r="U967" s="181"/>
      <c r="V967" s="181"/>
      <c r="W967" s="181"/>
      <c r="X967" s="181"/>
      <c r="Y967" s="181"/>
      <c r="Z967" s="181"/>
      <c r="AA967" s="181"/>
    </row>
    <row r="968" customFormat="false" ht="15.75" hidden="false" customHeight="false" outlineLevel="0" collapsed="false">
      <c r="A968" s="181" t="str">
        <f aca="false">IF(ISBLANK(B968),"",B968&amp;"|"&amp;C968)</f>
        <v/>
      </c>
      <c r="B968" s="181"/>
      <c r="C968" s="181"/>
      <c r="D968" s="181"/>
      <c r="E968" s="186"/>
      <c r="F968" s="181"/>
      <c r="G968" s="181"/>
      <c r="H968" s="181"/>
      <c r="I968" s="181"/>
      <c r="J968" s="181"/>
      <c r="K968" s="181"/>
      <c r="L968" s="181"/>
      <c r="M968" s="181"/>
      <c r="N968" s="181"/>
      <c r="O968" s="181"/>
      <c r="P968" s="181"/>
      <c r="Q968" s="181"/>
      <c r="R968" s="181"/>
      <c r="S968" s="181"/>
      <c r="T968" s="181"/>
      <c r="U968" s="181"/>
      <c r="V968" s="181"/>
      <c r="W968" s="181"/>
      <c r="X968" s="181"/>
      <c r="Y968" s="181"/>
      <c r="Z968" s="181"/>
      <c r="AA968" s="181"/>
    </row>
    <row r="969" customFormat="false" ht="15.75" hidden="false" customHeight="false" outlineLevel="0" collapsed="false">
      <c r="A969" s="181" t="str">
        <f aca="false">IF(ISBLANK(B969),"",B969&amp;"|"&amp;C969)</f>
        <v/>
      </c>
      <c r="B969" s="181"/>
      <c r="C969" s="181"/>
      <c r="D969" s="181"/>
      <c r="E969" s="186"/>
      <c r="F969" s="181"/>
      <c r="G969" s="181"/>
      <c r="H969" s="181"/>
      <c r="I969" s="181"/>
      <c r="J969" s="181"/>
      <c r="K969" s="181"/>
      <c r="L969" s="181"/>
      <c r="M969" s="181"/>
      <c r="N969" s="181"/>
      <c r="O969" s="181"/>
      <c r="P969" s="181"/>
      <c r="Q969" s="181"/>
      <c r="R969" s="181"/>
      <c r="S969" s="181"/>
      <c r="T969" s="181"/>
      <c r="U969" s="181"/>
      <c r="V969" s="181"/>
      <c r="W969" s="181"/>
      <c r="X969" s="181"/>
      <c r="Y969" s="181"/>
      <c r="Z969" s="181"/>
      <c r="AA969" s="181"/>
    </row>
    <row r="970" customFormat="false" ht="15.75" hidden="false" customHeight="false" outlineLevel="0" collapsed="false">
      <c r="A970" s="181" t="str">
        <f aca="false">IF(ISBLANK(B970),"",B970&amp;"|"&amp;C970)</f>
        <v/>
      </c>
      <c r="B970" s="181"/>
      <c r="C970" s="181"/>
      <c r="D970" s="181"/>
      <c r="E970" s="186"/>
      <c r="F970" s="181"/>
      <c r="G970" s="181"/>
      <c r="H970" s="181"/>
      <c r="I970" s="181"/>
      <c r="J970" s="181"/>
      <c r="K970" s="181"/>
      <c r="L970" s="181"/>
      <c r="M970" s="181"/>
      <c r="N970" s="181"/>
      <c r="O970" s="181"/>
      <c r="P970" s="181"/>
      <c r="Q970" s="181"/>
      <c r="R970" s="181"/>
      <c r="S970" s="181"/>
      <c r="T970" s="181"/>
      <c r="U970" s="181"/>
      <c r="V970" s="181"/>
      <c r="W970" s="181"/>
      <c r="X970" s="181"/>
      <c r="Y970" s="181"/>
      <c r="Z970" s="181"/>
      <c r="AA970" s="181"/>
    </row>
    <row r="971" customFormat="false" ht="15.75" hidden="false" customHeight="false" outlineLevel="0" collapsed="false">
      <c r="A971" s="181" t="str">
        <f aca="false">IF(ISBLANK(B971),"",B971&amp;"|"&amp;C971)</f>
        <v/>
      </c>
      <c r="B971" s="181"/>
      <c r="C971" s="181"/>
      <c r="D971" s="181"/>
      <c r="E971" s="186"/>
      <c r="F971" s="181"/>
      <c r="G971" s="181"/>
      <c r="H971" s="181"/>
      <c r="I971" s="181"/>
      <c r="J971" s="181"/>
      <c r="K971" s="181"/>
      <c r="L971" s="181"/>
      <c r="M971" s="181"/>
      <c r="N971" s="181"/>
      <c r="O971" s="181"/>
      <c r="P971" s="181"/>
      <c r="Q971" s="181"/>
      <c r="R971" s="181"/>
      <c r="S971" s="181"/>
      <c r="T971" s="181"/>
      <c r="U971" s="181"/>
      <c r="V971" s="181"/>
      <c r="W971" s="181"/>
      <c r="X971" s="181"/>
      <c r="Y971" s="181"/>
      <c r="Z971" s="181"/>
      <c r="AA971" s="181"/>
    </row>
    <row r="972" customFormat="false" ht="15.75" hidden="false" customHeight="false" outlineLevel="0" collapsed="false">
      <c r="A972" s="181" t="str">
        <f aca="false">IF(ISBLANK(B972),"",B972&amp;"|"&amp;C972)</f>
        <v/>
      </c>
      <c r="B972" s="181"/>
      <c r="C972" s="181"/>
      <c r="D972" s="181"/>
      <c r="E972" s="186"/>
      <c r="F972" s="181"/>
      <c r="G972" s="181"/>
      <c r="H972" s="181"/>
      <c r="I972" s="181"/>
      <c r="J972" s="181"/>
      <c r="K972" s="181"/>
      <c r="L972" s="181"/>
      <c r="M972" s="181"/>
      <c r="N972" s="181"/>
      <c r="O972" s="181"/>
      <c r="P972" s="181"/>
      <c r="Q972" s="181"/>
      <c r="R972" s="181"/>
      <c r="S972" s="181"/>
      <c r="T972" s="181"/>
      <c r="U972" s="181"/>
      <c r="V972" s="181"/>
      <c r="W972" s="181"/>
      <c r="X972" s="181"/>
      <c r="Y972" s="181"/>
      <c r="Z972" s="181"/>
      <c r="AA972" s="181"/>
    </row>
    <row r="973" customFormat="false" ht="15.75" hidden="false" customHeight="false" outlineLevel="0" collapsed="false">
      <c r="A973" s="181" t="str">
        <f aca="false">IF(ISBLANK(B973),"",B973&amp;"|"&amp;C973)</f>
        <v/>
      </c>
      <c r="B973" s="181"/>
      <c r="C973" s="181"/>
      <c r="D973" s="181"/>
      <c r="E973" s="186"/>
      <c r="F973" s="181"/>
      <c r="G973" s="181"/>
      <c r="H973" s="181"/>
      <c r="I973" s="181"/>
      <c r="J973" s="181"/>
      <c r="K973" s="181"/>
      <c r="L973" s="181"/>
      <c r="M973" s="181"/>
      <c r="N973" s="181"/>
      <c r="O973" s="181"/>
      <c r="P973" s="181"/>
      <c r="Q973" s="181"/>
      <c r="R973" s="181"/>
      <c r="S973" s="181"/>
      <c r="T973" s="181"/>
      <c r="U973" s="181"/>
      <c r="V973" s="181"/>
      <c r="W973" s="181"/>
      <c r="X973" s="181"/>
      <c r="Y973" s="181"/>
      <c r="Z973" s="181"/>
      <c r="AA973" s="181"/>
    </row>
    <row r="974" customFormat="false" ht="15.75" hidden="false" customHeight="false" outlineLevel="0" collapsed="false">
      <c r="A974" s="181" t="str">
        <f aca="false">IF(ISBLANK(B974),"",B974&amp;"|"&amp;C974)</f>
        <v/>
      </c>
      <c r="B974" s="181"/>
      <c r="C974" s="181"/>
      <c r="D974" s="181"/>
      <c r="E974" s="186"/>
      <c r="F974" s="181"/>
      <c r="G974" s="181"/>
      <c r="H974" s="181"/>
      <c r="I974" s="181"/>
      <c r="J974" s="181"/>
      <c r="K974" s="181"/>
      <c r="L974" s="181"/>
      <c r="M974" s="181"/>
      <c r="N974" s="181"/>
      <c r="O974" s="181"/>
      <c r="P974" s="181"/>
      <c r="Q974" s="181"/>
      <c r="R974" s="181"/>
      <c r="S974" s="181"/>
      <c r="T974" s="181"/>
      <c r="U974" s="181"/>
      <c r="V974" s="181"/>
      <c r="W974" s="181"/>
      <c r="X974" s="181"/>
      <c r="Y974" s="181"/>
      <c r="Z974" s="181"/>
      <c r="AA974" s="181"/>
    </row>
    <row r="975" customFormat="false" ht="15.75" hidden="false" customHeight="false" outlineLevel="0" collapsed="false">
      <c r="A975" s="181" t="str">
        <f aca="false">IF(ISBLANK(B975),"",B975&amp;"|"&amp;C975)</f>
        <v/>
      </c>
      <c r="B975" s="181"/>
      <c r="C975" s="181"/>
      <c r="D975" s="181"/>
      <c r="E975" s="186"/>
      <c r="F975" s="181"/>
      <c r="G975" s="181"/>
      <c r="H975" s="181"/>
      <c r="I975" s="181"/>
      <c r="J975" s="181"/>
      <c r="K975" s="181"/>
      <c r="L975" s="181"/>
      <c r="M975" s="181"/>
      <c r="N975" s="181"/>
      <c r="O975" s="181"/>
      <c r="P975" s="181"/>
      <c r="Q975" s="181"/>
      <c r="R975" s="181"/>
      <c r="S975" s="181"/>
      <c r="T975" s="181"/>
      <c r="U975" s="181"/>
      <c r="V975" s="181"/>
      <c r="W975" s="181"/>
      <c r="X975" s="181"/>
      <c r="Y975" s="181"/>
      <c r="Z975" s="181"/>
      <c r="AA975" s="181"/>
    </row>
    <row r="976" customFormat="false" ht="15.75" hidden="false" customHeight="false" outlineLevel="0" collapsed="false">
      <c r="A976" s="181" t="str">
        <f aca="false">IF(ISBLANK(B976),"",B976&amp;"|"&amp;C976)</f>
        <v/>
      </c>
      <c r="B976" s="181"/>
      <c r="C976" s="181"/>
      <c r="D976" s="181"/>
      <c r="E976" s="186"/>
      <c r="F976" s="181"/>
      <c r="G976" s="181"/>
      <c r="H976" s="181"/>
      <c r="I976" s="181"/>
      <c r="J976" s="181"/>
      <c r="K976" s="181"/>
      <c r="L976" s="181"/>
      <c r="M976" s="181"/>
      <c r="N976" s="181"/>
      <c r="O976" s="181"/>
      <c r="P976" s="181"/>
      <c r="Q976" s="181"/>
      <c r="R976" s="181"/>
      <c r="S976" s="181"/>
      <c r="T976" s="181"/>
      <c r="U976" s="181"/>
      <c r="V976" s="181"/>
      <c r="W976" s="181"/>
      <c r="X976" s="181"/>
      <c r="Y976" s="181"/>
      <c r="Z976" s="181"/>
      <c r="AA976" s="181"/>
    </row>
    <row r="977" customFormat="false" ht="15.75" hidden="false" customHeight="false" outlineLevel="0" collapsed="false">
      <c r="A977" s="181" t="str">
        <f aca="false">IF(ISBLANK(B977),"",B977&amp;"|"&amp;C977)</f>
        <v/>
      </c>
      <c r="B977" s="181"/>
      <c r="C977" s="181"/>
      <c r="D977" s="181"/>
      <c r="E977" s="186"/>
      <c r="F977" s="181"/>
      <c r="G977" s="181"/>
      <c r="H977" s="181"/>
      <c r="I977" s="181"/>
      <c r="J977" s="181"/>
      <c r="K977" s="181"/>
      <c r="L977" s="181"/>
      <c r="M977" s="181"/>
      <c r="N977" s="181"/>
      <c r="O977" s="181"/>
      <c r="P977" s="181"/>
      <c r="Q977" s="181"/>
      <c r="R977" s="181"/>
      <c r="S977" s="181"/>
      <c r="T977" s="181"/>
      <c r="U977" s="181"/>
      <c r="V977" s="181"/>
      <c r="W977" s="181"/>
      <c r="X977" s="181"/>
      <c r="Y977" s="181"/>
      <c r="Z977" s="181"/>
      <c r="AA977" s="181"/>
    </row>
    <row r="978" customFormat="false" ht="15.75" hidden="false" customHeight="false" outlineLevel="0" collapsed="false">
      <c r="A978" s="181" t="str">
        <f aca="false">IF(ISBLANK(B978),"",B978&amp;"|"&amp;C978)</f>
        <v/>
      </c>
      <c r="B978" s="181"/>
      <c r="C978" s="181"/>
      <c r="D978" s="181"/>
      <c r="E978" s="186"/>
      <c r="F978" s="181"/>
      <c r="G978" s="181"/>
      <c r="H978" s="181"/>
      <c r="I978" s="181"/>
      <c r="J978" s="181"/>
      <c r="K978" s="181"/>
      <c r="L978" s="181"/>
      <c r="M978" s="181"/>
      <c r="N978" s="181"/>
      <c r="O978" s="181"/>
      <c r="P978" s="181"/>
      <c r="Q978" s="181"/>
      <c r="R978" s="181"/>
      <c r="S978" s="181"/>
      <c r="T978" s="181"/>
      <c r="U978" s="181"/>
      <c r="V978" s="181"/>
      <c r="W978" s="181"/>
      <c r="X978" s="181"/>
      <c r="Y978" s="181"/>
      <c r="Z978" s="181"/>
      <c r="AA978" s="181"/>
    </row>
    <row r="979" customFormat="false" ht="15.75" hidden="false" customHeight="false" outlineLevel="0" collapsed="false">
      <c r="A979" s="181" t="str">
        <f aca="false">IF(ISBLANK(B979),"",B979&amp;"|"&amp;C979)</f>
        <v/>
      </c>
      <c r="B979" s="181"/>
      <c r="C979" s="181"/>
      <c r="D979" s="181"/>
      <c r="E979" s="186"/>
      <c r="F979" s="181"/>
      <c r="G979" s="181"/>
      <c r="H979" s="181"/>
      <c r="I979" s="181"/>
      <c r="J979" s="181"/>
      <c r="K979" s="181"/>
      <c r="L979" s="181"/>
      <c r="M979" s="181"/>
      <c r="N979" s="181"/>
      <c r="O979" s="181"/>
      <c r="P979" s="181"/>
      <c r="Q979" s="181"/>
      <c r="R979" s="181"/>
      <c r="S979" s="181"/>
      <c r="T979" s="181"/>
      <c r="U979" s="181"/>
      <c r="V979" s="181"/>
      <c r="W979" s="181"/>
      <c r="X979" s="181"/>
      <c r="Y979" s="181"/>
      <c r="Z979" s="181"/>
      <c r="AA979" s="181"/>
    </row>
    <row r="980" customFormat="false" ht="15.75" hidden="false" customHeight="false" outlineLevel="0" collapsed="false">
      <c r="A980" s="181" t="str">
        <f aca="false">IF(ISBLANK(B980),"",B980&amp;"|"&amp;C980)</f>
        <v/>
      </c>
      <c r="B980" s="181"/>
      <c r="C980" s="181"/>
      <c r="D980" s="181"/>
      <c r="E980" s="186"/>
      <c r="F980" s="181"/>
      <c r="G980" s="181"/>
      <c r="H980" s="181"/>
      <c r="I980" s="181"/>
      <c r="J980" s="181"/>
      <c r="K980" s="181"/>
      <c r="L980" s="181"/>
      <c r="M980" s="181"/>
      <c r="N980" s="181"/>
      <c r="O980" s="181"/>
      <c r="P980" s="181"/>
      <c r="Q980" s="181"/>
      <c r="R980" s="181"/>
      <c r="S980" s="181"/>
      <c r="T980" s="181"/>
      <c r="U980" s="181"/>
      <c r="V980" s="181"/>
      <c r="W980" s="181"/>
      <c r="X980" s="181"/>
      <c r="Y980" s="181"/>
      <c r="Z980" s="181"/>
      <c r="AA980" s="181"/>
    </row>
    <row r="981" customFormat="false" ht="15.75" hidden="false" customHeight="false" outlineLevel="0" collapsed="false">
      <c r="A981" s="181" t="str">
        <f aca="false">IF(ISBLANK(B981),"",B981&amp;"|"&amp;C981)</f>
        <v/>
      </c>
      <c r="B981" s="181"/>
      <c r="C981" s="181"/>
      <c r="D981" s="181"/>
      <c r="E981" s="186"/>
      <c r="F981" s="181"/>
      <c r="G981" s="181"/>
      <c r="H981" s="181"/>
      <c r="I981" s="181"/>
      <c r="J981" s="181"/>
      <c r="K981" s="181"/>
      <c r="L981" s="181"/>
      <c r="M981" s="181"/>
      <c r="N981" s="181"/>
      <c r="O981" s="181"/>
      <c r="P981" s="181"/>
      <c r="Q981" s="181"/>
      <c r="R981" s="181"/>
      <c r="S981" s="181"/>
      <c r="T981" s="181"/>
      <c r="U981" s="181"/>
      <c r="V981" s="181"/>
      <c r="W981" s="181"/>
      <c r="X981" s="181"/>
      <c r="Y981" s="181"/>
      <c r="Z981" s="181"/>
      <c r="AA981" s="181"/>
    </row>
    <row r="982" customFormat="false" ht="15.75" hidden="false" customHeight="false" outlineLevel="0" collapsed="false">
      <c r="A982" s="181" t="str">
        <f aca="false">IF(ISBLANK(B982),"",B982&amp;"|"&amp;C982)</f>
        <v/>
      </c>
      <c r="B982" s="181"/>
      <c r="C982" s="181"/>
      <c r="D982" s="181"/>
      <c r="E982" s="186"/>
      <c r="F982" s="181"/>
      <c r="G982" s="181"/>
      <c r="H982" s="181"/>
      <c r="I982" s="181"/>
      <c r="J982" s="181"/>
      <c r="K982" s="181"/>
      <c r="L982" s="181"/>
      <c r="M982" s="181"/>
      <c r="N982" s="181"/>
      <c r="O982" s="181"/>
      <c r="P982" s="181"/>
      <c r="Q982" s="181"/>
      <c r="R982" s="181"/>
      <c r="S982" s="181"/>
      <c r="T982" s="181"/>
      <c r="U982" s="181"/>
      <c r="V982" s="181"/>
      <c r="W982" s="181"/>
      <c r="X982" s="181"/>
      <c r="Y982" s="181"/>
      <c r="Z982" s="181"/>
      <c r="AA982" s="181"/>
    </row>
    <row r="983" customFormat="false" ht="15.75" hidden="false" customHeight="false" outlineLevel="0" collapsed="false">
      <c r="A983" s="181" t="str">
        <f aca="false">IF(ISBLANK(B983),"",B983&amp;"|"&amp;C983)</f>
        <v/>
      </c>
      <c r="B983" s="181"/>
      <c r="C983" s="181"/>
      <c r="D983" s="181"/>
      <c r="E983" s="186"/>
      <c r="F983" s="181"/>
      <c r="G983" s="181"/>
      <c r="H983" s="181"/>
      <c r="I983" s="181"/>
      <c r="J983" s="181"/>
      <c r="K983" s="181"/>
      <c r="L983" s="181"/>
      <c r="M983" s="181"/>
      <c r="N983" s="181"/>
      <c r="O983" s="181"/>
      <c r="P983" s="181"/>
      <c r="Q983" s="181"/>
      <c r="R983" s="181"/>
      <c r="S983" s="181"/>
      <c r="T983" s="181"/>
      <c r="U983" s="181"/>
      <c r="V983" s="181"/>
      <c r="W983" s="181"/>
      <c r="X983" s="181"/>
      <c r="Y983" s="181"/>
      <c r="Z983" s="181"/>
      <c r="AA983" s="181"/>
    </row>
    <row r="984" customFormat="false" ht="15.75" hidden="false" customHeight="false" outlineLevel="0" collapsed="false">
      <c r="A984" s="181" t="str">
        <f aca="false">IF(ISBLANK(B984),"",B984&amp;"|"&amp;C984)</f>
        <v/>
      </c>
      <c r="B984" s="181"/>
      <c r="C984" s="181"/>
      <c r="D984" s="181"/>
      <c r="E984" s="186"/>
      <c r="F984" s="181"/>
      <c r="G984" s="181"/>
      <c r="H984" s="181"/>
      <c r="I984" s="181"/>
      <c r="J984" s="181"/>
      <c r="K984" s="181"/>
      <c r="L984" s="181"/>
      <c r="M984" s="181"/>
      <c r="N984" s="181"/>
      <c r="O984" s="181"/>
      <c r="P984" s="181"/>
      <c r="Q984" s="181"/>
      <c r="R984" s="181"/>
      <c r="S984" s="181"/>
      <c r="T984" s="181"/>
      <c r="U984" s="181"/>
      <c r="V984" s="181"/>
      <c r="W984" s="181"/>
      <c r="X984" s="181"/>
      <c r="Y984" s="181"/>
      <c r="Z984" s="181"/>
      <c r="AA984" s="181"/>
    </row>
    <row r="985" customFormat="false" ht="15.75" hidden="false" customHeight="false" outlineLevel="0" collapsed="false">
      <c r="A985" s="181" t="str">
        <f aca="false">IF(ISBLANK(B985),"",B985&amp;"|"&amp;C985)</f>
        <v/>
      </c>
      <c r="B985" s="181"/>
      <c r="C985" s="181"/>
      <c r="D985" s="181"/>
      <c r="E985" s="186"/>
      <c r="F985" s="181"/>
      <c r="G985" s="181"/>
      <c r="H985" s="181"/>
      <c r="I985" s="181"/>
      <c r="J985" s="181"/>
      <c r="K985" s="181"/>
      <c r="L985" s="181"/>
      <c r="M985" s="181"/>
      <c r="N985" s="181"/>
      <c r="O985" s="181"/>
      <c r="P985" s="181"/>
      <c r="Q985" s="181"/>
      <c r="R985" s="181"/>
      <c r="S985" s="181"/>
      <c r="T985" s="181"/>
      <c r="U985" s="181"/>
      <c r="V985" s="181"/>
      <c r="W985" s="181"/>
      <c r="X985" s="181"/>
      <c r="Y985" s="181"/>
      <c r="Z985" s="181"/>
      <c r="AA985" s="181"/>
    </row>
    <row r="986" customFormat="false" ht="15.75" hidden="false" customHeight="false" outlineLevel="0" collapsed="false">
      <c r="A986" s="181" t="str">
        <f aca="false">IF(ISBLANK(B986),"",B986&amp;"|"&amp;C986)</f>
        <v/>
      </c>
      <c r="B986" s="181"/>
      <c r="C986" s="181"/>
      <c r="D986" s="181"/>
      <c r="E986" s="186"/>
      <c r="F986" s="181"/>
      <c r="G986" s="181"/>
      <c r="H986" s="181"/>
      <c r="I986" s="181"/>
      <c r="J986" s="181"/>
      <c r="K986" s="181"/>
      <c r="L986" s="181"/>
      <c r="M986" s="181"/>
      <c r="N986" s="181"/>
      <c r="O986" s="181"/>
      <c r="P986" s="181"/>
      <c r="Q986" s="181"/>
      <c r="R986" s="181"/>
      <c r="S986" s="181"/>
      <c r="T986" s="181"/>
      <c r="U986" s="181"/>
      <c r="V986" s="181"/>
      <c r="W986" s="181"/>
      <c r="X986" s="181"/>
      <c r="Y986" s="181"/>
      <c r="Z986" s="181"/>
      <c r="AA986" s="181"/>
    </row>
    <row r="987" customFormat="false" ht="15.75" hidden="false" customHeight="false" outlineLevel="0" collapsed="false">
      <c r="A987" s="181" t="str">
        <f aca="false">IF(ISBLANK(B987),"",B987&amp;"|"&amp;C987)</f>
        <v/>
      </c>
      <c r="B987" s="181"/>
      <c r="C987" s="181"/>
      <c r="D987" s="181"/>
      <c r="E987" s="186"/>
      <c r="F987" s="181"/>
      <c r="G987" s="181"/>
      <c r="H987" s="181"/>
      <c r="I987" s="181"/>
      <c r="J987" s="181"/>
      <c r="K987" s="181"/>
      <c r="L987" s="181"/>
      <c r="M987" s="181"/>
      <c r="N987" s="181"/>
      <c r="O987" s="181"/>
      <c r="P987" s="181"/>
      <c r="Q987" s="181"/>
      <c r="R987" s="181"/>
      <c r="S987" s="181"/>
      <c r="T987" s="181"/>
      <c r="U987" s="181"/>
      <c r="V987" s="181"/>
      <c r="W987" s="181"/>
      <c r="X987" s="181"/>
      <c r="Y987" s="181"/>
      <c r="Z987" s="181"/>
      <c r="AA987" s="181"/>
    </row>
    <row r="988" customFormat="false" ht="15.75" hidden="false" customHeight="false" outlineLevel="0" collapsed="false">
      <c r="A988" s="181" t="str">
        <f aca="false">IF(ISBLANK(B988),"",B988&amp;"|"&amp;C988)</f>
        <v/>
      </c>
      <c r="B988" s="181"/>
      <c r="C988" s="181"/>
      <c r="D988" s="181"/>
      <c r="E988" s="186"/>
      <c r="F988" s="181"/>
      <c r="G988" s="181"/>
      <c r="H988" s="181"/>
      <c r="I988" s="181"/>
      <c r="J988" s="181"/>
      <c r="K988" s="181"/>
      <c r="L988" s="181"/>
      <c r="M988" s="181"/>
      <c r="N988" s="181"/>
      <c r="O988" s="181"/>
      <c r="P988" s="181"/>
      <c r="Q988" s="181"/>
      <c r="R988" s="181"/>
      <c r="S988" s="181"/>
      <c r="T988" s="181"/>
      <c r="U988" s="181"/>
      <c r="V988" s="181"/>
      <c r="W988" s="181"/>
      <c r="X988" s="181"/>
      <c r="Y988" s="181"/>
      <c r="Z988" s="181"/>
      <c r="AA988" s="181"/>
    </row>
    <row r="989" customFormat="false" ht="15.75" hidden="false" customHeight="false" outlineLevel="0" collapsed="false">
      <c r="A989" s="181" t="str">
        <f aca="false">IF(ISBLANK(B989),"",B989&amp;"|"&amp;C989)</f>
        <v/>
      </c>
      <c r="B989" s="181"/>
      <c r="C989" s="181"/>
      <c r="D989" s="181"/>
      <c r="E989" s="186"/>
      <c r="F989" s="181"/>
      <c r="G989" s="181"/>
      <c r="H989" s="181"/>
      <c r="I989" s="181"/>
      <c r="J989" s="181"/>
      <c r="K989" s="181"/>
      <c r="L989" s="181"/>
      <c r="M989" s="181"/>
      <c r="N989" s="181"/>
      <c r="O989" s="181"/>
      <c r="P989" s="181"/>
      <c r="Q989" s="181"/>
      <c r="R989" s="181"/>
      <c r="S989" s="181"/>
      <c r="T989" s="181"/>
      <c r="U989" s="181"/>
      <c r="V989" s="181"/>
      <c r="W989" s="181"/>
      <c r="X989" s="181"/>
      <c r="Y989" s="181"/>
      <c r="Z989" s="181"/>
      <c r="AA989" s="181"/>
    </row>
    <row r="990" customFormat="false" ht="15.75" hidden="false" customHeight="false" outlineLevel="0" collapsed="false">
      <c r="A990" s="181" t="str">
        <f aca="false">IF(ISBLANK(B990),"",B990&amp;"|"&amp;C990)</f>
        <v/>
      </c>
      <c r="B990" s="181"/>
      <c r="C990" s="181"/>
      <c r="D990" s="181"/>
      <c r="E990" s="186"/>
      <c r="F990" s="181"/>
      <c r="G990" s="181"/>
      <c r="H990" s="181"/>
      <c r="I990" s="181"/>
      <c r="J990" s="181"/>
      <c r="K990" s="181"/>
      <c r="L990" s="181"/>
      <c r="M990" s="181"/>
      <c r="N990" s="181"/>
      <c r="O990" s="181"/>
      <c r="P990" s="181"/>
      <c r="Q990" s="181"/>
      <c r="R990" s="181"/>
      <c r="S990" s="181"/>
      <c r="T990" s="181"/>
      <c r="U990" s="181"/>
      <c r="V990" s="181"/>
      <c r="W990" s="181"/>
      <c r="X990" s="181"/>
      <c r="Y990" s="181"/>
      <c r="Z990" s="181"/>
      <c r="AA990" s="181"/>
    </row>
    <row r="991" customFormat="false" ht="15.75" hidden="false" customHeight="false" outlineLevel="0" collapsed="false">
      <c r="A991" s="181" t="str">
        <f aca="false">IF(ISBLANK(B991),"",B991&amp;"|"&amp;C991)</f>
        <v/>
      </c>
      <c r="B991" s="181"/>
      <c r="C991" s="181"/>
      <c r="D991" s="181"/>
      <c r="E991" s="186"/>
      <c r="F991" s="181"/>
      <c r="G991" s="181"/>
      <c r="H991" s="181"/>
      <c r="I991" s="181"/>
      <c r="J991" s="181"/>
      <c r="K991" s="181"/>
      <c r="L991" s="181"/>
      <c r="M991" s="181"/>
      <c r="N991" s="181"/>
      <c r="O991" s="181"/>
      <c r="P991" s="181"/>
      <c r="Q991" s="181"/>
      <c r="R991" s="181"/>
      <c r="S991" s="181"/>
      <c r="T991" s="181"/>
      <c r="U991" s="181"/>
      <c r="V991" s="181"/>
      <c r="W991" s="181"/>
      <c r="X991" s="181"/>
      <c r="Y991" s="181"/>
      <c r="Z991" s="181"/>
      <c r="AA991" s="181"/>
    </row>
    <row r="992" customFormat="false" ht="15.75" hidden="false" customHeight="false" outlineLevel="0" collapsed="false">
      <c r="A992" s="181" t="str">
        <f aca="false">IF(ISBLANK(B992),"",B992&amp;"|"&amp;C992)</f>
        <v/>
      </c>
      <c r="B992" s="181"/>
      <c r="C992" s="181"/>
      <c r="D992" s="181"/>
      <c r="E992" s="186"/>
      <c r="F992" s="181"/>
      <c r="G992" s="181"/>
      <c r="H992" s="181"/>
      <c r="I992" s="181"/>
      <c r="J992" s="181"/>
      <c r="K992" s="181"/>
      <c r="L992" s="181"/>
      <c r="M992" s="181"/>
      <c r="N992" s="181"/>
      <c r="O992" s="181"/>
      <c r="P992" s="181"/>
      <c r="Q992" s="181"/>
      <c r="R992" s="181"/>
      <c r="S992" s="181"/>
      <c r="T992" s="181"/>
      <c r="U992" s="181"/>
      <c r="V992" s="181"/>
      <c r="W992" s="181"/>
      <c r="X992" s="181"/>
      <c r="Y992" s="181"/>
      <c r="Z992" s="181"/>
      <c r="AA992" s="181"/>
    </row>
    <row r="993" customFormat="false" ht="15.75" hidden="false" customHeight="false" outlineLevel="0" collapsed="false">
      <c r="A993" s="181" t="str">
        <f aca="false">IF(ISBLANK(B993),"",B993&amp;"|"&amp;C993)</f>
        <v/>
      </c>
      <c r="B993" s="181"/>
      <c r="C993" s="181"/>
      <c r="D993" s="181"/>
      <c r="E993" s="186"/>
      <c r="F993" s="181"/>
      <c r="G993" s="181"/>
      <c r="H993" s="181"/>
      <c r="I993" s="181"/>
      <c r="J993" s="181"/>
      <c r="K993" s="181"/>
      <c r="L993" s="181"/>
      <c r="M993" s="181"/>
      <c r="N993" s="181"/>
      <c r="O993" s="181"/>
      <c r="P993" s="181"/>
      <c r="Q993" s="181"/>
      <c r="R993" s="181"/>
      <c r="S993" s="181"/>
      <c r="T993" s="181"/>
      <c r="U993" s="181"/>
      <c r="V993" s="181"/>
      <c r="W993" s="181"/>
      <c r="X993" s="181"/>
      <c r="Y993" s="181"/>
      <c r="Z993" s="181"/>
      <c r="AA993" s="181"/>
    </row>
    <row r="994" customFormat="false" ht="15.75" hidden="false" customHeight="false" outlineLevel="0" collapsed="false">
      <c r="A994" s="181" t="str">
        <f aca="false">IF(ISBLANK(B994),"",B994&amp;"|"&amp;C994)</f>
        <v/>
      </c>
      <c r="B994" s="181"/>
      <c r="C994" s="181"/>
      <c r="D994" s="181"/>
      <c r="E994" s="186"/>
      <c r="F994" s="181"/>
      <c r="G994" s="181"/>
      <c r="H994" s="181"/>
      <c r="I994" s="181"/>
      <c r="J994" s="181"/>
      <c r="K994" s="181"/>
      <c r="L994" s="181"/>
      <c r="M994" s="181"/>
      <c r="N994" s="181"/>
      <c r="O994" s="181"/>
      <c r="P994" s="181"/>
      <c r="Q994" s="181"/>
      <c r="R994" s="181"/>
      <c r="S994" s="181"/>
      <c r="T994" s="181"/>
      <c r="U994" s="181"/>
      <c r="V994" s="181"/>
      <c r="W994" s="181"/>
      <c r="X994" s="181"/>
      <c r="Y994" s="181"/>
      <c r="Z994" s="181"/>
      <c r="AA994" s="181"/>
    </row>
    <row r="995" customFormat="false" ht="15.75" hidden="false" customHeight="false" outlineLevel="0" collapsed="false">
      <c r="A995" s="181" t="str">
        <f aca="false">IF(ISBLANK(B995),"",B995&amp;"|"&amp;C995)</f>
        <v/>
      </c>
      <c r="B995" s="181"/>
      <c r="C995" s="181"/>
      <c r="D995" s="181"/>
      <c r="E995" s="186"/>
      <c r="F995" s="181"/>
      <c r="G995" s="181"/>
      <c r="H995" s="181"/>
      <c r="I995" s="181"/>
      <c r="J995" s="181"/>
      <c r="K995" s="181"/>
      <c r="L995" s="181"/>
      <c r="M995" s="181"/>
      <c r="N995" s="181"/>
      <c r="O995" s="181"/>
      <c r="P995" s="181"/>
      <c r="Q995" s="181"/>
      <c r="R995" s="181"/>
      <c r="S995" s="181"/>
      <c r="T995" s="181"/>
      <c r="U995" s="181"/>
      <c r="V995" s="181"/>
      <c r="W995" s="181"/>
      <c r="X995" s="181"/>
      <c r="Y995" s="181"/>
      <c r="Z995" s="181"/>
      <c r="AA995" s="181"/>
    </row>
    <row r="996" customFormat="false" ht="15.75" hidden="false" customHeight="false" outlineLevel="0" collapsed="false">
      <c r="A996" s="181" t="str">
        <f aca="false">IF(ISBLANK(B996),"",B996&amp;"|"&amp;C996)</f>
        <v/>
      </c>
      <c r="B996" s="181"/>
      <c r="C996" s="181"/>
      <c r="D996" s="181"/>
      <c r="E996" s="186"/>
      <c r="F996" s="181"/>
      <c r="G996" s="181"/>
      <c r="H996" s="181"/>
      <c r="I996" s="181"/>
      <c r="J996" s="181"/>
      <c r="K996" s="181"/>
      <c r="L996" s="181"/>
      <c r="M996" s="181"/>
      <c r="N996" s="181"/>
      <c r="O996" s="181"/>
      <c r="P996" s="181"/>
      <c r="Q996" s="181"/>
      <c r="R996" s="181"/>
      <c r="S996" s="181"/>
      <c r="T996" s="181"/>
      <c r="U996" s="181"/>
      <c r="V996" s="181"/>
      <c r="W996" s="181"/>
      <c r="X996" s="181"/>
      <c r="Y996" s="181"/>
      <c r="Z996" s="181"/>
      <c r="AA996" s="181"/>
    </row>
    <row r="997" customFormat="false" ht="15.75" hidden="false" customHeight="false" outlineLevel="0" collapsed="false">
      <c r="A997" s="181" t="str">
        <f aca="false">IF(ISBLANK(B997),"",B997&amp;"|"&amp;C997)</f>
        <v/>
      </c>
      <c r="B997" s="181"/>
      <c r="C997" s="181"/>
      <c r="D997" s="181"/>
      <c r="E997" s="186"/>
      <c r="F997" s="181"/>
      <c r="G997" s="181"/>
      <c r="H997" s="181"/>
      <c r="I997" s="181"/>
      <c r="J997" s="181"/>
      <c r="K997" s="181"/>
      <c r="L997" s="181"/>
      <c r="M997" s="181"/>
      <c r="N997" s="181"/>
      <c r="O997" s="181"/>
      <c r="P997" s="181"/>
      <c r="Q997" s="181"/>
      <c r="R997" s="181"/>
      <c r="S997" s="181"/>
      <c r="T997" s="181"/>
      <c r="U997" s="181"/>
      <c r="V997" s="181"/>
      <c r="W997" s="181"/>
      <c r="X997" s="181"/>
      <c r="Y997" s="181"/>
      <c r="Z997" s="181"/>
      <c r="AA997" s="181"/>
    </row>
    <row r="998" customFormat="false" ht="15.75" hidden="false" customHeight="false" outlineLevel="0" collapsed="false">
      <c r="A998" s="181" t="str">
        <f aca="false">IF(ISBLANK(B998),"",B998&amp;"|"&amp;C998)</f>
        <v/>
      </c>
      <c r="B998" s="181"/>
      <c r="C998" s="181"/>
      <c r="D998" s="181"/>
      <c r="E998" s="186"/>
      <c r="F998" s="181"/>
      <c r="G998" s="181"/>
      <c r="H998" s="181"/>
      <c r="I998" s="181"/>
      <c r="J998" s="181"/>
      <c r="K998" s="181"/>
      <c r="L998" s="181"/>
      <c r="M998" s="181"/>
      <c r="N998" s="181"/>
      <c r="O998" s="181"/>
      <c r="P998" s="181"/>
      <c r="Q998" s="181"/>
      <c r="R998" s="181"/>
      <c r="S998" s="181"/>
      <c r="T998" s="181"/>
      <c r="U998" s="181"/>
      <c r="V998" s="181"/>
      <c r="W998" s="181"/>
      <c r="X998" s="181"/>
      <c r="Y998" s="181"/>
      <c r="Z998" s="181"/>
      <c r="AA998" s="181"/>
    </row>
    <row r="999" customFormat="false" ht="15.75" hidden="false" customHeight="false" outlineLevel="0" collapsed="false">
      <c r="A999" s="181" t="str">
        <f aca="false">IF(ISBLANK(B999),"",B999&amp;"|"&amp;C999)</f>
        <v/>
      </c>
      <c r="B999" s="181"/>
      <c r="C999" s="181"/>
      <c r="D999" s="181"/>
      <c r="E999" s="186"/>
      <c r="F999" s="181"/>
      <c r="G999" s="181"/>
      <c r="H999" s="181"/>
      <c r="I999" s="181"/>
      <c r="J999" s="181"/>
      <c r="K999" s="181"/>
      <c r="L999" s="181"/>
      <c r="M999" s="181"/>
      <c r="N999" s="181"/>
      <c r="O999" s="181"/>
      <c r="P999" s="181"/>
      <c r="Q999" s="181"/>
      <c r="R999" s="181"/>
      <c r="S999" s="181"/>
      <c r="T999" s="181"/>
      <c r="U999" s="181"/>
      <c r="V999" s="181"/>
      <c r="W999" s="181"/>
      <c r="X999" s="181"/>
      <c r="Y999" s="181"/>
      <c r="Z999" s="181"/>
      <c r="AA999" s="181"/>
    </row>
    <row r="1000" customFormat="false" ht="15.75" hidden="false" customHeight="false" outlineLevel="0" collapsed="false">
      <c r="A1000" s="181" t="str">
        <f aca="false">IF(ISBLANK(B1000),"",B1000&amp;"|"&amp;C1000)</f>
        <v/>
      </c>
      <c r="B1000" s="181"/>
      <c r="C1000" s="181"/>
      <c r="D1000" s="181"/>
      <c r="E1000" s="186"/>
      <c r="F1000" s="181"/>
      <c r="G1000" s="181"/>
      <c r="H1000" s="181"/>
      <c r="I1000" s="181"/>
      <c r="J1000" s="181"/>
      <c r="K1000" s="181"/>
      <c r="L1000" s="181"/>
      <c r="M1000" s="181"/>
      <c r="N1000" s="181"/>
      <c r="O1000" s="181"/>
      <c r="P1000" s="181"/>
      <c r="Q1000" s="181"/>
      <c r="R1000" s="181"/>
      <c r="S1000" s="181"/>
      <c r="T1000" s="181"/>
      <c r="U1000" s="181"/>
      <c r="V1000" s="181"/>
      <c r="W1000" s="181"/>
      <c r="X1000" s="181"/>
      <c r="Y1000" s="181"/>
      <c r="Z1000" s="181"/>
      <c r="AA1000" s="18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1" t="s">
        <v>130</v>
      </c>
      <c r="B1" s="181" t="s">
        <v>131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</row>
    <row r="2" customFormat="false" ht="15.75" hidden="false" customHeight="false" outlineLevel="0" collapsed="false">
      <c r="A2" s="181" t="s">
        <v>132</v>
      </c>
      <c r="B2" s="187" t="n">
        <v>46291</v>
      </c>
      <c r="C2" s="181"/>
      <c r="D2" s="181" t="s">
        <v>133</v>
      </c>
      <c r="E2" s="181" t="s">
        <v>134</v>
      </c>
      <c r="F2" s="181" t="s">
        <v>135</v>
      </c>
      <c r="G2" s="181" t="s">
        <v>136</v>
      </c>
      <c r="H2" s="181" t="s">
        <v>137</v>
      </c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</row>
    <row r="3" customFormat="false" ht="15.75" hidden="false" customHeight="false" outlineLevel="0" collapsed="false">
      <c r="A3" s="181" t="s">
        <v>138</v>
      </c>
      <c r="B3" s="7" t="s">
        <v>128</v>
      </c>
      <c r="C3" s="181"/>
      <c r="D3" s="185" t="n">
        <f aca="false">FIND(".",B3)</f>
        <v>2</v>
      </c>
      <c r="E3" s="185" t="n">
        <f aca="false">FIND(".",B3,D3+1)</f>
        <v>4</v>
      </c>
      <c r="F3" s="181" t="str">
        <f aca="false">LEFT(B3,D3-1)</f>
        <v>0</v>
      </c>
      <c r="G3" s="181" t="str">
        <f aca="false">MID(B3,D3+1,E3-D3-1)</f>
        <v>1</v>
      </c>
      <c r="H3" s="181" t="str">
        <f aca="false">RIGHT(B3,LEN(B3)-E3)</f>
        <v>0</v>
      </c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</row>
    <row r="4" customFormat="false" ht="15.75" hidden="false" customHeight="false" outlineLevel="0" collapsed="false">
      <c r="A4" s="181" t="s">
        <v>139</v>
      </c>
      <c r="B4" s="181" t="s">
        <v>95</v>
      </c>
      <c r="C4" s="181"/>
      <c r="D4" s="7"/>
      <c r="E4" s="7"/>
      <c r="F4" s="7"/>
      <c r="G4" s="7"/>
      <c r="H4" s="7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</row>
    <row r="5" customFormat="false" ht="15.75" hidden="false" customHeight="false" outlineLevel="0" collapsed="false">
      <c r="A5" s="181" t="s">
        <v>140</v>
      </c>
      <c r="B5" s="181" t="n">
        <v>2027</v>
      </c>
      <c r="C5" s="181"/>
      <c r="D5" s="7"/>
      <c r="E5" s="7"/>
      <c r="F5" s="7"/>
      <c r="G5" s="7"/>
      <c r="H5" s="7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</row>
    <row r="6" customFormat="false" ht="15.75" hidden="false" customHeight="false" outlineLevel="0" collapsed="false">
      <c r="A6" s="181" t="s">
        <v>141</v>
      </c>
      <c r="B6" s="181" t="str">
        <f aca="false">B1&amp;"|"&amp;B4</f>
        <v>Electric Vehicle|C</v>
      </c>
      <c r="C6" s="181"/>
      <c r="D6" s="7"/>
      <c r="E6" s="7"/>
      <c r="F6" s="7"/>
      <c r="G6" s="7"/>
      <c r="H6" s="7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</row>
    <row r="7" customFormat="false" ht="15.75" hidden="false" customHeight="false" outlineLevel="0" collapsed="false">
      <c r="A7" s="181" t="s">
        <v>142</v>
      </c>
      <c r="B7" s="181" t="s">
        <v>128</v>
      </c>
      <c r="C7" s="181"/>
      <c r="D7" s="185" t="n">
        <f aca="false">FIND(".",B7)</f>
        <v>2</v>
      </c>
      <c r="E7" s="185" t="n">
        <f aca="false">FIND(".",B7,D7+1)</f>
        <v>4</v>
      </c>
      <c r="F7" s="181" t="str">
        <f aca="false">LEFT(B7,D7-1)</f>
        <v>0</v>
      </c>
      <c r="G7" s="181" t="str">
        <f aca="false">MID(B7,D7+1,E7-D7-1)</f>
        <v>1</v>
      </c>
      <c r="H7" s="181" t="str">
        <f aca="false">RIGHT(B7,LEN(B7)-E7)</f>
        <v>0</v>
      </c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</row>
    <row r="8" customFormat="false" ht="15.75" hidden="false" customHeight="false" outlineLevel="0" collapsed="false">
      <c r="A8" s="181" t="s">
        <v>143</v>
      </c>
      <c r="B8" s="181" t="str">
        <f aca="false">IF(CONCATENATE(F7,".",G7)=CONCATENATE(F3,".",G3),"F","T")</f>
        <v>F</v>
      </c>
      <c r="C8" s="181"/>
      <c r="D8" s="181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</row>
    <row r="9" customFormat="false" ht="15.75" hidden="false" customHeight="false" outlineLevel="0" collapsed="false">
      <c r="A9" s="181"/>
      <c r="B9" s="181"/>
      <c r="C9" s="181"/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</row>
    <row r="10" customFormat="false" ht="15.75" hidden="false" customHeight="false" outlineLevel="0" collapsed="false">
      <c r="A10" s="181"/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</row>
    <row r="11" customFormat="false" ht="15.75" hidden="false" customHeight="false" outlineLevel="0" collapsed="false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</row>
    <row r="12" customFormat="false" ht="15.75" hidden="false" customHeight="false" outlineLevel="0" collapsed="false">
      <c r="A12" s="181"/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</row>
    <row r="13" customFormat="false" ht="15.75" hidden="false" customHeight="false" outlineLevel="0" collapsed="false">
      <c r="A13" s="181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</row>
    <row r="14" customFormat="false" ht="15.75" hidden="false" customHeight="false" outlineLevel="0" collapsed="false">
      <c r="A14" s="181"/>
      <c r="B14" s="181"/>
      <c r="C14" s="181"/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  <c r="W14" s="181"/>
      <c r="X14" s="181"/>
      <c r="Y14" s="181"/>
      <c r="Z14" s="181"/>
    </row>
    <row r="15" customFormat="false" ht="15.75" hidden="false" customHeight="false" outlineLevel="0" collapsed="false">
      <c r="A15" s="181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</row>
    <row r="16" customFormat="false" ht="15.75" hidden="false" customHeight="false" outlineLevel="0" collapsed="false">
      <c r="A16" s="181"/>
      <c r="B16" s="181"/>
      <c r="C16" s="181"/>
      <c r="D16" s="181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</row>
    <row r="17" customFormat="false" ht="15.75" hidden="false" customHeight="false" outlineLevel="0" collapsed="false">
      <c r="A17" s="181"/>
      <c r="B17" s="181"/>
      <c r="C17" s="181"/>
      <c r="D17" s="181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</row>
    <row r="18" customFormat="false" ht="15.75" hidden="false" customHeight="false" outlineLevel="0" collapsed="false">
      <c r="A18" s="181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</row>
    <row r="19" customFormat="false" ht="15.75" hidden="false" customHeight="false" outlineLevel="0" collapsed="false">
      <c r="A19" s="181"/>
      <c r="B19" s="181"/>
      <c r="C19" s="181"/>
      <c r="D19" s="181"/>
      <c r="E19" s="181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</row>
    <row r="20" customFormat="false" ht="15.75" hidden="false" customHeight="false" outlineLevel="0" collapsed="false">
      <c r="A20" s="181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</row>
    <row r="21" customFormat="false" ht="15.75" hidden="false" customHeight="false" outlineLevel="0" collapsed="false">
      <c r="A21" s="181"/>
      <c r="B21" s="181"/>
      <c r="C21" s="181"/>
      <c r="D21" s="181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81"/>
      <c r="V21" s="181"/>
      <c r="W21" s="181"/>
      <c r="X21" s="181"/>
      <c r="Y21" s="181"/>
      <c r="Z21" s="181"/>
    </row>
    <row r="22" customFormat="false" ht="15.75" hidden="false" customHeight="false" outlineLevel="0" collapsed="false">
      <c r="A22" s="181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</row>
    <row r="23" customFormat="false" ht="15.75" hidden="false" customHeight="false" outlineLevel="0" collapsed="false">
      <c r="A23" s="181"/>
      <c r="B23" s="181"/>
      <c r="C23" s="181"/>
      <c r="D23" s="181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</row>
    <row r="24" customFormat="false" ht="15.75" hidden="false" customHeight="false" outlineLevel="0" collapsed="false">
      <c r="A24" s="181"/>
      <c r="B24" s="181"/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</row>
    <row r="25" customFormat="false" ht="15.75" hidden="false" customHeight="false" outlineLevel="0" collapsed="false">
      <c r="A25" s="181"/>
      <c r="B25" s="181"/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</row>
    <row r="26" customFormat="false" ht="15.75" hidden="false" customHeight="false" outlineLevel="0" collapsed="false">
      <c r="A26" s="181"/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</row>
    <row r="27" customFormat="false" ht="15.75" hidden="false" customHeight="false" outlineLevel="0" collapsed="false">
      <c r="A27" s="181"/>
      <c r="B27" s="181"/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</row>
    <row r="28" customFormat="false" ht="15.75" hidden="false" customHeight="false" outlineLevel="0" collapsed="false">
      <c r="A28" s="181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</row>
    <row r="29" customFormat="false" ht="15.75" hidden="false" customHeight="false" outlineLevel="0" collapsed="false">
      <c r="A29" s="181"/>
      <c r="B29" s="181"/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</row>
    <row r="30" customFormat="false" ht="15.75" hidden="false" customHeight="false" outlineLevel="0" collapsed="false">
      <c r="A30" s="181"/>
      <c r="B30" s="181"/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</row>
    <row r="31" customFormat="false" ht="15.75" hidden="false" customHeight="false" outlineLevel="0" collapsed="false">
      <c r="A31" s="181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</row>
    <row r="32" customFormat="false" ht="15.75" hidden="false" customHeight="false" outlineLevel="0" collapsed="false">
      <c r="A32" s="181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</row>
    <row r="33" customFormat="false" ht="15.75" hidden="false" customHeight="false" outlineLevel="0" collapsed="false">
      <c r="A33" s="181"/>
      <c r="B33" s="181"/>
      <c r="C33" s="181"/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</row>
    <row r="34" customFormat="false" ht="15.75" hidden="false" customHeight="false" outlineLevel="0" collapsed="false">
      <c r="A34" s="181"/>
      <c r="B34" s="181"/>
      <c r="C34" s="181"/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</row>
    <row r="35" customFormat="false" ht="15.75" hidden="false" customHeight="false" outlineLevel="0" collapsed="false">
      <c r="A35" s="181"/>
      <c r="B35" s="181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</row>
    <row r="36" customFormat="false" ht="15.75" hidden="false" customHeight="false" outlineLevel="0" collapsed="false">
      <c r="A36" s="181"/>
      <c r="B36" s="181"/>
      <c r="C36" s="181"/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</row>
    <row r="37" customFormat="false" ht="15.75" hidden="false" customHeight="false" outlineLevel="0" collapsed="false">
      <c r="A37" s="181"/>
      <c r="B37" s="181"/>
      <c r="C37" s="181"/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</row>
    <row r="38" customFormat="false" ht="15.75" hidden="false" customHeight="false" outlineLevel="0" collapsed="false">
      <c r="A38" s="181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</row>
    <row r="39" customFormat="false" ht="15.75" hidden="false" customHeight="false" outlineLevel="0" collapsed="false">
      <c r="A39" s="181"/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</row>
    <row r="40" customFormat="false" ht="15.75" hidden="false" customHeight="false" outlineLevel="0" collapsed="false">
      <c r="A40" s="181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</row>
    <row r="41" customFormat="false" ht="15.75" hidden="false" customHeight="false" outlineLevel="0" collapsed="false">
      <c r="A41" s="181"/>
      <c r="B41" s="181"/>
      <c r="C41" s="181"/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</row>
    <row r="42" customFormat="false" ht="15.75" hidden="false" customHeight="false" outlineLevel="0" collapsed="false">
      <c r="A42" s="181"/>
      <c r="B42" s="181"/>
      <c r="C42" s="181"/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</row>
    <row r="43" customFormat="false" ht="15.75" hidden="false" customHeight="false" outlineLevel="0" collapsed="false">
      <c r="A43" s="181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181"/>
      <c r="T43" s="181"/>
      <c r="U43" s="181"/>
      <c r="V43" s="181"/>
      <c r="W43" s="181"/>
      <c r="X43" s="181"/>
      <c r="Y43" s="181"/>
      <c r="Z43" s="181"/>
    </row>
    <row r="44" customFormat="false" ht="15.75" hidden="false" customHeight="false" outlineLevel="0" collapsed="false">
      <c r="A44" s="181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181"/>
      <c r="Y44" s="181"/>
      <c r="Z44" s="181"/>
    </row>
    <row r="45" customFormat="false" ht="15.75" hidden="false" customHeight="false" outlineLevel="0" collapsed="false">
      <c r="A45" s="181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81"/>
      <c r="O45" s="181"/>
      <c r="P45" s="181"/>
      <c r="Q45" s="181"/>
      <c r="R45" s="181"/>
      <c r="S45" s="181"/>
      <c r="T45" s="181"/>
      <c r="U45" s="181"/>
      <c r="V45" s="181"/>
      <c r="W45" s="181"/>
      <c r="X45" s="181"/>
      <c r="Y45" s="181"/>
      <c r="Z45" s="181"/>
    </row>
    <row r="46" customFormat="false" ht="15.75" hidden="false" customHeight="false" outlineLevel="0" collapsed="false">
      <c r="A46" s="181"/>
      <c r="B46" s="181"/>
      <c r="C46" s="181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1"/>
      <c r="V46" s="181"/>
      <c r="W46" s="181"/>
      <c r="X46" s="181"/>
      <c r="Y46" s="181"/>
      <c r="Z46" s="181"/>
    </row>
    <row r="47" customFormat="false" ht="15.75" hidden="false" customHeight="false" outlineLevel="0" collapsed="false">
      <c r="A47" s="181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181"/>
      <c r="O47" s="181"/>
      <c r="P47" s="181"/>
      <c r="Q47" s="181"/>
      <c r="R47" s="181"/>
      <c r="S47" s="181"/>
      <c r="T47" s="181"/>
      <c r="U47" s="181"/>
      <c r="V47" s="181"/>
      <c r="W47" s="181"/>
      <c r="X47" s="181"/>
      <c r="Y47" s="181"/>
      <c r="Z47" s="181"/>
    </row>
    <row r="48" customFormat="false" ht="15.75" hidden="false" customHeight="false" outlineLevel="0" collapsed="false">
      <c r="A48" s="181"/>
      <c r="B48" s="181"/>
      <c r="C48" s="181"/>
      <c r="D48" s="181"/>
      <c r="E48" s="181"/>
      <c r="F48" s="181"/>
      <c r="G48" s="181"/>
      <c r="H48" s="181"/>
      <c r="I48" s="181"/>
      <c r="J48" s="181"/>
      <c r="K48" s="181"/>
      <c r="L48" s="181"/>
      <c r="M48" s="181"/>
      <c r="N48" s="181"/>
      <c r="O48" s="181"/>
      <c r="P48" s="181"/>
      <c r="Q48" s="181"/>
      <c r="R48" s="181"/>
      <c r="S48" s="181"/>
      <c r="T48" s="181"/>
      <c r="U48" s="181"/>
      <c r="V48" s="181"/>
      <c r="W48" s="181"/>
      <c r="X48" s="181"/>
      <c r="Y48" s="181"/>
      <c r="Z48" s="181"/>
    </row>
    <row r="49" customFormat="false" ht="15.75" hidden="false" customHeight="false" outlineLevel="0" collapsed="false">
      <c r="A49" s="181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1"/>
      <c r="M49" s="181"/>
      <c r="N49" s="181"/>
      <c r="O49" s="181"/>
      <c r="P49" s="181"/>
      <c r="Q49" s="181"/>
      <c r="R49" s="181"/>
      <c r="S49" s="181"/>
      <c r="T49" s="181"/>
      <c r="U49" s="181"/>
      <c r="V49" s="181"/>
      <c r="W49" s="181"/>
      <c r="X49" s="181"/>
      <c r="Y49" s="181"/>
      <c r="Z49" s="181"/>
    </row>
    <row r="50" customFormat="false" ht="15.75" hidden="false" customHeight="false" outlineLevel="0" collapsed="false">
      <c r="A50" s="181"/>
      <c r="B50" s="181"/>
      <c r="C50" s="181"/>
      <c r="D50" s="181"/>
      <c r="E50" s="181"/>
      <c r="F50" s="181"/>
      <c r="G50" s="181"/>
      <c r="H50" s="181"/>
      <c r="I50" s="181"/>
      <c r="J50" s="181"/>
      <c r="K50" s="181"/>
      <c r="L50" s="181"/>
      <c r="M50" s="181"/>
      <c r="N50" s="181"/>
      <c r="O50" s="181"/>
      <c r="P50" s="181"/>
      <c r="Q50" s="181"/>
      <c r="R50" s="181"/>
      <c r="S50" s="181"/>
      <c r="T50" s="181"/>
      <c r="U50" s="181"/>
      <c r="V50" s="181"/>
      <c r="W50" s="181"/>
      <c r="X50" s="181"/>
      <c r="Y50" s="181"/>
      <c r="Z50" s="181"/>
    </row>
    <row r="51" customFormat="false" ht="15.75" hidden="false" customHeight="false" outlineLevel="0" collapsed="false">
      <c r="A51" s="181"/>
      <c r="B51" s="181"/>
      <c r="C51" s="181"/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</row>
    <row r="52" customFormat="false" ht="15.75" hidden="false" customHeight="false" outlineLevel="0" collapsed="false">
      <c r="A52" s="181"/>
      <c r="B52" s="181"/>
      <c r="C52" s="181"/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</row>
    <row r="53" customFormat="false" ht="15.75" hidden="false" customHeight="false" outlineLevel="0" collapsed="false">
      <c r="A53" s="181"/>
      <c r="B53" s="181"/>
      <c r="C53" s="181"/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</row>
    <row r="54" customFormat="false" ht="15.75" hidden="false" customHeight="false" outlineLevel="0" collapsed="false">
      <c r="A54" s="181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</row>
    <row r="55" customFormat="false" ht="15.75" hidden="false" customHeight="false" outlineLevel="0" collapsed="false">
      <c r="A55" s="181"/>
      <c r="B55" s="181"/>
      <c r="C55" s="181"/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</row>
    <row r="56" customFormat="false" ht="15.75" hidden="false" customHeight="false" outlineLevel="0" collapsed="false">
      <c r="A56" s="181"/>
      <c r="B56" s="181"/>
      <c r="C56" s="181"/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</row>
    <row r="57" customFormat="false" ht="15.75" hidden="false" customHeight="false" outlineLevel="0" collapsed="false">
      <c r="A57" s="181"/>
      <c r="B57" s="181"/>
      <c r="C57" s="181"/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</row>
    <row r="58" customFormat="false" ht="15.75" hidden="false" customHeight="false" outlineLevel="0" collapsed="false">
      <c r="A58" s="181"/>
      <c r="B58" s="181"/>
      <c r="C58" s="181"/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</row>
    <row r="59" customFormat="false" ht="15.75" hidden="false" customHeight="false" outlineLevel="0" collapsed="false">
      <c r="A59" s="181"/>
      <c r="B59" s="181"/>
      <c r="C59" s="181"/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</row>
    <row r="60" customFormat="false" ht="15.75" hidden="false" customHeight="false" outlineLevel="0" collapsed="false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</row>
    <row r="61" customFormat="false" ht="15.75" hidden="false" customHeight="false" outlineLevel="0" collapsed="false">
      <c r="A61" s="181"/>
      <c r="B61" s="181"/>
      <c r="C61" s="181"/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</row>
    <row r="62" customFormat="false" ht="15.75" hidden="false" customHeight="false" outlineLevel="0" collapsed="false">
      <c r="A62" s="181"/>
      <c r="B62" s="181"/>
      <c r="C62" s="181"/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</row>
    <row r="63" customFormat="false" ht="15.75" hidden="false" customHeight="false" outlineLevel="0" collapsed="false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</row>
    <row r="64" customFormat="false" ht="15.75" hidden="false" customHeight="false" outlineLevel="0" collapsed="false">
      <c r="A64" s="181"/>
      <c r="B64" s="181"/>
      <c r="C64" s="181"/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</row>
    <row r="65" customFormat="false" ht="15.75" hidden="false" customHeight="false" outlineLevel="0" collapsed="false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</row>
    <row r="66" customFormat="false" ht="15.75" hidden="false" customHeight="false" outlineLevel="0" collapsed="false">
      <c r="A66" s="181"/>
      <c r="B66" s="181"/>
      <c r="C66" s="181"/>
      <c r="D66" s="181"/>
      <c r="E66" s="181"/>
      <c r="F66" s="181"/>
      <c r="G66" s="181"/>
      <c r="H66" s="181"/>
      <c r="I66" s="181"/>
      <c r="J66" s="181"/>
      <c r="K66" s="181"/>
      <c r="L66" s="181"/>
      <c r="M66" s="181"/>
      <c r="N66" s="181"/>
      <c r="O66" s="181"/>
      <c r="P66" s="181"/>
      <c r="Q66" s="181"/>
      <c r="R66" s="181"/>
      <c r="S66" s="181"/>
      <c r="T66" s="181"/>
      <c r="U66" s="181"/>
      <c r="V66" s="181"/>
      <c r="W66" s="181"/>
      <c r="X66" s="181"/>
      <c r="Y66" s="181"/>
      <c r="Z66" s="181"/>
    </row>
    <row r="67" customFormat="false" ht="15.75" hidden="false" customHeight="false" outlineLevel="0" collapsed="false">
      <c r="A67" s="181"/>
      <c r="B67" s="181"/>
      <c r="C67" s="181"/>
      <c r="D67" s="181"/>
      <c r="E67" s="181"/>
      <c r="F67" s="181"/>
      <c r="G67" s="181"/>
      <c r="H67" s="181"/>
      <c r="I67" s="181"/>
      <c r="J67" s="181"/>
      <c r="K67" s="181"/>
      <c r="L67" s="181"/>
      <c r="M67" s="181"/>
      <c r="N67" s="181"/>
      <c r="O67" s="181"/>
      <c r="P67" s="181"/>
      <c r="Q67" s="181"/>
      <c r="R67" s="181"/>
      <c r="S67" s="181"/>
      <c r="T67" s="181"/>
      <c r="U67" s="181"/>
      <c r="V67" s="181"/>
      <c r="W67" s="181"/>
      <c r="X67" s="181"/>
      <c r="Y67" s="181"/>
      <c r="Z67" s="181"/>
    </row>
    <row r="68" customFormat="false" ht="15.75" hidden="false" customHeight="false" outlineLevel="0" collapsed="false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81"/>
      <c r="O68" s="181"/>
      <c r="P68" s="181"/>
      <c r="Q68" s="181"/>
      <c r="R68" s="181"/>
      <c r="S68" s="181"/>
      <c r="T68" s="181"/>
      <c r="U68" s="181"/>
      <c r="V68" s="181"/>
      <c r="W68" s="181"/>
      <c r="X68" s="181"/>
      <c r="Y68" s="181"/>
      <c r="Z68" s="181"/>
    </row>
    <row r="69" customFormat="false" ht="15.75" hidden="false" customHeight="false" outlineLevel="0" collapsed="false">
      <c r="A69" s="181"/>
      <c r="B69" s="181"/>
      <c r="C69" s="181"/>
      <c r="D69" s="181"/>
      <c r="E69" s="181"/>
      <c r="F69" s="181"/>
      <c r="G69" s="181"/>
      <c r="H69" s="181"/>
      <c r="I69" s="181"/>
      <c r="J69" s="181"/>
      <c r="K69" s="181"/>
      <c r="L69" s="181"/>
      <c r="M69" s="181"/>
      <c r="N69" s="181"/>
      <c r="O69" s="181"/>
      <c r="P69" s="181"/>
      <c r="Q69" s="181"/>
      <c r="R69" s="181"/>
      <c r="S69" s="181"/>
      <c r="T69" s="181"/>
      <c r="U69" s="181"/>
      <c r="V69" s="181"/>
      <c r="W69" s="181"/>
      <c r="X69" s="181"/>
      <c r="Y69" s="181"/>
      <c r="Z69" s="181"/>
    </row>
    <row r="70" customFormat="false" ht="15.75" hidden="false" customHeight="false" outlineLevel="0" collapsed="false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  <c r="Q70" s="181"/>
      <c r="R70" s="181"/>
      <c r="S70" s="181"/>
      <c r="T70" s="181"/>
      <c r="U70" s="181"/>
      <c r="V70" s="181"/>
      <c r="W70" s="181"/>
      <c r="X70" s="181"/>
      <c r="Y70" s="181"/>
      <c r="Z70" s="181"/>
    </row>
    <row r="71" customFormat="false" ht="15.75" hidden="false" customHeight="false" outlineLevel="0" collapsed="false">
      <c r="A71" s="181"/>
      <c r="B71" s="181"/>
      <c r="C71" s="181"/>
      <c r="D71" s="181"/>
      <c r="E71" s="181"/>
      <c r="F71" s="181"/>
      <c r="G71" s="181"/>
      <c r="H71" s="181"/>
      <c r="I71" s="181"/>
      <c r="J71" s="181"/>
      <c r="K71" s="181"/>
      <c r="L71" s="181"/>
      <c r="M71" s="181"/>
      <c r="N71" s="181"/>
      <c r="O71" s="181"/>
      <c r="P71" s="181"/>
      <c r="Q71" s="181"/>
      <c r="R71" s="181"/>
      <c r="S71" s="181"/>
      <c r="T71" s="181"/>
      <c r="U71" s="181"/>
      <c r="V71" s="181"/>
      <c r="W71" s="181"/>
      <c r="X71" s="181"/>
      <c r="Y71" s="181"/>
      <c r="Z71" s="181"/>
    </row>
    <row r="72" customFormat="false" ht="15.75" hidden="false" customHeight="false" outlineLevel="0" collapsed="false">
      <c r="A72" s="181"/>
      <c r="B72" s="181"/>
      <c r="C72" s="181"/>
      <c r="D72" s="181"/>
      <c r="E72" s="181"/>
      <c r="F72" s="181"/>
      <c r="G72" s="181"/>
      <c r="H72" s="181"/>
      <c r="I72" s="181"/>
      <c r="J72" s="181"/>
      <c r="K72" s="181"/>
      <c r="L72" s="181"/>
      <c r="M72" s="181"/>
      <c r="N72" s="181"/>
      <c r="O72" s="181"/>
      <c r="P72" s="181"/>
      <c r="Q72" s="181"/>
      <c r="R72" s="181"/>
      <c r="S72" s="181"/>
      <c r="T72" s="181"/>
      <c r="U72" s="181"/>
      <c r="V72" s="181"/>
      <c r="W72" s="181"/>
      <c r="X72" s="181"/>
      <c r="Y72" s="181"/>
      <c r="Z72" s="181"/>
    </row>
    <row r="73" customFormat="false" ht="15.75" hidden="false" customHeight="false" outlineLevel="0" collapsed="false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  <c r="Q73" s="181"/>
      <c r="R73" s="181"/>
      <c r="S73" s="181"/>
      <c r="T73" s="181"/>
      <c r="U73" s="181"/>
      <c r="V73" s="181"/>
      <c r="W73" s="181"/>
      <c r="X73" s="181"/>
      <c r="Y73" s="181"/>
      <c r="Z73" s="181"/>
    </row>
    <row r="74" customFormat="false" ht="15.75" hidden="false" customHeight="false" outlineLevel="0" collapsed="false">
      <c r="A74" s="181"/>
      <c r="B74" s="181"/>
      <c r="C74" s="181"/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</row>
    <row r="75" customFormat="false" ht="15.75" hidden="false" customHeight="false" outlineLevel="0" collapsed="false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</row>
    <row r="76" customFormat="false" ht="15.75" hidden="false" customHeight="false" outlineLevel="0" collapsed="false">
      <c r="A76" s="181"/>
      <c r="B76" s="181"/>
      <c r="C76" s="181"/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</row>
    <row r="77" customFormat="false" ht="15.75" hidden="false" customHeight="false" outlineLevel="0" collapsed="false">
      <c r="A77" s="181"/>
      <c r="B77" s="181"/>
      <c r="C77" s="181"/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</row>
    <row r="78" customFormat="false" ht="15.75" hidden="false" customHeight="false" outlineLevel="0" collapsed="false">
      <c r="A78" s="181"/>
      <c r="B78" s="181"/>
      <c r="C78" s="181"/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</row>
    <row r="79" customFormat="false" ht="15.75" hidden="false" customHeight="false" outlineLevel="0" collapsed="false">
      <c r="A79" s="181"/>
      <c r="B79" s="181"/>
      <c r="C79" s="181"/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</row>
    <row r="80" customFormat="false" ht="15.75" hidden="false" customHeight="false" outlineLevel="0" collapsed="false">
      <c r="A80" s="181"/>
      <c r="B80" s="181"/>
      <c r="C80" s="181"/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</row>
    <row r="81" customFormat="false" ht="15.75" hidden="false" customHeight="false" outlineLevel="0" collapsed="false">
      <c r="A81" s="181"/>
      <c r="B81" s="181"/>
      <c r="C81" s="181"/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</row>
    <row r="82" customFormat="false" ht="15.75" hidden="false" customHeight="false" outlineLevel="0" collapsed="false">
      <c r="A82" s="181"/>
      <c r="B82" s="181"/>
      <c r="C82" s="181"/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</row>
    <row r="83" customFormat="false" ht="15.75" hidden="false" customHeight="false" outlineLevel="0" collapsed="false">
      <c r="A83" s="181"/>
      <c r="B83" s="181"/>
      <c r="C83" s="181"/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</row>
    <row r="84" customFormat="false" ht="15.75" hidden="false" customHeight="false" outlineLevel="0" collapsed="false">
      <c r="A84" s="181"/>
      <c r="B84" s="181"/>
      <c r="C84" s="181"/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</row>
    <row r="85" customFormat="false" ht="15.75" hidden="false" customHeight="false" outlineLevel="0" collapsed="false">
      <c r="A85" s="181"/>
      <c r="B85" s="181"/>
      <c r="C85" s="181"/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</row>
    <row r="86" customFormat="false" ht="15.75" hidden="false" customHeight="false" outlineLevel="0" collapsed="false">
      <c r="A86" s="181"/>
      <c r="B86" s="181"/>
      <c r="C86" s="181"/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</row>
    <row r="87" customFormat="false" ht="15.75" hidden="false" customHeight="false" outlineLevel="0" collapsed="false">
      <c r="A87" s="181"/>
      <c r="B87" s="181"/>
      <c r="C87" s="181"/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</row>
    <row r="88" customFormat="false" ht="15.75" hidden="false" customHeight="false" outlineLevel="0" collapsed="false">
      <c r="A88" s="181"/>
      <c r="B88" s="181"/>
      <c r="C88" s="181"/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</row>
    <row r="89" customFormat="false" ht="15.75" hidden="false" customHeight="false" outlineLevel="0" collapsed="false">
      <c r="A89" s="181"/>
      <c r="B89" s="181"/>
      <c r="C89" s="181"/>
      <c r="D89" s="181"/>
      <c r="E89" s="181"/>
      <c r="F89" s="181"/>
      <c r="G89" s="181"/>
      <c r="H89" s="181"/>
      <c r="I89" s="181"/>
      <c r="J89" s="181"/>
      <c r="K89" s="181"/>
      <c r="L89" s="181"/>
      <c r="M89" s="181"/>
      <c r="N89" s="181"/>
      <c r="O89" s="181"/>
      <c r="P89" s="181"/>
      <c r="Q89" s="181"/>
      <c r="R89" s="181"/>
      <c r="S89" s="181"/>
      <c r="T89" s="181"/>
      <c r="U89" s="181"/>
      <c r="V89" s="181"/>
      <c r="W89" s="181"/>
      <c r="X89" s="181"/>
      <c r="Y89" s="181"/>
      <c r="Z89" s="181"/>
    </row>
    <row r="90" customFormat="false" ht="15.75" hidden="false" customHeight="false" outlineLevel="0" collapsed="false">
      <c r="A90" s="181"/>
      <c r="B90" s="181"/>
      <c r="C90" s="181"/>
      <c r="D90" s="181"/>
      <c r="E90" s="181"/>
      <c r="F90" s="181"/>
      <c r="G90" s="181"/>
      <c r="H90" s="181"/>
      <c r="I90" s="181"/>
      <c r="J90" s="181"/>
      <c r="K90" s="181"/>
      <c r="L90" s="181"/>
      <c r="M90" s="181"/>
      <c r="N90" s="181"/>
      <c r="O90" s="181"/>
      <c r="P90" s="181"/>
      <c r="Q90" s="181"/>
      <c r="R90" s="181"/>
      <c r="S90" s="181"/>
      <c r="T90" s="181"/>
      <c r="U90" s="181"/>
      <c r="V90" s="181"/>
      <c r="W90" s="181"/>
      <c r="X90" s="181"/>
      <c r="Y90" s="181"/>
      <c r="Z90" s="181"/>
    </row>
    <row r="91" customFormat="false" ht="15.75" hidden="false" customHeight="false" outlineLevel="0" collapsed="false">
      <c r="A91" s="181"/>
      <c r="B91" s="181"/>
      <c r="C91" s="181"/>
      <c r="D91" s="181"/>
      <c r="E91" s="181"/>
      <c r="F91" s="181"/>
      <c r="G91" s="181"/>
      <c r="H91" s="181"/>
      <c r="I91" s="181"/>
      <c r="J91" s="181"/>
      <c r="K91" s="181"/>
      <c r="L91" s="181"/>
      <c r="M91" s="181"/>
      <c r="N91" s="181"/>
      <c r="O91" s="181"/>
      <c r="P91" s="181"/>
      <c r="Q91" s="181"/>
      <c r="R91" s="181"/>
      <c r="S91" s="181"/>
      <c r="T91" s="181"/>
      <c r="U91" s="181"/>
      <c r="V91" s="181"/>
      <c r="W91" s="181"/>
      <c r="X91" s="181"/>
      <c r="Y91" s="181"/>
      <c r="Z91" s="181"/>
    </row>
    <row r="92" customFormat="false" ht="15.75" hidden="false" customHeight="false" outlineLevel="0" collapsed="false">
      <c r="A92" s="181"/>
      <c r="B92" s="181"/>
      <c r="C92" s="181"/>
      <c r="D92" s="181"/>
      <c r="E92" s="181"/>
      <c r="F92" s="181"/>
      <c r="G92" s="181"/>
      <c r="H92" s="181"/>
      <c r="I92" s="181"/>
      <c r="J92" s="181"/>
      <c r="K92" s="181"/>
      <c r="L92" s="181"/>
      <c r="M92" s="181"/>
      <c r="N92" s="181"/>
      <c r="O92" s="181"/>
      <c r="P92" s="181"/>
      <c r="Q92" s="181"/>
      <c r="R92" s="181"/>
      <c r="S92" s="181"/>
      <c r="T92" s="181"/>
      <c r="U92" s="181"/>
      <c r="V92" s="181"/>
      <c r="W92" s="181"/>
      <c r="X92" s="181"/>
      <c r="Y92" s="181"/>
      <c r="Z92" s="181"/>
    </row>
    <row r="93" customFormat="false" ht="15.75" hidden="false" customHeight="false" outlineLevel="0" collapsed="false">
      <c r="A93" s="181"/>
      <c r="B93" s="181"/>
      <c r="C93" s="181"/>
      <c r="D93" s="181"/>
      <c r="E93" s="181"/>
      <c r="F93" s="181"/>
      <c r="G93" s="181"/>
      <c r="H93" s="181"/>
      <c r="I93" s="181"/>
      <c r="J93" s="181"/>
      <c r="K93" s="181"/>
      <c r="L93" s="181"/>
      <c r="M93" s="181"/>
      <c r="N93" s="181"/>
      <c r="O93" s="181"/>
      <c r="P93" s="181"/>
      <c r="Q93" s="181"/>
      <c r="R93" s="181"/>
      <c r="S93" s="181"/>
      <c r="T93" s="181"/>
      <c r="U93" s="181"/>
      <c r="V93" s="181"/>
      <c r="W93" s="181"/>
      <c r="X93" s="181"/>
      <c r="Y93" s="181"/>
      <c r="Z93" s="181"/>
    </row>
    <row r="94" customFormat="false" ht="15.75" hidden="false" customHeight="false" outlineLevel="0" collapsed="false">
      <c r="A94" s="181"/>
      <c r="B94" s="181"/>
      <c r="C94" s="181"/>
      <c r="D94" s="181"/>
      <c r="E94" s="181"/>
      <c r="F94" s="181"/>
      <c r="G94" s="181"/>
      <c r="H94" s="181"/>
      <c r="I94" s="181"/>
      <c r="J94" s="181"/>
      <c r="K94" s="181"/>
      <c r="L94" s="181"/>
      <c r="M94" s="181"/>
      <c r="N94" s="181"/>
      <c r="O94" s="181"/>
      <c r="P94" s="181"/>
      <c r="Q94" s="181"/>
      <c r="R94" s="181"/>
      <c r="S94" s="181"/>
      <c r="T94" s="181"/>
      <c r="U94" s="181"/>
      <c r="V94" s="181"/>
      <c r="W94" s="181"/>
      <c r="X94" s="181"/>
      <c r="Y94" s="181"/>
      <c r="Z94" s="181"/>
    </row>
    <row r="95" customFormat="false" ht="15.75" hidden="false" customHeight="false" outlineLevel="0" collapsed="false">
      <c r="A95" s="181"/>
      <c r="B95" s="181"/>
      <c r="C95" s="181"/>
      <c r="D95" s="181"/>
      <c r="E95" s="181"/>
      <c r="F95" s="181"/>
      <c r="G95" s="181"/>
      <c r="H95" s="181"/>
      <c r="I95" s="181"/>
      <c r="J95" s="181"/>
      <c r="K95" s="181"/>
      <c r="L95" s="181"/>
      <c r="M95" s="181"/>
      <c r="N95" s="181"/>
      <c r="O95" s="181"/>
      <c r="P95" s="181"/>
      <c r="Q95" s="181"/>
      <c r="R95" s="181"/>
      <c r="S95" s="181"/>
      <c r="T95" s="181"/>
      <c r="U95" s="181"/>
      <c r="V95" s="181"/>
      <c r="W95" s="181"/>
      <c r="X95" s="181"/>
      <c r="Y95" s="181"/>
      <c r="Z95" s="181"/>
    </row>
    <row r="96" customFormat="false" ht="15.75" hidden="false" customHeight="false" outlineLevel="0" collapsed="false">
      <c r="A96" s="181"/>
      <c r="B96" s="181"/>
      <c r="C96" s="181"/>
      <c r="D96" s="181"/>
      <c r="E96" s="181"/>
      <c r="F96" s="181"/>
      <c r="G96" s="181"/>
      <c r="H96" s="181"/>
      <c r="I96" s="181"/>
      <c r="J96" s="181"/>
      <c r="K96" s="181"/>
      <c r="L96" s="181"/>
      <c r="M96" s="181"/>
      <c r="N96" s="181"/>
      <c r="O96" s="181"/>
      <c r="P96" s="181"/>
      <c r="Q96" s="181"/>
      <c r="R96" s="181"/>
      <c r="S96" s="181"/>
      <c r="T96" s="181"/>
      <c r="U96" s="181"/>
      <c r="V96" s="181"/>
      <c r="W96" s="181"/>
      <c r="X96" s="181"/>
      <c r="Y96" s="181"/>
      <c r="Z96" s="181"/>
    </row>
    <row r="97" customFormat="false" ht="15.75" hidden="false" customHeight="false" outlineLevel="0" collapsed="false">
      <c r="A97" s="181"/>
      <c r="B97" s="181"/>
      <c r="C97" s="181"/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</row>
    <row r="98" customFormat="false" ht="15.75" hidden="false" customHeight="false" outlineLevel="0" collapsed="false">
      <c r="A98" s="181"/>
      <c r="B98" s="181"/>
      <c r="C98" s="181"/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</row>
    <row r="99" customFormat="false" ht="15.75" hidden="false" customHeight="false" outlineLevel="0" collapsed="false">
      <c r="A99" s="181"/>
      <c r="B99" s="181"/>
      <c r="C99" s="181"/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</row>
    <row r="100" customFormat="false" ht="15.75" hidden="false" customHeight="false" outlineLevel="0" collapsed="false">
      <c r="A100" s="181"/>
      <c r="B100" s="181"/>
      <c r="C100" s="181"/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</row>
    <row r="101" customFormat="false" ht="15.75" hidden="false" customHeight="false" outlineLevel="0" collapsed="false">
      <c r="A101" s="181"/>
      <c r="B101" s="181"/>
      <c r="C101" s="181"/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</row>
    <row r="102" customFormat="false" ht="15.75" hidden="false" customHeight="false" outlineLevel="0" collapsed="false">
      <c r="A102" s="181"/>
      <c r="B102" s="181"/>
      <c r="C102" s="181"/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</row>
    <row r="103" customFormat="false" ht="15.75" hidden="false" customHeight="false" outlineLevel="0" collapsed="false">
      <c r="A103" s="181"/>
      <c r="B103" s="181"/>
      <c r="C103" s="181"/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</row>
    <row r="104" customFormat="false" ht="15.75" hidden="false" customHeight="false" outlineLevel="0" collapsed="false">
      <c r="A104" s="181"/>
      <c r="B104" s="181"/>
      <c r="C104" s="181"/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</row>
    <row r="105" customFormat="false" ht="15.75" hidden="false" customHeight="false" outlineLevel="0" collapsed="false">
      <c r="A105" s="181"/>
      <c r="B105" s="181"/>
      <c r="C105" s="181"/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</row>
    <row r="106" customFormat="false" ht="15.75" hidden="false" customHeight="false" outlineLevel="0" collapsed="false">
      <c r="A106" s="181"/>
      <c r="B106" s="181"/>
      <c r="C106" s="181"/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</row>
    <row r="107" customFormat="false" ht="15.75" hidden="false" customHeight="false" outlineLevel="0" collapsed="false">
      <c r="A107" s="181"/>
      <c r="B107" s="181"/>
      <c r="C107" s="181"/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</row>
    <row r="108" customFormat="false" ht="15.75" hidden="false" customHeight="false" outlineLevel="0" collapsed="false">
      <c r="A108" s="181"/>
      <c r="B108" s="181"/>
      <c r="C108" s="181"/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</row>
    <row r="109" customFormat="false" ht="15.75" hidden="false" customHeight="false" outlineLevel="0" collapsed="false">
      <c r="A109" s="181"/>
      <c r="B109" s="181"/>
      <c r="C109" s="181"/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</row>
    <row r="110" customFormat="false" ht="15.75" hidden="false" customHeight="false" outlineLevel="0" collapsed="false">
      <c r="A110" s="181"/>
      <c r="B110" s="181"/>
      <c r="C110" s="181"/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</row>
    <row r="111" customFormat="false" ht="15.75" hidden="false" customHeight="false" outlineLevel="0" collapsed="false">
      <c r="A111" s="181"/>
      <c r="B111" s="181"/>
      <c r="C111" s="181"/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</row>
    <row r="112" customFormat="false" ht="15.75" hidden="false" customHeight="false" outlineLevel="0" collapsed="false">
      <c r="A112" s="181"/>
      <c r="B112" s="181"/>
      <c r="C112" s="181"/>
      <c r="D112" s="181"/>
      <c r="E112" s="181"/>
      <c r="F112" s="181"/>
      <c r="G112" s="181"/>
      <c r="H112" s="181"/>
      <c r="I112" s="181"/>
      <c r="J112" s="181"/>
      <c r="K112" s="181"/>
      <c r="L112" s="181"/>
      <c r="M112" s="181"/>
      <c r="N112" s="181"/>
      <c r="O112" s="181"/>
      <c r="P112" s="181"/>
      <c r="Q112" s="181"/>
      <c r="R112" s="181"/>
      <c r="S112" s="181"/>
      <c r="T112" s="181"/>
      <c r="U112" s="181"/>
      <c r="V112" s="181"/>
      <c r="W112" s="181"/>
      <c r="X112" s="181"/>
      <c r="Y112" s="181"/>
      <c r="Z112" s="181"/>
    </row>
    <row r="113" customFormat="false" ht="15.75" hidden="false" customHeight="false" outlineLevel="0" collapsed="false">
      <c r="A113" s="181"/>
      <c r="B113" s="181"/>
      <c r="C113" s="181"/>
      <c r="D113" s="181"/>
      <c r="E113" s="181"/>
      <c r="F113" s="181"/>
      <c r="G113" s="181"/>
      <c r="H113" s="181"/>
      <c r="I113" s="181"/>
      <c r="J113" s="181"/>
      <c r="K113" s="181"/>
      <c r="L113" s="181"/>
      <c r="M113" s="181"/>
      <c r="N113" s="181"/>
      <c r="O113" s="181"/>
      <c r="P113" s="181"/>
      <c r="Q113" s="181"/>
      <c r="R113" s="181"/>
      <c r="S113" s="181"/>
      <c r="T113" s="181"/>
      <c r="U113" s="181"/>
      <c r="V113" s="181"/>
      <c r="W113" s="181"/>
      <c r="X113" s="181"/>
      <c r="Y113" s="181"/>
      <c r="Z113" s="181"/>
    </row>
    <row r="114" customFormat="false" ht="15.75" hidden="false" customHeight="false" outlineLevel="0" collapsed="false">
      <c r="A114" s="181"/>
      <c r="B114" s="181"/>
      <c r="C114" s="181"/>
      <c r="D114" s="181"/>
      <c r="E114" s="181"/>
      <c r="F114" s="181"/>
      <c r="G114" s="181"/>
      <c r="H114" s="181"/>
      <c r="I114" s="181"/>
      <c r="J114" s="181"/>
      <c r="K114" s="181"/>
      <c r="L114" s="181"/>
      <c r="M114" s="181"/>
      <c r="N114" s="181"/>
      <c r="O114" s="181"/>
      <c r="P114" s="181"/>
      <c r="Q114" s="181"/>
      <c r="R114" s="181"/>
      <c r="S114" s="181"/>
      <c r="T114" s="181"/>
      <c r="U114" s="181"/>
      <c r="V114" s="181"/>
      <c r="W114" s="181"/>
      <c r="X114" s="181"/>
      <c r="Y114" s="181"/>
      <c r="Z114" s="181"/>
    </row>
    <row r="115" customFormat="false" ht="15.75" hidden="false" customHeight="false" outlineLevel="0" collapsed="false">
      <c r="A115" s="181"/>
      <c r="B115" s="181"/>
      <c r="C115" s="181"/>
      <c r="D115" s="181"/>
      <c r="E115" s="181"/>
      <c r="F115" s="181"/>
      <c r="G115" s="181"/>
      <c r="H115" s="181"/>
      <c r="I115" s="181"/>
      <c r="J115" s="181"/>
      <c r="K115" s="181"/>
      <c r="L115" s="181"/>
      <c r="M115" s="181"/>
      <c r="N115" s="181"/>
      <c r="O115" s="181"/>
      <c r="P115" s="181"/>
      <c r="Q115" s="181"/>
      <c r="R115" s="181"/>
      <c r="S115" s="181"/>
      <c r="T115" s="181"/>
      <c r="U115" s="181"/>
      <c r="V115" s="181"/>
      <c r="W115" s="181"/>
      <c r="X115" s="181"/>
      <c r="Y115" s="181"/>
      <c r="Z115" s="181"/>
    </row>
    <row r="116" customFormat="false" ht="15.75" hidden="false" customHeight="false" outlineLevel="0" collapsed="false">
      <c r="A116" s="181"/>
      <c r="B116" s="181"/>
      <c r="C116" s="181"/>
      <c r="D116" s="181"/>
      <c r="E116" s="181"/>
      <c r="F116" s="181"/>
      <c r="G116" s="181"/>
      <c r="H116" s="181"/>
      <c r="I116" s="181"/>
      <c r="J116" s="181"/>
      <c r="K116" s="181"/>
      <c r="L116" s="181"/>
      <c r="M116" s="181"/>
      <c r="N116" s="181"/>
      <c r="O116" s="181"/>
      <c r="P116" s="181"/>
      <c r="Q116" s="181"/>
      <c r="R116" s="181"/>
      <c r="S116" s="181"/>
      <c r="T116" s="181"/>
      <c r="U116" s="181"/>
      <c r="V116" s="181"/>
      <c r="W116" s="181"/>
      <c r="X116" s="181"/>
      <c r="Y116" s="181"/>
      <c r="Z116" s="181"/>
    </row>
    <row r="117" customFormat="false" ht="15.75" hidden="false" customHeight="false" outlineLevel="0" collapsed="false">
      <c r="A117" s="181"/>
      <c r="B117" s="181"/>
      <c r="C117" s="181"/>
      <c r="D117" s="181"/>
      <c r="E117" s="181"/>
      <c r="F117" s="181"/>
      <c r="G117" s="181"/>
      <c r="H117" s="181"/>
      <c r="I117" s="181"/>
      <c r="J117" s="181"/>
      <c r="K117" s="181"/>
      <c r="L117" s="181"/>
      <c r="M117" s="181"/>
      <c r="N117" s="181"/>
      <c r="O117" s="181"/>
      <c r="P117" s="181"/>
      <c r="Q117" s="181"/>
      <c r="R117" s="181"/>
      <c r="S117" s="181"/>
      <c r="T117" s="181"/>
      <c r="U117" s="181"/>
      <c r="V117" s="181"/>
      <c r="W117" s="181"/>
      <c r="X117" s="181"/>
      <c r="Y117" s="181"/>
      <c r="Z117" s="181"/>
    </row>
    <row r="118" customFormat="false" ht="15.75" hidden="false" customHeight="false" outlineLevel="0" collapsed="false">
      <c r="A118" s="181"/>
      <c r="B118" s="181"/>
      <c r="C118" s="181"/>
      <c r="D118" s="181"/>
      <c r="E118" s="181"/>
      <c r="F118" s="181"/>
      <c r="G118" s="181"/>
      <c r="H118" s="181"/>
      <c r="I118" s="181"/>
      <c r="J118" s="181"/>
      <c r="K118" s="181"/>
      <c r="L118" s="181"/>
      <c r="M118" s="181"/>
      <c r="N118" s="181"/>
      <c r="O118" s="181"/>
      <c r="P118" s="181"/>
      <c r="Q118" s="181"/>
      <c r="R118" s="181"/>
      <c r="S118" s="181"/>
      <c r="T118" s="181"/>
      <c r="U118" s="181"/>
      <c r="V118" s="181"/>
      <c r="W118" s="181"/>
      <c r="X118" s="181"/>
      <c r="Y118" s="181"/>
      <c r="Z118" s="181"/>
    </row>
    <row r="119" customFormat="false" ht="15.75" hidden="false" customHeight="false" outlineLevel="0" collapsed="false">
      <c r="A119" s="181"/>
      <c r="B119" s="181"/>
      <c r="C119" s="181"/>
      <c r="D119" s="181"/>
      <c r="E119" s="181"/>
      <c r="F119" s="181"/>
      <c r="G119" s="181"/>
      <c r="H119" s="181"/>
      <c r="I119" s="181"/>
      <c r="J119" s="181"/>
      <c r="K119" s="181"/>
      <c r="L119" s="181"/>
      <c r="M119" s="181"/>
      <c r="N119" s="181"/>
      <c r="O119" s="181"/>
      <c r="P119" s="181"/>
      <c r="Q119" s="181"/>
      <c r="R119" s="181"/>
      <c r="S119" s="181"/>
      <c r="T119" s="181"/>
      <c r="U119" s="181"/>
      <c r="V119" s="181"/>
      <c r="W119" s="181"/>
      <c r="X119" s="181"/>
      <c r="Y119" s="181"/>
      <c r="Z119" s="181"/>
    </row>
    <row r="120" customFormat="false" ht="15.75" hidden="false" customHeight="false" outlineLevel="0" collapsed="false">
      <c r="A120" s="181"/>
      <c r="B120" s="181"/>
      <c r="C120" s="181"/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</row>
    <row r="121" customFormat="false" ht="15.75" hidden="false" customHeight="false" outlineLevel="0" collapsed="false">
      <c r="A121" s="181"/>
      <c r="B121" s="181"/>
      <c r="C121" s="181"/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</row>
    <row r="122" customFormat="false" ht="15.75" hidden="false" customHeight="false" outlineLevel="0" collapsed="false">
      <c r="A122" s="181"/>
      <c r="B122" s="181"/>
      <c r="C122" s="181"/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</row>
    <row r="123" customFormat="false" ht="15.75" hidden="false" customHeight="false" outlineLevel="0" collapsed="false">
      <c r="A123" s="181"/>
      <c r="B123" s="181"/>
      <c r="C123" s="181"/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</row>
    <row r="124" customFormat="false" ht="15.75" hidden="false" customHeight="false" outlineLevel="0" collapsed="false">
      <c r="A124" s="181"/>
      <c r="B124" s="181"/>
      <c r="C124" s="181"/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</row>
    <row r="125" customFormat="false" ht="15.75" hidden="false" customHeight="false" outlineLevel="0" collapsed="false">
      <c r="A125" s="181"/>
      <c r="B125" s="181"/>
      <c r="C125" s="181"/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</row>
    <row r="126" customFormat="false" ht="15.75" hidden="false" customHeight="false" outlineLevel="0" collapsed="false">
      <c r="A126" s="181"/>
      <c r="B126" s="181"/>
      <c r="C126" s="181"/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</row>
    <row r="127" customFormat="false" ht="15.75" hidden="false" customHeight="false" outlineLevel="0" collapsed="false">
      <c r="A127" s="181"/>
      <c r="B127" s="181"/>
      <c r="C127" s="181"/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</row>
    <row r="128" customFormat="false" ht="15.75" hidden="false" customHeight="false" outlineLevel="0" collapsed="false">
      <c r="A128" s="181"/>
      <c r="B128" s="181"/>
      <c r="C128" s="181"/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</row>
    <row r="129" customFormat="false" ht="15.75" hidden="false" customHeight="false" outlineLevel="0" collapsed="false">
      <c r="A129" s="181"/>
      <c r="B129" s="181"/>
      <c r="C129" s="181"/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</row>
    <row r="130" customFormat="false" ht="15.75" hidden="false" customHeight="false" outlineLevel="0" collapsed="false">
      <c r="A130" s="181"/>
      <c r="B130" s="181"/>
      <c r="C130" s="181"/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</row>
    <row r="131" customFormat="false" ht="15.75" hidden="false" customHeight="false" outlineLevel="0" collapsed="false">
      <c r="A131" s="181"/>
      <c r="B131" s="181"/>
      <c r="C131" s="181"/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</row>
    <row r="132" customFormat="false" ht="15.75" hidden="false" customHeight="false" outlineLevel="0" collapsed="false">
      <c r="A132" s="181"/>
      <c r="B132" s="181"/>
      <c r="C132" s="181"/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</row>
    <row r="133" customFormat="false" ht="15.75" hidden="false" customHeight="false" outlineLevel="0" collapsed="false">
      <c r="A133" s="181"/>
      <c r="B133" s="181"/>
      <c r="C133" s="181"/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</row>
    <row r="134" customFormat="false" ht="15.75" hidden="false" customHeight="false" outlineLevel="0" collapsed="false">
      <c r="A134" s="181"/>
      <c r="B134" s="181"/>
      <c r="C134" s="181"/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</row>
    <row r="135" customFormat="false" ht="15.75" hidden="false" customHeight="false" outlineLevel="0" collapsed="false">
      <c r="A135" s="181"/>
      <c r="B135" s="181"/>
      <c r="C135" s="181"/>
      <c r="D135" s="181"/>
      <c r="E135" s="181"/>
      <c r="F135" s="181"/>
      <c r="G135" s="181"/>
      <c r="H135" s="181"/>
      <c r="I135" s="181"/>
      <c r="J135" s="181"/>
      <c r="K135" s="181"/>
      <c r="L135" s="181"/>
      <c r="M135" s="181"/>
      <c r="N135" s="181"/>
      <c r="O135" s="181"/>
      <c r="P135" s="181"/>
      <c r="Q135" s="181"/>
      <c r="R135" s="181"/>
      <c r="S135" s="181"/>
      <c r="T135" s="181"/>
      <c r="U135" s="181"/>
      <c r="V135" s="181"/>
      <c r="W135" s="181"/>
      <c r="X135" s="181"/>
      <c r="Y135" s="181"/>
      <c r="Z135" s="181"/>
    </row>
    <row r="136" customFormat="false" ht="15.75" hidden="false" customHeight="false" outlineLevel="0" collapsed="false">
      <c r="A136" s="181"/>
      <c r="B136" s="181"/>
      <c r="C136" s="181"/>
      <c r="D136" s="181"/>
      <c r="E136" s="181"/>
      <c r="F136" s="181"/>
      <c r="G136" s="181"/>
      <c r="H136" s="181"/>
      <c r="I136" s="181"/>
      <c r="J136" s="181"/>
      <c r="K136" s="181"/>
      <c r="L136" s="181"/>
      <c r="M136" s="181"/>
      <c r="N136" s="181"/>
      <c r="O136" s="181"/>
      <c r="P136" s="181"/>
      <c r="Q136" s="181"/>
      <c r="R136" s="181"/>
      <c r="S136" s="181"/>
      <c r="T136" s="181"/>
      <c r="U136" s="181"/>
      <c r="V136" s="181"/>
      <c r="W136" s="181"/>
      <c r="X136" s="181"/>
      <c r="Y136" s="181"/>
      <c r="Z136" s="181"/>
    </row>
    <row r="137" customFormat="false" ht="15.75" hidden="false" customHeight="false" outlineLevel="0" collapsed="false">
      <c r="A137" s="181"/>
      <c r="B137" s="181"/>
      <c r="C137" s="181"/>
      <c r="D137" s="181"/>
      <c r="E137" s="181"/>
      <c r="F137" s="181"/>
      <c r="G137" s="181"/>
      <c r="H137" s="181"/>
      <c r="I137" s="181"/>
      <c r="J137" s="181"/>
      <c r="K137" s="181"/>
      <c r="L137" s="181"/>
      <c r="M137" s="181"/>
      <c r="N137" s="181"/>
      <c r="O137" s="181"/>
      <c r="P137" s="181"/>
      <c r="Q137" s="181"/>
      <c r="R137" s="181"/>
      <c r="S137" s="181"/>
      <c r="T137" s="181"/>
      <c r="U137" s="181"/>
      <c r="V137" s="181"/>
      <c r="W137" s="181"/>
      <c r="X137" s="181"/>
      <c r="Y137" s="181"/>
      <c r="Z137" s="181"/>
    </row>
    <row r="138" customFormat="false" ht="15.75" hidden="false" customHeight="false" outlineLevel="0" collapsed="false">
      <c r="A138" s="181"/>
      <c r="B138" s="181"/>
      <c r="C138" s="181"/>
      <c r="D138" s="181"/>
      <c r="E138" s="181"/>
      <c r="F138" s="181"/>
      <c r="G138" s="181"/>
      <c r="H138" s="181"/>
      <c r="I138" s="181"/>
      <c r="J138" s="181"/>
      <c r="K138" s="181"/>
      <c r="L138" s="181"/>
      <c r="M138" s="181"/>
      <c r="N138" s="181"/>
      <c r="O138" s="181"/>
      <c r="P138" s="181"/>
      <c r="Q138" s="181"/>
      <c r="R138" s="181"/>
      <c r="S138" s="181"/>
      <c r="T138" s="181"/>
      <c r="U138" s="181"/>
      <c r="V138" s="181"/>
      <c r="W138" s="181"/>
      <c r="X138" s="181"/>
      <c r="Y138" s="181"/>
      <c r="Z138" s="181"/>
    </row>
    <row r="139" customFormat="false" ht="15.75" hidden="false" customHeight="false" outlineLevel="0" collapsed="false">
      <c r="A139" s="181"/>
      <c r="B139" s="181"/>
      <c r="C139" s="181"/>
      <c r="D139" s="181"/>
      <c r="E139" s="181"/>
      <c r="F139" s="181"/>
      <c r="G139" s="181"/>
      <c r="H139" s="181"/>
      <c r="I139" s="181"/>
      <c r="J139" s="181"/>
      <c r="K139" s="181"/>
      <c r="L139" s="181"/>
      <c r="M139" s="181"/>
      <c r="N139" s="181"/>
      <c r="O139" s="181"/>
      <c r="P139" s="181"/>
      <c r="Q139" s="181"/>
      <c r="R139" s="181"/>
      <c r="S139" s="181"/>
      <c r="T139" s="181"/>
      <c r="U139" s="181"/>
      <c r="V139" s="181"/>
      <c r="W139" s="181"/>
      <c r="X139" s="181"/>
      <c r="Y139" s="181"/>
      <c r="Z139" s="181"/>
    </row>
    <row r="140" customFormat="false" ht="15.75" hidden="false" customHeight="false" outlineLevel="0" collapsed="false">
      <c r="A140" s="181"/>
      <c r="B140" s="181"/>
      <c r="C140" s="181"/>
      <c r="D140" s="181"/>
      <c r="E140" s="181"/>
      <c r="F140" s="181"/>
      <c r="G140" s="181"/>
      <c r="H140" s="181"/>
      <c r="I140" s="181"/>
      <c r="J140" s="181"/>
      <c r="K140" s="181"/>
      <c r="L140" s="181"/>
      <c r="M140" s="181"/>
      <c r="N140" s="181"/>
      <c r="O140" s="181"/>
      <c r="P140" s="181"/>
      <c r="Q140" s="181"/>
      <c r="R140" s="181"/>
      <c r="S140" s="181"/>
      <c r="T140" s="181"/>
      <c r="U140" s="181"/>
      <c r="V140" s="181"/>
      <c r="W140" s="181"/>
      <c r="X140" s="181"/>
      <c r="Y140" s="181"/>
      <c r="Z140" s="181"/>
    </row>
    <row r="141" customFormat="false" ht="15.75" hidden="false" customHeight="false" outlineLevel="0" collapsed="false">
      <c r="A141" s="181"/>
      <c r="B141" s="181"/>
      <c r="C141" s="181"/>
      <c r="D141" s="181"/>
      <c r="E141" s="181"/>
      <c r="F141" s="181"/>
      <c r="G141" s="181"/>
      <c r="H141" s="181"/>
      <c r="I141" s="181"/>
      <c r="J141" s="181"/>
      <c r="K141" s="181"/>
      <c r="L141" s="181"/>
      <c r="M141" s="181"/>
      <c r="N141" s="181"/>
      <c r="O141" s="181"/>
      <c r="P141" s="181"/>
      <c r="Q141" s="181"/>
      <c r="R141" s="181"/>
      <c r="S141" s="181"/>
      <c r="T141" s="181"/>
      <c r="U141" s="181"/>
      <c r="V141" s="181"/>
      <c r="W141" s="181"/>
      <c r="X141" s="181"/>
      <c r="Y141" s="181"/>
      <c r="Z141" s="181"/>
    </row>
    <row r="142" customFormat="false" ht="15.75" hidden="false" customHeight="false" outlineLevel="0" collapsed="false">
      <c r="A142" s="181"/>
      <c r="B142" s="181"/>
      <c r="C142" s="181"/>
      <c r="D142" s="181"/>
      <c r="E142" s="181"/>
      <c r="F142" s="181"/>
      <c r="G142" s="181"/>
      <c r="H142" s="181"/>
      <c r="I142" s="181"/>
      <c r="J142" s="181"/>
      <c r="K142" s="181"/>
      <c r="L142" s="181"/>
      <c r="M142" s="181"/>
      <c r="N142" s="181"/>
      <c r="O142" s="181"/>
      <c r="P142" s="181"/>
      <c r="Q142" s="181"/>
      <c r="R142" s="181"/>
      <c r="S142" s="181"/>
      <c r="T142" s="181"/>
      <c r="U142" s="181"/>
      <c r="V142" s="181"/>
      <c r="W142" s="181"/>
      <c r="X142" s="181"/>
      <c r="Y142" s="181"/>
      <c r="Z142" s="181"/>
    </row>
    <row r="143" customFormat="false" ht="15.75" hidden="false" customHeight="false" outlineLevel="0" collapsed="false">
      <c r="A143" s="181"/>
      <c r="B143" s="181"/>
      <c r="C143" s="181"/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</row>
    <row r="144" customFormat="false" ht="15.75" hidden="false" customHeight="false" outlineLevel="0" collapsed="false">
      <c r="A144" s="181"/>
      <c r="B144" s="181"/>
      <c r="C144" s="181"/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</row>
    <row r="145" customFormat="false" ht="15.75" hidden="false" customHeight="false" outlineLevel="0" collapsed="false">
      <c r="A145" s="181"/>
      <c r="B145" s="181"/>
      <c r="C145" s="181"/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</row>
    <row r="146" customFormat="false" ht="15.75" hidden="false" customHeight="false" outlineLevel="0" collapsed="false">
      <c r="A146" s="181"/>
      <c r="B146" s="181"/>
      <c r="C146" s="181"/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</row>
    <row r="147" customFormat="false" ht="15.75" hidden="false" customHeight="false" outlineLevel="0" collapsed="false">
      <c r="A147" s="181"/>
      <c r="B147" s="181"/>
      <c r="C147" s="181"/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</row>
    <row r="148" customFormat="false" ht="15.75" hidden="false" customHeight="false" outlineLevel="0" collapsed="false">
      <c r="A148" s="181"/>
      <c r="B148" s="181"/>
      <c r="C148" s="181"/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</row>
    <row r="149" customFormat="false" ht="15.75" hidden="false" customHeight="false" outlineLevel="0" collapsed="false">
      <c r="A149" s="181"/>
      <c r="B149" s="181"/>
      <c r="C149" s="181"/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</row>
    <row r="150" customFormat="false" ht="15.75" hidden="false" customHeight="false" outlineLevel="0" collapsed="false">
      <c r="A150" s="181"/>
      <c r="B150" s="181"/>
      <c r="C150" s="181"/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</row>
    <row r="151" customFormat="false" ht="15.75" hidden="false" customHeight="false" outlineLevel="0" collapsed="false">
      <c r="A151" s="181"/>
      <c r="B151" s="181"/>
      <c r="C151" s="181"/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</row>
    <row r="152" customFormat="false" ht="15.75" hidden="false" customHeight="false" outlineLevel="0" collapsed="false">
      <c r="A152" s="181"/>
      <c r="B152" s="181"/>
      <c r="C152" s="181"/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</row>
    <row r="153" customFormat="false" ht="15.75" hidden="false" customHeight="false" outlineLevel="0" collapsed="false">
      <c r="A153" s="181"/>
      <c r="B153" s="181"/>
      <c r="C153" s="181"/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</row>
    <row r="154" customFormat="false" ht="15.75" hidden="false" customHeight="false" outlineLevel="0" collapsed="false">
      <c r="A154" s="181"/>
      <c r="B154" s="181"/>
      <c r="C154" s="181"/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</row>
    <row r="155" customFormat="false" ht="15.75" hidden="false" customHeight="false" outlineLevel="0" collapsed="false">
      <c r="A155" s="181"/>
      <c r="B155" s="181"/>
      <c r="C155" s="181"/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</row>
    <row r="156" customFormat="false" ht="15.75" hidden="false" customHeight="false" outlineLevel="0" collapsed="false">
      <c r="A156" s="181"/>
      <c r="B156" s="181"/>
      <c r="C156" s="181"/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</row>
    <row r="157" customFormat="false" ht="15.75" hidden="false" customHeight="false" outlineLevel="0" collapsed="false">
      <c r="A157" s="181"/>
      <c r="B157" s="181"/>
      <c r="C157" s="181"/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</row>
    <row r="158" customFormat="false" ht="15.75" hidden="false" customHeight="false" outlineLevel="0" collapsed="false">
      <c r="A158" s="181"/>
      <c r="B158" s="181"/>
      <c r="C158" s="181"/>
      <c r="D158" s="181"/>
      <c r="E158" s="181"/>
      <c r="F158" s="181"/>
      <c r="G158" s="181"/>
      <c r="H158" s="181"/>
      <c r="I158" s="181"/>
      <c r="J158" s="181"/>
      <c r="K158" s="181"/>
      <c r="L158" s="181"/>
      <c r="M158" s="181"/>
      <c r="N158" s="181"/>
      <c r="O158" s="181"/>
      <c r="P158" s="181"/>
      <c r="Q158" s="181"/>
      <c r="R158" s="181"/>
      <c r="S158" s="181"/>
      <c r="T158" s="181"/>
      <c r="U158" s="181"/>
      <c r="V158" s="181"/>
      <c r="W158" s="181"/>
      <c r="X158" s="181"/>
      <c r="Y158" s="181"/>
      <c r="Z158" s="181"/>
    </row>
    <row r="159" customFormat="false" ht="15.75" hidden="false" customHeight="false" outlineLevel="0" collapsed="false">
      <c r="A159" s="181"/>
      <c r="B159" s="181"/>
      <c r="C159" s="181"/>
      <c r="D159" s="181"/>
      <c r="E159" s="181"/>
      <c r="F159" s="181"/>
      <c r="G159" s="181"/>
      <c r="H159" s="181"/>
      <c r="I159" s="181"/>
      <c r="J159" s="181"/>
      <c r="K159" s="181"/>
      <c r="L159" s="181"/>
      <c r="M159" s="181"/>
      <c r="N159" s="181"/>
      <c r="O159" s="181"/>
      <c r="P159" s="181"/>
      <c r="Q159" s="181"/>
      <c r="R159" s="181"/>
      <c r="S159" s="181"/>
      <c r="T159" s="181"/>
      <c r="U159" s="181"/>
      <c r="V159" s="181"/>
      <c r="W159" s="181"/>
      <c r="X159" s="181"/>
      <c r="Y159" s="181"/>
      <c r="Z159" s="181"/>
    </row>
    <row r="160" customFormat="false" ht="15.75" hidden="false" customHeight="false" outlineLevel="0" collapsed="false">
      <c r="A160" s="181"/>
      <c r="B160" s="181"/>
      <c r="C160" s="181"/>
      <c r="D160" s="181"/>
      <c r="E160" s="181"/>
      <c r="F160" s="181"/>
      <c r="G160" s="181"/>
      <c r="H160" s="181"/>
      <c r="I160" s="181"/>
      <c r="J160" s="181"/>
      <c r="K160" s="181"/>
      <c r="L160" s="181"/>
      <c r="M160" s="181"/>
      <c r="N160" s="181"/>
      <c r="O160" s="181"/>
      <c r="P160" s="181"/>
      <c r="Q160" s="181"/>
      <c r="R160" s="181"/>
      <c r="S160" s="181"/>
      <c r="T160" s="181"/>
      <c r="U160" s="181"/>
      <c r="V160" s="181"/>
      <c r="W160" s="181"/>
      <c r="X160" s="181"/>
      <c r="Y160" s="181"/>
      <c r="Z160" s="181"/>
    </row>
    <row r="161" customFormat="false" ht="15.75" hidden="false" customHeight="false" outlineLevel="0" collapsed="false">
      <c r="A161" s="181"/>
      <c r="B161" s="181"/>
      <c r="C161" s="181"/>
      <c r="D161" s="181"/>
      <c r="E161" s="181"/>
      <c r="F161" s="181"/>
      <c r="G161" s="181"/>
      <c r="H161" s="181"/>
      <c r="I161" s="181"/>
      <c r="J161" s="181"/>
      <c r="K161" s="181"/>
      <c r="L161" s="181"/>
      <c r="M161" s="181"/>
      <c r="N161" s="181"/>
      <c r="O161" s="181"/>
      <c r="P161" s="181"/>
      <c r="Q161" s="181"/>
      <c r="R161" s="181"/>
      <c r="S161" s="181"/>
      <c r="T161" s="181"/>
      <c r="U161" s="181"/>
      <c r="V161" s="181"/>
      <c r="W161" s="181"/>
      <c r="X161" s="181"/>
      <c r="Y161" s="181"/>
      <c r="Z161" s="181"/>
    </row>
    <row r="162" customFormat="false" ht="15.75" hidden="false" customHeight="false" outlineLevel="0" collapsed="false">
      <c r="A162" s="181"/>
      <c r="B162" s="181"/>
      <c r="C162" s="181"/>
      <c r="D162" s="181"/>
      <c r="E162" s="181"/>
      <c r="F162" s="181"/>
      <c r="G162" s="181"/>
      <c r="H162" s="181"/>
      <c r="I162" s="181"/>
      <c r="J162" s="181"/>
      <c r="K162" s="181"/>
      <c r="L162" s="181"/>
      <c r="M162" s="181"/>
      <c r="N162" s="181"/>
      <c r="O162" s="181"/>
      <c r="P162" s="181"/>
      <c r="Q162" s="181"/>
      <c r="R162" s="181"/>
      <c r="S162" s="181"/>
      <c r="T162" s="181"/>
      <c r="U162" s="181"/>
      <c r="V162" s="181"/>
      <c r="W162" s="181"/>
      <c r="X162" s="181"/>
      <c r="Y162" s="181"/>
      <c r="Z162" s="181"/>
    </row>
    <row r="163" customFormat="false" ht="15.75" hidden="false" customHeight="false" outlineLevel="0" collapsed="false">
      <c r="A163" s="181"/>
      <c r="B163" s="181"/>
      <c r="C163" s="181"/>
      <c r="D163" s="181"/>
      <c r="E163" s="181"/>
      <c r="F163" s="181"/>
      <c r="G163" s="181"/>
      <c r="H163" s="181"/>
      <c r="I163" s="181"/>
      <c r="J163" s="181"/>
      <c r="K163" s="181"/>
      <c r="L163" s="181"/>
      <c r="M163" s="181"/>
      <c r="N163" s="181"/>
      <c r="O163" s="181"/>
      <c r="P163" s="181"/>
      <c r="Q163" s="181"/>
      <c r="R163" s="181"/>
      <c r="S163" s="181"/>
      <c r="T163" s="181"/>
      <c r="U163" s="181"/>
      <c r="V163" s="181"/>
      <c r="W163" s="181"/>
      <c r="X163" s="181"/>
      <c r="Y163" s="181"/>
      <c r="Z163" s="181"/>
    </row>
    <row r="164" customFormat="false" ht="15.75" hidden="false" customHeight="false" outlineLevel="0" collapsed="false">
      <c r="A164" s="181"/>
      <c r="B164" s="181"/>
      <c r="C164" s="181"/>
      <c r="D164" s="181"/>
      <c r="E164" s="181"/>
      <c r="F164" s="181"/>
      <c r="G164" s="181"/>
      <c r="H164" s="181"/>
      <c r="I164" s="181"/>
      <c r="J164" s="181"/>
      <c r="K164" s="181"/>
      <c r="L164" s="181"/>
      <c r="M164" s="181"/>
      <c r="N164" s="181"/>
      <c r="O164" s="181"/>
      <c r="P164" s="181"/>
      <c r="Q164" s="181"/>
      <c r="R164" s="181"/>
      <c r="S164" s="181"/>
      <c r="T164" s="181"/>
      <c r="U164" s="181"/>
      <c r="V164" s="181"/>
      <c r="W164" s="181"/>
      <c r="X164" s="181"/>
      <c r="Y164" s="181"/>
      <c r="Z164" s="181"/>
    </row>
    <row r="165" customFormat="false" ht="15.75" hidden="false" customHeight="false" outlineLevel="0" collapsed="false">
      <c r="A165" s="181"/>
      <c r="B165" s="181"/>
      <c r="C165" s="181"/>
      <c r="D165" s="181"/>
      <c r="E165" s="181"/>
      <c r="F165" s="181"/>
      <c r="G165" s="181"/>
      <c r="H165" s="181"/>
      <c r="I165" s="181"/>
      <c r="J165" s="181"/>
      <c r="K165" s="181"/>
      <c r="L165" s="181"/>
      <c r="M165" s="181"/>
      <c r="N165" s="181"/>
      <c r="O165" s="181"/>
      <c r="P165" s="181"/>
      <c r="Q165" s="181"/>
      <c r="R165" s="181"/>
      <c r="S165" s="181"/>
      <c r="T165" s="181"/>
      <c r="U165" s="181"/>
      <c r="V165" s="181"/>
      <c r="W165" s="181"/>
      <c r="X165" s="181"/>
      <c r="Y165" s="181"/>
      <c r="Z165" s="181"/>
    </row>
    <row r="166" customFormat="false" ht="15.75" hidden="false" customHeight="false" outlineLevel="0" collapsed="false">
      <c r="A166" s="181"/>
      <c r="B166" s="181"/>
      <c r="C166" s="181"/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</row>
    <row r="167" customFormat="false" ht="15.75" hidden="false" customHeight="false" outlineLevel="0" collapsed="false">
      <c r="A167" s="181"/>
      <c r="B167" s="181"/>
      <c r="C167" s="181"/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</row>
    <row r="168" customFormat="false" ht="15.75" hidden="false" customHeight="false" outlineLevel="0" collapsed="false">
      <c r="A168" s="181"/>
      <c r="B168" s="181"/>
      <c r="C168" s="181"/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</row>
    <row r="169" customFormat="false" ht="15.75" hidden="false" customHeight="false" outlineLevel="0" collapsed="false">
      <c r="A169" s="181"/>
      <c r="B169" s="181"/>
      <c r="C169" s="181"/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</row>
    <row r="170" customFormat="false" ht="15.75" hidden="false" customHeight="false" outlineLevel="0" collapsed="false">
      <c r="A170" s="181"/>
      <c r="B170" s="181"/>
      <c r="C170" s="181"/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</row>
    <row r="171" customFormat="false" ht="15.75" hidden="false" customHeight="false" outlineLevel="0" collapsed="false">
      <c r="A171" s="181"/>
      <c r="B171" s="181"/>
      <c r="C171" s="181"/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</row>
    <row r="172" customFormat="false" ht="15.75" hidden="false" customHeight="false" outlineLevel="0" collapsed="false">
      <c r="A172" s="181"/>
      <c r="B172" s="181"/>
      <c r="C172" s="181"/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</row>
    <row r="173" customFormat="false" ht="15.75" hidden="false" customHeight="false" outlineLevel="0" collapsed="false">
      <c r="A173" s="181"/>
      <c r="B173" s="181"/>
      <c r="C173" s="181"/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</row>
    <row r="174" customFormat="false" ht="15.75" hidden="false" customHeight="false" outlineLevel="0" collapsed="false">
      <c r="A174" s="181"/>
      <c r="B174" s="181"/>
      <c r="C174" s="181"/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</row>
    <row r="175" customFormat="false" ht="15.75" hidden="false" customHeight="false" outlineLevel="0" collapsed="false">
      <c r="A175" s="181"/>
      <c r="B175" s="181"/>
      <c r="C175" s="181"/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</row>
    <row r="176" customFormat="false" ht="15.75" hidden="false" customHeight="false" outlineLevel="0" collapsed="false">
      <c r="A176" s="181"/>
      <c r="B176" s="181"/>
      <c r="C176" s="181"/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</row>
    <row r="177" customFormat="false" ht="15.75" hidden="false" customHeight="false" outlineLevel="0" collapsed="false">
      <c r="A177" s="181"/>
      <c r="B177" s="181"/>
      <c r="C177" s="181"/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</row>
    <row r="178" customFormat="false" ht="15.75" hidden="false" customHeight="false" outlineLevel="0" collapsed="false">
      <c r="A178" s="181"/>
      <c r="B178" s="181"/>
      <c r="C178" s="181"/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</row>
    <row r="179" customFormat="false" ht="15.75" hidden="false" customHeight="false" outlineLevel="0" collapsed="false">
      <c r="A179" s="181"/>
      <c r="B179" s="181"/>
      <c r="C179" s="181"/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</row>
    <row r="180" customFormat="false" ht="15.75" hidden="false" customHeight="false" outlineLevel="0" collapsed="false">
      <c r="A180" s="181"/>
      <c r="B180" s="181"/>
      <c r="C180" s="181"/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</row>
    <row r="181" customFormat="false" ht="15.75" hidden="false" customHeight="false" outlineLevel="0" collapsed="false">
      <c r="A181" s="181"/>
      <c r="B181" s="181"/>
      <c r="C181" s="181"/>
      <c r="D181" s="181"/>
      <c r="E181" s="181"/>
      <c r="F181" s="181"/>
      <c r="G181" s="181"/>
      <c r="H181" s="181"/>
      <c r="I181" s="181"/>
      <c r="J181" s="181"/>
      <c r="K181" s="181"/>
      <c r="L181" s="181"/>
      <c r="M181" s="181"/>
      <c r="N181" s="181"/>
      <c r="O181" s="181"/>
      <c r="P181" s="181"/>
      <c r="Q181" s="181"/>
      <c r="R181" s="181"/>
      <c r="S181" s="181"/>
      <c r="T181" s="181"/>
      <c r="U181" s="181"/>
      <c r="V181" s="181"/>
      <c r="W181" s="181"/>
      <c r="X181" s="181"/>
      <c r="Y181" s="181"/>
      <c r="Z181" s="181"/>
    </row>
    <row r="182" customFormat="false" ht="15.75" hidden="false" customHeight="false" outlineLevel="0" collapsed="false">
      <c r="A182" s="181"/>
      <c r="B182" s="181"/>
      <c r="C182" s="181"/>
      <c r="D182" s="181"/>
      <c r="E182" s="181"/>
      <c r="F182" s="181"/>
      <c r="G182" s="181"/>
      <c r="H182" s="181"/>
      <c r="I182" s="181"/>
      <c r="J182" s="181"/>
      <c r="K182" s="181"/>
      <c r="L182" s="181"/>
      <c r="M182" s="181"/>
      <c r="N182" s="181"/>
      <c r="O182" s="181"/>
      <c r="P182" s="181"/>
      <c r="Q182" s="181"/>
      <c r="R182" s="181"/>
      <c r="S182" s="181"/>
      <c r="T182" s="181"/>
      <c r="U182" s="181"/>
      <c r="V182" s="181"/>
      <c r="W182" s="181"/>
      <c r="X182" s="181"/>
      <c r="Y182" s="181"/>
      <c r="Z182" s="181"/>
    </row>
    <row r="183" customFormat="false" ht="15.75" hidden="false" customHeight="false" outlineLevel="0" collapsed="false">
      <c r="A183" s="181"/>
      <c r="B183" s="181"/>
      <c r="C183" s="181"/>
      <c r="D183" s="181"/>
      <c r="E183" s="181"/>
      <c r="F183" s="181"/>
      <c r="G183" s="181"/>
      <c r="H183" s="181"/>
      <c r="I183" s="181"/>
      <c r="J183" s="181"/>
      <c r="K183" s="181"/>
      <c r="L183" s="181"/>
      <c r="M183" s="181"/>
      <c r="N183" s="181"/>
      <c r="O183" s="181"/>
      <c r="P183" s="181"/>
      <c r="Q183" s="181"/>
      <c r="R183" s="181"/>
      <c r="S183" s="181"/>
      <c r="T183" s="181"/>
      <c r="U183" s="181"/>
      <c r="V183" s="181"/>
      <c r="W183" s="181"/>
      <c r="X183" s="181"/>
      <c r="Y183" s="181"/>
      <c r="Z183" s="181"/>
    </row>
    <row r="184" customFormat="false" ht="15.75" hidden="false" customHeight="false" outlineLevel="0" collapsed="false">
      <c r="A184" s="181"/>
      <c r="B184" s="181"/>
      <c r="C184" s="181"/>
      <c r="D184" s="181"/>
      <c r="E184" s="181"/>
      <c r="F184" s="181"/>
      <c r="G184" s="181"/>
      <c r="H184" s="181"/>
      <c r="I184" s="181"/>
      <c r="J184" s="181"/>
      <c r="K184" s="181"/>
      <c r="L184" s="181"/>
      <c r="M184" s="181"/>
      <c r="N184" s="181"/>
      <c r="O184" s="181"/>
      <c r="P184" s="181"/>
      <c r="Q184" s="181"/>
      <c r="R184" s="181"/>
      <c r="S184" s="181"/>
      <c r="T184" s="181"/>
      <c r="U184" s="181"/>
      <c r="V184" s="181"/>
      <c r="W184" s="181"/>
      <c r="X184" s="181"/>
      <c r="Y184" s="181"/>
      <c r="Z184" s="181"/>
    </row>
    <row r="185" customFormat="false" ht="15.75" hidden="false" customHeight="false" outlineLevel="0" collapsed="false">
      <c r="A185" s="181"/>
      <c r="B185" s="181"/>
      <c r="C185" s="181"/>
      <c r="D185" s="181"/>
      <c r="E185" s="181"/>
      <c r="F185" s="181"/>
      <c r="G185" s="181"/>
      <c r="H185" s="181"/>
      <c r="I185" s="181"/>
      <c r="J185" s="181"/>
      <c r="K185" s="181"/>
      <c r="L185" s="181"/>
      <c r="M185" s="181"/>
      <c r="N185" s="181"/>
      <c r="O185" s="181"/>
      <c r="P185" s="181"/>
      <c r="Q185" s="181"/>
      <c r="R185" s="181"/>
      <c r="S185" s="181"/>
      <c r="T185" s="181"/>
      <c r="U185" s="181"/>
      <c r="V185" s="181"/>
      <c r="W185" s="181"/>
      <c r="X185" s="181"/>
      <c r="Y185" s="181"/>
      <c r="Z185" s="181"/>
    </row>
    <row r="186" customFormat="false" ht="15.75" hidden="false" customHeight="false" outlineLevel="0" collapsed="false">
      <c r="A186" s="181"/>
      <c r="B186" s="181"/>
      <c r="C186" s="181"/>
      <c r="D186" s="181"/>
      <c r="E186" s="181"/>
      <c r="F186" s="181"/>
      <c r="G186" s="181"/>
      <c r="H186" s="181"/>
      <c r="I186" s="181"/>
      <c r="J186" s="181"/>
      <c r="K186" s="181"/>
      <c r="L186" s="181"/>
      <c r="M186" s="181"/>
      <c r="N186" s="181"/>
      <c r="O186" s="181"/>
      <c r="P186" s="181"/>
      <c r="Q186" s="181"/>
      <c r="R186" s="181"/>
      <c r="S186" s="181"/>
      <c r="T186" s="181"/>
      <c r="U186" s="181"/>
      <c r="V186" s="181"/>
      <c r="W186" s="181"/>
      <c r="X186" s="181"/>
      <c r="Y186" s="181"/>
      <c r="Z186" s="181"/>
    </row>
    <row r="187" customFormat="false" ht="15.75" hidden="false" customHeight="false" outlineLevel="0" collapsed="false">
      <c r="A187" s="181"/>
      <c r="B187" s="181"/>
      <c r="C187" s="181"/>
      <c r="D187" s="181"/>
      <c r="E187" s="181"/>
      <c r="F187" s="181"/>
      <c r="G187" s="181"/>
      <c r="H187" s="181"/>
      <c r="I187" s="181"/>
      <c r="J187" s="181"/>
      <c r="K187" s="181"/>
      <c r="L187" s="181"/>
      <c r="M187" s="181"/>
      <c r="N187" s="181"/>
      <c r="O187" s="181"/>
      <c r="P187" s="181"/>
      <c r="Q187" s="181"/>
      <c r="R187" s="181"/>
      <c r="S187" s="181"/>
      <c r="T187" s="181"/>
      <c r="U187" s="181"/>
      <c r="V187" s="181"/>
      <c r="W187" s="181"/>
      <c r="X187" s="181"/>
      <c r="Y187" s="181"/>
      <c r="Z187" s="181"/>
    </row>
    <row r="188" customFormat="false" ht="15.75" hidden="false" customHeight="false" outlineLevel="0" collapsed="false">
      <c r="A188" s="181"/>
      <c r="B188" s="181"/>
      <c r="C188" s="181"/>
      <c r="D188" s="181"/>
      <c r="E188" s="181"/>
      <c r="F188" s="181"/>
      <c r="G188" s="181"/>
      <c r="H188" s="181"/>
      <c r="I188" s="181"/>
      <c r="J188" s="181"/>
      <c r="K188" s="181"/>
      <c r="L188" s="181"/>
      <c r="M188" s="181"/>
      <c r="N188" s="181"/>
      <c r="O188" s="181"/>
      <c r="P188" s="181"/>
      <c r="Q188" s="181"/>
      <c r="R188" s="181"/>
      <c r="S188" s="181"/>
      <c r="T188" s="181"/>
      <c r="U188" s="181"/>
      <c r="V188" s="181"/>
      <c r="W188" s="181"/>
      <c r="X188" s="181"/>
      <c r="Y188" s="181"/>
      <c r="Z188" s="181"/>
    </row>
    <row r="189" customFormat="false" ht="15.75" hidden="false" customHeight="false" outlineLevel="0" collapsed="false">
      <c r="A189" s="181"/>
      <c r="B189" s="181"/>
      <c r="C189" s="181"/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</row>
    <row r="190" customFormat="false" ht="15.75" hidden="false" customHeight="false" outlineLevel="0" collapsed="false">
      <c r="A190" s="181"/>
      <c r="B190" s="181"/>
      <c r="C190" s="181"/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</row>
    <row r="191" customFormat="false" ht="15.75" hidden="false" customHeight="false" outlineLevel="0" collapsed="false">
      <c r="A191" s="181"/>
      <c r="B191" s="181"/>
      <c r="C191" s="181"/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</row>
    <row r="192" customFormat="false" ht="15.75" hidden="false" customHeight="false" outlineLevel="0" collapsed="false">
      <c r="A192" s="181"/>
      <c r="B192" s="181"/>
      <c r="C192" s="181"/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</row>
    <row r="193" customFormat="false" ht="15.75" hidden="false" customHeight="false" outlineLevel="0" collapsed="false">
      <c r="A193" s="181"/>
      <c r="B193" s="181"/>
      <c r="C193" s="181"/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</row>
    <row r="194" customFormat="false" ht="15.75" hidden="false" customHeight="false" outlineLevel="0" collapsed="false">
      <c r="A194" s="181"/>
      <c r="B194" s="181"/>
      <c r="C194" s="181"/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</row>
    <row r="195" customFormat="false" ht="15.75" hidden="false" customHeight="false" outlineLevel="0" collapsed="false">
      <c r="A195" s="181"/>
      <c r="B195" s="181"/>
      <c r="C195" s="181"/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</row>
    <row r="196" customFormat="false" ht="15.75" hidden="false" customHeight="false" outlineLevel="0" collapsed="false">
      <c r="A196" s="181"/>
      <c r="B196" s="181"/>
      <c r="C196" s="181"/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</row>
    <row r="197" customFormat="false" ht="15.75" hidden="false" customHeight="false" outlineLevel="0" collapsed="false">
      <c r="A197" s="181"/>
      <c r="B197" s="181"/>
      <c r="C197" s="181"/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</row>
    <row r="198" customFormat="false" ht="15.75" hidden="false" customHeight="false" outlineLevel="0" collapsed="false">
      <c r="A198" s="181"/>
      <c r="B198" s="181"/>
      <c r="C198" s="181"/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</row>
    <row r="199" customFormat="false" ht="15.75" hidden="false" customHeight="false" outlineLevel="0" collapsed="false">
      <c r="A199" s="181"/>
      <c r="B199" s="181"/>
      <c r="C199" s="181"/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</row>
    <row r="200" customFormat="false" ht="15.75" hidden="false" customHeight="false" outlineLevel="0" collapsed="false">
      <c r="A200" s="181"/>
      <c r="B200" s="181"/>
      <c r="C200" s="181"/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</row>
    <row r="201" customFormat="false" ht="15.75" hidden="false" customHeight="false" outlineLevel="0" collapsed="false">
      <c r="A201" s="181"/>
      <c r="B201" s="181"/>
      <c r="C201" s="181"/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</row>
    <row r="202" customFormat="false" ht="15.75" hidden="false" customHeight="false" outlineLevel="0" collapsed="false">
      <c r="A202" s="181"/>
      <c r="B202" s="181"/>
      <c r="C202" s="181"/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</row>
    <row r="203" customFormat="false" ht="15.75" hidden="false" customHeight="false" outlineLevel="0" collapsed="false">
      <c r="A203" s="181"/>
      <c r="B203" s="181"/>
      <c r="C203" s="181"/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</row>
    <row r="204" customFormat="false" ht="15.75" hidden="false" customHeight="false" outlineLevel="0" collapsed="false">
      <c r="A204" s="181"/>
      <c r="B204" s="181"/>
      <c r="C204" s="181"/>
      <c r="D204" s="181"/>
      <c r="E204" s="181"/>
      <c r="F204" s="181"/>
      <c r="G204" s="181"/>
      <c r="H204" s="181"/>
      <c r="I204" s="181"/>
      <c r="J204" s="181"/>
      <c r="K204" s="181"/>
      <c r="L204" s="181"/>
      <c r="M204" s="181"/>
      <c r="N204" s="181"/>
      <c r="O204" s="181"/>
      <c r="P204" s="181"/>
      <c r="Q204" s="181"/>
      <c r="R204" s="181"/>
      <c r="S204" s="181"/>
      <c r="T204" s="181"/>
      <c r="U204" s="181"/>
      <c r="V204" s="181"/>
      <c r="W204" s="181"/>
      <c r="X204" s="181"/>
      <c r="Y204" s="181"/>
      <c r="Z204" s="181"/>
    </row>
    <row r="205" customFormat="false" ht="15.75" hidden="false" customHeight="false" outlineLevel="0" collapsed="false">
      <c r="A205" s="181"/>
      <c r="B205" s="181"/>
      <c r="C205" s="181"/>
      <c r="D205" s="181"/>
      <c r="E205" s="181"/>
      <c r="F205" s="181"/>
      <c r="G205" s="181"/>
      <c r="H205" s="181"/>
      <c r="I205" s="181"/>
      <c r="J205" s="181"/>
      <c r="K205" s="181"/>
      <c r="L205" s="181"/>
      <c r="M205" s="181"/>
      <c r="N205" s="181"/>
      <c r="O205" s="181"/>
      <c r="P205" s="181"/>
      <c r="Q205" s="181"/>
      <c r="R205" s="181"/>
      <c r="S205" s="181"/>
      <c r="T205" s="181"/>
      <c r="U205" s="181"/>
      <c r="V205" s="181"/>
      <c r="W205" s="181"/>
      <c r="X205" s="181"/>
      <c r="Y205" s="181"/>
      <c r="Z205" s="181"/>
    </row>
    <row r="206" customFormat="false" ht="15.75" hidden="false" customHeight="false" outlineLevel="0" collapsed="false">
      <c r="A206" s="181"/>
      <c r="B206" s="181"/>
      <c r="C206" s="181"/>
      <c r="D206" s="181"/>
      <c r="E206" s="181"/>
      <c r="F206" s="181"/>
      <c r="G206" s="181"/>
      <c r="H206" s="181"/>
      <c r="I206" s="181"/>
      <c r="J206" s="181"/>
      <c r="K206" s="181"/>
      <c r="L206" s="181"/>
      <c r="M206" s="181"/>
      <c r="N206" s="181"/>
      <c r="O206" s="181"/>
      <c r="P206" s="181"/>
      <c r="Q206" s="181"/>
      <c r="R206" s="181"/>
      <c r="S206" s="181"/>
      <c r="T206" s="181"/>
      <c r="U206" s="181"/>
      <c r="V206" s="181"/>
      <c r="W206" s="181"/>
      <c r="X206" s="181"/>
      <c r="Y206" s="181"/>
      <c r="Z206" s="181"/>
    </row>
    <row r="207" customFormat="false" ht="15.75" hidden="false" customHeight="false" outlineLevel="0" collapsed="false">
      <c r="A207" s="181"/>
      <c r="B207" s="181"/>
      <c r="C207" s="181"/>
      <c r="D207" s="181"/>
      <c r="E207" s="181"/>
      <c r="F207" s="181"/>
      <c r="G207" s="181"/>
      <c r="H207" s="181"/>
      <c r="I207" s="181"/>
      <c r="J207" s="181"/>
      <c r="K207" s="181"/>
      <c r="L207" s="181"/>
      <c r="M207" s="181"/>
      <c r="N207" s="181"/>
      <c r="O207" s="181"/>
      <c r="P207" s="181"/>
      <c r="Q207" s="181"/>
      <c r="R207" s="181"/>
      <c r="S207" s="181"/>
      <c r="T207" s="181"/>
      <c r="U207" s="181"/>
      <c r="V207" s="181"/>
      <c r="W207" s="181"/>
      <c r="X207" s="181"/>
      <c r="Y207" s="181"/>
      <c r="Z207" s="181"/>
    </row>
    <row r="208" customFormat="false" ht="15.75" hidden="false" customHeight="false" outlineLevel="0" collapsed="false">
      <c r="A208" s="181"/>
      <c r="B208" s="181"/>
      <c r="C208" s="181"/>
      <c r="D208" s="181"/>
      <c r="E208" s="181"/>
      <c r="F208" s="181"/>
      <c r="G208" s="181"/>
      <c r="H208" s="181"/>
      <c r="I208" s="181"/>
      <c r="J208" s="181"/>
      <c r="K208" s="181"/>
      <c r="L208" s="181"/>
      <c r="M208" s="181"/>
      <c r="N208" s="181"/>
      <c r="O208" s="181"/>
      <c r="P208" s="181"/>
      <c r="Q208" s="181"/>
      <c r="R208" s="181"/>
      <c r="S208" s="181"/>
      <c r="T208" s="181"/>
      <c r="U208" s="181"/>
      <c r="V208" s="181"/>
      <c r="W208" s="181"/>
      <c r="X208" s="181"/>
      <c r="Y208" s="181"/>
      <c r="Z208" s="181"/>
    </row>
    <row r="209" customFormat="false" ht="15.75" hidden="false" customHeight="false" outlineLevel="0" collapsed="false">
      <c r="A209" s="181"/>
      <c r="B209" s="181"/>
      <c r="C209" s="181"/>
      <c r="D209" s="181"/>
      <c r="E209" s="181"/>
      <c r="F209" s="181"/>
      <c r="G209" s="181"/>
      <c r="H209" s="181"/>
      <c r="I209" s="181"/>
      <c r="J209" s="181"/>
      <c r="K209" s="181"/>
      <c r="L209" s="181"/>
      <c r="M209" s="181"/>
      <c r="N209" s="181"/>
      <c r="O209" s="181"/>
      <c r="P209" s="181"/>
      <c r="Q209" s="181"/>
      <c r="R209" s="181"/>
      <c r="S209" s="181"/>
      <c r="T209" s="181"/>
      <c r="U209" s="181"/>
      <c r="V209" s="181"/>
      <c r="W209" s="181"/>
      <c r="X209" s="181"/>
      <c r="Y209" s="181"/>
      <c r="Z209" s="181"/>
    </row>
    <row r="210" customFormat="false" ht="15.75" hidden="false" customHeight="false" outlineLevel="0" collapsed="false">
      <c r="A210" s="181"/>
      <c r="B210" s="181"/>
      <c r="C210" s="181"/>
      <c r="D210" s="181"/>
      <c r="E210" s="181"/>
      <c r="F210" s="181"/>
      <c r="G210" s="181"/>
      <c r="H210" s="181"/>
      <c r="I210" s="181"/>
      <c r="J210" s="181"/>
      <c r="K210" s="181"/>
      <c r="L210" s="181"/>
      <c r="M210" s="181"/>
      <c r="N210" s="181"/>
      <c r="O210" s="181"/>
      <c r="P210" s="181"/>
      <c r="Q210" s="181"/>
      <c r="R210" s="181"/>
      <c r="S210" s="181"/>
      <c r="T210" s="181"/>
      <c r="U210" s="181"/>
      <c r="V210" s="181"/>
      <c r="W210" s="181"/>
      <c r="X210" s="181"/>
      <c r="Y210" s="181"/>
      <c r="Z210" s="181"/>
    </row>
    <row r="211" customFormat="false" ht="15.75" hidden="false" customHeight="false" outlineLevel="0" collapsed="false">
      <c r="A211" s="181"/>
      <c r="B211" s="181"/>
      <c r="C211" s="181"/>
      <c r="D211" s="181"/>
      <c r="E211" s="181"/>
      <c r="F211" s="181"/>
      <c r="G211" s="181"/>
      <c r="H211" s="181"/>
      <c r="I211" s="181"/>
      <c r="J211" s="181"/>
      <c r="K211" s="181"/>
      <c r="L211" s="181"/>
      <c r="M211" s="181"/>
      <c r="N211" s="181"/>
      <c r="O211" s="181"/>
      <c r="P211" s="181"/>
      <c r="Q211" s="181"/>
      <c r="R211" s="181"/>
      <c r="S211" s="181"/>
      <c r="T211" s="181"/>
      <c r="U211" s="181"/>
      <c r="V211" s="181"/>
      <c r="W211" s="181"/>
      <c r="X211" s="181"/>
      <c r="Y211" s="181"/>
      <c r="Z211" s="181"/>
    </row>
    <row r="212" customFormat="false" ht="15.75" hidden="false" customHeight="false" outlineLevel="0" collapsed="false">
      <c r="A212" s="181"/>
      <c r="B212" s="181"/>
      <c r="C212" s="181"/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</row>
    <row r="213" customFormat="false" ht="15.75" hidden="false" customHeight="false" outlineLevel="0" collapsed="false">
      <c r="A213" s="181"/>
      <c r="B213" s="181"/>
      <c r="C213" s="181"/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</row>
    <row r="214" customFormat="false" ht="15.75" hidden="false" customHeight="false" outlineLevel="0" collapsed="false">
      <c r="A214" s="181"/>
      <c r="B214" s="181"/>
      <c r="C214" s="181"/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</row>
    <row r="215" customFormat="false" ht="15.75" hidden="false" customHeight="false" outlineLevel="0" collapsed="false">
      <c r="A215" s="181"/>
      <c r="B215" s="181"/>
      <c r="C215" s="181"/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</row>
    <row r="216" customFormat="false" ht="15.75" hidden="false" customHeight="false" outlineLevel="0" collapsed="false">
      <c r="A216" s="181"/>
      <c r="B216" s="181"/>
      <c r="C216" s="181"/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</row>
    <row r="217" customFormat="false" ht="15.75" hidden="false" customHeight="false" outlineLevel="0" collapsed="false">
      <c r="A217" s="181"/>
      <c r="B217" s="181"/>
      <c r="C217" s="181"/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</row>
    <row r="218" customFormat="false" ht="15.75" hidden="false" customHeight="false" outlineLevel="0" collapsed="false">
      <c r="A218" s="181"/>
      <c r="B218" s="181"/>
      <c r="C218" s="181"/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</row>
    <row r="219" customFormat="false" ht="15.75" hidden="false" customHeight="false" outlineLevel="0" collapsed="false">
      <c r="A219" s="181"/>
      <c r="B219" s="181"/>
      <c r="C219" s="181"/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</row>
    <row r="220" customFormat="false" ht="15.75" hidden="false" customHeight="false" outlineLevel="0" collapsed="false">
      <c r="A220" s="181"/>
      <c r="B220" s="181"/>
      <c r="C220" s="181"/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</row>
    <row r="221" customFormat="false" ht="15.75" hidden="false" customHeight="false" outlineLevel="0" collapsed="false">
      <c r="A221" s="181"/>
      <c r="B221" s="181"/>
      <c r="C221" s="181"/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</row>
    <row r="222" customFormat="false" ht="15.75" hidden="false" customHeight="false" outlineLevel="0" collapsed="false">
      <c r="A222" s="181"/>
      <c r="B222" s="181"/>
      <c r="C222" s="181"/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</row>
    <row r="223" customFormat="false" ht="15.75" hidden="false" customHeight="false" outlineLevel="0" collapsed="false">
      <c r="A223" s="181"/>
      <c r="B223" s="181"/>
      <c r="C223" s="181"/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</row>
    <row r="224" customFormat="false" ht="15.75" hidden="false" customHeight="false" outlineLevel="0" collapsed="false">
      <c r="A224" s="181"/>
      <c r="B224" s="181"/>
      <c r="C224" s="181"/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</row>
    <row r="225" customFormat="false" ht="15.75" hidden="false" customHeight="false" outlineLevel="0" collapsed="false">
      <c r="A225" s="181"/>
      <c r="B225" s="181"/>
      <c r="C225" s="181"/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</row>
    <row r="226" customFormat="false" ht="15.75" hidden="false" customHeight="false" outlineLevel="0" collapsed="false">
      <c r="A226" s="181"/>
      <c r="B226" s="181"/>
      <c r="C226" s="181"/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</row>
    <row r="227" customFormat="false" ht="15.75" hidden="false" customHeight="false" outlineLevel="0" collapsed="false">
      <c r="A227" s="181"/>
      <c r="B227" s="181"/>
      <c r="C227" s="181"/>
      <c r="D227" s="181"/>
      <c r="E227" s="181"/>
      <c r="F227" s="181"/>
      <c r="G227" s="181"/>
      <c r="H227" s="181"/>
      <c r="I227" s="181"/>
      <c r="J227" s="181"/>
      <c r="K227" s="181"/>
      <c r="L227" s="181"/>
      <c r="M227" s="181"/>
      <c r="N227" s="181"/>
      <c r="O227" s="181"/>
      <c r="P227" s="181"/>
      <c r="Q227" s="181"/>
      <c r="R227" s="181"/>
      <c r="S227" s="181"/>
      <c r="T227" s="181"/>
      <c r="U227" s="181"/>
      <c r="V227" s="181"/>
      <c r="W227" s="181"/>
      <c r="X227" s="181"/>
      <c r="Y227" s="181"/>
      <c r="Z227" s="181"/>
    </row>
    <row r="228" customFormat="false" ht="15.75" hidden="false" customHeight="false" outlineLevel="0" collapsed="false">
      <c r="A228" s="181"/>
      <c r="B228" s="181"/>
      <c r="C228" s="181"/>
      <c r="D228" s="181"/>
      <c r="E228" s="181"/>
      <c r="F228" s="181"/>
      <c r="G228" s="181"/>
      <c r="H228" s="181"/>
      <c r="I228" s="181"/>
      <c r="J228" s="181"/>
      <c r="K228" s="181"/>
      <c r="L228" s="181"/>
      <c r="M228" s="181"/>
      <c r="N228" s="181"/>
      <c r="O228" s="181"/>
      <c r="P228" s="181"/>
      <c r="Q228" s="181"/>
      <c r="R228" s="181"/>
      <c r="S228" s="181"/>
      <c r="T228" s="181"/>
      <c r="U228" s="181"/>
      <c r="V228" s="181"/>
      <c r="W228" s="181"/>
      <c r="X228" s="181"/>
      <c r="Y228" s="181"/>
      <c r="Z228" s="181"/>
    </row>
    <row r="229" customFormat="false" ht="15.75" hidden="false" customHeight="false" outlineLevel="0" collapsed="false">
      <c r="A229" s="181"/>
      <c r="B229" s="181"/>
      <c r="C229" s="181"/>
      <c r="D229" s="181"/>
      <c r="E229" s="181"/>
      <c r="F229" s="181"/>
      <c r="G229" s="181"/>
      <c r="H229" s="181"/>
      <c r="I229" s="181"/>
      <c r="J229" s="181"/>
      <c r="K229" s="181"/>
      <c r="L229" s="181"/>
      <c r="M229" s="181"/>
      <c r="N229" s="181"/>
      <c r="O229" s="181"/>
      <c r="P229" s="181"/>
      <c r="Q229" s="181"/>
      <c r="R229" s="181"/>
      <c r="S229" s="181"/>
      <c r="T229" s="181"/>
      <c r="U229" s="181"/>
      <c r="V229" s="181"/>
      <c r="W229" s="181"/>
      <c r="X229" s="181"/>
      <c r="Y229" s="181"/>
      <c r="Z229" s="181"/>
    </row>
    <row r="230" customFormat="false" ht="15.75" hidden="false" customHeight="false" outlineLevel="0" collapsed="false">
      <c r="A230" s="181"/>
      <c r="B230" s="181"/>
      <c r="C230" s="181"/>
      <c r="D230" s="181"/>
      <c r="E230" s="181"/>
      <c r="F230" s="181"/>
      <c r="G230" s="181"/>
      <c r="H230" s="181"/>
      <c r="I230" s="181"/>
      <c r="J230" s="181"/>
      <c r="K230" s="181"/>
      <c r="L230" s="181"/>
      <c r="M230" s="181"/>
      <c r="N230" s="181"/>
      <c r="O230" s="181"/>
      <c r="P230" s="181"/>
      <c r="Q230" s="181"/>
      <c r="R230" s="181"/>
      <c r="S230" s="181"/>
      <c r="T230" s="181"/>
      <c r="U230" s="181"/>
      <c r="V230" s="181"/>
      <c r="W230" s="181"/>
      <c r="X230" s="181"/>
      <c r="Y230" s="181"/>
      <c r="Z230" s="181"/>
    </row>
    <row r="231" customFormat="false" ht="15.75" hidden="false" customHeight="false" outlineLevel="0" collapsed="false">
      <c r="A231" s="181"/>
      <c r="B231" s="181"/>
      <c r="C231" s="181"/>
      <c r="D231" s="181"/>
      <c r="E231" s="181"/>
      <c r="F231" s="181"/>
      <c r="G231" s="181"/>
      <c r="H231" s="181"/>
      <c r="I231" s="181"/>
      <c r="J231" s="181"/>
      <c r="K231" s="181"/>
      <c r="L231" s="181"/>
      <c r="M231" s="181"/>
      <c r="N231" s="181"/>
      <c r="O231" s="181"/>
      <c r="P231" s="181"/>
      <c r="Q231" s="181"/>
      <c r="R231" s="181"/>
      <c r="S231" s="181"/>
      <c r="T231" s="181"/>
      <c r="U231" s="181"/>
      <c r="V231" s="181"/>
      <c r="W231" s="181"/>
      <c r="X231" s="181"/>
      <c r="Y231" s="181"/>
      <c r="Z231" s="181"/>
    </row>
    <row r="232" customFormat="false" ht="15.75" hidden="false" customHeight="false" outlineLevel="0" collapsed="false">
      <c r="A232" s="181"/>
      <c r="B232" s="181"/>
      <c r="C232" s="181"/>
      <c r="D232" s="181"/>
      <c r="E232" s="181"/>
      <c r="F232" s="181"/>
      <c r="G232" s="181"/>
      <c r="H232" s="181"/>
      <c r="I232" s="181"/>
      <c r="J232" s="181"/>
      <c r="K232" s="181"/>
      <c r="L232" s="181"/>
      <c r="M232" s="181"/>
      <c r="N232" s="181"/>
      <c r="O232" s="181"/>
      <c r="P232" s="181"/>
      <c r="Q232" s="181"/>
      <c r="R232" s="181"/>
      <c r="S232" s="181"/>
      <c r="T232" s="181"/>
      <c r="U232" s="181"/>
      <c r="V232" s="181"/>
      <c r="W232" s="181"/>
      <c r="X232" s="181"/>
      <c r="Y232" s="181"/>
      <c r="Z232" s="181"/>
    </row>
    <row r="233" customFormat="false" ht="15.75" hidden="false" customHeight="false" outlineLevel="0" collapsed="false">
      <c r="A233" s="181"/>
      <c r="B233" s="181"/>
      <c r="C233" s="181"/>
      <c r="D233" s="181"/>
      <c r="E233" s="181"/>
      <c r="F233" s="181"/>
      <c r="G233" s="181"/>
      <c r="H233" s="181"/>
      <c r="I233" s="181"/>
      <c r="J233" s="181"/>
      <c r="K233" s="181"/>
      <c r="L233" s="181"/>
      <c r="M233" s="181"/>
      <c r="N233" s="181"/>
      <c r="O233" s="181"/>
      <c r="P233" s="181"/>
      <c r="Q233" s="181"/>
      <c r="R233" s="181"/>
      <c r="S233" s="181"/>
      <c r="T233" s="181"/>
      <c r="U233" s="181"/>
      <c r="V233" s="181"/>
      <c r="W233" s="181"/>
      <c r="X233" s="181"/>
      <c r="Y233" s="181"/>
      <c r="Z233" s="181"/>
    </row>
    <row r="234" customFormat="false" ht="15.75" hidden="false" customHeight="false" outlineLevel="0" collapsed="false">
      <c r="A234" s="181"/>
      <c r="B234" s="181"/>
      <c r="C234" s="181"/>
      <c r="D234" s="181"/>
      <c r="E234" s="181"/>
      <c r="F234" s="181"/>
      <c r="G234" s="181"/>
      <c r="H234" s="181"/>
      <c r="I234" s="181"/>
      <c r="J234" s="181"/>
      <c r="K234" s="181"/>
      <c r="L234" s="181"/>
      <c r="M234" s="181"/>
      <c r="N234" s="181"/>
      <c r="O234" s="181"/>
      <c r="P234" s="181"/>
      <c r="Q234" s="181"/>
      <c r="R234" s="181"/>
      <c r="S234" s="181"/>
      <c r="T234" s="181"/>
      <c r="U234" s="181"/>
      <c r="V234" s="181"/>
      <c r="W234" s="181"/>
      <c r="X234" s="181"/>
      <c r="Y234" s="181"/>
      <c r="Z234" s="181"/>
    </row>
    <row r="235" customFormat="false" ht="15.75" hidden="false" customHeight="false" outlineLevel="0" collapsed="false">
      <c r="A235" s="181"/>
      <c r="B235" s="181"/>
      <c r="C235" s="181"/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</row>
    <row r="236" customFormat="false" ht="15.75" hidden="false" customHeight="false" outlineLevel="0" collapsed="false">
      <c r="A236" s="181"/>
      <c r="B236" s="181"/>
      <c r="C236" s="181"/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</row>
    <row r="237" customFormat="false" ht="15.75" hidden="false" customHeight="false" outlineLevel="0" collapsed="false">
      <c r="A237" s="181"/>
      <c r="B237" s="181"/>
      <c r="C237" s="181"/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</row>
    <row r="238" customFormat="false" ht="15.75" hidden="false" customHeight="false" outlineLevel="0" collapsed="false">
      <c r="A238" s="181"/>
      <c r="B238" s="181"/>
      <c r="C238" s="181"/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</row>
    <row r="239" customFormat="false" ht="15.75" hidden="false" customHeight="false" outlineLevel="0" collapsed="false">
      <c r="A239" s="181"/>
      <c r="B239" s="181"/>
      <c r="C239" s="181"/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</row>
    <row r="240" customFormat="false" ht="15.75" hidden="false" customHeight="false" outlineLevel="0" collapsed="false">
      <c r="A240" s="181"/>
      <c r="B240" s="181"/>
      <c r="C240" s="181"/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</row>
    <row r="241" customFormat="false" ht="15.75" hidden="false" customHeight="false" outlineLevel="0" collapsed="false">
      <c r="A241" s="181"/>
      <c r="B241" s="181"/>
      <c r="C241" s="181"/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</row>
    <row r="242" customFormat="false" ht="15.75" hidden="false" customHeight="false" outlineLevel="0" collapsed="false">
      <c r="A242" s="181"/>
      <c r="B242" s="181"/>
      <c r="C242" s="181"/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</row>
    <row r="243" customFormat="false" ht="15.75" hidden="false" customHeight="false" outlineLevel="0" collapsed="false">
      <c r="A243" s="181"/>
      <c r="B243" s="181"/>
      <c r="C243" s="181"/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</row>
    <row r="244" customFormat="false" ht="15.75" hidden="false" customHeight="false" outlineLevel="0" collapsed="false">
      <c r="A244" s="181"/>
      <c r="B244" s="181"/>
      <c r="C244" s="181"/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</row>
    <row r="245" customFormat="false" ht="15.75" hidden="false" customHeight="false" outlineLevel="0" collapsed="false">
      <c r="A245" s="181"/>
      <c r="B245" s="181"/>
      <c r="C245" s="181"/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</row>
    <row r="246" customFormat="false" ht="15.75" hidden="false" customHeight="false" outlineLevel="0" collapsed="false">
      <c r="A246" s="181"/>
      <c r="B246" s="181"/>
      <c r="C246" s="181"/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</row>
    <row r="247" customFormat="false" ht="15.75" hidden="false" customHeight="false" outlineLevel="0" collapsed="false">
      <c r="A247" s="181"/>
      <c r="B247" s="181"/>
      <c r="C247" s="181"/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</row>
    <row r="248" customFormat="false" ht="15.75" hidden="false" customHeight="false" outlineLevel="0" collapsed="false">
      <c r="A248" s="181"/>
      <c r="B248" s="181"/>
      <c r="C248" s="181"/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</row>
    <row r="249" customFormat="false" ht="15.75" hidden="false" customHeight="false" outlineLevel="0" collapsed="false">
      <c r="A249" s="181"/>
      <c r="B249" s="181"/>
      <c r="C249" s="181"/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</row>
    <row r="250" customFormat="false" ht="15.75" hidden="false" customHeight="false" outlineLevel="0" collapsed="false">
      <c r="A250" s="181"/>
      <c r="B250" s="181"/>
      <c r="C250" s="181"/>
      <c r="D250" s="181"/>
      <c r="E250" s="181"/>
      <c r="F250" s="181"/>
      <c r="G250" s="181"/>
      <c r="H250" s="181"/>
      <c r="I250" s="181"/>
      <c r="J250" s="181"/>
      <c r="K250" s="181"/>
      <c r="L250" s="181"/>
      <c r="M250" s="181"/>
      <c r="N250" s="181"/>
      <c r="O250" s="181"/>
      <c r="P250" s="181"/>
      <c r="Q250" s="181"/>
      <c r="R250" s="181"/>
      <c r="S250" s="181"/>
      <c r="T250" s="181"/>
      <c r="U250" s="181"/>
      <c r="V250" s="181"/>
      <c r="W250" s="181"/>
      <c r="X250" s="181"/>
      <c r="Y250" s="181"/>
      <c r="Z250" s="181"/>
    </row>
    <row r="251" customFormat="false" ht="15.75" hidden="false" customHeight="false" outlineLevel="0" collapsed="false">
      <c r="A251" s="181"/>
      <c r="B251" s="181"/>
      <c r="C251" s="181"/>
      <c r="D251" s="181"/>
      <c r="E251" s="181"/>
      <c r="F251" s="181"/>
      <c r="G251" s="181"/>
      <c r="H251" s="181"/>
      <c r="I251" s="181"/>
      <c r="J251" s="181"/>
      <c r="K251" s="181"/>
      <c r="L251" s="181"/>
      <c r="M251" s="181"/>
      <c r="N251" s="181"/>
      <c r="O251" s="181"/>
      <c r="P251" s="181"/>
      <c r="Q251" s="181"/>
      <c r="R251" s="181"/>
      <c r="S251" s="181"/>
      <c r="T251" s="181"/>
      <c r="U251" s="181"/>
      <c r="V251" s="181"/>
      <c r="W251" s="181"/>
      <c r="X251" s="181"/>
      <c r="Y251" s="181"/>
      <c r="Z251" s="181"/>
    </row>
    <row r="252" customFormat="false" ht="15.75" hidden="false" customHeight="false" outlineLevel="0" collapsed="false">
      <c r="A252" s="181"/>
      <c r="B252" s="181"/>
      <c r="C252" s="181"/>
      <c r="D252" s="181"/>
      <c r="E252" s="181"/>
      <c r="F252" s="181"/>
      <c r="G252" s="181"/>
      <c r="H252" s="181"/>
      <c r="I252" s="181"/>
      <c r="J252" s="181"/>
      <c r="K252" s="181"/>
      <c r="L252" s="181"/>
      <c r="M252" s="181"/>
      <c r="N252" s="181"/>
      <c r="O252" s="181"/>
      <c r="P252" s="181"/>
      <c r="Q252" s="181"/>
      <c r="R252" s="181"/>
      <c r="S252" s="181"/>
      <c r="T252" s="181"/>
      <c r="U252" s="181"/>
      <c r="V252" s="181"/>
      <c r="W252" s="181"/>
      <c r="X252" s="181"/>
      <c r="Y252" s="181"/>
      <c r="Z252" s="181"/>
    </row>
    <row r="253" customFormat="false" ht="15.75" hidden="false" customHeight="false" outlineLevel="0" collapsed="false">
      <c r="A253" s="181"/>
      <c r="B253" s="181"/>
      <c r="C253" s="181"/>
      <c r="D253" s="181"/>
      <c r="E253" s="181"/>
      <c r="F253" s="181"/>
      <c r="G253" s="181"/>
      <c r="H253" s="181"/>
      <c r="I253" s="181"/>
      <c r="J253" s="181"/>
      <c r="K253" s="181"/>
      <c r="L253" s="181"/>
      <c r="M253" s="181"/>
      <c r="N253" s="181"/>
      <c r="O253" s="181"/>
      <c r="P253" s="181"/>
      <c r="Q253" s="181"/>
      <c r="R253" s="181"/>
      <c r="S253" s="181"/>
      <c r="T253" s="181"/>
      <c r="U253" s="181"/>
      <c r="V253" s="181"/>
      <c r="W253" s="181"/>
      <c r="X253" s="181"/>
      <c r="Y253" s="181"/>
      <c r="Z253" s="181"/>
    </row>
    <row r="254" customFormat="false" ht="15.75" hidden="false" customHeight="false" outlineLevel="0" collapsed="false">
      <c r="A254" s="181"/>
      <c r="B254" s="181"/>
      <c r="C254" s="181"/>
      <c r="D254" s="181"/>
      <c r="E254" s="181"/>
      <c r="F254" s="181"/>
      <c r="G254" s="181"/>
      <c r="H254" s="181"/>
      <c r="I254" s="181"/>
      <c r="J254" s="181"/>
      <c r="K254" s="181"/>
      <c r="L254" s="181"/>
      <c r="M254" s="181"/>
      <c r="N254" s="181"/>
      <c r="O254" s="181"/>
      <c r="P254" s="181"/>
      <c r="Q254" s="181"/>
      <c r="R254" s="181"/>
      <c r="S254" s="181"/>
      <c r="T254" s="181"/>
      <c r="U254" s="181"/>
      <c r="V254" s="181"/>
      <c r="W254" s="181"/>
      <c r="X254" s="181"/>
      <c r="Y254" s="181"/>
      <c r="Z254" s="181"/>
    </row>
    <row r="255" customFormat="false" ht="15.75" hidden="false" customHeight="false" outlineLevel="0" collapsed="false">
      <c r="A255" s="181"/>
      <c r="B255" s="181"/>
      <c r="C255" s="181"/>
      <c r="D255" s="181"/>
      <c r="E255" s="181"/>
      <c r="F255" s="181"/>
      <c r="G255" s="181"/>
      <c r="H255" s="181"/>
      <c r="I255" s="181"/>
      <c r="J255" s="181"/>
      <c r="K255" s="181"/>
      <c r="L255" s="181"/>
      <c r="M255" s="181"/>
      <c r="N255" s="181"/>
      <c r="O255" s="181"/>
      <c r="P255" s="181"/>
      <c r="Q255" s="181"/>
      <c r="R255" s="181"/>
      <c r="S255" s="181"/>
      <c r="T255" s="181"/>
      <c r="U255" s="181"/>
      <c r="V255" s="181"/>
      <c r="W255" s="181"/>
      <c r="X255" s="181"/>
      <c r="Y255" s="181"/>
      <c r="Z255" s="181"/>
    </row>
    <row r="256" customFormat="false" ht="15.75" hidden="false" customHeight="false" outlineLevel="0" collapsed="false">
      <c r="A256" s="181"/>
      <c r="B256" s="181"/>
      <c r="C256" s="181"/>
      <c r="D256" s="181"/>
      <c r="E256" s="181"/>
      <c r="F256" s="181"/>
      <c r="G256" s="181"/>
      <c r="H256" s="181"/>
      <c r="I256" s="181"/>
      <c r="J256" s="181"/>
      <c r="K256" s="181"/>
      <c r="L256" s="181"/>
      <c r="M256" s="181"/>
      <c r="N256" s="181"/>
      <c r="O256" s="181"/>
      <c r="P256" s="181"/>
      <c r="Q256" s="181"/>
      <c r="R256" s="181"/>
      <c r="S256" s="181"/>
      <c r="T256" s="181"/>
      <c r="U256" s="181"/>
      <c r="V256" s="181"/>
      <c r="W256" s="181"/>
      <c r="X256" s="181"/>
      <c r="Y256" s="181"/>
      <c r="Z256" s="181"/>
    </row>
    <row r="257" customFormat="false" ht="15.75" hidden="false" customHeight="false" outlineLevel="0" collapsed="false">
      <c r="A257" s="181"/>
      <c r="B257" s="181"/>
      <c r="C257" s="181"/>
      <c r="D257" s="181"/>
      <c r="E257" s="181"/>
      <c r="F257" s="181"/>
      <c r="G257" s="181"/>
      <c r="H257" s="181"/>
      <c r="I257" s="181"/>
      <c r="J257" s="181"/>
      <c r="K257" s="181"/>
      <c r="L257" s="181"/>
      <c r="M257" s="181"/>
      <c r="N257" s="181"/>
      <c r="O257" s="181"/>
      <c r="P257" s="181"/>
      <c r="Q257" s="181"/>
      <c r="R257" s="181"/>
      <c r="S257" s="181"/>
      <c r="T257" s="181"/>
      <c r="U257" s="181"/>
      <c r="V257" s="181"/>
      <c r="W257" s="181"/>
      <c r="X257" s="181"/>
      <c r="Y257" s="181"/>
      <c r="Z257" s="181"/>
    </row>
    <row r="258" customFormat="false" ht="15.75" hidden="false" customHeight="false" outlineLevel="0" collapsed="false">
      <c r="A258" s="181"/>
      <c r="B258" s="181"/>
      <c r="C258" s="181"/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</row>
    <row r="259" customFormat="false" ht="15.75" hidden="false" customHeight="false" outlineLevel="0" collapsed="false">
      <c r="A259" s="181"/>
      <c r="B259" s="181"/>
      <c r="C259" s="181"/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</row>
    <row r="260" customFormat="false" ht="15.75" hidden="false" customHeight="false" outlineLevel="0" collapsed="false">
      <c r="A260" s="181"/>
      <c r="B260" s="181"/>
      <c r="C260" s="181"/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</row>
    <row r="261" customFormat="false" ht="15.75" hidden="false" customHeight="false" outlineLevel="0" collapsed="false">
      <c r="A261" s="181"/>
      <c r="B261" s="181"/>
      <c r="C261" s="181"/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</row>
    <row r="262" customFormat="false" ht="15.75" hidden="false" customHeight="false" outlineLevel="0" collapsed="false">
      <c r="A262" s="181"/>
      <c r="B262" s="181"/>
      <c r="C262" s="181"/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</row>
    <row r="263" customFormat="false" ht="15.75" hidden="false" customHeight="false" outlineLevel="0" collapsed="false">
      <c r="A263" s="181"/>
      <c r="B263" s="181"/>
      <c r="C263" s="181"/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</row>
    <row r="264" customFormat="false" ht="15.75" hidden="false" customHeight="false" outlineLevel="0" collapsed="false">
      <c r="A264" s="181"/>
      <c r="B264" s="181"/>
      <c r="C264" s="181"/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</row>
    <row r="265" customFormat="false" ht="15.75" hidden="false" customHeight="false" outlineLevel="0" collapsed="false">
      <c r="A265" s="181"/>
      <c r="B265" s="181"/>
      <c r="C265" s="181"/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</row>
    <row r="266" customFormat="false" ht="15.75" hidden="false" customHeight="false" outlineLevel="0" collapsed="false">
      <c r="A266" s="181"/>
      <c r="B266" s="181"/>
      <c r="C266" s="181"/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</row>
    <row r="267" customFormat="false" ht="15.75" hidden="false" customHeight="false" outlineLevel="0" collapsed="false">
      <c r="A267" s="181"/>
      <c r="B267" s="181"/>
      <c r="C267" s="181"/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</row>
    <row r="268" customFormat="false" ht="15.75" hidden="false" customHeight="false" outlineLevel="0" collapsed="false">
      <c r="A268" s="181"/>
      <c r="B268" s="181"/>
      <c r="C268" s="181"/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</row>
    <row r="269" customFormat="false" ht="15.75" hidden="false" customHeight="false" outlineLevel="0" collapsed="false">
      <c r="A269" s="181"/>
      <c r="B269" s="181"/>
      <c r="C269" s="181"/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</row>
    <row r="270" customFormat="false" ht="15.75" hidden="false" customHeight="false" outlineLevel="0" collapsed="false">
      <c r="A270" s="181"/>
      <c r="B270" s="181"/>
      <c r="C270" s="181"/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</row>
    <row r="271" customFormat="false" ht="15.75" hidden="false" customHeight="false" outlineLevel="0" collapsed="false">
      <c r="A271" s="181"/>
      <c r="B271" s="181"/>
      <c r="C271" s="181"/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</row>
    <row r="272" customFormat="false" ht="15.75" hidden="false" customHeight="false" outlineLevel="0" collapsed="false">
      <c r="A272" s="181"/>
      <c r="B272" s="181"/>
      <c r="C272" s="181"/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</row>
    <row r="273" customFormat="false" ht="15.75" hidden="false" customHeight="false" outlineLevel="0" collapsed="false">
      <c r="A273" s="181"/>
      <c r="B273" s="181"/>
      <c r="C273" s="181"/>
      <c r="D273" s="181"/>
      <c r="E273" s="181"/>
      <c r="F273" s="181"/>
      <c r="G273" s="181"/>
      <c r="H273" s="181"/>
      <c r="I273" s="181"/>
      <c r="J273" s="181"/>
      <c r="K273" s="181"/>
      <c r="L273" s="181"/>
      <c r="M273" s="181"/>
      <c r="N273" s="181"/>
      <c r="O273" s="181"/>
      <c r="P273" s="181"/>
      <c r="Q273" s="181"/>
      <c r="R273" s="181"/>
      <c r="S273" s="181"/>
      <c r="T273" s="181"/>
      <c r="U273" s="181"/>
      <c r="V273" s="181"/>
      <c r="W273" s="181"/>
      <c r="X273" s="181"/>
      <c r="Y273" s="181"/>
      <c r="Z273" s="181"/>
    </row>
    <row r="274" customFormat="false" ht="15.75" hidden="false" customHeight="false" outlineLevel="0" collapsed="false">
      <c r="A274" s="181"/>
      <c r="B274" s="181"/>
      <c r="C274" s="181"/>
      <c r="D274" s="181"/>
      <c r="E274" s="181"/>
      <c r="F274" s="181"/>
      <c r="G274" s="181"/>
      <c r="H274" s="181"/>
      <c r="I274" s="181"/>
      <c r="J274" s="181"/>
      <c r="K274" s="181"/>
      <c r="L274" s="181"/>
      <c r="M274" s="181"/>
      <c r="N274" s="181"/>
      <c r="O274" s="181"/>
      <c r="P274" s="181"/>
      <c r="Q274" s="181"/>
      <c r="R274" s="181"/>
      <c r="S274" s="181"/>
      <c r="T274" s="181"/>
      <c r="U274" s="181"/>
      <c r="V274" s="181"/>
      <c r="W274" s="181"/>
      <c r="X274" s="181"/>
      <c r="Y274" s="181"/>
      <c r="Z274" s="181"/>
    </row>
    <row r="275" customFormat="false" ht="15.75" hidden="false" customHeight="false" outlineLevel="0" collapsed="false">
      <c r="A275" s="181"/>
      <c r="B275" s="181"/>
      <c r="C275" s="181"/>
      <c r="D275" s="181"/>
      <c r="E275" s="181"/>
      <c r="F275" s="181"/>
      <c r="G275" s="181"/>
      <c r="H275" s="181"/>
      <c r="I275" s="181"/>
      <c r="J275" s="181"/>
      <c r="K275" s="181"/>
      <c r="L275" s="181"/>
      <c r="M275" s="181"/>
      <c r="N275" s="181"/>
      <c r="O275" s="181"/>
      <c r="P275" s="181"/>
      <c r="Q275" s="181"/>
      <c r="R275" s="181"/>
      <c r="S275" s="181"/>
      <c r="T275" s="181"/>
      <c r="U275" s="181"/>
      <c r="V275" s="181"/>
      <c r="W275" s="181"/>
      <c r="X275" s="181"/>
      <c r="Y275" s="181"/>
      <c r="Z275" s="181"/>
    </row>
    <row r="276" customFormat="false" ht="15.75" hidden="false" customHeight="false" outlineLevel="0" collapsed="false">
      <c r="A276" s="181"/>
      <c r="B276" s="181"/>
      <c r="C276" s="181"/>
      <c r="D276" s="181"/>
      <c r="E276" s="181"/>
      <c r="F276" s="181"/>
      <c r="G276" s="181"/>
      <c r="H276" s="181"/>
      <c r="I276" s="181"/>
      <c r="J276" s="181"/>
      <c r="K276" s="181"/>
      <c r="L276" s="181"/>
      <c r="M276" s="181"/>
      <c r="N276" s="181"/>
      <c r="O276" s="181"/>
      <c r="P276" s="181"/>
      <c r="Q276" s="181"/>
      <c r="R276" s="181"/>
      <c r="S276" s="181"/>
      <c r="T276" s="181"/>
      <c r="U276" s="181"/>
      <c r="V276" s="181"/>
      <c r="W276" s="181"/>
      <c r="X276" s="181"/>
      <c r="Y276" s="181"/>
      <c r="Z276" s="181"/>
    </row>
    <row r="277" customFormat="false" ht="15.75" hidden="false" customHeight="false" outlineLevel="0" collapsed="false">
      <c r="A277" s="181"/>
      <c r="B277" s="181"/>
      <c r="C277" s="181"/>
      <c r="D277" s="181"/>
      <c r="E277" s="181"/>
      <c r="F277" s="181"/>
      <c r="G277" s="181"/>
      <c r="H277" s="181"/>
      <c r="I277" s="181"/>
      <c r="J277" s="181"/>
      <c r="K277" s="181"/>
      <c r="L277" s="181"/>
      <c r="M277" s="181"/>
      <c r="N277" s="181"/>
      <c r="O277" s="181"/>
      <c r="P277" s="181"/>
      <c r="Q277" s="181"/>
      <c r="R277" s="181"/>
      <c r="S277" s="181"/>
      <c r="T277" s="181"/>
      <c r="U277" s="181"/>
      <c r="V277" s="181"/>
      <c r="W277" s="181"/>
      <c r="X277" s="181"/>
      <c r="Y277" s="181"/>
      <c r="Z277" s="181"/>
    </row>
    <row r="278" customFormat="false" ht="15.75" hidden="false" customHeight="false" outlineLevel="0" collapsed="false">
      <c r="A278" s="181"/>
      <c r="B278" s="181"/>
      <c r="C278" s="181"/>
      <c r="D278" s="181"/>
      <c r="E278" s="181"/>
      <c r="F278" s="181"/>
      <c r="G278" s="181"/>
      <c r="H278" s="181"/>
      <c r="I278" s="181"/>
      <c r="J278" s="181"/>
      <c r="K278" s="181"/>
      <c r="L278" s="181"/>
      <c r="M278" s="181"/>
      <c r="N278" s="181"/>
      <c r="O278" s="181"/>
      <c r="P278" s="181"/>
      <c r="Q278" s="181"/>
      <c r="R278" s="181"/>
      <c r="S278" s="181"/>
      <c r="T278" s="181"/>
      <c r="U278" s="181"/>
      <c r="V278" s="181"/>
      <c r="W278" s="181"/>
      <c r="X278" s="181"/>
      <c r="Y278" s="181"/>
      <c r="Z278" s="181"/>
    </row>
    <row r="279" customFormat="false" ht="15.75" hidden="false" customHeight="false" outlineLevel="0" collapsed="false">
      <c r="A279" s="181"/>
      <c r="B279" s="181"/>
      <c r="C279" s="181"/>
      <c r="D279" s="181"/>
      <c r="E279" s="181"/>
      <c r="F279" s="181"/>
      <c r="G279" s="181"/>
      <c r="H279" s="181"/>
      <c r="I279" s="181"/>
      <c r="J279" s="181"/>
      <c r="K279" s="181"/>
      <c r="L279" s="181"/>
      <c r="M279" s="181"/>
      <c r="N279" s="181"/>
      <c r="O279" s="181"/>
      <c r="P279" s="181"/>
      <c r="Q279" s="181"/>
      <c r="R279" s="181"/>
      <c r="S279" s="181"/>
      <c r="T279" s="181"/>
      <c r="U279" s="181"/>
      <c r="V279" s="181"/>
      <c r="W279" s="181"/>
      <c r="X279" s="181"/>
      <c r="Y279" s="181"/>
      <c r="Z279" s="181"/>
    </row>
    <row r="280" customFormat="false" ht="15.75" hidden="false" customHeight="false" outlineLevel="0" collapsed="false">
      <c r="A280" s="181"/>
      <c r="B280" s="181"/>
      <c r="C280" s="181"/>
      <c r="D280" s="181"/>
      <c r="E280" s="181"/>
      <c r="F280" s="181"/>
      <c r="G280" s="181"/>
      <c r="H280" s="181"/>
      <c r="I280" s="181"/>
      <c r="J280" s="181"/>
      <c r="K280" s="181"/>
      <c r="L280" s="181"/>
      <c r="M280" s="181"/>
      <c r="N280" s="181"/>
      <c r="O280" s="181"/>
      <c r="P280" s="181"/>
      <c r="Q280" s="181"/>
      <c r="R280" s="181"/>
      <c r="S280" s="181"/>
      <c r="T280" s="181"/>
      <c r="U280" s="181"/>
      <c r="V280" s="181"/>
      <c r="W280" s="181"/>
      <c r="X280" s="181"/>
      <c r="Y280" s="181"/>
      <c r="Z280" s="181"/>
    </row>
    <row r="281" customFormat="false" ht="15.75" hidden="false" customHeight="false" outlineLevel="0" collapsed="false">
      <c r="A281" s="181"/>
      <c r="B281" s="181"/>
      <c r="C281" s="181"/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</row>
    <row r="282" customFormat="false" ht="15.75" hidden="false" customHeight="false" outlineLevel="0" collapsed="false">
      <c r="A282" s="181"/>
      <c r="B282" s="181"/>
      <c r="C282" s="181"/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</row>
    <row r="283" customFormat="false" ht="15.75" hidden="false" customHeight="false" outlineLevel="0" collapsed="false">
      <c r="A283" s="181"/>
      <c r="B283" s="181"/>
      <c r="C283" s="181"/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</row>
    <row r="284" customFormat="false" ht="15.75" hidden="false" customHeight="false" outlineLevel="0" collapsed="false">
      <c r="A284" s="181"/>
      <c r="B284" s="181"/>
      <c r="C284" s="181"/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</row>
    <row r="285" customFormat="false" ht="15.75" hidden="false" customHeight="false" outlineLevel="0" collapsed="false">
      <c r="A285" s="181"/>
      <c r="B285" s="181"/>
      <c r="C285" s="181"/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</row>
    <row r="286" customFormat="false" ht="15.75" hidden="false" customHeight="false" outlineLevel="0" collapsed="false">
      <c r="A286" s="181"/>
      <c r="B286" s="181"/>
      <c r="C286" s="181"/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</row>
    <row r="287" customFormat="false" ht="15.75" hidden="false" customHeight="false" outlineLevel="0" collapsed="false">
      <c r="A287" s="181"/>
      <c r="B287" s="181"/>
      <c r="C287" s="181"/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</row>
    <row r="288" customFormat="false" ht="15.75" hidden="false" customHeight="false" outlineLevel="0" collapsed="false">
      <c r="A288" s="181"/>
      <c r="B288" s="181"/>
      <c r="C288" s="181"/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</row>
    <row r="289" customFormat="false" ht="15.75" hidden="false" customHeight="false" outlineLevel="0" collapsed="false">
      <c r="A289" s="181"/>
      <c r="B289" s="181"/>
      <c r="C289" s="181"/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</row>
    <row r="290" customFormat="false" ht="15.75" hidden="false" customHeight="false" outlineLevel="0" collapsed="false">
      <c r="A290" s="181"/>
      <c r="B290" s="181"/>
      <c r="C290" s="181"/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</row>
    <row r="291" customFormat="false" ht="15.75" hidden="false" customHeight="false" outlineLevel="0" collapsed="false">
      <c r="A291" s="181"/>
      <c r="B291" s="181"/>
      <c r="C291" s="181"/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</row>
    <row r="292" customFormat="false" ht="15.75" hidden="false" customHeight="false" outlineLevel="0" collapsed="false">
      <c r="A292" s="181"/>
      <c r="B292" s="181"/>
      <c r="C292" s="181"/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</row>
    <row r="293" customFormat="false" ht="15.75" hidden="false" customHeight="false" outlineLevel="0" collapsed="false">
      <c r="A293" s="181"/>
      <c r="B293" s="181"/>
      <c r="C293" s="181"/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</row>
    <row r="294" customFormat="false" ht="15.75" hidden="false" customHeight="false" outlineLevel="0" collapsed="false">
      <c r="A294" s="181"/>
      <c r="B294" s="181"/>
      <c r="C294" s="181"/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</row>
    <row r="295" customFormat="false" ht="15.75" hidden="false" customHeight="false" outlineLevel="0" collapsed="false">
      <c r="A295" s="181"/>
      <c r="B295" s="181"/>
      <c r="C295" s="181"/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</row>
    <row r="296" customFormat="false" ht="15.75" hidden="false" customHeight="false" outlineLevel="0" collapsed="false">
      <c r="A296" s="181"/>
      <c r="B296" s="181"/>
      <c r="C296" s="181"/>
      <c r="D296" s="181"/>
      <c r="E296" s="181"/>
      <c r="F296" s="181"/>
      <c r="G296" s="181"/>
      <c r="H296" s="181"/>
      <c r="I296" s="181"/>
      <c r="J296" s="181"/>
      <c r="K296" s="181"/>
      <c r="L296" s="181"/>
      <c r="M296" s="181"/>
      <c r="N296" s="181"/>
      <c r="O296" s="181"/>
      <c r="P296" s="181"/>
      <c r="Q296" s="181"/>
      <c r="R296" s="181"/>
      <c r="S296" s="181"/>
      <c r="T296" s="181"/>
      <c r="U296" s="181"/>
      <c r="V296" s="181"/>
      <c r="W296" s="181"/>
      <c r="X296" s="181"/>
      <c r="Y296" s="181"/>
      <c r="Z296" s="181"/>
    </row>
    <row r="297" customFormat="false" ht="15.75" hidden="false" customHeight="false" outlineLevel="0" collapsed="false">
      <c r="A297" s="181"/>
      <c r="B297" s="181"/>
      <c r="C297" s="181"/>
      <c r="D297" s="181"/>
      <c r="E297" s="181"/>
      <c r="F297" s="181"/>
      <c r="G297" s="181"/>
      <c r="H297" s="181"/>
      <c r="I297" s="181"/>
      <c r="J297" s="181"/>
      <c r="K297" s="181"/>
      <c r="L297" s="181"/>
      <c r="M297" s="181"/>
      <c r="N297" s="181"/>
      <c r="O297" s="181"/>
      <c r="P297" s="181"/>
      <c r="Q297" s="181"/>
      <c r="R297" s="181"/>
      <c r="S297" s="181"/>
      <c r="T297" s="181"/>
      <c r="U297" s="181"/>
      <c r="V297" s="181"/>
      <c r="W297" s="181"/>
      <c r="X297" s="181"/>
      <c r="Y297" s="181"/>
      <c r="Z297" s="181"/>
    </row>
    <row r="298" customFormat="false" ht="15.75" hidden="false" customHeight="false" outlineLevel="0" collapsed="false">
      <c r="A298" s="181"/>
      <c r="B298" s="181"/>
      <c r="C298" s="181"/>
      <c r="D298" s="181"/>
      <c r="E298" s="181"/>
      <c r="F298" s="181"/>
      <c r="G298" s="181"/>
      <c r="H298" s="181"/>
      <c r="I298" s="181"/>
      <c r="J298" s="181"/>
      <c r="K298" s="181"/>
      <c r="L298" s="181"/>
      <c r="M298" s="181"/>
      <c r="N298" s="181"/>
      <c r="O298" s="181"/>
      <c r="P298" s="181"/>
      <c r="Q298" s="181"/>
      <c r="R298" s="181"/>
      <c r="S298" s="181"/>
      <c r="T298" s="181"/>
      <c r="U298" s="181"/>
      <c r="V298" s="181"/>
      <c r="W298" s="181"/>
      <c r="X298" s="181"/>
      <c r="Y298" s="181"/>
      <c r="Z298" s="181"/>
    </row>
    <row r="299" customFormat="false" ht="15.75" hidden="false" customHeight="false" outlineLevel="0" collapsed="false">
      <c r="A299" s="181"/>
      <c r="B299" s="181"/>
      <c r="C299" s="181"/>
      <c r="D299" s="181"/>
      <c r="E299" s="181"/>
      <c r="F299" s="181"/>
      <c r="G299" s="181"/>
      <c r="H299" s="181"/>
      <c r="I299" s="181"/>
      <c r="J299" s="181"/>
      <c r="K299" s="181"/>
      <c r="L299" s="181"/>
      <c r="M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</row>
    <row r="300" customFormat="false" ht="15.75" hidden="false" customHeight="false" outlineLevel="0" collapsed="false">
      <c r="A300" s="181"/>
      <c r="B300" s="181"/>
      <c r="C300" s="181"/>
      <c r="D300" s="181"/>
      <c r="E300" s="181"/>
      <c r="F300" s="181"/>
      <c r="G300" s="181"/>
      <c r="H300" s="181"/>
      <c r="I300" s="181"/>
      <c r="J300" s="181"/>
      <c r="K300" s="181"/>
      <c r="L300" s="181"/>
      <c r="M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</row>
    <row r="301" customFormat="false" ht="15.75" hidden="false" customHeight="false" outlineLevel="0" collapsed="false">
      <c r="A301" s="181"/>
      <c r="B301" s="181"/>
      <c r="C301" s="181"/>
      <c r="D301" s="181"/>
      <c r="E301" s="181"/>
      <c r="F301" s="181"/>
      <c r="G301" s="181"/>
      <c r="H301" s="181"/>
      <c r="I301" s="181"/>
      <c r="J301" s="181"/>
      <c r="K301" s="181"/>
      <c r="L301" s="181"/>
      <c r="M301" s="181"/>
      <c r="N301" s="181"/>
      <c r="O301" s="181"/>
      <c r="P301" s="181"/>
      <c r="Q301" s="181"/>
      <c r="R301" s="181"/>
      <c r="S301" s="181"/>
      <c r="T301" s="181"/>
      <c r="U301" s="181"/>
      <c r="V301" s="181"/>
      <c r="W301" s="181"/>
      <c r="X301" s="181"/>
      <c r="Y301" s="181"/>
      <c r="Z301" s="181"/>
    </row>
    <row r="302" customFormat="false" ht="15.75" hidden="false" customHeight="false" outlineLevel="0" collapsed="false">
      <c r="A302" s="181"/>
      <c r="B302" s="181"/>
      <c r="C302" s="181"/>
      <c r="D302" s="181"/>
      <c r="E302" s="181"/>
      <c r="F302" s="181"/>
      <c r="G302" s="181"/>
      <c r="H302" s="181"/>
      <c r="I302" s="181"/>
      <c r="J302" s="181"/>
      <c r="K302" s="181"/>
      <c r="L302" s="181"/>
      <c r="M302" s="181"/>
      <c r="N302" s="181"/>
      <c r="O302" s="181"/>
      <c r="P302" s="181"/>
      <c r="Q302" s="181"/>
      <c r="R302" s="181"/>
      <c r="S302" s="181"/>
      <c r="T302" s="181"/>
      <c r="U302" s="181"/>
      <c r="V302" s="181"/>
      <c r="W302" s="181"/>
      <c r="X302" s="181"/>
      <c r="Y302" s="181"/>
      <c r="Z302" s="181"/>
    </row>
    <row r="303" customFormat="false" ht="15.75" hidden="false" customHeight="false" outlineLevel="0" collapsed="false">
      <c r="A303" s="181"/>
      <c r="B303" s="181"/>
      <c r="C303" s="181"/>
      <c r="D303" s="181"/>
      <c r="E303" s="181"/>
      <c r="F303" s="181"/>
      <c r="G303" s="181"/>
      <c r="H303" s="181"/>
      <c r="I303" s="181"/>
      <c r="J303" s="181"/>
      <c r="K303" s="181"/>
      <c r="L303" s="181"/>
      <c r="M303" s="181"/>
      <c r="N303" s="181"/>
      <c r="O303" s="181"/>
      <c r="P303" s="181"/>
      <c r="Q303" s="181"/>
      <c r="R303" s="181"/>
      <c r="S303" s="181"/>
      <c r="T303" s="181"/>
      <c r="U303" s="181"/>
      <c r="V303" s="181"/>
      <c r="W303" s="181"/>
      <c r="X303" s="181"/>
      <c r="Y303" s="181"/>
      <c r="Z303" s="181"/>
    </row>
    <row r="304" customFormat="false" ht="15.75" hidden="false" customHeight="false" outlineLevel="0" collapsed="false">
      <c r="A304" s="181"/>
      <c r="B304" s="181"/>
      <c r="C304" s="181"/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</row>
    <row r="305" customFormat="false" ht="15.75" hidden="false" customHeight="false" outlineLevel="0" collapsed="false">
      <c r="A305" s="181"/>
      <c r="B305" s="181"/>
      <c r="C305" s="181"/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</row>
    <row r="306" customFormat="false" ht="15.75" hidden="false" customHeight="false" outlineLevel="0" collapsed="false">
      <c r="A306" s="181"/>
      <c r="B306" s="181"/>
      <c r="C306" s="181"/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</row>
    <row r="307" customFormat="false" ht="15.75" hidden="false" customHeight="false" outlineLevel="0" collapsed="false">
      <c r="A307" s="181"/>
      <c r="B307" s="181"/>
      <c r="C307" s="181"/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</row>
    <row r="308" customFormat="false" ht="15.75" hidden="false" customHeight="false" outlineLevel="0" collapsed="false">
      <c r="A308" s="181"/>
      <c r="B308" s="181"/>
      <c r="C308" s="181"/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</row>
    <row r="309" customFormat="false" ht="15.75" hidden="false" customHeight="false" outlineLevel="0" collapsed="false">
      <c r="A309" s="181"/>
      <c r="B309" s="181"/>
      <c r="C309" s="181"/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</row>
    <row r="310" customFormat="false" ht="15.75" hidden="false" customHeight="false" outlineLevel="0" collapsed="false">
      <c r="A310" s="181"/>
      <c r="B310" s="181"/>
      <c r="C310" s="181"/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</row>
    <row r="311" customFormat="false" ht="15.75" hidden="false" customHeight="false" outlineLevel="0" collapsed="false">
      <c r="A311" s="181"/>
      <c r="B311" s="181"/>
      <c r="C311" s="181"/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</row>
    <row r="312" customFormat="false" ht="15.75" hidden="false" customHeight="false" outlineLevel="0" collapsed="false">
      <c r="A312" s="181"/>
      <c r="B312" s="181"/>
      <c r="C312" s="181"/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</row>
    <row r="313" customFormat="false" ht="15.75" hidden="false" customHeight="false" outlineLevel="0" collapsed="false">
      <c r="A313" s="181"/>
      <c r="B313" s="181"/>
      <c r="C313" s="181"/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</row>
    <row r="314" customFormat="false" ht="15.75" hidden="false" customHeight="false" outlineLevel="0" collapsed="false">
      <c r="A314" s="181"/>
      <c r="B314" s="181"/>
      <c r="C314" s="181"/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</row>
    <row r="315" customFormat="false" ht="15.75" hidden="false" customHeight="false" outlineLevel="0" collapsed="false">
      <c r="A315" s="181"/>
      <c r="B315" s="181"/>
      <c r="C315" s="181"/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</row>
    <row r="316" customFormat="false" ht="15.75" hidden="false" customHeight="false" outlineLevel="0" collapsed="false">
      <c r="A316" s="181"/>
      <c r="B316" s="181"/>
      <c r="C316" s="181"/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</row>
    <row r="317" customFormat="false" ht="15.75" hidden="false" customHeight="false" outlineLevel="0" collapsed="false">
      <c r="A317" s="181"/>
      <c r="B317" s="181"/>
      <c r="C317" s="181"/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</row>
    <row r="318" customFormat="false" ht="15.75" hidden="false" customHeight="false" outlineLevel="0" collapsed="false">
      <c r="A318" s="181"/>
      <c r="B318" s="181"/>
      <c r="C318" s="181"/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</row>
    <row r="319" customFormat="false" ht="15.75" hidden="false" customHeight="false" outlineLevel="0" collapsed="false">
      <c r="A319" s="181"/>
      <c r="B319" s="181"/>
      <c r="C319" s="181"/>
      <c r="D319" s="181"/>
      <c r="E319" s="181"/>
      <c r="F319" s="181"/>
      <c r="G319" s="181"/>
      <c r="H319" s="181"/>
      <c r="I319" s="181"/>
      <c r="J319" s="181"/>
      <c r="K319" s="181"/>
      <c r="L319" s="181"/>
      <c r="M319" s="181"/>
      <c r="N319" s="181"/>
      <c r="O319" s="181"/>
      <c r="P319" s="181"/>
      <c r="Q319" s="181"/>
      <c r="R319" s="181"/>
      <c r="S319" s="181"/>
      <c r="T319" s="181"/>
      <c r="U319" s="181"/>
      <c r="V319" s="181"/>
      <c r="W319" s="181"/>
      <c r="X319" s="181"/>
      <c r="Y319" s="181"/>
      <c r="Z319" s="181"/>
    </row>
    <row r="320" customFormat="false" ht="15.75" hidden="false" customHeight="false" outlineLevel="0" collapsed="false">
      <c r="A320" s="181"/>
      <c r="B320" s="181"/>
      <c r="C320" s="181"/>
      <c r="D320" s="181"/>
      <c r="E320" s="181"/>
      <c r="F320" s="181"/>
      <c r="G320" s="181"/>
      <c r="H320" s="181"/>
      <c r="I320" s="181"/>
      <c r="J320" s="181"/>
      <c r="K320" s="181"/>
      <c r="L320" s="181"/>
      <c r="M320" s="181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</row>
    <row r="321" customFormat="false" ht="15.75" hidden="false" customHeight="false" outlineLevel="0" collapsed="false">
      <c r="A321" s="181"/>
      <c r="B321" s="181"/>
      <c r="C321" s="181"/>
      <c r="D321" s="181"/>
      <c r="E321" s="181"/>
      <c r="F321" s="181"/>
      <c r="G321" s="181"/>
      <c r="H321" s="181"/>
      <c r="I321" s="181"/>
      <c r="J321" s="181"/>
      <c r="K321" s="181"/>
      <c r="L321" s="181"/>
      <c r="M321" s="181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</row>
    <row r="322" customFormat="false" ht="15.75" hidden="false" customHeight="false" outlineLevel="0" collapsed="false">
      <c r="A322" s="181"/>
      <c r="B322" s="181"/>
      <c r="C322" s="181"/>
      <c r="D322" s="181"/>
      <c r="E322" s="181"/>
      <c r="F322" s="181"/>
      <c r="G322" s="181"/>
      <c r="H322" s="181"/>
      <c r="I322" s="181"/>
      <c r="J322" s="181"/>
      <c r="K322" s="181"/>
      <c r="L322" s="181"/>
      <c r="M322" s="181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</row>
    <row r="323" customFormat="false" ht="15.75" hidden="false" customHeight="false" outlineLevel="0" collapsed="false">
      <c r="A323" s="181"/>
      <c r="B323" s="181"/>
      <c r="C323" s="181"/>
      <c r="D323" s="181"/>
      <c r="E323" s="181"/>
      <c r="F323" s="181"/>
      <c r="G323" s="181"/>
      <c r="H323" s="181"/>
      <c r="I323" s="181"/>
      <c r="J323" s="181"/>
      <c r="K323" s="181"/>
      <c r="L323" s="181"/>
      <c r="M323" s="181"/>
      <c r="N323" s="181"/>
      <c r="O323" s="181"/>
      <c r="P323" s="181"/>
      <c r="Q323" s="181"/>
      <c r="R323" s="181"/>
      <c r="S323" s="181"/>
      <c r="T323" s="181"/>
      <c r="U323" s="181"/>
      <c r="V323" s="181"/>
      <c r="W323" s="181"/>
      <c r="X323" s="181"/>
      <c r="Y323" s="181"/>
      <c r="Z323" s="181"/>
    </row>
    <row r="324" customFormat="false" ht="15.75" hidden="false" customHeight="false" outlineLevel="0" collapsed="false">
      <c r="A324" s="181"/>
      <c r="B324" s="181"/>
      <c r="C324" s="181"/>
      <c r="D324" s="181"/>
      <c r="E324" s="181"/>
      <c r="F324" s="181"/>
      <c r="G324" s="181"/>
      <c r="H324" s="181"/>
      <c r="I324" s="181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</row>
    <row r="325" customFormat="false" ht="15.75" hidden="false" customHeight="false" outlineLevel="0" collapsed="false">
      <c r="A325" s="181"/>
      <c r="B325" s="181"/>
      <c r="C325" s="181"/>
      <c r="D325" s="181"/>
      <c r="E325" s="181"/>
      <c r="F325" s="181"/>
      <c r="G325" s="181"/>
      <c r="H325" s="181"/>
      <c r="I325" s="181"/>
      <c r="J325" s="181"/>
      <c r="K325" s="181"/>
      <c r="L325" s="181"/>
      <c r="M325" s="181"/>
      <c r="N325" s="181"/>
      <c r="O325" s="181"/>
      <c r="P325" s="181"/>
      <c r="Q325" s="181"/>
      <c r="R325" s="181"/>
      <c r="S325" s="181"/>
      <c r="T325" s="181"/>
      <c r="U325" s="181"/>
      <c r="V325" s="181"/>
      <c r="W325" s="181"/>
      <c r="X325" s="181"/>
      <c r="Y325" s="181"/>
      <c r="Z325" s="181"/>
    </row>
    <row r="326" customFormat="false" ht="15.75" hidden="false" customHeight="false" outlineLevel="0" collapsed="false">
      <c r="A326" s="181"/>
      <c r="B326" s="181"/>
      <c r="C326" s="181"/>
      <c r="D326" s="181"/>
      <c r="E326" s="181"/>
      <c r="F326" s="181"/>
      <c r="G326" s="181"/>
      <c r="H326" s="181"/>
      <c r="I326" s="181"/>
      <c r="J326" s="181"/>
      <c r="K326" s="181"/>
      <c r="L326" s="181"/>
      <c r="M326" s="181"/>
      <c r="N326" s="181"/>
      <c r="O326" s="181"/>
      <c r="P326" s="181"/>
      <c r="Q326" s="181"/>
      <c r="R326" s="181"/>
      <c r="S326" s="181"/>
      <c r="T326" s="181"/>
      <c r="U326" s="181"/>
      <c r="V326" s="181"/>
      <c r="W326" s="181"/>
      <c r="X326" s="181"/>
      <c r="Y326" s="181"/>
      <c r="Z326" s="181"/>
    </row>
    <row r="327" customFormat="false" ht="15.75" hidden="false" customHeight="false" outlineLevel="0" collapsed="false">
      <c r="A327" s="181"/>
      <c r="B327" s="181"/>
      <c r="C327" s="181"/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</row>
    <row r="328" customFormat="false" ht="15.75" hidden="false" customHeight="false" outlineLevel="0" collapsed="false">
      <c r="A328" s="181"/>
      <c r="B328" s="181"/>
      <c r="C328" s="181"/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</row>
    <row r="329" customFormat="false" ht="15.75" hidden="false" customHeight="false" outlineLevel="0" collapsed="false">
      <c r="A329" s="181"/>
      <c r="B329" s="181"/>
      <c r="C329" s="181"/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</row>
    <row r="330" customFormat="false" ht="15.75" hidden="false" customHeight="false" outlineLevel="0" collapsed="false">
      <c r="A330" s="181"/>
      <c r="B330" s="181"/>
      <c r="C330" s="181"/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</row>
    <row r="331" customFormat="false" ht="15.75" hidden="false" customHeight="false" outlineLevel="0" collapsed="false">
      <c r="A331" s="181"/>
      <c r="B331" s="181"/>
      <c r="C331" s="181"/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</row>
    <row r="332" customFormat="false" ht="15.75" hidden="false" customHeight="false" outlineLevel="0" collapsed="false">
      <c r="A332" s="181"/>
      <c r="B332" s="181"/>
      <c r="C332" s="181"/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</row>
    <row r="333" customFormat="false" ht="15.75" hidden="false" customHeight="false" outlineLevel="0" collapsed="false">
      <c r="A333" s="181"/>
      <c r="B333" s="181"/>
      <c r="C333" s="181"/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</row>
    <row r="334" customFormat="false" ht="15.75" hidden="false" customHeight="false" outlineLevel="0" collapsed="false">
      <c r="A334" s="181"/>
      <c r="B334" s="181"/>
      <c r="C334" s="181"/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</row>
    <row r="335" customFormat="false" ht="15.75" hidden="false" customHeight="false" outlineLevel="0" collapsed="false">
      <c r="A335" s="181"/>
      <c r="B335" s="181"/>
      <c r="C335" s="181"/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</row>
    <row r="336" customFormat="false" ht="15.75" hidden="false" customHeight="false" outlineLevel="0" collapsed="false">
      <c r="A336" s="181"/>
      <c r="B336" s="181"/>
      <c r="C336" s="181"/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</row>
    <row r="337" customFormat="false" ht="15.75" hidden="false" customHeight="false" outlineLevel="0" collapsed="false">
      <c r="A337" s="181"/>
      <c r="B337" s="181"/>
      <c r="C337" s="181"/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</row>
    <row r="338" customFormat="false" ht="15.75" hidden="false" customHeight="false" outlineLevel="0" collapsed="false">
      <c r="A338" s="181"/>
      <c r="B338" s="181"/>
      <c r="C338" s="181"/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</row>
    <row r="339" customFormat="false" ht="15.75" hidden="false" customHeight="false" outlineLevel="0" collapsed="false">
      <c r="A339" s="181"/>
      <c r="B339" s="181"/>
      <c r="C339" s="181"/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</row>
    <row r="340" customFormat="false" ht="15.75" hidden="false" customHeight="false" outlineLevel="0" collapsed="false">
      <c r="A340" s="181"/>
      <c r="B340" s="181"/>
      <c r="C340" s="181"/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</row>
    <row r="341" customFormat="false" ht="15.75" hidden="false" customHeight="false" outlineLevel="0" collapsed="false">
      <c r="A341" s="181"/>
      <c r="B341" s="181"/>
      <c r="C341" s="181"/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</row>
    <row r="342" customFormat="false" ht="15.75" hidden="false" customHeight="false" outlineLevel="0" collapsed="false">
      <c r="A342" s="181"/>
      <c r="B342" s="181"/>
      <c r="C342" s="181"/>
      <c r="D342" s="181"/>
      <c r="E342" s="181"/>
      <c r="F342" s="181"/>
      <c r="G342" s="181"/>
      <c r="H342" s="181"/>
      <c r="I342" s="181"/>
      <c r="J342" s="181"/>
      <c r="K342" s="181"/>
      <c r="L342" s="181"/>
      <c r="M342" s="181"/>
      <c r="N342" s="181"/>
      <c r="O342" s="181"/>
      <c r="P342" s="181"/>
      <c r="Q342" s="181"/>
      <c r="R342" s="181"/>
      <c r="S342" s="181"/>
      <c r="T342" s="181"/>
      <c r="U342" s="181"/>
      <c r="V342" s="181"/>
      <c r="W342" s="181"/>
      <c r="X342" s="181"/>
      <c r="Y342" s="181"/>
      <c r="Z342" s="181"/>
    </row>
    <row r="343" customFormat="false" ht="15.75" hidden="false" customHeight="false" outlineLevel="0" collapsed="false">
      <c r="A343" s="181"/>
      <c r="B343" s="181"/>
      <c r="C343" s="181"/>
      <c r="D343" s="181"/>
      <c r="E343" s="181"/>
      <c r="F343" s="181"/>
      <c r="G343" s="181"/>
      <c r="H343" s="181"/>
      <c r="I343" s="181"/>
      <c r="J343" s="181"/>
      <c r="K343" s="181"/>
      <c r="L343" s="181"/>
      <c r="M343" s="181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</row>
    <row r="344" customFormat="false" ht="15.75" hidden="false" customHeight="false" outlineLevel="0" collapsed="false">
      <c r="A344" s="181"/>
      <c r="B344" s="181"/>
      <c r="C344" s="181"/>
      <c r="D344" s="181"/>
      <c r="E344" s="181"/>
      <c r="F344" s="181"/>
      <c r="G344" s="181"/>
      <c r="H344" s="181"/>
      <c r="I344" s="181"/>
      <c r="J344" s="181"/>
      <c r="K344" s="181"/>
      <c r="L344" s="181"/>
      <c r="M344" s="181"/>
      <c r="N344" s="181"/>
      <c r="O344" s="181"/>
      <c r="P344" s="181"/>
      <c r="Q344" s="181"/>
      <c r="R344" s="181"/>
      <c r="S344" s="181"/>
      <c r="T344" s="181"/>
      <c r="U344" s="181"/>
      <c r="V344" s="181"/>
      <c r="W344" s="181"/>
      <c r="X344" s="181"/>
      <c r="Y344" s="181"/>
      <c r="Z344" s="181"/>
    </row>
    <row r="345" customFormat="false" ht="15.75" hidden="false" customHeight="false" outlineLevel="0" collapsed="false">
      <c r="A345" s="181"/>
      <c r="B345" s="181"/>
      <c r="C345" s="181"/>
      <c r="D345" s="181"/>
      <c r="E345" s="181"/>
      <c r="F345" s="181"/>
      <c r="G345" s="181"/>
      <c r="H345" s="181"/>
      <c r="I345" s="181"/>
      <c r="J345" s="181"/>
      <c r="K345" s="181"/>
      <c r="L345" s="181"/>
      <c r="M345" s="181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</row>
    <row r="346" customFormat="false" ht="15.75" hidden="false" customHeight="false" outlineLevel="0" collapsed="false">
      <c r="A346" s="181"/>
      <c r="B346" s="181"/>
      <c r="C346" s="181"/>
      <c r="D346" s="181"/>
      <c r="E346" s="181"/>
      <c r="F346" s="181"/>
      <c r="G346" s="181"/>
      <c r="H346" s="181"/>
      <c r="I346" s="181"/>
      <c r="J346" s="181"/>
      <c r="K346" s="181"/>
      <c r="L346" s="181"/>
      <c r="M346" s="181"/>
      <c r="N346" s="181"/>
      <c r="O346" s="181"/>
      <c r="P346" s="181"/>
      <c r="Q346" s="181"/>
      <c r="R346" s="181"/>
      <c r="S346" s="181"/>
      <c r="T346" s="181"/>
      <c r="U346" s="181"/>
      <c r="V346" s="181"/>
      <c r="W346" s="181"/>
      <c r="X346" s="181"/>
      <c r="Y346" s="181"/>
      <c r="Z346" s="181"/>
    </row>
    <row r="347" customFormat="false" ht="15.75" hidden="false" customHeight="false" outlineLevel="0" collapsed="false">
      <c r="A347" s="181"/>
      <c r="B347" s="181"/>
      <c r="C347" s="181"/>
      <c r="D347" s="181"/>
      <c r="E347" s="181"/>
      <c r="F347" s="181"/>
      <c r="G347" s="181"/>
      <c r="H347" s="181"/>
      <c r="I347" s="181"/>
      <c r="J347" s="181"/>
      <c r="K347" s="181"/>
      <c r="L347" s="181"/>
      <c r="M347" s="181"/>
      <c r="N347" s="181"/>
      <c r="O347" s="181"/>
      <c r="P347" s="181"/>
      <c r="Q347" s="181"/>
      <c r="R347" s="181"/>
      <c r="S347" s="181"/>
      <c r="T347" s="181"/>
      <c r="U347" s="181"/>
      <c r="V347" s="181"/>
      <c r="W347" s="181"/>
      <c r="X347" s="181"/>
      <c r="Y347" s="181"/>
      <c r="Z347" s="181"/>
    </row>
    <row r="348" customFormat="false" ht="15.75" hidden="false" customHeight="false" outlineLevel="0" collapsed="false">
      <c r="A348" s="181"/>
      <c r="B348" s="181"/>
      <c r="C348" s="181"/>
      <c r="D348" s="181"/>
      <c r="E348" s="181"/>
      <c r="F348" s="181"/>
      <c r="G348" s="181"/>
      <c r="H348" s="181"/>
      <c r="I348" s="181"/>
      <c r="J348" s="181"/>
      <c r="K348" s="181"/>
      <c r="L348" s="181"/>
      <c r="M348" s="181"/>
      <c r="N348" s="181"/>
      <c r="O348" s="181"/>
      <c r="P348" s="181"/>
      <c r="Q348" s="181"/>
      <c r="R348" s="181"/>
      <c r="S348" s="181"/>
      <c r="T348" s="181"/>
      <c r="U348" s="181"/>
      <c r="V348" s="181"/>
      <c r="W348" s="181"/>
      <c r="X348" s="181"/>
      <c r="Y348" s="181"/>
      <c r="Z348" s="181"/>
    </row>
    <row r="349" customFormat="false" ht="15.75" hidden="false" customHeight="false" outlineLevel="0" collapsed="false">
      <c r="A349" s="181"/>
      <c r="B349" s="181"/>
      <c r="C349" s="181"/>
      <c r="D349" s="181"/>
      <c r="E349" s="181"/>
      <c r="F349" s="181"/>
      <c r="G349" s="181"/>
      <c r="H349" s="181"/>
      <c r="I349" s="181"/>
      <c r="J349" s="181"/>
      <c r="K349" s="181"/>
      <c r="L349" s="181"/>
      <c r="M349" s="181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</row>
    <row r="350" customFormat="false" ht="15.75" hidden="false" customHeight="false" outlineLevel="0" collapsed="false">
      <c r="A350" s="181"/>
      <c r="B350" s="181"/>
      <c r="C350" s="181"/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</row>
    <row r="351" customFormat="false" ht="15.75" hidden="false" customHeight="false" outlineLevel="0" collapsed="false">
      <c r="A351" s="181"/>
      <c r="B351" s="181"/>
      <c r="C351" s="181"/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</row>
    <row r="352" customFormat="false" ht="15.75" hidden="false" customHeight="false" outlineLevel="0" collapsed="false">
      <c r="A352" s="181"/>
      <c r="B352" s="181"/>
      <c r="C352" s="181"/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</row>
    <row r="353" customFormat="false" ht="15.75" hidden="false" customHeight="false" outlineLevel="0" collapsed="false">
      <c r="A353" s="181"/>
      <c r="B353" s="181"/>
      <c r="C353" s="181"/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</row>
    <row r="354" customFormat="false" ht="15.75" hidden="false" customHeight="false" outlineLevel="0" collapsed="false">
      <c r="A354" s="181"/>
      <c r="B354" s="181"/>
      <c r="C354" s="181"/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</row>
    <row r="355" customFormat="false" ht="15.75" hidden="false" customHeight="false" outlineLevel="0" collapsed="false">
      <c r="A355" s="181"/>
      <c r="B355" s="181"/>
      <c r="C355" s="181"/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</row>
    <row r="356" customFormat="false" ht="15.75" hidden="false" customHeight="false" outlineLevel="0" collapsed="false">
      <c r="A356" s="181"/>
      <c r="B356" s="181"/>
      <c r="C356" s="181"/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</row>
    <row r="357" customFormat="false" ht="15.75" hidden="false" customHeight="false" outlineLevel="0" collapsed="false">
      <c r="A357" s="181"/>
      <c r="B357" s="181"/>
      <c r="C357" s="181"/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</row>
    <row r="358" customFormat="false" ht="15.75" hidden="false" customHeight="false" outlineLevel="0" collapsed="false">
      <c r="A358" s="181"/>
      <c r="B358" s="181"/>
      <c r="C358" s="181"/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</row>
    <row r="359" customFormat="false" ht="15.75" hidden="false" customHeight="false" outlineLevel="0" collapsed="false">
      <c r="A359" s="181"/>
      <c r="B359" s="181"/>
      <c r="C359" s="181"/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</row>
    <row r="360" customFormat="false" ht="15.75" hidden="false" customHeight="false" outlineLevel="0" collapsed="false">
      <c r="A360" s="181"/>
      <c r="B360" s="181"/>
      <c r="C360" s="181"/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</row>
    <row r="361" customFormat="false" ht="15.75" hidden="false" customHeight="false" outlineLevel="0" collapsed="false">
      <c r="A361" s="181"/>
      <c r="B361" s="181"/>
      <c r="C361" s="181"/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</row>
    <row r="362" customFormat="false" ht="15.75" hidden="false" customHeight="false" outlineLevel="0" collapsed="false">
      <c r="A362" s="181"/>
      <c r="B362" s="181"/>
      <c r="C362" s="181"/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</row>
    <row r="363" customFormat="false" ht="15.75" hidden="false" customHeight="false" outlineLevel="0" collapsed="false">
      <c r="A363" s="181"/>
      <c r="B363" s="181"/>
      <c r="C363" s="181"/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</row>
    <row r="364" customFormat="false" ht="15.75" hidden="false" customHeight="false" outlineLevel="0" collapsed="false">
      <c r="A364" s="181"/>
      <c r="B364" s="181"/>
      <c r="C364" s="181"/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</row>
    <row r="365" customFormat="false" ht="15.75" hidden="false" customHeight="false" outlineLevel="0" collapsed="false">
      <c r="A365" s="181"/>
      <c r="B365" s="181"/>
      <c r="C365" s="181"/>
      <c r="D365" s="181"/>
      <c r="E365" s="181"/>
      <c r="F365" s="181"/>
      <c r="G365" s="181"/>
      <c r="H365" s="181"/>
      <c r="I365" s="181"/>
      <c r="J365" s="181"/>
      <c r="K365" s="181"/>
      <c r="L365" s="181"/>
      <c r="M365" s="181"/>
      <c r="N365" s="181"/>
      <c r="O365" s="181"/>
      <c r="P365" s="181"/>
      <c r="Q365" s="181"/>
      <c r="R365" s="181"/>
      <c r="S365" s="181"/>
      <c r="T365" s="181"/>
      <c r="U365" s="181"/>
      <c r="V365" s="181"/>
      <c r="W365" s="181"/>
      <c r="X365" s="181"/>
      <c r="Y365" s="181"/>
      <c r="Z365" s="181"/>
    </row>
    <row r="366" customFormat="false" ht="15.75" hidden="false" customHeight="false" outlineLevel="0" collapsed="false">
      <c r="A366" s="181"/>
      <c r="B366" s="181"/>
      <c r="C366" s="181"/>
      <c r="D366" s="181"/>
      <c r="E366" s="181"/>
      <c r="F366" s="181"/>
      <c r="G366" s="181"/>
      <c r="H366" s="181"/>
      <c r="I366" s="181"/>
      <c r="J366" s="181"/>
      <c r="K366" s="181"/>
      <c r="L366" s="181"/>
      <c r="M366" s="181"/>
      <c r="N366" s="181"/>
      <c r="O366" s="181"/>
      <c r="P366" s="181"/>
      <c r="Q366" s="181"/>
      <c r="R366" s="181"/>
      <c r="S366" s="181"/>
      <c r="T366" s="181"/>
      <c r="U366" s="181"/>
      <c r="V366" s="181"/>
      <c r="W366" s="181"/>
      <c r="X366" s="181"/>
      <c r="Y366" s="181"/>
      <c r="Z366" s="181"/>
    </row>
    <row r="367" customFormat="false" ht="15.75" hidden="false" customHeight="false" outlineLevel="0" collapsed="false">
      <c r="A367" s="181"/>
      <c r="B367" s="181"/>
      <c r="C367" s="181"/>
      <c r="D367" s="181"/>
      <c r="E367" s="181"/>
      <c r="F367" s="181"/>
      <c r="G367" s="181"/>
      <c r="H367" s="181"/>
      <c r="I367" s="181"/>
      <c r="J367" s="181"/>
      <c r="K367" s="181"/>
      <c r="L367" s="181"/>
      <c r="M367" s="181"/>
      <c r="N367" s="181"/>
      <c r="O367" s="181"/>
      <c r="P367" s="181"/>
      <c r="Q367" s="181"/>
      <c r="R367" s="181"/>
      <c r="S367" s="181"/>
      <c r="T367" s="181"/>
      <c r="U367" s="181"/>
      <c r="V367" s="181"/>
      <c r="W367" s="181"/>
      <c r="X367" s="181"/>
      <c r="Y367" s="181"/>
      <c r="Z367" s="181"/>
    </row>
    <row r="368" customFormat="false" ht="15.75" hidden="false" customHeight="false" outlineLevel="0" collapsed="false">
      <c r="A368" s="181"/>
      <c r="B368" s="181"/>
      <c r="C368" s="181"/>
      <c r="D368" s="181"/>
      <c r="E368" s="181"/>
      <c r="F368" s="181"/>
      <c r="G368" s="181"/>
      <c r="H368" s="181"/>
      <c r="I368" s="181"/>
      <c r="J368" s="181"/>
      <c r="K368" s="181"/>
      <c r="L368" s="181"/>
      <c r="M368" s="181"/>
      <c r="N368" s="181"/>
      <c r="O368" s="181"/>
      <c r="P368" s="181"/>
      <c r="Q368" s="181"/>
      <c r="R368" s="181"/>
      <c r="S368" s="181"/>
      <c r="T368" s="181"/>
      <c r="U368" s="181"/>
      <c r="V368" s="181"/>
      <c r="W368" s="181"/>
      <c r="X368" s="181"/>
      <c r="Y368" s="181"/>
      <c r="Z368" s="181"/>
    </row>
    <row r="369" customFormat="false" ht="15.75" hidden="false" customHeight="false" outlineLevel="0" collapsed="false">
      <c r="A369" s="181"/>
      <c r="B369" s="181"/>
      <c r="C369" s="181"/>
      <c r="D369" s="181"/>
      <c r="E369" s="181"/>
      <c r="F369" s="181"/>
      <c r="G369" s="181"/>
      <c r="H369" s="181"/>
      <c r="I369" s="181"/>
      <c r="J369" s="181"/>
      <c r="K369" s="181"/>
      <c r="L369" s="181"/>
      <c r="M369" s="181"/>
      <c r="N369" s="181"/>
      <c r="O369" s="181"/>
      <c r="P369" s="181"/>
      <c r="Q369" s="181"/>
      <c r="R369" s="181"/>
      <c r="S369" s="181"/>
      <c r="T369" s="181"/>
      <c r="U369" s="181"/>
      <c r="V369" s="181"/>
      <c r="W369" s="181"/>
      <c r="X369" s="181"/>
      <c r="Y369" s="181"/>
      <c r="Z369" s="181"/>
    </row>
    <row r="370" customFormat="false" ht="15.75" hidden="false" customHeight="false" outlineLevel="0" collapsed="false">
      <c r="A370" s="181"/>
      <c r="B370" s="181"/>
      <c r="C370" s="181"/>
      <c r="D370" s="181"/>
      <c r="E370" s="181"/>
      <c r="F370" s="181"/>
      <c r="G370" s="181"/>
      <c r="H370" s="181"/>
      <c r="I370" s="181"/>
      <c r="J370" s="181"/>
      <c r="K370" s="181"/>
      <c r="L370" s="181"/>
      <c r="M370" s="181"/>
      <c r="N370" s="181"/>
      <c r="O370" s="181"/>
      <c r="P370" s="181"/>
      <c r="Q370" s="181"/>
      <c r="R370" s="181"/>
      <c r="S370" s="181"/>
      <c r="T370" s="181"/>
      <c r="U370" s="181"/>
      <c r="V370" s="181"/>
      <c r="W370" s="181"/>
      <c r="X370" s="181"/>
      <c r="Y370" s="181"/>
      <c r="Z370" s="181"/>
    </row>
    <row r="371" customFormat="false" ht="15.75" hidden="false" customHeight="false" outlineLevel="0" collapsed="false">
      <c r="A371" s="181"/>
      <c r="B371" s="181"/>
      <c r="C371" s="181"/>
      <c r="D371" s="181"/>
      <c r="E371" s="181"/>
      <c r="F371" s="181"/>
      <c r="G371" s="181"/>
      <c r="H371" s="181"/>
      <c r="I371" s="181"/>
      <c r="J371" s="181"/>
      <c r="K371" s="181"/>
      <c r="L371" s="181"/>
      <c r="M371" s="181"/>
      <c r="N371" s="181"/>
      <c r="O371" s="181"/>
      <c r="P371" s="181"/>
      <c r="Q371" s="181"/>
      <c r="R371" s="181"/>
      <c r="S371" s="181"/>
      <c r="T371" s="181"/>
      <c r="U371" s="181"/>
      <c r="V371" s="181"/>
      <c r="W371" s="181"/>
      <c r="X371" s="181"/>
      <c r="Y371" s="181"/>
      <c r="Z371" s="181"/>
    </row>
    <row r="372" customFormat="false" ht="15.75" hidden="false" customHeight="false" outlineLevel="0" collapsed="false">
      <c r="A372" s="181"/>
      <c r="B372" s="181"/>
      <c r="C372" s="181"/>
      <c r="D372" s="181"/>
      <c r="E372" s="181"/>
      <c r="F372" s="181"/>
      <c r="G372" s="181"/>
      <c r="H372" s="181"/>
      <c r="I372" s="181"/>
      <c r="J372" s="181"/>
      <c r="K372" s="181"/>
      <c r="L372" s="181"/>
      <c r="M372" s="181"/>
      <c r="N372" s="181"/>
      <c r="O372" s="181"/>
      <c r="P372" s="181"/>
      <c r="Q372" s="181"/>
      <c r="R372" s="181"/>
      <c r="S372" s="181"/>
      <c r="T372" s="181"/>
      <c r="U372" s="181"/>
      <c r="V372" s="181"/>
      <c r="W372" s="181"/>
      <c r="X372" s="181"/>
      <c r="Y372" s="181"/>
      <c r="Z372" s="181"/>
    </row>
    <row r="373" customFormat="false" ht="15.75" hidden="false" customHeight="false" outlineLevel="0" collapsed="false">
      <c r="A373" s="181"/>
      <c r="B373" s="181"/>
      <c r="C373" s="181"/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</row>
    <row r="374" customFormat="false" ht="15.75" hidden="false" customHeight="false" outlineLevel="0" collapsed="false">
      <c r="A374" s="181"/>
      <c r="B374" s="181"/>
      <c r="C374" s="181"/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</row>
    <row r="375" customFormat="false" ht="15.75" hidden="false" customHeight="false" outlineLevel="0" collapsed="false">
      <c r="A375" s="181"/>
      <c r="B375" s="181"/>
      <c r="C375" s="181"/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</row>
    <row r="376" customFormat="false" ht="15.75" hidden="false" customHeight="false" outlineLevel="0" collapsed="false">
      <c r="A376" s="181"/>
      <c r="B376" s="181"/>
      <c r="C376" s="181"/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</row>
    <row r="377" customFormat="false" ht="15.75" hidden="false" customHeight="false" outlineLevel="0" collapsed="false">
      <c r="A377" s="181"/>
      <c r="B377" s="181"/>
      <c r="C377" s="181"/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</row>
    <row r="378" customFormat="false" ht="15.75" hidden="false" customHeight="false" outlineLevel="0" collapsed="false">
      <c r="A378" s="181"/>
      <c r="B378" s="181"/>
      <c r="C378" s="181"/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</row>
    <row r="379" customFormat="false" ht="15.75" hidden="false" customHeight="false" outlineLevel="0" collapsed="false">
      <c r="A379" s="181"/>
      <c r="B379" s="181"/>
      <c r="C379" s="181"/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</row>
    <row r="380" customFormat="false" ht="15.75" hidden="false" customHeight="false" outlineLevel="0" collapsed="false">
      <c r="A380" s="181"/>
      <c r="B380" s="181"/>
      <c r="C380" s="181"/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</row>
    <row r="381" customFormat="false" ht="15.75" hidden="false" customHeight="false" outlineLevel="0" collapsed="false">
      <c r="A381" s="181"/>
      <c r="B381" s="181"/>
      <c r="C381" s="181"/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</row>
    <row r="382" customFormat="false" ht="15.75" hidden="false" customHeight="false" outlineLevel="0" collapsed="false">
      <c r="A382" s="181"/>
      <c r="B382" s="181"/>
      <c r="C382" s="181"/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</row>
    <row r="383" customFormat="false" ht="15.75" hidden="false" customHeight="false" outlineLevel="0" collapsed="false">
      <c r="A383" s="181"/>
      <c r="B383" s="181"/>
      <c r="C383" s="181"/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</row>
    <row r="384" customFormat="false" ht="15.75" hidden="false" customHeight="false" outlineLevel="0" collapsed="false">
      <c r="A384" s="181"/>
      <c r="B384" s="181"/>
      <c r="C384" s="181"/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</row>
    <row r="385" customFormat="false" ht="15.75" hidden="false" customHeight="false" outlineLevel="0" collapsed="false">
      <c r="A385" s="181"/>
      <c r="B385" s="181"/>
      <c r="C385" s="181"/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</row>
    <row r="386" customFormat="false" ht="15.75" hidden="false" customHeight="false" outlineLevel="0" collapsed="false">
      <c r="A386" s="181"/>
      <c r="B386" s="181"/>
      <c r="C386" s="181"/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</row>
    <row r="387" customFormat="false" ht="15.75" hidden="false" customHeight="false" outlineLevel="0" collapsed="false">
      <c r="A387" s="181"/>
      <c r="B387" s="181"/>
      <c r="C387" s="181"/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</row>
    <row r="388" customFormat="false" ht="15.75" hidden="false" customHeight="false" outlineLevel="0" collapsed="false">
      <c r="A388" s="181"/>
      <c r="B388" s="181"/>
      <c r="C388" s="181"/>
      <c r="D388" s="181"/>
      <c r="E388" s="181"/>
      <c r="F388" s="181"/>
      <c r="G388" s="181"/>
      <c r="H388" s="181"/>
      <c r="I388" s="181"/>
      <c r="J388" s="181"/>
      <c r="K388" s="181"/>
      <c r="L388" s="181"/>
      <c r="M388" s="181"/>
      <c r="N388" s="181"/>
      <c r="O388" s="181"/>
      <c r="P388" s="181"/>
      <c r="Q388" s="181"/>
      <c r="R388" s="181"/>
      <c r="S388" s="181"/>
      <c r="T388" s="181"/>
      <c r="U388" s="181"/>
      <c r="V388" s="181"/>
      <c r="W388" s="181"/>
      <c r="X388" s="181"/>
      <c r="Y388" s="181"/>
      <c r="Z388" s="181"/>
    </row>
    <row r="389" customFormat="false" ht="15.75" hidden="false" customHeight="false" outlineLevel="0" collapsed="false">
      <c r="A389" s="181"/>
      <c r="B389" s="181"/>
      <c r="C389" s="181"/>
      <c r="D389" s="181"/>
      <c r="E389" s="181"/>
      <c r="F389" s="181"/>
      <c r="G389" s="181"/>
      <c r="H389" s="181"/>
      <c r="I389" s="181"/>
      <c r="J389" s="181"/>
      <c r="K389" s="181"/>
      <c r="L389" s="181"/>
      <c r="M389" s="181"/>
      <c r="N389" s="181"/>
      <c r="O389" s="181"/>
      <c r="P389" s="181"/>
      <c r="Q389" s="181"/>
      <c r="R389" s="181"/>
      <c r="S389" s="181"/>
      <c r="T389" s="181"/>
      <c r="U389" s="181"/>
      <c r="V389" s="181"/>
      <c r="W389" s="181"/>
      <c r="X389" s="181"/>
      <c r="Y389" s="181"/>
      <c r="Z389" s="181"/>
    </row>
    <row r="390" customFormat="false" ht="15.75" hidden="false" customHeight="false" outlineLevel="0" collapsed="false">
      <c r="A390" s="181"/>
      <c r="B390" s="181"/>
      <c r="C390" s="181"/>
      <c r="D390" s="181"/>
      <c r="E390" s="181"/>
      <c r="F390" s="181"/>
      <c r="G390" s="181"/>
      <c r="H390" s="181"/>
      <c r="I390" s="181"/>
      <c r="J390" s="181"/>
      <c r="K390" s="181"/>
      <c r="L390" s="181"/>
      <c r="M390" s="181"/>
      <c r="N390" s="181"/>
      <c r="O390" s="181"/>
      <c r="P390" s="181"/>
      <c r="Q390" s="181"/>
      <c r="R390" s="181"/>
      <c r="S390" s="181"/>
      <c r="T390" s="181"/>
      <c r="U390" s="181"/>
      <c r="V390" s="181"/>
      <c r="W390" s="181"/>
      <c r="X390" s="181"/>
      <c r="Y390" s="181"/>
      <c r="Z390" s="181"/>
    </row>
    <row r="391" customFormat="false" ht="15.75" hidden="false" customHeight="false" outlineLevel="0" collapsed="false">
      <c r="A391" s="181"/>
      <c r="B391" s="181"/>
      <c r="C391" s="181"/>
      <c r="D391" s="181"/>
      <c r="E391" s="181"/>
      <c r="F391" s="181"/>
      <c r="G391" s="181"/>
      <c r="H391" s="181"/>
      <c r="I391" s="181"/>
      <c r="J391" s="181"/>
      <c r="K391" s="181"/>
      <c r="L391" s="181"/>
      <c r="M391" s="181"/>
      <c r="N391" s="181"/>
      <c r="O391" s="181"/>
      <c r="P391" s="181"/>
      <c r="Q391" s="181"/>
      <c r="R391" s="181"/>
      <c r="S391" s="181"/>
      <c r="T391" s="181"/>
      <c r="U391" s="181"/>
      <c r="V391" s="181"/>
      <c r="W391" s="181"/>
      <c r="X391" s="181"/>
      <c r="Y391" s="181"/>
      <c r="Z391" s="181"/>
    </row>
    <row r="392" customFormat="false" ht="15.75" hidden="false" customHeight="false" outlineLevel="0" collapsed="false">
      <c r="A392" s="181"/>
      <c r="B392" s="181"/>
      <c r="C392" s="181"/>
      <c r="D392" s="181"/>
      <c r="E392" s="181"/>
      <c r="F392" s="181"/>
      <c r="G392" s="181"/>
      <c r="H392" s="181"/>
      <c r="I392" s="181"/>
      <c r="J392" s="181"/>
      <c r="K392" s="181"/>
      <c r="L392" s="181"/>
      <c r="M392" s="181"/>
      <c r="N392" s="181"/>
      <c r="O392" s="181"/>
      <c r="P392" s="181"/>
      <c r="Q392" s="181"/>
      <c r="R392" s="181"/>
      <c r="S392" s="181"/>
      <c r="T392" s="181"/>
      <c r="U392" s="181"/>
      <c r="V392" s="181"/>
      <c r="W392" s="181"/>
      <c r="X392" s="181"/>
      <c r="Y392" s="181"/>
      <c r="Z392" s="181"/>
    </row>
    <row r="393" customFormat="false" ht="15.75" hidden="false" customHeight="false" outlineLevel="0" collapsed="false">
      <c r="A393" s="181"/>
      <c r="B393" s="181"/>
      <c r="C393" s="181"/>
      <c r="D393" s="181"/>
      <c r="E393" s="181"/>
      <c r="F393" s="181"/>
      <c r="G393" s="181"/>
      <c r="H393" s="181"/>
      <c r="I393" s="181"/>
      <c r="J393" s="181"/>
      <c r="K393" s="181"/>
      <c r="L393" s="181"/>
      <c r="M393" s="181"/>
      <c r="N393" s="181"/>
      <c r="O393" s="181"/>
      <c r="P393" s="181"/>
      <c r="Q393" s="181"/>
      <c r="R393" s="181"/>
      <c r="S393" s="181"/>
      <c r="T393" s="181"/>
      <c r="U393" s="181"/>
      <c r="V393" s="181"/>
      <c r="W393" s="181"/>
      <c r="X393" s="181"/>
      <c r="Y393" s="181"/>
      <c r="Z393" s="181"/>
    </row>
    <row r="394" customFormat="false" ht="15.75" hidden="false" customHeight="false" outlineLevel="0" collapsed="false">
      <c r="A394" s="181"/>
      <c r="B394" s="181"/>
      <c r="C394" s="181"/>
      <c r="D394" s="181"/>
      <c r="E394" s="181"/>
      <c r="F394" s="181"/>
      <c r="G394" s="181"/>
      <c r="H394" s="181"/>
      <c r="I394" s="181"/>
      <c r="J394" s="181"/>
      <c r="K394" s="181"/>
      <c r="L394" s="181"/>
      <c r="M394" s="181"/>
      <c r="N394" s="181"/>
      <c r="O394" s="181"/>
      <c r="P394" s="181"/>
      <c r="Q394" s="181"/>
      <c r="R394" s="181"/>
      <c r="S394" s="181"/>
      <c r="T394" s="181"/>
      <c r="U394" s="181"/>
      <c r="V394" s="181"/>
      <c r="W394" s="181"/>
      <c r="X394" s="181"/>
      <c r="Y394" s="181"/>
      <c r="Z394" s="181"/>
    </row>
    <row r="395" customFormat="false" ht="15.75" hidden="false" customHeight="false" outlineLevel="0" collapsed="false">
      <c r="A395" s="181"/>
      <c r="B395" s="181"/>
      <c r="C395" s="181"/>
      <c r="D395" s="181"/>
      <c r="E395" s="181"/>
      <c r="F395" s="181"/>
      <c r="G395" s="181"/>
      <c r="H395" s="181"/>
      <c r="I395" s="181"/>
      <c r="J395" s="181"/>
      <c r="K395" s="181"/>
      <c r="L395" s="181"/>
      <c r="M395" s="181"/>
      <c r="N395" s="181"/>
      <c r="O395" s="181"/>
      <c r="P395" s="181"/>
      <c r="Q395" s="181"/>
      <c r="R395" s="181"/>
      <c r="S395" s="181"/>
      <c r="T395" s="181"/>
      <c r="U395" s="181"/>
      <c r="V395" s="181"/>
      <c r="W395" s="181"/>
      <c r="X395" s="181"/>
      <c r="Y395" s="181"/>
      <c r="Z395" s="181"/>
    </row>
    <row r="396" customFormat="false" ht="15.75" hidden="false" customHeight="false" outlineLevel="0" collapsed="false">
      <c r="A396" s="181"/>
      <c r="B396" s="181"/>
      <c r="C396" s="181"/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</row>
    <row r="397" customFormat="false" ht="15.75" hidden="false" customHeight="false" outlineLevel="0" collapsed="false">
      <c r="A397" s="181"/>
      <c r="B397" s="181"/>
      <c r="C397" s="181"/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</row>
    <row r="398" customFormat="false" ht="15.75" hidden="false" customHeight="false" outlineLevel="0" collapsed="false">
      <c r="A398" s="181"/>
      <c r="B398" s="181"/>
      <c r="C398" s="181"/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</row>
    <row r="399" customFormat="false" ht="15.75" hidden="false" customHeight="false" outlineLevel="0" collapsed="false">
      <c r="A399" s="181"/>
      <c r="B399" s="181"/>
      <c r="C399" s="181"/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</row>
    <row r="400" customFormat="false" ht="15.75" hidden="false" customHeight="false" outlineLevel="0" collapsed="false">
      <c r="A400" s="181"/>
      <c r="B400" s="181"/>
      <c r="C400" s="181"/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</row>
    <row r="401" customFormat="false" ht="15.75" hidden="false" customHeight="false" outlineLevel="0" collapsed="false">
      <c r="A401" s="181"/>
      <c r="B401" s="181"/>
      <c r="C401" s="181"/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</row>
    <row r="402" customFormat="false" ht="15.75" hidden="false" customHeight="false" outlineLevel="0" collapsed="false">
      <c r="A402" s="181"/>
      <c r="B402" s="181"/>
      <c r="C402" s="181"/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</row>
    <row r="403" customFormat="false" ht="15.75" hidden="false" customHeight="false" outlineLevel="0" collapsed="false">
      <c r="A403" s="181"/>
      <c r="B403" s="181"/>
      <c r="C403" s="181"/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</row>
    <row r="404" customFormat="false" ht="15.75" hidden="false" customHeight="false" outlineLevel="0" collapsed="false">
      <c r="A404" s="181"/>
      <c r="B404" s="181"/>
      <c r="C404" s="181"/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</row>
    <row r="405" customFormat="false" ht="15.75" hidden="false" customHeight="false" outlineLevel="0" collapsed="false">
      <c r="A405" s="181"/>
      <c r="B405" s="181"/>
      <c r="C405" s="181"/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</row>
    <row r="406" customFormat="false" ht="15.75" hidden="false" customHeight="false" outlineLevel="0" collapsed="false">
      <c r="A406" s="181"/>
      <c r="B406" s="181"/>
      <c r="C406" s="181"/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</row>
    <row r="407" customFormat="false" ht="15.75" hidden="false" customHeight="false" outlineLevel="0" collapsed="false">
      <c r="A407" s="181"/>
      <c r="B407" s="181"/>
      <c r="C407" s="181"/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</row>
    <row r="408" customFormat="false" ht="15.75" hidden="false" customHeight="false" outlineLevel="0" collapsed="false">
      <c r="A408" s="181"/>
      <c r="B408" s="181"/>
      <c r="C408" s="181"/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</row>
    <row r="409" customFormat="false" ht="15.75" hidden="false" customHeight="false" outlineLevel="0" collapsed="false">
      <c r="A409" s="181"/>
      <c r="B409" s="181"/>
      <c r="C409" s="181"/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</row>
    <row r="410" customFormat="false" ht="15.75" hidden="false" customHeight="false" outlineLevel="0" collapsed="false">
      <c r="A410" s="181"/>
      <c r="B410" s="181"/>
      <c r="C410" s="181"/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</row>
    <row r="411" customFormat="false" ht="15.75" hidden="false" customHeight="false" outlineLevel="0" collapsed="false">
      <c r="A411" s="181"/>
      <c r="B411" s="181"/>
      <c r="C411" s="181"/>
      <c r="D411" s="181"/>
      <c r="E411" s="181"/>
      <c r="F411" s="181"/>
      <c r="G411" s="181"/>
      <c r="H411" s="181"/>
      <c r="I411" s="181"/>
      <c r="J411" s="181"/>
      <c r="K411" s="181"/>
      <c r="L411" s="181"/>
      <c r="M411" s="181"/>
      <c r="N411" s="181"/>
      <c r="O411" s="181"/>
      <c r="P411" s="181"/>
      <c r="Q411" s="181"/>
      <c r="R411" s="181"/>
      <c r="S411" s="181"/>
      <c r="T411" s="181"/>
      <c r="U411" s="181"/>
      <c r="V411" s="181"/>
      <c r="W411" s="181"/>
      <c r="X411" s="181"/>
      <c r="Y411" s="181"/>
      <c r="Z411" s="181"/>
    </row>
    <row r="412" customFormat="false" ht="15.75" hidden="false" customHeight="false" outlineLevel="0" collapsed="false">
      <c r="A412" s="181"/>
      <c r="B412" s="181"/>
      <c r="C412" s="181"/>
      <c r="D412" s="181"/>
      <c r="E412" s="181"/>
      <c r="F412" s="181"/>
      <c r="G412" s="181"/>
      <c r="H412" s="181"/>
      <c r="I412" s="181"/>
      <c r="J412" s="181"/>
      <c r="K412" s="181"/>
      <c r="L412" s="181"/>
      <c r="M412" s="181"/>
      <c r="N412" s="181"/>
      <c r="O412" s="181"/>
      <c r="P412" s="181"/>
      <c r="Q412" s="181"/>
      <c r="R412" s="181"/>
      <c r="S412" s="181"/>
      <c r="T412" s="181"/>
      <c r="U412" s="181"/>
      <c r="V412" s="181"/>
      <c r="W412" s="181"/>
      <c r="X412" s="181"/>
      <c r="Y412" s="181"/>
      <c r="Z412" s="181"/>
    </row>
    <row r="413" customFormat="false" ht="15.75" hidden="false" customHeight="false" outlineLevel="0" collapsed="false">
      <c r="A413" s="181"/>
      <c r="B413" s="181"/>
      <c r="C413" s="181"/>
      <c r="D413" s="181"/>
      <c r="E413" s="181"/>
      <c r="F413" s="181"/>
      <c r="G413" s="181"/>
      <c r="H413" s="181"/>
      <c r="I413" s="181"/>
      <c r="J413" s="181"/>
      <c r="K413" s="181"/>
      <c r="L413" s="181"/>
      <c r="M413" s="181"/>
      <c r="N413" s="181"/>
      <c r="O413" s="181"/>
      <c r="P413" s="181"/>
      <c r="Q413" s="181"/>
      <c r="R413" s="181"/>
      <c r="S413" s="181"/>
      <c r="T413" s="181"/>
      <c r="U413" s="181"/>
      <c r="V413" s="181"/>
      <c r="W413" s="181"/>
      <c r="X413" s="181"/>
      <c r="Y413" s="181"/>
      <c r="Z413" s="181"/>
    </row>
    <row r="414" customFormat="false" ht="15.75" hidden="false" customHeight="false" outlineLevel="0" collapsed="false">
      <c r="A414" s="181"/>
      <c r="B414" s="181"/>
      <c r="C414" s="181"/>
      <c r="D414" s="181"/>
      <c r="E414" s="181"/>
      <c r="F414" s="181"/>
      <c r="G414" s="181"/>
      <c r="H414" s="181"/>
      <c r="I414" s="181"/>
      <c r="J414" s="181"/>
      <c r="K414" s="181"/>
      <c r="L414" s="181"/>
      <c r="M414" s="181"/>
      <c r="N414" s="181"/>
      <c r="O414" s="181"/>
      <c r="P414" s="181"/>
      <c r="Q414" s="181"/>
      <c r="R414" s="181"/>
      <c r="S414" s="181"/>
      <c r="T414" s="181"/>
      <c r="U414" s="181"/>
      <c r="V414" s="181"/>
      <c r="W414" s="181"/>
      <c r="X414" s="181"/>
      <c r="Y414" s="181"/>
      <c r="Z414" s="181"/>
    </row>
    <row r="415" customFormat="false" ht="15.75" hidden="false" customHeight="false" outlineLevel="0" collapsed="false">
      <c r="A415" s="181"/>
      <c r="B415" s="181"/>
      <c r="C415" s="181"/>
      <c r="D415" s="181"/>
      <c r="E415" s="181"/>
      <c r="F415" s="181"/>
      <c r="G415" s="181"/>
      <c r="H415" s="181"/>
      <c r="I415" s="181"/>
      <c r="J415" s="181"/>
      <c r="K415" s="181"/>
      <c r="L415" s="181"/>
      <c r="M415" s="181"/>
      <c r="N415" s="181"/>
      <c r="O415" s="181"/>
      <c r="P415" s="181"/>
      <c r="Q415" s="181"/>
      <c r="R415" s="181"/>
      <c r="S415" s="181"/>
      <c r="T415" s="181"/>
      <c r="U415" s="181"/>
      <c r="V415" s="181"/>
      <c r="W415" s="181"/>
      <c r="X415" s="181"/>
      <c r="Y415" s="181"/>
      <c r="Z415" s="181"/>
    </row>
    <row r="416" customFormat="false" ht="15.75" hidden="false" customHeight="false" outlineLevel="0" collapsed="false">
      <c r="A416" s="181"/>
      <c r="B416" s="181"/>
      <c r="C416" s="181"/>
      <c r="D416" s="181"/>
      <c r="E416" s="181"/>
      <c r="F416" s="181"/>
      <c r="G416" s="181"/>
      <c r="H416" s="181"/>
      <c r="I416" s="181"/>
      <c r="J416" s="181"/>
      <c r="K416" s="181"/>
      <c r="L416" s="181"/>
      <c r="M416" s="181"/>
      <c r="N416" s="181"/>
      <c r="O416" s="181"/>
      <c r="P416" s="181"/>
      <c r="Q416" s="181"/>
      <c r="R416" s="181"/>
      <c r="S416" s="181"/>
      <c r="T416" s="181"/>
      <c r="U416" s="181"/>
      <c r="V416" s="181"/>
      <c r="W416" s="181"/>
      <c r="X416" s="181"/>
      <c r="Y416" s="181"/>
      <c r="Z416" s="181"/>
    </row>
    <row r="417" customFormat="false" ht="15.75" hidden="false" customHeight="false" outlineLevel="0" collapsed="false">
      <c r="A417" s="181"/>
      <c r="B417" s="181"/>
      <c r="C417" s="181"/>
      <c r="D417" s="181"/>
      <c r="E417" s="181"/>
      <c r="F417" s="181"/>
      <c r="G417" s="181"/>
      <c r="H417" s="181"/>
      <c r="I417" s="181"/>
      <c r="J417" s="181"/>
      <c r="K417" s="181"/>
      <c r="L417" s="181"/>
      <c r="M417" s="181"/>
      <c r="N417" s="181"/>
      <c r="O417" s="181"/>
      <c r="P417" s="181"/>
      <c r="Q417" s="181"/>
      <c r="R417" s="181"/>
      <c r="S417" s="181"/>
      <c r="T417" s="181"/>
      <c r="U417" s="181"/>
      <c r="V417" s="181"/>
      <c r="W417" s="181"/>
      <c r="X417" s="181"/>
      <c r="Y417" s="181"/>
      <c r="Z417" s="181"/>
    </row>
    <row r="418" customFormat="false" ht="15.75" hidden="false" customHeight="false" outlineLevel="0" collapsed="false">
      <c r="A418" s="181"/>
      <c r="B418" s="181"/>
      <c r="C418" s="181"/>
      <c r="D418" s="181"/>
      <c r="E418" s="181"/>
      <c r="F418" s="181"/>
      <c r="G418" s="181"/>
      <c r="H418" s="181"/>
      <c r="I418" s="181"/>
      <c r="J418" s="181"/>
      <c r="K418" s="181"/>
      <c r="L418" s="181"/>
      <c r="M418" s="181"/>
      <c r="N418" s="181"/>
      <c r="O418" s="181"/>
      <c r="P418" s="181"/>
      <c r="Q418" s="181"/>
      <c r="R418" s="181"/>
      <c r="S418" s="181"/>
      <c r="T418" s="181"/>
      <c r="U418" s="181"/>
      <c r="V418" s="181"/>
      <c r="W418" s="181"/>
      <c r="X418" s="181"/>
      <c r="Y418" s="181"/>
      <c r="Z418" s="181"/>
    </row>
    <row r="419" customFormat="false" ht="15.75" hidden="false" customHeight="false" outlineLevel="0" collapsed="false">
      <c r="A419" s="181"/>
      <c r="B419" s="181"/>
      <c r="C419" s="181"/>
      <c r="D419" s="181"/>
      <c r="E419" s="181"/>
      <c r="F419" s="181"/>
      <c r="G419" s="181"/>
      <c r="H419" s="181"/>
      <c r="I419" s="181"/>
      <c r="J419" s="181"/>
      <c r="K419" s="181"/>
      <c r="L419" s="181"/>
      <c r="M419" s="181"/>
      <c r="N419" s="181"/>
      <c r="O419" s="181"/>
      <c r="P419" s="181"/>
      <c r="Q419" s="181"/>
      <c r="R419" s="181"/>
      <c r="S419" s="181"/>
      <c r="T419" s="181"/>
      <c r="U419" s="181"/>
      <c r="V419" s="181"/>
      <c r="W419" s="181"/>
      <c r="X419" s="181"/>
      <c r="Y419" s="181"/>
      <c r="Z419" s="181"/>
    </row>
    <row r="420" customFormat="false" ht="15.75" hidden="false" customHeight="false" outlineLevel="0" collapsed="false">
      <c r="A420" s="181"/>
      <c r="B420" s="181"/>
      <c r="C420" s="181"/>
      <c r="D420" s="181"/>
      <c r="E420" s="181"/>
      <c r="F420" s="181"/>
      <c r="G420" s="181"/>
      <c r="H420" s="181"/>
      <c r="I420" s="181"/>
      <c r="J420" s="181"/>
      <c r="K420" s="181"/>
      <c r="L420" s="181"/>
      <c r="M420" s="181"/>
      <c r="N420" s="181"/>
      <c r="O420" s="181"/>
      <c r="P420" s="181"/>
      <c r="Q420" s="181"/>
      <c r="R420" s="181"/>
      <c r="S420" s="181"/>
      <c r="T420" s="181"/>
      <c r="U420" s="181"/>
      <c r="V420" s="181"/>
      <c r="W420" s="181"/>
      <c r="X420" s="181"/>
      <c r="Y420" s="181"/>
      <c r="Z420" s="181"/>
    </row>
    <row r="421" customFormat="false" ht="15.75" hidden="false" customHeight="false" outlineLevel="0" collapsed="false">
      <c r="A421" s="181"/>
      <c r="B421" s="181"/>
      <c r="C421" s="181"/>
      <c r="D421" s="181"/>
      <c r="E421" s="181"/>
      <c r="F421" s="181"/>
      <c r="G421" s="181"/>
      <c r="H421" s="181"/>
      <c r="I421" s="181"/>
      <c r="J421" s="181"/>
      <c r="K421" s="181"/>
      <c r="L421" s="181"/>
      <c r="M421" s="181"/>
      <c r="N421" s="181"/>
      <c r="O421" s="181"/>
      <c r="P421" s="181"/>
      <c r="Q421" s="181"/>
      <c r="R421" s="181"/>
      <c r="S421" s="181"/>
      <c r="T421" s="181"/>
      <c r="U421" s="181"/>
      <c r="V421" s="181"/>
      <c r="W421" s="181"/>
      <c r="X421" s="181"/>
      <c r="Y421" s="181"/>
      <c r="Z421" s="181"/>
    </row>
    <row r="422" customFormat="false" ht="15.75" hidden="false" customHeight="false" outlineLevel="0" collapsed="false">
      <c r="A422" s="181"/>
      <c r="B422" s="181"/>
      <c r="C422" s="181"/>
      <c r="D422" s="181"/>
      <c r="E422" s="181"/>
      <c r="F422" s="181"/>
      <c r="G422" s="181"/>
      <c r="H422" s="181"/>
      <c r="I422" s="181"/>
      <c r="J422" s="181"/>
      <c r="K422" s="181"/>
      <c r="L422" s="181"/>
      <c r="M422" s="181"/>
      <c r="N422" s="181"/>
      <c r="O422" s="181"/>
      <c r="P422" s="181"/>
      <c r="Q422" s="181"/>
      <c r="R422" s="181"/>
      <c r="S422" s="181"/>
      <c r="T422" s="181"/>
      <c r="U422" s="181"/>
      <c r="V422" s="181"/>
      <c r="W422" s="181"/>
      <c r="X422" s="181"/>
      <c r="Y422" s="181"/>
      <c r="Z422" s="181"/>
    </row>
    <row r="423" customFormat="false" ht="15.75" hidden="false" customHeight="false" outlineLevel="0" collapsed="false">
      <c r="A423" s="181"/>
      <c r="B423" s="181"/>
      <c r="C423" s="181"/>
      <c r="D423" s="181"/>
      <c r="E423" s="181"/>
      <c r="F423" s="181"/>
      <c r="G423" s="181"/>
      <c r="H423" s="181"/>
      <c r="I423" s="181"/>
      <c r="J423" s="181"/>
      <c r="K423" s="181"/>
      <c r="L423" s="181"/>
      <c r="M423" s="181"/>
      <c r="N423" s="181"/>
      <c r="O423" s="181"/>
      <c r="P423" s="181"/>
      <c r="Q423" s="181"/>
      <c r="R423" s="181"/>
      <c r="S423" s="181"/>
      <c r="T423" s="181"/>
      <c r="U423" s="181"/>
      <c r="V423" s="181"/>
      <c r="W423" s="181"/>
      <c r="X423" s="181"/>
      <c r="Y423" s="181"/>
      <c r="Z423" s="181"/>
    </row>
    <row r="424" customFormat="false" ht="15.75" hidden="false" customHeight="false" outlineLevel="0" collapsed="false">
      <c r="A424" s="181"/>
      <c r="B424" s="181"/>
      <c r="C424" s="181"/>
      <c r="D424" s="181"/>
      <c r="E424" s="181"/>
      <c r="F424" s="181"/>
      <c r="G424" s="181"/>
      <c r="H424" s="181"/>
      <c r="I424" s="181"/>
      <c r="J424" s="181"/>
      <c r="K424" s="181"/>
      <c r="L424" s="181"/>
      <c r="M424" s="181"/>
      <c r="N424" s="181"/>
      <c r="O424" s="181"/>
      <c r="P424" s="181"/>
      <c r="Q424" s="181"/>
      <c r="R424" s="181"/>
      <c r="S424" s="181"/>
      <c r="T424" s="181"/>
      <c r="U424" s="181"/>
      <c r="V424" s="181"/>
      <c r="W424" s="181"/>
      <c r="X424" s="181"/>
      <c r="Y424" s="181"/>
      <c r="Z424" s="181"/>
    </row>
    <row r="425" customFormat="false" ht="15.75" hidden="false" customHeight="false" outlineLevel="0" collapsed="false">
      <c r="A425" s="181"/>
      <c r="B425" s="181"/>
      <c r="C425" s="181"/>
      <c r="D425" s="181"/>
      <c r="E425" s="181"/>
      <c r="F425" s="181"/>
      <c r="G425" s="181"/>
      <c r="H425" s="181"/>
      <c r="I425" s="181"/>
      <c r="J425" s="181"/>
      <c r="K425" s="181"/>
      <c r="L425" s="181"/>
      <c r="M425" s="181"/>
      <c r="N425" s="181"/>
      <c r="O425" s="181"/>
      <c r="P425" s="181"/>
      <c r="Q425" s="181"/>
      <c r="R425" s="181"/>
      <c r="S425" s="181"/>
      <c r="T425" s="181"/>
      <c r="U425" s="181"/>
      <c r="V425" s="181"/>
      <c r="W425" s="181"/>
      <c r="X425" s="181"/>
      <c r="Y425" s="181"/>
      <c r="Z425" s="181"/>
    </row>
    <row r="426" customFormat="false" ht="15.75" hidden="false" customHeight="false" outlineLevel="0" collapsed="false">
      <c r="A426" s="181"/>
      <c r="B426" s="181"/>
      <c r="C426" s="181"/>
      <c r="D426" s="181"/>
      <c r="E426" s="181"/>
      <c r="F426" s="181"/>
      <c r="G426" s="181"/>
      <c r="H426" s="181"/>
      <c r="I426" s="181"/>
      <c r="J426" s="181"/>
      <c r="K426" s="181"/>
      <c r="L426" s="181"/>
      <c r="M426" s="181"/>
      <c r="N426" s="181"/>
      <c r="O426" s="181"/>
      <c r="P426" s="181"/>
      <c r="Q426" s="181"/>
      <c r="R426" s="181"/>
      <c r="S426" s="181"/>
      <c r="T426" s="181"/>
      <c r="U426" s="181"/>
      <c r="V426" s="181"/>
      <c r="W426" s="181"/>
      <c r="X426" s="181"/>
      <c r="Y426" s="181"/>
      <c r="Z426" s="181"/>
    </row>
    <row r="427" customFormat="false" ht="15.75" hidden="false" customHeight="false" outlineLevel="0" collapsed="false">
      <c r="A427" s="181"/>
      <c r="B427" s="181"/>
      <c r="C427" s="181"/>
      <c r="D427" s="181"/>
      <c r="E427" s="181"/>
      <c r="F427" s="181"/>
      <c r="G427" s="181"/>
      <c r="H427" s="181"/>
      <c r="I427" s="181"/>
      <c r="J427" s="181"/>
      <c r="K427" s="181"/>
      <c r="L427" s="181"/>
      <c r="M427" s="181"/>
      <c r="N427" s="181"/>
      <c r="O427" s="181"/>
      <c r="P427" s="181"/>
      <c r="Q427" s="181"/>
      <c r="R427" s="181"/>
      <c r="S427" s="181"/>
      <c r="T427" s="181"/>
      <c r="U427" s="181"/>
      <c r="V427" s="181"/>
      <c r="W427" s="181"/>
      <c r="X427" s="181"/>
      <c r="Y427" s="181"/>
      <c r="Z427" s="181"/>
    </row>
    <row r="428" customFormat="false" ht="15.75" hidden="false" customHeight="false" outlineLevel="0" collapsed="false">
      <c r="A428" s="181"/>
      <c r="B428" s="181"/>
      <c r="C428" s="181"/>
      <c r="D428" s="181"/>
      <c r="E428" s="181"/>
      <c r="F428" s="181"/>
      <c r="G428" s="181"/>
      <c r="H428" s="181"/>
      <c r="I428" s="181"/>
      <c r="J428" s="181"/>
      <c r="K428" s="181"/>
      <c r="L428" s="181"/>
      <c r="M428" s="181"/>
      <c r="N428" s="181"/>
      <c r="O428" s="181"/>
      <c r="P428" s="181"/>
      <c r="Q428" s="181"/>
      <c r="R428" s="181"/>
      <c r="S428" s="181"/>
      <c r="T428" s="181"/>
      <c r="U428" s="181"/>
      <c r="V428" s="181"/>
      <c r="W428" s="181"/>
      <c r="X428" s="181"/>
      <c r="Y428" s="181"/>
      <c r="Z428" s="181"/>
    </row>
    <row r="429" customFormat="false" ht="15.75" hidden="false" customHeight="false" outlineLevel="0" collapsed="false">
      <c r="A429" s="181"/>
      <c r="B429" s="181"/>
      <c r="C429" s="181"/>
      <c r="D429" s="181"/>
      <c r="E429" s="181"/>
      <c r="F429" s="181"/>
      <c r="G429" s="181"/>
      <c r="H429" s="181"/>
      <c r="I429" s="181"/>
      <c r="J429" s="181"/>
      <c r="K429" s="181"/>
      <c r="L429" s="181"/>
      <c r="M429" s="181"/>
      <c r="N429" s="181"/>
      <c r="O429" s="181"/>
      <c r="P429" s="181"/>
      <c r="Q429" s="181"/>
      <c r="R429" s="181"/>
      <c r="S429" s="181"/>
      <c r="T429" s="181"/>
      <c r="U429" s="181"/>
      <c r="V429" s="181"/>
      <c r="W429" s="181"/>
      <c r="X429" s="181"/>
      <c r="Y429" s="181"/>
      <c r="Z429" s="181"/>
    </row>
    <row r="430" customFormat="false" ht="15.75" hidden="false" customHeight="false" outlineLevel="0" collapsed="false">
      <c r="A430" s="181"/>
      <c r="B430" s="181"/>
      <c r="C430" s="181"/>
      <c r="D430" s="181"/>
      <c r="E430" s="181"/>
      <c r="F430" s="181"/>
      <c r="G430" s="181"/>
      <c r="H430" s="181"/>
      <c r="I430" s="181"/>
      <c r="J430" s="181"/>
      <c r="K430" s="181"/>
      <c r="L430" s="181"/>
      <c r="M430" s="181"/>
      <c r="N430" s="181"/>
      <c r="O430" s="181"/>
      <c r="P430" s="181"/>
      <c r="Q430" s="181"/>
      <c r="R430" s="181"/>
      <c r="S430" s="181"/>
      <c r="T430" s="181"/>
      <c r="U430" s="181"/>
      <c r="V430" s="181"/>
      <c r="W430" s="181"/>
      <c r="X430" s="181"/>
      <c r="Y430" s="181"/>
      <c r="Z430" s="181"/>
    </row>
    <row r="431" customFormat="false" ht="15.75" hidden="false" customHeight="false" outlineLevel="0" collapsed="false">
      <c r="A431" s="181"/>
      <c r="B431" s="181"/>
      <c r="C431" s="181"/>
      <c r="D431" s="181"/>
      <c r="E431" s="181"/>
      <c r="F431" s="181"/>
      <c r="G431" s="181"/>
      <c r="H431" s="181"/>
      <c r="I431" s="181"/>
      <c r="J431" s="181"/>
      <c r="K431" s="181"/>
      <c r="L431" s="181"/>
      <c r="M431" s="181"/>
      <c r="N431" s="181"/>
      <c r="O431" s="181"/>
      <c r="P431" s="181"/>
      <c r="Q431" s="181"/>
      <c r="R431" s="181"/>
      <c r="S431" s="181"/>
      <c r="T431" s="181"/>
      <c r="U431" s="181"/>
      <c r="V431" s="181"/>
      <c r="W431" s="181"/>
      <c r="X431" s="181"/>
      <c r="Y431" s="181"/>
      <c r="Z431" s="181"/>
    </row>
    <row r="432" customFormat="false" ht="15.75" hidden="false" customHeight="false" outlineLevel="0" collapsed="false">
      <c r="A432" s="181"/>
      <c r="B432" s="181"/>
      <c r="C432" s="181"/>
      <c r="D432" s="181"/>
      <c r="E432" s="181"/>
      <c r="F432" s="181"/>
      <c r="G432" s="181"/>
      <c r="H432" s="181"/>
      <c r="I432" s="181"/>
      <c r="J432" s="181"/>
      <c r="K432" s="181"/>
      <c r="L432" s="181"/>
      <c r="M432" s="181"/>
      <c r="N432" s="181"/>
      <c r="O432" s="181"/>
      <c r="P432" s="181"/>
      <c r="Q432" s="181"/>
      <c r="R432" s="181"/>
      <c r="S432" s="181"/>
      <c r="T432" s="181"/>
      <c r="U432" s="181"/>
      <c r="V432" s="181"/>
      <c r="W432" s="181"/>
      <c r="X432" s="181"/>
      <c r="Y432" s="181"/>
      <c r="Z432" s="181"/>
    </row>
    <row r="433" customFormat="false" ht="15.75" hidden="false" customHeight="false" outlineLevel="0" collapsed="false">
      <c r="A433" s="181"/>
      <c r="B433" s="181"/>
      <c r="C433" s="181"/>
      <c r="D433" s="181"/>
      <c r="E433" s="181"/>
      <c r="F433" s="181"/>
      <c r="G433" s="181"/>
      <c r="H433" s="181"/>
      <c r="I433" s="181"/>
      <c r="J433" s="181"/>
      <c r="K433" s="181"/>
      <c r="L433" s="181"/>
      <c r="M433" s="181"/>
      <c r="N433" s="181"/>
      <c r="O433" s="181"/>
      <c r="P433" s="181"/>
      <c r="Q433" s="181"/>
      <c r="R433" s="181"/>
      <c r="S433" s="181"/>
      <c r="T433" s="181"/>
      <c r="U433" s="181"/>
      <c r="V433" s="181"/>
      <c r="W433" s="181"/>
      <c r="X433" s="181"/>
      <c r="Y433" s="181"/>
      <c r="Z433" s="181"/>
    </row>
    <row r="434" customFormat="false" ht="15.75" hidden="false" customHeight="false" outlineLevel="0" collapsed="false">
      <c r="A434" s="181"/>
      <c r="B434" s="181"/>
      <c r="C434" s="181"/>
      <c r="D434" s="181"/>
      <c r="E434" s="181"/>
      <c r="F434" s="181"/>
      <c r="G434" s="181"/>
      <c r="H434" s="181"/>
      <c r="I434" s="181"/>
      <c r="J434" s="181"/>
      <c r="K434" s="181"/>
      <c r="L434" s="181"/>
      <c r="M434" s="181"/>
      <c r="N434" s="181"/>
      <c r="O434" s="181"/>
      <c r="P434" s="181"/>
      <c r="Q434" s="181"/>
      <c r="R434" s="181"/>
      <c r="S434" s="181"/>
      <c r="T434" s="181"/>
      <c r="U434" s="181"/>
      <c r="V434" s="181"/>
      <c r="W434" s="181"/>
      <c r="X434" s="181"/>
      <c r="Y434" s="181"/>
      <c r="Z434" s="181"/>
    </row>
    <row r="435" customFormat="false" ht="15.75" hidden="false" customHeight="false" outlineLevel="0" collapsed="false">
      <c r="A435" s="181"/>
      <c r="B435" s="181"/>
      <c r="C435" s="181"/>
      <c r="D435" s="181"/>
      <c r="E435" s="181"/>
      <c r="F435" s="181"/>
      <c r="G435" s="181"/>
      <c r="H435" s="181"/>
      <c r="I435" s="181"/>
      <c r="J435" s="181"/>
      <c r="K435" s="181"/>
      <c r="L435" s="181"/>
      <c r="M435" s="181"/>
      <c r="N435" s="181"/>
      <c r="O435" s="181"/>
      <c r="P435" s="181"/>
      <c r="Q435" s="181"/>
      <c r="R435" s="181"/>
      <c r="S435" s="181"/>
      <c r="T435" s="181"/>
      <c r="U435" s="181"/>
      <c r="V435" s="181"/>
      <c r="W435" s="181"/>
      <c r="X435" s="181"/>
      <c r="Y435" s="181"/>
      <c r="Z435" s="181"/>
    </row>
    <row r="436" customFormat="false" ht="15.75" hidden="false" customHeight="false" outlineLevel="0" collapsed="false">
      <c r="A436" s="181"/>
      <c r="B436" s="181"/>
      <c r="C436" s="181"/>
      <c r="D436" s="181"/>
      <c r="E436" s="181"/>
      <c r="F436" s="181"/>
      <c r="G436" s="181"/>
      <c r="H436" s="181"/>
      <c r="I436" s="181"/>
      <c r="J436" s="181"/>
      <c r="K436" s="181"/>
      <c r="L436" s="181"/>
      <c r="M436" s="181"/>
      <c r="N436" s="181"/>
      <c r="O436" s="181"/>
      <c r="P436" s="181"/>
      <c r="Q436" s="181"/>
      <c r="R436" s="181"/>
      <c r="S436" s="181"/>
      <c r="T436" s="181"/>
      <c r="U436" s="181"/>
      <c r="V436" s="181"/>
      <c r="W436" s="181"/>
      <c r="X436" s="181"/>
      <c r="Y436" s="181"/>
      <c r="Z436" s="181"/>
    </row>
    <row r="437" customFormat="false" ht="15.75" hidden="false" customHeight="false" outlineLevel="0" collapsed="false">
      <c r="A437" s="181"/>
      <c r="B437" s="181"/>
      <c r="C437" s="181"/>
      <c r="D437" s="181"/>
      <c r="E437" s="181"/>
      <c r="F437" s="181"/>
      <c r="G437" s="181"/>
      <c r="H437" s="181"/>
      <c r="I437" s="181"/>
      <c r="J437" s="181"/>
      <c r="K437" s="181"/>
      <c r="L437" s="181"/>
      <c r="M437" s="181"/>
      <c r="N437" s="181"/>
      <c r="O437" s="181"/>
      <c r="P437" s="181"/>
      <c r="Q437" s="181"/>
      <c r="R437" s="181"/>
      <c r="S437" s="181"/>
      <c r="T437" s="181"/>
      <c r="U437" s="181"/>
      <c r="V437" s="181"/>
      <c r="W437" s="181"/>
      <c r="X437" s="181"/>
      <c r="Y437" s="181"/>
      <c r="Z437" s="181"/>
    </row>
    <row r="438" customFormat="false" ht="15.75" hidden="false" customHeight="false" outlineLevel="0" collapsed="false">
      <c r="A438" s="181"/>
      <c r="B438" s="181"/>
      <c r="C438" s="181"/>
      <c r="D438" s="181"/>
      <c r="E438" s="181"/>
      <c r="F438" s="181"/>
      <c r="G438" s="181"/>
      <c r="H438" s="181"/>
      <c r="I438" s="181"/>
      <c r="J438" s="181"/>
      <c r="K438" s="181"/>
      <c r="L438" s="181"/>
      <c r="M438" s="181"/>
      <c r="N438" s="181"/>
      <c r="O438" s="181"/>
      <c r="P438" s="181"/>
      <c r="Q438" s="181"/>
      <c r="R438" s="181"/>
      <c r="S438" s="181"/>
      <c r="T438" s="181"/>
      <c r="U438" s="181"/>
      <c r="V438" s="181"/>
      <c r="W438" s="181"/>
      <c r="X438" s="181"/>
      <c r="Y438" s="181"/>
      <c r="Z438" s="181"/>
    </row>
    <row r="439" customFormat="false" ht="15.75" hidden="false" customHeight="false" outlineLevel="0" collapsed="false">
      <c r="A439" s="181"/>
      <c r="B439" s="181"/>
      <c r="C439" s="181"/>
      <c r="D439" s="181"/>
      <c r="E439" s="181"/>
      <c r="F439" s="181"/>
      <c r="G439" s="181"/>
      <c r="H439" s="181"/>
      <c r="I439" s="181"/>
      <c r="J439" s="181"/>
      <c r="K439" s="181"/>
      <c r="L439" s="181"/>
      <c r="M439" s="181"/>
      <c r="N439" s="181"/>
      <c r="O439" s="181"/>
      <c r="P439" s="181"/>
      <c r="Q439" s="181"/>
      <c r="R439" s="181"/>
      <c r="S439" s="181"/>
      <c r="T439" s="181"/>
      <c r="U439" s="181"/>
      <c r="V439" s="181"/>
      <c r="W439" s="181"/>
      <c r="X439" s="181"/>
      <c r="Y439" s="181"/>
      <c r="Z439" s="181"/>
    </row>
    <row r="440" customFormat="false" ht="15.75" hidden="false" customHeight="false" outlineLevel="0" collapsed="false">
      <c r="A440" s="181"/>
      <c r="B440" s="181"/>
      <c r="C440" s="181"/>
      <c r="D440" s="181"/>
      <c r="E440" s="181"/>
      <c r="F440" s="181"/>
      <c r="G440" s="181"/>
      <c r="H440" s="181"/>
      <c r="I440" s="181"/>
      <c r="J440" s="181"/>
      <c r="K440" s="181"/>
      <c r="L440" s="181"/>
      <c r="M440" s="181"/>
      <c r="N440" s="181"/>
      <c r="O440" s="181"/>
      <c r="P440" s="181"/>
      <c r="Q440" s="181"/>
      <c r="R440" s="181"/>
      <c r="S440" s="181"/>
      <c r="T440" s="181"/>
      <c r="U440" s="181"/>
      <c r="V440" s="181"/>
      <c r="W440" s="181"/>
      <c r="X440" s="181"/>
      <c r="Y440" s="181"/>
      <c r="Z440" s="181"/>
    </row>
    <row r="441" customFormat="false" ht="15.75" hidden="false" customHeight="false" outlineLevel="0" collapsed="false">
      <c r="A441" s="181"/>
      <c r="B441" s="181"/>
      <c r="C441" s="181"/>
      <c r="D441" s="181"/>
      <c r="E441" s="181"/>
      <c r="F441" s="181"/>
      <c r="G441" s="181"/>
      <c r="H441" s="181"/>
      <c r="I441" s="181"/>
      <c r="J441" s="181"/>
      <c r="K441" s="181"/>
      <c r="L441" s="181"/>
      <c r="M441" s="181"/>
      <c r="N441" s="181"/>
      <c r="O441" s="181"/>
      <c r="P441" s="181"/>
      <c r="Q441" s="181"/>
      <c r="R441" s="181"/>
      <c r="S441" s="181"/>
      <c r="T441" s="181"/>
      <c r="U441" s="181"/>
      <c r="V441" s="181"/>
      <c r="W441" s="181"/>
      <c r="X441" s="181"/>
      <c r="Y441" s="181"/>
      <c r="Z441" s="181"/>
    </row>
    <row r="442" customFormat="false" ht="15.75" hidden="false" customHeight="false" outlineLevel="0" collapsed="false">
      <c r="A442" s="181"/>
      <c r="B442" s="181"/>
      <c r="C442" s="181"/>
      <c r="D442" s="181"/>
      <c r="E442" s="181"/>
      <c r="F442" s="181"/>
      <c r="G442" s="181"/>
      <c r="H442" s="181"/>
      <c r="I442" s="181"/>
      <c r="J442" s="181"/>
      <c r="K442" s="181"/>
      <c r="L442" s="181"/>
      <c r="M442" s="181"/>
      <c r="N442" s="181"/>
      <c r="O442" s="181"/>
      <c r="P442" s="181"/>
      <c r="Q442" s="181"/>
      <c r="R442" s="181"/>
      <c r="S442" s="181"/>
      <c r="T442" s="181"/>
      <c r="U442" s="181"/>
      <c r="V442" s="181"/>
      <c r="W442" s="181"/>
      <c r="X442" s="181"/>
      <c r="Y442" s="181"/>
      <c r="Z442" s="181"/>
    </row>
    <row r="443" customFormat="false" ht="15.75" hidden="false" customHeight="false" outlineLevel="0" collapsed="false">
      <c r="A443" s="181"/>
      <c r="B443" s="181"/>
      <c r="C443" s="181"/>
      <c r="D443" s="181"/>
      <c r="E443" s="181"/>
      <c r="F443" s="181"/>
      <c r="G443" s="181"/>
      <c r="H443" s="181"/>
      <c r="I443" s="181"/>
      <c r="J443" s="181"/>
      <c r="K443" s="181"/>
      <c r="L443" s="181"/>
      <c r="M443" s="181"/>
      <c r="N443" s="181"/>
      <c r="O443" s="181"/>
      <c r="P443" s="181"/>
      <c r="Q443" s="181"/>
      <c r="R443" s="181"/>
      <c r="S443" s="181"/>
      <c r="T443" s="181"/>
      <c r="U443" s="181"/>
      <c r="V443" s="181"/>
      <c r="W443" s="181"/>
      <c r="X443" s="181"/>
      <c r="Y443" s="181"/>
      <c r="Z443" s="181"/>
    </row>
    <row r="444" customFormat="false" ht="15.75" hidden="false" customHeight="false" outlineLevel="0" collapsed="false">
      <c r="A444" s="181"/>
      <c r="B444" s="181"/>
      <c r="C444" s="181"/>
      <c r="D444" s="181"/>
      <c r="E444" s="181"/>
      <c r="F444" s="181"/>
      <c r="G444" s="181"/>
      <c r="H444" s="181"/>
      <c r="I444" s="181"/>
      <c r="J444" s="181"/>
      <c r="K444" s="181"/>
      <c r="L444" s="181"/>
      <c r="M444" s="181"/>
      <c r="N444" s="181"/>
      <c r="O444" s="181"/>
      <c r="P444" s="181"/>
      <c r="Q444" s="181"/>
      <c r="R444" s="181"/>
      <c r="S444" s="181"/>
      <c r="T444" s="181"/>
      <c r="U444" s="181"/>
      <c r="V444" s="181"/>
      <c r="W444" s="181"/>
      <c r="X444" s="181"/>
      <c r="Y444" s="181"/>
      <c r="Z444" s="181"/>
    </row>
    <row r="445" customFormat="false" ht="15.75" hidden="false" customHeight="false" outlineLevel="0" collapsed="false">
      <c r="A445" s="181"/>
      <c r="B445" s="181"/>
      <c r="C445" s="181"/>
      <c r="D445" s="181"/>
      <c r="E445" s="181"/>
      <c r="F445" s="181"/>
      <c r="G445" s="181"/>
      <c r="H445" s="181"/>
      <c r="I445" s="181"/>
      <c r="J445" s="181"/>
      <c r="K445" s="181"/>
      <c r="L445" s="181"/>
      <c r="M445" s="181"/>
      <c r="N445" s="181"/>
      <c r="O445" s="181"/>
      <c r="P445" s="181"/>
      <c r="Q445" s="181"/>
      <c r="R445" s="181"/>
      <c r="S445" s="181"/>
      <c r="T445" s="181"/>
      <c r="U445" s="181"/>
      <c r="V445" s="181"/>
      <c r="W445" s="181"/>
      <c r="X445" s="181"/>
      <c r="Y445" s="181"/>
      <c r="Z445" s="181"/>
    </row>
    <row r="446" customFormat="false" ht="15.75" hidden="false" customHeight="false" outlineLevel="0" collapsed="false">
      <c r="A446" s="181"/>
      <c r="B446" s="181"/>
      <c r="C446" s="181"/>
      <c r="D446" s="181"/>
      <c r="E446" s="181"/>
      <c r="F446" s="181"/>
      <c r="G446" s="181"/>
      <c r="H446" s="181"/>
      <c r="I446" s="181"/>
      <c r="J446" s="181"/>
      <c r="K446" s="181"/>
      <c r="L446" s="181"/>
      <c r="M446" s="181"/>
      <c r="N446" s="181"/>
      <c r="O446" s="181"/>
      <c r="P446" s="181"/>
      <c r="Q446" s="181"/>
      <c r="R446" s="181"/>
      <c r="S446" s="181"/>
      <c r="T446" s="181"/>
      <c r="U446" s="181"/>
      <c r="V446" s="181"/>
      <c r="W446" s="181"/>
      <c r="X446" s="181"/>
      <c r="Y446" s="181"/>
      <c r="Z446" s="181"/>
    </row>
    <row r="447" customFormat="false" ht="15.75" hidden="false" customHeight="false" outlineLevel="0" collapsed="false">
      <c r="A447" s="181"/>
      <c r="B447" s="181"/>
      <c r="C447" s="181"/>
      <c r="D447" s="181"/>
      <c r="E447" s="181"/>
      <c r="F447" s="181"/>
      <c r="G447" s="181"/>
      <c r="H447" s="181"/>
      <c r="I447" s="181"/>
      <c r="J447" s="181"/>
      <c r="K447" s="181"/>
      <c r="L447" s="181"/>
      <c r="M447" s="181"/>
      <c r="N447" s="181"/>
      <c r="O447" s="181"/>
      <c r="P447" s="181"/>
      <c r="Q447" s="181"/>
      <c r="R447" s="181"/>
      <c r="S447" s="181"/>
      <c r="T447" s="181"/>
      <c r="U447" s="181"/>
      <c r="V447" s="181"/>
      <c r="W447" s="181"/>
      <c r="X447" s="181"/>
      <c r="Y447" s="181"/>
      <c r="Z447" s="181"/>
    </row>
    <row r="448" customFormat="false" ht="15.75" hidden="false" customHeight="false" outlineLevel="0" collapsed="false">
      <c r="A448" s="181"/>
      <c r="B448" s="181"/>
      <c r="C448" s="181"/>
      <c r="D448" s="181"/>
      <c r="E448" s="181"/>
      <c r="F448" s="181"/>
      <c r="G448" s="181"/>
      <c r="H448" s="181"/>
      <c r="I448" s="181"/>
      <c r="J448" s="181"/>
      <c r="K448" s="181"/>
      <c r="L448" s="181"/>
      <c r="M448" s="181"/>
      <c r="N448" s="181"/>
      <c r="O448" s="181"/>
      <c r="P448" s="181"/>
      <c r="Q448" s="181"/>
      <c r="R448" s="181"/>
      <c r="S448" s="181"/>
      <c r="T448" s="181"/>
      <c r="U448" s="181"/>
      <c r="V448" s="181"/>
      <c r="W448" s="181"/>
      <c r="X448" s="181"/>
      <c r="Y448" s="181"/>
      <c r="Z448" s="181"/>
    </row>
    <row r="449" customFormat="false" ht="15.75" hidden="false" customHeight="false" outlineLevel="0" collapsed="false">
      <c r="A449" s="181"/>
      <c r="B449" s="181"/>
      <c r="C449" s="181"/>
      <c r="D449" s="181"/>
      <c r="E449" s="181"/>
      <c r="F449" s="181"/>
      <c r="G449" s="181"/>
      <c r="H449" s="181"/>
      <c r="I449" s="181"/>
      <c r="J449" s="181"/>
      <c r="K449" s="181"/>
      <c r="L449" s="181"/>
      <c r="M449" s="181"/>
      <c r="N449" s="181"/>
      <c r="O449" s="181"/>
      <c r="P449" s="181"/>
      <c r="Q449" s="181"/>
      <c r="R449" s="181"/>
      <c r="S449" s="181"/>
      <c r="T449" s="181"/>
      <c r="U449" s="181"/>
      <c r="V449" s="181"/>
      <c r="W449" s="181"/>
      <c r="X449" s="181"/>
      <c r="Y449" s="181"/>
      <c r="Z449" s="181"/>
    </row>
    <row r="450" customFormat="false" ht="15.75" hidden="false" customHeight="false" outlineLevel="0" collapsed="false">
      <c r="A450" s="181"/>
      <c r="B450" s="181"/>
      <c r="C450" s="181"/>
      <c r="D450" s="181"/>
      <c r="E450" s="181"/>
      <c r="F450" s="181"/>
      <c r="G450" s="181"/>
      <c r="H450" s="181"/>
      <c r="I450" s="181"/>
      <c r="J450" s="181"/>
      <c r="K450" s="181"/>
      <c r="L450" s="181"/>
      <c r="M450" s="181"/>
      <c r="N450" s="181"/>
      <c r="O450" s="181"/>
      <c r="P450" s="181"/>
      <c r="Q450" s="181"/>
      <c r="R450" s="181"/>
      <c r="S450" s="181"/>
      <c r="T450" s="181"/>
      <c r="U450" s="181"/>
      <c r="V450" s="181"/>
      <c r="W450" s="181"/>
      <c r="X450" s="181"/>
      <c r="Y450" s="181"/>
      <c r="Z450" s="181"/>
    </row>
    <row r="451" customFormat="false" ht="15.75" hidden="false" customHeight="false" outlineLevel="0" collapsed="false">
      <c r="A451" s="181"/>
      <c r="B451" s="181"/>
      <c r="C451" s="181"/>
      <c r="D451" s="181"/>
      <c r="E451" s="181"/>
      <c r="F451" s="181"/>
      <c r="G451" s="181"/>
      <c r="H451" s="181"/>
      <c r="I451" s="181"/>
      <c r="J451" s="181"/>
      <c r="K451" s="181"/>
      <c r="L451" s="181"/>
      <c r="M451" s="181"/>
      <c r="N451" s="181"/>
      <c r="O451" s="181"/>
      <c r="P451" s="181"/>
      <c r="Q451" s="181"/>
      <c r="R451" s="181"/>
      <c r="S451" s="181"/>
      <c r="T451" s="181"/>
      <c r="U451" s="181"/>
      <c r="V451" s="181"/>
      <c r="W451" s="181"/>
      <c r="X451" s="181"/>
      <c r="Y451" s="181"/>
      <c r="Z451" s="181"/>
    </row>
    <row r="452" customFormat="false" ht="15.75" hidden="false" customHeight="false" outlineLevel="0" collapsed="false">
      <c r="A452" s="181"/>
      <c r="B452" s="181"/>
      <c r="C452" s="181"/>
      <c r="D452" s="181"/>
      <c r="E452" s="181"/>
      <c r="F452" s="181"/>
      <c r="G452" s="181"/>
      <c r="H452" s="181"/>
      <c r="I452" s="181"/>
      <c r="J452" s="181"/>
      <c r="K452" s="181"/>
      <c r="L452" s="181"/>
      <c r="M452" s="181"/>
      <c r="N452" s="181"/>
      <c r="O452" s="181"/>
      <c r="P452" s="181"/>
      <c r="Q452" s="181"/>
      <c r="R452" s="181"/>
      <c r="S452" s="181"/>
      <c r="T452" s="181"/>
      <c r="U452" s="181"/>
      <c r="V452" s="181"/>
      <c r="W452" s="181"/>
      <c r="X452" s="181"/>
      <c r="Y452" s="181"/>
      <c r="Z452" s="181"/>
    </row>
    <row r="453" customFormat="false" ht="15.75" hidden="false" customHeight="false" outlineLevel="0" collapsed="false">
      <c r="A453" s="181"/>
      <c r="B453" s="181"/>
      <c r="C453" s="181"/>
      <c r="D453" s="181"/>
      <c r="E453" s="181"/>
      <c r="F453" s="181"/>
      <c r="G453" s="181"/>
      <c r="H453" s="181"/>
      <c r="I453" s="181"/>
      <c r="J453" s="181"/>
      <c r="K453" s="181"/>
      <c r="L453" s="181"/>
      <c r="M453" s="181"/>
      <c r="N453" s="181"/>
      <c r="O453" s="181"/>
      <c r="P453" s="181"/>
      <c r="Q453" s="181"/>
      <c r="R453" s="181"/>
      <c r="S453" s="181"/>
      <c r="T453" s="181"/>
      <c r="U453" s="181"/>
      <c r="V453" s="181"/>
      <c r="W453" s="181"/>
      <c r="X453" s="181"/>
      <c r="Y453" s="181"/>
      <c r="Z453" s="181"/>
    </row>
    <row r="454" customFormat="false" ht="15.75" hidden="false" customHeight="false" outlineLevel="0" collapsed="false">
      <c r="A454" s="181"/>
      <c r="B454" s="181"/>
      <c r="C454" s="181"/>
      <c r="D454" s="181"/>
      <c r="E454" s="181"/>
      <c r="F454" s="181"/>
      <c r="G454" s="181"/>
      <c r="H454" s="181"/>
      <c r="I454" s="181"/>
      <c r="J454" s="181"/>
      <c r="K454" s="181"/>
      <c r="L454" s="181"/>
      <c r="M454" s="181"/>
      <c r="N454" s="181"/>
      <c r="O454" s="181"/>
      <c r="P454" s="181"/>
      <c r="Q454" s="181"/>
      <c r="R454" s="181"/>
      <c r="S454" s="181"/>
      <c r="T454" s="181"/>
      <c r="U454" s="181"/>
      <c r="V454" s="181"/>
      <c r="W454" s="181"/>
      <c r="X454" s="181"/>
      <c r="Y454" s="181"/>
      <c r="Z454" s="181"/>
    </row>
    <row r="455" customFormat="false" ht="15.75" hidden="false" customHeight="false" outlineLevel="0" collapsed="false">
      <c r="A455" s="181"/>
      <c r="B455" s="181"/>
      <c r="C455" s="181"/>
      <c r="D455" s="181"/>
      <c r="E455" s="181"/>
      <c r="F455" s="181"/>
      <c r="G455" s="181"/>
      <c r="H455" s="181"/>
      <c r="I455" s="181"/>
      <c r="J455" s="181"/>
      <c r="K455" s="181"/>
      <c r="L455" s="181"/>
      <c r="M455" s="181"/>
      <c r="N455" s="181"/>
      <c r="O455" s="181"/>
      <c r="P455" s="181"/>
      <c r="Q455" s="181"/>
      <c r="R455" s="181"/>
      <c r="S455" s="181"/>
      <c r="T455" s="181"/>
      <c r="U455" s="181"/>
      <c r="V455" s="181"/>
      <c r="W455" s="181"/>
      <c r="X455" s="181"/>
      <c r="Y455" s="181"/>
      <c r="Z455" s="181"/>
    </row>
    <row r="456" customFormat="false" ht="15.75" hidden="false" customHeight="false" outlineLevel="0" collapsed="false">
      <c r="A456" s="181"/>
      <c r="B456" s="181"/>
      <c r="C456" s="181"/>
      <c r="D456" s="181"/>
      <c r="E456" s="181"/>
      <c r="F456" s="181"/>
      <c r="G456" s="181"/>
      <c r="H456" s="181"/>
      <c r="I456" s="181"/>
      <c r="J456" s="181"/>
      <c r="K456" s="181"/>
      <c r="L456" s="181"/>
      <c r="M456" s="181"/>
      <c r="N456" s="181"/>
      <c r="O456" s="181"/>
      <c r="P456" s="181"/>
      <c r="Q456" s="181"/>
      <c r="R456" s="181"/>
      <c r="S456" s="181"/>
      <c r="T456" s="181"/>
      <c r="U456" s="181"/>
      <c r="V456" s="181"/>
      <c r="W456" s="181"/>
      <c r="X456" s="181"/>
      <c r="Y456" s="181"/>
      <c r="Z456" s="181"/>
    </row>
    <row r="457" customFormat="false" ht="15.75" hidden="false" customHeight="false" outlineLevel="0" collapsed="false">
      <c r="A457" s="181"/>
      <c r="B457" s="181"/>
      <c r="C457" s="181"/>
      <c r="D457" s="181"/>
      <c r="E457" s="181"/>
      <c r="F457" s="181"/>
      <c r="G457" s="181"/>
      <c r="H457" s="181"/>
      <c r="I457" s="181"/>
      <c r="J457" s="181"/>
      <c r="K457" s="181"/>
      <c r="L457" s="181"/>
      <c r="M457" s="181"/>
      <c r="N457" s="181"/>
      <c r="O457" s="181"/>
      <c r="P457" s="181"/>
      <c r="Q457" s="181"/>
      <c r="R457" s="181"/>
      <c r="S457" s="181"/>
      <c r="T457" s="181"/>
      <c r="U457" s="181"/>
      <c r="V457" s="181"/>
      <c r="W457" s="181"/>
      <c r="X457" s="181"/>
      <c r="Y457" s="181"/>
      <c r="Z457" s="181"/>
    </row>
    <row r="458" customFormat="false" ht="15.75" hidden="false" customHeight="false" outlineLevel="0" collapsed="false">
      <c r="A458" s="181"/>
      <c r="B458" s="181"/>
      <c r="C458" s="181"/>
      <c r="D458" s="181"/>
      <c r="E458" s="181"/>
      <c r="F458" s="181"/>
      <c r="G458" s="181"/>
      <c r="H458" s="181"/>
      <c r="I458" s="181"/>
      <c r="J458" s="181"/>
      <c r="K458" s="181"/>
      <c r="L458" s="181"/>
      <c r="M458" s="181"/>
      <c r="N458" s="181"/>
      <c r="O458" s="181"/>
      <c r="P458" s="181"/>
      <c r="Q458" s="181"/>
      <c r="R458" s="181"/>
      <c r="S458" s="181"/>
      <c r="T458" s="181"/>
      <c r="U458" s="181"/>
      <c r="V458" s="181"/>
      <c r="W458" s="181"/>
      <c r="X458" s="181"/>
      <c r="Y458" s="181"/>
      <c r="Z458" s="181"/>
    </row>
    <row r="459" customFormat="false" ht="15.75" hidden="false" customHeight="false" outlineLevel="0" collapsed="false">
      <c r="A459" s="181"/>
      <c r="B459" s="181"/>
      <c r="C459" s="181"/>
      <c r="D459" s="181"/>
      <c r="E459" s="181"/>
      <c r="F459" s="181"/>
      <c r="G459" s="181"/>
      <c r="H459" s="181"/>
      <c r="I459" s="181"/>
      <c r="J459" s="181"/>
      <c r="K459" s="181"/>
      <c r="L459" s="181"/>
      <c r="M459" s="181"/>
      <c r="N459" s="181"/>
      <c r="O459" s="181"/>
      <c r="P459" s="181"/>
      <c r="Q459" s="181"/>
      <c r="R459" s="181"/>
      <c r="S459" s="181"/>
      <c r="T459" s="181"/>
      <c r="U459" s="181"/>
      <c r="V459" s="181"/>
      <c r="W459" s="181"/>
      <c r="X459" s="181"/>
      <c r="Y459" s="181"/>
      <c r="Z459" s="181"/>
    </row>
    <row r="460" customFormat="false" ht="15.75" hidden="false" customHeight="false" outlineLevel="0" collapsed="false">
      <c r="A460" s="181"/>
      <c r="B460" s="181"/>
      <c r="C460" s="181"/>
      <c r="D460" s="181"/>
      <c r="E460" s="181"/>
      <c r="F460" s="181"/>
      <c r="G460" s="181"/>
      <c r="H460" s="181"/>
      <c r="I460" s="181"/>
      <c r="J460" s="181"/>
      <c r="K460" s="181"/>
      <c r="L460" s="181"/>
      <c r="M460" s="181"/>
      <c r="N460" s="181"/>
      <c r="O460" s="181"/>
      <c r="P460" s="181"/>
      <c r="Q460" s="181"/>
      <c r="R460" s="181"/>
      <c r="S460" s="181"/>
      <c r="T460" s="181"/>
      <c r="U460" s="181"/>
      <c r="V460" s="181"/>
      <c r="W460" s="181"/>
      <c r="X460" s="181"/>
      <c r="Y460" s="181"/>
      <c r="Z460" s="181"/>
    </row>
    <row r="461" customFormat="false" ht="15.75" hidden="false" customHeight="false" outlineLevel="0" collapsed="false">
      <c r="A461" s="181"/>
      <c r="B461" s="181"/>
      <c r="C461" s="181"/>
      <c r="D461" s="181"/>
      <c r="E461" s="181"/>
      <c r="F461" s="181"/>
      <c r="G461" s="181"/>
      <c r="H461" s="181"/>
      <c r="I461" s="181"/>
      <c r="J461" s="181"/>
      <c r="K461" s="181"/>
      <c r="L461" s="181"/>
      <c r="M461" s="181"/>
      <c r="N461" s="181"/>
      <c r="O461" s="181"/>
      <c r="P461" s="181"/>
      <c r="Q461" s="181"/>
      <c r="R461" s="181"/>
      <c r="S461" s="181"/>
      <c r="T461" s="181"/>
      <c r="U461" s="181"/>
      <c r="V461" s="181"/>
      <c r="W461" s="181"/>
      <c r="X461" s="181"/>
      <c r="Y461" s="181"/>
      <c r="Z461" s="181"/>
    </row>
    <row r="462" customFormat="false" ht="15.75" hidden="false" customHeight="false" outlineLevel="0" collapsed="false">
      <c r="A462" s="181"/>
      <c r="B462" s="181"/>
      <c r="C462" s="181"/>
      <c r="D462" s="181"/>
      <c r="E462" s="181"/>
      <c r="F462" s="181"/>
      <c r="G462" s="181"/>
      <c r="H462" s="181"/>
      <c r="I462" s="181"/>
      <c r="J462" s="181"/>
      <c r="K462" s="181"/>
      <c r="L462" s="181"/>
      <c r="M462" s="181"/>
      <c r="N462" s="181"/>
      <c r="O462" s="181"/>
      <c r="P462" s="181"/>
      <c r="Q462" s="181"/>
      <c r="R462" s="181"/>
      <c r="S462" s="181"/>
      <c r="T462" s="181"/>
      <c r="U462" s="181"/>
      <c r="V462" s="181"/>
      <c r="W462" s="181"/>
      <c r="X462" s="181"/>
      <c r="Y462" s="181"/>
      <c r="Z462" s="181"/>
    </row>
    <row r="463" customFormat="false" ht="15.75" hidden="false" customHeight="false" outlineLevel="0" collapsed="false">
      <c r="A463" s="181"/>
      <c r="B463" s="181"/>
      <c r="C463" s="181"/>
      <c r="D463" s="181"/>
      <c r="E463" s="181"/>
      <c r="F463" s="181"/>
      <c r="G463" s="181"/>
      <c r="H463" s="181"/>
      <c r="I463" s="181"/>
      <c r="J463" s="181"/>
      <c r="K463" s="181"/>
      <c r="L463" s="181"/>
      <c r="M463" s="181"/>
      <c r="N463" s="181"/>
      <c r="O463" s="181"/>
      <c r="P463" s="181"/>
      <c r="Q463" s="181"/>
      <c r="R463" s="181"/>
      <c r="S463" s="181"/>
      <c r="T463" s="181"/>
      <c r="U463" s="181"/>
      <c r="V463" s="181"/>
      <c r="W463" s="181"/>
      <c r="X463" s="181"/>
      <c r="Y463" s="181"/>
      <c r="Z463" s="181"/>
    </row>
    <row r="464" customFormat="false" ht="15.75" hidden="false" customHeight="false" outlineLevel="0" collapsed="false">
      <c r="A464" s="181"/>
      <c r="B464" s="181"/>
      <c r="C464" s="181"/>
      <c r="D464" s="181"/>
      <c r="E464" s="181"/>
      <c r="F464" s="181"/>
      <c r="G464" s="181"/>
      <c r="H464" s="181"/>
      <c r="I464" s="181"/>
      <c r="J464" s="181"/>
      <c r="K464" s="181"/>
      <c r="L464" s="181"/>
      <c r="M464" s="181"/>
      <c r="N464" s="181"/>
      <c r="O464" s="181"/>
      <c r="P464" s="181"/>
      <c r="Q464" s="181"/>
      <c r="R464" s="181"/>
      <c r="S464" s="181"/>
      <c r="T464" s="181"/>
      <c r="U464" s="181"/>
      <c r="V464" s="181"/>
      <c r="W464" s="181"/>
      <c r="X464" s="181"/>
      <c r="Y464" s="181"/>
      <c r="Z464" s="181"/>
    </row>
    <row r="465" customFormat="false" ht="15.75" hidden="false" customHeight="false" outlineLevel="0" collapsed="false">
      <c r="A465" s="181"/>
      <c r="B465" s="181"/>
      <c r="C465" s="181"/>
      <c r="D465" s="181"/>
      <c r="E465" s="181"/>
      <c r="F465" s="181"/>
      <c r="G465" s="181"/>
      <c r="H465" s="181"/>
      <c r="I465" s="181"/>
      <c r="J465" s="181"/>
      <c r="K465" s="181"/>
      <c r="L465" s="181"/>
      <c r="M465" s="181"/>
      <c r="N465" s="181"/>
      <c r="O465" s="181"/>
      <c r="P465" s="181"/>
      <c r="Q465" s="181"/>
      <c r="R465" s="181"/>
      <c r="S465" s="181"/>
      <c r="T465" s="181"/>
      <c r="U465" s="181"/>
      <c r="V465" s="181"/>
      <c r="W465" s="181"/>
      <c r="X465" s="181"/>
      <c r="Y465" s="181"/>
      <c r="Z465" s="181"/>
    </row>
    <row r="466" customFormat="false" ht="15.75" hidden="false" customHeight="false" outlineLevel="0" collapsed="false">
      <c r="A466" s="181"/>
      <c r="B466" s="181"/>
      <c r="C466" s="181"/>
      <c r="D466" s="181"/>
      <c r="E466" s="181"/>
      <c r="F466" s="181"/>
      <c r="G466" s="181"/>
      <c r="H466" s="181"/>
      <c r="I466" s="181"/>
      <c r="J466" s="181"/>
      <c r="K466" s="181"/>
      <c r="L466" s="181"/>
      <c r="M466" s="181"/>
      <c r="N466" s="181"/>
      <c r="O466" s="181"/>
      <c r="P466" s="181"/>
      <c r="Q466" s="181"/>
      <c r="R466" s="181"/>
      <c r="S466" s="181"/>
      <c r="T466" s="181"/>
      <c r="U466" s="181"/>
      <c r="V466" s="181"/>
      <c r="W466" s="181"/>
      <c r="X466" s="181"/>
      <c r="Y466" s="181"/>
      <c r="Z466" s="181"/>
    </row>
    <row r="467" customFormat="false" ht="15.75" hidden="false" customHeight="false" outlineLevel="0" collapsed="false">
      <c r="A467" s="181"/>
      <c r="B467" s="181"/>
      <c r="C467" s="181"/>
      <c r="D467" s="181"/>
      <c r="E467" s="181"/>
      <c r="F467" s="181"/>
      <c r="G467" s="181"/>
      <c r="H467" s="181"/>
      <c r="I467" s="181"/>
      <c r="J467" s="181"/>
      <c r="K467" s="181"/>
      <c r="L467" s="181"/>
      <c r="M467" s="181"/>
      <c r="N467" s="181"/>
      <c r="O467" s="181"/>
      <c r="P467" s="181"/>
      <c r="Q467" s="181"/>
      <c r="R467" s="181"/>
      <c r="S467" s="181"/>
      <c r="T467" s="181"/>
      <c r="U467" s="181"/>
      <c r="V467" s="181"/>
      <c r="W467" s="181"/>
      <c r="X467" s="181"/>
      <c r="Y467" s="181"/>
      <c r="Z467" s="181"/>
    </row>
    <row r="468" customFormat="false" ht="15.75" hidden="false" customHeight="false" outlineLevel="0" collapsed="false">
      <c r="A468" s="181"/>
      <c r="B468" s="181"/>
      <c r="C468" s="181"/>
      <c r="D468" s="181"/>
      <c r="E468" s="181"/>
      <c r="F468" s="181"/>
      <c r="G468" s="181"/>
      <c r="H468" s="181"/>
      <c r="I468" s="181"/>
      <c r="J468" s="181"/>
      <c r="K468" s="181"/>
      <c r="L468" s="181"/>
      <c r="M468" s="181"/>
      <c r="N468" s="181"/>
      <c r="O468" s="181"/>
      <c r="P468" s="181"/>
      <c r="Q468" s="181"/>
      <c r="R468" s="181"/>
      <c r="S468" s="181"/>
      <c r="T468" s="181"/>
      <c r="U468" s="181"/>
      <c r="V468" s="181"/>
      <c r="W468" s="181"/>
      <c r="X468" s="181"/>
      <c r="Y468" s="181"/>
      <c r="Z468" s="181"/>
    </row>
    <row r="469" customFormat="false" ht="15.75" hidden="false" customHeight="false" outlineLevel="0" collapsed="false">
      <c r="A469" s="181"/>
      <c r="B469" s="181"/>
      <c r="C469" s="181"/>
      <c r="D469" s="181"/>
      <c r="E469" s="181"/>
      <c r="F469" s="181"/>
      <c r="G469" s="181"/>
      <c r="H469" s="181"/>
      <c r="I469" s="181"/>
      <c r="J469" s="181"/>
      <c r="K469" s="181"/>
      <c r="L469" s="181"/>
      <c r="M469" s="181"/>
      <c r="N469" s="181"/>
      <c r="O469" s="181"/>
      <c r="P469" s="181"/>
      <c r="Q469" s="181"/>
      <c r="R469" s="181"/>
      <c r="S469" s="181"/>
      <c r="T469" s="181"/>
      <c r="U469" s="181"/>
      <c r="V469" s="181"/>
      <c r="W469" s="181"/>
      <c r="X469" s="181"/>
      <c r="Y469" s="181"/>
      <c r="Z469" s="181"/>
    </row>
    <row r="470" customFormat="false" ht="15.75" hidden="false" customHeight="false" outlineLevel="0" collapsed="false">
      <c r="A470" s="181"/>
      <c r="B470" s="181"/>
      <c r="C470" s="181"/>
      <c r="D470" s="181"/>
      <c r="E470" s="181"/>
      <c r="F470" s="181"/>
      <c r="G470" s="181"/>
      <c r="H470" s="181"/>
      <c r="I470" s="181"/>
      <c r="J470" s="181"/>
      <c r="K470" s="181"/>
      <c r="L470" s="181"/>
      <c r="M470" s="181"/>
      <c r="N470" s="181"/>
      <c r="O470" s="181"/>
      <c r="P470" s="181"/>
      <c r="Q470" s="181"/>
      <c r="R470" s="181"/>
      <c r="S470" s="181"/>
      <c r="T470" s="181"/>
      <c r="U470" s="181"/>
      <c r="V470" s="181"/>
      <c r="W470" s="181"/>
      <c r="X470" s="181"/>
      <c r="Y470" s="181"/>
      <c r="Z470" s="181"/>
    </row>
    <row r="471" customFormat="false" ht="15.75" hidden="false" customHeight="false" outlineLevel="0" collapsed="false">
      <c r="A471" s="181"/>
      <c r="B471" s="181"/>
      <c r="C471" s="181"/>
      <c r="D471" s="181"/>
      <c r="E471" s="181"/>
      <c r="F471" s="181"/>
      <c r="G471" s="181"/>
      <c r="H471" s="181"/>
      <c r="I471" s="181"/>
      <c r="J471" s="181"/>
      <c r="K471" s="181"/>
      <c r="L471" s="181"/>
      <c r="M471" s="181"/>
      <c r="N471" s="181"/>
      <c r="O471" s="181"/>
      <c r="P471" s="181"/>
      <c r="Q471" s="181"/>
      <c r="R471" s="181"/>
      <c r="S471" s="181"/>
      <c r="T471" s="181"/>
      <c r="U471" s="181"/>
      <c r="V471" s="181"/>
      <c r="W471" s="181"/>
      <c r="X471" s="181"/>
      <c r="Y471" s="181"/>
      <c r="Z471" s="181"/>
    </row>
    <row r="472" customFormat="false" ht="15.75" hidden="false" customHeight="false" outlineLevel="0" collapsed="false">
      <c r="A472" s="181"/>
      <c r="B472" s="181"/>
      <c r="C472" s="181"/>
      <c r="D472" s="181"/>
      <c r="E472" s="181"/>
      <c r="F472" s="181"/>
      <c r="G472" s="181"/>
      <c r="H472" s="181"/>
      <c r="I472" s="181"/>
      <c r="J472" s="181"/>
      <c r="K472" s="181"/>
      <c r="L472" s="181"/>
      <c r="M472" s="181"/>
      <c r="N472" s="181"/>
      <c r="O472" s="181"/>
      <c r="P472" s="181"/>
      <c r="Q472" s="181"/>
      <c r="R472" s="181"/>
      <c r="S472" s="181"/>
      <c r="T472" s="181"/>
      <c r="U472" s="181"/>
      <c r="V472" s="181"/>
      <c r="W472" s="181"/>
      <c r="X472" s="181"/>
      <c r="Y472" s="181"/>
      <c r="Z472" s="181"/>
    </row>
    <row r="473" customFormat="false" ht="15.75" hidden="false" customHeight="false" outlineLevel="0" collapsed="false">
      <c r="A473" s="181"/>
      <c r="B473" s="181"/>
      <c r="C473" s="181"/>
      <c r="D473" s="181"/>
      <c r="E473" s="181"/>
      <c r="F473" s="181"/>
      <c r="G473" s="181"/>
      <c r="H473" s="181"/>
      <c r="I473" s="181"/>
      <c r="J473" s="181"/>
      <c r="K473" s="181"/>
      <c r="L473" s="181"/>
      <c r="M473" s="181"/>
      <c r="N473" s="181"/>
      <c r="O473" s="181"/>
      <c r="P473" s="181"/>
      <c r="Q473" s="181"/>
      <c r="R473" s="181"/>
      <c r="S473" s="181"/>
      <c r="T473" s="181"/>
      <c r="U473" s="181"/>
      <c r="V473" s="181"/>
      <c r="W473" s="181"/>
      <c r="X473" s="181"/>
      <c r="Y473" s="181"/>
      <c r="Z473" s="181"/>
    </row>
    <row r="474" customFormat="false" ht="15.75" hidden="false" customHeight="false" outlineLevel="0" collapsed="false">
      <c r="A474" s="181"/>
      <c r="B474" s="181"/>
      <c r="C474" s="181"/>
      <c r="D474" s="181"/>
      <c r="E474" s="181"/>
      <c r="F474" s="181"/>
      <c r="G474" s="181"/>
      <c r="H474" s="181"/>
      <c r="I474" s="181"/>
      <c r="J474" s="181"/>
      <c r="K474" s="181"/>
      <c r="L474" s="181"/>
      <c r="M474" s="181"/>
      <c r="N474" s="181"/>
      <c r="O474" s="181"/>
      <c r="P474" s="181"/>
      <c r="Q474" s="181"/>
      <c r="R474" s="181"/>
      <c r="S474" s="181"/>
      <c r="T474" s="181"/>
      <c r="U474" s="181"/>
      <c r="V474" s="181"/>
      <c r="W474" s="181"/>
      <c r="X474" s="181"/>
      <c r="Y474" s="181"/>
      <c r="Z474" s="181"/>
    </row>
    <row r="475" customFormat="false" ht="15.75" hidden="false" customHeight="false" outlineLevel="0" collapsed="false">
      <c r="A475" s="181"/>
      <c r="B475" s="181"/>
      <c r="C475" s="181"/>
      <c r="D475" s="181"/>
      <c r="E475" s="181"/>
      <c r="F475" s="181"/>
      <c r="G475" s="181"/>
      <c r="H475" s="181"/>
      <c r="I475" s="181"/>
      <c r="J475" s="181"/>
      <c r="K475" s="181"/>
      <c r="L475" s="181"/>
      <c r="M475" s="181"/>
      <c r="N475" s="181"/>
      <c r="O475" s="181"/>
      <c r="P475" s="181"/>
      <c r="Q475" s="181"/>
      <c r="R475" s="181"/>
      <c r="S475" s="181"/>
      <c r="T475" s="181"/>
      <c r="U475" s="181"/>
      <c r="V475" s="181"/>
      <c r="W475" s="181"/>
      <c r="X475" s="181"/>
      <c r="Y475" s="181"/>
      <c r="Z475" s="181"/>
    </row>
    <row r="476" customFormat="false" ht="15.75" hidden="false" customHeight="false" outlineLevel="0" collapsed="false">
      <c r="A476" s="181"/>
      <c r="B476" s="181"/>
      <c r="C476" s="181"/>
      <c r="D476" s="181"/>
      <c r="E476" s="181"/>
      <c r="F476" s="181"/>
      <c r="G476" s="181"/>
      <c r="H476" s="181"/>
      <c r="I476" s="181"/>
      <c r="J476" s="181"/>
      <c r="K476" s="181"/>
      <c r="L476" s="181"/>
      <c r="M476" s="181"/>
      <c r="N476" s="181"/>
      <c r="O476" s="181"/>
      <c r="P476" s="181"/>
      <c r="Q476" s="181"/>
      <c r="R476" s="181"/>
      <c r="S476" s="181"/>
      <c r="T476" s="181"/>
      <c r="U476" s="181"/>
      <c r="V476" s="181"/>
      <c r="W476" s="181"/>
      <c r="X476" s="181"/>
      <c r="Y476" s="181"/>
      <c r="Z476" s="181"/>
    </row>
    <row r="477" customFormat="false" ht="15.75" hidden="false" customHeight="false" outlineLevel="0" collapsed="false">
      <c r="A477" s="181"/>
      <c r="B477" s="181"/>
      <c r="C477" s="181"/>
      <c r="D477" s="181"/>
      <c r="E477" s="181"/>
      <c r="F477" s="181"/>
      <c r="G477" s="181"/>
      <c r="H477" s="181"/>
      <c r="I477" s="181"/>
      <c r="J477" s="181"/>
      <c r="K477" s="181"/>
      <c r="L477" s="181"/>
      <c r="M477" s="181"/>
      <c r="N477" s="181"/>
      <c r="O477" s="181"/>
      <c r="P477" s="181"/>
      <c r="Q477" s="181"/>
      <c r="R477" s="181"/>
      <c r="S477" s="181"/>
      <c r="T477" s="181"/>
      <c r="U477" s="181"/>
      <c r="V477" s="181"/>
      <c r="W477" s="181"/>
      <c r="X477" s="181"/>
      <c r="Y477" s="181"/>
      <c r="Z477" s="181"/>
    </row>
    <row r="478" customFormat="false" ht="15.75" hidden="false" customHeight="false" outlineLevel="0" collapsed="false">
      <c r="A478" s="181"/>
      <c r="B478" s="181"/>
      <c r="C478" s="181"/>
      <c r="D478" s="181"/>
      <c r="E478" s="181"/>
      <c r="F478" s="181"/>
      <c r="G478" s="181"/>
      <c r="H478" s="181"/>
      <c r="I478" s="181"/>
      <c r="J478" s="181"/>
      <c r="K478" s="181"/>
      <c r="L478" s="181"/>
      <c r="M478" s="181"/>
      <c r="N478" s="181"/>
      <c r="O478" s="181"/>
      <c r="P478" s="181"/>
      <c r="Q478" s="181"/>
      <c r="R478" s="181"/>
      <c r="S478" s="181"/>
      <c r="T478" s="181"/>
      <c r="U478" s="181"/>
      <c r="V478" s="181"/>
      <c r="W478" s="181"/>
      <c r="X478" s="181"/>
      <c r="Y478" s="181"/>
      <c r="Z478" s="181"/>
    </row>
    <row r="479" customFormat="false" ht="15.75" hidden="false" customHeight="false" outlineLevel="0" collapsed="false">
      <c r="A479" s="181"/>
      <c r="B479" s="181"/>
      <c r="C479" s="181"/>
      <c r="D479" s="181"/>
      <c r="E479" s="181"/>
      <c r="F479" s="181"/>
      <c r="G479" s="181"/>
      <c r="H479" s="181"/>
      <c r="I479" s="181"/>
      <c r="J479" s="181"/>
      <c r="K479" s="181"/>
      <c r="L479" s="181"/>
      <c r="M479" s="181"/>
      <c r="N479" s="181"/>
      <c r="O479" s="181"/>
      <c r="P479" s="181"/>
      <c r="Q479" s="181"/>
      <c r="R479" s="181"/>
      <c r="S479" s="181"/>
      <c r="T479" s="181"/>
      <c r="U479" s="181"/>
      <c r="V479" s="181"/>
      <c r="W479" s="181"/>
      <c r="X479" s="181"/>
      <c r="Y479" s="181"/>
      <c r="Z479" s="181"/>
    </row>
    <row r="480" customFormat="false" ht="15.75" hidden="false" customHeight="false" outlineLevel="0" collapsed="false">
      <c r="A480" s="181"/>
      <c r="B480" s="181"/>
      <c r="C480" s="181"/>
      <c r="D480" s="181"/>
      <c r="E480" s="181"/>
      <c r="F480" s="181"/>
      <c r="G480" s="181"/>
      <c r="H480" s="181"/>
      <c r="I480" s="181"/>
      <c r="J480" s="181"/>
      <c r="K480" s="181"/>
      <c r="L480" s="181"/>
      <c r="M480" s="181"/>
      <c r="N480" s="181"/>
      <c r="O480" s="181"/>
      <c r="P480" s="181"/>
      <c r="Q480" s="181"/>
      <c r="R480" s="181"/>
      <c r="S480" s="181"/>
      <c r="T480" s="181"/>
      <c r="U480" s="181"/>
      <c r="V480" s="181"/>
      <c r="W480" s="181"/>
      <c r="X480" s="181"/>
      <c r="Y480" s="181"/>
      <c r="Z480" s="181"/>
    </row>
    <row r="481" customFormat="false" ht="15.75" hidden="false" customHeight="false" outlineLevel="0" collapsed="false">
      <c r="A481" s="181"/>
      <c r="B481" s="181"/>
      <c r="C481" s="181"/>
      <c r="D481" s="181"/>
      <c r="E481" s="181"/>
      <c r="F481" s="181"/>
      <c r="G481" s="181"/>
      <c r="H481" s="181"/>
      <c r="I481" s="181"/>
      <c r="J481" s="181"/>
      <c r="K481" s="181"/>
      <c r="L481" s="181"/>
      <c r="M481" s="181"/>
      <c r="N481" s="181"/>
      <c r="O481" s="181"/>
      <c r="P481" s="181"/>
      <c r="Q481" s="181"/>
      <c r="R481" s="181"/>
      <c r="S481" s="181"/>
      <c r="T481" s="181"/>
      <c r="U481" s="181"/>
      <c r="V481" s="181"/>
      <c r="W481" s="181"/>
      <c r="X481" s="181"/>
      <c r="Y481" s="181"/>
      <c r="Z481" s="181"/>
    </row>
    <row r="482" customFormat="false" ht="15.75" hidden="false" customHeight="false" outlineLevel="0" collapsed="false">
      <c r="A482" s="181"/>
      <c r="B482" s="181"/>
      <c r="C482" s="181"/>
      <c r="D482" s="181"/>
      <c r="E482" s="181"/>
      <c r="F482" s="181"/>
      <c r="G482" s="181"/>
      <c r="H482" s="181"/>
      <c r="I482" s="181"/>
      <c r="J482" s="181"/>
      <c r="K482" s="181"/>
      <c r="L482" s="181"/>
      <c r="M482" s="181"/>
      <c r="N482" s="181"/>
      <c r="O482" s="181"/>
      <c r="P482" s="181"/>
      <c r="Q482" s="181"/>
      <c r="R482" s="181"/>
      <c r="S482" s="181"/>
      <c r="T482" s="181"/>
      <c r="U482" s="181"/>
      <c r="V482" s="181"/>
      <c r="W482" s="181"/>
      <c r="X482" s="181"/>
      <c r="Y482" s="181"/>
      <c r="Z482" s="181"/>
    </row>
    <row r="483" customFormat="false" ht="15.75" hidden="false" customHeight="false" outlineLevel="0" collapsed="false">
      <c r="A483" s="181"/>
      <c r="B483" s="181"/>
      <c r="C483" s="181"/>
      <c r="D483" s="181"/>
      <c r="E483" s="181"/>
      <c r="F483" s="181"/>
      <c r="G483" s="181"/>
      <c r="H483" s="181"/>
      <c r="I483" s="181"/>
      <c r="J483" s="181"/>
      <c r="K483" s="181"/>
      <c r="L483" s="181"/>
      <c r="M483" s="181"/>
      <c r="N483" s="181"/>
      <c r="O483" s="181"/>
      <c r="P483" s="181"/>
      <c r="Q483" s="181"/>
      <c r="R483" s="181"/>
      <c r="S483" s="181"/>
      <c r="T483" s="181"/>
      <c r="U483" s="181"/>
      <c r="V483" s="181"/>
      <c r="W483" s="181"/>
      <c r="X483" s="181"/>
      <c r="Y483" s="181"/>
      <c r="Z483" s="181"/>
    </row>
    <row r="484" customFormat="false" ht="15.75" hidden="false" customHeight="false" outlineLevel="0" collapsed="false">
      <c r="A484" s="181"/>
      <c r="B484" s="181"/>
      <c r="C484" s="181"/>
      <c r="D484" s="181"/>
      <c r="E484" s="181"/>
      <c r="F484" s="181"/>
      <c r="G484" s="181"/>
      <c r="H484" s="181"/>
      <c r="I484" s="181"/>
      <c r="J484" s="181"/>
      <c r="K484" s="181"/>
      <c r="L484" s="181"/>
      <c r="M484" s="181"/>
      <c r="N484" s="181"/>
      <c r="O484" s="181"/>
      <c r="P484" s="181"/>
      <c r="Q484" s="181"/>
      <c r="R484" s="181"/>
      <c r="S484" s="181"/>
      <c r="T484" s="181"/>
      <c r="U484" s="181"/>
      <c r="V484" s="181"/>
      <c r="W484" s="181"/>
      <c r="X484" s="181"/>
      <c r="Y484" s="181"/>
      <c r="Z484" s="181"/>
    </row>
    <row r="485" customFormat="false" ht="15.75" hidden="false" customHeight="false" outlineLevel="0" collapsed="false">
      <c r="A485" s="181"/>
      <c r="B485" s="181"/>
      <c r="C485" s="181"/>
      <c r="D485" s="181"/>
      <c r="E485" s="181"/>
      <c r="F485" s="181"/>
      <c r="G485" s="181"/>
      <c r="H485" s="181"/>
      <c r="I485" s="181"/>
      <c r="J485" s="181"/>
      <c r="K485" s="181"/>
      <c r="L485" s="181"/>
      <c r="M485" s="181"/>
      <c r="N485" s="181"/>
      <c r="O485" s="181"/>
      <c r="P485" s="181"/>
      <c r="Q485" s="181"/>
      <c r="R485" s="181"/>
      <c r="S485" s="181"/>
      <c r="T485" s="181"/>
      <c r="U485" s="181"/>
      <c r="V485" s="181"/>
      <c r="W485" s="181"/>
      <c r="X485" s="181"/>
      <c r="Y485" s="181"/>
      <c r="Z485" s="181"/>
    </row>
    <row r="486" customFormat="false" ht="15.75" hidden="false" customHeight="false" outlineLevel="0" collapsed="false">
      <c r="A486" s="181"/>
      <c r="B486" s="181"/>
      <c r="C486" s="181"/>
      <c r="D486" s="181"/>
      <c r="E486" s="181"/>
      <c r="F486" s="181"/>
      <c r="G486" s="181"/>
      <c r="H486" s="181"/>
      <c r="I486" s="181"/>
      <c r="J486" s="181"/>
      <c r="K486" s="181"/>
      <c r="L486" s="181"/>
      <c r="M486" s="181"/>
      <c r="N486" s="181"/>
      <c r="O486" s="181"/>
      <c r="P486" s="181"/>
      <c r="Q486" s="181"/>
      <c r="R486" s="181"/>
      <c r="S486" s="181"/>
      <c r="T486" s="181"/>
      <c r="U486" s="181"/>
      <c r="V486" s="181"/>
      <c r="W486" s="181"/>
      <c r="X486" s="181"/>
      <c r="Y486" s="181"/>
      <c r="Z486" s="181"/>
    </row>
    <row r="487" customFormat="false" ht="15.75" hidden="false" customHeight="false" outlineLevel="0" collapsed="false">
      <c r="A487" s="181"/>
      <c r="B487" s="181"/>
      <c r="C487" s="181"/>
      <c r="D487" s="181"/>
      <c r="E487" s="181"/>
      <c r="F487" s="181"/>
      <c r="G487" s="181"/>
      <c r="H487" s="181"/>
      <c r="I487" s="181"/>
      <c r="J487" s="181"/>
      <c r="K487" s="181"/>
      <c r="L487" s="181"/>
      <c r="M487" s="181"/>
      <c r="N487" s="181"/>
      <c r="O487" s="181"/>
      <c r="P487" s="181"/>
      <c r="Q487" s="181"/>
      <c r="R487" s="181"/>
      <c r="S487" s="181"/>
      <c r="T487" s="181"/>
      <c r="U487" s="181"/>
      <c r="V487" s="181"/>
      <c r="W487" s="181"/>
      <c r="X487" s="181"/>
      <c r="Y487" s="181"/>
      <c r="Z487" s="181"/>
    </row>
    <row r="488" customFormat="false" ht="15.75" hidden="false" customHeight="false" outlineLevel="0" collapsed="false">
      <c r="A488" s="181"/>
      <c r="B488" s="181"/>
      <c r="C488" s="181"/>
      <c r="D488" s="181"/>
      <c r="E488" s="181"/>
      <c r="F488" s="181"/>
      <c r="G488" s="181"/>
      <c r="H488" s="181"/>
      <c r="I488" s="181"/>
      <c r="J488" s="181"/>
      <c r="K488" s="181"/>
      <c r="L488" s="181"/>
      <c r="M488" s="181"/>
      <c r="N488" s="181"/>
      <c r="O488" s="181"/>
      <c r="P488" s="181"/>
      <c r="Q488" s="181"/>
      <c r="R488" s="181"/>
      <c r="S488" s="181"/>
      <c r="T488" s="181"/>
      <c r="U488" s="181"/>
      <c r="V488" s="181"/>
      <c r="W488" s="181"/>
      <c r="X488" s="181"/>
      <c r="Y488" s="181"/>
      <c r="Z488" s="181"/>
    </row>
    <row r="489" customFormat="false" ht="15.75" hidden="false" customHeight="false" outlineLevel="0" collapsed="false">
      <c r="A489" s="181"/>
      <c r="B489" s="181"/>
      <c r="C489" s="181"/>
      <c r="D489" s="181"/>
      <c r="E489" s="181"/>
      <c r="F489" s="181"/>
      <c r="G489" s="181"/>
      <c r="H489" s="181"/>
      <c r="I489" s="181"/>
      <c r="J489" s="181"/>
      <c r="K489" s="181"/>
      <c r="L489" s="181"/>
      <c r="M489" s="181"/>
      <c r="N489" s="181"/>
      <c r="O489" s="181"/>
      <c r="P489" s="181"/>
      <c r="Q489" s="181"/>
      <c r="R489" s="181"/>
      <c r="S489" s="181"/>
      <c r="T489" s="181"/>
      <c r="U489" s="181"/>
      <c r="V489" s="181"/>
      <c r="W489" s="181"/>
      <c r="X489" s="181"/>
      <c r="Y489" s="181"/>
      <c r="Z489" s="181"/>
    </row>
    <row r="490" customFormat="false" ht="15.75" hidden="false" customHeight="false" outlineLevel="0" collapsed="false">
      <c r="A490" s="181"/>
      <c r="B490" s="181"/>
      <c r="C490" s="181"/>
      <c r="D490" s="181"/>
      <c r="E490" s="181"/>
      <c r="F490" s="181"/>
      <c r="G490" s="181"/>
      <c r="H490" s="181"/>
      <c r="I490" s="181"/>
      <c r="J490" s="181"/>
      <c r="K490" s="181"/>
      <c r="L490" s="181"/>
      <c r="M490" s="181"/>
      <c r="N490" s="181"/>
      <c r="O490" s="181"/>
      <c r="P490" s="181"/>
      <c r="Q490" s="181"/>
      <c r="R490" s="181"/>
      <c r="S490" s="181"/>
      <c r="T490" s="181"/>
      <c r="U490" s="181"/>
      <c r="V490" s="181"/>
      <c r="W490" s="181"/>
      <c r="X490" s="181"/>
      <c r="Y490" s="181"/>
      <c r="Z490" s="181"/>
    </row>
    <row r="491" customFormat="false" ht="15.75" hidden="false" customHeight="false" outlineLevel="0" collapsed="false">
      <c r="A491" s="181"/>
      <c r="B491" s="181"/>
      <c r="C491" s="181"/>
      <c r="D491" s="181"/>
      <c r="E491" s="181"/>
      <c r="F491" s="181"/>
      <c r="G491" s="181"/>
      <c r="H491" s="181"/>
      <c r="I491" s="181"/>
      <c r="J491" s="181"/>
      <c r="K491" s="181"/>
      <c r="L491" s="181"/>
      <c r="M491" s="181"/>
      <c r="N491" s="181"/>
      <c r="O491" s="181"/>
      <c r="P491" s="181"/>
      <c r="Q491" s="181"/>
      <c r="R491" s="181"/>
      <c r="S491" s="181"/>
      <c r="T491" s="181"/>
      <c r="U491" s="181"/>
      <c r="V491" s="181"/>
      <c r="W491" s="181"/>
      <c r="X491" s="181"/>
      <c r="Y491" s="181"/>
      <c r="Z491" s="181"/>
    </row>
    <row r="492" customFormat="false" ht="15.75" hidden="false" customHeight="false" outlineLevel="0" collapsed="false">
      <c r="A492" s="181"/>
      <c r="B492" s="181"/>
      <c r="C492" s="181"/>
      <c r="D492" s="181"/>
      <c r="E492" s="181"/>
      <c r="F492" s="181"/>
      <c r="G492" s="181"/>
      <c r="H492" s="181"/>
      <c r="I492" s="181"/>
      <c r="J492" s="181"/>
      <c r="K492" s="181"/>
      <c r="L492" s="181"/>
      <c r="M492" s="181"/>
      <c r="N492" s="181"/>
      <c r="O492" s="181"/>
      <c r="P492" s="181"/>
      <c r="Q492" s="181"/>
      <c r="R492" s="181"/>
      <c r="S492" s="181"/>
      <c r="T492" s="181"/>
      <c r="U492" s="181"/>
      <c r="V492" s="181"/>
      <c r="W492" s="181"/>
      <c r="X492" s="181"/>
      <c r="Y492" s="181"/>
      <c r="Z492" s="181"/>
    </row>
    <row r="493" customFormat="false" ht="15.75" hidden="false" customHeight="false" outlineLevel="0" collapsed="false">
      <c r="A493" s="181"/>
      <c r="B493" s="181"/>
      <c r="C493" s="181"/>
      <c r="D493" s="181"/>
      <c r="E493" s="181"/>
      <c r="F493" s="181"/>
      <c r="G493" s="181"/>
      <c r="H493" s="181"/>
      <c r="I493" s="181"/>
      <c r="J493" s="181"/>
      <c r="K493" s="181"/>
      <c r="L493" s="181"/>
      <c r="M493" s="181"/>
      <c r="N493" s="181"/>
      <c r="O493" s="181"/>
      <c r="P493" s="181"/>
      <c r="Q493" s="181"/>
      <c r="R493" s="181"/>
      <c r="S493" s="181"/>
      <c r="T493" s="181"/>
      <c r="U493" s="181"/>
      <c r="V493" s="181"/>
      <c r="W493" s="181"/>
      <c r="X493" s="181"/>
      <c r="Y493" s="181"/>
      <c r="Z493" s="181"/>
    </row>
    <row r="494" customFormat="false" ht="15.75" hidden="false" customHeight="false" outlineLevel="0" collapsed="false">
      <c r="A494" s="181"/>
      <c r="B494" s="181"/>
      <c r="C494" s="181"/>
      <c r="D494" s="181"/>
      <c r="E494" s="181"/>
      <c r="F494" s="181"/>
      <c r="G494" s="181"/>
      <c r="H494" s="181"/>
      <c r="I494" s="181"/>
      <c r="J494" s="181"/>
      <c r="K494" s="181"/>
      <c r="L494" s="181"/>
      <c r="M494" s="181"/>
      <c r="N494" s="181"/>
      <c r="O494" s="181"/>
      <c r="P494" s="181"/>
      <c r="Q494" s="181"/>
      <c r="R494" s="181"/>
      <c r="S494" s="181"/>
      <c r="T494" s="181"/>
      <c r="U494" s="181"/>
      <c r="V494" s="181"/>
      <c r="W494" s="181"/>
      <c r="X494" s="181"/>
      <c r="Y494" s="181"/>
      <c r="Z494" s="181"/>
    </row>
    <row r="495" customFormat="false" ht="15.75" hidden="false" customHeight="false" outlineLevel="0" collapsed="false">
      <c r="A495" s="181"/>
      <c r="B495" s="181"/>
      <c r="C495" s="181"/>
      <c r="D495" s="181"/>
      <c r="E495" s="181"/>
      <c r="F495" s="181"/>
      <c r="G495" s="181"/>
      <c r="H495" s="181"/>
      <c r="I495" s="181"/>
      <c r="J495" s="181"/>
      <c r="K495" s="181"/>
      <c r="L495" s="181"/>
      <c r="M495" s="181"/>
      <c r="N495" s="181"/>
      <c r="O495" s="181"/>
      <c r="P495" s="181"/>
      <c r="Q495" s="181"/>
      <c r="R495" s="181"/>
      <c r="S495" s="181"/>
      <c r="T495" s="181"/>
      <c r="U495" s="181"/>
      <c r="V495" s="181"/>
      <c r="W495" s="181"/>
      <c r="X495" s="181"/>
      <c r="Y495" s="181"/>
      <c r="Z495" s="181"/>
    </row>
    <row r="496" customFormat="false" ht="15.75" hidden="false" customHeight="false" outlineLevel="0" collapsed="false">
      <c r="A496" s="181"/>
      <c r="B496" s="181"/>
      <c r="C496" s="181"/>
      <c r="D496" s="181"/>
      <c r="E496" s="181"/>
      <c r="F496" s="181"/>
      <c r="G496" s="181"/>
      <c r="H496" s="181"/>
      <c r="I496" s="181"/>
      <c r="J496" s="181"/>
      <c r="K496" s="181"/>
      <c r="L496" s="181"/>
      <c r="M496" s="181"/>
      <c r="N496" s="181"/>
      <c r="O496" s="181"/>
      <c r="P496" s="181"/>
      <c r="Q496" s="181"/>
      <c r="R496" s="181"/>
      <c r="S496" s="181"/>
      <c r="T496" s="181"/>
      <c r="U496" s="181"/>
      <c r="V496" s="181"/>
      <c r="W496" s="181"/>
      <c r="X496" s="181"/>
      <c r="Y496" s="181"/>
      <c r="Z496" s="181"/>
    </row>
    <row r="497" customFormat="false" ht="15.75" hidden="false" customHeight="false" outlineLevel="0" collapsed="false">
      <c r="A497" s="181"/>
      <c r="B497" s="181"/>
      <c r="C497" s="181"/>
      <c r="D497" s="181"/>
      <c r="E497" s="181"/>
      <c r="F497" s="181"/>
      <c r="G497" s="181"/>
      <c r="H497" s="181"/>
      <c r="I497" s="181"/>
      <c r="J497" s="181"/>
      <c r="K497" s="181"/>
      <c r="L497" s="181"/>
      <c r="M497" s="181"/>
      <c r="N497" s="181"/>
      <c r="O497" s="181"/>
      <c r="P497" s="181"/>
      <c r="Q497" s="181"/>
      <c r="R497" s="181"/>
      <c r="S497" s="181"/>
      <c r="T497" s="181"/>
      <c r="U497" s="181"/>
      <c r="V497" s="181"/>
      <c r="W497" s="181"/>
      <c r="X497" s="181"/>
      <c r="Y497" s="181"/>
      <c r="Z497" s="181"/>
    </row>
    <row r="498" customFormat="false" ht="15.75" hidden="false" customHeight="false" outlineLevel="0" collapsed="false">
      <c r="A498" s="181"/>
      <c r="B498" s="181"/>
      <c r="C498" s="181"/>
      <c r="D498" s="181"/>
      <c r="E498" s="181"/>
      <c r="F498" s="181"/>
      <c r="G498" s="181"/>
      <c r="H498" s="181"/>
      <c r="I498" s="181"/>
      <c r="J498" s="181"/>
      <c r="K498" s="181"/>
      <c r="L498" s="181"/>
      <c r="M498" s="181"/>
      <c r="N498" s="181"/>
      <c r="O498" s="181"/>
      <c r="P498" s="181"/>
      <c r="Q498" s="181"/>
      <c r="R498" s="181"/>
      <c r="S498" s="181"/>
      <c r="T498" s="181"/>
      <c r="U498" s="181"/>
      <c r="V498" s="181"/>
      <c r="W498" s="181"/>
      <c r="X498" s="181"/>
      <c r="Y498" s="181"/>
      <c r="Z498" s="181"/>
    </row>
    <row r="499" customFormat="false" ht="15.75" hidden="false" customHeight="false" outlineLevel="0" collapsed="false">
      <c r="A499" s="181"/>
      <c r="B499" s="181"/>
      <c r="C499" s="181"/>
      <c r="D499" s="181"/>
      <c r="E499" s="181"/>
      <c r="F499" s="181"/>
      <c r="G499" s="181"/>
      <c r="H499" s="181"/>
      <c r="I499" s="181"/>
      <c r="J499" s="181"/>
      <c r="K499" s="181"/>
      <c r="L499" s="181"/>
      <c r="M499" s="181"/>
      <c r="N499" s="181"/>
      <c r="O499" s="181"/>
      <c r="P499" s="181"/>
      <c r="Q499" s="181"/>
      <c r="R499" s="181"/>
      <c r="S499" s="181"/>
      <c r="T499" s="181"/>
      <c r="U499" s="181"/>
      <c r="V499" s="181"/>
      <c r="W499" s="181"/>
      <c r="X499" s="181"/>
      <c r="Y499" s="181"/>
      <c r="Z499" s="181"/>
    </row>
    <row r="500" customFormat="false" ht="15.75" hidden="false" customHeight="false" outlineLevel="0" collapsed="false">
      <c r="A500" s="181"/>
      <c r="B500" s="181"/>
      <c r="C500" s="181"/>
      <c r="D500" s="181"/>
      <c r="E500" s="181"/>
      <c r="F500" s="181"/>
      <c r="G500" s="181"/>
      <c r="H500" s="181"/>
      <c r="I500" s="181"/>
      <c r="J500" s="181"/>
      <c r="K500" s="181"/>
      <c r="L500" s="181"/>
      <c r="M500" s="181"/>
      <c r="N500" s="181"/>
      <c r="O500" s="181"/>
      <c r="P500" s="181"/>
      <c r="Q500" s="181"/>
      <c r="R500" s="181"/>
      <c r="S500" s="181"/>
      <c r="T500" s="181"/>
      <c r="U500" s="181"/>
      <c r="V500" s="181"/>
      <c r="W500" s="181"/>
      <c r="X500" s="181"/>
      <c r="Y500" s="181"/>
      <c r="Z500" s="181"/>
    </row>
    <row r="501" customFormat="false" ht="15.75" hidden="false" customHeight="false" outlineLevel="0" collapsed="false">
      <c r="A501" s="181"/>
      <c r="B501" s="181"/>
      <c r="C501" s="181"/>
      <c r="D501" s="181"/>
      <c r="E501" s="181"/>
      <c r="F501" s="181"/>
      <c r="G501" s="181"/>
      <c r="H501" s="181"/>
      <c r="I501" s="181"/>
      <c r="J501" s="181"/>
      <c r="K501" s="181"/>
      <c r="L501" s="181"/>
      <c r="M501" s="181"/>
      <c r="N501" s="181"/>
      <c r="O501" s="181"/>
      <c r="P501" s="181"/>
      <c r="Q501" s="181"/>
      <c r="R501" s="181"/>
      <c r="S501" s="181"/>
      <c r="T501" s="181"/>
      <c r="U501" s="181"/>
      <c r="V501" s="181"/>
      <c r="W501" s="181"/>
      <c r="X501" s="181"/>
      <c r="Y501" s="181"/>
      <c r="Z501" s="181"/>
    </row>
    <row r="502" customFormat="false" ht="15.75" hidden="false" customHeight="false" outlineLevel="0" collapsed="false">
      <c r="A502" s="181"/>
      <c r="B502" s="181"/>
      <c r="C502" s="181"/>
      <c r="D502" s="181"/>
      <c r="E502" s="181"/>
      <c r="F502" s="181"/>
      <c r="G502" s="181"/>
      <c r="H502" s="181"/>
      <c r="I502" s="181"/>
      <c r="J502" s="181"/>
      <c r="K502" s="181"/>
      <c r="L502" s="181"/>
      <c r="M502" s="181"/>
      <c r="N502" s="181"/>
      <c r="O502" s="181"/>
      <c r="P502" s="181"/>
      <c r="Q502" s="181"/>
      <c r="R502" s="181"/>
      <c r="S502" s="181"/>
      <c r="T502" s="181"/>
      <c r="U502" s="181"/>
      <c r="V502" s="181"/>
      <c r="W502" s="181"/>
      <c r="X502" s="181"/>
      <c r="Y502" s="181"/>
      <c r="Z502" s="181"/>
    </row>
    <row r="503" customFormat="false" ht="15.75" hidden="false" customHeight="false" outlineLevel="0" collapsed="false">
      <c r="A503" s="181"/>
      <c r="B503" s="181"/>
      <c r="C503" s="181"/>
      <c r="D503" s="181"/>
      <c r="E503" s="181"/>
      <c r="F503" s="181"/>
      <c r="G503" s="181"/>
      <c r="H503" s="181"/>
      <c r="I503" s="181"/>
      <c r="J503" s="181"/>
      <c r="K503" s="181"/>
      <c r="L503" s="181"/>
      <c r="M503" s="181"/>
      <c r="N503" s="181"/>
      <c r="O503" s="181"/>
      <c r="P503" s="181"/>
      <c r="Q503" s="181"/>
      <c r="R503" s="181"/>
      <c r="S503" s="181"/>
      <c r="T503" s="181"/>
      <c r="U503" s="181"/>
      <c r="V503" s="181"/>
      <c r="W503" s="181"/>
      <c r="X503" s="181"/>
      <c r="Y503" s="181"/>
      <c r="Z503" s="181"/>
    </row>
    <row r="504" customFormat="false" ht="15.75" hidden="false" customHeight="false" outlineLevel="0" collapsed="false">
      <c r="A504" s="181"/>
      <c r="B504" s="181"/>
      <c r="C504" s="181"/>
      <c r="D504" s="181"/>
      <c r="E504" s="181"/>
      <c r="F504" s="181"/>
      <c r="G504" s="181"/>
      <c r="H504" s="181"/>
      <c r="I504" s="181"/>
      <c r="J504" s="181"/>
      <c r="K504" s="181"/>
      <c r="L504" s="181"/>
      <c r="M504" s="181"/>
      <c r="N504" s="181"/>
      <c r="O504" s="181"/>
      <c r="P504" s="181"/>
      <c r="Q504" s="181"/>
      <c r="R504" s="181"/>
      <c r="S504" s="181"/>
      <c r="T504" s="181"/>
      <c r="U504" s="181"/>
      <c r="V504" s="181"/>
      <c r="W504" s="181"/>
      <c r="X504" s="181"/>
      <c r="Y504" s="181"/>
      <c r="Z504" s="181"/>
    </row>
    <row r="505" customFormat="false" ht="15.75" hidden="false" customHeight="false" outlineLevel="0" collapsed="false">
      <c r="A505" s="181"/>
      <c r="B505" s="181"/>
      <c r="C505" s="181"/>
      <c r="D505" s="181"/>
      <c r="E505" s="181"/>
      <c r="F505" s="181"/>
      <c r="G505" s="181"/>
      <c r="H505" s="181"/>
      <c r="I505" s="181"/>
      <c r="J505" s="181"/>
      <c r="K505" s="181"/>
      <c r="L505" s="181"/>
      <c r="M505" s="181"/>
      <c r="N505" s="181"/>
      <c r="O505" s="181"/>
      <c r="P505" s="181"/>
      <c r="Q505" s="181"/>
      <c r="R505" s="181"/>
      <c r="S505" s="181"/>
      <c r="T505" s="181"/>
      <c r="U505" s="181"/>
      <c r="V505" s="181"/>
      <c r="W505" s="181"/>
      <c r="X505" s="181"/>
      <c r="Y505" s="181"/>
      <c r="Z505" s="181"/>
    </row>
    <row r="506" customFormat="false" ht="15.75" hidden="false" customHeight="false" outlineLevel="0" collapsed="false">
      <c r="A506" s="181"/>
      <c r="B506" s="181"/>
      <c r="C506" s="181"/>
      <c r="D506" s="181"/>
      <c r="E506" s="181"/>
      <c r="F506" s="181"/>
      <c r="G506" s="181"/>
      <c r="H506" s="181"/>
      <c r="I506" s="181"/>
      <c r="J506" s="181"/>
      <c r="K506" s="181"/>
      <c r="L506" s="181"/>
      <c r="M506" s="181"/>
      <c r="N506" s="181"/>
      <c r="O506" s="181"/>
      <c r="P506" s="181"/>
      <c r="Q506" s="181"/>
      <c r="R506" s="181"/>
      <c r="S506" s="181"/>
      <c r="T506" s="181"/>
      <c r="U506" s="181"/>
      <c r="V506" s="181"/>
      <c r="W506" s="181"/>
      <c r="X506" s="181"/>
      <c r="Y506" s="181"/>
      <c r="Z506" s="181"/>
    </row>
    <row r="507" customFormat="false" ht="15.75" hidden="false" customHeight="false" outlineLevel="0" collapsed="false">
      <c r="A507" s="181"/>
      <c r="B507" s="181"/>
      <c r="C507" s="181"/>
      <c r="D507" s="181"/>
      <c r="E507" s="181"/>
      <c r="F507" s="181"/>
      <c r="G507" s="181"/>
      <c r="H507" s="181"/>
      <c r="I507" s="181"/>
      <c r="J507" s="181"/>
      <c r="K507" s="181"/>
      <c r="L507" s="181"/>
      <c r="M507" s="181"/>
      <c r="N507" s="181"/>
      <c r="O507" s="181"/>
      <c r="P507" s="181"/>
      <c r="Q507" s="181"/>
      <c r="R507" s="181"/>
      <c r="S507" s="181"/>
      <c r="T507" s="181"/>
      <c r="U507" s="181"/>
      <c r="V507" s="181"/>
      <c r="W507" s="181"/>
      <c r="X507" s="181"/>
      <c r="Y507" s="181"/>
      <c r="Z507" s="181"/>
    </row>
    <row r="508" customFormat="false" ht="15.75" hidden="false" customHeight="false" outlineLevel="0" collapsed="false">
      <c r="A508" s="181"/>
      <c r="B508" s="181"/>
      <c r="C508" s="181"/>
      <c r="D508" s="181"/>
      <c r="E508" s="181"/>
      <c r="F508" s="181"/>
      <c r="G508" s="181"/>
      <c r="H508" s="181"/>
      <c r="I508" s="181"/>
      <c r="J508" s="181"/>
      <c r="K508" s="181"/>
      <c r="L508" s="181"/>
      <c r="M508" s="181"/>
      <c r="N508" s="181"/>
      <c r="O508" s="181"/>
      <c r="P508" s="181"/>
      <c r="Q508" s="181"/>
      <c r="R508" s="181"/>
      <c r="S508" s="181"/>
      <c r="T508" s="181"/>
      <c r="U508" s="181"/>
      <c r="V508" s="181"/>
      <c r="W508" s="181"/>
      <c r="X508" s="181"/>
      <c r="Y508" s="181"/>
      <c r="Z508" s="181"/>
    </row>
    <row r="509" customFormat="false" ht="15.75" hidden="false" customHeight="false" outlineLevel="0" collapsed="false">
      <c r="A509" s="181"/>
      <c r="B509" s="181"/>
      <c r="C509" s="181"/>
      <c r="D509" s="181"/>
      <c r="E509" s="181"/>
      <c r="F509" s="181"/>
      <c r="G509" s="181"/>
      <c r="H509" s="181"/>
      <c r="I509" s="181"/>
      <c r="J509" s="181"/>
      <c r="K509" s="181"/>
      <c r="L509" s="181"/>
      <c r="M509" s="181"/>
      <c r="N509" s="181"/>
      <c r="O509" s="181"/>
      <c r="P509" s="181"/>
      <c r="Q509" s="181"/>
      <c r="R509" s="181"/>
      <c r="S509" s="181"/>
      <c r="T509" s="181"/>
      <c r="U509" s="181"/>
      <c r="V509" s="181"/>
      <c r="W509" s="181"/>
      <c r="X509" s="181"/>
      <c r="Y509" s="181"/>
      <c r="Z509" s="181"/>
    </row>
    <row r="510" customFormat="false" ht="15.75" hidden="false" customHeight="false" outlineLevel="0" collapsed="false">
      <c r="A510" s="181"/>
      <c r="B510" s="181"/>
      <c r="C510" s="181"/>
      <c r="D510" s="181"/>
      <c r="E510" s="181"/>
      <c r="F510" s="181"/>
      <c r="G510" s="181"/>
      <c r="H510" s="181"/>
      <c r="I510" s="181"/>
      <c r="J510" s="181"/>
      <c r="K510" s="181"/>
      <c r="L510" s="181"/>
      <c r="M510" s="181"/>
      <c r="N510" s="181"/>
      <c r="O510" s="181"/>
      <c r="P510" s="181"/>
      <c r="Q510" s="181"/>
      <c r="R510" s="181"/>
      <c r="S510" s="181"/>
      <c r="T510" s="181"/>
      <c r="U510" s="181"/>
      <c r="V510" s="181"/>
      <c r="W510" s="181"/>
      <c r="X510" s="181"/>
      <c r="Y510" s="181"/>
      <c r="Z510" s="181"/>
    </row>
    <row r="511" customFormat="false" ht="15.75" hidden="false" customHeight="false" outlineLevel="0" collapsed="false">
      <c r="A511" s="181"/>
      <c r="B511" s="181"/>
      <c r="C511" s="181"/>
      <c r="D511" s="181"/>
      <c r="E511" s="181"/>
      <c r="F511" s="181"/>
      <c r="G511" s="181"/>
      <c r="H511" s="181"/>
      <c r="I511" s="181"/>
      <c r="J511" s="181"/>
      <c r="K511" s="181"/>
      <c r="L511" s="181"/>
      <c r="M511" s="181"/>
      <c r="N511" s="181"/>
      <c r="O511" s="181"/>
      <c r="P511" s="181"/>
      <c r="Q511" s="181"/>
      <c r="R511" s="181"/>
      <c r="S511" s="181"/>
      <c r="T511" s="181"/>
      <c r="U511" s="181"/>
      <c r="V511" s="181"/>
      <c r="W511" s="181"/>
      <c r="X511" s="181"/>
      <c r="Y511" s="181"/>
      <c r="Z511" s="181"/>
    </row>
    <row r="512" customFormat="false" ht="15.75" hidden="false" customHeight="false" outlineLevel="0" collapsed="false">
      <c r="A512" s="181"/>
      <c r="B512" s="181"/>
      <c r="C512" s="181"/>
      <c r="D512" s="181"/>
      <c r="E512" s="181"/>
      <c r="F512" s="181"/>
      <c r="G512" s="181"/>
      <c r="H512" s="181"/>
      <c r="I512" s="181"/>
      <c r="J512" s="181"/>
      <c r="K512" s="181"/>
      <c r="L512" s="181"/>
      <c r="M512" s="181"/>
      <c r="N512" s="181"/>
      <c r="O512" s="181"/>
      <c r="P512" s="181"/>
      <c r="Q512" s="181"/>
      <c r="R512" s="181"/>
      <c r="S512" s="181"/>
      <c r="T512" s="181"/>
      <c r="U512" s="181"/>
      <c r="V512" s="181"/>
      <c r="W512" s="181"/>
      <c r="X512" s="181"/>
      <c r="Y512" s="181"/>
      <c r="Z512" s="181"/>
    </row>
    <row r="513" customFormat="false" ht="15.75" hidden="false" customHeight="false" outlineLevel="0" collapsed="false">
      <c r="A513" s="181"/>
      <c r="B513" s="181"/>
      <c r="C513" s="181"/>
      <c r="D513" s="181"/>
      <c r="E513" s="181"/>
      <c r="F513" s="181"/>
      <c r="G513" s="181"/>
      <c r="H513" s="181"/>
      <c r="I513" s="181"/>
      <c r="J513" s="181"/>
      <c r="K513" s="181"/>
      <c r="L513" s="181"/>
      <c r="M513" s="181"/>
      <c r="N513" s="181"/>
      <c r="O513" s="181"/>
      <c r="P513" s="181"/>
      <c r="Q513" s="181"/>
      <c r="R513" s="181"/>
      <c r="S513" s="181"/>
      <c r="T513" s="181"/>
      <c r="U513" s="181"/>
      <c r="V513" s="181"/>
      <c r="W513" s="181"/>
      <c r="X513" s="181"/>
      <c r="Y513" s="181"/>
      <c r="Z513" s="181"/>
    </row>
    <row r="514" customFormat="false" ht="15.75" hidden="false" customHeight="false" outlineLevel="0" collapsed="false">
      <c r="A514" s="181"/>
      <c r="B514" s="181"/>
      <c r="C514" s="181"/>
      <c r="D514" s="181"/>
      <c r="E514" s="181"/>
      <c r="F514" s="181"/>
      <c r="G514" s="181"/>
      <c r="H514" s="181"/>
      <c r="I514" s="181"/>
      <c r="J514" s="181"/>
      <c r="K514" s="181"/>
      <c r="L514" s="181"/>
      <c r="M514" s="181"/>
      <c r="N514" s="181"/>
      <c r="O514" s="181"/>
      <c r="P514" s="181"/>
      <c r="Q514" s="181"/>
      <c r="R514" s="181"/>
      <c r="S514" s="181"/>
      <c r="T514" s="181"/>
      <c r="U514" s="181"/>
      <c r="V514" s="181"/>
      <c r="W514" s="181"/>
      <c r="X514" s="181"/>
      <c r="Y514" s="181"/>
      <c r="Z514" s="181"/>
    </row>
    <row r="515" customFormat="false" ht="15.75" hidden="false" customHeight="false" outlineLevel="0" collapsed="false">
      <c r="A515" s="181"/>
      <c r="B515" s="181"/>
      <c r="C515" s="181"/>
      <c r="D515" s="181"/>
      <c r="E515" s="181"/>
      <c r="F515" s="181"/>
      <c r="G515" s="181"/>
      <c r="H515" s="181"/>
      <c r="I515" s="181"/>
      <c r="J515" s="181"/>
      <c r="K515" s="181"/>
      <c r="L515" s="181"/>
      <c r="M515" s="181"/>
      <c r="N515" s="181"/>
      <c r="O515" s="181"/>
      <c r="P515" s="181"/>
      <c r="Q515" s="181"/>
      <c r="R515" s="181"/>
      <c r="S515" s="181"/>
      <c r="T515" s="181"/>
      <c r="U515" s="181"/>
      <c r="V515" s="181"/>
      <c r="W515" s="181"/>
      <c r="X515" s="181"/>
      <c r="Y515" s="181"/>
      <c r="Z515" s="181"/>
    </row>
    <row r="516" customFormat="false" ht="15.75" hidden="false" customHeight="false" outlineLevel="0" collapsed="false">
      <c r="A516" s="181"/>
      <c r="B516" s="181"/>
      <c r="C516" s="181"/>
      <c r="D516" s="181"/>
      <c r="E516" s="181"/>
      <c r="F516" s="181"/>
      <c r="G516" s="181"/>
      <c r="H516" s="181"/>
      <c r="I516" s="181"/>
      <c r="J516" s="181"/>
      <c r="K516" s="181"/>
      <c r="L516" s="181"/>
      <c r="M516" s="181"/>
      <c r="N516" s="181"/>
      <c r="O516" s="181"/>
      <c r="P516" s="181"/>
      <c r="Q516" s="181"/>
      <c r="R516" s="181"/>
      <c r="S516" s="181"/>
      <c r="T516" s="181"/>
      <c r="U516" s="181"/>
      <c r="V516" s="181"/>
      <c r="W516" s="181"/>
      <c r="X516" s="181"/>
      <c r="Y516" s="181"/>
      <c r="Z516" s="181"/>
    </row>
    <row r="517" customFormat="false" ht="15.75" hidden="false" customHeight="false" outlineLevel="0" collapsed="false">
      <c r="A517" s="181"/>
      <c r="B517" s="181"/>
      <c r="C517" s="181"/>
      <c r="D517" s="181"/>
      <c r="E517" s="181"/>
      <c r="F517" s="181"/>
      <c r="G517" s="181"/>
      <c r="H517" s="181"/>
      <c r="I517" s="181"/>
      <c r="J517" s="181"/>
      <c r="K517" s="181"/>
      <c r="L517" s="181"/>
      <c r="M517" s="181"/>
      <c r="N517" s="181"/>
      <c r="O517" s="181"/>
      <c r="P517" s="181"/>
      <c r="Q517" s="181"/>
      <c r="R517" s="181"/>
      <c r="S517" s="181"/>
      <c r="T517" s="181"/>
      <c r="U517" s="181"/>
      <c r="V517" s="181"/>
      <c r="W517" s="181"/>
      <c r="X517" s="181"/>
      <c r="Y517" s="181"/>
      <c r="Z517" s="181"/>
    </row>
    <row r="518" customFormat="false" ht="15.75" hidden="false" customHeight="false" outlineLevel="0" collapsed="false">
      <c r="A518" s="181"/>
      <c r="B518" s="181"/>
      <c r="C518" s="181"/>
      <c r="D518" s="181"/>
      <c r="E518" s="181"/>
      <c r="F518" s="181"/>
      <c r="G518" s="181"/>
      <c r="H518" s="181"/>
      <c r="I518" s="181"/>
      <c r="J518" s="181"/>
      <c r="K518" s="181"/>
      <c r="L518" s="181"/>
      <c r="M518" s="181"/>
      <c r="N518" s="181"/>
      <c r="O518" s="181"/>
      <c r="P518" s="181"/>
      <c r="Q518" s="181"/>
      <c r="R518" s="181"/>
      <c r="S518" s="181"/>
      <c r="T518" s="181"/>
      <c r="U518" s="181"/>
      <c r="V518" s="181"/>
      <c r="W518" s="181"/>
      <c r="X518" s="181"/>
      <c r="Y518" s="181"/>
      <c r="Z518" s="181"/>
    </row>
    <row r="519" customFormat="false" ht="15.75" hidden="false" customHeight="false" outlineLevel="0" collapsed="false">
      <c r="A519" s="181"/>
      <c r="B519" s="181"/>
      <c r="C519" s="181"/>
      <c r="D519" s="181"/>
      <c r="E519" s="181"/>
      <c r="F519" s="181"/>
      <c r="G519" s="181"/>
      <c r="H519" s="181"/>
      <c r="I519" s="181"/>
      <c r="J519" s="181"/>
      <c r="K519" s="181"/>
      <c r="L519" s="181"/>
      <c r="M519" s="181"/>
      <c r="N519" s="181"/>
      <c r="O519" s="181"/>
      <c r="P519" s="181"/>
      <c r="Q519" s="181"/>
      <c r="R519" s="181"/>
      <c r="S519" s="181"/>
      <c r="T519" s="181"/>
      <c r="U519" s="181"/>
      <c r="V519" s="181"/>
      <c r="W519" s="181"/>
      <c r="X519" s="181"/>
      <c r="Y519" s="181"/>
      <c r="Z519" s="181"/>
    </row>
    <row r="520" customFormat="false" ht="15.75" hidden="false" customHeight="false" outlineLevel="0" collapsed="false">
      <c r="A520" s="181"/>
      <c r="B520" s="181"/>
      <c r="C520" s="181"/>
      <c r="D520" s="181"/>
      <c r="E520" s="181"/>
      <c r="F520" s="181"/>
      <c r="G520" s="181"/>
      <c r="H520" s="181"/>
      <c r="I520" s="181"/>
      <c r="J520" s="181"/>
      <c r="K520" s="181"/>
      <c r="L520" s="181"/>
      <c r="M520" s="181"/>
      <c r="N520" s="181"/>
      <c r="O520" s="181"/>
      <c r="P520" s="181"/>
      <c r="Q520" s="181"/>
      <c r="R520" s="181"/>
      <c r="S520" s="181"/>
      <c r="T520" s="181"/>
      <c r="U520" s="181"/>
      <c r="V520" s="181"/>
      <c r="W520" s="181"/>
      <c r="X520" s="181"/>
      <c r="Y520" s="181"/>
      <c r="Z520" s="181"/>
    </row>
    <row r="521" customFormat="false" ht="15.75" hidden="false" customHeight="false" outlineLevel="0" collapsed="false">
      <c r="A521" s="181"/>
      <c r="B521" s="181"/>
      <c r="C521" s="181"/>
      <c r="D521" s="181"/>
      <c r="E521" s="181"/>
      <c r="F521" s="181"/>
      <c r="G521" s="181"/>
      <c r="H521" s="181"/>
      <c r="I521" s="181"/>
      <c r="J521" s="181"/>
      <c r="K521" s="181"/>
      <c r="L521" s="181"/>
      <c r="M521" s="181"/>
      <c r="N521" s="181"/>
      <c r="O521" s="181"/>
      <c r="P521" s="181"/>
      <c r="Q521" s="181"/>
      <c r="R521" s="181"/>
      <c r="S521" s="181"/>
      <c r="T521" s="181"/>
      <c r="U521" s="181"/>
      <c r="V521" s="181"/>
      <c r="W521" s="181"/>
      <c r="X521" s="181"/>
      <c r="Y521" s="181"/>
      <c r="Z521" s="181"/>
    </row>
    <row r="522" customFormat="false" ht="15.75" hidden="false" customHeight="false" outlineLevel="0" collapsed="false">
      <c r="A522" s="181"/>
      <c r="B522" s="181"/>
      <c r="C522" s="181"/>
      <c r="D522" s="181"/>
      <c r="E522" s="181"/>
      <c r="F522" s="181"/>
      <c r="G522" s="181"/>
      <c r="H522" s="181"/>
      <c r="I522" s="181"/>
      <c r="J522" s="181"/>
      <c r="K522" s="181"/>
      <c r="L522" s="181"/>
      <c r="M522" s="181"/>
      <c r="N522" s="181"/>
      <c r="O522" s="181"/>
      <c r="P522" s="181"/>
      <c r="Q522" s="181"/>
      <c r="R522" s="181"/>
      <c r="S522" s="181"/>
      <c r="T522" s="181"/>
      <c r="U522" s="181"/>
      <c r="V522" s="181"/>
      <c r="W522" s="181"/>
      <c r="X522" s="181"/>
      <c r="Y522" s="181"/>
      <c r="Z522" s="181"/>
    </row>
    <row r="523" customFormat="false" ht="15.75" hidden="false" customHeight="false" outlineLevel="0" collapsed="false">
      <c r="A523" s="181"/>
      <c r="B523" s="181"/>
      <c r="C523" s="181"/>
      <c r="D523" s="181"/>
      <c r="E523" s="181"/>
      <c r="F523" s="181"/>
      <c r="G523" s="181"/>
      <c r="H523" s="181"/>
      <c r="I523" s="181"/>
      <c r="J523" s="181"/>
      <c r="K523" s="181"/>
      <c r="L523" s="181"/>
      <c r="M523" s="181"/>
      <c r="N523" s="181"/>
      <c r="O523" s="181"/>
      <c r="P523" s="181"/>
      <c r="Q523" s="181"/>
      <c r="R523" s="181"/>
      <c r="S523" s="181"/>
      <c r="T523" s="181"/>
      <c r="U523" s="181"/>
      <c r="V523" s="181"/>
      <c r="W523" s="181"/>
      <c r="X523" s="181"/>
      <c r="Y523" s="181"/>
      <c r="Z523" s="181"/>
    </row>
    <row r="524" customFormat="false" ht="15.75" hidden="false" customHeight="false" outlineLevel="0" collapsed="false">
      <c r="A524" s="181"/>
      <c r="B524" s="181"/>
      <c r="C524" s="181"/>
      <c r="D524" s="181"/>
      <c r="E524" s="181"/>
      <c r="F524" s="181"/>
      <c r="G524" s="181"/>
      <c r="H524" s="181"/>
      <c r="I524" s="181"/>
      <c r="J524" s="181"/>
      <c r="K524" s="181"/>
      <c r="L524" s="181"/>
      <c r="M524" s="181"/>
      <c r="N524" s="181"/>
      <c r="O524" s="181"/>
      <c r="P524" s="181"/>
      <c r="Q524" s="181"/>
      <c r="R524" s="181"/>
      <c r="S524" s="181"/>
      <c r="T524" s="181"/>
      <c r="U524" s="181"/>
      <c r="V524" s="181"/>
      <c r="W524" s="181"/>
      <c r="X524" s="181"/>
      <c r="Y524" s="181"/>
      <c r="Z524" s="181"/>
    </row>
    <row r="525" customFormat="false" ht="15.75" hidden="false" customHeight="false" outlineLevel="0" collapsed="false">
      <c r="A525" s="181"/>
      <c r="B525" s="181"/>
      <c r="C525" s="181"/>
      <c r="D525" s="181"/>
      <c r="E525" s="181"/>
      <c r="F525" s="181"/>
      <c r="G525" s="181"/>
      <c r="H525" s="181"/>
      <c r="I525" s="181"/>
      <c r="J525" s="181"/>
      <c r="K525" s="181"/>
      <c r="L525" s="181"/>
      <c r="M525" s="181"/>
      <c r="N525" s="181"/>
      <c r="O525" s="181"/>
      <c r="P525" s="181"/>
      <c r="Q525" s="181"/>
      <c r="R525" s="181"/>
      <c r="S525" s="181"/>
      <c r="T525" s="181"/>
      <c r="U525" s="181"/>
      <c r="V525" s="181"/>
      <c r="W525" s="181"/>
      <c r="X525" s="181"/>
      <c r="Y525" s="181"/>
      <c r="Z525" s="181"/>
    </row>
    <row r="526" customFormat="false" ht="15.75" hidden="false" customHeight="false" outlineLevel="0" collapsed="false">
      <c r="A526" s="181"/>
      <c r="B526" s="181"/>
      <c r="C526" s="181"/>
      <c r="D526" s="181"/>
      <c r="E526" s="181"/>
      <c r="F526" s="181"/>
      <c r="G526" s="181"/>
      <c r="H526" s="181"/>
      <c r="I526" s="181"/>
      <c r="J526" s="181"/>
      <c r="K526" s="181"/>
      <c r="L526" s="181"/>
      <c r="M526" s="181"/>
      <c r="N526" s="181"/>
      <c r="O526" s="181"/>
      <c r="P526" s="181"/>
      <c r="Q526" s="181"/>
      <c r="R526" s="181"/>
      <c r="S526" s="181"/>
      <c r="T526" s="181"/>
      <c r="U526" s="181"/>
      <c r="V526" s="181"/>
      <c r="W526" s="181"/>
      <c r="X526" s="181"/>
      <c r="Y526" s="181"/>
      <c r="Z526" s="181"/>
    </row>
    <row r="527" customFormat="false" ht="15.75" hidden="false" customHeight="false" outlineLevel="0" collapsed="false">
      <c r="A527" s="181"/>
      <c r="B527" s="181"/>
      <c r="C527" s="181"/>
      <c r="D527" s="181"/>
      <c r="E527" s="181"/>
      <c r="F527" s="181"/>
      <c r="G527" s="181"/>
      <c r="H527" s="181"/>
      <c r="I527" s="181"/>
      <c r="J527" s="181"/>
      <c r="K527" s="181"/>
      <c r="L527" s="181"/>
      <c r="M527" s="181"/>
      <c r="N527" s="181"/>
      <c r="O527" s="181"/>
      <c r="P527" s="181"/>
      <c r="Q527" s="181"/>
      <c r="R527" s="181"/>
      <c r="S527" s="181"/>
      <c r="T527" s="181"/>
      <c r="U527" s="181"/>
      <c r="V527" s="181"/>
      <c r="W527" s="181"/>
      <c r="X527" s="181"/>
      <c r="Y527" s="181"/>
      <c r="Z527" s="181"/>
    </row>
    <row r="528" customFormat="false" ht="15.75" hidden="false" customHeight="false" outlineLevel="0" collapsed="false">
      <c r="A528" s="181"/>
      <c r="B528" s="181"/>
      <c r="C528" s="181"/>
      <c r="D528" s="181"/>
      <c r="E528" s="181"/>
      <c r="F528" s="181"/>
      <c r="G528" s="181"/>
      <c r="H528" s="181"/>
      <c r="I528" s="181"/>
      <c r="J528" s="181"/>
      <c r="K528" s="181"/>
      <c r="L528" s="181"/>
      <c r="M528" s="181"/>
      <c r="N528" s="181"/>
      <c r="O528" s="181"/>
      <c r="P528" s="181"/>
      <c r="Q528" s="181"/>
      <c r="R528" s="181"/>
      <c r="S528" s="181"/>
      <c r="T528" s="181"/>
      <c r="U528" s="181"/>
      <c r="V528" s="181"/>
      <c r="W528" s="181"/>
      <c r="X528" s="181"/>
      <c r="Y528" s="181"/>
      <c r="Z528" s="181"/>
    </row>
    <row r="529" customFormat="false" ht="15.75" hidden="false" customHeight="false" outlineLevel="0" collapsed="false">
      <c r="A529" s="181"/>
      <c r="B529" s="181"/>
      <c r="C529" s="181"/>
      <c r="D529" s="181"/>
      <c r="E529" s="181"/>
      <c r="F529" s="181"/>
      <c r="G529" s="181"/>
      <c r="H529" s="181"/>
      <c r="I529" s="181"/>
      <c r="J529" s="181"/>
      <c r="K529" s="181"/>
      <c r="L529" s="181"/>
      <c r="M529" s="181"/>
      <c r="N529" s="181"/>
      <c r="O529" s="181"/>
      <c r="P529" s="181"/>
      <c r="Q529" s="181"/>
      <c r="R529" s="181"/>
      <c r="S529" s="181"/>
      <c r="T529" s="181"/>
      <c r="U529" s="181"/>
      <c r="V529" s="181"/>
      <c r="W529" s="181"/>
      <c r="X529" s="181"/>
      <c r="Y529" s="181"/>
      <c r="Z529" s="181"/>
    </row>
    <row r="530" customFormat="false" ht="15.75" hidden="false" customHeight="false" outlineLevel="0" collapsed="false">
      <c r="A530" s="181"/>
      <c r="B530" s="181"/>
      <c r="C530" s="181"/>
      <c r="D530" s="181"/>
      <c r="E530" s="181"/>
      <c r="F530" s="181"/>
      <c r="G530" s="181"/>
      <c r="H530" s="181"/>
      <c r="I530" s="181"/>
      <c r="J530" s="181"/>
      <c r="K530" s="181"/>
      <c r="L530" s="181"/>
      <c r="M530" s="181"/>
      <c r="N530" s="181"/>
      <c r="O530" s="181"/>
      <c r="P530" s="181"/>
      <c r="Q530" s="181"/>
      <c r="R530" s="181"/>
      <c r="S530" s="181"/>
      <c r="T530" s="181"/>
      <c r="U530" s="181"/>
      <c r="V530" s="181"/>
      <c r="W530" s="181"/>
      <c r="X530" s="181"/>
      <c r="Y530" s="181"/>
      <c r="Z530" s="181"/>
    </row>
    <row r="531" customFormat="false" ht="15.75" hidden="false" customHeight="false" outlineLevel="0" collapsed="false">
      <c r="A531" s="181"/>
      <c r="B531" s="181"/>
      <c r="C531" s="181"/>
      <c r="D531" s="181"/>
      <c r="E531" s="181"/>
      <c r="F531" s="181"/>
      <c r="G531" s="181"/>
      <c r="H531" s="181"/>
      <c r="I531" s="181"/>
      <c r="J531" s="181"/>
      <c r="K531" s="181"/>
      <c r="L531" s="181"/>
      <c r="M531" s="181"/>
      <c r="N531" s="181"/>
      <c r="O531" s="181"/>
      <c r="P531" s="181"/>
      <c r="Q531" s="181"/>
      <c r="R531" s="181"/>
      <c r="S531" s="181"/>
      <c r="T531" s="181"/>
      <c r="U531" s="181"/>
      <c r="V531" s="181"/>
      <c r="W531" s="181"/>
      <c r="X531" s="181"/>
      <c r="Y531" s="181"/>
      <c r="Z531" s="181"/>
    </row>
    <row r="532" customFormat="false" ht="15.75" hidden="false" customHeight="false" outlineLevel="0" collapsed="false">
      <c r="A532" s="181"/>
      <c r="B532" s="181"/>
      <c r="C532" s="181"/>
      <c r="D532" s="181"/>
      <c r="E532" s="181"/>
      <c r="F532" s="181"/>
      <c r="G532" s="181"/>
      <c r="H532" s="181"/>
      <c r="I532" s="181"/>
      <c r="J532" s="181"/>
      <c r="K532" s="181"/>
      <c r="L532" s="181"/>
      <c r="M532" s="181"/>
      <c r="N532" s="181"/>
      <c r="O532" s="181"/>
      <c r="P532" s="181"/>
      <c r="Q532" s="181"/>
      <c r="R532" s="181"/>
      <c r="S532" s="181"/>
      <c r="T532" s="181"/>
      <c r="U532" s="181"/>
      <c r="V532" s="181"/>
      <c r="W532" s="181"/>
      <c r="X532" s="181"/>
      <c r="Y532" s="181"/>
      <c r="Z532" s="181"/>
    </row>
    <row r="533" customFormat="false" ht="15.75" hidden="false" customHeight="false" outlineLevel="0" collapsed="false">
      <c r="A533" s="181"/>
      <c r="B533" s="181"/>
      <c r="C533" s="181"/>
      <c r="D533" s="181"/>
      <c r="E533" s="181"/>
      <c r="F533" s="181"/>
      <c r="G533" s="181"/>
      <c r="H533" s="181"/>
      <c r="I533" s="181"/>
      <c r="J533" s="181"/>
      <c r="K533" s="181"/>
      <c r="L533" s="181"/>
      <c r="M533" s="181"/>
      <c r="N533" s="181"/>
      <c r="O533" s="181"/>
      <c r="P533" s="181"/>
      <c r="Q533" s="181"/>
      <c r="R533" s="181"/>
      <c r="S533" s="181"/>
      <c r="T533" s="181"/>
      <c r="U533" s="181"/>
      <c r="V533" s="181"/>
      <c r="W533" s="181"/>
      <c r="X533" s="181"/>
      <c r="Y533" s="181"/>
      <c r="Z533" s="181"/>
    </row>
    <row r="534" customFormat="false" ht="15.75" hidden="false" customHeight="false" outlineLevel="0" collapsed="false">
      <c r="A534" s="181"/>
      <c r="B534" s="181"/>
      <c r="C534" s="181"/>
      <c r="D534" s="181"/>
      <c r="E534" s="181"/>
      <c r="F534" s="181"/>
      <c r="G534" s="181"/>
      <c r="H534" s="181"/>
      <c r="I534" s="181"/>
      <c r="J534" s="181"/>
      <c r="K534" s="181"/>
      <c r="L534" s="181"/>
      <c r="M534" s="181"/>
      <c r="N534" s="181"/>
      <c r="O534" s="181"/>
      <c r="P534" s="181"/>
      <c r="Q534" s="181"/>
      <c r="R534" s="181"/>
      <c r="S534" s="181"/>
      <c r="T534" s="181"/>
      <c r="U534" s="181"/>
      <c r="V534" s="181"/>
      <c r="W534" s="181"/>
      <c r="X534" s="181"/>
      <c r="Y534" s="181"/>
      <c r="Z534" s="181"/>
    </row>
    <row r="535" customFormat="false" ht="15.75" hidden="false" customHeight="false" outlineLevel="0" collapsed="false">
      <c r="A535" s="181"/>
      <c r="B535" s="181"/>
      <c r="C535" s="181"/>
      <c r="D535" s="181"/>
      <c r="E535" s="181"/>
      <c r="F535" s="181"/>
      <c r="G535" s="181"/>
      <c r="H535" s="181"/>
      <c r="I535" s="181"/>
      <c r="J535" s="181"/>
      <c r="K535" s="181"/>
      <c r="L535" s="181"/>
      <c r="M535" s="181"/>
      <c r="N535" s="181"/>
      <c r="O535" s="181"/>
      <c r="P535" s="181"/>
      <c r="Q535" s="181"/>
      <c r="R535" s="181"/>
      <c r="S535" s="181"/>
      <c r="T535" s="181"/>
      <c r="U535" s="181"/>
      <c r="V535" s="181"/>
      <c r="W535" s="181"/>
      <c r="X535" s="181"/>
      <c r="Y535" s="181"/>
      <c r="Z535" s="181"/>
    </row>
    <row r="536" customFormat="false" ht="15.75" hidden="false" customHeight="false" outlineLevel="0" collapsed="false">
      <c r="A536" s="181"/>
      <c r="B536" s="181"/>
      <c r="C536" s="181"/>
      <c r="D536" s="181"/>
      <c r="E536" s="181"/>
      <c r="F536" s="181"/>
      <c r="G536" s="181"/>
      <c r="H536" s="181"/>
      <c r="I536" s="181"/>
      <c r="J536" s="181"/>
      <c r="K536" s="181"/>
      <c r="L536" s="181"/>
      <c r="M536" s="181"/>
      <c r="N536" s="181"/>
      <c r="O536" s="181"/>
      <c r="P536" s="181"/>
      <c r="Q536" s="181"/>
      <c r="R536" s="181"/>
      <c r="S536" s="181"/>
      <c r="T536" s="181"/>
      <c r="U536" s="181"/>
      <c r="V536" s="181"/>
      <c r="W536" s="181"/>
      <c r="X536" s="181"/>
      <c r="Y536" s="181"/>
      <c r="Z536" s="181"/>
    </row>
    <row r="537" customFormat="false" ht="15.75" hidden="false" customHeight="false" outlineLevel="0" collapsed="false">
      <c r="A537" s="181"/>
      <c r="B537" s="181"/>
      <c r="C537" s="181"/>
      <c r="D537" s="181"/>
      <c r="E537" s="181"/>
      <c r="F537" s="181"/>
      <c r="G537" s="181"/>
      <c r="H537" s="181"/>
      <c r="I537" s="181"/>
      <c r="J537" s="181"/>
      <c r="K537" s="181"/>
      <c r="L537" s="181"/>
      <c r="M537" s="181"/>
      <c r="N537" s="181"/>
      <c r="O537" s="181"/>
      <c r="P537" s="181"/>
      <c r="Q537" s="181"/>
      <c r="R537" s="181"/>
      <c r="S537" s="181"/>
      <c r="T537" s="181"/>
      <c r="U537" s="181"/>
      <c r="V537" s="181"/>
      <c r="W537" s="181"/>
      <c r="X537" s="181"/>
      <c r="Y537" s="181"/>
      <c r="Z537" s="181"/>
    </row>
    <row r="538" customFormat="false" ht="15.75" hidden="false" customHeight="false" outlineLevel="0" collapsed="false">
      <c r="A538" s="181"/>
      <c r="B538" s="181"/>
      <c r="C538" s="181"/>
      <c r="D538" s="181"/>
      <c r="E538" s="181"/>
      <c r="F538" s="181"/>
      <c r="G538" s="181"/>
      <c r="H538" s="181"/>
      <c r="I538" s="181"/>
      <c r="J538" s="181"/>
      <c r="K538" s="181"/>
      <c r="L538" s="181"/>
      <c r="M538" s="181"/>
      <c r="N538" s="181"/>
      <c r="O538" s="181"/>
      <c r="P538" s="181"/>
      <c r="Q538" s="181"/>
      <c r="R538" s="181"/>
      <c r="S538" s="181"/>
      <c r="T538" s="181"/>
      <c r="U538" s="181"/>
      <c r="V538" s="181"/>
      <c r="W538" s="181"/>
      <c r="X538" s="181"/>
      <c r="Y538" s="181"/>
      <c r="Z538" s="181"/>
    </row>
    <row r="539" customFormat="false" ht="15.75" hidden="false" customHeight="false" outlineLevel="0" collapsed="false">
      <c r="A539" s="181"/>
      <c r="B539" s="181"/>
      <c r="C539" s="181"/>
      <c r="D539" s="181"/>
      <c r="E539" s="181"/>
      <c r="F539" s="181"/>
      <c r="G539" s="181"/>
      <c r="H539" s="181"/>
      <c r="I539" s="181"/>
      <c r="J539" s="181"/>
      <c r="K539" s="181"/>
      <c r="L539" s="181"/>
      <c r="M539" s="181"/>
      <c r="N539" s="181"/>
      <c r="O539" s="181"/>
      <c r="P539" s="181"/>
      <c r="Q539" s="181"/>
      <c r="R539" s="181"/>
      <c r="S539" s="181"/>
      <c r="T539" s="181"/>
      <c r="U539" s="181"/>
      <c r="V539" s="181"/>
      <c r="W539" s="181"/>
      <c r="X539" s="181"/>
      <c r="Y539" s="181"/>
      <c r="Z539" s="181"/>
    </row>
    <row r="540" customFormat="false" ht="15.75" hidden="false" customHeight="false" outlineLevel="0" collapsed="false">
      <c r="A540" s="181"/>
      <c r="B540" s="181"/>
      <c r="C540" s="181"/>
      <c r="D540" s="181"/>
      <c r="E540" s="181"/>
      <c r="F540" s="181"/>
      <c r="G540" s="181"/>
      <c r="H540" s="181"/>
      <c r="I540" s="181"/>
      <c r="J540" s="181"/>
      <c r="K540" s="181"/>
      <c r="L540" s="181"/>
      <c r="M540" s="181"/>
      <c r="N540" s="181"/>
      <c r="O540" s="181"/>
      <c r="P540" s="181"/>
      <c r="Q540" s="181"/>
      <c r="R540" s="181"/>
      <c r="S540" s="181"/>
      <c r="T540" s="181"/>
      <c r="U540" s="181"/>
      <c r="V540" s="181"/>
      <c r="W540" s="181"/>
      <c r="X540" s="181"/>
      <c r="Y540" s="181"/>
      <c r="Z540" s="181"/>
    </row>
    <row r="541" customFormat="false" ht="15.75" hidden="false" customHeight="false" outlineLevel="0" collapsed="false">
      <c r="A541" s="181"/>
      <c r="B541" s="181"/>
      <c r="C541" s="181"/>
      <c r="D541" s="181"/>
      <c r="E541" s="181"/>
      <c r="F541" s="181"/>
      <c r="G541" s="181"/>
      <c r="H541" s="181"/>
      <c r="I541" s="181"/>
      <c r="J541" s="181"/>
      <c r="K541" s="181"/>
      <c r="L541" s="181"/>
      <c r="M541" s="181"/>
      <c r="N541" s="181"/>
      <c r="O541" s="181"/>
      <c r="P541" s="181"/>
      <c r="Q541" s="181"/>
      <c r="R541" s="181"/>
      <c r="S541" s="181"/>
      <c r="T541" s="181"/>
      <c r="U541" s="181"/>
      <c r="V541" s="181"/>
      <c r="W541" s="181"/>
      <c r="X541" s="181"/>
      <c r="Y541" s="181"/>
      <c r="Z541" s="181"/>
    </row>
    <row r="542" customFormat="false" ht="15.75" hidden="false" customHeight="false" outlineLevel="0" collapsed="false">
      <c r="A542" s="181"/>
      <c r="B542" s="181"/>
      <c r="C542" s="181"/>
      <c r="D542" s="181"/>
      <c r="E542" s="181"/>
      <c r="F542" s="181"/>
      <c r="G542" s="181"/>
      <c r="H542" s="181"/>
      <c r="I542" s="181"/>
      <c r="J542" s="181"/>
      <c r="K542" s="181"/>
      <c r="L542" s="181"/>
      <c r="M542" s="181"/>
      <c r="N542" s="181"/>
      <c r="O542" s="181"/>
      <c r="P542" s="181"/>
      <c r="Q542" s="181"/>
      <c r="R542" s="181"/>
      <c r="S542" s="181"/>
      <c r="T542" s="181"/>
      <c r="U542" s="181"/>
      <c r="V542" s="181"/>
      <c r="W542" s="181"/>
      <c r="X542" s="181"/>
      <c r="Y542" s="181"/>
      <c r="Z542" s="181"/>
    </row>
    <row r="543" customFormat="false" ht="15.75" hidden="false" customHeight="false" outlineLevel="0" collapsed="false">
      <c r="A543" s="181"/>
      <c r="B543" s="181"/>
      <c r="C543" s="181"/>
      <c r="D543" s="181"/>
      <c r="E543" s="181"/>
      <c r="F543" s="181"/>
      <c r="G543" s="181"/>
      <c r="H543" s="181"/>
      <c r="I543" s="181"/>
      <c r="J543" s="181"/>
      <c r="K543" s="181"/>
      <c r="L543" s="181"/>
      <c r="M543" s="181"/>
      <c r="N543" s="181"/>
      <c r="O543" s="181"/>
      <c r="P543" s="181"/>
      <c r="Q543" s="181"/>
      <c r="R543" s="181"/>
      <c r="S543" s="181"/>
      <c r="T543" s="181"/>
      <c r="U543" s="181"/>
      <c r="V543" s="181"/>
      <c r="W543" s="181"/>
      <c r="X543" s="181"/>
      <c r="Y543" s="181"/>
      <c r="Z543" s="181"/>
    </row>
    <row r="544" customFormat="false" ht="15.75" hidden="false" customHeight="false" outlineLevel="0" collapsed="false">
      <c r="A544" s="181"/>
      <c r="B544" s="181"/>
      <c r="C544" s="181"/>
      <c r="D544" s="181"/>
      <c r="E544" s="181"/>
      <c r="F544" s="181"/>
      <c r="G544" s="181"/>
      <c r="H544" s="181"/>
      <c r="I544" s="181"/>
      <c r="J544" s="181"/>
      <c r="K544" s="181"/>
      <c r="L544" s="181"/>
      <c r="M544" s="181"/>
      <c r="N544" s="181"/>
      <c r="O544" s="181"/>
      <c r="P544" s="181"/>
      <c r="Q544" s="181"/>
      <c r="R544" s="181"/>
      <c r="S544" s="181"/>
      <c r="T544" s="181"/>
      <c r="U544" s="181"/>
      <c r="V544" s="181"/>
      <c r="W544" s="181"/>
      <c r="X544" s="181"/>
      <c r="Y544" s="181"/>
      <c r="Z544" s="181"/>
    </row>
    <row r="545" customFormat="false" ht="15.75" hidden="false" customHeight="false" outlineLevel="0" collapsed="false">
      <c r="A545" s="181"/>
      <c r="B545" s="181"/>
      <c r="C545" s="181"/>
      <c r="D545" s="181"/>
      <c r="E545" s="181"/>
      <c r="F545" s="181"/>
      <c r="G545" s="181"/>
      <c r="H545" s="181"/>
      <c r="I545" s="181"/>
      <c r="J545" s="181"/>
      <c r="K545" s="181"/>
      <c r="L545" s="181"/>
      <c r="M545" s="181"/>
      <c r="N545" s="181"/>
      <c r="O545" s="181"/>
      <c r="P545" s="181"/>
      <c r="Q545" s="181"/>
      <c r="R545" s="181"/>
      <c r="S545" s="181"/>
      <c r="T545" s="181"/>
      <c r="U545" s="181"/>
      <c r="V545" s="181"/>
      <c r="W545" s="181"/>
      <c r="X545" s="181"/>
      <c r="Y545" s="181"/>
      <c r="Z545" s="181"/>
    </row>
    <row r="546" customFormat="false" ht="15.75" hidden="false" customHeight="false" outlineLevel="0" collapsed="false">
      <c r="A546" s="181"/>
      <c r="B546" s="181"/>
      <c r="C546" s="181"/>
      <c r="D546" s="181"/>
      <c r="E546" s="181"/>
      <c r="F546" s="181"/>
      <c r="G546" s="181"/>
      <c r="H546" s="181"/>
      <c r="I546" s="181"/>
      <c r="J546" s="181"/>
      <c r="K546" s="181"/>
      <c r="L546" s="181"/>
      <c r="M546" s="181"/>
      <c r="N546" s="181"/>
      <c r="O546" s="181"/>
      <c r="P546" s="181"/>
      <c r="Q546" s="181"/>
      <c r="R546" s="181"/>
      <c r="S546" s="181"/>
      <c r="T546" s="181"/>
      <c r="U546" s="181"/>
      <c r="V546" s="181"/>
      <c r="W546" s="181"/>
      <c r="X546" s="181"/>
      <c r="Y546" s="181"/>
      <c r="Z546" s="181"/>
    </row>
    <row r="547" customFormat="false" ht="15.75" hidden="false" customHeight="false" outlineLevel="0" collapsed="false">
      <c r="A547" s="181"/>
      <c r="B547" s="181"/>
      <c r="C547" s="181"/>
      <c r="D547" s="181"/>
      <c r="E547" s="181"/>
      <c r="F547" s="181"/>
      <c r="G547" s="181"/>
      <c r="H547" s="181"/>
      <c r="I547" s="181"/>
      <c r="J547" s="181"/>
      <c r="K547" s="181"/>
      <c r="L547" s="181"/>
      <c r="M547" s="181"/>
      <c r="N547" s="181"/>
      <c r="O547" s="181"/>
      <c r="P547" s="181"/>
      <c r="Q547" s="181"/>
      <c r="R547" s="181"/>
      <c r="S547" s="181"/>
      <c r="T547" s="181"/>
      <c r="U547" s="181"/>
      <c r="V547" s="181"/>
      <c r="W547" s="181"/>
      <c r="X547" s="181"/>
      <c r="Y547" s="181"/>
      <c r="Z547" s="181"/>
    </row>
    <row r="548" customFormat="false" ht="15.75" hidden="false" customHeight="false" outlineLevel="0" collapsed="false">
      <c r="A548" s="181"/>
      <c r="B548" s="181"/>
      <c r="C548" s="181"/>
      <c r="D548" s="181"/>
      <c r="E548" s="181"/>
      <c r="F548" s="181"/>
      <c r="G548" s="181"/>
      <c r="H548" s="181"/>
      <c r="I548" s="181"/>
      <c r="J548" s="181"/>
      <c r="K548" s="181"/>
      <c r="L548" s="181"/>
      <c r="M548" s="181"/>
      <c r="N548" s="181"/>
      <c r="O548" s="181"/>
      <c r="P548" s="181"/>
      <c r="Q548" s="181"/>
      <c r="R548" s="181"/>
      <c r="S548" s="181"/>
      <c r="T548" s="181"/>
      <c r="U548" s="181"/>
      <c r="V548" s="181"/>
      <c r="W548" s="181"/>
      <c r="X548" s="181"/>
      <c r="Y548" s="181"/>
      <c r="Z548" s="181"/>
    </row>
    <row r="549" customFormat="false" ht="15.75" hidden="false" customHeight="false" outlineLevel="0" collapsed="false">
      <c r="A549" s="181"/>
      <c r="B549" s="181"/>
      <c r="C549" s="181"/>
      <c r="D549" s="181"/>
      <c r="E549" s="181"/>
      <c r="F549" s="181"/>
      <c r="G549" s="181"/>
      <c r="H549" s="181"/>
      <c r="I549" s="181"/>
      <c r="J549" s="181"/>
      <c r="K549" s="181"/>
      <c r="L549" s="181"/>
      <c r="M549" s="181"/>
      <c r="N549" s="181"/>
      <c r="O549" s="181"/>
      <c r="P549" s="181"/>
      <c r="Q549" s="181"/>
      <c r="R549" s="181"/>
      <c r="S549" s="181"/>
      <c r="T549" s="181"/>
      <c r="U549" s="181"/>
      <c r="V549" s="181"/>
      <c r="W549" s="181"/>
      <c r="X549" s="181"/>
      <c r="Y549" s="181"/>
      <c r="Z549" s="181"/>
    </row>
    <row r="550" customFormat="false" ht="15.75" hidden="false" customHeight="false" outlineLevel="0" collapsed="false">
      <c r="A550" s="181"/>
      <c r="B550" s="181"/>
      <c r="C550" s="181"/>
      <c r="D550" s="181"/>
      <c r="E550" s="181"/>
      <c r="F550" s="181"/>
      <c r="G550" s="181"/>
      <c r="H550" s="181"/>
      <c r="I550" s="181"/>
      <c r="J550" s="181"/>
      <c r="K550" s="181"/>
      <c r="L550" s="181"/>
      <c r="M550" s="181"/>
      <c r="N550" s="181"/>
      <c r="O550" s="181"/>
      <c r="P550" s="181"/>
      <c r="Q550" s="181"/>
      <c r="R550" s="181"/>
      <c r="S550" s="181"/>
      <c r="T550" s="181"/>
      <c r="U550" s="181"/>
      <c r="V550" s="181"/>
      <c r="W550" s="181"/>
      <c r="X550" s="181"/>
      <c r="Y550" s="181"/>
      <c r="Z550" s="181"/>
    </row>
    <row r="551" customFormat="false" ht="15.75" hidden="false" customHeight="false" outlineLevel="0" collapsed="false">
      <c r="A551" s="181"/>
      <c r="B551" s="181"/>
      <c r="C551" s="181"/>
      <c r="D551" s="181"/>
      <c r="E551" s="181"/>
      <c r="F551" s="181"/>
      <c r="G551" s="181"/>
      <c r="H551" s="181"/>
      <c r="I551" s="181"/>
      <c r="J551" s="181"/>
      <c r="K551" s="181"/>
      <c r="L551" s="181"/>
      <c r="M551" s="181"/>
      <c r="N551" s="181"/>
      <c r="O551" s="181"/>
      <c r="P551" s="181"/>
      <c r="Q551" s="181"/>
      <c r="R551" s="181"/>
      <c r="S551" s="181"/>
      <c r="T551" s="181"/>
      <c r="U551" s="181"/>
      <c r="V551" s="181"/>
      <c r="W551" s="181"/>
      <c r="X551" s="181"/>
      <c r="Y551" s="181"/>
      <c r="Z551" s="181"/>
    </row>
    <row r="552" customFormat="false" ht="15.75" hidden="false" customHeight="false" outlineLevel="0" collapsed="false">
      <c r="A552" s="181"/>
      <c r="B552" s="181"/>
      <c r="C552" s="181"/>
      <c r="D552" s="181"/>
      <c r="E552" s="181"/>
      <c r="F552" s="181"/>
      <c r="G552" s="181"/>
      <c r="H552" s="181"/>
      <c r="I552" s="181"/>
      <c r="J552" s="181"/>
      <c r="K552" s="181"/>
      <c r="L552" s="181"/>
      <c r="M552" s="181"/>
      <c r="N552" s="181"/>
      <c r="O552" s="181"/>
      <c r="P552" s="181"/>
      <c r="Q552" s="181"/>
      <c r="R552" s="181"/>
      <c r="S552" s="181"/>
      <c r="T552" s="181"/>
      <c r="U552" s="181"/>
      <c r="V552" s="181"/>
      <c r="W552" s="181"/>
      <c r="X552" s="181"/>
      <c r="Y552" s="181"/>
      <c r="Z552" s="181"/>
    </row>
    <row r="553" customFormat="false" ht="15.75" hidden="false" customHeight="false" outlineLevel="0" collapsed="false">
      <c r="A553" s="181"/>
      <c r="B553" s="181"/>
      <c r="C553" s="181"/>
      <c r="D553" s="181"/>
      <c r="E553" s="181"/>
      <c r="F553" s="181"/>
      <c r="G553" s="181"/>
      <c r="H553" s="181"/>
      <c r="I553" s="181"/>
      <c r="J553" s="181"/>
      <c r="K553" s="181"/>
      <c r="L553" s="181"/>
      <c r="M553" s="181"/>
      <c r="N553" s="181"/>
      <c r="O553" s="181"/>
      <c r="P553" s="181"/>
      <c r="Q553" s="181"/>
      <c r="R553" s="181"/>
      <c r="S553" s="181"/>
      <c r="T553" s="181"/>
      <c r="U553" s="181"/>
      <c r="V553" s="181"/>
      <c r="W553" s="181"/>
      <c r="X553" s="181"/>
      <c r="Y553" s="181"/>
      <c r="Z553" s="181"/>
    </row>
    <row r="554" customFormat="false" ht="15.75" hidden="false" customHeight="false" outlineLevel="0" collapsed="false">
      <c r="A554" s="181"/>
      <c r="B554" s="181"/>
      <c r="C554" s="181"/>
      <c r="D554" s="181"/>
      <c r="E554" s="181"/>
      <c r="F554" s="181"/>
      <c r="G554" s="181"/>
      <c r="H554" s="181"/>
      <c r="I554" s="181"/>
      <c r="J554" s="181"/>
      <c r="K554" s="181"/>
      <c r="L554" s="181"/>
      <c r="M554" s="181"/>
      <c r="N554" s="181"/>
      <c r="O554" s="181"/>
      <c r="P554" s="181"/>
      <c r="Q554" s="181"/>
      <c r="R554" s="181"/>
      <c r="S554" s="181"/>
      <c r="T554" s="181"/>
      <c r="U554" s="181"/>
      <c r="V554" s="181"/>
      <c r="W554" s="181"/>
      <c r="X554" s="181"/>
      <c r="Y554" s="181"/>
      <c r="Z554" s="181"/>
    </row>
    <row r="555" customFormat="false" ht="15.75" hidden="false" customHeight="false" outlineLevel="0" collapsed="false">
      <c r="A555" s="181"/>
      <c r="B555" s="181"/>
      <c r="C555" s="181"/>
      <c r="D555" s="181"/>
      <c r="E555" s="181"/>
      <c r="F555" s="181"/>
      <c r="G555" s="181"/>
      <c r="H555" s="181"/>
      <c r="I555" s="181"/>
      <c r="J555" s="181"/>
      <c r="K555" s="181"/>
      <c r="L555" s="181"/>
      <c r="M555" s="181"/>
      <c r="N555" s="181"/>
      <c r="O555" s="181"/>
      <c r="P555" s="181"/>
      <c r="Q555" s="181"/>
      <c r="R555" s="181"/>
      <c r="S555" s="181"/>
      <c r="T555" s="181"/>
      <c r="U555" s="181"/>
      <c r="V555" s="181"/>
      <c r="W555" s="181"/>
      <c r="X555" s="181"/>
      <c r="Y555" s="181"/>
      <c r="Z555" s="181"/>
    </row>
    <row r="556" customFormat="false" ht="15.75" hidden="false" customHeight="false" outlineLevel="0" collapsed="false">
      <c r="A556" s="181"/>
      <c r="B556" s="181"/>
      <c r="C556" s="181"/>
      <c r="D556" s="181"/>
      <c r="E556" s="181"/>
      <c r="F556" s="181"/>
      <c r="G556" s="181"/>
      <c r="H556" s="181"/>
      <c r="I556" s="181"/>
      <c r="J556" s="181"/>
      <c r="K556" s="181"/>
      <c r="L556" s="181"/>
      <c r="M556" s="181"/>
      <c r="N556" s="181"/>
      <c r="O556" s="181"/>
      <c r="P556" s="181"/>
      <c r="Q556" s="181"/>
      <c r="R556" s="181"/>
      <c r="S556" s="181"/>
      <c r="T556" s="181"/>
      <c r="U556" s="181"/>
      <c r="V556" s="181"/>
      <c r="W556" s="181"/>
      <c r="X556" s="181"/>
      <c r="Y556" s="181"/>
      <c r="Z556" s="181"/>
    </row>
    <row r="557" customFormat="false" ht="15.75" hidden="false" customHeight="false" outlineLevel="0" collapsed="false">
      <c r="A557" s="181"/>
      <c r="B557" s="181"/>
      <c r="C557" s="181"/>
      <c r="D557" s="181"/>
      <c r="E557" s="181"/>
      <c r="F557" s="181"/>
      <c r="G557" s="181"/>
      <c r="H557" s="181"/>
      <c r="I557" s="181"/>
      <c r="J557" s="181"/>
      <c r="K557" s="181"/>
      <c r="L557" s="181"/>
      <c r="M557" s="181"/>
      <c r="N557" s="181"/>
      <c r="O557" s="181"/>
      <c r="P557" s="181"/>
      <c r="Q557" s="181"/>
      <c r="R557" s="181"/>
      <c r="S557" s="181"/>
      <c r="T557" s="181"/>
      <c r="U557" s="181"/>
      <c r="V557" s="181"/>
      <c r="W557" s="181"/>
      <c r="X557" s="181"/>
      <c r="Y557" s="181"/>
      <c r="Z557" s="181"/>
    </row>
    <row r="558" customFormat="false" ht="15.75" hidden="false" customHeight="false" outlineLevel="0" collapsed="false">
      <c r="A558" s="181"/>
      <c r="B558" s="181"/>
      <c r="C558" s="181"/>
      <c r="D558" s="181"/>
      <c r="E558" s="181"/>
      <c r="F558" s="181"/>
      <c r="G558" s="181"/>
      <c r="H558" s="181"/>
      <c r="I558" s="181"/>
      <c r="J558" s="181"/>
      <c r="K558" s="181"/>
      <c r="L558" s="181"/>
      <c r="M558" s="181"/>
      <c r="N558" s="181"/>
      <c r="O558" s="181"/>
      <c r="P558" s="181"/>
      <c r="Q558" s="181"/>
      <c r="R558" s="181"/>
      <c r="S558" s="181"/>
      <c r="T558" s="181"/>
      <c r="U558" s="181"/>
      <c r="V558" s="181"/>
      <c r="W558" s="181"/>
      <c r="X558" s="181"/>
      <c r="Y558" s="181"/>
      <c r="Z558" s="181"/>
    </row>
    <row r="559" customFormat="false" ht="15.75" hidden="false" customHeight="false" outlineLevel="0" collapsed="false">
      <c r="A559" s="181"/>
      <c r="B559" s="181"/>
      <c r="C559" s="181"/>
      <c r="D559" s="181"/>
      <c r="E559" s="181"/>
      <c r="F559" s="181"/>
      <c r="G559" s="181"/>
      <c r="H559" s="181"/>
      <c r="I559" s="181"/>
      <c r="J559" s="181"/>
      <c r="K559" s="181"/>
      <c r="L559" s="181"/>
      <c r="M559" s="181"/>
      <c r="N559" s="181"/>
      <c r="O559" s="181"/>
      <c r="P559" s="181"/>
      <c r="Q559" s="181"/>
      <c r="R559" s="181"/>
      <c r="S559" s="181"/>
      <c r="T559" s="181"/>
      <c r="U559" s="181"/>
      <c r="V559" s="181"/>
      <c r="W559" s="181"/>
      <c r="X559" s="181"/>
      <c r="Y559" s="181"/>
      <c r="Z559" s="181"/>
    </row>
    <row r="560" customFormat="false" ht="15.75" hidden="false" customHeight="false" outlineLevel="0" collapsed="false">
      <c r="A560" s="181"/>
      <c r="B560" s="181"/>
      <c r="C560" s="181"/>
      <c r="D560" s="181"/>
      <c r="E560" s="181"/>
      <c r="F560" s="181"/>
      <c r="G560" s="181"/>
      <c r="H560" s="181"/>
      <c r="I560" s="181"/>
      <c r="J560" s="181"/>
      <c r="K560" s="181"/>
      <c r="L560" s="181"/>
      <c r="M560" s="181"/>
      <c r="N560" s="181"/>
      <c r="O560" s="181"/>
      <c r="P560" s="181"/>
      <c r="Q560" s="181"/>
      <c r="R560" s="181"/>
      <c r="S560" s="181"/>
      <c r="T560" s="181"/>
      <c r="U560" s="181"/>
      <c r="V560" s="181"/>
      <c r="W560" s="181"/>
      <c r="X560" s="181"/>
      <c r="Y560" s="181"/>
      <c r="Z560" s="181"/>
    </row>
    <row r="561" customFormat="false" ht="15.75" hidden="false" customHeight="false" outlineLevel="0" collapsed="false">
      <c r="A561" s="181"/>
      <c r="B561" s="181"/>
      <c r="C561" s="181"/>
      <c r="D561" s="181"/>
      <c r="E561" s="181"/>
      <c r="F561" s="181"/>
      <c r="G561" s="181"/>
      <c r="H561" s="181"/>
      <c r="I561" s="181"/>
      <c r="J561" s="181"/>
      <c r="K561" s="181"/>
      <c r="L561" s="181"/>
      <c r="M561" s="181"/>
      <c r="N561" s="181"/>
      <c r="O561" s="181"/>
      <c r="P561" s="181"/>
      <c r="Q561" s="181"/>
      <c r="R561" s="181"/>
      <c r="S561" s="181"/>
      <c r="T561" s="181"/>
      <c r="U561" s="181"/>
      <c r="V561" s="181"/>
      <c r="W561" s="181"/>
      <c r="X561" s="181"/>
      <c r="Y561" s="181"/>
      <c r="Z561" s="181"/>
    </row>
    <row r="562" customFormat="false" ht="15.75" hidden="false" customHeight="false" outlineLevel="0" collapsed="false">
      <c r="A562" s="181"/>
      <c r="B562" s="181"/>
      <c r="C562" s="181"/>
      <c r="D562" s="181"/>
      <c r="E562" s="181"/>
      <c r="F562" s="181"/>
      <c r="G562" s="181"/>
      <c r="H562" s="181"/>
      <c r="I562" s="181"/>
      <c r="J562" s="181"/>
      <c r="K562" s="181"/>
      <c r="L562" s="181"/>
      <c r="M562" s="181"/>
      <c r="N562" s="181"/>
      <c r="O562" s="181"/>
      <c r="P562" s="181"/>
      <c r="Q562" s="181"/>
      <c r="R562" s="181"/>
      <c r="S562" s="181"/>
      <c r="T562" s="181"/>
      <c r="U562" s="181"/>
      <c r="V562" s="181"/>
      <c r="W562" s="181"/>
      <c r="X562" s="181"/>
      <c r="Y562" s="181"/>
      <c r="Z562" s="181"/>
    </row>
    <row r="563" customFormat="false" ht="15.75" hidden="false" customHeight="false" outlineLevel="0" collapsed="false">
      <c r="A563" s="181"/>
      <c r="B563" s="181"/>
      <c r="C563" s="181"/>
      <c r="D563" s="181"/>
      <c r="E563" s="181"/>
      <c r="F563" s="181"/>
      <c r="G563" s="181"/>
      <c r="H563" s="181"/>
      <c r="I563" s="181"/>
      <c r="J563" s="181"/>
      <c r="K563" s="181"/>
      <c r="L563" s="181"/>
      <c r="M563" s="181"/>
      <c r="N563" s="181"/>
      <c r="O563" s="181"/>
      <c r="P563" s="181"/>
      <c r="Q563" s="181"/>
      <c r="R563" s="181"/>
      <c r="S563" s="181"/>
      <c r="T563" s="181"/>
      <c r="U563" s="181"/>
      <c r="V563" s="181"/>
      <c r="W563" s="181"/>
      <c r="X563" s="181"/>
      <c r="Y563" s="181"/>
      <c r="Z563" s="181"/>
    </row>
    <row r="564" customFormat="false" ht="15.75" hidden="false" customHeight="false" outlineLevel="0" collapsed="false">
      <c r="A564" s="181"/>
      <c r="B564" s="181"/>
      <c r="C564" s="181"/>
      <c r="D564" s="181"/>
      <c r="E564" s="181"/>
      <c r="F564" s="181"/>
      <c r="G564" s="181"/>
      <c r="H564" s="181"/>
      <c r="I564" s="181"/>
      <c r="J564" s="181"/>
      <c r="K564" s="181"/>
      <c r="L564" s="181"/>
      <c r="M564" s="181"/>
      <c r="N564" s="181"/>
      <c r="O564" s="181"/>
      <c r="P564" s="181"/>
      <c r="Q564" s="181"/>
      <c r="R564" s="181"/>
      <c r="S564" s="181"/>
      <c r="T564" s="181"/>
      <c r="U564" s="181"/>
      <c r="V564" s="181"/>
      <c r="W564" s="181"/>
      <c r="X564" s="181"/>
      <c r="Y564" s="181"/>
      <c r="Z564" s="181"/>
    </row>
    <row r="565" customFormat="false" ht="15.75" hidden="false" customHeight="false" outlineLevel="0" collapsed="false">
      <c r="A565" s="181"/>
      <c r="B565" s="181"/>
      <c r="C565" s="181"/>
      <c r="D565" s="181"/>
      <c r="E565" s="181"/>
      <c r="F565" s="181"/>
      <c r="G565" s="181"/>
      <c r="H565" s="181"/>
      <c r="I565" s="181"/>
      <c r="J565" s="181"/>
      <c r="K565" s="181"/>
      <c r="L565" s="181"/>
      <c r="M565" s="181"/>
      <c r="N565" s="181"/>
      <c r="O565" s="181"/>
      <c r="P565" s="181"/>
      <c r="Q565" s="181"/>
      <c r="R565" s="181"/>
      <c r="S565" s="181"/>
      <c r="T565" s="181"/>
      <c r="U565" s="181"/>
      <c r="V565" s="181"/>
      <c r="W565" s="181"/>
      <c r="X565" s="181"/>
      <c r="Y565" s="181"/>
      <c r="Z565" s="181"/>
    </row>
    <row r="566" customFormat="false" ht="15.75" hidden="false" customHeight="false" outlineLevel="0" collapsed="false">
      <c r="A566" s="181"/>
      <c r="B566" s="181"/>
      <c r="C566" s="181"/>
      <c r="D566" s="181"/>
      <c r="E566" s="181"/>
      <c r="F566" s="181"/>
      <c r="G566" s="181"/>
      <c r="H566" s="181"/>
      <c r="I566" s="181"/>
      <c r="J566" s="181"/>
      <c r="K566" s="181"/>
      <c r="L566" s="181"/>
      <c r="M566" s="181"/>
      <c r="N566" s="181"/>
      <c r="O566" s="181"/>
      <c r="P566" s="181"/>
      <c r="Q566" s="181"/>
      <c r="R566" s="181"/>
      <c r="S566" s="181"/>
      <c r="T566" s="181"/>
      <c r="U566" s="181"/>
      <c r="V566" s="181"/>
      <c r="W566" s="181"/>
      <c r="X566" s="181"/>
      <c r="Y566" s="181"/>
      <c r="Z566" s="181"/>
    </row>
    <row r="567" customFormat="false" ht="15.75" hidden="false" customHeight="false" outlineLevel="0" collapsed="false">
      <c r="A567" s="181"/>
      <c r="B567" s="181"/>
      <c r="C567" s="181"/>
      <c r="D567" s="181"/>
      <c r="E567" s="181"/>
      <c r="F567" s="181"/>
      <c r="G567" s="181"/>
      <c r="H567" s="181"/>
      <c r="I567" s="181"/>
      <c r="J567" s="181"/>
      <c r="K567" s="181"/>
      <c r="L567" s="181"/>
      <c r="M567" s="181"/>
      <c r="N567" s="181"/>
      <c r="O567" s="181"/>
      <c r="P567" s="181"/>
      <c r="Q567" s="181"/>
      <c r="R567" s="181"/>
      <c r="S567" s="181"/>
      <c r="T567" s="181"/>
      <c r="U567" s="181"/>
      <c r="V567" s="181"/>
      <c r="W567" s="181"/>
      <c r="X567" s="181"/>
      <c r="Y567" s="181"/>
      <c r="Z567" s="181"/>
    </row>
    <row r="568" customFormat="false" ht="15.75" hidden="false" customHeight="false" outlineLevel="0" collapsed="false">
      <c r="A568" s="181"/>
      <c r="B568" s="181"/>
      <c r="C568" s="181"/>
      <c r="D568" s="181"/>
      <c r="E568" s="181"/>
      <c r="F568" s="181"/>
      <c r="G568" s="181"/>
      <c r="H568" s="181"/>
      <c r="I568" s="181"/>
      <c r="J568" s="181"/>
      <c r="K568" s="181"/>
      <c r="L568" s="181"/>
      <c r="M568" s="181"/>
      <c r="N568" s="181"/>
      <c r="O568" s="181"/>
      <c r="P568" s="181"/>
      <c r="Q568" s="181"/>
      <c r="R568" s="181"/>
      <c r="S568" s="181"/>
      <c r="T568" s="181"/>
      <c r="U568" s="181"/>
      <c r="V568" s="181"/>
      <c r="W568" s="181"/>
      <c r="X568" s="181"/>
      <c r="Y568" s="181"/>
      <c r="Z568" s="181"/>
    </row>
    <row r="569" customFormat="false" ht="15.75" hidden="false" customHeight="false" outlineLevel="0" collapsed="false">
      <c r="A569" s="181"/>
      <c r="B569" s="181"/>
      <c r="C569" s="181"/>
      <c r="D569" s="181"/>
      <c r="E569" s="181"/>
      <c r="F569" s="181"/>
      <c r="G569" s="181"/>
      <c r="H569" s="181"/>
      <c r="I569" s="181"/>
      <c r="J569" s="181"/>
      <c r="K569" s="181"/>
      <c r="L569" s="181"/>
      <c r="M569" s="181"/>
      <c r="N569" s="181"/>
      <c r="O569" s="181"/>
      <c r="P569" s="181"/>
      <c r="Q569" s="181"/>
      <c r="R569" s="181"/>
      <c r="S569" s="181"/>
      <c r="T569" s="181"/>
      <c r="U569" s="181"/>
      <c r="V569" s="181"/>
      <c r="W569" s="181"/>
      <c r="X569" s="181"/>
      <c r="Y569" s="181"/>
      <c r="Z569" s="181"/>
    </row>
    <row r="570" customFormat="false" ht="15.75" hidden="false" customHeight="false" outlineLevel="0" collapsed="false">
      <c r="A570" s="181"/>
      <c r="B570" s="181"/>
      <c r="C570" s="181"/>
      <c r="D570" s="181"/>
      <c r="E570" s="181"/>
      <c r="F570" s="181"/>
      <c r="G570" s="181"/>
      <c r="H570" s="181"/>
      <c r="I570" s="181"/>
      <c r="J570" s="181"/>
      <c r="K570" s="181"/>
      <c r="L570" s="181"/>
      <c r="M570" s="181"/>
      <c r="N570" s="181"/>
      <c r="O570" s="181"/>
      <c r="P570" s="181"/>
      <c r="Q570" s="181"/>
      <c r="R570" s="181"/>
      <c r="S570" s="181"/>
      <c r="T570" s="181"/>
      <c r="U570" s="181"/>
      <c r="V570" s="181"/>
      <c r="W570" s="181"/>
      <c r="X570" s="181"/>
      <c r="Y570" s="181"/>
      <c r="Z570" s="181"/>
    </row>
    <row r="571" customFormat="false" ht="15.75" hidden="false" customHeight="false" outlineLevel="0" collapsed="false">
      <c r="A571" s="181"/>
      <c r="B571" s="181"/>
      <c r="C571" s="181"/>
      <c r="D571" s="181"/>
      <c r="E571" s="181"/>
      <c r="F571" s="181"/>
      <c r="G571" s="181"/>
      <c r="H571" s="181"/>
      <c r="I571" s="181"/>
      <c r="J571" s="181"/>
      <c r="K571" s="181"/>
      <c r="L571" s="181"/>
      <c r="M571" s="181"/>
      <c r="N571" s="181"/>
      <c r="O571" s="181"/>
      <c r="P571" s="181"/>
      <c r="Q571" s="181"/>
      <c r="R571" s="181"/>
      <c r="S571" s="181"/>
      <c r="T571" s="181"/>
      <c r="U571" s="181"/>
      <c r="V571" s="181"/>
      <c r="W571" s="181"/>
      <c r="X571" s="181"/>
      <c r="Y571" s="181"/>
      <c r="Z571" s="181"/>
    </row>
    <row r="572" customFormat="false" ht="15.75" hidden="false" customHeight="false" outlineLevel="0" collapsed="false">
      <c r="A572" s="181"/>
      <c r="B572" s="181"/>
      <c r="C572" s="181"/>
      <c r="D572" s="181"/>
      <c r="E572" s="181"/>
      <c r="F572" s="181"/>
      <c r="G572" s="181"/>
      <c r="H572" s="181"/>
      <c r="I572" s="181"/>
      <c r="J572" s="181"/>
      <c r="K572" s="181"/>
      <c r="L572" s="181"/>
      <c r="M572" s="181"/>
      <c r="N572" s="181"/>
      <c r="O572" s="181"/>
      <c r="P572" s="181"/>
      <c r="Q572" s="181"/>
      <c r="R572" s="181"/>
      <c r="S572" s="181"/>
      <c r="T572" s="181"/>
      <c r="U572" s="181"/>
      <c r="V572" s="181"/>
      <c r="W572" s="181"/>
      <c r="X572" s="181"/>
      <c r="Y572" s="181"/>
      <c r="Z572" s="181"/>
    </row>
    <row r="573" customFormat="false" ht="15.75" hidden="false" customHeight="false" outlineLevel="0" collapsed="false">
      <c r="A573" s="181"/>
      <c r="B573" s="181"/>
      <c r="C573" s="181"/>
      <c r="D573" s="181"/>
      <c r="E573" s="181"/>
      <c r="F573" s="181"/>
      <c r="G573" s="181"/>
      <c r="H573" s="181"/>
      <c r="I573" s="181"/>
      <c r="J573" s="181"/>
      <c r="K573" s="181"/>
      <c r="L573" s="181"/>
      <c r="M573" s="181"/>
      <c r="N573" s="181"/>
      <c r="O573" s="181"/>
      <c r="P573" s="181"/>
      <c r="Q573" s="181"/>
      <c r="R573" s="181"/>
      <c r="S573" s="181"/>
      <c r="T573" s="181"/>
      <c r="U573" s="181"/>
      <c r="V573" s="181"/>
      <c r="W573" s="181"/>
      <c r="X573" s="181"/>
      <c r="Y573" s="181"/>
      <c r="Z573" s="181"/>
    </row>
    <row r="574" customFormat="false" ht="15.75" hidden="false" customHeight="false" outlineLevel="0" collapsed="false">
      <c r="A574" s="181"/>
      <c r="B574" s="181"/>
      <c r="C574" s="181"/>
      <c r="D574" s="181"/>
      <c r="E574" s="181"/>
      <c r="F574" s="181"/>
      <c r="G574" s="181"/>
      <c r="H574" s="181"/>
      <c r="I574" s="181"/>
      <c r="J574" s="181"/>
      <c r="K574" s="181"/>
      <c r="L574" s="181"/>
      <c r="M574" s="181"/>
      <c r="N574" s="181"/>
      <c r="O574" s="181"/>
      <c r="P574" s="181"/>
      <c r="Q574" s="181"/>
      <c r="R574" s="181"/>
      <c r="S574" s="181"/>
      <c r="T574" s="181"/>
      <c r="U574" s="181"/>
      <c r="V574" s="181"/>
      <c r="W574" s="181"/>
      <c r="X574" s="181"/>
      <c r="Y574" s="181"/>
      <c r="Z574" s="181"/>
    </row>
    <row r="575" customFormat="false" ht="15.75" hidden="false" customHeight="false" outlineLevel="0" collapsed="false">
      <c r="A575" s="181"/>
      <c r="B575" s="181"/>
      <c r="C575" s="181"/>
      <c r="D575" s="181"/>
      <c r="E575" s="181"/>
      <c r="F575" s="181"/>
      <c r="G575" s="181"/>
      <c r="H575" s="181"/>
      <c r="I575" s="181"/>
      <c r="J575" s="181"/>
      <c r="K575" s="181"/>
      <c r="L575" s="181"/>
      <c r="M575" s="181"/>
      <c r="N575" s="181"/>
      <c r="O575" s="181"/>
      <c r="P575" s="181"/>
      <c r="Q575" s="181"/>
      <c r="R575" s="181"/>
      <c r="S575" s="181"/>
      <c r="T575" s="181"/>
      <c r="U575" s="181"/>
      <c r="V575" s="181"/>
      <c r="W575" s="181"/>
      <c r="X575" s="181"/>
      <c r="Y575" s="181"/>
      <c r="Z575" s="181"/>
    </row>
    <row r="576" customFormat="false" ht="15.75" hidden="false" customHeight="false" outlineLevel="0" collapsed="false">
      <c r="A576" s="181"/>
      <c r="B576" s="181"/>
      <c r="C576" s="181"/>
      <c r="D576" s="181"/>
      <c r="E576" s="181"/>
      <c r="F576" s="181"/>
      <c r="G576" s="181"/>
      <c r="H576" s="181"/>
      <c r="I576" s="181"/>
      <c r="J576" s="181"/>
      <c r="K576" s="181"/>
      <c r="L576" s="181"/>
      <c r="M576" s="181"/>
      <c r="N576" s="181"/>
      <c r="O576" s="181"/>
      <c r="P576" s="181"/>
      <c r="Q576" s="181"/>
      <c r="R576" s="181"/>
      <c r="S576" s="181"/>
      <c r="T576" s="181"/>
      <c r="U576" s="181"/>
      <c r="V576" s="181"/>
      <c r="W576" s="181"/>
      <c r="X576" s="181"/>
      <c r="Y576" s="181"/>
      <c r="Z576" s="181"/>
    </row>
    <row r="577" customFormat="false" ht="15.75" hidden="false" customHeight="false" outlineLevel="0" collapsed="false">
      <c r="A577" s="181"/>
      <c r="B577" s="181"/>
      <c r="C577" s="181"/>
      <c r="D577" s="181"/>
      <c r="E577" s="181"/>
      <c r="F577" s="181"/>
      <c r="G577" s="181"/>
      <c r="H577" s="181"/>
      <c r="I577" s="181"/>
      <c r="J577" s="181"/>
      <c r="K577" s="181"/>
      <c r="L577" s="181"/>
      <c r="M577" s="181"/>
      <c r="N577" s="181"/>
      <c r="O577" s="181"/>
      <c r="P577" s="181"/>
      <c r="Q577" s="181"/>
      <c r="R577" s="181"/>
      <c r="S577" s="181"/>
      <c r="T577" s="181"/>
      <c r="U577" s="181"/>
      <c r="V577" s="181"/>
      <c r="W577" s="181"/>
      <c r="X577" s="181"/>
      <c r="Y577" s="181"/>
      <c r="Z577" s="181"/>
    </row>
    <row r="578" customFormat="false" ht="15.75" hidden="false" customHeight="false" outlineLevel="0" collapsed="false">
      <c r="A578" s="181"/>
      <c r="B578" s="181"/>
      <c r="C578" s="181"/>
      <c r="D578" s="181"/>
      <c r="E578" s="181"/>
      <c r="F578" s="181"/>
      <c r="G578" s="181"/>
      <c r="H578" s="181"/>
      <c r="I578" s="181"/>
      <c r="J578" s="181"/>
      <c r="K578" s="181"/>
      <c r="L578" s="181"/>
      <c r="M578" s="181"/>
      <c r="N578" s="181"/>
      <c r="O578" s="181"/>
      <c r="P578" s="181"/>
      <c r="Q578" s="181"/>
      <c r="R578" s="181"/>
      <c r="S578" s="181"/>
      <c r="T578" s="181"/>
      <c r="U578" s="181"/>
      <c r="V578" s="181"/>
      <c r="W578" s="181"/>
      <c r="X578" s="181"/>
      <c r="Y578" s="181"/>
      <c r="Z578" s="181"/>
    </row>
    <row r="579" customFormat="false" ht="15.75" hidden="false" customHeight="false" outlineLevel="0" collapsed="false">
      <c r="A579" s="181"/>
      <c r="B579" s="181"/>
      <c r="C579" s="181"/>
      <c r="D579" s="181"/>
      <c r="E579" s="181"/>
      <c r="F579" s="181"/>
      <c r="G579" s="181"/>
      <c r="H579" s="181"/>
      <c r="I579" s="181"/>
      <c r="J579" s="181"/>
      <c r="K579" s="181"/>
      <c r="L579" s="181"/>
      <c r="M579" s="181"/>
      <c r="N579" s="181"/>
      <c r="O579" s="181"/>
      <c r="P579" s="181"/>
      <c r="Q579" s="181"/>
      <c r="R579" s="181"/>
      <c r="S579" s="181"/>
      <c r="T579" s="181"/>
      <c r="U579" s="181"/>
      <c r="V579" s="181"/>
      <c r="W579" s="181"/>
      <c r="X579" s="181"/>
      <c r="Y579" s="181"/>
      <c r="Z579" s="181"/>
    </row>
    <row r="580" customFormat="false" ht="15.75" hidden="false" customHeight="false" outlineLevel="0" collapsed="false">
      <c r="A580" s="181"/>
      <c r="B580" s="181"/>
      <c r="C580" s="181"/>
      <c r="D580" s="181"/>
      <c r="E580" s="181"/>
      <c r="F580" s="181"/>
      <c r="G580" s="181"/>
      <c r="H580" s="181"/>
      <c r="I580" s="181"/>
      <c r="J580" s="181"/>
      <c r="K580" s="181"/>
      <c r="L580" s="181"/>
      <c r="M580" s="181"/>
      <c r="N580" s="181"/>
      <c r="O580" s="181"/>
      <c r="P580" s="181"/>
      <c r="Q580" s="181"/>
      <c r="R580" s="181"/>
      <c r="S580" s="181"/>
      <c r="T580" s="181"/>
      <c r="U580" s="181"/>
      <c r="V580" s="181"/>
      <c r="W580" s="181"/>
      <c r="X580" s="181"/>
      <c r="Y580" s="181"/>
      <c r="Z580" s="181"/>
    </row>
    <row r="581" customFormat="false" ht="15.75" hidden="false" customHeight="false" outlineLevel="0" collapsed="false">
      <c r="A581" s="181"/>
      <c r="B581" s="181"/>
      <c r="C581" s="181"/>
      <c r="D581" s="181"/>
      <c r="E581" s="181"/>
      <c r="F581" s="181"/>
      <c r="G581" s="181"/>
      <c r="H581" s="181"/>
      <c r="I581" s="181"/>
      <c r="J581" s="181"/>
      <c r="K581" s="181"/>
      <c r="L581" s="181"/>
      <c r="M581" s="181"/>
      <c r="N581" s="181"/>
      <c r="O581" s="181"/>
      <c r="P581" s="181"/>
      <c r="Q581" s="181"/>
      <c r="R581" s="181"/>
      <c r="S581" s="181"/>
      <c r="T581" s="181"/>
      <c r="U581" s="181"/>
      <c r="V581" s="181"/>
      <c r="W581" s="181"/>
      <c r="X581" s="181"/>
      <c r="Y581" s="181"/>
      <c r="Z581" s="181"/>
    </row>
    <row r="582" customFormat="false" ht="15.75" hidden="false" customHeight="false" outlineLevel="0" collapsed="false">
      <c r="A582" s="181"/>
      <c r="B582" s="181"/>
      <c r="C582" s="181"/>
      <c r="D582" s="181"/>
      <c r="E582" s="181"/>
      <c r="F582" s="181"/>
      <c r="G582" s="181"/>
      <c r="H582" s="181"/>
      <c r="I582" s="181"/>
      <c r="J582" s="181"/>
      <c r="K582" s="181"/>
      <c r="L582" s="181"/>
      <c r="M582" s="181"/>
      <c r="N582" s="181"/>
      <c r="O582" s="181"/>
      <c r="P582" s="181"/>
      <c r="Q582" s="181"/>
      <c r="R582" s="181"/>
      <c r="S582" s="181"/>
      <c r="T582" s="181"/>
      <c r="U582" s="181"/>
      <c r="V582" s="181"/>
      <c r="W582" s="181"/>
      <c r="X582" s="181"/>
      <c r="Y582" s="181"/>
      <c r="Z582" s="181"/>
    </row>
    <row r="583" customFormat="false" ht="15.75" hidden="false" customHeight="false" outlineLevel="0" collapsed="false">
      <c r="A583" s="181"/>
      <c r="B583" s="181"/>
      <c r="C583" s="181"/>
      <c r="D583" s="181"/>
      <c r="E583" s="181"/>
      <c r="F583" s="181"/>
      <c r="G583" s="181"/>
      <c r="H583" s="181"/>
      <c r="I583" s="181"/>
      <c r="J583" s="181"/>
      <c r="K583" s="181"/>
      <c r="L583" s="181"/>
      <c r="M583" s="181"/>
      <c r="N583" s="181"/>
      <c r="O583" s="181"/>
      <c r="P583" s="181"/>
      <c r="Q583" s="181"/>
      <c r="R583" s="181"/>
      <c r="S583" s="181"/>
      <c r="T583" s="181"/>
      <c r="U583" s="181"/>
      <c r="V583" s="181"/>
      <c r="W583" s="181"/>
      <c r="X583" s="181"/>
      <c r="Y583" s="181"/>
      <c r="Z583" s="181"/>
    </row>
    <row r="584" customFormat="false" ht="15.75" hidden="false" customHeight="false" outlineLevel="0" collapsed="false">
      <c r="A584" s="181"/>
      <c r="B584" s="181"/>
      <c r="C584" s="181"/>
      <c r="D584" s="181"/>
      <c r="E584" s="181"/>
      <c r="F584" s="181"/>
      <c r="G584" s="181"/>
      <c r="H584" s="181"/>
      <c r="I584" s="181"/>
      <c r="J584" s="181"/>
      <c r="K584" s="181"/>
      <c r="L584" s="181"/>
      <c r="M584" s="181"/>
      <c r="N584" s="181"/>
      <c r="O584" s="181"/>
      <c r="P584" s="181"/>
      <c r="Q584" s="181"/>
      <c r="R584" s="181"/>
      <c r="S584" s="181"/>
      <c r="T584" s="181"/>
      <c r="U584" s="181"/>
      <c r="V584" s="181"/>
      <c r="W584" s="181"/>
      <c r="X584" s="181"/>
      <c r="Y584" s="181"/>
      <c r="Z584" s="181"/>
    </row>
    <row r="585" customFormat="false" ht="15.75" hidden="false" customHeight="false" outlineLevel="0" collapsed="false">
      <c r="A585" s="181"/>
      <c r="B585" s="181"/>
      <c r="C585" s="181"/>
      <c r="D585" s="181"/>
      <c r="E585" s="181"/>
      <c r="F585" s="181"/>
      <c r="G585" s="181"/>
      <c r="H585" s="181"/>
      <c r="I585" s="181"/>
      <c r="J585" s="181"/>
      <c r="K585" s="181"/>
      <c r="L585" s="181"/>
      <c r="M585" s="181"/>
      <c r="N585" s="181"/>
      <c r="O585" s="181"/>
      <c r="P585" s="181"/>
      <c r="Q585" s="181"/>
      <c r="R585" s="181"/>
      <c r="S585" s="181"/>
      <c r="T585" s="181"/>
      <c r="U585" s="181"/>
      <c r="V585" s="181"/>
      <c r="W585" s="181"/>
      <c r="X585" s="181"/>
      <c r="Y585" s="181"/>
      <c r="Z585" s="181"/>
    </row>
    <row r="586" customFormat="false" ht="15.75" hidden="false" customHeight="false" outlineLevel="0" collapsed="false">
      <c r="A586" s="181"/>
      <c r="B586" s="181"/>
      <c r="C586" s="181"/>
      <c r="D586" s="181"/>
      <c r="E586" s="181"/>
      <c r="F586" s="181"/>
      <c r="G586" s="181"/>
      <c r="H586" s="181"/>
      <c r="I586" s="181"/>
      <c r="J586" s="181"/>
      <c r="K586" s="181"/>
      <c r="L586" s="181"/>
      <c r="M586" s="181"/>
      <c r="N586" s="181"/>
      <c r="O586" s="181"/>
      <c r="P586" s="181"/>
      <c r="Q586" s="181"/>
      <c r="R586" s="181"/>
      <c r="S586" s="181"/>
      <c r="T586" s="181"/>
      <c r="U586" s="181"/>
      <c r="V586" s="181"/>
      <c r="W586" s="181"/>
      <c r="X586" s="181"/>
      <c r="Y586" s="181"/>
      <c r="Z586" s="181"/>
    </row>
    <row r="587" customFormat="false" ht="15.75" hidden="false" customHeight="false" outlineLevel="0" collapsed="false">
      <c r="A587" s="181"/>
      <c r="B587" s="181"/>
      <c r="C587" s="181"/>
      <c r="D587" s="181"/>
      <c r="E587" s="181"/>
      <c r="F587" s="181"/>
      <c r="G587" s="181"/>
      <c r="H587" s="181"/>
      <c r="I587" s="181"/>
      <c r="J587" s="181"/>
      <c r="K587" s="181"/>
      <c r="L587" s="181"/>
      <c r="M587" s="181"/>
      <c r="N587" s="181"/>
      <c r="O587" s="181"/>
      <c r="P587" s="181"/>
      <c r="Q587" s="181"/>
      <c r="R587" s="181"/>
      <c r="S587" s="181"/>
      <c r="T587" s="181"/>
      <c r="U587" s="181"/>
      <c r="V587" s="181"/>
      <c r="W587" s="181"/>
      <c r="X587" s="181"/>
      <c r="Y587" s="181"/>
      <c r="Z587" s="181"/>
    </row>
    <row r="588" customFormat="false" ht="15.75" hidden="false" customHeight="false" outlineLevel="0" collapsed="false">
      <c r="A588" s="181"/>
      <c r="B588" s="181"/>
      <c r="C588" s="181"/>
      <c r="D588" s="181"/>
      <c r="E588" s="181"/>
      <c r="F588" s="181"/>
      <c r="G588" s="181"/>
      <c r="H588" s="181"/>
      <c r="I588" s="181"/>
      <c r="J588" s="181"/>
      <c r="K588" s="181"/>
      <c r="L588" s="181"/>
      <c r="M588" s="181"/>
      <c r="N588" s="181"/>
      <c r="O588" s="181"/>
      <c r="P588" s="181"/>
      <c r="Q588" s="181"/>
      <c r="R588" s="181"/>
      <c r="S588" s="181"/>
      <c r="T588" s="181"/>
      <c r="U588" s="181"/>
      <c r="V588" s="181"/>
      <c r="W588" s="181"/>
      <c r="X588" s="181"/>
      <c r="Y588" s="181"/>
      <c r="Z588" s="181"/>
    </row>
    <row r="589" customFormat="false" ht="15.75" hidden="false" customHeight="false" outlineLevel="0" collapsed="false">
      <c r="A589" s="181"/>
      <c r="B589" s="181"/>
      <c r="C589" s="181"/>
      <c r="D589" s="181"/>
      <c r="E589" s="181"/>
      <c r="F589" s="181"/>
      <c r="G589" s="181"/>
      <c r="H589" s="181"/>
      <c r="I589" s="181"/>
      <c r="J589" s="181"/>
      <c r="K589" s="181"/>
      <c r="L589" s="181"/>
      <c r="M589" s="181"/>
      <c r="N589" s="181"/>
      <c r="O589" s="181"/>
      <c r="P589" s="181"/>
      <c r="Q589" s="181"/>
      <c r="R589" s="181"/>
      <c r="S589" s="181"/>
      <c r="T589" s="181"/>
      <c r="U589" s="181"/>
      <c r="V589" s="181"/>
      <c r="W589" s="181"/>
      <c r="X589" s="181"/>
      <c r="Y589" s="181"/>
      <c r="Z589" s="181"/>
    </row>
    <row r="590" customFormat="false" ht="15.75" hidden="false" customHeight="false" outlineLevel="0" collapsed="false">
      <c r="A590" s="181"/>
      <c r="B590" s="181"/>
      <c r="C590" s="181"/>
      <c r="D590" s="181"/>
      <c r="E590" s="181"/>
      <c r="F590" s="181"/>
      <c r="G590" s="181"/>
      <c r="H590" s="181"/>
      <c r="I590" s="181"/>
      <c r="J590" s="181"/>
      <c r="K590" s="181"/>
      <c r="L590" s="181"/>
      <c r="M590" s="181"/>
      <c r="N590" s="181"/>
      <c r="O590" s="181"/>
      <c r="P590" s="181"/>
      <c r="Q590" s="181"/>
      <c r="R590" s="181"/>
      <c r="S590" s="181"/>
      <c r="T590" s="181"/>
      <c r="U590" s="181"/>
      <c r="V590" s="181"/>
      <c r="W590" s="181"/>
      <c r="X590" s="181"/>
      <c r="Y590" s="181"/>
      <c r="Z590" s="181"/>
    </row>
    <row r="591" customFormat="false" ht="15.75" hidden="false" customHeight="false" outlineLevel="0" collapsed="false">
      <c r="A591" s="181"/>
      <c r="B591" s="181"/>
      <c r="C591" s="181"/>
      <c r="D591" s="181"/>
      <c r="E591" s="181"/>
      <c r="F591" s="181"/>
      <c r="G591" s="181"/>
      <c r="H591" s="181"/>
      <c r="I591" s="181"/>
      <c r="J591" s="181"/>
      <c r="K591" s="181"/>
      <c r="L591" s="181"/>
      <c r="M591" s="181"/>
      <c r="N591" s="181"/>
      <c r="O591" s="181"/>
      <c r="P591" s="181"/>
      <c r="Q591" s="181"/>
      <c r="R591" s="181"/>
      <c r="S591" s="181"/>
      <c r="T591" s="181"/>
      <c r="U591" s="181"/>
      <c r="V591" s="181"/>
      <c r="W591" s="181"/>
      <c r="X591" s="181"/>
      <c r="Y591" s="181"/>
      <c r="Z591" s="181"/>
    </row>
    <row r="592" customFormat="false" ht="15.75" hidden="false" customHeight="false" outlineLevel="0" collapsed="false">
      <c r="A592" s="181"/>
      <c r="B592" s="181"/>
      <c r="C592" s="181"/>
      <c r="D592" s="181"/>
      <c r="E592" s="181"/>
      <c r="F592" s="181"/>
      <c r="G592" s="181"/>
      <c r="H592" s="181"/>
      <c r="I592" s="181"/>
      <c r="J592" s="181"/>
      <c r="K592" s="181"/>
      <c r="L592" s="181"/>
      <c r="M592" s="181"/>
      <c r="N592" s="181"/>
      <c r="O592" s="181"/>
      <c r="P592" s="181"/>
      <c r="Q592" s="181"/>
      <c r="R592" s="181"/>
      <c r="S592" s="181"/>
      <c r="T592" s="181"/>
      <c r="U592" s="181"/>
      <c r="V592" s="181"/>
      <c r="W592" s="181"/>
      <c r="X592" s="181"/>
      <c r="Y592" s="181"/>
      <c r="Z592" s="181"/>
    </row>
    <row r="593" customFormat="false" ht="15.75" hidden="false" customHeight="false" outlineLevel="0" collapsed="false">
      <c r="A593" s="181"/>
      <c r="B593" s="181"/>
      <c r="C593" s="181"/>
      <c r="D593" s="181"/>
      <c r="E593" s="181"/>
      <c r="F593" s="181"/>
      <c r="G593" s="181"/>
      <c r="H593" s="181"/>
      <c r="I593" s="181"/>
      <c r="J593" s="181"/>
      <c r="K593" s="181"/>
      <c r="L593" s="181"/>
      <c r="M593" s="181"/>
      <c r="N593" s="181"/>
      <c r="O593" s="181"/>
      <c r="P593" s="181"/>
      <c r="Q593" s="181"/>
      <c r="R593" s="181"/>
      <c r="S593" s="181"/>
      <c r="T593" s="181"/>
      <c r="U593" s="181"/>
      <c r="V593" s="181"/>
      <c r="W593" s="181"/>
      <c r="X593" s="181"/>
      <c r="Y593" s="181"/>
      <c r="Z593" s="181"/>
    </row>
    <row r="594" customFormat="false" ht="15.75" hidden="false" customHeight="false" outlineLevel="0" collapsed="false">
      <c r="A594" s="181"/>
      <c r="B594" s="181"/>
      <c r="C594" s="181"/>
      <c r="D594" s="181"/>
      <c r="E594" s="181"/>
      <c r="F594" s="181"/>
      <c r="G594" s="181"/>
      <c r="H594" s="181"/>
      <c r="I594" s="181"/>
      <c r="J594" s="181"/>
      <c r="K594" s="181"/>
      <c r="L594" s="181"/>
      <c r="M594" s="181"/>
      <c r="N594" s="181"/>
      <c r="O594" s="181"/>
      <c r="P594" s="181"/>
      <c r="Q594" s="181"/>
      <c r="R594" s="181"/>
      <c r="S594" s="181"/>
      <c r="T594" s="181"/>
      <c r="U594" s="181"/>
      <c r="V594" s="181"/>
      <c r="W594" s="181"/>
      <c r="X594" s="181"/>
      <c r="Y594" s="181"/>
      <c r="Z594" s="181"/>
    </row>
    <row r="595" customFormat="false" ht="15.75" hidden="false" customHeight="false" outlineLevel="0" collapsed="false">
      <c r="A595" s="181"/>
      <c r="B595" s="181"/>
      <c r="C595" s="181"/>
      <c r="D595" s="181"/>
      <c r="E595" s="181"/>
      <c r="F595" s="181"/>
      <c r="G595" s="181"/>
      <c r="H595" s="181"/>
      <c r="I595" s="181"/>
      <c r="J595" s="181"/>
      <c r="K595" s="181"/>
      <c r="L595" s="181"/>
      <c r="M595" s="181"/>
      <c r="N595" s="181"/>
      <c r="O595" s="181"/>
      <c r="P595" s="181"/>
      <c r="Q595" s="181"/>
      <c r="R595" s="181"/>
      <c r="S595" s="181"/>
      <c r="T595" s="181"/>
      <c r="U595" s="181"/>
      <c r="V595" s="181"/>
      <c r="W595" s="181"/>
      <c r="X595" s="181"/>
      <c r="Y595" s="181"/>
      <c r="Z595" s="181"/>
    </row>
    <row r="596" customFormat="false" ht="15.75" hidden="false" customHeight="false" outlineLevel="0" collapsed="false">
      <c r="A596" s="181"/>
      <c r="B596" s="181"/>
      <c r="C596" s="181"/>
      <c r="D596" s="181"/>
      <c r="E596" s="181"/>
      <c r="F596" s="181"/>
      <c r="G596" s="181"/>
      <c r="H596" s="181"/>
      <c r="I596" s="181"/>
      <c r="J596" s="181"/>
      <c r="K596" s="181"/>
      <c r="L596" s="181"/>
      <c r="M596" s="181"/>
      <c r="N596" s="181"/>
      <c r="O596" s="181"/>
      <c r="P596" s="181"/>
      <c r="Q596" s="181"/>
      <c r="R596" s="181"/>
      <c r="S596" s="181"/>
      <c r="T596" s="181"/>
      <c r="U596" s="181"/>
      <c r="V596" s="181"/>
      <c r="W596" s="181"/>
      <c r="X596" s="181"/>
      <c r="Y596" s="181"/>
      <c r="Z596" s="181"/>
    </row>
    <row r="597" customFormat="false" ht="15.75" hidden="false" customHeight="false" outlineLevel="0" collapsed="false">
      <c r="A597" s="181"/>
      <c r="B597" s="181"/>
      <c r="C597" s="181"/>
      <c r="D597" s="181"/>
      <c r="E597" s="181"/>
      <c r="F597" s="181"/>
      <c r="G597" s="181"/>
      <c r="H597" s="181"/>
      <c r="I597" s="181"/>
      <c r="J597" s="181"/>
      <c r="K597" s="181"/>
      <c r="L597" s="181"/>
      <c r="M597" s="181"/>
      <c r="N597" s="181"/>
      <c r="O597" s="181"/>
      <c r="P597" s="181"/>
      <c r="Q597" s="181"/>
      <c r="R597" s="181"/>
      <c r="S597" s="181"/>
      <c r="T597" s="181"/>
      <c r="U597" s="181"/>
      <c r="V597" s="181"/>
      <c r="W597" s="181"/>
      <c r="X597" s="181"/>
      <c r="Y597" s="181"/>
      <c r="Z597" s="181"/>
    </row>
    <row r="598" customFormat="false" ht="15.75" hidden="false" customHeight="false" outlineLevel="0" collapsed="false">
      <c r="A598" s="181"/>
      <c r="B598" s="181"/>
      <c r="C598" s="181"/>
      <c r="D598" s="181"/>
      <c r="E598" s="181"/>
      <c r="F598" s="181"/>
      <c r="G598" s="181"/>
      <c r="H598" s="181"/>
      <c r="I598" s="181"/>
      <c r="J598" s="181"/>
      <c r="K598" s="181"/>
      <c r="L598" s="181"/>
      <c r="M598" s="181"/>
      <c r="N598" s="181"/>
      <c r="O598" s="181"/>
      <c r="P598" s="181"/>
      <c r="Q598" s="181"/>
      <c r="R598" s="181"/>
      <c r="S598" s="181"/>
      <c r="T598" s="181"/>
      <c r="U598" s="181"/>
      <c r="V598" s="181"/>
      <c r="W598" s="181"/>
      <c r="X598" s="181"/>
      <c r="Y598" s="181"/>
      <c r="Z598" s="181"/>
    </row>
    <row r="599" customFormat="false" ht="15.75" hidden="false" customHeight="false" outlineLevel="0" collapsed="false">
      <c r="A599" s="181"/>
      <c r="B599" s="181"/>
      <c r="C599" s="181"/>
      <c r="D599" s="181"/>
      <c r="E599" s="181"/>
      <c r="F599" s="181"/>
      <c r="G599" s="181"/>
      <c r="H599" s="181"/>
      <c r="I599" s="181"/>
      <c r="J599" s="181"/>
      <c r="K599" s="181"/>
      <c r="L599" s="181"/>
      <c r="M599" s="181"/>
      <c r="N599" s="181"/>
      <c r="O599" s="181"/>
      <c r="P599" s="181"/>
      <c r="Q599" s="181"/>
      <c r="R599" s="181"/>
      <c r="S599" s="181"/>
      <c r="T599" s="181"/>
      <c r="U599" s="181"/>
      <c r="V599" s="181"/>
      <c r="W599" s="181"/>
      <c r="X599" s="181"/>
      <c r="Y599" s="181"/>
      <c r="Z599" s="181"/>
    </row>
    <row r="600" customFormat="false" ht="15.75" hidden="false" customHeight="false" outlineLevel="0" collapsed="false">
      <c r="A600" s="181"/>
      <c r="B600" s="181"/>
      <c r="C600" s="181"/>
      <c r="D600" s="181"/>
      <c r="E600" s="181"/>
      <c r="F600" s="181"/>
      <c r="G600" s="181"/>
      <c r="H600" s="181"/>
      <c r="I600" s="181"/>
      <c r="J600" s="181"/>
      <c r="K600" s="181"/>
      <c r="L600" s="181"/>
      <c r="M600" s="181"/>
      <c r="N600" s="181"/>
      <c r="O600" s="181"/>
      <c r="P600" s="181"/>
      <c r="Q600" s="181"/>
      <c r="R600" s="181"/>
      <c r="S600" s="181"/>
      <c r="T600" s="181"/>
      <c r="U600" s="181"/>
      <c r="V600" s="181"/>
      <c r="W600" s="181"/>
      <c r="X600" s="181"/>
      <c r="Y600" s="181"/>
      <c r="Z600" s="181"/>
    </row>
    <row r="601" customFormat="false" ht="15.75" hidden="false" customHeight="false" outlineLevel="0" collapsed="false">
      <c r="A601" s="181"/>
      <c r="B601" s="181"/>
      <c r="C601" s="181"/>
      <c r="D601" s="181"/>
      <c r="E601" s="181"/>
      <c r="F601" s="181"/>
      <c r="G601" s="181"/>
      <c r="H601" s="181"/>
      <c r="I601" s="181"/>
      <c r="J601" s="181"/>
      <c r="K601" s="181"/>
      <c r="L601" s="181"/>
      <c r="M601" s="181"/>
      <c r="N601" s="181"/>
      <c r="O601" s="181"/>
      <c r="P601" s="181"/>
      <c r="Q601" s="181"/>
      <c r="R601" s="181"/>
      <c r="S601" s="181"/>
      <c r="T601" s="181"/>
      <c r="U601" s="181"/>
      <c r="V601" s="181"/>
      <c r="W601" s="181"/>
      <c r="X601" s="181"/>
      <c r="Y601" s="181"/>
      <c r="Z601" s="181"/>
    </row>
    <row r="602" customFormat="false" ht="15.75" hidden="false" customHeight="false" outlineLevel="0" collapsed="false">
      <c r="A602" s="181"/>
      <c r="B602" s="181"/>
      <c r="C602" s="181"/>
      <c r="D602" s="181"/>
      <c r="E602" s="181"/>
      <c r="F602" s="181"/>
      <c r="G602" s="181"/>
      <c r="H602" s="181"/>
      <c r="I602" s="181"/>
      <c r="J602" s="181"/>
      <c r="K602" s="181"/>
      <c r="L602" s="181"/>
      <c r="M602" s="181"/>
      <c r="N602" s="181"/>
      <c r="O602" s="181"/>
      <c r="P602" s="181"/>
      <c r="Q602" s="181"/>
      <c r="R602" s="181"/>
      <c r="S602" s="181"/>
      <c r="T602" s="181"/>
      <c r="U602" s="181"/>
      <c r="V602" s="181"/>
      <c r="W602" s="181"/>
      <c r="X602" s="181"/>
      <c r="Y602" s="181"/>
      <c r="Z602" s="181"/>
    </row>
    <row r="603" customFormat="false" ht="15.75" hidden="false" customHeight="false" outlineLevel="0" collapsed="false">
      <c r="A603" s="181"/>
      <c r="B603" s="181"/>
      <c r="C603" s="181"/>
      <c r="D603" s="181"/>
      <c r="E603" s="181"/>
      <c r="F603" s="181"/>
      <c r="G603" s="181"/>
      <c r="H603" s="181"/>
      <c r="I603" s="181"/>
      <c r="J603" s="181"/>
      <c r="K603" s="181"/>
      <c r="L603" s="181"/>
      <c r="M603" s="181"/>
      <c r="N603" s="181"/>
      <c r="O603" s="181"/>
      <c r="P603" s="181"/>
      <c r="Q603" s="181"/>
      <c r="R603" s="181"/>
      <c r="S603" s="181"/>
      <c r="T603" s="181"/>
      <c r="U603" s="181"/>
      <c r="V603" s="181"/>
      <c r="W603" s="181"/>
      <c r="X603" s="181"/>
      <c r="Y603" s="181"/>
      <c r="Z603" s="181"/>
    </row>
    <row r="604" customFormat="false" ht="15.75" hidden="false" customHeight="false" outlineLevel="0" collapsed="false">
      <c r="A604" s="181"/>
      <c r="B604" s="181"/>
      <c r="C604" s="181"/>
      <c r="D604" s="181"/>
      <c r="E604" s="181"/>
      <c r="F604" s="181"/>
      <c r="G604" s="181"/>
      <c r="H604" s="181"/>
      <c r="I604" s="181"/>
      <c r="J604" s="181"/>
      <c r="K604" s="181"/>
      <c r="L604" s="181"/>
      <c r="M604" s="181"/>
      <c r="N604" s="181"/>
      <c r="O604" s="181"/>
      <c r="P604" s="181"/>
      <c r="Q604" s="181"/>
      <c r="R604" s="181"/>
      <c r="S604" s="181"/>
      <c r="T604" s="181"/>
      <c r="U604" s="181"/>
      <c r="V604" s="181"/>
      <c r="W604" s="181"/>
      <c r="X604" s="181"/>
      <c r="Y604" s="181"/>
      <c r="Z604" s="181"/>
    </row>
    <row r="605" customFormat="false" ht="15.75" hidden="false" customHeight="false" outlineLevel="0" collapsed="false">
      <c r="A605" s="181"/>
      <c r="B605" s="181"/>
      <c r="C605" s="181"/>
      <c r="D605" s="181"/>
      <c r="E605" s="181"/>
      <c r="F605" s="181"/>
      <c r="G605" s="181"/>
      <c r="H605" s="181"/>
      <c r="I605" s="181"/>
      <c r="J605" s="181"/>
      <c r="K605" s="181"/>
      <c r="L605" s="181"/>
      <c r="M605" s="181"/>
      <c r="N605" s="181"/>
      <c r="O605" s="181"/>
      <c r="P605" s="181"/>
      <c r="Q605" s="181"/>
      <c r="R605" s="181"/>
      <c r="S605" s="181"/>
      <c r="T605" s="181"/>
      <c r="U605" s="181"/>
      <c r="V605" s="181"/>
      <c r="W605" s="181"/>
      <c r="X605" s="181"/>
      <c r="Y605" s="181"/>
      <c r="Z605" s="181"/>
    </row>
    <row r="606" customFormat="false" ht="15.75" hidden="false" customHeight="false" outlineLevel="0" collapsed="false">
      <c r="A606" s="181"/>
      <c r="B606" s="181"/>
      <c r="C606" s="181"/>
      <c r="D606" s="181"/>
      <c r="E606" s="181"/>
      <c r="F606" s="181"/>
      <c r="G606" s="181"/>
      <c r="H606" s="181"/>
      <c r="I606" s="181"/>
      <c r="J606" s="181"/>
      <c r="K606" s="181"/>
      <c r="L606" s="181"/>
      <c r="M606" s="181"/>
      <c r="N606" s="181"/>
      <c r="O606" s="181"/>
      <c r="P606" s="181"/>
      <c r="Q606" s="181"/>
      <c r="R606" s="181"/>
      <c r="S606" s="181"/>
      <c r="T606" s="181"/>
      <c r="U606" s="181"/>
      <c r="V606" s="181"/>
      <c r="W606" s="181"/>
      <c r="X606" s="181"/>
      <c r="Y606" s="181"/>
      <c r="Z606" s="181"/>
    </row>
    <row r="607" customFormat="false" ht="15.75" hidden="false" customHeight="false" outlineLevel="0" collapsed="false">
      <c r="A607" s="181"/>
      <c r="B607" s="181"/>
      <c r="C607" s="181"/>
      <c r="D607" s="181"/>
      <c r="E607" s="181"/>
      <c r="F607" s="181"/>
      <c r="G607" s="181"/>
      <c r="H607" s="181"/>
      <c r="I607" s="181"/>
      <c r="J607" s="181"/>
      <c r="K607" s="181"/>
      <c r="L607" s="181"/>
      <c r="M607" s="181"/>
      <c r="N607" s="181"/>
      <c r="O607" s="181"/>
      <c r="P607" s="181"/>
      <c r="Q607" s="181"/>
      <c r="R607" s="181"/>
      <c r="S607" s="181"/>
      <c r="T607" s="181"/>
      <c r="U607" s="181"/>
      <c r="V607" s="181"/>
      <c r="W607" s="181"/>
      <c r="X607" s="181"/>
      <c r="Y607" s="181"/>
      <c r="Z607" s="181"/>
    </row>
    <row r="608" customFormat="false" ht="15.75" hidden="false" customHeight="false" outlineLevel="0" collapsed="false">
      <c r="A608" s="181"/>
      <c r="B608" s="181"/>
      <c r="C608" s="181"/>
      <c r="D608" s="181"/>
      <c r="E608" s="181"/>
      <c r="F608" s="181"/>
      <c r="G608" s="181"/>
      <c r="H608" s="181"/>
      <c r="I608" s="181"/>
      <c r="J608" s="181"/>
      <c r="K608" s="181"/>
      <c r="L608" s="181"/>
      <c r="M608" s="181"/>
      <c r="N608" s="181"/>
      <c r="O608" s="181"/>
      <c r="P608" s="181"/>
      <c r="Q608" s="181"/>
      <c r="R608" s="181"/>
      <c r="S608" s="181"/>
      <c r="T608" s="181"/>
      <c r="U608" s="181"/>
      <c r="V608" s="181"/>
      <c r="W608" s="181"/>
      <c r="X608" s="181"/>
      <c r="Y608" s="181"/>
      <c r="Z608" s="181"/>
    </row>
    <row r="609" customFormat="false" ht="15.75" hidden="false" customHeight="false" outlineLevel="0" collapsed="false">
      <c r="A609" s="181"/>
      <c r="B609" s="181"/>
      <c r="C609" s="181"/>
      <c r="D609" s="181"/>
      <c r="E609" s="181"/>
      <c r="F609" s="181"/>
      <c r="G609" s="181"/>
      <c r="H609" s="181"/>
      <c r="I609" s="181"/>
      <c r="J609" s="181"/>
      <c r="K609" s="181"/>
      <c r="L609" s="181"/>
      <c r="M609" s="181"/>
      <c r="N609" s="181"/>
      <c r="O609" s="181"/>
      <c r="P609" s="181"/>
      <c r="Q609" s="181"/>
      <c r="R609" s="181"/>
      <c r="S609" s="181"/>
      <c r="T609" s="181"/>
      <c r="U609" s="181"/>
      <c r="V609" s="181"/>
      <c r="W609" s="181"/>
      <c r="X609" s="181"/>
      <c r="Y609" s="181"/>
      <c r="Z609" s="181"/>
    </row>
    <row r="610" customFormat="false" ht="15.75" hidden="false" customHeight="false" outlineLevel="0" collapsed="false">
      <c r="A610" s="181"/>
      <c r="B610" s="181"/>
      <c r="C610" s="181"/>
      <c r="D610" s="181"/>
      <c r="E610" s="181"/>
      <c r="F610" s="181"/>
      <c r="G610" s="181"/>
      <c r="H610" s="181"/>
      <c r="I610" s="181"/>
      <c r="J610" s="181"/>
      <c r="K610" s="181"/>
      <c r="L610" s="181"/>
      <c r="M610" s="181"/>
      <c r="N610" s="181"/>
      <c r="O610" s="181"/>
      <c r="P610" s="181"/>
      <c r="Q610" s="181"/>
      <c r="R610" s="181"/>
      <c r="S610" s="181"/>
      <c r="T610" s="181"/>
      <c r="U610" s="181"/>
      <c r="V610" s="181"/>
      <c r="W610" s="181"/>
      <c r="X610" s="181"/>
      <c r="Y610" s="181"/>
      <c r="Z610" s="181"/>
    </row>
    <row r="611" customFormat="false" ht="15.75" hidden="false" customHeight="false" outlineLevel="0" collapsed="false">
      <c r="A611" s="181"/>
      <c r="B611" s="181"/>
      <c r="C611" s="181"/>
      <c r="D611" s="181"/>
      <c r="E611" s="181"/>
      <c r="F611" s="181"/>
      <c r="G611" s="181"/>
      <c r="H611" s="181"/>
      <c r="I611" s="181"/>
      <c r="J611" s="181"/>
      <c r="K611" s="181"/>
      <c r="L611" s="181"/>
      <c r="M611" s="181"/>
      <c r="N611" s="181"/>
      <c r="O611" s="181"/>
      <c r="P611" s="181"/>
      <c r="Q611" s="181"/>
      <c r="R611" s="181"/>
      <c r="S611" s="181"/>
      <c r="T611" s="181"/>
      <c r="U611" s="181"/>
      <c r="V611" s="181"/>
      <c r="W611" s="181"/>
      <c r="X611" s="181"/>
      <c r="Y611" s="181"/>
      <c r="Z611" s="181"/>
    </row>
    <row r="612" customFormat="false" ht="15.75" hidden="false" customHeight="false" outlineLevel="0" collapsed="false">
      <c r="A612" s="181"/>
      <c r="B612" s="181"/>
      <c r="C612" s="181"/>
      <c r="D612" s="181"/>
      <c r="E612" s="181"/>
      <c r="F612" s="181"/>
      <c r="G612" s="181"/>
      <c r="H612" s="181"/>
      <c r="I612" s="181"/>
      <c r="J612" s="181"/>
      <c r="K612" s="181"/>
      <c r="L612" s="181"/>
      <c r="M612" s="181"/>
      <c r="N612" s="181"/>
      <c r="O612" s="181"/>
      <c r="P612" s="181"/>
      <c r="Q612" s="181"/>
      <c r="R612" s="181"/>
      <c r="S612" s="181"/>
      <c r="T612" s="181"/>
      <c r="U612" s="181"/>
      <c r="V612" s="181"/>
      <c r="W612" s="181"/>
      <c r="X612" s="181"/>
      <c r="Y612" s="181"/>
      <c r="Z612" s="181"/>
    </row>
    <row r="613" customFormat="false" ht="15.75" hidden="false" customHeight="false" outlineLevel="0" collapsed="false">
      <c r="A613" s="181"/>
      <c r="B613" s="181"/>
      <c r="C613" s="181"/>
      <c r="D613" s="181"/>
      <c r="E613" s="181"/>
      <c r="F613" s="181"/>
      <c r="G613" s="181"/>
      <c r="H613" s="181"/>
      <c r="I613" s="181"/>
      <c r="J613" s="181"/>
      <c r="K613" s="181"/>
      <c r="L613" s="181"/>
      <c r="M613" s="181"/>
      <c r="N613" s="181"/>
      <c r="O613" s="181"/>
      <c r="P613" s="181"/>
      <c r="Q613" s="181"/>
      <c r="R613" s="181"/>
      <c r="S613" s="181"/>
      <c r="T613" s="181"/>
      <c r="U613" s="181"/>
      <c r="V613" s="181"/>
      <c r="W613" s="181"/>
      <c r="X613" s="181"/>
      <c r="Y613" s="181"/>
      <c r="Z613" s="181"/>
    </row>
    <row r="614" customFormat="false" ht="15.75" hidden="false" customHeight="false" outlineLevel="0" collapsed="false">
      <c r="A614" s="181"/>
      <c r="B614" s="181"/>
      <c r="C614" s="181"/>
      <c r="D614" s="181"/>
      <c r="E614" s="181"/>
      <c r="F614" s="181"/>
      <c r="G614" s="181"/>
      <c r="H614" s="181"/>
      <c r="I614" s="181"/>
      <c r="J614" s="181"/>
      <c r="K614" s="181"/>
      <c r="L614" s="181"/>
      <c r="M614" s="181"/>
      <c r="N614" s="181"/>
      <c r="O614" s="181"/>
      <c r="P614" s="181"/>
      <c r="Q614" s="181"/>
      <c r="R614" s="181"/>
      <c r="S614" s="181"/>
      <c r="T614" s="181"/>
      <c r="U614" s="181"/>
      <c r="V614" s="181"/>
      <c r="W614" s="181"/>
      <c r="X614" s="181"/>
      <c r="Y614" s="181"/>
      <c r="Z614" s="181"/>
    </row>
    <row r="615" customFormat="false" ht="15.75" hidden="false" customHeight="false" outlineLevel="0" collapsed="false">
      <c r="A615" s="181"/>
      <c r="B615" s="181"/>
      <c r="C615" s="181"/>
      <c r="D615" s="181"/>
      <c r="E615" s="181"/>
      <c r="F615" s="181"/>
      <c r="G615" s="181"/>
      <c r="H615" s="181"/>
      <c r="I615" s="181"/>
      <c r="J615" s="181"/>
      <c r="K615" s="181"/>
      <c r="L615" s="181"/>
      <c r="M615" s="181"/>
      <c r="N615" s="181"/>
      <c r="O615" s="181"/>
      <c r="P615" s="181"/>
      <c r="Q615" s="181"/>
      <c r="R615" s="181"/>
      <c r="S615" s="181"/>
      <c r="T615" s="181"/>
      <c r="U615" s="181"/>
      <c r="V615" s="181"/>
      <c r="W615" s="181"/>
      <c r="X615" s="181"/>
      <c r="Y615" s="181"/>
      <c r="Z615" s="181"/>
    </row>
    <row r="616" customFormat="false" ht="15.75" hidden="false" customHeight="false" outlineLevel="0" collapsed="false">
      <c r="A616" s="181"/>
      <c r="B616" s="181"/>
      <c r="C616" s="181"/>
      <c r="D616" s="181"/>
      <c r="E616" s="181"/>
      <c r="F616" s="181"/>
      <c r="G616" s="181"/>
      <c r="H616" s="181"/>
      <c r="I616" s="181"/>
      <c r="J616" s="181"/>
      <c r="K616" s="181"/>
      <c r="L616" s="181"/>
      <c r="M616" s="181"/>
      <c r="N616" s="181"/>
      <c r="O616" s="181"/>
      <c r="P616" s="181"/>
      <c r="Q616" s="181"/>
      <c r="R616" s="181"/>
      <c r="S616" s="181"/>
      <c r="T616" s="181"/>
      <c r="U616" s="181"/>
      <c r="V616" s="181"/>
      <c r="W616" s="181"/>
      <c r="X616" s="181"/>
      <c r="Y616" s="181"/>
      <c r="Z616" s="181"/>
    </row>
    <row r="617" customFormat="false" ht="15.75" hidden="false" customHeight="false" outlineLevel="0" collapsed="false">
      <c r="A617" s="181"/>
      <c r="B617" s="181"/>
      <c r="C617" s="181"/>
      <c r="D617" s="181"/>
      <c r="E617" s="181"/>
      <c r="F617" s="181"/>
      <c r="G617" s="181"/>
      <c r="H617" s="181"/>
      <c r="I617" s="181"/>
      <c r="J617" s="181"/>
      <c r="K617" s="181"/>
      <c r="L617" s="181"/>
      <c r="M617" s="181"/>
      <c r="N617" s="181"/>
      <c r="O617" s="181"/>
      <c r="P617" s="181"/>
      <c r="Q617" s="181"/>
      <c r="R617" s="181"/>
      <c r="S617" s="181"/>
      <c r="T617" s="181"/>
      <c r="U617" s="181"/>
      <c r="V617" s="181"/>
      <c r="W617" s="181"/>
      <c r="X617" s="181"/>
      <c r="Y617" s="181"/>
      <c r="Z617" s="181"/>
    </row>
    <row r="618" customFormat="false" ht="15.75" hidden="false" customHeight="false" outlineLevel="0" collapsed="false">
      <c r="A618" s="181"/>
      <c r="B618" s="181"/>
      <c r="C618" s="181"/>
      <c r="D618" s="181"/>
      <c r="E618" s="181"/>
      <c r="F618" s="181"/>
      <c r="G618" s="181"/>
      <c r="H618" s="181"/>
      <c r="I618" s="181"/>
      <c r="J618" s="181"/>
      <c r="K618" s="181"/>
      <c r="L618" s="181"/>
      <c r="M618" s="181"/>
      <c r="N618" s="181"/>
      <c r="O618" s="181"/>
      <c r="P618" s="181"/>
      <c r="Q618" s="181"/>
      <c r="R618" s="181"/>
      <c r="S618" s="181"/>
      <c r="T618" s="181"/>
      <c r="U618" s="181"/>
      <c r="V618" s="181"/>
      <c r="W618" s="181"/>
      <c r="X618" s="181"/>
      <c r="Y618" s="181"/>
      <c r="Z618" s="181"/>
    </row>
    <row r="619" customFormat="false" ht="15.75" hidden="false" customHeight="false" outlineLevel="0" collapsed="false">
      <c r="A619" s="181"/>
      <c r="B619" s="181"/>
      <c r="C619" s="181"/>
      <c r="D619" s="181"/>
      <c r="E619" s="181"/>
      <c r="F619" s="181"/>
      <c r="G619" s="181"/>
      <c r="H619" s="181"/>
      <c r="I619" s="181"/>
      <c r="J619" s="181"/>
      <c r="K619" s="181"/>
      <c r="L619" s="181"/>
      <c r="M619" s="181"/>
      <c r="N619" s="181"/>
      <c r="O619" s="181"/>
      <c r="P619" s="181"/>
      <c r="Q619" s="181"/>
      <c r="R619" s="181"/>
      <c r="S619" s="181"/>
      <c r="T619" s="181"/>
      <c r="U619" s="181"/>
      <c r="V619" s="181"/>
      <c r="W619" s="181"/>
      <c r="X619" s="181"/>
      <c r="Y619" s="181"/>
      <c r="Z619" s="181"/>
    </row>
    <row r="620" customFormat="false" ht="15.75" hidden="false" customHeight="false" outlineLevel="0" collapsed="false">
      <c r="A620" s="181"/>
      <c r="B620" s="181"/>
      <c r="C620" s="181"/>
      <c r="D620" s="181"/>
      <c r="E620" s="181"/>
      <c r="F620" s="181"/>
      <c r="G620" s="181"/>
      <c r="H620" s="181"/>
      <c r="I620" s="181"/>
      <c r="J620" s="181"/>
      <c r="K620" s="181"/>
      <c r="L620" s="181"/>
      <c r="M620" s="181"/>
      <c r="N620" s="181"/>
      <c r="O620" s="181"/>
      <c r="P620" s="181"/>
      <c r="Q620" s="181"/>
      <c r="R620" s="181"/>
      <c r="S620" s="181"/>
      <c r="T620" s="181"/>
      <c r="U620" s="181"/>
      <c r="V620" s="181"/>
      <c r="W620" s="181"/>
      <c r="X620" s="181"/>
      <c r="Y620" s="181"/>
      <c r="Z620" s="181"/>
    </row>
    <row r="621" customFormat="false" ht="15.75" hidden="false" customHeight="false" outlineLevel="0" collapsed="false">
      <c r="A621" s="181"/>
      <c r="B621" s="181"/>
      <c r="C621" s="181"/>
      <c r="D621" s="181"/>
      <c r="E621" s="181"/>
      <c r="F621" s="181"/>
      <c r="G621" s="181"/>
      <c r="H621" s="181"/>
      <c r="I621" s="181"/>
      <c r="J621" s="181"/>
      <c r="K621" s="181"/>
      <c r="L621" s="181"/>
      <c r="M621" s="181"/>
      <c r="N621" s="181"/>
      <c r="O621" s="181"/>
      <c r="P621" s="181"/>
      <c r="Q621" s="181"/>
      <c r="R621" s="181"/>
      <c r="S621" s="181"/>
      <c r="T621" s="181"/>
      <c r="U621" s="181"/>
      <c r="V621" s="181"/>
      <c r="W621" s="181"/>
      <c r="X621" s="181"/>
      <c r="Y621" s="181"/>
      <c r="Z621" s="181"/>
    </row>
    <row r="622" customFormat="false" ht="15.75" hidden="false" customHeight="false" outlineLevel="0" collapsed="false">
      <c r="A622" s="181"/>
      <c r="B622" s="181"/>
      <c r="C622" s="181"/>
      <c r="D622" s="181"/>
      <c r="E622" s="181"/>
      <c r="F622" s="181"/>
      <c r="G622" s="181"/>
      <c r="H622" s="181"/>
      <c r="I622" s="181"/>
      <c r="J622" s="181"/>
      <c r="K622" s="181"/>
      <c r="L622" s="181"/>
      <c r="M622" s="181"/>
      <c r="N622" s="181"/>
      <c r="O622" s="181"/>
      <c r="P622" s="181"/>
      <c r="Q622" s="181"/>
      <c r="R622" s="181"/>
      <c r="S622" s="181"/>
      <c r="T622" s="181"/>
      <c r="U622" s="181"/>
      <c r="V622" s="181"/>
      <c r="W622" s="181"/>
      <c r="X622" s="181"/>
      <c r="Y622" s="181"/>
      <c r="Z622" s="181"/>
    </row>
    <row r="623" customFormat="false" ht="15.75" hidden="false" customHeight="false" outlineLevel="0" collapsed="false">
      <c r="A623" s="181"/>
      <c r="B623" s="181"/>
      <c r="C623" s="181"/>
      <c r="D623" s="181"/>
      <c r="E623" s="181"/>
      <c r="F623" s="181"/>
      <c r="G623" s="181"/>
      <c r="H623" s="181"/>
      <c r="I623" s="181"/>
      <c r="J623" s="181"/>
      <c r="K623" s="181"/>
      <c r="L623" s="181"/>
      <c r="M623" s="181"/>
      <c r="N623" s="181"/>
      <c r="O623" s="181"/>
      <c r="P623" s="181"/>
      <c r="Q623" s="181"/>
      <c r="R623" s="181"/>
      <c r="S623" s="181"/>
      <c r="T623" s="181"/>
      <c r="U623" s="181"/>
      <c r="V623" s="181"/>
      <c r="W623" s="181"/>
      <c r="X623" s="181"/>
      <c r="Y623" s="181"/>
      <c r="Z623" s="181"/>
    </row>
    <row r="624" customFormat="false" ht="15.75" hidden="false" customHeight="false" outlineLevel="0" collapsed="false">
      <c r="A624" s="181"/>
      <c r="B624" s="181"/>
      <c r="C624" s="181"/>
      <c r="D624" s="181"/>
      <c r="E624" s="181"/>
      <c r="F624" s="181"/>
      <c r="G624" s="181"/>
      <c r="H624" s="181"/>
      <c r="I624" s="181"/>
      <c r="J624" s="181"/>
      <c r="K624" s="181"/>
      <c r="L624" s="181"/>
      <c r="M624" s="181"/>
      <c r="N624" s="181"/>
      <c r="O624" s="181"/>
      <c r="P624" s="181"/>
      <c r="Q624" s="181"/>
      <c r="R624" s="181"/>
      <c r="S624" s="181"/>
      <c r="T624" s="181"/>
      <c r="U624" s="181"/>
      <c r="V624" s="181"/>
      <c r="W624" s="181"/>
      <c r="X624" s="181"/>
      <c r="Y624" s="181"/>
      <c r="Z624" s="181"/>
    </row>
    <row r="625" customFormat="false" ht="15.75" hidden="false" customHeight="false" outlineLevel="0" collapsed="false">
      <c r="A625" s="181"/>
      <c r="B625" s="181"/>
      <c r="C625" s="181"/>
      <c r="D625" s="181"/>
      <c r="E625" s="181"/>
      <c r="F625" s="181"/>
      <c r="G625" s="181"/>
      <c r="H625" s="181"/>
      <c r="I625" s="181"/>
      <c r="J625" s="181"/>
      <c r="K625" s="181"/>
      <c r="L625" s="181"/>
      <c r="M625" s="181"/>
      <c r="N625" s="181"/>
      <c r="O625" s="181"/>
      <c r="P625" s="181"/>
      <c r="Q625" s="181"/>
      <c r="R625" s="181"/>
      <c r="S625" s="181"/>
      <c r="T625" s="181"/>
      <c r="U625" s="181"/>
      <c r="V625" s="181"/>
      <c r="W625" s="181"/>
      <c r="X625" s="181"/>
      <c r="Y625" s="181"/>
      <c r="Z625" s="181"/>
    </row>
    <row r="626" customFormat="false" ht="15.75" hidden="false" customHeight="false" outlineLevel="0" collapsed="false">
      <c r="A626" s="181"/>
      <c r="B626" s="181"/>
      <c r="C626" s="181"/>
      <c r="D626" s="181"/>
      <c r="E626" s="181"/>
      <c r="F626" s="181"/>
      <c r="G626" s="181"/>
      <c r="H626" s="181"/>
      <c r="I626" s="181"/>
      <c r="J626" s="181"/>
      <c r="K626" s="181"/>
      <c r="L626" s="181"/>
      <c r="M626" s="181"/>
      <c r="N626" s="181"/>
      <c r="O626" s="181"/>
      <c r="P626" s="181"/>
      <c r="Q626" s="181"/>
      <c r="R626" s="181"/>
      <c r="S626" s="181"/>
      <c r="T626" s="181"/>
      <c r="U626" s="181"/>
      <c r="V626" s="181"/>
      <c r="W626" s="181"/>
      <c r="X626" s="181"/>
      <c r="Y626" s="181"/>
      <c r="Z626" s="181"/>
    </row>
    <row r="627" customFormat="false" ht="15.75" hidden="false" customHeight="false" outlineLevel="0" collapsed="false">
      <c r="A627" s="181"/>
      <c r="B627" s="181"/>
      <c r="C627" s="181"/>
      <c r="D627" s="181"/>
      <c r="E627" s="181"/>
      <c r="F627" s="181"/>
      <c r="G627" s="181"/>
      <c r="H627" s="181"/>
      <c r="I627" s="181"/>
      <c r="J627" s="181"/>
      <c r="K627" s="181"/>
      <c r="L627" s="181"/>
      <c r="M627" s="181"/>
      <c r="N627" s="181"/>
      <c r="O627" s="181"/>
      <c r="P627" s="181"/>
      <c r="Q627" s="181"/>
      <c r="R627" s="181"/>
      <c r="S627" s="181"/>
      <c r="T627" s="181"/>
      <c r="U627" s="181"/>
      <c r="V627" s="181"/>
      <c r="W627" s="181"/>
      <c r="X627" s="181"/>
      <c r="Y627" s="181"/>
      <c r="Z627" s="181"/>
    </row>
    <row r="628" customFormat="false" ht="15.75" hidden="false" customHeight="false" outlineLevel="0" collapsed="false">
      <c r="A628" s="181"/>
      <c r="B628" s="181"/>
      <c r="C628" s="181"/>
      <c r="D628" s="181"/>
      <c r="E628" s="181"/>
      <c r="F628" s="181"/>
      <c r="G628" s="181"/>
      <c r="H628" s="181"/>
      <c r="I628" s="181"/>
      <c r="J628" s="181"/>
      <c r="K628" s="181"/>
      <c r="L628" s="181"/>
      <c r="M628" s="181"/>
      <c r="N628" s="181"/>
      <c r="O628" s="181"/>
      <c r="P628" s="181"/>
      <c r="Q628" s="181"/>
      <c r="R628" s="181"/>
      <c r="S628" s="181"/>
      <c r="T628" s="181"/>
      <c r="U628" s="181"/>
      <c r="V628" s="181"/>
      <c r="W628" s="181"/>
      <c r="X628" s="181"/>
      <c r="Y628" s="181"/>
      <c r="Z628" s="181"/>
    </row>
    <row r="629" customFormat="false" ht="15.75" hidden="false" customHeight="false" outlineLevel="0" collapsed="false">
      <c r="A629" s="181"/>
      <c r="B629" s="181"/>
      <c r="C629" s="181"/>
      <c r="D629" s="181"/>
      <c r="E629" s="181"/>
      <c r="F629" s="181"/>
      <c r="G629" s="181"/>
      <c r="H629" s="181"/>
      <c r="I629" s="181"/>
      <c r="J629" s="181"/>
      <c r="K629" s="181"/>
      <c r="L629" s="181"/>
      <c r="M629" s="181"/>
      <c r="N629" s="181"/>
      <c r="O629" s="181"/>
      <c r="P629" s="181"/>
      <c r="Q629" s="181"/>
      <c r="R629" s="181"/>
      <c r="S629" s="181"/>
      <c r="T629" s="181"/>
      <c r="U629" s="181"/>
      <c r="V629" s="181"/>
      <c r="W629" s="181"/>
      <c r="X629" s="181"/>
      <c r="Y629" s="181"/>
      <c r="Z629" s="181"/>
    </row>
    <row r="630" customFormat="false" ht="15.75" hidden="false" customHeight="false" outlineLevel="0" collapsed="false">
      <c r="A630" s="181"/>
      <c r="B630" s="181"/>
      <c r="C630" s="181"/>
      <c r="D630" s="181"/>
      <c r="E630" s="181"/>
      <c r="F630" s="181"/>
      <c r="G630" s="181"/>
      <c r="H630" s="181"/>
      <c r="I630" s="181"/>
      <c r="J630" s="181"/>
      <c r="K630" s="181"/>
      <c r="L630" s="181"/>
      <c r="M630" s="181"/>
      <c r="N630" s="181"/>
      <c r="O630" s="181"/>
      <c r="P630" s="181"/>
      <c r="Q630" s="181"/>
      <c r="R630" s="181"/>
      <c r="S630" s="181"/>
      <c r="T630" s="181"/>
      <c r="U630" s="181"/>
      <c r="V630" s="181"/>
      <c r="W630" s="181"/>
      <c r="X630" s="181"/>
      <c r="Y630" s="181"/>
      <c r="Z630" s="181"/>
    </row>
    <row r="631" customFormat="false" ht="15.75" hidden="false" customHeight="false" outlineLevel="0" collapsed="false">
      <c r="A631" s="181"/>
      <c r="B631" s="181"/>
      <c r="C631" s="181"/>
      <c r="D631" s="181"/>
      <c r="E631" s="181"/>
      <c r="F631" s="181"/>
      <c r="G631" s="181"/>
      <c r="H631" s="181"/>
      <c r="I631" s="181"/>
      <c r="J631" s="181"/>
      <c r="K631" s="181"/>
      <c r="L631" s="181"/>
      <c r="M631" s="181"/>
      <c r="N631" s="181"/>
      <c r="O631" s="181"/>
      <c r="P631" s="181"/>
      <c r="Q631" s="181"/>
      <c r="R631" s="181"/>
      <c r="S631" s="181"/>
      <c r="T631" s="181"/>
      <c r="U631" s="181"/>
      <c r="V631" s="181"/>
      <c r="W631" s="181"/>
      <c r="X631" s="181"/>
      <c r="Y631" s="181"/>
      <c r="Z631" s="181"/>
    </row>
    <row r="632" customFormat="false" ht="15.75" hidden="false" customHeight="false" outlineLevel="0" collapsed="false">
      <c r="A632" s="181"/>
      <c r="B632" s="181"/>
      <c r="C632" s="181"/>
      <c r="D632" s="181"/>
      <c r="E632" s="181"/>
      <c r="F632" s="181"/>
      <c r="G632" s="181"/>
      <c r="H632" s="181"/>
      <c r="I632" s="181"/>
      <c r="J632" s="181"/>
      <c r="K632" s="181"/>
      <c r="L632" s="181"/>
      <c r="M632" s="181"/>
      <c r="N632" s="181"/>
      <c r="O632" s="181"/>
      <c r="P632" s="181"/>
      <c r="Q632" s="181"/>
      <c r="R632" s="181"/>
      <c r="S632" s="181"/>
      <c r="T632" s="181"/>
      <c r="U632" s="181"/>
      <c r="V632" s="181"/>
      <c r="W632" s="181"/>
      <c r="X632" s="181"/>
      <c r="Y632" s="181"/>
      <c r="Z632" s="181"/>
    </row>
    <row r="633" customFormat="false" ht="15.75" hidden="false" customHeight="false" outlineLevel="0" collapsed="false">
      <c r="A633" s="181"/>
      <c r="B633" s="181"/>
      <c r="C633" s="181"/>
      <c r="D633" s="181"/>
      <c r="E633" s="181"/>
      <c r="F633" s="181"/>
      <c r="G633" s="181"/>
      <c r="H633" s="181"/>
      <c r="I633" s="181"/>
      <c r="J633" s="181"/>
      <c r="K633" s="181"/>
      <c r="L633" s="181"/>
      <c r="M633" s="181"/>
      <c r="N633" s="181"/>
      <c r="O633" s="181"/>
      <c r="P633" s="181"/>
      <c r="Q633" s="181"/>
      <c r="R633" s="181"/>
      <c r="S633" s="181"/>
      <c r="T633" s="181"/>
      <c r="U633" s="181"/>
      <c r="V633" s="181"/>
      <c r="W633" s="181"/>
      <c r="X633" s="181"/>
      <c r="Y633" s="181"/>
      <c r="Z633" s="181"/>
    </row>
    <row r="634" customFormat="false" ht="15.75" hidden="false" customHeight="false" outlineLevel="0" collapsed="false">
      <c r="A634" s="181"/>
      <c r="B634" s="181"/>
      <c r="C634" s="181"/>
      <c r="D634" s="181"/>
      <c r="E634" s="181"/>
      <c r="F634" s="181"/>
      <c r="G634" s="181"/>
      <c r="H634" s="181"/>
      <c r="I634" s="181"/>
      <c r="J634" s="181"/>
      <c r="K634" s="181"/>
      <c r="L634" s="181"/>
      <c r="M634" s="181"/>
      <c r="N634" s="181"/>
      <c r="O634" s="181"/>
      <c r="P634" s="181"/>
      <c r="Q634" s="181"/>
      <c r="R634" s="181"/>
      <c r="S634" s="181"/>
      <c r="T634" s="181"/>
      <c r="U634" s="181"/>
      <c r="V634" s="181"/>
      <c r="W634" s="181"/>
      <c r="X634" s="181"/>
      <c r="Y634" s="181"/>
      <c r="Z634" s="181"/>
    </row>
    <row r="635" customFormat="false" ht="15.75" hidden="false" customHeight="false" outlineLevel="0" collapsed="false">
      <c r="A635" s="181"/>
      <c r="B635" s="181"/>
      <c r="C635" s="181"/>
      <c r="D635" s="181"/>
      <c r="E635" s="181"/>
      <c r="F635" s="181"/>
      <c r="G635" s="181"/>
      <c r="H635" s="181"/>
      <c r="I635" s="181"/>
      <c r="J635" s="181"/>
      <c r="K635" s="181"/>
      <c r="L635" s="181"/>
      <c r="M635" s="181"/>
      <c r="N635" s="181"/>
      <c r="O635" s="181"/>
      <c r="P635" s="181"/>
      <c r="Q635" s="181"/>
      <c r="R635" s="181"/>
      <c r="S635" s="181"/>
      <c r="T635" s="181"/>
      <c r="U635" s="181"/>
      <c r="V635" s="181"/>
      <c r="W635" s="181"/>
      <c r="X635" s="181"/>
      <c r="Y635" s="181"/>
      <c r="Z635" s="181"/>
    </row>
    <row r="636" customFormat="false" ht="15.75" hidden="false" customHeight="false" outlineLevel="0" collapsed="false">
      <c r="A636" s="181"/>
      <c r="B636" s="181"/>
      <c r="C636" s="181"/>
      <c r="D636" s="181"/>
      <c r="E636" s="181"/>
      <c r="F636" s="181"/>
      <c r="G636" s="181"/>
      <c r="H636" s="181"/>
      <c r="I636" s="181"/>
      <c r="J636" s="181"/>
      <c r="K636" s="181"/>
      <c r="L636" s="181"/>
      <c r="M636" s="181"/>
      <c r="N636" s="181"/>
      <c r="O636" s="181"/>
      <c r="P636" s="181"/>
      <c r="Q636" s="181"/>
      <c r="R636" s="181"/>
      <c r="S636" s="181"/>
      <c r="T636" s="181"/>
      <c r="U636" s="181"/>
      <c r="V636" s="181"/>
      <c r="W636" s="181"/>
      <c r="X636" s="181"/>
      <c r="Y636" s="181"/>
      <c r="Z636" s="181"/>
    </row>
    <row r="637" customFormat="false" ht="15.75" hidden="false" customHeight="false" outlineLevel="0" collapsed="false">
      <c r="A637" s="181"/>
      <c r="B637" s="181"/>
      <c r="C637" s="181"/>
      <c r="D637" s="181"/>
      <c r="E637" s="181"/>
      <c r="F637" s="181"/>
      <c r="G637" s="181"/>
      <c r="H637" s="181"/>
      <c r="I637" s="181"/>
      <c r="J637" s="181"/>
      <c r="K637" s="181"/>
      <c r="L637" s="181"/>
      <c r="M637" s="181"/>
      <c r="N637" s="181"/>
      <c r="O637" s="181"/>
      <c r="P637" s="181"/>
      <c r="Q637" s="181"/>
      <c r="R637" s="181"/>
      <c r="S637" s="181"/>
      <c r="T637" s="181"/>
      <c r="U637" s="181"/>
      <c r="V637" s="181"/>
      <c r="W637" s="181"/>
      <c r="X637" s="181"/>
      <c r="Y637" s="181"/>
      <c r="Z637" s="181"/>
    </row>
    <row r="638" customFormat="false" ht="15.75" hidden="false" customHeight="false" outlineLevel="0" collapsed="false">
      <c r="A638" s="181"/>
      <c r="B638" s="181"/>
      <c r="C638" s="181"/>
      <c r="D638" s="181"/>
      <c r="E638" s="181"/>
      <c r="F638" s="181"/>
      <c r="G638" s="181"/>
      <c r="H638" s="181"/>
      <c r="I638" s="181"/>
      <c r="J638" s="181"/>
      <c r="K638" s="181"/>
      <c r="L638" s="181"/>
      <c r="M638" s="181"/>
      <c r="N638" s="181"/>
      <c r="O638" s="181"/>
      <c r="P638" s="181"/>
      <c r="Q638" s="181"/>
      <c r="R638" s="181"/>
      <c r="S638" s="181"/>
      <c r="T638" s="181"/>
      <c r="U638" s="181"/>
      <c r="V638" s="181"/>
      <c r="W638" s="181"/>
      <c r="X638" s="181"/>
      <c r="Y638" s="181"/>
      <c r="Z638" s="181"/>
    </row>
    <row r="639" customFormat="false" ht="15.75" hidden="false" customHeight="false" outlineLevel="0" collapsed="false">
      <c r="A639" s="181"/>
      <c r="B639" s="181"/>
      <c r="C639" s="181"/>
      <c r="D639" s="181"/>
      <c r="E639" s="181"/>
      <c r="F639" s="181"/>
      <c r="G639" s="181"/>
      <c r="H639" s="181"/>
      <c r="I639" s="181"/>
      <c r="J639" s="181"/>
      <c r="K639" s="181"/>
      <c r="L639" s="181"/>
      <c r="M639" s="181"/>
      <c r="N639" s="181"/>
      <c r="O639" s="181"/>
      <c r="P639" s="181"/>
      <c r="Q639" s="181"/>
      <c r="R639" s="181"/>
      <c r="S639" s="181"/>
      <c r="T639" s="181"/>
      <c r="U639" s="181"/>
      <c r="V639" s="181"/>
      <c r="W639" s="181"/>
      <c r="X639" s="181"/>
      <c r="Y639" s="181"/>
      <c r="Z639" s="181"/>
    </row>
    <row r="640" customFormat="false" ht="15.75" hidden="false" customHeight="false" outlineLevel="0" collapsed="false">
      <c r="A640" s="181"/>
      <c r="B640" s="181"/>
      <c r="C640" s="181"/>
      <c r="D640" s="181"/>
      <c r="E640" s="181"/>
      <c r="F640" s="181"/>
      <c r="G640" s="181"/>
      <c r="H640" s="181"/>
      <c r="I640" s="181"/>
      <c r="J640" s="181"/>
      <c r="K640" s="181"/>
      <c r="L640" s="181"/>
      <c r="M640" s="181"/>
      <c r="N640" s="181"/>
      <c r="O640" s="181"/>
      <c r="P640" s="181"/>
      <c r="Q640" s="181"/>
      <c r="R640" s="181"/>
      <c r="S640" s="181"/>
      <c r="T640" s="181"/>
      <c r="U640" s="181"/>
      <c r="V640" s="181"/>
      <c r="W640" s="181"/>
      <c r="X640" s="181"/>
      <c r="Y640" s="181"/>
      <c r="Z640" s="181"/>
    </row>
    <row r="641" customFormat="false" ht="15.75" hidden="false" customHeight="false" outlineLevel="0" collapsed="false">
      <c r="A641" s="181"/>
      <c r="B641" s="181"/>
      <c r="C641" s="181"/>
      <c r="D641" s="181"/>
      <c r="E641" s="181"/>
      <c r="F641" s="181"/>
      <c r="G641" s="181"/>
      <c r="H641" s="181"/>
      <c r="I641" s="181"/>
      <c r="J641" s="181"/>
      <c r="K641" s="181"/>
      <c r="L641" s="181"/>
      <c r="M641" s="181"/>
      <c r="N641" s="181"/>
      <c r="O641" s="181"/>
      <c r="P641" s="181"/>
      <c r="Q641" s="181"/>
      <c r="R641" s="181"/>
      <c r="S641" s="181"/>
      <c r="T641" s="181"/>
      <c r="U641" s="181"/>
      <c r="V641" s="181"/>
      <c r="W641" s="181"/>
      <c r="X641" s="181"/>
      <c r="Y641" s="181"/>
      <c r="Z641" s="181"/>
    </row>
    <row r="642" customFormat="false" ht="15.75" hidden="false" customHeight="false" outlineLevel="0" collapsed="false">
      <c r="A642" s="181"/>
      <c r="B642" s="181"/>
      <c r="C642" s="181"/>
      <c r="D642" s="181"/>
      <c r="E642" s="181"/>
      <c r="F642" s="181"/>
      <c r="G642" s="181"/>
      <c r="H642" s="181"/>
      <c r="I642" s="181"/>
      <c r="J642" s="181"/>
      <c r="K642" s="181"/>
      <c r="L642" s="181"/>
      <c r="M642" s="181"/>
      <c r="N642" s="181"/>
      <c r="O642" s="181"/>
      <c r="P642" s="181"/>
      <c r="Q642" s="181"/>
      <c r="R642" s="181"/>
      <c r="S642" s="181"/>
      <c r="T642" s="181"/>
      <c r="U642" s="181"/>
      <c r="V642" s="181"/>
      <c r="W642" s="181"/>
      <c r="X642" s="181"/>
      <c r="Y642" s="181"/>
      <c r="Z642" s="181"/>
    </row>
    <row r="643" customFormat="false" ht="15.75" hidden="false" customHeight="false" outlineLevel="0" collapsed="false">
      <c r="A643" s="181"/>
      <c r="B643" s="181"/>
      <c r="C643" s="181"/>
      <c r="D643" s="181"/>
      <c r="E643" s="181"/>
      <c r="F643" s="181"/>
      <c r="G643" s="181"/>
      <c r="H643" s="181"/>
      <c r="I643" s="181"/>
      <c r="J643" s="181"/>
      <c r="K643" s="181"/>
      <c r="L643" s="181"/>
      <c r="M643" s="181"/>
      <c r="N643" s="181"/>
      <c r="O643" s="181"/>
      <c r="P643" s="181"/>
      <c r="Q643" s="181"/>
      <c r="R643" s="181"/>
      <c r="S643" s="181"/>
      <c r="T643" s="181"/>
      <c r="U643" s="181"/>
      <c r="V643" s="181"/>
      <c r="W643" s="181"/>
      <c r="X643" s="181"/>
      <c r="Y643" s="181"/>
      <c r="Z643" s="181"/>
    </row>
    <row r="644" customFormat="false" ht="15.75" hidden="false" customHeight="false" outlineLevel="0" collapsed="false">
      <c r="A644" s="181"/>
      <c r="B644" s="181"/>
      <c r="C644" s="181"/>
      <c r="D644" s="181"/>
      <c r="E644" s="181"/>
      <c r="F644" s="181"/>
      <c r="G644" s="181"/>
      <c r="H644" s="181"/>
      <c r="I644" s="181"/>
      <c r="J644" s="181"/>
      <c r="K644" s="181"/>
      <c r="L644" s="181"/>
      <c r="M644" s="181"/>
      <c r="N644" s="181"/>
      <c r="O644" s="181"/>
      <c r="P644" s="181"/>
      <c r="Q644" s="181"/>
      <c r="R644" s="181"/>
      <c r="S644" s="181"/>
      <c r="T644" s="181"/>
      <c r="U644" s="181"/>
      <c r="V644" s="181"/>
      <c r="W644" s="181"/>
      <c r="X644" s="181"/>
      <c r="Y644" s="181"/>
      <c r="Z644" s="181"/>
    </row>
    <row r="645" customFormat="false" ht="15.75" hidden="false" customHeight="false" outlineLevel="0" collapsed="false">
      <c r="A645" s="181"/>
      <c r="B645" s="181"/>
      <c r="C645" s="181"/>
      <c r="D645" s="181"/>
      <c r="E645" s="181"/>
      <c r="F645" s="181"/>
      <c r="G645" s="181"/>
      <c r="H645" s="181"/>
      <c r="I645" s="181"/>
      <c r="J645" s="181"/>
      <c r="K645" s="181"/>
      <c r="L645" s="181"/>
      <c r="M645" s="181"/>
      <c r="N645" s="181"/>
      <c r="O645" s="181"/>
      <c r="P645" s="181"/>
      <c r="Q645" s="181"/>
      <c r="R645" s="181"/>
      <c r="S645" s="181"/>
      <c r="T645" s="181"/>
      <c r="U645" s="181"/>
      <c r="V645" s="181"/>
      <c r="W645" s="181"/>
      <c r="X645" s="181"/>
      <c r="Y645" s="181"/>
      <c r="Z645" s="181"/>
    </row>
    <row r="646" customFormat="false" ht="15.75" hidden="false" customHeight="false" outlineLevel="0" collapsed="false">
      <c r="A646" s="181"/>
      <c r="B646" s="181"/>
      <c r="C646" s="181"/>
      <c r="D646" s="181"/>
      <c r="E646" s="181"/>
      <c r="F646" s="181"/>
      <c r="G646" s="181"/>
      <c r="H646" s="181"/>
      <c r="I646" s="181"/>
      <c r="J646" s="181"/>
      <c r="K646" s="181"/>
      <c r="L646" s="181"/>
      <c r="M646" s="181"/>
      <c r="N646" s="181"/>
      <c r="O646" s="181"/>
      <c r="P646" s="181"/>
      <c r="Q646" s="181"/>
      <c r="R646" s="181"/>
      <c r="S646" s="181"/>
      <c r="T646" s="181"/>
      <c r="U646" s="181"/>
      <c r="V646" s="181"/>
      <c r="W646" s="181"/>
      <c r="X646" s="181"/>
      <c r="Y646" s="181"/>
      <c r="Z646" s="181"/>
    </row>
    <row r="647" customFormat="false" ht="15.75" hidden="false" customHeight="false" outlineLevel="0" collapsed="false">
      <c r="A647" s="181"/>
      <c r="B647" s="181"/>
      <c r="C647" s="181"/>
      <c r="D647" s="181"/>
      <c r="E647" s="181"/>
      <c r="F647" s="181"/>
      <c r="G647" s="181"/>
      <c r="H647" s="181"/>
      <c r="I647" s="181"/>
      <c r="J647" s="181"/>
      <c r="K647" s="181"/>
      <c r="L647" s="181"/>
      <c r="M647" s="181"/>
      <c r="N647" s="181"/>
      <c r="O647" s="181"/>
      <c r="P647" s="181"/>
      <c r="Q647" s="181"/>
      <c r="R647" s="181"/>
      <c r="S647" s="181"/>
      <c r="T647" s="181"/>
      <c r="U647" s="181"/>
      <c r="V647" s="181"/>
      <c r="W647" s="181"/>
      <c r="X647" s="181"/>
      <c r="Y647" s="181"/>
      <c r="Z647" s="181"/>
    </row>
    <row r="648" customFormat="false" ht="15.75" hidden="false" customHeight="false" outlineLevel="0" collapsed="false">
      <c r="A648" s="181"/>
      <c r="B648" s="181"/>
      <c r="C648" s="181"/>
      <c r="D648" s="181"/>
      <c r="E648" s="181"/>
      <c r="F648" s="181"/>
      <c r="G648" s="181"/>
      <c r="H648" s="181"/>
      <c r="I648" s="181"/>
      <c r="J648" s="181"/>
      <c r="K648" s="181"/>
      <c r="L648" s="181"/>
      <c r="M648" s="181"/>
      <c r="N648" s="181"/>
      <c r="O648" s="181"/>
      <c r="P648" s="181"/>
      <c r="Q648" s="181"/>
      <c r="R648" s="181"/>
      <c r="S648" s="181"/>
      <c r="T648" s="181"/>
      <c r="U648" s="181"/>
      <c r="V648" s="181"/>
      <c r="W648" s="181"/>
      <c r="X648" s="181"/>
      <c r="Y648" s="181"/>
      <c r="Z648" s="181"/>
    </row>
    <row r="649" customFormat="false" ht="15.75" hidden="false" customHeight="false" outlineLevel="0" collapsed="false">
      <c r="A649" s="181"/>
      <c r="B649" s="181"/>
      <c r="C649" s="181"/>
      <c r="D649" s="181"/>
      <c r="E649" s="181"/>
      <c r="F649" s="181"/>
      <c r="G649" s="181"/>
      <c r="H649" s="181"/>
      <c r="I649" s="181"/>
      <c r="J649" s="181"/>
      <c r="K649" s="181"/>
      <c r="L649" s="181"/>
      <c r="M649" s="181"/>
      <c r="N649" s="181"/>
      <c r="O649" s="181"/>
      <c r="P649" s="181"/>
      <c r="Q649" s="181"/>
      <c r="R649" s="181"/>
      <c r="S649" s="181"/>
      <c r="T649" s="181"/>
      <c r="U649" s="181"/>
      <c r="V649" s="181"/>
      <c r="W649" s="181"/>
      <c r="X649" s="181"/>
      <c r="Y649" s="181"/>
      <c r="Z649" s="181"/>
    </row>
    <row r="650" customFormat="false" ht="15.75" hidden="false" customHeight="false" outlineLevel="0" collapsed="false">
      <c r="A650" s="181"/>
      <c r="B650" s="181"/>
      <c r="C650" s="181"/>
      <c r="D650" s="181"/>
      <c r="E650" s="181"/>
      <c r="F650" s="181"/>
      <c r="G650" s="181"/>
      <c r="H650" s="181"/>
      <c r="I650" s="181"/>
      <c r="J650" s="181"/>
      <c r="K650" s="181"/>
      <c r="L650" s="181"/>
      <c r="M650" s="181"/>
      <c r="N650" s="181"/>
      <c r="O650" s="181"/>
      <c r="P650" s="181"/>
      <c r="Q650" s="181"/>
      <c r="R650" s="181"/>
      <c r="S650" s="181"/>
      <c r="T650" s="181"/>
      <c r="U650" s="181"/>
      <c r="V650" s="181"/>
      <c r="W650" s="181"/>
      <c r="X650" s="181"/>
      <c r="Y650" s="181"/>
      <c r="Z650" s="181"/>
    </row>
    <row r="651" customFormat="false" ht="15.75" hidden="false" customHeight="false" outlineLevel="0" collapsed="false">
      <c r="A651" s="181"/>
      <c r="B651" s="181"/>
      <c r="C651" s="181"/>
      <c r="D651" s="181"/>
      <c r="E651" s="181"/>
      <c r="F651" s="181"/>
      <c r="G651" s="181"/>
      <c r="H651" s="181"/>
      <c r="I651" s="181"/>
      <c r="J651" s="181"/>
      <c r="K651" s="181"/>
      <c r="L651" s="181"/>
      <c r="M651" s="181"/>
      <c r="N651" s="181"/>
      <c r="O651" s="181"/>
      <c r="P651" s="181"/>
      <c r="Q651" s="181"/>
      <c r="R651" s="181"/>
      <c r="S651" s="181"/>
      <c r="T651" s="181"/>
      <c r="U651" s="181"/>
      <c r="V651" s="181"/>
      <c r="W651" s="181"/>
      <c r="X651" s="181"/>
      <c r="Y651" s="181"/>
      <c r="Z651" s="181"/>
    </row>
    <row r="652" customFormat="false" ht="15.75" hidden="false" customHeight="false" outlineLevel="0" collapsed="false">
      <c r="A652" s="181"/>
      <c r="B652" s="181"/>
      <c r="C652" s="181"/>
      <c r="D652" s="181"/>
      <c r="E652" s="181"/>
      <c r="F652" s="181"/>
      <c r="G652" s="181"/>
      <c r="H652" s="181"/>
      <c r="I652" s="181"/>
      <c r="J652" s="181"/>
      <c r="K652" s="181"/>
      <c r="L652" s="181"/>
      <c r="M652" s="181"/>
      <c r="N652" s="181"/>
      <c r="O652" s="181"/>
      <c r="P652" s="181"/>
      <c r="Q652" s="181"/>
      <c r="R652" s="181"/>
      <c r="S652" s="181"/>
      <c r="T652" s="181"/>
      <c r="U652" s="181"/>
      <c r="V652" s="181"/>
      <c r="W652" s="181"/>
      <c r="X652" s="181"/>
      <c r="Y652" s="181"/>
      <c r="Z652" s="181"/>
    </row>
    <row r="653" customFormat="false" ht="15.75" hidden="false" customHeight="false" outlineLevel="0" collapsed="false">
      <c r="A653" s="181"/>
      <c r="B653" s="181"/>
      <c r="C653" s="181"/>
      <c r="D653" s="181"/>
      <c r="E653" s="181"/>
      <c r="F653" s="181"/>
      <c r="G653" s="181"/>
      <c r="H653" s="181"/>
      <c r="I653" s="181"/>
      <c r="J653" s="181"/>
      <c r="K653" s="181"/>
      <c r="L653" s="181"/>
      <c r="M653" s="181"/>
      <c r="N653" s="181"/>
      <c r="O653" s="181"/>
      <c r="P653" s="181"/>
      <c r="Q653" s="181"/>
      <c r="R653" s="181"/>
      <c r="S653" s="181"/>
      <c r="T653" s="181"/>
      <c r="U653" s="181"/>
      <c r="V653" s="181"/>
      <c r="W653" s="181"/>
      <c r="X653" s="181"/>
      <c r="Y653" s="181"/>
      <c r="Z653" s="181"/>
    </row>
    <row r="654" customFormat="false" ht="15.75" hidden="false" customHeight="false" outlineLevel="0" collapsed="false">
      <c r="A654" s="181"/>
      <c r="B654" s="181"/>
      <c r="C654" s="181"/>
      <c r="D654" s="181"/>
      <c r="E654" s="181"/>
      <c r="F654" s="181"/>
      <c r="G654" s="181"/>
      <c r="H654" s="181"/>
      <c r="I654" s="181"/>
      <c r="J654" s="181"/>
      <c r="K654" s="181"/>
      <c r="L654" s="181"/>
      <c r="M654" s="181"/>
      <c r="N654" s="181"/>
      <c r="O654" s="181"/>
      <c r="P654" s="181"/>
      <c r="Q654" s="181"/>
      <c r="R654" s="181"/>
      <c r="S654" s="181"/>
      <c r="T654" s="181"/>
      <c r="U654" s="181"/>
      <c r="V654" s="181"/>
      <c r="W654" s="181"/>
      <c r="X654" s="181"/>
      <c r="Y654" s="181"/>
      <c r="Z654" s="181"/>
    </row>
    <row r="655" customFormat="false" ht="15.75" hidden="false" customHeight="false" outlineLevel="0" collapsed="false">
      <c r="A655" s="181"/>
      <c r="B655" s="181"/>
      <c r="C655" s="181"/>
      <c r="D655" s="181"/>
      <c r="E655" s="181"/>
      <c r="F655" s="181"/>
      <c r="G655" s="181"/>
      <c r="H655" s="181"/>
      <c r="I655" s="181"/>
      <c r="J655" s="181"/>
      <c r="K655" s="181"/>
      <c r="L655" s="181"/>
      <c r="M655" s="181"/>
      <c r="N655" s="181"/>
      <c r="O655" s="181"/>
      <c r="P655" s="181"/>
      <c r="Q655" s="181"/>
      <c r="R655" s="181"/>
      <c r="S655" s="181"/>
      <c r="T655" s="181"/>
      <c r="U655" s="181"/>
      <c r="V655" s="181"/>
      <c r="W655" s="181"/>
      <c r="X655" s="181"/>
      <c r="Y655" s="181"/>
      <c r="Z655" s="181"/>
    </row>
    <row r="656" customFormat="false" ht="15.75" hidden="false" customHeight="false" outlineLevel="0" collapsed="false">
      <c r="A656" s="181"/>
      <c r="B656" s="181"/>
      <c r="C656" s="181"/>
      <c r="D656" s="181"/>
      <c r="E656" s="181"/>
      <c r="F656" s="181"/>
      <c r="G656" s="181"/>
      <c r="H656" s="181"/>
      <c r="I656" s="181"/>
      <c r="J656" s="181"/>
      <c r="K656" s="181"/>
      <c r="L656" s="181"/>
      <c r="M656" s="181"/>
      <c r="N656" s="181"/>
      <c r="O656" s="181"/>
      <c r="P656" s="181"/>
      <c r="Q656" s="181"/>
      <c r="R656" s="181"/>
      <c r="S656" s="181"/>
      <c r="T656" s="181"/>
      <c r="U656" s="181"/>
      <c r="V656" s="181"/>
      <c r="W656" s="181"/>
      <c r="X656" s="181"/>
      <c r="Y656" s="181"/>
      <c r="Z656" s="181"/>
    </row>
    <row r="657" customFormat="false" ht="15.75" hidden="false" customHeight="false" outlineLevel="0" collapsed="false">
      <c r="A657" s="181"/>
      <c r="B657" s="181"/>
      <c r="C657" s="181"/>
      <c r="D657" s="181"/>
      <c r="E657" s="181"/>
      <c r="F657" s="181"/>
      <c r="G657" s="181"/>
      <c r="H657" s="181"/>
      <c r="I657" s="181"/>
      <c r="J657" s="181"/>
      <c r="K657" s="181"/>
      <c r="L657" s="181"/>
      <c r="M657" s="181"/>
      <c r="N657" s="181"/>
      <c r="O657" s="181"/>
      <c r="P657" s="181"/>
      <c r="Q657" s="181"/>
      <c r="R657" s="181"/>
      <c r="S657" s="181"/>
      <c r="T657" s="181"/>
      <c r="U657" s="181"/>
      <c r="V657" s="181"/>
      <c r="W657" s="181"/>
      <c r="X657" s="181"/>
      <c r="Y657" s="181"/>
      <c r="Z657" s="181"/>
    </row>
    <row r="658" customFormat="false" ht="15.75" hidden="false" customHeight="false" outlineLevel="0" collapsed="false">
      <c r="A658" s="181"/>
      <c r="B658" s="181"/>
      <c r="C658" s="181"/>
      <c r="D658" s="181"/>
      <c r="E658" s="181"/>
      <c r="F658" s="181"/>
      <c r="G658" s="181"/>
      <c r="H658" s="181"/>
      <c r="I658" s="181"/>
      <c r="J658" s="181"/>
      <c r="K658" s="181"/>
      <c r="L658" s="181"/>
      <c r="M658" s="181"/>
      <c r="N658" s="181"/>
      <c r="O658" s="181"/>
      <c r="P658" s="181"/>
      <c r="Q658" s="181"/>
      <c r="R658" s="181"/>
      <c r="S658" s="181"/>
      <c r="T658" s="181"/>
      <c r="U658" s="181"/>
      <c r="V658" s="181"/>
      <c r="W658" s="181"/>
      <c r="X658" s="181"/>
      <c r="Y658" s="181"/>
      <c r="Z658" s="181"/>
    </row>
    <row r="659" customFormat="false" ht="15.75" hidden="false" customHeight="false" outlineLevel="0" collapsed="false">
      <c r="A659" s="181"/>
      <c r="B659" s="181"/>
      <c r="C659" s="181"/>
      <c r="D659" s="181"/>
      <c r="E659" s="181"/>
      <c r="F659" s="181"/>
      <c r="G659" s="181"/>
      <c r="H659" s="181"/>
      <c r="I659" s="181"/>
      <c r="J659" s="181"/>
      <c r="K659" s="181"/>
      <c r="L659" s="181"/>
      <c r="M659" s="181"/>
      <c r="N659" s="181"/>
      <c r="O659" s="181"/>
      <c r="P659" s="181"/>
      <c r="Q659" s="181"/>
      <c r="R659" s="181"/>
      <c r="S659" s="181"/>
      <c r="T659" s="181"/>
      <c r="U659" s="181"/>
      <c r="V659" s="181"/>
      <c r="W659" s="181"/>
      <c r="X659" s="181"/>
      <c r="Y659" s="181"/>
      <c r="Z659" s="181"/>
    </row>
    <row r="660" customFormat="false" ht="15.75" hidden="false" customHeight="false" outlineLevel="0" collapsed="false">
      <c r="A660" s="181"/>
      <c r="B660" s="181"/>
      <c r="C660" s="181"/>
      <c r="D660" s="181"/>
      <c r="E660" s="181"/>
      <c r="F660" s="181"/>
      <c r="G660" s="181"/>
      <c r="H660" s="181"/>
      <c r="I660" s="181"/>
      <c r="J660" s="181"/>
      <c r="K660" s="181"/>
      <c r="L660" s="181"/>
      <c r="M660" s="181"/>
      <c r="N660" s="181"/>
      <c r="O660" s="181"/>
      <c r="P660" s="181"/>
      <c r="Q660" s="181"/>
      <c r="R660" s="181"/>
      <c r="S660" s="181"/>
      <c r="T660" s="181"/>
      <c r="U660" s="181"/>
      <c r="V660" s="181"/>
      <c r="W660" s="181"/>
      <c r="X660" s="181"/>
      <c r="Y660" s="181"/>
      <c r="Z660" s="181"/>
    </row>
    <row r="661" customFormat="false" ht="15.75" hidden="false" customHeight="false" outlineLevel="0" collapsed="false">
      <c r="A661" s="181"/>
      <c r="B661" s="181"/>
      <c r="C661" s="181"/>
      <c r="D661" s="181"/>
      <c r="E661" s="181"/>
      <c r="F661" s="181"/>
      <c r="G661" s="181"/>
      <c r="H661" s="181"/>
      <c r="I661" s="181"/>
      <c r="J661" s="181"/>
      <c r="K661" s="181"/>
      <c r="L661" s="181"/>
      <c r="M661" s="181"/>
      <c r="N661" s="181"/>
      <c r="O661" s="181"/>
      <c r="P661" s="181"/>
      <c r="Q661" s="181"/>
      <c r="R661" s="181"/>
      <c r="S661" s="181"/>
      <c r="T661" s="181"/>
      <c r="U661" s="181"/>
      <c r="V661" s="181"/>
      <c r="W661" s="181"/>
      <c r="X661" s="181"/>
      <c r="Y661" s="181"/>
      <c r="Z661" s="181"/>
    </row>
    <row r="662" customFormat="false" ht="15.75" hidden="false" customHeight="false" outlineLevel="0" collapsed="false">
      <c r="A662" s="181"/>
      <c r="B662" s="181"/>
      <c r="C662" s="181"/>
      <c r="D662" s="181"/>
      <c r="E662" s="181"/>
      <c r="F662" s="181"/>
      <c r="G662" s="181"/>
      <c r="H662" s="181"/>
      <c r="I662" s="181"/>
      <c r="J662" s="181"/>
      <c r="K662" s="181"/>
      <c r="L662" s="181"/>
      <c r="M662" s="181"/>
      <c r="N662" s="181"/>
      <c r="O662" s="181"/>
      <c r="P662" s="181"/>
      <c r="Q662" s="181"/>
      <c r="R662" s="181"/>
      <c r="S662" s="181"/>
      <c r="T662" s="181"/>
      <c r="U662" s="181"/>
      <c r="V662" s="181"/>
      <c r="W662" s="181"/>
      <c r="X662" s="181"/>
      <c r="Y662" s="181"/>
      <c r="Z662" s="181"/>
    </row>
    <row r="663" customFormat="false" ht="15.75" hidden="false" customHeight="false" outlineLevel="0" collapsed="false">
      <c r="A663" s="181"/>
      <c r="B663" s="181"/>
      <c r="C663" s="181"/>
      <c r="D663" s="181"/>
      <c r="E663" s="181"/>
      <c r="F663" s="181"/>
      <c r="G663" s="181"/>
      <c r="H663" s="181"/>
      <c r="I663" s="181"/>
      <c r="J663" s="181"/>
      <c r="K663" s="181"/>
      <c r="L663" s="181"/>
      <c r="M663" s="181"/>
      <c r="N663" s="181"/>
      <c r="O663" s="181"/>
      <c r="P663" s="181"/>
      <c r="Q663" s="181"/>
      <c r="R663" s="181"/>
      <c r="S663" s="181"/>
      <c r="T663" s="181"/>
      <c r="U663" s="181"/>
      <c r="V663" s="181"/>
      <c r="W663" s="181"/>
      <c r="X663" s="181"/>
      <c r="Y663" s="181"/>
      <c r="Z663" s="181"/>
    </row>
    <row r="664" customFormat="false" ht="15.75" hidden="false" customHeight="false" outlineLevel="0" collapsed="false">
      <c r="A664" s="181"/>
      <c r="B664" s="181"/>
      <c r="C664" s="181"/>
      <c r="D664" s="181"/>
      <c r="E664" s="181"/>
      <c r="F664" s="181"/>
      <c r="G664" s="181"/>
      <c r="H664" s="181"/>
      <c r="I664" s="181"/>
      <c r="J664" s="181"/>
      <c r="K664" s="181"/>
      <c r="L664" s="181"/>
      <c r="M664" s="181"/>
      <c r="N664" s="181"/>
      <c r="O664" s="181"/>
      <c r="P664" s="181"/>
      <c r="Q664" s="181"/>
      <c r="R664" s="181"/>
      <c r="S664" s="181"/>
      <c r="T664" s="181"/>
      <c r="U664" s="181"/>
      <c r="V664" s="181"/>
      <c r="W664" s="181"/>
      <c r="X664" s="181"/>
      <c r="Y664" s="181"/>
      <c r="Z664" s="181"/>
    </row>
    <row r="665" customFormat="false" ht="15.75" hidden="false" customHeight="false" outlineLevel="0" collapsed="false">
      <c r="A665" s="181"/>
      <c r="B665" s="181"/>
      <c r="C665" s="181"/>
      <c r="D665" s="181"/>
      <c r="E665" s="181"/>
      <c r="F665" s="181"/>
      <c r="G665" s="181"/>
      <c r="H665" s="181"/>
      <c r="I665" s="181"/>
      <c r="J665" s="181"/>
      <c r="K665" s="181"/>
      <c r="L665" s="181"/>
      <c r="M665" s="181"/>
      <c r="N665" s="181"/>
      <c r="O665" s="181"/>
      <c r="P665" s="181"/>
      <c r="Q665" s="181"/>
      <c r="R665" s="181"/>
      <c r="S665" s="181"/>
      <c r="T665" s="181"/>
      <c r="U665" s="181"/>
      <c r="V665" s="181"/>
      <c r="W665" s="181"/>
      <c r="X665" s="181"/>
      <c r="Y665" s="181"/>
      <c r="Z665" s="181"/>
    </row>
    <row r="666" customFormat="false" ht="15.75" hidden="false" customHeight="false" outlineLevel="0" collapsed="false">
      <c r="A666" s="181"/>
      <c r="B666" s="181"/>
      <c r="C666" s="181"/>
      <c r="D666" s="181"/>
      <c r="E666" s="181"/>
      <c r="F666" s="181"/>
      <c r="G666" s="181"/>
      <c r="H666" s="181"/>
      <c r="I666" s="181"/>
      <c r="J666" s="181"/>
      <c r="K666" s="181"/>
      <c r="L666" s="181"/>
      <c r="M666" s="181"/>
      <c r="N666" s="181"/>
      <c r="O666" s="181"/>
      <c r="P666" s="181"/>
      <c r="Q666" s="181"/>
      <c r="R666" s="181"/>
      <c r="S666" s="181"/>
      <c r="T666" s="181"/>
      <c r="U666" s="181"/>
      <c r="V666" s="181"/>
      <c r="W666" s="181"/>
      <c r="X666" s="181"/>
      <c r="Y666" s="181"/>
      <c r="Z666" s="181"/>
    </row>
    <row r="667" customFormat="false" ht="15.75" hidden="false" customHeight="false" outlineLevel="0" collapsed="false">
      <c r="A667" s="181"/>
      <c r="B667" s="181"/>
      <c r="C667" s="181"/>
      <c r="D667" s="181"/>
      <c r="E667" s="181"/>
      <c r="F667" s="181"/>
      <c r="G667" s="181"/>
      <c r="H667" s="181"/>
      <c r="I667" s="181"/>
      <c r="J667" s="181"/>
      <c r="K667" s="181"/>
      <c r="L667" s="181"/>
      <c r="M667" s="181"/>
      <c r="N667" s="181"/>
      <c r="O667" s="181"/>
      <c r="P667" s="181"/>
      <c r="Q667" s="181"/>
      <c r="R667" s="181"/>
      <c r="S667" s="181"/>
      <c r="T667" s="181"/>
      <c r="U667" s="181"/>
      <c r="V667" s="181"/>
      <c r="W667" s="181"/>
      <c r="X667" s="181"/>
      <c r="Y667" s="181"/>
      <c r="Z667" s="181"/>
    </row>
    <row r="668" customFormat="false" ht="15.75" hidden="false" customHeight="false" outlineLevel="0" collapsed="false">
      <c r="A668" s="181"/>
      <c r="B668" s="181"/>
      <c r="C668" s="181"/>
      <c r="D668" s="181"/>
      <c r="E668" s="181"/>
      <c r="F668" s="181"/>
      <c r="G668" s="181"/>
      <c r="H668" s="181"/>
      <c r="I668" s="181"/>
      <c r="J668" s="181"/>
      <c r="K668" s="181"/>
      <c r="L668" s="181"/>
      <c r="M668" s="181"/>
      <c r="N668" s="181"/>
      <c r="O668" s="181"/>
      <c r="P668" s="181"/>
      <c r="Q668" s="181"/>
      <c r="R668" s="181"/>
      <c r="S668" s="181"/>
      <c r="T668" s="181"/>
      <c r="U668" s="181"/>
      <c r="V668" s="181"/>
      <c r="W668" s="181"/>
      <c r="X668" s="181"/>
      <c r="Y668" s="181"/>
      <c r="Z668" s="181"/>
    </row>
    <row r="669" customFormat="false" ht="15.75" hidden="false" customHeight="false" outlineLevel="0" collapsed="false">
      <c r="A669" s="181"/>
      <c r="B669" s="181"/>
      <c r="C669" s="181"/>
      <c r="D669" s="181"/>
      <c r="E669" s="181"/>
      <c r="F669" s="181"/>
      <c r="G669" s="181"/>
      <c r="H669" s="181"/>
      <c r="I669" s="181"/>
      <c r="J669" s="181"/>
      <c r="K669" s="181"/>
      <c r="L669" s="181"/>
      <c r="M669" s="181"/>
      <c r="N669" s="181"/>
      <c r="O669" s="181"/>
      <c r="P669" s="181"/>
      <c r="Q669" s="181"/>
      <c r="R669" s="181"/>
      <c r="S669" s="181"/>
      <c r="T669" s="181"/>
      <c r="U669" s="181"/>
      <c r="V669" s="181"/>
      <c r="W669" s="181"/>
      <c r="X669" s="181"/>
      <c r="Y669" s="181"/>
      <c r="Z669" s="181"/>
    </row>
    <row r="670" customFormat="false" ht="15.75" hidden="false" customHeight="false" outlineLevel="0" collapsed="false">
      <c r="A670" s="181"/>
      <c r="B670" s="181"/>
      <c r="C670" s="181"/>
      <c r="D670" s="181"/>
      <c r="E670" s="181"/>
      <c r="F670" s="181"/>
      <c r="G670" s="181"/>
      <c r="H670" s="181"/>
      <c r="I670" s="181"/>
      <c r="J670" s="181"/>
      <c r="K670" s="181"/>
      <c r="L670" s="181"/>
      <c r="M670" s="181"/>
      <c r="N670" s="181"/>
      <c r="O670" s="181"/>
      <c r="P670" s="181"/>
      <c r="Q670" s="181"/>
      <c r="R670" s="181"/>
      <c r="S670" s="181"/>
      <c r="T670" s="181"/>
      <c r="U670" s="181"/>
      <c r="V670" s="181"/>
      <c r="W670" s="181"/>
      <c r="X670" s="181"/>
      <c r="Y670" s="181"/>
      <c r="Z670" s="181"/>
    </row>
    <row r="671" customFormat="false" ht="15.75" hidden="false" customHeight="false" outlineLevel="0" collapsed="false">
      <c r="A671" s="181"/>
      <c r="B671" s="181"/>
      <c r="C671" s="181"/>
      <c r="D671" s="181"/>
      <c r="E671" s="181"/>
      <c r="F671" s="181"/>
      <c r="G671" s="181"/>
      <c r="H671" s="181"/>
      <c r="I671" s="181"/>
      <c r="J671" s="181"/>
      <c r="K671" s="181"/>
      <c r="L671" s="181"/>
      <c r="M671" s="181"/>
      <c r="N671" s="181"/>
      <c r="O671" s="181"/>
      <c r="P671" s="181"/>
      <c r="Q671" s="181"/>
      <c r="R671" s="181"/>
      <c r="S671" s="181"/>
      <c r="T671" s="181"/>
      <c r="U671" s="181"/>
      <c r="V671" s="181"/>
      <c r="W671" s="181"/>
      <c r="X671" s="181"/>
      <c r="Y671" s="181"/>
      <c r="Z671" s="181"/>
    </row>
    <row r="672" customFormat="false" ht="15.75" hidden="false" customHeight="false" outlineLevel="0" collapsed="false">
      <c r="A672" s="181"/>
      <c r="B672" s="181"/>
      <c r="C672" s="181"/>
      <c r="D672" s="181"/>
      <c r="E672" s="181"/>
      <c r="F672" s="181"/>
      <c r="G672" s="181"/>
      <c r="H672" s="181"/>
      <c r="I672" s="181"/>
      <c r="J672" s="181"/>
      <c r="K672" s="181"/>
      <c r="L672" s="181"/>
      <c r="M672" s="181"/>
      <c r="N672" s="181"/>
      <c r="O672" s="181"/>
      <c r="P672" s="181"/>
      <c r="Q672" s="181"/>
      <c r="R672" s="181"/>
      <c r="S672" s="181"/>
      <c r="T672" s="181"/>
      <c r="U672" s="181"/>
      <c r="V672" s="181"/>
      <c r="W672" s="181"/>
      <c r="X672" s="181"/>
      <c r="Y672" s="181"/>
      <c r="Z672" s="181"/>
    </row>
    <row r="673" customFormat="false" ht="15.75" hidden="false" customHeight="false" outlineLevel="0" collapsed="false">
      <c r="A673" s="181"/>
      <c r="B673" s="181"/>
      <c r="C673" s="181"/>
      <c r="D673" s="181"/>
      <c r="E673" s="181"/>
      <c r="F673" s="181"/>
      <c r="G673" s="181"/>
      <c r="H673" s="181"/>
      <c r="I673" s="181"/>
      <c r="J673" s="181"/>
      <c r="K673" s="181"/>
      <c r="L673" s="181"/>
      <c r="M673" s="181"/>
      <c r="N673" s="181"/>
      <c r="O673" s="181"/>
      <c r="P673" s="181"/>
      <c r="Q673" s="181"/>
      <c r="R673" s="181"/>
      <c r="S673" s="181"/>
      <c r="T673" s="181"/>
      <c r="U673" s="181"/>
      <c r="V673" s="181"/>
      <c r="W673" s="181"/>
      <c r="X673" s="181"/>
      <c r="Y673" s="181"/>
      <c r="Z673" s="181"/>
    </row>
    <row r="674" customFormat="false" ht="15.75" hidden="false" customHeight="false" outlineLevel="0" collapsed="false">
      <c r="A674" s="181"/>
      <c r="B674" s="181"/>
      <c r="C674" s="181"/>
      <c r="D674" s="181"/>
      <c r="E674" s="181"/>
      <c r="F674" s="181"/>
      <c r="G674" s="181"/>
      <c r="H674" s="181"/>
      <c r="I674" s="181"/>
      <c r="J674" s="181"/>
      <c r="K674" s="181"/>
      <c r="L674" s="181"/>
      <c r="M674" s="181"/>
      <c r="N674" s="181"/>
      <c r="O674" s="181"/>
      <c r="P674" s="181"/>
      <c r="Q674" s="181"/>
      <c r="R674" s="181"/>
      <c r="S674" s="181"/>
      <c r="T674" s="181"/>
      <c r="U674" s="181"/>
      <c r="V674" s="181"/>
      <c r="W674" s="181"/>
      <c r="X674" s="181"/>
      <c r="Y674" s="181"/>
      <c r="Z674" s="181"/>
    </row>
    <row r="675" customFormat="false" ht="15.75" hidden="false" customHeight="false" outlineLevel="0" collapsed="false">
      <c r="A675" s="181"/>
      <c r="B675" s="181"/>
      <c r="C675" s="181"/>
      <c r="D675" s="181"/>
      <c r="E675" s="181"/>
      <c r="F675" s="181"/>
      <c r="G675" s="181"/>
      <c r="H675" s="181"/>
      <c r="I675" s="181"/>
      <c r="J675" s="181"/>
      <c r="K675" s="181"/>
      <c r="L675" s="181"/>
      <c r="M675" s="181"/>
      <c r="N675" s="181"/>
      <c r="O675" s="181"/>
      <c r="P675" s="181"/>
      <c r="Q675" s="181"/>
      <c r="R675" s="181"/>
      <c r="S675" s="181"/>
      <c r="T675" s="181"/>
      <c r="U675" s="181"/>
      <c r="V675" s="181"/>
      <c r="W675" s="181"/>
      <c r="X675" s="181"/>
      <c r="Y675" s="181"/>
      <c r="Z675" s="181"/>
    </row>
    <row r="676" customFormat="false" ht="15.75" hidden="false" customHeight="false" outlineLevel="0" collapsed="false">
      <c r="A676" s="181"/>
      <c r="B676" s="181"/>
      <c r="C676" s="181"/>
      <c r="D676" s="181"/>
      <c r="E676" s="181"/>
      <c r="F676" s="181"/>
      <c r="G676" s="181"/>
      <c r="H676" s="181"/>
      <c r="I676" s="181"/>
      <c r="J676" s="181"/>
      <c r="K676" s="181"/>
      <c r="L676" s="181"/>
      <c r="M676" s="181"/>
      <c r="N676" s="181"/>
      <c r="O676" s="181"/>
      <c r="P676" s="181"/>
      <c r="Q676" s="181"/>
      <c r="R676" s="181"/>
      <c r="S676" s="181"/>
      <c r="T676" s="181"/>
      <c r="U676" s="181"/>
      <c r="V676" s="181"/>
      <c r="W676" s="181"/>
      <c r="X676" s="181"/>
      <c r="Y676" s="181"/>
      <c r="Z676" s="181"/>
    </row>
    <row r="677" customFormat="false" ht="15.75" hidden="false" customHeight="false" outlineLevel="0" collapsed="false">
      <c r="A677" s="181"/>
      <c r="B677" s="181"/>
      <c r="C677" s="181"/>
      <c r="D677" s="181"/>
      <c r="E677" s="181"/>
      <c r="F677" s="181"/>
      <c r="G677" s="181"/>
      <c r="H677" s="181"/>
      <c r="I677" s="181"/>
      <c r="J677" s="181"/>
      <c r="K677" s="181"/>
      <c r="L677" s="181"/>
      <c r="M677" s="181"/>
      <c r="N677" s="181"/>
      <c r="O677" s="181"/>
      <c r="P677" s="181"/>
      <c r="Q677" s="181"/>
      <c r="R677" s="181"/>
      <c r="S677" s="181"/>
      <c r="T677" s="181"/>
      <c r="U677" s="181"/>
      <c r="V677" s="181"/>
      <c r="W677" s="181"/>
      <c r="X677" s="181"/>
      <c r="Y677" s="181"/>
      <c r="Z677" s="181"/>
    </row>
    <row r="678" customFormat="false" ht="15.75" hidden="false" customHeight="false" outlineLevel="0" collapsed="false">
      <c r="A678" s="181"/>
      <c r="B678" s="181"/>
      <c r="C678" s="181"/>
      <c r="D678" s="181"/>
      <c r="E678" s="181"/>
      <c r="F678" s="181"/>
      <c r="G678" s="181"/>
      <c r="H678" s="181"/>
      <c r="I678" s="181"/>
      <c r="J678" s="181"/>
      <c r="K678" s="181"/>
      <c r="L678" s="181"/>
      <c r="M678" s="181"/>
      <c r="N678" s="181"/>
      <c r="O678" s="181"/>
      <c r="P678" s="181"/>
      <c r="Q678" s="181"/>
      <c r="R678" s="181"/>
      <c r="S678" s="181"/>
      <c r="T678" s="181"/>
      <c r="U678" s="181"/>
      <c r="V678" s="181"/>
      <c r="W678" s="181"/>
      <c r="X678" s="181"/>
      <c r="Y678" s="181"/>
      <c r="Z678" s="181"/>
    </row>
    <row r="679" customFormat="false" ht="15.75" hidden="false" customHeight="false" outlineLevel="0" collapsed="false">
      <c r="A679" s="181"/>
      <c r="B679" s="181"/>
      <c r="C679" s="181"/>
      <c r="D679" s="181"/>
      <c r="E679" s="181"/>
      <c r="F679" s="181"/>
      <c r="G679" s="181"/>
      <c r="H679" s="181"/>
      <c r="I679" s="181"/>
      <c r="J679" s="181"/>
      <c r="K679" s="181"/>
      <c r="L679" s="181"/>
      <c r="M679" s="181"/>
      <c r="N679" s="181"/>
      <c r="O679" s="181"/>
      <c r="P679" s="181"/>
      <c r="Q679" s="181"/>
      <c r="R679" s="181"/>
      <c r="S679" s="181"/>
      <c r="T679" s="181"/>
      <c r="U679" s="181"/>
      <c r="V679" s="181"/>
      <c r="W679" s="181"/>
      <c r="X679" s="181"/>
      <c r="Y679" s="181"/>
      <c r="Z679" s="181"/>
    </row>
    <row r="680" customFormat="false" ht="15.75" hidden="false" customHeight="false" outlineLevel="0" collapsed="false">
      <c r="A680" s="181"/>
      <c r="B680" s="181"/>
      <c r="C680" s="181"/>
      <c r="D680" s="181"/>
      <c r="E680" s="181"/>
      <c r="F680" s="181"/>
      <c r="G680" s="181"/>
      <c r="H680" s="181"/>
      <c r="I680" s="181"/>
      <c r="J680" s="181"/>
      <c r="K680" s="181"/>
      <c r="L680" s="181"/>
      <c r="M680" s="181"/>
      <c r="N680" s="181"/>
      <c r="O680" s="181"/>
      <c r="P680" s="181"/>
      <c r="Q680" s="181"/>
      <c r="R680" s="181"/>
      <c r="S680" s="181"/>
      <c r="T680" s="181"/>
      <c r="U680" s="181"/>
      <c r="V680" s="181"/>
      <c r="W680" s="181"/>
      <c r="X680" s="181"/>
      <c r="Y680" s="181"/>
      <c r="Z680" s="181"/>
    </row>
    <row r="681" customFormat="false" ht="15.75" hidden="false" customHeight="false" outlineLevel="0" collapsed="false">
      <c r="A681" s="181"/>
      <c r="B681" s="181"/>
      <c r="C681" s="181"/>
      <c r="D681" s="181"/>
      <c r="E681" s="181"/>
      <c r="F681" s="181"/>
      <c r="G681" s="181"/>
      <c r="H681" s="181"/>
      <c r="I681" s="181"/>
      <c r="J681" s="181"/>
      <c r="K681" s="181"/>
      <c r="L681" s="181"/>
      <c r="M681" s="181"/>
      <c r="N681" s="181"/>
      <c r="O681" s="181"/>
      <c r="P681" s="181"/>
      <c r="Q681" s="181"/>
      <c r="R681" s="181"/>
      <c r="S681" s="181"/>
      <c r="T681" s="181"/>
      <c r="U681" s="181"/>
      <c r="V681" s="181"/>
      <c r="W681" s="181"/>
      <c r="X681" s="181"/>
      <c r="Y681" s="181"/>
      <c r="Z681" s="181"/>
    </row>
    <row r="682" customFormat="false" ht="15.75" hidden="false" customHeight="false" outlineLevel="0" collapsed="false">
      <c r="A682" s="181"/>
      <c r="B682" s="181"/>
      <c r="C682" s="181"/>
      <c r="D682" s="181"/>
      <c r="E682" s="181"/>
      <c r="F682" s="181"/>
      <c r="G682" s="181"/>
      <c r="H682" s="181"/>
      <c r="I682" s="181"/>
      <c r="J682" s="181"/>
      <c r="K682" s="181"/>
      <c r="L682" s="181"/>
      <c r="M682" s="181"/>
      <c r="N682" s="181"/>
      <c r="O682" s="181"/>
      <c r="P682" s="181"/>
      <c r="Q682" s="181"/>
      <c r="R682" s="181"/>
      <c r="S682" s="181"/>
      <c r="T682" s="181"/>
      <c r="U682" s="181"/>
      <c r="V682" s="181"/>
      <c r="W682" s="181"/>
      <c r="X682" s="181"/>
      <c r="Y682" s="181"/>
      <c r="Z682" s="181"/>
    </row>
    <row r="683" customFormat="false" ht="15.75" hidden="false" customHeight="false" outlineLevel="0" collapsed="false">
      <c r="A683" s="181"/>
      <c r="B683" s="181"/>
      <c r="C683" s="181"/>
      <c r="D683" s="181"/>
      <c r="E683" s="181"/>
      <c r="F683" s="181"/>
      <c r="G683" s="181"/>
      <c r="H683" s="181"/>
      <c r="I683" s="181"/>
      <c r="J683" s="181"/>
      <c r="K683" s="181"/>
      <c r="L683" s="181"/>
      <c r="M683" s="181"/>
      <c r="N683" s="181"/>
      <c r="O683" s="181"/>
      <c r="P683" s="181"/>
      <c r="Q683" s="181"/>
      <c r="R683" s="181"/>
      <c r="S683" s="181"/>
      <c r="T683" s="181"/>
      <c r="U683" s="181"/>
      <c r="V683" s="181"/>
      <c r="W683" s="181"/>
      <c r="X683" s="181"/>
      <c r="Y683" s="181"/>
      <c r="Z683" s="181"/>
    </row>
    <row r="684" customFormat="false" ht="15.75" hidden="false" customHeight="false" outlineLevel="0" collapsed="false">
      <c r="A684" s="181"/>
      <c r="B684" s="181"/>
      <c r="C684" s="181"/>
      <c r="D684" s="181"/>
      <c r="E684" s="181"/>
      <c r="F684" s="181"/>
      <c r="G684" s="181"/>
      <c r="H684" s="181"/>
      <c r="I684" s="181"/>
      <c r="J684" s="181"/>
      <c r="K684" s="181"/>
      <c r="L684" s="181"/>
      <c r="M684" s="181"/>
      <c r="N684" s="181"/>
      <c r="O684" s="181"/>
      <c r="P684" s="181"/>
      <c r="Q684" s="181"/>
      <c r="R684" s="181"/>
      <c r="S684" s="181"/>
      <c r="T684" s="181"/>
      <c r="U684" s="181"/>
      <c r="V684" s="181"/>
      <c r="W684" s="181"/>
      <c r="X684" s="181"/>
      <c r="Y684" s="181"/>
      <c r="Z684" s="181"/>
    </row>
    <row r="685" customFormat="false" ht="15.75" hidden="false" customHeight="false" outlineLevel="0" collapsed="false">
      <c r="A685" s="181"/>
      <c r="B685" s="181"/>
      <c r="C685" s="181"/>
      <c r="D685" s="181"/>
      <c r="E685" s="181"/>
      <c r="F685" s="181"/>
      <c r="G685" s="181"/>
      <c r="H685" s="181"/>
      <c r="I685" s="181"/>
      <c r="J685" s="181"/>
      <c r="K685" s="181"/>
      <c r="L685" s="181"/>
      <c r="M685" s="181"/>
      <c r="N685" s="181"/>
      <c r="O685" s="181"/>
      <c r="P685" s="181"/>
      <c r="Q685" s="181"/>
      <c r="R685" s="181"/>
      <c r="S685" s="181"/>
      <c r="T685" s="181"/>
      <c r="U685" s="181"/>
      <c r="V685" s="181"/>
      <c r="W685" s="181"/>
      <c r="X685" s="181"/>
      <c r="Y685" s="181"/>
      <c r="Z685" s="181"/>
    </row>
    <row r="686" customFormat="false" ht="15.75" hidden="false" customHeight="false" outlineLevel="0" collapsed="false">
      <c r="A686" s="181"/>
      <c r="B686" s="181"/>
      <c r="C686" s="181"/>
      <c r="D686" s="181"/>
      <c r="E686" s="181"/>
      <c r="F686" s="181"/>
      <c r="G686" s="181"/>
      <c r="H686" s="181"/>
      <c r="I686" s="181"/>
      <c r="J686" s="181"/>
      <c r="K686" s="181"/>
      <c r="L686" s="181"/>
      <c r="M686" s="181"/>
      <c r="N686" s="181"/>
      <c r="O686" s="181"/>
      <c r="P686" s="181"/>
      <c r="Q686" s="181"/>
      <c r="R686" s="181"/>
      <c r="S686" s="181"/>
      <c r="T686" s="181"/>
      <c r="U686" s="181"/>
      <c r="V686" s="181"/>
      <c r="W686" s="181"/>
      <c r="X686" s="181"/>
      <c r="Y686" s="181"/>
      <c r="Z686" s="181"/>
    </row>
    <row r="687" customFormat="false" ht="15.75" hidden="false" customHeight="false" outlineLevel="0" collapsed="false">
      <c r="A687" s="181"/>
      <c r="B687" s="181"/>
      <c r="C687" s="181"/>
      <c r="D687" s="181"/>
      <c r="E687" s="181"/>
      <c r="F687" s="181"/>
      <c r="G687" s="181"/>
      <c r="H687" s="181"/>
      <c r="I687" s="181"/>
      <c r="J687" s="181"/>
      <c r="K687" s="181"/>
      <c r="L687" s="181"/>
      <c r="M687" s="181"/>
      <c r="N687" s="181"/>
      <c r="O687" s="181"/>
      <c r="P687" s="181"/>
      <c r="Q687" s="181"/>
      <c r="R687" s="181"/>
      <c r="S687" s="181"/>
      <c r="T687" s="181"/>
      <c r="U687" s="181"/>
      <c r="V687" s="181"/>
      <c r="W687" s="181"/>
      <c r="X687" s="181"/>
      <c r="Y687" s="181"/>
      <c r="Z687" s="181"/>
    </row>
    <row r="688" customFormat="false" ht="15.75" hidden="false" customHeight="false" outlineLevel="0" collapsed="false">
      <c r="A688" s="181"/>
      <c r="B688" s="181"/>
      <c r="C688" s="181"/>
      <c r="D688" s="181"/>
      <c r="E688" s="181"/>
      <c r="F688" s="181"/>
      <c r="G688" s="181"/>
      <c r="H688" s="181"/>
      <c r="I688" s="181"/>
      <c r="J688" s="181"/>
      <c r="K688" s="181"/>
      <c r="L688" s="181"/>
      <c r="M688" s="181"/>
      <c r="N688" s="181"/>
      <c r="O688" s="181"/>
      <c r="P688" s="181"/>
      <c r="Q688" s="181"/>
      <c r="R688" s="181"/>
      <c r="S688" s="181"/>
      <c r="T688" s="181"/>
      <c r="U688" s="181"/>
      <c r="V688" s="181"/>
      <c r="W688" s="181"/>
      <c r="X688" s="181"/>
      <c r="Y688" s="181"/>
      <c r="Z688" s="181"/>
    </row>
    <row r="689" customFormat="false" ht="15.75" hidden="false" customHeight="false" outlineLevel="0" collapsed="false">
      <c r="A689" s="181"/>
      <c r="B689" s="181"/>
      <c r="C689" s="181"/>
      <c r="D689" s="181"/>
      <c r="E689" s="181"/>
      <c r="F689" s="181"/>
      <c r="G689" s="181"/>
      <c r="H689" s="181"/>
      <c r="I689" s="181"/>
      <c r="J689" s="181"/>
      <c r="K689" s="181"/>
      <c r="L689" s="181"/>
      <c r="M689" s="181"/>
      <c r="N689" s="181"/>
      <c r="O689" s="181"/>
      <c r="P689" s="181"/>
      <c r="Q689" s="181"/>
      <c r="R689" s="181"/>
      <c r="S689" s="181"/>
      <c r="T689" s="181"/>
      <c r="U689" s="181"/>
      <c r="V689" s="181"/>
      <c r="W689" s="181"/>
      <c r="X689" s="181"/>
      <c r="Y689" s="181"/>
      <c r="Z689" s="181"/>
    </row>
    <row r="690" customFormat="false" ht="15.75" hidden="false" customHeight="false" outlineLevel="0" collapsed="false">
      <c r="A690" s="181"/>
      <c r="B690" s="181"/>
      <c r="C690" s="181"/>
      <c r="D690" s="181"/>
      <c r="E690" s="181"/>
      <c r="F690" s="181"/>
      <c r="G690" s="181"/>
      <c r="H690" s="181"/>
      <c r="I690" s="181"/>
      <c r="J690" s="181"/>
      <c r="K690" s="181"/>
      <c r="L690" s="181"/>
      <c r="M690" s="181"/>
      <c r="N690" s="181"/>
      <c r="O690" s="181"/>
      <c r="P690" s="181"/>
      <c r="Q690" s="181"/>
      <c r="R690" s="181"/>
      <c r="S690" s="181"/>
      <c r="T690" s="181"/>
      <c r="U690" s="181"/>
      <c r="V690" s="181"/>
      <c r="W690" s="181"/>
      <c r="X690" s="181"/>
      <c r="Y690" s="181"/>
      <c r="Z690" s="181"/>
    </row>
    <row r="691" customFormat="false" ht="15.75" hidden="false" customHeight="false" outlineLevel="0" collapsed="false">
      <c r="A691" s="181"/>
      <c r="B691" s="181"/>
      <c r="C691" s="181"/>
      <c r="D691" s="181"/>
      <c r="E691" s="181"/>
      <c r="F691" s="181"/>
      <c r="G691" s="181"/>
      <c r="H691" s="181"/>
      <c r="I691" s="181"/>
      <c r="J691" s="181"/>
      <c r="K691" s="181"/>
      <c r="L691" s="181"/>
      <c r="M691" s="181"/>
      <c r="N691" s="181"/>
      <c r="O691" s="181"/>
      <c r="P691" s="181"/>
      <c r="Q691" s="181"/>
      <c r="R691" s="181"/>
      <c r="S691" s="181"/>
      <c r="T691" s="181"/>
      <c r="U691" s="181"/>
      <c r="V691" s="181"/>
      <c r="W691" s="181"/>
      <c r="X691" s="181"/>
      <c r="Y691" s="181"/>
      <c r="Z691" s="181"/>
    </row>
    <row r="692" customFormat="false" ht="15.75" hidden="false" customHeight="false" outlineLevel="0" collapsed="false">
      <c r="A692" s="181"/>
      <c r="B692" s="181"/>
      <c r="C692" s="181"/>
      <c r="D692" s="181"/>
      <c r="E692" s="181"/>
      <c r="F692" s="181"/>
      <c r="G692" s="181"/>
      <c r="H692" s="181"/>
      <c r="I692" s="181"/>
      <c r="J692" s="181"/>
      <c r="K692" s="181"/>
      <c r="L692" s="181"/>
      <c r="M692" s="181"/>
      <c r="N692" s="181"/>
      <c r="O692" s="181"/>
      <c r="P692" s="181"/>
      <c r="Q692" s="181"/>
      <c r="R692" s="181"/>
      <c r="S692" s="181"/>
      <c r="T692" s="181"/>
      <c r="U692" s="181"/>
      <c r="V692" s="181"/>
      <c r="W692" s="181"/>
      <c r="X692" s="181"/>
      <c r="Y692" s="181"/>
      <c r="Z692" s="181"/>
    </row>
    <row r="693" customFormat="false" ht="15.75" hidden="false" customHeight="false" outlineLevel="0" collapsed="false">
      <c r="A693" s="181"/>
      <c r="B693" s="181"/>
      <c r="C693" s="181"/>
      <c r="D693" s="181"/>
      <c r="E693" s="181"/>
      <c r="F693" s="181"/>
      <c r="G693" s="181"/>
      <c r="H693" s="181"/>
      <c r="I693" s="181"/>
      <c r="J693" s="181"/>
      <c r="K693" s="181"/>
      <c r="L693" s="181"/>
      <c r="M693" s="181"/>
      <c r="N693" s="181"/>
      <c r="O693" s="181"/>
      <c r="P693" s="181"/>
      <c r="Q693" s="181"/>
      <c r="R693" s="181"/>
      <c r="S693" s="181"/>
      <c r="T693" s="181"/>
      <c r="U693" s="181"/>
      <c r="V693" s="181"/>
      <c r="W693" s="181"/>
      <c r="X693" s="181"/>
      <c r="Y693" s="181"/>
      <c r="Z693" s="181"/>
    </row>
    <row r="694" customFormat="false" ht="15.75" hidden="false" customHeight="false" outlineLevel="0" collapsed="false">
      <c r="A694" s="181"/>
      <c r="B694" s="181"/>
      <c r="C694" s="181"/>
      <c r="D694" s="181"/>
      <c r="E694" s="181"/>
      <c r="F694" s="181"/>
      <c r="G694" s="181"/>
      <c r="H694" s="181"/>
      <c r="I694" s="181"/>
      <c r="J694" s="181"/>
      <c r="K694" s="181"/>
      <c r="L694" s="181"/>
      <c r="M694" s="181"/>
      <c r="N694" s="181"/>
      <c r="O694" s="181"/>
      <c r="P694" s="181"/>
      <c r="Q694" s="181"/>
      <c r="R694" s="181"/>
      <c r="S694" s="181"/>
      <c r="T694" s="181"/>
      <c r="U694" s="181"/>
      <c r="V694" s="181"/>
      <c r="W694" s="181"/>
      <c r="X694" s="181"/>
      <c r="Y694" s="181"/>
      <c r="Z694" s="181"/>
    </row>
    <row r="695" customFormat="false" ht="15.75" hidden="false" customHeight="false" outlineLevel="0" collapsed="false">
      <c r="A695" s="181"/>
      <c r="B695" s="181"/>
      <c r="C695" s="181"/>
      <c r="D695" s="181"/>
      <c r="E695" s="181"/>
      <c r="F695" s="181"/>
      <c r="G695" s="181"/>
      <c r="H695" s="181"/>
      <c r="I695" s="181"/>
      <c r="J695" s="181"/>
      <c r="K695" s="181"/>
      <c r="L695" s="181"/>
      <c r="M695" s="181"/>
      <c r="N695" s="181"/>
      <c r="O695" s="181"/>
      <c r="P695" s="181"/>
      <c r="Q695" s="181"/>
      <c r="R695" s="181"/>
      <c r="S695" s="181"/>
      <c r="T695" s="181"/>
      <c r="U695" s="181"/>
      <c r="V695" s="181"/>
      <c r="W695" s="181"/>
      <c r="X695" s="181"/>
      <c r="Y695" s="181"/>
      <c r="Z695" s="181"/>
    </row>
    <row r="696" customFormat="false" ht="15.75" hidden="false" customHeight="false" outlineLevel="0" collapsed="false">
      <c r="A696" s="181"/>
      <c r="B696" s="181"/>
      <c r="C696" s="181"/>
      <c r="D696" s="181"/>
      <c r="E696" s="181"/>
      <c r="F696" s="181"/>
      <c r="G696" s="181"/>
      <c r="H696" s="181"/>
      <c r="I696" s="181"/>
      <c r="J696" s="181"/>
      <c r="K696" s="181"/>
      <c r="L696" s="181"/>
      <c r="M696" s="181"/>
      <c r="N696" s="181"/>
      <c r="O696" s="181"/>
      <c r="P696" s="181"/>
      <c r="Q696" s="181"/>
      <c r="R696" s="181"/>
      <c r="S696" s="181"/>
      <c r="T696" s="181"/>
      <c r="U696" s="181"/>
      <c r="V696" s="181"/>
      <c r="W696" s="181"/>
      <c r="X696" s="181"/>
      <c r="Y696" s="181"/>
      <c r="Z696" s="181"/>
    </row>
    <row r="697" customFormat="false" ht="15.75" hidden="false" customHeight="false" outlineLevel="0" collapsed="false">
      <c r="A697" s="181"/>
      <c r="B697" s="181"/>
      <c r="C697" s="181"/>
      <c r="D697" s="181"/>
      <c r="E697" s="181"/>
      <c r="F697" s="181"/>
      <c r="G697" s="181"/>
      <c r="H697" s="181"/>
      <c r="I697" s="181"/>
      <c r="J697" s="181"/>
      <c r="K697" s="181"/>
      <c r="L697" s="181"/>
      <c r="M697" s="181"/>
      <c r="N697" s="181"/>
      <c r="O697" s="181"/>
      <c r="P697" s="181"/>
      <c r="Q697" s="181"/>
      <c r="R697" s="181"/>
      <c r="S697" s="181"/>
      <c r="T697" s="181"/>
      <c r="U697" s="181"/>
      <c r="V697" s="181"/>
      <c r="W697" s="181"/>
      <c r="X697" s="181"/>
      <c r="Y697" s="181"/>
      <c r="Z697" s="181"/>
    </row>
    <row r="698" customFormat="false" ht="15.75" hidden="false" customHeight="false" outlineLevel="0" collapsed="false">
      <c r="A698" s="181"/>
      <c r="B698" s="181"/>
      <c r="C698" s="181"/>
      <c r="D698" s="181"/>
      <c r="E698" s="181"/>
      <c r="F698" s="181"/>
      <c r="G698" s="181"/>
      <c r="H698" s="181"/>
      <c r="I698" s="181"/>
      <c r="J698" s="181"/>
      <c r="K698" s="181"/>
      <c r="L698" s="181"/>
      <c r="M698" s="181"/>
      <c r="N698" s="181"/>
      <c r="O698" s="181"/>
      <c r="P698" s="181"/>
      <c r="Q698" s="181"/>
      <c r="R698" s="181"/>
      <c r="S698" s="181"/>
      <c r="T698" s="181"/>
      <c r="U698" s="181"/>
      <c r="V698" s="181"/>
      <c r="W698" s="181"/>
      <c r="X698" s="181"/>
      <c r="Y698" s="181"/>
      <c r="Z698" s="181"/>
    </row>
    <row r="699" customFormat="false" ht="15.75" hidden="false" customHeight="false" outlineLevel="0" collapsed="false">
      <c r="A699" s="181"/>
      <c r="B699" s="181"/>
      <c r="C699" s="181"/>
      <c r="D699" s="181"/>
      <c r="E699" s="181"/>
      <c r="F699" s="181"/>
      <c r="G699" s="181"/>
      <c r="H699" s="181"/>
      <c r="I699" s="181"/>
      <c r="J699" s="181"/>
      <c r="K699" s="181"/>
      <c r="L699" s="181"/>
      <c r="M699" s="181"/>
      <c r="N699" s="181"/>
      <c r="O699" s="181"/>
      <c r="P699" s="181"/>
      <c r="Q699" s="181"/>
      <c r="R699" s="181"/>
      <c r="S699" s="181"/>
      <c r="T699" s="181"/>
      <c r="U699" s="181"/>
      <c r="V699" s="181"/>
      <c r="W699" s="181"/>
      <c r="X699" s="181"/>
      <c r="Y699" s="181"/>
      <c r="Z699" s="181"/>
    </row>
    <row r="700" customFormat="false" ht="15.75" hidden="false" customHeight="false" outlineLevel="0" collapsed="false">
      <c r="A700" s="181"/>
      <c r="B700" s="181"/>
      <c r="C700" s="181"/>
      <c r="D700" s="181"/>
      <c r="E700" s="181"/>
      <c r="F700" s="181"/>
      <c r="G700" s="181"/>
      <c r="H700" s="181"/>
      <c r="I700" s="181"/>
      <c r="J700" s="181"/>
      <c r="K700" s="181"/>
      <c r="L700" s="181"/>
      <c r="M700" s="181"/>
      <c r="N700" s="181"/>
      <c r="O700" s="181"/>
      <c r="P700" s="181"/>
      <c r="Q700" s="181"/>
      <c r="R700" s="181"/>
      <c r="S700" s="181"/>
      <c r="T700" s="181"/>
      <c r="U700" s="181"/>
      <c r="V700" s="181"/>
      <c r="W700" s="181"/>
      <c r="X700" s="181"/>
      <c r="Y700" s="181"/>
      <c r="Z700" s="181"/>
    </row>
    <row r="701" customFormat="false" ht="15.75" hidden="false" customHeight="false" outlineLevel="0" collapsed="false">
      <c r="A701" s="181"/>
      <c r="B701" s="181"/>
      <c r="C701" s="181"/>
      <c r="D701" s="181"/>
      <c r="E701" s="181"/>
      <c r="F701" s="181"/>
      <c r="G701" s="181"/>
      <c r="H701" s="181"/>
      <c r="I701" s="181"/>
      <c r="J701" s="181"/>
      <c r="K701" s="181"/>
      <c r="L701" s="181"/>
      <c r="M701" s="181"/>
      <c r="N701" s="181"/>
      <c r="O701" s="181"/>
      <c r="P701" s="181"/>
      <c r="Q701" s="181"/>
      <c r="R701" s="181"/>
      <c r="S701" s="181"/>
      <c r="T701" s="181"/>
      <c r="U701" s="181"/>
      <c r="V701" s="181"/>
      <c r="W701" s="181"/>
      <c r="X701" s="181"/>
      <c r="Y701" s="181"/>
      <c r="Z701" s="181"/>
    </row>
    <row r="702" customFormat="false" ht="15.75" hidden="false" customHeight="false" outlineLevel="0" collapsed="false">
      <c r="A702" s="181"/>
      <c r="B702" s="181"/>
      <c r="C702" s="181"/>
      <c r="D702" s="181"/>
      <c r="E702" s="181"/>
      <c r="F702" s="181"/>
      <c r="G702" s="181"/>
      <c r="H702" s="181"/>
      <c r="I702" s="181"/>
      <c r="J702" s="181"/>
      <c r="K702" s="181"/>
      <c r="L702" s="181"/>
      <c r="M702" s="181"/>
      <c r="N702" s="181"/>
      <c r="O702" s="181"/>
      <c r="P702" s="181"/>
      <c r="Q702" s="181"/>
      <c r="R702" s="181"/>
      <c r="S702" s="181"/>
      <c r="T702" s="181"/>
      <c r="U702" s="181"/>
      <c r="V702" s="181"/>
      <c r="W702" s="181"/>
      <c r="X702" s="181"/>
      <c r="Y702" s="181"/>
      <c r="Z702" s="181"/>
    </row>
    <row r="703" customFormat="false" ht="15.75" hidden="false" customHeight="false" outlineLevel="0" collapsed="false">
      <c r="A703" s="181"/>
      <c r="B703" s="181"/>
      <c r="C703" s="181"/>
      <c r="D703" s="181"/>
      <c r="E703" s="181"/>
      <c r="F703" s="181"/>
      <c r="G703" s="181"/>
      <c r="H703" s="181"/>
      <c r="I703" s="181"/>
      <c r="J703" s="181"/>
      <c r="K703" s="181"/>
      <c r="L703" s="181"/>
      <c r="M703" s="181"/>
      <c r="N703" s="181"/>
      <c r="O703" s="181"/>
      <c r="P703" s="181"/>
      <c r="Q703" s="181"/>
      <c r="R703" s="181"/>
      <c r="S703" s="181"/>
      <c r="T703" s="181"/>
      <c r="U703" s="181"/>
      <c r="V703" s="181"/>
      <c r="W703" s="181"/>
      <c r="X703" s="181"/>
      <c r="Y703" s="181"/>
      <c r="Z703" s="181"/>
    </row>
    <row r="704" customFormat="false" ht="15.75" hidden="false" customHeight="false" outlineLevel="0" collapsed="false">
      <c r="A704" s="181"/>
      <c r="B704" s="181"/>
      <c r="C704" s="181"/>
      <c r="D704" s="181"/>
      <c r="E704" s="181"/>
      <c r="F704" s="181"/>
      <c r="G704" s="181"/>
      <c r="H704" s="181"/>
      <c r="I704" s="181"/>
      <c r="J704" s="181"/>
      <c r="K704" s="181"/>
      <c r="L704" s="181"/>
      <c r="M704" s="181"/>
      <c r="N704" s="181"/>
      <c r="O704" s="181"/>
      <c r="P704" s="181"/>
      <c r="Q704" s="181"/>
      <c r="R704" s="181"/>
      <c r="S704" s="181"/>
      <c r="T704" s="181"/>
      <c r="U704" s="181"/>
      <c r="V704" s="181"/>
      <c r="W704" s="181"/>
      <c r="X704" s="181"/>
      <c r="Y704" s="181"/>
      <c r="Z704" s="181"/>
    </row>
    <row r="705" customFormat="false" ht="15.75" hidden="false" customHeight="false" outlineLevel="0" collapsed="false">
      <c r="A705" s="181"/>
      <c r="B705" s="181"/>
      <c r="C705" s="181"/>
      <c r="D705" s="181"/>
      <c r="E705" s="181"/>
      <c r="F705" s="181"/>
      <c r="G705" s="181"/>
      <c r="H705" s="181"/>
      <c r="I705" s="181"/>
      <c r="J705" s="181"/>
      <c r="K705" s="181"/>
      <c r="L705" s="181"/>
      <c r="M705" s="181"/>
      <c r="N705" s="181"/>
      <c r="O705" s="181"/>
      <c r="P705" s="181"/>
      <c r="Q705" s="181"/>
      <c r="R705" s="181"/>
      <c r="S705" s="181"/>
      <c r="T705" s="181"/>
      <c r="U705" s="181"/>
      <c r="V705" s="181"/>
      <c r="W705" s="181"/>
      <c r="X705" s="181"/>
      <c r="Y705" s="181"/>
      <c r="Z705" s="181"/>
    </row>
    <row r="706" customFormat="false" ht="15.75" hidden="false" customHeight="false" outlineLevel="0" collapsed="false">
      <c r="A706" s="181"/>
      <c r="B706" s="181"/>
      <c r="C706" s="181"/>
      <c r="D706" s="181"/>
      <c r="E706" s="181"/>
      <c r="F706" s="181"/>
      <c r="G706" s="181"/>
      <c r="H706" s="181"/>
      <c r="I706" s="181"/>
      <c r="J706" s="181"/>
      <c r="K706" s="181"/>
      <c r="L706" s="181"/>
      <c r="M706" s="181"/>
      <c r="N706" s="181"/>
      <c r="O706" s="181"/>
      <c r="P706" s="181"/>
      <c r="Q706" s="181"/>
      <c r="R706" s="181"/>
      <c r="S706" s="181"/>
      <c r="T706" s="181"/>
      <c r="U706" s="181"/>
      <c r="V706" s="181"/>
      <c r="W706" s="181"/>
      <c r="X706" s="181"/>
      <c r="Y706" s="181"/>
      <c r="Z706" s="181"/>
    </row>
    <row r="707" customFormat="false" ht="15.75" hidden="false" customHeight="false" outlineLevel="0" collapsed="false">
      <c r="A707" s="181"/>
      <c r="B707" s="181"/>
      <c r="C707" s="181"/>
      <c r="D707" s="181"/>
      <c r="E707" s="181"/>
      <c r="F707" s="181"/>
      <c r="G707" s="181"/>
      <c r="H707" s="181"/>
      <c r="I707" s="181"/>
      <c r="J707" s="181"/>
      <c r="K707" s="181"/>
      <c r="L707" s="181"/>
      <c r="M707" s="181"/>
      <c r="N707" s="181"/>
      <c r="O707" s="181"/>
      <c r="P707" s="181"/>
      <c r="Q707" s="181"/>
      <c r="R707" s="181"/>
      <c r="S707" s="181"/>
      <c r="T707" s="181"/>
      <c r="U707" s="181"/>
      <c r="V707" s="181"/>
      <c r="W707" s="181"/>
      <c r="X707" s="181"/>
      <c r="Y707" s="181"/>
      <c r="Z707" s="181"/>
    </row>
    <row r="708" customFormat="false" ht="15.75" hidden="false" customHeight="false" outlineLevel="0" collapsed="false">
      <c r="A708" s="181"/>
      <c r="B708" s="181"/>
      <c r="C708" s="181"/>
      <c r="D708" s="181"/>
      <c r="E708" s="181"/>
      <c r="F708" s="181"/>
      <c r="G708" s="181"/>
      <c r="H708" s="181"/>
      <c r="I708" s="181"/>
      <c r="J708" s="181"/>
      <c r="K708" s="181"/>
      <c r="L708" s="181"/>
      <c r="M708" s="181"/>
      <c r="N708" s="181"/>
      <c r="O708" s="181"/>
      <c r="P708" s="181"/>
      <c r="Q708" s="181"/>
      <c r="R708" s="181"/>
      <c r="S708" s="181"/>
      <c r="T708" s="181"/>
      <c r="U708" s="181"/>
      <c r="V708" s="181"/>
      <c r="W708" s="181"/>
      <c r="X708" s="181"/>
      <c r="Y708" s="181"/>
      <c r="Z708" s="181"/>
    </row>
    <row r="709" customFormat="false" ht="15.75" hidden="false" customHeight="false" outlineLevel="0" collapsed="false">
      <c r="A709" s="181"/>
      <c r="B709" s="181"/>
      <c r="C709" s="181"/>
      <c r="D709" s="181"/>
      <c r="E709" s="181"/>
      <c r="F709" s="181"/>
      <c r="G709" s="181"/>
      <c r="H709" s="181"/>
      <c r="I709" s="181"/>
      <c r="J709" s="181"/>
      <c r="K709" s="181"/>
      <c r="L709" s="181"/>
      <c r="M709" s="181"/>
      <c r="N709" s="181"/>
      <c r="O709" s="181"/>
      <c r="P709" s="181"/>
      <c r="Q709" s="181"/>
      <c r="R709" s="181"/>
      <c r="S709" s="181"/>
      <c r="T709" s="181"/>
      <c r="U709" s="181"/>
      <c r="V709" s="181"/>
      <c r="W709" s="181"/>
      <c r="X709" s="181"/>
      <c r="Y709" s="181"/>
      <c r="Z709" s="181"/>
    </row>
    <row r="710" customFormat="false" ht="15.75" hidden="false" customHeight="false" outlineLevel="0" collapsed="false">
      <c r="A710" s="181"/>
      <c r="B710" s="181"/>
      <c r="C710" s="181"/>
      <c r="D710" s="181"/>
      <c r="E710" s="181"/>
      <c r="F710" s="181"/>
      <c r="G710" s="181"/>
      <c r="H710" s="181"/>
      <c r="I710" s="181"/>
      <c r="J710" s="181"/>
      <c r="K710" s="181"/>
      <c r="L710" s="181"/>
      <c r="M710" s="181"/>
      <c r="N710" s="181"/>
      <c r="O710" s="181"/>
      <c r="P710" s="181"/>
      <c r="Q710" s="181"/>
      <c r="R710" s="181"/>
      <c r="S710" s="181"/>
      <c r="T710" s="181"/>
      <c r="U710" s="181"/>
      <c r="V710" s="181"/>
      <c r="W710" s="181"/>
      <c r="X710" s="181"/>
      <c r="Y710" s="181"/>
      <c r="Z710" s="181"/>
    </row>
    <row r="711" customFormat="false" ht="15.75" hidden="false" customHeight="false" outlineLevel="0" collapsed="false">
      <c r="A711" s="181"/>
      <c r="B711" s="181"/>
      <c r="C711" s="181"/>
      <c r="D711" s="181"/>
      <c r="E711" s="181"/>
      <c r="F711" s="181"/>
      <c r="G711" s="181"/>
      <c r="H711" s="181"/>
      <c r="I711" s="181"/>
      <c r="J711" s="181"/>
      <c r="K711" s="181"/>
      <c r="L711" s="181"/>
      <c r="M711" s="181"/>
      <c r="N711" s="181"/>
      <c r="O711" s="181"/>
      <c r="P711" s="181"/>
      <c r="Q711" s="181"/>
      <c r="R711" s="181"/>
      <c r="S711" s="181"/>
      <c r="T711" s="181"/>
      <c r="U711" s="181"/>
      <c r="V711" s="181"/>
      <c r="W711" s="181"/>
      <c r="X711" s="181"/>
      <c r="Y711" s="181"/>
      <c r="Z711" s="181"/>
    </row>
    <row r="712" customFormat="false" ht="15.75" hidden="false" customHeight="false" outlineLevel="0" collapsed="false">
      <c r="A712" s="181"/>
      <c r="B712" s="181"/>
      <c r="C712" s="181"/>
      <c r="D712" s="181"/>
      <c r="E712" s="181"/>
      <c r="F712" s="181"/>
      <c r="G712" s="181"/>
      <c r="H712" s="181"/>
      <c r="I712" s="181"/>
      <c r="J712" s="181"/>
      <c r="K712" s="181"/>
      <c r="L712" s="181"/>
      <c r="M712" s="181"/>
      <c r="N712" s="181"/>
      <c r="O712" s="181"/>
      <c r="P712" s="181"/>
      <c r="Q712" s="181"/>
      <c r="R712" s="181"/>
      <c r="S712" s="181"/>
      <c r="T712" s="181"/>
      <c r="U712" s="181"/>
      <c r="V712" s="181"/>
      <c r="W712" s="181"/>
      <c r="X712" s="181"/>
      <c r="Y712" s="181"/>
      <c r="Z712" s="181"/>
    </row>
    <row r="713" customFormat="false" ht="15.75" hidden="false" customHeight="false" outlineLevel="0" collapsed="false">
      <c r="A713" s="181"/>
      <c r="B713" s="181"/>
      <c r="C713" s="181"/>
      <c r="D713" s="181"/>
      <c r="E713" s="181"/>
      <c r="F713" s="181"/>
      <c r="G713" s="181"/>
      <c r="H713" s="181"/>
      <c r="I713" s="181"/>
      <c r="J713" s="181"/>
      <c r="K713" s="181"/>
      <c r="L713" s="181"/>
      <c r="M713" s="181"/>
      <c r="N713" s="181"/>
      <c r="O713" s="181"/>
      <c r="P713" s="181"/>
      <c r="Q713" s="181"/>
      <c r="R713" s="181"/>
      <c r="S713" s="181"/>
      <c r="T713" s="181"/>
      <c r="U713" s="181"/>
      <c r="V713" s="181"/>
      <c r="W713" s="181"/>
      <c r="X713" s="181"/>
      <c r="Y713" s="181"/>
      <c r="Z713" s="181"/>
    </row>
    <row r="714" customFormat="false" ht="15.75" hidden="false" customHeight="false" outlineLevel="0" collapsed="false">
      <c r="A714" s="181"/>
      <c r="B714" s="181"/>
      <c r="C714" s="181"/>
      <c r="D714" s="181"/>
      <c r="E714" s="181"/>
      <c r="F714" s="181"/>
      <c r="G714" s="181"/>
      <c r="H714" s="181"/>
      <c r="I714" s="181"/>
      <c r="J714" s="181"/>
      <c r="K714" s="181"/>
      <c r="L714" s="181"/>
      <c r="M714" s="181"/>
      <c r="N714" s="181"/>
      <c r="O714" s="181"/>
      <c r="P714" s="181"/>
      <c r="Q714" s="181"/>
      <c r="R714" s="181"/>
      <c r="S714" s="181"/>
      <c r="T714" s="181"/>
      <c r="U714" s="181"/>
      <c r="V714" s="181"/>
      <c r="W714" s="181"/>
      <c r="X714" s="181"/>
      <c r="Y714" s="181"/>
      <c r="Z714" s="181"/>
    </row>
    <row r="715" customFormat="false" ht="15.75" hidden="false" customHeight="false" outlineLevel="0" collapsed="false">
      <c r="A715" s="181"/>
      <c r="B715" s="181"/>
      <c r="C715" s="181"/>
      <c r="D715" s="181"/>
      <c r="E715" s="181"/>
      <c r="F715" s="181"/>
      <c r="G715" s="181"/>
      <c r="H715" s="181"/>
      <c r="I715" s="181"/>
      <c r="J715" s="181"/>
      <c r="K715" s="181"/>
      <c r="L715" s="181"/>
      <c r="M715" s="181"/>
      <c r="N715" s="181"/>
      <c r="O715" s="181"/>
      <c r="P715" s="181"/>
      <c r="Q715" s="181"/>
      <c r="R715" s="181"/>
      <c r="S715" s="181"/>
      <c r="T715" s="181"/>
      <c r="U715" s="181"/>
      <c r="V715" s="181"/>
      <c r="W715" s="181"/>
      <c r="X715" s="181"/>
      <c r="Y715" s="181"/>
      <c r="Z715" s="181"/>
    </row>
    <row r="716" customFormat="false" ht="15.75" hidden="false" customHeight="false" outlineLevel="0" collapsed="false">
      <c r="A716" s="181"/>
      <c r="B716" s="181"/>
      <c r="C716" s="181"/>
      <c r="D716" s="181"/>
      <c r="E716" s="181"/>
      <c r="F716" s="181"/>
      <c r="G716" s="181"/>
      <c r="H716" s="181"/>
      <c r="I716" s="181"/>
      <c r="J716" s="181"/>
      <c r="K716" s="181"/>
      <c r="L716" s="181"/>
      <c r="M716" s="181"/>
      <c r="N716" s="181"/>
      <c r="O716" s="181"/>
      <c r="P716" s="181"/>
      <c r="Q716" s="181"/>
      <c r="R716" s="181"/>
      <c r="S716" s="181"/>
      <c r="T716" s="181"/>
      <c r="U716" s="181"/>
      <c r="V716" s="181"/>
      <c r="W716" s="181"/>
      <c r="X716" s="181"/>
      <c r="Y716" s="181"/>
      <c r="Z716" s="181"/>
    </row>
    <row r="717" customFormat="false" ht="15.75" hidden="false" customHeight="false" outlineLevel="0" collapsed="false">
      <c r="A717" s="181"/>
      <c r="B717" s="181"/>
      <c r="C717" s="181"/>
      <c r="D717" s="181"/>
      <c r="E717" s="181"/>
      <c r="F717" s="181"/>
      <c r="G717" s="181"/>
      <c r="H717" s="181"/>
      <c r="I717" s="181"/>
      <c r="J717" s="181"/>
      <c r="K717" s="181"/>
      <c r="L717" s="181"/>
      <c r="M717" s="181"/>
      <c r="N717" s="181"/>
      <c r="O717" s="181"/>
      <c r="P717" s="181"/>
      <c r="Q717" s="181"/>
      <c r="R717" s="181"/>
      <c r="S717" s="181"/>
      <c r="T717" s="181"/>
      <c r="U717" s="181"/>
      <c r="V717" s="181"/>
      <c r="W717" s="181"/>
      <c r="X717" s="181"/>
      <c r="Y717" s="181"/>
      <c r="Z717" s="181"/>
    </row>
    <row r="718" customFormat="false" ht="15.75" hidden="false" customHeight="false" outlineLevel="0" collapsed="false">
      <c r="A718" s="181"/>
      <c r="B718" s="181"/>
      <c r="C718" s="181"/>
      <c r="D718" s="181"/>
      <c r="E718" s="181"/>
      <c r="F718" s="181"/>
      <c r="G718" s="181"/>
      <c r="H718" s="181"/>
      <c r="I718" s="181"/>
      <c r="J718" s="181"/>
      <c r="K718" s="181"/>
      <c r="L718" s="181"/>
      <c r="M718" s="181"/>
      <c r="N718" s="181"/>
      <c r="O718" s="181"/>
      <c r="P718" s="181"/>
      <c r="Q718" s="181"/>
      <c r="R718" s="181"/>
      <c r="S718" s="181"/>
      <c r="T718" s="181"/>
      <c r="U718" s="181"/>
      <c r="V718" s="181"/>
      <c r="W718" s="181"/>
      <c r="X718" s="181"/>
      <c r="Y718" s="181"/>
      <c r="Z718" s="181"/>
    </row>
    <row r="719" customFormat="false" ht="15.75" hidden="false" customHeight="false" outlineLevel="0" collapsed="false">
      <c r="A719" s="181"/>
      <c r="B719" s="181"/>
      <c r="C719" s="181"/>
      <c r="D719" s="181"/>
      <c r="E719" s="181"/>
      <c r="F719" s="181"/>
      <c r="G719" s="181"/>
      <c r="H719" s="181"/>
      <c r="I719" s="181"/>
      <c r="J719" s="181"/>
      <c r="K719" s="181"/>
      <c r="L719" s="181"/>
      <c r="M719" s="181"/>
      <c r="N719" s="181"/>
      <c r="O719" s="181"/>
      <c r="P719" s="181"/>
      <c r="Q719" s="181"/>
      <c r="R719" s="181"/>
      <c r="S719" s="181"/>
      <c r="T719" s="181"/>
      <c r="U719" s="181"/>
      <c r="V719" s="181"/>
      <c r="W719" s="181"/>
      <c r="X719" s="181"/>
      <c r="Y719" s="181"/>
      <c r="Z719" s="181"/>
    </row>
    <row r="720" customFormat="false" ht="15.75" hidden="false" customHeight="false" outlineLevel="0" collapsed="false">
      <c r="A720" s="181"/>
      <c r="B720" s="181"/>
      <c r="C720" s="181"/>
      <c r="D720" s="181"/>
      <c r="E720" s="181"/>
      <c r="F720" s="181"/>
      <c r="G720" s="181"/>
      <c r="H720" s="181"/>
      <c r="I720" s="181"/>
      <c r="J720" s="181"/>
      <c r="K720" s="181"/>
      <c r="L720" s="181"/>
      <c r="M720" s="181"/>
      <c r="N720" s="181"/>
      <c r="O720" s="181"/>
      <c r="P720" s="181"/>
      <c r="Q720" s="181"/>
      <c r="R720" s="181"/>
      <c r="S720" s="181"/>
      <c r="T720" s="181"/>
      <c r="U720" s="181"/>
      <c r="V720" s="181"/>
      <c r="W720" s="181"/>
      <c r="X720" s="181"/>
      <c r="Y720" s="181"/>
      <c r="Z720" s="181"/>
    </row>
    <row r="721" customFormat="false" ht="15.75" hidden="false" customHeight="false" outlineLevel="0" collapsed="false">
      <c r="A721" s="181"/>
      <c r="B721" s="181"/>
      <c r="C721" s="181"/>
      <c r="D721" s="181"/>
      <c r="E721" s="181"/>
      <c r="F721" s="181"/>
      <c r="G721" s="181"/>
      <c r="H721" s="181"/>
      <c r="I721" s="181"/>
      <c r="J721" s="181"/>
      <c r="K721" s="181"/>
      <c r="L721" s="181"/>
      <c r="M721" s="181"/>
      <c r="N721" s="181"/>
      <c r="O721" s="181"/>
      <c r="P721" s="181"/>
      <c r="Q721" s="181"/>
      <c r="R721" s="181"/>
      <c r="S721" s="181"/>
      <c r="T721" s="181"/>
      <c r="U721" s="181"/>
      <c r="V721" s="181"/>
      <c r="W721" s="181"/>
      <c r="X721" s="181"/>
      <c r="Y721" s="181"/>
      <c r="Z721" s="181"/>
    </row>
    <row r="722" customFormat="false" ht="15.75" hidden="false" customHeight="false" outlineLevel="0" collapsed="false">
      <c r="A722" s="181"/>
      <c r="B722" s="181"/>
      <c r="C722" s="181"/>
      <c r="D722" s="181"/>
      <c r="E722" s="181"/>
      <c r="F722" s="181"/>
      <c r="G722" s="181"/>
      <c r="H722" s="181"/>
      <c r="I722" s="181"/>
      <c r="J722" s="181"/>
      <c r="K722" s="181"/>
      <c r="L722" s="181"/>
      <c r="M722" s="181"/>
      <c r="N722" s="181"/>
      <c r="O722" s="181"/>
      <c r="P722" s="181"/>
      <c r="Q722" s="181"/>
      <c r="R722" s="181"/>
      <c r="S722" s="181"/>
      <c r="T722" s="181"/>
      <c r="U722" s="181"/>
      <c r="V722" s="181"/>
      <c r="W722" s="181"/>
      <c r="X722" s="181"/>
      <c r="Y722" s="181"/>
      <c r="Z722" s="181"/>
    </row>
    <row r="723" customFormat="false" ht="15.75" hidden="false" customHeight="false" outlineLevel="0" collapsed="false">
      <c r="A723" s="181"/>
      <c r="B723" s="181"/>
      <c r="C723" s="181"/>
      <c r="D723" s="181"/>
      <c r="E723" s="181"/>
      <c r="F723" s="181"/>
      <c r="G723" s="181"/>
      <c r="H723" s="181"/>
      <c r="I723" s="181"/>
      <c r="J723" s="181"/>
      <c r="K723" s="181"/>
      <c r="L723" s="181"/>
      <c r="M723" s="181"/>
      <c r="N723" s="181"/>
      <c r="O723" s="181"/>
      <c r="P723" s="181"/>
      <c r="Q723" s="181"/>
      <c r="R723" s="181"/>
      <c r="S723" s="181"/>
      <c r="T723" s="181"/>
      <c r="U723" s="181"/>
      <c r="V723" s="181"/>
      <c r="W723" s="181"/>
      <c r="X723" s="181"/>
      <c r="Y723" s="181"/>
      <c r="Z723" s="181"/>
    </row>
    <row r="724" customFormat="false" ht="15.75" hidden="false" customHeight="false" outlineLevel="0" collapsed="false">
      <c r="A724" s="181"/>
      <c r="B724" s="181"/>
      <c r="C724" s="181"/>
      <c r="D724" s="181"/>
      <c r="E724" s="181"/>
      <c r="F724" s="181"/>
      <c r="G724" s="181"/>
      <c r="H724" s="181"/>
      <c r="I724" s="181"/>
      <c r="J724" s="181"/>
      <c r="K724" s="181"/>
      <c r="L724" s="181"/>
      <c r="M724" s="181"/>
      <c r="N724" s="181"/>
      <c r="O724" s="181"/>
      <c r="P724" s="181"/>
      <c r="Q724" s="181"/>
      <c r="R724" s="181"/>
      <c r="S724" s="181"/>
      <c r="T724" s="181"/>
      <c r="U724" s="181"/>
      <c r="V724" s="181"/>
      <c r="W724" s="181"/>
      <c r="X724" s="181"/>
      <c r="Y724" s="181"/>
      <c r="Z724" s="181"/>
    </row>
    <row r="725" customFormat="false" ht="15.75" hidden="false" customHeight="false" outlineLevel="0" collapsed="false">
      <c r="A725" s="181"/>
      <c r="B725" s="181"/>
      <c r="C725" s="181"/>
      <c r="D725" s="181"/>
      <c r="E725" s="181"/>
      <c r="F725" s="181"/>
      <c r="G725" s="181"/>
      <c r="H725" s="181"/>
      <c r="I725" s="181"/>
      <c r="J725" s="181"/>
      <c r="K725" s="181"/>
      <c r="L725" s="181"/>
      <c r="M725" s="181"/>
      <c r="N725" s="181"/>
      <c r="O725" s="181"/>
      <c r="P725" s="181"/>
      <c r="Q725" s="181"/>
      <c r="R725" s="181"/>
      <c r="S725" s="181"/>
      <c r="T725" s="181"/>
      <c r="U725" s="181"/>
      <c r="V725" s="181"/>
      <c r="W725" s="181"/>
      <c r="X725" s="181"/>
      <c r="Y725" s="181"/>
      <c r="Z725" s="181"/>
    </row>
    <row r="726" customFormat="false" ht="15.75" hidden="false" customHeight="false" outlineLevel="0" collapsed="false">
      <c r="A726" s="181"/>
      <c r="B726" s="181"/>
      <c r="C726" s="181"/>
      <c r="D726" s="181"/>
      <c r="E726" s="181"/>
      <c r="F726" s="181"/>
      <c r="G726" s="181"/>
      <c r="H726" s="181"/>
      <c r="I726" s="181"/>
      <c r="J726" s="181"/>
      <c r="K726" s="181"/>
      <c r="L726" s="181"/>
      <c r="M726" s="181"/>
      <c r="N726" s="181"/>
      <c r="O726" s="181"/>
      <c r="P726" s="181"/>
      <c r="Q726" s="181"/>
      <c r="R726" s="181"/>
      <c r="S726" s="181"/>
      <c r="T726" s="181"/>
      <c r="U726" s="181"/>
      <c r="V726" s="181"/>
      <c r="W726" s="181"/>
      <c r="X726" s="181"/>
      <c r="Y726" s="181"/>
      <c r="Z726" s="181"/>
    </row>
    <row r="727" customFormat="false" ht="15.75" hidden="false" customHeight="false" outlineLevel="0" collapsed="false">
      <c r="A727" s="181"/>
      <c r="B727" s="181"/>
      <c r="C727" s="181"/>
      <c r="D727" s="181"/>
      <c r="E727" s="181"/>
      <c r="F727" s="181"/>
      <c r="G727" s="181"/>
      <c r="H727" s="181"/>
      <c r="I727" s="181"/>
      <c r="J727" s="181"/>
      <c r="K727" s="181"/>
      <c r="L727" s="181"/>
      <c r="M727" s="181"/>
      <c r="N727" s="181"/>
      <c r="O727" s="181"/>
      <c r="P727" s="181"/>
      <c r="Q727" s="181"/>
      <c r="R727" s="181"/>
      <c r="S727" s="181"/>
      <c r="T727" s="181"/>
      <c r="U727" s="181"/>
      <c r="V727" s="181"/>
      <c r="W727" s="181"/>
      <c r="X727" s="181"/>
      <c r="Y727" s="181"/>
      <c r="Z727" s="181"/>
    </row>
    <row r="728" customFormat="false" ht="15.75" hidden="false" customHeight="false" outlineLevel="0" collapsed="false">
      <c r="A728" s="181"/>
      <c r="B728" s="181"/>
      <c r="C728" s="181"/>
      <c r="D728" s="181"/>
      <c r="E728" s="181"/>
      <c r="F728" s="181"/>
      <c r="G728" s="181"/>
      <c r="H728" s="181"/>
      <c r="I728" s="181"/>
      <c r="J728" s="181"/>
      <c r="K728" s="181"/>
      <c r="L728" s="181"/>
      <c r="M728" s="181"/>
      <c r="N728" s="181"/>
      <c r="O728" s="181"/>
      <c r="P728" s="181"/>
      <c r="Q728" s="181"/>
      <c r="R728" s="181"/>
      <c r="S728" s="181"/>
      <c r="T728" s="181"/>
      <c r="U728" s="181"/>
      <c r="V728" s="181"/>
      <c r="W728" s="181"/>
      <c r="X728" s="181"/>
      <c r="Y728" s="181"/>
      <c r="Z728" s="181"/>
    </row>
    <row r="729" customFormat="false" ht="15.75" hidden="false" customHeight="false" outlineLevel="0" collapsed="false">
      <c r="A729" s="181"/>
      <c r="B729" s="181"/>
      <c r="C729" s="181"/>
      <c r="D729" s="181"/>
      <c r="E729" s="181"/>
      <c r="F729" s="181"/>
      <c r="G729" s="181"/>
      <c r="H729" s="181"/>
      <c r="I729" s="181"/>
      <c r="J729" s="181"/>
      <c r="K729" s="181"/>
      <c r="L729" s="181"/>
      <c r="M729" s="181"/>
      <c r="N729" s="181"/>
      <c r="O729" s="181"/>
      <c r="P729" s="181"/>
      <c r="Q729" s="181"/>
      <c r="R729" s="181"/>
      <c r="S729" s="181"/>
      <c r="T729" s="181"/>
      <c r="U729" s="181"/>
      <c r="V729" s="181"/>
      <c r="W729" s="181"/>
      <c r="X729" s="181"/>
      <c r="Y729" s="181"/>
      <c r="Z729" s="181"/>
    </row>
    <row r="730" customFormat="false" ht="15.75" hidden="false" customHeight="false" outlineLevel="0" collapsed="false">
      <c r="A730" s="181"/>
      <c r="B730" s="181"/>
      <c r="C730" s="181"/>
      <c r="D730" s="181"/>
      <c r="E730" s="181"/>
      <c r="F730" s="181"/>
      <c r="G730" s="181"/>
      <c r="H730" s="181"/>
      <c r="I730" s="181"/>
      <c r="J730" s="181"/>
      <c r="K730" s="181"/>
      <c r="L730" s="181"/>
      <c r="M730" s="181"/>
      <c r="N730" s="181"/>
      <c r="O730" s="181"/>
      <c r="P730" s="181"/>
      <c r="Q730" s="181"/>
      <c r="R730" s="181"/>
      <c r="S730" s="181"/>
      <c r="T730" s="181"/>
      <c r="U730" s="181"/>
      <c r="V730" s="181"/>
      <c r="W730" s="181"/>
      <c r="X730" s="181"/>
      <c r="Y730" s="181"/>
      <c r="Z730" s="181"/>
    </row>
    <row r="731" customFormat="false" ht="15.75" hidden="false" customHeight="false" outlineLevel="0" collapsed="false">
      <c r="A731" s="181"/>
      <c r="B731" s="181"/>
      <c r="C731" s="181"/>
      <c r="D731" s="181"/>
      <c r="E731" s="181"/>
      <c r="F731" s="181"/>
      <c r="G731" s="181"/>
      <c r="H731" s="181"/>
      <c r="I731" s="181"/>
      <c r="J731" s="181"/>
      <c r="K731" s="181"/>
      <c r="L731" s="181"/>
      <c r="M731" s="181"/>
      <c r="N731" s="181"/>
      <c r="O731" s="181"/>
      <c r="P731" s="181"/>
      <c r="Q731" s="181"/>
      <c r="R731" s="181"/>
      <c r="S731" s="181"/>
      <c r="T731" s="181"/>
      <c r="U731" s="181"/>
      <c r="V731" s="181"/>
      <c r="W731" s="181"/>
      <c r="X731" s="181"/>
      <c r="Y731" s="181"/>
      <c r="Z731" s="181"/>
    </row>
    <row r="732" customFormat="false" ht="15.75" hidden="false" customHeight="false" outlineLevel="0" collapsed="false">
      <c r="A732" s="181"/>
      <c r="B732" s="181"/>
      <c r="C732" s="181"/>
      <c r="D732" s="181"/>
      <c r="E732" s="181"/>
      <c r="F732" s="181"/>
      <c r="G732" s="181"/>
      <c r="H732" s="181"/>
      <c r="I732" s="181"/>
      <c r="J732" s="181"/>
      <c r="K732" s="181"/>
      <c r="L732" s="181"/>
      <c r="M732" s="181"/>
      <c r="N732" s="181"/>
      <c r="O732" s="181"/>
      <c r="P732" s="181"/>
      <c r="Q732" s="181"/>
      <c r="R732" s="181"/>
      <c r="S732" s="181"/>
      <c r="T732" s="181"/>
      <c r="U732" s="181"/>
      <c r="V732" s="181"/>
      <c r="W732" s="181"/>
      <c r="X732" s="181"/>
      <c r="Y732" s="181"/>
      <c r="Z732" s="181"/>
    </row>
    <row r="733" customFormat="false" ht="15.75" hidden="false" customHeight="false" outlineLevel="0" collapsed="false">
      <c r="A733" s="181"/>
      <c r="B733" s="181"/>
      <c r="C733" s="181"/>
      <c r="D733" s="181"/>
      <c r="E733" s="181"/>
      <c r="F733" s="181"/>
      <c r="G733" s="181"/>
      <c r="H733" s="181"/>
      <c r="I733" s="181"/>
      <c r="J733" s="181"/>
      <c r="K733" s="181"/>
      <c r="L733" s="181"/>
      <c r="M733" s="181"/>
      <c r="N733" s="181"/>
      <c r="O733" s="181"/>
      <c r="P733" s="181"/>
      <c r="Q733" s="181"/>
      <c r="R733" s="181"/>
      <c r="S733" s="181"/>
      <c r="T733" s="181"/>
      <c r="U733" s="181"/>
      <c r="V733" s="181"/>
      <c r="W733" s="181"/>
      <c r="X733" s="181"/>
      <c r="Y733" s="181"/>
      <c r="Z733" s="181"/>
    </row>
    <row r="734" customFormat="false" ht="15.75" hidden="false" customHeight="false" outlineLevel="0" collapsed="false">
      <c r="A734" s="181"/>
      <c r="B734" s="181"/>
      <c r="C734" s="181"/>
      <c r="D734" s="181"/>
      <c r="E734" s="181"/>
      <c r="F734" s="181"/>
      <c r="G734" s="181"/>
      <c r="H734" s="181"/>
      <c r="I734" s="181"/>
      <c r="J734" s="181"/>
      <c r="K734" s="181"/>
      <c r="L734" s="181"/>
      <c r="M734" s="181"/>
      <c r="N734" s="181"/>
      <c r="O734" s="181"/>
      <c r="P734" s="181"/>
      <c r="Q734" s="181"/>
      <c r="R734" s="181"/>
      <c r="S734" s="181"/>
      <c r="T734" s="181"/>
      <c r="U734" s="181"/>
      <c r="V734" s="181"/>
      <c r="W734" s="181"/>
      <c r="X734" s="181"/>
      <c r="Y734" s="181"/>
      <c r="Z734" s="181"/>
    </row>
    <row r="735" customFormat="false" ht="15.75" hidden="false" customHeight="false" outlineLevel="0" collapsed="false">
      <c r="A735" s="181"/>
      <c r="B735" s="181"/>
      <c r="C735" s="181"/>
      <c r="D735" s="181"/>
      <c r="E735" s="181"/>
      <c r="F735" s="181"/>
      <c r="G735" s="181"/>
      <c r="H735" s="181"/>
      <c r="I735" s="181"/>
      <c r="J735" s="181"/>
      <c r="K735" s="181"/>
      <c r="L735" s="181"/>
      <c r="M735" s="181"/>
      <c r="N735" s="181"/>
      <c r="O735" s="181"/>
      <c r="P735" s="181"/>
      <c r="Q735" s="181"/>
      <c r="R735" s="181"/>
      <c r="S735" s="181"/>
      <c r="T735" s="181"/>
      <c r="U735" s="181"/>
      <c r="V735" s="181"/>
      <c r="W735" s="181"/>
      <c r="X735" s="181"/>
      <c r="Y735" s="181"/>
      <c r="Z735" s="181"/>
    </row>
    <row r="736" customFormat="false" ht="15.75" hidden="false" customHeight="false" outlineLevel="0" collapsed="false">
      <c r="A736" s="181"/>
      <c r="B736" s="181"/>
      <c r="C736" s="181"/>
      <c r="D736" s="181"/>
      <c r="E736" s="181"/>
      <c r="F736" s="181"/>
      <c r="G736" s="181"/>
      <c r="H736" s="181"/>
      <c r="I736" s="181"/>
      <c r="J736" s="181"/>
      <c r="K736" s="181"/>
      <c r="L736" s="181"/>
      <c r="M736" s="181"/>
      <c r="N736" s="181"/>
      <c r="O736" s="181"/>
      <c r="P736" s="181"/>
      <c r="Q736" s="181"/>
      <c r="R736" s="181"/>
      <c r="S736" s="181"/>
      <c r="T736" s="181"/>
      <c r="U736" s="181"/>
      <c r="V736" s="181"/>
      <c r="W736" s="181"/>
      <c r="X736" s="181"/>
      <c r="Y736" s="181"/>
      <c r="Z736" s="181"/>
    </row>
    <row r="737" customFormat="false" ht="15.75" hidden="false" customHeight="false" outlineLevel="0" collapsed="false">
      <c r="A737" s="181"/>
      <c r="B737" s="181"/>
      <c r="C737" s="181"/>
      <c r="D737" s="181"/>
      <c r="E737" s="181"/>
      <c r="F737" s="181"/>
      <c r="G737" s="181"/>
      <c r="H737" s="181"/>
      <c r="I737" s="181"/>
      <c r="J737" s="181"/>
      <c r="K737" s="181"/>
      <c r="L737" s="181"/>
      <c r="M737" s="181"/>
      <c r="N737" s="181"/>
      <c r="O737" s="181"/>
      <c r="P737" s="181"/>
      <c r="Q737" s="181"/>
      <c r="R737" s="181"/>
      <c r="S737" s="181"/>
      <c r="T737" s="181"/>
      <c r="U737" s="181"/>
      <c r="V737" s="181"/>
      <c r="W737" s="181"/>
      <c r="X737" s="181"/>
      <c r="Y737" s="181"/>
      <c r="Z737" s="181"/>
    </row>
    <row r="738" customFormat="false" ht="15.75" hidden="false" customHeight="false" outlineLevel="0" collapsed="false">
      <c r="A738" s="181"/>
      <c r="B738" s="181"/>
      <c r="C738" s="181"/>
      <c r="D738" s="181"/>
      <c r="E738" s="181"/>
      <c r="F738" s="181"/>
      <c r="G738" s="181"/>
      <c r="H738" s="181"/>
      <c r="I738" s="181"/>
      <c r="J738" s="181"/>
      <c r="K738" s="181"/>
      <c r="L738" s="181"/>
      <c r="M738" s="181"/>
      <c r="N738" s="181"/>
      <c r="O738" s="181"/>
      <c r="P738" s="181"/>
      <c r="Q738" s="181"/>
      <c r="R738" s="181"/>
      <c r="S738" s="181"/>
      <c r="T738" s="181"/>
      <c r="U738" s="181"/>
      <c r="V738" s="181"/>
      <c r="W738" s="181"/>
      <c r="X738" s="181"/>
      <c r="Y738" s="181"/>
      <c r="Z738" s="181"/>
    </row>
    <row r="739" customFormat="false" ht="15.75" hidden="false" customHeight="false" outlineLevel="0" collapsed="false">
      <c r="A739" s="181"/>
      <c r="B739" s="181"/>
      <c r="C739" s="181"/>
      <c r="D739" s="181"/>
      <c r="E739" s="181"/>
      <c r="F739" s="181"/>
      <c r="G739" s="181"/>
      <c r="H739" s="181"/>
      <c r="I739" s="181"/>
      <c r="J739" s="181"/>
      <c r="K739" s="181"/>
      <c r="L739" s="181"/>
      <c r="M739" s="181"/>
      <c r="N739" s="181"/>
      <c r="O739" s="181"/>
      <c r="P739" s="181"/>
      <c r="Q739" s="181"/>
      <c r="R739" s="181"/>
      <c r="S739" s="181"/>
      <c r="T739" s="181"/>
      <c r="U739" s="181"/>
      <c r="V739" s="181"/>
      <c r="W739" s="181"/>
      <c r="X739" s="181"/>
      <c r="Y739" s="181"/>
      <c r="Z739" s="181"/>
    </row>
    <row r="740" customFormat="false" ht="15.75" hidden="false" customHeight="false" outlineLevel="0" collapsed="false">
      <c r="A740" s="181"/>
      <c r="B740" s="181"/>
      <c r="C740" s="181"/>
      <c r="D740" s="181"/>
      <c r="E740" s="181"/>
      <c r="F740" s="181"/>
      <c r="G740" s="181"/>
      <c r="H740" s="181"/>
      <c r="I740" s="181"/>
      <c r="J740" s="181"/>
      <c r="K740" s="181"/>
      <c r="L740" s="181"/>
      <c r="M740" s="181"/>
      <c r="N740" s="181"/>
      <c r="O740" s="181"/>
      <c r="P740" s="181"/>
      <c r="Q740" s="181"/>
      <c r="R740" s="181"/>
      <c r="S740" s="181"/>
      <c r="T740" s="181"/>
      <c r="U740" s="181"/>
      <c r="V740" s="181"/>
      <c r="W740" s="181"/>
      <c r="X740" s="181"/>
      <c r="Y740" s="181"/>
      <c r="Z740" s="181"/>
    </row>
    <row r="741" customFormat="false" ht="15.75" hidden="false" customHeight="false" outlineLevel="0" collapsed="false">
      <c r="A741" s="181"/>
      <c r="B741" s="181"/>
      <c r="C741" s="181"/>
      <c r="D741" s="181"/>
      <c r="E741" s="181"/>
      <c r="F741" s="181"/>
      <c r="G741" s="181"/>
      <c r="H741" s="181"/>
      <c r="I741" s="181"/>
      <c r="J741" s="181"/>
      <c r="K741" s="181"/>
      <c r="L741" s="181"/>
      <c r="M741" s="181"/>
      <c r="N741" s="181"/>
      <c r="O741" s="181"/>
      <c r="P741" s="181"/>
      <c r="Q741" s="181"/>
      <c r="R741" s="181"/>
      <c r="S741" s="181"/>
      <c r="T741" s="181"/>
      <c r="U741" s="181"/>
      <c r="V741" s="181"/>
      <c r="W741" s="181"/>
      <c r="X741" s="181"/>
      <c r="Y741" s="181"/>
      <c r="Z741" s="181"/>
    </row>
    <row r="742" customFormat="false" ht="15.75" hidden="false" customHeight="false" outlineLevel="0" collapsed="false">
      <c r="A742" s="181"/>
      <c r="B742" s="181"/>
      <c r="C742" s="181"/>
      <c r="D742" s="181"/>
      <c r="E742" s="181"/>
      <c r="F742" s="181"/>
      <c r="G742" s="181"/>
      <c r="H742" s="181"/>
      <c r="I742" s="181"/>
      <c r="J742" s="181"/>
      <c r="K742" s="181"/>
      <c r="L742" s="181"/>
      <c r="M742" s="181"/>
      <c r="N742" s="181"/>
      <c r="O742" s="181"/>
      <c r="P742" s="181"/>
      <c r="Q742" s="181"/>
      <c r="R742" s="181"/>
      <c r="S742" s="181"/>
      <c r="T742" s="181"/>
      <c r="U742" s="181"/>
      <c r="V742" s="181"/>
      <c r="W742" s="181"/>
      <c r="X742" s="181"/>
      <c r="Y742" s="181"/>
      <c r="Z742" s="181"/>
    </row>
    <row r="743" customFormat="false" ht="15.75" hidden="false" customHeight="false" outlineLevel="0" collapsed="false">
      <c r="A743" s="181"/>
      <c r="B743" s="181"/>
      <c r="C743" s="181"/>
      <c r="D743" s="181"/>
      <c r="E743" s="181"/>
      <c r="F743" s="181"/>
      <c r="G743" s="181"/>
      <c r="H743" s="181"/>
      <c r="I743" s="181"/>
      <c r="J743" s="181"/>
      <c r="K743" s="181"/>
      <c r="L743" s="181"/>
      <c r="M743" s="181"/>
      <c r="N743" s="181"/>
      <c r="O743" s="181"/>
      <c r="P743" s="181"/>
      <c r="Q743" s="181"/>
      <c r="R743" s="181"/>
      <c r="S743" s="181"/>
      <c r="T743" s="181"/>
      <c r="U743" s="181"/>
      <c r="V743" s="181"/>
      <c r="W743" s="181"/>
      <c r="X743" s="181"/>
      <c r="Y743" s="181"/>
      <c r="Z743" s="181"/>
    </row>
    <row r="744" customFormat="false" ht="15.75" hidden="false" customHeight="false" outlineLevel="0" collapsed="false">
      <c r="A744" s="181"/>
      <c r="B744" s="181"/>
      <c r="C744" s="181"/>
      <c r="D744" s="181"/>
      <c r="E744" s="181"/>
      <c r="F744" s="181"/>
      <c r="G744" s="181"/>
      <c r="H744" s="181"/>
      <c r="I744" s="181"/>
      <c r="J744" s="181"/>
      <c r="K744" s="181"/>
      <c r="L744" s="181"/>
      <c r="M744" s="181"/>
      <c r="N744" s="181"/>
      <c r="O744" s="181"/>
      <c r="P744" s="181"/>
      <c r="Q744" s="181"/>
      <c r="R744" s="181"/>
      <c r="S744" s="181"/>
      <c r="T744" s="181"/>
      <c r="U744" s="181"/>
      <c r="V744" s="181"/>
      <c r="W744" s="181"/>
      <c r="X744" s="181"/>
      <c r="Y744" s="181"/>
      <c r="Z744" s="181"/>
    </row>
    <row r="745" customFormat="false" ht="15.75" hidden="false" customHeight="false" outlineLevel="0" collapsed="false">
      <c r="A745" s="181"/>
      <c r="B745" s="181"/>
      <c r="C745" s="181"/>
      <c r="D745" s="181"/>
      <c r="E745" s="181"/>
      <c r="F745" s="181"/>
      <c r="G745" s="181"/>
      <c r="H745" s="181"/>
      <c r="I745" s="181"/>
      <c r="J745" s="181"/>
      <c r="K745" s="181"/>
      <c r="L745" s="181"/>
      <c r="M745" s="181"/>
      <c r="N745" s="181"/>
      <c r="O745" s="181"/>
      <c r="P745" s="181"/>
      <c r="Q745" s="181"/>
      <c r="R745" s="181"/>
      <c r="S745" s="181"/>
      <c r="T745" s="181"/>
      <c r="U745" s="181"/>
      <c r="V745" s="181"/>
      <c r="W745" s="181"/>
      <c r="X745" s="181"/>
      <c r="Y745" s="181"/>
      <c r="Z745" s="181"/>
    </row>
    <row r="746" customFormat="false" ht="15.75" hidden="false" customHeight="false" outlineLevel="0" collapsed="false">
      <c r="A746" s="181"/>
      <c r="B746" s="181"/>
      <c r="C746" s="181"/>
      <c r="D746" s="181"/>
      <c r="E746" s="181"/>
      <c r="F746" s="181"/>
      <c r="G746" s="181"/>
      <c r="H746" s="181"/>
      <c r="I746" s="181"/>
      <c r="J746" s="181"/>
      <c r="K746" s="181"/>
      <c r="L746" s="181"/>
      <c r="M746" s="181"/>
      <c r="N746" s="181"/>
      <c r="O746" s="181"/>
      <c r="P746" s="181"/>
      <c r="Q746" s="181"/>
      <c r="R746" s="181"/>
      <c r="S746" s="181"/>
      <c r="T746" s="181"/>
      <c r="U746" s="181"/>
      <c r="V746" s="181"/>
      <c r="W746" s="181"/>
      <c r="X746" s="181"/>
      <c r="Y746" s="181"/>
      <c r="Z746" s="181"/>
    </row>
    <row r="747" customFormat="false" ht="15.75" hidden="false" customHeight="false" outlineLevel="0" collapsed="false">
      <c r="A747" s="181"/>
      <c r="B747" s="181"/>
      <c r="C747" s="181"/>
      <c r="D747" s="181"/>
      <c r="E747" s="181"/>
      <c r="F747" s="181"/>
      <c r="G747" s="181"/>
      <c r="H747" s="181"/>
      <c r="I747" s="181"/>
      <c r="J747" s="181"/>
      <c r="K747" s="181"/>
      <c r="L747" s="181"/>
      <c r="M747" s="181"/>
      <c r="N747" s="181"/>
      <c r="O747" s="181"/>
      <c r="P747" s="181"/>
      <c r="Q747" s="181"/>
      <c r="R747" s="181"/>
      <c r="S747" s="181"/>
      <c r="T747" s="181"/>
      <c r="U747" s="181"/>
      <c r="V747" s="181"/>
      <c r="W747" s="181"/>
      <c r="X747" s="181"/>
      <c r="Y747" s="181"/>
      <c r="Z747" s="181"/>
    </row>
    <row r="748" customFormat="false" ht="15.75" hidden="false" customHeight="false" outlineLevel="0" collapsed="false">
      <c r="A748" s="181"/>
      <c r="B748" s="181"/>
      <c r="C748" s="181"/>
      <c r="D748" s="181"/>
      <c r="E748" s="181"/>
      <c r="F748" s="181"/>
      <c r="G748" s="181"/>
      <c r="H748" s="181"/>
      <c r="I748" s="181"/>
      <c r="J748" s="181"/>
      <c r="K748" s="181"/>
      <c r="L748" s="181"/>
      <c r="M748" s="181"/>
      <c r="N748" s="181"/>
      <c r="O748" s="181"/>
      <c r="P748" s="181"/>
      <c r="Q748" s="181"/>
      <c r="R748" s="181"/>
      <c r="S748" s="181"/>
      <c r="T748" s="181"/>
      <c r="U748" s="181"/>
      <c r="V748" s="181"/>
      <c r="W748" s="181"/>
      <c r="X748" s="181"/>
      <c r="Y748" s="181"/>
      <c r="Z748" s="181"/>
    </row>
    <row r="749" customFormat="false" ht="15.75" hidden="false" customHeight="false" outlineLevel="0" collapsed="false">
      <c r="A749" s="181"/>
      <c r="B749" s="181"/>
      <c r="C749" s="181"/>
      <c r="D749" s="181"/>
      <c r="E749" s="181"/>
      <c r="F749" s="181"/>
      <c r="G749" s="181"/>
      <c r="H749" s="181"/>
      <c r="I749" s="181"/>
      <c r="J749" s="181"/>
      <c r="K749" s="181"/>
      <c r="L749" s="181"/>
      <c r="M749" s="181"/>
      <c r="N749" s="181"/>
      <c r="O749" s="181"/>
      <c r="P749" s="181"/>
      <c r="Q749" s="181"/>
      <c r="R749" s="181"/>
      <c r="S749" s="181"/>
      <c r="T749" s="181"/>
      <c r="U749" s="181"/>
      <c r="V749" s="181"/>
      <c r="W749" s="181"/>
      <c r="X749" s="181"/>
      <c r="Y749" s="181"/>
      <c r="Z749" s="181"/>
    </row>
    <row r="750" customFormat="false" ht="15.75" hidden="false" customHeight="false" outlineLevel="0" collapsed="false">
      <c r="A750" s="181"/>
      <c r="B750" s="181"/>
      <c r="C750" s="181"/>
      <c r="D750" s="181"/>
      <c r="E750" s="181"/>
      <c r="F750" s="181"/>
      <c r="G750" s="181"/>
      <c r="H750" s="181"/>
      <c r="I750" s="181"/>
      <c r="J750" s="181"/>
      <c r="K750" s="181"/>
      <c r="L750" s="181"/>
      <c r="M750" s="181"/>
      <c r="N750" s="181"/>
      <c r="O750" s="181"/>
      <c r="P750" s="181"/>
      <c r="Q750" s="181"/>
      <c r="R750" s="181"/>
      <c r="S750" s="181"/>
      <c r="T750" s="181"/>
      <c r="U750" s="181"/>
      <c r="V750" s="181"/>
      <c r="W750" s="181"/>
      <c r="X750" s="181"/>
      <c r="Y750" s="181"/>
      <c r="Z750" s="181"/>
    </row>
    <row r="751" customFormat="false" ht="15.75" hidden="false" customHeight="false" outlineLevel="0" collapsed="false">
      <c r="A751" s="181"/>
      <c r="B751" s="181"/>
      <c r="C751" s="181"/>
      <c r="D751" s="181"/>
      <c r="E751" s="181"/>
      <c r="F751" s="181"/>
      <c r="G751" s="181"/>
      <c r="H751" s="181"/>
      <c r="I751" s="181"/>
      <c r="J751" s="181"/>
      <c r="K751" s="181"/>
      <c r="L751" s="181"/>
      <c r="M751" s="181"/>
      <c r="N751" s="181"/>
      <c r="O751" s="181"/>
      <c r="P751" s="181"/>
      <c r="Q751" s="181"/>
      <c r="R751" s="181"/>
      <c r="S751" s="181"/>
      <c r="T751" s="181"/>
      <c r="U751" s="181"/>
      <c r="V751" s="181"/>
      <c r="W751" s="181"/>
      <c r="X751" s="181"/>
      <c r="Y751" s="181"/>
      <c r="Z751" s="181"/>
    </row>
    <row r="752" customFormat="false" ht="15.75" hidden="false" customHeight="false" outlineLevel="0" collapsed="false">
      <c r="A752" s="181"/>
      <c r="B752" s="181"/>
      <c r="C752" s="181"/>
      <c r="D752" s="181"/>
      <c r="E752" s="181"/>
      <c r="F752" s="181"/>
      <c r="G752" s="181"/>
      <c r="H752" s="181"/>
      <c r="I752" s="181"/>
      <c r="J752" s="181"/>
      <c r="K752" s="181"/>
      <c r="L752" s="181"/>
      <c r="M752" s="181"/>
      <c r="N752" s="181"/>
      <c r="O752" s="181"/>
      <c r="P752" s="181"/>
      <c r="Q752" s="181"/>
      <c r="R752" s="181"/>
      <c r="S752" s="181"/>
      <c r="T752" s="181"/>
      <c r="U752" s="181"/>
      <c r="V752" s="181"/>
      <c r="W752" s="181"/>
      <c r="X752" s="181"/>
      <c r="Y752" s="181"/>
      <c r="Z752" s="181"/>
    </row>
    <row r="753" customFormat="false" ht="15.75" hidden="false" customHeight="false" outlineLevel="0" collapsed="false">
      <c r="A753" s="181"/>
      <c r="B753" s="181"/>
      <c r="C753" s="181"/>
      <c r="D753" s="181"/>
      <c r="E753" s="181"/>
      <c r="F753" s="181"/>
      <c r="G753" s="181"/>
      <c r="H753" s="181"/>
      <c r="I753" s="181"/>
      <c r="J753" s="181"/>
      <c r="K753" s="181"/>
      <c r="L753" s="181"/>
      <c r="M753" s="181"/>
      <c r="N753" s="181"/>
      <c r="O753" s="181"/>
      <c r="P753" s="181"/>
      <c r="Q753" s="181"/>
      <c r="R753" s="181"/>
      <c r="S753" s="181"/>
      <c r="T753" s="181"/>
      <c r="U753" s="181"/>
      <c r="V753" s="181"/>
      <c r="W753" s="181"/>
      <c r="X753" s="181"/>
      <c r="Y753" s="181"/>
      <c r="Z753" s="181"/>
    </row>
    <row r="754" customFormat="false" ht="15.75" hidden="false" customHeight="false" outlineLevel="0" collapsed="false">
      <c r="A754" s="181"/>
      <c r="B754" s="181"/>
      <c r="C754" s="181"/>
      <c r="D754" s="181"/>
      <c r="E754" s="181"/>
      <c r="F754" s="181"/>
      <c r="G754" s="181"/>
      <c r="H754" s="181"/>
      <c r="I754" s="181"/>
      <c r="J754" s="181"/>
      <c r="K754" s="181"/>
      <c r="L754" s="181"/>
      <c r="M754" s="181"/>
      <c r="N754" s="181"/>
      <c r="O754" s="181"/>
      <c r="P754" s="181"/>
      <c r="Q754" s="181"/>
      <c r="R754" s="181"/>
      <c r="S754" s="181"/>
      <c r="T754" s="181"/>
      <c r="U754" s="181"/>
      <c r="V754" s="181"/>
      <c r="W754" s="181"/>
      <c r="X754" s="181"/>
      <c r="Y754" s="181"/>
      <c r="Z754" s="181"/>
    </row>
    <row r="755" customFormat="false" ht="15.75" hidden="false" customHeight="false" outlineLevel="0" collapsed="false">
      <c r="A755" s="181"/>
      <c r="B755" s="181"/>
      <c r="C755" s="181"/>
      <c r="D755" s="181"/>
      <c r="E755" s="181"/>
      <c r="F755" s="181"/>
      <c r="G755" s="181"/>
      <c r="H755" s="181"/>
      <c r="I755" s="181"/>
      <c r="J755" s="181"/>
      <c r="K755" s="181"/>
      <c r="L755" s="181"/>
      <c r="M755" s="181"/>
      <c r="N755" s="181"/>
      <c r="O755" s="181"/>
      <c r="P755" s="181"/>
      <c r="Q755" s="181"/>
      <c r="R755" s="181"/>
      <c r="S755" s="181"/>
      <c r="T755" s="181"/>
      <c r="U755" s="181"/>
      <c r="V755" s="181"/>
      <c r="W755" s="181"/>
      <c r="X755" s="181"/>
      <c r="Y755" s="181"/>
      <c r="Z755" s="181"/>
    </row>
    <row r="756" customFormat="false" ht="15.75" hidden="false" customHeight="false" outlineLevel="0" collapsed="false">
      <c r="A756" s="181"/>
      <c r="B756" s="181"/>
      <c r="C756" s="181"/>
      <c r="D756" s="181"/>
      <c r="E756" s="181"/>
      <c r="F756" s="181"/>
      <c r="G756" s="181"/>
      <c r="H756" s="181"/>
      <c r="I756" s="181"/>
      <c r="J756" s="181"/>
      <c r="K756" s="181"/>
      <c r="L756" s="181"/>
      <c r="M756" s="181"/>
      <c r="N756" s="181"/>
      <c r="O756" s="181"/>
      <c r="P756" s="181"/>
      <c r="Q756" s="181"/>
      <c r="R756" s="181"/>
      <c r="S756" s="181"/>
      <c r="T756" s="181"/>
      <c r="U756" s="181"/>
      <c r="V756" s="181"/>
      <c r="W756" s="181"/>
      <c r="X756" s="181"/>
      <c r="Y756" s="181"/>
      <c r="Z756" s="181"/>
    </row>
    <row r="757" customFormat="false" ht="15.75" hidden="false" customHeight="false" outlineLevel="0" collapsed="false">
      <c r="A757" s="181"/>
      <c r="B757" s="181"/>
      <c r="C757" s="181"/>
      <c r="D757" s="181"/>
      <c r="E757" s="181"/>
      <c r="F757" s="181"/>
      <c r="G757" s="181"/>
      <c r="H757" s="181"/>
      <c r="I757" s="181"/>
      <c r="J757" s="181"/>
      <c r="K757" s="181"/>
      <c r="L757" s="181"/>
      <c r="M757" s="181"/>
      <c r="N757" s="181"/>
      <c r="O757" s="181"/>
      <c r="P757" s="181"/>
      <c r="Q757" s="181"/>
      <c r="R757" s="181"/>
      <c r="S757" s="181"/>
      <c r="T757" s="181"/>
      <c r="U757" s="181"/>
      <c r="V757" s="181"/>
      <c r="W757" s="181"/>
      <c r="X757" s="181"/>
      <c r="Y757" s="181"/>
      <c r="Z757" s="181"/>
    </row>
    <row r="758" customFormat="false" ht="15.75" hidden="false" customHeight="false" outlineLevel="0" collapsed="false">
      <c r="A758" s="181"/>
      <c r="B758" s="181"/>
      <c r="C758" s="181"/>
      <c r="D758" s="181"/>
      <c r="E758" s="181"/>
      <c r="F758" s="181"/>
      <c r="G758" s="181"/>
      <c r="H758" s="181"/>
      <c r="I758" s="181"/>
      <c r="J758" s="181"/>
      <c r="K758" s="181"/>
      <c r="L758" s="181"/>
      <c r="M758" s="181"/>
      <c r="N758" s="181"/>
      <c r="O758" s="181"/>
      <c r="P758" s="181"/>
      <c r="Q758" s="181"/>
      <c r="R758" s="181"/>
      <c r="S758" s="181"/>
      <c r="T758" s="181"/>
      <c r="U758" s="181"/>
      <c r="V758" s="181"/>
      <c r="W758" s="181"/>
      <c r="X758" s="181"/>
      <c r="Y758" s="181"/>
      <c r="Z758" s="181"/>
    </row>
    <row r="759" customFormat="false" ht="15.75" hidden="false" customHeight="false" outlineLevel="0" collapsed="false">
      <c r="A759" s="181"/>
      <c r="B759" s="181"/>
      <c r="C759" s="181"/>
      <c r="D759" s="181"/>
      <c r="E759" s="181"/>
      <c r="F759" s="181"/>
      <c r="G759" s="181"/>
      <c r="H759" s="181"/>
      <c r="I759" s="181"/>
      <c r="J759" s="181"/>
      <c r="K759" s="181"/>
      <c r="L759" s="181"/>
      <c r="M759" s="181"/>
      <c r="N759" s="181"/>
      <c r="O759" s="181"/>
      <c r="P759" s="181"/>
      <c r="Q759" s="181"/>
      <c r="R759" s="181"/>
      <c r="S759" s="181"/>
      <c r="T759" s="181"/>
      <c r="U759" s="181"/>
      <c r="V759" s="181"/>
      <c r="W759" s="181"/>
      <c r="X759" s="181"/>
      <c r="Y759" s="181"/>
      <c r="Z759" s="181"/>
    </row>
    <row r="760" customFormat="false" ht="15.75" hidden="false" customHeight="false" outlineLevel="0" collapsed="false">
      <c r="A760" s="181"/>
      <c r="B760" s="181"/>
      <c r="C760" s="181"/>
      <c r="D760" s="181"/>
      <c r="E760" s="181"/>
      <c r="F760" s="181"/>
      <c r="G760" s="181"/>
      <c r="H760" s="181"/>
      <c r="I760" s="181"/>
      <c r="J760" s="181"/>
      <c r="K760" s="181"/>
      <c r="L760" s="181"/>
      <c r="M760" s="181"/>
      <c r="N760" s="181"/>
      <c r="O760" s="181"/>
      <c r="P760" s="181"/>
      <c r="Q760" s="181"/>
      <c r="R760" s="181"/>
      <c r="S760" s="181"/>
      <c r="T760" s="181"/>
      <c r="U760" s="181"/>
      <c r="V760" s="181"/>
      <c r="W760" s="181"/>
      <c r="X760" s="181"/>
      <c r="Y760" s="181"/>
      <c r="Z760" s="181"/>
    </row>
    <row r="761" customFormat="false" ht="15.75" hidden="false" customHeight="false" outlineLevel="0" collapsed="false">
      <c r="A761" s="181"/>
      <c r="B761" s="181"/>
      <c r="C761" s="181"/>
      <c r="D761" s="181"/>
      <c r="E761" s="181"/>
      <c r="F761" s="181"/>
      <c r="G761" s="181"/>
      <c r="H761" s="181"/>
      <c r="I761" s="181"/>
      <c r="J761" s="181"/>
      <c r="K761" s="181"/>
      <c r="L761" s="181"/>
      <c r="M761" s="181"/>
      <c r="N761" s="181"/>
      <c r="O761" s="181"/>
      <c r="P761" s="181"/>
      <c r="Q761" s="181"/>
      <c r="R761" s="181"/>
      <c r="S761" s="181"/>
      <c r="T761" s="181"/>
      <c r="U761" s="181"/>
      <c r="V761" s="181"/>
      <c r="W761" s="181"/>
      <c r="X761" s="181"/>
      <c r="Y761" s="181"/>
      <c r="Z761" s="181"/>
    </row>
    <row r="762" customFormat="false" ht="15.75" hidden="false" customHeight="false" outlineLevel="0" collapsed="false">
      <c r="A762" s="181"/>
      <c r="B762" s="181"/>
      <c r="C762" s="181"/>
      <c r="D762" s="181"/>
      <c r="E762" s="181"/>
      <c r="F762" s="181"/>
      <c r="G762" s="181"/>
      <c r="H762" s="181"/>
      <c r="I762" s="181"/>
      <c r="J762" s="181"/>
      <c r="K762" s="181"/>
      <c r="L762" s="181"/>
      <c r="M762" s="181"/>
      <c r="N762" s="181"/>
      <c r="O762" s="181"/>
      <c r="P762" s="181"/>
      <c r="Q762" s="181"/>
      <c r="R762" s="181"/>
      <c r="S762" s="181"/>
      <c r="T762" s="181"/>
      <c r="U762" s="181"/>
      <c r="V762" s="181"/>
      <c r="W762" s="181"/>
      <c r="X762" s="181"/>
      <c r="Y762" s="181"/>
      <c r="Z762" s="181"/>
    </row>
    <row r="763" customFormat="false" ht="15.75" hidden="false" customHeight="false" outlineLevel="0" collapsed="false">
      <c r="A763" s="181"/>
      <c r="B763" s="181"/>
      <c r="C763" s="181"/>
      <c r="D763" s="181"/>
      <c r="E763" s="181"/>
      <c r="F763" s="181"/>
      <c r="G763" s="181"/>
      <c r="H763" s="181"/>
      <c r="I763" s="181"/>
      <c r="J763" s="181"/>
      <c r="K763" s="181"/>
      <c r="L763" s="181"/>
      <c r="M763" s="181"/>
      <c r="N763" s="181"/>
      <c r="O763" s="181"/>
      <c r="P763" s="181"/>
      <c r="Q763" s="181"/>
      <c r="R763" s="181"/>
      <c r="S763" s="181"/>
      <c r="T763" s="181"/>
      <c r="U763" s="181"/>
      <c r="V763" s="181"/>
      <c r="W763" s="181"/>
      <c r="X763" s="181"/>
      <c r="Y763" s="181"/>
      <c r="Z763" s="181"/>
    </row>
    <row r="764" customFormat="false" ht="15.75" hidden="false" customHeight="false" outlineLevel="0" collapsed="false">
      <c r="A764" s="181"/>
      <c r="B764" s="181"/>
      <c r="C764" s="181"/>
      <c r="D764" s="181"/>
      <c r="E764" s="181"/>
      <c r="F764" s="181"/>
      <c r="G764" s="181"/>
      <c r="H764" s="181"/>
      <c r="I764" s="181"/>
      <c r="J764" s="181"/>
      <c r="K764" s="181"/>
      <c r="L764" s="181"/>
      <c r="M764" s="181"/>
      <c r="N764" s="181"/>
      <c r="O764" s="181"/>
      <c r="P764" s="181"/>
      <c r="Q764" s="181"/>
      <c r="R764" s="181"/>
      <c r="S764" s="181"/>
      <c r="T764" s="181"/>
      <c r="U764" s="181"/>
      <c r="V764" s="181"/>
      <c r="W764" s="181"/>
      <c r="X764" s="181"/>
      <c r="Y764" s="181"/>
      <c r="Z764" s="181"/>
    </row>
    <row r="765" customFormat="false" ht="15.75" hidden="false" customHeight="false" outlineLevel="0" collapsed="false">
      <c r="A765" s="181"/>
      <c r="B765" s="181"/>
      <c r="C765" s="181"/>
      <c r="D765" s="181"/>
      <c r="E765" s="181"/>
      <c r="F765" s="181"/>
      <c r="G765" s="181"/>
      <c r="H765" s="181"/>
      <c r="I765" s="181"/>
      <c r="J765" s="181"/>
      <c r="K765" s="181"/>
      <c r="L765" s="181"/>
      <c r="M765" s="181"/>
      <c r="N765" s="181"/>
      <c r="O765" s="181"/>
      <c r="P765" s="181"/>
      <c r="Q765" s="181"/>
      <c r="R765" s="181"/>
      <c r="S765" s="181"/>
      <c r="T765" s="181"/>
      <c r="U765" s="181"/>
      <c r="V765" s="181"/>
      <c r="W765" s="181"/>
      <c r="X765" s="181"/>
      <c r="Y765" s="181"/>
      <c r="Z765" s="181"/>
    </row>
    <row r="766" customFormat="false" ht="15.75" hidden="false" customHeight="false" outlineLevel="0" collapsed="false">
      <c r="A766" s="181"/>
      <c r="B766" s="181"/>
      <c r="C766" s="181"/>
      <c r="D766" s="181"/>
      <c r="E766" s="181"/>
      <c r="F766" s="181"/>
      <c r="G766" s="181"/>
      <c r="H766" s="181"/>
      <c r="I766" s="181"/>
      <c r="J766" s="181"/>
      <c r="K766" s="181"/>
      <c r="L766" s="181"/>
      <c r="M766" s="181"/>
      <c r="N766" s="181"/>
      <c r="O766" s="181"/>
      <c r="P766" s="181"/>
      <c r="Q766" s="181"/>
      <c r="R766" s="181"/>
      <c r="S766" s="181"/>
      <c r="T766" s="181"/>
      <c r="U766" s="181"/>
      <c r="V766" s="181"/>
      <c r="W766" s="181"/>
      <c r="X766" s="181"/>
      <c r="Y766" s="181"/>
      <c r="Z766" s="181"/>
    </row>
    <row r="767" customFormat="false" ht="15.75" hidden="false" customHeight="false" outlineLevel="0" collapsed="false">
      <c r="A767" s="181"/>
      <c r="B767" s="181"/>
      <c r="C767" s="181"/>
      <c r="D767" s="181"/>
      <c r="E767" s="181"/>
      <c r="F767" s="181"/>
      <c r="G767" s="181"/>
      <c r="H767" s="181"/>
      <c r="I767" s="181"/>
      <c r="J767" s="181"/>
      <c r="K767" s="181"/>
      <c r="L767" s="181"/>
      <c r="M767" s="181"/>
      <c r="N767" s="181"/>
      <c r="O767" s="181"/>
      <c r="P767" s="181"/>
      <c r="Q767" s="181"/>
      <c r="R767" s="181"/>
      <c r="S767" s="181"/>
      <c r="T767" s="181"/>
      <c r="U767" s="181"/>
      <c r="V767" s="181"/>
      <c r="W767" s="181"/>
      <c r="X767" s="181"/>
      <c r="Y767" s="181"/>
      <c r="Z767" s="181"/>
    </row>
    <row r="768" customFormat="false" ht="15.75" hidden="false" customHeight="false" outlineLevel="0" collapsed="false">
      <c r="A768" s="181"/>
      <c r="B768" s="181"/>
      <c r="C768" s="181"/>
      <c r="D768" s="181"/>
      <c r="E768" s="181"/>
      <c r="F768" s="181"/>
      <c r="G768" s="181"/>
      <c r="H768" s="181"/>
      <c r="I768" s="181"/>
      <c r="J768" s="181"/>
      <c r="K768" s="181"/>
      <c r="L768" s="181"/>
      <c r="M768" s="181"/>
      <c r="N768" s="181"/>
      <c r="O768" s="181"/>
      <c r="P768" s="181"/>
      <c r="Q768" s="181"/>
      <c r="R768" s="181"/>
      <c r="S768" s="181"/>
      <c r="T768" s="181"/>
      <c r="U768" s="181"/>
      <c r="V768" s="181"/>
      <c r="W768" s="181"/>
      <c r="X768" s="181"/>
      <c r="Y768" s="181"/>
      <c r="Z768" s="181"/>
    </row>
    <row r="769" customFormat="false" ht="15.75" hidden="false" customHeight="false" outlineLevel="0" collapsed="false">
      <c r="A769" s="181"/>
      <c r="B769" s="181"/>
      <c r="C769" s="181"/>
      <c r="D769" s="181"/>
      <c r="E769" s="181"/>
      <c r="F769" s="181"/>
      <c r="G769" s="181"/>
      <c r="H769" s="181"/>
      <c r="I769" s="181"/>
      <c r="J769" s="181"/>
      <c r="K769" s="181"/>
      <c r="L769" s="181"/>
      <c r="M769" s="181"/>
      <c r="N769" s="181"/>
      <c r="O769" s="181"/>
      <c r="P769" s="181"/>
      <c r="Q769" s="181"/>
      <c r="R769" s="181"/>
      <c r="S769" s="181"/>
      <c r="T769" s="181"/>
      <c r="U769" s="181"/>
      <c r="V769" s="181"/>
      <c r="W769" s="181"/>
      <c r="X769" s="181"/>
      <c r="Y769" s="181"/>
      <c r="Z769" s="181"/>
    </row>
    <row r="770" customFormat="false" ht="15.75" hidden="false" customHeight="false" outlineLevel="0" collapsed="false">
      <c r="A770" s="181"/>
      <c r="B770" s="181"/>
      <c r="C770" s="181"/>
      <c r="D770" s="181"/>
      <c r="E770" s="181"/>
      <c r="F770" s="181"/>
      <c r="G770" s="181"/>
      <c r="H770" s="181"/>
      <c r="I770" s="181"/>
      <c r="J770" s="181"/>
      <c r="K770" s="181"/>
      <c r="L770" s="181"/>
      <c r="M770" s="181"/>
      <c r="N770" s="181"/>
      <c r="O770" s="181"/>
      <c r="P770" s="181"/>
      <c r="Q770" s="181"/>
      <c r="R770" s="181"/>
      <c r="S770" s="181"/>
      <c r="T770" s="181"/>
      <c r="U770" s="181"/>
      <c r="V770" s="181"/>
      <c r="W770" s="181"/>
      <c r="X770" s="181"/>
      <c r="Y770" s="181"/>
      <c r="Z770" s="181"/>
    </row>
    <row r="771" customFormat="false" ht="15.75" hidden="false" customHeight="false" outlineLevel="0" collapsed="false">
      <c r="A771" s="181"/>
      <c r="B771" s="181"/>
      <c r="C771" s="181"/>
      <c r="D771" s="181"/>
      <c r="E771" s="181"/>
      <c r="F771" s="181"/>
      <c r="G771" s="181"/>
      <c r="H771" s="181"/>
      <c r="I771" s="181"/>
      <c r="J771" s="181"/>
      <c r="K771" s="181"/>
      <c r="L771" s="181"/>
      <c r="M771" s="181"/>
      <c r="N771" s="181"/>
      <c r="O771" s="181"/>
      <c r="P771" s="181"/>
      <c r="Q771" s="181"/>
      <c r="R771" s="181"/>
      <c r="S771" s="181"/>
      <c r="T771" s="181"/>
      <c r="U771" s="181"/>
      <c r="V771" s="181"/>
      <c r="W771" s="181"/>
      <c r="X771" s="181"/>
      <c r="Y771" s="181"/>
      <c r="Z771" s="181"/>
    </row>
    <row r="772" customFormat="false" ht="15.75" hidden="false" customHeight="false" outlineLevel="0" collapsed="false">
      <c r="A772" s="181"/>
      <c r="B772" s="181"/>
      <c r="C772" s="181"/>
      <c r="D772" s="181"/>
      <c r="E772" s="181"/>
      <c r="F772" s="181"/>
      <c r="G772" s="181"/>
      <c r="H772" s="181"/>
      <c r="I772" s="181"/>
      <c r="J772" s="181"/>
      <c r="K772" s="181"/>
      <c r="L772" s="181"/>
      <c r="M772" s="181"/>
      <c r="N772" s="181"/>
      <c r="O772" s="181"/>
      <c r="P772" s="181"/>
      <c r="Q772" s="181"/>
      <c r="R772" s="181"/>
      <c r="S772" s="181"/>
      <c r="T772" s="181"/>
      <c r="U772" s="181"/>
      <c r="V772" s="181"/>
      <c r="W772" s="181"/>
      <c r="X772" s="181"/>
      <c r="Y772" s="181"/>
      <c r="Z772" s="181"/>
    </row>
    <row r="773" customFormat="false" ht="15.75" hidden="false" customHeight="false" outlineLevel="0" collapsed="false">
      <c r="A773" s="181"/>
      <c r="B773" s="181"/>
      <c r="C773" s="181"/>
      <c r="D773" s="181"/>
      <c r="E773" s="181"/>
      <c r="F773" s="181"/>
      <c r="G773" s="181"/>
      <c r="H773" s="181"/>
      <c r="I773" s="181"/>
      <c r="J773" s="181"/>
      <c r="K773" s="181"/>
      <c r="L773" s="181"/>
      <c r="M773" s="181"/>
      <c r="N773" s="181"/>
      <c r="O773" s="181"/>
      <c r="P773" s="181"/>
      <c r="Q773" s="181"/>
      <c r="R773" s="181"/>
      <c r="S773" s="181"/>
      <c r="T773" s="181"/>
      <c r="U773" s="181"/>
      <c r="V773" s="181"/>
      <c r="W773" s="181"/>
      <c r="X773" s="181"/>
      <c r="Y773" s="181"/>
      <c r="Z773" s="181"/>
    </row>
    <row r="774" customFormat="false" ht="15.75" hidden="false" customHeight="false" outlineLevel="0" collapsed="false">
      <c r="A774" s="181"/>
      <c r="B774" s="181"/>
      <c r="C774" s="181"/>
      <c r="D774" s="181"/>
      <c r="E774" s="181"/>
      <c r="F774" s="181"/>
      <c r="G774" s="181"/>
      <c r="H774" s="181"/>
      <c r="I774" s="181"/>
      <c r="J774" s="181"/>
      <c r="K774" s="181"/>
      <c r="L774" s="181"/>
      <c r="M774" s="181"/>
      <c r="N774" s="181"/>
      <c r="O774" s="181"/>
      <c r="P774" s="181"/>
      <c r="Q774" s="181"/>
      <c r="R774" s="181"/>
      <c r="S774" s="181"/>
      <c r="T774" s="181"/>
      <c r="U774" s="181"/>
      <c r="V774" s="181"/>
      <c r="W774" s="181"/>
      <c r="X774" s="181"/>
      <c r="Y774" s="181"/>
      <c r="Z774" s="181"/>
    </row>
    <row r="775" customFormat="false" ht="15.75" hidden="false" customHeight="false" outlineLevel="0" collapsed="false">
      <c r="A775" s="181"/>
      <c r="B775" s="181"/>
      <c r="C775" s="181"/>
      <c r="D775" s="181"/>
      <c r="E775" s="181"/>
      <c r="F775" s="181"/>
      <c r="G775" s="181"/>
      <c r="H775" s="181"/>
      <c r="I775" s="181"/>
      <c r="J775" s="181"/>
      <c r="K775" s="181"/>
      <c r="L775" s="181"/>
      <c r="M775" s="181"/>
      <c r="N775" s="181"/>
      <c r="O775" s="181"/>
      <c r="P775" s="181"/>
      <c r="Q775" s="181"/>
      <c r="R775" s="181"/>
      <c r="S775" s="181"/>
      <c r="T775" s="181"/>
      <c r="U775" s="181"/>
      <c r="V775" s="181"/>
      <c r="W775" s="181"/>
      <c r="X775" s="181"/>
      <c r="Y775" s="181"/>
      <c r="Z775" s="181"/>
    </row>
    <row r="776" customFormat="false" ht="15.75" hidden="false" customHeight="false" outlineLevel="0" collapsed="false">
      <c r="A776" s="181"/>
      <c r="B776" s="181"/>
      <c r="C776" s="181"/>
      <c r="D776" s="181"/>
      <c r="E776" s="181"/>
      <c r="F776" s="181"/>
      <c r="G776" s="181"/>
      <c r="H776" s="181"/>
      <c r="I776" s="181"/>
      <c r="J776" s="181"/>
      <c r="K776" s="181"/>
      <c r="L776" s="181"/>
      <c r="M776" s="181"/>
      <c r="N776" s="181"/>
      <c r="O776" s="181"/>
      <c r="P776" s="181"/>
      <c r="Q776" s="181"/>
      <c r="R776" s="181"/>
      <c r="S776" s="181"/>
      <c r="T776" s="181"/>
      <c r="U776" s="181"/>
      <c r="V776" s="181"/>
      <c r="W776" s="181"/>
      <c r="X776" s="181"/>
      <c r="Y776" s="181"/>
      <c r="Z776" s="181"/>
    </row>
    <row r="777" customFormat="false" ht="15.75" hidden="false" customHeight="false" outlineLevel="0" collapsed="false">
      <c r="A777" s="181"/>
      <c r="B777" s="181"/>
      <c r="C777" s="181"/>
      <c r="D777" s="181"/>
      <c r="E777" s="181"/>
      <c r="F777" s="181"/>
      <c r="G777" s="181"/>
      <c r="H777" s="181"/>
      <c r="I777" s="181"/>
      <c r="J777" s="181"/>
      <c r="K777" s="181"/>
      <c r="L777" s="181"/>
      <c r="M777" s="181"/>
      <c r="N777" s="181"/>
      <c r="O777" s="181"/>
      <c r="P777" s="181"/>
      <c r="Q777" s="181"/>
      <c r="R777" s="181"/>
      <c r="S777" s="181"/>
      <c r="T777" s="181"/>
      <c r="U777" s="181"/>
      <c r="V777" s="181"/>
      <c r="W777" s="181"/>
      <c r="X777" s="181"/>
      <c r="Y777" s="181"/>
      <c r="Z777" s="181"/>
    </row>
    <row r="778" customFormat="false" ht="15.75" hidden="false" customHeight="false" outlineLevel="0" collapsed="false">
      <c r="A778" s="181"/>
      <c r="B778" s="181"/>
      <c r="C778" s="181"/>
      <c r="D778" s="181"/>
      <c r="E778" s="181"/>
      <c r="F778" s="181"/>
      <c r="G778" s="181"/>
      <c r="H778" s="181"/>
      <c r="I778" s="181"/>
      <c r="J778" s="181"/>
      <c r="K778" s="181"/>
      <c r="L778" s="181"/>
      <c r="M778" s="181"/>
      <c r="N778" s="181"/>
      <c r="O778" s="181"/>
      <c r="P778" s="181"/>
      <c r="Q778" s="181"/>
      <c r="R778" s="181"/>
      <c r="S778" s="181"/>
      <c r="T778" s="181"/>
      <c r="U778" s="181"/>
      <c r="V778" s="181"/>
      <c r="W778" s="181"/>
      <c r="X778" s="181"/>
      <c r="Y778" s="181"/>
      <c r="Z778" s="181"/>
    </row>
    <row r="779" customFormat="false" ht="15.75" hidden="false" customHeight="false" outlineLevel="0" collapsed="false">
      <c r="A779" s="181"/>
      <c r="B779" s="181"/>
      <c r="C779" s="181"/>
      <c r="D779" s="181"/>
      <c r="E779" s="181"/>
      <c r="F779" s="181"/>
      <c r="G779" s="181"/>
      <c r="H779" s="181"/>
      <c r="I779" s="181"/>
      <c r="J779" s="181"/>
      <c r="K779" s="181"/>
      <c r="L779" s="181"/>
      <c r="M779" s="181"/>
      <c r="N779" s="181"/>
      <c r="O779" s="181"/>
      <c r="P779" s="181"/>
      <c r="Q779" s="181"/>
      <c r="R779" s="181"/>
      <c r="S779" s="181"/>
      <c r="T779" s="181"/>
      <c r="U779" s="181"/>
      <c r="V779" s="181"/>
      <c r="W779" s="181"/>
      <c r="X779" s="181"/>
      <c r="Y779" s="181"/>
      <c r="Z779" s="181"/>
    </row>
    <row r="780" customFormat="false" ht="15.75" hidden="false" customHeight="false" outlineLevel="0" collapsed="false">
      <c r="A780" s="181"/>
      <c r="B780" s="181"/>
      <c r="C780" s="181"/>
      <c r="D780" s="181"/>
      <c r="E780" s="181"/>
      <c r="F780" s="181"/>
      <c r="G780" s="181"/>
      <c r="H780" s="181"/>
      <c r="I780" s="181"/>
      <c r="J780" s="181"/>
      <c r="K780" s="181"/>
      <c r="L780" s="181"/>
      <c r="M780" s="181"/>
      <c r="N780" s="181"/>
      <c r="O780" s="181"/>
      <c r="P780" s="181"/>
      <c r="Q780" s="181"/>
      <c r="R780" s="181"/>
      <c r="S780" s="181"/>
      <c r="T780" s="181"/>
      <c r="U780" s="181"/>
      <c r="V780" s="181"/>
      <c r="W780" s="181"/>
      <c r="X780" s="181"/>
      <c r="Y780" s="181"/>
      <c r="Z780" s="181"/>
    </row>
    <row r="781" customFormat="false" ht="15.75" hidden="false" customHeight="false" outlineLevel="0" collapsed="false">
      <c r="A781" s="181"/>
      <c r="B781" s="181"/>
      <c r="C781" s="181"/>
      <c r="D781" s="181"/>
      <c r="E781" s="181"/>
      <c r="F781" s="181"/>
      <c r="G781" s="181"/>
      <c r="H781" s="181"/>
      <c r="I781" s="181"/>
      <c r="J781" s="181"/>
      <c r="K781" s="181"/>
      <c r="L781" s="181"/>
      <c r="M781" s="181"/>
      <c r="N781" s="181"/>
      <c r="O781" s="181"/>
      <c r="P781" s="181"/>
      <c r="Q781" s="181"/>
      <c r="R781" s="181"/>
      <c r="S781" s="181"/>
      <c r="T781" s="181"/>
      <c r="U781" s="181"/>
      <c r="V781" s="181"/>
      <c r="W781" s="181"/>
      <c r="X781" s="181"/>
      <c r="Y781" s="181"/>
      <c r="Z781" s="181"/>
    </row>
    <row r="782" customFormat="false" ht="15.75" hidden="false" customHeight="false" outlineLevel="0" collapsed="false">
      <c r="A782" s="181"/>
      <c r="B782" s="181"/>
      <c r="C782" s="181"/>
      <c r="D782" s="181"/>
      <c r="E782" s="181"/>
      <c r="F782" s="181"/>
      <c r="G782" s="181"/>
      <c r="H782" s="181"/>
      <c r="I782" s="181"/>
      <c r="J782" s="181"/>
      <c r="K782" s="181"/>
      <c r="L782" s="181"/>
      <c r="M782" s="181"/>
      <c r="N782" s="181"/>
      <c r="O782" s="181"/>
      <c r="P782" s="181"/>
      <c r="Q782" s="181"/>
      <c r="R782" s="181"/>
      <c r="S782" s="181"/>
      <c r="T782" s="181"/>
      <c r="U782" s="181"/>
      <c r="V782" s="181"/>
      <c r="W782" s="181"/>
      <c r="X782" s="181"/>
      <c r="Y782" s="181"/>
      <c r="Z782" s="181"/>
    </row>
    <row r="783" customFormat="false" ht="15.75" hidden="false" customHeight="false" outlineLevel="0" collapsed="false">
      <c r="A783" s="181"/>
      <c r="B783" s="181"/>
      <c r="C783" s="181"/>
      <c r="D783" s="181"/>
      <c r="E783" s="181"/>
      <c r="F783" s="181"/>
      <c r="G783" s="181"/>
      <c r="H783" s="181"/>
      <c r="I783" s="181"/>
      <c r="J783" s="181"/>
      <c r="K783" s="181"/>
      <c r="L783" s="181"/>
      <c r="M783" s="181"/>
      <c r="N783" s="181"/>
      <c r="O783" s="181"/>
      <c r="P783" s="181"/>
      <c r="Q783" s="181"/>
      <c r="R783" s="181"/>
      <c r="S783" s="181"/>
      <c r="T783" s="181"/>
      <c r="U783" s="181"/>
      <c r="V783" s="181"/>
      <c r="W783" s="181"/>
      <c r="X783" s="181"/>
      <c r="Y783" s="181"/>
      <c r="Z783" s="181"/>
    </row>
    <row r="784" customFormat="false" ht="15.75" hidden="false" customHeight="false" outlineLevel="0" collapsed="false">
      <c r="A784" s="181"/>
      <c r="B784" s="181"/>
      <c r="C784" s="181"/>
      <c r="D784" s="181"/>
      <c r="E784" s="181"/>
      <c r="F784" s="181"/>
      <c r="G784" s="181"/>
      <c r="H784" s="181"/>
      <c r="I784" s="181"/>
      <c r="J784" s="181"/>
      <c r="K784" s="181"/>
      <c r="L784" s="181"/>
      <c r="M784" s="181"/>
      <c r="N784" s="181"/>
      <c r="O784" s="181"/>
      <c r="P784" s="181"/>
      <c r="Q784" s="181"/>
      <c r="R784" s="181"/>
      <c r="S784" s="181"/>
      <c r="T784" s="181"/>
      <c r="U784" s="181"/>
      <c r="V784" s="181"/>
      <c r="W784" s="181"/>
      <c r="X784" s="181"/>
      <c r="Y784" s="181"/>
      <c r="Z784" s="181"/>
    </row>
    <row r="785" customFormat="false" ht="15.75" hidden="false" customHeight="false" outlineLevel="0" collapsed="false">
      <c r="A785" s="181"/>
      <c r="B785" s="181"/>
      <c r="C785" s="181"/>
      <c r="D785" s="181"/>
      <c r="E785" s="181"/>
      <c r="F785" s="181"/>
      <c r="G785" s="181"/>
      <c r="H785" s="181"/>
      <c r="I785" s="181"/>
      <c r="J785" s="181"/>
      <c r="K785" s="181"/>
      <c r="L785" s="181"/>
      <c r="M785" s="181"/>
      <c r="N785" s="181"/>
      <c r="O785" s="181"/>
      <c r="P785" s="181"/>
      <c r="Q785" s="181"/>
      <c r="R785" s="181"/>
      <c r="S785" s="181"/>
      <c r="T785" s="181"/>
      <c r="U785" s="181"/>
      <c r="V785" s="181"/>
      <c r="W785" s="181"/>
      <c r="X785" s="181"/>
      <c r="Y785" s="181"/>
      <c r="Z785" s="181"/>
    </row>
    <row r="786" customFormat="false" ht="15.75" hidden="false" customHeight="false" outlineLevel="0" collapsed="false">
      <c r="A786" s="181"/>
      <c r="B786" s="181"/>
      <c r="C786" s="181"/>
      <c r="D786" s="181"/>
      <c r="E786" s="181"/>
      <c r="F786" s="181"/>
      <c r="G786" s="181"/>
      <c r="H786" s="181"/>
      <c r="I786" s="181"/>
      <c r="J786" s="181"/>
      <c r="K786" s="181"/>
      <c r="L786" s="181"/>
      <c r="M786" s="181"/>
      <c r="N786" s="181"/>
      <c r="O786" s="181"/>
      <c r="P786" s="181"/>
      <c r="Q786" s="181"/>
      <c r="R786" s="181"/>
      <c r="S786" s="181"/>
      <c r="T786" s="181"/>
      <c r="U786" s="181"/>
      <c r="V786" s="181"/>
      <c r="W786" s="181"/>
      <c r="X786" s="181"/>
      <c r="Y786" s="181"/>
      <c r="Z786" s="181"/>
    </row>
    <row r="787" customFormat="false" ht="15.75" hidden="false" customHeight="false" outlineLevel="0" collapsed="false">
      <c r="A787" s="181"/>
      <c r="B787" s="181"/>
      <c r="C787" s="181"/>
      <c r="D787" s="181"/>
      <c r="E787" s="181"/>
      <c r="F787" s="181"/>
      <c r="G787" s="181"/>
      <c r="H787" s="181"/>
      <c r="I787" s="181"/>
      <c r="J787" s="181"/>
      <c r="K787" s="181"/>
      <c r="L787" s="181"/>
      <c r="M787" s="181"/>
      <c r="N787" s="181"/>
      <c r="O787" s="181"/>
      <c r="P787" s="181"/>
      <c r="Q787" s="181"/>
      <c r="R787" s="181"/>
      <c r="S787" s="181"/>
      <c r="T787" s="181"/>
      <c r="U787" s="181"/>
      <c r="V787" s="181"/>
      <c r="W787" s="181"/>
      <c r="X787" s="181"/>
      <c r="Y787" s="181"/>
      <c r="Z787" s="181"/>
    </row>
    <row r="788" customFormat="false" ht="15.75" hidden="false" customHeight="false" outlineLevel="0" collapsed="false">
      <c r="A788" s="181"/>
      <c r="B788" s="181"/>
      <c r="C788" s="181"/>
      <c r="D788" s="181"/>
      <c r="E788" s="181"/>
      <c r="F788" s="181"/>
      <c r="G788" s="181"/>
      <c r="H788" s="181"/>
      <c r="I788" s="181"/>
      <c r="J788" s="181"/>
      <c r="K788" s="181"/>
      <c r="L788" s="181"/>
      <c r="M788" s="181"/>
      <c r="N788" s="181"/>
      <c r="O788" s="181"/>
      <c r="P788" s="181"/>
      <c r="Q788" s="181"/>
      <c r="R788" s="181"/>
      <c r="S788" s="181"/>
      <c r="T788" s="181"/>
      <c r="U788" s="181"/>
      <c r="V788" s="181"/>
      <c r="W788" s="181"/>
      <c r="X788" s="181"/>
      <c r="Y788" s="181"/>
      <c r="Z788" s="181"/>
    </row>
    <row r="789" customFormat="false" ht="15.75" hidden="false" customHeight="false" outlineLevel="0" collapsed="false">
      <c r="A789" s="181"/>
      <c r="B789" s="181"/>
      <c r="C789" s="181"/>
      <c r="D789" s="181"/>
      <c r="E789" s="181"/>
      <c r="F789" s="181"/>
      <c r="G789" s="181"/>
      <c r="H789" s="181"/>
      <c r="I789" s="181"/>
      <c r="J789" s="181"/>
      <c r="K789" s="181"/>
      <c r="L789" s="181"/>
      <c r="M789" s="181"/>
      <c r="N789" s="181"/>
      <c r="O789" s="181"/>
      <c r="P789" s="181"/>
      <c r="Q789" s="181"/>
      <c r="R789" s="181"/>
      <c r="S789" s="181"/>
      <c r="T789" s="181"/>
      <c r="U789" s="181"/>
      <c r="V789" s="181"/>
      <c r="W789" s="181"/>
      <c r="X789" s="181"/>
      <c r="Y789" s="181"/>
      <c r="Z789" s="181"/>
    </row>
    <row r="790" customFormat="false" ht="15.75" hidden="false" customHeight="false" outlineLevel="0" collapsed="false">
      <c r="A790" s="181"/>
      <c r="B790" s="181"/>
      <c r="C790" s="181"/>
      <c r="D790" s="181"/>
      <c r="E790" s="181"/>
      <c r="F790" s="181"/>
      <c r="G790" s="181"/>
      <c r="H790" s="181"/>
      <c r="I790" s="181"/>
      <c r="J790" s="181"/>
      <c r="K790" s="181"/>
      <c r="L790" s="181"/>
      <c r="M790" s="181"/>
      <c r="N790" s="181"/>
      <c r="O790" s="181"/>
      <c r="P790" s="181"/>
      <c r="Q790" s="181"/>
      <c r="R790" s="181"/>
      <c r="S790" s="181"/>
      <c r="T790" s="181"/>
      <c r="U790" s="181"/>
      <c r="V790" s="181"/>
      <c r="W790" s="181"/>
      <c r="X790" s="181"/>
      <c r="Y790" s="181"/>
      <c r="Z790" s="181"/>
    </row>
    <row r="791" customFormat="false" ht="15.75" hidden="false" customHeight="false" outlineLevel="0" collapsed="false">
      <c r="A791" s="181"/>
      <c r="B791" s="181"/>
      <c r="C791" s="181"/>
      <c r="D791" s="181"/>
      <c r="E791" s="181"/>
      <c r="F791" s="181"/>
      <c r="G791" s="181"/>
      <c r="H791" s="181"/>
      <c r="I791" s="181"/>
      <c r="J791" s="181"/>
      <c r="K791" s="181"/>
      <c r="L791" s="181"/>
      <c r="M791" s="181"/>
      <c r="N791" s="181"/>
      <c r="O791" s="181"/>
      <c r="P791" s="181"/>
      <c r="Q791" s="181"/>
      <c r="R791" s="181"/>
      <c r="S791" s="181"/>
      <c r="T791" s="181"/>
      <c r="U791" s="181"/>
      <c r="V791" s="181"/>
      <c r="W791" s="181"/>
      <c r="X791" s="181"/>
      <c r="Y791" s="181"/>
      <c r="Z791" s="181"/>
    </row>
    <row r="792" customFormat="false" ht="15.75" hidden="false" customHeight="false" outlineLevel="0" collapsed="false">
      <c r="A792" s="181"/>
      <c r="B792" s="181"/>
      <c r="C792" s="181"/>
      <c r="D792" s="181"/>
      <c r="E792" s="181"/>
      <c r="F792" s="181"/>
      <c r="G792" s="181"/>
      <c r="H792" s="181"/>
      <c r="I792" s="181"/>
      <c r="J792" s="181"/>
      <c r="K792" s="181"/>
      <c r="L792" s="181"/>
      <c r="M792" s="181"/>
      <c r="N792" s="181"/>
      <c r="O792" s="181"/>
      <c r="P792" s="181"/>
      <c r="Q792" s="181"/>
      <c r="R792" s="181"/>
      <c r="S792" s="181"/>
      <c r="T792" s="181"/>
      <c r="U792" s="181"/>
      <c r="V792" s="181"/>
      <c r="W792" s="181"/>
      <c r="X792" s="181"/>
      <c r="Y792" s="181"/>
      <c r="Z792" s="181"/>
    </row>
    <row r="793" customFormat="false" ht="15.75" hidden="false" customHeight="false" outlineLevel="0" collapsed="false">
      <c r="A793" s="181"/>
      <c r="B793" s="181"/>
      <c r="C793" s="181"/>
      <c r="D793" s="181"/>
      <c r="E793" s="181"/>
      <c r="F793" s="181"/>
      <c r="G793" s="181"/>
      <c r="H793" s="181"/>
      <c r="I793" s="181"/>
      <c r="J793" s="181"/>
      <c r="K793" s="181"/>
      <c r="L793" s="181"/>
      <c r="M793" s="181"/>
      <c r="N793" s="181"/>
      <c r="O793" s="181"/>
      <c r="P793" s="181"/>
      <c r="Q793" s="181"/>
      <c r="R793" s="181"/>
      <c r="S793" s="181"/>
      <c r="T793" s="181"/>
      <c r="U793" s="181"/>
      <c r="V793" s="181"/>
      <c r="W793" s="181"/>
      <c r="X793" s="181"/>
      <c r="Y793" s="181"/>
      <c r="Z793" s="181"/>
    </row>
    <row r="794" customFormat="false" ht="15.75" hidden="false" customHeight="false" outlineLevel="0" collapsed="false">
      <c r="A794" s="181"/>
      <c r="B794" s="181"/>
      <c r="C794" s="181"/>
      <c r="D794" s="181"/>
      <c r="E794" s="181"/>
      <c r="F794" s="181"/>
      <c r="G794" s="181"/>
      <c r="H794" s="181"/>
      <c r="I794" s="181"/>
      <c r="J794" s="181"/>
      <c r="K794" s="181"/>
      <c r="L794" s="181"/>
      <c r="M794" s="181"/>
      <c r="N794" s="181"/>
      <c r="O794" s="181"/>
      <c r="P794" s="181"/>
      <c r="Q794" s="181"/>
      <c r="R794" s="181"/>
      <c r="S794" s="181"/>
      <c r="T794" s="181"/>
      <c r="U794" s="181"/>
      <c r="V794" s="181"/>
      <c r="W794" s="181"/>
      <c r="X794" s="181"/>
      <c r="Y794" s="181"/>
      <c r="Z794" s="181"/>
    </row>
    <row r="795" customFormat="false" ht="15.75" hidden="false" customHeight="false" outlineLevel="0" collapsed="false">
      <c r="A795" s="181"/>
      <c r="B795" s="181"/>
      <c r="C795" s="181"/>
      <c r="D795" s="181"/>
      <c r="E795" s="181"/>
      <c r="F795" s="181"/>
      <c r="G795" s="181"/>
      <c r="H795" s="181"/>
      <c r="I795" s="181"/>
      <c r="J795" s="181"/>
      <c r="K795" s="181"/>
      <c r="L795" s="181"/>
      <c r="M795" s="181"/>
      <c r="N795" s="181"/>
      <c r="O795" s="181"/>
      <c r="P795" s="181"/>
      <c r="Q795" s="181"/>
      <c r="R795" s="181"/>
      <c r="S795" s="181"/>
      <c r="T795" s="181"/>
      <c r="U795" s="181"/>
      <c r="V795" s="181"/>
      <c r="W795" s="181"/>
      <c r="X795" s="181"/>
      <c r="Y795" s="181"/>
      <c r="Z795" s="181"/>
    </row>
    <row r="796" customFormat="false" ht="15.75" hidden="false" customHeight="false" outlineLevel="0" collapsed="false">
      <c r="A796" s="181"/>
      <c r="B796" s="181"/>
      <c r="C796" s="181"/>
      <c r="D796" s="181"/>
      <c r="E796" s="181"/>
      <c r="F796" s="181"/>
      <c r="G796" s="181"/>
      <c r="H796" s="181"/>
      <c r="I796" s="181"/>
      <c r="J796" s="181"/>
      <c r="K796" s="181"/>
      <c r="L796" s="181"/>
      <c r="M796" s="181"/>
      <c r="N796" s="181"/>
      <c r="O796" s="181"/>
      <c r="P796" s="181"/>
      <c r="Q796" s="181"/>
      <c r="R796" s="181"/>
      <c r="S796" s="181"/>
      <c r="T796" s="181"/>
      <c r="U796" s="181"/>
      <c r="V796" s="181"/>
      <c r="W796" s="181"/>
      <c r="X796" s="181"/>
      <c r="Y796" s="181"/>
      <c r="Z796" s="181"/>
    </row>
    <row r="797" customFormat="false" ht="15.75" hidden="false" customHeight="false" outlineLevel="0" collapsed="false">
      <c r="A797" s="181"/>
      <c r="B797" s="181"/>
      <c r="C797" s="181"/>
      <c r="D797" s="181"/>
      <c r="E797" s="181"/>
      <c r="F797" s="181"/>
      <c r="G797" s="181"/>
      <c r="H797" s="181"/>
      <c r="I797" s="181"/>
      <c r="J797" s="181"/>
      <c r="K797" s="181"/>
      <c r="L797" s="181"/>
      <c r="M797" s="181"/>
      <c r="N797" s="181"/>
      <c r="O797" s="181"/>
      <c r="P797" s="181"/>
      <c r="Q797" s="181"/>
      <c r="R797" s="181"/>
      <c r="S797" s="181"/>
      <c r="T797" s="181"/>
      <c r="U797" s="181"/>
      <c r="V797" s="181"/>
      <c r="W797" s="181"/>
      <c r="X797" s="181"/>
      <c r="Y797" s="181"/>
      <c r="Z797" s="181"/>
    </row>
    <row r="798" customFormat="false" ht="15.75" hidden="false" customHeight="false" outlineLevel="0" collapsed="false">
      <c r="A798" s="181"/>
      <c r="B798" s="181"/>
      <c r="C798" s="181"/>
      <c r="D798" s="181"/>
      <c r="E798" s="181"/>
      <c r="F798" s="181"/>
      <c r="G798" s="181"/>
      <c r="H798" s="181"/>
      <c r="I798" s="181"/>
      <c r="J798" s="181"/>
      <c r="K798" s="181"/>
      <c r="L798" s="181"/>
      <c r="M798" s="181"/>
      <c r="N798" s="181"/>
      <c r="O798" s="181"/>
      <c r="P798" s="181"/>
      <c r="Q798" s="181"/>
      <c r="R798" s="181"/>
      <c r="S798" s="181"/>
      <c r="T798" s="181"/>
      <c r="U798" s="181"/>
      <c r="V798" s="181"/>
      <c r="W798" s="181"/>
      <c r="X798" s="181"/>
      <c r="Y798" s="181"/>
      <c r="Z798" s="181"/>
    </row>
    <row r="799" customFormat="false" ht="15.75" hidden="false" customHeight="false" outlineLevel="0" collapsed="false">
      <c r="A799" s="181"/>
      <c r="B799" s="181"/>
      <c r="C799" s="181"/>
      <c r="D799" s="181"/>
      <c r="E799" s="181"/>
      <c r="F799" s="181"/>
      <c r="G799" s="181"/>
      <c r="H799" s="181"/>
      <c r="I799" s="181"/>
      <c r="J799" s="181"/>
      <c r="K799" s="181"/>
      <c r="L799" s="181"/>
      <c r="M799" s="181"/>
      <c r="N799" s="181"/>
      <c r="O799" s="181"/>
      <c r="P799" s="181"/>
      <c r="Q799" s="181"/>
      <c r="R799" s="181"/>
      <c r="S799" s="181"/>
      <c r="T799" s="181"/>
      <c r="U799" s="181"/>
      <c r="V799" s="181"/>
      <c r="W799" s="181"/>
      <c r="X799" s="181"/>
      <c r="Y799" s="181"/>
      <c r="Z799" s="181"/>
    </row>
    <row r="800" customFormat="false" ht="15.75" hidden="false" customHeight="false" outlineLevel="0" collapsed="false">
      <c r="A800" s="181"/>
      <c r="B800" s="181"/>
      <c r="C800" s="181"/>
      <c r="D800" s="181"/>
      <c r="E800" s="181"/>
      <c r="F800" s="181"/>
      <c r="G800" s="181"/>
      <c r="H800" s="181"/>
      <c r="I800" s="181"/>
      <c r="J800" s="181"/>
      <c r="K800" s="181"/>
      <c r="L800" s="181"/>
      <c r="M800" s="181"/>
      <c r="N800" s="181"/>
      <c r="O800" s="181"/>
      <c r="P800" s="181"/>
      <c r="Q800" s="181"/>
      <c r="R800" s="181"/>
      <c r="S800" s="181"/>
      <c r="T800" s="181"/>
      <c r="U800" s="181"/>
      <c r="V800" s="181"/>
      <c r="W800" s="181"/>
      <c r="X800" s="181"/>
      <c r="Y800" s="181"/>
      <c r="Z800" s="181"/>
    </row>
    <row r="801" customFormat="false" ht="15.75" hidden="false" customHeight="false" outlineLevel="0" collapsed="false">
      <c r="A801" s="181"/>
      <c r="B801" s="181"/>
      <c r="C801" s="181"/>
      <c r="D801" s="181"/>
      <c r="E801" s="181"/>
      <c r="F801" s="181"/>
      <c r="G801" s="181"/>
      <c r="H801" s="181"/>
      <c r="I801" s="181"/>
      <c r="J801" s="181"/>
      <c r="K801" s="181"/>
      <c r="L801" s="181"/>
      <c r="M801" s="181"/>
      <c r="N801" s="181"/>
      <c r="O801" s="181"/>
      <c r="P801" s="181"/>
      <c r="Q801" s="181"/>
      <c r="R801" s="181"/>
      <c r="S801" s="181"/>
      <c r="T801" s="181"/>
      <c r="U801" s="181"/>
      <c r="V801" s="181"/>
      <c r="W801" s="181"/>
      <c r="X801" s="181"/>
      <c r="Y801" s="181"/>
      <c r="Z801" s="181"/>
    </row>
    <row r="802" customFormat="false" ht="15.75" hidden="false" customHeight="false" outlineLevel="0" collapsed="false">
      <c r="A802" s="181"/>
      <c r="B802" s="181"/>
      <c r="C802" s="181"/>
      <c r="D802" s="181"/>
      <c r="E802" s="181"/>
      <c r="F802" s="181"/>
      <c r="G802" s="181"/>
      <c r="H802" s="181"/>
      <c r="I802" s="181"/>
      <c r="J802" s="181"/>
      <c r="K802" s="181"/>
      <c r="L802" s="181"/>
      <c r="M802" s="181"/>
      <c r="N802" s="181"/>
      <c r="O802" s="181"/>
      <c r="P802" s="181"/>
      <c r="Q802" s="181"/>
      <c r="R802" s="181"/>
      <c r="S802" s="181"/>
      <c r="T802" s="181"/>
      <c r="U802" s="181"/>
      <c r="V802" s="181"/>
      <c r="W802" s="181"/>
      <c r="X802" s="181"/>
      <c r="Y802" s="181"/>
      <c r="Z802" s="181"/>
    </row>
    <row r="803" customFormat="false" ht="15.75" hidden="false" customHeight="false" outlineLevel="0" collapsed="false">
      <c r="A803" s="181"/>
      <c r="B803" s="181"/>
      <c r="C803" s="181"/>
      <c r="D803" s="181"/>
      <c r="E803" s="181"/>
      <c r="F803" s="181"/>
      <c r="G803" s="181"/>
      <c r="H803" s="181"/>
      <c r="I803" s="181"/>
      <c r="J803" s="181"/>
      <c r="K803" s="181"/>
      <c r="L803" s="181"/>
      <c r="M803" s="181"/>
      <c r="N803" s="181"/>
      <c r="O803" s="181"/>
      <c r="P803" s="181"/>
      <c r="Q803" s="181"/>
      <c r="R803" s="181"/>
      <c r="S803" s="181"/>
      <c r="T803" s="181"/>
      <c r="U803" s="181"/>
      <c r="V803" s="181"/>
      <c r="W803" s="181"/>
      <c r="X803" s="181"/>
      <c r="Y803" s="181"/>
      <c r="Z803" s="181"/>
    </row>
    <row r="804" customFormat="false" ht="15.75" hidden="false" customHeight="false" outlineLevel="0" collapsed="false">
      <c r="A804" s="181"/>
      <c r="B804" s="181"/>
      <c r="C804" s="181"/>
      <c r="D804" s="181"/>
      <c r="E804" s="181"/>
      <c r="F804" s="181"/>
      <c r="G804" s="181"/>
      <c r="H804" s="181"/>
      <c r="I804" s="181"/>
      <c r="J804" s="181"/>
      <c r="K804" s="181"/>
      <c r="L804" s="181"/>
      <c r="M804" s="181"/>
      <c r="N804" s="181"/>
      <c r="O804" s="181"/>
      <c r="P804" s="181"/>
      <c r="Q804" s="181"/>
      <c r="R804" s="181"/>
      <c r="S804" s="181"/>
      <c r="T804" s="181"/>
      <c r="U804" s="181"/>
      <c r="V804" s="181"/>
      <c r="W804" s="181"/>
      <c r="X804" s="181"/>
      <c r="Y804" s="181"/>
      <c r="Z804" s="181"/>
    </row>
    <row r="805" customFormat="false" ht="15.75" hidden="false" customHeight="false" outlineLevel="0" collapsed="false">
      <c r="A805" s="181"/>
      <c r="B805" s="181"/>
      <c r="C805" s="181"/>
      <c r="D805" s="181"/>
      <c r="E805" s="181"/>
      <c r="F805" s="181"/>
      <c r="G805" s="181"/>
      <c r="H805" s="181"/>
      <c r="I805" s="181"/>
      <c r="J805" s="181"/>
      <c r="K805" s="181"/>
      <c r="L805" s="181"/>
      <c r="M805" s="181"/>
      <c r="N805" s="181"/>
      <c r="O805" s="181"/>
      <c r="P805" s="181"/>
      <c r="Q805" s="181"/>
      <c r="R805" s="181"/>
      <c r="S805" s="181"/>
      <c r="T805" s="181"/>
      <c r="U805" s="181"/>
      <c r="V805" s="181"/>
      <c r="W805" s="181"/>
      <c r="X805" s="181"/>
      <c r="Y805" s="181"/>
      <c r="Z805" s="181"/>
    </row>
    <row r="806" customFormat="false" ht="15.75" hidden="false" customHeight="false" outlineLevel="0" collapsed="false">
      <c r="A806" s="181"/>
      <c r="B806" s="181"/>
      <c r="C806" s="181"/>
      <c r="D806" s="181"/>
      <c r="E806" s="181"/>
      <c r="F806" s="181"/>
      <c r="G806" s="181"/>
      <c r="H806" s="181"/>
      <c r="I806" s="181"/>
      <c r="J806" s="181"/>
      <c r="K806" s="181"/>
      <c r="L806" s="181"/>
      <c r="M806" s="181"/>
      <c r="N806" s="181"/>
      <c r="O806" s="181"/>
      <c r="P806" s="181"/>
      <c r="Q806" s="181"/>
      <c r="R806" s="181"/>
      <c r="S806" s="181"/>
      <c r="T806" s="181"/>
      <c r="U806" s="181"/>
      <c r="V806" s="181"/>
      <c r="W806" s="181"/>
      <c r="X806" s="181"/>
      <c r="Y806" s="181"/>
      <c r="Z806" s="181"/>
    </row>
    <row r="807" customFormat="false" ht="15.75" hidden="false" customHeight="false" outlineLevel="0" collapsed="false">
      <c r="A807" s="181"/>
      <c r="B807" s="181"/>
      <c r="C807" s="181"/>
      <c r="D807" s="181"/>
      <c r="E807" s="181"/>
      <c r="F807" s="181"/>
      <c r="G807" s="181"/>
      <c r="H807" s="181"/>
      <c r="I807" s="181"/>
      <c r="J807" s="181"/>
      <c r="K807" s="181"/>
      <c r="L807" s="181"/>
      <c r="M807" s="181"/>
      <c r="N807" s="181"/>
      <c r="O807" s="181"/>
      <c r="P807" s="181"/>
      <c r="Q807" s="181"/>
      <c r="R807" s="181"/>
      <c r="S807" s="181"/>
      <c r="T807" s="181"/>
      <c r="U807" s="181"/>
      <c r="V807" s="181"/>
      <c r="W807" s="181"/>
      <c r="X807" s="181"/>
      <c r="Y807" s="181"/>
      <c r="Z807" s="181"/>
    </row>
    <row r="808" customFormat="false" ht="15.75" hidden="false" customHeight="false" outlineLevel="0" collapsed="false">
      <c r="A808" s="181"/>
      <c r="B808" s="181"/>
      <c r="C808" s="181"/>
      <c r="D808" s="181"/>
      <c r="E808" s="181"/>
      <c r="F808" s="181"/>
      <c r="G808" s="181"/>
      <c r="H808" s="181"/>
      <c r="I808" s="181"/>
      <c r="J808" s="181"/>
      <c r="K808" s="181"/>
      <c r="L808" s="181"/>
      <c r="M808" s="181"/>
      <c r="N808" s="181"/>
      <c r="O808" s="181"/>
      <c r="P808" s="181"/>
      <c r="Q808" s="181"/>
      <c r="R808" s="181"/>
      <c r="S808" s="181"/>
      <c r="T808" s="181"/>
      <c r="U808" s="181"/>
      <c r="V808" s="181"/>
      <c r="W808" s="181"/>
      <c r="X808" s="181"/>
      <c r="Y808" s="181"/>
      <c r="Z808" s="181"/>
    </row>
    <row r="809" customFormat="false" ht="15.75" hidden="false" customHeight="false" outlineLevel="0" collapsed="false">
      <c r="A809" s="181"/>
      <c r="B809" s="181"/>
      <c r="C809" s="181"/>
      <c r="D809" s="181"/>
      <c r="E809" s="181"/>
      <c r="F809" s="181"/>
      <c r="G809" s="181"/>
      <c r="H809" s="181"/>
      <c r="I809" s="181"/>
      <c r="J809" s="181"/>
      <c r="K809" s="181"/>
      <c r="L809" s="181"/>
      <c r="M809" s="181"/>
      <c r="N809" s="181"/>
      <c r="O809" s="181"/>
      <c r="P809" s="181"/>
      <c r="Q809" s="181"/>
      <c r="R809" s="181"/>
      <c r="S809" s="181"/>
      <c r="T809" s="181"/>
      <c r="U809" s="181"/>
      <c r="V809" s="181"/>
      <c r="W809" s="181"/>
      <c r="X809" s="181"/>
      <c r="Y809" s="181"/>
      <c r="Z809" s="181"/>
    </row>
    <row r="810" customFormat="false" ht="15.75" hidden="false" customHeight="false" outlineLevel="0" collapsed="false">
      <c r="A810" s="181"/>
      <c r="B810" s="181"/>
      <c r="C810" s="181"/>
      <c r="D810" s="181"/>
      <c r="E810" s="181"/>
      <c r="F810" s="181"/>
      <c r="G810" s="181"/>
      <c r="H810" s="181"/>
      <c r="I810" s="181"/>
      <c r="J810" s="181"/>
      <c r="K810" s="181"/>
      <c r="L810" s="181"/>
      <c r="M810" s="181"/>
      <c r="N810" s="181"/>
      <c r="O810" s="181"/>
      <c r="P810" s="181"/>
      <c r="Q810" s="181"/>
      <c r="R810" s="181"/>
      <c r="S810" s="181"/>
      <c r="T810" s="181"/>
      <c r="U810" s="181"/>
      <c r="V810" s="181"/>
      <c r="W810" s="181"/>
      <c r="X810" s="181"/>
      <c r="Y810" s="181"/>
      <c r="Z810" s="181"/>
    </row>
    <row r="811" customFormat="false" ht="15.75" hidden="false" customHeight="false" outlineLevel="0" collapsed="false">
      <c r="A811" s="181"/>
      <c r="B811" s="181"/>
      <c r="C811" s="181"/>
      <c r="D811" s="181"/>
      <c r="E811" s="181"/>
      <c r="F811" s="181"/>
      <c r="G811" s="181"/>
      <c r="H811" s="181"/>
      <c r="I811" s="181"/>
      <c r="J811" s="181"/>
      <c r="K811" s="181"/>
      <c r="L811" s="181"/>
      <c r="M811" s="181"/>
      <c r="N811" s="181"/>
      <c r="O811" s="181"/>
      <c r="P811" s="181"/>
      <c r="Q811" s="181"/>
      <c r="R811" s="181"/>
      <c r="S811" s="181"/>
      <c r="T811" s="181"/>
      <c r="U811" s="181"/>
      <c r="V811" s="181"/>
      <c r="W811" s="181"/>
      <c r="X811" s="181"/>
      <c r="Y811" s="181"/>
      <c r="Z811" s="181"/>
    </row>
    <row r="812" customFormat="false" ht="15.75" hidden="false" customHeight="false" outlineLevel="0" collapsed="false">
      <c r="A812" s="181"/>
      <c r="B812" s="181"/>
      <c r="C812" s="181"/>
      <c r="D812" s="181"/>
      <c r="E812" s="181"/>
      <c r="F812" s="181"/>
      <c r="G812" s="181"/>
      <c r="H812" s="181"/>
      <c r="I812" s="181"/>
      <c r="J812" s="181"/>
      <c r="K812" s="181"/>
      <c r="L812" s="181"/>
      <c r="M812" s="181"/>
      <c r="N812" s="181"/>
      <c r="O812" s="181"/>
      <c r="P812" s="181"/>
      <c r="Q812" s="181"/>
      <c r="R812" s="181"/>
      <c r="S812" s="181"/>
      <c r="T812" s="181"/>
      <c r="U812" s="181"/>
      <c r="V812" s="181"/>
      <c r="W812" s="181"/>
      <c r="X812" s="181"/>
      <c r="Y812" s="181"/>
      <c r="Z812" s="181"/>
    </row>
    <row r="813" customFormat="false" ht="15.75" hidden="false" customHeight="false" outlineLevel="0" collapsed="false">
      <c r="A813" s="181"/>
      <c r="B813" s="181"/>
      <c r="C813" s="181"/>
      <c r="D813" s="181"/>
      <c r="E813" s="181"/>
      <c r="F813" s="181"/>
      <c r="G813" s="181"/>
      <c r="H813" s="181"/>
      <c r="I813" s="181"/>
      <c r="J813" s="181"/>
      <c r="K813" s="181"/>
      <c r="L813" s="181"/>
      <c r="M813" s="181"/>
      <c r="N813" s="181"/>
      <c r="O813" s="181"/>
      <c r="P813" s="181"/>
      <c r="Q813" s="181"/>
      <c r="R813" s="181"/>
      <c r="S813" s="181"/>
      <c r="T813" s="181"/>
      <c r="U813" s="181"/>
      <c r="V813" s="181"/>
      <c r="W813" s="181"/>
      <c r="X813" s="181"/>
      <c r="Y813" s="181"/>
      <c r="Z813" s="181"/>
    </row>
    <row r="814" customFormat="false" ht="15.75" hidden="false" customHeight="false" outlineLevel="0" collapsed="false">
      <c r="A814" s="181"/>
      <c r="B814" s="181"/>
      <c r="C814" s="181"/>
      <c r="D814" s="181"/>
      <c r="E814" s="181"/>
      <c r="F814" s="181"/>
      <c r="G814" s="181"/>
      <c r="H814" s="181"/>
      <c r="I814" s="181"/>
      <c r="J814" s="181"/>
      <c r="K814" s="181"/>
      <c r="L814" s="181"/>
      <c r="M814" s="181"/>
      <c r="N814" s="181"/>
      <c r="O814" s="181"/>
      <c r="P814" s="181"/>
      <c r="Q814" s="181"/>
      <c r="R814" s="181"/>
      <c r="S814" s="181"/>
      <c r="T814" s="181"/>
      <c r="U814" s="181"/>
      <c r="V814" s="181"/>
      <c r="W814" s="181"/>
      <c r="X814" s="181"/>
      <c r="Y814" s="181"/>
      <c r="Z814" s="181"/>
    </row>
    <row r="815" customFormat="false" ht="15.75" hidden="false" customHeight="false" outlineLevel="0" collapsed="false">
      <c r="A815" s="181"/>
      <c r="B815" s="181"/>
      <c r="C815" s="181"/>
      <c r="D815" s="181"/>
      <c r="E815" s="181"/>
      <c r="F815" s="181"/>
      <c r="G815" s="181"/>
      <c r="H815" s="181"/>
      <c r="I815" s="181"/>
      <c r="J815" s="181"/>
      <c r="K815" s="181"/>
      <c r="L815" s="181"/>
      <c r="M815" s="181"/>
      <c r="N815" s="181"/>
      <c r="O815" s="181"/>
      <c r="P815" s="181"/>
      <c r="Q815" s="181"/>
      <c r="R815" s="181"/>
      <c r="S815" s="181"/>
      <c r="T815" s="181"/>
      <c r="U815" s="181"/>
      <c r="V815" s="181"/>
      <c r="W815" s="181"/>
      <c r="X815" s="181"/>
      <c r="Y815" s="181"/>
      <c r="Z815" s="181"/>
    </row>
    <row r="816" customFormat="false" ht="15.75" hidden="false" customHeight="false" outlineLevel="0" collapsed="false">
      <c r="A816" s="181"/>
      <c r="B816" s="181"/>
      <c r="C816" s="181"/>
      <c r="D816" s="181"/>
      <c r="E816" s="181"/>
      <c r="F816" s="181"/>
      <c r="G816" s="181"/>
      <c r="H816" s="181"/>
      <c r="I816" s="181"/>
      <c r="J816" s="181"/>
      <c r="K816" s="181"/>
      <c r="L816" s="181"/>
      <c r="M816" s="181"/>
      <c r="N816" s="181"/>
      <c r="O816" s="181"/>
      <c r="P816" s="181"/>
      <c r="Q816" s="181"/>
      <c r="R816" s="181"/>
      <c r="S816" s="181"/>
      <c r="T816" s="181"/>
      <c r="U816" s="181"/>
      <c r="V816" s="181"/>
      <c r="W816" s="181"/>
      <c r="X816" s="181"/>
      <c r="Y816" s="181"/>
      <c r="Z816" s="181"/>
    </row>
    <row r="817" customFormat="false" ht="15.75" hidden="false" customHeight="false" outlineLevel="0" collapsed="false">
      <c r="A817" s="181"/>
      <c r="B817" s="181"/>
      <c r="C817" s="181"/>
      <c r="D817" s="181"/>
      <c r="E817" s="181"/>
      <c r="F817" s="181"/>
      <c r="G817" s="181"/>
      <c r="H817" s="181"/>
      <c r="I817" s="181"/>
      <c r="J817" s="181"/>
      <c r="K817" s="181"/>
      <c r="L817" s="181"/>
      <c r="M817" s="181"/>
      <c r="N817" s="181"/>
      <c r="O817" s="181"/>
      <c r="P817" s="181"/>
      <c r="Q817" s="181"/>
      <c r="R817" s="181"/>
      <c r="S817" s="181"/>
      <c r="T817" s="181"/>
      <c r="U817" s="181"/>
      <c r="V817" s="181"/>
      <c r="W817" s="181"/>
      <c r="X817" s="181"/>
      <c r="Y817" s="181"/>
      <c r="Z817" s="181"/>
    </row>
    <row r="818" customFormat="false" ht="15.75" hidden="false" customHeight="false" outlineLevel="0" collapsed="false">
      <c r="A818" s="181"/>
      <c r="B818" s="181"/>
      <c r="C818" s="181"/>
      <c r="D818" s="181"/>
      <c r="E818" s="181"/>
      <c r="F818" s="181"/>
      <c r="G818" s="181"/>
      <c r="H818" s="181"/>
      <c r="I818" s="181"/>
      <c r="J818" s="181"/>
      <c r="K818" s="181"/>
      <c r="L818" s="181"/>
      <c r="M818" s="181"/>
      <c r="N818" s="181"/>
      <c r="O818" s="181"/>
      <c r="P818" s="181"/>
      <c r="Q818" s="181"/>
      <c r="R818" s="181"/>
      <c r="S818" s="181"/>
      <c r="T818" s="181"/>
      <c r="U818" s="181"/>
      <c r="V818" s="181"/>
      <c r="W818" s="181"/>
      <c r="X818" s="181"/>
      <c r="Y818" s="181"/>
      <c r="Z818" s="181"/>
    </row>
    <row r="819" customFormat="false" ht="15.75" hidden="false" customHeight="false" outlineLevel="0" collapsed="false">
      <c r="A819" s="181"/>
      <c r="B819" s="181"/>
      <c r="C819" s="181"/>
      <c r="D819" s="181"/>
      <c r="E819" s="181"/>
      <c r="F819" s="181"/>
      <c r="G819" s="181"/>
      <c r="H819" s="181"/>
      <c r="I819" s="181"/>
      <c r="J819" s="181"/>
      <c r="K819" s="181"/>
      <c r="L819" s="181"/>
      <c r="M819" s="181"/>
      <c r="N819" s="181"/>
      <c r="O819" s="181"/>
      <c r="P819" s="181"/>
      <c r="Q819" s="181"/>
      <c r="R819" s="181"/>
      <c r="S819" s="181"/>
      <c r="T819" s="181"/>
      <c r="U819" s="181"/>
      <c r="V819" s="181"/>
      <c r="W819" s="181"/>
      <c r="X819" s="181"/>
      <c r="Y819" s="181"/>
      <c r="Z819" s="181"/>
    </row>
    <row r="820" customFormat="false" ht="15.75" hidden="false" customHeight="false" outlineLevel="0" collapsed="false">
      <c r="A820" s="181"/>
      <c r="B820" s="181"/>
      <c r="C820" s="181"/>
      <c r="D820" s="181"/>
      <c r="E820" s="181"/>
      <c r="F820" s="181"/>
      <c r="G820" s="181"/>
      <c r="H820" s="181"/>
      <c r="I820" s="181"/>
      <c r="J820" s="181"/>
      <c r="K820" s="181"/>
      <c r="L820" s="181"/>
      <c r="M820" s="181"/>
      <c r="N820" s="181"/>
      <c r="O820" s="181"/>
      <c r="P820" s="181"/>
      <c r="Q820" s="181"/>
      <c r="R820" s="181"/>
      <c r="S820" s="181"/>
      <c r="T820" s="181"/>
      <c r="U820" s="181"/>
      <c r="V820" s="181"/>
      <c r="W820" s="181"/>
      <c r="X820" s="181"/>
      <c r="Y820" s="181"/>
      <c r="Z820" s="181"/>
    </row>
    <row r="821" customFormat="false" ht="15.75" hidden="false" customHeight="false" outlineLevel="0" collapsed="false">
      <c r="A821" s="181"/>
      <c r="B821" s="181"/>
      <c r="C821" s="181"/>
      <c r="D821" s="181"/>
      <c r="E821" s="181"/>
      <c r="F821" s="181"/>
      <c r="G821" s="181"/>
      <c r="H821" s="181"/>
      <c r="I821" s="181"/>
      <c r="J821" s="181"/>
      <c r="K821" s="181"/>
      <c r="L821" s="181"/>
      <c r="M821" s="181"/>
      <c r="N821" s="181"/>
      <c r="O821" s="181"/>
      <c r="P821" s="181"/>
      <c r="Q821" s="181"/>
      <c r="R821" s="181"/>
      <c r="S821" s="181"/>
      <c r="T821" s="181"/>
      <c r="U821" s="181"/>
      <c r="V821" s="181"/>
      <c r="W821" s="181"/>
      <c r="X821" s="181"/>
      <c r="Y821" s="181"/>
      <c r="Z821" s="181"/>
    </row>
    <row r="822" customFormat="false" ht="15.75" hidden="false" customHeight="false" outlineLevel="0" collapsed="false">
      <c r="A822" s="181"/>
      <c r="B822" s="181"/>
      <c r="C822" s="181"/>
      <c r="D822" s="181"/>
      <c r="E822" s="181"/>
      <c r="F822" s="181"/>
      <c r="G822" s="181"/>
      <c r="H822" s="181"/>
      <c r="I822" s="181"/>
      <c r="J822" s="181"/>
      <c r="K822" s="181"/>
      <c r="L822" s="181"/>
      <c r="M822" s="181"/>
      <c r="N822" s="181"/>
      <c r="O822" s="181"/>
      <c r="P822" s="181"/>
      <c r="Q822" s="181"/>
      <c r="R822" s="181"/>
      <c r="S822" s="181"/>
      <c r="T822" s="181"/>
      <c r="U822" s="181"/>
      <c r="V822" s="181"/>
      <c r="W822" s="181"/>
      <c r="X822" s="181"/>
      <c r="Y822" s="181"/>
      <c r="Z822" s="181"/>
    </row>
    <row r="823" customFormat="false" ht="15.75" hidden="false" customHeight="false" outlineLevel="0" collapsed="false">
      <c r="A823" s="181"/>
      <c r="B823" s="181"/>
      <c r="C823" s="181"/>
      <c r="D823" s="181"/>
      <c r="E823" s="181"/>
      <c r="F823" s="181"/>
      <c r="G823" s="181"/>
      <c r="H823" s="181"/>
      <c r="I823" s="181"/>
      <c r="J823" s="181"/>
      <c r="K823" s="181"/>
      <c r="L823" s="181"/>
      <c r="M823" s="181"/>
      <c r="N823" s="181"/>
      <c r="O823" s="181"/>
      <c r="P823" s="181"/>
      <c r="Q823" s="181"/>
      <c r="R823" s="181"/>
      <c r="S823" s="181"/>
      <c r="T823" s="181"/>
      <c r="U823" s="181"/>
      <c r="V823" s="181"/>
      <c r="W823" s="181"/>
      <c r="X823" s="181"/>
      <c r="Y823" s="181"/>
      <c r="Z823" s="181"/>
    </row>
    <row r="824" customFormat="false" ht="15.75" hidden="false" customHeight="false" outlineLevel="0" collapsed="false">
      <c r="A824" s="181"/>
      <c r="B824" s="181"/>
      <c r="C824" s="181"/>
      <c r="D824" s="181"/>
      <c r="E824" s="181"/>
      <c r="F824" s="181"/>
      <c r="G824" s="181"/>
      <c r="H824" s="181"/>
      <c r="I824" s="181"/>
      <c r="J824" s="181"/>
      <c r="K824" s="181"/>
      <c r="L824" s="181"/>
      <c r="M824" s="181"/>
      <c r="N824" s="181"/>
      <c r="O824" s="181"/>
      <c r="P824" s="181"/>
      <c r="Q824" s="181"/>
      <c r="R824" s="181"/>
      <c r="S824" s="181"/>
      <c r="T824" s="181"/>
      <c r="U824" s="181"/>
      <c r="V824" s="181"/>
      <c r="W824" s="181"/>
      <c r="X824" s="181"/>
      <c r="Y824" s="181"/>
      <c r="Z824" s="181"/>
    </row>
    <row r="825" customFormat="false" ht="15.75" hidden="false" customHeight="false" outlineLevel="0" collapsed="false">
      <c r="A825" s="181"/>
      <c r="B825" s="181"/>
      <c r="C825" s="181"/>
      <c r="D825" s="181"/>
      <c r="E825" s="181"/>
      <c r="F825" s="181"/>
      <c r="G825" s="181"/>
      <c r="H825" s="181"/>
      <c r="I825" s="181"/>
      <c r="J825" s="181"/>
      <c r="K825" s="181"/>
      <c r="L825" s="181"/>
      <c r="M825" s="181"/>
      <c r="N825" s="181"/>
      <c r="O825" s="181"/>
      <c r="P825" s="181"/>
      <c r="Q825" s="181"/>
      <c r="R825" s="181"/>
      <c r="S825" s="181"/>
      <c r="T825" s="181"/>
      <c r="U825" s="181"/>
      <c r="V825" s="181"/>
      <c r="W825" s="181"/>
      <c r="X825" s="181"/>
      <c r="Y825" s="181"/>
      <c r="Z825" s="181"/>
    </row>
    <row r="826" customFormat="false" ht="15.75" hidden="false" customHeight="false" outlineLevel="0" collapsed="false">
      <c r="A826" s="181"/>
      <c r="B826" s="181"/>
      <c r="C826" s="181"/>
      <c r="D826" s="181"/>
      <c r="E826" s="181"/>
      <c r="F826" s="181"/>
      <c r="G826" s="181"/>
      <c r="H826" s="181"/>
      <c r="I826" s="181"/>
      <c r="J826" s="181"/>
      <c r="K826" s="181"/>
      <c r="L826" s="181"/>
      <c r="M826" s="181"/>
      <c r="N826" s="181"/>
      <c r="O826" s="181"/>
      <c r="P826" s="181"/>
      <c r="Q826" s="181"/>
      <c r="R826" s="181"/>
      <c r="S826" s="181"/>
      <c r="T826" s="181"/>
      <c r="U826" s="181"/>
      <c r="V826" s="181"/>
      <c r="W826" s="181"/>
      <c r="X826" s="181"/>
      <c r="Y826" s="181"/>
      <c r="Z826" s="181"/>
    </row>
    <row r="827" customFormat="false" ht="15.75" hidden="false" customHeight="false" outlineLevel="0" collapsed="false">
      <c r="A827" s="181"/>
      <c r="B827" s="181"/>
      <c r="C827" s="181"/>
      <c r="D827" s="181"/>
      <c r="E827" s="181"/>
      <c r="F827" s="181"/>
      <c r="G827" s="181"/>
      <c r="H827" s="181"/>
      <c r="I827" s="181"/>
      <c r="J827" s="181"/>
      <c r="K827" s="181"/>
      <c r="L827" s="181"/>
      <c r="M827" s="181"/>
      <c r="N827" s="181"/>
      <c r="O827" s="181"/>
      <c r="P827" s="181"/>
      <c r="Q827" s="181"/>
      <c r="R827" s="181"/>
      <c r="S827" s="181"/>
      <c r="T827" s="181"/>
      <c r="U827" s="181"/>
      <c r="V827" s="181"/>
      <c r="W827" s="181"/>
      <c r="X827" s="181"/>
      <c r="Y827" s="181"/>
      <c r="Z827" s="181"/>
    </row>
    <row r="828" customFormat="false" ht="15.75" hidden="false" customHeight="false" outlineLevel="0" collapsed="false">
      <c r="A828" s="181"/>
      <c r="B828" s="181"/>
      <c r="C828" s="181"/>
      <c r="D828" s="181"/>
      <c r="E828" s="181"/>
      <c r="F828" s="181"/>
      <c r="G828" s="181"/>
      <c r="H828" s="181"/>
      <c r="I828" s="181"/>
      <c r="J828" s="181"/>
      <c r="K828" s="181"/>
      <c r="L828" s="181"/>
      <c r="M828" s="181"/>
      <c r="N828" s="181"/>
      <c r="O828" s="181"/>
      <c r="P828" s="181"/>
      <c r="Q828" s="181"/>
      <c r="R828" s="181"/>
      <c r="S828" s="181"/>
      <c r="T828" s="181"/>
      <c r="U828" s="181"/>
      <c r="V828" s="181"/>
      <c r="W828" s="181"/>
      <c r="X828" s="181"/>
      <c r="Y828" s="181"/>
      <c r="Z828" s="181"/>
    </row>
    <row r="829" customFormat="false" ht="15.75" hidden="false" customHeight="false" outlineLevel="0" collapsed="false">
      <c r="A829" s="181"/>
      <c r="B829" s="181"/>
      <c r="C829" s="181"/>
      <c r="D829" s="181"/>
      <c r="E829" s="181"/>
      <c r="F829" s="181"/>
      <c r="G829" s="181"/>
      <c r="H829" s="181"/>
      <c r="I829" s="181"/>
      <c r="J829" s="181"/>
      <c r="K829" s="181"/>
      <c r="L829" s="181"/>
      <c r="M829" s="181"/>
      <c r="N829" s="181"/>
      <c r="O829" s="181"/>
      <c r="P829" s="181"/>
      <c r="Q829" s="181"/>
      <c r="R829" s="181"/>
      <c r="S829" s="181"/>
      <c r="T829" s="181"/>
      <c r="U829" s="181"/>
      <c r="V829" s="181"/>
      <c r="W829" s="181"/>
      <c r="X829" s="181"/>
      <c r="Y829" s="181"/>
      <c r="Z829" s="181"/>
    </row>
    <row r="830" customFormat="false" ht="15.75" hidden="false" customHeight="false" outlineLevel="0" collapsed="false">
      <c r="A830" s="181"/>
      <c r="B830" s="181"/>
      <c r="C830" s="181"/>
      <c r="D830" s="181"/>
      <c r="E830" s="181"/>
      <c r="F830" s="181"/>
      <c r="G830" s="181"/>
      <c r="H830" s="181"/>
      <c r="I830" s="181"/>
      <c r="J830" s="181"/>
      <c r="K830" s="181"/>
      <c r="L830" s="181"/>
      <c r="M830" s="181"/>
      <c r="N830" s="181"/>
      <c r="O830" s="181"/>
      <c r="P830" s="181"/>
      <c r="Q830" s="181"/>
      <c r="R830" s="181"/>
      <c r="S830" s="181"/>
      <c r="T830" s="181"/>
      <c r="U830" s="181"/>
      <c r="V830" s="181"/>
      <c r="W830" s="181"/>
      <c r="X830" s="181"/>
      <c r="Y830" s="181"/>
      <c r="Z830" s="181"/>
    </row>
    <row r="831" customFormat="false" ht="15.75" hidden="false" customHeight="false" outlineLevel="0" collapsed="false">
      <c r="A831" s="181"/>
      <c r="B831" s="181"/>
      <c r="C831" s="181"/>
      <c r="D831" s="181"/>
      <c r="E831" s="181"/>
      <c r="F831" s="181"/>
      <c r="G831" s="181"/>
      <c r="H831" s="181"/>
      <c r="I831" s="181"/>
      <c r="J831" s="181"/>
      <c r="K831" s="181"/>
      <c r="L831" s="181"/>
      <c r="M831" s="181"/>
      <c r="N831" s="181"/>
      <c r="O831" s="181"/>
      <c r="P831" s="181"/>
      <c r="Q831" s="181"/>
      <c r="R831" s="181"/>
      <c r="S831" s="181"/>
      <c r="T831" s="181"/>
      <c r="U831" s="181"/>
      <c r="V831" s="181"/>
      <c r="W831" s="181"/>
      <c r="X831" s="181"/>
      <c r="Y831" s="181"/>
      <c r="Z831" s="181"/>
    </row>
    <row r="832" customFormat="false" ht="15.75" hidden="false" customHeight="false" outlineLevel="0" collapsed="false">
      <c r="A832" s="181"/>
      <c r="B832" s="181"/>
      <c r="C832" s="181"/>
      <c r="D832" s="181"/>
      <c r="E832" s="181"/>
      <c r="F832" s="181"/>
      <c r="G832" s="181"/>
      <c r="H832" s="181"/>
      <c r="I832" s="181"/>
      <c r="J832" s="181"/>
      <c r="K832" s="181"/>
      <c r="L832" s="181"/>
      <c r="M832" s="181"/>
      <c r="N832" s="181"/>
      <c r="O832" s="181"/>
      <c r="P832" s="181"/>
      <c r="Q832" s="181"/>
      <c r="R832" s="181"/>
      <c r="S832" s="181"/>
      <c r="T832" s="181"/>
      <c r="U832" s="181"/>
      <c r="V832" s="181"/>
      <c r="W832" s="181"/>
      <c r="X832" s="181"/>
      <c r="Y832" s="181"/>
      <c r="Z832" s="181"/>
    </row>
    <row r="833" customFormat="false" ht="15.75" hidden="false" customHeight="false" outlineLevel="0" collapsed="false">
      <c r="A833" s="181"/>
      <c r="B833" s="181"/>
      <c r="C833" s="181"/>
      <c r="D833" s="181"/>
      <c r="E833" s="181"/>
      <c r="F833" s="181"/>
      <c r="G833" s="181"/>
      <c r="H833" s="181"/>
      <c r="I833" s="181"/>
      <c r="J833" s="181"/>
      <c r="K833" s="181"/>
      <c r="L833" s="181"/>
      <c r="M833" s="181"/>
      <c r="N833" s="181"/>
      <c r="O833" s="181"/>
      <c r="P833" s="181"/>
      <c r="Q833" s="181"/>
      <c r="R833" s="181"/>
      <c r="S833" s="181"/>
      <c r="T833" s="181"/>
      <c r="U833" s="181"/>
      <c r="V833" s="181"/>
      <c r="W833" s="181"/>
      <c r="X833" s="181"/>
      <c r="Y833" s="181"/>
      <c r="Z833" s="181"/>
    </row>
    <row r="834" customFormat="false" ht="15.75" hidden="false" customHeight="false" outlineLevel="0" collapsed="false">
      <c r="A834" s="181"/>
      <c r="B834" s="181"/>
      <c r="C834" s="181"/>
      <c r="D834" s="181"/>
      <c r="E834" s="181"/>
      <c r="F834" s="181"/>
      <c r="G834" s="181"/>
      <c r="H834" s="181"/>
      <c r="I834" s="181"/>
      <c r="J834" s="181"/>
      <c r="K834" s="181"/>
      <c r="L834" s="181"/>
      <c r="M834" s="181"/>
      <c r="N834" s="181"/>
      <c r="O834" s="181"/>
      <c r="P834" s="181"/>
      <c r="Q834" s="181"/>
      <c r="R834" s="181"/>
      <c r="S834" s="181"/>
      <c r="T834" s="181"/>
      <c r="U834" s="181"/>
      <c r="V834" s="181"/>
      <c r="W834" s="181"/>
      <c r="X834" s="181"/>
      <c r="Y834" s="181"/>
      <c r="Z834" s="181"/>
    </row>
    <row r="835" customFormat="false" ht="15.75" hidden="false" customHeight="false" outlineLevel="0" collapsed="false">
      <c r="A835" s="181"/>
      <c r="B835" s="181"/>
      <c r="C835" s="181"/>
      <c r="D835" s="181"/>
      <c r="E835" s="181"/>
      <c r="F835" s="181"/>
      <c r="G835" s="181"/>
      <c r="H835" s="181"/>
      <c r="I835" s="181"/>
      <c r="J835" s="181"/>
      <c r="K835" s="181"/>
      <c r="L835" s="181"/>
      <c r="M835" s="181"/>
      <c r="N835" s="181"/>
      <c r="O835" s="181"/>
      <c r="P835" s="181"/>
      <c r="Q835" s="181"/>
      <c r="R835" s="181"/>
      <c r="S835" s="181"/>
      <c r="T835" s="181"/>
      <c r="U835" s="181"/>
      <c r="V835" s="181"/>
      <c r="W835" s="181"/>
      <c r="X835" s="181"/>
      <c r="Y835" s="181"/>
      <c r="Z835" s="181"/>
    </row>
    <row r="836" customFormat="false" ht="15.75" hidden="false" customHeight="false" outlineLevel="0" collapsed="false">
      <c r="A836" s="181"/>
      <c r="B836" s="181"/>
      <c r="C836" s="181"/>
      <c r="D836" s="181"/>
      <c r="E836" s="181"/>
      <c r="F836" s="181"/>
      <c r="G836" s="181"/>
      <c r="H836" s="181"/>
      <c r="I836" s="181"/>
      <c r="J836" s="181"/>
      <c r="K836" s="181"/>
      <c r="L836" s="181"/>
      <c r="M836" s="181"/>
      <c r="N836" s="181"/>
      <c r="O836" s="181"/>
      <c r="P836" s="181"/>
      <c r="Q836" s="181"/>
      <c r="R836" s="181"/>
      <c r="S836" s="181"/>
      <c r="T836" s="181"/>
      <c r="U836" s="181"/>
      <c r="V836" s="181"/>
      <c r="W836" s="181"/>
      <c r="X836" s="181"/>
      <c r="Y836" s="181"/>
      <c r="Z836" s="181"/>
    </row>
    <row r="837" customFormat="false" ht="15.75" hidden="false" customHeight="false" outlineLevel="0" collapsed="false">
      <c r="A837" s="181"/>
      <c r="B837" s="181"/>
      <c r="C837" s="181"/>
      <c r="D837" s="181"/>
      <c r="E837" s="181"/>
      <c r="F837" s="181"/>
      <c r="G837" s="181"/>
      <c r="H837" s="181"/>
      <c r="I837" s="181"/>
      <c r="J837" s="181"/>
      <c r="K837" s="181"/>
      <c r="L837" s="181"/>
      <c r="M837" s="181"/>
      <c r="N837" s="181"/>
      <c r="O837" s="181"/>
      <c r="P837" s="181"/>
      <c r="Q837" s="181"/>
      <c r="R837" s="181"/>
      <c r="S837" s="181"/>
      <c r="T837" s="181"/>
      <c r="U837" s="181"/>
      <c r="V837" s="181"/>
      <c r="W837" s="181"/>
      <c r="X837" s="181"/>
      <c r="Y837" s="181"/>
      <c r="Z837" s="181"/>
    </row>
    <row r="838" customFormat="false" ht="15.75" hidden="false" customHeight="false" outlineLevel="0" collapsed="false">
      <c r="A838" s="181"/>
      <c r="B838" s="181"/>
      <c r="C838" s="181"/>
      <c r="D838" s="181"/>
      <c r="E838" s="181"/>
      <c r="F838" s="181"/>
      <c r="G838" s="181"/>
      <c r="H838" s="181"/>
      <c r="I838" s="181"/>
      <c r="J838" s="181"/>
      <c r="K838" s="181"/>
      <c r="L838" s="181"/>
      <c r="M838" s="181"/>
      <c r="N838" s="181"/>
      <c r="O838" s="181"/>
      <c r="P838" s="181"/>
      <c r="Q838" s="181"/>
      <c r="R838" s="181"/>
      <c r="S838" s="181"/>
      <c r="T838" s="181"/>
      <c r="U838" s="181"/>
      <c r="V838" s="181"/>
      <c r="W838" s="181"/>
      <c r="X838" s="181"/>
      <c r="Y838" s="181"/>
      <c r="Z838" s="181"/>
    </row>
    <row r="839" customFormat="false" ht="15.75" hidden="false" customHeight="false" outlineLevel="0" collapsed="false">
      <c r="A839" s="181"/>
      <c r="B839" s="181"/>
      <c r="C839" s="181"/>
      <c r="D839" s="181"/>
      <c r="E839" s="181"/>
      <c r="F839" s="181"/>
      <c r="G839" s="181"/>
      <c r="H839" s="181"/>
      <c r="I839" s="181"/>
      <c r="J839" s="181"/>
      <c r="K839" s="181"/>
      <c r="L839" s="181"/>
      <c r="M839" s="181"/>
      <c r="N839" s="181"/>
      <c r="O839" s="181"/>
      <c r="P839" s="181"/>
      <c r="Q839" s="181"/>
      <c r="R839" s="181"/>
      <c r="S839" s="181"/>
      <c r="T839" s="181"/>
      <c r="U839" s="181"/>
      <c r="V839" s="181"/>
      <c r="W839" s="181"/>
      <c r="X839" s="181"/>
      <c r="Y839" s="181"/>
      <c r="Z839" s="181"/>
    </row>
    <row r="840" customFormat="false" ht="15.75" hidden="false" customHeight="false" outlineLevel="0" collapsed="false">
      <c r="A840" s="181"/>
      <c r="B840" s="181"/>
      <c r="C840" s="181"/>
      <c r="D840" s="181"/>
      <c r="E840" s="181"/>
      <c r="F840" s="181"/>
      <c r="G840" s="181"/>
      <c r="H840" s="181"/>
      <c r="I840" s="181"/>
      <c r="J840" s="181"/>
      <c r="K840" s="181"/>
      <c r="L840" s="181"/>
      <c r="M840" s="181"/>
      <c r="N840" s="181"/>
      <c r="O840" s="181"/>
      <c r="P840" s="181"/>
      <c r="Q840" s="181"/>
      <c r="R840" s="181"/>
      <c r="S840" s="181"/>
      <c r="T840" s="181"/>
      <c r="U840" s="181"/>
      <c r="V840" s="181"/>
      <c r="W840" s="181"/>
      <c r="X840" s="181"/>
      <c r="Y840" s="181"/>
      <c r="Z840" s="181"/>
    </row>
    <row r="841" customFormat="false" ht="15.75" hidden="false" customHeight="false" outlineLevel="0" collapsed="false">
      <c r="A841" s="181"/>
      <c r="B841" s="181"/>
      <c r="C841" s="181"/>
      <c r="D841" s="181"/>
      <c r="E841" s="181"/>
      <c r="F841" s="181"/>
      <c r="G841" s="181"/>
      <c r="H841" s="181"/>
      <c r="I841" s="181"/>
      <c r="J841" s="181"/>
      <c r="K841" s="181"/>
      <c r="L841" s="181"/>
      <c r="M841" s="181"/>
      <c r="N841" s="181"/>
      <c r="O841" s="181"/>
      <c r="P841" s="181"/>
      <c r="Q841" s="181"/>
      <c r="R841" s="181"/>
      <c r="S841" s="181"/>
      <c r="T841" s="181"/>
      <c r="U841" s="181"/>
      <c r="V841" s="181"/>
      <c r="W841" s="181"/>
      <c r="X841" s="181"/>
      <c r="Y841" s="181"/>
      <c r="Z841" s="181"/>
    </row>
    <row r="842" customFormat="false" ht="15.75" hidden="false" customHeight="false" outlineLevel="0" collapsed="false">
      <c r="A842" s="181"/>
      <c r="B842" s="181"/>
      <c r="C842" s="181"/>
      <c r="D842" s="181"/>
      <c r="E842" s="181"/>
      <c r="F842" s="181"/>
      <c r="G842" s="181"/>
      <c r="H842" s="181"/>
      <c r="I842" s="181"/>
      <c r="J842" s="181"/>
      <c r="K842" s="181"/>
      <c r="L842" s="181"/>
      <c r="M842" s="181"/>
      <c r="N842" s="181"/>
      <c r="O842" s="181"/>
      <c r="P842" s="181"/>
      <c r="Q842" s="181"/>
      <c r="R842" s="181"/>
      <c r="S842" s="181"/>
      <c r="T842" s="181"/>
      <c r="U842" s="181"/>
      <c r="V842" s="181"/>
      <c r="W842" s="181"/>
      <c r="X842" s="181"/>
      <c r="Y842" s="181"/>
      <c r="Z842" s="181"/>
    </row>
    <row r="843" customFormat="false" ht="15.75" hidden="false" customHeight="false" outlineLevel="0" collapsed="false">
      <c r="A843" s="181"/>
      <c r="B843" s="181"/>
      <c r="C843" s="181"/>
      <c r="D843" s="181"/>
      <c r="E843" s="181"/>
      <c r="F843" s="181"/>
      <c r="G843" s="181"/>
      <c r="H843" s="181"/>
      <c r="I843" s="181"/>
      <c r="J843" s="181"/>
      <c r="K843" s="181"/>
      <c r="L843" s="181"/>
      <c r="M843" s="181"/>
      <c r="N843" s="181"/>
      <c r="O843" s="181"/>
      <c r="P843" s="181"/>
      <c r="Q843" s="181"/>
      <c r="R843" s="181"/>
      <c r="S843" s="181"/>
      <c r="T843" s="181"/>
      <c r="U843" s="181"/>
      <c r="V843" s="181"/>
      <c r="W843" s="181"/>
      <c r="X843" s="181"/>
      <c r="Y843" s="181"/>
      <c r="Z843" s="181"/>
    </row>
    <row r="844" customFormat="false" ht="15.75" hidden="false" customHeight="false" outlineLevel="0" collapsed="false">
      <c r="A844" s="181"/>
      <c r="B844" s="181"/>
      <c r="C844" s="181"/>
      <c r="D844" s="181"/>
      <c r="E844" s="181"/>
      <c r="F844" s="181"/>
      <c r="G844" s="181"/>
      <c r="H844" s="181"/>
      <c r="I844" s="181"/>
      <c r="J844" s="181"/>
      <c r="K844" s="181"/>
      <c r="L844" s="181"/>
      <c r="M844" s="181"/>
      <c r="N844" s="181"/>
      <c r="O844" s="181"/>
      <c r="P844" s="181"/>
      <c r="Q844" s="181"/>
      <c r="R844" s="181"/>
      <c r="S844" s="181"/>
      <c r="T844" s="181"/>
      <c r="U844" s="181"/>
      <c r="V844" s="181"/>
      <c r="W844" s="181"/>
      <c r="X844" s="181"/>
      <c r="Y844" s="181"/>
      <c r="Z844" s="181"/>
    </row>
    <row r="845" customFormat="false" ht="15.75" hidden="false" customHeight="false" outlineLevel="0" collapsed="false">
      <c r="A845" s="181"/>
      <c r="B845" s="181"/>
      <c r="C845" s="181"/>
      <c r="D845" s="181"/>
      <c r="E845" s="181"/>
      <c r="F845" s="181"/>
      <c r="G845" s="181"/>
      <c r="H845" s="181"/>
      <c r="I845" s="181"/>
      <c r="J845" s="181"/>
      <c r="K845" s="181"/>
      <c r="L845" s="181"/>
      <c r="M845" s="181"/>
      <c r="N845" s="181"/>
      <c r="O845" s="181"/>
      <c r="P845" s="181"/>
      <c r="Q845" s="181"/>
      <c r="R845" s="181"/>
      <c r="S845" s="181"/>
      <c r="T845" s="181"/>
      <c r="U845" s="181"/>
      <c r="V845" s="181"/>
      <c r="W845" s="181"/>
      <c r="X845" s="181"/>
      <c r="Y845" s="181"/>
      <c r="Z845" s="181"/>
    </row>
    <row r="846" customFormat="false" ht="15.75" hidden="false" customHeight="false" outlineLevel="0" collapsed="false">
      <c r="A846" s="181"/>
      <c r="B846" s="181"/>
      <c r="C846" s="181"/>
      <c r="D846" s="181"/>
      <c r="E846" s="181"/>
      <c r="F846" s="181"/>
      <c r="G846" s="181"/>
      <c r="H846" s="181"/>
      <c r="I846" s="181"/>
      <c r="J846" s="181"/>
      <c r="K846" s="181"/>
      <c r="L846" s="181"/>
      <c r="M846" s="181"/>
      <c r="N846" s="181"/>
      <c r="O846" s="181"/>
      <c r="P846" s="181"/>
      <c r="Q846" s="181"/>
      <c r="R846" s="181"/>
      <c r="S846" s="181"/>
      <c r="T846" s="181"/>
      <c r="U846" s="181"/>
      <c r="V846" s="181"/>
      <c r="W846" s="181"/>
      <c r="X846" s="181"/>
      <c r="Y846" s="181"/>
      <c r="Z846" s="181"/>
    </row>
    <row r="847" customFormat="false" ht="15.75" hidden="false" customHeight="false" outlineLevel="0" collapsed="false">
      <c r="A847" s="181"/>
      <c r="B847" s="181"/>
      <c r="C847" s="181"/>
      <c r="D847" s="181"/>
      <c r="E847" s="181"/>
      <c r="F847" s="181"/>
      <c r="G847" s="181"/>
      <c r="H847" s="181"/>
      <c r="I847" s="181"/>
      <c r="J847" s="181"/>
      <c r="K847" s="181"/>
      <c r="L847" s="181"/>
      <c r="M847" s="181"/>
      <c r="N847" s="181"/>
      <c r="O847" s="181"/>
      <c r="P847" s="181"/>
      <c r="Q847" s="181"/>
      <c r="R847" s="181"/>
      <c r="S847" s="181"/>
      <c r="T847" s="181"/>
      <c r="U847" s="181"/>
      <c r="V847" s="181"/>
      <c r="W847" s="181"/>
      <c r="X847" s="181"/>
      <c r="Y847" s="181"/>
      <c r="Z847" s="181"/>
    </row>
    <row r="848" customFormat="false" ht="15.75" hidden="false" customHeight="false" outlineLevel="0" collapsed="false">
      <c r="A848" s="181"/>
      <c r="B848" s="181"/>
      <c r="C848" s="181"/>
      <c r="D848" s="181"/>
      <c r="E848" s="181"/>
      <c r="F848" s="181"/>
      <c r="G848" s="181"/>
      <c r="H848" s="181"/>
      <c r="I848" s="181"/>
      <c r="J848" s="181"/>
      <c r="K848" s="181"/>
      <c r="L848" s="181"/>
      <c r="M848" s="181"/>
      <c r="N848" s="181"/>
      <c r="O848" s="181"/>
      <c r="P848" s="181"/>
      <c r="Q848" s="181"/>
      <c r="R848" s="181"/>
      <c r="S848" s="181"/>
      <c r="T848" s="181"/>
      <c r="U848" s="181"/>
      <c r="V848" s="181"/>
      <c r="W848" s="181"/>
      <c r="X848" s="181"/>
      <c r="Y848" s="181"/>
      <c r="Z848" s="181"/>
    </row>
    <row r="849" customFormat="false" ht="15.75" hidden="false" customHeight="false" outlineLevel="0" collapsed="false">
      <c r="A849" s="181"/>
      <c r="B849" s="181"/>
      <c r="C849" s="181"/>
      <c r="D849" s="181"/>
      <c r="E849" s="181"/>
      <c r="F849" s="181"/>
      <c r="G849" s="181"/>
      <c r="H849" s="181"/>
      <c r="I849" s="181"/>
      <c r="J849" s="181"/>
      <c r="K849" s="181"/>
      <c r="L849" s="181"/>
      <c r="M849" s="181"/>
      <c r="N849" s="181"/>
      <c r="O849" s="181"/>
      <c r="P849" s="181"/>
      <c r="Q849" s="181"/>
      <c r="R849" s="181"/>
      <c r="S849" s="181"/>
      <c r="T849" s="181"/>
      <c r="U849" s="181"/>
      <c r="V849" s="181"/>
      <c r="W849" s="181"/>
      <c r="X849" s="181"/>
      <c r="Y849" s="181"/>
      <c r="Z849" s="181"/>
    </row>
    <row r="850" customFormat="false" ht="15.75" hidden="false" customHeight="false" outlineLevel="0" collapsed="false">
      <c r="A850" s="181"/>
      <c r="B850" s="181"/>
      <c r="C850" s="181"/>
      <c r="D850" s="181"/>
      <c r="E850" s="181"/>
      <c r="F850" s="181"/>
      <c r="G850" s="181"/>
      <c r="H850" s="181"/>
      <c r="I850" s="181"/>
      <c r="J850" s="181"/>
      <c r="K850" s="181"/>
      <c r="L850" s="181"/>
      <c r="M850" s="181"/>
      <c r="N850" s="181"/>
      <c r="O850" s="181"/>
      <c r="P850" s="181"/>
      <c r="Q850" s="181"/>
      <c r="R850" s="181"/>
      <c r="S850" s="181"/>
      <c r="T850" s="181"/>
      <c r="U850" s="181"/>
      <c r="V850" s="181"/>
      <c r="W850" s="181"/>
      <c r="X850" s="181"/>
      <c r="Y850" s="181"/>
      <c r="Z850" s="181"/>
    </row>
    <row r="851" customFormat="false" ht="15.75" hidden="false" customHeight="false" outlineLevel="0" collapsed="false">
      <c r="A851" s="181"/>
      <c r="B851" s="181"/>
      <c r="C851" s="181"/>
      <c r="D851" s="181"/>
      <c r="E851" s="181"/>
      <c r="F851" s="181"/>
      <c r="G851" s="181"/>
      <c r="H851" s="181"/>
      <c r="I851" s="181"/>
      <c r="J851" s="181"/>
      <c r="K851" s="181"/>
      <c r="L851" s="181"/>
      <c r="M851" s="181"/>
      <c r="N851" s="181"/>
      <c r="O851" s="181"/>
      <c r="P851" s="181"/>
      <c r="Q851" s="181"/>
      <c r="R851" s="181"/>
      <c r="S851" s="181"/>
      <c r="T851" s="181"/>
      <c r="U851" s="181"/>
      <c r="V851" s="181"/>
      <c r="W851" s="181"/>
      <c r="X851" s="181"/>
      <c r="Y851" s="181"/>
      <c r="Z851" s="181"/>
    </row>
    <row r="852" customFormat="false" ht="15.75" hidden="false" customHeight="false" outlineLevel="0" collapsed="false">
      <c r="A852" s="181"/>
      <c r="B852" s="181"/>
      <c r="C852" s="181"/>
      <c r="D852" s="181"/>
      <c r="E852" s="181"/>
      <c r="F852" s="181"/>
      <c r="G852" s="181"/>
      <c r="H852" s="181"/>
      <c r="I852" s="181"/>
      <c r="J852" s="181"/>
      <c r="K852" s="181"/>
      <c r="L852" s="181"/>
      <c r="M852" s="181"/>
      <c r="N852" s="181"/>
      <c r="O852" s="181"/>
      <c r="P852" s="181"/>
      <c r="Q852" s="181"/>
      <c r="R852" s="181"/>
      <c r="S852" s="181"/>
      <c r="T852" s="181"/>
      <c r="U852" s="181"/>
      <c r="V852" s="181"/>
      <c r="W852" s="181"/>
      <c r="X852" s="181"/>
      <c r="Y852" s="181"/>
      <c r="Z852" s="181"/>
    </row>
    <row r="853" customFormat="false" ht="15.75" hidden="false" customHeight="false" outlineLevel="0" collapsed="false">
      <c r="A853" s="181"/>
      <c r="B853" s="181"/>
      <c r="C853" s="181"/>
      <c r="D853" s="181"/>
      <c r="E853" s="181"/>
      <c r="F853" s="181"/>
      <c r="G853" s="181"/>
      <c r="H853" s="181"/>
      <c r="I853" s="181"/>
      <c r="J853" s="181"/>
      <c r="K853" s="181"/>
      <c r="L853" s="181"/>
      <c r="M853" s="181"/>
      <c r="N853" s="181"/>
      <c r="O853" s="181"/>
      <c r="P853" s="181"/>
      <c r="Q853" s="181"/>
      <c r="R853" s="181"/>
      <c r="S853" s="181"/>
      <c r="T853" s="181"/>
      <c r="U853" s="181"/>
      <c r="V853" s="181"/>
      <c r="W853" s="181"/>
      <c r="X853" s="181"/>
      <c r="Y853" s="181"/>
      <c r="Z853" s="181"/>
    </row>
    <row r="854" customFormat="false" ht="15.75" hidden="false" customHeight="false" outlineLevel="0" collapsed="false">
      <c r="A854" s="181"/>
      <c r="B854" s="181"/>
      <c r="C854" s="181"/>
      <c r="D854" s="181"/>
      <c r="E854" s="181"/>
      <c r="F854" s="181"/>
      <c r="G854" s="181"/>
      <c r="H854" s="181"/>
      <c r="I854" s="181"/>
      <c r="J854" s="181"/>
      <c r="K854" s="181"/>
      <c r="L854" s="181"/>
      <c r="M854" s="181"/>
      <c r="N854" s="181"/>
      <c r="O854" s="181"/>
      <c r="P854" s="181"/>
      <c r="Q854" s="181"/>
      <c r="R854" s="181"/>
      <c r="S854" s="181"/>
      <c r="T854" s="181"/>
      <c r="U854" s="181"/>
      <c r="V854" s="181"/>
      <c r="W854" s="181"/>
      <c r="X854" s="181"/>
      <c r="Y854" s="181"/>
      <c r="Z854" s="181"/>
    </row>
    <row r="855" customFormat="false" ht="15.75" hidden="false" customHeight="false" outlineLevel="0" collapsed="false">
      <c r="A855" s="181"/>
      <c r="B855" s="181"/>
      <c r="C855" s="181"/>
      <c r="D855" s="181"/>
      <c r="E855" s="181"/>
      <c r="F855" s="181"/>
      <c r="G855" s="181"/>
      <c r="H855" s="181"/>
      <c r="I855" s="181"/>
      <c r="J855" s="181"/>
      <c r="K855" s="181"/>
      <c r="L855" s="181"/>
      <c r="M855" s="181"/>
      <c r="N855" s="181"/>
      <c r="O855" s="181"/>
      <c r="P855" s="181"/>
      <c r="Q855" s="181"/>
      <c r="R855" s="181"/>
      <c r="S855" s="181"/>
      <c r="T855" s="181"/>
      <c r="U855" s="181"/>
      <c r="V855" s="181"/>
      <c r="W855" s="181"/>
      <c r="X855" s="181"/>
      <c r="Y855" s="181"/>
      <c r="Z855" s="181"/>
    </row>
    <row r="856" customFormat="false" ht="15.75" hidden="false" customHeight="false" outlineLevel="0" collapsed="false">
      <c r="A856" s="181"/>
      <c r="B856" s="181"/>
      <c r="C856" s="181"/>
      <c r="D856" s="181"/>
      <c r="E856" s="181"/>
      <c r="F856" s="181"/>
      <c r="G856" s="181"/>
      <c r="H856" s="181"/>
      <c r="I856" s="181"/>
      <c r="J856" s="181"/>
      <c r="K856" s="181"/>
      <c r="L856" s="181"/>
      <c r="M856" s="181"/>
      <c r="N856" s="181"/>
      <c r="O856" s="181"/>
      <c r="P856" s="181"/>
      <c r="Q856" s="181"/>
      <c r="R856" s="181"/>
      <c r="S856" s="181"/>
      <c r="T856" s="181"/>
      <c r="U856" s="181"/>
      <c r="V856" s="181"/>
      <c r="W856" s="181"/>
      <c r="X856" s="181"/>
      <c r="Y856" s="181"/>
      <c r="Z856" s="181"/>
    </row>
    <row r="857" customFormat="false" ht="15.75" hidden="false" customHeight="false" outlineLevel="0" collapsed="false">
      <c r="A857" s="181"/>
      <c r="B857" s="181"/>
      <c r="C857" s="181"/>
      <c r="D857" s="181"/>
      <c r="E857" s="181"/>
      <c r="F857" s="181"/>
      <c r="G857" s="181"/>
      <c r="H857" s="181"/>
      <c r="I857" s="181"/>
      <c r="J857" s="181"/>
      <c r="K857" s="181"/>
      <c r="L857" s="181"/>
      <c r="M857" s="181"/>
      <c r="N857" s="181"/>
      <c r="O857" s="181"/>
      <c r="P857" s="181"/>
      <c r="Q857" s="181"/>
      <c r="R857" s="181"/>
      <c r="S857" s="181"/>
      <c r="T857" s="181"/>
      <c r="U857" s="181"/>
      <c r="V857" s="181"/>
      <c r="W857" s="181"/>
      <c r="X857" s="181"/>
      <c r="Y857" s="181"/>
      <c r="Z857" s="181"/>
    </row>
    <row r="858" customFormat="false" ht="15.75" hidden="false" customHeight="false" outlineLevel="0" collapsed="false">
      <c r="A858" s="181"/>
      <c r="B858" s="181"/>
      <c r="C858" s="181"/>
      <c r="D858" s="181"/>
      <c r="E858" s="181"/>
      <c r="F858" s="181"/>
      <c r="G858" s="181"/>
      <c r="H858" s="181"/>
      <c r="I858" s="181"/>
      <c r="J858" s="181"/>
      <c r="K858" s="181"/>
      <c r="L858" s="181"/>
      <c r="M858" s="181"/>
      <c r="N858" s="181"/>
      <c r="O858" s="181"/>
      <c r="P858" s="181"/>
      <c r="Q858" s="181"/>
      <c r="R858" s="181"/>
      <c r="S858" s="181"/>
      <c r="T858" s="181"/>
      <c r="U858" s="181"/>
      <c r="V858" s="181"/>
      <c r="W858" s="181"/>
      <c r="X858" s="181"/>
      <c r="Y858" s="181"/>
      <c r="Z858" s="181"/>
    </row>
    <row r="859" customFormat="false" ht="15.75" hidden="false" customHeight="false" outlineLevel="0" collapsed="false">
      <c r="A859" s="181"/>
      <c r="B859" s="181"/>
      <c r="C859" s="181"/>
      <c r="D859" s="181"/>
      <c r="E859" s="181"/>
      <c r="F859" s="181"/>
      <c r="G859" s="181"/>
      <c r="H859" s="181"/>
      <c r="I859" s="181"/>
      <c r="J859" s="181"/>
      <c r="K859" s="181"/>
      <c r="L859" s="181"/>
      <c r="M859" s="181"/>
      <c r="N859" s="181"/>
      <c r="O859" s="181"/>
      <c r="P859" s="181"/>
      <c r="Q859" s="181"/>
      <c r="R859" s="181"/>
      <c r="S859" s="181"/>
      <c r="T859" s="181"/>
      <c r="U859" s="181"/>
      <c r="V859" s="181"/>
      <c r="W859" s="181"/>
      <c r="X859" s="181"/>
      <c r="Y859" s="181"/>
      <c r="Z859" s="181"/>
    </row>
    <row r="860" customFormat="false" ht="15.75" hidden="false" customHeight="false" outlineLevel="0" collapsed="false">
      <c r="A860" s="181"/>
      <c r="B860" s="181"/>
      <c r="C860" s="181"/>
      <c r="D860" s="181"/>
      <c r="E860" s="181"/>
      <c r="F860" s="181"/>
      <c r="G860" s="181"/>
      <c r="H860" s="181"/>
      <c r="I860" s="181"/>
      <c r="J860" s="181"/>
      <c r="K860" s="181"/>
      <c r="L860" s="181"/>
      <c r="M860" s="181"/>
      <c r="N860" s="181"/>
      <c r="O860" s="181"/>
      <c r="P860" s="181"/>
      <c r="Q860" s="181"/>
      <c r="R860" s="181"/>
      <c r="S860" s="181"/>
      <c r="T860" s="181"/>
      <c r="U860" s="181"/>
      <c r="V860" s="181"/>
      <c r="W860" s="181"/>
      <c r="X860" s="181"/>
      <c r="Y860" s="181"/>
      <c r="Z860" s="181"/>
    </row>
    <row r="861" customFormat="false" ht="15.75" hidden="false" customHeight="false" outlineLevel="0" collapsed="false">
      <c r="A861" s="181"/>
      <c r="B861" s="181"/>
      <c r="C861" s="181"/>
      <c r="D861" s="181"/>
      <c r="E861" s="181"/>
      <c r="F861" s="181"/>
      <c r="G861" s="181"/>
      <c r="H861" s="181"/>
      <c r="I861" s="181"/>
      <c r="J861" s="181"/>
      <c r="K861" s="181"/>
      <c r="L861" s="181"/>
      <c r="M861" s="181"/>
      <c r="N861" s="181"/>
      <c r="O861" s="181"/>
      <c r="P861" s="181"/>
      <c r="Q861" s="181"/>
      <c r="R861" s="181"/>
      <c r="S861" s="181"/>
      <c r="T861" s="181"/>
      <c r="U861" s="181"/>
      <c r="V861" s="181"/>
      <c r="W861" s="181"/>
      <c r="X861" s="181"/>
      <c r="Y861" s="181"/>
      <c r="Z861" s="181"/>
    </row>
    <row r="862" customFormat="false" ht="15.75" hidden="false" customHeight="false" outlineLevel="0" collapsed="false">
      <c r="A862" s="181"/>
      <c r="B862" s="181"/>
      <c r="C862" s="181"/>
      <c r="D862" s="181"/>
      <c r="E862" s="181"/>
      <c r="F862" s="181"/>
      <c r="G862" s="181"/>
      <c r="H862" s="181"/>
      <c r="I862" s="181"/>
      <c r="J862" s="181"/>
      <c r="K862" s="181"/>
      <c r="L862" s="181"/>
      <c r="M862" s="181"/>
      <c r="N862" s="181"/>
      <c r="O862" s="181"/>
      <c r="P862" s="181"/>
      <c r="Q862" s="181"/>
      <c r="R862" s="181"/>
      <c r="S862" s="181"/>
      <c r="T862" s="181"/>
      <c r="U862" s="181"/>
      <c r="V862" s="181"/>
      <c r="W862" s="181"/>
      <c r="X862" s="181"/>
      <c r="Y862" s="181"/>
      <c r="Z862" s="181"/>
    </row>
    <row r="863" customFormat="false" ht="15.75" hidden="false" customHeight="false" outlineLevel="0" collapsed="false">
      <c r="A863" s="181"/>
      <c r="B863" s="181"/>
      <c r="C863" s="181"/>
      <c r="D863" s="181"/>
      <c r="E863" s="181"/>
      <c r="F863" s="181"/>
      <c r="G863" s="181"/>
      <c r="H863" s="181"/>
      <c r="I863" s="181"/>
      <c r="J863" s="181"/>
      <c r="K863" s="181"/>
      <c r="L863" s="181"/>
      <c r="M863" s="181"/>
      <c r="N863" s="181"/>
      <c r="O863" s="181"/>
      <c r="P863" s="181"/>
      <c r="Q863" s="181"/>
      <c r="R863" s="181"/>
      <c r="S863" s="181"/>
      <c r="T863" s="181"/>
      <c r="U863" s="181"/>
      <c r="V863" s="181"/>
      <c r="W863" s="181"/>
      <c r="X863" s="181"/>
      <c r="Y863" s="181"/>
      <c r="Z863" s="181"/>
    </row>
    <row r="864" customFormat="false" ht="15.75" hidden="false" customHeight="false" outlineLevel="0" collapsed="false">
      <c r="A864" s="181"/>
      <c r="B864" s="181"/>
      <c r="C864" s="181"/>
      <c r="D864" s="181"/>
      <c r="E864" s="181"/>
      <c r="F864" s="181"/>
      <c r="G864" s="181"/>
      <c r="H864" s="181"/>
      <c r="I864" s="181"/>
      <c r="J864" s="181"/>
      <c r="K864" s="181"/>
      <c r="L864" s="181"/>
      <c r="M864" s="181"/>
      <c r="N864" s="181"/>
      <c r="O864" s="181"/>
      <c r="P864" s="181"/>
      <c r="Q864" s="181"/>
      <c r="R864" s="181"/>
      <c r="S864" s="181"/>
      <c r="T864" s="181"/>
      <c r="U864" s="181"/>
      <c r="V864" s="181"/>
      <c r="W864" s="181"/>
      <c r="X864" s="181"/>
      <c r="Y864" s="181"/>
      <c r="Z864" s="181"/>
    </row>
    <row r="865" customFormat="false" ht="15.75" hidden="false" customHeight="false" outlineLevel="0" collapsed="false">
      <c r="A865" s="181"/>
      <c r="B865" s="181"/>
      <c r="C865" s="181"/>
      <c r="D865" s="181"/>
      <c r="E865" s="181"/>
      <c r="F865" s="181"/>
      <c r="G865" s="181"/>
      <c r="H865" s="181"/>
      <c r="I865" s="181"/>
      <c r="J865" s="181"/>
      <c r="K865" s="181"/>
      <c r="L865" s="181"/>
      <c r="M865" s="181"/>
      <c r="N865" s="181"/>
      <c r="O865" s="181"/>
      <c r="P865" s="181"/>
      <c r="Q865" s="181"/>
      <c r="R865" s="181"/>
      <c r="S865" s="181"/>
      <c r="T865" s="181"/>
      <c r="U865" s="181"/>
      <c r="V865" s="181"/>
      <c r="W865" s="181"/>
      <c r="X865" s="181"/>
      <c r="Y865" s="181"/>
      <c r="Z865" s="181"/>
    </row>
    <row r="866" customFormat="false" ht="15.75" hidden="false" customHeight="false" outlineLevel="0" collapsed="false">
      <c r="A866" s="181"/>
      <c r="B866" s="181"/>
      <c r="C866" s="181"/>
      <c r="D866" s="181"/>
      <c r="E866" s="181"/>
      <c r="F866" s="181"/>
      <c r="G866" s="181"/>
      <c r="H866" s="181"/>
      <c r="I866" s="181"/>
      <c r="J866" s="181"/>
      <c r="K866" s="181"/>
      <c r="L866" s="181"/>
      <c r="M866" s="181"/>
      <c r="N866" s="181"/>
      <c r="O866" s="181"/>
      <c r="P866" s="181"/>
      <c r="Q866" s="181"/>
      <c r="R866" s="181"/>
      <c r="S866" s="181"/>
      <c r="T866" s="181"/>
      <c r="U866" s="181"/>
      <c r="V866" s="181"/>
      <c r="W866" s="181"/>
      <c r="X866" s="181"/>
      <c r="Y866" s="181"/>
      <c r="Z866" s="181"/>
    </row>
    <row r="867" customFormat="false" ht="15.75" hidden="false" customHeight="false" outlineLevel="0" collapsed="false">
      <c r="A867" s="181"/>
      <c r="B867" s="181"/>
      <c r="C867" s="181"/>
      <c r="D867" s="181"/>
      <c r="E867" s="181"/>
      <c r="F867" s="181"/>
      <c r="G867" s="181"/>
      <c r="H867" s="181"/>
      <c r="I867" s="181"/>
      <c r="J867" s="181"/>
      <c r="K867" s="181"/>
      <c r="L867" s="181"/>
      <c r="M867" s="181"/>
      <c r="N867" s="181"/>
      <c r="O867" s="181"/>
      <c r="P867" s="181"/>
      <c r="Q867" s="181"/>
      <c r="R867" s="181"/>
      <c r="S867" s="181"/>
      <c r="T867" s="181"/>
      <c r="U867" s="181"/>
      <c r="V867" s="181"/>
      <c r="W867" s="181"/>
      <c r="X867" s="181"/>
      <c r="Y867" s="181"/>
      <c r="Z867" s="181"/>
    </row>
    <row r="868" customFormat="false" ht="15.75" hidden="false" customHeight="false" outlineLevel="0" collapsed="false">
      <c r="A868" s="181"/>
      <c r="B868" s="181"/>
      <c r="C868" s="181"/>
      <c r="D868" s="181"/>
      <c r="E868" s="181"/>
      <c r="F868" s="181"/>
      <c r="G868" s="181"/>
      <c r="H868" s="181"/>
      <c r="I868" s="181"/>
      <c r="J868" s="181"/>
      <c r="K868" s="181"/>
      <c r="L868" s="181"/>
      <c r="M868" s="181"/>
      <c r="N868" s="181"/>
      <c r="O868" s="181"/>
      <c r="P868" s="181"/>
      <c r="Q868" s="181"/>
      <c r="R868" s="181"/>
      <c r="S868" s="181"/>
      <c r="T868" s="181"/>
      <c r="U868" s="181"/>
      <c r="V868" s="181"/>
      <c r="W868" s="181"/>
      <c r="X868" s="181"/>
      <c r="Y868" s="181"/>
      <c r="Z868" s="181"/>
    </row>
    <row r="869" customFormat="false" ht="15.75" hidden="false" customHeight="false" outlineLevel="0" collapsed="false">
      <c r="A869" s="181"/>
      <c r="B869" s="181"/>
      <c r="C869" s="181"/>
      <c r="D869" s="181"/>
      <c r="E869" s="181"/>
      <c r="F869" s="181"/>
      <c r="G869" s="181"/>
      <c r="H869" s="181"/>
      <c r="I869" s="181"/>
      <c r="J869" s="181"/>
      <c r="K869" s="181"/>
      <c r="L869" s="181"/>
      <c r="M869" s="181"/>
      <c r="N869" s="181"/>
      <c r="O869" s="181"/>
      <c r="P869" s="181"/>
      <c r="Q869" s="181"/>
      <c r="R869" s="181"/>
      <c r="S869" s="181"/>
      <c r="T869" s="181"/>
      <c r="U869" s="181"/>
      <c r="V869" s="181"/>
      <c r="W869" s="181"/>
      <c r="X869" s="181"/>
      <c r="Y869" s="181"/>
      <c r="Z869" s="181"/>
    </row>
    <row r="870" customFormat="false" ht="15.75" hidden="false" customHeight="false" outlineLevel="0" collapsed="false">
      <c r="A870" s="181"/>
      <c r="B870" s="181"/>
      <c r="C870" s="181"/>
      <c r="D870" s="181"/>
      <c r="E870" s="181"/>
      <c r="F870" s="181"/>
      <c r="G870" s="181"/>
      <c r="H870" s="181"/>
      <c r="I870" s="181"/>
      <c r="J870" s="181"/>
      <c r="K870" s="181"/>
      <c r="L870" s="181"/>
      <c r="M870" s="181"/>
      <c r="N870" s="181"/>
      <c r="O870" s="181"/>
      <c r="P870" s="181"/>
      <c r="Q870" s="181"/>
      <c r="R870" s="181"/>
      <c r="S870" s="181"/>
      <c r="T870" s="181"/>
      <c r="U870" s="181"/>
      <c r="V870" s="181"/>
      <c r="W870" s="181"/>
      <c r="X870" s="181"/>
      <c r="Y870" s="181"/>
      <c r="Z870" s="181"/>
    </row>
    <row r="871" customFormat="false" ht="15.75" hidden="false" customHeight="false" outlineLevel="0" collapsed="false">
      <c r="A871" s="181"/>
      <c r="B871" s="181"/>
      <c r="C871" s="181"/>
      <c r="D871" s="181"/>
      <c r="E871" s="181"/>
      <c r="F871" s="181"/>
      <c r="G871" s="181"/>
      <c r="H871" s="181"/>
      <c r="I871" s="181"/>
      <c r="J871" s="181"/>
      <c r="K871" s="181"/>
      <c r="L871" s="181"/>
      <c r="M871" s="181"/>
      <c r="N871" s="181"/>
      <c r="O871" s="181"/>
      <c r="P871" s="181"/>
      <c r="Q871" s="181"/>
      <c r="R871" s="181"/>
      <c r="S871" s="181"/>
      <c r="T871" s="181"/>
      <c r="U871" s="181"/>
      <c r="V871" s="181"/>
      <c r="W871" s="181"/>
      <c r="X871" s="181"/>
      <c r="Y871" s="181"/>
      <c r="Z871" s="181"/>
    </row>
    <row r="872" customFormat="false" ht="15.75" hidden="false" customHeight="false" outlineLevel="0" collapsed="false">
      <c r="A872" s="181"/>
      <c r="B872" s="181"/>
      <c r="C872" s="181"/>
      <c r="D872" s="181"/>
      <c r="E872" s="181"/>
      <c r="F872" s="181"/>
      <c r="G872" s="181"/>
      <c r="H872" s="181"/>
      <c r="I872" s="181"/>
      <c r="J872" s="181"/>
      <c r="K872" s="181"/>
      <c r="L872" s="181"/>
      <c r="M872" s="181"/>
      <c r="N872" s="181"/>
      <c r="O872" s="181"/>
      <c r="P872" s="181"/>
      <c r="Q872" s="181"/>
      <c r="R872" s="181"/>
      <c r="S872" s="181"/>
      <c r="T872" s="181"/>
      <c r="U872" s="181"/>
      <c r="V872" s="181"/>
      <c r="W872" s="181"/>
      <c r="X872" s="181"/>
      <c r="Y872" s="181"/>
      <c r="Z872" s="181"/>
    </row>
    <row r="873" customFormat="false" ht="15.75" hidden="false" customHeight="false" outlineLevel="0" collapsed="false">
      <c r="A873" s="181"/>
      <c r="B873" s="181"/>
      <c r="C873" s="181"/>
      <c r="D873" s="181"/>
      <c r="E873" s="181"/>
      <c r="F873" s="181"/>
      <c r="G873" s="181"/>
      <c r="H873" s="181"/>
      <c r="I873" s="181"/>
      <c r="J873" s="181"/>
      <c r="K873" s="181"/>
      <c r="L873" s="181"/>
      <c r="M873" s="181"/>
      <c r="N873" s="181"/>
      <c r="O873" s="181"/>
      <c r="P873" s="181"/>
      <c r="Q873" s="181"/>
      <c r="R873" s="181"/>
      <c r="S873" s="181"/>
      <c r="T873" s="181"/>
      <c r="U873" s="181"/>
      <c r="V873" s="181"/>
      <c r="W873" s="181"/>
      <c r="X873" s="181"/>
      <c r="Y873" s="181"/>
      <c r="Z873" s="181"/>
    </row>
    <row r="874" customFormat="false" ht="15.75" hidden="false" customHeight="false" outlineLevel="0" collapsed="false">
      <c r="A874" s="181"/>
      <c r="B874" s="181"/>
      <c r="C874" s="181"/>
      <c r="D874" s="181"/>
      <c r="E874" s="181"/>
      <c r="F874" s="181"/>
      <c r="G874" s="181"/>
      <c r="H874" s="181"/>
      <c r="I874" s="181"/>
      <c r="J874" s="181"/>
      <c r="K874" s="181"/>
      <c r="L874" s="181"/>
      <c r="M874" s="181"/>
      <c r="N874" s="181"/>
      <c r="O874" s="181"/>
      <c r="P874" s="181"/>
      <c r="Q874" s="181"/>
      <c r="R874" s="181"/>
      <c r="S874" s="181"/>
      <c r="T874" s="181"/>
      <c r="U874" s="181"/>
      <c r="V874" s="181"/>
      <c r="W874" s="181"/>
      <c r="X874" s="181"/>
      <c r="Y874" s="181"/>
      <c r="Z874" s="181"/>
    </row>
    <row r="875" customFormat="false" ht="15.75" hidden="false" customHeight="false" outlineLevel="0" collapsed="false">
      <c r="A875" s="181"/>
      <c r="B875" s="181"/>
      <c r="C875" s="181"/>
      <c r="D875" s="181"/>
      <c r="E875" s="181"/>
      <c r="F875" s="181"/>
      <c r="G875" s="181"/>
      <c r="H875" s="181"/>
      <c r="I875" s="181"/>
      <c r="J875" s="181"/>
      <c r="K875" s="181"/>
      <c r="L875" s="181"/>
      <c r="M875" s="181"/>
      <c r="N875" s="181"/>
      <c r="O875" s="181"/>
      <c r="P875" s="181"/>
      <c r="Q875" s="181"/>
      <c r="R875" s="181"/>
      <c r="S875" s="181"/>
      <c r="T875" s="181"/>
      <c r="U875" s="181"/>
      <c r="V875" s="181"/>
      <c r="W875" s="181"/>
      <c r="X875" s="181"/>
      <c r="Y875" s="181"/>
      <c r="Z875" s="181"/>
    </row>
    <row r="876" customFormat="false" ht="15.75" hidden="false" customHeight="false" outlineLevel="0" collapsed="false">
      <c r="A876" s="181"/>
      <c r="B876" s="181"/>
      <c r="C876" s="181"/>
      <c r="D876" s="181"/>
      <c r="E876" s="181"/>
      <c r="F876" s="181"/>
      <c r="G876" s="181"/>
      <c r="H876" s="181"/>
      <c r="I876" s="181"/>
      <c r="J876" s="181"/>
      <c r="K876" s="181"/>
      <c r="L876" s="181"/>
      <c r="M876" s="181"/>
      <c r="N876" s="181"/>
      <c r="O876" s="181"/>
      <c r="P876" s="181"/>
      <c r="Q876" s="181"/>
      <c r="R876" s="181"/>
      <c r="S876" s="181"/>
      <c r="T876" s="181"/>
      <c r="U876" s="181"/>
      <c r="V876" s="181"/>
      <c r="W876" s="181"/>
      <c r="X876" s="181"/>
      <c r="Y876" s="181"/>
      <c r="Z876" s="181"/>
    </row>
    <row r="877" customFormat="false" ht="15.75" hidden="false" customHeight="false" outlineLevel="0" collapsed="false">
      <c r="A877" s="181"/>
      <c r="B877" s="181"/>
      <c r="C877" s="181"/>
      <c r="D877" s="181"/>
      <c r="E877" s="181"/>
      <c r="F877" s="181"/>
      <c r="G877" s="181"/>
      <c r="H877" s="181"/>
      <c r="I877" s="181"/>
      <c r="J877" s="181"/>
      <c r="K877" s="181"/>
      <c r="L877" s="181"/>
      <c r="M877" s="181"/>
      <c r="N877" s="181"/>
      <c r="O877" s="181"/>
      <c r="P877" s="181"/>
      <c r="Q877" s="181"/>
      <c r="R877" s="181"/>
      <c r="S877" s="181"/>
      <c r="T877" s="181"/>
      <c r="U877" s="181"/>
      <c r="V877" s="181"/>
      <c r="W877" s="181"/>
      <c r="X877" s="181"/>
      <c r="Y877" s="181"/>
      <c r="Z877" s="181"/>
    </row>
    <row r="878" customFormat="false" ht="15.75" hidden="false" customHeight="false" outlineLevel="0" collapsed="false">
      <c r="A878" s="181"/>
      <c r="B878" s="181"/>
      <c r="C878" s="181"/>
      <c r="D878" s="181"/>
      <c r="E878" s="181"/>
      <c r="F878" s="181"/>
      <c r="G878" s="181"/>
      <c r="H878" s="181"/>
      <c r="I878" s="181"/>
      <c r="J878" s="181"/>
      <c r="K878" s="181"/>
      <c r="L878" s="181"/>
      <c r="M878" s="181"/>
      <c r="N878" s="181"/>
      <c r="O878" s="181"/>
      <c r="P878" s="181"/>
      <c r="Q878" s="181"/>
      <c r="R878" s="181"/>
      <c r="S878" s="181"/>
      <c r="T878" s="181"/>
      <c r="U878" s="181"/>
      <c r="V878" s="181"/>
      <c r="W878" s="181"/>
      <c r="X878" s="181"/>
      <c r="Y878" s="181"/>
      <c r="Z878" s="181"/>
    </row>
    <row r="879" customFormat="false" ht="15.75" hidden="false" customHeight="false" outlineLevel="0" collapsed="false">
      <c r="A879" s="181"/>
      <c r="B879" s="181"/>
      <c r="C879" s="181"/>
      <c r="D879" s="181"/>
      <c r="E879" s="181"/>
      <c r="F879" s="181"/>
      <c r="G879" s="181"/>
      <c r="H879" s="181"/>
      <c r="I879" s="181"/>
      <c r="J879" s="181"/>
      <c r="K879" s="181"/>
      <c r="L879" s="181"/>
      <c r="M879" s="181"/>
      <c r="N879" s="181"/>
      <c r="O879" s="181"/>
      <c r="P879" s="181"/>
      <c r="Q879" s="181"/>
      <c r="R879" s="181"/>
      <c r="S879" s="181"/>
      <c r="T879" s="181"/>
      <c r="U879" s="181"/>
      <c r="V879" s="181"/>
      <c r="W879" s="181"/>
      <c r="X879" s="181"/>
      <c r="Y879" s="181"/>
      <c r="Z879" s="181"/>
    </row>
    <row r="880" customFormat="false" ht="15.75" hidden="false" customHeight="false" outlineLevel="0" collapsed="false">
      <c r="A880" s="181"/>
      <c r="B880" s="181"/>
      <c r="C880" s="181"/>
      <c r="D880" s="181"/>
      <c r="E880" s="181"/>
      <c r="F880" s="181"/>
      <c r="G880" s="181"/>
      <c r="H880" s="181"/>
      <c r="I880" s="181"/>
      <c r="J880" s="181"/>
      <c r="K880" s="181"/>
      <c r="L880" s="181"/>
      <c r="M880" s="181"/>
      <c r="N880" s="181"/>
      <c r="O880" s="181"/>
      <c r="P880" s="181"/>
      <c r="Q880" s="181"/>
      <c r="R880" s="181"/>
      <c r="S880" s="181"/>
      <c r="T880" s="181"/>
      <c r="U880" s="181"/>
      <c r="V880" s="181"/>
      <c r="W880" s="181"/>
      <c r="X880" s="181"/>
      <c r="Y880" s="181"/>
      <c r="Z880" s="181"/>
    </row>
    <row r="881" customFormat="false" ht="15.75" hidden="false" customHeight="false" outlineLevel="0" collapsed="false">
      <c r="A881" s="181"/>
      <c r="B881" s="181"/>
      <c r="C881" s="181"/>
      <c r="D881" s="181"/>
      <c r="E881" s="181"/>
      <c r="F881" s="181"/>
      <c r="G881" s="181"/>
      <c r="H881" s="181"/>
      <c r="I881" s="181"/>
      <c r="J881" s="181"/>
      <c r="K881" s="181"/>
      <c r="L881" s="181"/>
      <c r="M881" s="181"/>
      <c r="N881" s="181"/>
      <c r="O881" s="181"/>
      <c r="P881" s="181"/>
      <c r="Q881" s="181"/>
      <c r="R881" s="181"/>
      <c r="S881" s="181"/>
      <c r="T881" s="181"/>
      <c r="U881" s="181"/>
      <c r="V881" s="181"/>
      <c r="W881" s="181"/>
      <c r="X881" s="181"/>
      <c r="Y881" s="181"/>
      <c r="Z881" s="181"/>
    </row>
    <row r="882" customFormat="false" ht="15.75" hidden="false" customHeight="false" outlineLevel="0" collapsed="false">
      <c r="A882" s="181"/>
      <c r="B882" s="181"/>
      <c r="C882" s="181"/>
      <c r="D882" s="181"/>
      <c r="E882" s="181"/>
      <c r="F882" s="181"/>
      <c r="G882" s="181"/>
      <c r="H882" s="181"/>
      <c r="I882" s="181"/>
      <c r="J882" s="181"/>
      <c r="K882" s="181"/>
      <c r="L882" s="181"/>
      <c r="M882" s="181"/>
      <c r="N882" s="181"/>
      <c r="O882" s="181"/>
      <c r="P882" s="181"/>
      <c r="Q882" s="181"/>
      <c r="R882" s="181"/>
      <c r="S882" s="181"/>
      <c r="T882" s="181"/>
      <c r="U882" s="181"/>
      <c r="V882" s="181"/>
      <c r="W882" s="181"/>
      <c r="X882" s="181"/>
      <c r="Y882" s="181"/>
      <c r="Z882" s="181"/>
    </row>
    <row r="883" customFormat="false" ht="15.75" hidden="false" customHeight="false" outlineLevel="0" collapsed="false">
      <c r="A883" s="181"/>
      <c r="B883" s="181"/>
      <c r="C883" s="181"/>
      <c r="D883" s="181"/>
      <c r="E883" s="181"/>
      <c r="F883" s="181"/>
      <c r="G883" s="181"/>
      <c r="H883" s="181"/>
      <c r="I883" s="181"/>
      <c r="J883" s="181"/>
      <c r="K883" s="181"/>
      <c r="L883" s="181"/>
      <c r="M883" s="181"/>
      <c r="N883" s="181"/>
      <c r="O883" s="181"/>
      <c r="P883" s="181"/>
      <c r="Q883" s="181"/>
      <c r="R883" s="181"/>
      <c r="S883" s="181"/>
      <c r="T883" s="181"/>
      <c r="U883" s="181"/>
      <c r="V883" s="181"/>
      <c r="W883" s="181"/>
      <c r="X883" s="181"/>
      <c r="Y883" s="181"/>
      <c r="Z883" s="181"/>
    </row>
    <row r="884" customFormat="false" ht="15.75" hidden="false" customHeight="false" outlineLevel="0" collapsed="false">
      <c r="A884" s="181"/>
      <c r="B884" s="181"/>
      <c r="C884" s="181"/>
      <c r="D884" s="181"/>
      <c r="E884" s="181"/>
      <c r="F884" s="181"/>
      <c r="G884" s="181"/>
      <c r="H884" s="181"/>
      <c r="I884" s="181"/>
      <c r="J884" s="181"/>
      <c r="K884" s="181"/>
      <c r="L884" s="181"/>
      <c r="M884" s="181"/>
      <c r="N884" s="181"/>
      <c r="O884" s="181"/>
      <c r="P884" s="181"/>
      <c r="Q884" s="181"/>
      <c r="R884" s="181"/>
      <c r="S884" s="181"/>
      <c r="T884" s="181"/>
      <c r="U884" s="181"/>
      <c r="V884" s="181"/>
      <c r="W884" s="181"/>
      <c r="X884" s="181"/>
      <c r="Y884" s="181"/>
      <c r="Z884" s="181"/>
    </row>
    <row r="885" customFormat="false" ht="15.75" hidden="false" customHeight="false" outlineLevel="0" collapsed="false">
      <c r="A885" s="181"/>
      <c r="B885" s="181"/>
      <c r="C885" s="181"/>
      <c r="D885" s="181"/>
      <c r="E885" s="181"/>
      <c r="F885" s="181"/>
      <c r="G885" s="181"/>
      <c r="H885" s="181"/>
      <c r="I885" s="181"/>
      <c r="J885" s="181"/>
      <c r="K885" s="181"/>
      <c r="L885" s="181"/>
      <c r="M885" s="181"/>
      <c r="N885" s="181"/>
      <c r="O885" s="181"/>
      <c r="P885" s="181"/>
      <c r="Q885" s="181"/>
      <c r="R885" s="181"/>
      <c r="S885" s="181"/>
      <c r="T885" s="181"/>
      <c r="U885" s="181"/>
      <c r="V885" s="181"/>
      <c r="W885" s="181"/>
      <c r="X885" s="181"/>
      <c r="Y885" s="181"/>
      <c r="Z885" s="181"/>
    </row>
    <row r="886" customFormat="false" ht="15.75" hidden="false" customHeight="false" outlineLevel="0" collapsed="false">
      <c r="A886" s="181"/>
      <c r="B886" s="181"/>
      <c r="C886" s="181"/>
      <c r="D886" s="181"/>
      <c r="E886" s="181"/>
      <c r="F886" s="181"/>
      <c r="G886" s="181"/>
      <c r="H886" s="181"/>
      <c r="I886" s="181"/>
      <c r="J886" s="181"/>
      <c r="K886" s="181"/>
      <c r="L886" s="181"/>
      <c r="M886" s="181"/>
      <c r="N886" s="181"/>
      <c r="O886" s="181"/>
      <c r="P886" s="181"/>
      <c r="Q886" s="181"/>
      <c r="R886" s="181"/>
      <c r="S886" s="181"/>
      <c r="T886" s="181"/>
      <c r="U886" s="181"/>
      <c r="V886" s="181"/>
      <c r="W886" s="181"/>
      <c r="X886" s="181"/>
      <c r="Y886" s="181"/>
      <c r="Z886" s="181"/>
    </row>
    <row r="887" customFormat="false" ht="15.75" hidden="false" customHeight="false" outlineLevel="0" collapsed="false">
      <c r="A887" s="181"/>
      <c r="B887" s="181"/>
      <c r="C887" s="181"/>
      <c r="D887" s="181"/>
      <c r="E887" s="181"/>
      <c r="F887" s="181"/>
      <c r="G887" s="181"/>
      <c r="H887" s="181"/>
      <c r="I887" s="181"/>
      <c r="J887" s="181"/>
      <c r="K887" s="181"/>
      <c r="L887" s="181"/>
      <c r="M887" s="181"/>
      <c r="N887" s="181"/>
      <c r="O887" s="181"/>
      <c r="P887" s="181"/>
      <c r="Q887" s="181"/>
      <c r="R887" s="181"/>
      <c r="S887" s="181"/>
      <c r="T887" s="181"/>
      <c r="U887" s="181"/>
      <c r="V887" s="181"/>
      <c r="W887" s="181"/>
      <c r="X887" s="181"/>
      <c r="Y887" s="181"/>
      <c r="Z887" s="181"/>
    </row>
    <row r="888" customFormat="false" ht="15.75" hidden="false" customHeight="false" outlineLevel="0" collapsed="false">
      <c r="A888" s="181"/>
      <c r="B888" s="181"/>
      <c r="C888" s="181"/>
      <c r="D888" s="181"/>
      <c r="E888" s="181"/>
      <c r="F888" s="181"/>
      <c r="G888" s="181"/>
      <c r="H888" s="181"/>
      <c r="I888" s="181"/>
      <c r="J888" s="181"/>
      <c r="K888" s="181"/>
      <c r="L888" s="181"/>
      <c r="M888" s="181"/>
      <c r="N888" s="181"/>
      <c r="O888" s="181"/>
      <c r="P888" s="181"/>
      <c r="Q888" s="181"/>
      <c r="R888" s="181"/>
      <c r="S888" s="181"/>
      <c r="T888" s="181"/>
      <c r="U888" s="181"/>
      <c r="V888" s="181"/>
      <c r="W888" s="181"/>
      <c r="X888" s="181"/>
      <c r="Y888" s="181"/>
      <c r="Z888" s="181"/>
    </row>
    <row r="889" customFormat="false" ht="15.75" hidden="false" customHeight="false" outlineLevel="0" collapsed="false">
      <c r="A889" s="181"/>
      <c r="B889" s="181"/>
      <c r="C889" s="181"/>
      <c r="D889" s="181"/>
      <c r="E889" s="181"/>
      <c r="F889" s="181"/>
      <c r="G889" s="181"/>
      <c r="H889" s="181"/>
      <c r="I889" s="181"/>
      <c r="J889" s="181"/>
      <c r="K889" s="181"/>
      <c r="L889" s="181"/>
      <c r="M889" s="181"/>
      <c r="N889" s="181"/>
      <c r="O889" s="181"/>
      <c r="P889" s="181"/>
      <c r="Q889" s="181"/>
      <c r="R889" s="181"/>
      <c r="S889" s="181"/>
      <c r="T889" s="181"/>
      <c r="U889" s="181"/>
      <c r="V889" s="181"/>
      <c r="W889" s="181"/>
      <c r="X889" s="181"/>
      <c r="Y889" s="181"/>
      <c r="Z889" s="181"/>
    </row>
    <row r="890" customFormat="false" ht="15.75" hidden="false" customHeight="false" outlineLevel="0" collapsed="false">
      <c r="A890" s="181"/>
      <c r="B890" s="181"/>
      <c r="C890" s="181"/>
      <c r="D890" s="181"/>
      <c r="E890" s="181"/>
      <c r="F890" s="181"/>
      <c r="G890" s="181"/>
      <c r="H890" s="181"/>
      <c r="I890" s="181"/>
      <c r="J890" s="181"/>
      <c r="K890" s="181"/>
      <c r="L890" s="181"/>
      <c r="M890" s="181"/>
      <c r="N890" s="181"/>
      <c r="O890" s="181"/>
      <c r="P890" s="181"/>
      <c r="Q890" s="181"/>
      <c r="R890" s="181"/>
      <c r="S890" s="181"/>
      <c r="T890" s="181"/>
      <c r="U890" s="181"/>
      <c r="V890" s="181"/>
      <c r="W890" s="181"/>
      <c r="X890" s="181"/>
      <c r="Y890" s="181"/>
      <c r="Z890" s="181"/>
    </row>
    <row r="891" customFormat="false" ht="15.75" hidden="false" customHeight="false" outlineLevel="0" collapsed="false">
      <c r="A891" s="181"/>
      <c r="B891" s="181"/>
      <c r="C891" s="181"/>
      <c r="D891" s="181"/>
      <c r="E891" s="181"/>
      <c r="F891" s="181"/>
      <c r="G891" s="181"/>
      <c r="H891" s="181"/>
      <c r="I891" s="181"/>
      <c r="J891" s="181"/>
      <c r="K891" s="181"/>
      <c r="L891" s="181"/>
      <c r="M891" s="181"/>
      <c r="N891" s="181"/>
      <c r="O891" s="181"/>
      <c r="P891" s="181"/>
      <c r="Q891" s="181"/>
      <c r="R891" s="181"/>
      <c r="S891" s="181"/>
      <c r="T891" s="181"/>
      <c r="U891" s="181"/>
      <c r="V891" s="181"/>
      <c r="W891" s="181"/>
      <c r="X891" s="181"/>
      <c r="Y891" s="181"/>
      <c r="Z891" s="181"/>
    </row>
    <row r="892" customFormat="false" ht="15.75" hidden="false" customHeight="false" outlineLevel="0" collapsed="false">
      <c r="A892" s="181"/>
      <c r="B892" s="181"/>
      <c r="C892" s="181"/>
      <c r="D892" s="181"/>
      <c r="E892" s="181"/>
      <c r="F892" s="181"/>
      <c r="G892" s="181"/>
      <c r="H892" s="181"/>
      <c r="I892" s="181"/>
      <c r="J892" s="181"/>
      <c r="K892" s="181"/>
      <c r="L892" s="181"/>
      <c r="M892" s="181"/>
      <c r="N892" s="181"/>
      <c r="O892" s="181"/>
      <c r="P892" s="181"/>
      <c r="Q892" s="181"/>
      <c r="R892" s="181"/>
      <c r="S892" s="181"/>
      <c r="T892" s="181"/>
      <c r="U892" s="181"/>
      <c r="V892" s="181"/>
      <c r="W892" s="181"/>
      <c r="X892" s="181"/>
      <c r="Y892" s="181"/>
      <c r="Z892" s="181"/>
    </row>
    <row r="893" customFormat="false" ht="15.75" hidden="false" customHeight="false" outlineLevel="0" collapsed="false">
      <c r="A893" s="181"/>
      <c r="B893" s="181"/>
      <c r="C893" s="181"/>
      <c r="D893" s="181"/>
      <c r="E893" s="181"/>
      <c r="F893" s="181"/>
      <c r="G893" s="181"/>
      <c r="H893" s="181"/>
      <c r="I893" s="181"/>
      <c r="J893" s="181"/>
      <c r="K893" s="181"/>
      <c r="L893" s="181"/>
      <c r="M893" s="181"/>
      <c r="N893" s="181"/>
      <c r="O893" s="181"/>
      <c r="P893" s="181"/>
      <c r="Q893" s="181"/>
      <c r="R893" s="181"/>
      <c r="S893" s="181"/>
      <c r="T893" s="181"/>
      <c r="U893" s="181"/>
      <c r="V893" s="181"/>
      <c r="W893" s="181"/>
      <c r="X893" s="181"/>
      <c r="Y893" s="181"/>
      <c r="Z893" s="181"/>
    </row>
    <row r="894" customFormat="false" ht="15.75" hidden="false" customHeight="false" outlineLevel="0" collapsed="false">
      <c r="A894" s="181"/>
      <c r="B894" s="181"/>
      <c r="C894" s="181"/>
      <c r="D894" s="181"/>
      <c r="E894" s="181"/>
      <c r="F894" s="181"/>
      <c r="G894" s="181"/>
      <c r="H894" s="181"/>
      <c r="I894" s="181"/>
      <c r="J894" s="181"/>
      <c r="K894" s="181"/>
      <c r="L894" s="181"/>
      <c r="M894" s="181"/>
      <c r="N894" s="181"/>
      <c r="O894" s="181"/>
      <c r="P894" s="181"/>
      <c r="Q894" s="181"/>
      <c r="R894" s="181"/>
      <c r="S894" s="181"/>
      <c r="T894" s="181"/>
      <c r="U894" s="181"/>
      <c r="V894" s="181"/>
      <c r="W894" s="181"/>
      <c r="X894" s="181"/>
      <c r="Y894" s="181"/>
      <c r="Z894" s="181"/>
    </row>
    <row r="895" customFormat="false" ht="15.75" hidden="false" customHeight="false" outlineLevel="0" collapsed="false">
      <c r="A895" s="181"/>
      <c r="B895" s="181"/>
      <c r="C895" s="181"/>
      <c r="D895" s="181"/>
      <c r="E895" s="181"/>
      <c r="F895" s="181"/>
      <c r="G895" s="181"/>
      <c r="H895" s="181"/>
      <c r="I895" s="181"/>
      <c r="J895" s="181"/>
      <c r="K895" s="181"/>
      <c r="L895" s="181"/>
      <c r="M895" s="181"/>
      <c r="N895" s="181"/>
      <c r="O895" s="181"/>
      <c r="P895" s="181"/>
      <c r="Q895" s="181"/>
      <c r="R895" s="181"/>
      <c r="S895" s="181"/>
      <c r="T895" s="181"/>
      <c r="U895" s="181"/>
      <c r="V895" s="181"/>
      <c r="W895" s="181"/>
      <c r="X895" s="181"/>
      <c r="Y895" s="181"/>
      <c r="Z895" s="181"/>
    </row>
    <row r="896" customFormat="false" ht="15.75" hidden="false" customHeight="false" outlineLevel="0" collapsed="false">
      <c r="A896" s="181"/>
      <c r="B896" s="181"/>
      <c r="C896" s="181"/>
      <c r="D896" s="181"/>
      <c r="E896" s="181"/>
      <c r="F896" s="181"/>
      <c r="G896" s="181"/>
      <c r="H896" s="181"/>
      <c r="I896" s="181"/>
      <c r="J896" s="181"/>
      <c r="K896" s="181"/>
      <c r="L896" s="181"/>
      <c r="M896" s="181"/>
      <c r="N896" s="181"/>
      <c r="O896" s="181"/>
      <c r="P896" s="181"/>
      <c r="Q896" s="181"/>
      <c r="R896" s="181"/>
      <c r="S896" s="181"/>
      <c r="T896" s="181"/>
      <c r="U896" s="181"/>
      <c r="V896" s="181"/>
      <c r="W896" s="181"/>
      <c r="X896" s="181"/>
      <c r="Y896" s="181"/>
      <c r="Z896" s="181"/>
    </row>
    <row r="897" customFormat="false" ht="15.75" hidden="false" customHeight="false" outlineLevel="0" collapsed="false">
      <c r="A897" s="181"/>
      <c r="B897" s="181"/>
      <c r="C897" s="181"/>
      <c r="D897" s="181"/>
      <c r="E897" s="181"/>
      <c r="F897" s="181"/>
      <c r="G897" s="181"/>
      <c r="H897" s="181"/>
      <c r="I897" s="181"/>
      <c r="J897" s="181"/>
      <c r="K897" s="181"/>
      <c r="L897" s="181"/>
      <c r="M897" s="181"/>
      <c r="N897" s="181"/>
      <c r="O897" s="181"/>
      <c r="P897" s="181"/>
      <c r="Q897" s="181"/>
      <c r="R897" s="181"/>
      <c r="S897" s="181"/>
      <c r="T897" s="181"/>
      <c r="U897" s="181"/>
      <c r="V897" s="181"/>
      <c r="W897" s="181"/>
      <c r="X897" s="181"/>
      <c r="Y897" s="181"/>
      <c r="Z897" s="181"/>
    </row>
    <row r="898" customFormat="false" ht="15.75" hidden="false" customHeight="false" outlineLevel="0" collapsed="false">
      <c r="A898" s="181"/>
      <c r="B898" s="181"/>
      <c r="C898" s="181"/>
      <c r="D898" s="181"/>
      <c r="E898" s="181"/>
      <c r="F898" s="181"/>
      <c r="G898" s="181"/>
      <c r="H898" s="181"/>
      <c r="I898" s="181"/>
      <c r="J898" s="181"/>
      <c r="K898" s="181"/>
      <c r="L898" s="181"/>
      <c r="M898" s="181"/>
      <c r="N898" s="181"/>
      <c r="O898" s="181"/>
      <c r="P898" s="181"/>
      <c r="Q898" s="181"/>
      <c r="R898" s="181"/>
      <c r="S898" s="181"/>
      <c r="T898" s="181"/>
      <c r="U898" s="181"/>
      <c r="V898" s="181"/>
      <c r="W898" s="181"/>
      <c r="X898" s="181"/>
      <c r="Y898" s="181"/>
      <c r="Z898" s="181"/>
    </row>
    <row r="899" customFormat="false" ht="15.75" hidden="false" customHeight="false" outlineLevel="0" collapsed="false">
      <c r="A899" s="181"/>
      <c r="B899" s="181"/>
      <c r="C899" s="181"/>
      <c r="D899" s="181"/>
      <c r="E899" s="181"/>
      <c r="F899" s="181"/>
      <c r="G899" s="181"/>
      <c r="H899" s="181"/>
      <c r="I899" s="181"/>
      <c r="J899" s="181"/>
      <c r="K899" s="181"/>
      <c r="L899" s="181"/>
      <c r="M899" s="181"/>
      <c r="N899" s="181"/>
      <c r="O899" s="181"/>
      <c r="P899" s="181"/>
      <c r="Q899" s="181"/>
      <c r="R899" s="181"/>
      <c r="S899" s="181"/>
      <c r="T899" s="181"/>
      <c r="U899" s="181"/>
      <c r="V899" s="181"/>
      <c r="W899" s="181"/>
      <c r="X899" s="181"/>
      <c r="Y899" s="181"/>
      <c r="Z899" s="181"/>
    </row>
    <row r="900" customFormat="false" ht="15.75" hidden="false" customHeight="false" outlineLevel="0" collapsed="false">
      <c r="A900" s="181"/>
      <c r="B900" s="181"/>
      <c r="C900" s="181"/>
      <c r="D900" s="181"/>
      <c r="E900" s="181"/>
      <c r="F900" s="181"/>
      <c r="G900" s="181"/>
      <c r="H900" s="181"/>
      <c r="I900" s="181"/>
      <c r="J900" s="181"/>
      <c r="K900" s="181"/>
      <c r="L900" s="181"/>
      <c r="M900" s="181"/>
      <c r="N900" s="181"/>
      <c r="O900" s="181"/>
      <c r="P900" s="181"/>
      <c r="Q900" s="181"/>
      <c r="R900" s="181"/>
      <c r="S900" s="181"/>
      <c r="T900" s="181"/>
      <c r="U900" s="181"/>
      <c r="V900" s="181"/>
      <c r="W900" s="181"/>
      <c r="X900" s="181"/>
      <c r="Y900" s="181"/>
      <c r="Z900" s="181"/>
    </row>
    <row r="901" customFormat="false" ht="15.75" hidden="false" customHeight="false" outlineLevel="0" collapsed="false">
      <c r="A901" s="181"/>
      <c r="B901" s="181"/>
      <c r="C901" s="181"/>
      <c r="D901" s="181"/>
      <c r="E901" s="181"/>
      <c r="F901" s="181"/>
      <c r="G901" s="181"/>
      <c r="H901" s="181"/>
      <c r="I901" s="181"/>
      <c r="J901" s="181"/>
      <c r="K901" s="181"/>
      <c r="L901" s="181"/>
      <c r="M901" s="181"/>
      <c r="N901" s="181"/>
      <c r="O901" s="181"/>
      <c r="P901" s="181"/>
      <c r="Q901" s="181"/>
      <c r="R901" s="181"/>
      <c r="S901" s="181"/>
      <c r="T901" s="181"/>
      <c r="U901" s="181"/>
      <c r="V901" s="181"/>
      <c r="W901" s="181"/>
      <c r="X901" s="181"/>
      <c r="Y901" s="181"/>
      <c r="Z901" s="181"/>
    </row>
    <row r="902" customFormat="false" ht="15.75" hidden="false" customHeight="false" outlineLevel="0" collapsed="false">
      <c r="A902" s="181"/>
      <c r="B902" s="181"/>
      <c r="C902" s="181"/>
      <c r="D902" s="181"/>
      <c r="E902" s="181"/>
      <c r="F902" s="181"/>
      <c r="G902" s="181"/>
      <c r="H902" s="181"/>
      <c r="I902" s="181"/>
      <c r="J902" s="181"/>
      <c r="K902" s="181"/>
      <c r="L902" s="181"/>
      <c r="M902" s="181"/>
      <c r="N902" s="181"/>
      <c r="O902" s="181"/>
      <c r="P902" s="181"/>
      <c r="Q902" s="181"/>
      <c r="R902" s="181"/>
      <c r="S902" s="181"/>
      <c r="T902" s="181"/>
      <c r="U902" s="181"/>
      <c r="V902" s="181"/>
      <c r="W902" s="181"/>
      <c r="X902" s="181"/>
      <c r="Y902" s="181"/>
      <c r="Z902" s="181"/>
    </row>
    <row r="903" customFormat="false" ht="15.75" hidden="false" customHeight="false" outlineLevel="0" collapsed="false">
      <c r="A903" s="181"/>
      <c r="B903" s="181"/>
      <c r="C903" s="181"/>
      <c r="D903" s="181"/>
      <c r="E903" s="181"/>
      <c r="F903" s="181"/>
      <c r="G903" s="181"/>
      <c r="H903" s="181"/>
      <c r="I903" s="181"/>
      <c r="J903" s="181"/>
      <c r="K903" s="181"/>
      <c r="L903" s="181"/>
      <c r="M903" s="181"/>
      <c r="N903" s="181"/>
      <c r="O903" s="181"/>
      <c r="P903" s="181"/>
      <c r="Q903" s="181"/>
      <c r="R903" s="181"/>
      <c r="S903" s="181"/>
      <c r="T903" s="181"/>
      <c r="U903" s="181"/>
      <c r="V903" s="181"/>
      <c r="W903" s="181"/>
      <c r="X903" s="181"/>
      <c r="Y903" s="181"/>
      <c r="Z903" s="181"/>
    </row>
    <row r="904" customFormat="false" ht="15.75" hidden="false" customHeight="false" outlineLevel="0" collapsed="false">
      <c r="A904" s="181"/>
      <c r="B904" s="181"/>
      <c r="C904" s="181"/>
      <c r="D904" s="181"/>
      <c r="E904" s="181"/>
      <c r="F904" s="181"/>
      <c r="G904" s="181"/>
      <c r="H904" s="181"/>
      <c r="I904" s="181"/>
      <c r="J904" s="181"/>
      <c r="K904" s="181"/>
      <c r="L904" s="181"/>
      <c r="M904" s="181"/>
      <c r="N904" s="181"/>
      <c r="O904" s="181"/>
      <c r="P904" s="181"/>
      <c r="Q904" s="181"/>
      <c r="R904" s="181"/>
      <c r="S904" s="181"/>
      <c r="T904" s="181"/>
      <c r="U904" s="181"/>
      <c r="V904" s="181"/>
      <c r="W904" s="181"/>
      <c r="X904" s="181"/>
      <c r="Y904" s="181"/>
      <c r="Z904" s="181"/>
    </row>
    <row r="905" customFormat="false" ht="15.75" hidden="false" customHeight="false" outlineLevel="0" collapsed="false">
      <c r="A905" s="181"/>
      <c r="B905" s="181"/>
      <c r="C905" s="181"/>
      <c r="D905" s="181"/>
      <c r="E905" s="181"/>
      <c r="F905" s="181"/>
      <c r="G905" s="181"/>
      <c r="H905" s="181"/>
      <c r="I905" s="181"/>
      <c r="J905" s="181"/>
      <c r="K905" s="181"/>
      <c r="L905" s="181"/>
      <c r="M905" s="181"/>
      <c r="N905" s="181"/>
      <c r="O905" s="181"/>
      <c r="P905" s="181"/>
      <c r="Q905" s="181"/>
      <c r="R905" s="181"/>
      <c r="S905" s="181"/>
      <c r="T905" s="181"/>
      <c r="U905" s="181"/>
      <c r="V905" s="181"/>
      <c r="W905" s="181"/>
      <c r="X905" s="181"/>
      <c r="Y905" s="181"/>
      <c r="Z905" s="181"/>
    </row>
    <row r="906" customFormat="false" ht="15.75" hidden="false" customHeight="false" outlineLevel="0" collapsed="false">
      <c r="A906" s="181"/>
      <c r="B906" s="181"/>
      <c r="C906" s="181"/>
      <c r="D906" s="181"/>
      <c r="E906" s="181"/>
      <c r="F906" s="181"/>
      <c r="G906" s="181"/>
      <c r="H906" s="181"/>
      <c r="I906" s="181"/>
      <c r="J906" s="181"/>
      <c r="K906" s="181"/>
      <c r="L906" s="181"/>
      <c r="M906" s="181"/>
      <c r="N906" s="181"/>
      <c r="O906" s="181"/>
      <c r="P906" s="181"/>
      <c r="Q906" s="181"/>
      <c r="R906" s="181"/>
      <c r="S906" s="181"/>
      <c r="T906" s="181"/>
      <c r="U906" s="181"/>
      <c r="V906" s="181"/>
      <c r="W906" s="181"/>
      <c r="X906" s="181"/>
      <c r="Y906" s="181"/>
      <c r="Z906" s="181"/>
    </row>
    <row r="907" customFormat="false" ht="15.75" hidden="false" customHeight="false" outlineLevel="0" collapsed="false">
      <c r="A907" s="181"/>
      <c r="B907" s="181"/>
      <c r="C907" s="181"/>
      <c r="D907" s="181"/>
      <c r="E907" s="181"/>
      <c r="F907" s="181"/>
      <c r="G907" s="181"/>
      <c r="H907" s="181"/>
      <c r="I907" s="181"/>
      <c r="J907" s="181"/>
      <c r="K907" s="181"/>
      <c r="L907" s="181"/>
      <c r="M907" s="181"/>
      <c r="N907" s="181"/>
      <c r="O907" s="181"/>
      <c r="P907" s="181"/>
      <c r="Q907" s="181"/>
      <c r="R907" s="181"/>
      <c r="S907" s="181"/>
      <c r="T907" s="181"/>
      <c r="U907" s="181"/>
      <c r="V907" s="181"/>
      <c r="W907" s="181"/>
      <c r="X907" s="181"/>
      <c r="Y907" s="181"/>
      <c r="Z907" s="181"/>
    </row>
    <row r="908" customFormat="false" ht="15.75" hidden="false" customHeight="false" outlineLevel="0" collapsed="false">
      <c r="A908" s="181"/>
      <c r="B908" s="181"/>
      <c r="C908" s="181"/>
      <c r="D908" s="181"/>
      <c r="E908" s="181"/>
      <c r="F908" s="181"/>
      <c r="G908" s="181"/>
      <c r="H908" s="181"/>
      <c r="I908" s="181"/>
      <c r="J908" s="181"/>
      <c r="K908" s="181"/>
      <c r="L908" s="181"/>
      <c r="M908" s="181"/>
      <c r="N908" s="181"/>
      <c r="O908" s="181"/>
      <c r="P908" s="181"/>
      <c r="Q908" s="181"/>
      <c r="R908" s="181"/>
      <c r="S908" s="181"/>
      <c r="T908" s="181"/>
      <c r="U908" s="181"/>
      <c r="V908" s="181"/>
      <c r="W908" s="181"/>
      <c r="X908" s="181"/>
      <c r="Y908" s="181"/>
      <c r="Z908" s="181"/>
    </row>
    <row r="909" customFormat="false" ht="15.75" hidden="false" customHeight="false" outlineLevel="0" collapsed="false">
      <c r="A909" s="181"/>
      <c r="B909" s="181"/>
      <c r="C909" s="181"/>
      <c r="D909" s="181"/>
      <c r="E909" s="181"/>
      <c r="F909" s="181"/>
      <c r="G909" s="181"/>
      <c r="H909" s="181"/>
      <c r="I909" s="181"/>
      <c r="J909" s="181"/>
      <c r="K909" s="181"/>
      <c r="L909" s="181"/>
      <c r="M909" s="181"/>
      <c r="N909" s="181"/>
      <c r="O909" s="181"/>
      <c r="P909" s="181"/>
      <c r="Q909" s="181"/>
      <c r="R909" s="181"/>
      <c r="S909" s="181"/>
      <c r="T909" s="181"/>
      <c r="U909" s="181"/>
      <c r="V909" s="181"/>
      <c r="W909" s="181"/>
      <c r="X909" s="181"/>
      <c r="Y909" s="181"/>
      <c r="Z909" s="181"/>
    </row>
    <row r="910" customFormat="false" ht="15.75" hidden="false" customHeight="false" outlineLevel="0" collapsed="false">
      <c r="A910" s="181"/>
      <c r="B910" s="181"/>
      <c r="C910" s="181"/>
      <c r="D910" s="181"/>
      <c r="E910" s="181"/>
      <c r="F910" s="181"/>
      <c r="G910" s="181"/>
      <c r="H910" s="181"/>
      <c r="I910" s="181"/>
      <c r="J910" s="181"/>
      <c r="K910" s="181"/>
      <c r="L910" s="181"/>
      <c r="M910" s="181"/>
      <c r="N910" s="181"/>
      <c r="O910" s="181"/>
      <c r="P910" s="181"/>
      <c r="Q910" s="181"/>
      <c r="R910" s="181"/>
      <c r="S910" s="181"/>
      <c r="T910" s="181"/>
      <c r="U910" s="181"/>
      <c r="V910" s="181"/>
      <c r="W910" s="181"/>
      <c r="X910" s="181"/>
      <c r="Y910" s="181"/>
      <c r="Z910" s="181"/>
    </row>
    <row r="911" customFormat="false" ht="15.75" hidden="false" customHeight="false" outlineLevel="0" collapsed="false">
      <c r="A911" s="181"/>
      <c r="B911" s="181"/>
      <c r="C911" s="181"/>
      <c r="D911" s="181"/>
      <c r="E911" s="181"/>
      <c r="F911" s="181"/>
      <c r="G911" s="181"/>
      <c r="H911" s="181"/>
      <c r="I911" s="181"/>
      <c r="J911" s="181"/>
      <c r="K911" s="181"/>
      <c r="L911" s="181"/>
      <c r="M911" s="181"/>
      <c r="N911" s="181"/>
      <c r="O911" s="181"/>
      <c r="P911" s="181"/>
      <c r="Q911" s="181"/>
      <c r="R911" s="181"/>
      <c r="S911" s="181"/>
      <c r="T911" s="181"/>
      <c r="U911" s="181"/>
      <c r="V911" s="181"/>
      <c r="W911" s="181"/>
      <c r="X911" s="181"/>
      <c r="Y911" s="181"/>
      <c r="Z911" s="181"/>
    </row>
    <row r="912" customFormat="false" ht="15.75" hidden="false" customHeight="false" outlineLevel="0" collapsed="false">
      <c r="A912" s="181"/>
      <c r="B912" s="181"/>
      <c r="C912" s="181"/>
      <c r="D912" s="181"/>
      <c r="E912" s="181"/>
      <c r="F912" s="181"/>
      <c r="G912" s="181"/>
      <c r="H912" s="181"/>
      <c r="I912" s="181"/>
      <c r="J912" s="181"/>
      <c r="K912" s="181"/>
      <c r="L912" s="181"/>
      <c r="M912" s="181"/>
      <c r="N912" s="181"/>
      <c r="O912" s="181"/>
      <c r="P912" s="181"/>
      <c r="Q912" s="181"/>
      <c r="R912" s="181"/>
      <c r="S912" s="181"/>
      <c r="T912" s="181"/>
      <c r="U912" s="181"/>
      <c r="V912" s="181"/>
      <c r="W912" s="181"/>
      <c r="X912" s="181"/>
      <c r="Y912" s="181"/>
      <c r="Z912" s="181"/>
    </row>
    <row r="913" customFormat="false" ht="15.75" hidden="false" customHeight="false" outlineLevel="0" collapsed="false">
      <c r="A913" s="181"/>
      <c r="B913" s="181"/>
      <c r="C913" s="181"/>
      <c r="D913" s="181"/>
      <c r="E913" s="181"/>
      <c r="F913" s="181"/>
      <c r="G913" s="181"/>
      <c r="H913" s="181"/>
      <c r="I913" s="181"/>
      <c r="J913" s="181"/>
      <c r="K913" s="181"/>
      <c r="L913" s="181"/>
      <c r="M913" s="181"/>
      <c r="N913" s="181"/>
      <c r="O913" s="181"/>
      <c r="P913" s="181"/>
      <c r="Q913" s="181"/>
      <c r="R913" s="181"/>
      <c r="S913" s="181"/>
      <c r="T913" s="181"/>
      <c r="U913" s="181"/>
      <c r="V913" s="181"/>
      <c r="W913" s="181"/>
      <c r="X913" s="181"/>
      <c r="Y913" s="181"/>
      <c r="Z913" s="181"/>
    </row>
    <row r="914" customFormat="false" ht="15.75" hidden="false" customHeight="false" outlineLevel="0" collapsed="false">
      <c r="A914" s="181"/>
      <c r="B914" s="181"/>
      <c r="C914" s="181"/>
      <c r="D914" s="181"/>
      <c r="E914" s="181"/>
      <c r="F914" s="181"/>
      <c r="G914" s="181"/>
      <c r="H914" s="181"/>
      <c r="I914" s="181"/>
      <c r="J914" s="181"/>
      <c r="K914" s="181"/>
      <c r="L914" s="181"/>
      <c r="M914" s="181"/>
      <c r="N914" s="181"/>
      <c r="O914" s="181"/>
      <c r="P914" s="181"/>
      <c r="Q914" s="181"/>
      <c r="R914" s="181"/>
      <c r="S914" s="181"/>
      <c r="T914" s="181"/>
      <c r="U914" s="181"/>
      <c r="V914" s="181"/>
      <c r="W914" s="181"/>
      <c r="X914" s="181"/>
      <c r="Y914" s="181"/>
      <c r="Z914" s="181"/>
    </row>
    <row r="915" customFormat="false" ht="15.75" hidden="false" customHeight="false" outlineLevel="0" collapsed="false">
      <c r="A915" s="181"/>
      <c r="B915" s="181"/>
      <c r="C915" s="181"/>
      <c r="D915" s="181"/>
      <c r="E915" s="181"/>
      <c r="F915" s="181"/>
      <c r="G915" s="181"/>
      <c r="H915" s="181"/>
      <c r="I915" s="181"/>
      <c r="J915" s="181"/>
      <c r="K915" s="181"/>
      <c r="L915" s="181"/>
      <c r="M915" s="181"/>
      <c r="N915" s="181"/>
      <c r="O915" s="181"/>
      <c r="P915" s="181"/>
      <c r="Q915" s="181"/>
      <c r="R915" s="181"/>
      <c r="S915" s="181"/>
      <c r="T915" s="181"/>
      <c r="U915" s="181"/>
      <c r="V915" s="181"/>
      <c r="W915" s="181"/>
      <c r="X915" s="181"/>
      <c r="Y915" s="181"/>
      <c r="Z915" s="181"/>
    </row>
    <row r="916" customFormat="false" ht="15.75" hidden="false" customHeight="false" outlineLevel="0" collapsed="false">
      <c r="A916" s="181"/>
      <c r="B916" s="181"/>
      <c r="C916" s="181"/>
      <c r="D916" s="181"/>
      <c r="E916" s="181"/>
      <c r="F916" s="181"/>
      <c r="G916" s="181"/>
      <c r="H916" s="181"/>
      <c r="I916" s="181"/>
      <c r="J916" s="181"/>
      <c r="K916" s="181"/>
      <c r="L916" s="181"/>
      <c r="M916" s="181"/>
      <c r="N916" s="181"/>
      <c r="O916" s="181"/>
      <c r="P916" s="181"/>
      <c r="Q916" s="181"/>
      <c r="R916" s="181"/>
      <c r="S916" s="181"/>
      <c r="T916" s="181"/>
      <c r="U916" s="181"/>
      <c r="V916" s="181"/>
      <c r="W916" s="181"/>
      <c r="X916" s="181"/>
      <c r="Y916" s="181"/>
      <c r="Z916" s="181"/>
    </row>
    <row r="917" customFormat="false" ht="15.75" hidden="false" customHeight="false" outlineLevel="0" collapsed="false">
      <c r="A917" s="181"/>
      <c r="B917" s="181"/>
      <c r="C917" s="181"/>
      <c r="D917" s="181"/>
      <c r="E917" s="181"/>
      <c r="F917" s="181"/>
      <c r="G917" s="181"/>
      <c r="H917" s="181"/>
      <c r="I917" s="181"/>
      <c r="J917" s="181"/>
      <c r="K917" s="181"/>
      <c r="L917" s="181"/>
      <c r="M917" s="181"/>
      <c r="N917" s="181"/>
      <c r="O917" s="181"/>
      <c r="P917" s="181"/>
      <c r="Q917" s="181"/>
      <c r="R917" s="181"/>
      <c r="S917" s="181"/>
      <c r="T917" s="181"/>
      <c r="U917" s="181"/>
      <c r="V917" s="181"/>
      <c r="W917" s="181"/>
      <c r="X917" s="181"/>
      <c r="Y917" s="181"/>
      <c r="Z917" s="181"/>
    </row>
    <row r="918" customFormat="false" ht="15.75" hidden="false" customHeight="false" outlineLevel="0" collapsed="false">
      <c r="A918" s="181"/>
      <c r="B918" s="181"/>
      <c r="C918" s="181"/>
      <c r="D918" s="181"/>
      <c r="E918" s="181"/>
      <c r="F918" s="181"/>
      <c r="G918" s="181"/>
      <c r="H918" s="181"/>
      <c r="I918" s="181"/>
      <c r="J918" s="181"/>
      <c r="K918" s="181"/>
      <c r="L918" s="181"/>
      <c r="M918" s="181"/>
      <c r="N918" s="181"/>
      <c r="O918" s="181"/>
      <c r="P918" s="181"/>
      <c r="Q918" s="181"/>
      <c r="R918" s="181"/>
      <c r="S918" s="181"/>
      <c r="T918" s="181"/>
      <c r="U918" s="181"/>
      <c r="V918" s="181"/>
      <c r="W918" s="181"/>
      <c r="X918" s="181"/>
      <c r="Y918" s="181"/>
      <c r="Z918" s="181"/>
    </row>
    <row r="919" customFormat="false" ht="15.75" hidden="false" customHeight="false" outlineLevel="0" collapsed="false">
      <c r="A919" s="181"/>
      <c r="B919" s="181"/>
      <c r="C919" s="181"/>
      <c r="D919" s="181"/>
      <c r="E919" s="181"/>
      <c r="F919" s="181"/>
      <c r="G919" s="181"/>
      <c r="H919" s="181"/>
      <c r="I919" s="181"/>
      <c r="J919" s="181"/>
      <c r="K919" s="181"/>
      <c r="L919" s="181"/>
      <c r="M919" s="181"/>
      <c r="N919" s="181"/>
      <c r="O919" s="181"/>
      <c r="P919" s="181"/>
      <c r="Q919" s="181"/>
      <c r="R919" s="181"/>
      <c r="S919" s="181"/>
      <c r="T919" s="181"/>
      <c r="U919" s="181"/>
      <c r="V919" s="181"/>
      <c r="W919" s="181"/>
      <c r="X919" s="181"/>
      <c r="Y919" s="181"/>
      <c r="Z919" s="181"/>
    </row>
    <row r="920" customFormat="false" ht="15.75" hidden="false" customHeight="false" outlineLevel="0" collapsed="false">
      <c r="A920" s="181"/>
      <c r="B920" s="181"/>
      <c r="C920" s="181"/>
      <c r="D920" s="181"/>
      <c r="E920" s="181"/>
      <c r="F920" s="181"/>
      <c r="G920" s="181"/>
      <c r="H920" s="181"/>
      <c r="I920" s="181"/>
      <c r="J920" s="181"/>
      <c r="K920" s="181"/>
      <c r="L920" s="181"/>
      <c r="M920" s="181"/>
      <c r="N920" s="181"/>
      <c r="O920" s="181"/>
      <c r="P920" s="181"/>
      <c r="Q920" s="181"/>
      <c r="R920" s="181"/>
      <c r="S920" s="181"/>
      <c r="T920" s="181"/>
      <c r="U920" s="181"/>
      <c r="V920" s="181"/>
      <c r="W920" s="181"/>
      <c r="X920" s="181"/>
      <c r="Y920" s="181"/>
      <c r="Z920" s="181"/>
    </row>
    <row r="921" customFormat="false" ht="15.75" hidden="false" customHeight="false" outlineLevel="0" collapsed="false">
      <c r="A921" s="181"/>
      <c r="B921" s="181"/>
      <c r="C921" s="181"/>
      <c r="D921" s="181"/>
      <c r="E921" s="181"/>
      <c r="F921" s="181"/>
      <c r="G921" s="181"/>
      <c r="H921" s="181"/>
      <c r="I921" s="181"/>
      <c r="J921" s="181"/>
      <c r="K921" s="181"/>
      <c r="L921" s="181"/>
      <c r="M921" s="181"/>
      <c r="N921" s="181"/>
      <c r="O921" s="181"/>
      <c r="P921" s="181"/>
      <c r="Q921" s="181"/>
      <c r="R921" s="181"/>
      <c r="S921" s="181"/>
      <c r="T921" s="181"/>
      <c r="U921" s="181"/>
      <c r="V921" s="181"/>
      <c r="W921" s="181"/>
      <c r="X921" s="181"/>
      <c r="Y921" s="181"/>
      <c r="Z921" s="181"/>
    </row>
    <row r="922" customFormat="false" ht="15.75" hidden="false" customHeight="false" outlineLevel="0" collapsed="false">
      <c r="A922" s="181"/>
      <c r="B922" s="181"/>
      <c r="C922" s="181"/>
      <c r="D922" s="181"/>
      <c r="E922" s="181"/>
      <c r="F922" s="181"/>
      <c r="G922" s="181"/>
      <c r="H922" s="181"/>
      <c r="I922" s="181"/>
      <c r="J922" s="181"/>
      <c r="K922" s="181"/>
      <c r="L922" s="181"/>
      <c r="M922" s="181"/>
      <c r="N922" s="181"/>
      <c r="O922" s="181"/>
      <c r="P922" s="181"/>
      <c r="Q922" s="181"/>
      <c r="R922" s="181"/>
      <c r="S922" s="181"/>
      <c r="T922" s="181"/>
      <c r="U922" s="181"/>
      <c r="V922" s="181"/>
      <c r="W922" s="181"/>
      <c r="X922" s="181"/>
      <c r="Y922" s="181"/>
      <c r="Z922" s="181"/>
    </row>
    <row r="923" customFormat="false" ht="15.75" hidden="false" customHeight="false" outlineLevel="0" collapsed="false">
      <c r="A923" s="181"/>
      <c r="B923" s="181"/>
      <c r="C923" s="181"/>
      <c r="D923" s="181"/>
      <c r="E923" s="181"/>
      <c r="F923" s="181"/>
      <c r="G923" s="181"/>
      <c r="H923" s="181"/>
      <c r="I923" s="181"/>
      <c r="J923" s="181"/>
      <c r="K923" s="181"/>
      <c r="L923" s="181"/>
      <c r="M923" s="181"/>
      <c r="N923" s="181"/>
      <c r="O923" s="181"/>
      <c r="P923" s="181"/>
      <c r="Q923" s="181"/>
      <c r="R923" s="181"/>
      <c r="S923" s="181"/>
      <c r="T923" s="181"/>
      <c r="U923" s="181"/>
      <c r="V923" s="181"/>
      <c r="W923" s="181"/>
      <c r="X923" s="181"/>
      <c r="Y923" s="181"/>
      <c r="Z923" s="181"/>
    </row>
    <row r="924" customFormat="false" ht="15.75" hidden="false" customHeight="false" outlineLevel="0" collapsed="false">
      <c r="A924" s="181"/>
      <c r="B924" s="181"/>
      <c r="C924" s="181"/>
      <c r="D924" s="181"/>
      <c r="E924" s="181"/>
      <c r="F924" s="181"/>
      <c r="G924" s="181"/>
      <c r="H924" s="181"/>
      <c r="I924" s="181"/>
      <c r="J924" s="181"/>
      <c r="K924" s="181"/>
      <c r="L924" s="181"/>
      <c r="M924" s="181"/>
      <c r="N924" s="181"/>
      <c r="O924" s="181"/>
      <c r="P924" s="181"/>
      <c r="Q924" s="181"/>
      <c r="R924" s="181"/>
      <c r="S924" s="181"/>
      <c r="T924" s="181"/>
      <c r="U924" s="181"/>
      <c r="V924" s="181"/>
      <c r="W924" s="181"/>
      <c r="X924" s="181"/>
      <c r="Y924" s="181"/>
      <c r="Z924" s="181"/>
    </row>
    <row r="925" customFormat="false" ht="15.75" hidden="false" customHeight="false" outlineLevel="0" collapsed="false">
      <c r="A925" s="181"/>
      <c r="B925" s="181"/>
      <c r="C925" s="181"/>
      <c r="D925" s="181"/>
      <c r="E925" s="181"/>
      <c r="F925" s="181"/>
      <c r="G925" s="181"/>
      <c r="H925" s="181"/>
      <c r="I925" s="181"/>
      <c r="J925" s="181"/>
      <c r="K925" s="181"/>
      <c r="L925" s="181"/>
      <c r="M925" s="181"/>
      <c r="N925" s="181"/>
      <c r="O925" s="181"/>
      <c r="P925" s="181"/>
      <c r="Q925" s="181"/>
      <c r="R925" s="181"/>
      <c r="S925" s="181"/>
      <c r="T925" s="181"/>
      <c r="U925" s="181"/>
      <c r="V925" s="181"/>
      <c r="W925" s="181"/>
      <c r="X925" s="181"/>
      <c r="Y925" s="181"/>
      <c r="Z925" s="181"/>
    </row>
    <row r="926" customFormat="false" ht="15.75" hidden="false" customHeight="false" outlineLevel="0" collapsed="false">
      <c r="A926" s="181"/>
      <c r="B926" s="181"/>
      <c r="C926" s="181"/>
      <c r="D926" s="181"/>
      <c r="E926" s="181"/>
      <c r="F926" s="181"/>
      <c r="G926" s="181"/>
      <c r="H926" s="181"/>
      <c r="I926" s="181"/>
      <c r="J926" s="181"/>
      <c r="K926" s="181"/>
      <c r="L926" s="181"/>
      <c r="M926" s="181"/>
      <c r="N926" s="181"/>
      <c r="O926" s="181"/>
      <c r="P926" s="181"/>
      <c r="Q926" s="181"/>
      <c r="R926" s="181"/>
      <c r="S926" s="181"/>
      <c r="T926" s="181"/>
      <c r="U926" s="181"/>
      <c r="V926" s="181"/>
      <c r="W926" s="181"/>
      <c r="X926" s="181"/>
      <c r="Y926" s="181"/>
      <c r="Z926" s="181"/>
    </row>
    <row r="927" customFormat="false" ht="15.75" hidden="false" customHeight="false" outlineLevel="0" collapsed="false">
      <c r="A927" s="181"/>
      <c r="B927" s="181"/>
      <c r="C927" s="181"/>
      <c r="D927" s="181"/>
      <c r="E927" s="181"/>
      <c r="F927" s="181"/>
      <c r="G927" s="181"/>
      <c r="H927" s="181"/>
      <c r="I927" s="181"/>
      <c r="J927" s="181"/>
      <c r="K927" s="181"/>
      <c r="L927" s="181"/>
      <c r="M927" s="181"/>
      <c r="N927" s="181"/>
      <c r="O927" s="181"/>
      <c r="P927" s="181"/>
      <c r="Q927" s="181"/>
      <c r="R927" s="181"/>
      <c r="S927" s="181"/>
      <c r="T927" s="181"/>
      <c r="U927" s="181"/>
      <c r="V927" s="181"/>
      <c r="W927" s="181"/>
      <c r="X927" s="181"/>
      <c r="Y927" s="181"/>
      <c r="Z927" s="181"/>
    </row>
    <row r="928" customFormat="false" ht="15.75" hidden="false" customHeight="false" outlineLevel="0" collapsed="false">
      <c r="A928" s="181"/>
      <c r="B928" s="181"/>
      <c r="C928" s="181"/>
      <c r="D928" s="181"/>
      <c r="E928" s="181"/>
      <c r="F928" s="181"/>
      <c r="G928" s="181"/>
      <c r="H928" s="181"/>
      <c r="I928" s="181"/>
      <c r="J928" s="181"/>
      <c r="K928" s="181"/>
      <c r="L928" s="181"/>
      <c r="M928" s="181"/>
      <c r="N928" s="181"/>
      <c r="O928" s="181"/>
      <c r="P928" s="181"/>
      <c r="Q928" s="181"/>
      <c r="R928" s="181"/>
      <c r="S928" s="181"/>
      <c r="T928" s="181"/>
      <c r="U928" s="181"/>
      <c r="V928" s="181"/>
      <c r="W928" s="181"/>
      <c r="X928" s="181"/>
      <c r="Y928" s="181"/>
      <c r="Z928" s="181"/>
    </row>
    <row r="929" customFormat="false" ht="15.75" hidden="false" customHeight="false" outlineLevel="0" collapsed="false">
      <c r="A929" s="181"/>
      <c r="B929" s="181"/>
      <c r="C929" s="181"/>
      <c r="D929" s="181"/>
      <c r="E929" s="181"/>
      <c r="F929" s="181"/>
      <c r="G929" s="181"/>
      <c r="H929" s="181"/>
      <c r="I929" s="181"/>
      <c r="J929" s="181"/>
      <c r="K929" s="181"/>
      <c r="L929" s="181"/>
      <c r="M929" s="181"/>
      <c r="N929" s="181"/>
      <c r="O929" s="181"/>
      <c r="P929" s="181"/>
      <c r="Q929" s="181"/>
      <c r="R929" s="181"/>
      <c r="S929" s="181"/>
      <c r="T929" s="181"/>
      <c r="U929" s="181"/>
      <c r="V929" s="181"/>
      <c r="W929" s="181"/>
      <c r="X929" s="181"/>
      <c r="Y929" s="181"/>
      <c r="Z929" s="181"/>
    </row>
    <row r="930" customFormat="false" ht="15.75" hidden="false" customHeight="false" outlineLevel="0" collapsed="false">
      <c r="A930" s="181"/>
      <c r="B930" s="181"/>
      <c r="C930" s="181"/>
      <c r="D930" s="181"/>
      <c r="E930" s="181"/>
      <c r="F930" s="181"/>
      <c r="G930" s="181"/>
      <c r="H930" s="181"/>
      <c r="I930" s="181"/>
      <c r="J930" s="181"/>
      <c r="K930" s="181"/>
      <c r="L930" s="181"/>
      <c r="M930" s="181"/>
      <c r="N930" s="181"/>
      <c r="O930" s="181"/>
      <c r="P930" s="181"/>
      <c r="Q930" s="181"/>
      <c r="R930" s="181"/>
      <c r="S930" s="181"/>
      <c r="T930" s="181"/>
      <c r="U930" s="181"/>
      <c r="V930" s="181"/>
      <c r="W930" s="181"/>
      <c r="X930" s="181"/>
      <c r="Y930" s="181"/>
      <c r="Z930" s="181"/>
    </row>
    <row r="931" customFormat="false" ht="15.75" hidden="false" customHeight="false" outlineLevel="0" collapsed="false">
      <c r="A931" s="181"/>
      <c r="B931" s="181"/>
      <c r="C931" s="181"/>
      <c r="D931" s="181"/>
      <c r="E931" s="181"/>
      <c r="F931" s="181"/>
      <c r="G931" s="181"/>
      <c r="H931" s="181"/>
      <c r="I931" s="181"/>
      <c r="J931" s="181"/>
      <c r="K931" s="181"/>
      <c r="L931" s="181"/>
      <c r="M931" s="181"/>
      <c r="N931" s="181"/>
      <c r="O931" s="181"/>
      <c r="P931" s="181"/>
      <c r="Q931" s="181"/>
      <c r="R931" s="181"/>
      <c r="S931" s="181"/>
      <c r="T931" s="181"/>
      <c r="U931" s="181"/>
      <c r="V931" s="181"/>
      <c r="W931" s="181"/>
      <c r="X931" s="181"/>
      <c r="Y931" s="181"/>
      <c r="Z931" s="181"/>
    </row>
    <row r="932" customFormat="false" ht="15.75" hidden="false" customHeight="false" outlineLevel="0" collapsed="false">
      <c r="A932" s="181"/>
      <c r="B932" s="181"/>
      <c r="C932" s="181"/>
      <c r="D932" s="181"/>
      <c r="E932" s="181"/>
      <c r="F932" s="181"/>
      <c r="G932" s="181"/>
      <c r="H932" s="181"/>
      <c r="I932" s="181"/>
      <c r="J932" s="181"/>
      <c r="K932" s="181"/>
      <c r="L932" s="181"/>
      <c r="M932" s="181"/>
      <c r="N932" s="181"/>
      <c r="O932" s="181"/>
      <c r="P932" s="181"/>
      <c r="Q932" s="181"/>
      <c r="R932" s="181"/>
      <c r="S932" s="181"/>
      <c r="T932" s="181"/>
      <c r="U932" s="181"/>
      <c r="V932" s="181"/>
      <c r="W932" s="181"/>
      <c r="X932" s="181"/>
      <c r="Y932" s="181"/>
      <c r="Z932" s="181"/>
    </row>
    <row r="933" customFormat="false" ht="15.75" hidden="false" customHeight="false" outlineLevel="0" collapsed="false">
      <c r="A933" s="181"/>
      <c r="B933" s="181"/>
      <c r="C933" s="181"/>
      <c r="D933" s="181"/>
      <c r="E933" s="181"/>
      <c r="F933" s="181"/>
      <c r="G933" s="181"/>
      <c r="H933" s="181"/>
      <c r="I933" s="181"/>
      <c r="J933" s="181"/>
      <c r="K933" s="181"/>
      <c r="L933" s="181"/>
      <c r="M933" s="181"/>
      <c r="N933" s="181"/>
      <c r="O933" s="181"/>
      <c r="P933" s="181"/>
      <c r="Q933" s="181"/>
      <c r="R933" s="181"/>
      <c r="S933" s="181"/>
      <c r="T933" s="181"/>
      <c r="U933" s="181"/>
      <c r="V933" s="181"/>
      <c r="W933" s="181"/>
      <c r="X933" s="181"/>
      <c r="Y933" s="181"/>
      <c r="Z933" s="181"/>
    </row>
    <row r="934" customFormat="false" ht="15.75" hidden="false" customHeight="false" outlineLevel="0" collapsed="false">
      <c r="A934" s="181"/>
      <c r="B934" s="181"/>
      <c r="C934" s="181"/>
      <c r="D934" s="181"/>
      <c r="E934" s="181"/>
      <c r="F934" s="181"/>
      <c r="G934" s="181"/>
      <c r="H934" s="181"/>
      <c r="I934" s="181"/>
      <c r="J934" s="181"/>
      <c r="K934" s="181"/>
      <c r="L934" s="181"/>
      <c r="M934" s="181"/>
      <c r="N934" s="181"/>
      <c r="O934" s="181"/>
      <c r="P934" s="181"/>
      <c r="Q934" s="181"/>
      <c r="R934" s="181"/>
      <c r="S934" s="181"/>
      <c r="T934" s="181"/>
      <c r="U934" s="181"/>
      <c r="V934" s="181"/>
      <c r="W934" s="181"/>
      <c r="X934" s="181"/>
      <c r="Y934" s="181"/>
      <c r="Z934" s="181"/>
    </row>
    <row r="935" customFormat="false" ht="15.75" hidden="false" customHeight="false" outlineLevel="0" collapsed="false">
      <c r="A935" s="181"/>
      <c r="B935" s="181"/>
      <c r="C935" s="181"/>
      <c r="D935" s="181"/>
      <c r="E935" s="181"/>
      <c r="F935" s="181"/>
      <c r="G935" s="181"/>
      <c r="H935" s="181"/>
      <c r="I935" s="181"/>
      <c r="J935" s="181"/>
      <c r="K935" s="181"/>
      <c r="L935" s="181"/>
      <c r="M935" s="181"/>
      <c r="N935" s="181"/>
      <c r="O935" s="181"/>
      <c r="P935" s="181"/>
      <c r="Q935" s="181"/>
      <c r="R935" s="181"/>
      <c r="S935" s="181"/>
      <c r="T935" s="181"/>
      <c r="U935" s="181"/>
      <c r="V935" s="181"/>
      <c r="W935" s="181"/>
      <c r="X935" s="181"/>
      <c r="Y935" s="181"/>
      <c r="Z935" s="181"/>
    </row>
    <row r="936" customFormat="false" ht="15.75" hidden="false" customHeight="false" outlineLevel="0" collapsed="false">
      <c r="A936" s="181"/>
      <c r="B936" s="181"/>
      <c r="C936" s="181"/>
      <c r="D936" s="181"/>
      <c r="E936" s="181"/>
      <c r="F936" s="181"/>
      <c r="G936" s="181"/>
      <c r="H936" s="181"/>
      <c r="I936" s="181"/>
      <c r="J936" s="181"/>
      <c r="K936" s="181"/>
      <c r="L936" s="181"/>
      <c r="M936" s="181"/>
      <c r="N936" s="181"/>
      <c r="O936" s="181"/>
      <c r="P936" s="181"/>
      <c r="Q936" s="181"/>
      <c r="R936" s="181"/>
      <c r="S936" s="181"/>
      <c r="T936" s="181"/>
      <c r="U936" s="181"/>
      <c r="V936" s="181"/>
      <c r="W936" s="181"/>
      <c r="X936" s="181"/>
      <c r="Y936" s="181"/>
      <c r="Z936" s="181"/>
    </row>
    <row r="937" customFormat="false" ht="15.75" hidden="false" customHeight="false" outlineLevel="0" collapsed="false">
      <c r="A937" s="181"/>
      <c r="B937" s="181"/>
      <c r="C937" s="181"/>
      <c r="D937" s="181"/>
      <c r="E937" s="181"/>
      <c r="F937" s="181"/>
      <c r="G937" s="181"/>
      <c r="H937" s="181"/>
      <c r="I937" s="181"/>
      <c r="J937" s="181"/>
      <c r="K937" s="181"/>
      <c r="L937" s="181"/>
      <c r="M937" s="181"/>
      <c r="N937" s="181"/>
      <c r="O937" s="181"/>
      <c r="P937" s="181"/>
      <c r="Q937" s="181"/>
      <c r="R937" s="181"/>
      <c r="S937" s="181"/>
      <c r="T937" s="181"/>
      <c r="U937" s="181"/>
      <c r="V937" s="181"/>
      <c r="W937" s="181"/>
      <c r="X937" s="181"/>
      <c r="Y937" s="181"/>
      <c r="Z937" s="181"/>
    </row>
    <row r="938" customFormat="false" ht="15.75" hidden="false" customHeight="false" outlineLevel="0" collapsed="false">
      <c r="A938" s="181"/>
      <c r="B938" s="181"/>
      <c r="C938" s="181"/>
      <c r="D938" s="181"/>
      <c r="E938" s="181"/>
      <c r="F938" s="181"/>
      <c r="G938" s="181"/>
      <c r="H938" s="181"/>
      <c r="I938" s="181"/>
      <c r="J938" s="181"/>
      <c r="K938" s="181"/>
      <c r="L938" s="181"/>
      <c r="M938" s="181"/>
      <c r="N938" s="181"/>
      <c r="O938" s="181"/>
      <c r="P938" s="181"/>
      <c r="Q938" s="181"/>
      <c r="R938" s="181"/>
      <c r="S938" s="181"/>
      <c r="T938" s="181"/>
      <c r="U938" s="181"/>
      <c r="V938" s="181"/>
      <c r="W938" s="181"/>
      <c r="X938" s="181"/>
      <c r="Y938" s="181"/>
      <c r="Z938" s="181"/>
    </row>
    <row r="939" customFormat="false" ht="15.75" hidden="false" customHeight="false" outlineLevel="0" collapsed="false">
      <c r="A939" s="181"/>
      <c r="B939" s="181"/>
      <c r="C939" s="181"/>
      <c r="D939" s="181"/>
      <c r="E939" s="181"/>
      <c r="F939" s="181"/>
      <c r="G939" s="181"/>
      <c r="H939" s="181"/>
      <c r="I939" s="181"/>
      <c r="J939" s="181"/>
      <c r="K939" s="181"/>
      <c r="L939" s="181"/>
      <c r="M939" s="181"/>
      <c r="N939" s="181"/>
      <c r="O939" s="181"/>
      <c r="P939" s="181"/>
      <c r="Q939" s="181"/>
      <c r="R939" s="181"/>
      <c r="S939" s="181"/>
      <c r="T939" s="181"/>
      <c r="U939" s="181"/>
      <c r="V939" s="181"/>
      <c r="W939" s="181"/>
      <c r="X939" s="181"/>
      <c r="Y939" s="181"/>
      <c r="Z939" s="181"/>
    </row>
    <row r="940" customFormat="false" ht="15.75" hidden="false" customHeight="false" outlineLevel="0" collapsed="false">
      <c r="A940" s="181"/>
      <c r="B940" s="181"/>
      <c r="C940" s="181"/>
      <c r="D940" s="181"/>
      <c r="E940" s="181"/>
      <c r="F940" s="181"/>
      <c r="G940" s="181"/>
      <c r="H940" s="181"/>
      <c r="I940" s="181"/>
      <c r="J940" s="181"/>
      <c r="K940" s="181"/>
      <c r="L940" s="181"/>
      <c r="M940" s="181"/>
      <c r="N940" s="181"/>
      <c r="O940" s="181"/>
      <c r="P940" s="181"/>
      <c r="Q940" s="181"/>
      <c r="R940" s="181"/>
      <c r="S940" s="181"/>
      <c r="T940" s="181"/>
      <c r="U940" s="181"/>
      <c r="V940" s="181"/>
      <c r="W940" s="181"/>
      <c r="X940" s="181"/>
      <c r="Y940" s="181"/>
      <c r="Z940" s="181"/>
    </row>
    <row r="941" customFormat="false" ht="15.75" hidden="false" customHeight="false" outlineLevel="0" collapsed="false">
      <c r="A941" s="181"/>
      <c r="B941" s="181"/>
      <c r="C941" s="181"/>
      <c r="D941" s="181"/>
      <c r="E941" s="181"/>
      <c r="F941" s="181"/>
      <c r="G941" s="181"/>
      <c r="H941" s="181"/>
      <c r="I941" s="181"/>
      <c r="J941" s="181"/>
      <c r="K941" s="181"/>
      <c r="L941" s="181"/>
      <c r="M941" s="181"/>
      <c r="N941" s="181"/>
      <c r="O941" s="181"/>
      <c r="P941" s="181"/>
      <c r="Q941" s="181"/>
      <c r="R941" s="181"/>
      <c r="S941" s="181"/>
      <c r="T941" s="181"/>
      <c r="U941" s="181"/>
      <c r="V941" s="181"/>
      <c r="W941" s="181"/>
      <c r="X941" s="181"/>
      <c r="Y941" s="181"/>
      <c r="Z941" s="181"/>
    </row>
    <row r="942" customFormat="false" ht="15.75" hidden="false" customHeight="false" outlineLevel="0" collapsed="false">
      <c r="A942" s="181"/>
      <c r="B942" s="181"/>
      <c r="C942" s="181"/>
      <c r="D942" s="181"/>
      <c r="E942" s="181"/>
      <c r="F942" s="181"/>
      <c r="G942" s="181"/>
      <c r="H942" s="181"/>
      <c r="I942" s="181"/>
      <c r="J942" s="181"/>
      <c r="K942" s="181"/>
      <c r="L942" s="181"/>
      <c r="M942" s="181"/>
      <c r="N942" s="181"/>
      <c r="O942" s="181"/>
      <c r="P942" s="181"/>
      <c r="Q942" s="181"/>
      <c r="R942" s="181"/>
      <c r="S942" s="181"/>
      <c r="T942" s="181"/>
      <c r="U942" s="181"/>
      <c r="V942" s="181"/>
      <c r="W942" s="181"/>
      <c r="X942" s="181"/>
      <c r="Y942" s="181"/>
      <c r="Z942" s="181"/>
    </row>
    <row r="943" customFormat="false" ht="15.75" hidden="false" customHeight="false" outlineLevel="0" collapsed="false">
      <c r="A943" s="181"/>
      <c r="B943" s="181"/>
      <c r="C943" s="181"/>
      <c r="D943" s="181"/>
      <c r="E943" s="181"/>
      <c r="F943" s="181"/>
      <c r="G943" s="181"/>
      <c r="H943" s="181"/>
      <c r="I943" s="181"/>
      <c r="J943" s="181"/>
      <c r="K943" s="181"/>
      <c r="L943" s="181"/>
      <c r="M943" s="181"/>
      <c r="N943" s="181"/>
      <c r="O943" s="181"/>
      <c r="P943" s="181"/>
      <c r="Q943" s="181"/>
      <c r="R943" s="181"/>
      <c r="S943" s="181"/>
      <c r="T943" s="181"/>
      <c r="U943" s="181"/>
      <c r="V943" s="181"/>
      <c r="W943" s="181"/>
      <c r="X943" s="181"/>
      <c r="Y943" s="181"/>
      <c r="Z943" s="181"/>
    </row>
    <row r="944" customFormat="false" ht="15.75" hidden="false" customHeight="false" outlineLevel="0" collapsed="false">
      <c r="A944" s="181"/>
      <c r="B944" s="181"/>
      <c r="C944" s="181"/>
      <c r="D944" s="181"/>
      <c r="E944" s="181"/>
      <c r="F944" s="181"/>
      <c r="G944" s="181"/>
      <c r="H944" s="181"/>
      <c r="I944" s="181"/>
      <c r="J944" s="181"/>
      <c r="K944" s="181"/>
      <c r="L944" s="181"/>
      <c r="M944" s="181"/>
      <c r="N944" s="181"/>
      <c r="O944" s="181"/>
      <c r="P944" s="181"/>
      <c r="Q944" s="181"/>
      <c r="R944" s="181"/>
      <c r="S944" s="181"/>
      <c r="T944" s="181"/>
      <c r="U944" s="181"/>
      <c r="V944" s="181"/>
      <c r="W944" s="181"/>
      <c r="X944" s="181"/>
      <c r="Y944" s="181"/>
      <c r="Z944" s="181"/>
    </row>
    <row r="945" customFormat="false" ht="15.75" hidden="false" customHeight="false" outlineLevel="0" collapsed="false">
      <c r="A945" s="181"/>
      <c r="B945" s="181"/>
      <c r="C945" s="181"/>
      <c r="D945" s="181"/>
      <c r="E945" s="181"/>
      <c r="F945" s="181"/>
      <c r="G945" s="181"/>
      <c r="H945" s="181"/>
      <c r="I945" s="181"/>
      <c r="J945" s="181"/>
      <c r="K945" s="181"/>
      <c r="L945" s="181"/>
      <c r="M945" s="181"/>
      <c r="N945" s="181"/>
      <c r="O945" s="181"/>
      <c r="P945" s="181"/>
      <c r="Q945" s="181"/>
      <c r="R945" s="181"/>
      <c r="S945" s="181"/>
      <c r="T945" s="181"/>
      <c r="U945" s="181"/>
      <c r="V945" s="181"/>
      <c r="W945" s="181"/>
      <c r="X945" s="181"/>
      <c r="Y945" s="181"/>
      <c r="Z945" s="181"/>
    </row>
    <row r="946" customFormat="false" ht="15.75" hidden="false" customHeight="false" outlineLevel="0" collapsed="false">
      <c r="A946" s="181"/>
      <c r="B946" s="181"/>
      <c r="C946" s="181"/>
      <c r="D946" s="181"/>
      <c r="E946" s="181"/>
      <c r="F946" s="181"/>
      <c r="G946" s="181"/>
      <c r="H946" s="181"/>
      <c r="I946" s="181"/>
      <c r="J946" s="181"/>
      <c r="K946" s="181"/>
      <c r="L946" s="181"/>
      <c r="M946" s="181"/>
      <c r="N946" s="181"/>
      <c r="O946" s="181"/>
      <c r="P946" s="181"/>
      <c r="Q946" s="181"/>
      <c r="R946" s="181"/>
      <c r="S946" s="181"/>
      <c r="T946" s="181"/>
      <c r="U946" s="181"/>
      <c r="V946" s="181"/>
      <c r="W946" s="181"/>
      <c r="X946" s="181"/>
      <c r="Y946" s="181"/>
      <c r="Z946" s="181"/>
    </row>
    <row r="947" customFormat="false" ht="15.75" hidden="false" customHeight="false" outlineLevel="0" collapsed="false">
      <c r="A947" s="181"/>
      <c r="B947" s="181"/>
      <c r="C947" s="181"/>
      <c r="D947" s="181"/>
      <c r="E947" s="181"/>
      <c r="F947" s="181"/>
      <c r="G947" s="181"/>
      <c r="H947" s="181"/>
      <c r="I947" s="181"/>
      <c r="J947" s="181"/>
      <c r="K947" s="181"/>
      <c r="L947" s="181"/>
      <c r="M947" s="181"/>
      <c r="N947" s="181"/>
      <c r="O947" s="181"/>
      <c r="P947" s="181"/>
      <c r="Q947" s="181"/>
      <c r="R947" s="181"/>
      <c r="S947" s="181"/>
      <c r="T947" s="181"/>
      <c r="U947" s="181"/>
      <c r="V947" s="181"/>
      <c r="W947" s="181"/>
      <c r="X947" s="181"/>
      <c r="Y947" s="181"/>
      <c r="Z947" s="181"/>
    </row>
    <row r="948" customFormat="false" ht="15.75" hidden="false" customHeight="false" outlineLevel="0" collapsed="false">
      <c r="A948" s="181"/>
      <c r="B948" s="181"/>
      <c r="C948" s="181"/>
      <c r="D948" s="181"/>
      <c r="E948" s="181"/>
      <c r="F948" s="181"/>
      <c r="G948" s="181"/>
      <c r="H948" s="181"/>
      <c r="I948" s="181"/>
      <c r="J948" s="181"/>
      <c r="K948" s="181"/>
      <c r="L948" s="181"/>
      <c r="M948" s="181"/>
      <c r="N948" s="181"/>
      <c r="O948" s="181"/>
      <c r="P948" s="181"/>
      <c r="Q948" s="181"/>
      <c r="R948" s="181"/>
      <c r="S948" s="181"/>
      <c r="T948" s="181"/>
      <c r="U948" s="181"/>
      <c r="V948" s="181"/>
      <c r="W948" s="181"/>
      <c r="X948" s="181"/>
      <c r="Y948" s="181"/>
      <c r="Z948" s="181"/>
    </row>
    <row r="949" customFormat="false" ht="15.75" hidden="false" customHeight="false" outlineLevel="0" collapsed="false">
      <c r="A949" s="181"/>
      <c r="B949" s="181"/>
      <c r="C949" s="181"/>
      <c r="D949" s="181"/>
      <c r="E949" s="181"/>
      <c r="F949" s="181"/>
      <c r="G949" s="181"/>
      <c r="H949" s="181"/>
      <c r="I949" s="181"/>
      <c r="J949" s="181"/>
      <c r="K949" s="181"/>
      <c r="L949" s="181"/>
      <c r="M949" s="181"/>
      <c r="N949" s="181"/>
      <c r="O949" s="181"/>
      <c r="P949" s="181"/>
      <c r="Q949" s="181"/>
      <c r="R949" s="181"/>
      <c r="S949" s="181"/>
      <c r="T949" s="181"/>
      <c r="U949" s="181"/>
      <c r="V949" s="181"/>
      <c r="W949" s="181"/>
      <c r="X949" s="181"/>
      <c r="Y949" s="181"/>
      <c r="Z949" s="181"/>
    </row>
    <row r="950" customFormat="false" ht="15.75" hidden="false" customHeight="false" outlineLevel="0" collapsed="false">
      <c r="A950" s="181"/>
      <c r="B950" s="181"/>
      <c r="C950" s="181"/>
      <c r="D950" s="181"/>
      <c r="E950" s="181"/>
      <c r="F950" s="181"/>
      <c r="G950" s="181"/>
      <c r="H950" s="181"/>
      <c r="I950" s="181"/>
      <c r="J950" s="181"/>
      <c r="K950" s="181"/>
      <c r="L950" s="181"/>
      <c r="M950" s="181"/>
      <c r="N950" s="181"/>
      <c r="O950" s="181"/>
      <c r="P950" s="181"/>
      <c r="Q950" s="181"/>
      <c r="R950" s="181"/>
      <c r="S950" s="181"/>
      <c r="T950" s="181"/>
      <c r="U950" s="181"/>
      <c r="V950" s="181"/>
      <c r="W950" s="181"/>
      <c r="X950" s="181"/>
      <c r="Y950" s="181"/>
      <c r="Z950" s="181"/>
    </row>
    <row r="951" customFormat="false" ht="15.75" hidden="false" customHeight="false" outlineLevel="0" collapsed="false">
      <c r="A951" s="181"/>
      <c r="B951" s="181"/>
      <c r="C951" s="181"/>
      <c r="D951" s="181"/>
      <c r="E951" s="181"/>
      <c r="F951" s="181"/>
      <c r="G951" s="181"/>
      <c r="H951" s="181"/>
      <c r="I951" s="181"/>
      <c r="J951" s="181"/>
      <c r="K951" s="181"/>
      <c r="L951" s="181"/>
      <c r="M951" s="181"/>
      <c r="N951" s="181"/>
      <c r="O951" s="181"/>
      <c r="P951" s="181"/>
      <c r="Q951" s="181"/>
      <c r="R951" s="181"/>
      <c r="S951" s="181"/>
      <c r="T951" s="181"/>
      <c r="U951" s="181"/>
      <c r="V951" s="181"/>
      <c r="W951" s="181"/>
      <c r="X951" s="181"/>
      <c r="Y951" s="181"/>
      <c r="Z951" s="181"/>
    </row>
    <row r="952" customFormat="false" ht="15.75" hidden="false" customHeight="false" outlineLevel="0" collapsed="false">
      <c r="A952" s="181"/>
      <c r="B952" s="181"/>
      <c r="C952" s="181"/>
      <c r="D952" s="181"/>
      <c r="E952" s="181"/>
      <c r="F952" s="181"/>
      <c r="G952" s="181"/>
      <c r="H952" s="181"/>
      <c r="I952" s="181"/>
      <c r="J952" s="181"/>
      <c r="K952" s="181"/>
      <c r="L952" s="181"/>
      <c r="M952" s="181"/>
      <c r="N952" s="181"/>
      <c r="O952" s="181"/>
      <c r="P952" s="181"/>
      <c r="Q952" s="181"/>
      <c r="R952" s="181"/>
      <c r="S952" s="181"/>
      <c r="T952" s="181"/>
      <c r="U952" s="181"/>
      <c r="V952" s="181"/>
      <c r="W952" s="181"/>
      <c r="X952" s="181"/>
      <c r="Y952" s="181"/>
      <c r="Z952" s="181"/>
    </row>
    <row r="953" customFormat="false" ht="15.75" hidden="false" customHeight="false" outlineLevel="0" collapsed="false">
      <c r="A953" s="181"/>
      <c r="B953" s="181"/>
      <c r="C953" s="181"/>
      <c r="D953" s="181"/>
      <c r="E953" s="181"/>
      <c r="F953" s="181"/>
      <c r="G953" s="181"/>
      <c r="H953" s="181"/>
      <c r="I953" s="181"/>
      <c r="J953" s="181"/>
      <c r="K953" s="181"/>
      <c r="L953" s="181"/>
      <c r="M953" s="181"/>
      <c r="N953" s="181"/>
      <c r="O953" s="181"/>
      <c r="P953" s="181"/>
      <c r="Q953" s="181"/>
      <c r="R953" s="181"/>
      <c r="S953" s="181"/>
      <c r="T953" s="181"/>
      <c r="U953" s="181"/>
      <c r="V953" s="181"/>
      <c r="W953" s="181"/>
      <c r="X953" s="181"/>
      <c r="Y953" s="181"/>
      <c r="Z953" s="181"/>
    </row>
    <row r="954" customFormat="false" ht="15.75" hidden="false" customHeight="false" outlineLevel="0" collapsed="false">
      <c r="A954" s="181"/>
      <c r="B954" s="181"/>
      <c r="C954" s="181"/>
      <c r="D954" s="181"/>
      <c r="E954" s="181"/>
      <c r="F954" s="181"/>
      <c r="G954" s="181"/>
      <c r="H954" s="181"/>
      <c r="I954" s="181"/>
      <c r="J954" s="181"/>
      <c r="K954" s="181"/>
      <c r="L954" s="181"/>
      <c r="M954" s="181"/>
      <c r="N954" s="181"/>
      <c r="O954" s="181"/>
      <c r="P954" s="181"/>
      <c r="Q954" s="181"/>
      <c r="R954" s="181"/>
      <c r="S954" s="181"/>
      <c r="T954" s="181"/>
      <c r="U954" s="181"/>
      <c r="V954" s="181"/>
      <c r="W954" s="181"/>
      <c r="X954" s="181"/>
      <c r="Y954" s="181"/>
      <c r="Z954" s="181"/>
    </row>
    <row r="955" customFormat="false" ht="15.75" hidden="false" customHeight="false" outlineLevel="0" collapsed="false">
      <c r="A955" s="181"/>
      <c r="B955" s="181"/>
      <c r="C955" s="181"/>
      <c r="D955" s="181"/>
      <c r="E955" s="181"/>
      <c r="F955" s="181"/>
      <c r="G955" s="181"/>
      <c r="H955" s="181"/>
      <c r="I955" s="181"/>
      <c r="J955" s="181"/>
      <c r="K955" s="181"/>
      <c r="L955" s="181"/>
      <c r="M955" s="181"/>
      <c r="N955" s="181"/>
      <c r="O955" s="181"/>
      <c r="P955" s="181"/>
      <c r="Q955" s="181"/>
      <c r="R955" s="181"/>
      <c r="S955" s="181"/>
      <c r="T955" s="181"/>
      <c r="U955" s="181"/>
      <c r="V955" s="181"/>
      <c r="W955" s="181"/>
      <c r="X955" s="181"/>
      <c r="Y955" s="181"/>
      <c r="Z955" s="181"/>
    </row>
    <row r="956" customFormat="false" ht="15.75" hidden="false" customHeight="false" outlineLevel="0" collapsed="false">
      <c r="A956" s="181"/>
      <c r="B956" s="181"/>
      <c r="C956" s="181"/>
      <c r="D956" s="181"/>
      <c r="E956" s="181"/>
      <c r="F956" s="181"/>
      <c r="G956" s="181"/>
      <c r="H956" s="181"/>
      <c r="I956" s="181"/>
      <c r="J956" s="181"/>
      <c r="K956" s="181"/>
      <c r="L956" s="181"/>
      <c r="M956" s="181"/>
      <c r="N956" s="181"/>
      <c r="O956" s="181"/>
      <c r="P956" s="181"/>
      <c r="Q956" s="181"/>
      <c r="R956" s="181"/>
      <c r="S956" s="181"/>
      <c r="T956" s="181"/>
      <c r="U956" s="181"/>
      <c r="V956" s="181"/>
      <c r="W956" s="181"/>
      <c r="X956" s="181"/>
      <c r="Y956" s="181"/>
      <c r="Z956" s="181"/>
    </row>
    <row r="957" customFormat="false" ht="15.75" hidden="false" customHeight="false" outlineLevel="0" collapsed="false">
      <c r="A957" s="181"/>
      <c r="B957" s="181"/>
      <c r="C957" s="181"/>
      <c r="D957" s="181"/>
      <c r="E957" s="181"/>
      <c r="F957" s="181"/>
      <c r="G957" s="181"/>
      <c r="H957" s="181"/>
      <c r="I957" s="181"/>
      <c r="J957" s="181"/>
      <c r="K957" s="181"/>
      <c r="L957" s="181"/>
      <c r="M957" s="181"/>
      <c r="N957" s="181"/>
      <c r="O957" s="181"/>
      <c r="P957" s="181"/>
      <c r="Q957" s="181"/>
      <c r="R957" s="181"/>
      <c r="S957" s="181"/>
      <c r="T957" s="181"/>
      <c r="U957" s="181"/>
      <c r="V957" s="181"/>
      <c r="W957" s="181"/>
      <c r="X957" s="181"/>
      <c r="Y957" s="181"/>
      <c r="Z957" s="181"/>
    </row>
    <row r="958" customFormat="false" ht="15.75" hidden="false" customHeight="false" outlineLevel="0" collapsed="false">
      <c r="A958" s="181"/>
      <c r="B958" s="181"/>
      <c r="C958" s="181"/>
      <c r="D958" s="181"/>
      <c r="E958" s="181"/>
      <c r="F958" s="181"/>
      <c r="G958" s="181"/>
      <c r="H958" s="181"/>
      <c r="I958" s="181"/>
      <c r="J958" s="181"/>
      <c r="K958" s="181"/>
      <c r="L958" s="181"/>
      <c r="M958" s="181"/>
      <c r="N958" s="181"/>
      <c r="O958" s="181"/>
      <c r="P958" s="181"/>
      <c r="Q958" s="181"/>
      <c r="R958" s="181"/>
      <c r="S958" s="181"/>
      <c r="T958" s="181"/>
      <c r="U958" s="181"/>
      <c r="V958" s="181"/>
      <c r="W958" s="181"/>
      <c r="X958" s="181"/>
      <c r="Y958" s="181"/>
      <c r="Z958" s="181"/>
    </row>
    <row r="959" customFormat="false" ht="15.75" hidden="false" customHeight="false" outlineLevel="0" collapsed="false">
      <c r="A959" s="181"/>
      <c r="B959" s="181"/>
      <c r="C959" s="181"/>
      <c r="D959" s="181"/>
      <c r="E959" s="181"/>
      <c r="F959" s="181"/>
      <c r="G959" s="181"/>
      <c r="H959" s="181"/>
      <c r="I959" s="181"/>
      <c r="J959" s="181"/>
      <c r="K959" s="181"/>
      <c r="L959" s="181"/>
      <c r="M959" s="181"/>
      <c r="N959" s="181"/>
      <c r="O959" s="181"/>
      <c r="P959" s="181"/>
      <c r="Q959" s="181"/>
      <c r="R959" s="181"/>
      <c r="S959" s="181"/>
      <c r="T959" s="181"/>
      <c r="U959" s="181"/>
      <c r="V959" s="181"/>
      <c r="W959" s="181"/>
      <c r="X959" s="181"/>
      <c r="Y959" s="181"/>
      <c r="Z959" s="181"/>
    </row>
    <row r="960" customFormat="false" ht="15.75" hidden="false" customHeight="false" outlineLevel="0" collapsed="false">
      <c r="A960" s="181"/>
      <c r="B960" s="181"/>
      <c r="C960" s="181"/>
      <c r="D960" s="181"/>
      <c r="E960" s="181"/>
      <c r="F960" s="181"/>
      <c r="G960" s="181"/>
      <c r="H960" s="181"/>
      <c r="I960" s="181"/>
      <c r="J960" s="181"/>
      <c r="K960" s="181"/>
      <c r="L960" s="181"/>
      <c r="M960" s="181"/>
      <c r="N960" s="181"/>
      <c r="O960" s="181"/>
      <c r="P960" s="181"/>
      <c r="Q960" s="181"/>
      <c r="R960" s="181"/>
      <c r="S960" s="181"/>
      <c r="T960" s="181"/>
      <c r="U960" s="181"/>
      <c r="V960" s="181"/>
      <c r="W960" s="181"/>
      <c r="X960" s="181"/>
      <c r="Y960" s="181"/>
      <c r="Z960" s="181"/>
    </row>
    <row r="961" customFormat="false" ht="15.75" hidden="false" customHeight="false" outlineLevel="0" collapsed="false">
      <c r="A961" s="181"/>
      <c r="B961" s="181"/>
      <c r="C961" s="181"/>
      <c r="D961" s="181"/>
      <c r="E961" s="181"/>
      <c r="F961" s="181"/>
      <c r="G961" s="181"/>
      <c r="H961" s="181"/>
      <c r="I961" s="181"/>
      <c r="J961" s="181"/>
      <c r="K961" s="181"/>
      <c r="L961" s="181"/>
      <c r="M961" s="181"/>
      <c r="N961" s="181"/>
      <c r="O961" s="181"/>
      <c r="P961" s="181"/>
      <c r="Q961" s="181"/>
      <c r="R961" s="181"/>
      <c r="S961" s="181"/>
      <c r="T961" s="181"/>
      <c r="U961" s="181"/>
      <c r="V961" s="181"/>
      <c r="W961" s="181"/>
      <c r="X961" s="181"/>
      <c r="Y961" s="181"/>
      <c r="Z961" s="181"/>
    </row>
    <row r="962" customFormat="false" ht="15.75" hidden="false" customHeight="false" outlineLevel="0" collapsed="false">
      <c r="A962" s="181"/>
      <c r="B962" s="181"/>
      <c r="C962" s="181"/>
      <c r="D962" s="181"/>
      <c r="E962" s="181"/>
      <c r="F962" s="181"/>
      <c r="G962" s="181"/>
      <c r="H962" s="181"/>
      <c r="I962" s="181"/>
      <c r="J962" s="181"/>
      <c r="K962" s="181"/>
      <c r="L962" s="181"/>
      <c r="M962" s="181"/>
      <c r="N962" s="181"/>
      <c r="O962" s="181"/>
      <c r="P962" s="181"/>
      <c r="Q962" s="181"/>
      <c r="R962" s="181"/>
      <c r="S962" s="181"/>
      <c r="T962" s="181"/>
      <c r="U962" s="181"/>
      <c r="V962" s="181"/>
      <c r="W962" s="181"/>
      <c r="X962" s="181"/>
      <c r="Y962" s="181"/>
      <c r="Z962" s="181"/>
    </row>
    <row r="963" customFormat="false" ht="15.75" hidden="false" customHeight="false" outlineLevel="0" collapsed="false">
      <c r="A963" s="181"/>
      <c r="B963" s="181"/>
      <c r="C963" s="181"/>
      <c r="D963" s="181"/>
      <c r="E963" s="181"/>
      <c r="F963" s="181"/>
      <c r="G963" s="181"/>
      <c r="H963" s="181"/>
      <c r="I963" s="181"/>
      <c r="J963" s="181"/>
      <c r="K963" s="181"/>
      <c r="L963" s="181"/>
      <c r="M963" s="181"/>
      <c r="N963" s="181"/>
      <c r="O963" s="181"/>
      <c r="P963" s="181"/>
      <c r="Q963" s="181"/>
      <c r="R963" s="181"/>
      <c r="S963" s="181"/>
      <c r="T963" s="181"/>
      <c r="U963" s="181"/>
      <c r="V963" s="181"/>
      <c r="W963" s="181"/>
      <c r="X963" s="181"/>
      <c r="Y963" s="181"/>
      <c r="Z963" s="181"/>
    </row>
    <row r="964" customFormat="false" ht="15.75" hidden="false" customHeight="false" outlineLevel="0" collapsed="false">
      <c r="A964" s="181"/>
      <c r="B964" s="181"/>
      <c r="C964" s="181"/>
      <c r="D964" s="181"/>
      <c r="E964" s="181"/>
      <c r="F964" s="181"/>
      <c r="G964" s="181"/>
      <c r="H964" s="181"/>
      <c r="I964" s="181"/>
      <c r="J964" s="181"/>
      <c r="K964" s="181"/>
      <c r="L964" s="181"/>
      <c r="M964" s="181"/>
      <c r="N964" s="181"/>
      <c r="O964" s="181"/>
      <c r="P964" s="181"/>
      <c r="Q964" s="181"/>
      <c r="R964" s="181"/>
      <c r="S964" s="181"/>
      <c r="T964" s="181"/>
      <c r="U964" s="181"/>
      <c r="V964" s="181"/>
      <c r="W964" s="181"/>
      <c r="X964" s="181"/>
      <c r="Y964" s="181"/>
      <c r="Z964" s="181"/>
    </row>
    <row r="965" customFormat="false" ht="15.75" hidden="false" customHeight="false" outlineLevel="0" collapsed="false">
      <c r="A965" s="181"/>
      <c r="B965" s="181"/>
      <c r="C965" s="181"/>
      <c r="D965" s="181"/>
      <c r="E965" s="181"/>
      <c r="F965" s="181"/>
      <c r="G965" s="181"/>
      <c r="H965" s="181"/>
      <c r="I965" s="181"/>
      <c r="J965" s="181"/>
      <c r="K965" s="181"/>
      <c r="L965" s="181"/>
      <c r="M965" s="181"/>
      <c r="N965" s="181"/>
      <c r="O965" s="181"/>
      <c r="P965" s="181"/>
      <c r="Q965" s="181"/>
      <c r="R965" s="181"/>
      <c r="S965" s="181"/>
      <c r="T965" s="181"/>
      <c r="U965" s="181"/>
      <c r="V965" s="181"/>
      <c r="W965" s="181"/>
      <c r="X965" s="181"/>
      <c r="Y965" s="181"/>
      <c r="Z965" s="181"/>
    </row>
    <row r="966" customFormat="false" ht="15.75" hidden="false" customHeight="false" outlineLevel="0" collapsed="false">
      <c r="A966" s="181"/>
      <c r="B966" s="181"/>
      <c r="C966" s="181"/>
      <c r="D966" s="181"/>
      <c r="E966" s="181"/>
      <c r="F966" s="181"/>
      <c r="G966" s="181"/>
      <c r="H966" s="181"/>
      <c r="I966" s="181"/>
      <c r="J966" s="181"/>
      <c r="K966" s="181"/>
      <c r="L966" s="181"/>
      <c r="M966" s="181"/>
      <c r="N966" s="181"/>
      <c r="O966" s="181"/>
      <c r="P966" s="181"/>
      <c r="Q966" s="181"/>
      <c r="R966" s="181"/>
      <c r="S966" s="181"/>
      <c r="T966" s="181"/>
      <c r="U966" s="181"/>
      <c r="V966" s="181"/>
      <c r="W966" s="181"/>
      <c r="X966" s="181"/>
      <c r="Y966" s="181"/>
      <c r="Z966" s="181"/>
    </row>
    <row r="967" customFormat="false" ht="15.75" hidden="false" customHeight="false" outlineLevel="0" collapsed="false">
      <c r="A967" s="181"/>
      <c r="B967" s="181"/>
      <c r="C967" s="181"/>
      <c r="D967" s="181"/>
      <c r="E967" s="181"/>
      <c r="F967" s="181"/>
      <c r="G967" s="181"/>
      <c r="H967" s="181"/>
      <c r="I967" s="181"/>
      <c r="J967" s="181"/>
      <c r="K967" s="181"/>
      <c r="L967" s="181"/>
      <c r="M967" s="181"/>
      <c r="N967" s="181"/>
      <c r="O967" s="181"/>
      <c r="P967" s="181"/>
      <c r="Q967" s="181"/>
      <c r="R967" s="181"/>
      <c r="S967" s="181"/>
      <c r="T967" s="181"/>
      <c r="U967" s="181"/>
      <c r="V967" s="181"/>
      <c r="W967" s="181"/>
      <c r="X967" s="181"/>
      <c r="Y967" s="181"/>
      <c r="Z967" s="181"/>
    </row>
    <row r="968" customFormat="false" ht="15.75" hidden="false" customHeight="false" outlineLevel="0" collapsed="false">
      <c r="A968" s="181"/>
      <c r="B968" s="181"/>
      <c r="C968" s="181"/>
      <c r="D968" s="181"/>
      <c r="E968" s="181"/>
      <c r="F968" s="181"/>
      <c r="G968" s="181"/>
      <c r="H968" s="181"/>
      <c r="I968" s="181"/>
      <c r="J968" s="181"/>
      <c r="K968" s="181"/>
      <c r="L968" s="181"/>
      <c r="M968" s="181"/>
      <c r="N968" s="181"/>
      <c r="O968" s="181"/>
      <c r="P968" s="181"/>
      <c r="Q968" s="181"/>
      <c r="R968" s="181"/>
      <c r="S968" s="181"/>
      <c r="T968" s="181"/>
      <c r="U968" s="181"/>
      <c r="V968" s="181"/>
      <c r="W968" s="181"/>
      <c r="X968" s="181"/>
      <c r="Y968" s="181"/>
      <c r="Z968" s="181"/>
    </row>
    <row r="969" customFormat="false" ht="15.75" hidden="false" customHeight="false" outlineLevel="0" collapsed="false">
      <c r="A969" s="181"/>
      <c r="B969" s="181"/>
      <c r="C969" s="181"/>
      <c r="D969" s="181"/>
      <c r="E969" s="181"/>
      <c r="F969" s="181"/>
      <c r="G969" s="181"/>
      <c r="H969" s="181"/>
      <c r="I969" s="181"/>
      <c r="J969" s="181"/>
      <c r="K969" s="181"/>
      <c r="L969" s="181"/>
      <c r="M969" s="181"/>
      <c r="N969" s="181"/>
      <c r="O969" s="181"/>
      <c r="P969" s="181"/>
      <c r="Q969" s="181"/>
      <c r="R969" s="181"/>
      <c r="S969" s="181"/>
      <c r="T969" s="181"/>
      <c r="U969" s="181"/>
      <c r="V969" s="181"/>
      <c r="W969" s="181"/>
      <c r="X969" s="181"/>
      <c r="Y969" s="181"/>
      <c r="Z969" s="181"/>
    </row>
    <row r="970" customFormat="false" ht="15.75" hidden="false" customHeight="false" outlineLevel="0" collapsed="false">
      <c r="A970" s="181"/>
      <c r="B970" s="181"/>
      <c r="C970" s="181"/>
      <c r="D970" s="181"/>
      <c r="E970" s="181"/>
      <c r="F970" s="181"/>
      <c r="G970" s="181"/>
      <c r="H970" s="181"/>
      <c r="I970" s="181"/>
      <c r="J970" s="181"/>
      <c r="K970" s="181"/>
      <c r="L970" s="181"/>
      <c r="M970" s="181"/>
      <c r="N970" s="181"/>
      <c r="O970" s="181"/>
      <c r="P970" s="181"/>
      <c r="Q970" s="181"/>
      <c r="R970" s="181"/>
      <c r="S970" s="181"/>
      <c r="T970" s="181"/>
      <c r="U970" s="181"/>
      <c r="V970" s="181"/>
      <c r="W970" s="181"/>
      <c r="X970" s="181"/>
      <c r="Y970" s="181"/>
      <c r="Z970" s="181"/>
    </row>
    <row r="971" customFormat="false" ht="15.75" hidden="false" customHeight="false" outlineLevel="0" collapsed="false">
      <c r="A971" s="181"/>
      <c r="B971" s="181"/>
      <c r="C971" s="181"/>
      <c r="D971" s="181"/>
      <c r="E971" s="181"/>
      <c r="F971" s="181"/>
      <c r="G971" s="181"/>
      <c r="H971" s="181"/>
      <c r="I971" s="181"/>
      <c r="J971" s="181"/>
      <c r="K971" s="181"/>
      <c r="L971" s="181"/>
      <c r="M971" s="181"/>
      <c r="N971" s="181"/>
      <c r="O971" s="181"/>
      <c r="P971" s="181"/>
      <c r="Q971" s="181"/>
      <c r="R971" s="181"/>
      <c r="S971" s="181"/>
      <c r="T971" s="181"/>
      <c r="U971" s="181"/>
      <c r="V971" s="181"/>
      <c r="W971" s="181"/>
      <c r="X971" s="181"/>
      <c r="Y971" s="181"/>
      <c r="Z971" s="181"/>
    </row>
    <row r="972" customFormat="false" ht="15.75" hidden="false" customHeight="false" outlineLevel="0" collapsed="false">
      <c r="A972" s="181"/>
      <c r="B972" s="181"/>
      <c r="C972" s="181"/>
      <c r="D972" s="181"/>
      <c r="E972" s="181"/>
      <c r="F972" s="181"/>
      <c r="G972" s="181"/>
      <c r="H972" s="181"/>
      <c r="I972" s="181"/>
      <c r="J972" s="181"/>
      <c r="K972" s="181"/>
      <c r="L972" s="181"/>
      <c r="M972" s="181"/>
      <c r="N972" s="181"/>
      <c r="O972" s="181"/>
      <c r="P972" s="181"/>
      <c r="Q972" s="181"/>
      <c r="R972" s="181"/>
      <c r="S972" s="181"/>
      <c r="T972" s="181"/>
      <c r="U972" s="181"/>
      <c r="V972" s="181"/>
      <c r="W972" s="181"/>
      <c r="X972" s="181"/>
      <c r="Y972" s="181"/>
      <c r="Z972" s="181"/>
    </row>
    <row r="973" customFormat="false" ht="15.75" hidden="false" customHeight="false" outlineLevel="0" collapsed="false">
      <c r="A973" s="181"/>
      <c r="B973" s="181"/>
      <c r="C973" s="181"/>
      <c r="D973" s="181"/>
      <c r="E973" s="181"/>
      <c r="F973" s="181"/>
      <c r="G973" s="181"/>
      <c r="H973" s="181"/>
      <c r="I973" s="181"/>
      <c r="J973" s="181"/>
      <c r="K973" s="181"/>
      <c r="L973" s="181"/>
      <c r="M973" s="181"/>
      <c r="N973" s="181"/>
      <c r="O973" s="181"/>
      <c r="P973" s="181"/>
      <c r="Q973" s="181"/>
      <c r="R973" s="181"/>
      <c r="S973" s="181"/>
      <c r="T973" s="181"/>
      <c r="U973" s="181"/>
      <c r="V973" s="181"/>
      <c r="W973" s="181"/>
      <c r="X973" s="181"/>
      <c r="Y973" s="181"/>
      <c r="Z973" s="181"/>
    </row>
    <row r="974" customFormat="false" ht="15.75" hidden="false" customHeight="false" outlineLevel="0" collapsed="false">
      <c r="A974" s="181"/>
      <c r="B974" s="181"/>
      <c r="C974" s="181"/>
      <c r="D974" s="181"/>
      <c r="E974" s="181"/>
      <c r="F974" s="181"/>
      <c r="G974" s="181"/>
      <c r="H974" s="181"/>
      <c r="I974" s="181"/>
      <c r="J974" s="181"/>
      <c r="K974" s="181"/>
      <c r="L974" s="181"/>
      <c r="M974" s="181"/>
      <c r="N974" s="181"/>
      <c r="O974" s="181"/>
      <c r="P974" s="181"/>
      <c r="Q974" s="181"/>
      <c r="R974" s="181"/>
      <c r="S974" s="181"/>
      <c r="T974" s="181"/>
      <c r="U974" s="181"/>
      <c r="V974" s="181"/>
      <c r="W974" s="181"/>
      <c r="X974" s="181"/>
      <c r="Y974" s="181"/>
      <c r="Z974" s="181"/>
    </row>
    <row r="975" customFormat="false" ht="15.75" hidden="false" customHeight="false" outlineLevel="0" collapsed="false">
      <c r="A975" s="181"/>
      <c r="B975" s="181"/>
      <c r="C975" s="181"/>
      <c r="D975" s="181"/>
      <c r="E975" s="181"/>
      <c r="F975" s="181"/>
      <c r="G975" s="181"/>
      <c r="H975" s="181"/>
      <c r="I975" s="181"/>
      <c r="J975" s="181"/>
      <c r="K975" s="181"/>
      <c r="L975" s="181"/>
      <c r="M975" s="181"/>
      <c r="N975" s="181"/>
      <c r="O975" s="181"/>
      <c r="P975" s="181"/>
      <c r="Q975" s="181"/>
      <c r="R975" s="181"/>
      <c r="S975" s="181"/>
      <c r="T975" s="181"/>
      <c r="U975" s="181"/>
      <c r="V975" s="181"/>
      <c r="W975" s="181"/>
      <c r="X975" s="181"/>
      <c r="Y975" s="181"/>
      <c r="Z975" s="181"/>
    </row>
    <row r="976" customFormat="false" ht="15.75" hidden="false" customHeight="false" outlineLevel="0" collapsed="false">
      <c r="A976" s="181"/>
      <c r="B976" s="181"/>
      <c r="C976" s="181"/>
      <c r="D976" s="181"/>
      <c r="E976" s="181"/>
      <c r="F976" s="181"/>
      <c r="G976" s="181"/>
      <c r="H976" s="181"/>
      <c r="I976" s="181"/>
      <c r="J976" s="181"/>
      <c r="K976" s="181"/>
      <c r="L976" s="181"/>
      <c r="M976" s="181"/>
      <c r="N976" s="181"/>
      <c r="O976" s="181"/>
      <c r="P976" s="181"/>
      <c r="Q976" s="181"/>
      <c r="R976" s="181"/>
      <c r="S976" s="181"/>
      <c r="T976" s="181"/>
      <c r="U976" s="181"/>
      <c r="V976" s="181"/>
      <c r="W976" s="181"/>
      <c r="X976" s="181"/>
      <c r="Y976" s="181"/>
      <c r="Z976" s="181"/>
    </row>
    <row r="977" customFormat="false" ht="15.75" hidden="false" customHeight="false" outlineLevel="0" collapsed="false">
      <c r="A977" s="181"/>
      <c r="B977" s="181"/>
      <c r="C977" s="181"/>
      <c r="D977" s="181"/>
      <c r="E977" s="181"/>
      <c r="F977" s="181"/>
      <c r="G977" s="181"/>
      <c r="H977" s="181"/>
      <c r="I977" s="181"/>
      <c r="J977" s="181"/>
      <c r="K977" s="181"/>
      <c r="L977" s="181"/>
      <c r="M977" s="181"/>
      <c r="N977" s="181"/>
      <c r="O977" s="181"/>
      <c r="P977" s="181"/>
      <c r="Q977" s="181"/>
      <c r="R977" s="181"/>
      <c r="S977" s="181"/>
      <c r="T977" s="181"/>
      <c r="U977" s="181"/>
      <c r="V977" s="181"/>
      <c r="W977" s="181"/>
      <c r="X977" s="181"/>
      <c r="Y977" s="181"/>
      <c r="Z977" s="181"/>
    </row>
    <row r="978" customFormat="false" ht="15.75" hidden="false" customHeight="false" outlineLevel="0" collapsed="false">
      <c r="A978" s="181"/>
      <c r="B978" s="181"/>
      <c r="C978" s="181"/>
      <c r="D978" s="181"/>
      <c r="E978" s="181"/>
      <c r="F978" s="181"/>
      <c r="G978" s="181"/>
      <c r="H978" s="181"/>
      <c r="I978" s="181"/>
      <c r="J978" s="181"/>
      <c r="K978" s="181"/>
      <c r="L978" s="181"/>
      <c r="M978" s="181"/>
      <c r="N978" s="181"/>
      <c r="O978" s="181"/>
      <c r="P978" s="181"/>
      <c r="Q978" s="181"/>
      <c r="R978" s="181"/>
      <c r="S978" s="181"/>
      <c r="T978" s="181"/>
      <c r="U978" s="181"/>
      <c r="V978" s="181"/>
      <c r="W978" s="181"/>
      <c r="X978" s="181"/>
      <c r="Y978" s="181"/>
      <c r="Z978" s="181"/>
    </row>
    <row r="979" customFormat="false" ht="15.75" hidden="false" customHeight="false" outlineLevel="0" collapsed="false">
      <c r="A979" s="181"/>
      <c r="B979" s="181"/>
      <c r="C979" s="181"/>
      <c r="D979" s="181"/>
      <c r="E979" s="181"/>
      <c r="F979" s="181"/>
      <c r="G979" s="181"/>
      <c r="H979" s="181"/>
      <c r="I979" s="181"/>
      <c r="J979" s="181"/>
      <c r="K979" s="181"/>
      <c r="L979" s="181"/>
      <c r="M979" s="181"/>
      <c r="N979" s="181"/>
      <c r="O979" s="181"/>
      <c r="P979" s="181"/>
      <c r="Q979" s="181"/>
      <c r="R979" s="181"/>
      <c r="S979" s="181"/>
      <c r="T979" s="181"/>
      <c r="U979" s="181"/>
      <c r="V979" s="181"/>
      <c r="W979" s="181"/>
      <c r="X979" s="181"/>
      <c r="Y979" s="181"/>
      <c r="Z979" s="181"/>
    </row>
    <row r="980" customFormat="false" ht="15.75" hidden="false" customHeight="false" outlineLevel="0" collapsed="false">
      <c r="A980" s="181"/>
      <c r="B980" s="181"/>
      <c r="C980" s="181"/>
      <c r="D980" s="181"/>
      <c r="E980" s="181"/>
      <c r="F980" s="181"/>
      <c r="G980" s="181"/>
      <c r="H980" s="181"/>
      <c r="I980" s="181"/>
      <c r="J980" s="181"/>
      <c r="K980" s="181"/>
      <c r="L980" s="181"/>
      <c r="M980" s="181"/>
      <c r="N980" s="181"/>
      <c r="O980" s="181"/>
      <c r="P980" s="181"/>
      <c r="Q980" s="181"/>
      <c r="R980" s="181"/>
      <c r="S980" s="181"/>
      <c r="T980" s="181"/>
      <c r="U980" s="181"/>
      <c r="V980" s="181"/>
      <c r="W980" s="181"/>
      <c r="X980" s="181"/>
      <c r="Y980" s="181"/>
      <c r="Z980" s="181"/>
    </row>
    <row r="981" customFormat="false" ht="15.75" hidden="false" customHeight="false" outlineLevel="0" collapsed="false">
      <c r="A981" s="181"/>
      <c r="B981" s="181"/>
      <c r="C981" s="181"/>
      <c r="D981" s="181"/>
      <c r="E981" s="181"/>
      <c r="F981" s="181"/>
      <c r="G981" s="181"/>
      <c r="H981" s="181"/>
      <c r="I981" s="181"/>
      <c r="J981" s="181"/>
      <c r="K981" s="181"/>
      <c r="L981" s="181"/>
      <c r="M981" s="181"/>
      <c r="N981" s="181"/>
      <c r="O981" s="181"/>
      <c r="P981" s="181"/>
      <c r="Q981" s="181"/>
      <c r="R981" s="181"/>
      <c r="S981" s="181"/>
      <c r="T981" s="181"/>
      <c r="U981" s="181"/>
      <c r="V981" s="181"/>
      <c r="W981" s="181"/>
      <c r="X981" s="181"/>
      <c r="Y981" s="181"/>
      <c r="Z981" s="181"/>
    </row>
    <row r="982" customFormat="false" ht="15.75" hidden="false" customHeight="false" outlineLevel="0" collapsed="false">
      <c r="A982" s="181"/>
      <c r="B982" s="181"/>
      <c r="C982" s="181"/>
      <c r="D982" s="181"/>
      <c r="E982" s="181"/>
      <c r="F982" s="181"/>
      <c r="G982" s="181"/>
      <c r="H982" s="181"/>
      <c r="I982" s="181"/>
      <c r="J982" s="181"/>
      <c r="K982" s="181"/>
      <c r="L982" s="181"/>
      <c r="M982" s="181"/>
      <c r="N982" s="181"/>
      <c r="O982" s="181"/>
      <c r="P982" s="181"/>
      <c r="Q982" s="181"/>
      <c r="R982" s="181"/>
      <c r="S982" s="181"/>
      <c r="T982" s="181"/>
      <c r="U982" s="181"/>
      <c r="V982" s="181"/>
      <c r="W982" s="181"/>
      <c r="X982" s="181"/>
      <c r="Y982" s="181"/>
      <c r="Z982" s="181"/>
    </row>
    <row r="983" customFormat="false" ht="15.75" hidden="false" customHeight="false" outlineLevel="0" collapsed="false">
      <c r="A983" s="181"/>
      <c r="B983" s="181"/>
      <c r="C983" s="181"/>
      <c r="D983" s="181"/>
      <c r="E983" s="181"/>
      <c r="F983" s="181"/>
      <c r="G983" s="181"/>
      <c r="H983" s="181"/>
      <c r="I983" s="181"/>
      <c r="J983" s="181"/>
      <c r="K983" s="181"/>
      <c r="L983" s="181"/>
      <c r="M983" s="181"/>
      <c r="N983" s="181"/>
      <c r="O983" s="181"/>
      <c r="P983" s="181"/>
      <c r="Q983" s="181"/>
      <c r="R983" s="181"/>
      <c r="S983" s="181"/>
      <c r="T983" s="181"/>
      <c r="U983" s="181"/>
      <c r="V983" s="181"/>
      <c r="W983" s="181"/>
      <c r="X983" s="181"/>
      <c r="Y983" s="181"/>
      <c r="Z983" s="181"/>
    </row>
    <row r="984" customFormat="false" ht="15.75" hidden="false" customHeight="false" outlineLevel="0" collapsed="false">
      <c r="A984" s="181"/>
      <c r="B984" s="181"/>
      <c r="C984" s="181"/>
      <c r="D984" s="181"/>
      <c r="E984" s="181"/>
      <c r="F984" s="181"/>
      <c r="G984" s="181"/>
      <c r="H984" s="181"/>
      <c r="I984" s="181"/>
      <c r="J984" s="181"/>
      <c r="K984" s="181"/>
      <c r="L984" s="181"/>
      <c r="M984" s="181"/>
      <c r="N984" s="181"/>
      <c r="O984" s="181"/>
      <c r="P984" s="181"/>
      <c r="Q984" s="181"/>
      <c r="R984" s="181"/>
      <c r="S984" s="181"/>
      <c r="T984" s="181"/>
      <c r="U984" s="181"/>
      <c r="V984" s="181"/>
      <c r="W984" s="181"/>
      <c r="X984" s="181"/>
      <c r="Y984" s="181"/>
      <c r="Z984" s="181"/>
    </row>
    <row r="985" customFormat="false" ht="15.75" hidden="false" customHeight="false" outlineLevel="0" collapsed="false">
      <c r="A985" s="181"/>
      <c r="B985" s="181"/>
      <c r="C985" s="181"/>
      <c r="D985" s="181"/>
      <c r="E985" s="181"/>
      <c r="F985" s="181"/>
      <c r="G985" s="181"/>
      <c r="H985" s="181"/>
      <c r="I985" s="181"/>
      <c r="J985" s="181"/>
      <c r="K985" s="181"/>
      <c r="L985" s="181"/>
      <c r="M985" s="181"/>
      <c r="N985" s="181"/>
      <c r="O985" s="181"/>
      <c r="P985" s="181"/>
      <c r="Q985" s="181"/>
      <c r="R985" s="181"/>
      <c r="S985" s="181"/>
      <c r="T985" s="181"/>
      <c r="U985" s="181"/>
      <c r="V985" s="181"/>
      <c r="W985" s="181"/>
      <c r="X985" s="181"/>
      <c r="Y985" s="181"/>
      <c r="Z985" s="181"/>
    </row>
    <row r="986" customFormat="false" ht="15.75" hidden="false" customHeight="false" outlineLevel="0" collapsed="false">
      <c r="A986" s="181"/>
      <c r="B986" s="181"/>
      <c r="C986" s="181"/>
      <c r="D986" s="181"/>
      <c r="E986" s="181"/>
      <c r="F986" s="181"/>
      <c r="G986" s="181"/>
      <c r="H986" s="181"/>
      <c r="I986" s="181"/>
      <c r="J986" s="181"/>
      <c r="K986" s="181"/>
      <c r="L986" s="181"/>
      <c r="M986" s="181"/>
      <c r="N986" s="181"/>
      <c r="O986" s="181"/>
      <c r="P986" s="181"/>
      <c r="Q986" s="181"/>
      <c r="R986" s="181"/>
      <c r="S986" s="181"/>
      <c r="T986" s="181"/>
      <c r="U986" s="181"/>
      <c r="V986" s="181"/>
      <c r="W986" s="181"/>
      <c r="X986" s="181"/>
      <c r="Y986" s="181"/>
      <c r="Z986" s="181"/>
    </row>
    <row r="987" customFormat="false" ht="15.75" hidden="false" customHeight="false" outlineLevel="0" collapsed="false">
      <c r="A987" s="181"/>
      <c r="B987" s="181"/>
      <c r="C987" s="181"/>
      <c r="D987" s="181"/>
      <c r="E987" s="181"/>
      <c r="F987" s="181"/>
      <c r="G987" s="181"/>
      <c r="H987" s="181"/>
      <c r="I987" s="181"/>
      <c r="J987" s="181"/>
      <c r="K987" s="181"/>
      <c r="L987" s="181"/>
      <c r="M987" s="181"/>
      <c r="N987" s="181"/>
      <c r="O987" s="181"/>
      <c r="P987" s="181"/>
      <c r="Q987" s="181"/>
      <c r="R987" s="181"/>
      <c r="S987" s="181"/>
      <c r="T987" s="181"/>
      <c r="U987" s="181"/>
      <c r="V987" s="181"/>
      <c r="W987" s="181"/>
      <c r="X987" s="181"/>
      <c r="Y987" s="181"/>
      <c r="Z987" s="181"/>
    </row>
    <row r="988" customFormat="false" ht="15.75" hidden="false" customHeight="false" outlineLevel="0" collapsed="false">
      <c r="A988" s="181"/>
      <c r="B988" s="181"/>
      <c r="C988" s="181"/>
      <c r="D988" s="181"/>
      <c r="E988" s="181"/>
      <c r="F988" s="181"/>
      <c r="G988" s="181"/>
      <c r="H988" s="181"/>
      <c r="I988" s="181"/>
      <c r="J988" s="181"/>
      <c r="K988" s="181"/>
      <c r="L988" s="181"/>
      <c r="M988" s="181"/>
      <c r="N988" s="181"/>
      <c r="O988" s="181"/>
      <c r="P988" s="181"/>
      <c r="Q988" s="181"/>
      <c r="R988" s="181"/>
      <c r="S988" s="181"/>
      <c r="T988" s="181"/>
      <c r="U988" s="181"/>
      <c r="V988" s="181"/>
      <c r="W988" s="181"/>
      <c r="X988" s="181"/>
      <c r="Y988" s="181"/>
      <c r="Z988" s="181"/>
    </row>
    <row r="989" customFormat="false" ht="15.75" hidden="false" customHeight="false" outlineLevel="0" collapsed="false">
      <c r="A989" s="181"/>
      <c r="B989" s="181"/>
      <c r="C989" s="181"/>
      <c r="D989" s="181"/>
      <c r="E989" s="181"/>
      <c r="F989" s="181"/>
      <c r="G989" s="181"/>
      <c r="H989" s="181"/>
      <c r="I989" s="181"/>
      <c r="J989" s="181"/>
      <c r="K989" s="181"/>
      <c r="L989" s="181"/>
      <c r="M989" s="181"/>
      <c r="N989" s="181"/>
      <c r="O989" s="181"/>
      <c r="P989" s="181"/>
      <c r="Q989" s="181"/>
      <c r="R989" s="181"/>
      <c r="S989" s="181"/>
      <c r="T989" s="181"/>
      <c r="U989" s="181"/>
      <c r="V989" s="181"/>
      <c r="W989" s="181"/>
      <c r="X989" s="181"/>
      <c r="Y989" s="181"/>
      <c r="Z989" s="181"/>
    </row>
    <row r="990" customFormat="false" ht="15.75" hidden="false" customHeight="false" outlineLevel="0" collapsed="false">
      <c r="A990" s="181"/>
      <c r="B990" s="181"/>
      <c r="C990" s="181"/>
      <c r="D990" s="181"/>
      <c r="E990" s="181"/>
      <c r="F990" s="181"/>
      <c r="G990" s="181"/>
      <c r="H990" s="181"/>
      <c r="I990" s="181"/>
      <c r="J990" s="181"/>
      <c r="K990" s="181"/>
      <c r="L990" s="181"/>
      <c r="M990" s="181"/>
      <c r="N990" s="181"/>
      <c r="O990" s="181"/>
      <c r="P990" s="181"/>
      <c r="Q990" s="181"/>
      <c r="R990" s="181"/>
      <c r="S990" s="181"/>
      <c r="T990" s="181"/>
      <c r="U990" s="181"/>
      <c r="V990" s="181"/>
      <c r="W990" s="181"/>
      <c r="X990" s="181"/>
      <c r="Y990" s="181"/>
      <c r="Z990" s="181"/>
    </row>
    <row r="991" customFormat="false" ht="15.75" hidden="false" customHeight="false" outlineLevel="0" collapsed="false">
      <c r="A991" s="181"/>
      <c r="B991" s="181"/>
      <c r="C991" s="181"/>
      <c r="D991" s="181"/>
      <c r="E991" s="181"/>
      <c r="F991" s="181"/>
      <c r="G991" s="181"/>
      <c r="H991" s="181"/>
      <c r="I991" s="181"/>
      <c r="J991" s="181"/>
      <c r="K991" s="181"/>
      <c r="L991" s="181"/>
      <c r="M991" s="181"/>
      <c r="N991" s="181"/>
      <c r="O991" s="181"/>
      <c r="P991" s="181"/>
      <c r="Q991" s="181"/>
      <c r="R991" s="181"/>
      <c r="S991" s="181"/>
      <c r="T991" s="181"/>
      <c r="U991" s="181"/>
      <c r="V991" s="181"/>
      <c r="W991" s="181"/>
      <c r="X991" s="181"/>
      <c r="Y991" s="181"/>
      <c r="Z991" s="181"/>
    </row>
    <row r="992" customFormat="false" ht="15.75" hidden="false" customHeight="false" outlineLevel="0" collapsed="false">
      <c r="A992" s="181"/>
      <c r="B992" s="181"/>
      <c r="C992" s="181"/>
      <c r="D992" s="181"/>
      <c r="E992" s="181"/>
      <c r="F992" s="181"/>
      <c r="G992" s="181"/>
      <c r="H992" s="181"/>
      <c r="I992" s="181"/>
      <c r="J992" s="181"/>
      <c r="K992" s="181"/>
      <c r="L992" s="181"/>
      <c r="M992" s="181"/>
      <c r="N992" s="181"/>
      <c r="O992" s="181"/>
      <c r="P992" s="181"/>
      <c r="Q992" s="181"/>
      <c r="R992" s="181"/>
      <c r="S992" s="181"/>
      <c r="T992" s="181"/>
      <c r="U992" s="181"/>
      <c r="V992" s="181"/>
      <c r="W992" s="181"/>
      <c r="X992" s="181"/>
      <c r="Y992" s="181"/>
      <c r="Z992" s="181"/>
    </row>
    <row r="993" customFormat="false" ht="15.75" hidden="false" customHeight="false" outlineLevel="0" collapsed="false">
      <c r="A993" s="181"/>
      <c r="B993" s="181"/>
      <c r="C993" s="181"/>
      <c r="D993" s="181"/>
      <c r="E993" s="181"/>
      <c r="F993" s="181"/>
      <c r="G993" s="181"/>
      <c r="H993" s="181"/>
      <c r="I993" s="181"/>
      <c r="J993" s="181"/>
      <c r="K993" s="181"/>
      <c r="L993" s="181"/>
      <c r="M993" s="181"/>
      <c r="N993" s="181"/>
      <c r="O993" s="181"/>
      <c r="P993" s="181"/>
      <c r="Q993" s="181"/>
      <c r="R993" s="181"/>
      <c r="S993" s="181"/>
      <c r="T993" s="181"/>
      <c r="U993" s="181"/>
      <c r="V993" s="181"/>
      <c r="W993" s="181"/>
      <c r="X993" s="181"/>
      <c r="Y993" s="181"/>
      <c r="Z993" s="181"/>
    </row>
    <row r="994" customFormat="false" ht="15.75" hidden="false" customHeight="false" outlineLevel="0" collapsed="false">
      <c r="A994" s="181"/>
      <c r="B994" s="181"/>
      <c r="C994" s="181"/>
      <c r="D994" s="181"/>
      <c r="E994" s="181"/>
      <c r="F994" s="181"/>
      <c r="G994" s="181"/>
      <c r="H994" s="181"/>
      <c r="I994" s="181"/>
      <c r="J994" s="181"/>
      <c r="K994" s="181"/>
      <c r="L994" s="181"/>
      <c r="M994" s="181"/>
      <c r="N994" s="181"/>
      <c r="O994" s="181"/>
      <c r="P994" s="181"/>
      <c r="Q994" s="181"/>
      <c r="R994" s="181"/>
      <c r="S994" s="181"/>
      <c r="T994" s="181"/>
      <c r="U994" s="181"/>
      <c r="V994" s="181"/>
      <c r="W994" s="181"/>
      <c r="X994" s="181"/>
      <c r="Y994" s="181"/>
      <c r="Z994" s="181"/>
    </row>
    <row r="995" customFormat="false" ht="15.75" hidden="false" customHeight="false" outlineLevel="0" collapsed="false">
      <c r="A995" s="181"/>
      <c r="B995" s="181"/>
      <c r="C995" s="181"/>
      <c r="D995" s="181"/>
      <c r="E995" s="181"/>
      <c r="F995" s="181"/>
      <c r="G995" s="181"/>
      <c r="H995" s="181"/>
      <c r="I995" s="181"/>
      <c r="J995" s="181"/>
      <c r="K995" s="181"/>
      <c r="L995" s="181"/>
      <c r="M995" s="181"/>
      <c r="N995" s="181"/>
      <c r="O995" s="181"/>
      <c r="P995" s="181"/>
      <c r="Q995" s="181"/>
      <c r="R995" s="181"/>
      <c r="S995" s="181"/>
      <c r="T995" s="181"/>
      <c r="U995" s="181"/>
      <c r="V995" s="181"/>
      <c r="W995" s="181"/>
      <c r="X995" s="181"/>
      <c r="Y995" s="181"/>
      <c r="Z995" s="181"/>
    </row>
    <row r="996" customFormat="false" ht="15.75" hidden="false" customHeight="false" outlineLevel="0" collapsed="false">
      <c r="A996" s="181"/>
      <c r="B996" s="181"/>
      <c r="C996" s="181"/>
      <c r="D996" s="181"/>
      <c r="E996" s="181"/>
      <c r="F996" s="181"/>
      <c r="G996" s="181"/>
      <c r="H996" s="181"/>
      <c r="I996" s="181"/>
      <c r="J996" s="181"/>
      <c r="K996" s="181"/>
      <c r="L996" s="181"/>
      <c r="M996" s="181"/>
      <c r="N996" s="181"/>
      <c r="O996" s="181"/>
      <c r="P996" s="181"/>
      <c r="Q996" s="181"/>
      <c r="R996" s="181"/>
      <c r="S996" s="181"/>
      <c r="T996" s="181"/>
      <c r="U996" s="181"/>
      <c r="V996" s="181"/>
      <c r="W996" s="181"/>
      <c r="X996" s="181"/>
      <c r="Y996" s="181"/>
      <c r="Z996" s="181"/>
    </row>
    <row r="997" customFormat="false" ht="15.75" hidden="false" customHeight="false" outlineLevel="0" collapsed="false">
      <c r="A997" s="181"/>
      <c r="B997" s="181"/>
      <c r="C997" s="181"/>
      <c r="D997" s="181"/>
      <c r="E997" s="181"/>
      <c r="F997" s="181"/>
      <c r="G997" s="181"/>
      <c r="H997" s="181"/>
      <c r="I997" s="181"/>
      <c r="J997" s="181"/>
      <c r="K997" s="181"/>
      <c r="L997" s="181"/>
      <c r="M997" s="181"/>
      <c r="N997" s="181"/>
      <c r="O997" s="181"/>
      <c r="P997" s="181"/>
      <c r="Q997" s="181"/>
      <c r="R997" s="181"/>
      <c r="S997" s="181"/>
      <c r="T997" s="181"/>
      <c r="U997" s="181"/>
      <c r="V997" s="181"/>
      <c r="W997" s="181"/>
      <c r="X997" s="181"/>
      <c r="Y997" s="181"/>
      <c r="Z997" s="181"/>
    </row>
    <row r="998" customFormat="false" ht="15.75" hidden="false" customHeight="false" outlineLevel="0" collapsed="false">
      <c r="A998" s="181"/>
      <c r="B998" s="181"/>
      <c r="C998" s="181"/>
      <c r="D998" s="181"/>
      <c r="E998" s="181"/>
      <c r="F998" s="181"/>
      <c r="G998" s="181"/>
      <c r="H998" s="181"/>
      <c r="I998" s="181"/>
      <c r="J998" s="181"/>
      <c r="K998" s="181"/>
      <c r="L998" s="181"/>
      <c r="M998" s="181"/>
      <c r="N998" s="181"/>
      <c r="O998" s="181"/>
      <c r="P998" s="181"/>
      <c r="Q998" s="181"/>
      <c r="R998" s="181"/>
      <c r="S998" s="181"/>
      <c r="T998" s="181"/>
      <c r="U998" s="181"/>
      <c r="V998" s="181"/>
      <c r="W998" s="181"/>
      <c r="X998" s="181"/>
      <c r="Y998" s="181"/>
      <c r="Z998" s="181"/>
    </row>
    <row r="999" customFormat="false" ht="15.75" hidden="false" customHeight="false" outlineLevel="0" collapsed="false">
      <c r="A999" s="181"/>
      <c r="B999" s="181"/>
      <c r="C999" s="181"/>
      <c r="D999" s="181"/>
      <c r="E999" s="181"/>
      <c r="F999" s="181"/>
      <c r="G999" s="181"/>
      <c r="H999" s="181"/>
      <c r="I999" s="181"/>
      <c r="J999" s="181"/>
      <c r="K999" s="181"/>
      <c r="L999" s="181"/>
      <c r="M999" s="181"/>
      <c r="N999" s="181"/>
      <c r="O999" s="181"/>
      <c r="P999" s="181"/>
      <c r="Q999" s="181"/>
      <c r="R999" s="181"/>
      <c r="S999" s="181"/>
      <c r="T999" s="181"/>
      <c r="U999" s="181"/>
      <c r="V999" s="181"/>
      <c r="W999" s="181"/>
      <c r="X999" s="181"/>
      <c r="Y999" s="181"/>
      <c r="Z999" s="181"/>
    </row>
    <row r="1000" customFormat="false" ht="15.75" hidden="false" customHeight="false" outlineLevel="0" collapsed="false">
      <c r="A1000" s="181"/>
      <c r="B1000" s="181"/>
      <c r="C1000" s="181"/>
      <c r="D1000" s="181"/>
      <c r="E1000" s="181"/>
      <c r="F1000" s="181"/>
      <c r="G1000" s="181"/>
      <c r="H1000" s="181"/>
      <c r="I1000" s="181"/>
      <c r="J1000" s="181"/>
      <c r="K1000" s="181"/>
      <c r="L1000" s="181"/>
      <c r="M1000" s="181"/>
      <c r="N1000" s="181"/>
      <c r="O1000" s="181"/>
      <c r="P1000" s="181"/>
      <c r="Q1000" s="181"/>
      <c r="R1000" s="181"/>
      <c r="S1000" s="181"/>
      <c r="T1000" s="181"/>
      <c r="U1000" s="181"/>
      <c r="V1000" s="181"/>
      <c r="W1000" s="181"/>
      <c r="X1000" s="181"/>
      <c r="Y1000" s="181"/>
      <c r="Z1000" s="181"/>
    </row>
    <row r="1001" customFormat="false" ht="15.75" hidden="false" customHeight="false" outlineLevel="0" collapsed="false">
      <c r="A1001" s="181"/>
      <c r="B1001" s="181"/>
      <c r="C1001" s="181"/>
      <c r="D1001" s="181"/>
      <c r="E1001" s="181"/>
      <c r="F1001" s="181"/>
      <c r="G1001" s="181"/>
      <c r="H1001" s="181"/>
      <c r="I1001" s="181"/>
      <c r="J1001" s="181"/>
      <c r="K1001" s="181"/>
      <c r="L1001" s="181"/>
      <c r="M1001" s="181"/>
      <c r="N1001" s="181"/>
      <c r="O1001" s="181"/>
      <c r="P1001" s="181"/>
      <c r="Q1001" s="181"/>
      <c r="R1001" s="181"/>
      <c r="S1001" s="181"/>
      <c r="T1001" s="181"/>
      <c r="U1001" s="181"/>
      <c r="V1001" s="181"/>
      <c r="W1001" s="181"/>
      <c r="X1001" s="181"/>
      <c r="Y1001" s="181"/>
      <c r="Z1001" s="18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1" t="s">
        <v>144</v>
      </c>
      <c r="B1" s="181" t="s">
        <v>145</v>
      </c>
      <c r="C1" s="181" t="s">
        <v>33</v>
      </c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</row>
    <row r="2" customFormat="false" ht="15.75" hidden="false" customHeight="false" outlineLevel="0" collapsed="false">
      <c r="A2" s="181" t="s">
        <v>146</v>
      </c>
      <c r="B2" s="181" t="s">
        <v>146</v>
      </c>
      <c r="C2" s="181" t="s">
        <v>32</v>
      </c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</row>
    <row r="3" customFormat="false" ht="15.75" hidden="false" customHeight="false" outlineLevel="0" collapsed="false">
      <c r="A3" s="181" t="s">
        <v>147</v>
      </c>
      <c r="B3" s="181" t="s">
        <v>148</v>
      </c>
      <c r="C3" s="181" t="s">
        <v>35</v>
      </c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</row>
    <row r="4" customFormat="false" ht="15.75" hidden="false" customHeight="false" outlineLevel="0" collapsed="false">
      <c r="A4" s="181" t="s">
        <v>148</v>
      </c>
      <c r="B4" s="181"/>
      <c r="C4" s="181" t="s">
        <v>29</v>
      </c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</row>
    <row r="5" customFormat="false" ht="15.75" hidden="false" customHeight="false" outlineLevel="0" collapsed="false">
      <c r="A5" s="181"/>
      <c r="B5" s="181"/>
      <c r="C5" s="181" t="s">
        <v>66</v>
      </c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</row>
    <row r="6" customFormat="false" ht="15.75" hidden="false" customHeight="false" outlineLevel="0" collapsed="false">
      <c r="A6" s="181"/>
      <c r="B6" s="181"/>
      <c r="C6" s="181" t="s">
        <v>34</v>
      </c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</row>
    <row r="7" customFormat="false" ht="15.75" hidden="false" customHeight="false" outlineLevel="0" collapsed="false">
      <c r="A7" s="181"/>
      <c r="B7" s="181"/>
      <c r="C7" s="181" t="s">
        <v>36</v>
      </c>
      <c r="D7" s="181"/>
      <c r="E7" s="181"/>
      <c r="F7" s="181"/>
      <c r="G7" s="181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</row>
    <row r="8" customFormat="false" ht="15.75" hidden="false" customHeight="false" outlineLevel="0" collapsed="false">
      <c r="A8" s="181"/>
      <c r="B8" s="181"/>
      <c r="C8" s="181" t="s">
        <v>31</v>
      </c>
      <c r="D8" s="181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</row>
    <row r="9" customFormat="false" ht="15.75" hidden="false" customHeight="false" outlineLevel="0" collapsed="false">
      <c r="A9" s="181"/>
      <c r="B9" s="181"/>
      <c r="C9" s="181" t="s">
        <v>30</v>
      </c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</row>
    <row r="10" customFormat="false" ht="15.75" hidden="false" customHeight="false" outlineLevel="0" collapsed="false">
      <c r="A10" s="181"/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</row>
    <row r="11" customFormat="false" ht="15.75" hidden="false" customHeight="false" outlineLevel="0" collapsed="false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</row>
    <row r="12" customFormat="false" ht="15.75" hidden="false" customHeight="false" outlineLevel="0" collapsed="false">
      <c r="A12" s="181"/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</row>
    <row r="13" customFormat="false" ht="15.75" hidden="false" customHeight="false" outlineLevel="0" collapsed="false">
      <c r="A13" s="181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</row>
    <row r="14" customFormat="false" ht="15.75" hidden="false" customHeight="false" outlineLevel="0" collapsed="false">
      <c r="A14" s="181"/>
      <c r="B14" s="181"/>
      <c r="C14" s="181"/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  <c r="W14" s="181"/>
      <c r="X14" s="181"/>
      <c r="Y14" s="181"/>
      <c r="Z14" s="181"/>
    </row>
    <row r="15" customFormat="false" ht="15.75" hidden="false" customHeight="false" outlineLevel="0" collapsed="false">
      <c r="A15" s="181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</row>
    <row r="16" customFormat="false" ht="15.75" hidden="false" customHeight="false" outlineLevel="0" collapsed="false">
      <c r="A16" s="181"/>
      <c r="B16" s="181"/>
      <c r="C16" s="181"/>
      <c r="D16" s="181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</row>
    <row r="17" customFormat="false" ht="15.75" hidden="false" customHeight="false" outlineLevel="0" collapsed="false">
      <c r="A17" s="181"/>
      <c r="B17" s="181"/>
      <c r="C17" s="181"/>
      <c r="D17" s="181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</row>
    <row r="18" customFormat="false" ht="15.75" hidden="false" customHeight="false" outlineLevel="0" collapsed="false">
      <c r="A18" s="181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</row>
    <row r="19" customFormat="false" ht="15.75" hidden="false" customHeight="false" outlineLevel="0" collapsed="false">
      <c r="A19" s="181"/>
      <c r="B19" s="181"/>
      <c r="C19" s="181"/>
      <c r="D19" s="181"/>
      <c r="E19" s="181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</row>
    <row r="20" customFormat="false" ht="15.75" hidden="false" customHeight="false" outlineLevel="0" collapsed="false">
      <c r="A20" s="181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</row>
    <row r="21" customFormat="false" ht="15.75" hidden="false" customHeight="false" outlineLevel="0" collapsed="false">
      <c r="A21" s="181"/>
      <c r="B21" s="181"/>
      <c r="C21" s="181"/>
      <c r="D21" s="181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81"/>
      <c r="V21" s="181"/>
      <c r="W21" s="181"/>
      <c r="X21" s="181"/>
      <c r="Y21" s="181"/>
      <c r="Z21" s="181"/>
    </row>
    <row r="22" customFormat="false" ht="15.75" hidden="false" customHeight="false" outlineLevel="0" collapsed="false">
      <c r="A22" s="181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</row>
    <row r="23" customFormat="false" ht="15.75" hidden="false" customHeight="false" outlineLevel="0" collapsed="false">
      <c r="A23" s="181"/>
      <c r="B23" s="181"/>
      <c r="C23" s="181"/>
      <c r="D23" s="181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</row>
    <row r="24" customFormat="false" ht="15.75" hidden="false" customHeight="false" outlineLevel="0" collapsed="false">
      <c r="A24" s="181"/>
      <c r="B24" s="181"/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</row>
    <row r="25" customFormat="false" ht="15.75" hidden="false" customHeight="false" outlineLevel="0" collapsed="false">
      <c r="A25" s="181"/>
      <c r="B25" s="181"/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</row>
    <row r="26" customFormat="false" ht="15.75" hidden="false" customHeight="false" outlineLevel="0" collapsed="false">
      <c r="A26" s="181"/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</row>
    <row r="27" customFormat="false" ht="15.75" hidden="false" customHeight="false" outlineLevel="0" collapsed="false">
      <c r="A27" s="181"/>
      <c r="B27" s="181"/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</row>
    <row r="28" customFormat="false" ht="15.75" hidden="false" customHeight="false" outlineLevel="0" collapsed="false">
      <c r="A28" s="181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</row>
    <row r="29" customFormat="false" ht="15.75" hidden="false" customHeight="false" outlineLevel="0" collapsed="false">
      <c r="A29" s="181"/>
      <c r="B29" s="181"/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</row>
    <row r="30" customFormat="false" ht="15.75" hidden="false" customHeight="false" outlineLevel="0" collapsed="false">
      <c r="A30" s="181"/>
      <c r="B30" s="181"/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</row>
    <row r="31" customFormat="false" ht="15.75" hidden="false" customHeight="false" outlineLevel="0" collapsed="false">
      <c r="A31" s="181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</row>
    <row r="32" customFormat="false" ht="15.75" hidden="false" customHeight="false" outlineLevel="0" collapsed="false">
      <c r="A32" s="181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</row>
    <row r="33" customFormat="false" ht="15.75" hidden="false" customHeight="false" outlineLevel="0" collapsed="false">
      <c r="A33" s="181"/>
      <c r="B33" s="181"/>
      <c r="C33" s="181"/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</row>
    <row r="34" customFormat="false" ht="15.75" hidden="false" customHeight="false" outlineLevel="0" collapsed="false">
      <c r="A34" s="181"/>
      <c r="B34" s="181"/>
      <c r="C34" s="181"/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</row>
    <row r="35" customFormat="false" ht="15.75" hidden="false" customHeight="false" outlineLevel="0" collapsed="false">
      <c r="A35" s="181"/>
      <c r="B35" s="181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</row>
    <row r="36" customFormat="false" ht="15.75" hidden="false" customHeight="false" outlineLevel="0" collapsed="false">
      <c r="A36" s="181"/>
      <c r="B36" s="181"/>
      <c r="C36" s="181"/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</row>
    <row r="37" customFormat="false" ht="15.75" hidden="false" customHeight="false" outlineLevel="0" collapsed="false">
      <c r="A37" s="181"/>
      <c r="B37" s="181"/>
      <c r="C37" s="181"/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</row>
    <row r="38" customFormat="false" ht="15.75" hidden="false" customHeight="false" outlineLevel="0" collapsed="false">
      <c r="A38" s="181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</row>
    <row r="39" customFormat="false" ht="15.75" hidden="false" customHeight="false" outlineLevel="0" collapsed="false">
      <c r="A39" s="181"/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</row>
    <row r="40" customFormat="false" ht="15.75" hidden="false" customHeight="false" outlineLevel="0" collapsed="false">
      <c r="A40" s="181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</row>
    <row r="41" customFormat="false" ht="15.75" hidden="false" customHeight="false" outlineLevel="0" collapsed="false">
      <c r="A41" s="181"/>
      <c r="B41" s="181"/>
      <c r="C41" s="181"/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</row>
    <row r="42" customFormat="false" ht="15.75" hidden="false" customHeight="false" outlineLevel="0" collapsed="false">
      <c r="A42" s="181"/>
      <c r="B42" s="181"/>
      <c r="C42" s="181"/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</row>
    <row r="43" customFormat="false" ht="15.75" hidden="false" customHeight="false" outlineLevel="0" collapsed="false">
      <c r="A43" s="181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181"/>
      <c r="T43" s="181"/>
      <c r="U43" s="181"/>
      <c r="V43" s="181"/>
      <c r="W43" s="181"/>
      <c r="X43" s="181"/>
      <c r="Y43" s="181"/>
      <c r="Z43" s="181"/>
    </row>
    <row r="44" customFormat="false" ht="15.75" hidden="false" customHeight="false" outlineLevel="0" collapsed="false">
      <c r="A44" s="181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181"/>
      <c r="Y44" s="181"/>
      <c r="Z44" s="181"/>
    </row>
    <row r="45" customFormat="false" ht="15.75" hidden="false" customHeight="false" outlineLevel="0" collapsed="false">
      <c r="A45" s="181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81"/>
      <c r="O45" s="181"/>
      <c r="P45" s="181"/>
      <c r="Q45" s="181"/>
      <c r="R45" s="181"/>
      <c r="S45" s="181"/>
      <c r="T45" s="181"/>
      <c r="U45" s="181"/>
      <c r="V45" s="181"/>
      <c r="W45" s="181"/>
      <c r="X45" s="181"/>
      <c r="Y45" s="181"/>
      <c r="Z45" s="181"/>
    </row>
    <row r="46" customFormat="false" ht="15.75" hidden="false" customHeight="false" outlineLevel="0" collapsed="false">
      <c r="A46" s="181"/>
      <c r="B46" s="181"/>
      <c r="C46" s="181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1"/>
      <c r="V46" s="181"/>
      <c r="W46" s="181"/>
      <c r="X46" s="181"/>
      <c r="Y46" s="181"/>
      <c r="Z46" s="181"/>
    </row>
    <row r="47" customFormat="false" ht="15.75" hidden="false" customHeight="false" outlineLevel="0" collapsed="false">
      <c r="A47" s="181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181"/>
      <c r="O47" s="181"/>
      <c r="P47" s="181"/>
      <c r="Q47" s="181"/>
      <c r="R47" s="181"/>
      <c r="S47" s="181"/>
      <c r="T47" s="181"/>
      <c r="U47" s="181"/>
      <c r="V47" s="181"/>
      <c r="W47" s="181"/>
      <c r="X47" s="181"/>
      <c r="Y47" s="181"/>
      <c r="Z47" s="181"/>
    </row>
    <row r="48" customFormat="false" ht="15.75" hidden="false" customHeight="false" outlineLevel="0" collapsed="false">
      <c r="A48" s="181"/>
      <c r="B48" s="181"/>
      <c r="C48" s="181"/>
      <c r="D48" s="181"/>
      <c r="E48" s="181"/>
      <c r="F48" s="181"/>
      <c r="G48" s="181"/>
      <c r="H48" s="181"/>
      <c r="I48" s="181"/>
      <c r="J48" s="181"/>
      <c r="K48" s="181"/>
      <c r="L48" s="181"/>
      <c r="M48" s="181"/>
      <c r="N48" s="181"/>
      <c r="O48" s="181"/>
      <c r="P48" s="181"/>
      <c r="Q48" s="181"/>
      <c r="R48" s="181"/>
      <c r="S48" s="181"/>
      <c r="T48" s="181"/>
      <c r="U48" s="181"/>
      <c r="V48" s="181"/>
      <c r="W48" s="181"/>
      <c r="X48" s="181"/>
      <c r="Y48" s="181"/>
      <c r="Z48" s="181"/>
    </row>
    <row r="49" customFormat="false" ht="15.75" hidden="false" customHeight="false" outlineLevel="0" collapsed="false">
      <c r="A49" s="181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1"/>
      <c r="M49" s="181"/>
      <c r="N49" s="181"/>
      <c r="O49" s="181"/>
      <c r="P49" s="181"/>
      <c r="Q49" s="181"/>
      <c r="R49" s="181"/>
      <c r="S49" s="181"/>
      <c r="T49" s="181"/>
      <c r="U49" s="181"/>
      <c r="V49" s="181"/>
      <c r="W49" s="181"/>
      <c r="X49" s="181"/>
      <c r="Y49" s="181"/>
      <c r="Z49" s="181"/>
    </row>
    <row r="50" customFormat="false" ht="15.75" hidden="false" customHeight="false" outlineLevel="0" collapsed="false">
      <c r="A50" s="181"/>
      <c r="B50" s="181"/>
      <c r="C50" s="181"/>
      <c r="D50" s="181"/>
      <c r="E50" s="181"/>
      <c r="F50" s="181"/>
      <c r="G50" s="181"/>
      <c r="H50" s="181"/>
      <c r="I50" s="181"/>
      <c r="J50" s="181"/>
      <c r="K50" s="181"/>
      <c r="L50" s="181"/>
      <c r="M50" s="181"/>
      <c r="N50" s="181"/>
      <c r="O50" s="181"/>
      <c r="P50" s="181"/>
      <c r="Q50" s="181"/>
      <c r="R50" s="181"/>
      <c r="S50" s="181"/>
      <c r="T50" s="181"/>
      <c r="U50" s="181"/>
      <c r="V50" s="181"/>
      <c r="W50" s="181"/>
      <c r="X50" s="181"/>
      <c r="Y50" s="181"/>
      <c r="Z50" s="181"/>
    </row>
    <row r="51" customFormat="false" ht="15.75" hidden="false" customHeight="false" outlineLevel="0" collapsed="false">
      <c r="A51" s="181"/>
      <c r="B51" s="181"/>
      <c r="C51" s="181"/>
      <c r="D51" s="181"/>
      <c r="E51" s="181"/>
      <c r="F51" s="181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</row>
    <row r="52" customFormat="false" ht="15.75" hidden="false" customHeight="false" outlineLevel="0" collapsed="false">
      <c r="A52" s="181"/>
      <c r="B52" s="181"/>
      <c r="C52" s="181"/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</row>
    <row r="53" customFormat="false" ht="15.75" hidden="false" customHeight="false" outlineLevel="0" collapsed="false">
      <c r="A53" s="181"/>
      <c r="B53" s="181"/>
      <c r="C53" s="181"/>
      <c r="D53" s="181"/>
      <c r="E53" s="181"/>
      <c r="F53" s="181"/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</row>
    <row r="54" customFormat="false" ht="15.75" hidden="false" customHeight="false" outlineLevel="0" collapsed="false">
      <c r="A54" s="181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</row>
    <row r="55" customFormat="false" ht="15.75" hidden="false" customHeight="false" outlineLevel="0" collapsed="false">
      <c r="A55" s="181"/>
      <c r="B55" s="181"/>
      <c r="C55" s="181"/>
      <c r="D55" s="181"/>
      <c r="E55" s="181"/>
      <c r="F55" s="181"/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</row>
    <row r="56" customFormat="false" ht="15.75" hidden="false" customHeight="false" outlineLevel="0" collapsed="false">
      <c r="A56" s="181"/>
      <c r="B56" s="181"/>
      <c r="C56" s="181"/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</row>
    <row r="57" customFormat="false" ht="15.75" hidden="false" customHeight="false" outlineLevel="0" collapsed="false">
      <c r="A57" s="181"/>
      <c r="B57" s="181"/>
      <c r="C57" s="181"/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</row>
    <row r="58" customFormat="false" ht="15.75" hidden="false" customHeight="false" outlineLevel="0" collapsed="false">
      <c r="A58" s="181"/>
      <c r="B58" s="181"/>
      <c r="C58" s="181"/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</row>
    <row r="59" customFormat="false" ht="15.75" hidden="false" customHeight="false" outlineLevel="0" collapsed="false">
      <c r="A59" s="181"/>
      <c r="B59" s="181"/>
      <c r="C59" s="181"/>
      <c r="D59" s="181"/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</row>
    <row r="60" customFormat="false" ht="15.75" hidden="false" customHeight="false" outlineLevel="0" collapsed="false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</row>
    <row r="61" customFormat="false" ht="15.75" hidden="false" customHeight="false" outlineLevel="0" collapsed="false">
      <c r="A61" s="181"/>
      <c r="B61" s="181"/>
      <c r="C61" s="181"/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</row>
    <row r="62" customFormat="false" ht="15.75" hidden="false" customHeight="false" outlineLevel="0" collapsed="false">
      <c r="A62" s="181"/>
      <c r="B62" s="181"/>
      <c r="C62" s="181"/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</row>
    <row r="63" customFormat="false" ht="15.75" hidden="false" customHeight="false" outlineLevel="0" collapsed="false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</row>
    <row r="64" customFormat="false" ht="15.75" hidden="false" customHeight="false" outlineLevel="0" collapsed="false">
      <c r="A64" s="181"/>
      <c r="B64" s="181"/>
      <c r="C64" s="181"/>
      <c r="D64" s="181"/>
      <c r="E64" s="181"/>
      <c r="F64" s="181"/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</row>
    <row r="65" customFormat="false" ht="15.75" hidden="false" customHeight="false" outlineLevel="0" collapsed="false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</row>
    <row r="66" customFormat="false" ht="15.75" hidden="false" customHeight="false" outlineLevel="0" collapsed="false">
      <c r="A66" s="181"/>
      <c r="B66" s="181"/>
      <c r="C66" s="181"/>
      <c r="D66" s="181"/>
      <c r="E66" s="181"/>
      <c r="F66" s="181"/>
      <c r="G66" s="181"/>
      <c r="H66" s="181"/>
      <c r="I66" s="181"/>
      <c r="J66" s="181"/>
      <c r="K66" s="181"/>
      <c r="L66" s="181"/>
      <c r="M66" s="181"/>
      <c r="N66" s="181"/>
      <c r="O66" s="181"/>
      <c r="P66" s="181"/>
      <c r="Q66" s="181"/>
      <c r="R66" s="181"/>
      <c r="S66" s="181"/>
      <c r="T66" s="181"/>
      <c r="U66" s="181"/>
      <c r="V66" s="181"/>
      <c r="W66" s="181"/>
      <c r="X66" s="181"/>
      <c r="Y66" s="181"/>
      <c r="Z66" s="181"/>
    </row>
    <row r="67" customFormat="false" ht="15.75" hidden="false" customHeight="false" outlineLevel="0" collapsed="false">
      <c r="A67" s="181"/>
      <c r="B67" s="181"/>
      <c r="C67" s="181"/>
      <c r="D67" s="181"/>
      <c r="E67" s="181"/>
      <c r="F67" s="181"/>
      <c r="G67" s="181"/>
      <c r="H67" s="181"/>
      <c r="I67" s="181"/>
      <c r="J67" s="181"/>
      <c r="K67" s="181"/>
      <c r="L67" s="181"/>
      <c r="M67" s="181"/>
      <c r="N67" s="181"/>
      <c r="O67" s="181"/>
      <c r="P67" s="181"/>
      <c r="Q67" s="181"/>
      <c r="R67" s="181"/>
      <c r="S67" s="181"/>
      <c r="T67" s="181"/>
      <c r="U67" s="181"/>
      <c r="V67" s="181"/>
      <c r="W67" s="181"/>
      <c r="X67" s="181"/>
      <c r="Y67" s="181"/>
      <c r="Z67" s="181"/>
    </row>
    <row r="68" customFormat="false" ht="15.75" hidden="false" customHeight="false" outlineLevel="0" collapsed="false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81"/>
      <c r="O68" s="181"/>
      <c r="P68" s="181"/>
      <c r="Q68" s="181"/>
      <c r="R68" s="181"/>
      <c r="S68" s="181"/>
      <c r="T68" s="181"/>
      <c r="U68" s="181"/>
      <c r="V68" s="181"/>
      <c r="W68" s="181"/>
      <c r="X68" s="181"/>
      <c r="Y68" s="181"/>
      <c r="Z68" s="181"/>
    </row>
    <row r="69" customFormat="false" ht="15.75" hidden="false" customHeight="false" outlineLevel="0" collapsed="false">
      <c r="A69" s="181"/>
      <c r="B69" s="181"/>
      <c r="C69" s="181"/>
      <c r="D69" s="181"/>
      <c r="E69" s="181"/>
      <c r="F69" s="181"/>
      <c r="G69" s="181"/>
      <c r="H69" s="181"/>
      <c r="I69" s="181"/>
      <c r="J69" s="181"/>
      <c r="K69" s="181"/>
      <c r="L69" s="181"/>
      <c r="M69" s="181"/>
      <c r="N69" s="181"/>
      <c r="O69" s="181"/>
      <c r="P69" s="181"/>
      <c r="Q69" s="181"/>
      <c r="R69" s="181"/>
      <c r="S69" s="181"/>
      <c r="T69" s="181"/>
      <c r="U69" s="181"/>
      <c r="V69" s="181"/>
      <c r="W69" s="181"/>
      <c r="X69" s="181"/>
      <c r="Y69" s="181"/>
      <c r="Z69" s="181"/>
    </row>
    <row r="70" customFormat="false" ht="15.75" hidden="false" customHeight="false" outlineLevel="0" collapsed="false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  <c r="Q70" s="181"/>
      <c r="R70" s="181"/>
      <c r="S70" s="181"/>
      <c r="T70" s="181"/>
      <c r="U70" s="181"/>
      <c r="V70" s="181"/>
      <c r="W70" s="181"/>
      <c r="X70" s="181"/>
      <c r="Y70" s="181"/>
      <c r="Z70" s="181"/>
    </row>
    <row r="71" customFormat="false" ht="15.75" hidden="false" customHeight="false" outlineLevel="0" collapsed="false">
      <c r="A71" s="181"/>
      <c r="B71" s="181"/>
      <c r="C71" s="181"/>
      <c r="D71" s="181"/>
      <c r="E71" s="181"/>
      <c r="F71" s="181"/>
      <c r="G71" s="181"/>
      <c r="H71" s="181"/>
      <c r="I71" s="181"/>
      <c r="J71" s="181"/>
      <c r="K71" s="181"/>
      <c r="L71" s="181"/>
      <c r="M71" s="181"/>
      <c r="N71" s="181"/>
      <c r="O71" s="181"/>
      <c r="P71" s="181"/>
      <c r="Q71" s="181"/>
      <c r="R71" s="181"/>
      <c r="S71" s="181"/>
      <c r="T71" s="181"/>
      <c r="U71" s="181"/>
      <c r="V71" s="181"/>
      <c r="W71" s="181"/>
      <c r="X71" s="181"/>
      <c r="Y71" s="181"/>
      <c r="Z71" s="181"/>
    </row>
    <row r="72" customFormat="false" ht="15.75" hidden="false" customHeight="false" outlineLevel="0" collapsed="false">
      <c r="A72" s="181"/>
      <c r="B72" s="181"/>
      <c r="C72" s="181"/>
      <c r="D72" s="181"/>
      <c r="E72" s="181"/>
      <c r="F72" s="181"/>
      <c r="G72" s="181"/>
      <c r="H72" s="181"/>
      <c r="I72" s="181"/>
      <c r="J72" s="181"/>
      <c r="K72" s="181"/>
      <c r="L72" s="181"/>
      <c r="M72" s="181"/>
      <c r="N72" s="181"/>
      <c r="O72" s="181"/>
      <c r="P72" s="181"/>
      <c r="Q72" s="181"/>
      <c r="R72" s="181"/>
      <c r="S72" s="181"/>
      <c r="T72" s="181"/>
      <c r="U72" s="181"/>
      <c r="V72" s="181"/>
      <c r="W72" s="181"/>
      <c r="X72" s="181"/>
      <c r="Y72" s="181"/>
      <c r="Z72" s="181"/>
    </row>
    <row r="73" customFormat="false" ht="15.75" hidden="false" customHeight="false" outlineLevel="0" collapsed="false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  <c r="Q73" s="181"/>
      <c r="R73" s="181"/>
      <c r="S73" s="181"/>
      <c r="T73" s="181"/>
      <c r="U73" s="181"/>
      <c r="V73" s="181"/>
      <c r="W73" s="181"/>
      <c r="X73" s="181"/>
      <c r="Y73" s="181"/>
      <c r="Z73" s="181"/>
    </row>
    <row r="74" customFormat="false" ht="15.75" hidden="false" customHeight="false" outlineLevel="0" collapsed="false">
      <c r="A74" s="181"/>
      <c r="B74" s="181"/>
      <c r="C74" s="181"/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</row>
    <row r="75" customFormat="false" ht="15.75" hidden="false" customHeight="false" outlineLevel="0" collapsed="false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</row>
    <row r="76" customFormat="false" ht="15.75" hidden="false" customHeight="false" outlineLevel="0" collapsed="false">
      <c r="A76" s="181"/>
      <c r="B76" s="181"/>
      <c r="C76" s="181"/>
      <c r="D76" s="181"/>
      <c r="E76" s="181"/>
      <c r="F76" s="181"/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</row>
    <row r="77" customFormat="false" ht="15.75" hidden="false" customHeight="false" outlineLevel="0" collapsed="false">
      <c r="A77" s="181"/>
      <c r="B77" s="181"/>
      <c r="C77" s="181"/>
      <c r="D77" s="181"/>
      <c r="E77" s="181"/>
      <c r="F77" s="181"/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</row>
    <row r="78" customFormat="false" ht="15.75" hidden="false" customHeight="false" outlineLevel="0" collapsed="false">
      <c r="A78" s="181"/>
      <c r="B78" s="181"/>
      <c r="C78" s="181"/>
      <c r="D78" s="181"/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</row>
    <row r="79" customFormat="false" ht="15.75" hidden="false" customHeight="false" outlineLevel="0" collapsed="false">
      <c r="A79" s="181"/>
      <c r="B79" s="181"/>
      <c r="C79" s="181"/>
      <c r="D79" s="181"/>
      <c r="E79" s="181"/>
      <c r="F79" s="181"/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</row>
    <row r="80" customFormat="false" ht="15.75" hidden="false" customHeight="false" outlineLevel="0" collapsed="false">
      <c r="A80" s="181"/>
      <c r="B80" s="181"/>
      <c r="C80" s="181"/>
      <c r="D80" s="181"/>
      <c r="E80" s="181"/>
      <c r="F80" s="181"/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</row>
    <row r="81" customFormat="false" ht="15.75" hidden="false" customHeight="false" outlineLevel="0" collapsed="false">
      <c r="A81" s="181"/>
      <c r="B81" s="181"/>
      <c r="C81" s="181"/>
      <c r="D81" s="181"/>
      <c r="E81" s="181"/>
      <c r="F81" s="181"/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</row>
    <row r="82" customFormat="false" ht="15.75" hidden="false" customHeight="false" outlineLevel="0" collapsed="false">
      <c r="A82" s="181"/>
      <c r="B82" s="181"/>
      <c r="C82" s="181"/>
      <c r="D82" s="181"/>
      <c r="E82" s="181"/>
      <c r="F82" s="181"/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</row>
    <row r="83" customFormat="false" ht="15.75" hidden="false" customHeight="false" outlineLevel="0" collapsed="false">
      <c r="A83" s="181"/>
      <c r="B83" s="181"/>
      <c r="C83" s="181"/>
      <c r="D83" s="181"/>
      <c r="E83" s="181"/>
      <c r="F83" s="181"/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</row>
    <row r="84" customFormat="false" ht="15.75" hidden="false" customHeight="false" outlineLevel="0" collapsed="false">
      <c r="A84" s="181"/>
      <c r="B84" s="181"/>
      <c r="C84" s="181"/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</row>
    <row r="85" customFormat="false" ht="15.75" hidden="false" customHeight="false" outlineLevel="0" collapsed="false">
      <c r="A85" s="181"/>
      <c r="B85" s="181"/>
      <c r="C85" s="181"/>
      <c r="D85" s="181"/>
      <c r="E85" s="181"/>
      <c r="F85" s="181"/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</row>
    <row r="86" customFormat="false" ht="15.75" hidden="false" customHeight="false" outlineLevel="0" collapsed="false">
      <c r="A86" s="181"/>
      <c r="B86" s="181"/>
      <c r="C86" s="181"/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</row>
    <row r="87" customFormat="false" ht="15.75" hidden="false" customHeight="false" outlineLevel="0" collapsed="false">
      <c r="A87" s="181"/>
      <c r="B87" s="181"/>
      <c r="C87" s="181"/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</row>
    <row r="88" customFormat="false" ht="15.75" hidden="false" customHeight="false" outlineLevel="0" collapsed="false">
      <c r="A88" s="181"/>
      <c r="B88" s="181"/>
      <c r="C88" s="181"/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</row>
    <row r="89" customFormat="false" ht="15.75" hidden="false" customHeight="false" outlineLevel="0" collapsed="false">
      <c r="A89" s="181"/>
      <c r="B89" s="181"/>
      <c r="C89" s="181"/>
      <c r="D89" s="181"/>
      <c r="E89" s="181"/>
      <c r="F89" s="181"/>
      <c r="G89" s="181"/>
      <c r="H89" s="181"/>
      <c r="I89" s="181"/>
      <c r="J89" s="181"/>
      <c r="K89" s="181"/>
      <c r="L89" s="181"/>
      <c r="M89" s="181"/>
      <c r="N89" s="181"/>
      <c r="O89" s="181"/>
      <c r="P89" s="181"/>
      <c r="Q89" s="181"/>
      <c r="R89" s="181"/>
      <c r="S89" s="181"/>
      <c r="T89" s="181"/>
      <c r="U89" s="181"/>
      <c r="V89" s="181"/>
      <c r="W89" s="181"/>
      <c r="X89" s="181"/>
      <c r="Y89" s="181"/>
      <c r="Z89" s="181"/>
    </row>
    <row r="90" customFormat="false" ht="15.75" hidden="false" customHeight="false" outlineLevel="0" collapsed="false">
      <c r="A90" s="181"/>
      <c r="B90" s="181"/>
      <c r="C90" s="181"/>
      <c r="D90" s="181"/>
      <c r="E90" s="181"/>
      <c r="F90" s="181"/>
      <c r="G90" s="181"/>
      <c r="H90" s="181"/>
      <c r="I90" s="181"/>
      <c r="J90" s="181"/>
      <c r="K90" s="181"/>
      <c r="L90" s="181"/>
      <c r="M90" s="181"/>
      <c r="N90" s="181"/>
      <c r="O90" s="181"/>
      <c r="P90" s="181"/>
      <c r="Q90" s="181"/>
      <c r="R90" s="181"/>
      <c r="S90" s="181"/>
      <c r="T90" s="181"/>
      <c r="U90" s="181"/>
      <c r="V90" s="181"/>
      <c r="W90" s="181"/>
      <c r="X90" s="181"/>
      <c r="Y90" s="181"/>
      <c r="Z90" s="181"/>
    </row>
    <row r="91" customFormat="false" ht="15.75" hidden="false" customHeight="false" outlineLevel="0" collapsed="false">
      <c r="A91" s="181"/>
      <c r="B91" s="181"/>
      <c r="C91" s="181"/>
      <c r="D91" s="181"/>
      <c r="E91" s="181"/>
      <c r="F91" s="181"/>
      <c r="G91" s="181"/>
      <c r="H91" s="181"/>
      <c r="I91" s="181"/>
      <c r="J91" s="181"/>
      <c r="K91" s="181"/>
      <c r="L91" s="181"/>
      <c r="M91" s="181"/>
      <c r="N91" s="181"/>
      <c r="O91" s="181"/>
      <c r="P91" s="181"/>
      <c r="Q91" s="181"/>
      <c r="R91" s="181"/>
      <c r="S91" s="181"/>
      <c r="T91" s="181"/>
      <c r="U91" s="181"/>
      <c r="V91" s="181"/>
      <c r="W91" s="181"/>
      <c r="X91" s="181"/>
      <c r="Y91" s="181"/>
      <c r="Z91" s="181"/>
    </row>
    <row r="92" customFormat="false" ht="15.75" hidden="false" customHeight="false" outlineLevel="0" collapsed="false">
      <c r="A92" s="181"/>
      <c r="B92" s="181"/>
      <c r="C92" s="181"/>
      <c r="D92" s="181"/>
      <c r="E92" s="181"/>
      <c r="F92" s="181"/>
      <c r="G92" s="181"/>
      <c r="H92" s="181"/>
      <c r="I92" s="181"/>
      <c r="J92" s="181"/>
      <c r="K92" s="181"/>
      <c r="L92" s="181"/>
      <c r="M92" s="181"/>
      <c r="N92" s="181"/>
      <c r="O92" s="181"/>
      <c r="P92" s="181"/>
      <c r="Q92" s="181"/>
      <c r="R92" s="181"/>
      <c r="S92" s="181"/>
      <c r="T92" s="181"/>
      <c r="U92" s="181"/>
      <c r="V92" s="181"/>
      <c r="W92" s="181"/>
      <c r="X92" s="181"/>
      <c r="Y92" s="181"/>
      <c r="Z92" s="181"/>
    </row>
    <row r="93" customFormat="false" ht="15.75" hidden="false" customHeight="false" outlineLevel="0" collapsed="false">
      <c r="A93" s="181"/>
      <c r="B93" s="181"/>
      <c r="C93" s="181"/>
      <c r="D93" s="181"/>
      <c r="E93" s="181"/>
      <c r="F93" s="181"/>
      <c r="G93" s="181"/>
      <c r="H93" s="181"/>
      <c r="I93" s="181"/>
      <c r="J93" s="181"/>
      <c r="K93" s="181"/>
      <c r="L93" s="181"/>
      <c r="M93" s="181"/>
      <c r="N93" s="181"/>
      <c r="O93" s="181"/>
      <c r="P93" s="181"/>
      <c r="Q93" s="181"/>
      <c r="R93" s="181"/>
      <c r="S93" s="181"/>
      <c r="T93" s="181"/>
      <c r="U93" s="181"/>
      <c r="V93" s="181"/>
      <c r="W93" s="181"/>
      <c r="X93" s="181"/>
      <c r="Y93" s="181"/>
      <c r="Z93" s="181"/>
    </row>
    <row r="94" customFormat="false" ht="15.75" hidden="false" customHeight="false" outlineLevel="0" collapsed="false">
      <c r="A94" s="181"/>
      <c r="B94" s="181"/>
      <c r="C94" s="181"/>
      <c r="D94" s="181"/>
      <c r="E94" s="181"/>
      <c r="F94" s="181"/>
      <c r="G94" s="181"/>
      <c r="H94" s="181"/>
      <c r="I94" s="181"/>
      <c r="J94" s="181"/>
      <c r="K94" s="181"/>
      <c r="L94" s="181"/>
      <c r="M94" s="181"/>
      <c r="N94" s="181"/>
      <c r="O94" s="181"/>
      <c r="P94" s="181"/>
      <c r="Q94" s="181"/>
      <c r="R94" s="181"/>
      <c r="S94" s="181"/>
      <c r="T94" s="181"/>
      <c r="U94" s="181"/>
      <c r="V94" s="181"/>
      <c r="W94" s="181"/>
      <c r="X94" s="181"/>
      <c r="Y94" s="181"/>
      <c r="Z94" s="181"/>
    </row>
    <row r="95" customFormat="false" ht="15.75" hidden="false" customHeight="false" outlineLevel="0" collapsed="false">
      <c r="A95" s="181"/>
      <c r="B95" s="181"/>
      <c r="C95" s="181"/>
      <c r="D95" s="181"/>
      <c r="E95" s="181"/>
      <c r="F95" s="181"/>
      <c r="G95" s="181"/>
      <c r="H95" s="181"/>
      <c r="I95" s="181"/>
      <c r="J95" s="181"/>
      <c r="K95" s="181"/>
      <c r="L95" s="181"/>
      <c r="M95" s="181"/>
      <c r="N95" s="181"/>
      <c r="O95" s="181"/>
      <c r="P95" s="181"/>
      <c r="Q95" s="181"/>
      <c r="R95" s="181"/>
      <c r="S95" s="181"/>
      <c r="T95" s="181"/>
      <c r="U95" s="181"/>
      <c r="V95" s="181"/>
      <c r="W95" s="181"/>
      <c r="X95" s="181"/>
      <c r="Y95" s="181"/>
      <c r="Z95" s="181"/>
    </row>
    <row r="96" customFormat="false" ht="15.75" hidden="false" customHeight="false" outlineLevel="0" collapsed="false">
      <c r="A96" s="181"/>
      <c r="B96" s="181"/>
      <c r="C96" s="181"/>
      <c r="D96" s="181"/>
      <c r="E96" s="181"/>
      <c r="F96" s="181"/>
      <c r="G96" s="181"/>
      <c r="H96" s="181"/>
      <c r="I96" s="181"/>
      <c r="J96" s="181"/>
      <c r="K96" s="181"/>
      <c r="L96" s="181"/>
      <c r="M96" s="181"/>
      <c r="N96" s="181"/>
      <c r="O96" s="181"/>
      <c r="P96" s="181"/>
      <c r="Q96" s="181"/>
      <c r="R96" s="181"/>
      <c r="S96" s="181"/>
      <c r="T96" s="181"/>
      <c r="U96" s="181"/>
      <c r="V96" s="181"/>
      <c r="W96" s="181"/>
      <c r="X96" s="181"/>
      <c r="Y96" s="181"/>
      <c r="Z96" s="181"/>
    </row>
    <row r="97" customFormat="false" ht="15.75" hidden="false" customHeight="false" outlineLevel="0" collapsed="false">
      <c r="A97" s="181"/>
      <c r="B97" s="181"/>
      <c r="C97" s="181"/>
      <c r="D97" s="181"/>
      <c r="E97" s="181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</row>
    <row r="98" customFormat="false" ht="15.75" hidden="false" customHeight="false" outlineLevel="0" collapsed="false">
      <c r="A98" s="181"/>
      <c r="B98" s="181"/>
      <c r="C98" s="181"/>
      <c r="D98" s="181"/>
      <c r="E98" s="181"/>
      <c r="F98" s="181"/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</row>
    <row r="99" customFormat="false" ht="15.75" hidden="false" customHeight="false" outlineLevel="0" collapsed="false">
      <c r="A99" s="181"/>
      <c r="B99" s="181"/>
      <c r="C99" s="181"/>
      <c r="D99" s="181"/>
      <c r="E99" s="181"/>
      <c r="F99" s="181"/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</row>
    <row r="100" customFormat="false" ht="15.75" hidden="false" customHeight="false" outlineLevel="0" collapsed="false">
      <c r="A100" s="181"/>
      <c r="B100" s="181"/>
      <c r="C100" s="181"/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</row>
    <row r="101" customFormat="false" ht="15.75" hidden="false" customHeight="false" outlineLevel="0" collapsed="false">
      <c r="A101" s="181"/>
      <c r="B101" s="181"/>
      <c r="C101" s="181"/>
      <c r="D101" s="181"/>
      <c r="E101" s="181"/>
      <c r="F101" s="181"/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</row>
    <row r="102" customFormat="false" ht="15.75" hidden="false" customHeight="false" outlineLevel="0" collapsed="false">
      <c r="A102" s="181"/>
      <c r="B102" s="181"/>
      <c r="C102" s="181"/>
      <c r="D102" s="181"/>
      <c r="E102" s="181"/>
      <c r="F102" s="181"/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</row>
    <row r="103" customFormat="false" ht="15.75" hidden="false" customHeight="false" outlineLevel="0" collapsed="false">
      <c r="A103" s="181"/>
      <c r="B103" s="181"/>
      <c r="C103" s="181"/>
      <c r="D103" s="181"/>
      <c r="E103" s="181"/>
      <c r="F103" s="181"/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</row>
    <row r="104" customFormat="false" ht="15.75" hidden="false" customHeight="false" outlineLevel="0" collapsed="false">
      <c r="A104" s="181"/>
      <c r="B104" s="181"/>
      <c r="C104" s="181"/>
      <c r="D104" s="181"/>
      <c r="E104" s="181"/>
      <c r="F104" s="181"/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</row>
    <row r="105" customFormat="false" ht="15.75" hidden="false" customHeight="false" outlineLevel="0" collapsed="false">
      <c r="A105" s="181"/>
      <c r="B105" s="181"/>
      <c r="C105" s="181"/>
      <c r="D105" s="181"/>
      <c r="E105" s="181"/>
      <c r="F105" s="181"/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</row>
    <row r="106" customFormat="false" ht="15.75" hidden="false" customHeight="false" outlineLevel="0" collapsed="false">
      <c r="A106" s="181"/>
      <c r="B106" s="181"/>
      <c r="C106" s="181"/>
      <c r="D106" s="181"/>
      <c r="E106" s="181"/>
      <c r="F106" s="181"/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</row>
    <row r="107" customFormat="false" ht="15.75" hidden="false" customHeight="false" outlineLevel="0" collapsed="false">
      <c r="A107" s="181"/>
      <c r="B107" s="181"/>
      <c r="C107" s="181"/>
      <c r="D107" s="181"/>
      <c r="E107" s="181"/>
      <c r="F107" s="181"/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</row>
    <row r="108" customFormat="false" ht="15.75" hidden="false" customHeight="false" outlineLevel="0" collapsed="false">
      <c r="A108" s="181"/>
      <c r="B108" s="181"/>
      <c r="C108" s="181"/>
      <c r="D108" s="181"/>
      <c r="E108" s="181"/>
      <c r="F108" s="181"/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</row>
    <row r="109" customFormat="false" ht="15.75" hidden="false" customHeight="false" outlineLevel="0" collapsed="false">
      <c r="A109" s="181"/>
      <c r="B109" s="181"/>
      <c r="C109" s="181"/>
      <c r="D109" s="181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</row>
    <row r="110" customFormat="false" ht="15.75" hidden="false" customHeight="false" outlineLevel="0" collapsed="false">
      <c r="A110" s="181"/>
      <c r="B110" s="181"/>
      <c r="C110" s="181"/>
      <c r="D110" s="181"/>
      <c r="E110" s="181"/>
      <c r="F110" s="181"/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</row>
    <row r="111" customFormat="false" ht="15.75" hidden="false" customHeight="false" outlineLevel="0" collapsed="false">
      <c r="A111" s="181"/>
      <c r="B111" s="181"/>
      <c r="C111" s="181"/>
      <c r="D111" s="181"/>
      <c r="E111" s="181"/>
      <c r="F111" s="181"/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</row>
    <row r="112" customFormat="false" ht="15.75" hidden="false" customHeight="false" outlineLevel="0" collapsed="false">
      <c r="A112" s="181"/>
      <c r="B112" s="181"/>
      <c r="C112" s="181"/>
      <c r="D112" s="181"/>
      <c r="E112" s="181"/>
      <c r="F112" s="181"/>
      <c r="G112" s="181"/>
      <c r="H112" s="181"/>
      <c r="I112" s="181"/>
      <c r="J112" s="181"/>
      <c r="K112" s="181"/>
      <c r="L112" s="181"/>
      <c r="M112" s="181"/>
      <c r="N112" s="181"/>
      <c r="O112" s="181"/>
      <c r="P112" s="181"/>
      <c r="Q112" s="181"/>
      <c r="R112" s="181"/>
      <c r="S112" s="181"/>
      <c r="T112" s="181"/>
      <c r="U112" s="181"/>
      <c r="V112" s="181"/>
      <c r="W112" s="181"/>
      <c r="X112" s="181"/>
      <c r="Y112" s="181"/>
      <c r="Z112" s="181"/>
    </row>
    <row r="113" customFormat="false" ht="15.75" hidden="false" customHeight="false" outlineLevel="0" collapsed="false">
      <c r="A113" s="181"/>
      <c r="B113" s="181"/>
      <c r="C113" s="181"/>
      <c r="D113" s="181"/>
      <c r="E113" s="181"/>
      <c r="F113" s="181"/>
      <c r="G113" s="181"/>
      <c r="H113" s="181"/>
      <c r="I113" s="181"/>
      <c r="J113" s="181"/>
      <c r="K113" s="181"/>
      <c r="L113" s="181"/>
      <c r="M113" s="181"/>
      <c r="N113" s="181"/>
      <c r="O113" s="181"/>
      <c r="P113" s="181"/>
      <c r="Q113" s="181"/>
      <c r="R113" s="181"/>
      <c r="S113" s="181"/>
      <c r="T113" s="181"/>
      <c r="U113" s="181"/>
      <c r="V113" s="181"/>
      <c r="W113" s="181"/>
      <c r="X113" s="181"/>
      <c r="Y113" s="181"/>
      <c r="Z113" s="181"/>
    </row>
    <row r="114" customFormat="false" ht="15.75" hidden="false" customHeight="false" outlineLevel="0" collapsed="false">
      <c r="A114" s="181"/>
      <c r="B114" s="181"/>
      <c r="C114" s="181"/>
      <c r="D114" s="181"/>
      <c r="E114" s="181"/>
      <c r="F114" s="181"/>
      <c r="G114" s="181"/>
      <c r="H114" s="181"/>
      <c r="I114" s="181"/>
      <c r="J114" s="181"/>
      <c r="K114" s="181"/>
      <c r="L114" s="181"/>
      <c r="M114" s="181"/>
      <c r="N114" s="181"/>
      <c r="O114" s="181"/>
      <c r="P114" s="181"/>
      <c r="Q114" s="181"/>
      <c r="R114" s="181"/>
      <c r="S114" s="181"/>
      <c r="T114" s="181"/>
      <c r="U114" s="181"/>
      <c r="V114" s="181"/>
      <c r="W114" s="181"/>
      <c r="X114" s="181"/>
      <c r="Y114" s="181"/>
      <c r="Z114" s="181"/>
    </row>
    <row r="115" customFormat="false" ht="15.75" hidden="false" customHeight="false" outlineLevel="0" collapsed="false">
      <c r="A115" s="181"/>
      <c r="B115" s="181"/>
      <c r="C115" s="181"/>
      <c r="D115" s="181"/>
      <c r="E115" s="181"/>
      <c r="F115" s="181"/>
      <c r="G115" s="181"/>
      <c r="H115" s="181"/>
      <c r="I115" s="181"/>
      <c r="J115" s="181"/>
      <c r="K115" s="181"/>
      <c r="L115" s="181"/>
      <c r="M115" s="181"/>
      <c r="N115" s="181"/>
      <c r="O115" s="181"/>
      <c r="P115" s="181"/>
      <c r="Q115" s="181"/>
      <c r="R115" s="181"/>
      <c r="S115" s="181"/>
      <c r="T115" s="181"/>
      <c r="U115" s="181"/>
      <c r="V115" s="181"/>
      <c r="W115" s="181"/>
      <c r="X115" s="181"/>
      <c r="Y115" s="181"/>
      <c r="Z115" s="181"/>
    </row>
    <row r="116" customFormat="false" ht="15.75" hidden="false" customHeight="false" outlineLevel="0" collapsed="false">
      <c r="A116" s="181"/>
      <c r="B116" s="181"/>
      <c r="C116" s="181"/>
      <c r="D116" s="181"/>
      <c r="E116" s="181"/>
      <c r="F116" s="181"/>
      <c r="G116" s="181"/>
      <c r="H116" s="181"/>
      <c r="I116" s="181"/>
      <c r="J116" s="181"/>
      <c r="K116" s="181"/>
      <c r="L116" s="181"/>
      <c r="M116" s="181"/>
      <c r="N116" s="181"/>
      <c r="O116" s="181"/>
      <c r="P116" s="181"/>
      <c r="Q116" s="181"/>
      <c r="R116" s="181"/>
      <c r="S116" s="181"/>
      <c r="T116" s="181"/>
      <c r="U116" s="181"/>
      <c r="V116" s="181"/>
      <c r="W116" s="181"/>
      <c r="X116" s="181"/>
      <c r="Y116" s="181"/>
      <c r="Z116" s="181"/>
    </row>
    <row r="117" customFormat="false" ht="15.75" hidden="false" customHeight="false" outlineLevel="0" collapsed="false">
      <c r="A117" s="181"/>
      <c r="B117" s="181"/>
      <c r="C117" s="181"/>
      <c r="D117" s="181"/>
      <c r="E117" s="181"/>
      <c r="F117" s="181"/>
      <c r="G117" s="181"/>
      <c r="H117" s="181"/>
      <c r="I117" s="181"/>
      <c r="J117" s="181"/>
      <c r="K117" s="181"/>
      <c r="L117" s="181"/>
      <c r="M117" s="181"/>
      <c r="N117" s="181"/>
      <c r="O117" s="181"/>
      <c r="P117" s="181"/>
      <c r="Q117" s="181"/>
      <c r="R117" s="181"/>
      <c r="S117" s="181"/>
      <c r="T117" s="181"/>
      <c r="U117" s="181"/>
      <c r="V117" s="181"/>
      <c r="W117" s="181"/>
      <c r="X117" s="181"/>
      <c r="Y117" s="181"/>
      <c r="Z117" s="181"/>
    </row>
    <row r="118" customFormat="false" ht="15.75" hidden="false" customHeight="false" outlineLevel="0" collapsed="false">
      <c r="A118" s="181"/>
      <c r="B118" s="181"/>
      <c r="C118" s="181"/>
      <c r="D118" s="181"/>
      <c r="E118" s="181"/>
      <c r="F118" s="181"/>
      <c r="G118" s="181"/>
      <c r="H118" s="181"/>
      <c r="I118" s="181"/>
      <c r="J118" s="181"/>
      <c r="K118" s="181"/>
      <c r="L118" s="181"/>
      <c r="M118" s="181"/>
      <c r="N118" s="181"/>
      <c r="O118" s="181"/>
      <c r="P118" s="181"/>
      <c r="Q118" s="181"/>
      <c r="R118" s="181"/>
      <c r="S118" s="181"/>
      <c r="T118" s="181"/>
      <c r="U118" s="181"/>
      <c r="V118" s="181"/>
      <c r="W118" s="181"/>
      <c r="X118" s="181"/>
      <c r="Y118" s="181"/>
      <c r="Z118" s="181"/>
    </row>
    <row r="119" customFormat="false" ht="15.75" hidden="false" customHeight="false" outlineLevel="0" collapsed="false">
      <c r="A119" s="181"/>
      <c r="B119" s="181"/>
      <c r="C119" s="181"/>
      <c r="D119" s="181"/>
      <c r="E119" s="181"/>
      <c r="F119" s="181"/>
      <c r="G119" s="181"/>
      <c r="H119" s="181"/>
      <c r="I119" s="181"/>
      <c r="J119" s="181"/>
      <c r="K119" s="181"/>
      <c r="L119" s="181"/>
      <c r="M119" s="181"/>
      <c r="N119" s="181"/>
      <c r="O119" s="181"/>
      <c r="P119" s="181"/>
      <c r="Q119" s="181"/>
      <c r="R119" s="181"/>
      <c r="S119" s="181"/>
      <c r="T119" s="181"/>
      <c r="U119" s="181"/>
      <c r="V119" s="181"/>
      <c r="W119" s="181"/>
      <c r="X119" s="181"/>
      <c r="Y119" s="181"/>
      <c r="Z119" s="181"/>
    </row>
    <row r="120" customFormat="false" ht="15.75" hidden="false" customHeight="false" outlineLevel="0" collapsed="false">
      <c r="A120" s="181"/>
      <c r="B120" s="181"/>
      <c r="C120" s="181"/>
      <c r="D120" s="181"/>
      <c r="E120" s="181"/>
      <c r="F120" s="181"/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</row>
    <row r="121" customFormat="false" ht="15.75" hidden="false" customHeight="false" outlineLevel="0" collapsed="false">
      <c r="A121" s="181"/>
      <c r="B121" s="181"/>
      <c r="C121" s="181"/>
      <c r="D121" s="181"/>
      <c r="E121" s="181"/>
      <c r="F121" s="181"/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</row>
    <row r="122" customFormat="false" ht="15.75" hidden="false" customHeight="false" outlineLevel="0" collapsed="false">
      <c r="A122" s="181"/>
      <c r="B122" s="181"/>
      <c r="C122" s="181"/>
      <c r="D122" s="181"/>
      <c r="E122" s="181"/>
      <c r="F122" s="181"/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</row>
    <row r="123" customFormat="false" ht="15.75" hidden="false" customHeight="false" outlineLevel="0" collapsed="false">
      <c r="A123" s="181"/>
      <c r="B123" s="181"/>
      <c r="C123" s="181"/>
      <c r="D123" s="181"/>
      <c r="E123" s="181"/>
      <c r="F123" s="181"/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</row>
    <row r="124" customFormat="false" ht="15.75" hidden="false" customHeight="false" outlineLevel="0" collapsed="false">
      <c r="A124" s="181"/>
      <c r="B124" s="181"/>
      <c r="C124" s="181"/>
      <c r="D124" s="181"/>
      <c r="E124" s="181"/>
      <c r="F124" s="181"/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</row>
    <row r="125" customFormat="false" ht="15.75" hidden="false" customHeight="false" outlineLevel="0" collapsed="false">
      <c r="A125" s="181"/>
      <c r="B125" s="181"/>
      <c r="C125" s="181"/>
      <c r="D125" s="181"/>
      <c r="E125" s="181"/>
      <c r="F125" s="181"/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</row>
    <row r="126" customFormat="false" ht="15.75" hidden="false" customHeight="false" outlineLevel="0" collapsed="false">
      <c r="A126" s="181"/>
      <c r="B126" s="181"/>
      <c r="C126" s="181"/>
      <c r="D126" s="181"/>
      <c r="E126" s="181"/>
      <c r="F126" s="181"/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</row>
    <row r="127" customFormat="false" ht="15.75" hidden="false" customHeight="false" outlineLevel="0" collapsed="false">
      <c r="A127" s="181"/>
      <c r="B127" s="181"/>
      <c r="C127" s="181"/>
      <c r="D127" s="181"/>
      <c r="E127" s="181"/>
      <c r="F127" s="181"/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</row>
    <row r="128" customFormat="false" ht="15.75" hidden="false" customHeight="false" outlineLevel="0" collapsed="false">
      <c r="A128" s="181"/>
      <c r="B128" s="181"/>
      <c r="C128" s="181"/>
      <c r="D128" s="181"/>
      <c r="E128" s="181"/>
      <c r="F128" s="181"/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</row>
    <row r="129" customFormat="false" ht="15.75" hidden="false" customHeight="false" outlineLevel="0" collapsed="false">
      <c r="A129" s="181"/>
      <c r="B129" s="181"/>
      <c r="C129" s="181"/>
      <c r="D129" s="181"/>
      <c r="E129" s="181"/>
      <c r="F129" s="181"/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</row>
    <row r="130" customFormat="false" ht="15.75" hidden="false" customHeight="false" outlineLevel="0" collapsed="false">
      <c r="A130" s="181"/>
      <c r="B130" s="181"/>
      <c r="C130" s="181"/>
      <c r="D130" s="181"/>
      <c r="E130" s="181"/>
      <c r="F130" s="181"/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</row>
    <row r="131" customFormat="false" ht="15.75" hidden="false" customHeight="false" outlineLevel="0" collapsed="false">
      <c r="A131" s="181"/>
      <c r="B131" s="181"/>
      <c r="C131" s="181"/>
      <c r="D131" s="181"/>
      <c r="E131" s="181"/>
      <c r="F131" s="181"/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</row>
    <row r="132" customFormat="false" ht="15.75" hidden="false" customHeight="false" outlineLevel="0" collapsed="false">
      <c r="A132" s="181"/>
      <c r="B132" s="181"/>
      <c r="C132" s="181"/>
      <c r="D132" s="181"/>
      <c r="E132" s="181"/>
      <c r="F132" s="181"/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</row>
    <row r="133" customFormat="false" ht="15.75" hidden="false" customHeight="false" outlineLevel="0" collapsed="false">
      <c r="A133" s="181"/>
      <c r="B133" s="181"/>
      <c r="C133" s="181"/>
      <c r="D133" s="181"/>
      <c r="E133" s="181"/>
      <c r="F133" s="181"/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</row>
    <row r="134" customFormat="false" ht="15.75" hidden="false" customHeight="false" outlineLevel="0" collapsed="false">
      <c r="A134" s="181"/>
      <c r="B134" s="181"/>
      <c r="C134" s="181"/>
      <c r="D134" s="181"/>
      <c r="E134" s="181"/>
      <c r="F134" s="181"/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</row>
    <row r="135" customFormat="false" ht="15.75" hidden="false" customHeight="false" outlineLevel="0" collapsed="false">
      <c r="A135" s="181"/>
      <c r="B135" s="181"/>
      <c r="C135" s="181"/>
      <c r="D135" s="181"/>
      <c r="E135" s="181"/>
      <c r="F135" s="181"/>
      <c r="G135" s="181"/>
      <c r="H135" s="181"/>
      <c r="I135" s="181"/>
      <c r="J135" s="181"/>
      <c r="K135" s="181"/>
      <c r="L135" s="181"/>
      <c r="M135" s="181"/>
      <c r="N135" s="181"/>
      <c r="O135" s="181"/>
      <c r="P135" s="181"/>
      <c r="Q135" s="181"/>
      <c r="R135" s="181"/>
      <c r="S135" s="181"/>
      <c r="T135" s="181"/>
      <c r="U135" s="181"/>
      <c r="V135" s="181"/>
      <c r="W135" s="181"/>
      <c r="X135" s="181"/>
      <c r="Y135" s="181"/>
      <c r="Z135" s="181"/>
    </row>
    <row r="136" customFormat="false" ht="15.75" hidden="false" customHeight="false" outlineLevel="0" collapsed="false">
      <c r="A136" s="181"/>
      <c r="B136" s="181"/>
      <c r="C136" s="181"/>
      <c r="D136" s="181"/>
      <c r="E136" s="181"/>
      <c r="F136" s="181"/>
      <c r="G136" s="181"/>
      <c r="H136" s="181"/>
      <c r="I136" s="181"/>
      <c r="J136" s="181"/>
      <c r="K136" s="181"/>
      <c r="L136" s="181"/>
      <c r="M136" s="181"/>
      <c r="N136" s="181"/>
      <c r="O136" s="181"/>
      <c r="P136" s="181"/>
      <c r="Q136" s="181"/>
      <c r="R136" s="181"/>
      <c r="S136" s="181"/>
      <c r="T136" s="181"/>
      <c r="U136" s="181"/>
      <c r="V136" s="181"/>
      <c r="W136" s="181"/>
      <c r="X136" s="181"/>
      <c r="Y136" s="181"/>
      <c r="Z136" s="181"/>
    </row>
    <row r="137" customFormat="false" ht="15.75" hidden="false" customHeight="false" outlineLevel="0" collapsed="false">
      <c r="A137" s="181"/>
      <c r="B137" s="181"/>
      <c r="C137" s="181"/>
      <c r="D137" s="181"/>
      <c r="E137" s="181"/>
      <c r="F137" s="181"/>
      <c r="G137" s="181"/>
      <c r="H137" s="181"/>
      <c r="I137" s="181"/>
      <c r="J137" s="181"/>
      <c r="K137" s="181"/>
      <c r="L137" s="181"/>
      <c r="M137" s="181"/>
      <c r="N137" s="181"/>
      <c r="O137" s="181"/>
      <c r="P137" s="181"/>
      <c r="Q137" s="181"/>
      <c r="R137" s="181"/>
      <c r="S137" s="181"/>
      <c r="T137" s="181"/>
      <c r="U137" s="181"/>
      <c r="V137" s="181"/>
      <c r="W137" s="181"/>
      <c r="X137" s="181"/>
      <c r="Y137" s="181"/>
      <c r="Z137" s="181"/>
    </row>
    <row r="138" customFormat="false" ht="15.75" hidden="false" customHeight="false" outlineLevel="0" collapsed="false">
      <c r="A138" s="181"/>
      <c r="B138" s="181"/>
      <c r="C138" s="181"/>
      <c r="D138" s="181"/>
      <c r="E138" s="181"/>
      <c r="F138" s="181"/>
      <c r="G138" s="181"/>
      <c r="H138" s="181"/>
      <c r="I138" s="181"/>
      <c r="J138" s="181"/>
      <c r="K138" s="181"/>
      <c r="L138" s="181"/>
      <c r="M138" s="181"/>
      <c r="N138" s="181"/>
      <c r="O138" s="181"/>
      <c r="P138" s="181"/>
      <c r="Q138" s="181"/>
      <c r="R138" s="181"/>
      <c r="S138" s="181"/>
      <c r="T138" s="181"/>
      <c r="U138" s="181"/>
      <c r="V138" s="181"/>
      <c r="W138" s="181"/>
      <c r="X138" s="181"/>
      <c r="Y138" s="181"/>
      <c r="Z138" s="181"/>
    </row>
    <row r="139" customFormat="false" ht="15.75" hidden="false" customHeight="false" outlineLevel="0" collapsed="false">
      <c r="A139" s="181"/>
      <c r="B139" s="181"/>
      <c r="C139" s="181"/>
      <c r="D139" s="181"/>
      <c r="E139" s="181"/>
      <c r="F139" s="181"/>
      <c r="G139" s="181"/>
      <c r="H139" s="181"/>
      <c r="I139" s="181"/>
      <c r="J139" s="181"/>
      <c r="K139" s="181"/>
      <c r="L139" s="181"/>
      <c r="M139" s="181"/>
      <c r="N139" s="181"/>
      <c r="O139" s="181"/>
      <c r="P139" s="181"/>
      <c r="Q139" s="181"/>
      <c r="R139" s="181"/>
      <c r="S139" s="181"/>
      <c r="T139" s="181"/>
      <c r="U139" s="181"/>
      <c r="V139" s="181"/>
      <c r="W139" s="181"/>
      <c r="X139" s="181"/>
      <c r="Y139" s="181"/>
      <c r="Z139" s="181"/>
    </row>
    <row r="140" customFormat="false" ht="15.75" hidden="false" customHeight="false" outlineLevel="0" collapsed="false">
      <c r="A140" s="181"/>
      <c r="B140" s="181"/>
      <c r="C140" s="181"/>
      <c r="D140" s="181"/>
      <c r="E140" s="181"/>
      <c r="F140" s="181"/>
      <c r="G140" s="181"/>
      <c r="H140" s="181"/>
      <c r="I140" s="181"/>
      <c r="J140" s="181"/>
      <c r="K140" s="181"/>
      <c r="L140" s="181"/>
      <c r="M140" s="181"/>
      <c r="N140" s="181"/>
      <c r="O140" s="181"/>
      <c r="P140" s="181"/>
      <c r="Q140" s="181"/>
      <c r="R140" s="181"/>
      <c r="S140" s="181"/>
      <c r="T140" s="181"/>
      <c r="U140" s="181"/>
      <c r="V140" s="181"/>
      <c r="W140" s="181"/>
      <c r="X140" s="181"/>
      <c r="Y140" s="181"/>
      <c r="Z140" s="181"/>
    </row>
    <row r="141" customFormat="false" ht="15.75" hidden="false" customHeight="false" outlineLevel="0" collapsed="false">
      <c r="A141" s="181"/>
      <c r="B141" s="181"/>
      <c r="C141" s="181"/>
      <c r="D141" s="181"/>
      <c r="E141" s="181"/>
      <c r="F141" s="181"/>
      <c r="G141" s="181"/>
      <c r="H141" s="181"/>
      <c r="I141" s="181"/>
      <c r="J141" s="181"/>
      <c r="K141" s="181"/>
      <c r="L141" s="181"/>
      <c r="M141" s="181"/>
      <c r="N141" s="181"/>
      <c r="O141" s="181"/>
      <c r="P141" s="181"/>
      <c r="Q141" s="181"/>
      <c r="R141" s="181"/>
      <c r="S141" s="181"/>
      <c r="T141" s="181"/>
      <c r="U141" s="181"/>
      <c r="V141" s="181"/>
      <c r="W141" s="181"/>
      <c r="X141" s="181"/>
      <c r="Y141" s="181"/>
      <c r="Z141" s="181"/>
    </row>
    <row r="142" customFormat="false" ht="15.75" hidden="false" customHeight="false" outlineLevel="0" collapsed="false">
      <c r="A142" s="181"/>
      <c r="B142" s="181"/>
      <c r="C142" s="181"/>
      <c r="D142" s="181"/>
      <c r="E142" s="181"/>
      <c r="F142" s="181"/>
      <c r="G142" s="181"/>
      <c r="H142" s="181"/>
      <c r="I142" s="181"/>
      <c r="J142" s="181"/>
      <c r="K142" s="181"/>
      <c r="L142" s="181"/>
      <c r="M142" s="181"/>
      <c r="N142" s="181"/>
      <c r="O142" s="181"/>
      <c r="P142" s="181"/>
      <c r="Q142" s="181"/>
      <c r="R142" s="181"/>
      <c r="S142" s="181"/>
      <c r="T142" s="181"/>
      <c r="U142" s="181"/>
      <c r="V142" s="181"/>
      <c r="W142" s="181"/>
      <c r="X142" s="181"/>
      <c r="Y142" s="181"/>
      <c r="Z142" s="181"/>
    </row>
    <row r="143" customFormat="false" ht="15.75" hidden="false" customHeight="false" outlineLevel="0" collapsed="false">
      <c r="A143" s="181"/>
      <c r="B143" s="181"/>
      <c r="C143" s="181"/>
      <c r="D143" s="181"/>
      <c r="E143" s="181"/>
      <c r="F143" s="181"/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</row>
    <row r="144" customFormat="false" ht="15.75" hidden="false" customHeight="false" outlineLevel="0" collapsed="false">
      <c r="A144" s="181"/>
      <c r="B144" s="181"/>
      <c r="C144" s="181"/>
      <c r="D144" s="181"/>
      <c r="E144" s="181"/>
      <c r="F144" s="181"/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</row>
    <row r="145" customFormat="false" ht="15.75" hidden="false" customHeight="false" outlineLevel="0" collapsed="false">
      <c r="A145" s="181"/>
      <c r="B145" s="181"/>
      <c r="C145" s="181"/>
      <c r="D145" s="181"/>
      <c r="E145" s="181"/>
      <c r="F145" s="181"/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</row>
    <row r="146" customFormat="false" ht="15.75" hidden="false" customHeight="false" outlineLevel="0" collapsed="false">
      <c r="A146" s="181"/>
      <c r="B146" s="181"/>
      <c r="C146" s="181"/>
      <c r="D146" s="181"/>
      <c r="E146" s="181"/>
      <c r="F146" s="181"/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</row>
    <row r="147" customFormat="false" ht="15.75" hidden="false" customHeight="false" outlineLevel="0" collapsed="false">
      <c r="A147" s="181"/>
      <c r="B147" s="181"/>
      <c r="C147" s="181"/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</row>
    <row r="148" customFormat="false" ht="15.75" hidden="false" customHeight="false" outlineLevel="0" collapsed="false">
      <c r="A148" s="181"/>
      <c r="B148" s="181"/>
      <c r="C148" s="181"/>
      <c r="D148" s="181"/>
      <c r="E148" s="181"/>
      <c r="F148" s="181"/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</row>
    <row r="149" customFormat="false" ht="15.75" hidden="false" customHeight="false" outlineLevel="0" collapsed="false">
      <c r="A149" s="181"/>
      <c r="B149" s="181"/>
      <c r="C149" s="181"/>
      <c r="D149" s="181"/>
      <c r="E149" s="181"/>
      <c r="F149" s="181"/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</row>
    <row r="150" customFormat="false" ht="15.75" hidden="false" customHeight="false" outlineLevel="0" collapsed="false">
      <c r="A150" s="181"/>
      <c r="B150" s="181"/>
      <c r="C150" s="181"/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</row>
    <row r="151" customFormat="false" ht="15.75" hidden="false" customHeight="false" outlineLevel="0" collapsed="false">
      <c r="A151" s="181"/>
      <c r="B151" s="181"/>
      <c r="C151" s="181"/>
      <c r="D151" s="181"/>
      <c r="E151" s="181"/>
      <c r="F151" s="181"/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</row>
    <row r="152" customFormat="false" ht="15.75" hidden="false" customHeight="false" outlineLevel="0" collapsed="false">
      <c r="A152" s="181"/>
      <c r="B152" s="181"/>
      <c r="C152" s="181"/>
      <c r="D152" s="181"/>
      <c r="E152" s="181"/>
      <c r="F152" s="181"/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</row>
    <row r="153" customFormat="false" ht="15.75" hidden="false" customHeight="false" outlineLevel="0" collapsed="false">
      <c r="A153" s="181"/>
      <c r="B153" s="181"/>
      <c r="C153" s="181"/>
      <c r="D153" s="181"/>
      <c r="E153" s="181"/>
      <c r="F153" s="181"/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</row>
    <row r="154" customFormat="false" ht="15.75" hidden="false" customHeight="false" outlineLevel="0" collapsed="false">
      <c r="A154" s="181"/>
      <c r="B154" s="181"/>
      <c r="C154" s="181"/>
      <c r="D154" s="181"/>
      <c r="E154" s="181"/>
      <c r="F154" s="181"/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</row>
    <row r="155" customFormat="false" ht="15.75" hidden="false" customHeight="false" outlineLevel="0" collapsed="false">
      <c r="A155" s="181"/>
      <c r="B155" s="181"/>
      <c r="C155" s="181"/>
      <c r="D155" s="181"/>
      <c r="E155" s="181"/>
      <c r="F155" s="181"/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</row>
    <row r="156" customFormat="false" ht="15.75" hidden="false" customHeight="false" outlineLevel="0" collapsed="false">
      <c r="A156" s="181"/>
      <c r="B156" s="181"/>
      <c r="C156" s="181"/>
      <c r="D156" s="181"/>
      <c r="E156" s="181"/>
      <c r="F156" s="181"/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</row>
    <row r="157" customFormat="false" ht="15.75" hidden="false" customHeight="false" outlineLevel="0" collapsed="false">
      <c r="A157" s="181"/>
      <c r="B157" s="181"/>
      <c r="C157" s="181"/>
      <c r="D157" s="181"/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</row>
    <row r="158" customFormat="false" ht="15.75" hidden="false" customHeight="false" outlineLevel="0" collapsed="false">
      <c r="A158" s="181"/>
      <c r="B158" s="181"/>
      <c r="C158" s="181"/>
      <c r="D158" s="181"/>
      <c r="E158" s="181"/>
      <c r="F158" s="181"/>
      <c r="G158" s="181"/>
      <c r="H158" s="181"/>
      <c r="I158" s="181"/>
      <c r="J158" s="181"/>
      <c r="K158" s="181"/>
      <c r="L158" s="181"/>
      <c r="M158" s="181"/>
      <c r="N158" s="181"/>
      <c r="O158" s="181"/>
      <c r="P158" s="181"/>
      <c r="Q158" s="181"/>
      <c r="R158" s="181"/>
      <c r="S158" s="181"/>
      <c r="T158" s="181"/>
      <c r="U158" s="181"/>
      <c r="V158" s="181"/>
      <c r="W158" s="181"/>
      <c r="X158" s="181"/>
      <c r="Y158" s="181"/>
      <c r="Z158" s="181"/>
    </row>
    <row r="159" customFormat="false" ht="15.75" hidden="false" customHeight="false" outlineLevel="0" collapsed="false">
      <c r="A159" s="181"/>
      <c r="B159" s="181"/>
      <c r="C159" s="181"/>
      <c r="D159" s="181"/>
      <c r="E159" s="181"/>
      <c r="F159" s="181"/>
      <c r="G159" s="181"/>
      <c r="H159" s="181"/>
      <c r="I159" s="181"/>
      <c r="J159" s="181"/>
      <c r="K159" s="181"/>
      <c r="L159" s="181"/>
      <c r="M159" s="181"/>
      <c r="N159" s="181"/>
      <c r="O159" s="181"/>
      <c r="P159" s="181"/>
      <c r="Q159" s="181"/>
      <c r="R159" s="181"/>
      <c r="S159" s="181"/>
      <c r="T159" s="181"/>
      <c r="U159" s="181"/>
      <c r="V159" s="181"/>
      <c r="W159" s="181"/>
      <c r="X159" s="181"/>
      <c r="Y159" s="181"/>
      <c r="Z159" s="181"/>
    </row>
    <row r="160" customFormat="false" ht="15.75" hidden="false" customHeight="false" outlineLevel="0" collapsed="false">
      <c r="A160" s="181"/>
      <c r="B160" s="181"/>
      <c r="C160" s="181"/>
      <c r="D160" s="181"/>
      <c r="E160" s="181"/>
      <c r="F160" s="181"/>
      <c r="G160" s="181"/>
      <c r="H160" s="181"/>
      <c r="I160" s="181"/>
      <c r="J160" s="181"/>
      <c r="K160" s="181"/>
      <c r="L160" s="181"/>
      <c r="M160" s="181"/>
      <c r="N160" s="181"/>
      <c r="O160" s="181"/>
      <c r="P160" s="181"/>
      <c r="Q160" s="181"/>
      <c r="R160" s="181"/>
      <c r="S160" s="181"/>
      <c r="T160" s="181"/>
      <c r="U160" s="181"/>
      <c r="V160" s="181"/>
      <c r="W160" s="181"/>
      <c r="X160" s="181"/>
      <c r="Y160" s="181"/>
      <c r="Z160" s="181"/>
    </row>
    <row r="161" customFormat="false" ht="15.75" hidden="false" customHeight="false" outlineLevel="0" collapsed="false">
      <c r="A161" s="181"/>
      <c r="B161" s="181"/>
      <c r="C161" s="181"/>
      <c r="D161" s="181"/>
      <c r="E161" s="181"/>
      <c r="F161" s="181"/>
      <c r="G161" s="181"/>
      <c r="H161" s="181"/>
      <c r="I161" s="181"/>
      <c r="J161" s="181"/>
      <c r="K161" s="181"/>
      <c r="L161" s="181"/>
      <c r="M161" s="181"/>
      <c r="N161" s="181"/>
      <c r="O161" s="181"/>
      <c r="P161" s="181"/>
      <c r="Q161" s="181"/>
      <c r="R161" s="181"/>
      <c r="S161" s="181"/>
      <c r="T161" s="181"/>
      <c r="U161" s="181"/>
      <c r="V161" s="181"/>
      <c r="W161" s="181"/>
      <c r="X161" s="181"/>
      <c r="Y161" s="181"/>
      <c r="Z161" s="181"/>
    </row>
    <row r="162" customFormat="false" ht="15.75" hidden="false" customHeight="false" outlineLevel="0" collapsed="false">
      <c r="A162" s="181"/>
      <c r="B162" s="181"/>
      <c r="C162" s="181"/>
      <c r="D162" s="181"/>
      <c r="E162" s="181"/>
      <c r="F162" s="181"/>
      <c r="G162" s="181"/>
      <c r="H162" s="181"/>
      <c r="I162" s="181"/>
      <c r="J162" s="181"/>
      <c r="K162" s="181"/>
      <c r="L162" s="181"/>
      <c r="M162" s="181"/>
      <c r="N162" s="181"/>
      <c r="O162" s="181"/>
      <c r="P162" s="181"/>
      <c r="Q162" s="181"/>
      <c r="R162" s="181"/>
      <c r="S162" s="181"/>
      <c r="T162" s="181"/>
      <c r="U162" s="181"/>
      <c r="V162" s="181"/>
      <c r="W162" s="181"/>
      <c r="X162" s="181"/>
      <c r="Y162" s="181"/>
      <c r="Z162" s="181"/>
    </row>
    <row r="163" customFormat="false" ht="15.75" hidden="false" customHeight="false" outlineLevel="0" collapsed="false">
      <c r="A163" s="181"/>
      <c r="B163" s="181"/>
      <c r="C163" s="181"/>
      <c r="D163" s="181"/>
      <c r="E163" s="181"/>
      <c r="F163" s="181"/>
      <c r="G163" s="181"/>
      <c r="H163" s="181"/>
      <c r="I163" s="181"/>
      <c r="J163" s="181"/>
      <c r="K163" s="181"/>
      <c r="L163" s="181"/>
      <c r="M163" s="181"/>
      <c r="N163" s="181"/>
      <c r="O163" s="181"/>
      <c r="P163" s="181"/>
      <c r="Q163" s="181"/>
      <c r="R163" s="181"/>
      <c r="S163" s="181"/>
      <c r="T163" s="181"/>
      <c r="U163" s="181"/>
      <c r="V163" s="181"/>
      <c r="W163" s="181"/>
      <c r="X163" s="181"/>
      <c r="Y163" s="181"/>
      <c r="Z163" s="181"/>
    </row>
    <row r="164" customFormat="false" ht="15.75" hidden="false" customHeight="false" outlineLevel="0" collapsed="false">
      <c r="A164" s="181"/>
      <c r="B164" s="181"/>
      <c r="C164" s="181"/>
      <c r="D164" s="181"/>
      <c r="E164" s="181"/>
      <c r="F164" s="181"/>
      <c r="G164" s="181"/>
      <c r="H164" s="181"/>
      <c r="I164" s="181"/>
      <c r="J164" s="181"/>
      <c r="K164" s="181"/>
      <c r="L164" s="181"/>
      <c r="M164" s="181"/>
      <c r="N164" s="181"/>
      <c r="O164" s="181"/>
      <c r="P164" s="181"/>
      <c r="Q164" s="181"/>
      <c r="R164" s="181"/>
      <c r="S164" s="181"/>
      <c r="T164" s="181"/>
      <c r="U164" s="181"/>
      <c r="V164" s="181"/>
      <c r="W164" s="181"/>
      <c r="X164" s="181"/>
      <c r="Y164" s="181"/>
      <c r="Z164" s="181"/>
    </row>
    <row r="165" customFormat="false" ht="15.75" hidden="false" customHeight="false" outlineLevel="0" collapsed="false">
      <c r="A165" s="181"/>
      <c r="B165" s="181"/>
      <c r="C165" s="181"/>
      <c r="D165" s="181"/>
      <c r="E165" s="181"/>
      <c r="F165" s="181"/>
      <c r="G165" s="181"/>
      <c r="H165" s="181"/>
      <c r="I165" s="181"/>
      <c r="J165" s="181"/>
      <c r="K165" s="181"/>
      <c r="L165" s="181"/>
      <c r="M165" s="181"/>
      <c r="N165" s="181"/>
      <c r="O165" s="181"/>
      <c r="P165" s="181"/>
      <c r="Q165" s="181"/>
      <c r="R165" s="181"/>
      <c r="S165" s="181"/>
      <c r="T165" s="181"/>
      <c r="U165" s="181"/>
      <c r="V165" s="181"/>
      <c r="W165" s="181"/>
      <c r="X165" s="181"/>
      <c r="Y165" s="181"/>
      <c r="Z165" s="181"/>
    </row>
    <row r="166" customFormat="false" ht="15.75" hidden="false" customHeight="false" outlineLevel="0" collapsed="false">
      <c r="A166" s="181"/>
      <c r="B166" s="181"/>
      <c r="C166" s="181"/>
      <c r="D166" s="181"/>
      <c r="E166" s="181"/>
      <c r="F166" s="181"/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</row>
    <row r="167" customFormat="false" ht="15.75" hidden="false" customHeight="false" outlineLevel="0" collapsed="false">
      <c r="A167" s="181"/>
      <c r="B167" s="181"/>
      <c r="C167" s="181"/>
      <c r="D167" s="181"/>
      <c r="E167" s="181"/>
      <c r="F167" s="181"/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</row>
    <row r="168" customFormat="false" ht="15.75" hidden="false" customHeight="false" outlineLevel="0" collapsed="false">
      <c r="A168" s="181"/>
      <c r="B168" s="181"/>
      <c r="C168" s="181"/>
      <c r="D168" s="181"/>
      <c r="E168" s="181"/>
      <c r="F168" s="181"/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</row>
    <row r="169" customFormat="false" ht="15.75" hidden="false" customHeight="false" outlineLevel="0" collapsed="false">
      <c r="A169" s="181"/>
      <c r="B169" s="181"/>
      <c r="C169" s="181"/>
      <c r="D169" s="181"/>
      <c r="E169" s="181"/>
      <c r="F169" s="181"/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</row>
    <row r="170" customFormat="false" ht="15.75" hidden="false" customHeight="false" outlineLevel="0" collapsed="false">
      <c r="A170" s="181"/>
      <c r="B170" s="181"/>
      <c r="C170" s="181"/>
      <c r="D170" s="181"/>
      <c r="E170" s="181"/>
      <c r="F170" s="181"/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</row>
    <row r="171" customFormat="false" ht="15.75" hidden="false" customHeight="false" outlineLevel="0" collapsed="false">
      <c r="A171" s="181"/>
      <c r="B171" s="181"/>
      <c r="C171" s="181"/>
      <c r="D171" s="181"/>
      <c r="E171" s="181"/>
      <c r="F171" s="181"/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</row>
    <row r="172" customFormat="false" ht="15.75" hidden="false" customHeight="false" outlineLevel="0" collapsed="false">
      <c r="A172" s="181"/>
      <c r="B172" s="181"/>
      <c r="C172" s="181"/>
      <c r="D172" s="181"/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</row>
    <row r="173" customFormat="false" ht="15.75" hidden="false" customHeight="false" outlineLevel="0" collapsed="false">
      <c r="A173" s="181"/>
      <c r="B173" s="181"/>
      <c r="C173" s="181"/>
      <c r="D173" s="181"/>
      <c r="E173" s="181"/>
      <c r="F173" s="181"/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</row>
    <row r="174" customFormat="false" ht="15.75" hidden="false" customHeight="false" outlineLevel="0" collapsed="false">
      <c r="A174" s="181"/>
      <c r="B174" s="181"/>
      <c r="C174" s="181"/>
      <c r="D174" s="181"/>
      <c r="E174" s="181"/>
      <c r="F174" s="181"/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</row>
    <row r="175" customFormat="false" ht="15.75" hidden="false" customHeight="false" outlineLevel="0" collapsed="false">
      <c r="A175" s="181"/>
      <c r="B175" s="181"/>
      <c r="C175" s="181"/>
      <c r="D175" s="181"/>
      <c r="E175" s="181"/>
      <c r="F175" s="181"/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</row>
    <row r="176" customFormat="false" ht="15.75" hidden="false" customHeight="false" outlineLevel="0" collapsed="false">
      <c r="A176" s="181"/>
      <c r="B176" s="181"/>
      <c r="C176" s="181"/>
      <c r="D176" s="181"/>
      <c r="E176" s="181"/>
      <c r="F176" s="181"/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</row>
    <row r="177" customFormat="false" ht="15.75" hidden="false" customHeight="false" outlineLevel="0" collapsed="false">
      <c r="A177" s="181"/>
      <c r="B177" s="181"/>
      <c r="C177" s="181"/>
      <c r="D177" s="181"/>
      <c r="E177" s="181"/>
      <c r="F177" s="181"/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</row>
    <row r="178" customFormat="false" ht="15.75" hidden="false" customHeight="false" outlineLevel="0" collapsed="false">
      <c r="A178" s="181"/>
      <c r="B178" s="181"/>
      <c r="C178" s="181"/>
      <c r="D178" s="181"/>
      <c r="E178" s="181"/>
      <c r="F178" s="181"/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</row>
    <row r="179" customFormat="false" ht="15.75" hidden="false" customHeight="false" outlineLevel="0" collapsed="false">
      <c r="A179" s="181"/>
      <c r="B179" s="181"/>
      <c r="C179" s="181"/>
      <c r="D179" s="181"/>
      <c r="E179" s="181"/>
      <c r="F179" s="181"/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</row>
    <row r="180" customFormat="false" ht="15.75" hidden="false" customHeight="false" outlineLevel="0" collapsed="false">
      <c r="A180" s="181"/>
      <c r="B180" s="181"/>
      <c r="C180" s="181"/>
      <c r="D180" s="181"/>
      <c r="E180" s="181"/>
      <c r="F180" s="181"/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</row>
    <row r="181" customFormat="false" ht="15.75" hidden="false" customHeight="false" outlineLevel="0" collapsed="false">
      <c r="A181" s="181"/>
      <c r="B181" s="181"/>
      <c r="C181" s="181"/>
      <c r="D181" s="181"/>
      <c r="E181" s="181"/>
      <c r="F181" s="181"/>
      <c r="G181" s="181"/>
      <c r="H181" s="181"/>
      <c r="I181" s="181"/>
      <c r="J181" s="181"/>
      <c r="K181" s="181"/>
      <c r="L181" s="181"/>
      <c r="M181" s="181"/>
      <c r="N181" s="181"/>
      <c r="O181" s="181"/>
      <c r="P181" s="181"/>
      <c r="Q181" s="181"/>
      <c r="R181" s="181"/>
      <c r="S181" s="181"/>
      <c r="T181" s="181"/>
      <c r="U181" s="181"/>
      <c r="V181" s="181"/>
      <c r="W181" s="181"/>
      <c r="X181" s="181"/>
      <c r="Y181" s="181"/>
      <c r="Z181" s="181"/>
    </row>
    <row r="182" customFormat="false" ht="15.75" hidden="false" customHeight="false" outlineLevel="0" collapsed="false">
      <c r="A182" s="181"/>
      <c r="B182" s="181"/>
      <c r="C182" s="181"/>
      <c r="D182" s="181"/>
      <c r="E182" s="181"/>
      <c r="F182" s="181"/>
      <c r="G182" s="181"/>
      <c r="H182" s="181"/>
      <c r="I182" s="181"/>
      <c r="J182" s="181"/>
      <c r="K182" s="181"/>
      <c r="L182" s="181"/>
      <c r="M182" s="181"/>
      <c r="N182" s="181"/>
      <c r="O182" s="181"/>
      <c r="P182" s="181"/>
      <c r="Q182" s="181"/>
      <c r="R182" s="181"/>
      <c r="S182" s="181"/>
      <c r="T182" s="181"/>
      <c r="U182" s="181"/>
      <c r="V182" s="181"/>
      <c r="W182" s="181"/>
      <c r="X182" s="181"/>
      <c r="Y182" s="181"/>
      <c r="Z182" s="181"/>
    </row>
    <row r="183" customFormat="false" ht="15.75" hidden="false" customHeight="false" outlineLevel="0" collapsed="false">
      <c r="A183" s="181"/>
      <c r="B183" s="181"/>
      <c r="C183" s="181"/>
      <c r="D183" s="181"/>
      <c r="E183" s="181"/>
      <c r="F183" s="181"/>
      <c r="G183" s="181"/>
      <c r="H183" s="181"/>
      <c r="I183" s="181"/>
      <c r="J183" s="181"/>
      <c r="K183" s="181"/>
      <c r="L183" s="181"/>
      <c r="M183" s="181"/>
      <c r="N183" s="181"/>
      <c r="O183" s="181"/>
      <c r="P183" s="181"/>
      <c r="Q183" s="181"/>
      <c r="R183" s="181"/>
      <c r="S183" s="181"/>
      <c r="T183" s="181"/>
      <c r="U183" s="181"/>
      <c r="V183" s="181"/>
      <c r="W183" s="181"/>
      <c r="X183" s="181"/>
      <c r="Y183" s="181"/>
      <c r="Z183" s="181"/>
    </row>
    <row r="184" customFormat="false" ht="15.75" hidden="false" customHeight="false" outlineLevel="0" collapsed="false">
      <c r="A184" s="181"/>
      <c r="B184" s="181"/>
      <c r="C184" s="181"/>
      <c r="D184" s="181"/>
      <c r="E184" s="181"/>
      <c r="F184" s="181"/>
      <c r="G184" s="181"/>
      <c r="H184" s="181"/>
      <c r="I184" s="181"/>
      <c r="J184" s="181"/>
      <c r="K184" s="181"/>
      <c r="L184" s="181"/>
      <c r="M184" s="181"/>
      <c r="N184" s="181"/>
      <c r="O184" s="181"/>
      <c r="P184" s="181"/>
      <c r="Q184" s="181"/>
      <c r="R184" s="181"/>
      <c r="S184" s="181"/>
      <c r="T184" s="181"/>
      <c r="U184" s="181"/>
      <c r="V184" s="181"/>
      <c r="W184" s="181"/>
      <c r="X184" s="181"/>
      <c r="Y184" s="181"/>
      <c r="Z184" s="181"/>
    </row>
    <row r="185" customFormat="false" ht="15.75" hidden="false" customHeight="false" outlineLevel="0" collapsed="false">
      <c r="A185" s="181"/>
      <c r="B185" s="181"/>
      <c r="C185" s="181"/>
      <c r="D185" s="181"/>
      <c r="E185" s="181"/>
      <c r="F185" s="181"/>
      <c r="G185" s="181"/>
      <c r="H185" s="181"/>
      <c r="I185" s="181"/>
      <c r="J185" s="181"/>
      <c r="K185" s="181"/>
      <c r="L185" s="181"/>
      <c r="M185" s="181"/>
      <c r="N185" s="181"/>
      <c r="O185" s="181"/>
      <c r="P185" s="181"/>
      <c r="Q185" s="181"/>
      <c r="R185" s="181"/>
      <c r="S185" s="181"/>
      <c r="T185" s="181"/>
      <c r="U185" s="181"/>
      <c r="V185" s="181"/>
      <c r="W185" s="181"/>
      <c r="X185" s="181"/>
      <c r="Y185" s="181"/>
      <c r="Z185" s="181"/>
    </row>
    <row r="186" customFormat="false" ht="15.75" hidden="false" customHeight="false" outlineLevel="0" collapsed="false">
      <c r="A186" s="181"/>
      <c r="B186" s="181"/>
      <c r="C186" s="181"/>
      <c r="D186" s="181"/>
      <c r="E186" s="181"/>
      <c r="F186" s="181"/>
      <c r="G186" s="181"/>
      <c r="H186" s="181"/>
      <c r="I186" s="181"/>
      <c r="J186" s="181"/>
      <c r="K186" s="181"/>
      <c r="L186" s="181"/>
      <c r="M186" s="181"/>
      <c r="N186" s="181"/>
      <c r="O186" s="181"/>
      <c r="P186" s="181"/>
      <c r="Q186" s="181"/>
      <c r="R186" s="181"/>
      <c r="S186" s="181"/>
      <c r="T186" s="181"/>
      <c r="U186" s="181"/>
      <c r="V186" s="181"/>
      <c r="W186" s="181"/>
      <c r="X186" s="181"/>
      <c r="Y186" s="181"/>
      <c r="Z186" s="181"/>
    </row>
    <row r="187" customFormat="false" ht="15.75" hidden="false" customHeight="false" outlineLevel="0" collapsed="false">
      <c r="A187" s="181"/>
      <c r="B187" s="181"/>
      <c r="C187" s="181"/>
      <c r="D187" s="181"/>
      <c r="E187" s="181"/>
      <c r="F187" s="181"/>
      <c r="G187" s="181"/>
      <c r="H187" s="181"/>
      <c r="I187" s="181"/>
      <c r="J187" s="181"/>
      <c r="K187" s="181"/>
      <c r="L187" s="181"/>
      <c r="M187" s="181"/>
      <c r="N187" s="181"/>
      <c r="O187" s="181"/>
      <c r="P187" s="181"/>
      <c r="Q187" s="181"/>
      <c r="R187" s="181"/>
      <c r="S187" s="181"/>
      <c r="T187" s="181"/>
      <c r="U187" s="181"/>
      <c r="V187" s="181"/>
      <c r="W187" s="181"/>
      <c r="X187" s="181"/>
      <c r="Y187" s="181"/>
      <c r="Z187" s="181"/>
    </row>
    <row r="188" customFormat="false" ht="15.75" hidden="false" customHeight="false" outlineLevel="0" collapsed="false">
      <c r="A188" s="181"/>
      <c r="B188" s="181"/>
      <c r="C188" s="181"/>
      <c r="D188" s="181"/>
      <c r="E188" s="181"/>
      <c r="F188" s="181"/>
      <c r="G188" s="181"/>
      <c r="H188" s="181"/>
      <c r="I188" s="181"/>
      <c r="J188" s="181"/>
      <c r="K188" s="181"/>
      <c r="L188" s="181"/>
      <c r="M188" s="181"/>
      <c r="N188" s="181"/>
      <c r="O188" s="181"/>
      <c r="P188" s="181"/>
      <c r="Q188" s="181"/>
      <c r="R188" s="181"/>
      <c r="S188" s="181"/>
      <c r="T188" s="181"/>
      <c r="U188" s="181"/>
      <c r="V188" s="181"/>
      <c r="W188" s="181"/>
      <c r="X188" s="181"/>
      <c r="Y188" s="181"/>
      <c r="Z188" s="181"/>
    </row>
    <row r="189" customFormat="false" ht="15.75" hidden="false" customHeight="false" outlineLevel="0" collapsed="false">
      <c r="A189" s="181"/>
      <c r="B189" s="181"/>
      <c r="C189" s="181"/>
      <c r="D189" s="181"/>
      <c r="E189" s="181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</row>
    <row r="190" customFormat="false" ht="15.75" hidden="false" customHeight="false" outlineLevel="0" collapsed="false">
      <c r="A190" s="181"/>
      <c r="B190" s="181"/>
      <c r="C190" s="181"/>
      <c r="D190" s="181"/>
      <c r="E190" s="181"/>
      <c r="F190" s="181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</row>
    <row r="191" customFormat="false" ht="15.75" hidden="false" customHeight="false" outlineLevel="0" collapsed="false">
      <c r="A191" s="181"/>
      <c r="B191" s="181"/>
      <c r="C191" s="181"/>
      <c r="D191" s="181"/>
      <c r="E191" s="181"/>
      <c r="F191" s="181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</row>
    <row r="192" customFormat="false" ht="15.75" hidden="false" customHeight="false" outlineLevel="0" collapsed="false">
      <c r="A192" s="181"/>
      <c r="B192" s="181"/>
      <c r="C192" s="181"/>
      <c r="D192" s="181"/>
      <c r="E192" s="181"/>
      <c r="F192" s="181"/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</row>
    <row r="193" customFormat="false" ht="15.75" hidden="false" customHeight="false" outlineLevel="0" collapsed="false">
      <c r="A193" s="181"/>
      <c r="B193" s="181"/>
      <c r="C193" s="181"/>
      <c r="D193" s="181"/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</row>
    <row r="194" customFormat="false" ht="15.75" hidden="false" customHeight="false" outlineLevel="0" collapsed="false">
      <c r="A194" s="181"/>
      <c r="B194" s="181"/>
      <c r="C194" s="181"/>
      <c r="D194" s="181"/>
      <c r="E194" s="181"/>
      <c r="F194" s="181"/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</row>
    <row r="195" customFormat="false" ht="15.75" hidden="false" customHeight="false" outlineLevel="0" collapsed="false">
      <c r="A195" s="181"/>
      <c r="B195" s="181"/>
      <c r="C195" s="181"/>
      <c r="D195" s="181"/>
      <c r="E195" s="181"/>
      <c r="F195" s="181"/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</row>
    <row r="196" customFormat="false" ht="15.75" hidden="false" customHeight="false" outlineLevel="0" collapsed="false">
      <c r="A196" s="181"/>
      <c r="B196" s="181"/>
      <c r="C196" s="181"/>
      <c r="D196" s="181"/>
      <c r="E196" s="181"/>
      <c r="F196" s="181"/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</row>
    <row r="197" customFormat="false" ht="15.75" hidden="false" customHeight="false" outlineLevel="0" collapsed="false">
      <c r="A197" s="181"/>
      <c r="B197" s="181"/>
      <c r="C197" s="181"/>
      <c r="D197" s="181"/>
      <c r="E197" s="181"/>
      <c r="F197" s="181"/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</row>
    <row r="198" customFormat="false" ht="15.75" hidden="false" customHeight="false" outlineLevel="0" collapsed="false">
      <c r="A198" s="181"/>
      <c r="B198" s="181"/>
      <c r="C198" s="181"/>
      <c r="D198" s="181"/>
      <c r="E198" s="181"/>
      <c r="F198" s="181"/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</row>
    <row r="199" customFormat="false" ht="15.75" hidden="false" customHeight="false" outlineLevel="0" collapsed="false">
      <c r="A199" s="181"/>
      <c r="B199" s="181"/>
      <c r="C199" s="181"/>
      <c r="D199" s="181"/>
      <c r="E199" s="181"/>
      <c r="F199" s="181"/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</row>
    <row r="200" customFormat="false" ht="15.75" hidden="false" customHeight="false" outlineLevel="0" collapsed="false">
      <c r="A200" s="181"/>
      <c r="B200" s="181"/>
      <c r="C200" s="181"/>
      <c r="D200" s="181"/>
      <c r="E200" s="181"/>
      <c r="F200" s="181"/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</row>
    <row r="201" customFormat="false" ht="15.75" hidden="false" customHeight="false" outlineLevel="0" collapsed="false">
      <c r="A201" s="181"/>
      <c r="B201" s="181"/>
      <c r="C201" s="181"/>
      <c r="D201" s="181"/>
      <c r="E201" s="181"/>
      <c r="F201" s="181"/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</row>
    <row r="202" customFormat="false" ht="15.75" hidden="false" customHeight="false" outlineLevel="0" collapsed="false">
      <c r="A202" s="181"/>
      <c r="B202" s="181"/>
      <c r="C202" s="181"/>
      <c r="D202" s="181"/>
      <c r="E202" s="181"/>
      <c r="F202" s="181"/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</row>
    <row r="203" customFormat="false" ht="15.75" hidden="false" customHeight="false" outlineLevel="0" collapsed="false">
      <c r="A203" s="181"/>
      <c r="B203" s="181"/>
      <c r="C203" s="181"/>
      <c r="D203" s="181"/>
      <c r="E203" s="181"/>
      <c r="F203" s="181"/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</row>
    <row r="204" customFormat="false" ht="15.75" hidden="false" customHeight="false" outlineLevel="0" collapsed="false">
      <c r="A204" s="181"/>
      <c r="B204" s="181"/>
      <c r="C204" s="181"/>
      <c r="D204" s="181"/>
      <c r="E204" s="181"/>
      <c r="F204" s="181"/>
      <c r="G204" s="181"/>
      <c r="H204" s="181"/>
      <c r="I204" s="181"/>
      <c r="J204" s="181"/>
      <c r="K204" s="181"/>
      <c r="L204" s="181"/>
      <c r="M204" s="181"/>
      <c r="N204" s="181"/>
      <c r="O204" s="181"/>
      <c r="P204" s="181"/>
      <c r="Q204" s="181"/>
      <c r="R204" s="181"/>
      <c r="S204" s="181"/>
      <c r="T204" s="181"/>
      <c r="U204" s="181"/>
      <c r="V204" s="181"/>
      <c r="W204" s="181"/>
      <c r="X204" s="181"/>
      <c r="Y204" s="181"/>
      <c r="Z204" s="181"/>
    </row>
    <row r="205" customFormat="false" ht="15.75" hidden="false" customHeight="false" outlineLevel="0" collapsed="false">
      <c r="A205" s="181"/>
      <c r="B205" s="181"/>
      <c r="C205" s="181"/>
      <c r="D205" s="181"/>
      <c r="E205" s="181"/>
      <c r="F205" s="181"/>
      <c r="G205" s="181"/>
      <c r="H205" s="181"/>
      <c r="I205" s="181"/>
      <c r="J205" s="181"/>
      <c r="K205" s="181"/>
      <c r="L205" s="181"/>
      <c r="M205" s="181"/>
      <c r="N205" s="181"/>
      <c r="O205" s="181"/>
      <c r="P205" s="181"/>
      <c r="Q205" s="181"/>
      <c r="R205" s="181"/>
      <c r="S205" s="181"/>
      <c r="T205" s="181"/>
      <c r="U205" s="181"/>
      <c r="V205" s="181"/>
      <c r="W205" s="181"/>
      <c r="X205" s="181"/>
      <c r="Y205" s="181"/>
      <c r="Z205" s="181"/>
    </row>
    <row r="206" customFormat="false" ht="15.75" hidden="false" customHeight="false" outlineLevel="0" collapsed="false">
      <c r="A206" s="181"/>
      <c r="B206" s="181"/>
      <c r="C206" s="181"/>
      <c r="D206" s="181"/>
      <c r="E206" s="181"/>
      <c r="F206" s="181"/>
      <c r="G206" s="181"/>
      <c r="H206" s="181"/>
      <c r="I206" s="181"/>
      <c r="J206" s="181"/>
      <c r="K206" s="181"/>
      <c r="L206" s="181"/>
      <c r="M206" s="181"/>
      <c r="N206" s="181"/>
      <c r="O206" s="181"/>
      <c r="P206" s="181"/>
      <c r="Q206" s="181"/>
      <c r="R206" s="181"/>
      <c r="S206" s="181"/>
      <c r="T206" s="181"/>
      <c r="U206" s="181"/>
      <c r="V206" s="181"/>
      <c r="W206" s="181"/>
      <c r="X206" s="181"/>
      <c r="Y206" s="181"/>
      <c r="Z206" s="181"/>
    </row>
    <row r="207" customFormat="false" ht="15.75" hidden="false" customHeight="false" outlineLevel="0" collapsed="false">
      <c r="A207" s="181"/>
      <c r="B207" s="181"/>
      <c r="C207" s="181"/>
      <c r="D207" s="181"/>
      <c r="E207" s="181"/>
      <c r="F207" s="181"/>
      <c r="G207" s="181"/>
      <c r="H207" s="181"/>
      <c r="I207" s="181"/>
      <c r="J207" s="181"/>
      <c r="K207" s="181"/>
      <c r="L207" s="181"/>
      <c r="M207" s="181"/>
      <c r="N207" s="181"/>
      <c r="O207" s="181"/>
      <c r="P207" s="181"/>
      <c r="Q207" s="181"/>
      <c r="R207" s="181"/>
      <c r="S207" s="181"/>
      <c r="T207" s="181"/>
      <c r="U207" s="181"/>
      <c r="V207" s="181"/>
      <c r="W207" s="181"/>
      <c r="X207" s="181"/>
      <c r="Y207" s="181"/>
      <c r="Z207" s="181"/>
    </row>
    <row r="208" customFormat="false" ht="15.75" hidden="false" customHeight="false" outlineLevel="0" collapsed="false">
      <c r="A208" s="181"/>
      <c r="B208" s="181"/>
      <c r="C208" s="181"/>
      <c r="D208" s="181"/>
      <c r="E208" s="181"/>
      <c r="F208" s="181"/>
      <c r="G208" s="181"/>
      <c r="H208" s="181"/>
      <c r="I208" s="181"/>
      <c r="J208" s="181"/>
      <c r="K208" s="181"/>
      <c r="L208" s="181"/>
      <c r="M208" s="181"/>
      <c r="N208" s="181"/>
      <c r="O208" s="181"/>
      <c r="P208" s="181"/>
      <c r="Q208" s="181"/>
      <c r="R208" s="181"/>
      <c r="S208" s="181"/>
      <c r="T208" s="181"/>
      <c r="U208" s="181"/>
      <c r="V208" s="181"/>
      <c r="W208" s="181"/>
      <c r="X208" s="181"/>
      <c r="Y208" s="181"/>
      <c r="Z208" s="181"/>
    </row>
    <row r="209" customFormat="false" ht="15.75" hidden="false" customHeight="false" outlineLevel="0" collapsed="false">
      <c r="A209" s="181"/>
      <c r="B209" s="181"/>
      <c r="C209" s="181"/>
      <c r="D209" s="181"/>
      <c r="E209" s="181"/>
      <c r="F209" s="181"/>
      <c r="G209" s="181"/>
      <c r="H209" s="181"/>
      <c r="I209" s="181"/>
      <c r="J209" s="181"/>
      <c r="K209" s="181"/>
      <c r="L209" s="181"/>
      <c r="M209" s="181"/>
      <c r="N209" s="181"/>
      <c r="O209" s="181"/>
      <c r="P209" s="181"/>
      <c r="Q209" s="181"/>
      <c r="R209" s="181"/>
      <c r="S209" s="181"/>
      <c r="T209" s="181"/>
      <c r="U209" s="181"/>
      <c r="V209" s="181"/>
      <c r="W209" s="181"/>
      <c r="X209" s="181"/>
      <c r="Y209" s="181"/>
      <c r="Z209" s="181"/>
    </row>
    <row r="210" customFormat="false" ht="15.75" hidden="false" customHeight="false" outlineLevel="0" collapsed="false">
      <c r="A210" s="181"/>
      <c r="B210" s="181"/>
      <c r="C210" s="181"/>
      <c r="D210" s="181"/>
      <c r="E210" s="181"/>
      <c r="F210" s="181"/>
      <c r="G210" s="181"/>
      <c r="H210" s="181"/>
      <c r="I210" s="181"/>
      <c r="J210" s="181"/>
      <c r="K210" s="181"/>
      <c r="L210" s="181"/>
      <c r="M210" s="181"/>
      <c r="N210" s="181"/>
      <c r="O210" s="181"/>
      <c r="P210" s="181"/>
      <c r="Q210" s="181"/>
      <c r="R210" s="181"/>
      <c r="S210" s="181"/>
      <c r="T210" s="181"/>
      <c r="U210" s="181"/>
      <c r="V210" s="181"/>
      <c r="W210" s="181"/>
      <c r="X210" s="181"/>
      <c r="Y210" s="181"/>
      <c r="Z210" s="181"/>
    </row>
    <row r="211" customFormat="false" ht="15.75" hidden="false" customHeight="false" outlineLevel="0" collapsed="false">
      <c r="A211" s="181"/>
      <c r="B211" s="181"/>
      <c r="C211" s="181"/>
      <c r="D211" s="181"/>
      <c r="E211" s="181"/>
      <c r="F211" s="181"/>
      <c r="G211" s="181"/>
      <c r="H211" s="181"/>
      <c r="I211" s="181"/>
      <c r="J211" s="181"/>
      <c r="K211" s="181"/>
      <c r="L211" s="181"/>
      <c r="M211" s="181"/>
      <c r="N211" s="181"/>
      <c r="O211" s="181"/>
      <c r="P211" s="181"/>
      <c r="Q211" s="181"/>
      <c r="R211" s="181"/>
      <c r="S211" s="181"/>
      <c r="T211" s="181"/>
      <c r="U211" s="181"/>
      <c r="V211" s="181"/>
      <c r="W211" s="181"/>
      <c r="X211" s="181"/>
      <c r="Y211" s="181"/>
      <c r="Z211" s="181"/>
    </row>
    <row r="212" customFormat="false" ht="15.75" hidden="false" customHeight="false" outlineLevel="0" collapsed="false">
      <c r="A212" s="181"/>
      <c r="B212" s="181"/>
      <c r="C212" s="181"/>
      <c r="D212" s="181"/>
      <c r="E212" s="181"/>
      <c r="F212" s="181"/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</row>
    <row r="213" customFormat="false" ht="15.75" hidden="false" customHeight="false" outlineLevel="0" collapsed="false">
      <c r="A213" s="181"/>
      <c r="B213" s="181"/>
      <c r="C213" s="181"/>
      <c r="D213" s="181"/>
      <c r="E213" s="181"/>
      <c r="F213" s="181"/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</row>
    <row r="214" customFormat="false" ht="15.75" hidden="false" customHeight="false" outlineLevel="0" collapsed="false">
      <c r="A214" s="181"/>
      <c r="B214" s="181"/>
      <c r="C214" s="181"/>
      <c r="D214" s="181"/>
      <c r="E214" s="181"/>
      <c r="F214" s="181"/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</row>
    <row r="215" customFormat="false" ht="15.75" hidden="false" customHeight="false" outlineLevel="0" collapsed="false">
      <c r="A215" s="181"/>
      <c r="B215" s="181"/>
      <c r="C215" s="181"/>
      <c r="D215" s="181"/>
      <c r="E215" s="181"/>
      <c r="F215" s="181"/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</row>
    <row r="216" customFormat="false" ht="15.75" hidden="false" customHeight="false" outlineLevel="0" collapsed="false">
      <c r="A216" s="181"/>
      <c r="B216" s="181"/>
      <c r="C216" s="181"/>
      <c r="D216" s="181"/>
      <c r="E216" s="181"/>
      <c r="F216" s="181"/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</row>
    <row r="217" customFormat="false" ht="15.75" hidden="false" customHeight="false" outlineLevel="0" collapsed="false">
      <c r="A217" s="181"/>
      <c r="B217" s="181"/>
      <c r="C217" s="181"/>
      <c r="D217" s="181"/>
      <c r="E217" s="181"/>
      <c r="F217" s="181"/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</row>
    <row r="218" customFormat="false" ht="15.75" hidden="false" customHeight="false" outlineLevel="0" collapsed="false">
      <c r="A218" s="181"/>
      <c r="B218" s="181"/>
      <c r="C218" s="181"/>
      <c r="D218" s="181"/>
      <c r="E218" s="181"/>
      <c r="F218" s="181"/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</row>
    <row r="219" customFormat="false" ht="15.75" hidden="false" customHeight="false" outlineLevel="0" collapsed="false">
      <c r="A219" s="181"/>
      <c r="B219" s="181"/>
      <c r="C219" s="181"/>
      <c r="D219" s="181"/>
      <c r="E219" s="181"/>
      <c r="F219" s="181"/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</row>
    <row r="220" customFormat="false" ht="15.75" hidden="false" customHeight="false" outlineLevel="0" collapsed="false">
      <c r="A220" s="181"/>
      <c r="B220" s="181"/>
      <c r="C220" s="181"/>
      <c r="D220" s="181"/>
      <c r="E220" s="181"/>
      <c r="F220" s="181"/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</row>
    <row r="221" customFormat="false" ht="15.75" hidden="false" customHeight="false" outlineLevel="0" collapsed="false">
      <c r="A221" s="181"/>
      <c r="B221" s="181"/>
      <c r="C221" s="181"/>
      <c r="D221" s="181"/>
      <c r="E221" s="181"/>
      <c r="F221" s="181"/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</row>
    <row r="222" customFormat="false" ht="15.75" hidden="false" customHeight="false" outlineLevel="0" collapsed="false">
      <c r="A222" s="181"/>
      <c r="B222" s="181"/>
      <c r="C222" s="181"/>
      <c r="D222" s="181"/>
      <c r="E222" s="181"/>
      <c r="F222" s="181"/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</row>
    <row r="223" customFormat="false" ht="15.75" hidden="false" customHeight="false" outlineLevel="0" collapsed="false">
      <c r="A223" s="181"/>
      <c r="B223" s="181"/>
      <c r="C223" s="181"/>
      <c r="D223" s="181"/>
      <c r="E223" s="181"/>
      <c r="F223" s="181"/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</row>
    <row r="224" customFormat="false" ht="15.75" hidden="false" customHeight="false" outlineLevel="0" collapsed="false">
      <c r="A224" s="181"/>
      <c r="B224" s="181"/>
      <c r="C224" s="181"/>
      <c r="D224" s="181"/>
      <c r="E224" s="181"/>
      <c r="F224" s="181"/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</row>
    <row r="225" customFormat="false" ht="15.75" hidden="false" customHeight="false" outlineLevel="0" collapsed="false">
      <c r="A225" s="181"/>
      <c r="B225" s="181"/>
      <c r="C225" s="181"/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</row>
    <row r="226" customFormat="false" ht="15.75" hidden="false" customHeight="false" outlineLevel="0" collapsed="false">
      <c r="A226" s="181"/>
      <c r="B226" s="181"/>
      <c r="C226" s="181"/>
      <c r="D226" s="181"/>
      <c r="E226" s="181"/>
      <c r="F226" s="181"/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</row>
    <row r="227" customFormat="false" ht="15.75" hidden="false" customHeight="false" outlineLevel="0" collapsed="false">
      <c r="A227" s="181"/>
      <c r="B227" s="181"/>
      <c r="C227" s="181"/>
      <c r="D227" s="181"/>
      <c r="E227" s="181"/>
      <c r="F227" s="181"/>
      <c r="G227" s="181"/>
      <c r="H227" s="181"/>
      <c r="I227" s="181"/>
      <c r="J227" s="181"/>
      <c r="K227" s="181"/>
      <c r="L227" s="181"/>
      <c r="M227" s="181"/>
      <c r="N227" s="181"/>
      <c r="O227" s="181"/>
      <c r="P227" s="181"/>
      <c r="Q227" s="181"/>
      <c r="R227" s="181"/>
      <c r="S227" s="181"/>
      <c r="T227" s="181"/>
      <c r="U227" s="181"/>
      <c r="V227" s="181"/>
      <c r="W227" s="181"/>
      <c r="X227" s="181"/>
      <c r="Y227" s="181"/>
      <c r="Z227" s="181"/>
    </row>
    <row r="228" customFormat="false" ht="15.75" hidden="false" customHeight="false" outlineLevel="0" collapsed="false">
      <c r="A228" s="181"/>
      <c r="B228" s="181"/>
      <c r="C228" s="181"/>
      <c r="D228" s="181"/>
      <c r="E228" s="181"/>
      <c r="F228" s="181"/>
      <c r="G228" s="181"/>
      <c r="H228" s="181"/>
      <c r="I228" s="181"/>
      <c r="J228" s="181"/>
      <c r="K228" s="181"/>
      <c r="L228" s="181"/>
      <c r="M228" s="181"/>
      <c r="N228" s="181"/>
      <c r="O228" s="181"/>
      <c r="P228" s="181"/>
      <c r="Q228" s="181"/>
      <c r="R228" s="181"/>
      <c r="S228" s="181"/>
      <c r="T228" s="181"/>
      <c r="U228" s="181"/>
      <c r="V228" s="181"/>
      <c r="W228" s="181"/>
      <c r="X228" s="181"/>
      <c r="Y228" s="181"/>
      <c r="Z228" s="181"/>
    </row>
    <row r="229" customFormat="false" ht="15.75" hidden="false" customHeight="false" outlineLevel="0" collapsed="false">
      <c r="A229" s="181"/>
      <c r="B229" s="181"/>
      <c r="C229" s="181"/>
      <c r="D229" s="181"/>
      <c r="E229" s="181"/>
      <c r="F229" s="181"/>
      <c r="G229" s="181"/>
      <c r="H229" s="181"/>
      <c r="I229" s="181"/>
      <c r="J229" s="181"/>
      <c r="K229" s="181"/>
      <c r="L229" s="181"/>
      <c r="M229" s="181"/>
      <c r="N229" s="181"/>
      <c r="O229" s="181"/>
      <c r="P229" s="181"/>
      <c r="Q229" s="181"/>
      <c r="R229" s="181"/>
      <c r="S229" s="181"/>
      <c r="T229" s="181"/>
      <c r="U229" s="181"/>
      <c r="V229" s="181"/>
      <c r="W229" s="181"/>
      <c r="X229" s="181"/>
      <c r="Y229" s="181"/>
      <c r="Z229" s="181"/>
    </row>
    <row r="230" customFormat="false" ht="15.75" hidden="false" customHeight="false" outlineLevel="0" collapsed="false">
      <c r="A230" s="181"/>
      <c r="B230" s="181"/>
      <c r="C230" s="181"/>
      <c r="D230" s="181"/>
      <c r="E230" s="181"/>
      <c r="F230" s="181"/>
      <c r="G230" s="181"/>
      <c r="H230" s="181"/>
      <c r="I230" s="181"/>
      <c r="J230" s="181"/>
      <c r="K230" s="181"/>
      <c r="L230" s="181"/>
      <c r="M230" s="181"/>
      <c r="N230" s="181"/>
      <c r="O230" s="181"/>
      <c r="P230" s="181"/>
      <c r="Q230" s="181"/>
      <c r="R230" s="181"/>
      <c r="S230" s="181"/>
      <c r="T230" s="181"/>
      <c r="U230" s="181"/>
      <c r="V230" s="181"/>
      <c r="W230" s="181"/>
      <c r="X230" s="181"/>
      <c r="Y230" s="181"/>
      <c r="Z230" s="181"/>
    </row>
    <row r="231" customFormat="false" ht="15.75" hidden="false" customHeight="false" outlineLevel="0" collapsed="false">
      <c r="A231" s="181"/>
      <c r="B231" s="181"/>
      <c r="C231" s="181"/>
      <c r="D231" s="181"/>
      <c r="E231" s="181"/>
      <c r="F231" s="181"/>
      <c r="G231" s="181"/>
      <c r="H231" s="181"/>
      <c r="I231" s="181"/>
      <c r="J231" s="181"/>
      <c r="K231" s="181"/>
      <c r="L231" s="181"/>
      <c r="M231" s="181"/>
      <c r="N231" s="181"/>
      <c r="O231" s="181"/>
      <c r="P231" s="181"/>
      <c r="Q231" s="181"/>
      <c r="R231" s="181"/>
      <c r="S231" s="181"/>
      <c r="T231" s="181"/>
      <c r="U231" s="181"/>
      <c r="V231" s="181"/>
      <c r="W231" s="181"/>
      <c r="X231" s="181"/>
      <c r="Y231" s="181"/>
      <c r="Z231" s="181"/>
    </row>
    <row r="232" customFormat="false" ht="15.75" hidden="false" customHeight="false" outlineLevel="0" collapsed="false">
      <c r="A232" s="181"/>
      <c r="B232" s="181"/>
      <c r="C232" s="181"/>
      <c r="D232" s="181"/>
      <c r="E232" s="181"/>
      <c r="F232" s="181"/>
      <c r="G232" s="181"/>
      <c r="H232" s="181"/>
      <c r="I232" s="181"/>
      <c r="J232" s="181"/>
      <c r="K232" s="181"/>
      <c r="L232" s="181"/>
      <c r="M232" s="181"/>
      <c r="N232" s="181"/>
      <c r="O232" s="181"/>
      <c r="P232" s="181"/>
      <c r="Q232" s="181"/>
      <c r="R232" s="181"/>
      <c r="S232" s="181"/>
      <c r="T232" s="181"/>
      <c r="U232" s="181"/>
      <c r="V232" s="181"/>
      <c r="W232" s="181"/>
      <c r="X232" s="181"/>
      <c r="Y232" s="181"/>
      <c r="Z232" s="181"/>
    </row>
    <row r="233" customFormat="false" ht="15.75" hidden="false" customHeight="false" outlineLevel="0" collapsed="false">
      <c r="A233" s="181"/>
      <c r="B233" s="181"/>
      <c r="C233" s="181"/>
      <c r="D233" s="181"/>
      <c r="E233" s="181"/>
      <c r="F233" s="181"/>
      <c r="G233" s="181"/>
      <c r="H233" s="181"/>
      <c r="I233" s="181"/>
      <c r="J233" s="181"/>
      <c r="K233" s="181"/>
      <c r="L233" s="181"/>
      <c r="M233" s="181"/>
      <c r="N233" s="181"/>
      <c r="O233" s="181"/>
      <c r="P233" s="181"/>
      <c r="Q233" s="181"/>
      <c r="R233" s="181"/>
      <c r="S233" s="181"/>
      <c r="T233" s="181"/>
      <c r="U233" s="181"/>
      <c r="V233" s="181"/>
      <c r="W233" s="181"/>
      <c r="X233" s="181"/>
      <c r="Y233" s="181"/>
      <c r="Z233" s="181"/>
    </row>
    <row r="234" customFormat="false" ht="15.75" hidden="false" customHeight="false" outlineLevel="0" collapsed="false">
      <c r="A234" s="181"/>
      <c r="B234" s="181"/>
      <c r="C234" s="181"/>
      <c r="D234" s="181"/>
      <c r="E234" s="181"/>
      <c r="F234" s="181"/>
      <c r="G234" s="181"/>
      <c r="H234" s="181"/>
      <c r="I234" s="181"/>
      <c r="J234" s="181"/>
      <c r="K234" s="181"/>
      <c r="L234" s="181"/>
      <c r="M234" s="181"/>
      <c r="N234" s="181"/>
      <c r="O234" s="181"/>
      <c r="P234" s="181"/>
      <c r="Q234" s="181"/>
      <c r="R234" s="181"/>
      <c r="S234" s="181"/>
      <c r="T234" s="181"/>
      <c r="U234" s="181"/>
      <c r="V234" s="181"/>
      <c r="W234" s="181"/>
      <c r="X234" s="181"/>
      <c r="Y234" s="181"/>
      <c r="Z234" s="181"/>
    </row>
    <row r="235" customFormat="false" ht="15.75" hidden="false" customHeight="false" outlineLevel="0" collapsed="false">
      <c r="A235" s="181"/>
      <c r="B235" s="181"/>
      <c r="C235" s="181"/>
      <c r="D235" s="181"/>
      <c r="E235" s="181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</row>
    <row r="236" customFormat="false" ht="15.75" hidden="false" customHeight="false" outlineLevel="0" collapsed="false">
      <c r="A236" s="181"/>
      <c r="B236" s="181"/>
      <c r="C236" s="181"/>
      <c r="D236" s="181"/>
      <c r="E236" s="181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</row>
    <row r="237" customFormat="false" ht="15.75" hidden="false" customHeight="false" outlineLevel="0" collapsed="false">
      <c r="A237" s="181"/>
      <c r="B237" s="181"/>
      <c r="C237" s="181"/>
      <c r="D237" s="181"/>
      <c r="E237" s="181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</row>
    <row r="238" customFormat="false" ht="15.75" hidden="false" customHeight="false" outlineLevel="0" collapsed="false">
      <c r="A238" s="181"/>
      <c r="B238" s="181"/>
      <c r="C238" s="181"/>
      <c r="D238" s="181"/>
      <c r="E238" s="181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</row>
    <row r="239" customFormat="false" ht="15.75" hidden="false" customHeight="false" outlineLevel="0" collapsed="false">
      <c r="A239" s="181"/>
      <c r="B239" s="181"/>
      <c r="C239" s="181"/>
      <c r="D239" s="181"/>
      <c r="E239" s="181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</row>
    <row r="240" customFormat="false" ht="15.75" hidden="false" customHeight="false" outlineLevel="0" collapsed="false">
      <c r="A240" s="181"/>
      <c r="B240" s="181"/>
      <c r="C240" s="181"/>
      <c r="D240" s="181"/>
      <c r="E240" s="181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</row>
    <row r="241" customFormat="false" ht="15.75" hidden="false" customHeight="false" outlineLevel="0" collapsed="false">
      <c r="A241" s="181"/>
      <c r="B241" s="181"/>
      <c r="C241" s="181"/>
      <c r="D241" s="181"/>
      <c r="E241" s="181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</row>
    <row r="242" customFormat="false" ht="15.75" hidden="false" customHeight="false" outlineLevel="0" collapsed="false">
      <c r="A242" s="181"/>
      <c r="B242" s="181"/>
      <c r="C242" s="181"/>
      <c r="D242" s="181"/>
      <c r="E242" s="181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</row>
    <row r="243" customFormat="false" ht="15.75" hidden="false" customHeight="false" outlineLevel="0" collapsed="false">
      <c r="A243" s="181"/>
      <c r="B243" s="181"/>
      <c r="C243" s="181"/>
      <c r="D243" s="181"/>
      <c r="E243" s="181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</row>
    <row r="244" customFormat="false" ht="15.75" hidden="false" customHeight="false" outlineLevel="0" collapsed="false">
      <c r="A244" s="181"/>
      <c r="B244" s="181"/>
      <c r="C244" s="181"/>
      <c r="D244" s="181"/>
      <c r="E244" s="181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</row>
    <row r="245" customFormat="false" ht="15.75" hidden="false" customHeight="false" outlineLevel="0" collapsed="false">
      <c r="A245" s="181"/>
      <c r="B245" s="181"/>
      <c r="C245" s="181"/>
      <c r="D245" s="181"/>
      <c r="E245" s="181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</row>
    <row r="246" customFormat="false" ht="15.75" hidden="false" customHeight="false" outlineLevel="0" collapsed="false">
      <c r="A246" s="181"/>
      <c r="B246" s="181"/>
      <c r="C246" s="181"/>
      <c r="D246" s="181"/>
      <c r="E246" s="181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</row>
    <row r="247" customFormat="false" ht="15.75" hidden="false" customHeight="false" outlineLevel="0" collapsed="false">
      <c r="A247" s="181"/>
      <c r="B247" s="181"/>
      <c r="C247" s="181"/>
      <c r="D247" s="181"/>
      <c r="E247" s="181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</row>
    <row r="248" customFormat="false" ht="15.75" hidden="false" customHeight="false" outlineLevel="0" collapsed="false">
      <c r="A248" s="181"/>
      <c r="B248" s="181"/>
      <c r="C248" s="181"/>
      <c r="D248" s="181"/>
      <c r="E248" s="181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</row>
    <row r="249" customFormat="false" ht="15.75" hidden="false" customHeight="false" outlineLevel="0" collapsed="false">
      <c r="A249" s="181"/>
      <c r="B249" s="181"/>
      <c r="C249" s="181"/>
      <c r="D249" s="181"/>
      <c r="E249" s="181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</row>
    <row r="250" customFormat="false" ht="15.75" hidden="false" customHeight="false" outlineLevel="0" collapsed="false">
      <c r="A250" s="181"/>
      <c r="B250" s="181"/>
      <c r="C250" s="181"/>
      <c r="D250" s="181"/>
      <c r="E250" s="181"/>
      <c r="F250" s="181"/>
      <c r="G250" s="181"/>
      <c r="H250" s="181"/>
      <c r="I250" s="181"/>
      <c r="J250" s="181"/>
      <c r="K250" s="181"/>
      <c r="L250" s="181"/>
      <c r="M250" s="181"/>
      <c r="N250" s="181"/>
      <c r="O250" s="181"/>
      <c r="P250" s="181"/>
      <c r="Q250" s="181"/>
      <c r="R250" s="181"/>
      <c r="S250" s="181"/>
      <c r="T250" s="181"/>
      <c r="U250" s="181"/>
      <c r="V250" s="181"/>
      <c r="W250" s="181"/>
      <c r="X250" s="181"/>
      <c r="Y250" s="181"/>
      <c r="Z250" s="181"/>
    </row>
    <row r="251" customFormat="false" ht="15.75" hidden="false" customHeight="false" outlineLevel="0" collapsed="false">
      <c r="A251" s="181"/>
      <c r="B251" s="181"/>
      <c r="C251" s="181"/>
      <c r="D251" s="181"/>
      <c r="E251" s="181"/>
      <c r="F251" s="181"/>
      <c r="G251" s="181"/>
      <c r="H251" s="181"/>
      <c r="I251" s="181"/>
      <c r="J251" s="181"/>
      <c r="K251" s="181"/>
      <c r="L251" s="181"/>
      <c r="M251" s="181"/>
      <c r="N251" s="181"/>
      <c r="O251" s="181"/>
      <c r="P251" s="181"/>
      <c r="Q251" s="181"/>
      <c r="R251" s="181"/>
      <c r="S251" s="181"/>
      <c r="T251" s="181"/>
      <c r="U251" s="181"/>
      <c r="V251" s="181"/>
      <c r="W251" s="181"/>
      <c r="X251" s="181"/>
      <c r="Y251" s="181"/>
      <c r="Z251" s="181"/>
    </row>
    <row r="252" customFormat="false" ht="15.75" hidden="false" customHeight="false" outlineLevel="0" collapsed="false">
      <c r="A252" s="181"/>
      <c r="B252" s="181"/>
      <c r="C252" s="181"/>
      <c r="D252" s="181"/>
      <c r="E252" s="181"/>
      <c r="F252" s="181"/>
      <c r="G252" s="181"/>
      <c r="H252" s="181"/>
      <c r="I252" s="181"/>
      <c r="J252" s="181"/>
      <c r="K252" s="181"/>
      <c r="L252" s="181"/>
      <c r="M252" s="181"/>
      <c r="N252" s="181"/>
      <c r="O252" s="181"/>
      <c r="P252" s="181"/>
      <c r="Q252" s="181"/>
      <c r="R252" s="181"/>
      <c r="S252" s="181"/>
      <c r="T252" s="181"/>
      <c r="U252" s="181"/>
      <c r="V252" s="181"/>
      <c r="W252" s="181"/>
      <c r="X252" s="181"/>
      <c r="Y252" s="181"/>
      <c r="Z252" s="181"/>
    </row>
    <row r="253" customFormat="false" ht="15.75" hidden="false" customHeight="false" outlineLevel="0" collapsed="false">
      <c r="A253" s="181"/>
      <c r="B253" s="181"/>
      <c r="C253" s="181"/>
      <c r="D253" s="181"/>
      <c r="E253" s="181"/>
      <c r="F253" s="181"/>
      <c r="G253" s="181"/>
      <c r="H253" s="181"/>
      <c r="I253" s="181"/>
      <c r="J253" s="181"/>
      <c r="K253" s="181"/>
      <c r="L253" s="181"/>
      <c r="M253" s="181"/>
      <c r="N253" s="181"/>
      <c r="O253" s="181"/>
      <c r="P253" s="181"/>
      <c r="Q253" s="181"/>
      <c r="R253" s="181"/>
      <c r="S253" s="181"/>
      <c r="T253" s="181"/>
      <c r="U253" s="181"/>
      <c r="V253" s="181"/>
      <c r="W253" s="181"/>
      <c r="X253" s="181"/>
      <c r="Y253" s="181"/>
      <c r="Z253" s="181"/>
    </row>
    <row r="254" customFormat="false" ht="15.75" hidden="false" customHeight="false" outlineLevel="0" collapsed="false">
      <c r="A254" s="181"/>
      <c r="B254" s="181"/>
      <c r="C254" s="181"/>
      <c r="D254" s="181"/>
      <c r="E254" s="181"/>
      <c r="F254" s="181"/>
      <c r="G254" s="181"/>
      <c r="H254" s="181"/>
      <c r="I254" s="181"/>
      <c r="J254" s="181"/>
      <c r="K254" s="181"/>
      <c r="L254" s="181"/>
      <c r="M254" s="181"/>
      <c r="N254" s="181"/>
      <c r="O254" s="181"/>
      <c r="P254" s="181"/>
      <c r="Q254" s="181"/>
      <c r="R254" s="181"/>
      <c r="S254" s="181"/>
      <c r="T254" s="181"/>
      <c r="U254" s="181"/>
      <c r="V254" s="181"/>
      <c r="W254" s="181"/>
      <c r="X254" s="181"/>
      <c r="Y254" s="181"/>
      <c r="Z254" s="181"/>
    </row>
    <row r="255" customFormat="false" ht="15.75" hidden="false" customHeight="false" outlineLevel="0" collapsed="false">
      <c r="A255" s="181"/>
      <c r="B255" s="181"/>
      <c r="C255" s="181"/>
      <c r="D255" s="181"/>
      <c r="E255" s="181"/>
      <c r="F255" s="181"/>
      <c r="G255" s="181"/>
      <c r="H255" s="181"/>
      <c r="I255" s="181"/>
      <c r="J255" s="181"/>
      <c r="K255" s="181"/>
      <c r="L255" s="181"/>
      <c r="M255" s="181"/>
      <c r="N255" s="181"/>
      <c r="O255" s="181"/>
      <c r="P255" s="181"/>
      <c r="Q255" s="181"/>
      <c r="R255" s="181"/>
      <c r="S255" s="181"/>
      <c r="T255" s="181"/>
      <c r="U255" s="181"/>
      <c r="V255" s="181"/>
      <c r="W255" s="181"/>
      <c r="X255" s="181"/>
      <c r="Y255" s="181"/>
      <c r="Z255" s="181"/>
    </row>
    <row r="256" customFormat="false" ht="15.75" hidden="false" customHeight="false" outlineLevel="0" collapsed="false">
      <c r="A256" s="181"/>
      <c r="B256" s="181"/>
      <c r="C256" s="181"/>
      <c r="D256" s="181"/>
      <c r="E256" s="181"/>
      <c r="F256" s="181"/>
      <c r="G256" s="181"/>
      <c r="H256" s="181"/>
      <c r="I256" s="181"/>
      <c r="J256" s="181"/>
      <c r="K256" s="181"/>
      <c r="L256" s="181"/>
      <c r="M256" s="181"/>
      <c r="N256" s="181"/>
      <c r="O256" s="181"/>
      <c r="P256" s="181"/>
      <c r="Q256" s="181"/>
      <c r="R256" s="181"/>
      <c r="S256" s="181"/>
      <c r="T256" s="181"/>
      <c r="U256" s="181"/>
      <c r="V256" s="181"/>
      <c r="W256" s="181"/>
      <c r="X256" s="181"/>
      <c r="Y256" s="181"/>
      <c r="Z256" s="181"/>
    </row>
    <row r="257" customFormat="false" ht="15.75" hidden="false" customHeight="false" outlineLevel="0" collapsed="false">
      <c r="A257" s="181"/>
      <c r="B257" s="181"/>
      <c r="C257" s="181"/>
      <c r="D257" s="181"/>
      <c r="E257" s="181"/>
      <c r="F257" s="181"/>
      <c r="G257" s="181"/>
      <c r="H257" s="181"/>
      <c r="I257" s="181"/>
      <c r="J257" s="181"/>
      <c r="K257" s="181"/>
      <c r="L257" s="181"/>
      <c r="M257" s="181"/>
      <c r="N257" s="181"/>
      <c r="O257" s="181"/>
      <c r="P257" s="181"/>
      <c r="Q257" s="181"/>
      <c r="R257" s="181"/>
      <c r="S257" s="181"/>
      <c r="T257" s="181"/>
      <c r="U257" s="181"/>
      <c r="V257" s="181"/>
      <c r="W257" s="181"/>
      <c r="X257" s="181"/>
      <c r="Y257" s="181"/>
      <c r="Z257" s="181"/>
    </row>
    <row r="258" customFormat="false" ht="15.75" hidden="false" customHeight="false" outlineLevel="0" collapsed="false">
      <c r="A258" s="181"/>
      <c r="B258" s="181"/>
      <c r="C258" s="181"/>
      <c r="D258" s="181"/>
      <c r="E258" s="181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</row>
    <row r="259" customFormat="false" ht="15.75" hidden="false" customHeight="false" outlineLevel="0" collapsed="false">
      <c r="A259" s="181"/>
      <c r="B259" s="181"/>
      <c r="C259" s="181"/>
      <c r="D259" s="181"/>
      <c r="E259" s="181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</row>
    <row r="260" customFormat="false" ht="15.75" hidden="false" customHeight="false" outlineLevel="0" collapsed="false">
      <c r="A260" s="181"/>
      <c r="B260" s="181"/>
      <c r="C260" s="181"/>
      <c r="D260" s="181"/>
      <c r="E260" s="181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</row>
    <row r="261" customFormat="false" ht="15.75" hidden="false" customHeight="false" outlineLevel="0" collapsed="false">
      <c r="A261" s="181"/>
      <c r="B261" s="181"/>
      <c r="C261" s="181"/>
      <c r="D261" s="181"/>
      <c r="E261" s="181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</row>
    <row r="262" customFormat="false" ht="15.75" hidden="false" customHeight="false" outlineLevel="0" collapsed="false">
      <c r="A262" s="181"/>
      <c r="B262" s="181"/>
      <c r="C262" s="181"/>
      <c r="D262" s="181"/>
      <c r="E262" s="181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</row>
    <row r="263" customFormat="false" ht="15.75" hidden="false" customHeight="false" outlineLevel="0" collapsed="false">
      <c r="A263" s="181"/>
      <c r="B263" s="181"/>
      <c r="C263" s="181"/>
      <c r="D263" s="181"/>
      <c r="E263" s="181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</row>
    <row r="264" customFormat="false" ht="15.75" hidden="false" customHeight="false" outlineLevel="0" collapsed="false">
      <c r="A264" s="181"/>
      <c r="B264" s="181"/>
      <c r="C264" s="181"/>
      <c r="D264" s="181"/>
      <c r="E264" s="181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</row>
    <row r="265" customFormat="false" ht="15.75" hidden="false" customHeight="false" outlineLevel="0" collapsed="false">
      <c r="A265" s="181"/>
      <c r="B265" s="181"/>
      <c r="C265" s="181"/>
      <c r="D265" s="181"/>
      <c r="E265" s="181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</row>
    <row r="266" customFormat="false" ht="15.75" hidden="false" customHeight="false" outlineLevel="0" collapsed="false">
      <c r="A266" s="181"/>
      <c r="B266" s="181"/>
      <c r="C266" s="181"/>
      <c r="D266" s="181"/>
      <c r="E266" s="181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</row>
    <row r="267" customFormat="false" ht="15.75" hidden="false" customHeight="false" outlineLevel="0" collapsed="false">
      <c r="A267" s="181"/>
      <c r="B267" s="181"/>
      <c r="C267" s="181"/>
      <c r="D267" s="181"/>
      <c r="E267" s="181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</row>
    <row r="268" customFormat="false" ht="15.75" hidden="false" customHeight="false" outlineLevel="0" collapsed="false">
      <c r="A268" s="181"/>
      <c r="B268" s="181"/>
      <c r="C268" s="181"/>
      <c r="D268" s="181"/>
      <c r="E268" s="181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</row>
    <row r="269" customFormat="false" ht="15.75" hidden="false" customHeight="false" outlineLevel="0" collapsed="false">
      <c r="A269" s="181"/>
      <c r="B269" s="181"/>
      <c r="C269" s="181"/>
      <c r="D269" s="181"/>
      <c r="E269" s="181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</row>
    <row r="270" customFormat="false" ht="15.75" hidden="false" customHeight="false" outlineLevel="0" collapsed="false">
      <c r="A270" s="181"/>
      <c r="B270" s="181"/>
      <c r="C270" s="181"/>
      <c r="D270" s="181"/>
      <c r="E270" s="181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</row>
    <row r="271" customFormat="false" ht="15.75" hidden="false" customHeight="false" outlineLevel="0" collapsed="false">
      <c r="A271" s="181"/>
      <c r="B271" s="181"/>
      <c r="C271" s="181"/>
      <c r="D271" s="181"/>
      <c r="E271" s="181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</row>
    <row r="272" customFormat="false" ht="15.75" hidden="false" customHeight="false" outlineLevel="0" collapsed="false">
      <c r="A272" s="181"/>
      <c r="B272" s="181"/>
      <c r="C272" s="181"/>
      <c r="D272" s="181"/>
      <c r="E272" s="181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</row>
    <row r="273" customFormat="false" ht="15.75" hidden="false" customHeight="false" outlineLevel="0" collapsed="false">
      <c r="A273" s="181"/>
      <c r="B273" s="181"/>
      <c r="C273" s="181"/>
      <c r="D273" s="181"/>
      <c r="E273" s="181"/>
      <c r="F273" s="181"/>
      <c r="G273" s="181"/>
      <c r="H273" s="181"/>
      <c r="I273" s="181"/>
      <c r="J273" s="181"/>
      <c r="K273" s="181"/>
      <c r="L273" s="181"/>
      <c r="M273" s="181"/>
      <c r="N273" s="181"/>
      <c r="O273" s="181"/>
      <c r="P273" s="181"/>
      <c r="Q273" s="181"/>
      <c r="R273" s="181"/>
      <c r="S273" s="181"/>
      <c r="T273" s="181"/>
      <c r="U273" s="181"/>
      <c r="V273" s="181"/>
      <c r="W273" s="181"/>
      <c r="X273" s="181"/>
      <c r="Y273" s="181"/>
      <c r="Z273" s="181"/>
    </row>
    <row r="274" customFormat="false" ht="15.75" hidden="false" customHeight="false" outlineLevel="0" collapsed="false">
      <c r="A274" s="181"/>
      <c r="B274" s="181"/>
      <c r="C274" s="181"/>
      <c r="D274" s="181"/>
      <c r="E274" s="181"/>
      <c r="F274" s="181"/>
      <c r="G274" s="181"/>
      <c r="H274" s="181"/>
      <c r="I274" s="181"/>
      <c r="J274" s="181"/>
      <c r="K274" s="181"/>
      <c r="L274" s="181"/>
      <c r="M274" s="181"/>
      <c r="N274" s="181"/>
      <c r="O274" s="181"/>
      <c r="P274" s="181"/>
      <c r="Q274" s="181"/>
      <c r="R274" s="181"/>
      <c r="S274" s="181"/>
      <c r="T274" s="181"/>
      <c r="U274" s="181"/>
      <c r="V274" s="181"/>
      <c r="W274" s="181"/>
      <c r="X274" s="181"/>
      <c r="Y274" s="181"/>
      <c r="Z274" s="181"/>
    </row>
    <row r="275" customFormat="false" ht="15.75" hidden="false" customHeight="false" outlineLevel="0" collapsed="false">
      <c r="A275" s="181"/>
      <c r="B275" s="181"/>
      <c r="C275" s="181"/>
      <c r="D275" s="181"/>
      <c r="E275" s="181"/>
      <c r="F275" s="181"/>
      <c r="G275" s="181"/>
      <c r="H275" s="181"/>
      <c r="I275" s="181"/>
      <c r="J275" s="181"/>
      <c r="K275" s="181"/>
      <c r="L275" s="181"/>
      <c r="M275" s="181"/>
      <c r="N275" s="181"/>
      <c r="O275" s="181"/>
      <c r="P275" s="181"/>
      <c r="Q275" s="181"/>
      <c r="R275" s="181"/>
      <c r="S275" s="181"/>
      <c r="T275" s="181"/>
      <c r="U275" s="181"/>
      <c r="V275" s="181"/>
      <c r="W275" s="181"/>
      <c r="X275" s="181"/>
      <c r="Y275" s="181"/>
      <c r="Z275" s="181"/>
    </row>
    <row r="276" customFormat="false" ht="15.75" hidden="false" customHeight="false" outlineLevel="0" collapsed="false">
      <c r="A276" s="181"/>
      <c r="B276" s="181"/>
      <c r="C276" s="181"/>
      <c r="D276" s="181"/>
      <c r="E276" s="181"/>
      <c r="F276" s="181"/>
      <c r="G276" s="181"/>
      <c r="H276" s="181"/>
      <c r="I276" s="181"/>
      <c r="J276" s="181"/>
      <c r="K276" s="181"/>
      <c r="L276" s="181"/>
      <c r="M276" s="181"/>
      <c r="N276" s="181"/>
      <c r="O276" s="181"/>
      <c r="P276" s="181"/>
      <c r="Q276" s="181"/>
      <c r="R276" s="181"/>
      <c r="S276" s="181"/>
      <c r="T276" s="181"/>
      <c r="U276" s="181"/>
      <c r="V276" s="181"/>
      <c r="W276" s="181"/>
      <c r="X276" s="181"/>
      <c r="Y276" s="181"/>
      <c r="Z276" s="181"/>
    </row>
    <row r="277" customFormat="false" ht="15.75" hidden="false" customHeight="false" outlineLevel="0" collapsed="false">
      <c r="A277" s="181"/>
      <c r="B277" s="181"/>
      <c r="C277" s="181"/>
      <c r="D277" s="181"/>
      <c r="E277" s="181"/>
      <c r="F277" s="181"/>
      <c r="G277" s="181"/>
      <c r="H277" s="181"/>
      <c r="I277" s="181"/>
      <c r="J277" s="181"/>
      <c r="K277" s="181"/>
      <c r="L277" s="181"/>
      <c r="M277" s="181"/>
      <c r="N277" s="181"/>
      <c r="O277" s="181"/>
      <c r="P277" s="181"/>
      <c r="Q277" s="181"/>
      <c r="R277" s="181"/>
      <c r="S277" s="181"/>
      <c r="T277" s="181"/>
      <c r="U277" s="181"/>
      <c r="V277" s="181"/>
      <c r="W277" s="181"/>
      <c r="X277" s="181"/>
      <c r="Y277" s="181"/>
      <c r="Z277" s="181"/>
    </row>
    <row r="278" customFormat="false" ht="15.75" hidden="false" customHeight="false" outlineLevel="0" collapsed="false">
      <c r="A278" s="181"/>
      <c r="B278" s="181"/>
      <c r="C278" s="181"/>
      <c r="D278" s="181"/>
      <c r="E278" s="181"/>
      <c r="F278" s="181"/>
      <c r="G278" s="181"/>
      <c r="H278" s="181"/>
      <c r="I278" s="181"/>
      <c r="J278" s="181"/>
      <c r="K278" s="181"/>
      <c r="L278" s="181"/>
      <c r="M278" s="181"/>
      <c r="N278" s="181"/>
      <c r="O278" s="181"/>
      <c r="P278" s="181"/>
      <c r="Q278" s="181"/>
      <c r="R278" s="181"/>
      <c r="S278" s="181"/>
      <c r="T278" s="181"/>
      <c r="U278" s="181"/>
      <c r="V278" s="181"/>
      <c r="W278" s="181"/>
      <c r="X278" s="181"/>
      <c r="Y278" s="181"/>
      <c r="Z278" s="181"/>
    </row>
    <row r="279" customFormat="false" ht="15.75" hidden="false" customHeight="false" outlineLevel="0" collapsed="false">
      <c r="A279" s="181"/>
      <c r="B279" s="181"/>
      <c r="C279" s="181"/>
      <c r="D279" s="181"/>
      <c r="E279" s="181"/>
      <c r="F279" s="181"/>
      <c r="G279" s="181"/>
      <c r="H279" s="181"/>
      <c r="I279" s="181"/>
      <c r="J279" s="181"/>
      <c r="K279" s="181"/>
      <c r="L279" s="181"/>
      <c r="M279" s="181"/>
      <c r="N279" s="181"/>
      <c r="O279" s="181"/>
      <c r="P279" s="181"/>
      <c r="Q279" s="181"/>
      <c r="R279" s="181"/>
      <c r="S279" s="181"/>
      <c r="T279" s="181"/>
      <c r="U279" s="181"/>
      <c r="V279" s="181"/>
      <c r="W279" s="181"/>
      <c r="X279" s="181"/>
      <c r="Y279" s="181"/>
      <c r="Z279" s="181"/>
    </row>
    <row r="280" customFormat="false" ht="15.75" hidden="false" customHeight="false" outlineLevel="0" collapsed="false">
      <c r="A280" s="181"/>
      <c r="B280" s="181"/>
      <c r="C280" s="181"/>
      <c r="D280" s="181"/>
      <c r="E280" s="181"/>
      <c r="F280" s="181"/>
      <c r="G280" s="181"/>
      <c r="H280" s="181"/>
      <c r="I280" s="181"/>
      <c r="J280" s="181"/>
      <c r="K280" s="181"/>
      <c r="L280" s="181"/>
      <c r="M280" s="181"/>
      <c r="N280" s="181"/>
      <c r="O280" s="181"/>
      <c r="P280" s="181"/>
      <c r="Q280" s="181"/>
      <c r="R280" s="181"/>
      <c r="S280" s="181"/>
      <c r="T280" s="181"/>
      <c r="U280" s="181"/>
      <c r="V280" s="181"/>
      <c r="W280" s="181"/>
      <c r="X280" s="181"/>
      <c r="Y280" s="181"/>
      <c r="Z280" s="181"/>
    </row>
    <row r="281" customFormat="false" ht="15.75" hidden="false" customHeight="false" outlineLevel="0" collapsed="false">
      <c r="A281" s="181"/>
      <c r="B281" s="181"/>
      <c r="C281" s="181"/>
      <c r="D281" s="181"/>
      <c r="E281" s="181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</row>
    <row r="282" customFormat="false" ht="15.75" hidden="false" customHeight="false" outlineLevel="0" collapsed="false">
      <c r="A282" s="181"/>
      <c r="B282" s="181"/>
      <c r="C282" s="181"/>
      <c r="D282" s="181"/>
      <c r="E282" s="181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</row>
    <row r="283" customFormat="false" ht="15.75" hidden="false" customHeight="false" outlineLevel="0" collapsed="false">
      <c r="A283" s="181"/>
      <c r="B283" s="181"/>
      <c r="C283" s="181"/>
      <c r="D283" s="181"/>
      <c r="E283" s="181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</row>
    <row r="284" customFormat="false" ht="15.75" hidden="false" customHeight="false" outlineLevel="0" collapsed="false">
      <c r="A284" s="181"/>
      <c r="B284" s="181"/>
      <c r="C284" s="181"/>
      <c r="D284" s="181"/>
      <c r="E284" s="181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</row>
    <row r="285" customFormat="false" ht="15.75" hidden="false" customHeight="false" outlineLevel="0" collapsed="false">
      <c r="A285" s="181"/>
      <c r="B285" s="181"/>
      <c r="C285" s="181"/>
      <c r="D285" s="181"/>
      <c r="E285" s="181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</row>
    <row r="286" customFormat="false" ht="15.75" hidden="false" customHeight="false" outlineLevel="0" collapsed="false">
      <c r="A286" s="181"/>
      <c r="B286" s="181"/>
      <c r="C286" s="181"/>
      <c r="D286" s="181"/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</row>
    <row r="287" customFormat="false" ht="15.75" hidden="false" customHeight="false" outlineLevel="0" collapsed="false">
      <c r="A287" s="181"/>
      <c r="B287" s="181"/>
      <c r="C287" s="181"/>
      <c r="D287" s="181"/>
      <c r="E287" s="181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</row>
    <row r="288" customFormat="false" ht="15.75" hidden="false" customHeight="false" outlineLevel="0" collapsed="false">
      <c r="A288" s="181"/>
      <c r="B288" s="181"/>
      <c r="C288" s="181"/>
      <c r="D288" s="181"/>
      <c r="E288" s="181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</row>
    <row r="289" customFormat="false" ht="15.75" hidden="false" customHeight="false" outlineLevel="0" collapsed="false">
      <c r="A289" s="181"/>
      <c r="B289" s="181"/>
      <c r="C289" s="181"/>
      <c r="D289" s="181"/>
      <c r="E289" s="181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</row>
    <row r="290" customFormat="false" ht="15.75" hidden="false" customHeight="false" outlineLevel="0" collapsed="false">
      <c r="A290" s="181"/>
      <c r="B290" s="181"/>
      <c r="C290" s="181"/>
      <c r="D290" s="181"/>
      <c r="E290" s="181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</row>
    <row r="291" customFormat="false" ht="15.75" hidden="false" customHeight="false" outlineLevel="0" collapsed="false">
      <c r="A291" s="181"/>
      <c r="B291" s="181"/>
      <c r="C291" s="181"/>
      <c r="D291" s="181"/>
      <c r="E291" s="181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</row>
    <row r="292" customFormat="false" ht="15.75" hidden="false" customHeight="false" outlineLevel="0" collapsed="false">
      <c r="A292" s="181"/>
      <c r="B292" s="181"/>
      <c r="C292" s="181"/>
      <c r="D292" s="181"/>
      <c r="E292" s="181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</row>
    <row r="293" customFormat="false" ht="15.75" hidden="false" customHeight="false" outlineLevel="0" collapsed="false">
      <c r="A293" s="181"/>
      <c r="B293" s="181"/>
      <c r="C293" s="181"/>
      <c r="D293" s="181"/>
      <c r="E293" s="181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</row>
    <row r="294" customFormat="false" ht="15.75" hidden="false" customHeight="false" outlineLevel="0" collapsed="false">
      <c r="A294" s="181"/>
      <c r="B294" s="181"/>
      <c r="C294" s="181"/>
      <c r="D294" s="181"/>
      <c r="E294" s="181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</row>
    <row r="295" customFormat="false" ht="15.75" hidden="false" customHeight="false" outlineLevel="0" collapsed="false">
      <c r="A295" s="181"/>
      <c r="B295" s="181"/>
      <c r="C295" s="181"/>
      <c r="D295" s="181"/>
      <c r="E295" s="181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</row>
    <row r="296" customFormat="false" ht="15.75" hidden="false" customHeight="false" outlineLevel="0" collapsed="false">
      <c r="A296" s="181"/>
      <c r="B296" s="181"/>
      <c r="C296" s="181"/>
      <c r="D296" s="181"/>
      <c r="E296" s="181"/>
      <c r="F296" s="181"/>
      <c r="G296" s="181"/>
      <c r="H296" s="181"/>
      <c r="I296" s="181"/>
      <c r="J296" s="181"/>
      <c r="K296" s="181"/>
      <c r="L296" s="181"/>
      <c r="M296" s="181"/>
      <c r="N296" s="181"/>
      <c r="O296" s="181"/>
      <c r="P296" s="181"/>
      <c r="Q296" s="181"/>
      <c r="R296" s="181"/>
      <c r="S296" s="181"/>
      <c r="T296" s="181"/>
      <c r="U296" s="181"/>
      <c r="V296" s="181"/>
      <c r="W296" s="181"/>
      <c r="X296" s="181"/>
      <c r="Y296" s="181"/>
      <c r="Z296" s="181"/>
    </row>
    <row r="297" customFormat="false" ht="15.75" hidden="false" customHeight="false" outlineLevel="0" collapsed="false">
      <c r="A297" s="181"/>
      <c r="B297" s="181"/>
      <c r="C297" s="181"/>
      <c r="D297" s="181"/>
      <c r="E297" s="181"/>
      <c r="F297" s="181"/>
      <c r="G297" s="181"/>
      <c r="H297" s="181"/>
      <c r="I297" s="181"/>
      <c r="J297" s="181"/>
      <c r="K297" s="181"/>
      <c r="L297" s="181"/>
      <c r="M297" s="181"/>
      <c r="N297" s="181"/>
      <c r="O297" s="181"/>
      <c r="P297" s="181"/>
      <c r="Q297" s="181"/>
      <c r="R297" s="181"/>
      <c r="S297" s="181"/>
      <c r="T297" s="181"/>
      <c r="U297" s="181"/>
      <c r="V297" s="181"/>
      <c r="W297" s="181"/>
      <c r="X297" s="181"/>
      <c r="Y297" s="181"/>
      <c r="Z297" s="181"/>
    </row>
    <row r="298" customFormat="false" ht="15.75" hidden="false" customHeight="false" outlineLevel="0" collapsed="false">
      <c r="A298" s="181"/>
      <c r="B298" s="181"/>
      <c r="C298" s="181"/>
      <c r="D298" s="181"/>
      <c r="E298" s="181"/>
      <c r="F298" s="181"/>
      <c r="G298" s="181"/>
      <c r="H298" s="181"/>
      <c r="I298" s="181"/>
      <c r="J298" s="181"/>
      <c r="K298" s="181"/>
      <c r="L298" s="181"/>
      <c r="M298" s="181"/>
      <c r="N298" s="181"/>
      <c r="O298" s="181"/>
      <c r="P298" s="181"/>
      <c r="Q298" s="181"/>
      <c r="R298" s="181"/>
      <c r="S298" s="181"/>
      <c r="T298" s="181"/>
      <c r="U298" s="181"/>
      <c r="V298" s="181"/>
      <c r="W298" s="181"/>
      <c r="X298" s="181"/>
      <c r="Y298" s="181"/>
      <c r="Z298" s="181"/>
    </row>
    <row r="299" customFormat="false" ht="15.75" hidden="false" customHeight="false" outlineLevel="0" collapsed="false">
      <c r="A299" s="181"/>
      <c r="B299" s="181"/>
      <c r="C299" s="181"/>
      <c r="D299" s="181"/>
      <c r="E299" s="181"/>
      <c r="F299" s="181"/>
      <c r="G299" s="181"/>
      <c r="H299" s="181"/>
      <c r="I299" s="181"/>
      <c r="J299" s="181"/>
      <c r="K299" s="181"/>
      <c r="L299" s="181"/>
      <c r="M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</row>
    <row r="300" customFormat="false" ht="15.75" hidden="false" customHeight="false" outlineLevel="0" collapsed="false">
      <c r="A300" s="181"/>
      <c r="B300" s="181"/>
      <c r="C300" s="181"/>
      <c r="D300" s="181"/>
      <c r="E300" s="181"/>
      <c r="F300" s="181"/>
      <c r="G300" s="181"/>
      <c r="H300" s="181"/>
      <c r="I300" s="181"/>
      <c r="J300" s="181"/>
      <c r="K300" s="181"/>
      <c r="L300" s="181"/>
      <c r="M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</row>
    <row r="301" customFormat="false" ht="15.75" hidden="false" customHeight="false" outlineLevel="0" collapsed="false">
      <c r="A301" s="181"/>
      <c r="B301" s="181"/>
      <c r="C301" s="181"/>
      <c r="D301" s="181"/>
      <c r="E301" s="181"/>
      <c r="F301" s="181"/>
      <c r="G301" s="181"/>
      <c r="H301" s="181"/>
      <c r="I301" s="181"/>
      <c r="J301" s="181"/>
      <c r="K301" s="181"/>
      <c r="L301" s="181"/>
      <c r="M301" s="181"/>
      <c r="N301" s="181"/>
      <c r="O301" s="181"/>
      <c r="P301" s="181"/>
      <c r="Q301" s="181"/>
      <c r="R301" s="181"/>
      <c r="S301" s="181"/>
      <c r="T301" s="181"/>
      <c r="U301" s="181"/>
      <c r="V301" s="181"/>
      <c r="W301" s="181"/>
      <c r="X301" s="181"/>
      <c r="Y301" s="181"/>
      <c r="Z301" s="181"/>
    </row>
    <row r="302" customFormat="false" ht="15.75" hidden="false" customHeight="false" outlineLevel="0" collapsed="false">
      <c r="A302" s="181"/>
      <c r="B302" s="181"/>
      <c r="C302" s="181"/>
      <c r="D302" s="181"/>
      <c r="E302" s="181"/>
      <c r="F302" s="181"/>
      <c r="G302" s="181"/>
      <c r="H302" s="181"/>
      <c r="I302" s="181"/>
      <c r="J302" s="181"/>
      <c r="K302" s="181"/>
      <c r="L302" s="181"/>
      <c r="M302" s="181"/>
      <c r="N302" s="181"/>
      <c r="O302" s="181"/>
      <c r="P302" s="181"/>
      <c r="Q302" s="181"/>
      <c r="R302" s="181"/>
      <c r="S302" s="181"/>
      <c r="T302" s="181"/>
      <c r="U302" s="181"/>
      <c r="V302" s="181"/>
      <c r="W302" s="181"/>
      <c r="X302" s="181"/>
      <c r="Y302" s="181"/>
      <c r="Z302" s="181"/>
    </row>
    <row r="303" customFormat="false" ht="15.75" hidden="false" customHeight="false" outlineLevel="0" collapsed="false">
      <c r="A303" s="181"/>
      <c r="B303" s="181"/>
      <c r="C303" s="181"/>
      <c r="D303" s="181"/>
      <c r="E303" s="181"/>
      <c r="F303" s="181"/>
      <c r="G303" s="181"/>
      <c r="H303" s="181"/>
      <c r="I303" s="181"/>
      <c r="J303" s="181"/>
      <c r="K303" s="181"/>
      <c r="L303" s="181"/>
      <c r="M303" s="181"/>
      <c r="N303" s="181"/>
      <c r="O303" s="181"/>
      <c r="P303" s="181"/>
      <c r="Q303" s="181"/>
      <c r="R303" s="181"/>
      <c r="S303" s="181"/>
      <c r="T303" s="181"/>
      <c r="U303" s="181"/>
      <c r="V303" s="181"/>
      <c r="W303" s="181"/>
      <c r="X303" s="181"/>
      <c r="Y303" s="181"/>
      <c r="Z303" s="181"/>
    </row>
    <row r="304" customFormat="false" ht="15.75" hidden="false" customHeight="false" outlineLevel="0" collapsed="false">
      <c r="A304" s="181"/>
      <c r="B304" s="181"/>
      <c r="C304" s="181"/>
      <c r="D304" s="181"/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</row>
    <row r="305" customFormat="false" ht="15.75" hidden="false" customHeight="false" outlineLevel="0" collapsed="false">
      <c r="A305" s="181"/>
      <c r="B305" s="181"/>
      <c r="C305" s="181"/>
      <c r="D305" s="181"/>
      <c r="E305" s="181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</row>
    <row r="306" customFormat="false" ht="15.75" hidden="false" customHeight="false" outlineLevel="0" collapsed="false">
      <c r="A306" s="181"/>
      <c r="B306" s="181"/>
      <c r="C306" s="181"/>
      <c r="D306" s="181"/>
      <c r="E306" s="181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</row>
    <row r="307" customFormat="false" ht="15.75" hidden="false" customHeight="false" outlineLevel="0" collapsed="false">
      <c r="A307" s="181"/>
      <c r="B307" s="181"/>
      <c r="C307" s="181"/>
      <c r="D307" s="181"/>
      <c r="E307" s="181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</row>
    <row r="308" customFormat="false" ht="15.75" hidden="false" customHeight="false" outlineLevel="0" collapsed="false">
      <c r="A308" s="181"/>
      <c r="B308" s="181"/>
      <c r="C308" s="181"/>
      <c r="D308" s="181"/>
      <c r="E308" s="181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</row>
    <row r="309" customFormat="false" ht="15.75" hidden="false" customHeight="false" outlineLevel="0" collapsed="false">
      <c r="A309" s="181"/>
      <c r="B309" s="181"/>
      <c r="C309" s="181"/>
      <c r="D309" s="181"/>
      <c r="E309" s="181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</row>
    <row r="310" customFormat="false" ht="15.75" hidden="false" customHeight="false" outlineLevel="0" collapsed="false">
      <c r="A310" s="181"/>
      <c r="B310" s="181"/>
      <c r="C310" s="181"/>
      <c r="D310" s="181"/>
      <c r="E310" s="181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</row>
    <row r="311" customFormat="false" ht="15.75" hidden="false" customHeight="false" outlineLevel="0" collapsed="false">
      <c r="A311" s="181"/>
      <c r="B311" s="181"/>
      <c r="C311" s="181"/>
      <c r="D311" s="181"/>
      <c r="E311" s="181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</row>
    <row r="312" customFormat="false" ht="15.75" hidden="false" customHeight="false" outlineLevel="0" collapsed="false">
      <c r="A312" s="181"/>
      <c r="B312" s="181"/>
      <c r="C312" s="181"/>
      <c r="D312" s="181"/>
      <c r="E312" s="181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</row>
    <row r="313" customFormat="false" ht="15.75" hidden="false" customHeight="false" outlineLevel="0" collapsed="false">
      <c r="A313" s="181"/>
      <c r="B313" s="181"/>
      <c r="C313" s="181"/>
      <c r="D313" s="181"/>
      <c r="E313" s="181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</row>
    <row r="314" customFormat="false" ht="15.75" hidden="false" customHeight="false" outlineLevel="0" collapsed="false">
      <c r="A314" s="181"/>
      <c r="B314" s="181"/>
      <c r="C314" s="181"/>
      <c r="D314" s="181"/>
      <c r="E314" s="181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</row>
    <row r="315" customFormat="false" ht="15.75" hidden="false" customHeight="false" outlineLevel="0" collapsed="false">
      <c r="A315" s="181"/>
      <c r="B315" s="181"/>
      <c r="C315" s="181"/>
      <c r="D315" s="181"/>
      <c r="E315" s="181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</row>
    <row r="316" customFormat="false" ht="15.75" hidden="false" customHeight="false" outlineLevel="0" collapsed="false">
      <c r="A316" s="181"/>
      <c r="B316" s="181"/>
      <c r="C316" s="181"/>
      <c r="D316" s="181"/>
      <c r="E316" s="181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</row>
    <row r="317" customFormat="false" ht="15.75" hidden="false" customHeight="false" outlineLevel="0" collapsed="false">
      <c r="A317" s="181"/>
      <c r="B317" s="181"/>
      <c r="C317" s="181"/>
      <c r="D317" s="181"/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</row>
    <row r="318" customFormat="false" ht="15.75" hidden="false" customHeight="false" outlineLevel="0" collapsed="false">
      <c r="A318" s="181"/>
      <c r="B318" s="181"/>
      <c r="C318" s="181"/>
      <c r="D318" s="181"/>
      <c r="E318" s="181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</row>
    <row r="319" customFormat="false" ht="15.75" hidden="false" customHeight="false" outlineLevel="0" collapsed="false">
      <c r="A319" s="181"/>
      <c r="B319" s="181"/>
      <c r="C319" s="181"/>
      <c r="D319" s="181"/>
      <c r="E319" s="181"/>
      <c r="F319" s="181"/>
      <c r="G319" s="181"/>
      <c r="H319" s="181"/>
      <c r="I319" s="181"/>
      <c r="J319" s="181"/>
      <c r="K319" s="181"/>
      <c r="L319" s="181"/>
      <c r="M319" s="181"/>
      <c r="N319" s="181"/>
      <c r="O319" s="181"/>
      <c r="P319" s="181"/>
      <c r="Q319" s="181"/>
      <c r="R319" s="181"/>
      <c r="S319" s="181"/>
      <c r="T319" s="181"/>
      <c r="U319" s="181"/>
      <c r="V319" s="181"/>
      <c r="W319" s="181"/>
      <c r="X319" s="181"/>
      <c r="Y319" s="181"/>
      <c r="Z319" s="181"/>
    </row>
    <row r="320" customFormat="false" ht="15.75" hidden="false" customHeight="false" outlineLevel="0" collapsed="false">
      <c r="A320" s="181"/>
      <c r="B320" s="181"/>
      <c r="C320" s="181"/>
      <c r="D320" s="181"/>
      <c r="E320" s="181"/>
      <c r="F320" s="181"/>
      <c r="G320" s="181"/>
      <c r="H320" s="181"/>
      <c r="I320" s="181"/>
      <c r="J320" s="181"/>
      <c r="K320" s="181"/>
      <c r="L320" s="181"/>
      <c r="M320" s="181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</row>
    <row r="321" customFormat="false" ht="15.75" hidden="false" customHeight="false" outlineLevel="0" collapsed="false">
      <c r="A321" s="181"/>
      <c r="B321" s="181"/>
      <c r="C321" s="181"/>
      <c r="D321" s="181"/>
      <c r="E321" s="181"/>
      <c r="F321" s="181"/>
      <c r="G321" s="181"/>
      <c r="H321" s="181"/>
      <c r="I321" s="181"/>
      <c r="J321" s="181"/>
      <c r="K321" s="181"/>
      <c r="L321" s="181"/>
      <c r="M321" s="181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</row>
    <row r="322" customFormat="false" ht="15.75" hidden="false" customHeight="false" outlineLevel="0" collapsed="false">
      <c r="A322" s="181"/>
      <c r="B322" s="181"/>
      <c r="C322" s="181"/>
      <c r="D322" s="181"/>
      <c r="E322" s="181"/>
      <c r="F322" s="181"/>
      <c r="G322" s="181"/>
      <c r="H322" s="181"/>
      <c r="I322" s="181"/>
      <c r="J322" s="181"/>
      <c r="K322" s="181"/>
      <c r="L322" s="181"/>
      <c r="M322" s="181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</row>
    <row r="323" customFormat="false" ht="15.75" hidden="false" customHeight="false" outlineLevel="0" collapsed="false">
      <c r="A323" s="181"/>
      <c r="B323" s="181"/>
      <c r="C323" s="181"/>
      <c r="D323" s="181"/>
      <c r="E323" s="181"/>
      <c r="F323" s="181"/>
      <c r="G323" s="181"/>
      <c r="H323" s="181"/>
      <c r="I323" s="181"/>
      <c r="J323" s="181"/>
      <c r="K323" s="181"/>
      <c r="L323" s="181"/>
      <c r="M323" s="181"/>
      <c r="N323" s="181"/>
      <c r="O323" s="181"/>
      <c r="P323" s="181"/>
      <c r="Q323" s="181"/>
      <c r="R323" s="181"/>
      <c r="S323" s="181"/>
      <c r="T323" s="181"/>
      <c r="U323" s="181"/>
      <c r="V323" s="181"/>
      <c r="W323" s="181"/>
      <c r="X323" s="181"/>
      <c r="Y323" s="181"/>
      <c r="Z323" s="181"/>
    </row>
    <row r="324" customFormat="false" ht="15.75" hidden="false" customHeight="false" outlineLevel="0" collapsed="false">
      <c r="A324" s="181"/>
      <c r="B324" s="181"/>
      <c r="C324" s="181"/>
      <c r="D324" s="181"/>
      <c r="E324" s="181"/>
      <c r="F324" s="181"/>
      <c r="G324" s="181"/>
      <c r="H324" s="181"/>
      <c r="I324" s="181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</row>
    <row r="325" customFormat="false" ht="15.75" hidden="false" customHeight="false" outlineLevel="0" collapsed="false">
      <c r="A325" s="181"/>
      <c r="B325" s="181"/>
      <c r="C325" s="181"/>
      <c r="D325" s="181"/>
      <c r="E325" s="181"/>
      <c r="F325" s="181"/>
      <c r="G325" s="181"/>
      <c r="H325" s="181"/>
      <c r="I325" s="181"/>
      <c r="J325" s="181"/>
      <c r="K325" s="181"/>
      <c r="L325" s="181"/>
      <c r="M325" s="181"/>
      <c r="N325" s="181"/>
      <c r="O325" s="181"/>
      <c r="P325" s="181"/>
      <c r="Q325" s="181"/>
      <c r="R325" s="181"/>
      <c r="S325" s="181"/>
      <c r="T325" s="181"/>
      <c r="U325" s="181"/>
      <c r="V325" s="181"/>
      <c r="W325" s="181"/>
      <c r="X325" s="181"/>
      <c r="Y325" s="181"/>
      <c r="Z325" s="181"/>
    </row>
    <row r="326" customFormat="false" ht="15.75" hidden="false" customHeight="false" outlineLevel="0" collapsed="false">
      <c r="A326" s="181"/>
      <c r="B326" s="181"/>
      <c r="C326" s="181"/>
      <c r="D326" s="181"/>
      <c r="E326" s="181"/>
      <c r="F326" s="181"/>
      <c r="G326" s="181"/>
      <c r="H326" s="181"/>
      <c r="I326" s="181"/>
      <c r="J326" s="181"/>
      <c r="K326" s="181"/>
      <c r="L326" s="181"/>
      <c r="M326" s="181"/>
      <c r="N326" s="181"/>
      <c r="O326" s="181"/>
      <c r="P326" s="181"/>
      <c r="Q326" s="181"/>
      <c r="R326" s="181"/>
      <c r="S326" s="181"/>
      <c r="T326" s="181"/>
      <c r="U326" s="181"/>
      <c r="V326" s="181"/>
      <c r="W326" s="181"/>
      <c r="X326" s="181"/>
      <c r="Y326" s="181"/>
      <c r="Z326" s="181"/>
    </row>
    <row r="327" customFormat="false" ht="15.75" hidden="false" customHeight="false" outlineLevel="0" collapsed="false">
      <c r="A327" s="181"/>
      <c r="B327" s="181"/>
      <c r="C327" s="181"/>
      <c r="D327" s="181"/>
      <c r="E327" s="181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</row>
    <row r="328" customFormat="false" ht="15.75" hidden="false" customHeight="false" outlineLevel="0" collapsed="false">
      <c r="A328" s="181"/>
      <c r="B328" s="181"/>
      <c r="C328" s="181"/>
      <c r="D328" s="181"/>
      <c r="E328" s="181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</row>
    <row r="329" customFormat="false" ht="15.75" hidden="false" customHeight="false" outlineLevel="0" collapsed="false">
      <c r="A329" s="181"/>
      <c r="B329" s="181"/>
      <c r="C329" s="181"/>
      <c r="D329" s="181"/>
      <c r="E329" s="181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</row>
    <row r="330" customFormat="false" ht="15.75" hidden="false" customHeight="false" outlineLevel="0" collapsed="false">
      <c r="A330" s="181"/>
      <c r="B330" s="181"/>
      <c r="C330" s="181"/>
      <c r="D330" s="181"/>
      <c r="E330" s="181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</row>
    <row r="331" customFormat="false" ht="15.75" hidden="false" customHeight="false" outlineLevel="0" collapsed="false">
      <c r="A331" s="181"/>
      <c r="B331" s="181"/>
      <c r="C331" s="181"/>
      <c r="D331" s="181"/>
      <c r="E331" s="181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</row>
    <row r="332" customFormat="false" ht="15.75" hidden="false" customHeight="false" outlineLevel="0" collapsed="false">
      <c r="A332" s="181"/>
      <c r="B332" s="181"/>
      <c r="C332" s="181"/>
      <c r="D332" s="181"/>
      <c r="E332" s="181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</row>
    <row r="333" customFormat="false" ht="15.75" hidden="false" customHeight="false" outlineLevel="0" collapsed="false">
      <c r="A333" s="181"/>
      <c r="B333" s="181"/>
      <c r="C333" s="181"/>
      <c r="D333" s="181"/>
      <c r="E333" s="181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</row>
    <row r="334" customFormat="false" ht="15.75" hidden="false" customHeight="false" outlineLevel="0" collapsed="false">
      <c r="A334" s="181"/>
      <c r="B334" s="181"/>
      <c r="C334" s="181"/>
      <c r="D334" s="181"/>
      <c r="E334" s="181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</row>
    <row r="335" customFormat="false" ht="15.75" hidden="false" customHeight="false" outlineLevel="0" collapsed="false">
      <c r="A335" s="181"/>
      <c r="B335" s="181"/>
      <c r="C335" s="181"/>
      <c r="D335" s="181"/>
      <c r="E335" s="181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</row>
    <row r="336" customFormat="false" ht="15.75" hidden="false" customHeight="false" outlineLevel="0" collapsed="false">
      <c r="A336" s="181"/>
      <c r="B336" s="181"/>
      <c r="C336" s="181"/>
      <c r="D336" s="181"/>
      <c r="E336" s="181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</row>
    <row r="337" customFormat="false" ht="15.75" hidden="false" customHeight="false" outlineLevel="0" collapsed="false">
      <c r="A337" s="181"/>
      <c r="B337" s="181"/>
      <c r="C337" s="181"/>
      <c r="D337" s="181"/>
      <c r="E337" s="181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</row>
    <row r="338" customFormat="false" ht="15.75" hidden="false" customHeight="false" outlineLevel="0" collapsed="false">
      <c r="A338" s="181"/>
      <c r="B338" s="181"/>
      <c r="C338" s="181"/>
      <c r="D338" s="181"/>
      <c r="E338" s="181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</row>
    <row r="339" customFormat="false" ht="15.75" hidden="false" customHeight="false" outlineLevel="0" collapsed="false">
      <c r="A339" s="181"/>
      <c r="B339" s="181"/>
      <c r="C339" s="181"/>
      <c r="D339" s="181"/>
      <c r="E339" s="181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</row>
    <row r="340" customFormat="false" ht="15.75" hidden="false" customHeight="false" outlineLevel="0" collapsed="false">
      <c r="A340" s="181"/>
      <c r="B340" s="181"/>
      <c r="C340" s="181"/>
      <c r="D340" s="181"/>
      <c r="E340" s="181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</row>
    <row r="341" customFormat="false" ht="15.75" hidden="false" customHeight="false" outlineLevel="0" collapsed="false">
      <c r="A341" s="181"/>
      <c r="B341" s="181"/>
      <c r="C341" s="181"/>
      <c r="D341" s="181"/>
      <c r="E341" s="181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</row>
    <row r="342" customFormat="false" ht="15.75" hidden="false" customHeight="false" outlineLevel="0" collapsed="false">
      <c r="A342" s="181"/>
      <c r="B342" s="181"/>
      <c r="C342" s="181"/>
      <c r="D342" s="181"/>
      <c r="E342" s="181"/>
      <c r="F342" s="181"/>
      <c r="G342" s="181"/>
      <c r="H342" s="181"/>
      <c r="I342" s="181"/>
      <c r="J342" s="181"/>
      <c r="K342" s="181"/>
      <c r="L342" s="181"/>
      <c r="M342" s="181"/>
      <c r="N342" s="181"/>
      <c r="O342" s="181"/>
      <c r="P342" s="181"/>
      <c r="Q342" s="181"/>
      <c r="R342" s="181"/>
      <c r="S342" s="181"/>
      <c r="T342" s="181"/>
      <c r="U342" s="181"/>
      <c r="V342" s="181"/>
      <c r="W342" s="181"/>
      <c r="X342" s="181"/>
      <c r="Y342" s="181"/>
      <c r="Z342" s="181"/>
    </row>
    <row r="343" customFormat="false" ht="15.75" hidden="false" customHeight="false" outlineLevel="0" collapsed="false">
      <c r="A343" s="181"/>
      <c r="B343" s="181"/>
      <c r="C343" s="181"/>
      <c r="D343" s="181"/>
      <c r="E343" s="181"/>
      <c r="F343" s="181"/>
      <c r="G343" s="181"/>
      <c r="H343" s="181"/>
      <c r="I343" s="181"/>
      <c r="J343" s="181"/>
      <c r="K343" s="181"/>
      <c r="L343" s="181"/>
      <c r="M343" s="181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</row>
    <row r="344" customFormat="false" ht="15.75" hidden="false" customHeight="false" outlineLevel="0" collapsed="false">
      <c r="A344" s="181"/>
      <c r="B344" s="181"/>
      <c r="C344" s="181"/>
      <c r="D344" s="181"/>
      <c r="E344" s="181"/>
      <c r="F344" s="181"/>
      <c r="G344" s="181"/>
      <c r="H344" s="181"/>
      <c r="I344" s="181"/>
      <c r="J344" s="181"/>
      <c r="K344" s="181"/>
      <c r="L344" s="181"/>
      <c r="M344" s="181"/>
      <c r="N344" s="181"/>
      <c r="O344" s="181"/>
      <c r="P344" s="181"/>
      <c r="Q344" s="181"/>
      <c r="R344" s="181"/>
      <c r="S344" s="181"/>
      <c r="T344" s="181"/>
      <c r="U344" s="181"/>
      <c r="V344" s="181"/>
      <c r="W344" s="181"/>
      <c r="X344" s="181"/>
      <c r="Y344" s="181"/>
      <c r="Z344" s="181"/>
    </row>
    <row r="345" customFormat="false" ht="15.75" hidden="false" customHeight="false" outlineLevel="0" collapsed="false">
      <c r="A345" s="181"/>
      <c r="B345" s="181"/>
      <c r="C345" s="181"/>
      <c r="D345" s="181"/>
      <c r="E345" s="181"/>
      <c r="F345" s="181"/>
      <c r="G345" s="181"/>
      <c r="H345" s="181"/>
      <c r="I345" s="181"/>
      <c r="J345" s="181"/>
      <c r="K345" s="181"/>
      <c r="L345" s="181"/>
      <c r="M345" s="181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</row>
    <row r="346" customFormat="false" ht="15.75" hidden="false" customHeight="false" outlineLevel="0" collapsed="false">
      <c r="A346" s="181"/>
      <c r="B346" s="181"/>
      <c r="C346" s="181"/>
      <c r="D346" s="181"/>
      <c r="E346" s="181"/>
      <c r="F346" s="181"/>
      <c r="G346" s="181"/>
      <c r="H346" s="181"/>
      <c r="I346" s="181"/>
      <c r="J346" s="181"/>
      <c r="K346" s="181"/>
      <c r="L346" s="181"/>
      <c r="M346" s="181"/>
      <c r="N346" s="181"/>
      <c r="O346" s="181"/>
      <c r="P346" s="181"/>
      <c r="Q346" s="181"/>
      <c r="R346" s="181"/>
      <c r="S346" s="181"/>
      <c r="T346" s="181"/>
      <c r="U346" s="181"/>
      <c r="V346" s="181"/>
      <c r="W346" s="181"/>
      <c r="X346" s="181"/>
      <c r="Y346" s="181"/>
      <c r="Z346" s="181"/>
    </row>
    <row r="347" customFormat="false" ht="15.75" hidden="false" customHeight="false" outlineLevel="0" collapsed="false">
      <c r="A347" s="181"/>
      <c r="B347" s="181"/>
      <c r="C347" s="181"/>
      <c r="D347" s="181"/>
      <c r="E347" s="181"/>
      <c r="F347" s="181"/>
      <c r="G347" s="181"/>
      <c r="H347" s="181"/>
      <c r="I347" s="181"/>
      <c r="J347" s="181"/>
      <c r="K347" s="181"/>
      <c r="L347" s="181"/>
      <c r="M347" s="181"/>
      <c r="N347" s="181"/>
      <c r="O347" s="181"/>
      <c r="P347" s="181"/>
      <c r="Q347" s="181"/>
      <c r="R347" s="181"/>
      <c r="S347" s="181"/>
      <c r="T347" s="181"/>
      <c r="U347" s="181"/>
      <c r="V347" s="181"/>
      <c r="W347" s="181"/>
      <c r="X347" s="181"/>
      <c r="Y347" s="181"/>
      <c r="Z347" s="181"/>
    </row>
    <row r="348" customFormat="false" ht="15.75" hidden="false" customHeight="false" outlineLevel="0" collapsed="false">
      <c r="A348" s="181"/>
      <c r="B348" s="181"/>
      <c r="C348" s="181"/>
      <c r="D348" s="181"/>
      <c r="E348" s="181"/>
      <c r="F348" s="181"/>
      <c r="G348" s="181"/>
      <c r="H348" s="181"/>
      <c r="I348" s="181"/>
      <c r="J348" s="181"/>
      <c r="K348" s="181"/>
      <c r="L348" s="181"/>
      <c r="M348" s="181"/>
      <c r="N348" s="181"/>
      <c r="O348" s="181"/>
      <c r="P348" s="181"/>
      <c r="Q348" s="181"/>
      <c r="R348" s="181"/>
      <c r="S348" s="181"/>
      <c r="T348" s="181"/>
      <c r="U348" s="181"/>
      <c r="V348" s="181"/>
      <c r="W348" s="181"/>
      <c r="X348" s="181"/>
      <c r="Y348" s="181"/>
      <c r="Z348" s="181"/>
    </row>
    <row r="349" customFormat="false" ht="15.75" hidden="false" customHeight="false" outlineLevel="0" collapsed="false">
      <c r="A349" s="181"/>
      <c r="B349" s="181"/>
      <c r="C349" s="181"/>
      <c r="D349" s="181"/>
      <c r="E349" s="181"/>
      <c r="F349" s="181"/>
      <c r="G349" s="181"/>
      <c r="H349" s="181"/>
      <c r="I349" s="181"/>
      <c r="J349" s="181"/>
      <c r="K349" s="181"/>
      <c r="L349" s="181"/>
      <c r="M349" s="181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</row>
    <row r="350" customFormat="false" ht="15.75" hidden="false" customHeight="false" outlineLevel="0" collapsed="false">
      <c r="A350" s="181"/>
      <c r="B350" s="181"/>
      <c r="C350" s="181"/>
      <c r="D350" s="181"/>
      <c r="E350" s="181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</row>
    <row r="351" customFormat="false" ht="15.75" hidden="false" customHeight="false" outlineLevel="0" collapsed="false">
      <c r="A351" s="181"/>
      <c r="B351" s="181"/>
      <c r="C351" s="181"/>
      <c r="D351" s="181"/>
      <c r="E351" s="181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</row>
    <row r="352" customFormat="false" ht="15.75" hidden="false" customHeight="false" outlineLevel="0" collapsed="false">
      <c r="A352" s="181"/>
      <c r="B352" s="181"/>
      <c r="C352" s="181"/>
      <c r="D352" s="181"/>
      <c r="E352" s="181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</row>
    <row r="353" customFormat="false" ht="15.75" hidden="false" customHeight="false" outlineLevel="0" collapsed="false">
      <c r="A353" s="181"/>
      <c r="B353" s="181"/>
      <c r="C353" s="181"/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</row>
    <row r="354" customFormat="false" ht="15.75" hidden="false" customHeight="false" outlineLevel="0" collapsed="false">
      <c r="A354" s="181"/>
      <c r="B354" s="181"/>
      <c r="C354" s="181"/>
      <c r="D354" s="181"/>
      <c r="E354" s="181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</row>
    <row r="355" customFormat="false" ht="15.75" hidden="false" customHeight="false" outlineLevel="0" collapsed="false">
      <c r="A355" s="181"/>
      <c r="B355" s="181"/>
      <c r="C355" s="181"/>
      <c r="D355" s="181"/>
      <c r="E355" s="181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</row>
    <row r="356" customFormat="false" ht="15.75" hidden="false" customHeight="false" outlineLevel="0" collapsed="false">
      <c r="A356" s="181"/>
      <c r="B356" s="181"/>
      <c r="C356" s="181"/>
      <c r="D356" s="181"/>
      <c r="E356" s="181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</row>
    <row r="357" customFormat="false" ht="15.75" hidden="false" customHeight="false" outlineLevel="0" collapsed="false">
      <c r="A357" s="181"/>
      <c r="B357" s="181"/>
      <c r="C357" s="181"/>
      <c r="D357" s="181"/>
      <c r="E357" s="181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</row>
    <row r="358" customFormat="false" ht="15.75" hidden="false" customHeight="false" outlineLevel="0" collapsed="false">
      <c r="A358" s="181"/>
      <c r="B358" s="181"/>
      <c r="C358" s="181"/>
      <c r="D358" s="181"/>
      <c r="E358" s="181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</row>
    <row r="359" customFormat="false" ht="15.75" hidden="false" customHeight="false" outlineLevel="0" collapsed="false">
      <c r="A359" s="181"/>
      <c r="B359" s="181"/>
      <c r="C359" s="181"/>
      <c r="D359" s="181"/>
      <c r="E359" s="181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</row>
    <row r="360" customFormat="false" ht="15.75" hidden="false" customHeight="false" outlineLevel="0" collapsed="false">
      <c r="A360" s="181"/>
      <c r="B360" s="181"/>
      <c r="C360" s="181"/>
      <c r="D360" s="181"/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</row>
    <row r="361" customFormat="false" ht="15.75" hidden="false" customHeight="false" outlineLevel="0" collapsed="false">
      <c r="A361" s="181"/>
      <c r="B361" s="181"/>
      <c r="C361" s="181"/>
      <c r="D361" s="181"/>
      <c r="E361" s="181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</row>
    <row r="362" customFormat="false" ht="15.75" hidden="false" customHeight="false" outlineLevel="0" collapsed="false">
      <c r="A362" s="181"/>
      <c r="B362" s="181"/>
      <c r="C362" s="181"/>
      <c r="D362" s="181"/>
      <c r="E362" s="181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</row>
    <row r="363" customFormat="false" ht="15.75" hidden="false" customHeight="false" outlineLevel="0" collapsed="false">
      <c r="A363" s="181"/>
      <c r="B363" s="181"/>
      <c r="C363" s="181"/>
      <c r="D363" s="181"/>
      <c r="E363" s="181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</row>
    <row r="364" customFormat="false" ht="15.75" hidden="false" customHeight="false" outlineLevel="0" collapsed="false">
      <c r="A364" s="181"/>
      <c r="B364" s="181"/>
      <c r="C364" s="181"/>
      <c r="D364" s="181"/>
      <c r="E364" s="181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</row>
    <row r="365" customFormat="false" ht="15.75" hidden="false" customHeight="false" outlineLevel="0" collapsed="false">
      <c r="A365" s="181"/>
      <c r="B365" s="181"/>
      <c r="C365" s="181"/>
      <c r="D365" s="181"/>
      <c r="E365" s="181"/>
      <c r="F365" s="181"/>
      <c r="G365" s="181"/>
      <c r="H365" s="181"/>
      <c r="I365" s="181"/>
      <c r="J365" s="181"/>
      <c r="K365" s="181"/>
      <c r="L365" s="181"/>
      <c r="M365" s="181"/>
      <c r="N365" s="181"/>
      <c r="O365" s="181"/>
      <c r="P365" s="181"/>
      <c r="Q365" s="181"/>
      <c r="R365" s="181"/>
      <c r="S365" s="181"/>
      <c r="T365" s="181"/>
      <c r="U365" s="181"/>
      <c r="V365" s="181"/>
      <c r="W365" s="181"/>
      <c r="X365" s="181"/>
      <c r="Y365" s="181"/>
      <c r="Z365" s="181"/>
    </row>
    <row r="366" customFormat="false" ht="15.75" hidden="false" customHeight="false" outlineLevel="0" collapsed="false">
      <c r="A366" s="181"/>
      <c r="B366" s="181"/>
      <c r="C366" s="181"/>
      <c r="D366" s="181"/>
      <c r="E366" s="181"/>
      <c r="F366" s="181"/>
      <c r="G366" s="181"/>
      <c r="H366" s="181"/>
      <c r="I366" s="181"/>
      <c r="J366" s="181"/>
      <c r="K366" s="181"/>
      <c r="L366" s="181"/>
      <c r="M366" s="181"/>
      <c r="N366" s="181"/>
      <c r="O366" s="181"/>
      <c r="P366" s="181"/>
      <c r="Q366" s="181"/>
      <c r="R366" s="181"/>
      <c r="S366" s="181"/>
      <c r="T366" s="181"/>
      <c r="U366" s="181"/>
      <c r="V366" s="181"/>
      <c r="W366" s="181"/>
      <c r="X366" s="181"/>
      <c r="Y366" s="181"/>
      <c r="Z366" s="181"/>
    </row>
    <row r="367" customFormat="false" ht="15.75" hidden="false" customHeight="false" outlineLevel="0" collapsed="false">
      <c r="A367" s="181"/>
      <c r="B367" s="181"/>
      <c r="C367" s="181"/>
      <c r="D367" s="181"/>
      <c r="E367" s="181"/>
      <c r="F367" s="181"/>
      <c r="G367" s="181"/>
      <c r="H367" s="181"/>
      <c r="I367" s="181"/>
      <c r="J367" s="181"/>
      <c r="K367" s="181"/>
      <c r="L367" s="181"/>
      <c r="M367" s="181"/>
      <c r="N367" s="181"/>
      <c r="O367" s="181"/>
      <c r="P367" s="181"/>
      <c r="Q367" s="181"/>
      <c r="R367" s="181"/>
      <c r="S367" s="181"/>
      <c r="T367" s="181"/>
      <c r="U367" s="181"/>
      <c r="V367" s="181"/>
      <c r="W367" s="181"/>
      <c r="X367" s="181"/>
      <c r="Y367" s="181"/>
      <c r="Z367" s="181"/>
    </row>
    <row r="368" customFormat="false" ht="15.75" hidden="false" customHeight="false" outlineLevel="0" collapsed="false">
      <c r="A368" s="181"/>
      <c r="B368" s="181"/>
      <c r="C368" s="181"/>
      <c r="D368" s="181"/>
      <c r="E368" s="181"/>
      <c r="F368" s="181"/>
      <c r="G368" s="181"/>
      <c r="H368" s="181"/>
      <c r="I368" s="181"/>
      <c r="J368" s="181"/>
      <c r="K368" s="181"/>
      <c r="L368" s="181"/>
      <c r="M368" s="181"/>
      <c r="N368" s="181"/>
      <c r="O368" s="181"/>
      <c r="P368" s="181"/>
      <c r="Q368" s="181"/>
      <c r="R368" s="181"/>
      <c r="S368" s="181"/>
      <c r="T368" s="181"/>
      <c r="U368" s="181"/>
      <c r="V368" s="181"/>
      <c r="W368" s="181"/>
      <c r="X368" s="181"/>
      <c r="Y368" s="181"/>
      <c r="Z368" s="181"/>
    </row>
    <row r="369" customFormat="false" ht="15.75" hidden="false" customHeight="false" outlineLevel="0" collapsed="false">
      <c r="A369" s="181"/>
      <c r="B369" s="181"/>
      <c r="C369" s="181"/>
      <c r="D369" s="181"/>
      <c r="E369" s="181"/>
      <c r="F369" s="181"/>
      <c r="G369" s="181"/>
      <c r="H369" s="181"/>
      <c r="I369" s="181"/>
      <c r="J369" s="181"/>
      <c r="K369" s="181"/>
      <c r="L369" s="181"/>
      <c r="M369" s="181"/>
      <c r="N369" s="181"/>
      <c r="O369" s="181"/>
      <c r="P369" s="181"/>
      <c r="Q369" s="181"/>
      <c r="R369" s="181"/>
      <c r="S369" s="181"/>
      <c r="T369" s="181"/>
      <c r="U369" s="181"/>
      <c r="V369" s="181"/>
      <c r="W369" s="181"/>
      <c r="X369" s="181"/>
      <c r="Y369" s="181"/>
      <c r="Z369" s="181"/>
    </row>
    <row r="370" customFormat="false" ht="15.75" hidden="false" customHeight="false" outlineLevel="0" collapsed="false">
      <c r="A370" s="181"/>
      <c r="B370" s="181"/>
      <c r="C370" s="181"/>
      <c r="D370" s="181"/>
      <c r="E370" s="181"/>
      <c r="F370" s="181"/>
      <c r="G370" s="181"/>
      <c r="H370" s="181"/>
      <c r="I370" s="181"/>
      <c r="J370" s="181"/>
      <c r="K370" s="181"/>
      <c r="L370" s="181"/>
      <c r="M370" s="181"/>
      <c r="N370" s="181"/>
      <c r="O370" s="181"/>
      <c r="P370" s="181"/>
      <c r="Q370" s="181"/>
      <c r="R370" s="181"/>
      <c r="S370" s="181"/>
      <c r="T370" s="181"/>
      <c r="U370" s="181"/>
      <c r="V370" s="181"/>
      <c r="W370" s="181"/>
      <c r="X370" s="181"/>
      <c r="Y370" s="181"/>
      <c r="Z370" s="181"/>
    </row>
    <row r="371" customFormat="false" ht="15.75" hidden="false" customHeight="false" outlineLevel="0" collapsed="false">
      <c r="A371" s="181"/>
      <c r="B371" s="181"/>
      <c r="C371" s="181"/>
      <c r="D371" s="181"/>
      <c r="E371" s="181"/>
      <c r="F371" s="181"/>
      <c r="G371" s="181"/>
      <c r="H371" s="181"/>
      <c r="I371" s="181"/>
      <c r="J371" s="181"/>
      <c r="K371" s="181"/>
      <c r="L371" s="181"/>
      <c r="M371" s="181"/>
      <c r="N371" s="181"/>
      <c r="O371" s="181"/>
      <c r="P371" s="181"/>
      <c r="Q371" s="181"/>
      <c r="R371" s="181"/>
      <c r="S371" s="181"/>
      <c r="T371" s="181"/>
      <c r="U371" s="181"/>
      <c r="V371" s="181"/>
      <c r="W371" s="181"/>
      <c r="X371" s="181"/>
      <c r="Y371" s="181"/>
      <c r="Z371" s="181"/>
    </row>
    <row r="372" customFormat="false" ht="15.75" hidden="false" customHeight="false" outlineLevel="0" collapsed="false">
      <c r="A372" s="181"/>
      <c r="B372" s="181"/>
      <c r="C372" s="181"/>
      <c r="D372" s="181"/>
      <c r="E372" s="181"/>
      <c r="F372" s="181"/>
      <c r="G372" s="181"/>
      <c r="H372" s="181"/>
      <c r="I372" s="181"/>
      <c r="J372" s="181"/>
      <c r="K372" s="181"/>
      <c r="L372" s="181"/>
      <c r="M372" s="181"/>
      <c r="N372" s="181"/>
      <c r="O372" s="181"/>
      <c r="P372" s="181"/>
      <c r="Q372" s="181"/>
      <c r="R372" s="181"/>
      <c r="S372" s="181"/>
      <c r="T372" s="181"/>
      <c r="U372" s="181"/>
      <c r="V372" s="181"/>
      <c r="W372" s="181"/>
      <c r="X372" s="181"/>
      <c r="Y372" s="181"/>
      <c r="Z372" s="181"/>
    </row>
    <row r="373" customFormat="false" ht="15.75" hidden="false" customHeight="false" outlineLevel="0" collapsed="false">
      <c r="A373" s="181"/>
      <c r="B373" s="181"/>
      <c r="C373" s="181"/>
      <c r="D373" s="181"/>
      <c r="E373" s="181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</row>
    <row r="374" customFormat="false" ht="15.75" hidden="false" customHeight="false" outlineLevel="0" collapsed="false">
      <c r="A374" s="181"/>
      <c r="B374" s="181"/>
      <c r="C374" s="181"/>
      <c r="D374" s="181"/>
      <c r="E374" s="181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</row>
    <row r="375" customFormat="false" ht="15.75" hidden="false" customHeight="false" outlineLevel="0" collapsed="false">
      <c r="A375" s="181"/>
      <c r="B375" s="181"/>
      <c r="C375" s="181"/>
      <c r="D375" s="181"/>
      <c r="E375" s="181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</row>
    <row r="376" customFormat="false" ht="15.75" hidden="false" customHeight="false" outlineLevel="0" collapsed="false">
      <c r="A376" s="181"/>
      <c r="B376" s="181"/>
      <c r="C376" s="181"/>
      <c r="D376" s="181"/>
      <c r="E376" s="181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</row>
    <row r="377" customFormat="false" ht="15.75" hidden="false" customHeight="false" outlineLevel="0" collapsed="false">
      <c r="A377" s="181"/>
      <c r="B377" s="181"/>
      <c r="C377" s="181"/>
      <c r="D377" s="181"/>
      <c r="E377" s="181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</row>
    <row r="378" customFormat="false" ht="15.75" hidden="false" customHeight="false" outlineLevel="0" collapsed="false">
      <c r="A378" s="181"/>
      <c r="B378" s="181"/>
      <c r="C378" s="181"/>
      <c r="D378" s="181"/>
      <c r="E378" s="181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</row>
    <row r="379" customFormat="false" ht="15.75" hidden="false" customHeight="false" outlineLevel="0" collapsed="false">
      <c r="A379" s="181"/>
      <c r="B379" s="181"/>
      <c r="C379" s="181"/>
      <c r="D379" s="181"/>
      <c r="E379" s="181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</row>
    <row r="380" customFormat="false" ht="15.75" hidden="false" customHeight="false" outlineLevel="0" collapsed="false">
      <c r="A380" s="181"/>
      <c r="B380" s="181"/>
      <c r="C380" s="181"/>
      <c r="D380" s="181"/>
      <c r="E380" s="181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</row>
    <row r="381" customFormat="false" ht="15.75" hidden="false" customHeight="false" outlineLevel="0" collapsed="false">
      <c r="A381" s="181"/>
      <c r="B381" s="181"/>
      <c r="C381" s="181"/>
      <c r="D381" s="181"/>
      <c r="E381" s="181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</row>
    <row r="382" customFormat="false" ht="15.75" hidden="false" customHeight="false" outlineLevel="0" collapsed="false">
      <c r="A382" s="181"/>
      <c r="B382" s="181"/>
      <c r="C382" s="181"/>
      <c r="D382" s="181"/>
      <c r="E382" s="181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</row>
    <row r="383" customFormat="false" ht="15.75" hidden="false" customHeight="false" outlineLevel="0" collapsed="false">
      <c r="A383" s="181"/>
      <c r="B383" s="181"/>
      <c r="C383" s="181"/>
      <c r="D383" s="181"/>
      <c r="E383" s="181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</row>
    <row r="384" customFormat="false" ht="15.75" hidden="false" customHeight="false" outlineLevel="0" collapsed="false">
      <c r="A384" s="181"/>
      <c r="B384" s="181"/>
      <c r="C384" s="181"/>
      <c r="D384" s="181"/>
      <c r="E384" s="181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</row>
    <row r="385" customFormat="false" ht="15.75" hidden="false" customHeight="false" outlineLevel="0" collapsed="false">
      <c r="A385" s="181"/>
      <c r="B385" s="181"/>
      <c r="C385" s="181"/>
      <c r="D385" s="181"/>
      <c r="E385" s="181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</row>
    <row r="386" customFormat="false" ht="15.75" hidden="false" customHeight="false" outlineLevel="0" collapsed="false">
      <c r="A386" s="181"/>
      <c r="B386" s="181"/>
      <c r="C386" s="181"/>
      <c r="D386" s="181"/>
      <c r="E386" s="181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</row>
    <row r="387" customFormat="false" ht="15.75" hidden="false" customHeight="false" outlineLevel="0" collapsed="false">
      <c r="A387" s="181"/>
      <c r="B387" s="181"/>
      <c r="C387" s="181"/>
      <c r="D387" s="181"/>
      <c r="E387" s="181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</row>
    <row r="388" customFormat="false" ht="15.75" hidden="false" customHeight="false" outlineLevel="0" collapsed="false">
      <c r="A388" s="181"/>
      <c r="B388" s="181"/>
      <c r="C388" s="181"/>
      <c r="D388" s="181"/>
      <c r="E388" s="181"/>
      <c r="F388" s="181"/>
      <c r="G388" s="181"/>
      <c r="H388" s="181"/>
      <c r="I388" s="181"/>
      <c r="J388" s="181"/>
      <c r="K388" s="181"/>
      <c r="L388" s="181"/>
      <c r="M388" s="181"/>
      <c r="N388" s="181"/>
      <c r="O388" s="181"/>
      <c r="P388" s="181"/>
      <c r="Q388" s="181"/>
      <c r="R388" s="181"/>
      <c r="S388" s="181"/>
      <c r="T388" s="181"/>
      <c r="U388" s="181"/>
      <c r="V388" s="181"/>
      <c r="W388" s="181"/>
      <c r="X388" s="181"/>
      <c r="Y388" s="181"/>
      <c r="Z388" s="181"/>
    </row>
    <row r="389" customFormat="false" ht="15.75" hidden="false" customHeight="false" outlineLevel="0" collapsed="false">
      <c r="A389" s="181"/>
      <c r="B389" s="181"/>
      <c r="C389" s="181"/>
      <c r="D389" s="181"/>
      <c r="E389" s="181"/>
      <c r="F389" s="181"/>
      <c r="G389" s="181"/>
      <c r="H389" s="181"/>
      <c r="I389" s="181"/>
      <c r="J389" s="181"/>
      <c r="K389" s="181"/>
      <c r="L389" s="181"/>
      <c r="M389" s="181"/>
      <c r="N389" s="181"/>
      <c r="O389" s="181"/>
      <c r="P389" s="181"/>
      <c r="Q389" s="181"/>
      <c r="R389" s="181"/>
      <c r="S389" s="181"/>
      <c r="T389" s="181"/>
      <c r="U389" s="181"/>
      <c r="V389" s="181"/>
      <c r="W389" s="181"/>
      <c r="X389" s="181"/>
      <c r="Y389" s="181"/>
      <c r="Z389" s="181"/>
    </row>
    <row r="390" customFormat="false" ht="15.75" hidden="false" customHeight="false" outlineLevel="0" collapsed="false">
      <c r="A390" s="181"/>
      <c r="B390" s="181"/>
      <c r="C390" s="181"/>
      <c r="D390" s="181"/>
      <c r="E390" s="181"/>
      <c r="F390" s="181"/>
      <c r="G390" s="181"/>
      <c r="H390" s="181"/>
      <c r="I390" s="181"/>
      <c r="J390" s="181"/>
      <c r="K390" s="181"/>
      <c r="L390" s="181"/>
      <c r="M390" s="181"/>
      <c r="N390" s="181"/>
      <c r="O390" s="181"/>
      <c r="P390" s="181"/>
      <c r="Q390" s="181"/>
      <c r="R390" s="181"/>
      <c r="S390" s="181"/>
      <c r="T390" s="181"/>
      <c r="U390" s="181"/>
      <c r="V390" s="181"/>
      <c r="W390" s="181"/>
      <c r="X390" s="181"/>
      <c r="Y390" s="181"/>
      <c r="Z390" s="181"/>
    </row>
    <row r="391" customFormat="false" ht="15.75" hidden="false" customHeight="false" outlineLevel="0" collapsed="false">
      <c r="A391" s="181"/>
      <c r="B391" s="181"/>
      <c r="C391" s="181"/>
      <c r="D391" s="181"/>
      <c r="E391" s="181"/>
      <c r="F391" s="181"/>
      <c r="G391" s="181"/>
      <c r="H391" s="181"/>
      <c r="I391" s="181"/>
      <c r="J391" s="181"/>
      <c r="K391" s="181"/>
      <c r="L391" s="181"/>
      <c r="M391" s="181"/>
      <c r="N391" s="181"/>
      <c r="O391" s="181"/>
      <c r="P391" s="181"/>
      <c r="Q391" s="181"/>
      <c r="R391" s="181"/>
      <c r="S391" s="181"/>
      <c r="T391" s="181"/>
      <c r="U391" s="181"/>
      <c r="V391" s="181"/>
      <c r="W391" s="181"/>
      <c r="X391" s="181"/>
      <c r="Y391" s="181"/>
      <c r="Z391" s="181"/>
    </row>
    <row r="392" customFormat="false" ht="15.75" hidden="false" customHeight="false" outlineLevel="0" collapsed="false">
      <c r="A392" s="181"/>
      <c r="B392" s="181"/>
      <c r="C392" s="181"/>
      <c r="D392" s="181"/>
      <c r="E392" s="181"/>
      <c r="F392" s="181"/>
      <c r="G392" s="181"/>
      <c r="H392" s="181"/>
      <c r="I392" s="181"/>
      <c r="J392" s="181"/>
      <c r="K392" s="181"/>
      <c r="L392" s="181"/>
      <c r="M392" s="181"/>
      <c r="N392" s="181"/>
      <c r="O392" s="181"/>
      <c r="P392" s="181"/>
      <c r="Q392" s="181"/>
      <c r="R392" s="181"/>
      <c r="S392" s="181"/>
      <c r="T392" s="181"/>
      <c r="U392" s="181"/>
      <c r="V392" s="181"/>
      <c r="W392" s="181"/>
      <c r="X392" s="181"/>
      <c r="Y392" s="181"/>
      <c r="Z392" s="181"/>
    </row>
    <row r="393" customFormat="false" ht="15.75" hidden="false" customHeight="false" outlineLevel="0" collapsed="false">
      <c r="A393" s="181"/>
      <c r="B393" s="181"/>
      <c r="C393" s="181"/>
      <c r="D393" s="181"/>
      <c r="E393" s="181"/>
      <c r="F393" s="181"/>
      <c r="G393" s="181"/>
      <c r="H393" s="181"/>
      <c r="I393" s="181"/>
      <c r="J393" s="181"/>
      <c r="K393" s="181"/>
      <c r="L393" s="181"/>
      <c r="M393" s="181"/>
      <c r="N393" s="181"/>
      <c r="O393" s="181"/>
      <c r="P393" s="181"/>
      <c r="Q393" s="181"/>
      <c r="R393" s="181"/>
      <c r="S393" s="181"/>
      <c r="T393" s="181"/>
      <c r="U393" s="181"/>
      <c r="V393" s="181"/>
      <c r="W393" s="181"/>
      <c r="X393" s="181"/>
      <c r="Y393" s="181"/>
      <c r="Z393" s="181"/>
    </row>
    <row r="394" customFormat="false" ht="15.75" hidden="false" customHeight="false" outlineLevel="0" collapsed="false">
      <c r="A394" s="181"/>
      <c r="B394" s="181"/>
      <c r="C394" s="181"/>
      <c r="D394" s="181"/>
      <c r="E394" s="181"/>
      <c r="F394" s="181"/>
      <c r="G394" s="181"/>
      <c r="H394" s="181"/>
      <c r="I394" s="181"/>
      <c r="J394" s="181"/>
      <c r="K394" s="181"/>
      <c r="L394" s="181"/>
      <c r="M394" s="181"/>
      <c r="N394" s="181"/>
      <c r="O394" s="181"/>
      <c r="P394" s="181"/>
      <c r="Q394" s="181"/>
      <c r="R394" s="181"/>
      <c r="S394" s="181"/>
      <c r="T394" s="181"/>
      <c r="U394" s="181"/>
      <c r="V394" s="181"/>
      <c r="W394" s="181"/>
      <c r="X394" s="181"/>
      <c r="Y394" s="181"/>
      <c r="Z394" s="181"/>
    </row>
    <row r="395" customFormat="false" ht="15.75" hidden="false" customHeight="false" outlineLevel="0" collapsed="false">
      <c r="A395" s="181"/>
      <c r="B395" s="181"/>
      <c r="C395" s="181"/>
      <c r="D395" s="181"/>
      <c r="E395" s="181"/>
      <c r="F395" s="181"/>
      <c r="G395" s="181"/>
      <c r="H395" s="181"/>
      <c r="I395" s="181"/>
      <c r="J395" s="181"/>
      <c r="K395" s="181"/>
      <c r="L395" s="181"/>
      <c r="M395" s="181"/>
      <c r="N395" s="181"/>
      <c r="O395" s="181"/>
      <c r="P395" s="181"/>
      <c r="Q395" s="181"/>
      <c r="R395" s="181"/>
      <c r="S395" s="181"/>
      <c r="T395" s="181"/>
      <c r="U395" s="181"/>
      <c r="V395" s="181"/>
      <c r="W395" s="181"/>
      <c r="X395" s="181"/>
      <c r="Y395" s="181"/>
      <c r="Z395" s="181"/>
    </row>
    <row r="396" customFormat="false" ht="15.75" hidden="false" customHeight="false" outlineLevel="0" collapsed="false">
      <c r="A396" s="181"/>
      <c r="B396" s="181"/>
      <c r="C396" s="181"/>
      <c r="D396" s="181"/>
      <c r="E396" s="181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</row>
    <row r="397" customFormat="false" ht="15.75" hidden="false" customHeight="false" outlineLevel="0" collapsed="false">
      <c r="A397" s="181"/>
      <c r="B397" s="181"/>
      <c r="C397" s="181"/>
      <c r="D397" s="181"/>
      <c r="E397" s="181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</row>
    <row r="398" customFormat="false" ht="15.75" hidden="false" customHeight="false" outlineLevel="0" collapsed="false">
      <c r="A398" s="181"/>
      <c r="B398" s="181"/>
      <c r="C398" s="181"/>
      <c r="D398" s="181"/>
      <c r="E398" s="181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</row>
    <row r="399" customFormat="false" ht="15.75" hidden="false" customHeight="false" outlineLevel="0" collapsed="false">
      <c r="A399" s="181"/>
      <c r="B399" s="181"/>
      <c r="C399" s="181"/>
      <c r="D399" s="181"/>
      <c r="E399" s="181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</row>
    <row r="400" customFormat="false" ht="15.75" hidden="false" customHeight="false" outlineLevel="0" collapsed="false">
      <c r="A400" s="181"/>
      <c r="B400" s="181"/>
      <c r="C400" s="181"/>
      <c r="D400" s="181"/>
      <c r="E400" s="181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</row>
    <row r="401" customFormat="false" ht="15.75" hidden="false" customHeight="false" outlineLevel="0" collapsed="false">
      <c r="A401" s="181"/>
      <c r="B401" s="181"/>
      <c r="C401" s="181"/>
      <c r="D401" s="181"/>
      <c r="E401" s="181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</row>
    <row r="402" customFormat="false" ht="15.75" hidden="false" customHeight="false" outlineLevel="0" collapsed="false">
      <c r="A402" s="181"/>
      <c r="B402" s="181"/>
      <c r="C402" s="181"/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</row>
    <row r="403" customFormat="false" ht="15.75" hidden="false" customHeight="false" outlineLevel="0" collapsed="false">
      <c r="A403" s="181"/>
      <c r="B403" s="181"/>
      <c r="C403" s="181"/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</row>
    <row r="404" customFormat="false" ht="15.75" hidden="false" customHeight="false" outlineLevel="0" collapsed="false">
      <c r="A404" s="181"/>
      <c r="B404" s="181"/>
      <c r="C404" s="181"/>
      <c r="D404" s="181"/>
      <c r="E404" s="181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</row>
    <row r="405" customFormat="false" ht="15.75" hidden="false" customHeight="false" outlineLevel="0" collapsed="false">
      <c r="A405" s="181"/>
      <c r="B405" s="181"/>
      <c r="C405" s="181"/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</row>
    <row r="406" customFormat="false" ht="15.75" hidden="false" customHeight="false" outlineLevel="0" collapsed="false">
      <c r="A406" s="181"/>
      <c r="B406" s="181"/>
      <c r="C406" s="181"/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</row>
    <row r="407" customFormat="false" ht="15.75" hidden="false" customHeight="false" outlineLevel="0" collapsed="false">
      <c r="A407" s="181"/>
      <c r="B407" s="181"/>
      <c r="C407" s="181"/>
      <c r="D407" s="181"/>
      <c r="E407" s="181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</row>
    <row r="408" customFormat="false" ht="15.75" hidden="false" customHeight="false" outlineLevel="0" collapsed="false">
      <c r="A408" s="181"/>
      <c r="B408" s="181"/>
      <c r="C408" s="181"/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</row>
    <row r="409" customFormat="false" ht="15.75" hidden="false" customHeight="false" outlineLevel="0" collapsed="false">
      <c r="A409" s="181"/>
      <c r="B409" s="181"/>
      <c r="C409" s="181"/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</row>
    <row r="410" customFormat="false" ht="15.75" hidden="false" customHeight="false" outlineLevel="0" collapsed="false">
      <c r="A410" s="181"/>
      <c r="B410" s="181"/>
      <c r="C410" s="181"/>
      <c r="D410" s="181"/>
      <c r="E410" s="181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</row>
    <row r="411" customFormat="false" ht="15.75" hidden="false" customHeight="false" outlineLevel="0" collapsed="false">
      <c r="A411" s="181"/>
      <c r="B411" s="181"/>
      <c r="C411" s="181"/>
      <c r="D411" s="181"/>
      <c r="E411" s="181"/>
      <c r="F411" s="181"/>
      <c r="G411" s="181"/>
      <c r="H411" s="181"/>
      <c r="I411" s="181"/>
      <c r="J411" s="181"/>
      <c r="K411" s="181"/>
      <c r="L411" s="181"/>
      <c r="M411" s="181"/>
      <c r="N411" s="181"/>
      <c r="O411" s="181"/>
      <c r="P411" s="181"/>
      <c r="Q411" s="181"/>
      <c r="R411" s="181"/>
      <c r="S411" s="181"/>
      <c r="T411" s="181"/>
      <c r="U411" s="181"/>
      <c r="V411" s="181"/>
      <c r="W411" s="181"/>
      <c r="X411" s="181"/>
      <c r="Y411" s="181"/>
      <c r="Z411" s="181"/>
    </row>
    <row r="412" customFormat="false" ht="15.75" hidden="false" customHeight="false" outlineLevel="0" collapsed="false">
      <c r="A412" s="181"/>
      <c r="B412" s="181"/>
      <c r="C412" s="181"/>
      <c r="D412" s="181"/>
      <c r="E412" s="181"/>
      <c r="F412" s="181"/>
      <c r="G412" s="181"/>
      <c r="H412" s="181"/>
      <c r="I412" s="181"/>
      <c r="J412" s="181"/>
      <c r="K412" s="181"/>
      <c r="L412" s="181"/>
      <c r="M412" s="181"/>
      <c r="N412" s="181"/>
      <c r="O412" s="181"/>
      <c r="P412" s="181"/>
      <c r="Q412" s="181"/>
      <c r="R412" s="181"/>
      <c r="S412" s="181"/>
      <c r="T412" s="181"/>
      <c r="U412" s="181"/>
      <c r="V412" s="181"/>
      <c r="W412" s="181"/>
      <c r="X412" s="181"/>
      <c r="Y412" s="181"/>
      <c r="Z412" s="181"/>
    </row>
    <row r="413" customFormat="false" ht="15.75" hidden="false" customHeight="false" outlineLevel="0" collapsed="false">
      <c r="A413" s="181"/>
      <c r="B413" s="181"/>
      <c r="C413" s="181"/>
      <c r="D413" s="181"/>
      <c r="E413" s="181"/>
      <c r="F413" s="181"/>
      <c r="G413" s="181"/>
      <c r="H413" s="181"/>
      <c r="I413" s="181"/>
      <c r="J413" s="181"/>
      <c r="K413" s="181"/>
      <c r="L413" s="181"/>
      <c r="M413" s="181"/>
      <c r="N413" s="181"/>
      <c r="O413" s="181"/>
      <c r="P413" s="181"/>
      <c r="Q413" s="181"/>
      <c r="R413" s="181"/>
      <c r="S413" s="181"/>
      <c r="T413" s="181"/>
      <c r="U413" s="181"/>
      <c r="V413" s="181"/>
      <c r="W413" s="181"/>
      <c r="X413" s="181"/>
      <c r="Y413" s="181"/>
      <c r="Z413" s="181"/>
    </row>
    <row r="414" customFormat="false" ht="15.75" hidden="false" customHeight="false" outlineLevel="0" collapsed="false">
      <c r="A414" s="181"/>
      <c r="B414" s="181"/>
      <c r="C414" s="181"/>
      <c r="D414" s="181"/>
      <c r="E414" s="181"/>
      <c r="F414" s="181"/>
      <c r="G414" s="181"/>
      <c r="H414" s="181"/>
      <c r="I414" s="181"/>
      <c r="J414" s="181"/>
      <c r="K414" s="181"/>
      <c r="L414" s="181"/>
      <c r="M414" s="181"/>
      <c r="N414" s="181"/>
      <c r="O414" s="181"/>
      <c r="P414" s="181"/>
      <c r="Q414" s="181"/>
      <c r="R414" s="181"/>
      <c r="S414" s="181"/>
      <c r="T414" s="181"/>
      <c r="U414" s="181"/>
      <c r="V414" s="181"/>
      <c r="W414" s="181"/>
      <c r="X414" s="181"/>
      <c r="Y414" s="181"/>
      <c r="Z414" s="181"/>
    </row>
    <row r="415" customFormat="false" ht="15.75" hidden="false" customHeight="false" outlineLevel="0" collapsed="false">
      <c r="A415" s="181"/>
      <c r="B415" s="181"/>
      <c r="C415" s="181"/>
      <c r="D415" s="181"/>
      <c r="E415" s="181"/>
      <c r="F415" s="181"/>
      <c r="G415" s="181"/>
      <c r="H415" s="181"/>
      <c r="I415" s="181"/>
      <c r="J415" s="181"/>
      <c r="K415" s="181"/>
      <c r="L415" s="181"/>
      <c r="M415" s="181"/>
      <c r="N415" s="181"/>
      <c r="O415" s="181"/>
      <c r="P415" s="181"/>
      <c r="Q415" s="181"/>
      <c r="R415" s="181"/>
      <c r="S415" s="181"/>
      <c r="T415" s="181"/>
      <c r="U415" s="181"/>
      <c r="V415" s="181"/>
      <c r="W415" s="181"/>
      <c r="X415" s="181"/>
      <c r="Y415" s="181"/>
      <c r="Z415" s="181"/>
    </row>
    <row r="416" customFormat="false" ht="15.75" hidden="false" customHeight="false" outlineLevel="0" collapsed="false">
      <c r="A416" s="181"/>
      <c r="B416" s="181"/>
      <c r="C416" s="181"/>
      <c r="D416" s="181"/>
      <c r="E416" s="181"/>
      <c r="F416" s="181"/>
      <c r="G416" s="181"/>
      <c r="H416" s="181"/>
      <c r="I416" s="181"/>
      <c r="J416" s="181"/>
      <c r="K416" s="181"/>
      <c r="L416" s="181"/>
      <c r="M416" s="181"/>
      <c r="N416" s="181"/>
      <c r="O416" s="181"/>
      <c r="P416" s="181"/>
      <c r="Q416" s="181"/>
      <c r="R416" s="181"/>
      <c r="S416" s="181"/>
      <c r="T416" s="181"/>
      <c r="U416" s="181"/>
      <c r="V416" s="181"/>
      <c r="W416" s="181"/>
      <c r="X416" s="181"/>
      <c r="Y416" s="181"/>
      <c r="Z416" s="181"/>
    </row>
    <row r="417" customFormat="false" ht="15.75" hidden="false" customHeight="false" outlineLevel="0" collapsed="false">
      <c r="A417" s="181"/>
      <c r="B417" s="181"/>
      <c r="C417" s="181"/>
      <c r="D417" s="181"/>
      <c r="E417" s="181"/>
      <c r="F417" s="181"/>
      <c r="G417" s="181"/>
      <c r="H417" s="181"/>
      <c r="I417" s="181"/>
      <c r="J417" s="181"/>
      <c r="K417" s="181"/>
      <c r="L417" s="181"/>
      <c r="M417" s="181"/>
      <c r="N417" s="181"/>
      <c r="O417" s="181"/>
      <c r="P417" s="181"/>
      <c r="Q417" s="181"/>
      <c r="R417" s="181"/>
      <c r="S417" s="181"/>
      <c r="T417" s="181"/>
      <c r="U417" s="181"/>
      <c r="V417" s="181"/>
      <c r="W417" s="181"/>
      <c r="X417" s="181"/>
      <c r="Y417" s="181"/>
      <c r="Z417" s="181"/>
    </row>
    <row r="418" customFormat="false" ht="15.75" hidden="false" customHeight="false" outlineLevel="0" collapsed="false">
      <c r="A418" s="181"/>
      <c r="B418" s="181"/>
      <c r="C418" s="181"/>
      <c r="D418" s="181"/>
      <c r="E418" s="181"/>
      <c r="F418" s="181"/>
      <c r="G418" s="181"/>
      <c r="H418" s="181"/>
      <c r="I418" s="181"/>
      <c r="J418" s="181"/>
      <c r="K418" s="181"/>
      <c r="L418" s="181"/>
      <c r="M418" s="181"/>
      <c r="N418" s="181"/>
      <c r="O418" s="181"/>
      <c r="P418" s="181"/>
      <c r="Q418" s="181"/>
      <c r="R418" s="181"/>
      <c r="S418" s="181"/>
      <c r="T418" s="181"/>
      <c r="U418" s="181"/>
      <c r="V418" s="181"/>
      <c r="W418" s="181"/>
      <c r="X418" s="181"/>
      <c r="Y418" s="181"/>
      <c r="Z418" s="181"/>
    </row>
    <row r="419" customFormat="false" ht="15.75" hidden="false" customHeight="false" outlineLevel="0" collapsed="false">
      <c r="A419" s="181"/>
      <c r="B419" s="181"/>
      <c r="C419" s="181"/>
      <c r="D419" s="181"/>
      <c r="E419" s="181"/>
      <c r="F419" s="181"/>
      <c r="G419" s="181"/>
      <c r="H419" s="181"/>
      <c r="I419" s="181"/>
      <c r="J419" s="181"/>
      <c r="K419" s="181"/>
      <c r="L419" s="181"/>
      <c r="M419" s="181"/>
      <c r="N419" s="181"/>
      <c r="O419" s="181"/>
      <c r="P419" s="181"/>
      <c r="Q419" s="181"/>
      <c r="R419" s="181"/>
      <c r="S419" s="181"/>
      <c r="T419" s="181"/>
      <c r="U419" s="181"/>
      <c r="V419" s="181"/>
      <c r="W419" s="181"/>
      <c r="X419" s="181"/>
      <c r="Y419" s="181"/>
      <c r="Z419" s="181"/>
    </row>
    <row r="420" customFormat="false" ht="15.75" hidden="false" customHeight="false" outlineLevel="0" collapsed="false">
      <c r="A420" s="181"/>
      <c r="B420" s="181"/>
      <c r="C420" s="181"/>
      <c r="D420" s="181"/>
      <c r="E420" s="181"/>
      <c r="F420" s="181"/>
      <c r="G420" s="181"/>
      <c r="H420" s="181"/>
      <c r="I420" s="181"/>
      <c r="J420" s="181"/>
      <c r="K420" s="181"/>
      <c r="L420" s="181"/>
      <c r="M420" s="181"/>
      <c r="N420" s="181"/>
      <c r="O420" s="181"/>
      <c r="P420" s="181"/>
      <c r="Q420" s="181"/>
      <c r="R420" s="181"/>
      <c r="S420" s="181"/>
      <c r="T420" s="181"/>
      <c r="U420" s="181"/>
      <c r="V420" s="181"/>
      <c r="W420" s="181"/>
      <c r="X420" s="181"/>
      <c r="Y420" s="181"/>
      <c r="Z420" s="181"/>
    </row>
    <row r="421" customFormat="false" ht="15.75" hidden="false" customHeight="false" outlineLevel="0" collapsed="false">
      <c r="A421" s="181"/>
      <c r="B421" s="181"/>
      <c r="C421" s="181"/>
      <c r="D421" s="181"/>
      <c r="E421" s="181"/>
      <c r="F421" s="181"/>
      <c r="G421" s="181"/>
      <c r="H421" s="181"/>
      <c r="I421" s="181"/>
      <c r="J421" s="181"/>
      <c r="K421" s="181"/>
      <c r="L421" s="181"/>
      <c r="M421" s="181"/>
      <c r="N421" s="181"/>
      <c r="O421" s="181"/>
      <c r="P421" s="181"/>
      <c r="Q421" s="181"/>
      <c r="R421" s="181"/>
      <c r="S421" s="181"/>
      <c r="T421" s="181"/>
      <c r="U421" s="181"/>
      <c r="V421" s="181"/>
      <c r="W421" s="181"/>
      <c r="X421" s="181"/>
      <c r="Y421" s="181"/>
      <c r="Z421" s="181"/>
    </row>
    <row r="422" customFormat="false" ht="15.75" hidden="false" customHeight="false" outlineLevel="0" collapsed="false">
      <c r="A422" s="181"/>
      <c r="B422" s="181"/>
      <c r="C422" s="181"/>
      <c r="D422" s="181"/>
      <c r="E422" s="181"/>
      <c r="F422" s="181"/>
      <c r="G422" s="181"/>
      <c r="H422" s="181"/>
      <c r="I422" s="181"/>
      <c r="J422" s="181"/>
      <c r="K422" s="181"/>
      <c r="L422" s="181"/>
      <c r="M422" s="181"/>
      <c r="N422" s="181"/>
      <c r="O422" s="181"/>
      <c r="P422" s="181"/>
      <c r="Q422" s="181"/>
      <c r="R422" s="181"/>
      <c r="S422" s="181"/>
      <c r="T422" s="181"/>
      <c r="U422" s="181"/>
      <c r="V422" s="181"/>
      <c r="W422" s="181"/>
      <c r="X422" s="181"/>
      <c r="Y422" s="181"/>
      <c r="Z422" s="181"/>
    </row>
    <row r="423" customFormat="false" ht="15.75" hidden="false" customHeight="false" outlineLevel="0" collapsed="false">
      <c r="A423" s="181"/>
      <c r="B423" s="181"/>
      <c r="C423" s="181"/>
      <c r="D423" s="181"/>
      <c r="E423" s="181"/>
      <c r="F423" s="181"/>
      <c r="G423" s="181"/>
      <c r="H423" s="181"/>
      <c r="I423" s="181"/>
      <c r="J423" s="181"/>
      <c r="K423" s="181"/>
      <c r="L423" s="181"/>
      <c r="M423" s="181"/>
      <c r="N423" s="181"/>
      <c r="O423" s="181"/>
      <c r="P423" s="181"/>
      <c r="Q423" s="181"/>
      <c r="R423" s="181"/>
      <c r="S423" s="181"/>
      <c r="T423" s="181"/>
      <c r="U423" s="181"/>
      <c r="V423" s="181"/>
      <c r="W423" s="181"/>
      <c r="X423" s="181"/>
      <c r="Y423" s="181"/>
      <c r="Z423" s="181"/>
    </row>
    <row r="424" customFormat="false" ht="15.75" hidden="false" customHeight="false" outlineLevel="0" collapsed="false">
      <c r="A424" s="181"/>
      <c r="B424" s="181"/>
      <c r="C424" s="181"/>
      <c r="D424" s="181"/>
      <c r="E424" s="181"/>
      <c r="F424" s="181"/>
      <c r="G424" s="181"/>
      <c r="H424" s="181"/>
      <c r="I424" s="181"/>
      <c r="J424" s="181"/>
      <c r="K424" s="181"/>
      <c r="L424" s="181"/>
      <c r="M424" s="181"/>
      <c r="N424" s="181"/>
      <c r="O424" s="181"/>
      <c r="P424" s="181"/>
      <c r="Q424" s="181"/>
      <c r="R424" s="181"/>
      <c r="S424" s="181"/>
      <c r="T424" s="181"/>
      <c r="U424" s="181"/>
      <c r="V424" s="181"/>
      <c r="W424" s="181"/>
      <c r="X424" s="181"/>
      <c r="Y424" s="181"/>
      <c r="Z424" s="181"/>
    </row>
    <row r="425" customFormat="false" ht="15.75" hidden="false" customHeight="false" outlineLevel="0" collapsed="false">
      <c r="A425" s="181"/>
      <c r="B425" s="181"/>
      <c r="C425" s="181"/>
      <c r="D425" s="181"/>
      <c r="E425" s="181"/>
      <c r="F425" s="181"/>
      <c r="G425" s="181"/>
      <c r="H425" s="181"/>
      <c r="I425" s="181"/>
      <c r="J425" s="181"/>
      <c r="K425" s="181"/>
      <c r="L425" s="181"/>
      <c r="M425" s="181"/>
      <c r="N425" s="181"/>
      <c r="O425" s="181"/>
      <c r="P425" s="181"/>
      <c r="Q425" s="181"/>
      <c r="R425" s="181"/>
      <c r="S425" s="181"/>
      <c r="T425" s="181"/>
      <c r="U425" s="181"/>
      <c r="V425" s="181"/>
      <c r="W425" s="181"/>
      <c r="X425" s="181"/>
      <c r="Y425" s="181"/>
      <c r="Z425" s="181"/>
    </row>
    <row r="426" customFormat="false" ht="15.75" hidden="false" customHeight="false" outlineLevel="0" collapsed="false">
      <c r="A426" s="181"/>
      <c r="B426" s="181"/>
      <c r="C426" s="181"/>
      <c r="D426" s="181"/>
      <c r="E426" s="181"/>
      <c r="F426" s="181"/>
      <c r="G426" s="181"/>
      <c r="H426" s="181"/>
      <c r="I426" s="181"/>
      <c r="J426" s="181"/>
      <c r="K426" s="181"/>
      <c r="L426" s="181"/>
      <c r="M426" s="181"/>
      <c r="N426" s="181"/>
      <c r="O426" s="181"/>
      <c r="P426" s="181"/>
      <c r="Q426" s="181"/>
      <c r="R426" s="181"/>
      <c r="S426" s="181"/>
      <c r="T426" s="181"/>
      <c r="U426" s="181"/>
      <c r="V426" s="181"/>
      <c r="W426" s="181"/>
      <c r="X426" s="181"/>
      <c r="Y426" s="181"/>
      <c r="Z426" s="181"/>
    </row>
    <row r="427" customFormat="false" ht="15.75" hidden="false" customHeight="false" outlineLevel="0" collapsed="false">
      <c r="A427" s="181"/>
      <c r="B427" s="181"/>
      <c r="C427" s="181"/>
      <c r="D427" s="181"/>
      <c r="E427" s="181"/>
      <c r="F427" s="181"/>
      <c r="G427" s="181"/>
      <c r="H427" s="181"/>
      <c r="I427" s="181"/>
      <c r="J427" s="181"/>
      <c r="K427" s="181"/>
      <c r="L427" s="181"/>
      <c r="M427" s="181"/>
      <c r="N427" s="181"/>
      <c r="O427" s="181"/>
      <c r="P427" s="181"/>
      <c r="Q427" s="181"/>
      <c r="R427" s="181"/>
      <c r="S427" s="181"/>
      <c r="T427" s="181"/>
      <c r="U427" s="181"/>
      <c r="V427" s="181"/>
      <c r="W427" s="181"/>
      <c r="X427" s="181"/>
      <c r="Y427" s="181"/>
      <c r="Z427" s="181"/>
    </row>
    <row r="428" customFormat="false" ht="15.75" hidden="false" customHeight="false" outlineLevel="0" collapsed="false">
      <c r="A428" s="181"/>
      <c r="B428" s="181"/>
      <c r="C428" s="181"/>
      <c r="D428" s="181"/>
      <c r="E428" s="181"/>
      <c r="F428" s="181"/>
      <c r="G428" s="181"/>
      <c r="H428" s="181"/>
      <c r="I428" s="181"/>
      <c r="J428" s="181"/>
      <c r="K428" s="181"/>
      <c r="L428" s="181"/>
      <c r="M428" s="181"/>
      <c r="N428" s="181"/>
      <c r="O428" s="181"/>
      <c r="P428" s="181"/>
      <c r="Q428" s="181"/>
      <c r="R428" s="181"/>
      <c r="S428" s="181"/>
      <c r="T428" s="181"/>
      <c r="U428" s="181"/>
      <c r="V428" s="181"/>
      <c r="W428" s="181"/>
      <c r="X428" s="181"/>
      <c r="Y428" s="181"/>
      <c r="Z428" s="181"/>
    </row>
    <row r="429" customFormat="false" ht="15.75" hidden="false" customHeight="false" outlineLevel="0" collapsed="false">
      <c r="A429" s="181"/>
      <c r="B429" s="181"/>
      <c r="C429" s="181"/>
      <c r="D429" s="181"/>
      <c r="E429" s="181"/>
      <c r="F429" s="181"/>
      <c r="G429" s="181"/>
      <c r="H429" s="181"/>
      <c r="I429" s="181"/>
      <c r="J429" s="181"/>
      <c r="K429" s="181"/>
      <c r="L429" s="181"/>
      <c r="M429" s="181"/>
      <c r="N429" s="181"/>
      <c r="O429" s="181"/>
      <c r="P429" s="181"/>
      <c r="Q429" s="181"/>
      <c r="R429" s="181"/>
      <c r="S429" s="181"/>
      <c r="T429" s="181"/>
      <c r="U429" s="181"/>
      <c r="V429" s="181"/>
      <c r="W429" s="181"/>
      <c r="X429" s="181"/>
      <c r="Y429" s="181"/>
      <c r="Z429" s="181"/>
    </row>
    <row r="430" customFormat="false" ht="15.75" hidden="false" customHeight="false" outlineLevel="0" collapsed="false">
      <c r="A430" s="181"/>
      <c r="B430" s="181"/>
      <c r="C430" s="181"/>
      <c r="D430" s="181"/>
      <c r="E430" s="181"/>
      <c r="F430" s="181"/>
      <c r="G430" s="181"/>
      <c r="H430" s="181"/>
      <c r="I430" s="181"/>
      <c r="J430" s="181"/>
      <c r="K430" s="181"/>
      <c r="L430" s="181"/>
      <c r="M430" s="181"/>
      <c r="N430" s="181"/>
      <c r="O430" s="181"/>
      <c r="P430" s="181"/>
      <c r="Q430" s="181"/>
      <c r="R430" s="181"/>
      <c r="S430" s="181"/>
      <c r="T430" s="181"/>
      <c r="U430" s="181"/>
      <c r="V430" s="181"/>
      <c r="W430" s="181"/>
      <c r="X430" s="181"/>
      <c r="Y430" s="181"/>
      <c r="Z430" s="181"/>
    </row>
    <row r="431" customFormat="false" ht="15.75" hidden="false" customHeight="false" outlineLevel="0" collapsed="false">
      <c r="A431" s="181"/>
      <c r="B431" s="181"/>
      <c r="C431" s="181"/>
      <c r="D431" s="181"/>
      <c r="E431" s="181"/>
      <c r="F431" s="181"/>
      <c r="G431" s="181"/>
      <c r="H431" s="181"/>
      <c r="I431" s="181"/>
      <c r="J431" s="181"/>
      <c r="K431" s="181"/>
      <c r="L431" s="181"/>
      <c r="M431" s="181"/>
      <c r="N431" s="181"/>
      <c r="O431" s="181"/>
      <c r="P431" s="181"/>
      <c r="Q431" s="181"/>
      <c r="R431" s="181"/>
      <c r="S431" s="181"/>
      <c r="T431" s="181"/>
      <c r="U431" s="181"/>
      <c r="V431" s="181"/>
      <c r="W431" s="181"/>
      <c r="X431" s="181"/>
      <c r="Y431" s="181"/>
      <c r="Z431" s="181"/>
    </row>
    <row r="432" customFormat="false" ht="15.75" hidden="false" customHeight="false" outlineLevel="0" collapsed="false">
      <c r="A432" s="181"/>
      <c r="B432" s="181"/>
      <c r="C432" s="181"/>
      <c r="D432" s="181"/>
      <c r="E432" s="181"/>
      <c r="F432" s="181"/>
      <c r="G432" s="181"/>
      <c r="H432" s="181"/>
      <c r="I432" s="181"/>
      <c r="J432" s="181"/>
      <c r="K432" s="181"/>
      <c r="L432" s="181"/>
      <c r="M432" s="181"/>
      <c r="N432" s="181"/>
      <c r="O432" s="181"/>
      <c r="P432" s="181"/>
      <c r="Q432" s="181"/>
      <c r="R432" s="181"/>
      <c r="S432" s="181"/>
      <c r="T432" s="181"/>
      <c r="U432" s="181"/>
      <c r="V432" s="181"/>
      <c r="W432" s="181"/>
      <c r="X432" s="181"/>
      <c r="Y432" s="181"/>
      <c r="Z432" s="181"/>
    </row>
    <row r="433" customFormat="false" ht="15.75" hidden="false" customHeight="false" outlineLevel="0" collapsed="false">
      <c r="A433" s="181"/>
      <c r="B433" s="181"/>
      <c r="C433" s="181"/>
      <c r="D433" s="181"/>
      <c r="E433" s="181"/>
      <c r="F433" s="181"/>
      <c r="G433" s="181"/>
      <c r="H433" s="181"/>
      <c r="I433" s="181"/>
      <c r="J433" s="181"/>
      <c r="K433" s="181"/>
      <c r="L433" s="181"/>
      <c r="M433" s="181"/>
      <c r="N433" s="181"/>
      <c r="O433" s="181"/>
      <c r="P433" s="181"/>
      <c r="Q433" s="181"/>
      <c r="R433" s="181"/>
      <c r="S433" s="181"/>
      <c r="T433" s="181"/>
      <c r="U433" s="181"/>
      <c r="V433" s="181"/>
      <c r="W433" s="181"/>
      <c r="X433" s="181"/>
      <c r="Y433" s="181"/>
      <c r="Z433" s="181"/>
    </row>
    <row r="434" customFormat="false" ht="15.75" hidden="false" customHeight="false" outlineLevel="0" collapsed="false">
      <c r="A434" s="181"/>
      <c r="B434" s="181"/>
      <c r="C434" s="181"/>
      <c r="D434" s="181"/>
      <c r="E434" s="181"/>
      <c r="F434" s="181"/>
      <c r="G434" s="181"/>
      <c r="H434" s="181"/>
      <c r="I434" s="181"/>
      <c r="J434" s="181"/>
      <c r="K434" s="181"/>
      <c r="L434" s="181"/>
      <c r="M434" s="181"/>
      <c r="N434" s="181"/>
      <c r="O434" s="181"/>
      <c r="P434" s="181"/>
      <c r="Q434" s="181"/>
      <c r="R434" s="181"/>
      <c r="S434" s="181"/>
      <c r="T434" s="181"/>
      <c r="U434" s="181"/>
      <c r="V434" s="181"/>
      <c r="W434" s="181"/>
      <c r="X434" s="181"/>
      <c r="Y434" s="181"/>
      <c r="Z434" s="181"/>
    </row>
    <row r="435" customFormat="false" ht="15.75" hidden="false" customHeight="false" outlineLevel="0" collapsed="false">
      <c r="A435" s="181"/>
      <c r="B435" s="181"/>
      <c r="C435" s="181"/>
      <c r="D435" s="181"/>
      <c r="E435" s="181"/>
      <c r="F435" s="181"/>
      <c r="G435" s="181"/>
      <c r="H435" s="181"/>
      <c r="I435" s="181"/>
      <c r="J435" s="181"/>
      <c r="K435" s="181"/>
      <c r="L435" s="181"/>
      <c r="M435" s="181"/>
      <c r="N435" s="181"/>
      <c r="O435" s="181"/>
      <c r="P435" s="181"/>
      <c r="Q435" s="181"/>
      <c r="R435" s="181"/>
      <c r="S435" s="181"/>
      <c r="T435" s="181"/>
      <c r="U435" s="181"/>
      <c r="V435" s="181"/>
      <c r="W435" s="181"/>
      <c r="X435" s="181"/>
      <c r="Y435" s="181"/>
      <c r="Z435" s="181"/>
    </row>
    <row r="436" customFormat="false" ht="15.75" hidden="false" customHeight="false" outlineLevel="0" collapsed="false">
      <c r="A436" s="181"/>
      <c r="B436" s="181"/>
      <c r="C436" s="181"/>
      <c r="D436" s="181"/>
      <c r="E436" s="181"/>
      <c r="F436" s="181"/>
      <c r="G436" s="181"/>
      <c r="H436" s="181"/>
      <c r="I436" s="181"/>
      <c r="J436" s="181"/>
      <c r="K436" s="181"/>
      <c r="L436" s="181"/>
      <c r="M436" s="181"/>
      <c r="N436" s="181"/>
      <c r="O436" s="181"/>
      <c r="P436" s="181"/>
      <c r="Q436" s="181"/>
      <c r="R436" s="181"/>
      <c r="S436" s="181"/>
      <c r="T436" s="181"/>
      <c r="U436" s="181"/>
      <c r="V436" s="181"/>
      <c r="W436" s="181"/>
      <c r="X436" s="181"/>
      <c r="Y436" s="181"/>
      <c r="Z436" s="181"/>
    </row>
    <row r="437" customFormat="false" ht="15.75" hidden="false" customHeight="false" outlineLevel="0" collapsed="false">
      <c r="A437" s="181"/>
      <c r="B437" s="181"/>
      <c r="C437" s="181"/>
      <c r="D437" s="181"/>
      <c r="E437" s="181"/>
      <c r="F437" s="181"/>
      <c r="G437" s="181"/>
      <c r="H437" s="181"/>
      <c r="I437" s="181"/>
      <c r="J437" s="181"/>
      <c r="K437" s="181"/>
      <c r="L437" s="181"/>
      <c r="M437" s="181"/>
      <c r="N437" s="181"/>
      <c r="O437" s="181"/>
      <c r="P437" s="181"/>
      <c r="Q437" s="181"/>
      <c r="R437" s="181"/>
      <c r="S437" s="181"/>
      <c r="T437" s="181"/>
      <c r="U437" s="181"/>
      <c r="V437" s="181"/>
      <c r="W437" s="181"/>
      <c r="X437" s="181"/>
      <c r="Y437" s="181"/>
      <c r="Z437" s="181"/>
    </row>
    <row r="438" customFormat="false" ht="15.75" hidden="false" customHeight="false" outlineLevel="0" collapsed="false">
      <c r="A438" s="181"/>
      <c r="B438" s="181"/>
      <c r="C438" s="181"/>
      <c r="D438" s="181"/>
      <c r="E438" s="181"/>
      <c r="F438" s="181"/>
      <c r="G438" s="181"/>
      <c r="H438" s="181"/>
      <c r="I438" s="181"/>
      <c r="J438" s="181"/>
      <c r="K438" s="181"/>
      <c r="L438" s="181"/>
      <c r="M438" s="181"/>
      <c r="N438" s="181"/>
      <c r="O438" s="181"/>
      <c r="P438" s="181"/>
      <c r="Q438" s="181"/>
      <c r="R438" s="181"/>
      <c r="S438" s="181"/>
      <c r="T438" s="181"/>
      <c r="U438" s="181"/>
      <c r="V438" s="181"/>
      <c r="W438" s="181"/>
      <c r="X438" s="181"/>
      <c r="Y438" s="181"/>
      <c r="Z438" s="181"/>
    </row>
    <row r="439" customFormat="false" ht="15.75" hidden="false" customHeight="false" outlineLevel="0" collapsed="false">
      <c r="A439" s="181"/>
      <c r="B439" s="181"/>
      <c r="C439" s="181"/>
      <c r="D439" s="181"/>
      <c r="E439" s="181"/>
      <c r="F439" s="181"/>
      <c r="G439" s="181"/>
      <c r="H439" s="181"/>
      <c r="I439" s="181"/>
      <c r="J439" s="181"/>
      <c r="K439" s="181"/>
      <c r="L439" s="181"/>
      <c r="M439" s="181"/>
      <c r="N439" s="181"/>
      <c r="O439" s="181"/>
      <c r="P439" s="181"/>
      <c r="Q439" s="181"/>
      <c r="R439" s="181"/>
      <c r="S439" s="181"/>
      <c r="T439" s="181"/>
      <c r="U439" s="181"/>
      <c r="V439" s="181"/>
      <c r="W439" s="181"/>
      <c r="X439" s="181"/>
      <c r="Y439" s="181"/>
      <c r="Z439" s="181"/>
    </row>
    <row r="440" customFormat="false" ht="15.75" hidden="false" customHeight="false" outlineLevel="0" collapsed="false">
      <c r="A440" s="181"/>
      <c r="B440" s="181"/>
      <c r="C440" s="181"/>
      <c r="D440" s="181"/>
      <c r="E440" s="181"/>
      <c r="F440" s="181"/>
      <c r="G440" s="181"/>
      <c r="H440" s="181"/>
      <c r="I440" s="181"/>
      <c r="J440" s="181"/>
      <c r="K440" s="181"/>
      <c r="L440" s="181"/>
      <c r="M440" s="181"/>
      <c r="N440" s="181"/>
      <c r="O440" s="181"/>
      <c r="P440" s="181"/>
      <c r="Q440" s="181"/>
      <c r="R440" s="181"/>
      <c r="S440" s="181"/>
      <c r="T440" s="181"/>
      <c r="U440" s="181"/>
      <c r="V440" s="181"/>
      <c r="W440" s="181"/>
      <c r="X440" s="181"/>
      <c r="Y440" s="181"/>
      <c r="Z440" s="181"/>
    </row>
    <row r="441" customFormat="false" ht="15.75" hidden="false" customHeight="false" outlineLevel="0" collapsed="false">
      <c r="A441" s="181"/>
      <c r="B441" s="181"/>
      <c r="C441" s="181"/>
      <c r="D441" s="181"/>
      <c r="E441" s="181"/>
      <c r="F441" s="181"/>
      <c r="G441" s="181"/>
      <c r="H441" s="181"/>
      <c r="I441" s="181"/>
      <c r="J441" s="181"/>
      <c r="K441" s="181"/>
      <c r="L441" s="181"/>
      <c r="M441" s="181"/>
      <c r="N441" s="181"/>
      <c r="O441" s="181"/>
      <c r="P441" s="181"/>
      <c r="Q441" s="181"/>
      <c r="R441" s="181"/>
      <c r="S441" s="181"/>
      <c r="T441" s="181"/>
      <c r="U441" s="181"/>
      <c r="V441" s="181"/>
      <c r="W441" s="181"/>
      <c r="X441" s="181"/>
      <c r="Y441" s="181"/>
      <c r="Z441" s="181"/>
    </row>
    <row r="442" customFormat="false" ht="15.75" hidden="false" customHeight="false" outlineLevel="0" collapsed="false">
      <c r="A442" s="181"/>
      <c r="B442" s="181"/>
      <c r="C442" s="181"/>
      <c r="D442" s="181"/>
      <c r="E442" s="181"/>
      <c r="F442" s="181"/>
      <c r="G442" s="181"/>
      <c r="H442" s="181"/>
      <c r="I442" s="181"/>
      <c r="J442" s="181"/>
      <c r="K442" s="181"/>
      <c r="L442" s="181"/>
      <c r="M442" s="181"/>
      <c r="N442" s="181"/>
      <c r="O442" s="181"/>
      <c r="P442" s="181"/>
      <c r="Q442" s="181"/>
      <c r="R442" s="181"/>
      <c r="S442" s="181"/>
      <c r="T442" s="181"/>
      <c r="U442" s="181"/>
      <c r="V442" s="181"/>
      <c r="W442" s="181"/>
      <c r="X442" s="181"/>
      <c r="Y442" s="181"/>
      <c r="Z442" s="181"/>
    </row>
    <row r="443" customFormat="false" ht="15.75" hidden="false" customHeight="false" outlineLevel="0" collapsed="false">
      <c r="A443" s="181"/>
      <c r="B443" s="181"/>
      <c r="C443" s="181"/>
      <c r="D443" s="181"/>
      <c r="E443" s="181"/>
      <c r="F443" s="181"/>
      <c r="G443" s="181"/>
      <c r="H443" s="181"/>
      <c r="I443" s="181"/>
      <c r="J443" s="181"/>
      <c r="K443" s="181"/>
      <c r="L443" s="181"/>
      <c r="M443" s="181"/>
      <c r="N443" s="181"/>
      <c r="O443" s="181"/>
      <c r="P443" s="181"/>
      <c r="Q443" s="181"/>
      <c r="R443" s="181"/>
      <c r="S443" s="181"/>
      <c r="T443" s="181"/>
      <c r="U443" s="181"/>
      <c r="V443" s="181"/>
      <c r="W443" s="181"/>
      <c r="X443" s="181"/>
      <c r="Y443" s="181"/>
      <c r="Z443" s="181"/>
    </row>
    <row r="444" customFormat="false" ht="15.75" hidden="false" customHeight="false" outlineLevel="0" collapsed="false">
      <c r="A444" s="181"/>
      <c r="B444" s="181"/>
      <c r="C444" s="181"/>
      <c r="D444" s="181"/>
      <c r="E444" s="181"/>
      <c r="F444" s="181"/>
      <c r="G444" s="181"/>
      <c r="H444" s="181"/>
      <c r="I444" s="181"/>
      <c r="J444" s="181"/>
      <c r="K444" s="181"/>
      <c r="L444" s="181"/>
      <c r="M444" s="181"/>
      <c r="N444" s="181"/>
      <c r="O444" s="181"/>
      <c r="P444" s="181"/>
      <c r="Q444" s="181"/>
      <c r="R444" s="181"/>
      <c r="S444" s="181"/>
      <c r="T444" s="181"/>
      <c r="U444" s="181"/>
      <c r="V444" s="181"/>
      <c r="W444" s="181"/>
      <c r="X444" s="181"/>
      <c r="Y444" s="181"/>
      <c r="Z444" s="181"/>
    </row>
    <row r="445" customFormat="false" ht="15.75" hidden="false" customHeight="false" outlineLevel="0" collapsed="false">
      <c r="A445" s="181"/>
      <c r="B445" s="181"/>
      <c r="C445" s="181"/>
      <c r="D445" s="181"/>
      <c r="E445" s="181"/>
      <c r="F445" s="181"/>
      <c r="G445" s="181"/>
      <c r="H445" s="181"/>
      <c r="I445" s="181"/>
      <c r="J445" s="181"/>
      <c r="K445" s="181"/>
      <c r="L445" s="181"/>
      <c r="M445" s="181"/>
      <c r="N445" s="181"/>
      <c r="O445" s="181"/>
      <c r="P445" s="181"/>
      <c r="Q445" s="181"/>
      <c r="R445" s="181"/>
      <c r="S445" s="181"/>
      <c r="T445" s="181"/>
      <c r="U445" s="181"/>
      <c r="V445" s="181"/>
      <c r="W445" s="181"/>
      <c r="X445" s="181"/>
      <c r="Y445" s="181"/>
      <c r="Z445" s="181"/>
    </row>
    <row r="446" customFormat="false" ht="15.75" hidden="false" customHeight="false" outlineLevel="0" collapsed="false">
      <c r="A446" s="181"/>
      <c r="B446" s="181"/>
      <c r="C446" s="181"/>
      <c r="D446" s="181"/>
      <c r="E446" s="181"/>
      <c r="F446" s="181"/>
      <c r="G446" s="181"/>
      <c r="H446" s="181"/>
      <c r="I446" s="181"/>
      <c r="J446" s="181"/>
      <c r="K446" s="181"/>
      <c r="L446" s="181"/>
      <c r="M446" s="181"/>
      <c r="N446" s="181"/>
      <c r="O446" s="181"/>
      <c r="P446" s="181"/>
      <c r="Q446" s="181"/>
      <c r="R446" s="181"/>
      <c r="S446" s="181"/>
      <c r="T446" s="181"/>
      <c r="U446" s="181"/>
      <c r="V446" s="181"/>
      <c r="W446" s="181"/>
      <c r="X446" s="181"/>
      <c r="Y446" s="181"/>
      <c r="Z446" s="181"/>
    </row>
    <row r="447" customFormat="false" ht="15.75" hidden="false" customHeight="false" outlineLevel="0" collapsed="false">
      <c r="A447" s="181"/>
      <c r="B447" s="181"/>
      <c r="C447" s="181"/>
      <c r="D447" s="181"/>
      <c r="E447" s="181"/>
      <c r="F447" s="181"/>
      <c r="G447" s="181"/>
      <c r="H447" s="181"/>
      <c r="I447" s="181"/>
      <c r="J447" s="181"/>
      <c r="K447" s="181"/>
      <c r="L447" s="181"/>
      <c r="M447" s="181"/>
      <c r="N447" s="181"/>
      <c r="O447" s="181"/>
      <c r="P447" s="181"/>
      <c r="Q447" s="181"/>
      <c r="R447" s="181"/>
      <c r="S447" s="181"/>
      <c r="T447" s="181"/>
      <c r="U447" s="181"/>
      <c r="V447" s="181"/>
      <c r="W447" s="181"/>
      <c r="X447" s="181"/>
      <c r="Y447" s="181"/>
      <c r="Z447" s="181"/>
    </row>
    <row r="448" customFormat="false" ht="15.75" hidden="false" customHeight="false" outlineLevel="0" collapsed="false">
      <c r="A448" s="181"/>
      <c r="B448" s="181"/>
      <c r="C448" s="181"/>
      <c r="D448" s="181"/>
      <c r="E448" s="181"/>
      <c r="F448" s="181"/>
      <c r="G448" s="181"/>
      <c r="H448" s="181"/>
      <c r="I448" s="181"/>
      <c r="J448" s="181"/>
      <c r="K448" s="181"/>
      <c r="L448" s="181"/>
      <c r="M448" s="181"/>
      <c r="N448" s="181"/>
      <c r="O448" s="181"/>
      <c r="P448" s="181"/>
      <c r="Q448" s="181"/>
      <c r="R448" s="181"/>
      <c r="S448" s="181"/>
      <c r="T448" s="181"/>
      <c r="U448" s="181"/>
      <c r="V448" s="181"/>
      <c r="W448" s="181"/>
      <c r="X448" s="181"/>
      <c r="Y448" s="181"/>
      <c r="Z448" s="181"/>
    </row>
    <row r="449" customFormat="false" ht="15.75" hidden="false" customHeight="false" outlineLevel="0" collapsed="false">
      <c r="A449" s="181"/>
      <c r="B449" s="181"/>
      <c r="C449" s="181"/>
      <c r="D449" s="181"/>
      <c r="E449" s="181"/>
      <c r="F449" s="181"/>
      <c r="G449" s="181"/>
      <c r="H449" s="181"/>
      <c r="I449" s="181"/>
      <c r="J449" s="181"/>
      <c r="K449" s="181"/>
      <c r="L449" s="181"/>
      <c r="M449" s="181"/>
      <c r="N449" s="181"/>
      <c r="O449" s="181"/>
      <c r="P449" s="181"/>
      <c r="Q449" s="181"/>
      <c r="R449" s="181"/>
      <c r="S449" s="181"/>
      <c r="T449" s="181"/>
      <c r="U449" s="181"/>
      <c r="V449" s="181"/>
      <c r="W449" s="181"/>
      <c r="X449" s="181"/>
      <c r="Y449" s="181"/>
      <c r="Z449" s="181"/>
    </row>
    <row r="450" customFormat="false" ht="15.75" hidden="false" customHeight="false" outlineLevel="0" collapsed="false">
      <c r="A450" s="181"/>
      <c r="B450" s="181"/>
      <c r="C450" s="181"/>
      <c r="D450" s="181"/>
      <c r="E450" s="181"/>
      <c r="F450" s="181"/>
      <c r="G450" s="181"/>
      <c r="H450" s="181"/>
      <c r="I450" s="181"/>
      <c r="J450" s="181"/>
      <c r="K450" s="181"/>
      <c r="L450" s="181"/>
      <c r="M450" s="181"/>
      <c r="N450" s="181"/>
      <c r="O450" s="181"/>
      <c r="P450" s="181"/>
      <c r="Q450" s="181"/>
      <c r="R450" s="181"/>
      <c r="S450" s="181"/>
      <c r="T450" s="181"/>
      <c r="U450" s="181"/>
      <c r="V450" s="181"/>
      <c r="W450" s="181"/>
      <c r="X450" s="181"/>
      <c r="Y450" s="181"/>
      <c r="Z450" s="181"/>
    </row>
    <row r="451" customFormat="false" ht="15.75" hidden="false" customHeight="false" outlineLevel="0" collapsed="false">
      <c r="A451" s="181"/>
      <c r="B451" s="181"/>
      <c r="C451" s="181"/>
      <c r="D451" s="181"/>
      <c r="E451" s="181"/>
      <c r="F451" s="181"/>
      <c r="G451" s="181"/>
      <c r="H451" s="181"/>
      <c r="I451" s="181"/>
      <c r="J451" s="181"/>
      <c r="K451" s="181"/>
      <c r="L451" s="181"/>
      <c r="M451" s="181"/>
      <c r="N451" s="181"/>
      <c r="O451" s="181"/>
      <c r="P451" s="181"/>
      <c r="Q451" s="181"/>
      <c r="R451" s="181"/>
      <c r="S451" s="181"/>
      <c r="T451" s="181"/>
      <c r="U451" s="181"/>
      <c r="V451" s="181"/>
      <c r="W451" s="181"/>
      <c r="X451" s="181"/>
      <c r="Y451" s="181"/>
      <c r="Z451" s="181"/>
    </row>
    <row r="452" customFormat="false" ht="15.75" hidden="false" customHeight="false" outlineLevel="0" collapsed="false">
      <c r="A452" s="181"/>
      <c r="B452" s="181"/>
      <c r="C452" s="181"/>
      <c r="D452" s="181"/>
      <c r="E452" s="181"/>
      <c r="F452" s="181"/>
      <c r="G452" s="181"/>
      <c r="H452" s="181"/>
      <c r="I452" s="181"/>
      <c r="J452" s="181"/>
      <c r="K452" s="181"/>
      <c r="L452" s="181"/>
      <c r="M452" s="181"/>
      <c r="N452" s="181"/>
      <c r="O452" s="181"/>
      <c r="P452" s="181"/>
      <c r="Q452" s="181"/>
      <c r="R452" s="181"/>
      <c r="S452" s="181"/>
      <c r="T452" s="181"/>
      <c r="U452" s="181"/>
      <c r="V452" s="181"/>
      <c r="W452" s="181"/>
      <c r="X452" s="181"/>
      <c r="Y452" s="181"/>
      <c r="Z452" s="181"/>
    </row>
    <row r="453" customFormat="false" ht="15.75" hidden="false" customHeight="false" outlineLevel="0" collapsed="false">
      <c r="A453" s="181"/>
      <c r="B453" s="181"/>
      <c r="C453" s="181"/>
      <c r="D453" s="181"/>
      <c r="E453" s="181"/>
      <c r="F453" s="181"/>
      <c r="G453" s="181"/>
      <c r="H453" s="181"/>
      <c r="I453" s="181"/>
      <c r="J453" s="181"/>
      <c r="K453" s="181"/>
      <c r="L453" s="181"/>
      <c r="M453" s="181"/>
      <c r="N453" s="181"/>
      <c r="O453" s="181"/>
      <c r="P453" s="181"/>
      <c r="Q453" s="181"/>
      <c r="R453" s="181"/>
      <c r="S453" s="181"/>
      <c r="T453" s="181"/>
      <c r="U453" s="181"/>
      <c r="V453" s="181"/>
      <c r="W453" s="181"/>
      <c r="X453" s="181"/>
      <c r="Y453" s="181"/>
      <c r="Z453" s="181"/>
    </row>
    <row r="454" customFormat="false" ht="15.75" hidden="false" customHeight="false" outlineLevel="0" collapsed="false">
      <c r="A454" s="181"/>
      <c r="B454" s="181"/>
      <c r="C454" s="181"/>
      <c r="D454" s="181"/>
      <c r="E454" s="181"/>
      <c r="F454" s="181"/>
      <c r="G454" s="181"/>
      <c r="H454" s="181"/>
      <c r="I454" s="181"/>
      <c r="J454" s="181"/>
      <c r="K454" s="181"/>
      <c r="L454" s="181"/>
      <c r="M454" s="181"/>
      <c r="N454" s="181"/>
      <c r="O454" s="181"/>
      <c r="P454" s="181"/>
      <c r="Q454" s="181"/>
      <c r="R454" s="181"/>
      <c r="S454" s="181"/>
      <c r="T454" s="181"/>
      <c r="U454" s="181"/>
      <c r="V454" s="181"/>
      <c r="W454" s="181"/>
      <c r="X454" s="181"/>
      <c r="Y454" s="181"/>
      <c r="Z454" s="181"/>
    </row>
    <row r="455" customFormat="false" ht="15.75" hidden="false" customHeight="false" outlineLevel="0" collapsed="false">
      <c r="A455" s="181"/>
      <c r="B455" s="181"/>
      <c r="C455" s="181"/>
      <c r="D455" s="181"/>
      <c r="E455" s="181"/>
      <c r="F455" s="181"/>
      <c r="G455" s="181"/>
      <c r="H455" s="181"/>
      <c r="I455" s="181"/>
      <c r="J455" s="181"/>
      <c r="K455" s="181"/>
      <c r="L455" s="181"/>
      <c r="M455" s="181"/>
      <c r="N455" s="181"/>
      <c r="O455" s="181"/>
      <c r="P455" s="181"/>
      <c r="Q455" s="181"/>
      <c r="R455" s="181"/>
      <c r="S455" s="181"/>
      <c r="T455" s="181"/>
      <c r="U455" s="181"/>
      <c r="V455" s="181"/>
      <c r="W455" s="181"/>
      <c r="X455" s="181"/>
      <c r="Y455" s="181"/>
      <c r="Z455" s="181"/>
    </row>
    <row r="456" customFormat="false" ht="15.75" hidden="false" customHeight="false" outlineLevel="0" collapsed="false">
      <c r="A456" s="181"/>
      <c r="B456" s="181"/>
      <c r="C456" s="181"/>
      <c r="D456" s="181"/>
      <c r="E456" s="181"/>
      <c r="F456" s="181"/>
      <c r="G456" s="181"/>
      <c r="H456" s="181"/>
      <c r="I456" s="181"/>
      <c r="J456" s="181"/>
      <c r="K456" s="181"/>
      <c r="L456" s="181"/>
      <c r="M456" s="181"/>
      <c r="N456" s="181"/>
      <c r="O456" s="181"/>
      <c r="P456" s="181"/>
      <c r="Q456" s="181"/>
      <c r="R456" s="181"/>
      <c r="S456" s="181"/>
      <c r="T456" s="181"/>
      <c r="U456" s="181"/>
      <c r="V456" s="181"/>
      <c r="W456" s="181"/>
      <c r="X456" s="181"/>
      <c r="Y456" s="181"/>
      <c r="Z456" s="181"/>
    </row>
    <row r="457" customFormat="false" ht="15.75" hidden="false" customHeight="false" outlineLevel="0" collapsed="false">
      <c r="A457" s="181"/>
      <c r="B457" s="181"/>
      <c r="C457" s="181"/>
      <c r="D457" s="181"/>
      <c r="E457" s="181"/>
      <c r="F457" s="181"/>
      <c r="G457" s="181"/>
      <c r="H457" s="181"/>
      <c r="I457" s="181"/>
      <c r="J457" s="181"/>
      <c r="K457" s="181"/>
      <c r="L457" s="181"/>
      <c r="M457" s="181"/>
      <c r="N457" s="181"/>
      <c r="O457" s="181"/>
      <c r="P457" s="181"/>
      <c r="Q457" s="181"/>
      <c r="R457" s="181"/>
      <c r="S457" s="181"/>
      <c r="T457" s="181"/>
      <c r="U457" s="181"/>
      <c r="V457" s="181"/>
      <c r="W457" s="181"/>
      <c r="X457" s="181"/>
      <c r="Y457" s="181"/>
      <c r="Z457" s="181"/>
    </row>
    <row r="458" customFormat="false" ht="15.75" hidden="false" customHeight="false" outlineLevel="0" collapsed="false">
      <c r="A458" s="181"/>
      <c r="B458" s="181"/>
      <c r="C458" s="181"/>
      <c r="D458" s="181"/>
      <c r="E458" s="181"/>
      <c r="F458" s="181"/>
      <c r="G458" s="181"/>
      <c r="H458" s="181"/>
      <c r="I458" s="181"/>
      <c r="J458" s="181"/>
      <c r="K458" s="181"/>
      <c r="L458" s="181"/>
      <c r="M458" s="181"/>
      <c r="N458" s="181"/>
      <c r="O458" s="181"/>
      <c r="P458" s="181"/>
      <c r="Q458" s="181"/>
      <c r="R458" s="181"/>
      <c r="S458" s="181"/>
      <c r="T458" s="181"/>
      <c r="U458" s="181"/>
      <c r="V458" s="181"/>
      <c r="W458" s="181"/>
      <c r="X458" s="181"/>
      <c r="Y458" s="181"/>
      <c r="Z458" s="181"/>
    </row>
    <row r="459" customFormat="false" ht="15.75" hidden="false" customHeight="false" outlineLevel="0" collapsed="false">
      <c r="A459" s="181"/>
      <c r="B459" s="181"/>
      <c r="C459" s="181"/>
      <c r="D459" s="181"/>
      <c r="E459" s="181"/>
      <c r="F459" s="181"/>
      <c r="G459" s="181"/>
      <c r="H459" s="181"/>
      <c r="I459" s="181"/>
      <c r="J459" s="181"/>
      <c r="K459" s="181"/>
      <c r="L459" s="181"/>
      <c r="M459" s="181"/>
      <c r="N459" s="181"/>
      <c r="O459" s="181"/>
      <c r="P459" s="181"/>
      <c r="Q459" s="181"/>
      <c r="R459" s="181"/>
      <c r="S459" s="181"/>
      <c r="T459" s="181"/>
      <c r="U459" s="181"/>
      <c r="V459" s="181"/>
      <c r="W459" s="181"/>
      <c r="X459" s="181"/>
      <c r="Y459" s="181"/>
      <c r="Z459" s="181"/>
    </row>
    <row r="460" customFormat="false" ht="15.75" hidden="false" customHeight="false" outlineLevel="0" collapsed="false">
      <c r="A460" s="181"/>
      <c r="B460" s="181"/>
      <c r="C460" s="181"/>
      <c r="D460" s="181"/>
      <c r="E460" s="181"/>
      <c r="F460" s="181"/>
      <c r="G460" s="181"/>
      <c r="H460" s="181"/>
      <c r="I460" s="181"/>
      <c r="J460" s="181"/>
      <c r="K460" s="181"/>
      <c r="L460" s="181"/>
      <c r="M460" s="181"/>
      <c r="N460" s="181"/>
      <c r="O460" s="181"/>
      <c r="P460" s="181"/>
      <c r="Q460" s="181"/>
      <c r="R460" s="181"/>
      <c r="S460" s="181"/>
      <c r="T460" s="181"/>
      <c r="U460" s="181"/>
      <c r="V460" s="181"/>
      <c r="W460" s="181"/>
      <c r="X460" s="181"/>
      <c r="Y460" s="181"/>
      <c r="Z460" s="181"/>
    </row>
    <row r="461" customFormat="false" ht="15.75" hidden="false" customHeight="false" outlineLevel="0" collapsed="false">
      <c r="A461" s="181"/>
      <c r="B461" s="181"/>
      <c r="C461" s="181"/>
      <c r="D461" s="181"/>
      <c r="E461" s="181"/>
      <c r="F461" s="181"/>
      <c r="G461" s="181"/>
      <c r="H461" s="181"/>
      <c r="I461" s="181"/>
      <c r="J461" s="181"/>
      <c r="K461" s="181"/>
      <c r="L461" s="181"/>
      <c r="M461" s="181"/>
      <c r="N461" s="181"/>
      <c r="O461" s="181"/>
      <c r="P461" s="181"/>
      <c r="Q461" s="181"/>
      <c r="R461" s="181"/>
      <c r="S461" s="181"/>
      <c r="T461" s="181"/>
      <c r="U461" s="181"/>
      <c r="V461" s="181"/>
      <c r="W461" s="181"/>
      <c r="X461" s="181"/>
      <c r="Y461" s="181"/>
      <c r="Z461" s="181"/>
    </row>
    <row r="462" customFormat="false" ht="15.75" hidden="false" customHeight="false" outlineLevel="0" collapsed="false">
      <c r="A462" s="181"/>
      <c r="B462" s="181"/>
      <c r="C462" s="181"/>
      <c r="D462" s="181"/>
      <c r="E462" s="181"/>
      <c r="F462" s="181"/>
      <c r="G462" s="181"/>
      <c r="H462" s="181"/>
      <c r="I462" s="181"/>
      <c r="J462" s="181"/>
      <c r="K462" s="181"/>
      <c r="L462" s="181"/>
      <c r="M462" s="181"/>
      <c r="N462" s="181"/>
      <c r="O462" s="181"/>
      <c r="P462" s="181"/>
      <c r="Q462" s="181"/>
      <c r="R462" s="181"/>
      <c r="S462" s="181"/>
      <c r="T462" s="181"/>
      <c r="U462" s="181"/>
      <c r="V462" s="181"/>
      <c r="W462" s="181"/>
      <c r="X462" s="181"/>
      <c r="Y462" s="181"/>
      <c r="Z462" s="181"/>
    </row>
    <row r="463" customFormat="false" ht="15.75" hidden="false" customHeight="false" outlineLevel="0" collapsed="false">
      <c r="A463" s="181"/>
      <c r="B463" s="181"/>
      <c r="C463" s="181"/>
      <c r="D463" s="181"/>
      <c r="E463" s="181"/>
      <c r="F463" s="181"/>
      <c r="G463" s="181"/>
      <c r="H463" s="181"/>
      <c r="I463" s="181"/>
      <c r="J463" s="181"/>
      <c r="K463" s="181"/>
      <c r="L463" s="181"/>
      <c r="M463" s="181"/>
      <c r="N463" s="181"/>
      <c r="O463" s="181"/>
      <c r="P463" s="181"/>
      <c r="Q463" s="181"/>
      <c r="R463" s="181"/>
      <c r="S463" s="181"/>
      <c r="T463" s="181"/>
      <c r="U463" s="181"/>
      <c r="V463" s="181"/>
      <c r="W463" s="181"/>
      <c r="X463" s="181"/>
      <c r="Y463" s="181"/>
      <c r="Z463" s="181"/>
    </row>
    <row r="464" customFormat="false" ht="15.75" hidden="false" customHeight="false" outlineLevel="0" collapsed="false">
      <c r="A464" s="181"/>
      <c r="B464" s="181"/>
      <c r="C464" s="181"/>
      <c r="D464" s="181"/>
      <c r="E464" s="181"/>
      <c r="F464" s="181"/>
      <c r="G464" s="181"/>
      <c r="H464" s="181"/>
      <c r="I464" s="181"/>
      <c r="J464" s="181"/>
      <c r="K464" s="181"/>
      <c r="L464" s="181"/>
      <c r="M464" s="181"/>
      <c r="N464" s="181"/>
      <c r="O464" s="181"/>
      <c r="P464" s="181"/>
      <c r="Q464" s="181"/>
      <c r="R464" s="181"/>
      <c r="S464" s="181"/>
      <c r="T464" s="181"/>
      <c r="U464" s="181"/>
      <c r="V464" s="181"/>
      <c r="W464" s="181"/>
      <c r="X464" s="181"/>
      <c r="Y464" s="181"/>
      <c r="Z464" s="181"/>
    </row>
    <row r="465" customFormat="false" ht="15.75" hidden="false" customHeight="false" outlineLevel="0" collapsed="false">
      <c r="A465" s="181"/>
      <c r="B465" s="181"/>
      <c r="C465" s="181"/>
      <c r="D465" s="181"/>
      <c r="E465" s="181"/>
      <c r="F465" s="181"/>
      <c r="G465" s="181"/>
      <c r="H465" s="181"/>
      <c r="I465" s="181"/>
      <c r="J465" s="181"/>
      <c r="K465" s="181"/>
      <c r="L465" s="181"/>
      <c r="M465" s="181"/>
      <c r="N465" s="181"/>
      <c r="O465" s="181"/>
      <c r="P465" s="181"/>
      <c r="Q465" s="181"/>
      <c r="R465" s="181"/>
      <c r="S465" s="181"/>
      <c r="T465" s="181"/>
      <c r="U465" s="181"/>
      <c r="V465" s="181"/>
      <c r="W465" s="181"/>
      <c r="X465" s="181"/>
      <c r="Y465" s="181"/>
      <c r="Z465" s="181"/>
    </row>
    <row r="466" customFormat="false" ht="15.75" hidden="false" customHeight="false" outlineLevel="0" collapsed="false">
      <c r="A466" s="181"/>
      <c r="B466" s="181"/>
      <c r="C466" s="181"/>
      <c r="D466" s="181"/>
      <c r="E466" s="181"/>
      <c r="F466" s="181"/>
      <c r="G466" s="181"/>
      <c r="H466" s="181"/>
      <c r="I466" s="181"/>
      <c r="J466" s="181"/>
      <c r="K466" s="181"/>
      <c r="L466" s="181"/>
      <c r="M466" s="181"/>
      <c r="N466" s="181"/>
      <c r="O466" s="181"/>
      <c r="P466" s="181"/>
      <c r="Q466" s="181"/>
      <c r="R466" s="181"/>
      <c r="S466" s="181"/>
      <c r="T466" s="181"/>
      <c r="U466" s="181"/>
      <c r="V466" s="181"/>
      <c r="W466" s="181"/>
      <c r="X466" s="181"/>
      <c r="Y466" s="181"/>
      <c r="Z466" s="181"/>
    </row>
    <row r="467" customFormat="false" ht="15.75" hidden="false" customHeight="false" outlineLevel="0" collapsed="false">
      <c r="A467" s="181"/>
      <c r="B467" s="181"/>
      <c r="C467" s="181"/>
      <c r="D467" s="181"/>
      <c r="E467" s="181"/>
      <c r="F467" s="181"/>
      <c r="G467" s="181"/>
      <c r="H467" s="181"/>
      <c r="I467" s="181"/>
      <c r="J467" s="181"/>
      <c r="K467" s="181"/>
      <c r="L467" s="181"/>
      <c r="M467" s="181"/>
      <c r="N467" s="181"/>
      <c r="O467" s="181"/>
      <c r="P467" s="181"/>
      <c r="Q467" s="181"/>
      <c r="R467" s="181"/>
      <c r="S467" s="181"/>
      <c r="T467" s="181"/>
      <c r="U467" s="181"/>
      <c r="V467" s="181"/>
      <c r="W467" s="181"/>
      <c r="X467" s="181"/>
      <c r="Y467" s="181"/>
      <c r="Z467" s="181"/>
    </row>
    <row r="468" customFormat="false" ht="15.75" hidden="false" customHeight="false" outlineLevel="0" collapsed="false">
      <c r="A468" s="181"/>
      <c r="B468" s="181"/>
      <c r="C468" s="181"/>
      <c r="D468" s="181"/>
      <c r="E468" s="181"/>
      <c r="F468" s="181"/>
      <c r="G468" s="181"/>
      <c r="H468" s="181"/>
      <c r="I468" s="181"/>
      <c r="J468" s="181"/>
      <c r="K468" s="181"/>
      <c r="L468" s="181"/>
      <c r="M468" s="181"/>
      <c r="N468" s="181"/>
      <c r="O468" s="181"/>
      <c r="P468" s="181"/>
      <c r="Q468" s="181"/>
      <c r="R468" s="181"/>
      <c r="S468" s="181"/>
      <c r="T468" s="181"/>
      <c r="U468" s="181"/>
      <c r="V468" s="181"/>
      <c r="W468" s="181"/>
      <c r="X468" s="181"/>
      <c r="Y468" s="181"/>
      <c r="Z468" s="181"/>
    </row>
    <row r="469" customFormat="false" ht="15.75" hidden="false" customHeight="false" outlineLevel="0" collapsed="false">
      <c r="A469" s="181"/>
      <c r="B469" s="181"/>
      <c r="C469" s="181"/>
      <c r="D469" s="181"/>
      <c r="E469" s="181"/>
      <c r="F469" s="181"/>
      <c r="G469" s="181"/>
      <c r="H469" s="181"/>
      <c r="I469" s="181"/>
      <c r="J469" s="181"/>
      <c r="K469" s="181"/>
      <c r="L469" s="181"/>
      <c r="M469" s="181"/>
      <c r="N469" s="181"/>
      <c r="O469" s="181"/>
      <c r="P469" s="181"/>
      <c r="Q469" s="181"/>
      <c r="R469" s="181"/>
      <c r="S469" s="181"/>
      <c r="T469" s="181"/>
      <c r="U469" s="181"/>
      <c r="V469" s="181"/>
      <c r="W469" s="181"/>
      <c r="X469" s="181"/>
      <c r="Y469" s="181"/>
      <c r="Z469" s="181"/>
    </row>
    <row r="470" customFormat="false" ht="15.75" hidden="false" customHeight="false" outlineLevel="0" collapsed="false">
      <c r="A470" s="181"/>
      <c r="B470" s="181"/>
      <c r="C470" s="181"/>
      <c r="D470" s="181"/>
      <c r="E470" s="181"/>
      <c r="F470" s="181"/>
      <c r="G470" s="181"/>
      <c r="H470" s="181"/>
      <c r="I470" s="181"/>
      <c r="J470" s="181"/>
      <c r="K470" s="181"/>
      <c r="L470" s="181"/>
      <c r="M470" s="181"/>
      <c r="N470" s="181"/>
      <c r="O470" s="181"/>
      <c r="P470" s="181"/>
      <c r="Q470" s="181"/>
      <c r="R470" s="181"/>
      <c r="S470" s="181"/>
      <c r="T470" s="181"/>
      <c r="U470" s="181"/>
      <c r="V470" s="181"/>
      <c r="W470" s="181"/>
      <c r="X470" s="181"/>
      <c r="Y470" s="181"/>
      <c r="Z470" s="181"/>
    </row>
    <row r="471" customFormat="false" ht="15.75" hidden="false" customHeight="false" outlineLevel="0" collapsed="false">
      <c r="A471" s="181"/>
      <c r="B471" s="181"/>
      <c r="C471" s="181"/>
      <c r="D471" s="181"/>
      <c r="E471" s="181"/>
      <c r="F471" s="181"/>
      <c r="G471" s="181"/>
      <c r="H471" s="181"/>
      <c r="I471" s="181"/>
      <c r="J471" s="181"/>
      <c r="K471" s="181"/>
      <c r="L471" s="181"/>
      <c r="M471" s="181"/>
      <c r="N471" s="181"/>
      <c r="O471" s="181"/>
      <c r="P471" s="181"/>
      <c r="Q471" s="181"/>
      <c r="R471" s="181"/>
      <c r="S471" s="181"/>
      <c r="T471" s="181"/>
      <c r="U471" s="181"/>
      <c r="V471" s="181"/>
      <c r="W471" s="181"/>
      <c r="X471" s="181"/>
      <c r="Y471" s="181"/>
      <c r="Z471" s="181"/>
    </row>
    <row r="472" customFormat="false" ht="15.75" hidden="false" customHeight="false" outlineLevel="0" collapsed="false">
      <c r="A472" s="181"/>
      <c r="B472" s="181"/>
      <c r="C472" s="181"/>
      <c r="D472" s="181"/>
      <c r="E472" s="181"/>
      <c r="F472" s="181"/>
      <c r="G472" s="181"/>
      <c r="H472" s="181"/>
      <c r="I472" s="181"/>
      <c r="J472" s="181"/>
      <c r="K472" s="181"/>
      <c r="L472" s="181"/>
      <c r="M472" s="181"/>
      <c r="N472" s="181"/>
      <c r="O472" s="181"/>
      <c r="P472" s="181"/>
      <c r="Q472" s="181"/>
      <c r="R472" s="181"/>
      <c r="S472" s="181"/>
      <c r="T472" s="181"/>
      <c r="U472" s="181"/>
      <c r="V472" s="181"/>
      <c r="W472" s="181"/>
      <c r="X472" s="181"/>
      <c r="Y472" s="181"/>
      <c r="Z472" s="181"/>
    </row>
    <row r="473" customFormat="false" ht="15.75" hidden="false" customHeight="false" outlineLevel="0" collapsed="false">
      <c r="A473" s="181"/>
      <c r="B473" s="181"/>
      <c r="C473" s="181"/>
      <c r="D473" s="181"/>
      <c r="E473" s="181"/>
      <c r="F473" s="181"/>
      <c r="G473" s="181"/>
      <c r="H473" s="181"/>
      <c r="I473" s="181"/>
      <c r="J473" s="181"/>
      <c r="K473" s="181"/>
      <c r="L473" s="181"/>
      <c r="M473" s="181"/>
      <c r="N473" s="181"/>
      <c r="O473" s="181"/>
      <c r="P473" s="181"/>
      <c r="Q473" s="181"/>
      <c r="R473" s="181"/>
      <c r="S473" s="181"/>
      <c r="T473" s="181"/>
      <c r="U473" s="181"/>
      <c r="V473" s="181"/>
      <c r="W473" s="181"/>
      <c r="X473" s="181"/>
      <c r="Y473" s="181"/>
      <c r="Z473" s="181"/>
    </row>
    <row r="474" customFormat="false" ht="15.75" hidden="false" customHeight="false" outlineLevel="0" collapsed="false">
      <c r="A474" s="181"/>
      <c r="B474" s="181"/>
      <c r="C474" s="181"/>
      <c r="D474" s="181"/>
      <c r="E474" s="181"/>
      <c r="F474" s="181"/>
      <c r="G474" s="181"/>
      <c r="H474" s="181"/>
      <c r="I474" s="181"/>
      <c r="J474" s="181"/>
      <c r="K474" s="181"/>
      <c r="L474" s="181"/>
      <c r="M474" s="181"/>
      <c r="N474" s="181"/>
      <c r="O474" s="181"/>
      <c r="P474" s="181"/>
      <c r="Q474" s="181"/>
      <c r="R474" s="181"/>
      <c r="S474" s="181"/>
      <c r="T474" s="181"/>
      <c r="U474" s="181"/>
      <c r="V474" s="181"/>
      <c r="W474" s="181"/>
      <c r="X474" s="181"/>
      <c r="Y474" s="181"/>
      <c r="Z474" s="181"/>
    </row>
    <row r="475" customFormat="false" ht="15.75" hidden="false" customHeight="false" outlineLevel="0" collapsed="false">
      <c r="A475" s="181"/>
      <c r="B475" s="181"/>
      <c r="C475" s="181"/>
      <c r="D475" s="181"/>
      <c r="E475" s="181"/>
      <c r="F475" s="181"/>
      <c r="G475" s="181"/>
      <c r="H475" s="181"/>
      <c r="I475" s="181"/>
      <c r="J475" s="181"/>
      <c r="K475" s="181"/>
      <c r="L475" s="181"/>
      <c r="M475" s="181"/>
      <c r="N475" s="181"/>
      <c r="O475" s="181"/>
      <c r="P475" s="181"/>
      <c r="Q475" s="181"/>
      <c r="R475" s="181"/>
      <c r="S475" s="181"/>
      <c r="T475" s="181"/>
      <c r="U475" s="181"/>
      <c r="V475" s="181"/>
      <c r="W475" s="181"/>
      <c r="X475" s="181"/>
      <c r="Y475" s="181"/>
      <c r="Z475" s="181"/>
    </row>
    <row r="476" customFormat="false" ht="15.75" hidden="false" customHeight="false" outlineLevel="0" collapsed="false">
      <c r="A476" s="181"/>
      <c r="B476" s="181"/>
      <c r="C476" s="181"/>
      <c r="D476" s="181"/>
      <c r="E476" s="181"/>
      <c r="F476" s="181"/>
      <c r="G476" s="181"/>
      <c r="H476" s="181"/>
      <c r="I476" s="181"/>
      <c r="J476" s="181"/>
      <c r="K476" s="181"/>
      <c r="L476" s="181"/>
      <c r="M476" s="181"/>
      <c r="N476" s="181"/>
      <c r="O476" s="181"/>
      <c r="P476" s="181"/>
      <c r="Q476" s="181"/>
      <c r="R476" s="181"/>
      <c r="S476" s="181"/>
      <c r="T476" s="181"/>
      <c r="U476" s="181"/>
      <c r="V476" s="181"/>
      <c r="W476" s="181"/>
      <c r="X476" s="181"/>
      <c r="Y476" s="181"/>
      <c r="Z476" s="181"/>
    </row>
    <row r="477" customFormat="false" ht="15.75" hidden="false" customHeight="false" outlineLevel="0" collapsed="false">
      <c r="A477" s="181"/>
      <c r="B477" s="181"/>
      <c r="C477" s="181"/>
      <c r="D477" s="181"/>
      <c r="E477" s="181"/>
      <c r="F477" s="181"/>
      <c r="G477" s="181"/>
      <c r="H477" s="181"/>
      <c r="I477" s="181"/>
      <c r="J477" s="181"/>
      <c r="K477" s="181"/>
      <c r="L477" s="181"/>
      <c r="M477" s="181"/>
      <c r="N477" s="181"/>
      <c r="O477" s="181"/>
      <c r="P477" s="181"/>
      <c r="Q477" s="181"/>
      <c r="R477" s="181"/>
      <c r="S477" s="181"/>
      <c r="T477" s="181"/>
      <c r="U477" s="181"/>
      <c r="V477" s="181"/>
      <c r="W477" s="181"/>
      <c r="X477" s="181"/>
      <c r="Y477" s="181"/>
      <c r="Z477" s="181"/>
    </row>
    <row r="478" customFormat="false" ht="15.75" hidden="false" customHeight="false" outlineLevel="0" collapsed="false">
      <c r="A478" s="181"/>
      <c r="B478" s="181"/>
      <c r="C478" s="181"/>
      <c r="D478" s="181"/>
      <c r="E478" s="181"/>
      <c r="F478" s="181"/>
      <c r="G478" s="181"/>
      <c r="H478" s="181"/>
      <c r="I478" s="181"/>
      <c r="J478" s="181"/>
      <c r="K478" s="181"/>
      <c r="L478" s="181"/>
      <c r="M478" s="181"/>
      <c r="N478" s="181"/>
      <c r="O478" s="181"/>
      <c r="P478" s="181"/>
      <c r="Q478" s="181"/>
      <c r="R478" s="181"/>
      <c r="S478" s="181"/>
      <c r="T478" s="181"/>
      <c r="U478" s="181"/>
      <c r="V478" s="181"/>
      <c r="W478" s="181"/>
      <c r="X478" s="181"/>
      <c r="Y478" s="181"/>
      <c r="Z478" s="181"/>
    </row>
    <row r="479" customFormat="false" ht="15.75" hidden="false" customHeight="false" outlineLevel="0" collapsed="false">
      <c r="A479" s="181"/>
      <c r="B479" s="181"/>
      <c r="C479" s="181"/>
      <c r="D479" s="181"/>
      <c r="E479" s="181"/>
      <c r="F479" s="181"/>
      <c r="G479" s="181"/>
      <c r="H479" s="181"/>
      <c r="I479" s="181"/>
      <c r="J479" s="181"/>
      <c r="K479" s="181"/>
      <c r="L479" s="181"/>
      <c r="M479" s="181"/>
      <c r="N479" s="181"/>
      <c r="O479" s="181"/>
      <c r="P479" s="181"/>
      <c r="Q479" s="181"/>
      <c r="R479" s="181"/>
      <c r="S479" s="181"/>
      <c r="T479" s="181"/>
      <c r="U479" s="181"/>
      <c r="V479" s="181"/>
      <c r="W479" s="181"/>
      <c r="X479" s="181"/>
      <c r="Y479" s="181"/>
      <c r="Z479" s="181"/>
    </row>
    <row r="480" customFormat="false" ht="15.75" hidden="false" customHeight="false" outlineLevel="0" collapsed="false">
      <c r="A480" s="181"/>
      <c r="B480" s="181"/>
      <c r="C480" s="181"/>
      <c r="D480" s="181"/>
      <c r="E480" s="181"/>
      <c r="F480" s="181"/>
      <c r="G480" s="181"/>
      <c r="H480" s="181"/>
      <c r="I480" s="181"/>
      <c r="J480" s="181"/>
      <c r="K480" s="181"/>
      <c r="L480" s="181"/>
      <c r="M480" s="181"/>
      <c r="N480" s="181"/>
      <c r="O480" s="181"/>
      <c r="P480" s="181"/>
      <c r="Q480" s="181"/>
      <c r="R480" s="181"/>
      <c r="S480" s="181"/>
      <c r="T480" s="181"/>
      <c r="U480" s="181"/>
      <c r="V480" s="181"/>
      <c r="W480" s="181"/>
      <c r="X480" s="181"/>
      <c r="Y480" s="181"/>
      <c r="Z480" s="181"/>
    </row>
    <row r="481" customFormat="false" ht="15.75" hidden="false" customHeight="false" outlineLevel="0" collapsed="false">
      <c r="A481" s="181"/>
      <c r="B481" s="181"/>
      <c r="C481" s="181"/>
      <c r="D481" s="181"/>
      <c r="E481" s="181"/>
      <c r="F481" s="181"/>
      <c r="G481" s="181"/>
      <c r="H481" s="181"/>
      <c r="I481" s="181"/>
      <c r="J481" s="181"/>
      <c r="K481" s="181"/>
      <c r="L481" s="181"/>
      <c r="M481" s="181"/>
      <c r="N481" s="181"/>
      <c r="O481" s="181"/>
      <c r="P481" s="181"/>
      <c r="Q481" s="181"/>
      <c r="R481" s="181"/>
      <c r="S481" s="181"/>
      <c r="T481" s="181"/>
      <c r="U481" s="181"/>
      <c r="V481" s="181"/>
      <c r="W481" s="181"/>
      <c r="X481" s="181"/>
      <c r="Y481" s="181"/>
      <c r="Z481" s="181"/>
    </row>
    <row r="482" customFormat="false" ht="15.75" hidden="false" customHeight="false" outlineLevel="0" collapsed="false">
      <c r="A482" s="181"/>
      <c r="B482" s="181"/>
      <c r="C482" s="181"/>
      <c r="D482" s="181"/>
      <c r="E482" s="181"/>
      <c r="F482" s="181"/>
      <c r="G482" s="181"/>
      <c r="H482" s="181"/>
      <c r="I482" s="181"/>
      <c r="J482" s="181"/>
      <c r="K482" s="181"/>
      <c r="L482" s="181"/>
      <c r="M482" s="181"/>
      <c r="N482" s="181"/>
      <c r="O482" s="181"/>
      <c r="P482" s="181"/>
      <c r="Q482" s="181"/>
      <c r="R482" s="181"/>
      <c r="S482" s="181"/>
      <c r="T482" s="181"/>
      <c r="U482" s="181"/>
      <c r="V482" s="181"/>
      <c r="W482" s="181"/>
      <c r="X482" s="181"/>
      <c r="Y482" s="181"/>
      <c r="Z482" s="181"/>
    </row>
    <row r="483" customFormat="false" ht="15.75" hidden="false" customHeight="false" outlineLevel="0" collapsed="false">
      <c r="A483" s="181"/>
      <c r="B483" s="181"/>
      <c r="C483" s="181"/>
      <c r="D483" s="181"/>
      <c r="E483" s="181"/>
      <c r="F483" s="181"/>
      <c r="G483" s="181"/>
      <c r="H483" s="181"/>
      <c r="I483" s="181"/>
      <c r="J483" s="181"/>
      <c r="K483" s="181"/>
      <c r="L483" s="181"/>
      <c r="M483" s="181"/>
      <c r="N483" s="181"/>
      <c r="O483" s="181"/>
      <c r="P483" s="181"/>
      <c r="Q483" s="181"/>
      <c r="R483" s="181"/>
      <c r="S483" s="181"/>
      <c r="T483" s="181"/>
      <c r="U483" s="181"/>
      <c r="V483" s="181"/>
      <c r="W483" s="181"/>
      <c r="X483" s="181"/>
      <c r="Y483" s="181"/>
      <c r="Z483" s="181"/>
    </row>
    <row r="484" customFormat="false" ht="15.75" hidden="false" customHeight="false" outlineLevel="0" collapsed="false">
      <c r="A484" s="181"/>
      <c r="B484" s="181"/>
      <c r="C484" s="181"/>
      <c r="D484" s="181"/>
      <c r="E484" s="181"/>
      <c r="F484" s="181"/>
      <c r="G484" s="181"/>
      <c r="H484" s="181"/>
      <c r="I484" s="181"/>
      <c r="J484" s="181"/>
      <c r="K484" s="181"/>
      <c r="L484" s="181"/>
      <c r="M484" s="181"/>
      <c r="N484" s="181"/>
      <c r="O484" s="181"/>
      <c r="P484" s="181"/>
      <c r="Q484" s="181"/>
      <c r="R484" s="181"/>
      <c r="S484" s="181"/>
      <c r="T484" s="181"/>
      <c r="U484" s="181"/>
      <c r="V484" s="181"/>
      <c r="W484" s="181"/>
      <c r="X484" s="181"/>
      <c r="Y484" s="181"/>
      <c r="Z484" s="181"/>
    </row>
    <row r="485" customFormat="false" ht="15.75" hidden="false" customHeight="false" outlineLevel="0" collapsed="false">
      <c r="A485" s="181"/>
      <c r="B485" s="181"/>
      <c r="C485" s="181"/>
      <c r="D485" s="181"/>
      <c r="E485" s="181"/>
      <c r="F485" s="181"/>
      <c r="G485" s="181"/>
      <c r="H485" s="181"/>
      <c r="I485" s="181"/>
      <c r="J485" s="181"/>
      <c r="K485" s="181"/>
      <c r="L485" s="181"/>
      <c r="M485" s="181"/>
      <c r="N485" s="181"/>
      <c r="O485" s="181"/>
      <c r="P485" s="181"/>
      <c r="Q485" s="181"/>
      <c r="R485" s="181"/>
      <c r="S485" s="181"/>
      <c r="T485" s="181"/>
      <c r="U485" s="181"/>
      <c r="V485" s="181"/>
      <c r="W485" s="181"/>
      <c r="X485" s="181"/>
      <c r="Y485" s="181"/>
      <c r="Z485" s="181"/>
    </row>
    <row r="486" customFormat="false" ht="15.75" hidden="false" customHeight="false" outlineLevel="0" collapsed="false">
      <c r="A486" s="181"/>
      <c r="B486" s="181"/>
      <c r="C486" s="181"/>
      <c r="D486" s="181"/>
      <c r="E486" s="181"/>
      <c r="F486" s="181"/>
      <c r="G486" s="181"/>
      <c r="H486" s="181"/>
      <c r="I486" s="181"/>
      <c r="J486" s="181"/>
      <c r="K486" s="181"/>
      <c r="L486" s="181"/>
      <c r="M486" s="181"/>
      <c r="N486" s="181"/>
      <c r="O486" s="181"/>
      <c r="P486" s="181"/>
      <c r="Q486" s="181"/>
      <c r="R486" s="181"/>
      <c r="S486" s="181"/>
      <c r="T486" s="181"/>
      <c r="U486" s="181"/>
      <c r="V486" s="181"/>
      <c r="W486" s="181"/>
      <c r="X486" s="181"/>
      <c r="Y486" s="181"/>
      <c r="Z486" s="181"/>
    </row>
    <row r="487" customFormat="false" ht="15.75" hidden="false" customHeight="false" outlineLevel="0" collapsed="false">
      <c r="A487" s="181"/>
      <c r="B487" s="181"/>
      <c r="C487" s="181"/>
      <c r="D487" s="181"/>
      <c r="E487" s="181"/>
      <c r="F487" s="181"/>
      <c r="G487" s="181"/>
      <c r="H487" s="181"/>
      <c r="I487" s="181"/>
      <c r="J487" s="181"/>
      <c r="K487" s="181"/>
      <c r="L487" s="181"/>
      <c r="M487" s="181"/>
      <c r="N487" s="181"/>
      <c r="O487" s="181"/>
      <c r="P487" s="181"/>
      <c r="Q487" s="181"/>
      <c r="R487" s="181"/>
      <c r="S487" s="181"/>
      <c r="T487" s="181"/>
      <c r="U487" s="181"/>
      <c r="V487" s="181"/>
      <c r="W487" s="181"/>
      <c r="X487" s="181"/>
      <c r="Y487" s="181"/>
      <c r="Z487" s="181"/>
    </row>
    <row r="488" customFormat="false" ht="15.75" hidden="false" customHeight="false" outlineLevel="0" collapsed="false">
      <c r="A488" s="181"/>
      <c r="B488" s="181"/>
      <c r="C488" s="181"/>
      <c r="D488" s="181"/>
      <c r="E488" s="181"/>
      <c r="F488" s="181"/>
      <c r="G488" s="181"/>
      <c r="H488" s="181"/>
      <c r="I488" s="181"/>
      <c r="J488" s="181"/>
      <c r="K488" s="181"/>
      <c r="L488" s="181"/>
      <c r="M488" s="181"/>
      <c r="N488" s="181"/>
      <c r="O488" s="181"/>
      <c r="P488" s="181"/>
      <c r="Q488" s="181"/>
      <c r="R488" s="181"/>
      <c r="S488" s="181"/>
      <c r="T488" s="181"/>
      <c r="U488" s="181"/>
      <c r="V488" s="181"/>
      <c r="W488" s="181"/>
      <c r="X488" s="181"/>
      <c r="Y488" s="181"/>
      <c r="Z488" s="181"/>
    </row>
    <row r="489" customFormat="false" ht="15.75" hidden="false" customHeight="false" outlineLevel="0" collapsed="false">
      <c r="A489" s="181"/>
      <c r="B489" s="181"/>
      <c r="C489" s="181"/>
      <c r="D489" s="181"/>
      <c r="E489" s="181"/>
      <c r="F489" s="181"/>
      <c r="G489" s="181"/>
      <c r="H489" s="181"/>
      <c r="I489" s="181"/>
      <c r="J489" s="181"/>
      <c r="K489" s="181"/>
      <c r="L489" s="181"/>
      <c r="M489" s="181"/>
      <c r="N489" s="181"/>
      <c r="O489" s="181"/>
      <c r="P489" s="181"/>
      <c r="Q489" s="181"/>
      <c r="R489" s="181"/>
      <c r="S489" s="181"/>
      <c r="T489" s="181"/>
      <c r="U489" s="181"/>
      <c r="V489" s="181"/>
      <c r="W489" s="181"/>
      <c r="X489" s="181"/>
      <c r="Y489" s="181"/>
      <c r="Z489" s="181"/>
    </row>
    <row r="490" customFormat="false" ht="15.75" hidden="false" customHeight="false" outlineLevel="0" collapsed="false">
      <c r="A490" s="181"/>
      <c r="B490" s="181"/>
      <c r="C490" s="181"/>
      <c r="D490" s="181"/>
      <c r="E490" s="181"/>
      <c r="F490" s="181"/>
      <c r="G490" s="181"/>
      <c r="H490" s="181"/>
      <c r="I490" s="181"/>
      <c r="J490" s="181"/>
      <c r="K490" s="181"/>
      <c r="L490" s="181"/>
      <c r="M490" s="181"/>
      <c r="N490" s="181"/>
      <c r="O490" s="181"/>
      <c r="P490" s="181"/>
      <c r="Q490" s="181"/>
      <c r="R490" s="181"/>
      <c r="S490" s="181"/>
      <c r="T490" s="181"/>
      <c r="U490" s="181"/>
      <c r="V490" s="181"/>
      <c r="W490" s="181"/>
      <c r="X490" s="181"/>
      <c r="Y490" s="181"/>
      <c r="Z490" s="181"/>
    </row>
    <row r="491" customFormat="false" ht="15.75" hidden="false" customHeight="false" outlineLevel="0" collapsed="false">
      <c r="A491" s="181"/>
      <c r="B491" s="181"/>
      <c r="C491" s="181"/>
      <c r="D491" s="181"/>
      <c r="E491" s="181"/>
      <c r="F491" s="181"/>
      <c r="G491" s="181"/>
      <c r="H491" s="181"/>
      <c r="I491" s="181"/>
      <c r="J491" s="181"/>
      <c r="K491" s="181"/>
      <c r="L491" s="181"/>
      <c r="M491" s="181"/>
      <c r="N491" s="181"/>
      <c r="O491" s="181"/>
      <c r="P491" s="181"/>
      <c r="Q491" s="181"/>
      <c r="R491" s="181"/>
      <c r="S491" s="181"/>
      <c r="T491" s="181"/>
      <c r="U491" s="181"/>
      <c r="V491" s="181"/>
      <c r="W491" s="181"/>
      <c r="X491" s="181"/>
      <c r="Y491" s="181"/>
      <c r="Z491" s="181"/>
    </row>
    <row r="492" customFormat="false" ht="15.75" hidden="false" customHeight="false" outlineLevel="0" collapsed="false">
      <c r="A492" s="181"/>
      <c r="B492" s="181"/>
      <c r="C492" s="181"/>
      <c r="D492" s="181"/>
      <c r="E492" s="181"/>
      <c r="F492" s="181"/>
      <c r="G492" s="181"/>
      <c r="H492" s="181"/>
      <c r="I492" s="181"/>
      <c r="J492" s="181"/>
      <c r="K492" s="181"/>
      <c r="L492" s="181"/>
      <c r="M492" s="181"/>
      <c r="N492" s="181"/>
      <c r="O492" s="181"/>
      <c r="P492" s="181"/>
      <c r="Q492" s="181"/>
      <c r="R492" s="181"/>
      <c r="S492" s="181"/>
      <c r="T492" s="181"/>
      <c r="U492" s="181"/>
      <c r="V492" s="181"/>
      <c r="W492" s="181"/>
      <c r="X492" s="181"/>
      <c r="Y492" s="181"/>
      <c r="Z492" s="181"/>
    </row>
    <row r="493" customFormat="false" ht="15.75" hidden="false" customHeight="false" outlineLevel="0" collapsed="false">
      <c r="A493" s="181"/>
      <c r="B493" s="181"/>
      <c r="C493" s="181"/>
      <c r="D493" s="181"/>
      <c r="E493" s="181"/>
      <c r="F493" s="181"/>
      <c r="G493" s="181"/>
      <c r="H493" s="181"/>
      <c r="I493" s="181"/>
      <c r="J493" s="181"/>
      <c r="K493" s="181"/>
      <c r="L493" s="181"/>
      <c r="M493" s="181"/>
      <c r="N493" s="181"/>
      <c r="O493" s="181"/>
      <c r="P493" s="181"/>
      <c r="Q493" s="181"/>
      <c r="R493" s="181"/>
      <c r="S493" s="181"/>
      <c r="T493" s="181"/>
      <c r="U493" s="181"/>
      <c r="V493" s="181"/>
      <c r="W493" s="181"/>
      <c r="X493" s="181"/>
      <c r="Y493" s="181"/>
      <c r="Z493" s="181"/>
    </row>
    <row r="494" customFormat="false" ht="15.75" hidden="false" customHeight="false" outlineLevel="0" collapsed="false">
      <c r="A494" s="181"/>
      <c r="B494" s="181"/>
      <c r="C494" s="181"/>
      <c r="D494" s="181"/>
      <c r="E494" s="181"/>
      <c r="F494" s="181"/>
      <c r="G494" s="181"/>
      <c r="H494" s="181"/>
      <c r="I494" s="181"/>
      <c r="J494" s="181"/>
      <c r="K494" s="181"/>
      <c r="L494" s="181"/>
      <c r="M494" s="181"/>
      <c r="N494" s="181"/>
      <c r="O494" s="181"/>
      <c r="P494" s="181"/>
      <c r="Q494" s="181"/>
      <c r="R494" s="181"/>
      <c r="S494" s="181"/>
      <c r="T494" s="181"/>
      <c r="U494" s="181"/>
      <c r="V494" s="181"/>
      <c r="W494" s="181"/>
      <c r="X494" s="181"/>
      <c r="Y494" s="181"/>
      <c r="Z494" s="181"/>
    </row>
    <row r="495" customFormat="false" ht="15.75" hidden="false" customHeight="false" outlineLevel="0" collapsed="false">
      <c r="A495" s="181"/>
      <c r="B495" s="181"/>
      <c r="C495" s="181"/>
      <c r="D495" s="181"/>
      <c r="E495" s="181"/>
      <c r="F495" s="181"/>
      <c r="G495" s="181"/>
      <c r="H495" s="181"/>
      <c r="I495" s="181"/>
      <c r="J495" s="181"/>
      <c r="K495" s="181"/>
      <c r="L495" s="181"/>
      <c r="M495" s="181"/>
      <c r="N495" s="181"/>
      <c r="O495" s="181"/>
      <c r="P495" s="181"/>
      <c r="Q495" s="181"/>
      <c r="R495" s="181"/>
      <c r="S495" s="181"/>
      <c r="T495" s="181"/>
      <c r="U495" s="181"/>
      <c r="V495" s="181"/>
      <c r="W495" s="181"/>
      <c r="X495" s="181"/>
      <c r="Y495" s="181"/>
      <c r="Z495" s="181"/>
    </row>
    <row r="496" customFormat="false" ht="15.75" hidden="false" customHeight="false" outlineLevel="0" collapsed="false">
      <c r="A496" s="181"/>
      <c r="B496" s="181"/>
      <c r="C496" s="181"/>
      <c r="D496" s="181"/>
      <c r="E496" s="181"/>
      <c r="F496" s="181"/>
      <c r="G496" s="181"/>
      <c r="H496" s="181"/>
      <c r="I496" s="181"/>
      <c r="J496" s="181"/>
      <c r="K496" s="181"/>
      <c r="L496" s="181"/>
      <c r="M496" s="181"/>
      <c r="N496" s="181"/>
      <c r="O496" s="181"/>
      <c r="P496" s="181"/>
      <c r="Q496" s="181"/>
      <c r="R496" s="181"/>
      <c r="S496" s="181"/>
      <c r="T496" s="181"/>
      <c r="U496" s="181"/>
      <c r="V496" s="181"/>
      <c r="W496" s="181"/>
      <c r="X496" s="181"/>
      <c r="Y496" s="181"/>
      <c r="Z496" s="181"/>
    </row>
    <row r="497" customFormat="false" ht="15.75" hidden="false" customHeight="false" outlineLevel="0" collapsed="false">
      <c r="A497" s="181"/>
      <c r="B497" s="181"/>
      <c r="C497" s="181"/>
      <c r="D497" s="181"/>
      <c r="E497" s="181"/>
      <c r="F497" s="181"/>
      <c r="G497" s="181"/>
      <c r="H497" s="181"/>
      <c r="I497" s="181"/>
      <c r="J497" s="181"/>
      <c r="K497" s="181"/>
      <c r="L497" s="181"/>
      <c r="M497" s="181"/>
      <c r="N497" s="181"/>
      <c r="O497" s="181"/>
      <c r="P497" s="181"/>
      <c r="Q497" s="181"/>
      <c r="R497" s="181"/>
      <c r="S497" s="181"/>
      <c r="T497" s="181"/>
      <c r="U497" s="181"/>
      <c r="V497" s="181"/>
      <c r="W497" s="181"/>
      <c r="X497" s="181"/>
      <c r="Y497" s="181"/>
      <c r="Z497" s="181"/>
    </row>
    <row r="498" customFormat="false" ht="15.75" hidden="false" customHeight="false" outlineLevel="0" collapsed="false">
      <c r="A498" s="181"/>
      <c r="B498" s="181"/>
      <c r="C498" s="181"/>
      <c r="D498" s="181"/>
      <c r="E498" s="181"/>
      <c r="F498" s="181"/>
      <c r="G498" s="181"/>
      <c r="H498" s="181"/>
      <c r="I498" s="181"/>
      <c r="J498" s="181"/>
      <c r="K498" s="181"/>
      <c r="L498" s="181"/>
      <c r="M498" s="181"/>
      <c r="N498" s="181"/>
      <c r="O498" s="181"/>
      <c r="P498" s="181"/>
      <c r="Q498" s="181"/>
      <c r="R498" s="181"/>
      <c r="S498" s="181"/>
      <c r="T498" s="181"/>
      <c r="U498" s="181"/>
      <c r="V498" s="181"/>
      <c r="W498" s="181"/>
      <c r="X498" s="181"/>
      <c r="Y498" s="181"/>
      <c r="Z498" s="181"/>
    </row>
    <row r="499" customFormat="false" ht="15.75" hidden="false" customHeight="false" outlineLevel="0" collapsed="false">
      <c r="A499" s="181"/>
      <c r="B499" s="181"/>
      <c r="C499" s="181"/>
      <c r="D499" s="181"/>
      <c r="E499" s="181"/>
      <c r="F499" s="181"/>
      <c r="G499" s="181"/>
      <c r="H499" s="181"/>
      <c r="I499" s="181"/>
      <c r="J499" s="181"/>
      <c r="K499" s="181"/>
      <c r="L499" s="181"/>
      <c r="M499" s="181"/>
      <c r="N499" s="181"/>
      <c r="O499" s="181"/>
      <c r="P499" s="181"/>
      <c r="Q499" s="181"/>
      <c r="R499" s="181"/>
      <c r="S499" s="181"/>
      <c r="T499" s="181"/>
      <c r="U499" s="181"/>
      <c r="V499" s="181"/>
      <c r="W499" s="181"/>
      <c r="X499" s="181"/>
      <c r="Y499" s="181"/>
      <c r="Z499" s="181"/>
    </row>
    <row r="500" customFormat="false" ht="15.75" hidden="false" customHeight="false" outlineLevel="0" collapsed="false">
      <c r="A500" s="181"/>
      <c r="B500" s="181"/>
      <c r="C500" s="181"/>
      <c r="D500" s="181"/>
      <c r="E500" s="181"/>
      <c r="F500" s="181"/>
      <c r="G500" s="181"/>
      <c r="H500" s="181"/>
      <c r="I500" s="181"/>
      <c r="J500" s="181"/>
      <c r="K500" s="181"/>
      <c r="L500" s="181"/>
      <c r="M500" s="181"/>
      <c r="N500" s="181"/>
      <c r="O500" s="181"/>
      <c r="P500" s="181"/>
      <c r="Q500" s="181"/>
      <c r="R500" s="181"/>
      <c r="S500" s="181"/>
      <c r="T500" s="181"/>
      <c r="U500" s="181"/>
      <c r="V500" s="181"/>
      <c r="W500" s="181"/>
      <c r="X500" s="181"/>
      <c r="Y500" s="181"/>
      <c r="Z500" s="181"/>
    </row>
    <row r="501" customFormat="false" ht="15.75" hidden="false" customHeight="false" outlineLevel="0" collapsed="false">
      <c r="A501" s="181"/>
      <c r="B501" s="181"/>
      <c r="C501" s="181"/>
      <c r="D501" s="181"/>
      <c r="E501" s="181"/>
      <c r="F501" s="181"/>
      <c r="G501" s="181"/>
      <c r="H501" s="181"/>
      <c r="I501" s="181"/>
      <c r="J501" s="181"/>
      <c r="K501" s="181"/>
      <c r="L501" s="181"/>
      <c r="M501" s="181"/>
      <c r="N501" s="181"/>
      <c r="O501" s="181"/>
      <c r="P501" s="181"/>
      <c r="Q501" s="181"/>
      <c r="R501" s="181"/>
      <c r="S501" s="181"/>
      <c r="T501" s="181"/>
      <c r="U501" s="181"/>
      <c r="V501" s="181"/>
      <c r="W501" s="181"/>
      <c r="X501" s="181"/>
      <c r="Y501" s="181"/>
      <c r="Z501" s="181"/>
    </row>
    <row r="502" customFormat="false" ht="15.75" hidden="false" customHeight="false" outlineLevel="0" collapsed="false">
      <c r="A502" s="181"/>
      <c r="B502" s="181"/>
      <c r="C502" s="181"/>
      <c r="D502" s="181"/>
      <c r="E502" s="181"/>
      <c r="F502" s="181"/>
      <c r="G502" s="181"/>
      <c r="H502" s="181"/>
      <c r="I502" s="181"/>
      <c r="J502" s="181"/>
      <c r="K502" s="181"/>
      <c r="L502" s="181"/>
      <c r="M502" s="181"/>
      <c r="N502" s="181"/>
      <c r="O502" s="181"/>
      <c r="P502" s="181"/>
      <c r="Q502" s="181"/>
      <c r="R502" s="181"/>
      <c r="S502" s="181"/>
      <c r="T502" s="181"/>
      <c r="U502" s="181"/>
      <c r="V502" s="181"/>
      <c r="W502" s="181"/>
      <c r="X502" s="181"/>
      <c r="Y502" s="181"/>
      <c r="Z502" s="181"/>
    </row>
    <row r="503" customFormat="false" ht="15.75" hidden="false" customHeight="false" outlineLevel="0" collapsed="false">
      <c r="A503" s="181"/>
      <c r="B503" s="181"/>
      <c r="C503" s="181"/>
      <c r="D503" s="181"/>
      <c r="E503" s="181"/>
      <c r="F503" s="181"/>
      <c r="G503" s="181"/>
      <c r="H503" s="181"/>
      <c r="I503" s="181"/>
      <c r="J503" s="181"/>
      <c r="K503" s="181"/>
      <c r="L503" s="181"/>
      <c r="M503" s="181"/>
      <c r="N503" s="181"/>
      <c r="O503" s="181"/>
      <c r="P503" s="181"/>
      <c r="Q503" s="181"/>
      <c r="R503" s="181"/>
      <c r="S503" s="181"/>
      <c r="T503" s="181"/>
      <c r="U503" s="181"/>
      <c r="V503" s="181"/>
      <c r="W503" s="181"/>
      <c r="X503" s="181"/>
      <c r="Y503" s="181"/>
      <c r="Z503" s="181"/>
    </row>
    <row r="504" customFormat="false" ht="15.75" hidden="false" customHeight="false" outlineLevel="0" collapsed="false">
      <c r="A504" s="181"/>
      <c r="B504" s="181"/>
      <c r="C504" s="181"/>
      <c r="D504" s="181"/>
      <c r="E504" s="181"/>
      <c r="F504" s="181"/>
      <c r="G504" s="181"/>
      <c r="H504" s="181"/>
      <c r="I504" s="181"/>
      <c r="J504" s="181"/>
      <c r="K504" s="181"/>
      <c r="L504" s="181"/>
      <c r="M504" s="181"/>
      <c r="N504" s="181"/>
      <c r="O504" s="181"/>
      <c r="P504" s="181"/>
      <c r="Q504" s="181"/>
      <c r="R504" s="181"/>
      <c r="S504" s="181"/>
      <c r="T504" s="181"/>
      <c r="U504" s="181"/>
      <c r="V504" s="181"/>
      <c r="W504" s="181"/>
      <c r="X504" s="181"/>
      <c r="Y504" s="181"/>
      <c r="Z504" s="181"/>
    </row>
    <row r="505" customFormat="false" ht="15.75" hidden="false" customHeight="false" outlineLevel="0" collapsed="false">
      <c r="A505" s="181"/>
      <c r="B505" s="181"/>
      <c r="C505" s="181"/>
      <c r="D505" s="181"/>
      <c r="E505" s="181"/>
      <c r="F505" s="181"/>
      <c r="G505" s="181"/>
      <c r="H505" s="181"/>
      <c r="I505" s="181"/>
      <c r="J505" s="181"/>
      <c r="K505" s="181"/>
      <c r="L505" s="181"/>
      <c r="M505" s="181"/>
      <c r="N505" s="181"/>
      <c r="O505" s="181"/>
      <c r="P505" s="181"/>
      <c r="Q505" s="181"/>
      <c r="R505" s="181"/>
      <c r="S505" s="181"/>
      <c r="T505" s="181"/>
      <c r="U505" s="181"/>
      <c r="V505" s="181"/>
      <c r="W505" s="181"/>
      <c r="X505" s="181"/>
      <c r="Y505" s="181"/>
      <c r="Z505" s="181"/>
    </row>
    <row r="506" customFormat="false" ht="15.75" hidden="false" customHeight="false" outlineLevel="0" collapsed="false">
      <c r="A506" s="181"/>
      <c r="B506" s="181"/>
      <c r="C506" s="181"/>
      <c r="D506" s="181"/>
      <c r="E506" s="181"/>
      <c r="F506" s="181"/>
      <c r="G506" s="181"/>
      <c r="H506" s="181"/>
      <c r="I506" s="181"/>
      <c r="J506" s="181"/>
      <c r="K506" s="181"/>
      <c r="L506" s="181"/>
      <c r="M506" s="181"/>
      <c r="N506" s="181"/>
      <c r="O506" s="181"/>
      <c r="P506" s="181"/>
      <c r="Q506" s="181"/>
      <c r="R506" s="181"/>
      <c r="S506" s="181"/>
      <c r="T506" s="181"/>
      <c r="U506" s="181"/>
      <c r="V506" s="181"/>
      <c r="W506" s="181"/>
      <c r="X506" s="181"/>
      <c r="Y506" s="181"/>
      <c r="Z506" s="181"/>
    </row>
    <row r="507" customFormat="false" ht="15.75" hidden="false" customHeight="false" outlineLevel="0" collapsed="false">
      <c r="A507" s="181"/>
      <c r="B507" s="181"/>
      <c r="C507" s="181"/>
      <c r="D507" s="181"/>
      <c r="E507" s="181"/>
      <c r="F507" s="181"/>
      <c r="G507" s="181"/>
      <c r="H507" s="181"/>
      <c r="I507" s="181"/>
      <c r="J507" s="181"/>
      <c r="K507" s="181"/>
      <c r="L507" s="181"/>
      <c r="M507" s="181"/>
      <c r="N507" s="181"/>
      <c r="O507" s="181"/>
      <c r="P507" s="181"/>
      <c r="Q507" s="181"/>
      <c r="R507" s="181"/>
      <c r="S507" s="181"/>
      <c r="T507" s="181"/>
      <c r="U507" s="181"/>
      <c r="V507" s="181"/>
      <c r="W507" s="181"/>
      <c r="X507" s="181"/>
      <c r="Y507" s="181"/>
      <c r="Z507" s="181"/>
    </row>
    <row r="508" customFormat="false" ht="15.75" hidden="false" customHeight="false" outlineLevel="0" collapsed="false">
      <c r="A508" s="181"/>
      <c r="B508" s="181"/>
      <c r="C508" s="181"/>
      <c r="D508" s="181"/>
      <c r="E508" s="181"/>
      <c r="F508" s="181"/>
      <c r="G508" s="181"/>
      <c r="H508" s="181"/>
      <c r="I508" s="181"/>
      <c r="J508" s="181"/>
      <c r="K508" s="181"/>
      <c r="L508" s="181"/>
      <c r="M508" s="181"/>
      <c r="N508" s="181"/>
      <c r="O508" s="181"/>
      <c r="P508" s="181"/>
      <c r="Q508" s="181"/>
      <c r="R508" s="181"/>
      <c r="S508" s="181"/>
      <c r="T508" s="181"/>
      <c r="U508" s="181"/>
      <c r="V508" s="181"/>
      <c r="W508" s="181"/>
      <c r="X508" s="181"/>
      <c r="Y508" s="181"/>
      <c r="Z508" s="181"/>
    </row>
    <row r="509" customFormat="false" ht="15.75" hidden="false" customHeight="false" outlineLevel="0" collapsed="false">
      <c r="A509" s="181"/>
      <c r="B509" s="181"/>
      <c r="C509" s="181"/>
      <c r="D509" s="181"/>
      <c r="E509" s="181"/>
      <c r="F509" s="181"/>
      <c r="G509" s="181"/>
      <c r="H509" s="181"/>
      <c r="I509" s="181"/>
      <c r="J509" s="181"/>
      <c r="K509" s="181"/>
      <c r="L509" s="181"/>
      <c r="M509" s="181"/>
      <c r="N509" s="181"/>
      <c r="O509" s="181"/>
      <c r="P509" s="181"/>
      <c r="Q509" s="181"/>
      <c r="R509" s="181"/>
      <c r="S509" s="181"/>
      <c r="T509" s="181"/>
      <c r="U509" s="181"/>
      <c r="V509" s="181"/>
      <c r="W509" s="181"/>
      <c r="X509" s="181"/>
      <c r="Y509" s="181"/>
      <c r="Z509" s="181"/>
    </row>
    <row r="510" customFormat="false" ht="15.75" hidden="false" customHeight="false" outlineLevel="0" collapsed="false">
      <c r="A510" s="181"/>
      <c r="B510" s="181"/>
      <c r="C510" s="181"/>
      <c r="D510" s="181"/>
      <c r="E510" s="181"/>
      <c r="F510" s="181"/>
      <c r="G510" s="181"/>
      <c r="H510" s="181"/>
      <c r="I510" s="181"/>
      <c r="J510" s="181"/>
      <c r="K510" s="181"/>
      <c r="L510" s="181"/>
      <c r="M510" s="181"/>
      <c r="N510" s="181"/>
      <c r="O510" s="181"/>
      <c r="P510" s="181"/>
      <c r="Q510" s="181"/>
      <c r="R510" s="181"/>
      <c r="S510" s="181"/>
      <c r="T510" s="181"/>
      <c r="U510" s="181"/>
      <c r="V510" s="181"/>
      <c r="W510" s="181"/>
      <c r="X510" s="181"/>
      <c r="Y510" s="181"/>
      <c r="Z510" s="181"/>
    </row>
    <row r="511" customFormat="false" ht="15.75" hidden="false" customHeight="false" outlineLevel="0" collapsed="false">
      <c r="A511" s="181"/>
      <c r="B511" s="181"/>
      <c r="C511" s="181"/>
      <c r="D511" s="181"/>
      <c r="E511" s="181"/>
      <c r="F511" s="181"/>
      <c r="G511" s="181"/>
      <c r="H511" s="181"/>
      <c r="I511" s="181"/>
      <c r="J511" s="181"/>
      <c r="K511" s="181"/>
      <c r="L511" s="181"/>
      <c r="M511" s="181"/>
      <c r="N511" s="181"/>
      <c r="O511" s="181"/>
      <c r="P511" s="181"/>
      <c r="Q511" s="181"/>
      <c r="R511" s="181"/>
      <c r="S511" s="181"/>
      <c r="T511" s="181"/>
      <c r="U511" s="181"/>
      <c r="V511" s="181"/>
      <c r="W511" s="181"/>
      <c r="X511" s="181"/>
      <c r="Y511" s="181"/>
      <c r="Z511" s="181"/>
    </row>
    <row r="512" customFormat="false" ht="15.75" hidden="false" customHeight="false" outlineLevel="0" collapsed="false">
      <c r="A512" s="181"/>
      <c r="B512" s="181"/>
      <c r="C512" s="181"/>
      <c r="D512" s="181"/>
      <c r="E512" s="181"/>
      <c r="F512" s="181"/>
      <c r="G512" s="181"/>
      <c r="H512" s="181"/>
      <c r="I512" s="181"/>
      <c r="J512" s="181"/>
      <c r="K512" s="181"/>
      <c r="L512" s="181"/>
      <c r="M512" s="181"/>
      <c r="N512" s="181"/>
      <c r="O512" s="181"/>
      <c r="P512" s="181"/>
      <c r="Q512" s="181"/>
      <c r="R512" s="181"/>
      <c r="S512" s="181"/>
      <c r="T512" s="181"/>
      <c r="U512" s="181"/>
      <c r="V512" s="181"/>
      <c r="W512" s="181"/>
      <c r="X512" s="181"/>
      <c r="Y512" s="181"/>
      <c r="Z512" s="181"/>
    </row>
    <row r="513" customFormat="false" ht="15.75" hidden="false" customHeight="false" outlineLevel="0" collapsed="false">
      <c r="A513" s="181"/>
      <c r="B513" s="181"/>
      <c r="C513" s="181"/>
      <c r="D513" s="181"/>
      <c r="E513" s="181"/>
      <c r="F513" s="181"/>
      <c r="G513" s="181"/>
      <c r="H513" s="181"/>
      <c r="I513" s="181"/>
      <c r="J513" s="181"/>
      <c r="K513" s="181"/>
      <c r="L513" s="181"/>
      <c r="M513" s="181"/>
      <c r="N513" s="181"/>
      <c r="O513" s="181"/>
      <c r="P513" s="181"/>
      <c r="Q513" s="181"/>
      <c r="R513" s="181"/>
      <c r="S513" s="181"/>
      <c r="T513" s="181"/>
      <c r="U513" s="181"/>
      <c r="V513" s="181"/>
      <c r="W513" s="181"/>
      <c r="X513" s="181"/>
      <c r="Y513" s="181"/>
      <c r="Z513" s="181"/>
    </row>
    <row r="514" customFormat="false" ht="15.75" hidden="false" customHeight="false" outlineLevel="0" collapsed="false">
      <c r="A514" s="181"/>
      <c r="B514" s="181"/>
      <c r="C514" s="181"/>
      <c r="D514" s="181"/>
      <c r="E514" s="181"/>
      <c r="F514" s="181"/>
      <c r="G514" s="181"/>
      <c r="H514" s="181"/>
      <c r="I514" s="181"/>
      <c r="J514" s="181"/>
      <c r="K514" s="181"/>
      <c r="L514" s="181"/>
      <c r="M514" s="181"/>
      <c r="N514" s="181"/>
      <c r="O514" s="181"/>
      <c r="P514" s="181"/>
      <c r="Q514" s="181"/>
      <c r="R514" s="181"/>
      <c r="S514" s="181"/>
      <c r="T514" s="181"/>
      <c r="U514" s="181"/>
      <c r="V514" s="181"/>
      <c r="W514" s="181"/>
      <c r="X514" s="181"/>
      <c r="Y514" s="181"/>
      <c r="Z514" s="181"/>
    </row>
    <row r="515" customFormat="false" ht="15.75" hidden="false" customHeight="false" outlineLevel="0" collapsed="false">
      <c r="A515" s="181"/>
      <c r="B515" s="181"/>
      <c r="C515" s="181"/>
      <c r="D515" s="181"/>
      <c r="E515" s="181"/>
      <c r="F515" s="181"/>
      <c r="G515" s="181"/>
      <c r="H515" s="181"/>
      <c r="I515" s="181"/>
      <c r="J515" s="181"/>
      <c r="K515" s="181"/>
      <c r="L515" s="181"/>
      <c r="M515" s="181"/>
      <c r="N515" s="181"/>
      <c r="O515" s="181"/>
      <c r="P515" s="181"/>
      <c r="Q515" s="181"/>
      <c r="R515" s="181"/>
      <c r="S515" s="181"/>
      <c r="T515" s="181"/>
      <c r="U515" s="181"/>
      <c r="V515" s="181"/>
      <c r="W515" s="181"/>
      <c r="X515" s="181"/>
      <c r="Y515" s="181"/>
      <c r="Z515" s="181"/>
    </row>
    <row r="516" customFormat="false" ht="15.75" hidden="false" customHeight="false" outlineLevel="0" collapsed="false">
      <c r="A516" s="181"/>
      <c r="B516" s="181"/>
      <c r="C516" s="181"/>
      <c r="D516" s="181"/>
      <c r="E516" s="181"/>
      <c r="F516" s="181"/>
      <c r="G516" s="181"/>
      <c r="H516" s="181"/>
      <c r="I516" s="181"/>
      <c r="J516" s="181"/>
      <c r="K516" s="181"/>
      <c r="L516" s="181"/>
      <c r="M516" s="181"/>
      <c r="N516" s="181"/>
      <c r="O516" s="181"/>
      <c r="P516" s="181"/>
      <c r="Q516" s="181"/>
      <c r="R516" s="181"/>
      <c r="S516" s="181"/>
      <c r="T516" s="181"/>
      <c r="U516" s="181"/>
      <c r="V516" s="181"/>
      <c r="W516" s="181"/>
      <c r="X516" s="181"/>
      <c r="Y516" s="181"/>
      <c r="Z516" s="181"/>
    </row>
    <row r="517" customFormat="false" ht="15.75" hidden="false" customHeight="false" outlineLevel="0" collapsed="false">
      <c r="A517" s="181"/>
      <c r="B517" s="181"/>
      <c r="C517" s="181"/>
      <c r="D517" s="181"/>
      <c r="E517" s="181"/>
      <c r="F517" s="181"/>
      <c r="G517" s="181"/>
      <c r="H517" s="181"/>
      <c r="I517" s="181"/>
      <c r="J517" s="181"/>
      <c r="K517" s="181"/>
      <c r="L517" s="181"/>
      <c r="M517" s="181"/>
      <c r="N517" s="181"/>
      <c r="O517" s="181"/>
      <c r="P517" s="181"/>
      <c r="Q517" s="181"/>
      <c r="R517" s="181"/>
      <c r="S517" s="181"/>
      <c r="T517" s="181"/>
      <c r="U517" s="181"/>
      <c r="V517" s="181"/>
      <c r="W517" s="181"/>
      <c r="X517" s="181"/>
      <c r="Y517" s="181"/>
      <c r="Z517" s="181"/>
    </row>
    <row r="518" customFormat="false" ht="15.75" hidden="false" customHeight="false" outlineLevel="0" collapsed="false">
      <c r="A518" s="181"/>
      <c r="B518" s="181"/>
      <c r="C518" s="181"/>
      <c r="D518" s="181"/>
      <c r="E518" s="181"/>
      <c r="F518" s="181"/>
      <c r="G518" s="181"/>
      <c r="H518" s="181"/>
      <c r="I518" s="181"/>
      <c r="J518" s="181"/>
      <c r="K518" s="181"/>
      <c r="L518" s="181"/>
      <c r="M518" s="181"/>
      <c r="N518" s="181"/>
      <c r="O518" s="181"/>
      <c r="P518" s="181"/>
      <c r="Q518" s="181"/>
      <c r="R518" s="181"/>
      <c r="S518" s="181"/>
      <c r="T518" s="181"/>
      <c r="U518" s="181"/>
      <c r="V518" s="181"/>
      <c r="W518" s="181"/>
      <c r="X518" s="181"/>
      <c r="Y518" s="181"/>
      <c r="Z518" s="181"/>
    </row>
    <row r="519" customFormat="false" ht="15.75" hidden="false" customHeight="false" outlineLevel="0" collapsed="false">
      <c r="A519" s="181"/>
      <c r="B519" s="181"/>
      <c r="C519" s="181"/>
      <c r="D519" s="181"/>
      <c r="E519" s="181"/>
      <c r="F519" s="181"/>
      <c r="G519" s="181"/>
      <c r="H519" s="181"/>
      <c r="I519" s="181"/>
      <c r="J519" s="181"/>
      <c r="K519" s="181"/>
      <c r="L519" s="181"/>
      <c r="M519" s="181"/>
      <c r="N519" s="181"/>
      <c r="O519" s="181"/>
      <c r="P519" s="181"/>
      <c r="Q519" s="181"/>
      <c r="R519" s="181"/>
      <c r="S519" s="181"/>
      <c r="T519" s="181"/>
      <c r="U519" s="181"/>
      <c r="V519" s="181"/>
      <c r="W519" s="181"/>
      <c r="X519" s="181"/>
      <c r="Y519" s="181"/>
      <c r="Z519" s="181"/>
    </row>
    <row r="520" customFormat="false" ht="15.75" hidden="false" customHeight="false" outlineLevel="0" collapsed="false">
      <c r="A520" s="181"/>
      <c r="B520" s="181"/>
      <c r="C520" s="181"/>
      <c r="D520" s="181"/>
      <c r="E520" s="181"/>
      <c r="F520" s="181"/>
      <c r="G520" s="181"/>
      <c r="H520" s="181"/>
      <c r="I520" s="181"/>
      <c r="J520" s="181"/>
      <c r="K520" s="181"/>
      <c r="L520" s="181"/>
      <c r="M520" s="181"/>
      <c r="N520" s="181"/>
      <c r="O520" s="181"/>
      <c r="P520" s="181"/>
      <c r="Q520" s="181"/>
      <c r="R520" s="181"/>
      <c r="S520" s="181"/>
      <c r="T520" s="181"/>
      <c r="U520" s="181"/>
      <c r="V520" s="181"/>
      <c r="W520" s="181"/>
      <c r="X520" s="181"/>
      <c r="Y520" s="181"/>
      <c r="Z520" s="181"/>
    </row>
    <row r="521" customFormat="false" ht="15.75" hidden="false" customHeight="false" outlineLevel="0" collapsed="false">
      <c r="A521" s="181"/>
      <c r="B521" s="181"/>
      <c r="C521" s="181"/>
      <c r="D521" s="181"/>
      <c r="E521" s="181"/>
      <c r="F521" s="181"/>
      <c r="G521" s="181"/>
      <c r="H521" s="181"/>
      <c r="I521" s="181"/>
      <c r="J521" s="181"/>
      <c r="K521" s="181"/>
      <c r="L521" s="181"/>
      <c r="M521" s="181"/>
      <c r="N521" s="181"/>
      <c r="O521" s="181"/>
      <c r="P521" s="181"/>
      <c r="Q521" s="181"/>
      <c r="R521" s="181"/>
      <c r="S521" s="181"/>
      <c r="T521" s="181"/>
      <c r="U521" s="181"/>
      <c r="V521" s="181"/>
      <c r="W521" s="181"/>
      <c r="X521" s="181"/>
      <c r="Y521" s="181"/>
      <c r="Z521" s="181"/>
    </row>
    <row r="522" customFormat="false" ht="15.75" hidden="false" customHeight="false" outlineLevel="0" collapsed="false">
      <c r="A522" s="181"/>
      <c r="B522" s="181"/>
      <c r="C522" s="181"/>
      <c r="D522" s="181"/>
      <c r="E522" s="181"/>
      <c r="F522" s="181"/>
      <c r="G522" s="181"/>
      <c r="H522" s="181"/>
      <c r="I522" s="181"/>
      <c r="J522" s="181"/>
      <c r="K522" s="181"/>
      <c r="L522" s="181"/>
      <c r="M522" s="181"/>
      <c r="N522" s="181"/>
      <c r="O522" s="181"/>
      <c r="P522" s="181"/>
      <c r="Q522" s="181"/>
      <c r="R522" s="181"/>
      <c r="S522" s="181"/>
      <c r="T522" s="181"/>
      <c r="U522" s="181"/>
      <c r="V522" s="181"/>
      <c r="W522" s="181"/>
      <c r="X522" s="181"/>
      <c r="Y522" s="181"/>
      <c r="Z522" s="181"/>
    </row>
    <row r="523" customFormat="false" ht="15.75" hidden="false" customHeight="false" outlineLevel="0" collapsed="false">
      <c r="A523" s="181"/>
      <c r="B523" s="181"/>
      <c r="C523" s="181"/>
      <c r="D523" s="181"/>
      <c r="E523" s="181"/>
      <c r="F523" s="181"/>
      <c r="G523" s="181"/>
      <c r="H523" s="181"/>
      <c r="I523" s="181"/>
      <c r="J523" s="181"/>
      <c r="K523" s="181"/>
      <c r="L523" s="181"/>
      <c r="M523" s="181"/>
      <c r="N523" s="181"/>
      <c r="O523" s="181"/>
      <c r="P523" s="181"/>
      <c r="Q523" s="181"/>
      <c r="R523" s="181"/>
      <c r="S523" s="181"/>
      <c r="T523" s="181"/>
      <c r="U523" s="181"/>
      <c r="V523" s="181"/>
      <c r="W523" s="181"/>
      <c r="X523" s="181"/>
      <c r="Y523" s="181"/>
      <c r="Z523" s="181"/>
    </row>
    <row r="524" customFormat="false" ht="15.75" hidden="false" customHeight="false" outlineLevel="0" collapsed="false">
      <c r="A524" s="181"/>
      <c r="B524" s="181"/>
      <c r="C524" s="181"/>
      <c r="D524" s="181"/>
      <c r="E524" s="181"/>
      <c r="F524" s="181"/>
      <c r="G524" s="181"/>
      <c r="H524" s="181"/>
      <c r="I524" s="181"/>
      <c r="J524" s="181"/>
      <c r="K524" s="181"/>
      <c r="L524" s="181"/>
      <c r="M524" s="181"/>
      <c r="N524" s="181"/>
      <c r="O524" s="181"/>
      <c r="P524" s="181"/>
      <c r="Q524" s="181"/>
      <c r="R524" s="181"/>
      <c r="S524" s="181"/>
      <c r="T524" s="181"/>
      <c r="U524" s="181"/>
      <c r="V524" s="181"/>
      <c r="W524" s="181"/>
      <c r="X524" s="181"/>
      <c r="Y524" s="181"/>
      <c r="Z524" s="181"/>
    </row>
    <row r="525" customFormat="false" ht="15.75" hidden="false" customHeight="false" outlineLevel="0" collapsed="false">
      <c r="A525" s="181"/>
      <c r="B525" s="181"/>
      <c r="C525" s="181"/>
      <c r="D525" s="181"/>
      <c r="E525" s="181"/>
      <c r="F525" s="181"/>
      <c r="G525" s="181"/>
      <c r="H525" s="181"/>
      <c r="I525" s="181"/>
      <c r="J525" s="181"/>
      <c r="K525" s="181"/>
      <c r="L525" s="181"/>
      <c r="M525" s="181"/>
      <c r="N525" s="181"/>
      <c r="O525" s="181"/>
      <c r="P525" s="181"/>
      <c r="Q525" s="181"/>
      <c r="R525" s="181"/>
      <c r="S525" s="181"/>
      <c r="T525" s="181"/>
      <c r="U525" s="181"/>
      <c r="V525" s="181"/>
      <c r="W525" s="181"/>
      <c r="X525" s="181"/>
      <c r="Y525" s="181"/>
      <c r="Z525" s="181"/>
    </row>
    <row r="526" customFormat="false" ht="15.75" hidden="false" customHeight="false" outlineLevel="0" collapsed="false">
      <c r="A526" s="181"/>
      <c r="B526" s="181"/>
      <c r="C526" s="181"/>
      <c r="D526" s="181"/>
      <c r="E526" s="181"/>
      <c r="F526" s="181"/>
      <c r="G526" s="181"/>
      <c r="H526" s="181"/>
      <c r="I526" s="181"/>
      <c r="J526" s="181"/>
      <c r="K526" s="181"/>
      <c r="L526" s="181"/>
      <c r="M526" s="181"/>
      <c r="N526" s="181"/>
      <c r="O526" s="181"/>
      <c r="P526" s="181"/>
      <c r="Q526" s="181"/>
      <c r="R526" s="181"/>
      <c r="S526" s="181"/>
      <c r="T526" s="181"/>
      <c r="U526" s="181"/>
      <c r="V526" s="181"/>
      <c r="W526" s="181"/>
      <c r="X526" s="181"/>
      <c r="Y526" s="181"/>
      <c r="Z526" s="181"/>
    </row>
    <row r="527" customFormat="false" ht="15.75" hidden="false" customHeight="false" outlineLevel="0" collapsed="false">
      <c r="A527" s="181"/>
      <c r="B527" s="181"/>
      <c r="C527" s="181"/>
      <c r="D527" s="181"/>
      <c r="E527" s="181"/>
      <c r="F527" s="181"/>
      <c r="G527" s="181"/>
      <c r="H527" s="181"/>
      <c r="I527" s="181"/>
      <c r="J527" s="181"/>
      <c r="K527" s="181"/>
      <c r="L527" s="181"/>
      <c r="M527" s="181"/>
      <c r="N527" s="181"/>
      <c r="O527" s="181"/>
      <c r="P527" s="181"/>
      <c r="Q527" s="181"/>
      <c r="R527" s="181"/>
      <c r="S527" s="181"/>
      <c r="T527" s="181"/>
      <c r="U527" s="181"/>
      <c r="V527" s="181"/>
      <c r="W527" s="181"/>
      <c r="X527" s="181"/>
      <c r="Y527" s="181"/>
      <c r="Z527" s="181"/>
    </row>
    <row r="528" customFormat="false" ht="15.75" hidden="false" customHeight="false" outlineLevel="0" collapsed="false">
      <c r="A528" s="181"/>
      <c r="B528" s="181"/>
      <c r="C528" s="181"/>
      <c r="D528" s="181"/>
      <c r="E528" s="181"/>
      <c r="F528" s="181"/>
      <c r="G528" s="181"/>
      <c r="H528" s="181"/>
      <c r="I528" s="181"/>
      <c r="J528" s="181"/>
      <c r="K528" s="181"/>
      <c r="L528" s="181"/>
      <c r="M528" s="181"/>
      <c r="N528" s="181"/>
      <c r="O528" s="181"/>
      <c r="P528" s="181"/>
      <c r="Q528" s="181"/>
      <c r="R528" s="181"/>
      <c r="S528" s="181"/>
      <c r="T528" s="181"/>
      <c r="U528" s="181"/>
      <c r="V528" s="181"/>
      <c r="W528" s="181"/>
      <c r="X528" s="181"/>
      <c r="Y528" s="181"/>
      <c r="Z528" s="181"/>
    </row>
    <row r="529" customFormat="false" ht="15.75" hidden="false" customHeight="false" outlineLevel="0" collapsed="false">
      <c r="A529" s="181"/>
      <c r="B529" s="181"/>
      <c r="C529" s="181"/>
      <c r="D529" s="181"/>
      <c r="E529" s="181"/>
      <c r="F529" s="181"/>
      <c r="G529" s="181"/>
      <c r="H529" s="181"/>
      <c r="I529" s="181"/>
      <c r="J529" s="181"/>
      <c r="K529" s="181"/>
      <c r="L529" s="181"/>
      <c r="M529" s="181"/>
      <c r="N529" s="181"/>
      <c r="O529" s="181"/>
      <c r="P529" s="181"/>
      <c r="Q529" s="181"/>
      <c r="R529" s="181"/>
      <c r="S529" s="181"/>
      <c r="T529" s="181"/>
      <c r="U529" s="181"/>
      <c r="V529" s="181"/>
      <c r="W529" s="181"/>
      <c r="X529" s="181"/>
      <c r="Y529" s="181"/>
      <c r="Z529" s="181"/>
    </row>
    <row r="530" customFormat="false" ht="15.75" hidden="false" customHeight="false" outlineLevel="0" collapsed="false">
      <c r="A530" s="181"/>
      <c r="B530" s="181"/>
      <c r="C530" s="181"/>
      <c r="D530" s="181"/>
      <c r="E530" s="181"/>
      <c r="F530" s="181"/>
      <c r="G530" s="181"/>
      <c r="H530" s="181"/>
      <c r="I530" s="181"/>
      <c r="J530" s="181"/>
      <c r="K530" s="181"/>
      <c r="L530" s="181"/>
      <c r="M530" s="181"/>
      <c r="N530" s="181"/>
      <c r="O530" s="181"/>
      <c r="P530" s="181"/>
      <c r="Q530" s="181"/>
      <c r="R530" s="181"/>
      <c r="S530" s="181"/>
      <c r="T530" s="181"/>
      <c r="U530" s="181"/>
      <c r="V530" s="181"/>
      <c r="W530" s="181"/>
      <c r="X530" s="181"/>
      <c r="Y530" s="181"/>
      <c r="Z530" s="181"/>
    </row>
    <row r="531" customFormat="false" ht="15.75" hidden="false" customHeight="false" outlineLevel="0" collapsed="false">
      <c r="A531" s="181"/>
      <c r="B531" s="181"/>
      <c r="C531" s="181"/>
      <c r="D531" s="181"/>
      <c r="E531" s="181"/>
      <c r="F531" s="181"/>
      <c r="G531" s="181"/>
      <c r="H531" s="181"/>
      <c r="I531" s="181"/>
      <c r="J531" s="181"/>
      <c r="K531" s="181"/>
      <c r="L531" s="181"/>
      <c r="M531" s="181"/>
      <c r="N531" s="181"/>
      <c r="O531" s="181"/>
      <c r="P531" s="181"/>
      <c r="Q531" s="181"/>
      <c r="R531" s="181"/>
      <c r="S531" s="181"/>
      <c r="T531" s="181"/>
      <c r="U531" s="181"/>
      <c r="V531" s="181"/>
      <c r="W531" s="181"/>
      <c r="X531" s="181"/>
      <c r="Y531" s="181"/>
      <c r="Z531" s="181"/>
    </row>
    <row r="532" customFormat="false" ht="15.75" hidden="false" customHeight="false" outlineLevel="0" collapsed="false">
      <c r="A532" s="181"/>
      <c r="B532" s="181"/>
      <c r="C532" s="181"/>
      <c r="D532" s="181"/>
      <c r="E532" s="181"/>
      <c r="F532" s="181"/>
      <c r="G532" s="181"/>
      <c r="H532" s="181"/>
      <c r="I532" s="181"/>
      <c r="J532" s="181"/>
      <c r="K532" s="181"/>
      <c r="L532" s="181"/>
      <c r="M532" s="181"/>
      <c r="N532" s="181"/>
      <c r="O532" s="181"/>
      <c r="P532" s="181"/>
      <c r="Q532" s="181"/>
      <c r="R532" s="181"/>
      <c r="S532" s="181"/>
      <c r="T532" s="181"/>
      <c r="U532" s="181"/>
      <c r="V532" s="181"/>
      <c r="W532" s="181"/>
      <c r="X532" s="181"/>
      <c r="Y532" s="181"/>
      <c r="Z532" s="181"/>
    </row>
    <row r="533" customFormat="false" ht="15.75" hidden="false" customHeight="false" outlineLevel="0" collapsed="false">
      <c r="A533" s="181"/>
      <c r="B533" s="181"/>
      <c r="C533" s="181"/>
      <c r="D533" s="181"/>
      <c r="E533" s="181"/>
      <c r="F533" s="181"/>
      <c r="G533" s="181"/>
      <c r="H533" s="181"/>
      <c r="I533" s="181"/>
      <c r="J533" s="181"/>
      <c r="K533" s="181"/>
      <c r="L533" s="181"/>
      <c r="M533" s="181"/>
      <c r="N533" s="181"/>
      <c r="O533" s="181"/>
      <c r="P533" s="181"/>
      <c r="Q533" s="181"/>
      <c r="R533" s="181"/>
      <c r="S533" s="181"/>
      <c r="T533" s="181"/>
      <c r="U533" s="181"/>
      <c r="V533" s="181"/>
      <c r="W533" s="181"/>
      <c r="X533" s="181"/>
      <c r="Y533" s="181"/>
      <c r="Z533" s="181"/>
    </row>
    <row r="534" customFormat="false" ht="15.75" hidden="false" customHeight="false" outlineLevel="0" collapsed="false">
      <c r="A534" s="181"/>
      <c r="B534" s="181"/>
      <c r="C534" s="181"/>
      <c r="D534" s="181"/>
      <c r="E534" s="181"/>
      <c r="F534" s="181"/>
      <c r="G534" s="181"/>
      <c r="H534" s="181"/>
      <c r="I534" s="181"/>
      <c r="J534" s="181"/>
      <c r="K534" s="181"/>
      <c r="L534" s="181"/>
      <c r="M534" s="181"/>
      <c r="N534" s="181"/>
      <c r="O534" s="181"/>
      <c r="P534" s="181"/>
      <c r="Q534" s="181"/>
      <c r="R534" s="181"/>
      <c r="S534" s="181"/>
      <c r="T534" s="181"/>
      <c r="U534" s="181"/>
      <c r="V534" s="181"/>
      <c r="W534" s="181"/>
      <c r="X534" s="181"/>
      <c r="Y534" s="181"/>
      <c r="Z534" s="181"/>
    </row>
    <row r="535" customFormat="false" ht="15.75" hidden="false" customHeight="false" outlineLevel="0" collapsed="false">
      <c r="A535" s="181"/>
      <c r="B535" s="181"/>
      <c r="C535" s="181"/>
      <c r="D535" s="181"/>
      <c r="E535" s="181"/>
      <c r="F535" s="181"/>
      <c r="G535" s="181"/>
      <c r="H535" s="181"/>
      <c r="I535" s="181"/>
      <c r="J535" s="181"/>
      <c r="K535" s="181"/>
      <c r="L535" s="181"/>
      <c r="M535" s="181"/>
      <c r="N535" s="181"/>
      <c r="O535" s="181"/>
      <c r="P535" s="181"/>
      <c r="Q535" s="181"/>
      <c r="R535" s="181"/>
      <c r="S535" s="181"/>
      <c r="T535" s="181"/>
      <c r="U535" s="181"/>
      <c r="V535" s="181"/>
      <c r="W535" s="181"/>
      <c r="X535" s="181"/>
      <c r="Y535" s="181"/>
      <c r="Z535" s="181"/>
    </row>
    <row r="536" customFormat="false" ht="15.75" hidden="false" customHeight="false" outlineLevel="0" collapsed="false">
      <c r="A536" s="181"/>
      <c r="B536" s="181"/>
      <c r="C536" s="181"/>
      <c r="D536" s="181"/>
      <c r="E536" s="181"/>
      <c r="F536" s="181"/>
      <c r="G536" s="181"/>
      <c r="H536" s="181"/>
      <c r="I536" s="181"/>
      <c r="J536" s="181"/>
      <c r="K536" s="181"/>
      <c r="L536" s="181"/>
      <c r="M536" s="181"/>
      <c r="N536" s="181"/>
      <c r="O536" s="181"/>
      <c r="P536" s="181"/>
      <c r="Q536" s="181"/>
      <c r="R536" s="181"/>
      <c r="S536" s="181"/>
      <c r="T536" s="181"/>
      <c r="U536" s="181"/>
      <c r="V536" s="181"/>
      <c r="W536" s="181"/>
      <c r="X536" s="181"/>
      <c r="Y536" s="181"/>
      <c r="Z536" s="181"/>
    </row>
    <row r="537" customFormat="false" ht="15.75" hidden="false" customHeight="false" outlineLevel="0" collapsed="false">
      <c r="A537" s="181"/>
      <c r="B537" s="181"/>
      <c r="C537" s="181"/>
      <c r="D537" s="181"/>
      <c r="E537" s="181"/>
      <c r="F537" s="181"/>
      <c r="G537" s="181"/>
      <c r="H537" s="181"/>
      <c r="I537" s="181"/>
      <c r="J537" s="181"/>
      <c r="K537" s="181"/>
      <c r="L537" s="181"/>
      <c r="M537" s="181"/>
      <c r="N537" s="181"/>
      <c r="O537" s="181"/>
      <c r="P537" s="181"/>
      <c r="Q537" s="181"/>
      <c r="R537" s="181"/>
      <c r="S537" s="181"/>
      <c r="T537" s="181"/>
      <c r="U537" s="181"/>
      <c r="V537" s="181"/>
      <c r="W537" s="181"/>
      <c r="X537" s="181"/>
      <c r="Y537" s="181"/>
      <c r="Z537" s="181"/>
    </row>
    <row r="538" customFormat="false" ht="15.75" hidden="false" customHeight="false" outlineLevel="0" collapsed="false">
      <c r="A538" s="181"/>
      <c r="B538" s="181"/>
      <c r="C538" s="181"/>
      <c r="D538" s="181"/>
      <c r="E538" s="181"/>
      <c r="F538" s="181"/>
      <c r="G538" s="181"/>
      <c r="H538" s="181"/>
      <c r="I538" s="181"/>
      <c r="J538" s="181"/>
      <c r="K538" s="181"/>
      <c r="L538" s="181"/>
      <c r="M538" s="181"/>
      <c r="N538" s="181"/>
      <c r="O538" s="181"/>
      <c r="P538" s="181"/>
      <c r="Q538" s="181"/>
      <c r="R538" s="181"/>
      <c r="S538" s="181"/>
      <c r="T538" s="181"/>
      <c r="U538" s="181"/>
      <c r="V538" s="181"/>
      <c r="W538" s="181"/>
      <c r="X538" s="181"/>
      <c r="Y538" s="181"/>
      <c r="Z538" s="181"/>
    </row>
    <row r="539" customFormat="false" ht="15.75" hidden="false" customHeight="false" outlineLevel="0" collapsed="false">
      <c r="A539" s="181"/>
      <c r="B539" s="181"/>
      <c r="C539" s="181"/>
      <c r="D539" s="181"/>
      <c r="E539" s="181"/>
      <c r="F539" s="181"/>
      <c r="G539" s="181"/>
      <c r="H539" s="181"/>
      <c r="I539" s="181"/>
      <c r="J539" s="181"/>
      <c r="K539" s="181"/>
      <c r="L539" s="181"/>
      <c r="M539" s="181"/>
      <c r="N539" s="181"/>
      <c r="O539" s="181"/>
      <c r="P539" s="181"/>
      <c r="Q539" s="181"/>
      <c r="R539" s="181"/>
      <c r="S539" s="181"/>
      <c r="T539" s="181"/>
      <c r="U539" s="181"/>
      <c r="V539" s="181"/>
      <c r="W539" s="181"/>
      <c r="X539" s="181"/>
      <c r="Y539" s="181"/>
      <c r="Z539" s="181"/>
    </row>
    <row r="540" customFormat="false" ht="15.75" hidden="false" customHeight="false" outlineLevel="0" collapsed="false">
      <c r="A540" s="181"/>
      <c r="B540" s="181"/>
      <c r="C540" s="181"/>
      <c r="D540" s="181"/>
      <c r="E540" s="181"/>
      <c r="F540" s="181"/>
      <c r="G540" s="181"/>
      <c r="H540" s="181"/>
      <c r="I540" s="181"/>
      <c r="J540" s="181"/>
      <c r="K540" s="181"/>
      <c r="L540" s="181"/>
      <c r="M540" s="181"/>
      <c r="N540" s="181"/>
      <c r="O540" s="181"/>
      <c r="P540" s="181"/>
      <c r="Q540" s="181"/>
      <c r="R540" s="181"/>
      <c r="S540" s="181"/>
      <c r="T540" s="181"/>
      <c r="U540" s="181"/>
      <c r="V540" s="181"/>
      <c r="W540" s="181"/>
      <c r="X540" s="181"/>
      <c r="Y540" s="181"/>
      <c r="Z540" s="181"/>
    </row>
    <row r="541" customFormat="false" ht="15.75" hidden="false" customHeight="false" outlineLevel="0" collapsed="false">
      <c r="A541" s="181"/>
      <c r="B541" s="181"/>
      <c r="C541" s="181"/>
      <c r="D541" s="181"/>
      <c r="E541" s="181"/>
      <c r="F541" s="181"/>
      <c r="G541" s="181"/>
      <c r="H541" s="181"/>
      <c r="I541" s="181"/>
      <c r="J541" s="181"/>
      <c r="K541" s="181"/>
      <c r="L541" s="181"/>
      <c r="M541" s="181"/>
      <c r="N541" s="181"/>
      <c r="O541" s="181"/>
      <c r="P541" s="181"/>
      <c r="Q541" s="181"/>
      <c r="R541" s="181"/>
      <c r="S541" s="181"/>
      <c r="T541" s="181"/>
      <c r="U541" s="181"/>
      <c r="V541" s="181"/>
      <c r="W541" s="181"/>
      <c r="X541" s="181"/>
      <c r="Y541" s="181"/>
      <c r="Z541" s="181"/>
    </row>
    <row r="542" customFormat="false" ht="15.75" hidden="false" customHeight="false" outlineLevel="0" collapsed="false">
      <c r="A542" s="181"/>
      <c r="B542" s="181"/>
      <c r="C542" s="181"/>
      <c r="D542" s="181"/>
      <c r="E542" s="181"/>
      <c r="F542" s="181"/>
      <c r="G542" s="181"/>
      <c r="H542" s="181"/>
      <c r="I542" s="181"/>
      <c r="J542" s="181"/>
      <c r="K542" s="181"/>
      <c r="L542" s="181"/>
      <c r="M542" s="181"/>
      <c r="N542" s="181"/>
      <c r="O542" s="181"/>
      <c r="P542" s="181"/>
      <c r="Q542" s="181"/>
      <c r="R542" s="181"/>
      <c r="S542" s="181"/>
      <c r="T542" s="181"/>
      <c r="U542" s="181"/>
      <c r="V542" s="181"/>
      <c r="W542" s="181"/>
      <c r="X542" s="181"/>
      <c r="Y542" s="181"/>
      <c r="Z542" s="181"/>
    </row>
    <row r="543" customFormat="false" ht="15.75" hidden="false" customHeight="false" outlineLevel="0" collapsed="false">
      <c r="A543" s="181"/>
      <c r="B543" s="181"/>
      <c r="C543" s="181"/>
      <c r="D543" s="181"/>
      <c r="E543" s="181"/>
      <c r="F543" s="181"/>
      <c r="G543" s="181"/>
      <c r="H543" s="181"/>
      <c r="I543" s="181"/>
      <c r="J543" s="181"/>
      <c r="K543" s="181"/>
      <c r="L543" s="181"/>
      <c r="M543" s="181"/>
      <c r="N543" s="181"/>
      <c r="O543" s="181"/>
      <c r="P543" s="181"/>
      <c r="Q543" s="181"/>
      <c r="R543" s="181"/>
      <c r="S543" s="181"/>
      <c r="T543" s="181"/>
      <c r="U543" s="181"/>
      <c r="V543" s="181"/>
      <c r="W543" s="181"/>
      <c r="X543" s="181"/>
      <c r="Y543" s="181"/>
      <c r="Z543" s="181"/>
    </row>
    <row r="544" customFormat="false" ht="15.75" hidden="false" customHeight="false" outlineLevel="0" collapsed="false">
      <c r="A544" s="181"/>
      <c r="B544" s="181"/>
      <c r="C544" s="181"/>
      <c r="D544" s="181"/>
      <c r="E544" s="181"/>
      <c r="F544" s="181"/>
      <c r="G544" s="181"/>
      <c r="H544" s="181"/>
      <c r="I544" s="181"/>
      <c r="J544" s="181"/>
      <c r="K544" s="181"/>
      <c r="L544" s="181"/>
      <c r="M544" s="181"/>
      <c r="N544" s="181"/>
      <c r="O544" s="181"/>
      <c r="P544" s="181"/>
      <c r="Q544" s="181"/>
      <c r="R544" s="181"/>
      <c r="S544" s="181"/>
      <c r="T544" s="181"/>
      <c r="U544" s="181"/>
      <c r="V544" s="181"/>
      <c r="W544" s="181"/>
      <c r="X544" s="181"/>
      <c r="Y544" s="181"/>
      <c r="Z544" s="181"/>
    </row>
    <row r="545" customFormat="false" ht="15.75" hidden="false" customHeight="false" outlineLevel="0" collapsed="false">
      <c r="A545" s="181"/>
      <c r="B545" s="181"/>
      <c r="C545" s="181"/>
      <c r="D545" s="181"/>
      <c r="E545" s="181"/>
      <c r="F545" s="181"/>
      <c r="G545" s="181"/>
      <c r="H545" s="181"/>
      <c r="I545" s="181"/>
      <c r="J545" s="181"/>
      <c r="K545" s="181"/>
      <c r="L545" s="181"/>
      <c r="M545" s="181"/>
      <c r="N545" s="181"/>
      <c r="O545" s="181"/>
      <c r="P545" s="181"/>
      <c r="Q545" s="181"/>
      <c r="R545" s="181"/>
      <c r="S545" s="181"/>
      <c r="T545" s="181"/>
      <c r="U545" s="181"/>
      <c r="V545" s="181"/>
      <c r="W545" s="181"/>
      <c r="X545" s="181"/>
      <c r="Y545" s="181"/>
      <c r="Z545" s="181"/>
    </row>
    <row r="546" customFormat="false" ht="15.75" hidden="false" customHeight="false" outlineLevel="0" collapsed="false">
      <c r="A546" s="181"/>
      <c r="B546" s="181"/>
      <c r="C546" s="181"/>
      <c r="D546" s="181"/>
      <c r="E546" s="181"/>
      <c r="F546" s="181"/>
      <c r="G546" s="181"/>
      <c r="H546" s="181"/>
      <c r="I546" s="181"/>
      <c r="J546" s="181"/>
      <c r="K546" s="181"/>
      <c r="L546" s="181"/>
      <c r="M546" s="181"/>
      <c r="N546" s="181"/>
      <c r="O546" s="181"/>
      <c r="P546" s="181"/>
      <c r="Q546" s="181"/>
      <c r="R546" s="181"/>
      <c r="S546" s="181"/>
      <c r="T546" s="181"/>
      <c r="U546" s="181"/>
      <c r="V546" s="181"/>
      <c r="W546" s="181"/>
      <c r="X546" s="181"/>
      <c r="Y546" s="181"/>
      <c r="Z546" s="181"/>
    </row>
    <row r="547" customFormat="false" ht="15.75" hidden="false" customHeight="false" outlineLevel="0" collapsed="false">
      <c r="A547" s="181"/>
      <c r="B547" s="181"/>
      <c r="C547" s="181"/>
      <c r="D547" s="181"/>
      <c r="E547" s="181"/>
      <c r="F547" s="181"/>
      <c r="G547" s="181"/>
      <c r="H547" s="181"/>
      <c r="I547" s="181"/>
      <c r="J547" s="181"/>
      <c r="K547" s="181"/>
      <c r="L547" s="181"/>
      <c r="M547" s="181"/>
      <c r="N547" s="181"/>
      <c r="O547" s="181"/>
      <c r="P547" s="181"/>
      <c r="Q547" s="181"/>
      <c r="R547" s="181"/>
      <c r="S547" s="181"/>
      <c r="T547" s="181"/>
      <c r="U547" s="181"/>
      <c r="V547" s="181"/>
      <c r="W547" s="181"/>
      <c r="X547" s="181"/>
      <c r="Y547" s="181"/>
      <c r="Z547" s="181"/>
    </row>
    <row r="548" customFormat="false" ht="15.75" hidden="false" customHeight="false" outlineLevel="0" collapsed="false">
      <c r="A548" s="181"/>
      <c r="B548" s="181"/>
      <c r="C548" s="181"/>
      <c r="D548" s="181"/>
      <c r="E548" s="181"/>
      <c r="F548" s="181"/>
      <c r="G548" s="181"/>
      <c r="H548" s="181"/>
      <c r="I548" s="181"/>
      <c r="J548" s="181"/>
      <c r="K548" s="181"/>
      <c r="L548" s="181"/>
      <c r="M548" s="181"/>
      <c r="N548" s="181"/>
      <c r="O548" s="181"/>
      <c r="P548" s="181"/>
      <c r="Q548" s="181"/>
      <c r="R548" s="181"/>
      <c r="S548" s="181"/>
      <c r="T548" s="181"/>
      <c r="U548" s="181"/>
      <c r="V548" s="181"/>
      <c r="W548" s="181"/>
      <c r="X548" s="181"/>
      <c r="Y548" s="181"/>
      <c r="Z548" s="181"/>
    </row>
    <row r="549" customFormat="false" ht="15.75" hidden="false" customHeight="false" outlineLevel="0" collapsed="false">
      <c r="A549" s="181"/>
      <c r="B549" s="181"/>
      <c r="C549" s="181"/>
      <c r="D549" s="181"/>
      <c r="E549" s="181"/>
      <c r="F549" s="181"/>
      <c r="G549" s="181"/>
      <c r="H549" s="181"/>
      <c r="I549" s="181"/>
      <c r="J549" s="181"/>
      <c r="K549" s="181"/>
      <c r="L549" s="181"/>
      <c r="M549" s="181"/>
      <c r="N549" s="181"/>
      <c r="O549" s="181"/>
      <c r="P549" s="181"/>
      <c r="Q549" s="181"/>
      <c r="R549" s="181"/>
      <c r="S549" s="181"/>
      <c r="T549" s="181"/>
      <c r="U549" s="181"/>
      <c r="V549" s="181"/>
      <c r="W549" s="181"/>
      <c r="X549" s="181"/>
      <c r="Y549" s="181"/>
      <c r="Z549" s="181"/>
    </row>
    <row r="550" customFormat="false" ht="15.75" hidden="false" customHeight="false" outlineLevel="0" collapsed="false">
      <c r="A550" s="181"/>
      <c r="B550" s="181"/>
      <c r="C550" s="181"/>
      <c r="D550" s="181"/>
      <c r="E550" s="181"/>
      <c r="F550" s="181"/>
      <c r="G550" s="181"/>
      <c r="H550" s="181"/>
      <c r="I550" s="181"/>
      <c r="J550" s="181"/>
      <c r="K550" s="181"/>
      <c r="L550" s="181"/>
      <c r="M550" s="181"/>
      <c r="N550" s="181"/>
      <c r="O550" s="181"/>
      <c r="P550" s="181"/>
      <c r="Q550" s="181"/>
      <c r="R550" s="181"/>
      <c r="S550" s="181"/>
      <c r="T550" s="181"/>
      <c r="U550" s="181"/>
      <c r="V550" s="181"/>
      <c r="W550" s="181"/>
      <c r="X550" s="181"/>
      <c r="Y550" s="181"/>
      <c r="Z550" s="181"/>
    </row>
    <row r="551" customFormat="false" ht="15.75" hidden="false" customHeight="false" outlineLevel="0" collapsed="false">
      <c r="A551" s="181"/>
      <c r="B551" s="181"/>
      <c r="C551" s="181"/>
      <c r="D551" s="181"/>
      <c r="E551" s="181"/>
      <c r="F551" s="181"/>
      <c r="G551" s="181"/>
      <c r="H551" s="181"/>
      <c r="I551" s="181"/>
      <c r="J551" s="181"/>
      <c r="K551" s="181"/>
      <c r="L551" s="181"/>
      <c r="M551" s="181"/>
      <c r="N551" s="181"/>
      <c r="O551" s="181"/>
      <c r="P551" s="181"/>
      <c r="Q551" s="181"/>
      <c r="R551" s="181"/>
      <c r="S551" s="181"/>
      <c r="T551" s="181"/>
      <c r="U551" s="181"/>
      <c r="V551" s="181"/>
      <c r="W551" s="181"/>
      <c r="X551" s="181"/>
      <c r="Y551" s="181"/>
      <c r="Z551" s="181"/>
    </row>
    <row r="552" customFormat="false" ht="15.75" hidden="false" customHeight="false" outlineLevel="0" collapsed="false">
      <c r="A552" s="181"/>
      <c r="B552" s="181"/>
      <c r="C552" s="181"/>
      <c r="D552" s="181"/>
      <c r="E552" s="181"/>
      <c r="F552" s="181"/>
      <c r="G552" s="181"/>
      <c r="H552" s="181"/>
      <c r="I552" s="181"/>
      <c r="J552" s="181"/>
      <c r="K552" s="181"/>
      <c r="L552" s="181"/>
      <c r="M552" s="181"/>
      <c r="N552" s="181"/>
      <c r="O552" s="181"/>
      <c r="P552" s="181"/>
      <c r="Q552" s="181"/>
      <c r="R552" s="181"/>
      <c r="S552" s="181"/>
      <c r="T552" s="181"/>
      <c r="U552" s="181"/>
      <c r="V552" s="181"/>
      <c r="W552" s="181"/>
      <c r="X552" s="181"/>
      <c r="Y552" s="181"/>
      <c r="Z552" s="181"/>
    </row>
    <row r="553" customFormat="false" ht="15.75" hidden="false" customHeight="false" outlineLevel="0" collapsed="false">
      <c r="A553" s="181"/>
      <c r="B553" s="181"/>
      <c r="C553" s="181"/>
      <c r="D553" s="181"/>
      <c r="E553" s="181"/>
      <c r="F553" s="181"/>
      <c r="G553" s="181"/>
      <c r="H553" s="181"/>
      <c r="I553" s="181"/>
      <c r="J553" s="181"/>
      <c r="K553" s="181"/>
      <c r="L553" s="181"/>
      <c r="M553" s="181"/>
      <c r="N553" s="181"/>
      <c r="O553" s="181"/>
      <c r="P553" s="181"/>
      <c r="Q553" s="181"/>
      <c r="R553" s="181"/>
      <c r="S553" s="181"/>
      <c r="T553" s="181"/>
      <c r="U553" s="181"/>
      <c r="V553" s="181"/>
      <c r="W553" s="181"/>
      <c r="X553" s="181"/>
      <c r="Y553" s="181"/>
      <c r="Z553" s="181"/>
    </row>
    <row r="554" customFormat="false" ht="15.75" hidden="false" customHeight="false" outlineLevel="0" collapsed="false">
      <c r="A554" s="181"/>
      <c r="B554" s="181"/>
      <c r="C554" s="181"/>
      <c r="D554" s="181"/>
      <c r="E554" s="181"/>
      <c r="F554" s="181"/>
      <c r="G554" s="181"/>
      <c r="H554" s="181"/>
      <c r="I554" s="181"/>
      <c r="J554" s="181"/>
      <c r="K554" s="181"/>
      <c r="L554" s="181"/>
      <c r="M554" s="181"/>
      <c r="N554" s="181"/>
      <c r="O554" s="181"/>
      <c r="P554" s="181"/>
      <c r="Q554" s="181"/>
      <c r="R554" s="181"/>
      <c r="S554" s="181"/>
      <c r="T554" s="181"/>
      <c r="U554" s="181"/>
      <c r="V554" s="181"/>
      <c r="W554" s="181"/>
      <c r="X554" s="181"/>
      <c r="Y554" s="181"/>
      <c r="Z554" s="181"/>
    </row>
    <row r="555" customFormat="false" ht="15.75" hidden="false" customHeight="false" outlineLevel="0" collapsed="false">
      <c r="A555" s="181"/>
      <c r="B555" s="181"/>
      <c r="C555" s="181"/>
      <c r="D555" s="181"/>
      <c r="E555" s="181"/>
      <c r="F555" s="181"/>
      <c r="G555" s="181"/>
      <c r="H555" s="181"/>
      <c r="I555" s="181"/>
      <c r="J555" s="181"/>
      <c r="K555" s="181"/>
      <c r="L555" s="181"/>
      <c r="M555" s="181"/>
      <c r="N555" s="181"/>
      <c r="O555" s="181"/>
      <c r="P555" s="181"/>
      <c r="Q555" s="181"/>
      <c r="R555" s="181"/>
      <c r="S555" s="181"/>
      <c r="T555" s="181"/>
      <c r="U555" s="181"/>
      <c r="V555" s="181"/>
      <c r="W555" s="181"/>
      <c r="X555" s="181"/>
      <c r="Y555" s="181"/>
      <c r="Z555" s="181"/>
    </row>
    <row r="556" customFormat="false" ht="15.75" hidden="false" customHeight="false" outlineLevel="0" collapsed="false">
      <c r="A556" s="181"/>
      <c r="B556" s="181"/>
      <c r="C556" s="181"/>
      <c r="D556" s="181"/>
      <c r="E556" s="181"/>
      <c r="F556" s="181"/>
      <c r="G556" s="181"/>
      <c r="H556" s="181"/>
      <c r="I556" s="181"/>
      <c r="J556" s="181"/>
      <c r="K556" s="181"/>
      <c r="L556" s="181"/>
      <c r="M556" s="181"/>
      <c r="N556" s="181"/>
      <c r="O556" s="181"/>
      <c r="P556" s="181"/>
      <c r="Q556" s="181"/>
      <c r="R556" s="181"/>
      <c r="S556" s="181"/>
      <c r="T556" s="181"/>
      <c r="U556" s="181"/>
      <c r="V556" s="181"/>
      <c r="W556" s="181"/>
      <c r="X556" s="181"/>
      <c r="Y556" s="181"/>
      <c r="Z556" s="181"/>
    </row>
    <row r="557" customFormat="false" ht="15.75" hidden="false" customHeight="false" outlineLevel="0" collapsed="false">
      <c r="A557" s="181"/>
      <c r="B557" s="181"/>
      <c r="C557" s="181"/>
      <c r="D557" s="181"/>
      <c r="E557" s="181"/>
      <c r="F557" s="181"/>
      <c r="G557" s="181"/>
      <c r="H557" s="181"/>
      <c r="I557" s="181"/>
      <c r="J557" s="181"/>
      <c r="K557" s="181"/>
      <c r="L557" s="181"/>
      <c r="M557" s="181"/>
      <c r="N557" s="181"/>
      <c r="O557" s="181"/>
      <c r="P557" s="181"/>
      <c r="Q557" s="181"/>
      <c r="R557" s="181"/>
      <c r="S557" s="181"/>
      <c r="T557" s="181"/>
      <c r="U557" s="181"/>
      <c r="V557" s="181"/>
      <c r="W557" s="181"/>
      <c r="X557" s="181"/>
      <c r="Y557" s="181"/>
      <c r="Z557" s="181"/>
    </row>
    <row r="558" customFormat="false" ht="15.75" hidden="false" customHeight="false" outlineLevel="0" collapsed="false">
      <c r="A558" s="181"/>
      <c r="B558" s="181"/>
      <c r="C558" s="181"/>
      <c r="D558" s="181"/>
      <c r="E558" s="181"/>
      <c r="F558" s="181"/>
      <c r="G558" s="181"/>
      <c r="H558" s="181"/>
      <c r="I558" s="181"/>
      <c r="J558" s="181"/>
      <c r="K558" s="181"/>
      <c r="L558" s="181"/>
      <c r="M558" s="181"/>
      <c r="N558" s="181"/>
      <c r="O558" s="181"/>
      <c r="P558" s="181"/>
      <c r="Q558" s="181"/>
      <c r="R558" s="181"/>
      <c r="S558" s="181"/>
      <c r="T558" s="181"/>
      <c r="U558" s="181"/>
      <c r="V558" s="181"/>
      <c r="W558" s="181"/>
      <c r="X558" s="181"/>
      <c r="Y558" s="181"/>
      <c r="Z558" s="181"/>
    </row>
    <row r="559" customFormat="false" ht="15.75" hidden="false" customHeight="false" outlineLevel="0" collapsed="false">
      <c r="A559" s="181"/>
      <c r="B559" s="181"/>
      <c r="C559" s="181"/>
      <c r="D559" s="181"/>
      <c r="E559" s="181"/>
      <c r="F559" s="181"/>
      <c r="G559" s="181"/>
      <c r="H559" s="181"/>
      <c r="I559" s="181"/>
      <c r="J559" s="181"/>
      <c r="K559" s="181"/>
      <c r="L559" s="181"/>
      <c r="M559" s="181"/>
      <c r="N559" s="181"/>
      <c r="O559" s="181"/>
      <c r="P559" s="181"/>
      <c r="Q559" s="181"/>
      <c r="R559" s="181"/>
      <c r="S559" s="181"/>
      <c r="T559" s="181"/>
      <c r="U559" s="181"/>
      <c r="V559" s="181"/>
      <c r="W559" s="181"/>
      <c r="X559" s="181"/>
      <c r="Y559" s="181"/>
      <c r="Z559" s="181"/>
    </row>
    <row r="560" customFormat="false" ht="15.75" hidden="false" customHeight="false" outlineLevel="0" collapsed="false">
      <c r="A560" s="181"/>
      <c r="B560" s="181"/>
      <c r="C560" s="181"/>
      <c r="D560" s="181"/>
      <c r="E560" s="181"/>
      <c r="F560" s="181"/>
      <c r="G560" s="181"/>
      <c r="H560" s="181"/>
      <c r="I560" s="181"/>
      <c r="J560" s="181"/>
      <c r="K560" s="181"/>
      <c r="L560" s="181"/>
      <c r="M560" s="181"/>
      <c r="N560" s="181"/>
      <c r="O560" s="181"/>
      <c r="P560" s="181"/>
      <c r="Q560" s="181"/>
      <c r="R560" s="181"/>
      <c r="S560" s="181"/>
      <c r="T560" s="181"/>
      <c r="U560" s="181"/>
      <c r="V560" s="181"/>
      <c r="W560" s="181"/>
      <c r="X560" s="181"/>
      <c r="Y560" s="181"/>
      <c r="Z560" s="181"/>
    </row>
    <row r="561" customFormat="false" ht="15.75" hidden="false" customHeight="false" outlineLevel="0" collapsed="false">
      <c r="A561" s="181"/>
      <c r="B561" s="181"/>
      <c r="C561" s="181"/>
      <c r="D561" s="181"/>
      <c r="E561" s="181"/>
      <c r="F561" s="181"/>
      <c r="G561" s="181"/>
      <c r="H561" s="181"/>
      <c r="I561" s="181"/>
      <c r="J561" s="181"/>
      <c r="K561" s="181"/>
      <c r="L561" s="181"/>
      <c r="M561" s="181"/>
      <c r="N561" s="181"/>
      <c r="O561" s="181"/>
      <c r="P561" s="181"/>
      <c r="Q561" s="181"/>
      <c r="R561" s="181"/>
      <c r="S561" s="181"/>
      <c r="T561" s="181"/>
      <c r="U561" s="181"/>
      <c r="V561" s="181"/>
      <c r="W561" s="181"/>
      <c r="X561" s="181"/>
      <c r="Y561" s="181"/>
      <c r="Z561" s="181"/>
    </row>
    <row r="562" customFormat="false" ht="15.75" hidden="false" customHeight="false" outlineLevel="0" collapsed="false">
      <c r="A562" s="181"/>
      <c r="B562" s="181"/>
      <c r="C562" s="181"/>
      <c r="D562" s="181"/>
      <c r="E562" s="181"/>
      <c r="F562" s="181"/>
      <c r="G562" s="181"/>
      <c r="H562" s="181"/>
      <c r="I562" s="181"/>
      <c r="J562" s="181"/>
      <c r="K562" s="181"/>
      <c r="L562" s="181"/>
      <c r="M562" s="181"/>
      <c r="N562" s="181"/>
      <c r="O562" s="181"/>
      <c r="P562" s="181"/>
      <c r="Q562" s="181"/>
      <c r="R562" s="181"/>
      <c r="S562" s="181"/>
      <c r="T562" s="181"/>
      <c r="U562" s="181"/>
      <c r="V562" s="181"/>
      <c r="W562" s="181"/>
      <c r="X562" s="181"/>
      <c r="Y562" s="181"/>
      <c r="Z562" s="181"/>
    </row>
    <row r="563" customFormat="false" ht="15.75" hidden="false" customHeight="false" outlineLevel="0" collapsed="false">
      <c r="A563" s="181"/>
      <c r="B563" s="181"/>
      <c r="C563" s="181"/>
      <c r="D563" s="181"/>
      <c r="E563" s="181"/>
      <c r="F563" s="181"/>
      <c r="G563" s="181"/>
      <c r="H563" s="181"/>
      <c r="I563" s="181"/>
      <c r="J563" s="181"/>
      <c r="K563" s="181"/>
      <c r="L563" s="181"/>
      <c r="M563" s="181"/>
      <c r="N563" s="181"/>
      <c r="O563" s="181"/>
      <c r="P563" s="181"/>
      <c r="Q563" s="181"/>
      <c r="R563" s="181"/>
      <c r="S563" s="181"/>
      <c r="T563" s="181"/>
      <c r="U563" s="181"/>
      <c r="V563" s="181"/>
      <c r="W563" s="181"/>
      <c r="X563" s="181"/>
      <c r="Y563" s="181"/>
      <c r="Z563" s="181"/>
    </row>
    <row r="564" customFormat="false" ht="15.75" hidden="false" customHeight="false" outlineLevel="0" collapsed="false">
      <c r="A564" s="181"/>
      <c r="B564" s="181"/>
      <c r="C564" s="181"/>
      <c r="D564" s="181"/>
      <c r="E564" s="181"/>
      <c r="F564" s="181"/>
      <c r="G564" s="181"/>
      <c r="H564" s="181"/>
      <c r="I564" s="181"/>
      <c r="J564" s="181"/>
      <c r="K564" s="181"/>
      <c r="L564" s="181"/>
      <c r="M564" s="181"/>
      <c r="N564" s="181"/>
      <c r="O564" s="181"/>
      <c r="P564" s="181"/>
      <c r="Q564" s="181"/>
      <c r="R564" s="181"/>
      <c r="S564" s="181"/>
      <c r="T564" s="181"/>
      <c r="U564" s="181"/>
      <c r="V564" s="181"/>
      <c r="W564" s="181"/>
      <c r="X564" s="181"/>
      <c r="Y564" s="181"/>
      <c r="Z564" s="181"/>
    </row>
    <row r="565" customFormat="false" ht="15.75" hidden="false" customHeight="false" outlineLevel="0" collapsed="false">
      <c r="A565" s="181"/>
      <c r="B565" s="181"/>
      <c r="C565" s="181"/>
      <c r="D565" s="181"/>
      <c r="E565" s="181"/>
      <c r="F565" s="181"/>
      <c r="G565" s="181"/>
      <c r="H565" s="181"/>
      <c r="I565" s="181"/>
      <c r="J565" s="181"/>
      <c r="K565" s="181"/>
      <c r="L565" s="181"/>
      <c r="M565" s="181"/>
      <c r="N565" s="181"/>
      <c r="O565" s="181"/>
      <c r="P565" s="181"/>
      <c r="Q565" s="181"/>
      <c r="R565" s="181"/>
      <c r="S565" s="181"/>
      <c r="T565" s="181"/>
      <c r="U565" s="181"/>
      <c r="V565" s="181"/>
      <c r="W565" s="181"/>
      <c r="X565" s="181"/>
      <c r="Y565" s="181"/>
      <c r="Z565" s="181"/>
    </row>
    <row r="566" customFormat="false" ht="15.75" hidden="false" customHeight="false" outlineLevel="0" collapsed="false">
      <c r="A566" s="181"/>
      <c r="B566" s="181"/>
      <c r="C566" s="181"/>
      <c r="D566" s="181"/>
      <c r="E566" s="181"/>
      <c r="F566" s="181"/>
      <c r="G566" s="181"/>
      <c r="H566" s="181"/>
      <c r="I566" s="181"/>
      <c r="J566" s="181"/>
      <c r="K566" s="181"/>
      <c r="L566" s="181"/>
      <c r="M566" s="181"/>
      <c r="N566" s="181"/>
      <c r="O566" s="181"/>
      <c r="P566" s="181"/>
      <c r="Q566" s="181"/>
      <c r="R566" s="181"/>
      <c r="S566" s="181"/>
      <c r="T566" s="181"/>
      <c r="U566" s="181"/>
      <c r="V566" s="181"/>
      <c r="W566" s="181"/>
      <c r="X566" s="181"/>
      <c r="Y566" s="181"/>
      <c r="Z566" s="181"/>
    </row>
    <row r="567" customFormat="false" ht="15.75" hidden="false" customHeight="false" outlineLevel="0" collapsed="false">
      <c r="A567" s="181"/>
      <c r="B567" s="181"/>
      <c r="C567" s="181"/>
      <c r="D567" s="181"/>
      <c r="E567" s="181"/>
      <c r="F567" s="181"/>
      <c r="G567" s="181"/>
      <c r="H567" s="181"/>
      <c r="I567" s="181"/>
      <c r="J567" s="181"/>
      <c r="K567" s="181"/>
      <c r="L567" s="181"/>
      <c r="M567" s="181"/>
      <c r="N567" s="181"/>
      <c r="O567" s="181"/>
      <c r="P567" s="181"/>
      <c r="Q567" s="181"/>
      <c r="R567" s="181"/>
      <c r="S567" s="181"/>
      <c r="T567" s="181"/>
      <c r="U567" s="181"/>
      <c r="V567" s="181"/>
      <c r="W567" s="181"/>
      <c r="X567" s="181"/>
      <c r="Y567" s="181"/>
      <c r="Z567" s="181"/>
    </row>
    <row r="568" customFormat="false" ht="15.75" hidden="false" customHeight="false" outlineLevel="0" collapsed="false">
      <c r="A568" s="181"/>
      <c r="B568" s="181"/>
      <c r="C568" s="181"/>
      <c r="D568" s="181"/>
      <c r="E568" s="181"/>
      <c r="F568" s="181"/>
      <c r="G568" s="181"/>
      <c r="H568" s="181"/>
      <c r="I568" s="181"/>
      <c r="J568" s="181"/>
      <c r="K568" s="181"/>
      <c r="L568" s="181"/>
      <c r="M568" s="181"/>
      <c r="N568" s="181"/>
      <c r="O568" s="181"/>
      <c r="P568" s="181"/>
      <c r="Q568" s="181"/>
      <c r="R568" s="181"/>
      <c r="S568" s="181"/>
      <c r="T568" s="181"/>
      <c r="U568" s="181"/>
      <c r="V568" s="181"/>
      <c r="W568" s="181"/>
      <c r="X568" s="181"/>
      <c r="Y568" s="181"/>
      <c r="Z568" s="181"/>
    </row>
    <row r="569" customFormat="false" ht="15.75" hidden="false" customHeight="false" outlineLevel="0" collapsed="false">
      <c r="A569" s="181"/>
      <c r="B569" s="181"/>
      <c r="C569" s="181"/>
      <c r="D569" s="181"/>
      <c r="E569" s="181"/>
      <c r="F569" s="181"/>
      <c r="G569" s="181"/>
      <c r="H569" s="181"/>
      <c r="I569" s="181"/>
      <c r="J569" s="181"/>
      <c r="K569" s="181"/>
      <c r="L569" s="181"/>
      <c r="M569" s="181"/>
      <c r="N569" s="181"/>
      <c r="O569" s="181"/>
      <c r="P569" s="181"/>
      <c r="Q569" s="181"/>
      <c r="R569" s="181"/>
      <c r="S569" s="181"/>
      <c r="T569" s="181"/>
      <c r="U569" s="181"/>
      <c r="V569" s="181"/>
      <c r="W569" s="181"/>
      <c r="X569" s="181"/>
      <c r="Y569" s="181"/>
      <c r="Z569" s="181"/>
    </row>
    <row r="570" customFormat="false" ht="15.75" hidden="false" customHeight="false" outlineLevel="0" collapsed="false">
      <c r="A570" s="181"/>
      <c r="B570" s="181"/>
      <c r="C570" s="181"/>
      <c r="D570" s="181"/>
      <c r="E570" s="181"/>
      <c r="F570" s="181"/>
      <c r="G570" s="181"/>
      <c r="H570" s="181"/>
      <c r="I570" s="181"/>
      <c r="J570" s="181"/>
      <c r="K570" s="181"/>
      <c r="L570" s="181"/>
      <c r="M570" s="181"/>
      <c r="N570" s="181"/>
      <c r="O570" s="181"/>
      <c r="P570" s="181"/>
      <c r="Q570" s="181"/>
      <c r="R570" s="181"/>
      <c r="S570" s="181"/>
      <c r="T570" s="181"/>
      <c r="U570" s="181"/>
      <c r="V570" s="181"/>
      <c r="W570" s="181"/>
      <c r="X570" s="181"/>
      <c r="Y570" s="181"/>
      <c r="Z570" s="181"/>
    </row>
    <row r="571" customFormat="false" ht="15.75" hidden="false" customHeight="false" outlineLevel="0" collapsed="false">
      <c r="A571" s="181"/>
      <c r="B571" s="181"/>
      <c r="C571" s="181"/>
      <c r="D571" s="181"/>
      <c r="E571" s="181"/>
      <c r="F571" s="181"/>
      <c r="G571" s="181"/>
      <c r="H571" s="181"/>
      <c r="I571" s="181"/>
      <c r="J571" s="181"/>
      <c r="K571" s="181"/>
      <c r="L571" s="181"/>
      <c r="M571" s="181"/>
      <c r="N571" s="181"/>
      <c r="O571" s="181"/>
      <c r="P571" s="181"/>
      <c r="Q571" s="181"/>
      <c r="R571" s="181"/>
      <c r="S571" s="181"/>
      <c r="T571" s="181"/>
      <c r="U571" s="181"/>
      <c r="V571" s="181"/>
      <c r="W571" s="181"/>
      <c r="X571" s="181"/>
      <c r="Y571" s="181"/>
      <c r="Z571" s="181"/>
    </row>
    <row r="572" customFormat="false" ht="15.75" hidden="false" customHeight="false" outlineLevel="0" collapsed="false">
      <c r="A572" s="181"/>
      <c r="B572" s="181"/>
      <c r="C572" s="181"/>
      <c r="D572" s="181"/>
      <c r="E572" s="181"/>
      <c r="F572" s="181"/>
      <c r="G572" s="181"/>
      <c r="H572" s="181"/>
      <c r="I572" s="181"/>
      <c r="J572" s="181"/>
      <c r="K572" s="181"/>
      <c r="L572" s="181"/>
      <c r="M572" s="181"/>
      <c r="N572" s="181"/>
      <c r="O572" s="181"/>
      <c r="P572" s="181"/>
      <c r="Q572" s="181"/>
      <c r="R572" s="181"/>
      <c r="S572" s="181"/>
      <c r="T572" s="181"/>
      <c r="U572" s="181"/>
      <c r="V572" s="181"/>
      <c r="W572" s="181"/>
      <c r="X572" s="181"/>
      <c r="Y572" s="181"/>
      <c r="Z572" s="181"/>
    </row>
    <row r="573" customFormat="false" ht="15.75" hidden="false" customHeight="false" outlineLevel="0" collapsed="false">
      <c r="A573" s="181"/>
      <c r="B573" s="181"/>
      <c r="C573" s="181"/>
      <c r="D573" s="181"/>
      <c r="E573" s="181"/>
      <c r="F573" s="181"/>
      <c r="G573" s="181"/>
      <c r="H573" s="181"/>
      <c r="I573" s="181"/>
      <c r="J573" s="181"/>
      <c r="K573" s="181"/>
      <c r="L573" s="181"/>
      <c r="M573" s="181"/>
      <c r="N573" s="181"/>
      <c r="O573" s="181"/>
      <c r="P573" s="181"/>
      <c r="Q573" s="181"/>
      <c r="R573" s="181"/>
      <c r="S573" s="181"/>
      <c r="T573" s="181"/>
      <c r="U573" s="181"/>
      <c r="V573" s="181"/>
      <c r="W573" s="181"/>
      <c r="X573" s="181"/>
      <c r="Y573" s="181"/>
      <c r="Z573" s="181"/>
    </row>
    <row r="574" customFormat="false" ht="15.75" hidden="false" customHeight="false" outlineLevel="0" collapsed="false">
      <c r="A574" s="181"/>
      <c r="B574" s="181"/>
      <c r="C574" s="181"/>
      <c r="D574" s="181"/>
      <c r="E574" s="181"/>
      <c r="F574" s="181"/>
      <c r="G574" s="181"/>
      <c r="H574" s="181"/>
      <c r="I574" s="181"/>
      <c r="J574" s="181"/>
      <c r="K574" s="181"/>
      <c r="L574" s="181"/>
      <c r="M574" s="181"/>
      <c r="N574" s="181"/>
      <c r="O574" s="181"/>
      <c r="P574" s="181"/>
      <c r="Q574" s="181"/>
      <c r="R574" s="181"/>
      <c r="S574" s="181"/>
      <c r="T574" s="181"/>
      <c r="U574" s="181"/>
      <c r="V574" s="181"/>
      <c r="W574" s="181"/>
      <c r="X574" s="181"/>
      <c r="Y574" s="181"/>
      <c r="Z574" s="181"/>
    </row>
    <row r="575" customFormat="false" ht="15.75" hidden="false" customHeight="false" outlineLevel="0" collapsed="false">
      <c r="A575" s="181"/>
      <c r="B575" s="181"/>
      <c r="C575" s="181"/>
      <c r="D575" s="181"/>
      <c r="E575" s="181"/>
      <c r="F575" s="181"/>
      <c r="G575" s="181"/>
      <c r="H575" s="181"/>
      <c r="I575" s="181"/>
      <c r="J575" s="181"/>
      <c r="K575" s="181"/>
      <c r="L575" s="181"/>
      <c r="M575" s="181"/>
      <c r="N575" s="181"/>
      <c r="O575" s="181"/>
      <c r="P575" s="181"/>
      <c r="Q575" s="181"/>
      <c r="R575" s="181"/>
      <c r="S575" s="181"/>
      <c r="T575" s="181"/>
      <c r="U575" s="181"/>
      <c r="V575" s="181"/>
      <c r="W575" s="181"/>
      <c r="X575" s="181"/>
      <c r="Y575" s="181"/>
      <c r="Z575" s="181"/>
    </row>
    <row r="576" customFormat="false" ht="15.75" hidden="false" customHeight="false" outlineLevel="0" collapsed="false">
      <c r="A576" s="181"/>
      <c r="B576" s="181"/>
      <c r="C576" s="181"/>
      <c r="D576" s="181"/>
      <c r="E576" s="181"/>
      <c r="F576" s="181"/>
      <c r="G576" s="181"/>
      <c r="H576" s="181"/>
      <c r="I576" s="181"/>
      <c r="J576" s="181"/>
      <c r="K576" s="181"/>
      <c r="L576" s="181"/>
      <c r="M576" s="181"/>
      <c r="N576" s="181"/>
      <c r="O576" s="181"/>
      <c r="P576" s="181"/>
      <c r="Q576" s="181"/>
      <c r="R576" s="181"/>
      <c r="S576" s="181"/>
      <c r="T576" s="181"/>
      <c r="U576" s="181"/>
      <c r="V576" s="181"/>
      <c r="W576" s="181"/>
      <c r="X576" s="181"/>
      <c r="Y576" s="181"/>
      <c r="Z576" s="181"/>
    </row>
    <row r="577" customFormat="false" ht="15.75" hidden="false" customHeight="false" outlineLevel="0" collapsed="false">
      <c r="A577" s="181"/>
      <c r="B577" s="181"/>
      <c r="C577" s="181"/>
      <c r="D577" s="181"/>
      <c r="E577" s="181"/>
      <c r="F577" s="181"/>
      <c r="G577" s="181"/>
      <c r="H577" s="181"/>
      <c r="I577" s="181"/>
      <c r="J577" s="181"/>
      <c r="K577" s="181"/>
      <c r="L577" s="181"/>
      <c r="M577" s="181"/>
      <c r="N577" s="181"/>
      <c r="O577" s="181"/>
      <c r="P577" s="181"/>
      <c r="Q577" s="181"/>
      <c r="R577" s="181"/>
      <c r="S577" s="181"/>
      <c r="T577" s="181"/>
      <c r="U577" s="181"/>
      <c r="V577" s="181"/>
      <c r="W577" s="181"/>
      <c r="X577" s="181"/>
      <c r="Y577" s="181"/>
      <c r="Z577" s="181"/>
    </row>
    <row r="578" customFormat="false" ht="15.75" hidden="false" customHeight="false" outlineLevel="0" collapsed="false">
      <c r="A578" s="181"/>
      <c r="B578" s="181"/>
      <c r="C578" s="181"/>
      <c r="D578" s="181"/>
      <c r="E578" s="181"/>
      <c r="F578" s="181"/>
      <c r="G578" s="181"/>
      <c r="H578" s="181"/>
      <c r="I578" s="181"/>
      <c r="J578" s="181"/>
      <c r="K578" s="181"/>
      <c r="L578" s="181"/>
      <c r="M578" s="181"/>
      <c r="N578" s="181"/>
      <c r="O578" s="181"/>
      <c r="P578" s="181"/>
      <c r="Q578" s="181"/>
      <c r="R578" s="181"/>
      <c r="S578" s="181"/>
      <c r="T578" s="181"/>
      <c r="U578" s="181"/>
      <c r="V578" s="181"/>
      <c r="W578" s="181"/>
      <c r="X578" s="181"/>
      <c r="Y578" s="181"/>
      <c r="Z578" s="181"/>
    </row>
    <row r="579" customFormat="false" ht="15.75" hidden="false" customHeight="false" outlineLevel="0" collapsed="false">
      <c r="A579" s="181"/>
      <c r="B579" s="181"/>
      <c r="C579" s="181"/>
      <c r="D579" s="181"/>
      <c r="E579" s="181"/>
      <c r="F579" s="181"/>
      <c r="G579" s="181"/>
      <c r="H579" s="181"/>
      <c r="I579" s="181"/>
      <c r="J579" s="181"/>
      <c r="K579" s="181"/>
      <c r="L579" s="181"/>
      <c r="M579" s="181"/>
      <c r="N579" s="181"/>
      <c r="O579" s="181"/>
      <c r="P579" s="181"/>
      <c r="Q579" s="181"/>
      <c r="R579" s="181"/>
      <c r="S579" s="181"/>
      <c r="T579" s="181"/>
      <c r="U579" s="181"/>
      <c r="V579" s="181"/>
      <c r="W579" s="181"/>
      <c r="X579" s="181"/>
      <c r="Y579" s="181"/>
      <c r="Z579" s="181"/>
    </row>
    <row r="580" customFormat="false" ht="15.75" hidden="false" customHeight="false" outlineLevel="0" collapsed="false">
      <c r="A580" s="181"/>
      <c r="B580" s="181"/>
      <c r="C580" s="181"/>
      <c r="D580" s="181"/>
      <c r="E580" s="181"/>
      <c r="F580" s="181"/>
      <c r="G580" s="181"/>
      <c r="H580" s="181"/>
      <c r="I580" s="181"/>
      <c r="J580" s="181"/>
      <c r="K580" s="181"/>
      <c r="L580" s="181"/>
      <c r="M580" s="181"/>
      <c r="N580" s="181"/>
      <c r="O580" s="181"/>
      <c r="P580" s="181"/>
      <c r="Q580" s="181"/>
      <c r="R580" s="181"/>
      <c r="S580" s="181"/>
      <c r="T580" s="181"/>
      <c r="U580" s="181"/>
      <c r="V580" s="181"/>
      <c r="W580" s="181"/>
      <c r="X580" s="181"/>
      <c r="Y580" s="181"/>
      <c r="Z580" s="181"/>
    </row>
    <row r="581" customFormat="false" ht="15.75" hidden="false" customHeight="false" outlineLevel="0" collapsed="false">
      <c r="A581" s="181"/>
      <c r="B581" s="181"/>
      <c r="C581" s="181"/>
      <c r="D581" s="181"/>
      <c r="E581" s="181"/>
      <c r="F581" s="181"/>
      <c r="G581" s="181"/>
      <c r="H581" s="181"/>
      <c r="I581" s="181"/>
      <c r="J581" s="181"/>
      <c r="K581" s="181"/>
      <c r="L581" s="181"/>
      <c r="M581" s="181"/>
      <c r="N581" s="181"/>
      <c r="O581" s="181"/>
      <c r="P581" s="181"/>
      <c r="Q581" s="181"/>
      <c r="R581" s="181"/>
      <c r="S581" s="181"/>
      <c r="T581" s="181"/>
      <c r="U581" s="181"/>
      <c r="V581" s="181"/>
      <c r="W581" s="181"/>
      <c r="X581" s="181"/>
      <c r="Y581" s="181"/>
      <c r="Z581" s="181"/>
    </row>
    <row r="582" customFormat="false" ht="15.75" hidden="false" customHeight="false" outlineLevel="0" collapsed="false">
      <c r="A582" s="181"/>
      <c r="B582" s="181"/>
      <c r="C582" s="181"/>
      <c r="D582" s="181"/>
      <c r="E582" s="181"/>
      <c r="F582" s="181"/>
      <c r="G582" s="181"/>
      <c r="H582" s="181"/>
      <c r="I582" s="181"/>
      <c r="J582" s="181"/>
      <c r="K582" s="181"/>
      <c r="L582" s="181"/>
      <c r="M582" s="181"/>
      <c r="N582" s="181"/>
      <c r="O582" s="181"/>
      <c r="P582" s="181"/>
      <c r="Q582" s="181"/>
      <c r="R582" s="181"/>
      <c r="S582" s="181"/>
      <c r="T582" s="181"/>
      <c r="U582" s="181"/>
      <c r="V582" s="181"/>
      <c r="W582" s="181"/>
      <c r="X582" s="181"/>
      <c r="Y582" s="181"/>
      <c r="Z582" s="181"/>
    </row>
    <row r="583" customFormat="false" ht="15.75" hidden="false" customHeight="false" outlineLevel="0" collapsed="false">
      <c r="A583" s="181"/>
      <c r="B583" s="181"/>
      <c r="C583" s="181"/>
      <c r="D583" s="181"/>
      <c r="E583" s="181"/>
      <c r="F583" s="181"/>
      <c r="G583" s="181"/>
      <c r="H583" s="181"/>
      <c r="I583" s="181"/>
      <c r="J583" s="181"/>
      <c r="K583" s="181"/>
      <c r="L583" s="181"/>
      <c r="M583" s="181"/>
      <c r="N583" s="181"/>
      <c r="O583" s="181"/>
      <c r="P583" s="181"/>
      <c r="Q583" s="181"/>
      <c r="R583" s="181"/>
      <c r="S583" s="181"/>
      <c r="T583" s="181"/>
      <c r="U583" s="181"/>
      <c r="V583" s="181"/>
      <c r="W583" s="181"/>
      <c r="X583" s="181"/>
      <c r="Y583" s="181"/>
      <c r="Z583" s="181"/>
    </row>
    <row r="584" customFormat="false" ht="15.75" hidden="false" customHeight="false" outlineLevel="0" collapsed="false">
      <c r="A584" s="181"/>
      <c r="B584" s="181"/>
      <c r="C584" s="181"/>
      <c r="D584" s="181"/>
      <c r="E584" s="181"/>
      <c r="F584" s="181"/>
      <c r="G584" s="181"/>
      <c r="H584" s="181"/>
      <c r="I584" s="181"/>
      <c r="J584" s="181"/>
      <c r="K584" s="181"/>
      <c r="L584" s="181"/>
      <c r="M584" s="181"/>
      <c r="N584" s="181"/>
      <c r="O584" s="181"/>
      <c r="P584" s="181"/>
      <c r="Q584" s="181"/>
      <c r="R584" s="181"/>
      <c r="S584" s="181"/>
      <c r="T584" s="181"/>
      <c r="U584" s="181"/>
      <c r="V584" s="181"/>
      <c r="W584" s="181"/>
      <c r="X584" s="181"/>
      <c r="Y584" s="181"/>
      <c r="Z584" s="181"/>
    </row>
    <row r="585" customFormat="false" ht="15.75" hidden="false" customHeight="false" outlineLevel="0" collapsed="false">
      <c r="A585" s="181"/>
      <c r="B585" s="181"/>
      <c r="C585" s="181"/>
      <c r="D585" s="181"/>
      <c r="E585" s="181"/>
      <c r="F585" s="181"/>
      <c r="G585" s="181"/>
      <c r="H585" s="181"/>
      <c r="I585" s="181"/>
      <c r="J585" s="181"/>
      <c r="K585" s="181"/>
      <c r="L585" s="181"/>
      <c r="M585" s="181"/>
      <c r="N585" s="181"/>
      <c r="O585" s="181"/>
      <c r="P585" s="181"/>
      <c r="Q585" s="181"/>
      <c r="R585" s="181"/>
      <c r="S585" s="181"/>
      <c r="T585" s="181"/>
      <c r="U585" s="181"/>
      <c r="V585" s="181"/>
      <c r="W585" s="181"/>
      <c r="X585" s="181"/>
      <c r="Y585" s="181"/>
      <c r="Z585" s="181"/>
    </row>
    <row r="586" customFormat="false" ht="15.75" hidden="false" customHeight="false" outlineLevel="0" collapsed="false">
      <c r="A586" s="181"/>
      <c r="B586" s="181"/>
      <c r="C586" s="181"/>
      <c r="D586" s="181"/>
      <c r="E586" s="181"/>
      <c r="F586" s="181"/>
      <c r="G586" s="181"/>
      <c r="H586" s="181"/>
      <c r="I586" s="181"/>
      <c r="J586" s="181"/>
      <c r="K586" s="181"/>
      <c r="L586" s="181"/>
      <c r="M586" s="181"/>
      <c r="N586" s="181"/>
      <c r="O586" s="181"/>
      <c r="P586" s="181"/>
      <c r="Q586" s="181"/>
      <c r="R586" s="181"/>
      <c r="S586" s="181"/>
      <c r="T586" s="181"/>
      <c r="U586" s="181"/>
      <c r="V586" s="181"/>
      <c r="W586" s="181"/>
      <c r="X586" s="181"/>
      <c r="Y586" s="181"/>
      <c r="Z586" s="181"/>
    </row>
    <row r="587" customFormat="false" ht="15.75" hidden="false" customHeight="false" outlineLevel="0" collapsed="false">
      <c r="A587" s="181"/>
      <c r="B587" s="181"/>
      <c r="C587" s="181"/>
      <c r="D587" s="181"/>
      <c r="E587" s="181"/>
      <c r="F587" s="181"/>
      <c r="G587" s="181"/>
      <c r="H587" s="181"/>
      <c r="I587" s="181"/>
      <c r="J587" s="181"/>
      <c r="K587" s="181"/>
      <c r="L587" s="181"/>
      <c r="M587" s="181"/>
      <c r="N587" s="181"/>
      <c r="O587" s="181"/>
      <c r="P587" s="181"/>
      <c r="Q587" s="181"/>
      <c r="R587" s="181"/>
      <c r="S587" s="181"/>
      <c r="T587" s="181"/>
      <c r="U587" s="181"/>
      <c r="V587" s="181"/>
      <c r="W587" s="181"/>
      <c r="X587" s="181"/>
      <c r="Y587" s="181"/>
      <c r="Z587" s="181"/>
    </row>
    <row r="588" customFormat="false" ht="15.75" hidden="false" customHeight="false" outlineLevel="0" collapsed="false">
      <c r="A588" s="181"/>
      <c r="B588" s="181"/>
      <c r="C588" s="181"/>
      <c r="D588" s="181"/>
      <c r="E588" s="181"/>
      <c r="F588" s="181"/>
      <c r="G588" s="181"/>
      <c r="H588" s="181"/>
      <c r="I588" s="181"/>
      <c r="J588" s="181"/>
      <c r="K588" s="181"/>
      <c r="L588" s="181"/>
      <c r="M588" s="181"/>
      <c r="N588" s="181"/>
      <c r="O588" s="181"/>
      <c r="P588" s="181"/>
      <c r="Q588" s="181"/>
      <c r="R588" s="181"/>
      <c r="S588" s="181"/>
      <c r="T588" s="181"/>
      <c r="U588" s="181"/>
      <c r="V588" s="181"/>
      <c r="W588" s="181"/>
      <c r="X588" s="181"/>
      <c r="Y588" s="181"/>
      <c r="Z588" s="181"/>
    </row>
    <row r="589" customFormat="false" ht="15.75" hidden="false" customHeight="false" outlineLevel="0" collapsed="false">
      <c r="A589" s="181"/>
      <c r="B589" s="181"/>
      <c r="C589" s="181"/>
      <c r="D589" s="181"/>
      <c r="E589" s="181"/>
      <c r="F589" s="181"/>
      <c r="G589" s="181"/>
      <c r="H589" s="181"/>
      <c r="I589" s="181"/>
      <c r="J589" s="181"/>
      <c r="K589" s="181"/>
      <c r="L589" s="181"/>
      <c r="M589" s="181"/>
      <c r="N589" s="181"/>
      <c r="O589" s="181"/>
      <c r="P589" s="181"/>
      <c r="Q589" s="181"/>
      <c r="R589" s="181"/>
      <c r="S589" s="181"/>
      <c r="T589" s="181"/>
      <c r="U589" s="181"/>
      <c r="V589" s="181"/>
      <c r="W589" s="181"/>
      <c r="X589" s="181"/>
      <c r="Y589" s="181"/>
      <c r="Z589" s="181"/>
    </row>
    <row r="590" customFormat="false" ht="15.75" hidden="false" customHeight="false" outlineLevel="0" collapsed="false">
      <c r="A590" s="181"/>
      <c r="B590" s="181"/>
      <c r="C590" s="181"/>
      <c r="D590" s="181"/>
      <c r="E590" s="181"/>
      <c r="F590" s="181"/>
      <c r="G590" s="181"/>
      <c r="H590" s="181"/>
      <c r="I590" s="181"/>
      <c r="J590" s="181"/>
      <c r="K590" s="181"/>
      <c r="L590" s="181"/>
      <c r="M590" s="181"/>
      <c r="N590" s="181"/>
      <c r="O590" s="181"/>
      <c r="P590" s="181"/>
      <c r="Q590" s="181"/>
      <c r="R590" s="181"/>
      <c r="S590" s="181"/>
      <c r="T590" s="181"/>
      <c r="U590" s="181"/>
      <c r="V590" s="181"/>
      <c r="W590" s="181"/>
      <c r="X590" s="181"/>
      <c r="Y590" s="181"/>
      <c r="Z590" s="181"/>
    </row>
    <row r="591" customFormat="false" ht="15.75" hidden="false" customHeight="false" outlineLevel="0" collapsed="false">
      <c r="A591" s="181"/>
      <c r="B591" s="181"/>
      <c r="C591" s="181"/>
      <c r="D591" s="181"/>
      <c r="E591" s="181"/>
      <c r="F591" s="181"/>
      <c r="G591" s="181"/>
      <c r="H591" s="181"/>
      <c r="I591" s="181"/>
      <c r="J591" s="181"/>
      <c r="K591" s="181"/>
      <c r="L591" s="181"/>
      <c r="M591" s="181"/>
      <c r="N591" s="181"/>
      <c r="O591" s="181"/>
      <c r="P591" s="181"/>
      <c r="Q591" s="181"/>
      <c r="R591" s="181"/>
      <c r="S591" s="181"/>
      <c r="T591" s="181"/>
      <c r="U591" s="181"/>
      <c r="V591" s="181"/>
      <c r="W591" s="181"/>
      <c r="X591" s="181"/>
      <c r="Y591" s="181"/>
      <c r="Z591" s="181"/>
    </row>
    <row r="592" customFormat="false" ht="15.75" hidden="false" customHeight="false" outlineLevel="0" collapsed="false">
      <c r="A592" s="181"/>
      <c r="B592" s="181"/>
      <c r="C592" s="181"/>
      <c r="D592" s="181"/>
      <c r="E592" s="181"/>
      <c r="F592" s="181"/>
      <c r="G592" s="181"/>
      <c r="H592" s="181"/>
      <c r="I592" s="181"/>
      <c r="J592" s="181"/>
      <c r="K592" s="181"/>
      <c r="L592" s="181"/>
      <c r="M592" s="181"/>
      <c r="N592" s="181"/>
      <c r="O592" s="181"/>
      <c r="P592" s="181"/>
      <c r="Q592" s="181"/>
      <c r="R592" s="181"/>
      <c r="S592" s="181"/>
      <c r="T592" s="181"/>
      <c r="U592" s="181"/>
      <c r="V592" s="181"/>
      <c r="W592" s="181"/>
      <c r="X592" s="181"/>
      <c r="Y592" s="181"/>
      <c r="Z592" s="181"/>
    </row>
    <row r="593" customFormat="false" ht="15.75" hidden="false" customHeight="false" outlineLevel="0" collapsed="false">
      <c r="A593" s="181"/>
      <c r="B593" s="181"/>
      <c r="C593" s="181"/>
      <c r="D593" s="181"/>
      <c r="E593" s="181"/>
      <c r="F593" s="181"/>
      <c r="G593" s="181"/>
      <c r="H593" s="181"/>
      <c r="I593" s="181"/>
      <c r="J593" s="181"/>
      <c r="K593" s="181"/>
      <c r="L593" s="181"/>
      <c r="M593" s="181"/>
      <c r="N593" s="181"/>
      <c r="O593" s="181"/>
      <c r="P593" s="181"/>
      <c r="Q593" s="181"/>
      <c r="R593" s="181"/>
      <c r="S593" s="181"/>
      <c r="T593" s="181"/>
      <c r="U593" s="181"/>
      <c r="V593" s="181"/>
      <c r="W593" s="181"/>
      <c r="X593" s="181"/>
      <c r="Y593" s="181"/>
      <c r="Z593" s="181"/>
    </row>
    <row r="594" customFormat="false" ht="15.75" hidden="false" customHeight="false" outlineLevel="0" collapsed="false">
      <c r="A594" s="181"/>
      <c r="B594" s="181"/>
      <c r="C594" s="181"/>
      <c r="D594" s="181"/>
      <c r="E594" s="181"/>
      <c r="F594" s="181"/>
      <c r="G594" s="181"/>
      <c r="H594" s="181"/>
      <c r="I594" s="181"/>
      <c r="J594" s="181"/>
      <c r="K594" s="181"/>
      <c r="L594" s="181"/>
      <c r="M594" s="181"/>
      <c r="N594" s="181"/>
      <c r="O594" s="181"/>
      <c r="P594" s="181"/>
      <c r="Q594" s="181"/>
      <c r="R594" s="181"/>
      <c r="S594" s="181"/>
      <c r="T594" s="181"/>
      <c r="U594" s="181"/>
      <c r="V594" s="181"/>
      <c r="W594" s="181"/>
      <c r="X594" s="181"/>
      <c r="Y594" s="181"/>
      <c r="Z594" s="181"/>
    </row>
    <row r="595" customFormat="false" ht="15.75" hidden="false" customHeight="false" outlineLevel="0" collapsed="false">
      <c r="A595" s="181"/>
      <c r="B595" s="181"/>
      <c r="C595" s="181"/>
      <c r="D595" s="181"/>
      <c r="E595" s="181"/>
      <c r="F595" s="181"/>
      <c r="G595" s="181"/>
      <c r="H595" s="181"/>
      <c r="I595" s="181"/>
      <c r="J595" s="181"/>
      <c r="K595" s="181"/>
      <c r="L595" s="181"/>
      <c r="M595" s="181"/>
      <c r="N595" s="181"/>
      <c r="O595" s="181"/>
      <c r="P595" s="181"/>
      <c r="Q595" s="181"/>
      <c r="R595" s="181"/>
      <c r="S595" s="181"/>
      <c r="T595" s="181"/>
      <c r="U595" s="181"/>
      <c r="V595" s="181"/>
      <c r="W595" s="181"/>
      <c r="X595" s="181"/>
      <c r="Y595" s="181"/>
      <c r="Z595" s="181"/>
    </row>
    <row r="596" customFormat="false" ht="15.75" hidden="false" customHeight="false" outlineLevel="0" collapsed="false">
      <c r="A596" s="181"/>
      <c r="B596" s="181"/>
      <c r="C596" s="181"/>
      <c r="D596" s="181"/>
      <c r="E596" s="181"/>
      <c r="F596" s="181"/>
      <c r="G596" s="181"/>
      <c r="H596" s="181"/>
      <c r="I596" s="181"/>
      <c r="J596" s="181"/>
      <c r="K596" s="181"/>
      <c r="L596" s="181"/>
      <c r="M596" s="181"/>
      <c r="N596" s="181"/>
      <c r="O596" s="181"/>
      <c r="P596" s="181"/>
      <c r="Q596" s="181"/>
      <c r="R596" s="181"/>
      <c r="S596" s="181"/>
      <c r="T596" s="181"/>
      <c r="U596" s="181"/>
      <c r="V596" s="181"/>
      <c r="W596" s="181"/>
      <c r="X596" s="181"/>
      <c r="Y596" s="181"/>
      <c r="Z596" s="181"/>
    </row>
    <row r="597" customFormat="false" ht="15.75" hidden="false" customHeight="false" outlineLevel="0" collapsed="false">
      <c r="A597" s="181"/>
      <c r="B597" s="181"/>
      <c r="C597" s="181"/>
      <c r="D597" s="181"/>
      <c r="E597" s="181"/>
      <c r="F597" s="181"/>
      <c r="G597" s="181"/>
      <c r="H597" s="181"/>
      <c r="I597" s="181"/>
      <c r="J597" s="181"/>
      <c r="K597" s="181"/>
      <c r="L597" s="181"/>
      <c r="M597" s="181"/>
      <c r="N597" s="181"/>
      <c r="O597" s="181"/>
      <c r="P597" s="181"/>
      <c r="Q597" s="181"/>
      <c r="R597" s="181"/>
      <c r="S597" s="181"/>
      <c r="T597" s="181"/>
      <c r="U597" s="181"/>
      <c r="V597" s="181"/>
      <c r="W597" s="181"/>
      <c r="X597" s="181"/>
      <c r="Y597" s="181"/>
      <c r="Z597" s="181"/>
    </row>
    <row r="598" customFormat="false" ht="15.75" hidden="false" customHeight="false" outlineLevel="0" collapsed="false">
      <c r="A598" s="181"/>
      <c r="B598" s="181"/>
      <c r="C598" s="181"/>
      <c r="D598" s="181"/>
      <c r="E598" s="181"/>
      <c r="F598" s="181"/>
      <c r="G598" s="181"/>
      <c r="H598" s="181"/>
      <c r="I598" s="181"/>
      <c r="J598" s="181"/>
      <c r="K598" s="181"/>
      <c r="L598" s="181"/>
      <c r="M598" s="181"/>
      <c r="N598" s="181"/>
      <c r="O598" s="181"/>
      <c r="P598" s="181"/>
      <c r="Q598" s="181"/>
      <c r="R598" s="181"/>
      <c r="S598" s="181"/>
      <c r="T598" s="181"/>
      <c r="U598" s="181"/>
      <c r="V598" s="181"/>
      <c r="W598" s="181"/>
      <c r="X598" s="181"/>
      <c r="Y598" s="181"/>
      <c r="Z598" s="181"/>
    </row>
    <row r="599" customFormat="false" ht="15.75" hidden="false" customHeight="false" outlineLevel="0" collapsed="false">
      <c r="A599" s="181"/>
      <c r="B599" s="181"/>
      <c r="C599" s="181"/>
      <c r="D599" s="181"/>
      <c r="E599" s="181"/>
      <c r="F599" s="181"/>
      <c r="G599" s="181"/>
      <c r="H599" s="181"/>
      <c r="I599" s="181"/>
      <c r="J599" s="181"/>
      <c r="K599" s="181"/>
      <c r="L599" s="181"/>
      <c r="M599" s="181"/>
      <c r="N599" s="181"/>
      <c r="O599" s="181"/>
      <c r="P599" s="181"/>
      <c r="Q599" s="181"/>
      <c r="R599" s="181"/>
      <c r="S599" s="181"/>
      <c r="T599" s="181"/>
      <c r="U599" s="181"/>
      <c r="V599" s="181"/>
      <c r="W599" s="181"/>
      <c r="X599" s="181"/>
      <c r="Y599" s="181"/>
      <c r="Z599" s="181"/>
    </row>
    <row r="600" customFormat="false" ht="15.75" hidden="false" customHeight="false" outlineLevel="0" collapsed="false">
      <c r="A600" s="181"/>
      <c r="B600" s="181"/>
      <c r="C600" s="181"/>
      <c r="D600" s="181"/>
      <c r="E600" s="181"/>
      <c r="F600" s="181"/>
      <c r="G600" s="181"/>
      <c r="H600" s="181"/>
      <c r="I600" s="181"/>
      <c r="J600" s="181"/>
      <c r="K600" s="181"/>
      <c r="L600" s="181"/>
      <c r="M600" s="181"/>
      <c r="N600" s="181"/>
      <c r="O600" s="181"/>
      <c r="P600" s="181"/>
      <c r="Q600" s="181"/>
      <c r="R600" s="181"/>
      <c r="S600" s="181"/>
      <c r="T600" s="181"/>
      <c r="U600" s="181"/>
      <c r="V600" s="181"/>
      <c r="W600" s="181"/>
      <c r="X600" s="181"/>
      <c r="Y600" s="181"/>
      <c r="Z600" s="181"/>
    </row>
    <row r="601" customFormat="false" ht="15.75" hidden="false" customHeight="false" outlineLevel="0" collapsed="false">
      <c r="A601" s="181"/>
      <c r="B601" s="181"/>
      <c r="C601" s="181"/>
      <c r="D601" s="181"/>
      <c r="E601" s="181"/>
      <c r="F601" s="181"/>
      <c r="G601" s="181"/>
      <c r="H601" s="181"/>
      <c r="I601" s="181"/>
      <c r="J601" s="181"/>
      <c r="K601" s="181"/>
      <c r="L601" s="181"/>
      <c r="M601" s="181"/>
      <c r="N601" s="181"/>
      <c r="O601" s="181"/>
      <c r="P601" s="181"/>
      <c r="Q601" s="181"/>
      <c r="R601" s="181"/>
      <c r="S601" s="181"/>
      <c r="T601" s="181"/>
      <c r="U601" s="181"/>
      <c r="V601" s="181"/>
      <c r="W601" s="181"/>
      <c r="X601" s="181"/>
      <c r="Y601" s="181"/>
      <c r="Z601" s="181"/>
    </row>
    <row r="602" customFormat="false" ht="15.75" hidden="false" customHeight="false" outlineLevel="0" collapsed="false">
      <c r="A602" s="181"/>
      <c r="B602" s="181"/>
      <c r="C602" s="181"/>
      <c r="D602" s="181"/>
      <c r="E602" s="181"/>
      <c r="F602" s="181"/>
      <c r="G602" s="181"/>
      <c r="H602" s="181"/>
      <c r="I602" s="181"/>
      <c r="J602" s="181"/>
      <c r="K602" s="181"/>
      <c r="L602" s="181"/>
      <c r="M602" s="181"/>
      <c r="N602" s="181"/>
      <c r="O602" s="181"/>
      <c r="P602" s="181"/>
      <c r="Q602" s="181"/>
      <c r="R602" s="181"/>
      <c r="S602" s="181"/>
      <c r="T602" s="181"/>
      <c r="U602" s="181"/>
      <c r="V602" s="181"/>
      <c r="W602" s="181"/>
      <c r="X602" s="181"/>
      <c r="Y602" s="181"/>
      <c r="Z602" s="181"/>
    </row>
    <row r="603" customFormat="false" ht="15.75" hidden="false" customHeight="false" outlineLevel="0" collapsed="false">
      <c r="A603" s="181"/>
      <c r="B603" s="181"/>
      <c r="C603" s="181"/>
      <c r="D603" s="181"/>
      <c r="E603" s="181"/>
      <c r="F603" s="181"/>
      <c r="G603" s="181"/>
      <c r="H603" s="181"/>
      <c r="I603" s="181"/>
      <c r="J603" s="181"/>
      <c r="K603" s="181"/>
      <c r="L603" s="181"/>
      <c r="M603" s="181"/>
      <c r="N603" s="181"/>
      <c r="O603" s="181"/>
      <c r="P603" s="181"/>
      <c r="Q603" s="181"/>
      <c r="R603" s="181"/>
      <c r="S603" s="181"/>
      <c r="T603" s="181"/>
      <c r="U603" s="181"/>
      <c r="V603" s="181"/>
      <c r="W603" s="181"/>
      <c r="X603" s="181"/>
      <c r="Y603" s="181"/>
      <c r="Z603" s="181"/>
    </row>
    <row r="604" customFormat="false" ht="15.75" hidden="false" customHeight="false" outlineLevel="0" collapsed="false">
      <c r="A604" s="181"/>
      <c r="B604" s="181"/>
      <c r="C604" s="181"/>
      <c r="D604" s="181"/>
      <c r="E604" s="181"/>
      <c r="F604" s="181"/>
      <c r="G604" s="181"/>
      <c r="H604" s="181"/>
      <c r="I604" s="181"/>
      <c r="J604" s="181"/>
      <c r="K604" s="181"/>
      <c r="L604" s="181"/>
      <c r="M604" s="181"/>
      <c r="N604" s="181"/>
      <c r="O604" s="181"/>
      <c r="P604" s="181"/>
      <c r="Q604" s="181"/>
      <c r="R604" s="181"/>
      <c r="S604" s="181"/>
      <c r="T604" s="181"/>
      <c r="U604" s="181"/>
      <c r="V604" s="181"/>
      <c r="W604" s="181"/>
      <c r="X604" s="181"/>
      <c r="Y604" s="181"/>
      <c r="Z604" s="181"/>
    </row>
    <row r="605" customFormat="false" ht="15.75" hidden="false" customHeight="false" outlineLevel="0" collapsed="false">
      <c r="A605" s="181"/>
      <c r="B605" s="181"/>
      <c r="C605" s="181"/>
      <c r="D605" s="181"/>
      <c r="E605" s="181"/>
      <c r="F605" s="181"/>
      <c r="G605" s="181"/>
      <c r="H605" s="181"/>
      <c r="I605" s="181"/>
      <c r="J605" s="181"/>
      <c r="K605" s="181"/>
      <c r="L605" s="181"/>
      <c r="M605" s="181"/>
      <c r="N605" s="181"/>
      <c r="O605" s="181"/>
      <c r="P605" s="181"/>
      <c r="Q605" s="181"/>
      <c r="R605" s="181"/>
      <c r="S605" s="181"/>
      <c r="T605" s="181"/>
      <c r="U605" s="181"/>
      <c r="V605" s="181"/>
      <c r="W605" s="181"/>
      <c r="X605" s="181"/>
      <c r="Y605" s="181"/>
      <c r="Z605" s="181"/>
    </row>
    <row r="606" customFormat="false" ht="15.75" hidden="false" customHeight="false" outlineLevel="0" collapsed="false">
      <c r="A606" s="181"/>
      <c r="B606" s="181"/>
      <c r="C606" s="181"/>
      <c r="D606" s="181"/>
      <c r="E606" s="181"/>
      <c r="F606" s="181"/>
      <c r="G606" s="181"/>
      <c r="H606" s="181"/>
      <c r="I606" s="181"/>
      <c r="J606" s="181"/>
      <c r="K606" s="181"/>
      <c r="L606" s="181"/>
      <c r="M606" s="181"/>
      <c r="N606" s="181"/>
      <c r="O606" s="181"/>
      <c r="P606" s="181"/>
      <c r="Q606" s="181"/>
      <c r="R606" s="181"/>
      <c r="S606" s="181"/>
      <c r="T606" s="181"/>
      <c r="U606" s="181"/>
      <c r="V606" s="181"/>
      <c r="W606" s="181"/>
      <c r="X606" s="181"/>
      <c r="Y606" s="181"/>
      <c r="Z606" s="181"/>
    </row>
    <row r="607" customFormat="false" ht="15.75" hidden="false" customHeight="false" outlineLevel="0" collapsed="false">
      <c r="A607" s="181"/>
      <c r="B607" s="181"/>
      <c r="C607" s="181"/>
      <c r="D607" s="181"/>
      <c r="E607" s="181"/>
      <c r="F607" s="181"/>
      <c r="G607" s="181"/>
      <c r="H607" s="181"/>
      <c r="I607" s="181"/>
      <c r="J607" s="181"/>
      <c r="K607" s="181"/>
      <c r="L607" s="181"/>
      <c r="M607" s="181"/>
      <c r="N607" s="181"/>
      <c r="O607" s="181"/>
      <c r="P607" s="181"/>
      <c r="Q607" s="181"/>
      <c r="R607" s="181"/>
      <c r="S607" s="181"/>
      <c r="T607" s="181"/>
      <c r="U607" s="181"/>
      <c r="V607" s="181"/>
      <c r="W607" s="181"/>
      <c r="X607" s="181"/>
      <c r="Y607" s="181"/>
      <c r="Z607" s="181"/>
    </row>
    <row r="608" customFormat="false" ht="15.75" hidden="false" customHeight="false" outlineLevel="0" collapsed="false">
      <c r="A608" s="181"/>
      <c r="B608" s="181"/>
      <c r="C608" s="181"/>
      <c r="D608" s="181"/>
      <c r="E608" s="181"/>
      <c r="F608" s="181"/>
      <c r="G608" s="181"/>
      <c r="H608" s="181"/>
      <c r="I608" s="181"/>
      <c r="J608" s="181"/>
      <c r="K608" s="181"/>
      <c r="L608" s="181"/>
      <c r="M608" s="181"/>
      <c r="N608" s="181"/>
      <c r="O608" s="181"/>
      <c r="P608" s="181"/>
      <c r="Q608" s="181"/>
      <c r="R608" s="181"/>
      <c r="S608" s="181"/>
      <c r="T608" s="181"/>
      <c r="U608" s="181"/>
      <c r="V608" s="181"/>
      <c r="W608" s="181"/>
      <c r="X608" s="181"/>
      <c r="Y608" s="181"/>
      <c r="Z608" s="181"/>
    </row>
    <row r="609" customFormat="false" ht="15.75" hidden="false" customHeight="false" outlineLevel="0" collapsed="false">
      <c r="A609" s="181"/>
      <c r="B609" s="181"/>
      <c r="C609" s="181"/>
      <c r="D609" s="181"/>
      <c r="E609" s="181"/>
      <c r="F609" s="181"/>
      <c r="G609" s="181"/>
      <c r="H609" s="181"/>
      <c r="I609" s="181"/>
      <c r="J609" s="181"/>
      <c r="K609" s="181"/>
      <c r="L609" s="181"/>
      <c r="M609" s="181"/>
      <c r="N609" s="181"/>
      <c r="O609" s="181"/>
      <c r="P609" s="181"/>
      <c r="Q609" s="181"/>
      <c r="R609" s="181"/>
      <c r="S609" s="181"/>
      <c r="T609" s="181"/>
      <c r="U609" s="181"/>
      <c r="V609" s="181"/>
      <c r="W609" s="181"/>
      <c r="X609" s="181"/>
      <c r="Y609" s="181"/>
      <c r="Z609" s="181"/>
    </row>
    <row r="610" customFormat="false" ht="15.75" hidden="false" customHeight="false" outlineLevel="0" collapsed="false">
      <c r="A610" s="181"/>
      <c r="B610" s="181"/>
      <c r="C610" s="181"/>
      <c r="D610" s="181"/>
      <c r="E610" s="181"/>
      <c r="F610" s="181"/>
      <c r="G610" s="181"/>
      <c r="H610" s="181"/>
      <c r="I610" s="181"/>
      <c r="J610" s="181"/>
      <c r="K610" s="181"/>
      <c r="L610" s="181"/>
      <c r="M610" s="181"/>
      <c r="N610" s="181"/>
      <c r="O610" s="181"/>
      <c r="P610" s="181"/>
      <c r="Q610" s="181"/>
      <c r="R610" s="181"/>
      <c r="S610" s="181"/>
      <c r="T610" s="181"/>
      <c r="U610" s="181"/>
      <c r="V610" s="181"/>
      <c r="W610" s="181"/>
      <c r="X610" s="181"/>
      <c r="Y610" s="181"/>
      <c r="Z610" s="181"/>
    </row>
    <row r="611" customFormat="false" ht="15.75" hidden="false" customHeight="false" outlineLevel="0" collapsed="false">
      <c r="A611" s="181"/>
      <c r="B611" s="181"/>
      <c r="C611" s="181"/>
      <c r="D611" s="181"/>
      <c r="E611" s="181"/>
      <c r="F611" s="181"/>
      <c r="G611" s="181"/>
      <c r="H611" s="181"/>
      <c r="I611" s="181"/>
      <c r="J611" s="181"/>
      <c r="K611" s="181"/>
      <c r="L611" s="181"/>
      <c r="M611" s="181"/>
      <c r="N611" s="181"/>
      <c r="O611" s="181"/>
      <c r="P611" s="181"/>
      <c r="Q611" s="181"/>
      <c r="R611" s="181"/>
      <c r="S611" s="181"/>
      <c r="T611" s="181"/>
      <c r="U611" s="181"/>
      <c r="V611" s="181"/>
      <c r="W611" s="181"/>
      <c r="X611" s="181"/>
      <c r="Y611" s="181"/>
      <c r="Z611" s="181"/>
    </row>
    <row r="612" customFormat="false" ht="15.75" hidden="false" customHeight="false" outlineLevel="0" collapsed="false">
      <c r="A612" s="181"/>
      <c r="B612" s="181"/>
      <c r="C612" s="181"/>
      <c r="D612" s="181"/>
      <c r="E612" s="181"/>
      <c r="F612" s="181"/>
      <c r="G612" s="181"/>
      <c r="H612" s="181"/>
      <c r="I612" s="181"/>
      <c r="J612" s="181"/>
      <c r="K612" s="181"/>
      <c r="L612" s="181"/>
      <c r="M612" s="181"/>
      <c r="N612" s="181"/>
      <c r="O612" s="181"/>
      <c r="P612" s="181"/>
      <c r="Q612" s="181"/>
      <c r="R612" s="181"/>
      <c r="S612" s="181"/>
      <c r="T612" s="181"/>
      <c r="U612" s="181"/>
      <c r="V612" s="181"/>
      <c r="W612" s="181"/>
      <c r="X612" s="181"/>
      <c r="Y612" s="181"/>
      <c r="Z612" s="181"/>
    </row>
    <row r="613" customFormat="false" ht="15.75" hidden="false" customHeight="false" outlineLevel="0" collapsed="false">
      <c r="A613" s="181"/>
      <c r="B613" s="181"/>
      <c r="C613" s="181"/>
      <c r="D613" s="181"/>
      <c r="E613" s="181"/>
      <c r="F613" s="181"/>
      <c r="G613" s="181"/>
      <c r="H613" s="181"/>
      <c r="I613" s="181"/>
      <c r="J613" s="181"/>
      <c r="K613" s="181"/>
      <c r="L613" s="181"/>
      <c r="M613" s="181"/>
      <c r="N613" s="181"/>
      <c r="O613" s="181"/>
      <c r="P613" s="181"/>
      <c r="Q613" s="181"/>
      <c r="R613" s="181"/>
      <c r="S613" s="181"/>
      <c r="T613" s="181"/>
      <c r="U613" s="181"/>
      <c r="V613" s="181"/>
      <c r="W613" s="181"/>
      <c r="X613" s="181"/>
      <c r="Y613" s="181"/>
      <c r="Z613" s="181"/>
    </row>
    <row r="614" customFormat="false" ht="15.75" hidden="false" customHeight="false" outlineLevel="0" collapsed="false">
      <c r="A614" s="181"/>
      <c r="B614" s="181"/>
      <c r="C614" s="181"/>
      <c r="D614" s="181"/>
      <c r="E614" s="181"/>
      <c r="F614" s="181"/>
      <c r="G614" s="181"/>
      <c r="H614" s="181"/>
      <c r="I614" s="181"/>
      <c r="J614" s="181"/>
      <c r="K614" s="181"/>
      <c r="L614" s="181"/>
      <c r="M614" s="181"/>
      <c r="N614" s="181"/>
      <c r="O614" s="181"/>
      <c r="P614" s="181"/>
      <c r="Q614" s="181"/>
      <c r="R614" s="181"/>
      <c r="S614" s="181"/>
      <c r="T614" s="181"/>
      <c r="U614" s="181"/>
      <c r="V614" s="181"/>
      <c r="W614" s="181"/>
      <c r="X614" s="181"/>
      <c r="Y614" s="181"/>
      <c r="Z614" s="181"/>
    </row>
    <row r="615" customFormat="false" ht="15.75" hidden="false" customHeight="false" outlineLevel="0" collapsed="false">
      <c r="A615" s="181"/>
      <c r="B615" s="181"/>
      <c r="C615" s="181"/>
      <c r="D615" s="181"/>
      <c r="E615" s="181"/>
      <c r="F615" s="181"/>
      <c r="G615" s="181"/>
      <c r="H615" s="181"/>
      <c r="I615" s="181"/>
      <c r="J615" s="181"/>
      <c r="K615" s="181"/>
      <c r="L615" s="181"/>
      <c r="M615" s="181"/>
      <c r="N615" s="181"/>
      <c r="O615" s="181"/>
      <c r="P615" s="181"/>
      <c r="Q615" s="181"/>
      <c r="R615" s="181"/>
      <c r="S615" s="181"/>
      <c r="T615" s="181"/>
      <c r="U615" s="181"/>
      <c r="V615" s="181"/>
      <c r="W615" s="181"/>
      <c r="X615" s="181"/>
      <c r="Y615" s="181"/>
      <c r="Z615" s="181"/>
    </row>
    <row r="616" customFormat="false" ht="15.75" hidden="false" customHeight="false" outlineLevel="0" collapsed="false">
      <c r="A616" s="181"/>
      <c r="B616" s="181"/>
      <c r="C616" s="181"/>
      <c r="D616" s="181"/>
      <c r="E616" s="181"/>
      <c r="F616" s="181"/>
      <c r="G616" s="181"/>
      <c r="H616" s="181"/>
      <c r="I616" s="181"/>
      <c r="J616" s="181"/>
      <c r="K616" s="181"/>
      <c r="L616" s="181"/>
      <c r="M616" s="181"/>
      <c r="N616" s="181"/>
      <c r="O616" s="181"/>
      <c r="P616" s="181"/>
      <c r="Q616" s="181"/>
      <c r="R616" s="181"/>
      <c r="S616" s="181"/>
      <c r="T616" s="181"/>
      <c r="U616" s="181"/>
      <c r="V616" s="181"/>
      <c r="W616" s="181"/>
      <c r="X616" s="181"/>
      <c r="Y616" s="181"/>
      <c r="Z616" s="181"/>
    </row>
    <row r="617" customFormat="false" ht="15.75" hidden="false" customHeight="false" outlineLevel="0" collapsed="false">
      <c r="A617" s="181"/>
      <c r="B617" s="181"/>
      <c r="C617" s="181"/>
      <c r="D617" s="181"/>
      <c r="E617" s="181"/>
      <c r="F617" s="181"/>
      <c r="G617" s="181"/>
      <c r="H617" s="181"/>
      <c r="I617" s="181"/>
      <c r="J617" s="181"/>
      <c r="K617" s="181"/>
      <c r="L617" s="181"/>
      <c r="M617" s="181"/>
      <c r="N617" s="181"/>
      <c r="O617" s="181"/>
      <c r="P617" s="181"/>
      <c r="Q617" s="181"/>
      <c r="R617" s="181"/>
      <c r="S617" s="181"/>
      <c r="T617" s="181"/>
      <c r="U617" s="181"/>
      <c r="V617" s="181"/>
      <c r="W617" s="181"/>
      <c r="X617" s="181"/>
      <c r="Y617" s="181"/>
      <c r="Z617" s="181"/>
    </row>
    <row r="618" customFormat="false" ht="15.75" hidden="false" customHeight="false" outlineLevel="0" collapsed="false">
      <c r="A618" s="181"/>
      <c r="B618" s="181"/>
      <c r="C618" s="181"/>
      <c r="D618" s="181"/>
      <c r="E618" s="181"/>
      <c r="F618" s="181"/>
      <c r="G618" s="181"/>
      <c r="H618" s="181"/>
      <c r="I618" s="181"/>
      <c r="J618" s="181"/>
      <c r="K618" s="181"/>
      <c r="L618" s="181"/>
      <c r="M618" s="181"/>
      <c r="N618" s="181"/>
      <c r="O618" s="181"/>
      <c r="P618" s="181"/>
      <c r="Q618" s="181"/>
      <c r="R618" s="181"/>
      <c r="S618" s="181"/>
      <c r="T618" s="181"/>
      <c r="U618" s="181"/>
      <c r="V618" s="181"/>
      <c r="W618" s="181"/>
      <c r="X618" s="181"/>
      <c r="Y618" s="181"/>
      <c r="Z618" s="181"/>
    </row>
    <row r="619" customFormat="false" ht="15.75" hidden="false" customHeight="false" outlineLevel="0" collapsed="false">
      <c r="A619" s="181"/>
      <c r="B619" s="181"/>
      <c r="C619" s="181"/>
      <c r="D619" s="181"/>
      <c r="E619" s="181"/>
      <c r="F619" s="181"/>
      <c r="G619" s="181"/>
      <c r="H619" s="181"/>
      <c r="I619" s="181"/>
      <c r="J619" s="181"/>
      <c r="K619" s="181"/>
      <c r="L619" s="181"/>
      <c r="M619" s="181"/>
      <c r="N619" s="181"/>
      <c r="O619" s="181"/>
      <c r="P619" s="181"/>
      <c r="Q619" s="181"/>
      <c r="R619" s="181"/>
      <c r="S619" s="181"/>
      <c r="T619" s="181"/>
      <c r="U619" s="181"/>
      <c r="V619" s="181"/>
      <c r="W619" s="181"/>
      <c r="X619" s="181"/>
      <c r="Y619" s="181"/>
      <c r="Z619" s="181"/>
    </row>
    <row r="620" customFormat="false" ht="15.75" hidden="false" customHeight="false" outlineLevel="0" collapsed="false">
      <c r="A620" s="181"/>
      <c r="B620" s="181"/>
      <c r="C620" s="181"/>
      <c r="D620" s="181"/>
      <c r="E620" s="181"/>
      <c r="F620" s="181"/>
      <c r="G620" s="181"/>
      <c r="H620" s="181"/>
      <c r="I620" s="181"/>
      <c r="J620" s="181"/>
      <c r="K620" s="181"/>
      <c r="L620" s="181"/>
      <c r="M620" s="181"/>
      <c r="N620" s="181"/>
      <c r="O620" s="181"/>
      <c r="P620" s="181"/>
      <c r="Q620" s="181"/>
      <c r="R620" s="181"/>
      <c r="S620" s="181"/>
      <c r="T620" s="181"/>
      <c r="U620" s="181"/>
      <c r="V620" s="181"/>
      <c r="W620" s="181"/>
      <c r="X620" s="181"/>
      <c r="Y620" s="181"/>
      <c r="Z620" s="181"/>
    </row>
    <row r="621" customFormat="false" ht="15.75" hidden="false" customHeight="false" outlineLevel="0" collapsed="false">
      <c r="A621" s="181"/>
      <c r="B621" s="181"/>
      <c r="C621" s="181"/>
      <c r="D621" s="181"/>
      <c r="E621" s="181"/>
      <c r="F621" s="181"/>
      <c r="G621" s="181"/>
      <c r="H621" s="181"/>
      <c r="I621" s="181"/>
      <c r="J621" s="181"/>
      <c r="K621" s="181"/>
      <c r="L621" s="181"/>
      <c r="M621" s="181"/>
      <c r="N621" s="181"/>
      <c r="O621" s="181"/>
      <c r="P621" s="181"/>
      <c r="Q621" s="181"/>
      <c r="R621" s="181"/>
      <c r="S621" s="181"/>
      <c r="T621" s="181"/>
      <c r="U621" s="181"/>
      <c r="V621" s="181"/>
      <c r="W621" s="181"/>
      <c r="X621" s="181"/>
      <c r="Y621" s="181"/>
      <c r="Z621" s="181"/>
    </row>
    <row r="622" customFormat="false" ht="15.75" hidden="false" customHeight="false" outlineLevel="0" collapsed="false">
      <c r="A622" s="181"/>
      <c r="B622" s="181"/>
      <c r="C622" s="181"/>
      <c r="D622" s="181"/>
      <c r="E622" s="181"/>
      <c r="F622" s="181"/>
      <c r="G622" s="181"/>
      <c r="H622" s="181"/>
      <c r="I622" s="181"/>
      <c r="J622" s="181"/>
      <c r="K622" s="181"/>
      <c r="L622" s="181"/>
      <c r="M622" s="181"/>
      <c r="N622" s="181"/>
      <c r="O622" s="181"/>
      <c r="P622" s="181"/>
      <c r="Q622" s="181"/>
      <c r="R622" s="181"/>
      <c r="S622" s="181"/>
      <c r="T622" s="181"/>
      <c r="U622" s="181"/>
      <c r="V622" s="181"/>
      <c r="W622" s="181"/>
      <c r="X622" s="181"/>
      <c r="Y622" s="181"/>
      <c r="Z622" s="181"/>
    </row>
    <row r="623" customFormat="false" ht="15.75" hidden="false" customHeight="false" outlineLevel="0" collapsed="false">
      <c r="A623" s="181"/>
      <c r="B623" s="181"/>
      <c r="C623" s="181"/>
      <c r="D623" s="181"/>
      <c r="E623" s="181"/>
      <c r="F623" s="181"/>
      <c r="G623" s="181"/>
      <c r="H623" s="181"/>
      <c r="I623" s="181"/>
      <c r="J623" s="181"/>
      <c r="K623" s="181"/>
      <c r="L623" s="181"/>
      <c r="M623" s="181"/>
      <c r="N623" s="181"/>
      <c r="O623" s="181"/>
      <c r="P623" s="181"/>
      <c r="Q623" s="181"/>
      <c r="R623" s="181"/>
      <c r="S623" s="181"/>
      <c r="T623" s="181"/>
      <c r="U623" s="181"/>
      <c r="V623" s="181"/>
      <c r="W623" s="181"/>
      <c r="X623" s="181"/>
      <c r="Y623" s="181"/>
      <c r="Z623" s="181"/>
    </row>
    <row r="624" customFormat="false" ht="15.75" hidden="false" customHeight="false" outlineLevel="0" collapsed="false">
      <c r="A624" s="181"/>
      <c r="B624" s="181"/>
      <c r="C624" s="181"/>
      <c r="D624" s="181"/>
      <c r="E624" s="181"/>
      <c r="F624" s="181"/>
      <c r="G624" s="181"/>
      <c r="H624" s="181"/>
      <c r="I624" s="181"/>
      <c r="J624" s="181"/>
      <c r="K624" s="181"/>
      <c r="L624" s="181"/>
      <c r="M624" s="181"/>
      <c r="N624" s="181"/>
      <c r="O624" s="181"/>
      <c r="P624" s="181"/>
      <c r="Q624" s="181"/>
      <c r="R624" s="181"/>
      <c r="S624" s="181"/>
      <c r="T624" s="181"/>
      <c r="U624" s="181"/>
      <c r="V624" s="181"/>
      <c r="W624" s="181"/>
      <c r="X624" s="181"/>
      <c r="Y624" s="181"/>
      <c r="Z624" s="181"/>
    </row>
    <row r="625" customFormat="false" ht="15.75" hidden="false" customHeight="false" outlineLevel="0" collapsed="false">
      <c r="A625" s="181"/>
      <c r="B625" s="181"/>
      <c r="C625" s="181"/>
      <c r="D625" s="181"/>
      <c r="E625" s="181"/>
      <c r="F625" s="181"/>
      <c r="G625" s="181"/>
      <c r="H625" s="181"/>
      <c r="I625" s="181"/>
      <c r="J625" s="181"/>
      <c r="K625" s="181"/>
      <c r="L625" s="181"/>
      <c r="M625" s="181"/>
      <c r="N625" s="181"/>
      <c r="O625" s="181"/>
      <c r="P625" s="181"/>
      <c r="Q625" s="181"/>
      <c r="R625" s="181"/>
      <c r="S625" s="181"/>
      <c r="T625" s="181"/>
      <c r="U625" s="181"/>
      <c r="V625" s="181"/>
      <c r="W625" s="181"/>
      <c r="X625" s="181"/>
      <c r="Y625" s="181"/>
      <c r="Z625" s="181"/>
    </row>
    <row r="626" customFormat="false" ht="15.75" hidden="false" customHeight="false" outlineLevel="0" collapsed="false">
      <c r="A626" s="181"/>
      <c r="B626" s="181"/>
      <c r="C626" s="181"/>
      <c r="D626" s="181"/>
      <c r="E626" s="181"/>
      <c r="F626" s="181"/>
      <c r="G626" s="181"/>
      <c r="H626" s="181"/>
      <c r="I626" s="181"/>
      <c r="J626" s="181"/>
      <c r="K626" s="181"/>
      <c r="L626" s="181"/>
      <c r="M626" s="181"/>
      <c r="N626" s="181"/>
      <c r="O626" s="181"/>
      <c r="P626" s="181"/>
      <c r="Q626" s="181"/>
      <c r="R626" s="181"/>
      <c r="S626" s="181"/>
      <c r="T626" s="181"/>
      <c r="U626" s="181"/>
      <c r="V626" s="181"/>
      <c r="W626" s="181"/>
      <c r="X626" s="181"/>
      <c r="Y626" s="181"/>
      <c r="Z626" s="181"/>
    </row>
    <row r="627" customFormat="false" ht="15.75" hidden="false" customHeight="false" outlineLevel="0" collapsed="false">
      <c r="A627" s="181"/>
      <c r="B627" s="181"/>
      <c r="C627" s="181"/>
      <c r="D627" s="181"/>
      <c r="E627" s="181"/>
      <c r="F627" s="181"/>
      <c r="G627" s="181"/>
      <c r="H627" s="181"/>
      <c r="I627" s="181"/>
      <c r="J627" s="181"/>
      <c r="K627" s="181"/>
      <c r="L627" s="181"/>
      <c r="M627" s="181"/>
      <c r="N627" s="181"/>
      <c r="O627" s="181"/>
      <c r="P627" s="181"/>
      <c r="Q627" s="181"/>
      <c r="R627" s="181"/>
      <c r="S627" s="181"/>
      <c r="T627" s="181"/>
      <c r="U627" s="181"/>
      <c r="V627" s="181"/>
      <c r="W627" s="181"/>
      <c r="X627" s="181"/>
      <c r="Y627" s="181"/>
      <c r="Z627" s="181"/>
    </row>
    <row r="628" customFormat="false" ht="15.75" hidden="false" customHeight="false" outlineLevel="0" collapsed="false">
      <c r="A628" s="181"/>
      <c r="B628" s="181"/>
      <c r="C628" s="181"/>
      <c r="D628" s="181"/>
      <c r="E628" s="181"/>
      <c r="F628" s="181"/>
      <c r="G628" s="181"/>
      <c r="H628" s="181"/>
      <c r="I628" s="181"/>
      <c r="J628" s="181"/>
      <c r="K628" s="181"/>
      <c r="L628" s="181"/>
      <c r="M628" s="181"/>
      <c r="N628" s="181"/>
      <c r="O628" s="181"/>
      <c r="P628" s="181"/>
      <c r="Q628" s="181"/>
      <c r="R628" s="181"/>
      <c r="S628" s="181"/>
      <c r="T628" s="181"/>
      <c r="U628" s="181"/>
      <c r="V628" s="181"/>
      <c r="W628" s="181"/>
      <c r="X628" s="181"/>
      <c r="Y628" s="181"/>
      <c r="Z628" s="181"/>
    </row>
    <row r="629" customFormat="false" ht="15.75" hidden="false" customHeight="false" outlineLevel="0" collapsed="false">
      <c r="A629" s="181"/>
      <c r="B629" s="181"/>
      <c r="C629" s="181"/>
      <c r="D629" s="181"/>
      <c r="E629" s="181"/>
      <c r="F629" s="181"/>
      <c r="G629" s="181"/>
      <c r="H629" s="181"/>
      <c r="I629" s="181"/>
      <c r="J629" s="181"/>
      <c r="K629" s="181"/>
      <c r="L629" s="181"/>
      <c r="M629" s="181"/>
      <c r="N629" s="181"/>
      <c r="O629" s="181"/>
      <c r="P629" s="181"/>
      <c r="Q629" s="181"/>
      <c r="R629" s="181"/>
      <c r="S629" s="181"/>
      <c r="T629" s="181"/>
      <c r="U629" s="181"/>
      <c r="V629" s="181"/>
      <c r="W629" s="181"/>
      <c r="X629" s="181"/>
      <c r="Y629" s="181"/>
      <c r="Z629" s="181"/>
    </row>
    <row r="630" customFormat="false" ht="15.75" hidden="false" customHeight="false" outlineLevel="0" collapsed="false">
      <c r="A630" s="181"/>
      <c r="B630" s="181"/>
      <c r="C630" s="181"/>
      <c r="D630" s="181"/>
      <c r="E630" s="181"/>
      <c r="F630" s="181"/>
      <c r="G630" s="181"/>
      <c r="H630" s="181"/>
      <c r="I630" s="181"/>
      <c r="J630" s="181"/>
      <c r="K630" s="181"/>
      <c r="L630" s="181"/>
      <c r="M630" s="181"/>
      <c r="N630" s="181"/>
      <c r="O630" s="181"/>
      <c r="P630" s="181"/>
      <c r="Q630" s="181"/>
      <c r="R630" s="181"/>
      <c r="S630" s="181"/>
      <c r="T630" s="181"/>
      <c r="U630" s="181"/>
      <c r="V630" s="181"/>
      <c r="W630" s="181"/>
      <c r="X630" s="181"/>
      <c r="Y630" s="181"/>
      <c r="Z630" s="181"/>
    </row>
    <row r="631" customFormat="false" ht="15.75" hidden="false" customHeight="false" outlineLevel="0" collapsed="false">
      <c r="A631" s="181"/>
      <c r="B631" s="181"/>
      <c r="C631" s="181"/>
      <c r="D631" s="181"/>
      <c r="E631" s="181"/>
      <c r="F631" s="181"/>
      <c r="G631" s="181"/>
      <c r="H631" s="181"/>
      <c r="I631" s="181"/>
      <c r="J631" s="181"/>
      <c r="K631" s="181"/>
      <c r="L631" s="181"/>
      <c r="M631" s="181"/>
      <c r="N631" s="181"/>
      <c r="O631" s="181"/>
      <c r="P631" s="181"/>
      <c r="Q631" s="181"/>
      <c r="R631" s="181"/>
      <c r="S631" s="181"/>
      <c r="T631" s="181"/>
      <c r="U631" s="181"/>
      <c r="V631" s="181"/>
      <c r="W631" s="181"/>
      <c r="X631" s="181"/>
      <c r="Y631" s="181"/>
      <c r="Z631" s="181"/>
    </row>
    <row r="632" customFormat="false" ht="15.75" hidden="false" customHeight="false" outlineLevel="0" collapsed="false">
      <c r="A632" s="181"/>
      <c r="B632" s="181"/>
      <c r="C632" s="181"/>
      <c r="D632" s="181"/>
      <c r="E632" s="181"/>
      <c r="F632" s="181"/>
      <c r="G632" s="181"/>
      <c r="H632" s="181"/>
      <c r="I632" s="181"/>
      <c r="J632" s="181"/>
      <c r="K632" s="181"/>
      <c r="L632" s="181"/>
      <c r="M632" s="181"/>
      <c r="N632" s="181"/>
      <c r="O632" s="181"/>
      <c r="P632" s="181"/>
      <c r="Q632" s="181"/>
      <c r="R632" s="181"/>
      <c r="S632" s="181"/>
      <c r="T632" s="181"/>
      <c r="U632" s="181"/>
      <c r="V632" s="181"/>
      <c r="W632" s="181"/>
      <c r="X632" s="181"/>
      <c r="Y632" s="181"/>
      <c r="Z632" s="181"/>
    </row>
    <row r="633" customFormat="false" ht="15.75" hidden="false" customHeight="false" outlineLevel="0" collapsed="false">
      <c r="A633" s="181"/>
      <c r="B633" s="181"/>
      <c r="C633" s="181"/>
      <c r="D633" s="181"/>
      <c r="E633" s="181"/>
      <c r="F633" s="181"/>
      <c r="G633" s="181"/>
      <c r="H633" s="181"/>
      <c r="I633" s="181"/>
      <c r="J633" s="181"/>
      <c r="K633" s="181"/>
      <c r="L633" s="181"/>
      <c r="M633" s="181"/>
      <c r="N633" s="181"/>
      <c r="O633" s="181"/>
      <c r="P633" s="181"/>
      <c r="Q633" s="181"/>
      <c r="R633" s="181"/>
      <c r="S633" s="181"/>
      <c r="T633" s="181"/>
      <c r="U633" s="181"/>
      <c r="V633" s="181"/>
      <c r="W633" s="181"/>
      <c r="X633" s="181"/>
      <c r="Y633" s="181"/>
      <c r="Z633" s="181"/>
    </row>
    <row r="634" customFormat="false" ht="15.75" hidden="false" customHeight="false" outlineLevel="0" collapsed="false">
      <c r="A634" s="181"/>
      <c r="B634" s="181"/>
      <c r="C634" s="181"/>
      <c r="D634" s="181"/>
      <c r="E634" s="181"/>
      <c r="F634" s="181"/>
      <c r="G634" s="181"/>
      <c r="H634" s="181"/>
      <c r="I634" s="181"/>
      <c r="J634" s="181"/>
      <c r="K634" s="181"/>
      <c r="L634" s="181"/>
      <c r="M634" s="181"/>
      <c r="N634" s="181"/>
      <c r="O634" s="181"/>
      <c r="P634" s="181"/>
      <c r="Q634" s="181"/>
      <c r="R634" s="181"/>
      <c r="S634" s="181"/>
      <c r="T634" s="181"/>
      <c r="U634" s="181"/>
      <c r="V634" s="181"/>
      <c r="W634" s="181"/>
      <c r="X634" s="181"/>
      <c r="Y634" s="181"/>
      <c r="Z634" s="181"/>
    </row>
    <row r="635" customFormat="false" ht="15.75" hidden="false" customHeight="false" outlineLevel="0" collapsed="false">
      <c r="A635" s="181"/>
      <c r="B635" s="181"/>
      <c r="C635" s="181"/>
      <c r="D635" s="181"/>
      <c r="E635" s="181"/>
      <c r="F635" s="181"/>
      <c r="G635" s="181"/>
      <c r="H635" s="181"/>
      <c r="I635" s="181"/>
      <c r="J635" s="181"/>
      <c r="K635" s="181"/>
      <c r="L635" s="181"/>
      <c r="M635" s="181"/>
      <c r="N635" s="181"/>
      <c r="O635" s="181"/>
      <c r="P635" s="181"/>
      <c r="Q635" s="181"/>
      <c r="R635" s="181"/>
      <c r="S635" s="181"/>
      <c r="T635" s="181"/>
      <c r="U635" s="181"/>
      <c r="V635" s="181"/>
      <c r="W635" s="181"/>
      <c r="X635" s="181"/>
      <c r="Y635" s="181"/>
      <c r="Z635" s="181"/>
    </row>
    <row r="636" customFormat="false" ht="15.75" hidden="false" customHeight="false" outlineLevel="0" collapsed="false">
      <c r="A636" s="181"/>
      <c r="B636" s="181"/>
      <c r="C636" s="181"/>
      <c r="D636" s="181"/>
      <c r="E636" s="181"/>
      <c r="F636" s="181"/>
      <c r="G636" s="181"/>
      <c r="H636" s="181"/>
      <c r="I636" s="181"/>
      <c r="J636" s="181"/>
      <c r="K636" s="181"/>
      <c r="L636" s="181"/>
      <c r="M636" s="181"/>
      <c r="N636" s="181"/>
      <c r="O636" s="181"/>
      <c r="P636" s="181"/>
      <c r="Q636" s="181"/>
      <c r="R636" s="181"/>
      <c r="S636" s="181"/>
      <c r="T636" s="181"/>
      <c r="U636" s="181"/>
      <c r="V636" s="181"/>
      <c r="W636" s="181"/>
      <c r="X636" s="181"/>
      <c r="Y636" s="181"/>
      <c r="Z636" s="181"/>
    </row>
    <row r="637" customFormat="false" ht="15.75" hidden="false" customHeight="false" outlineLevel="0" collapsed="false">
      <c r="A637" s="181"/>
      <c r="B637" s="181"/>
      <c r="C637" s="181"/>
      <c r="D637" s="181"/>
      <c r="E637" s="181"/>
      <c r="F637" s="181"/>
      <c r="G637" s="181"/>
      <c r="H637" s="181"/>
      <c r="I637" s="181"/>
      <c r="J637" s="181"/>
      <c r="K637" s="181"/>
      <c r="L637" s="181"/>
      <c r="M637" s="181"/>
      <c r="N637" s="181"/>
      <c r="O637" s="181"/>
      <c r="P637" s="181"/>
      <c r="Q637" s="181"/>
      <c r="R637" s="181"/>
      <c r="S637" s="181"/>
      <c r="T637" s="181"/>
      <c r="U637" s="181"/>
      <c r="V637" s="181"/>
      <c r="W637" s="181"/>
      <c r="X637" s="181"/>
      <c r="Y637" s="181"/>
      <c r="Z637" s="181"/>
    </row>
    <row r="638" customFormat="false" ht="15.75" hidden="false" customHeight="false" outlineLevel="0" collapsed="false">
      <c r="A638" s="181"/>
      <c r="B638" s="181"/>
      <c r="C638" s="181"/>
      <c r="D638" s="181"/>
      <c r="E638" s="181"/>
      <c r="F638" s="181"/>
      <c r="G638" s="181"/>
      <c r="H638" s="181"/>
      <c r="I638" s="181"/>
      <c r="J638" s="181"/>
      <c r="K638" s="181"/>
      <c r="L638" s="181"/>
      <c r="M638" s="181"/>
      <c r="N638" s="181"/>
      <c r="O638" s="181"/>
      <c r="P638" s="181"/>
      <c r="Q638" s="181"/>
      <c r="R638" s="181"/>
      <c r="S638" s="181"/>
      <c r="T638" s="181"/>
      <c r="U638" s="181"/>
      <c r="V638" s="181"/>
      <c r="W638" s="181"/>
      <c r="X638" s="181"/>
      <c r="Y638" s="181"/>
      <c r="Z638" s="181"/>
    </row>
    <row r="639" customFormat="false" ht="15.75" hidden="false" customHeight="false" outlineLevel="0" collapsed="false">
      <c r="A639" s="181"/>
      <c r="B639" s="181"/>
      <c r="C639" s="181"/>
      <c r="D639" s="181"/>
      <c r="E639" s="181"/>
      <c r="F639" s="181"/>
      <c r="G639" s="181"/>
      <c r="H639" s="181"/>
      <c r="I639" s="181"/>
      <c r="J639" s="181"/>
      <c r="K639" s="181"/>
      <c r="L639" s="181"/>
      <c r="M639" s="181"/>
      <c r="N639" s="181"/>
      <c r="O639" s="181"/>
      <c r="P639" s="181"/>
      <c r="Q639" s="181"/>
      <c r="R639" s="181"/>
      <c r="S639" s="181"/>
      <c r="T639" s="181"/>
      <c r="U639" s="181"/>
      <c r="V639" s="181"/>
      <c r="W639" s="181"/>
      <c r="X639" s="181"/>
      <c r="Y639" s="181"/>
      <c r="Z639" s="181"/>
    </row>
    <row r="640" customFormat="false" ht="15.75" hidden="false" customHeight="false" outlineLevel="0" collapsed="false">
      <c r="A640" s="181"/>
      <c r="B640" s="181"/>
      <c r="C640" s="181"/>
      <c r="D640" s="181"/>
      <c r="E640" s="181"/>
      <c r="F640" s="181"/>
      <c r="G640" s="181"/>
      <c r="H640" s="181"/>
      <c r="I640" s="181"/>
      <c r="J640" s="181"/>
      <c r="K640" s="181"/>
      <c r="L640" s="181"/>
      <c r="M640" s="181"/>
      <c r="N640" s="181"/>
      <c r="O640" s="181"/>
      <c r="P640" s="181"/>
      <c r="Q640" s="181"/>
      <c r="R640" s="181"/>
      <c r="S640" s="181"/>
      <c r="T640" s="181"/>
      <c r="U640" s="181"/>
      <c r="V640" s="181"/>
      <c r="W640" s="181"/>
      <c r="X640" s="181"/>
      <c r="Y640" s="181"/>
      <c r="Z640" s="181"/>
    </row>
    <row r="641" customFormat="false" ht="15.75" hidden="false" customHeight="false" outlineLevel="0" collapsed="false">
      <c r="A641" s="181"/>
      <c r="B641" s="181"/>
      <c r="C641" s="181"/>
      <c r="D641" s="181"/>
      <c r="E641" s="181"/>
      <c r="F641" s="181"/>
      <c r="G641" s="181"/>
      <c r="H641" s="181"/>
      <c r="I641" s="181"/>
      <c r="J641" s="181"/>
      <c r="K641" s="181"/>
      <c r="L641" s="181"/>
      <c r="M641" s="181"/>
      <c r="N641" s="181"/>
      <c r="O641" s="181"/>
      <c r="P641" s="181"/>
      <c r="Q641" s="181"/>
      <c r="R641" s="181"/>
      <c r="S641" s="181"/>
      <c r="T641" s="181"/>
      <c r="U641" s="181"/>
      <c r="V641" s="181"/>
      <c r="W641" s="181"/>
      <c r="X641" s="181"/>
      <c r="Y641" s="181"/>
      <c r="Z641" s="181"/>
    </row>
    <row r="642" customFormat="false" ht="15.75" hidden="false" customHeight="false" outlineLevel="0" collapsed="false">
      <c r="A642" s="181"/>
      <c r="B642" s="181"/>
      <c r="C642" s="181"/>
      <c r="D642" s="181"/>
      <c r="E642" s="181"/>
      <c r="F642" s="181"/>
      <c r="G642" s="181"/>
      <c r="H642" s="181"/>
      <c r="I642" s="181"/>
      <c r="J642" s="181"/>
      <c r="K642" s="181"/>
      <c r="L642" s="181"/>
      <c r="M642" s="181"/>
      <c r="N642" s="181"/>
      <c r="O642" s="181"/>
      <c r="P642" s="181"/>
      <c r="Q642" s="181"/>
      <c r="R642" s="181"/>
      <c r="S642" s="181"/>
      <c r="T642" s="181"/>
      <c r="U642" s="181"/>
      <c r="V642" s="181"/>
      <c r="W642" s="181"/>
      <c r="X642" s="181"/>
      <c r="Y642" s="181"/>
      <c r="Z642" s="181"/>
    </row>
    <row r="643" customFormat="false" ht="15.75" hidden="false" customHeight="false" outlineLevel="0" collapsed="false">
      <c r="A643" s="181"/>
      <c r="B643" s="181"/>
      <c r="C643" s="181"/>
      <c r="D643" s="181"/>
      <c r="E643" s="181"/>
      <c r="F643" s="181"/>
      <c r="G643" s="181"/>
      <c r="H643" s="181"/>
      <c r="I643" s="181"/>
      <c r="J643" s="181"/>
      <c r="K643" s="181"/>
      <c r="L643" s="181"/>
      <c r="M643" s="181"/>
      <c r="N643" s="181"/>
      <c r="O643" s="181"/>
      <c r="P643" s="181"/>
      <c r="Q643" s="181"/>
      <c r="R643" s="181"/>
      <c r="S643" s="181"/>
      <c r="T643" s="181"/>
      <c r="U643" s="181"/>
      <c r="V643" s="181"/>
      <c r="W643" s="181"/>
      <c r="X643" s="181"/>
      <c r="Y643" s="181"/>
      <c r="Z643" s="181"/>
    </row>
    <row r="644" customFormat="false" ht="15.75" hidden="false" customHeight="false" outlineLevel="0" collapsed="false">
      <c r="A644" s="181"/>
      <c r="B644" s="181"/>
      <c r="C644" s="181"/>
      <c r="D644" s="181"/>
      <c r="E644" s="181"/>
      <c r="F644" s="181"/>
      <c r="G644" s="181"/>
      <c r="H644" s="181"/>
      <c r="I644" s="181"/>
      <c r="J644" s="181"/>
      <c r="K644" s="181"/>
      <c r="L644" s="181"/>
      <c r="M644" s="181"/>
      <c r="N644" s="181"/>
      <c r="O644" s="181"/>
      <c r="P644" s="181"/>
      <c r="Q644" s="181"/>
      <c r="R644" s="181"/>
      <c r="S644" s="181"/>
      <c r="T644" s="181"/>
      <c r="U644" s="181"/>
      <c r="V644" s="181"/>
      <c r="W644" s="181"/>
      <c r="X644" s="181"/>
      <c r="Y644" s="181"/>
      <c r="Z644" s="181"/>
    </row>
    <row r="645" customFormat="false" ht="15.75" hidden="false" customHeight="false" outlineLevel="0" collapsed="false">
      <c r="A645" s="181"/>
      <c r="B645" s="181"/>
      <c r="C645" s="181"/>
      <c r="D645" s="181"/>
      <c r="E645" s="181"/>
      <c r="F645" s="181"/>
      <c r="G645" s="181"/>
      <c r="H645" s="181"/>
      <c r="I645" s="181"/>
      <c r="J645" s="181"/>
      <c r="K645" s="181"/>
      <c r="L645" s="181"/>
      <c r="M645" s="181"/>
      <c r="N645" s="181"/>
      <c r="O645" s="181"/>
      <c r="P645" s="181"/>
      <c r="Q645" s="181"/>
      <c r="R645" s="181"/>
      <c r="S645" s="181"/>
      <c r="T645" s="181"/>
      <c r="U645" s="181"/>
      <c r="V645" s="181"/>
      <c r="W645" s="181"/>
      <c r="X645" s="181"/>
      <c r="Y645" s="181"/>
      <c r="Z645" s="181"/>
    </row>
    <row r="646" customFormat="false" ht="15.75" hidden="false" customHeight="false" outlineLevel="0" collapsed="false">
      <c r="A646" s="181"/>
      <c r="B646" s="181"/>
      <c r="C646" s="181"/>
      <c r="D646" s="181"/>
      <c r="E646" s="181"/>
      <c r="F646" s="181"/>
      <c r="G646" s="181"/>
      <c r="H646" s="181"/>
      <c r="I646" s="181"/>
      <c r="J646" s="181"/>
      <c r="K646" s="181"/>
      <c r="L646" s="181"/>
      <c r="M646" s="181"/>
      <c r="N646" s="181"/>
      <c r="O646" s="181"/>
      <c r="P646" s="181"/>
      <c r="Q646" s="181"/>
      <c r="R646" s="181"/>
      <c r="S646" s="181"/>
      <c r="T646" s="181"/>
      <c r="U646" s="181"/>
      <c r="V646" s="181"/>
      <c r="W646" s="181"/>
      <c r="X646" s="181"/>
      <c r="Y646" s="181"/>
      <c r="Z646" s="181"/>
    </row>
    <row r="647" customFormat="false" ht="15.75" hidden="false" customHeight="false" outlineLevel="0" collapsed="false">
      <c r="A647" s="181"/>
      <c r="B647" s="181"/>
      <c r="C647" s="181"/>
      <c r="D647" s="181"/>
      <c r="E647" s="181"/>
      <c r="F647" s="181"/>
      <c r="G647" s="181"/>
      <c r="H647" s="181"/>
      <c r="I647" s="181"/>
      <c r="J647" s="181"/>
      <c r="K647" s="181"/>
      <c r="L647" s="181"/>
      <c r="M647" s="181"/>
      <c r="N647" s="181"/>
      <c r="O647" s="181"/>
      <c r="P647" s="181"/>
      <c r="Q647" s="181"/>
      <c r="R647" s="181"/>
      <c r="S647" s="181"/>
      <c r="T647" s="181"/>
      <c r="U647" s="181"/>
      <c r="V647" s="181"/>
      <c r="W647" s="181"/>
      <c r="X647" s="181"/>
      <c r="Y647" s="181"/>
      <c r="Z647" s="181"/>
    </row>
    <row r="648" customFormat="false" ht="15.75" hidden="false" customHeight="false" outlineLevel="0" collapsed="false">
      <c r="A648" s="181"/>
      <c r="B648" s="181"/>
      <c r="C648" s="181"/>
      <c r="D648" s="181"/>
      <c r="E648" s="181"/>
      <c r="F648" s="181"/>
      <c r="G648" s="181"/>
      <c r="H648" s="181"/>
      <c r="I648" s="181"/>
      <c r="J648" s="181"/>
      <c r="K648" s="181"/>
      <c r="L648" s="181"/>
      <c r="M648" s="181"/>
      <c r="N648" s="181"/>
      <c r="O648" s="181"/>
      <c r="P648" s="181"/>
      <c r="Q648" s="181"/>
      <c r="R648" s="181"/>
      <c r="S648" s="181"/>
      <c r="T648" s="181"/>
      <c r="U648" s="181"/>
      <c r="V648" s="181"/>
      <c r="W648" s="181"/>
      <c r="X648" s="181"/>
      <c r="Y648" s="181"/>
      <c r="Z648" s="181"/>
    </row>
    <row r="649" customFormat="false" ht="15.75" hidden="false" customHeight="false" outlineLevel="0" collapsed="false">
      <c r="A649" s="181"/>
      <c r="B649" s="181"/>
      <c r="C649" s="181"/>
      <c r="D649" s="181"/>
      <c r="E649" s="181"/>
      <c r="F649" s="181"/>
      <c r="G649" s="181"/>
      <c r="H649" s="181"/>
      <c r="I649" s="181"/>
      <c r="J649" s="181"/>
      <c r="K649" s="181"/>
      <c r="L649" s="181"/>
      <c r="M649" s="181"/>
      <c r="N649" s="181"/>
      <c r="O649" s="181"/>
      <c r="P649" s="181"/>
      <c r="Q649" s="181"/>
      <c r="R649" s="181"/>
      <c r="S649" s="181"/>
      <c r="T649" s="181"/>
      <c r="U649" s="181"/>
      <c r="V649" s="181"/>
      <c r="W649" s="181"/>
      <c r="X649" s="181"/>
      <c r="Y649" s="181"/>
      <c r="Z649" s="181"/>
    </row>
    <row r="650" customFormat="false" ht="15.75" hidden="false" customHeight="false" outlineLevel="0" collapsed="false">
      <c r="A650" s="181"/>
      <c r="B650" s="181"/>
      <c r="C650" s="181"/>
      <c r="D650" s="181"/>
      <c r="E650" s="181"/>
      <c r="F650" s="181"/>
      <c r="G650" s="181"/>
      <c r="H650" s="181"/>
      <c r="I650" s="181"/>
      <c r="J650" s="181"/>
      <c r="K650" s="181"/>
      <c r="L650" s="181"/>
      <c r="M650" s="181"/>
      <c r="N650" s="181"/>
      <c r="O650" s="181"/>
      <c r="P650" s="181"/>
      <c r="Q650" s="181"/>
      <c r="R650" s="181"/>
      <c r="S650" s="181"/>
      <c r="T650" s="181"/>
      <c r="U650" s="181"/>
      <c r="V650" s="181"/>
      <c r="W650" s="181"/>
      <c r="X650" s="181"/>
      <c r="Y650" s="181"/>
      <c r="Z650" s="181"/>
    </row>
    <row r="651" customFormat="false" ht="15.75" hidden="false" customHeight="false" outlineLevel="0" collapsed="false">
      <c r="A651" s="181"/>
      <c r="B651" s="181"/>
      <c r="C651" s="181"/>
      <c r="D651" s="181"/>
      <c r="E651" s="181"/>
      <c r="F651" s="181"/>
      <c r="G651" s="181"/>
      <c r="H651" s="181"/>
      <c r="I651" s="181"/>
      <c r="J651" s="181"/>
      <c r="K651" s="181"/>
      <c r="L651" s="181"/>
      <c r="M651" s="181"/>
      <c r="N651" s="181"/>
      <c r="O651" s="181"/>
      <c r="P651" s="181"/>
      <c r="Q651" s="181"/>
      <c r="R651" s="181"/>
      <c r="S651" s="181"/>
      <c r="T651" s="181"/>
      <c r="U651" s="181"/>
      <c r="V651" s="181"/>
      <c r="W651" s="181"/>
      <c r="X651" s="181"/>
      <c r="Y651" s="181"/>
      <c r="Z651" s="181"/>
    </row>
    <row r="652" customFormat="false" ht="15.75" hidden="false" customHeight="false" outlineLevel="0" collapsed="false">
      <c r="A652" s="181"/>
      <c r="B652" s="181"/>
      <c r="C652" s="181"/>
      <c r="D652" s="181"/>
      <c r="E652" s="181"/>
      <c r="F652" s="181"/>
      <c r="G652" s="181"/>
      <c r="H652" s="181"/>
      <c r="I652" s="181"/>
      <c r="J652" s="181"/>
      <c r="K652" s="181"/>
      <c r="L652" s="181"/>
      <c r="M652" s="181"/>
      <c r="N652" s="181"/>
      <c r="O652" s="181"/>
      <c r="P652" s="181"/>
      <c r="Q652" s="181"/>
      <c r="R652" s="181"/>
      <c r="S652" s="181"/>
      <c r="T652" s="181"/>
      <c r="U652" s="181"/>
      <c r="V652" s="181"/>
      <c r="W652" s="181"/>
      <c r="X652" s="181"/>
      <c r="Y652" s="181"/>
      <c r="Z652" s="181"/>
    </row>
    <row r="653" customFormat="false" ht="15.75" hidden="false" customHeight="false" outlineLevel="0" collapsed="false">
      <c r="A653" s="181"/>
      <c r="B653" s="181"/>
      <c r="C653" s="181"/>
      <c r="D653" s="181"/>
      <c r="E653" s="181"/>
      <c r="F653" s="181"/>
      <c r="G653" s="181"/>
      <c r="H653" s="181"/>
      <c r="I653" s="181"/>
      <c r="J653" s="181"/>
      <c r="K653" s="181"/>
      <c r="L653" s="181"/>
      <c r="M653" s="181"/>
      <c r="N653" s="181"/>
      <c r="O653" s="181"/>
      <c r="P653" s="181"/>
      <c r="Q653" s="181"/>
      <c r="R653" s="181"/>
      <c r="S653" s="181"/>
      <c r="T653" s="181"/>
      <c r="U653" s="181"/>
      <c r="V653" s="181"/>
      <c r="W653" s="181"/>
      <c r="X653" s="181"/>
      <c r="Y653" s="181"/>
      <c r="Z653" s="181"/>
    </row>
    <row r="654" customFormat="false" ht="15.75" hidden="false" customHeight="false" outlineLevel="0" collapsed="false">
      <c r="A654" s="181"/>
      <c r="B654" s="181"/>
      <c r="C654" s="181"/>
      <c r="D654" s="181"/>
      <c r="E654" s="181"/>
      <c r="F654" s="181"/>
      <c r="G654" s="181"/>
      <c r="H654" s="181"/>
      <c r="I654" s="181"/>
      <c r="J654" s="181"/>
      <c r="K654" s="181"/>
      <c r="L654" s="181"/>
      <c r="M654" s="181"/>
      <c r="N654" s="181"/>
      <c r="O654" s="181"/>
      <c r="P654" s="181"/>
      <c r="Q654" s="181"/>
      <c r="R654" s="181"/>
      <c r="S654" s="181"/>
      <c r="T654" s="181"/>
      <c r="U654" s="181"/>
      <c r="V654" s="181"/>
      <c r="W654" s="181"/>
      <c r="X654" s="181"/>
      <c r="Y654" s="181"/>
      <c r="Z654" s="181"/>
    </row>
    <row r="655" customFormat="false" ht="15.75" hidden="false" customHeight="false" outlineLevel="0" collapsed="false">
      <c r="A655" s="181"/>
      <c r="B655" s="181"/>
      <c r="C655" s="181"/>
      <c r="D655" s="181"/>
      <c r="E655" s="181"/>
      <c r="F655" s="181"/>
      <c r="G655" s="181"/>
      <c r="H655" s="181"/>
      <c r="I655" s="181"/>
      <c r="J655" s="181"/>
      <c r="K655" s="181"/>
      <c r="L655" s="181"/>
      <c r="M655" s="181"/>
      <c r="N655" s="181"/>
      <c r="O655" s="181"/>
      <c r="P655" s="181"/>
      <c r="Q655" s="181"/>
      <c r="R655" s="181"/>
      <c r="S655" s="181"/>
      <c r="T655" s="181"/>
      <c r="U655" s="181"/>
      <c r="V655" s="181"/>
      <c r="W655" s="181"/>
      <c r="X655" s="181"/>
      <c r="Y655" s="181"/>
      <c r="Z655" s="181"/>
    </row>
    <row r="656" customFormat="false" ht="15.75" hidden="false" customHeight="false" outlineLevel="0" collapsed="false">
      <c r="A656" s="181"/>
      <c r="B656" s="181"/>
      <c r="C656" s="181"/>
      <c r="D656" s="181"/>
      <c r="E656" s="181"/>
      <c r="F656" s="181"/>
      <c r="G656" s="181"/>
      <c r="H656" s="181"/>
      <c r="I656" s="181"/>
      <c r="J656" s="181"/>
      <c r="K656" s="181"/>
      <c r="L656" s="181"/>
      <c r="M656" s="181"/>
      <c r="N656" s="181"/>
      <c r="O656" s="181"/>
      <c r="P656" s="181"/>
      <c r="Q656" s="181"/>
      <c r="R656" s="181"/>
      <c r="S656" s="181"/>
      <c r="T656" s="181"/>
      <c r="U656" s="181"/>
      <c r="V656" s="181"/>
      <c r="W656" s="181"/>
      <c r="X656" s="181"/>
      <c r="Y656" s="181"/>
      <c r="Z656" s="181"/>
    </row>
    <row r="657" customFormat="false" ht="15.75" hidden="false" customHeight="false" outlineLevel="0" collapsed="false">
      <c r="A657" s="181"/>
      <c r="B657" s="181"/>
      <c r="C657" s="181"/>
      <c r="D657" s="181"/>
      <c r="E657" s="181"/>
      <c r="F657" s="181"/>
      <c r="G657" s="181"/>
      <c r="H657" s="181"/>
      <c r="I657" s="181"/>
      <c r="J657" s="181"/>
      <c r="K657" s="181"/>
      <c r="L657" s="181"/>
      <c r="M657" s="181"/>
      <c r="N657" s="181"/>
      <c r="O657" s="181"/>
      <c r="P657" s="181"/>
      <c r="Q657" s="181"/>
      <c r="R657" s="181"/>
      <c r="S657" s="181"/>
      <c r="T657" s="181"/>
      <c r="U657" s="181"/>
      <c r="V657" s="181"/>
      <c r="W657" s="181"/>
      <c r="X657" s="181"/>
      <c r="Y657" s="181"/>
      <c r="Z657" s="181"/>
    </row>
    <row r="658" customFormat="false" ht="15.75" hidden="false" customHeight="false" outlineLevel="0" collapsed="false">
      <c r="A658" s="181"/>
      <c r="B658" s="181"/>
      <c r="C658" s="181"/>
      <c r="D658" s="181"/>
      <c r="E658" s="181"/>
      <c r="F658" s="181"/>
      <c r="G658" s="181"/>
      <c r="H658" s="181"/>
      <c r="I658" s="181"/>
      <c r="J658" s="181"/>
      <c r="K658" s="181"/>
      <c r="L658" s="181"/>
      <c r="M658" s="181"/>
      <c r="N658" s="181"/>
      <c r="O658" s="181"/>
      <c r="P658" s="181"/>
      <c r="Q658" s="181"/>
      <c r="R658" s="181"/>
      <c r="S658" s="181"/>
      <c r="T658" s="181"/>
      <c r="U658" s="181"/>
      <c r="V658" s="181"/>
      <c r="W658" s="181"/>
      <c r="X658" s="181"/>
      <c r="Y658" s="181"/>
      <c r="Z658" s="181"/>
    </row>
    <row r="659" customFormat="false" ht="15.75" hidden="false" customHeight="false" outlineLevel="0" collapsed="false">
      <c r="A659" s="181"/>
      <c r="B659" s="181"/>
      <c r="C659" s="181"/>
      <c r="D659" s="181"/>
      <c r="E659" s="181"/>
      <c r="F659" s="181"/>
      <c r="G659" s="181"/>
      <c r="H659" s="181"/>
      <c r="I659" s="181"/>
      <c r="J659" s="181"/>
      <c r="K659" s="181"/>
      <c r="L659" s="181"/>
      <c r="M659" s="181"/>
      <c r="N659" s="181"/>
      <c r="O659" s="181"/>
      <c r="P659" s="181"/>
      <c r="Q659" s="181"/>
      <c r="R659" s="181"/>
      <c r="S659" s="181"/>
      <c r="T659" s="181"/>
      <c r="U659" s="181"/>
      <c r="V659" s="181"/>
      <c r="W659" s="181"/>
      <c r="X659" s="181"/>
      <c r="Y659" s="181"/>
      <c r="Z659" s="181"/>
    </row>
    <row r="660" customFormat="false" ht="15.75" hidden="false" customHeight="false" outlineLevel="0" collapsed="false">
      <c r="A660" s="181"/>
      <c r="B660" s="181"/>
      <c r="C660" s="181"/>
      <c r="D660" s="181"/>
      <c r="E660" s="181"/>
      <c r="F660" s="181"/>
      <c r="G660" s="181"/>
      <c r="H660" s="181"/>
      <c r="I660" s="181"/>
      <c r="J660" s="181"/>
      <c r="K660" s="181"/>
      <c r="L660" s="181"/>
      <c r="M660" s="181"/>
      <c r="N660" s="181"/>
      <c r="O660" s="181"/>
      <c r="P660" s="181"/>
      <c r="Q660" s="181"/>
      <c r="R660" s="181"/>
      <c r="S660" s="181"/>
      <c r="T660" s="181"/>
      <c r="U660" s="181"/>
      <c r="V660" s="181"/>
      <c r="W660" s="181"/>
      <c r="X660" s="181"/>
      <c r="Y660" s="181"/>
      <c r="Z660" s="181"/>
    </row>
    <row r="661" customFormat="false" ht="15.75" hidden="false" customHeight="false" outlineLevel="0" collapsed="false">
      <c r="A661" s="181"/>
      <c r="B661" s="181"/>
      <c r="C661" s="181"/>
      <c r="D661" s="181"/>
      <c r="E661" s="181"/>
      <c r="F661" s="181"/>
      <c r="G661" s="181"/>
      <c r="H661" s="181"/>
      <c r="I661" s="181"/>
      <c r="J661" s="181"/>
      <c r="K661" s="181"/>
      <c r="L661" s="181"/>
      <c r="M661" s="181"/>
      <c r="N661" s="181"/>
      <c r="O661" s="181"/>
      <c r="P661" s="181"/>
      <c r="Q661" s="181"/>
      <c r="R661" s="181"/>
      <c r="S661" s="181"/>
      <c r="T661" s="181"/>
      <c r="U661" s="181"/>
      <c r="V661" s="181"/>
      <c r="W661" s="181"/>
      <c r="X661" s="181"/>
      <c r="Y661" s="181"/>
      <c r="Z661" s="181"/>
    </row>
    <row r="662" customFormat="false" ht="15.75" hidden="false" customHeight="false" outlineLevel="0" collapsed="false">
      <c r="A662" s="181"/>
      <c r="B662" s="181"/>
      <c r="C662" s="181"/>
      <c r="D662" s="181"/>
      <c r="E662" s="181"/>
      <c r="F662" s="181"/>
      <c r="G662" s="181"/>
      <c r="H662" s="181"/>
      <c r="I662" s="181"/>
      <c r="J662" s="181"/>
      <c r="K662" s="181"/>
      <c r="L662" s="181"/>
      <c r="M662" s="181"/>
      <c r="N662" s="181"/>
      <c r="O662" s="181"/>
      <c r="P662" s="181"/>
      <c r="Q662" s="181"/>
      <c r="R662" s="181"/>
      <c r="S662" s="181"/>
      <c r="T662" s="181"/>
      <c r="U662" s="181"/>
      <c r="V662" s="181"/>
      <c r="W662" s="181"/>
      <c r="X662" s="181"/>
      <c r="Y662" s="181"/>
      <c r="Z662" s="181"/>
    </row>
    <row r="663" customFormat="false" ht="15.75" hidden="false" customHeight="false" outlineLevel="0" collapsed="false">
      <c r="A663" s="181"/>
      <c r="B663" s="181"/>
      <c r="C663" s="181"/>
      <c r="D663" s="181"/>
      <c r="E663" s="181"/>
      <c r="F663" s="181"/>
      <c r="G663" s="181"/>
      <c r="H663" s="181"/>
      <c r="I663" s="181"/>
      <c r="J663" s="181"/>
      <c r="K663" s="181"/>
      <c r="L663" s="181"/>
      <c r="M663" s="181"/>
      <c r="N663" s="181"/>
      <c r="O663" s="181"/>
      <c r="P663" s="181"/>
      <c r="Q663" s="181"/>
      <c r="R663" s="181"/>
      <c r="S663" s="181"/>
      <c r="T663" s="181"/>
      <c r="U663" s="181"/>
      <c r="V663" s="181"/>
      <c r="W663" s="181"/>
      <c r="X663" s="181"/>
      <c r="Y663" s="181"/>
      <c r="Z663" s="181"/>
    </row>
    <row r="664" customFormat="false" ht="15.75" hidden="false" customHeight="false" outlineLevel="0" collapsed="false">
      <c r="A664" s="181"/>
      <c r="B664" s="181"/>
      <c r="C664" s="181"/>
      <c r="D664" s="181"/>
      <c r="E664" s="181"/>
      <c r="F664" s="181"/>
      <c r="G664" s="181"/>
      <c r="H664" s="181"/>
      <c r="I664" s="181"/>
      <c r="J664" s="181"/>
      <c r="K664" s="181"/>
      <c r="L664" s="181"/>
      <c r="M664" s="181"/>
      <c r="N664" s="181"/>
      <c r="O664" s="181"/>
      <c r="P664" s="181"/>
      <c r="Q664" s="181"/>
      <c r="R664" s="181"/>
      <c r="S664" s="181"/>
      <c r="T664" s="181"/>
      <c r="U664" s="181"/>
      <c r="V664" s="181"/>
      <c r="W664" s="181"/>
      <c r="X664" s="181"/>
      <c r="Y664" s="181"/>
      <c r="Z664" s="181"/>
    </row>
    <row r="665" customFormat="false" ht="15.75" hidden="false" customHeight="false" outlineLevel="0" collapsed="false">
      <c r="A665" s="181"/>
      <c r="B665" s="181"/>
      <c r="C665" s="181"/>
      <c r="D665" s="181"/>
      <c r="E665" s="181"/>
      <c r="F665" s="181"/>
      <c r="G665" s="181"/>
      <c r="H665" s="181"/>
      <c r="I665" s="181"/>
      <c r="J665" s="181"/>
      <c r="K665" s="181"/>
      <c r="L665" s="181"/>
      <c r="M665" s="181"/>
      <c r="N665" s="181"/>
      <c r="O665" s="181"/>
      <c r="P665" s="181"/>
      <c r="Q665" s="181"/>
      <c r="R665" s="181"/>
      <c r="S665" s="181"/>
      <c r="T665" s="181"/>
      <c r="U665" s="181"/>
      <c r="V665" s="181"/>
      <c r="W665" s="181"/>
      <c r="X665" s="181"/>
      <c r="Y665" s="181"/>
      <c r="Z665" s="181"/>
    </row>
    <row r="666" customFormat="false" ht="15.75" hidden="false" customHeight="false" outlineLevel="0" collapsed="false">
      <c r="A666" s="181"/>
      <c r="B666" s="181"/>
      <c r="C666" s="181"/>
      <c r="D666" s="181"/>
      <c r="E666" s="181"/>
      <c r="F666" s="181"/>
      <c r="G666" s="181"/>
      <c r="H666" s="181"/>
      <c r="I666" s="181"/>
      <c r="J666" s="181"/>
      <c r="K666" s="181"/>
      <c r="L666" s="181"/>
      <c r="M666" s="181"/>
      <c r="N666" s="181"/>
      <c r="O666" s="181"/>
      <c r="P666" s="181"/>
      <c r="Q666" s="181"/>
      <c r="R666" s="181"/>
      <c r="S666" s="181"/>
      <c r="T666" s="181"/>
      <c r="U666" s="181"/>
      <c r="V666" s="181"/>
      <c r="W666" s="181"/>
      <c r="X666" s="181"/>
      <c r="Y666" s="181"/>
      <c r="Z666" s="181"/>
    </row>
    <row r="667" customFormat="false" ht="15.75" hidden="false" customHeight="false" outlineLevel="0" collapsed="false">
      <c r="A667" s="181"/>
      <c r="B667" s="181"/>
      <c r="C667" s="181"/>
      <c r="D667" s="181"/>
      <c r="E667" s="181"/>
      <c r="F667" s="181"/>
      <c r="G667" s="181"/>
      <c r="H667" s="181"/>
      <c r="I667" s="181"/>
      <c r="J667" s="181"/>
      <c r="K667" s="181"/>
      <c r="L667" s="181"/>
      <c r="M667" s="181"/>
      <c r="N667" s="181"/>
      <c r="O667" s="181"/>
      <c r="P667" s="181"/>
      <c r="Q667" s="181"/>
      <c r="R667" s="181"/>
      <c r="S667" s="181"/>
      <c r="T667" s="181"/>
      <c r="U667" s="181"/>
      <c r="V667" s="181"/>
      <c r="W667" s="181"/>
      <c r="X667" s="181"/>
      <c r="Y667" s="181"/>
      <c r="Z667" s="181"/>
    </row>
    <row r="668" customFormat="false" ht="15.75" hidden="false" customHeight="false" outlineLevel="0" collapsed="false">
      <c r="A668" s="181"/>
      <c r="B668" s="181"/>
      <c r="C668" s="181"/>
      <c r="D668" s="181"/>
      <c r="E668" s="181"/>
      <c r="F668" s="181"/>
      <c r="G668" s="181"/>
      <c r="H668" s="181"/>
      <c r="I668" s="181"/>
      <c r="J668" s="181"/>
      <c r="K668" s="181"/>
      <c r="L668" s="181"/>
      <c r="M668" s="181"/>
      <c r="N668" s="181"/>
      <c r="O668" s="181"/>
      <c r="P668" s="181"/>
      <c r="Q668" s="181"/>
      <c r="R668" s="181"/>
      <c r="S668" s="181"/>
      <c r="T668" s="181"/>
      <c r="U668" s="181"/>
      <c r="V668" s="181"/>
      <c r="W668" s="181"/>
      <c r="X668" s="181"/>
      <c r="Y668" s="181"/>
      <c r="Z668" s="181"/>
    </row>
    <row r="669" customFormat="false" ht="15.75" hidden="false" customHeight="false" outlineLevel="0" collapsed="false">
      <c r="A669" s="181"/>
      <c r="B669" s="181"/>
      <c r="C669" s="181"/>
      <c r="D669" s="181"/>
      <c r="E669" s="181"/>
      <c r="F669" s="181"/>
      <c r="G669" s="181"/>
      <c r="H669" s="181"/>
      <c r="I669" s="181"/>
      <c r="J669" s="181"/>
      <c r="K669" s="181"/>
      <c r="L669" s="181"/>
      <c r="M669" s="181"/>
      <c r="N669" s="181"/>
      <c r="O669" s="181"/>
      <c r="P669" s="181"/>
      <c r="Q669" s="181"/>
      <c r="R669" s="181"/>
      <c r="S669" s="181"/>
      <c r="T669" s="181"/>
      <c r="U669" s="181"/>
      <c r="V669" s="181"/>
      <c r="W669" s="181"/>
      <c r="X669" s="181"/>
      <c r="Y669" s="181"/>
      <c r="Z669" s="181"/>
    </row>
    <row r="670" customFormat="false" ht="15.75" hidden="false" customHeight="false" outlineLevel="0" collapsed="false">
      <c r="A670" s="181"/>
      <c r="B670" s="181"/>
      <c r="C670" s="181"/>
      <c r="D670" s="181"/>
      <c r="E670" s="181"/>
      <c r="F670" s="181"/>
      <c r="G670" s="181"/>
      <c r="H670" s="181"/>
      <c r="I670" s="181"/>
      <c r="J670" s="181"/>
      <c r="K670" s="181"/>
      <c r="L670" s="181"/>
      <c r="M670" s="181"/>
      <c r="N670" s="181"/>
      <c r="O670" s="181"/>
      <c r="P670" s="181"/>
      <c r="Q670" s="181"/>
      <c r="R670" s="181"/>
      <c r="S670" s="181"/>
      <c r="T670" s="181"/>
      <c r="U670" s="181"/>
      <c r="V670" s="181"/>
      <c r="W670" s="181"/>
      <c r="X670" s="181"/>
      <c r="Y670" s="181"/>
      <c r="Z670" s="181"/>
    </row>
    <row r="671" customFormat="false" ht="15.75" hidden="false" customHeight="false" outlineLevel="0" collapsed="false">
      <c r="A671" s="181"/>
      <c r="B671" s="181"/>
      <c r="C671" s="181"/>
      <c r="D671" s="181"/>
      <c r="E671" s="181"/>
      <c r="F671" s="181"/>
      <c r="G671" s="181"/>
      <c r="H671" s="181"/>
      <c r="I671" s="181"/>
      <c r="J671" s="181"/>
      <c r="K671" s="181"/>
      <c r="L671" s="181"/>
      <c r="M671" s="181"/>
      <c r="N671" s="181"/>
      <c r="O671" s="181"/>
      <c r="P671" s="181"/>
      <c r="Q671" s="181"/>
      <c r="R671" s="181"/>
      <c r="S671" s="181"/>
      <c r="T671" s="181"/>
      <c r="U671" s="181"/>
      <c r="V671" s="181"/>
      <c r="W671" s="181"/>
      <c r="X671" s="181"/>
      <c r="Y671" s="181"/>
      <c r="Z671" s="181"/>
    </row>
    <row r="672" customFormat="false" ht="15.75" hidden="false" customHeight="false" outlineLevel="0" collapsed="false">
      <c r="A672" s="181"/>
      <c r="B672" s="181"/>
      <c r="C672" s="181"/>
      <c r="D672" s="181"/>
      <c r="E672" s="181"/>
      <c r="F672" s="181"/>
      <c r="G672" s="181"/>
      <c r="H672" s="181"/>
      <c r="I672" s="181"/>
      <c r="J672" s="181"/>
      <c r="K672" s="181"/>
      <c r="L672" s="181"/>
      <c r="M672" s="181"/>
      <c r="N672" s="181"/>
      <c r="O672" s="181"/>
      <c r="P672" s="181"/>
      <c r="Q672" s="181"/>
      <c r="R672" s="181"/>
      <c r="S672" s="181"/>
      <c r="T672" s="181"/>
      <c r="U672" s="181"/>
      <c r="V672" s="181"/>
      <c r="W672" s="181"/>
      <c r="X672" s="181"/>
      <c r="Y672" s="181"/>
      <c r="Z672" s="181"/>
    </row>
    <row r="673" customFormat="false" ht="15.75" hidden="false" customHeight="false" outlineLevel="0" collapsed="false">
      <c r="A673" s="181"/>
      <c r="B673" s="181"/>
      <c r="C673" s="181"/>
      <c r="D673" s="181"/>
      <c r="E673" s="181"/>
      <c r="F673" s="181"/>
      <c r="G673" s="181"/>
      <c r="H673" s="181"/>
      <c r="I673" s="181"/>
      <c r="J673" s="181"/>
      <c r="K673" s="181"/>
      <c r="L673" s="181"/>
      <c r="M673" s="181"/>
      <c r="N673" s="181"/>
      <c r="O673" s="181"/>
      <c r="P673" s="181"/>
      <c r="Q673" s="181"/>
      <c r="R673" s="181"/>
      <c r="S673" s="181"/>
      <c r="T673" s="181"/>
      <c r="U673" s="181"/>
      <c r="V673" s="181"/>
      <c r="W673" s="181"/>
      <c r="X673" s="181"/>
      <c r="Y673" s="181"/>
      <c r="Z673" s="181"/>
    </row>
    <row r="674" customFormat="false" ht="15.75" hidden="false" customHeight="false" outlineLevel="0" collapsed="false">
      <c r="A674" s="181"/>
      <c r="B674" s="181"/>
      <c r="C674" s="181"/>
      <c r="D674" s="181"/>
      <c r="E674" s="181"/>
      <c r="F674" s="181"/>
      <c r="G674" s="181"/>
      <c r="H674" s="181"/>
      <c r="I674" s="181"/>
      <c r="J674" s="181"/>
      <c r="K674" s="181"/>
      <c r="L674" s="181"/>
      <c r="M674" s="181"/>
      <c r="N674" s="181"/>
      <c r="O674" s="181"/>
      <c r="P674" s="181"/>
      <c r="Q674" s="181"/>
      <c r="R674" s="181"/>
      <c r="S674" s="181"/>
      <c r="T674" s="181"/>
      <c r="U674" s="181"/>
      <c r="V674" s="181"/>
      <c r="W674" s="181"/>
      <c r="X674" s="181"/>
      <c r="Y674" s="181"/>
      <c r="Z674" s="181"/>
    </row>
    <row r="675" customFormat="false" ht="15.75" hidden="false" customHeight="false" outlineLevel="0" collapsed="false">
      <c r="A675" s="181"/>
      <c r="B675" s="181"/>
      <c r="C675" s="181"/>
      <c r="D675" s="181"/>
      <c r="E675" s="181"/>
      <c r="F675" s="181"/>
      <c r="G675" s="181"/>
      <c r="H675" s="181"/>
      <c r="I675" s="181"/>
      <c r="J675" s="181"/>
      <c r="K675" s="181"/>
      <c r="L675" s="181"/>
      <c r="M675" s="181"/>
      <c r="N675" s="181"/>
      <c r="O675" s="181"/>
      <c r="P675" s="181"/>
      <c r="Q675" s="181"/>
      <c r="R675" s="181"/>
      <c r="S675" s="181"/>
      <c r="T675" s="181"/>
      <c r="U675" s="181"/>
      <c r="V675" s="181"/>
      <c r="W675" s="181"/>
      <c r="X675" s="181"/>
      <c r="Y675" s="181"/>
      <c r="Z675" s="181"/>
    </row>
    <row r="676" customFormat="false" ht="15.75" hidden="false" customHeight="false" outlineLevel="0" collapsed="false">
      <c r="A676" s="181"/>
      <c r="B676" s="181"/>
      <c r="C676" s="181"/>
      <c r="D676" s="181"/>
      <c r="E676" s="181"/>
      <c r="F676" s="181"/>
      <c r="G676" s="181"/>
      <c r="H676" s="181"/>
      <c r="I676" s="181"/>
      <c r="J676" s="181"/>
      <c r="K676" s="181"/>
      <c r="L676" s="181"/>
      <c r="M676" s="181"/>
      <c r="N676" s="181"/>
      <c r="O676" s="181"/>
      <c r="P676" s="181"/>
      <c r="Q676" s="181"/>
      <c r="R676" s="181"/>
      <c r="S676" s="181"/>
      <c r="T676" s="181"/>
      <c r="U676" s="181"/>
      <c r="V676" s="181"/>
      <c r="W676" s="181"/>
      <c r="X676" s="181"/>
      <c r="Y676" s="181"/>
      <c r="Z676" s="181"/>
    </row>
    <row r="677" customFormat="false" ht="15.75" hidden="false" customHeight="false" outlineLevel="0" collapsed="false">
      <c r="A677" s="181"/>
      <c r="B677" s="181"/>
      <c r="C677" s="181"/>
      <c r="D677" s="181"/>
      <c r="E677" s="181"/>
      <c r="F677" s="181"/>
      <c r="G677" s="181"/>
      <c r="H677" s="181"/>
      <c r="I677" s="181"/>
      <c r="J677" s="181"/>
      <c r="K677" s="181"/>
      <c r="L677" s="181"/>
      <c r="M677" s="181"/>
      <c r="N677" s="181"/>
      <c r="O677" s="181"/>
      <c r="P677" s="181"/>
      <c r="Q677" s="181"/>
      <c r="R677" s="181"/>
      <c r="S677" s="181"/>
      <c r="T677" s="181"/>
      <c r="U677" s="181"/>
      <c r="V677" s="181"/>
      <c r="W677" s="181"/>
      <c r="X677" s="181"/>
      <c r="Y677" s="181"/>
      <c r="Z677" s="181"/>
    </row>
    <row r="678" customFormat="false" ht="15.75" hidden="false" customHeight="false" outlineLevel="0" collapsed="false">
      <c r="A678" s="181"/>
      <c r="B678" s="181"/>
      <c r="C678" s="181"/>
      <c r="D678" s="181"/>
      <c r="E678" s="181"/>
      <c r="F678" s="181"/>
      <c r="G678" s="181"/>
      <c r="H678" s="181"/>
      <c r="I678" s="181"/>
      <c r="J678" s="181"/>
      <c r="K678" s="181"/>
      <c r="L678" s="181"/>
      <c r="M678" s="181"/>
      <c r="N678" s="181"/>
      <c r="O678" s="181"/>
      <c r="P678" s="181"/>
      <c r="Q678" s="181"/>
      <c r="R678" s="181"/>
      <c r="S678" s="181"/>
      <c r="T678" s="181"/>
      <c r="U678" s="181"/>
      <c r="V678" s="181"/>
      <c r="W678" s="181"/>
      <c r="X678" s="181"/>
      <c r="Y678" s="181"/>
      <c r="Z678" s="181"/>
    </row>
    <row r="679" customFormat="false" ht="15.75" hidden="false" customHeight="false" outlineLevel="0" collapsed="false">
      <c r="A679" s="181"/>
      <c r="B679" s="181"/>
      <c r="C679" s="181"/>
      <c r="D679" s="181"/>
      <c r="E679" s="181"/>
      <c r="F679" s="181"/>
      <c r="G679" s="181"/>
      <c r="H679" s="181"/>
      <c r="I679" s="181"/>
      <c r="J679" s="181"/>
      <c r="K679" s="181"/>
      <c r="L679" s="181"/>
      <c r="M679" s="181"/>
      <c r="N679" s="181"/>
      <c r="O679" s="181"/>
      <c r="P679" s="181"/>
      <c r="Q679" s="181"/>
      <c r="R679" s="181"/>
      <c r="S679" s="181"/>
      <c r="T679" s="181"/>
      <c r="U679" s="181"/>
      <c r="V679" s="181"/>
      <c r="W679" s="181"/>
      <c r="X679" s="181"/>
      <c r="Y679" s="181"/>
      <c r="Z679" s="181"/>
    </row>
    <row r="680" customFormat="false" ht="15.75" hidden="false" customHeight="false" outlineLevel="0" collapsed="false">
      <c r="A680" s="181"/>
      <c r="B680" s="181"/>
      <c r="C680" s="181"/>
      <c r="D680" s="181"/>
      <c r="E680" s="181"/>
      <c r="F680" s="181"/>
      <c r="G680" s="181"/>
      <c r="H680" s="181"/>
      <c r="I680" s="181"/>
      <c r="J680" s="181"/>
      <c r="K680" s="181"/>
      <c r="L680" s="181"/>
      <c r="M680" s="181"/>
      <c r="N680" s="181"/>
      <c r="O680" s="181"/>
      <c r="P680" s="181"/>
      <c r="Q680" s="181"/>
      <c r="R680" s="181"/>
      <c r="S680" s="181"/>
      <c r="T680" s="181"/>
      <c r="U680" s="181"/>
      <c r="V680" s="181"/>
      <c r="W680" s="181"/>
      <c r="X680" s="181"/>
      <c r="Y680" s="181"/>
      <c r="Z680" s="181"/>
    </row>
    <row r="681" customFormat="false" ht="15.75" hidden="false" customHeight="false" outlineLevel="0" collapsed="false">
      <c r="A681" s="181"/>
      <c r="B681" s="181"/>
      <c r="C681" s="181"/>
      <c r="D681" s="181"/>
      <c r="E681" s="181"/>
      <c r="F681" s="181"/>
      <c r="G681" s="181"/>
      <c r="H681" s="181"/>
      <c r="I681" s="181"/>
      <c r="J681" s="181"/>
      <c r="K681" s="181"/>
      <c r="L681" s="181"/>
      <c r="M681" s="181"/>
      <c r="N681" s="181"/>
      <c r="O681" s="181"/>
      <c r="P681" s="181"/>
      <c r="Q681" s="181"/>
      <c r="R681" s="181"/>
      <c r="S681" s="181"/>
      <c r="T681" s="181"/>
      <c r="U681" s="181"/>
      <c r="V681" s="181"/>
      <c r="W681" s="181"/>
      <c r="X681" s="181"/>
      <c r="Y681" s="181"/>
      <c r="Z681" s="181"/>
    </row>
    <row r="682" customFormat="false" ht="15.75" hidden="false" customHeight="false" outlineLevel="0" collapsed="false">
      <c r="A682" s="181"/>
      <c r="B682" s="181"/>
      <c r="C682" s="181"/>
      <c r="D682" s="181"/>
      <c r="E682" s="181"/>
      <c r="F682" s="181"/>
      <c r="G682" s="181"/>
      <c r="H682" s="181"/>
      <c r="I682" s="181"/>
      <c r="J682" s="181"/>
      <c r="K682" s="181"/>
      <c r="L682" s="181"/>
      <c r="M682" s="181"/>
      <c r="N682" s="181"/>
      <c r="O682" s="181"/>
      <c r="P682" s="181"/>
      <c r="Q682" s="181"/>
      <c r="R682" s="181"/>
      <c r="S682" s="181"/>
      <c r="T682" s="181"/>
      <c r="U682" s="181"/>
      <c r="V682" s="181"/>
      <c r="W682" s="181"/>
      <c r="X682" s="181"/>
      <c r="Y682" s="181"/>
      <c r="Z682" s="181"/>
    </row>
    <row r="683" customFormat="false" ht="15.75" hidden="false" customHeight="false" outlineLevel="0" collapsed="false">
      <c r="A683" s="181"/>
      <c r="B683" s="181"/>
      <c r="C683" s="181"/>
      <c r="D683" s="181"/>
      <c r="E683" s="181"/>
      <c r="F683" s="181"/>
      <c r="G683" s="181"/>
      <c r="H683" s="181"/>
      <c r="I683" s="181"/>
      <c r="J683" s="181"/>
      <c r="K683" s="181"/>
      <c r="L683" s="181"/>
      <c r="M683" s="181"/>
      <c r="N683" s="181"/>
      <c r="O683" s="181"/>
      <c r="P683" s="181"/>
      <c r="Q683" s="181"/>
      <c r="R683" s="181"/>
      <c r="S683" s="181"/>
      <c r="T683" s="181"/>
      <c r="U683" s="181"/>
      <c r="V683" s="181"/>
      <c r="W683" s="181"/>
      <c r="X683" s="181"/>
      <c r="Y683" s="181"/>
      <c r="Z683" s="181"/>
    </row>
    <row r="684" customFormat="false" ht="15.75" hidden="false" customHeight="false" outlineLevel="0" collapsed="false">
      <c r="A684" s="181"/>
      <c r="B684" s="181"/>
      <c r="C684" s="181"/>
      <c r="D684" s="181"/>
      <c r="E684" s="181"/>
      <c r="F684" s="181"/>
      <c r="G684" s="181"/>
      <c r="H684" s="181"/>
      <c r="I684" s="181"/>
      <c r="J684" s="181"/>
      <c r="K684" s="181"/>
      <c r="L684" s="181"/>
      <c r="M684" s="181"/>
      <c r="N684" s="181"/>
      <c r="O684" s="181"/>
      <c r="P684" s="181"/>
      <c r="Q684" s="181"/>
      <c r="R684" s="181"/>
      <c r="S684" s="181"/>
      <c r="T684" s="181"/>
      <c r="U684" s="181"/>
      <c r="V684" s="181"/>
      <c r="W684" s="181"/>
      <c r="X684" s="181"/>
      <c r="Y684" s="181"/>
      <c r="Z684" s="181"/>
    </row>
    <row r="685" customFormat="false" ht="15.75" hidden="false" customHeight="false" outlineLevel="0" collapsed="false">
      <c r="A685" s="181"/>
      <c r="B685" s="181"/>
      <c r="C685" s="181"/>
      <c r="D685" s="181"/>
      <c r="E685" s="181"/>
      <c r="F685" s="181"/>
      <c r="G685" s="181"/>
      <c r="H685" s="181"/>
      <c r="I685" s="181"/>
      <c r="J685" s="181"/>
      <c r="K685" s="181"/>
      <c r="L685" s="181"/>
      <c r="M685" s="181"/>
      <c r="N685" s="181"/>
      <c r="O685" s="181"/>
      <c r="P685" s="181"/>
      <c r="Q685" s="181"/>
      <c r="R685" s="181"/>
      <c r="S685" s="181"/>
      <c r="T685" s="181"/>
      <c r="U685" s="181"/>
      <c r="V685" s="181"/>
      <c r="W685" s="181"/>
      <c r="X685" s="181"/>
      <c r="Y685" s="181"/>
      <c r="Z685" s="181"/>
    </row>
    <row r="686" customFormat="false" ht="15.75" hidden="false" customHeight="false" outlineLevel="0" collapsed="false">
      <c r="A686" s="181"/>
      <c r="B686" s="181"/>
      <c r="C686" s="181"/>
      <c r="D686" s="181"/>
      <c r="E686" s="181"/>
      <c r="F686" s="181"/>
      <c r="G686" s="181"/>
      <c r="H686" s="181"/>
      <c r="I686" s="181"/>
      <c r="J686" s="181"/>
      <c r="K686" s="181"/>
      <c r="L686" s="181"/>
      <c r="M686" s="181"/>
      <c r="N686" s="181"/>
      <c r="O686" s="181"/>
      <c r="P686" s="181"/>
      <c r="Q686" s="181"/>
      <c r="R686" s="181"/>
      <c r="S686" s="181"/>
      <c r="T686" s="181"/>
      <c r="U686" s="181"/>
      <c r="V686" s="181"/>
      <c r="W686" s="181"/>
      <c r="X686" s="181"/>
      <c r="Y686" s="181"/>
      <c r="Z686" s="181"/>
    </row>
    <row r="687" customFormat="false" ht="15.75" hidden="false" customHeight="false" outlineLevel="0" collapsed="false">
      <c r="A687" s="181"/>
      <c r="B687" s="181"/>
      <c r="C687" s="181"/>
      <c r="D687" s="181"/>
      <c r="E687" s="181"/>
      <c r="F687" s="181"/>
      <c r="G687" s="181"/>
      <c r="H687" s="181"/>
      <c r="I687" s="181"/>
      <c r="J687" s="181"/>
      <c r="K687" s="181"/>
      <c r="L687" s="181"/>
      <c r="M687" s="181"/>
      <c r="N687" s="181"/>
      <c r="O687" s="181"/>
      <c r="P687" s="181"/>
      <c r="Q687" s="181"/>
      <c r="R687" s="181"/>
      <c r="S687" s="181"/>
      <c r="T687" s="181"/>
      <c r="U687" s="181"/>
      <c r="V687" s="181"/>
      <c r="W687" s="181"/>
      <c r="X687" s="181"/>
      <c r="Y687" s="181"/>
      <c r="Z687" s="181"/>
    </row>
    <row r="688" customFormat="false" ht="15.75" hidden="false" customHeight="false" outlineLevel="0" collapsed="false">
      <c r="A688" s="181"/>
      <c r="B688" s="181"/>
      <c r="C688" s="181"/>
      <c r="D688" s="181"/>
      <c r="E688" s="181"/>
      <c r="F688" s="181"/>
      <c r="G688" s="181"/>
      <c r="H688" s="181"/>
      <c r="I688" s="181"/>
      <c r="J688" s="181"/>
      <c r="K688" s="181"/>
      <c r="L688" s="181"/>
      <c r="M688" s="181"/>
      <c r="N688" s="181"/>
      <c r="O688" s="181"/>
      <c r="P688" s="181"/>
      <c r="Q688" s="181"/>
      <c r="R688" s="181"/>
      <c r="S688" s="181"/>
      <c r="T688" s="181"/>
      <c r="U688" s="181"/>
      <c r="V688" s="181"/>
      <c r="W688" s="181"/>
      <c r="X688" s="181"/>
      <c r="Y688" s="181"/>
      <c r="Z688" s="181"/>
    </row>
    <row r="689" customFormat="false" ht="15.75" hidden="false" customHeight="false" outlineLevel="0" collapsed="false">
      <c r="A689" s="181"/>
      <c r="B689" s="181"/>
      <c r="C689" s="181"/>
      <c r="D689" s="181"/>
      <c r="E689" s="181"/>
      <c r="F689" s="181"/>
      <c r="G689" s="181"/>
      <c r="H689" s="181"/>
      <c r="I689" s="181"/>
      <c r="J689" s="181"/>
      <c r="K689" s="181"/>
      <c r="L689" s="181"/>
      <c r="M689" s="181"/>
      <c r="N689" s="181"/>
      <c r="O689" s="181"/>
      <c r="P689" s="181"/>
      <c r="Q689" s="181"/>
      <c r="R689" s="181"/>
      <c r="S689" s="181"/>
      <c r="T689" s="181"/>
      <c r="U689" s="181"/>
      <c r="V689" s="181"/>
      <c r="W689" s="181"/>
      <c r="X689" s="181"/>
      <c r="Y689" s="181"/>
      <c r="Z689" s="181"/>
    </row>
    <row r="690" customFormat="false" ht="15.75" hidden="false" customHeight="false" outlineLevel="0" collapsed="false">
      <c r="A690" s="181"/>
      <c r="B690" s="181"/>
      <c r="C690" s="181"/>
      <c r="D690" s="181"/>
      <c r="E690" s="181"/>
      <c r="F690" s="181"/>
      <c r="G690" s="181"/>
      <c r="H690" s="181"/>
      <c r="I690" s="181"/>
      <c r="J690" s="181"/>
      <c r="K690" s="181"/>
      <c r="L690" s="181"/>
      <c r="M690" s="181"/>
      <c r="N690" s="181"/>
      <c r="O690" s="181"/>
      <c r="P690" s="181"/>
      <c r="Q690" s="181"/>
      <c r="R690" s="181"/>
      <c r="S690" s="181"/>
      <c r="T690" s="181"/>
      <c r="U690" s="181"/>
      <c r="V690" s="181"/>
      <c r="W690" s="181"/>
      <c r="X690" s="181"/>
      <c r="Y690" s="181"/>
      <c r="Z690" s="181"/>
    </row>
    <row r="691" customFormat="false" ht="15.75" hidden="false" customHeight="false" outlineLevel="0" collapsed="false">
      <c r="A691" s="181"/>
      <c r="B691" s="181"/>
      <c r="C691" s="181"/>
      <c r="D691" s="181"/>
      <c r="E691" s="181"/>
      <c r="F691" s="181"/>
      <c r="G691" s="181"/>
      <c r="H691" s="181"/>
      <c r="I691" s="181"/>
      <c r="J691" s="181"/>
      <c r="K691" s="181"/>
      <c r="L691" s="181"/>
      <c r="M691" s="181"/>
      <c r="N691" s="181"/>
      <c r="O691" s="181"/>
      <c r="P691" s="181"/>
      <c r="Q691" s="181"/>
      <c r="R691" s="181"/>
      <c r="S691" s="181"/>
      <c r="T691" s="181"/>
      <c r="U691" s="181"/>
      <c r="V691" s="181"/>
      <c r="W691" s="181"/>
      <c r="X691" s="181"/>
      <c r="Y691" s="181"/>
      <c r="Z691" s="181"/>
    </row>
    <row r="692" customFormat="false" ht="15.75" hidden="false" customHeight="false" outlineLevel="0" collapsed="false">
      <c r="A692" s="181"/>
      <c r="B692" s="181"/>
      <c r="C692" s="181"/>
      <c r="D692" s="181"/>
      <c r="E692" s="181"/>
      <c r="F692" s="181"/>
      <c r="G692" s="181"/>
      <c r="H692" s="181"/>
      <c r="I692" s="181"/>
      <c r="J692" s="181"/>
      <c r="K692" s="181"/>
      <c r="L692" s="181"/>
      <c r="M692" s="181"/>
      <c r="N692" s="181"/>
      <c r="O692" s="181"/>
      <c r="P692" s="181"/>
      <c r="Q692" s="181"/>
      <c r="R692" s="181"/>
      <c r="S692" s="181"/>
      <c r="T692" s="181"/>
      <c r="U692" s="181"/>
      <c r="V692" s="181"/>
      <c r="W692" s="181"/>
      <c r="X692" s="181"/>
      <c r="Y692" s="181"/>
      <c r="Z692" s="181"/>
    </row>
    <row r="693" customFormat="false" ht="15.75" hidden="false" customHeight="false" outlineLevel="0" collapsed="false">
      <c r="A693" s="181"/>
      <c r="B693" s="181"/>
      <c r="C693" s="181"/>
      <c r="D693" s="181"/>
      <c r="E693" s="181"/>
      <c r="F693" s="181"/>
      <c r="G693" s="181"/>
      <c r="H693" s="181"/>
      <c r="I693" s="181"/>
      <c r="J693" s="181"/>
      <c r="K693" s="181"/>
      <c r="L693" s="181"/>
      <c r="M693" s="181"/>
      <c r="N693" s="181"/>
      <c r="O693" s="181"/>
      <c r="P693" s="181"/>
      <c r="Q693" s="181"/>
      <c r="R693" s="181"/>
      <c r="S693" s="181"/>
      <c r="T693" s="181"/>
      <c r="U693" s="181"/>
      <c r="V693" s="181"/>
      <c r="W693" s="181"/>
      <c r="X693" s="181"/>
      <c r="Y693" s="181"/>
      <c r="Z693" s="181"/>
    </row>
    <row r="694" customFormat="false" ht="15.75" hidden="false" customHeight="false" outlineLevel="0" collapsed="false">
      <c r="A694" s="181"/>
      <c r="B694" s="181"/>
      <c r="C694" s="181"/>
      <c r="D694" s="181"/>
      <c r="E694" s="181"/>
      <c r="F694" s="181"/>
      <c r="G694" s="181"/>
      <c r="H694" s="181"/>
      <c r="I694" s="181"/>
      <c r="J694" s="181"/>
      <c r="K694" s="181"/>
      <c r="L694" s="181"/>
      <c r="M694" s="181"/>
      <c r="N694" s="181"/>
      <c r="O694" s="181"/>
      <c r="P694" s="181"/>
      <c r="Q694" s="181"/>
      <c r="R694" s="181"/>
      <c r="S694" s="181"/>
      <c r="T694" s="181"/>
      <c r="U694" s="181"/>
      <c r="V694" s="181"/>
      <c r="W694" s="181"/>
      <c r="X694" s="181"/>
      <c r="Y694" s="181"/>
      <c r="Z694" s="181"/>
    </row>
    <row r="695" customFormat="false" ht="15.75" hidden="false" customHeight="false" outlineLevel="0" collapsed="false">
      <c r="A695" s="181"/>
      <c r="B695" s="181"/>
      <c r="C695" s="181"/>
      <c r="D695" s="181"/>
      <c r="E695" s="181"/>
      <c r="F695" s="181"/>
      <c r="G695" s="181"/>
      <c r="H695" s="181"/>
      <c r="I695" s="181"/>
      <c r="J695" s="181"/>
      <c r="K695" s="181"/>
      <c r="L695" s="181"/>
      <c r="M695" s="181"/>
      <c r="N695" s="181"/>
      <c r="O695" s="181"/>
      <c r="P695" s="181"/>
      <c r="Q695" s="181"/>
      <c r="R695" s="181"/>
      <c r="S695" s="181"/>
      <c r="T695" s="181"/>
      <c r="U695" s="181"/>
      <c r="V695" s="181"/>
      <c r="W695" s="181"/>
      <c r="X695" s="181"/>
      <c r="Y695" s="181"/>
      <c r="Z695" s="181"/>
    </row>
    <row r="696" customFormat="false" ht="15.75" hidden="false" customHeight="false" outlineLevel="0" collapsed="false">
      <c r="A696" s="181"/>
      <c r="B696" s="181"/>
      <c r="C696" s="181"/>
      <c r="D696" s="181"/>
      <c r="E696" s="181"/>
      <c r="F696" s="181"/>
      <c r="G696" s="181"/>
      <c r="H696" s="181"/>
      <c r="I696" s="181"/>
      <c r="J696" s="181"/>
      <c r="K696" s="181"/>
      <c r="L696" s="181"/>
      <c r="M696" s="181"/>
      <c r="N696" s="181"/>
      <c r="O696" s="181"/>
      <c r="P696" s="181"/>
      <c r="Q696" s="181"/>
      <c r="R696" s="181"/>
      <c r="S696" s="181"/>
      <c r="T696" s="181"/>
      <c r="U696" s="181"/>
      <c r="V696" s="181"/>
      <c r="W696" s="181"/>
      <c r="X696" s="181"/>
      <c r="Y696" s="181"/>
      <c r="Z696" s="181"/>
    </row>
    <row r="697" customFormat="false" ht="15.75" hidden="false" customHeight="false" outlineLevel="0" collapsed="false">
      <c r="A697" s="181"/>
      <c r="B697" s="181"/>
      <c r="C697" s="181"/>
      <c r="D697" s="181"/>
      <c r="E697" s="181"/>
      <c r="F697" s="181"/>
      <c r="G697" s="181"/>
      <c r="H697" s="181"/>
      <c r="I697" s="181"/>
      <c r="J697" s="181"/>
      <c r="K697" s="181"/>
      <c r="L697" s="181"/>
      <c r="M697" s="181"/>
      <c r="N697" s="181"/>
      <c r="O697" s="181"/>
      <c r="P697" s="181"/>
      <c r="Q697" s="181"/>
      <c r="R697" s="181"/>
      <c r="S697" s="181"/>
      <c r="T697" s="181"/>
      <c r="U697" s="181"/>
      <c r="V697" s="181"/>
      <c r="W697" s="181"/>
      <c r="X697" s="181"/>
      <c r="Y697" s="181"/>
      <c r="Z697" s="181"/>
    </row>
    <row r="698" customFormat="false" ht="15.75" hidden="false" customHeight="false" outlineLevel="0" collapsed="false">
      <c r="A698" s="181"/>
      <c r="B698" s="181"/>
      <c r="C698" s="181"/>
      <c r="D698" s="181"/>
      <c r="E698" s="181"/>
      <c r="F698" s="181"/>
      <c r="G698" s="181"/>
      <c r="H698" s="181"/>
      <c r="I698" s="181"/>
      <c r="J698" s="181"/>
      <c r="K698" s="181"/>
      <c r="L698" s="181"/>
      <c r="M698" s="181"/>
      <c r="N698" s="181"/>
      <c r="O698" s="181"/>
      <c r="P698" s="181"/>
      <c r="Q698" s="181"/>
      <c r="R698" s="181"/>
      <c r="S698" s="181"/>
      <c r="T698" s="181"/>
      <c r="U698" s="181"/>
      <c r="V698" s="181"/>
      <c r="W698" s="181"/>
      <c r="X698" s="181"/>
      <c r="Y698" s="181"/>
      <c r="Z698" s="181"/>
    </row>
    <row r="699" customFormat="false" ht="15.75" hidden="false" customHeight="false" outlineLevel="0" collapsed="false">
      <c r="A699" s="181"/>
      <c r="B699" s="181"/>
      <c r="C699" s="181"/>
      <c r="D699" s="181"/>
      <c r="E699" s="181"/>
      <c r="F699" s="181"/>
      <c r="G699" s="181"/>
      <c r="H699" s="181"/>
      <c r="I699" s="181"/>
      <c r="J699" s="181"/>
      <c r="K699" s="181"/>
      <c r="L699" s="181"/>
      <c r="M699" s="181"/>
      <c r="N699" s="181"/>
      <c r="O699" s="181"/>
      <c r="P699" s="181"/>
      <c r="Q699" s="181"/>
      <c r="R699" s="181"/>
      <c r="S699" s="181"/>
      <c r="T699" s="181"/>
      <c r="U699" s="181"/>
      <c r="V699" s="181"/>
      <c r="W699" s="181"/>
      <c r="X699" s="181"/>
      <c r="Y699" s="181"/>
      <c r="Z699" s="181"/>
    </row>
    <row r="700" customFormat="false" ht="15.75" hidden="false" customHeight="false" outlineLevel="0" collapsed="false">
      <c r="A700" s="181"/>
      <c r="B700" s="181"/>
      <c r="C700" s="181"/>
      <c r="D700" s="181"/>
      <c r="E700" s="181"/>
      <c r="F700" s="181"/>
      <c r="G700" s="181"/>
      <c r="H700" s="181"/>
      <c r="I700" s="181"/>
      <c r="J700" s="181"/>
      <c r="K700" s="181"/>
      <c r="L700" s="181"/>
      <c r="M700" s="181"/>
      <c r="N700" s="181"/>
      <c r="O700" s="181"/>
      <c r="P700" s="181"/>
      <c r="Q700" s="181"/>
      <c r="R700" s="181"/>
      <c r="S700" s="181"/>
      <c r="T700" s="181"/>
      <c r="U700" s="181"/>
      <c r="V700" s="181"/>
      <c r="W700" s="181"/>
      <c r="X700" s="181"/>
      <c r="Y700" s="181"/>
      <c r="Z700" s="181"/>
    </row>
    <row r="701" customFormat="false" ht="15.75" hidden="false" customHeight="false" outlineLevel="0" collapsed="false">
      <c r="A701" s="181"/>
      <c r="B701" s="181"/>
      <c r="C701" s="181"/>
      <c r="D701" s="181"/>
      <c r="E701" s="181"/>
      <c r="F701" s="181"/>
      <c r="G701" s="181"/>
      <c r="H701" s="181"/>
      <c r="I701" s="181"/>
      <c r="J701" s="181"/>
      <c r="K701" s="181"/>
      <c r="L701" s="181"/>
      <c r="M701" s="181"/>
      <c r="N701" s="181"/>
      <c r="O701" s="181"/>
      <c r="P701" s="181"/>
      <c r="Q701" s="181"/>
      <c r="R701" s="181"/>
      <c r="S701" s="181"/>
      <c r="T701" s="181"/>
      <c r="U701" s="181"/>
      <c r="V701" s="181"/>
      <c r="W701" s="181"/>
      <c r="X701" s="181"/>
      <c r="Y701" s="181"/>
      <c r="Z701" s="181"/>
    </row>
    <row r="702" customFormat="false" ht="15.75" hidden="false" customHeight="false" outlineLevel="0" collapsed="false">
      <c r="A702" s="181"/>
      <c r="B702" s="181"/>
      <c r="C702" s="181"/>
      <c r="D702" s="181"/>
      <c r="E702" s="181"/>
      <c r="F702" s="181"/>
      <c r="G702" s="181"/>
      <c r="H702" s="181"/>
      <c r="I702" s="181"/>
      <c r="J702" s="181"/>
      <c r="K702" s="181"/>
      <c r="L702" s="181"/>
      <c r="M702" s="181"/>
      <c r="N702" s="181"/>
      <c r="O702" s="181"/>
      <c r="P702" s="181"/>
      <c r="Q702" s="181"/>
      <c r="R702" s="181"/>
      <c r="S702" s="181"/>
      <c r="T702" s="181"/>
      <c r="U702" s="181"/>
      <c r="V702" s="181"/>
      <c r="W702" s="181"/>
      <c r="X702" s="181"/>
      <c r="Y702" s="181"/>
      <c r="Z702" s="181"/>
    </row>
    <row r="703" customFormat="false" ht="15.75" hidden="false" customHeight="false" outlineLevel="0" collapsed="false">
      <c r="A703" s="181"/>
      <c r="B703" s="181"/>
      <c r="C703" s="181"/>
      <c r="D703" s="181"/>
      <c r="E703" s="181"/>
      <c r="F703" s="181"/>
      <c r="G703" s="181"/>
      <c r="H703" s="181"/>
      <c r="I703" s="181"/>
      <c r="J703" s="181"/>
      <c r="K703" s="181"/>
      <c r="L703" s="181"/>
      <c r="M703" s="181"/>
      <c r="N703" s="181"/>
      <c r="O703" s="181"/>
      <c r="P703" s="181"/>
      <c r="Q703" s="181"/>
      <c r="R703" s="181"/>
      <c r="S703" s="181"/>
      <c r="T703" s="181"/>
      <c r="U703" s="181"/>
      <c r="V703" s="181"/>
      <c r="W703" s="181"/>
      <c r="X703" s="181"/>
      <c r="Y703" s="181"/>
      <c r="Z703" s="181"/>
    </row>
    <row r="704" customFormat="false" ht="15.75" hidden="false" customHeight="false" outlineLevel="0" collapsed="false">
      <c r="A704" s="181"/>
      <c r="B704" s="181"/>
      <c r="C704" s="181"/>
      <c r="D704" s="181"/>
      <c r="E704" s="181"/>
      <c r="F704" s="181"/>
      <c r="G704" s="181"/>
      <c r="H704" s="181"/>
      <c r="I704" s="181"/>
      <c r="J704" s="181"/>
      <c r="K704" s="181"/>
      <c r="L704" s="181"/>
      <c r="M704" s="181"/>
      <c r="N704" s="181"/>
      <c r="O704" s="181"/>
      <c r="P704" s="181"/>
      <c r="Q704" s="181"/>
      <c r="R704" s="181"/>
      <c r="S704" s="181"/>
      <c r="T704" s="181"/>
      <c r="U704" s="181"/>
      <c r="V704" s="181"/>
      <c r="W704" s="181"/>
      <c r="X704" s="181"/>
      <c r="Y704" s="181"/>
      <c r="Z704" s="181"/>
    </row>
    <row r="705" customFormat="false" ht="15.75" hidden="false" customHeight="false" outlineLevel="0" collapsed="false">
      <c r="A705" s="181"/>
      <c r="B705" s="181"/>
      <c r="C705" s="181"/>
      <c r="D705" s="181"/>
      <c r="E705" s="181"/>
      <c r="F705" s="181"/>
      <c r="G705" s="181"/>
      <c r="H705" s="181"/>
      <c r="I705" s="181"/>
      <c r="J705" s="181"/>
      <c r="K705" s="181"/>
      <c r="L705" s="181"/>
      <c r="M705" s="181"/>
      <c r="N705" s="181"/>
      <c r="O705" s="181"/>
      <c r="P705" s="181"/>
      <c r="Q705" s="181"/>
      <c r="R705" s="181"/>
      <c r="S705" s="181"/>
      <c r="T705" s="181"/>
      <c r="U705" s="181"/>
      <c r="V705" s="181"/>
      <c r="W705" s="181"/>
      <c r="X705" s="181"/>
      <c r="Y705" s="181"/>
      <c r="Z705" s="181"/>
    </row>
    <row r="706" customFormat="false" ht="15.75" hidden="false" customHeight="false" outlineLevel="0" collapsed="false">
      <c r="A706" s="181"/>
      <c r="B706" s="181"/>
      <c r="C706" s="181"/>
      <c r="D706" s="181"/>
      <c r="E706" s="181"/>
      <c r="F706" s="181"/>
      <c r="G706" s="181"/>
      <c r="H706" s="181"/>
      <c r="I706" s="181"/>
      <c r="J706" s="181"/>
      <c r="K706" s="181"/>
      <c r="L706" s="181"/>
      <c r="M706" s="181"/>
      <c r="N706" s="181"/>
      <c r="O706" s="181"/>
      <c r="P706" s="181"/>
      <c r="Q706" s="181"/>
      <c r="R706" s="181"/>
      <c r="S706" s="181"/>
      <c r="T706" s="181"/>
      <c r="U706" s="181"/>
      <c r="V706" s="181"/>
      <c r="W706" s="181"/>
      <c r="X706" s="181"/>
      <c r="Y706" s="181"/>
      <c r="Z706" s="181"/>
    </row>
    <row r="707" customFormat="false" ht="15.75" hidden="false" customHeight="false" outlineLevel="0" collapsed="false">
      <c r="A707" s="181"/>
      <c r="B707" s="181"/>
      <c r="C707" s="181"/>
      <c r="D707" s="181"/>
      <c r="E707" s="181"/>
      <c r="F707" s="181"/>
      <c r="G707" s="181"/>
      <c r="H707" s="181"/>
      <c r="I707" s="181"/>
      <c r="J707" s="181"/>
      <c r="K707" s="181"/>
      <c r="L707" s="181"/>
      <c r="M707" s="181"/>
      <c r="N707" s="181"/>
      <c r="O707" s="181"/>
      <c r="P707" s="181"/>
      <c r="Q707" s="181"/>
      <c r="R707" s="181"/>
      <c r="S707" s="181"/>
      <c r="T707" s="181"/>
      <c r="U707" s="181"/>
      <c r="V707" s="181"/>
      <c r="W707" s="181"/>
      <c r="X707" s="181"/>
      <c r="Y707" s="181"/>
      <c r="Z707" s="181"/>
    </row>
    <row r="708" customFormat="false" ht="15.75" hidden="false" customHeight="false" outlineLevel="0" collapsed="false">
      <c r="A708" s="181"/>
      <c r="B708" s="181"/>
      <c r="C708" s="181"/>
      <c r="D708" s="181"/>
      <c r="E708" s="181"/>
      <c r="F708" s="181"/>
      <c r="G708" s="181"/>
      <c r="H708" s="181"/>
      <c r="I708" s="181"/>
      <c r="J708" s="181"/>
      <c r="K708" s="181"/>
      <c r="L708" s="181"/>
      <c r="M708" s="181"/>
      <c r="N708" s="181"/>
      <c r="O708" s="181"/>
      <c r="P708" s="181"/>
      <c r="Q708" s="181"/>
      <c r="R708" s="181"/>
      <c r="S708" s="181"/>
      <c r="T708" s="181"/>
      <c r="U708" s="181"/>
      <c r="V708" s="181"/>
      <c r="W708" s="181"/>
      <c r="X708" s="181"/>
      <c r="Y708" s="181"/>
      <c r="Z708" s="181"/>
    </row>
    <row r="709" customFormat="false" ht="15.75" hidden="false" customHeight="false" outlineLevel="0" collapsed="false">
      <c r="A709" s="181"/>
      <c r="B709" s="181"/>
      <c r="C709" s="181"/>
      <c r="D709" s="181"/>
      <c r="E709" s="181"/>
      <c r="F709" s="181"/>
      <c r="G709" s="181"/>
      <c r="H709" s="181"/>
      <c r="I709" s="181"/>
      <c r="J709" s="181"/>
      <c r="K709" s="181"/>
      <c r="L709" s="181"/>
      <c r="M709" s="181"/>
      <c r="N709" s="181"/>
      <c r="O709" s="181"/>
      <c r="P709" s="181"/>
      <c r="Q709" s="181"/>
      <c r="R709" s="181"/>
      <c r="S709" s="181"/>
      <c r="T709" s="181"/>
      <c r="U709" s="181"/>
      <c r="V709" s="181"/>
      <c r="W709" s="181"/>
      <c r="X709" s="181"/>
      <c r="Y709" s="181"/>
      <c r="Z709" s="181"/>
    </row>
    <row r="710" customFormat="false" ht="15.75" hidden="false" customHeight="false" outlineLevel="0" collapsed="false">
      <c r="A710" s="181"/>
      <c r="B710" s="181"/>
      <c r="C710" s="181"/>
      <c r="D710" s="181"/>
      <c r="E710" s="181"/>
      <c r="F710" s="181"/>
      <c r="G710" s="181"/>
      <c r="H710" s="181"/>
      <c r="I710" s="181"/>
      <c r="J710" s="181"/>
      <c r="K710" s="181"/>
      <c r="L710" s="181"/>
      <c r="M710" s="181"/>
      <c r="N710" s="181"/>
      <c r="O710" s="181"/>
      <c r="P710" s="181"/>
      <c r="Q710" s="181"/>
      <c r="R710" s="181"/>
      <c r="S710" s="181"/>
      <c r="T710" s="181"/>
      <c r="U710" s="181"/>
      <c r="V710" s="181"/>
      <c r="W710" s="181"/>
      <c r="X710" s="181"/>
      <c r="Y710" s="181"/>
      <c r="Z710" s="181"/>
    </row>
    <row r="711" customFormat="false" ht="15.75" hidden="false" customHeight="false" outlineLevel="0" collapsed="false">
      <c r="A711" s="181"/>
      <c r="B711" s="181"/>
      <c r="C711" s="181"/>
      <c r="D711" s="181"/>
      <c r="E711" s="181"/>
      <c r="F711" s="181"/>
      <c r="G711" s="181"/>
      <c r="H711" s="181"/>
      <c r="I711" s="181"/>
      <c r="J711" s="181"/>
      <c r="K711" s="181"/>
      <c r="L711" s="181"/>
      <c r="M711" s="181"/>
      <c r="N711" s="181"/>
      <c r="O711" s="181"/>
      <c r="P711" s="181"/>
      <c r="Q711" s="181"/>
      <c r="R711" s="181"/>
      <c r="S711" s="181"/>
      <c r="T711" s="181"/>
      <c r="U711" s="181"/>
      <c r="V711" s="181"/>
      <c r="W711" s="181"/>
      <c r="X711" s="181"/>
      <c r="Y711" s="181"/>
      <c r="Z711" s="181"/>
    </row>
    <row r="712" customFormat="false" ht="15.75" hidden="false" customHeight="false" outlineLevel="0" collapsed="false">
      <c r="A712" s="181"/>
      <c r="B712" s="181"/>
      <c r="C712" s="181"/>
      <c r="D712" s="181"/>
      <c r="E712" s="181"/>
      <c r="F712" s="181"/>
      <c r="G712" s="181"/>
      <c r="H712" s="181"/>
      <c r="I712" s="181"/>
      <c r="J712" s="181"/>
      <c r="K712" s="181"/>
      <c r="L712" s="181"/>
      <c r="M712" s="181"/>
      <c r="N712" s="181"/>
      <c r="O712" s="181"/>
      <c r="P712" s="181"/>
      <c r="Q712" s="181"/>
      <c r="R712" s="181"/>
      <c r="S712" s="181"/>
      <c r="T712" s="181"/>
      <c r="U712" s="181"/>
      <c r="V712" s="181"/>
      <c r="W712" s="181"/>
      <c r="X712" s="181"/>
      <c r="Y712" s="181"/>
      <c r="Z712" s="181"/>
    </row>
    <row r="713" customFormat="false" ht="15.75" hidden="false" customHeight="false" outlineLevel="0" collapsed="false">
      <c r="A713" s="181"/>
      <c r="B713" s="181"/>
      <c r="C713" s="181"/>
      <c r="D713" s="181"/>
      <c r="E713" s="181"/>
      <c r="F713" s="181"/>
      <c r="G713" s="181"/>
      <c r="H713" s="181"/>
      <c r="I713" s="181"/>
      <c r="J713" s="181"/>
      <c r="K713" s="181"/>
      <c r="L713" s="181"/>
      <c r="M713" s="181"/>
      <c r="N713" s="181"/>
      <c r="O713" s="181"/>
      <c r="P713" s="181"/>
      <c r="Q713" s="181"/>
      <c r="R713" s="181"/>
      <c r="S713" s="181"/>
      <c r="T713" s="181"/>
      <c r="U713" s="181"/>
      <c r="V713" s="181"/>
      <c r="W713" s="181"/>
      <c r="X713" s="181"/>
      <c r="Y713" s="181"/>
      <c r="Z713" s="181"/>
    </row>
    <row r="714" customFormat="false" ht="15.75" hidden="false" customHeight="false" outlineLevel="0" collapsed="false">
      <c r="A714" s="181"/>
      <c r="B714" s="181"/>
      <c r="C714" s="181"/>
      <c r="D714" s="181"/>
      <c r="E714" s="181"/>
      <c r="F714" s="181"/>
      <c r="G714" s="181"/>
      <c r="H714" s="181"/>
      <c r="I714" s="181"/>
      <c r="J714" s="181"/>
      <c r="K714" s="181"/>
      <c r="L714" s="181"/>
      <c r="M714" s="181"/>
      <c r="N714" s="181"/>
      <c r="O714" s="181"/>
      <c r="P714" s="181"/>
      <c r="Q714" s="181"/>
      <c r="R714" s="181"/>
      <c r="S714" s="181"/>
      <c r="T714" s="181"/>
      <c r="U714" s="181"/>
      <c r="V714" s="181"/>
      <c r="W714" s="181"/>
      <c r="X714" s="181"/>
      <c r="Y714" s="181"/>
      <c r="Z714" s="181"/>
    </row>
    <row r="715" customFormat="false" ht="15.75" hidden="false" customHeight="false" outlineLevel="0" collapsed="false">
      <c r="A715" s="181"/>
      <c r="B715" s="181"/>
      <c r="C715" s="181"/>
      <c r="D715" s="181"/>
      <c r="E715" s="181"/>
      <c r="F715" s="181"/>
      <c r="G715" s="181"/>
      <c r="H715" s="181"/>
      <c r="I715" s="181"/>
      <c r="J715" s="181"/>
      <c r="K715" s="181"/>
      <c r="L715" s="181"/>
      <c r="M715" s="181"/>
      <c r="N715" s="181"/>
      <c r="O715" s="181"/>
      <c r="P715" s="181"/>
      <c r="Q715" s="181"/>
      <c r="R715" s="181"/>
      <c r="S715" s="181"/>
      <c r="T715" s="181"/>
      <c r="U715" s="181"/>
      <c r="V715" s="181"/>
      <c r="W715" s="181"/>
      <c r="X715" s="181"/>
      <c r="Y715" s="181"/>
      <c r="Z715" s="181"/>
    </row>
    <row r="716" customFormat="false" ht="15.75" hidden="false" customHeight="false" outlineLevel="0" collapsed="false">
      <c r="A716" s="181"/>
      <c r="B716" s="181"/>
      <c r="C716" s="181"/>
      <c r="D716" s="181"/>
      <c r="E716" s="181"/>
      <c r="F716" s="181"/>
      <c r="G716" s="181"/>
      <c r="H716" s="181"/>
      <c r="I716" s="181"/>
      <c r="J716" s="181"/>
      <c r="K716" s="181"/>
      <c r="L716" s="181"/>
      <c r="M716" s="181"/>
      <c r="N716" s="181"/>
      <c r="O716" s="181"/>
      <c r="P716" s="181"/>
      <c r="Q716" s="181"/>
      <c r="R716" s="181"/>
      <c r="S716" s="181"/>
      <c r="T716" s="181"/>
      <c r="U716" s="181"/>
      <c r="V716" s="181"/>
      <c r="W716" s="181"/>
      <c r="X716" s="181"/>
      <c r="Y716" s="181"/>
      <c r="Z716" s="181"/>
    </row>
    <row r="717" customFormat="false" ht="15.75" hidden="false" customHeight="false" outlineLevel="0" collapsed="false">
      <c r="A717" s="181"/>
      <c r="B717" s="181"/>
      <c r="C717" s="181"/>
      <c r="D717" s="181"/>
      <c r="E717" s="181"/>
      <c r="F717" s="181"/>
      <c r="G717" s="181"/>
      <c r="H717" s="181"/>
      <c r="I717" s="181"/>
      <c r="J717" s="181"/>
      <c r="K717" s="181"/>
      <c r="L717" s="181"/>
      <c r="M717" s="181"/>
      <c r="N717" s="181"/>
      <c r="O717" s="181"/>
      <c r="P717" s="181"/>
      <c r="Q717" s="181"/>
      <c r="R717" s="181"/>
      <c r="S717" s="181"/>
      <c r="T717" s="181"/>
      <c r="U717" s="181"/>
      <c r="V717" s="181"/>
      <c r="W717" s="181"/>
      <c r="X717" s="181"/>
      <c r="Y717" s="181"/>
      <c r="Z717" s="181"/>
    </row>
    <row r="718" customFormat="false" ht="15.75" hidden="false" customHeight="false" outlineLevel="0" collapsed="false">
      <c r="A718" s="181"/>
      <c r="B718" s="181"/>
      <c r="C718" s="181"/>
      <c r="D718" s="181"/>
      <c r="E718" s="181"/>
      <c r="F718" s="181"/>
      <c r="G718" s="181"/>
      <c r="H718" s="181"/>
      <c r="I718" s="181"/>
      <c r="J718" s="181"/>
      <c r="K718" s="181"/>
      <c r="L718" s="181"/>
      <c r="M718" s="181"/>
      <c r="N718" s="181"/>
      <c r="O718" s="181"/>
      <c r="P718" s="181"/>
      <c r="Q718" s="181"/>
      <c r="R718" s="181"/>
      <c r="S718" s="181"/>
      <c r="T718" s="181"/>
      <c r="U718" s="181"/>
      <c r="V718" s="181"/>
      <c r="W718" s="181"/>
      <c r="X718" s="181"/>
      <c r="Y718" s="181"/>
      <c r="Z718" s="181"/>
    </row>
    <row r="719" customFormat="false" ht="15.75" hidden="false" customHeight="false" outlineLevel="0" collapsed="false">
      <c r="A719" s="181"/>
      <c r="B719" s="181"/>
      <c r="C719" s="181"/>
      <c r="D719" s="181"/>
      <c r="E719" s="181"/>
      <c r="F719" s="181"/>
      <c r="G719" s="181"/>
      <c r="H719" s="181"/>
      <c r="I719" s="181"/>
      <c r="J719" s="181"/>
      <c r="K719" s="181"/>
      <c r="L719" s="181"/>
      <c r="M719" s="181"/>
      <c r="N719" s="181"/>
      <c r="O719" s="181"/>
      <c r="P719" s="181"/>
      <c r="Q719" s="181"/>
      <c r="R719" s="181"/>
      <c r="S719" s="181"/>
      <c r="T719" s="181"/>
      <c r="U719" s="181"/>
      <c r="V719" s="181"/>
      <c r="W719" s="181"/>
      <c r="X719" s="181"/>
      <c r="Y719" s="181"/>
      <c r="Z719" s="181"/>
    </row>
    <row r="720" customFormat="false" ht="15.75" hidden="false" customHeight="false" outlineLevel="0" collapsed="false">
      <c r="A720" s="181"/>
      <c r="B720" s="181"/>
      <c r="C720" s="181"/>
      <c r="D720" s="181"/>
      <c r="E720" s="181"/>
      <c r="F720" s="181"/>
      <c r="G720" s="181"/>
      <c r="H720" s="181"/>
      <c r="I720" s="181"/>
      <c r="J720" s="181"/>
      <c r="K720" s="181"/>
      <c r="L720" s="181"/>
      <c r="M720" s="181"/>
      <c r="N720" s="181"/>
      <c r="O720" s="181"/>
      <c r="P720" s="181"/>
      <c r="Q720" s="181"/>
      <c r="R720" s="181"/>
      <c r="S720" s="181"/>
      <c r="T720" s="181"/>
      <c r="U720" s="181"/>
      <c r="V720" s="181"/>
      <c r="W720" s="181"/>
      <c r="X720" s="181"/>
      <c r="Y720" s="181"/>
      <c r="Z720" s="181"/>
    </row>
    <row r="721" customFormat="false" ht="15.75" hidden="false" customHeight="false" outlineLevel="0" collapsed="false">
      <c r="A721" s="181"/>
      <c r="B721" s="181"/>
      <c r="C721" s="181"/>
      <c r="D721" s="181"/>
      <c r="E721" s="181"/>
      <c r="F721" s="181"/>
      <c r="G721" s="181"/>
      <c r="H721" s="181"/>
      <c r="I721" s="181"/>
      <c r="J721" s="181"/>
      <c r="K721" s="181"/>
      <c r="L721" s="181"/>
      <c r="M721" s="181"/>
      <c r="N721" s="181"/>
      <c r="O721" s="181"/>
      <c r="P721" s="181"/>
      <c r="Q721" s="181"/>
      <c r="R721" s="181"/>
      <c r="S721" s="181"/>
      <c r="T721" s="181"/>
      <c r="U721" s="181"/>
      <c r="V721" s="181"/>
      <c r="W721" s="181"/>
      <c r="X721" s="181"/>
      <c r="Y721" s="181"/>
      <c r="Z721" s="181"/>
    </row>
    <row r="722" customFormat="false" ht="15.75" hidden="false" customHeight="false" outlineLevel="0" collapsed="false">
      <c r="A722" s="181"/>
      <c r="B722" s="181"/>
      <c r="C722" s="181"/>
      <c r="D722" s="181"/>
      <c r="E722" s="181"/>
      <c r="F722" s="181"/>
      <c r="G722" s="181"/>
      <c r="H722" s="181"/>
      <c r="I722" s="181"/>
      <c r="J722" s="181"/>
      <c r="K722" s="181"/>
      <c r="L722" s="181"/>
      <c r="M722" s="181"/>
      <c r="N722" s="181"/>
      <c r="O722" s="181"/>
      <c r="P722" s="181"/>
      <c r="Q722" s="181"/>
      <c r="R722" s="181"/>
      <c r="S722" s="181"/>
      <c r="T722" s="181"/>
      <c r="U722" s="181"/>
      <c r="V722" s="181"/>
      <c r="W722" s="181"/>
      <c r="X722" s="181"/>
      <c r="Y722" s="181"/>
      <c r="Z722" s="181"/>
    </row>
    <row r="723" customFormat="false" ht="15.75" hidden="false" customHeight="false" outlineLevel="0" collapsed="false">
      <c r="A723" s="181"/>
      <c r="B723" s="181"/>
      <c r="C723" s="181"/>
      <c r="D723" s="181"/>
      <c r="E723" s="181"/>
      <c r="F723" s="181"/>
      <c r="G723" s="181"/>
      <c r="H723" s="181"/>
      <c r="I723" s="181"/>
      <c r="J723" s="181"/>
      <c r="K723" s="181"/>
      <c r="L723" s="181"/>
      <c r="M723" s="181"/>
      <c r="N723" s="181"/>
      <c r="O723" s="181"/>
      <c r="P723" s="181"/>
      <c r="Q723" s="181"/>
      <c r="R723" s="181"/>
      <c r="S723" s="181"/>
      <c r="T723" s="181"/>
      <c r="U723" s="181"/>
      <c r="V723" s="181"/>
      <c r="W723" s="181"/>
      <c r="X723" s="181"/>
      <c r="Y723" s="181"/>
      <c r="Z723" s="181"/>
    </row>
    <row r="724" customFormat="false" ht="15.75" hidden="false" customHeight="false" outlineLevel="0" collapsed="false">
      <c r="A724" s="181"/>
      <c r="B724" s="181"/>
      <c r="C724" s="181"/>
      <c r="D724" s="181"/>
      <c r="E724" s="181"/>
      <c r="F724" s="181"/>
      <c r="G724" s="181"/>
      <c r="H724" s="181"/>
      <c r="I724" s="181"/>
      <c r="J724" s="181"/>
      <c r="K724" s="181"/>
      <c r="L724" s="181"/>
      <c r="M724" s="181"/>
      <c r="N724" s="181"/>
      <c r="O724" s="181"/>
      <c r="P724" s="181"/>
      <c r="Q724" s="181"/>
      <c r="R724" s="181"/>
      <c r="S724" s="181"/>
      <c r="T724" s="181"/>
      <c r="U724" s="181"/>
      <c r="V724" s="181"/>
      <c r="W724" s="181"/>
      <c r="X724" s="181"/>
      <c r="Y724" s="181"/>
      <c r="Z724" s="181"/>
    </row>
    <row r="725" customFormat="false" ht="15.75" hidden="false" customHeight="false" outlineLevel="0" collapsed="false">
      <c r="A725" s="181"/>
      <c r="B725" s="181"/>
      <c r="C725" s="181"/>
      <c r="D725" s="181"/>
      <c r="E725" s="181"/>
      <c r="F725" s="181"/>
      <c r="G725" s="181"/>
      <c r="H725" s="181"/>
      <c r="I725" s="181"/>
      <c r="J725" s="181"/>
      <c r="K725" s="181"/>
      <c r="L725" s="181"/>
      <c r="M725" s="181"/>
      <c r="N725" s="181"/>
      <c r="O725" s="181"/>
      <c r="P725" s="181"/>
      <c r="Q725" s="181"/>
      <c r="R725" s="181"/>
      <c r="S725" s="181"/>
      <c r="T725" s="181"/>
      <c r="U725" s="181"/>
      <c r="V725" s="181"/>
      <c r="W725" s="181"/>
      <c r="X725" s="181"/>
      <c r="Y725" s="181"/>
      <c r="Z725" s="181"/>
    </row>
    <row r="726" customFormat="false" ht="15.75" hidden="false" customHeight="false" outlineLevel="0" collapsed="false">
      <c r="A726" s="181"/>
      <c r="B726" s="181"/>
      <c r="C726" s="181"/>
      <c r="D726" s="181"/>
      <c r="E726" s="181"/>
      <c r="F726" s="181"/>
      <c r="G726" s="181"/>
      <c r="H726" s="181"/>
      <c r="I726" s="181"/>
      <c r="J726" s="181"/>
      <c r="K726" s="181"/>
      <c r="L726" s="181"/>
      <c r="M726" s="181"/>
      <c r="N726" s="181"/>
      <c r="O726" s="181"/>
      <c r="P726" s="181"/>
      <c r="Q726" s="181"/>
      <c r="R726" s="181"/>
      <c r="S726" s="181"/>
      <c r="T726" s="181"/>
      <c r="U726" s="181"/>
      <c r="V726" s="181"/>
      <c r="W726" s="181"/>
      <c r="X726" s="181"/>
      <c r="Y726" s="181"/>
      <c r="Z726" s="181"/>
    </row>
    <row r="727" customFormat="false" ht="15.75" hidden="false" customHeight="false" outlineLevel="0" collapsed="false">
      <c r="A727" s="181"/>
      <c r="B727" s="181"/>
      <c r="C727" s="181"/>
      <c r="D727" s="181"/>
      <c r="E727" s="181"/>
      <c r="F727" s="181"/>
      <c r="G727" s="181"/>
      <c r="H727" s="181"/>
      <c r="I727" s="181"/>
      <c r="J727" s="181"/>
      <c r="K727" s="181"/>
      <c r="L727" s="181"/>
      <c r="M727" s="181"/>
      <c r="N727" s="181"/>
      <c r="O727" s="181"/>
      <c r="P727" s="181"/>
      <c r="Q727" s="181"/>
      <c r="R727" s="181"/>
      <c r="S727" s="181"/>
      <c r="T727" s="181"/>
      <c r="U727" s="181"/>
      <c r="V727" s="181"/>
      <c r="W727" s="181"/>
      <c r="X727" s="181"/>
      <c r="Y727" s="181"/>
      <c r="Z727" s="181"/>
    </row>
    <row r="728" customFormat="false" ht="15.75" hidden="false" customHeight="false" outlineLevel="0" collapsed="false">
      <c r="A728" s="181"/>
      <c r="B728" s="181"/>
      <c r="C728" s="181"/>
      <c r="D728" s="181"/>
      <c r="E728" s="181"/>
      <c r="F728" s="181"/>
      <c r="G728" s="181"/>
      <c r="H728" s="181"/>
      <c r="I728" s="181"/>
      <c r="J728" s="181"/>
      <c r="K728" s="181"/>
      <c r="L728" s="181"/>
      <c r="M728" s="181"/>
      <c r="N728" s="181"/>
      <c r="O728" s="181"/>
      <c r="P728" s="181"/>
      <c r="Q728" s="181"/>
      <c r="R728" s="181"/>
      <c r="S728" s="181"/>
      <c r="T728" s="181"/>
      <c r="U728" s="181"/>
      <c r="V728" s="181"/>
      <c r="W728" s="181"/>
      <c r="X728" s="181"/>
      <c r="Y728" s="181"/>
      <c r="Z728" s="181"/>
    </row>
    <row r="729" customFormat="false" ht="15.75" hidden="false" customHeight="false" outlineLevel="0" collapsed="false">
      <c r="A729" s="181"/>
      <c r="B729" s="181"/>
      <c r="C729" s="181"/>
      <c r="D729" s="181"/>
      <c r="E729" s="181"/>
      <c r="F729" s="181"/>
      <c r="G729" s="181"/>
      <c r="H729" s="181"/>
      <c r="I729" s="181"/>
      <c r="J729" s="181"/>
      <c r="K729" s="181"/>
      <c r="L729" s="181"/>
      <c r="M729" s="181"/>
      <c r="N729" s="181"/>
      <c r="O729" s="181"/>
      <c r="P729" s="181"/>
      <c r="Q729" s="181"/>
      <c r="R729" s="181"/>
      <c r="S729" s="181"/>
      <c r="T729" s="181"/>
      <c r="U729" s="181"/>
      <c r="V729" s="181"/>
      <c r="W729" s="181"/>
      <c r="X729" s="181"/>
      <c r="Y729" s="181"/>
      <c r="Z729" s="181"/>
    </row>
    <row r="730" customFormat="false" ht="15.75" hidden="false" customHeight="false" outlineLevel="0" collapsed="false">
      <c r="A730" s="181"/>
      <c r="B730" s="181"/>
      <c r="C730" s="181"/>
      <c r="D730" s="181"/>
      <c r="E730" s="181"/>
      <c r="F730" s="181"/>
      <c r="G730" s="181"/>
      <c r="H730" s="181"/>
      <c r="I730" s="181"/>
      <c r="J730" s="181"/>
      <c r="K730" s="181"/>
      <c r="L730" s="181"/>
      <c r="M730" s="181"/>
      <c r="N730" s="181"/>
      <c r="O730" s="181"/>
      <c r="P730" s="181"/>
      <c r="Q730" s="181"/>
      <c r="R730" s="181"/>
      <c r="S730" s="181"/>
      <c r="T730" s="181"/>
      <c r="U730" s="181"/>
      <c r="V730" s="181"/>
      <c r="W730" s="181"/>
      <c r="X730" s="181"/>
      <c r="Y730" s="181"/>
      <c r="Z730" s="181"/>
    </row>
    <row r="731" customFormat="false" ht="15.75" hidden="false" customHeight="false" outlineLevel="0" collapsed="false">
      <c r="A731" s="181"/>
      <c r="B731" s="181"/>
      <c r="C731" s="181"/>
      <c r="D731" s="181"/>
      <c r="E731" s="181"/>
      <c r="F731" s="181"/>
      <c r="G731" s="181"/>
      <c r="H731" s="181"/>
      <c r="I731" s="181"/>
      <c r="J731" s="181"/>
      <c r="K731" s="181"/>
      <c r="L731" s="181"/>
      <c r="M731" s="181"/>
      <c r="N731" s="181"/>
      <c r="O731" s="181"/>
      <c r="P731" s="181"/>
      <c r="Q731" s="181"/>
      <c r="R731" s="181"/>
      <c r="S731" s="181"/>
      <c r="T731" s="181"/>
      <c r="U731" s="181"/>
      <c r="V731" s="181"/>
      <c r="W731" s="181"/>
      <c r="X731" s="181"/>
      <c r="Y731" s="181"/>
      <c r="Z731" s="181"/>
    </row>
    <row r="732" customFormat="false" ht="15.75" hidden="false" customHeight="false" outlineLevel="0" collapsed="false">
      <c r="A732" s="181"/>
      <c r="B732" s="181"/>
      <c r="C732" s="181"/>
      <c r="D732" s="181"/>
      <c r="E732" s="181"/>
      <c r="F732" s="181"/>
      <c r="G732" s="181"/>
      <c r="H732" s="181"/>
      <c r="I732" s="181"/>
      <c r="J732" s="181"/>
      <c r="K732" s="181"/>
      <c r="L732" s="181"/>
      <c r="M732" s="181"/>
      <c r="N732" s="181"/>
      <c r="O732" s="181"/>
      <c r="P732" s="181"/>
      <c r="Q732" s="181"/>
      <c r="R732" s="181"/>
      <c r="S732" s="181"/>
      <c r="T732" s="181"/>
      <c r="U732" s="181"/>
      <c r="V732" s="181"/>
      <c r="W732" s="181"/>
      <c r="X732" s="181"/>
      <c r="Y732" s="181"/>
      <c r="Z732" s="181"/>
    </row>
    <row r="733" customFormat="false" ht="15.75" hidden="false" customHeight="false" outlineLevel="0" collapsed="false">
      <c r="A733" s="181"/>
      <c r="B733" s="181"/>
      <c r="C733" s="181"/>
      <c r="D733" s="181"/>
      <c r="E733" s="181"/>
      <c r="F733" s="181"/>
      <c r="G733" s="181"/>
      <c r="H733" s="181"/>
      <c r="I733" s="181"/>
      <c r="J733" s="181"/>
      <c r="K733" s="181"/>
      <c r="L733" s="181"/>
      <c r="M733" s="181"/>
      <c r="N733" s="181"/>
      <c r="O733" s="181"/>
      <c r="P733" s="181"/>
      <c r="Q733" s="181"/>
      <c r="R733" s="181"/>
      <c r="S733" s="181"/>
      <c r="T733" s="181"/>
      <c r="U733" s="181"/>
      <c r="V733" s="181"/>
      <c r="W733" s="181"/>
      <c r="X733" s="181"/>
      <c r="Y733" s="181"/>
      <c r="Z733" s="181"/>
    </row>
    <row r="734" customFormat="false" ht="15.75" hidden="false" customHeight="false" outlineLevel="0" collapsed="false">
      <c r="A734" s="181"/>
      <c r="B734" s="181"/>
      <c r="C734" s="181"/>
      <c r="D734" s="181"/>
      <c r="E734" s="181"/>
      <c r="F734" s="181"/>
      <c r="G734" s="181"/>
      <c r="H734" s="181"/>
      <c r="I734" s="181"/>
      <c r="J734" s="181"/>
      <c r="K734" s="181"/>
      <c r="L734" s="181"/>
      <c r="M734" s="181"/>
      <c r="N734" s="181"/>
      <c r="O734" s="181"/>
      <c r="P734" s="181"/>
      <c r="Q734" s="181"/>
      <c r="R734" s="181"/>
      <c r="S734" s="181"/>
      <c r="T734" s="181"/>
      <c r="U734" s="181"/>
      <c r="V734" s="181"/>
      <c r="W734" s="181"/>
      <c r="X734" s="181"/>
      <c r="Y734" s="181"/>
      <c r="Z734" s="181"/>
    </row>
    <row r="735" customFormat="false" ht="15.75" hidden="false" customHeight="false" outlineLevel="0" collapsed="false">
      <c r="A735" s="181"/>
      <c r="B735" s="181"/>
      <c r="C735" s="181"/>
      <c r="D735" s="181"/>
      <c r="E735" s="181"/>
      <c r="F735" s="181"/>
      <c r="G735" s="181"/>
      <c r="H735" s="181"/>
      <c r="I735" s="181"/>
      <c r="J735" s="181"/>
      <c r="K735" s="181"/>
      <c r="L735" s="181"/>
      <c r="M735" s="181"/>
      <c r="N735" s="181"/>
      <c r="O735" s="181"/>
      <c r="P735" s="181"/>
      <c r="Q735" s="181"/>
      <c r="R735" s="181"/>
      <c r="S735" s="181"/>
      <c r="T735" s="181"/>
      <c r="U735" s="181"/>
      <c r="V735" s="181"/>
      <c r="W735" s="181"/>
      <c r="X735" s="181"/>
      <c r="Y735" s="181"/>
      <c r="Z735" s="181"/>
    </row>
    <row r="736" customFormat="false" ht="15.75" hidden="false" customHeight="false" outlineLevel="0" collapsed="false">
      <c r="A736" s="181"/>
      <c r="B736" s="181"/>
      <c r="C736" s="181"/>
      <c r="D736" s="181"/>
      <c r="E736" s="181"/>
      <c r="F736" s="181"/>
      <c r="G736" s="181"/>
      <c r="H736" s="181"/>
      <c r="I736" s="181"/>
      <c r="J736" s="181"/>
      <c r="K736" s="181"/>
      <c r="L736" s="181"/>
      <c r="M736" s="181"/>
      <c r="N736" s="181"/>
      <c r="O736" s="181"/>
      <c r="P736" s="181"/>
      <c r="Q736" s="181"/>
      <c r="R736" s="181"/>
      <c r="S736" s="181"/>
      <c r="T736" s="181"/>
      <c r="U736" s="181"/>
      <c r="V736" s="181"/>
      <c r="W736" s="181"/>
      <c r="X736" s="181"/>
      <c r="Y736" s="181"/>
      <c r="Z736" s="181"/>
    </row>
    <row r="737" customFormat="false" ht="15.75" hidden="false" customHeight="false" outlineLevel="0" collapsed="false">
      <c r="A737" s="181"/>
      <c r="B737" s="181"/>
      <c r="C737" s="181"/>
      <c r="D737" s="181"/>
      <c r="E737" s="181"/>
      <c r="F737" s="181"/>
      <c r="G737" s="181"/>
      <c r="H737" s="181"/>
      <c r="I737" s="181"/>
      <c r="J737" s="181"/>
      <c r="K737" s="181"/>
      <c r="L737" s="181"/>
      <c r="M737" s="181"/>
      <c r="N737" s="181"/>
      <c r="O737" s="181"/>
      <c r="P737" s="181"/>
      <c r="Q737" s="181"/>
      <c r="R737" s="181"/>
      <c r="S737" s="181"/>
      <c r="T737" s="181"/>
      <c r="U737" s="181"/>
      <c r="V737" s="181"/>
      <c r="W737" s="181"/>
      <c r="X737" s="181"/>
      <c r="Y737" s="181"/>
      <c r="Z737" s="181"/>
    </row>
    <row r="738" customFormat="false" ht="15.75" hidden="false" customHeight="false" outlineLevel="0" collapsed="false">
      <c r="A738" s="181"/>
      <c r="B738" s="181"/>
      <c r="C738" s="181"/>
      <c r="D738" s="181"/>
      <c r="E738" s="181"/>
      <c r="F738" s="181"/>
      <c r="G738" s="181"/>
      <c r="H738" s="181"/>
      <c r="I738" s="181"/>
      <c r="J738" s="181"/>
      <c r="K738" s="181"/>
      <c r="L738" s="181"/>
      <c r="M738" s="181"/>
      <c r="N738" s="181"/>
      <c r="O738" s="181"/>
      <c r="P738" s="181"/>
      <c r="Q738" s="181"/>
      <c r="R738" s="181"/>
      <c r="S738" s="181"/>
      <c r="T738" s="181"/>
      <c r="U738" s="181"/>
      <c r="V738" s="181"/>
      <c r="W738" s="181"/>
      <c r="X738" s="181"/>
      <c r="Y738" s="181"/>
      <c r="Z738" s="181"/>
    </row>
    <row r="739" customFormat="false" ht="15.75" hidden="false" customHeight="false" outlineLevel="0" collapsed="false">
      <c r="A739" s="181"/>
      <c r="B739" s="181"/>
      <c r="C739" s="181"/>
      <c r="D739" s="181"/>
      <c r="E739" s="181"/>
      <c r="F739" s="181"/>
      <c r="G739" s="181"/>
      <c r="H739" s="181"/>
      <c r="I739" s="181"/>
      <c r="J739" s="181"/>
      <c r="K739" s="181"/>
      <c r="L739" s="181"/>
      <c r="M739" s="181"/>
      <c r="N739" s="181"/>
      <c r="O739" s="181"/>
      <c r="P739" s="181"/>
      <c r="Q739" s="181"/>
      <c r="R739" s="181"/>
      <c r="S739" s="181"/>
      <c r="T739" s="181"/>
      <c r="U739" s="181"/>
      <c r="V739" s="181"/>
      <c r="W739" s="181"/>
      <c r="X739" s="181"/>
      <c r="Y739" s="181"/>
      <c r="Z739" s="181"/>
    </row>
    <row r="740" customFormat="false" ht="15.75" hidden="false" customHeight="false" outlineLevel="0" collapsed="false">
      <c r="A740" s="181"/>
      <c r="B740" s="181"/>
      <c r="C740" s="181"/>
      <c r="D740" s="181"/>
      <c r="E740" s="181"/>
      <c r="F740" s="181"/>
      <c r="G740" s="181"/>
      <c r="H740" s="181"/>
      <c r="I740" s="181"/>
      <c r="J740" s="181"/>
      <c r="K740" s="181"/>
      <c r="L740" s="181"/>
      <c r="M740" s="181"/>
      <c r="N740" s="181"/>
      <c r="O740" s="181"/>
      <c r="P740" s="181"/>
      <c r="Q740" s="181"/>
      <c r="R740" s="181"/>
      <c r="S740" s="181"/>
      <c r="T740" s="181"/>
      <c r="U740" s="181"/>
      <c r="V740" s="181"/>
      <c r="W740" s="181"/>
      <c r="X740" s="181"/>
      <c r="Y740" s="181"/>
      <c r="Z740" s="181"/>
    </row>
    <row r="741" customFormat="false" ht="15.75" hidden="false" customHeight="false" outlineLevel="0" collapsed="false">
      <c r="A741" s="181"/>
      <c r="B741" s="181"/>
      <c r="C741" s="181"/>
      <c r="D741" s="181"/>
      <c r="E741" s="181"/>
      <c r="F741" s="181"/>
      <c r="G741" s="181"/>
      <c r="H741" s="181"/>
      <c r="I741" s="181"/>
      <c r="J741" s="181"/>
      <c r="K741" s="181"/>
      <c r="L741" s="181"/>
      <c r="M741" s="181"/>
      <c r="N741" s="181"/>
      <c r="O741" s="181"/>
      <c r="P741" s="181"/>
      <c r="Q741" s="181"/>
      <c r="R741" s="181"/>
      <c r="S741" s="181"/>
      <c r="T741" s="181"/>
      <c r="U741" s="181"/>
      <c r="V741" s="181"/>
      <c r="W741" s="181"/>
      <c r="X741" s="181"/>
      <c r="Y741" s="181"/>
      <c r="Z741" s="181"/>
    </row>
    <row r="742" customFormat="false" ht="15.75" hidden="false" customHeight="false" outlineLevel="0" collapsed="false">
      <c r="A742" s="181"/>
      <c r="B742" s="181"/>
      <c r="C742" s="181"/>
      <c r="D742" s="181"/>
      <c r="E742" s="181"/>
      <c r="F742" s="181"/>
      <c r="G742" s="181"/>
      <c r="H742" s="181"/>
      <c r="I742" s="181"/>
      <c r="J742" s="181"/>
      <c r="K742" s="181"/>
      <c r="L742" s="181"/>
      <c r="M742" s="181"/>
      <c r="N742" s="181"/>
      <c r="O742" s="181"/>
      <c r="P742" s="181"/>
      <c r="Q742" s="181"/>
      <c r="R742" s="181"/>
      <c r="S742" s="181"/>
      <c r="T742" s="181"/>
      <c r="U742" s="181"/>
      <c r="V742" s="181"/>
      <c r="W742" s="181"/>
      <c r="X742" s="181"/>
      <c r="Y742" s="181"/>
      <c r="Z742" s="181"/>
    </row>
    <row r="743" customFormat="false" ht="15.75" hidden="false" customHeight="false" outlineLevel="0" collapsed="false">
      <c r="A743" s="181"/>
      <c r="B743" s="181"/>
      <c r="C743" s="181"/>
      <c r="D743" s="181"/>
      <c r="E743" s="181"/>
      <c r="F743" s="181"/>
      <c r="G743" s="181"/>
      <c r="H743" s="181"/>
      <c r="I743" s="181"/>
      <c r="J743" s="181"/>
      <c r="K743" s="181"/>
      <c r="L743" s="181"/>
      <c r="M743" s="181"/>
      <c r="N743" s="181"/>
      <c r="O743" s="181"/>
      <c r="P743" s="181"/>
      <c r="Q743" s="181"/>
      <c r="R743" s="181"/>
      <c r="S743" s="181"/>
      <c r="T743" s="181"/>
      <c r="U743" s="181"/>
      <c r="V743" s="181"/>
      <c r="W743" s="181"/>
      <c r="X743" s="181"/>
      <c r="Y743" s="181"/>
      <c r="Z743" s="181"/>
    </row>
    <row r="744" customFormat="false" ht="15.75" hidden="false" customHeight="false" outlineLevel="0" collapsed="false">
      <c r="A744" s="181"/>
      <c r="B744" s="181"/>
      <c r="C744" s="181"/>
      <c r="D744" s="181"/>
      <c r="E744" s="181"/>
      <c r="F744" s="181"/>
      <c r="G744" s="181"/>
      <c r="H744" s="181"/>
      <c r="I744" s="181"/>
      <c r="J744" s="181"/>
      <c r="K744" s="181"/>
      <c r="L744" s="181"/>
      <c r="M744" s="181"/>
      <c r="N744" s="181"/>
      <c r="O744" s="181"/>
      <c r="P744" s="181"/>
      <c r="Q744" s="181"/>
      <c r="R744" s="181"/>
      <c r="S744" s="181"/>
      <c r="T744" s="181"/>
      <c r="U744" s="181"/>
      <c r="V744" s="181"/>
      <c r="W744" s="181"/>
      <c r="X744" s="181"/>
      <c r="Y744" s="181"/>
      <c r="Z744" s="181"/>
    </row>
    <row r="745" customFormat="false" ht="15.75" hidden="false" customHeight="false" outlineLevel="0" collapsed="false">
      <c r="A745" s="181"/>
      <c r="B745" s="181"/>
      <c r="C745" s="181"/>
      <c r="D745" s="181"/>
      <c r="E745" s="181"/>
      <c r="F745" s="181"/>
      <c r="G745" s="181"/>
      <c r="H745" s="181"/>
      <c r="I745" s="181"/>
      <c r="J745" s="181"/>
      <c r="K745" s="181"/>
      <c r="L745" s="181"/>
      <c r="M745" s="181"/>
      <c r="N745" s="181"/>
      <c r="O745" s="181"/>
      <c r="P745" s="181"/>
      <c r="Q745" s="181"/>
      <c r="R745" s="181"/>
      <c r="S745" s="181"/>
      <c r="T745" s="181"/>
      <c r="U745" s="181"/>
      <c r="V745" s="181"/>
      <c r="W745" s="181"/>
      <c r="X745" s="181"/>
      <c r="Y745" s="181"/>
      <c r="Z745" s="181"/>
    </row>
    <row r="746" customFormat="false" ht="15.75" hidden="false" customHeight="false" outlineLevel="0" collapsed="false">
      <c r="A746" s="181"/>
      <c r="B746" s="181"/>
      <c r="C746" s="181"/>
      <c r="D746" s="181"/>
      <c r="E746" s="181"/>
      <c r="F746" s="181"/>
      <c r="G746" s="181"/>
      <c r="H746" s="181"/>
      <c r="I746" s="181"/>
      <c r="J746" s="181"/>
      <c r="K746" s="181"/>
      <c r="L746" s="181"/>
      <c r="M746" s="181"/>
      <c r="N746" s="181"/>
      <c r="O746" s="181"/>
      <c r="P746" s="181"/>
      <c r="Q746" s="181"/>
      <c r="R746" s="181"/>
      <c r="S746" s="181"/>
      <c r="T746" s="181"/>
      <c r="U746" s="181"/>
      <c r="V746" s="181"/>
      <c r="W746" s="181"/>
      <c r="X746" s="181"/>
      <c r="Y746" s="181"/>
      <c r="Z746" s="181"/>
    </row>
    <row r="747" customFormat="false" ht="15.75" hidden="false" customHeight="false" outlineLevel="0" collapsed="false">
      <c r="A747" s="181"/>
      <c r="B747" s="181"/>
      <c r="C747" s="181"/>
      <c r="D747" s="181"/>
      <c r="E747" s="181"/>
      <c r="F747" s="181"/>
      <c r="G747" s="181"/>
      <c r="H747" s="181"/>
      <c r="I747" s="181"/>
      <c r="J747" s="181"/>
      <c r="K747" s="181"/>
      <c r="L747" s="181"/>
      <c r="M747" s="181"/>
      <c r="N747" s="181"/>
      <c r="O747" s="181"/>
      <c r="P747" s="181"/>
      <c r="Q747" s="181"/>
      <c r="R747" s="181"/>
      <c r="S747" s="181"/>
      <c r="T747" s="181"/>
      <c r="U747" s="181"/>
      <c r="V747" s="181"/>
      <c r="W747" s="181"/>
      <c r="X747" s="181"/>
      <c r="Y747" s="181"/>
      <c r="Z747" s="181"/>
    </row>
    <row r="748" customFormat="false" ht="15.75" hidden="false" customHeight="false" outlineLevel="0" collapsed="false">
      <c r="A748" s="181"/>
      <c r="B748" s="181"/>
      <c r="C748" s="181"/>
      <c r="D748" s="181"/>
      <c r="E748" s="181"/>
      <c r="F748" s="181"/>
      <c r="G748" s="181"/>
      <c r="H748" s="181"/>
      <c r="I748" s="181"/>
      <c r="J748" s="181"/>
      <c r="K748" s="181"/>
      <c r="L748" s="181"/>
      <c r="M748" s="181"/>
      <c r="N748" s="181"/>
      <c r="O748" s="181"/>
      <c r="P748" s="181"/>
      <c r="Q748" s="181"/>
      <c r="R748" s="181"/>
      <c r="S748" s="181"/>
      <c r="T748" s="181"/>
      <c r="U748" s="181"/>
      <c r="V748" s="181"/>
      <c r="W748" s="181"/>
      <c r="X748" s="181"/>
      <c r="Y748" s="181"/>
      <c r="Z748" s="181"/>
    </row>
    <row r="749" customFormat="false" ht="15.75" hidden="false" customHeight="false" outlineLevel="0" collapsed="false">
      <c r="A749" s="181"/>
      <c r="B749" s="181"/>
      <c r="C749" s="181"/>
      <c r="D749" s="181"/>
      <c r="E749" s="181"/>
      <c r="F749" s="181"/>
      <c r="G749" s="181"/>
      <c r="H749" s="181"/>
      <c r="I749" s="181"/>
      <c r="J749" s="181"/>
      <c r="K749" s="181"/>
      <c r="L749" s="181"/>
      <c r="M749" s="181"/>
      <c r="N749" s="181"/>
      <c r="O749" s="181"/>
      <c r="P749" s="181"/>
      <c r="Q749" s="181"/>
      <c r="R749" s="181"/>
      <c r="S749" s="181"/>
      <c r="T749" s="181"/>
      <c r="U749" s="181"/>
      <c r="V749" s="181"/>
      <c r="W749" s="181"/>
      <c r="X749" s="181"/>
      <c r="Y749" s="181"/>
      <c r="Z749" s="181"/>
    </row>
    <row r="750" customFormat="false" ht="15.75" hidden="false" customHeight="false" outlineLevel="0" collapsed="false">
      <c r="A750" s="181"/>
      <c r="B750" s="181"/>
      <c r="C750" s="181"/>
      <c r="D750" s="181"/>
      <c r="E750" s="181"/>
      <c r="F750" s="181"/>
      <c r="G750" s="181"/>
      <c r="H750" s="181"/>
      <c r="I750" s="181"/>
      <c r="J750" s="181"/>
      <c r="K750" s="181"/>
      <c r="L750" s="181"/>
      <c r="M750" s="181"/>
      <c r="N750" s="181"/>
      <c r="O750" s="181"/>
      <c r="P750" s="181"/>
      <c r="Q750" s="181"/>
      <c r="R750" s="181"/>
      <c r="S750" s="181"/>
      <c r="T750" s="181"/>
      <c r="U750" s="181"/>
      <c r="V750" s="181"/>
      <c r="W750" s="181"/>
      <c r="X750" s="181"/>
      <c r="Y750" s="181"/>
      <c r="Z750" s="181"/>
    </row>
    <row r="751" customFormat="false" ht="15.75" hidden="false" customHeight="false" outlineLevel="0" collapsed="false">
      <c r="A751" s="181"/>
      <c r="B751" s="181"/>
      <c r="C751" s="181"/>
      <c r="D751" s="181"/>
      <c r="E751" s="181"/>
      <c r="F751" s="181"/>
      <c r="G751" s="181"/>
      <c r="H751" s="181"/>
      <c r="I751" s="181"/>
      <c r="J751" s="181"/>
      <c r="K751" s="181"/>
      <c r="L751" s="181"/>
      <c r="M751" s="181"/>
      <c r="N751" s="181"/>
      <c r="O751" s="181"/>
      <c r="P751" s="181"/>
      <c r="Q751" s="181"/>
      <c r="R751" s="181"/>
      <c r="S751" s="181"/>
      <c r="T751" s="181"/>
      <c r="U751" s="181"/>
      <c r="V751" s="181"/>
      <c r="W751" s="181"/>
      <c r="X751" s="181"/>
      <c r="Y751" s="181"/>
      <c r="Z751" s="181"/>
    </row>
    <row r="752" customFormat="false" ht="15.75" hidden="false" customHeight="false" outlineLevel="0" collapsed="false">
      <c r="A752" s="181"/>
      <c r="B752" s="181"/>
      <c r="C752" s="181"/>
      <c r="D752" s="181"/>
      <c r="E752" s="181"/>
      <c r="F752" s="181"/>
      <c r="G752" s="181"/>
      <c r="H752" s="181"/>
      <c r="I752" s="181"/>
      <c r="J752" s="181"/>
      <c r="K752" s="181"/>
      <c r="L752" s="181"/>
      <c r="M752" s="181"/>
      <c r="N752" s="181"/>
      <c r="O752" s="181"/>
      <c r="P752" s="181"/>
      <c r="Q752" s="181"/>
      <c r="R752" s="181"/>
      <c r="S752" s="181"/>
      <c r="T752" s="181"/>
      <c r="U752" s="181"/>
      <c r="V752" s="181"/>
      <c r="W752" s="181"/>
      <c r="X752" s="181"/>
      <c r="Y752" s="181"/>
      <c r="Z752" s="181"/>
    </row>
    <row r="753" customFormat="false" ht="15.75" hidden="false" customHeight="false" outlineLevel="0" collapsed="false">
      <c r="A753" s="181"/>
      <c r="B753" s="181"/>
      <c r="C753" s="181"/>
      <c r="D753" s="181"/>
      <c r="E753" s="181"/>
      <c r="F753" s="181"/>
      <c r="G753" s="181"/>
      <c r="H753" s="181"/>
      <c r="I753" s="181"/>
      <c r="J753" s="181"/>
      <c r="K753" s="181"/>
      <c r="L753" s="181"/>
      <c r="M753" s="181"/>
      <c r="N753" s="181"/>
      <c r="O753" s="181"/>
      <c r="P753" s="181"/>
      <c r="Q753" s="181"/>
      <c r="R753" s="181"/>
      <c r="S753" s="181"/>
      <c r="T753" s="181"/>
      <c r="U753" s="181"/>
      <c r="V753" s="181"/>
      <c r="W753" s="181"/>
      <c r="X753" s="181"/>
      <c r="Y753" s="181"/>
      <c r="Z753" s="181"/>
    </row>
    <row r="754" customFormat="false" ht="15.75" hidden="false" customHeight="false" outlineLevel="0" collapsed="false">
      <c r="A754" s="181"/>
      <c r="B754" s="181"/>
      <c r="C754" s="181"/>
      <c r="D754" s="181"/>
      <c r="E754" s="181"/>
      <c r="F754" s="181"/>
      <c r="G754" s="181"/>
      <c r="H754" s="181"/>
      <c r="I754" s="181"/>
      <c r="J754" s="181"/>
      <c r="K754" s="181"/>
      <c r="L754" s="181"/>
      <c r="M754" s="181"/>
      <c r="N754" s="181"/>
      <c r="O754" s="181"/>
      <c r="P754" s="181"/>
      <c r="Q754" s="181"/>
      <c r="R754" s="181"/>
      <c r="S754" s="181"/>
      <c r="T754" s="181"/>
      <c r="U754" s="181"/>
      <c r="V754" s="181"/>
      <c r="W754" s="181"/>
      <c r="X754" s="181"/>
      <c r="Y754" s="181"/>
      <c r="Z754" s="181"/>
    </row>
    <row r="755" customFormat="false" ht="15.75" hidden="false" customHeight="false" outlineLevel="0" collapsed="false">
      <c r="A755" s="181"/>
      <c r="B755" s="181"/>
      <c r="C755" s="181"/>
      <c r="D755" s="181"/>
      <c r="E755" s="181"/>
      <c r="F755" s="181"/>
      <c r="G755" s="181"/>
      <c r="H755" s="181"/>
      <c r="I755" s="181"/>
      <c r="J755" s="181"/>
      <c r="K755" s="181"/>
      <c r="L755" s="181"/>
      <c r="M755" s="181"/>
      <c r="N755" s="181"/>
      <c r="O755" s="181"/>
      <c r="P755" s="181"/>
      <c r="Q755" s="181"/>
      <c r="R755" s="181"/>
      <c r="S755" s="181"/>
      <c r="T755" s="181"/>
      <c r="U755" s="181"/>
      <c r="V755" s="181"/>
      <c r="W755" s="181"/>
      <c r="X755" s="181"/>
      <c r="Y755" s="181"/>
      <c r="Z755" s="181"/>
    </row>
    <row r="756" customFormat="false" ht="15.75" hidden="false" customHeight="false" outlineLevel="0" collapsed="false">
      <c r="A756" s="181"/>
      <c r="B756" s="181"/>
      <c r="C756" s="181"/>
      <c r="D756" s="181"/>
      <c r="E756" s="181"/>
      <c r="F756" s="181"/>
      <c r="G756" s="181"/>
      <c r="H756" s="181"/>
      <c r="I756" s="181"/>
      <c r="J756" s="181"/>
      <c r="K756" s="181"/>
      <c r="L756" s="181"/>
      <c r="M756" s="181"/>
      <c r="N756" s="181"/>
      <c r="O756" s="181"/>
      <c r="P756" s="181"/>
      <c r="Q756" s="181"/>
      <c r="R756" s="181"/>
      <c r="S756" s="181"/>
      <c r="T756" s="181"/>
      <c r="U756" s="181"/>
      <c r="V756" s="181"/>
      <c r="W756" s="181"/>
      <c r="X756" s="181"/>
      <c r="Y756" s="181"/>
      <c r="Z756" s="181"/>
    </row>
    <row r="757" customFormat="false" ht="15.75" hidden="false" customHeight="false" outlineLevel="0" collapsed="false">
      <c r="A757" s="181"/>
      <c r="B757" s="181"/>
      <c r="C757" s="181"/>
      <c r="D757" s="181"/>
      <c r="E757" s="181"/>
      <c r="F757" s="181"/>
      <c r="G757" s="181"/>
      <c r="H757" s="181"/>
      <c r="I757" s="181"/>
      <c r="J757" s="181"/>
      <c r="K757" s="181"/>
      <c r="L757" s="181"/>
      <c r="M757" s="181"/>
      <c r="N757" s="181"/>
      <c r="O757" s="181"/>
      <c r="P757" s="181"/>
      <c r="Q757" s="181"/>
      <c r="R757" s="181"/>
      <c r="S757" s="181"/>
      <c r="T757" s="181"/>
      <c r="U757" s="181"/>
      <c r="V757" s="181"/>
      <c r="W757" s="181"/>
      <c r="X757" s="181"/>
      <c r="Y757" s="181"/>
      <c r="Z757" s="181"/>
    </row>
    <row r="758" customFormat="false" ht="15.75" hidden="false" customHeight="false" outlineLevel="0" collapsed="false">
      <c r="A758" s="181"/>
      <c r="B758" s="181"/>
      <c r="C758" s="181"/>
      <c r="D758" s="181"/>
      <c r="E758" s="181"/>
      <c r="F758" s="181"/>
      <c r="G758" s="181"/>
      <c r="H758" s="181"/>
      <c r="I758" s="181"/>
      <c r="J758" s="181"/>
      <c r="K758" s="181"/>
      <c r="L758" s="181"/>
      <c r="M758" s="181"/>
      <c r="N758" s="181"/>
      <c r="O758" s="181"/>
      <c r="P758" s="181"/>
      <c r="Q758" s="181"/>
      <c r="R758" s="181"/>
      <c r="S758" s="181"/>
      <c r="T758" s="181"/>
      <c r="U758" s="181"/>
      <c r="V758" s="181"/>
      <c r="W758" s="181"/>
      <c r="X758" s="181"/>
      <c r="Y758" s="181"/>
      <c r="Z758" s="181"/>
    </row>
    <row r="759" customFormat="false" ht="15.75" hidden="false" customHeight="false" outlineLevel="0" collapsed="false">
      <c r="A759" s="181"/>
      <c r="B759" s="181"/>
      <c r="C759" s="181"/>
      <c r="D759" s="181"/>
      <c r="E759" s="181"/>
      <c r="F759" s="181"/>
      <c r="G759" s="181"/>
      <c r="H759" s="181"/>
      <c r="I759" s="181"/>
      <c r="J759" s="181"/>
      <c r="K759" s="181"/>
      <c r="L759" s="181"/>
      <c r="M759" s="181"/>
      <c r="N759" s="181"/>
      <c r="O759" s="181"/>
      <c r="P759" s="181"/>
      <c r="Q759" s="181"/>
      <c r="R759" s="181"/>
      <c r="S759" s="181"/>
      <c r="T759" s="181"/>
      <c r="U759" s="181"/>
      <c r="V759" s="181"/>
      <c r="W759" s="181"/>
      <c r="X759" s="181"/>
      <c r="Y759" s="181"/>
      <c r="Z759" s="181"/>
    </row>
    <row r="760" customFormat="false" ht="15.75" hidden="false" customHeight="false" outlineLevel="0" collapsed="false">
      <c r="A760" s="181"/>
      <c r="B760" s="181"/>
      <c r="C760" s="181"/>
      <c r="D760" s="181"/>
      <c r="E760" s="181"/>
      <c r="F760" s="181"/>
      <c r="G760" s="181"/>
      <c r="H760" s="181"/>
      <c r="I760" s="181"/>
      <c r="J760" s="181"/>
      <c r="K760" s="181"/>
      <c r="L760" s="181"/>
      <c r="M760" s="181"/>
      <c r="N760" s="181"/>
      <c r="O760" s="181"/>
      <c r="P760" s="181"/>
      <c r="Q760" s="181"/>
      <c r="R760" s="181"/>
      <c r="S760" s="181"/>
      <c r="T760" s="181"/>
      <c r="U760" s="181"/>
      <c r="V760" s="181"/>
      <c r="W760" s="181"/>
      <c r="X760" s="181"/>
      <c r="Y760" s="181"/>
      <c r="Z760" s="181"/>
    </row>
    <row r="761" customFormat="false" ht="15.75" hidden="false" customHeight="false" outlineLevel="0" collapsed="false">
      <c r="A761" s="181"/>
      <c r="B761" s="181"/>
      <c r="C761" s="181"/>
      <c r="D761" s="181"/>
      <c r="E761" s="181"/>
      <c r="F761" s="181"/>
      <c r="G761" s="181"/>
      <c r="H761" s="181"/>
      <c r="I761" s="181"/>
      <c r="J761" s="181"/>
      <c r="K761" s="181"/>
      <c r="L761" s="181"/>
      <c r="M761" s="181"/>
      <c r="N761" s="181"/>
      <c r="O761" s="181"/>
      <c r="P761" s="181"/>
      <c r="Q761" s="181"/>
      <c r="R761" s="181"/>
      <c r="S761" s="181"/>
      <c r="T761" s="181"/>
      <c r="U761" s="181"/>
      <c r="V761" s="181"/>
      <c r="W761" s="181"/>
      <c r="X761" s="181"/>
      <c r="Y761" s="181"/>
      <c r="Z761" s="181"/>
    </row>
    <row r="762" customFormat="false" ht="15.75" hidden="false" customHeight="false" outlineLevel="0" collapsed="false">
      <c r="A762" s="181"/>
      <c r="B762" s="181"/>
      <c r="C762" s="181"/>
      <c r="D762" s="181"/>
      <c r="E762" s="181"/>
      <c r="F762" s="181"/>
      <c r="G762" s="181"/>
      <c r="H762" s="181"/>
      <c r="I762" s="181"/>
      <c r="J762" s="181"/>
      <c r="K762" s="181"/>
      <c r="L762" s="181"/>
      <c r="M762" s="181"/>
      <c r="N762" s="181"/>
      <c r="O762" s="181"/>
      <c r="P762" s="181"/>
      <c r="Q762" s="181"/>
      <c r="R762" s="181"/>
      <c r="S762" s="181"/>
      <c r="T762" s="181"/>
      <c r="U762" s="181"/>
      <c r="V762" s="181"/>
      <c r="W762" s="181"/>
      <c r="X762" s="181"/>
      <c r="Y762" s="181"/>
      <c r="Z762" s="181"/>
    </row>
    <row r="763" customFormat="false" ht="15.75" hidden="false" customHeight="false" outlineLevel="0" collapsed="false">
      <c r="A763" s="181"/>
      <c r="B763" s="181"/>
      <c r="C763" s="181"/>
      <c r="D763" s="181"/>
      <c r="E763" s="181"/>
      <c r="F763" s="181"/>
      <c r="G763" s="181"/>
      <c r="H763" s="181"/>
      <c r="I763" s="181"/>
      <c r="J763" s="181"/>
      <c r="K763" s="181"/>
      <c r="L763" s="181"/>
      <c r="M763" s="181"/>
      <c r="N763" s="181"/>
      <c r="O763" s="181"/>
      <c r="P763" s="181"/>
      <c r="Q763" s="181"/>
      <c r="R763" s="181"/>
      <c r="S763" s="181"/>
      <c r="T763" s="181"/>
      <c r="U763" s="181"/>
      <c r="V763" s="181"/>
      <c r="W763" s="181"/>
      <c r="X763" s="181"/>
      <c r="Y763" s="181"/>
      <c r="Z763" s="181"/>
    </row>
    <row r="764" customFormat="false" ht="15.75" hidden="false" customHeight="false" outlineLevel="0" collapsed="false">
      <c r="A764" s="181"/>
      <c r="B764" s="181"/>
      <c r="C764" s="181"/>
      <c r="D764" s="181"/>
      <c r="E764" s="181"/>
      <c r="F764" s="181"/>
      <c r="G764" s="181"/>
      <c r="H764" s="181"/>
      <c r="I764" s="181"/>
      <c r="J764" s="181"/>
      <c r="K764" s="181"/>
      <c r="L764" s="181"/>
      <c r="M764" s="181"/>
      <c r="N764" s="181"/>
      <c r="O764" s="181"/>
      <c r="P764" s="181"/>
      <c r="Q764" s="181"/>
      <c r="R764" s="181"/>
      <c r="S764" s="181"/>
      <c r="T764" s="181"/>
      <c r="U764" s="181"/>
      <c r="V764" s="181"/>
      <c r="W764" s="181"/>
      <c r="X764" s="181"/>
      <c r="Y764" s="181"/>
      <c r="Z764" s="181"/>
    </row>
    <row r="765" customFormat="false" ht="15.75" hidden="false" customHeight="false" outlineLevel="0" collapsed="false">
      <c r="A765" s="181"/>
      <c r="B765" s="181"/>
      <c r="C765" s="181"/>
      <c r="D765" s="181"/>
      <c r="E765" s="181"/>
      <c r="F765" s="181"/>
      <c r="G765" s="181"/>
      <c r="H765" s="181"/>
      <c r="I765" s="181"/>
      <c r="J765" s="181"/>
      <c r="K765" s="181"/>
      <c r="L765" s="181"/>
      <c r="M765" s="181"/>
      <c r="N765" s="181"/>
      <c r="O765" s="181"/>
      <c r="P765" s="181"/>
      <c r="Q765" s="181"/>
      <c r="R765" s="181"/>
      <c r="S765" s="181"/>
      <c r="T765" s="181"/>
      <c r="U765" s="181"/>
      <c r="V765" s="181"/>
      <c r="W765" s="181"/>
      <c r="X765" s="181"/>
      <c r="Y765" s="181"/>
      <c r="Z765" s="181"/>
    </row>
    <row r="766" customFormat="false" ht="15.75" hidden="false" customHeight="false" outlineLevel="0" collapsed="false">
      <c r="A766" s="181"/>
      <c r="B766" s="181"/>
      <c r="C766" s="181"/>
      <c r="D766" s="181"/>
      <c r="E766" s="181"/>
      <c r="F766" s="181"/>
      <c r="G766" s="181"/>
      <c r="H766" s="181"/>
      <c r="I766" s="181"/>
      <c r="J766" s="181"/>
      <c r="K766" s="181"/>
      <c r="L766" s="181"/>
      <c r="M766" s="181"/>
      <c r="N766" s="181"/>
      <c r="O766" s="181"/>
      <c r="P766" s="181"/>
      <c r="Q766" s="181"/>
      <c r="R766" s="181"/>
      <c r="S766" s="181"/>
      <c r="T766" s="181"/>
      <c r="U766" s="181"/>
      <c r="V766" s="181"/>
      <c r="W766" s="181"/>
      <c r="X766" s="181"/>
      <c r="Y766" s="181"/>
      <c r="Z766" s="181"/>
    </row>
    <row r="767" customFormat="false" ht="15.75" hidden="false" customHeight="false" outlineLevel="0" collapsed="false">
      <c r="A767" s="181"/>
      <c r="B767" s="181"/>
      <c r="C767" s="181"/>
      <c r="D767" s="181"/>
      <c r="E767" s="181"/>
      <c r="F767" s="181"/>
      <c r="G767" s="181"/>
      <c r="H767" s="181"/>
      <c r="I767" s="181"/>
      <c r="J767" s="181"/>
      <c r="K767" s="181"/>
      <c r="L767" s="181"/>
      <c r="M767" s="181"/>
      <c r="N767" s="181"/>
      <c r="O767" s="181"/>
      <c r="P767" s="181"/>
      <c r="Q767" s="181"/>
      <c r="R767" s="181"/>
      <c r="S767" s="181"/>
      <c r="T767" s="181"/>
      <c r="U767" s="181"/>
      <c r="V767" s="181"/>
      <c r="W767" s="181"/>
      <c r="X767" s="181"/>
      <c r="Y767" s="181"/>
      <c r="Z767" s="181"/>
    </row>
    <row r="768" customFormat="false" ht="15.75" hidden="false" customHeight="false" outlineLevel="0" collapsed="false">
      <c r="A768" s="181"/>
      <c r="B768" s="181"/>
      <c r="C768" s="181"/>
      <c r="D768" s="181"/>
      <c r="E768" s="181"/>
      <c r="F768" s="181"/>
      <c r="G768" s="181"/>
      <c r="H768" s="181"/>
      <c r="I768" s="181"/>
      <c r="J768" s="181"/>
      <c r="K768" s="181"/>
      <c r="L768" s="181"/>
      <c r="M768" s="181"/>
      <c r="N768" s="181"/>
      <c r="O768" s="181"/>
      <c r="P768" s="181"/>
      <c r="Q768" s="181"/>
      <c r="R768" s="181"/>
      <c r="S768" s="181"/>
      <c r="T768" s="181"/>
      <c r="U768" s="181"/>
      <c r="V768" s="181"/>
      <c r="W768" s="181"/>
      <c r="X768" s="181"/>
      <c r="Y768" s="181"/>
      <c r="Z768" s="181"/>
    </row>
    <row r="769" customFormat="false" ht="15.75" hidden="false" customHeight="false" outlineLevel="0" collapsed="false">
      <c r="A769" s="181"/>
      <c r="B769" s="181"/>
      <c r="C769" s="181"/>
      <c r="D769" s="181"/>
      <c r="E769" s="181"/>
      <c r="F769" s="181"/>
      <c r="G769" s="181"/>
      <c r="H769" s="181"/>
      <c r="I769" s="181"/>
      <c r="J769" s="181"/>
      <c r="K769" s="181"/>
      <c r="L769" s="181"/>
      <c r="M769" s="181"/>
      <c r="N769" s="181"/>
      <c r="O769" s="181"/>
      <c r="P769" s="181"/>
      <c r="Q769" s="181"/>
      <c r="R769" s="181"/>
      <c r="S769" s="181"/>
      <c r="T769" s="181"/>
      <c r="U769" s="181"/>
      <c r="V769" s="181"/>
      <c r="W769" s="181"/>
      <c r="X769" s="181"/>
      <c r="Y769" s="181"/>
      <c r="Z769" s="181"/>
    </row>
    <row r="770" customFormat="false" ht="15.75" hidden="false" customHeight="false" outlineLevel="0" collapsed="false">
      <c r="A770" s="181"/>
      <c r="B770" s="181"/>
      <c r="C770" s="181"/>
      <c r="D770" s="181"/>
      <c r="E770" s="181"/>
      <c r="F770" s="181"/>
      <c r="G770" s="181"/>
      <c r="H770" s="181"/>
      <c r="I770" s="181"/>
      <c r="J770" s="181"/>
      <c r="K770" s="181"/>
      <c r="L770" s="181"/>
      <c r="M770" s="181"/>
      <c r="N770" s="181"/>
      <c r="O770" s="181"/>
      <c r="P770" s="181"/>
      <c r="Q770" s="181"/>
      <c r="R770" s="181"/>
      <c r="S770" s="181"/>
      <c r="T770" s="181"/>
      <c r="U770" s="181"/>
      <c r="V770" s="181"/>
      <c r="W770" s="181"/>
      <c r="X770" s="181"/>
      <c r="Y770" s="181"/>
      <c r="Z770" s="181"/>
    </row>
    <row r="771" customFormat="false" ht="15.75" hidden="false" customHeight="false" outlineLevel="0" collapsed="false">
      <c r="A771" s="181"/>
      <c r="B771" s="181"/>
      <c r="C771" s="181"/>
      <c r="D771" s="181"/>
      <c r="E771" s="181"/>
      <c r="F771" s="181"/>
      <c r="G771" s="181"/>
      <c r="H771" s="181"/>
      <c r="I771" s="181"/>
      <c r="J771" s="181"/>
      <c r="K771" s="181"/>
      <c r="L771" s="181"/>
      <c r="M771" s="181"/>
      <c r="N771" s="181"/>
      <c r="O771" s="181"/>
      <c r="P771" s="181"/>
      <c r="Q771" s="181"/>
      <c r="R771" s="181"/>
      <c r="S771" s="181"/>
      <c r="T771" s="181"/>
      <c r="U771" s="181"/>
      <c r="V771" s="181"/>
      <c r="W771" s="181"/>
      <c r="X771" s="181"/>
      <c r="Y771" s="181"/>
      <c r="Z771" s="181"/>
    </row>
    <row r="772" customFormat="false" ht="15.75" hidden="false" customHeight="false" outlineLevel="0" collapsed="false">
      <c r="A772" s="181"/>
      <c r="B772" s="181"/>
      <c r="C772" s="181"/>
      <c r="D772" s="181"/>
      <c r="E772" s="181"/>
      <c r="F772" s="181"/>
      <c r="G772" s="181"/>
      <c r="H772" s="181"/>
      <c r="I772" s="181"/>
      <c r="J772" s="181"/>
      <c r="K772" s="181"/>
      <c r="L772" s="181"/>
      <c r="M772" s="181"/>
      <c r="N772" s="181"/>
      <c r="O772" s="181"/>
      <c r="P772" s="181"/>
      <c r="Q772" s="181"/>
      <c r="R772" s="181"/>
      <c r="S772" s="181"/>
      <c r="T772" s="181"/>
      <c r="U772" s="181"/>
      <c r="V772" s="181"/>
      <c r="W772" s="181"/>
      <c r="X772" s="181"/>
      <c r="Y772" s="181"/>
      <c r="Z772" s="181"/>
    </row>
    <row r="773" customFormat="false" ht="15.75" hidden="false" customHeight="false" outlineLevel="0" collapsed="false">
      <c r="A773" s="181"/>
      <c r="B773" s="181"/>
      <c r="C773" s="181"/>
      <c r="D773" s="181"/>
      <c r="E773" s="181"/>
      <c r="F773" s="181"/>
      <c r="G773" s="181"/>
      <c r="H773" s="181"/>
      <c r="I773" s="181"/>
      <c r="J773" s="181"/>
      <c r="K773" s="181"/>
      <c r="L773" s="181"/>
      <c r="M773" s="181"/>
      <c r="N773" s="181"/>
      <c r="O773" s="181"/>
      <c r="P773" s="181"/>
      <c r="Q773" s="181"/>
      <c r="R773" s="181"/>
      <c r="S773" s="181"/>
      <c r="T773" s="181"/>
      <c r="U773" s="181"/>
      <c r="V773" s="181"/>
      <c r="W773" s="181"/>
      <c r="X773" s="181"/>
      <c r="Y773" s="181"/>
      <c r="Z773" s="181"/>
    </row>
    <row r="774" customFormat="false" ht="15.75" hidden="false" customHeight="false" outlineLevel="0" collapsed="false">
      <c r="A774" s="181"/>
      <c r="B774" s="181"/>
      <c r="C774" s="181"/>
      <c r="D774" s="181"/>
      <c r="E774" s="181"/>
      <c r="F774" s="181"/>
      <c r="G774" s="181"/>
      <c r="H774" s="181"/>
      <c r="I774" s="181"/>
      <c r="J774" s="181"/>
      <c r="K774" s="181"/>
      <c r="L774" s="181"/>
      <c r="M774" s="181"/>
      <c r="N774" s="181"/>
      <c r="O774" s="181"/>
      <c r="P774" s="181"/>
      <c r="Q774" s="181"/>
      <c r="R774" s="181"/>
      <c r="S774" s="181"/>
      <c r="T774" s="181"/>
      <c r="U774" s="181"/>
      <c r="V774" s="181"/>
      <c r="W774" s="181"/>
      <c r="X774" s="181"/>
      <c r="Y774" s="181"/>
      <c r="Z774" s="181"/>
    </row>
    <row r="775" customFormat="false" ht="15.75" hidden="false" customHeight="false" outlineLevel="0" collapsed="false">
      <c r="A775" s="181"/>
      <c r="B775" s="181"/>
      <c r="C775" s="181"/>
      <c r="D775" s="181"/>
      <c r="E775" s="181"/>
      <c r="F775" s="181"/>
      <c r="G775" s="181"/>
      <c r="H775" s="181"/>
      <c r="I775" s="181"/>
      <c r="J775" s="181"/>
      <c r="K775" s="181"/>
      <c r="L775" s="181"/>
      <c r="M775" s="181"/>
      <c r="N775" s="181"/>
      <c r="O775" s="181"/>
      <c r="P775" s="181"/>
      <c r="Q775" s="181"/>
      <c r="R775" s="181"/>
      <c r="S775" s="181"/>
      <c r="T775" s="181"/>
      <c r="U775" s="181"/>
      <c r="V775" s="181"/>
      <c r="W775" s="181"/>
      <c r="X775" s="181"/>
      <c r="Y775" s="181"/>
      <c r="Z775" s="181"/>
    </row>
    <row r="776" customFormat="false" ht="15.75" hidden="false" customHeight="false" outlineLevel="0" collapsed="false">
      <c r="A776" s="181"/>
      <c r="B776" s="181"/>
      <c r="C776" s="181"/>
      <c r="D776" s="181"/>
      <c r="E776" s="181"/>
      <c r="F776" s="181"/>
      <c r="G776" s="181"/>
      <c r="H776" s="181"/>
      <c r="I776" s="181"/>
      <c r="J776" s="181"/>
      <c r="K776" s="181"/>
      <c r="L776" s="181"/>
      <c r="M776" s="181"/>
      <c r="N776" s="181"/>
      <c r="O776" s="181"/>
      <c r="P776" s="181"/>
      <c r="Q776" s="181"/>
      <c r="R776" s="181"/>
      <c r="S776" s="181"/>
      <c r="T776" s="181"/>
      <c r="U776" s="181"/>
      <c r="V776" s="181"/>
      <c r="W776" s="181"/>
      <c r="X776" s="181"/>
      <c r="Y776" s="181"/>
      <c r="Z776" s="181"/>
    </row>
    <row r="777" customFormat="false" ht="15.75" hidden="false" customHeight="false" outlineLevel="0" collapsed="false">
      <c r="A777" s="181"/>
      <c r="B777" s="181"/>
      <c r="C777" s="181"/>
      <c r="D777" s="181"/>
      <c r="E777" s="181"/>
      <c r="F777" s="181"/>
      <c r="G777" s="181"/>
      <c r="H777" s="181"/>
      <c r="I777" s="181"/>
      <c r="J777" s="181"/>
      <c r="K777" s="181"/>
      <c r="L777" s="181"/>
      <c r="M777" s="181"/>
      <c r="N777" s="181"/>
      <c r="O777" s="181"/>
      <c r="P777" s="181"/>
      <c r="Q777" s="181"/>
      <c r="R777" s="181"/>
      <c r="S777" s="181"/>
      <c r="T777" s="181"/>
      <c r="U777" s="181"/>
      <c r="V777" s="181"/>
      <c r="W777" s="181"/>
      <c r="X777" s="181"/>
      <c r="Y777" s="181"/>
      <c r="Z777" s="181"/>
    </row>
    <row r="778" customFormat="false" ht="15.75" hidden="false" customHeight="false" outlineLevel="0" collapsed="false">
      <c r="A778" s="181"/>
      <c r="B778" s="181"/>
      <c r="C778" s="181"/>
      <c r="D778" s="181"/>
      <c r="E778" s="181"/>
      <c r="F778" s="181"/>
      <c r="G778" s="181"/>
      <c r="H778" s="181"/>
      <c r="I778" s="181"/>
      <c r="J778" s="181"/>
      <c r="K778" s="181"/>
      <c r="L778" s="181"/>
      <c r="M778" s="181"/>
      <c r="N778" s="181"/>
      <c r="O778" s="181"/>
      <c r="P778" s="181"/>
      <c r="Q778" s="181"/>
      <c r="R778" s="181"/>
      <c r="S778" s="181"/>
      <c r="T778" s="181"/>
      <c r="U778" s="181"/>
      <c r="V778" s="181"/>
      <c r="W778" s="181"/>
      <c r="X778" s="181"/>
      <c r="Y778" s="181"/>
      <c r="Z778" s="181"/>
    </row>
    <row r="779" customFormat="false" ht="15.75" hidden="false" customHeight="false" outlineLevel="0" collapsed="false">
      <c r="A779" s="181"/>
      <c r="B779" s="181"/>
      <c r="C779" s="181"/>
      <c r="D779" s="181"/>
      <c r="E779" s="181"/>
      <c r="F779" s="181"/>
      <c r="G779" s="181"/>
      <c r="H779" s="181"/>
      <c r="I779" s="181"/>
      <c r="J779" s="181"/>
      <c r="K779" s="181"/>
      <c r="L779" s="181"/>
      <c r="M779" s="181"/>
      <c r="N779" s="181"/>
      <c r="O779" s="181"/>
      <c r="P779" s="181"/>
      <c r="Q779" s="181"/>
      <c r="R779" s="181"/>
      <c r="S779" s="181"/>
      <c r="T779" s="181"/>
      <c r="U779" s="181"/>
      <c r="V779" s="181"/>
      <c r="W779" s="181"/>
      <c r="X779" s="181"/>
      <c r="Y779" s="181"/>
      <c r="Z779" s="181"/>
    </row>
    <row r="780" customFormat="false" ht="15.75" hidden="false" customHeight="false" outlineLevel="0" collapsed="false">
      <c r="A780" s="181"/>
      <c r="B780" s="181"/>
      <c r="C780" s="181"/>
      <c r="D780" s="181"/>
      <c r="E780" s="181"/>
      <c r="F780" s="181"/>
      <c r="G780" s="181"/>
      <c r="H780" s="181"/>
      <c r="I780" s="181"/>
      <c r="J780" s="181"/>
      <c r="K780" s="181"/>
      <c r="L780" s="181"/>
      <c r="M780" s="181"/>
      <c r="N780" s="181"/>
      <c r="O780" s="181"/>
      <c r="P780" s="181"/>
      <c r="Q780" s="181"/>
      <c r="R780" s="181"/>
      <c r="S780" s="181"/>
      <c r="T780" s="181"/>
      <c r="U780" s="181"/>
      <c r="V780" s="181"/>
      <c r="W780" s="181"/>
      <c r="X780" s="181"/>
      <c r="Y780" s="181"/>
      <c r="Z780" s="181"/>
    </row>
    <row r="781" customFormat="false" ht="15.75" hidden="false" customHeight="false" outlineLevel="0" collapsed="false">
      <c r="A781" s="181"/>
      <c r="B781" s="181"/>
      <c r="C781" s="181"/>
      <c r="D781" s="181"/>
      <c r="E781" s="181"/>
      <c r="F781" s="181"/>
      <c r="G781" s="181"/>
      <c r="H781" s="181"/>
      <c r="I781" s="181"/>
      <c r="J781" s="181"/>
      <c r="K781" s="181"/>
      <c r="L781" s="181"/>
      <c r="M781" s="181"/>
      <c r="N781" s="181"/>
      <c r="O781" s="181"/>
      <c r="P781" s="181"/>
      <c r="Q781" s="181"/>
      <c r="R781" s="181"/>
      <c r="S781" s="181"/>
      <c r="T781" s="181"/>
      <c r="U781" s="181"/>
      <c r="V781" s="181"/>
      <c r="W781" s="181"/>
      <c r="X781" s="181"/>
      <c r="Y781" s="181"/>
      <c r="Z781" s="181"/>
    </row>
    <row r="782" customFormat="false" ht="15.75" hidden="false" customHeight="false" outlineLevel="0" collapsed="false">
      <c r="A782" s="181"/>
      <c r="B782" s="181"/>
      <c r="C782" s="181"/>
      <c r="D782" s="181"/>
      <c r="E782" s="181"/>
      <c r="F782" s="181"/>
      <c r="G782" s="181"/>
      <c r="H782" s="181"/>
      <c r="I782" s="181"/>
      <c r="J782" s="181"/>
      <c r="K782" s="181"/>
      <c r="L782" s="181"/>
      <c r="M782" s="181"/>
      <c r="N782" s="181"/>
      <c r="O782" s="181"/>
      <c r="P782" s="181"/>
      <c r="Q782" s="181"/>
      <c r="R782" s="181"/>
      <c r="S782" s="181"/>
      <c r="T782" s="181"/>
      <c r="U782" s="181"/>
      <c r="V782" s="181"/>
      <c r="W782" s="181"/>
      <c r="X782" s="181"/>
      <c r="Y782" s="181"/>
      <c r="Z782" s="181"/>
    </row>
    <row r="783" customFormat="false" ht="15.75" hidden="false" customHeight="false" outlineLevel="0" collapsed="false">
      <c r="A783" s="181"/>
      <c r="B783" s="181"/>
      <c r="C783" s="181"/>
      <c r="D783" s="181"/>
      <c r="E783" s="181"/>
      <c r="F783" s="181"/>
      <c r="G783" s="181"/>
      <c r="H783" s="181"/>
      <c r="I783" s="181"/>
      <c r="J783" s="181"/>
      <c r="K783" s="181"/>
      <c r="L783" s="181"/>
      <c r="M783" s="181"/>
      <c r="N783" s="181"/>
      <c r="O783" s="181"/>
      <c r="P783" s="181"/>
      <c r="Q783" s="181"/>
      <c r="R783" s="181"/>
      <c r="S783" s="181"/>
      <c r="T783" s="181"/>
      <c r="U783" s="181"/>
      <c r="V783" s="181"/>
      <c r="W783" s="181"/>
      <c r="X783" s="181"/>
      <c r="Y783" s="181"/>
      <c r="Z783" s="181"/>
    </row>
    <row r="784" customFormat="false" ht="15.75" hidden="false" customHeight="false" outlineLevel="0" collapsed="false">
      <c r="A784" s="181"/>
      <c r="B784" s="181"/>
      <c r="C784" s="181"/>
      <c r="D784" s="181"/>
      <c r="E784" s="181"/>
      <c r="F784" s="181"/>
      <c r="G784" s="181"/>
      <c r="H784" s="181"/>
      <c r="I784" s="181"/>
      <c r="J784" s="181"/>
      <c r="K784" s="181"/>
      <c r="L784" s="181"/>
      <c r="M784" s="181"/>
      <c r="N784" s="181"/>
      <c r="O784" s="181"/>
      <c r="P784" s="181"/>
      <c r="Q784" s="181"/>
      <c r="R784" s="181"/>
      <c r="S784" s="181"/>
      <c r="T784" s="181"/>
      <c r="U784" s="181"/>
      <c r="V784" s="181"/>
      <c r="W784" s="181"/>
      <c r="X784" s="181"/>
      <c r="Y784" s="181"/>
      <c r="Z784" s="181"/>
    </row>
    <row r="785" customFormat="false" ht="15.75" hidden="false" customHeight="false" outlineLevel="0" collapsed="false">
      <c r="A785" s="181"/>
      <c r="B785" s="181"/>
      <c r="C785" s="181"/>
      <c r="D785" s="181"/>
      <c r="E785" s="181"/>
      <c r="F785" s="181"/>
      <c r="G785" s="181"/>
      <c r="H785" s="181"/>
      <c r="I785" s="181"/>
      <c r="J785" s="181"/>
      <c r="K785" s="181"/>
      <c r="L785" s="181"/>
      <c r="M785" s="181"/>
      <c r="N785" s="181"/>
      <c r="O785" s="181"/>
      <c r="P785" s="181"/>
      <c r="Q785" s="181"/>
      <c r="R785" s="181"/>
      <c r="S785" s="181"/>
      <c r="T785" s="181"/>
      <c r="U785" s="181"/>
      <c r="V785" s="181"/>
      <c r="W785" s="181"/>
      <c r="X785" s="181"/>
      <c r="Y785" s="181"/>
      <c r="Z785" s="181"/>
    </row>
    <row r="786" customFormat="false" ht="15.75" hidden="false" customHeight="false" outlineLevel="0" collapsed="false">
      <c r="A786" s="181"/>
      <c r="B786" s="181"/>
      <c r="C786" s="181"/>
      <c r="D786" s="181"/>
      <c r="E786" s="181"/>
      <c r="F786" s="181"/>
      <c r="G786" s="181"/>
      <c r="H786" s="181"/>
      <c r="I786" s="181"/>
      <c r="J786" s="181"/>
      <c r="K786" s="181"/>
      <c r="L786" s="181"/>
      <c r="M786" s="181"/>
      <c r="N786" s="181"/>
      <c r="O786" s="181"/>
      <c r="P786" s="181"/>
      <c r="Q786" s="181"/>
      <c r="R786" s="181"/>
      <c r="S786" s="181"/>
      <c r="T786" s="181"/>
      <c r="U786" s="181"/>
      <c r="V786" s="181"/>
      <c r="W786" s="181"/>
      <c r="X786" s="181"/>
      <c r="Y786" s="181"/>
      <c r="Z786" s="181"/>
    </row>
    <row r="787" customFormat="false" ht="15.75" hidden="false" customHeight="false" outlineLevel="0" collapsed="false">
      <c r="A787" s="181"/>
      <c r="B787" s="181"/>
      <c r="C787" s="181"/>
      <c r="D787" s="181"/>
      <c r="E787" s="181"/>
      <c r="F787" s="181"/>
      <c r="G787" s="181"/>
      <c r="H787" s="181"/>
      <c r="I787" s="181"/>
      <c r="J787" s="181"/>
      <c r="K787" s="181"/>
      <c r="L787" s="181"/>
      <c r="M787" s="181"/>
      <c r="N787" s="181"/>
      <c r="O787" s="181"/>
      <c r="P787" s="181"/>
      <c r="Q787" s="181"/>
      <c r="R787" s="181"/>
      <c r="S787" s="181"/>
      <c r="T787" s="181"/>
      <c r="U787" s="181"/>
      <c r="V787" s="181"/>
      <c r="W787" s="181"/>
      <c r="X787" s="181"/>
      <c r="Y787" s="181"/>
      <c r="Z787" s="181"/>
    </row>
    <row r="788" customFormat="false" ht="15.75" hidden="false" customHeight="false" outlineLevel="0" collapsed="false">
      <c r="A788" s="181"/>
      <c r="B788" s="181"/>
      <c r="C788" s="181"/>
      <c r="D788" s="181"/>
      <c r="E788" s="181"/>
      <c r="F788" s="181"/>
      <c r="G788" s="181"/>
      <c r="H788" s="181"/>
      <c r="I788" s="181"/>
      <c r="J788" s="181"/>
      <c r="K788" s="181"/>
      <c r="L788" s="181"/>
      <c r="M788" s="181"/>
      <c r="N788" s="181"/>
      <c r="O788" s="181"/>
      <c r="P788" s="181"/>
      <c r="Q788" s="181"/>
      <c r="R788" s="181"/>
      <c r="S788" s="181"/>
      <c r="T788" s="181"/>
      <c r="U788" s="181"/>
      <c r="V788" s="181"/>
      <c r="W788" s="181"/>
      <c r="X788" s="181"/>
      <c r="Y788" s="181"/>
      <c r="Z788" s="181"/>
    </row>
    <row r="789" customFormat="false" ht="15.75" hidden="false" customHeight="false" outlineLevel="0" collapsed="false">
      <c r="A789" s="181"/>
      <c r="B789" s="181"/>
      <c r="C789" s="181"/>
      <c r="D789" s="181"/>
      <c r="E789" s="181"/>
      <c r="F789" s="181"/>
      <c r="G789" s="181"/>
      <c r="H789" s="181"/>
      <c r="I789" s="181"/>
      <c r="J789" s="181"/>
      <c r="K789" s="181"/>
      <c r="L789" s="181"/>
      <c r="M789" s="181"/>
      <c r="N789" s="181"/>
      <c r="O789" s="181"/>
      <c r="P789" s="181"/>
      <c r="Q789" s="181"/>
      <c r="R789" s="181"/>
      <c r="S789" s="181"/>
      <c r="T789" s="181"/>
      <c r="U789" s="181"/>
      <c r="V789" s="181"/>
      <c r="W789" s="181"/>
      <c r="X789" s="181"/>
      <c r="Y789" s="181"/>
      <c r="Z789" s="181"/>
    </row>
    <row r="790" customFormat="false" ht="15.75" hidden="false" customHeight="false" outlineLevel="0" collapsed="false">
      <c r="A790" s="181"/>
      <c r="B790" s="181"/>
      <c r="C790" s="181"/>
      <c r="D790" s="181"/>
      <c r="E790" s="181"/>
      <c r="F790" s="181"/>
      <c r="G790" s="181"/>
      <c r="H790" s="181"/>
      <c r="I790" s="181"/>
      <c r="J790" s="181"/>
      <c r="K790" s="181"/>
      <c r="L790" s="181"/>
      <c r="M790" s="181"/>
      <c r="N790" s="181"/>
      <c r="O790" s="181"/>
      <c r="P790" s="181"/>
      <c r="Q790" s="181"/>
      <c r="R790" s="181"/>
      <c r="S790" s="181"/>
      <c r="T790" s="181"/>
      <c r="U790" s="181"/>
      <c r="V790" s="181"/>
      <c r="W790" s="181"/>
      <c r="X790" s="181"/>
      <c r="Y790" s="181"/>
      <c r="Z790" s="181"/>
    </row>
    <row r="791" customFormat="false" ht="15.75" hidden="false" customHeight="false" outlineLevel="0" collapsed="false">
      <c r="A791" s="181"/>
      <c r="B791" s="181"/>
      <c r="C791" s="181"/>
      <c r="D791" s="181"/>
      <c r="E791" s="181"/>
      <c r="F791" s="181"/>
      <c r="G791" s="181"/>
      <c r="H791" s="181"/>
      <c r="I791" s="181"/>
      <c r="J791" s="181"/>
      <c r="K791" s="181"/>
      <c r="L791" s="181"/>
      <c r="M791" s="181"/>
      <c r="N791" s="181"/>
      <c r="O791" s="181"/>
      <c r="P791" s="181"/>
      <c r="Q791" s="181"/>
      <c r="R791" s="181"/>
      <c r="S791" s="181"/>
      <c r="T791" s="181"/>
      <c r="U791" s="181"/>
      <c r="V791" s="181"/>
      <c r="W791" s="181"/>
      <c r="X791" s="181"/>
      <c r="Y791" s="181"/>
      <c r="Z791" s="181"/>
    </row>
    <row r="792" customFormat="false" ht="15.75" hidden="false" customHeight="false" outlineLevel="0" collapsed="false">
      <c r="A792" s="181"/>
      <c r="B792" s="181"/>
      <c r="C792" s="181"/>
      <c r="D792" s="181"/>
      <c r="E792" s="181"/>
      <c r="F792" s="181"/>
      <c r="G792" s="181"/>
      <c r="H792" s="181"/>
      <c r="I792" s="181"/>
      <c r="J792" s="181"/>
      <c r="K792" s="181"/>
      <c r="L792" s="181"/>
      <c r="M792" s="181"/>
      <c r="N792" s="181"/>
      <c r="O792" s="181"/>
      <c r="P792" s="181"/>
      <c r="Q792" s="181"/>
      <c r="R792" s="181"/>
      <c r="S792" s="181"/>
      <c r="T792" s="181"/>
      <c r="U792" s="181"/>
      <c r="V792" s="181"/>
      <c r="W792" s="181"/>
      <c r="X792" s="181"/>
      <c r="Y792" s="181"/>
      <c r="Z792" s="181"/>
    </row>
    <row r="793" customFormat="false" ht="15.75" hidden="false" customHeight="false" outlineLevel="0" collapsed="false">
      <c r="A793" s="181"/>
      <c r="B793" s="181"/>
      <c r="C793" s="181"/>
      <c r="D793" s="181"/>
      <c r="E793" s="181"/>
      <c r="F793" s="181"/>
      <c r="G793" s="181"/>
      <c r="H793" s="181"/>
      <c r="I793" s="181"/>
      <c r="J793" s="181"/>
      <c r="K793" s="181"/>
      <c r="L793" s="181"/>
      <c r="M793" s="181"/>
      <c r="N793" s="181"/>
      <c r="O793" s="181"/>
      <c r="P793" s="181"/>
      <c r="Q793" s="181"/>
      <c r="R793" s="181"/>
      <c r="S793" s="181"/>
      <c r="T793" s="181"/>
      <c r="U793" s="181"/>
      <c r="V793" s="181"/>
      <c r="W793" s="181"/>
      <c r="X793" s="181"/>
      <c r="Y793" s="181"/>
      <c r="Z793" s="181"/>
    </row>
    <row r="794" customFormat="false" ht="15.75" hidden="false" customHeight="false" outlineLevel="0" collapsed="false">
      <c r="A794" s="181"/>
      <c r="B794" s="181"/>
      <c r="C794" s="181"/>
      <c r="D794" s="181"/>
      <c r="E794" s="181"/>
      <c r="F794" s="181"/>
      <c r="G794" s="181"/>
      <c r="H794" s="181"/>
      <c r="I794" s="181"/>
      <c r="J794" s="181"/>
      <c r="K794" s="181"/>
      <c r="L794" s="181"/>
      <c r="M794" s="181"/>
      <c r="N794" s="181"/>
      <c r="O794" s="181"/>
      <c r="P794" s="181"/>
      <c r="Q794" s="181"/>
      <c r="R794" s="181"/>
      <c r="S794" s="181"/>
      <c r="T794" s="181"/>
      <c r="U794" s="181"/>
      <c r="V794" s="181"/>
      <c r="W794" s="181"/>
      <c r="X794" s="181"/>
      <c r="Y794" s="181"/>
      <c r="Z794" s="181"/>
    </row>
    <row r="795" customFormat="false" ht="15.75" hidden="false" customHeight="false" outlineLevel="0" collapsed="false">
      <c r="A795" s="181"/>
      <c r="B795" s="181"/>
      <c r="C795" s="181"/>
      <c r="D795" s="181"/>
      <c r="E795" s="181"/>
      <c r="F795" s="181"/>
      <c r="G795" s="181"/>
      <c r="H795" s="181"/>
      <c r="I795" s="181"/>
      <c r="J795" s="181"/>
      <c r="K795" s="181"/>
      <c r="L795" s="181"/>
      <c r="M795" s="181"/>
      <c r="N795" s="181"/>
      <c r="O795" s="181"/>
      <c r="P795" s="181"/>
      <c r="Q795" s="181"/>
      <c r="R795" s="181"/>
      <c r="S795" s="181"/>
      <c r="T795" s="181"/>
      <c r="U795" s="181"/>
      <c r="V795" s="181"/>
      <c r="W795" s="181"/>
      <c r="X795" s="181"/>
      <c r="Y795" s="181"/>
      <c r="Z795" s="181"/>
    </row>
    <row r="796" customFormat="false" ht="15.75" hidden="false" customHeight="false" outlineLevel="0" collapsed="false">
      <c r="A796" s="181"/>
      <c r="B796" s="181"/>
      <c r="C796" s="181"/>
      <c r="D796" s="181"/>
      <c r="E796" s="181"/>
      <c r="F796" s="181"/>
      <c r="G796" s="181"/>
      <c r="H796" s="181"/>
      <c r="I796" s="181"/>
      <c r="J796" s="181"/>
      <c r="K796" s="181"/>
      <c r="L796" s="181"/>
      <c r="M796" s="181"/>
      <c r="N796" s="181"/>
      <c r="O796" s="181"/>
      <c r="P796" s="181"/>
      <c r="Q796" s="181"/>
      <c r="R796" s="181"/>
      <c r="S796" s="181"/>
      <c r="T796" s="181"/>
      <c r="U796" s="181"/>
      <c r="V796" s="181"/>
      <c r="W796" s="181"/>
      <c r="X796" s="181"/>
      <c r="Y796" s="181"/>
      <c r="Z796" s="181"/>
    </row>
    <row r="797" customFormat="false" ht="15.75" hidden="false" customHeight="false" outlineLevel="0" collapsed="false">
      <c r="A797" s="181"/>
      <c r="B797" s="181"/>
      <c r="C797" s="181"/>
      <c r="D797" s="181"/>
      <c r="E797" s="181"/>
      <c r="F797" s="181"/>
      <c r="G797" s="181"/>
      <c r="H797" s="181"/>
      <c r="I797" s="181"/>
      <c r="J797" s="181"/>
      <c r="K797" s="181"/>
      <c r="L797" s="181"/>
      <c r="M797" s="181"/>
      <c r="N797" s="181"/>
      <c r="O797" s="181"/>
      <c r="P797" s="181"/>
      <c r="Q797" s="181"/>
      <c r="R797" s="181"/>
      <c r="S797" s="181"/>
      <c r="T797" s="181"/>
      <c r="U797" s="181"/>
      <c r="V797" s="181"/>
      <c r="W797" s="181"/>
      <c r="X797" s="181"/>
      <c r="Y797" s="181"/>
      <c r="Z797" s="181"/>
    </row>
    <row r="798" customFormat="false" ht="15.75" hidden="false" customHeight="false" outlineLevel="0" collapsed="false">
      <c r="A798" s="181"/>
      <c r="B798" s="181"/>
      <c r="C798" s="181"/>
      <c r="D798" s="181"/>
      <c r="E798" s="181"/>
      <c r="F798" s="181"/>
      <c r="G798" s="181"/>
      <c r="H798" s="181"/>
      <c r="I798" s="181"/>
      <c r="J798" s="181"/>
      <c r="K798" s="181"/>
      <c r="L798" s="181"/>
      <c r="M798" s="181"/>
      <c r="N798" s="181"/>
      <c r="O798" s="181"/>
      <c r="P798" s="181"/>
      <c r="Q798" s="181"/>
      <c r="R798" s="181"/>
      <c r="S798" s="181"/>
      <c r="T798" s="181"/>
      <c r="U798" s="181"/>
      <c r="V798" s="181"/>
      <c r="W798" s="181"/>
      <c r="X798" s="181"/>
      <c r="Y798" s="181"/>
      <c r="Z798" s="181"/>
    </row>
    <row r="799" customFormat="false" ht="15.75" hidden="false" customHeight="false" outlineLevel="0" collapsed="false">
      <c r="A799" s="181"/>
      <c r="B799" s="181"/>
      <c r="C799" s="181"/>
      <c r="D799" s="181"/>
      <c r="E799" s="181"/>
      <c r="F799" s="181"/>
      <c r="G799" s="181"/>
      <c r="H799" s="181"/>
      <c r="I799" s="181"/>
      <c r="J799" s="181"/>
      <c r="K799" s="181"/>
      <c r="L799" s="181"/>
      <c r="M799" s="181"/>
      <c r="N799" s="181"/>
      <c r="O799" s="181"/>
      <c r="P799" s="181"/>
      <c r="Q799" s="181"/>
      <c r="R799" s="181"/>
      <c r="S799" s="181"/>
      <c r="T799" s="181"/>
      <c r="U799" s="181"/>
      <c r="V799" s="181"/>
      <c r="W799" s="181"/>
      <c r="X799" s="181"/>
      <c r="Y799" s="181"/>
      <c r="Z799" s="181"/>
    </row>
    <row r="800" customFormat="false" ht="15.75" hidden="false" customHeight="false" outlineLevel="0" collapsed="false">
      <c r="A800" s="181"/>
      <c r="B800" s="181"/>
      <c r="C800" s="181"/>
      <c r="D800" s="181"/>
      <c r="E800" s="181"/>
      <c r="F800" s="181"/>
      <c r="G800" s="181"/>
      <c r="H800" s="181"/>
      <c r="I800" s="181"/>
      <c r="J800" s="181"/>
      <c r="K800" s="181"/>
      <c r="L800" s="181"/>
      <c r="M800" s="181"/>
      <c r="N800" s="181"/>
      <c r="O800" s="181"/>
      <c r="P800" s="181"/>
      <c r="Q800" s="181"/>
      <c r="R800" s="181"/>
      <c r="S800" s="181"/>
      <c r="T800" s="181"/>
      <c r="U800" s="181"/>
      <c r="V800" s="181"/>
      <c r="W800" s="181"/>
      <c r="X800" s="181"/>
      <c r="Y800" s="181"/>
      <c r="Z800" s="181"/>
    </row>
    <row r="801" customFormat="false" ht="15.75" hidden="false" customHeight="false" outlineLevel="0" collapsed="false">
      <c r="A801" s="181"/>
      <c r="B801" s="181"/>
      <c r="C801" s="181"/>
      <c r="D801" s="181"/>
      <c r="E801" s="181"/>
      <c r="F801" s="181"/>
      <c r="G801" s="181"/>
      <c r="H801" s="181"/>
      <c r="I801" s="181"/>
      <c r="J801" s="181"/>
      <c r="K801" s="181"/>
      <c r="L801" s="181"/>
      <c r="M801" s="181"/>
      <c r="N801" s="181"/>
      <c r="O801" s="181"/>
      <c r="P801" s="181"/>
      <c r="Q801" s="181"/>
      <c r="R801" s="181"/>
      <c r="S801" s="181"/>
      <c r="T801" s="181"/>
      <c r="U801" s="181"/>
      <c r="V801" s="181"/>
      <c r="W801" s="181"/>
      <c r="X801" s="181"/>
      <c r="Y801" s="181"/>
      <c r="Z801" s="181"/>
    </row>
    <row r="802" customFormat="false" ht="15.75" hidden="false" customHeight="false" outlineLevel="0" collapsed="false">
      <c r="A802" s="181"/>
      <c r="B802" s="181"/>
      <c r="C802" s="181"/>
      <c r="D802" s="181"/>
      <c r="E802" s="181"/>
      <c r="F802" s="181"/>
      <c r="G802" s="181"/>
      <c r="H802" s="181"/>
      <c r="I802" s="181"/>
      <c r="J802" s="181"/>
      <c r="K802" s="181"/>
      <c r="L802" s="181"/>
      <c r="M802" s="181"/>
      <c r="N802" s="181"/>
      <c r="O802" s="181"/>
      <c r="P802" s="181"/>
      <c r="Q802" s="181"/>
      <c r="R802" s="181"/>
      <c r="S802" s="181"/>
      <c r="T802" s="181"/>
      <c r="U802" s="181"/>
      <c r="V802" s="181"/>
      <c r="W802" s="181"/>
      <c r="X802" s="181"/>
      <c r="Y802" s="181"/>
      <c r="Z802" s="181"/>
    </row>
    <row r="803" customFormat="false" ht="15.75" hidden="false" customHeight="false" outlineLevel="0" collapsed="false">
      <c r="A803" s="181"/>
      <c r="B803" s="181"/>
      <c r="C803" s="181"/>
      <c r="D803" s="181"/>
      <c r="E803" s="181"/>
      <c r="F803" s="181"/>
      <c r="G803" s="181"/>
      <c r="H803" s="181"/>
      <c r="I803" s="181"/>
      <c r="J803" s="181"/>
      <c r="K803" s="181"/>
      <c r="L803" s="181"/>
      <c r="M803" s="181"/>
      <c r="N803" s="181"/>
      <c r="O803" s="181"/>
      <c r="P803" s="181"/>
      <c r="Q803" s="181"/>
      <c r="R803" s="181"/>
      <c r="S803" s="181"/>
      <c r="T803" s="181"/>
      <c r="U803" s="181"/>
      <c r="V803" s="181"/>
      <c r="W803" s="181"/>
      <c r="X803" s="181"/>
      <c r="Y803" s="181"/>
      <c r="Z803" s="181"/>
    </row>
    <row r="804" customFormat="false" ht="15.75" hidden="false" customHeight="false" outlineLevel="0" collapsed="false">
      <c r="A804" s="181"/>
      <c r="B804" s="181"/>
      <c r="C804" s="181"/>
      <c r="D804" s="181"/>
      <c r="E804" s="181"/>
      <c r="F804" s="181"/>
      <c r="G804" s="181"/>
      <c r="H804" s="181"/>
      <c r="I804" s="181"/>
      <c r="J804" s="181"/>
      <c r="K804" s="181"/>
      <c r="L804" s="181"/>
      <c r="M804" s="181"/>
      <c r="N804" s="181"/>
      <c r="O804" s="181"/>
      <c r="P804" s="181"/>
      <c r="Q804" s="181"/>
      <c r="R804" s="181"/>
      <c r="S804" s="181"/>
      <c r="T804" s="181"/>
      <c r="U804" s="181"/>
      <c r="V804" s="181"/>
      <c r="W804" s="181"/>
      <c r="X804" s="181"/>
      <c r="Y804" s="181"/>
      <c r="Z804" s="181"/>
    </row>
    <row r="805" customFormat="false" ht="15.75" hidden="false" customHeight="false" outlineLevel="0" collapsed="false">
      <c r="A805" s="181"/>
      <c r="B805" s="181"/>
      <c r="C805" s="181"/>
      <c r="D805" s="181"/>
      <c r="E805" s="181"/>
      <c r="F805" s="181"/>
      <c r="G805" s="181"/>
      <c r="H805" s="181"/>
      <c r="I805" s="181"/>
      <c r="J805" s="181"/>
      <c r="K805" s="181"/>
      <c r="L805" s="181"/>
      <c r="M805" s="181"/>
      <c r="N805" s="181"/>
      <c r="O805" s="181"/>
      <c r="P805" s="181"/>
      <c r="Q805" s="181"/>
      <c r="R805" s="181"/>
      <c r="S805" s="181"/>
      <c r="T805" s="181"/>
      <c r="U805" s="181"/>
      <c r="V805" s="181"/>
      <c r="W805" s="181"/>
      <c r="X805" s="181"/>
      <c r="Y805" s="181"/>
      <c r="Z805" s="181"/>
    </row>
    <row r="806" customFormat="false" ht="15.75" hidden="false" customHeight="false" outlineLevel="0" collapsed="false">
      <c r="A806" s="181"/>
      <c r="B806" s="181"/>
      <c r="C806" s="181"/>
      <c r="D806" s="181"/>
      <c r="E806" s="181"/>
      <c r="F806" s="181"/>
      <c r="G806" s="181"/>
      <c r="H806" s="181"/>
      <c r="I806" s="181"/>
      <c r="J806" s="181"/>
      <c r="K806" s="181"/>
      <c r="L806" s="181"/>
      <c r="M806" s="181"/>
      <c r="N806" s="181"/>
      <c r="O806" s="181"/>
      <c r="P806" s="181"/>
      <c r="Q806" s="181"/>
      <c r="R806" s="181"/>
      <c r="S806" s="181"/>
      <c r="T806" s="181"/>
      <c r="U806" s="181"/>
      <c r="V806" s="181"/>
      <c r="W806" s="181"/>
      <c r="X806" s="181"/>
      <c r="Y806" s="181"/>
      <c r="Z806" s="181"/>
    </row>
    <row r="807" customFormat="false" ht="15.75" hidden="false" customHeight="false" outlineLevel="0" collapsed="false">
      <c r="A807" s="181"/>
      <c r="B807" s="181"/>
      <c r="C807" s="181"/>
      <c r="D807" s="181"/>
      <c r="E807" s="181"/>
      <c r="F807" s="181"/>
      <c r="G807" s="181"/>
      <c r="H807" s="181"/>
      <c r="I807" s="181"/>
      <c r="J807" s="181"/>
      <c r="K807" s="181"/>
      <c r="L807" s="181"/>
      <c r="M807" s="181"/>
      <c r="N807" s="181"/>
      <c r="O807" s="181"/>
      <c r="P807" s="181"/>
      <c r="Q807" s="181"/>
      <c r="R807" s="181"/>
      <c r="S807" s="181"/>
      <c r="T807" s="181"/>
      <c r="U807" s="181"/>
      <c r="V807" s="181"/>
      <c r="W807" s="181"/>
      <c r="X807" s="181"/>
      <c r="Y807" s="181"/>
      <c r="Z807" s="181"/>
    </row>
    <row r="808" customFormat="false" ht="15.75" hidden="false" customHeight="false" outlineLevel="0" collapsed="false">
      <c r="A808" s="181"/>
      <c r="B808" s="181"/>
      <c r="C808" s="181"/>
      <c r="D808" s="181"/>
      <c r="E808" s="181"/>
      <c r="F808" s="181"/>
      <c r="G808" s="181"/>
      <c r="H808" s="181"/>
      <c r="I808" s="181"/>
      <c r="J808" s="181"/>
      <c r="K808" s="181"/>
      <c r="L808" s="181"/>
      <c r="M808" s="181"/>
      <c r="N808" s="181"/>
      <c r="O808" s="181"/>
      <c r="P808" s="181"/>
      <c r="Q808" s="181"/>
      <c r="R808" s="181"/>
      <c r="S808" s="181"/>
      <c r="T808" s="181"/>
      <c r="U808" s="181"/>
      <c r="V808" s="181"/>
      <c r="W808" s="181"/>
      <c r="X808" s="181"/>
      <c r="Y808" s="181"/>
      <c r="Z808" s="181"/>
    </row>
    <row r="809" customFormat="false" ht="15.75" hidden="false" customHeight="false" outlineLevel="0" collapsed="false">
      <c r="A809" s="181"/>
      <c r="B809" s="181"/>
      <c r="C809" s="181"/>
      <c r="D809" s="181"/>
      <c r="E809" s="181"/>
      <c r="F809" s="181"/>
      <c r="G809" s="181"/>
      <c r="H809" s="181"/>
      <c r="I809" s="181"/>
      <c r="J809" s="181"/>
      <c r="K809" s="181"/>
      <c r="L809" s="181"/>
      <c r="M809" s="181"/>
      <c r="N809" s="181"/>
      <c r="O809" s="181"/>
      <c r="P809" s="181"/>
      <c r="Q809" s="181"/>
      <c r="R809" s="181"/>
      <c r="S809" s="181"/>
      <c r="T809" s="181"/>
      <c r="U809" s="181"/>
      <c r="V809" s="181"/>
      <c r="W809" s="181"/>
      <c r="X809" s="181"/>
      <c r="Y809" s="181"/>
      <c r="Z809" s="181"/>
    </row>
    <row r="810" customFormat="false" ht="15.75" hidden="false" customHeight="false" outlineLevel="0" collapsed="false">
      <c r="A810" s="181"/>
      <c r="B810" s="181"/>
      <c r="C810" s="181"/>
      <c r="D810" s="181"/>
      <c r="E810" s="181"/>
      <c r="F810" s="181"/>
      <c r="G810" s="181"/>
      <c r="H810" s="181"/>
      <c r="I810" s="181"/>
      <c r="J810" s="181"/>
      <c r="K810" s="181"/>
      <c r="L810" s="181"/>
      <c r="M810" s="181"/>
      <c r="N810" s="181"/>
      <c r="O810" s="181"/>
      <c r="P810" s="181"/>
      <c r="Q810" s="181"/>
      <c r="R810" s="181"/>
      <c r="S810" s="181"/>
      <c r="T810" s="181"/>
      <c r="U810" s="181"/>
      <c r="V810" s="181"/>
      <c r="W810" s="181"/>
      <c r="X810" s="181"/>
      <c r="Y810" s="181"/>
      <c r="Z810" s="181"/>
    </row>
    <row r="811" customFormat="false" ht="15.75" hidden="false" customHeight="false" outlineLevel="0" collapsed="false">
      <c r="A811" s="181"/>
      <c r="B811" s="181"/>
      <c r="C811" s="181"/>
      <c r="D811" s="181"/>
      <c r="E811" s="181"/>
      <c r="F811" s="181"/>
      <c r="G811" s="181"/>
      <c r="H811" s="181"/>
      <c r="I811" s="181"/>
      <c r="J811" s="181"/>
      <c r="K811" s="181"/>
      <c r="L811" s="181"/>
      <c r="M811" s="181"/>
      <c r="N811" s="181"/>
      <c r="O811" s="181"/>
      <c r="P811" s="181"/>
      <c r="Q811" s="181"/>
      <c r="R811" s="181"/>
      <c r="S811" s="181"/>
      <c r="T811" s="181"/>
      <c r="U811" s="181"/>
      <c r="V811" s="181"/>
      <c r="W811" s="181"/>
      <c r="X811" s="181"/>
      <c r="Y811" s="181"/>
      <c r="Z811" s="181"/>
    </row>
    <row r="812" customFormat="false" ht="15.75" hidden="false" customHeight="false" outlineLevel="0" collapsed="false">
      <c r="A812" s="181"/>
      <c r="B812" s="181"/>
      <c r="C812" s="181"/>
      <c r="D812" s="181"/>
      <c r="E812" s="181"/>
      <c r="F812" s="181"/>
      <c r="G812" s="181"/>
      <c r="H812" s="181"/>
      <c r="I812" s="181"/>
      <c r="J812" s="181"/>
      <c r="K812" s="181"/>
      <c r="L812" s="181"/>
      <c r="M812" s="181"/>
      <c r="N812" s="181"/>
      <c r="O812" s="181"/>
      <c r="P812" s="181"/>
      <c r="Q812" s="181"/>
      <c r="R812" s="181"/>
      <c r="S812" s="181"/>
      <c r="T812" s="181"/>
      <c r="U812" s="181"/>
      <c r="V812" s="181"/>
      <c r="W812" s="181"/>
      <c r="X812" s="181"/>
      <c r="Y812" s="181"/>
      <c r="Z812" s="181"/>
    </row>
    <row r="813" customFormat="false" ht="15.75" hidden="false" customHeight="false" outlineLevel="0" collapsed="false">
      <c r="A813" s="181"/>
      <c r="B813" s="181"/>
      <c r="C813" s="181"/>
      <c r="D813" s="181"/>
      <c r="E813" s="181"/>
      <c r="F813" s="181"/>
      <c r="G813" s="181"/>
      <c r="H813" s="181"/>
      <c r="I813" s="181"/>
      <c r="J813" s="181"/>
      <c r="K813" s="181"/>
      <c r="L813" s="181"/>
      <c r="M813" s="181"/>
      <c r="N813" s="181"/>
      <c r="O813" s="181"/>
      <c r="P813" s="181"/>
      <c r="Q813" s="181"/>
      <c r="R813" s="181"/>
      <c r="S813" s="181"/>
      <c r="T813" s="181"/>
      <c r="U813" s="181"/>
      <c r="V813" s="181"/>
      <c r="W813" s="181"/>
      <c r="X813" s="181"/>
      <c r="Y813" s="181"/>
      <c r="Z813" s="181"/>
    </row>
    <row r="814" customFormat="false" ht="15.75" hidden="false" customHeight="false" outlineLevel="0" collapsed="false">
      <c r="A814" s="181"/>
      <c r="B814" s="181"/>
      <c r="C814" s="181"/>
      <c r="D814" s="181"/>
      <c r="E814" s="181"/>
      <c r="F814" s="181"/>
      <c r="G814" s="181"/>
      <c r="H814" s="181"/>
      <c r="I814" s="181"/>
      <c r="J814" s="181"/>
      <c r="K814" s="181"/>
      <c r="L814" s="181"/>
      <c r="M814" s="181"/>
      <c r="N814" s="181"/>
      <c r="O814" s="181"/>
      <c r="P814" s="181"/>
      <c r="Q814" s="181"/>
      <c r="R814" s="181"/>
      <c r="S814" s="181"/>
      <c r="T814" s="181"/>
      <c r="U814" s="181"/>
      <c r="V814" s="181"/>
      <c r="W814" s="181"/>
      <c r="X814" s="181"/>
      <c r="Y814" s="181"/>
      <c r="Z814" s="181"/>
    </row>
    <row r="815" customFormat="false" ht="15.75" hidden="false" customHeight="false" outlineLevel="0" collapsed="false">
      <c r="A815" s="181"/>
      <c r="B815" s="181"/>
      <c r="C815" s="181"/>
      <c r="D815" s="181"/>
      <c r="E815" s="181"/>
      <c r="F815" s="181"/>
      <c r="G815" s="181"/>
      <c r="H815" s="181"/>
      <c r="I815" s="181"/>
      <c r="J815" s="181"/>
      <c r="K815" s="181"/>
      <c r="L815" s="181"/>
      <c r="M815" s="181"/>
      <c r="N815" s="181"/>
      <c r="O815" s="181"/>
      <c r="P815" s="181"/>
      <c r="Q815" s="181"/>
      <c r="R815" s="181"/>
      <c r="S815" s="181"/>
      <c r="T815" s="181"/>
      <c r="U815" s="181"/>
      <c r="V815" s="181"/>
      <c r="W815" s="181"/>
      <c r="X815" s="181"/>
      <c r="Y815" s="181"/>
      <c r="Z815" s="181"/>
    </row>
    <row r="816" customFormat="false" ht="15.75" hidden="false" customHeight="false" outlineLevel="0" collapsed="false">
      <c r="A816" s="181"/>
      <c r="B816" s="181"/>
      <c r="C816" s="181"/>
      <c r="D816" s="181"/>
      <c r="E816" s="181"/>
      <c r="F816" s="181"/>
      <c r="G816" s="181"/>
      <c r="H816" s="181"/>
      <c r="I816" s="181"/>
      <c r="J816" s="181"/>
      <c r="K816" s="181"/>
      <c r="L816" s="181"/>
      <c r="M816" s="181"/>
      <c r="N816" s="181"/>
      <c r="O816" s="181"/>
      <c r="P816" s="181"/>
      <c r="Q816" s="181"/>
      <c r="R816" s="181"/>
      <c r="S816" s="181"/>
      <c r="T816" s="181"/>
      <c r="U816" s="181"/>
      <c r="V816" s="181"/>
      <c r="W816" s="181"/>
      <c r="X816" s="181"/>
      <c r="Y816" s="181"/>
      <c r="Z816" s="181"/>
    </row>
    <row r="817" customFormat="false" ht="15.75" hidden="false" customHeight="false" outlineLevel="0" collapsed="false">
      <c r="A817" s="181"/>
      <c r="B817" s="181"/>
      <c r="C817" s="181"/>
      <c r="D817" s="181"/>
      <c r="E817" s="181"/>
      <c r="F817" s="181"/>
      <c r="G817" s="181"/>
      <c r="H817" s="181"/>
      <c r="I817" s="181"/>
      <c r="J817" s="181"/>
      <c r="K817" s="181"/>
      <c r="L817" s="181"/>
      <c r="M817" s="181"/>
      <c r="N817" s="181"/>
      <c r="O817" s="181"/>
      <c r="P817" s="181"/>
      <c r="Q817" s="181"/>
      <c r="R817" s="181"/>
      <c r="S817" s="181"/>
      <c r="T817" s="181"/>
      <c r="U817" s="181"/>
      <c r="V817" s="181"/>
      <c r="W817" s="181"/>
      <c r="X817" s="181"/>
      <c r="Y817" s="181"/>
      <c r="Z817" s="181"/>
    </row>
    <row r="818" customFormat="false" ht="15.75" hidden="false" customHeight="false" outlineLevel="0" collapsed="false">
      <c r="A818" s="181"/>
      <c r="B818" s="181"/>
      <c r="C818" s="181"/>
      <c r="D818" s="181"/>
      <c r="E818" s="181"/>
      <c r="F818" s="181"/>
      <c r="G818" s="181"/>
      <c r="H818" s="181"/>
      <c r="I818" s="181"/>
      <c r="J818" s="181"/>
      <c r="K818" s="181"/>
      <c r="L818" s="181"/>
      <c r="M818" s="181"/>
      <c r="N818" s="181"/>
      <c r="O818" s="181"/>
      <c r="P818" s="181"/>
      <c r="Q818" s="181"/>
      <c r="R818" s="181"/>
      <c r="S818" s="181"/>
      <c r="T818" s="181"/>
      <c r="U818" s="181"/>
      <c r="V818" s="181"/>
      <c r="W818" s="181"/>
      <c r="X818" s="181"/>
      <c r="Y818" s="181"/>
      <c r="Z818" s="181"/>
    </row>
    <row r="819" customFormat="false" ht="15.75" hidden="false" customHeight="false" outlineLevel="0" collapsed="false">
      <c r="A819" s="181"/>
      <c r="B819" s="181"/>
      <c r="C819" s="181"/>
      <c r="D819" s="181"/>
      <c r="E819" s="181"/>
      <c r="F819" s="181"/>
      <c r="G819" s="181"/>
      <c r="H819" s="181"/>
      <c r="I819" s="181"/>
      <c r="J819" s="181"/>
      <c r="K819" s="181"/>
      <c r="L819" s="181"/>
      <c r="M819" s="181"/>
      <c r="N819" s="181"/>
      <c r="O819" s="181"/>
      <c r="P819" s="181"/>
      <c r="Q819" s="181"/>
      <c r="R819" s="181"/>
      <c r="S819" s="181"/>
      <c r="T819" s="181"/>
      <c r="U819" s="181"/>
      <c r="V819" s="181"/>
      <c r="W819" s="181"/>
      <c r="X819" s="181"/>
      <c r="Y819" s="181"/>
      <c r="Z819" s="181"/>
    </row>
    <row r="820" customFormat="false" ht="15.75" hidden="false" customHeight="false" outlineLevel="0" collapsed="false">
      <c r="A820" s="181"/>
      <c r="B820" s="181"/>
      <c r="C820" s="181"/>
      <c r="D820" s="181"/>
      <c r="E820" s="181"/>
      <c r="F820" s="181"/>
      <c r="G820" s="181"/>
      <c r="H820" s="181"/>
      <c r="I820" s="181"/>
      <c r="J820" s="181"/>
      <c r="K820" s="181"/>
      <c r="L820" s="181"/>
      <c r="M820" s="181"/>
      <c r="N820" s="181"/>
      <c r="O820" s="181"/>
      <c r="P820" s="181"/>
      <c r="Q820" s="181"/>
      <c r="R820" s="181"/>
      <c r="S820" s="181"/>
      <c r="T820" s="181"/>
      <c r="U820" s="181"/>
      <c r="V820" s="181"/>
      <c r="W820" s="181"/>
      <c r="X820" s="181"/>
      <c r="Y820" s="181"/>
      <c r="Z820" s="181"/>
    </row>
    <row r="821" customFormat="false" ht="15.75" hidden="false" customHeight="false" outlineLevel="0" collapsed="false">
      <c r="A821" s="181"/>
      <c r="B821" s="181"/>
      <c r="C821" s="181"/>
      <c r="D821" s="181"/>
      <c r="E821" s="181"/>
      <c r="F821" s="181"/>
      <c r="G821" s="181"/>
      <c r="H821" s="181"/>
      <c r="I821" s="181"/>
      <c r="J821" s="181"/>
      <c r="K821" s="181"/>
      <c r="L821" s="181"/>
      <c r="M821" s="181"/>
      <c r="N821" s="181"/>
      <c r="O821" s="181"/>
      <c r="P821" s="181"/>
      <c r="Q821" s="181"/>
      <c r="R821" s="181"/>
      <c r="S821" s="181"/>
      <c r="T821" s="181"/>
      <c r="U821" s="181"/>
      <c r="V821" s="181"/>
      <c r="W821" s="181"/>
      <c r="X821" s="181"/>
      <c r="Y821" s="181"/>
      <c r="Z821" s="181"/>
    </row>
    <row r="822" customFormat="false" ht="15.75" hidden="false" customHeight="false" outlineLevel="0" collapsed="false">
      <c r="A822" s="181"/>
      <c r="B822" s="181"/>
      <c r="C822" s="181"/>
      <c r="D822" s="181"/>
      <c r="E822" s="181"/>
      <c r="F822" s="181"/>
      <c r="G822" s="181"/>
      <c r="H822" s="181"/>
      <c r="I822" s="181"/>
      <c r="J822" s="181"/>
      <c r="K822" s="181"/>
      <c r="L822" s="181"/>
      <c r="M822" s="181"/>
      <c r="N822" s="181"/>
      <c r="O822" s="181"/>
      <c r="P822" s="181"/>
      <c r="Q822" s="181"/>
      <c r="R822" s="181"/>
      <c r="S822" s="181"/>
      <c r="T822" s="181"/>
      <c r="U822" s="181"/>
      <c r="V822" s="181"/>
      <c r="W822" s="181"/>
      <c r="X822" s="181"/>
      <c r="Y822" s="181"/>
      <c r="Z822" s="181"/>
    </row>
    <row r="823" customFormat="false" ht="15.75" hidden="false" customHeight="false" outlineLevel="0" collapsed="false">
      <c r="A823" s="181"/>
      <c r="B823" s="181"/>
      <c r="C823" s="181"/>
      <c r="D823" s="181"/>
      <c r="E823" s="181"/>
      <c r="F823" s="181"/>
      <c r="G823" s="181"/>
      <c r="H823" s="181"/>
      <c r="I823" s="181"/>
      <c r="J823" s="181"/>
      <c r="K823" s="181"/>
      <c r="L823" s="181"/>
      <c r="M823" s="181"/>
      <c r="N823" s="181"/>
      <c r="O823" s="181"/>
      <c r="P823" s="181"/>
      <c r="Q823" s="181"/>
      <c r="R823" s="181"/>
      <c r="S823" s="181"/>
      <c r="T823" s="181"/>
      <c r="U823" s="181"/>
      <c r="V823" s="181"/>
      <c r="W823" s="181"/>
      <c r="X823" s="181"/>
      <c r="Y823" s="181"/>
      <c r="Z823" s="181"/>
    </row>
    <row r="824" customFormat="false" ht="15.75" hidden="false" customHeight="false" outlineLevel="0" collapsed="false">
      <c r="A824" s="181"/>
      <c r="B824" s="181"/>
      <c r="C824" s="181"/>
      <c r="D824" s="181"/>
      <c r="E824" s="181"/>
      <c r="F824" s="181"/>
      <c r="G824" s="181"/>
      <c r="H824" s="181"/>
      <c r="I824" s="181"/>
      <c r="J824" s="181"/>
      <c r="K824" s="181"/>
      <c r="L824" s="181"/>
      <c r="M824" s="181"/>
      <c r="N824" s="181"/>
      <c r="O824" s="181"/>
      <c r="P824" s="181"/>
      <c r="Q824" s="181"/>
      <c r="R824" s="181"/>
      <c r="S824" s="181"/>
      <c r="T824" s="181"/>
      <c r="U824" s="181"/>
      <c r="V824" s="181"/>
      <c r="W824" s="181"/>
      <c r="X824" s="181"/>
      <c r="Y824" s="181"/>
      <c r="Z824" s="181"/>
    </row>
    <row r="825" customFormat="false" ht="15.75" hidden="false" customHeight="false" outlineLevel="0" collapsed="false">
      <c r="A825" s="181"/>
      <c r="B825" s="181"/>
      <c r="C825" s="181"/>
      <c r="D825" s="181"/>
      <c r="E825" s="181"/>
      <c r="F825" s="181"/>
      <c r="G825" s="181"/>
      <c r="H825" s="181"/>
      <c r="I825" s="181"/>
      <c r="J825" s="181"/>
      <c r="K825" s="181"/>
      <c r="L825" s="181"/>
      <c r="M825" s="181"/>
      <c r="N825" s="181"/>
      <c r="O825" s="181"/>
      <c r="P825" s="181"/>
      <c r="Q825" s="181"/>
      <c r="R825" s="181"/>
      <c r="S825" s="181"/>
      <c r="T825" s="181"/>
      <c r="U825" s="181"/>
      <c r="V825" s="181"/>
      <c r="W825" s="181"/>
      <c r="X825" s="181"/>
      <c r="Y825" s="181"/>
      <c r="Z825" s="181"/>
    </row>
    <row r="826" customFormat="false" ht="15.75" hidden="false" customHeight="false" outlineLevel="0" collapsed="false">
      <c r="A826" s="181"/>
      <c r="B826" s="181"/>
      <c r="C826" s="181"/>
      <c r="D826" s="181"/>
      <c r="E826" s="181"/>
      <c r="F826" s="181"/>
      <c r="G826" s="181"/>
      <c r="H826" s="181"/>
      <c r="I826" s="181"/>
      <c r="J826" s="181"/>
      <c r="K826" s="181"/>
      <c r="L826" s="181"/>
      <c r="M826" s="181"/>
      <c r="N826" s="181"/>
      <c r="O826" s="181"/>
      <c r="P826" s="181"/>
      <c r="Q826" s="181"/>
      <c r="R826" s="181"/>
      <c r="S826" s="181"/>
      <c r="T826" s="181"/>
      <c r="U826" s="181"/>
      <c r="V826" s="181"/>
      <c r="W826" s="181"/>
      <c r="X826" s="181"/>
      <c r="Y826" s="181"/>
      <c r="Z826" s="181"/>
    </row>
    <row r="827" customFormat="false" ht="15.75" hidden="false" customHeight="false" outlineLevel="0" collapsed="false">
      <c r="A827" s="181"/>
      <c r="B827" s="181"/>
      <c r="C827" s="181"/>
      <c r="D827" s="181"/>
      <c r="E827" s="181"/>
      <c r="F827" s="181"/>
      <c r="G827" s="181"/>
      <c r="H827" s="181"/>
      <c r="I827" s="181"/>
      <c r="J827" s="181"/>
      <c r="K827" s="181"/>
      <c r="L827" s="181"/>
      <c r="M827" s="181"/>
      <c r="N827" s="181"/>
      <c r="O827" s="181"/>
      <c r="P827" s="181"/>
      <c r="Q827" s="181"/>
      <c r="R827" s="181"/>
      <c r="S827" s="181"/>
      <c r="T827" s="181"/>
      <c r="U827" s="181"/>
      <c r="V827" s="181"/>
      <c r="W827" s="181"/>
      <c r="X827" s="181"/>
      <c r="Y827" s="181"/>
      <c r="Z827" s="181"/>
    </row>
    <row r="828" customFormat="false" ht="15.75" hidden="false" customHeight="false" outlineLevel="0" collapsed="false">
      <c r="A828" s="181"/>
      <c r="B828" s="181"/>
      <c r="C828" s="181"/>
      <c r="D828" s="181"/>
      <c r="E828" s="181"/>
      <c r="F828" s="181"/>
      <c r="G828" s="181"/>
      <c r="H828" s="181"/>
      <c r="I828" s="181"/>
      <c r="J828" s="181"/>
      <c r="K828" s="181"/>
      <c r="L828" s="181"/>
      <c r="M828" s="181"/>
      <c r="N828" s="181"/>
      <c r="O828" s="181"/>
      <c r="P828" s="181"/>
      <c r="Q828" s="181"/>
      <c r="R828" s="181"/>
      <c r="S828" s="181"/>
      <c r="T828" s="181"/>
      <c r="U828" s="181"/>
      <c r="V828" s="181"/>
      <c r="W828" s="181"/>
      <c r="X828" s="181"/>
      <c r="Y828" s="181"/>
      <c r="Z828" s="181"/>
    </row>
    <row r="829" customFormat="false" ht="15.75" hidden="false" customHeight="false" outlineLevel="0" collapsed="false">
      <c r="A829" s="181"/>
      <c r="B829" s="181"/>
      <c r="C829" s="181"/>
      <c r="D829" s="181"/>
      <c r="E829" s="181"/>
      <c r="F829" s="181"/>
      <c r="G829" s="181"/>
      <c r="H829" s="181"/>
      <c r="I829" s="181"/>
      <c r="J829" s="181"/>
      <c r="K829" s="181"/>
      <c r="L829" s="181"/>
      <c r="M829" s="181"/>
      <c r="N829" s="181"/>
      <c r="O829" s="181"/>
      <c r="P829" s="181"/>
      <c r="Q829" s="181"/>
      <c r="R829" s="181"/>
      <c r="S829" s="181"/>
      <c r="T829" s="181"/>
      <c r="U829" s="181"/>
      <c r="V829" s="181"/>
      <c r="W829" s="181"/>
      <c r="X829" s="181"/>
      <c r="Y829" s="181"/>
      <c r="Z829" s="181"/>
    </row>
    <row r="830" customFormat="false" ht="15.75" hidden="false" customHeight="false" outlineLevel="0" collapsed="false">
      <c r="A830" s="181"/>
      <c r="B830" s="181"/>
      <c r="C830" s="181"/>
      <c r="D830" s="181"/>
      <c r="E830" s="181"/>
      <c r="F830" s="181"/>
      <c r="G830" s="181"/>
      <c r="H830" s="181"/>
      <c r="I830" s="181"/>
      <c r="J830" s="181"/>
      <c r="K830" s="181"/>
      <c r="L830" s="181"/>
      <c r="M830" s="181"/>
      <c r="N830" s="181"/>
      <c r="O830" s="181"/>
      <c r="P830" s="181"/>
      <c r="Q830" s="181"/>
      <c r="R830" s="181"/>
      <c r="S830" s="181"/>
      <c r="T830" s="181"/>
      <c r="U830" s="181"/>
      <c r="V830" s="181"/>
      <c r="W830" s="181"/>
      <c r="X830" s="181"/>
      <c r="Y830" s="181"/>
      <c r="Z830" s="181"/>
    </row>
    <row r="831" customFormat="false" ht="15.75" hidden="false" customHeight="false" outlineLevel="0" collapsed="false">
      <c r="A831" s="181"/>
      <c r="B831" s="181"/>
      <c r="C831" s="181"/>
      <c r="D831" s="181"/>
      <c r="E831" s="181"/>
      <c r="F831" s="181"/>
      <c r="G831" s="181"/>
      <c r="H831" s="181"/>
      <c r="I831" s="181"/>
      <c r="J831" s="181"/>
      <c r="K831" s="181"/>
      <c r="L831" s="181"/>
      <c r="M831" s="181"/>
      <c r="N831" s="181"/>
      <c r="O831" s="181"/>
      <c r="P831" s="181"/>
      <c r="Q831" s="181"/>
      <c r="R831" s="181"/>
      <c r="S831" s="181"/>
      <c r="T831" s="181"/>
      <c r="U831" s="181"/>
      <c r="V831" s="181"/>
      <c r="W831" s="181"/>
      <c r="X831" s="181"/>
      <c r="Y831" s="181"/>
      <c r="Z831" s="181"/>
    </row>
    <row r="832" customFormat="false" ht="15.75" hidden="false" customHeight="false" outlineLevel="0" collapsed="false">
      <c r="A832" s="181"/>
      <c r="B832" s="181"/>
      <c r="C832" s="181"/>
      <c r="D832" s="181"/>
      <c r="E832" s="181"/>
      <c r="F832" s="181"/>
      <c r="G832" s="181"/>
      <c r="H832" s="181"/>
      <c r="I832" s="181"/>
      <c r="J832" s="181"/>
      <c r="K832" s="181"/>
      <c r="L832" s="181"/>
      <c r="M832" s="181"/>
      <c r="N832" s="181"/>
      <c r="O832" s="181"/>
      <c r="P832" s="181"/>
      <c r="Q832" s="181"/>
      <c r="R832" s="181"/>
      <c r="S832" s="181"/>
      <c r="T832" s="181"/>
      <c r="U832" s="181"/>
      <c r="V832" s="181"/>
      <c r="W832" s="181"/>
      <c r="X832" s="181"/>
      <c r="Y832" s="181"/>
      <c r="Z832" s="181"/>
    </row>
    <row r="833" customFormat="false" ht="15.75" hidden="false" customHeight="false" outlineLevel="0" collapsed="false">
      <c r="A833" s="181"/>
      <c r="B833" s="181"/>
      <c r="C833" s="181"/>
      <c r="D833" s="181"/>
      <c r="E833" s="181"/>
      <c r="F833" s="181"/>
      <c r="G833" s="181"/>
      <c r="H833" s="181"/>
      <c r="I833" s="181"/>
      <c r="J833" s="181"/>
      <c r="K833" s="181"/>
      <c r="L833" s="181"/>
      <c r="M833" s="181"/>
      <c r="N833" s="181"/>
      <c r="O833" s="181"/>
      <c r="P833" s="181"/>
      <c r="Q833" s="181"/>
      <c r="R833" s="181"/>
      <c r="S833" s="181"/>
      <c r="T833" s="181"/>
      <c r="U833" s="181"/>
      <c r="V833" s="181"/>
      <c r="W833" s="181"/>
      <c r="X833" s="181"/>
      <c r="Y833" s="181"/>
      <c r="Z833" s="181"/>
    </row>
    <row r="834" customFormat="false" ht="15.75" hidden="false" customHeight="false" outlineLevel="0" collapsed="false">
      <c r="A834" s="181"/>
      <c r="B834" s="181"/>
      <c r="C834" s="181"/>
      <c r="D834" s="181"/>
      <c r="E834" s="181"/>
      <c r="F834" s="181"/>
      <c r="G834" s="181"/>
      <c r="H834" s="181"/>
      <c r="I834" s="181"/>
      <c r="J834" s="181"/>
      <c r="K834" s="181"/>
      <c r="L834" s="181"/>
      <c r="M834" s="181"/>
      <c r="N834" s="181"/>
      <c r="O834" s="181"/>
      <c r="P834" s="181"/>
      <c r="Q834" s="181"/>
      <c r="R834" s="181"/>
      <c r="S834" s="181"/>
      <c r="T834" s="181"/>
      <c r="U834" s="181"/>
      <c r="V834" s="181"/>
      <c r="W834" s="181"/>
      <c r="X834" s="181"/>
      <c r="Y834" s="181"/>
      <c r="Z834" s="181"/>
    </row>
    <row r="835" customFormat="false" ht="15.75" hidden="false" customHeight="false" outlineLevel="0" collapsed="false">
      <c r="A835" s="181"/>
      <c r="B835" s="181"/>
      <c r="C835" s="181"/>
      <c r="D835" s="181"/>
      <c r="E835" s="181"/>
      <c r="F835" s="181"/>
      <c r="G835" s="181"/>
      <c r="H835" s="181"/>
      <c r="I835" s="181"/>
      <c r="J835" s="181"/>
      <c r="K835" s="181"/>
      <c r="L835" s="181"/>
      <c r="M835" s="181"/>
      <c r="N835" s="181"/>
      <c r="O835" s="181"/>
      <c r="P835" s="181"/>
      <c r="Q835" s="181"/>
      <c r="R835" s="181"/>
      <c r="S835" s="181"/>
      <c r="T835" s="181"/>
      <c r="U835" s="181"/>
      <c r="V835" s="181"/>
      <c r="W835" s="181"/>
      <c r="X835" s="181"/>
      <c r="Y835" s="181"/>
      <c r="Z835" s="181"/>
    </row>
    <row r="836" customFormat="false" ht="15.75" hidden="false" customHeight="false" outlineLevel="0" collapsed="false">
      <c r="A836" s="181"/>
      <c r="B836" s="181"/>
      <c r="C836" s="181"/>
      <c r="D836" s="181"/>
      <c r="E836" s="181"/>
      <c r="F836" s="181"/>
      <c r="G836" s="181"/>
      <c r="H836" s="181"/>
      <c r="I836" s="181"/>
      <c r="J836" s="181"/>
      <c r="K836" s="181"/>
      <c r="L836" s="181"/>
      <c r="M836" s="181"/>
      <c r="N836" s="181"/>
      <c r="O836" s="181"/>
      <c r="P836" s="181"/>
      <c r="Q836" s="181"/>
      <c r="R836" s="181"/>
      <c r="S836" s="181"/>
      <c r="T836" s="181"/>
      <c r="U836" s="181"/>
      <c r="V836" s="181"/>
      <c r="W836" s="181"/>
      <c r="X836" s="181"/>
      <c r="Y836" s="181"/>
      <c r="Z836" s="181"/>
    </row>
    <row r="837" customFormat="false" ht="15.75" hidden="false" customHeight="false" outlineLevel="0" collapsed="false">
      <c r="A837" s="181"/>
      <c r="B837" s="181"/>
      <c r="C837" s="181"/>
      <c r="D837" s="181"/>
      <c r="E837" s="181"/>
      <c r="F837" s="181"/>
      <c r="G837" s="181"/>
      <c r="H837" s="181"/>
      <c r="I837" s="181"/>
      <c r="J837" s="181"/>
      <c r="K837" s="181"/>
      <c r="L837" s="181"/>
      <c r="M837" s="181"/>
      <c r="N837" s="181"/>
      <c r="O837" s="181"/>
      <c r="P837" s="181"/>
      <c r="Q837" s="181"/>
      <c r="R837" s="181"/>
      <c r="S837" s="181"/>
      <c r="T837" s="181"/>
      <c r="U837" s="181"/>
      <c r="V837" s="181"/>
      <c r="W837" s="181"/>
      <c r="X837" s="181"/>
      <c r="Y837" s="181"/>
      <c r="Z837" s="181"/>
    </row>
    <row r="838" customFormat="false" ht="15.75" hidden="false" customHeight="false" outlineLevel="0" collapsed="false">
      <c r="A838" s="181"/>
      <c r="B838" s="181"/>
      <c r="C838" s="181"/>
      <c r="D838" s="181"/>
      <c r="E838" s="181"/>
      <c r="F838" s="181"/>
      <c r="G838" s="181"/>
      <c r="H838" s="181"/>
      <c r="I838" s="181"/>
      <c r="J838" s="181"/>
      <c r="K838" s="181"/>
      <c r="L838" s="181"/>
      <c r="M838" s="181"/>
      <c r="N838" s="181"/>
      <c r="O838" s="181"/>
      <c r="P838" s="181"/>
      <c r="Q838" s="181"/>
      <c r="R838" s="181"/>
      <c r="S838" s="181"/>
      <c r="T838" s="181"/>
      <c r="U838" s="181"/>
      <c r="V838" s="181"/>
      <c r="W838" s="181"/>
      <c r="X838" s="181"/>
      <c r="Y838" s="181"/>
      <c r="Z838" s="181"/>
    </row>
    <row r="839" customFormat="false" ht="15.75" hidden="false" customHeight="false" outlineLevel="0" collapsed="false">
      <c r="A839" s="181"/>
      <c r="B839" s="181"/>
      <c r="C839" s="181"/>
      <c r="D839" s="181"/>
      <c r="E839" s="181"/>
      <c r="F839" s="181"/>
      <c r="G839" s="181"/>
      <c r="H839" s="181"/>
      <c r="I839" s="181"/>
      <c r="J839" s="181"/>
      <c r="K839" s="181"/>
      <c r="L839" s="181"/>
      <c r="M839" s="181"/>
      <c r="N839" s="181"/>
      <c r="O839" s="181"/>
      <c r="P839" s="181"/>
      <c r="Q839" s="181"/>
      <c r="R839" s="181"/>
      <c r="S839" s="181"/>
      <c r="T839" s="181"/>
      <c r="U839" s="181"/>
      <c r="V839" s="181"/>
      <c r="W839" s="181"/>
      <c r="X839" s="181"/>
      <c r="Y839" s="181"/>
      <c r="Z839" s="181"/>
    </row>
    <row r="840" customFormat="false" ht="15.75" hidden="false" customHeight="false" outlineLevel="0" collapsed="false">
      <c r="A840" s="181"/>
      <c r="B840" s="181"/>
      <c r="C840" s="181"/>
      <c r="D840" s="181"/>
      <c r="E840" s="181"/>
      <c r="F840" s="181"/>
      <c r="G840" s="181"/>
      <c r="H840" s="181"/>
      <c r="I840" s="181"/>
      <c r="J840" s="181"/>
      <c r="K840" s="181"/>
      <c r="L840" s="181"/>
      <c r="M840" s="181"/>
      <c r="N840" s="181"/>
      <c r="O840" s="181"/>
      <c r="P840" s="181"/>
      <c r="Q840" s="181"/>
      <c r="R840" s="181"/>
      <c r="S840" s="181"/>
      <c r="T840" s="181"/>
      <c r="U840" s="181"/>
      <c r="V840" s="181"/>
      <c r="W840" s="181"/>
      <c r="X840" s="181"/>
      <c r="Y840" s="181"/>
      <c r="Z840" s="181"/>
    </row>
    <row r="841" customFormat="false" ht="15.75" hidden="false" customHeight="false" outlineLevel="0" collapsed="false">
      <c r="A841" s="181"/>
      <c r="B841" s="181"/>
      <c r="C841" s="181"/>
      <c r="D841" s="181"/>
      <c r="E841" s="181"/>
      <c r="F841" s="181"/>
      <c r="G841" s="181"/>
      <c r="H841" s="181"/>
      <c r="I841" s="181"/>
      <c r="J841" s="181"/>
      <c r="K841" s="181"/>
      <c r="L841" s="181"/>
      <c r="M841" s="181"/>
      <c r="N841" s="181"/>
      <c r="O841" s="181"/>
      <c r="P841" s="181"/>
      <c r="Q841" s="181"/>
      <c r="R841" s="181"/>
      <c r="S841" s="181"/>
      <c r="T841" s="181"/>
      <c r="U841" s="181"/>
      <c r="V841" s="181"/>
      <c r="W841" s="181"/>
      <c r="X841" s="181"/>
      <c r="Y841" s="181"/>
      <c r="Z841" s="181"/>
    </row>
    <row r="842" customFormat="false" ht="15.75" hidden="false" customHeight="false" outlineLevel="0" collapsed="false">
      <c r="A842" s="181"/>
      <c r="B842" s="181"/>
      <c r="C842" s="181"/>
      <c r="D842" s="181"/>
      <c r="E842" s="181"/>
      <c r="F842" s="181"/>
      <c r="G842" s="181"/>
      <c r="H842" s="181"/>
      <c r="I842" s="181"/>
      <c r="J842" s="181"/>
      <c r="K842" s="181"/>
      <c r="L842" s="181"/>
      <c r="M842" s="181"/>
      <c r="N842" s="181"/>
      <c r="O842" s="181"/>
      <c r="P842" s="181"/>
      <c r="Q842" s="181"/>
      <c r="R842" s="181"/>
      <c r="S842" s="181"/>
      <c r="T842" s="181"/>
      <c r="U842" s="181"/>
      <c r="V842" s="181"/>
      <c r="W842" s="181"/>
      <c r="X842" s="181"/>
      <c r="Y842" s="181"/>
      <c r="Z842" s="181"/>
    </row>
    <row r="843" customFormat="false" ht="15.75" hidden="false" customHeight="false" outlineLevel="0" collapsed="false">
      <c r="A843" s="181"/>
      <c r="B843" s="181"/>
      <c r="C843" s="181"/>
      <c r="D843" s="181"/>
      <c r="E843" s="181"/>
      <c r="F843" s="181"/>
      <c r="G843" s="181"/>
      <c r="H843" s="181"/>
      <c r="I843" s="181"/>
      <c r="J843" s="181"/>
      <c r="K843" s="181"/>
      <c r="L843" s="181"/>
      <c r="M843" s="181"/>
      <c r="N843" s="181"/>
      <c r="O843" s="181"/>
      <c r="P843" s="181"/>
      <c r="Q843" s="181"/>
      <c r="R843" s="181"/>
      <c r="S843" s="181"/>
      <c r="T843" s="181"/>
      <c r="U843" s="181"/>
      <c r="V843" s="181"/>
      <c r="W843" s="181"/>
      <c r="X843" s="181"/>
      <c r="Y843" s="181"/>
      <c r="Z843" s="181"/>
    </row>
    <row r="844" customFormat="false" ht="15.75" hidden="false" customHeight="false" outlineLevel="0" collapsed="false">
      <c r="A844" s="181"/>
      <c r="B844" s="181"/>
      <c r="C844" s="181"/>
      <c r="D844" s="181"/>
      <c r="E844" s="181"/>
      <c r="F844" s="181"/>
      <c r="G844" s="181"/>
      <c r="H844" s="181"/>
      <c r="I844" s="181"/>
      <c r="J844" s="181"/>
      <c r="K844" s="181"/>
      <c r="L844" s="181"/>
      <c r="M844" s="181"/>
      <c r="N844" s="181"/>
      <c r="O844" s="181"/>
      <c r="P844" s="181"/>
      <c r="Q844" s="181"/>
      <c r="R844" s="181"/>
      <c r="S844" s="181"/>
      <c r="T844" s="181"/>
      <c r="U844" s="181"/>
      <c r="V844" s="181"/>
      <c r="W844" s="181"/>
      <c r="X844" s="181"/>
      <c r="Y844" s="181"/>
      <c r="Z844" s="181"/>
    </row>
    <row r="845" customFormat="false" ht="15.75" hidden="false" customHeight="false" outlineLevel="0" collapsed="false">
      <c r="A845" s="181"/>
      <c r="B845" s="181"/>
      <c r="C845" s="181"/>
      <c r="D845" s="181"/>
      <c r="E845" s="181"/>
      <c r="F845" s="181"/>
      <c r="G845" s="181"/>
      <c r="H845" s="181"/>
      <c r="I845" s="181"/>
      <c r="J845" s="181"/>
      <c r="K845" s="181"/>
      <c r="L845" s="181"/>
      <c r="M845" s="181"/>
      <c r="N845" s="181"/>
      <c r="O845" s="181"/>
      <c r="P845" s="181"/>
      <c r="Q845" s="181"/>
      <c r="R845" s="181"/>
      <c r="S845" s="181"/>
      <c r="T845" s="181"/>
      <c r="U845" s="181"/>
      <c r="V845" s="181"/>
      <c r="W845" s="181"/>
      <c r="X845" s="181"/>
      <c r="Y845" s="181"/>
      <c r="Z845" s="181"/>
    </row>
    <row r="846" customFormat="false" ht="15.75" hidden="false" customHeight="false" outlineLevel="0" collapsed="false">
      <c r="A846" s="181"/>
      <c r="B846" s="181"/>
      <c r="C846" s="181"/>
      <c r="D846" s="181"/>
      <c r="E846" s="181"/>
      <c r="F846" s="181"/>
      <c r="G846" s="181"/>
      <c r="H846" s="181"/>
      <c r="I846" s="181"/>
      <c r="J846" s="181"/>
      <c r="K846" s="181"/>
      <c r="L846" s="181"/>
      <c r="M846" s="181"/>
      <c r="N846" s="181"/>
      <c r="O846" s="181"/>
      <c r="P846" s="181"/>
      <c r="Q846" s="181"/>
      <c r="R846" s="181"/>
      <c r="S846" s="181"/>
      <c r="T846" s="181"/>
      <c r="U846" s="181"/>
      <c r="V846" s="181"/>
      <c r="W846" s="181"/>
      <c r="X846" s="181"/>
      <c r="Y846" s="181"/>
      <c r="Z846" s="181"/>
    </row>
    <row r="847" customFormat="false" ht="15.75" hidden="false" customHeight="false" outlineLevel="0" collapsed="false">
      <c r="A847" s="181"/>
      <c r="B847" s="181"/>
      <c r="C847" s="181"/>
      <c r="D847" s="181"/>
      <c r="E847" s="181"/>
      <c r="F847" s="181"/>
      <c r="G847" s="181"/>
      <c r="H847" s="181"/>
      <c r="I847" s="181"/>
      <c r="J847" s="181"/>
      <c r="K847" s="181"/>
      <c r="L847" s="181"/>
      <c r="M847" s="181"/>
      <c r="N847" s="181"/>
      <c r="O847" s="181"/>
      <c r="P847" s="181"/>
      <c r="Q847" s="181"/>
      <c r="R847" s="181"/>
      <c r="S847" s="181"/>
      <c r="T847" s="181"/>
      <c r="U847" s="181"/>
      <c r="V847" s="181"/>
      <c r="W847" s="181"/>
      <c r="X847" s="181"/>
      <c r="Y847" s="181"/>
      <c r="Z847" s="181"/>
    </row>
    <row r="848" customFormat="false" ht="15.75" hidden="false" customHeight="false" outlineLevel="0" collapsed="false">
      <c r="A848" s="181"/>
      <c r="B848" s="181"/>
      <c r="C848" s="181"/>
      <c r="D848" s="181"/>
      <c r="E848" s="181"/>
      <c r="F848" s="181"/>
      <c r="G848" s="181"/>
      <c r="H848" s="181"/>
      <c r="I848" s="181"/>
      <c r="J848" s="181"/>
      <c r="K848" s="181"/>
      <c r="L848" s="181"/>
      <c r="M848" s="181"/>
      <c r="N848" s="181"/>
      <c r="O848" s="181"/>
      <c r="P848" s="181"/>
      <c r="Q848" s="181"/>
      <c r="R848" s="181"/>
      <c r="S848" s="181"/>
      <c r="T848" s="181"/>
      <c r="U848" s="181"/>
      <c r="V848" s="181"/>
      <c r="W848" s="181"/>
      <c r="X848" s="181"/>
      <c r="Y848" s="181"/>
      <c r="Z848" s="181"/>
    </row>
    <row r="849" customFormat="false" ht="15.75" hidden="false" customHeight="false" outlineLevel="0" collapsed="false">
      <c r="A849" s="181"/>
      <c r="B849" s="181"/>
      <c r="C849" s="181"/>
      <c r="D849" s="181"/>
      <c r="E849" s="181"/>
      <c r="F849" s="181"/>
      <c r="G849" s="181"/>
      <c r="H849" s="181"/>
      <c r="I849" s="181"/>
      <c r="J849" s="181"/>
      <c r="K849" s="181"/>
      <c r="L849" s="181"/>
      <c r="M849" s="181"/>
      <c r="N849" s="181"/>
      <c r="O849" s="181"/>
      <c r="P849" s="181"/>
      <c r="Q849" s="181"/>
      <c r="R849" s="181"/>
      <c r="S849" s="181"/>
      <c r="T849" s="181"/>
      <c r="U849" s="181"/>
      <c r="V849" s="181"/>
      <c r="W849" s="181"/>
      <c r="X849" s="181"/>
      <c r="Y849" s="181"/>
      <c r="Z849" s="181"/>
    </row>
    <row r="850" customFormat="false" ht="15.75" hidden="false" customHeight="false" outlineLevel="0" collapsed="false">
      <c r="A850" s="181"/>
      <c r="B850" s="181"/>
      <c r="C850" s="181"/>
      <c r="D850" s="181"/>
      <c r="E850" s="181"/>
      <c r="F850" s="181"/>
      <c r="G850" s="181"/>
      <c r="H850" s="181"/>
      <c r="I850" s="181"/>
      <c r="J850" s="181"/>
      <c r="K850" s="181"/>
      <c r="L850" s="181"/>
      <c r="M850" s="181"/>
      <c r="N850" s="181"/>
      <c r="O850" s="181"/>
      <c r="P850" s="181"/>
      <c r="Q850" s="181"/>
      <c r="R850" s="181"/>
      <c r="S850" s="181"/>
      <c r="T850" s="181"/>
      <c r="U850" s="181"/>
      <c r="V850" s="181"/>
      <c r="W850" s="181"/>
      <c r="X850" s="181"/>
      <c r="Y850" s="181"/>
      <c r="Z850" s="181"/>
    </row>
    <row r="851" customFormat="false" ht="15.75" hidden="false" customHeight="false" outlineLevel="0" collapsed="false">
      <c r="A851" s="181"/>
      <c r="B851" s="181"/>
      <c r="C851" s="181"/>
      <c r="D851" s="181"/>
      <c r="E851" s="181"/>
      <c r="F851" s="181"/>
      <c r="G851" s="181"/>
      <c r="H851" s="181"/>
      <c r="I851" s="181"/>
      <c r="J851" s="181"/>
      <c r="K851" s="181"/>
      <c r="L851" s="181"/>
      <c r="M851" s="181"/>
      <c r="N851" s="181"/>
      <c r="O851" s="181"/>
      <c r="P851" s="181"/>
      <c r="Q851" s="181"/>
      <c r="R851" s="181"/>
      <c r="S851" s="181"/>
      <c r="T851" s="181"/>
      <c r="U851" s="181"/>
      <c r="V851" s="181"/>
      <c r="W851" s="181"/>
      <c r="X851" s="181"/>
      <c r="Y851" s="181"/>
      <c r="Z851" s="181"/>
    </row>
    <row r="852" customFormat="false" ht="15.75" hidden="false" customHeight="false" outlineLevel="0" collapsed="false">
      <c r="A852" s="181"/>
      <c r="B852" s="181"/>
      <c r="C852" s="181"/>
      <c r="D852" s="181"/>
      <c r="E852" s="181"/>
      <c r="F852" s="181"/>
      <c r="G852" s="181"/>
      <c r="H852" s="181"/>
      <c r="I852" s="181"/>
      <c r="J852" s="181"/>
      <c r="K852" s="181"/>
      <c r="L852" s="181"/>
      <c r="M852" s="181"/>
      <c r="N852" s="181"/>
      <c r="O852" s="181"/>
      <c r="P852" s="181"/>
      <c r="Q852" s="181"/>
      <c r="R852" s="181"/>
      <c r="S852" s="181"/>
      <c r="T852" s="181"/>
      <c r="U852" s="181"/>
      <c r="V852" s="181"/>
      <c r="W852" s="181"/>
      <c r="X852" s="181"/>
      <c r="Y852" s="181"/>
      <c r="Z852" s="181"/>
    </row>
    <row r="853" customFormat="false" ht="15.75" hidden="false" customHeight="false" outlineLevel="0" collapsed="false">
      <c r="A853" s="181"/>
      <c r="B853" s="181"/>
      <c r="C853" s="181"/>
      <c r="D853" s="181"/>
      <c r="E853" s="181"/>
      <c r="F853" s="181"/>
      <c r="G853" s="181"/>
      <c r="H853" s="181"/>
      <c r="I853" s="181"/>
      <c r="J853" s="181"/>
      <c r="K853" s="181"/>
      <c r="L853" s="181"/>
      <c r="M853" s="181"/>
      <c r="N853" s="181"/>
      <c r="O853" s="181"/>
      <c r="P853" s="181"/>
      <c r="Q853" s="181"/>
      <c r="R853" s="181"/>
      <c r="S853" s="181"/>
      <c r="T853" s="181"/>
      <c r="U853" s="181"/>
      <c r="V853" s="181"/>
      <c r="W853" s="181"/>
      <c r="X853" s="181"/>
      <c r="Y853" s="181"/>
      <c r="Z853" s="181"/>
    </row>
    <row r="854" customFormat="false" ht="15.75" hidden="false" customHeight="false" outlineLevel="0" collapsed="false">
      <c r="A854" s="181"/>
      <c r="B854" s="181"/>
      <c r="C854" s="181"/>
      <c r="D854" s="181"/>
      <c r="E854" s="181"/>
      <c r="F854" s="181"/>
      <c r="G854" s="181"/>
      <c r="H854" s="181"/>
      <c r="I854" s="181"/>
      <c r="J854" s="181"/>
      <c r="K854" s="181"/>
      <c r="L854" s="181"/>
      <c r="M854" s="181"/>
      <c r="N854" s="181"/>
      <c r="O854" s="181"/>
      <c r="P854" s="181"/>
      <c r="Q854" s="181"/>
      <c r="R854" s="181"/>
      <c r="S854" s="181"/>
      <c r="T854" s="181"/>
      <c r="U854" s="181"/>
      <c r="V854" s="181"/>
      <c r="W854" s="181"/>
      <c r="X854" s="181"/>
      <c r="Y854" s="181"/>
      <c r="Z854" s="181"/>
    </row>
    <row r="855" customFormat="false" ht="15.75" hidden="false" customHeight="false" outlineLevel="0" collapsed="false">
      <c r="A855" s="181"/>
      <c r="B855" s="181"/>
      <c r="C855" s="181"/>
      <c r="D855" s="181"/>
      <c r="E855" s="181"/>
      <c r="F855" s="181"/>
      <c r="G855" s="181"/>
      <c r="H855" s="181"/>
      <c r="I855" s="181"/>
      <c r="J855" s="181"/>
      <c r="K855" s="181"/>
      <c r="L855" s="181"/>
      <c r="M855" s="181"/>
      <c r="N855" s="181"/>
      <c r="O855" s="181"/>
      <c r="P855" s="181"/>
      <c r="Q855" s="181"/>
      <c r="R855" s="181"/>
      <c r="S855" s="181"/>
      <c r="T855" s="181"/>
      <c r="U855" s="181"/>
      <c r="V855" s="181"/>
      <c r="W855" s="181"/>
      <c r="X855" s="181"/>
      <c r="Y855" s="181"/>
      <c r="Z855" s="181"/>
    </row>
    <row r="856" customFormat="false" ht="15.75" hidden="false" customHeight="false" outlineLevel="0" collapsed="false">
      <c r="A856" s="181"/>
      <c r="B856" s="181"/>
      <c r="C856" s="181"/>
      <c r="D856" s="181"/>
      <c r="E856" s="181"/>
      <c r="F856" s="181"/>
      <c r="G856" s="181"/>
      <c r="H856" s="181"/>
      <c r="I856" s="181"/>
      <c r="J856" s="181"/>
      <c r="K856" s="181"/>
      <c r="L856" s="181"/>
      <c r="M856" s="181"/>
      <c r="N856" s="181"/>
      <c r="O856" s="181"/>
      <c r="P856" s="181"/>
      <c r="Q856" s="181"/>
      <c r="R856" s="181"/>
      <c r="S856" s="181"/>
      <c r="T856" s="181"/>
      <c r="U856" s="181"/>
      <c r="V856" s="181"/>
      <c r="W856" s="181"/>
      <c r="X856" s="181"/>
      <c r="Y856" s="181"/>
      <c r="Z856" s="181"/>
    </row>
    <row r="857" customFormat="false" ht="15.75" hidden="false" customHeight="false" outlineLevel="0" collapsed="false">
      <c r="A857" s="181"/>
      <c r="B857" s="181"/>
      <c r="C857" s="181"/>
      <c r="D857" s="181"/>
      <c r="E857" s="181"/>
      <c r="F857" s="181"/>
      <c r="G857" s="181"/>
      <c r="H857" s="181"/>
      <c r="I857" s="181"/>
      <c r="J857" s="181"/>
      <c r="K857" s="181"/>
      <c r="L857" s="181"/>
      <c r="M857" s="181"/>
      <c r="N857" s="181"/>
      <c r="O857" s="181"/>
      <c r="P857" s="181"/>
      <c r="Q857" s="181"/>
      <c r="R857" s="181"/>
      <c r="S857" s="181"/>
      <c r="T857" s="181"/>
      <c r="U857" s="181"/>
      <c r="V857" s="181"/>
      <c r="W857" s="181"/>
      <c r="X857" s="181"/>
      <c r="Y857" s="181"/>
      <c r="Z857" s="181"/>
    </row>
    <row r="858" customFormat="false" ht="15.75" hidden="false" customHeight="false" outlineLevel="0" collapsed="false">
      <c r="A858" s="181"/>
      <c r="B858" s="181"/>
      <c r="C858" s="181"/>
      <c r="D858" s="181"/>
      <c r="E858" s="181"/>
      <c r="F858" s="181"/>
      <c r="G858" s="181"/>
      <c r="H858" s="181"/>
      <c r="I858" s="181"/>
      <c r="J858" s="181"/>
      <c r="K858" s="181"/>
      <c r="L858" s="181"/>
      <c r="M858" s="181"/>
      <c r="N858" s="181"/>
      <c r="O858" s="181"/>
      <c r="P858" s="181"/>
      <c r="Q858" s="181"/>
      <c r="R858" s="181"/>
      <c r="S858" s="181"/>
      <c r="T858" s="181"/>
      <c r="U858" s="181"/>
      <c r="V858" s="181"/>
      <c r="W858" s="181"/>
      <c r="X858" s="181"/>
      <c r="Y858" s="181"/>
      <c r="Z858" s="181"/>
    </row>
    <row r="859" customFormat="false" ht="15.75" hidden="false" customHeight="false" outlineLevel="0" collapsed="false">
      <c r="A859" s="181"/>
      <c r="B859" s="181"/>
      <c r="C859" s="181"/>
      <c r="D859" s="181"/>
      <c r="E859" s="181"/>
      <c r="F859" s="181"/>
      <c r="G859" s="181"/>
      <c r="H859" s="181"/>
      <c r="I859" s="181"/>
      <c r="J859" s="181"/>
      <c r="K859" s="181"/>
      <c r="L859" s="181"/>
      <c r="M859" s="181"/>
      <c r="N859" s="181"/>
      <c r="O859" s="181"/>
      <c r="P859" s="181"/>
      <c r="Q859" s="181"/>
      <c r="R859" s="181"/>
      <c r="S859" s="181"/>
      <c r="T859" s="181"/>
      <c r="U859" s="181"/>
      <c r="V859" s="181"/>
      <c r="W859" s="181"/>
      <c r="X859" s="181"/>
      <c r="Y859" s="181"/>
      <c r="Z859" s="181"/>
    </row>
    <row r="860" customFormat="false" ht="15.75" hidden="false" customHeight="false" outlineLevel="0" collapsed="false">
      <c r="A860" s="181"/>
      <c r="B860" s="181"/>
      <c r="C860" s="181"/>
      <c r="D860" s="181"/>
      <c r="E860" s="181"/>
      <c r="F860" s="181"/>
      <c r="G860" s="181"/>
      <c r="H860" s="181"/>
      <c r="I860" s="181"/>
      <c r="J860" s="181"/>
      <c r="K860" s="181"/>
      <c r="L860" s="181"/>
      <c r="M860" s="181"/>
      <c r="N860" s="181"/>
      <c r="O860" s="181"/>
      <c r="P860" s="181"/>
      <c r="Q860" s="181"/>
      <c r="R860" s="181"/>
      <c r="S860" s="181"/>
      <c r="T860" s="181"/>
      <c r="U860" s="181"/>
      <c r="V860" s="181"/>
      <c r="W860" s="181"/>
      <c r="X860" s="181"/>
      <c r="Y860" s="181"/>
      <c r="Z860" s="181"/>
    </row>
    <row r="861" customFormat="false" ht="15.75" hidden="false" customHeight="false" outlineLevel="0" collapsed="false">
      <c r="A861" s="181"/>
      <c r="B861" s="181"/>
      <c r="C861" s="181"/>
      <c r="D861" s="181"/>
      <c r="E861" s="181"/>
      <c r="F861" s="181"/>
      <c r="G861" s="181"/>
      <c r="H861" s="181"/>
      <c r="I861" s="181"/>
      <c r="J861" s="181"/>
      <c r="K861" s="181"/>
      <c r="L861" s="181"/>
      <c r="M861" s="181"/>
      <c r="N861" s="181"/>
      <c r="O861" s="181"/>
      <c r="P861" s="181"/>
      <c r="Q861" s="181"/>
      <c r="R861" s="181"/>
      <c r="S861" s="181"/>
      <c r="T861" s="181"/>
      <c r="U861" s="181"/>
      <c r="V861" s="181"/>
      <c r="W861" s="181"/>
      <c r="X861" s="181"/>
      <c r="Y861" s="181"/>
      <c r="Z861" s="181"/>
    </row>
    <row r="862" customFormat="false" ht="15.75" hidden="false" customHeight="false" outlineLevel="0" collapsed="false">
      <c r="A862" s="181"/>
      <c r="B862" s="181"/>
      <c r="C862" s="181"/>
      <c r="D862" s="181"/>
      <c r="E862" s="181"/>
      <c r="F862" s="181"/>
      <c r="G862" s="181"/>
      <c r="H862" s="181"/>
      <c r="I862" s="181"/>
      <c r="J862" s="181"/>
      <c r="K862" s="181"/>
      <c r="L862" s="181"/>
      <c r="M862" s="181"/>
      <c r="N862" s="181"/>
      <c r="O862" s="181"/>
      <c r="P862" s="181"/>
      <c r="Q862" s="181"/>
      <c r="R862" s="181"/>
      <c r="S862" s="181"/>
      <c r="T862" s="181"/>
      <c r="U862" s="181"/>
      <c r="V862" s="181"/>
      <c r="W862" s="181"/>
      <c r="X862" s="181"/>
      <c r="Y862" s="181"/>
      <c r="Z862" s="181"/>
    </row>
    <row r="863" customFormat="false" ht="15.75" hidden="false" customHeight="false" outlineLevel="0" collapsed="false">
      <c r="A863" s="181"/>
      <c r="B863" s="181"/>
      <c r="C863" s="181"/>
      <c r="D863" s="181"/>
      <c r="E863" s="181"/>
      <c r="F863" s="181"/>
      <c r="G863" s="181"/>
      <c r="H863" s="181"/>
      <c r="I863" s="181"/>
      <c r="J863" s="181"/>
      <c r="K863" s="181"/>
      <c r="L863" s="181"/>
      <c r="M863" s="181"/>
      <c r="N863" s="181"/>
      <c r="O863" s="181"/>
      <c r="P863" s="181"/>
      <c r="Q863" s="181"/>
      <c r="R863" s="181"/>
      <c r="S863" s="181"/>
      <c r="T863" s="181"/>
      <c r="U863" s="181"/>
      <c r="V863" s="181"/>
      <c r="W863" s="181"/>
      <c r="X863" s="181"/>
      <c r="Y863" s="181"/>
      <c r="Z863" s="181"/>
    </row>
    <row r="864" customFormat="false" ht="15.75" hidden="false" customHeight="false" outlineLevel="0" collapsed="false">
      <c r="A864" s="181"/>
      <c r="B864" s="181"/>
      <c r="C864" s="181"/>
      <c r="D864" s="181"/>
      <c r="E864" s="181"/>
      <c r="F864" s="181"/>
      <c r="G864" s="181"/>
      <c r="H864" s="181"/>
      <c r="I864" s="181"/>
      <c r="J864" s="181"/>
      <c r="K864" s="181"/>
      <c r="L864" s="181"/>
      <c r="M864" s="181"/>
      <c r="N864" s="181"/>
      <c r="O864" s="181"/>
      <c r="P864" s="181"/>
      <c r="Q864" s="181"/>
      <c r="R864" s="181"/>
      <c r="S864" s="181"/>
      <c r="T864" s="181"/>
      <c r="U864" s="181"/>
      <c r="V864" s="181"/>
      <c r="W864" s="181"/>
      <c r="X864" s="181"/>
      <c r="Y864" s="181"/>
      <c r="Z864" s="181"/>
    </row>
    <row r="865" customFormat="false" ht="15.75" hidden="false" customHeight="false" outlineLevel="0" collapsed="false">
      <c r="A865" s="181"/>
      <c r="B865" s="181"/>
      <c r="C865" s="181"/>
      <c r="D865" s="181"/>
      <c r="E865" s="181"/>
      <c r="F865" s="181"/>
      <c r="G865" s="181"/>
      <c r="H865" s="181"/>
      <c r="I865" s="181"/>
      <c r="J865" s="181"/>
      <c r="K865" s="181"/>
      <c r="L865" s="181"/>
      <c r="M865" s="181"/>
      <c r="N865" s="181"/>
      <c r="O865" s="181"/>
      <c r="P865" s="181"/>
      <c r="Q865" s="181"/>
      <c r="R865" s="181"/>
      <c r="S865" s="181"/>
      <c r="T865" s="181"/>
      <c r="U865" s="181"/>
      <c r="V865" s="181"/>
      <c r="W865" s="181"/>
      <c r="X865" s="181"/>
      <c r="Y865" s="181"/>
      <c r="Z865" s="181"/>
    </row>
    <row r="866" customFormat="false" ht="15.75" hidden="false" customHeight="false" outlineLevel="0" collapsed="false">
      <c r="A866" s="181"/>
      <c r="B866" s="181"/>
      <c r="C866" s="181"/>
      <c r="D866" s="181"/>
      <c r="E866" s="181"/>
      <c r="F866" s="181"/>
      <c r="G866" s="181"/>
      <c r="H866" s="181"/>
      <c r="I866" s="181"/>
      <c r="J866" s="181"/>
      <c r="K866" s="181"/>
      <c r="L866" s="181"/>
      <c r="M866" s="181"/>
      <c r="N866" s="181"/>
      <c r="O866" s="181"/>
      <c r="P866" s="181"/>
      <c r="Q866" s="181"/>
      <c r="R866" s="181"/>
      <c r="S866" s="181"/>
      <c r="T866" s="181"/>
      <c r="U866" s="181"/>
      <c r="V866" s="181"/>
      <c r="W866" s="181"/>
      <c r="X866" s="181"/>
      <c r="Y866" s="181"/>
      <c r="Z866" s="181"/>
    </row>
    <row r="867" customFormat="false" ht="15.75" hidden="false" customHeight="false" outlineLevel="0" collapsed="false">
      <c r="A867" s="181"/>
      <c r="B867" s="181"/>
      <c r="C867" s="181"/>
      <c r="D867" s="181"/>
      <c r="E867" s="181"/>
      <c r="F867" s="181"/>
      <c r="G867" s="181"/>
      <c r="H867" s="181"/>
      <c r="I867" s="181"/>
      <c r="J867" s="181"/>
      <c r="K867" s="181"/>
      <c r="L867" s="181"/>
      <c r="M867" s="181"/>
      <c r="N867" s="181"/>
      <c r="O867" s="181"/>
      <c r="P867" s="181"/>
      <c r="Q867" s="181"/>
      <c r="R867" s="181"/>
      <c r="S867" s="181"/>
      <c r="T867" s="181"/>
      <c r="U867" s="181"/>
      <c r="V867" s="181"/>
      <c r="W867" s="181"/>
      <c r="X867" s="181"/>
      <c r="Y867" s="181"/>
      <c r="Z867" s="181"/>
    </row>
    <row r="868" customFormat="false" ht="15.75" hidden="false" customHeight="false" outlineLevel="0" collapsed="false">
      <c r="A868" s="181"/>
      <c r="B868" s="181"/>
      <c r="C868" s="181"/>
      <c r="D868" s="181"/>
      <c r="E868" s="181"/>
      <c r="F868" s="181"/>
      <c r="G868" s="181"/>
      <c r="H868" s="181"/>
      <c r="I868" s="181"/>
      <c r="J868" s="181"/>
      <c r="K868" s="181"/>
      <c r="L868" s="181"/>
      <c r="M868" s="181"/>
      <c r="N868" s="181"/>
      <c r="O868" s="181"/>
      <c r="P868" s="181"/>
      <c r="Q868" s="181"/>
      <c r="R868" s="181"/>
      <c r="S868" s="181"/>
      <c r="T868" s="181"/>
      <c r="U868" s="181"/>
      <c r="V868" s="181"/>
      <c r="W868" s="181"/>
      <c r="X868" s="181"/>
      <c r="Y868" s="181"/>
      <c r="Z868" s="181"/>
    </row>
    <row r="869" customFormat="false" ht="15.75" hidden="false" customHeight="false" outlineLevel="0" collapsed="false">
      <c r="A869" s="181"/>
      <c r="B869" s="181"/>
      <c r="C869" s="181"/>
      <c r="D869" s="181"/>
      <c r="E869" s="181"/>
      <c r="F869" s="181"/>
      <c r="G869" s="181"/>
      <c r="H869" s="181"/>
      <c r="I869" s="181"/>
      <c r="J869" s="181"/>
      <c r="K869" s="181"/>
      <c r="L869" s="181"/>
      <c r="M869" s="181"/>
      <c r="N869" s="181"/>
      <c r="O869" s="181"/>
      <c r="P869" s="181"/>
      <c r="Q869" s="181"/>
      <c r="R869" s="181"/>
      <c r="S869" s="181"/>
      <c r="T869" s="181"/>
      <c r="U869" s="181"/>
      <c r="V869" s="181"/>
      <c r="W869" s="181"/>
      <c r="X869" s="181"/>
      <c r="Y869" s="181"/>
      <c r="Z869" s="181"/>
    </row>
    <row r="870" customFormat="false" ht="15.75" hidden="false" customHeight="false" outlineLevel="0" collapsed="false">
      <c r="A870" s="181"/>
      <c r="B870" s="181"/>
      <c r="C870" s="181"/>
      <c r="D870" s="181"/>
      <c r="E870" s="181"/>
      <c r="F870" s="181"/>
      <c r="G870" s="181"/>
      <c r="H870" s="181"/>
      <c r="I870" s="181"/>
      <c r="J870" s="181"/>
      <c r="K870" s="181"/>
      <c r="L870" s="181"/>
      <c r="M870" s="181"/>
      <c r="N870" s="181"/>
      <c r="O870" s="181"/>
      <c r="P870" s="181"/>
      <c r="Q870" s="181"/>
      <c r="R870" s="181"/>
      <c r="S870" s="181"/>
      <c r="T870" s="181"/>
      <c r="U870" s="181"/>
      <c r="V870" s="181"/>
      <c r="W870" s="181"/>
      <c r="X870" s="181"/>
      <c r="Y870" s="181"/>
      <c r="Z870" s="181"/>
    </row>
    <row r="871" customFormat="false" ht="15.75" hidden="false" customHeight="false" outlineLevel="0" collapsed="false">
      <c r="A871" s="181"/>
      <c r="B871" s="181"/>
      <c r="C871" s="181"/>
      <c r="D871" s="181"/>
      <c r="E871" s="181"/>
      <c r="F871" s="181"/>
      <c r="G871" s="181"/>
      <c r="H871" s="181"/>
      <c r="I871" s="181"/>
      <c r="J871" s="181"/>
      <c r="K871" s="181"/>
      <c r="L871" s="181"/>
      <c r="M871" s="181"/>
      <c r="N871" s="181"/>
      <c r="O871" s="181"/>
      <c r="P871" s="181"/>
      <c r="Q871" s="181"/>
      <c r="R871" s="181"/>
      <c r="S871" s="181"/>
      <c r="T871" s="181"/>
      <c r="U871" s="181"/>
      <c r="V871" s="181"/>
      <c r="W871" s="181"/>
      <c r="X871" s="181"/>
      <c r="Y871" s="181"/>
      <c r="Z871" s="181"/>
    </row>
    <row r="872" customFormat="false" ht="15.75" hidden="false" customHeight="false" outlineLevel="0" collapsed="false">
      <c r="A872" s="181"/>
      <c r="B872" s="181"/>
      <c r="C872" s="181"/>
      <c r="D872" s="181"/>
      <c r="E872" s="181"/>
      <c r="F872" s="181"/>
      <c r="G872" s="181"/>
      <c r="H872" s="181"/>
      <c r="I872" s="181"/>
      <c r="J872" s="181"/>
      <c r="K872" s="181"/>
      <c r="L872" s="181"/>
      <c r="M872" s="181"/>
      <c r="N872" s="181"/>
      <c r="O872" s="181"/>
      <c r="P872" s="181"/>
      <c r="Q872" s="181"/>
      <c r="R872" s="181"/>
      <c r="S872" s="181"/>
      <c r="T872" s="181"/>
      <c r="U872" s="181"/>
      <c r="V872" s="181"/>
      <c r="W872" s="181"/>
      <c r="X872" s="181"/>
      <c r="Y872" s="181"/>
      <c r="Z872" s="181"/>
    </row>
    <row r="873" customFormat="false" ht="15.75" hidden="false" customHeight="false" outlineLevel="0" collapsed="false">
      <c r="A873" s="181"/>
      <c r="B873" s="181"/>
      <c r="C873" s="181"/>
      <c r="D873" s="181"/>
      <c r="E873" s="181"/>
      <c r="F873" s="181"/>
      <c r="G873" s="181"/>
      <c r="H873" s="181"/>
      <c r="I873" s="181"/>
      <c r="J873" s="181"/>
      <c r="K873" s="181"/>
      <c r="L873" s="181"/>
      <c r="M873" s="181"/>
      <c r="N873" s="181"/>
      <c r="O873" s="181"/>
      <c r="P873" s="181"/>
      <c r="Q873" s="181"/>
      <c r="R873" s="181"/>
      <c r="S873" s="181"/>
      <c r="T873" s="181"/>
      <c r="U873" s="181"/>
      <c r="V873" s="181"/>
      <c r="W873" s="181"/>
      <c r="X873" s="181"/>
      <c r="Y873" s="181"/>
      <c r="Z873" s="181"/>
    </row>
    <row r="874" customFormat="false" ht="15.75" hidden="false" customHeight="false" outlineLevel="0" collapsed="false">
      <c r="A874" s="181"/>
      <c r="B874" s="181"/>
      <c r="C874" s="181"/>
      <c r="D874" s="181"/>
      <c r="E874" s="181"/>
      <c r="F874" s="181"/>
      <c r="G874" s="181"/>
      <c r="H874" s="181"/>
      <c r="I874" s="181"/>
      <c r="J874" s="181"/>
      <c r="K874" s="181"/>
      <c r="L874" s="181"/>
      <c r="M874" s="181"/>
      <c r="N874" s="181"/>
      <c r="O874" s="181"/>
      <c r="P874" s="181"/>
      <c r="Q874" s="181"/>
      <c r="R874" s="181"/>
      <c r="S874" s="181"/>
      <c r="T874" s="181"/>
      <c r="U874" s="181"/>
      <c r="V874" s="181"/>
      <c r="W874" s="181"/>
      <c r="X874" s="181"/>
      <c r="Y874" s="181"/>
      <c r="Z874" s="181"/>
    </row>
    <row r="875" customFormat="false" ht="15.75" hidden="false" customHeight="false" outlineLevel="0" collapsed="false">
      <c r="A875" s="181"/>
      <c r="B875" s="181"/>
      <c r="C875" s="181"/>
      <c r="D875" s="181"/>
      <c r="E875" s="181"/>
      <c r="F875" s="181"/>
      <c r="G875" s="181"/>
      <c r="H875" s="181"/>
      <c r="I875" s="181"/>
      <c r="J875" s="181"/>
      <c r="K875" s="181"/>
      <c r="L875" s="181"/>
      <c r="M875" s="181"/>
      <c r="N875" s="181"/>
      <c r="O875" s="181"/>
      <c r="P875" s="181"/>
      <c r="Q875" s="181"/>
      <c r="R875" s="181"/>
      <c r="S875" s="181"/>
      <c r="T875" s="181"/>
      <c r="U875" s="181"/>
      <c r="V875" s="181"/>
      <c r="W875" s="181"/>
      <c r="X875" s="181"/>
      <c r="Y875" s="181"/>
      <c r="Z875" s="181"/>
    </row>
    <row r="876" customFormat="false" ht="15.75" hidden="false" customHeight="false" outlineLevel="0" collapsed="false">
      <c r="A876" s="181"/>
      <c r="B876" s="181"/>
      <c r="C876" s="181"/>
      <c r="D876" s="181"/>
      <c r="E876" s="181"/>
      <c r="F876" s="181"/>
      <c r="G876" s="181"/>
      <c r="H876" s="181"/>
      <c r="I876" s="181"/>
      <c r="J876" s="181"/>
      <c r="K876" s="181"/>
      <c r="L876" s="181"/>
      <c r="M876" s="181"/>
      <c r="N876" s="181"/>
      <c r="O876" s="181"/>
      <c r="P876" s="181"/>
      <c r="Q876" s="181"/>
      <c r="R876" s="181"/>
      <c r="S876" s="181"/>
      <c r="T876" s="181"/>
      <c r="U876" s="181"/>
      <c r="V876" s="181"/>
      <c r="W876" s="181"/>
      <c r="X876" s="181"/>
      <c r="Y876" s="181"/>
      <c r="Z876" s="181"/>
    </row>
    <row r="877" customFormat="false" ht="15.75" hidden="false" customHeight="false" outlineLevel="0" collapsed="false">
      <c r="A877" s="181"/>
      <c r="B877" s="181"/>
      <c r="C877" s="181"/>
      <c r="D877" s="181"/>
      <c r="E877" s="181"/>
      <c r="F877" s="181"/>
      <c r="G877" s="181"/>
      <c r="H877" s="181"/>
      <c r="I877" s="181"/>
      <c r="J877" s="181"/>
      <c r="K877" s="181"/>
      <c r="L877" s="181"/>
      <c r="M877" s="181"/>
      <c r="N877" s="181"/>
      <c r="O877" s="181"/>
      <c r="P877" s="181"/>
      <c r="Q877" s="181"/>
      <c r="R877" s="181"/>
      <c r="S877" s="181"/>
      <c r="T877" s="181"/>
      <c r="U877" s="181"/>
      <c r="V877" s="181"/>
      <c r="W877" s="181"/>
      <c r="X877" s="181"/>
      <c r="Y877" s="181"/>
      <c r="Z877" s="181"/>
    </row>
    <row r="878" customFormat="false" ht="15.75" hidden="false" customHeight="false" outlineLevel="0" collapsed="false">
      <c r="A878" s="181"/>
      <c r="B878" s="181"/>
      <c r="C878" s="181"/>
      <c r="D878" s="181"/>
      <c r="E878" s="181"/>
      <c r="F878" s="181"/>
      <c r="G878" s="181"/>
      <c r="H878" s="181"/>
      <c r="I878" s="181"/>
      <c r="J878" s="181"/>
      <c r="K878" s="181"/>
      <c r="L878" s="181"/>
      <c r="M878" s="181"/>
      <c r="N878" s="181"/>
      <c r="O878" s="181"/>
      <c r="P878" s="181"/>
      <c r="Q878" s="181"/>
      <c r="R878" s="181"/>
      <c r="S878" s="181"/>
      <c r="T878" s="181"/>
      <c r="U878" s="181"/>
      <c r="V878" s="181"/>
      <c r="W878" s="181"/>
      <c r="X878" s="181"/>
      <c r="Y878" s="181"/>
      <c r="Z878" s="181"/>
    </row>
    <row r="879" customFormat="false" ht="15.75" hidden="false" customHeight="false" outlineLevel="0" collapsed="false">
      <c r="A879" s="181"/>
      <c r="B879" s="181"/>
      <c r="C879" s="181"/>
      <c r="D879" s="181"/>
      <c r="E879" s="181"/>
      <c r="F879" s="181"/>
      <c r="G879" s="181"/>
      <c r="H879" s="181"/>
      <c r="I879" s="181"/>
      <c r="J879" s="181"/>
      <c r="K879" s="181"/>
      <c r="L879" s="181"/>
      <c r="M879" s="181"/>
      <c r="N879" s="181"/>
      <c r="O879" s="181"/>
      <c r="P879" s="181"/>
      <c r="Q879" s="181"/>
      <c r="R879" s="181"/>
      <c r="S879" s="181"/>
      <c r="T879" s="181"/>
      <c r="U879" s="181"/>
      <c r="V879" s="181"/>
      <c r="W879" s="181"/>
      <c r="X879" s="181"/>
      <c r="Y879" s="181"/>
      <c r="Z879" s="181"/>
    </row>
    <row r="880" customFormat="false" ht="15.75" hidden="false" customHeight="false" outlineLevel="0" collapsed="false">
      <c r="A880" s="181"/>
      <c r="B880" s="181"/>
      <c r="C880" s="181"/>
      <c r="D880" s="181"/>
      <c r="E880" s="181"/>
      <c r="F880" s="181"/>
      <c r="G880" s="181"/>
      <c r="H880" s="181"/>
      <c r="I880" s="181"/>
      <c r="J880" s="181"/>
      <c r="K880" s="181"/>
      <c r="L880" s="181"/>
      <c r="M880" s="181"/>
      <c r="N880" s="181"/>
      <c r="O880" s="181"/>
      <c r="P880" s="181"/>
      <c r="Q880" s="181"/>
      <c r="R880" s="181"/>
      <c r="S880" s="181"/>
      <c r="T880" s="181"/>
      <c r="U880" s="181"/>
      <c r="V880" s="181"/>
      <c r="W880" s="181"/>
      <c r="X880" s="181"/>
      <c r="Y880" s="181"/>
      <c r="Z880" s="181"/>
    </row>
    <row r="881" customFormat="false" ht="15.75" hidden="false" customHeight="false" outlineLevel="0" collapsed="false">
      <c r="A881" s="181"/>
      <c r="B881" s="181"/>
      <c r="C881" s="181"/>
      <c r="D881" s="181"/>
      <c r="E881" s="181"/>
      <c r="F881" s="181"/>
      <c r="G881" s="181"/>
      <c r="H881" s="181"/>
      <c r="I881" s="181"/>
      <c r="J881" s="181"/>
      <c r="K881" s="181"/>
      <c r="L881" s="181"/>
      <c r="M881" s="181"/>
      <c r="N881" s="181"/>
      <c r="O881" s="181"/>
      <c r="P881" s="181"/>
      <c r="Q881" s="181"/>
      <c r="R881" s="181"/>
      <c r="S881" s="181"/>
      <c r="T881" s="181"/>
      <c r="U881" s="181"/>
      <c r="V881" s="181"/>
      <c r="W881" s="181"/>
      <c r="X881" s="181"/>
      <c r="Y881" s="181"/>
      <c r="Z881" s="181"/>
    </row>
    <row r="882" customFormat="false" ht="15.75" hidden="false" customHeight="false" outlineLevel="0" collapsed="false">
      <c r="A882" s="181"/>
      <c r="B882" s="181"/>
      <c r="C882" s="181"/>
      <c r="D882" s="181"/>
      <c r="E882" s="181"/>
      <c r="F882" s="181"/>
      <c r="G882" s="181"/>
      <c r="H882" s="181"/>
      <c r="I882" s="181"/>
      <c r="J882" s="181"/>
      <c r="K882" s="181"/>
      <c r="L882" s="181"/>
      <c r="M882" s="181"/>
      <c r="N882" s="181"/>
      <c r="O882" s="181"/>
      <c r="P882" s="181"/>
      <c r="Q882" s="181"/>
      <c r="R882" s="181"/>
      <c r="S882" s="181"/>
      <c r="T882" s="181"/>
      <c r="U882" s="181"/>
      <c r="V882" s="181"/>
      <c r="W882" s="181"/>
      <c r="X882" s="181"/>
      <c r="Y882" s="181"/>
      <c r="Z882" s="181"/>
    </row>
    <row r="883" customFormat="false" ht="15.75" hidden="false" customHeight="false" outlineLevel="0" collapsed="false">
      <c r="A883" s="181"/>
      <c r="B883" s="181"/>
      <c r="C883" s="181"/>
      <c r="D883" s="181"/>
      <c r="E883" s="181"/>
      <c r="F883" s="181"/>
      <c r="G883" s="181"/>
      <c r="H883" s="181"/>
      <c r="I883" s="181"/>
      <c r="J883" s="181"/>
      <c r="K883" s="181"/>
      <c r="L883" s="181"/>
      <c r="M883" s="181"/>
      <c r="N883" s="181"/>
      <c r="O883" s="181"/>
      <c r="P883" s="181"/>
      <c r="Q883" s="181"/>
      <c r="R883" s="181"/>
      <c r="S883" s="181"/>
      <c r="T883" s="181"/>
      <c r="U883" s="181"/>
      <c r="V883" s="181"/>
      <c r="W883" s="181"/>
      <c r="X883" s="181"/>
      <c r="Y883" s="181"/>
      <c r="Z883" s="181"/>
    </row>
    <row r="884" customFormat="false" ht="15.75" hidden="false" customHeight="false" outlineLevel="0" collapsed="false">
      <c r="A884" s="181"/>
      <c r="B884" s="181"/>
      <c r="C884" s="181"/>
      <c r="D884" s="181"/>
      <c r="E884" s="181"/>
      <c r="F884" s="181"/>
      <c r="G884" s="181"/>
      <c r="H884" s="181"/>
      <c r="I884" s="181"/>
      <c r="J884" s="181"/>
      <c r="K884" s="181"/>
      <c r="L884" s="181"/>
      <c r="M884" s="181"/>
      <c r="N884" s="181"/>
      <c r="O884" s="181"/>
      <c r="P884" s="181"/>
      <c r="Q884" s="181"/>
      <c r="R884" s="181"/>
      <c r="S884" s="181"/>
      <c r="T884" s="181"/>
      <c r="U884" s="181"/>
      <c r="V884" s="181"/>
      <c r="W884" s="181"/>
      <c r="X884" s="181"/>
      <c r="Y884" s="181"/>
      <c r="Z884" s="181"/>
    </row>
    <row r="885" customFormat="false" ht="15.75" hidden="false" customHeight="false" outlineLevel="0" collapsed="false">
      <c r="A885" s="181"/>
      <c r="B885" s="181"/>
      <c r="C885" s="181"/>
      <c r="D885" s="181"/>
      <c r="E885" s="181"/>
      <c r="F885" s="181"/>
      <c r="G885" s="181"/>
      <c r="H885" s="181"/>
      <c r="I885" s="181"/>
      <c r="J885" s="181"/>
      <c r="K885" s="181"/>
      <c r="L885" s="181"/>
      <c r="M885" s="181"/>
      <c r="N885" s="181"/>
      <c r="O885" s="181"/>
      <c r="P885" s="181"/>
      <c r="Q885" s="181"/>
      <c r="R885" s="181"/>
      <c r="S885" s="181"/>
      <c r="T885" s="181"/>
      <c r="U885" s="181"/>
      <c r="V885" s="181"/>
      <c r="W885" s="181"/>
      <c r="X885" s="181"/>
      <c r="Y885" s="181"/>
      <c r="Z885" s="181"/>
    </row>
    <row r="886" customFormat="false" ht="15.75" hidden="false" customHeight="false" outlineLevel="0" collapsed="false">
      <c r="A886" s="181"/>
      <c r="B886" s="181"/>
      <c r="C886" s="181"/>
      <c r="D886" s="181"/>
      <c r="E886" s="181"/>
      <c r="F886" s="181"/>
      <c r="G886" s="181"/>
      <c r="H886" s="181"/>
      <c r="I886" s="181"/>
      <c r="J886" s="181"/>
      <c r="K886" s="181"/>
      <c r="L886" s="181"/>
      <c r="M886" s="181"/>
      <c r="N886" s="181"/>
      <c r="O886" s="181"/>
      <c r="P886" s="181"/>
      <c r="Q886" s="181"/>
      <c r="R886" s="181"/>
      <c r="S886" s="181"/>
      <c r="T886" s="181"/>
      <c r="U886" s="181"/>
      <c r="V886" s="181"/>
      <c r="W886" s="181"/>
      <c r="X886" s="181"/>
      <c r="Y886" s="181"/>
      <c r="Z886" s="181"/>
    </row>
    <row r="887" customFormat="false" ht="15.75" hidden="false" customHeight="false" outlineLevel="0" collapsed="false">
      <c r="A887" s="181"/>
      <c r="B887" s="181"/>
      <c r="C887" s="181"/>
      <c r="D887" s="181"/>
      <c r="E887" s="181"/>
      <c r="F887" s="181"/>
      <c r="G887" s="181"/>
      <c r="H887" s="181"/>
      <c r="I887" s="181"/>
      <c r="J887" s="181"/>
      <c r="K887" s="181"/>
      <c r="L887" s="181"/>
      <c r="M887" s="181"/>
      <c r="N887" s="181"/>
      <c r="O887" s="181"/>
      <c r="P887" s="181"/>
      <c r="Q887" s="181"/>
      <c r="R887" s="181"/>
      <c r="S887" s="181"/>
      <c r="T887" s="181"/>
      <c r="U887" s="181"/>
      <c r="V887" s="181"/>
      <c r="W887" s="181"/>
      <c r="X887" s="181"/>
      <c r="Y887" s="181"/>
      <c r="Z887" s="181"/>
    </row>
    <row r="888" customFormat="false" ht="15.75" hidden="false" customHeight="false" outlineLevel="0" collapsed="false">
      <c r="A888" s="181"/>
      <c r="B888" s="181"/>
      <c r="C888" s="181"/>
      <c r="D888" s="181"/>
      <c r="E888" s="181"/>
      <c r="F888" s="181"/>
      <c r="G888" s="181"/>
      <c r="H888" s="181"/>
      <c r="I888" s="181"/>
      <c r="J888" s="181"/>
      <c r="K888" s="181"/>
      <c r="L888" s="181"/>
      <c r="M888" s="181"/>
      <c r="N888" s="181"/>
      <c r="O888" s="181"/>
      <c r="P888" s="181"/>
      <c r="Q888" s="181"/>
      <c r="R888" s="181"/>
      <c r="S888" s="181"/>
      <c r="T888" s="181"/>
      <c r="U888" s="181"/>
      <c r="V888" s="181"/>
      <c r="W888" s="181"/>
      <c r="X888" s="181"/>
      <c r="Y888" s="181"/>
      <c r="Z888" s="181"/>
    </row>
    <row r="889" customFormat="false" ht="15.75" hidden="false" customHeight="false" outlineLevel="0" collapsed="false">
      <c r="A889" s="181"/>
      <c r="B889" s="181"/>
      <c r="C889" s="181"/>
      <c r="D889" s="181"/>
      <c r="E889" s="181"/>
      <c r="F889" s="181"/>
      <c r="G889" s="181"/>
      <c r="H889" s="181"/>
      <c r="I889" s="181"/>
      <c r="J889" s="181"/>
      <c r="K889" s="181"/>
      <c r="L889" s="181"/>
      <c r="M889" s="181"/>
      <c r="N889" s="181"/>
      <c r="O889" s="181"/>
      <c r="P889" s="181"/>
      <c r="Q889" s="181"/>
      <c r="R889" s="181"/>
      <c r="S889" s="181"/>
      <c r="T889" s="181"/>
      <c r="U889" s="181"/>
      <c r="V889" s="181"/>
      <c r="W889" s="181"/>
      <c r="X889" s="181"/>
      <c r="Y889" s="181"/>
      <c r="Z889" s="181"/>
    </row>
    <row r="890" customFormat="false" ht="15.75" hidden="false" customHeight="false" outlineLevel="0" collapsed="false">
      <c r="A890" s="181"/>
      <c r="B890" s="181"/>
      <c r="C890" s="181"/>
      <c r="D890" s="181"/>
      <c r="E890" s="181"/>
      <c r="F890" s="181"/>
      <c r="G890" s="181"/>
      <c r="H890" s="181"/>
      <c r="I890" s="181"/>
      <c r="J890" s="181"/>
      <c r="K890" s="181"/>
      <c r="L890" s="181"/>
      <c r="M890" s="181"/>
      <c r="N890" s="181"/>
      <c r="O890" s="181"/>
      <c r="P890" s="181"/>
      <c r="Q890" s="181"/>
      <c r="R890" s="181"/>
      <c r="S890" s="181"/>
      <c r="T890" s="181"/>
      <c r="U890" s="181"/>
      <c r="V890" s="181"/>
      <c r="W890" s="181"/>
      <c r="X890" s="181"/>
      <c r="Y890" s="181"/>
      <c r="Z890" s="181"/>
    </row>
    <row r="891" customFormat="false" ht="15.75" hidden="false" customHeight="false" outlineLevel="0" collapsed="false">
      <c r="A891" s="181"/>
      <c r="B891" s="181"/>
      <c r="C891" s="181"/>
      <c r="D891" s="181"/>
      <c r="E891" s="181"/>
      <c r="F891" s="181"/>
      <c r="G891" s="181"/>
      <c r="H891" s="181"/>
      <c r="I891" s="181"/>
      <c r="J891" s="181"/>
      <c r="K891" s="181"/>
      <c r="L891" s="181"/>
      <c r="M891" s="181"/>
      <c r="N891" s="181"/>
      <c r="O891" s="181"/>
      <c r="P891" s="181"/>
      <c r="Q891" s="181"/>
      <c r="R891" s="181"/>
      <c r="S891" s="181"/>
      <c r="T891" s="181"/>
      <c r="U891" s="181"/>
      <c r="V891" s="181"/>
      <c r="W891" s="181"/>
      <c r="X891" s="181"/>
      <c r="Y891" s="181"/>
      <c r="Z891" s="181"/>
    </row>
    <row r="892" customFormat="false" ht="15.75" hidden="false" customHeight="false" outlineLevel="0" collapsed="false">
      <c r="A892" s="181"/>
      <c r="B892" s="181"/>
      <c r="C892" s="181"/>
      <c r="D892" s="181"/>
      <c r="E892" s="181"/>
      <c r="F892" s="181"/>
      <c r="G892" s="181"/>
      <c r="H892" s="181"/>
      <c r="I892" s="181"/>
      <c r="J892" s="181"/>
      <c r="K892" s="181"/>
      <c r="L892" s="181"/>
      <c r="M892" s="181"/>
      <c r="N892" s="181"/>
      <c r="O892" s="181"/>
      <c r="P892" s="181"/>
      <c r="Q892" s="181"/>
      <c r="R892" s="181"/>
      <c r="S892" s="181"/>
      <c r="T892" s="181"/>
      <c r="U892" s="181"/>
      <c r="V892" s="181"/>
      <c r="W892" s="181"/>
      <c r="X892" s="181"/>
      <c r="Y892" s="181"/>
      <c r="Z892" s="181"/>
    </row>
    <row r="893" customFormat="false" ht="15.75" hidden="false" customHeight="false" outlineLevel="0" collapsed="false">
      <c r="A893" s="181"/>
      <c r="B893" s="181"/>
      <c r="C893" s="181"/>
      <c r="D893" s="181"/>
      <c r="E893" s="181"/>
      <c r="F893" s="181"/>
      <c r="G893" s="181"/>
      <c r="H893" s="181"/>
      <c r="I893" s="181"/>
      <c r="J893" s="181"/>
      <c r="K893" s="181"/>
      <c r="L893" s="181"/>
      <c r="M893" s="181"/>
      <c r="N893" s="181"/>
      <c r="O893" s="181"/>
      <c r="P893" s="181"/>
      <c r="Q893" s="181"/>
      <c r="R893" s="181"/>
      <c r="S893" s="181"/>
      <c r="T893" s="181"/>
      <c r="U893" s="181"/>
      <c r="V893" s="181"/>
      <c r="W893" s="181"/>
      <c r="X893" s="181"/>
      <c r="Y893" s="181"/>
      <c r="Z893" s="181"/>
    </row>
    <row r="894" customFormat="false" ht="15.75" hidden="false" customHeight="false" outlineLevel="0" collapsed="false">
      <c r="A894" s="181"/>
      <c r="B894" s="181"/>
      <c r="C894" s="181"/>
      <c r="D894" s="181"/>
      <c r="E894" s="181"/>
      <c r="F894" s="181"/>
      <c r="G894" s="181"/>
      <c r="H894" s="181"/>
      <c r="I894" s="181"/>
      <c r="J894" s="181"/>
      <c r="K894" s="181"/>
      <c r="L894" s="181"/>
      <c r="M894" s="181"/>
      <c r="N894" s="181"/>
      <c r="O894" s="181"/>
      <c r="P894" s="181"/>
      <c r="Q894" s="181"/>
      <c r="R894" s="181"/>
      <c r="S894" s="181"/>
      <c r="T894" s="181"/>
      <c r="U894" s="181"/>
      <c r="V894" s="181"/>
      <c r="W894" s="181"/>
      <c r="X894" s="181"/>
      <c r="Y894" s="181"/>
      <c r="Z894" s="181"/>
    </row>
    <row r="895" customFormat="false" ht="15.75" hidden="false" customHeight="false" outlineLevel="0" collapsed="false">
      <c r="A895" s="181"/>
      <c r="B895" s="181"/>
      <c r="C895" s="181"/>
      <c r="D895" s="181"/>
      <c r="E895" s="181"/>
      <c r="F895" s="181"/>
      <c r="G895" s="181"/>
      <c r="H895" s="181"/>
      <c r="I895" s="181"/>
      <c r="J895" s="181"/>
      <c r="K895" s="181"/>
      <c r="L895" s="181"/>
      <c r="M895" s="181"/>
      <c r="N895" s="181"/>
      <c r="O895" s="181"/>
      <c r="P895" s="181"/>
      <c r="Q895" s="181"/>
      <c r="R895" s="181"/>
      <c r="S895" s="181"/>
      <c r="T895" s="181"/>
      <c r="U895" s="181"/>
      <c r="V895" s="181"/>
      <c r="W895" s="181"/>
      <c r="X895" s="181"/>
      <c r="Y895" s="181"/>
      <c r="Z895" s="181"/>
    </row>
    <row r="896" customFormat="false" ht="15.75" hidden="false" customHeight="false" outlineLevel="0" collapsed="false">
      <c r="A896" s="181"/>
      <c r="B896" s="181"/>
      <c r="C896" s="181"/>
      <c r="D896" s="181"/>
      <c r="E896" s="181"/>
      <c r="F896" s="181"/>
      <c r="G896" s="181"/>
      <c r="H896" s="181"/>
      <c r="I896" s="181"/>
      <c r="J896" s="181"/>
      <c r="K896" s="181"/>
      <c r="L896" s="181"/>
      <c r="M896" s="181"/>
      <c r="N896" s="181"/>
      <c r="O896" s="181"/>
      <c r="P896" s="181"/>
      <c r="Q896" s="181"/>
      <c r="R896" s="181"/>
      <c r="S896" s="181"/>
      <c r="T896" s="181"/>
      <c r="U896" s="181"/>
      <c r="V896" s="181"/>
      <c r="W896" s="181"/>
      <c r="X896" s="181"/>
      <c r="Y896" s="181"/>
      <c r="Z896" s="181"/>
    </row>
    <row r="897" customFormat="false" ht="15.75" hidden="false" customHeight="false" outlineLevel="0" collapsed="false">
      <c r="A897" s="181"/>
      <c r="B897" s="181"/>
      <c r="C897" s="181"/>
      <c r="D897" s="181"/>
      <c r="E897" s="181"/>
      <c r="F897" s="181"/>
      <c r="G897" s="181"/>
      <c r="H897" s="181"/>
      <c r="I897" s="181"/>
      <c r="J897" s="181"/>
      <c r="K897" s="181"/>
      <c r="L897" s="181"/>
      <c r="M897" s="181"/>
      <c r="N897" s="181"/>
      <c r="O897" s="181"/>
      <c r="P897" s="181"/>
      <c r="Q897" s="181"/>
      <c r="R897" s="181"/>
      <c r="S897" s="181"/>
      <c r="T897" s="181"/>
      <c r="U897" s="181"/>
      <c r="V897" s="181"/>
      <c r="W897" s="181"/>
      <c r="X897" s="181"/>
      <c r="Y897" s="181"/>
      <c r="Z897" s="181"/>
    </row>
    <row r="898" customFormat="false" ht="15.75" hidden="false" customHeight="false" outlineLevel="0" collapsed="false">
      <c r="A898" s="181"/>
      <c r="B898" s="181"/>
      <c r="C898" s="181"/>
      <c r="D898" s="181"/>
      <c r="E898" s="181"/>
      <c r="F898" s="181"/>
      <c r="G898" s="181"/>
      <c r="H898" s="181"/>
      <c r="I898" s="181"/>
      <c r="J898" s="181"/>
      <c r="K898" s="181"/>
      <c r="L898" s="181"/>
      <c r="M898" s="181"/>
      <c r="N898" s="181"/>
      <c r="O898" s="181"/>
      <c r="P898" s="181"/>
      <c r="Q898" s="181"/>
      <c r="R898" s="181"/>
      <c r="S898" s="181"/>
      <c r="T898" s="181"/>
      <c r="U898" s="181"/>
      <c r="V898" s="181"/>
      <c r="W898" s="181"/>
      <c r="X898" s="181"/>
      <c r="Y898" s="181"/>
      <c r="Z898" s="181"/>
    </row>
    <row r="899" customFormat="false" ht="15.75" hidden="false" customHeight="false" outlineLevel="0" collapsed="false">
      <c r="A899" s="181"/>
      <c r="B899" s="181"/>
      <c r="C899" s="181"/>
      <c r="D899" s="181"/>
      <c r="E899" s="181"/>
      <c r="F899" s="181"/>
      <c r="G899" s="181"/>
      <c r="H899" s="181"/>
      <c r="I899" s="181"/>
      <c r="J899" s="181"/>
      <c r="K899" s="181"/>
      <c r="L899" s="181"/>
      <c r="M899" s="181"/>
      <c r="N899" s="181"/>
      <c r="O899" s="181"/>
      <c r="P899" s="181"/>
      <c r="Q899" s="181"/>
      <c r="R899" s="181"/>
      <c r="S899" s="181"/>
      <c r="T899" s="181"/>
      <c r="U899" s="181"/>
      <c r="V899" s="181"/>
      <c r="W899" s="181"/>
      <c r="X899" s="181"/>
      <c r="Y899" s="181"/>
      <c r="Z899" s="181"/>
    </row>
    <row r="900" customFormat="false" ht="15.75" hidden="false" customHeight="false" outlineLevel="0" collapsed="false">
      <c r="A900" s="181"/>
      <c r="B900" s="181"/>
      <c r="C900" s="181"/>
      <c r="D900" s="181"/>
      <c r="E900" s="181"/>
      <c r="F900" s="181"/>
      <c r="G900" s="181"/>
      <c r="H900" s="181"/>
      <c r="I900" s="181"/>
      <c r="J900" s="181"/>
      <c r="K900" s="181"/>
      <c r="L900" s="181"/>
      <c r="M900" s="181"/>
      <c r="N900" s="181"/>
      <c r="O900" s="181"/>
      <c r="P900" s="181"/>
      <c r="Q900" s="181"/>
      <c r="R900" s="181"/>
      <c r="S900" s="181"/>
      <c r="T900" s="181"/>
      <c r="U900" s="181"/>
      <c r="V900" s="181"/>
      <c r="W900" s="181"/>
      <c r="X900" s="181"/>
      <c r="Y900" s="181"/>
      <c r="Z900" s="181"/>
    </row>
    <row r="901" customFormat="false" ht="15.75" hidden="false" customHeight="false" outlineLevel="0" collapsed="false">
      <c r="A901" s="181"/>
      <c r="B901" s="181"/>
      <c r="C901" s="181"/>
      <c r="D901" s="181"/>
      <c r="E901" s="181"/>
      <c r="F901" s="181"/>
      <c r="G901" s="181"/>
      <c r="H901" s="181"/>
      <c r="I901" s="181"/>
      <c r="J901" s="181"/>
      <c r="K901" s="181"/>
      <c r="L901" s="181"/>
      <c r="M901" s="181"/>
      <c r="N901" s="181"/>
      <c r="O901" s="181"/>
      <c r="P901" s="181"/>
      <c r="Q901" s="181"/>
      <c r="R901" s="181"/>
      <c r="S901" s="181"/>
      <c r="T901" s="181"/>
      <c r="U901" s="181"/>
      <c r="V901" s="181"/>
      <c r="W901" s="181"/>
      <c r="X901" s="181"/>
      <c r="Y901" s="181"/>
      <c r="Z901" s="181"/>
    </row>
    <row r="902" customFormat="false" ht="15.75" hidden="false" customHeight="false" outlineLevel="0" collapsed="false">
      <c r="A902" s="181"/>
      <c r="B902" s="181"/>
      <c r="C902" s="181"/>
      <c r="D902" s="181"/>
      <c r="E902" s="181"/>
      <c r="F902" s="181"/>
      <c r="G902" s="181"/>
      <c r="H902" s="181"/>
      <c r="I902" s="181"/>
      <c r="J902" s="181"/>
      <c r="K902" s="181"/>
      <c r="L902" s="181"/>
      <c r="M902" s="181"/>
      <c r="N902" s="181"/>
      <c r="O902" s="181"/>
      <c r="P902" s="181"/>
      <c r="Q902" s="181"/>
      <c r="R902" s="181"/>
      <c r="S902" s="181"/>
      <c r="T902" s="181"/>
      <c r="U902" s="181"/>
      <c r="V902" s="181"/>
      <c r="W902" s="181"/>
      <c r="X902" s="181"/>
      <c r="Y902" s="181"/>
      <c r="Z902" s="181"/>
    </row>
    <row r="903" customFormat="false" ht="15.75" hidden="false" customHeight="false" outlineLevel="0" collapsed="false">
      <c r="A903" s="181"/>
      <c r="B903" s="181"/>
      <c r="C903" s="181"/>
      <c r="D903" s="181"/>
      <c r="E903" s="181"/>
      <c r="F903" s="181"/>
      <c r="G903" s="181"/>
      <c r="H903" s="181"/>
      <c r="I903" s="181"/>
      <c r="J903" s="181"/>
      <c r="K903" s="181"/>
      <c r="L903" s="181"/>
      <c r="M903" s="181"/>
      <c r="N903" s="181"/>
      <c r="O903" s="181"/>
      <c r="P903" s="181"/>
      <c r="Q903" s="181"/>
      <c r="R903" s="181"/>
      <c r="S903" s="181"/>
      <c r="T903" s="181"/>
      <c r="U903" s="181"/>
      <c r="V903" s="181"/>
      <c r="W903" s="181"/>
      <c r="X903" s="181"/>
      <c r="Y903" s="181"/>
      <c r="Z903" s="181"/>
    </row>
    <row r="904" customFormat="false" ht="15.75" hidden="false" customHeight="false" outlineLevel="0" collapsed="false">
      <c r="A904" s="181"/>
      <c r="B904" s="181"/>
      <c r="C904" s="181"/>
      <c r="D904" s="181"/>
      <c r="E904" s="181"/>
      <c r="F904" s="181"/>
      <c r="G904" s="181"/>
      <c r="H904" s="181"/>
      <c r="I904" s="181"/>
      <c r="J904" s="181"/>
      <c r="K904" s="181"/>
      <c r="L904" s="181"/>
      <c r="M904" s="181"/>
      <c r="N904" s="181"/>
      <c r="O904" s="181"/>
      <c r="P904" s="181"/>
      <c r="Q904" s="181"/>
      <c r="R904" s="181"/>
      <c r="S904" s="181"/>
      <c r="T904" s="181"/>
      <c r="U904" s="181"/>
      <c r="V904" s="181"/>
      <c r="W904" s="181"/>
      <c r="X904" s="181"/>
      <c r="Y904" s="181"/>
      <c r="Z904" s="181"/>
    </row>
    <row r="905" customFormat="false" ht="15.75" hidden="false" customHeight="false" outlineLevel="0" collapsed="false">
      <c r="A905" s="181"/>
      <c r="B905" s="181"/>
      <c r="C905" s="181"/>
      <c r="D905" s="181"/>
      <c r="E905" s="181"/>
      <c r="F905" s="181"/>
      <c r="G905" s="181"/>
      <c r="H905" s="181"/>
      <c r="I905" s="181"/>
      <c r="J905" s="181"/>
      <c r="K905" s="181"/>
      <c r="L905" s="181"/>
      <c r="M905" s="181"/>
      <c r="N905" s="181"/>
      <c r="O905" s="181"/>
      <c r="P905" s="181"/>
      <c r="Q905" s="181"/>
      <c r="R905" s="181"/>
      <c r="S905" s="181"/>
      <c r="T905" s="181"/>
      <c r="U905" s="181"/>
      <c r="V905" s="181"/>
      <c r="W905" s="181"/>
      <c r="X905" s="181"/>
      <c r="Y905" s="181"/>
      <c r="Z905" s="181"/>
    </row>
    <row r="906" customFormat="false" ht="15.75" hidden="false" customHeight="false" outlineLevel="0" collapsed="false">
      <c r="A906" s="181"/>
      <c r="B906" s="181"/>
      <c r="C906" s="181"/>
      <c r="D906" s="181"/>
      <c r="E906" s="181"/>
      <c r="F906" s="181"/>
      <c r="G906" s="181"/>
      <c r="H906" s="181"/>
      <c r="I906" s="181"/>
      <c r="J906" s="181"/>
      <c r="K906" s="181"/>
      <c r="L906" s="181"/>
      <c r="M906" s="181"/>
      <c r="N906" s="181"/>
      <c r="O906" s="181"/>
      <c r="P906" s="181"/>
      <c r="Q906" s="181"/>
      <c r="R906" s="181"/>
      <c r="S906" s="181"/>
      <c r="T906" s="181"/>
      <c r="U906" s="181"/>
      <c r="V906" s="181"/>
      <c r="W906" s="181"/>
      <c r="X906" s="181"/>
      <c r="Y906" s="181"/>
      <c r="Z906" s="181"/>
    </row>
    <row r="907" customFormat="false" ht="15.75" hidden="false" customHeight="false" outlineLevel="0" collapsed="false">
      <c r="A907" s="181"/>
      <c r="B907" s="181"/>
      <c r="C907" s="181"/>
      <c r="D907" s="181"/>
      <c r="E907" s="181"/>
      <c r="F907" s="181"/>
      <c r="G907" s="181"/>
      <c r="H907" s="181"/>
      <c r="I907" s="181"/>
      <c r="J907" s="181"/>
      <c r="K907" s="181"/>
      <c r="L907" s="181"/>
      <c r="M907" s="181"/>
      <c r="N907" s="181"/>
      <c r="O907" s="181"/>
      <c r="P907" s="181"/>
      <c r="Q907" s="181"/>
      <c r="R907" s="181"/>
      <c r="S907" s="181"/>
      <c r="T907" s="181"/>
      <c r="U907" s="181"/>
      <c r="V907" s="181"/>
      <c r="W907" s="181"/>
      <c r="X907" s="181"/>
      <c r="Y907" s="181"/>
      <c r="Z907" s="181"/>
    </row>
    <row r="908" customFormat="false" ht="15.75" hidden="false" customHeight="false" outlineLevel="0" collapsed="false">
      <c r="A908" s="181"/>
      <c r="B908" s="181"/>
      <c r="C908" s="181"/>
      <c r="D908" s="181"/>
      <c r="E908" s="181"/>
      <c r="F908" s="181"/>
      <c r="G908" s="181"/>
      <c r="H908" s="181"/>
      <c r="I908" s="181"/>
      <c r="J908" s="181"/>
      <c r="K908" s="181"/>
      <c r="L908" s="181"/>
      <c r="M908" s="181"/>
      <c r="N908" s="181"/>
      <c r="O908" s="181"/>
      <c r="P908" s="181"/>
      <c r="Q908" s="181"/>
      <c r="R908" s="181"/>
      <c r="S908" s="181"/>
      <c r="T908" s="181"/>
      <c r="U908" s="181"/>
      <c r="V908" s="181"/>
      <c r="W908" s="181"/>
      <c r="X908" s="181"/>
      <c r="Y908" s="181"/>
      <c r="Z908" s="181"/>
    </row>
    <row r="909" customFormat="false" ht="15.75" hidden="false" customHeight="false" outlineLevel="0" collapsed="false">
      <c r="A909" s="181"/>
      <c r="B909" s="181"/>
      <c r="C909" s="181"/>
      <c r="D909" s="181"/>
      <c r="E909" s="181"/>
      <c r="F909" s="181"/>
      <c r="G909" s="181"/>
      <c r="H909" s="181"/>
      <c r="I909" s="181"/>
      <c r="J909" s="181"/>
      <c r="K909" s="181"/>
      <c r="L909" s="181"/>
      <c r="M909" s="181"/>
      <c r="N909" s="181"/>
      <c r="O909" s="181"/>
      <c r="P909" s="181"/>
      <c r="Q909" s="181"/>
      <c r="R909" s="181"/>
      <c r="S909" s="181"/>
      <c r="T909" s="181"/>
      <c r="U909" s="181"/>
      <c r="V909" s="181"/>
      <c r="W909" s="181"/>
      <c r="X909" s="181"/>
      <c r="Y909" s="181"/>
      <c r="Z909" s="181"/>
    </row>
    <row r="910" customFormat="false" ht="15.75" hidden="false" customHeight="false" outlineLevel="0" collapsed="false">
      <c r="A910" s="181"/>
      <c r="B910" s="181"/>
      <c r="C910" s="181"/>
      <c r="D910" s="181"/>
      <c r="E910" s="181"/>
      <c r="F910" s="181"/>
      <c r="G910" s="181"/>
      <c r="H910" s="181"/>
      <c r="I910" s="181"/>
      <c r="J910" s="181"/>
      <c r="K910" s="181"/>
      <c r="L910" s="181"/>
      <c r="M910" s="181"/>
      <c r="N910" s="181"/>
      <c r="O910" s="181"/>
      <c r="P910" s="181"/>
      <c r="Q910" s="181"/>
      <c r="R910" s="181"/>
      <c r="S910" s="181"/>
      <c r="T910" s="181"/>
      <c r="U910" s="181"/>
      <c r="V910" s="181"/>
      <c r="W910" s="181"/>
      <c r="X910" s="181"/>
      <c r="Y910" s="181"/>
      <c r="Z910" s="181"/>
    </row>
    <row r="911" customFormat="false" ht="15.75" hidden="false" customHeight="false" outlineLevel="0" collapsed="false">
      <c r="A911" s="181"/>
      <c r="B911" s="181"/>
      <c r="C911" s="181"/>
      <c r="D911" s="181"/>
      <c r="E911" s="181"/>
      <c r="F911" s="181"/>
      <c r="G911" s="181"/>
      <c r="H911" s="181"/>
      <c r="I911" s="181"/>
      <c r="J911" s="181"/>
      <c r="K911" s="181"/>
      <c r="L911" s="181"/>
      <c r="M911" s="181"/>
      <c r="N911" s="181"/>
      <c r="O911" s="181"/>
      <c r="P911" s="181"/>
      <c r="Q911" s="181"/>
      <c r="R911" s="181"/>
      <c r="S911" s="181"/>
      <c r="T911" s="181"/>
      <c r="U911" s="181"/>
      <c r="V911" s="181"/>
      <c r="W911" s="181"/>
      <c r="X911" s="181"/>
      <c r="Y911" s="181"/>
      <c r="Z911" s="181"/>
    </row>
    <row r="912" customFormat="false" ht="15.75" hidden="false" customHeight="false" outlineLevel="0" collapsed="false">
      <c r="A912" s="181"/>
      <c r="B912" s="181"/>
      <c r="C912" s="181"/>
      <c r="D912" s="181"/>
      <c r="E912" s="181"/>
      <c r="F912" s="181"/>
      <c r="G912" s="181"/>
      <c r="H912" s="181"/>
      <c r="I912" s="181"/>
      <c r="J912" s="181"/>
      <c r="K912" s="181"/>
      <c r="L912" s="181"/>
      <c r="M912" s="181"/>
      <c r="N912" s="181"/>
      <c r="O912" s="181"/>
      <c r="P912" s="181"/>
      <c r="Q912" s="181"/>
      <c r="R912" s="181"/>
      <c r="S912" s="181"/>
      <c r="T912" s="181"/>
      <c r="U912" s="181"/>
      <c r="V912" s="181"/>
      <c r="W912" s="181"/>
      <c r="X912" s="181"/>
      <c r="Y912" s="181"/>
      <c r="Z912" s="181"/>
    </row>
    <row r="913" customFormat="false" ht="15.75" hidden="false" customHeight="false" outlineLevel="0" collapsed="false">
      <c r="A913" s="181"/>
      <c r="B913" s="181"/>
      <c r="C913" s="181"/>
      <c r="D913" s="181"/>
      <c r="E913" s="181"/>
      <c r="F913" s="181"/>
      <c r="G913" s="181"/>
      <c r="H913" s="181"/>
      <c r="I913" s="181"/>
      <c r="J913" s="181"/>
      <c r="K913" s="181"/>
      <c r="L913" s="181"/>
      <c r="M913" s="181"/>
      <c r="N913" s="181"/>
      <c r="O913" s="181"/>
      <c r="P913" s="181"/>
      <c r="Q913" s="181"/>
      <c r="R913" s="181"/>
      <c r="S913" s="181"/>
      <c r="T913" s="181"/>
      <c r="U913" s="181"/>
      <c r="V913" s="181"/>
      <c r="W913" s="181"/>
      <c r="X913" s="181"/>
      <c r="Y913" s="181"/>
      <c r="Z913" s="181"/>
    </row>
    <row r="914" customFormat="false" ht="15.75" hidden="false" customHeight="false" outlineLevel="0" collapsed="false">
      <c r="A914" s="181"/>
      <c r="B914" s="181"/>
      <c r="C914" s="181"/>
      <c r="D914" s="181"/>
      <c r="E914" s="181"/>
      <c r="F914" s="181"/>
      <c r="G914" s="181"/>
      <c r="H914" s="181"/>
      <c r="I914" s="181"/>
      <c r="J914" s="181"/>
      <c r="K914" s="181"/>
      <c r="L914" s="181"/>
      <c r="M914" s="181"/>
      <c r="N914" s="181"/>
      <c r="O914" s="181"/>
      <c r="P914" s="181"/>
      <c r="Q914" s="181"/>
      <c r="R914" s="181"/>
      <c r="S914" s="181"/>
      <c r="T914" s="181"/>
      <c r="U914" s="181"/>
      <c r="V914" s="181"/>
      <c r="W914" s="181"/>
      <c r="X914" s="181"/>
      <c r="Y914" s="181"/>
      <c r="Z914" s="181"/>
    </row>
    <row r="915" customFormat="false" ht="15.75" hidden="false" customHeight="false" outlineLevel="0" collapsed="false">
      <c r="A915" s="181"/>
      <c r="B915" s="181"/>
      <c r="C915" s="181"/>
      <c r="D915" s="181"/>
      <c r="E915" s="181"/>
      <c r="F915" s="181"/>
      <c r="G915" s="181"/>
      <c r="H915" s="181"/>
      <c r="I915" s="181"/>
      <c r="J915" s="181"/>
      <c r="K915" s="181"/>
      <c r="L915" s="181"/>
      <c r="M915" s="181"/>
      <c r="N915" s="181"/>
      <c r="O915" s="181"/>
      <c r="P915" s="181"/>
      <c r="Q915" s="181"/>
      <c r="R915" s="181"/>
      <c r="S915" s="181"/>
      <c r="T915" s="181"/>
      <c r="U915" s="181"/>
      <c r="V915" s="181"/>
      <c r="W915" s="181"/>
      <c r="X915" s="181"/>
      <c r="Y915" s="181"/>
      <c r="Z915" s="181"/>
    </row>
    <row r="916" customFormat="false" ht="15.75" hidden="false" customHeight="false" outlineLevel="0" collapsed="false">
      <c r="A916" s="181"/>
      <c r="B916" s="181"/>
      <c r="C916" s="181"/>
      <c r="D916" s="181"/>
      <c r="E916" s="181"/>
      <c r="F916" s="181"/>
      <c r="G916" s="181"/>
      <c r="H916" s="181"/>
      <c r="I916" s="181"/>
      <c r="J916" s="181"/>
      <c r="K916" s="181"/>
      <c r="L916" s="181"/>
      <c r="M916" s="181"/>
      <c r="N916" s="181"/>
      <c r="O916" s="181"/>
      <c r="P916" s="181"/>
      <c r="Q916" s="181"/>
      <c r="R916" s="181"/>
      <c r="S916" s="181"/>
      <c r="T916" s="181"/>
      <c r="U916" s="181"/>
      <c r="V916" s="181"/>
      <c r="W916" s="181"/>
      <c r="X916" s="181"/>
      <c r="Y916" s="181"/>
      <c r="Z916" s="181"/>
    </row>
    <row r="917" customFormat="false" ht="15.75" hidden="false" customHeight="false" outlineLevel="0" collapsed="false">
      <c r="A917" s="181"/>
      <c r="B917" s="181"/>
      <c r="C917" s="181"/>
      <c r="D917" s="181"/>
      <c r="E917" s="181"/>
      <c r="F917" s="181"/>
      <c r="G917" s="181"/>
      <c r="H917" s="181"/>
      <c r="I917" s="181"/>
      <c r="J917" s="181"/>
      <c r="K917" s="181"/>
      <c r="L917" s="181"/>
      <c r="M917" s="181"/>
      <c r="N917" s="181"/>
      <c r="O917" s="181"/>
      <c r="P917" s="181"/>
      <c r="Q917" s="181"/>
      <c r="R917" s="181"/>
      <c r="S917" s="181"/>
      <c r="T917" s="181"/>
      <c r="U917" s="181"/>
      <c r="V917" s="181"/>
      <c r="W917" s="181"/>
      <c r="X917" s="181"/>
      <c r="Y917" s="181"/>
      <c r="Z917" s="181"/>
    </row>
    <row r="918" customFormat="false" ht="15.75" hidden="false" customHeight="false" outlineLevel="0" collapsed="false">
      <c r="A918" s="181"/>
      <c r="B918" s="181"/>
      <c r="C918" s="181"/>
      <c r="D918" s="181"/>
      <c r="E918" s="181"/>
      <c r="F918" s="181"/>
      <c r="G918" s="181"/>
      <c r="H918" s="181"/>
      <c r="I918" s="181"/>
      <c r="J918" s="181"/>
      <c r="K918" s="181"/>
      <c r="L918" s="181"/>
      <c r="M918" s="181"/>
      <c r="N918" s="181"/>
      <c r="O918" s="181"/>
      <c r="P918" s="181"/>
      <c r="Q918" s="181"/>
      <c r="R918" s="181"/>
      <c r="S918" s="181"/>
      <c r="T918" s="181"/>
      <c r="U918" s="181"/>
      <c r="V918" s="181"/>
      <c r="W918" s="181"/>
      <c r="X918" s="181"/>
      <c r="Y918" s="181"/>
      <c r="Z918" s="181"/>
    </row>
    <row r="919" customFormat="false" ht="15.75" hidden="false" customHeight="false" outlineLevel="0" collapsed="false">
      <c r="A919" s="181"/>
      <c r="B919" s="181"/>
      <c r="C919" s="181"/>
      <c r="D919" s="181"/>
      <c r="E919" s="181"/>
      <c r="F919" s="181"/>
      <c r="G919" s="181"/>
      <c r="H919" s="181"/>
      <c r="I919" s="181"/>
      <c r="J919" s="181"/>
      <c r="K919" s="181"/>
      <c r="L919" s="181"/>
      <c r="M919" s="181"/>
      <c r="N919" s="181"/>
      <c r="O919" s="181"/>
      <c r="P919" s="181"/>
      <c r="Q919" s="181"/>
      <c r="R919" s="181"/>
      <c r="S919" s="181"/>
      <c r="T919" s="181"/>
      <c r="U919" s="181"/>
      <c r="V919" s="181"/>
      <c r="W919" s="181"/>
      <c r="X919" s="181"/>
      <c r="Y919" s="181"/>
      <c r="Z919" s="181"/>
    </row>
    <row r="920" customFormat="false" ht="15.75" hidden="false" customHeight="false" outlineLevel="0" collapsed="false">
      <c r="A920" s="181"/>
      <c r="B920" s="181"/>
      <c r="C920" s="181"/>
      <c r="D920" s="181"/>
      <c r="E920" s="181"/>
      <c r="F920" s="181"/>
      <c r="G920" s="181"/>
      <c r="H920" s="181"/>
      <c r="I920" s="181"/>
      <c r="J920" s="181"/>
      <c r="K920" s="181"/>
      <c r="L920" s="181"/>
      <c r="M920" s="181"/>
      <c r="N920" s="181"/>
      <c r="O920" s="181"/>
      <c r="P920" s="181"/>
      <c r="Q920" s="181"/>
      <c r="R920" s="181"/>
      <c r="S920" s="181"/>
      <c r="T920" s="181"/>
      <c r="U920" s="181"/>
      <c r="V920" s="181"/>
      <c r="W920" s="181"/>
      <c r="X920" s="181"/>
      <c r="Y920" s="181"/>
      <c r="Z920" s="181"/>
    </row>
    <row r="921" customFormat="false" ht="15.75" hidden="false" customHeight="false" outlineLevel="0" collapsed="false">
      <c r="A921" s="181"/>
      <c r="B921" s="181"/>
      <c r="C921" s="181"/>
      <c r="D921" s="181"/>
      <c r="E921" s="181"/>
      <c r="F921" s="181"/>
      <c r="G921" s="181"/>
      <c r="H921" s="181"/>
      <c r="I921" s="181"/>
      <c r="J921" s="181"/>
      <c r="K921" s="181"/>
      <c r="L921" s="181"/>
      <c r="M921" s="181"/>
      <c r="N921" s="181"/>
      <c r="O921" s="181"/>
      <c r="P921" s="181"/>
      <c r="Q921" s="181"/>
      <c r="R921" s="181"/>
      <c r="S921" s="181"/>
      <c r="T921" s="181"/>
      <c r="U921" s="181"/>
      <c r="V921" s="181"/>
      <c r="W921" s="181"/>
      <c r="X921" s="181"/>
      <c r="Y921" s="181"/>
      <c r="Z921" s="181"/>
    </row>
    <row r="922" customFormat="false" ht="15.75" hidden="false" customHeight="false" outlineLevel="0" collapsed="false">
      <c r="A922" s="181"/>
      <c r="B922" s="181"/>
      <c r="C922" s="181"/>
      <c r="D922" s="181"/>
      <c r="E922" s="181"/>
      <c r="F922" s="181"/>
      <c r="G922" s="181"/>
      <c r="H922" s="181"/>
      <c r="I922" s="181"/>
      <c r="J922" s="181"/>
      <c r="K922" s="181"/>
      <c r="L922" s="181"/>
      <c r="M922" s="181"/>
      <c r="N922" s="181"/>
      <c r="O922" s="181"/>
      <c r="P922" s="181"/>
      <c r="Q922" s="181"/>
      <c r="R922" s="181"/>
      <c r="S922" s="181"/>
      <c r="T922" s="181"/>
      <c r="U922" s="181"/>
      <c r="V922" s="181"/>
      <c r="W922" s="181"/>
      <c r="X922" s="181"/>
      <c r="Y922" s="181"/>
      <c r="Z922" s="181"/>
    </row>
    <row r="923" customFormat="false" ht="15.75" hidden="false" customHeight="false" outlineLevel="0" collapsed="false">
      <c r="A923" s="181"/>
      <c r="B923" s="181"/>
      <c r="C923" s="181"/>
      <c r="D923" s="181"/>
      <c r="E923" s="181"/>
      <c r="F923" s="181"/>
      <c r="G923" s="181"/>
      <c r="H923" s="181"/>
      <c r="I923" s="181"/>
      <c r="J923" s="181"/>
      <c r="K923" s="181"/>
      <c r="L923" s="181"/>
      <c r="M923" s="181"/>
      <c r="N923" s="181"/>
      <c r="O923" s="181"/>
      <c r="P923" s="181"/>
      <c r="Q923" s="181"/>
      <c r="R923" s="181"/>
      <c r="S923" s="181"/>
      <c r="T923" s="181"/>
      <c r="U923" s="181"/>
      <c r="V923" s="181"/>
      <c r="W923" s="181"/>
      <c r="X923" s="181"/>
      <c r="Y923" s="181"/>
      <c r="Z923" s="181"/>
    </row>
    <row r="924" customFormat="false" ht="15.75" hidden="false" customHeight="false" outlineLevel="0" collapsed="false">
      <c r="A924" s="181"/>
      <c r="B924" s="181"/>
      <c r="C924" s="181"/>
      <c r="D924" s="181"/>
      <c r="E924" s="181"/>
      <c r="F924" s="181"/>
      <c r="G924" s="181"/>
      <c r="H924" s="181"/>
      <c r="I924" s="181"/>
      <c r="J924" s="181"/>
      <c r="K924" s="181"/>
      <c r="L924" s="181"/>
      <c r="M924" s="181"/>
      <c r="N924" s="181"/>
      <c r="O924" s="181"/>
      <c r="P924" s="181"/>
      <c r="Q924" s="181"/>
      <c r="R924" s="181"/>
      <c r="S924" s="181"/>
      <c r="T924" s="181"/>
      <c r="U924" s="181"/>
      <c r="V924" s="181"/>
      <c r="W924" s="181"/>
      <c r="X924" s="181"/>
      <c r="Y924" s="181"/>
      <c r="Z924" s="181"/>
    </row>
    <row r="925" customFormat="false" ht="15.75" hidden="false" customHeight="false" outlineLevel="0" collapsed="false">
      <c r="A925" s="181"/>
      <c r="B925" s="181"/>
      <c r="C925" s="181"/>
      <c r="D925" s="181"/>
      <c r="E925" s="181"/>
      <c r="F925" s="181"/>
      <c r="G925" s="181"/>
      <c r="H925" s="181"/>
      <c r="I925" s="181"/>
      <c r="J925" s="181"/>
      <c r="K925" s="181"/>
      <c r="L925" s="181"/>
      <c r="M925" s="181"/>
      <c r="N925" s="181"/>
      <c r="O925" s="181"/>
      <c r="P925" s="181"/>
      <c r="Q925" s="181"/>
      <c r="R925" s="181"/>
      <c r="S925" s="181"/>
      <c r="T925" s="181"/>
      <c r="U925" s="181"/>
      <c r="V925" s="181"/>
      <c r="W925" s="181"/>
      <c r="X925" s="181"/>
      <c r="Y925" s="181"/>
      <c r="Z925" s="181"/>
    </row>
    <row r="926" customFormat="false" ht="15.75" hidden="false" customHeight="false" outlineLevel="0" collapsed="false">
      <c r="A926" s="181"/>
      <c r="B926" s="181"/>
      <c r="C926" s="181"/>
      <c r="D926" s="181"/>
      <c r="E926" s="181"/>
      <c r="F926" s="181"/>
      <c r="G926" s="181"/>
      <c r="H926" s="181"/>
      <c r="I926" s="181"/>
      <c r="J926" s="181"/>
      <c r="K926" s="181"/>
      <c r="L926" s="181"/>
      <c r="M926" s="181"/>
      <c r="N926" s="181"/>
      <c r="O926" s="181"/>
      <c r="P926" s="181"/>
      <c r="Q926" s="181"/>
      <c r="R926" s="181"/>
      <c r="S926" s="181"/>
      <c r="T926" s="181"/>
      <c r="U926" s="181"/>
      <c r="V926" s="181"/>
      <c r="W926" s="181"/>
      <c r="X926" s="181"/>
      <c r="Y926" s="181"/>
      <c r="Z926" s="181"/>
    </row>
    <row r="927" customFormat="false" ht="15.75" hidden="false" customHeight="false" outlineLevel="0" collapsed="false">
      <c r="A927" s="181"/>
      <c r="B927" s="181"/>
      <c r="C927" s="181"/>
      <c r="D927" s="181"/>
      <c r="E927" s="181"/>
      <c r="F927" s="181"/>
      <c r="G927" s="181"/>
      <c r="H927" s="181"/>
      <c r="I927" s="181"/>
      <c r="J927" s="181"/>
      <c r="K927" s="181"/>
      <c r="L927" s="181"/>
      <c r="M927" s="181"/>
      <c r="N927" s="181"/>
      <c r="O927" s="181"/>
      <c r="P927" s="181"/>
      <c r="Q927" s="181"/>
      <c r="R927" s="181"/>
      <c r="S927" s="181"/>
      <c r="T927" s="181"/>
      <c r="U927" s="181"/>
      <c r="V927" s="181"/>
      <c r="W927" s="181"/>
      <c r="X927" s="181"/>
      <c r="Y927" s="181"/>
      <c r="Z927" s="181"/>
    </row>
    <row r="928" customFormat="false" ht="15.75" hidden="false" customHeight="false" outlineLevel="0" collapsed="false">
      <c r="A928" s="181"/>
      <c r="B928" s="181"/>
      <c r="C928" s="181"/>
      <c r="D928" s="181"/>
      <c r="E928" s="181"/>
      <c r="F928" s="181"/>
      <c r="G928" s="181"/>
      <c r="H928" s="181"/>
      <c r="I928" s="181"/>
      <c r="J928" s="181"/>
      <c r="K928" s="181"/>
      <c r="L928" s="181"/>
      <c r="M928" s="181"/>
      <c r="N928" s="181"/>
      <c r="O928" s="181"/>
      <c r="P928" s="181"/>
      <c r="Q928" s="181"/>
      <c r="R928" s="181"/>
      <c r="S928" s="181"/>
      <c r="T928" s="181"/>
      <c r="U928" s="181"/>
      <c r="V928" s="181"/>
      <c r="W928" s="181"/>
      <c r="X928" s="181"/>
      <c r="Y928" s="181"/>
      <c r="Z928" s="181"/>
    </row>
    <row r="929" customFormat="false" ht="15.75" hidden="false" customHeight="false" outlineLevel="0" collapsed="false">
      <c r="A929" s="181"/>
      <c r="B929" s="181"/>
      <c r="C929" s="181"/>
      <c r="D929" s="181"/>
      <c r="E929" s="181"/>
      <c r="F929" s="181"/>
      <c r="G929" s="181"/>
      <c r="H929" s="181"/>
      <c r="I929" s="181"/>
      <c r="J929" s="181"/>
      <c r="K929" s="181"/>
      <c r="L929" s="181"/>
      <c r="M929" s="181"/>
      <c r="N929" s="181"/>
      <c r="O929" s="181"/>
      <c r="P929" s="181"/>
      <c r="Q929" s="181"/>
      <c r="R929" s="181"/>
      <c r="S929" s="181"/>
      <c r="T929" s="181"/>
      <c r="U929" s="181"/>
      <c r="V929" s="181"/>
      <c r="W929" s="181"/>
      <c r="X929" s="181"/>
      <c r="Y929" s="181"/>
      <c r="Z929" s="181"/>
    </row>
    <row r="930" customFormat="false" ht="15.75" hidden="false" customHeight="false" outlineLevel="0" collapsed="false">
      <c r="A930" s="181"/>
      <c r="B930" s="181"/>
      <c r="C930" s="181"/>
      <c r="D930" s="181"/>
      <c r="E930" s="181"/>
      <c r="F930" s="181"/>
      <c r="G930" s="181"/>
      <c r="H930" s="181"/>
      <c r="I930" s="181"/>
      <c r="J930" s="181"/>
      <c r="K930" s="181"/>
      <c r="L930" s="181"/>
      <c r="M930" s="181"/>
      <c r="N930" s="181"/>
      <c r="O930" s="181"/>
      <c r="P930" s="181"/>
      <c r="Q930" s="181"/>
      <c r="R930" s="181"/>
      <c r="S930" s="181"/>
      <c r="T930" s="181"/>
      <c r="U930" s="181"/>
      <c r="V930" s="181"/>
      <c r="W930" s="181"/>
      <c r="X930" s="181"/>
      <c r="Y930" s="181"/>
      <c r="Z930" s="181"/>
    </row>
    <row r="931" customFormat="false" ht="15.75" hidden="false" customHeight="false" outlineLevel="0" collapsed="false">
      <c r="A931" s="181"/>
      <c r="B931" s="181"/>
      <c r="C931" s="181"/>
      <c r="D931" s="181"/>
      <c r="E931" s="181"/>
      <c r="F931" s="181"/>
      <c r="G931" s="181"/>
      <c r="H931" s="181"/>
      <c r="I931" s="181"/>
      <c r="J931" s="181"/>
      <c r="K931" s="181"/>
      <c r="L931" s="181"/>
      <c r="M931" s="181"/>
      <c r="N931" s="181"/>
      <c r="O931" s="181"/>
      <c r="P931" s="181"/>
      <c r="Q931" s="181"/>
      <c r="R931" s="181"/>
      <c r="S931" s="181"/>
      <c r="T931" s="181"/>
      <c r="U931" s="181"/>
      <c r="V931" s="181"/>
      <c r="W931" s="181"/>
      <c r="X931" s="181"/>
      <c r="Y931" s="181"/>
      <c r="Z931" s="181"/>
    </row>
    <row r="932" customFormat="false" ht="15.75" hidden="false" customHeight="false" outlineLevel="0" collapsed="false">
      <c r="A932" s="181"/>
      <c r="B932" s="181"/>
      <c r="C932" s="181"/>
      <c r="D932" s="181"/>
      <c r="E932" s="181"/>
      <c r="F932" s="181"/>
      <c r="G932" s="181"/>
      <c r="H932" s="181"/>
      <c r="I932" s="181"/>
      <c r="J932" s="181"/>
      <c r="K932" s="181"/>
      <c r="L932" s="181"/>
      <c r="M932" s="181"/>
      <c r="N932" s="181"/>
      <c r="O932" s="181"/>
      <c r="P932" s="181"/>
      <c r="Q932" s="181"/>
      <c r="R932" s="181"/>
      <c r="S932" s="181"/>
      <c r="T932" s="181"/>
      <c r="U932" s="181"/>
      <c r="V932" s="181"/>
      <c r="W932" s="181"/>
      <c r="X932" s="181"/>
      <c r="Y932" s="181"/>
      <c r="Z932" s="181"/>
    </row>
    <row r="933" customFormat="false" ht="15.75" hidden="false" customHeight="false" outlineLevel="0" collapsed="false">
      <c r="A933" s="181"/>
      <c r="B933" s="181"/>
      <c r="C933" s="181"/>
      <c r="D933" s="181"/>
      <c r="E933" s="181"/>
      <c r="F933" s="181"/>
      <c r="G933" s="181"/>
      <c r="H933" s="181"/>
      <c r="I933" s="181"/>
      <c r="J933" s="181"/>
      <c r="K933" s="181"/>
      <c r="L933" s="181"/>
      <c r="M933" s="181"/>
      <c r="N933" s="181"/>
      <c r="O933" s="181"/>
      <c r="P933" s="181"/>
      <c r="Q933" s="181"/>
      <c r="R933" s="181"/>
      <c r="S933" s="181"/>
      <c r="T933" s="181"/>
      <c r="U933" s="181"/>
      <c r="V933" s="181"/>
      <c r="W933" s="181"/>
      <c r="X933" s="181"/>
      <c r="Y933" s="181"/>
      <c r="Z933" s="181"/>
    </row>
    <row r="934" customFormat="false" ht="15.75" hidden="false" customHeight="false" outlineLevel="0" collapsed="false">
      <c r="A934" s="181"/>
      <c r="B934" s="181"/>
      <c r="C934" s="181"/>
      <c r="D934" s="181"/>
      <c r="E934" s="181"/>
      <c r="F934" s="181"/>
      <c r="G934" s="181"/>
      <c r="H934" s="181"/>
      <c r="I934" s="181"/>
      <c r="J934" s="181"/>
      <c r="K934" s="181"/>
      <c r="L934" s="181"/>
      <c r="M934" s="181"/>
      <c r="N934" s="181"/>
      <c r="O934" s="181"/>
      <c r="P934" s="181"/>
      <c r="Q934" s="181"/>
      <c r="R934" s="181"/>
      <c r="S934" s="181"/>
      <c r="T934" s="181"/>
      <c r="U934" s="181"/>
      <c r="V934" s="181"/>
      <c r="W934" s="181"/>
      <c r="X934" s="181"/>
      <c r="Y934" s="181"/>
      <c r="Z934" s="181"/>
    </row>
    <row r="935" customFormat="false" ht="15.75" hidden="false" customHeight="false" outlineLevel="0" collapsed="false">
      <c r="A935" s="181"/>
      <c r="B935" s="181"/>
      <c r="C935" s="181"/>
      <c r="D935" s="181"/>
      <c r="E935" s="181"/>
      <c r="F935" s="181"/>
      <c r="G935" s="181"/>
      <c r="H935" s="181"/>
      <c r="I935" s="181"/>
      <c r="J935" s="181"/>
      <c r="K935" s="181"/>
      <c r="L935" s="181"/>
      <c r="M935" s="181"/>
      <c r="N935" s="181"/>
      <c r="O935" s="181"/>
      <c r="P935" s="181"/>
      <c r="Q935" s="181"/>
      <c r="R935" s="181"/>
      <c r="S935" s="181"/>
      <c r="T935" s="181"/>
      <c r="U935" s="181"/>
      <c r="V935" s="181"/>
      <c r="W935" s="181"/>
      <c r="X935" s="181"/>
      <c r="Y935" s="181"/>
      <c r="Z935" s="181"/>
    </row>
    <row r="936" customFormat="false" ht="15.75" hidden="false" customHeight="false" outlineLevel="0" collapsed="false">
      <c r="A936" s="181"/>
      <c r="B936" s="181"/>
      <c r="C936" s="181"/>
      <c r="D936" s="181"/>
      <c r="E936" s="181"/>
      <c r="F936" s="181"/>
      <c r="G936" s="181"/>
      <c r="H936" s="181"/>
      <c r="I936" s="181"/>
      <c r="J936" s="181"/>
      <c r="K936" s="181"/>
      <c r="L936" s="181"/>
      <c r="M936" s="181"/>
      <c r="N936" s="181"/>
      <c r="O936" s="181"/>
      <c r="P936" s="181"/>
      <c r="Q936" s="181"/>
      <c r="R936" s="181"/>
      <c r="S936" s="181"/>
      <c r="T936" s="181"/>
      <c r="U936" s="181"/>
      <c r="V936" s="181"/>
      <c r="W936" s="181"/>
      <c r="X936" s="181"/>
      <c r="Y936" s="181"/>
      <c r="Z936" s="181"/>
    </row>
    <row r="937" customFormat="false" ht="15.75" hidden="false" customHeight="false" outlineLevel="0" collapsed="false">
      <c r="A937" s="181"/>
      <c r="B937" s="181"/>
      <c r="C937" s="181"/>
      <c r="D937" s="181"/>
      <c r="E937" s="181"/>
      <c r="F937" s="181"/>
      <c r="G937" s="181"/>
      <c r="H937" s="181"/>
      <c r="I937" s="181"/>
      <c r="J937" s="181"/>
      <c r="K937" s="181"/>
      <c r="L937" s="181"/>
      <c r="M937" s="181"/>
      <c r="N937" s="181"/>
      <c r="O937" s="181"/>
      <c r="P937" s="181"/>
      <c r="Q937" s="181"/>
      <c r="R937" s="181"/>
      <c r="S937" s="181"/>
      <c r="T937" s="181"/>
      <c r="U937" s="181"/>
      <c r="V937" s="181"/>
      <c r="W937" s="181"/>
      <c r="X937" s="181"/>
      <c r="Y937" s="181"/>
      <c r="Z937" s="181"/>
    </row>
    <row r="938" customFormat="false" ht="15.75" hidden="false" customHeight="false" outlineLevel="0" collapsed="false">
      <c r="A938" s="181"/>
      <c r="B938" s="181"/>
      <c r="C938" s="181"/>
      <c r="D938" s="181"/>
      <c r="E938" s="181"/>
      <c r="F938" s="181"/>
      <c r="G938" s="181"/>
      <c r="H938" s="181"/>
      <c r="I938" s="181"/>
      <c r="J938" s="181"/>
      <c r="K938" s="181"/>
      <c r="L938" s="181"/>
      <c r="M938" s="181"/>
      <c r="N938" s="181"/>
      <c r="O938" s="181"/>
      <c r="P938" s="181"/>
      <c r="Q938" s="181"/>
      <c r="R938" s="181"/>
      <c r="S938" s="181"/>
      <c r="T938" s="181"/>
      <c r="U938" s="181"/>
      <c r="V938" s="181"/>
      <c r="W938" s="181"/>
      <c r="X938" s="181"/>
      <c r="Y938" s="181"/>
      <c r="Z938" s="181"/>
    </row>
    <row r="939" customFormat="false" ht="15.75" hidden="false" customHeight="false" outlineLevel="0" collapsed="false">
      <c r="A939" s="181"/>
      <c r="B939" s="181"/>
      <c r="C939" s="181"/>
      <c r="D939" s="181"/>
      <c r="E939" s="181"/>
      <c r="F939" s="181"/>
      <c r="G939" s="181"/>
      <c r="H939" s="181"/>
      <c r="I939" s="181"/>
      <c r="J939" s="181"/>
      <c r="K939" s="181"/>
      <c r="L939" s="181"/>
      <c r="M939" s="181"/>
      <c r="N939" s="181"/>
      <c r="O939" s="181"/>
      <c r="P939" s="181"/>
      <c r="Q939" s="181"/>
      <c r="R939" s="181"/>
      <c r="S939" s="181"/>
      <c r="T939" s="181"/>
      <c r="U939" s="181"/>
      <c r="V939" s="181"/>
      <c r="W939" s="181"/>
      <c r="X939" s="181"/>
      <c r="Y939" s="181"/>
      <c r="Z939" s="181"/>
    </row>
    <row r="940" customFormat="false" ht="15.75" hidden="false" customHeight="false" outlineLevel="0" collapsed="false">
      <c r="A940" s="181"/>
      <c r="B940" s="181"/>
      <c r="C940" s="181"/>
      <c r="D940" s="181"/>
      <c r="E940" s="181"/>
      <c r="F940" s="181"/>
      <c r="G940" s="181"/>
      <c r="H940" s="181"/>
      <c r="I940" s="181"/>
      <c r="J940" s="181"/>
      <c r="K940" s="181"/>
      <c r="L940" s="181"/>
      <c r="M940" s="181"/>
      <c r="N940" s="181"/>
      <c r="O940" s="181"/>
      <c r="P940" s="181"/>
      <c r="Q940" s="181"/>
      <c r="R940" s="181"/>
      <c r="S940" s="181"/>
      <c r="T940" s="181"/>
      <c r="U940" s="181"/>
      <c r="V940" s="181"/>
      <c r="W940" s="181"/>
      <c r="X940" s="181"/>
      <c r="Y940" s="181"/>
      <c r="Z940" s="181"/>
    </row>
    <row r="941" customFormat="false" ht="15.75" hidden="false" customHeight="false" outlineLevel="0" collapsed="false">
      <c r="A941" s="181"/>
      <c r="B941" s="181"/>
      <c r="C941" s="181"/>
      <c r="D941" s="181"/>
      <c r="E941" s="181"/>
      <c r="F941" s="181"/>
      <c r="G941" s="181"/>
      <c r="H941" s="181"/>
      <c r="I941" s="181"/>
      <c r="J941" s="181"/>
      <c r="K941" s="181"/>
      <c r="L941" s="181"/>
      <c r="M941" s="181"/>
      <c r="N941" s="181"/>
      <c r="O941" s="181"/>
      <c r="P941" s="181"/>
      <c r="Q941" s="181"/>
      <c r="R941" s="181"/>
      <c r="S941" s="181"/>
      <c r="T941" s="181"/>
      <c r="U941" s="181"/>
      <c r="V941" s="181"/>
      <c r="W941" s="181"/>
      <c r="X941" s="181"/>
      <c r="Y941" s="181"/>
      <c r="Z941" s="181"/>
    </row>
    <row r="942" customFormat="false" ht="15.75" hidden="false" customHeight="false" outlineLevel="0" collapsed="false">
      <c r="A942" s="181"/>
      <c r="B942" s="181"/>
      <c r="C942" s="181"/>
      <c r="D942" s="181"/>
      <c r="E942" s="181"/>
      <c r="F942" s="181"/>
      <c r="G942" s="181"/>
      <c r="H942" s="181"/>
      <c r="I942" s="181"/>
      <c r="J942" s="181"/>
      <c r="K942" s="181"/>
      <c r="L942" s="181"/>
      <c r="M942" s="181"/>
      <c r="N942" s="181"/>
      <c r="O942" s="181"/>
      <c r="P942" s="181"/>
      <c r="Q942" s="181"/>
      <c r="R942" s="181"/>
      <c r="S942" s="181"/>
      <c r="T942" s="181"/>
      <c r="U942" s="181"/>
      <c r="V942" s="181"/>
      <c r="W942" s="181"/>
      <c r="X942" s="181"/>
      <c r="Y942" s="181"/>
      <c r="Z942" s="181"/>
    </row>
    <row r="943" customFormat="false" ht="15.75" hidden="false" customHeight="false" outlineLevel="0" collapsed="false">
      <c r="A943" s="181"/>
      <c r="B943" s="181"/>
      <c r="C943" s="181"/>
      <c r="D943" s="181"/>
      <c r="E943" s="181"/>
      <c r="F943" s="181"/>
      <c r="G943" s="181"/>
      <c r="H943" s="181"/>
      <c r="I943" s="181"/>
      <c r="J943" s="181"/>
      <c r="K943" s="181"/>
      <c r="L943" s="181"/>
      <c r="M943" s="181"/>
      <c r="N943" s="181"/>
      <c r="O943" s="181"/>
      <c r="P943" s="181"/>
      <c r="Q943" s="181"/>
      <c r="R943" s="181"/>
      <c r="S943" s="181"/>
      <c r="T943" s="181"/>
      <c r="U943" s="181"/>
      <c r="V943" s="181"/>
      <c r="W943" s="181"/>
      <c r="X943" s="181"/>
      <c r="Y943" s="181"/>
      <c r="Z943" s="181"/>
    </row>
    <row r="944" customFormat="false" ht="15.75" hidden="false" customHeight="false" outlineLevel="0" collapsed="false">
      <c r="A944" s="181"/>
      <c r="B944" s="181"/>
      <c r="C944" s="181"/>
      <c r="D944" s="181"/>
      <c r="E944" s="181"/>
      <c r="F944" s="181"/>
      <c r="G944" s="181"/>
      <c r="H944" s="181"/>
      <c r="I944" s="181"/>
      <c r="J944" s="181"/>
      <c r="K944" s="181"/>
      <c r="L944" s="181"/>
      <c r="M944" s="181"/>
      <c r="N944" s="181"/>
      <c r="O944" s="181"/>
      <c r="P944" s="181"/>
      <c r="Q944" s="181"/>
      <c r="R944" s="181"/>
      <c r="S944" s="181"/>
      <c r="T944" s="181"/>
      <c r="U944" s="181"/>
      <c r="V944" s="181"/>
      <c r="W944" s="181"/>
      <c r="X944" s="181"/>
      <c r="Y944" s="181"/>
      <c r="Z944" s="181"/>
    </row>
    <row r="945" customFormat="false" ht="15.75" hidden="false" customHeight="false" outlineLevel="0" collapsed="false">
      <c r="A945" s="181"/>
      <c r="B945" s="181"/>
      <c r="C945" s="181"/>
      <c r="D945" s="181"/>
      <c r="E945" s="181"/>
      <c r="F945" s="181"/>
      <c r="G945" s="181"/>
      <c r="H945" s="181"/>
      <c r="I945" s="181"/>
      <c r="J945" s="181"/>
      <c r="K945" s="181"/>
      <c r="L945" s="181"/>
      <c r="M945" s="181"/>
      <c r="N945" s="181"/>
      <c r="O945" s="181"/>
      <c r="P945" s="181"/>
      <c r="Q945" s="181"/>
      <c r="R945" s="181"/>
      <c r="S945" s="181"/>
      <c r="T945" s="181"/>
      <c r="U945" s="181"/>
      <c r="V945" s="181"/>
      <c r="W945" s="181"/>
      <c r="X945" s="181"/>
      <c r="Y945" s="181"/>
      <c r="Z945" s="181"/>
    </row>
    <row r="946" customFormat="false" ht="15.75" hidden="false" customHeight="false" outlineLevel="0" collapsed="false">
      <c r="A946" s="181"/>
      <c r="B946" s="181"/>
      <c r="C946" s="181"/>
      <c r="D946" s="181"/>
      <c r="E946" s="181"/>
      <c r="F946" s="181"/>
      <c r="G946" s="181"/>
      <c r="H946" s="181"/>
      <c r="I946" s="181"/>
      <c r="J946" s="181"/>
      <c r="K946" s="181"/>
      <c r="L946" s="181"/>
      <c r="M946" s="181"/>
      <c r="N946" s="181"/>
      <c r="O946" s="181"/>
      <c r="P946" s="181"/>
      <c r="Q946" s="181"/>
      <c r="R946" s="181"/>
      <c r="S946" s="181"/>
      <c r="T946" s="181"/>
      <c r="U946" s="181"/>
      <c r="V946" s="181"/>
      <c r="W946" s="181"/>
      <c r="X946" s="181"/>
      <c r="Y946" s="181"/>
      <c r="Z946" s="181"/>
    </row>
    <row r="947" customFormat="false" ht="15.75" hidden="false" customHeight="false" outlineLevel="0" collapsed="false">
      <c r="A947" s="181"/>
      <c r="B947" s="181"/>
      <c r="C947" s="181"/>
      <c r="D947" s="181"/>
      <c r="E947" s="181"/>
      <c r="F947" s="181"/>
      <c r="G947" s="181"/>
      <c r="H947" s="181"/>
      <c r="I947" s="181"/>
      <c r="J947" s="181"/>
      <c r="K947" s="181"/>
      <c r="L947" s="181"/>
      <c r="M947" s="181"/>
      <c r="N947" s="181"/>
      <c r="O947" s="181"/>
      <c r="P947" s="181"/>
      <c r="Q947" s="181"/>
      <c r="R947" s="181"/>
      <c r="S947" s="181"/>
      <c r="T947" s="181"/>
      <c r="U947" s="181"/>
      <c r="V947" s="181"/>
      <c r="W947" s="181"/>
      <c r="X947" s="181"/>
      <c r="Y947" s="181"/>
      <c r="Z947" s="181"/>
    </row>
    <row r="948" customFormat="false" ht="15.75" hidden="false" customHeight="false" outlineLevel="0" collapsed="false">
      <c r="A948" s="181"/>
      <c r="B948" s="181"/>
      <c r="C948" s="181"/>
      <c r="D948" s="181"/>
      <c r="E948" s="181"/>
      <c r="F948" s="181"/>
      <c r="G948" s="181"/>
      <c r="H948" s="181"/>
      <c r="I948" s="181"/>
      <c r="J948" s="181"/>
      <c r="K948" s="181"/>
      <c r="L948" s="181"/>
      <c r="M948" s="181"/>
      <c r="N948" s="181"/>
      <c r="O948" s="181"/>
      <c r="P948" s="181"/>
      <c r="Q948" s="181"/>
      <c r="R948" s="181"/>
      <c r="S948" s="181"/>
      <c r="T948" s="181"/>
      <c r="U948" s="181"/>
      <c r="V948" s="181"/>
      <c r="W948" s="181"/>
      <c r="X948" s="181"/>
      <c r="Y948" s="181"/>
      <c r="Z948" s="181"/>
    </row>
    <row r="949" customFormat="false" ht="15.75" hidden="false" customHeight="false" outlineLevel="0" collapsed="false">
      <c r="A949" s="181"/>
      <c r="B949" s="181"/>
      <c r="C949" s="181"/>
      <c r="D949" s="181"/>
      <c r="E949" s="181"/>
      <c r="F949" s="181"/>
      <c r="G949" s="181"/>
      <c r="H949" s="181"/>
      <c r="I949" s="181"/>
      <c r="J949" s="181"/>
      <c r="K949" s="181"/>
      <c r="L949" s="181"/>
      <c r="M949" s="181"/>
      <c r="N949" s="181"/>
      <c r="O949" s="181"/>
      <c r="P949" s="181"/>
      <c r="Q949" s="181"/>
      <c r="R949" s="181"/>
      <c r="S949" s="181"/>
      <c r="T949" s="181"/>
      <c r="U949" s="181"/>
      <c r="V949" s="181"/>
      <c r="W949" s="181"/>
      <c r="X949" s="181"/>
      <c r="Y949" s="181"/>
      <c r="Z949" s="181"/>
    </row>
    <row r="950" customFormat="false" ht="15.75" hidden="false" customHeight="false" outlineLevel="0" collapsed="false">
      <c r="A950" s="181"/>
      <c r="B950" s="181"/>
      <c r="C950" s="181"/>
      <c r="D950" s="181"/>
      <c r="E950" s="181"/>
      <c r="F950" s="181"/>
      <c r="G950" s="181"/>
      <c r="H950" s="181"/>
      <c r="I950" s="181"/>
      <c r="J950" s="181"/>
      <c r="K950" s="181"/>
      <c r="L950" s="181"/>
      <c r="M950" s="181"/>
      <c r="N950" s="181"/>
      <c r="O950" s="181"/>
      <c r="P950" s="181"/>
      <c r="Q950" s="181"/>
      <c r="R950" s="181"/>
      <c r="S950" s="181"/>
      <c r="T950" s="181"/>
      <c r="U950" s="181"/>
      <c r="V950" s="181"/>
      <c r="W950" s="181"/>
      <c r="X950" s="181"/>
      <c r="Y950" s="181"/>
      <c r="Z950" s="181"/>
    </row>
    <row r="951" customFormat="false" ht="15.75" hidden="false" customHeight="false" outlineLevel="0" collapsed="false">
      <c r="A951" s="181"/>
      <c r="B951" s="181"/>
      <c r="C951" s="181"/>
      <c r="D951" s="181"/>
      <c r="E951" s="181"/>
      <c r="F951" s="181"/>
      <c r="G951" s="181"/>
      <c r="H951" s="181"/>
      <c r="I951" s="181"/>
      <c r="J951" s="181"/>
      <c r="K951" s="181"/>
      <c r="L951" s="181"/>
      <c r="M951" s="181"/>
      <c r="N951" s="181"/>
      <c r="O951" s="181"/>
      <c r="P951" s="181"/>
      <c r="Q951" s="181"/>
      <c r="R951" s="181"/>
      <c r="S951" s="181"/>
      <c r="T951" s="181"/>
      <c r="U951" s="181"/>
      <c r="V951" s="181"/>
      <c r="W951" s="181"/>
      <c r="X951" s="181"/>
      <c r="Y951" s="181"/>
      <c r="Z951" s="181"/>
    </row>
    <row r="952" customFormat="false" ht="15.75" hidden="false" customHeight="false" outlineLevel="0" collapsed="false">
      <c r="A952" s="181"/>
      <c r="B952" s="181"/>
      <c r="C952" s="181"/>
      <c r="D952" s="181"/>
      <c r="E952" s="181"/>
      <c r="F952" s="181"/>
      <c r="G952" s="181"/>
      <c r="H952" s="181"/>
      <c r="I952" s="181"/>
      <c r="J952" s="181"/>
      <c r="K952" s="181"/>
      <c r="L952" s="181"/>
      <c r="M952" s="181"/>
      <c r="N952" s="181"/>
      <c r="O952" s="181"/>
      <c r="P952" s="181"/>
      <c r="Q952" s="181"/>
      <c r="R952" s="181"/>
      <c r="S952" s="181"/>
      <c r="T952" s="181"/>
      <c r="U952" s="181"/>
      <c r="V952" s="181"/>
      <c r="W952" s="181"/>
      <c r="X952" s="181"/>
      <c r="Y952" s="181"/>
      <c r="Z952" s="181"/>
    </row>
    <row r="953" customFormat="false" ht="15.75" hidden="false" customHeight="false" outlineLevel="0" collapsed="false">
      <c r="A953" s="181"/>
      <c r="B953" s="181"/>
      <c r="C953" s="181"/>
      <c r="D953" s="181"/>
      <c r="E953" s="181"/>
      <c r="F953" s="181"/>
      <c r="G953" s="181"/>
      <c r="H953" s="181"/>
      <c r="I953" s="181"/>
      <c r="J953" s="181"/>
      <c r="K953" s="181"/>
      <c r="L953" s="181"/>
      <c r="M953" s="181"/>
      <c r="N953" s="181"/>
      <c r="O953" s="181"/>
      <c r="P953" s="181"/>
      <c r="Q953" s="181"/>
      <c r="R953" s="181"/>
      <c r="S953" s="181"/>
      <c r="T953" s="181"/>
      <c r="U953" s="181"/>
      <c r="V953" s="181"/>
      <c r="W953" s="181"/>
      <c r="X953" s="181"/>
      <c r="Y953" s="181"/>
      <c r="Z953" s="181"/>
    </row>
    <row r="954" customFormat="false" ht="15.75" hidden="false" customHeight="false" outlineLevel="0" collapsed="false">
      <c r="A954" s="181"/>
      <c r="B954" s="181"/>
      <c r="C954" s="181"/>
      <c r="D954" s="181"/>
      <c r="E954" s="181"/>
      <c r="F954" s="181"/>
      <c r="G954" s="181"/>
      <c r="H954" s="181"/>
      <c r="I954" s="181"/>
      <c r="J954" s="181"/>
      <c r="K954" s="181"/>
      <c r="L954" s="181"/>
      <c r="M954" s="181"/>
      <c r="N954" s="181"/>
      <c r="O954" s="181"/>
      <c r="P954" s="181"/>
      <c r="Q954" s="181"/>
      <c r="R954" s="181"/>
      <c r="S954" s="181"/>
      <c r="T954" s="181"/>
      <c r="U954" s="181"/>
      <c r="V954" s="181"/>
      <c r="W954" s="181"/>
      <c r="X954" s="181"/>
      <c r="Y954" s="181"/>
      <c r="Z954" s="181"/>
    </row>
    <row r="955" customFormat="false" ht="15.75" hidden="false" customHeight="false" outlineLevel="0" collapsed="false">
      <c r="A955" s="181"/>
      <c r="B955" s="181"/>
      <c r="C955" s="181"/>
      <c r="D955" s="181"/>
      <c r="E955" s="181"/>
      <c r="F955" s="181"/>
      <c r="G955" s="181"/>
      <c r="H955" s="181"/>
      <c r="I955" s="181"/>
      <c r="J955" s="181"/>
      <c r="K955" s="181"/>
      <c r="L955" s="181"/>
      <c r="M955" s="181"/>
      <c r="N955" s="181"/>
      <c r="O955" s="181"/>
      <c r="P955" s="181"/>
      <c r="Q955" s="181"/>
      <c r="R955" s="181"/>
      <c r="S955" s="181"/>
      <c r="T955" s="181"/>
      <c r="U955" s="181"/>
      <c r="V955" s="181"/>
      <c r="W955" s="181"/>
      <c r="X955" s="181"/>
      <c r="Y955" s="181"/>
      <c r="Z955" s="181"/>
    </row>
    <row r="956" customFormat="false" ht="15.75" hidden="false" customHeight="false" outlineLevel="0" collapsed="false">
      <c r="A956" s="181"/>
      <c r="B956" s="181"/>
      <c r="C956" s="181"/>
      <c r="D956" s="181"/>
      <c r="E956" s="181"/>
      <c r="F956" s="181"/>
      <c r="G956" s="181"/>
      <c r="H956" s="181"/>
      <c r="I956" s="181"/>
      <c r="J956" s="181"/>
      <c r="K956" s="181"/>
      <c r="L956" s="181"/>
      <c r="M956" s="181"/>
      <c r="N956" s="181"/>
      <c r="O956" s="181"/>
      <c r="P956" s="181"/>
      <c r="Q956" s="181"/>
      <c r="R956" s="181"/>
      <c r="S956" s="181"/>
      <c r="T956" s="181"/>
      <c r="U956" s="181"/>
      <c r="V956" s="181"/>
      <c r="W956" s="181"/>
      <c r="X956" s="181"/>
      <c r="Y956" s="181"/>
      <c r="Z956" s="181"/>
    </row>
    <row r="957" customFormat="false" ht="15.75" hidden="false" customHeight="false" outlineLevel="0" collapsed="false">
      <c r="A957" s="181"/>
      <c r="B957" s="181"/>
      <c r="C957" s="181"/>
      <c r="D957" s="181"/>
      <c r="E957" s="181"/>
      <c r="F957" s="181"/>
      <c r="G957" s="181"/>
      <c r="H957" s="181"/>
      <c r="I957" s="181"/>
      <c r="J957" s="181"/>
      <c r="K957" s="181"/>
      <c r="L957" s="181"/>
      <c r="M957" s="181"/>
      <c r="N957" s="181"/>
      <c r="O957" s="181"/>
      <c r="P957" s="181"/>
      <c r="Q957" s="181"/>
      <c r="R957" s="181"/>
      <c r="S957" s="181"/>
      <c r="T957" s="181"/>
      <c r="U957" s="181"/>
      <c r="V957" s="181"/>
      <c r="W957" s="181"/>
      <c r="X957" s="181"/>
      <c r="Y957" s="181"/>
      <c r="Z957" s="181"/>
    </row>
    <row r="958" customFormat="false" ht="15.75" hidden="false" customHeight="false" outlineLevel="0" collapsed="false">
      <c r="A958" s="181"/>
      <c r="B958" s="181"/>
      <c r="C958" s="181"/>
      <c r="D958" s="181"/>
      <c r="E958" s="181"/>
      <c r="F958" s="181"/>
      <c r="G958" s="181"/>
      <c r="H958" s="181"/>
      <c r="I958" s="181"/>
      <c r="J958" s="181"/>
      <c r="K958" s="181"/>
      <c r="L958" s="181"/>
      <c r="M958" s="181"/>
      <c r="N958" s="181"/>
      <c r="O958" s="181"/>
      <c r="P958" s="181"/>
      <c r="Q958" s="181"/>
      <c r="R958" s="181"/>
      <c r="S958" s="181"/>
      <c r="T958" s="181"/>
      <c r="U958" s="181"/>
      <c r="V958" s="181"/>
      <c r="W958" s="181"/>
      <c r="X958" s="181"/>
      <c r="Y958" s="181"/>
      <c r="Z958" s="181"/>
    </row>
    <row r="959" customFormat="false" ht="15.75" hidden="false" customHeight="false" outlineLevel="0" collapsed="false">
      <c r="A959" s="181"/>
      <c r="B959" s="181"/>
      <c r="C959" s="181"/>
      <c r="D959" s="181"/>
      <c r="E959" s="181"/>
      <c r="F959" s="181"/>
      <c r="G959" s="181"/>
      <c r="H959" s="181"/>
      <c r="I959" s="181"/>
      <c r="J959" s="181"/>
      <c r="K959" s="181"/>
      <c r="L959" s="181"/>
      <c r="M959" s="181"/>
      <c r="N959" s="181"/>
      <c r="O959" s="181"/>
      <c r="P959" s="181"/>
      <c r="Q959" s="181"/>
      <c r="R959" s="181"/>
      <c r="S959" s="181"/>
      <c r="T959" s="181"/>
      <c r="U959" s="181"/>
      <c r="V959" s="181"/>
      <c r="W959" s="181"/>
      <c r="X959" s="181"/>
      <c r="Y959" s="181"/>
      <c r="Z959" s="181"/>
    </row>
    <row r="960" customFormat="false" ht="15.75" hidden="false" customHeight="false" outlineLevel="0" collapsed="false">
      <c r="A960" s="181"/>
      <c r="B960" s="181"/>
      <c r="C960" s="181"/>
      <c r="D960" s="181"/>
      <c r="E960" s="181"/>
      <c r="F960" s="181"/>
      <c r="G960" s="181"/>
      <c r="H960" s="181"/>
      <c r="I960" s="181"/>
      <c r="J960" s="181"/>
      <c r="K960" s="181"/>
      <c r="L960" s="181"/>
      <c r="M960" s="181"/>
      <c r="N960" s="181"/>
      <c r="O960" s="181"/>
      <c r="P960" s="181"/>
      <c r="Q960" s="181"/>
      <c r="R960" s="181"/>
      <c r="S960" s="181"/>
      <c r="T960" s="181"/>
      <c r="U960" s="181"/>
      <c r="V960" s="181"/>
      <c r="W960" s="181"/>
      <c r="X960" s="181"/>
      <c r="Y960" s="181"/>
      <c r="Z960" s="181"/>
    </row>
    <row r="961" customFormat="false" ht="15.75" hidden="false" customHeight="false" outlineLevel="0" collapsed="false">
      <c r="A961" s="181"/>
      <c r="B961" s="181"/>
      <c r="C961" s="181"/>
      <c r="D961" s="181"/>
      <c r="E961" s="181"/>
      <c r="F961" s="181"/>
      <c r="G961" s="181"/>
      <c r="H961" s="181"/>
      <c r="I961" s="181"/>
      <c r="J961" s="181"/>
      <c r="K961" s="181"/>
      <c r="L961" s="181"/>
      <c r="M961" s="181"/>
      <c r="N961" s="181"/>
      <c r="O961" s="181"/>
      <c r="P961" s="181"/>
      <c r="Q961" s="181"/>
      <c r="R961" s="181"/>
      <c r="S961" s="181"/>
      <c r="T961" s="181"/>
      <c r="U961" s="181"/>
      <c r="V961" s="181"/>
      <c r="W961" s="181"/>
      <c r="X961" s="181"/>
      <c r="Y961" s="181"/>
      <c r="Z961" s="181"/>
    </row>
    <row r="962" customFormat="false" ht="15.75" hidden="false" customHeight="false" outlineLevel="0" collapsed="false">
      <c r="A962" s="181"/>
      <c r="B962" s="181"/>
      <c r="C962" s="181"/>
      <c r="D962" s="181"/>
      <c r="E962" s="181"/>
      <c r="F962" s="181"/>
      <c r="G962" s="181"/>
      <c r="H962" s="181"/>
      <c r="I962" s="181"/>
      <c r="J962" s="181"/>
      <c r="K962" s="181"/>
      <c r="L962" s="181"/>
      <c r="M962" s="181"/>
      <c r="N962" s="181"/>
      <c r="O962" s="181"/>
      <c r="P962" s="181"/>
      <c r="Q962" s="181"/>
      <c r="R962" s="181"/>
      <c r="S962" s="181"/>
      <c r="T962" s="181"/>
      <c r="U962" s="181"/>
      <c r="V962" s="181"/>
      <c r="W962" s="181"/>
      <c r="X962" s="181"/>
      <c r="Y962" s="181"/>
      <c r="Z962" s="181"/>
    </row>
    <row r="963" customFormat="false" ht="15.75" hidden="false" customHeight="false" outlineLevel="0" collapsed="false">
      <c r="A963" s="181"/>
      <c r="B963" s="181"/>
      <c r="C963" s="181"/>
      <c r="D963" s="181"/>
      <c r="E963" s="181"/>
      <c r="F963" s="181"/>
      <c r="G963" s="181"/>
      <c r="H963" s="181"/>
      <c r="I963" s="181"/>
      <c r="J963" s="181"/>
      <c r="K963" s="181"/>
      <c r="L963" s="181"/>
      <c r="M963" s="181"/>
      <c r="N963" s="181"/>
      <c r="O963" s="181"/>
      <c r="P963" s="181"/>
      <c r="Q963" s="181"/>
      <c r="R963" s="181"/>
      <c r="S963" s="181"/>
      <c r="T963" s="181"/>
      <c r="U963" s="181"/>
      <c r="V963" s="181"/>
      <c r="W963" s="181"/>
      <c r="X963" s="181"/>
      <c r="Y963" s="181"/>
      <c r="Z963" s="181"/>
    </row>
    <row r="964" customFormat="false" ht="15.75" hidden="false" customHeight="false" outlineLevel="0" collapsed="false">
      <c r="A964" s="181"/>
      <c r="B964" s="181"/>
      <c r="C964" s="181"/>
      <c r="D964" s="181"/>
      <c r="E964" s="181"/>
      <c r="F964" s="181"/>
      <c r="G964" s="181"/>
      <c r="H964" s="181"/>
      <c r="I964" s="181"/>
      <c r="J964" s="181"/>
      <c r="K964" s="181"/>
      <c r="L964" s="181"/>
      <c r="M964" s="181"/>
      <c r="N964" s="181"/>
      <c r="O964" s="181"/>
      <c r="P964" s="181"/>
      <c r="Q964" s="181"/>
      <c r="R964" s="181"/>
      <c r="S964" s="181"/>
      <c r="T964" s="181"/>
      <c r="U964" s="181"/>
      <c r="V964" s="181"/>
      <c r="W964" s="181"/>
      <c r="X964" s="181"/>
      <c r="Y964" s="181"/>
      <c r="Z964" s="181"/>
    </row>
    <row r="965" customFormat="false" ht="15.75" hidden="false" customHeight="false" outlineLevel="0" collapsed="false">
      <c r="A965" s="181"/>
      <c r="B965" s="181"/>
      <c r="C965" s="181"/>
      <c r="D965" s="181"/>
      <c r="E965" s="181"/>
      <c r="F965" s="181"/>
      <c r="G965" s="181"/>
      <c r="H965" s="181"/>
      <c r="I965" s="181"/>
      <c r="J965" s="181"/>
      <c r="K965" s="181"/>
      <c r="L965" s="181"/>
      <c r="M965" s="181"/>
      <c r="N965" s="181"/>
      <c r="O965" s="181"/>
      <c r="P965" s="181"/>
      <c r="Q965" s="181"/>
      <c r="R965" s="181"/>
      <c r="S965" s="181"/>
      <c r="T965" s="181"/>
      <c r="U965" s="181"/>
      <c r="V965" s="181"/>
      <c r="W965" s="181"/>
      <c r="X965" s="181"/>
      <c r="Y965" s="181"/>
      <c r="Z965" s="181"/>
    </row>
    <row r="966" customFormat="false" ht="15.75" hidden="false" customHeight="false" outlineLevel="0" collapsed="false">
      <c r="A966" s="181"/>
      <c r="B966" s="181"/>
      <c r="C966" s="181"/>
      <c r="D966" s="181"/>
      <c r="E966" s="181"/>
      <c r="F966" s="181"/>
      <c r="G966" s="181"/>
      <c r="H966" s="181"/>
      <c r="I966" s="181"/>
      <c r="J966" s="181"/>
      <c r="K966" s="181"/>
      <c r="L966" s="181"/>
      <c r="M966" s="181"/>
      <c r="N966" s="181"/>
      <c r="O966" s="181"/>
      <c r="P966" s="181"/>
      <c r="Q966" s="181"/>
      <c r="R966" s="181"/>
      <c r="S966" s="181"/>
      <c r="T966" s="181"/>
      <c r="U966" s="181"/>
      <c r="V966" s="181"/>
      <c r="W966" s="181"/>
      <c r="X966" s="181"/>
      <c r="Y966" s="181"/>
      <c r="Z966" s="181"/>
    </row>
    <row r="967" customFormat="false" ht="15.75" hidden="false" customHeight="false" outlineLevel="0" collapsed="false">
      <c r="A967" s="181"/>
      <c r="B967" s="181"/>
      <c r="C967" s="181"/>
      <c r="D967" s="181"/>
      <c r="E967" s="181"/>
      <c r="F967" s="181"/>
      <c r="G967" s="181"/>
      <c r="H967" s="181"/>
      <c r="I967" s="181"/>
      <c r="J967" s="181"/>
      <c r="K967" s="181"/>
      <c r="L967" s="181"/>
      <c r="M967" s="181"/>
      <c r="N967" s="181"/>
      <c r="O967" s="181"/>
      <c r="P967" s="181"/>
      <c r="Q967" s="181"/>
      <c r="R967" s="181"/>
      <c r="S967" s="181"/>
      <c r="T967" s="181"/>
      <c r="U967" s="181"/>
      <c r="V967" s="181"/>
      <c r="W967" s="181"/>
      <c r="X967" s="181"/>
      <c r="Y967" s="181"/>
      <c r="Z967" s="181"/>
    </row>
    <row r="968" customFormat="false" ht="15.75" hidden="false" customHeight="false" outlineLevel="0" collapsed="false">
      <c r="A968" s="181"/>
      <c r="B968" s="181"/>
      <c r="C968" s="181"/>
      <c r="D968" s="181"/>
      <c r="E968" s="181"/>
      <c r="F968" s="181"/>
      <c r="G968" s="181"/>
      <c r="H968" s="181"/>
      <c r="I968" s="181"/>
      <c r="J968" s="181"/>
      <c r="K968" s="181"/>
      <c r="L968" s="181"/>
      <c r="M968" s="181"/>
      <c r="N968" s="181"/>
      <c r="O968" s="181"/>
      <c r="P968" s="181"/>
      <c r="Q968" s="181"/>
      <c r="R968" s="181"/>
      <c r="S968" s="181"/>
      <c r="T968" s="181"/>
      <c r="U968" s="181"/>
      <c r="V968" s="181"/>
      <c r="W968" s="181"/>
      <c r="X968" s="181"/>
      <c r="Y968" s="181"/>
      <c r="Z968" s="181"/>
    </row>
    <row r="969" customFormat="false" ht="15.75" hidden="false" customHeight="false" outlineLevel="0" collapsed="false">
      <c r="A969" s="181"/>
      <c r="B969" s="181"/>
      <c r="C969" s="181"/>
      <c r="D969" s="181"/>
      <c r="E969" s="181"/>
      <c r="F969" s="181"/>
      <c r="G969" s="181"/>
      <c r="H969" s="181"/>
      <c r="I969" s="181"/>
      <c r="J969" s="181"/>
      <c r="K969" s="181"/>
      <c r="L969" s="181"/>
      <c r="M969" s="181"/>
      <c r="N969" s="181"/>
      <c r="O969" s="181"/>
      <c r="P969" s="181"/>
      <c r="Q969" s="181"/>
      <c r="R969" s="181"/>
      <c r="S969" s="181"/>
      <c r="T969" s="181"/>
      <c r="U969" s="181"/>
      <c r="V969" s="181"/>
      <c r="W969" s="181"/>
      <c r="X969" s="181"/>
      <c r="Y969" s="181"/>
      <c r="Z969" s="181"/>
    </row>
    <row r="970" customFormat="false" ht="15.75" hidden="false" customHeight="false" outlineLevel="0" collapsed="false">
      <c r="A970" s="181"/>
      <c r="B970" s="181"/>
      <c r="C970" s="181"/>
      <c r="D970" s="181"/>
      <c r="E970" s="181"/>
      <c r="F970" s="181"/>
      <c r="G970" s="181"/>
      <c r="H970" s="181"/>
      <c r="I970" s="181"/>
      <c r="J970" s="181"/>
      <c r="K970" s="181"/>
      <c r="L970" s="181"/>
      <c r="M970" s="181"/>
      <c r="N970" s="181"/>
      <c r="O970" s="181"/>
      <c r="P970" s="181"/>
      <c r="Q970" s="181"/>
      <c r="R970" s="181"/>
      <c r="S970" s="181"/>
      <c r="T970" s="181"/>
      <c r="U970" s="181"/>
      <c r="V970" s="181"/>
      <c r="W970" s="181"/>
      <c r="X970" s="181"/>
      <c r="Y970" s="181"/>
      <c r="Z970" s="181"/>
    </row>
    <row r="971" customFormat="false" ht="15.75" hidden="false" customHeight="false" outlineLevel="0" collapsed="false">
      <c r="A971" s="181"/>
      <c r="B971" s="181"/>
      <c r="C971" s="181"/>
      <c r="D971" s="181"/>
      <c r="E971" s="181"/>
      <c r="F971" s="181"/>
      <c r="G971" s="181"/>
      <c r="H971" s="181"/>
      <c r="I971" s="181"/>
      <c r="J971" s="181"/>
      <c r="K971" s="181"/>
      <c r="L971" s="181"/>
      <c r="M971" s="181"/>
      <c r="N971" s="181"/>
      <c r="O971" s="181"/>
      <c r="P971" s="181"/>
      <c r="Q971" s="181"/>
      <c r="R971" s="181"/>
      <c r="S971" s="181"/>
      <c r="T971" s="181"/>
      <c r="U971" s="181"/>
      <c r="V971" s="181"/>
      <c r="W971" s="181"/>
      <c r="X971" s="181"/>
      <c r="Y971" s="181"/>
      <c r="Z971" s="181"/>
    </row>
    <row r="972" customFormat="false" ht="15.75" hidden="false" customHeight="false" outlineLevel="0" collapsed="false">
      <c r="A972" s="181"/>
      <c r="B972" s="181"/>
      <c r="C972" s="181"/>
      <c r="D972" s="181"/>
      <c r="E972" s="181"/>
      <c r="F972" s="181"/>
      <c r="G972" s="181"/>
      <c r="H972" s="181"/>
      <c r="I972" s="181"/>
      <c r="J972" s="181"/>
      <c r="K972" s="181"/>
      <c r="L972" s="181"/>
      <c r="M972" s="181"/>
      <c r="N972" s="181"/>
      <c r="O972" s="181"/>
      <c r="P972" s="181"/>
      <c r="Q972" s="181"/>
      <c r="R972" s="181"/>
      <c r="S972" s="181"/>
      <c r="T972" s="181"/>
      <c r="U972" s="181"/>
      <c r="V972" s="181"/>
      <c r="W972" s="181"/>
      <c r="X972" s="181"/>
      <c r="Y972" s="181"/>
      <c r="Z972" s="181"/>
    </row>
    <row r="973" customFormat="false" ht="15.75" hidden="false" customHeight="false" outlineLevel="0" collapsed="false">
      <c r="A973" s="181"/>
      <c r="B973" s="181"/>
      <c r="C973" s="181"/>
      <c r="D973" s="181"/>
      <c r="E973" s="181"/>
      <c r="F973" s="181"/>
      <c r="G973" s="181"/>
      <c r="H973" s="181"/>
      <c r="I973" s="181"/>
      <c r="J973" s="181"/>
      <c r="K973" s="181"/>
      <c r="L973" s="181"/>
      <c r="M973" s="181"/>
      <c r="N973" s="181"/>
      <c r="O973" s="181"/>
      <c r="P973" s="181"/>
      <c r="Q973" s="181"/>
      <c r="R973" s="181"/>
      <c r="S973" s="181"/>
      <c r="T973" s="181"/>
      <c r="U973" s="181"/>
      <c r="V973" s="181"/>
      <c r="W973" s="181"/>
      <c r="X973" s="181"/>
      <c r="Y973" s="181"/>
      <c r="Z973" s="181"/>
    </row>
    <row r="974" customFormat="false" ht="15.75" hidden="false" customHeight="false" outlineLevel="0" collapsed="false">
      <c r="A974" s="181"/>
      <c r="B974" s="181"/>
      <c r="C974" s="181"/>
      <c r="D974" s="181"/>
      <c r="E974" s="181"/>
      <c r="F974" s="181"/>
      <c r="G974" s="181"/>
      <c r="H974" s="181"/>
      <c r="I974" s="181"/>
      <c r="J974" s="181"/>
      <c r="K974" s="181"/>
      <c r="L974" s="181"/>
      <c r="M974" s="181"/>
      <c r="N974" s="181"/>
      <c r="O974" s="181"/>
      <c r="P974" s="181"/>
      <c r="Q974" s="181"/>
      <c r="R974" s="181"/>
      <c r="S974" s="181"/>
      <c r="T974" s="181"/>
      <c r="U974" s="181"/>
      <c r="V974" s="181"/>
      <c r="W974" s="181"/>
      <c r="X974" s="181"/>
      <c r="Y974" s="181"/>
      <c r="Z974" s="181"/>
    </row>
    <row r="975" customFormat="false" ht="15.75" hidden="false" customHeight="false" outlineLevel="0" collapsed="false">
      <c r="A975" s="181"/>
      <c r="B975" s="181"/>
      <c r="C975" s="181"/>
      <c r="D975" s="181"/>
      <c r="E975" s="181"/>
      <c r="F975" s="181"/>
      <c r="G975" s="181"/>
      <c r="H975" s="181"/>
      <c r="I975" s="181"/>
      <c r="J975" s="181"/>
      <c r="K975" s="181"/>
      <c r="L975" s="181"/>
      <c r="M975" s="181"/>
      <c r="N975" s="181"/>
      <c r="O975" s="181"/>
      <c r="P975" s="181"/>
      <c r="Q975" s="181"/>
      <c r="R975" s="181"/>
      <c r="S975" s="181"/>
      <c r="T975" s="181"/>
      <c r="U975" s="181"/>
      <c r="V975" s="181"/>
      <c r="W975" s="181"/>
      <c r="X975" s="181"/>
      <c r="Y975" s="181"/>
      <c r="Z975" s="181"/>
    </row>
    <row r="976" customFormat="false" ht="15.75" hidden="false" customHeight="false" outlineLevel="0" collapsed="false">
      <c r="A976" s="181"/>
      <c r="B976" s="181"/>
      <c r="C976" s="181"/>
      <c r="D976" s="181"/>
      <c r="E976" s="181"/>
      <c r="F976" s="181"/>
      <c r="G976" s="181"/>
      <c r="H976" s="181"/>
      <c r="I976" s="181"/>
      <c r="J976" s="181"/>
      <c r="K976" s="181"/>
      <c r="L976" s="181"/>
      <c r="M976" s="181"/>
      <c r="N976" s="181"/>
      <c r="O976" s="181"/>
      <c r="P976" s="181"/>
      <c r="Q976" s="181"/>
      <c r="R976" s="181"/>
      <c r="S976" s="181"/>
      <c r="T976" s="181"/>
      <c r="U976" s="181"/>
      <c r="V976" s="181"/>
      <c r="W976" s="181"/>
      <c r="X976" s="181"/>
      <c r="Y976" s="181"/>
      <c r="Z976" s="181"/>
    </row>
    <row r="977" customFormat="false" ht="15.75" hidden="false" customHeight="false" outlineLevel="0" collapsed="false">
      <c r="A977" s="181"/>
      <c r="B977" s="181"/>
      <c r="C977" s="181"/>
      <c r="D977" s="181"/>
      <c r="E977" s="181"/>
      <c r="F977" s="181"/>
      <c r="G977" s="181"/>
      <c r="H977" s="181"/>
      <c r="I977" s="181"/>
      <c r="J977" s="181"/>
      <c r="K977" s="181"/>
      <c r="L977" s="181"/>
      <c r="M977" s="181"/>
      <c r="N977" s="181"/>
      <c r="O977" s="181"/>
      <c r="P977" s="181"/>
      <c r="Q977" s="181"/>
      <c r="R977" s="181"/>
      <c r="S977" s="181"/>
      <c r="T977" s="181"/>
      <c r="U977" s="181"/>
      <c r="V977" s="181"/>
      <c r="W977" s="181"/>
      <c r="X977" s="181"/>
      <c r="Y977" s="181"/>
      <c r="Z977" s="181"/>
    </row>
    <row r="978" customFormat="false" ht="15.75" hidden="false" customHeight="false" outlineLevel="0" collapsed="false">
      <c r="A978" s="181"/>
      <c r="B978" s="181"/>
      <c r="C978" s="181"/>
      <c r="D978" s="181"/>
      <c r="E978" s="181"/>
      <c r="F978" s="181"/>
      <c r="G978" s="181"/>
      <c r="H978" s="181"/>
      <c r="I978" s="181"/>
      <c r="J978" s="181"/>
      <c r="K978" s="181"/>
      <c r="L978" s="181"/>
      <c r="M978" s="181"/>
      <c r="N978" s="181"/>
      <c r="O978" s="181"/>
      <c r="P978" s="181"/>
      <c r="Q978" s="181"/>
      <c r="R978" s="181"/>
      <c r="S978" s="181"/>
      <c r="T978" s="181"/>
      <c r="U978" s="181"/>
      <c r="V978" s="181"/>
      <c r="W978" s="181"/>
      <c r="X978" s="181"/>
      <c r="Y978" s="181"/>
      <c r="Z978" s="181"/>
    </row>
    <row r="979" customFormat="false" ht="15.75" hidden="false" customHeight="false" outlineLevel="0" collapsed="false">
      <c r="A979" s="181"/>
      <c r="B979" s="181"/>
      <c r="C979" s="181"/>
      <c r="D979" s="181"/>
      <c r="E979" s="181"/>
      <c r="F979" s="181"/>
      <c r="G979" s="181"/>
      <c r="H979" s="181"/>
      <c r="I979" s="181"/>
      <c r="J979" s="181"/>
      <c r="K979" s="181"/>
      <c r="L979" s="181"/>
      <c r="M979" s="181"/>
      <c r="N979" s="181"/>
      <c r="O979" s="181"/>
      <c r="P979" s="181"/>
      <c r="Q979" s="181"/>
      <c r="R979" s="181"/>
      <c r="S979" s="181"/>
      <c r="T979" s="181"/>
      <c r="U979" s="181"/>
      <c r="V979" s="181"/>
      <c r="W979" s="181"/>
      <c r="X979" s="181"/>
      <c r="Y979" s="181"/>
      <c r="Z979" s="181"/>
    </row>
    <row r="980" customFormat="false" ht="15.75" hidden="false" customHeight="false" outlineLevel="0" collapsed="false">
      <c r="A980" s="181"/>
      <c r="B980" s="181"/>
      <c r="C980" s="181"/>
      <c r="D980" s="181"/>
      <c r="E980" s="181"/>
      <c r="F980" s="181"/>
      <c r="G980" s="181"/>
      <c r="H980" s="181"/>
      <c r="I980" s="181"/>
      <c r="J980" s="181"/>
      <c r="K980" s="181"/>
      <c r="L980" s="181"/>
      <c r="M980" s="181"/>
      <c r="N980" s="181"/>
      <c r="O980" s="181"/>
      <c r="P980" s="181"/>
      <c r="Q980" s="181"/>
      <c r="R980" s="181"/>
      <c r="S980" s="181"/>
      <c r="T980" s="181"/>
      <c r="U980" s="181"/>
      <c r="V980" s="181"/>
      <c r="W980" s="181"/>
      <c r="X980" s="181"/>
      <c r="Y980" s="181"/>
      <c r="Z980" s="181"/>
    </row>
    <row r="981" customFormat="false" ht="15.75" hidden="false" customHeight="false" outlineLevel="0" collapsed="false">
      <c r="A981" s="181"/>
      <c r="B981" s="181"/>
      <c r="C981" s="181"/>
      <c r="D981" s="181"/>
      <c r="E981" s="181"/>
      <c r="F981" s="181"/>
      <c r="G981" s="181"/>
      <c r="H981" s="181"/>
      <c r="I981" s="181"/>
      <c r="J981" s="181"/>
      <c r="K981" s="181"/>
      <c r="L981" s="181"/>
      <c r="M981" s="181"/>
      <c r="N981" s="181"/>
      <c r="O981" s="181"/>
      <c r="P981" s="181"/>
      <c r="Q981" s="181"/>
      <c r="R981" s="181"/>
      <c r="S981" s="181"/>
      <c r="T981" s="181"/>
      <c r="U981" s="181"/>
      <c r="V981" s="181"/>
      <c r="W981" s="181"/>
      <c r="X981" s="181"/>
      <c r="Y981" s="181"/>
      <c r="Z981" s="181"/>
    </row>
    <row r="982" customFormat="false" ht="15.75" hidden="false" customHeight="false" outlineLevel="0" collapsed="false">
      <c r="A982" s="181"/>
      <c r="B982" s="181"/>
      <c r="C982" s="181"/>
      <c r="D982" s="181"/>
      <c r="E982" s="181"/>
      <c r="F982" s="181"/>
      <c r="G982" s="181"/>
      <c r="H982" s="181"/>
      <c r="I982" s="181"/>
      <c r="J982" s="181"/>
      <c r="K982" s="181"/>
      <c r="L982" s="181"/>
      <c r="M982" s="181"/>
      <c r="N982" s="181"/>
      <c r="O982" s="181"/>
      <c r="P982" s="181"/>
      <c r="Q982" s="181"/>
      <c r="R982" s="181"/>
      <c r="S982" s="181"/>
      <c r="T982" s="181"/>
      <c r="U982" s="181"/>
      <c r="V982" s="181"/>
      <c r="W982" s="181"/>
      <c r="X982" s="181"/>
      <c r="Y982" s="181"/>
      <c r="Z982" s="181"/>
    </row>
    <row r="983" customFormat="false" ht="15.75" hidden="false" customHeight="false" outlineLevel="0" collapsed="false">
      <c r="A983" s="181"/>
      <c r="B983" s="181"/>
      <c r="C983" s="181"/>
      <c r="D983" s="181"/>
      <c r="E983" s="181"/>
      <c r="F983" s="181"/>
      <c r="G983" s="181"/>
      <c r="H983" s="181"/>
      <c r="I983" s="181"/>
      <c r="J983" s="181"/>
      <c r="K983" s="181"/>
      <c r="L983" s="181"/>
      <c r="M983" s="181"/>
      <c r="N983" s="181"/>
      <c r="O983" s="181"/>
      <c r="P983" s="181"/>
      <c r="Q983" s="181"/>
      <c r="R983" s="181"/>
      <c r="S983" s="181"/>
      <c r="T983" s="181"/>
      <c r="U983" s="181"/>
      <c r="V983" s="181"/>
      <c r="W983" s="181"/>
      <c r="X983" s="181"/>
      <c r="Y983" s="181"/>
      <c r="Z983" s="181"/>
    </row>
    <row r="984" customFormat="false" ht="15.75" hidden="false" customHeight="false" outlineLevel="0" collapsed="false">
      <c r="A984" s="181"/>
      <c r="B984" s="181"/>
      <c r="C984" s="181"/>
      <c r="D984" s="181"/>
      <c r="E984" s="181"/>
      <c r="F984" s="181"/>
      <c r="G984" s="181"/>
      <c r="H984" s="181"/>
      <c r="I984" s="181"/>
      <c r="J984" s="181"/>
      <c r="K984" s="181"/>
      <c r="L984" s="181"/>
      <c r="M984" s="181"/>
      <c r="N984" s="181"/>
      <c r="O984" s="181"/>
      <c r="P984" s="181"/>
      <c r="Q984" s="181"/>
      <c r="R984" s="181"/>
      <c r="S984" s="181"/>
      <c r="T984" s="181"/>
      <c r="U984" s="181"/>
      <c r="V984" s="181"/>
      <c r="W984" s="181"/>
      <c r="X984" s="181"/>
      <c r="Y984" s="181"/>
      <c r="Z984" s="181"/>
    </row>
    <row r="985" customFormat="false" ht="15.75" hidden="false" customHeight="false" outlineLevel="0" collapsed="false">
      <c r="A985" s="181"/>
      <c r="B985" s="181"/>
      <c r="C985" s="181"/>
      <c r="D985" s="181"/>
      <c r="E985" s="181"/>
      <c r="F985" s="181"/>
      <c r="G985" s="181"/>
      <c r="H985" s="181"/>
      <c r="I985" s="181"/>
      <c r="J985" s="181"/>
      <c r="K985" s="181"/>
      <c r="L985" s="181"/>
      <c r="M985" s="181"/>
      <c r="N985" s="181"/>
      <c r="O985" s="181"/>
      <c r="P985" s="181"/>
      <c r="Q985" s="181"/>
      <c r="R985" s="181"/>
      <c r="S985" s="181"/>
      <c r="T985" s="181"/>
      <c r="U985" s="181"/>
      <c r="V985" s="181"/>
      <c r="W985" s="181"/>
      <c r="X985" s="181"/>
      <c r="Y985" s="181"/>
      <c r="Z985" s="181"/>
    </row>
    <row r="986" customFormat="false" ht="15.75" hidden="false" customHeight="false" outlineLevel="0" collapsed="false">
      <c r="A986" s="181"/>
      <c r="B986" s="181"/>
      <c r="C986" s="181"/>
      <c r="D986" s="181"/>
      <c r="E986" s="181"/>
      <c r="F986" s="181"/>
      <c r="G986" s="181"/>
      <c r="H986" s="181"/>
      <c r="I986" s="181"/>
      <c r="J986" s="181"/>
      <c r="K986" s="181"/>
      <c r="L986" s="181"/>
      <c r="M986" s="181"/>
      <c r="N986" s="181"/>
      <c r="O986" s="181"/>
      <c r="P986" s="181"/>
      <c r="Q986" s="181"/>
      <c r="R986" s="181"/>
      <c r="S986" s="181"/>
      <c r="T986" s="181"/>
      <c r="U986" s="181"/>
      <c r="V986" s="181"/>
      <c r="W986" s="181"/>
      <c r="X986" s="181"/>
      <c r="Y986" s="181"/>
      <c r="Z986" s="181"/>
    </row>
    <row r="987" customFormat="false" ht="15.75" hidden="false" customHeight="false" outlineLevel="0" collapsed="false">
      <c r="A987" s="181"/>
      <c r="B987" s="181"/>
      <c r="C987" s="181"/>
      <c r="D987" s="181"/>
      <c r="E987" s="181"/>
      <c r="F987" s="181"/>
      <c r="G987" s="181"/>
      <c r="H987" s="181"/>
      <c r="I987" s="181"/>
      <c r="J987" s="181"/>
      <c r="K987" s="181"/>
      <c r="L987" s="181"/>
      <c r="M987" s="181"/>
      <c r="N987" s="181"/>
      <c r="O987" s="181"/>
      <c r="P987" s="181"/>
      <c r="Q987" s="181"/>
      <c r="R987" s="181"/>
      <c r="S987" s="181"/>
      <c r="T987" s="181"/>
      <c r="U987" s="181"/>
      <c r="V987" s="181"/>
      <c r="W987" s="181"/>
      <c r="X987" s="181"/>
      <c r="Y987" s="181"/>
      <c r="Z987" s="181"/>
    </row>
    <row r="988" customFormat="false" ht="15.75" hidden="false" customHeight="false" outlineLevel="0" collapsed="false">
      <c r="A988" s="181"/>
      <c r="B988" s="181"/>
      <c r="C988" s="181"/>
      <c r="D988" s="181"/>
      <c r="E988" s="181"/>
      <c r="F988" s="181"/>
      <c r="G988" s="181"/>
      <c r="H988" s="181"/>
      <c r="I988" s="181"/>
      <c r="J988" s="181"/>
      <c r="K988" s="181"/>
      <c r="L988" s="181"/>
      <c r="M988" s="181"/>
      <c r="N988" s="181"/>
      <c r="O988" s="181"/>
      <c r="P988" s="181"/>
      <c r="Q988" s="181"/>
      <c r="R988" s="181"/>
      <c r="S988" s="181"/>
      <c r="T988" s="181"/>
      <c r="U988" s="181"/>
      <c r="V988" s="181"/>
      <c r="W988" s="181"/>
      <c r="X988" s="181"/>
      <c r="Y988" s="181"/>
      <c r="Z988" s="181"/>
    </row>
    <row r="989" customFormat="false" ht="15.75" hidden="false" customHeight="false" outlineLevel="0" collapsed="false">
      <c r="A989" s="181"/>
      <c r="B989" s="181"/>
      <c r="C989" s="181"/>
      <c r="D989" s="181"/>
      <c r="E989" s="181"/>
      <c r="F989" s="181"/>
      <c r="G989" s="181"/>
      <c r="H989" s="181"/>
      <c r="I989" s="181"/>
      <c r="J989" s="181"/>
      <c r="K989" s="181"/>
      <c r="L989" s="181"/>
      <c r="M989" s="181"/>
      <c r="N989" s="181"/>
      <c r="O989" s="181"/>
      <c r="P989" s="181"/>
      <c r="Q989" s="181"/>
      <c r="R989" s="181"/>
      <c r="S989" s="181"/>
      <c r="T989" s="181"/>
      <c r="U989" s="181"/>
      <c r="V989" s="181"/>
      <c r="W989" s="181"/>
      <c r="X989" s="181"/>
      <c r="Y989" s="181"/>
      <c r="Z989" s="181"/>
    </row>
    <row r="990" customFormat="false" ht="15.75" hidden="false" customHeight="false" outlineLevel="0" collapsed="false">
      <c r="A990" s="181"/>
      <c r="B990" s="181"/>
      <c r="C990" s="181"/>
      <c r="D990" s="181"/>
      <c r="E990" s="181"/>
      <c r="F990" s="181"/>
      <c r="G990" s="181"/>
      <c r="H990" s="181"/>
      <c r="I990" s="181"/>
      <c r="J990" s="181"/>
      <c r="K990" s="181"/>
      <c r="L990" s="181"/>
      <c r="M990" s="181"/>
      <c r="N990" s="181"/>
      <c r="O990" s="181"/>
      <c r="P990" s="181"/>
      <c r="Q990" s="181"/>
      <c r="R990" s="181"/>
      <c r="S990" s="181"/>
      <c r="T990" s="181"/>
      <c r="U990" s="181"/>
      <c r="V990" s="181"/>
      <c r="W990" s="181"/>
      <c r="X990" s="181"/>
      <c r="Y990" s="181"/>
      <c r="Z990" s="181"/>
    </row>
    <row r="991" customFormat="false" ht="15.75" hidden="false" customHeight="false" outlineLevel="0" collapsed="false">
      <c r="A991" s="181"/>
      <c r="B991" s="181"/>
      <c r="C991" s="181"/>
      <c r="D991" s="181"/>
      <c r="E991" s="181"/>
      <c r="F991" s="181"/>
      <c r="G991" s="181"/>
      <c r="H991" s="181"/>
      <c r="I991" s="181"/>
      <c r="J991" s="181"/>
      <c r="K991" s="181"/>
      <c r="L991" s="181"/>
      <c r="M991" s="181"/>
      <c r="N991" s="181"/>
      <c r="O991" s="181"/>
      <c r="P991" s="181"/>
      <c r="Q991" s="181"/>
      <c r="R991" s="181"/>
      <c r="S991" s="181"/>
      <c r="T991" s="181"/>
      <c r="U991" s="181"/>
      <c r="V991" s="181"/>
      <c r="W991" s="181"/>
      <c r="X991" s="181"/>
      <c r="Y991" s="181"/>
      <c r="Z991" s="181"/>
    </row>
    <row r="992" customFormat="false" ht="15.75" hidden="false" customHeight="false" outlineLevel="0" collapsed="false">
      <c r="A992" s="181"/>
      <c r="B992" s="181"/>
      <c r="C992" s="181"/>
      <c r="D992" s="181"/>
      <c r="E992" s="181"/>
      <c r="F992" s="181"/>
      <c r="G992" s="181"/>
      <c r="H992" s="181"/>
      <c r="I992" s="181"/>
      <c r="J992" s="181"/>
      <c r="K992" s="181"/>
      <c r="L992" s="181"/>
      <c r="M992" s="181"/>
      <c r="N992" s="181"/>
      <c r="O992" s="181"/>
      <c r="P992" s="181"/>
      <c r="Q992" s="181"/>
      <c r="R992" s="181"/>
      <c r="S992" s="181"/>
      <c r="T992" s="181"/>
      <c r="U992" s="181"/>
      <c r="V992" s="181"/>
      <c r="W992" s="181"/>
      <c r="X992" s="181"/>
      <c r="Y992" s="181"/>
      <c r="Z992" s="181"/>
    </row>
    <row r="993" customFormat="false" ht="15.75" hidden="false" customHeight="false" outlineLevel="0" collapsed="false">
      <c r="A993" s="181"/>
      <c r="B993" s="181"/>
      <c r="C993" s="181"/>
      <c r="D993" s="181"/>
      <c r="E993" s="181"/>
      <c r="F993" s="181"/>
      <c r="G993" s="181"/>
      <c r="H993" s="181"/>
      <c r="I993" s="181"/>
      <c r="J993" s="181"/>
      <c r="K993" s="181"/>
      <c r="L993" s="181"/>
      <c r="M993" s="181"/>
      <c r="N993" s="181"/>
      <c r="O993" s="181"/>
      <c r="P993" s="181"/>
      <c r="Q993" s="181"/>
      <c r="R993" s="181"/>
      <c r="S993" s="181"/>
      <c r="T993" s="181"/>
      <c r="U993" s="181"/>
      <c r="V993" s="181"/>
      <c r="W993" s="181"/>
      <c r="X993" s="181"/>
      <c r="Y993" s="181"/>
      <c r="Z993" s="181"/>
    </row>
    <row r="994" customFormat="false" ht="15.75" hidden="false" customHeight="false" outlineLevel="0" collapsed="false">
      <c r="A994" s="181"/>
      <c r="B994" s="181"/>
      <c r="C994" s="181"/>
      <c r="D994" s="181"/>
      <c r="E994" s="181"/>
      <c r="F994" s="181"/>
      <c r="G994" s="181"/>
      <c r="H994" s="181"/>
      <c r="I994" s="181"/>
      <c r="J994" s="181"/>
      <c r="K994" s="181"/>
      <c r="L994" s="181"/>
      <c r="M994" s="181"/>
      <c r="N994" s="181"/>
      <c r="O994" s="181"/>
      <c r="P994" s="181"/>
      <c r="Q994" s="181"/>
      <c r="R994" s="181"/>
      <c r="S994" s="181"/>
      <c r="T994" s="181"/>
      <c r="U994" s="181"/>
      <c r="V994" s="181"/>
      <c r="W994" s="181"/>
      <c r="X994" s="181"/>
      <c r="Y994" s="181"/>
      <c r="Z994" s="181"/>
    </row>
    <row r="995" customFormat="false" ht="15.75" hidden="false" customHeight="false" outlineLevel="0" collapsed="false">
      <c r="A995" s="181"/>
      <c r="B995" s="181"/>
      <c r="C995" s="181"/>
      <c r="D995" s="181"/>
      <c r="E995" s="181"/>
      <c r="F995" s="181"/>
      <c r="G995" s="181"/>
      <c r="H995" s="181"/>
      <c r="I995" s="181"/>
      <c r="J995" s="181"/>
      <c r="K995" s="181"/>
      <c r="L995" s="181"/>
      <c r="M995" s="181"/>
      <c r="N995" s="181"/>
      <c r="O995" s="181"/>
      <c r="P995" s="181"/>
      <c r="Q995" s="181"/>
      <c r="R995" s="181"/>
      <c r="S995" s="181"/>
      <c r="T995" s="181"/>
      <c r="U995" s="181"/>
      <c r="V995" s="181"/>
      <c r="W995" s="181"/>
      <c r="X995" s="181"/>
      <c r="Y995" s="181"/>
      <c r="Z995" s="181"/>
    </row>
    <row r="996" customFormat="false" ht="15.75" hidden="false" customHeight="false" outlineLevel="0" collapsed="false">
      <c r="A996" s="181"/>
      <c r="B996" s="181"/>
      <c r="C996" s="181"/>
      <c r="D996" s="181"/>
      <c r="E996" s="181"/>
      <c r="F996" s="181"/>
      <c r="G996" s="181"/>
      <c r="H996" s="181"/>
      <c r="I996" s="181"/>
      <c r="J996" s="181"/>
      <c r="K996" s="181"/>
      <c r="L996" s="181"/>
      <c r="M996" s="181"/>
      <c r="N996" s="181"/>
      <c r="O996" s="181"/>
      <c r="P996" s="181"/>
      <c r="Q996" s="181"/>
      <c r="R996" s="181"/>
      <c r="S996" s="181"/>
      <c r="T996" s="181"/>
      <c r="U996" s="181"/>
      <c r="V996" s="181"/>
      <c r="W996" s="181"/>
      <c r="X996" s="181"/>
      <c r="Y996" s="181"/>
      <c r="Z996" s="181"/>
    </row>
    <row r="997" customFormat="false" ht="15.75" hidden="false" customHeight="false" outlineLevel="0" collapsed="false">
      <c r="A997" s="181"/>
      <c r="B997" s="181"/>
      <c r="C997" s="181"/>
      <c r="D997" s="181"/>
      <c r="E997" s="181"/>
      <c r="F997" s="181"/>
      <c r="G997" s="181"/>
      <c r="H997" s="181"/>
      <c r="I997" s="181"/>
      <c r="J997" s="181"/>
      <c r="K997" s="181"/>
      <c r="L997" s="181"/>
      <c r="M997" s="181"/>
      <c r="N997" s="181"/>
      <c r="O997" s="181"/>
      <c r="P997" s="181"/>
      <c r="Q997" s="181"/>
      <c r="R997" s="181"/>
      <c r="S997" s="181"/>
      <c r="T997" s="181"/>
      <c r="U997" s="181"/>
      <c r="V997" s="181"/>
      <c r="W997" s="181"/>
      <c r="X997" s="181"/>
      <c r="Y997" s="181"/>
      <c r="Z997" s="181"/>
    </row>
    <row r="998" customFormat="false" ht="15.75" hidden="false" customHeight="false" outlineLevel="0" collapsed="false">
      <c r="A998" s="181"/>
      <c r="B998" s="181"/>
      <c r="C998" s="181"/>
      <c r="D998" s="181"/>
      <c r="E998" s="181"/>
      <c r="F998" s="181"/>
      <c r="G998" s="181"/>
      <c r="H998" s="181"/>
      <c r="I998" s="181"/>
      <c r="J998" s="181"/>
      <c r="K998" s="181"/>
      <c r="L998" s="181"/>
      <c r="M998" s="181"/>
      <c r="N998" s="181"/>
      <c r="O998" s="181"/>
      <c r="P998" s="181"/>
      <c r="Q998" s="181"/>
      <c r="R998" s="181"/>
      <c r="S998" s="181"/>
      <c r="T998" s="181"/>
      <c r="U998" s="181"/>
      <c r="V998" s="181"/>
      <c r="W998" s="181"/>
      <c r="X998" s="181"/>
      <c r="Y998" s="181"/>
      <c r="Z998" s="181"/>
    </row>
    <row r="999" customFormat="false" ht="15.75" hidden="false" customHeight="false" outlineLevel="0" collapsed="false">
      <c r="A999" s="181"/>
      <c r="B999" s="181"/>
      <c r="C999" s="181"/>
      <c r="D999" s="181"/>
      <c r="E999" s="181"/>
      <c r="F999" s="181"/>
      <c r="G999" s="181"/>
      <c r="H999" s="181"/>
      <c r="I999" s="181"/>
      <c r="J999" s="181"/>
      <c r="K999" s="181"/>
      <c r="L999" s="181"/>
      <c r="M999" s="181"/>
      <c r="N999" s="181"/>
      <c r="O999" s="181"/>
      <c r="P999" s="181"/>
      <c r="Q999" s="181"/>
      <c r="R999" s="181"/>
      <c r="S999" s="181"/>
      <c r="T999" s="181"/>
      <c r="U999" s="181"/>
      <c r="V999" s="181"/>
      <c r="W999" s="181"/>
      <c r="X999" s="181"/>
      <c r="Y999" s="181"/>
      <c r="Z999" s="181"/>
    </row>
    <row r="1000" customFormat="false" ht="15.75" hidden="false" customHeight="false" outlineLevel="0" collapsed="false">
      <c r="A1000" s="181"/>
      <c r="B1000" s="181"/>
      <c r="C1000" s="181"/>
      <c r="D1000" s="181"/>
      <c r="E1000" s="181"/>
      <c r="F1000" s="181"/>
      <c r="G1000" s="181"/>
      <c r="H1000" s="181"/>
      <c r="I1000" s="181"/>
      <c r="J1000" s="181"/>
      <c r="K1000" s="181"/>
      <c r="L1000" s="181"/>
      <c r="M1000" s="181"/>
      <c r="N1000" s="181"/>
      <c r="O1000" s="181"/>
      <c r="P1000" s="181"/>
      <c r="Q1000" s="181"/>
      <c r="R1000" s="181"/>
      <c r="S1000" s="181"/>
      <c r="T1000" s="181"/>
      <c r="U1000" s="181"/>
      <c r="V1000" s="181"/>
      <c r="W1000" s="181"/>
      <c r="X1000" s="181"/>
      <c r="Y1000" s="181"/>
      <c r="Z1000" s="18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66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n">
        <f aca="false">Scoring!CU9</f>
        <v>1</v>
      </c>
      <c r="B2" s="7" t="n">
        <f aca="false">Scoring!CT9</f>
        <v>1</v>
      </c>
      <c r="C2" s="7" t="str">
        <f aca="false">Scoring!C9</f>
        <v>c</v>
      </c>
      <c r="D2" s="188" t="n">
        <f aca="false">Scoring!CQ9</f>
        <v>201.5</v>
      </c>
      <c r="E2" s="7" t="str">
        <f aca="false">Scoring!BR9</f>
        <v>C</v>
      </c>
      <c r="F2" s="7" t="n">
        <f aca="false">Scoring!B9</f>
        <v>0</v>
      </c>
      <c r="G2" s="7" t="n">
        <f aca="false">Scoring!D9</f>
        <v>0</v>
      </c>
      <c r="H2" s="7" t="n">
        <f aca="false">Scoring!CS9</f>
        <v>0</v>
      </c>
      <c r="I2" s="189" t="n">
        <f aca="false">Scoring!CR9</f>
        <v>1</v>
      </c>
    </row>
    <row r="3" customFormat="false" ht="15.75" hidden="false" customHeight="false" outlineLevel="0" collapsed="false">
      <c r="A3" s="7" t="str">
        <f aca="false">Scoring!CU10</f>
        <v/>
      </c>
      <c r="B3" s="7" t="str">
        <f aca="false">Scoring!CT10</f>
        <v/>
      </c>
      <c r="C3" s="7" t="n">
        <f aca="false">Scoring!C10</f>
        <v>0</v>
      </c>
      <c r="D3" s="188" t="str">
        <f aca="false">Scoring!CQ10</f>
        <v/>
      </c>
      <c r="E3" s="7" t="str">
        <f aca="false">Scoring!BR10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Scoring!CS10</f>
        <v/>
      </c>
      <c r="I3" s="189" t="str">
        <f aca="false">Scoring!CR10</f>
        <v/>
      </c>
    </row>
    <row r="4" customFormat="false" ht="15.75" hidden="false" customHeight="false" outlineLevel="0" collapsed="false">
      <c r="A4" s="7" t="str">
        <f aca="false">Scoring!CU11</f>
        <v/>
      </c>
      <c r="B4" s="7" t="str">
        <f aca="false">Scoring!CT11</f>
        <v/>
      </c>
      <c r="C4" s="7" t="n">
        <f aca="false">Scoring!C11</f>
        <v>0</v>
      </c>
      <c r="D4" s="188" t="str">
        <f aca="false">Scoring!CQ11</f>
        <v/>
      </c>
      <c r="E4" s="7" t="str">
        <f aca="false">Scoring!BR11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Scoring!CS11</f>
        <v/>
      </c>
      <c r="I4" s="189" t="str">
        <f aca="false">Scoring!CR11</f>
        <v/>
      </c>
    </row>
    <row r="5" customFormat="false" ht="15.75" hidden="false" customHeight="false" outlineLevel="0" collapsed="false">
      <c r="A5" s="7" t="str">
        <f aca="false">Scoring!CU12</f>
        <v/>
      </c>
      <c r="B5" s="7" t="str">
        <f aca="false">Scoring!CT12</f>
        <v/>
      </c>
      <c r="C5" s="7" t="n">
        <f aca="false">Scoring!C12</f>
        <v>0</v>
      </c>
      <c r="D5" s="188" t="str">
        <f aca="false">Scoring!CQ12</f>
        <v/>
      </c>
      <c r="E5" s="7" t="str">
        <f aca="false">Scoring!BR12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Scoring!CS12</f>
        <v/>
      </c>
      <c r="I5" s="189" t="str">
        <f aca="false">Scoring!CR12</f>
        <v/>
      </c>
    </row>
    <row r="6" customFormat="false" ht="15.75" hidden="false" customHeight="false" outlineLevel="0" collapsed="false">
      <c r="A6" s="7" t="str">
        <f aca="false">Scoring!CU13</f>
        <v/>
      </c>
      <c r="B6" s="7" t="str">
        <f aca="false">Scoring!CT13</f>
        <v/>
      </c>
      <c r="C6" s="7" t="n">
        <f aca="false">Scoring!C13</f>
        <v>0</v>
      </c>
      <c r="D6" s="188" t="str">
        <f aca="false">Scoring!CQ13</f>
        <v/>
      </c>
      <c r="E6" s="7" t="str">
        <f aca="false">Scoring!BR13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Scoring!CS13</f>
        <v/>
      </c>
      <c r="I6" s="189" t="str">
        <f aca="false">Scoring!CR13</f>
        <v/>
      </c>
    </row>
    <row r="7" customFormat="false" ht="15.75" hidden="false" customHeight="false" outlineLevel="0" collapsed="false">
      <c r="A7" s="7" t="str">
        <f aca="false">Scoring!CU14</f>
        <v/>
      </c>
      <c r="B7" s="7" t="str">
        <f aca="false">Scoring!CT14</f>
        <v/>
      </c>
      <c r="C7" s="7" t="n">
        <f aca="false">Scoring!C14</f>
        <v>0</v>
      </c>
      <c r="D7" s="188" t="str">
        <f aca="false">Scoring!CQ14</f>
        <v/>
      </c>
      <c r="E7" s="7" t="str">
        <f aca="false">Scoring!BR14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Scoring!CS14</f>
        <v/>
      </c>
      <c r="I7" s="189" t="str">
        <f aca="false">Scoring!CR14</f>
        <v/>
      </c>
    </row>
    <row r="8" customFormat="false" ht="15.75" hidden="false" customHeight="false" outlineLevel="0" collapsed="false">
      <c r="A8" s="7" t="str">
        <f aca="false">Scoring!CU15</f>
        <v/>
      </c>
      <c r="B8" s="7" t="str">
        <f aca="false">Scoring!CT15</f>
        <v/>
      </c>
      <c r="C8" s="7" t="n">
        <f aca="false">Scoring!C15</f>
        <v>0</v>
      </c>
      <c r="D8" s="188" t="str">
        <f aca="false">Scoring!CQ15</f>
        <v/>
      </c>
      <c r="E8" s="7" t="str">
        <f aca="false">Scoring!BR15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Scoring!CS15</f>
        <v/>
      </c>
      <c r="I8" s="189" t="str">
        <f aca="false">Scoring!CR15</f>
        <v/>
      </c>
    </row>
    <row r="9" customFormat="false" ht="15.75" hidden="false" customHeight="false" outlineLevel="0" collapsed="false">
      <c r="A9" s="7" t="str">
        <f aca="false">Scoring!CU16</f>
        <v/>
      </c>
      <c r="B9" s="7" t="str">
        <f aca="false">Scoring!CT16</f>
        <v/>
      </c>
      <c r="C9" s="7" t="n">
        <f aca="false">Scoring!C16</f>
        <v>0</v>
      </c>
      <c r="D9" s="188" t="str">
        <f aca="false">Scoring!CQ16</f>
        <v/>
      </c>
      <c r="E9" s="7" t="str">
        <f aca="false">Scoring!BR16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Scoring!CS16</f>
        <v/>
      </c>
      <c r="I9" s="189" t="str">
        <f aca="false">Scoring!CR16</f>
        <v/>
      </c>
    </row>
    <row r="10" customFormat="false" ht="15.75" hidden="false" customHeight="false" outlineLevel="0" collapsed="false">
      <c r="A10" s="7" t="str">
        <f aca="false">Scoring!CU17</f>
        <v/>
      </c>
      <c r="B10" s="7" t="str">
        <f aca="false">Scoring!CT17</f>
        <v/>
      </c>
      <c r="C10" s="7" t="n">
        <f aca="false">Scoring!C17</f>
        <v>0</v>
      </c>
      <c r="D10" s="188" t="str">
        <f aca="false">Scoring!CQ17</f>
        <v/>
      </c>
      <c r="E10" s="7" t="str">
        <f aca="false">Scoring!BR17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Scoring!CS17</f>
        <v/>
      </c>
      <c r="I10" s="189" t="str">
        <f aca="false">Scoring!CR17</f>
        <v/>
      </c>
    </row>
    <row r="11" customFormat="false" ht="15.75" hidden="false" customHeight="false" outlineLevel="0" collapsed="false">
      <c r="A11" s="7" t="str">
        <f aca="false">Scoring!CU18</f>
        <v/>
      </c>
      <c r="B11" s="7" t="str">
        <f aca="false">Scoring!CT18</f>
        <v/>
      </c>
      <c r="C11" s="7" t="n">
        <f aca="false">Scoring!C18</f>
        <v>0</v>
      </c>
      <c r="D11" s="188" t="str">
        <f aca="false">Scoring!CQ18</f>
        <v/>
      </c>
      <c r="E11" s="7" t="str">
        <f aca="false">Scoring!BR18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Scoring!CS18</f>
        <v/>
      </c>
      <c r="I11" s="189" t="str">
        <f aca="false">Scoring!CR18</f>
        <v/>
      </c>
    </row>
    <row r="12" customFormat="false" ht="15.75" hidden="false" customHeight="false" outlineLevel="0" collapsed="false">
      <c r="A12" s="7" t="str">
        <f aca="false">Scoring!CU19</f>
        <v/>
      </c>
      <c r="B12" s="7" t="str">
        <f aca="false">Scoring!CT19</f>
        <v/>
      </c>
      <c r="C12" s="7" t="n">
        <f aca="false">Scoring!C19</f>
        <v>0</v>
      </c>
      <c r="D12" s="188" t="str">
        <f aca="false">Scoring!CQ19</f>
        <v/>
      </c>
      <c r="E12" s="7" t="str">
        <f aca="false">Scoring!BR19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Scoring!CS19</f>
        <v/>
      </c>
      <c r="I12" s="189" t="str">
        <f aca="false">Scoring!CR19</f>
        <v/>
      </c>
    </row>
    <row r="13" customFormat="false" ht="15.75" hidden="false" customHeight="false" outlineLevel="0" collapsed="false">
      <c r="A13" s="7" t="str">
        <f aca="false">Scoring!CU20</f>
        <v/>
      </c>
      <c r="B13" s="7" t="str">
        <f aca="false">Scoring!CT20</f>
        <v/>
      </c>
      <c r="C13" s="7" t="n">
        <f aca="false">Scoring!C20</f>
        <v>0</v>
      </c>
      <c r="D13" s="188" t="str">
        <f aca="false">Scoring!CQ20</f>
        <v/>
      </c>
      <c r="E13" s="7" t="str">
        <f aca="false">Scoring!BR20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Scoring!CS20</f>
        <v/>
      </c>
      <c r="I13" s="189" t="str">
        <f aca="false">Scoring!CR20</f>
        <v/>
      </c>
    </row>
    <row r="14" customFormat="false" ht="15.75" hidden="false" customHeight="false" outlineLevel="0" collapsed="false">
      <c r="A14" s="7" t="str">
        <f aca="false">Scoring!CU21</f>
        <v/>
      </c>
      <c r="B14" s="7" t="str">
        <f aca="false">Scoring!CT21</f>
        <v/>
      </c>
      <c r="C14" s="7" t="n">
        <f aca="false">Scoring!C21</f>
        <v>0</v>
      </c>
      <c r="D14" s="188" t="str">
        <f aca="false">Scoring!CQ21</f>
        <v/>
      </c>
      <c r="E14" s="7" t="str">
        <f aca="false">Scoring!BR21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Scoring!CS21</f>
        <v/>
      </c>
      <c r="I14" s="189" t="str">
        <f aca="false">Scoring!CR21</f>
        <v/>
      </c>
    </row>
    <row r="15" customFormat="false" ht="15.75" hidden="false" customHeight="false" outlineLevel="0" collapsed="false">
      <c r="A15" s="7" t="str">
        <f aca="false">Scoring!CU22</f>
        <v/>
      </c>
      <c r="B15" s="7" t="str">
        <f aca="false">Scoring!CT22</f>
        <v/>
      </c>
      <c r="C15" s="7" t="n">
        <f aca="false">Scoring!C22</f>
        <v>0</v>
      </c>
      <c r="D15" s="188" t="str">
        <f aca="false">Scoring!CQ22</f>
        <v/>
      </c>
      <c r="E15" s="7" t="str">
        <f aca="false">Scoring!BR22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Scoring!CS22</f>
        <v/>
      </c>
      <c r="I15" s="189" t="str">
        <f aca="false">Scoring!CR22</f>
        <v/>
      </c>
    </row>
    <row r="16" customFormat="false" ht="15.75" hidden="false" customHeight="false" outlineLevel="0" collapsed="false">
      <c r="A16" s="7" t="str">
        <f aca="false">Scoring!CU23</f>
        <v/>
      </c>
      <c r="B16" s="7" t="str">
        <f aca="false">Scoring!CT23</f>
        <v/>
      </c>
      <c r="C16" s="7" t="n">
        <f aca="false">Scoring!C23</f>
        <v>0</v>
      </c>
      <c r="D16" s="188" t="str">
        <f aca="false">Scoring!CQ23</f>
        <v/>
      </c>
      <c r="E16" s="7" t="str">
        <f aca="false">Scoring!BR23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Scoring!CS23</f>
        <v/>
      </c>
      <c r="I16" s="189" t="str">
        <f aca="false">Scoring!CR23</f>
        <v/>
      </c>
    </row>
    <row r="17" customFormat="false" ht="15.75" hidden="false" customHeight="false" outlineLevel="0" collapsed="false">
      <c r="A17" s="7" t="str">
        <f aca="false">Scoring!CU24</f>
        <v/>
      </c>
      <c r="B17" s="7" t="str">
        <f aca="false">Scoring!CT24</f>
        <v/>
      </c>
      <c r="C17" s="7" t="n">
        <f aca="false">Scoring!C24</f>
        <v>0</v>
      </c>
      <c r="D17" s="188" t="str">
        <f aca="false">Scoring!CQ24</f>
        <v/>
      </c>
      <c r="E17" s="7" t="str">
        <f aca="false">Scoring!BR24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Scoring!CS24</f>
        <v/>
      </c>
      <c r="I17" s="189" t="str">
        <f aca="false">Scoring!CR24</f>
        <v/>
      </c>
    </row>
    <row r="18" customFormat="false" ht="15.75" hidden="false" customHeight="false" outlineLevel="0" collapsed="false">
      <c r="A18" s="7" t="str">
        <f aca="false">Scoring!CU25</f>
        <v/>
      </c>
      <c r="B18" s="7" t="str">
        <f aca="false">Scoring!CT25</f>
        <v/>
      </c>
      <c r="C18" s="7" t="n">
        <f aca="false">Scoring!C25</f>
        <v>0</v>
      </c>
      <c r="D18" s="188" t="str">
        <f aca="false">Scoring!CQ25</f>
        <v/>
      </c>
      <c r="E18" s="7" t="str">
        <f aca="false">Scoring!BR25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Scoring!CS25</f>
        <v/>
      </c>
      <c r="I18" s="189" t="str">
        <f aca="false">Scoring!CR25</f>
        <v/>
      </c>
    </row>
    <row r="19" customFormat="false" ht="15.75" hidden="false" customHeight="false" outlineLevel="0" collapsed="false">
      <c r="A19" s="7" t="str">
        <f aca="false">Scoring!CU26</f>
        <v/>
      </c>
      <c r="B19" s="7" t="str">
        <f aca="false">Scoring!CT26</f>
        <v/>
      </c>
      <c r="C19" s="7" t="n">
        <f aca="false">Scoring!C26</f>
        <v>0</v>
      </c>
      <c r="D19" s="188" t="str">
        <f aca="false">Scoring!CQ26</f>
        <v/>
      </c>
      <c r="E19" s="7" t="str">
        <f aca="false">Scoring!BR26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Scoring!CS26</f>
        <v/>
      </c>
      <c r="I19" s="189" t="str">
        <f aca="false">Scoring!CR26</f>
        <v/>
      </c>
    </row>
    <row r="20" customFormat="false" ht="15.75" hidden="false" customHeight="false" outlineLevel="0" collapsed="false">
      <c r="A20" s="7" t="str">
        <f aca="false">Scoring!CU27</f>
        <v/>
      </c>
      <c r="B20" s="7" t="str">
        <f aca="false">Scoring!CT27</f>
        <v/>
      </c>
      <c r="C20" s="7" t="n">
        <f aca="false">Scoring!C27</f>
        <v>0</v>
      </c>
      <c r="D20" s="188" t="str">
        <f aca="false">Scoring!CQ27</f>
        <v/>
      </c>
      <c r="E20" s="7" t="str">
        <f aca="false">Scoring!BR27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Scoring!CS27</f>
        <v/>
      </c>
      <c r="I20" s="189" t="str">
        <f aca="false">Scoring!CR27</f>
        <v/>
      </c>
    </row>
    <row r="21" customFormat="false" ht="15.75" hidden="false" customHeight="false" outlineLevel="0" collapsed="false">
      <c r="A21" s="7" t="str">
        <f aca="false">Scoring!CU28</f>
        <v/>
      </c>
      <c r="B21" s="7" t="str">
        <f aca="false">Scoring!CT28</f>
        <v/>
      </c>
      <c r="C21" s="7" t="n">
        <f aca="false">Scoring!C28</f>
        <v>0</v>
      </c>
      <c r="D21" s="188" t="str">
        <f aca="false">Scoring!CQ28</f>
        <v/>
      </c>
      <c r="E21" s="7" t="str">
        <f aca="false">Scoring!BR28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Scoring!CS28</f>
        <v/>
      </c>
      <c r="I21" s="189" t="str">
        <f aca="false">Scoring!CR28</f>
        <v/>
      </c>
    </row>
    <row r="22" customFormat="false" ht="15.75" hidden="false" customHeight="false" outlineLevel="0" collapsed="false">
      <c r="A22" s="7" t="str">
        <f aca="false">Scoring!CU29</f>
        <v/>
      </c>
      <c r="B22" s="7" t="str">
        <f aca="false">Scoring!CT29</f>
        <v/>
      </c>
      <c r="C22" s="7" t="n">
        <f aca="false">Scoring!C29</f>
        <v>0</v>
      </c>
      <c r="D22" s="188" t="str">
        <f aca="false">Scoring!CQ29</f>
        <v/>
      </c>
      <c r="E22" s="7" t="str">
        <f aca="false">Scoring!BR29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Scoring!CS29</f>
        <v/>
      </c>
      <c r="I22" s="189" t="str">
        <f aca="false">Scoring!CR29</f>
        <v/>
      </c>
    </row>
    <row r="23" customFormat="false" ht="15.75" hidden="false" customHeight="false" outlineLevel="0" collapsed="false">
      <c r="A23" s="7" t="str">
        <f aca="false">Scoring!CU30</f>
        <v/>
      </c>
      <c r="B23" s="7" t="str">
        <f aca="false">Scoring!CT30</f>
        <v/>
      </c>
      <c r="C23" s="7" t="n">
        <f aca="false">Scoring!C30</f>
        <v>0</v>
      </c>
      <c r="D23" s="188" t="str">
        <f aca="false">Scoring!CQ30</f>
        <v/>
      </c>
      <c r="E23" s="7" t="str">
        <f aca="false">Scoring!BR30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Scoring!CS30</f>
        <v/>
      </c>
      <c r="I23" s="189" t="str">
        <f aca="false">Scoring!CR30</f>
        <v/>
      </c>
    </row>
    <row r="24" customFormat="false" ht="15.75" hidden="false" customHeight="false" outlineLevel="0" collapsed="false">
      <c r="A24" s="7" t="str">
        <f aca="false">Scoring!CU31</f>
        <v/>
      </c>
      <c r="B24" s="7" t="str">
        <f aca="false">Scoring!CT31</f>
        <v/>
      </c>
      <c r="C24" s="7" t="n">
        <f aca="false">Scoring!C31</f>
        <v>0</v>
      </c>
      <c r="D24" s="188" t="str">
        <f aca="false">Scoring!CQ31</f>
        <v/>
      </c>
      <c r="E24" s="7" t="str">
        <f aca="false">Scoring!BR31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Scoring!CS31</f>
        <v/>
      </c>
      <c r="I24" s="189" t="str">
        <f aca="false">Scoring!CR31</f>
        <v/>
      </c>
    </row>
    <row r="25" customFormat="false" ht="15.75" hidden="false" customHeight="false" outlineLevel="0" collapsed="false">
      <c r="A25" s="7" t="str">
        <f aca="false">Scoring!CU32</f>
        <v/>
      </c>
      <c r="B25" s="7" t="str">
        <f aca="false">Scoring!CT32</f>
        <v/>
      </c>
      <c r="C25" s="7" t="n">
        <f aca="false">Scoring!C32</f>
        <v>0</v>
      </c>
      <c r="D25" s="188" t="str">
        <f aca="false">Scoring!CQ32</f>
        <v/>
      </c>
      <c r="E25" s="7" t="str">
        <f aca="false">Scoring!BR32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Scoring!CS32</f>
        <v/>
      </c>
      <c r="I25" s="189" t="str">
        <f aca="false">Scoring!CR32</f>
        <v/>
      </c>
    </row>
    <row r="26" customFormat="false" ht="15.75" hidden="false" customHeight="false" outlineLevel="0" collapsed="false">
      <c r="A26" s="7" t="str">
        <f aca="false">Scoring!CU33</f>
        <v/>
      </c>
      <c r="B26" s="7" t="str">
        <f aca="false">Scoring!CT33</f>
        <v/>
      </c>
      <c r="C26" s="7" t="n">
        <f aca="false">Scoring!C33</f>
        <v>0</v>
      </c>
      <c r="D26" s="188" t="str">
        <f aca="false">Scoring!CQ33</f>
        <v/>
      </c>
      <c r="E26" s="7" t="str">
        <f aca="false">Scoring!BR33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Scoring!CS33</f>
        <v/>
      </c>
      <c r="I26" s="189" t="str">
        <f aca="false">Scoring!CR33</f>
        <v/>
      </c>
    </row>
    <row r="27" customFormat="false" ht="15.75" hidden="false" customHeight="false" outlineLevel="0" collapsed="false">
      <c r="A27" s="7" t="str">
        <f aca="false">Scoring!CU34</f>
        <v/>
      </c>
      <c r="B27" s="7" t="str">
        <f aca="false">Scoring!CT34</f>
        <v/>
      </c>
      <c r="C27" s="7" t="n">
        <f aca="false">Scoring!C34</f>
        <v>0</v>
      </c>
      <c r="D27" s="188" t="str">
        <f aca="false">Scoring!CQ34</f>
        <v/>
      </c>
      <c r="E27" s="7" t="str">
        <f aca="false">Scoring!BR34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Scoring!CS34</f>
        <v/>
      </c>
      <c r="I27" s="189" t="str">
        <f aca="false">Scoring!CR34</f>
        <v/>
      </c>
    </row>
    <row r="28" customFormat="false" ht="15.75" hidden="false" customHeight="false" outlineLevel="0" collapsed="false">
      <c r="A28" s="7" t="str">
        <f aca="false">Scoring!CU35</f>
        <v/>
      </c>
      <c r="B28" s="7" t="str">
        <f aca="false">Scoring!CT35</f>
        <v/>
      </c>
      <c r="C28" s="7" t="n">
        <f aca="false">Scoring!C35</f>
        <v>0</v>
      </c>
      <c r="D28" s="188" t="str">
        <f aca="false">Scoring!CQ35</f>
        <v/>
      </c>
      <c r="E28" s="7" t="str">
        <f aca="false">Scoring!BR35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Scoring!CS35</f>
        <v/>
      </c>
      <c r="I28" s="189" t="str">
        <f aca="false">Scoring!CR35</f>
        <v/>
      </c>
    </row>
    <row r="29" customFormat="false" ht="15.75" hidden="false" customHeight="false" outlineLevel="0" collapsed="false">
      <c r="A29" s="7" t="str">
        <f aca="false">Scoring!CU36</f>
        <v/>
      </c>
      <c r="B29" s="7" t="str">
        <f aca="false">Scoring!CT36</f>
        <v/>
      </c>
      <c r="C29" s="7" t="n">
        <f aca="false">Scoring!C36</f>
        <v>0</v>
      </c>
      <c r="D29" s="188" t="str">
        <f aca="false">Scoring!CQ36</f>
        <v/>
      </c>
      <c r="E29" s="7" t="str">
        <f aca="false">Scoring!BR36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Scoring!CS36</f>
        <v/>
      </c>
      <c r="I29" s="189" t="str">
        <f aca="false">Scoring!CR36</f>
        <v/>
      </c>
    </row>
    <row r="30" customFormat="false" ht="15.75" hidden="false" customHeight="false" outlineLevel="0" collapsed="false">
      <c r="A30" s="7" t="str">
        <f aca="false">Scoring!CU37</f>
        <v/>
      </c>
      <c r="B30" s="7" t="str">
        <f aca="false">Scoring!CT37</f>
        <v/>
      </c>
      <c r="C30" s="7" t="n">
        <f aca="false">Scoring!C37</f>
        <v>0</v>
      </c>
      <c r="D30" s="188" t="str">
        <f aca="false">Scoring!CQ37</f>
        <v/>
      </c>
      <c r="E30" s="7" t="str">
        <f aca="false">Scoring!BR37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Scoring!CS37</f>
        <v/>
      </c>
      <c r="I30" s="189" t="str">
        <f aca="false">Scoring!CR37</f>
        <v/>
      </c>
    </row>
    <row r="31" customFormat="false" ht="15.75" hidden="false" customHeight="false" outlineLevel="0" collapsed="false">
      <c r="A31" s="7" t="str">
        <f aca="false">Scoring!CU38</f>
        <v/>
      </c>
      <c r="B31" s="7" t="str">
        <f aca="false">Scoring!CT38</f>
        <v/>
      </c>
      <c r="C31" s="7" t="n">
        <f aca="false">Scoring!C38</f>
        <v>0</v>
      </c>
      <c r="D31" s="188" t="str">
        <f aca="false">Scoring!CQ38</f>
        <v/>
      </c>
      <c r="E31" s="7" t="str">
        <f aca="false">Scoring!BR38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Scoring!CS38</f>
        <v/>
      </c>
      <c r="I31" s="189" t="str">
        <f aca="false">Scoring!CR38</f>
        <v/>
      </c>
    </row>
    <row r="32" customFormat="false" ht="15.75" hidden="false" customHeight="false" outlineLevel="0" collapsed="false">
      <c r="A32" s="7" t="str">
        <f aca="false">Scoring!CU39</f>
        <v/>
      </c>
      <c r="B32" s="7" t="str">
        <f aca="false">Scoring!CT39</f>
        <v/>
      </c>
      <c r="C32" s="7" t="n">
        <f aca="false">Scoring!C39</f>
        <v>0</v>
      </c>
      <c r="D32" s="188" t="str">
        <f aca="false">Scoring!CQ39</f>
        <v/>
      </c>
      <c r="E32" s="7" t="str">
        <f aca="false">Scoring!BR39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Scoring!CS39</f>
        <v/>
      </c>
      <c r="I32" s="189" t="str">
        <f aca="false">Scoring!CR39</f>
        <v/>
      </c>
    </row>
    <row r="33" customFormat="false" ht="15.75" hidden="false" customHeight="false" outlineLevel="0" collapsed="false">
      <c r="A33" s="7" t="str">
        <f aca="false">Scoring!CU40</f>
        <v/>
      </c>
      <c r="B33" s="7" t="str">
        <f aca="false">Scoring!CT40</f>
        <v/>
      </c>
      <c r="C33" s="7" t="n">
        <f aca="false">Scoring!C40</f>
        <v>0</v>
      </c>
      <c r="D33" s="188" t="str">
        <f aca="false">Scoring!CQ40</f>
        <v/>
      </c>
      <c r="E33" s="7" t="str">
        <f aca="false">Scoring!BR40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Scoring!CS40</f>
        <v/>
      </c>
      <c r="I33" s="189" t="str">
        <f aca="false">Scoring!CR40</f>
        <v/>
      </c>
    </row>
    <row r="34" customFormat="false" ht="15.75" hidden="false" customHeight="false" outlineLevel="0" collapsed="false">
      <c r="A34" s="7" t="str">
        <f aca="false">Scoring!CU41</f>
        <v/>
      </c>
      <c r="B34" s="7" t="str">
        <f aca="false">Scoring!CT41</f>
        <v/>
      </c>
      <c r="C34" s="7" t="n">
        <f aca="false">Scoring!C41</f>
        <v>0</v>
      </c>
      <c r="D34" s="188" t="str">
        <f aca="false">Scoring!CQ41</f>
        <v/>
      </c>
      <c r="E34" s="7" t="str">
        <f aca="false">Scoring!BR41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Scoring!CS41</f>
        <v/>
      </c>
      <c r="I34" s="189" t="str">
        <f aca="false">Scoring!CR41</f>
        <v/>
      </c>
    </row>
    <row r="35" customFormat="false" ht="15.75" hidden="false" customHeight="false" outlineLevel="0" collapsed="false">
      <c r="A35" s="7" t="str">
        <f aca="false">Scoring!CU42</f>
        <v/>
      </c>
      <c r="B35" s="7" t="str">
        <f aca="false">Scoring!CT42</f>
        <v/>
      </c>
      <c r="C35" s="7" t="n">
        <f aca="false">Scoring!C42</f>
        <v>0</v>
      </c>
      <c r="D35" s="188" t="str">
        <f aca="false">Scoring!CQ42</f>
        <v/>
      </c>
      <c r="E35" s="7" t="str">
        <f aca="false">Scoring!BR42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Scoring!CS42</f>
        <v/>
      </c>
      <c r="I35" s="189" t="str">
        <f aca="false">Scoring!CR42</f>
        <v/>
      </c>
    </row>
    <row r="36" customFormat="false" ht="15.75" hidden="false" customHeight="false" outlineLevel="0" collapsed="false">
      <c r="A36" s="7" t="str">
        <f aca="false">Scoring!CU43</f>
        <v/>
      </c>
      <c r="B36" s="7" t="str">
        <f aca="false">Scoring!CT43</f>
        <v/>
      </c>
      <c r="C36" s="7" t="n">
        <f aca="false">Scoring!C43</f>
        <v>0</v>
      </c>
      <c r="D36" s="188" t="str">
        <f aca="false">Scoring!CQ43</f>
        <v/>
      </c>
      <c r="E36" s="7" t="str">
        <f aca="false">Scoring!BR43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Scoring!CS43</f>
        <v/>
      </c>
      <c r="I36" s="189" t="str">
        <f aca="false">Scoring!CR43</f>
        <v/>
      </c>
    </row>
    <row r="37" customFormat="false" ht="15.75" hidden="false" customHeight="false" outlineLevel="0" collapsed="false">
      <c r="A37" s="7" t="str">
        <f aca="false">Scoring!CU44</f>
        <v/>
      </c>
      <c r="B37" s="7" t="str">
        <f aca="false">Scoring!CT44</f>
        <v/>
      </c>
      <c r="C37" s="7" t="n">
        <f aca="false">Scoring!C44</f>
        <v>0</v>
      </c>
      <c r="D37" s="188" t="str">
        <f aca="false">Scoring!CQ44</f>
        <v/>
      </c>
      <c r="E37" s="7" t="str">
        <f aca="false">Scoring!BR44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Scoring!CS44</f>
        <v/>
      </c>
      <c r="I37" s="189" t="str">
        <f aca="false">Scoring!CR44</f>
        <v/>
      </c>
    </row>
    <row r="38" customFormat="false" ht="15.75" hidden="false" customHeight="false" outlineLevel="0" collapsed="false">
      <c r="A38" s="7" t="str">
        <f aca="false">Scoring!CU45</f>
        <v/>
      </c>
      <c r="B38" s="7" t="str">
        <f aca="false">Scoring!CT45</f>
        <v/>
      </c>
      <c r="C38" s="7" t="n">
        <f aca="false">Scoring!C45</f>
        <v>0</v>
      </c>
      <c r="D38" s="188" t="str">
        <f aca="false">Scoring!CQ45</f>
        <v/>
      </c>
      <c r="E38" s="7" t="str">
        <f aca="false">Scoring!BR45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Scoring!CS45</f>
        <v/>
      </c>
      <c r="I38" s="189" t="str">
        <f aca="false">Scoring!CR45</f>
        <v/>
      </c>
    </row>
    <row r="39" customFormat="false" ht="15.75" hidden="false" customHeight="false" outlineLevel="0" collapsed="false">
      <c r="A39" s="7" t="str">
        <f aca="false">Scoring!CU46</f>
        <v/>
      </c>
      <c r="B39" s="7" t="str">
        <f aca="false">Scoring!CT46</f>
        <v/>
      </c>
      <c r="C39" s="7" t="n">
        <f aca="false">Scoring!C46</f>
        <v>0</v>
      </c>
      <c r="D39" s="188" t="str">
        <f aca="false">Scoring!CQ46</f>
        <v/>
      </c>
      <c r="E39" s="7" t="str">
        <f aca="false">Scoring!BR46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Scoring!CS46</f>
        <v/>
      </c>
      <c r="I39" s="189" t="str">
        <f aca="false">Scoring!CR46</f>
        <v/>
      </c>
    </row>
    <row r="40" customFormat="false" ht="15.75" hidden="false" customHeight="false" outlineLevel="0" collapsed="false">
      <c r="A40" s="7" t="str">
        <f aca="false">Scoring!CU47</f>
        <v/>
      </c>
      <c r="B40" s="7" t="str">
        <f aca="false">Scoring!CT47</f>
        <v/>
      </c>
      <c r="C40" s="7" t="n">
        <f aca="false">Scoring!C47</f>
        <v>0</v>
      </c>
      <c r="D40" s="188" t="str">
        <f aca="false">Scoring!CQ47</f>
        <v/>
      </c>
      <c r="E40" s="7" t="str">
        <f aca="false">Scoring!BR47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Scoring!CS47</f>
        <v/>
      </c>
      <c r="I40" s="189" t="str">
        <f aca="false">Scoring!CR47</f>
        <v/>
      </c>
    </row>
    <row r="41" customFormat="false" ht="15.75" hidden="false" customHeight="false" outlineLevel="0" collapsed="false">
      <c r="A41" s="7" t="str">
        <f aca="false">Scoring!CU48</f>
        <v/>
      </c>
      <c r="B41" s="7" t="str">
        <f aca="false">Scoring!CT48</f>
        <v/>
      </c>
      <c r="C41" s="7" t="n">
        <f aca="false">Scoring!C48</f>
        <v>0</v>
      </c>
      <c r="D41" s="188" t="str">
        <f aca="false">Scoring!CQ48</f>
        <v/>
      </c>
      <c r="E41" s="7" t="str">
        <f aca="false">Scoring!BR48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Scoring!CS48</f>
        <v/>
      </c>
      <c r="I41" s="189" t="str">
        <f aca="false">Scoring!CR48</f>
        <v/>
      </c>
    </row>
    <row r="42" customFormat="false" ht="15.75" hidden="false" customHeight="false" outlineLevel="0" collapsed="false">
      <c r="A42" s="7" t="str">
        <f aca="false">Scoring!CU49</f>
        <v/>
      </c>
      <c r="B42" s="7" t="str">
        <f aca="false">Scoring!CT49</f>
        <v/>
      </c>
      <c r="C42" s="7" t="n">
        <f aca="false">Scoring!C49</f>
        <v>0</v>
      </c>
      <c r="D42" s="188" t="str">
        <f aca="false">Scoring!CQ49</f>
        <v/>
      </c>
      <c r="E42" s="7" t="str">
        <f aca="false">Scoring!BR49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Scoring!CS49</f>
        <v/>
      </c>
      <c r="I42" s="189" t="str">
        <f aca="false">Scoring!CR49</f>
        <v/>
      </c>
    </row>
    <row r="43" customFormat="false" ht="15.75" hidden="false" customHeight="false" outlineLevel="0" collapsed="false">
      <c r="A43" s="7" t="str">
        <f aca="false">Scoring!CU50</f>
        <v/>
      </c>
      <c r="B43" s="7" t="str">
        <f aca="false">Scoring!CT50</f>
        <v/>
      </c>
      <c r="C43" s="7" t="n">
        <f aca="false">Scoring!C50</f>
        <v>0</v>
      </c>
      <c r="D43" s="188" t="str">
        <f aca="false">Scoring!CQ50</f>
        <v/>
      </c>
      <c r="E43" s="7" t="str">
        <f aca="false">Scoring!BR50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Scoring!CS50</f>
        <v/>
      </c>
      <c r="I43" s="189" t="str">
        <f aca="false">Scoring!CR50</f>
        <v/>
      </c>
    </row>
    <row r="44" customFormat="false" ht="15.75" hidden="false" customHeight="false" outlineLevel="0" collapsed="false">
      <c r="A44" s="7" t="str">
        <f aca="false">Scoring!CU51</f>
        <v/>
      </c>
      <c r="B44" s="7" t="str">
        <f aca="false">Scoring!CT51</f>
        <v/>
      </c>
      <c r="C44" s="7" t="n">
        <f aca="false">Scoring!C51</f>
        <v>0</v>
      </c>
      <c r="D44" s="188" t="str">
        <f aca="false">Scoring!CQ51</f>
        <v/>
      </c>
      <c r="E44" s="7" t="str">
        <f aca="false">Scoring!BR51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Scoring!CS51</f>
        <v/>
      </c>
      <c r="I44" s="189" t="str">
        <f aca="false">Scoring!CR51</f>
        <v/>
      </c>
    </row>
    <row r="45" customFormat="false" ht="15.75" hidden="false" customHeight="false" outlineLevel="0" collapsed="false">
      <c r="A45" s="7" t="str">
        <f aca="false">Scoring!CU52</f>
        <v/>
      </c>
      <c r="B45" s="7" t="str">
        <f aca="false">Scoring!CT52</f>
        <v/>
      </c>
      <c r="C45" s="7" t="n">
        <f aca="false">Scoring!C52</f>
        <v>0</v>
      </c>
      <c r="D45" s="188" t="str">
        <f aca="false">Scoring!CQ52</f>
        <v/>
      </c>
      <c r="E45" s="7" t="str">
        <f aca="false">Scoring!BR52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Scoring!CS52</f>
        <v/>
      </c>
      <c r="I45" s="189" t="str">
        <f aca="false">Scoring!CR52</f>
        <v/>
      </c>
    </row>
    <row r="46" customFormat="false" ht="15.75" hidden="false" customHeight="false" outlineLevel="0" collapsed="false">
      <c r="A46" s="7" t="str">
        <f aca="false">Scoring!CU53</f>
        <v/>
      </c>
      <c r="B46" s="7" t="str">
        <f aca="false">Scoring!CT53</f>
        <v/>
      </c>
      <c r="C46" s="7" t="n">
        <f aca="false">Scoring!C53</f>
        <v>0</v>
      </c>
      <c r="D46" s="188" t="str">
        <f aca="false">Scoring!CQ53</f>
        <v/>
      </c>
      <c r="E46" s="7" t="str">
        <f aca="false">Scoring!BR53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Scoring!CS53</f>
        <v/>
      </c>
      <c r="I46" s="189" t="str">
        <f aca="false">Scoring!CR53</f>
        <v/>
      </c>
    </row>
    <row r="47" customFormat="false" ht="15.75" hidden="false" customHeight="false" outlineLevel="0" collapsed="false">
      <c r="A47" s="7" t="str">
        <f aca="false">Scoring!CU54</f>
        <v/>
      </c>
      <c r="B47" s="7" t="str">
        <f aca="false">Scoring!CT54</f>
        <v/>
      </c>
      <c r="C47" s="7" t="n">
        <f aca="false">Scoring!C54</f>
        <v>0</v>
      </c>
      <c r="D47" s="188" t="str">
        <f aca="false">Scoring!CQ54</f>
        <v/>
      </c>
      <c r="E47" s="7" t="str">
        <f aca="false">Scoring!BR54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Scoring!CS54</f>
        <v/>
      </c>
      <c r="I47" s="189" t="str">
        <f aca="false">Scoring!CR54</f>
        <v/>
      </c>
    </row>
    <row r="48" customFormat="false" ht="15.75" hidden="false" customHeight="false" outlineLevel="0" collapsed="false">
      <c r="A48" s="7" t="str">
        <f aca="false">Scoring!CU55</f>
        <v/>
      </c>
      <c r="B48" s="7" t="str">
        <f aca="false">Scoring!CT55</f>
        <v/>
      </c>
      <c r="C48" s="7" t="n">
        <f aca="false">Scoring!C55</f>
        <v>0</v>
      </c>
      <c r="D48" s="188" t="str">
        <f aca="false">Scoring!CQ55</f>
        <v/>
      </c>
      <c r="E48" s="7" t="str">
        <f aca="false">Scoring!BR55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Scoring!CS55</f>
        <v/>
      </c>
      <c r="I48" s="189" t="str">
        <f aca="false">Scoring!CR55</f>
        <v/>
      </c>
    </row>
    <row r="49" customFormat="false" ht="15.75" hidden="false" customHeight="false" outlineLevel="0" collapsed="false">
      <c r="A49" s="7" t="str">
        <f aca="false">Scoring!CU56</f>
        <v/>
      </c>
      <c r="B49" s="7" t="str">
        <f aca="false">Scoring!CT56</f>
        <v/>
      </c>
      <c r="C49" s="7" t="n">
        <f aca="false">Scoring!C56</f>
        <v>0</v>
      </c>
      <c r="D49" s="188" t="str">
        <f aca="false">Scoring!CQ56</f>
        <v/>
      </c>
      <c r="E49" s="7" t="str">
        <f aca="false">Scoring!BR56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Scoring!CS56</f>
        <v/>
      </c>
      <c r="I49" s="189" t="str">
        <f aca="false">Scoring!CR56</f>
        <v/>
      </c>
    </row>
    <row r="50" customFormat="false" ht="15.75" hidden="false" customHeight="false" outlineLevel="0" collapsed="false">
      <c r="A50" s="7" t="str">
        <f aca="false">Scoring!CU57</f>
        <v/>
      </c>
      <c r="B50" s="7" t="str">
        <f aca="false">Scoring!CT57</f>
        <v/>
      </c>
      <c r="C50" s="7" t="n">
        <f aca="false">Scoring!C57</f>
        <v>0</v>
      </c>
      <c r="D50" s="188" t="str">
        <f aca="false">Scoring!CQ57</f>
        <v/>
      </c>
      <c r="E50" s="7" t="str">
        <f aca="false">Scoring!BR57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Scoring!CS57</f>
        <v/>
      </c>
      <c r="I50" s="189" t="str">
        <f aca="false">Scoring!CR57</f>
        <v/>
      </c>
    </row>
    <row r="51" customFormat="false" ht="15.75" hidden="false" customHeight="false" outlineLevel="0" collapsed="false">
      <c r="A51" s="7" t="str">
        <f aca="false">Scoring!CU58</f>
        <v/>
      </c>
      <c r="B51" s="7" t="str">
        <f aca="false">Scoring!CT58</f>
        <v/>
      </c>
      <c r="C51" s="7" t="n">
        <f aca="false">Scoring!C58</f>
        <v>0</v>
      </c>
      <c r="D51" s="188" t="str">
        <f aca="false">Scoring!CQ58</f>
        <v/>
      </c>
      <c r="E51" s="7" t="str">
        <f aca="false">Scoring!BR58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Scoring!CS58</f>
        <v/>
      </c>
      <c r="I51" s="189" t="str">
        <f aca="false">Scoring!CR58</f>
        <v/>
      </c>
    </row>
    <row r="52" customFormat="false" ht="15.75" hidden="false" customHeight="false" outlineLevel="0" collapsed="false">
      <c r="A52" s="7" t="str">
        <f aca="false">Scoring!CU59</f>
        <v/>
      </c>
      <c r="B52" s="7" t="str">
        <f aca="false">Scoring!CT59</f>
        <v/>
      </c>
      <c r="C52" s="7" t="n">
        <f aca="false">Scoring!C59</f>
        <v>0</v>
      </c>
      <c r="D52" s="188" t="str">
        <f aca="false">Scoring!CQ59</f>
        <v/>
      </c>
      <c r="E52" s="7" t="str">
        <f aca="false">Scoring!BR59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Scoring!CS59</f>
        <v/>
      </c>
      <c r="I52" s="189" t="str">
        <f aca="false">Scoring!CR59</f>
        <v/>
      </c>
    </row>
    <row r="53" customFormat="false" ht="15.75" hidden="false" customHeight="false" outlineLevel="0" collapsed="false">
      <c r="A53" s="7" t="str">
        <f aca="false">Scoring!CU60</f>
        <v/>
      </c>
      <c r="B53" s="7" t="str">
        <f aca="false">Scoring!CT60</f>
        <v/>
      </c>
      <c r="C53" s="7" t="n">
        <f aca="false">Scoring!C60</f>
        <v>0</v>
      </c>
      <c r="D53" s="188" t="str">
        <f aca="false">Scoring!CQ60</f>
        <v/>
      </c>
      <c r="E53" s="7" t="str">
        <f aca="false">Scoring!BR60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Scoring!CS60</f>
        <v/>
      </c>
      <c r="I53" s="189" t="str">
        <f aca="false">Scoring!CR60</f>
        <v/>
      </c>
    </row>
    <row r="54" customFormat="false" ht="15.75" hidden="false" customHeight="false" outlineLevel="0" collapsed="false">
      <c r="A54" s="7" t="str">
        <f aca="false">Scoring!CU61</f>
        <v/>
      </c>
      <c r="B54" s="7" t="str">
        <f aca="false">Scoring!CT61</f>
        <v/>
      </c>
      <c r="C54" s="7" t="n">
        <f aca="false">Scoring!C61</f>
        <v>0</v>
      </c>
      <c r="D54" s="188" t="str">
        <f aca="false">Scoring!CQ61</f>
        <v/>
      </c>
      <c r="E54" s="7" t="str">
        <f aca="false">Scoring!BR61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Scoring!CS61</f>
        <v/>
      </c>
      <c r="I54" s="189" t="str">
        <f aca="false">Scoring!CR61</f>
        <v/>
      </c>
    </row>
    <row r="55" customFormat="false" ht="15.75" hidden="false" customHeight="false" outlineLevel="0" collapsed="false">
      <c r="A55" s="7" t="str">
        <f aca="false">Scoring!CU62</f>
        <v/>
      </c>
      <c r="B55" s="7" t="str">
        <f aca="false">Scoring!CT62</f>
        <v/>
      </c>
      <c r="C55" s="7" t="n">
        <f aca="false">Scoring!C62</f>
        <v>0</v>
      </c>
      <c r="D55" s="188" t="str">
        <f aca="false">Scoring!CQ62</f>
        <v/>
      </c>
      <c r="E55" s="7" t="str">
        <f aca="false">Scoring!BR62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Scoring!CS62</f>
        <v/>
      </c>
      <c r="I55" s="189" t="str">
        <f aca="false">Scoring!CR62</f>
        <v/>
      </c>
    </row>
    <row r="56" customFormat="false" ht="15.75" hidden="false" customHeight="false" outlineLevel="0" collapsed="false">
      <c r="A56" s="7" t="str">
        <f aca="false">Scoring!CU63</f>
        <v/>
      </c>
      <c r="B56" s="7" t="str">
        <f aca="false">Scoring!CT63</f>
        <v/>
      </c>
      <c r="C56" s="7" t="n">
        <f aca="false">Scoring!C63</f>
        <v>0</v>
      </c>
      <c r="D56" s="188" t="str">
        <f aca="false">Scoring!CQ63</f>
        <v/>
      </c>
      <c r="E56" s="7" t="str">
        <f aca="false">Scoring!BR63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Scoring!CS63</f>
        <v/>
      </c>
      <c r="I56" s="189" t="str">
        <f aca="false">Scoring!CR63</f>
        <v/>
      </c>
    </row>
    <row r="57" customFormat="false" ht="15.75" hidden="false" customHeight="false" outlineLevel="0" collapsed="false">
      <c r="A57" s="7" t="str">
        <f aca="false">Scoring!CU64</f>
        <v/>
      </c>
      <c r="B57" s="7" t="str">
        <f aca="false">Scoring!CT64</f>
        <v/>
      </c>
      <c r="C57" s="7" t="n">
        <f aca="false">Scoring!C64</f>
        <v>0</v>
      </c>
      <c r="D57" s="188" t="str">
        <f aca="false">Scoring!CQ64</f>
        <v/>
      </c>
      <c r="E57" s="7" t="str">
        <f aca="false">Scoring!BR64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Scoring!CS64</f>
        <v/>
      </c>
      <c r="I57" s="189" t="str">
        <f aca="false">Scoring!CR64</f>
        <v/>
      </c>
    </row>
    <row r="58" customFormat="false" ht="15.75" hidden="false" customHeight="false" outlineLevel="0" collapsed="false">
      <c r="A58" s="7" t="str">
        <f aca="false">Scoring!CU65</f>
        <v/>
      </c>
      <c r="B58" s="7" t="str">
        <f aca="false">Scoring!CT65</f>
        <v/>
      </c>
      <c r="C58" s="7" t="n">
        <f aca="false">Scoring!C65</f>
        <v>0</v>
      </c>
      <c r="D58" s="188" t="str">
        <f aca="false">Scoring!CQ65</f>
        <v/>
      </c>
      <c r="E58" s="7" t="str">
        <f aca="false">Scoring!BR65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Scoring!CS65</f>
        <v/>
      </c>
      <c r="I58" s="189" t="str">
        <f aca="false">Scoring!CR65</f>
        <v/>
      </c>
    </row>
    <row r="59" customFormat="false" ht="15.75" hidden="false" customHeight="false" outlineLevel="0" collapsed="false">
      <c r="A59" s="7" t="str">
        <f aca="false">Scoring!CU66</f>
        <v/>
      </c>
      <c r="B59" s="7" t="str">
        <f aca="false">Scoring!CT66</f>
        <v/>
      </c>
      <c r="C59" s="7" t="n">
        <f aca="false">Scoring!C66</f>
        <v>0</v>
      </c>
      <c r="D59" s="188" t="str">
        <f aca="false">Scoring!CQ66</f>
        <v/>
      </c>
      <c r="E59" s="7" t="str">
        <f aca="false">Scoring!BR66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Scoring!CS66</f>
        <v/>
      </c>
      <c r="I59" s="189" t="str">
        <f aca="false">Scoring!CR66</f>
        <v/>
      </c>
    </row>
    <row r="60" customFormat="false" ht="15.75" hidden="false" customHeight="false" outlineLevel="0" collapsed="false">
      <c r="A60" s="7" t="str">
        <f aca="false">Scoring!CU67</f>
        <v/>
      </c>
      <c r="B60" s="7" t="str">
        <f aca="false">Scoring!CT67</f>
        <v/>
      </c>
      <c r="C60" s="7" t="n">
        <f aca="false">Scoring!C67</f>
        <v>0</v>
      </c>
      <c r="D60" s="188" t="str">
        <f aca="false">Scoring!CQ67</f>
        <v/>
      </c>
      <c r="E60" s="7" t="str">
        <f aca="false">Scoring!BR67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Scoring!CS67</f>
        <v/>
      </c>
      <c r="I60" s="189" t="str">
        <f aca="false">Scoring!CR67</f>
        <v/>
      </c>
    </row>
    <row r="61" customFormat="false" ht="15.75" hidden="false" customHeight="false" outlineLevel="0" collapsed="false">
      <c r="A61" s="7" t="str">
        <f aca="false">Scoring!CU68</f>
        <v/>
      </c>
      <c r="B61" s="7" t="str">
        <f aca="false">Scoring!CT68</f>
        <v/>
      </c>
      <c r="C61" s="7" t="n">
        <f aca="false">Scoring!C68</f>
        <v>0</v>
      </c>
      <c r="D61" s="188" t="str">
        <f aca="false">Scoring!CQ68</f>
        <v/>
      </c>
      <c r="E61" s="7" t="str">
        <f aca="false">Scoring!BR68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Scoring!CS68</f>
        <v/>
      </c>
      <c r="I61" s="189" t="str">
        <f aca="false">Scoring!CR68</f>
        <v/>
      </c>
    </row>
    <row r="62" customFormat="false" ht="15.75" hidden="false" customHeight="false" outlineLevel="0" collapsed="false">
      <c r="A62" s="7" t="str">
        <f aca="false">Scoring!CU69</f>
        <v/>
      </c>
      <c r="B62" s="7" t="str">
        <f aca="false">Scoring!CT69</f>
        <v/>
      </c>
      <c r="C62" s="7" t="n">
        <f aca="false">Scoring!C69</f>
        <v>0</v>
      </c>
      <c r="D62" s="188" t="str">
        <f aca="false">Scoring!CQ69</f>
        <v/>
      </c>
      <c r="E62" s="7" t="str">
        <f aca="false">Scoring!BR69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Scoring!CS69</f>
        <v/>
      </c>
      <c r="I62" s="189" t="str">
        <f aca="false">Scoring!CR69</f>
        <v/>
      </c>
    </row>
    <row r="63" customFormat="false" ht="15.75" hidden="false" customHeight="false" outlineLevel="0" collapsed="false">
      <c r="A63" s="7" t="str">
        <f aca="false">Scoring!CU70</f>
        <v/>
      </c>
      <c r="B63" s="7" t="str">
        <f aca="false">Scoring!CT70</f>
        <v/>
      </c>
      <c r="C63" s="7" t="n">
        <f aca="false">Scoring!C70</f>
        <v>0</v>
      </c>
      <c r="D63" s="188" t="str">
        <f aca="false">Scoring!CQ70</f>
        <v/>
      </c>
      <c r="E63" s="7" t="str">
        <f aca="false">Scoring!BR70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Scoring!CS70</f>
        <v/>
      </c>
      <c r="I63" s="189" t="str">
        <f aca="false">Scoring!CR70</f>
        <v/>
      </c>
    </row>
    <row r="64" customFormat="false" ht="15.75" hidden="false" customHeight="false" outlineLevel="0" collapsed="false">
      <c r="A64" s="7" t="str">
        <f aca="false">Scoring!CU71</f>
        <v/>
      </c>
      <c r="B64" s="7" t="str">
        <f aca="false">Scoring!CT71</f>
        <v/>
      </c>
      <c r="C64" s="7" t="n">
        <f aca="false">Scoring!C71</f>
        <v>0</v>
      </c>
      <c r="D64" s="188" t="str">
        <f aca="false">Scoring!CQ71</f>
        <v/>
      </c>
      <c r="E64" s="7" t="str">
        <f aca="false">Scoring!BR71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Scoring!CS71</f>
        <v/>
      </c>
      <c r="I64" s="189" t="str">
        <f aca="false">Scoring!CR71</f>
        <v/>
      </c>
    </row>
    <row r="65" customFormat="false" ht="15.75" hidden="false" customHeight="false" outlineLevel="0" collapsed="false">
      <c r="A65" s="7" t="str">
        <f aca="false">Scoring!CU72</f>
        <v/>
      </c>
      <c r="B65" s="7" t="str">
        <f aca="false">Scoring!CT72</f>
        <v/>
      </c>
      <c r="C65" s="7" t="n">
        <f aca="false">Scoring!C72</f>
        <v>0</v>
      </c>
      <c r="D65" s="188" t="str">
        <f aca="false">Scoring!CQ72</f>
        <v/>
      </c>
      <c r="E65" s="7" t="str">
        <f aca="false">Scoring!BR72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Scoring!CS72</f>
        <v/>
      </c>
      <c r="I65" s="189" t="str">
        <f aca="false">Scoring!CR72</f>
        <v/>
      </c>
    </row>
    <row r="66" customFormat="false" ht="15.75" hidden="false" customHeight="false" outlineLevel="0" collapsed="false">
      <c r="A66" s="7" t="str">
        <f aca="false">Scoring!CU73</f>
        <v/>
      </c>
      <c r="B66" s="7" t="str">
        <f aca="false">Scoring!CT73</f>
        <v/>
      </c>
      <c r="C66" s="7" t="n">
        <f aca="false">Scoring!C73</f>
        <v>0</v>
      </c>
      <c r="D66" s="188" t="str">
        <f aca="false">Scoring!CQ73</f>
        <v/>
      </c>
      <c r="E66" s="7" t="str">
        <f aca="false">Scoring!BR73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Scoring!CS73</f>
        <v/>
      </c>
      <c r="I66" s="189" t="str">
        <f aca="false">Scoring!CR73</f>
        <v/>
      </c>
    </row>
    <row r="67" customFormat="false" ht="15.75" hidden="false" customHeight="false" outlineLevel="0" collapsed="false">
      <c r="A67" s="7" t="str">
        <f aca="false">Scoring!CU74</f>
        <v/>
      </c>
      <c r="B67" s="7" t="str">
        <f aca="false">Scoring!CT74</f>
        <v/>
      </c>
      <c r="C67" s="7" t="n">
        <f aca="false">Scoring!C74</f>
        <v>0</v>
      </c>
      <c r="D67" s="188" t="str">
        <f aca="false">Scoring!CQ74</f>
        <v/>
      </c>
      <c r="E67" s="7" t="str">
        <f aca="false">Scoring!BR74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Scoring!CS74</f>
        <v/>
      </c>
      <c r="I67" s="189" t="str">
        <f aca="false">Scoring!CR74</f>
        <v/>
      </c>
    </row>
    <row r="68" customFormat="false" ht="15.75" hidden="false" customHeight="false" outlineLevel="0" collapsed="false">
      <c r="A68" s="7" t="str">
        <f aca="false">Scoring!CU75</f>
        <v/>
      </c>
      <c r="B68" s="7" t="str">
        <f aca="false">Scoring!CT75</f>
        <v/>
      </c>
      <c r="C68" s="7" t="n">
        <f aca="false">Scoring!C75</f>
        <v>0</v>
      </c>
      <c r="D68" s="188" t="str">
        <f aca="false">Scoring!CQ75</f>
        <v/>
      </c>
      <c r="E68" s="7" t="str">
        <f aca="false">Scoring!BR75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Scoring!CS75</f>
        <v/>
      </c>
      <c r="I68" s="189" t="str">
        <f aca="false">Scoring!CR75</f>
        <v/>
      </c>
    </row>
    <row r="69" customFormat="false" ht="15.75" hidden="false" customHeight="false" outlineLevel="0" collapsed="false">
      <c r="A69" s="7" t="str">
        <f aca="false">Scoring!CU76</f>
        <v/>
      </c>
      <c r="B69" s="7" t="str">
        <f aca="false">Scoring!CT76</f>
        <v/>
      </c>
      <c r="C69" s="7" t="n">
        <f aca="false">Scoring!C76</f>
        <v>0</v>
      </c>
      <c r="D69" s="188" t="str">
        <f aca="false">Scoring!CQ76</f>
        <v/>
      </c>
      <c r="E69" s="7" t="str">
        <f aca="false">Scoring!BR76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Scoring!CS76</f>
        <v/>
      </c>
      <c r="I69" s="189" t="str">
        <f aca="false">Scoring!CR76</f>
        <v/>
      </c>
    </row>
    <row r="70" customFormat="false" ht="15.75" hidden="false" customHeight="false" outlineLevel="0" collapsed="false">
      <c r="A70" s="7" t="str">
        <f aca="false">Scoring!CU77</f>
        <v/>
      </c>
      <c r="B70" s="7" t="str">
        <f aca="false">Scoring!CT77</f>
        <v/>
      </c>
      <c r="C70" s="7" t="n">
        <f aca="false">Scoring!C77</f>
        <v>0</v>
      </c>
      <c r="D70" s="188" t="str">
        <f aca="false">Scoring!CQ77</f>
        <v/>
      </c>
      <c r="E70" s="7" t="str">
        <f aca="false">Scoring!BR77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Scoring!CS77</f>
        <v/>
      </c>
      <c r="I70" s="189" t="str">
        <f aca="false">Scoring!CR77</f>
        <v/>
      </c>
    </row>
    <row r="71" customFormat="false" ht="15.75" hidden="false" customHeight="false" outlineLevel="0" collapsed="false">
      <c r="A71" s="7" t="str">
        <f aca="false">Scoring!CU78</f>
        <v/>
      </c>
      <c r="B71" s="7" t="str">
        <f aca="false">Scoring!CT78</f>
        <v/>
      </c>
      <c r="C71" s="7" t="n">
        <f aca="false">Scoring!C78</f>
        <v>0</v>
      </c>
      <c r="D71" s="188" t="str">
        <f aca="false">Scoring!CQ78</f>
        <v/>
      </c>
      <c r="E71" s="7" t="str">
        <f aca="false">Scoring!BR78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Scoring!CS78</f>
        <v/>
      </c>
      <c r="I71" s="189" t="str">
        <f aca="false">Scoring!CR78</f>
        <v/>
      </c>
    </row>
    <row r="72" customFormat="false" ht="15.75" hidden="false" customHeight="false" outlineLevel="0" collapsed="false">
      <c r="A72" s="7" t="str">
        <f aca="false">Scoring!CU79</f>
        <v/>
      </c>
      <c r="B72" s="7" t="str">
        <f aca="false">Scoring!CT79</f>
        <v/>
      </c>
      <c r="C72" s="7" t="n">
        <f aca="false">Scoring!C79</f>
        <v>0</v>
      </c>
      <c r="D72" s="188" t="str">
        <f aca="false">Scoring!CQ79</f>
        <v/>
      </c>
      <c r="E72" s="7" t="str">
        <f aca="false">Scoring!BR79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Scoring!CS79</f>
        <v/>
      </c>
      <c r="I72" s="189" t="str">
        <f aca="false">Scoring!CR79</f>
        <v/>
      </c>
    </row>
    <row r="73" customFormat="false" ht="15.75" hidden="false" customHeight="false" outlineLevel="0" collapsed="false">
      <c r="A73" s="7" t="str">
        <f aca="false">Scoring!CU80</f>
        <v/>
      </c>
      <c r="B73" s="7" t="str">
        <f aca="false">Scoring!CT80</f>
        <v/>
      </c>
      <c r="C73" s="7" t="n">
        <f aca="false">Scoring!C80</f>
        <v>0</v>
      </c>
      <c r="D73" s="188" t="str">
        <f aca="false">Scoring!CQ80</f>
        <v/>
      </c>
      <c r="E73" s="7" t="str">
        <f aca="false">Scoring!BR80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Scoring!CS80</f>
        <v/>
      </c>
      <c r="I73" s="189" t="str">
        <f aca="false">Scoring!CR80</f>
        <v/>
      </c>
    </row>
    <row r="74" customFormat="false" ht="15.75" hidden="false" customHeight="false" outlineLevel="0" collapsed="false">
      <c r="A74" s="7" t="str">
        <f aca="false">Scoring!CU81</f>
        <v/>
      </c>
      <c r="B74" s="7" t="str">
        <f aca="false">Scoring!CT81</f>
        <v/>
      </c>
      <c r="C74" s="7" t="n">
        <f aca="false">Scoring!C81</f>
        <v>0</v>
      </c>
      <c r="D74" s="188" t="str">
        <f aca="false">Scoring!CQ81</f>
        <v/>
      </c>
      <c r="E74" s="7" t="str">
        <f aca="false">Scoring!BR81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Scoring!CS81</f>
        <v/>
      </c>
      <c r="I74" s="189" t="str">
        <f aca="false">Scoring!CR81</f>
        <v/>
      </c>
    </row>
    <row r="75" customFormat="false" ht="15.75" hidden="false" customHeight="false" outlineLevel="0" collapsed="false">
      <c r="A75" s="7" t="str">
        <f aca="false">Scoring!CU82</f>
        <v/>
      </c>
      <c r="B75" s="7" t="str">
        <f aca="false">Scoring!CT82</f>
        <v/>
      </c>
      <c r="C75" s="7" t="n">
        <f aca="false">Scoring!C82</f>
        <v>0</v>
      </c>
      <c r="D75" s="188" t="str">
        <f aca="false">Scoring!CQ82</f>
        <v/>
      </c>
      <c r="E75" s="7" t="str">
        <f aca="false">Scoring!BR82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Scoring!CS82</f>
        <v/>
      </c>
      <c r="I75" s="189" t="str">
        <f aca="false">Scoring!CR82</f>
        <v/>
      </c>
    </row>
    <row r="76" customFormat="false" ht="15.75" hidden="false" customHeight="false" outlineLevel="0" collapsed="false">
      <c r="A76" s="7" t="str">
        <f aca="false">Scoring!CU83</f>
        <v/>
      </c>
      <c r="B76" s="7" t="str">
        <f aca="false">Scoring!CT83</f>
        <v/>
      </c>
      <c r="C76" s="7" t="n">
        <f aca="false">Scoring!C83</f>
        <v>0</v>
      </c>
      <c r="D76" s="188" t="str">
        <f aca="false">Scoring!CQ83</f>
        <v/>
      </c>
      <c r="E76" s="7" t="str">
        <f aca="false">Scoring!BR83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Scoring!CS83</f>
        <v/>
      </c>
      <c r="I76" s="189" t="str">
        <f aca="false">Scoring!CR83</f>
        <v/>
      </c>
    </row>
    <row r="77" customFormat="false" ht="15.75" hidden="false" customHeight="false" outlineLevel="0" collapsed="false">
      <c r="A77" s="7" t="str">
        <f aca="false">Scoring!CU84</f>
        <v/>
      </c>
      <c r="B77" s="7" t="str">
        <f aca="false">Scoring!CT84</f>
        <v/>
      </c>
      <c r="C77" s="7" t="n">
        <f aca="false">Scoring!C84</f>
        <v>0</v>
      </c>
      <c r="D77" s="188" t="str">
        <f aca="false">Scoring!CQ84</f>
        <v/>
      </c>
      <c r="E77" s="7" t="str">
        <f aca="false">Scoring!BR84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Scoring!CS84</f>
        <v/>
      </c>
      <c r="I77" s="189" t="str">
        <f aca="false">Scoring!CR84</f>
        <v/>
      </c>
    </row>
    <row r="78" customFormat="false" ht="15.75" hidden="false" customHeight="false" outlineLevel="0" collapsed="false">
      <c r="A78" s="7" t="str">
        <f aca="false">Scoring!CU85</f>
        <v/>
      </c>
      <c r="B78" s="7" t="str">
        <f aca="false">Scoring!CT85</f>
        <v/>
      </c>
      <c r="C78" s="7" t="n">
        <f aca="false">Scoring!C85</f>
        <v>0</v>
      </c>
      <c r="D78" s="188" t="str">
        <f aca="false">Scoring!CQ85</f>
        <v/>
      </c>
      <c r="E78" s="7" t="str">
        <f aca="false">Scoring!BR85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Scoring!CS85</f>
        <v/>
      </c>
      <c r="I78" s="189" t="str">
        <f aca="false">Scoring!CR85</f>
        <v/>
      </c>
    </row>
    <row r="79" customFormat="false" ht="15.75" hidden="false" customHeight="false" outlineLevel="0" collapsed="false">
      <c r="A79" s="7" t="str">
        <f aca="false">Scoring!CU86</f>
        <v/>
      </c>
      <c r="B79" s="7" t="str">
        <f aca="false">Scoring!CT86</f>
        <v/>
      </c>
      <c r="C79" s="7" t="n">
        <f aca="false">Scoring!C86</f>
        <v>0</v>
      </c>
      <c r="D79" s="188" t="str">
        <f aca="false">Scoring!CQ86</f>
        <v/>
      </c>
      <c r="E79" s="7" t="str">
        <f aca="false">Scoring!BR86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Scoring!CS86</f>
        <v/>
      </c>
      <c r="I79" s="189" t="str">
        <f aca="false">Scoring!CR86</f>
        <v/>
      </c>
    </row>
    <row r="80" customFormat="false" ht="15.75" hidden="false" customHeight="false" outlineLevel="0" collapsed="false">
      <c r="A80" s="7" t="str">
        <f aca="false">Scoring!CU87</f>
        <v/>
      </c>
      <c r="B80" s="7" t="str">
        <f aca="false">Scoring!CT87</f>
        <v/>
      </c>
      <c r="C80" s="7" t="n">
        <f aca="false">Scoring!C87</f>
        <v>0</v>
      </c>
      <c r="D80" s="188" t="str">
        <f aca="false">Scoring!CQ87</f>
        <v/>
      </c>
      <c r="E80" s="7" t="str">
        <f aca="false">Scoring!BR87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Scoring!CS87</f>
        <v/>
      </c>
      <c r="I80" s="189" t="str">
        <f aca="false">Scoring!CR87</f>
        <v/>
      </c>
    </row>
    <row r="81" customFormat="false" ht="15.75" hidden="false" customHeight="false" outlineLevel="0" collapsed="false">
      <c r="A81" s="7" t="str">
        <f aca="false">Scoring!CU88</f>
        <v/>
      </c>
      <c r="B81" s="7" t="str">
        <f aca="false">Scoring!CT88</f>
        <v/>
      </c>
      <c r="C81" s="7" t="n">
        <f aca="false">Scoring!C88</f>
        <v>0</v>
      </c>
      <c r="D81" s="188" t="str">
        <f aca="false">Scoring!CQ88</f>
        <v/>
      </c>
      <c r="E81" s="7" t="str">
        <f aca="false">Scoring!BR88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Scoring!CS88</f>
        <v/>
      </c>
      <c r="I81" s="189" t="str">
        <f aca="false">Scoring!CR88</f>
        <v/>
      </c>
    </row>
    <row r="82" customFormat="false" ht="15.75" hidden="false" customHeight="false" outlineLevel="0" collapsed="false">
      <c r="A82" s="7" t="str">
        <f aca="false">Scoring!CU89</f>
        <v/>
      </c>
      <c r="B82" s="7" t="str">
        <f aca="false">Scoring!CT89</f>
        <v/>
      </c>
      <c r="C82" s="7" t="n">
        <f aca="false">Scoring!C89</f>
        <v>0</v>
      </c>
      <c r="D82" s="188" t="str">
        <f aca="false">Scoring!CQ89</f>
        <v/>
      </c>
      <c r="E82" s="7" t="str">
        <f aca="false">Scoring!BR89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Scoring!CS89</f>
        <v/>
      </c>
      <c r="I82" s="189" t="str">
        <f aca="false">Scoring!CR89</f>
        <v/>
      </c>
    </row>
    <row r="83" customFormat="false" ht="15.75" hidden="false" customHeight="false" outlineLevel="0" collapsed="false">
      <c r="A83" s="7" t="str">
        <f aca="false">Scoring!CU90</f>
        <v/>
      </c>
      <c r="B83" s="7" t="str">
        <f aca="false">Scoring!CT90</f>
        <v/>
      </c>
      <c r="C83" s="7" t="n">
        <f aca="false">Scoring!C90</f>
        <v>0</v>
      </c>
      <c r="D83" s="188" t="str">
        <f aca="false">Scoring!CQ90</f>
        <v/>
      </c>
      <c r="E83" s="7" t="str">
        <f aca="false">Scoring!BR90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Scoring!CS90</f>
        <v/>
      </c>
      <c r="I83" s="189" t="str">
        <f aca="false">Scoring!CR90</f>
        <v/>
      </c>
    </row>
    <row r="84" customFormat="false" ht="15.75" hidden="false" customHeight="false" outlineLevel="0" collapsed="false">
      <c r="A84" s="7" t="str">
        <f aca="false">Scoring!CU91</f>
        <v/>
      </c>
      <c r="B84" s="7" t="str">
        <f aca="false">Scoring!CT91</f>
        <v/>
      </c>
      <c r="C84" s="7" t="n">
        <f aca="false">Scoring!C91</f>
        <v>0</v>
      </c>
      <c r="D84" s="188" t="str">
        <f aca="false">Scoring!CQ91</f>
        <v/>
      </c>
      <c r="E84" s="7" t="str">
        <f aca="false">Scoring!BR91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Scoring!CS91</f>
        <v/>
      </c>
      <c r="I84" s="189" t="str">
        <f aca="false">Scoring!CR91</f>
        <v/>
      </c>
    </row>
    <row r="85" customFormat="false" ht="15.75" hidden="false" customHeight="false" outlineLevel="0" collapsed="false">
      <c r="A85" s="7" t="str">
        <f aca="false">Scoring!CU92</f>
        <v/>
      </c>
      <c r="B85" s="7" t="str">
        <f aca="false">Scoring!CT92</f>
        <v/>
      </c>
      <c r="C85" s="7" t="n">
        <f aca="false">Scoring!C92</f>
        <v>0</v>
      </c>
      <c r="D85" s="188" t="str">
        <f aca="false">Scoring!CQ92</f>
        <v/>
      </c>
      <c r="E85" s="7" t="str">
        <f aca="false">Scoring!BR92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Scoring!CS92</f>
        <v/>
      </c>
      <c r="I85" s="189" t="str">
        <f aca="false">Scoring!CR92</f>
        <v/>
      </c>
    </row>
    <row r="86" customFormat="false" ht="15.75" hidden="false" customHeight="false" outlineLevel="0" collapsed="false">
      <c r="A86" s="7" t="str">
        <f aca="false">Scoring!CU93</f>
        <v/>
      </c>
      <c r="B86" s="7" t="str">
        <f aca="false">Scoring!CT93</f>
        <v/>
      </c>
      <c r="C86" s="7" t="n">
        <f aca="false">Scoring!C93</f>
        <v>0</v>
      </c>
      <c r="D86" s="188" t="str">
        <f aca="false">Scoring!CQ93</f>
        <v/>
      </c>
      <c r="E86" s="7" t="str">
        <f aca="false">Scoring!BR93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Scoring!CS93</f>
        <v/>
      </c>
      <c r="I86" s="189" t="str">
        <f aca="false">Scoring!CR93</f>
        <v/>
      </c>
    </row>
    <row r="87" customFormat="false" ht="15.75" hidden="false" customHeight="false" outlineLevel="0" collapsed="false">
      <c r="A87" s="7" t="str">
        <f aca="false">Scoring!CU94</f>
        <v/>
      </c>
      <c r="B87" s="7" t="str">
        <f aca="false">Scoring!CT94</f>
        <v/>
      </c>
      <c r="C87" s="7" t="n">
        <f aca="false">Scoring!C94</f>
        <v>0</v>
      </c>
      <c r="D87" s="188" t="str">
        <f aca="false">Scoring!CQ94</f>
        <v/>
      </c>
      <c r="E87" s="7" t="str">
        <f aca="false">Scoring!BR94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Scoring!CS94</f>
        <v/>
      </c>
      <c r="I87" s="189" t="str">
        <f aca="false">Scoring!CR94</f>
        <v/>
      </c>
    </row>
    <row r="88" customFormat="false" ht="15.75" hidden="false" customHeight="false" outlineLevel="0" collapsed="false">
      <c r="A88" s="7" t="str">
        <f aca="false">Scoring!CU95</f>
        <v/>
      </c>
      <c r="B88" s="7" t="str">
        <f aca="false">Scoring!CT95</f>
        <v/>
      </c>
      <c r="C88" s="7" t="n">
        <f aca="false">Scoring!C95</f>
        <v>0</v>
      </c>
      <c r="D88" s="188" t="str">
        <f aca="false">Scoring!CQ95</f>
        <v/>
      </c>
      <c r="E88" s="7" t="str">
        <f aca="false">Scoring!BR95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Scoring!CS95</f>
        <v/>
      </c>
      <c r="I88" s="189" t="str">
        <f aca="false">Scoring!CR95</f>
        <v/>
      </c>
    </row>
    <row r="89" customFormat="false" ht="15.75" hidden="false" customHeight="false" outlineLevel="0" collapsed="false">
      <c r="A89" s="7" t="str">
        <f aca="false">Scoring!CU96</f>
        <v/>
      </c>
      <c r="B89" s="7" t="str">
        <f aca="false">Scoring!CT96</f>
        <v/>
      </c>
      <c r="C89" s="7" t="n">
        <f aca="false">Scoring!C96</f>
        <v>0</v>
      </c>
      <c r="D89" s="188" t="str">
        <f aca="false">Scoring!CQ96</f>
        <v/>
      </c>
      <c r="E89" s="7" t="str">
        <f aca="false">Scoring!BR96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Scoring!CS96</f>
        <v/>
      </c>
      <c r="I89" s="189" t="str">
        <f aca="false">Scoring!CR96</f>
        <v/>
      </c>
    </row>
    <row r="90" customFormat="false" ht="15.75" hidden="false" customHeight="false" outlineLevel="0" collapsed="false">
      <c r="A90" s="7" t="str">
        <f aca="false">Scoring!CU97</f>
        <v/>
      </c>
      <c r="B90" s="7" t="str">
        <f aca="false">Scoring!CT97</f>
        <v/>
      </c>
      <c r="C90" s="7" t="n">
        <f aca="false">Scoring!C97</f>
        <v>0</v>
      </c>
      <c r="D90" s="188" t="str">
        <f aca="false">Scoring!CQ97</f>
        <v/>
      </c>
      <c r="E90" s="7" t="str">
        <f aca="false">Scoring!BR97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Scoring!CS97</f>
        <v/>
      </c>
      <c r="I90" s="189" t="str">
        <f aca="false">Scoring!CR97</f>
        <v/>
      </c>
    </row>
    <row r="91" customFormat="false" ht="15.75" hidden="false" customHeight="false" outlineLevel="0" collapsed="false">
      <c r="A91" s="7" t="str">
        <f aca="false">Scoring!CU98</f>
        <v/>
      </c>
      <c r="B91" s="7" t="str">
        <f aca="false">Scoring!CT98</f>
        <v/>
      </c>
      <c r="C91" s="7" t="n">
        <f aca="false">Scoring!C98</f>
        <v>0</v>
      </c>
      <c r="D91" s="188" t="str">
        <f aca="false">Scoring!CQ98</f>
        <v/>
      </c>
      <c r="E91" s="7" t="str">
        <f aca="false">Scoring!BR98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Scoring!CS98</f>
        <v/>
      </c>
      <c r="I91" s="189" t="str">
        <f aca="false">Scoring!CR98</f>
        <v/>
      </c>
    </row>
    <row r="92" customFormat="false" ht="15.75" hidden="false" customHeight="false" outlineLevel="0" collapsed="false">
      <c r="A92" s="7" t="str">
        <f aca="false">Scoring!CU99</f>
        <v/>
      </c>
      <c r="B92" s="7" t="str">
        <f aca="false">Scoring!CT99</f>
        <v/>
      </c>
      <c r="C92" s="7" t="n">
        <f aca="false">Scoring!C99</f>
        <v>0</v>
      </c>
      <c r="D92" s="188" t="str">
        <f aca="false">Scoring!CQ99</f>
        <v/>
      </c>
      <c r="E92" s="7" t="str">
        <f aca="false">Scoring!BR99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Scoring!CS99</f>
        <v/>
      </c>
      <c r="I92" s="189" t="str">
        <f aca="false">Scoring!CR99</f>
        <v/>
      </c>
    </row>
    <row r="93" customFormat="false" ht="15.75" hidden="false" customHeight="false" outlineLevel="0" collapsed="false">
      <c r="A93" s="7" t="str">
        <f aca="false">Scoring!CU100</f>
        <v/>
      </c>
      <c r="B93" s="7" t="str">
        <f aca="false">Scoring!CT100</f>
        <v/>
      </c>
      <c r="C93" s="7" t="n">
        <f aca="false">Scoring!C100</f>
        <v>0</v>
      </c>
      <c r="D93" s="188" t="str">
        <f aca="false">Scoring!CQ100</f>
        <v/>
      </c>
      <c r="E93" s="7" t="str">
        <f aca="false">Scoring!BR100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Scoring!CS100</f>
        <v/>
      </c>
      <c r="I93" s="189" t="str">
        <f aca="false">Scoring!CR100</f>
        <v/>
      </c>
    </row>
    <row r="94" customFormat="false" ht="15.75" hidden="false" customHeight="false" outlineLevel="0" collapsed="false">
      <c r="A94" s="7" t="str">
        <f aca="false">Scoring!CU101</f>
        <v/>
      </c>
      <c r="B94" s="7" t="str">
        <f aca="false">Scoring!CT101</f>
        <v/>
      </c>
      <c r="C94" s="7" t="n">
        <f aca="false">Scoring!C101</f>
        <v>0</v>
      </c>
      <c r="D94" s="188" t="str">
        <f aca="false">Scoring!CQ101</f>
        <v/>
      </c>
      <c r="E94" s="7" t="str">
        <f aca="false">Scoring!BR101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Scoring!CS101</f>
        <v/>
      </c>
      <c r="I94" s="189" t="str">
        <f aca="false">Scoring!CR101</f>
        <v/>
      </c>
    </row>
    <row r="95" customFormat="false" ht="15.75" hidden="false" customHeight="false" outlineLevel="0" collapsed="false">
      <c r="A95" s="7" t="str">
        <f aca="false">Scoring!CU102</f>
        <v/>
      </c>
      <c r="B95" s="7" t="str">
        <f aca="false">Scoring!CT102</f>
        <v/>
      </c>
      <c r="C95" s="7" t="n">
        <f aca="false">Scoring!C102</f>
        <v>0</v>
      </c>
      <c r="D95" s="188" t="str">
        <f aca="false">Scoring!CQ102</f>
        <v/>
      </c>
      <c r="E95" s="7" t="str">
        <f aca="false">Scoring!BR102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Scoring!CS102</f>
        <v/>
      </c>
      <c r="I95" s="189" t="str">
        <f aca="false">Scoring!CR102</f>
        <v/>
      </c>
    </row>
    <row r="96" customFormat="false" ht="15.75" hidden="false" customHeight="false" outlineLevel="0" collapsed="false">
      <c r="A96" s="7" t="str">
        <f aca="false">Scoring!CU103</f>
        <v/>
      </c>
      <c r="B96" s="7" t="str">
        <f aca="false">Scoring!CT103</f>
        <v/>
      </c>
      <c r="C96" s="7" t="n">
        <f aca="false">Scoring!C103</f>
        <v>0</v>
      </c>
      <c r="D96" s="188" t="str">
        <f aca="false">Scoring!CQ103</f>
        <v/>
      </c>
      <c r="E96" s="7" t="str">
        <f aca="false">Scoring!BR103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Scoring!CS103</f>
        <v/>
      </c>
      <c r="I96" s="189" t="str">
        <f aca="false">Scoring!CR103</f>
        <v/>
      </c>
    </row>
    <row r="97" customFormat="false" ht="15.75" hidden="false" customHeight="false" outlineLevel="0" collapsed="false">
      <c r="A97" s="7" t="str">
        <f aca="false">Scoring!CU104</f>
        <v/>
      </c>
      <c r="B97" s="7" t="str">
        <f aca="false">Scoring!CT104</f>
        <v/>
      </c>
      <c r="C97" s="7" t="n">
        <f aca="false">Scoring!C104</f>
        <v>0</v>
      </c>
      <c r="D97" s="188" t="str">
        <f aca="false">Scoring!CQ104</f>
        <v/>
      </c>
      <c r="E97" s="7" t="str">
        <f aca="false">Scoring!BR104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Scoring!CS104</f>
        <v/>
      </c>
      <c r="I97" s="189" t="str">
        <f aca="false">Scoring!CR104</f>
        <v/>
      </c>
    </row>
    <row r="98" customFormat="false" ht="15.75" hidden="false" customHeight="false" outlineLevel="0" collapsed="false">
      <c r="A98" s="7" t="str">
        <f aca="false">Scoring!CU105</f>
        <v/>
      </c>
      <c r="B98" s="7" t="str">
        <f aca="false">Scoring!CT105</f>
        <v/>
      </c>
      <c r="C98" s="7" t="n">
        <f aca="false">Scoring!C105</f>
        <v>0</v>
      </c>
      <c r="D98" s="188" t="str">
        <f aca="false">Scoring!CQ105</f>
        <v/>
      </c>
      <c r="E98" s="7" t="str">
        <f aca="false">Scoring!BR105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Scoring!CS105</f>
        <v/>
      </c>
      <c r="I98" s="189" t="str">
        <f aca="false">Scoring!CR105</f>
        <v/>
      </c>
    </row>
    <row r="99" customFormat="false" ht="15.75" hidden="false" customHeight="false" outlineLevel="0" collapsed="false">
      <c r="A99" s="7" t="str">
        <f aca="false">Scoring!CU106</f>
        <v/>
      </c>
      <c r="B99" s="7" t="str">
        <f aca="false">Scoring!CT106</f>
        <v/>
      </c>
      <c r="C99" s="7" t="n">
        <f aca="false">Scoring!C106</f>
        <v>0</v>
      </c>
      <c r="D99" s="188" t="str">
        <f aca="false">Scoring!CQ106</f>
        <v/>
      </c>
      <c r="E99" s="7" t="str">
        <f aca="false">Scoring!BR106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Scoring!CS106</f>
        <v/>
      </c>
      <c r="I99" s="189" t="str">
        <f aca="false">Scoring!CR106</f>
        <v/>
      </c>
    </row>
    <row r="100" customFormat="false" ht="15.75" hidden="false" customHeight="false" outlineLevel="0" collapsed="false">
      <c r="A100" s="7" t="str">
        <f aca="false">Scoring!CU107</f>
        <v/>
      </c>
      <c r="B100" s="7" t="str">
        <f aca="false">Scoring!CT107</f>
        <v/>
      </c>
      <c r="C100" s="7" t="n">
        <f aca="false">Scoring!C107</f>
        <v>0</v>
      </c>
      <c r="D100" s="188" t="str">
        <f aca="false">Scoring!CQ107</f>
        <v/>
      </c>
      <c r="E100" s="7" t="str">
        <f aca="false">Scoring!BR107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Scoring!CS107</f>
        <v/>
      </c>
      <c r="I100" s="189" t="str">
        <f aca="false">Scoring!CR107</f>
        <v/>
      </c>
    </row>
    <row r="101" customFormat="false" ht="15.75" hidden="false" customHeight="false" outlineLevel="0" collapsed="false">
      <c r="A101" s="7" t="str">
        <f aca="false">Scoring!CU108</f>
        <v/>
      </c>
      <c r="B101" s="7" t="str">
        <f aca="false">Scoring!CT108</f>
        <v/>
      </c>
      <c r="C101" s="7" t="n">
        <f aca="false">Scoring!C108</f>
        <v>0</v>
      </c>
      <c r="D101" s="188" t="str">
        <f aca="false">Scoring!CQ108</f>
        <v/>
      </c>
      <c r="E101" s="7" t="str">
        <f aca="false">Scoring!BR108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Scoring!CS108</f>
        <v/>
      </c>
      <c r="I101" s="189" t="str">
        <f aca="false">Scoring!CR108</f>
        <v/>
      </c>
    </row>
    <row r="102" customFormat="false" ht="15.75" hidden="false" customHeight="false" outlineLevel="0" collapsed="false">
      <c r="A102" s="7" t="str">
        <f aca="false">Scoring!CU109</f>
        <v/>
      </c>
      <c r="B102" s="7" t="str">
        <f aca="false">Scoring!CT109</f>
        <v/>
      </c>
      <c r="C102" s="7" t="n">
        <f aca="false">Scoring!C109</f>
        <v>0</v>
      </c>
      <c r="D102" s="188" t="str">
        <f aca="false">Scoring!CQ109</f>
        <v/>
      </c>
      <c r="E102" s="7" t="str">
        <f aca="false">Scoring!BR109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Scoring!CS109</f>
        <v/>
      </c>
      <c r="I102" s="189" t="str">
        <f aca="false">Scoring!CR109</f>
        <v/>
      </c>
    </row>
    <row r="103" customFormat="false" ht="15.75" hidden="false" customHeight="false" outlineLevel="0" collapsed="false">
      <c r="A103" s="7" t="str">
        <f aca="false">Scoring!CU110</f>
        <v/>
      </c>
      <c r="B103" s="7" t="str">
        <f aca="false">Scoring!CT110</f>
        <v/>
      </c>
      <c r="C103" s="7" t="n">
        <f aca="false">Scoring!C110</f>
        <v>0</v>
      </c>
      <c r="D103" s="188" t="str">
        <f aca="false">Scoring!CQ110</f>
        <v/>
      </c>
      <c r="E103" s="7" t="str">
        <f aca="false">Scoring!BR110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Scoring!CS110</f>
        <v/>
      </c>
      <c r="I103" s="189" t="str">
        <f aca="false">Scoring!CR110</f>
        <v/>
      </c>
    </row>
    <row r="104" customFormat="false" ht="15.75" hidden="false" customHeight="false" outlineLevel="0" collapsed="false">
      <c r="A104" s="7" t="str">
        <f aca="false">Scoring!CU111</f>
        <v/>
      </c>
      <c r="B104" s="7" t="str">
        <f aca="false">Scoring!CT111</f>
        <v/>
      </c>
      <c r="C104" s="7" t="n">
        <f aca="false">Scoring!C111</f>
        <v>0</v>
      </c>
      <c r="D104" s="188" t="str">
        <f aca="false">Scoring!CQ111</f>
        <v/>
      </c>
      <c r="E104" s="7" t="str">
        <f aca="false">Scoring!BR111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Scoring!CS111</f>
        <v/>
      </c>
      <c r="I104" s="189" t="str">
        <f aca="false">Scoring!CR111</f>
        <v/>
      </c>
    </row>
    <row r="105" customFormat="false" ht="15.75" hidden="false" customHeight="false" outlineLevel="0" collapsed="false">
      <c r="A105" s="7" t="str">
        <f aca="false">Scoring!CU112</f>
        <v/>
      </c>
      <c r="B105" s="7" t="str">
        <f aca="false">Scoring!CT112</f>
        <v/>
      </c>
      <c r="C105" s="7" t="n">
        <f aca="false">Scoring!C112</f>
        <v>0</v>
      </c>
      <c r="D105" s="188" t="str">
        <f aca="false">Scoring!CQ112</f>
        <v/>
      </c>
      <c r="E105" s="7" t="str">
        <f aca="false">Scoring!BR112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Scoring!CS112</f>
        <v/>
      </c>
      <c r="I105" s="189" t="str">
        <f aca="false">Scoring!CR112</f>
        <v/>
      </c>
    </row>
    <row r="106" customFormat="false" ht="15.75" hidden="false" customHeight="false" outlineLevel="0" collapsed="false">
      <c r="A106" s="7" t="str">
        <f aca="false">Scoring!CU113</f>
        <v/>
      </c>
      <c r="B106" s="7" t="str">
        <f aca="false">Scoring!CT113</f>
        <v/>
      </c>
      <c r="C106" s="7" t="n">
        <f aca="false">Scoring!C113</f>
        <v>0</v>
      </c>
      <c r="D106" s="188" t="str">
        <f aca="false">Scoring!CQ113</f>
        <v/>
      </c>
      <c r="E106" s="7" t="str">
        <f aca="false">Scoring!BR113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Scoring!CS113</f>
        <v/>
      </c>
      <c r="I106" s="189" t="str">
        <f aca="false">Scoring!CR113</f>
        <v/>
      </c>
    </row>
    <row r="107" customFormat="false" ht="15.75" hidden="false" customHeight="false" outlineLevel="0" collapsed="false">
      <c r="A107" s="7" t="str">
        <f aca="false">Scoring!CU114</f>
        <v/>
      </c>
      <c r="B107" s="7" t="str">
        <f aca="false">Scoring!CT114</f>
        <v/>
      </c>
      <c r="C107" s="7" t="n">
        <f aca="false">Scoring!C114</f>
        <v>0</v>
      </c>
      <c r="D107" s="188" t="str">
        <f aca="false">Scoring!CQ114</f>
        <v/>
      </c>
      <c r="E107" s="7" t="str">
        <f aca="false">Scoring!BR114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Scoring!CS114</f>
        <v/>
      </c>
      <c r="I107" s="189" t="str">
        <f aca="false">Scoring!CR114</f>
        <v/>
      </c>
    </row>
    <row r="108" customFormat="false" ht="15.75" hidden="false" customHeight="false" outlineLevel="0" collapsed="false">
      <c r="A108" s="7" t="str">
        <f aca="false">Scoring!CU115</f>
        <v/>
      </c>
      <c r="B108" s="7" t="str">
        <f aca="false">Scoring!CT115</f>
        <v/>
      </c>
      <c r="C108" s="7" t="n">
        <f aca="false">Scoring!C115</f>
        <v>0</v>
      </c>
      <c r="D108" s="188" t="str">
        <f aca="false">Scoring!CQ115</f>
        <v/>
      </c>
      <c r="E108" s="7" t="str">
        <f aca="false">Scoring!BR115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Scoring!CS115</f>
        <v/>
      </c>
      <c r="I108" s="189" t="str">
        <f aca="false">Scoring!CR115</f>
        <v/>
      </c>
    </row>
    <row r="109" customFormat="false" ht="15.75" hidden="false" customHeight="false" outlineLevel="0" collapsed="false">
      <c r="A109" s="7" t="str">
        <f aca="false">Scoring!CU116</f>
        <v/>
      </c>
      <c r="B109" s="7" t="str">
        <f aca="false">Scoring!CT116</f>
        <v/>
      </c>
      <c r="C109" s="7" t="n">
        <f aca="false">Scoring!C116</f>
        <v>0</v>
      </c>
      <c r="D109" s="188" t="str">
        <f aca="false">Scoring!CQ116</f>
        <v/>
      </c>
      <c r="E109" s="7" t="str">
        <f aca="false">Scoring!BR116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Scoring!CS116</f>
        <v/>
      </c>
      <c r="I109" s="189" t="str">
        <f aca="false">Scoring!CR116</f>
        <v/>
      </c>
    </row>
    <row r="110" customFormat="false" ht="15.75" hidden="false" customHeight="false" outlineLevel="0" collapsed="false">
      <c r="A110" s="7" t="str">
        <f aca="false">Scoring!CU117</f>
        <v/>
      </c>
      <c r="B110" s="7" t="str">
        <f aca="false">Scoring!CT117</f>
        <v/>
      </c>
      <c r="C110" s="7" t="n">
        <f aca="false">Scoring!C117</f>
        <v>0</v>
      </c>
      <c r="D110" s="188" t="str">
        <f aca="false">Scoring!CQ117</f>
        <v/>
      </c>
      <c r="E110" s="7" t="str">
        <f aca="false">Scoring!BR117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Scoring!CS117</f>
        <v/>
      </c>
      <c r="I110" s="189" t="str">
        <f aca="false">Scoring!CR117</f>
        <v/>
      </c>
    </row>
    <row r="111" customFormat="false" ht="15.75" hidden="false" customHeight="false" outlineLevel="0" collapsed="false">
      <c r="A111" s="7" t="str">
        <f aca="false">Scoring!CU118</f>
        <v/>
      </c>
      <c r="B111" s="7" t="str">
        <f aca="false">Scoring!CT118</f>
        <v/>
      </c>
      <c r="C111" s="7" t="n">
        <f aca="false">Scoring!C118</f>
        <v>0</v>
      </c>
      <c r="D111" s="188" t="str">
        <f aca="false">Scoring!CQ118</f>
        <v/>
      </c>
      <c r="E111" s="7" t="str">
        <f aca="false">Scoring!BR118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Scoring!CS118</f>
        <v/>
      </c>
      <c r="I111" s="189" t="str">
        <f aca="false">Scoring!CR118</f>
        <v/>
      </c>
    </row>
    <row r="112" customFormat="false" ht="15.75" hidden="false" customHeight="false" outlineLevel="0" collapsed="false">
      <c r="A112" s="7" t="str">
        <f aca="false">Scoring!CU119</f>
        <v/>
      </c>
      <c r="B112" s="7" t="str">
        <f aca="false">Scoring!CT119</f>
        <v/>
      </c>
      <c r="C112" s="7" t="n">
        <f aca="false">Scoring!C119</f>
        <v>0</v>
      </c>
      <c r="D112" s="188" t="str">
        <f aca="false">Scoring!CQ119</f>
        <v/>
      </c>
      <c r="E112" s="7" t="str">
        <f aca="false">Scoring!BR119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Scoring!CS119</f>
        <v/>
      </c>
      <c r="I112" s="189" t="str">
        <f aca="false">Scoring!CR119</f>
        <v/>
      </c>
    </row>
    <row r="113" customFormat="false" ht="15.75" hidden="false" customHeight="false" outlineLevel="0" collapsed="false">
      <c r="A113" s="7" t="str">
        <f aca="false">Scoring!CU120</f>
        <v/>
      </c>
      <c r="B113" s="7" t="str">
        <f aca="false">Scoring!CT120</f>
        <v/>
      </c>
      <c r="C113" s="7" t="n">
        <f aca="false">Scoring!C120</f>
        <v>0</v>
      </c>
      <c r="D113" s="188" t="str">
        <f aca="false">Scoring!CQ120</f>
        <v/>
      </c>
      <c r="E113" s="7" t="str">
        <f aca="false">Scoring!BR120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Scoring!CS120</f>
        <v/>
      </c>
      <c r="I113" s="189" t="str">
        <f aca="false">Scoring!CR120</f>
        <v/>
      </c>
    </row>
    <row r="114" customFormat="false" ht="15.75" hidden="false" customHeight="false" outlineLevel="0" collapsed="false">
      <c r="A114" s="7" t="str">
        <f aca="false">Scoring!CU121</f>
        <v/>
      </c>
      <c r="B114" s="7" t="str">
        <f aca="false">Scoring!CT121</f>
        <v/>
      </c>
      <c r="C114" s="7" t="n">
        <f aca="false">Scoring!C121</f>
        <v>0</v>
      </c>
      <c r="D114" s="188" t="str">
        <f aca="false">Scoring!CQ121</f>
        <v/>
      </c>
      <c r="E114" s="7" t="str">
        <f aca="false">Scoring!BR121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Scoring!CS121</f>
        <v/>
      </c>
      <c r="I114" s="189" t="str">
        <f aca="false">Scoring!CR121</f>
        <v/>
      </c>
    </row>
    <row r="115" customFormat="false" ht="15.75" hidden="false" customHeight="false" outlineLevel="0" collapsed="false">
      <c r="A115" s="7" t="str">
        <f aca="false">Scoring!CU122</f>
        <v/>
      </c>
      <c r="B115" s="7" t="str">
        <f aca="false">Scoring!CT122</f>
        <v/>
      </c>
      <c r="C115" s="7" t="n">
        <f aca="false">Scoring!C122</f>
        <v>0</v>
      </c>
      <c r="D115" s="188" t="str">
        <f aca="false">Scoring!CQ122</f>
        <v/>
      </c>
      <c r="E115" s="7" t="str">
        <f aca="false">Scoring!BR122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Scoring!CS122</f>
        <v/>
      </c>
      <c r="I115" s="189" t="str">
        <f aca="false">Scoring!CR122</f>
        <v/>
      </c>
    </row>
    <row r="116" customFormat="false" ht="15.75" hidden="false" customHeight="false" outlineLevel="0" collapsed="false">
      <c r="A116" s="7" t="str">
        <f aca="false">Scoring!CU123</f>
        <v/>
      </c>
      <c r="B116" s="7" t="str">
        <f aca="false">Scoring!CT123</f>
        <v/>
      </c>
      <c r="C116" s="7" t="n">
        <f aca="false">Scoring!C123</f>
        <v>0</v>
      </c>
      <c r="D116" s="188" t="str">
        <f aca="false">Scoring!CQ123</f>
        <v/>
      </c>
      <c r="E116" s="7" t="str">
        <f aca="false">Scoring!BR123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Scoring!CS123</f>
        <v/>
      </c>
      <c r="I116" s="189" t="str">
        <f aca="false">Scoring!CR123</f>
        <v/>
      </c>
    </row>
    <row r="117" customFormat="false" ht="15.75" hidden="false" customHeight="false" outlineLevel="0" collapsed="false">
      <c r="A117" s="7" t="str">
        <f aca="false">Scoring!CU124</f>
        <v/>
      </c>
      <c r="B117" s="7" t="str">
        <f aca="false">Scoring!CT124</f>
        <v/>
      </c>
      <c r="C117" s="7" t="n">
        <f aca="false">Scoring!C124</f>
        <v>0</v>
      </c>
      <c r="D117" s="188" t="str">
        <f aca="false">Scoring!CQ124</f>
        <v/>
      </c>
      <c r="E117" s="7" t="str">
        <f aca="false">Scoring!BR124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Scoring!CS124</f>
        <v/>
      </c>
      <c r="I117" s="189" t="str">
        <f aca="false">Scoring!CR124</f>
        <v/>
      </c>
    </row>
    <row r="118" customFormat="false" ht="15.75" hidden="false" customHeight="false" outlineLevel="0" collapsed="false">
      <c r="A118" s="7" t="str">
        <f aca="false">Scoring!CU125</f>
        <v/>
      </c>
      <c r="B118" s="7" t="str">
        <f aca="false">Scoring!CT125</f>
        <v/>
      </c>
      <c r="C118" s="7" t="n">
        <f aca="false">Scoring!C125</f>
        <v>0</v>
      </c>
      <c r="D118" s="188" t="str">
        <f aca="false">Scoring!CQ125</f>
        <v/>
      </c>
      <c r="E118" s="7" t="str">
        <f aca="false">Scoring!BR125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Scoring!CS125</f>
        <v/>
      </c>
      <c r="I118" s="189" t="str">
        <f aca="false">Scoring!CR125</f>
        <v/>
      </c>
    </row>
    <row r="119" customFormat="false" ht="15.75" hidden="false" customHeight="false" outlineLevel="0" collapsed="false">
      <c r="A119" s="7" t="str">
        <f aca="false">Scoring!CU126</f>
        <v/>
      </c>
      <c r="B119" s="7" t="str">
        <f aca="false">Scoring!CT126</f>
        <v/>
      </c>
      <c r="C119" s="7" t="n">
        <f aca="false">Scoring!C126</f>
        <v>0</v>
      </c>
      <c r="D119" s="188" t="str">
        <f aca="false">Scoring!CQ126</f>
        <v/>
      </c>
      <c r="E119" s="7" t="str">
        <f aca="false">Scoring!BR126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Scoring!CS126</f>
        <v/>
      </c>
      <c r="I119" s="189" t="str">
        <f aca="false">Scoring!CR126</f>
        <v/>
      </c>
    </row>
    <row r="120" customFormat="false" ht="15.75" hidden="false" customHeight="false" outlineLevel="0" collapsed="false">
      <c r="A120" s="7" t="str">
        <f aca="false">Scoring!CU127</f>
        <v/>
      </c>
      <c r="B120" s="7" t="str">
        <f aca="false">Scoring!CT127</f>
        <v/>
      </c>
      <c r="C120" s="7" t="n">
        <f aca="false">Scoring!C127</f>
        <v>0</v>
      </c>
      <c r="D120" s="188" t="str">
        <f aca="false">Scoring!CQ127</f>
        <v/>
      </c>
      <c r="E120" s="7" t="str">
        <f aca="false">Scoring!BR127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Scoring!CS127</f>
        <v/>
      </c>
      <c r="I120" s="189" t="str">
        <f aca="false">Scoring!CR127</f>
        <v/>
      </c>
    </row>
    <row r="121" customFormat="false" ht="15.75" hidden="false" customHeight="false" outlineLevel="0" collapsed="false">
      <c r="A121" s="7" t="str">
        <f aca="false">Scoring!CU128</f>
        <v/>
      </c>
      <c r="B121" s="7" t="str">
        <f aca="false">Scoring!CT128</f>
        <v/>
      </c>
      <c r="C121" s="7" t="n">
        <f aca="false">Scoring!C128</f>
        <v>0</v>
      </c>
      <c r="D121" s="188" t="str">
        <f aca="false">Scoring!CQ128</f>
        <v/>
      </c>
      <c r="E121" s="7" t="str">
        <f aca="false">Scoring!BR128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Scoring!CS128</f>
        <v/>
      </c>
      <c r="I121" s="189" t="str">
        <f aca="false">Scoring!CR128</f>
        <v/>
      </c>
    </row>
    <row r="122" customFormat="false" ht="15.75" hidden="false" customHeight="false" outlineLevel="0" collapsed="false">
      <c r="A122" s="7" t="str">
        <f aca="false">Scoring!CU129</f>
        <v/>
      </c>
      <c r="B122" s="7" t="str">
        <f aca="false">Scoring!CT129</f>
        <v/>
      </c>
      <c r="C122" s="7" t="n">
        <f aca="false">Scoring!C129</f>
        <v>0</v>
      </c>
      <c r="D122" s="188" t="str">
        <f aca="false">Scoring!CQ129</f>
        <v/>
      </c>
      <c r="E122" s="7" t="str">
        <f aca="false">Scoring!BR129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Scoring!CS129</f>
        <v/>
      </c>
      <c r="I122" s="189" t="str">
        <f aca="false">Scoring!CR129</f>
        <v/>
      </c>
    </row>
    <row r="123" customFormat="false" ht="15.75" hidden="false" customHeight="false" outlineLevel="0" collapsed="false">
      <c r="A123" s="7" t="str">
        <f aca="false">Scoring!CU130</f>
        <v/>
      </c>
      <c r="B123" s="7" t="str">
        <f aca="false">Scoring!CT130</f>
        <v/>
      </c>
      <c r="C123" s="7" t="n">
        <f aca="false">Scoring!C130</f>
        <v>0</v>
      </c>
      <c r="D123" s="188" t="str">
        <f aca="false">Scoring!CQ130</f>
        <v/>
      </c>
      <c r="E123" s="7" t="str">
        <f aca="false">Scoring!BR130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Scoring!CS130</f>
        <v/>
      </c>
      <c r="I123" s="189" t="str">
        <f aca="false">Scoring!CR130</f>
        <v/>
      </c>
    </row>
    <row r="124" customFormat="false" ht="15.75" hidden="false" customHeight="false" outlineLevel="0" collapsed="false">
      <c r="A124" s="7" t="str">
        <f aca="false">Scoring!CU131</f>
        <v/>
      </c>
      <c r="B124" s="7" t="str">
        <f aca="false">Scoring!CT131</f>
        <v/>
      </c>
      <c r="C124" s="7" t="n">
        <f aca="false">Scoring!C131</f>
        <v>0</v>
      </c>
      <c r="D124" s="188" t="str">
        <f aca="false">Scoring!CQ131</f>
        <v/>
      </c>
      <c r="E124" s="7" t="str">
        <f aca="false">Scoring!BR131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Scoring!CS131</f>
        <v/>
      </c>
      <c r="I124" s="189" t="str">
        <f aca="false">Scoring!CR131</f>
        <v/>
      </c>
    </row>
    <row r="125" customFormat="false" ht="15.75" hidden="false" customHeight="false" outlineLevel="0" collapsed="false">
      <c r="A125" s="7" t="str">
        <f aca="false">Scoring!CU132</f>
        <v/>
      </c>
      <c r="B125" s="7" t="str">
        <f aca="false">Scoring!CT132</f>
        <v/>
      </c>
      <c r="C125" s="7" t="n">
        <f aca="false">Scoring!C132</f>
        <v>0</v>
      </c>
      <c r="D125" s="188" t="str">
        <f aca="false">Scoring!CQ132</f>
        <v/>
      </c>
      <c r="E125" s="7" t="str">
        <f aca="false">Scoring!BR132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Scoring!CS132</f>
        <v/>
      </c>
      <c r="I125" s="189" t="str">
        <f aca="false">Scoring!CR132</f>
        <v/>
      </c>
    </row>
    <row r="126" customFormat="false" ht="15.75" hidden="false" customHeight="false" outlineLevel="0" collapsed="false">
      <c r="A126" s="7" t="str">
        <f aca="false">Scoring!CU133</f>
        <v/>
      </c>
      <c r="B126" s="7" t="str">
        <f aca="false">Scoring!CT133</f>
        <v/>
      </c>
      <c r="C126" s="7" t="n">
        <f aca="false">Scoring!C133</f>
        <v>0</v>
      </c>
      <c r="D126" s="188" t="str">
        <f aca="false">Scoring!CQ133</f>
        <v/>
      </c>
      <c r="E126" s="7" t="str">
        <f aca="false">Scoring!BR133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Scoring!CS133</f>
        <v/>
      </c>
      <c r="I126" s="189" t="str">
        <f aca="false">Scoring!CR133</f>
        <v/>
      </c>
    </row>
    <row r="127" customFormat="false" ht="15.75" hidden="false" customHeight="false" outlineLevel="0" collapsed="false">
      <c r="A127" s="7" t="str">
        <f aca="false">Scoring!CU134</f>
        <v/>
      </c>
      <c r="B127" s="7" t="str">
        <f aca="false">Scoring!CT134</f>
        <v/>
      </c>
      <c r="C127" s="7" t="n">
        <f aca="false">Scoring!C134</f>
        <v>0</v>
      </c>
      <c r="D127" s="188" t="str">
        <f aca="false">Scoring!CQ134</f>
        <v/>
      </c>
      <c r="E127" s="7" t="str">
        <f aca="false">Scoring!BR134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Scoring!CS134</f>
        <v/>
      </c>
      <c r="I127" s="189" t="str">
        <f aca="false">Scoring!CR134</f>
        <v/>
      </c>
    </row>
    <row r="128" customFormat="false" ht="15.75" hidden="false" customHeight="false" outlineLevel="0" collapsed="false">
      <c r="A128" s="7" t="str">
        <f aca="false">Scoring!CU135</f>
        <v/>
      </c>
      <c r="B128" s="7" t="str">
        <f aca="false">Scoring!CT135</f>
        <v/>
      </c>
      <c r="C128" s="7" t="n">
        <f aca="false">Scoring!C135</f>
        <v>0</v>
      </c>
      <c r="D128" s="188" t="str">
        <f aca="false">Scoring!CQ135</f>
        <v/>
      </c>
      <c r="E128" s="7" t="str">
        <f aca="false">Scoring!BR135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Scoring!CS135</f>
        <v/>
      </c>
      <c r="I128" s="189" t="str">
        <f aca="false">Scoring!CR135</f>
        <v/>
      </c>
    </row>
    <row r="129" customFormat="false" ht="15.75" hidden="false" customHeight="false" outlineLevel="0" collapsed="false">
      <c r="A129" s="7" t="str">
        <f aca="false">Scoring!CU136</f>
        <v/>
      </c>
      <c r="B129" s="7" t="str">
        <f aca="false">Scoring!CT136</f>
        <v/>
      </c>
      <c r="C129" s="7" t="n">
        <f aca="false">Scoring!C136</f>
        <v>0</v>
      </c>
      <c r="D129" s="188" t="str">
        <f aca="false">Scoring!CQ136</f>
        <v/>
      </c>
      <c r="E129" s="7" t="str">
        <f aca="false">Scoring!BR136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Scoring!CS136</f>
        <v/>
      </c>
      <c r="I129" s="189" t="str">
        <f aca="false">Scoring!CR136</f>
        <v/>
      </c>
    </row>
    <row r="130" customFormat="false" ht="15.75" hidden="false" customHeight="false" outlineLevel="0" collapsed="false">
      <c r="A130" s="7" t="str">
        <f aca="false">Scoring!CU137</f>
        <v/>
      </c>
      <c r="B130" s="7" t="str">
        <f aca="false">Scoring!CT137</f>
        <v/>
      </c>
      <c r="C130" s="7" t="n">
        <f aca="false">Scoring!C137</f>
        <v>0</v>
      </c>
      <c r="D130" s="188" t="str">
        <f aca="false">Scoring!CQ137</f>
        <v/>
      </c>
      <c r="E130" s="7" t="str">
        <f aca="false">Scoring!BR137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Scoring!CS137</f>
        <v/>
      </c>
      <c r="I130" s="189" t="str">
        <f aca="false">Scoring!CR137</f>
        <v/>
      </c>
    </row>
    <row r="131" customFormat="false" ht="15.75" hidden="false" customHeight="false" outlineLevel="0" collapsed="false">
      <c r="A131" s="7" t="str">
        <f aca="false">Scoring!CU138</f>
        <v/>
      </c>
      <c r="B131" s="7" t="str">
        <f aca="false">Scoring!CT138</f>
        <v/>
      </c>
      <c r="C131" s="7" t="n">
        <f aca="false">Scoring!C138</f>
        <v>0</v>
      </c>
      <c r="D131" s="188" t="str">
        <f aca="false">Scoring!CQ138</f>
        <v/>
      </c>
      <c r="E131" s="7" t="str">
        <f aca="false">Scoring!BR138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Scoring!CS138</f>
        <v/>
      </c>
      <c r="I131" s="189" t="str">
        <f aca="false">Scoring!CR138</f>
        <v/>
      </c>
    </row>
    <row r="132" customFormat="false" ht="15.75" hidden="false" customHeight="false" outlineLevel="0" collapsed="false">
      <c r="A132" s="7" t="str">
        <f aca="false">Scoring!CU139</f>
        <v/>
      </c>
      <c r="B132" s="7" t="str">
        <f aca="false">Scoring!CT139</f>
        <v/>
      </c>
      <c r="C132" s="7" t="n">
        <f aca="false">Scoring!C139</f>
        <v>0</v>
      </c>
      <c r="D132" s="188" t="str">
        <f aca="false">Scoring!CQ139</f>
        <v/>
      </c>
      <c r="E132" s="7" t="str">
        <f aca="false">Scoring!BR139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Scoring!CS139</f>
        <v/>
      </c>
      <c r="I132" s="189" t="str">
        <f aca="false">Scoring!CR139</f>
        <v/>
      </c>
    </row>
    <row r="133" customFormat="false" ht="15.75" hidden="false" customHeight="false" outlineLevel="0" collapsed="false">
      <c r="A133" s="7" t="str">
        <f aca="false">Scoring!CU140</f>
        <v/>
      </c>
      <c r="B133" s="7" t="str">
        <f aca="false">Scoring!CT140</f>
        <v/>
      </c>
      <c r="C133" s="7" t="n">
        <f aca="false">Scoring!C140</f>
        <v>0</v>
      </c>
      <c r="D133" s="188" t="str">
        <f aca="false">Scoring!CQ140</f>
        <v/>
      </c>
      <c r="E133" s="7" t="str">
        <f aca="false">Scoring!BR140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Scoring!CS140</f>
        <v/>
      </c>
      <c r="I133" s="189" t="str">
        <f aca="false">Scoring!CR140</f>
        <v/>
      </c>
    </row>
    <row r="134" customFormat="false" ht="15.75" hidden="false" customHeight="false" outlineLevel="0" collapsed="false">
      <c r="A134" s="7" t="str">
        <f aca="false">Scoring!CU141</f>
        <v/>
      </c>
      <c r="B134" s="7" t="str">
        <f aca="false">Scoring!CT141</f>
        <v/>
      </c>
      <c r="C134" s="7" t="n">
        <f aca="false">Scoring!C141</f>
        <v>0</v>
      </c>
      <c r="D134" s="188" t="str">
        <f aca="false">Scoring!CQ141</f>
        <v/>
      </c>
      <c r="E134" s="7" t="str">
        <f aca="false">Scoring!BR141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Scoring!CS141</f>
        <v/>
      </c>
      <c r="I134" s="189" t="str">
        <f aca="false">Scoring!CR141</f>
        <v/>
      </c>
    </row>
    <row r="135" customFormat="false" ht="15.75" hidden="false" customHeight="false" outlineLevel="0" collapsed="false">
      <c r="A135" s="7" t="str">
        <f aca="false">Scoring!CU142</f>
        <v/>
      </c>
      <c r="B135" s="7" t="str">
        <f aca="false">Scoring!CT142</f>
        <v/>
      </c>
      <c r="C135" s="7" t="n">
        <f aca="false">Scoring!C142</f>
        <v>0</v>
      </c>
      <c r="D135" s="188" t="str">
        <f aca="false">Scoring!CQ142</f>
        <v/>
      </c>
      <c r="E135" s="7" t="str">
        <f aca="false">Scoring!BR142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Scoring!CS142</f>
        <v/>
      </c>
      <c r="I135" s="189" t="str">
        <f aca="false">Scoring!CR142</f>
        <v/>
      </c>
    </row>
    <row r="136" customFormat="false" ht="15.75" hidden="false" customHeight="false" outlineLevel="0" collapsed="false">
      <c r="A136" s="7" t="str">
        <f aca="false">Scoring!CU143</f>
        <v/>
      </c>
      <c r="B136" s="7" t="str">
        <f aca="false">Scoring!CT143</f>
        <v/>
      </c>
      <c r="C136" s="7" t="n">
        <f aca="false">Scoring!C143</f>
        <v>0</v>
      </c>
      <c r="D136" s="188" t="str">
        <f aca="false">Scoring!CQ143</f>
        <v/>
      </c>
      <c r="E136" s="7" t="str">
        <f aca="false">Scoring!BR143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Scoring!CS143</f>
        <v/>
      </c>
      <c r="I136" s="189" t="str">
        <f aca="false">Scoring!CR143</f>
        <v/>
      </c>
    </row>
    <row r="137" customFormat="false" ht="15.75" hidden="false" customHeight="false" outlineLevel="0" collapsed="false">
      <c r="A137" s="7" t="str">
        <f aca="false">Scoring!CU144</f>
        <v/>
      </c>
      <c r="B137" s="7" t="str">
        <f aca="false">Scoring!CT144</f>
        <v/>
      </c>
      <c r="C137" s="7" t="n">
        <f aca="false">Scoring!C144</f>
        <v>0</v>
      </c>
      <c r="D137" s="188" t="str">
        <f aca="false">Scoring!CQ144</f>
        <v/>
      </c>
      <c r="E137" s="7" t="str">
        <f aca="false">Scoring!BR144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Scoring!CS144</f>
        <v/>
      </c>
      <c r="I137" s="189" t="str">
        <f aca="false">Scoring!CR144</f>
        <v/>
      </c>
    </row>
    <row r="138" customFormat="false" ht="15.75" hidden="false" customHeight="false" outlineLevel="0" collapsed="false">
      <c r="A138" s="7" t="str">
        <f aca="false">Scoring!CU145</f>
        <v/>
      </c>
      <c r="B138" s="7" t="str">
        <f aca="false">Scoring!CT145</f>
        <v/>
      </c>
      <c r="C138" s="7" t="n">
        <f aca="false">Scoring!C145</f>
        <v>0</v>
      </c>
      <c r="D138" s="188" t="str">
        <f aca="false">Scoring!CQ145</f>
        <v/>
      </c>
      <c r="E138" s="7" t="str">
        <f aca="false">Scoring!BR145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Scoring!CS145</f>
        <v/>
      </c>
      <c r="I138" s="189" t="str">
        <f aca="false">Scoring!CR145</f>
        <v/>
      </c>
    </row>
    <row r="139" customFormat="false" ht="15.75" hidden="false" customHeight="false" outlineLevel="0" collapsed="false">
      <c r="A139" s="7" t="str">
        <f aca="false">Scoring!CU146</f>
        <v/>
      </c>
      <c r="B139" s="7" t="str">
        <f aca="false">Scoring!CT146</f>
        <v/>
      </c>
      <c r="C139" s="7" t="n">
        <f aca="false">Scoring!C146</f>
        <v>0</v>
      </c>
      <c r="D139" s="188" t="str">
        <f aca="false">Scoring!CQ146</f>
        <v/>
      </c>
      <c r="E139" s="7" t="str">
        <f aca="false">Scoring!BR146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Scoring!CS146</f>
        <v/>
      </c>
      <c r="I139" s="189" t="str">
        <f aca="false">Scoring!CR146</f>
        <v/>
      </c>
    </row>
    <row r="140" customFormat="false" ht="15.75" hidden="false" customHeight="false" outlineLevel="0" collapsed="false">
      <c r="A140" s="7" t="str">
        <f aca="false">Scoring!CU147</f>
        <v/>
      </c>
      <c r="B140" s="7" t="str">
        <f aca="false">Scoring!CT147</f>
        <v/>
      </c>
      <c r="C140" s="7" t="n">
        <f aca="false">Scoring!C147</f>
        <v>0</v>
      </c>
      <c r="D140" s="188" t="str">
        <f aca="false">Scoring!CQ147</f>
        <v/>
      </c>
      <c r="E140" s="7" t="str">
        <f aca="false">Scoring!BR147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Scoring!CS147</f>
        <v/>
      </c>
      <c r="I140" s="189" t="str">
        <f aca="false">Scoring!CR147</f>
        <v/>
      </c>
    </row>
    <row r="141" customFormat="false" ht="15.75" hidden="false" customHeight="false" outlineLevel="0" collapsed="false">
      <c r="A141" s="7" t="str">
        <f aca="false">Scoring!CU148</f>
        <v/>
      </c>
      <c r="B141" s="7" t="str">
        <f aca="false">Scoring!CT148</f>
        <v/>
      </c>
      <c r="C141" s="7" t="n">
        <f aca="false">Scoring!C148</f>
        <v>0</v>
      </c>
      <c r="D141" s="188" t="str">
        <f aca="false">Scoring!CQ148</f>
        <v/>
      </c>
      <c r="E141" s="7" t="str">
        <f aca="false">Scoring!BR148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Scoring!CS148</f>
        <v/>
      </c>
      <c r="I141" s="189" t="str">
        <f aca="false">Scoring!CR148</f>
        <v/>
      </c>
    </row>
    <row r="142" customFormat="false" ht="15.75" hidden="false" customHeight="false" outlineLevel="0" collapsed="false">
      <c r="A142" s="7" t="str">
        <f aca="false">Scoring!CU149</f>
        <v/>
      </c>
      <c r="B142" s="7" t="str">
        <f aca="false">Scoring!CT149</f>
        <v/>
      </c>
      <c r="C142" s="7" t="n">
        <f aca="false">Scoring!C149</f>
        <v>0</v>
      </c>
      <c r="D142" s="188" t="str">
        <f aca="false">Scoring!CQ149</f>
        <v/>
      </c>
      <c r="E142" s="7" t="str">
        <f aca="false">Scoring!BR149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Scoring!CS149</f>
        <v/>
      </c>
      <c r="I142" s="189" t="str">
        <f aca="false">Scoring!CR149</f>
        <v/>
      </c>
    </row>
    <row r="143" customFormat="false" ht="15.75" hidden="false" customHeight="false" outlineLevel="0" collapsed="false">
      <c r="A143" s="7" t="str">
        <f aca="false">Scoring!CU150</f>
        <v/>
      </c>
      <c r="B143" s="7" t="str">
        <f aca="false">Scoring!CT150</f>
        <v/>
      </c>
      <c r="C143" s="7" t="n">
        <f aca="false">Scoring!C150</f>
        <v>0</v>
      </c>
      <c r="D143" s="188" t="str">
        <f aca="false">Scoring!CQ150</f>
        <v/>
      </c>
      <c r="E143" s="7" t="str">
        <f aca="false">Scoring!BR150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Scoring!CS150</f>
        <v/>
      </c>
      <c r="I143" s="189" t="str">
        <f aca="false">Scoring!CR150</f>
        <v/>
      </c>
    </row>
    <row r="144" customFormat="false" ht="15.75" hidden="false" customHeight="false" outlineLevel="0" collapsed="false">
      <c r="A144" s="7" t="str">
        <f aca="false">Scoring!CU151</f>
        <v/>
      </c>
      <c r="B144" s="7" t="str">
        <f aca="false">Scoring!CT151</f>
        <v/>
      </c>
      <c r="C144" s="7" t="n">
        <f aca="false">Scoring!C151</f>
        <v>0</v>
      </c>
      <c r="D144" s="188" t="str">
        <f aca="false">Scoring!CQ151</f>
        <v/>
      </c>
      <c r="E144" s="7" t="str">
        <f aca="false">Scoring!BR151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Scoring!CS151</f>
        <v/>
      </c>
      <c r="I144" s="189" t="str">
        <f aca="false">Scoring!CR151</f>
        <v/>
      </c>
    </row>
    <row r="145" customFormat="false" ht="15.75" hidden="false" customHeight="false" outlineLevel="0" collapsed="false">
      <c r="A145" s="7" t="str">
        <f aca="false">Scoring!CU152</f>
        <v/>
      </c>
      <c r="B145" s="7" t="str">
        <f aca="false">Scoring!CT152</f>
        <v/>
      </c>
      <c r="C145" s="7" t="n">
        <f aca="false">Scoring!C152</f>
        <v>0</v>
      </c>
      <c r="D145" s="188" t="str">
        <f aca="false">Scoring!CQ152</f>
        <v/>
      </c>
      <c r="E145" s="7" t="str">
        <f aca="false">Scoring!BR152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Scoring!CS152</f>
        <v/>
      </c>
      <c r="I145" s="189" t="str">
        <f aca="false">Scoring!CR152</f>
        <v/>
      </c>
    </row>
    <row r="146" customFormat="false" ht="15.75" hidden="false" customHeight="false" outlineLevel="0" collapsed="false">
      <c r="A146" s="7" t="str">
        <f aca="false">Scoring!CU153</f>
        <v/>
      </c>
      <c r="B146" s="7" t="str">
        <f aca="false">Scoring!CT153</f>
        <v/>
      </c>
      <c r="C146" s="7" t="n">
        <f aca="false">Scoring!C153</f>
        <v>0</v>
      </c>
      <c r="D146" s="188" t="str">
        <f aca="false">Scoring!CQ153</f>
        <v/>
      </c>
      <c r="E146" s="7" t="str">
        <f aca="false">Scoring!BR153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Scoring!CS153</f>
        <v/>
      </c>
      <c r="I146" s="189" t="str">
        <f aca="false">Scoring!CR153</f>
        <v/>
      </c>
    </row>
    <row r="147" customFormat="false" ht="15.75" hidden="false" customHeight="false" outlineLevel="0" collapsed="false">
      <c r="A147" s="7" t="str">
        <f aca="false">Scoring!CU154</f>
        <v/>
      </c>
      <c r="B147" s="7" t="str">
        <f aca="false">Scoring!CT154</f>
        <v/>
      </c>
      <c r="C147" s="7" t="n">
        <f aca="false">Scoring!C154</f>
        <v>0</v>
      </c>
      <c r="D147" s="188" t="str">
        <f aca="false">Scoring!CQ154</f>
        <v/>
      </c>
      <c r="E147" s="7" t="str">
        <f aca="false">Scoring!BR154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Scoring!CS154</f>
        <v/>
      </c>
      <c r="I147" s="189" t="str">
        <f aca="false">Scoring!CR154</f>
        <v/>
      </c>
    </row>
    <row r="148" customFormat="false" ht="15.75" hidden="false" customHeight="false" outlineLevel="0" collapsed="false">
      <c r="A148" s="7" t="str">
        <f aca="false">Scoring!CU155</f>
        <v/>
      </c>
      <c r="B148" s="7" t="str">
        <f aca="false">Scoring!CT155</f>
        <v/>
      </c>
      <c r="C148" s="7" t="n">
        <f aca="false">Scoring!C155</f>
        <v>0</v>
      </c>
      <c r="D148" s="188" t="str">
        <f aca="false">Scoring!CQ155</f>
        <v/>
      </c>
      <c r="E148" s="7" t="str">
        <f aca="false">Scoring!BR155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Scoring!CS155</f>
        <v/>
      </c>
      <c r="I148" s="189" t="str">
        <f aca="false">Scoring!CR155</f>
        <v/>
      </c>
    </row>
    <row r="149" customFormat="false" ht="15.75" hidden="false" customHeight="false" outlineLevel="0" collapsed="false">
      <c r="A149" s="7" t="str">
        <f aca="false">Scoring!CU156</f>
        <v/>
      </c>
      <c r="B149" s="7" t="str">
        <f aca="false">Scoring!CT156</f>
        <v/>
      </c>
      <c r="C149" s="7" t="n">
        <f aca="false">Scoring!C156</f>
        <v>0</v>
      </c>
      <c r="D149" s="188" t="str">
        <f aca="false">Scoring!CQ156</f>
        <v/>
      </c>
      <c r="E149" s="7" t="str">
        <f aca="false">Scoring!BR156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Scoring!CS156</f>
        <v/>
      </c>
      <c r="I149" s="189" t="str">
        <f aca="false">Scoring!CR156</f>
        <v/>
      </c>
    </row>
    <row r="150" customFormat="false" ht="15.75" hidden="false" customHeight="false" outlineLevel="0" collapsed="false">
      <c r="A150" s="7" t="str">
        <f aca="false">Scoring!CU157</f>
        <v/>
      </c>
      <c r="B150" s="7" t="str">
        <f aca="false">Scoring!CT157</f>
        <v/>
      </c>
      <c r="C150" s="7" t="n">
        <f aca="false">Scoring!C157</f>
        <v>0</v>
      </c>
      <c r="D150" s="188" t="str">
        <f aca="false">Scoring!CQ157</f>
        <v/>
      </c>
      <c r="E150" s="7" t="str">
        <f aca="false">Scoring!BR157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Scoring!CS157</f>
        <v/>
      </c>
      <c r="I150" s="189" t="str">
        <f aca="false">Scoring!CR157</f>
        <v/>
      </c>
    </row>
    <row r="151" customFormat="false" ht="15.75" hidden="false" customHeight="false" outlineLevel="0" collapsed="false">
      <c r="A151" s="7" t="str">
        <f aca="false">Scoring!CU158</f>
        <v/>
      </c>
      <c r="B151" s="7" t="str">
        <f aca="false">Scoring!CT158</f>
        <v/>
      </c>
      <c r="C151" s="7" t="n">
        <f aca="false">Scoring!C158</f>
        <v>0</v>
      </c>
      <c r="D151" s="188" t="str">
        <f aca="false">Scoring!CQ158</f>
        <v/>
      </c>
      <c r="E151" s="7" t="str">
        <f aca="false">Scoring!BR158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Scoring!CS158</f>
        <v/>
      </c>
      <c r="I151" s="189" t="str">
        <f aca="false">Scoring!CR158</f>
        <v/>
      </c>
    </row>
    <row r="152" customFormat="false" ht="15.75" hidden="false" customHeight="false" outlineLevel="0" collapsed="false">
      <c r="A152" s="7" t="str">
        <f aca="false">Scoring!CU159</f>
        <v/>
      </c>
      <c r="B152" s="7" t="str">
        <f aca="false">Scoring!CT159</f>
        <v/>
      </c>
      <c r="C152" s="7" t="n">
        <f aca="false">Scoring!C159</f>
        <v>0</v>
      </c>
      <c r="D152" s="188" t="str">
        <f aca="false">Scoring!CQ159</f>
        <v/>
      </c>
      <c r="E152" s="7" t="str">
        <f aca="false">Scoring!BR159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Scoring!CS159</f>
        <v/>
      </c>
      <c r="I152" s="189" t="str">
        <f aca="false">Scoring!CR159</f>
        <v/>
      </c>
    </row>
    <row r="153" customFormat="false" ht="15.75" hidden="false" customHeight="false" outlineLevel="0" collapsed="false">
      <c r="A153" s="7" t="str">
        <f aca="false">Scoring!CU160</f>
        <v/>
      </c>
      <c r="B153" s="7" t="str">
        <f aca="false">Scoring!CT160</f>
        <v/>
      </c>
      <c r="C153" s="7" t="n">
        <f aca="false">Scoring!C160</f>
        <v>0</v>
      </c>
      <c r="D153" s="188" t="str">
        <f aca="false">Scoring!CQ160</f>
        <v/>
      </c>
      <c r="E153" s="7" t="str">
        <f aca="false">Scoring!BR160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Scoring!CS160</f>
        <v/>
      </c>
      <c r="I153" s="189" t="str">
        <f aca="false">Scoring!CR160</f>
        <v/>
      </c>
    </row>
    <row r="154" customFormat="false" ht="15.75" hidden="false" customHeight="false" outlineLevel="0" collapsed="false">
      <c r="A154" s="7" t="str">
        <f aca="false">Scoring!CU161</f>
        <v/>
      </c>
      <c r="B154" s="7" t="str">
        <f aca="false">Scoring!CT161</f>
        <v/>
      </c>
      <c r="C154" s="7" t="n">
        <f aca="false">Scoring!C161</f>
        <v>0</v>
      </c>
      <c r="D154" s="188" t="str">
        <f aca="false">Scoring!CQ161</f>
        <v/>
      </c>
      <c r="E154" s="7" t="str">
        <f aca="false">Scoring!BR161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Scoring!CS161</f>
        <v/>
      </c>
      <c r="I154" s="189" t="str">
        <f aca="false">Scoring!CR161</f>
        <v/>
      </c>
    </row>
    <row r="155" customFormat="false" ht="15.75" hidden="false" customHeight="false" outlineLevel="0" collapsed="false">
      <c r="A155" s="7" t="str">
        <f aca="false">Scoring!CU162</f>
        <v/>
      </c>
      <c r="B155" s="7" t="str">
        <f aca="false">Scoring!CT162</f>
        <v/>
      </c>
      <c r="C155" s="7" t="n">
        <f aca="false">Scoring!C162</f>
        <v>0</v>
      </c>
      <c r="D155" s="188" t="str">
        <f aca="false">Scoring!CQ162</f>
        <v/>
      </c>
      <c r="E155" s="7" t="str">
        <f aca="false">Scoring!BR162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Scoring!CS162</f>
        <v/>
      </c>
      <c r="I155" s="189" t="str">
        <f aca="false">Scoring!CR162</f>
        <v/>
      </c>
    </row>
    <row r="156" customFormat="false" ht="15.75" hidden="false" customHeight="false" outlineLevel="0" collapsed="false">
      <c r="A156" s="7" t="str">
        <f aca="false">Scoring!CU163</f>
        <v/>
      </c>
      <c r="B156" s="7" t="str">
        <f aca="false">Scoring!CT163</f>
        <v/>
      </c>
      <c r="C156" s="7" t="n">
        <f aca="false">Scoring!C163</f>
        <v>0</v>
      </c>
      <c r="D156" s="188" t="str">
        <f aca="false">Scoring!CQ163</f>
        <v/>
      </c>
      <c r="E156" s="7" t="str">
        <f aca="false">Scoring!BR163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Scoring!CS163</f>
        <v/>
      </c>
      <c r="I156" s="189" t="str">
        <f aca="false">Scoring!CR163</f>
        <v/>
      </c>
    </row>
    <row r="157" customFormat="false" ht="15.75" hidden="false" customHeight="false" outlineLevel="0" collapsed="false">
      <c r="A157" s="7" t="str">
        <f aca="false">Scoring!CU164</f>
        <v/>
      </c>
      <c r="B157" s="7" t="str">
        <f aca="false">Scoring!CT164</f>
        <v/>
      </c>
      <c r="C157" s="7" t="n">
        <f aca="false">Scoring!C164</f>
        <v>0</v>
      </c>
      <c r="D157" s="188" t="str">
        <f aca="false">Scoring!CQ164</f>
        <v/>
      </c>
      <c r="E157" s="7" t="str">
        <f aca="false">Scoring!BR164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Scoring!CS164</f>
        <v/>
      </c>
      <c r="I157" s="189" t="str">
        <f aca="false">Scoring!CR164</f>
        <v/>
      </c>
    </row>
    <row r="158" customFormat="false" ht="15.75" hidden="false" customHeight="false" outlineLevel="0" collapsed="false">
      <c r="A158" s="7" t="str">
        <f aca="false">Scoring!CU165</f>
        <v/>
      </c>
      <c r="B158" s="7" t="str">
        <f aca="false">Scoring!CT165</f>
        <v/>
      </c>
      <c r="C158" s="7" t="n">
        <f aca="false">Scoring!C165</f>
        <v>0</v>
      </c>
      <c r="D158" s="188" t="str">
        <f aca="false">Scoring!CQ165</f>
        <v/>
      </c>
      <c r="E158" s="7" t="str">
        <f aca="false">Scoring!BR165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Scoring!CS165</f>
        <v/>
      </c>
      <c r="I158" s="189" t="str">
        <f aca="false">Scoring!CR165</f>
        <v/>
      </c>
    </row>
    <row r="159" customFormat="false" ht="15.75" hidden="false" customHeight="false" outlineLevel="0" collapsed="false">
      <c r="A159" s="7" t="str">
        <f aca="false">Scoring!CU166</f>
        <v/>
      </c>
      <c r="B159" s="7" t="str">
        <f aca="false">Scoring!CT166</f>
        <v/>
      </c>
      <c r="C159" s="7" t="n">
        <f aca="false">Scoring!C166</f>
        <v>0</v>
      </c>
      <c r="D159" s="188" t="str">
        <f aca="false">Scoring!CQ166</f>
        <v/>
      </c>
      <c r="E159" s="7" t="str">
        <f aca="false">Scoring!BR166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Scoring!CS166</f>
        <v/>
      </c>
      <c r="I159" s="189" t="str">
        <f aca="false">Scoring!CR166</f>
        <v/>
      </c>
    </row>
    <row r="160" customFormat="false" ht="15.75" hidden="false" customHeight="false" outlineLevel="0" collapsed="false">
      <c r="A160" s="7" t="str">
        <f aca="false">Scoring!CU167</f>
        <v/>
      </c>
      <c r="B160" s="7" t="str">
        <f aca="false">Scoring!CT167</f>
        <v/>
      </c>
      <c r="C160" s="7" t="n">
        <f aca="false">Scoring!C167</f>
        <v>0</v>
      </c>
      <c r="D160" s="188" t="str">
        <f aca="false">Scoring!CQ167</f>
        <v/>
      </c>
      <c r="E160" s="7" t="str">
        <f aca="false">Scoring!BR167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Scoring!CS167</f>
        <v/>
      </c>
      <c r="I160" s="189" t="str">
        <f aca="false">Scoring!CR167</f>
        <v/>
      </c>
    </row>
    <row r="161" customFormat="false" ht="15.75" hidden="false" customHeight="false" outlineLevel="0" collapsed="false">
      <c r="A161" s="7" t="str">
        <f aca="false">Scoring!CU168</f>
        <v/>
      </c>
      <c r="B161" s="7" t="str">
        <f aca="false">Scoring!CT168</f>
        <v/>
      </c>
      <c r="C161" s="7" t="n">
        <f aca="false">Scoring!C168</f>
        <v>0</v>
      </c>
      <c r="D161" s="188" t="str">
        <f aca="false">Scoring!CQ168</f>
        <v/>
      </c>
      <c r="E161" s="7" t="str">
        <f aca="false">Scoring!BR168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Scoring!CS168</f>
        <v/>
      </c>
      <c r="I161" s="189" t="str">
        <f aca="false">Scoring!CR168</f>
        <v/>
      </c>
    </row>
    <row r="162" customFormat="false" ht="15.75" hidden="false" customHeight="false" outlineLevel="0" collapsed="false">
      <c r="A162" s="7" t="str">
        <f aca="false">Scoring!CU169</f>
        <v/>
      </c>
      <c r="B162" s="7" t="str">
        <f aca="false">Scoring!CT169</f>
        <v/>
      </c>
      <c r="C162" s="7" t="n">
        <f aca="false">Scoring!C169</f>
        <v>0</v>
      </c>
      <c r="D162" s="188" t="str">
        <f aca="false">Scoring!CQ169</f>
        <v/>
      </c>
      <c r="E162" s="7" t="str">
        <f aca="false">Scoring!BR169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Scoring!CS169</f>
        <v/>
      </c>
      <c r="I162" s="189" t="str">
        <f aca="false">Scoring!CR169</f>
        <v/>
      </c>
    </row>
    <row r="163" customFormat="false" ht="15.75" hidden="false" customHeight="false" outlineLevel="0" collapsed="false">
      <c r="A163" s="7" t="str">
        <f aca="false">Scoring!CU170</f>
        <v/>
      </c>
      <c r="B163" s="7" t="str">
        <f aca="false">Scoring!CT170</f>
        <v/>
      </c>
      <c r="C163" s="7" t="n">
        <f aca="false">Scoring!C170</f>
        <v>0</v>
      </c>
      <c r="D163" s="188" t="str">
        <f aca="false">Scoring!CQ170</f>
        <v/>
      </c>
      <c r="E163" s="7" t="str">
        <f aca="false">Scoring!BR170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Scoring!CS170</f>
        <v/>
      </c>
      <c r="I163" s="189" t="str">
        <f aca="false">Scoring!CR170</f>
        <v/>
      </c>
    </row>
    <row r="164" customFormat="false" ht="15.75" hidden="false" customHeight="false" outlineLevel="0" collapsed="false">
      <c r="A164" s="7" t="str">
        <f aca="false">Scoring!CU171</f>
        <v/>
      </c>
      <c r="B164" s="7" t="str">
        <f aca="false">Scoring!CT171</f>
        <v/>
      </c>
      <c r="C164" s="7" t="n">
        <f aca="false">Scoring!C171</f>
        <v>0</v>
      </c>
      <c r="D164" s="188" t="str">
        <f aca="false">Scoring!CQ171</f>
        <v/>
      </c>
      <c r="E164" s="7" t="str">
        <f aca="false">Scoring!BR171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Scoring!CS171</f>
        <v/>
      </c>
      <c r="I164" s="189" t="str">
        <f aca="false">Scoring!CR171</f>
        <v/>
      </c>
    </row>
    <row r="165" customFormat="false" ht="15.75" hidden="false" customHeight="false" outlineLevel="0" collapsed="false">
      <c r="A165" s="7" t="str">
        <f aca="false">Scoring!CU172</f>
        <v/>
      </c>
      <c r="B165" s="7" t="str">
        <f aca="false">Scoring!CT172</f>
        <v/>
      </c>
      <c r="C165" s="7" t="n">
        <f aca="false">Scoring!C172</f>
        <v>0</v>
      </c>
      <c r="D165" s="188" t="str">
        <f aca="false">Scoring!CQ172</f>
        <v/>
      </c>
      <c r="E165" s="7" t="str">
        <f aca="false">Scoring!BR172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Scoring!CS172</f>
        <v/>
      </c>
      <c r="I165" s="189" t="str">
        <f aca="false">Scoring!CR172</f>
        <v/>
      </c>
    </row>
    <row r="166" customFormat="false" ht="15.75" hidden="false" customHeight="false" outlineLevel="0" collapsed="false">
      <c r="A166" s="7" t="str">
        <f aca="false">Scoring!CU173</f>
        <v/>
      </c>
      <c r="B166" s="7" t="str">
        <f aca="false">Scoring!CT173</f>
        <v/>
      </c>
      <c r="C166" s="7" t="n">
        <f aca="false">Scoring!C173</f>
        <v>0</v>
      </c>
      <c r="D166" s="188" t="str">
        <f aca="false">Scoring!CQ173</f>
        <v/>
      </c>
      <c r="E166" s="7" t="str">
        <f aca="false">Scoring!BR173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Scoring!CS173</f>
        <v/>
      </c>
      <c r="I166" s="189" t="str">
        <f aca="false">Scoring!CR173</f>
        <v/>
      </c>
    </row>
    <row r="167" customFormat="false" ht="15.75" hidden="false" customHeight="false" outlineLevel="0" collapsed="false">
      <c r="A167" s="7" t="str">
        <f aca="false">Scoring!CU174</f>
        <v/>
      </c>
      <c r="B167" s="7" t="str">
        <f aca="false">Scoring!CT174</f>
        <v/>
      </c>
      <c r="C167" s="7" t="n">
        <f aca="false">Scoring!C174</f>
        <v>0</v>
      </c>
      <c r="D167" s="188" t="str">
        <f aca="false">Scoring!CQ174</f>
        <v/>
      </c>
      <c r="E167" s="7" t="str">
        <f aca="false">Scoring!BR174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Scoring!CS174</f>
        <v/>
      </c>
      <c r="I167" s="189" t="str">
        <f aca="false">Scoring!CR174</f>
        <v/>
      </c>
    </row>
    <row r="168" customFormat="false" ht="15.75" hidden="false" customHeight="false" outlineLevel="0" collapsed="false">
      <c r="A168" s="7" t="str">
        <f aca="false">Scoring!CU175</f>
        <v/>
      </c>
      <c r="B168" s="7" t="str">
        <f aca="false">Scoring!CT175</f>
        <v/>
      </c>
      <c r="C168" s="7" t="n">
        <f aca="false">Scoring!C175</f>
        <v>0</v>
      </c>
      <c r="D168" s="188" t="str">
        <f aca="false">Scoring!CQ175</f>
        <v/>
      </c>
      <c r="E168" s="7" t="str">
        <f aca="false">Scoring!BR175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Scoring!CS175</f>
        <v/>
      </c>
      <c r="I168" s="189" t="str">
        <f aca="false">Scoring!CR175</f>
        <v/>
      </c>
    </row>
    <row r="169" customFormat="false" ht="15.75" hidden="false" customHeight="false" outlineLevel="0" collapsed="false">
      <c r="A169" s="7" t="str">
        <f aca="false">Scoring!CU176</f>
        <v/>
      </c>
      <c r="B169" s="7" t="str">
        <f aca="false">Scoring!CT176</f>
        <v/>
      </c>
      <c r="C169" s="7" t="n">
        <f aca="false">Scoring!C176</f>
        <v>0</v>
      </c>
      <c r="D169" s="188" t="str">
        <f aca="false">Scoring!CQ176</f>
        <v/>
      </c>
      <c r="E169" s="7" t="str">
        <f aca="false">Scoring!BR176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Scoring!CS176</f>
        <v/>
      </c>
      <c r="I169" s="189" t="str">
        <f aca="false">Scoring!CR176</f>
        <v/>
      </c>
    </row>
    <row r="170" customFormat="false" ht="15.75" hidden="false" customHeight="false" outlineLevel="0" collapsed="false">
      <c r="A170" s="7" t="str">
        <f aca="false">Scoring!CU177</f>
        <v/>
      </c>
      <c r="B170" s="7" t="str">
        <f aca="false">Scoring!CT177</f>
        <v/>
      </c>
      <c r="C170" s="7" t="n">
        <f aca="false">Scoring!C177</f>
        <v>0</v>
      </c>
      <c r="D170" s="188" t="str">
        <f aca="false">Scoring!CQ177</f>
        <v/>
      </c>
      <c r="E170" s="7" t="str">
        <f aca="false">Scoring!BR177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Scoring!CS177</f>
        <v/>
      </c>
      <c r="I170" s="189" t="str">
        <f aca="false">Scoring!CR177</f>
        <v/>
      </c>
    </row>
    <row r="171" customFormat="false" ht="15.75" hidden="false" customHeight="false" outlineLevel="0" collapsed="false">
      <c r="A171" s="7" t="str">
        <f aca="false">Scoring!CU178</f>
        <v/>
      </c>
      <c r="B171" s="7" t="str">
        <f aca="false">Scoring!CT178</f>
        <v/>
      </c>
      <c r="C171" s="7" t="n">
        <f aca="false">Scoring!C178</f>
        <v>0</v>
      </c>
      <c r="D171" s="188" t="str">
        <f aca="false">Scoring!CQ178</f>
        <v/>
      </c>
      <c r="E171" s="7" t="str">
        <f aca="false">Scoring!BR178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Scoring!CS178</f>
        <v/>
      </c>
      <c r="I171" s="189" t="str">
        <f aca="false">Scoring!CR178</f>
        <v/>
      </c>
    </row>
    <row r="172" customFormat="false" ht="15.75" hidden="false" customHeight="false" outlineLevel="0" collapsed="false">
      <c r="A172" s="7" t="str">
        <f aca="false">Scoring!CU179</f>
        <v/>
      </c>
      <c r="B172" s="7" t="str">
        <f aca="false">Scoring!CT179</f>
        <v/>
      </c>
      <c r="C172" s="7" t="n">
        <f aca="false">Scoring!C179</f>
        <v>0</v>
      </c>
      <c r="D172" s="188" t="str">
        <f aca="false">Scoring!CQ179</f>
        <v/>
      </c>
      <c r="E172" s="7" t="str">
        <f aca="false">Scoring!BR179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Scoring!CS179</f>
        <v/>
      </c>
      <c r="I172" s="189" t="str">
        <f aca="false">Scoring!CR179</f>
        <v/>
      </c>
    </row>
    <row r="173" customFormat="false" ht="15.75" hidden="false" customHeight="false" outlineLevel="0" collapsed="false">
      <c r="A173" s="7" t="str">
        <f aca="false">Scoring!CU180</f>
        <v/>
      </c>
      <c r="B173" s="7" t="str">
        <f aca="false">Scoring!CT180</f>
        <v/>
      </c>
      <c r="C173" s="7" t="n">
        <f aca="false">Scoring!C180</f>
        <v>0</v>
      </c>
      <c r="D173" s="188" t="str">
        <f aca="false">Scoring!CQ180</f>
        <v/>
      </c>
      <c r="E173" s="7" t="str">
        <f aca="false">Scoring!BR180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Scoring!CS180</f>
        <v/>
      </c>
      <c r="I173" s="189" t="str">
        <f aca="false">Scoring!CR180</f>
        <v/>
      </c>
    </row>
    <row r="174" customFormat="false" ht="15.75" hidden="false" customHeight="false" outlineLevel="0" collapsed="false">
      <c r="A174" s="7" t="str">
        <f aca="false">Scoring!CU181</f>
        <v/>
      </c>
      <c r="B174" s="7" t="str">
        <f aca="false">Scoring!CT181</f>
        <v/>
      </c>
      <c r="C174" s="7" t="n">
        <f aca="false">Scoring!C181</f>
        <v>0</v>
      </c>
      <c r="D174" s="188" t="str">
        <f aca="false">Scoring!CQ181</f>
        <v/>
      </c>
      <c r="E174" s="7" t="str">
        <f aca="false">Scoring!BR181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Scoring!CS181</f>
        <v/>
      </c>
      <c r="I174" s="189" t="str">
        <f aca="false">Scoring!CR181</f>
        <v/>
      </c>
    </row>
    <row r="175" customFormat="false" ht="15.75" hidden="false" customHeight="false" outlineLevel="0" collapsed="false">
      <c r="A175" s="7" t="str">
        <f aca="false">Scoring!CU182</f>
        <v/>
      </c>
      <c r="B175" s="7" t="str">
        <f aca="false">Scoring!CT182</f>
        <v/>
      </c>
      <c r="C175" s="7" t="n">
        <f aca="false">Scoring!C182</f>
        <v>0</v>
      </c>
      <c r="D175" s="188" t="str">
        <f aca="false">Scoring!CQ182</f>
        <v/>
      </c>
      <c r="E175" s="7" t="str">
        <f aca="false">Scoring!BR182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Scoring!CS182</f>
        <v/>
      </c>
      <c r="I175" s="189" t="str">
        <f aca="false">Scoring!CR182</f>
        <v/>
      </c>
    </row>
    <row r="176" customFormat="false" ht="15.75" hidden="false" customHeight="false" outlineLevel="0" collapsed="false">
      <c r="A176" s="7" t="str">
        <f aca="false">Scoring!CU183</f>
        <v/>
      </c>
      <c r="B176" s="7" t="str">
        <f aca="false">Scoring!CT183</f>
        <v/>
      </c>
      <c r="C176" s="7" t="n">
        <f aca="false">Scoring!C183</f>
        <v>0</v>
      </c>
      <c r="D176" s="188" t="str">
        <f aca="false">Scoring!CQ183</f>
        <v/>
      </c>
      <c r="E176" s="7" t="str">
        <f aca="false">Scoring!BR183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Scoring!CS183</f>
        <v/>
      </c>
      <c r="I176" s="189" t="str">
        <f aca="false">Scoring!CR183</f>
        <v/>
      </c>
    </row>
    <row r="177" customFormat="false" ht="15.75" hidden="false" customHeight="false" outlineLevel="0" collapsed="false">
      <c r="A177" s="7" t="str">
        <f aca="false">Scoring!CU184</f>
        <v/>
      </c>
      <c r="B177" s="7" t="str">
        <f aca="false">Scoring!CT184</f>
        <v/>
      </c>
      <c r="C177" s="7" t="n">
        <f aca="false">Scoring!C184</f>
        <v>0</v>
      </c>
      <c r="D177" s="188" t="str">
        <f aca="false">Scoring!CQ184</f>
        <v/>
      </c>
      <c r="E177" s="7" t="str">
        <f aca="false">Scoring!BR184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Scoring!CS184</f>
        <v/>
      </c>
      <c r="I177" s="189" t="str">
        <f aca="false">Scoring!CR184</f>
        <v/>
      </c>
    </row>
    <row r="178" customFormat="false" ht="15.75" hidden="false" customHeight="false" outlineLevel="0" collapsed="false">
      <c r="A178" s="7" t="str">
        <f aca="false">Scoring!CU185</f>
        <v/>
      </c>
      <c r="B178" s="7" t="str">
        <f aca="false">Scoring!CT185</f>
        <v/>
      </c>
      <c r="C178" s="7" t="n">
        <f aca="false">Scoring!C185</f>
        <v>0</v>
      </c>
      <c r="D178" s="188" t="str">
        <f aca="false">Scoring!CQ185</f>
        <v/>
      </c>
      <c r="E178" s="7" t="str">
        <f aca="false">Scoring!BR185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Scoring!CS185</f>
        <v/>
      </c>
      <c r="I178" s="189" t="str">
        <f aca="false">Scoring!CR185</f>
        <v/>
      </c>
    </row>
    <row r="179" customFormat="false" ht="15.75" hidden="false" customHeight="false" outlineLevel="0" collapsed="false">
      <c r="A179" s="7" t="str">
        <f aca="false">Scoring!CU186</f>
        <v/>
      </c>
      <c r="B179" s="7" t="str">
        <f aca="false">Scoring!CT186</f>
        <v/>
      </c>
      <c r="C179" s="7" t="n">
        <f aca="false">Scoring!C186</f>
        <v>0</v>
      </c>
      <c r="D179" s="188" t="str">
        <f aca="false">Scoring!CQ186</f>
        <v/>
      </c>
      <c r="E179" s="7" t="str">
        <f aca="false">Scoring!BR186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Scoring!CS186</f>
        <v/>
      </c>
      <c r="I179" s="189" t="str">
        <f aca="false">Scoring!CR186</f>
        <v/>
      </c>
    </row>
    <row r="180" customFormat="false" ht="15.75" hidden="false" customHeight="false" outlineLevel="0" collapsed="false">
      <c r="A180" s="7" t="str">
        <f aca="false">Scoring!CU187</f>
        <v/>
      </c>
      <c r="B180" s="7" t="str">
        <f aca="false">Scoring!CT187</f>
        <v/>
      </c>
      <c r="C180" s="7" t="n">
        <f aca="false">Scoring!C187</f>
        <v>0</v>
      </c>
      <c r="D180" s="188" t="str">
        <f aca="false">Scoring!CQ187</f>
        <v/>
      </c>
      <c r="E180" s="7" t="str">
        <f aca="false">Scoring!BR187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Scoring!CS187</f>
        <v/>
      </c>
      <c r="I180" s="189" t="str">
        <f aca="false">Scoring!CR187</f>
        <v/>
      </c>
    </row>
    <row r="181" customFormat="false" ht="15.75" hidden="false" customHeight="false" outlineLevel="0" collapsed="false">
      <c r="A181" s="7" t="str">
        <f aca="false">Scoring!CU188</f>
        <v/>
      </c>
      <c r="B181" s="7" t="str">
        <f aca="false">Scoring!CT188</f>
        <v/>
      </c>
      <c r="C181" s="7" t="n">
        <f aca="false">Scoring!C188</f>
        <v>0</v>
      </c>
      <c r="D181" s="188" t="str">
        <f aca="false">Scoring!CQ188</f>
        <v/>
      </c>
      <c r="E181" s="7" t="str">
        <f aca="false">Scoring!BR188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Scoring!CS188</f>
        <v/>
      </c>
      <c r="I181" s="189" t="str">
        <f aca="false">Scoring!CR188</f>
        <v/>
      </c>
    </row>
    <row r="182" customFormat="false" ht="15.75" hidden="false" customHeight="false" outlineLevel="0" collapsed="false">
      <c r="A182" s="7" t="str">
        <f aca="false">Scoring!CU189</f>
        <v/>
      </c>
      <c r="B182" s="7" t="str">
        <f aca="false">Scoring!CT189</f>
        <v/>
      </c>
      <c r="C182" s="7" t="n">
        <f aca="false">Scoring!C189</f>
        <v>0</v>
      </c>
      <c r="D182" s="188" t="str">
        <f aca="false">Scoring!CQ189</f>
        <v/>
      </c>
      <c r="E182" s="7" t="str">
        <f aca="false">Scoring!BR189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Scoring!CS189</f>
        <v/>
      </c>
      <c r="I182" s="189" t="str">
        <f aca="false">Scoring!CR189</f>
        <v/>
      </c>
    </row>
    <row r="183" customFormat="false" ht="15.75" hidden="false" customHeight="false" outlineLevel="0" collapsed="false">
      <c r="A183" s="7" t="str">
        <f aca="false">Scoring!CU190</f>
        <v/>
      </c>
      <c r="B183" s="7" t="str">
        <f aca="false">Scoring!CT190</f>
        <v/>
      </c>
      <c r="C183" s="7" t="n">
        <f aca="false">Scoring!C190</f>
        <v>0</v>
      </c>
      <c r="D183" s="188" t="str">
        <f aca="false">Scoring!CQ190</f>
        <v/>
      </c>
      <c r="E183" s="7" t="str">
        <f aca="false">Scoring!BR190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Scoring!CS190</f>
        <v/>
      </c>
      <c r="I183" s="189" t="str">
        <f aca="false">Scoring!CR190</f>
        <v/>
      </c>
    </row>
    <row r="184" customFormat="false" ht="15.75" hidden="false" customHeight="false" outlineLevel="0" collapsed="false">
      <c r="A184" s="7" t="str">
        <f aca="false">Scoring!CU191</f>
        <v/>
      </c>
      <c r="B184" s="7" t="str">
        <f aca="false">Scoring!CT191</f>
        <v/>
      </c>
      <c r="C184" s="7" t="n">
        <f aca="false">Scoring!C191</f>
        <v>0</v>
      </c>
      <c r="D184" s="188" t="str">
        <f aca="false">Scoring!CQ191</f>
        <v/>
      </c>
      <c r="E184" s="7" t="str">
        <f aca="false">Scoring!BR191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Scoring!CS191</f>
        <v/>
      </c>
      <c r="I184" s="189" t="str">
        <f aca="false">Scoring!CR191</f>
        <v/>
      </c>
    </row>
    <row r="185" customFormat="false" ht="15.75" hidden="false" customHeight="false" outlineLevel="0" collapsed="false">
      <c r="A185" s="7" t="str">
        <f aca="false">Scoring!CU192</f>
        <v/>
      </c>
      <c r="B185" s="7" t="str">
        <f aca="false">Scoring!CT192</f>
        <v/>
      </c>
      <c r="C185" s="7" t="n">
        <f aca="false">Scoring!C192</f>
        <v>0</v>
      </c>
      <c r="D185" s="188" t="str">
        <f aca="false">Scoring!CQ192</f>
        <v/>
      </c>
      <c r="E185" s="7" t="str">
        <f aca="false">Scoring!BR192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Scoring!CS192</f>
        <v/>
      </c>
      <c r="I185" s="189" t="str">
        <f aca="false">Scoring!CR192</f>
        <v/>
      </c>
    </row>
    <row r="186" customFormat="false" ht="15.75" hidden="false" customHeight="false" outlineLevel="0" collapsed="false">
      <c r="A186" s="7" t="str">
        <f aca="false">Scoring!CU193</f>
        <v/>
      </c>
      <c r="B186" s="7" t="str">
        <f aca="false">Scoring!CT193</f>
        <v/>
      </c>
      <c r="C186" s="7" t="n">
        <f aca="false">Scoring!C193</f>
        <v>0</v>
      </c>
      <c r="D186" s="188" t="str">
        <f aca="false">Scoring!CQ193</f>
        <v/>
      </c>
      <c r="E186" s="7" t="str">
        <f aca="false">Scoring!BR193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Scoring!CS193</f>
        <v/>
      </c>
      <c r="I186" s="189" t="str">
        <f aca="false">Scoring!CR193</f>
        <v/>
      </c>
    </row>
    <row r="187" customFormat="false" ht="15.75" hidden="false" customHeight="false" outlineLevel="0" collapsed="false">
      <c r="A187" s="7" t="str">
        <f aca="false">Scoring!CU194</f>
        <v/>
      </c>
      <c r="B187" s="7" t="str">
        <f aca="false">Scoring!CT194</f>
        <v/>
      </c>
      <c r="C187" s="7" t="n">
        <f aca="false">Scoring!C194</f>
        <v>0</v>
      </c>
      <c r="D187" s="188" t="str">
        <f aca="false">Scoring!CQ194</f>
        <v/>
      </c>
      <c r="E187" s="7" t="str">
        <f aca="false">Scoring!BR194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Scoring!CS194</f>
        <v/>
      </c>
      <c r="I187" s="189" t="str">
        <f aca="false">Scoring!CR194</f>
        <v/>
      </c>
    </row>
    <row r="188" customFormat="false" ht="15.75" hidden="false" customHeight="false" outlineLevel="0" collapsed="false">
      <c r="A188" s="7" t="str">
        <f aca="false">Scoring!CU195</f>
        <v/>
      </c>
      <c r="B188" s="7" t="str">
        <f aca="false">Scoring!CT195</f>
        <v/>
      </c>
      <c r="C188" s="7" t="n">
        <f aca="false">Scoring!C195</f>
        <v>0</v>
      </c>
      <c r="D188" s="188" t="str">
        <f aca="false">Scoring!CQ195</f>
        <v/>
      </c>
      <c r="E188" s="7" t="str">
        <f aca="false">Scoring!BR195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Scoring!CS195</f>
        <v/>
      </c>
      <c r="I188" s="189" t="str">
        <f aca="false">Scoring!CR195</f>
        <v/>
      </c>
    </row>
    <row r="189" customFormat="false" ht="15.75" hidden="false" customHeight="false" outlineLevel="0" collapsed="false">
      <c r="A189" s="7" t="str">
        <f aca="false">Scoring!CU196</f>
        <v/>
      </c>
      <c r="B189" s="7" t="str">
        <f aca="false">Scoring!CT196</f>
        <v/>
      </c>
      <c r="C189" s="7" t="n">
        <f aca="false">Scoring!C196</f>
        <v>0</v>
      </c>
      <c r="D189" s="188" t="str">
        <f aca="false">Scoring!CQ196</f>
        <v/>
      </c>
      <c r="E189" s="7" t="str">
        <f aca="false">Scoring!BR196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Scoring!CS196</f>
        <v/>
      </c>
      <c r="I189" s="189" t="str">
        <f aca="false">Scoring!CR196</f>
        <v/>
      </c>
    </row>
    <row r="190" customFormat="false" ht="15.75" hidden="false" customHeight="false" outlineLevel="0" collapsed="false">
      <c r="A190" s="7" t="str">
        <f aca="false">Scoring!CU197</f>
        <v/>
      </c>
      <c r="B190" s="7" t="str">
        <f aca="false">Scoring!CT197</f>
        <v/>
      </c>
      <c r="C190" s="7" t="n">
        <f aca="false">Scoring!C197</f>
        <v>0</v>
      </c>
      <c r="D190" s="188" t="str">
        <f aca="false">Scoring!CQ197</f>
        <v/>
      </c>
      <c r="E190" s="7" t="str">
        <f aca="false">Scoring!BR197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Scoring!CS197</f>
        <v/>
      </c>
      <c r="I190" s="189" t="str">
        <f aca="false">Scoring!CR197</f>
        <v/>
      </c>
    </row>
    <row r="191" customFormat="false" ht="15.75" hidden="false" customHeight="false" outlineLevel="0" collapsed="false">
      <c r="A191" s="7" t="str">
        <f aca="false">Scoring!CU198</f>
        <v/>
      </c>
      <c r="B191" s="7" t="str">
        <f aca="false">Scoring!CT198</f>
        <v/>
      </c>
      <c r="C191" s="7" t="n">
        <f aca="false">Scoring!C198</f>
        <v>0</v>
      </c>
      <c r="D191" s="188" t="str">
        <f aca="false">Scoring!CQ198</f>
        <v/>
      </c>
      <c r="E191" s="7" t="str">
        <f aca="false">Scoring!BR198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Scoring!CS198</f>
        <v/>
      </c>
      <c r="I191" s="189" t="str">
        <f aca="false">Scoring!CR198</f>
        <v/>
      </c>
    </row>
    <row r="192" customFormat="false" ht="15.75" hidden="false" customHeight="false" outlineLevel="0" collapsed="false">
      <c r="A192" s="7" t="str">
        <f aca="false">Scoring!CU199</f>
        <v/>
      </c>
      <c r="B192" s="7" t="str">
        <f aca="false">Scoring!CT199</f>
        <v/>
      </c>
      <c r="C192" s="7" t="n">
        <f aca="false">Scoring!C199</f>
        <v>0</v>
      </c>
      <c r="D192" s="188" t="str">
        <f aca="false">Scoring!CQ199</f>
        <v/>
      </c>
      <c r="E192" s="7" t="str">
        <f aca="false">Scoring!BR199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Scoring!CS199</f>
        <v/>
      </c>
      <c r="I192" s="189" t="str">
        <f aca="false">Scoring!CR199</f>
        <v/>
      </c>
    </row>
    <row r="193" customFormat="false" ht="15.75" hidden="false" customHeight="false" outlineLevel="0" collapsed="false">
      <c r="A193" s="7" t="str">
        <f aca="false">Scoring!CU200</f>
        <v/>
      </c>
      <c r="B193" s="7" t="str">
        <f aca="false">Scoring!CT200</f>
        <v/>
      </c>
      <c r="C193" s="7" t="n">
        <f aca="false">Scoring!C200</f>
        <v>0</v>
      </c>
      <c r="D193" s="188" t="str">
        <f aca="false">Scoring!CQ200</f>
        <v/>
      </c>
      <c r="E193" s="7" t="str">
        <f aca="false">Scoring!BR200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Scoring!CS200</f>
        <v/>
      </c>
      <c r="I193" s="189" t="str">
        <f aca="false">Scoring!CR200</f>
        <v/>
      </c>
    </row>
    <row r="194" customFormat="false" ht="15.75" hidden="false" customHeight="false" outlineLevel="0" collapsed="false">
      <c r="A194" s="7" t="str">
        <f aca="false">Scoring!CU201</f>
        <v/>
      </c>
      <c r="B194" s="7" t="str">
        <f aca="false">Scoring!CT201</f>
        <v/>
      </c>
      <c r="C194" s="7" t="n">
        <f aca="false">Scoring!C201</f>
        <v>0</v>
      </c>
      <c r="D194" s="188" t="str">
        <f aca="false">Scoring!CQ201</f>
        <v/>
      </c>
      <c r="E194" s="7" t="str">
        <f aca="false">Scoring!BR201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Scoring!CS201</f>
        <v/>
      </c>
      <c r="I194" s="189" t="str">
        <f aca="false">Scoring!CR201</f>
        <v/>
      </c>
    </row>
    <row r="195" customFormat="false" ht="15.75" hidden="false" customHeight="false" outlineLevel="0" collapsed="false">
      <c r="A195" s="7" t="str">
        <f aca="false">Scoring!CU202</f>
        <v/>
      </c>
      <c r="B195" s="7" t="str">
        <f aca="false">Scoring!CT202</f>
        <v/>
      </c>
      <c r="C195" s="7" t="n">
        <f aca="false">Scoring!C202</f>
        <v>0</v>
      </c>
      <c r="D195" s="188" t="str">
        <f aca="false">Scoring!CQ202</f>
        <v/>
      </c>
      <c r="E195" s="7" t="str">
        <f aca="false">Scoring!BR202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Scoring!CS202</f>
        <v/>
      </c>
      <c r="I195" s="189" t="str">
        <f aca="false">Scoring!CR202</f>
        <v/>
      </c>
    </row>
    <row r="196" customFormat="false" ht="15.75" hidden="false" customHeight="false" outlineLevel="0" collapsed="false">
      <c r="A196" s="7" t="str">
        <f aca="false">Scoring!CU203</f>
        <v/>
      </c>
      <c r="B196" s="7" t="str">
        <f aca="false">Scoring!CT203</f>
        <v/>
      </c>
      <c r="C196" s="7" t="n">
        <f aca="false">Scoring!C203</f>
        <v>0</v>
      </c>
      <c r="D196" s="188" t="str">
        <f aca="false">Scoring!CQ203</f>
        <v/>
      </c>
      <c r="E196" s="7" t="str">
        <f aca="false">Scoring!BR203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Scoring!CS203</f>
        <v/>
      </c>
      <c r="I196" s="189" t="str">
        <f aca="false">Scoring!CR203</f>
        <v/>
      </c>
    </row>
    <row r="197" customFormat="false" ht="15.75" hidden="false" customHeight="false" outlineLevel="0" collapsed="false">
      <c r="A197" s="7" t="str">
        <f aca="false">Scoring!CU204</f>
        <v/>
      </c>
      <c r="B197" s="7" t="str">
        <f aca="false">Scoring!CT204</f>
        <v/>
      </c>
      <c r="C197" s="7" t="n">
        <f aca="false">Scoring!C204</f>
        <v>0</v>
      </c>
      <c r="D197" s="188" t="str">
        <f aca="false">Scoring!CQ204</f>
        <v/>
      </c>
      <c r="E197" s="7" t="str">
        <f aca="false">Scoring!BR204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Scoring!CS204</f>
        <v/>
      </c>
      <c r="I197" s="189" t="str">
        <f aca="false">Scoring!CR204</f>
        <v/>
      </c>
    </row>
    <row r="198" customFormat="false" ht="15.75" hidden="false" customHeight="false" outlineLevel="0" collapsed="false">
      <c r="A198" s="7" t="str">
        <f aca="false">Scoring!CU205</f>
        <v/>
      </c>
      <c r="B198" s="7" t="str">
        <f aca="false">Scoring!CT205</f>
        <v/>
      </c>
      <c r="C198" s="7" t="n">
        <f aca="false">Scoring!C205</f>
        <v>0</v>
      </c>
      <c r="D198" s="188" t="str">
        <f aca="false">Scoring!CQ205</f>
        <v/>
      </c>
      <c r="E198" s="7" t="str">
        <f aca="false">Scoring!BR205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Scoring!CS205</f>
        <v/>
      </c>
      <c r="I198" s="189" t="str">
        <f aca="false">Scoring!CR205</f>
        <v/>
      </c>
    </row>
    <row r="199" customFormat="false" ht="15.75" hidden="false" customHeight="false" outlineLevel="0" collapsed="false">
      <c r="A199" s="7" t="str">
        <f aca="false">Scoring!CU206</f>
        <v/>
      </c>
      <c r="B199" s="7" t="str">
        <f aca="false">Scoring!CT206</f>
        <v/>
      </c>
      <c r="C199" s="7" t="n">
        <f aca="false">Scoring!C206</f>
        <v>0</v>
      </c>
      <c r="D199" s="188" t="str">
        <f aca="false">Scoring!CQ206</f>
        <v/>
      </c>
      <c r="E199" s="7" t="str">
        <f aca="false">Scoring!BR206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Scoring!CS206</f>
        <v/>
      </c>
      <c r="I199" s="189" t="str">
        <f aca="false">Scoring!CR206</f>
        <v/>
      </c>
    </row>
    <row r="200" customFormat="false" ht="15.75" hidden="false" customHeight="false" outlineLevel="0" collapsed="false">
      <c r="A200" s="7" t="str">
        <f aca="false">Scoring!CU207</f>
        <v/>
      </c>
      <c r="B200" s="7" t="str">
        <f aca="false">Scoring!CT207</f>
        <v/>
      </c>
      <c r="C200" s="7" t="n">
        <f aca="false">Scoring!C207</f>
        <v>0</v>
      </c>
      <c r="D200" s="188" t="str">
        <f aca="false">Scoring!CQ207</f>
        <v/>
      </c>
      <c r="E200" s="7" t="str">
        <f aca="false">Scoring!BR207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Scoring!CS207</f>
        <v/>
      </c>
      <c r="I200" s="189" t="str">
        <f aca="false">Scoring!CR207</f>
        <v/>
      </c>
    </row>
    <row r="201" customFormat="false" ht="15.75" hidden="false" customHeight="false" outlineLevel="0" collapsed="false">
      <c r="A201" s="7" t="str">
        <f aca="false">Scoring!CU208</f>
        <v/>
      </c>
      <c r="B201" s="7" t="str">
        <f aca="false">Scoring!CT208</f>
        <v/>
      </c>
      <c r="C201" s="7" t="n">
        <f aca="false">Scoring!C208</f>
        <v>0</v>
      </c>
      <c r="D201" s="188" t="str">
        <f aca="false">Scoring!CQ208</f>
        <v/>
      </c>
      <c r="E201" s="7" t="str">
        <f aca="false">Scoring!BR208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Scoring!CS208</f>
        <v/>
      </c>
      <c r="I201" s="189" t="str">
        <f aca="false">Scoring!CR208</f>
        <v/>
      </c>
    </row>
    <row r="202" customFormat="false" ht="15.75" hidden="false" customHeight="false" outlineLevel="0" collapsed="false">
      <c r="A202" s="7" t="str">
        <f aca="false">Scoring!CU209</f>
        <v/>
      </c>
      <c r="B202" s="7" t="str">
        <f aca="false">Scoring!CT209</f>
        <v/>
      </c>
      <c r="C202" s="7" t="n">
        <f aca="false">Scoring!C209</f>
        <v>0</v>
      </c>
      <c r="D202" s="188" t="str">
        <f aca="false">Scoring!CQ209</f>
        <v/>
      </c>
      <c r="E202" s="7" t="str">
        <f aca="false">Scoring!BR209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Scoring!CS209</f>
        <v/>
      </c>
      <c r="I202" s="189" t="str">
        <f aca="false">Scoring!CR209</f>
        <v/>
      </c>
    </row>
    <row r="203" customFormat="false" ht="15.75" hidden="false" customHeight="false" outlineLevel="0" collapsed="false">
      <c r="A203" s="7" t="str">
        <f aca="false">Scoring!CU210</f>
        <v/>
      </c>
      <c r="B203" s="7" t="str">
        <f aca="false">Scoring!CT210</f>
        <v/>
      </c>
      <c r="C203" s="7" t="n">
        <f aca="false">Scoring!C210</f>
        <v>0</v>
      </c>
      <c r="D203" s="188" t="str">
        <f aca="false">Scoring!CQ210</f>
        <v/>
      </c>
      <c r="E203" s="7" t="str">
        <f aca="false">Scoring!BR210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Scoring!CS210</f>
        <v/>
      </c>
      <c r="I203" s="189" t="str">
        <f aca="false">Scoring!CR210</f>
        <v/>
      </c>
    </row>
    <row r="204" customFormat="false" ht="15.75" hidden="false" customHeight="false" outlineLevel="0" collapsed="false">
      <c r="A204" s="7" t="str">
        <f aca="false">Scoring!CU211</f>
        <v/>
      </c>
      <c r="B204" s="7" t="str">
        <f aca="false">Scoring!CT211</f>
        <v/>
      </c>
      <c r="C204" s="7" t="n">
        <f aca="false">Scoring!C211</f>
        <v>0</v>
      </c>
      <c r="D204" s="188" t="str">
        <f aca="false">Scoring!CQ211</f>
        <v/>
      </c>
      <c r="E204" s="7" t="str">
        <f aca="false">Scoring!BR211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Scoring!CS211</f>
        <v/>
      </c>
      <c r="I204" s="189" t="str">
        <f aca="false">Scoring!CR211</f>
        <v/>
      </c>
    </row>
    <row r="205" customFormat="false" ht="15.75" hidden="false" customHeight="false" outlineLevel="0" collapsed="false">
      <c r="A205" s="7" t="str">
        <f aca="false">Scoring!CU212</f>
        <v/>
      </c>
      <c r="B205" s="7" t="str">
        <f aca="false">Scoring!CT212</f>
        <v/>
      </c>
      <c r="C205" s="7" t="n">
        <f aca="false">Scoring!C212</f>
        <v>0</v>
      </c>
      <c r="D205" s="188" t="str">
        <f aca="false">Scoring!CQ212</f>
        <v/>
      </c>
      <c r="E205" s="7" t="str">
        <f aca="false">Scoring!BR212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Scoring!CS212</f>
        <v/>
      </c>
      <c r="I205" s="189" t="str">
        <f aca="false">Scoring!CR212</f>
        <v/>
      </c>
    </row>
    <row r="206" customFormat="false" ht="15.75" hidden="false" customHeight="false" outlineLevel="0" collapsed="false">
      <c r="A206" s="7" t="str">
        <f aca="false">Scoring!CU213</f>
        <v/>
      </c>
      <c r="B206" s="7" t="str">
        <f aca="false">Scoring!CT213</f>
        <v/>
      </c>
      <c r="C206" s="7" t="n">
        <f aca="false">Scoring!C213</f>
        <v>0</v>
      </c>
      <c r="D206" s="188" t="str">
        <f aca="false">Scoring!CQ213</f>
        <v/>
      </c>
      <c r="E206" s="7" t="str">
        <f aca="false">Scoring!BR213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Scoring!CS213</f>
        <v/>
      </c>
      <c r="I206" s="189" t="str">
        <f aca="false">Scoring!CR213</f>
        <v/>
      </c>
    </row>
    <row r="207" customFormat="false" ht="15.75" hidden="false" customHeight="false" outlineLevel="0" collapsed="false">
      <c r="A207" s="7" t="str">
        <f aca="false">Scoring!CU214</f>
        <v/>
      </c>
      <c r="B207" s="7" t="str">
        <f aca="false">Scoring!CT214</f>
        <v/>
      </c>
      <c r="C207" s="7" t="n">
        <f aca="false">Scoring!C214</f>
        <v>0</v>
      </c>
      <c r="D207" s="188" t="str">
        <f aca="false">Scoring!CQ214</f>
        <v/>
      </c>
      <c r="E207" s="7" t="str">
        <f aca="false">Scoring!BR214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Scoring!CS214</f>
        <v/>
      </c>
      <c r="I207" s="189" t="str">
        <f aca="false">Scoring!CR214</f>
        <v/>
      </c>
    </row>
    <row r="208" customFormat="false" ht="15.75" hidden="false" customHeight="false" outlineLevel="0" collapsed="false">
      <c r="A208" s="7" t="str">
        <f aca="false">Scoring!CU215</f>
        <v/>
      </c>
      <c r="B208" s="7" t="str">
        <f aca="false">Scoring!CT215</f>
        <v/>
      </c>
      <c r="C208" s="7" t="n">
        <f aca="false">Scoring!C215</f>
        <v>0</v>
      </c>
      <c r="D208" s="188" t="str">
        <f aca="false">Scoring!CQ215</f>
        <v/>
      </c>
      <c r="E208" s="7" t="str">
        <f aca="false">Scoring!BR215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Scoring!CS215</f>
        <v/>
      </c>
      <c r="I208" s="189" t="str">
        <f aca="false">Scoring!CR215</f>
        <v/>
      </c>
    </row>
    <row r="209" customFormat="false" ht="15.75" hidden="false" customHeight="false" outlineLevel="0" collapsed="false">
      <c r="A209" s="7" t="str">
        <f aca="false">Scoring!CU216</f>
        <v/>
      </c>
      <c r="B209" s="7" t="str">
        <f aca="false">Scoring!CT216</f>
        <v/>
      </c>
      <c r="C209" s="7" t="n">
        <f aca="false">Scoring!C216</f>
        <v>0</v>
      </c>
      <c r="D209" s="188" t="str">
        <f aca="false">Scoring!CQ216</f>
        <v/>
      </c>
      <c r="E209" s="7" t="str">
        <f aca="false">Scoring!BR216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Scoring!CS216</f>
        <v/>
      </c>
      <c r="I209" s="189" t="str">
        <f aca="false">Scoring!CR216</f>
        <v/>
      </c>
    </row>
    <row r="210" customFormat="false" ht="15.75" hidden="false" customHeight="false" outlineLevel="0" collapsed="false">
      <c r="A210" s="7" t="str">
        <f aca="false">Scoring!CU217</f>
        <v/>
      </c>
      <c r="B210" s="7" t="str">
        <f aca="false">Scoring!CT217</f>
        <v/>
      </c>
      <c r="C210" s="7" t="n">
        <f aca="false">Scoring!C217</f>
        <v>0</v>
      </c>
      <c r="D210" s="188" t="str">
        <f aca="false">Scoring!CQ217</f>
        <v/>
      </c>
      <c r="E210" s="7" t="str">
        <f aca="false">Scoring!BR217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Scoring!CS217</f>
        <v/>
      </c>
      <c r="I210" s="189" t="str">
        <f aca="false">Scoring!CR217</f>
        <v/>
      </c>
    </row>
    <row r="211" customFormat="false" ht="15.75" hidden="false" customHeight="false" outlineLevel="0" collapsed="false">
      <c r="A211" s="7" t="str">
        <f aca="false">Scoring!CU218</f>
        <v/>
      </c>
      <c r="B211" s="7" t="str">
        <f aca="false">Scoring!CT218</f>
        <v/>
      </c>
      <c r="C211" s="7" t="n">
        <f aca="false">Scoring!C218</f>
        <v>0</v>
      </c>
      <c r="D211" s="188" t="str">
        <f aca="false">Scoring!CQ218</f>
        <v/>
      </c>
      <c r="E211" s="7" t="str">
        <f aca="false">Scoring!BR218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Scoring!CS218</f>
        <v/>
      </c>
      <c r="I211" s="189" t="str">
        <f aca="false">Scoring!CR218</f>
        <v/>
      </c>
    </row>
    <row r="212" customFormat="false" ht="15.75" hidden="false" customHeight="false" outlineLevel="0" collapsed="false">
      <c r="A212" s="7" t="str">
        <f aca="false">Scoring!CU219</f>
        <v/>
      </c>
      <c r="B212" s="7" t="str">
        <f aca="false">Scoring!CT219</f>
        <v/>
      </c>
      <c r="C212" s="7" t="n">
        <f aca="false">Scoring!C219</f>
        <v>0</v>
      </c>
      <c r="D212" s="188" t="str">
        <f aca="false">Scoring!CQ219</f>
        <v/>
      </c>
      <c r="E212" s="7" t="str">
        <f aca="false">Scoring!BR219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Scoring!CS219</f>
        <v/>
      </c>
      <c r="I212" s="189" t="str">
        <f aca="false">Scoring!CR219</f>
        <v/>
      </c>
    </row>
    <row r="213" customFormat="false" ht="15.75" hidden="false" customHeight="false" outlineLevel="0" collapsed="false">
      <c r="A213" s="7" t="str">
        <f aca="false">Scoring!CU220</f>
        <v/>
      </c>
      <c r="B213" s="7" t="str">
        <f aca="false">Scoring!CT220</f>
        <v/>
      </c>
      <c r="C213" s="7" t="n">
        <f aca="false">Scoring!C220</f>
        <v>0</v>
      </c>
      <c r="D213" s="188" t="str">
        <f aca="false">Scoring!CQ220</f>
        <v/>
      </c>
      <c r="E213" s="7" t="str">
        <f aca="false">Scoring!BR220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Scoring!CS220</f>
        <v/>
      </c>
      <c r="I213" s="189" t="str">
        <f aca="false">Scoring!CR220</f>
        <v/>
      </c>
    </row>
    <row r="214" customFormat="false" ht="15.75" hidden="false" customHeight="false" outlineLevel="0" collapsed="false">
      <c r="A214" s="7" t="str">
        <f aca="false">Scoring!CU221</f>
        <v/>
      </c>
      <c r="B214" s="7" t="str">
        <f aca="false">Scoring!CT221</f>
        <v/>
      </c>
      <c r="C214" s="7" t="n">
        <f aca="false">Scoring!C221</f>
        <v>0</v>
      </c>
      <c r="D214" s="188" t="str">
        <f aca="false">Scoring!CQ221</f>
        <v/>
      </c>
      <c r="E214" s="7" t="str">
        <f aca="false">Scoring!BR221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Scoring!CS221</f>
        <v/>
      </c>
      <c r="I214" s="189" t="str">
        <f aca="false">Scoring!CR221</f>
        <v/>
      </c>
    </row>
    <row r="215" customFormat="false" ht="15.75" hidden="false" customHeight="false" outlineLevel="0" collapsed="false">
      <c r="A215" s="7" t="str">
        <f aca="false">Scoring!CU222</f>
        <v/>
      </c>
      <c r="B215" s="7" t="str">
        <f aca="false">Scoring!CT222</f>
        <v/>
      </c>
      <c r="C215" s="7" t="n">
        <f aca="false">Scoring!C222</f>
        <v>0</v>
      </c>
      <c r="D215" s="188" t="str">
        <f aca="false">Scoring!CQ222</f>
        <v/>
      </c>
      <c r="E215" s="7" t="str">
        <f aca="false">Scoring!BR222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Scoring!CS222</f>
        <v/>
      </c>
      <c r="I215" s="189" t="str">
        <f aca="false">Scoring!CR222</f>
        <v/>
      </c>
    </row>
    <row r="216" customFormat="false" ht="15.75" hidden="false" customHeight="false" outlineLevel="0" collapsed="false">
      <c r="A216" s="7" t="str">
        <f aca="false">Scoring!CU223</f>
        <v/>
      </c>
      <c r="B216" s="7" t="str">
        <f aca="false">Scoring!CT223</f>
        <v/>
      </c>
      <c r="C216" s="7" t="n">
        <f aca="false">Scoring!C223</f>
        <v>0</v>
      </c>
      <c r="D216" s="188" t="str">
        <f aca="false">Scoring!CQ223</f>
        <v/>
      </c>
      <c r="E216" s="7" t="str">
        <f aca="false">Scoring!BR223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Scoring!CS223</f>
        <v/>
      </c>
      <c r="I216" s="189" t="str">
        <f aca="false">Scoring!CR223</f>
        <v/>
      </c>
    </row>
    <row r="217" customFormat="false" ht="15.75" hidden="false" customHeight="false" outlineLevel="0" collapsed="false">
      <c r="A217" s="7" t="str">
        <f aca="false">Scoring!CU224</f>
        <v/>
      </c>
      <c r="B217" s="7" t="str">
        <f aca="false">Scoring!CT224</f>
        <v/>
      </c>
      <c r="C217" s="7" t="n">
        <f aca="false">Scoring!C224</f>
        <v>0</v>
      </c>
      <c r="D217" s="188" t="str">
        <f aca="false">Scoring!CQ224</f>
        <v/>
      </c>
      <c r="E217" s="7" t="str">
        <f aca="false">Scoring!BR224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Scoring!CS224</f>
        <v/>
      </c>
      <c r="I217" s="189" t="str">
        <f aca="false">Scoring!CR224</f>
        <v/>
      </c>
    </row>
    <row r="218" customFormat="false" ht="15.75" hidden="false" customHeight="false" outlineLevel="0" collapsed="false">
      <c r="A218" s="7" t="str">
        <f aca="false">Scoring!CU225</f>
        <v/>
      </c>
      <c r="B218" s="7" t="str">
        <f aca="false">Scoring!CT225</f>
        <v/>
      </c>
      <c r="C218" s="7" t="n">
        <f aca="false">Scoring!C225</f>
        <v>0</v>
      </c>
      <c r="D218" s="188" t="str">
        <f aca="false">Scoring!CQ225</f>
        <v/>
      </c>
      <c r="E218" s="7" t="str">
        <f aca="false">Scoring!BR225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Scoring!CS225</f>
        <v/>
      </c>
      <c r="I218" s="189" t="str">
        <f aca="false">Scoring!CR225</f>
        <v/>
      </c>
    </row>
    <row r="219" customFormat="false" ht="15.75" hidden="false" customHeight="false" outlineLevel="0" collapsed="false">
      <c r="A219" s="7" t="str">
        <f aca="false">Scoring!CU226</f>
        <v/>
      </c>
      <c r="B219" s="7" t="str">
        <f aca="false">Scoring!CT226</f>
        <v/>
      </c>
      <c r="C219" s="7" t="n">
        <f aca="false">Scoring!C226</f>
        <v>0</v>
      </c>
      <c r="D219" s="188" t="str">
        <f aca="false">Scoring!CQ226</f>
        <v/>
      </c>
      <c r="E219" s="7" t="str">
        <f aca="false">Scoring!BR226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Scoring!CS226</f>
        <v/>
      </c>
      <c r="I219" s="189" t="str">
        <f aca="false">Scoring!CR226</f>
        <v/>
      </c>
    </row>
    <row r="220" customFormat="false" ht="15.75" hidden="false" customHeight="false" outlineLevel="0" collapsed="false">
      <c r="A220" s="7" t="str">
        <f aca="false">Scoring!CU227</f>
        <v/>
      </c>
      <c r="B220" s="7" t="str">
        <f aca="false">Scoring!CT227</f>
        <v/>
      </c>
      <c r="C220" s="7" t="n">
        <f aca="false">Scoring!C227</f>
        <v>0</v>
      </c>
      <c r="D220" s="188" t="str">
        <f aca="false">Scoring!CQ227</f>
        <v/>
      </c>
      <c r="E220" s="7" t="str">
        <f aca="false">Scoring!BR227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Scoring!CS227</f>
        <v/>
      </c>
      <c r="I220" s="189" t="str">
        <f aca="false">Scoring!CR227</f>
        <v/>
      </c>
    </row>
    <row r="221" customFormat="false" ht="15.75" hidden="false" customHeight="false" outlineLevel="0" collapsed="false">
      <c r="A221" s="7" t="str">
        <f aca="false">Scoring!CU228</f>
        <v/>
      </c>
      <c r="B221" s="7" t="str">
        <f aca="false">Scoring!CT228</f>
        <v/>
      </c>
      <c r="C221" s="7" t="n">
        <f aca="false">Scoring!C228</f>
        <v>0</v>
      </c>
      <c r="D221" s="188" t="str">
        <f aca="false">Scoring!CQ228</f>
        <v/>
      </c>
      <c r="E221" s="7" t="str">
        <f aca="false">Scoring!BR228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Scoring!CS228</f>
        <v/>
      </c>
      <c r="I221" s="189" t="str">
        <f aca="false">Scoring!CR228</f>
        <v/>
      </c>
    </row>
    <row r="222" customFormat="false" ht="15.75" hidden="false" customHeight="false" outlineLevel="0" collapsed="false">
      <c r="A222" s="7" t="str">
        <f aca="false">Scoring!CU229</f>
        <v/>
      </c>
      <c r="B222" s="7" t="str">
        <f aca="false">Scoring!CT229</f>
        <v/>
      </c>
      <c r="C222" s="7" t="n">
        <f aca="false">Scoring!C229</f>
        <v>0</v>
      </c>
      <c r="D222" s="188" t="str">
        <f aca="false">Scoring!CQ229</f>
        <v/>
      </c>
      <c r="E222" s="7" t="str">
        <f aca="false">Scoring!BR229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Scoring!CS229</f>
        <v/>
      </c>
      <c r="I222" s="189" t="str">
        <f aca="false">Scoring!CR229</f>
        <v/>
      </c>
    </row>
    <row r="223" customFormat="false" ht="15.75" hidden="false" customHeight="false" outlineLevel="0" collapsed="false">
      <c r="A223" s="7" t="str">
        <f aca="false">Scoring!CU230</f>
        <v/>
      </c>
      <c r="B223" s="7" t="str">
        <f aca="false">Scoring!CT230</f>
        <v/>
      </c>
      <c r="C223" s="7" t="n">
        <f aca="false">Scoring!C230</f>
        <v>0</v>
      </c>
      <c r="D223" s="188" t="str">
        <f aca="false">Scoring!CQ230</f>
        <v/>
      </c>
      <c r="E223" s="7" t="str">
        <f aca="false">Scoring!BR230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Scoring!CS230</f>
        <v/>
      </c>
      <c r="I223" s="189" t="str">
        <f aca="false">Scoring!CR230</f>
        <v/>
      </c>
    </row>
    <row r="224" customFormat="false" ht="15.75" hidden="false" customHeight="false" outlineLevel="0" collapsed="false">
      <c r="A224" s="7" t="str">
        <f aca="false">Scoring!CU231</f>
        <v/>
      </c>
      <c r="B224" s="7" t="str">
        <f aca="false">Scoring!CT231</f>
        <v/>
      </c>
      <c r="C224" s="7" t="n">
        <f aca="false">Scoring!C231</f>
        <v>0</v>
      </c>
      <c r="D224" s="188" t="str">
        <f aca="false">Scoring!CQ231</f>
        <v/>
      </c>
      <c r="E224" s="7" t="str">
        <f aca="false">Scoring!BR231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Scoring!CS231</f>
        <v/>
      </c>
      <c r="I224" s="189" t="str">
        <f aca="false">Scoring!CR231</f>
        <v/>
      </c>
    </row>
    <row r="225" customFormat="false" ht="15.75" hidden="false" customHeight="false" outlineLevel="0" collapsed="false">
      <c r="A225" s="7" t="str">
        <f aca="false">Scoring!CU232</f>
        <v/>
      </c>
      <c r="B225" s="7" t="str">
        <f aca="false">Scoring!CT232</f>
        <v/>
      </c>
      <c r="C225" s="7" t="n">
        <f aca="false">Scoring!C232</f>
        <v>0</v>
      </c>
      <c r="D225" s="188" t="str">
        <f aca="false">Scoring!CQ232</f>
        <v/>
      </c>
      <c r="E225" s="7" t="str">
        <f aca="false">Scoring!BR232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Scoring!CS232</f>
        <v/>
      </c>
      <c r="I225" s="189" t="str">
        <f aca="false">Scoring!CR232</f>
        <v/>
      </c>
    </row>
    <row r="226" customFormat="false" ht="15.75" hidden="false" customHeight="false" outlineLevel="0" collapsed="false">
      <c r="A226" s="7" t="str">
        <f aca="false">Scoring!CU233</f>
        <v/>
      </c>
      <c r="B226" s="7" t="str">
        <f aca="false">Scoring!CT233</f>
        <v/>
      </c>
      <c r="C226" s="7" t="n">
        <f aca="false">Scoring!C233</f>
        <v>0</v>
      </c>
      <c r="D226" s="188" t="str">
        <f aca="false">Scoring!CQ233</f>
        <v/>
      </c>
      <c r="E226" s="7" t="str">
        <f aca="false">Scoring!BR233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Scoring!CS233</f>
        <v/>
      </c>
      <c r="I226" s="189" t="str">
        <f aca="false">Scoring!CR233</f>
        <v/>
      </c>
    </row>
    <row r="227" customFormat="false" ht="15.75" hidden="false" customHeight="false" outlineLevel="0" collapsed="false">
      <c r="A227" s="7" t="str">
        <f aca="false">Scoring!CU234</f>
        <v/>
      </c>
      <c r="B227" s="7" t="str">
        <f aca="false">Scoring!CT234</f>
        <v/>
      </c>
      <c r="C227" s="7" t="n">
        <f aca="false">Scoring!C234</f>
        <v>0</v>
      </c>
      <c r="D227" s="188" t="str">
        <f aca="false">Scoring!CQ234</f>
        <v/>
      </c>
      <c r="E227" s="7" t="str">
        <f aca="false">Scoring!BR234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Scoring!CS234</f>
        <v/>
      </c>
      <c r="I227" s="189" t="str">
        <f aca="false">Scoring!CR234</f>
        <v/>
      </c>
    </row>
    <row r="228" customFormat="false" ht="15.75" hidden="false" customHeight="false" outlineLevel="0" collapsed="false">
      <c r="A228" s="7" t="str">
        <f aca="false">Scoring!CU235</f>
        <v/>
      </c>
      <c r="B228" s="7" t="str">
        <f aca="false">Scoring!CT235</f>
        <v/>
      </c>
      <c r="C228" s="7" t="n">
        <f aca="false">Scoring!C235</f>
        <v>0</v>
      </c>
      <c r="D228" s="188" t="str">
        <f aca="false">Scoring!CQ235</f>
        <v/>
      </c>
      <c r="E228" s="7" t="str">
        <f aca="false">Scoring!BR235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Scoring!CS235</f>
        <v/>
      </c>
      <c r="I228" s="189" t="str">
        <f aca="false">Scoring!CR235</f>
        <v/>
      </c>
    </row>
    <row r="229" customFormat="false" ht="15.75" hidden="false" customHeight="false" outlineLevel="0" collapsed="false">
      <c r="A229" s="7" t="str">
        <f aca="false">Scoring!CU236</f>
        <v/>
      </c>
      <c r="B229" s="7" t="str">
        <f aca="false">Scoring!CT236</f>
        <v/>
      </c>
      <c r="C229" s="7" t="n">
        <f aca="false">Scoring!C236</f>
        <v>0</v>
      </c>
      <c r="D229" s="188" t="str">
        <f aca="false">Scoring!CQ236</f>
        <v/>
      </c>
      <c r="E229" s="7" t="str">
        <f aca="false">Scoring!BR236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Scoring!CS236</f>
        <v/>
      </c>
      <c r="I229" s="189" t="str">
        <f aca="false">Scoring!CR236</f>
        <v/>
      </c>
    </row>
    <row r="230" customFormat="false" ht="15.75" hidden="false" customHeight="false" outlineLevel="0" collapsed="false">
      <c r="A230" s="7" t="str">
        <f aca="false">Scoring!CU237</f>
        <v/>
      </c>
      <c r="B230" s="7" t="str">
        <f aca="false">Scoring!CT237</f>
        <v/>
      </c>
      <c r="C230" s="7" t="n">
        <f aca="false">Scoring!C237</f>
        <v>0</v>
      </c>
      <c r="D230" s="188" t="str">
        <f aca="false">Scoring!CQ237</f>
        <v/>
      </c>
      <c r="E230" s="7" t="str">
        <f aca="false">Scoring!BR237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Scoring!CS237</f>
        <v/>
      </c>
      <c r="I230" s="189" t="str">
        <f aca="false">Scoring!CR237</f>
        <v/>
      </c>
    </row>
    <row r="231" customFormat="false" ht="15.75" hidden="false" customHeight="false" outlineLevel="0" collapsed="false">
      <c r="A231" s="7" t="str">
        <f aca="false">Scoring!CU238</f>
        <v/>
      </c>
      <c r="B231" s="7" t="str">
        <f aca="false">Scoring!CT238</f>
        <v/>
      </c>
      <c r="C231" s="7" t="n">
        <f aca="false">Scoring!C238</f>
        <v>0</v>
      </c>
      <c r="D231" s="188" t="str">
        <f aca="false">Scoring!CQ238</f>
        <v/>
      </c>
      <c r="E231" s="7" t="str">
        <f aca="false">Scoring!BR238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Scoring!CS238</f>
        <v/>
      </c>
      <c r="I231" s="189" t="str">
        <f aca="false">Scoring!CR238</f>
        <v/>
      </c>
    </row>
    <row r="232" customFormat="false" ht="15.75" hidden="false" customHeight="false" outlineLevel="0" collapsed="false">
      <c r="A232" s="7" t="str">
        <f aca="false">Scoring!CU239</f>
        <v/>
      </c>
      <c r="B232" s="7" t="str">
        <f aca="false">Scoring!CT239</f>
        <v/>
      </c>
      <c r="C232" s="7" t="n">
        <f aca="false">Scoring!C239</f>
        <v>0</v>
      </c>
      <c r="D232" s="188" t="str">
        <f aca="false">Scoring!CQ239</f>
        <v/>
      </c>
      <c r="E232" s="7" t="str">
        <f aca="false">Scoring!BR239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Scoring!CS239</f>
        <v/>
      </c>
      <c r="I232" s="189" t="str">
        <f aca="false">Scoring!CR239</f>
        <v/>
      </c>
    </row>
    <row r="233" customFormat="false" ht="15.75" hidden="false" customHeight="false" outlineLevel="0" collapsed="false">
      <c r="A233" s="7" t="str">
        <f aca="false">Scoring!CU240</f>
        <v/>
      </c>
      <c r="B233" s="7" t="str">
        <f aca="false">Scoring!CT240</f>
        <v/>
      </c>
      <c r="C233" s="7" t="n">
        <f aca="false">Scoring!C240</f>
        <v>0</v>
      </c>
      <c r="D233" s="188" t="str">
        <f aca="false">Scoring!CQ240</f>
        <v/>
      </c>
      <c r="E233" s="7" t="str">
        <f aca="false">Scoring!BR240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Scoring!CS240</f>
        <v/>
      </c>
      <c r="I233" s="189" t="str">
        <f aca="false">Scoring!CR240</f>
        <v/>
      </c>
    </row>
    <row r="234" customFormat="false" ht="15.75" hidden="false" customHeight="false" outlineLevel="0" collapsed="false">
      <c r="A234" s="7" t="str">
        <f aca="false">Scoring!CU241</f>
        <v/>
      </c>
      <c r="B234" s="7" t="str">
        <f aca="false">Scoring!CT241</f>
        <v/>
      </c>
      <c r="C234" s="7" t="n">
        <f aca="false">Scoring!C241</f>
        <v>0</v>
      </c>
      <c r="D234" s="188" t="str">
        <f aca="false">Scoring!CQ241</f>
        <v/>
      </c>
      <c r="E234" s="7" t="str">
        <f aca="false">Scoring!BR241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Scoring!CS241</f>
        <v/>
      </c>
      <c r="I234" s="189" t="str">
        <f aca="false">Scoring!CR241</f>
        <v/>
      </c>
    </row>
    <row r="235" customFormat="false" ht="15.75" hidden="false" customHeight="false" outlineLevel="0" collapsed="false">
      <c r="A235" s="7" t="str">
        <f aca="false">Scoring!CU242</f>
        <v/>
      </c>
      <c r="B235" s="7" t="str">
        <f aca="false">Scoring!CT242</f>
        <v/>
      </c>
      <c r="C235" s="7" t="n">
        <f aca="false">Scoring!C242</f>
        <v>0</v>
      </c>
      <c r="D235" s="188" t="str">
        <f aca="false">Scoring!CQ242</f>
        <v/>
      </c>
      <c r="E235" s="7" t="str">
        <f aca="false">Scoring!BR242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Scoring!CS242</f>
        <v/>
      </c>
      <c r="I235" s="189" t="str">
        <f aca="false">Scoring!CR242</f>
        <v/>
      </c>
    </row>
    <row r="236" customFormat="false" ht="15.75" hidden="false" customHeight="false" outlineLevel="0" collapsed="false">
      <c r="A236" s="7" t="str">
        <f aca="false">Scoring!CU243</f>
        <v/>
      </c>
      <c r="B236" s="7" t="str">
        <f aca="false">Scoring!CT243</f>
        <v/>
      </c>
      <c r="C236" s="7" t="n">
        <f aca="false">Scoring!C243</f>
        <v>0</v>
      </c>
      <c r="D236" s="188" t="str">
        <f aca="false">Scoring!CQ243</f>
        <v/>
      </c>
      <c r="E236" s="7" t="str">
        <f aca="false">Scoring!BR243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Scoring!CS243</f>
        <v/>
      </c>
      <c r="I236" s="189" t="str">
        <f aca="false">Scoring!CR243</f>
        <v/>
      </c>
    </row>
    <row r="237" customFormat="false" ht="15.75" hidden="false" customHeight="false" outlineLevel="0" collapsed="false">
      <c r="A237" s="7" t="str">
        <f aca="false">Scoring!CU244</f>
        <v/>
      </c>
      <c r="B237" s="7" t="str">
        <f aca="false">Scoring!CT244</f>
        <v/>
      </c>
      <c r="C237" s="7" t="n">
        <f aca="false">Scoring!C244</f>
        <v>0</v>
      </c>
      <c r="D237" s="188" t="str">
        <f aca="false">Scoring!CQ244</f>
        <v/>
      </c>
      <c r="E237" s="7" t="str">
        <f aca="false">Scoring!BR244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Scoring!CS244</f>
        <v/>
      </c>
      <c r="I237" s="189" t="str">
        <f aca="false">Scoring!CR244</f>
        <v/>
      </c>
    </row>
    <row r="238" customFormat="false" ht="15.75" hidden="false" customHeight="false" outlineLevel="0" collapsed="false">
      <c r="A238" s="7" t="str">
        <f aca="false">Scoring!CU245</f>
        <v/>
      </c>
      <c r="B238" s="7" t="str">
        <f aca="false">Scoring!CT245</f>
        <v/>
      </c>
      <c r="C238" s="7" t="n">
        <f aca="false">Scoring!C245</f>
        <v>0</v>
      </c>
      <c r="D238" s="188" t="str">
        <f aca="false">Scoring!CQ245</f>
        <v/>
      </c>
      <c r="E238" s="7" t="str">
        <f aca="false">Scoring!BR245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Scoring!CS245</f>
        <v/>
      </c>
      <c r="I238" s="189" t="str">
        <f aca="false">Scoring!CR245</f>
        <v/>
      </c>
    </row>
    <row r="239" customFormat="false" ht="15.75" hidden="false" customHeight="false" outlineLevel="0" collapsed="false">
      <c r="A239" s="7" t="str">
        <f aca="false">Scoring!CU246</f>
        <v/>
      </c>
      <c r="B239" s="7" t="str">
        <f aca="false">Scoring!CT246</f>
        <v/>
      </c>
      <c r="C239" s="7" t="n">
        <f aca="false">Scoring!C246</f>
        <v>0</v>
      </c>
      <c r="D239" s="188" t="str">
        <f aca="false">Scoring!CQ246</f>
        <v/>
      </c>
      <c r="E239" s="7" t="str">
        <f aca="false">Scoring!BR246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Scoring!CS246</f>
        <v/>
      </c>
      <c r="I239" s="189" t="str">
        <f aca="false">Scoring!CR246</f>
        <v/>
      </c>
    </row>
    <row r="240" customFormat="false" ht="15.75" hidden="false" customHeight="false" outlineLevel="0" collapsed="false">
      <c r="A240" s="7" t="str">
        <f aca="false">Scoring!CU247</f>
        <v/>
      </c>
      <c r="B240" s="7" t="str">
        <f aca="false">Scoring!CT247</f>
        <v/>
      </c>
      <c r="C240" s="7" t="n">
        <f aca="false">Scoring!C247</f>
        <v>0</v>
      </c>
      <c r="D240" s="188" t="str">
        <f aca="false">Scoring!CQ247</f>
        <v/>
      </c>
      <c r="E240" s="7" t="str">
        <f aca="false">Scoring!BR247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Scoring!CS247</f>
        <v/>
      </c>
      <c r="I240" s="189" t="str">
        <f aca="false">Scoring!CR247</f>
        <v/>
      </c>
    </row>
    <row r="241" customFormat="false" ht="15.75" hidden="false" customHeight="false" outlineLevel="0" collapsed="false">
      <c r="A241" s="7" t="str">
        <f aca="false">Scoring!CU248</f>
        <v/>
      </c>
      <c r="B241" s="7" t="str">
        <f aca="false">Scoring!CT248</f>
        <v/>
      </c>
      <c r="C241" s="7" t="n">
        <f aca="false">Scoring!C248</f>
        <v>0</v>
      </c>
      <c r="D241" s="188" t="str">
        <f aca="false">Scoring!CQ248</f>
        <v/>
      </c>
      <c r="E241" s="7" t="str">
        <f aca="false">Scoring!BR248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Scoring!CS248</f>
        <v/>
      </c>
      <c r="I241" s="189" t="str">
        <f aca="false">Scoring!CR248</f>
        <v/>
      </c>
    </row>
    <row r="242" customFormat="false" ht="15.75" hidden="false" customHeight="false" outlineLevel="0" collapsed="false">
      <c r="A242" s="7" t="str">
        <f aca="false">Scoring!CU249</f>
        <v/>
      </c>
      <c r="B242" s="7" t="str">
        <f aca="false">Scoring!CT249</f>
        <v/>
      </c>
      <c r="C242" s="7" t="n">
        <f aca="false">Scoring!C249</f>
        <v>0</v>
      </c>
      <c r="D242" s="188" t="str">
        <f aca="false">Scoring!CQ249</f>
        <v/>
      </c>
      <c r="E242" s="7" t="str">
        <f aca="false">Scoring!BR249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Scoring!CS249</f>
        <v/>
      </c>
      <c r="I242" s="189" t="str">
        <f aca="false">Scoring!CR249</f>
        <v/>
      </c>
    </row>
    <row r="243" customFormat="false" ht="15.75" hidden="false" customHeight="false" outlineLevel="0" collapsed="false">
      <c r="A243" s="7" t="str">
        <f aca="false">Scoring!CU250</f>
        <v/>
      </c>
      <c r="B243" s="7" t="str">
        <f aca="false">Scoring!CT250</f>
        <v/>
      </c>
      <c r="C243" s="7" t="n">
        <f aca="false">Scoring!C250</f>
        <v>0</v>
      </c>
      <c r="D243" s="188" t="str">
        <f aca="false">Scoring!CQ250</f>
        <v/>
      </c>
      <c r="E243" s="7" t="str">
        <f aca="false">Scoring!BR250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Scoring!CS250</f>
        <v/>
      </c>
      <c r="I243" s="189" t="str">
        <f aca="false">Scoring!CR250</f>
        <v/>
      </c>
    </row>
    <row r="244" customFormat="false" ht="15.75" hidden="false" customHeight="false" outlineLevel="0" collapsed="false">
      <c r="A244" s="7" t="str">
        <f aca="false">Scoring!CU251</f>
        <v/>
      </c>
      <c r="B244" s="7" t="str">
        <f aca="false">Scoring!CT251</f>
        <v/>
      </c>
      <c r="C244" s="7" t="n">
        <f aca="false">Scoring!C251</f>
        <v>0</v>
      </c>
      <c r="D244" s="188" t="str">
        <f aca="false">Scoring!CQ251</f>
        <v/>
      </c>
      <c r="E244" s="7" t="str">
        <f aca="false">Scoring!BR251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Scoring!CS251</f>
        <v/>
      </c>
      <c r="I244" s="189" t="str">
        <f aca="false">Scoring!CR251</f>
        <v/>
      </c>
    </row>
    <row r="245" customFormat="false" ht="15.75" hidden="false" customHeight="false" outlineLevel="0" collapsed="false">
      <c r="A245" s="7" t="str">
        <f aca="false">Scoring!CU252</f>
        <v/>
      </c>
      <c r="B245" s="7" t="str">
        <f aca="false">Scoring!CT252</f>
        <v/>
      </c>
      <c r="C245" s="7" t="n">
        <f aca="false">Scoring!C252</f>
        <v>0</v>
      </c>
      <c r="D245" s="188" t="str">
        <f aca="false">Scoring!CQ252</f>
        <v/>
      </c>
      <c r="E245" s="7" t="str">
        <f aca="false">Scoring!BR252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Scoring!CS252</f>
        <v/>
      </c>
      <c r="I245" s="189" t="str">
        <f aca="false">Scoring!CR252</f>
        <v/>
      </c>
    </row>
    <row r="246" customFormat="false" ht="15.75" hidden="false" customHeight="false" outlineLevel="0" collapsed="false">
      <c r="A246" s="7" t="str">
        <f aca="false">Scoring!CU253</f>
        <v/>
      </c>
      <c r="B246" s="7" t="str">
        <f aca="false">Scoring!CT253</f>
        <v/>
      </c>
      <c r="C246" s="7" t="n">
        <f aca="false">Scoring!C253</f>
        <v>0</v>
      </c>
      <c r="D246" s="188" t="str">
        <f aca="false">Scoring!CQ253</f>
        <v/>
      </c>
      <c r="E246" s="7" t="str">
        <f aca="false">Scoring!BR253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Scoring!CS253</f>
        <v/>
      </c>
      <c r="I246" s="189" t="str">
        <f aca="false">Scoring!CR253</f>
        <v/>
      </c>
    </row>
    <row r="247" customFormat="false" ht="15.75" hidden="false" customHeight="false" outlineLevel="0" collapsed="false">
      <c r="A247" s="7" t="str">
        <f aca="false">Scoring!CU254</f>
        <v/>
      </c>
      <c r="B247" s="7" t="str">
        <f aca="false">Scoring!CT254</f>
        <v/>
      </c>
      <c r="C247" s="7" t="n">
        <f aca="false">Scoring!C254</f>
        <v>0</v>
      </c>
      <c r="D247" s="188" t="str">
        <f aca="false">Scoring!CQ254</f>
        <v/>
      </c>
      <c r="E247" s="7" t="str">
        <f aca="false">Scoring!BR254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Scoring!CS254</f>
        <v/>
      </c>
      <c r="I247" s="189" t="str">
        <f aca="false">Scoring!CR254</f>
        <v/>
      </c>
    </row>
    <row r="248" customFormat="false" ht="15.75" hidden="false" customHeight="false" outlineLevel="0" collapsed="false">
      <c r="A248" s="7" t="str">
        <f aca="false">Scoring!CU255</f>
        <v/>
      </c>
      <c r="B248" s="7" t="str">
        <f aca="false">Scoring!CT255</f>
        <v/>
      </c>
      <c r="C248" s="7" t="n">
        <f aca="false">Scoring!C255</f>
        <v>0</v>
      </c>
      <c r="D248" s="188" t="str">
        <f aca="false">Scoring!CQ255</f>
        <v/>
      </c>
      <c r="E248" s="7" t="str">
        <f aca="false">Scoring!BR255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Scoring!CS255</f>
        <v/>
      </c>
      <c r="I248" s="189" t="str">
        <f aca="false">Scoring!CR255</f>
        <v/>
      </c>
    </row>
    <row r="249" customFormat="false" ht="15.75" hidden="false" customHeight="false" outlineLevel="0" collapsed="false">
      <c r="A249" s="7" t="str">
        <f aca="false">Scoring!CU256</f>
        <v/>
      </c>
      <c r="B249" s="7" t="str">
        <f aca="false">Scoring!CT256</f>
        <v/>
      </c>
      <c r="C249" s="7" t="n">
        <f aca="false">Scoring!C256</f>
        <v>0</v>
      </c>
      <c r="D249" s="188" t="str">
        <f aca="false">Scoring!CQ256</f>
        <v/>
      </c>
      <c r="E249" s="7" t="str">
        <f aca="false">Scoring!BR256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Scoring!CS256</f>
        <v/>
      </c>
      <c r="I249" s="189" t="str">
        <f aca="false">Scoring!CR256</f>
        <v/>
      </c>
    </row>
    <row r="250" customFormat="false" ht="15.75" hidden="false" customHeight="false" outlineLevel="0" collapsed="false">
      <c r="A250" s="7" t="str">
        <f aca="false">Scoring!CU257</f>
        <v/>
      </c>
      <c r="B250" s="7" t="str">
        <f aca="false">Scoring!CT257</f>
        <v/>
      </c>
      <c r="C250" s="7" t="n">
        <f aca="false">Scoring!C257</f>
        <v>0</v>
      </c>
      <c r="D250" s="188" t="str">
        <f aca="false">Scoring!CQ257</f>
        <v/>
      </c>
      <c r="E250" s="7" t="str">
        <f aca="false">Scoring!BR257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Scoring!CS257</f>
        <v/>
      </c>
      <c r="I250" s="189" t="str">
        <f aca="false">Scoring!CR257</f>
        <v/>
      </c>
    </row>
    <row r="251" customFormat="false" ht="15.75" hidden="false" customHeight="false" outlineLevel="0" collapsed="false">
      <c r="A251" s="7" t="str">
        <f aca="false">Scoring!CU258</f>
        <v/>
      </c>
      <c r="B251" s="7" t="str">
        <f aca="false">Scoring!CT258</f>
        <v/>
      </c>
      <c r="C251" s="7" t="n">
        <f aca="false">Scoring!C258</f>
        <v>0</v>
      </c>
      <c r="D251" s="188" t="str">
        <f aca="false">Scoring!CQ258</f>
        <v/>
      </c>
      <c r="E251" s="7" t="str">
        <f aca="false">Scoring!BR258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Scoring!CS258</f>
        <v/>
      </c>
      <c r="I251" s="189" t="str">
        <f aca="false">Scoring!CR258</f>
        <v/>
      </c>
    </row>
    <row r="252" customFormat="false" ht="15.75" hidden="false" customHeight="false" outlineLevel="0" collapsed="false">
      <c r="A252" s="7" t="str">
        <f aca="false">Scoring!CU259</f>
        <v/>
      </c>
      <c r="B252" s="7" t="str">
        <f aca="false">Scoring!CT259</f>
        <v/>
      </c>
      <c r="C252" s="7" t="n">
        <f aca="false">Scoring!C259</f>
        <v>0</v>
      </c>
      <c r="D252" s="188" t="str">
        <f aca="false">Scoring!CQ259</f>
        <v/>
      </c>
      <c r="E252" s="7" t="str">
        <f aca="false">Scoring!BR259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Scoring!CS259</f>
        <v/>
      </c>
      <c r="I252" s="189" t="str">
        <f aca="false">Scoring!CR259</f>
        <v/>
      </c>
    </row>
    <row r="253" customFormat="false" ht="15.75" hidden="false" customHeight="false" outlineLevel="0" collapsed="false">
      <c r="A253" s="7" t="str">
        <f aca="false">Scoring!CU260</f>
        <v/>
      </c>
      <c r="B253" s="7" t="str">
        <f aca="false">Scoring!CT260</f>
        <v/>
      </c>
      <c r="C253" s="7" t="n">
        <f aca="false">Scoring!C260</f>
        <v>0</v>
      </c>
      <c r="D253" s="188" t="str">
        <f aca="false">Scoring!CQ260</f>
        <v/>
      </c>
      <c r="E253" s="7" t="str">
        <f aca="false">Scoring!BR260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Scoring!CS260</f>
        <v/>
      </c>
      <c r="I253" s="189" t="str">
        <f aca="false">Scoring!CR260</f>
        <v/>
      </c>
    </row>
    <row r="254" customFormat="false" ht="15.75" hidden="false" customHeight="false" outlineLevel="0" collapsed="false">
      <c r="A254" s="7" t="str">
        <f aca="false">Scoring!CU261</f>
        <v/>
      </c>
      <c r="B254" s="7" t="str">
        <f aca="false">Scoring!CT261</f>
        <v/>
      </c>
      <c r="C254" s="7" t="n">
        <f aca="false">Scoring!C261</f>
        <v>0</v>
      </c>
      <c r="D254" s="188" t="str">
        <f aca="false">Scoring!CQ261</f>
        <v/>
      </c>
      <c r="E254" s="7" t="str">
        <f aca="false">Scoring!BR261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Scoring!CS261</f>
        <v/>
      </c>
      <c r="I254" s="189" t="str">
        <f aca="false">Scoring!CR261</f>
        <v/>
      </c>
    </row>
    <row r="255" customFormat="false" ht="15.75" hidden="false" customHeight="false" outlineLevel="0" collapsed="false">
      <c r="A255" s="7" t="str">
        <f aca="false">Scoring!CU262</f>
        <v/>
      </c>
      <c r="B255" s="7" t="str">
        <f aca="false">Scoring!CT262</f>
        <v/>
      </c>
      <c r="C255" s="7" t="n">
        <f aca="false">Scoring!C262</f>
        <v>0</v>
      </c>
      <c r="D255" s="188" t="str">
        <f aca="false">Scoring!CQ262</f>
        <v/>
      </c>
      <c r="E255" s="7" t="str">
        <f aca="false">Scoring!BR262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Scoring!CS262</f>
        <v/>
      </c>
      <c r="I255" s="189" t="str">
        <f aca="false">Scoring!CR262</f>
        <v/>
      </c>
    </row>
    <row r="256" customFormat="false" ht="15.75" hidden="false" customHeight="false" outlineLevel="0" collapsed="false">
      <c r="A256" s="7" t="str">
        <f aca="false">Scoring!CU263</f>
        <v/>
      </c>
      <c r="B256" s="7" t="str">
        <f aca="false">Scoring!CT263</f>
        <v/>
      </c>
      <c r="C256" s="7" t="n">
        <f aca="false">Scoring!C263</f>
        <v>0</v>
      </c>
      <c r="D256" s="188" t="str">
        <f aca="false">Scoring!CQ263</f>
        <v/>
      </c>
      <c r="E256" s="7" t="str">
        <f aca="false">Scoring!BR263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Scoring!CS263</f>
        <v/>
      </c>
      <c r="I256" s="189" t="str">
        <f aca="false">Scoring!CR263</f>
        <v/>
      </c>
    </row>
    <row r="257" customFormat="false" ht="15.75" hidden="false" customHeight="false" outlineLevel="0" collapsed="false">
      <c r="A257" s="7" t="str">
        <f aca="false">Scoring!CU264</f>
        <v/>
      </c>
      <c r="B257" s="7" t="str">
        <f aca="false">Scoring!CT264</f>
        <v/>
      </c>
      <c r="C257" s="7" t="n">
        <f aca="false">Scoring!C264</f>
        <v>0</v>
      </c>
      <c r="D257" s="188" t="str">
        <f aca="false">Scoring!CQ264</f>
        <v/>
      </c>
      <c r="E257" s="7" t="str">
        <f aca="false">Scoring!BR264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Scoring!CS264</f>
        <v/>
      </c>
      <c r="I257" s="189" t="str">
        <f aca="false">Scoring!CR264</f>
        <v/>
      </c>
    </row>
    <row r="258" customFormat="false" ht="15.75" hidden="false" customHeight="false" outlineLevel="0" collapsed="false">
      <c r="A258" s="7" t="str">
        <f aca="false">Scoring!CU265</f>
        <v/>
      </c>
      <c r="B258" s="7" t="str">
        <f aca="false">Scoring!CT265</f>
        <v/>
      </c>
      <c r="C258" s="7" t="n">
        <f aca="false">Scoring!C265</f>
        <v>0</v>
      </c>
      <c r="D258" s="188" t="str">
        <f aca="false">Scoring!CQ265</f>
        <v/>
      </c>
      <c r="E258" s="7" t="str">
        <f aca="false">Scoring!BR265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Scoring!CS265</f>
        <v/>
      </c>
      <c r="I258" s="189" t="str">
        <f aca="false">Scoring!CR265</f>
        <v/>
      </c>
    </row>
    <row r="259" customFormat="false" ht="15.75" hidden="false" customHeight="false" outlineLevel="0" collapsed="false">
      <c r="A259" s="7" t="str">
        <f aca="false">Scoring!CU266</f>
        <v/>
      </c>
      <c r="B259" s="7" t="str">
        <f aca="false">Scoring!CT266</f>
        <v/>
      </c>
      <c r="C259" s="7" t="n">
        <f aca="false">Scoring!C266</f>
        <v>0</v>
      </c>
      <c r="D259" s="188" t="str">
        <f aca="false">Scoring!CQ266</f>
        <v/>
      </c>
      <c r="E259" s="7" t="str">
        <f aca="false">Scoring!BR266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Scoring!CS266</f>
        <v/>
      </c>
      <c r="I259" s="189" t="str">
        <f aca="false">Scoring!CR266</f>
        <v/>
      </c>
    </row>
    <row r="260" customFormat="false" ht="15.75" hidden="false" customHeight="false" outlineLevel="0" collapsed="false">
      <c r="A260" s="7" t="str">
        <f aca="false">Scoring!CU267</f>
        <v/>
      </c>
      <c r="B260" s="7" t="str">
        <f aca="false">Scoring!CT267</f>
        <v/>
      </c>
      <c r="C260" s="7" t="n">
        <f aca="false">Scoring!C267</f>
        <v>0</v>
      </c>
      <c r="D260" s="188" t="str">
        <f aca="false">Scoring!CQ267</f>
        <v/>
      </c>
      <c r="E260" s="7" t="str">
        <f aca="false">Scoring!BR267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Scoring!CS267</f>
        <v/>
      </c>
      <c r="I260" s="189" t="str">
        <f aca="false">Scoring!CR267</f>
        <v/>
      </c>
    </row>
    <row r="261" customFormat="false" ht="15.75" hidden="false" customHeight="false" outlineLevel="0" collapsed="false">
      <c r="A261" s="7" t="str">
        <f aca="false">Scoring!CU268</f>
        <v/>
      </c>
      <c r="B261" s="7" t="str">
        <f aca="false">Scoring!CT268</f>
        <v/>
      </c>
      <c r="C261" s="7" t="n">
        <f aca="false">Scoring!C268</f>
        <v>0</v>
      </c>
      <c r="D261" s="188" t="str">
        <f aca="false">Scoring!CQ268</f>
        <v/>
      </c>
      <c r="E261" s="7" t="str">
        <f aca="false">Scoring!BR268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Scoring!CS268</f>
        <v/>
      </c>
      <c r="I261" s="189" t="str">
        <f aca="false">Scoring!CR268</f>
        <v/>
      </c>
    </row>
    <row r="262" customFormat="false" ht="15.75" hidden="false" customHeight="false" outlineLevel="0" collapsed="false">
      <c r="A262" s="7" t="str">
        <f aca="false">Scoring!CU269</f>
        <v/>
      </c>
      <c r="B262" s="7" t="str">
        <f aca="false">Scoring!CT269</f>
        <v/>
      </c>
      <c r="C262" s="7" t="n">
        <f aca="false">Scoring!C269</f>
        <v>0</v>
      </c>
      <c r="D262" s="188" t="str">
        <f aca="false">Scoring!CQ269</f>
        <v/>
      </c>
      <c r="E262" s="7" t="str">
        <f aca="false">Scoring!BR269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Scoring!CS269</f>
        <v/>
      </c>
      <c r="I262" s="189" t="str">
        <f aca="false">Scoring!CR269</f>
        <v/>
      </c>
    </row>
    <row r="263" customFormat="false" ht="15.75" hidden="false" customHeight="false" outlineLevel="0" collapsed="false">
      <c r="A263" s="7" t="str">
        <f aca="false">Scoring!CU270</f>
        <v/>
      </c>
      <c r="B263" s="7" t="str">
        <f aca="false">Scoring!CT270</f>
        <v/>
      </c>
      <c r="C263" s="7" t="n">
        <f aca="false">Scoring!C270</f>
        <v>0</v>
      </c>
      <c r="D263" s="188" t="str">
        <f aca="false">Scoring!CQ270</f>
        <v/>
      </c>
      <c r="E263" s="7" t="str">
        <f aca="false">Scoring!BR270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Scoring!CS270</f>
        <v/>
      </c>
      <c r="I263" s="189" t="str">
        <f aca="false">Scoring!CR270</f>
        <v/>
      </c>
    </row>
    <row r="264" customFormat="false" ht="15.75" hidden="false" customHeight="false" outlineLevel="0" collapsed="false">
      <c r="A264" s="7" t="str">
        <f aca="false">Scoring!CU271</f>
        <v/>
      </c>
      <c r="B264" s="7" t="str">
        <f aca="false">Scoring!CT271</f>
        <v/>
      </c>
      <c r="C264" s="7" t="n">
        <f aca="false">Scoring!C271</f>
        <v>0</v>
      </c>
      <c r="D264" s="188" t="str">
        <f aca="false">Scoring!CQ271</f>
        <v/>
      </c>
      <c r="E264" s="7" t="str">
        <f aca="false">Scoring!BR271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Scoring!CS271</f>
        <v/>
      </c>
      <c r="I264" s="189" t="str">
        <f aca="false">Scoring!CR271</f>
        <v/>
      </c>
    </row>
    <row r="265" customFormat="false" ht="15.75" hidden="false" customHeight="false" outlineLevel="0" collapsed="false">
      <c r="A265" s="7" t="str">
        <f aca="false">Scoring!CU272</f>
        <v/>
      </c>
      <c r="B265" s="7" t="str">
        <f aca="false">Scoring!CT272</f>
        <v/>
      </c>
      <c r="C265" s="7" t="n">
        <f aca="false">Scoring!C272</f>
        <v>0</v>
      </c>
      <c r="D265" s="188" t="str">
        <f aca="false">Scoring!CQ272</f>
        <v/>
      </c>
      <c r="E265" s="7" t="str">
        <f aca="false">Scoring!BR272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Scoring!CS272</f>
        <v/>
      </c>
      <c r="I265" s="189" t="str">
        <f aca="false">Scoring!CR272</f>
        <v/>
      </c>
    </row>
    <row r="266" customFormat="false" ht="15.75" hidden="false" customHeight="false" outlineLevel="0" collapsed="false">
      <c r="A266" s="7" t="str">
        <f aca="false">Scoring!CU273</f>
        <v/>
      </c>
      <c r="B266" s="7" t="str">
        <f aca="false">Scoring!CT273</f>
        <v/>
      </c>
      <c r="C266" s="7" t="n">
        <f aca="false">Scoring!C273</f>
        <v>0</v>
      </c>
      <c r="D266" s="188" t="str">
        <f aca="false">Scoring!CQ273</f>
        <v/>
      </c>
      <c r="E266" s="7" t="str">
        <f aca="false">Scoring!BR273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Scoring!CS273</f>
        <v/>
      </c>
      <c r="I266" s="189" t="str">
        <f aca="false">Scoring!CR273</f>
        <v/>
      </c>
    </row>
    <row r="267" customFormat="false" ht="15.75" hidden="false" customHeight="false" outlineLevel="0" collapsed="false">
      <c r="A267" s="7" t="str">
        <f aca="false">Scoring!CU274</f>
        <v/>
      </c>
      <c r="B267" s="7" t="str">
        <f aca="false">Scoring!CT274</f>
        <v/>
      </c>
      <c r="C267" s="7" t="n">
        <f aca="false">Scoring!C274</f>
        <v>0</v>
      </c>
      <c r="D267" s="188" t="str">
        <f aca="false">Scoring!CQ274</f>
        <v/>
      </c>
      <c r="E267" s="7" t="str">
        <f aca="false">Scoring!BR274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Scoring!CS274</f>
        <v/>
      </c>
      <c r="I267" s="189" t="str">
        <f aca="false">Scoring!CR274</f>
        <v/>
      </c>
    </row>
    <row r="268" customFormat="false" ht="15.75" hidden="false" customHeight="false" outlineLevel="0" collapsed="false">
      <c r="A268" s="7" t="str">
        <f aca="false">Scoring!CU275</f>
        <v/>
      </c>
      <c r="B268" s="7" t="str">
        <f aca="false">Scoring!CT275</f>
        <v/>
      </c>
      <c r="C268" s="7" t="n">
        <f aca="false">Scoring!C275</f>
        <v>0</v>
      </c>
      <c r="D268" s="188" t="str">
        <f aca="false">Scoring!CQ275</f>
        <v/>
      </c>
      <c r="E268" s="7" t="str">
        <f aca="false">Scoring!BR275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Scoring!CS275</f>
        <v/>
      </c>
      <c r="I268" s="189" t="str">
        <f aca="false">Scoring!CR275</f>
        <v/>
      </c>
    </row>
    <row r="269" customFormat="false" ht="15.75" hidden="false" customHeight="false" outlineLevel="0" collapsed="false">
      <c r="A269" s="7" t="str">
        <f aca="false">Scoring!CU276</f>
        <v/>
      </c>
      <c r="B269" s="7" t="str">
        <f aca="false">Scoring!CT276</f>
        <v/>
      </c>
      <c r="C269" s="7" t="n">
        <f aca="false">Scoring!C276</f>
        <v>0</v>
      </c>
      <c r="D269" s="188" t="str">
        <f aca="false">Scoring!CQ276</f>
        <v/>
      </c>
      <c r="E269" s="7" t="str">
        <f aca="false">Scoring!BR276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Scoring!CS276</f>
        <v/>
      </c>
      <c r="I269" s="189" t="str">
        <f aca="false">Scoring!CR276</f>
        <v/>
      </c>
    </row>
    <row r="270" customFormat="false" ht="15.75" hidden="false" customHeight="false" outlineLevel="0" collapsed="false">
      <c r="A270" s="7" t="str">
        <f aca="false">Scoring!CU277</f>
        <v/>
      </c>
      <c r="B270" s="7" t="str">
        <f aca="false">Scoring!CT277</f>
        <v/>
      </c>
      <c r="C270" s="7" t="n">
        <f aca="false">Scoring!C277</f>
        <v>0</v>
      </c>
      <c r="D270" s="188" t="str">
        <f aca="false">Scoring!CQ277</f>
        <v/>
      </c>
      <c r="E270" s="7" t="str">
        <f aca="false">Scoring!BR277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Scoring!CS277</f>
        <v/>
      </c>
      <c r="I270" s="189" t="str">
        <f aca="false">Scoring!CR277</f>
        <v/>
      </c>
    </row>
    <row r="271" customFormat="false" ht="15.75" hidden="false" customHeight="false" outlineLevel="0" collapsed="false">
      <c r="A271" s="7" t="str">
        <f aca="false">Scoring!CU278</f>
        <v/>
      </c>
      <c r="B271" s="7" t="str">
        <f aca="false">Scoring!CT278</f>
        <v/>
      </c>
      <c r="C271" s="7" t="n">
        <f aca="false">Scoring!C278</f>
        <v>0</v>
      </c>
      <c r="D271" s="188" t="str">
        <f aca="false">Scoring!CQ278</f>
        <v/>
      </c>
      <c r="E271" s="7" t="str">
        <f aca="false">Scoring!BR278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Scoring!CS278</f>
        <v/>
      </c>
      <c r="I271" s="189" t="str">
        <f aca="false">Scoring!CR278</f>
        <v/>
      </c>
    </row>
    <row r="272" customFormat="false" ht="15.75" hidden="false" customHeight="false" outlineLevel="0" collapsed="false">
      <c r="A272" s="7" t="str">
        <f aca="false">Scoring!CU279</f>
        <v/>
      </c>
      <c r="B272" s="7" t="str">
        <f aca="false">Scoring!CT279</f>
        <v/>
      </c>
      <c r="C272" s="7" t="n">
        <f aca="false">Scoring!C279</f>
        <v>0</v>
      </c>
      <c r="D272" s="188" t="str">
        <f aca="false">Scoring!CQ279</f>
        <v/>
      </c>
      <c r="E272" s="7" t="str">
        <f aca="false">Scoring!BR279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Scoring!CS279</f>
        <v/>
      </c>
      <c r="I272" s="189" t="str">
        <f aca="false">Scoring!CR279</f>
        <v/>
      </c>
    </row>
    <row r="273" customFormat="false" ht="15.75" hidden="false" customHeight="false" outlineLevel="0" collapsed="false">
      <c r="A273" s="7" t="str">
        <f aca="false">Scoring!CU280</f>
        <v/>
      </c>
      <c r="B273" s="7" t="str">
        <f aca="false">Scoring!CT280</f>
        <v/>
      </c>
      <c r="C273" s="7" t="n">
        <f aca="false">Scoring!C280</f>
        <v>0</v>
      </c>
      <c r="D273" s="188" t="str">
        <f aca="false">Scoring!CQ280</f>
        <v/>
      </c>
      <c r="E273" s="7" t="str">
        <f aca="false">Scoring!BR280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Scoring!CS280</f>
        <v/>
      </c>
      <c r="I273" s="189" t="str">
        <f aca="false">Scoring!CR280</f>
        <v/>
      </c>
    </row>
    <row r="274" customFormat="false" ht="15.75" hidden="false" customHeight="false" outlineLevel="0" collapsed="false">
      <c r="A274" s="7" t="str">
        <f aca="false">Scoring!CU281</f>
        <v/>
      </c>
      <c r="B274" s="7" t="str">
        <f aca="false">Scoring!CT281</f>
        <v/>
      </c>
      <c r="C274" s="7" t="n">
        <f aca="false">Scoring!C281</f>
        <v>0</v>
      </c>
      <c r="D274" s="188" t="str">
        <f aca="false">Scoring!CQ281</f>
        <v/>
      </c>
      <c r="E274" s="7" t="str">
        <f aca="false">Scoring!BR281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Scoring!CS281</f>
        <v/>
      </c>
      <c r="I274" s="189" t="str">
        <f aca="false">Scoring!CR281</f>
        <v/>
      </c>
    </row>
    <row r="275" customFormat="false" ht="15.75" hidden="false" customHeight="false" outlineLevel="0" collapsed="false">
      <c r="A275" s="7" t="str">
        <f aca="false">Scoring!CU282</f>
        <v/>
      </c>
      <c r="B275" s="7" t="str">
        <f aca="false">Scoring!CT282</f>
        <v/>
      </c>
      <c r="C275" s="7" t="n">
        <f aca="false">Scoring!C282</f>
        <v>0</v>
      </c>
      <c r="D275" s="188" t="str">
        <f aca="false">Scoring!CQ282</f>
        <v/>
      </c>
      <c r="E275" s="7" t="str">
        <f aca="false">Scoring!BR282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Scoring!CS282</f>
        <v/>
      </c>
      <c r="I275" s="189" t="str">
        <f aca="false">Scoring!CR282</f>
        <v/>
      </c>
    </row>
    <row r="276" customFormat="false" ht="15.75" hidden="false" customHeight="false" outlineLevel="0" collapsed="false">
      <c r="A276" s="7" t="str">
        <f aca="false">Scoring!CU283</f>
        <v/>
      </c>
      <c r="B276" s="7" t="str">
        <f aca="false">Scoring!CT283</f>
        <v/>
      </c>
      <c r="C276" s="7" t="n">
        <f aca="false">Scoring!C283</f>
        <v>0</v>
      </c>
      <c r="D276" s="188" t="str">
        <f aca="false">Scoring!CQ283</f>
        <v/>
      </c>
      <c r="E276" s="7" t="str">
        <f aca="false">Scoring!BR283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Scoring!CS283</f>
        <v/>
      </c>
      <c r="I276" s="189" t="str">
        <f aca="false">Scoring!CR283</f>
        <v/>
      </c>
    </row>
    <row r="277" customFormat="false" ht="15.75" hidden="false" customHeight="false" outlineLevel="0" collapsed="false">
      <c r="A277" s="7" t="str">
        <f aca="false">Scoring!CU284</f>
        <v/>
      </c>
      <c r="B277" s="7" t="str">
        <f aca="false">Scoring!CT284</f>
        <v/>
      </c>
      <c r="C277" s="7" t="n">
        <f aca="false">Scoring!C284</f>
        <v>0</v>
      </c>
      <c r="D277" s="188" t="str">
        <f aca="false">Scoring!CQ284</f>
        <v/>
      </c>
      <c r="E277" s="7" t="str">
        <f aca="false">Scoring!BR284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Scoring!CS284</f>
        <v/>
      </c>
      <c r="I277" s="189" t="str">
        <f aca="false">Scoring!CR284</f>
        <v/>
      </c>
    </row>
    <row r="278" customFormat="false" ht="15.75" hidden="false" customHeight="false" outlineLevel="0" collapsed="false">
      <c r="A278" s="7" t="str">
        <f aca="false">Scoring!CU285</f>
        <v/>
      </c>
      <c r="B278" s="7" t="str">
        <f aca="false">Scoring!CT285</f>
        <v/>
      </c>
      <c r="C278" s="7" t="n">
        <f aca="false">Scoring!C285</f>
        <v>0</v>
      </c>
      <c r="D278" s="188" t="str">
        <f aca="false">Scoring!CQ285</f>
        <v/>
      </c>
      <c r="E278" s="7" t="str">
        <f aca="false">Scoring!BR285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Scoring!CS285</f>
        <v/>
      </c>
      <c r="I278" s="189" t="str">
        <f aca="false">Scoring!CR285</f>
        <v/>
      </c>
    </row>
    <row r="279" customFormat="false" ht="15.75" hidden="false" customHeight="false" outlineLevel="0" collapsed="false">
      <c r="A279" s="7" t="str">
        <f aca="false">Scoring!CU286</f>
        <v/>
      </c>
      <c r="B279" s="7" t="str">
        <f aca="false">Scoring!CT286</f>
        <v/>
      </c>
      <c r="C279" s="7" t="n">
        <f aca="false">Scoring!C286</f>
        <v>0</v>
      </c>
      <c r="D279" s="188" t="str">
        <f aca="false">Scoring!CQ286</f>
        <v/>
      </c>
      <c r="E279" s="7" t="str">
        <f aca="false">Scoring!BR286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Scoring!CS286</f>
        <v/>
      </c>
      <c r="I279" s="189" t="str">
        <f aca="false">Scoring!CR286</f>
        <v/>
      </c>
    </row>
    <row r="280" customFormat="false" ht="15.75" hidden="false" customHeight="false" outlineLevel="0" collapsed="false">
      <c r="A280" s="7" t="str">
        <f aca="false">Scoring!CU287</f>
        <v/>
      </c>
      <c r="B280" s="7" t="str">
        <f aca="false">Scoring!CT287</f>
        <v/>
      </c>
      <c r="C280" s="7" t="n">
        <f aca="false">Scoring!C287</f>
        <v>0</v>
      </c>
      <c r="D280" s="188" t="str">
        <f aca="false">Scoring!CQ287</f>
        <v/>
      </c>
      <c r="E280" s="7" t="str">
        <f aca="false">Scoring!BR287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Scoring!CS287</f>
        <v/>
      </c>
      <c r="I280" s="189" t="str">
        <f aca="false">Scoring!CR287</f>
        <v/>
      </c>
    </row>
    <row r="281" customFormat="false" ht="15.75" hidden="false" customHeight="false" outlineLevel="0" collapsed="false">
      <c r="A281" s="7" t="str">
        <f aca="false">Scoring!CU288</f>
        <v/>
      </c>
      <c r="B281" s="7" t="str">
        <f aca="false">Scoring!CT288</f>
        <v/>
      </c>
      <c r="C281" s="7" t="n">
        <f aca="false">Scoring!C288</f>
        <v>0</v>
      </c>
      <c r="D281" s="188" t="str">
        <f aca="false">Scoring!CQ288</f>
        <v/>
      </c>
      <c r="E281" s="7" t="str">
        <f aca="false">Scoring!BR288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Scoring!CS288</f>
        <v/>
      </c>
      <c r="I281" s="189" t="str">
        <f aca="false">Scoring!CR288</f>
        <v/>
      </c>
    </row>
    <row r="282" customFormat="false" ht="15.75" hidden="false" customHeight="false" outlineLevel="0" collapsed="false">
      <c r="A282" s="7" t="str">
        <f aca="false">Scoring!CU289</f>
        <v/>
      </c>
      <c r="B282" s="7" t="str">
        <f aca="false">Scoring!CT289</f>
        <v/>
      </c>
      <c r="C282" s="7" t="n">
        <f aca="false">Scoring!C289</f>
        <v>0</v>
      </c>
      <c r="D282" s="188" t="str">
        <f aca="false">Scoring!CQ289</f>
        <v/>
      </c>
      <c r="E282" s="7" t="str">
        <f aca="false">Scoring!BR289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Scoring!CS289</f>
        <v/>
      </c>
      <c r="I282" s="189" t="str">
        <f aca="false">Scoring!CR289</f>
        <v/>
      </c>
    </row>
    <row r="283" customFormat="false" ht="15.75" hidden="false" customHeight="false" outlineLevel="0" collapsed="false">
      <c r="A283" s="7" t="str">
        <f aca="false">Scoring!CU290</f>
        <v/>
      </c>
      <c r="B283" s="7" t="str">
        <f aca="false">Scoring!CT290</f>
        <v/>
      </c>
      <c r="C283" s="7" t="n">
        <f aca="false">Scoring!C290</f>
        <v>0</v>
      </c>
      <c r="D283" s="188" t="str">
        <f aca="false">Scoring!CQ290</f>
        <v/>
      </c>
      <c r="E283" s="7" t="str">
        <f aca="false">Scoring!BR290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Scoring!CS290</f>
        <v/>
      </c>
      <c r="I283" s="189" t="str">
        <f aca="false">Scoring!CR290</f>
        <v/>
      </c>
    </row>
    <row r="284" customFormat="false" ht="15.75" hidden="false" customHeight="false" outlineLevel="0" collapsed="false">
      <c r="A284" s="7" t="str">
        <f aca="false">Scoring!CU291</f>
        <v/>
      </c>
      <c r="B284" s="7" t="str">
        <f aca="false">Scoring!CT291</f>
        <v/>
      </c>
      <c r="C284" s="7" t="n">
        <f aca="false">Scoring!C291</f>
        <v>0</v>
      </c>
      <c r="D284" s="188" t="str">
        <f aca="false">Scoring!CQ291</f>
        <v/>
      </c>
      <c r="E284" s="7" t="str">
        <f aca="false">Scoring!BR291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Scoring!CS291</f>
        <v/>
      </c>
      <c r="I284" s="189" t="str">
        <f aca="false">Scoring!CR291</f>
        <v/>
      </c>
    </row>
    <row r="285" customFormat="false" ht="15.75" hidden="false" customHeight="false" outlineLevel="0" collapsed="false">
      <c r="A285" s="7" t="str">
        <f aca="false">Scoring!CU292</f>
        <v/>
      </c>
      <c r="B285" s="7" t="str">
        <f aca="false">Scoring!CT292</f>
        <v/>
      </c>
      <c r="C285" s="7" t="n">
        <f aca="false">Scoring!C292</f>
        <v>0</v>
      </c>
      <c r="D285" s="188" t="str">
        <f aca="false">Scoring!CQ292</f>
        <v/>
      </c>
      <c r="E285" s="7" t="str">
        <f aca="false">Scoring!BR292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Scoring!CS292</f>
        <v/>
      </c>
      <c r="I285" s="189" t="str">
        <f aca="false">Scoring!CR292</f>
        <v/>
      </c>
    </row>
    <row r="286" customFormat="false" ht="15.75" hidden="false" customHeight="false" outlineLevel="0" collapsed="false">
      <c r="A286" s="7" t="str">
        <f aca="false">Scoring!CU293</f>
        <v/>
      </c>
      <c r="B286" s="7" t="str">
        <f aca="false">Scoring!CT293</f>
        <v/>
      </c>
      <c r="C286" s="7" t="n">
        <f aca="false">Scoring!C293</f>
        <v>0</v>
      </c>
      <c r="D286" s="188" t="str">
        <f aca="false">Scoring!CQ293</f>
        <v/>
      </c>
      <c r="E286" s="7" t="str">
        <f aca="false">Scoring!BR293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Scoring!CS293</f>
        <v/>
      </c>
      <c r="I286" s="189" t="str">
        <f aca="false">Scoring!CR293</f>
        <v/>
      </c>
    </row>
    <row r="287" customFormat="false" ht="15.75" hidden="false" customHeight="false" outlineLevel="0" collapsed="false">
      <c r="A287" s="7" t="str">
        <f aca="false">Scoring!CU294</f>
        <v/>
      </c>
      <c r="B287" s="7" t="str">
        <f aca="false">Scoring!CT294</f>
        <v/>
      </c>
      <c r="C287" s="7" t="n">
        <f aca="false">Scoring!C294</f>
        <v>0</v>
      </c>
      <c r="D287" s="188" t="str">
        <f aca="false">Scoring!CQ294</f>
        <v/>
      </c>
      <c r="E287" s="7" t="str">
        <f aca="false">Scoring!BR294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Scoring!CS294</f>
        <v/>
      </c>
      <c r="I287" s="189" t="str">
        <f aca="false">Scoring!CR294</f>
        <v/>
      </c>
    </row>
    <row r="288" customFormat="false" ht="15.75" hidden="false" customHeight="false" outlineLevel="0" collapsed="false">
      <c r="A288" s="7" t="str">
        <f aca="false">Scoring!CU295</f>
        <v/>
      </c>
      <c r="B288" s="7" t="str">
        <f aca="false">Scoring!CT295</f>
        <v/>
      </c>
      <c r="C288" s="7" t="n">
        <f aca="false">Scoring!C295</f>
        <v>0</v>
      </c>
      <c r="D288" s="188" t="str">
        <f aca="false">Scoring!CQ295</f>
        <v/>
      </c>
      <c r="E288" s="7" t="str">
        <f aca="false">Scoring!BR295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Scoring!CS295</f>
        <v/>
      </c>
      <c r="I288" s="189" t="str">
        <f aca="false">Scoring!CR295</f>
        <v/>
      </c>
    </row>
    <row r="289" customFormat="false" ht="15.75" hidden="false" customHeight="false" outlineLevel="0" collapsed="false">
      <c r="A289" s="7" t="str">
        <f aca="false">Scoring!CU296</f>
        <v/>
      </c>
      <c r="B289" s="7" t="str">
        <f aca="false">Scoring!CT296</f>
        <v/>
      </c>
      <c r="C289" s="7" t="n">
        <f aca="false">Scoring!C296</f>
        <v>0</v>
      </c>
      <c r="D289" s="188" t="str">
        <f aca="false">Scoring!CQ296</f>
        <v/>
      </c>
      <c r="E289" s="7" t="str">
        <f aca="false">Scoring!BR296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Scoring!CS296</f>
        <v/>
      </c>
      <c r="I289" s="189" t="str">
        <f aca="false">Scoring!CR296</f>
        <v/>
      </c>
    </row>
    <row r="290" customFormat="false" ht="15.75" hidden="false" customHeight="false" outlineLevel="0" collapsed="false">
      <c r="A290" s="7" t="str">
        <f aca="false">Scoring!CU297</f>
        <v/>
      </c>
      <c r="B290" s="7" t="str">
        <f aca="false">Scoring!CT297</f>
        <v/>
      </c>
      <c r="C290" s="7" t="n">
        <f aca="false">Scoring!C297</f>
        <v>0</v>
      </c>
      <c r="D290" s="188" t="str">
        <f aca="false">Scoring!CQ297</f>
        <v/>
      </c>
      <c r="E290" s="7" t="str">
        <f aca="false">Scoring!BR297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Scoring!CS297</f>
        <v/>
      </c>
      <c r="I290" s="189" t="str">
        <f aca="false">Scoring!CR297</f>
        <v/>
      </c>
    </row>
    <row r="291" customFormat="false" ht="15.75" hidden="false" customHeight="false" outlineLevel="0" collapsed="false">
      <c r="A291" s="7" t="str">
        <f aca="false">Scoring!CU298</f>
        <v/>
      </c>
      <c r="B291" s="7" t="str">
        <f aca="false">Scoring!CT298</f>
        <v/>
      </c>
      <c r="C291" s="7" t="n">
        <f aca="false">Scoring!C298</f>
        <v>0</v>
      </c>
      <c r="D291" s="188" t="str">
        <f aca="false">Scoring!CQ298</f>
        <v/>
      </c>
      <c r="E291" s="7" t="str">
        <f aca="false">Scoring!BR298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Scoring!CS298</f>
        <v/>
      </c>
      <c r="I291" s="189" t="str">
        <f aca="false">Scoring!CR298</f>
        <v/>
      </c>
    </row>
    <row r="292" customFormat="false" ht="15.75" hidden="false" customHeight="false" outlineLevel="0" collapsed="false">
      <c r="A292" s="7" t="str">
        <f aca="false">Scoring!CU299</f>
        <v/>
      </c>
      <c r="B292" s="7" t="str">
        <f aca="false">Scoring!CT299</f>
        <v/>
      </c>
      <c r="C292" s="7" t="n">
        <f aca="false">Scoring!C299</f>
        <v>0</v>
      </c>
      <c r="D292" s="188" t="str">
        <f aca="false">Scoring!CQ299</f>
        <v/>
      </c>
      <c r="E292" s="7" t="str">
        <f aca="false">Scoring!BR299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Scoring!CS299</f>
        <v/>
      </c>
      <c r="I292" s="189" t="str">
        <f aca="false">Scoring!CR299</f>
        <v/>
      </c>
    </row>
    <row r="293" customFormat="false" ht="15.75" hidden="false" customHeight="false" outlineLevel="0" collapsed="false">
      <c r="A293" s="7" t="str">
        <f aca="false">Scoring!CU300</f>
        <v/>
      </c>
      <c r="B293" s="7" t="str">
        <f aca="false">Scoring!CT300</f>
        <v/>
      </c>
      <c r="C293" s="7" t="n">
        <f aca="false">Scoring!C300</f>
        <v>0</v>
      </c>
      <c r="D293" s="188" t="str">
        <f aca="false">Scoring!CQ300</f>
        <v/>
      </c>
      <c r="E293" s="7" t="str">
        <f aca="false">Scoring!BR300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Scoring!CS300</f>
        <v/>
      </c>
      <c r="I293" s="189" t="str">
        <f aca="false">Scoring!CR300</f>
        <v/>
      </c>
    </row>
    <row r="294" customFormat="false" ht="15.75" hidden="false" customHeight="false" outlineLevel="0" collapsed="false">
      <c r="A294" s="7" t="str">
        <f aca="false">Scoring!CU301</f>
        <v/>
      </c>
      <c r="B294" s="7" t="str">
        <f aca="false">Scoring!CT301</f>
        <v/>
      </c>
      <c r="C294" s="7" t="n">
        <f aca="false">Scoring!C301</f>
        <v>0</v>
      </c>
      <c r="D294" s="188" t="str">
        <f aca="false">Scoring!CQ301</f>
        <v/>
      </c>
      <c r="E294" s="7" t="str">
        <f aca="false">Scoring!BR301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Scoring!CS301</f>
        <v/>
      </c>
      <c r="I294" s="189" t="str">
        <f aca="false">Scoring!CR301</f>
        <v/>
      </c>
    </row>
    <row r="295" customFormat="false" ht="15.75" hidden="false" customHeight="false" outlineLevel="0" collapsed="false">
      <c r="A295" s="7" t="str">
        <f aca="false">Scoring!CU302</f>
        <v/>
      </c>
      <c r="B295" s="7" t="str">
        <f aca="false">Scoring!CT302</f>
        <v/>
      </c>
      <c r="C295" s="7" t="n">
        <f aca="false">Scoring!C302</f>
        <v>0</v>
      </c>
      <c r="D295" s="188" t="str">
        <f aca="false">Scoring!CQ302</f>
        <v/>
      </c>
      <c r="E295" s="7" t="str">
        <f aca="false">Scoring!BR302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Scoring!CS302</f>
        <v/>
      </c>
      <c r="I295" s="189" t="str">
        <f aca="false">Scoring!CR302</f>
        <v/>
      </c>
    </row>
    <row r="296" customFormat="false" ht="15.75" hidden="false" customHeight="false" outlineLevel="0" collapsed="false">
      <c r="A296" s="7" t="str">
        <f aca="false">Scoring!CU303</f>
        <v/>
      </c>
      <c r="B296" s="7" t="str">
        <f aca="false">Scoring!CT303</f>
        <v/>
      </c>
      <c r="C296" s="7" t="n">
        <f aca="false">Scoring!C303</f>
        <v>0</v>
      </c>
      <c r="D296" s="188" t="str">
        <f aca="false">Scoring!CQ303</f>
        <v/>
      </c>
      <c r="E296" s="7" t="str">
        <f aca="false">Scoring!BR303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Scoring!CS303</f>
        <v/>
      </c>
      <c r="I296" s="189" t="str">
        <f aca="false">Scoring!CR303</f>
        <v/>
      </c>
    </row>
    <row r="297" customFormat="false" ht="15.75" hidden="false" customHeight="false" outlineLevel="0" collapsed="false">
      <c r="A297" s="7" t="str">
        <f aca="false">Scoring!CU304</f>
        <v/>
      </c>
      <c r="B297" s="7" t="str">
        <f aca="false">Scoring!CT304</f>
        <v/>
      </c>
      <c r="C297" s="7" t="n">
        <f aca="false">Scoring!C304</f>
        <v>0</v>
      </c>
      <c r="D297" s="188" t="str">
        <f aca="false">Scoring!CQ304</f>
        <v/>
      </c>
      <c r="E297" s="7" t="str">
        <f aca="false">Scoring!BR304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Scoring!CS304</f>
        <v/>
      </c>
      <c r="I297" s="189" t="str">
        <f aca="false">Scoring!CR304</f>
        <v/>
      </c>
    </row>
    <row r="298" customFormat="false" ht="15.75" hidden="false" customHeight="false" outlineLevel="0" collapsed="false">
      <c r="A298" s="7" t="str">
        <f aca="false">Scoring!CU305</f>
        <v/>
      </c>
      <c r="B298" s="7" t="str">
        <f aca="false">Scoring!CT305</f>
        <v/>
      </c>
      <c r="C298" s="7" t="n">
        <f aca="false">Scoring!C305</f>
        <v>0</v>
      </c>
      <c r="D298" s="188" t="str">
        <f aca="false">Scoring!CQ305</f>
        <v/>
      </c>
      <c r="E298" s="7" t="str">
        <f aca="false">Scoring!BR305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Scoring!CS305</f>
        <v/>
      </c>
      <c r="I298" s="189" t="str">
        <f aca="false">Scoring!CR305</f>
        <v/>
      </c>
    </row>
    <row r="299" customFormat="false" ht="15.75" hidden="false" customHeight="false" outlineLevel="0" collapsed="false">
      <c r="A299" s="7" t="str">
        <f aca="false">Scoring!CU306</f>
        <v/>
      </c>
      <c r="B299" s="7" t="str">
        <f aca="false">Scoring!CT306</f>
        <v/>
      </c>
      <c r="C299" s="7" t="n">
        <f aca="false">Scoring!C306</f>
        <v>0</v>
      </c>
      <c r="D299" s="188" t="str">
        <f aca="false">Scoring!CQ306</f>
        <v/>
      </c>
      <c r="E299" s="7" t="str">
        <f aca="false">Scoring!BR306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Scoring!CS306</f>
        <v/>
      </c>
      <c r="I299" s="189" t="str">
        <f aca="false">Scoring!CR306</f>
        <v/>
      </c>
    </row>
    <row r="300" customFormat="false" ht="15.75" hidden="false" customHeight="false" outlineLevel="0" collapsed="false">
      <c r="A300" s="7" t="str">
        <f aca="false">Scoring!CU307</f>
        <v/>
      </c>
      <c r="B300" s="7" t="str">
        <f aca="false">Scoring!CT307</f>
        <v/>
      </c>
      <c r="C300" s="7" t="n">
        <f aca="false">Scoring!C307</f>
        <v>0</v>
      </c>
      <c r="D300" s="188" t="str">
        <f aca="false">Scoring!CQ307</f>
        <v/>
      </c>
      <c r="E300" s="7" t="str">
        <f aca="false">Scoring!BR307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Scoring!CS307</f>
        <v/>
      </c>
      <c r="I300" s="189" t="str">
        <f aca="false">Scoring!CR307</f>
        <v/>
      </c>
    </row>
    <row r="301" customFormat="false" ht="15.75" hidden="false" customHeight="false" outlineLevel="0" collapsed="false">
      <c r="A301" s="7" t="str">
        <f aca="false">Scoring!CU308</f>
        <v/>
      </c>
      <c r="B301" s="7" t="str">
        <f aca="false">Scoring!CT308</f>
        <v/>
      </c>
      <c r="C301" s="7" t="n">
        <f aca="false">Scoring!C308</f>
        <v>0</v>
      </c>
      <c r="D301" s="188" t="str">
        <f aca="false">Scoring!CQ308</f>
        <v/>
      </c>
      <c r="E301" s="7" t="str">
        <f aca="false">Scoring!BR308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Scoring!CS308</f>
        <v/>
      </c>
      <c r="I301" s="189" t="str">
        <f aca="false">Scoring!CR308</f>
        <v/>
      </c>
    </row>
    <row r="302" customFormat="false" ht="15.75" hidden="false" customHeight="false" outlineLevel="0" collapsed="false">
      <c r="A302" s="7" t="str">
        <f aca="false">Scoring!CU309</f>
        <v/>
      </c>
      <c r="B302" s="7" t="str">
        <f aca="false">Scoring!CT309</f>
        <v/>
      </c>
      <c r="C302" s="7" t="n">
        <f aca="false">Scoring!C309</f>
        <v>0</v>
      </c>
      <c r="D302" s="188" t="str">
        <f aca="false">Scoring!CQ309</f>
        <v/>
      </c>
      <c r="E302" s="7" t="str">
        <f aca="false">Scoring!BR309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Scoring!CS309</f>
        <v/>
      </c>
      <c r="I302" s="189" t="str">
        <f aca="false">Scoring!CR309</f>
        <v/>
      </c>
    </row>
    <row r="303" customFormat="false" ht="15.75" hidden="false" customHeight="false" outlineLevel="0" collapsed="false">
      <c r="A303" s="7" t="str">
        <f aca="false">Scoring!CU310</f>
        <v/>
      </c>
      <c r="B303" s="7" t="str">
        <f aca="false">Scoring!CT310</f>
        <v/>
      </c>
      <c r="C303" s="7" t="n">
        <f aca="false">Scoring!C310</f>
        <v>0</v>
      </c>
      <c r="D303" s="188" t="str">
        <f aca="false">Scoring!CQ310</f>
        <v/>
      </c>
      <c r="E303" s="7" t="str">
        <f aca="false">Scoring!BR310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Scoring!CS310</f>
        <v/>
      </c>
      <c r="I303" s="189" t="str">
        <f aca="false">Scoring!CR310</f>
        <v/>
      </c>
    </row>
    <row r="304" customFormat="false" ht="15.75" hidden="false" customHeight="false" outlineLevel="0" collapsed="false">
      <c r="A304" s="7" t="str">
        <f aca="false">Scoring!CU311</f>
        <v/>
      </c>
      <c r="B304" s="7" t="str">
        <f aca="false">Scoring!CT311</f>
        <v/>
      </c>
      <c r="C304" s="7" t="n">
        <f aca="false">Scoring!C311</f>
        <v>0</v>
      </c>
      <c r="D304" s="188" t="str">
        <f aca="false">Scoring!CQ311</f>
        <v/>
      </c>
      <c r="E304" s="7" t="str">
        <f aca="false">Scoring!BR311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Scoring!CS311</f>
        <v/>
      </c>
      <c r="I304" s="189" t="str">
        <f aca="false">Scoring!CR311</f>
        <v/>
      </c>
    </row>
    <row r="305" customFormat="false" ht="15.75" hidden="false" customHeight="false" outlineLevel="0" collapsed="false">
      <c r="A305" s="7" t="str">
        <f aca="false">Scoring!CU312</f>
        <v/>
      </c>
      <c r="B305" s="7" t="str">
        <f aca="false">Scoring!CT312</f>
        <v/>
      </c>
      <c r="C305" s="7" t="n">
        <f aca="false">Scoring!C312</f>
        <v>0</v>
      </c>
      <c r="D305" s="188" t="str">
        <f aca="false">Scoring!CQ312</f>
        <v/>
      </c>
      <c r="E305" s="7" t="str">
        <f aca="false">Scoring!BR312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Scoring!CS312</f>
        <v/>
      </c>
      <c r="I305" s="189" t="str">
        <f aca="false">Scoring!CR312</f>
        <v/>
      </c>
    </row>
    <row r="306" customFormat="false" ht="15.75" hidden="false" customHeight="false" outlineLevel="0" collapsed="false">
      <c r="A306" s="7" t="str">
        <f aca="false">Scoring!CU313</f>
        <v/>
      </c>
      <c r="B306" s="7" t="str">
        <f aca="false">Scoring!CT313</f>
        <v/>
      </c>
      <c r="C306" s="7" t="n">
        <f aca="false">Scoring!C313</f>
        <v>0</v>
      </c>
      <c r="D306" s="188" t="str">
        <f aca="false">Scoring!CQ313</f>
        <v/>
      </c>
      <c r="E306" s="7" t="str">
        <f aca="false">Scoring!BR313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Scoring!CS313</f>
        <v/>
      </c>
      <c r="I306" s="189" t="str">
        <f aca="false">Scoring!CR313</f>
        <v/>
      </c>
    </row>
    <row r="307" customFormat="false" ht="15.75" hidden="false" customHeight="false" outlineLevel="0" collapsed="false">
      <c r="A307" s="7" t="str">
        <f aca="false">Scoring!CU314</f>
        <v/>
      </c>
      <c r="B307" s="7" t="str">
        <f aca="false">Scoring!CT314</f>
        <v/>
      </c>
      <c r="C307" s="7" t="n">
        <f aca="false">Scoring!C314</f>
        <v>0</v>
      </c>
      <c r="D307" s="188" t="str">
        <f aca="false">Scoring!CQ314</f>
        <v/>
      </c>
      <c r="E307" s="7" t="str">
        <f aca="false">Scoring!BR314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Scoring!CS314</f>
        <v/>
      </c>
      <c r="I307" s="189" t="str">
        <f aca="false">Scoring!CR314</f>
        <v/>
      </c>
    </row>
    <row r="308" customFormat="false" ht="15.75" hidden="false" customHeight="false" outlineLevel="0" collapsed="false">
      <c r="A308" s="7" t="str">
        <f aca="false">Scoring!CU315</f>
        <v/>
      </c>
      <c r="B308" s="7" t="str">
        <f aca="false">Scoring!CT315</f>
        <v/>
      </c>
      <c r="C308" s="7" t="n">
        <f aca="false">Scoring!C315</f>
        <v>0</v>
      </c>
      <c r="D308" s="188" t="str">
        <f aca="false">Scoring!CQ315</f>
        <v/>
      </c>
      <c r="E308" s="7" t="str">
        <f aca="false">Scoring!BR315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Scoring!CS315</f>
        <v/>
      </c>
      <c r="I308" s="189" t="str">
        <f aca="false">Scoring!CR315</f>
        <v/>
      </c>
    </row>
    <row r="309" customFormat="false" ht="15.75" hidden="false" customHeight="false" outlineLevel="0" collapsed="false">
      <c r="A309" s="7" t="str">
        <f aca="false">Scoring!CU316</f>
        <v/>
      </c>
      <c r="B309" s="7" t="str">
        <f aca="false">Scoring!CT316</f>
        <v/>
      </c>
      <c r="C309" s="7" t="n">
        <f aca="false">Scoring!C316</f>
        <v>0</v>
      </c>
      <c r="D309" s="188" t="str">
        <f aca="false">Scoring!CQ316</f>
        <v/>
      </c>
      <c r="E309" s="7" t="str">
        <f aca="false">Scoring!BR316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Scoring!CS316</f>
        <v/>
      </c>
      <c r="I309" s="189" t="str">
        <f aca="false">Scoring!CR316</f>
        <v/>
      </c>
    </row>
    <row r="310" customFormat="false" ht="15.75" hidden="false" customHeight="false" outlineLevel="0" collapsed="false">
      <c r="A310" s="7" t="str">
        <f aca="false">Scoring!CU317</f>
        <v/>
      </c>
      <c r="B310" s="7" t="str">
        <f aca="false">Scoring!CT317</f>
        <v/>
      </c>
      <c r="C310" s="7" t="n">
        <f aca="false">Scoring!C317</f>
        <v>0</v>
      </c>
      <c r="D310" s="188" t="str">
        <f aca="false">Scoring!CQ317</f>
        <v/>
      </c>
      <c r="E310" s="7" t="str">
        <f aca="false">Scoring!BR317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Scoring!CS317</f>
        <v/>
      </c>
      <c r="I310" s="189" t="str">
        <f aca="false">Scoring!CR317</f>
        <v/>
      </c>
    </row>
    <row r="311" customFormat="false" ht="15.75" hidden="false" customHeight="false" outlineLevel="0" collapsed="false">
      <c r="A311" s="7" t="str">
        <f aca="false">Scoring!CU318</f>
        <v/>
      </c>
      <c r="B311" s="7" t="str">
        <f aca="false">Scoring!CT318</f>
        <v/>
      </c>
      <c r="C311" s="7" t="n">
        <f aca="false">Scoring!C318</f>
        <v>0</v>
      </c>
      <c r="D311" s="188" t="str">
        <f aca="false">Scoring!CQ318</f>
        <v/>
      </c>
      <c r="E311" s="7" t="str">
        <f aca="false">Scoring!BR318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Scoring!CS318</f>
        <v/>
      </c>
      <c r="I311" s="189" t="str">
        <f aca="false">Scoring!CR318</f>
        <v/>
      </c>
    </row>
    <row r="312" customFormat="false" ht="15.75" hidden="false" customHeight="false" outlineLevel="0" collapsed="false">
      <c r="A312" s="7" t="str">
        <f aca="false">Scoring!CU319</f>
        <v/>
      </c>
      <c r="B312" s="7" t="str">
        <f aca="false">Scoring!CT319</f>
        <v/>
      </c>
      <c r="C312" s="7" t="n">
        <f aca="false">Scoring!C319</f>
        <v>0</v>
      </c>
      <c r="D312" s="188" t="str">
        <f aca="false">Scoring!CQ319</f>
        <v/>
      </c>
      <c r="E312" s="7" t="str">
        <f aca="false">Scoring!BR319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Scoring!CS319</f>
        <v/>
      </c>
      <c r="I312" s="189" t="str">
        <f aca="false">Scoring!CR319</f>
        <v/>
      </c>
    </row>
    <row r="313" customFormat="false" ht="15.75" hidden="false" customHeight="false" outlineLevel="0" collapsed="false">
      <c r="A313" s="7" t="str">
        <f aca="false">Scoring!CU320</f>
        <v/>
      </c>
      <c r="B313" s="7" t="str">
        <f aca="false">Scoring!CT320</f>
        <v/>
      </c>
      <c r="C313" s="7" t="n">
        <f aca="false">Scoring!C320</f>
        <v>0</v>
      </c>
      <c r="D313" s="188" t="str">
        <f aca="false">Scoring!CQ320</f>
        <v/>
      </c>
      <c r="E313" s="7" t="str">
        <f aca="false">Scoring!BR320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Scoring!CS320</f>
        <v/>
      </c>
      <c r="I313" s="189" t="str">
        <f aca="false">Scoring!CR320</f>
        <v/>
      </c>
    </row>
    <row r="314" customFormat="false" ht="15.75" hidden="false" customHeight="false" outlineLevel="0" collapsed="false">
      <c r="A314" s="7" t="str">
        <f aca="false">Scoring!CU321</f>
        <v/>
      </c>
      <c r="B314" s="7" t="str">
        <f aca="false">Scoring!CT321</f>
        <v/>
      </c>
      <c r="C314" s="7" t="n">
        <f aca="false">Scoring!C321</f>
        <v>0</v>
      </c>
      <c r="D314" s="188" t="str">
        <f aca="false">Scoring!CQ321</f>
        <v/>
      </c>
      <c r="E314" s="7" t="str">
        <f aca="false">Scoring!BR321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Scoring!CS321</f>
        <v/>
      </c>
      <c r="I314" s="189" t="str">
        <f aca="false">Scoring!CR321</f>
        <v/>
      </c>
    </row>
    <row r="315" customFormat="false" ht="15.75" hidden="false" customHeight="false" outlineLevel="0" collapsed="false">
      <c r="A315" s="7" t="str">
        <f aca="false">Scoring!CU322</f>
        <v/>
      </c>
      <c r="B315" s="7" t="str">
        <f aca="false">Scoring!CT322</f>
        <v/>
      </c>
      <c r="C315" s="7" t="n">
        <f aca="false">Scoring!C322</f>
        <v>0</v>
      </c>
      <c r="D315" s="188" t="str">
        <f aca="false">Scoring!CQ322</f>
        <v/>
      </c>
      <c r="E315" s="7" t="str">
        <f aca="false">Scoring!BR322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Scoring!CS322</f>
        <v/>
      </c>
      <c r="I315" s="189" t="str">
        <f aca="false">Scoring!CR322</f>
        <v/>
      </c>
    </row>
    <row r="316" customFormat="false" ht="15.75" hidden="false" customHeight="false" outlineLevel="0" collapsed="false">
      <c r="A316" s="7" t="str">
        <f aca="false">Scoring!CU323</f>
        <v/>
      </c>
      <c r="B316" s="7" t="str">
        <f aca="false">Scoring!CT323</f>
        <v/>
      </c>
      <c r="C316" s="7" t="n">
        <f aca="false">Scoring!C323</f>
        <v>0</v>
      </c>
      <c r="D316" s="188" t="str">
        <f aca="false">Scoring!CQ323</f>
        <v/>
      </c>
      <c r="E316" s="7" t="str">
        <f aca="false">Scoring!BR323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Scoring!CS323</f>
        <v/>
      </c>
      <c r="I316" s="189" t="str">
        <f aca="false">Scoring!CR323</f>
        <v/>
      </c>
    </row>
    <row r="317" customFormat="false" ht="15.75" hidden="false" customHeight="false" outlineLevel="0" collapsed="false">
      <c r="A317" s="7" t="str">
        <f aca="false">Scoring!CU324</f>
        <v/>
      </c>
      <c r="B317" s="7" t="str">
        <f aca="false">Scoring!CT324</f>
        <v/>
      </c>
      <c r="C317" s="7" t="n">
        <f aca="false">Scoring!C324</f>
        <v>0</v>
      </c>
      <c r="D317" s="188" t="str">
        <f aca="false">Scoring!CQ324</f>
        <v/>
      </c>
      <c r="E317" s="7" t="str">
        <f aca="false">Scoring!BR324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Scoring!CS324</f>
        <v/>
      </c>
      <c r="I317" s="189" t="str">
        <f aca="false">Scoring!CR324</f>
        <v/>
      </c>
    </row>
    <row r="318" customFormat="false" ht="15.75" hidden="false" customHeight="false" outlineLevel="0" collapsed="false">
      <c r="A318" s="7" t="str">
        <f aca="false">Scoring!CU325</f>
        <v/>
      </c>
      <c r="B318" s="7" t="str">
        <f aca="false">Scoring!CT325</f>
        <v/>
      </c>
      <c r="C318" s="7" t="n">
        <f aca="false">Scoring!C325</f>
        <v>0</v>
      </c>
      <c r="D318" s="188" t="str">
        <f aca="false">Scoring!CQ325</f>
        <v/>
      </c>
      <c r="E318" s="7" t="str">
        <f aca="false">Scoring!BR325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Scoring!CS325</f>
        <v/>
      </c>
      <c r="I318" s="189" t="str">
        <f aca="false">Scoring!CR325</f>
        <v/>
      </c>
    </row>
    <row r="319" customFormat="false" ht="15.75" hidden="false" customHeight="false" outlineLevel="0" collapsed="false">
      <c r="A319" s="7" t="str">
        <f aca="false">Scoring!CU326</f>
        <v/>
      </c>
      <c r="B319" s="7" t="str">
        <f aca="false">Scoring!CT326</f>
        <v/>
      </c>
      <c r="C319" s="7" t="n">
        <f aca="false">Scoring!C326</f>
        <v>0</v>
      </c>
      <c r="D319" s="188" t="str">
        <f aca="false">Scoring!CQ326</f>
        <v/>
      </c>
      <c r="E319" s="7" t="str">
        <f aca="false">Scoring!BR326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Scoring!CS326</f>
        <v/>
      </c>
      <c r="I319" s="189" t="str">
        <f aca="false">Scoring!CR326</f>
        <v/>
      </c>
    </row>
    <row r="320" customFormat="false" ht="15.75" hidden="false" customHeight="false" outlineLevel="0" collapsed="false">
      <c r="A320" s="7" t="str">
        <f aca="false">Scoring!CU327</f>
        <v/>
      </c>
      <c r="B320" s="7" t="str">
        <f aca="false">Scoring!CT327</f>
        <v/>
      </c>
      <c r="C320" s="7" t="n">
        <f aca="false">Scoring!C327</f>
        <v>0</v>
      </c>
      <c r="D320" s="188" t="str">
        <f aca="false">Scoring!CQ327</f>
        <v/>
      </c>
      <c r="E320" s="7" t="str">
        <f aca="false">Scoring!BR327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Scoring!CS327</f>
        <v/>
      </c>
      <c r="I320" s="189" t="str">
        <f aca="false">Scoring!CR327</f>
        <v/>
      </c>
    </row>
    <row r="321" customFormat="false" ht="15.75" hidden="false" customHeight="false" outlineLevel="0" collapsed="false">
      <c r="A321" s="7" t="str">
        <f aca="false">Scoring!CU328</f>
        <v/>
      </c>
      <c r="B321" s="7" t="str">
        <f aca="false">Scoring!CT328</f>
        <v/>
      </c>
      <c r="C321" s="7" t="n">
        <f aca="false">Scoring!C328</f>
        <v>0</v>
      </c>
      <c r="D321" s="188" t="str">
        <f aca="false">Scoring!CQ328</f>
        <v/>
      </c>
      <c r="E321" s="7" t="str">
        <f aca="false">Scoring!BR328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Scoring!CS328</f>
        <v/>
      </c>
      <c r="I321" s="189" t="str">
        <f aca="false">Scoring!CR328</f>
        <v/>
      </c>
    </row>
    <row r="322" customFormat="false" ht="15.75" hidden="false" customHeight="false" outlineLevel="0" collapsed="false">
      <c r="A322" s="7" t="str">
        <f aca="false">Scoring!CU329</f>
        <v/>
      </c>
      <c r="B322" s="7" t="str">
        <f aca="false">Scoring!CT329</f>
        <v/>
      </c>
      <c r="C322" s="7" t="n">
        <f aca="false">Scoring!C329</f>
        <v>0</v>
      </c>
      <c r="D322" s="188" t="str">
        <f aca="false">Scoring!CQ329</f>
        <v/>
      </c>
      <c r="E322" s="7" t="str">
        <f aca="false">Scoring!BR329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Scoring!CS329</f>
        <v/>
      </c>
      <c r="I322" s="189" t="str">
        <f aca="false">Scoring!CR329</f>
        <v/>
      </c>
    </row>
    <row r="323" customFormat="false" ht="15.75" hidden="false" customHeight="false" outlineLevel="0" collapsed="false">
      <c r="A323" s="7" t="str">
        <f aca="false">Scoring!CU330</f>
        <v/>
      </c>
      <c r="B323" s="7" t="str">
        <f aca="false">Scoring!CT330</f>
        <v/>
      </c>
      <c r="C323" s="7" t="n">
        <f aca="false">Scoring!C330</f>
        <v>0</v>
      </c>
      <c r="D323" s="188" t="str">
        <f aca="false">Scoring!CQ330</f>
        <v/>
      </c>
      <c r="E323" s="7" t="str">
        <f aca="false">Scoring!BR330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Scoring!CS330</f>
        <v/>
      </c>
      <c r="I323" s="189" t="str">
        <f aca="false">Scoring!CR330</f>
        <v/>
      </c>
    </row>
    <row r="324" customFormat="false" ht="15.75" hidden="false" customHeight="false" outlineLevel="0" collapsed="false">
      <c r="A324" s="7" t="str">
        <f aca="false">Scoring!CU331</f>
        <v/>
      </c>
      <c r="B324" s="7" t="str">
        <f aca="false">Scoring!CT331</f>
        <v/>
      </c>
      <c r="C324" s="7" t="n">
        <f aca="false">Scoring!C331</f>
        <v>0</v>
      </c>
      <c r="D324" s="188" t="str">
        <f aca="false">Scoring!CQ331</f>
        <v/>
      </c>
      <c r="E324" s="7" t="str">
        <f aca="false">Scoring!BR331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Scoring!CS331</f>
        <v/>
      </c>
      <c r="I324" s="189" t="str">
        <f aca="false">Scoring!CR331</f>
        <v/>
      </c>
    </row>
    <row r="325" customFormat="false" ht="15.75" hidden="false" customHeight="false" outlineLevel="0" collapsed="false">
      <c r="A325" s="7" t="str">
        <f aca="false">Scoring!CU332</f>
        <v/>
      </c>
      <c r="B325" s="7" t="str">
        <f aca="false">Scoring!CT332</f>
        <v/>
      </c>
      <c r="C325" s="7" t="n">
        <f aca="false">Scoring!C332</f>
        <v>0</v>
      </c>
      <c r="D325" s="188" t="str">
        <f aca="false">Scoring!CQ332</f>
        <v/>
      </c>
      <c r="E325" s="7" t="str">
        <f aca="false">Scoring!BR332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Scoring!CS332</f>
        <v/>
      </c>
      <c r="I325" s="189" t="str">
        <f aca="false">Scoring!CR332</f>
        <v/>
      </c>
    </row>
    <row r="326" customFormat="false" ht="15.75" hidden="false" customHeight="false" outlineLevel="0" collapsed="false">
      <c r="A326" s="7" t="str">
        <f aca="false">Scoring!CU333</f>
        <v/>
      </c>
      <c r="B326" s="7" t="str">
        <f aca="false">Scoring!CT333</f>
        <v/>
      </c>
      <c r="C326" s="7" t="n">
        <f aca="false">Scoring!C333</f>
        <v>0</v>
      </c>
      <c r="D326" s="188" t="str">
        <f aca="false">Scoring!CQ333</f>
        <v/>
      </c>
      <c r="E326" s="7" t="str">
        <f aca="false">Scoring!BR333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Scoring!CS333</f>
        <v/>
      </c>
      <c r="I326" s="189" t="str">
        <f aca="false">Scoring!CR333</f>
        <v/>
      </c>
    </row>
    <row r="327" customFormat="false" ht="15.75" hidden="false" customHeight="false" outlineLevel="0" collapsed="false">
      <c r="A327" s="7" t="str">
        <f aca="false">Scoring!CU334</f>
        <v/>
      </c>
      <c r="B327" s="7" t="str">
        <f aca="false">Scoring!CT334</f>
        <v/>
      </c>
      <c r="C327" s="7" t="n">
        <f aca="false">Scoring!C334</f>
        <v>0</v>
      </c>
      <c r="D327" s="188" t="str">
        <f aca="false">Scoring!CQ334</f>
        <v/>
      </c>
      <c r="E327" s="7" t="str">
        <f aca="false">Scoring!BR334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Scoring!CS334</f>
        <v/>
      </c>
      <c r="I327" s="189" t="str">
        <f aca="false">Scoring!CR334</f>
        <v/>
      </c>
    </row>
    <row r="328" customFormat="false" ht="15.75" hidden="false" customHeight="false" outlineLevel="0" collapsed="false">
      <c r="A328" s="7" t="str">
        <f aca="false">Scoring!CU335</f>
        <v/>
      </c>
      <c r="B328" s="7" t="str">
        <f aca="false">Scoring!CT335</f>
        <v/>
      </c>
      <c r="C328" s="7" t="n">
        <f aca="false">Scoring!C335</f>
        <v>0</v>
      </c>
      <c r="D328" s="188" t="str">
        <f aca="false">Scoring!CQ335</f>
        <v/>
      </c>
      <c r="E328" s="7" t="str">
        <f aca="false">Scoring!BR335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Scoring!CS335</f>
        <v/>
      </c>
      <c r="I328" s="189" t="str">
        <f aca="false">Scoring!CR335</f>
        <v/>
      </c>
    </row>
    <row r="329" customFormat="false" ht="15.75" hidden="false" customHeight="false" outlineLevel="0" collapsed="false">
      <c r="A329" s="7" t="str">
        <f aca="false">Scoring!CU336</f>
        <v/>
      </c>
      <c r="B329" s="7" t="str">
        <f aca="false">Scoring!CT336</f>
        <v/>
      </c>
      <c r="C329" s="7" t="n">
        <f aca="false">Scoring!C336</f>
        <v>0</v>
      </c>
      <c r="D329" s="188" t="str">
        <f aca="false">Scoring!CQ336</f>
        <v/>
      </c>
      <c r="E329" s="7" t="str">
        <f aca="false">Scoring!BR336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Scoring!CS336</f>
        <v/>
      </c>
      <c r="I329" s="189" t="str">
        <f aca="false">Scoring!CR336</f>
        <v/>
      </c>
    </row>
    <row r="330" customFormat="false" ht="15.75" hidden="false" customHeight="false" outlineLevel="0" collapsed="false">
      <c r="A330" s="7" t="str">
        <f aca="false">Scoring!CU337</f>
        <v/>
      </c>
      <c r="B330" s="7" t="str">
        <f aca="false">Scoring!CT337</f>
        <v/>
      </c>
      <c r="C330" s="7" t="n">
        <f aca="false">Scoring!C337</f>
        <v>0</v>
      </c>
      <c r="D330" s="188" t="str">
        <f aca="false">Scoring!CQ337</f>
        <v/>
      </c>
      <c r="E330" s="7" t="str">
        <f aca="false">Scoring!BR337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Scoring!CS337</f>
        <v/>
      </c>
      <c r="I330" s="189" t="str">
        <f aca="false">Scoring!CR337</f>
        <v/>
      </c>
    </row>
    <row r="331" customFormat="false" ht="15.75" hidden="false" customHeight="false" outlineLevel="0" collapsed="false">
      <c r="A331" s="7" t="str">
        <f aca="false">Scoring!CU338</f>
        <v/>
      </c>
      <c r="B331" s="7" t="str">
        <f aca="false">Scoring!CT338</f>
        <v/>
      </c>
      <c r="C331" s="7" t="n">
        <f aca="false">Scoring!C338</f>
        <v>0</v>
      </c>
      <c r="D331" s="188" t="str">
        <f aca="false">Scoring!CQ338</f>
        <v/>
      </c>
      <c r="E331" s="7" t="str">
        <f aca="false">Scoring!BR338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Scoring!CS338</f>
        <v/>
      </c>
      <c r="I331" s="189" t="str">
        <f aca="false">Scoring!CR338</f>
        <v/>
      </c>
    </row>
    <row r="332" customFormat="false" ht="15.75" hidden="false" customHeight="false" outlineLevel="0" collapsed="false">
      <c r="A332" s="7" t="str">
        <f aca="false">Scoring!CU339</f>
        <v/>
      </c>
      <c r="B332" s="7" t="str">
        <f aca="false">Scoring!CT339</f>
        <v/>
      </c>
      <c r="C332" s="7" t="n">
        <f aca="false">Scoring!C339</f>
        <v>0</v>
      </c>
      <c r="D332" s="188" t="str">
        <f aca="false">Scoring!CQ339</f>
        <v/>
      </c>
      <c r="E332" s="7" t="str">
        <f aca="false">Scoring!BR339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Scoring!CS339</f>
        <v/>
      </c>
      <c r="I332" s="189" t="str">
        <f aca="false">Scoring!CR339</f>
        <v/>
      </c>
    </row>
    <row r="333" customFormat="false" ht="15.75" hidden="false" customHeight="false" outlineLevel="0" collapsed="false">
      <c r="A333" s="7" t="str">
        <f aca="false">Scoring!CU340</f>
        <v/>
      </c>
      <c r="B333" s="7" t="str">
        <f aca="false">Scoring!CT340</f>
        <v/>
      </c>
      <c r="C333" s="7" t="n">
        <f aca="false">Scoring!C340</f>
        <v>0</v>
      </c>
      <c r="D333" s="188" t="str">
        <f aca="false">Scoring!CQ340</f>
        <v/>
      </c>
      <c r="E333" s="7" t="str">
        <f aca="false">Scoring!BR340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Scoring!CS340</f>
        <v/>
      </c>
      <c r="I333" s="189" t="str">
        <f aca="false">Scoring!CR340</f>
        <v/>
      </c>
    </row>
    <row r="334" customFormat="false" ht="15.75" hidden="false" customHeight="false" outlineLevel="0" collapsed="false">
      <c r="A334" s="7" t="str">
        <f aca="false">Scoring!CU341</f>
        <v/>
      </c>
      <c r="B334" s="7" t="str">
        <f aca="false">Scoring!CT341</f>
        <v/>
      </c>
      <c r="C334" s="7" t="n">
        <f aca="false">Scoring!C341</f>
        <v>0</v>
      </c>
      <c r="D334" s="188" t="str">
        <f aca="false">Scoring!CQ341</f>
        <v/>
      </c>
      <c r="E334" s="7" t="str">
        <f aca="false">Scoring!BR341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Scoring!CS341</f>
        <v/>
      </c>
      <c r="I334" s="189" t="str">
        <f aca="false">Scoring!CR341</f>
        <v/>
      </c>
    </row>
    <row r="335" customFormat="false" ht="15.75" hidden="false" customHeight="false" outlineLevel="0" collapsed="false">
      <c r="A335" s="7" t="str">
        <f aca="false">Scoring!CU342</f>
        <v/>
      </c>
      <c r="B335" s="7" t="str">
        <f aca="false">Scoring!CT342</f>
        <v/>
      </c>
      <c r="C335" s="7" t="n">
        <f aca="false">Scoring!C342</f>
        <v>0</v>
      </c>
      <c r="D335" s="188" t="str">
        <f aca="false">Scoring!CQ342</f>
        <v/>
      </c>
      <c r="E335" s="7" t="str">
        <f aca="false">Scoring!BR342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Scoring!CS342</f>
        <v/>
      </c>
      <c r="I335" s="189" t="str">
        <f aca="false">Scoring!CR342</f>
        <v/>
      </c>
    </row>
    <row r="336" customFormat="false" ht="15.75" hidden="false" customHeight="false" outlineLevel="0" collapsed="false">
      <c r="A336" s="7" t="str">
        <f aca="false">Scoring!CU343</f>
        <v/>
      </c>
      <c r="B336" s="7" t="str">
        <f aca="false">Scoring!CT343</f>
        <v/>
      </c>
      <c r="C336" s="7" t="n">
        <f aca="false">Scoring!C343</f>
        <v>0</v>
      </c>
      <c r="D336" s="188" t="str">
        <f aca="false">Scoring!CQ343</f>
        <v/>
      </c>
      <c r="E336" s="7" t="str">
        <f aca="false">Scoring!BR343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Scoring!CS343</f>
        <v/>
      </c>
      <c r="I336" s="189" t="str">
        <f aca="false">Scoring!CR343</f>
        <v/>
      </c>
    </row>
    <row r="337" customFormat="false" ht="15.75" hidden="false" customHeight="false" outlineLevel="0" collapsed="false">
      <c r="A337" s="7" t="str">
        <f aca="false">Scoring!CU344</f>
        <v/>
      </c>
      <c r="B337" s="7" t="str">
        <f aca="false">Scoring!CT344</f>
        <v/>
      </c>
      <c r="C337" s="7" t="n">
        <f aca="false">Scoring!C344</f>
        <v>0</v>
      </c>
      <c r="D337" s="188" t="str">
        <f aca="false">Scoring!CQ344</f>
        <v/>
      </c>
      <c r="E337" s="7" t="str">
        <f aca="false">Scoring!BR344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Scoring!CS344</f>
        <v/>
      </c>
      <c r="I337" s="189" t="str">
        <f aca="false">Scoring!CR344</f>
        <v/>
      </c>
    </row>
    <row r="338" customFormat="false" ht="15.75" hidden="false" customHeight="false" outlineLevel="0" collapsed="false">
      <c r="A338" s="7" t="str">
        <f aca="false">Scoring!CU345</f>
        <v/>
      </c>
      <c r="B338" s="7" t="str">
        <f aca="false">Scoring!CT345</f>
        <v/>
      </c>
      <c r="C338" s="7" t="n">
        <f aca="false">Scoring!C345</f>
        <v>0</v>
      </c>
      <c r="D338" s="188" t="str">
        <f aca="false">Scoring!CQ345</f>
        <v/>
      </c>
      <c r="E338" s="7" t="str">
        <f aca="false">Scoring!BR345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Scoring!CS345</f>
        <v/>
      </c>
      <c r="I338" s="189" t="str">
        <f aca="false">Scoring!CR345</f>
        <v/>
      </c>
    </row>
    <row r="339" customFormat="false" ht="15.75" hidden="false" customHeight="false" outlineLevel="0" collapsed="false">
      <c r="A339" s="7" t="str">
        <f aca="false">Scoring!CU346</f>
        <v/>
      </c>
      <c r="B339" s="7" t="str">
        <f aca="false">Scoring!CT346</f>
        <v/>
      </c>
      <c r="C339" s="7" t="n">
        <f aca="false">Scoring!C346</f>
        <v>0</v>
      </c>
      <c r="D339" s="188" t="str">
        <f aca="false">Scoring!CQ346</f>
        <v/>
      </c>
      <c r="E339" s="7" t="str">
        <f aca="false">Scoring!BR346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Scoring!CS346</f>
        <v/>
      </c>
      <c r="I339" s="189" t="str">
        <f aca="false">Scoring!CR346</f>
        <v/>
      </c>
    </row>
    <row r="340" customFormat="false" ht="15.75" hidden="false" customHeight="false" outlineLevel="0" collapsed="false">
      <c r="A340" s="7" t="str">
        <f aca="false">Scoring!CU347</f>
        <v/>
      </c>
      <c r="B340" s="7" t="str">
        <f aca="false">Scoring!CT347</f>
        <v/>
      </c>
      <c r="C340" s="7" t="n">
        <f aca="false">Scoring!C347</f>
        <v>0</v>
      </c>
      <c r="D340" s="188" t="str">
        <f aca="false">Scoring!CQ347</f>
        <v/>
      </c>
      <c r="E340" s="7" t="str">
        <f aca="false">Scoring!BR347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Scoring!CS347</f>
        <v/>
      </c>
      <c r="I340" s="189" t="str">
        <f aca="false">Scoring!CR347</f>
        <v/>
      </c>
    </row>
    <row r="341" customFormat="false" ht="15.75" hidden="false" customHeight="false" outlineLevel="0" collapsed="false">
      <c r="A341" s="7" t="str">
        <f aca="false">Scoring!CU348</f>
        <v/>
      </c>
      <c r="B341" s="7" t="str">
        <f aca="false">Scoring!CT348</f>
        <v/>
      </c>
      <c r="C341" s="7" t="n">
        <f aca="false">Scoring!C348</f>
        <v>0</v>
      </c>
      <c r="D341" s="188" t="str">
        <f aca="false">Scoring!CQ348</f>
        <v/>
      </c>
      <c r="E341" s="7" t="str">
        <f aca="false">Scoring!BR348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Scoring!CS348</f>
        <v/>
      </c>
      <c r="I341" s="189" t="str">
        <f aca="false">Scoring!CR348</f>
        <v/>
      </c>
    </row>
    <row r="342" customFormat="false" ht="15.75" hidden="false" customHeight="false" outlineLevel="0" collapsed="false">
      <c r="A342" s="7" t="str">
        <f aca="false">Scoring!CU349</f>
        <v/>
      </c>
      <c r="B342" s="7" t="str">
        <f aca="false">Scoring!CT349</f>
        <v/>
      </c>
      <c r="C342" s="7" t="n">
        <f aca="false">Scoring!C349</f>
        <v>0</v>
      </c>
      <c r="D342" s="188" t="str">
        <f aca="false">Scoring!CQ349</f>
        <v/>
      </c>
      <c r="E342" s="7" t="str">
        <f aca="false">Scoring!BR349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Scoring!CS349</f>
        <v/>
      </c>
      <c r="I342" s="189" t="str">
        <f aca="false">Scoring!CR349</f>
        <v/>
      </c>
    </row>
    <row r="343" customFormat="false" ht="15.75" hidden="false" customHeight="false" outlineLevel="0" collapsed="false">
      <c r="A343" s="7" t="str">
        <f aca="false">Scoring!CU350</f>
        <v/>
      </c>
      <c r="B343" s="7" t="str">
        <f aca="false">Scoring!CT350</f>
        <v/>
      </c>
      <c r="C343" s="7" t="n">
        <f aca="false">Scoring!C350</f>
        <v>0</v>
      </c>
      <c r="D343" s="188" t="str">
        <f aca="false">Scoring!CQ350</f>
        <v/>
      </c>
      <c r="E343" s="7" t="str">
        <f aca="false">Scoring!BR350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Scoring!CS350</f>
        <v/>
      </c>
      <c r="I343" s="189" t="str">
        <f aca="false">Scoring!CR350</f>
        <v/>
      </c>
    </row>
    <row r="344" customFormat="false" ht="15.75" hidden="false" customHeight="false" outlineLevel="0" collapsed="false">
      <c r="A344" s="7" t="str">
        <f aca="false">Scoring!CU351</f>
        <v/>
      </c>
      <c r="B344" s="7" t="str">
        <f aca="false">Scoring!CT351</f>
        <v/>
      </c>
      <c r="C344" s="7" t="n">
        <f aca="false">Scoring!C351</f>
        <v>0</v>
      </c>
      <c r="D344" s="188" t="str">
        <f aca="false">Scoring!CQ351</f>
        <v/>
      </c>
      <c r="E344" s="7" t="str">
        <f aca="false">Scoring!BR351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Scoring!CS351</f>
        <v/>
      </c>
      <c r="I344" s="189" t="str">
        <f aca="false">Scoring!CR351</f>
        <v/>
      </c>
    </row>
    <row r="345" customFormat="false" ht="15.75" hidden="false" customHeight="false" outlineLevel="0" collapsed="false">
      <c r="A345" s="7" t="str">
        <f aca="false">Scoring!CU352</f>
        <v/>
      </c>
      <c r="B345" s="7" t="str">
        <f aca="false">Scoring!CT352</f>
        <v/>
      </c>
      <c r="C345" s="7" t="n">
        <f aca="false">Scoring!C352</f>
        <v>0</v>
      </c>
      <c r="D345" s="188" t="str">
        <f aca="false">Scoring!CQ352</f>
        <v/>
      </c>
      <c r="E345" s="7" t="str">
        <f aca="false">Scoring!BR352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Scoring!CS352</f>
        <v/>
      </c>
      <c r="I345" s="189" t="str">
        <f aca="false">Scoring!CR352</f>
        <v/>
      </c>
    </row>
    <row r="346" customFormat="false" ht="15.75" hidden="false" customHeight="false" outlineLevel="0" collapsed="false">
      <c r="A346" s="7" t="str">
        <f aca="false">Scoring!CU353</f>
        <v/>
      </c>
      <c r="B346" s="7" t="str">
        <f aca="false">Scoring!CT353</f>
        <v/>
      </c>
      <c r="C346" s="7" t="n">
        <f aca="false">Scoring!C353</f>
        <v>0</v>
      </c>
      <c r="D346" s="188" t="str">
        <f aca="false">Scoring!CQ353</f>
        <v/>
      </c>
      <c r="E346" s="7" t="str">
        <f aca="false">Scoring!BR353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Scoring!CS353</f>
        <v/>
      </c>
      <c r="I346" s="189" t="str">
        <f aca="false">Scoring!CR353</f>
        <v/>
      </c>
    </row>
    <row r="347" customFormat="false" ht="15.75" hidden="false" customHeight="false" outlineLevel="0" collapsed="false">
      <c r="A347" s="7" t="str">
        <f aca="false">Scoring!CU354</f>
        <v/>
      </c>
      <c r="B347" s="7" t="str">
        <f aca="false">Scoring!CT354</f>
        <v/>
      </c>
      <c r="C347" s="7" t="n">
        <f aca="false">Scoring!C354</f>
        <v>0</v>
      </c>
      <c r="D347" s="188" t="str">
        <f aca="false">Scoring!CQ354</f>
        <v/>
      </c>
      <c r="E347" s="7" t="str">
        <f aca="false">Scoring!BR354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Scoring!CS354</f>
        <v/>
      </c>
      <c r="I347" s="189" t="str">
        <f aca="false">Scoring!CR354</f>
        <v/>
      </c>
    </row>
    <row r="348" customFormat="false" ht="15.75" hidden="false" customHeight="false" outlineLevel="0" collapsed="false">
      <c r="A348" s="7" t="str">
        <f aca="false">Scoring!CU355</f>
        <v/>
      </c>
      <c r="B348" s="7" t="str">
        <f aca="false">Scoring!CT355</f>
        <v/>
      </c>
      <c r="C348" s="7" t="n">
        <f aca="false">Scoring!C355</f>
        <v>0</v>
      </c>
      <c r="D348" s="188" t="str">
        <f aca="false">Scoring!CQ355</f>
        <v/>
      </c>
      <c r="E348" s="7" t="str">
        <f aca="false">Scoring!BR355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Scoring!CS355</f>
        <v/>
      </c>
      <c r="I348" s="189" t="str">
        <f aca="false">Scoring!CR355</f>
        <v/>
      </c>
    </row>
    <row r="349" customFormat="false" ht="15.75" hidden="false" customHeight="false" outlineLevel="0" collapsed="false">
      <c r="A349" s="7" t="str">
        <f aca="false">Scoring!CU356</f>
        <v/>
      </c>
      <c r="B349" s="7" t="str">
        <f aca="false">Scoring!CT356</f>
        <v/>
      </c>
      <c r="C349" s="7" t="n">
        <f aca="false">Scoring!C356</f>
        <v>0</v>
      </c>
      <c r="D349" s="188" t="str">
        <f aca="false">Scoring!CQ356</f>
        <v/>
      </c>
      <c r="E349" s="7" t="str">
        <f aca="false">Scoring!BR356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Scoring!CS356</f>
        <v/>
      </c>
      <c r="I349" s="189" t="str">
        <f aca="false">Scoring!CR356</f>
        <v/>
      </c>
    </row>
    <row r="350" customFormat="false" ht="15.75" hidden="false" customHeight="false" outlineLevel="0" collapsed="false">
      <c r="A350" s="7" t="str">
        <f aca="false">Scoring!CU357</f>
        <v/>
      </c>
      <c r="B350" s="7" t="str">
        <f aca="false">Scoring!CT357</f>
        <v/>
      </c>
      <c r="C350" s="7" t="n">
        <f aca="false">Scoring!C357</f>
        <v>0</v>
      </c>
      <c r="D350" s="188" t="str">
        <f aca="false">Scoring!CQ357</f>
        <v/>
      </c>
      <c r="E350" s="7" t="str">
        <f aca="false">Scoring!BR357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Scoring!CS357</f>
        <v/>
      </c>
      <c r="I350" s="189" t="str">
        <f aca="false">Scoring!CR357</f>
        <v/>
      </c>
    </row>
    <row r="351" customFormat="false" ht="15.75" hidden="false" customHeight="false" outlineLevel="0" collapsed="false">
      <c r="A351" s="7" t="str">
        <f aca="false">Scoring!CU358</f>
        <v/>
      </c>
      <c r="B351" s="7" t="str">
        <f aca="false">Scoring!CT358</f>
        <v/>
      </c>
      <c r="C351" s="7" t="n">
        <f aca="false">Scoring!C358</f>
        <v>0</v>
      </c>
      <c r="D351" s="188" t="str">
        <f aca="false">Scoring!CQ358</f>
        <v/>
      </c>
      <c r="E351" s="7" t="str">
        <f aca="false">Scoring!BR358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Scoring!CS358</f>
        <v/>
      </c>
      <c r="I351" s="189" t="str">
        <f aca="false">Scoring!CR358</f>
        <v/>
      </c>
    </row>
    <row r="352" customFormat="false" ht="15.75" hidden="false" customHeight="false" outlineLevel="0" collapsed="false">
      <c r="A352" s="7" t="str">
        <f aca="false">Scoring!CU359</f>
        <v/>
      </c>
      <c r="B352" s="7" t="str">
        <f aca="false">Scoring!CT359</f>
        <v/>
      </c>
      <c r="C352" s="7" t="n">
        <f aca="false">Scoring!C359</f>
        <v>0</v>
      </c>
      <c r="D352" s="188" t="str">
        <f aca="false">Scoring!CQ359</f>
        <v/>
      </c>
      <c r="E352" s="7" t="str">
        <f aca="false">Scoring!BR359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Scoring!CS359</f>
        <v/>
      </c>
      <c r="I352" s="189" t="str">
        <f aca="false">Scoring!CR359</f>
        <v/>
      </c>
    </row>
    <row r="353" customFormat="false" ht="15.75" hidden="false" customHeight="false" outlineLevel="0" collapsed="false">
      <c r="A353" s="7" t="str">
        <f aca="false">Scoring!CU360</f>
        <v/>
      </c>
      <c r="B353" s="7" t="str">
        <f aca="false">Scoring!CT360</f>
        <v/>
      </c>
      <c r="C353" s="7" t="n">
        <f aca="false">Scoring!C360</f>
        <v>0</v>
      </c>
      <c r="D353" s="188" t="str">
        <f aca="false">Scoring!CQ360</f>
        <v/>
      </c>
      <c r="E353" s="7" t="str">
        <f aca="false">Scoring!BR360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Scoring!CS360</f>
        <v/>
      </c>
      <c r="I353" s="189" t="str">
        <f aca="false">Scoring!CR360</f>
        <v/>
      </c>
    </row>
    <row r="354" customFormat="false" ht="15.75" hidden="false" customHeight="false" outlineLevel="0" collapsed="false">
      <c r="A354" s="7" t="str">
        <f aca="false">Scoring!CU361</f>
        <v/>
      </c>
      <c r="B354" s="7" t="str">
        <f aca="false">Scoring!CT361</f>
        <v/>
      </c>
      <c r="C354" s="7" t="n">
        <f aca="false">Scoring!C361</f>
        <v>0</v>
      </c>
      <c r="D354" s="188" t="str">
        <f aca="false">Scoring!CQ361</f>
        <v/>
      </c>
      <c r="E354" s="7" t="str">
        <f aca="false">Scoring!BR361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Scoring!CS361</f>
        <v/>
      </c>
      <c r="I354" s="189" t="str">
        <f aca="false">Scoring!CR361</f>
        <v/>
      </c>
    </row>
    <row r="355" customFormat="false" ht="15.75" hidden="false" customHeight="false" outlineLevel="0" collapsed="false">
      <c r="A355" s="7" t="str">
        <f aca="false">Scoring!CU362</f>
        <v/>
      </c>
      <c r="B355" s="7" t="str">
        <f aca="false">Scoring!CT362</f>
        <v/>
      </c>
      <c r="C355" s="7" t="n">
        <f aca="false">Scoring!C362</f>
        <v>0</v>
      </c>
      <c r="D355" s="188" t="str">
        <f aca="false">Scoring!CQ362</f>
        <v/>
      </c>
      <c r="E355" s="7" t="str">
        <f aca="false">Scoring!BR362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Scoring!CS362</f>
        <v/>
      </c>
      <c r="I355" s="189" t="str">
        <f aca="false">Scoring!CR362</f>
        <v/>
      </c>
    </row>
    <row r="356" customFormat="false" ht="15.75" hidden="false" customHeight="false" outlineLevel="0" collapsed="false">
      <c r="A356" s="7" t="str">
        <f aca="false">Scoring!CU363</f>
        <v/>
      </c>
      <c r="B356" s="7" t="str">
        <f aca="false">Scoring!CT363</f>
        <v/>
      </c>
      <c r="C356" s="7" t="n">
        <f aca="false">Scoring!C363</f>
        <v>0</v>
      </c>
      <c r="D356" s="188" t="str">
        <f aca="false">Scoring!CQ363</f>
        <v/>
      </c>
      <c r="E356" s="7" t="str">
        <f aca="false">Scoring!BR363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Scoring!CS363</f>
        <v/>
      </c>
      <c r="I356" s="189" t="str">
        <f aca="false">Scoring!CR363</f>
        <v/>
      </c>
    </row>
    <row r="357" customFormat="false" ht="15.75" hidden="false" customHeight="false" outlineLevel="0" collapsed="false">
      <c r="A357" s="7" t="str">
        <f aca="false">Scoring!CU364</f>
        <v/>
      </c>
      <c r="B357" s="7" t="str">
        <f aca="false">Scoring!CT364</f>
        <v/>
      </c>
      <c r="C357" s="7" t="n">
        <f aca="false">Scoring!C364</f>
        <v>0</v>
      </c>
      <c r="D357" s="188" t="str">
        <f aca="false">Scoring!CQ364</f>
        <v/>
      </c>
      <c r="E357" s="7" t="str">
        <f aca="false">Scoring!BR364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Scoring!CS364</f>
        <v/>
      </c>
      <c r="I357" s="189" t="str">
        <f aca="false">Scoring!CR364</f>
        <v/>
      </c>
    </row>
    <row r="358" customFormat="false" ht="15.75" hidden="false" customHeight="false" outlineLevel="0" collapsed="false">
      <c r="A358" s="7" t="str">
        <f aca="false">Scoring!CU365</f>
        <v/>
      </c>
      <c r="B358" s="7" t="str">
        <f aca="false">Scoring!CT365</f>
        <v/>
      </c>
      <c r="C358" s="7" t="n">
        <f aca="false">Scoring!C365</f>
        <v>0</v>
      </c>
      <c r="D358" s="188" t="str">
        <f aca="false">Scoring!CQ365</f>
        <v/>
      </c>
      <c r="E358" s="7" t="str">
        <f aca="false">Scoring!BR365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Scoring!CS365</f>
        <v/>
      </c>
      <c r="I358" s="189" t="str">
        <f aca="false">Scoring!CR365</f>
        <v/>
      </c>
    </row>
    <row r="359" customFormat="false" ht="15.75" hidden="false" customHeight="false" outlineLevel="0" collapsed="false">
      <c r="A359" s="7" t="str">
        <f aca="false">Scoring!CU366</f>
        <v/>
      </c>
      <c r="B359" s="7" t="str">
        <f aca="false">Scoring!CT366</f>
        <v/>
      </c>
      <c r="C359" s="7" t="n">
        <f aca="false">Scoring!C366</f>
        <v>0</v>
      </c>
      <c r="D359" s="188" t="str">
        <f aca="false">Scoring!CQ366</f>
        <v/>
      </c>
      <c r="E359" s="7" t="str">
        <f aca="false">Scoring!BR366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Scoring!CS366</f>
        <v/>
      </c>
      <c r="I359" s="189" t="str">
        <f aca="false">Scoring!CR366</f>
        <v/>
      </c>
    </row>
    <row r="360" customFormat="false" ht="15.75" hidden="false" customHeight="false" outlineLevel="0" collapsed="false">
      <c r="A360" s="7" t="str">
        <f aca="false">Scoring!CU367</f>
        <v/>
      </c>
      <c r="B360" s="7" t="str">
        <f aca="false">Scoring!CT367</f>
        <v/>
      </c>
      <c r="C360" s="7" t="n">
        <f aca="false">Scoring!C367</f>
        <v>0</v>
      </c>
      <c r="D360" s="188" t="str">
        <f aca="false">Scoring!CQ367</f>
        <v/>
      </c>
      <c r="E360" s="7" t="str">
        <f aca="false">Scoring!BR367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Scoring!CS367</f>
        <v/>
      </c>
      <c r="I360" s="189" t="str">
        <f aca="false">Scoring!CR367</f>
        <v/>
      </c>
    </row>
    <row r="361" customFormat="false" ht="15.75" hidden="false" customHeight="false" outlineLevel="0" collapsed="false">
      <c r="A361" s="7" t="str">
        <f aca="false">Scoring!CU368</f>
        <v/>
      </c>
      <c r="B361" s="7" t="str">
        <f aca="false">Scoring!CT368</f>
        <v/>
      </c>
      <c r="C361" s="7" t="n">
        <f aca="false">Scoring!C368</f>
        <v>0</v>
      </c>
      <c r="D361" s="188" t="str">
        <f aca="false">Scoring!CQ368</f>
        <v/>
      </c>
      <c r="E361" s="7" t="str">
        <f aca="false">Scoring!BR368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Scoring!CS368</f>
        <v/>
      </c>
      <c r="I361" s="189" t="str">
        <f aca="false">Scoring!CR368</f>
        <v/>
      </c>
    </row>
    <row r="362" customFormat="false" ht="15.75" hidden="false" customHeight="false" outlineLevel="0" collapsed="false">
      <c r="A362" s="7" t="str">
        <f aca="false">Scoring!CU369</f>
        <v/>
      </c>
      <c r="B362" s="7" t="str">
        <f aca="false">Scoring!CT369</f>
        <v/>
      </c>
      <c r="C362" s="7" t="n">
        <f aca="false">Scoring!C369</f>
        <v>0</v>
      </c>
      <c r="D362" s="188" t="str">
        <f aca="false">Scoring!CQ369</f>
        <v/>
      </c>
      <c r="E362" s="7" t="str">
        <f aca="false">Scoring!BR369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Scoring!CS369</f>
        <v/>
      </c>
      <c r="I362" s="189" t="str">
        <f aca="false">Scoring!CR369</f>
        <v/>
      </c>
    </row>
    <row r="363" customFormat="false" ht="15.75" hidden="false" customHeight="false" outlineLevel="0" collapsed="false">
      <c r="A363" s="7" t="str">
        <f aca="false">Scoring!CU370</f>
        <v/>
      </c>
      <c r="B363" s="7" t="str">
        <f aca="false">Scoring!CT370</f>
        <v/>
      </c>
      <c r="C363" s="7" t="n">
        <f aca="false">Scoring!C370</f>
        <v>0</v>
      </c>
      <c r="D363" s="188" t="str">
        <f aca="false">Scoring!CQ370</f>
        <v/>
      </c>
      <c r="E363" s="7" t="str">
        <f aca="false">Scoring!BR370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Scoring!CS370</f>
        <v/>
      </c>
      <c r="I363" s="189" t="str">
        <f aca="false">Scoring!CR370</f>
        <v/>
      </c>
    </row>
    <row r="364" customFormat="false" ht="15.75" hidden="false" customHeight="false" outlineLevel="0" collapsed="false">
      <c r="A364" s="7" t="str">
        <f aca="false">Scoring!CU371</f>
        <v/>
      </c>
      <c r="B364" s="7" t="str">
        <f aca="false">Scoring!CT371</f>
        <v/>
      </c>
      <c r="C364" s="7" t="n">
        <f aca="false">Scoring!C371</f>
        <v>0</v>
      </c>
      <c r="D364" s="188" t="str">
        <f aca="false">Scoring!CQ371</f>
        <v/>
      </c>
      <c r="E364" s="7" t="str">
        <f aca="false">Scoring!BR371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Scoring!CS371</f>
        <v/>
      </c>
      <c r="I364" s="189" t="str">
        <f aca="false">Scoring!CR371</f>
        <v/>
      </c>
    </row>
    <row r="365" customFormat="false" ht="15.75" hidden="false" customHeight="false" outlineLevel="0" collapsed="false">
      <c r="A365" s="7" t="str">
        <f aca="false">Scoring!CU372</f>
        <v/>
      </c>
      <c r="B365" s="7" t="str">
        <f aca="false">Scoring!CT372</f>
        <v/>
      </c>
      <c r="C365" s="7" t="n">
        <f aca="false">Scoring!C372</f>
        <v>0</v>
      </c>
      <c r="D365" s="188" t="str">
        <f aca="false">Scoring!CQ372</f>
        <v/>
      </c>
      <c r="E365" s="7" t="str">
        <f aca="false">Scoring!BR372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Scoring!CS372</f>
        <v/>
      </c>
      <c r="I365" s="189" t="str">
        <f aca="false">Scoring!CR372</f>
        <v/>
      </c>
    </row>
    <row r="366" customFormat="false" ht="15.75" hidden="false" customHeight="false" outlineLevel="0" collapsed="false">
      <c r="A366" s="7" t="str">
        <f aca="false">Scoring!CU373</f>
        <v/>
      </c>
      <c r="B366" s="7" t="str">
        <f aca="false">Scoring!CT373</f>
        <v/>
      </c>
      <c r="C366" s="7" t="n">
        <f aca="false">Scoring!C373</f>
        <v>0</v>
      </c>
      <c r="D366" s="188" t="str">
        <f aca="false">Scoring!CQ373</f>
        <v/>
      </c>
      <c r="E366" s="7" t="str">
        <f aca="false">Scoring!BR373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Scoring!CS373</f>
        <v/>
      </c>
      <c r="I366" s="189" t="str">
        <f aca="false">Scoring!CR373</f>
        <v/>
      </c>
    </row>
    <row r="367" customFormat="false" ht="15.75" hidden="false" customHeight="false" outlineLevel="0" collapsed="false">
      <c r="A367" s="7" t="str">
        <f aca="false">Scoring!CU374</f>
        <v/>
      </c>
      <c r="B367" s="7" t="str">
        <f aca="false">Scoring!CT374</f>
        <v/>
      </c>
      <c r="C367" s="7" t="n">
        <f aca="false">Scoring!C374</f>
        <v>0</v>
      </c>
      <c r="D367" s="188" t="str">
        <f aca="false">Scoring!CQ374</f>
        <v/>
      </c>
      <c r="E367" s="7" t="str">
        <f aca="false">Scoring!BR374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Scoring!CS374</f>
        <v/>
      </c>
      <c r="I367" s="189" t="str">
        <f aca="false">Scoring!CR374</f>
        <v/>
      </c>
    </row>
    <row r="368" customFormat="false" ht="15.75" hidden="false" customHeight="false" outlineLevel="0" collapsed="false">
      <c r="A368" s="7" t="str">
        <f aca="false">Scoring!CU375</f>
        <v/>
      </c>
      <c r="B368" s="7" t="str">
        <f aca="false">Scoring!CT375</f>
        <v/>
      </c>
      <c r="C368" s="7" t="n">
        <f aca="false">Scoring!C375</f>
        <v>0</v>
      </c>
      <c r="D368" s="188" t="str">
        <f aca="false">Scoring!CQ375</f>
        <v/>
      </c>
      <c r="E368" s="7" t="str">
        <f aca="false">Scoring!BR375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Scoring!CS375</f>
        <v/>
      </c>
      <c r="I368" s="189" t="str">
        <f aca="false">Scoring!CR375</f>
        <v/>
      </c>
    </row>
    <row r="369" customFormat="false" ht="15.75" hidden="false" customHeight="false" outlineLevel="0" collapsed="false">
      <c r="A369" s="7" t="str">
        <f aca="false">Scoring!CU376</f>
        <v/>
      </c>
      <c r="B369" s="7" t="str">
        <f aca="false">Scoring!CT376</f>
        <v/>
      </c>
      <c r="C369" s="7" t="n">
        <f aca="false">Scoring!C376</f>
        <v>0</v>
      </c>
      <c r="D369" s="188" t="str">
        <f aca="false">Scoring!CQ376</f>
        <v/>
      </c>
      <c r="E369" s="7" t="str">
        <f aca="false">Scoring!BR376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Scoring!CS376</f>
        <v/>
      </c>
      <c r="I369" s="189" t="str">
        <f aca="false">Scoring!CR376</f>
        <v/>
      </c>
    </row>
    <row r="370" customFormat="false" ht="15.75" hidden="false" customHeight="false" outlineLevel="0" collapsed="false">
      <c r="A370" s="7" t="str">
        <f aca="false">Scoring!CU377</f>
        <v/>
      </c>
      <c r="B370" s="7" t="str">
        <f aca="false">Scoring!CT377</f>
        <v/>
      </c>
      <c r="C370" s="7" t="n">
        <f aca="false">Scoring!C377</f>
        <v>0</v>
      </c>
      <c r="D370" s="188" t="str">
        <f aca="false">Scoring!CQ377</f>
        <v/>
      </c>
      <c r="E370" s="7" t="str">
        <f aca="false">Scoring!BR377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Scoring!CS377</f>
        <v/>
      </c>
      <c r="I370" s="189" t="str">
        <f aca="false">Scoring!CR377</f>
        <v/>
      </c>
    </row>
    <row r="371" customFormat="false" ht="15.75" hidden="false" customHeight="false" outlineLevel="0" collapsed="false">
      <c r="A371" s="7" t="str">
        <f aca="false">Scoring!CU378</f>
        <v/>
      </c>
      <c r="B371" s="7" t="str">
        <f aca="false">Scoring!CT378</f>
        <v/>
      </c>
      <c r="C371" s="7" t="n">
        <f aca="false">Scoring!C378</f>
        <v>0</v>
      </c>
      <c r="D371" s="188" t="str">
        <f aca="false">Scoring!CQ378</f>
        <v/>
      </c>
      <c r="E371" s="7" t="str">
        <f aca="false">Scoring!BR378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Scoring!CS378</f>
        <v/>
      </c>
      <c r="I371" s="189" t="str">
        <f aca="false">Scoring!CR378</f>
        <v/>
      </c>
    </row>
    <row r="372" customFormat="false" ht="15.75" hidden="false" customHeight="false" outlineLevel="0" collapsed="false">
      <c r="A372" s="7" t="str">
        <f aca="false">Scoring!CU379</f>
        <v/>
      </c>
      <c r="B372" s="7" t="str">
        <f aca="false">Scoring!CT379</f>
        <v/>
      </c>
      <c r="C372" s="7" t="n">
        <f aca="false">Scoring!C379</f>
        <v>0</v>
      </c>
      <c r="D372" s="188" t="str">
        <f aca="false">Scoring!CQ379</f>
        <v/>
      </c>
      <c r="E372" s="7" t="str">
        <f aca="false">Scoring!BR379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Scoring!CS379</f>
        <v/>
      </c>
      <c r="I372" s="189" t="str">
        <f aca="false">Scoring!CR379</f>
        <v/>
      </c>
    </row>
    <row r="373" customFormat="false" ht="15.75" hidden="false" customHeight="false" outlineLevel="0" collapsed="false">
      <c r="A373" s="7" t="str">
        <f aca="false">Scoring!CU380</f>
        <v/>
      </c>
      <c r="B373" s="7" t="str">
        <f aca="false">Scoring!CT380</f>
        <v/>
      </c>
      <c r="C373" s="7" t="n">
        <f aca="false">Scoring!C380</f>
        <v>0</v>
      </c>
      <c r="D373" s="188" t="str">
        <f aca="false">Scoring!CQ380</f>
        <v/>
      </c>
      <c r="E373" s="7" t="str">
        <f aca="false">Scoring!BR380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Scoring!CS380</f>
        <v/>
      </c>
      <c r="I373" s="189" t="str">
        <f aca="false">Scoring!CR380</f>
        <v/>
      </c>
    </row>
    <row r="374" customFormat="false" ht="15.75" hidden="false" customHeight="false" outlineLevel="0" collapsed="false">
      <c r="A374" s="7" t="str">
        <f aca="false">Scoring!CU381</f>
        <v/>
      </c>
      <c r="B374" s="7" t="str">
        <f aca="false">Scoring!CT381</f>
        <v/>
      </c>
      <c r="C374" s="7" t="n">
        <f aca="false">Scoring!C381</f>
        <v>0</v>
      </c>
      <c r="D374" s="188" t="str">
        <f aca="false">Scoring!CQ381</f>
        <v/>
      </c>
      <c r="E374" s="7" t="str">
        <f aca="false">Scoring!BR381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Scoring!CS381</f>
        <v/>
      </c>
      <c r="I374" s="189" t="str">
        <f aca="false">Scoring!CR381</f>
        <v/>
      </c>
    </row>
    <row r="375" customFormat="false" ht="15.75" hidden="false" customHeight="false" outlineLevel="0" collapsed="false">
      <c r="A375" s="7" t="str">
        <f aca="false">Scoring!CU382</f>
        <v/>
      </c>
      <c r="B375" s="7" t="str">
        <f aca="false">Scoring!CT382</f>
        <v/>
      </c>
      <c r="C375" s="7" t="n">
        <f aca="false">Scoring!C382</f>
        <v>0</v>
      </c>
      <c r="D375" s="188" t="str">
        <f aca="false">Scoring!CQ382</f>
        <v/>
      </c>
      <c r="E375" s="7" t="str">
        <f aca="false">Scoring!BR382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Scoring!CS382</f>
        <v/>
      </c>
      <c r="I375" s="189" t="str">
        <f aca="false">Scoring!CR382</f>
        <v/>
      </c>
    </row>
    <row r="376" customFormat="false" ht="15.75" hidden="false" customHeight="false" outlineLevel="0" collapsed="false">
      <c r="A376" s="7" t="str">
        <f aca="false">Scoring!CU383</f>
        <v/>
      </c>
      <c r="B376" s="7" t="str">
        <f aca="false">Scoring!CT383</f>
        <v/>
      </c>
      <c r="C376" s="7" t="n">
        <f aca="false">Scoring!C383</f>
        <v>0</v>
      </c>
      <c r="D376" s="188" t="str">
        <f aca="false">Scoring!CQ383</f>
        <v/>
      </c>
      <c r="E376" s="7" t="str">
        <f aca="false">Scoring!BR383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Scoring!CS383</f>
        <v/>
      </c>
      <c r="I376" s="189" t="str">
        <f aca="false">Scoring!CR383</f>
        <v/>
      </c>
    </row>
    <row r="377" customFormat="false" ht="15.75" hidden="false" customHeight="false" outlineLevel="0" collapsed="false">
      <c r="A377" s="7" t="str">
        <f aca="false">Scoring!CU384</f>
        <v/>
      </c>
      <c r="B377" s="7" t="str">
        <f aca="false">Scoring!CT384</f>
        <v/>
      </c>
      <c r="C377" s="7" t="n">
        <f aca="false">Scoring!C384</f>
        <v>0</v>
      </c>
      <c r="D377" s="188" t="str">
        <f aca="false">Scoring!CQ384</f>
        <v/>
      </c>
      <c r="E377" s="7" t="str">
        <f aca="false">Scoring!BR384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Scoring!CS384</f>
        <v/>
      </c>
      <c r="I377" s="189" t="str">
        <f aca="false">Scoring!CR384</f>
        <v/>
      </c>
    </row>
    <row r="378" customFormat="false" ht="15.75" hidden="false" customHeight="false" outlineLevel="0" collapsed="false">
      <c r="A378" s="7" t="str">
        <f aca="false">Scoring!CU385</f>
        <v/>
      </c>
      <c r="B378" s="7" t="str">
        <f aca="false">Scoring!CT385</f>
        <v/>
      </c>
      <c r="C378" s="7" t="n">
        <f aca="false">Scoring!C385</f>
        <v>0</v>
      </c>
      <c r="D378" s="188" t="str">
        <f aca="false">Scoring!CQ385</f>
        <v/>
      </c>
      <c r="E378" s="7" t="str">
        <f aca="false">Scoring!BR385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Scoring!CS385</f>
        <v/>
      </c>
      <c r="I378" s="189" t="str">
        <f aca="false">Scoring!CR385</f>
        <v/>
      </c>
    </row>
    <row r="379" customFormat="false" ht="15.75" hidden="false" customHeight="false" outlineLevel="0" collapsed="false">
      <c r="A379" s="7" t="str">
        <f aca="false">Scoring!CU386</f>
        <v/>
      </c>
      <c r="B379" s="7" t="str">
        <f aca="false">Scoring!CT386</f>
        <v/>
      </c>
      <c r="C379" s="7" t="n">
        <f aca="false">Scoring!C386</f>
        <v>0</v>
      </c>
      <c r="D379" s="188" t="str">
        <f aca="false">Scoring!CQ386</f>
        <v/>
      </c>
      <c r="E379" s="7" t="str">
        <f aca="false">Scoring!BR386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Scoring!CS386</f>
        <v/>
      </c>
      <c r="I379" s="189" t="str">
        <f aca="false">Scoring!CR386</f>
        <v/>
      </c>
    </row>
    <row r="380" customFormat="false" ht="15.75" hidden="false" customHeight="false" outlineLevel="0" collapsed="false">
      <c r="A380" s="7" t="str">
        <f aca="false">Scoring!CU387</f>
        <v/>
      </c>
      <c r="B380" s="7" t="str">
        <f aca="false">Scoring!CT387</f>
        <v/>
      </c>
      <c r="C380" s="7" t="n">
        <f aca="false">Scoring!C387</f>
        <v>0</v>
      </c>
      <c r="D380" s="188" t="str">
        <f aca="false">Scoring!CQ387</f>
        <v/>
      </c>
      <c r="E380" s="7" t="str">
        <f aca="false">Scoring!BR387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Scoring!CS387</f>
        <v/>
      </c>
      <c r="I380" s="189" t="str">
        <f aca="false">Scoring!CR387</f>
        <v/>
      </c>
    </row>
    <row r="381" customFormat="false" ht="15.75" hidden="false" customHeight="false" outlineLevel="0" collapsed="false">
      <c r="A381" s="7" t="str">
        <f aca="false">Scoring!CU388</f>
        <v/>
      </c>
      <c r="B381" s="7" t="str">
        <f aca="false">Scoring!CT388</f>
        <v/>
      </c>
      <c r="C381" s="7" t="n">
        <f aca="false">Scoring!C388</f>
        <v>0</v>
      </c>
      <c r="D381" s="188" t="str">
        <f aca="false">Scoring!CQ388</f>
        <v/>
      </c>
      <c r="E381" s="7" t="str">
        <f aca="false">Scoring!BR388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Scoring!CS388</f>
        <v/>
      </c>
      <c r="I381" s="189" t="str">
        <f aca="false">Scoring!CR388</f>
        <v/>
      </c>
    </row>
    <row r="382" customFormat="false" ht="15.75" hidden="false" customHeight="false" outlineLevel="0" collapsed="false">
      <c r="A382" s="7" t="str">
        <f aca="false">Scoring!CU389</f>
        <v/>
      </c>
      <c r="B382" s="7" t="str">
        <f aca="false">Scoring!CT389</f>
        <v/>
      </c>
      <c r="C382" s="7" t="n">
        <f aca="false">Scoring!C389</f>
        <v>0</v>
      </c>
      <c r="D382" s="188" t="str">
        <f aca="false">Scoring!CQ389</f>
        <v/>
      </c>
      <c r="E382" s="7" t="str">
        <f aca="false">Scoring!BR389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Scoring!CS389</f>
        <v/>
      </c>
      <c r="I382" s="189" t="str">
        <f aca="false">Scoring!CR389</f>
        <v/>
      </c>
    </row>
    <row r="383" customFormat="false" ht="15.75" hidden="false" customHeight="false" outlineLevel="0" collapsed="false">
      <c r="A383" s="7" t="str">
        <f aca="false">Scoring!CU390</f>
        <v/>
      </c>
      <c r="B383" s="7" t="str">
        <f aca="false">Scoring!CT390</f>
        <v/>
      </c>
      <c r="C383" s="7" t="n">
        <f aca="false">Scoring!C390</f>
        <v>0</v>
      </c>
      <c r="D383" s="188" t="str">
        <f aca="false">Scoring!CQ390</f>
        <v/>
      </c>
      <c r="E383" s="7" t="str">
        <f aca="false">Scoring!BR390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Scoring!CS390</f>
        <v/>
      </c>
      <c r="I383" s="189" t="str">
        <f aca="false">Scoring!CR390</f>
        <v/>
      </c>
    </row>
    <row r="384" customFormat="false" ht="15.75" hidden="false" customHeight="false" outlineLevel="0" collapsed="false">
      <c r="A384" s="7" t="str">
        <f aca="false">Scoring!CU391</f>
        <v/>
      </c>
      <c r="B384" s="7" t="str">
        <f aca="false">Scoring!CT391</f>
        <v/>
      </c>
      <c r="C384" s="7" t="n">
        <f aca="false">Scoring!C391</f>
        <v>0</v>
      </c>
      <c r="D384" s="188" t="str">
        <f aca="false">Scoring!CQ391</f>
        <v/>
      </c>
      <c r="E384" s="7" t="str">
        <f aca="false">Scoring!BR391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Scoring!CS391</f>
        <v/>
      </c>
      <c r="I384" s="189" t="str">
        <f aca="false">Scoring!CR391</f>
        <v/>
      </c>
    </row>
    <row r="385" customFormat="false" ht="15.75" hidden="false" customHeight="false" outlineLevel="0" collapsed="false">
      <c r="A385" s="7" t="str">
        <f aca="false">Scoring!CU392</f>
        <v/>
      </c>
      <c r="B385" s="7" t="str">
        <f aca="false">Scoring!CT392</f>
        <v/>
      </c>
      <c r="C385" s="7" t="n">
        <f aca="false">Scoring!C392</f>
        <v>0</v>
      </c>
      <c r="D385" s="188" t="str">
        <f aca="false">Scoring!CQ392</f>
        <v/>
      </c>
      <c r="E385" s="7" t="str">
        <f aca="false">Scoring!BR392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Scoring!CS392</f>
        <v/>
      </c>
      <c r="I385" s="189" t="str">
        <f aca="false">Scoring!CR392</f>
        <v/>
      </c>
    </row>
    <row r="386" customFormat="false" ht="15.75" hidden="false" customHeight="false" outlineLevel="0" collapsed="false">
      <c r="A386" s="7" t="str">
        <f aca="false">Scoring!CU393</f>
        <v/>
      </c>
      <c r="B386" s="7" t="str">
        <f aca="false">Scoring!CT393</f>
        <v/>
      </c>
      <c r="C386" s="7" t="n">
        <f aca="false">Scoring!C393</f>
        <v>0</v>
      </c>
      <c r="D386" s="188" t="str">
        <f aca="false">Scoring!CQ393</f>
        <v/>
      </c>
      <c r="E386" s="7" t="str">
        <f aca="false">Scoring!BR393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Scoring!CS393</f>
        <v/>
      </c>
      <c r="I386" s="189" t="str">
        <f aca="false">Scoring!CR393</f>
        <v/>
      </c>
    </row>
    <row r="387" customFormat="false" ht="15.75" hidden="false" customHeight="false" outlineLevel="0" collapsed="false">
      <c r="A387" s="7" t="str">
        <f aca="false">Scoring!CU394</f>
        <v/>
      </c>
      <c r="B387" s="7" t="str">
        <f aca="false">Scoring!CT394</f>
        <v/>
      </c>
      <c r="C387" s="7" t="n">
        <f aca="false">Scoring!C394</f>
        <v>0</v>
      </c>
      <c r="D387" s="188" t="str">
        <f aca="false">Scoring!CQ394</f>
        <v/>
      </c>
      <c r="E387" s="7" t="str">
        <f aca="false">Scoring!BR394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Scoring!CS394</f>
        <v/>
      </c>
      <c r="I387" s="189" t="str">
        <f aca="false">Scoring!CR394</f>
        <v/>
      </c>
    </row>
    <row r="388" customFormat="false" ht="15.75" hidden="false" customHeight="false" outlineLevel="0" collapsed="false">
      <c r="A388" s="7" t="str">
        <f aca="false">Scoring!CU395</f>
        <v/>
      </c>
      <c r="B388" s="7" t="str">
        <f aca="false">Scoring!CT395</f>
        <v/>
      </c>
      <c r="C388" s="7" t="n">
        <f aca="false">Scoring!C395</f>
        <v>0</v>
      </c>
      <c r="D388" s="188" t="str">
        <f aca="false">Scoring!CQ395</f>
        <v/>
      </c>
      <c r="E388" s="7" t="str">
        <f aca="false">Scoring!BR395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Scoring!CS395</f>
        <v/>
      </c>
      <c r="I388" s="189" t="str">
        <f aca="false">Scoring!CR395</f>
        <v/>
      </c>
    </row>
    <row r="389" customFormat="false" ht="15.75" hidden="false" customHeight="false" outlineLevel="0" collapsed="false">
      <c r="A389" s="7" t="str">
        <f aca="false">Scoring!CU396</f>
        <v/>
      </c>
      <c r="B389" s="7" t="str">
        <f aca="false">Scoring!CT396</f>
        <v/>
      </c>
      <c r="C389" s="7" t="n">
        <f aca="false">Scoring!C396</f>
        <v>0</v>
      </c>
      <c r="D389" s="188" t="str">
        <f aca="false">Scoring!CQ396</f>
        <v/>
      </c>
      <c r="E389" s="7" t="str">
        <f aca="false">Scoring!BR396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Scoring!CS396</f>
        <v/>
      </c>
      <c r="I389" s="189" t="str">
        <f aca="false">Scoring!CR396</f>
        <v/>
      </c>
    </row>
    <row r="390" customFormat="false" ht="15.75" hidden="false" customHeight="false" outlineLevel="0" collapsed="false">
      <c r="A390" s="7" t="str">
        <f aca="false">Scoring!CU397</f>
        <v/>
      </c>
      <c r="B390" s="7" t="str">
        <f aca="false">Scoring!CT397</f>
        <v/>
      </c>
      <c r="C390" s="7" t="n">
        <f aca="false">Scoring!C397</f>
        <v>0</v>
      </c>
      <c r="D390" s="188" t="str">
        <f aca="false">Scoring!CQ397</f>
        <v/>
      </c>
      <c r="E390" s="7" t="str">
        <f aca="false">Scoring!BR397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Scoring!CS397</f>
        <v/>
      </c>
      <c r="I390" s="189" t="str">
        <f aca="false">Scoring!CR397</f>
        <v/>
      </c>
    </row>
    <row r="391" customFormat="false" ht="15.75" hidden="false" customHeight="false" outlineLevel="0" collapsed="false">
      <c r="A391" s="7" t="str">
        <f aca="false">Scoring!CU398</f>
        <v/>
      </c>
      <c r="B391" s="7" t="str">
        <f aca="false">Scoring!CT398</f>
        <v/>
      </c>
      <c r="C391" s="7" t="n">
        <f aca="false">Scoring!C398</f>
        <v>0</v>
      </c>
      <c r="D391" s="188" t="str">
        <f aca="false">Scoring!CQ398</f>
        <v/>
      </c>
      <c r="E391" s="7" t="str">
        <f aca="false">Scoring!BR398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Scoring!CS398</f>
        <v/>
      </c>
      <c r="I391" s="189" t="str">
        <f aca="false">Scoring!CR398</f>
        <v/>
      </c>
    </row>
    <row r="392" customFormat="false" ht="15.75" hidden="false" customHeight="false" outlineLevel="0" collapsed="false">
      <c r="A392" s="7" t="str">
        <f aca="false">Scoring!CU399</f>
        <v/>
      </c>
      <c r="B392" s="7" t="str">
        <f aca="false">Scoring!CT399</f>
        <v/>
      </c>
      <c r="C392" s="7" t="n">
        <f aca="false">Scoring!C399</f>
        <v>0</v>
      </c>
      <c r="D392" s="188" t="str">
        <f aca="false">Scoring!CQ399</f>
        <v/>
      </c>
      <c r="E392" s="7" t="str">
        <f aca="false">Scoring!BR399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Scoring!CS399</f>
        <v/>
      </c>
      <c r="I392" s="189" t="str">
        <f aca="false">Scoring!CR399</f>
        <v/>
      </c>
    </row>
    <row r="393" customFormat="false" ht="15.75" hidden="false" customHeight="false" outlineLevel="0" collapsed="false">
      <c r="A393" s="7" t="str">
        <f aca="false">Scoring!CU400</f>
        <v/>
      </c>
      <c r="B393" s="7" t="str">
        <f aca="false">Scoring!CT400</f>
        <v/>
      </c>
      <c r="C393" s="7" t="n">
        <f aca="false">Scoring!C400</f>
        <v>0</v>
      </c>
      <c r="D393" s="188" t="str">
        <f aca="false">Scoring!CQ400</f>
        <v/>
      </c>
      <c r="E393" s="7" t="str">
        <f aca="false">Scoring!BR400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Scoring!CS400</f>
        <v/>
      </c>
      <c r="I393" s="189" t="str">
        <f aca="false">Scoring!CR400</f>
        <v/>
      </c>
    </row>
    <row r="394" customFormat="false" ht="15.75" hidden="false" customHeight="false" outlineLevel="0" collapsed="false">
      <c r="A394" s="7" t="str">
        <f aca="false">Scoring!CU401</f>
        <v/>
      </c>
      <c r="B394" s="7" t="str">
        <f aca="false">Scoring!CT401</f>
        <v/>
      </c>
      <c r="C394" s="7" t="n">
        <f aca="false">Scoring!C401</f>
        <v>0</v>
      </c>
      <c r="D394" s="188" t="str">
        <f aca="false">Scoring!CQ401</f>
        <v/>
      </c>
      <c r="E394" s="7" t="str">
        <f aca="false">Scoring!BR401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Scoring!CS401</f>
        <v/>
      </c>
      <c r="I394" s="189" t="str">
        <f aca="false">Scoring!CR401</f>
        <v/>
      </c>
    </row>
    <row r="395" customFormat="false" ht="15.75" hidden="false" customHeight="false" outlineLevel="0" collapsed="false">
      <c r="A395" s="7" t="str">
        <f aca="false">Scoring!CU402</f>
        <v/>
      </c>
      <c r="B395" s="7" t="str">
        <f aca="false">Scoring!CT402</f>
        <v/>
      </c>
      <c r="C395" s="7" t="n">
        <f aca="false">Scoring!C402</f>
        <v>0</v>
      </c>
      <c r="D395" s="188" t="str">
        <f aca="false">Scoring!CQ402</f>
        <v/>
      </c>
      <c r="E395" s="7" t="str">
        <f aca="false">Scoring!BR402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Scoring!CS402</f>
        <v/>
      </c>
      <c r="I395" s="189" t="str">
        <f aca="false">Scoring!CR402</f>
        <v/>
      </c>
    </row>
    <row r="396" customFormat="false" ht="15.75" hidden="false" customHeight="false" outlineLevel="0" collapsed="false">
      <c r="A396" s="7" t="str">
        <f aca="false">Scoring!CU403</f>
        <v/>
      </c>
      <c r="B396" s="7" t="str">
        <f aca="false">Scoring!CT403</f>
        <v/>
      </c>
      <c r="C396" s="7" t="n">
        <f aca="false">Scoring!C403</f>
        <v>0</v>
      </c>
      <c r="D396" s="188" t="str">
        <f aca="false">Scoring!CQ403</f>
        <v/>
      </c>
      <c r="E396" s="7" t="str">
        <f aca="false">Scoring!BR403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Scoring!CS403</f>
        <v/>
      </c>
      <c r="I396" s="189" t="str">
        <f aca="false">Scoring!CR403</f>
        <v/>
      </c>
    </row>
    <row r="397" customFormat="false" ht="15.75" hidden="false" customHeight="false" outlineLevel="0" collapsed="false">
      <c r="A397" s="7" t="str">
        <f aca="false">Scoring!CU404</f>
        <v/>
      </c>
      <c r="B397" s="7" t="str">
        <f aca="false">Scoring!CT404</f>
        <v/>
      </c>
      <c r="C397" s="7" t="n">
        <f aca="false">Scoring!C404</f>
        <v>0</v>
      </c>
      <c r="D397" s="188" t="str">
        <f aca="false">Scoring!CQ404</f>
        <v/>
      </c>
      <c r="E397" s="7" t="str">
        <f aca="false">Scoring!BR404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Scoring!CS404</f>
        <v/>
      </c>
      <c r="I397" s="189" t="str">
        <f aca="false">Scoring!CR404</f>
        <v/>
      </c>
    </row>
    <row r="398" customFormat="false" ht="15.75" hidden="false" customHeight="false" outlineLevel="0" collapsed="false">
      <c r="A398" s="7" t="str">
        <f aca="false">Scoring!CU405</f>
        <v/>
      </c>
      <c r="B398" s="7" t="str">
        <f aca="false">Scoring!CT405</f>
        <v/>
      </c>
      <c r="C398" s="7" t="n">
        <f aca="false">Scoring!C405</f>
        <v>0</v>
      </c>
      <c r="D398" s="188" t="str">
        <f aca="false">Scoring!CQ405</f>
        <v/>
      </c>
      <c r="E398" s="7" t="str">
        <f aca="false">Scoring!BR405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Scoring!CS405</f>
        <v/>
      </c>
      <c r="I398" s="189" t="str">
        <f aca="false">Scoring!CR405</f>
        <v/>
      </c>
    </row>
    <row r="399" customFormat="false" ht="15.75" hidden="false" customHeight="false" outlineLevel="0" collapsed="false">
      <c r="A399" s="7" t="str">
        <f aca="false">Scoring!CU406</f>
        <v/>
      </c>
      <c r="B399" s="7" t="str">
        <f aca="false">Scoring!CT406</f>
        <v/>
      </c>
      <c r="C399" s="7" t="n">
        <f aca="false">Scoring!C406</f>
        <v>0</v>
      </c>
      <c r="D399" s="188" t="str">
        <f aca="false">Scoring!CQ406</f>
        <v/>
      </c>
      <c r="E399" s="7" t="str">
        <f aca="false">Scoring!BR406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Scoring!CS406</f>
        <v/>
      </c>
      <c r="I399" s="189" t="str">
        <f aca="false">Scoring!CR406</f>
        <v/>
      </c>
    </row>
    <row r="400" customFormat="false" ht="15.75" hidden="false" customHeight="false" outlineLevel="0" collapsed="false">
      <c r="A400" s="7" t="str">
        <f aca="false">Scoring!CU407</f>
        <v/>
      </c>
      <c r="B400" s="7" t="str">
        <f aca="false">Scoring!CT407</f>
        <v/>
      </c>
      <c r="C400" s="7" t="n">
        <f aca="false">Scoring!C407</f>
        <v>0</v>
      </c>
      <c r="D400" s="188" t="str">
        <f aca="false">Scoring!CQ407</f>
        <v/>
      </c>
      <c r="E400" s="7" t="str">
        <f aca="false">Scoring!BR407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Scoring!CS407</f>
        <v/>
      </c>
      <c r="I400" s="189" t="str">
        <f aca="false">Scoring!CR407</f>
        <v/>
      </c>
    </row>
    <row r="401" customFormat="false" ht="15.75" hidden="false" customHeight="false" outlineLevel="0" collapsed="false">
      <c r="A401" s="7" t="str">
        <f aca="false">Scoring!CU408</f>
        <v/>
      </c>
      <c r="B401" s="7" t="str">
        <f aca="false">Scoring!CT408</f>
        <v/>
      </c>
      <c r="C401" s="7" t="n">
        <f aca="false">Scoring!C408</f>
        <v>0</v>
      </c>
      <c r="D401" s="188" t="str">
        <f aca="false">Scoring!CQ408</f>
        <v/>
      </c>
      <c r="E401" s="7" t="str">
        <f aca="false">Scoring!BR408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Scoring!CS408</f>
        <v/>
      </c>
      <c r="I401" s="189" t="str">
        <f aca="false">Scoring!CR408</f>
        <v/>
      </c>
    </row>
    <row r="402" customFormat="false" ht="15.75" hidden="false" customHeight="false" outlineLevel="0" collapsed="false">
      <c r="A402" s="7" t="str">
        <f aca="false">Scoring!CU409</f>
        <v/>
      </c>
      <c r="B402" s="7" t="str">
        <f aca="false">Scoring!CT409</f>
        <v/>
      </c>
      <c r="C402" s="7" t="n">
        <f aca="false">Scoring!C409</f>
        <v>0</v>
      </c>
      <c r="D402" s="188" t="str">
        <f aca="false">Scoring!CQ409</f>
        <v/>
      </c>
      <c r="E402" s="7" t="str">
        <f aca="false">Scoring!BR409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Scoring!CS409</f>
        <v/>
      </c>
      <c r="I402" s="189" t="str">
        <f aca="false">Scoring!CR409</f>
        <v/>
      </c>
    </row>
    <row r="403" customFormat="false" ht="15.75" hidden="false" customHeight="false" outlineLevel="0" collapsed="false">
      <c r="A403" s="7" t="str">
        <f aca="false">Scoring!CU410</f>
        <v/>
      </c>
      <c r="B403" s="7" t="str">
        <f aca="false">Scoring!CT410</f>
        <v/>
      </c>
      <c r="C403" s="7" t="n">
        <f aca="false">Scoring!C410</f>
        <v>0</v>
      </c>
      <c r="D403" s="188" t="str">
        <f aca="false">Scoring!CQ410</f>
        <v/>
      </c>
      <c r="E403" s="7" t="str">
        <f aca="false">Scoring!BR410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Scoring!CS410</f>
        <v/>
      </c>
      <c r="I403" s="189" t="str">
        <f aca="false">Scoring!CR410</f>
        <v/>
      </c>
    </row>
    <row r="404" customFormat="false" ht="15.75" hidden="false" customHeight="false" outlineLevel="0" collapsed="false">
      <c r="A404" s="7" t="str">
        <f aca="false">Scoring!CU411</f>
        <v/>
      </c>
      <c r="B404" s="7" t="str">
        <f aca="false">Scoring!CT411</f>
        <v/>
      </c>
      <c r="C404" s="7" t="n">
        <f aca="false">Scoring!C411</f>
        <v>0</v>
      </c>
      <c r="D404" s="188" t="str">
        <f aca="false">Scoring!CQ411</f>
        <v/>
      </c>
      <c r="E404" s="7" t="str">
        <f aca="false">Scoring!BR411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Scoring!CS411</f>
        <v/>
      </c>
      <c r="I404" s="189" t="str">
        <f aca="false">Scoring!CR411</f>
        <v/>
      </c>
    </row>
    <row r="405" customFormat="false" ht="15.75" hidden="false" customHeight="false" outlineLevel="0" collapsed="false">
      <c r="A405" s="7" t="str">
        <f aca="false">Scoring!CU412</f>
        <v/>
      </c>
      <c r="B405" s="7" t="str">
        <f aca="false">Scoring!CT412</f>
        <v/>
      </c>
      <c r="C405" s="7" t="n">
        <f aca="false">Scoring!C412</f>
        <v>0</v>
      </c>
      <c r="D405" s="188" t="str">
        <f aca="false">Scoring!CQ412</f>
        <v/>
      </c>
      <c r="E405" s="7" t="str">
        <f aca="false">Scoring!BR412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Scoring!CS412</f>
        <v/>
      </c>
      <c r="I405" s="189" t="str">
        <f aca="false">Scoring!CR412</f>
        <v/>
      </c>
    </row>
    <row r="406" customFormat="false" ht="15.75" hidden="false" customHeight="false" outlineLevel="0" collapsed="false">
      <c r="A406" s="7" t="str">
        <f aca="false">Scoring!CU413</f>
        <v/>
      </c>
      <c r="B406" s="7" t="str">
        <f aca="false">Scoring!CT413</f>
        <v/>
      </c>
      <c r="C406" s="7" t="n">
        <f aca="false">Scoring!C413</f>
        <v>0</v>
      </c>
      <c r="D406" s="188" t="str">
        <f aca="false">Scoring!CQ413</f>
        <v/>
      </c>
      <c r="E406" s="7" t="str">
        <f aca="false">Scoring!BR413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Scoring!CS413</f>
        <v/>
      </c>
      <c r="I406" s="189" t="str">
        <f aca="false">Scoring!CR413</f>
        <v/>
      </c>
    </row>
    <row r="407" customFormat="false" ht="15.75" hidden="false" customHeight="false" outlineLevel="0" collapsed="false">
      <c r="A407" s="7" t="str">
        <f aca="false">Scoring!CU414</f>
        <v/>
      </c>
      <c r="B407" s="7" t="str">
        <f aca="false">Scoring!CT414</f>
        <v/>
      </c>
      <c r="C407" s="7" t="n">
        <f aca="false">Scoring!C414</f>
        <v>0</v>
      </c>
      <c r="D407" s="188" t="str">
        <f aca="false">Scoring!CQ414</f>
        <v/>
      </c>
      <c r="E407" s="7" t="str">
        <f aca="false">Scoring!BR414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Scoring!CS414</f>
        <v/>
      </c>
      <c r="I407" s="189" t="str">
        <f aca="false">Scoring!CR414</f>
        <v/>
      </c>
    </row>
    <row r="408" customFormat="false" ht="15.75" hidden="false" customHeight="false" outlineLevel="0" collapsed="false">
      <c r="A408" s="7" t="str">
        <f aca="false">Scoring!CU415</f>
        <v/>
      </c>
      <c r="B408" s="7" t="str">
        <f aca="false">Scoring!CT415</f>
        <v/>
      </c>
      <c r="C408" s="7" t="n">
        <f aca="false">Scoring!C415</f>
        <v>0</v>
      </c>
      <c r="D408" s="188" t="str">
        <f aca="false">Scoring!CQ415</f>
        <v/>
      </c>
      <c r="E408" s="7" t="str">
        <f aca="false">Scoring!BR415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Scoring!CS415</f>
        <v/>
      </c>
      <c r="I408" s="189" t="str">
        <f aca="false">Scoring!CR415</f>
        <v/>
      </c>
    </row>
    <row r="409" customFormat="false" ht="15.75" hidden="false" customHeight="false" outlineLevel="0" collapsed="false">
      <c r="A409" s="7" t="str">
        <f aca="false">Scoring!CU416</f>
        <v/>
      </c>
      <c r="B409" s="7" t="str">
        <f aca="false">Scoring!CT416</f>
        <v/>
      </c>
      <c r="C409" s="7" t="n">
        <f aca="false">Scoring!C416</f>
        <v>0</v>
      </c>
      <c r="D409" s="188" t="str">
        <f aca="false">Scoring!CQ416</f>
        <v/>
      </c>
      <c r="E409" s="7" t="str">
        <f aca="false">Scoring!BR416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Scoring!CS416</f>
        <v/>
      </c>
      <c r="I409" s="189" t="str">
        <f aca="false">Scoring!CR416</f>
        <v/>
      </c>
    </row>
    <row r="410" customFormat="false" ht="15.75" hidden="false" customHeight="false" outlineLevel="0" collapsed="false">
      <c r="A410" s="7" t="str">
        <f aca="false">Scoring!CU417</f>
        <v/>
      </c>
      <c r="B410" s="7" t="str">
        <f aca="false">Scoring!CT417</f>
        <v/>
      </c>
      <c r="C410" s="7" t="n">
        <f aca="false">Scoring!C417</f>
        <v>0</v>
      </c>
      <c r="D410" s="188" t="str">
        <f aca="false">Scoring!CQ417</f>
        <v/>
      </c>
      <c r="E410" s="7" t="str">
        <f aca="false">Scoring!BR417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Scoring!CS417</f>
        <v/>
      </c>
      <c r="I410" s="189" t="str">
        <f aca="false">Scoring!CR417</f>
        <v/>
      </c>
    </row>
    <row r="411" customFormat="false" ht="15.75" hidden="false" customHeight="false" outlineLevel="0" collapsed="false">
      <c r="A411" s="7" t="str">
        <f aca="false">Scoring!CU418</f>
        <v/>
      </c>
      <c r="B411" s="7" t="str">
        <f aca="false">Scoring!CT418</f>
        <v/>
      </c>
      <c r="C411" s="7" t="n">
        <f aca="false">Scoring!C418</f>
        <v>0</v>
      </c>
      <c r="D411" s="188" t="str">
        <f aca="false">Scoring!CQ418</f>
        <v/>
      </c>
      <c r="E411" s="7" t="str">
        <f aca="false">Scoring!BR418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Scoring!CS418</f>
        <v/>
      </c>
      <c r="I411" s="189" t="str">
        <f aca="false">Scoring!CR418</f>
        <v/>
      </c>
    </row>
    <row r="412" customFormat="false" ht="15.75" hidden="false" customHeight="false" outlineLevel="0" collapsed="false">
      <c r="A412" s="7" t="str">
        <f aca="false">Scoring!CU419</f>
        <v/>
      </c>
      <c r="B412" s="7" t="str">
        <f aca="false">Scoring!CT419</f>
        <v/>
      </c>
      <c r="C412" s="7" t="n">
        <f aca="false">Scoring!C419</f>
        <v>0</v>
      </c>
      <c r="D412" s="188" t="str">
        <f aca="false">Scoring!CQ419</f>
        <v/>
      </c>
      <c r="E412" s="7" t="str">
        <f aca="false">Scoring!BR419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Scoring!CS419</f>
        <v/>
      </c>
      <c r="I412" s="189" t="str">
        <f aca="false">Scoring!CR419</f>
        <v/>
      </c>
    </row>
    <row r="413" customFormat="false" ht="15.75" hidden="false" customHeight="false" outlineLevel="0" collapsed="false">
      <c r="A413" s="7" t="str">
        <f aca="false">Scoring!CU420</f>
        <v/>
      </c>
      <c r="B413" s="7" t="str">
        <f aca="false">Scoring!CT420</f>
        <v/>
      </c>
      <c r="C413" s="7" t="n">
        <f aca="false">Scoring!C420</f>
        <v>0</v>
      </c>
      <c r="D413" s="188" t="str">
        <f aca="false">Scoring!CQ420</f>
        <v/>
      </c>
      <c r="E413" s="7" t="str">
        <f aca="false">Scoring!BR420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Scoring!CS420</f>
        <v/>
      </c>
      <c r="I413" s="189" t="str">
        <f aca="false">Scoring!CR420</f>
        <v/>
      </c>
    </row>
    <row r="414" customFormat="false" ht="15.75" hidden="false" customHeight="false" outlineLevel="0" collapsed="false">
      <c r="A414" s="7" t="str">
        <f aca="false">Scoring!CU421</f>
        <v/>
      </c>
      <c r="B414" s="7" t="str">
        <f aca="false">Scoring!CT421</f>
        <v/>
      </c>
      <c r="C414" s="7" t="n">
        <f aca="false">Scoring!C421</f>
        <v>0</v>
      </c>
      <c r="D414" s="188" t="str">
        <f aca="false">Scoring!CQ421</f>
        <v/>
      </c>
      <c r="E414" s="7" t="str">
        <f aca="false">Scoring!BR421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Scoring!CS421</f>
        <v/>
      </c>
      <c r="I414" s="189" t="str">
        <f aca="false">Scoring!CR421</f>
        <v/>
      </c>
    </row>
    <row r="415" customFormat="false" ht="15.75" hidden="false" customHeight="false" outlineLevel="0" collapsed="false">
      <c r="A415" s="7" t="str">
        <f aca="false">Scoring!CU422</f>
        <v/>
      </c>
      <c r="B415" s="7" t="str">
        <f aca="false">Scoring!CT422</f>
        <v/>
      </c>
      <c r="C415" s="7" t="n">
        <f aca="false">Scoring!C422</f>
        <v>0</v>
      </c>
      <c r="D415" s="188" t="str">
        <f aca="false">Scoring!CQ422</f>
        <v/>
      </c>
      <c r="E415" s="7" t="str">
        <f aca="false">Scoring!BR422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Scoring!CS422</f>
        <v/>
      </c>
      <c r="I415" s="189" t="str">
        <f aca="false">Scoring!CR422</f>
        <v/>
      </c>
    </row>
    <row r="416" customFormat="false" ht="15.75" hidden="false" customHeight="false" outlineLevel="0" collapsed="false">
      <c r="A416" s="7" t="str">
        <f aca="false">Scoring!CU423</f>
        <v/>
      </c>
      <c r="B416" s="7" t="str">
        <f aca="false">Scoring!CT423</f>
        <v/>
      </c>
      <c r="C416" s="7" t="n">
        <f aca="false">Scoring!C423</f>
        <v>0</v>
      </c>
      <c r="D416" s="188" t="str">
        <f aca="false">Scoring!CQ423</f>
        <v/>
      </c>
      <c r="E416" s="7" t="str">
        <f aca="false">Scoring!BR423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Scoring!CS423</f>
        <v/>
      </c>
      <c r="I416" s="189" t="str">
        <f aca="false">Scoring!CR423</f>
        <v/>
      </c>
    </row>
    <row r="417" customFormat="false" ht="15.75" hidden="false" customHeight="false" outlineLevel="0" collapsed="false">
      <c r="A417" s="7" t="str">
        <f aca="false">Scoring!CU424</f>
        <v/>
      </c>
      <c r="B417" s="7" t="str">
        <f aca="false">Scoring!CT424</f>
        <v/>
      </c>
      <c r="C417" s="7" t="n">
        <f aca="false">Scoring!C424</f>
        <v>0</v>
      </c>
      <c r="D417" s="188" t="str">
        <f aca="false">Scoring!CQ424</f>
        <v/>
      </c>
      <c r="E417" s="7" t="str">
        <f aca="false">Scoring!BR424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Scoring!CS424</f>
        <v/>
      </c>
      <c r="I417" s="189" t="str">
        <f aca="false">Scoring!CR424</f>
        <v/>
      </c>
    </row>
    <row r="418" customFormat="false" ht="15.75" hidden="false" customHeight="false" outlineLevel="0" collapsed="false">
      <c r="A418" s="7" t="str">
        <f aca="false">Scoring!CU425</f>
        <v/>
      </c>
      <c r="B418" s="7" t="str">
        <f aca="false">Scoring!CT425</f>
        <v/>
      </c>
      <c r="C418" s="7" t="n">
        <f aca="false">Scoring!C425</f>
        <v>0</v>
      </c>
      <c r="D418" s="188" t="str">
        <f aca="false">Scoring!CQ425</f>
        <v/>
      </c>
      <c r="E418" s="7" t="str">
        <f aca="false">Scoring!BR425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Scoring!CS425</f>
        <v/>
      </c>
      <c r="I418" s="189" t="str">
        <f aca="false">Scoring!CR425</f>
        <v/>
      </c>
    </row>
    <row r="419" customFormat="false" ht="15.75" hidden="false" customHeight="false" outlineLevel="0" collapsed="false">
      <c r="A419" s="7" t="str">
        <f aca="false">Scoring!CU426</f>
        <v/>
      </c>
      <c r="B419" s="7" t="str">
        <f aca="false">Scoring!CT426</f>
        <v/>
      </c>
      <c r="C419" s="7" t="n">
        <f aca="false">Scoring!C426</f>
        <v>0</v>
      </c>
      <c r="D419" s="188" t="str">
        <f aca="false">Scoring!CQ426</f>
        <v/>
      </c>
      <c r="E419" s="7" t="str">
        <f aca="false">Scoring!BR426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Scoring!CS426</f>
        <v/>
      </c>
      <c r="I419" s="189" t="str">
        <f aca="false">Scoring!CR426</f>
        <v/>
      </c>
    </row>
    <row r="420" customFormat="false" ht="15.75" hidden="false" customHeight="false" outlineLevel="0" collapsed="false">
      <c r="A420" s="7" t="str">
        <f aca="false">Scoring!CU427</f>
        <v/>
      </c>
      <c r="B420" s="7" t="str">
        <f aca="false">Scoring!CT427</f>
        <v/>
      </c>
      <c r="C420" s="7" t="n">
        <f aca="false">Scoring!C427</f>
        <v>0</v>
      </c>
      <c r="D420" s="188" t="str">
        <f aca="false">Scoring!CQ427</f>
        <v/>
      </c>
      <c r="E420" s="7" t="str">
        <f aca="false">Scoring!BR427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Scoring!CS427</f>
        <v/>
      </c>
      <c r="I420" s="189" t="str">
        <f aca="false">Scoring!CR427</f>
        <v/>
      </c>
    </row>
    <row r="421" customFormat="false" ht="15.75" hidden="false" customHeight="false" outlineLevel="0" collapsed="false">
      <c r="A421" s="7" t="str">
        <f aca="false">Scoring!CU428</f>
        <v/>
      </c>
      <c r="B421" s="7" t="str">
        <f aca="false">Scoring!CT428</f>
        <v/>
      </c>
      <c r="C421" s="7" t="n">
        <f aca="false">Scoring!C428</f>
        <v>0</v>
      </c>
      <c r="D421" s="188" t="str">
        <f aca="false">Scoring!CQ428</f>
        <v/>
      </c>
      <c r="E421" s="7" t="str">
        <f aca="false">Scoring!BR428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Scoring!CS428</f>
        <v/>
      </c>
      <c r="I421" s="189" t="str">
        <f aca="false">Scoring!CR428</f>
        <v/>
      </c>
    </row>
    <row r="422" customFormat="false" ht="15.75" hidden="false" customHeight="false" outlineLevel="0" collapsed="false">
      <c r="A422" s="7" t="str">
        <f aca="false">Scoring!CU429</f>
        <v/>
      </c>
      <c r="B422" s="7" t="str">
        <f aca="false">Scoring!CT429</f>
        <v/>
      </c>
      <c r="C422" s="7" t="n">
        <f aca="false">Scoring!C429</f>
        <v>0</v>
      </c>
      <c r="D422" s="188" t="str">
        <f aca="false">Scoring!CQ429</f>
        <v/>
      </c>
      <c r="E422" s="7" t="str">
        <f aca="false">Scoring!BR429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Scoring!CS429</f>
        <v/>
      </c>
      <c r="I422" s="189" t="str">
        <f aca="false">Scoring!CR429</f>
        <v/>
      </c>
    </row>
    <row r="423" customFormat="false" ht="15.75" hidden="false" customHeight="false" outlineLevel="0" collapsed="false">
      <c r="A423" s="7" t="str">
        <f aca="false">Scoring!CU430</f>
        <v/>
      </c>
      <c r="B423" s="7" t="str">
        <f aca="false">Scoring!CT430</f>
        <v/>
      </c>
      <c r="C423" s="7" t="n">
        <f aca="false">Scoring!C430</f>
        <v>0</v>
      </c>
      <c r="D423" s="188" t="str">
        <f aca="false">Scoring!CQ430</f>
        <v/>
      </c>
      <c r="E423" s="7" t="str">
        <f aca="false">Scoring!BR430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Scoring!CS430</f>
        <v/>
      </c>
      <c r="I423" s="189" t="str">
        <f aca="false">Scoring!CR430</f>
        <v/>
      </c>
    </row>
    <row r="424" customFormat="false" ht="15.75" hidden="false" customHeight="false" outlineLevel="0" collapsed="false">
      <c r="A424" s="7" t="str">
        <f aca="false">Scoring!CU431</f>
        <v/>
      </c>
      <c r="B424" s="7" t="str">
        <f aca="false">Scoring!CT431</f>
        <v/>
      </c>
      <c r="C424" s="7" t="n">
        <f aca="false">Scoring!C431</f>
        <v>0</v>
      </c>
      <c r="D424" s="188" t="str">
        <f aca="false">Scoring!CQ431</f>
        <v/>
      </c>
      <c r="E424" s="7" t="str">
        <f aca="false">Scoring!BR431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Scoring!CS431</f>
        <v/>
      </c>
      <c r="I424" s="189" t="str">
        <f aca="false">Scoring!CR431</f>
        <v/>
      </c>
    </row>
    <row r="425" customFormat="false" ht="15.75" hidden="false" customHeight="false" outlineLevel="0" collapsed="false">
      <c r="A425" s="7" t="str">
        <f aca="false">Scoring!CU432</f>
        <v/>
      </c>
      <c r="B425" s="7" t="str">
        <f aca="false">Scoring!CT432</f>
        <v/>
      </c>
      <c r="C425" s="7" t="n">
        <f aca="false">Scoring!C432</f>
        <v>0</v>
      </c>
      <c r="D425" s="188" t="str">
        <f aca="false">Scoring!CQ432</f>
        <v/>
      </c>
      <c r="E425" s="7" t="str">
        <f aca="false">Scoring!BR432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Scoring!CS432</f>
        <v/>
      </c>
      <c r="I425" s="189" t="str">
        <f aca="false">Scoring!CR432</f>
        <v/>
      </c>
    </row>
    <row r="426" customFormat="false" ht="15.75" hidden="false" customHeight="false" outlineLevel="0" collapsed="false">
      <c r="A426" s="7" t="str">
        <f aca="false">Scoring!CU433</f>
        <v/>
      </c>
      <c r="B426" s="7" t="str">
        <f aca="false">Scoring!CT433</f>
        <v/>
      </c>
      <c r="C426" s="7" t="n">
        <f aca="false">Scoring!C433</f>
        <v>0</v>
      </c>
      <c r="D426" s="188" t="str">
        <f aca="false">Scoring!CQ433</f>
        <v/>
      </c>
      <c r="E426" s="7" t="str">
        <f aca="false">Scoring!BR433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Scoring!CS433</f>
        <v/>
      </c>
      <c r="I426" s="189" t="str">
        <f aca="false">Scoring!CR433</f>
        <v/>
      </c>
    </row>
    <row r="427" customFormat="false" ht="15.75" hidden="false" customHeight="false" outlineLevel="0" collapsed="false">
      <c r="A427" s="7" t="str">
        <f aca="false">Scoring!CU434</f>
        <v/>
      </c>
      <c r="B427" s="7" t="str">
        <f aca="false">Scoring!CT434</f>
        <v/>
      </c>
      <c r="C427" s="7" t="n">
        <f aca="false">Scoring!C434</f>
        <v>0</v>
      </c>
      <c r="D427" s="188" t="str">
        <f aca="false">Scoring!CQ434</f>
        <v/>
      </c>
      <c r="E427" s="7" t="str">
        <f aca="false">Scoring!BR434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Scoring!CS434</f>
        <v/>
      </c>
      <c r="I427" s="189" t="str">
        <f aca="false">Scoring!CR434</f>
        <v/>
      </c>
    </row>
    <row r="428" customFormat="false" ht="15.75" hidden="false" customHeight="false" outlineLevel="0" collapsed="false">
      <c r="A428" s="7" t="str">
        <f aca="false">Scoring!CU435</f>
        <v/>
      </c>
      <c r="B428" s="7" t="str">
        <f aca="false">Scoring!CT435</f>
        <v/>
      </c>
      <c r="C428" s="7" t="n">
        <f aca="false">Scoring!C435</f>
        <v>0</v>
      </c>
      <c r="D428" s="188" t="str">
        <f aca="false">Scoring!CQ435</f>
        <v/>
      </c>
      <c r="E428" s="7" t="str">
        <f aca="false">Scoring!BR435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Scoring!CS435</f>
        <v/>
      </c>
      <c r="I428" s="189" t="str">
        <f aca="false">Scoring!CR435</f>
        <v/>
      </c>
    </row>
    <row r="429" customFormat="false" ht="15.75" hidden="false" customHeight="false" outlineLevel="0" collapsed="false">
      <c r="A429" s="7" t="str">
        <f aca="false">Scoring!CU436</f>
        <v/>
      </c>
      <c r="B429" s="7" t="str">
        <f aca="false">Scoring!CT436</f>
        <v/>
      </c>
      <c r="C429" s="7" t="n">
        <f aca="false">Scoring!C436</f>
        <v>0</v>
      </c>
      <c r="D429" s="188" t="str">
        <f aca="false">Scoring!CQ436</f>
        <v/>
      </c>
      <c r="E429" s="7" t="str">
        <f aca="false">Scoring!BR436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Scoring!CS436</f>
        <v/>
      </c>
      <c r="I429" s="189" t="str">
        <f aca="false">Scoring!CR436</f>
        <v/>
      </c>
    </row>
    <row r="430" customFormat="false" ht="15.75" hidden="false" customHeight="false" outlineLevel="0" collapsed="false">
      <c r="A430" s="7" t="str">
        <f aca="false">Scoring!CU437</f>
        <v/>
      </c>
      <c r="B430" s="7" t="str">
        <f aca="false">Scoring!CT437</f>
        <v/>
      </c>
      <c r="C430" s="7" t="n">
        <f aca="false">Scoring!C437</f>
        <v>0</v>
      </c>
      <c r="D430" s="188" t="str">
        <f aca="false">Scoring!CQ437</f>
        <v/>
      </c>
      <c r="E430" s="7" t="str">
        <f aca="false">Scoring!BR437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Scoring!CS437</f>
        <v/>
      </c>
      <c r="I430" s="189" t="str">
        <f aca="false">Scoring!CR437</f>
        <v/>
      </c>
    </row>
    <row r="431" customFormat="false" ht="15.75" hidden="false" customHeight="false" outlineLevel="0" collapsed="false">
      <c r="A431" s="7" t="str">
        <f aca="false">Scoring!CU438</f>
        <v/>
      </c>
      <c r="B431" s="7" t="str">
        <f aca="false">Scoring!CT438</f>
        <v/>
      </c>
      <c r="C431" s="7" t="n">
        <f aca="false">Scoring!C438</f>
        <v>0</v>
      </c>
      <c r="D431" s="188" t="str">
        <f aca="false">Scoring!CQ438</f>
        <v/>
      </c>
      <c r="E431" s="7" t="str">
        <f aca="false">Scoring!BR438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Scoring!CS438</f>
        <v/>
      </c>
      <c r="I431" s="189" t="str">
        <f aca="false">Scoring!CR438</f>
        <v/>
      </c>
    </row>
    <row r="432" customFormat="false" ht="15.75" hidden="false" customHeight="false" outlineLevel="0" collapsed="false">
      <c r="A432" s="7" t="str">
        <f aca="false">Scoring!CU439</f>
        <v/>
      </c>
      <c r="B432" s="7" t="str">
        <f aca="false">Scoring!CT439</f>
        <v/>
      </c>
      <c r="C432" s="7" t="n">
        <f aca="false">Scoring!C439</f>
        <v>0</v>
      </c>
      <c r="D432" s="188" t="str">
        <f aca="false">Scoring!CQ439</f>
        <v/>
      </c>
      <c r="E432" s="7" t="str">
        <f aca="false">Scoring!BR439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Scoring!CS439</f>
        <v/>
      </c>
      <c r="I432" s="189" t="str">
        <f aca="false">Scoring!CR439</f>
        <v/>
      </c>
    </row>
    <row r="433" customFormat="false" ht="15.75" hidden="false" customHeight="false" outlineLevel="0" collapsed="false">
      <c r="A433" s="7" t="str">
        <f aca="false">Scoring!CU440</f>
        <v/>
      </c>
      <c r="B433" s="7" t="str">
        <f aca="false">Scoring!CT440</f>
        <v/>
      </c>
      <c r="C433" s="7" t="n">
        <f aca="false">Scoring!C440</f>
        <v>0</v>
      </c>
      <c r="D433" s="188" t="str">
        <f aca="false">Scoring!CQ440</f>
        <v/>
      </c>
      <c r="E433" s="7" t="str">
        <f aca="false">Scoring!BR440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Scoring!CS440</f>
        <v/>
      </c>
      <c r="I433" s="189" t="str">
        <f aca="false">Scoring!CR440</f>
        <v/>
      </c>
    </row>
    <row r="434" customFormat="false" ht="15.75" hidden="false" customHeight="false" outlineLevel="0" collapsed="false">
      <c r="A434" s="7" t="str">
        <f aca="false">Scoring!CU441</f>
        <v/>
      </c>
      <c r="B434" s="7" t="str">
        <f aca="false">Scoring!CT441</f>
        <v/>
      </c>
      <c r="C434" s="7" t="n">
        <f aca="false">Scoring!C441</f>
        <v>0</v>
      </c>
      <c r="D434" s="188" t="str">
        <f aca="false">Scoring!CQ441</f>
        <v/>
      </c>
      <c r="E434" s="7" t="str">
        <f aca="false">Scoring!BR441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Scoring!CS441</f>
        <v/>
      </c>
      <c r="I434" s="189" t="str">
        <f aca="false">Scoring!CR441</f>
        <v/>
      </c>
    </row>
    <row r="435" customFormat="false" ht="15.75" hidden="false" customHeight="false" outlineLevel="0" collapsed="false">
      <c r="A435" s="7" t="str">
        <f aca="false">Scoring!CU442</f>
        <v/>
      </c>
      <c r="B435" s="7" t="str">
        <f aca="false">Scoring!CT442</f>
        <v/>
      </c>
      <c r="C435" s="7" t="n">
        <f aca="false">Scoring!C442</f>
        <v>0</v>
      </c>
      <c r="D435" s="188" t="str">
        <f aca="false">Scoring!CQ442</f>
        <v/>
      </c>
      <c r="E435" s="7" t="str">
        <f aca="false">Scoring!BR442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Scoring!CS442</f>
        <v/>
      </c>
      <c r="I435" s="189" t="str">
        <f aca="false">Scoring!CR442</f>
        <v/>
      </c>
    </row>
    <row r="436" customFormat="false" ht="15.75" hidden="false" customHeight="false" outlineLevel="0" collapsed="false">
      <c r="A436" s="7" t="str">
        <f aca="false">Scoring!CU443</f>
        <v/>
      </c>
      <c r="B436" s="7" t="str">
        <f aca="false">Scoring!CT443</f>
        <v/>
      </c>
      <c r="C436" s="7" t="n">
        <f aca="false">Scoring!C443</f>
        <v>0</v>
      </c>
      <c r="D436" s="188" t="str">
        <f aca="false">Scoring!CQ443</f>
        <v/>
      </c>
      <c r="E436" s="7" t="str">
        <f aca="false">Scoring!BR443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Scoring!CS443</f>
        <v/>
      </c>
      <c r="I436" s="189" t="str">
        <f aca="false">Scoring!CR443</f>
        <v/>
      </c>
    </row>
    <row r="437" customFormat="false" ht="15.75" hidden="false" customHeight="false" outlineLevel="0" collapsed="false">
      <c r="A437" s="7" t="str">
        <f aca="false">Scoring!CU444</f>
        <v/>
      </c>
      <c r="B437" s="7" t="str">
        <f aca="false">Scoring!CT444</f>
        <v/>
      </c>
      <c r="C437" s="7" t="n">
        <f aca="false">Scoring!C444</f>
        <v>0</v>
      </c>
      <c r="D437" s="188" t="str">
        <f aca="false">Scoring!CQ444</f>
        <v/>
      </c>
      <c r="E437" s="7" t="str">
        <f aca="false">Scoring!BR444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Scoring!CS444</f>
        <v/>
      </c>
      <c r="I437" s="189" t="str">
        <f aca="false">Scoring!CR444</f>
        <v/>
      </c>
    </row>
    <row r="438" customFormat="false" ht="15.75" hidden="false" customHeight="false" outlineLevel="0" collapsed="false">
      <c r="A438" s="7" t="str">
        <f aca="false">Scoring!CU445</f>
        <v/>
      </c>
      <c r="B438" s="7" t="str">
        <f aca="false">Scoring!CT445</f>
        <v/>
      </c>
      <c r="C438" s="7" t="n">
        <f aca="false">Scoring!C445</f>
        <v>0</v>
      </c>
      <c r="D438" s="188" t="str">
        <f aca="false">Scoring!CQ445</f>
        <v/>
      </c>
      <c r="E438" s="7" t="str">
        <f aca="false">Scoring!BR445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Scoring!CS445</f>
        <v/>
      </c>
      <c r="I438" s="189" t="str">
        <f aca="false">Scoring!CR445</f>
        <v/>
      </c>
    </row>
    <row r="439" customFormat="false" ht="15.75" hidden="false" customHeight="false" outlineLevel="0" collapsed="false">
      <c r="A439" s="7" t="str">
        <f aca="false">Scoring!CU446</f>
        <v/>
      </c>
      <c r="B439" s="7" t="str">
        <f aca="false">Scoring!CT446</f>
        <v/>
      </c>
      <c r="C439" s="7" t="n">
        <f aca="false">Scoring!C446</f>
        <v>0</v>
      </c>
      <c r="D439" s="188" t="str">
        <f aca="false">Scoring!CQ446</f>
        <v/>
      </c>
      <c r="E439" s="7" t="str">
        <f aca="false">Scoring!BR446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Scoring!CS446</f>
        <v/>
      </c>
      <c r="I439" s="189" t="str">
        <f aca="false">Scoring!CR446</f>
        <v/>
      </c>
    </row>
    <row r="440" customFormat="false" ht="15.75" hidden="false" customHeight="false" outlineLevel="0" collapsed="false">
      <c r="A440" s="7" t="str">
        <f aca="false">Scoring!CU447</f>
        <v/>
      </c>
      <c r="B440" s="7" t="str">
        <f aca="false">Scoring!CT447</f>
        <v/>
      </c>
      <c r="C440" s="7" t="n">
        <f aca="false">Scoring!C447</f>
        <v>0</v>
      </c>
      <c r="D440" s="188" t="str">
        <f aca="false">Scoring!CQ447</f>
        <v/>
      </c>
      <c r="E440" s="7" t="str">
        <f aca="false">Scoring!BR447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Scoring!CS447</f>
        <v/>
      </c>
      <c r="I440" s="189" t="str">
        <f aca="false">Scoring!CR447</f>
        <v/>
      </c>
    </row>
    <row r="441" customFormat="false" ht="15.75" hidden="false" customHeight="false" outlineLevel="0" collapsed="false">
      <c r="A441" s="7" t="str">
        <f aca="false">Scoring!CU448</f>
        <v/>
      </c>
      <c r="B441" s="7" t="str">
        <f aca="false">Scoring!CT448</f>
        <v/>
      </c>
      <c r="C441" s="7" t="n">
        <f aca="false">Scoring!C448</f>
        <v>0</v>
      </c>
      <c r="D441" s="188" t="str">
        <f aca="false">Scoring!CQ448</f>
        <v/>
      </c>
      <c r="E441" s="7" t="str">
        <f aca="false">Scoring!BR448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Scoring!CS448</f>
        <v/>
      </c>
      <c r="I441" s="189" t="str">
        <f aca="false">Scoring!CR448</f>
        <v/>
      </c>
    </row>
    <row r="442" customFormat="false" ht="15.75" hidden="false" customHeight="false" outlineLevel="0" collapsed="false">
      <c r="A442" s="7" t="str">
        <f aca="false">Scoring!CU449</f>
        <v/>
      </c>
      <c r="B442" s="7" t="str">
        <f aca="false">Scoring!CT449</f>
        <v/>
      </c>
      <c r="C442" s="7" t="n">
        <f aca="false">Scoring!C449</f>
        <v>0</v>
      </c>
      <c r="D442" s="188" t="str">
        <f aca="false">Scoring!CQ449</f>
        <v/>
      </c>
      <c r="E442" s="7" t="str">
        <f aca="false">Scoring!BR449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Scoring!CS449</f>
        <v/>
      </c>
      <c r="I442" s="189" t="str">
        <f aca="false">Scoring!CR449</f>
        <v/>
      </c>
    </row>
    <row r="443" customFormat="false" ht="15.75" hidden="false" customHeight="false" outlineLevel="0" collapsed="false">
      <c r="A443" s="7" t="str">
        <f aca="false">Scoring!CU450</f>
        <v/>
      </c>
      <c r="B443" s="7" t="str">
        <f aca="false">Scoring!CT450</f>
        <v/>
      </c>
      <c r="C443" s="7" t="n">
        <f aca="false">Scoring!C450</f>
        <v>0</v>
      </c>
      <c r="D443" s="188" t="str">
        <f aca="false">Scoring!CQ450</f>
        <v/>
      </c>
      <c r="E443" s="7" t="str">
        <f aca="false">Scoring!BR450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Scoring!CS450</f>
        <v/>
      </c>
      <c r="I443" s="189" t="str">
        <f aca="false">Scoring!CR450</f>
        <v/>
      </c>
    </row>
    <row r="444" customFormat="false" ht="15.75" hidden="false" customHeight="false" outlineLevel="0" collapsed="false">
      <c r="A444" s="7" t="str">
        <f aca="false">Scoring!CU451</f>
        <v/>
      </c>
      <c r="B444" s="7" t="str">
        <f aca="false">Scoring!CT451</f>
        <v/>
      </c>
      <c r="C444" s="7" t="n">
        <f aca="false">Scoring!C451</f>
        <v>0</v>
      </c>
      <c r="D444" s="188" t="str">
        <f aca="false">Scoring!CQ451</f>
        <v/>
      </c>
      <c r="E444" s="7" t="str">
        <f aca="false">Scoring!BR451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Scoring!CS451</f>
        <v/>
      </c>
      <c r="I444" s="189" t="str">
        <f aca="false">Scoring!CR451</f>
        <v/>
      </c>
    </row>
    <row r="445" customFormat="false" ht="15.75" hidden="false" customHeight="false" outlineLevel="0" collapsed="false">
      <c r="A445" s="7" t="str">
        <f aca="false">Scoring!CU452</f>
        <v/>
      </c>
      <c r="B445" s="7" t="str">
        <f aca="false">Scoring!CT452</f>
        <v/>
      </c>
      <c r="C445" s="7" t="n">
        <f aca="false">Scoring!C452</f>
        <v>0</v>
      </c>
      <c r="D445" s="188" t="str">
        <f aca="false">Scoring!CQ452</f>
        <v/>
      </c>
      <c r="E445" s="7" t="str">
        <f aca="false">Scoring!BR452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Scoring!CS452</f>
        <v/>
      </c>
      <c r="I445" s="189" t="str">
        <f aca="false">Scoring!CR452</f>
        <v/>
      </c>
    </row>
    <row r="446" customFormat="false" ht="15.75" hidden="false" customHeight="false" outlineLevel="0" collapsed="false">
      <c r="A446" s="7" t="str">
        <f aca="false">Scoring!CU453</f>
        <v/>
      </c>
      <c r="B446" s="7" t="str">
        <f aca="false">Scoring!CT453</f>
        <v/>
      </c>
      <c r="C446" s="7" t="n">
        <f aca="false">Scoring!C453</f>
        <v>0</v>
      </c>
      <c r="D446" s="188" t="str">
        <f aca="false">Scoring!CQ453</f>
        <v/>
      </c>
      <c r="E446" s="7" t="str">
        <f aca="false">Scoring!BR453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Scoring!CS453</f>
        <v/>
      </c>
      <c r="I446" s="189" t="str">
        <f aca="false">Scoring!CR453</f>
        <v/>
      </c>
    </row>
    <row r="447" customFormat="false" ht="15.75" hidden="false" customHeight="false" outlineLevel="0" collapsed="false">
      <c r="A447" s="7" t="str">
        <f aca="false">Scoring!CU454</f>
        <v/>
      </c>
      <c r="B447" s="7" t="str">
        <f aca="false">Scoring!CT454</f>
        <v/>
      </c>
      <c r="C447" s="7" t="n">
        <f aca="false">Scoring!C454</f>
        <v>0</v>
      </c>
      <c r="D447" s="188" t="str">
        <f aca="false">Scoring!CQ454</f>
        <v/>
      </c>
      <c r="E447" s="7" t="str">
        <f aca="false">Scoring!BR454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Scoring!CS454</f>
        <v/>
      </c>
      <c r="I447" s="189" t="str">
        <f aca="false">Scoring!CR454</f>
        <v/>
      </c>
    </row>
    <row r="448" customFormat="false" ht="15.75" hidden="false" customHeight="false" outlineLevel="0" collapsed="false">
      <c r="A448" s="7" t="str">
        <f aca="false">Scoring!CU455</f>
        <v/>
      </c>
      <c r="B448" s="7" t="str">
        <f aca="false">Scoring!CT455</f>
        <v/>
      </c>
      <c r="C448" s="7" t="n">
        <f aca="false">Scoring!C455</f>
        <v>0</v>
      </c>
      <c r="D448" s="188" t="str">
        <f aca="false">Scoring!CQ455</f>
        <v/>
      </c>
      <c r="E448" s="7" t="str">
        <f aca="false">Scoring!BR455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Scoring!CS455</f>
        <v/>
      </c>
      <c r="I448" s="189" t="str">
        <f aca="false">Scoring!CR455</f>
        <v/>
      </c>
    </row>
    <row r="449" customFormat="false" ht="15.75" hidden="false" customHeight="false" outlineLevel="0" collapsed="false">
      <c r="A449" s="7" t="str">
        <f aca="false">Scoring!CU456</f>
        <v/>
      </c>
      <c r="B449" s="7" t="str">
        <f aca="false">Scoring!CT456</f>
        <v/>
      </c>
      <c r="C449" s="7" t="n">
        <f aca="false">Scoring!C456</f>
        <v>0</v>
      </c>
      <c r="D449" s="188" t="str">
        <f aca="false">Scoring!CQ456</f>
        <v/>
      </c>
      <c r="E449" s="7" t="str">
        <f aca="false">Scoring!BR456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Scoring!CS456</f>
        <v/>
      </c>
      <c r="I449" s="189" t="str">
        <f aca="false">Scoring!CR456</f>
        <v/>
      </c>
    </row>
    <row r="450" customFormat="false" ht="15.75" hidden="false" customHeight="false" outlineLevel="0" collapsed="false">
      <c r="A450" s="7" t="str">
        <f aca="false">Scoring!CU457</f>
        <v/>
      </c>
      <c r="B450" s="7" t="str">
        <f aca="false">Scoring!CT457</f>
        <v/>
      </c>
      <c r="C450" s="7" t="n">
        <f aca="false">Scoring!C457</f>
        <v>0</v>
      </c>
      <c r="D450" s="188" t="str">
        <f aca="false">Scoring!CQ457</f>
        <v/>
      </c>
      <c r="E450" s="7" t="str">
        <f aca="false">Scoring!BR457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Scoring!CS457</f>
        <v/>
      </c>
      <c r="I450" s="189" t="str">
        <f aca="false">Scoring!CR457</f>
        <v/>
      </c>
    </row>
    <row r="451" customFormat="false" ht="15.75" hidden="false" customHeight="false" outlineLevel="0" collapsed="false">
      <c r="A451" s="7" t="str">
        <f aca="false">Scoring!CU458</f>
        <v/>
      </c>
      <c r="B451" s="7" t="str">
        <f aca="false">Scoring!CT458</f>
        <v/>
      </c>
      <c r="C451" s="7" t="n">
        <f aca="false">Scoring!C458</f>
        <v>0</v>
      </c>
      <c r="D451" s="188" t="str">
        <f aca="false">Scoring!CQ458</f>
        <v/>
      </c>
      <c r="E451" s="7" t="str">
        <f aca="false">Scoring!BR458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Scoring!CS458</f>
        <v/>
      </c>
      <c r="I451" s="189" t="str">
        <f aca="false">Scoring!CR458</f>
        <v/>
      </c>
    </row>
    <row r="452" customFormat="false" ht="15.75" hidden="false" customHeight="false" outlineLevel="0" collapsed="false">
      <c r="A452" s="7" t="str">
        <f aca="false">Scoring!CU459</f>
        <v/>
      </c>
      <c r="B452" s="7" t="str">
        <f aca="false">Scoring!CT459</f>
        <v/>
      </c>
      <c r="C452" s="7" t="n">
        <f aca="false">Scoring!C459</f>
        <v>0</v>
      </c>
      <c r="D452" s="188" t="str">
        <f aca="false">Scoring!CQ459</f>
        <v/>
      </c>
      <c r="E452" s="7" t="str">
        <f aca="false">Scoring!BR459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Scoring!CS459</f>
        <v/>
      </c>
      <c r="I452" s="189" t="str">
        <f aca="false">Scoring!CR459</f>
        <v/>
      </c>
    </row>
    <row r="453" customFormat="false" ht="15.75" hidden="false" customHeight="false" outlineLevel="0" collapsed="false">
      <c r="A453" s="7" t="str">
        <f aca="false">Scoring!CU460</f>
        <v/>
      </c>
      <c r="B453" s="7" t="str">
        <f aca="false">Scoring!CT460</f>
        <v/>
      </c>
      <c r="C453" s="7" t="n">
        <f aca="false">Scoring!C460</f>
        <v>0</v>
      </c>
      <c r="D453" s="188" t="str">
        <f aca="false">Scoring!CQ460</f>
        <v/>
      </c>
      <c r="E453" s="7" t="str">
        <f aca="false">Scoring!BR460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Scoring!CS460</f>
        <v/>
      </c>
      <c r="I453" s="189" t="str">
        <f aca="false">Scoring!CR460</f>
        <v/>
      </c>
    </row>
    <row r="454" customFormat="false" ht="15.75" hidden="false" customHeight="false" outlineLevel="0" collapsed="false">
      <c r="A454" s="7" t="str">
        <f aca="false">Scoring!CU461</f>
        <v/>
      </c>
      <c r="B454" s="7" t="str">
        <f aca="false">Scoring!CT461</f>
        <v/>
      </c>
      <c r="C454" s="7" t="n">
        <f aca="false">Scoring!C461</f>
        <v>0</v>
      </c>
      <c r="D454" s="188" t="str">
        <f aca="false">Scoring!CQ461</f>
        <v/>
      </c>
      <c r="E454" s="7" t="str">
        <f aca="false">Scoring!BR461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Scoring!CS461</f>
        <v/>
      </c>
      <c r="I454" s="189" t="str">
        <f aca="false">Scoring!CR461</f>
        <v/>
      </c>
    </row>
    <row r="455" customFormat="false" ht="15.75" hidden="false" customHeight="false" outlineLevel="0" collapsed="false">
      <c r="A455" s="7" t="str">
        <f aca="false">Scoring!CU462</f>
        <v/>
      </c>
      <c r="B455" s="7" t="str">
        <f aca="false">Scoring!CT462</f>
        <v/>
      </c>
      <c r="C455" s="7" t="n">
        <f aca="false">Scoring!C462</f>
        <v>0</v>
      </c>
      <c r="D455" s="188" t="str">
        <f aca="false">Scoring!CQ462</f>
        <v/>
      </c>
      <c r="E455" s="7" t="str">
        <f aca="false">Scoring!BR462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Scoring!CS462</f>
        <v/>
      </c>
      <c r="I455" s="189" t="str">
        <f aca="false">Scoring!CR462</f>
        <v/>
      </c>
    </row>
    <row r="456" customFormat="false" ht="15.75" hidden="false" customHeight="false" outlineLevel="0" collapsed="false">
      <c r="A456" s="7" t="str">
        <f aca="false">Scoring!CU463</f>
        <v/>
      </c>
      <c r="B456" s="7" t="str">
        <f aca="false">Scoring!CT463</f>
        <v/>
      </c>
      <c r="C456" s="7" t="n">
        <f aca="false">Scoring!C463</f>
        <v>0</v>
      </c>
      <c r="D456" s="188" t="str">
        <f aca="false">Scoring!CQ463</f>
        <v/>
      </c>
      <c r="E456" s="7" t="str">
        <f aca="false">Scoring!BR463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Scoring!CS463</f>
        <v/>
      </c>
      <c r="I456" s="189" t="str">
        <f aca="false">Scoring!CR463</f>
        <v/>
      </c>
    </row>
    <row r="457" customFormat="false" ht="15.75" hidden="false" customHeight="false" outlineLevel="0" collapsed="false">
      <c r="A457" s="7" t="str">
        <f aca="false">Scoring!CU464</f>
        <v/>
      </c>
      <c r="B457" s="7" t="str">
        <f aca="false">Scoring!CT464</f>
        <v/>
      </c>
      <c r="C457" s="7" t="n">
        <f aca="false">Scoring!C464</f>
        <v>0</v>
      </c>
      <c r="D457" s="188" t="str">
        <f aca="false">Scoring!CQ464</f>
        <v/>
      </c>
      <c r="E457" s="7" t="str">
        <f aca="false">Scoring!BR464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Scoring!CS464</f>
        <v/>
      </c>
      <c r="I457" s="189" t="str">
        <f aca="false">Scoring!CR464</f>
        <v/>
      </c>
    </row>
    <row r="458" customFormat="false" ht="15.75" hidden="false" customHeight="false" outlineLevel="0" collapsed="false">
      <c r="A458" s="7" t="str">
        <f aca="false">Scoring!CU465</f>
        <v/>
      </c>
      <c r="B458" s="7" t="str">
        <f aca="false">Scoring!CT465</f>
        <v/>
      </c>
      <c r="C458" s="7" t="n">
        <f aca="false">Scoring!C465</f>
        <v>0</v>
      </c>
      <c r="D458" s="188" t="str">
        <f aca="false">Scoring!CQ465</f>
        <v/>
      </c>
      <c r="E458" s="7" t="str">
        <f aca="false">Scoring!BR465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Scoring!CS465</f>
        <v/>
      </c>
      <c r="I458" s="189" t="str">
        <f aca="false">Scoring!CR465</f>
        <v/>
      </c>
    </row>
    <row r="459" customFormat="false" ht="15.75" hidden="false" customHeight="false" outlineLevel="0" collapsed="false">
      <c r="A459" s="7" t="str">
        <f aca="false">Scoring!CU466</f>
        <v/>
      </c>
      <c r="B459" s="7" t="str">
        <f aca="false">Scoring!CT466</f>
        <v/>
      </c>
      <c r="C459" s="7" t="n">
        <f aca="false">Scoring!C466</f>
        <v>0</v>
      </c>
      <c r="D459" s="188" t="str">
        <f aca="false">Scoring!CQ466</f>
        <v/>
      </c>
      <c r="E459" s="7" t="str">
        <f aca="false">Scoring!BR466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Scoring!CS466</f>
        <v/>
      </c>
      <c r="I459" s="189" t="str">
        <f aca="false">Scoring!CR466</f>
        <v/>
      </c>
    </row>
    <row r="460" customFormat="false" ht="15.75" hidden="false" customHeight="false" outlineLevel="0" collapsed="false">
      <c r="A460" s="7" t="str">
        <f aca="false">Scoring!CU467</f>
        <v/>
      </c>
      <c r="B460" s="7" t="str">
        <f aca="false">Scoring!CT467</f>
        <v/>
      </c>
      <c r="C460" s="7" t="n">
        <f aca="false">Scoring!C467</f>
        <v>0</v>
      </c>
      <c r="D460" s="188" t="str">
        <f aca="false">Scoring!CQ467</f>
        <v/>
      </c>
      <c r="E460" s="7" t="str">
        <f aca="false">Scoring!BR467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Scoring!CS467</f>
        <v/>
      </c>
      <c r="I460" s="189" t="str">
        <f aca="false">Scoring!CR467</f>
        <v/>
      </c>
    </row>
    <row r="461" customFormat="false" ht="15.75" hidden="false" customHeight="false" outlineLevel="0" collapsed="false">
      <c r="A461" s="7" t="str">
        <f aca="false">Scoring!CU468</f>
        <v/>
      </c>
      <c r="B461" s="7" t="str">
        <f aca="false">Scoring!CT468</f>
        <v/>
      </c>
      <c r="C461" s="7" t="n">
        <f aca="false">Scoring!C468</f>
        <v>0</v>
      </c>
      <c r="D461" s="188" t="str">
        <f aca="false">Scoring!CQ468</f>
        <v/>
      </c>
      <c r="E461" s="7" t="str">
        <f aca="false">Scoring!BR468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Scoring!CS468</f>
        <v/>
      </c>
      <c r="I461" s="189" t="str">
        <f aca="false">Scoring!CR468</f>
        <v/>
      </c>
    </row>
    <row r="462" customFormat="false" ht="15.75" hidden="false" customHeight="false" outlineLevel="0" collapsed="false">
      <c r="A462" s="7" t="str">
        <f aca="false">Scoring!CU469</f>
        <v/>
      </c>
      <c r="B462" s="7" t="str">
        <f aca="false">Scoring!CT469</f>
        <v/>
      </c>
      <c r="C462" s="7" t="n">
        <f aca="false">Scoring!C469</f>
        <v>0</v>
      </c>
      <c r="D462" s="188" t="str">
        <f aca="false">Scoring!CQ469</f>
        <v/>
      </c>
      <c r="E462" s="7" t="str">
        <f aca="false">Scoring!BR469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Scoring!CS469</f>
        <v/>
      </c>
      <c r="I462" s="189" t="str">
        <f aca="false">Scoring!CR469</f>
        <v/>
      </c>
    </row>
    <row r="463" customFormat="false" ht="15.75" hidden="false" customHeight="false" outlineLevel="0" collapsed="false">
      <c r="A463" s="7" t="str">
        <f aca="false">Scoring!CU470</f>
        <v/>
      </c>
      <c r="B463" s="7" t="str">
        <f aca="false">Scoring!CT470</f>
        <v/>
      </c>
      <c r="C463" s="7" t="n">
        <f aca="false">Scoring!C470</f>
        <v>0</v>
      </c>
      <c r="D463" s="188" t="str">
        <f aca="false">Scoring!CQ470</f>
        <v/>
      </c>
      <c r="E463" s="7" t="str">
        <f aca="false">Scoring!BR470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Scoring!CS470</f>
        <v/>
      </c>
      <c r="I463" s="189" t="str">
        <f aca="false">Scoring!CR470</f>
        <v/>
      </c>
    </row>
    <row r="464" customFormat="false" ht="15.75" hidden="false" customHeight="false" outlineLevel="0" collapsed="false">
      <c r="A464" s="7" t="str">
        <f aca="false">Scoring!CU471</f>
        <v/>
      </c>
      <c r="B464" s="7" t="str">
        <f aca="false">Scoring!CT471</f>
        <v/>
      </c>
      <c r="C464" s="7" t="n">
        <f aca="false">Scoring!C471</f>
        <v>0</v>
      </c>
      <c r="D464" s="188" t="str">
        <f aca="false">Scoring!CQ471</f>
        <v/>
      </c>
      <c r="E464" s="7" t="str">
        <f aca="false">Scoring!BR471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Scoring!CS471</f>
        <v/>
      </c>
      <c r="I464" s="189" t="str">
        <f aca="false">Scoring!CR471</f>
        <v/>
      </c>
    </row>
    <row r="465" customFormat="false" ht="15.75" hidden="false" customHeight="false" outlineLevel="0" collapsed="false">
      <c r="A465" s="7" t="str">
        <f aca="false">Scoring!CU472</f>
        <v/>
      </c>
      <c r="B465" s="7" t="str">
        <f aca="false">Scoring!CT472</f>
        <v/>
      </c>
      <c r="C465" s="7" t="n">
        <f aca="false">Scoring!C472</f>
        <v>0</v>
      </c>
      <c r="D465" s="188" t="str">
        <f aca="false">Scoring!CQ472</f>
        <v/>
      </c>
      <c r="E465" s="7" t="str">
        <f aca="false">Scoring!BR472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Scoring!CS472</f>
        <v/>
      </c>
      <c r="I465" s="189" t="str">
        <f aca="false">Scoring!CR472</f>
        <v/>
      </c>
    </row>
    <row r="466" customFormat="false" ht="15.75" hidden="false" customHeight="false" outlineLevel="0" collapsed="false">
      <c r="A466" s="7" t="str">
        <f aca="false">Scoring!CU473</f>
        <v/>
      </c>
      <c r="B466" s="7" t="str">
        <f aca="false">Scoring!CT473</f>
        <v/>
      </c>
      <c r="C466" s="7" t="n">
        <f aca="false">Scoring!C473</f>
        <v>0</v>
      </c>
      <c r="D466" s="188" t="str">
        <f aca="false">Scoring!CQ473</f>
        <v/>
      </c>
      <c r="E466" s="7" t="str">
        <f aca="false">Scoring!BR473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Scoring!CS473</f>
        <v/>
      </c>
      <c r="I466" s="189" t="str">
        <f aca="false">Scoring!CR473</f>
        <v/>
      </c>
    </row>
    <row r="467" customFormat="false" ht="15.75" hidden="false" customHeight="false" outlineLevel="0" collapsed="false">
      <c r="A467" s="7" t="str">
        <f aca="false">Scoring!CU474</f>
        <v/>
      </c>
      <c r="B467" s="7" t="str">
        <f aca="false">Scoring!CT474</f>
        <v/>
      </c>
      <c r="C467" s="7" t="n">
        <f aca="false">Scoring!C474</f>
        <v>0</v>
      </c>
      <c r="D467" s="188" t="str">
        <f aca="false">Scoring!CQ474</f>
        <v/>
      </c>
      <c r="E467" s="7" t="str">
        <f aca="false">Scoring!BR474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Scoring!CS474</f>
        <v/>
      </c>
      <c r="I467" s="189" t="str">
        <f aca="false">Scoring!CR474</f>
        <v/>
      </c>
    </row>
    <row r="468" customFormat="false" ht="15.75" hidden="false" customHeight="false" outlineLevel="0" collapsed="false">
      <c r="A468" s="7" t="str">
        <f aca="false">Scoring!CU475</f>
        <v/>
      </c>
      <c r="B468" s="7" t="str">
        <f aca="false">Scoring!CT475</f>
        <v/>
      </c>
      <c r="C468" s="7" t="n">
        <f aca="false">Scoring!C475</f>
        <v>0</v>
      </c>
      <c r="D468" s="188" t="str">
        <f aca="false">Scoring!CQ475</f>
        <v/>
      </c>
      <c r="E468" s="7" t="str">
        <f aca="false">Scoring!BR475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Scoring!CS475</f>
        <v/>
      </c>
      <c r="I468" s="189" t="str">
        <f aca="false">Scoring!CR475</f>
        <v/>
      </c>
    </row>
    <row r="469" customFormat="false" ht="15.75" hidden="false" customHeight="false" outlineLevel="0" collapsed="false">
      <c r="A469" s="7" t="str">
        <f aca="false">Scoring!CU476</f>
        <v/>
      </c>
      <c r="B469" s="7" t="str">
        <f aca="false">Scoring!CT476</f>
        <v/>
      </c>
      <c r="C469" s="7" t="n">
        <f aca="false">Scoring!C476</f>
        <v>0</v>
      </c>
      <c r="D469" s="188" t="str">
        <f aca="false">Scoring!CQ476</f>
        <v/>
      </c>
      <c r="E469" s="7" t="str">
        <f aca="false">Scoring!BR476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Scoring!CS476</f>
        <v/>
      </c>
      <c r="I469" s="189" t="str">
        <f aca="false">Scoring!CR476</f>
        <v/>
      </c>
    </row>
    <row r="470" customFormat="false" ht="15.75" hidden="false" customHeight="false" outlineLevel="0" collapsed="false">
      <c r="A470" s="7" t="str">
        <f aca="false">Scoring!CU477</f>
        <v/>
      </c>
      <c r="B470" s="7" t="str">
        <f aca="false">Scoring!CT477</f>
        <v/>
      </c>
      <c r="C470" s="7" t="n">
        <f aca="false">Scoring!C477</f>
        <v>0</v>
      </c>
      <c r="D470" s="188" t="str">
        <f aca="false">Scoring!CQ477</f>
        <v/>
      </c>
      <c r="E470" s="7" t="str">
        <f aca="false">Scoring!BR477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Scoring!CS477</f>
        <v/>
      </c>
      <c r="I470" s="189" t="str">
        <f aca="false">Scoring!CR477</f>
        <v/>
      </c>
    </row>
    <row r="471" customFormat="false" ht="15.75" hidden="false" customHeight="false" outlineLevel="0" collapsed="false">
      <c r="A471" s="7" t="str">
        <f aca="false">Scoring!CU478</f>
        <v/>
      </c>
      <c r="B471" s="7" t="str">
        <f aca="false">Scoring!CT478</f>
        <v/>
      </c>
      <c r="C471" s="7" t="n">
        <f aca="false">Scoring!C478</f>
        <v>0</v>
      </c>
      <c r="D471" s="188" t="str">
        <f aca="false">Scoring!CQ478</f>
        <v/>
      </c>
      <c r="E471" s="7" t="str">
        <f aca="false">Scoring!BR478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Scoring!CS478</f>
        <v/>
      </c>
      <c r="I471" s="189" t="str">
        <f aca="false">Scoring!CR478</f>
        <v/>
      </c>
    </row>
    <row r="472" customFormat="false" ht="15.75" hidden="false" customHeight="false" outlineLevel="0" collapsed="false">
      <c r="A472" s="7" t="str">
        <f aca="false">Scoring!CU479</f>
        <v/>
      </c>
      <c r="B472" s="7" t="str">
        <f aca="false">Scoring!CT479</f>
        <v/>
      </c>
      <c r="C472" s="7" t="n">
        <f aca="false">Scoring!C479</f>
        <v>0</v>
      </c>
      <c r="D472" s="188" t="str">
        <f aca="false">Scoring!CQ479</f>
        <v/>
      </c>
      <c r="E472" s="7" t="str">
        <f aca="false">Scoring!BR479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Scoring!CS479</f>
        <v/>
      </c>
      <c r="I472" s="189" t="str">
        <f aca="false">Scoring!CR479</f>
        <v/>
      </c>
    </row>
    <row r="473" customFormat="false" ht="15.75" hidden="false" customHeight="false" outlineLevel="0" collapsed="false">
      <c r="A473" s="7" t="str">
        <f aca="false">Scoring!CU480</f>
        <v/>
      </c>
      <c r="B473" s="7" t="str">
        <f aca="false">Scoring!CT480</f>
        <v/>
      </c>
      <c r="C473" s="7" t="n">
        <f aca="false">Scoring!C480</f>
        <v>0</v>
      </c>
      <c r="D473" s="188" t="str">
        <f aca="false">Scoring!CQ480</f>
        <v/>
      </c>
      <c r="E473" s="7" t="str">
        <f aca="false">Scoring!BR480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Scoring!CS480</f>
        <v/>
      </c>
      <c r="I473" s="189" t="str">
        <f aca="false">Scoring!CR480</f>
        <v/>
      </c>
    </row>
    <row r="474" customFormat="false" ht="15.75" hidden="false" customHeight="false" outlineLevel="0" collapsed="false">
      <c r="A474" s="7" t="str">
        <f aca="false">Scoring!CU481</f>
        <v/>
      </c>
      <c r="B474" s="7" t="str">
        <f aca="false">Scoring!CT481</f>
        <v/>
      </c>
      <c r="C474" s="7" t="n">
        <f aca="false">Scoring!C481</f>
        <v>0</v>
      </c>
      <c r="D474" s="188" t="str">
        <f aca="false">Scoring!CQ481</f>
        <v/>
      </c>
      <c r="E474" s="7" t="str">
        <f aca="false">Scoring!BR481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Scoring!CS481</f>
        <v/>
      </c>
      <c r="I474" s="189" t="str">
        <f aca="false">Scoring!CR481</f>
        <v/>
      </c>
    </row>
    <row r="475" customFormat="false" ht="15.75" hidden="false" customHeight="false" outlineLevel="0" collapsed="false">
      <c r="A475" s="7" t="str">
        <f aca="false">Scoring!CU482</f>
        <v/>
      </c>
      <c r="B475" s="7" t="str">
        <f aca="false">Scoring!CT482</f>
        <v/>
      </c>
      <c r="C475" s="7" t="n">
        <f aca="false">Scoring!C482</f>
        <v>0</v>
      </c>
      <c r="D475" s="188" t="str">
        <f aca="false">Scoring!CQ482</f>
        <v/>
      </c>
      <c r="E475" s="7" t="str">
        <f aca="false">Scoring!BR482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Scoring!CS482</f>
        <v/>
      </c>
      <c r="I475" s="189" t="str">
        <f aca="false">Scoring!CR482</f>
        <v/>
      </c>
    </row>
    <row r="476" customFormat="false" ht="15.75" hidden="false" customHeight="false" outlineLevel="0" collapsed="false">
      <c r="A476" s="7" t="str">
        <f aca="false">Scoring!CU483</f>
        <v/>
      </c>
      <c r="B476" s="7" t="str">
        <f aca="false">Scoring!CT483</f>
        <v/>
      </c>
      <c r="C476" s="7" t="n">
        <f aca="false">Scoring!C483</f>
        <v>0</v>
      </c>
      <c r="D476" s="188" t="str">
        <f aca="false">Scoring!CQ483</f>
        <v/>
      </c>
      <c r="E476" s="7" t="str">
        <f aca="false">Scoring!BR483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Scoring!CS483</f>
        <v/>
      </c>
      <c r="I476" s="189" t="str">
        <f aca="false">Scoring!CR483</f>
        <v/>
      </c>
    </row>
    <row r="477" customFormat="false" ht="15.75" hidden="false" customHeight="false" outlineLevel="0" collapsed="false">
      <c r="A477" s="7" t="str">
        <f aca="false">Scoring!CU484</f>
        <v/>
      </c>
      <c r="B477" s="7" t="str">
        <f aca="false">Scoring!CT484</f>
        <v/>
      </c>
      <c r="C477" s="7" t="n">
        <f aca="false">Scoring!C484</f>
        <v>0</v>
      </c>
      <c r="D477" s="188" t="str">
        <f aca="false">Scoring!CQ484</f>
        <v/>
      </c>
      <c r="E477" s="7" t="str">
        <f aca="false">Scoring!BR484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Scoring!CS484</f>
        <v/>
      </c>
      <c r="I477" s="189" t="str">
        <f aca="false">Scoring!CR484</f>
        <v/>
      </c>
    </row>
    <row r="478" customFormat="false" ht="15.75" hidden="false" customHeight="false" outlineLevel="0" collapsed="false">
      <c r="A478" s="7" t="str">
        <f aca="false">Scoring!CU485</f>
        <v/>
      </c>
      <c r="B478" s="7" t="str">
        <f aca="false">Scoring!CT485</f>
        <v/>
      </c>
      <c r="C478" s="7" t="n">
        <f aca="false">Scoring!C485</f>
        <v>0</v>
      </c>
      <c r="D478" s="188" t="str">
        <f aca="false">Scoring!CQ485</f>
        <v/>
      </c>
      <c r="E478" s="7" t="str">
        <f aca="false">Scoring!BR485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Scoring!CS485</f>
        <v/>
      </c>
      <c r="I478" s="189" t="str">
        <f aca="false">Scoring!CR485</f>
        <v/>
      </c>
    </row>
    <row r="479" customFormat="false" ht="15.75" hidden="false" customHeight="false" outlineLevel="0" collapsed="false">
      <c r="A479" s="7" t="str">
        <f aca="false">Scoring!CU486</f>
        <v/>
      </c>
      <c r="B479" s="7" t="str">
        <f aca="false">Scoring!CT486</f>
        <v/>
      </c>
      <c r="C479" s="7" t="n">
        <f aca="false">Scoring!C486</f>
        <v>0</v>
      </c>
      <c r="D479" s="188" t="str">
        <f aca="false">Scoring!CQ486</f>
        <v/>
      </c>
      <c r="E479" s="7" t="str">
        <f aca="false">Scoring!BR486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Scoring!CS486</f>
        <v/>
      </c>
      <c r="I479" s="189" t="str">
        <f aca="false">Scoring!CR486</f>
        <v/>
      </c>
    </row>
    <row r="480" customFormat="false" ht="15.75" hidden="false" customHeight="false" outlineLevel="0" collapsed="false">
      <c r="A480" s="7" t="str">
        <f aca="false">Scoring!CU487</f>
        <v/>
      </c>
      <c r="B480" s="7" t="str">
        <f aca="false">Scoring!CT487</f>
        <v/>
      </c>
      <c r="C480" s="7" t="n">
        <f aca="false">Scoring!C487</f>
        <v>0</v>
      </c>
      <c r="D480" s="188" t="str">
        <f aca="false">Scoring!CQ487</f>
        <v/>
      </c>
      <c r="E480" s="7" t="str">
        <f aca="false">Scoring!BR487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Scoring!CS487</f>
        <v/>
      </c>
      <c r="I480" s="189" t="str">
        <f aca="false">Scoring!CR487</f>
        <v/>
      </c>
    </row>
    <row r="481" customFormat="false" ht="15.75" hidden="false" customHeight="false" outlineLevel="0" collapsed="false">
      <c r="A481" s="7" t="str">
        <f aca="false">Scoring!CU488</f>
        <v/>
      </c>
      <c r="B481" s="7" t="str">
        <f aca="false">Scoring!CT488</f>
        <v/>
      </c>
      <c r="C481" s="7" t="n">
        <f aca="false">Scoring!C488</f>
        <v>0</v>
      </c>
      <c r="D481" s="188" t="str">
        <f aca="false">Scoring!CQ488</f>
        <v/>
      </c>
      <c r="E481" s="7" t="str">
        <f aca="false">Scoring!BR488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Scoring!CS488</f>
        <v/>
      </c>
      <c r="I481" s="189" t="str">
        <f aca="false">Scoring!CR488</f>
        <v/>
      </c>
    </row>
    <row r="482" customFormat="false" ht="15.75" hidden="false" customHeight="false" outlineLevel="0" collapsed="false">
      <c r="A482" s="7" t="str">
        <f aca="false">Scoring!CU489</f>
        <v/>
      </c>
      <c r="B482" s="7" t="str">
        <f aca="false">Scoring!CT489</f>
        <v/>
      </c>
      <c r="C482" s="7" t="n">
        <f aca="false">Scoring!C489</f>
        <v>0</v>
      </c>
      <c r="D482" s="188" t="str">
        <f aca="false">Scoring!CQ489</f>
        <v/>
      </c>
      <c r="E482" s="7" t="str">
        <f aca="false">Scoring!BR489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Scoring!CS489</f>
        <v/>
      </c>
      <c r="I482" s="189" t="str">
        <f aca="false">Scoring!CR489</f>
        <v/>
      </c>
    </row>
    <row r="483" customFormat="false" ht="15.75" hidden="false" customHeight="false" outlineLevel="0" collapsed="false">
      <c r="A483" s="7" t="str">
        <f aca="false">Scoring!CU490</f>
        <v/>
      </c>
      <c r="B483" s="7" t="str">
        <f aca="false">Scoring!CT490</f>
        <v/>
      </c>
      <c r="C483" s="7" t="n">
        <f aca="false">Scoring!C490</f>
        <v>0</v>
      </c>
      <c r="D483" s="188" t="str">
        <f aca="false">Scoring!CQ490</f>
        <v/>
      </c>
      <c r="E483" s="7" t="str">
        <f aca="false">Scoring!BR490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Scoring!CS490</f>
        <v/>
      </c>
      <c r="I483" s="189" t="str">
        <f aca="false">Scoring!CR490</f>
        <v/>
      </c>
    </row>
    <row r="484" customFormat="false" ht="15.75" hidden="false" customHeight="false" outlineLevel="0" collapsed="false">
      <c r="A484" s="7" t="str">
        <f aca="false">Scoring!CU491</f>
        <v/>
      </c>
      <c r="B484" s="7" t="str">
        <f aca="false">Scoring!CT491</f>
        <v/>
      </c>
      <c r="C484" s="7" t="n">
        <f aca="false">Scoring!C491</f>
        <v>0</v>
      </c>
      <c r="D484" s="188" t="str">
        <f aca="false">Scoring!CQ491</f>
        <v/>
      </c>
      <c r="E484" s="7" t="str">
        <f aca="false">Scoring!BR491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Scoring!CS491</f>
        <v/>
      </c>
      <c r="I484" s="189" t="str">
        <f aca="false">Scoring!CR491</f>
        <v/>
      </c>
    </row>
    <row r="485" customFormat="false" ht="15.75" hidden="false" customHeight="false" outlineLevel="0" collapsed="false">
      <c r="A485" s="7" t="str">
        <f aca="false">Scoring!CU492</f>
        <v/>
      </c>
      <c r="B485" s="7" t="str">
        <f aca="false">Scoring!CT492</f>
        <v/>
      </c>
      <c r="C485" s="7" t="n">
        <f aca="false">Scoring!C492</f>
        <v>0</v>
      </c>
      <c r="D485" s="188" t="str">
        <f aca="false">Scoring!CQ492</f>
        <v/>
      </c>
      <c r="E485" s="7" t="str">
        <f aca="false">Scoring!BR492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Scoring!CS492</f>
        <v/>
      </c>
      <c r="I485" s="189" t="str">
        <f aca="false">Scoring!CR492</f>
        <v/>
      </c>
    </row>
    <row r="486" customFormat="false" ht="15.75" hidden="false" customHeight="false" outlineLevel="0" collapsed="false">
      <c r="A486" s="7" t="str">
        <f aca="false">Scoring!CU493</f>
        <v/>
      </c>
      <c r="B486" s="7" t="str">
        <f aca="false">Scoring!CT493</f>
        <v/>
      </c>
      <c r="C486" s="7" t="n">
        <f aca="false">Scoring!C493</f>
        <v>0</v>
      </c>
      <c r="D486" s="188" t="str">
        <f aca="false">Scoring!CQ493</f>
        <v/>
      </c>
      <c r="E486" s="7" t="str">
        <f aca="false">Scoring!BR493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Scoring!CS493</f>
        <v/>
      </c>
      <c r="I486" s="189" t="str">
        <f aca="false">Scoring!CR493</f>
        <v/>
      </c>
    </row>
    <row r="487" customFormat="false" ht="15.75" hidden="false" customHeight="false" outlineLevel="0" collapsed="false">
      <c r="A487" s="7" t="str">
        <f aca="false">Scoring!CU494</f>
        <v/>
      </c>
      <c r="B487" s="7" t="str">
        <f aca="false">Scoring!CT494</f>
        <v/>
      </c>
      <c r="C487" s="7" t="n">
        <f aca="false">Scoring!C494</f>
        <v>0</v>
      </c>
      <c r="D487" s="188" t="str">
        <f aca="false">Scoring!CQ494</f>
        <v/>
      </c>
      <c r="E487" s="7" t="str">
        <f aca="false">Scoring!BR494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Scoring!CS494</f>
        <v/>
      </c>
      <c r="I487" s="189" t="str">
        <f aca="false">Scoring!CR494</f>
        <v/>
      </c>
    </row>
    <row r="488" customFormat="false" ht="15.75" hidden="false" customHeight="false" outlineLevel="0" collapsed="false">
      <c r="A488" s="7" t="str">
        <f aca="false">Scoring!CU495</f>
        <v/>
      </c>
      <c r="B488" s="7" t="str">
        <f aca="false">Scoring!CT495</f>
        <v/>
      </c>
      <c r="C488" s="7" t="n">
        <f aca="false">Scoring!C495</f>
        <v>0</v>
      </c>
      <c r="D488" s="188" t="str">
        <f aca="false">Scoring!CQ495</f>
        <v/>
      </c>
      <c r="E488" s="7" t="str">
        <f aca="false">Scoring!BR495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Scoring!CS495</f>
        <v/>
      </c>
      <c r="I488" s="189" t="str">
        <f aca="false">Scoring!CR495</f>
        <v/>
      </c>
    </row>
    <row r="489" customFormat="false" ht="15.75" hidden="false" customHeight="false" outlineLevel="0" collapsed="false">
      <c r="A489" s="7" t="str">
        <f aca="false">Scoring!CU496</f>
        <v/>
      </c>
      <c r="B489" s="7" t="str">
        <f aca="false">Scoring!CT496</f>
        <v/>
      </c>
      <c r="C489" s="7" t="n">
        <f aca="false">Scoring!C496</f>
        <v>0</v>
      </c>
      <c r="D489" s="188" t="str">
        <f aca="false">Scoring!CQ496</f>
        <v/>
      </c>
      <c r="E489" s="7" t="str">
        <f aca="false">Scoring!BR496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Scoring!CS496</f>
        <v/>
      </c>
      <c r="I489" s="189" t="str">
        <f aca="false">Scoring!CR496</f>
        <v/>
      </c>
    </row>
    <row r="490" customFormat="false" ht="15.75" hidden="false" customHeight="false" outlineLevel="0" collapsed="false">
      <c r="A490" s="7" t="str">
        <f aca="false">Scoring!CU497</f>
        <v/>
      </c>
      <c r="B490" s="7" t="str">
        <f aca="false">Scoring!CT497</f>
        <v/>
      </c>
      <c r="C490" s="7" t="n">
        <f aca="false">Scoring!C497</f>
        <v>0</v>
      </c>
      <c r="D490" s="188" t="str">
        <f aca="false">Scoring!CQ497</f>
        <v/>
      </c>
      <c r="E490" s="7" t="str">
        <f aca="false">Scoring!BR497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Scoring!CS497</f>
        <v/>
      </c>
      <c r="I490" s="189" t="str">
        <f aca="false">Scoring!CR497</f>
        <v/>
      </c>
    </row>
    <row r="491" customFormat="false" ht="15.75" hidden="false" customHeight="false" outlineLevel="0" collapsed="false">
      <c r="A491" s="7" t="str">
        <f aca="false">Scoring!CU498</f>
        <v/>
      </c>
      <c r="B491" s="7" t="str">
        <f aca="false">Scoring!CT498</f>
        <v/>
      </c>
      <c r="C491" s="7" t="n">
        <f aca="false">Scoring!C498</f>
        <v>0</v>
      </c>
      <c r="D491" s="188" t="str">
        <f aca="false">Scoring!CQ498</f>
        <v/>
      </c>
      <c r="E491" s="7" t="str">
        <f aca="false">Scoring!BR498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Scoring!CS498</f>
        <v/>
      </c>
      <c r="I491" s="189" t="str">
        <f aca="false">Scoring!CR498</f>
        <v/>
      </c>
    </row>
    <row r="492" customFormat="false" ht="15.75" hidden="false" customHeight="false" outlineLevel="0" collapsed="false">
      <c r="A492" s="7" t="str">
        <f aca="false">Scoring!CU499</f>
        <v/>
      </c>
      <c r="B492" s="7" t="str">
        <f aca="false">Scoring!CT499</f>
        <v/>
      </c>
      <c r="C492" s="7" t="n">
        <f aca="false">Scoring!C499</f>
        <v>0</v>
      </c>
      <c r="D492" s="188" t="str">
        <f aca="false">Scoring!CQ499</f>
        <v/>
      </c>
      <c r="E492" s="7" t="str">
        <f aca="false">Scoring!BR499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Scoring!CS499</f>
        <v/>
      </c>
      <c r="I492" s="189" t="str">
        <f aca="false">Scoring!CR499</f>
        <v/>
      </c>
    </row>
    <row r="493" customFormat="false" ht="15.75" hidden="false" customHeight="false" outlineLevel="0" collapsed="false">
      <c r="A493" s="7" t="str">
        <f aca="false">Scoring!CU500</f>
        <v/>
      </c>
      <c r="B493" s="7" t="str">
        <f aca="false">Scoring!CT500</f>
        <v/>
      </c>
      <c r="C493" s="7" t="n">
        <f aca="false">Scoring!C500</f>
        <v>0</v>
      </c>
      <c r="D493" s="188" t="str">
        <f aca="false">Scoring!CQ500</f>
        <v/>
      </c>
      <c r="E493" s="7" t="str">
        <f aca="false">Scoring!BR500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Scoring!CS500</f>
        <v/>
      </c>
      <c r="I493" s="189" t="str">
        <f aca="false">Scoring!CR500</f>
        <v/>
      </c>
    </row>
    <row r="494" customFormat="false" ht="15.75" hidden="false" customHeight="false" outlineLevel="0" collapsed="false">
      <c r="A494" s="7" t="str">
        <f aca="false">Scoring!CU501</f>
        <v/>
      </c>
      <c r="B494" s="7" t="str">
        <f aca="false">Scoring!CT501</f>
        <v/>
      </c>
      <c r="C494" s="7" t="n">
        <f aca="false">Scoring!C501</f>
        <v>0</v>
      </c>
      <c r="D494" s="188" t="str">
        <f aca="false">Scoring!CQ501</f>
        <v/>
      </c>
      <c r="E494" s="7" t="str">
        <f aca="false">Scoring!BR501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Scoring!CS501</f>
        <v/>
      </c>
      <c r="I494" s="189" t="str">
        <f aca="false">Scoring!CR501</f>
        <v/>
      </c>
    </row>
    <row r="495" customFormat="false" ht="15.75" hidden="false" customHeight="false" outlineLevel="0" collapsed="false">
      <c r="A495" s="7" t="str">
        <f aca="false">Scoring!CU502</f>
        <v/>
      </c>
      <c r="B495" s="7" t="str">
        <f aca="false">Scoring!CT502</f>
        <v/>
      </c>
      <c r="C495" s="7" t="n">
        <f aca="false">Scoring!C502</f>
        <v>0</v>
      </c>
      <c r="D495" s="188" t="str">
        <f aca="false">Scoring!CQ502</f>
        <v/>
      </c>
      <c r="E495" s="7" t="str">
        <f aca="false">Scoring!BR502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Scoring!CS502</f>
        <v/>
      </c>
      <c r="I495" s="189" t="str">
        <f aca="false">Scoring!CR502</f>
        <v/>
      </c>
    </row>
    <row r="496" customFormat="false" ht="15.75" hidden="false" customHeight="false" outlineLevel="0" collapsed="false">
      <c r="A496" s="7" t="str">
        <f aca="false">Scoring!CU503</f>
        <v/>
      </c>
      <c r="B496" s="7" t="str">
        <f aca="false">Scoring!CT503</f>
        <v/>
      </c>
      <c r="C496" s="7" t="n">
        <f aca="false">Scoring!C503</f>
        <v>0</v>
      </c>
      <c r="D496" s="188" t="str">
        <f aca="false">Scoring!CQ503</f>
        <v/>
      </c>
      <c r="E496" s="7" t="str">
        <f aca="false">Scoring!BR503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Scoring!CS503</f>
        <v/>
      </c>
      <c r="I496" s="189" t="str">
        <f aca="false">Scoring!CR503</f>
        <v/>
      </c>
    </row>
    <row r="497" customFormat="false" ht="15.75" hidden="false" customHeight="false" outlineLevel="0" collapsed="false">
      <c r="A497" s="7" t="str">
        <f aca="false">Scoring!CU504</f>
        <v/>
      </c>
      <c r="B497" s="7" t="str">
        <f aca="false">Scoring!CT504</f>
        <v/>
      </c>
      <c r="C497" s="7" t="n">
        <f aca="false">Scoring!C504</f>
        <v>0</v>
      </c>
      <c r="D497" s="188" t="str">
        <f aca="false">Scoring!CQ504</f>
        <v/>
      </c>
      <c r="E497" s="7" t="str">
        <f aca="false">Scoring!BR504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Scoring!CS504</f>
        <v/>
      </c>
      <c r="I497" s="189" t="str">
        <f aca="false">Scoring!CR504</f>
        <v/>
      </c>
    </row>
    <row r="498" customFormat="false" ht="15.75" hidden="false" customHeight="false" outlineLevel="0" collapsed="false">
      <c r="A498" s="7" t="str">
        <f aca="false">Scoring!CU505</f>
        <v/>
      </c>
      <c r="B498" s="7" t="str">
        <f aca="false">Scoring!CT505</f>
        <v/>
      </c>
      <c r="C498" s="7" t="n">
        <f aca="false">Scoring!C505</f>
        <v>0</v>
      </c>
      <c r="D498" s="188" t="str">
        <f aca="false">Scoring!CQ505</f>
        <v/>
      </c>
      <c r="E498" s="7" t="str">
        <f aca="false">Scoring!BR505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Scoring!CS505</f>
        <v/>
      </c>
      <c r="I498" s="189" t="str">
        <f aca="false">Scoring!CR505</f>
        <v/>
      </c>
    </row>
    <row r="499" customFormat="false" ht="15.75" hidden="false" customHeight="false" outlineLevel="0" collapsed="false">
      <c r="A499" s="7" t="str">
        <f aca="false">Scoring!CU506</f>
        <v/>
      </c>
      <c r="B499" s="7" t="str">
        <f aca="false">Scoring!CT506</f>
        <v/>
      </c>
      <c r="C499" s="7" t="n">
        <f aca="false">Scoring!C506</f>
        <v>0</v>
      </c>
      <c r="D499" s="188" t="str">
        <f aca="false">Scoring!CQ506</f>
        <v/>
      </c>
      <c r="E499" s="7" t="str">
        <f aca="false">Scoring!BR506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Scoring!CS506</f>
        <v/>
      </c>
      <c r="I499" s="189" t="str">
        <f aca="false">Scoring!CR506</f>
        <v/>
      </c>
    </row>
    <row r="500" customFormat="false" ht="15.75" hidden="false" customHeight="false" outlineLevel="0" collapsed="false">
      <c r="A500" s="7" t="str">
        <f aca="false">Scoring!CU507</f>
        <v/>
      </c>
      <c r="B500" s="7" t="str">
        <f aca="false">Scoring!CT507</f>
        <v/>
      </c>
      <c r="C500" s="7" t="n">
        <f aca="false">Scoring!C507</f>
        <v>0</v>
      </c>
      <c r="D500" s="188" t="str">
        <f aca="false">Scoring!CQ507</f>
        <v/>
      </c>
      <c r="E500" s="7" t="str">
        <f aca="false">Scoring!BR507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Scoring!CS507</f>
        <v/>
      </c>
      <c r="I500" s="189" t="str">
        <f aca="false">Scoring!CR507</f>
        <v/>
      </c>
    </row>
    <row r="501" customFormat="false" ht="15.75" hidden="false" customHeight="false" outlineLevel="0" collapsed="false">
      <c r="A501" s="7" t="str">
        <f aca="false">Scoring!CU508</f>
        <v/>
      </c>
      <c r="B501" s="7" t="str">
        <f aca="false">Scoring!CT508</f>
        <v/>
      </c>
      <c r="C501" s="7" t="n">
        <f aca="false">Scoring!C508</f>
        <v>0</v>
      </c>
      <c r="D501" s="188" t="str">
        <f aca="false">Scoring!CQ508</f>
        <v/>
      </c>
      <c r="E501" s="7" t="str">
        <f aca="false">Scoring!BR508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Scoring!CS508</f>
        <v/>
      </c>
      <c r="I501" s="189" t="str">
        <f aca="false">Scoring!CR508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2026-09-26T18:52:58Z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